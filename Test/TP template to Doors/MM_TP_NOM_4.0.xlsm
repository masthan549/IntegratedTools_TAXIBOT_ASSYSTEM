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3840" yWindow="2445" windowWidth="14805" windowHeight="6930" activeTab="1"/>
  </bookViews>
  <sheets>
    <sheet name="HLTP_Template(NOM)" sheetId="2" r:id="rId1"/>
    <sheet name="DOORS Template" sheetId="1" r:id="rId2"/>
    <sheet name="Test Script" sheetId="3" r:id="rId3"/>
    <sheet name="LLTP" sheetId="10" r:id="rId4"/>
    <sheet name="TestName" sheetId="11" r:id="rId5"/>
    <sheet name="Sheet1" sheetId="12" r:id="rId6"/>
  </sheets>
  <functionGroups builtInGroupCount="17"/>
  <definedNames>
    <definedName name="_xlnm._FilterDatabase" localSheetId="0" hidden="1">'HLTP_Template(NOM)'!$A$1:$EQ$71</definedName>
  </definedNames>
  <calcPr calcId="145621"/>
</workbook>
</file>

<file path=xl/calcChain.xml><?xml version="1.0" encoding="utf-8"?>
<calcChain xmlns="http://schemas.openxmlformats.org/spreadsheetml/2006/main">
  <c r="E1042" i="12" l="1"/>
  <c r="E1041" i="12"/>
  <c r="E1040" i="12"/>
  <c r="E1039" i="12"/>
  <c r="E1038" i="12"/>
  <c r="E1037" i="12"/>
  <c r="E1036" i="12"/>
  <c r="E1035" i="12"/>
  <c r="E1034" i="12"/>
  <c r="E1033" i="12"/>
  <c r="E1032" i="12"/>
  <c r="E1031" i="12"/>
  <c r="E1030" i="12"/>
  <c r="E1029" i="12"/>
  <c r="E1028" i="12"/>
  <c r="E1027" i="12"/>
  <c r="E1026" i="12"/>
  <c r="E1025" i="12"/>
  <c r="E1024" i="12"/>
  <c r="E1023" i="12"/>
  <c r="E1022" i="12"/>
  <c r="E1021" i="12"/>
  <c r="E1020" i="12"/>
  <c r="E1019" i="12"/>
  <c r="E1018" i="12"/>
  <c r="E1017" i="12"/>
  <c r="E1016" i="12"/>
  <c r="E1015" i="12"/>
  <c r="E1014" i="12"/>
  <c r="E1013" i="12"/>
  <c r="E1012" i="12"/>
  <c r="E1011" i="12"/>
  <c r="E1010" i="12"/>
  <c r="E1009" i="12"/>
  <c r="E1008" i="12"/>
  <c r="E1007" i="12"/>
  <c r="E1006" i="12"/>
  <c r="E1005" i="12"/>
  <c r="E1004" i="12"/>
  <c r="E1003" i="12"/>
  <c r="E1002" i="12"/>
  <c r="E1001" i="12"/>
  <c r="E1000" i="12"/>
  <c r="E999" i="12"/>
  <c r="E998" i="12"/>
  <c r="E997" i="12"/>
  <c r="E996" i="12"/>
  <c r="E995" i="12"/>
  <c r="E994" i="12"/>
  <c r="E993" i="12"/>
  <c r="E992" i="12"/>
  <c r="E991" i="12"/>
  <c r="E990" i="12"/>
  <c r="E989" i="12"/>
  <c r="E988" i="12"/>
  <c r="E987" i="12"/>
  <c r="E986" i="12"/>
  <c r="E985" i="12"/>
  <c r="E984" i="12"/>
  <c r="E983" i="12"/>
  <c r="E982" i="12"/>
  <c r="E981" i="12"/>
  <c r="E980" i="12"/>
  <c r="E979" i="12"/>
  <c r="E978" i="12"/>
  <c r="E977" i="12"/>
  <c r="E976" i="12"/>
  <c r="E975" i="12"/>
  <c r="E974" i="12"/>
  <c r="E973" i="12"/>
  <c r="E972" i="12"/>
  <c r="E971" i="12"/>
  <c r="E970" i="12"/>
  <c r="E969" i="12"/>
  <c r="E968" i="12"/>
  <c r="E967" i="12"/>
  <c r="E966" i="12"/>
  <c r="E965" i="12"/>
  <c r="E964" i="12"/>
  <c r="E963" i="12"/>
  <c r="E962" i="12"/>
  <c r="E961" i="12"/>
  <c r="E960" i="12"/>
  <c r="E959" i="12"/>
  <c r="E958" i="12"/>
  <c r="E957" i="12"/>
  <c r="E956" i="12"/>
  <c r="E955" i="12"/>
  <c r="E954" i="12"/>
  <c r="E953" i="12"/>
  <c r="E952" i="12"/>
  <c r="E951" i="12"/>
  <c r="E950" i="12"/>
  <c r="E949" i="12"/>
  <c r="E948" i="12"/>
  <c r="E947" i="12"/>
  <c r="E946" i="12"/>
  <c r="E945" i="12"/>
  <c r="E944" i="12"/>
  <c r="E943" i="12"/>
  <c r="E942" i="12"/>
  <c r="E941" i="12"/>
  <c r="E940" i="12"/>
  <c r="E939" i="12"/>
  <c r="E938" i="12"/>
  <c r="E937" i="12"/>
  <c r="E936" i="12"/>
  <c r="E935" i="12"/>
  <c r="E934" i="12"/>
  <c r="E933" i="12"/>
  <c r="E932" i="12"/>
  <c r="E931" i="12"/>
  <c r="E930" i="12"/>
  <c r="E929" i="12"/>
  <c r="E928" i="12"/>
  <c r="E927" i="12"/>
  <c r="E926" i="12"/>
  <c r="E925" i="12"/>
  <c r="E924" i="12"/>
  <c r="E923" i="12"/>
  <c r="E922" i="12"/>
  <c r="E921" i="12"/>
  <c r="E920" i="12"/>
  <c r="E919" i="12"/>
  <c r="E918" i="12"/>
  <c r="E917" i="12"/>
  <c r="E916" i="12"/>
  <c r="E915" i="12"/>
  <c r="E914" i="12"/>
  <c r="E913" i="12"/>
  <c r="E912" i="12"/>
  <c r="E911" i="12"/>
  <c r="E910" i="12"/>
  <c r="E909" i="12"/>
  <c r="E908" i="12"/>
  <c r="E907" i="12"/>
  <c r="E906" i="12"/>
  <c r="E905" i="12"/>
  <c r="E904" i="12"/>
  <c r="E903" i="12"/>
  <c r="E902" i="12"/>
  <c r="E901" i="12"/>
  <c r="E900" i="12"/>
  <c r="E899" i="12"/>
  <c r="E898" i="12"/>
  <c r="E897" i="12"/>
  <c r="E896" i="12"/>
  <c r="E895" i="12"/>
  <c r="E894" i="12"/>
  <c r="E893" i="12"/>
  <c r="E892" i="12"/>
  <c r="E891" i="12"/>
  <c r="E890" i="12"/>
  <c r="E889" i="12"/>
  <c r="E888" i="12"/>
  <c r="E887" i="12"/>
  <c r="E886" i="12"/>
  <c r="E885" i="12"/>
  <c r="E884" i="12"/>
  <c r="E883" i="12"/>
  <c r="E882" i="12"/>
  <c r="E881" i="12"/>
  <c r="E880" i="12"/>
  <c r="E879" i="12"/>
  <c r="E878" i="12"/>
  <c r="E877" i="12"/>
  <c r="E876" i="12"/>
  <c r="E875" i="12"/>
  <c r="E874" i="12"/>
  <c r="E873" i="12"/>
  <c r="E872" i="12"/>
  <c r="E871" i="12"/>
  <c r="E870" i="12"/>
  <c r="E869" i="12"/>
  <c r="E868" i="12"/>
  <c r="E867" i="12"/>
  <c r="E866" i="12"/>
  <c r="E865" i="12"/>
  <c r="E864" i="12"/>
  <c r="E863" i="12"/>
  <c r="E862" i="12"/>
  <c r="E861" i="12"/>
  <c r="E860" i="12"/>
  <c r="E859" i="12"/>
  <c r="E858" i="12"/>
  <c r="E857" i="12"/>
  <c r="E856" i="12"/>
  <c r="E855" i="12"/>
  <c r="E854" i="12"/>
  <c r="E853" i="12"/>
  <c r="E852" i="12"/>
  <c r="E851" i="12"/>
  <c r="E850" i="12"/>
  <c r="E849" i="12"/>
  <c r="E848" i="12"/>
  <c r="E847" i="12"/>
  <c r="E846" i="12"/>
  <c r="E845" i="12"/>
  <c r="E844" i="12"/>
  <c r="E843" i="12"/>
  <c r="E842" i="12"/>
  <c r="E841" i="12"/>
  <c r="E840" i="12"/>
  <c r="E839" i="12"/>
  <c r="E838" i="12"/>
  <c r="E837" i="12"/>
  <c r="E836" i="12"/>
  <c r="E835" i="12"/>
  <c r="E834" i="12"/>
  <c r="E833" i="12"/>
  <c r="E832" i="12"/>
  <c r="E831" i="12"/>
  <c r="E830" i="12"/>
  <c r="E829" i="12"/>
  <c r="E828" i="12"/>
  <c r="E827" i="12"/>
  <c r="E826" i="12"/>
  <c r="E825" i="12"/>
  <c r="E824" i="12"/>
  <c r="E823" i="12"/>
  <c r="E822" i="12"/>
  <c r="E821" i="12"/>
  <c r="E820" i="12"/>
  <c r="E819" i="12"/>
  <c r="E818" i="12"/>
  <c r="E817" i="12"/>
  <c r="E816" i="12"/>
  <c r="E815" i="12"/>
  <c r="E814" i="12"/>
  <c r="E813" i="12"/>
  <c r="E812" i="12"/>
  <c r="E811" i="12"/>
  <c r="E810" i="12"/>
  <c r="E809" i="12"/>
  <c r="E808" i="12"/>
  <c r="E807" i="12"/>
  <c r="E806" i="12"/>
  <c r="E805" i="12"/>
  <c r="E804" i="12"/>
  <c r="E803" i="12"/>
  <c r="E802" i="12"/>
  <c r="E801" i="12"/>
  <c r="E800" i="12"/>
  <c r="E799" i="12"/>
  <c r="E798" i="12"/>
  <c r="E797" i="12"/>
  <c r="E796" i="12"/>
  <c r="E795" i="12"/>
  <c r="E794" i="12"/>
  <c r="E793" i="12"/>
  <c r="E792" i="12"/>
  <c r="E791" i="12"/>
  <c r="E790" i="12"/>
  <c r="E789" i="12"/>
  <c r="E788" i="12"/>
  <c r="E787" i="12"/>
  <c r="E786" i="12"/>
  <c r="E785" i="12"/>
  <c r="E784" i="12"/>
  <c r="E783" i="12"/>
  <c r="E782" i="12"/>
  <c r="E781" i="12"/>
  <c r="E780" i="12"/>
  <c r="E779" i="12"/>
  <c r="E778" i="12"/>
  <c r="E777" i="12"/>
  <c r="E776" i="12"/>
  <c r="E775" i="12"/>
  <c r="E774" i="12"/>
  <c r="E773" i="12"/>
  <c r="E772" i="12"/>
  <c r="E771" i="12"/>
  <c r="E770" i="12"/>
  <c r="E769" i="12"/>
  <c r="E768" i="12"/>
  <c r="E767" i="12"/>
  <c r="E766" i="12"/>
  <c r="E765" i="12"/>
  <c r="E764" i="12"/>
  <c r="E763" i="12"/>
  <c r="E762" i="12"/>
  <c r="E761" i="12"/>
  <c r="E760" i="12"/>
  <c r="E759" i="12"/>
  <c r="E758" i="12"/>
  <c r="E757" i="12"/>
  <c r="E756" i="12"/>
  <c r="E755" i="12"/>
  <c r="E754" i="12"/>
  <c r="E753" i="12"/>
  <c r="E752" i="12"/>
  <c r="E751" i="12"/>
  <c r="E750" i="12"/>
  <c r="E749" i="12"/>
  <c r="E748" i="12"/>
  <c r="E747" i="12"/>
  <c r="E746" i="12"/>
  <c r="E745" i="12"/>
  <c r="E744" i="12"/>
  <c r="E743" i="12"/>
  <c r="E742" i="12"/>
  <c r="E741" i="12"/>
  <c r="E740" i="12"/>
  <c r="E739" i="12"/>
  <c r="E738" i="12"/>
  <c r="E737" i="12"/>
  <c r="E736" i="12"/>
  <c r="E735" i="12"/>
  <c r="E734" i="12"/>
  <c r="E733" i="12"/>
  <c r="E732" i="12"/>
  <c r="E731" i="12"/>
  <c r="E730" i="12"/>
  <c r="E729" i="12"/>
  <c r="E728" i="12"/>
  <c r="E727" i="12"/>
  <c r="E726" i="12"/>
  <c r="E725" i="12"/>
  <c r="E724" i="12"/>
  <c r="E723" i="12"/>
  <c r="E722" i="12"/>
  <c r="E721" i="12"/>
  <c r="E720" i="12"/>
  <c r="E719" i="12"/>
  <c r="E718" i="12"/>
  <c r="E717" i="12"/>
  <c r="E716" i="12"/>
  <c r="E715" i="12"/>
  <c r="E714" i="12"/>
  <c r="E713" i="12"/>
  <c r="E712" i="12"/>
  <c r="E711" i="12"/>
  <c r="E710" i="12"/>
  <c r="E709" i="12"/>
  <c r="E708" i="12"/>
  <c r="E707" i="12"/>
  <c r="E706" i="12"/>
  <c r="E705" i="12"/>
  <c r="E704" i="12"/>
  <c r="E703" i="12"/>
  <c r="E702" i="12"/>
  <c r="E701" i="12"/>
  <c r="E700" i="12"/>
  <c r="E699" i="12"/>
  <c r="E698" i="12"/>
  <c r="E697" i="12"/>
  <c r="E696" i="12"/>
  <c r="E695" i="12"/>
  <c r="E694" i="12"/>
  <c r="E693" i="12"/>
  <c r="E692" i="12"/>
  <c r="E691" i="12"/>
  <c r="E690" i="12"/>
  <c r="E689" i="12"/>
  <c r="E688" i="12"/>
  <c r="E687" i="12"/>
  <c r="E686" i="12"/>
  <c r="E685" i="12"/>
  <c r="E684" i="12"/>
  <c r="E683" i="12"/>
  <c r="E682" i="12"/>
  <c r="E681" i="12"/>
  <c r="E680" i="12"/>
  <c r="E679" i="12"/>
  <c r="E678" i="12"/>
  <c r="E677" i="12"/>
  <c r="E676" i="12"/>
  <c r="E675" i="12"/>
  <c r="E674" i="12"/>
  <c r="E673" i="12"/>
  <c r="E672" i="12"/>
  <c r="E671" i="12"/>
  <c r="E670" i="12"/>
  <c r="E669" i="12"/>
  <c r="E668" i="12"/>
  <c r="E667" i="12"/>
  <c r="E666" i="12"/>
  <c r="E665" i="12"/>
  <c r="E664" i="12"/>
  <c r="E663" i="12"/>
  <c r="E662" i="12"/>
  <c r="E661" i="12"/>
  <c r="E660" i="12"/>
  <c r="E659" i="12"/>
  <c r="E658" i="12"/>
  <c r="E657" i="12"/>
  <c r="E656" i="12"/>
  <c r="E655" i="12"/>
  <c r="E654" i="12"/>
  <c r="E653" i="12"/>
  <c r="E652" i="12"/>
  <c r="E651" i="12"/>
  <c r="E650" i="12"/>
  <c r="E649" i="12"/>
  <c r="E648" i="12"/>
  <c r="E647" i="12"/>
  <c r="E646" i="12"/>
  <c r="E645" i="12"/>
  <c r="E644" i="12"/>
  <c r="E643" i="12"/>
  <c r="E642" i="12"/>
  <c r="E641" i="12"/>
  <c r="E640" i="12"/>
  <c r="E639" i="12"/>
  <c r="E638" i="12"/>
  <c r="E637" i="12"/>
  <c r="E636" i="12"/>
  <c r="E635" i="12"/>
  <c r="E634" i="12"/>
  <c r="E633" i="12"/>
  <c r="E632" i="12"/>
  <c r="E631" i="12"/>
  <c r="E630" i="12"/>
  <c r="E629" i="12"/>
  <c r="E628" i="12"/>
  <c r="E627" i="12"/>
  <c r="E626" i="12"/>
  <c r="E625" i="12"/>
  <c r="E624" i="12"/>
  <c r="E623" i="12"/>
  <c r="E622" i="12"/>
  <c r="E621" i="12"/>
  <c r="E620" i="12"/>
  <c r="E619" i="12"/>
  <c r="E618" i="12"/>
  <c r="E617" i="12"/>
  <c r="E616" i="12"/>
  <c r="E615" i="12"/>
  <c r="E614" i="12"/>
  <c r="E613" i="12"/>
  <c r="E612" i="12"/>
  <c r="E611" i="12"/>
  <c r="E610" i="12"/>
  <c r="E609" i="12"/>
  <c r="E608" i="12"/>
  <c r="E607" i="12"/>
  <c r="E606" i="12"/>
  <c r="E605" i="12"/>
  <c r="E604" i="12"/>
  <c r="E603" i="12"/>
  <c r="E602" i="12"/>
  <c r="E601" i="12"/>
  <c r="E600" i="12"/>
  <c r="E599" i="12"/>
  <c r="E598" i="12"/>
  <c r="E597" i="12"/>
  <c r="E596" i="12"/>
  <c r="E595" i="12"/>
  <c r="E594" i="12"/>
  <c r="E593" i="12"/>
  <c r="E592" i="12"/>
  <c r="E591" i="12"/>
  <c r="E590" i="12"/>
  <c r="E589" i="12"/>
  <c r="E588" i="12"/>
  <c r="E587" i="12"/>
  <c r="E586" i="12"/>
  <c r="E585" i="12"/>
  <c r="E584" i="12"/>
  <c r="E583" i="12"/>
  <c r="E582" i="12"/>
  <c r="E581" i="12"/>
  <c r="E580" i="12"/>
  <c r="E579" i="12"/>
  <c r="E578" i="12"/>
  <c r="E577" i="12"/>
  <c r="E576" i="12"/>
  <c r="E575" i="12"/>
  <c r="E574" i="12"/>
  <c r="E573" i="12"/>
  <c r="E572" i="12"/>
  <c r="E571" i="12"/>
  <c r="E570" i="12"/>
  <c r="E569" i="12"/>
  <c r="E568" i="12"/>
  <c r="E567" i="12"/>
  <c r="E566" i="12"/>
  <c r="E565" i="12"/>
  <c r="E564" i="12"/>
  <c r="E563" i="12"/>
  <c r="E562" i="12"/>
  <c r="E561" i="12"/>
  <c r="E560" i="12"/>
  <c r="E559" i="12"/>
  <c r="E558" i="12"/>
  <c r="E557" i="12"/>
  <c r="E556" i="12"/>
  <c r="E555" i="12"/>
  <c r="E554" i="12"/>
  <c r="E553" i="12"/>
  <c r="E552" i="12"/>
  <c r="E551" i="12"/>
  <c r="E550" i="12"/>
  <c r="E549" i="12"/>
  <c r="E548" i="12"/>
  <c r="E547" i="12"/>
  <c r="E546" i="12"/>
  <c r="E545" i="12"/>
  <c r="E544" i="12"/>
  <c r="E543" i="12"/>
  <c r="E542" i="12"/>
  <c r="E541" i="12"/>
  <c r="E540" i="12"/>
  <c r="E539" i="12"/>
  <c r="E538" i="12"/>
  <c r="E537" i="12"/>
  <c r="E536" i="12"/>
  <c r="E535" i="12"/>
  <c r="E534" i="12"/>
  <c r="E533" i="12"/>
  <c r="E532" i="12"/>
  <c r="E531" i="12"/>
  <c r="E530" i="12"/>
  <c r="E529" i="12"/>
  <c r="E528" i="12"/>
  <c r="E527" i="12"/>
  <c r="E526" i="12"/>
  <c r="E525" i="12"/>
  <c r="E524" i="12"/>
  <c r="E523" i="12"/>
  <c r="E522" i="12"/>
  <c r="E521" i="12"/>
  <c r="E520" i="12"/>
  <c r="E519" i="12"/>
  <c r="E518" i="12"/>
  <c r="E517" i="12"/>
  <c r="E516" i="12"/>
  <c r="E515" i="12"/>
  <c r="E514" i="12"/>
  <c r="E513" i="12"/>
  <c r="E512" i="12"/>
  <c r="E511" i="12"/>
  <c r="E510" i="12"/>
  <c r="E509" i="12"/>
  <c r="E508" i="12"/>
  <c r="E507" i="12"/>
  <c r="E506" i="12"/>
  <c r="E505" i="12"/>
  <c r="E504" i="12"/>
  <c r="E503" i="12"/>
  <c r="E502" i="12"/>
  <c r="E501" i="12"/>
  <c r="E500" i="12"/>
  <c r="E499" i="12"/>
  <c r="E498" i="12"/>
  <c r="E497" i="12"/>
  <c r="E496" i="12"/>
  <c r="E495" i="12"/>
  <c r="E494" i="12"/>
  <c r="E493" i="12"/>
  <c r="E492" i="12"/>
  <c r="E491" i="12"/>
  <c r="E490" i="12"/>
  <c r="E489" i="12"/>
  <c r="E488" i="12"/>
  <c r="E487" i="12"/>
  <c r="E486" i="12"/>
  <c r="E485" i="12"/>
  <c r="E484" i="12"/>
  <c r="E483" i="12"/>
  <c r="E482" i="12"/>
  <c r="E481" i="12"/>
  <c r="E480" i="12"/>
  <c r="E479" i="12"/>
  <c r="E478" i="12"/>
  <c r="E477" i="12"/>
  <c r="E476" i="12"/>
  <c r="E475" i="12"/>
  <c r="E474" i="12"/>
  <c r="E473" i="12"/>
  <c r="E472" i="12"/>
  <c r="E471" i="12"/>
  <c r="E470" i="12"/>
  <c r="E469" i="12"/>
  <c r="E468" i="12"/>
  <c r="E467" i="12"/>
  <c r="E466" i="12"/>
  <c r="E465" i="12"/>
  <c r="E464" i="12"/>
  <c r="E463" i="12"/>
  <c r="E462" i="12"/>
  <c r="E461" i="12"/>
  <c r="E460" i="12"/>
  <c r="E459" i="12"/>
  <c r="E458" i="12"/>
  <c r="E457" i="12"/>
  <c r="E456" i="12"/>
  <c r="E455" i="12"/>
  <c r="E454" i="12"/>
  <c r="E453" i="12"/>
  <c r="E452" i="12"/>
  <c r="E451" i="12"/>
  <c r="E450" i="12"/>
  <c r="E449" i="12"/>
  <c r="E448" i="12"/>
  <c r="E447" i="12"/>
  <c r="E446" i="12"/>
  <c r="E445" i="12"/>
  <c r="E444" i="12"/>
  <c r="E443" i="12"/>
  <c r="E442" i="12"/>
  <c r="E441" i="12"/>
  <c r="E440" i="12"/>
  <c r="E439" i="12"/>
  <c r="E438" i="12"/>
  <c r="E437" i="12"/>
  <c r="E436" i="12"/>
  <c r="E435" i="12"/>
  <c r="E434" i="12"/>
  <c r="E433" i="12"/>
  <c r="E432" i="12"/>
  <c r="E431" i="12"/>
  <c r="E430" i="12"/>
  <c r="E429" i="12"/>
  <c r="E428" i="12"/>
  <c r="E427" i="12"/>
  <c r="E426" i="12"/>
  <c r="E425" i="12"/>
  <c r="E424" i="12"/>
  <c r="E423" i="12"/>
  <c r="E422" i="12"/>
  <c r="E421" i="12"/>
  <c r="E420" i="12"/>
  <c r="E419" i="12"/>
  <c r="E418" i="12"/>
  <c r="E417" i="12"/>
  <c r="E416" i="12"/>
  <c r="E415" i="12"/>
  <c r="E414" i="12"/>
  <c r="E413" i="12"/>
  <c r="E412" i="12"/>
  <c r="E411" i="12"/>
  <c r="E410" i="12"/>
  <c r="E409" i="12"/>
  <c r="E408" i="12"/>
  <c r="E407" i="12"/>
  <c r="E406" i="12"/>
  <c r="E405" i="12"/>
  <c r="E404" i="12"/>
  <c r="E403" i="12"/>
  <c r="E402" i="12"/>
  <c r="E401" i="12"/>
  <c r="E400" i="12"/>
  <c r="E399" i="12"/>
  <c r="E398" i="12"/>
  <c r="E397" i="12"/>
  <c r="E396" i="12"/>
  <c r="E395" i="12"/>
  <c r="E394" i="12"/>
  <c r="E393" i="12"/>
  <c r="E392" i="12"/>
  <c r="E391" i="12"/>
  <c r="E390" i="12"/>
  <c r="E389" i="12"/>
  <c r="E388" i="12"/>
  <c r="E387" i="12"/>
  <c r="E386" i="12"/>
  <c r="E385" i="12"/>
  <c r="E384" i="12"/>
  <c r="E383" i="12"/>
  <c r="E382" i="12"/>
  <c r="E381" i="12"/>
  <c r="E380" i="12"/>
  <c r="E379" i="12"/>
  <c r="E378" i="12"/>
  <c r="E377" i="12"/>
  <c r="E376" i="12"/>
  <c r="E375" i="12"/>
  <c r="E374" i="12"/>
  <c r="E373" i="12"/>
  <c r="E372" i="12"/>
  <c r="E371" i="12"/>
  <c r="E370" i="12"/>
  <c r="E369" i="12"/>
  <c r="E368" i="12"/>
  <c r="E367" i="12"/>
  <c r="E366" i="12"/>
  <c r="E365" i="12"/>
  <c r="E364" i="12"/>
  <c r="E363" i="12"/>
  <c r="E362" i="12"/>
  <c r="E361" i="12"/>
  <c r="E360" i="12"/>
  <c r="E359" i="12"/>
  <c r="E358" i="12"/>
  <c r="E357" i="12"/>
  <c r="E356" i="12"/>
  <c r="E355" i="12"/>
  <c r="E354" i="12"/>
  <c r="E353" i="12"/>
  <c r="E352" i="12"/>
  <c r="E351" i="12"/>
  <c r="E350" i="12"/>
  <c r="E349" i="12"/>
  <c r="E348" i="12"/>
  <c r="E347" i="12"/>
  <c r="E346" i="12"/>
  <c r="E345" i="12"/>
  <c r="E344" i="12"/>
  <c r="E343" i="12"/>
  <c r="E342" i="12"/>
  <c r="E341" i="12"/>
  <c r="E340" i="12"/>
  <c r="E339" i="12"/>
  <c r="E338" i="12"/>
  <c r="E337" i="12"/>
  <c r="E336" i="12"/>
  <c r="E335" i="12"/>
  <c r="E334" i="12"/>
  <c r="E333" i="12"/>
  <c r="E332" i="12"/>
  <c r="E331" i="12"/>
  <c r="E330" i="12"/>
  <c r="E329" i="12"/>
  <c r="E328" i="12"/>
  <c r="E327" i="12"/>
  <c r="E326" i="12"/>
  <c r="E325" i="12"/>
  <c r="E324" i="12"/>
  <c r="E323" i="12"/>
  <c r="E322" i="12"/>
  <c r="E321" i="12"/>
  <c r="E320" i="12"/>
  <c r="E319" i="12"/>
  <c r="E318" i="12"/>
  <c r="E317" i="12"/>
  <c r="E316" i="12"/>
  <c r="E315" i="12"/>
  <c r="E314" i="12"/>
  <c r="E313" i="12"/>
  <c r="E312" i="12"/>
  <c r="E311" i="12"/>
  <c r="E310" i="12"/>
  <c r="E309" i="12"/>
  <c r="E308" i="12"/>
  <c r="E307" i="12"/>
  <c r="E306" i="12"/>
  <c r="E305" i="12"/>
  <c r="E304" i="12"/>
  <c r="E303" i="12"/>
  <c r="E302" i="12"/>
  <c r="E301" i="12"/>
  <c r="E300" i="12"/>
  <c r="E299" i="12"/>
  <c r="E298" i="12"/>
  <c r="E297" i="12"/>
  <c r="E296" i="12"/>
  <c r="E295" i="12"/>
  <c r="E294" i="12"/>
  <c r="E293" i="12"/>
  <c r="E292" i="12"/>
  <c r="E291" i="12"/>
  <c r="E290" i="12"/>
  <c r="E289" i="12"/>
  <c r="E288" i="12"/>
  <c r="E287" i="12"/>
  <c r="E286" i="12"/>
  <c r="E285" i="12"/>
  <c r="E284" i="12"/>
  <c r="E283" i="12"/>
  <c r="E282" i="12"/>
  <c r="E281" i="12"/>
  <c r="E280" i="12"/>
  <c r="E279" i="12"/>
  <c r="E278" i="12"/>
  <c r="E277" i="12"/>
  <c r="E276" i="12"/>
  <c r="E275" i="12"/>
  <c r="E274" i="12"/>
  <c r="E273" i="12"/>
  <c r="E272" i="12"/>
  <c r="E271" i="12"/>
  <c r="E270" i="12"/>
  <c r="E269" i="12"/>
  <c r="E268" i="12"/>
  <c r="E267" i="12"/>
  <c r="E266" i="12"/>
  <c r="E265" i="12"/>
  <c r="E264" i="12"/>
  <c r="E263" i="12"/>
  <c r="E262" i="12"/>
  <c r="E261" i="12"/>
  <c r="E260" i="12"/>
  <c r="E259" i="12"/>
  <c r="E258" i="12"/>
  <c r="E257" i="12"/>
  <c r="E256" i="12"/>
  <c r="E255" i="12"/>
  <c r="E254" i="12"/>
  <c r="E253" i="12"/>
  <c r="E252" i="12"/>
  <c r="E251" i="12"/>
  <c r="E250" i="12"/>
  <c r="E249" i="12"/>
  <c r="E248" i="12"/>
  <c r="E247" i="12"/>
  <c r="E246" i="12"/>
  <c r="E245" i="12"/>
  <c r="E244" i="12"/>
  <c r="E243" i="12"/>
  <c r="E242" i="12"/>
  <c r="E241" i="12"/>
  <c r="E240" i="12"/>
  <c r="E239" i="12"/>
  <c r="E238" i="12"/>
  <c r="E237" i="12"/>
  <c r="E236" i="12"/>
  <c r="E235" i="12"/>
  <c r="E234" i="12"/>
  <c r="E233" i="12"/>
  <c r="E232" i="12"/>
  <c r="E231" i="12"/>
  <c r="E230" i="12"/>
  <c r="E229" i="12"/>
  <c r="E228" i="12"/>
  <c r="E227" i="12"/>
  <c r="E226" i="12"/>
  <c r="E225" i="12"/>
  <c r="E224" i="12"/>
  <c r="E223" i="12"/>
  <c r="E222" i="12"/>
  <c r="E221" i="12"/>
  <c r="E220" i="12"/>
  <c r="E219" i="12"/>
  <c r="E218" i="12"/>
  <c r="E217" i="12"/>
  <c r="E216" i="12"/>
  <c r="E215" i="12"/>
  <c r="E214" i="12"/>
  <c r="E213" i="12"/>
  <c r="E212" i="12"/>
  <c r="E211" i="12"/>
  <c r="E210" i="12"/>
  <c r="E209" i="12"/>
  <c r="E208" i="12"/>
  <c r="E207" i="12"/>
  <c r="E206" i="12"/>
  <c r="E205" i="12"/>
  <c r="E204" i="12"/>
  <c r="E203" i="12"/>
  <c r="E202" i="12"/>
  <c r="E201" i="12"/>
  <c r="E200" i="12"/>
  <c r="E199" i="12"/>
  <c r="E198" i="12"/>
  <c r="E197" i="12"/>
  <c r="E196" i="12"/>
  <c r="E195" i="12"/>
  <c r="E194" i="12"/>
  <c r="E193" i="12"/>
  <c r="E192" i="12"/>
  <c r="E191" i="12"/>
  <c r="E190" i="12"/>
  <c r="E189" i="12"/>
  <c r="E188" i="12"/>
  <c r="E187" i="12"/>
  <c r="E186" i="12"/>
  <c r="E185" i="12"/>
  <c r="E184" i="12"/>
  <c r="E183" i="12"/>
  <c r="E182" i="12"/>
  <c r="E181" i="12"/>
  <c r="E180" i="12"/>
  <c r="E179" i="12"/>
  <c r="E178" i="12"/>
  <c r="E177" i="12"/>
  <c r="E176" i="12"/>
  <c r="E175" i="12"/>
  <c r="E174" i="12"/>
  <c r="E173" i="12"/>
  <c r="E172" i="12"/>
  <c r="E171" i="12"/>
  <c r="E170" i="12"/>
  <c r="E169" i="12"/>
  <c r="E168" i="12"/>
  <c r="E167" i="12"/>
  <c r="E166" i="12"/>
  <c r="E165" i="12"/>
  <c r="E164" i="12"/>
  <c r="E163" i="12"/>
  <c r="E162" i="12"/>
  <c r="E161" i="12"/>
  <c r="E160" i="12"/>
  <c r="E159" i="12"/>
  <c r="E158" i="12"/>
  <c r="E157" i="12"/>
  <c r="E156" i="12"/>
  <c r="E155" i="12"/>
  <c r="E154" i="12"/>
  <c r="E153" i="12"/>
  <c r="E152" i="12"/>
  <c r="E151" i="12"/>
  <c r="E150" i="12"/>
  <c r="E149" i="12"/>
  <c r="E148" i="12"/>
  <c r="E147" i="12"/>
  <c r="E146" i="12"/>
  <c r="E145" i="12"/>
  <c r="E144" i="12"/>
  <c r="E143" i="12"/>
  <c r="E142" i="12"/>
  <c r="E141" i="12"/>
  <c r="E140" i="12"/>
  <c r="E139" i="12"/>
  <c r="E138" i="12"/>
  <c r="E137" i="12"/>
  <c r="E136" i="12"/>
  <c r="E135" i="12"/>
  <c r="E134" i="12"/>
  <c r="E133" i="12"/>
  <c r="E132" i="12"/>
  <c r="E131" i="12"/>
  <c r="E130" i="12"/>
  <c r="E129" i="12"/>
  <c r="E128" i="12"/>
  <c r="E127" i="12"/>
  <c r="E126" i="12"/>
  <c r="E125" i="12"/>
  <c r="E124" i="12"/>
  <c r="E123" i="12"/>
  <c r="E122" i="12"/>
  <c r="E121" i="12"/>
  <c r="E120" i="12"/>
  <c r="E119" i="12"/>
  <c r="E118" i="12"/>
  <c r="E117" i="12"/>
  <c r="E116" i="12"/>
  <c r="E115" i="12"/>
  <c r="E114" i="12"/>
  <c r="E113" i="12"/>
  <c r="E112" i="12"/>
  <c r="E111" i="12"/>
  <c r="E110" i="12"/>
  <c r="E109" i="12"/>
  <c r="E108" i="12"/>
  <c r="E107" i="12"/>
  <c r="E106" i="12"/>
  <c r="E105" i="12"/>
  <c r="E104" i="12"/>
  <c r="E103" i="12"/>
  <c r="E102" i="12"/>
  <c r="E101" i="12"/>
  <c r="E100" i="12"/>
  <c r="E99" i="12"/>
  <c r="E98" i="12"/>
  <c r="E97" i="12"/>
  <c r="E96" i="12"/>
  <c r="E95" i="12"/>
  <c r="E94" i="12"/>
  <c r="E93" i="12"/>
  <c r="E92" i="12"/>
  <c r="E91" i="12"/>
  <c r="E90" i="12"/>
  <c r="E89" i="12"/>
  <c r="E88" i="12"/>
  <c r="E87" i="12"/>
  <c r="E86" i="12"/>
  <c r="E85" i="12"/>
  <c r="E84" i="12"/>
  <c r="E83" i="12"/>
  <c r="E82" i="12"/>
  <c r="E81" i="12"/>
  <c r="E80" i="12"/>
  <c r="E79" i="12"/>
  <c r="E78" i="12"/>
  <c r="E77" i="12"/>
  <c r="E76" i="12"/>
  <c r="E75" i="12"/>
  <c r="E74" i="12"/>
  <c r="E73" i="12"/>
  <c r="E72" i="12"/>
  <c r="E71" i="12"/>
  <c r="E70" i="12"/>
  <c r="E69" i="12"/>
  <c r="E68" i="12"/>
  <c r="E67" i="12"/>
  <c r="E66" i="12"/>
  <c r="E65" i="12"/>
  <c r="E64" i="12"/>
  <c r="E63" i="12"/>
  <c r="E62" i="12"/>
  <c r="E61" i="12"/>
  <c r="E60" i="12"/>
  <c r="E59" i="12"/>
  <c r="E58" i="12"/>
  <c r="E57" i="12"/>
  <c r="E56" i="12"/>
  <c r="E55" i="12"/>
  <c r="E54" i="12"/>
  <c r="E53" i="12"/>
  <c r="E52" i="12"/>
  <c r="E51" i="12"/>
  <c r="E50" i="12"/>
  <c r="E49" i="12"/>
  <c r="E48" i="12"/>
  <c r="E47" i="12"/>
  <c r="E46" i="12"/>
  <c r="E45" i="12"/>
  <c r="E44" i="12"/>
  <c r="E43" i="12"/>
  <c r="E42" i="12"/>
  <c r="E41" i="12"/>
  <c r="E40" i="12"/>
  <c r="E39" i="12"/>
  <c r="E38" i="12"/>
  <c r="E37" i="12"/>
  <c r="E36" i="12"/>
  <c r="E35" i="12"/>
  <c r="E34" i="12"/>
  <c r="E33" i="12"/>
  <c r="E32" i="12"/>
  <c r="E31" i="12"/>
  <c r="E30" i="12"/>
  <c r="E29" i="12"/>
  <c r="E28" i="12"/>
  <c r="E27" i="12"/>
  <c r="E26" i="12"/>
  <c r="E25" i="12"/>
  <c r="E24" i="12"/>
  <c r="E23" i="12"/>
  <c r="E22" i="12"/>
  <c r="E21" i="12"/>
  <c r="E20" i="12"/>
  <c r="E19" i="12"/>
  <c r="E18" i="12"/>
  <c r="E17" i="12"/>
  <c r="E16" i="12"/>
  <c r="E15" i="12"/>
  <c r="E14" i="12"/>
  <c r="E13" i="12"/>
  <c r="E12" i="12"/>
  <c r="E11" i="12"/>
  <c r="E10" i="12"/>
  <c r="E9" i="12"/>
  <c r="E8" i="12"/>
  <c r="E7" i="12"/>
  <c r="E6" i="12"/>
  <c r="E5" i="12"/>
  <c r="E4" i="12"/>
  <c r="E3" i="12"/>
  <c r="E2" i="12"/>
  <c r="E1" i="12"/>
  <c r="AMN197" i="2" l="1"/>
  <c r="AMN198" i="2" s="1"/>
  <c r="AMM197" i="2"/>
  <c r="AMM198" i="2" s="1"/>
  <c r="AML197" i="2"/>
  <c r="AML198" i="2" s="1"/>
  <c r="AMK197" i="2"/>
  <c r="AMK198" i="2" s="1"/>
  <c r="AMJ197" i="2"/>
  <c r="AMJ198" i="2" s="1"/>
  <c r="AMI197" i="2"/>
  <c r="AMI198" i="2" s="1"/>
  <c r="AMH197" i="2"/>
  <c r="AMH198" i="2" s="1"/>
  <c r="AMG197" i="2"/>
  <c r="AMG198" i="2" s="1"/>
  <c r="AMF197" i="2"/>
  <c r="AMF198" i="2" s="1"/>
  <c r="AME197" i="2"/>
  <c r="AME198" i="2" s="1"/>
  <c r="AMD197" i="2"/>
  <c r="AMD198" i="2" s="1"/>
  <c r="AMC197" i="2"/>
  <c r="AMC198" i="2" s="1"/>
  <c r="ALW197" i="2"/>
  <c r="ALW198" i="2" s="1"/>
  <c r="ALV197" i="2"/>
  <c r="ALV198" i="2" s="1"/>
  <c r="ALU197" i="2"/>
  <c r="ALU198" i="2" s="1"/>
  <c r="ALT197" i="2"/>
  <c r="ALT198" i="2" s="1"/>
  <c r="ALS197" i="2"/>
  <c r="ALS198" i="2" s="1"/>
  <c r="ALR197" i="2"/>
  <c r="ALR198" i="2" s="1"/>
  <c r="ALQ197" i="2"/>
  <c r="ALQ198" i="2" s="1"/>
  <c r="ALP197" i="2"/>
  <c r="ALP198" i="2" s="1"/>
  <c r="ALO197" i="2"/>
  <c r="ALO198" i="2" s="1"/>
  <c r="ALN197" i="2"/>
  <c r="ALN198" i="2" s="1"/>
  <c r="ALM197" i="2"/>
  <c r="ALM198" i="2" s="1"/>
  <c r="ALG197" i="2"/>
  <c r="ALG198" i="2" s="1"/>
  <c r="ALF197" i="2"/>
  <c r="ALF198" i="2" s="1"/>
  <c r="ALE197" i="2"/>
  <c r="ALE198" i="2" s="1"/>
  <c r="ALD197" i="2"/>
  <c r="ALD198" i="2" s="1"/>
  <c r="ALC197" i="2"/>
  <c r="ALC198" i="2" s="1"/>
  <c r="ALB197" i="2"/>
  <c r="ALB198" i="2" s="1"/>
  <c r="ALA197" i="2"/>
  <c r="ALA198" i="2" s="1"/>
  <c r="AKZ197" i="2"/>
  <c r="AKZ198" i="2" s="1"/>
  <c r="AKY197" i="2"/>
  <c r="AKY198" i="2" s="1"/>
  <c r="AKQ197" i="2"/>
  <c r="AKQ198" i="2" s="1"/>
  <c r="AKP197" i="2"/>
  <c r="AKP198" i="2" s="1"/>
  <c r="AKO197" i="2"/>
  <c r="AKO198" i="2" s="1"/>
  <c r="AKN197" i="2"/>
  <c r="AKN198" i="2" s="1"/>
  <c r="AKM197" i="2"/>
  <c r="AKM198" i="2" s="1"/>
  <c r="AKL197" i="2"/>
  <c r="AKL198" i="2" s="1"/>
  <c r="AKK197" i="2"/>
  <c r="AKK198" i="2" s="1"/>
  <c r="AKJ197" i="2"/>
  <c r="AKJ198" i="2" s="1"/>
  <c r="ALN185" i="2"/>
  <c r="AKY185" i="2"/>
  <c r="ALN171" i="2"/>
  <c r="AKY171" i="2"/>
  <c r="ALN166" i="2"/>
  <c r="AKY166" i="2"/>
  <c r="ALN165" i="2"/>
  <c r="AKY165" i="2"/>
  <c r="AKQ101" i="2"/>
  <c r="AKQ102" i="2" s="1"/>
  <c r="AKQ103" i="2" s="1"/>
  <c r="AKQ104" i="2" s="1"/>
  <c r="AKQ105" i="2" s="1"/>
  <c r="AKQ106" i="2" s="1"/>
  <c r="AKQ107" i="2" s="1"/>
  <c r="AKQ108" i="2" s="1"/>
  <c r="AKQ109" i="2" s="1"/>
  <c r="AKQ110" i="2" s="1"/>
  <c r="AKQ111" i="2" s="1"/>
  <c r="AKQ112" i="2" s="1"/>
  <c r="AKQ113" i="2" s="1"/>
  <c r="AKQ114" i="2" s="1"/>
  <c r="ALU95" i="2"/>
  <c r="ALF95" i="2"/>
  <c r="AKQ95" i="2"/>
  <c r="ALU94" i="2"/>
  <c r="ALF94" i="2"/>
  <c r="AKQ94" i="2"/>
  <c r="ALU93" i="2"/>
  <c r="ALF93" i="2"/>
  <c r="AKQ93" i="2"/>
  <c r="ALU92" i="2"/>
  <c r="ALF92" i="2"/>
  <c r="AKQ92" i="2"/>
  <c r="ALU91" i="2"/>
  <c r="ALF91" i="2"/>
  <c r="AKQ91" i="2"/>
  <c r="ALU90" i="2"/>
  <c r="ALF90" i="2"/>
  <c r="AKQ90" i="2"/>
  <c r="ALU89" i="2"/>
  <c r="ALF89" i="2"/>
  <c r="AKQ89" i="2"/>
  <c r="ALU88" i="2"/>
  <c r="ALF88" i="2"/>
  <c r="AKQ88" i="2"/>
  <c r="ALU84" i="2"/>
  <c r="ALF84" i="2"/>
  <c r="AKQ84" i="2"/>
  <c r="ALU83" i="2"/>
  <c r="ALF83" i="2"/>
  <c r="AKQ83" i="2"/>
  <c r="ALU82" i="2"/>
  <c r="ALF82" i="2"/>
  <c r="AKQ82" i="2"/>
  <c r="ALU81" i="2"/>
  <c r="ALF81" i="2"/>
  <c r="AKQ81" i="2"/>
  <c r="ALU78" i="2"/>
  <c r="ALF78" i="2"/>
  <c r="AKQ78" i="2"/>
  <c r="ALU66" i="2"/>
  <c r="ALV66" i="2" s="1"/>
  <c r="ALF66" i="2"/>
  <c r="ALG66" i="2" s="1"/>
  <c r="ALH66" i="2" s="1"/>
  <c r="ALI66" i="2" s="1"/>
  <c r="ALJ66" i="2" s="1"/>
  <c r="ALK66" i="2" s="1"/>
  <c r="ALL66" i="2" s="1"/>
  <c r="ANC61" i="2"/>
  <c r="AND61" i="2" s="1"/>
  <c r="AMB61" i="2"/>
  <c r="ALV61" i="2"/>
  <c r="ALU61" i="2"/>
  <c r="ALK61" i="2"/>
  <c r="ALL61" i="2" s="1"/>
  <c r="ALJ61" i="2"/>
  <c r="ALI61" i="2"/>
  <c r="ALH61" i="2"/>
  <c r="ALG61" i="2"/>
  <c r="ALF61" i="2"/>
  <c r="AKH61" i="2"/>
  <c r="AJV61" i="2"/>
  <c r="AJW61" i="2" s="1"/>
  <c r="AJM61" i="2"/>
  <c r="ANC60" i="2"/>
  <c r="AND60" i="2" s="1"/>
  <c r="AMA60" i="2"/>
  <c r="AMB60" i="2" s="1"/>
  <c r="ALZ60" i="2"/>
  <c r="ALY60" i="2"/>
  <c r="ALX60" i="2"/>
  <c r="ALW60" i="2"/>
  <c r="ALU60" i="2"/>
  <c r="ALL60" i="2"/>
  <c r="ALF60" i="2"/>
  <c r="AKH60" i="2"/>
  <c r="AJV60" i="2"/>
  <c r="AJW60" i="2" s="1"/>
  <c r="AJM60" i="2"/>
  <c r="AMA59" i="2"/>
  <c r="ALZ59" i="2"/>
  <c r="ALY59" i="2"/>
  <c r="ALX59" i="2"/>
  <c r="ALW59" i="2"/>
  <c r="ALU59" i="2"/>
  <c r="ALF59" i="2"/>
  <c r="AKH59" i="2"/>
  <c r="AJV59" i="2"/>
  <c r="AJW59" i="2" s="1"/>
  <c r="AJM59" i="2"/>
  <c r="ALW57" i="2"/>
  <c r="ALV57" i="2"/>
  <c r="ALU57" i="2"/>
  <c r="ALU85" i="2" s="1"/>
  <c r="ALT57" i="2"/>
  <c r="ALS57" i="2"/>
  <c r="ALR57" i="2"/>
  <c r="ALQ57" i="2"/>
  <c r="ALP57" i="2"/>
  <c r="ALO57" i="2"/>
  <c r="ALN57" i="2"/>
  <c r="ALN164" i="2" s="1"/>
  <c r="ALN163" i="2" s="1"/>
  <c r="ALG57" i="2"/>
  <c r="ALF57" i="2"/>
  <c r="ALF85" i="2" s="1"/>
  <c r="ALE57" i="2"/>
  <c r="ALD57" i="2"/>
  <c r="ALC57" i="2"/>
  <c r="ALB57" i="2"/>
  <c r="ALA57" i="2"/>
  <c r="AKZ57" i="2"/>
  <c r="AKY57" i="2"/>
  <c r="AKY164" i="2" s="1"/>
  <c r="AKQ57" i="2"/>
  <c r="AKQ85" i="2" s="1"/>
  <c r="AKP57" i="2"/>
  <c r="AKO57" i="2"/>
  <c r="AKN57" i="2"/>
  <c r="AKM57" i="2"/>
  <c r="AKL57" i="2"/>
  <c r="AKK57" i="2"/>
  <c r="AKJ57" i="2"/>
  <c r="AMN9" i="2"/>
  <c r="AMO9" i="2" s="1"/>
  <c r="AMP9" i="2" s="1"/>
  <c r="AMQ9" i="2" s="1"/>
  <c r="AMR9" i="2" s="1"/>
  <c r="AMS9" i="2" s="1"/>
  <c r="AMT9" i="2" s="1"/>
  <c r="AMU9" i="2" s="1"/>
  <c r="AMV9" i="2" s="1"/>
  <c r="AMW9" i="2" s="1"/>
  <c r="AMX9" i="2" s="1"/>
  <c r="AMY9" i="2" s="1"/>
  <c r="ALP9" i="2"/>
  <c r="ALQ9" i="2" s="1"/>
  <c r="ALA9" i="2"/>
  <c r="ALE9" i="2" s="1"/>
  <c r="AKL9" i="2"/>
  <c r="AKK9" i="2" s="1"/>
  <c r="AJZ9" i="2"/>
  <c r="AKA9" i="2" s="1"/>
  <c r="AKB9" i="2" s="1"/>
  <c r="AKC9" i="2" s="1"/>
  <c r="AKD9" i="2" s="1"/>
  <c r="AKE9" i="2" s="1"/>
  <c r="AJP9" i="2"/>
  <c r="AJQ9" i="2" s="1"/>
  <c r="AJR9" i="2" s="1"/>
  <c r="AJS9" i="2" s="1"/>
  <c r="AJW9" i="2" s="1"/>
  <c r="AJV9" i="2" s="1"/>
  <c r="AJU9" i="2" s="1"/>
  <c r="AJT9" i="2" s="1"/>
  <c r="AJH9" i="2"/>
  <c r="AJI9" i="2" s="1"/>
  <c r="AJF197" i="2"/>
  <c r="AJF198" i="2" s="1"/>
  <c r="ALU87" i="2" l="1"/>
  <c r="ALU64" i="2" s="1"/>
  <c r="ALV64" i="2" s="1"/>
  <c r="ALF87" i="2"/>
  <c r="ALF64" i="2" s="1"/>
  <c r="ALG64" i="2" s="1"/>
  <c r="ALH64" i="2" s="1"/>
  <c r="ALI64" i="2" s="1"/>
  <c r="ALJ64" i="2" s="1"/>
  <c r="ALK64" i="2" s="1"/>
  <c r="ALL64" i="2" s="1"/>
  <c r="AKZ9" i="2"/>
  <c r="ALB9" i="2"/>
  <c r="AKQ87" i="2"/>
  <c r="AKQ77" i="2"/>
  <c r="ALF77" i="2"/>
  <c r="ALF9" i="2"/>
  <c r="ALG9" i="2" s="1"/>
  <c r="ALH9" i="2" s="1"/>
  <c r="ALD9" i="2"/>
  <c r="ALC9" i="2" s="1"/>
  <c r="AND9" i="2"/>
  <c r="ANC9" i="2" s="1"/>
  <c r="ANB9" i="2" s="1"/>
  <c r="AMZ9" i="2"/>
  <c r="ANA9" i="2" s="1"/>
  <c r="ALU77" i="2"/>
  <c r="AKF9" i="2"/>
  <c r="AKH9" i="2"/>
  <c r="AKG9" i="2" s="1"/>
  <c r="AKY163" i="2"/>
  <c r="AJL9" i="2"/>
  <c r="AJJ9" i="2"/>
  <c r="AKP9" i="2"/>
  <c r="AKO9" i="2" s="1"/>
  <c r="AKN9" i="2" s="1"/>
  <c r="AKM9" i="2"/>
  <c r="AKQ9" i="2" s="1"/>
  <c r="ALO9" i="2"/>
  <c r="AKY178" i="2"/>
  <c r="AKY176" i="2" s="1"/>
  <c r="ALN178" i="2"/>
  <c r="ALN176" i="2" s="1"/>
  <c r="ALT9" i="2"/>
  <c r="AJK9" i="2" l="1"/>
  <c r="AJM9" i="2"/>
  <c r="ALL9" i="2"/>
  <c r="ALK9" i="2" s="1"/>
  <c r="ALI9" i="2"/>
  <c r="ALJ9" i="2" s="1"/>
  <c r="ALU9" i="2"/>
  <c r="ALV9" i="2" s="1"/>
  <c r="ALW9" i="2" s="1"/>
  <c r="ALX9" i="2" s="1"/>
  <c r="ALS9" i="2"/>
  <c r="ALR9" i="2" s="1"/>
  <c r="AKR9" i="2"/>
  <c r="AKS9" i="2" s="1"/>
  <c r="AKT9" i="2" s="1"/>
  <c r="AKU9" i="2"/>
  <c r="AKV9" i="2" s="1"/>
  <c r="AKW9" i="2" s="1"/>
  <c r="ALY9" i="2" l="1"/>
  <c r="AMB9" i="2"/>
  <c r="AMA9" i="2" s="1"/>
  <c r="ALZ9" i="2" s="1"/>
  <c r="AJE197" i="2" l="1"/>
  <c r="AJE198" i="2" s="1"/>
  <c r="AJD197" i="2"/>
  <c r="AJD198" i="2" s="1"/>
  <c r="AJC197" i="2"/>
  <c r="AJC198" i="2" s="1"/>
  <c r="AJB197" i="2"/>
  <c r="AJB198" i="2" s="1"/>
  <c r="AJA197" i="2"/>
  <c r="AJA198" i="2" s="1"/>
  <c r="AIZ197" i="2"/>
  <c r="AIZ198" i="2" s="1"/>
  <c r="AIY197" i="2"/>
  <c r="AIY198" i="2" s="1"/>
  <c r="AIX197" i="2"/>
  <c r="AIX198" i="2" s="1"/>
  <c r="AIW197" i="2"/>
  <c r="AIW198" i="2" s="1"/>
  <c r="AIV197" i="2"/>
  <c r="AIV198" i="2" s="1"/>
  <c r="AIU197" i="2"/>
  <c r="AIU198" i="2" s="1"/>
  <c r="AIT197" i="2"/>
  <c r="AIT198" i="2" s="1"/>
  <c r="AIS197" i="2"/>
  <c r="AIS198" i="2" s="1"/>
  <c r="AIR197" i="2"/>
  <c r="AIR198" i="2" s="1"/>
  <c r="AIQ197" i="2"/>
  <c r="AIQ198" i="2" s="1"/>
  <c r="AIP197" i="2"/>
  <c r="AIP198" i="2" s="1"/>
  <c r="AIO197" i="2"/>
  <c r="AIO198" i="2" s="1"/>
  <c r="AIN197" i="2"/>
  <c r="AIN198" i="2" s="1"/>
  <c r="AIM197" i="2"/>
  <c r="AIM198" i="2" s="1"/>
  <c r="AIL197" i="2"/>
  <c r="AIL198" i="2" s="1"/>
  <c r="AIK197" i="2"/>
  <c r="AIK198" i="2" s="1"/>
  <c r="AIJ197" i="2"/>
  <c r="AIJ198" i="2" s="1"/>
  <c r="AII197" i="2"/>
  <c r="AII198" i="2" s="1"/>
  <c r="AIH197" i="2"/>
  <c r="AIH198" i="2" s="1"/>
  <c r="AIG197" i="2"/>
  <c r="AIG198" i="2" s="1"/>
  <c r="AIF197" i="2"/>
  <c r="AIF198" i="2" s="1"/>
  <c r="AIE197" i="2"/>
  <c r="AIE198" i="2" s="1"/>
  <c r="AID197" i="2"/>
  <c r="AID198" i="2" s="1"/>
  <c r="AIC197" i="2"/>
  <c r="AIC198" i="2" s="1"/>
  <c r="AIB197" i="2"/>
  <c r="AIB198" i="2" s="1"/>
  <c r="AIA197" i="2"/>
  <c r="AIA198" i="2" s="1"/>
  <c r="AHZ197" i="2"/>
  <c r="AHZ198" i="2" s="1"/>
  <c r="AHY197" i="2"/>
  <c r="AHY198" i="2" s="1"/>
  <c r="AHX197" i="2"/>
  <c r="AHX198" i="2" s="1"/>
  <c r="AHW197" i="2"/>
  <c r="AHW198" i="2" s="1"/>
  <c r="AHV197" i="2"/>
  <c r="AHV198" i="2" s="1"/>
  <c r="AHU197" i="2"/>
  <c r="AHU198" i="2" s="1"/>
  <c r="AHT197" i="2"/>
  <c r="AHT198" i="2" s="1"/>
  <c r="AHS197" i="2"/>
  <c r="AHS198" i="2" s="1"/>
  <c r="AHR197" i="2"/>
  <c r="AHR198" i="2" s="1"/>
  <c r="AHQ197" i="2"/>
  <c r="AHQ198" i="2" s="1"/>
  <c r="AHP197" i="2"/>
  <c r="AHP198" i="2" s="1"/>
  <c r="AHO197" i="2"/>
  <c r="AHO198" i="2" s="1"/>
  <c r="AHN197" i="2"/>
  <c r="AHN198" i="2" s="1"/>
  <c r="AHM197" i="2"/>
  <c r="AHM198" i="2" s="1"/>
  <c r="AHL197" i="2"/>
  <c r="AHL198" i="2" s="1"/>
  <c r="AHK197" i="2"/>
  <c r="AHK198" i="2" s="1"/>
  <c r="AHJ197" i="2"/>
  <c r="AHJ198" i="2" s="1"/>
  <c r="AHI197" i="2"/>
  <c r="AHI198" i="2" s="1"/>
  <c r="AHH197" i="2"/>
  <c r="AHH198" i="2" s="1"/>
  <c r="AHG197" i="2"/>
  <c r="AHG198" i="2" s="1"/>
  <c r="AHF197" i="2"/>
  <c r="AHF198" i="2" s="1"/>
  <c r="AHE197" i="2"/>
  <c r="AHE198" i="2" s="1"/>
  <c r="AHD197" i="2"/>
  <c r="AHD198" i="2" s="1"/>
  <c r="AHC197" i="2"/>
  <c r="AHC198" i="2" s="1"/>
  <c r="AHB197" i="2"/>
  <c r="AHB198" i="2" s="1"/>
  <c r="AHA197" i="2"/>
  <c r="AHA198" i="2" s="1"/>
  <c r="AGZ197" i="2"/>
  <c r="AGZ198" i="2" s="1"/>
  <c r="AGY197" i="2"/>
  <c r="AGY198" i="2" s="1"/>
  <c r="AGX197" i="2"/>
  <c r="AGX198" i="2" s="1"/>
  <c r="AGW197" i="2"/>
  <c r="AGW198" i="2" s="1"/>
  <c r="AGV197" i="2"/>
  <c r="AGV198" i="2" s="1"/>
  <c r="AGU197" i="2"/>
  <c r="AGU198" i="2" s="1"/>
  <c r="AGT197" i="2"/>
  <c r="AGT198" i="2" s="1"/>
  <c r="AGS197" i="2"/>
  <c r="AGS198" i="2" s="1"/>
  <c r="AGR197" i="2"/>
  <c r="AGR198" i="2" s="1"/>
  <c r="AGQ197" i="2"/>
  <c r="AGQ198" i="2" s="1"/>
  <c r="AGP197" i="2"/>
  <c r="AGP198" i="2" s="1"/>
  <c r="AGO197" i="2"/>
  <c r="AGO198" i="2" s="1"/>
  <c r="AGN197" i="2"/>
  <c r="AGN198" i="2" s="1"/>
  <c r="AGM197" i="2"/>
  <c r="AGM198" i="2" s="1"/>
  <c r="AGL197" i="2"/>
  <c r="AGL198" i="2" s="1"/>
  <c r="AGK197" i="2"/>
  <c r="AGK198" i="2" s="1"/>
  <c r="AGJ197" i="2"/>
  <c r="AGJ198" i="2" s="1"/>
  <c r="AGI197" i="2"/>
  <c r="AGI198" i="2" s="1"/>
  <c r="AGH197" i="2"/>
  <c r="AGH198" i="2" s="1"/>
  <c r="AGG197" i="2"/>
  <c r="AGG198" i="2" s="1"/>
  <c r="AGF197" i="2"/>
  <c r="AGF198" i="2" s="1"/>
  <c r="AGE197" i="2"/>
  <c r="AGE198" i="2" s="1"/>
  <c r="AGD197" i="2"/>
  <c r="AGD198" i="2" s="1"/>
  <c r="AGC197" i="2"/>
  <c r="AGC198" i="2" s="1"/>
  <c r="AGB197" i="2"/>
  <c r="AGB198" i="2" s="1"/>
  <c r="AGA197" i="2"/>
  <c r="AGA198" i="2" s="1"/>
  <c r="AFZ197" i="2"/>
  <c r="AFZ198" i="2" s="1"/>
  <c r="AFY197" i="2"/>
  <c r="AFY198" i="2" s="1"/>
  <c r="AFX197" i="2"/>
  <c r="AFX198" i="2" s="1"/>
  <c r="AFW197" i="2"/>
  <c r="AFW198" i="2" s="1"/>
  <c r="AFV197" i="2"/>
  <c r="AFV198" i="2" s="1"/>
  <c r="AFU197" i="2"/>
  <c r="AFU198" i="2" s="1"/>
  <c r="AFT197" i="2"/>
  <c r="AFT198" i="2" s="1"/>
  <c r="AFS197" i="2"/>
  <c r="AFS198" i="2" s="1"/>
  <c r="AFR197" i="2"/>
  <c r="AFR198" i="2" s="1"/>
  <c r="AFQ197" i="2"/>
  <c r="AFQ198" i="2" s="1"/>
  <c r="AFP197" i="2"/>
  <c r="AFP198" i="2" s="1"/>
  <c r="AFO197" i="2"/>
  <c r="AFO198" i="2" s="1"/>
  <c r="AFN197" i="2"/>
  <c r="AFN198" i="2" s="1"/>
  <c r="AFM197" i="2"/>
  <c r="AFM198" i="2" s="1"/>
  <c r="AFL197" i="2"/>
  <c r="AFL198" i="2" s="1"/>
  <c r="AFK197" i="2"/>
  <c r="AFK198" i="2" s="1"/>
  <c r="AFJ197" i="2"/>
  <c r="AFJ198" i="2" s="1"/>
  <c r="AFI197" i="2"/>
  <c r="AFI198" i="2" s="1"/>
  <c r="AFH197" i="2"/>
  <c r="AFH198" i="2" s="1"/>
  <c r="AFG197" i="2"/>
  <c r="AFG198" i="2" s="1"/>
  <c r="AFF197" i="2"/>
  <c r="AFF198" i="2" s="1"/>
  <c r="AFE197" i="2"/>
  <c r="AFE198" i="2" s="1"/>
  <c r="AFD197" i="2"/>
  <c r="AFD198" i="2" s="1"/>
  <c r="AFC197" i="2"/>
  <c r="AFC198" i="2" s="1"/>
  <c r="AFB197" i="2"/>
  <c r="AFB198" i="2" s="1"/>
  <c r="AFA197" i="2"/>
  <c r="AFA198" i="2" s="1"/>
  <c r="AEZ197" i="2"/>
  <c r="AEZ198" i="2" s="1"/>
  <c r="AEY197" i="2"/>
  <c r="AEY198" i="2" s="1"/>
  <c r="AEX197" i="2"/>
  <c r="AEX198" i="2" s="1"/>
  <c r="AEW197" i="2"/>
  <c r="AEW198" i="2" s="1"/>
  <c r="AEV197" i="2"/>
  <c r="AEV198" i="2" s="1"/>
  <c r="AEU197" i="2"/>
  <c r="AEU198" i="2" s="1"/>
  <c r="AET197" i="2"/>
  <c r="AET198" i="2" s="1"/>
  <c r="AES197" i="2"/>
  <c r="AES198" i="2" s="1"/>
  <c r="AER197" i="2"/>
  <c r="AER198" i="2" s="1"/>
  <c r="AEQ197" i="2"/>
  <c r="AEQ198" i="2" s="1"/>
  <c r="AEP197" i="2"/>
  <c r="AEP198" i="2" s="1"/>
  <c r="AEO197" i="2"/>
  <c r="AEO198" i="2" s="1"/>
  <c r="AEN197" i="2"/>
  <c r="AEN198" i="2" s="1"/>
  <c r="AEM197" i="2"/>
  <c r="AEM198" i="2" s="1"/>
  <c r="AEL197" i="2"/>
  <c r="AEL198" i="2" s="1"/>
  <c r="AEK197" i="2"/>
  <c r="AEK198" i="2" s="1"/>
  <c r="AEJ197" i="2"/>
  <c r="AEJ198" i="2" s="1"/>
  <c r="AEI197" i="2"/>
  <c r="AEI198" i="2" s="1"/>
  <c r="AEH197" i="2"/>
  <c r="AEH198" i="2" s="1"/>
  <c r="AEG197" i="2"/>
  <c r="AEG198" i="2" s="1"/>
  <c r="AEF197" i="2"/>
  <c r="AEF198" i="2" s="1"/>
  <c r="AEE197" i="2"/>
  <c r="AEE198" i="2" s="1"/>
  <c r="AED197" i="2"/>
  <c r="AED198" i="2" s="1"/>
  <c r="AEC197" i="2"/>
  <c r="AEC198" i="2" s="1"/>
  <c r="AEB197" i="2"/>
  <c r="AEB198" i="2" s="1"/>
  <c r="AEA197" i="2"/>
  <c r="AEA198" i="2" s="1"/>
  <c r="ADZ197" i="2"/>
  <c r="ADZ198" i="2" s="1"/>
  <c r="ADY197" i="2"/>
  <c r="ADY198" i="2" s="1"/>
  <c r="ADX197" i="2"/>
  <c r="ADX198" i="2" s="1"/>
  <c r="ADW197" i="2"/>
  <c r="ADW198" i="2" s="1"/>
  <c r="ADV197" i="2"/>
  <c r="ADV198" i="2" s="1"/>
  <c r="ADU197" i="2"/>
  <c r="ADU198" i="2" s="1"/>
  <c r="ADT197" i="2"/>
  <c r="ADT198" i="2" s="1"/>
  <c r="ADS197" i="2"/>
  <c r="ADS198" i="2" s="1"/>
  <c r="ADR197" i="2"/>
  <c r="ADR198" i="2" s="1"/>
  <c r="ADQ197" i="2"/>
  <c r="ADQ198" i="2" s="1"/>
  <c r="ADP197" i="2"/>
  <c r="ADP198" i="2" s="1"/>
  <c r="ADO197" i="2"/>
  <c r="ADO198" i="2" s="1"/>
  <c r="ADN197" i="2"/>
  <c r="ADN198" i="2" s="1"/>
  <c r="ADM197" i="2"/>
  <c r="ADM198" i="2" s="1"/>
  <c r="ADL197" i="2"/>
  <c r="ADL198" i="2" s="1"/>
  <c r="ADK197" i="2"/>
  <c r="ADK198" i="2" s="1"/>
  <c r="ADJ197" i="2"/>
  <c r="ADJ198" i="2" s="1"/>
  <c r="ADI197" i="2"/>
  <c r="ADI198" i="2" s="1"/>
  <c r="ADH197" i="2"/>
  <c r="ADH198" i="2" s="1"/>
  <c r="ADG197" i="2"/>
  <c r="ADG198" i="2" s="1"/>
  <c r="ADF197" i="2"/>
  <c r="ADF198" i="2" s="1"/>
  <c r="ADE197" i="2"/>
  <c r="ADE198" i="2" s="1"/>
  <c r="ADD197" i="2"/>
  <c r="ADD198" i="2" s="1"/>
  <c r="ADC197" i="2"/>
  <c r="ADC198" i="2" s="1"/>
  <c r="ADB197" i="2"/>
  <c r="ADB198" i="2" s="1"/>
  <c r="ADA197" i="2"/>
  <c r="ADA198" i="2" s="1"/>
  <c r="ACZ197" i="2"/>
  <c r="ACZ198" i="2" s="1"/>
  <c r="ACY197" i="2"/>
  <c r="ACY198" i="2" s="1"/>
  <c r="ACX197" i="2"/>
  <c r="ACX198" i="2" s="1"/>
  <c r="ACW197" i="2"/>
  <c r="ACW198" i="2" s="1"/>
  <c r="ACV197" i="2"/>
  <c r="ACV198" i="2" s="1"/>
  <c r="ACU197" i="2"/>
  <c r="ACU198" i="2" s="1"/>
  <c r="ACT197" i="2"/>
  <c r="ACT198" i="2" s="1"/>
  <c r="ACS197" i="2"/>
  <c r="ACS198" i="2" s="1"/>
  <c r="ACR197" i="2"/>
  <c r="ACR198" i="2" s="1"/>
  <c r="ACQ197" i="2"/>
  <c r="ACQ198" i="2" s="1"/>
  <c r="ACP197" i="2"/>
  <c r="ACP198" i="2" s="1"/>
  <c r="ACO197" i="2"/>
  <c r="ACO198" i="2" s="1"/>
  <c r="ACN197" i="2"/>
  <c r="ACN198" i="2" s="1"/>
  <c r="ACM197" i="2"/>
  <c r="ACM198" i="2" s="1"/>
  <c r="ACL197" i="2"/>
  <c r="ACL198" i="2" s="1"/>
  <c r="ACK197" i="2"/>
  <c r="ACK198" i="2" s="1"/>
  <c r="ACJ197" i="2"/>
  <c r="ACJ198" i="2" s="1"/>
  <c r="ACI197" i="2"/>
  <c r="ACI198" i="2" s="1"/>
  <c r="ACH197" i="2"/>
  <c r="ACH198" i="2" s="1"/>
  <c r="ACG197" i="2"/>
  <c r="ACG198" i="2" s="1"/>
  <c r="ACF197" i="2"/>
  <c r="ACF198" i="2" s="1"/>
  <c r="ACE197" i="2"/>
  <c r="ACE198" i="2" s="1"/>
  <c r="ACD197" i="2"/>
  <c r="ACD198" i="2" s="1"/>
  <c r="ACC197" i="2"/>
  <c r="ACC198" i="2" s="1"/>
  <c r="ACB197" i="2"/>
  <c r="ACB198" i="2" s="1"/>
  <c r="ACA197" i="2"/>
  <c r="ACA198" i="2" s="1"/>
  <c r="ABZ197" i="2"/>
  <c r="ABZ198" i="2" s="1"/>
  <c r="ABY197" i="2"/>
  <c r="ABY198" i="2" s="1"/>
  <c r="ABX197" i="2"/>
  <c r="ABX198" i="2" s="1"/>
  <c r="ABW197" i="2"/>
  <c r="ABW198" i="2" s="1"/>
  <c r="ABV197" i="2"/>
  <c r="ABV198" i="2" s="1"/>
  <c r="ABU197" i="2"/>
  <c r="ABU198" i="2" s="1"/>
  <c r="ABT197" i="2"/>
  <c r="ABT198" i="2" s="1"/>
  <c r="ABS197" i="2"/>
  <c r="ABS198" i="2" s="1"/>
  <c r="ABR197" i="2"/>
  <c r="ABR198" i="2" s="1"/>
  <c r="ABQ197" i="2"/>
  <c r="ABQ198" i="2" s="1"/>
  <c r="ABP197" i="2"/>
  <c r="ABP198" i="2" s="1"/>
  <c r="ABO197" i="2"/>
  <c r="ABO198" i="2" s="1"/>
  <c r="ABN197" i="2"/>
  <c r="ABN198" i="2" s="1"/>
  <c r="ABM197" i="2"/>
  <c r="ABM198" i="2" s="1"/>
  <c r="ABL197" i="2"/>
  <c r="ABL198" i="2" s="1"/>
  <c r="ABK197" i="2"/>
  <c r="ABK198" i="2" s="1"/>
  <c r="ABJ197" i="2"/>
  <c r="ABJ198" i="2" s="1"/>
  <c r="ABI197" i="2"/>
  <c r="ABI198" i="2" s="1"/>
  <c r="ABH197" i="2"/>
  <c r="ABH198" i="2" s="1"/>
  <c r="ABG197" i="2"/>
  <c r="ABG198" i="2" s="1"/>
  <c r="ABF197" i="2"/>
  <c r="ABF198" i="2" s="1"/>
  <c r="ABE197" i="2"/>
  <c r="ABE198" i="2" s="1"/>
  <c r="ABD197" i="2"/>
  <c r="ABD198" i="2" s="1"/>
  <c r="ABC197" i="2"/>
  <c r="ABC198" i="2" s="1"/>
  <c r="ABB197" i="2"/>
  <c r="ABB198" i="2" s="1"/>
  <c r="ABA197" i="2"/>
  <c r="ABA198" i="2" s="1"/>
  <c r="AAZ197" i="2"/>
  <c r="AAZ198" i="2" s="1"/>
  <c r="AAY197" i="2"/>
  <c r="AAY198" i="2" s="1"/>
  <c r="AAX197" i="2"/>
  <c r="AAX198" i="2" s="1"/>
  <c r="AAW197" i="2"/>
  <c r="AAW198" i="2" s="1"/>
  <c r="AAV197" i="2"/>
  <c r="AAV198" i="2" s="1"/>
  <c r="AAU197" i="2"/>
  <c r="AAU198" i="2" s="1"/>
  <c r="AAT197" i="2"/>
  <c r="AAT198" i="2" s="1"/>
  <c r="AAS197" i="2"/>
  <c r="AAS198" i="2" s="1"/>
  <c r="AAR197" i="2"/>
  <c r="AAR198" i="2" s="1"/>
  <c r="AAQ197" i="2"/>
  <c r="AAQ198" i="2" s="1"/>
  <c r="AAP197" i="2"/>
  <c r="AAP198" i="2" s="1"/>
  <c r="AAO197" i="2"/>
  <c r="AAO198" i="2" s="1"/>
  <c r="AAN197" i="2"/>
  <c r="AAN198" i="2" s="1"/>
  <c r="AAM197" i="2"/>
  <c r="AAM198" i="2" s="1"/>
  <c r="AAL197" i="2"/>
  <c r="AAL198" i="2" s="1"/>
  <c r="AAK197" i="2"/>
  <c r="AAK198" i="2" s="1"/>
  <c r="AAJ197" i="2"/>
  <c r="AAJ198" i="2" s="1"/>
  <c r="AAI197" i="2"/>
  <c r="AAI198" i="2" s="1"/>
  <c r="AAH197" i="2"/>
  <c r="AAH198" i="2" s="1"/>
  <c r="AAG197" i="2"/>
  <c r="AAG198" i="2" s="1"/>
  <c r="AAF197" i="2"/>
  <c r="AAF198" i="2" s="1"/>
  <c r="AAE197" i="2"/>
  <c r="AAE198" i="2" s="1"/>
  <c r="AAD197" i="2"/>
  <c r="AAD198" i="2" s="1"/>
  <c r="AAC197" i="2"/>
  <c r="AAC198" i="2" s="1"/>
  <c r="AAB197" i="2"/>
  <c r="AAB198" i="2" s="1"/>
  <c r="AAA197" i="2"/>
  <c r="AAA198" i="2" s="1"/>
  <c r="ZZ197" i="2"/>
  <c r="ZZ198" i="2" s="1"/>
  <c r="ZY197" i="2"/>
  <c r="ZY198" i="2" s="1"/>
  <c r="ZX197" i="2"/>
  <c r="ZX198" i="2" s="1"/>
  <c r="ZW197" i="2"/>
  <c r="ZW198" i="2" s="1"/>
  <c r="ZV197" i="2"/>
  <c r="ZV198" i="2" s="1"/>
  <c r="ZU197" i="2"/>
  <c r="ZU198" i="2" s="1"/>
  <c r="ZT197" i="2"/>
  <c r="ZT198" i="2" s="1"/>
  <c r="ZS197" i="2"/>
  <c r="ZS198" i="2" s="1"/>
  <c r="ZR197" i="2"/>
  <c r="ZR198" i="2" s="1"/>
  <c r="ZQ197" i="2"/>
  <c r="ZQ198" i="2" s="1"/>
  <c r="ZP197" i="2"/>
  <c r="ZP198" i="2" s="1"/>
  <c r="ZO197" i="2"/>
  <c r="ZO198" i="2" s="1"/>
  <c r="ZN197" i="2"/>
  <c r="ZN198" i="2" s="1"/>
  <c r="ZM197" i="2"/>
  <c r="ZM198" i="2" s="1"/>
  <c r="ZL197" i="2"/>
  <c r="ZL198" i="2" s="1"/>
  <c r="ZK197" i="2"/>
  <c r="ZK198" i="2" s="1"/>
  <c r="ZJ197" i="2"/>
  <c r="ZJ198" i="2" s="1"/>
  <c r="ZI197" i="2"/>
  <c r="ZI198" i="2" s="1"/>
  <c r="ZH197" i="2"/>
  <c r="ZH198" i="2" s="1"/>
  <c r="ZG197" i="2"/>
  <c r="ZG198" i="2" s="1"/>
  <c r="ZF197" i="2"/>
  <c r="ZF198" i="2" s="1"/>
  <c r="ZE197" i="2"/>
  <c r="ZE198" i="2" s="1"/>
  <c r="ZD197" i="2"/>
  <c r="ZD198" i="2" s="1"/>
  <c r="ZC197" i="2"/>
  <c r="ZC198" i="2" s="1"/>
  <c r="ZB197" i="2"/>
  <c r="ZB198" i="2" s="1"/>
  <c r="ZA197" i="2"/>
  <c r="ZA198" i="2" s="1"/>
  <c r="YZ197" i="2"/>
  <c r="YZ198" i="2" s="1"/>
  <c r="YY197" i="2"/>
  <c r="YY198" i="2" s="1"/>
  <c r="YX197" i="2"/>
  <c r="YX198" i="2" s="1"/>
  <c r="YW197" i="2"/>
  <c r="YW198" i="2" s="1"/>
  <c r="YV197" i="2"/>
  <c r="YV198" i="2" s="1"/>
  <c r="YU197" i="2"/>
  <c r="YU198" i="2" s="1"/>
  <c r="YT197" i="2"/>
  <c r="YT198" i="2" s="1"/>
  <c r="YS197" i="2"/>
  <c r="YS198" i="2" s="1"/>
  <c r="YR197" i="2"/>
  <c r="YR198" i="2" s="1"/>
  <c r="YQ197" i="2"/>
  <c r="YQ198" i="2" s="1"/>
  <c r="YP197" i="2"/>
  <c r="YP198" i="2" s="1"/>
  <c r="YO197" i="2"/>
  <c r="YO198" i="2" s="1"/>
  <c r="YN197" i="2"/>
  <c r="YN198" i="2" s="1"/>
  <c r="YM197" i="2"/>
  <c r="YM198" i="2" s="1"/>
  <c r="YL197" i="2"/>
  <c r="YL198" i="2" s="1"/>
  <c r="YK197" i="2"/>
  <c r="YK198" i="2" s="1"/>
  <c r="YJ197" i="2"/>
  <c r="YJ198" i="2" s="1"/>
  <c r="YI197" i="2"/>
  <c r="YI198" i="2" s="1"/>
  <c r="YH197" i="2"/>
  <c r="YH198" i="2" s="1"/>
  <c r="YG197" i="2"/>
  <c r="YG198" i="2" s="1"/>
  <c r="YF197" i="2"/>
  <c r="YF198" i="2" s="1"/>
  <c r="YE197" i="2"/>
  <c r="YE198" i="2" s="1"/>
  <c r="YD197" i="2"/>
  <c r="YD198" i="2" s="1"/>
  <c r="YC197" i="2"/>
  <c r="YC198" i="2" s="1"/>
  <c r="YB197" i="2"/>
  <c r="YB198" i="2" s="1"/>
  <c r="YA197" i="2"/>
  <c r="YA198" i="2" s="1"/>
  <c r="XZ197" i="2"/>
  <c r="XZ198" i="2" s="1"/>
  <c r="XY197" i="2"/>
  <c r="XY198" i="2" s="1"/>
  <c r="XX197" i="2"/>
  <c r="XX198" i="2" s="1"/>
  <c r="XW197" i="2"/>
  <c r="XW198" i="2" s="1"/>
  <c r="XV197" i="2"/>
  <c r="XV198" i="2" s="1"/>
  <c r="XU197" i="2"/>
  <c r="XU198" i="2" s="1"/>
  <c r="XT197" i="2"/>
  <c r="XT198" i="2" s="1"/>
  <c r="XS197" i="2"/>
  <c r="XS198" i="2" s="1"/>
  <c r="XR197" i="2"/>
  <c r="XR198" i="2" s="1"/>
  <c r="XQ197" i="2"/>
  <c r="XQ198" i="2" s="1"/>
  <c r="XP197" i="2"/>
  <c r="XP198" i="2" s="1"/>
  <c r="XO197" i="2"/>
  <c r="XO198" i="2" s="1"/>
  <c r="XN197" i="2"/>
  <c r="XN198" i="2" s="1"/>
  <c r="XM197" i="2"/>
  <c r="XM198" i="2" s="1"/>
  <c r="XL197" i="2"/>
  <c r="XL198" i="2" s="1"/>
  <c r="XK197" i="2"/>
  <c r="XK198" i="2" s="1"/>
  <c r="XJ197" i="2"/>
  <c r="XJ198" i="2" s="1"/>
  <c r="XI197" i="2"/>
  <c r="XI198" i="2" s="1"/>
  <c r="XH197" i="2"/>
  <c r="XH198" i="2" s="1"/>
  <c r="XG197" i="2"/>
  <c r="XG198" i="2" s="1"/>
  <c r="XF197" i="2"/>
  <c r="XF198" i="2" s="1"/>
  <c r="XE197" i="2"/>
  <c r="XE198" i="2" s="1"/>
  <c r="XD197" i="2"/>
  <c r="XD198" i="2" s="1"/>
  <c r="XC197" i="2"/>
  <c r="XC198" i="2" s="1"/>
  <c r="XB197" i="2"/>
  <c r="XB198" i="2" s="1"/>
  <c r="XA197" i="2"/>
  <c r="XA198" i="2" s="1"/>
  <c r="WZ197" i="2"/>
  <c r="WZ198" i="2" s="1"/>
  <c r="WY197" i="2"/>
  <c r="WY198" i="2" s="1"/>
  <c r="WX197" i="2"/>
  <c r="WX198" i="2" s="1"/>
  <c r="WW197" i="2"/>
  <c r="WW198" i="2" s="1"/>
  <c r="WV197" i="2"/>
  <c r="WV198" i="2" s="1"/>
  <c r="WU197" i="2"/>
  <c r="WU198" i="2" s="1"/>
  <c r="WT197" i="2"/>
  <c r="WT198" i="2" s="1"/>
  <c r="WS197" i="2"/>
  <c r="WS198" i="2" s="1"/>
  <c r="WR197" i="2"/>
  <c r="WR198" i="2" s="1"/>
  <c r="WQ197" i="2"/>
  <c r="WQ198" i="2" s="1"/>
  <c r="WP197" i="2"/>
  <c r="WP198" i="2" s="1"/>
  <c r="WO197" i="2"/>
  <c r="WO198" i="2" s="1"/>
  <c r="WN197" i="2"/>
  <c r="WN198" i="2" s="1"/>
  <c r="WM197" i="2"/>
  <c r="WM198" i="2" s="1"/>
  <c r="WL197" i="2"/>
  <c r="WL198" i="2" s="1"/>
  <c r="WK197" i="2"/>
  <c r="WK198" i="2" s="1"/>
  <c r="WJ197" i="2"/>
  <c r="WJ198" i="2" s="1"/>
  <c r="WI197" i="2"/>
  <c r="WI198" i="2" s="1"/>
  <c r="WH197" i="2"/>
  <c r="WH198" i="2" s="1"/>
  <c r="WG197" i="2"/>
  <c r="WG198" i="2" s="1"/>
  <c r="WF197" i="2"/>
  <c r="WF198" i="2" s="1"/>
  <c r="WE197" i="2"/>
  <c r="WE198" i="2" s="1"/>
  <c r="WD197" i="2"/>
  <c r="WD198" i="2" s="1"/>
  <c r="WC197" i="2"/>
  <c r="WC198" i="2" s="1"/>
  <c r="WB197" i="2"/>
  <c r="WB198" i="2" s="1"/>
  <c r="WA197" i="2"/>
  <c r="WA198" i="2" s="1"/>
  <c r="VZ197" i="2"/>
  <c r="VZ198" i="2" s="1"/>
  <c r="VY197" i="2"/>
  <c r="VY198" i="2" s="1"/>
  <c r="VX197" i="2"/>
  <c r="VX198" i="2" s="1"/>
  <c r="VW197" i="2"/>
  <c r="VW198" i="2" s="1"/>
  <c r="VV197" i="2"/>
  <c r="VV198" i="2" s="1"/>
  <c r="VU197" i="2"/>
  <c r="VU198" i="2" s="1"/>
  <c r="VT197" i="2"/>
  <c r="VT198" i="2" s="1"/>
  <c r="VS197" i="2"/>
  <c r="VS198" i="2" s="1"/>
  <c r="VR197" i="2"/>
  <c r="VR198" i="2" s="1"/>
  <c r="VQ197" i="2"/>
  <c r="VQ198" i="2" s="1"/>
  <c r="VP197" i="2"/>
  <c r="VP198" i="2" s="1"/>
  <c r="VO197" i="2"/>
  <c r="VO198" i="2" s="1"/>
  <c r="VN197" i="2"/>
  <c r="VN198" i="2" s="1"/>
  <c r="VM197" i="2"/>
  <c r="VM198" i="2" s="1"/>
  <c r="VL197" i="2"/>
  <c r="VL198" i="2" s="1"/>
  <c r="VK197" i="2"/>
  <c r="VK198" i="2" s="1"/>
  <c r="VJ197" i="2"/>
  <c r="VJ198" i="2" s="1"/>
  <c r="VI197" i="2"/>
  <c r="VI198" i="2" s="1"/>
  <c r="VH197" i="2"/>
  <c r="VH198" i="2" s="1"/>
  <c r="VG197" i="2"/>
  <c r="VG198" i="2" s="1"/>
  <c r="VF197" i="2"/>
  <c r="VF198" i="2" s="1"/>
  <c r="VE197" i="2"/>
  <c r="VE198" i="2" s="1"/>
  <c r="VD197" i="2"/>
  <c r="VD198" i="2" s="1"/>
  <c r="VC197" i="2"/>
  <c r="VC198" i="2" s="1"/>
  <c r="VB197" i="2"/>
  <c r="VB198" i="2" s="1"/>
  <c r="VA197" i="2"/>
  <c r="VA198" i="2" s="1"/>
  <c r="UZ197" i="2"/>
  <c r="UZ198" i="2" s="1"/>
  <c r="UY197" i="2"/>
  <c r="UY198" i="2" s="1"/>
  <c r="UX197" i="2"/>
  <c r="UX198" i="2" s="1"/>
  <c r="UW197" i="2"/>
  <c r="UW198" i="2" s="1"/>
  <c r="UV197" i="2"/>
  <c r="UV198" i="2" s="1"/>
  <c r="UU197" i="2"/>
  <c r="UU198" i="2" s="1"/>
  <c r="UT197" i="2"/>
  <c r="UT198" i="2" s="1"/>
  <c r="US197" i="2"/>
  <c r="US198" i="2" s="1"/>
  <c r="UR197" i="2"/>
  <c r="UR198" i="2" s="1"/>
  <c r="UQ197" i="2"/>
  <c r="UQ198" i="2" s="1"/>
  <c r="UP197" i="2"/>
  <c r="UP198" i="2" s="1"/>
  <c r="UO197" i="2"/>
  <c r="UO198" i="2" s="1"/>
  <c r="UN197" i="2"/>
  <c r="UN198" i="2" s="1"/>
  <c r="UM197" i="2"/>
  <c r="UM198" i="2" s="1"/>
  <c r="UL197" i="2"/>
  <c r="UL198" i="2" s="1"/>
  <c r="UK197" i="2"/>
  <c r="UK198" i="2" s="1"/>
  <c r="UJ197" i="2"/>
  <c r="UJ198" i="2" s="1"/>
  <c r="UI197" i="2"/>
  <c r="UI198" i="2" s="1"/>
  <c r="UH197" i="2"/>
  <c r="UH198" i="2" s="1"/>
  <c r="UG197" i="2"/>
  <c r="UG198" i="2" s="1"/>
  <c r="UF197" i="2"/>
  <c r="UF198" i="2" s="1"/>
  <c r="UE197" i="2"/>
  <c r="UE198" i="2" s="1"/>
  <c r="UD197" i="2"/>
  <c r="UD198" i="2" s="1"/>
  <c r="UC197" i="2"/>
  <c r="UC198" i="2" s="1"/>
  <c r="UB197" i="2"/>
  <c r="UB198" i="2" s="1"/>
  <c r="UA197" i="2"/>
  <c r="UA198" i="2" s="1"/>
  <c r="TZ197" i="2"/>
  <c r="TZ198" i="2" s="1"/>
  <c r="TY197" i="2"/>
  <c r="TY198" i="2" s="1"/>
  <c r="TX197" i="2"/>
  <c r="TX198" i="2" s="1"/>
  <c r="TW197" i="2"/>
  <c r="TW198" i="2" s="1"/>
  <c r="TV197" i="2"/>
  <c r="TV198" i="2" s="1"/>
  <c r="TU197" i="2"/>
  <c r="TU198" i="2" s="1"/>
  <c r="TT197" i="2"/>
  <c r="TT198" i="2" s="1"/>
  <c r="TS197" i="2"/>
  <c r="TS198" i="2" s="1"/>
  <c r="TR197" i="2"/>
  <c r="TR198" i="2" s="1"/>
  <c r="TQ197" i="2"/>
  <c r="TQ198" i="2" s="1"/>
  <c r="TP197" i="2"/>
  <c r="TP198" i="2" s="1"/>
  <c r="TO197" i="2"/>
  <c r="TO198" i="2" s="1"/>
  <c r="TN197" i="2"/>
  <c r="TN198" i="2" s="1"/>
  <c r="TM197" i="2"/>
  <c r="TM198" i="2" s="1"/>
  <c r="TL197" i="2"/>
  <c r="TL198" i="2" s="1"/>
  <c r="TK197" i="2"/>
  <c r="TK198" i="2" s="1"/>
  <c r="TJ197" i="2"/>
  <c r="TJ198" i="2" s="1"/>
  <c r="TI197" i="2"/>
  <c r="TI198" i="2" s="1"/>
  <c r="TH197" i="2"/>
  <c r="TH198" i="2" s="1"/>
  <c r="TG197" i="2"/>
  <c r="TG198" i="2" s="1"/>
  <c r="TF197" i="2"/>
  <c r="TF198" i="2" s="1"/>
  <c r="TE197" i="2"/>
  <c r="TE198" i="2" s="1"/>
  <c r="TD197" i="2"/>
  <c r="TD198" i="2" s="1"/>
  <c r="TC197" i="2"/>
  <c r="TC198" i="2" s="1"/>
  <c r="TB197" i="2"/>
  <c r="TB198" i="2" s="1"/>
  <c r="TA197" i="2"/>
  <c r="TA198" i="2" s="1"/>
  <c r="SZ197" i="2"/>
  <c r="SZ198" i="2" s="1"/>
  <c r="SY197" i="2"/>
  <c r="SY198" i="2" s="1"/>
  <c r="SX197" i="2"/>
  <c r="SX198" i="2" s="1"/>
  <c r="SW197" i="2"/>
  <c r="SW198" i="2" s="1"/>
  <c r="SV197" i="2"/>
  <c r="SV198" i="2" s="1"/>
  <c r="SU197" i="2"/>
  <c r="SU198" i="2" s="1"/>
  <c r="ST197" i="2"/>
  <c r="ST198" i="2" s="1"/>
  <c r="SS197" i="2"/>
  <c r="SS198" i="2" s="1"/>
  <c r="SR197" i="2"/>
  <c r="SR198" i="2" s="1"/>
  <c r="SQ197" i="2"/>
  <c r="SQ198" i="2" s="1"/>
  <c r="SP197" i="2"/>
  <c r="SP198" i="2" s="1"/>
  <c r="SO197" i="2"/>
  <c r="SO198" i="2" s="1"/>
  <c r="SN197" i="2"/>
  <c r="SN198" i="2" s="1"/>
  <c r="SM197" i="2"/>
  <c r="SM198" i="2" s="1"/>
  <c r="SL197" i="2"/>
  <c r="SL198" i="2" s="1"/>
  <c r="SK197" i="2"/>
  <c r="SK198" i="2" s="1"/>
  <c r="SJ197" i="2"/>
  <c r="SJ198" i="2" s="1"/>
  <c r="SI197" i="2"/>
  <c r="SI198" i="2" s="1"/>
  <c r="SH197" i="2"/>
  <c r="SH198" i="2" s="1"/>
  <c r="SG197" i="2"/>
  <c r="SG198" i="2" s="1"/>
  <c r="SF197" i="2"/>
  <c r="SF198" i="2" s="1"/>
  <c r="SE197" i="2"/>
  <c r="SE198" i="2" s="1"/>
  <c r="SD197" i="2"/>
  <c r="SD198" i="2" s="1"/>
  <c r="SC197" i="2"/>
  <c r="SC198" i="2" s="1"/>
  <c r="SB197" i="2"/>
  <c r="SB198" i="2" s="1"/>
  <c r="SA197" i="2"/>
  <c r="SA198" i="2" s="1"/>
  <c r="RZ197" i="2"/>
  <c r="RZ198" i="2" s="1"/>
  <c r="RY197" i="2"/>
  <c r="RY198" i="2" s="1"/>
  <c r="RX197" i="2"/>
  <c r="RX198" i="2" s="1"/>
  <c r="RW197" i="2"/>
  <c r="RW198" i="2" s="1"/>
  <c r="RV197" i="2"/>
  <c r="RV198" i="2" s="1"/>
  <c r="RU197" i="2"/>
  <c r="RU198" i="2" s="1"/>
  <c r="RT197" i="2"/>
  <c r="RT198" i="2" s="1"/>
  <c r="RS197" i="2"/>
  <c r="RS198" i="2" s="1"/>
  <c r="RR197" i="2"/>
  <c r="RR198" i="2" s="1"/>
  <c r="RQ197" i="2"/>
  <c r="RQ198" i="2" s="1"/>
  <c r="RP197" i="2"/>
  <c r="RP198" i="2" s="1"/>
  <c r="RO197" i="2"/>
  <c r="RO198" i="2" s="1"/>
  <c r="RN197" i="2"/>
  <c r="RN198" i="2" s="1"/>
  <c r="RM197" i="2"/>
  <c r="RM198" i="2" s="1"/>
  <c r="RL197" i="2"/>
  <c r="RL198" i="2" s="1"/>
  <c r="RK197" i="2"/>
  <c r="RK198" i="2" s="1"/>
  <c r="RJ197" i="2"/>
  <c r="RJ198" i="2" s="1"/>
  <c r="RI197" i="2"/>
  <c r="RI198" i="2" s="1"/>
  <c r="RH197" i="2"/>
  <c r="RH198" i="2" s="1"/>
  <c r="RG197" i="2"/>
  <c r="RG198" i="2" s="1"/>
  <c r="RF197" i="2"/>
  <c r="RF198" i="2" s="1"/>
  <c r="RE197" i="2"/>
  <c r="RE198" i="2" s="1"/>
  <c r="RD197" i="2"/>
  <c r="RD198" i="2" s="1"/>
  <c r="RC197" i="2"/>
  <c r="RC198" i="2" s="1"/>
  <c r="RB197" i="2"/>
  <c r="RB198" i="2" s="1"/>
  <c r="RA197" i="2"/>
  <c r="RA198" i="2" s="1"/>
  <c r="QZ197" i="2"/>
  <c r="QZ198" i="2" s="1"/>
  <c r="QY197" i="2"/>
  <c r="QY198" i="2" s="1"/>
  <c r="QX197" i="2"/>
  <c r="QX198" i="2" s="1"/>
  <c r="QW197" i="2"/>
  <c r="QW198" i="2" s="1"/>
  <c r="QV197" i="2"/>
  <c r="QV198" i="2" s="1"/>
  <c r="QU197" i="2"/>
  <c r="QU198" i="2" s="1"/>
  <c r="QT197" i="2"/>
  <c r="QT198" i="2" s="1"/>
  <c r="QS197" i="2"/>
  <c r="QS198" i="2" s="1"/>
  <c r="QR197" i="2"/>
  <c r="QR198" i="2" s="1"/>
  <c r="QQ197" i="2"/>
  <c r="QQ198" i="2" s="1"/>
  <c r="QP197" i="2"/>
  <c r="QP198" i="2" s="1"/>
  <c r="QO197" i="2"/>
  <c r="QO198" i="2" s="1"/>
  <c r="QN197" i="2"/>
  <c r="QN198" i="2" s="1"/>
  <c r="QM197" i="2"/>
  <c r="QM198" i="2" s="1"/>
  <c r="QL197" i="2"/>
  <c r="QL198" i="2" s="1"/>
  <c r="QK197" i="2"/>
  <c r="QK198" i="2" s="1"/>
  <c r="QJ197" i="2"/>
  <c r="QJ198" i="2" s="1"/>
  <c r="QI197" i="2"/>
  <c r="QI198" i="2" s="1"/>
  <c r="QH197" i="2"/>
  <c r="QH198" i="2" s="1"/>
  <c r="QG197" i="2"/>
  <c r="QG198" i="2" s="1"/>
  <c r="QF197" i="2"/>
  <c r="QF198" i="2" s="1"/>
  <c r="QE197" i="2"/>
  <c r="QE198" i="2" s="1"/>
  <c r="QD197" i="2"/>
  <c r="QD198" i="2" s="1"/>
  <c r="QC197" i="2"/>
  <c r="QC198" i="2" s="1"/>
  <c r="QB197" i="2"/>
  <c r="QB198" i="2" s="1"/>
  <c r="QA197" i="2"/>
  <c r="QA198" i="2" s="1"/>
  <c r="PZ197" i="2"/>
  <c r="PZ198" i="2" s="1"/>
  <c r="PY197" i="2"/>
  <c r="PY198" i="2" s="1"/>
  <c r="PX197" i="2"/>
  <c r="PX198" i="2" s="1"/>
  <c r="PW197" i="2"/>
  <c r="PW198" i="2" s="1"/>
  <c r="PV197" i="2"/>
  <c r="PV198" i="2" s="1"/>
  <c r="PU197" i="2"/>
  <c r="PU198" i="2" s="1"/>
  <c r="PT197" i="2"/>
  <c r="PT198" i="2" s="1"/>
  <c r="PS197" i="2"/>
  <c r="PS198" i="2" s="1"/>
  <c r="PR197" i="2"/>
  <c r="PR198" i="2" s="1"/>
  <c r="PQ197" i="2"/>
  <c r="PQ198" i="2" s="1"/>
  <c r="PP197" i="2"/>
  <c r="PP198" i="2" s="1"/>
  <c r="PO197" i="2"/>
  <c r="PO198" i="2" s="1"/>
  <c r="PN197" i="2"/>
  <c r="PN198" i="2" s="1"/>
  <c r="PM197" i="2"/>
  <c r="PM198" i="2" s="1"/>
  <c r="PL197" i="2"/>
  <c r="PL198" i="2" s="1"/>
  <c r="PK197" i="2"/>
  <c r="PK198" i="2" s="1"/>
  <c r="PJ197" i="2"/>
  <c r="PJ198" i="2" s="1"/>
  <c r="PI197" i="2"/>
  <c r="PI198" i="2" s="1"/>
  <c r="PH197" i="2"/>
  <c r="PH198" i="2" s="1"/>
  <c r="PG197" i="2"/>
  <c r="PG198" i="2" s="1"/>
  <c r="PF197" i="2"/>
  <c r="PF198" i="2" s="1"/>
  <c r="PE197" i="2"/>
  <c r="PE198" i="2" s="1"/>
  <c r="PD197" i="2"/>
  <c r="PD198" i="2" s="1"/>
  <c r="PC197" i="2"/>
  <c r="PC198" i="2" s="1"/>
  <c r="PB197" i="2"/>
  <c r="PB198" i="2" s="1"/>
  <c r="PA197" i="2"/>
  <c r="PA198" i="2" s="1"/>
  <c r="OZ197" i="2"/>
  <c r="OZ198" i="2" s="1"/>
  <c r="OY197" i="2"/>
  <c r="OY198" i="2" s="1"/>
  <c r="OX197" i="2"/>
  <c r="OX198" i="2" s="1"/>
  <c r="OW197" i="2"/>
  <c r="OW198" i="2" s="1"/>
  <c r="OV197" i="2"/>
  <c r="OV198" i="2" s="1"/>
  <c r="OU197" i="2"/>
  <c r="OU198" i="2" s="1"/>
  <c r="OT197" i="2"/>
  <c r="OT198" i="2" s="1"/>
  <c r="OS197" i="2"/>
  <c r="OS198" i="2" s="1"/>
  <c r="OR197" i="2"/>
  <c r="OR198" i="2" s="1"/>
  <c r="OQ197" i="2"/>
  <c r="OQ198" i="2" s="1"/>
  <c r="OP197" i="2"/>
  <c r="OP198" i="2" s="1"/>
  <c r="OO197" i="2"/>
  <c r="OO198" i="2" s="1"/>
  <c r="ON197" i="2"/>
  <c r="ON198" i="2" s="1"/>
  <c r="OM197" i="2"/>
  <c r="OM198" i="2" s="1"/>
  <c r="OL197" i="2"/>
  <c r="OL198" i="2" s="1"/>
  <c r="OK197" i="2"/>
  <c r="OK198" i="2" s="1"/>
  <c r="OJ197" i="2"/>
  <c r="OJ198" i="2" s="1"/>
  <c r="OI197" i="2"/>
  <c r="OI198" i="2" s="1"/>
  <c r="OH197" i="2"/>
  <c r="OH198" i="2" s="1"/>
  <c r="OG197" i="2"/>
  <c r="OG198" i="2" s="1"/>
  <c r="OF197" i="2"/>
  <c r="OF198" i="2" s="1"/>
  <c r="OE197" i="2"/>
  <c r="OE198" i="2" s="1"/>
  <c r="OD197" i="2"/>
  <c r="OD198" i="2" s="1"/>
  <c r="OC197" i="2"/>
  <c r="OC198" i="2" s="1"/>
  <c r="OB197" i="2"/>
  <c r="OB198" i="2" s="1"/>
  <c r="OA197" i="2"/>
  <c r="OA198" i="2" s="1"/>
  <c r="NZ197" i="2"/>
  <c r="NZ198" i="2" s="1"/>
  <c r="NY197" i="2"/>
  <c r="NY198" i="2" s="1"/>
  <c r="NX197" i="2"/>
  <c r="NX198" i="2" s="1"/>
  <c r="NW197" i="2"/>
  <c r="NW198" i="2" s="1"/>
  <c r="NV197" i="2"/>
  <c r="NV198" i="2" s="1"/>
  <c r="NU197" i="2"/>
  <c r="NU198" i="2" s="1"/>
  <c r="NT197" i="2"/>
  <c r="NT198" i="2" s="1"/>
  <c r="NS197" i="2"/>
  <c r="NS198" i="2" s="1"/>
  <c r="NR197" i="2"/>
  <c r="NR198" i="2" s="1"/>
  <c r="NQ197" i="2"/>
  <c r="NQ198" i="2" s="1"/>
  <c r="NP197" i="2"/>
  <c r="NP198" i="2" s="1"/>
  <c r="NO197" i="2"/>
  <c r="NO198" i="2" s="1"/>
  <c r="NN197" i="2"/>
  <c r="NN198" i="2" s="1"/>
  <c r="NM197" i="2"/>
  <c r="NM198" i="2" s="1"/>
  <c r="NL197" i="2"/>
  <c r="NL198" i="2" s="1"/>
  <c r="NK197" i="2"/>
  <c r="NK198" i="2" s="1"/>
  <c r="NJ197" i="2"/>
  <c r="NJ198" i="2" s="1"/>
  <c r="NI197" i="2"/>
  <c r="NI198" i="2" s="1"/>
  <c r="NH197" i="2"/>
  <c r="NH198" i="2" s="1"/>
  <c r="NG197" i="2"/>
  <c r="NG198" i="2" s="1"/>
  <c r="NF197" i="2"/>
  <c r="NF198" i="2" s="1"/>
  <c r="NE197" i="2"/>
  <c r="NE198" i="2" s="1"/>
  <c r="ND197" i="2"/>
  <c r="ND198" i="2" s="1"/>
  <c r="NC197" i="2"/>
  <c r="NC198" i="2" s="1"/>
  <c r="NB197" i="2"/>
  <c r="NB198" i="2" s="1"/>
  <c r="NA197" i="2"/>
  <c r="NA198" i="2" s="1"/>
  <c r="MZ197" i="2"/>
  <c r="MZ198" i="2" s="1"/>
  <c r="MY197" i="2"/>
  <c r="MY198" i="2" s="1"/>
  <c r="MX197" i="2"/>
  <c r="MX198" i="2" s="1"/>
  <c r="MW197" i="2"/>
  <c r="MW198" i="2" s="1"/>
  <c r="MV197" i="2"/>
  <c r="MV198" i="2" s="1"/>
  <c r="MU197" i="2"/>
  <c r="MU198" i="2" s="1"/>
  <c r="MT197" i="2"/>
  <c r="MT198" i="2" s="1"/>
  <c r="MS197" i="2"/>
  <c r="MS198" i="2" s="1"/>
  <c r="MR197" i="2"/>
  <c r="MR198" i="2" s="1"/>
  <c r="MQ197" i="2"/>
  <c r="MQ198" i="2" s="1"/>
  <c r="MP197" i="2"/>
  <c r="MP198" i="2" s="1"/>
  <c r="MO197" i="2"/>
  <c r="MO198" i="2" s="1"/>
  <c r="MN197" i="2"/>
  <c r="MN198" i="2" s="1"/>
  <c r="MM197" i="2"/>
  <c r="MM198" i="2" s="1"/>
  <c r="ML197" i="2"/>
  <c r="ML198" i="2" s="1"/>
  <c r="MK197" i="2"/>
  <c r="MK198" i="2" s="1"/>
  <c r="MJ197" i="2"/>
  <c r="MJ198" i="2" s="1"/>
  <c r="MI197" i="2"/>
  <c r="MI198" i="2" s="1"/>
  <c r="MH197" i="2"/>
  <c r="MH198" i="2" s="1"/>
  <c r="MG197" i="2"/>
  <c r="MG198" i="2" s="1"/>
  <c r="MF197" i="2"/>
  <c r="MF198" i="2" s="1"/>
  <c r="ME197" i="2"/>
  <c r="ME198" i="2" s="1"/>
  <c r="MD197" i="2"/>
  <c r="MD198" i="2" s="1"/>
  <c r="MC197" i="2"/>
  <c r="MC198" i="2" s="1"/>
  <c r="MB197" i="2"/>
  <c r="MB198" i="2" s="1"/>
  <c r="MA197" i="2"/>
  <c r="MA198" i="2" s="1"/>
  <c r="LZ197" i="2"/>
  <c r="LZ198" i="2" s="1"/>
  <c r="LY197" i="2"/>
  <c r="LY198" i="2" s="1"/>
  <c r="LX197" i="2"/>
  <c r="LX198" i="2" s="1"/>
  <c r="LW197" i="2"/>
  <c r="LW198" i="2" s="1"/>
  <c r="LV197" i="2"/>
  <c r="LV198" i="2" s="1"/>
  <c r="LU197" i="2"/>
  <c r="LU198" i="2" s="1"/>
  <c r="LT197" i="2"/>
  <c r="LT198" i="2" s="1"/>
  <c r="LS197" i="2"/>
  <c r="LS198" i="2" s="1"/>
  <c r="LR197" i="2"/>
  <c r="LR198" i="2" s="1"/>
  <c r="LQ197" i="2"/>
  <c r="LQ198" i="2" s="1"/>
  <c r="LP197" i="2"/>
  <c r="LP198" i="2" s="1"/>
  <c r="LO197" i="2"/>
  <c r="LO198" i="2" s="1"/>
  <c r="LN197" i="2"/>
  <c r="LN198" i="2" s="1"/>
  <c r="LM197" i="2"/>
  <c r="LM198" i="2" s="1"/>
  <c r="LL197" i="2"/>
  <c r="LL198" i="2" s="1"/>
  <c r="LK197" i="2"/>
  <c r="LK198" i="2" s="1"/>
  <c r="LJ197" i="2"/>
  <c r="LJ198" i="2" s="1"/>
  <c r="LI197" i="2"/>
  <c r="LI198" i="2" s="1"/>
  <c r="LH197" i="2"/>
  <c r="LH198" i="2" s="1"/>
  <c r="LG197" i="2"/>
  <c r="LG198" i="2" s="1"/>
  <c r="LF197" i="2"/>
  <c r="LF198" i="2" s="1"/>
  <c r="LE197" i="2"/>
  <c r="LE198" i="2" s="1"/>
  <c r="LD197" i="2"/>
  <c r="LD198" i="2" s="1"/>
  <c r="LC197" i="2"/>
  <c r="LC198" i="2" s="1"/>
  <c r="LB197" i="2"/>
  <c r="LB198" i="2" s="1"/>
  <c r="LA197" i="2"/>
  <c r="LA198" i="2" s="1"/>
  <c r="KZ197" i="2"/>
  <c r="KZ198" i="2" s="1"/>
  <c r="KY197" i="2"/>
  <c r="KY198" i="2" s="1"/>
  <c r="KX197" i="2"/>
  <c r="KX198" i="2" s="1"/>
  <c r="KW197" i="2"/>
  <c r="KW198" i="2" s="1"/>
  <c r="KV197" i="2"/>
  <c r="KV198" i="2" s="1"/>
  <c r="KU197" i="2"/>
  <c r="KU198" i="2" s="1"/>
  <c r="KT197" i="2"/>
  <c r="KT198" i="2" s="1"/>
  <c r="KS197" i="2"/>
  <c r="KS198" i="2" s="1"/>
  <c r="KR197" i="2"/>
  <c r="KR198" i="2" s="1"/>
  <c r="KQ197" i="2"/>
  <c r="KQ198" i="2" s="1"/>
  <c r="KP197" i="2"/>
  <c r="KP198" i="2" s="1"/>
  <c r="KO197" i="2"/>
  <c r="KO198" i="2" s="1"/>
  <c r="KN197" i="2"/>
  <c r="KN198" i="2" s="1"/>
  <c r="KM197" i="2"/>
  <c r="KM198" i="2" s="1"/>
  <c r="KL197" i="2"/>
  <c r="KL198" i="2" s="1"/>
  <c r="KK197" i="2"/>
  <c r="KK198" i="2" s="1"/>
  <c r="KJ197" i="2"/>
  <c r="KJ198" i="2" s="1"/>
  <c r="KI197" i="2"/>
  <c r="KI198" i="2" s="1"/>
  <c r="KH197" i="2"/>
  <c r="KH198" i="2" s="1"/>
  <c r="KG197" i="2"/>
  <c r="KG198" i="2" s="1"/>
  <c r="KF197" i="2"/>
  <c r="KF198" i="2" s="1"/>
  <c r="KE197" i="2"/>
  <c r="KE198" i="2" s="1"/>
  <c r="KD197" i="2"/>
  <c r="KD198" i="2" s="1"/>
  <c r="KC197" i="2"/>
  <c r="KC198" i="2" s="1"/>
  <c r="KB197" i="2"/>
  <c r="KB198" i="2" s="1"/>
  <c r="KA197" i="2"/>
  <c r="KA198" i="2" s="1"/>
  <c r="JZ197" i="2"/>
  <c r="JZ198" i="2" s="1"/>
  <c r="JY197" i="2"/>
  <c r="JY198" i="2" s="1"/>
  <c r="JX197" i="2"/>
  <c r="JX198" i="2" s="1"/>
  <c r="JW197" i="2"/>
  <c r="JW198" i="2" s="1"/>
  <c r="JV197" i="2"/>
  <c r="JV198" i="2" s="1"/>
  <c r="JU197" i="2"/>
  <c r="JU198" i="2" s="1"/>
  <c r="JT197" i="2"/>
  <c r="JT198" i="2" s="1"/>
  <c r="JS197" i="2"/>
  <c r="JS198" i="2" s="1"/>
  <c r="JR197" i="2"/>
  <c r="JR198" i="2" s="1"/>
  <c r="JQ197" i="2"/>
  <c r="JQ198" i="2" s="1"/>
  <c r="JP197" i="2"/>
  <c r="JP198" i="2" s="1"/>
  <c r="JO197" i="2"/>
  <c r="JO198" i="2" s="1"/>
  <c r="JN197" i="2"/>
  <c r="JN198" i="2" s="1"/>
  <c r="JM197" i="2"/>
  <c r="JM198" i="2" s="1"/>
  <c r="JL197" i="2"/>
  <c r="JL198" i="2" s="1"/>
  <c r="JK197" i="2"/>
  <c r="JK198" i="2" s="1"/>
  <c r="JJ197" i="2"/>
  <c r="JJ198" i="2" s="1"/>
  <c r="JI197" i="2"/>
  <c r="JI198" i="2" s="1"/>
  <c r="JH197" i="2"/>
  <c r="JH198" i="2" s="1"/>
  <c r="JG197" i="2"/>
  <c r="JG198" i="2" s="1"/>
  <c r="JF197" i="2"/>
  <c r="JF198" i="2" s="1"/>
  <c r="JE197" i="2"/>
  <c r="JE198" i="2" s="1"/>
  <c r="JD197" i="2"/>
  <c r="JD198" i="2" s="1"/>
  <c r="JC197" i="2"/>
  <c r="JC198" i="2" s="1"/>
  <c r="JB197" i="2"/>
  <c r="JB198" i="2" s="1"/>
  <c r="JA197" i="2"/>
  <c r="JA198" i="2" s="1"/>
  <c r="IZ197" i="2"/>
  <c r="IZ198" i="2" s="1"/>
  <c r="IY197" i="2"/>
  <c r="IY198" i="2" s="1"/>
  <c r="IX197" i="2"/>
  <c r="IX198" i="2" s="1"/>
  <c r="IW197" i="2"/>
  <c r="IW198" i="2" s="1"/>
  <c r="IV197" i="2"/>
  <c r="IV198" i="2" s="1"/>
  <c r="IU197" i="2"/>
  <c r="IU198" i="2" s="1"/>
  <c r="IT197" i="2"/>
  <c r="IT198" i="2" s="1"/>
  <c r="IS197" i="2"/>
  <c r="IS198" i="2" s="1"/>
  <c r="IR197" i="2"/>
  <c r="IR198" i="2" s="1"/>
  <c r="IQ197" i="2"/>
  <c r="IQ198" i="2" s="1"/>
  <c r="IP197" i="2"/>
  <c r="IP198" i="2" s="1"/>
  <c r="IO197" i="2"/>
  <c r="IO198" i="2" s="1"/>
  <c r="IN197" i="2"/>
  <c r="IN198" i="2" s="1"/>
  <c r="IM197" i="2"/>
  <c r="IM198" i="2" s="1"/>
  <c r="IL197" i="2"/>
  <c r="IL198" i="2" s="1"/>
  <c r="IK197" i="2"/>
  <c r="IK198" i="2" s="1"/>
  <c r="IJ197" i="2"/>
  <c r="IJ198" i="2" s="1"/>
  <c r="II197" i="2"/>
  <c r="II198" i="2" s="1"/>
  <c r="IH197" i="2"/>
  <c r="IH198" i="2" s="1"/>
  <c r="IG197" i="2"/>
  <c r="IG198" i="2" s="1"/>
  <c r="IF197" i="2"/>
  <c r="IF198" i="2" s="1"/>
  <c r="IE197" i="2"/>
  <c r="IE198" i="2" s="1"/>
  <c r="ID197" i="2"/>
  <c r="ID198" i="2" s="1"/>
  <c r="IC197" i="2"/>
  <c r="IC198" i="2" s="1"/>
  <c r="IB197" i="2"/>
  <c r="IB198" i="2" s="1"/>
  <c r="IA197" i="2"/>
  <c r="IA198" i="2" s="1"/>
  <c r="HZ197" i="2"/>
  <c r="HZ198" i="2" s="1"/>
  <c r="HY197" i="2"/>
  <c r="HY198" i="2" s="1"/>
  <c r="HX197" i="2"/>
  <c r="HX198" i="2" s="1"/>
  <c r="HW197" i="2"/>
  <c r="HW198" i="2" s="1"/>
  <c r="HV197" i="2"/>
  <c r="HV198" i="2" s="1"/>
  <c r="HU197" i="2"/>
  <c r="HU198" i="2" s="1"/>
  <c r="HT197" i="2"/>
  <c r="HT198" i="2" s="1"/>
  <c r="HS197" i="2"/>
  <c r="HS198" i="2" s="1"/>
  <c r="HR197" i="2"/>
  <c r="HR198" i="2" s="1"/>
  <c r="HQ197" i="2"/>
  <c r="HQ198" i="2" s="1"/>
  <c r="HP197" i="2"/>
  <c r="HP198" i="2" s="1"/>
  <c r="HO197" i="2"/>
  <c r="HO198" i="2" s="1"/>
  <c r="HN197" i="2"/>
  <c r="HN198" i="2" s="1"/>
  <c r="HM197" i="2"/>
  <c r="HM198" i="2" s="1"/>
  <c r="HL197" i="2"/>
  <c r="HL198" i="2" s="1"/>
  <c r="HK197" i="2"/>
  <c r="HK198" i="2" s="1"/>
  <c r="HJ197" i="2"/>
  <c r="HJ198" i="2" s="1"/>
  <c r="HI197" i="2"/>
  <c r="HI198" i="2" s="1"/>
  <c r="HH197" i="2"/>
  <c r="HH198" i="2" s="1"/>
  <c r="HG197" i="2"/>
  <c r="HG198" i="2" s="1"/>
  <c r="HF197" i="2"/>
  <c r="HF198" i="2" s="1"/>
  <c r="HE197" i="2"/>
  <c r="HE198" i="2" s="1"/>
  <c r="HD197" i="2"/>
  <c r="HD198" i="2" s="1"/>
  <c r="HC197" i="2"/>
  <c r="HC198" i="2" s="1"/>
  <c r="HB197" i="2"/>
  <c r="HB198" i="2" s="1"/>
  <c r="HA197" i="2"/>
  <c r="HA198" i="2" s="1"/>
  <c r="GZ197" i="2"/>
  <c r="GZ198" i="2" s="1"/>
  <c r="GY197" i="2"/>
  <c r="GY198" i="2" s="1"/>
  <c r="GX197" i="2"/>
  <c r="GX198" i="2" s="1"/>
  <c r="GW197" i="2"/>
  <c r="GW198" i="2" s="1"/>
  <c r="GV197" i="2"/>
  <c r="GV198" i="2" s="1"/>
  <c r="GU197" i="2"/>
  <c r="GU198" i="2" s="1"/>
  <c r="GT197" i="2"/>
  <c r="GT198" i="2" s="1"/>
  <c r="GS197" i="2"/>
  <c r="GS198" i="2" s="1"/>
  <c r="GR197" i="2"/>
  <c r="GR198" i="2" s="1"/>
  <c r="GQ197" i="2"/>
  <c r="GQ198" i="2" s="1"/>
  <c r="GP197" i="2"/>
  <c r="GP198" i="2" s="1"/>
  <c r="GO197" i="2"/>
  <c r="GO198" i="2" s="1"/>
  <c r="GN197" i="2"/>
  <c r="GN198" i="2" s="1"/>
  <c r="GM197" i="2"/>
  <c r="GM198" i="2" s="1"/>
  <c r="GL197" i="2"/>
  <c r="GL198" i="2" s="1"/>
  <c r="GK197" i="2"/>
  <c r="GK198" i="2" s="1"/>
  <c r="GJ197" i="2"/>
  <c r="GJ198" i="2" s="1"/>
  <c r="GI197" i="2"/>
  <c r="GI198" i="2" s="1"/>
  <c r="GH197" i="2"/>
  <c r="GH198" i="2" s="1"/>
  <c r="GG197" i="2"/>
  <c r="GG198" i="2" s="1"/>
  <c r="GF197" i="2"/>
  <c r="GF198" i="2" s="1"/>
  <c r="GE197" i="2"/>
  <c r="GE198" i="2" s="1"/>
  <c r="GD197" i="2"/>
  <c r="GD198" i="2" s="1"/>
  <c r="GC197" i="2"/>
  <c r="GC198" i="2" s="1"/>
  <c r="GB197" i="2"/>
  <c r="GB198" i="2" s="1"/>
  <c r="GA197" i="2"/>
  <c r="GA198" i="2" s="1"/>
  <c r="FZ197" i="2"/>
  <c r="FZ198" i="2" s="1"/>
  <c r="FY197" i="2"/>
  <c r="FY198" i="2" s="1"/>
  <c r="FX197" i="2"/>
  <c r="FX198" i="2" s="1"/>
  <c r="FW197" i="2"/>
  <c r="FW198" i="2" s="1"/>
  <c r="FV197" i="2"/>
  <c r="FV198" i="2" s="1"/>
  <c r="FU197" i="2"/>
  <c r="FU198" i="2" s="1"/>
  <c r="FT197" i="2"/>
  <c r="FT198" i="2" s="1"/>
  <c r="FS197" i="2"/>
  <c r="FS198" i="2" s="1"/>
  <c r="FR197" i="2"/>
  <c r="FR198" i="2" s="1"/>
  <c r="FQ197" i="2"/>
  <c r="FQ198" i="2" s="1"/>
  <c r="FP197" i="2"/>
  <c r="FP198" i="2" s="1"/>
  <c r="FO197" i="2"/>
  <c r="FO198" i="2" s="1"/>
  <c r="FN197" i="2"/>
  <c r="FN198" i="2" s="1"/>
  <c r="FM197" i="2"/>
  <c r="FM198" i="2" s="1"/>
  <c r="FL197" i="2"/>
  <c r="FL198" i="2" s="1"/>
  <c r="FK197" i="2"/>
  <c r="FK198" i="2" s="1"/>
  <c r="FJ197" i="2"/>
  <c r="FJ198" i="2" s="1"/>
  <c r="FI197" i="2"/>
  <c r="FI198" i="2" s="1"/>
  <c r="FH197" i="2"/>
  <c r="FH198" i="2" s="1"/>
  <c r="FG197" i="2"/>
  <c r="FG198" i="2" s="1"/>
  <c r="FF197" i="2"/>
  <c r="FF198" i="2" s="1"/>
  <c r="FE197" i="2"/>
  <c r="FE198" i="2" s="1"/>
  <c r="FD197" i="2"/>
  <c r="FD198" i="2" s="1"/>
  <c r="FC197" i="2"/>
  <c r="FC198" i="2" s="1"/>
  <c r="FB197" i="2"/>
  <c r="FB198" i="2" s="1"/>
  <c r="FA197" i="2"/>
  <c r="FA198" i="2" s="1"/>
  <c r="EZ197" i="2"/>
  <c r="EZ198" i="2" s="1"/>
  <c r="EY197" i="2"/>
  <c r="EY198" i="2" s="1"/>
  <c r="EX197" i="2"/>
  <c r="EX198" i="2" s="1"/>
  <c r="EW197" i="2"/>
  <c r="EW198" i="2" s="1"/>
  <c r="EV197" i="2"/>
  <c r="EV198" i="2" s="1"/>
  <c r="EU197" i="2"/>
  <c r="EU198" i="2" s="1"/>
  <c r="ET197" i="2"/>
  <c r="ET198" i="2" s="1"/>
  <c r="ES197" i="2"/>
  <c r="ES198" i="2" s="1"/>
  <c r="ER197" i="2"/>
  <c r="ER198" i="2" s="1"/>
  <c r="EQ197" i="2"/>
  <c r="EQ198" i="2" s="1"/>
  <c r="EP197" i="2"/>
  <c r="EP198" i="2" s="1"/>
  <c r="EO197" i="2"/>
  <c r="EO198" i="2" s="1"/>
  <c r="EN197" i="2"/>
  <c r="EN198" i="2" s="1"/>
  <c r="EM197" i="2"/>
  <c r="EM198" i="2" s="1"/>
  <c r="EL197" i="2"/>
  <c r="EL198" i="2" s="1"/>
  <c r="EK197" i="2"/>
  <c r="EK198" i="2" s="1"/>
  <c r="EJ197" i="2"/>
  <c r="EJ198" i="2" s="1"/>
  <c r="EI197" i="2"/>
  <c r="EI198" i="2" s="1"/>
  <c r="EH197" i="2"/>
  <c r="EH198" i="2" s="1"/>
  <c r="EG197" i="2"/>
  <c r="EG198" i="2" s="1"/>
  <c r="EF197" i="2"/>
  <c r="EF198" i="2" s="1"/>
  <c r="EE197" i="2"/>
  <c r="EE198" i="2" s="1"/>
  <c r="ED197" i="2"/>
  <c r="ED198" i="2" s="1"/>
  <c r="EC197" i="2"/>
  <c r="EC198" i="2" s="1"/>
  <c r="EB197" i="2"/>
  <c r="EB198" i="2" s="1"/>
  <c r="EA197" i="2"/>
  <c r="EA198" i="2" s="1"/>
  <c r="DZ197" i="2"/>
  <c r="DZ198" i="2" s="1"/>
  <c r="DY197" i="2"/>
  <c r="DY198" i="2" s="1"/>
  <c r="DX197" i="2"/>
  <c r="DX198" i="2" s="1"/>
  <c r="DW197" i="2"/>
  <c r="DW198" i="2" s="1"/>
  <c r="DV197" i="2"/>
  <c r="DV198" i="2" s="1"/>
  <c r="DU197" i="2"/>
  <c r="DU198" i="2" s="1"/>
  <c r="DT197" i="2"/>
  <c r="DT198" i="2" s="1"/>
  <c r="DS197" i="2"/>
  <c r="DS198" i="2" s="1"/>
  <c r="DR197" i="2"/>
  <c r="DR198" i="2" s="1"/>
  <c r="DQ197" i="2"/>
  <c r="DQ198" i="2" s="1"/>
  <c r="DP197" i="2"/>
  <c r="DP198" i="2" s="1"/>
  <c r="DO197" i="2"/>
  <c r="DO198" i="2" s="1"/>
  <c r="DN197" i="2"/>
  <c r="DN198" i="2" s="1"/>
  <c r="DM197" i="2"/>
  <c r="DM198" i="2" s="1"/>
  <c r="DL197" i="2"/>
  <c r="DL198" i="2" s="1"/>
  <c r="DK197" i="2"/>
  <c r="DK198" i="2" s="1"/>
  <c r="DJ197" i="2"/>
  <c r="DJ198" i="2" s="1"/>
  <c r="DI197" i="2"/>
  <c r="DI198" i="2" s="1"/>
  <c r="DH197" i="2"/>
  <c r="DH198" i="2" s="1"/>
  <c r="DG197" i="2"/>
  <c r="DG198" i="2" s="1"/>
  <c r="DF197" i="2"/>
  <c r="DF198" i="2" s="1"/>
  <c r="DE197" i="2"/>
  <c r="DE198" i="2" s="1"/>
  <c r="DD197" i="2"/>
  <c r="DD198" i="2" s="1"/>
  <c r="DC197" i="2"/>
  <c r="DC198" i="2" s="1"/>
  <c r="DB197" i="2"/>
  <c r="DB198" i="2" s="1"/>
  <c r="DA197" i="2"/>
  <c r="DA198" i="2" s="1"/>
  <c r="CZ197" i="2"/>
  <c r="CZ198" i="2" s="1"/>
  <c r="CY197" i="2"/>
  <c r="CY198" i="2" s="1"/>
  <c r="CX197" i="2"/>
  <c r="CX198" i="2" s="1"/>
  <c r="CW197" i="2"/>
  <c r="CW198" i="2" s="1"/>
  <c r="CV197" i="2"/>
  <c r="CV198" i="2" s="1"/>
  <c r="CU197" i="2"/>
  <c r="CU198" i="2" s="1"/>
  <c r="CT197" i="2"/>
  <c r="CT198" i="2" s="1"/>
  <c r="CS197" i="2"/>
  <c r="CS198" i="2" s="1"/>
  <c r="CR197" i="2"/>
  <c r="CR198" i="2" s="1"/>
  <c r="CQ197" i="2"/>
  <c r="CQ198" i="2" s="1"/>
  <c r="CP197" i="2"/>
  <c r="CP198" i="2" s="1"/>
  <c r="CO197" i="2"/>
  <c r="CO198" i="2" s="1"/>
  <c r="CN197" i="2"/>
  <c r="CN198" i="2" s="1"/>
  <c r="CM197" i="2"/>
  <c r="CM198" i="2" s="1"/>
  <c r="CL197" i="2"/>
  <c r="CL198" i="2" s="1"/>
  <c r="CK197" i="2"/>
  <c r="CK198" i="2" s="1"/>
  <c r="CJ197" i="2"/>
  <c r="CJ198" i="2" s="1"/>
  <c r="CI197" i="2"/>
  <c r="CI198" i="2" s="1"/>
  <c r="CH197" i="2"/>
  <c r="CH198" i="2" s="1"/>
  <c r="CG197" i="2"/>
  <c r="CG198" i="2" s="1"/>
  <c r="CF197" i="2"/>
  <c r="CF198" i="2" s="1"/>
  <c r="CE197" i="2"/>
  <c r="CE198" i="2" s="1"/>
  <c r="CD197" i="2"/>
  <c r="CD198" i="2" s="1"/>
  <c r="CC197" i="2"/>
  <c r="CC198" i="2" s="1"/>
  <c r="CB197" i="2"/>
  <c r="CB198" i="2" s="1"/>
  <c r="CA197" i="2"/>
  <c r="CA198" i="2" s="1"/>
  <c r="BZ197" i="2"/>
  <c r="BZ198" i="2" s="1"/>
  <c r="BY197" i="2"/>
  <c r="BY198" i="2" s="1"/>
  <c r="BX197" i="2"/>
  <c r="BX198" i="2" s="1"/>
  <c r="BW197" i="2"/>
  <c r="BW198" i="2" s="1"/>
  <c r="BV197" i="2"/>
  <c r="BV198" i="2" s="1"/>
  <c r="BU197" i="2"/>
  <c r="BU198" i="2" s="1"/>
  <c r="BT197" i="2"/>
  <c r="BT198" i="2" s="1"/>
  <c r="BS197" i="2"/>
  <c r="BS198" i="2" s="1"/>
  <c r="BR197" i="2"/>
  <c r="BR198" i="2" s="1"/>
  <c r="BQ197" i="2"/>
  <c r="BQ198" i="2" s="1"/>
  <c r="BP197" i="2"/>
  <c r="BP198" i="2" s="1"/>
  <c r="BO197" i="2"/>
  <c r="BO198" i="2" s="1"/>
  <c r="BN197" i="2"/>
  <c r="BN198" i="2" s="1"/>
  <c r="BM197" i="2"/>
  <c r="BM198" i="2" s="1"/>
  <c r="BL197" i="2"/>
  <c r="BL198" i="2" s="1"/>
  <c r="BK197" i="2"/>
  <c r="BK198" i="2" s="1"/>
  <c r="BJ197" i="2"/>
  <c r="BJ198" i="2" s="1"/>
  <c r="BI197" i="2"/>
  <c r="BI198" i="2" s="1"/>
  <c r="BH197" i="2"/>
  <c r="BH198" i="2" s="1"/>
  <c r="BG197" i="2"/>
  <c r="BG198" i="2" s="1"/>
  <c r="BF197" i="2"/>
  <c r="BF198" i="2" s="1"/>
  <c r="BE197" i="2"/>
  <c r="BE198" i="2" s="1"/>
  <c r="BD197" i="2"/>
  <c r="BD198" i="2" s="1"/>
  <c r="BC197" i="2"/>
  <c r="BC198" i="2" s="1"/>
  <c r="BB197" i="2"/>
  <c r="BB198" i="2" s="1"/>
  <c r="BA197" i="2"/>
  <c r="BA198" i="2" s="1"/>
  <c r="AZ197" i="2"/>
  <c r="AZ198" i="2" s="1"/>
  <c r="AY197" i="2"/>
  <c r="AY198" i="2" s="1"/>
  <c r="AX197" i="2"/>
  <c r="AX198" i="2" s="1"/>
  <c r="AW197" i="2"/>
  <c r="AW198" i="2" s="1"/>
  <c r="AV197" i="2"/>
  <c r="AV198" i="2" s="1"/>
  <c r="AU197" i="2"/>
  <c r="AU198" i="2" s="1"/>
  <c r="AT197" i="2"/>
  <c r="AT198" i="2" s="1"/>
  <c r="AS197" i="2"/>
  <c r="AS198" i="2" s="1"/>
  <c r="AR197" i="2"/>
  <c r="AR198" i="2" s="1"/>
  <c r="AQ197" i="2"/>
  <c r="AQ198" i="2" s="1"/>
  <c r="AP197" i="2"/>
  <c r="AP198" i="2" s="1"/>
  <c r="AO197" i="2"/>
  <c r="AO198" i="2" s="1"/>
  <c r="AN197" i="2"/>
  <c r="AN198" i="2" s="1"/>
  <c r="AM197" i="2"/>
  <c r="AM198" i="2" s="1"/>
  <c r="AL197" i="2"/>
  <c r="AL198" i="2" s="1"/>
  <c r="AK197" i="2"/>
  <c r="AK198" i="2" s="1"/>
  <c r="AJ197" i="2"/>
  <c r="AJ198" i="2" s="1"/>
  <c r="AI197" i="2"/>
  <c r="AI198" i="2" s="1"/>
  <c r="AH197" i="2"/>
  <c r="AH198" i="2" s="1"/>
  <c r="AG197" i="2"/>
  <c r="AG198" i="2" s="1"/>
  <c r="AF197" i="2"/>
  <c r="AF198" i="2" s="1"/>
  <c r="AE197" i="2"/>
  <c r="AE198" i="2" s="1"/>
  <c r="AD197" i="2"/>
  <c r="AD198" i="2" s="1"/>
  <c r="AC197" i="2"/>
  <c r="AC198" i="2" s="1"/>
  <c r="AB197" i="2"/>
  <c r="AB198" i="2" s="1"/>
  <c r="AA197" i="2"/>
  <c r="AA198" i="2" s="1"/>
  <c r="Z197" i="2"/>
  <c r="Z198" i="2" s="1"/>
  <c r="Y197" i="2"/>
  <c r="Y198" i="2" s="1"/>
  <c r="X197" i="2"/>
  <c r="X198" i="2" s="1"/>
  <c r="W197" i="2"/>
  <c r="W198" i="2" s="1"/>
  <c r="V197" i="2"/>
  <c r="V198" i="2" s="1"/>
  <c r="U197" i="2"/>
  <c r="U198" i="2" s="1"/>
  <c r="T197" i="2"/>
  <c r="T198" i="2" s="1"/>
  <c r="S197" i="2"/>
  <c r="S198" i="2" s="1"/>
  <c r="R197" i="2"/>
  <c r="R198" i="2" s="1"/>
  <c r="Q197" i="2"/>
  <c r="Q198" i="2" s="1"/>
  <c r="P197" i="2"/>
  <c r="P198" i="2" s="1"/>
  <c r="O197" i="2"/>
  <c r="O198" i="2" s="1"/>
  <c r="N197" i="2"/>
  <c r="N198" i="2" s="1"/>
  <c r="M197" i="2"/>
  <c r="M198" i="2" s="1"/>
  <c r="L197" i="2"/>
  <c r="L198" i="2" s="1"/>
  <c r="K197" i="2"/>
  <c r="K198" i="2" s="1"/>
  <c r="J197" i="2"/>
  <c r="J198" i="2" s="1"/>
  <c r="I197" i="2"/>
  <c r="I198" i="2" s="1"/>
  <c r="H197" i="2"/>
  <c r="H198" i="2" s="1"/>
  <c r="G197" i="2"/>
  <c r="G198" i="2" s="1"/>
  <c r="F197" i="2"/>
  <c r="F198" i="2" s="1"/>
  <c r="E197" i="2"/>
  <c r="E198" i="2" s="1"/>
  <c r="D197" i="2"/>
  <c r="D198" i="2" s="1"/>
  <c r="AJD66" i="2" l="1"/>
  <c r="AJE66" i="2" s="1"/>
  <c r="AJE61" i="2"/>
  <c r="AJD61" i="2"/>
  <c r="AJE60" i="2"/>
  <c r="AJD60" i="2"/>
  <c r="AJE59" i="2"/>
  <c r="AJD59" i="2"/>
  <c r="AJE57" i="2"/>
  <c r="AJD57" i="2"/>
  <c r="AJC66" i="2"/>
  <c r="AJC64" i="2"/>
  <c r="AJC61" i="2"/>
  <c r="AJC60" i="2"/>
  <c r="AJC59" i="2"/>
  <c r="AJC57" i="2"/>
  <c r="AJB61" i="2"/>
  <c r="AJB57" i="2"/>
  <c r="AJA61" i="2"/>
  <c r="AJA60" i="2"/>
  <c r="AJA59" i="2"/>
  <c r="AJA57" i="2"/>
  <c r="AIZ57" i="2" l="1"/>
  <c r="AIY57" i="2"/>
  <c r="AIX57" i="2"/>
  <c r="AIW57" i="2"/>
  <c r="AIV57" i="2"/>
  <c r="AIU57" i="2"/>
  <c r="AIT57" i="2"/>
  <c r="AIS57" i="2"/>
  <c r="AIR57" i="2"/>
  <c r="AIQ57" i="2"/>
  <c r="AIP57" i="2" l="1"/>
  <c r="AIO57" i="2"/>
  <c r="AIN57" i="2"/>
  <c r="AIM57" i="2"/>
  <c r="AIL57" i="2"/>
  <c r="AIK57" i="2"/>
  <c r="AIJ57" i="2"/>
  <c r="AII57" i="2"/>
  <c r="AIH57" i="2"/>
  <c r="AIG57" i="2"/>
  <c r="AIF57" i="2"/>
  <c r="AIE57" i="2"/>
  <c r="AID57" i="2"/>
  <c r="AIC57" i="2"/>
  <c r="AIB57" i="2"/>
  <c r="AIA57" i="2"/>
  <c r="AHZ57" i="2"/>
  <c r="AHY57" i="2"/>
  <c r="AGO57" i="2" l="1"/>
  <c r="AGN57" i="2"/>
  <c r="AGM57" i="2"/>
  <c r="AHX57" i="2"/>
  <c r="AHW57" i="2"/>
  <c r="AHV57" i="2"/>
  <c r="AHU57" i="2"/>
  <c r="AHT57" i="2"/>
  <c r="AHS57" i="2"/>
  <c r="AHR57" i="2"/>
  <c r="AHQ57" i="2"/>
  <c r="AHP57" i="2"/>
  <c r="AHO57" i="2"/>
  <c r="AHN57" i="2"/>
  <c r="AHM57" i="2"/>
  <c r="AHL57" i="2"/>
  <c r="AHK57" i="2"/>
  <c r="AHJ57" i="2"/>
  <c r="AHI57" i="2"/>
  <c r="AHH57" i="2"/>
  <c r="AHG57" i="2"/>
  <c r="AHF57" i="2"/>
  <c r="AHE57" i="2"/>
  <c r="AHD57" i="2"/>
  <c r="AHC57" i="2"/>
  <c r="AHB57" i="2"/>
  <c r="AHA57" i="2"/>
  <c r="AGZ57" i="2"/>
  <c r="AGY57" i="2"/>
  <c r="AGX57" i="2"/>
  <c r="AGW57" i="2"/>
  <c r="AGV57" i="2"/>
  <c r="AGU57" i="2"/>
  <c r="AGT57" i="2"/>
  <c r="AGS57" i="2"/>
  <c r="AGR57" i="2"/>
  <c r="AGQ57" i="2"/>
  <c r="AGP57" i="2"/>
  <c r="AGL57" i="2"/>
  <c r="AGK57" i="2"/>
  <c r="AGJ57" i="2"/>
  <c r="AGI57" i="2"/>
  <c r="AGH57" i="2"/>
  <c r="AGG57" i="2"/>
  <c r="AGF57" i="2"/>
  <c r="AGE57" i="2"/>
  <c r="AGD57" i="2"/>
  <c r="AGC9" i="2"/>
  <c r="AGD9" i="2" s="1"/>
  <c r="AGE9" i="2" s="1"/>
  <c r="AGF9" i="2" s="1"/>
  <c r="AGG9" i="2" s="1"/>
  <c r="AGH9" i="2" s="1"/>
  <c r="AGI9" i="2" s="1"/>
  <c r="AGJ9" i="2" s="1"/>
  <c r="AGK9" i="2" s="1"/>
  <c r="AGL9" i="2" l="1"/>
  <c r="AGO9" i="2"/>
  <c r="AFO185" i="2"/>
  <c r="AFM185" i="2"/>
  <c r="AFL185" i="2"/>
  <c r="AFK185" i="2"/>
  <c r="AFJ185" i="2"/>
  <c r="AFI185" i="2"/>
  <c r="AFH185" i="2"/>
  <c r="AFG185" i="2"/>
  <c r="AFF185" i="2"/>
  <c r="AFE185" i="2"/>
  <c r="AFD185" i="2"/>
  <c r="AFC185" i="2"/>
  <c r="AFB185" i="2"/>
  <c r="AFA185" i="2"/>
  <c r="AEZ185" i="2"/>
  <c r="AEY185" i="2"/>
  <c r="AEX185" i="2"/>
  <c r="AEW185" i="2"/>
  <c r="AEV185" i="2"/>
  <c r="AEU185" i="2"/>
  <c r="AET185" i="2"/>
  <c r="AES185" i="2"/>
  <c r="AER185" i="2"/>
  <c r="AEQ185" i="2"/>
  <c r="AEP185" i="2"/>
  <c r="AEO185" i="2"/>
  <c r="AEN185" i="2"/>
  <c r="AEM185" i="2"/>
  <c r="AEL185" i="2"/>
  <c r="AEK185" i="2"/>
  <c r="AEJ185" i="2"/>
  <c r="AEI185" i="2"/>
  <c r="AEH185" i="2"/>
  <c r="AEG185" i="2"/>
  <c r="AEF185" i="2"/>
  <c r="AEE185" i="2"/>
  <c r="AED185" i="2"/>
  <c r="AEC185" i="2"/>
  <c r="AEB185" i="2"/>
  <c r="AEA185" i="2"/>
  <c r="ADZ185" i="2"/>
  <c r="ADY185" i="2"/>
  <c r="ADX185" i="2"/>
  <c r="ADW185" i="2"/>
  <c r="ADV185" i="2"/>
  <c r="ADU185" i="2"/>
  <c r="ADT185" i="2"/>
  <c r="ADS185" i="2"/>
  <c r="ADI185" i="2"/>
  <c r="AFO171" i="2"/>
  <c r="AFM171" i="2"/>
  <c r="AFL171" i="2"/>
  <c r="AFK171" i="2"/>
  <c r="AFJ171" i="2"/>
  <c r="AFI171" i="2"/>
  <c r="AFH171" i="2"/>
  <c r="AFG171" i="2"/>
  <c r="AFF171" i="2"/>
  <c r="AFE171" i="2"/>
  <c r="AFD171" i="2"/>
  <c r="AFC171" i="2"/>
  <c r="AFB171" i="2"/>
  <c r="AFA171" i="2"/>
  <c r="AEZ171" i="2"/>
  <c r="AEY171" i="2"/>
  <c r="AEX171" i="2"/>
  <c r="AEW171" i="2"/>
  <c r="AEV171" i="2"/>
  <c r="AEU171" i="2"/>
  <c r="AET171" i="2"/>
  <c r="AES171" i="2"/>
  <c r="AER171" i="2"/>
  <c r="AEQ171" i="2"/>
  <c r="AEP171" i="2"/>
  <c r="AEO171" i="2"/>
  <c r="AEN171" i="2"/>
  <c r="AEM171" i="2"/>
  <c r="AEL171" i="2"/>
  <c r="AEK171" i="2"/>
  <c r="AEJ171" i="2"/>
  <c r="AEI171" i="2"/>
  <c r="AEH171" i="2"/>
  <c r="AEG171" i="2"/>
  <c r="AEF171" i="2"/>
  <c r="AEE171" i="2"/>
  <c r="AED171" i="2"/>
  <c r="AEC171" i="2"/>
  <c r="AEB171" i="2"/>
  <c r="AEA171" i="2"/>
  <c r="ADZ171" i="2"/>
  <c r="ADY171" i="2"/>
  <c r="ADX171" i="2"/>
  <c r="ADW171" i="2"/>
  <c r="ADV171" i="2"/>
  <c r="ADU171" i="2"/>
  <c r="ADT171" i="2"/>
  <c r="ADS171" i="2"/>
  <c r="ADI171" i="2"/>
  <c r="AFO166" i="2"/>
  <c r="AFM166" i="2"/>
  <c r="AFL166" i="2"/>
  <c r="AFK166" i="2"/>
  <c r="AFJ166" i="2"/>
  <c r="AFI166" i="2"/>
  <c r="AFH166" i="2"/>
  <c r="AFG166" i="2"/>
  <c r="AFF166" i="2"/>
  <c r="AFE166" i="2"/>
  <c r="AFD166" i="2"/>
  <c r="AFC166" i="2"/>
  <c r="AFB166" i="2"/>
  <c r="AFA166" i="2"/>
  <c r="AEZ166" i="2"/>
  <c r="AEY166" i="2"/>
  <c r="AEX166" i="2"/>
  <c r="AEW166" i="2"/>
  <c r="AEV166" i="2"/>
  <c r="AEU166" i="2"/>
  <c r="AET166" i="2"/>
  <c r="AES166" i="2"/>
  <c r="AER166" i="2"/>
  <c r="AEQ166" i="2"/>
  <c r="AEP166" i="2"/>
  <c r="AEO166" i="2"/>
  <c r="AEN166" i="2"/>
  <c r="AEM166" i="2"/>
  <c r="AEL166" i="2"/>
  <c r="AEK166" i="2"/>
  <c r="AEJ166" i="2"/>
  <c r="AEI166" i="2"/>
  <c r="AEH166" i="2"/>
  <c r="AEG166" i="2"/>
  <c r="AEF166" i="2"/>
  <c r="AEE166" i="2"/>
  <c r="AED166" i="2"/>
  <c r="AEC166" i="2"/>
  <c r="AEB166" i="2"/>
  <c r="AEA166" i="2"/>
  <c r="ADZ166" i="2"/>
  <c r="ADY166" i="2"/>
  <c r="ADX166" i="2"/>
  <c r="ADW166" i="2"/>
  <c r="ADV166" i="2"/>
  <c r="ADU166" i="2"/>
  <c r="ADT166" i="2"/>
  <c r="ADS166" i="2"/>
  <c r="ADI166" i="2"/>
  <c r="AFO165" i="2"/>
  <c r="AFM165" i="2"/>
  <c r="AFL165" i="2"/>
  <c r="AFK165" i="2"/>
  <c r="AFJ165" i="2"/>
  <c r="AFI165" i="2"/>
  <c r="AFH165" i="2"/>
  <c r="AFG165" i="2"/>
  <c r="AFF165" i="2"/>
  <c r="AFE165" i="2"/>
  <c r="AFD165" i="2"/>
  <c r="AFC165" i="2"/>
  <c r="AFB165" i="2"/>
  <c r="AFA165" i="2"/>
  <c r="AEZ165" i="2"/>
  <c r="AEY165" i="2"/>
  <c r="AEX165" i="2"/>
  <c r="AEW165" i="2"/>
  <c r="AEV165" i="2"/>
  <c r="AEU165" i="2"/>
  <c r="AET165" i="2"/>
  <c r="AES165" i="2"/>
  <c r="AER165" i="2"/>
  <c r="AEQ165" i="2"/>
  <c r="AEP165" i="2"/>
  <c r="AEO165" i="2"/>
  <c r="AEN165" i="2"/>
  <c r="AEM165" i="2"/>
  <c r="AEL165" i="2"/>
  <c r="AEK165" i="2"/>
  <c r="AEJ165" i="2"/>
  <c r="AEI165" i="2"/>
  <c r="AEH165" i="2"/>
  <c r="AEG165" i="2"/>
  <c r="AEF165" i="2"/>
  <c r="AEE165" i="2"/>
  <c r="AED165" i="2"/>
  <c r="AEC165" i="2"/>
  <c r="AEB165" i="2"/>
  <c r="AEA165" i="2"/>
  <c r="ADZ165" i="2"/>
  <c r="ADY165" i="2"/>
  <c r="ADX165" i="2"/>
  <c r="ADW165" i="2"/>
  <c r="ADV165" i="2"/>
  <c r="ADU165" i="2"/>
  <c r="ADT165" i="2"/>
  <c r="ADS165" i="2"/>
  <c r="ADI165" i="2"/>
  <c r="AFN125" i="2"/>
  <c r="AFN122" i="2"/>
  <c r="AFN121" i="2"/>
  <c r="AFN120" i="2"/>
  <c r="AFN119" i="2"/>
  <c r="ADP95" i="2"/>
  <c r="ADP94" i="2"/>
  <c r="ADP93" i="2"/>
  <c r="ADP92" i="2"/>
  <c r="ADP91" i="2"/>
  <c r="ADP90" i="2"/>
  <c r="ADP89" i="2"/>
  <c r="ADP88" i="2"/>
  <c r="ADP84" i="2"/>
  <c r="ADP83" i="2"/>
  <c r="ADP82" i="2"/>
  <c r="ADP81" i="2"/>
  <c r="ADP78" i="2"/>
  <c r="AFO66" i="2"/>
  <c r="AFP66" i="2" s="1"/>
  <c r="AFQ66" i="2" s="1"/>
  <c r="AFH66" i="2"/>
  <c r="AFI66" i="2" s="1"/>
  <c r="AFJ66" i="2" s="1"/>
  <c r="AFK66" i="2" s="1"/>
  <c r="AFL66" i="2" s="1"/>
  <c r="AFM66" i="2" s="1"/>
  <c r="AFF66" i="2"/>
  <c r="AFG66" i="2" s="1"/>
  <c r="AFE66" i="2"/>
  <c r="AFD66" i="2"/>
  <c r="AFC66" i="2"/>
  <c r="AFB66" i="2"/>
  <c r="AFA66" i="2"/>
  <c r="AEZ66" i="2"/>
  <c r="AEY66" i="2"/>
  <c r="AEX66" i="2"/>
  <c r="AEW66" i="2"/>
  <c r="AEV66" i="2"/>
  <c r="AEU66" i="2"/>
  <c r="AET66" i="2"/>
  <c r="AES66" i="2"/>
  <c r="AER66" i="2"/>
  <c r="ADP66" i="2"/>
  <c r="ADQ66" i="2" s="1"/>
  <c r="ADR66" i="2" s="1"/>
  <c r="ADS66" i="2" s="1"/>
  <c r="ADT66" i="2" s="1"/>
  <c r="ADU66" i="2" s="1"/>
  <c r="ADV66" i="2" s="1"/>
  <c r="ADW66" i="2" s="1"/>
  <c r="ADX66" i="2" s="1"/>
  <c r="ADY66" i="2" s="1"/>
  <c r="ADZ66" i="2" s="1"/>
  <c r="AEA66" i="2" s="1"/>
  <c r="AEB66" i="2" s="1"/>
  <c r="AEC66" i="2" s="1"/>
  <c r="AED66" i="2" s="1"/>
  <c r="AEE66" i="2" s="1"/>
  <c r="AEF66" i="2" s="1"/>
  <c r="AEG66" i="2" s="1"/>
  <c r="AEH66" i="2" s="1"/>
  <c r="AEI66" i="2" s="1"/>
  <c r="AEJ66" i="2" s="1"/>
  <c r="AEK66" i="2" s="1"/>
  <c r="AEL66" i="2" s="1"/>
  <c r="AEM66" i="2" s="1"/>
  <c r="AEN66" i="2" s="1"/>
  <c r="AEO66" i="2" s="1"/>
  <c r="AEP66" i="2" s="1"/>
  <c r="AEQ66" i="2" s="1"/>
  <c r="AFO65" i="2"/>
  <c r="AFP65" i="2" s="1"/>
  <c r="AFQ65" i="2" s="1"/>
  <c r="AEK65" i="2"/>
  <c r="AEL65" i="2" s="1"/>
  <c r="AEI65" i="2"/>
  <c r="AEJ65" i="2" s="1"/>
  <c r="AEH65" i="2"/>
  <c r="AEG65" i="2"/>
  <c r="AEF65" i="2"/>
  <c r="AEE65" i="2"/>
  <c r="AED65" i="2"/>
  <c r="AEA65" i="2"/>
  <c r="AEB65" i="2" s="1"/>
  <c r="AEC65" i="2" s="1"/>
  <c r="ADZ65" i="2"/>
  <c r="ADY65" i="2"/>
  <c r="ADX65" i="2"/>
  <c r="ADW65" i="2"/>
  <c r="ADV65" i="2"/>
  <c r="ADU65" i="2"/>
  <c r="ADS65" i="2"/>
  <c r="ADT65" i="2" s="1"/>
  <c r="AFO64" i="2"/>
  <c r="AFP64" i="2" s="1"/>
  <c r="AFQ64" i="2" s="1"/>
  <c r="AFH64" i="2"/>
  <c r="AFI64" i="2" s="1"/>
  <c r="AFJ64" i="2" s="1"/>
  <c r="AFK64" i="2" s="1"/>
  <c r="AFL64" i="2" s="1"/>
  <c r="AFM64" i="2" s="1"/>
  <c r="AFF64" i="2"/>
  <c r="AFG64" i="2" s="1"/>
  <c r="AFE64" i="2"/>
  <c r="AFD64" i="2"/>
  <c r="AFC64" i="2"/>
  <c r="AFB64" i="2"/>
  <c r="AFA64" i="2"/>
  <c r="AEZ64" i="2"/>
  <c r="AEY64" i="2"/>
  <c r="AEX64" i="2"/>
  <c r="AEW64" i="2"/>
  <c r="AEV64" i="2"/>
  <c r="AEU64" i="2"/>
  <c r="AET64" i="2"/>
  <c r="AES64" i="2"/>
  <c r="AER64" i="2"/>
  <c r="AFQ63" i="2"/>
  <c r="AFP63" i="2"/>
  <c r="AFO63" i="2"/>
  <c r="AEP63" i="2"/>
  <c r="AEQ63" i="2" s="1"/>
  <c r="AER63" i="2" s="1"/>
  <c r="AES63" i="2" s="1"/>
  <c r="AET63" i="2" s="1"/>
  <c r="AEU63" i="2" s="1"/>
  <c r="AEV63" i="2" s="1"/>
  <c r="AEW63" i="2" s="1"/>
  <c r="AEX63" i="2" s="1"/>
  <c r="AEY63" i="2" s="1"/>
  <c r="AEZ63" i="2" s="1"/>
  <c r="AFA63" i="2" s="1"/>
  <c r="AFB63" i="2" s="1"/>
  <c r="AFC63" i="2" s="1"/>
  <c r="AFD63" i="2" s="1"/>
  <c r="AFE63" i="2" s="1"/>
  <c r="AFF63" i="2" s="1"/>
  <c r="AFG63" i="2" s="1"/>
  <c r="AFH63" i="2" s="1"/>
  <c r="AFI63" i="2" s="1"/>
  <c r="AFJ63" i="2" s="1"/>
  <c r="AFK63" i="2" s="1"/>
  <c r="AFL63" i="2" s="1"/>
  <c r="AFM63" i="2" s="1"/>
  <c r="ADS63" i="2"/>
  <c r="ADT63" i="2" s="1"/>
  <c r="AFQ61" i="2"/>
  <c r="AFN61" i="2"/>
  <c r="ADQ61" i="2"/>
  <c r="ADP61" i="2"/>
  <c r="AFO60" i="2"/>
  <c r="AFP60" i="2" s="1"/>
  <c r="AFQ60" i="2" s="1"/>
  <c r="AFN60" i="2"/>
  <c r="AFM60" i="2"/>
  <c r="AFL60" i="2"/>
  <c r="AFK60" i="2"/>
  <c r="AFJ60" i="2"/>
  <c r="AFI60" i="2"/>
  <c r="AFH60" i="2"/>
  <c r="AFG60" i="2"/>
  <c r="AFF60" i="2"/>
  <c r="AFE60" i="2"/>
  <c r="AFD60" i="2"/>
  <c r="AFC60" i="2"/>
  <c r="AFB60" i="2"/>
  <c r="AFA60" i="2"/>
  <c r="AEZ60" i="2"/>
  <c r="AEY60" i="2"/>
  <c r="AEX60" i="2"/>
  <c r="AEW60" i="2"/>
  <c r="AEV60" i="2"/>
  <c r="AEU60" i="2"/>
  <c r="AET60" i="2"/>
  <c r="AES60" i="2"/>
  <c r="AER60" i="2"/>
  <c r="AEQ60" i="2"/>
  <c r="AEP60" i="2"/>
  <c r="AEO60" i="2"/>
  <c r="AEN60" i="2"/>
  <c r="AEM60" i="2"/>
  <c r="AEL60" i="2"/>
  <c r="AEK60" i="2"/>
  <c r="AEJ60" i="2"/>
  <c r="AEI60" i="2"/>
  <c r="AEH60" i="2"/>
  <c r="AEG60" i="2"/>
  <c r="AEF60" i="2"/>
  <c r="AEE60" i="2"/>
  <c r="AED60" i="2"/>
  <c r="AEC60" i="2"/>
  <c r="AEB60" i="2"/>
  <c r="AEA60" i="2"/>
  <c r="ADZ60" i="2"/>
  <c r="ADY60" i="2"/>
  <c r="ADX60" i="2"/>
  <c r="ADW60" i="2"/>
  <c r="ADV60" i="2"/>
  <c r="ADU60" i="2"/>
  <c r="ADT60" i="2"/>
  <c r="ADS60" i="2"/>
  <c r="ADR60" i="2"/>
  <c r="ADP60" i="2"/>
  <c r="AFO59" i="2"/>
  <c r="AFN59" i="2"/>
  <c r="AFM59" i="2"/>
  <c r="AFL59" i="2"/>
  <c r="AFK59" i="2"/>
  <c r="AFJ59" i="2"/>
  <c r="AFI59" i="2"/>
  <c r="AFH59" i="2"/>
  <c r="AFG59" i="2"/>
  <c r="AFF59" i="2"/>
  <c r="AFE59" i="2"/>
  <c r="AFD59" i="2"/>
  <c r="AFC59" i="2"/>
  <c r="AFB59" i="2"/>
  <c r="AFA59" i="2"/>
  <c r="AEZ59" i="2"/>
  <c r="AEY59" i="2"/>
  <c r="AEX59" i="2"/>
  <c r="AEW59" i="2"/>
  <c r="AEV59" i="2"/>
  <c r="AEU59" i="2"/>
  <c r="AET59" i="2"/>
  <c r="AES59" i="2"/>
  <c r="AER59" i="2"/>
  <c r="AEQ59" i="2"/>
  <c r="AEP59" i="2"/>
  <c r="AEO59" i="2"/>
  <c r="AEN59" i="2"/>
  <c r="AEM59" i="2"/>
  <c r="AEL59" i="2"/>
  <c r="AEK59" i="2"/>
  <c r="AEJ59" i="2"/>
  <c r="AEI59" i="2"/>
  <c r="AEH59" i="2"/>
  <c r="AEG59" i="2"/>
  <c r="AEF59" i="2"/>
  <c r="AEE59" i="2"/>
  <c r="AED59" i="2"/>
  <c r="AEC59" i="2"/>
  <c r="AEB59" i="2"/>
  <c r="AEA59" i="2"/>
  <c r="ADZ59" i="2"/>
  <c r="ADY59" i="2"/>
  <c r="ADX59" i="2"/>
  <c r="ADW59" i="2"/>
  <c r="ADV59" i="2"/>
  <c r="ADU59" i="2"/>
  <c r="ADT59" i="2"/>
  <c r="ADS59" i="2"/>
  <c r="ADR59" i="2"/>
  <c r="ADP59" i="2"/>
  <c r="AFQ57" i="2"/>
  <c r="AFP57" i="2"/>
  <c r="AFO57" i="2"/>
  <c r="AFN57" i="2"/>
  <c r="AFM57" i="2"/>
  <c r="AFL57" i="2"/>
  <c r="AFK57" i="2"/>
  <c r="AFJ57" i="2"/>
  <c r="AFI57" i="2"/>
  <c r="AFH57" i="2"/>
  <c r="AFG57" i="2"/>
  <c r="AFF57" i="2"/>
  <c r="AFE57" i="2"/>
  <c r="AFD57" i="2"/>
  <c r="AFC57" i="2"/>
  <c r="AFB57" i="2"/>
  <c r="AFA57" i="2"/>
  <c r="AEZ57" i="2"/>
  <c r="AEY57" i="2"/>
  <c r="AEX57" i="2"/>
  <c r="AEW57" i="2"/>
  <c r="AEV57" i="2"/>
  <c r="AEU57" i="2"/>
  <c r="AET57" i="2"/>
  <c r="AES57" i="2"/>
  <c r="AER57" i="2"/>
  <c r="AEQ57" i="2"/>
  <c r="AEP57" i="2"/>
  <c r="AEO57" i="2"/>
  <c r="AEN57" i="2"/>
  <c r="AEM57" i="2"/>
  <c r="AEL57" i="2"/>
  <c r="AEK57" i="2"/>
  <c r="AEJ57" i="2"/>
  <c r="AEI57" i="2"/>
  <c r="AEH57" i="2"/>
  <c r="AEG57" i="2"/>
  <c r="AEF57" i="2"/>
  <c r="AEE57" i="2"/>
  <c r="AED57" i="2"/>
  <c r="AEC57" i="2"/>
  <c r="AEB57" i="2"/>
  <c r="AEA57" i="2"/>
  <c r="ADZ57" i="2"/>
  <c r="ADY57" i="2"/>
  <c r="ADX57" i="2"/>
  <c r="ADW57" i="2"/>
  <c r="ADV57" i="2"/>
  <c r="ADU57" i="2"/>
  <c r="ADT57" i="2"/>
  <c r="ADS57" i="2"/>
  <c r="ADR57" i="2"/>
  <c r="ADQ57" i="2"/>
  <c r="ADP57" i="2"/>
  <c r="ADP85" i="2" s="1"/>
  <c r="ADO57" i="2"/>
  <c r="ADN57" i="2"/>
  <c r="ADM57" i="2"/>
  <c r="ADL57" i="2"/>
  <c r="ADK57" i="2"/>
  <c r="ADJ57" i="2"/>
  <c r="ADI57" i="2"/>
  <c r="ADK9" i="2"/>
  <c r="ADL9" i="2" s="1"/>
  <c r="ADG63" i="2"/>
  <c r="ADG61" i="2"/>
  <c r="ADG57" i="2"/>
  <c r="ADF63" i="2"/>
  <c r="ADF57" i="2"/>
  <c r="ADE185" i="2"/>
  <c r="ADE171" i="2"/>
  <c r="ADE166" i="2"/>
  <c r="ADE165" i="2"/>
  <c r="ADE65" i="2"/>
  <c r="ADF65" i="2" s="1"/>
  <c r="ADG65" i="2" s="1"/>
  <c r="ADE64" i="2"/>
  <c r="ADF64" i="2" s="1"/>
  <c r="ADG64" i="2" s="1"/>
  <c r="ADE63" i="2"/>
  <c r="ADE60" i="2"/>
  <c r="ADF60" i="2" s="1"/>
  <c r="ADG60" i="2" s="1"/>
  <c r="ADE59" i="2"/>
  <c r="ADE57" i="2"/>
  <c r="ADE178" i="2" s="1"/>
  <c r="ADD125" i="2"/>
  <c r="ADD122" i="2"/>
  <c r="ADD121" i="2"/>
  <c r="ADD120" i="2"/>
  <c r="ADD119" i="2"/>
  <c r="ADD66" i="2"/>
  <c r="ADE66" i="2" s="1"/>
  <c r="ADF66" i="2" s="1"/>
  <c r="ADG66" i="2" s="1"/>
  <c r="ADD61" i="2"/>
  <c r="ADD60" i="2"/>
  <c r="ADD59" i="2"/>
  <c r="ADD57" i="2"/>
  <c r="ADD118" i="2" s="1"/>
  <c r="ADC185" i="2"/>
  <c r="ADB185" i="2"/>
  <c r="ADA185" i="2"/>
  <c r="ACZ185" i="2"/>
  <c r="ACY185" i="2"/>
  <c r="ACX185" i="2"/>
  <c r="ACW185" i="2"/>
  <c r="ACV185" i="2"/>
  <c r="ACU185" i="2"/>
  <c r="ACT185" i="2"/>
  <c r="ACS185" i="2"/>
  <c r="ACR185" i="2"/>
  <c r="ACQ185" i="2"/>
  <c r="ADC171" i="2"/>
  <c r="ADB171" i="2"/>
  <c r="ADA171" i="2"/>
  <c r="ACZ171" i="2"/>
  <c r="ACY171" i="2"/>
  <c r="ACX171" i="2"/>
  <c r="ACW171" i="2"/>
  <c r="ACV171" i="2"/>
  <c r="ACU171" i="2"/>
  <c r="ACT171" i="2"/>
  <c r="ACS171" i="2"/>
  <c r="ACR171" i="2"/>
  <c r="ACQ171" i="2"/>
  <c r="ADC166" i="2"/>
  <c r="ADB166" i="2"/>
  <c r="ADA166" i="2"/>
  <c r="ACZ166" i="2"/>
  <c r="ACY166" i="2"/>
  <c r="ACX166" i="2"/>
  <c r="ACW166" i="2"/>
  <c r="ACV166" i="2"/>
  <c r="ACU166" i="2"/>
  <c r="ACT166" i="2"/>
  <c r="ACS166" i="2"/>
  <c r="ACR166" i="2"/>
  <c r="ACQ166" i="2"/>
  <c r="ADC165" i="2"/>
  <c r="ADB165" i="2"/>
  <c r="ADA165" i="2"/>
  <c r="ACZ165" i="2"/>
  <c r="ACY165" i="2"/>
  <c r="ACX165" i="2"/>
  <c r="ACW165" i="2"/>
  <c r="ACV165" i="2"/>
  <c r="ACU165" i="2"/>
  <c r="ACT165" i="2"/>
  <c r="ACS165" i="2"/>
  <c r="ACR165" i="2"/>
  <c r="ACQ165" i="2"/>
  <c r="ADC60" i="2"/>
  <c r="ADB60" i="2"/>
  <c r="ADA60" i="2"/>
  <c r="ACZ60" i="2"/>
  <c r="ACY60" i="2"/>
  <c r="ACX60" i="2"/>
  <c r="ACW60" i="2"/>
  <c r="ACV60" i="2"/>
  <c r="ACU60" i="2"/>
  <c r="ACT60" i="2"/>
  <c r="ACS60" i="2"/>
  <c r="ACR60" i="2"/>
  <c r="ACQ60" i="2"/>
  <c r="ADC59" i="2"/>
  <c r="ADB59" i="2"/>
  <c r="ADA59" i="2"/>
  <c r="ACZ59" i="2"/>
  <c r="ACY59" i="2"/>
  <c r="ACX59" i="2"/>
  <c r="ACW59" i="2"/>
  <c r="ACV59" i="2"/>
  <c r="ACU59" i="2"/>
  <c r="ACT59" i="2"/>
  <c r="ACS59" i="2"/>
  <c r="ACR59" i="2"/>
  <c r="ACQ59" i="2"/>
  <c r="ADC57" i="2"/>
  <c r="ADC164" i="2" s="1"/>
  <c r="ADB57" i="2"/>
  <c r="ADB178" i="2" s="1"/>
  <c r="ADA57" i="2"/>
  <c r="ADA178" i="2" s="1"/>
  <c r="ADA176" i="2" s="1"/>
  <c r="ACZ57" i="2"/>
  <c r="ACZ178" i="2" s="1"/>
  <c r="ACZ176" i="2" s="1"/>
  <c r="ACY57" i="2"/>
  <c r="ACY164" i="2" s="1"/>
  <c r="ACX57" i="2"/>
  <c r="ACX178" i="2" s="1"/>
  <c r="ACW57" i="2"/>
  <c r="ACW178" i="2" s="1"/>
  <c r="ACV57" i="2"/>
  <c r="ACV178" i="2" s="1"/>
  <c r="ACV176" i="2" s="1"/>
  <c r="ACU57" i="2"/>
  <c r="ACU164" i="2" s="1"/>
  <c r="ACT57" i="2"/>
  <c r="ACT178" i="2" s="1"/>
  <c r="ACS57" i="2"/>
  <c r="ACS178" i="2" s="1"/>
  <c r="ACR57" i="2"/>
  <c r="ACR178" i="2" s="1"/>
  <c r="ACR176" i="2" s="1"/>
  <c r="ACQ57" i="2"/>
  <c r="ACQ164" i="2" s="1"/>
  <c r="ACP185" i="2"/>
  <c r="ACO185" i="2"/>
  <c r="ACN185" i="2"/>
  <c r="ACM185" i="2"/>
  <c r="ACL185" i="2"/>
  <c r="ACK185" i="2"/>
  <c r="ACJ185" i="2"/>
  <c r="ACI185" i="2"/>
  <c r="ACP171" i="2"/>
  <c r="ACO171" i="2"/>
  <c r="ACN171" i="2"/>
  <c r="ACM171" i="2"/>
  <c r="ACL171" i="2"/>
  <c r="ACK171" i="2"/>
  <c r="ACJ171" i="2"/>
  <c r="ACI171" i="2"/>
  <c r="ACP166" i="2"/>
  <c r="ACO166" i="2"/>
  <c r="ACN166" i="2"/>
  <c r="ACM166" i="2"/>
  <c r="ACL166" i="2"/>
  <c r="ACK166" i="2"/>
  <c r="ACJ166" i="2"/>
  <c r="ACI166" i="2"/>
  <c r="ACP165" i="2"/>
  <c r="ACO165" i="2"/>
  <c r="ACN165" i="2"/>
  <c r="ACM165" i="2"/>
  <c r="ACL165" i="2"/>
  <c r="ACK165" i="2"/>
  <c r="ACJ165" i="2"/>
  <c r="ACI165" i="2"/>
  <c r="ACP60" i="2"/>
  <c r="ACO60" i="2"/>
  <c r="ACN60" i="2"/>
  <c r="ACM60" i="2"/>
  <c r="ACL60" i="2"/>
  <c r="ACK60" i="2"/>
  <c r="ACJ60" i="2"/>
  <c r="ACI60" i="2"/>
  <c r="ACP59" i="2"/>
  <c r="ACO59" i="2"/>
  <c r="ACN59" i="2"/>
  <c r="ACM59" i="2"/>
  <c r="ACL59" i="2"/>
  <c r="ACK59" i="2"/>
  <c r="ACJ59" i="2"/>
  <c r="ACI59" i="2"/>
  <c r="ACH185" i="2"/>
  <c r="ACH171" i="2"/>
  <c r="ACH166" i="2"/>
  <c r="ACH165" i="2"/>
  <c r="ACH66" i="2"/>
  <c r="ACI66" i="2" s="1"/>
  <c r="ACJ66" i="2" s="1"/>
  <c r="ACK66" i="2" s="1"/>
  <c r="ACL66" i="2" s="1"/>
  <c r="ACM66" i="2" s="1"/>
  <c r="ACN66" i="2" s="1"/>
  <c r="ACO66" i="2" s="1"/>
  <c r="ACP66" i="2" s="1"/>
  <c r="ACQ66" i="2" s="1"/>
  <c r="ACR66" i="2" s="1"/>
  <c r="ACS66" i="2" s="1"/>
  <c r="ACT66" i="2" s="1"/>
  <c r="ACU66" i="2" s="1"/>
  <c r="ACV66" i="2" s="1"/>
  <c r="ACW66" i="2" s="1"/>
  <c r="ACX66" i="2" s="1"/>
  <c r="ACY66" i="2" s="1"/>
  <c r="ACZ66" i="2" s="1"/>
  <c r="ADA66" i="2" s="1"/>
  <c r="ADB66" i="2" s="1"/>
  <c r="ADC66" i="2" s="1"/>
  <c r="ACH64" i="2"/>
  <c r="ACI64" i="2" s="1"/>
  <c r="ACJ64" i="2" s="1"/>
  <c r="ACK64" i="2" s="1"/>
  <c r="ACL64" i="2" s="1"/>
  <c r="ACM64" i="2" s="1"/>
  <c r="ACN64" i="2" s="1"/>
  <c r="ACO64" i="2" s="1"/>
  <c r="ACP64" i="2" s="1"/>
  <c r="ACQ64" i="2" s="1"/>
  <c r="ACR64" i="2" s="1"/>
  <c r="ACS64" i="2" s="1"/>
  <c r="ACT64" i="2" s="1"/>
  <c r="ACU64" i="2" s="1"/>
  <c r="ACV64" i="2" s="1"/>
  <c r="ACW64" i="2" s="1"/>
  <c r="ACX64" i="2" s="1"/>
  <c r="ACY64" i="2" s="1"/>
  <c r="ACZ64" i="2" s="1"/>
  <c r="ADA64" i="2" s="1"/>
  <c r="ADB64" i="2" s="1"/>
  <c r="ADC64" i="2" s="1"/>
  <c r="ACH60" i="2"/>
  <c r="ACH59" i="2"/>
  <c r="ACP57" i="2"/>
  <c r="ACP178" i="2" s="1"/>
  <c r="ACP176" i="2" s="1"/>
  <c r="ACO57" i="2"/>
  <c r="ACO178" i="2" s="1"/>
  <c r="ACO176" i="2" s="1"/>
  <c r="ACN57" i="2"/>
  <c r="ACN178" i="2" s="1"/>
  <c r="ACM57" i="2"/>
  <c r="ACM178" i="2" s="1"/>
  <c r="ACM176" i="2" s="1"/>
  <c r="ACL57" i="2"/>
  <c r="ACL178" i="2" s="1"/>
  <c r="ACK57" i="2"/>
  <c r="ACK178" i="2" s="1"/>
  <c r="ACK176" i="2" s="1"/>
  <c r="ACJ57" i="2"/>
  <c r="ACJ178" i="2" s="1"/>
  <c r="ACI57" i="2"/>
  <c r="ACI178" i="2" s="1"/>
  <c r="ACI176" i="2" s="1"/>
  <c r="ACH57" i="2"/>
  <c r="ACH178" i="2" s="1"/>
  <c r="ABW57" i="2"/>
  <c r="ACD185" i="2"/>
  <c r="ACD171" i="2"/>
  <c r="ACD166" i="2"/>
  <c r="ACD165" i="2"/>
  <c r="ACC185" i="2"/>
  <c r="ACC171" i="2"/>
  <c r="ACC166" i="2"/>
  <c r="ACC165" i="2"/>
  <c r="ABJ60" i="2"/>
  <c r="ABI60" i="2"/>
  <c r="ABJ59" i="2"/>
  <c r="ABI59" i="2"/>
  <c r="ABI65" i="2"/>
  <c r="ABJ65" i="2" s="1"/>
  <c r="ABI63" i="2"/>
  <c r="ABJ63" i="2" s="1"/>
  <c r="ABJ57" i="2"/>
  <c r="ABJ164" i="2" s="1"/>
  <c r="ABI57" i="2"/>
  <c r="ABI164" i="2" s="1"/>
  <c r="ABJ185" i="2"/>
  <c r="ABI185" i="2"/>
  <c r="ABJ171" i="2"/>
  <c r="ABI171" i="2"/>
  <c r="ABJ166" i="2"/>
  <c r="ABI166" i="2"/>
  <c r="ABJ165" i="2"/>
  <c r="ABI165" i="2"/>
  <c r="ABK185" i="2"/>
  <c r="ABK171" i="2"/>
  <c r="ABK166" i="2"/>
  <c r="ABK165" i="2"/>
  <c r="ABK65" i="2"/>
  <c r="ACG57" i="2"/>
  <c r="ACG178" i="2" s="1"/>
  <c r="ACF57" i="2"/>
  <c r="ACF164" i="2" s="1"/>
  <c r="ACG185" i="2"/>
  <c r="ACF185" i="2"/>
  <c r="ACG171" i="2"/>
  <c r="ACF171" i="2"/>
  <c r="ACG166" i="2"/>
  <c r="ACF166" i="2"/>
  <c r="ACG165" i="2"/>
  <c r="ACF165" i="2"/>
  <c r="ACG60" i="2"/>
  <c r="ACG59" i="2"/>
  <c r="ACF63" i="2"/>
  <c r="ACG63" i="2" s="1"/>
  <c r="ACH63" i="2" s="1"/>
  <c r="ACI63" i="2" s="1"/>
  <c r="ACJ63" i="2" s="1"/>
  <c r="ACK63" i="2" s="1"/>
  <c r="ACL63" i="2" s="1"/>
  <c r="ACM63" i="2" s="1"/>
  <c r="ACN63" i="2" s="1"/>
  <c r="ACO63" i="2" s="1"/>
  <c r="ACP63" i="2" s="1"/>
  <c r="ACQ63" i="2" s="1"/>
  <c r="ACR63" i="2" s="1"/>
  <c r="ACS63" i="2" s="1"/>
  <c r="ACT63" i="2" s="1"/>
  <c r="ACU63" i="2" s="1"/>
  <c r="ACV63" i="2" s="1"/>
  <c r="ACW63" i="2" s="1"/>
  <c r="ACX63" i="2" s="1"/>
  <c r="ACY63" i="2" s="1"/>
  <c r="ACZ63" i="2" s="1"/>
  <c r="ADA63" i="2" s="1"/>
  <c r="ADB63" i="2" s="1"/>
  <c r="ADC63" i="2" s="1"/>
  <c r="ACF60" i="2"/>
  <c r="ACF59" i="2"/>
  <c r="ACE60" i="2"/>
  <c r="ACE59" i="2"/>
  <c r="ACE57" i="2"/>
  <c r="ACE178" i="2" s="1"/>
  <c r="ACE185" i="2"/>
  <c r="ACE171" i="2"/>
  <c r="ACE166" i="2"/>
  <c r="ACE165" i="2"/>
  <c r="ACD60" i="2"/>
  <c r="ACD59" i="2"/>
  <c r="ACD57" i="2"/>
  <c r="ACD178" i="2" s="1"/>
  <c r="ACC57" i="2"/>
  <c r="ACC178" i="2" s="1"/>
  <c r="ACA65" i="2"/>
  <c r="ACB65" i="2" s="1"/>
  <c r="ABY65" i="2"/>
  <c r="ABZ65" i="2" s="1"/>
  <c r="ABX65" i="2"/>
  <c r="ABW65" i="2"/>
  <c r="ABV65" i="2"/>
  <c r="ABU65" i="2"/>
  <c r="ABT65" i="2"/>
  <c r="ABQ65" i="2"/>
  <c r="ABR65" i="2" s="1"/>
  <c r="ABS65" i="2" s="1"/>
  <c r="ABP65" i="2"/>
  <c r="ABO65" i="2"/>
  <c r="ABN65" i="2"/>
  <c r="ABM65" i="2"/>
  <c r="ABL65" i="2"/>
  <c r="ACD176" i="2" l="1"/>
  <c r="ADE176" i="2"/>
  <c r="ACL176" i="2"/>
  <c r="ACJ176" i="2"/>
  <c r="ACN176" i="2"/>
  <c r="ACP164" i="2"/>
  <c r="ACP163" i="2" s="1"/>
  <c r="ACX164" i="2"/>
  <c r="ACX163" i="2" s="1"/>
  <c r="ACK164" i="2"/>
  <c r="ACK163" i="2" s="1"/>
  <c r="ACS164" i="2"/>
  <c r="ADA164" i="2"/>
  <c r="ADA163" i="2" s="1"/>
  <c r="ADD75" i="2"/>
  <c r="ADP87" i="2"/>
  <c r="ADP64" i="2" s="1"/>
  <c r="ADQ64" i="2" s="1"/>
  <c r="ADR64" i="2" s="1"/>
  <c r="ADS64" i="2" s="1"/>
  <c r="ADT64" i="2" s="1"/>
  <c r="ADU64" i="2" s="1"/>
  <c r="ADV64" i="2" s="1"/>
  <c r="ADW64" i="2" s="1"/>
  <c r="ADX64" i="2" s="1"/>
  <c r="ADY64" i="2" s="1"/>
  <c r="ADZ64" i="2" s="1"/>
  <c r="AEA64" i="2" s="1"/>
  <c r="AEB64" i="2" s="1"/>
  <c r="AEC64" i="2" s="1"/>
  <c r="AED64" i="2" s="1"/>
  <c r="AEE64" i="2" s="1"/>
  <c r="AEF64" i="2" s="1"/>
  <c r="AEG64" i="2" s="1"/>
  <c r="AEH64" i="2" s="1"/>
  <c r="AEI64" i="2" s="1"/>
  <c r="AEJ64" i="2" s="1"/>
  <c r="AEK64" i="2" s="1"/>
  <c r="AEL64" i="2" s="1"/>
  <c r="AEM64" i="2" s="1"/>
  <c r="AEN64" i="2" s="1"/>
  <c r="AEO64" i="2" s="1"/>
  <c r="AEP64" i="2" s="1"/>
  <c r="AEQ64" i="2" s="1"/>
  <c r="ACL164" i="2"/>
  <c r="ACL163" i="2" s="1"/>
  <c r="ACT164" i="2"/>
  <c r="ACT163" i="2" s="1"/>
  <c r="ADB164" i="2"/>
  <c r="ADB163" i="2" s="1"/>
  <c r="ADB176" i="2"/>
  <c r="ACH164" i="2"/>
  <c r="ACH163" i="2" s="1"/>
  <c r="ACO164" i="2"/>
  <c r="ACO163" i="2" s="1"/>
  <c r="ACW164" i="2"/>
  <c r="ACS176" i="2"/>
  <c r="ACW176" i="2"/>
  <c r="ACJ164" i="2"/>
  <c r="ACJ163" i="2" s="1"/>
  <c r="ACN164" i="2"/>
  <c r="ACN163" i="2" s="1"/>
  <c r="ACR164" i="2"/>
  <c r="ACR163" i="2" s="1"/>
  <c r="ACV164" i="2"/>
  <c r="ACZ164" i="2"/>
  <c r="ACZ163" i="2" s="1"/>
  <c r="ADD117" i="2"/>
  <c r="ACH176" i="2"/>
  <c r="ACS163" i="2"/>
  <c r="ACW163" i="2"/>
  <c r="ACV163" i="2"/>
  <c r="ACQ163" i="2"/>
  <c r="ACU163" i="2"/>
  <c r="ACY163" i="2"/>
  <c r="ADC163" i="2"/>
  <c r="ADE164" i="2"/>
  <c r="ADE163" i="2" s="1"/>
  <c r="ACQ178" i="2"/>
  <c r="ACU178" i="2"/>
  <c r="ACU176" i="2" s="1"/>
  <c r="ACY178" i="2"/>
  <c r="ACY176" i="2" s="1"/>
  <c r="ADC178" i="2"/>
  <c r="ADC176" i="2" s="1"/>
  <c r="ACT176" i="2"/>
  <c r="ACX176" i="2"/>
  <c r="AGP9" i="2"/>
  <c r="AGQ9" i="2" s="1"/>
  <c r="AGR9" i="2" s="1"/>
  <c r="AGS9" i="2" s="1"/>
  <c r="AGT9" i="2" s="1"/>
  <c r="AGN9" i="2"/>
  <c r="AGM9" i="2" s="1"/>
  <c r="ACD164" i="2"/>
  <c r="ACI164" i="2"/>
  <c r="ACI163" i="2" s="1"/>
  <c r="ACM164" i="2"/>
  <c r="ACM163" i="2" s="1"/>
  <c r="ACQ176" i="2"/>
  <c r="ADX164" i="2"/>
  <c r="ADX163" i="2" s="1"/>
  <c r="ADX63" i="2" s="1"/>
  <c r="ADX178" i="2"/>
  <c r="ADX176" i="2" s="1"/>
  <c r="AEF164" i="2"/>
  <c r="AEF163" i="2" s="1"/>
  <c r="AEF63" i="2" s="1"/>
  <c r="AEF178" i="2"/>
  <c r="AEF176" i="2" s="1"/>
  <c r="AEJ164" i="2"/>
  <c r="AEJ163" i="2" s="1"/>
  <c r="AEJ178" i="2"/>
  <c r="AEJ176" i="2" s="1"/>
  <c r="AER164" i="2"/>
  <c r="AER163" i="2" s="1"/>
  <c r="AER178" i="2"/>
  <c r="AER176" i="2" s="1"/>
  <c r="AEZ164" i="2"/>
  <c r="AEZ163" i="2" s="1"/>
  <c r="AEZ178" i="2"/>
  <c r="AEZ176" i="2" s="1"/>
  <c r="AFL164" i="2"/>
  <c r="AFL163" i="2" s="1"/>
  <c r="AFL178" i="2"/>
  <c r="AFL176" i="2" s="1"/>
  <c r="ADJ9" i="2"/>
  <c r="ADI178" i="2"/>
  <c r="ADI176" i="2" s="1"/>
  <c r="ADI164" i="2"/>
  <c r="ADI163" i="2" s="1"/>
  <c r="ADU178" i="2"/>
  <c r="ADU176" i="2" s="1"/>
  <c r="ADU164" i="2"/>
  <c r="ADU163" i="2" s="1"/>
  <c r="ADU63" i="2" s="1"/>
  <c r="ADY178" i="2"/>
  <c r="ADY176" i="2" s="1"/>
  <c r="ADY164" i="2"/>
  <c r="ADY163" i="2" s="1"/>
  <c r="ADY63" i="2" s="1"/>
  <c r="AEC178" i="2"/>
  <c r="AEC176" i="2" s="1"/>
  <c r="AEC164" i="2"/>
  <c r="AEC163" i="2" s="1"/>
  <c r="AEG178" i="2"/>
  <c r="AEG176" i="2" s="1"/>
  <c r="AEG164" i="2"/>
  <c r="AEG163" i="2" s="1"/>
  <c r="AEG63" i="2" s="1"/>
  <c r="AEK178" i="2"/>
  <c r="AEK176" i="2" s="1"/>
  <c r="AEK164" i="2"/>
  <c r="AEK163" i="2" s="1"/>
  <c r="AEK63" i="2" s="1"/>
  <c r="AEO178" i="2"/>
  <c r="AEO176" i="2" s="1"/>
  <c r="AEO164" i="2"/>
  <c r="AEO163" i="2" s="1"/>
  <c r="AES178" i="2"/>
  <c r="AES176" i="2" s="1"/>
  <c r="AES164" i="2"/>
  <c r="AES163" i="2" s="1"/>
  <c r="AEW178" i="2"/>
  <c r="AEW176" i="2" s="1"/>
  <c r="AEW164" i="2"/>
  <c r="AEW163" i="2" s="1"/>
  <c r="AFA178" i="2"/>
  <c r="AFA176" i="2" s="1"/>
  <c r="AFA164" i="2"/>
  <c r="AFA163" i="2" s="1"/>
  <c r="AFE178" i="2"/>
  <c r="AFE176" i="2" s="1"/>
  <c r="AFE164" i="2"/>
  <c r="AFE163" i="2" s="1"/>
  <c r="AFI178" i="2"/>
  <c r="AFI176" i="2" s="1"/>
  <c r="AFI164" i="2"/>
  <c r="AFI163" i="2" s="1"/>
  <c r="AFM178" i="2"/>
  <c r="AFM176" i="2" s="1"/>
  <c r="AFM164" i="2"/>
  <c r="AFM163" i="2" s="1"/>
  <c r="ADO9" i="2"/>
  <c r="ADV178" i="2"/>
  <c r="ADV176" i="2" s="1"/>
  <c r="ADV164" i="2"/>
  <c r="ADV163" i="2" s="1"/>
  <c r="ADV63" i="2" s="1"/>
  <c r="ADZ178" i="2"/>
  <c r="ADZ176" i="2" s="1"/>
  <c r="ADZ164" i="2"/>
  <c r="ADZ163" i="2" s="1"/>
  <c r="ADZ63" i="2" s="1"/>
  <c r="AED178" i="2"/>
  <c r="AED176" i="2" s="1"/>
  <c r="AED164" i="2"/>
  <c r="AED163" i="2" s="1"/>
  <c r="AED63" i="2" s="1"/>
  <c r="AEH178" i="2"/>
  <c r="AEH176" i="2" s="1"/>
  <c r="AEH164" i="2"/>
  <c r="AEH163" i="2" s="1"/>
  <c r="AEH63" i="2" s="1"/>
  <c r="AEL178" i="2"/>
  <c r="AEL176" i="2" s="1"/>
  <c r="AEL164" i="2"/>
  <c r="AEL163" i="2" s="1"/>
  <c r="AEP178" i="2"/>
  <c r="AEP176" i="2" s="1"/>
  <c r="AEP164" i="2"/>
  <c r="AEP163" i="2" s="1"/>
  <c r="AET178" i="2"/>
  <c r="AET176" i="2" s="1"/>
  <c r="AET164" i="2"/>
  <c r="AET163" i="2" s="1"/>
  <c r="AEX178" i="2"/>
  <c r="AEX176" i="2" s="1"/>
  <c r="AEX164" i="2"/>
  <c r="AEX163" i="2" s="1"/>
  <c r="AFB178" i="2"/>
  <c r="AFB176" i="2" s="1"/>
  <c r="AFB164" i="2"/>
  <c r="AFB163" i="2" s="1"/>
  <c r="AFF178" i="2"/>
  <c r="AFF176" i="2" s="1"/>
  <c r="AFF164" i="2"/>
  <c r="AFF163" i="2" s="1"/>
  <c r="AFJ178" i="2"/>
  <c r="AFJ176" i="2" s="1"/>
  <c r="AFJ164" i="2"/>
  <c r="AFJ163" i="2" s="1"/>
  <c r="AFN118" i="2"/>
  <c r="AFN117" i="2" s="1"/>
  <c r="AFN75" i="2"/>
  <c r="ADP77" i="2"/>
  <c r="ADS178" i="2"/>
  <c r="ADS176" i="2" s="1"/>
  <c r="ADS164" i="2"/>
  <c r="ADS163" i="2" s="1"/>
  <c r="ADW178" i="2"/>
  <c r="ADW176" i="2" s="1"/>
  <c r="ADW164" i="2"/>
  <c r="ADW163" i="2" s="1"/>
  <c r="ADW63" i="2" s="1"/>
  <c r="AEA178" i="2"/>
  <c r="AEA176" i="2" s="1"/>
  <c r="AEA164" i="2"/>
  <c r="AEA163" i="2" s="1"/>
  <c r="AEA63" i="2" s="1"/>
  <c r="AEE178" i="2"/>
  <c r="AEE176" i="2" s="1"/>
  <c r="AEE164" i="2"/>
  <c r="AEE163" i="2" s="1"/>
  <c r="AEE63" i="2" s="1"/>
  <c r="AEI178" i="2"/>
  <c r="AEI176" i="2" s="1"/>
  <c r="AEI164" i="2"/>
  <c r="AEI163" i="2" s="1"/>
  <c r="AEI63" i="2" s="1"/>
  <c r="AEJ63" i="2" s="1"/>
  <c r="AEM178" i="2"/>
  <c r="AEM176" i="2" s="1"/>
  <c r="AEM65" i="2" s="1"/>
  <c r="AEM164" i="2"/>
  <c r="AEM163" i="2" s="1"/>
  <c r="AEQ178" i="2"/>
  <c r="AEQ176" i="2" s="1"/>
  <c r="AEQ164" i="2"/>
  <c r="AEQ163" i="2" s="1"/>
  <c r="AEU178" i="2"/>
  <c r="AEU176" i="2" s="1"/>
  <c r="AEU164" i="2"/>
  <c r="AEU163" i="2" s="1"/>
  <c r="AEY178" i="2"/>
  <c r="AEY176" i="2" s="1"/>
  <c r="AEY164" i="2"/>
  <c r="AEY163" i="2" s="1"/>
  <c r="AFC178" i="2"/>
  <c r="AFC176" i="2" s="1"/>
  <c r="AFC164" i="2"/>
  <c r="AFC163" i="2" s="1"/>
  <c r="AFG178" i="2"/>
  <c r="AFG176" i="2" s="1"/>
  <c r="AFG164" i="2"/>
  <c r="AFG163" i="2" s="1"/>
  <c r="AFK178" i="2"/>
  <c r="AFK176" i="2" s="1"/>
  <c r="AFK164" i="2"/>
  <c r="AFK163" i="2" s="1"/>
  <c r="AFO178" i="2"/>
  <c r="AFO176" i="2" s="1"/>
  <c r="AFO164" i="2"/>
  <c r="AFO163" i="2" s="1"/>
  <c r="ADT164" i="2"/>
  <c r="ADT163" i="2" s="1"/>
  <c r="ADT178" i="2"/>
  <c r="ADT176" i="2" s="1"/>
  <c r="AEB164" i="2"/>
  <c r="AEB163" i="2" s="1"/>
  <c r="AEB178" i="2"/>
  <c r="AEB176" i="2" s="1"/>
  <c r="AEN164" i="2"/>
  <c r="AEN163" i="2" s="1"/>
  <c r="AEN178" i="2"/>
  <c r="AEN176" i="2" s="1"/>
  <c r="AEV164" i="2"/>
  <c r="AEV163" i="2" s="1"/>
  <c r="AEV178" i="2"/>
  <c r="AEV176" i="2" s="1"/>
  <c r="AFD164" i="2"/>
  <c r="AFD163" i="2" s="1"/>
  <c r="AFD178" i="2"/>
  <c r="AFD176" i="2" s="1"/>
  <c r="AFH164" i="2"/>
  <c r="AFH163" i="2" s="1"/>
  <c r="AFH178" i="2"/>
  <c r="AFH176" i="2" s="1"/>
  <c r="ACD163" i="2"/>
  <c r="ACC164" i="2"/>
  <c r="ACC163" i="2" s="1"/>
  <c r="ACC176" i="2"/>
  <c r="ACC65" i="2" s="1"/>
  <c r="ACD65" i="2" s="1"/>
  <c r="ACF163" i="2"/>
  <c r="ACF178" i="2"/>
  <c r="ACF176" i="2" s="1"/>
  <c r="ACG176" i="2"/>
  <c r="ABI178" i="2"/>
  <c r="ABI176" i="2" s="1"/>
  <c r="ABJ178" i="2"/>
  <c r="ABJ176" i="2" s="1"/>
  <c r="ABI163" i="2"/>
  <c r="ABJ163" i="2"/>
  <c r="ACG164" i="2"/>
  <c r="ACG163" i="2" s="1"/>
  <c r="ACE164" i="2"/>
  <c r="ACE163" i="2" s="1"/>
  <c r="ACE176" i="2"/>
  <c r="ACA60" i="2"/>
  <c r="ACA59" i="2"/>
  <c r="ACA57" i="2"/>
  <c r="ACA178" i="2" s="1"/>
  <c r="ACB185" i="2"/>
  <c r="ACB171" i="2"/>
  <c r="ACB166" i="2"/>
  <c r="ACB165" i="2"/>
  <c r="ACA185" i="2"/>
  <c r="ACA171" i="2"/>
  <c r="ACA166" i="2"/>
  <c r="ACA165" i="2"/>
  <c r="ACB57" i="2"/>
  <c r="ACB178" i="2" s="1"/>
  <c r="ABZ57" i="2"/>
  <c r="ABZ178" i="2" s="1"/>
  <c r="ABY57" i="2"/>
  <c r="ABY164" i="2" s="1"/>
  <c r="ABX57" i="2"/>
  <c r="ABX178" i="2" s="1"/>
  <c r="ABV57" i="2"/>
  <c r="ABV178" i="2" s="1"/>
  <c r="ABU57" i="2"/>
  <c r="ABU178" i="2" s="1"/>
  <c r="ABT57" i="2"/>
  <c r="ABT178" i="2" s="1"/>
  <c r="ABZ185" i="2"/>
  <c r="ABY185" i="2"/>
  <c r="ABX185" i="2"/>
  <c r="ABW185" i="2"/>
  <c r="ABV185" i="2"/>
  <c r="ABU185" i="2"/>
  <c r="ABT185" i="2"/>
  <c r="ABS185" i="2"/>
  <c r="ABR185" i="2"/>
  <c r="ABQ185" i="2"/>
  <c r="ABP185" i="2"/>
  <c r="ABO185" i="2"/>
  <c r="ABN185" i="2"/>
  <c r="ABM185" i="2"/>
  <c r="ABL185" i="2"/>
  <c r="ABY178" i="2"/>
  <c r="ABW178" i="2"/>
  <c r="ABZ171" i="2"/>
  <c r="ABY171" i="2"/>
  <c r="ABX171" i="2"/>
  <c r="ABW171" i="2"/>
  <c r="ABV171" i="2"/>
  <c r="ABU171" i="2"/>
  <c r="ABT171" i="2"/>
  <c r="ABS171" i="2"/>
  <c r="ABR171" i="2"/>
  <c r="ABQ171" i="2"/>
  <c r="ABP171" i="2"/>
  <c r="ABO171" i="2"/>
  <c r="ABN171" i="2"/>
  <c r="ABM171" i="2"/>
  <c r="ABL171" i="2"/>
  <c r="ABZ166" i="2"/>
  <c r="ABY166" i="2"/>
  <c r="ABX166" i="2"/>
  <c r="ABW166" i="2"/>
  <c r="ABV166" i="2"/>
  <c r="ABU166" i="2"/>
  <c r="ABT166" i="2"/>
  <c r="ABS166" i="2"/>
  <c r="ABR166" i="2"/>
  <c r="ABQ166" i="2"/>
  <c r="ABP166" i="2"/>
  <c r="ABO166" i="2"/>
  <c r="ABN166" i="2"/>
  <c r="ABM166" i="2"/>
  <c r="ABL166" i="2"/>
  <c r="ABZ165" i="2"/>
  <c r="ABY165" i="2"/>
  <c r="ABX165" i="2"/>
  <c r="ABW165" i="2"/>
  <c r="ABV165" i="2"/>
  <c r="ABU165" i="2"/>
  <c r="ABT165" i="2"/>
  <c r="ABS165" i="2"/>
  <c r="ABR165" i="2"/>
  <c r="ABQ165" i="2"/>
  <c r="ABP165" i="2"/>
  <c r="ABO165" i="2"/>
  <c r="ABN165" i="2"/>
  <c r="ABM165" i="2"/>
  <c r="ABL165" i="2"/>
  <c r="ABW164" i="2"/>
  <c r="ACC60" i="2"/>
  <c r="ACB60" i="2"/>
  <c r="ABZ60" i="2"/>
  <c r="ABY60" i="2"/>
  <c r="ABX60" i="2"/>
  <c r="ABW60" i="2"/>
  <c r="ABV60" i="2"/>
  <c r="ABU60" i="2"/>
  <c r="ABT60" i="2"/>
  <c r="ABS60" i="2"/>
  <c r="ABR60" i="2"/>
  <c r="ABQ60" i="2"/>
  <c r="ABP60" i="2"/>
  <c r="ABO60" i="2"/>
  <c r="ABN60" i="2"/>
  <c r="ABM60" i="2"/>
  <c r="ABL60" i="2"/>
  <c r="ACC59" i="2"/>
  <c r="ACB59" i="2"/>
  <c r="ABZ59" i="2"/>
  <c r="ABY59" i="2"/>
  <c r="ABX59" i="2"/>
  <c r="ABW59" i="2"/>
  <c r="ABV59" i="2"/>
  <c r="ABU59" i="2"/>
  <c r="ABT59" i="2"/>
  <c r="ABS59" i="2"/>
  <c r="ABR59" i="2"/>
  <c r="ABQ59" i="2"/>
  <c r="ABP59" i="2"/>
  <c r="ABO59" i="2"/>
  <c r="ABN59" i="2"/>
  <c r="ABM59" i="2"/>
  <c r="ABL59" i="2"/>
  <c r="ABK60" i="2"/>
  <c r="ABK59" i="2"/>
  <c r="ABS57" i="2"/>
  <c r="ABS178" i="2" s="1"/>
  <c r="ABR57" i="2"/>
  <c r="ABR164" i="2" s="1"/>
  <c r="ABQ57" i="2"/>
  <c r="ABQ164" i="2" s="1"/>
  <c r="ABP57" i="2"/>
  <c r="ABP164" i="2" s="1"/>
  <c r="ABO57" i="2"/>
  <c r="ABO178" i="2" s="1"/>
  <c r="ABN57" i="2"/>
  <c r="ABN164" i="2" s="1"/>
  <c r="ABM57" i="2"/>
  <c r="ABM164" i="2" s="1"/>
  <c r="ABL57" i="2"/>
  <c r="ABL164" i="2" s="1"/>
  <c r="ABK57" i="2"/>
  <c r="ABH60" i="2"/>
  <c r="ABH59" i="2"/>
  <c r="ABH57" i="2"/>
  <c r="AAY185" i="2"/>
  <c r="AAY171" i="2"/>
  <c r="AAY166" i="2"/>
  <c r="AAY165" i="2"/>
  <c r="ABF95" i="2"/>
  <c r="ABF94" i="2"/>
  <c r="ABF93" i="2"/>
  <c r="ABF92" i="2"/>
  <c r="ABF91" i="2"/>
  <c r="ABF90" i="2"/>
  <c r="ABF89" i="2"/>
  <c r="ABF88" i="2"/>
  <c r="ABF84" i="2"/>
  <c r="ABF83" i="2"/>
  <c r="ABF82" i="2"/>
  <c r="ABF81" i="2"/>
  <c r="ABF78" i="2"/>
  <c r="ABF66" i="2"/>
  <c r="ABG66" i="2" s="1"/>
  <c r="ABH66" i="2" s="1"/>
  <c r="ABI66" i="2" s="1"/>
  <c r="ABJ66" i="2" s="1"/>
  <c r="ABK66" i="2" s="1"/>
  <c r="ABL66" i="2" s="1"/>
  <c r="ABM66" i="2" s="1"/>
  <c r="ABN66" i="2" s="1"/>
  <c r="ABO66" i="2" s="1"/>
  <c r="ABP66" i="2" s="1"/>
  <c r="ABQ66" i="2" s="1"/>
  <c r="ABR66" i="2" s="1"/>
  <c r="ABS66" i="2" s="1"/>
  <c r="ABT66" i="2" s="1"/>
  <c r="ABU66" i="2" s="1"/>
  <c r="ABV66" i="2" s="1"/>
  <c r="ABW66" i="2" s="1"/>
  <c r="ABX66" i="2" s="1"/>
  <c r="ABY66" i="2" s="1"/>
  <c r="ABZ66" i="2" s="1"/>
  <c r="ACA66" i="2" s="1"/>
  <c r="ACB66" i="2" s="1"/>
  <c r="ACC66" i="2" s="1"/>
  <c r="ACD66" i="2" s="1"/>
  <c r="ACE66" i="2" s="1"/>
  <c r="ACF66" i="2" s="1"/>
  <c r="ACG66" i="2" s="1"/>
  <c r="ABG61" i="2"/>
  <c r="ABF61" i="2"/>
  <c r="ABF60" i="2"/>
  <c r="ABF59" i="2"/>
  <c r="ABG57" i="2"/>
  <c r="ABF57" i="2"/>
  <c r="ABF85" i="2" s="1"/>
  <c r="ABE57" i="2"/>
  <c r="ABD57" i="2"/>
  <c r="ABC57" i="2"/>
  <c r="ABB57" i="2"/>
  <c r="ABA57" i="2"/>
  <c r="AAZ57" i="2"/>
  <c r="AAY57" i="2"/>
  <c r="AAY178" i="2" s="1"/>
  <c r="ABA9" i="2"/>
  <c r="ABB9" i="2" s="1"/>
  <c r="AAW57" i="2"/>
  <c r="AAV60" i="2"/>
  <c r="AAV59" i="2"/>
  <c r="AAV57" i="2"/>
  <c r="AAU61" i="2"/>
  <c r="AAT95" i="2"/>
  <c r="AAT94" i="2"/>
  <c r="AAT93" i="2"/>
  <c r="AAT92" i="2"/>
  <c r="AAT91" i="2"/>
  <c r="AAT90" i="2"/>
  <c r="AAT89" i="2"/>
  <c r="AAT88" i="2"/>
  <c r="AAT84" i="2"/>
  <c r="AAT83" i="2"/>
  <c r="AAT82" i="2"/>
  <c r="AAT81" i="2"/>
  <c r="AAT78" i="2"/>
  <c r="AAT66" i="2"/>
  <c r="AAU66" i="2" s="1"/>
  <c r="AAT61" i="2"/>
  <c r="AAT60" i="2"/>
  <c r="AAT59" i="2"/>
  <c r="AAU57" i="2"/>
  <c r="AAT57" i="2"/>
  <c r="AAT85" i="2" s="1"/>
  <c r="AAS57" i="2"/>
  <c r="AAR57" i="2"/>
  <c r="AAQ57" i="2"/>
  <c r="AAP57" i="2"/>
  <c r="AAO57" i="2"/>
  <c r="AAN57" i="2"/>
  <c r="AAM57" i="2"/>
  <c r="AAM178" i="2" s="1"/>
  <c r="AAO9" i="2"/>
  <c r="AAS9" i="2" s="1"/>
  <c r="AAR9" i="2" s="1"/>
  <c r="AAQ9" i="2" s="1"/>
  <c r="AAM185" i="2"/>
  <c r="AAM171" i="2"/>
  <c r="AAM166" i="2"/>
  <c r="AAM165" i="2"/>
  <c r="AAJ60" i="2"/>
  <c r="AAJ59" i="2"/>
  <c r="AAC61" i="2"/>
  <c r="AAB61" i="2"/>
  <c r="AAA61" i="2"/>
  <c r="ZZ61" i="2"/>
  <c r="AGX9" i="2" l="1"/>
  <c r="AGU9" i="2"/>
  <c r="AEN65" i="2"/>
  <c r="AEO65" i="2" s="1"/>
  <c r="AEP65" i="2" s="1"/>
  <c r="AEQ65" i="2" s="1"/>
  <c r="AER65" i="2" s="1"/>
  <c r="AES65" i="2" s="1"/>
  <c r="AET65" i="2" s="1"/>
  <c r="AEU65" i="2" s="1"/>
  <c r="AEV65" i="2" s="1"/>
  <c r="AEW65" i="2" s="1"/>
  <c r="AEX65" i="2" s="1"/>
  <c r="AEY65" i="2" s="1"/>
  <c r="AEZ65" i="2" s="1"/>
  <c r="AFA65" i="2" s="1"/>
  <c r="AFB65" i="2" s="1"/>
  <c r="AFC65" i="2" s="1"/>
  <c r="AFD65" i="2" s="1"/>
  <c r="AFE65" i="2" s="1"/>
  <c r="AFF65" i="2" s="1"/>
  <c r="AFG65" i="2" s="1"/>
  <c r="AFH65" i="2" s="1"/>
  <c r="AFI65" i="2" s="1"/>
  <c r="AFJ65" i="2" s="1"/>
  <c r="AFK65" i="2" s="1"/>
  <c r="AFL65" i="2" s="1"/>
  <c r="AFM65" i="2" s="1"/>
  <c r="AEB63" i="2"/>
  <c r="AEC63" i="2" s="1"/>
  <c r="ADP9" i="2"/>
  <c r="ADQ9" i="2" s="1"/>
  <c r="ADR9" i="2" s="1"/>
  <c r="ADS9" i="2" s="1"/>
  <c r="ADT9" i="2" s="1"/>
  <c r="ADU9" i="2" s="1"/>
  <c r="ADV9" i="2" s="1"/>
  <c r="ADW9" i="2" s="1"/>
  <c r="ADX9" i="2" s="1"/>
  <c r="ADY9" i="2" s="1"/>
  <c r="ADZ9" i="2" s="1"/>
  <c r="AEA9" i="2" s="1"/>
  <c r="AEB9" i="2" s="1"/>
  <c r="AEC9" i="2" s="1"/>
  <c r="AED9" i="2" s="1"/>
  <c r="AEE9" i="2" s="1"/>
  <c r="AEF9" i="2" s="1"/>
  <c r="AEG9" i="2" s="1"/>
  <c r="AEH9" i="2" s="1"/>
  <c r="AEI9" i="2" s="1"/>
  <c r="AEJ9" i="2" s="1"/>
  <c r="AEK9" i="2" s="1"/>
  <c r="AEL9" i="2" s="1"/>
  <c r="AEM9" i="2" s="1"/>
  <c r="AEN9" i="2" s="1"/>
  <c r="AEO9" i="2" s="1"/>
  <c r="AEP9" i="2" s="1"/>
  <c r="AEQ9" i="2" s="1"/>
  <c r="AER9" i="2" s="1"/>
  <c r="AES9" i="2" s="1"/>
  <c r="AET9" i="2" s="1"/>
  <c r="ADN9" i="2"/>
  <c r="ADM9" i="2" s="1"/>
  <c r="AEL63" i="2"/>
  <c r="AEM63" i="2" s="1"/>
  <c r="AEN63" i="2" s="1"/>
  <c r="AEO63" i="2" s="1"/>
  <c r="ABO176" i="2"/>
  <c r="ABL163" i="2"/>
  <c r="ABL63" i="2" s="1"/>
  <c r="ABN163" i="2"/>
  <c r="ABN63" i="2" s="1"/>
  <c r="ABK178" i="2"/>
  <c r="ABK176" i="2" s="1"/>
  <c r="ABK164" i="2"/>
  <c r="ABK163" i="2" s="1"/>
  <c r="ABK63" i="2" s="1"/>
  <c r="ABY176" i="2"/>
  <c r="ABS176" i="2"/>
  <c r="ABW176" i="2"/>
  <c r="ACB164" i="2"/>
  <c r="ACB163" i="2" s="1"/>
  <c r="ACA176" i="2"/>
  <c r="ACB176" i="2"/>
  <c r="AAN9" i="2"/>
  <c r="AAT87" i="2"/>
  <c r="AAT64" i="2" s="1"/>
  <c r="AAU64" i="2" s="1"/>
  <c r="AAP9" i="2"/>
  <c r="AAT9" i="2"/>
  <c r="AAU9" i="2" s="1"/>
  <c r="AAV9" i="2" s="1"/>
  <c r="AAW9" i="2" s="1"/>
  <c r="AAZ9" i="2"/>
  <c r="ACA164" i="2"/>
  <c r="ACA163" i="2" s="1"/>
  <c r="ACA63" i="2" s="1"/>
  <c r="ABO164" i="2"/>
  <c r="ABS164" i="2"/>
  <c r="ABS163" i="2" s="1"/>
  <c r="ABL178" i="2"/>
  <c r="ABL176" i="2" s="1"/>
  <c r="ABP178" i="2"/>
  <c r="ABP176" i="2" s="1"/>
  <c r="ABO163" i="2"/>
  <c r="ABO63" i="2" s="1"/>
  <c r="ABW163" i="2"/>
  <c r="ABW63" i="2" s="1"/>
  <c r="ABP163" i="2"/>
  <c r="ABP63" i="2" s="1"/>
  <c r="ABM178" i="2"/>
  <c r="ABM176" i="2" s="1"/>
  <c r="ABQ178" i="2"/>
  <c r="ABQ176" i="2" s="1"/>
  <c r="AAT77" i="2"/>
  <c r="ABN178" i="2"/>
  <c r="ABN176" i="2" s="1"/>
  <c r="ABR178" i="2"/>
  <c r="ABR176" i="2" s="1"/>
  <c r="ABU176" i="2"/>
  <c r="ABZ176" i="2"/>
  <c r="ABM163" i="2"/>
  <c r="ABM63" i="2" s="1"/>
  <c r="ABQ163" i="2"/>
  <c r="ABQ63" i="2" s="1"/>
  <c r="ABR163" i="2"/>
  <c r="ABV176" i="2"/>
  <c r="ABZ164" i="2"/>
  <c r="ABZ163" i="2" s="1"/>
  <c r="ABY163" i="2"/>
  <c r="ABY63" i="2" s="1"/>
  <c r="ABX164" i="2"/>
  <c r="ABX163" i="2" s="1"/>
  <c r="ABX63" i="2" s="1"/>
  <c r="ABX176" i="2"/>
  <c r="ABV164" i="2"/>
  <c r="ABV163" i="2" s="1"/>
  <c r="ABV63" i="2" s="1"/>
  <c r="ABU164" i="2"/>
  <c r="ABU163" i="2" s="1"/>
  <c r="ABU63" i="2" s="1"/>
  <c r="ABT164" i="2"/>
  <c r="ABT163" i="2" s="1"/>
  <c r="ABT63" i="2" s="1"/>
  <c r="ABT176" i="2"/>
  <c r="ABF87" i="2"/>
  <c r="ABF64" i="2" s="1"/>
  <c r="ABG64" i="2" s="1"/>
  <c r="ABH64" i="2" s="1"/>
  <c r="ABI64" i="2" s="1"/>
  <c r="ABJ64" i="2" s="1"/>
  <c r="ABK64" i="2" s="1"/>
  <c r="ABL64" i="2" s="1"/>
  <c r="ABM64" i="2" s="1"/>
  <c r="ABN64" i="2" s="1"/>
  <c r="ABO64" i="2" s="1"/>
  <c r="ABP64" i="2" s="1"/>
  <c r="ABQ64" i="2" s="1"/>
  <c r="ABR64" i="2" s="1"/>
  <c r="ABS64" i="2" s="1"/>
  <c r="ABT64" i="2" s="1"/>
  <c r="ABU64" i="2" s="1"/>
  <c r="ABV64" i="2" s="1"/>
  <c r="ABW64" i="2" s="1"/>
  <c r="ABX64" i="2" s="1"/>
  <c r="ABY64" i="2" s="1"/>
  <c r="ABZ64" i="2" s="1"/>
  <c r="ACA64" i="2" s="1"/>
  <c r="ACB64" i="2" s="1"/>
  <c r="ACC64" i="2" s="1"/>
  <c r="ACD64" i="2" s="1"/>
  <c r="ACE64" i="2" s="1"/>
  <c r="ACF64" i="2" s="1"/>
  <c r="ACG64" i="2" s="1"/>
  <c r="ABF77" i="2"/>
  <c r="AAY176" i="2"/>
  <c r="ABE9" i="2"/>
  <c r="AAY164" i="2"/>
  <c r="AAY163" i="2" s="1"/>
  <c r="AAM164" i="2"/>
  <c r="AAM163" i="2" s="1"/>
  <c r="AAM176" i="2"/>
  <c r="ZY61" i="2"/>
  <c r="ZY57" i="2"/>
  <c r="ZW61" i="2"/>
  <c r="ZV61" i="2"/>
  <c r="ZU61" i="2"/>
  <c r="ZT61" i="2"/>
  <c r="ZS61" i="2"/>
  <c r="ZR61" i="2"/>
  <c r="ZR57" i="2"/>
  <c r="ZP61" i="2"/>
  <c r="ZO61" i="2"/>
  <c r="ZN61" i="2"/>
  <c r="ZM61" i="2"/>
  <c r="ZL61" i="2"/>
  <c r="ZK61" i="2"/>
  <c r="ZK57" i="2"/>
  <c r="AGW9" i="2" l="1"/>
  <c r="AGV9" i="2" s="1"/>
  <c r="AGY9" i="2"/>
  <c r="AGZ9" i="2" s="1"/>
  <c r="AHA9" i="2" s="1"/>
  <c r="AHB9" i="2" s="1"/>
  <c r="AHC9" i="2" s="1"/>
  <c r="AHG9" i="2" s="1"/>
  <c r="AEU9" i="2"/>
  <c r="AEV9" i="2" s="1"/>
  <c r="AEW9" i="2" s="1"/>
  <c r="AEX9" i="2"/>
  <c r="AEY9" i="2" s="1"/>
  <c r="AEZ9" i="2" s="1"/>
  <c r="AFA9" i="2" s="1"/>
  <c r="AFB9" i="2" s="1"/>
  <c r="AFC9" i="2" s="1"/>
  <c r="AFG9" i="2" s="1"/>
  <c r="ABZ63" i="2"/>
  <c r="ACB63" i="2"/>
  <c r="ACC63" i="2" s="1"/>
  <c r="ACD63" i="2" s="1"/>
  <c r="ACE63" i="2" s="1"/>
  <c r="ABR63" i="2"/>
  <c r="ABS63" i="2" s="1"/>
  <c r="ACE65" i="2"/>
  <c r="ACF65" i="2" s="1"/>
  <c r="ACG65" i="2" s="1"/>
  <c r="ACH65" i="2" s="1"/>
  <c r="ACI65" i="2" s="1"/>
  <c r="ACJ65" i="2" s="1"/>
  <c r="ACK65" i="2" s="1"/>
  <c r="ACL65" i="2" s="1"/>
  <c r="ACM65" i="2" s="1"/>
  <c r="ACN65" i="2" s="1"/>
  <c r="ACO65" i="2" s="1"/>
  <c r="ACP65" i="2" s="1"/>
  <c r="ACQ65" i="2" s="1"/>
  <c r="ACR65" i="2" s="1"/>
  <c r="ACS65" i="2" s="1"/>
  <c r="ACT65" i="2" s="1"/>
  <c r="ACU65" i="2" s="1"/>
  <c r="ACV65" i="2" s="1"/>
  <c r="ACW65" i="2" s="1"/>
  <c r="ACX65" i="2" s="1"/>
  <c r="ACY65" i="2" s="1"/>
  <c r="ACZ65" i="2" s="1"/>
  <c r="ADA65" i="2" s="1"/>
  <c r="ADB65" i="2" s="1"/>
  <c r="ADC65" i="2" s="1"/>
  <c r="ABD9" i="2"/>
  <c r="ABC9" i="2" s="1"/>
  <c r="ABF9" i="2"/>
  <c r="ABG9" i="2" s="1"/>
  <c r="ABH9" i="2" s="1"/>
  <c r="YF57" i="2"/>
  <c r="AHD9" i="2" l="1"/>
  <c r="AFD9" i="2"/>
  <c r="AFE9" i="2" s="1"/>
  <c r="AFF9" i="2" s="1"/>
  <c r="ABI9" i="2"/>
  <c r="ABJ9" i="2" s="1"/>
  <c r="ABK9" i="2" s="1"/>
  <c r="ABL9" i="2" s="1"/>
  <c r="ABM9" i="2" s="1"/>
  <c r="ABN9" i="2" s="1"/>
  <c r="ABO9" i="2" s="1"/>
  <c r="ABP9" i="2" s="1"/>
  <c r="ABQ9" i="2" s="1"/>
  <c r="ABR9" i="2" s="1"/>
  <c r="ABS9" i="2" s="1"/>
  <c r="ABT9" i="2" s="1"/>
  <c r="ABU9" i="2" s="1"/>
  <c r="ABV9" i="2" s="1"/>
  <c r="ABW9" i="2" s="1"/>
  <c r="ABX9" i="2" s="1"/>
  <c r="ABY9" i="2" s="1"/>
  <c r="ABZ9" i="2" s="1"/>
  <c r="ACA9" i="2" s="1"/>
  <c r="ACB9" i="2" s="1"/>
  <c r="YF75" i="2"/>
  <c r="WW57" i="2"/>
  <c r="WW75" i="2" s="1"/>
  <c r="AK57" i="2"/>
  <c r="AJ57" i="2"/>
  <c r="AI57" i="2"/>
  <c r="AH57" i="2"/>
  <c r="AG57" i="2"/>
  <c r="AF57" i="2"/>
  <c r="AD57" i="2"/>
  <c r="AC57" i="2"/>
  <c r="AB57" i="2"/>
  <c r="AA57" i="2"/>
  <c r="Z57" i="2"/>
  <c r="Y57" i="2"/>
  <c r="W57" i="2"/>
  <c r="V57" i="2"/>
  <c r="U57" i="2"/>
  <c r="T57" i="2"/>
  <c r="S57" i="2"/>
  <c r="R57" i="2"/>
  <c r="P57" i="2"/>
  <c r="O57" i="2"/>
  <c r="N57" i="2"/>
  <c r="M57" i="2"/>
  <c r="L57" i="2"/>
  <c r="K57" i="2"/>
  <c r="I57" i="2"/>
  <c r="H57" i="2"/>
  <c r="G57" i="2"/>
  <c r="F57" i="2"/>
  <c r="E57" i="2"/>
  <c r="D57" i="2"/>
  <c r="FB57" i="2"/>
  <c r="FA57" i="2"/>
  <c r="EZ57" i="2"/>
  <c r="EY57" i="2"/>
  <c r="EX57" i="2"/>
  <c r="EW57" i="2"/>
  <c r="EV57" i="2"/>
  <c r="EU57" i="2"/>
  <c r="ET57" i="2"/>
  <c r="ES57" i="2"/>
  <c r="ER57" i="2"/>
  <c r="EQ57" i="2"/>
  <c r="EP57" i="2"/>
  <c r="EO57" i="2"/>
  <c r="EN57" i="2"/>
  <c r="EM57" i="2"/>
  <c r="EL57" i="2"/>
  <c r="EK57" i="2"/>
  <c r="EJ57" i="2"/>
  <c r="EI57" i="2"/>
  <c r="EH57" i="2"/>
  <c r="EG57" i="2"/>
  <c r="EF57" i="2"/>
  <c r="EE57" i="2"/>
  <c r="ED57" i="2"/>
  <c r="EC57" i="2"/>
  <c r="EB57" i="2"/>
  <c r="EA57" i="2"/>
  <c r="DZ57" i="2"/>
  <c r="DY57" i="2"/>
  <c r="DX57" i="2"/>
  <c r="DW57" i="2"/>
  <c r="DV57" i="2"/>
  <c r="DU57" i="2"/>
  <c r="DT57" i="2"/>
  <c r="DS57" i="2"/>
  <c r="DR57" i="2"/>
  <c r="DQ57" i="2"/>
  <c r="DP57" i="2"/>
  <c r="DO57" i="2"/>
  <c r="DN57" i="2"/>
  <c r="DM57" i="2"/>
  <c r="DL57" i="2"/>
  <c r="DK57" i="2"/>
  <c r="DJ57" i="2"/>
  <c r="DI57" i="2"/>
  <c r="DH57" i="2"/>
  <c r="DG57" i="2"/>
  <c r="DF57" i="2"/>
  <c r="DE57" i="2"/>
  <c r="DD57" i="2"/>
  <c r="DC57" i="2"/>
  <c r="DB57" i="2"/>
  <c r="DA57" i="2"/>
  <c r="CZ57" i="2"/>
  <c r="CY57" i="2"/>
  <c r="CX57" i="2"/>
  <c r="CW57" i="2"/>
  <c r="CV57" i="2"/>
  <c r="CU57" i="2"/>
  <c r="CT57" i="2"/>
  <c r="CS57" i="2"/>
  <c r="CR57" i="2"/>
  <c r="CQ57" i="2"/>
  <c r="CP57" i="2"/>
  <c r="CO57" i="2"/>
  <c r="CN57" i="2"/>
  <c r="CM57" i="2"/>
  <c r="CL57" i="2"/>
  <c r="CK57" i="2"/>
  <c r="CJ57" i="2"/>
  <c r="CI57" i="2"/>
  <c r="CH57" i="2"/>
  <c r="CG57" i="2"/>
  <c r="CF57" i="2"/>
  <c r="CE57" i="2"/>
  <c r="CD57" i="2"/>
  <c r="CC57" i="2"/>
  <c r="CB57" i="2"/>
  <c r="CA57" i="2"/>
  <c r="BZ57" i="2"/>
  <c r="BY57" i="2"/>
  <c r="BX57" i="2"/>
  <c r="BW57" i="2"/>
  <c r="BV57" i="2"/>
  <c r="BU57" i="2"/>
  <c r="BT57" i="2"/>
  <c r="BS57" i="2"/>
  <c r="BR57" i="2"/>
  <c r="BQ57" i="2"/>
  <c r="BP57" i="2"/>
  <c r="BO57" i="2"/>
  <c r="BN57" i="2"/>
  <c r="BM57" i="2"/>
  <c r="BL57" i="2"/>
  <c r="BK57" i="2"/>
  <c r="BJ57" i="2"/>
  <c r="BI57" i="2"/>
  <c r="BH57" i="2"/>
  <c r="BG57" i="2"/>
  <c r="BF57" i="2"/>
  <c r="BE57" i="2"/>
  <c r="BD57" i="2"/>
  <c r="BC57" i="2"/>
  <c r="BB57" i="2"/>
  <c r="BA57" i="2"/>
  <c r="AZ57" i="2"/>
  <c r="AY57" i="2"/>
  <c r="AX57" i="2"/>
  <c r="AW57" i="2"/>
  <c r="AV57" i="2"/>
  <c r="AU57" i="2"/>
  <c r="AT57" i="2"/>
  <c r="AS57" i="2"/>
  <c r="AR57" i="2"/>
  <c r="AQ57" i="2"/>
  <c r="AP57" i="2"/>
  <c r="AO57" i="2"/>
  <c r="AN57" i="2"/>
  <c r="AM57" i="2"/>
  <c r="FC57" i="2"/>
  <c r="HZ57" i="2"/>
  <c r="HY57" i="2"/>
  <c r="HX57" i="2"/>
  <c r="HW57" i="2"/>
  <c r="HV57" i="2"/>
  <c r="HU57" i="2"/>
  <c r="HT57" i="2"/>
  <c r="HS57" i="2"/>
  <c r="HR57" i="2"/>
  <c r="HQ57" i="2"/>
  <c r="HP57" i="2"/>
  <c r="HO57" i="2"/>
  <c r="HN57" i="2"/>
  <c r="HM57" i="2"/>
  <c r="HL57" i="2"/>
  <c r="HK57" i="2"/>
  <c r="HJ57" i="2"/>
  <c r="HI57" i="2"/>
  <c r="HH57" i="2"/>
  <c r="HG57" i="2"/>
  <c r="HF57" i="2"/>
  <c r="HE57" i="2"/>
  <c r="HD57" i="2"/>
  <c r="HC57" i="2"/>
  <c r="HB57" i="2"/>
  <c r="HA57" i="2"/>
  <c r="GZ57" i="2"/>
  <c r="GY57" i="2"/>
  <c r="GX57" i="2"/>
  <c r="GW57" i="2"/>
  <c r="GV57" i="2"/>
  <c r="GU57" i="2"/>
  <c r="GT57" i="2"/>
  <c r="GS57" i="2"/>
  <c r="GR57" i="2"/>
  <c r="GQ57" i="2"/>
  <c r="GP57" i="2"/>
  <c r="GO57" i="2"/>
  <c r="GN57" i="2"/>
  <c r="GM57" i="2"/>
  <c r="GL57" i="2"/>
  <c r="GK57" i="2"/>
  <c r="GJ57" i="2"/>
  <c r="GI57" i="2"/>
  <c r="GH57" i="2"/>
  <c r="GG57" i="2"/>
  <c r="GF57" i="2"/>
  <c r="GE57" i="2"/>
  <c r="GD57" i="2"/>
  <c r="GC57" i="2"/>
  <c r="GB57" i="2"/>
  <c r="GA57" i="2"/>
  <c r="FZ57" i="2"/>
  <c r="FY57" i="2"/>
  <c r="FX57" i="2"/>
  <c r="FW57" i="2"/>
  <c r="FV57" i="2"/>
  <c r="FU57" i="2"/>
  <c r="FT57" i="2"/>
  <c r="FS57" i="2"/>
  <c r="FR57" i="2"/>
  <c r="FQ57" i="2"/>
  <c r="FP57" i="2"/>
  <c r="FO57" i="2"/>
  <c r="FN57" i="2"/>
  <c r="FM57" i="2"/>
  <c r="FL57" i="2"/>
  <c r="FK57" i="2"/>
  <c r="FJ57" i="2"/>
  <c r="FI57" i="2"/>
  <c r="FH57" i="2"/>
  <c r="FG57" i="2"/>
  <c r="FF57" i="2"/>
  <c r="FE57" i="2"/>
  <c r="IA57" i="2"/>
  <c r="IR57" i="2"/>
  <c r="IQ57" i="2"/>
  <c r="IP57" i="2"/>
  <c r="IO57" i="2"/>
  <c r="IN57" i="2"/>
  <c r="IM57" i="2"/>
  <c r="IL57" i="2"/>
  <c r="IJ57" i="2"/>
  <c r="II57" i="2"/>
  <c r="IH57" i="2"/>
  <c r="IG57" i="2"/>
  <c r="IF57" i="2"/>
  <c r="IE57" i="2"/>
  <c r="ID57" i="2"/>
  <c r="IC57" i="2"/>
  <c r="ZJ125" i="2"/>
  <c r="ZI125" i="2"/>
  <c r="ZH125" i="2"/>
  <c r="ZG125" i="2"/>
  <c r="ZF125" i="2"/>
  <c r="ZE125" i="2"/>
  <c r="ZD125" i="2"/>
  <c r="ZC125" i="2"/>
  <c r="ZB125" i="2"/>
  <c r="ZJ122" i="2"/>
  <c r="ZI122" i="2"/>
  <c r="ZH122" i="2"/>
  <c r="ZG122" i="2"/>
  <c r="ZF122" i="2"/>
  <c r="ZE122" i="2"/>
  <c r="ZD122" i="2"/>
  <c r="ZC122" i="2"/>
  <c r="ZB122" i="2"/>
  <c r="ZJ121" i="2"/>
  <c r="ZI121" i="2"/>
  <c r="ZH121" i="2"/>
  <c r="ZG121" i="2"/>
  <c r="ZF121" i="2"/>
  <c r="ZE121" i="2"/>
  <c r="ZD121" i="2"/>
  <c r="ZC121" i="2"/>
  <c r="ZB121" i="2"/>
  <c r="ZJ120" i="2"/>
  <c r="ZI120" i="2"/>
  <c r="ZH120" i="2"/>
  <c r="ZG120" i="2"/>
  <c r="ZF120" i="2"/>
  <c r="ZE120" i="2"/>
  <c r="ZD120" i="2"/>
  <c r="ZC120" i="2"/>
  <c r="ZB120" i="2"/>
  <c r="ZJ119" i="2"/>
  <c r="ZI119" i="2"/>
  <c r="ZH119" i="2"/>
  <c r="ZG119" i="2"/>
  <c r="ZF119" i="2"/>
  <c r="ZE119" i="2"/>
  <c r="ZD119" i="2"/>
  <c r="ZC119" i="2"/>
  <c r="ZB119" i="2"/>
  <c r="ZE66" i="2"/>
  <c r="ZF66" i="2" s="1"/>
  <c r="ZG66" i="2" s="1"/>
  <c r="ZH66" i="2" s="1"/>
  <c r="ZI66" i="2" s="1"/>
  <c r="ZJ66" i="2" s="1"/>
  <c r="ZD66" i="2"/>
  <c r="ZC66" i="2"/>
  <c r="ZB66" i="2"/>
  <c r="ZJ61" i="2"/>
  <c r="ZI61" i="2"/>
  <c r="ZH61" i="2"/>
  <c r="ZG61" i="2"/>
  <c r="ZF61" i="2"/>
  <c r="ZE61" i="2"/>
  <c r="ZD61" i="2"/>
  <c r="ZC61" i="2"/>
  <c r="ZB61" i="2"/>
  <c r="ZJ60" i="2"/>
  <c r="ZI60" i="2"/>
  <c r="ZH60" i="2"/>
  <c r="ZG60" i="2"/>
  <c r="ZF60" i="2"/>
  <c r="ZE60" i="2"/>
  <c r="ZD60" i="2"/>
  <c r="ZC60" i="2"/>
  <c r="ZB60" i="2"/>
  <c r="ZJ59" i="2"/>
  <c r="ZI59" i="2"/>
  <c r="ZH59" i="2"/>
  <c r="ZG59" i="2"/>
  <c r="ZF59" i="2"/>
  <c r="ZE59" i="2"/>
  <c r="ZD59" i="2"/>
  <c r="ZC59" i="2"/>
  <c r="ZB59" i="2"/>
  <c r="ZJ57" i="2"/>
  <c r="ZJ75" i="2" s="1"/>
  <c r="ZI57" i="2"/>
  <c r="ZI75" i="2" s="1"/>
  <c r="ZH57" i="2"/>
  <c r="ZH75" i="2" s="1"/>
  <c r="ZG57" i="2"/>
  <c r="ZG75" i="2" s="1"/>
  <c r="ZF57" i="2"/>
  <c r="ZF75" i="2" s="1"/>
  <c r="ZE57" i="2"/>
  <c r="ZE75" i="2" s="1"/>
  <c r="ZD57" i="2"/>
  <c r="ZD75" i="2" s="1"/>
  <c r="ZC57" i="2"/>
  <c r="ZC75" i="2" s="1"/>
  <c r="ZB57" i="2"/>
  <c r="ZB75" i="2" s="1"/>
  <c r="ZA125" i="2"/>
  <c r="YZ125" i="2"/>
  <c r="YY125" i="2"/>
  <c r="YX125" i="2"/>
  <c r="YW125" i="2"/>
  <c r="YV125" i="2"/>
  <c r="YU125" i="2"/>
  <c r="YT125" i="2"/>
  <c r="YS125" i="2"/>
  <c r="YR125" i="2"/>
  <c r="YQ125" i="2"/>
  <c r="YP125" i="2"/>
  <c r="YO125" i="2"/>
  <c r="YN125" i="2"/>
  <c r="YM125" i="2"/>
  <c r="YL125" i="2"/>
  <c r="YK125" i="2"/>
  <c r="YJ125" i="2"/>
  <c r="YI125" i="2"/>
  <c r="YH125" i="2"/>
  <c r="YG125" i="2"/>
  <c r="YF125" i="2"/>
  <c r="ZA122" i="2"/>
  <c r="YZ122" i="2"/>
  <c r="YY122" i="2"/>
  <c r="YX122" i="2"/>
  <c r="YW122" i="2"/>
  <c r="YV122" i="2"/>
  <c r="YU122" i="2"/>
  <c r="YT122" i="2"/>
  <c r="YS122" i="2"/>
  <c r="YR122" i="2"/>
  <c r="YQ122" i="2"/>
  <c r="YP122" i="2"/>
  <c r="YO122" i="2"/>
  <c r="YN122" i="2"/>
  <c r="YM122" i="2"/>
  <c r="YL122" i="2"/>
  <c r="YK122" i="2"/>
  <c r="YJ122" i="2"/>
  <c r="YI122" i="2"/>
  <c r="YH122" i="2"/>
  <c r="YG122" i="2"/>
  <c r="YF122" i="2"/>
  <c r="ZA121" i="2"/>
  <c r="YZ121" i="2"/>
  <c r="YY121" i="2"/>
  <c r="YX121" i="2"/>
  <c r="YW121" i="2"/>
  <c r="YV121" i="2"/>
  <c r="YU121" i="2"/>
  <c r="YT121" i="2"/>
  <c r="YS121" i="2"/>
  <c r="YR121" i="2"/>
  <c r="YQ121" i="2"/>
  <c r="YP121" i="2"/>
  <c r="YO121" i="2"/>
  <c r="YN121" i="2"/>
  <c r="YM121" i="2"/>
  <c r="YL121" i="2"/>
  <c r="YK121" i="2"/>
  <c r="YJ121" i="2"/>
  <c r="YI121" i="2"/>
  <c r="YH121" i="2"/>
  <c r="YG121" i="2"/>
  <c r="YF121" i="2"/>
  <c r="ZA120" i="2"/>
  <c r="YZ120" i="2"/>
  <c r="YY120" i="2"/>
  <c r="YX120" i="2"/>
  <c r="YW120" i="2"/>
  <c r="YV120" i="2"/>
  <c r="YU120" i="2"/>
  <c r="YT120" i="2"/>
  <c r="YS120" i="2"/>
  <c r="YR120" i="2"/>
  <c r="YQ120" i="2"/>
  <c r="YP120" i="2"/>
  <c r="YO120" i="2"/>
  <c r="YN120" i="2"/>
  <c r="YM120" i="2"/>
  <c r="YL120" i="2"/>
  <c r="YK120" i="2"/>
  <c r="YJ120" i="2"/>
  <c r="YI120" i="2"/>
  <c r="YH120" i="2"/>
  <c r="YG120" i="2"/>
  <c r="YF120" i="2"/>
  <c r="ZA119" i="2"/>
  <c r="YZ119" i="2"/>
  <c r="YY119" i="2"/>
  <c r="YX119" i="2"/>
  <c r="YW119" i="2"/>
  <c r="YV119" i="2"/>
  <c r="YU119" i="2"/>
  <c r="YT119" i="2"/>
  <c r="YS119" i="2"/>
  <c r="YR119" i="2"/>
  <c r="YQ119" i="2"/>
  <c r="YP119" i="2"/>
  <c r="YO119" i="2"/>
  <c r="YN119" i="2"/>
  <c r="YM119" i="2"/>
  <c r="YL119" i="2"/>
  <c r="YK119" i="2"/>
  <c r="YJ119" i="2"/>
  <c r="YI119" i="2"/>
  <c r="YH119" i="2"/>
  <c r="YG119" i="2"/>
  <c r="YF119" i="2"/>
  <c r="YF118" i="2"/>
  <c r="YV66" i="2"/>
  <c r="YW66" i="2" s="1"/>
  <c r="YX66" i="2" s="1"/>
  <c r="YY66" i="2" s="1"/>
  <c r="YZ66" i="2" s="1"/>
  <c r="ZA66" i="2" s="1"/>
  <c r="YR66" i="2"/>
  <c r="YS66" i="2" s="1"/>
  <c r="YT66" i="2" s="1"/>
  <c r="YU66" i="2" s="1"/>
  <c r="YQ66" i="2"/>
  <c r="YP66" i="2"/>
  <c r="YO66" i="2"/>
  <c r="YI66" i="2"/>
  <c r="YJ66" i="2" s="1"/>
  <c r="YK66" i="2" s="1"/>
  <c r="YL66" i="2" s="1"/>
  <c r="YM66" i="2" s="1"/>
  <c r="YN66" i="2" s="1"/>
  <c r="YH66" i="2"/>
  <c r="YG66" i="2"/>
  <c r="YF66" i="2"/>
  <c r="ZA61" i="2"/>
  <c r="YZ61" i="2"/>
  <c r="YY61" i="2"/>
  <c r="YX61" i="2"/>
  <c r="YW61" i="2"/>
  <c r="YV61" i="2"/>
  <c r="YU61" i="2"/>
  <c r="YT61" i="2"/>
  <c r="YS61" i="2"/>
  <c r="YR61" i="2"/>
  <c r="YQ61" i="2"/>
  <c r="YP61" i="2"/>
  <c r="YO61" i="2"/>
  <c r="YN61" i="2"/>
  <c r="YM61" i="2"/>
  <c r="YL61" i="2"/>
  <c r="YK61" i="2"/>
  <c r="YJ61" i="2"/>
  <c r="YI61" i="2"/>
  <c r="YH61" i="2"/>
  <c r="YG61" i="2"/>
  <c r="YF61" i="2"/>
  <c r="ZA60" i="2"/>
  <c r="YZ60" i="2"/>
  <c r="YY60" i="2"/>
  <c r="YX60" i="2"/>
  <c r="YW60" i="2"/>
  <c r="YV60" i="2"/>
  <c r="YU60" i="2"/>
  <c r="YT60" i="2"/>
  <c r="YS60" i="2"/>
  <c r="YR60" i="2"/>
  <c r="YQ60" i="2"/>
  <c r="YP60" i="2"/>
  <c r="YO60" i="2"/>
  <c r="YN60" i="2"/>
  <c r="YM60" i="2"/>
  <c r="YL60" i="2"/>
  <c r="YK60" i="2"/>
  <c r="YJ60" i="2"/>
  <c r="YI60" i="2"/>
  <c r="YH60" i="2"/>
  <c r="YG60" i="2"/>
  <c r="YF60" i="2"/>
  <c r="ZA59" i="2"/>
  <c r="YZ59" i="2"/>
  <c r="YY59" i="2"/>
  <c r="YX59" i="2"/>
  <c r="YW59" i="2"/>
  <c r="YV59" i="2"/>
  <c r="YU59" i="2"/>
  <c r="YT59" i="2"/>
  <c r="YS59" i="2"/>
  <c r="YR59" i="2"/>
  <c r="YQ59" i="2"/>
  <c r="YP59" i="2"/>
  <c r="YO59" i="2"/>
  <c r="YN59" i="2"/>
  <c r="YM59" i="2"/>
  <c r="YL59" i="2"/>
  <c r="YK59" i="2"/>
  <c r="YJ59" i="2"/>
  <c r="YI59" i="2"/>
  <c r="YH59" i="2"/>
  <c r="YG59" i="2"/>
  <c r="YF59" i="2"/>
  <c r="ZA57" i="2"/>
  <c r="ZA75" i="2" s="1"/>
  <c r="YZ57" i="2"/>
  <c r="YZ75" i="2" s="1"/>
  <c r="YY57" i="2"/>
  <c r="YY118" i="2" s="1"/>
  <c r="YX57" i="2"/>
  <c r="YX75" i="2" s="1"/>
  <c r="YW57" i="2"/>
  <c r="YW75" i="2" s="1"/>
  <c r="YV57" i="2"/>
  <c r="YV75" i="2" s="1"/>
  <c r="YU57" i="2"/>
  <c r="YU118" i="2" s="1"/>
  <c r="YT57" i="2"/>
  <c r="YT75" i="2" s="1"/>
  <c r="YS57" i="2"/>
  <c r="YS75" i="2" s="1"/>
  <c r="YR57" i="2"/>
  <c r="YR75" i="2" s="1"/>
  <c r="YQ57" i="2"/>
  <c r="YQ75" i="2" s="1"/>
  <c r="YP57" i="2"/>
  <c r="YP75" i="2" s="1"/>
  <c r="YO57" i="2"/>
  <c r="YO75" i="2" s="1"/>
  <c r="YN57" i="2"/>
  <c r="YN75" i="2" s="1"/>
  <c r="YM57" i="2"/>
  <c r="YM118" i="2" s="1"/>
  <c r="YL57" i="2"/>
  <c r="YL75" i="2" s="1"/>
  <c r="YK57" i="2"/>
  <c r="YK75" i="2" s="1"/>
  <c r="YJ57" i="2"/>
  <c r="YJ75" i="2" s="1"/>
  <c r="YI57" i="2"/>
  <c r="YI118" i="2" s="1"/>
  <c r="YH57" i="2"/>
  <c r="YH75" i="2" s="1"/>
  <c r="YG57" i="2"/>
  <c r="YG75" i="2" s="1"/>
  <c r="YE125" i="2"/>
  <c r="YD125" i="2"/>
  <c r="YC125" i="2"/>
  <c r="YB125" i="2"/>
  <c r="YA125" i="2"/>
  <c r="XZ125" i="2"/>
  <c r="XY125" i="2"/>
  <c r="XX125" i="2"/>
  <c r="XW125" i="2"/>
  <c r="XV125" i="2"/>
  <c r="XU125" i="2"/>
  <c r="XT125" i="2"/>
  <c r="XS125" i="2"/>
  <c r="XR125" i="2"/>
  <c r="XQ125" i="2"/>
  <c r="XP125" i="2"/>
  <c r="XO125" i="2"/>
  <c r="XN125" i="2"/>
  <c r="XM125" i="2"/>
  <c r="XL125" i="2"/>
  <c r="XK125" i="2"/>
  <c r="XJ125" i="2"/>
  <c r="YE122" i="2"/>
  <c r="YD122" i="2"/>
  <c r="YC122" i="2"/>
  <c r="YB122" i="2"/>
  <c r="YA122" i="2"/>
  <c r="XZ122" i="2"/>
  <c r="XY122" i="2"/>
  <c r="XX122" i="2"/>
  <c r="XW122" i="2"/>
  <c r="XV122" i="2"/>
  <c r="XU122" i="2"/>
  <c r="XT122" i="2"/>
  <c r="XS122" i="2"/>
  <c r="XR122" i="2"/>
  <c r="XQ122" i="2"/>
  <c r="XP122" i="2"/>
  <c r="XO122" i="2"/>
  <c r="XN122" i="2"/>
  <c r="XM122" i="2"/>
  <c r="XL122" i="2"/>
  <c r="XK122" i="2"/>
  <c r="XJ122" i="2"/>
  <c r="YE121" i="2"/>
  <c r="YD121" i="2"/>
  <c r="YC121" i="2"/>
  <c r="YB121" i="2"/>
  <c r="YA121" i="2"/>
  <c r="XZ121" i="2"/>
  <c r="XY121" i="2"/>
  <c r="XX121" i="2"/>
  <c r="XW121" i="2"/>
  <c r="XV121" i="2"/>
  <c r="XU121" i="2"/>
  <c r="XT121" i="2"/>
  <c r="XS121" i="2"/>
  <c r="XR121" i="2"/>
  <c r="XQ121" i="2"/>
  <c r="XP121" i="2"/>
  <c r="XO121" i="2"/>
  <c r="XN121" i="2"/>
  <c r="XM121" i="2"/>
  <c r="XL121" i="2"/>
  <c r="XK121" i="2"/>
  <c r="XJ121" i="2"/>
  <c r="YE120" i="2"/>
  <c r="YD120" i="2"/>
  <c r="YC120" i="2"/>
  <c r="YB120" i="2"/>
  <c r="YA120" i="2"/>
  <c r="XZ120" i="2"/>
  <c r="XY120" i="2"/>
  <c r="XX120" i="2"/>
  <c r="XW120" i="2"/>
  <c r="XV120" i="2"/>
  <c r="XU120" i="2"/>
  <c r="XT120" i="2"/>
  <c r="XS120" i="2"/>
  <c r="XR120" i="2"/>
  <c r="XQ120" i="2"/>
  <c r="XP120" i="2"/>
  <c r="XO120" i="2"/>
  <c r="XN120" i="2"/>
  <c r="XM120" i="2"/>
  <c r="XL120" i="2"/>
  <c r="XK120" i="2"/>
  <c r="XJ120" i="2"/>
  <c r="YE119" i="2"/>
  <c r="YD119" i="2"/>
  <c r="YC119" i="2"/>
  <c r="YB119" i="2"/>
  <c r="YA119" i="2"/>
  <c r="XZ119" i="2"/>
  <c r="XY119" i="2"/>
  <c r="XX119" i="2"/>
  <c r="XW119" i="2"/>
  <c r="XV119" i="2"/>
  <c r="XU119" i="2"/>
  <c r="XT119" i="2"/>
  <c r="XS119" i="2"/>
  <c r="XR119" i="2"/>
  <c r="XQ119" i="2"/>
  <c r="XP119" i="2"/>
  <c r="XO119" i="2"/>
  <c r="XN119" i="2"/>
  <c r="XM119" i="2"/>
  <c r="XL119" i="2"/>
  <c r="XK119" i="2"/>
  <c r="XJ119" i="2"/>
  <c r="YE70" i="2"/>
  <c r="YE61" i="2"/>
  <c r="YD61" i="2"/>
  <c r="YC61" i="2"/>
  <c r="YB61" i="2"/>
  <c r="YA61" i="2"/>
  <c r="XZ61" i="2"/>
  <c r="XY61" i="2"/>
  <c r="XX61" i="2"/>
  <c r="XW61" i="2"/>
  <c r="XV61" i="2"/>
  <c r="XU61" i="2"/>
  <c r="XT61" i="2"/>
  <c r="XS61" i="2"/>
  <c r="XR61" i="2"/>
  <c r="XQ61" i="2"/>
  <c r="XP61" i="2"/>
  <c r="XO61" i="2"/>
  <c r="XN61" i="2"/>
  <c r="XM61" i="2"/>
  <c r="XL61" i="2"/>
  <c r="XK61" i="2"/>
  <c r="XJ61" i="2"/>
  <c r="YE60" i="2"/>
  <c r="YD60" i="2"/>
  <c r="YC60" i="2"/>
  <c r="YB60" i="2"/>
  <c r="YA60" i="2"/>
  <c r="XZ60" i="2"/>
  <c r="XY60" i="2"/>
  <c r="XX60" i="2"/>
  <c r="XW60" i="2"/>
  <c r="XV60" i="2"/>
  <c r="XU60" i="2"/>
  <c r="XT60" i="2"/>
  <c r="XS60" i="2"/>
  <c r="XR60" i="2"/>
  <c r="XQ60" i="2"/>
  <c r="XP60" i="2"/>
  <c r="XO60" i="2"/>
  <c r="XN60" i="2"/>
  <c r="XM60" i="2"/>
  <c r="XL60" i="2"/>
  <c r="XK60" i="2"/>
  <c r="XJ60" i="2"/>
  <c r="YE59" i="2"/>
  <c r="YD59" i="2"/>
  <c r="YC59" i="2"/>
  <c r="YB59" i="2"/>
  <c r="YA59" i="2"/>
  <c r="XZ59" i="2"/>
  <c r="XY59" i="2"/>
  <c r="XX59" i="2"/>
  <c r="XW59" i="2"/>
  <c r="XV59" i="2"/>
  <c r="XU59" i="2"/>
  <c r="XT59" i="2"/>
  <c r="XS59" i="2"/>
  <c r="XR59" i="2"/>
  <c r="XQ59" i="2"/>
  <c r="XP59" i="2"/>
  <c r="XO59" i="2"/>
  <c r="XN59" i="2"/>
  <c r="XM59" i="2"/>
  <c r="XL59" i="2"/>
  <c r="XK59" i="2"/>
  <c r="XJ59" i="2"/>
  <c r="YE57" i="2"/>
  <c r="YE75" i="2" s="1"/>
  <c r="YD57" i="2"/>
  <c r="YD75" i="2" s="1"/>
  <c r="YC57" i="2"/>
  <c r="YC118" i="2" s="1"/>
  <c r="YB57" i="2"/>
  <c r="YB118" i="2" s="1"/>
  <c r="YA57" i="2"/>
  <c r="YA75" i="2" s="1"/>
  <c r="XZ57" i="2"/>
  <c r="XZ75" i="2" s="1"/>
  <c r="XY57" i="2"/>
  <c r="XY118" i="2" s="1"/>
  <c r="XX57" i="2"/>
  <c r="XX118" i="2" s="1"/>
  <c r="XW57" i="2"/>
  <c r="XW75" i="2" s="1"/>
  <c r="XV57" i="2"/>
  <c r="XV75" i="2" s="1"/>
  <c r="XU57" i="2"/>
  <c r="XU118" i="2" s="1"/>
  <c r="XT57" i="2"/>
  <c r="XT118" i="2" s="1"/>
  <c r="XS57" i="2"/>
  <c r="XS75" i="2" s="1"/>
  <c r="XR57" i="2"/>
  <c r="XR75" i="2" s="1"/>
  <c r="XQ57" i="2"/>
  <c r="XQ118" i="2" s="1"/>
  <c r="XP57" i="2"/>
  <c r="XP118" i="2" s="1"/>
  <c r="XO57" i="2"/>
  <c r="XO75" i="2" s="1"/>
  <c r="XN57" i="2"/>
  <c r="XN75" i="2" s="1"/>
  <c r="XM57" i="2"/>
  <c r="XM118" i="2" s="1"/>
  <c r="XL57" i="2"/>
  <c r="XL118" i="2" s="1"/>
  <c r="XK57" i="2"/>
  <c r="XK75" i="2" s="1"/>
  <c r="XJ57" i="2"/>
  <c r="XJ75" i="2" s="1"/>
  <c r="VZ125" i="2"/>
  <c r="VY125" i="2"/>
  <c r="VX125" i="2"/>
  <c r="VW125" i="2"/>
  <c r="VV125" i="2"/>
  <c r="VU125" i="2"/>
  <c r="VT125" i="2"/>
  <c r="VS125" i="2"/>
  <c r="VR125" i="2"/>
  <c r="VQ125" i="2"/>
  <c r="VP125" i="2"/>
  <c r="VO125" i="2"/>
  <c r="VN125" i="2"/>
  <c r="VM125" i="2"/>
  <c r="VL125" i="2"/>
  <c r="VK125" i="2"/>
  <c r="VJ125" i="2"/>
  <c r="VI125" i="2"/>
  <c r="VH125" i="2"/>
  <c r="VG125" i="2"/>
  <c r="VF125" i="2"/>
  <c r="VE125" i="2"/>
  <c r="VZ122" i="2"/>
  <c r="VY122" i="2"/>
  <c r="VX122" i="2"/>
  <c r="VW122" i="2"/>
  <c r="VV122" i="2"/>
  <c r="VU122" i="2"/>
  <c r="VT122" i="2"/>
  <c r="VS122" i="2"/>
  <c r="VR122" i="2"/>
  <c r="VQ122" i="2"/>
  <c r="VP122" i="2"/>
  <c r="VO122" i="2"/>
  <c r="VN122" i="2"/>
  <c r="VM122" i="2"/>
  <c r="VL122" i="2"/>
  <c r="VK122" i="2"/>
  <c r="VJ122" i="2"/>
  <c r="VI122" i="2"/>
  <c r="VH122" i="2"/>
  <c r="VG122" i="2"/>
  <c r="VF122" i="2"/>
  <c r="VE122" i="2"/>
  <c r="VZ121" i="2"/>
  <c r="VY121" i="2"/>
  <c r="VX121" i="2"/>
  <c r="VW121" i="2"/>
  <c r="VV121" i="2"/>
  <c r="VU121" i="2"/>
  <c r="VT121" i="2"/>
  <c r="VS121" i="2"/>
  <c r="VR121" i="2"/>
  <c r="VQ121" i="2"/>
  <c r="VP121" i="2"/>
  <c r="VO121" i="2"/>
  <c r="VN121" i="2"/>
  <c r="VM121" i="2"/>
  <c r="VL121" i="2"/>
  <c r="VK121" i="2"/>
  <c r="VJ121" i="2"/>
  <c r="VI121" i="2"/>
  <c r="VH121" i="2"/>
  <c r="VG121" i="2"/>
  <c r="VF121" i="2"/>
  <c r="VE121" i="2"/>
  <c r="VZ120" i="2"/>
  <c r="VY120" i="2"/>
  <c r="VX120" i="2"/>
  <c r="VW120" i="2"/>
  <c r="VV120" i="2"/>
  <c r="VU120" i="2"/>
  <c r="VT120" i="2"/>
  <c r="VS120" i="2"/>
  <c r="VR120" i="2"/>
  <c r="VQ120" i="2"/>
  <c r="VP120" i="2"/>
  <c r="VO120" i="2"/>
  <c r="VN120" i="2"/>
  <c r="VM120" i="2"/>
  <c r="VL120" i="2"/>
  <c r="VK120" i="2"/>
  <c r="VJ120" i="2"/>
  <c r="VI120" i="2"/>
  <c r="VH120" i="2"/>
  <c r="VG120" i="2"/>
  <c r="VF120" i="2"/>
  <c r="VE120" i="2"/>
  <c r="VZ119" i="2"/>
  <c r="VY119" i="2"/>
  <c r="VX119" i="2"/>
  <c r="VW119" i="2"/>
  <c r="VV119" i="2"/>
  <c r="VU119" i="2"/>
  <c r="VT119" i="2"/>
  <c r="VS119" i="2"/>
  <c r="VR119" i="2"/>
  <c r="VQ119" i="2"/>
  <c r="VP119" i="2"/>
  <c r="VO119" i="2"/>
  <c r="VN119" i="2"/>
  <c r="VM119" i="2"/>
  <c r="VL119" i="2"/>
  <c r="VK119" i="2"/>
  <c r="VJ119" i="2"/>
  <c r="VI119" i="2"/>
  <c r="VH119" i="2"/>
  <c r="VG119" i="2"/>
  <c r="VF119" i="2"/>
  <c r="VE119" i="2"/>
  <c r="VZ114" i="2"/>
  <c r="VY114" i="2"/>
  <c r="VX114" i="2"/>
  <c r="VW114" i="2"/>
  <c r="VV114" i="2"/>
  <c r="VU114" i="2"/>
  <c r="VT114" i="2"/>
  <c r="VS114" i="2"/>
  <c r="VR114" i="2"/>
  <c r="VQ114" i="2"/>
  <c r="VP114" i="2"/>
  <c r="VO114" i="2"/>
  <c r="VN114" i="2"/>
  <c r="VM114" i="2"/>
  <c r="VL114" i="2"/>
  <c r="VK114" i="2"/>
  <c r="VJ114" i="2"/>
  <c r="VI114" i="2"/>
  <c r="VH114" i="2"/>
  <c r="VG114" i="2"/>
  <c r="VF114" i="2"/>
  <c r="VE114" i="2"/>
  <c r="VZ110" i="2"/>
  <c r="VY110" i="2"/>
  <c r="VX110" i="2"/>
  <c r="VW110" i="2"/>
  <c r="VV110" i="2"/>
  <c r="VU110" i="2"/>
  <c r="VT110" i="2"/>
  <c r="VS110" i="2"/>
  <c r="VR110" i="2"/>
  <c r="VQ110" i="2"/>
  <c r="VP110" i="2"/>
  <c r="VO110" i="2"/>
  <c r="VN110" i="2"/>
  <c r="VM110" i="2"/>
  <c r="VL110" i="2"/>
  <c r="VK110" i="2"/>
  <c r="VJ110" i="2"/>
  <c r="VI110" i="2"/>
  <c r="VH110" i="2"/>
  <c r="VG110" i="2"/>
  <c r="VF110" i="2"/>
  <c r="VE110" i="2"/>
  <c r="VZ108" i="2"/>
  <c r="VY108" i="2"/>
  <c r="VX108" i="2"/>
  <c r="VW108" i="2"/>
  <c r="VV108" i="2"/>
  <c r="VU108" i="2"/>
  <c r="VT108" i="2"/>
  <c r="VS108" i="2"/>
  <c r="VR108" i="2"/>
  <c r="VQ108" i="2"/>
  <c r="VP108" i="2"/>
  <c r="VO108" i="2"/>
  <c r="VN108" i="2"/>
  <c r="VM108" i="2"/>
  <c r="VL108" i="2"/>
  <c r="VK108" i="2"/>
  <c r="VJ108" i="2"/>
  <c r="VI108" i="2"/>
  <c r="VH108" i="2"/>
  <c r="VG108" i="2"/>
  <c r="VF108" i="2"/>
  <c r="VE108" i="2"/>
  <c r="VZ107" i="2"/>
  <c r="VY107" i="2"/>
  <c r="VX107" i="2"/>
  <c r="VW107" i="2"/>
  <c r="VV107" i="2"/>
  <c r="VU107" i="2"/>
  <c r="VT107" i="2"/>
  <c r="VS107" i="2"/>
  <c r="VR107" i="2"/>
  <c r="VQ107" i="2"/>
  <c r="VP107" i="2"/>
  <c r="VO107" i="2"/>
  <c r="VN107" i="2"/>
  <c r="VM107" i="2"/>
  <c r="VL107" i="2"/>
  <c r="VK107" i="2"/>
  <c r="VJ107" i="2"/>
  <c r="VI107" i="2"/>
  <c r="VH107" i="2"/>
  <c r="VG107" i="2"/>
  <c r="VF107" i="2"/>
  <c r="VE107" i="2"/>
  <c r="VZ106" i="2"/>
  <c r="VY106" i="2"/>
  <c r="VX106" i="2"/>
  <c r="VW106" i="2"/>
  <c r="VV106" i="2"/>
  <c r="VU106" i="2"/>
  <c r="VT106" i="2"/>
  <c r="VS106" i="2"/>
  <c r="VR106" i="2"/>
  <c r="VQ106" i="2"/>
  <c r="VP106" i="2"/>
  <c r="VO106" i="2"/>
  <c r="VN106" i="2"/>
  <c r="VM106" i="2"/>
  <c r="VL106" i="2"/>
  <c r="VK106" i="2"/>
  <c r="VJ106" i="2"/>
  <c r="VI106" i="2"/>
  <c r="VH106" i="2"/>
  <c r="VG106" i="2"/>
  <c r="VF106" i="2"/>
  <c r="VE106" i="2"/>
  <c r="VZ105" i="2"/>
  <c r="VY105" i="2"/>
  <c r="VX105" i="2"/>
  <c r="VW105" i="2"/>
  <c r="VV105" i="2"/>
  <c r="VU105" i="2"/>
  <c r="VT105" i="2"/>
  <c r="VS105" i="2"/>
  <c r="VR105" i="2"/>
  <c r="VQ105" i="2"/>
  <c r="VP105" i="2"/>
  <c r="VO105" i="2"/>
  <c r="VN105" i="2"/>
  <c r="VM105" i="2"/>
  <c r="VL105" i="2"/>
  <c r="VK105" i="2"/>
  <c r="VJ105" i="2"/>
  <c r="VI105" i="2"/>
  <c r="VH105" i="2"/>
  <c r="VG105" i="2"/>
  <c r="VF105" i="2"/>
  <c r="VE105" i="2"/>
  <c r="VZ104" i="2"/>
  <c r="VY104" i="2"/>
  <c r="VX104" i="2"/>
  <c r="VW104" i="2"/>
  <c r="VV104" i="2"/>
  <c r="VU104" i="2"/>
  <c r="VT104" i="2"/>
  <c r="VS104" i="2"/>
  <c r="VR104" i="2"/>
  <c r="VQ104" i="2"/>
  <c r="VP104" i="2"/>
  <c r="VO104" i="2"/>
  <c r="VN104" i="2"/>
  <c r="VM104" i="2"/>
  <c r="VL104" i="2"/>
  <c r="VK104" i="2"/>
  <c r="VJ104" i="2"/>
  <c r="VI104" i="2"/>
  <c r="VH104" i="2"/>
  <c r="VG104" i="2"/>
  <c r="VF104" i="2"/>
  <c r="VE104" i="2"/>
  <c r="VZ103" i="2"/>
  <c r="VY103" i="2"/>
  <c r="VX103" i="2"/>
  <c r="VW103" i="2"/>
  <c r="VV103" i="2"/>
  <c r="VU103" i="2"/>
  <c r="VT103" i="2"/>
  <c r="VS103" i="2"/>
  <c r="VR103" i="2"/>
  <c r="VQ103" i="2"/>
  <c r="VP103" i="2"/>
  <c r="VO103" i="2"/>
  <c r="VN103" i="2"/>
  <c r="VM103" i="2"/>
  <c r="VL103" i="2"/>
  <c r="VK103" i="2"/>
  <c r="VJ103" i="2"/>
  <c r="VI103" i="2"/>
  <c r="VH103" i="2"/>
  <c r="VG103" i="2"/>
  <c r="VF103" i="2"/>
  <c r="VE103" i="2"/>
  <c r="VZ102" i="2"/>
  <c r="VY102" i="2"/>
  <c r="VX102" i="2"/>
  <c r="VW102" i="2"/>
  <c r="VV102" i="2"/>
  <c r="VU102" i="2"/>
  <c r="VT102" i="2"/>
  <c r="VS102" i="2"/>
  <c r="VR102" i="2"/>
  <c r="VQ102" i="2"/>
  <c r="VP102" i="2"/>
  <c r="VO102" i="2"/>
  <c r="VN102" i="2"/>
  <c r="VM102" i="2"/>
  <c r="VL102" i="2"/>
  <c r="VK102" i="2"/>
  <c r="VJ102" i="2"/>
  <c r="VI102" i="2"/>
  <c r="VH102" i="2"/>
  <c r="VG102" i="2"/>
  <c r="VF102" i="2"/>
  <c r="VE102" i="2"/>
  <c r="VZ101" i="2"/>
  <c r="VY101" i="2"/>
  <c r="VX101" i="2"/>
  <c r="VW101" i="2"/>
  <c r="VV101" i="2"/>
  <c r="VU101" i="2"/>
  <c r="VT101" i="2"/>
  <c r="VS101" i="2"/>
  <c r="VR101" i="2"/>
  <c r="VQ101" i="2"/>
  <c r="VP101" i="2"/>
  <c r="VO101" i="2"/>
  <c r="VN101" i="2"/>
  <c r="VM101" i="2"/>
  <c r="VL101" i="2"/>
  <c r="VK101" i="2"/>
  <c r="VJ101" i="2"/>
  <c r="VI101" i="2"/>
  <c r="VH101" i="2"/>
  <c r="VG101" i="2"/>
  <c r="VF101" i="2"/>
  <c r="VE101" i="2"/>
  <c r="VZ100" i="2"/>
  <c r="VY100" i="2"/>
  <c r="VX100" i="2"/>
  <c r="VW100" i="2"/>
  <c r="VV100" i="2"/>
  <c r="VU100" i="2"/>
  <c r="VT100" i="2"/>
  <c r="VS100" i="2"/>
  <c r="VR100" i="2"/>
  <c r="VQ100" i="2"/>
  <c r="VP100" i="2"/>
  <c r="VO100" i="2"/>
  <c r="VN100" i="2"/>
  <c r="VM100" i="2"/>
  <c r="VL100" i="2"/>
  <c r="VK100" i="2"/>
  <c r="VJ100" i="2"/>
  <c r="VI100" i="2"/>
  <c r="VH100" i="2"/>
  <c r="VG100" i="2"/>
  <c r="VF100" i="2"/>
  <c r="VE100" i="2"/>
  <c r="VZ61" i="2"/>
  <c r="VY61" i="2"/>
  <c r="VX61" i="2"/>
  <c r="VW61" i="2"/>
  <c r="VV61" i="2"/>
  <c r="VU61" i="2"/>
  <c r="VT61" i="2"/>
  <c r="VS61" i="2"/>
  <c r="VR61" i="2"/>
  <c r="VQ61" i="2"/>
  <c r="VP61" i="2"/>
  <c r="VO61" i="2"/>
  <c r="VN61" i="2"/>
  <c r="VM61" i="2"/>
  <c r="VL61" i="2"/>
  <c r="VK61" i="2"/>
  <c r="VJ61" i="2"/>
  <c r="VI61" i="2"/>
  <c r="VH61" i="2"/>
  <c r="VG61" i="2"/>
  <c r="VF61" i="2"/>
  <c r="VE61" i="2"/>
  <c r="VZ60" i="2"/>
  <c r="VY60" i="2"/>
  <c r="VX60" i="2"/>
  <c r="VW60" i="2"/>
  <c r="VV60" i="2"/>
  <c r="VU60" i="2"/>
  <c r="VT60" i="2"/>
  <c r="VS60" i="2"/>
  <c r="VR60" i="2"/>
  <c r="VQ60" i="2"/>
  <c r="VP60" i="2"/>
  <c r="VO60" i="2"/>
  <c r="VN60" i="2"/>
  <c r="VM60" i="2"/>
  <c r="VL60" i="2"/>
  <c r="VK60" i="2"/>
  <c r="VJ60" i="2"/>
  <c r="VI60" i="2"/>
  <c r="VH60" i="2"/>
  <c r="VG60" i="2"/>
  <c r="VF60" i="2"/>
  <c r="VE60" i="2"/>
  <c r="VZ59" i="2"/>
  <c r="VY59" i="2"/>
  <c r="VX59" i="2"/>
  <c r="VW59" i="2"/>
  <c r="VV59" i="2"/>
  <c r="VU59" i="2"/>
  <c r="VT59" i="2"/>
  <c r="VS59" i="2"/>
  <c r="VR59" i="2"/>
  <c r="VQ59" i="2"/>
  <c r="VP59" i="2"/>
  <c r="VO59" i="2"/>
  <c r="VN59" i="2"/>
  <c r="VM59" i="2"/>
  <c r="VL59" i="2"/>
  <c r="VK59" i="2"/>
  <c r="VJ59" i="2"/>
  <c r="VI59" i="2"/>
  <c r="VH59" i="2"/>
  <c r="VG59" i="2"/>
  <c r="VF59" i="2"/>
  <c r="VE59" i="2"/>
  <c r="VZ57" i="2"/>
  <c r="VZ99" i="2" s="1"/>
  <c r="VY57" i="2"/>
  <c r="VY99" i="2" s="1"/>
  <c r="VX57" i="2"/>
  <c r="VX118" i="2" s="1"/>
  <c r="VW57" i="2"/>
  <c r="VW118" i="2" s="1"/>
  <c r="VV57" i="2"/>
  <c r="VV99" i="2" s="1"/>
  <c r="VU57" i="2"/>
  <c r="VU99" i="2" s="1"/>
  <c r="VT57" i="2"/>
  <c r="VT118" i="2" s="1"/>
  <c r="VS57" i="2"/>
  <c r="VS118" i="2" s="1"/>
  <c r="VR57" i="2"/>
  <c r="VR99" i="2" s="1"/>
  <c r="VQ57" i="2"/>
  <c r="VQ99" i="2" s="1"/>
  <c r="VP57" i="2"/>
  <c r="VP118" i="2" s="1"/>
  <c r="VO57" i="2"/>
  <c r="VO118" i="2" s="1"/>
  <c r="VN57" i="2"/>
  <c r="VN99" i="2" s="1"/>
  <c r="VM57" i="2"/>
  <c r="VM99" i="2" s="1"/>
  <c r="VL57" i="2"/>
  <c r="VL118" i="2" s="1"/>
  <c r="VK57" i="2"/>
  <c r="VK118" i="2" s="1"/>
  <c r="VJ57" i="2"/>
  <c r="VJ99" i="2" s="1"/>
  <c r="VI57" i="2"/>
  <c r="VI99" i="2" s="1"/>
  <c r="VH57" i="2"/>
  <c r="VH118" i="2" s="1"/>
  <c r="VG57" i="2"/>
  <c r="VG118" i="2" s="1"/>
  <c r="VF57" i="2"/>
  <c r="VF99" i="2" s="1"/>
  <c r="VE57" i="2"/>
  <c r="VE99" i="2" s="1"/>
  <c r="RQ57" i="2"/>
  <c r="RQ118" i="2" s="1"/>
  <c r="RP57" i="2"/>
  <c r="RP99" i="2" s="1"/>
  <c r="RO57" i="2"/>
  <c r="RO99" i="2" s="1"/>
  <c r="RN57" i="2"/>
  <c r="RN99" i="2" s="1"/>
  <c r="RM57" i="2"/>
  <c r="RM118" i="2" s="1"/>
  <c r="RL57" i="2"/>
  <c r="RL118" i="2" s="1"/>
  <c r="RK57" i="2"/>
  <c r="RK118" i="2" s="1"/>
  <c r="RJ57" i="2"/>
  <c r="RJ118" i="2" s="1"/>
  <c r="RI57" i="2"/>
  <c r="RI118" i="2" s="1"/>
  <c r="RQ61" i="2"/>
  <c r="RP61" i="2"/>
  <c r="RO61" i="2"/>
  <c r="RN61" i="2"/>
  <c r="RM61" i="2"/>
  <c r="RL61" i="2"/>
  <c r="RK61" i="2"/>
  <c r="RJ61" i="2"/>
  <c r="RI61" i="2"/>
  <c r="RQ60" i="2"/>
  <c r="RP60" i="2"/>
  <c r="RO60" i="2"/>
  <c r="RN60" i="2"/>
  <c r="RM60" i="2"/>
  <c r="RL60" i="2"/>
  <c r="RK60" i="2"/>
  <c r="RJ60" i="2"/>
  <c r="RI60" i="2"/>
  <c r="RQ59" i="2"/>
  <c r="RP59" i="2"/>
  <c r="RO59" i="2"/>
  <c r="RN59" i="2"/>
  <c r="RM59" i="2"/>
  <c r="RL59" i="2"/>
  <c r="RK59" i="2"/>
  <c r="RJ59" i="2"/>
  <c r="RI59" i="2"/>
  <c r="RQ125" i="2"/>
  <c r="RP125" i="2"/>
  <c r="RO125" i="2"/>
  <c r="RN125" i="2"/>
  <c r="RM125" i="2"/>
  <c r="RL125" i="2"/>
  <c r="RK125" i="2"/>
  <c r="RJ125" i="2"/>
  <c r="RI125" i="2"/>
  <c r="RQ122" i="2"/>
  <c r="RP122" i="2"/>
  <c r="RO122" i="2"/>
  <c r="RN122" i="2"/>
  <c r="RM122" i="2"/>
  <c r="RL122" i="2"/>
  <c r="RK122" i="2"/>
  <c r="RJ122" i="2"/>
  <c r="RI122" i="2"/>
  <c r="RQ121" i="2"/>
  <c r="RP121" i="2"/>
  <c r="RO121" i="2"/>
  <c r="RN121" i="2"/>
  <c r="RM121" i="2"/>
  <c r="RL121" i="2"/>
  <c r="RK121" i="2"/>
  <c r="RJ121" i="2"/>
  <c r="RI121" i="2"/>
  <c r="RQ120" i="2"/>
  <c r="RP120" i="2"/>
  <c r="RO120" i="2"/>
  <c r="RN120" i="2"/>
  <c r="RM120" i="2"/>
  <c r="RL120" i="2"/>
  <c r="RK120" i="2"/>
  <c r="RJ120" i="2"/>
  <c r="RI120" i="2"/>
  <c r="RQ119" i="2"/>
  <c r="RP119" i="2"/>
  <c r="RO119" i="2"/>
  <c r="RN119" i="2"/>
  <c r="RM119" i="2"/>
  <c r="RL119" i="2"/>
  <c r="RK119" i="2"/>
  <c r="RJ119" i="2"/>
  <c r="RI119" i="2"/>
  <c r="RP118" i="2"/>
  <c r="RO118" i="2"/>
  <c r="RN118" i="2"/>
  <c r="RQ114" i="2"/>
  <c r="RP114" i="2"/>
  <c r="RO114" i="2"/>
  <c r="RN114" i="2"/>
  <c r="RM114" i="2"/>
  <c r="RL114" i="2"/>
  <c r="RK114" i="2"/>
  <c r="RJ114" i="2"/>
  <c r="RI114" i="2"/>
  <c r="RQ110" i="2"/>
  <c r="RP110" i="2"/>
  <c r="RO110" i="2"/>
  <c r="RN110" i="2"/>
  <c r="RM110" i="2"/>
  <c r="RL110" i="2"/>
  <c r="RK110" i="2"/>
  <c r="RJ110" i="2"/>
  <c r="RI110" i="2"/>
  <c r="RQ108" i="2"/>
  <c r="RP108" i="2"/>
  <c r="RO108" i="2"/>
  <c r="RN108" i="2"/>
  <c r="RM108" i="2"/>
  <c r="RL108" i="2"/>
  <c r="RK108" i="2"/>
  <c r="RJ108" i="2"/>
  <c r="RI108" i="2"/>
  <c r="RQ107" i="2"/>
  <c r="RP107" i="2"/>
  <c r="RO107" i="2"/>
  <c r="RN107" i="2"/>
  <c r="RM107" i="2"/>
  <c r="RL107" i="2"/>
  <c r="RK107" i="2"/>
  <c r="RJ107" i="2"/>
  <c r="RI107" i="2"/>
  <c r="RQ106" i="2"/>
  <c r="RP106" i="2"/>
  <c r="RO106" i="2"/>
  <c r="RN106" i="2"/>
  <c r="RM106" i="2"/>
  <c r="RL106" i="2"/>
  <c r="RK106" i="2"/>
  <c r="RJ106" i="2"/>
  <c r="RI106" i="2"/>
  <c r="RQ105" i="2"/>
  <c r="RP105" i="2"/>
  <c r="RO105" i="2"/>
  <c r="RN105" i="2"/>
  <c r="RM105" i="2"/>
  <c r="RL105" i="2"/>
  <c r="RK105" i="2"/>
  <c r="RJ105" i="2"/>
  <c r="RI105" i="2"/>
  <c r="RQ104" i="2"/>
  <c r="RP104" i="2"/>
  <c r="RO104" i="2"/>
  <c r="RN104" i="2"/>
  <c r="RM104" i="2"/>
  <c r="RL104" i="2"/>
  <c r="RK104" i="2"/>
  <c r="RJ104" i="2"/>
  <c r="RI104" i="2"/>
  <c r="RQ103" i="2"/>
  <c r="RP103" i="2"/>
  <c r="RO103" i="2"/>
  <c r="RN103" i="2"/>
  <c r="RM103" i="2"/>
  <c r="RL103" i="2"/>
  <c r="RK103" i="2"/>
  <c r="RJ103" i="2"/>
  <c r="RI103" i="2"/>
  <c r="RQ102" i="2"/>
  <c r="RP102" i="2"/>
  <c r="RO102" i="2"/>
  <c r="RN102" i="2"/>
  <c r="RM102" i="2"/>
  <c r="RL102" i="2"/>
  <c r="RK102" i="2"/>
  <c r="RJ102" i="2"/>
  <c r="RI102" i="2"/>
  <c r="RQ101" i="2"/>
  <c r="RP101" i="2"/>
  <c r="RO101" i="2"/>
  <c r="RN101" i="2"/>
  <c r="RM101" i="2"/>
  <c r="RL101" i="2"/>
  <c r="RK101" i="2"/>
  <c r="RJ101" i="2"/>
  <c r="RI101" i="2"/>
  <c r="RQ100" i="2"/>
  <c r="RP100" i="2"/>
  <c r="RO100" i="2"/>
  <c r="RN100" i="2"/>
  <c r="RM100" i="2"/>
  <c r="RL100" i="2"/>
  <c r="RK100" i="2"/>
  <c r="RJ100" i="2"/>
  <c r="RI100" i="2"/>
  <c r="RQ99" i="2"/>
  <c r="RM99" i="2"/>
  <c r="RK99" i="2"/>
  <c r="RI99" i="2"/>
  <c r="RH125" i="2"/>
  <c r="RG125" i="2"/>
  <c r="RF125" i="2"/>
  <c r="RE125" i="2"/>
  <c r="RH122" i="2"/>
  <c r="RG122" i="2"/>
  <c r="RF122" i="2"/>
  <c r="RE122" i="2"/>
  <c r="RH121" i="2"/>
  <c r="RG121" i="2"/>
  <c r="RF121" i="2"/>
  <c r="RE121" i="2"/>
  <c r="RH120" i="2"/>
  <c r="RG120" i="2"/>
  <c r="RF120" i="2"/>
  <c r="RE120" i="2"/>
  <c r="RH119" i="2"/>
  <c r="RG119" i="2"/>
  <c r="RF119" i="2"/>
  <c r="RE119" i="2"/>
  <c r="RH114" i="2"/>
  <c r="RG114" i="2"/>
  <c r="RF114" i="2"/>
  <c r="RE114" i="2"/>
  <c r="RH110" i="2"/>
  <c r="RG110" i="2"/>
  <c r="RF110" i="2"/>
  <c r="RE110" i="2"/>
  <c r="RH108" i="2"/>
  <c r="RG108" i="2"/>
  <c r="RF108" i="2"/>
  <c r="RE108" i="2"/>
  <c r="RH107" i="2"/>
  <c r="RG107" i="2"/>
  <c r="RF107" i="2"/>
  <c r="RE107" i="2"/>
  <c r="RH106" i="2"/>
  <c r="RG106" i="2"/>
  <c r="RF106" i="2"/>
  <c r="RE106" i="2"/>
  <c r="RH105" i="2"/>
  <c r="RG105" i="2"/>
  <c r="RF105" i="2"/>
  <c r="RE105" i="2"/>
  <c r="RH104" i="2"/>
  <c r="RG104" i="2"/>
  <c r="RF104" i="2"/>
  <c r="RE104" i="2"/>
  <c r="RH103" i="2"/>
  <c r="RG103" i="2"/>
  <c r="RF103" i="2"/>
  <c r="RE103" i="2"/>
  <c r="RH102" i="2"/>
  <c r="RG102" i="2"/>
  <c r="RF102" i="2"/>
  <c r="RE102" i="2"/>
  <c r="RH101" i="2"/>
  <c r="RG101" i="2"/>
  <c r="RF101" i="2"/>
  <c r="RE101" i="2"/>
  <c r="RH100" i="2"/>
  <c r="RG100" i="2"/>
  <c r="RF100" i="2"/>
  <c r="RE100" i="2"/>
  <c r="RH61" i="2"/>
  <c r="RG61" i="2"/>
  <c r="RF61" i="2"/>
  <c r="RE61" i="2"/>
  <c r="RH60" i="2"/>
  <c r="RG60" i="2"/>
  <c r="RF60" i="2"/>
  <c r="RE60" i="2"/>
  <c r="RH59" i="2"/>
  <c r="RG59" i="2"/>
  <c r="RF59" i="2"/>
  <c r="RE59" i="2"/>
  <c r="RH57" i="2"/>
  <c r="RH118" i="2" s="1"/>
  <c r="RH117" i="2" s="1"/>
  <c r="RG57" i="2"/>
  <c r="RG99" i="2" s="1"/>
  <c r="RF57" i="2"/>
  <c r="RF118" i="2" s="1"/>
  <c r="RF117" i="2" s="1"/>
  <c r="RE57" i="2"/>
  <c r="RE118" i="2" s="1"/>
  <c r="RE117" i="2" s="1"/>
  <c r="RD57" i="2"/>
  <c r="RD99" i="2" s="1"/>
  <c r="RC57" i="2"/>
  <c r="RC118" i="2" s="1"/>
  <c r="RB57" i="2"/>
  <c r="RB118" i="2" s="1"/>
  <c r="RA57" i="2"/>
  <c r="RA118" i="2" s="1"/>
  <c r="QZ57" i="2"/>
  <c r="QZ99" i="2" s="1"/>
  <c r="QY57" i="2"/>
  <c r="QY99" i="2" s="1"/>
  <c r="QX57" i="2"/>
  <c r="QX118" i="2" s="1"/>
  <c r="QW57" i="2"/>
  <c r="QW118" i="2" s="1"/>
  <c r="RD61" i="2"/>
  <c r="RC61" i="2"/>
  <c r="RB61" i="2"/>
  <c r="RA61" i="2"/>
  <c r="QZ61" i="2"/>
  <c r="QY61" i="2"/>
  <c r="QX61" i="2"/>
  <c r="QW61" i="2"/>
  <c r="RD60" i="2"/>
  <c r="RC60" i="2"/>
  <c r="RB60" i="2"/>
  <c r="RA60" i="2"/>
  <c r="QZ60" i="2"/>
  <c r="QY60" i="2"/>
  <c r="QX60" i="2"/>
  <c r="QW60" i="2"/>
  <c r="RD59" i="2"/>
  <c r="RC59" i="2"/>
  <c r="RB59" i="2"/>
  <c r="RA59" i="2"/>
  <c r="QZ59" i="2"/>
  <c r="QY59" i="2"/>
  <c r="QX59" i="2"/>
  <c r="QW59" i="2"/>
  <c r="RR125" i="2"/>
  <c r="RD125" i="2"/>
  <c r="RC125" i="2"/>
  <c r="RB125" i="2"/>
  <c r="RA125" i="2"/>
  <c r="QZ125" i="2"/>
  <c r="QY125" i="2"/>
  <c r="QX125" i="2"/>
  <c r="QW125" i="2"/>
  <c r="RR122" i="2"/>
  <c r="RD122" i="2"/>
  <c r="RC122" i="2"/>
  <c r="RB122" i="2"/>
  <c r="RA122" i="2"/>
  <c r="QZ122" i="2"/>
  <c r="QY122" i="2"/>
  <c r="QX122" i="2"/>
  <c r="QW122" i="2"/>
  <c r="RR121" i="2"/>
  <c r="RD121" i="2"/>
  <c r="RC121" i="2"/>
  <c r="RB121" i="2"/>
  <c r="RA121" i="2"/>
  <c r="QZ121" i="2"/>
  <c r="QY121" i="2"/>
  <c r="QX121" i="2"/>
  <c r="QW121" i="2"/>
  <c r="RR120" i="2"/>
  <c r="RD120" i="2"/>
  <c r="RC120" i="2"/>
  <c r="RB120" i="2"/>
  <c r="RA120" i="2"/>
  <c r="QZ120" i="2"/>
  <c r="QY120" i="2"/>
  <c r="QX120" i="2"/>
  <c r="QW120" i="2"/>
  <c r="RR119" i="2"/>
  <c r="RD119" i="2"/>
  <c r="RC119" i="2"/>
  <c r="RB119" i="2"/>
  <c r="RA119" i="2"/>
  <c r="QZ119" i="2"/>
  <c r="QY119" i="2"/>
  <c r="QX119" i="2"/>
  <c r="QW119" i="2"/>
  <c r="RR114" i="2"/>
  <c r="RD114" i="2"/>
  <c r="RC114" i="2"/>
  <c r="RB114" i="2"/>
  <c r="RA114" i="2"/>
  <c r="QZ114" i="2"/>
  <c r="QY114" i="2"/>
  <c r="QX114" i="2"/>
  <c r="QW114" i="2"/>
  <c r="RR110" i="2"/>
  <c r="RD110" i="2"/>
  <c r="RC110" i="2"/>
  <c r="RB110" i="2"/>
  <c r="RA110" i="2"/>
  <c r="QZ110" i="2"/>
  <c r="QY110" i="2"/>
  <c r="QX110" i="2"/>
  <c r="QW110" i="2"/>
  <c r="RR108" i="2"/>
  <c r="RD108" i="2"/>
  <c r="RC108" i="2"/>
  <c r="RB108" i="2"/>
  <c r="RA108" i="2"/>
  <c r="QZ108" i="2"/>
  <c r="QY108" i="2"/>
  <c r="QX108" i="2"/>
  <c r="QW108" i="2"/>
  <c r="RR107" i="2"/>
  <c r="RD107" i="2"/>
  <c r="RC107" i="2"/>
  <c r="RB107" i="2"/>
  <c r="RA107" i="2"/>
  <c r="QZ107" i="2"/>
  <c r="QY107" i="2"/>
  <c r="QX107" i="2"/>
  <c r="QW107" i="2"/>
  <c r="RR106" i="2"/>
  <c r="RD106" i="2"/>
  <c r="RC106" i="2"/>
  <c r="RB106" i="2"/>
  <c r="RA106" i="2"/>
  <c r="QZ106" i="2"/>
  <c r="QY106" i="2"/>
  <c r="QX106" i="2"/>
  <c r="QW106" i="2"/>
  <c r="RR105" i="2"/>
  <c r="RD105" i="2"/>
  <c r="RC105" i="2"/>
  <c r="RB105" i="2"/>
  <c r="RA105" i="2"/>
  <c r="QZ105" i="2"/>
  <c r="QY105" i="2"/>
  <c r="QX105" i="2"/>
  <c r="QW105" i="2"/>
  <c r="RR104" i="2"/>
  <c r="RD104" i="2"/>
  <c r="RC104" i="2"/>
  <c r="RB104" i="2"/>
  <c r="RA104" i="2"/>
  <c r="QZ104" i="2"/>
  <c r="QY104" i="2"/>
  <c r="QX104" i="2"/>
  <c r="QW104" i="2"/>
  <c r="RR103" i="2"/>
  <c r="RD103" i="2"/>
  <c r="RC103" i="2"/>
  <c r="RB103" i="2"/>
  <c r="RA103" i="2"/>
  <c r="QZ103" i="2"/>
  <c r="QY103" i="2"/>
  <c r="QX103" i="2"/>
  <c r="QW103" i="2"/>
  <c r="RR102" i="2"/>
  <c r="RD102" i="2"/>
  <c r="RC102" i="2"/>
  <c r="RB102" i="2"/>
  <c r="RA102" i="2"/>
  <c r="QZ102" i="2"/>
  <c r="QY102" i="2"/>
  <c r="QX102" i="2"/>
  <c r="QW102" i="2"/>
  <c r="RR101" i="2"/>
  <c r="RD101" i="2"/>
  <c r="RC101" i="2"/>
  <c r="RB101" i="2"/>
  <c r="RA101" i="2"/>
  <c r="QZ101" i="2"/>
  <c r="QY101" i="2"/>
  <c r="QX101" i="2"/>
  <c r="QW101" i="2"/>
  <c r="RR100" i="2"/>
  <c r="RD100" i="2"/>
  <c r="RC100" i="2"/>
  <c r="RB100" i="2"/>
  <c r="RA100" i="2"/>
  <c r="QZ100" i="2"/>
  <c r="QY100" i="2"/>
  <c r="QX100" i="2"/>
  <c r="QW100" i="2"/>
  <c r="RA99" i="2"/>
  <c r="QW99" i="2"/>
  <c r="RZ57" i="2"/>
  <c r="RY57" i="2"/>
  <c r="RX57" i="2"/>
  <c r="RW57" i="2"/>
  <c r="RV57" i="2"/>
  <c r="RU57" i="2"/>
  <c r="RT57" i="2"/>
  <c r="XI61" i="2"/>
  <c r="XH61" i="2"/>
  <c r="XG61" i="2"/>
  <c r="XI59" i="2"/>
  <c r="XH59" i="2"/>
  <c r="XG59" i="2"/>
  <c r="XI57" i="2"/>
  <c r="XI75" i="2" s="1"/>
  <c r="XH57" i="2"/>
  <c r="XH75" i="2" s="1"/>
  <c r="XG57" i="2"/>
  <c r="XG75" i="2" s="1"/>
  <c r="XI125" i="2"/>
  <c r="XH125" i="2"/>
  <c r="XG125" i="2"/>
  <c r="XI122" i="2"/>
  <c r="XH122" i="2"/>
  <c r="XG122" i="2"/>
  <c r="XI121" i="2"/>
  <c r="XH121" i="2"/>
  <c r="XG121" i="2"/>
  <c r="XI120" i="2"/>
  <c r="XH120" i="2"/>
  <c r="XG120" i="2"/>
  <c r="XI119" i="2"/>
  <c r="XH119" i="2"/>
  <c r="XG119" i="2"/>
  <c r="XG118" i="2"/>
  <c r="XF125" i="2"/>
  <c r="XF122" i="2"/>
  <c r="XF121" i="2"/>
  <c r="XF120" i="2"/>
  <c r="XF119" i="2"/>
  <c r="XF61" i="2"/>
  <c r="XF59" i="2"/>
  <c r="XF57" i="2"/>
  <c r="XF75" i="2" s="1"/>
  <c r="XE125" i="2"/>
  <c r="XE122" i="2"/>
  <c r="XE121" i="2"/>
  <c r="XE120" i="2"/>
  <c r="XE119" i="2"/>
  <c r="XE61" i="2"/>
  <c r="XE59" i="2"/>
  <c r="XE57" i="2"/>
  <c r="XE75" i="2" s="1"/>
  <c r="XD125" i="2"/>
  <c r="XD122" i="2"/>
  <c r="XD121" i="2"/>
  <c r="XD120" i="2"/>
  <c r="XD119" i="2"/>
  <c r="XD61" i="2"/>
  <c r="XD59" i="2"/>
  <c r="XD57" i="2"/>
  <c r="XD118" i="2" s="1"/>
  <c r="XC57" i="2"/>
  <c r="XC75" i="2" s="1"/>
  <c r="XB57" i="2"/>
  <c r="XB75" i="2" s="1"/>
  <c r="XA57" i="2"/>
  <c r="XA75" i="2" s="1"/>
  <c r="QZ118" i="2" l="1"/>
  <c r="RJ99" i="2"/>
  <c r="RL99" i="2"/>
  <c r="RC99" i="2"/>
  <c r="RC98" i="2" s="1"/>
  <c r="QY118" i="2"/>
  <c r="VG117" i="2"/>
  <c r="VK117" i="2"/>
  <c r="VO117" i="2"/>
  <c r="VS117" i="2"/>
  <c r="VW117" i="2"/>
  <c r="AHF9" i="2"/>
  <c r="AHE9" i="2" s="1"/>
  <c r="AHH9" i="2"/>
  <c r="AHK9" i="2"/>
  <c r="AFH9" i="2"/>
  <c r="AFI9" i="2" s="1"/>
  <c r="AFJ9" i="2" s="1"/>
  <c r="AFK9" i="2"/>
  <c r="AFL9" i="2" s="1"/>
  <c r="AFM9" i="2" s="1"/>
  <c r="AFN9" i="2" s="1"/>
  <c r="AFO9" i="2" s="1"/>
  <c r="AFP9" i="2" s="1"/>
  <c r="AFQ9" i="2" s="1"/>
  <c r="ACC9" i="2"/>
  <c r="ACD9" i="2" s="1"/>
  <c r="ACE9" i="2" s="1"/>
  <c r="ACF9" i="2" s="1"/>
  <c r="ACG9" i="2" s="1"/>
  <c r="ACH9" i="2" s="1"/>
  <c r="ACI9" i="2" s="1"/>
  <c r="ACJ9" i="2" s="1"/>
  <c r="XL117" i="2"/>
  <c r="XP117" i="2"/>
  <c r="XT117" i="2"/>
  <c r="XX117" i="2"/>
  <c r="YB117" i="2"/>
  <c r="RI97" i="2"/>
  <c r="YF117" i="2"/>
  <c r="RJ117" i="2"/>
  <c r="XF118" i="2"/>
  <c r="XF117" i="2" s="1"/>
  <c r="XF66" i="2" s="1"/>
  <c r="YQ118" i="2"/>
  <c r="YQ117" i="2" s="1"/>
  <c r="YI117" i="2"/>
  <c r="YM117" i="2"/>
  <c r="YU117" i="2"/>
  <c r="YY117" i="2"/>
  <c r="YU75" i="2"/>
  <c r="QX117" i="2"/>
  <c r="RB117" i="2"/>
  <c r="ZC118" i="2"/>
  <c r="ZC117" i="2" s="1"/>
  <c r="YI75" i="2"/>
  <c r="YY75" i="2"/>
  <c r="RJ97" i="2"/>
  <c r="ZG118" i="2"/>
  <c r="YM75" i="2"/>
  <c r="RN117" i="2"/>
  <c r="XD117" i="2"/>
  <c r="XD66" i="2" s="1"/>
  <c r="XE118" i="2"/>
  <c r="XE117" i="2" s="1"/>
  <c r="XH118" i="2"/>
  <c r="QX99" i="2"/>
  <c r="RB99" i="2"/>
  <c r="RD118" i="2"/>
  <c r="RD117" i="2" s="1"/>
  <c r="XM117" i="2"/>
  <c r="XQ117" i="2"/>
  <c r="XU117" i="2"/>
  <c r="XY117" i="2"/>
  <c r="YC117" i="2"/>
  <c r="YJ118" i="2"/>
  <c r="YJ117" i="2" s="1"/>
  <c r="YN118" i="2"/>
  <c r="YN117" i="2" s="1"/>
  <c r="YR118" i="2"/>
  <c r="YR117" i="2" s="1"/>
  <c r="YV118" i="2"/>
  <c r="YV117" i="2" s="1"/>
  <c r="YZ118" i="2"/>
  <c r="YZ117" i="2" s="1"/>
  <c r="ZD118" i="2"/>
  <c r="ZD117" i="2" s="1"/>
  <c r="ZH118" i="2"/>
  <c r="ZH117" i="2" s="1"/>
  <c r="XL75" i="2"/>
  <c r="XP75" i="2"/>
  <c r="XT75" i="2"/>
  <c r="XX75" i="2"/>
  <c r="YB75" i="2"/>
  <c r="XI118" i="2"/>
  <c r="RQ98" i="2"/>
  <c r="RL98" i="2"/>
  <c r="RO97" i="2"/>
  <c r="VH117" i="2"/>
  <c r="VL117" i="2"/>
  <c r="VP117" i="2"/>
  <c r="VT117" i="2"/>
  <c r="VX117" i="2"/>
  <c r="YG118" i="2"/>
  <c r="YG117" i="2" s="1"/>
  <c r="YK118" i="2"/>
  <c r="YK117" i="2" s="1"/>
  <c r="YO118" i="2"/>
  <c r="YO117" i="2" s="1"/>
  <c r="YS118" i="2"/>
  <c r="YS117" i="2" s="1"/>
  <c r="YW118" i="2"/>
  <c r="YW117" i="2" s="1"/>
  <c r="ZA118" i="2"/>
  <c r="ZA117" i="2" s="1"/>
  <c r="ZE118" i="2"/>
  <c r="ZE117" i="2" s="1"/>
  <c r="ZI118" i="2"/>
  <c r="ZI117" i="2" s="1"/>
  <c r="XM75" i="2"/>
  <c r="XQ75" i="2"/>
  <c r="XU75" i="2"/>
  <c r="XY75" i="2"/>
  <c r="YC75" i="2"/>
  <c r="QZ97" i="2"/>
  <c r="RJ98" i="2"/>
  <c r="RN97" i="2"/>
  <c r="RK97" i="2"/>
  <c r="YH118" i="2"/>
  <c r="YH117" i="2" s="1"/>
  <c r="YL118" i="2"/>
  <c r="YP118" i="2"/>
  <c r="YP117" i="2" s="1"/>
  <c r="YT118" i="2"/>
  <c r="YT117" i="2" s="1"/>
  <c r="YX118" i="2"/>
  <c r="YX117" i="2" s="1"/>
  <c r="YL117" i="2"/>
  <c r="ZB118" i="2"/>
  <c r="ZB117" i="2" s="1"/>
  <c r="ZF118" i="2"/>
  <c r="ZF117" i="2" s="1"/>
  <c r="ZJ118" i="2"/>
  <c r="ZJ117" i="2" s="1"/>
  <c r="ZG117" i="2"/>
  <c r="XD75" i="2"/>
  <c r="XJ118" i="2"/>
  <c r="XJ117" i="2" s="1"/>
  <c r="XN118" i="2"/>
  <c r="XN117" i="2" s="1"/>
  <c r="XR118" i="2"/>
  <c r="XR117" i="2" s="1"/>
  <c r="XV118" i="2"/>
  <c r="XV117" i="2" s="1"/>
  <c r="XZ118" i="2"/>
  <c r="XZ117" i="2" s="1"/>
  <c r="YD118" i="2"/>
  <c r="YD117" i="2" s="1"/>
  <c r="XK118" i="2"/>
  <c r="XK117" i="2" s="1"/>
  <c r="XO118" i="2"/>
  <c r="XO117" i="2" s="1"/>
  <c r="XS118" i="2"/>
  <c r="XS117" i="2" s="1"/>
  <c r="XW118" i="2"/>
  <c r="XW117" i="2" s="1"/>
  <c r="YA118" i="2"/>
  <c r="YA117" i="2" s="1"/>
  <c r="YE118" i="2"/>
  <c r="YE117" i="2" s="1"/>
  <c r="VE97" i="2"/>
  <c r="VE98" i="2"/>
  <c r="VI97" i="2"/>
  <c r="VI98" i="2"/>
  <c r="VM97" i="2"/>
  <c r="VM98" i="2"/>
  <c r="VQ97" i="2"/>
  <c r="VQ98" i="2"/>
  <c r="VU97" i="2"/>
  <c r="VU98" i="2"/>
  <c r="VY97" i="2"/>
  <c r="VY98" i="2"/>
  <c r="VF97" i="2"/>
  <c r="VF98" i="2"/>
  <c r="VJ97" i="2"/>
  <c r="VJ98" i="2"/>
  <c r="VN97" i="2"/>
  <c r="VN98" i="2"/>
  <c r="VR97" i="2"/>
  <c r="VR98" i="2"/>
  <c r="VV97" i="2"/>
  <c r="VV98" i="2"/>
  <c r="VZ97" i="2"/>
  <c r="VZ98" i="2"/>
  <c r="RN98" i="2"/>
  <c r="RI98" i="2"/>
  <c r="RM97" i="2"/>
  <c r="RQ97" i="2"/>
  <c r="VG99" i="2"/>
  <c r="VK99" i="2"/>
  <c r="VO99" i="2"/>
  <c r="VS99" i="2"/>
  <c r="VW99" i="2"/>
  <c r="VE118" i="2"/>
  <c r="VE117" i="2" s="1"/>
  <c r="VI118" i="2"/>
  <c r="VI117" i="2" s="1"/>
  <c r="VM118" i="2"/>
  <c r="VM117" i="2" s="1"/>
  <c r="VQ118" i="2"/>
  <c r="VQ117" i="2" s="1"/>
  <c r="VU118" i="2"/>
  <c r="VU117" i="2" s="1"/>
  <c r="VY118" i="2"/>
  <c r="VY117" i="2" s="1"/>
  <c r="QX97" i="2"/>
  <c r="VH99" i="2"/>
  <c r="VL99" i="2"/>
  <c r="VP99" i="2"/>
  <c r="VT99" i="2"/>
  <c r="VX99" i="2"/>
  <c r="VF118" i="2"/>
  <c r="VF117" i="2" s="1"/>
  <c r="VJ118" i="2"/>
  <c r="VJ117" i="2" s="1"/>
  <c r="VN118" i="2"/>
  <c r="VN117" i="2" s="1"/>
  <c r="VR118" i="2"/>
  <c r="VR117" i="2" s="1"/>
  <c r="VV118" i="2"/>
  <c r="VV117" i="2" s="1"/>
  <c r="VZ118" i="2"/>
  <c r="VZ117" i="2" s="1"/>
  <c r="RM98" i="2"/>
  <c r="RI117" i="2"/>
  <c r="RM117" i="2"/>
  <c r="RQ117" i="2"/>
  <c r="RL117" i="2"/>
  <c r="RP117" i="2"/>
  <c r="RP98" i="2"/>
  <c r="RL97" i="2"/>
  <c r="RP97" i="2"/>
  <c r="RK98" i="2"/>
  <c r="RO98" i="2"/>
  <c r="RK117" i="2"/>
  <c r="RO117" i="2"/>
  <c r="RD97" i="2"/>
  <c r="RG98" i="2"/>
  <c r="RG97" i="2"/>
  <c r="QW97" i="2"/>
  <c r="RH99" i="2"/>
  <c r="RG118" i="2"/>
  <c r="RG117" i="2" s="1"/>
  <c r="RB97" i="2"/>
  <c r="RE99" i="2"/>
  <c r="RF99" i="2"/>
  <c r="RA97" i="2"/>
  <c r="QY98" i="2"/>
  <c r="QZ117" i="2"/>
  <c r="QW117" i="2"/>
  <c r="RA117" i="2"/>
  <c r="QY117" i="2"/>
  <c r="RC117" i="2"/>
  <c r="QZ98" i="2"/>
  <c r="QX98" i="2"/>
  <c r="QY97" i="2"/>
  <c r="RD98" i="2"/>
  <c r="RB98" i="2"/>
  <c r="RC97" i="2"/>
  <c r="QW98" i="2"/>
  <c r="RA98" i="2"/>
  <c r="XI117" i="2"/>
  <c r="XG117" i="2"/>
  <c r="XH117" i="2"/>
  <c r="WZ57" i="2"/>
  <c r="WZ75" i="2" s="1"/>
  <c r="XC61" i="2"/>
  <c r="XB61" i="2"/>
  <c r="XA61" i="2"/>
  <c r="WZ61" i="2"/>
  <c r="XC59" i="2"/>
  <c r="XB59" i="2"/>
  <c r="XA59" i="2"/>
  <c r="WZ59" i="2"/>
  <c r="XC125" i="2"/>
  <c r="XB125" i="2"/>
  <c r="XA125" i="2"/>
  <c r="WZ125" i="2"/>
  <c r="XC122" i="2"/>
  <c r="XB122" i="2"/>
  <c r="XA122" i="2"/>
  <c r="WZ122" i="2"/>
  <c r="XC121" i="2"/>
  <c r="XB121" i="2"/>
  <c r="XA121" i="2"/>
  <c r="WZ121" i="2"/>
  <c r="XC120" i="2"/>
  <c r="XB120" i="2"/>
  <c r="XA120" i="2"/>
  <c r="WZ120" i="2"/>
  <c r="XC119" i="2"/>
  <c r="XB119" i="2"/>
  <c r="XA119" i="2"/>
  <c r="WZ119" i="2"/>
  <c r="XC118" i="2"/>
  <c r="XB118" i="2"/>
  <c r="XA118" i="2"/>
  <c r="WZ118" i="2"/>
  <c r="XC117" i="2"/>
  <c r="WR125" i="2"/>
  <c r="WR122" i="2"/>
  <c r="WR121" i="2"/>
  <c r="WR120" i="2"/>
  <c r="WR119" i="2"/>
  <c r="WR61" i="2"/>
  <c r="WR59" i="2"/>
  <c r="WR57" i="2"/>
  <c r="WR118" i="2" s="1"/>
  <c r="WP125" i="2"/>
  <c r="WP122" i="2"/>
  <c r="WP121" i="2"/>
  <c r="WP120" i="2"/>
  <c r="WP119" i="2"/>
  <c r="WP61" i="2"/>
  <c r="WP59" i="2"/>
  <c r="WP57" i="2"/>
  <c r="WP118" i="2" s="1"/>
  <c r="WY125" i="2"/>
  <c r="WY122" i="2"/>
  <c r="WY121" i="2"/>
  <c r="WY120" i="2"/>
  <c r="WY119" i="2"/>
  <c r="WY61" i="2"/>
  <c r="WY59" i="2"/>
  <c r="WY57" i="2"/>
  <c r="WY75" i="2" s="1"/>
  <c r="WX125" i="2"/>
  <c r="WX122" i="2"/>
  <c r="WX121" i="2"/>
  <c r="WX120" i="2"/>
  <c r="WX119" i="2"/>
  <c r="WW125" i="2"/>
  <c r="WW122" i="2"/>
  <c r="WW121" i="2"/>
  <c r="WW120" i="2"/>
  <c r="WW119" i="2"/>
  <c r="WX61" i="2"/>
  <c r="WW61" i="2"/>
  <c r="WX59" i="2"/>
  <c r="WW59" i="2"/>
  <c r="WX57" i="2"/>
  <c r="WX75" i="2" s="1"/>
  <c r="WW118" i="2"/>
  <c r="WV61" i="2"/>
  <c r="WU61" i="2"/>
  <c r="WT61" i="2"/>
  <c r="WS61" i="2"/>
  <c r="WQ61" i="2"/>
  <c r="WO61" i="2"/>
  <c r="WN61" i="2"/>
  <c r="WM61" i="2"/>
  <c r="WL61" i="2"/>
  <c r="WK61" i="2"/>
  <c r="WJ61" i="2"/>
  <c r="WI61" i="2"/>
  <c r="WH61" i="2"/>
  <c r="WG61" i="2"/>
  <c r="WF61" i="2"/>
  <c r="WV59" i="2"/>
  <c r="WU59" i="2"/>
  <c r="WT59" i="2"/>
  <c r="WS59" i="2"/>
  <c r="WQ59" i="2"/>
  <c r="WO59" i="2"/>
  <c r="WN59" i="2"/>
  <c r="WM59" i="2"/>
  <c r="WL59" i="2"/>
  <c r="WK59" i="2"/>
  <c r="WJ59" i="2"/>
  <c r="WI59" i="2"/>
  <c r="WH59" i="2"/>
  <c r="WG59" i="2"/>
  <c r="WF59" i="2"/>
  <c r="WE61" i="2"/>
  <c r="WE59" i="2"/>
  <c r="WV125" i="2"/>
  <c r="WV122" i="2"/>
  <c r="WV121" i="2"/>
  <c r="WV120" i="2"/>
  <c r="WV119" i="2"/>
  <c r="WU125" i="2"/>
  <c r="WU122" i="2"/>
  <c r="WU121" i="2"/>
  <c r="WU120" i="2"/>
  <c r="WU119" i="2"/>
  <c r="WT125" i="2"/>
  <c r="WT122" i="2"/>
  <c r="WT121" i="2"/>
  <c r="WT120" i="2"/>
  <c r="WT119" i="2"/>
  <c r="WU57" i="2"/>
  <c r="WU118" i="2" s="1"/>
  <c r="WV57" i="2"/>
  <c r="WV118" i="2" s="1"/>
  <c r="WT57" i="2"/>
  <c r="WT118" i="2" s="1"/>
  <c r="WS125" i="2"/>
  <c r="WQ125" i="2"/>
  <c r="WO125" i="2"/>
  <c r="WN125" i="2"/>
  <c r="WM125" i="2"/>
  <c r="WL125" i="2"/>
  <c r="WK125" i="2"/>
  <c r="WJ125" i="2"/>
  <c r="WI125" i="2"/>
  <c r="WH125" i="2"/>
  <c r="WG125" i="2"/>
  <c r="WS122" i="2"/>
  <c r="WQ122" i="2"/>
  <c r="WO122" i="2"/>
  <c r="WN122" i="2"/>
  <c r="WM122" i="2"/>
  <c r="WL122" i="2"/>
  <c r="WK122" i="2"/>
  <c r="WJ122" i="2"/>
  <c r="WI122" i="2"/>
  <c r="WH122" i="2"/>
  <c r="WG122" i="2"/>
  <c r="WS121" i="2"/>
  <c r="WQ121" i="2"/>
  <c r="WO121" i="2"/>
  <c r="WN121" i="2"/>
  <c r="WM121" i="2"/>
  <c r="WL121" i="2"/>
  <c r="WK121" i="2"/>
  <c r="WJ121" i="2"/>
  <c r="WI121" i="2"/>
  <c r="WH121" i="2"/>
  <c r="WG121" i="2"/>
  <c r="WS120" i="2"/>
  <c r="WQ120" i="2"/>
  <c r="WO120" i="2"/>
  <c r="WN120" i="2"/>
  <c r="WM120" i="2"/>
  <c r="WL120" i="2"/>
  <c r="WK120" i="2"/>
  <c r="WJ120" i="2"/>
  <c r="WI120" i="2"/>
  <c r="WH120" i="2"/>
  <c r="WG120" i="2"/>
  <c r="WS119" i="2"/>
  <c r="WQ119" i="2"/>
  <c r="WO119" i="2"/>
  <c r="WN119" i="2"/>
  <c r="WM119" i="2"/>
  <c r="WL119" i="2"/>
  <c r="WK119" i="2"/>
  <c r="WJ119" i="2"/>
  <c r="WI119" i="2"/>
  <c r="WH119" i="2"/>
  <c r="WG119" i="2"/>
  <c r="WF125" i="2"/>
  <c r="WF122" i="2"/>
  <c r="WF121" i="2"/>
  <c r="WF120" i="2"/>
  <c r="WF119" i="2"/>
  <c r="WE125" i="2"/>
  <c r="WE122" i="2"/>
  <c r="WE121" i="2"/>
  <c r="WE120" i="2"/>
  <c r="WE119" i="2"/>
  <c r="WS57" i="2"/>
  <c r="WS118" i="2" s="1"/>
  <c r="WQ57" i="2"/>
  <c r="WQ118" i="2" s="1"/>
  <c r="WO57" i="2"/>
  <c r="WO118" i="2" s="1"/>
  <c r="WN57" i="2"/>
  <c r="WN118" i="2" s="1"/>
  <c r="WM57" i="2"/>
  <c r="WM118" i="2" s="1"/>
  <c r="WL57" i="2"/>
  <c r="WL118" i="2" s="1"/>
  <c r="WK57" i="2"/>
  <c r="WK118" i="2" s="1"/>
  <c r="ACK9" i="2" l="1"/>
  <c r="ACL9" i="2" s="1"/>
  <c r="ACM9" i="2" s="1"/>
  <c r="ACN9" i="2"/>
  <c r="ACO9" i="2" s="1"/>
  <c r="ACP9" i="2" s="1"/>
  <c r="ACQ9" i="2" s="1"/>
  <c r="ACR9" i="2" s="1"/>
  <c r="ACS9" i="2" s="1"/>
  <c r="ACW9" i="2" s="1"/>
  <c r="AHJ9" i="2"/>
  <c r="AHI9" i="2" s="1"/>
  <c r="AHL9" i="2"/>
  <c r="AHM9" i="2" s="1"/>
  <c r="AHN9" i="2" s="1"/>
  <c r="AHO9" i="2" s="1"/>
  <c r="AHP9" i="2" s="1"/>
  <c r="AHT9" i="2" s="1"/>
  <c r="WK117" i="2"/>
  <c r="WK66" i="2" s="1"/>
  <c r="WO117" i="2"/>
  <c r="WX118" i="2"/>
  <c r="WX117" i="2" s="1"/>
  <c r="WX66" i="2" s="1"/>
  <c r="XA117" i="2"/>
  <c r="XG66" i="2"/>
  <c r="XH66" i="2" s="1"/>
  <c r="XI66" i="2" s="1"/>
  <c r="XJ66" i="2" s="1"/>
  <c r="XK66" i="2" s="1"/>
  <c r="XL66" i="2" s="1"/>
  <c r="XM66" i="2" s="1"/>
  <c r="XN66" i="2" s="1"/>
  <c r="XO66" i="2" s="1"/>
  <c r="XP66" i="2" s="1"/>
  <c r="XQ66" i="2" s="1"/>
  <c r="XR66" i="2" s="1"/>
  <c r="XS66" i="2" s="1"/>
  <c r="XT66" i="2" s="1"/>
  <c r="XU66" i="2" s="1"/>
  <c r="XV66" i="2" s="1"/>
  <c r="XW66" i="2" s="1"/>
  <c r="XX66" i="2" s="1"/>
  <c r="XY66" i="2" s="1"/>
  <c r="XZ66" i="2" s="1"/>
  <c r="YA66" i="2" s="1"/>
  <c r="YB66" i="2" s="1"/>
  <c r="YC66" i="2" s="1"/>
  <c r="YD66" i="2" s="1"/>
  <c r="YE66" i="2" s="1"/>
  <c r="WS117" i="2"/>
  <c r="WR117" i="2"/>
  <c r="WR66" i="2" s="1"/>
  <c r="XE66" i="2"/>
  <c r="WW117" i="2"/>
  <c r="WW66" i="2" s="1"/>
  <c r="WY118" i="2"/>
  <c r="WY117" i="2" s="1"/>
  <c r="WY66" i="2" s="1"/>
  <c r="VL98" i="2"/>
  <c r="VL97" i="2"/>
  <c r="VO98" i="2"/>
  <c r="VO97" i="2"/>
  <c r="VX98" i="2"/>
  <c r="VX97" i="2"/>
  <c r="VH98" i="2"/>
  <c r="VH97" i="2"/>
  <c r="VK98" i="2"/>
  <c r="VK97" i="2"/>
  <c r="VT98" i="2"/>
  <c r="VT97" i="2"/>
  <c r="VW98" i="2"/>
  <c r="VW97" i="2"/>
  <c r="VG98" i="2"/>
  <c r="VG97" i="2"/>
  <c r="VP98" i="2"/>
  <c r="VP97" i="2"/>
  <c r="VS98" i="2"/>
  <c r="VS97" i="2"/>
  <c r="RF98" i="2"/>
  <c r="RF97" i="2"/>
  <c r="RH98" i="2"/>
  <c r="RH97" i="2"/>
  <c r="RE97" i="2"/>
  <c r="RE98" i="2"/>
  <c r="WM117" i="2"/>
  <c r="WM66" i="2" s="1"/>
  <c r="WN117" i="2"/>
  <c r="WN66" i="2" s="1"/>
  <c r="WO66" i="2" s="1"/>
  <c r="WP117" i="2"/>
  <c r="WP66" i="2" s="1"/>
  <c r="XB117" i="2"/>
  <c r="WZ117" i="2"/>
  <c r="WZ66" i="2" s="1"/>
  <c r="XA66" i="2" s="1"/>
  <c r="XB66" i="2" s="1"/>
  <c r="XC66" i="2" s="1"/>
  <c r="WQ117" i="2"/>
  <c r="WL117" i="2"/>
  <c r="WL66" i="2" s="1"/>
  <c r="WU117" i="2"/>
  <c r="WU66" i="2" s="1"/>
  <c r="WV117" i="2"/>
  <c r="WV66" i="2" s="1"/>
  <c r="WT117" i="2"/>
  <c r="WT66" i="2" s="1"/>
  <c r="WJ57" i="2"/>
  <c r="WJ118" i="2" s="1"/>
  <c r="WJ117" i="2" s="1"/>
  <c r="WJ66" i="2" s="1"/>
  <c r="WI57" i="2"/>
  <c r="WI118" i="2" s="1"/>
  <c r="WI117" i="2" s="1"/>
  <c r="WI66" i="2" s="1"/>
  <c r="WH57" i="2"/>
  <c r="WH118" i="2" s="1"/>
  <c r="WH117" i="2" s="1"/>
  <c r="WH66" i="2" s="1"/>
  <c r="WG57" i="2"/>
  <c r="WG118" i="2" s="1"/>
  <c r="WG117" i="2" s="1"/>
  <c r="WG66" i="2" s="1"/>
  <c r="WF57" i="2"/>
  <c r="WF118" i="2" s="1"/>
  <c r="WF117" i="2" s="1"/>
  <c r="WF66" i="2" s="1"/>
  <c r="WE57" i="2"/>
  <c r="WE118" i="2" s="1"/>
  <c r="WE117" i="2" s="1"/>
  <c r="WE66" i="2" s="1"/>
  <c r="WD125" i="2"/>
  <c r="WD122" i="2"/>
  <c r="WD121" i="2"/>
  <c r="WD120" i="2"/>
  <c r="WD119" i="2"/>
  <c r="WD61" i="2"/>
  <c r="WD60" i="2"/>
  <c r="WF60" i="2" s="1"/>
  <c r="WH60" i="2" s="1"/>
  <c r="WJ60" i="2" s="1"/>
  <c r="WL60" i="2" s="1"/>
  <c r="WN60" i="2" s="1"/>
  <c r="WD59" i="2"/>
  <c r="WD57" i="2"/>
  <c r="WD118" i="2" s="1"/>
  <c r="WC66" i="2"/>
  <c r="WD66" i="2" s="1"/>
  <c r="SA66" i="2"/>
  <c r="WC95" i="2"/>
  <c r="WC94" i="2"/>
  <c r="WC93" i="2"/>
  <c r="WC92" i="2"/>
  <c r="WC91" i="2"/>
  <c r="WC90" i="2"/>
  <c r="WC89" i="2"/>
  <c r="WC88" i="2"/>
  <c r="WC84" i="2"/>
  <c r="WC83" i="2"/>
  <c r="WC82" i="2"/>
  <c r="WC81" i="2"/>
  <c r="WC78" i="2"/>
  <c r="WC61" i="2"/>
  <c r="WC60" i="2"/>
  <c r="WE60" i="2" s="1"/>
  <c r="WG60" i="2" s="1"/>
  <c r="WI60" i="2" s="1"/>
  <c r="WK60" i="2" s="1"/>
  <c r="WM60" i="2" s="1"/>
  <c r="WO60" i="2" s="1"/>
  <c r="WC59" i="2"/>
  <c r="WC57" i="2"/>
  <c r="WC85" i="2" s="1"/>
  <c r="WB61" i="2"/>
  <c r="WB60" i="2"/>
  <c r="WB59" i="2"/>
  <c r="WB57" i="2"/>
  <c r="WA57" i="2"/>
  <c r="SA60" i="2"/>
  <c r="TF61" i="2"/>
  <c r="TF60" i="2"/>
  <c r="TF59" i="2"/>
  <c r="TF66" i="2"/>
  <c r="AHQ9" i="2" l="1"/>
  <c r="ACT9" i="2"/>
  <c r="ACU9" i="2" s="1"/>
  <c r="ACV9" i="2" s="1"/>
  <c r="WC87" i="2"/>
  <c r="WC64" i="2" s="1"/>
  <c r="WQ66" i="2"/>
  <c r="WS66" i="2"/>
  <c r="WS60" i="2"/>
  <c r="WU60" i="2" s="1"/>
  <c r="WY60" i="2" s="1"/>
  <c r="XA60" i="2" s="1"/>
  <c r="XC60" i="2" s="1"/>
  <c r="XE60" i="2" s="1"/>
  <c r="XG60" i="2" s="1"/>
  <c r="XI60" i="2" s="1"/>
  <c r="WQ60" i="2"/>
  <c r="WT60" i="2" s="1"/>
  <c r="WV60" i="2" s="1"/>
  <c r="WX60" i="2" s="1"/>
  <c r="WZ60" i="2" s="1"/>
  <c r="XB60" i="2" s="1"/>
  <c r="XD60" i="2" s="1"/>
  <c r="XF60" i="2" s="1"/>
  <c r="XH60" i="2" s="1"/>
  <c r="WC77" i="2"/>
  <c r="WD117" i="2"/>
  <c r="WP60" i="2"/>
  <c r="WR60" i="2" s="1"/>
  <c r="ADA9" i="2" l="1"/>
  <c r="ADB9" i="2" s="1"/>
  <c r="ADC9" i="2" s="1"/>
  <c r="ADD9" i="2" s="1"/>
  <c r="ADE9" i="2" s="1"/>
  <c r="ADF9" i="2" s="1"/>
  <c r="ADG9" i="2" s="1"/>
  <c r="ACX9" i="2"/>
  <c r="ACY9" i="2" s="1"/>
  <c r="ACZ9" i="2" s="1"/>
  <c r="AHS9" i="2"/>
  <c r="AHR9" i="2" s="1"/>
  <c r="AHU9" i="2"/>
  <c r="AHX9" i="2"/>
  <c r="VD125" i="2"/>
  <c r="VC125" i="2"/>
  <c r="VB125" i="2"/>
  <c r="VD122" i="2"/>
  <c r="VC122" i="2"/>
  <c r="VB122" i="2"/>
  <c r="VD121" i="2"/>
  <c r="VC121" i="2"/>
  <c r="VB121" i="2"/>
  <c r="VD120" i="2"/>
  <c r="VC120" i="2"/>
  <c r="VB120" i="2"/>
  <c r="VD119" i="2"/>
  <c r="VC119" i="2"/>
  <c r="VB119" i="2"/>
  <c r="VD114" i="2"/>
  <c r="VC114" i="2"/>
  <c r="VB114" i="2"/>
  <c r="VD110" i="2"/>
  <c r="VC110" i="2"/>
  <c r="VB110" i="2"/>
  <c r="VD108" i="2"/>
  <c r="VC108" i="2"/>
  <c r="VB108" i="2"/>
  <c r="VD107" i="2"/>
  <c r="VC107" i="2"/>
  <c r="VB107" i="2"/>
  <c r="VD106" i="2"/>
  <c r="VC106" i="2"/>
  <c r="VB106" i="2"/>
  <c r="VD105" i="2"/>
  <c r="VC105" i="2"/>
  <c r="VB105" i="2"/>
  <c r="VD104" i="2"/>
  <c r="VC104" i="2"/>
  <c r="VB104" i="2"/>
  <c r="VD103" i="2"/>
  <c r="VC103" i="2"/>
  <c r="VB103" i="2"/>
  <c r="VD102" i="2"/>
  <c r="VC102" i="2"/>
  <c r="VB102" i="2"/>
  <c r="VD101" i="2"/>
  <c r="VC101" i="2"/>
  <c r="VB101" i="2"/>
  <c r="VD100" i="2"/>
  <c r="VC100" i="2"/>
  <c r="VB100" i="2"/>
  <c r="VC66" i="2"/>
  <c r="VD66" i="2" s="1"/>
  <c r="VE66" i="2" s="1"/>
  <c r="VF66" i="2" s="1"/>
  <c r="VG66" i="2" s="1"/>
  <c r="VH66" i="2" s="1"/>
  <c r="VI66" i="2" s="1"/>
  <c r="VJ66" i="2" s="1"/>
  <c r="VK66" i="2" s="1"/>
  <c r="VL66" i="2" s="1"/>
  <c r="VM66" i="2" s="1"/>
  <c r="VN66" i="2" s="1"/>
  <c r="VO66" i="2" s="1"/>
  <c r="VP66" i="2" s="1"/>
  <c r="VQ66" i="2" s="1"/>
  <c r="VR66" i="2" s="1"/>
  <c r="VS66" i="2" s="1"/>
  <c r="VT66" i="2" s="1"/>
  <c r="VU66" i="2" s="1"/>
  <c r="VV66" i="2" s="1"/>
  <c r="VW66" i="2" s="1"/>
  <c r="VX66" i="2" s="1"/>
  <c r="VY66" i="2" s="1"/>
  <c r="VZ66" i="2" s="1"/>
  <c r="VD61" i="2"/>
  <c r="VC61" i="2"/>
  <c r="VB61" i="2"/>
  <c r="VD60" i="2"/>
  <c r="VC60" i="2"/>
  <c r="VB60" i="2"/>
  <c r="VD59" i="2"/>
  <c r="VC59" i="2"/>
  <c r="VB59" i="2"/>
  <c r="VD57" i="2"/>
  <c r="VD99" i="2" s="1"/>
  <c r="VC57" i="2"/>
  <c r="VC118" i="2" s="1"/>
  <c r="VB57" i="2"/>
  <c r="VB99" i="2" s="1"/>
  <c r="QU125" i="2"/>
  <c r="QU122" i="2"/>
  <c r="QU121" i="2"/>
  <c r="QU120" i="2"/>
  <c r="QU119" i="2"/>
  <c r="QU114" i="2"/>
  <c r="QU110" i="2"/>
  <c r="QU108" i="2"/>
  <c r="QU107" i="2"/>
  <c r="QU106" i="2"/>
  <c r="QU105" i="2"/>
  <c r="QU104" i="2"/>
  <c r="QU103" i="2"/>
  <c r="QU102" i="2"/>
  <c r="QU101" i="2"/>
  <c r="QU100" i="2"/>
  <c r="QU61" i="2"/>
  <c r="QU60" i="2"/>
  <c r="QU59" i="2"/>
  <c r="QU57" i="2"/>
  <c r="QU118" i="2" s="1"/>
  <c r="AHW9" i="2" l="1"/>
  <c r="AHV9" i="2" s="1"/>
  <c r="AHY9" i="2"/>
  <c r="AHZ9" i="2" s="1"/>
  <c r="AIA9" i="2" s="1"/>
  <c r="AIB9" i="2" s="1"/>
  <c r="VB98" i="2"/>
  <c r="VD98" i="2"/>
  <c r="VC117" i="2"/>
  <c r="VB97" i="2"/>
  <c r="VB62" i="2" s="1"/>
  <c r="VD97" i="2"/>
  <c r="VC99" i="2"/>
  <c r="VC97" i="2" s="1"/>
  <c r="VC62" i="2" s="1"/>
  <c r="VE62" i="2" s="1"/>
  <c r="VG62" i="2" s="1"/>
  <c r="VI62" i="2" s="1"/>
  <c r="VK62" i="2" s="1"/>
  <c r="VM62" i="2" s="1"/>
  <c r="VO62" i="2" s="1"/>
  <c r="VQ62" i="2" s="1"/>
  <c r="VS62" i="2" s="1"/>
  <c r="VU62" i="2" s="1"/>
  <c r="VW62" i="2" s="1"/>
  <c r="VY62" i="2" s="1"/>
  <c r="VD118" i="2"/>
  <c r="VD117" i="2" s="1"/>
  <c r="VB118" i="2"/>
  <c r="VB117" i="2" s="1"/>
  <c r="VB66" i="2" s="1"/>
  <c r="QU117" i="2"/>
  <c r="QU66" i="2" s="1"/>
  <c r="QV66" i="2" s="1"/>
  <c r="QW66" i="2" s="1"/>
  <c r="QX66" i="2" s="1"/>
  <c r="QY66" i="2" s="1"/>
  <c r="QZ66" i="2" s="1"/>
  <c r="RA66" i="2" s="1"/>
  <c r="RB66" i="2" s="1"/>
  <c r="RC66" i="2" s="1"/>
  <c r="RD66" i="2" s="1"/>
  <c r="QU99" i="2"/>
  <c r="QU97" i="2" s="1"/>
  <c r="QU62" i="2" s="1"/>
  <c r="QW62" i="2" s="1"/>
  <c r="QY62" i="2" s="1"/>
  <c r="RA62" i="2" s="1"/>
  <c r="RC62" i="2" s="1"/>
  <c r="RE62" i="2" l="1"/>
  <c r="RE66" i="2"/>
  <c r="RF66" i="2" s="1"/>
  <c r="RG66" i="2" s="1"/>
  <c r="RH66" i="2" s="1"/>
  <c r="RI66" i="2" s="1"/>
  <c r="RJ66" i="2" s="1"/>
  <c r="RK66" i="2" s="1"/>
  <c r="RL66" i="2" s="1"/>
  <c r="RM66" i="2" s="1"/>
  <c r="RN66" i="2" s="1"/>
  <c r="RO66" i="2" s="1"/>
  <c r="RP66" i="2" s="1"/>
  <c r="RQ66" i="2" s="1"/>
  <c r="AIC9" i="2"/>
  <c r="AID9" i="2" s="1"/>
  <c r="AIE9" i="2" s="1"/>
  <c r="AIF9" i="2"/>
  <c r="AIG9" i="2" s="1"/>
  <c r="AIH9" i="2" s="1"/>
  <c r="AII9" i="2" s="1"/>
  <c r="AIJ9" i="2" s="1"/>
  <c r="AIK9" i="2" s="1"/>
  <c r="VC98" i="2"/>
  <c r="VD62" i="2"/>
  <c r="VF62" i="2" s="1"/>
  <c r="VH62" i="2" s="1"/>
  <c r="VJ62" i="2" s="1"/>
  <c r="VL62" i="2" s="1"/>
  <c r="VN62" i="2" s="1"/>
  <c r="VP62" i="2" s="1"/>
  <c r="VR62" i="2" s="1"/>
  <c r="VT62" i="2" s="1"/>
  <c r="VV62" i="2" s="1"/>
  <c r="VX62" i="2" s="1"/>
  <c r="VZ62" i="2" s="1"/>
  <c r="VZ70" i="2" s="1"/>
  <c r="QU98" i="2"/>
  <c r="SB60" i="2"/>
  <c r="VA125" i="2"/>
  <c r="UZ125" i="2"/>
  <c r="UY125" i="2"/>
  <c r="UX125" i="2"/>
  <c r="UW125" i="2"/>
  <c r="UV125" i="2"/>
  <c r="UU125" i="2"/>
  <c r="UT125" i="2"/>
  <c r="US125" i="2"/>
  <c r="UR125" i="2"/>
  <c r="UQ125" i="2"/>
  <c r="UP125" i="2"/>
  <c r="UO125" i="2"/>
  <c r="UN125" i="2"/>
  <c r="UM125" i="2"/>
  <c r="UL125" i="2"/>
  <c r="UK125" i="2"/>
  <c r="UJ125" i="2"/>
  <c r="UI125" i="2"/>
  <c r="UH125" i="2"/>
  <c r="UG125" i="2"/>
  <c r="UF125" i="2"/>
  <c r="UE125" i="2"/>
  <c r="UD125" i="2"/>
  <c r="UC125" i="2"/>
  <c r="UB125" i="2"/>
  <c r="UA125" i="2"/>
  <c r="TZ125" i="2"/>
  <c r="TY125" i="2"/>
  <c r="TX125" i="2"/>
  <c r="TW125" i="2"/>
  <c r="TV125" i="2"/>
  <c r="TU125" i="2"/>
  <c r="TT125" i="2"/>
  <c r="TS125" i="2"/>
  <c r="TR125" i="2"/>
  <c r="TQ125" i="2"/>
  <c r="TP125" i="2"/>
  <c r="TO125" i="2"/>
  <c r="TN125" i="2"/>
  <c r="TM125" i="2"/>
  <c r="TL125" i="2"/>
  <c r="TK125" i="2"/>
  <c r="TJ125" i="2"/>
  <c r="TI125" i="2"/>
  <c r="TH125" i="2"/>
  <c r="TG125" i="2"/>
  <c r="TF125" i="2"/>
  <c r="TE125" i="2"/>
  <c r="TD125" i="2"/>
  <c r="TC125" i="2"/>
  <c r="TB125" i="2"/>
  <c r="TA125" i="2"/>
  <c r="SZ125" i="2"/>
  <c r="SY125" i="2"/>
  <c r="SX125" i="2"/>
  <c r="SW125" i="2"/>
  <c r="SV125" i="2"/>
  <c r="SU125" i="2"/>
  <c r="ST125" i="2"/>
  <c r="SS125" i="2"/>
  <c r="SR125" i="2"/>
  <c r="SQ125" i="2"/>
  <c r="SP125" i="2"/>
  <c r="SO125" i="2"/>
  <c r="SN125" i="2"/>
  <c r="SM125" i="2"/>
  <c r="SL125" i="2"/>
  <c r="SK125" i="2"/>
  <c r="SJ125" i="2"/>
  <c r="SI125" i="2"/>
  <c r="SH125" i="2"/>
  <c r="SG125" i="2"/>
  <c r="SF125" i="2"/>
  <c r="SE125" i="2"/>
  <c r="SD125" i="2"/>
  <c r="SC125" i="2"/>
  <c r="SB125" i="2"/>
  <c r="VA122" i="2"/>
  <c r="UZ122" i="2"/>
  <c r="UY122" i="2"/>
  <c r="UX122" i="2"/>
  <c r="UW122" i="2"/>
  <c r="UV122" i="2"/>
  <c r="UU122" i="2"/>
  <c r="UT122" i="2"/>
  <c r="US122" i="2"/>
  <c r="UR122" i="2"/>
  <c r="UQ122" i="2"/>
  <c r="UP122" i="2"/>
  <c r="UO122" i="2"/>
  <c r="UN122" i="2"/>
  <c r="UM122" i="2"/>
  <c r="UL122" i="2"/>
  <c r="UK122" i="2"/>
  <c r="UJ122" i="2"/>
  <c r="UI122" i="2"/>
  <c r="UH122" i="2"/>
  <c r="UG122" i="2"/>
  <c r="UF122" i="2"/>
  <c r="UE122" i="2"/>
  <c r="UD122" i="2"/>
  <c r="UC122" i="2"/>
  <c r="UB122" i="2"/>
  <c r="UA122" i="2"/>
  <c r="TZ122" i="2"/>
  <c r="TY122" i="2"/>
  <c r="TX122" i="2"/>
  <c r="TW122" i="2"/>
  <c r="TV122" i="2"/>
  <c r="TU122" i="2"/>
  <c r="TT122" i="2"/>
  <c r="TS122" i="2"/>
  <c r="TR122" i="2"/>
  <c r="TQ122" i="2"/>
  <c r="TP122" i="2"/>
  <c r="TO122" i="2"/>
  <c r="TN122" i="2"/>
  <c r="TM122" i="2"/>
  <c r="TL122" i="2"/>
  <c r="TK122" i="2"/>
  <c r="TJ122" i="2"/>
  <c r="TI122" i="2"/>
  <c r="TH122" i="2"/>
  <c r="TG122" i="2"/>
  <c r="TF122" i="2"/>
  <c r="TE122" i="2"/>
  <c r="TD122" i="2"/>
  <c r="TC122" i="2"/>
  <c r="TB122" i="2"/>
  <c r="TA122" i="2"/>
  <c r="SZ122" i="2"/>
  <c r="SY122" i="2"/>
  <c r="SX122" i="2"/>
  <c r="SW122" i="2"/>
  <c r="SV122" i="2"/>
  <c r="SU122" i="2"/>
  <c r="ST122" i="2"/>
  <c r="SS122" i="2"/>
  <c r="SR122" i="2"/>
  <c r="SQ122" i="2"/>
  <c r="SP122" i="2"/>
  <c r="SO122" i="2"/>
  <c r="SN122" i="2"/>
  <c r="SM122" i="2"/>
  <c r="SL122" i="2"/>
  <c r="SK122" i="2"/>
  <c r="SJ122" i="2"/>
  <c r="SI122" i="2"/>
  <c r="SH122" i="2"/>
  <c r="SG122" i="2"/>
  <c r="SF122" i="2"/>
  <c r="SE122" i="2"/>
  <c r="SD122" i="2"/>
  <c r="SC122" i="2"/>
  <c r="SB122" i="2"/>
  <c r="VA121" i="2"/>
  <c r="UZ121" i="2"/>
  <c r="UY121" i="2"/>
  <c r="UX121" i="2"/>
  <c r="UW121" i="2"/>
  <c r="UV121" i="2"/>
  <c r="UU121" i="2"/>
  <c r="UT121" i="2"/>
  <c r="US121" i="2"/>
  <c r="UR121" i="2"/>
  <c r="UQ121" i="2"/>
  <c r="UP121" i="2"/>
  <c r="UO121" i="2"/>
  <c r="UN121" i="2"/>
  <c r="UM121" i="2"/>
  <c r="UL121" i="2"/>
  <c r="UK121" i="2"/>
  <c r="UJ121" i="2"/>
  <c r="UI121" i="2"/>
  <c r="UH121" i="2"/>
  <c r="UG121" i="2"/>
  <c r="UF121" i="2"/>
  <c r="UE121" i="2"/>
  <c r="UD121" i="2"/>
  <c r="UC121" i="2"/>
  <c r="UB121" i="2"/>
  <c r="UA121" i="2"/>
  <c r="TZ121" i="2"/>
  <c r="TY121" i="2"/>
  <c r="TX121" i="2"/>
  <c r="TW121" i="2"/>
  <c r="TV121" i="2"/>
  <c r="TU121" i="2"/>
  <c r="TT121" i="2"/>
  <c r="TS121" i="2"/>
  <c r="TR121" i="2"/>
  <c r="TQ121" i="2"/>
  <c r="TP121" i="2"/>
  <c r="TO121" i="2"/>
  <c r="TN121" i="2"/>
  <c r="TM121" i="2"/>
  <c r="TL121" i="2"/>
  <c r="TK121" i="2"/>
  <c r="TJ121" i="2"/>
  <c r="TI121" i="2"/>
  <c r="TH121" i="2"/>
  <c r="TG121" i="2"/>
  <c r="TF121" i="2"/>
  <c r="TE121" i="2"/>
  <c r="TD121" i="2"/>
  <c r="TC121" i="2"/>
  <c r="TB121" i="2"/>
  <c r="TA121" i="2"/>
  <c r="SZ121" i="2"/>
  <c r="SY121" i="2"/>
  <c r="SX121" i="2"/>
  <c r="SW121" i="2"/>
  <c r="SV121" i="2"/>
  <c r="SU121" i="2"/>
  <c r="ST121" i="2"/>
  <c r="SS121" i="2"/>
  <c r="SR121" i="2"/>
  <c r="SQ121" i="2"/>
  <c r="SP121" i="2"/>
  <c r="SO121" i="2"/>
  <c r="SN121" i="2"/>
  <c r="SM121" i="2"/>
  <c r="SL121" i="2"/>
  <c r="SK121" i="2"/>
  <c r="SJ121" i="2"/>
  <c r="SI121" i="2"/>
  <c r="SH121" i="2"/>
  <c r="SG121" i="2"/>
  <c r="SF121" i="2"/>
  <c r="SE121" i="2"/>
  <c r="SD121" i="2"/>
  <c r="SC121" i="2"/>
  <c r="SB121" i="2"/>
  <c r="VA120" i="2"/>
  <c r="UZ120" i="2"/>
  <c r="UY120" i="2"/>
  <c r="UX120" i="2"/>
  <c r="UW120" i="2"/>
  <c r="UV120" i="2"/>
  <c r="UU120" i="2"/>
  <c r="UT120" i="2"/>
  <c r="US120" i="2"/>
  <c r="UR120" i="2"/>
  <c r="UQ120" i="2"/>
  <c r="UP120" i="2"/>
  <c r="UO120" i="2"/>
  <c r="UN120" i="2"/>
  <c r="UM120" i="2"/>
  <c r="UL120" i="2"/>
  <c r="UK120" i="2"/>
  <c r="UJ120" i="2"/>
  <c r="UI120" i="2"/>
  <c r="UH120" i="2"/>
  <c r="UG120" i="2"/>
  <c r="UF120" i="2"/>
  <c r="UE120" i="2"/>
  <c r="UD120" i="2"/>
  <c r="UC120" i="2"/>
  <c r="UB120" i="2"/>
  <c r="UA120" i="2"/>
  <c r="TZ120" i="2"/>
  <c r="TY120" i="2"/>
  <c r="TX120" i="2"/>
  <c r="TW120" i="2"/>
  <c r="TV120" i="2"/>
  <c r="TU120" i="2"/>
  <c r="TT120" i="2"/>
  <c r="TS120" i="2"/>
  <c r="TR120" i="2"/>
  <c r="TQ120" i="2"/>
  <c r="TP120" i="2"/>
  <c r="TO120" i="2"/>
  <c r="TN120" i="2"/>
  <c r="TM120" i="2"/>
  <c r="TL120" i="2"/>
  <c r="TK120" i="2"/>
  <c r="TJ120" i="2"/>
  <c r="TI120" i="2"/>
  <c r="TH120" i="2"/>
  <c r="TG120" i="2"/>
  <c r="TF120" i="2"/>
  <c r="TE120" i="2"/>
  <c r="TD120" i="2"/>
  <c r="TC120" i="2"/>
  <c r="TB120" i="2"/>
  <c r="TA120" i="2"/>
  <c r="SZ120" i="2"/>
  <c r="SY120" i="2"/>
  <c r="SX120" i="2"/>
  <c r="SW120" i="2"/>
  <c r="SV120" i="2"/>
  <c r="SU120" i="2"/>
  <c r="ST120" i="2"/>
  <c r="SS120" i="2"/>
  <c r="SR120" i="2"/>
  <c r="SQ120" i="2"/>
  <c r="SP120" i="2"/>
  <c r="SO120" i="2"/>
  <c r="SN120" i="2"/>
  <c r="SM120" i="2"/>
  <c r="SL120" i="2"/>
  <c r="SK120" i="2"/>
  <c r="SJ120" i="2"/>
  <c r="SI120" i="2"/>
  <c r="SH120" i="2"/>
  <c r="SG120" i="2"/>
  <c r="SF120" i="2"/>
  <c r="SE120" i="2"/>
  <c r="SD120" i="2"/>
  <c r="SC120" i="2"/>
  <c r="SB120" i="2"/>
  <c r="VA119" i="2"/>
  <c r="UZ119" i="2"/>
  <c r="UY119" i="2"/>
  <c r="UX119" i="2"/>
  <c r="UW119" i="2"/>
  <c r="UV119" i="2"/>
  <c r="UU119" i="2"/>
  <c r="UT119" i="2"/>
  <c r="US119" i="2"/>
  <c r="UR119" i="2"/>
  <c r="UQ119" i="2"/>
  <c r="UP119" i="2"/>
  <c r="UO119" i="2"/>
  <c r="UN119" i="2"/>
  <c r="UM119" i="2"/>
  <c r="UL119" i="2"/>
  <c r="UK119" i="2"/>
  <c r="UJ119" i="2"/>
  <c r="UI119" i="2"/>
  <c r="UH119" i="2"/>
  <c r="UG119" i="2"/>
  <c r="UF119" i="2"/>
  <c r="UE119" i="2"/>
  <c r="UD119" i="2"/>
  <c r="UC119" i="2"/>
  <c r="UB119" i="2"/>
  <c r="UA119" i="2"/>
  <c r="TZ119" i="2"/>
  <c r="TY119" i="2"/>
  <c r="TX119" i="2"/>
  <c r="TW119" i="2"/>
  <c r="TV119" i="2"/>
  <c r="TU119" i="2"/>
  <c r="TT119" i="2"/>
  <c r="TS119" i="2"/>
  <c r="TR119" i="2"/>
  <c r="TQ119" i="2"/>
  <c r="TP119" i="2"/>
  <c r="TO119" i="2"/>
  <c r="TN119" i="2"/>
  <c r="TM119" i="2"/>
  <c r="TL119" i="2"/>
  <c r="TK119" i="2"/>
  <c r="TJ119" i="2"/>
  <c r="TI119" i="2"/>
  <c r="TH119" i="2"/>
  <c r="TG119" i="2"/>
  <c r="TF119" i="2"/>
  <c r="TE119" i="2"/>
  <c r="TD119" i="2"/>
  <c r="TC119" i="2"/>
  <c r="TB119" i="2"/>
  <c r="TA119" i="2"/>
  <c r="SZ119" i="2"/>
  <c r="SY119" i="2"/>
  <c r="SX119" i="2"/>
  <c r="SW119" i="2"/>
  <c r="SV119" i="2"/>
  <c r="SU119" i="2"/>
  <c r="ST119" i="2"/>
  <c r="SS119" i="2"/>
  <c r="SR119" i="2"/>
  <c r="SQ119" i="2"/>
  <c r="SP119" i="2"/>
  <c r="SO119" i="2"/>
  <c r="SN119" i="2"/>
  <c r="SM119" i="2"/>
  <c r="SL119" i="2"/>
  <c r="SK119" i="2"/>
  <c r="SJ119" i="2"/>
  <c r="SI119" i="2"/>
  <c r="SH119" i="2"/>
  <c r="SG119" i="2"/>
  <c r="SF119" i="2"/>
  <c r="SE119" i="2"/>
  <c r="SD119" i="2"/>
  <c r="SC119" i="2"/>
  <c r="SB119" i="2"/>
  <c r="VA114" i="2"/>
  <c r="UZ114" i="2"/>
  <c r="UY114" i="2"/>
  <c r="UX114" i="2"/>
  <c r="UW114" i="2"/>
  <c r="UV114" i="2"/>
  <c r="UU114" i="2"/>
  <c r="UT114" i="2"/>
  <c r="US114" i="2"/>
  <c r="UR114" i="2"/>
  <c r="UQ114" i="2"/>
  <c r="UP114" i="2"/>
  <c r="UO114" i="2"/>
  <c r="UN114" i="2"/>
  <c r="UM114" i="2"/>
  <c r="UL114" i="2"/>
  <c r="UK114" i="2"/>
  <c r="UJ114" i="2"/>
  <c r="UI114" i="2"/>
  <c r="UH114" i="2"/>
  <c r="UG114" i="2"/>
  <c r="UF114" i="2"/>
  <c r="UE114" i="2"/>
  <c r="UD114" i="2"/>
  <c r="UC114" i="2"/>
  <c r="UB114" i="2"/>
  <c r="UA114" i="2"/>
  <c r="TZ114" i="2"/>
  <c r="TY114" i="2"/>
  <c r="TX114" i="2"/>
  <c r="TW114" i="2"/>
  <c r="TV114" i="2"/>
  <c r="TU114" i="2"/>
  <c r="TT114" i="2"/>
  <c r="TS114" i="2"/>
  <c r="TR114" i="2"/>
  <c r="TQ114" i="2"/>
  <c r="TP114" i="2"/>
  <c r="TO114" i="2"/>
  <c r="TN114" i="2"/>
  <c r="TM114" i="2"/>
  <c r="TL114" i="2"/>
  <c r="TK114" i="2"/>
  <c r="TJ114" i="2"/>
  <c r="TI114" i="2"/>
  <c r="TH114" i="2"/>
  <c r="TG114" i="2"/>
  <c r="TF114" i="2"/>
  <c r="TE114" i="2"/>
  <c r="TD114" i="2"/>
  <c r="TC114" i="2"/>
  <c r="TB114" i="2"/>
  <c r="TA114" i="2"/>
  <c r="SZ114" i="2"/>
  <c r="SY114" i="2"/>
  <c r="SX114" i="2"/>
  <c r="SW114" i="2"/>
  <c r="SV114" i="2"/>
  <c r="SU114" i="2"/>
  <c r="ST114" i="2"/>
  <c r="SS114" i="2"/>
  <c r="SR114" i="2"/>
  <c r="SQ114" i="2"/>
  <c r="SP114" i="2"/>
  <c r="SO114" i="2"/>
  <c r="SN114" i="2"/>
  <c r="SM114" i="2"/>
  <c r="SL114" i="2"/>
  <c r="SK114" i="2"/>
  <c r="SJ114" i="2"/>
  <c r="SI114" i="2"/>
  <c r="SH114" i="2"/>
  <c r="SG114" i="2"/>
  <c r="SF114" i="2"/>
  <c r="SE114" i="2"/>
  <c r="SD114" i="2"/>
  <c r="SC114" i="2"/>
  <c r="SB114" i="2"/>
  <c r="VA110" i="2"/>
  <c r="UZ110" i="2"/>
  <c r="UY110" i="2"/>
  <c r="UX110" i="2"/>
  <c r="UW110" i="2"/>
  <c r="UV110" i="2"/>
  <c r="UU110" i="2"/>
  <c r="UT110" i="2"/>
  <c r="US110" i="2"/>
  <c r="UR110" i="2"/>
  <c r="UQ110" i="2"/>
  <c r="UP110" i="2"/>
  <c r="UO110" i="2"/>
  <c r="UN110" i="2"/>
  <c r="UM110" i="2"/>
  <c r="UL110" i="2"/>
  <c r="UK110" i="2"/>
  <c r="UJ110" i="2"/>
  <c r="UI110" i="2"/>
  <c r="UH110" i="2"/>
  <c r="UG110" i="2"/>
  <c r="UF110" i="2"/>
  <c r="UE110" i="2"/>
  <c r="UD110" i="2"/>
  <c r="UC110" i="2"/>
  <c r="UB110" i="2"/>
  <c r="UA110" i="2"/>
  <c r="TZ110" i="2"/>
  <c r="TY110" i="2"/>
  <c r="TX110" i="2"/>
  <c r="TW110" i="2"/>
  <c r="TV110" i="2"/>
  <c r="TU110" i="2"/>
  <c r="TT110" i="2"/>
  <c r="TS110" i="2"/>
  <c r="TR110" i="2"/>
  <c r="TQ110" i="2"/>
  <c r="TP110" i="2"/>
  <c r="TO110" i="2"/>
  <c r="TN110" i="2"/>
  <c r="TM110" i="2"/>
  <c r="TL110" i="2"/>
  <c r="TK110" i="2"/>
  <c r="TJ110" i="2"/>
  <c r="TI110" i="2"/>
  <c r="TH110" i="2"/>
  <c r="TG110" i="2"/>
  <c r="TF110" i="2"/>
  <c r="TE110" i="2"/>
  <c r="TD110" i="2"/>
  <c r="TC110" i="2"/>
  <c r="TB110" i="2"/>
  <c r="TA110" i="2"/>
  <c r="SZ110" i="2"/>
  <c r="SY110" i="2"/>
  <c r="SX110" i="2"/>
  <c r="SW110" i="2"/>
  <c r="SV110" i="2"/>
  <c r="SU110" i="2"/>
  <c r="ST110" i="2"/>
  <c r="SS110" i="2"/>
  <c r="SR110" i="2"/>
  <c r="SQ110" i="2"/>
  <c r="SP110" i="2"/>
  <c r="SO110" i="2"/>
  <c r="SN110" i="2"/>
  <c r="SM110" i="2"/>
  <c r="SL110" i="2"/>
  <c r="SK110" i="2"/>
  <c r="SJ110" i="2"/>
  <c r="SI110" i="2"/>
  <c r="SH110" i="2"/>
  <c r="SG110" i="2"/>
  <c r="SF110" i="2"/>
  <c r="SE110" i="2"/>
  <c r="SD110" i="2"/>
  <c r="SC110" i="2"/>
  <c r="SB110" i="2"/>
  <c r="VA108" i="2"/>
  <c r="UZ108" i="2"/>
  <c r="UY108" i="2"/>
  <c r="UX108" i="2"/>
  <c r="UW108" i="2"/>
  <c r="UV108" i="2"/>
  <c r="UU108" i="2"/>
  <c r="UT108" i="2"/>
  <c r="US108" i="2"/>
  <c r="UR108" i="2"/>
  <c r="UQ108" i="2"/>
  <c r="UP108" i="2"/>
  <c r="UO108" i="2"/>
  <c r="UN108" i="2"/>
  <c r="UM108" i="2"/>
  <c r="UL108" i="2"/>
  <c r="UK108" i="2"/>
  <c r="UJ108" i="2"/>
  <c r="UI108" i="2"/>
  <c r="UH108" i="2"/>
  <c r="UG108" i="2"/>
  <c r="UF108" i="2"/>
  <c r="UE108" i="2"/>
  <c r="UD108" i="2"/>
  <c r="UC108" i="2"/>
  <c r="UB108" i="2"/>
  <c r="UA108" i="2"/>
  <c r="TZ108" i="2"/>
  <c r="TY108" i="2"/>
  <c r="TX108" i="2"/>
  <c r="TW108" i="2"/>
  <c r="TV108" i="2"/>
  <c r="TU108" i="2"/>
  <c r="TT108" i="2"/>
  <c r="TS108" i="2"/>
  <c r="TR108" i="2"/>
  <c r="TQ108" i="2"/>
  <c r="TP108" i="2"/>
  <c r="TO108" i="2"/>
  <c r="TN108" i="2"/>
  <c r="TM108" i="2"/>
  <c r="TL108" i="2"/>
  <c r="TK108" i="2"/>
  <c r="TJ108" i="2"/>
  <c r="TI108" i="2"/>
  <c r="TH108" i="2"/>
  <c r="TG108" i="2"/>
  <c r="TF108" i="2"/>
  <c r="TE108" i="2"/>
  <c r="TD108" i="2"/>
  <c r="TC108" i="2"/>
  <c r="TB108" i="2"/>
  <c r="TA108" i="2"/>
  <c r="SZ108" i="2"/>
  <c r="SY108" i="2"/>
  <c r="SX108" i="2"/>
  <c r="SW108" i="2"/>
  <c r="SV108" i="2"/>
  <c r="SU108" i="2"/>
  <c r="ST108" i="2"/>
  <c r="SS108" i="2"/>
  <c r="SR108" i="2"/>
  <c r="SQ108" i="2"/>
  <c r="SP108" i="2"/>
  <c r="SO108" i="2"/>
  <c r="SN108" i="2"/>
  <c r="SM108" i="2"/>
  <c r="SL108" i="2"/>
  <c r="SK108" i="2"/>
  <c r="SJ108" i="2"/>
  <c r="SI108" i="2"/>
  <c r="SH108" i="2"/>
  <c r="SG108" i="2"/>
  <c r="SF108" i="2"/>
  <c r="SE108" i="2"/>
  <c r="SD108" i="2"/>
  <c r="SC108" i="2"/>
  <c r="SB108" i="2"/>
  <c r="VA107" i="2"/>
  <c r="UZ107" i="2"/>
  <c r="UY107" i="2"/>
  <c r="UX107" i="2"/>
  <c r="UW107" i="2"/>
  <c r="UV107" i="2"/>
  <c r="UU107" i="2"/>
  <c r="UT107" i="2"/>
  <c r="US107" i="2"/>
  <c r="UR107" i="2"/>
  <c r="UQ107" i="2"/>
  <c r="UP107" i="2"/>
  <c r="UO107" i="2"/>
  <c r="UN107" i="2"/>
  <c r="UM107" i="2"/>
  <c r="UL107" i="2"/>
  <c r="UK107" i="2"/>
  <c r="UJ107" i="2"/>
  <c r="UI107" i="2"/>
  <c r="UH107" i="2"/>
  <c r="UG107" i="2"/>
  <c r="UF107" i="2"/>
  <c r="UE107" i="2"/>
  <c r="UD107" i="2"/>
  <c r="UC107" i="2"/>
  <c r="UB107" i="2"/>
  <c r="UA107" i="2"/>
  <c r="TZ107" i="2"/>
  <c r="TY107" i="2"/>
  <c r="TX107" i="2"/>
  <c r="TW107" i="2"/>
  <c r="TV107" i="2"/>
  <c r="TU107" i="2"/>
  <c r="TT107" i="2"/>
  <c r="TS107" i="2"/>
  <c r="TR107" i="2"/>
  <c r="TQ107" i="2"/>
  <c r="TP107" i="2"/>
  <c r="TO107" i="2"/>
  <c r="TN107" i="2"/>
  <c r="TM107" i="2"/>
  <c r="TL107" i="2"/>
  <c r="TK107" i="2"/>
  <c r="TJ107" i="2"/>
  <c r="TI107" i="2"/>
  <c r="TH107" i="2"/>
  <c r="TG107" i="2"/>
  <c r="TF107" i="2"/>
  <c r="TE107" i="2"/>
  <c r="TD107" i="2"/>
  <c r="TC107" i="2"/>
  <c r="TB107" i="2"/>
  <c r="TA107" i="2"/>
  <c r="SZ107" i="2"/>
  <c r="SY107" i="2"/>
  <c r="SX107" i="2"/>
  <c r="SW107" i="2"/>
  <c r="SV107" i="2"/>
  <c r="SU107" i="2"/>
  <c r="ST107" i="2"/>
  <c r="SS107" i="2"/>
  <c r="SR107" i="2"/>
  <c r="SQ107" i="2"/>
  <c r="SP107" i="2"/>
  <c r="SO107" i="2"/>
  <c r="SN107" i="2"/>
  <c r="SM107" i="2"/>
  <c r="SL107" i="2"/>
  <c r="SK107" i="2"/>
  <c r="SJ107" i="2"/>
  <c r="SI107" i="2"/>
  <c r="SH107" i="2"/>
  <c r="SG107" i="2"/>
  <c r="SF107" i="2"/>
  <c r="SE107" i="2"/>
  <c r="SD107" i="2"/>
  <c r="SC107" i="2"/>
  <c r="SB107" i="2"/>
  <c r="VA106" i="2"/>
  <c r="UZ106" i="2"/>
  <c r="UY106" i="2"/>
  <c r="UX106" i="2"/>
  <c r="UW106" i="2"/>
  <c r="UV106" i="2"/>
  <c r="UU106" i="2"/>
  <c r="UT106" i="2"/>
  <c r="US106" i="2"/>
  <c r="UR106" i="2"/>
  <c r="UQ106" i="2"/>
  <c r="UP106" i="2"/>
  <c r="UO106" i="2"/>
  <c r="UN106" i="2"/>
  <c r="UM106" i="2"/>
  <c r="UL106" i="2"/>
  <c r="UK106" i="2"/>
  <c r="UJ106" i="2"/>
  <c r="UI106" i="2"/>
  <c r="UH106" i="2"/>
  <c r="UG106" i="2"/>
  <c r="UF106" i="2"/>
  <c r="UE106" i="2"/>
  <c r="UD106" i="2"/>
  <c r="UC106" i="2"/>
  <c r="UB106" i="2"/>
  <c r="UA106" i="2"/>
  <c r="TZ106" i="2"/>
  <c r="TY106" i="2"/>
  <c r="TX106" i="2"/>
  <c r="TW106" i="2"/>
  <c r="TV106" i="2"/>
  <c r="TU106" i="2"/>
  <c r="TT106" i="2"/>
  <c r="TS106" i="2"/>
  <c r="TR106" i="2"/>
  <c r="TQ106" i="2"/>
  <c r="TP106" i="2"/>
  <c r="TO106" i="2"/>
  <c r="TN106" i="2"/>
  <c r="TM106" i="2"/>
  <c r="TL106" i="2"/>
  <c r="TK106" i="2"/>
  <c r="TJ106" i="2"/>
  <c r="TI106" i="2"/>
  <c r="TH106" i="2"/>
  <c r="TG106" i="2"/>
  <c r="TF106" i="2"/>
  <c r="TE106" i="2"/>
  <c r="TD106" i="2"/>
  <c r="TC106" i="2"/>
  <c r="TB106" i="2"/>
  <c r="TA106" i="2"/>
  <c r="SZ106" i="2"/>
  <c r="SY106" i="2"/>
  <c r="SX106" i="2"/>
  <c r="SW106" i="2"/>
  <c r="SV106" i="2"/>
  <c r="SU106" i="2"/>
  <c r="ST106" i="2"/>
  <c r="SS106" i="2"/>
  <c r="SR106" i="2"/>
  <c r="SQ106" i="2"/>
  <c r="SP106" i="2"/>
  <c r="SO106" i="2"/>
  <c r="SN106" i="2"/>
  <c r="SM106" i="2"/>
  <c r="SL106" i="2"/>
  <c r="SK106" i="2"/>
  <c r="SJ106" i="2"/>
  <c r="SI106" i="2"/>
  <c r="SH106" i="2"/>
  <c r="SG106" i="2"/>
  <c r="SF106" i="2"/>
  <c r="SE106" i="2"/>
  <c r="SD106" i="2"/>
  <c r="SC106" i="2"/>
  <c r="SB106" i="2"/>
  <c r="VA105" i="2"/>
  <c r="UZ105" i="2"/>
  <c r="UY105" i="2"/>
  <c r="UX105" i="2"/>
  <c r="UW105" i="2"/>
  <c r="UV105" i="2"/>
  <c r="UU105" i="2"/>
  <c r="UT105" i="2"/>
  <c r="US105" i="2"/>
  <c r="UR105" i="2"/>
  <c r="UQ105" i="2"/>
  <c r="UP105" i="2"/>
  <c r="UO105" i="2"/>
  <c r="UN105" i="2"/>
  <c r="UM105" i="2"/>
  <c r="UL105" i="2"/>
  <c r="UK105" i="2"/>
  <c r="UJ105" i="2"/>
  <c r="UI105" i="2"/>
  <c r="UH105" i="2"/>
  <c r="UG105" i="2"/>
  <c r="UF105" i="2"/>
  <c r="UE105" i="2"/>
  <c r="UD105" i="2"/>
  <c r="UC105" i="2"/>
  <c r="UB105" i="2"/>
  <c r="UA105" i="2"/>
  <c r="TZ105" i="2"/>
  <c r="TY105" i="2"/>
  <c r="TX105" i="2"/>
  <c r="TW105" i="2"/>
  <c r="TV105" i="2"/>
  <c r="TU105" i="2"/>
  <c r="TT105" i="2"/>
  <c r="TS105" i="2"/>
  <c r="TR105" i="2"/>
  <c r="TQ105" i="2"/>
  <c r="TP105" i="2"/>
  <c r="TO105" i="2"/>
  <c r="TN105" i="2"/>
  <c r="TM105" i="2"/>
  <c r="TL105" i="2"/>
  <c r="TK105" i="2"/>
  <c r="TJ105" i="2"/>
  <c r="TI105" i="2"/>
  <c r="TH105" i="2"/>
  <c r="TG105" i="2"/>
  <c r="TF105" i="2"/>
  <c r="TE105" i="2"/>
  <c r="TD105" i="2"/>
  <c r="TC105" i="2"/>
  <c r="TB105" i="2"/>
  <c r="TA105" i="2"/>
  <c r="SZ105" i="2"/>
  <c r="SY105" i="2"/>
  <c r="SX105" i="2"/>
  <c r="SW105" i="2"/>
  <c r="SV105" i="2"/>
  <c r="SU105" i="2"/>
  <c r="ST105" i="2"/>
  <c r="SS105" i="2"/>
  <c r="SR105" i="2"/>
  <c r="SQ105" i="2"/>
  <c r="SP105" i="2"/>
  <c r="SO105" i="2"/>
  <c r="SN105" i="2"/>
  <c r="SM105" i="2"/>
  <c r="SL105" i="2"/>
  <c r="SK105" i="2"/>
  <c r="SJ105" i="2"/>
  <c r="SI105" i="2"/>
  <c r="SH105" i="2"/>
  <c r="SG105" i="2"/>
  <c r="SF105" i="2"/>
  <c r="SE105" i="2"/>
  <c r="SD105" i="2"/>
  <c r="SC105" i="2"/>
  <c r="SB105" i="2"/>
  <c r="VA104" i="2"/>
  <c r="UZ104" i="2"/>
  <c r="UY104" i="2"/>
  <c r="UX104" i="2"/>
  <c r="UW104" i="2"/>
  <c r="UV104" i="2"/>
  <c r="UU104" i="2"/>
  <c r="UT104" i="2"/>
  <c r="US104" i="2"/>
  <c r="UR104" i="2"/>
  <c r="UQ104" i="2"/>
  <c r="UP104" i="2"/>
  <c r="UO104" i="2"/>
  <c r="UN104" i="2"/>
  <c r="UM104" i="2"/>
  <c r="UL104" i="2"/>
  <c r="UK104" i="2"/>
  <c r="UJ104" i="2"/>
  <c r="UI104" i="2"/>
  <c r="UH104" i="2"/>
  <c r="UG104" i="2"/>
  <c r="UF104" i="2"/>
  <c r="UE104" i="2"/>
  <c r="UD104" i="2"/>
  <c r="UC104" i="2"/>
  <c r="UB104" i="2"/>
  <c r="UA104" i="2"/>
  <c r="TZ104" i="2"/>
  <c r="TY104" i="2"/>
  <c r="TX104" i="2"/>
  <c r="TW104" i="2"/>
  <c r="TV104" i="2"/>
  <c r="TU104" i="2"/>
  <c r="TT104" i="2"/>
  <c r="TS104" i="2"/>
  <c r="TR104" i="2"/>
  <c r="TQ104" i="2"/>
  <c r="TP104" i="2"/>
  <c r="TO104" i="2"/>
  <c r="TN104" i="2"/>
  <c r="TM104" i="2"/>
  <c r="TL104" i="2"/>
  <c r="TK104" i="2"/>
  <c r="TJ104" i="2"/>
  <c r="TI104" i="2"/>
  <c r="TH104" i="2"/>
  <c r="TG104" i="2"/>
  <c r="TF104" i="2"/>
  <c r="TE104" i="2"/>
  <c r="TD104" i="2"/>
  <c r="TC104" i="2"/>
  <c r="TB104" i="2"/>
  <c r="TA104" i="2"/>
  <c r="SZ104" i="2"/>
  <c r="SY104" i="2"/>
  <c r="SX104" i="2"/>
  <c r="SW104" i="2"/>
  <c r="SV104" i="2"/>
  <c r="SU104" i="2"/>
  <c r="ST104" i="2"/>
  <c r="SS104" i="2"/>
  <c r="SR104" i="2"/>
  <c r="SQ104" i="2"/>
  <c r="SP104" i="2"/>
  <c r="SO104" i="2"/>
  <c r="SN104" i="2"/>
  <c r="SM104" i="2"/>
  <c r="SL104" i="2"/>
  <c r="SK104" i="2"/>
  <c r="SJ104" i="2"/>
  <c r="SI104" i="2"/>
  <c r="SH104" i="2"/>
  <c r="SG104" i="2"/>
  <c r="SF104" i="2"/>
  <c r="SE104" i="2"/>
  <c r="SD104" i="2"/>
  <c r="SC104" i="2"/>
  <c r="SB104" i="2"/>
  <c r="VA103" i="2"/>
  <c r="UZ103" i="2"/>
  <c r="UY103" i="2"/>
  <c r="UX103" i="2"/>
  <c r="UW103" i="2"/>
  <c r="UV103" i="2"/>
  <c r="UU103" i="2"/>
  <c r="UT103" i="2"/>
  <c r="US103" i="2"/>
  <c r="UR103" i="2"/>
  <c r="UQ103" i="2"/>
  <c r="UP103" i="2"/>
  <c r="UO103" i="2"/>
  <c r="UN103" i="2"/>
  <c r="UM103" i="2"/>
  <c r="UL103" i="2"/>
  <c r="UK103" i="2"/>
  <c r="UJ103" i="2"/>
  <c r="UI103" i="2"/>
  <c r="UH103" i="2"/>
  <c r="UG103" i="2"/>
  <c r="UF103" i="2"/>
  <c r="UE103" i="2"/>
  <c r="UD103" i="2"/>
  <c r="UC103" i="2"/>
  <c r="UB103" i="2"/>
  <c r="UA103" i="2"/>
  <c r="TZ103" i="2"/>
  <c r="TY103" i="2"/>
  <c r="TX103" i="2"/>
  <c r="TW103" i="2"/>
  <c r="TV103" i="2"/>
  <c r="TU103" i="2"/>
  <c r="TT103" i="2"/>
  <c r="TS103" i="2"/>
  <c r="TR103" i="2"/>
  <c r="TQ103" i="2"/>
  <c r="TP103" i="2"/>
  <c r="TO103" i="2"/>
  <c r="TN103" i="2"/>
  <c r="TM103" i="2"/>
  <c r="TL103" i="2"/>
  <c r="TK103" i="2"/>
  <c r="TJ103" i="2"/>
  <c r="TI103" i="2"/>
  <c r="TH103" i="2"/>
  <c r="TG103" i="2"/>
  <c r="TF103" i="2"/>
  <c r="TE103" i="2"/>
  <c r="TD103" i="2"/>
  <c r="TC103" i="2"/>
  <c r="TB103" i="2"/>
  <c r="TA103" i="2"/>
  <c r="SZ103" i="2"/>
  <c r="SY103" i="2"/>
  <c r="SX103" i="2"/>
  <c r="SW103" i="2"/>
  <c r="SV103" i="2"/>
  <c r="SU103" i="2"/>
  <c r="ST103" i="2"/>
  <c r="SS103" i="2"/>
  <c r="SR103" i="2"/>
  <c r="SQ103" i="2"/>
  <c r="SP103" i="2"/>
  <c r="SO103" i="2"/>
  <c r="SN103" i="2"/>
  <c r="SM103" i="2"/>
  <c r="SL103" i="2"/>
  <c r="SK103" i="2"/>
  <c r="SJ103" i="2"/>
  <c r="SI103" i="2"/>
  <c r="SH103" i="2"/>
  <c r="SG103" i="2"/>
  <c r="SF103" i="2"/>
  <c r="SE103" i="2"/>
  <c r="SD103" i="2"/>
  <c r="SC103" i="2"/>
  <c r="SB103" i="2"/>
  <c r="VA102" i="2"/>
  <c r="UZ102" i="2"/>
  <c r="UY102" i="2"/>
  <c r="UX102" i="2"/>
  <c r="UW102" i="2"/>
  <c r="UV102" i="2"/>
  <c r="UU102" i="2"/>
  <c r="UT102" i="2"/>
  <c r="US102" i="2"/>
  <c r="UR102" i="2"/>
  <c r="UQ102" i="2"/>
  <c r="UP102" i="2"/>
  <c r="UO102" i="2"/>
  <c r="UN102" i="2"/>
  <c r="UM102" i="2"/>
  <c r="UL102" i="2"/>
  <c r="UK102" i="2"/>
  <c r="UJ102" i="2"/>
  <c r="UI102" i="2"/>
  <c r="UH102" i="2"/>
  <c r="UG102" i="2"/>
  <c r="UF102" i="2"/>
  <c r="UE102" i="2"/>
  <c r="UD102" i="2"/>
  <c r="UC102" i="2"/>
  <c r="UB102" i="2"/>
  <c r="UA102" i="2"/>
  <c r="TZ102" i="2"/>
  <c r="TY102" i="2"/>
  <c r="TX102" i="2"/>
  <c r="TW102" i="2"/>
  <c r="TV102" i="2"/>
  <c r="TU102" i="2"/>
  <c r="TT102" i="2"/>
  <c r="TS102" i="2"/>
  <c r="TR102" i="2"/>
  <c r="TQ102" i="2"/>
  <c r="TP102" i="2"/>
  <c r="TO102" i="2"/>
  <c r="TN102" i="2"/>
  <c r="TM102" i="2"/>
  <c r="TL102" i="2"/>
  <c r="TK102" i="2"/>
  <c r="TJ102" i="2"/>
  <c r="TI102" i="2"/>
  <c r="TH102" i="2"/>
  <c r="TG102" i="2"/>
  <c r="TF102" i="2"/>
  <c r="TE102" i="2"/>
  <c r="TD102" i="2"/>
  <c r="TC102" i="2"/>
  <c r="TB102" i="2"/>
  <c r="TA102" i="2"/>
  <c r="SZ102" i="2"/>
  <c r="SY102" i="2"/>
  <c r="SX102" i="2"/>
  <c r="SW102" i="2"/>
  <c r="SV102" i="2"/>
  <c r="SU102" i="2"/>
  <c r="ST102" i="2"/>
  <c r="SS102" i="2"/>
  <c r="SR102" i="2"/>
  <c r="SQ102" i="2"/>
  <c r="SP102" i="2"/>
  <c r="SO102" i="2"/>
  <c r="SN102" i="2"/>
  <c r="SM102" i="2"/>
  <c r="SL102" i="2"/>
  <c r="SK102" i="2"/>
  <c r="SJ102" i="2"/>
  <c r="SI102" i="2"/>
  <c r="SH102" i="2"/>
  <c r="SG102" i="2"/>
  <c r="SF102" i="2"/>
  <c r="SE102" i="2"/>
  <c r="SD102" i="2"/>
  <c r="SC102" i="2"/>
  <c r="SB102" i="2"/>
  <c r="VA101" i="2"/>
  <c r="UZ101" i="2"/>
  <c r="UY101" i="2"/>
  <c r="UX101" i="2"/>
  <c r="UW101" i="2"/>
  <c r="UV101" i="2"/>
  <c r="UU101" i="2"/>
  <c r="UT101" i="2"/>
  <c r="US101" i="2"/>
  <c r="UR101" i="2"/>
  <c r="UQ101" i="2"/>
  <c r="UP101" i="2"/>
  <c r="UO101" i="2"/>
  <c r="UN101" i="2"/>
  <c r="UM101" i="2"/>
  <c r="UL101" i="2"/>
  <c r="UK101" i="2"/>
  <c r="UJ101" i="2"/>
  <c r="UI101" i="2"/>
  <c r="UH101" i="2"/>
  <c r="UG101" i="2"/>
  <c r="UF101" i="2"/>
  <c r="UE101" i="2"/>
  <c r="UD101" i="2"/>
  <c r="UC101" i="2"/>
  <c r="UB101" i="2"/>
  <c r="UA101" i="2"/>
  <c r="TZ101" i="2"/>
  <c r="TY101" i="2"/>
  <c r="TX101" i="2"/>
  <c r="TW101" i="2"/>
  <c r="TV101" i="2"/>
  <c r="TU101" i="2"/>
  <c r="TT101" i="2"/>
  <c r="TS101" i="2"/>
  <c r="TR101" i="2"/>
  <c r="TQ101" i="2"/>
  <c r="TP101" i="2"/>
  <c r="TO101" i="2"/>
  <c r="TN101" i="2"/>
  <c r="TM101" i="2"/>
  <c r="TL101" i="2"/>
  <c r="TK101" i="2"/>
  <c r="TJ101" i="2"/>
  <c r="TI101" i="2"/>
  <c r="TH101" i="2"/>
  <c r="TG101" i="2"/>
  <c r="TF101" i="2"/>
  <c r="TE101" i="2"/>
  <c r="TD101" i="2"/>
  <c r="TC101" i="2"/>
  <c r="TB101" i="2"/>
  <c r="TA101" i="2"/>
  <c r="SZ101" i="2"/>
  <c r="SY101" i="2"/>
  <c r="SX101" i="2"/>
  <c r="SW101" i="2"/>
  <c r="SV101" i="2"/>
  <c r="SU101" i="2"/>
  <c r="ST101" i="2"/>
  <c r="SS101" i="2"/>
  <c r="SR101" i="2"/>
  <c r="SQ101" i="2"/>
  <c r="SP101" i="2"/>
  <c r="SO101" i="2"/>
  <c r="SN101" i="2"/>
  <c r="SM101" i="2"/>
  <c r="SL101" i="2"/>
  <c r="SK101" i="2"/>
  <c r="SJ101" i="2"/>
  <c r="SI101" i="2"/>
  <c r="SH101" i="2"/>
  <c r="SG101" i="2"/>
  <c r="SF101" i="2"/>
  <c r="SE101" i="2"/>
  <c r="SD101" i="2"/>
  <c r="SC101" i="2"/>
  <c r="SB101" i="2"/>
  <c r="SA101" i="2"/>
  <c r="SA102" i="2" s="1"/>
  <c r="SA103" i="2" s="1"/>
  <c r="SA104" i="2" s="1"/>
  <c r="SA105" i="2" s="1"/>
  <c r="SA106" i="2" s="1"/>
  <c r="SA107" i="2" s="1"/>
  <c r="SA108" i="2" s="1"/>
  <c r="SA109" i="2" s="1"/>
  <c r="SA110" i="2" s="1"/>
  <c r="SA111" i="2" s="1"/>
  <c r="SA112" i="2" s="1"/>
  <c r="SA113" i="2" s="1"/>
  <c r="SA114" i="2" s="1"/>
  <c r="VA100" i="2"/>
  <c r="UZ100" i="2"/>
  <c r="UY100" i="2"/>
  <c r="UX100" i="2"/>
  <c r="UW100" i="2"/>
  <c r="UV100" i="2"/>
  <c r="UU100" i="2"/>
  <c r="UT100" i="2"/>
  <c r="US100" i="2"/>
  <c r="UR100" i="2"/>
  <c r="UQ100" i="2"/>
  <c r="UP100" i="2"/>
  <c r="UO100" i="2"/>
  <c r="UN100" i="2"/>
  <c r="UM100" i="2"/>
  <c r="UL100" i="2"/>
  <c r="UK100" i="2"/>
  <c r="UJ100" i="2"/>
  <c r="UI100" i="2"/>
  <c r="UH100" i="2"/>
  <c r="UG100" i="2"/>
  <c r="UF100" i="2"/>
  <c r="UE100" i="2"/>
  <c r="UD100" i="2"/>
  <c r="UC100" i="2"/>
  <c r="UB100" i="2"/>
  <c r="UA100" i="2"/>
  <c r="TZ100" i="2"/>
  <c r="TY100" i="2"/>
  <c r="TX100" i="2"/>
  <c r="TW100" i="2"/>
  <c r="TV100" i="2"/>
  <c r="TU100" i="2"/>
  <c r="TT100" i="2"/>
  <c r="TS100" i="2"/>
  <c r="TR100" i="2"/>
  <c r="TQ100" i="2"/>
  <c r="TP100" i="2"/>
  <c r="TO100" i="2"/>
  <c r="TN100" i="2"/>
  <c r="TM100" i="2"/>
  <c r="TL100" i="2"/>
  <c r="TK100" i="2"/>
  <c r="TJ100" i="2"/>
  <c r="TI100" i="2"/>
  <c r="TH100" i="2"/>
  <c r="TG100" i="2"/>
  <c r="TF100" i="2"/>
  <c r="TE100" i="2"/>
  <c r="TD100" i="2"/>
  <c r="TC100" i="2"/>
  <c r="TB100" i="2"/>
  <c r="TA100" i="2"/>
  <c r="SZ100" i="2"/>
  <c r="SY100" i="2"/>
  <c r="SX100" i="2"/>
  <c r="SW100" i="2"/>
  <c r="SV100" i="2"/>
  <c r="SU100" i="2"/>
  <c r="ST100" i="2"/>
  <c r="SS100" i="2"/>
  <c r="SR100" i="2"/>
  <c r="SQ100" i="2"/>
  <c r="SP100" i="2"/>
  <c r="SO100" i="2"/>
  <c r="SN100" i="2"/>
  <c r="SM100" i="2"/>
  <c r="SL100" i="2"/>
  <c r="SK100" i="2"/>
  <c r="SJ100" i="2"/>
  <c r="SI100" i="2"/>
  <c r="SH100" i="2"/>
  <c r="SG100" i="2"/>
  <c r="SF100" i="2"/>
  <c r="SE100" i="2"/>
  <c r="SD100" i="2"/>
  <c r="SC100" i="2"/>
  <c r="SB100" i="2"/>
  <c r="SA95" i="2"/>
  <c r="SA94" i="2"/>
  <c r="SA93" i="2"/>
  <c r="SA92" i="2"/>
  <c r="SA91" i="2"/>
  <c r="SA90" i="2"/>
  <c r="SA89" i="2"/>
  <c r="SA88" i="2"/>
  <c r="SA84" i="2"/>
  <c r="SA83" i="2"/>
  <c r="SA82" i="2"/>
  <c r="SA81" i="2"/>
  <c r="SA78" i="2"/>
  <c r="UV66" i="2"/>
  <c r="UP66" i="2"/>
  <c r="UQ66" i="2" s="1"/>
  <c r="UR66" i="2" s="1"/>
  <c r="US66" i="2" s="1"/>
  <c r="UT66" i="2" s="1"/>
  <c r="UU66" i="2" s="1"/>
  <c r="UM66" i="2"/>
  <c r="UN66" i="2" s="1"/>
  <c r="UO66" i="2" s="1"/>
  <c r="UF66" i="2"/>
  <c r="UG66" i="2" s="1"/>
  <c r="UH66" i="2" s="1"/>
  <c r="UE66" i="2"/>
  <c r="TW66" i="2"/>
  <c r="TV66" i="2"/>
  <c r="TU66" i="2"/>
  <c r="TT66" i="2"/>
  <c r="TS66" i="2"/>
  <c r="TP66" i="2"/>
  <c r="TQ66" i="2" s="1"/>
  <c r="TR66" i="2" s="1"/>
  <c r="TO66" i="2"/>
  <c r="TN66" i="2"/>
  <c r="TM66" i="2"/>
  <c r="TL66" i="2"/>
  <c r="TK66" i="2"/>
  <c r="TJ66" i="2"/>
  <c r="TI66" i="2"/>
  <c r="TH66" i="2"/>
  <c r="TG66" i="2"/>
  <c r="TE66" i="2"/>
  <c r="TD66" i="2"/>
  <c r="TC66" i="2"/>
  <c r="TB66" i="2"/>
  <c r="TA66" i="2"/>
  <c r="SZ66" i="2"/>
  <c r="SY66" i="2"/>
  <c r="SX66" i="2"/>
  <c r="SW66" i="2"/>
  <c r="SV66" i="2"/>
  <c r="SU66" i="2"/>
  <c r="ST66" i="2"/>
  <c r="SS66" i="2"/>
  <c r="SR66" i="2"/>
  <c r="SQ66" i="2"/>
  <c r="SP66" i="2"/>
  <c r="SO66" i="2"/>
  <c r="SN66" i="2"/>
  <c r="SM66" i="2"/>
  <c r="SB66" i="2"/>
  <c r="UW62" i="2"/>
  <c r="UX62" i="2" s="1"/>
  <c r="UY62" i="2" s="1"/>
  <c r="UZ62" i="2" s="1"/>
  <c r="VA62" i="2" s="1"/>
  <c r="SL62" i="2"/>
  <c r="SK62" i="2"/>
  <c r="SJ62" i="2"/>
  <c r="SI62" i="2"/>
  <c r="SH62" i="2"/>
  <c r="SG62" i="2"/>
  <c r="SF62" i="2"/>
  <c r="SE62" i="2"/>
  <c r="SD62" i="2"/>
  <c r="SB62" i="2"/>
  <c r="VA61" i="2"/>
  <c r="UZ61" i="2"/>
  <c r="UY61" i="2"/>
  <c r="UX61" i="2"/>
  <c r="UW61" i="2"/>
  <c r="UV61" i="2"/>
  <c r="UU61" i="2"/>
  <c r="UT61" i="2"/>
  <c r="US61" i="2"/>
  <c r="UR61" i="2"/>
  <c r="UQ61" i="2"/>
  <c r="UP61" i="2"/>
  <c r="UO61" i="2"/>
  <c r="UN61" i="2"/>
  <c r="UM61" i="2"/>
  <c r="UL61" i="2"/>
  <c r="UK61" i="2"/>
  <c r="UJ61" i="2"/>
  <c r="UI61" i="2"/>
  <c r="UH61" i="2"/>
  <c r="UG61" i="2"/>
  <c r="UF61" i="2"/>
  <c r="UE61" i="2"/>
  <c r="UD61" i="2"/>
  <c r="UC61" i="2"/>
  <c r="UB61" i="2"/>
  <c r="UA61" i="2"/>
  <c r="TZ61" i="2"/>
  <c r="TY61" i="2"/>
  <c r="TX61" i="2"/>
  <c r="TW61" i="2"/>
  <c r="TV61" i="2"/>
  <c r="TU61" i="2"/>
  <c r="TT61" i="2"/>
  <c r="TS61" i="2"/>
  <c r="TR61" i="2"/>
  <c r="TQ61" i="2"/>
  <c r="TP61" i="2"/>
  <c r="TO61" i="2"/>
  <c r="TN61" i="2"/>
  <c r="TM61" i="2"/>
  <c r="TL61" i="2"/>
  <c r="TK61" i="2"/>
  <c r="TJ61" i="2"/>
  <c r="TI61" i="2"/>
  <c r="TH61" i="2"/>
  <c r="TG61" i="2"/>
  <c r="TE61" i="2"/>
  <c r="TD61" i="2"/>
  <c r="TC61" i="2"/>
  <c r="TB61" i="2"/>
  <c r="TA61" i="2"/>
  <c r="SZ61" i="2"/>
  <c r="SY61" i="2"/>
  <c r="SX61" i="2"/>
  <c r="SW61" i="2"/>
  <c r="SV61" i="2"/>
  <c r="SU61" i="2"/>
  <c r="ST61" i="2"/>
  <c r="SS61" i="2"/>
  <c r="SR61" i="2"/>
  <c r="SQ61" i="2"/>
  <c r="SP61" i="2"/>
  <c r="SO61" i="2"/>
  <c r="SN61" i="2"/>
  <c r="SM61" i="2"/>
  <c r="SL61" i="2"/>
  <c r="SK61" i="2"/>
  <c r="SJ61" i="2"/>
  <c r="SI61" i="2"/>
  <c r="SH61" i="2"/>
  <c r="SG61" i="2"/>
  <c r="SF61" i="2"/>
  <c r="SE61" i="2"/>
  <c r="SD61" i="2"/>
  <c r="SC61" i="2"/>
  <c r="SB61" i="2"/>
  <c r="SA61" i="2"/>
  <c r="VA60" i="2"/>
  <c r="UZ60" i="2"/>
  <c r="UY60" i="2"/>
  <c r="UX60" i="2"/>
  <c r="UW60" i="2"/>
  <c r="UV60" i="2"/>
  <c r="UU60" i="2"/>
  <c r="UT60" i="2"/>
  <c r="US60" i="2"/>
  <c r="UR60" i="2"/>
  <c r="UQ60" i="2"/>
  <c r="UP60" i="2"/>
  <c r="UO60" i="2"/>
  <c r="UN60" i="2"/>
  <c r="UM60" i="2"/>
  <c r="UL60" i="2"/>
  <c r="UK60" i="2"/>
  <c r="UJ60" i="2"/>
  <c r="UI60" i="2"/>
  <c r="UH60" i="2"/>
  <c r="UG60" i="2"/>
  <c r="UF60" i="2"/>
  <c r="UE60" i="2"/>
  <c r="UD60" i="2"/>
  <c r="UC60" i="2"/>
  <c r="UB60" i="2"/>
  <c r="UA60" i="2"/>
  <c r="TZ60" i="2"/>
  <c r="TY60" i="2"/>
  <c r="TX60" i="2"/>
  <c r="TW60" i="2"/>
  <c r="TV60" i="2"/>
  <c r="TU60" i="2"/>
  <c r="TT60" i="2"/>
  <c r="TS60" i="2"/>
  <c r="TR60" i="2"/>
  <c r="TQ60" i="2"/>
  <c r="TP60" i="2"/>
  <c r="TO60" i="2"/>
  <c r="TN60" i="2"/>
  <c r="TM60" i="2"/>
  <c r="TL60" i="2"/>
  <c r="TK60" i="2"/>
  <c r="TJ60" i="2"/>
  <c r="TI60" i="2"/>
  <c r="TH60" i="2"/>
  <c r="TG60" i="2"/>
  <c r="TE60" i="2"/>
  <c r="TD60" i="2"/>
  <c r="TC60" i="2"/>
  <c r="TB60" i="2"/>
  <c r="TA60" i="2"/>
  <c r="SZ60" i="2"/>
  <c r="SY60" i="2"/>
  <c r="SX60" i="2"/>
  <c r="SW60" i="2"/>
  <c r="SV60" i="2"/>
  <c r="SU60" i="2"/>
  <c r="ST60" i="2"/>
  <c r="SS60" i="2"/>
  <c r="SR60" i="2"/>
  <c r="SQ60" i="2"/>
  <c r="SP60" i="2"/>
  <c r="SO60" i="2"/>
  <c r="SN60" i="2"/>
  <c r="SM60" i="2"/>
  <c r="SL60" i="2"/>
  <c r="SK60" i="2"/>
  <c r="SJ60" i="2"/>
  <c r="SI60" i="2"/>
  <c r="SH60" i="2"/>
  <c r="SG60" i="2"/>
  <c r="SF60" i="2"/>
  <c r="SE60" i="2"/>
  <c r="SD60" i="2"/>
  <c r="SC60" i="2"/>
  <c r="VA59" i="2"/>
  <c r="UZ59" i="2"/>
  <c r="UY59" i="2"/>
  <c r="UX59" i="2"/>
  <c r="UW59" i="2"/>
  <c r="UV59" i="2"/>
  <c r="UU59" i="2"/>
  <c r="UT59" i="2"/>
  <c r="US59" i="2"/>
  <c r="UR59" i="2"/>
  <c r="UQ59" i="2"/>
  <c r="UP59" i="2"/>
  <c r="UO59" i="2"/>
  <c r="UN59" i="2"/>
  <c r="UM59" i="2"/>
  <c r="UL59" i="2"/>
  <c r="UK59" i="2"/>
  <c r="UJ59" i="2"/>
  <c r="UI59" i="2"/>
  <c r="UH59" i="2"/>
  <c r="UG59" i="2"/>
  <c r="UF59" i="2"/>
  <c r="UE59" i="2"/>
  <c r="UD59" i="2"/>
  <c r="UC59" i="2"/>
  <c r="UB59" i="2"/>
  <c r="UA59" i="2"/>
  <c r="TZ59" i="2"/>
  <c r="TY59" i="2"/>
  <c r="TX59" i="2"/>
  <c r="TW59" i="2"/>
  <c r="TV59" i="2"/>
  <c r="TU59" i="2"/>
  <c r="TT59" i="2"/>
  <c r="TS59" i="2"/>
  <c r="TR59" i="2"/>
  <c r="TQ59" i="2"/>
  <c r="TP59" i="2"/>
  <c r="TO59" i="2"/>
  <c r="TN59" i="2"/>
  <c r="TM59" i="2"/>
  <c r="TL59" i="2"/>
  <c r="TK59" i="2"/>
  <c r="TJ59" i="2"/>
  <c r="TI59" i="2"/>
  <c r="TH59" i="2"/>
  <c r="TG59" i="2"/>
  <c r="TE59" i="2"/>
  <c r="TD59" i="2"/>
  <c r="TC59" i="2"/>
  <c r="TB59" i="2"/>
  <c r="TA59" i="2"/>
  <c r="SZ59" i="2"/>
  <c r="SY59" i="2"/>
  <c r="SX59" i="2"/>
  <c r="SW59" i="2"/>
  <c r="SV59" i="2"/>
  <c r="SU59" i="2"/>
  <c r="ST59" i="2"/>
  <c r="SS59" i="2"/>
  <c r="SR59" i="2"/>
  <c r="SQ59" i="2"/>
  <c r="SP59" i="2"/>
  <c r="SO59" i="2"/>
  <c r="SN59" i="2"/>
  <c r="SM59" i="2"/>
  <c r="SL59" i="2"/>
  <c r="SK59" i="2"/>
  <c r="SJ59" i="2"/>
  <c r="SI59" i="2"/>
  <c r="SH59" i="2"/>
  <c r="SG59" i="2"/>
  <c r="SF59" i="2"/>
  <c r="SE59" i="2"/>
  <c r="SD59" i="2"/>
  <c r="SC59" i="2"/>
  <c r="SA59" i="2"/>
  <c r="VA57" i="2"/>
  <c r="UZ57" i="2"/>
  <c r="UY57" i="2"/>
  <c r="UX57" i="2"/>
  <c r="UW57" i="2"/>
  <c r="UV57" i="2"/>
  <c r="UU57" i="2"/>
  <c r="UT57" i="2"/>
  <c r="US57" i="2"/>
  <c r="UR57" i="2"/>
  <c r="UQ57" i="2"/>
  <c r="UP57" i="2"/>
  <c r="UO57" i="2"/>
  <c r="UN57" i="2"/>
  <c r="UM57" i="2"/>
  <c r="UL57" i="2"/>
  <c r="UK57" i="2"/>
  <c r="UJ57" i="2"/>
  <c r="UI57" i="2"/>
  <c r="UH57" i="2"/>
  <c r="UG57" i="2"/>
  <c r="UF57" i="2"/>
  <c r="UE57" i="2"/>
  <c r="UD57" i="2"/>
  <c r="UC57" i="2"/>
  <c r="UB57" i="2"/>
  <c r="UA57" i="2"/>
  <c r="TZ57" i="2"/>
  <c r="TY57" i="2"/>
  <c r="TX57" i="2"/>
  <c r="TW57" i="2"/>
  <c r="TV57" i="2"/>
  <c r="TU57" i="2"/>
  <c r="TT57" i="2"/>
  <c r="TS57" i="2"/>
  <c r="TR57" i="2"/>
  <c r="TQ57" i="2"/>
  <c r="TP57" i="2"/>
  <c r="TO57" i="2"/>
  <c r="TN57" i="2"/>
  <c r="TM57" i="2"/>
  <c r="TL57" i="2"/>
  <c r="TK57" i="2"/>
  <c r="TJ57" i="2"/>
  <c r="TI57" i="2"/>
  <c r="TH57" i="2"/>
  <c r="TG57" i="2"/>
  <c r="TF57" i="2"/>
  <c r="TE57" i="2"/>
  <c r="TD57" i="2"/>
  <c r="TC57" i="2"/>
  <c r="TB57" i="2"/>
  <c r="TA57" i="2"/>
  <c r="SZ57" i="2"/>
  <c r="SY57" i="2"/>
  <c r="SX57" i="2"/>
  <c r="SW57" i="2"/>
  <c r="SV57" i="2"/>
  <c r="SU57" i="2"/>
  <c r="ST57" i="2"/>
  <c r="SS57" i="2"/>
  <c r="SR57" i="2"/>
  <c r="SQ57" i="2"/>
  <c r="SP57" i="2"/>
  <c r="SO57" i="2"/>
  <c r="SN57" i="2"/>
  <c r="SM57" i="2"/>
  <c r="SL57" i="2"/>
  <c r="SK57" i="2"/>
  <c r="SJ57" i="2"/>
  <c r="SI57" i="2"/>
  <c r="SH57" i="2"/>
  <c r="SG57" i="2"/>
  <c r="SF57" i="2"/>
  <c r="SE57" i="2"/>
  <c r="SD57" i="2"/>
  <c r="SC57" i="2"/>
  <c r="SB57" i="2"/>
  <c r="SA57" i="2"/>
  <c r="SA85" i="2" s="1"/>
  <c r="RV9" i="2"/>
  <c r="RZ9" i="2" s="1"/>
  <c r="RY9" i="2" s="1"/>
  <c r="RX9" i="2" s="1"/>
  <c r="RR57" i="2"/>
  <c r="QS125" i="2"/>
  <c r="QS122" i="2"/>
  <c r="QS121" i="2"/>
  <c r="QS120" i="2"/>
  <c r="QS119" i="2"/>
  <c r="QS114" i="2"/>
  <c r="QS110" i="2"/>
  <c r="QS108" i="2"/>
  <c r="QS107" i="2"/>
  <c r="QS106" i="2"/>
  <c r="QS105" i="2"/>
  <c r="QS104" i="2"/>
  <c r="QS103" i="2"/>
  <c r="QS102" i="2"/>
  <c r="QS101" i="2"/>
  <c r="QS100" i="2"/>
  <c r="QS61" i="2"/>
  <c r="QS60" i="2"/>
  <c r="QS59" i="2"/>
  <c r="QS57" i="2"/>
  <c r="QS118" i="2" s="1"/>
  <c r="QC125" i="2"/>
  <c r="QC122" i="2"/>
  <c r="QC121" i="2"/>
  <c r="QC120" i="2"/>
  <c r="QC119" i="2"/>
  <c r="QC114" i="2"/>
  <c r="QC110" i="2"/>
  <c r="QC108" i="2"/>
  <c r="QC107" i="2"/>
  <c r="QC106" i="2"/>
  <c r="QC105" i="2"/>
  <c r="QC104" i="2"/>
  <c r="QC103" i="2"/>
  <c r="QC102" i="2"/>
  <c r="QC101" i="2"/>
  <c r="QC100" i="2"/>
  <c r="QC61" i="2"/>
  <c r="QC60" i="2"/>
  <c r="QC59" i="2"/>
  <c r="QC57" i="2"/>
  <c r="QC118" i="2" s="1"/>
  <c r="QV57" i="2"/>
  <c r="QV118" i="2" s="1"/>
  <c r="QT57" i="2"/>
  <c r="QT118" i="2" s="1"/>
  <c r="QV125" i="2"/>
  <c r="QT125" i="2"/>
  <c r="QV122" i="2"/>
  <c r="QT122" i="2"/>
  <c r="QV121" i="2"/>
  <c r="QT121" i="2"/>
  <c r="QV120" i="2"/>
  <c r="QT120" i="2"/>
  <c r="QV119" i="2"/>
  <c r="QT119" i="2"/>
  <c r="QV114" i="2"/>
  <c r="QT114" i="2"/>
  <c r="QV110" i="2"/>
  <c r="QT110" i="2"/>
  <c r="QV108" i="2"/>
  <c r="QT108" i="2"/>
  <c r="QV107" i="2"/>
  <c r="QT107" i="2"/>
  <c r="QV106" i="2"/>
  <c r="QT106" i="2"/>
  <c r="QV105" i="2"/>
  <c r="QT105" i="2"/>
  <c r="QV104" i="2"/>
  <c r="QT104" i="2"/>
  <c r="QV103" i="2"/>
  <c r="QT103" i="2"/>
  <c r="QV102" i="2"/>
  <c r="QT102" i="2"/>
  <c r="QV101" i="2"/>
  <c r="QT101" i="2"/>
  <c r="QV100" i="2"/>
  <c r="QT100" i="2"/>
  <c r="QV61" i="2"/>
  <c r="QT61" i="2"/>
  <c r="QV60" i="2"/>
  <c r="QT60" i="2"/>
  <c r="QV59" i="2"/>
  <c r="QT59" i="2"/>
  <c r="QR57" i="2"/>
  <c r="QR118" i="2" s="1"/>
  <c r="QQ57" i="2"/>
  <c r="QQ99" i="2" s="1"/>
  <c r="QP57" i="2"/>
  <c r="QP99" i="2" s="1"/>
  <c r="QO57" i="2"/>
  <c r="QO118" i="2" s="1"/>
  <c r="QN66" i="2"/>
  <c r="QR125" i="2"/>
  <c r="QQ125" i="2"/>
  <c r="QP125" i="2"/>
  <c r="QO125" i="2"/>
  <c r="QR122" i="2"/>
  <c r="QQ122" i="2"/>
  <c r="QP122" i="2"/>
  <c r="QO122" i="2"/>
  <c r="QR121" i="2"/>
  <c r="QQ121" i="2"/>
  <c r="QP121" i="2"/>
  <c r="QO121" i="2"/>
  <c r="QR120" i="2"/>
  <c r="QQ120" i="2"/>
  <c r="QP120" i="2"/>
  <c r="QO120" i="2"/>
  <c r="QR119" i="2"/>
  <c r="QQ119" i="2"/>
  <c r="QP119" i="2"/>
  <c r="QO119" i="2"/>
  <c r="QR114" i="2"/>
  <c r="QQ114" i="2"/>
  <c r="QP114" i="2"/>
  <c r="QO114" i="2"/>
  <c r="QR110" i="2"/>
  <c r="QQ110" i="2"/>
  <c r="QP110" i="2"/>
  <c r="QO110" i="2"/>
  <c r="QR108" i="2"/>
  <c r="QQ108" i="2"/>
  <c r="QP108" i="2"/>
  <c r="QO108" i="2"/>
  <c r="QR107" i="2"/>
  <c r="QQ107" i="2"/>
  <c r="QP107" i="2"/>
  <c r="QO107" i="2"/>
  <c r="QR106" i="2"/>
  <c r="QQ106" i="2"/>
  <c r="QP106" i="2"/>
  <c r="QO106" i="2"/>
  <c r="QR105" i="2"/>
  <c r="QQ105" i="2"/>
  <c r="QP105" i="2"/>
  <c r="QO105" i="2"/>
  <c r="QR104" i="2"/>
  <c r="QQ104" i="2"/>
  <c r="QP104" i="2"/>
  <c r="QO104" i="2"/>
  <c r="QR103" i="2"/>
  <c r="QQ103" i="2"/>
  <c r="QP103" i="2"/>
  <c r="QO103" i="2"/>
  <c r="QR102" i="2"/>
  <c r="QQ102" i="2"/>
  <c r="QP102" i="2"/>
  <c r="QO102" i="2"/>
  <c r="QR101" i="2"/>
  <c r="QQ101" i="2"/>
  <c r="QP101" i="2"/>
  <c r="QO101" i="2"/>
  <c r="QR100" i="2"/>
  <c r="QQ100" i="2"/>
  <c r="QP100" i="2"/>
  <c r="QO100" i="2"/>
  <c r="QR61" i="2"/>
  <c r="QQ61" i="2"/>
  <c r="QP61" i="2"/>
  <c r="QR60" i="2"/>
  <c r="QQ60" i="2"/>
  <c r="QP60" i="2"/>
  <c r="QR59" i="2"/>
  <c r="QQ59" i="2"/>
  <c r="QP59" i="2"/>
  <c r="QO61" i="2"/>
  <c r="QO60" i="2"/>
  <c r="QO59" i="2"/>
  <c r="QN57" i="2"/>
  <c r="QN118" i="2" s="1"/>
  <c r="QM57" i="2"/>
  <c r="QM99" i="2" s="1"/>
  <c r="QL57" i="2"/>
  <c r="QL118" i="2" s="1"/>
  <c r="QN125" i="2"/>
  <c r="QM125" i="2"/>
  <c r="QL125" i="2"/>
  <c r="QN122" i="2"/>
  <c r="QM122" i="2"/>
  <c r="QL122" i="2"/>
  <c r="QN121" i="2"/>
  <c r="QM121" i="2"/>
  <c r="QL121" i="2"/>
  <c r="QN120" i="2"/>
  <c r="QM120" i="2"/>
  <c r="QL120" i="2"/>
  <c r="QN119" i="2"/>
  <c r="QM119" i="2"/>
  <c r="QL119" i="2"/>
  <c r="QN114" i="2"/>
  <c r="QM114" i="2"/>
  <c r="QL114" i="2"/>
  <c r="QN110" i="2"/>
  <c r="QM110" i="2"/>
  <c r="QL110" i="2"/>
  <c r="QN108" i="2"/>
  <c r="QM108" i="2"/>
  <c r="QL108" i="2"/>
  <c r="QN107" i="2"/>
  <c r="QM107" i="2"/>
  <c r="QL107" i="2"/>
  <c r="QN106" i="2"/>
  <c r="QM106" i="2"/>
  <c r="QL106" i="2"/>
  <c r="QN105" i="2"/>
  <c r="QM105" i="2"/>
  <c r="QL105" i="2"/>
  <c r="QN104" i="2"/>
  <c r="QM104" i="2"/>
  <c r="QL104" i="2"/>
  <c r="QN103" i="2"/>
  <c r="QM103" i="2"/>
  <c r="QL103" i="2"/>
  <c r="QN102" i="2"/>
  <c r="QM102" i="2"/>
  <c r="QL102" i="2"/>
  <c r="QN101" i="2"/>
  <c r="QM101" i="2"/>
  <c r="QL101" i="2"/>
  <c r="QN100" i="2"/>
  <c r="QM100" i="2"/>
  <c r="QL100" i="2"/>
  <c r="QN61" i="2"/>
  <c r="QN60" i="2"/>
  <c r="QN59" i="2"/>
  <c r="QM61" i="2"/>
  <c r="QM60" i="2"/>
  <c r="QM59" i="2"/>
  <c r="QL61" i="2"/>
  <c r="QL60" i="2"/>
  <c r="QL59" i="2"/>
  <c r="QK125" i="2"/>
  <c r="QJ125" i="2"/>
  <c r="QI125" i="2"/>
  <c r="QK122" i="2"/>
  <c r="QJ122" i="2"/>
  <c r="QI122" i="2"/>
  <c r="QK121" i="2"/>
  <c r="QJ121" i="2"/>
  <c r="QI121" i="2"/>
  <c r="QK120" i="2"/>
  <c r="QJ120" i="2"/>
  <c r="QI120" i="2"/>
  <c r="QK119" i="2"/>
  <c r="QJ119" i="2"/>
  <c r="QI119" i="2"/>
  <c r="QK114" i="2"/>
  <c r="QJ114" i="2"/>
  <c r="QI114" i="2"/>
  <c r="QK110" i="2"/>
  <c r="QJ110" i="2"/>
  <c r="QI110" i="2"/>
  <c r="QK108" i="2"/>
  <c r="QJ108" i="2"/>
  <c r="QI108" i="2"/>
  <c r="QK107" i="2"/>
  <c r="QJ107" i="2"/>
  <c r="QI107" i="2"/>
  <c r="QK106" i="2"/>
  <c r="QJ106" i="2"/>
  <c r="QI106" i="2"/>
  <c r="QK105" i="2"/>
  <c r="QJ105" i="2"/>
  <c r="QI105" i="2"/>
  <c r="QK104" i="2"/>
  <c r="QJ104" i="2"/>
  <c r="QI104" i="2"/>
  <c r="QK103" i="2"/>
  <c r="QJ103" i="2"/>
  <c r="QI103" i="2"/>
  <c r="QK102" i="2"/>
  <c r="QJ102" i="2"/>
  <c r="QI102" i="2"/>
  <c r="QK101" i="2"/>
  <c r="QJ101" i="2"/>
  <c r="QI101" i="2"/>
  <c r="QK100" i="2"/>
  <c r="QJ100" i="2"/>
  <c r="QI100" i="2"/>
  <c r="QK61" i="2"/>
  <c r="QK60" i="2"/>
  <c r="QK59" i="2"/>
  <c r="QJ61" i="2"/>
  <c r="QJ60" i="2"/>
  <c r="QJ59" i="2"/>
  <c r="QI61" i="2"/>
  <c r="QI60" i="2"/>
  <c r="QI59" i="2"/>
  <c r="QK57" i="2"/>
  <c r="QK99" i="2" s="1"/>
  <c r="QJ57" i="2"/>
  <c r="QJ118" i="2" s="1"/>
  <c r="QI57" i="2"/>
  <c r="QI99" i="2" s="1"/>
  <c r="PZ57" i="2"/>
  <c r="AIL9" i="2" l="1"/>
  <c r="AIM9" i="2" s="1"/>
  <c r="AIN9" i="2" s="1"/>
  <c r="AIO9" i="2"/>
  <c r="AIP9" i="2" s="1"/>
  <c r="AIQ9" i="2" s="1"/>
  <c r="AIR9" i="2" s="1"/>
  <c r="AIS9" i="2" s="1"/>
  <c r="AIT9" i="2" s="1"/>
  <c r="AIU9" i="2" s="1"/>
  <c r="AIV9" i="2" s="1"/>
  <c r="AIW9" i="2" s="1"/>
  <c r="AIZ9" i="2" s="1"/>
  <c r="SA87" i="2"/>
  <c r="SA64" i="2" s="1"/>
  <c r="SB64" i="2" s="1"/>
  <c r="RR99" i="2"/>
  <c r="RR118" i="2"/>
  <c r="RR117" i="2" s="1"/>
  <c r="QR99" i="2"/>
  <c r="QR97" i="2" s="1"/>
  <c r="QT99" i="2"/>
  <c r="QT97" i="2" s="1"/>
  <c r="QT62" i="2" s="1"/>
  <c r="QS117" i="2"/>
  <c r="QL99" i="2"/>
  <c r="QL98" i="2" s="1"/>
  <c r="QO99" i="2"/>
  <c r="QO98" i="2" s="1"/>
  <c r="RU9" i="2"/>
  <c r="QC117" i="2"/>
  <c r="RW9" i="2"/>
  <c r="SA9" i="2" s="1"/>
  <c r="SD99" i="2"/>
  <c r="SD118" i="2"/>
  <c r="SD117" i="2" s="1"/>
  <c r="SD66" i="2" s="1"/>
  <c r="SH99" i="2"/>
  <c r="SH118" i="2"/>
  <c r="SH117" i="2" s="1"/>
  <c r="SH66" i="2" s="1"/>
  <c r="SL99" i="2"/>
  <c r="SL118" i="2"/>
  <c r="SL117" i="2" s="1"/>
  <c r="SL66" i="2" s="1"/>
  <c r="SP99" i="2"/>
  <c r="SP118" i="2"/>
  <c r="SP117" i="2" s="1"/>
  <c r="ST99" i="2"/>
  <c r="ST118" i="2"/>
  <c r="ST117" i="2" s="1"/>
  <c r="SX99" i="2"/>
  <c r="SX118" i="2"/>
  <c r="SX117" i="2" s="1"/>
  <c r="TB99" i="2"/>
  <c r="TB118" i="2"/>
  <c r="TB117" i="2" s="1"/>
  <c r="TI99" i="2"/>
  <c r="TI118" i="2"/>
  <c r="TI117" i="2" s="1"/>
  <c r="TM99" i="2"/>
  <c r="TM118" i="2"/>
  <c r="TM117" i="2" s="1"/>
  <c r="TQ99" i="2"/>
  <c r="TQ118" i="2"/>
  <c r="TQ117" i="2" s="1"/>
  <c r="TU99" i="2"/>
  <c r="TU118" i="2"/>
  <c r="TU117" i="2" s="1"/>
  <c r="TY99" i="2"/>
  <c r="TY118" i="2"/>
  <c r="TY117" i="2" s="1"/>
  <c r="TY66" i="2" s="1"/>
  <c r="UC99" i="2"/>
  <c r="UC118" i="2"/>
  <c r="UC117" i="2" s="1"/>
  <c r="UC66" i="2" s="1"/>
  <c r="UG99" i="2"/>
  <c r="UG118" i="2"/>
  <c r="UG117" i="2" s="1"/>
  <c r="UK99" i="2"/>
  <c r="UK118" i="2"/>
  <c r="UK117" i="2" s="1"/>
  <c r="UO99" i="2"/>
  <c r="UO118" i="2"/>
  <c r="UO117" i="2" s="1"/>
  <c r="US99" i="2"/>
  <c r="US118" i="2"/>
  <c r="US117" i="2" s="1"/>
  <c r="UW99" i="2"/>
  <c r="UW118" i="2"/>
  <c r="UW117" i="2" s="1"/>
  <c r="UW66" i="2" s="1"/>
  <c r="VA99" i="2"/>
  <c r="VA118" i="2"/>
  <c r="VA117" i="2" s="1"/>
  <c r="SE99" i="2"/>
  <c r="SE118" i="2"/>
  <c r="SE117" i="2" s="1"/>
  <c r="SE66" i="2" s="1"/>
  <c r="SI99" i="2"/>
  <c r="SI118" i="2"/>
  <c r="SI117" i="2" s="1"/>
  <c r="SI66" i="2" s="1"/>
  <c r="SM99" i="2"/>
  <c r="SM118" i="2"/>
  <c r="SM117" i="2" s="1"/>
  <c r="SQ99" i="2"/>
  <c r="SQ118" i="2"/>
  <c r="SQ117" i="2" s="1"/>
  <c r="SU99" i="2"/>
  <c r="SU118" i="2"/>
  <c r="SU117" i="2" s="1"/>
  <c r="SY99" i="2"/>
  <c r="SY118" i="2"/>
  <c r="SY117" i="2" s="1"/>
  <c r="TC99" i="2"/>
  <c r="TC118" i="2"/>
  <c r="TC117" i="2" s="1"/>
  <c r="TF99" i="2"/>
  <c r="TF118" i="2"/>
  <c r="TF117" i="2" s="1"/>
  <c r="TJ99" i="2"/>
  <c r="TJ118" i="2"/>
  <c r="TJ117" i="2" s="1"/>
  <c r="TN99" i="2"/>
  <c r="TN118" i="2"/>
  <c r="TN117" i="2" s="1"/>
  <c r="TR99" i="2"/>
  <c r="TR118" i="2"/>
  <c r="TR117" i="2" s="1"/>
  <c r="TV99" i="2"/>
  <c r="TV118" i="2"/>
  <c r="TV117" i="2" s="1"/>
  <c r="TZ99" i="2"/>
  <c r="TZ118" i="2"/>
  <c r="TZ117" i="2" s="1"/>
  <c r="TZ66" i="2" s="1"/>
  <c r="UD99" i="2"/>
  <c r="UD118" i="2"/>
  <c r="UD117" i="2" s="1"/>
  <c r="UD66" i="2" s="1"/>
  <c r="UH99" i="2"/>
  <c r="UH118" i="2"/>
  <c r="UH117" i="2" s="1"/>
  <c r="UL99" i="2"/>
  <c r="UL118" i="2"/>
  <c r="UL117" i="2" s="1"/>
  <c r="UP99" i="2"/>
  <c r="UP118" i="2"/>
  <c r="UP117" i="2" s="1"/>
  <c r="UT99" i="2"/>
  <c r="UT118" i="2"/>
  <c r="UT117" i="2" s="1"/>
  <c r="UX99" i="2"/>
  <c r="UX118" i="2"/>
  <c r="UX117" i="2" s="1"/>
  <c r="SB99" i="2"/>
  <c r="SB118" i="2"/>
  <c r="SB117" i="2" s="1"/>
  <c r="SF99" i="2"/>
  <c r="SF118" i="2"/>
  <c r="SF117" i="2" s="1"/>
  <c r="SF66" i="2" s="1"/>
  <c r="SJ99" i="2"/>
  <c r="SJ118" i="2"/>
  <c r="SJ117" i="2" s="1"/>
  <c r="SJ66" i="2" s="1"/>
  <c r="SN99" i="2"/>
  <c r="SN118" i="2"/>
  <c r="SN117" i="2" s="1"/>
  <c r="SR99" i="2"/>
  <c r="SR118" i="2"/>
  <c r="SR117" i="2" s="1"/>
  <c r="SV99" i="2"/>
  <c r="SV118" i="2"/>
  <c r="SV117" i="2" s="1"/>
  <c r="SZ99" i="2"/>
  <c r="SZ118" i="2"/>
  <c r="SZ117" i="2" s="1"/>
  <c r="TD99" i="2"/>
  <c r="TD118" i="2"/>
  <c r="TD117" i="2" s="1"/>
  <c r="TG99" i="2"/>
  <c r="TG118" i="2"/>
  <c r="TG117" i="2" s="1"/>
  <c r="TK99" i="2"/>
  <c r="TK118" i="2"/>
  <c r="TK117" i="2" s="1"/>
  <c r="TO99" i="2"/>
  <c r="TO118" i="2"/>
  <c r="TO117" i="2" s="1"/>
  <c r="TS99" i="2"/>
  <c r="TS118" i="2"/>
  <c r="TS117" i="2" s="1"/>
  <c r="TW99" i="2"/>
  <c r="TW118" i="2"/>
  <c r="TW117" i="2" s="1"/>
  <c r="UA99" i="2"/>
  <c r="UA118" i="2"/>
  <c r="UA117" i="2" s="1"/>
  <c r="UA66" i="2" s="1"/>
  <c r="UE99" i="2"/>
  <c r="UE118" i="2"/>
  <c r="UE117" i="2" s="1"/>
  <c r="UI99" i="2"/>
  <c r="UI118" i="2"/>
  <c r="UI117" i="2" s="1"/>
  <c r="UI66" i="2" s="1"/>
  <c r="UM99" i="2"/>
  <c r="UM118" i="2"/>
  <c r="UM117" i="2" s="1"/>
  <c r="UQ99" i="2"/>
  <c r="UQ118" i="2"/>
  <c r="UQ117" i="2" s="1"/>
  <c r="UU99" i="2"/>
  <c r="UU118" i="2"/>
  <c r="UU117" i="2" s="1"/>
  <c r="UY99" i="2"/>
  <c r="UY118" i="2"/>
  <c r="UY117" i="2" s="1"/>
  <c r="SC118" i="2"/>
  <c r="SC117" i="2" s="1"/>
  <c r="SC66" i="2" s="1"/>
  <c r="SC99" i="2"/>
  <c r="SG118" i="2"/>
  <c r="SG117" i="2" s="1"/>
  <c r="SG66" i="2" s="1"/>
  <c r="SG99" i="2"/>
  <c r="SK118" i="2"/>
  <c r="SK117" i="2" s="1"/>
  <c r="SK66" i="2" s="1"/>
  <c r="SK99" i="2"/>
  <c r="SO118" i="2"/>
  <c r="SO117" i="2" s="1"/>
  <c r="SO99" i="2"/>
  <c r="SS118" i="2"/>
  <c r="SS117" i="2" s="1"/>
  <c r="SS99" i="2"/>
  <c r="SW118" i="2"/>
  <c r="SW117" i="2" s="1"/>
  <c r="SW99" i="2"/>
  <c r="TA118" i="2"/>
  <c r="TA117" i="2" s="1"/>
  <c r="TA99" i="2"/>
  <c r="TE118" i="2"/>
  <c r="TE117" i="2" s="1"/>
  <c r="TE99" i="2"/>
  <c r="TH118" i="2"/>
  <c r="TH117" i="2" s="1"/>
  <c r="TH99" i="2"/>
  <c r="TL118" i="2"/>
  <c r="TL117" i="2" s="1"/>
  <c r="TL99" i="2"/>
  <c r="TP118" i="2"/>
  <c r="TP117" i="2" s="1"/>
  <c r="TP99" i="2"/>
  <c r="TT118" i="2"/>
  <c r="TT117" i="2" s="1"/>
  <c r="TT99" i="2"/>
  <c r="TX118" i="2"/>
  <c r="TX117" i="2" s="1"/>
  <c r="TX66" i="2" s="1"/>
  <c r="TX99" i="2"/>
  <c r="UB118" i="2"/>
  <c r="UB117" i="2" s="1"/>
  <c r="UB66" i="2" s="1"/>
  <c r="UB99" i="2"/>
  <c r="UF118" i="2"/>
  <c r="UF117" i="2" s="1"/>
  <c r="UF99" i="2"/>
  <c r="UJ118" i="2"/>
  <c r="UJ117" i="2" s="1"/>
  <c r="UJ99" i="2"/>
  <c r="UN118" i="2"/>
  <c r="UN117" i="2" s="1"/>
  <c r="UN99" i="2"/>
  <c r="UR118" i="2"/>
  <c r="UR117" i="2" s="1"/>
  <c r="UR99" i="2"/>
  <c r="UV118" i="2"/>
  <c r="UV117" i="2" s="1"/>
  <c r="UV99" i="2"/>
  <c r="UZ118" i="2"/>
  <c r="UZ117" i="2" s="1"/>
  <c r="UZ99" i="2"/>
  <c r="SA77" i="2"/>
  <c r="QS99" i="2"/>
  <c r="QS97" i="2" s="1"/>
  <c r="QC99" i="2"/>
  <c r="QC98" i="2" s="1"/>
  <c r="QV99" i="2"/>
  <c r="QV97" i="2" s="1"/>
  <c r="QV117" i="2"/>
  <c r="QT98" i="2"/>
  <c r="QT117" i="2"/>
  <c r="QT66" i="2" s="1"/>
  <c r="QR117" i="2"/>
  <c r="QQ98" i="2"/>
  <c r="QQ97" i="2"/>
  <c r="QQ118" i="2"/>
  <c r="QQ117" i="2" s="1"/>
  <c r="QP97" i="2"/>
  <c r="QP98" i="2"/>
  <c r="QP118" i="2"/>
  <c r="QP117" i="2" s="1"/>
  <c r="QO117" i="2"/>
  <c r="QO66" i="2" s="1"/>
  <c r="QN99" i="2"/>
  <c r="QN97" i="2" s="1"/>
  <c r="QN62" i="2" s="1"/>
  <c r="QO62" i="2" s="1"/>
  <c r="QP62" i="2" s="1"/>
  <c r="QQ62" i="2" s="1"/>
  <c r="QR62" i="2" s="1"/>
  <c r="QS62" i="2" s="1"/>
  <c r="QM118" i="2"/>
  <c r="QM117" i="2" s="1"/>
  <c r="QN117" i="2"/>
  <c r="QL117" i="2"/>
  <c r="QK118" i="2"/>
  <c r="QK117" i="2" s="1"/>
  <c r="QM97" i="2"/>
  <c r="QM98" i="2"/>
  <c r="QJ99" i="2"/>
  <c r="QJ98" i="2" s="1"/>
  <c r="QI118" i="2"/>
  <c r="QI117" i="2" s="1"/>
  <c r="QJ117" i="2"/>
  <c r="QK97" i="2"/>
  <c r="QK98" i="2"/>
  <c r="QI97" i="2"/>
  <c r="QI98" i="2"/>
  <c r="QH66" i="2"/>
  <c r="QI66" i="2" s="1"/>
  <c r="QJ66" i="2" s="1"/>
  <c r="QK66" i="2" s="1"/>
  <c r="QL66" i="2" s="1"/>
  <c r="QM66" i="2" s="1"/>
  <c r="QE125" i="2"/>
  <c r="QE122" i="2"/>
  <c r="QE121" i="2"/>
  <c r="QE120" i="2"/>
  <c r="QE119" i="2"/>
  <c r="QE114" i="2"/>
  <c r="QE110" i="2"/>
  <c r="QE108" i="2"/>
  <c r="QE107" i="2"/>
  <c r="QE106" i="2"/>
  <c r="QE105" i="2"/>
  <c r="QE104" i="2"/>
  <c r="QE103" i="2"/>
  <c r="QE102" i="2"/>
  <c r="QE101" i="2"/>
  <c r="QE100" i="2"/>
  <c r="QE61" i="2"/>
  <c r="QE60" i="2"/>
  <c r="QE59" i="2"/>
  <c r="QE57" i="2"/>
  <c r="QE118" i="2" s="1"/>
  <c r="PX66" i="2"/>
  <c r="PY66" i="2" s="1"/>
  <c r="PZ66" i="2" s="1"/>
  <c r="PW66" i="2"/>
  <c r="PO66" i="2"/>
  <c r="PM66" i="2"/>
  <c r="PL66" i="2"/>
  <c r="PK66" i="2"/>
  <c r="PH66" i="2"/>
  <c r="PI66" i="2" s="1"/>
  <c r="PJ66" i="2" s="1"/>
  <c r="PG66" i="2"/>
  <c r="PF66" i="2"/>
  <c r="PE66" i="2"/>
  <c r="PD66" i="2"/>
  <c r="PC66" i="2"/>
  <c r="PB66" i="2"/>
  <c r="PA66" i="2"/>
  <c r="OZ66" i="2"/>
  <c r="OY66" i="2"/>
  <c r="OX66" i="2"/>
  <c r="OW66" i="2"/>
  <c r="OV66" i="2"/>
  <c r="OU66" i="2"/>
  <c r="OT66" i="2"/>
  <c r="OS66" i="2"/>
  <c r="OR66" i="2"/>
  <c r="OQ66" i="2"/>
  <c r="OP66" i="2"/>
  <c r="OO66" i="2"/>
  <c r="ON66" i="2"/>
  <c r="OM66" i="2"/>
  <c r="OL66" i="2"/>
  <c r="OK66" i="2"/>
  <c r="OJ66" i="2"/>
  <c r="OI66" i="2"/>
  <c r="OH66" i="2"/>
  <c r="OG66" i="2"/>
  <c r="OF66" i="2"/>
  <c r="OE66" i="2"/>
  <c r="OD66" i="2"/>
  <c r="NS125" i="2"/>
  <c r="NS122" i="2"/>
  <c r="NS121" i="2"/>
  <c r="NS120" i="2"/>
  <c r="NS119" i="2"/>
  <c r="NS114" i="2"/>
  <c r="NS110" i="2"/>
  <c r="NS108" i="2"/>
  <c r="NS107" i="2"/>
  <c r="NS106" i="2"/>
  <c r="NS105" i="2"/>
  <c r="NS104" i="2"/>
  <c r="NS103" i="2"/>
  <c r="NS102" i="2"/>
  <c r="NS101" i="2"/>
  <c r="NS100" i="2"/>
  <c r="OC62" i="2"/>
  <c r="OB62" i="2"/>
  <c r="OA62" i="2"/>
  <c r="NZ62" i="2"/>
  <c r="NY62" i="2"/>
  <c r="NX62" i="2"/>
  <c r="NW62" i="2"/>
  <c r="NV62" i="2"/>
  <c r="NS62" i="2"/>
  <c r="NU62" i="2"/>
  <c r="UJ66" i="2" l="1"/>
  <c r="UK66" i="2" s="1"/>
  <c r="UL66" i="2" s="1"/>
  <c r="AJA9" i="2"/>
  <c r="AJB9" i="2" s="1"/>
  <c r="AJC9" i="2" s="1"/>
  <c r="AJD9" i="2" s="1"/>
  <c r="AJE9" i="2" s="1"/>
  <c r="AIY9" i="2"/>
  <c r="AIX9" i="2" s="1"/>
  <c r="RR98" i="2"/>
  <c r="RR97" i="2"/>
  <c r="QL97" i="2"/>
  <c r="QR98" i="2"/>
  <c r="QJ97" i="2"/>
  <c r="QO97" i="2"/>
  <c r="QN98" i="2"/>
  <c r="QV98" i="2"/>
  <c r="UV98" i="2"/>
  <c r="UV97" i="2"/>
  <c r="UV62" i="2" s="1"/>
  <c r="TX98" i="2"/>
  <c r="TX97" i="2"/>
  <c r="TX62" i="2" s="1"/>
  <c r="SS98" i="2"/>
  <c r="SS97" i="2"/>
  <c r="SS62" i="2" s="1"/>
  <c r="UZ98" i="2"/>
  <c r="UZ97" i="2"/>
  <c r="UR98" i="2"/>
  <c r="UR97" i="2"/>
  <c r="UJ98" i="2"/>
  <c r="UJ97" i="2"/>
  <c r="UB98" i="2"/>
  <c r="UB97" i="2"/>
  <c r="UB62" i="2" s="1"/>
  <c r="TT98" i="2"/>
  <c r="TT97" i="2"/>
  <c r="TT62" i="2" s="1"/>
  <c r="TL98" i="2"/>
  <c r="TL97" i="2"/>
  <c r="TL62" i="2" s="1"/>
  <c r="TE98" i="2"/>
  <c r="TE97" i="2"/>
  <c r="TE62" i="2" s="1"/>
  <c r="SW98" i="2"/>
  <c r="SW97" i="2"/>
  <c r="SW62" i="2" s="1"/>
  <c r="SO98" i="2"/>
  <c r="SO97" i="2"/>
  <c r="SO62" i="2" s="1"/>
  <c r="SG98" i="2"/>
  <c r="SG97" i="2"/>
  <c r="UY98" i="2"/>
  <c r="UY97" i="2"/>
  <c r="UQ98" i="2"/>
  <c r="UQ97" i="2"/>
  <c r="UI98" i="2"/>
  <c r="UI97" i="2"/>
  <c r="UI62" i="2" s="1"/>
  <c r="UJ62" i="2" s="1"/>
  <c r="UA98" i="2"/>
  <c r="UA97" i="2"/>
  <c r="UA62" i="2" s="1"/>
  <c r="TS98" i="2"/>
  <c r="TS97" i="2"/>
  <c r="TS62" i="2" s="1"/>
  <c r="TK98" i="2"/>
  <c r="TK97" i="2"/>
  <c r="TK62" i="2" s="1"/>
  <c r="TD98" i="2"/>
  <c r="TD97" i="2"/>
  <c r="TD62" i="2" s="1"/>
  <c r="SV98" i="2"/>
  <c r="SV97" i="2"/>
  <c r="SV62" i="2" s="1"/>
  <c r="SN98" i="2"/>
  <c r="SN97" i="2"/>
  <c r="SN62" i="2" s="1"/>
  <c r="SF98" i="2"/>
  <c r="SF97" i="2"/>
  <c r="UT98" i="2"/>
  <c r="UT97" i="2"/>
  <c r="UL98" i="2"/>
  <c r="UL97" i="2"/>
  <c r="UD98" i="2"/>
  <c r="UD97" i="2"/>
  <c r="UD62" i="2" s="1"/>
  <c r="TV98" i="2"/>
  <c r="TV97" i="2"/>
  <c r="TV62" i="2" s="1"/>
  <c r="TN98" i="2"/>
  <c r="TN97" i="2"/>
  <c r="TN62" i="2" s="1"/>
  <c r="TF98" i="2"/>
  <c r="TF97" i="2"/>
  <c r="TF62" i="2" s="1"/>
  <c r="SY98" i="2"/>
  <c r="SY97" i="2"/>
  <c r="SY62" i="2" s="1"/>
  <c r="SQ97" i="2"/>
  <c r="SQ62" i="2" s="1"/>
  <c r="SQ98" i="2"/>
  <c r="SI97" i="2"/>
  <c r="SI98" i="2"/>
  <c r="UW98" i="2"/>
  <c r="UW97" i="2"/>
  <c r="UO98" i="2"/>
  <c r="UO97" i="2"/>
  <c r="UG98" i="2"/>
  <c r="UG97" i="2"/>
  <c r="TY98" i="2"/>
  <c r="TY97" i="2"/>
  <c r="TY62" i="2" s="1"/>
  <c r="TQ98" i="2"/>
  <c r="TQ97" i="2"/>
  <c r="TI98" i="2"/>
  <c r="TI97" i="2"/>
  <c r="TI62" i="2" s="1"/>
  <c r="TB98" i="2"/>
  <c r="TB97" i="2"/>
  <c r="TB62" i="2" s="1"/>
  <c r="ST98" i="2"/>
  <c r="ST97" i="2"/>
  <c r="ST62" i="2" s="1"/>
  <c r="SL98" i="2"/>
  <c r="SL97" i="2"/>
  <c r="SD98" i="2"/>
  <c r="SD97" i="2"/>
  <c r="UF98" i="2"/>
  <c r="UF97" i="2"/>
  <c r="UF62" i="2" s="1"/>
  <c r="UG62" i="2" s="1"/>
  <c r="TH98" i="2"/>
  <c r="TH97" i="2"/>
  <c r="TH62" i="2" s="1"/>
  <c r="SK98" i="2"/>
  <c r="SK97" i="2"/>
  <c r="UN98" i="2"/>
  <c r="UN97" i="2"/>
  <c r="TP98" i="2"/>
  <c r="TP97" i="2"/>
  <c r="TP62" i="2" s="1"/>
  <c r="TQ62" i="2" s="1"/>
  <c r="TA98" i="2"/>
  <c r="TA97" i="2"/>
  <c r="TA62" i="2" s="1"/>
  <c r="SC98" i="2"/>
  <c r="SC97" i="2"/>
  <c r="SC62" i="2" s="1"/>
  <c r="UU98" i="2"/>
  <c r="UU97" i="2"/>
  <c r="UM98" i="2"/>
  <c r="UM97" i="2"/>
  <c r="UM62" i="2" s="1"/>
  <c r="UN62" i="2" s="1"/>
  <c r="UO62" i="2" s="1"/>
  <c r="UE98" i="2"/>
  <c r="UE97" i="2"/>
  <c r="UE62" i="2" s="1"/>
  <c r="TW98" i="2"/>
  <c r="TW97" i="2"/>
  <c r="TW62" i="2" s="1"/>
  <c r="TO98" i="2"/>
  <c r="TO97" i="2"/>
  <c r="TO62" i="2" s="1"/>
  <c r="TG98" i="2"/>
  <c r="TG97" i="2"/>
  <c r="TG62" i="2" s="1"/>
  <c r="SZ98" i="2"/>
  <c r="SZ97" i="2"/>
  <c r="SZ62" i="2" s="1"/>
  <c r="SR98" i="2"/>
  <c r="SR97" i="2"/>
  <c r="SR62" i="2" s="1"/>
  <c r="SJ97" i="2"/>
  <c r="SJ98" i="2"/>
  <c r="SB97" i="2"/>
  <c r="SB98" i="2"/>
  <c r="UX98" i="2"/>
  <c r="UX97" i="2"/>
  <c r="UP98" i="2"/>
  <c r="UP97" i="2"/>
  <c r="UP62" i="2" s="1"/>
  <c r="UQ62" i="2" s="1"/>
  <c r="UR62" i="2" s="1"/>
  <c r="UH98" i="2"/>
  <c r="UH97" i="2"/>
  <c r="TZ98" i="2"/>
  <c r="TZ97" i="2"/>
  <c r="TZ62" i="2" s="1"/>
  <c r="TR98" i="2"/>
  <c r="TR97" i="2"/>
  <c r="TJ98" i="2"/>
  <c r="TJ97" i="2"/>
  <c r="TJ62" i="2" s="1"/>
  <c r="TC98" i="2"/>
  <c r="TC97" i="2"/>
  <c r="TC62" i="2" s="1"/>
  <c r="SU97" i="2"/>
  <c r="SU62" i="2" s="1"/>
  <c r="SU98" i="2"/>
  <c r="SM98" i="2"/>
  <c r="SM97" i="2"/>
  <c r="SM62" i="2" s="1"/>
  <c r="SE98" i="2"/>
  <c r="SE97" i="2"/>
  <c r="VA98" i="2"/>
  <c r="VA97" i="2"/>
  <c r="US98" i="2"/>
  <c r="US97" i="2"/>
  <c r="UK98" i="2"/>
  <c r="UK97" i="2"/>
  <c r="UC98" i="2"/>
  <c r="UC97" i="2"/>
  <c r="UC62" i="2" s="1"/>
  <c r="TU98" i="2"/>
  <c r="TU97" i="2"/>
  <c r="TU62" i="2" s="1"/>
  <c r="TM98" i="2"/>
  <c r="TM97" i="2"/>
  <c r="TM62" i="2" s="1"/>
  <c r="SX98" i="2"/>
  <c r="SX97" i="2"/>
  <c r="SX62" i="2" s="1"/>
  <c r="SP98" i="2"/>
  <c r="SP97" i="2"/>
  <c r="SP62" i="2" s="1"/>
  <c r="SH98" i="2"/>
  <c r="SH97" i="2"/>
  <c r="UX66" i="2"/>
  <c r="UY66" i="2" s="1"/>
  <c r="UZ66" i="2" s="1"/>
  <c r="VA66" i="2" s="1"/>
  <c r="QS98" i="2"/>
  <c r="QV62" i="2"/>
  <c r="QX62" i="2" s="1"/>
  <c r="QZ62" i="2" s="1"/>
  <c r="RB62" i="2" s="1"/>
  <c r="RD62" i="2" s="1"/>
  <c r="QC97" i="2"/>
  <c r="QP66" i="2"/>
  <c r="QQ66" i="2" s="1"/>
  <c r="QR66" i="2" s="1"/>
  <c r="QS66" i="2" s="1"/>
  <c r="QE117" i="2"/>
  <c r="QE99" i="2"/>
  <c r="QE97" i="2" s="1"/>
  <c r="RG62" i="2" l="1"/>
  <c r="RI62" i="2" s="1"/>
  <c r="RK62" i="2" s="1"/>
  <c r="RM62" i="2" s="1"/>
  <c r="RO62" i="2" s="1"/>
  <c r="RQ62" i="2" s="1"/>
  <c r="RQ70" i="2" s="1"/>
  <c r="RF62" i="2"/>
  <c r="RH62" i="2" s="1"/>
  <c r="RJ62" i="2" s="1"/>
  <c r="RL62" i="2" s="1"/>
  <c r="RN62" i="2" s="1"/>
  <c r="RP62" i="2" s="1"/>
  <c r="US62" i="2"/>
  <c r="UT62" i="2" s="1"/>
  <c r="UU62" i="2" s="1"/>
  <c r="UH62" i="2"/>
  <c r="UK62" i="2"/>
  <c r="UL62" i="2" s="1"/>
  <c r="TR62" i="2"/>
  <c r="QE98" i="2"/>
  <c r="NR95" i="2"/>
  <c r="NR94" i="2"/>
  <c r="NR93" i="2"/>
  <c r="NR92" i="2"/>
  <c r="NR91" i="2"/>
  <c r="NR90" i="2"/>
  <c r="NR89" i="2"/>
  <c r="NR88" i="2"/>
  <c r="NR84" i="2"/>
  <c r="NR83" i="2"/>
  <c r="NR82" i="2"/>
  <c r="NR81" i="2"/>
  <c r="NR78" i="2"/>
  <c r="NR87" i="2" l="1"/>
  <c r="QH125" i="2"/>
  <c r="QH122" i="2"/>
  <c r="QH121" i="2"/>
  <c r="QH120" i="2"/>
  <c r="QH119" i="2"/>
  <c r="QH114" i="2"/>
  <c r="QH110" i="2"/>
  <c r="QH108" i="2"/>
  <c r="QH107" i="2"/>
  <c r="QH106" i="2"/>
  <c r="QH105" i="2"/>
  <c r="QH104" i="2"/>
  <c r="QH103" i="2"/>
  <c r="QH102" i="2"/>
  <c r="QH101" i="2"/>
  <c r="QH100" i="2"/>
  <c r="QH61" i="2"/>
  <c r="QG61" i="2"/>
  <c r="QF61" i="2"/>
  <c r="QD61" i="2"/>
  <c r="QB61" i="2"/>
  <c r="QA61" i="2"/>
  <c r="PZ61" i="2"/>
  <c r="PY61" i="2"/>
  <c r="PX61" i="2"/>
  <c r="PW61" i="2"/>
  <c r="PV61" i="2"/>
  <c r="PU61" i="2"/>
  <c r="PT61" i="2"/>
  <c r="PS61" i="2"/>
  <c r="PR61" i="2"/>
  <c r="PQ61" i="2"/>
  <c r="PP61" i="2"/>
  <c r="PO61" i="2"/>
  <c r="PN61" i="2"/>
  <c r="PM61" i="2"/>
  <c r="PL61" i="2"/>
  <c r="PK61" i="2"/>
  <c r="PJ61" i="2"/>
  <c r="PI61" i="2"/>
  <c r="PH61" i="2"/>
  <c r="PG61" i="2"/>
  <c r="PF61" i="2"/>
  <c r="PE61" i="2"/>
  <c r="PD61" i="2"/>
  <c r="PC61" i="2"/>
  <c r="PB61" i="2"/>
  <c r="PA61" i="2"/>
  <c r="OZ61" i="2"/>
  <c r="OY61" i="2"/>
  <c r="OX61" i="2"/>
  <c r="OW61" i="2"/>
  <c r="OV61" i="2"/>
  <c r="OU61" i="2"/>
  <c r="OT61" i="2"/>
  <c r="OS61" i="2"/>
  <c r="OR61" i="2"/>
  <c r="OQ61" i="2"/>
  <c r="OP61" i="2"/>
  <c r="OO61" i="2"/>
  <c r="ON61" i="2"/>
  <c r="OM61" i="2"/>
  <c r="OL61" i="2"/>
  <c r="OK61" i="2"/>
  <c r="OJ61" i="2"/>
  <c r="OI61" i="2"/>
  <c r="OH61" i="2"/>
  <c r="OG61" i="2"/>
  <c r="OF61" i="2"/>
  <c r="OE61" i="2"/>
  <c r="OD61" i="2"/>
  <c r="OC61" i="2"/>
  <c r="OB61" i="2"/>
  <c r="OA61" i="2"/>
  <c r="NZ61" i="2"/>
  <c r="NY61" i="2"/>
  <c r="NX61" i="2"/>
  <c r="NW61" i="2"/>
  <c r="NV61" i="2"/>
  <c r="NU61" i="2"/>
  <c r="QH60" i="2"/>
  <c r="QG60" i="2"/>
  <c r="QF60" i="2"/>
  <c r="QD60" i="2"/>
  <c r="QB60" i="2"/>
  <c r="QA60" i="2"/>
  <c r="PZ60" i="2"/>
  <c r="PY60" i="2"/>
  <c r="PX60" i="2"/>
  <c r="PW60" i="2"/>
  <c r="PV60" i="2"/>
  <c r="PU60" i="2"/>
  <c r="PT60" i="2"/>
  <c r="PS60" i="2"/>
  <c r="PR60" i="2"/>
  <c r="PQ60" i="2"/>
  <c r="PP60" i="2"/>
  <c r="PO60" i="2"/>
  <c r="PN60" i="2"/>
  <c r="PM60" i="2"/>
  <c r="PL60" i="2"/>
  <c r="PK60" i="2"/>
  <c r="PJ60" i="2"/>
  <c r="PI60" i="2"/>
  <c r="PH60" i="2"/>
  <c r="PG60" i="2"/>
  <c r="PF60" i="2"/>
  <c r="PE60" i="2"/>
  <c r="PD60" i="2"/>
  <c r="PC60" i="2"/>
  <c r="PB60" i="2"/>
  <c r="PA60" i="2"/>
  <c r="OZ60" i="2"/>
  <c r="OY60" i="2"/>
  <c r="OX60" i="2"/>
  <c r="OW60" i="2"/>
  <c r="OV60" i="2"/>
  <c r="OU60" i="2"/>
  <c r="OT60" i="2"/>
  <c r="OS60" i="2"/>
  <c r="OR60" i="2"/>
  <c r="OQ60" i="2"/>
  <c r="OP60" i="2"/>
  <c r="OO60" i="2"/>
  <c r="ON60" i="2"/>
  <c r="OM60" i="2"/>
  <c r="OL60" i="2"/>
  <c r="OK60" i="2"/>
  <c r="OJ60" i="2"/>
  <c r="OI60" i="2"/>
  <c r="OH60" i="2"/>
  <c r="OG60" i="2"/>
  <c r="OF60" i="2"/>
  <c r="OE60" i="2"/>
  <c r="OD60" i="2"/>
  <c r="OC60" i="2"/>
  <c r="OB60" i="2"/>
  <c r="OA60" i="2"/>
  <c r="NZ60" i="2"/>
  <c r="NY60" i="2"/>
  <c r="NX60" i="2"/>
  <c r="NW60" i="2"/>
  <c r="NV60" i="2"/>
  <c r="NU60" i="2"/>
  <c r="QH59" i="2"/>
  <c r="QG59" i="2"/>
  <c r="QF59" i="2"/>
  <c r="QD59" i="2"/>
  <c r="QB59" i="2"/>
  <c r="QA59" i="2"/>
  <c r="PZ59" i="2"/>
  <c r="PY59" i="2"/>
  <c r="PX59" i="2"/>
  <c r="PW59" i="2"/>
  <c r="PV59" i="2"/>
  <c r="PU59" i="2"/>
  <c r="PT59" i="2"/>
  <c r="PS59" i="2"/>
  <c r="PR59" i="2"/>
  <c r="PQ59" i="2"/>
  <c r="PP59" i="2"/>
  <c r="PO59" i="2"/>
  <c r="PN59" i="2"/>
  <c r="PM59" i="2"/>
  <c r="PL59" i="2"/>
  <c r="PK59" i="2"/>
  <c r="PJ59" i="2"/>
  <c r="PI59" i="2"/>
  <c r="PH59" i="2"/>
  <c r="PG59" i="2"/>
  <c r="PF59" i="2"/>
  <c r="PE59" i="2"/>
  <c r="PD59" i="2"/>
  <c r="PC59" i="2"/>
  <c r="PB59" i="2"/>
  <c r="PA59" i="2"/>
  <c r="OZ59" i="2"/>
  <c r="OY59" i="2"/>
  <c r="OX59" i="2"/>
  <c r="OW59" i="2"/>
  <c r="OV59" i="2"/>
  <c r="OU59" i="2"/>
  <c r="OT59" i="2"/>
  <c r="OS59" i="2"/>
  <c r="OR59" i="2"/>
  <c r="OQ59" i="2"/>
  <c r="OP59" i="2"/>
  <c r="OO59" i="2"/>
  <c r="ON59" i="2"/>
  <c r="OM59" i="2"/>
  <c r="OL59" i="2"/>
  <c r="OK59" i="2"/>
  <c r="OJ59" i="2"/>
  <c r="OI59" i="2"/>
  <c r="OH59" i="2"/>
  <c r="OG59" i="2"/>
  <c r="OF59" i="2"/>
  <c r="OE59" i="2"/>
  <c r="OD59" i="2"/>
  <c r="OC59" i="2"/>
  <c r="OB59" i="2"/>
  <c r="OA59" i="2"/>
  <c r="NZ59" i="2"/>
  <c r="NY59" i="2"/>
  <c r="NX59" i="2"/>
  <c r="NW59" i="2"/>
  <c r="NV59" i="2"/>
  <c r="NU59" i="2"/>
  <c r="QH57" i="2"/>
  <c r="QH118" i="2" s="1"/>
  <c r="QH117" i="2" s="1"/>
  <c r="PV57" i="2"/>
  <c r="PU57" i="2"/>
  <c r="PT57" i="2"/>
  <c r="QH99" i="2" l="1"/>
  <c r="QH98" i="2" s="1"/>
  <c r="QB57" i="2"/>
  <c r="QA57" i="2"/>
  <c r="PY57" i="2"/>
  <c r="PW57" i="2"/>
  <c r="PX57" i="2"/>
  <c r="QG125" i="2"/>
  <c r="QG122" i="2"/>
  <c r="QG121" i="2"/>
  <c r="QG120" i="2"/>
  <c r="QG119" i="2"/>
  <c r="QG114" i="2"/>
  <c r="QG110" i="2"/>
  <c r="QG108" i="2"/>
  <c r="QG107" i="2"/>
  <c r="QG106" i="2"/>
  <c r="QG105" i="2"/>
  <c r="QG104" i="2"/>
  <c r="QG103" i="2"/>
  <c r="QG102" i="2"/>
  <c r="QG101" i="2"/>
  <c r="QG100" i="2"/>
  <c r="QG57" i="2"/>
  <c r="QG118" i="2" s="1"/>
  <c r="QF57" i="2"/>
  <c r="QF118" i="2" s="1"/>
  <c r="QF125" i="2"/>
  <c r="QD125" i="2"/>
  <c r="QF122" i="2"/>
  <c r="QD122" i="2"/>
  <c r="QF121" i="2"/>
  <c r="QD121" i="2"/>
  <c r="QF120" i="2"/>
  <c r="QD120" i="2"/>
  <c r="QF119" i="2"/>
  <c r="QD119" i="2"/>
  <c r="QF114" i="2"/>
  <c r="QD114" i="2"/>
  <c r="QF110" i="2"/>
  <c r="QD110" i="2"/>
  <c r="QF108" i="2"/>
  <c r="QD108" i="2"/>
  <c r="QF107" i="2"/>
  <c r="QD107" i="2"/>
  <c r="QF106" i="2"/>
  <c r="QD106" i="2"/>
  <c r="QF105" i="2"/>
  <c r="QD105" i="2"/>
  <c r="QF104" i="2"/>
  <c r="QD104" i="2"/>
  <c r="QF103" i="2"/>
  <c r="QD103" i="2"/>
  <c r="QF102" i="2"/>
  <c r="QD102" i="2"/>
  <c r="QF101" i="2"/>
  <c r="QD101" i="2"/>
  <c r="QF100" i="2"/>
  <c r="QD100" i="2"/>
  <c r="QD57" i="2"/>
  <c r="QD118" i="2" s="1"/>
  <c r="QH97" i="2" l="1"/>
  <c r="QH62" i="2" s="1"/>
  <c r="QI62" i="2" s="1"/>
  <c r="QJ62" i="2" s="1"/>
  <c r="QK62" i="2" s="1"/>
  <c r="QL62" i="2" s="1"/>
  <c r="QM62" i="2" s="1"/>
  <c r="QD117" i="2"/>
  <c r="QG117" i="2"/>
  <c r="QF99" i="2"/>
  <c r="QF98" i="2" s="1"/>
  <c r="QG99" i="2"/>
  <c r="QG97" i="2" s="1"/>
  <c r="QF117" i="2"/>
  <c r="QD99" i="2"/>
  <c r="QD97" i="2" s="1"/>
  <c r="QB125" i="2"/>
  <c r="QA125" i="2"/>
  <c r="QB122" i="2"/>
  <c r="QA122" i="2"/>
  <c r="QB121" i="2"/>
  <c r="QA121" i="2"/>
  <c r="QB120" i="2"/>
  <c r="QA120" i="2"/>
  <c r="QB119" i="2"/>
  <c r="QA119" i="2"/>
  <c r="QB118" i="2"/>
  <c r="QA118" i="2"/>
  <c r="QB114" i="2"/>
  <c r="QA114" i="2"/>
  <c r="QB110" i="2"/>
  <c r="QA110" i="2"/>
  <c r="QB108" i="2"/>
  <c r="QA108" i="2"/>
  <c r="QB107" i="2"/>
  <c r="QA107" i="2"/>
  <c r="QB106" i="2"/>
  <c r="QA106" i="2"/>
  <c r="QB105" i="2"/>
  <c r="QA105" i="2"/>
  <c r="QB104" i="2"/>
  <c r="QA104" i="2"/>
  <c r="QB103" i="2"/>
  <c r="QA103" i="2"/>
  <c r="QB102" i="2"/>
  <c r="QA102" i="2"/>
  <c r="QB101" i="2"/>
  <c r="QA101" i="2"/>
  <c r="QB100" i="2"/>
  <c r="QA100" i="2"/>
  <c r="QB99" i="2"/>
  <c r="QA99" i="2"/>
  <c r="PZ125" i="2"/>
  <c r="PY125" i="2"/>
  <c r="PZ122" i="2"/>
  <c r="PY122" i="2"/>
  <c r="PZ121" i="2"/>
  <c r="PY121" i="2"/>
  <c r="PZ120" i="2"/>
  <c r="PY120" i="2"/>
  <c r="PZ119" i="2"/>
  <c r="PY119" i="2"/>
  <c r="PZ118" i="2"/>
  <c r="PY118" i="2"/>
  <c r="PZ114" i="2"/>
  <c r="PY114" i="2"/>
  <c r="PZ110" i="2"/>
  <c r="PY110" i="2"/>
  <c r="PZ108" i="2"/>
  <c r="PY108" i="2"/>
  <c r="PZ107" i="2"/>
  <c r="PY107" i="2"/>
  <c r="PZ106" i="2"/>
  <c r="PY106" i="2"/>
  <c r="PZ105" i="2"/>
  <c r="PY105" i="2"/>
  <c r="PZ104" i="2"/>
  <c r="PY104" i="2"/>
  <c r="PZ103" i="2"/>
  <c r="PY103" i="2"/>
  <c r="PZ102" i="2"/>
  <c r="PY102" i="2"/>
  <c r="PZ101" i="2"/>
  <c r="PY101" i="2"/>
  <c r="PZ100" i="2"/>
  <c r="PY100" i="2"/>
  <c r="PZ99" i="2"/>
  <c r="PY99" i="2"/>
  <c r="PS57" i="2"/>
  <c r="PS99" i="2" s="1"/>
  <c r="PX125" i="2"/>
  <c r="PW125" i="2"/>
  <c r="PV125" i="2"/>
  <c r="PU125" i="2"/>
  <c r="PT125" i="2"/>
  <c r="PS125" i="2"/>
  <c r="PR125" i="2"/>
  <c r="PQ125" i="2"/>
  <c r="PX122" i="2"/>
  <c r="PW122" i="2"/>
  <c r="PV122" i="2"/>
  <c r="PU122" i="2"/>
  <c r="PT122" i="2"/>
  <c r="PS122" i="2"/>
  <c r="PR122" i="2"/>
  <c r="PQ122" i="2"/>
  <c r="PX121" i="2"/>
  <c r="PW121" i="2"/>
  <c r="PV121" i="2"/>
  <c r="PU121" i="2"/>
  <c r="PT121" i="2"/>
  <c r="PS121" i="2"/>
  <c r="PR121" i="2"/>
  <c r="PQ121" i="2"/>
  <c r="PX120" i="2"/>
  <c r="PW120" i="2"/>
  <c r="PV120" i="2"/>
  <c r="PU120" i="2"/>
  <c r="PT120" i="2"/>
  <c r="PS120" i="2"/>
  <c r="PR120" i="2"/>
  <c r="PQ120" i="2"/>
  <c r="PX119" i="2"/>
  <c r="PW119" i="2"/>
  <c r="PV119" i="2"/>
  <c r="PU119" i="2"/>
  <c r="PT119" i="2"/>
  <c r="PS119" i="2"/>
  <c r="PR119" i="2"/>
  <c r="PQ119" i="2"/>
  <c r="PX118" i="2"/>
  <c r="PW118" i="2"/>
  <c r="PV118" i="2"/>
  <c r="PU118" i="2"/>
  <c r="PT118" i="2"/>
  <c r="PR57" i="2"/>
  <c r="PR118" i="2" s="1"/>
  <c r="PX114" i="2"/>
  <c r="PW114" i="2"/>
  <c r="PV114" i="2"/>
  <c r="PU114" i="2"/>
  <c r="PT114" i="2"/>
  <c r="PS114" i="2"/>
  <c r="PX110" i="2"/>
  <c r="PW110" i="2"/>
  <c r="PV110" i="2"/>
  <c r="PU110" i="2"/>
  <c r="PT110" i="2"/>
  <c r="PS110" i="2"/>
  <c r="PX108" i="2"/>
  <c r="PW108" i="2"/>
  <c r="PV108" i="2"/>
  <c r="PU108" i="2"/>
  <c r="PT108" i="2"/>
  <c r="PS108" i="2"/>
  <c r="PX107" i="2"/>
  <c r="PW107" i="2"/>
  <c r="PV107" i="2"/>
  <c r="PU107" i="2"/>
  <c r="PT107" i="2"/>
  <c r="PS107" i="2"/>
  <c r="PX106" i="2"/>
  <c r="PW106" i="2"/>
  <c r="PV106" i="2"/>
  <c r="PU106" i="2"/>
  <c r="PT106" i="2"/>
  <c r="PS106" i="2"/>
  <c r="PX105" i="2"/>
  <c r="PW105" i="2"/>
  <c r="PV105" i="2"/>
  <c r="PU105" i="2"/>
  <c r="PT105" i="2"/>
  <c r="PS105" i="2"/>
  <c r="PX104" i="2"/>
  <c r="PW104" i="2"/>
  <c r="PV104" i="2"/>
  <c r="PU104" i="2"/>
  <c r="PT104" i="2"/>
  <c r="PS104" i="2"/>
  <c r="PX103" i="2"/>
  <c r="PW103" i="2"/>
  <c r="PV103" i="2"/>
  <c r="PU103" i="2"/>
  <c r="PT103" i="2"/>
  <c r="PS103" i="2"/>
  <c r="PX102" i="2"/>
  <c r="PW102" i="2"/>
  <c r="PV102" i="2"/>
  <c r="PU102" i="2"/>
  <c r="PT102" i="2"/>
  <c r="PS102" i="2"/>
  <c r="PX101" i="2"/>
  <c r="PW101" i="2"/>
  <c r="PV101" i="2"/>
  <c r="PU101" i="2"/>
  <c r="PT101" i="2"/>
  <c r="PS101" i="2"/>
  <c r="PX100" i="2"/>
  <c r="PW100" i="2"/>
  <c r="PV100" i="2"/>
  <c r="PU100" i="2"/>
  <c r="PT100" i="2"/>
  <c r="PS100" i="2"/>
  <c r="PX99" i="2"/>
  <c r="PW99" i="2"/>
  <c r="PV99" i="2"/>
  <c r="PU99" i="2"/>
  <c r="PT99" i="2"/>
  <c r="PR114" i="2"/>
  <c r="PR110" i="2"/>
  <c r="PR108" i="2"/>
  <c r="PR107" i="2"/>
  <c r="PR106" i="2"/>
  <c r="PR105" i="2"/>
  <c r="PR104" i="2"/>
  <c r="PR103" i="2"/>
  <c r="PR102" i="2"/>
  <c r="PR101" i="2"/>
  <c r="PR100" i="2"/>
  <c r="PQ57" i="2"/>
  <c r="PQ118" i="2" s="1"/>
  <c r="PP57" i="2"/>
  <c r="PP99" i="2" s="1"/>
  <c r="PO57" i="2"/>
  <c r="PO118" i="2" s="1"/>
  <c r="PN57" i="2"/>
  <c r="PN99" i="2" s="1"/>
  <c r="PM57" i="2"/>
  <c r="PM118" i="2" s="1"/>
  <c r="PP125" i="2"/>
  <c r="PO125" i="2"/>
  <c r="PN125" i="2"/>
  <c r="PM125" i="2"/>
  <c r="PP122" i="2"/>
  <c r="PO122" i="2"/>
  <c r="PN122" i="2"/>
  <c r="PM122" i="2"/>
  <c r="PP121" i="2"/>
  <c r="PO121" i="2"/>
  <c r="PN121" i="2"/>
  <c r="PM121" i="2"/>
  <c r="PP120" i="2"/>
  <c r="PO120" i="2"/>
  <c r="PN120" i="2"/>
  <c r="PM120" i="2"/>
  <c r="PP119" i="2"/>
  <c r="PO119" i="2"/>
  <c r="PN119" i="2"/>
  <c r="PM119" i="2"/>
  <c r="PP118" i="2"/>
  <c r="PQ114" i="2"/>
  <c r="PP114" i="2"/>
  <c r="PO114" i="2"/>
  <c r="PN114" i="2"/>
  <c r="PM114" i="2"/>
  <c r="PQ110" i="2"/>
  <c r="PP110" i="2"/>
  <c r="PO110" i="2"/>
  <c r="PN110" i="2"/>
  <c r="PM110" i="2"/>
  <c r="PQ108" i="2"/>
  <c r="PP108" i="2"/>
  <c r="PO108" i="2"/>
  <c r="PN108" i="2"/>
  <c r="PM108" i="2"/>
  <c r="PQ107" i="2"/>
  <c r="PP107" i="2"/>
  <c r="PO107" i="2"/>
  <c r="PN107" i="2"/>
  <c r="PM107" i="2"/>
  <c r="PQ106" i="2"/>
  <c r="PP106" i="2"/>
  <c r="PO106" i="2"/>
  <c r="PN106" i="2"/>
  <c r="PM106" i="2"/>
  <c r="PQ105" i="2"/>
  <c r="PP105" i="2"/>
  <c r="PO105" i="2"/>
  <c r="PN105" i="2"/>
  <c r="PM105" i="2"/>
  <c r="PQ104" i="2"/>
  <c r="PP104" i="2"/>
  <c r="PO104" i="2"/>
  <c r="PN104" i="2"/>
  <c r="PM104" i="2"/>
  <c r="PQ103" i="2"/>
  <c r="PP103" i="2"/>
  <c r="PO103" i="2"/>
  <c r="PN103" i="2"/>
  <c r="PM103" i="2"/>
  <c r="PQ102" i="2"/>
  <c r="PP102" i="2"/>
  <c r="PO102" i="2"/>
  <c r="PN102" i="2"/>
  <c r="PM102" i="2"/>
  <c r="PQ101" i="2"/>
  <c r="PP101" i="2"/>
  <c r="PO101" i="2"/>
  <c r="PN101" i="2"/>
  <c r="PM101" i="2"/>
  <c r="PQ100" i="2"/>
  <c r="PP100" i="2"/>
  <c r="PO100" i="2"/>
  <c r="PN100" i="2"/>
  <c r="PM100" i="2"/>
  <c r="OC57" i="2"/>
  <c r="OC118" i="2" s="1"/>
  <c r="PL125" i="2"/>
  <c r="PK125" i="2"/>
  <c r="PJ125" i="2"/>
  <c r="PI125" i="2"/>
  <c r="PH125" i="2"/>
  <c r="PG125" i="2"/>
  <c r="PF125" i="2"/>
  <c r="PE125" i="2"/>
  <c r="PD125" i="2"/>
  <c r="PC125" i="2"/>
  <c r="PB125" i="2"/>
  <c r="PA125" i="2"/>
  <c r="OZ125" i="2"/>
  <c r="OY125" i="2"/>
  <c r="OX125" i="2"/>
  <c r="OW125" i="2"/>
  <c r="OV125" i="2"/>
  <c r="OU125" i="2"/>
  <c r="OT125" i="2"/>
  <c r="OS125" i="2"/>
  <c r="OR125" i="2"/>
  <c r="OQ125" i="2"/>
  <c r="OP125" i="2"/>
  <c r="OO125" i="2"/>
  <c r="ON125" i="2"/>
  <c r="OM125" i="2"/>
  <c r="OL125" i="2"/>
  <c r="OK125" i="2"/>
  <c r="OJ125" i="2"/>
  <c r="OI125" i="2"/>
  <c r="OH125" i="2"/>
  <c r="OG125" i="2"/>
  <c r="OF125" i="2"/>
  <c r="OE125" i="2"/>
  <c r="OD125" i="2"/>
  <c r="OC125" i="2"/>
  <c r="OB125" i="2"/>
  <c r="OA125" i="2"/>
  <c r="NZ125" i="2"/>
  <c r="NY125" i="2"/>
  <c r="NX125" i="2"/>
  <c r="NW125" i="2"/>
  <c r="NV125" i="2"/>
  <c r="NU125" i="2"/>
  <c r="PL122" i="2"/>
  <c r="PK122" i="2"/>
  <c r="PJ122" i="2"/>
  <c r="PI122" i="2"/>
  <c r="PH122" i="2"/>
  <c r="PG122" i="2"/>
  <c r="PF122" i="2"/>
  <c r="PE122" i="2"/>
  <c r="PD122" i="2"/>
  <c r="PC122" i="2"/>
  <c r="PB122" i="2"/>
  <c r="PA122" i="2"/>
  <c r="OZ122" i="2"/>
  <c r="OY122" i="2"/>
  <c r="OX122" i="2"/>
  <c r="OW122" i="2"/>
  <c r="OV122" i="2"/>
  <c r="OU122" i="2"/>
  <c r="OT122" i="2"/>
  <c r="OS122" i="2"/>
  <c r="OR122" i="2"/>
  <c r="OQ122" i="2"/>
  <c r="OP122" i="2"/>
  <c r="OO122" i="2"/>
  <c r="ON122" i="2"/>
  <c r="OM122" i="2"/>
  <c r="OL122" i="2"/>
  <c r="OK122" i="2"/>
  <c r="OJ122" i="2"/>
  <c r="OI122" i="2"/>
  <c r="OH122" i="2"/>
  <c r="OG122" i="2"/>
  <c r="OF122" i="2"/>
  <c r="OE122" i="2"/>
  <c r="OD122" i="2"/>
  <c r="OC122" i="2"/>
  <c r="OB122" i="2"/>
  <c r="OA122" i="2"/>
  <c r="NZ122" i="2"/>
  <c r="NY122" i="2"/>
  <c r="NX122" i="2"/>
  <c r="NW122" i="2"/>
  <c r="NV122" i="2"/>
  <c r="NU122" i="2"/>
  <c r="PL121" i="2"/>
  <c r="PK121" i="2"/>
  <c r="PJ121" i="2"/>
  <c r="PI121" i="2"/>
  <c r="PH121" i="2"/>
  <c r="PG121" i="2"/>
  <c r="PF121" i="2"/>
  <c r="PE121" i="2"/>
  <c r="PD121" i="2"/>
  <c r="PC121" i="2"/>
  <c r="PB121" i="2"/>
  <c r="PA121" i="2"/>
  <c r="OZ121" i="2"/>
  <c r="OY121" i="2"/>
  <c r="OX121" i="2"/>
  <c r="OW121" i="2"/>
  <c r="OV121" i="2"/>
  <c r="OU121" i="2"/>
  <c r="OT121" i="2"/>
  <c r="OS121" i="2"/>
  <c r="OR121" i="2"/>
  <c r="OQ121" i="2"/>
  <c r="OP121" i="2"/>
  <c r="OO121" i="2"/>
  <c r="ON121" i="2"/>
  <c r="OM121" i="2"/>
  <c r="OL121" i="2"/>
  <c r="OK121" i="2"/>
  <c r="OJ121" i="2"/>
  <c r="OI121" i="2"/>
  <c r="OH121" i="2"/>
  <c r="OG121" i="2"/>
  <c r="OF121" i="2"/>
  <c r="OE121" i="2"/>
  <c r="OD121" i="2"/>
  <c r="OC121" i="2"/>
  <c r="OB121" i="2"/>
  <c r="OA121" i="2"/>
  <c r="NZ121" i="2"/>
  <c r="NY121" i="2"/>
  <c r="NX121" i="2"/>
  <c r="NW121" i="2"/>
  <c r="NV121" i="2"/>
  <c r="NU121" i="2"/>
  <c r="PL120" i="2"/>
  <c r="PK120" i="2"/>
  <c r="PJ120" i="2"/>
  <c r="PI120" i="2"/>
  <c r="PH120" i="2"/>
  <c r="PG120" i="2"/>
  <c r="PF120" i="2"/>
  <c r="PE120" i="2"/>
  <c r="PD120" i="2"/>
  <c r="PC120" i="2"/>
  <c r="PB120" i="2"/>
  <c r="PA120" i="2"/>
  <c r="OZ120" i="2"/>
  <c r="OY120" i="2"/>
  <c r="OX120" i="2"/>
  <c r="OW120" i="2"/>
  <c r="OV120" i="2"/>
  <c r="OU120" i="2"/>
  <c r="OT120" i="2"/>
  <c r="OS120" i="2"/>
  <c r="OR120" i="2"/>
  <c r="OQ120" i="2"/>
  <c r="OP120" i="2"/>
  <c r="OO120" i="2"/>
  <c r="ON120" i="2"/>
  <c r="OM120" i="2"/>
  <c r="OL120" i="2"/>
  <c r="OK120" i="2"/>
  <c r="OJ120" i="2"/>
  <c r="OI120" i="2"/>
  <c r="OH120" i="2"/>
  <c r="OG120" i="2"/>
  <c r="OF120" i="2"/>
  <c r="OE120" i="2"/>
  <c r="OD120" i="2"/>
  <c r="OC120" i="2"/>
  <c r="OB120" i="2"/>
  <c r="OA120" i="2"/>
  <c r="NZ120" i="2"/>
  <c r="NY120" i="2"/>
  <c r="NX120" i="2"/>
  <c r="NW120" i="2"/>
  <c r="NV120" i="2"/>
  <c r="NU120" i="2"/>
  <c r="PL119" i="2"/>
  <c r="PK119" i="2"/>
  <c r="PJ119" i="2"/>
  <c r="PI119" i="2"/>
  <c r="PH119" i="2"/>
  <c r="PG119" i="2"/>
  <c r="PF119" i="2"/>
  <c r="PE119" i="2"/>
  <c r="PD119" i="2"/>
  <c r="PC119" i="2"/>
  <c r="PB119" i="2"/>
  <c r="PA119" i="2"/>
  <c r="OZ119" i="2"/>
  <c r="OY119" i="2"/>
  <c r="OX119" i="2"/>
  <c r="OW119" i="2"/>
  <c r="OV119" i="2"/>
  <c r="OU119" i="2"/>
  <c r="OT119" i="2"/>
  <c r="OS119" i="2"/>
  <c r="OR119" i="2"/>
  <c r="OQ119" i="2"/>
  <c r="OP119" i="2"/>
  <c r="OO119" i="2"/>
  <c r="ON119" i="2"/>
  <c r="OM119" i="2"/>
  <c r="OL119" i="2"/>
  <c r="OK119" i="2"/>
  <c r="OJ119" i="2"/>
  <c r="OI119" i="2"/>
  <c r="OH119" i="2"/>
  <c r="OG119" i="2"/>
  <c r="OF119" i="2"/>
  <c r="OE119" i="2"/>
  <c r="OD119" i="2"/>
  <c r="OC119" i="2"/>
  <c r="OB119" i="2"/>
  <c r="OA119" i="2"/>
  <c r="NZ119" i="2"/>
  <c r="NY119" i="2"/>
  <c r="NX119" i="2"/>
  <c r="NW119" i="2"/>
  <c r="NV119" i="2"/>
  <c r="NU119" i="2"/>
  <c r="PL114" i="2"/>
  <c r="PK114" i="2"/>
  <c r="PJ114" i="2"/>
  <c r="PI114" i="2"/>
  <c r="PH114" i="2"/>
  <c r="PG114" i="2"/>
  <c r="PF114" i="2"/>
  <c r="PE114" i="2"/>
  <c r="PD114" i="2"/>
  <c r="PC114" i="2"/>
  <c r="PB114" i="2"/>
  <c r="PA114" i="2"/>
  <c r="OZ114" i="2"/>
  <c r="OY114" i="2"/>
  <c r="OX114" i="2"/>
  <c r="OW114" i="2"/>
  <c r="OV114" i="2"/>
  <c r="OU114" i="2"/>
  <c r="OT114" i="2"/>
  <c r="OS114" i="2"/>
  <c r="OR114" i="2"/>
  <c r="OQ114" i="2"/>
  <c r="OP114" i="2"/>
  <c r="OO114" i="2"/>
  <c r="ON114" i="2"/>
  <c r="OM114" i="2"/>
  <c r="OL114" i="2"/>
  <c r="OK114" i="2"/>
  <c r="OJ114" i="2"/>
  <c r="OI114" i="2"/>
  <c r="OH114" i="2"/>
  <c r="OG114" i="2"/>
  <c r="OF114" i="2"/>
  <c r="OE114" i="2"/>
  <c r="OD114" i="2"/>
  <c r="OC114" i="2"/>
  <c r="OB114" i="2"/>
  <c r="OA114" i="2"/>
  <c r="NZ114" i="2"/>
  <c r="NY114" i="2"/>
  <c r="NX114" i="2"/>
  <c r="NW114" i="2"/>
  <c r="NV114" i="2"/>
  <c r="NU114" i="2"/>
  <c r="PL110" i="2"/>
  <c r="PK110" i="2"/>
  <c r="PJ110" i="2"/>
  <c r="PI110" i="2"/>
  <c r="PH110" i="2"/>
  <c r="PG110" i="2"/>
  <c r="PF110" i="2"/>
  <c r="PE110" i="2"/>
  <c r="PD110" i="2"/>
  <c r="PC110" i="2"/>
  <c r="PB110" i="2"/>
  <c r="PA110" i="2"/>
  <c r="OZ110" i="2"/>
  <c r="OY110" i="2"/>
  <c r="OX110" i="2"/>
  <c r="OW110" i="2"/>
  <c r="OV110" i="2"/>
  <c r="OU110" i="2"/>
  <c r="OT110" i="2"/>
  <c r="OS110" i="2"/>
  <c r="OR110" i="2"/>
  <c r="OQ110" i="2"/>
  <c r="OP110" i="2"/>
  <c r="OO110" i="2"/>
  <c r="ON110" i="2"/>
  <c r="OM110" i="2"/>
  <c r="OL110" i="2"/>
  <c r="OK110" i="2"/>
  <c r="OJ110" i="2"/>
  <c r="OI110" i="2"/>
  <c r="OH110" i="2"/>
  <c r="OG110" i="2"/>
  <c r="OF110" i="2"/>
  <c r="OE110" i="2"/>
  <c r="OD110" i="2"/>
  <c r="OC110" i="2"/>
  <c r="OB110" i="2"/>
  <c r="OA110" i="2"/>
  <c r="NZ110" i="2"/>
  <c r="NY110" i="2"/>
  <c r="NX110" i="2"/>
  <c r="NW110" i="2"/>
  <c r="NV110" i="2"/>
  <c r="NU110" i="2"/>
  <c r="PL108" i="2"/>
  <c r="PK108" i="2"/>
  <c r="PJ108" i="2"/>
  <c r="PI108" i="2"/>
  <c r="PH108" i="2"/>
  <c r="PG108" i="2"/>
  <c r="PF108" i="2"/>
  <c r="PE108" i="2"/>
  <c r="PD108" i="2"/>
  <c r="PC108" i="2"/>
  <c r="PB108" i="2"/>
  <c r="PA108" i="2"/>
  <c r="OZ108" i="2"/>
  <c r="OY108" i="2"/>
  <c r="OX108" i="2"/>
  <c r="OW108" i="2"/>
  <c r="OV108" i="2"/>
  <c r="OU108" i="2"/>
  <c r="OT108" i="2"/>
  <c r="OS108" i="2"/>
  <c r="OR108" i="2"/>
  <c r="OQ108" i="2"/>
  <c r="OP108" i="2"/>
  <c r="OO108" i="2"/>
  <c r="ON108" i="2"/>
  <c r="OM108" i="2"/>
  <c r="OL108" i="2"/>
  <c r="OK108" i="2"/>
  <c r="OJ108" i="2"/>
  <c r="OI108" i="2"/>
  <c r="OH108" i="2"/>
  <c r="OG108" i="2"/>
  <c r="OF108" i="2"/>
  <c r="OE108" i="2"/>
  <c r="OD108" i="2"/>
  <c r="OC108" i="2"/>
  <c r="OB108" i="2"/>
  <c r="OA108" i="2"/>
  <c r="NZ108" i="2"/>
  <c r="NY108" i="2"/>
  <c r="NX108" i="2"/>
  <c r="NW108" i="2"/>
  <c r="NV108" i="2"/>
  <c r="NU108" i="2"/>
  <c r="PL107" i="2"/>
  <c r="PK107" i="2"/>
  <c r="PJ107" i="2"/>
  <c r="PI107" i="2"/>
  <c r="PH107" i="2"/>
  <c r="PG107" i="2"/>
  <c r="PF107" i="2"/>
  <c r="PE107" i="2"/>
  <c r="PD107" i="2"/>
  <c r="PC107" i="2"/>
  <c r="PB107" i="2"/>
  <c r="PA107" i="2"/>
  <c r="OZ107" i="2"/>
  <c r="OY107" i="2"/>
  <c r="OX107" i="2"/>
  <c r="OW107" i="2"/>
  <c r="OV107" i="2"/>
  <c r="OU107" i="2"/>
  <c r="OT107" i="2"/>
  <c r="OS107" i="2"/>
  <c r="OR107" i="2"/>
  <c r="OQ107" i="2"/>
  <c r="OP107" i="2"/>
  <c r="OO107" i="2"/>
  <c r="ON107" i="2"/>
  <c r="OM107" i="2"/>
  <c r="OL107" i="2"/>
  <c r="OK107" i="2"/>
  <c r="OJ107" i="2"/>
  <c r="OI107" i="2"/>
  <c r="OH107" i="2"/>
  <c r="OG107" i="2"/>
  <c r="OF107" i="2"/>
  <c r="OE107" i="2"/>
  <c r="OD107" i="2"/>
  <c r="OC107" i="2"/>
  <c r="OB107" i="2"/>
  <c r="OA107" i="2"/>
  <c r="NZ107" i="2"/>
  <c r="NY107" i="2"/>
  <c r="NX107" i="2"/>
  <c r="NW107" i="2"/>
  <c r="NV107" i="2"/>
  <c r="NU107" i="2"/>
  <c r="PL106" i="2"/>
  <c r="PK106" i="2"/>
  <c r="PJ106" i="2"/>
  <c r="PI106" i="2"/>
  <c r="PH106" i="2"/>
  <c r="PG106" i="2"/>
  <c r="PF106" i="2"/>
  <c r="PE106" i="2"/>
  <c r="PD106" i="2"/>
  <c r="PC106" i="2"/>
  <c r="PB106" i="2"/>
  <c r="PA106" i="2"/>
  <c r="OZ106" i="2"/>
  <c r="OY106" i="2"/>
  <c r="OX106" i="2"/>
  <c r="OW106" i="2"/>
  <c r="OV106" i="2"/>
  <c r="OU106" i="2"/>
  <c r="OT106" i="2"/>
  <c r="OS106" i="2"/>
  <c r="OR106" i="2"/>
  <c r="OQ106" i="2"/>
  <c r="OP106" i="2"/>
  <c r="OO106" i="2"/>
  <c r="ON106" i="2"/>
  <c r="OM106" i="2"/>
  <c r="OL106" i="2"/>
  <c r="OK106" i="2"/>
  <c r="OJ106" i="2"/>
  <c r="OI106" i="2"/>
  <c r="OH106" i="2"/>
  <c r="OG106" i="2"/>
  <c r="OF106" i="2"/>
  <c r="OE106" i="2"/>
  <c r="OD106" i="2"/>
  <c r="OC106" i="2"/>
  <c r="OB106" i="2"/>
  <c r="OA106" i="2"/>
  <c r="NZ106" i="2"/>
  <c r="NY106" i="2"/>
  <c r="NX106" i="2"/>
  <c r="NW106" i="2"/>
  <c r="NV106" i="2"/>
  <c r="NU106" i="2"/>
  <c r="PL105" i="2"/>
  <c r="PK105" i="2"/>
  <c r="PJ105" i="2"/>
  <c r="PI105" i="2"/>
  <c r="PH105" i="2"/>
  <c r="PG105" i="2"/>
  <c r="PF105" i="2"/>
  <c r="PE105" i="2"/>
  <c r="PD105" i="2"/>
  <c r="PC105" i="2"/>
  <c r="PB105" i="2"/>
  <c r="PA105" i="2"/>
  <c r="OZ105" i="2"/>
  <c r="OY105" i="2"/>
  <c r="OX105" i="2"/>
  <c r="OW105" i="2"/>
  <c r="OV105" i="2"/>
  <c r="OU105" i="2"/>
  <c r="OT105" i="2"/>
  <c r="OS105" i="2"/>
  <c r="OR105" i="2"/>
  <c r="OQ105" i="2"/>
  <c r="OP105" i="2"/>
  <c r="OO105" i="2"/>
  <c r="ON105" i="2"/>
  <c r="OM105" i="2"/>
  <c r="OL105" i="2"/>
  <c r="OK105" i="2"/>
  <c r="OJ105" i="2"/>
  <c r="OI105" i="2"/>
  <c r="OH105" i="2"/>
  <c r="OG105" i="2"/>
  <c r="OF105" i="2"/>
  <c r="OE105" i="2"/>
  <c r="OD105" i="2"/>
  <c r="OC105" i="2"/>
  <c r="OB105" i="2"/>
  <c r="OA105" i="2"/>
  <c r="NZ105" i="2"/>
  <c r="NY105" i="2"/>
  <c r="NX105" i="2"/>
  <c r="NW105" i="2"/>
  <c r="NV105" i="2"/>
  <c r="NU105" i="2"/>
  <c r="PL104" i="2"/>
  <c r="PK104" i="2"/>
  <c r="PJ104" i="2"/>
  <c r="PI104" i="2"/>
  <c r="PH104" i="2"/>
  <c r="PG104" i="2"/>
  <c r="PF104" i="2"/>
  <c r="PE104" i="2"/>
  <c r="PD104" i="2"/>
  <c r="PC104" i="2"/>
  <c r="PB104" i="2"/>
  <c r="PA104" i="2"/>
  <c r="OZ104" i="2"/>
  <c r="OY104" i="2"/>
  <c r="OX104" i="2"/>
  <c r="OW104" i="2"/>
  <c r="OV104" i="2"/>
  <c r="OU104" i="2"/>
  <c r="OT104" i="2"/>
  <c r="OS104" i="2"/>
  <c r="OR104" i="2"/>
  <c r="OQ104" i="2"/>
  <c r="OP104" i="2"/>
  <c r="OO104" i="2"/>
  <c r="ON104" i="2"/>
  <c r="OM104" i="2"/>
  <c r="OL104" i="2"/>
  <c r="OK104" i="2"/>
  <c r="OJ104" i="2"/>
  <c r="OI104" i="2"/>
  <c r="OH104" i="2"/>
  <c r="OG104" i="2"/>
  <c r="OF104" i="2"/>
  <c r="OE104" i="2"/>
  <c r="OD104" i="2"/>
  <c r="OC104" i="2"/>
  <c r="OB104" i="2"/>
  <c r="OA104" i="2"/>
  <c r="NZ104" i="2"/>
  <c r="NY104" i="2"/>
  <c r="NX104" i="2"/>
  <c r="NW104" i="2"/>
  <c r="NV104" i="2"/>
  <c r="NU104" i="2"/>
  <c r="PL103" i="2"/>
  <c r="PK103" i="2"/>
  <c r="PJ103" i="2"/>
  <c r="PI103" i="2"/>
  <c r="PH103" i="2"/>
  <c r="PG103" i="2"/>
  <c r="PF103" i="2"/>
  <c r="PE103" i="2"/>
  <c r="PD103" i="2"/>
  <c r="PC103" i="2"/>
  <c r="PB103" i="2"/>
  <c r="PA103" i="2"/>
  <c r="OZ103" i="2"/>
  <c r="OY103" i="2"/>
  <c r="OX103" i="2"/>
  <c r="OW103" i="2"/>
  <c r="OV103" i="2"/>
  <c r="OU103" i="2"/>
  <c r="OT103" i="2"/>
  <c r="OS103" i="2"/>
  <c r="OR103" i="2"/>
  <c r="OQ103" i="2"/>
  <c r="OP103" i="2"/>
  <c r="OO103" i="2"/>
  <c r="ON103" i="2"/>
  <c r="OM103" i="2"/>
  <c r="OL103" i="2"/>
  <c r="OK103" i="2"/>
  <c r="OJ103" i="2"/>
  <c r="OI103" i="2"/>
  <c r="OH103" i="2"/>
  <c r="OG103" i="2"/>
  <c r="OF103" i="2"/>
  <c r="OE103" i="2"/>
  <c r="OD103" i="2"/>
  <c r="OC103" i="2"/>
  <c r="OB103" i="2"/>
  <c r="OA103" i="2"/>
  <c r="NZ103" i="2"/>
  <c r="NY103" i="2"/>
  <c r="NX103" i="2"/>
  <c r="NW103" i="2"/>
  <c r="NV103" i="2"/>
  <c r="NU103" i="2"/>
  <c r="PL102" i="2"/>
  <c r="PK102" i="2"/>
  <c r="PJ102" i="2"/>
  <c r="PI102" i="2"/>
  <c r="PH102" i="2"/>
  <c r="PG102" i="2"/>
  <c r="PF102" i="2"/>
  <c r="PE102" i="2"/>
  <c r="PD102" i="2"/>
  <c r="PC102" i="2"/>
  <c r="PB102" i="2"/>
  <c r="PA102" i="2"/>
  <c r="OZ102" i="2"/>
  <c r="OY102" i="2"/>
  <c r="OX102" i="2"/>
  <c r="OW102" i="2"/>
  <c r="OV102" i="2"/>
  <c r="OU102" i="2"/>
  <c r="OT102" i="2"/>
  <c r="OS102" i="2"/>
  <c r="OR102" i="2"/>
  <c r="OQ102" i="2"/>
  <c r="OP102" i="2"/>
  <c r="OO102" i="2"/>
  <c r="ON102" i="2"/>
  <c r="OM102" i="2"/>
  <c r="OL102" i="2"/>
  <c r="OK102" i="2"/>
  <c r="OJ102" i="2"/>
  <c r="OI102" i="2"/>
  <c r="OH102" i="2"/>
  <c r="OG102" i="2"/>
  <c r="OF102" i="2"/>
  <c r="OE102" i="2"/>
  <c r="OD102" i="2"/>
  <c r="OC102" i="2"/>
  <c r="OB102" i="2"/>
  <c r="OA102" i="2"/>
  <c r="NZ102" i="2"/>
  <c r="NY102" i="2"/>
  <c r="NX102" i="2"/>
  <c r="NW102" i="2"/>
  <c r="NV102" i="2"/>
  <c r="NU102" i="2"/>
  <c r="PL101" i="2"/>
  <c r="PK101" i="2"/>
  <c r="PJ101" i="2"/>
  <c r="PI101" i="2"/>
  <c r="PH101" i="2"/>
  <c r="PG101" i="2"/>
  <c r="PF101" i="2"/>
  <c r="PE101" i="2"/>
  <c r="PD101" i="2"/>
  <c r="PC101" i="2"/>
  <c r="PB101" i="2"/>
  <c r="PA101" i="2"/>
  <c r="OZ101" i="2"/>
  <c r="OY101" i="2"/>
  <c r="OX101" i="2"/>
  <c r="OW101" i="2"/>
  <c r="OV101" i="2"/>
  <c r="OU101" i="2"/>
  <c r="OT101" i="2"/>
  <c r="OS101" i="2"/>
  <c r="OR101" i="2"/>
  <c r="OQ101" i="2"/>
  <c r="OP101" i="2"/>
  <c r="OO101" i="2"/>
  <c r="ON101" i="2"/>
  <c r="OM101" i="2"/>
  <c r="OL101" i="2"/>
  <c r="OK101" i="2"/>
  <c r="OJ101" i="2"/>
  <c r="OI101" i="2"/>
  <c r="OH101" i="2"/>
  <c r="OG101" i="2"/>
  <c r="OF101" i="2"/>
  <c r="OE101" i="2"/>
  <c r="OD101" i="2"/>
  <c r="OC101" i="2"/>
  <c r="OB101" i="2"/>
  <c r="OA101" i="2"/>
  <c r="NZ101" i="2"/>
  <c r="NY101" i="2"/>
  <c r="NX101" i="2"/>
  <c r="NW101" i="2"/>
  <c r="NV101" i="2"/>
  <c r="NU101" i="2"/>
  <c r="PL100" i="2"/>
  <c r="PK100" i="2"/>
  <c r="PJ100" i="2"/>
  <c r="PI100" i="2"/>
  <c r="PH100" i="2"/>
  <c r="PG100" i="2"/>
  <c r="PF100" i="2"/>
  <c r="PE100" i="2"/>
  <c r="PD100" i="2"/>
  <c r="PC100" i="2"/>
  <c r="PB100" i="2"/>
  <c r="PA100" i="2"/>
  <c r="OZ100" i="2"/>
  <c r="OY100" i="2"/>
  <c r="OX100" i="2"/>
  <c r="OW100" i="2"/>
  <c r="OV100" i="2"/>
  <c r="OU100" i="2"/>
  <c r="OT100" i="2"/>
  <c r="OS100" i="2"/>
  <c r="OR100" i="2"/>
  <c r="OQ100" i="2"/>
  <c r="OP100" i="2"/>
  <c r="OO100" i="2"/>
  <c r="ON100" i="2"/>
  <c r="OM100" i="2"/>
  <c r="OL100" i="2"/>
  <c r="OK100" i="2"/>
  <c r="OJ100" i="2"/>
  <c r="OI100" i="2"/>
  <c r="OH100" i="2"/>
  <c r="OG100" i="2"/>
  <c r="OF100" i="2"/>
  <c r="OE100" i="2"/>
  <c r="OD100" i="2"/>
  <c r="OC100" i="2"/>
  <c r="OB100" i="2"/>
  <c r="OA100" i="2"/>
  <c r="NZ100" i="2"/>
  <c r="NY100" i="2"/>
  <c r="NX100" i="2"/>
  <c r="NW100" i="2"/>
  <c r="NV100" i="2"/>
  <c r="NU100" i="2"/>
  <c r="PL57" i="2"/>
  <c r="PL99" i="2" s="1"/>
  <c r="PK57" i="2"/>
  <c r="PK99" i="2" s="1"/>
  <c r="PJ57" i="2"/>
  <c r="PJ99" i="2" s="1"/>
  <c r="PI57" i="2"/>
  <c r="PI118" i="2" s="1"/>
  <c r="PH57" i="2"/>
  <c r="PH99" i="2" s="1"/>
  <c r="PG57" i="2"/>
  <c r="PG99" i="2" s="1"/>
  <c r="PF57" i="2"/>
  <c r="PF99" i="2" s="1"/>
  <c r="PE57" i="2"/>
  <c r="PE118" i="2" s="1"/>
  <c r="PD57" i="2"/>
  <c r="PD99" i="2" s="1"/>
  <c r="PC57" i="2"/>
  <c r="PC99" i="2" s="1"/>
  <c r="PB57" i="2"/>
  <c r="PB99" i="2" s="1"/>
  <c r="PA57" i="2"/>
  <c r="PA118" i="2" s="1"/>
  <c r="OZ57" i="2"/>
  <c r="OZ99" i="2" s="1"/>
  <c r="OY57" i="2"/>
  <c r="OY99" i="2" s="1"/>
  <c r="OX57" i="2"/>
  <c r="OX99" i="2" s="1"/>
  <c r="OW57" i="2"/>
  <c r="OW118" i="2" s="1"/>
  <c r="OV57" i="2"/>
  <c r="OV99" i="2" s="1"/>
  <c r="OU57" i="2"/>
  <c r="OU99" i="2" s="1"/>
  <c r="OT57" i="2"/>
  <c r="OT99" i="2" s="1"/>
  <c r="OS57" i="2"/>
  <c r="OS118" i="2" s="1"/>
  <c r="OR57" i="2"/>
  <c r="OR99" i="2" s="1"/>
  <c r="OQ57" i="2"/>
  <c r="OQ99" i="2" s="1"/>
  <c r="OP57" i="2"/>
  <c r="OP99" i="2" s="1"/>
  <c r="OO57" i="2"/>
  <c r="OO118" i="2" s="1"/>
  <c r="ON57" i="2"/>
  <c r="ON99" i="2" s="1"/>
  <c r="OM57" i="2"/>
  <c r="OM99" i="2" s="1"/>
  <c r="OL57" i="2"/>
  <c r="OL99" i="2" s="1"/>
  <c r="OK57" i="2"/>
  <c r="OK118" i="2" s="1"/>
  <c r="OJ57" i="2"/>
  <c r="OJ99" i="2" s="1"/>
  <c r="OI57" i="2"/>
  <c r="OI99" i="2" s="1"/>
  <c r="OH57" i="2"/>
  <c r="OH99" i="2" s="1"/>
  <c r="OG57" i="2"/>
  <c r="OG118" i="2" s="1"/>
  <c r="OF57" i="2"/>
  <c r="OF99" i="2" s="1"/>
  <c r="OE57" i="2"/>
  <c r="OE99" i="2" s="1"/>
  <c r="OD57" i="2"/>
  <c r="OD99" i="2" s="1"/>
  <c r="QF97" i="2" l="1"/>
  <c r="PM99" i="2"/>
  <c r="OC99" i="2"/>
  <c r="OC97" i="2" s="1"/>
  <c r="PQ99" i="2"/>
  <c r="PQ98" i="2" s="1"/>
  <c r="PN118" i="2"/>
  <c r="PN117" i="2" s="1"/>
  <c r="PN66" i="2" s="1"/>
  <c r="QA97" i="2"/>
  <c r="QA62" i="2" s="1"/>
  <c r="QD98" i="2"/>
  <c r="QA117" i="2"/>
  <c r="QA66" i="2" s="1"/>
  <c r="PO99" i="2"/>
  <c r="PO98" i="2" s="1"/>
  <c r="PW97" i="2"/>
  <c r="PW62" i="2" s="1"/>
  <c r="PO117" i="2"/>
  <c r="PM117" i="2"/>
  <c r="OJ98" i="2"/>
  <c r="OJ97" i="2"/>
  <c r="OJ62" i="2" s="1"/>
  <c r="OV98" i="2"/>
  <c r="OV97" i="2"/>
  <c r="OV62" i="2" s="1"/>
  <c r="PL98" i="2"/>
  <c r="PL97" i="2"/>
  <c r="PL62" i="2" s="1"/>
  <c r="OD98" i="2"/>
  <c r="OD97" i="2"/>
  <c r="OD62" i="2" s="1"/>
  <c r="OH98" i="2"/>
  <c r="OH97" i="2"/>
  <c r="OH62" i="2" s="1"/>
  <c r="OL98" i="2"/>
  <c r="OL97" i="2"/>
  <c r="OL62" i="2" s="1"/>
  <c r="OP98" i="2"/>
  <c r="OP97" i="2"/>
  <c r="OP62" i="2" s="1"/>
  <c r="OX98" i="2"/>
  <c r="OX97" i="2"/>
  <c r="OX62" i="2" s="1"/>
  <c r="PB98" i="2"/>
  <c r="PB97" i="2"/>
  <c r="PB62" i="2" s="1"/>
  <c r="PF98" i="2"/>
  <c r="PF97" i="2"/>
  <c r="PF62" i="2" s="1"/>
  <c r="PJ98" i="2"/>
  <c r="PJ97" i="2"/>
  <c r="OE98" i="2"/>
  <c r="OE97" i="2"/>
  <c r="OE62" i="2" s="1"/>
  <c r="OI97" i="2"/>
  <c r="OI62" i="2" s="1"/>
  <c r="OI98" i="2"/>
  <c r="OM98" i="2"/>
  <c r="OM97" i="2"/>
  <c r="OM62" i="2" s="1"/>
  <c r="OQ98" i="2"/>
  <c r="OQ97" i="2"/>
  <c r="OQ62" i="2" s="1"/>
  <c r="OU97" i="2"/>
  <c r="OU62" i="2" s="1"/>
  <c r="OU98" i="2"/>
  <c r="OY98" i="2"/>
  <c r="OY97" i="2"/>
  <c r="OY62" i="2" s="1"/>
  <c r="PC98" i="2"/>
  <c r="PC97" i="2"/>
  <c r="PC62" i="2" s="1"/>
  <c r="PG97" i="2"/>
  <c r="PG62" i="2" s="1"/>
  <c r="PG98" i="2"/>
  <c r="PK98" i="2"/>
  <c r="PK97" i="2"/>
  <c r="PK62" i="2" s="1"/>
  <c r="OZ98" i="2"/>
  <c r="OZ97" i="2"/>
  <c r="OZ62" i="2" s="1"/>
  <c r="OF98" i="2"/>
  <c r="OF97" i="2"/>
  <c r="OF62" i="2" s="1"/>
  <c r="OR98" i="2"/>
  <c r="OR97" i="2"/>
  <c r="OR62" i="2" s="1"/>
  <c r="PD98" i="2"/>
  <c r="PD97" i="2"/>
  <c r="PD62" i="2" s="1"/>
  <c r="ON98" i="2"/>
  <c r="ON97" i="2"/>
  <c r="ON62" i="2" s="1"/>
  <c r="PH98" i="2"/>
  <c r="PH97" i="2"/>
  <c r="PH62" i="2" s="1"/>
  <c r="OT98" i="2"/>
  <c r="OT97" i="2"/>
  <c r="OT62" i="2" s="1"/>
  <c r="OG99" i="2"/>
  <c r="OK99" i="2"/>
  <c r="OO99" i="2"/>
  <c r="OS99" i="2"/>
  <c r="OW99" i="2"/>
  <c r="PA99" i="2"/>
  <c r="PE99" i="2"/>
  <c r="PI99" i="2"/>
  <c r="OD118" i="2"/>
  <c r="OD117" i="2" s="1"/>
  <c r="OH118" i="2"/>
  <c r="OL118" i="2"/>
  <c r="OP118" i="2"/>
  <c r="OT118" i="2"/>
  <c r="OT117" i="2" s="1"/>
  <c r="OX118" i="2"/>
  <c r="OX117" i="2" s="1"/>
  <c r="PB118" i="2"/>
  <c r="PB117" i="2" s="1"/>
  <c r="PF118" i="2"/>
  <c r="PF117" i="2" s="1"/>
  <c r="PJ118" i="2"/>
  <c r="PJ117" i="2" s="1"/>
  <c r="OH117" i="2"/>
  <c r="OL117" i="2"/>
  <c r="OP117" i="2"/>
  <c r="PR117" i="2"/>
  <c r="PR66" i="2" s="1"/>
  <c r="OE118" i="2"/>
  <c r="OE117" i="2" s="1"/>
  <c r="OI118" i="2"/>
  <c r="OM118" i="2"/>
  <c r="OQ118" i="2"/>
  <c r="OQ117" i="2" s="1"/>
  <c r="OU118" i="2"/>
  <c r="OU117" i="2" s="1"/>
  <c r="OY118" i="2"/>
  <c r="OY117" i="2" s="1"/>
  <c r="PC118" i="2"/>
  <c r="PC117" i="2" s="1"/>
  <c r="PG118" i="2"/>
  <c r="PG117" i="2" s="1"/>
  <c r="PK118" i="2"/>
  <c r="PK117" i="2" s="1"/>
  <c r="OI117" i="2"/>
  <c r="OM117" i="2"/>
  <c r="OF118" i="2"/>
  <c r="OF117" i="2" s="1"/>
  <c r="OJ118" i="2"/>
  <c r="OJ117" i="2" s="1"/>
  <c r="ON118" i="2"/>
  <c r="ON117" i="2" s="1"/>
  <c r="OR118" i="2"/>
  <c r="OR117" i="2" s="1"/>
  <c r="OV118" i="2"/>
  <c r="OV117" i="2" s="1"/>
  <c r="OZ118" i="2"/>
  <c r="OZ117" i="2" s="1"/>
  <c r="PD118" i="2"/>
  <c r="PD117" i="2" s="1"/>
  <c r="PH118" i="2"/>
  <c r="PH117" i="2" s="1"/>
  <c r="PL118" i="2"/>
  <c r="PL117" i="2" s="1"/>
  <c r="PP117" i="2"/>
  <c r="PP66" i="2" s="1"/>
  <c r="OC117" i="2"/>
  <c r="OC66" i="2" s="1"/>
  <c r="OG117" i="2"/>
  <c r="OK117" i="2"/>
  <c r="OO117" i="2"/>
  <c r="OS117" i="2"/>
  <c r="OW117" i="2"/>
  <c r="PA117" i="2"/>
  <c r="PE117" i="2"/>
  <c r="PI117" i="2"/>
  <c r="PU117" i="2"/>
  <c r="PU66" i="2" s="1"/>
  <c r="PZ97" i="2"/>
  <c r="QB97" i="2"/>
  <c r="PV97" i="2"/>
  <c r="PV62" i="2" s="1"/>
  <c r="PY98" i="2"/>
  <c r="QB117" i="2"/>
  <c r="QB98" i="2"/>
  <c r="QA98" i="2"/>
  <c r="PX117" i="2"/>
  <c r="PW117" i="2"/>
  <c r="PZ117" i="2"/>
  <c r="QG98" i="2"/>
  <c r="PZ98" i="2"/>
  <c r="PY117" i="2"/>
  <c r="PX97" i="2"/>
  <c r="PX62" i="2" s="1"/>
  <c r="PY97" i="2"/>
  <c r="PV117" i="2"/>
  <c r="PV66" i="2" s="1"/>
  <c r="PV98" i="2"/>
  <c r="PT97" i="2"/>
  <c r="PT62" i="2" s="1"/>
  <c r="PT117" i="2"/>
  <c r="PT66" i="2" s="1"/>
  <c r="PS97" i="2"/>
  <c r="PS62" i="2" s="1"/>
  <c r="PQ117" i="2"/>
  <c r="PQ66" i="2" s="1"/>
  <c r="PS118" i="2"/>
  <c r="PS117" i="2" s="1"/>
  <c r="PS66" i="2" s="1"/>
  <c r="PR99" i="2"/>
  <c r="PR98" i="2" s="1"/>
  <c r="PX98" i="2"/>
  <c r="PU97" i="2"/>
  <c r="PU62" i="2" s="1"/>
  <c r="PW98" i="2"/>
  <c r="PT98" i="2"/>
  <c r="PS98" i="2"/>
  <c r="PU98" i="2"/>
  <c r="PQ97" i="2"/>
  <c r="PQ62" i="2" s="1"/>
  <c r="PN97" i="2"/>
  <c r="PN62" i="2" s="1"/>
  <c r="PM98" i="2"/>
  <c r="PP97" i="2"/>
  <c r="PP62" i="2" s="1"/>
  <c r="PM97" i="2"/>
  <c r="PM62" i="2" s="1"/>
  <c r="PN98" i="2"/>
  <c r="PP98" i="2"/>
  <c r="OB57" i="2"/>
  <c r="OA57" i="2"/>
  <c r="NZ57" i="2"/>
  <c r="NY57" i="2"/>
  <c r="NX57" i="2"/>
  <c r="NW57" i="2"/>
  <c r="NV57" i="2"/>
  <c r="NU57" i="2"/>
  <c r="NT57" i="2"/>
  <c r="NS57" i="2"/>
  <c r="NR57" i="2"/>
  <c r="NR85" i="2" s="1"/>
  <c r="NR77" i="2" s="1"/>
  <c r="NQ57" i="2"/>
  <c r="NP57" i="2"/>
  <c r="NO57" i="2"/>
  <c r="NN57" i="2"/>
  <c r="NM57" i="2"/>
  <c r="NL57" i="2"/>
  <c r="NK57" i="2"/>
  <c r="NJ57" i="2"/>
  <c r="NI57" i="2"/>
  <c r="NH57" i="2"/>
  <c r="NG57" i="2"/>
  <c r="NF57" i="2"/>
  <c r="NE57" i="2"/>
  <c r="ND57" i="2"/>
  <c r="NC57" i="2"/>
  <c r="NB57" i="2"/>
  <c r="NA57" i="2"/>
  <c r="MZ57" i="2"/>
  <c r="MY57" i="2"/>
  <c r="MX57" i="2"/>
  <c r="MW57" i="2"/>
  <c r="MV57" i="2"/>
  <c r="MU57" i="2"/>
  <c r="MT57" i="2"/>
  <c r="MS57" i="2"/>
  <c r="MR57" i="2"/>
  <c r="MQ57" i="2"/>
  <c r="MP57" i="2"/>
  <c r="MO57" i="2"/>
  <c r="MN57" i="2"/>
  <c r="MM57" i="2"/>
  <c r="ML57" i="2"/>
  <c r="MK57" i="2"/>
  <c r="MJ57" i="2"/>
  <c r="MI57" i="2"/>
  <c r="MH57" i="2"/>
  <c r="MG57" i="2"/>
  <c r="MF57" i="2"/>
  <c r="ME57" i="2"/>
  <c r="MD57" i="2"/>
  <c r="MC57" i="2"/>
  <c r="MB57" i="2"/>
  <c r="MA57" i="2"/>
  <c r="LZ57" i="2"/>
  <c r="LY57" i="2"/>
  <c r="LX57" i="2"/>
  <c r="LW57" i="2"/>
  <c r="LV57" i="2"/>
  <c r="LU57" i="2"/>
  <c r="LT57" i="2"/>
  <c r="LS57" i="2"/>
  <c r="LR57" i="2"/>
  <c r="LQ57" i="2"/>
  <c r="LP57" i="2"/>
  <c r="LO57" i="2"/>
  <c r="LN57" i="2"/>
  <c r="LM57" i="2"/>
  <c r="LL57" i="2"/>
  <c r="LK57" i="2"/>
  <c r="LJ57" i="2"/>
  <c r="LI57" i="2"/>
  <c r="LH57" i="2"/>
  <c r="LG57" i="2"/>
  <c r="LF57" i="2"/>
  <c r="LE57" i="2"/>
  <c r="LD57" i="2"/>
  <c r="LC57" i="2"/>
  <c r="LB57" i="2"/>
  <c r="LA57" i="2"/>
  <c r="KZ57" i="2"/>
  <c r="KY57" i="2"/>
  <c r="KX57" i="2"/>
  <c r="KW57" i="2"/>
  <c r="KV57" i="2"/>
  <c r="KU57" i="2"/>
  <c r="KT57" i="2"/>
  <c r="KS57" i="2"/>
  <c r="KR57" i="2"/>
  <c r="KQ57" i="2"/>
  <c r="KP57" i="2"/>
  <c r="KO57" i="2"/>
  <c r="KN57" i="2"/>
  <c r="KM57" i="2"/>
  <c r="KL57" i="2"/>
  <c r="KK57" i="2"/>
  <c r="KJ57" i="2"/>
  <c r="KI57" i="2"/>
  <c r="KH57" i="2"/>
  <c r="KG57" i="2"/>
  <c r="KF57" i="2"/>
  <c r="KE57" i="2"/>
  <c r="KD57" i="2"/>
  <c r="KC57" i="2"/>
  <c r="KB57" i="2"/>
  <c r="KA57" i="2"/>
  <c r="JZ57" i="2"/>
  <c r="JY57" i="2"/>
  <c r="JX57" i="2"/>
  <c r="JW57" i="2"/>
  <c r="JV57" i="2"/>
  <c r="JU57" i="2"/>
  <c r="JT57" i="2"/>
  <c r="JS57" i="2"/>
  <c r="JR57" i="2"/>
  <c r="JQ57" i="2"/>
  <c r="JP57" i="2"/>
  <c r="JO57" i="2"/>
  <c r="JN57" i="2"/>
  <c r="JM57" i="2"/>
  <c r="JL57" i="2"/>
  <c r="JK57" i="2"/>
  <c r="JJ57" i="2"/>
  <c r="JI57" i="2"/>
  <c r="JH57" i="2"/>
  <c r="JG57" i="2"/>
  <c r="JF57" i="2"/>
  <c r="JE57" i="2"/>
  <c r="JD57" i="2"/>
  <c r="JC57" i="2"/>
  <c r="JB57" i="2"/>
  <c r="JA57" i="2"/>
  <c r="IZ57" i="2"/>
  <c r="IY57" i="2"/>
  <c r="IX57" i="2"/>
  <c r="IW57" i="2"/>
  <c r="IV57" i="2"/>
  <c r="IU57" i="2"/>
  <c r="IT57" i="2"/>
  <c r="IS57" i="2"/>
  <c r="PO97" i="2" l="1"/>
  <c r="PO62" i="2" s="1"/>
  <c r="OC98" i="2"/>
  <c r="QB66" i="2"/>
  <c r="QB62" i="2"/>
  <c r="QE66" i="2"/>
  <c r="QF66" i="2" s="1"/>
  <c r="QG66" i="2" s="1"/>
  <c r="QE62" i="2"/>
  <c r="QF62" i="2" s="1"/>
  <c r="QG62" i="2" s="1"/>
  <c r="PY62" i="2"/>
  <c r="PZ62" i="2" s="1"/>
  <c r="NS118" i="2"/>
  <c r="NS117" i="2" s="1"/>
  <c r="NS99" i="2"/>
  <c r="NW118" i="2"/>
  <c r="NW117" i="2" s="1"/>
  <c r="NW66" i="2" s="1"/>
  <c r="NW99" i="2"/>
  <c r="OA118" i="2"/>
  <c r="OA117" i="2" s="1"/>
  <c r="OA66" i="2" s="1"/>
  <c r="OA99" i="2"/>
  <c r="PI98" i="2"/>
  <c r="PI97" i="2"/>
  <c r="PI62" i="2" s="1"/>
  <c r="PJ62" i="2" s="1"/>
  <c r="OS98" i="2"/>
  <c r="OS97" i="2"/>
  <c r="OS62" i="2" s="1"/>
  <c r="NX118" i="2"/>
  <c r="NX117" i="2" s="1"/>
  <c r="NX66" i="2" s="1"/>
  <c r="NX99" i="2"/>
  <c r="OB118" i="2"/>
  <c r="OB117" i="2" s="1"/>
  <c r="OB66" i="2" s="1"/>
  <c r="OB99" i="2"/>
  <c r="PE98" i="2"/>
  <c r="PE97" i="2"/>
  <c r="PE62" i="2" s="1"/>
  <c r="OO98" i="2"/>
  <c r="OO97" i="2"/>
  <c r="OO62" i="2" s="1"/>
  <c r="NU118" i="2"/>
  <c r="NU117" i="2" s="1"/>
  <c r="NU66" i="2" s="1"/>
  <c r="NU99" i="2"/>
  <c r="NY118" i="2"/>
  <c r="NY117" i="2" s="1"/>
  <c r="NY66" i="2" s="1"/>
  <c r="NY99" i="2"/>
  <c r="PA98" i="2"/>
  <c r="PA97" i="2"/>
  <c r="PA62" i="2" s="1"/>
  <c r="OK98" i="2"/>
  <c r="OK97" i="2"/>
  <c r="OK62" i="2" s="1"/>
  <c r="NV118" i="2"/>
  <c r="NV117" i="2" s="1"/>
  <c r="NV66" i="2" s="1"/>
  <c r="NV99" i="2"/>
  <c r="NZ118" i="2"/>
  <c r="NZ117" i="2" s="1"/>
  <c r="NZ66" i="2" s="1"/>
  <c r="NZ99" i="2"/>
  <c r="OW98" i="2"/>
  <c r="OW97" i="2"/>
  <c r="OW62" i="2" s="1"/>
  <c r="OG98" i="2"/>
  <c r="OG97" i="2"/>
  <c r="OG62" i="2" s="1"/>
  <c r="PR97" i="2"/>
  <c r="PR62" i="2" s="1"/>
  <c r="SB9" i="2" l="1"/>
  <c r="SC9" i="2" s="1"/>
  <c r="SD9" i="2" s="1"/>
  <c r="SE9" i="2" s="1"/>
  <c r="SF9" i="2" s="1"/>
  <c r="SG9" i="2" s="1"/>
  <c r="SH9" i="2" s="1"/>
  <c r="SI9" i="2" s="1"/>
  <c r="SJ9" i="2" s="1"/>
  <c r="SK9" i="2" s="1"/>
  <c r="SL9" i="2" s="1"/>
  <c r="SM9" i="2" s="1"/>
  <c r="SN9" i="2" s="1"/>
  <c r="SO9" i="2" s="1"/>
  <c r="SP9" i="2" s="1"/>
  <c r="SQ9" i="2" s="1"/>
  <c r="SR9" i="2" s="1"/>
  <c r="SS9" i="2" s="1"/>
  <c r="ST9" i="2" s="1"/>
  <c r="SU9" i="2" s="1"/>
  <c r="SV9" i="2" s="1"/>
  <c r="SW9" i="2" s="1"/>
  <c r="SX9" i="2" s="1"/>
  <c r="SY9" i="2" s="1"/>
  <c r="SZ9" i="2" s="1"/>
  <c r="TA9" i="2" s="1"/>
  <c r="TB9" i="2" s="1"/>
  <c r="TC9" i="2" s="1"/>
  <c r="TD9" i="2" s="1"/>
  <c r="TE9" i="2" s="1"/>
  <c r="QC62" i="2"/>
  <c r="QD62" i="2" s="1"/>
  <c r="QC66" i="2"/>
  <c r="QD66" i="2" s="1"/>
  <c r="NS98" i="2"/>
  <c r="NS97" i="2"/>
  <c r="NY98" i="2"/>
  <c r="NY97" i="2"/>
  <c r="OB98" i="2"/>
  <c r="OB97" i="2"/>
  <c r="OA98" i="2"/>
  <c r="OA97" i="2"/>
  <c r="NV98" i="2"/>
  <c r="NV97" i="2"/>
  <c r="NU98" i="2"/>
  <c r="NU97" i="2"/>
  <c r="NX98" i="2"/>
  <c r="NX97" i="2"/>
  <c r="NW97" i="2"/>
  <c r="NW98" i="2"/>
  <c r="NZ98" i="2"/>
  <c r="NZ97" i="2"/>
  <c r="NT125" i="2"/>
  <c r="NT122" i="2"/>
  <c r="NT121" i="2"/>
  <c r="NT120" i="2"/>
  <c r="NT119" i="2"/>
  <c r="NT114" i="2"/>
  <c r="NT110" i="2"/>
  <c r="NT107" i="2"/>
  <c r="NT108" i="2"/>
  <c r="NT106" i="2"/>
  <c r="TF9" i="2" l="1"/>
  <c r="TG9" i="2" s="1"/>
  <c r="TH9" i="2" s="1"/>
  <c r="TI9" i="2" s="1"/>
  <c r="TJ9" i="2" s="1"/>
  <c r="TK9" i="2" s="1"/>
  <c r="TL9" i="2" s="1"/>
  <c r="TM9" i="2" s="1"/>
  <c r="TN9" i="2" s="1"/>
  <c r="TO9" i="2" s="1"/>
  <c r="TP9" i="2" s="1"/>
  <c r="TQ9" i="2" s="1"/>
  <c r="TR9" i="2" s="1"/>
  <c r="TS9" i="2" s="1"/>
  <c r="TT9" i="2" s="1"/>
  <c r="TU9" i="2" s="1"/>
  <c r="TV9" i="2" s="1"/>
  <c r="TW9" i="2" s="1"/>
  <c r="TX9" i="2" s="1"/>
  <c r="TY9" i="2" s="1"/>
  <c r="TZ9" i="2" s="1"/>
  <c r="UA9" i="2" s="1"/>
  <c r="UB9" i="2" s="1"/>
  <c r="UC9" i="2" s="1"/>
  <c r="UD9" i="2" s="1"/>
  <c r="UE9" i="2" s="1"/>
  <c r="UF9" i="2" s="1"/>
  <c r="UG9" i="2" s="1"/>
  <c r="UH9" i="2" s="1"/>
  <c r="UI9" i="2" s="1"/>
  <c r="UJ9" i="2" s="1"/>
  <c r="UK9" i="2" s="1"/>
  <c r="UL9" i="2" s="1"/>
  <c r="UM9" i="2" s="1"/>
  <c r="UN9" i="2" s="1"/>
  <c r="UO9" i="2" s="1"/>
  <c r="UP9" i="2" s="1"/>
  <c r="UQ9" i="2" s="1"/>
  <c r="UR9" i="2" s="1"/>
  <c r="US9" i="2" s="1"/>
  <c r="UT9" i="2" s="1"/>
  <c r="UU9" i="2" s="1"/>
  <c r="UV9" i="2" s="1"/>
  <c r="UW9" i="2" s="1"/>
  <c r="UX9" i="2" s="1"/>
  <c r="UY9" i="2" s="1"/>
  <c r="UZ9" i="2" s="1"/>
  <c r="VA9" i="2" s="1"/>
  <c r="VB9" i="2" s="1"/>
  <c r="VC9" i="2" s="1"/>
  <c r="VD9" i="2" s="1"/>
  <c r="NT105" i="2"/>
  <c r="VE9" i="2" l="1"/>
  <c r="VF9" i="2" s="1"/>
  <c r="VG9" i="2" s="1"/>
  <c r="VH9" i="2" s="1"/>
  <c r="VI9" i="2" s="1"/>
  <c r="VM9" i="2" s="1"/>
  <c r="VL9" i="2" s="1"/>
  <c r="NT104" i="2"/>
  <c r="NT103" i="2"/>
  <c r="NT102" i="2"/>
  <c r="NT101" i="2"/>
  <c r="NT100" i="2"/>
  <c r="NR101" i="2"/>
  <c r="NR102" i="2" s="1"/>
  <c r="NR103" i="2" s="1"/>
  <c r="NR104" i="2" s="1"/>
  <c r="NR105" i="2" s="1"/>
  <c r="NR106" i="2" s="1"/>
  <c r="NR107" i="2" s="1"/>
  <c r="NR108" i="2" s="1"/>
  <c r="NR109" i="2" s="1"/>
  <c r="NR110" i="2" s="1"/>
  <c r="NR111" i="2" s="1"/>
  <c r="NR112" i="2" s="1"/>
  <c r="NR113" i="2" s="1"/>
  <c r="NR114" i="2" s="1"/>
  <c r="NR66" i="2"/>
  <c r="NS66" i="2" s="1"/>
  <c r="NP66" i="2"/>
  <c r="NQ66" i="2" s="1"/>
  <c r="NO66" i="2"/>
  <c r="NM66" i="2"/>
  <c r="NN66" i="2" s="1"/>
  <c r="NC66" i="2"/>
  <c r="ND66" i="2" s="1"/>
  <c r="NE66" i="2" s="1"/>
  <c r="NF66" i="2" s="1"/>
  <c r="NG66" i="2" s="1"/>
  <c r="NH66" i="2" s="1"/>
  <c r="NI66" i="2" s="1"/>
  <c r="NJ66" i="2" s="1"/>
  <c r="NK66" i="2" s="1"/>
  <c r="NL66" i="2" s="1"/>
  <c r="MS66" i="2"/>
  <c r="MT66" i="2" s="1"/>
  <c r="MU66" i="2" s="1"/>
  <c r="MV66" i="2" s="1"/>
  <c r="MW66" i="2" s="1"/>
  <c r="MX66" i="2" s="1"/>
  <c r="MI66" i="2"/>
  <c r="MJ66" i="2" s="1"/>
  <c r="MK66" i="2" s="1"/>
  <c r="ML66" i="2" s="1"/>
  <c r="MM66" i="2" s="1"/>
  <c r="MN66" i="2" s="1"/>
  <c r="MO66" i="2" s="1"/>
  <c r="MP66" i="2" s="1"/>
  <c r="MQ66" i="2" s="1"/>
  <c r="MR66" i="2" s="1"/>
  <c r="MG66" i="2"/>
  <c r="MH66" i="2" s="1"/>
  <c r="MF66" i="2"/>
  <c r="MC66" i="2"/>
  <c r="MD66" i="2" s="1"/>
  <c r="ME66" i="2" s="1"/>
  <c r="MB66" i="2"/>
  <c r="MA66" i="2"/>
  <c r="LZ66" i="2"/>
  <c r="LY66" i="2"/>
  <c r="LX66" i="2"/>
  <c r="LW66" i="2"/>
  <c r="LV66" i="2"/>
  <c r="LU66" i="2"/>
  <c r="LO66" i="2"/>
  <c r="LP66" i="2" s="1"/>
  <c r="LM66" i="2"/>
  <c r="LN66" i="2" s="1"/>
  <c r="LK66" i="2"/>
  <c r="LL66" i="2" s="1"/>
  <c r="LI66" i="2"/>
  <c r="LJ66" i="2" s="1"/>
  <c r="LG66" i="2"/>
  <c r="LH66" i="2" s="1"/>
  <c r="LE66" i="2"/>
  <c r="LF66" i="2" s="1"/>
  <c r="LC66" i="2"/>
  <c r="LD66" i="2" s="1"/>
  <c r="LA66" i="2"/>
  <c r="LB66" i="2" s="1"/>
  <c r="KY66" i="2"/>
  <c r="KZ66" i="2" s="1"/>
  <c r="KQ66" i="2"/>
  <c r="KR66" i="2" s="1"/>
  <c r="KO66" i="2"/>
  <c r="KN66" i="2"/>
  <c r="KM66" i="2"/>
  <c r="KK66" i="2"/>
  <c r="KL66" i="2" s="1"/>
  <c r="KI66" i="2"/>
  <c r="KJ66" i="2" s="1"/>
  <c r="KG66" i="2"/>
  <c r="KH66" i="2" s="1"/>
  <c r="KE66" i="2"/>
  <c r="KF66" i="2" s="1"/>
  <c r="KC66" i="2"/>
  <c r="KD66" i="2" s="1"/>
  <c r="KA66" i="2"/>
  <c r="KB66" i="2" s="1"/>
  <c r="JY66" i="2"/>
  <c r="JZ66" i="2" s="1"/>
  <c r="JW66" i="2"/>
  <c r="JX66" i="2" s="1"/>
  <c r="JV66" i="2"/>
  <c r="JU66" i="2"/>
  <c r="JT66" i="2"/>
  <c r="JS66" i="2"/>
  <c r="JR66" i="2"/>
  <c r="JQ66" i="2"/>
  <c r="JP66" i="2"/>
  <c r="JO66" i="2"/>
  <c r="JN66" i="2"/>
  <c r="JM66" i="2"/>
  <c r="JL66" i="2"/>
  <c r="JK66" i="2"/>
  <c r="JJ66" i="2"/>
  <c r="JI66" i="2"/>
  <c r="JH66" i="2"/>
  <c r="JE66" i="2"/>
  <c r="JF66" i="2" s="1"/>
  <c r="JG66" i="2" s="1"/>
  <c r="NR64" i="2"/>
  <c r="NS64" i="2" s="1"/>
  <c r="NP64" i="2"/>
  <c r="NQ64" i="2" s="1"/>
  <c r="NO64" i="2"/>
  <c r="NC64" i="2"/>
  <c r="ND64" i="2" s="1"/>
  <c r="NE64" i="2" s="1"/>
  <c r="NF64" i="2" s="1"/>
  <c r="NG64" i="2" s="1"/>
  <c r="NH64" i="2" s="1"/>
  <c r="NI64" i="2" s="1"/>
  <c r="NJ64" i="2" s="1"/>
  <c r="NK64" i="2" s="1"/>
  <c r="NL64" i="2" s="1"/>
  <c r="MS64" i="2"/>
  <c r="MT64" i="2" s="1"/>
  <c r="MU64" i="2" s="1"/>
  <c r="MV64" i="2" s="1"/>
  <c r="MW64" i="2" s="1"/>
  <c r="MX64" i="2" s="1"/>
  <c r="MI64" i="2"/>
  <c r="MJ64" i="2" s="1"/>
  <c r="MK64" i="2" s="1"/>
  <c r="ML64" i="2" s="1"/>
  <c r="MM64" i="2" s="1"/>
  <c r="MN64" i="2" s="1"/>
  <c r="MO64" i="2" s="1"/>
  <c r="MP64" i="2" s="1"/>
  <c r="MQ64" i="2" s="1"/>
  <c r="MR64" i="2" s="1"/>
  <c r="MG64" i="2"/>
  <c r="MH64" i="2" s="1"/>
  <c r="MF64" i="2"/>
  <c r="LS64" i="2"/>
  <c r="LT64" i="2" s="1"/>
  <c r="LR64" i="2"/>
  <c r="LQ64" i="2"/>
  <c r="KS64" i="2"/>
  <c r="KT64" i="2" s="1"/>
  <c r="KU64" i="2" s="1"/>
  <c r="KV64" i="2" s="1"/>
  <c r="KW64" i="2" s="1"/>
  <c r="KX64" i="2" s="1"/>
  <c r="KP64" i="2"/>
  <c r="JD64" i="2"/>
  <c r="JC64" i="2"/>
  <c r="JB64" i="2"/>
  <c r="JA64" i="2"/>
  <c r="IZ64" i="2"/>
  <c r="IY64" i="2"/>
  <c r="IX64" i="2"/>
  <c r="IW64" i="2"/>
  <c r="IV64" i="2"/>
  <c r="IU64" i="2"/>
  <c r="IT64" i="2"/>
  <c r="NT60" i="2"/>
  <c r="NT59" i="2"/>
  <c r="NT61" i="2"/>
  <c r="NT118" i="2"/>
  <c r="NT117" i="2" s="1"/>
  <c r="NT66" i="2" s="1"/>
  <c r="NS61" i="2"/>
  <c r="NR61" i="2"/>
  <c r="NR60" i="2"/>
  <c r="NR59" i="2"/>
  <c r="VJ9" i="2" l="1"/>
  <c r="NT99" i="2"/>
  <c r="NT98" i="2" s="1"/>
  <c r="NQ95" i="2"/>
  <c r="NQ94" i="2"/>
  <c r="NQ93" i="2"/>
  <c r="NQ92" i="2"/>
  <c r="NQ91" i="2"/>
  <c r="NQ90" i="2"/>
  <c r="NQ89" i="2"/>
  <c r="NQ88" i="2"/>
  <c r="NQ85" i="2"/>
  <c r="NQ84" i="2"/>
  <c r="NQ83" i="2"/>
  <c r="NQ82" i="2"/>
  <c r="NQ81" i="2"/>
  <c r="NQ78" i="2"/>
  <c r="NQ61" i="2"/>
  <c r="NQ60" i="2"/>
  <c r="NQ59" i="2"/>
  <c r="NP61" i="2"/>
  <c r="NO61" i="2"/>
  <c r="NM85" i="2"/>
  <c r="NN61" i="2"/>
  <c r="NM95" i="2"/>
  <c r="NM94" i="2"/>
  <c r="NM93" i="2"/>
  <c r="NM92" i="2"/>
  <c r="NM91" i="2"/>
  <c r="NM90" i="2"/>
  <c r="NM89" i="2"/>
  <c r="NM88" i="2"/>
  <c r="NM84" i="2"/>
  <c r="NM83" i="2"/>
  <c r="NM82" i="2"/>
  <c r="NM81" i="2"/>
  <c r="NM78" i="2"/>
  <c r="NM61" i="2"/>
  <c r="NM59" i="2"/>
  <c r="NL95" i="2"/>
  <c r="NK95" i="2"/>
  <c r="NJ95" i="2"/>
  <c r="NI95" i="2"/>
  <c r="NH95" i="2"/>
  <c r="NL94" i="2"/>
  <c r="NK94" i="2"/>
  <c r="NJ94" i="2"/>
  <c r="NI94" i="2"/>
  <c r="NH94" i="2"/>
  <c r="NL93" i="2"/>
  <c r="NK93" i="2"/>
  <c r="NJ93" i="2"/>
  <c r="NI93" i="2"/>
  <c r="NH93" i="2"/>
  <c r="NL92" i="2"/>
  <c r="NK92" i="2"/>
  <c r="NJ92" i="2"/>
  <c r="NI92" i="2"/>
  <c r="NH92" i="2"/>
  <c r="NL91" i="2"/>
  <c r="NK91" i="2"/>
  <c r="NJ91" i="2"/>
  <c r="NI91" i="2"/>
  <c r="NH91" i="2"/>
  <c r="NL90" i="2"/>
  <c r="NK90" i="2"/>
  <c r="NJ90" i="2"/>
  <c r="NI90" i="2"/>
  <c r="NH90" i="2"/>
  <c r="NL89" i="2"/>
  <c r="NK89" i="2"/>
  <c r="NJ89" i="2"/>
  <c r="NI89" i="2"/>
  <c r="NH89" i="2"/>
  <c r="NL88" i="2"/>
  <c r="NK88" i="2"/>
  <c r="NJ88" i="2"/>
  <c r="NI88" i="2"/>
  <c r="NH88" i="2"/>
  <c r="NL84" i="2"/>
  <c r="NK84" i="2"/>
  <c r="NJ84" i="2"/>
  <c r="NI84" i="2"/>
  <c r="NH84" i="2"/>
  <c r="NL83" i="2"/>
  <c r="NK83" i="2"/>
  <c r="NJ83" i="2"/>
  <c r="NI83" i="2"/>
  <c r="NH83" i="2"/>
  <c r="NL82" i="2"/>
  <c r="NK82" i="2"/>
  <c r="NJ82" i="2"/>
  <c r="NI82" i="2"/>
  <c r="NH82" i="2"/>
  <c r="NL81" i="2"/>
  <c r="NK81" i="2"/>
  <c r="NJ81" i="2"/>
  <c r="NI81" i="2"/>
  <c r="NH81" i="2"/>
  <c r="NL78" i="2"/>
  <c r="NK78" i="2"/>
  <c r="NJ78" i="2"/>
  <c r="NI78" i="2"/>
  <c r="NH78" i="2"/>
  <c r="NL61" i="2"/>
  <c r="NK61" i="2"/>
  <c r="NJ61" i="2"/>
  <c r="NI61" i="2"/>
  <c r="NH61" i="2"/>
  <c r="NG61" i="2"/>
  <c r="NF61" i="2"/>
  <c r="NE61" i="2"/>
  <c r="ND61" i="2"/>
  <c r="NC61" i="2"/>
  <c r="NI60" i="2"/>
  <c r="NK60" i="2" s="1"/>
  <c r="NM60" i="2" s="1"/>
  <c r="NH60" i="2"/>
  <c r="NJ60" i="2" s="1"/>
  <c r="NL60" i="2" s="1"/>
  <c r="NL59" i="2"/>
  <c r="NK59" i="2"/>
  <c r="NJ59" i="2"/>
  <c r="NI59" i="2"/>
  <c r="NH59" i="2"/>
  <c r="NG59" i="2"/>
  <c r="NF59" i="2"/>
  <c r="NE59" i="2"/>
  <c r="ND59" i="2"/>
  <c r="NC59" i="2"/>
  <c r="NL85" i="2"/>
  <c r="NK85" i="2"/>
  <c r="NJ85" i="2"/>
  <c r="NI85" i="2"/>
  <c r="NH85" i="2"/>
  <c r="NB95" i="2"/>
  <c r="NA95" i="2"/>
  <c r="MZ95" i="2"/>
  <c r="MY95" i="2"/>
  <c r="MX95" i="2"/>
  <c r="NB94" i="2"/>
  <c r="NA94" i="2"/>
  <c r="MZ94" i="2"/>
  <c r="MY94" i="2"/>
  <c r="MX94" i="2"/>
  <c r="NB93" i="2"/>
  <c r="NA93" i="2"/>
  <c r="MZ93" i="2"/>
  <c r="MY93" i="2"/>
  <c r="MX93" i="2"/>
  <c r="NB92" i="2"/>
  <c r="NA92" i="2"/>
  <c r="MZ92" i="2"/>
  <c r="MY92" i="2"/>
  <c r="MX92" i="2"/>
  <c r="NB91" i="2"/>
  <c r="NA91" i="2"/>
  <c r="MZ91" i="2"/>
  <c r="MY91" i="2"/>
  <c r="MX91" i="2"/>
  <c r="NB90" i="2"/>
  <c r="NA90" i="2"/>
  <c r="MZ90" i="2"/>
  <c r="MY90" i="2"/>
  <c r="MX90" i="2"/>
  <c r="NB89" i="2"/>
  <c r="NA89" i="2"/>
  <c r="MZ89" i="2"/>
  <c r="MY89" i="2"/>
  <c r="MX89" i="2"/>
  <c r="NB88" i="2"/>
  <c r="NA88" i="2"/>
  <c r="MZ88" i="2"/>
  <c r="MY88" i="2"/>
  <c r="MX88" i="2"/>
  <c r="NB84" i="2"/>
  <c r="NA84" i="2"/>
  <c r="MZ84" i="2"/>
  <c r="MY84" i="2"/>
  <c r="MX84" i="2"/>
  <c r="NB83" i="2"/>
  <c r="NA83" i="2"/>
  <c r="MZ83" i="2"/>
  <c r="MY83" i="2"/>
  <c r="MX83" i="2"/>
  <c r="NB82" i="2"/>
  <c r="NA82" i="2"/>
  <c r="MZ82" i="2"/>
  <c r="MY82" i="2"/>
  <c r="MX82" i="2"/>
  <c r="NB81" i="2"/>
  <c r="NA81" i="2"/>
  <c r="MZ81" i="2"/>
  <c r="MY81" i="2"/>
  <c r="MX81" i="2"/>
  <c r="NB78" i="2"/>
  <c r="NA78" i="2"/>
  <c r="MZ78" i="2"/>
  <c r="MY78" i="2"/>
  <c r="MX78" i="2"/>
  <c r="NB61" i="2"/>
  <c r="NA61" i="2"/>
  <c r="MZ61" i="2"/>
  <c r="MY61" i="2"/>
  <c r="MX61" i="2"/>
  <c r="MW61" i="2"/>
  <c r="MV61" i="2"/>
  <c r="MU61" i="2"/>
  <c r="MT61" i="2"/>
  <c r="MS61" i="2"/>
  <c r="MY60" i="2"/>
  <c r="NA60" i="2" s="1"/>
  <c r="MX60" i="2"/>
  <c r="MZ60" i="2" s="1"/>
  <c r="NB60" i="2" s="1"/>
  <c r="NB59" i="2"/>
  <c r="NA59" i="2"/>
  <c r="MZ59" i="2"/>
  <c r="MY59" i="2"/>
  <c r="MX59" i="2"/>
  <c r="MW59" i="2"/>
  <c r="MV59" i="2"/>
  <c r="MU59" i="2"/>
  <c r="MT59" i="2"/>
  <c r="MS59" i="2"/>
  <c r="NB85" i="2"/>
  <c r="NA85" i="2"/>
  <c r="MZ85" i="2"/>
  <c r="MY85" i="2"/>
  <c r="MX85" i="2"/>
  <c r="MR95" i="2"/>
  <c r="MQ95" i="2"/>
  <c r="MP95" i="2"/>
  <c r="MO95" i="2"/>
  <c r="MR94" i="2"/>
  <c r="MQ94" i="2"/>
  <c r="MP94" i="2"/>
  <c r="MO94" i="2"/>
  <c r="MR93" i="2"/>
  <c r="MQ93" i="2"/>
  <c r="MP93" i="2"/>
  <c r="MO93" i="2"/>
  <c r="MR92" i="2"/>
  <c r="MQ92" i="2"/>
  <c r="MP92" i="2"/>
  <c r="MO92" i="2"/>
  <c r="MR91" i="2"/>
  <c r="MQ91" i="2"/>
  <c r="MP91" i="2"/>
  <c r="MO91" i="2"/>
  <c r="MR90" i="2"/>
  <c r="MQ90" i="2"/>
  <c r="MP90" i="2"/>
  <c r="MO90" i="2"/>
  <c r="MR89" i="2"/>
  <c r="MQ89" i="2"/>
  <c r="MP89" i="2"/>
  <c r="MO89" i="2"/>
  <c r="MR88" i="2"/>
  <c r="MQ88" i="2"/>
  <c r="MP88" i="2"/>
  <c r="MP87" i="2" s="1"/>
  <c r="MO88" i="2"/>
  <c r="MO87" i="2" s="1"/>
  <c r="MR87" i="2"/>
  <c r="MQ87" i="2"/>
  <c r="MR84" i="2"/>
  <c r="MQ84" i="2"/>
  <c r="MP84" i="2"/>
  <c r="MO84" i="2"/>
  <c r="MR83" i="2"/>
  <c r="MQ83" i="2"/>
  <c r="MP83" i="2"/>
  <c r="MO83" i="2"/>
  <c r="MR82" i="2"/>
  <c r="MQ82" i="2"/>
  <c r="MP82" i="2"/>
  <c r="MO82" i="2"/>
  <c r="MR81" i="2"/>
  <c r="MQ81" i="2"/>
  <c r="MP81" i="2"/>
  <c r="MO81" i="2"/>
  <c r="MR78" i="2"/>
  <c r="MQ78" i="2"/>
  <c r="MP78" i="2"/>
  <c r="MO78" i="2"/>
  <c r="MN95" i="2"/>
  <c r="MN94" i="2"/>
  <c r="MN93" i="2"/>
  <c r="MN92" i="2"/>
  <c r="MN91" i="2"/>
  <c r="MN90" i="2"/>
  <c r="MN89" i="2"/>
  <c r="MN88" i="2"/>
  <c r="MN84" i="2"/>
  <c r="MN83" i="2"/>
  <c r="MN82" i="2"/>
  <c r="MN81" i="2"/>
  <c r="MN78" i="2"/>
  <c r="MH95" i="2"/>
  <c r="MH94" i="2"/>
  <c r="MH93" i="2"/>
  <c r="MH92" i="2"/>
  <c r="MH91" i="2"/>
  <c r="MH90" i="2"/>
  <c r="MH89" i="2"/>
  <c r="MH88" i="2"/>
  <c r="MH84" i="2"/>
  <c r="MH83" i="2"/>
  <c r="MH82" i="2"/>
  <c r="MH81" i="2"/>
  <c r="MH78" i="2"/>
  <c r="MR85" i="2"/>
  <c r="MQ85" i="2"/>
  <c r="MP85" i="2"/>
  <c r="MO85" i="2"/>
  <c r="MN85" i="2"/>
  <c r="MR61" i="2"/>
  <c r="MR60" i="2"/>
  <c r="MR59" i="2"/>
  <c r="MQ61" i="2"/>
  <c r="MP61" i="2"/>
  <c r="MO61" i="2"/>
  <c r="MQ60" i="2"/>
  <c r="MP60" i="2"/>
  <c r="MO60" i="2"/>
  <c r="MQ59" i="2"/>
  <c r="MP59" i="2"/>
  <c r="MO59" i="2"/>
  <c r="MN61" i="2"/>
  <c r="MN60" i="2"/>
  <c r="MN59" i="2"/>
  <c r="MM61" i="2"/>
  <c r="ML61" i="2"/>
  <c r="MK61" i="2"/>
  <c r="MJ61" i="2"/>
  <c r="MM59" i="2"/>
  <c r="ML59" i="2"/>
  <c r="MK59" i="2"/>
  <c r="MJ59" i="2"/>
  <c r="MI61" i="2"/>
  <c r="MI59" i="2"/>
  <c r="MH85" i="2"/>
  <c r="MG61" i="2"/>
  <c r="MG59" i="2"/>
  <c r="MH61" i="2"/>
  <c r="MH60" i="2"/>
  <c r="MH59" i="2"/>
  <c r="MF61" i="2"/>
  <c r="MF59" i="2"/>
  <c r="ME61" i="2"/>
  <c r="ME60" i="2"/>
  <c r="ME59" i="2"/>
  <c r="ME95" i="2"/>
  <c r="ME94" i="2"/>
  <c r="ME93" i="2"/>
  <c r="ME92" i="2"/>
  <c r="ME91" i="2"/>
  <c r="ME90" i="2"/>
  <c r="ME89" i="2"/>
  <c r="ME88" i="2"/>
  <c r="ME85" i="2"/>
  <c r="ME84" i="2"/>
  <c r="ME83" i="2"/>
  <c r="ME82" i="2"/>
  <c r="ME81" i="2"/>
  <c r="ME78" i="2"/>
  <c r="VN9" i="2" l="1"/>
  <c r="VO9" i="2" s="1"/>
  <c r="VP9" i="2" s="1"/>
  <c r="VQ9" i="2" s="1"/>
  <c r="VR9" i="2" s="1"/>
  <c r="VV9" i="2" s="1"/>
  <c r="VK9" i="2"/>
  <c r="MQ77" i="2"/>
  <c r="NB87" i="2"/>
  <c r="NA87" i="2"/>
  <c r="NA77" i="2"/>
  <c r="NJ87" i="2"/>
  <c r="NL77" i="2"/>
  <c r="MO77" i="2"/>
  <c r="MX87" i="2"/>
  <c r="NT97" i="2"/>
  <c r="NT62" i="2" s="1"/>
  <c r="MP77" i="2"/>
  <c r="MN77" i="2"/>
  <c r="MH87" i="2"/>
  <c r="NI87" i="2"/>
  <c r="MN87" i="2"/>
  <c r="NK77" i="2"/>
  <c r="NQ77" i="2"/>
  <c r="MR77" i="2"/>
  <c r="MZ87" i="2"/>
  <c r="MY87" i="2"/>
  <c r="MY64" i="2" s="1"/>
  <c r="MZ64" i="2" s="1"/>
  <c r="NA64" i="2" s="1"/>
  <c r="NB64" i="2" s="1"/>
  <c r="NK87" i="2"/>
  <c r="MH77" i="2"/>
  <c r="NH87" i="2"/>
  <c r="NM87" i="2"/>
  <c r="NM64" i="2" s="1"/>
  <c r="NN64" i="2" s="1"/>
  <c r="NQ87" i="2"/>
  <c r="NM77" i="2"/>
  <c r="NL87" i="2"/>
  <c r="NI77" i="2"/>
  <c r="NJ77" i="2"/>
  <c r="NH77" i="2"/>
  <c r="MZ77" i="2"/>
  <c r="MY77" i="2"/>
  <c r="MY66" i="2" s="1"/>
  <c r="MZ66" i="2" s="1"/>
  <c r="NA66" i="2" s="1"/>
  <c r="MX77" i="2"/>
  <c r="NB77" i="2"/>
  <c r="ME77" i="2"/>
  <c r="ME87" i="2"/>
  <c r="MD95" i="2"/>
  <c r="MD94" i="2"/>
  <c r="MD93" i="2"/>
  <c r="MD92" i="2"/>
  <c r="MD91" i="2"/>
  <c r="MD90" i="2"/>
  <c r="MD89" i="2"/>
  <c r="MD88" i="2"/>
  <c r="MD84" i="2"/>
  <c r="MD83" i="2"/>
  <c r="MD82" i="2"/>
  <c r="MD81" i="2"/>
  <c r="MD78" i="2"/>
  <c r="MD61" i="2"/>
  <c r="MD59" i="2"/>
  <c r="MD85" i="2"/>
  <c r="MC95" i="2"/>
  <c r="MB95" i="2"/>
  <c r="MC94" i="2"/>
  <c r="MB94" i="2"/>
  <c r="MC93" i="2"/>
  <c r="MB93" i="2"/>
  <c r="MC92" i="2"/>
  <c r="MB92" i="2"/>
  <c r="MC91" i="2"/>
  <c r="MB91" i="2"/>
  <c r="MC90" i="2"/>
  <c r="MB90" i="2"/>
  <c r="MC89" i="2"/>
  <c r="MB89" i="2"/>
  <c r="MC88" i="2"/>
  <c r="MB88" i="2"/>
  <c r="MC84" i="2"/>
  <c r="MB84" i="2"/>
  <c r="MC83" i="2"/>
  <c r="MB83" i="2"/>
  <c r="MC82" i="2"/>
  <c r="MB82" i="2"/>
  <c r="MC81" i="2"/>
  <c r="MB81" i="2"/>
  <c r="MC78" i="2"/>
  <c r="MB78" i="2"/>
  <c r="MC61" i="2"/>
  <c r="MB61" i="2"/>
  <c r="MC59" i="2"/>
  <c r="MB59" i="2"/>
  <c r="MC85" i="2"/>
  <c r="MB85" i="2"/>
  <c r="MA89" i="2"/>
  <c r="LZ89" i="2"/>
  <c r="LY89" i="2"/>
  <c r="LX89" i="2"/>
  <c r="LW89" i="2"/>
  <c r="LV89" i="2"/>
  <c r="LU89" i="2"/>
  <c r="LT89" i="2"/>
  <c r="LS89" i="2"/>
  <c r="LR89" i="2"/>
  <c r="LQ89" i="2"/>
  <c r="LP89" i="2"/>
  <c r="LO89" i="2"/>
  <c r="LN89" i="2"/>
  <c r="LM89" i="2"/>
  <c r="LL89" i="2"/>
  <c r="LK89" i="2"/>
  <c r="LJ89" i="2"/>
  <c r="LI89" i="2"/>
  <c r="LH89" i="2"/>
  <c r="LG89" i="2"/>
  <c r="LF89" i="2"/>
  <c r="LE89" i="2"/>
  <c r="LD89" i="2"/>
  <c r="LC89" i="2"/>
  <c r="LB89" i="2"/>
  <c r="LA89" i="2"/>
  <c r="KZ89" i="2"/>
  <c r="KY89" i="2"/>
  <c r="KX89" i="2"/>
  <c r="KW89" i="2"/>
  <c r="KV89" i="2"/>
  <c r="KU89" i="2"/>
  <c r="KT89" i="2"/>
  <c r="KS89" i="2"/>
  <c r="KR89" i="2"/>
  <c r="KQ89" i="2"/>
  <c r="KP89" i="2"/>
  <c r="KO89" i="2"/>
  <c r="KN89" i="2"/>
  <c r="KM89" i="2"/>
  <c r="KL89" i="2"/>
  <c r="KK89" i="2"/>
  <c r="KJ89" i="2"/>
  <c r="KI89" i="2"/>
  <c r="KH89" i="2"/>
  <c r="KG89" i="2"/>
  <c r="KF89" i="2"/>
  <c r="KE89" i="2"/>
  <c r="KD89" i="2"/>
  <c r="KC89" i="2"/>
  <c r="KB89" i="2"/>
  <c r="KA89" i="2"/>
  <c r="JZ89" i="2"/>
  <c r="JY89" i="2"/>
  <c r="JX89" i="2"/>
  <c r="JW89" i="2"/>
  <c r="JV89" i="2"/>
  <c r="JU89" i="2"/>
  <c r="JT89" i="2"/>
  <c r="JS89" i="2"/>
  <c r="JR89" i="2"/>
  <c r="JQ89" i="2"/>
  <c r="JP89" i="2"/>
  <c r="JO89" i="2"/>
  <c r="JN89" i="2"/>
  <c r="JM89" i="2"/>
  <c r="JL89" i="2"/>
  <c r="JK89" i="2"/>
  <c r="JJ89" i="2"/>
  <c r="JI89" i="2"/>
  <c r="JH89" i="2"/>
  <c r="JG89" i="2"/>
  <c r="JF89" i="2"/>
  <c r="JE89" i="2"/>
  <c r="JD89" i="2"/>
  <c r="JC89" i="2"/>
  <c r="JB89" i="2"/>
  <c r="JA89" i="2"/>
  <c r="IZ89" i="2"/>
  <c r="IY89" i="2"/>
  <c r="IX89" i="2"/>
  <c r="IW89" i="2"/>
  <c r="IV89" i="2"/>
  <c r="IU89" i="2"/>
  <c r="IT89" i="2"/>
  <c r="IS89" i="2"/>
  <c r="MA95" i="2"/>
  <c r="MA94" i="2"/>
  <c r="MA93" i="2"/>
  <c r="MA92" i="2"/>
  <c r="MA91" i="2"/>
  <c r="MA90" i="2"/>
  <c r="MA88" i="2"/>
  <c r="MA84" i="2"/>
  <c r="MA83" i="2"/>
  <c r="MA82" i="2"/>
  <c r="MA81" i="2"/>
  <c r="MA78" i="2"/>
  <c r="MA61" i="2"/>
  <c r="MA59" i="2"/>
  <c r="MA85" i="2"/>
  <c r="LZ95" i="2"/>
  <c r="LZ94" i="2"/>
  <c r="LZ93" i="2"/>
  <c r="LZ92" i="2"/>
  <c r="LZ91" i="2"/>
  <c r="LZ90" i="2"/>
  <c r="LZ88" i="2"/>
  <c r="LZ84" i="2"/>
  <c r="LZ83" i="2"/>
  <c r="LZ82" i="2"/>
  <c r="LZ81" i="2"/>
  <c r="LZ78" i="2"/>
  <c r="LZ61" i="2"/>
  <c r="LZ59" i="2"/>
  <c r="LZ85" i="2"/>
  <c r="LY91" i="2"/>
  <c r="LX91" i="2"/>
  <c r="LW91" i="2"/>
  <c r="LV91" i="2"/>
  <c r="LU91" i="2"/>
  <c r="LT91" i="2"/>
  <c r="LS91" i="2"/>
  <c r="LR91" i="2"/>
  <c r="LQ91" i="2"/>
  <c r="LP91" i="2"/>
  <c r="LO91" i="2"/>
  <c r="LN91" i="2"/>
  <c r="LM91" i="2"/>
  <c r="LL91" i="2"/>
  <c r="LK91" i="2"/>
  <c r="LJ91" i="2"/>
  <c r="LI91" i="2"/>
  <c r="LH91" i="2"/>
  <c r="LG91" i="2"/>
  <c r="LF91" i="2"/>
  <c r="LE91" i="2"/>
  <c r="LD91" i="2"/>
  <c r="LC91" i="2"/>
  <c r="LB91" i="2"/>
  <c r="LA91" i="2"/>
  <c r="KZ91" i="2"/>
  <c r="KY91" i="2"/>
  <c r="KX91" i="2"/>
  <c r="KW91" i="2"/>
  <c r="KV91" i="2"/>
  <c r="KU91" i="2"/>
  <c r="KT91" i="2"/>
  <c r="KS91" i="2"/>
  <c r="KR91" i="2"/>
  <c r="KQ91" i="2"/>
  <c r="KP91" i="2"/>
  <c r="KO91" i="2"/>
  <c r="KN91" i="2"/>
  <c r="KM91" i="2"/>
  <c r="KL91" i="2"/>
  <c r="KK91" i="2"/>
  <c r="KJ91" i="2"/>
  <c r="KI91" i="2"/>
  <c r="KH91" i="2"/>
  <c r="KG91" i="2"/>
  <c r="KF91" i="2"/>
  <c r="KE91" i="2"/>
  <c r="KD91" i="2"/>
  <c r="KC91" i="2"/>
  <c r="KB91" i="2"/>
  <c r="KA91" i="2"/>
  <c r="JZ91" i="2"/>
  <c r="JY91" i="2"/>
  <c r="JX91" i="2"/>
  <c r="JW91" i="2"/>
  <c r="JV91" i="2"/>
  <c r="JU91" i="2"/>
  <c r="JT91" i="2"/>
  <c r="JS91" i="2"/>
  <c r="JR91" i="2"/>
  <c r="JQ91" i="2"/>
  <c r="JP91" i="2"/>
  <c r="JO91" i="2"/>
  <c r="JN91" i="2"/>
  <c r="JM91" i="2"/>
  <c r="JL91" i="2"/>
  <c r="JK91" i="2"/>
  <c r="JJ91" i="2"/>
  <c r="JI91" i="2"/>
  <c r="JH91" i="2"/>
  <c r="JG91" i="2"/>
  <c r="JF91" i="2"/>
  <c r="JE91" i="2"/>
  <c r="JD91" i="2"/>
  <c r="JC91" i="2"/>
  <c r="JB91" i="2"/>
  <c r="JA91" i="2"/>
  <c r="IZ91" i="2"/>
  <c r="IY91" i="2"/>
  <c r="IX91" i="2"/>
  <c r="IW91" i="2"/>
  <c r="IV91" i="2"/>
  <c r="IU91" i="2"/>
  <c r="IT91" i="2"/>
  <c r="IS91" i="2"/>
  <c r="LX95" i="2"/>
  <c r="LX94" i="2"/>
  <c r="LX93" i="2"/>
  <c r="LX92" i="2"/>
  <c r="LX90" i="2"/>
  <c r="LX88" i="2"/>
  <c r="LX84" i="2"/>
  <c r="LX83" i="2"/>
  <c r="LX82" i="2"/>
  <c r="LX81" i="2"/>
  <c r="LX78" i="2"/>
  <c r="LX61" i="2"/>
  <c r="LX59" i="2"/>
  <c r="LX85" i="2"/>
  <c r="LY95" i="2"/>
  <c r="LY94" i="2"/>
  <c r="LY93" i="2"/>
  <c r="LY92" i="2"/>
  <c r="LY90" i="2"/>
  <c r="LY88" i="2"/>
  <c r="LY84" i="2"/>
  <c r="LY83" i="2"/>
  <c r="LY82" i="2"/>
  <c r="LY81" i="2"/>
  <c r="LY78" i="2"/>
  <c r="LY61" i="2"/>
  <c r="LY59" i="2"/>
  <c r="LY85" i="2"/>
  <c r="LW95" i="2"/>
  <c r="LW94" i="2"/>
  <c r="LW93" i="2"/>
  <c r="LW92" i="2"/>
  <c r="LW90" i="2"/>
  <c r="LW88" i="2"/>
  <c r="LW84" i="2"/>
  <c r="LW83" i="2"/>
  <c r="LW82" i="2"/>
  <c r="LW81" i="2"/>
  <c r="LW78" i="2"/>
  <c r="LW61" i="2"/>
  <c r="LW59" i="2"/>
  <c r="LW85" i="2"/>
  <c r="LV95" i="2"/>
  <c r="LV94" i="2"/>
  <c r="LV93" i="2"/>
  <c r="LV92" i="2"/>
  <c r="LV90" i="2"/>
  <c r="LV88" i="2"/>
  <c r="LV84" i="2"/>
  <c r="LV83" i="2"/>
  <c r="LV82" i="2"/>
  <c r="LV81" i="2"/>
  <c r="LV78" i="2"/>
  <c r="LV61" i="2"/>
  <c r="LV59" i="2"/>
  <c r="LV85" i="2"/>
  <c r="LU95" i="2"/>
  <c r="LU94" i="2"/>
  <c r="LU93" i="2"/>
  <c r="LU92" i="2"/>
  <c r="LU90" i="2"/>
  <c r="LU88" i="2"/>
  <c r="LU84" i="2"/>
  <c r="LU83" i="2"/>
  <c r="LU82" i="2"/>
  <c r="LU81" i="2"/>
  <c r="LU78" i="2"/>
  <c r="LU61" i="2"/>
  <c r="LU59" i="2"/>
  <c r="LU85" i="2"/>
  <c r="NB66" i="2" l="1"/>
  <c r="VS9" i="2"/>
  <c r="MD87" i="2"/>
  <c r="MA87" i="2"/>
  <c r="MA64" i="2" s="1"/>
  <c r="MB77" i="2"/>
  <c r="MD77" i="2"/>
  <c r="MB87" i="2"/>
  <c r="MB64" i="2" s="1"/>
  <c r="MC87" i="2"/>
  <c r="MC64" i="2" s="1"/>
  <c r="LZ77" i="2"/>
  <c r="MC77" i="2"/>
  <c r="LZ87" i="2"/>
  <c r="LZ64" i="2" s="1"/>
  <c r="MA77" i="2"/>
  <c r="LU87" i="2"/>
  <c r="LU64" i="2" s="1"/>
  <c r="LY77" i="2"/>
  <c r="LX87" i="2"/>
  <c r="LX64" i="2" s="1"/>
  <c r="LX77" i="2"/>
  <c r="LV77" i="2"/>
  <c r="LU77" i="2"/>
  <c r="LV87" i="2"/>
  <c r="LV64" i="2" s="1"/>
  <c r="LW87" i="2"/>
  <c r="LW64" i="2" s="1"/>
  <c r="LW77" i="2"/>
  <c r="LY87" i="2"/>
  <c r="LY64" i="2" s="1"/>
  <c r="LT95" i="2"/>
  <c r="LT94" i="2"/>
  <c r="LT93" i="2"/>
  <c r="LT92" i="2"/>
  <c r="LT90" i="2"/>
  <c r="LT88" i="2"/>
  <c r="LT84" i="2"/>
  <c r="LT83" i="2"/>
  <c r="LT82" i="2"/>
  <c r="LT81" i="2"/>
  <c r="LT78" i="2"/>
  <c r="LT61" i="2"/>
  <c r="LT59" i="2"/>
  <c r="LT85" i="2"/>
  <c r="IS64" i="2"/>
  <c r="LS95" i="2"/>
  <c r="LR95" i="2"/>
  <c r="LQ95" i="2"/>
  <c r="LS94" i="2"/>
  <c r="LR94" i="2"/>
  <c r="LQ94" i="2"/>
  <c r="LS93" i="2"/>
  <c r="LR93" i="2"/>
  <c r="LQ93" i="2"/>
  <c r="LS92" i="2"/>
  <c r="LR92" i="2"/>
  <c r="LQ92" i="2"/>
  <c r="LS90" i="2"/>
  <c r="LR90" i="2"/>
  <c r="LQ90" i="2"/>
  <c r="LS88" i="2"/>
  <c r="LR88" i="2"/>
  <c r="LQ88" i="2"/>
  <c r="LS84" i="2"/>
  <c r="LR84" i="2"/>
  <c r="LQ84" i="2"/>
  <c r="LS83" i="2"/>
  <c r="LR83" i="2"/>
  <c r="LQ83" i="2"/>
  <c r="LS82" i="2"/>
  <c r="LR82" i="2"/>
  <c r="LQ82" i="2"/>
  <c r="LS81" i="2"/>
  <c r="LR81" i="2"/>
  <c r="LQ81" i="2"/>
  <c r="LS78" i="2"/>
  <c r="LR78" i="2"/>
  <c r="LQ78" i="2"/>
  <c r="LS85" i="2"/>
  <c r="LR85" i="2"/>
  <c r="LQ85" i="2"/>
  <c r="LS61" i="2"/>
  <c r="LR61" i="2"/>
  <c r="LS59" i="2"/>
  <c r="LR59" i="2"/>
  <c r="LQ61" i="2"/>
  <c r="LQ59" i="2"/>
  <c r="LP95" i="2"/>
  <c r="LO95" i="2"/>
  <c r="LN95" i="2"/>
  <c r="LM95" i="2"/>
  <c r="LL95" i="2"/>
  <c r="LK95" i="2"/>
  <c r="LJ95" i="2"/>
  <c r="LI95" i="2"/>
  <c r="LH95" i="2"/>
  <c r="LG95" i="2"/>
  <c r="LF95" i="2"/>
  <c r="LE95" i="2"/>
  <c r="LD95" i="2"/>
  <c r="LC95" i="2"/>
  <c r="LB95" i="2"/>
  <c r="LA95" i="2"/>
  <c r="KZ95" i="2"/>
  <c r="KY95" i="2"/>
  <c r="KX95" i="2"/>
  <c r="KW95" i="2"/>
  <c r="KV95" i="2"/>
  <c r="KU95" i="2"/>
  <c r="KT95" i="2"/>
  <c r="KS95" i="2"/>
  <c r="KR95" i="2"/>
  <c r="KQ95" i="2"/>
  <c r="KP95" i="2"/>
  <c r="KO95" i="2"/>
  <c r="KN95" i="2"/>
  <c r="KM95" i="2"/>
  <c r="KL95" i="2"/>
  <c r="KK95" i="2"/>
  <c r="KJ95" i="2"/>
  <c r="KI95" i="2"/>
  <c r="KH95" i="2"/>
  <c r="KG95" i="2"/>
  <c r="KF95" i="2"/>
  <c r="KE95" i="2"/>
  <c r="KD95" i="2"/>
  <c r="KC95" i="2"/>
  <c r="KB95" i="2"/>
  <c r="KA95" i="2"/>
  <c r="JZ95" i="2"/>
  <c r="JY95" i="2"/>
  <c r="JX95" i="2"/>
  <c r="JW95" i="2"/>
  <c r="JV95" i="2"/>
  <c r="JU95" i="2"/>
  <c r="JT95" i="2"/>
  <c r="JS95" i="2"/>
  <c r="JR95" i="2"/>
  <c r="JQ95" i="2"/>
  <c r="JP95" i="2"/>
  <c r="JO95" i="2"/>
  <c r="JN95" i="2"/>
  <c r="JM95" i="2"/>
  <c r="JL95" i="2"/>
  <c r="JK95" i="2"/>
  <c r="JJ95" i="2"/>
  <c r="JI95" i="2"/>
  <c r="JH95" i="2"/>
  <c r="JG95" i="2"/>
  <c r="JF95" i="2"/>
  <c r="JE95" i="2"/>
  <c r="JD95" i="2"/>
  <c r="JC95" i="2"/>
  <c r="JB95" i="2"/>
  <c r="JA95" i="2"/>
  <c r="IZ95" i="2"/>
  <c r="IY95" i="2"/>
  <c r="IX95" i="2"/>
  <c r="IW95" i="2"/>
  <c r="IV95" i="2"/>
  <c r="IU95" i="2"/>
  <c r="LP94" i="2"/>
  <c r="LO94" i="2"/>
  <c r="LN94" i="2"/>
  <c r="LM94" i="2"/>
  <c r="LL94" i="2"/>
  <c r="LK94" i="2"/>
  <c r="LJ94" i="2"/>
  <c r="LI94" i="2"/>
  <c r="LH94" i="2"/>
  <c r="LG94" i="2"/>
  <c r="LF94" i="2"/>
  <c r="LE94" i="2"/>
  <c r="LD94" i="2"/>
  <c r="LC94" i="2"/>
  <c r="LB94" i="2"/>
  <c r="LA94" i="2"/>
  <c r="KZ94" i="2"/>
  <c r="KY94" i="2"/>
  <c r="KX94" i="2"/>
  <c r="KW94" i="2"/>
  <c r="KV94" i="2"/>
  <c r="KU94" i="2"/>
  <c r="KT94" i="2"/>
  <c r="KS94" i="2"/>
  <c r="KR94" i="2"/>
  <c r="KQ94" i="2"/>
  <c r="KP94" i="2"/>
  <c r="KO94" i="2"/>
  <c r="KN94" i="2"/>
  <c r="KM94" i="2"/>
  <c r="KL94" i="2"/>
  <c r="KK94" i="2"/>
  <c r="KJ94" i="2"/>
  <c r="KI94" i="2"/>
  <c r="KH94" i="2"/>
  <c r="KG94" i="2"/>
  <c r="KF94" i="2"/>
  <c r="KE94" i="2"/>
  <c r="KD94" i="2"/>
  <c r="KC94" i="2"/>
  <c r="KB94" i="2"/>
  <c r="KA94" i="2"/>
  <c r="JZ94" i="2"/>
  <c r="JY94" i="2"/>
  <c r="JX94" i="2"/>
  <c r="JW94" i="2"/>
  <c r="JV94" i="2"/>
  <c r="JU94" i="2"/>
  <c r="JT94" i="2"/>
  <c r="JS94" i="2"/>
  <c r="JR94" i="2"/>
  <c r="JQ94" i="2"/>
  <c r="JP94" i="2"/>
  <c r="JO94" i="2"/>
  <c r="JN94" i="2"/>
  <c r="JM94" i="2"/>
  <c r="JL94" i="2"/>
  <c r="JK94" i="2"/>
  <c r="JJ94" i="2"/>
  <c r="JI94" i="2"/>
  <c r="JH94" i="2"/>
  <c r="JG94" i="2"/>
  <c r="JF94" i="2"/>
  <c r="JE94" i="2"/>
  <c r="JD94" i="2"/>
  <c r="JC94" i="2"/>
  <c r="JB94" i="2"/>
  <c r="JA94" i="2"/>
  <c r="IZ94" i="2"/>
  <c r="IY94" i="2"/>
  <c r="IX94" i="2"/>
  <c r="IW94" i="2"/>
  <c r="IV94" i="2"/>
  <c r="IU94" i="2"/>
  <c r="LP93" i="2"/>
  <c r="LO93" i="2"/>
  <c r="LN93" i="2"/>
  <c r="LM93" i="2"/>
  <c r="LL93" i="2"/>
  <c r="LK93" i="2"/>
  <c r="LJ93" i="2"/>
  <c r="LI93" i="2"/>
  <c r="LH93" i="2"/>
  <c r="LG93" i="2"/>
  <c r="LF93" i="2"/>
  <c r="LE93" i="2"/>
  <c r="LD93" i="2"/>
  <c r="LC93" i="2"/>
  <c r="LB93" i="2"/>
  <c r="LA93" i="2"/>
  <c r="KZ93" i="2"/>
  <c r="KY93" i="2"/>
  <c r="KX93" i="2"/>
  <c r="KW93" i="2"/>
  <c r="KV93" i="2"/>
  <c r="KU93" i="2"/>
  <c r="KT93" i="2"/>
  <c r="KS93" i="2"/>
  <c r="KR93" i="2"/>
  <c r="KQ93" i="2"/>
  <c r="KP93" i="2"/>
  <c r="KO93" i="2"/>
  <c r="KN93" i="2"/>
  <c r="KM93" i="2"/>
  <c r="KL93" i="2"/>
  <c r="KK93" i="2"/>
  <c r="KJ93" i="2"/>
  <c r="KI93" i="2"/>
  <c r="KH93" i="2"/>
  <c r="KG93" i="2"/>
  <c r="KF93" i="2"/>
  <c r="KE93" i="2"/>
  <c r="KD93" i="2"/>
  <c r="KC93" i="2"/>
  <c r="KB93" i="2"/>
  <c r="KA93" i="2"/>
  <c r="JZ93" i="2"/>
  <c r="JY93" i="2"/>
  <c r="JX93" i="2"/>
  <c r="JW93" i="2"/>
  <c r="JV93" i="2"/>
  <c r="JU93" i="2"/>
  <c r="JT93" i="2"/>
  <c r="JS93" i="2"/>
  <c r="JR93" i="2"/>
  <c r="JQ93" i="2"/>
  <c r="JP93" i="2"/>
  <c r="JO93" i="2"/>
  <c r="JN93" i="2"/>
  <c r="JM93" i="2"/>
  <c r="JL93" i="2"/>
  <c r="JK93" i="2"/>
  <c r="JJ93" i="2"/>
  <c r="JI93" i="2"/>
  <c r="JH93" i="2"/>
  <c r="JG93" i="2"/>
  <c r="JF93" i="2"/>
  <c r="JE93" i="2"/>
  <c r="JD93" i="2"/>
  <c r="JC93" i="2"/>
  <c r="JB93" i="2"/>
  <c r="JA93" i="2"/>
  <c r="IZ93" i="2"/>
  <c r="IY93" i="2"/>
  <c r="IX93" i="2"/>
  <c r="IW93" i="2"/>
  <c r="IV93" i="2"/>
  <c r="IU93" i="2"/>
  <c r="LP92" i="2"/>
  <c r="LO92" i="2"/>
  <c r="LN92" i="2"/>
  <c r="LM92" i="2"/>
  <c r="LL92" i="2"/>
  <c r="LK92" i="2"/>
  <c r="LJ92" i="2"/>
  <c r="LI92" i="2"/>
  <c r="LH92" i="2"/>
  <c r="LG92" i="2"/>
  <c r="LF92" i="2"/>
  <c r="LE92" i="2"/>
  <c r="LD92" i="2"/>
  <c r="LC92" i="2"/>
  <c r="LB92" i="2"/>
  <c r="LA92" i="2"/>
  <c r="KZ92" i="2"/>
  <c r="KY92" i="2"/>
  <c r="KX92" i="2"/>
  <c r="KW92" i="2"/>
  <c r="KV92" i="2"/>
  <c r="KU92" i="2"/>
  <c r="KT92" i="2"/>
  <c r="KS92" i="2"/>
  <c r="KR92" i="2"/>
  <c r="KQ92" i="2"/>
  <c r="KP92" i="2"/>
  <c r="KO92" i="2"/>
  <c r="KN92" i="2"/>
  <c r="KM92" i="2"/>
  <c r="KL92" i="2"/>
  <c r="KK92" i="2"/>
  <c r="KJ92" i="2"/>
  <c r="KI92" i="2"/>
  <c r="KH92" i="2"/>
  <c r="KG92" i="2"/>
  <c r="KF92" i="2"/>
  <c r="KE92" i="2"/>
  <c r="KD92" i="2"/>
  <c r="KC92" i="2"/>
  <c r="KB92" i="2"/>
  <c r="KA92" i="2"/>
  <c r="JZ92" i="2"/>
  <c r="JY92" i="2"/>
  <c r="JX92" i="2"/>
  <c r="JW92" i="2"/>
  <c r="JV92" i="2"/>
  <c r="JU92" i="2"/>
  <c r="JT92" i="2"/>
  <c r="JS92" i="2"/>
  <c r="JR92" i="2"/>
  <c r="JQ92" i="2"/>
  <c r="JP92" i="2"/>
  <c r="JO92" i="2"/>
  <c r="JN92" i="2"/>
  <c r="JM92" i="2"/>
  <c r="JL92" i="2"/>
  <c r="JK92" i="2"/>
  <c r="JJ92" i="2"/>
  <c r="JI92" i="2"/>
  <c r="JH92" i="2"/>
  <c r="JG92" i="2"/>
  <c r="JF92" i="2"/>
  <c r="JE92" i="2"/>
  <c r="JD92" i="2"/>
  <c r="JC92" i="2"/>
  <c r="JB92" i="2"/>
  <c r="JA92" i="2"/>
  <c r="IZ92" i="2"/>
  <c r="IY92" i="2"/>
  <c r="IX92" i="2"/>
  <c r="IW92" i="2"/>
  <c r="IV92" i="2"/>
  <c r="IU92" i="2"/>
  <c r="LP90" i="2"/>
  <c r="LO90" i="2"/>
  <c r="LN90" i="2"/>
  <c r="LM90" i="2"/>
  <c r="LL90" i="2"/>
  <c r="LK90" i="2"/>
  <c r="LJ90" i="2"/>
  <c r="LI90" i="2"/>
  <c r="LH90" i="2"/>
  <c r="LG90" i="2"/>
  <c r="LF90" i="2"/>
  <c r="LE90" i="2"/>
  <c r="LD90" i="2"/>
  <c r="LC90" i="2"/>
  <c r="LB90" i="2"/>
  <c r="LA90" i="2"/>
  <c r="KZ90" i="2"/>
  <c r="KY90" i="2"/>
  <c r="KX90" i="2"/>
  <c r="KW90" i="2"/>
  <c r="KV90" i="2"/>
  <c r="KU90" i="2"/>
  <c r="KT90" i="2"/>
  <c r="KS90" i="2"/>
  <c r="KR90" i="2"/>
  <c r="KQ90" i="2"/>
  <c r="KP90" i="2"/>
  <c r="KO90" i="2"/>
  <c r="KN90" i="2"/>
  <c r="KM90" i="2"/>
  <c r="KL90" i="2"/>
  <c r="KK90" i="2"/>
  <c r="KJ90" i="2"/>
  <c r="KI90" i="2"/>
  <c r="KH90" i="2"/>
  <c r="KG90" i="2"/>
  <c r="KF90" i="2"/>
  <c r="KE90" i="2"/>
  <c r="KD90" i="2"/>
  <c r="KC90" i="2"/>
  <c r="KB90" i="2"/>
  <c r="KA90" i="2"/>
  <c r="JZ90" i="2"/>
  <c r="JY90" i="2"/>
  <c r="JX90" i="2"/>
  <c r="JW90" i="2"/>
  <c r="JV90" i="2"/>
  <c r="JU90" i="2"/>
  <c r="JT90" i="2"/>
  <c r="JS90" i="2"/>
  <c r="JR90" i="2"/>
  <c r="JQ90" i="2"/>
  <c r="JP90" i="2"/>
  <c r="JO90" i="2"/>
  <c r="JN90" i="2"/>
  <c r="JM90" i="2"/>
  <c r="JL90" i="2"/>
  <c r="JK90" i="2"/>
  <c r="JJ90" i="2"/>
  <c r="JI90" i="2"/>
  <c r="JH90" i="2"/>
  <c r="JG90" i="2"/>
  <c r="JF90" i="2"/>
  <c r="JE90" i="2"/>
  <c r="JD90" i="2"/>
  <c r="JC90" i="2"/>
  <c r="JB90" i="2"/>
  <c r="JA90" i="2"/>
  <c r="IZ90" i="2"/>
  <c r="IY90" i="2"/>
  <c r="IX90" i="2"/>
  <c r="IW90" i="2"/>
  <c r="IV90" i="2"/>
  <c r="IU90" i="2"/>
  <c r="LP88" i="2"/>
  <c r="LO88" i="2"/>
  <c r="LN88" i="2"/>
  <c r="LN87" i="2" s="1"/>
  <c r="LM88" i="2"/>
  <c r="LL88" i="2"/>
  <c r="LK88" i="2"/>
  <c r="LJ88" i="2"/>
  <c r="LJ87" i="2" s="1"/>
  <c r="LI88" i="2"/>
  <c r="LH88" i="2"/>
  <c r="LG88" i="2"/>
  <c r="LF88" i="2"/>
  <c r="LF87" i="2" s="1"/>
  <c r="LE88" i="2"/>
  <c r="LD88" i="2"/>
  <c r="LC88" i="2"/>
  <c r="LC87" i="2" s="1"/>
  <c r="LC64" i="2" s="1"/>
  <c r="LB88" i="2"/>
  <c r="LB87" i="2" s="1"/>
  <c r="LA88" i="2"/>
  <c r="KZ88" i="2"/>
  <c r="KY88" i="2"/>
  <c r="KY87" i="2" s="1"/>
  <c r="KY64" i="2" s="1"/>
  <c r="KX88" i="2"/>
  <c r="KX87" i="2" s="1"/>
  <c r="KW88" i="2"/>
  <c r="KV88" i="2"/>
  <c r="KU88" i="2"/>
  <c r="KU87" i="2" s="1"/>
  <c r="KT88" i="2"/>
  <c r="KT87" i="2" s="1"/>
  <c r="KS88" i="2"/>
  <c r="KR88" i="2"/>
  <c r="KQ88" i="2"/>
  <c r="KQ87" i="2" s="1"/>
  <c r="KQ64" i="2" s="1"/>
  <c r="KP88" i="2"/>
  <c r="KP87" i="2" s="1"/>
  <c r="KO88" i="2"/>
  <c r="KN88" i="2"/>
  <c r="KM88" i="2"/>
  <c r="KM87" i="2" s="1"/>
  <c r="KM64" i="2" s="1"/>
  <c r="KL88" i="2"/>
  <c r="KL87" i="2" s="1"/>
  <c r="KK88" i="2"/>
  <c r="KJ88" i="2"/>
  <c r="KI88" i="2"/>
  <c r="KI87" i="2" s="1"/>
  <c r="KI64" i="2" s="1"/>
  <c r="KH88" i="2"/>
  <c r="KH87" i="2" s="1"/>
  <c r="KG88" i="2"/>
  <c r="KF88" i="2"/>
  <c r="KE88" i="2"/>
  <c r="KE87" i="2" s="1"/>
  <c r="KE64" i="2" s="1"/>
  <c r="KD88" i="2"/>
  <c r="KD87" i="2" s="1"/>
  <c r="KC88" i="2"/>
  <c r="KB88" i="2"/>
  <c r="KA88" i="2"/>
  <c r="KA87" i="2" s="1"/>
  <c r="KA64" i="2" s="1"/>
  <c r="JZ88" i="2"/>
  <c r="JZ87" i="2" s="1"/>
  <c r="JY88" i="2"/>
  <c r="JX88" i="2"/>
  <c r="JW88" i="2"/>
  <c r="JW87" i="2" s="1"/>
  <c r="JW64" i="2" s="1"/>
  <c r="JV88" i="2"/>
  <c r="JV87" i="2" s="1"/>
  <c r="JV64" i="2" s="1"/>
  <c r="JU88" i="2"/>
  <c r="JT88" i="2"/>
  <c r="JS88" i="2"/>
  <c r="JS87" i="2" s="1"/>
  <c r="JS64" i="2" s="1"/>
  <c r="JR88" i="2"/>
  <c r="JR87" i="2" s="1"/>
  <c r="JR64" i="2" s="1"/>
  <c r="JQ88" i="2"/>
  <c r="JP88" i="2"/>
  <c r="JO88" i="2"/>
  <c r="JO87" i="2" s="1"/>
  <c r="JO64" i="2" s="1"/>
  <c r="JN88" i="2"/>
  <c r="JN87" i="2" s="1"/>
  <c r="JN64" i="2" s="1"/>
  <c r="JM88" i="2"/>
  <c r="JL88" i="2"/>
  <c r="JK88" i="2"/>
  <c r="JK87" i="2" s="1"/>
  <c r="JK64" i="2" s="1"/>
  <c r="JJ88" i="2"/>
  <c r="JI88" i="2"/>
  <c r="JH88" i="2"/>
  <c r="JG88" i="2"/>
  <c r="JG87" i="2" s="1"/>
  <c r="JF88" i="2"/>
  <c r="JE88" i="2"/>
  <c r="JD88" i="2"/>
  <c r="JC88" i="2"/>
  <c r="JC87" i="2" s="1"/>
  <c r="JB88" i="2"/>
  <c r="JB87" i="2" s="1"/>
  <c r="JA88" i="2"/>
  <c r="IZ88" i="2"/>
  <c r="IY88" i="2"/>
  <c r="IX88" i="2"/>
  <c r="IX87" i="2" s="1"/>
  <c r="IW88" i="2"/>
  <c r="IV88" i="2"/>
  <c r="IU88" i="2"/>
  <c r="LO87" i="2"/>
  <c r="LO64" i="2" s="1"/>
  <c r="LP84" i="2"/>
  <c r="LO84" i="2"/>
  <c r="LN84" i="2"/>
  <c r="LM84" i="2"/>
  <c r="LL84" i="2"/>
  <c r="LK84" i="2"/>
  <c r="LJ84" i="2"/>
  <c r="LI84" i="2"/>
  <c r="LH84" i="2"/>
  <c r="LG84" i="2"/>
  <c r="LF84" i="2"/>
  <c r="LE84" i="2"/>
  <c r="LD84" i="2"/>
  <c r="LC84" i="2"/>
  <c r="LB84" i="2"/>
  <c r="LA84" i="2"/>
  <c r="KZ84" i="2"/>
  <c r="KY84" i="2"/>
  <c r="KX84" i="2"/>
  <c r="KW84" i="2"/>
  <c r="KV84" i="2"/>
  <c r="KU84" i="2"/>
  <c r="KT84" i="2"/>
  <c r="KS84" i="2"/>
  <c r="KR84" i="2"/>
  <c r="KQ84" i="2"/>
  <c r="KP84" i="2"/>
  <c r="KO84" i="2"/>
  <c r="KN84" i="2"/>
  <c r="KM84" i="2"/>
  <c r="KL84" i="2"/>
  <c r="KK84" i="2"/>
  <c r="KJ84" i="2"/>
  <c r="KI84" i="2"/>
  <c r="KH84" i="2"/>
  <c r="KG84" i="2"/>
  <c r="KF84" i="2"/>
  <c r="KE84" i="2"/>
  <c r="KD84" i="2"/>
  <c r="KC84" i="2"/>
  <c r="KB84" i="2"/>
  <c r="KA84" i="2"/>
  <c r="JZ84" i="2"/>
  <c r="JY84" i="2"/>
  <c r="JX84" i="2"/>
  <c r="JW84" i="2"/>
  <c r="JV84" i="2"/>
  <c r="JU84" i="2"/>
  <c r="JT84" i="2"/>
  <c r="JS84" i="2"/>
  <c r="JR84" i="2"/>
  <c r="JQ84" i="2"/>
  <c r="JP84" i="2"/>
  <c r="JO84" i="2"/>
  <c r="JN84" i="2"/>
  <c r="JM84" i="2"/>
  <c r="JL84" i="2"/>
  <c r="JK84" i="2"/>
  <c r="JJ84" i="2"/>
  <c r="JI84" i="2"/>
  <c r="JH84" i="2"/>
  <c r="JG84" i="2"/>
  <c r="JF84" i="2"/>
  <c r="JE84" i="2"/>
  <c r="JD84" i="2"/>
  <c r="JC84" i="2"/>
  <c r="JB84" i="2"/>
  <c r="JA84" i="2"/>
  <c r="IZ84" i="2"/>
  <c r="IY84" i="2"/>
  <c r="IX84" i="2"/>
  <c r="IW84" i="2"/>
  <c r="IV84" i="2"/>
  <c r="IU84" i="2"/>
  <c r="LP83" i="2"/>
  <c r="LO83" i="2"/>
  <c r="LN83" i="2"/>
  <c r="LM83" i="2"/>
  <c r="LL83" i="2"/>
  <c r="LK83" i="2"/>
  <c r="LJ83" i="2"/>
  <c r="LI83" i="2"/>
  <c r="LH83" i="2"/>
  <c r="LG83" i="2"/>
  <c r="LF83" i="2"/>
  <c r="LE83" i="2"/>
  <c r="LD83" i="2"/>
  <c r="LC83" i="2"/>
  <c r="LB83" i="2"/>
  <c r="LA83" i="2"/>
  <c r="KZ83" i="2"/>
  <c r="KY83" i="2"/>
  <c r="KX83" i="2"/>
  <c r="KW83" i="2"/>
  <c r="KV83" i="2"/>
  <c r="KU83" i="2"/>
  <c r="KT83" i="2"/>
  <c r="KS83" i="2"/>
  <c r="KR83" i="2"/>
  <c r="KQ83" i="2"/>
  <c r="KP83" i="2"/>
  <c r="KO83" i="2"/>
  <c r="KN83" i="2"/>
  <c r="KM83" i="2"/>
  <c r="KL83" i="2"/>
  <c r="KK83" i="2"/>
  <c r="KJ83" i="2"/>
  <c r="KI83" i="2"/>
  <c r="KH83" i="2"/>
  <c r="KG83" i="2"/>
  <c r="KF83" i="2"/>
  <c r="KE83" i="2"/>
  <c r="KD83" i="2"/>
  <c r="KC83" i="2"/>
  <c r="KB83" i="2"/>
  <c r="KA83" i="2"/>
  <c r="JZ83" i="2"/>
  <c r="JY83" i="2"/>
  <c r="JX83" i="2"/>
  <c r="JW83" i="2"/>
  <c r="JV83" i="2"/>
  <c r="JU83" i="2"/>
  <c r="JT83" i="2"/>
  <c r="JS83" i="2"/>
  <c r="JR83" i="2"/>
  <c r="JQ83" i="2"/>
  <c r="JP83" i="2"/>
  <c r="JO83" i="2"/>
  <c r="JN83" i="2"/>
  <c r="JM83" i="2"/>
  <c r="JL83" i="2"/>
  <c r="JK83" i="2"/>
  <c r="JJ83" i="2"/>
  <c r="JI83" i="2"/>
  <c r="JH83" i="2"/>
  <c r="JG83" i="2"/>
  <c r="JF83" i="2"/>
  <c r="JE83" i="2"/>
  <c r="JD83" i="2"/>
  <c r="JC83" i="2"/>
  <c r="JB83" i="2"/>
  <c r="JA83" i="2"/>
  <c r="IZ83" i="2"/>
  <c r="IY83" i="2"/>
  <c r="IX83" i="2"/>
  <c r="IW83" i="2"/>
  <c r="IV83" i="2"/>
  <c r="IU83" i="2"/>
  <c r="LP82" i="2"/>
  <c r="LO82" i="2"/>
  <c r="LN82" i="2"/>
  <c r="LM82" i="2"/>
  <c r="LL82" i="2"/>
  <c r="LK82" i="2"/>
  <c r="LJ82" i="2"/>
  <c r="LI82" i="2"/>
  <c r="LH82" i="2"/>
  <c r="LG82" i="2"/>
  <c r="LF82" i="2"/>
  <c r="LE82" i="2"/>
  <c r="LD82" i="2"/>
  <c r="LC82" i="2"/>
  <c r="LB82" i="2"/>
  <c r="LA82" i="2"/>
  <c r="KZ82" i="2"/>
  <c r="KY82" i="2"/>
  <c r="KX82" i="2"/>
  <c r="KW82" i="2"/>
  <c r="KV82" i="2"/>
  <c r="KU82" i="2"/>
  <c r="KT82" i="2"/>
  <c r="KS82" i="2"/>
  <c r="KR82" i="2"/>
  <c r="KQ82" i="2"/>
  <c r="KP82" i="2"/>
  <c r="KO82" i="2"/>
  <c r="KN82" i="2"/>
  <c r="KM82" i="2"/>
  <c r="KL82" i="2"/>
  <c r="KK82" i="2"/>
  <c r="KJ82" i="2"/>
  <c r="KI82" i="2"/>
  <c r="KH82" i="2"/>
  <c r="KG82" i="2"/>
  <c r="KF82" i="2"/>
  <c r="KE82" i="2"/>
  <c r="KD82" i="2"/>
  <c r="KC82" i="2"/>
  <c r="KB82" i="2"/>
  <c r="KA82" i="2"/>
  <c r="JZ82" i="2"/>
  <c r="JY82" i="2"/>
  <c r="JX82" i="2"/>
  <c r="JW82" i="2"/>
  <c r="JV82" i="2"/>
  <c r="JU82" i="2"/>
  <c r="JT82" i="2"/>
  <c r="JS82" i="2"/>
  <c r="JR82" i="2"/>
  <c r="JQ82" i="2"/>
  <c r="JP82" i="2"/>
  <c r="JO82" i="2"/>
  <c r="JN82" i="2"/>
  <c r="JM82" i="2"/>
  <c r="JL82" i="2"/>
  <c r="JK82" i="2"/>
  <c r="JJ82" i="2"/>
  <c r="JI82" i="2"/>
  <c r="JH82" i="2"/>
  <c r="JG82" i="2"/>
  <c r="JF82" i="2"/>
  <c r="JE82" i="2"/>
  <c r="JD82" i="2"/>
  <c r="JC82" i="2"/>
  <c r="JB82" i="2"/>
  <c r="JA82" i="2"/>
  <c r="IZ82" i="2"/>
  <c r="IY82" i="2"/>
  <c r="IX82" i="2"/>
  <c r="IW82" i="2"/>
  <c r="IV82" i="2"/>
  <c r="IU82" i="2"/>
  <c r="LP81" i="2"/>
  <c r="LO81" i="2"/>
  <c r="LN81" i="2"/>
  <c r="LM81" i="2"/>
  <c r="LL81" i="2"/>
  <c r="LK81" i="2"/>
  <c r="LJ81" i="2"/>
  <c r="LI81" i="2"/>
  <c r="LH81" i="2"/>
  <c r="LG81" i="2"/>
  <c r="LF81" i="2"/>
  <c r="LE81" i="2"/>
  <c r="LD81" i="2"/>
  <c r="LC81" i="2"/>
  <c r="LB81" i="2"/>
  <c r="LA81" i="2"/>
  <c r="KZ81" i="2"/>
  <c r="KY81" i="2"/>
  <c r="KX81" i="2"/>
  <c r="KW81" i="2"/>
  <c r="KV81" i="2"/>
  <c r="KU81" i="2"/>
  <c r="KT81" i="2"/>
  <c r="KS81" i="2"/>
  <c r="KR81" i="2"/>
  <c r="KQ81" i="2"/>
  <c r="KP81" i="2"/>
  <c r="KO81" i="2"/>
  <c r="KN81" i="2"/>
  <c r="KM81" i="2"/>
  <c r="KL81" i="2"/>
  <c r="KK81" i="2"/>
  <c r="KJ81" i="2"/>
  <c r="KI81" i="2"/>
  <c r="KH81" i="2"/>
  <c r="KG81" i="2"/>
  <c r="KF81" i="2"/>
  <c r="KE81" i="2"/>
  <c r="KD81" i="2"/>
  <c r="KC81" i="2"/>
  <c r="KB81" i="2"/>
  <c r="KA81" i="2"/>
  <c r="JZ81" i="2"/>
  <c r="JY81" i="2"/>
  <c r="JX81" i="2"/>
  <c r="JW81" i="2"/>
  <c r="JV81" i="2"/>
  <c r="JU81" i="2"/>
  <c r="JT81" i="2"/>
  <c r="JS81" i="2"/>
  <c r="JR81" i="2"/>
  <c r="JQ81" i="2"/>
  <c r="JP81" i="2"/>
  <c r="JO81" i="2"/>
  <c r="JN81" i="2"/>
  <c r="JM81" i="2"/>
  <c r="JL81" i="2"/>
  <c r="JK81" i="2"/>
  <c r="JJ81" i="2"/>
  <c r="JI81" i="2"/>
  <c r="JH81" i="2"/>
  <c r="JG81" i="2"/>
  <c r="JF81" i="2"/>
  <c r="JE81" i="2"/>
  <c r="JD81" i="2"/>
  <c r="JC81" i="2"/>
  <c r="JB81" i="2"/>
  <c r="JA81" i="2"/>
  <c r="IZ81" i="2"/>
  <c r="IY81" i="2"/>
  <c r="IX81" i="2"/>
  <c r="IW81" i="2"/>
  <c r="IV81" i="2"/>
  <c r="IU81" i="2"/>
  <c r="LP78" i="2"/>
  <c r="LO78" i="2"/>
  <c r="LN78" i="2"/>
  <c r="LM78" i="2"/>
  <c r="LL78" i="2"/>
  <c r="LK78" i="2"/>
  <c r="LJ78" i="2"/>
  <c r="LI78" i="2"/>
  <c r="LH78" i="2"/>
  <c r="LG78" i="2"/>
  <c r="LF78" i="2"/>
  <c r="LE78" i="2"/>
  <c r="LD78" i="2"/>
  <c r="LC78" i="2"/>
  <c r="LB78" i="2"/>
  <c r="LA78" i="2"/>
  <c r="KZ78" i="2"/>
  <c r="KY78" i="2"/>
  <c r="KX78" i="2"/>
  <c r="KW78" i="2"/>
  <c r="KV78" i="2"/>
  <c r="KU78" i="2"/>
  <c r="KT78" i="2"/>
  <c r="KS78" i="2"/>
  <c r="KR78" i="2"/>
  <c r="KQ78" i="2"/>
  <c r="KP78" i="2"/>
  <c r="KO78" i="2"/>
  <c r="KN78" i="2"/>
  <c r="KM78" i="2"/>
  <c r="KL78" i="2"/>
  <c r="KK78" i="2"/>
  <c r="KJ78" i="2"/>
  <c r="KI78" i="2"/>
  <c r="KH78" i="2"/>
  <c r="KG78" i="2"/>
  <c r="KF78" i="2"/>
  <c r="KE78" i="2"/>
  <c r="KD78" i="2"/>
  <c r="KC78" i="2"/>
  <c r="KB78" i="2"/>
  <c r="KA78" i="2"/>
  <c r="JZ78" i="2"/>
  <c r="JY78" i="2"/>
  <c r="JX78" i="2"/>
  <c r="JW78" i="2"/>
  <c r="JV78" i="2"/>
  <c r="JU78" i="2"/>
  <c r="JT78" i="2"/>
  <c r="JS78" i="2"/>
  <c r="JR78" i="2"/>
  <c r="JQ78" i="2"/>
  <c r="JP78" i="2"/>
  <c r="JO78" i="2"/>
  <c r="JN78" i="2"/>
  <c r="JM78" i="2"/>
  <c r="JL78" i="2"/>
  <c r="JK78" i="2"/>
  <c r="JJ78" i="2"/>
  <c r="JI78" i="2"/>
  <c r="JH78" i="2"/>
  <c r="JG78" i="2"/>
  <c r="JF78" i="2"/>
  <c r="JE78" i="2"/>
  <c r="JD78" i="2"/>
  <c r="JC78" i="2"/>
  <c r="JB78" i="2"/>
  <c r="JA78" i="2"/>
  <c r="IZ78" i="2"/>
  <c r="IY78" i="2"/>
  <c r="IX78" i="2"/>
  <c r="IW78" i="2"/>
  <c r="IV78" i="2"/>
  <c r="IU78" i="2"/>
  <c r="LP85" i="2"/>
  <c r="LO85" i="2"/>
  <c r="LN85" i="2"/>
  <c r="LM85" i="2"/>
  <c r="LL85" i="2"/>
  <c r="LK85" i="2"/>
  <c r="LJ85" i="2"/>
  <c r="LI85" i="2"/>
  <c r="LH85" i="2"/>
  <c r="LG85" i="2"/>
  <c r="LF85" i="2"/>
  <c r="LE85" i="2"/>
  <c r="LD85" i="2"/>
  <c r="LC85" i="2"/>
  <c r="LB85" i="2"/>
  <c r="LA85" i="2"/>
  <c r="KZ85" i="2"/>
  <c r="KY85" i="2"/>
  <c r="KX85" i="2"/>
  <c r="KW85" i="2"/>
  <c r="KV85" i="2"/>
  <c r="KU85" i="2"/>
  <c r="KT85" i="2"/>
  <c r="KS85" i="2"/>
  <c r="KR85" i="2"/>
  <c r="KQ85" i="2"/>
  <c r="KP85" i="2"/>
  <c r="KO85" i="2"/>
  <c r="KN85" i="2"/>
  <c r="KM85" i="2"/>
  <c r="KL85" i="2"/>
  <c r="KK85" i="2"/>
  <c r="KJ85" i="2"/>
  <c r="KI85" i="2"/>
  <c r="KH85" i="2"/>
  <c r="KG85" i="2"/>
  <c r="KF85" i="2"/>
  <c r="KE85" i="2"/>
  <c r="KD85" i="2"/>
  <c r="KC85" i="2"/>
  <c r="KB85" i="2"/>
  <c r="KA85" i="2"/>
  <c r="JZ85" i="2"/>
  <c r="JY85" i="2"/>
  <c r="JX85" i="2"/>
  <c r="JW85" i="2"/>
  <c r="JV85" i="2"/>
  <c r="JU85" i="2"/>
  <c r="JT85" i="2"/>
  <c r="JS85" i="2"/>
  <c r="JR85" i="2"/>
  <c r="JQ85" i="2"/>
  <c r="JP85" i="2"/>
  <c r="JO85" i="2"/>
  <c r="JN85" i="2"/>
  <c r="JM85" i="2"/>
  <c r="JL85" i="2"/>
  <c r="JK85" i="2"/>
  <c r="JJ85" i="2"/>
  <c r="JI85" i="2"/>
  <c r="JH85" i="2"/>
  <c r="JG85" i="2"/>
  <c r="JF85" i="2"/>
  <c r="JE85" i="2"/>
  <c r="JD85" i="2"/>
  <c r="JC85" i="2"/>
  <c r="JB85" i="2"/>
  <c r="JA85" i="2"/>
  <c r="IZ85" i="2"/>
  <c r="IY85" i="2"/>
  <c r="IX85" i="2"/>
  <c r="IW85" i="2"/>
  <c r="IV85" i="2"/>
  <c r="IU85" i="2"/>
  <c r="IT85" i="2"/>
  <c r="IS85" i="2"/>
  <c r="IS95" i="2"/>
  <c r="IT95" i="2"/>
  <c r="IT94" i="2"/>
  <c r="IT93" i="2"/>
  <c r="IT92" i="2"/>
  <c r="IT90" i="2"/>
  <c r="IT88" i="2"/>
  <c r="IS88" i="2"/>
  <c r="IS90" i="2"/>
  <c r="IS92" i="2"/>
  <c r="IS93" i="2"/>
  <c r="IS94" i="2"/>
  <c r="IS84" i="2"/>
  <c r="IS83" i="2"/>
  <c r="IS82" i="2"/>
  <c r="IS81" i="2"/>
  <c r="IS78" i="2"/>
  <c r="IT78" i="2"/>
  <c r="IT81" i="2"/>
  <c r="IT82" i="2"/>
  <c r="IT83" i="2"/>
  <c r="IT84" i="2"/>
  <c r="KO87" i="2" l="1"/>
  <c r="KO64" i="2" s="1"/>
  <c r="VU9" i="2"/>
  <c r="VT9" i="2" s="1"/>
  <c r="VW9" i="2"/>
  <c r="VZ9" i="2"/>
  <c r="IW87" i="2"/>
  <c r="JI87" i="2"/>
  <c r="JI64" i="2" s="1"/>
  <c r="JM87" i="2"/>
  <c r="JM64" i="2" s="1"/>
  <c r="JQ87" i="2"/>
  <c r="JQ64" i="2" s="1"/>
  <c r="JY87" i="2"/>
  <c r="JY64" i="2" s="1"/>
  <c r="JZ64" i="2" s="1"/>
  <c r="KC87" i="2"/>
  <c r="KC64" i="2" s="1"/>
  <c r="KD64" i="2" s="1"/>
  <c r="KG87" i="2"/>
  <c r="KG64" i="2" s="1"/>
  <c r="KH64" i="2" s="1"/>
  <c r="KK87" i="2"/>
  <c r="KK64" i="2" s="1"/>
  <c r="KL64" i="2" s="1"/>
  <c r="KS87" i="2"/>
  <c r="KW87" i="2"/>
  <c r="LA87" i="2"/>
  <c r="LA64" i="2" s="1"/>
  <c r="LB64" i="2" s="1"/>
  <c r="LE87" i="2"/>
  <c r="LE64" i="2" s="1"/>
  <c r="LI87" i="2"/>
  <c r="LI64" i="2" s="1"/>
  <c r="LJ64" i="2" s="1"/>
  <c r="LM87" i="2"/>
  <c r="LM64" i="2" s="1"/>
  <c r="LN64" i="2" s="1"/>
  <c r="MD64" i="2"/>
  <c r="ME64" i="2" s="1"/>
  <c r="LG87" i="2"/>
  <c r="LG64" i="2" s="1"/>
  <c r="LK87" i="2"/>
  <c r="LK64" i="2" s="1"/>
  <c r="IW77" i="2"/>
  <c r="IW66" i="2" s="1"/>
  <c r="JE77" i="2"/>
  <c r="JM77" i="2"/>
  <c r="JQ77" i="2"/>
  <c r="JU77" i="2"/>
  <c r="KK77" i="2"/>
  <c r="KS77" i="2"/>
  <c r="KS66" i="2" s="1"/>
  <c r="LI77" i="2"/>
  <c r="JR77" i="2"/>
  <c r="JZ77" i="2"/>
  <c r="KT77" i="2"/>
  <c r="LB77" i="2"/>
  <c r="LJ77" i="2"/>
  <c r="IZ87" i="2"/>
  <c r="KP77" i="2"/>
  <c r="KP66" i="2" s="1"/>
  <c r="KX77" i="2"/>
  <c r="LN77" i="2"/>
  <c r="JP77" i="2"/>
  <c r="JX77" i="2"/>
  <c r="KB77" i="2"/>
  <c r="KF77" i="2"/>
  <c r="KR77" i="2"/>
  <c r="KZ77" i="2"/>
  <c r="LH77" i="2"/>
  <c r="IV87" i="2"/>
  <c r="JD87" i="2"/>
  <c r="JF87" i="2"/>
  <c r="JU87" i="2"/>
  <c r="JU64" i="2" s="1"/>
  <c r="LR87" i="2"/>
  <c r="LF64" i="2"/>
  <c r="JH77" i="2"/>
  <c r="KC77" i="2"/>
  <c r="KG77" i="2"/>
  <c r="IU87" i="2"/>
  <c r="IT77" i="2"/>
  <c r="IT66" i="2" s="1"/>
  <c r="KW77" i="2"/>
  <c r="LE77" i="2"/>
  <c r="LM77" i="2"/>
  <c r="JL77" i="2"/>
  <c r="KN77" i="2"/>
  <c r="LD77" i="2"/>
  <c r="JH87" i="2"/>
  <c r="JH64" i="2" s="1"/>
  <c r="JL87" i="2"/>
  <c r="JL64" i="2" s="1"/>
  <c r="JP87" i="2"/>
  <c r="JP64" i="2" s="1"/>
  <c r="JT87" i="2"/>
  <c r="JT64" i="2" s="1"/>
  <c r="JX87" i="2"/>
  <c r="JX64" i="2" s="1"/>
  <c r="KB87" i="2"/>
  <c r="KB64" i="2" s="1"/>
  <c r="KF87" i="2"/>
  <c r="KF64" i="2" s="1"/>
  <c r="KJ87" i="2"/>
  <c r="KJ64" i="2" s="1"/>
  <c r="KN87" i="2"/>
  <c r="KN64" i="2" s="1"/>
  <c r="KR87" i="2"/>
  <c r="KR64" i="2" s="1"/>
  <c r="KV87" i="2"/>
  <c r="KZ87" i="2"/>
  <c r="KZ64" i="2" s="1"/>
  <c r="LD87" i="2"/>
  <c r="LD64" i="2" s="1"/>
  <c r="LH87" i="2"/>
  <c r="LL87" i="2"/>
  <c r="LL64" i="2" s="1"/>
  <c r="LP87" i="2"/>
  <c r="LP64" i="2" s="1"/>
  <c r="JJ87" i="2"/>
  <c r="JJ64" i="2" s="1"/>
  <c r="LS87" i="2"/>
  <c r="IX77" i="2"/>
  <c r="IX66" i="2" s="1"/>
  <c r="JB77" i="2"/>
  <c r="JB66" i="2" s="1"/>
  <c r="JF77" i="2"/>
  <c r="JJ77" i="2"/>
  <c r="JV77" i="2"/>
  <c r="KH77" i="2"/>
  <c r="KL77" i="2"/>
  <c r="LA77" i="2"/>
  <c r="LS77" i="2"/>
  <c r="LS66" i="2" s="1"/>
  <c r="IT87" i="2"/>
  <c r="JD77" i="2"/>
  <c r="JD66" i="2" s="1"/>
  <c r="JT77" i="2"/>
  <c r="KV77" i="2"/>
  <c r="LL77" i="2"/>
  <c r="JI77" i="2"/>
  <c r="JY77" i="2"/>
  <c r="KO77" i="2"/>
  <c r="JN77" i="2"/>
  <c r="KD77" i="2"/>
  <c r="LF77" i="2"/>
  <c r="IV77" i="2"/>
  <c r="IV66" i="2" s="1"/>
  <c r="KJ77" i="2"/>
  <c r="LP77" i="2"/>
  <c r="IU77" i="2"/>
  <c r="IU66" i="2" s="1"/>
  <c r="JC77" i="2"/>
  <c r="JC66" i="2" s="1"/>
  <c r="JG77" i="2"/>
  <c r="JK77" i="2"/>
  <c r="JO77" i="2"/>
  <c r="JS77" i="2"/>
  <c r="JW77" i="2"/>
  <c r="KA77" i="2"/>
  <c r="KE77" i="2"/>
  <c r="KI77" i="2"/>
  <c r="KM77" i="2"/>
  <c r="KQ77" i="2"/>
  <c r="KY77" i="2"/>
  <c r="LC77" i="2"/>
  <c r="LG77" i="2"/>
  <c r="LK77" i="2"/>
  <c r="LO77" i="2"/>
  <c r="IY87" i="2"/>
  <c r="LT87" i="2"/>
  <c r="LQ87" i="2"/>
  <c r="IZ77" i="2"/>
  <c r="IZ66" i="2" s="1"/>
  <c r="LR77" i="2"/>
  <c r="LR66" i="2" s="1"/>
  <c r="JE87" i="2"/>
  <c r="JE64" i="2" s="1"/>
  <c r="JF64" i="2" s="1"/>
  <c r="JG64" i="2" s="1"/>
  <c r="LT77" i="2"/>
  <c r="KU77" i="2"/>
  <c r="LQ77" i="2"/>
  <c r="LQ66" i="2" s="1"/>
  <c r="JA77" i="2"/>
  <c r="JA66" i="2" s="1"/>
  <c r="IY77" i="2"/>
  <c r="IY66" i="2" s="1"/>
  <c r="JA87" i="2"/>
  <c r="IS77" i="2"/>
  <c r="IS66" i="2" s="1"/>
  <c r="IS87" i="2"/>
  <c r="LP61" i="2"/>
  <c r="LO61" i="2"/>
  <c r="LP59" i="2"/>
  <c r="LO59" i="2"/>
  <c r="LN61" i="2"/>
  <c r="LM61" i="2"/>
  <c r="LN59" i="2"/>
  <c r="LM59" i="2"/>
  <c r="LL61" i="2"/>
  <c r="LK61" i="2"/>
  <c r="LL59" i="2"/>
  <c r="LK59" i="2"/>
  <c r="LJ61" i="2"/>
  <c r="LI61" i="2"/>
  <c r="LJ59" i="2"/>
  <c r="LI59" i="2"/>
  <c r="LH61" i="2"/>
  <c r="LG61" i="2"/>
  <c r="LH59" i="2"/>
  <c r="LG59" i="2"/>
  <c r="LF61" i="2"/>
  <c r="LE61" i="2"/>
  <c r="LF59" i="2"/>
  <c r="LE59" i="2"/>
  <c r="LD61" i="2"/>
  <c r="LC61" i="2"/>
  <c r="LD59" i="2"/>
  <c r="LC59" i="2"/>
  <c r="LB61" i="2"/>
  <c r="LA61" i="2"/>
  <c r="LB59" i="2"/>
  <c r="LA59" i="2"/>
  <c r="KZ61" i="2"/>
  <c r="KY61" i="2"/>
  <c r="KZ59" i="2"/>
  <c r="KY59" i="2"/>
  <c r="KX61" i="2"/>
  <c r="KW61" i="2"/>
  <c r="KX59" i="2"/>
  <c r="KW59" i="2"/>
  <c r="KV61" i="2"/>
  <c r="KU61" i="2"/>
  <c r="KV59" i="2"/>
  <c r="KU59" i="2"/>
  <c r="KT61" i="2"/>
  <c r="KS61" i="2"/>
  <c r="KT59" i="2"/>
  <c r="KS59" i="2"/>
  <c r="KR61" i="2"/>
  <c r="KQ61" i="2"/>
  <c r="KR59" i="2"/>
  <c r="KQ59" i="2"/>
  <c r="KP61" i="2"/>
  <c r="KO61" i="2"/>
  <c r="KP59" i="2"/>
  <c r="KO59" i="2"/>
  <c r="KN61" i="2"/>
  <c r="KM61" i="2"/>
  <c r="KN59" i="2"/>
  <c r="KM59" i="2"/>
  <c r="KL61" i="2"/>
  <c r="KK61" i="2"/>
  <c r="KL60" i="2"/>
  <c r="KM60" i="2" s="1"/>
  <c r="KN60" i="2" s="1"/>
  <c r="KO60" i="2" s="1"/>
  <c r="KP60" i="2" s="1"/>
  <c r="KQ60" i="2" s="1"/>
  <c r="KR60" i="2" s="1"/>
  <c r="KS60" i="2" s="1"/>
  <c r="KT60" i="2" s="1"/>
  <c r="KU60" i="2" s="1"/>
  <c r="KV60" i="2" s="1"/>
  <c r="KW60" i="2" s="1"/>
  <c r="KX60" i="2" s="1"/>
  <c r="KY60" i="2" s="1"/>
  <c r="KZ60" i="2" s="1"/>
  <c r="LA60" i="2" s="1"/>
  <c r="LB60" i="2" s="1"/>
  <c r="LC60" i="2" s="1"/>
  <c r="LD60" i="2" s="1"/>
  <c r="LE60" i="2" s="1"/>
  <c r="LF60" i="2" s="1"/>
  <c r="LG60" i="2" s="1"/>
  <c r="LH60" i="2" s="1"/>
  <c r="LI60" i="2" s="1"/>
  <c r="LJ60" i="2" s="1"/>
  <c r="LK60" i="2" s="1"/>
  <c r="LL60" i="2" s="1"/>
  <c r="LM60" i="2" s="1"/>
  <c r="LN60" i="2" s="1"/>
  <c r="LO60" i="2" s="1"/>
  <c r="LP60" i="2" s="1"/>
  <c r="LQ60" i="2" s="1"/>
  <c r="LR60" i="2" s="1"/>
  <c r="LS60" i="2" s="1"/>
  <c r="LT60" i="2" s="1"/>
  <c r="LU60" i="2" s="1"/>
  <c r="LV60" i="2" s="1"/>
  <c r="LW60" i="2" s="1"/>
  <c r="KK60" i="2"/>
  <c r="KL59" i="2"/>
  <c r="KK59" i="2"/>
  <c r="KJ61" i="2"/>
  <c r="KI61" i="2"/>
  <c r="KI60" i="2"/>
  <c r="KJ60" i="2" s="1"/>
  <c r="KJ59" i="2"/>
  <c r="KI59" i="2"/>
  <c r="KH61" i="2"/>
  <c r="KG61" i="2"/>
  <c r="KH59" i="2"/>
  <c r="KG59" i="2"/>
  <c r="KF61" i="2"/>
  <c r="KE61" i="2"/>
  <c r="KF60" i="2"/>
  <c r="KG60" i="2" s="1"/>
  <c r="KH60" i="2" s="1"/>
  <c r="KE60" i="2"/>
  <c r="KF59" i="2"/>
  <c r="KE59" i="2"/>
  <c r="KD61" i="2"/>
  <c r="KC61" i="2"/>
  <c r="KC60" i="2"/>
  <c r="KD60" i="2" s="1"/>
  <c r="KD59" i="2"/>
  <c r="KC59" i="2"/>
  <c r="KB61" i="2"/>
  <c r="KA61" i="2"/>
  <c r="KB59" i="2"/>
  <c r="KA59" i="2"/>
  <c r="JZ61" i="2"/>
  <c r="JY61" i="2"/>
  <c r="JZ59" i="2"/>
  <c r="JY59" i="2"/>
  <c r="JX61" i="2"/>
  <c r="JX60" i="2"/>
  <c r="JY60" i="2" s="1"/>
  <c r="JZ60" i="2" s="1"/>
  <c r="KA60" i="2" s="1"/>
  <c r="KB60" i="2" s="1"/>
  <c r="JX59" i="2"/>
  <c r="JW61" i="2"/>
  <c r="JW60" i="2"/>
  <c r="JW59" i="2"/>
  <c r="JV61" i="2"/>
  <c r="JU61" i="2"/>
  <c r="JT61" i="2"/>
  <c r="JS61" i="2"/>
  <c r="JR61" i="2"/>
  <c r="JQ61" i="2"/>
  <c r="JP61" i="2"/>
  <c r="JO61" i="2"/>
  <c r="JN61" i="2"/>
  <c r="JM61" i="2"/>
  <c r="JL61" i="2"/>
  <c r="JK61" i="2"/>
  <c r="JJ61" i="2"/>
  <c r="JI61" i="2"/>
  <c r="JH61" i="2"/>
  <c r="JG61" i="2"/>
  <c r="JF61" i="2"/>
  <c r="JE61" i="2"/>
  <c r="JD61" i="2"/>
  <c r="JC61" i="2"/>
  <c r="JB61" i="2"/>
  <c r="JA61" i="2"/>
  <c r="IZ61" i="2"/>
  <c r="IY61" i="2"/>
  <c r="IX61" i="2"/>
  <c r="IW61" i="2"/>
  <c r="IV61" i="2"/>
  <c r="IU61" i="2"/>
  <c r="IT61" i="2"/>
  <c r="JH60" i="2"/>
  <c r="JI60" i="2" s="1"/>
  <c r="JJ60" i="2" s="1"/>
  <c r="JK60" i="2" s="1"/>
  <c r="JL60" i="2" s="1"/>
  <c r="JM60" i="2" s="1"/>
  <c r="JN60" i="2" s="1"/>
  <c r="JO60" i="2" s="1"/>
  <c r="JP60" i="2" s="1"/>
  <c r="JQ60" i="2" s="1"/>
  <c r="JR60" i="2" s="1"/>
  <c r="JS60" i="2" s="1"/>
  <c r="JT60" i="2" s="1"/>
  <c r="JU60" i="2" s="1"/>
  <c r="JV60" i="2" s="1"/>
  <c r="JV59" i="2"/>
  <c r="JU59" i="2"/>
  <c r="JT59" i="2"/>
  <c r="JS59" i="2"/>
  <c r="JR59" i="2"/>
  <c r="JQ59" i="2"/>
  <c r="JP59" i="2"/>
  <c r="JO59" i="2"/>
  <c r="JN59" i="2"/>
  <c r="JM59" i="2"/>
  <c r="JL59" i="2"/>
  <c r="JK59" i="2"/>
  <c r="JJ59" i="2"/>
  <c r="JI59" i="2"/>
  <c r="JH59" i="2"/>
  <c r="JG59" i="2"/>
  <c r="JF59" i="2"/>
  <c r="JE59" i="2"/>
  <c r="JD59" i="2"/>
  <c r="JC59" i="2"/>
  <c r="JB59" i="2"/>
  <c r="JA59" i="2"/>
  <c r="IZ59" i="2"/>
  <c r="IY59" i="2"/>
  <c r="IX59" i="2"/>
  <c r="IW59" i="2"/>
  <c r="IV59" i="2"/>
  <c r="IU59" i="2"/>
  <c r="IT59" i="2"/>
  <c r="IS60" i="2"/>
  <c r="IT60" i="2" s="1"/>
  <c r="IU60" i="2" s="1"/>
  <c r="IV60" i="2" s="1"/>
  <c r="IW60" i="2" s="1"/>
  <c r="IX60" i="2" s="1"/>
  <c r="IY60" i="2" s="1"/>
  <c r="IZ60" i="2" s="1"/>
  <c r="JA60" i="2" s="1"/>
  <c r="JB60" i="2" s="1"/>
  <c r="JC60" i="2" s="1"/>
  <c r="JD60" i="2" s="1"/>
  <c r="JE60" i="2" s="1"/>
  <c r="JF60" i="2" s="1"/>
  <c r="JG60" i="2" s="1"/>
  <c r="IS61" i="2"/>
  <c r="IS59" i="2"/>
  <c r="IN9" i="2"/>
  <c r="IO9" i="2" s="1"/>
  <c r="IE9" i="2"/>
  <c r="II9" i="2" s="1"/>
  <c r="LH64" i="2" l="1"/>
  <c r="VY9" i="2"/>
  <c r="VX9" i="2" s="1"/>
  <c r="WA9" i="2"/>
  <c r="WB9" i="2" s="1"/>
  <c r="WC9" i="2" s="1"/>
  <c r="WD9" i="2" s="1"/>
  <c r="WE9" i="2" s="1"/>
  <c r="WF9" i="2" s="1"/>
  <c r="WG9" i="2" s="1"/>
  <c r="WH9" i="2" s="1"/>
  <c r="WI9" i="2" s="1"/>
  <c r="WJ9" i="2" s="1"/>
  <c r="WK9" i="2" s="1"/>
  <c r="WL9" i="2" s="1"/>
  <c r="WM9" i="2" s="1"/>
  <c r="WN9" i="2" s="1"/>
  <c r="WO9" i="2" s="1"/>
  <c r="WP9" i="2" s="1"/>
  <c r="WQ9" i="2" s="1"/>
  <c r="WR9" i="2" s="1"/>
  <c r="WS9" i="2" s="1"/>
  <c r="WT9" i="2" s="1"/>
  <c r="WU9" i="2" s="1"/>
  <c r="WV9" i="2" s="1"/>
  <c r="WW9" i="2" s="1"/>
  <c r="WX9" i="2" s="1"/>
  <c r="WY9" i="2" s="1"/>
  <c r="WZ9" i="2" s="1"/>
  <c r="XA9" i="2" s="1"/>
  <c r="XB9" i="2" s="1"/>
  <c r="XC9" i="2" s="1"/>
  <c r="XD9" i="2" s="1"/>
  <c r="XE9" i="2" s="1"/>
  <c r="XF9" i="2" s="1"/>
  <c r="XG9" i="2" s="1"/>
  <c r="XH9" i="2" s="1"/>
  <c r="XI9" i="2" s="1"/>
  <c r="XJ9" i="2" s="1"/>
  <c r="XK9" i="2" s="1"/>
  <c r="XL9" i="2" s="1"/>
  <c r="XM9" i="2" s="1"/>
  <c r="XN9" i="2" s="1"/>
  <c r="KT66" i="2"/>
  <c r="KU66" i="2" s="1"/>
  <c r="KV66" i="2" s="1"/>
  <c r="KW66" i="2" s="1"/>
  <c r="KX66" i="2" s="1"/>
  <c r="LT66" i="2"/>
  <c r="LY60" i="2"/>
  <c r="MA60" i="2" s="1"/>
  <c r="MC60" i="2" s="1"/>
  <c r="LX60" i="2"/>
  <c r="LZ60" i="2" s="1"/>
  <c r="MB60" i="2" s="1"/>
  <c r="MD60" i="2" s="1"/>
  <c r="IF9" i="2"/>
  <c r="IJ9" i="2" s="1"/>
  <c r="ID9" i="2"/>
  <c r="IR9" i="2"/>
  <c r="IS9" i="2" s="1"/>
  <c r="IT9" i="2" s="1"/>
  <c r="IU9" i="2" s="1"/>
  <c r="IV9" i="2" s="1"/>
  <c r="IW9" i="2" s="1"/>
  <c r="IX9" i="2" s="1"/>
  <c r="IY9" i="2" s="1"/>
  <c r="IZ9" i="2" s="1"/>
  <c r="JA9" i="2" s="1"/>
  <c r="JB9" i="2" s="1"/>
  <c r="JC9" i="2" s="1"/>
  <c r="JD9" i="2" s="1"/>
  <c r="JE9" i="2" s="1"/>
  <c r="JF9" i="2" s="1"/>
  <c r="JG9" i="2" s="1"/>
  <c r="JH9" i="2" s="1"/>
  <c r="JI9" i="2" s="1"/>
  <c r="JJ9" i="2" s="1"/>
  <c r="JK9" i="2" s="1"/>
  <c r="JL9" i="2" s="1"/>
  <c r="JM9" i="2" s="1"/>
  <c r="JN9" i="2" s="1"/>
  <c r="JO9" i="2" s="1"/>
  <c r="JP9" i="2" s="1"/>
  <c r="JQ9" i="2" s="1"/>
  <c r="JR9" i="2" s="1"/>
  <c r="JS9" i="2" s="1"/>
  <c r="JT9" i="2" s="1"/>
  <c r="JU9" i="2" s="1"/>
  <c r="JV9" i="2" s="1"/>
  <c r="JW9" i="2" s="1"/>
  <c r="JX9" i="2" s="1"/>
  <c r="JY9" i="2" s="1"/>
  <c r="JZ9" i="2" s="1"/>
  <c r="KA9" i="2" s="1"/>
  <c r="KB9" i="2" s="1"/>
  <c r="KC9" i="2" s="1"/>
  <c r="KD9" i="2" s="1"/>
  <c r="KE9" i="2" s="1"/>
  <c r="KF9" i="2" s="1"/>
  <c r="KG9" i="2" s="1"/>
  <c r="KH9" i="2" s="1"/>
  <c r="KI9" i="2" s="1"/>
  <c r="KJ9" i="2" s="1"/>
  <c r="KK9" i="2" s="1"/>
  <c r="KL9" i="2" s="1"/>
  <c r="KM9" i="2" s="1"/>
  <c r="KN9" i="2" s="1"/>
  <c r="KO9" i="2" s="1"/>
  <c r="KP9" i="2" s="1"/>
  <c r="KQ9" i="2" s="1"/>
  <c r="KR9" i="2" s="1"/>
  <c r="KS9" i="2" s="1"/>
  <c r="KT9" i="2" s="1"/>
  <c r="KU9" i="2" s="1"/>
  <c r="KV9" i="2" s="1"/>
  <c r="KW9" i="2" s="1"/>
  <c r="KX9" i="2" s="1"/>
  <c r="KY9" i="2" s="1"/>
  <c r="KZ9" i="2" s="1"/>
  <c r="LA9" i="2" s="1"/>
  <c r="LB9" i="2" s="1"/>
  <c r="LC9" i="2" s="1"/>
  <c r="LD9" i="2" s="1"/>
  <c r="LE9" i="2" s="1"/>
  <c r="LF9" i="2" s="1"/>
  <c r="LG9" i="2" s="1"/>
  <c r="LH9" i="2" s="1"/>
  <c r="LI9" i="2" s="1"/>
  <c r="LJ9" i="2" s="1"/>
  <c r="LK9" i="2" s="1"/>
  <c r="LL9" i="2" s="1"/>
  <c r="LM9" i="2" s="1"/>
  <c r="LN9" i="2" s="1"/>
  <c r="LO9" i="2" s="1"/>
  <c r="LP9" i="2" s="1"/>
  <c r="LQ9" i="2" s="1"/>
  <c r="LR9" i="2" s="1"/>
  <c r="LS9" i="2" s="1"/>
  <c r="LT9" i="2" s="1"/>
  <c r="LU9" i="2" s="1"/>
  <c r="LV9" i="2" s="1"/>
  <c r="LW9" i="2" s="1"/>
  <c r="LX9" i="2" s="1"/>
  <c r="LY9" i="2" s="1"/>
  <c r="LZ9" i="2" s="1"/>
  <c r="MA9" i="2" s="1"/>
  <c r="MB9" i="2" s="1"/>
  <c r="MC9" i="2" s="1"/>
  <c r="MD9" i="2" s="1"/>
  <c r="ME9" i="2" s="1"/>
  <c r="MF9" i="2" s="1"/>
  <c r="MG9" i="2" s="1"/>
  <c r="MH9" i="2" s="1"/>
  <c r="MI9" i="2" s="1"/>
  <c r="MJ9" i="2" s="1"/>
  <c r="IM9" i="2"/>
  <c r="IH9" i="2"/>
  <c r="FG9" i="2"/>
  <c r="FF9" i="2" s="1"/>
  <c r="XR9" i="2" l="1"/>
  <c r="XO9" i="2"/>
  <c r="MK9" i="2"/>
  <c r="MN9" i="2"/>
  <c r="IQ9" i="2"/>
  <c r="IG9" i="2"/>
  <c r="FH9" i="2"/>
  <c r="FK9" i="2"/>
  <c r="XQ9" i="2" l="1"/>
  <c r="XP9" i="2" s="1"/>
  <c r="XS9" i="2"/>
  <c r="XT9" i="2" s="1"/>
  <c r="XU9" i="2" s="1"/>
  <c r="XV9" i="2" s="1"/>
  <c r="XW9" i="2" s="1"/>
  <c r="YA9" i="2" s="1"/>
  <c r="MR9" i="2"/>
  <c r="MO9" i="2"/>
  <c r="MM9" i="2"/>
  <c r="ML9" i="2" s="1"/>
  <c r="IP9" i="2"/>
  <c r="FJ9" i="2"/>
  <c r="FI9" i="2" s="1"/>
  <c r="FL9" i="2"/>
  <c r="AK9" i="2"/>
  <c r="AJ9" i="2" s="1"/>
  <c r="AI9" i="2" s="1"/>
  <c r="AG9" i="2"/>
  <c r="AH9" i="2" s="1"/>
  <c r="AD9" i="2"/>
  <c r="AC9" i="2" s="1"/>
  <c r="AB9" i="2" s="1"/>
  <c r="Z9" i="2"/>
  <c r="AA9" i="2" s="1"/>
  <c r="W9" i="2"/>
  <c r="V9" i="2" s="1"/>
  <c r="U9" i="2" s="1"/>
  <c r="S9" i="2"/>
  <c r="T9" i="2" s="1"/>
  <c r="AR9" i="2"/>
  <c r="AQ9" i="2" s="1"/>
  <c r="AP9" i="2" s="1"/>
  <c r="AN9" i="2"/>
  <c r="AO9" i="2" s="1"/>
  <c r="XX9" i="2" l="1"/>
  <c r="MS9" i="2"/>
  <c r="MT9" i="2" s="1"/>
  <c r="MQ9" i="2"/>
  <c r="MP9" i="2" s="1"/>
  <c r="AS9" i="2"/>
  <c r="FM9" i="2"/>
  <c r="FP9" i="2"/>
  <c r="P9" i="2"/>
  <c r="O9" i="2" s="1"/>
  <c r="N9" i="2" s="1"/>
  <c r="YE9" i="2" l="1"/>
  <c r="XZ9" i="2"/>
  <c r="XY9" i="2" s="1"/>
  <c r="YB9" i="2"/>
  <c r="MU9" i="2"/>
  <c r="MX9" i="2"/>
  <c r="AT9" i="2"/>
  <c r="AU9" i="2" s="1"/>
  <c r="AV9" i="2" s="1"/>
  <c r="AW9" i="2" s="1"/>
  <c r="AX9" i="2" s="1"/>
  <c r="BB9" i="2" s="1"/>
  <c r="BA9" i="2" s="1"/>
  <c r="BE9" i="2"/>
  <c r="FQ9" i="2"/>
  <c r="FR9" i="2" s="1"/>
  <c r="FS9" i="2" s="1"/>
  <c r="FO9" i="2"/>
  <c r="FN9" i="2" s="1"/>
  <c r="L9" i="2"/>
  <c r="M9" i="2" s="1"/>
  <c r="D9" i="2"/>
  <c r="I9" i="2" l="1"/>
  <c r="H9" i="2" s="1"/>
  <c r="G9" i="2" s="1"/>
  <c r="YF9" i="2"/>
  <c r="YG9" i="2" s="1"/>
  <c r="YH9" i="2" s="1"/>
  <c r="YI9" i="2" s="1"/>
  <c r="YJ9" i="2" s="1"/>
  <c r="YN9" i="2" s="1"/>
  <c r="YM9" i="2" s="1"/>
  <c r="YD9" i="2"/>
  <c r="YC9" i="2" s="1"/>
  <c r="NB9" i="2"/>
  <c r="MW9" i="2"/>
  <c r="MV9" i="2" s="1"/>
  <c r="MY9" i="2"/>
  <c r="FT9" i="2"/>
  <c r="FW9" i="2"/>
  <c r="AY9" i="2"/>
  <c r="E9" i="2"/>
  <c r="F9" i="2" s="1"/>
  <c r="BF9" i="2"/>
  <c r="BG9" i="2" s="1"/>
  <c r="BH9" i="2" s="1"/>
  <c r="BI9" i="2" s="1"/>
  <c r="BJ9" i="2" s="1"/>
  <c r="BM9" i="2" s="1"/>
  <c r="BD9" i="2"/>
  <c r="BC9" i="2" s="1"/>
  <c r="YK9" i="2" l="1"/>
  <c r="NA9" i="2"/>
  <c r="MZ9" i="2" s="1"/>
  <c r="NC9" i="2"/>
  <c r="ND9" i="2" s="1"/>
  <c r="FV9" i="2"/>
  <c r="FU9" i="2" s="1"/>
  <c r="FX9" i="2"/>
  <c r="FY9" i="2" s="1"/>
  <c r="FZ9" i="2" s="1"/>
  <c r="BL9" i="2"/>
  <c r="BK9" i="2" s="1"/>
  <c r="BN9" i="2"/>
  <c r="BO9" i="2" s="1"/>
  <c r="BP9" i="2" s="1"/>
  <c r="BQ9" i="2" s="1"/>
  <c r="BR9" i="2" s="1"/>
  <c r="BS9" i="2" s="1"/>
  <c r="BT9" i="2" s="1"/>
  <c r="BW9" i="2" s="1"/>
  <c r="AZ9" i="2"/>
  <c r="YL9" i="2" l="1"/>
  <c r="YO9" i="2"/>
  <c r="YP9" i="2" s="1"/>
  <c r="YQ9" i="2" s="1"/>
  <c r="YR9" i="2" s="1"/>
  <c r="YS9" i="2" s="1"/>
  <c r="YW9" i="2" s="1"/>
  <c r="NE9" i="2"/>
  <c r="NH9" i="2"/>
  <c r="GA9" i="2"/>
  <c r="GD9" i="2"/>
  <c r="BV9" i="2"/>
  <c r="BU9" i="2" s="1"/>
  <c r="BX9" i="2"/>
  <c r="BY9" i="2" s="1"/>
  <c r="BZ9" i="2" s="1"/>
  <c r="CA9" i="2" s="1"/>
  <c r="CB9" i="2" s="1"/>
  <c r="CC9" i="2" s="1"/>
  <c r="CD9" i="2" s="1"/>
  <c r="CH9" i="2" s="1"/>
  <c r="YT9" i="2" l="1"/>
  <c r="NG9" i="2"/>
  <c r="NF9" i="2" s="1"/>
  <c r="NI9" i="2"/>
  <c r="NL9" i="2"/>
  <c r="GC9" i="2"/>
  <c r="GB9" i="2" s="1"/>
  <c r="GE9" i="2"/>
  <c r="GF9" i="2" s="1"/>
  <c r="GG9" i="2" s="1"/>
  <c r="CE9" i="2"/>
  <c r="YV9" i="2" l="1"/>
  <c r="YU9" i="2" s="1"/>
  <c r="ZA9" i="2"/>
  <c r="YX9" i="2"/>
  <c r="NK9" i="2"/>
  <c r="NJ9" i="2" s="1"/>
  <c r="NM9" i="2"/>
  <c r="NN9" i="2" s="1"/>
  <c r="NO9" i="2" s="1"/>
  <c r="NP9" i="2" s="1"/>
  <c r="NQ9" i="2" s="1"/>
  <c r="NR9" i="2" s="1"/>
  <c r="NS9" i="2" s="1"/>
  <c r="NT9" i="2" s="1"/>
  <c r="NU9" i="2" s="1"/>
  <c r="NV9" i="2" s="1"/>
  <c r="NW9" i="2" s="1"/>
  <c r="NX9" i="2" s="1"/>
  <c r="NY9" i="2" s="1"/>
  <c r="NZ9" i="2" s="1"/>
  <c r="OA9" i="2" s="1"/>
  <c r="OB9" i="2" s="1"/>
  <c r="OC9" i="2" s="1"/>
  <c r="OD9" i="2" s="1"/>
  <c r="OE9" i="2" s="1"/>
  <c r="OF9" i="2" s="1"/>
  <c r="OG9" i="2" s="1"/>
  <c r="OH9" i="2" s="1"/>
  <c r="OI9" i="2" s="1"/>
  <c r="OJ9" i="2" s="1"/>
  <c r="OK9" i="2" s="1"/>
  <c r="OL9" i="2" s="1"/>
  <c r="OM9" i="2" s="1"/>
  <c r="ON9" i="2" s="1"/>
  <c r="OO9" i="2" s="1"/>
  <c r="OP9" i="2" s="1"/>
  <c r="OQ9" i="2" s="1"/>
  <c r="OR9" i="2" s="1"/>
  <c r="OS9" i="2" s="1"/>
  <c r="OT9" i="2" s="1"/>
  <c r="OU9" i="2" s="1"/>
  <c r="OV9" i="2" s="1"/>
  <c r="OW9" i="2" s="1"/>
  <c r="OX9" i="2" s="1"/>
  <c r="OY9" i="2" s="1"/>
  <c r="OZ9" i="2" s="1"/>
  <c r="PA9" i="2" s="1"/>
  <c r="PB9" i="2" s="1"/>
  <c r="PC9" i="2" s="1"/>
  <c r="PD9" i="2" s="1"/>
  <c r="PE9" i="2" s="1"/>
  <c r="PF9" i="2" s="1"/>
  <c r="PG9" i="2" s="1"/>
  <c r="PH9" i="2" s="1"/>
  <c r="PI9" i="2" s="1"/>
  <c r="PJ9" i="2" s="1"/>
  <c r="PK9" i="2" s="1"/>
  <c r="PL9" i="2" s="1"/>
  <c r="PM9" i="2" s="1"/>
  <c r="PN9" i="2" s="1"/>
  <c r="PO9" i="2" s="1"/>
  <c r="PP9" i="2" s="1"/>
  <c r="PQ9" i="2" s="1"/>
  <c r="PR9" i="2" s="1"/>
  <c r="PS9" i="2" s="1"/>
  <c r="PT9" i="2" s="1"/>
  <c r="PU9" i="2" s="1"/>
  <c r="PV9" i="2" s="1"/>
  <c r="PW9" i="2" s="1"/>
  <c r="PX9" i="2" s="1"/>
  <c r="PY9" i="2" s="1"/>
  <c r="PZ9" i="2" s="1"/>
  <c r="QA9" i="2" s="1"/>
  <c r="QB9" i="2" s="1"/>
  <c r="GK9" i="2"/>
  <c r="GH9" i="2"/>
  <c r="CL9" i="2"/>
  <c r="CG9" i="2"/>
  <c r="CF9" i="2" s="1"/>
  <c r="CI9" i="2"/>
  <c r="YZ9" i="2" l="1"/>
  <c r="YY9" i="2" s="1"/>
  <c r="ZB9" i="2"/>
  <c r="ZC9" i="2" s="1"/>
  <c r="ZD9" i="2" s="1"/>
  <c r="ZE9" i="2" s="1"/>
  <c r="QC9" i="2"/>
  <c r="QD9" i="2" s="1"/>
  <c r="QE9" i="2" s="1"/>
  <c r="QF9" i="2" s="1"/>
  <c r="QG9" i="2" s="1"/>
  <c r="GL9" i="2"/>
  <c r="GM9" i="2" s="1"/>
  <c r="GN9" i="2" s="1"/>
  <c r="GJ9" i="2"/>
  <c r="GI9" i="2" s="1"/>
  <c r="CK9" i="2"/>
  <c r="CJ9" i="2" s="1"/>
  <c r="CM9" i="2"/>
  <c r="CN9" i="2" s="1"/>
  <c r="CO9" i="2" s="1"/>
  <c r="CP9" i="2" s="1"/>
  <c r="CQ9" i="2" s="1"/>
  <c r="CR9" i="2" s="1"/>
  <c r="CS9" i="2" s="1"/>
  <c r="CW9" i="2" s="1"/>
  <c r="ZF9" i="2" l="1"/>
  <c r="ZG9" i="2" s="1"/>
  <c r="ZH9" i="2" s="1"/>
  <c r="ZI9" i="2"/>
  <c r="ZJ9" i="2" s="1"/>
  <c r="ZK9" i="2" s="1"/>
  <c r="ZL9" i="2" s="1"/>
  <c r="QH9" i="2"/>
  <c r="QI9" i="2" s="1"/>
  <c r="QJ9" i="2" s="1"/>
  <c r="QK9" i="2" s="1"/>
  <c r="QL9" i="2" s="1"/>
  <c r="QM9" i="2" s="1"/>
  <c r="QN9" i="2" s="1"/>
  <c r="QO9" i="2" s="1"/>
  <c r="QP9" i="2" s="1"/>
  <c r="QQ9" i="2" s="1"/>
  <c r="QR9" i="2" s="1"/>
  <c r="QS9" i="2" s="1"/>
  <c r="QT9" i="2" s="1"/>
  <c r="GO9" i="2"/>
  <c r="GR9" i="2"/>
  <c r="CT9" i="2"/>
  <c r="ZO9" i="2" l="1"/>
  <c r="ZM9" i="2"/>
  <c r="QU9" i="2"/>
  <c r="QV9" i="2" s="1"/>
  <c r="QW9" i="2" s="1"/>
  <c r="QX9" i="2" s="1"/>
  <c r="QY9" i="2" s="1"/>
  <c r="QZ9" i="2" s="1"/>
  <c r="RA9" i="2" s="1"/>
  <c r="RD9" i="2" s="1"/>
  <c r="RE9" i="2" s="1"/>
  <c r="GS9" i="2"/>
  <c r="GT9" i="2" s="1"/>
  <c r="GU9" i="2" s="1"/>
  <c r="GQ9" i="2"/>
  <c r="GP9" i="2" s="1"/>
  <c r="CX9" i="2"/>
  <c r="CV9" i="2"/>
  <c r="CU9" i="2" s="1"/>
  <c r="DA9" i="2"/>
  <c r="ZN9" i="2" l="1"/>
  <c r="ZP9" i="2"/>
  <c r="ZQ9" i="2" s="1"/>
  <c r="ZR9" i="2" s="1"/>
  <c r="ZS9" i="2" s="1"/>
  <c r="RB9" i="2"/>
  <c r="GY9" i="2"/>
  <c r="GV9" i="2"/>
  <c r="DB9" i="2"/>
  <c r="DC9" i="2" s="1"/>
  <c r="DD9" i="2" s="1"/>
  <c r="DE9" i="2" s="1"/>
  <c r="DF9" i="2" s="1"/>
  <c r="DG9" i="2" s="1"/>
  <c r="DH9" i="2" s="1"/>
  <c r="DL9" i="2" s="1"/>
  <c r="CZ9" i="2"/>
  <c r="CY9" i="2" s="1"/>
  <c r="ZT9" i="2" l="1"/>
  <c r="ZV9" i="2"/>
  <c r="RF9" i="2"/>
  <c r="RG9" i="2" s="1"/>
  <c r="RH9" i="2" s="1"/>
  <c r="RI9" i="2" s="1"/>
  <c r="RM9" i="2" s="1"/>
  <c r="RQ9" i="2" s="1"/>
  <c r="RC9" i="2"/>
  <c r="GZ9" i="2"/>
  <c r="HA9" i="2" s="1"/>
  <c r="HB9" i="2" s="1"/>
  <c r="GX9" i="2"/>
  <c r="GW9" i="2" s="1"/>
  <c r="DI9" i="2"/>
  <c r="ZU9" i="2" l="1"/>
  <c r="ZW9" i="2"/>
  <c r="ZX9" i="2" s="1"/>
  <c r="ZY9" i="2" s="1"/>
  <c r="RJ9" i="2"/>
  <c r="HF9" i="2"/>
  <c r="HC9" i="2"/>
  <c r="DP9" i="2"/>
  <c r="DK9" i="2"/>
  <c r="DJ9" i="2" s="1"/>
  <c r="DM9" i="2"/>
  <c r="AAD9" i="2" l="1"/>
  <c r="ZZ9" i="2"/>
  <c r="AAA9" i="2" s="1"/>
  <c r="RL9" i="2"/>
  <c r="RK9" i="2" s="1"/>
  <c r="RN9" i="2"/>
  <c r="HG9" i="2"/>
  <c r="HH9" i="2" s="1"/>
  <c r="HI9" i="2" s="1"/>
  <c r="HE9" i="2"/>
  <c r="HD9" i="2" s="1"/>
  <c r="DQ9" i="2"/>
  <c r="DR9" i="2" s="1"/>
  <c r="DS9" i="2" s="1"/>
  <c r="DT9" i="2" s="1"/>
  <c r="DU9" i="2" s="1"/>
  <c r="DV9" i="2" s="1"/>
  <c r="DW9" i="2" s="1"/>
  <c r="DX9" i="2" s="1"/>
  <c r="DO9" i="2"/>
  <c r="DN9" i="2" s="1"/>
  <c r="AAI9" i="2" l="1"/>
  <c r="AAH9" i="2" s="1"/>
  <c r="AAG9" i="2" s="1"/>
  <c r="AAC9" i="2"/>
  <c r="AAB9" i="2" s="1"/>
  <c r="AAE9" i="2"/>
  <c r="RP9" i="2"/>
  <c r="RO9" i="2" s="1"/>
  <c r="RR9" i="2"/>
  <c r="HM9" i="2"/>
  <c r="HJ9" i="2"/>
  <c r="EB9" i="2"/>
  <c r="DY9" i="2"/>
  <c r="AAJ9" i="2" l="1"/>
  <c r="AAK9" i="2" s="1"/>
  <c r="AAF9" i="2"/>
  <c r="HN9" i="2"/>
  <c r="HO9" i="2" s="1"/>
  <c r="HP9" i="2" s="1"/>
  <c r="HL9" i="2"/>
  <c r="HK9" i="2" s="1"/>
  <c r="EC9" i="2"/>
  <c r="ED9" i="2" s="1"/>
  <c r="EE9" i="2" s="1"/>
  <c r="EF9" i="2" s="1"/>
  <c r="EG9" i="2" s="1"/>
  <c r="EH9" i="2" s="1"/>
  <c r="EI9" i="2" s="1"/>
  <c r="EJ9" i="2" s="1"/>
  <c r="EA9" i="2"/>
  <c r="DZ9" i="2" s="1"/>
  <c r="HQ9" i="2" l="1"/>
  <c r="HT9" i="2"/>
  <c r="EN9" i="2"/>
  <c r="EK9" i="2"/>
  <c r="HS9" i="2" l="1"/>
  <c r="HR9" i="2" s="1"/>
  <c r="HU9" i="2"/>
  <c r="HV9" i="2" s="1"/>
  <c r="HW9" i="2" s="1"/>
  <c r="EO9" i="2"/>
  <c r="EP9" i="2" s="1"/>
  <c r="EQ9" i="2" s="1"/>
  <c r="ER9" i="2" s="1"/>
  <c r="ES9" i="2" s="1"/>
  <c r="ET9" i="2" s="1"/>
  <c r="EU9" i="2" s="1"/>
  <c r="EV9" i="2" s="1"/>
  <c r="EM9" i="2"/>
  <c r="EL9" i="2" s="1"/>
  <c r="IA9" i="2" l="1"/>
  <c r="HZ9" i="2" s="1"/>
  <c r="HY9" i="2" s="1"/>
  <c r="HX9" i="2"/>
  <c r="EW9" i="2"/>
  <c r="EZ9" i="2"/>
  <c r="EY9" i="2" l="1"/>
  <c r="EX9" i="2" s="1"/>
  <c r="FA9" i="2"/>
  <c r="FB9" i="2" s="1"/>
  <c r="FC9" i="2" s="1"/>
</calcChain>
</file>

<file path=xl/comments1.xml><?xml version="1.0" encoding="utf-8"?>
<comments xmlns="http://schemas.openxmlformats.org/spreadsheetml/2006/main">
  <authors>
    <author>Author</author>
  </authors>
  <commentList>
    <comment ref="MN69" authorId="0">
      <text>
        <r>
          <rPr>
            <b/>
            <sz val="9"/>
            <color indexed="81"/>
            <rFont val="Tahoma"/>
            <family val="2"/>
          </rPr>
          <t>Author:</t>
        </r>
        <r>
          <rPr>
            <sz val="9"/>
            <color indexed="81"/>
            <rFont val="Tahoma"/>
            <family val="2"/>
          </rPr>
          <t xml:space="preserve">
</t>
        </r>
        <r>
          <rPr>
            <sz val="12"/>
            <color indexed="81"/>
            <rFont val="Tahoma"/>
            <family val="2"/>
          </rPr>
          <t>Since in model turetUNLOCK failed status set to 0 in every cycle, this value is 0 in results. Review defect raised for this.
Issue resolved in above 04..06.28.00</t>
        </r>
      </text>
    </comment>
    <comment ref="NH69" authorId="0">
      <text>
        <r>
          <rPr>
            <b/>
            <sz val="9"/>
            <color indexed="81"/>
            <rFont val="Tahoma"/>
            <family val="2"/>
          </rPr>
          <t>Author:</t>
        </r>
        <r>
          <rPr>
            <sz val="9"/>
            <color indexed="81"/>
            <rFont val="Tahoma"/>
            <family val="2"/>
          </rPr>
          <t xml:space="preserve">
Same as previous. This issue resolvced in next release</t>
        </r>
      </text>
    </comment>
  </commentList>
</comments>
</file>

<file path=xl/sharedStrings.xml><?xml version="1.0" encoding="utf-8"?>
<sst xmlns="http://schemas.openxmlformats.org/spreadsheetml/2006/main" count="53936" uniqueCount="2123">
  <si>
    <t>Comment</t>
  </si>
  <si>
    <t>Calibration value</t>
  </si>
  <si>
    <t>Inputs</t>
  </si>
  <si>
    <t>Outputs</t>
  </si>
  <si>
    <t>SSDD v x.xx</t>
  </si>
  <si>
    <t>Set</t>
  </si>
  <si>
    <t>Verify</t>
  </si>
  <si>
    <t>Configure</t>
  </si>
  <si>
    <t>TP #</t>
  </si>
  <si>
    <t>Test case Trace</t>
  </si>
  <si>
    <t>Time ( ms)</t>
  </si>
  <si>
    <t>Object Identifier</t>
  </si>
  <si>
    <t>Object Type</t>
  </si>
  <si>
    <t>Configuration</t>
  </si>
  <si>
    <t>TC Trace</t>
  </si>
  <si>
    <t>Object Text</t>
  </si>
  <si>
    <t>Comments</t>
  </si>
  <si>
    <t>Test Method</t>
  </si>
  <si>
    <t>Test Procedure Tag/ Obj ID</t>
  </si>
  <si>
    <t>mmd_enum_systemMode</t>
  </si>
  <si>
    <t>smd_enum_safetyMode</t>
  </si>
  <si>
    <t>mmc_tm_turretUnlockSetTime_cs</t>
  </si>
  <si>
    <t>mmc_tm_turretLockSetTime_cs</t>
  </si>
  <si>
    <t>mmc_tm_initSetTime_cs</t>
  </si>
  <si>
    <t>mmc_tm_lvcLoadStageSetTime_cs</t>
  </si>
  <si>
    <t>mmc_tm_illegalTransitionNotfcSetTime_cs</t>
  </si>
  <si>
    <t>mmc_tm_faultNotfcSetTime_cs</t>
  </si>
  <si>
    <t>isd_enum_initStatus</t>
  </si>
  <si>
    <t>lvcd_enum_turretLockStatus</t>
  </si>
  <si>
    <t>lvcd_enum_ignitionKeyStatus</t>
  </si>
  <si>
    <t>lvcd_enum_fwdNeuRevPos</t>
  </si>
  <si>
    <t>lvcd_enum_parkBrkReq</t>
  </si>
  <si>
    <t>lvcd_enum_parkBrakeStatus</t>
  </si>
  <si>
    <t>lvcd_enum_loadJoystick</t>
  </si>
  <si>
    <t>lvcd_enum_loadingStep</t>
  </si>
  <si>
    <t>lvcd_enum_pinStatus</t>
  </si>
  <si>
    <t>lvcd_enum_operatStationPos</t>
  </si>
  <si>
    <t>motfd_enum_missionInProgress</t>
  </si>
  <si>
    <t>motfd_enum_missionType</t>
  </si>
  <si>
    <t>csd_enum_dcmSwitchStatus</t>
  </si>
  <si>
    <t>csd_enum_pcmSwitchStatus</t>
  </si>
  <si>
    <t>csd_enum_neutralSwitchStatus</t>
  </si>
  <si>
    <t>tasd_flg_turretValid</t>
  </si>
  <si>
    <t>acd_flg_arincValid</t>
  </si>
  <si>
    <t>dbd_enum_acSteeringMethod</t>
  </si>
  <si>
    <t>ntd_flg_neutralDisabled</t>
  </si>
  <si>
    <t>emd_flg_lvcModeApproved</t>
  </si>
  <si>
    <t>mmd_enum_pcmDcmMode</t>
  </si>
  <si>
    <t>mmd_enum_ctrlModeToApply</t>
  </si>
  <si>
    <t>mmd_enum_turretLockRequest</t>
  </si>
  <si>
    <t>mmd_bm_reasonPcmDenied</t>
  </si>
  <si>
    <t>mmd_bm_reasonDcmDenied1</t>
  </si>
  <si>
    <t>mmd_bm_reasonDcmDenied2</t>
  </si>
  <si>
    <t>mmd_bm_reasonNeutDenied</t>
  </si>
  <si>
    <t>mmd_bm_reasonUnloadDenied</t>
  </si>
  <si>
    <t>mmd_bm_illegalTransReqst</t>
  </si>
  <si>
    <t>mmd_flg_neutralFailed</t>
  </si>
  <si>
    <t>mmd_flg_turretLockFailed</t>
  </si>
  <si>
    <t>mmd_flg_turretUnLockFailed</t>
  </si>
  <si>
    <t>mmd_bm_reasonLoadCompleteDenied</t>
  </si>
  <si>
    <t>ID</t>
  </si>
  <si>
    <t>Object Number</t>
  </si>
  <si>
    <t>Object Heading</t>
  </si>
  <si>
    <t>Procedure Title</t>
  </si>
  <si>
    <t>Step</t>
  </si>
  <si>
    <t>Temp TC Trace</t>
  </si>
  <si>
    <t>Procedure Step</t>
  </si>
  <si>
    <t>Analysis</t>
  </si>
  <si>
    <t xml:space="preserve">1) Open 'bswScheduler.c' in BSW\bswCommon\bswScheduler_x000D_
2) Open 'taxibotMain.c' in BSW\bswCommon\bswScheduler_x000D_
3) Open file 'appDispatcher.c' in TXB_NB_APP\appCommon\appDispatcher
4) Open file 'mm_context.c' in TXB_NB_APP\appModeManager
_x000D_
_x000D_
</t>
  </si>
  <si>
    <t>TXB-HLC-TC_5928</t>
  </si>
  <si>
    <t>LVC_LOAD_E</t>
  </si>
  <si>
    <t>CS_SWITCH_NOT_REQUESTED_E</t>
  </si>
  <si>
    <t>SM_NORMAL_E</t>
  </si>
  <si>
    <t>DB_STEER_METHOD_UNAVAILABLE_E</t>
  </si>
  <si>
    <t>MO_MISSION_APPROVED_E</t>
  </si>
  <si>
    <t>LVC_LOAD_STAGE48_E</t>
  </si>
  <si>
    <t>LVC_PIN_IN_E</t>
  </si>
  <si>
    <t>LVC_NEUTRAL_E</t>
  </si>
  <si>
    <t>LVC_REQ_ENGAGE_E</t>
  </si>
  <si>
    <t>LVC_APPLIED_E</t>
  </si>
  <si>
    <t>mmc_tm_NeutralModeDelaySetTime_cs</t>
  </si>
  <si>
    <t>mmc_vel_haltVelTresh_mps</t>
  </si>
  <si>
    <t>dcd_flg_speedFLValid</t>
  </si>
  <si>
    <t>dcd_vel_tugWsFL_mps</t>
  </si>
  <si>
    <t>dcd_flg_speedRLValid</t>
  </si>
  <si>
    <t>dcd_vel_tugWsRL_mps</t>
  </si>
  <si>
    <t>dcd_flg_speedFRValid</t>
  </si>
  <si>
    <t>dcd_vel_tugWsFR_mps</t>
  </si>
  <si>
    <t>dcd_flg_speedRRValid</t>
  </si>
  <si>
    <t>dcd_vel_tugWsRR_mps</t>
  </si>
  <si>
    <t>During initialization verify that Modes Manager outputs are set to default values</t>
  </si>
  <si>
    <t>MM_SYSTEM_MODE_INIT_E</t>
  </si>
  <si>
    <t>MM_LVC_E</t>
  </si>
  <si>
    <t>MM_NONE_E</t>
  </si>
  <si>
    <t>MM_TURRET_LOCK_LOCK_E</t>
  </si>
  <si>
    <t>Change the system mode from INIT to SHUTDOWN</t>
  </si>
  <si>
    <t>IS_INIT_COMPLETED_E</t>
  </si>
  <si>
    <t>IS_INIT_PROCESSED_E</t>
  </si>
  <si>
    <t>LVC_IGNITION_OFF_E</t>
  </si>
  <si>
    <t>MM_SYSTEM_MODE_SHUTDOWN_E</t>
  </si>
  <si>
    <t>LVC_LOCKED_E</t>
  </si>
  <si>
    <t>LVC_FORWARD_E</t>
  </si>
  <si>
    <t>LVC_LOAD_STAGE0_E</t>
  </si>
  <si>
    <t>LVC_FWD_E</t>
  </si>
  <si>
    <t>MD_MISSION_TYPE_REGULAR_TOWING_E</t>
  </si>
  <si>
    <t>POWER ON CYCLE</t>
  </si>
  <si>
    <t>Change the system mode from INIT to LVC</t>
  </si>
  <si>
    <t>LVC_IGNITION_ON_E</t>
  </si>
  <si>
    <t>MM_SYSTEM_MODE_LVC_MODE_E</t>
  </si>
  <si>
    <t>TXB-HLC-TC_5927
TXB-HLC-TC_5926</t>
  </si>
  <si>
    <t>CS_SWITCH_REQUESTED_E</t>
  </si>
  <si>
    <t>LVC_IGNITION_ON2_E</t>
  </si>
  <si>
    <t>LVC_IGNITION_ERROR_E</t>
  </si>
  <si>
    <t>TXB-HLC-TC_5933</t>
  </si>
  <si>
    <t>IS_INIT_NOT_PROCESSED_E</t>
  </si>
  <si>
    <t>When system is in INIT mode, init status is not completed. So mode transition will not happen to LVC/Shutdown</t>
  </si>
  <si>
    <t>TXB-HLC-TC_5935</t>
  </si>
  <si>
    <t>TXB-HLC-TC_5931
TXB-HLC-TC_8804
TXB-HLC-TC_8805
TXB-HLC-TC_8806
TXB-HLC-TC_8807</t>
  </si>
  <si>
    <t>Init timer</t>
  </si>
  <si>
    <t>LVC_UNLOAD_E</t>
  </si>
  <si>
    <t>Req Trace</t>
  </si>
  <si>
    <t>LVC_UNLOCKED_E</t>
  </si>
  <si>
    <t>TXB-HLC-TC_5929
TXB-HLC-TC_5930
TXB-HLC-TC_5936</t>
  </si>
  <si>
    <t>System mode changed to LVC</t>
  </si>
  <si>
    <t>TXB-HLC-TC_6554</t>
  </si>
  <si>
    <t>TXB-HLC-TC_6563</t>
  </si>
  <si>
    <t>TXB-HLC-TC_6572</t>
  </si>
  <si>
    <t>PCM mode is not requested here. So stop activating illegal transition after mmc_tm_illegalTransitionNotfcSetTime_cs.</t>
  </si>
  <si>
    <t>DCM mode is not requested here. So stop activating illegal transition after mmc_tm_illegalTransitionNotfcSetTime_cs.</t>
  </si>
  <si>
    <t>Neutral mode is not requested here. So stop activating illegal transition after mmc_tm_illegalTransitionNotfcSetTime_cs.</t>
  </si>
  <si>
    <t>PCM mode requested here. This is Invalid request from LVC mode, so set illegal transition.</t>
  </si>
  <si>
    <t>DCM mode requested here. This is Invalid request from LVC mode, so set illegal transition.</t>
  </si>
  <si>
    <t>Neutral mode requested here. This is Invalid request from LVC mode, so set illegal transition.</t>
  </si>
  <si>
    <t>DCM mode requested here, so override existing alarms PCM. Also DCM is Invalid request from LVC mode, so set illegal transition.</t>
  </si>
  <si>
    <t>Neutral mode requested here, so override existing alarms PCM, DCM. Also Neutral is Invalid request from LVC mode, so set illegal transition.</t>
  </si>
  <si>
    <t>TXB-HLC-TC_6555</t>
  </si>
  <si>
    <t>None of the illegal mode transitions are requested here. So stop activating illegal transition after mmc_tm_illegalTransitionNotfcSetTime_cs.</t>
  </si>
  <si>
    <t>PCM mode requested here, so override existing alarms DCM. Also PCM is Invalid request from LVC mode, so set illegal transition.</t>
  </si>
  <si>
    <t>TXB-HLC-TC_6564</t>
  </si>
  <si>
    <t>TXB-HLC-TC_6573</t>
  </si>
  <si>
    <t>PCM mode requested here, so override existing alarms Neutral. Also PCM is Invalid request from LVC mode, so set illegal transition.</t>
  </si>
  <si>
    <t>DCM mode requested here, so override existing alarms PCM, Neutral. Also DCM is Invalid request from LVC mode, so set illegal transition.</t>
  </si>
  <si>
    <t>Ignition key set to OFF, so shutdown the system</t>
  </si>
  <si>
    <t>This is pre-condition for changing system mode to LVC</t>
  </si>
  <si>
    <t>TXB-HLC-TC_5941</t>
  </si>
  <si>
    <t>System mode changed to Pre-Mission</t>
  </si>
  <si>
    <t>MM_SYSTEM_MODE_PRE_MISSION_E</t>
  </si>
  <si>
    <t>MM_HLC_E</t>
  </si>
  <si>
    <t>MM_TURRET_LOCK_UNLOCK_E</t>
  </si>
  <si>
    <t>LVC_REV_E</t>
  </si>
  <si>
    <t>LVC_LOAD_UNAVAILBLE_E</t>
  </si>
  <si>
    <t>Load joystick is unavailable for more than LVC Load stage timer, so system mode has not changed to Pre-Mission</t>
  </si>
  <si>
    <t>LVC_LOAD_ERROR_E</t>
  </si>
  <si>
    <t>t</t>
  </si>
  <si>
    <t>t+1</t>
  </si>
  <si>
    <t>t+500</t>
  </si>
  <si>
    <t>t+499</t>
  </si>
  <si>
    <t>t+498</t>
  </si>
  <si>
    <t>There is an error while loading joystick for more than LVC Load stage timer, so system mode has not changed to Pre-Mission</t>
  </si>
  <si>
    <t>MO_MISSION_UNKNOWN_E</t>
  </si>
  <si>
    <t>Mission progress status is not approved for more than LVC Load stage timer, so system mode has not changed to Pre-Mission</t>
  </si>
  <si>
    <t>MO_MISSION_UNDER_VERIFICATION_E</t>
  </si>
  <si>
    <t>TXB-HLC-TC_5947</t>
  </si>
  <si>
    <t>MO_MISSION_REJECT_E</t>
  </si>
  <si>
    <t>TXB-HLC-TC_5950</t>
  </si>
  <si>
    <t>TXB-HLC-TC_5951</t>
  </si>
  <si>
    <t>Loading stage is not set to 48 for more than LVC Load stage timer, so system mode has not changed to Pre-Mission</t>
  </si>
  <si>
    <t>LVC_LOAD_STAGE47_E</t>
  </si>
  <si>
    <t>TXB-HLC-TC_5952</t>
  </si>
  <si>
    <t>LVC_LOAD_STAGE49_E</t>
  </si>
  <si>
    <t>TXB-HLC-TC_5953</t>
  </si>
  <si>
    <t>TXB-HLC-TC_5954</t>
  </si>
  <si>
    <t>LVC_LOAD_STAGE99_E</t>
  </si>
  <si>
    <t>MO_MISSION_IN_PROGRESS_E</t>
  </si>
  <si>
    <t>System mode transition happened from LVC to Pre-Mission</t>
  </si>
  <si>
    <t>TXB-HLC-TC_5983</t>
  </si>
  <si>
    <t>MM_SYSTEM_MODE_PUSHBACK_ATA_TAS_E</t>
  </si>
  <si>
    <t>LVC_UNDEFINED_E</t>
  </si>
  <si>
    <t>TXB-HLC-TC_5986
TXB-HLC-TC_5989</t>
  </si>
  <si>
    <t>LVC_OPERATOR_POS_ERROR_E</t>
  </si>
  <si>
    <t>LVC_REQ_DISENGAGE_E</t>
  </si>
  <si>
    <t>LVC_REQ_NOT_AVAILABLE_E</t>
  </si>
  <si>
    <t>LVC_REQ_ERROR_E</t>
  </si>
  <si>
    <t>TXB-HLC-TC_5993</t>
  </si>
  <si>
    <t>LVC_REVERSE_E</t>
  </si>
  <si>
    <t>LVC_FNR_STATE_ERROR_E</t>
  </si>
  <si>
    <t>LVC_INTERMEDIATE_E</t>
  </si>
  <si>
    <t>MD_MISSION_TYPE_MAINTEN_TOWING_E</t>
  </si>
  <si>
    <t>DB_STEER_METHOD_TURRET_E</t>
  </si>
  <si>
    <t>TXB-HLC-TC_6044</t>
  </si>
  <si>
    <t>LVC_TURRET_LOCK_ERROR_E</t>
  </si>
  <si>
    <t>MD_MISSION_TYPE_UNKNOWN_E</t>
  </si>
  <si>
    <t>DB_STEER_METHOD_SBW_E</t>
  </si>
  <si>
    <t>TXB-HLC-TC_6051</t>
  </si>
  <si>
    <t>TXB-HLC-TC_6052</t>
  </si>
  <si>
    <t>LVC_NOT_APPLIED_E</t>
  </si>
  <si>
    <t>LVC_NOT_AVAILABLE_E</t>
  </si>
  <si>
    <t>LVC_STATUS_ERROR_E</t>
  </si>
  <si>
    <t>TXB-HLC-TC_6054</t>
  </si>
  <si>
    <t>TXB-HLC-TC_6055</t>
  </si>
  <si>
    <t>TXB-HLC-TC_6008</t>
  </si>
  <si>
    <t>TXB-HLC-TC_6009</t>
  </si>
  <si>
    <t>TXB-HLC-TC_6010</t>
  </si>
  <si>
    <t>LVC_PIN_OUT_E</t>
  </si>
  <si>
    <t>TXB-HLC-TC_6012</t>
  </si>
  <si>
    <t>LVC_PIN_ERROR_E</t>
  </si>
  <si>
    <t>TXB-HLC-TC_6014</t>
  </si>
  <si>
    <t>TXB-HLC-TC_6021</t>
  </si>
  <si>
    <t>TXB-HLC-TC_6022</t>
  </si>
  <si>
    <t>TXB-HLC-TC_6024</t>
  </si>
  <si>
    <t>TXB-HLC-TC_6028</t>
  </si>
  <si>
    <t>PRE-MISSION</t>
  </si>
  <si>
    <t>Halt flag</t>
  </si>
  <si>
    <t>TXB-HLC-TC_5995
TXB-HLC-TC_6472
TXB-HLC-TC_6484</t>
  </si>
  <si>
    <t>TXB-HLC-TC_5992
TXB-HLC-TC_6486</t>
  </si>
  <si>
    <t>TXB-HLC-TC_5994
TXB-HLC-TC_6495</t>
  </si>
  <si>
    <t>TXB-HLC-TC_5996
TXB-HLC-TC_6496</t>
  </si>
  <si>
    <t>TXB-HLC-TC_6474
TXB-HLC-TC_6508</t>
  </si>
  <si>
    <t>TXB-HLC-TC_6018
TXB-HLC-TC_8816
TXB-HLC-TC_6464</t>
  </si>
  <si>
    <t>TXB-HLC-TC_6485
TXB-HLC-TC_6496
TXB-HLC-TC_6508</t>
  </si>
  <si>
    <t>TXB-HLC-TC_6017
TXB-HLC-TC_6519
TXB-HLC-TC_6465
TXB-HLC-TC_6475
TXB-HLC-TC_6484
TXB-HLC-TC_6497
TXB-HLC-TC_6509
TXB-HLC-TC_6520
TXB-HLC-TC_6360</t>
  </si>
  <si>
    <t>TXB-HLC-TC_6019
TXB-HLC-TC_6520
TXB-HLC-TC_6474
TXB-HLC-TC_6361</t>
  </si>
  <si>
    <t>TXB-HLC-TC_6049
TXB-HLC-TC_6368</t>
  </si>
  <si>
    <t>LVC_PIN_STATUS_UNKNOWN_E</t>
  </si>
  <si>
    <t>TXB-HLC-TC_6373</t>
  </si>
  <si>
    <t>TXB-HLC-TC_6371
TXB-HLC-TC_6380
TXB-HLC-TC_6388
TXB-HLC-TC_6396
TXB-HLC-TC_6402</t>
  </si>
  <si>
    <t>TXB-HLC-TC_6045
TXB-HLC-TC_6002
TXB-HLC-TC_6403</t>
  </si>
  <si>
    <t>TXB-HLC-TC_6047
TXB-HLC-TC_6404</t>
  </si>
  <si>
    <t>TXB-HLC-TC_6046
TXB-HLC-TC_6405</t>
  </si>
  <si>
    <t>TXB-HLC-TC_6048
TXB-HLC-TC_6406</t>
  </si>
  <si>
    <t>TXB-HLC-TC_6421</t>
  </si>
  <si>
    <t>TXB-HLC-TC_6407
TXB-HLC-TC_6423</t>
  </si>
  <si>
    <t>TXB-HLC-TC_6370
TXB-HLC-TC_6379
TXB-HLC-TC_6387
TXB-HLC-TC_6395
TXB-HLC-TC_6422</t>
  </si>
  <si>
    <t>TXB-HLC-TC_6027
TXB-HLC-TC_6429</t>
  </si>
  <si>
    <t>TXB-HLC-TC_6473
TXB-HLC-TC_6485
TXB-HLC-TC_6507
TXB-HLC-TC_6521
TXB-HLC-TC_6430</t>
  </si>
  <si>
    <t>TXB-HLC-TC_6020
TXB-HLC-TC_6378</t>
  </si>
  <si>
    <t>TXB-HLC-TC_6023
TXB-HLC-TC_6381</t>
  </si>
  <si>
    <t>TXB-HLC-TC_6026
TXB-HLC-TC_6386
TXB-HLC-TC_6397</t>
  </si>
  <si>
    <t>TXB-HLC-TC_6011
TXB-HLC-TC_6372
TXB-HLC-TC_6405
TXB-HLC-TC_6421</t>
  </si>
  <si>
    <t>TXB-HLC-TC_6370
TXB-HLC-TC_6406
TXB-HLC-TC_6422</t>
  </si>
  <si>
    <t>TXB-HLC-TC_6205</t>
  </si>
  <si>
    <t>TXB-HLC-TC_6016
TXB-HLC-TC_6431
TXB-HLC-TC_6454</t>
  </si>
  <si>
    <t>MM_SYSTEM_MODE_REQ_T_UNLOCK_E</t>
  </si>
  <si>
    <t>TXB-HLC-TC_6039
TXB-HLC-TC_6173</t>
  </si>
  <si>
    <t>TXB-HLC-TC_8812
TXB-HLC-TC_8813
TXB-HLC-TC_8814
TXB-HLC-TC_8815
TXB-HLC-TC_6143</t>
  </si>
  <si>
    <t>TXB-HLC-TC_6040</t>
  </si>
  <si>
    <t>Preset for taking the system to TURRET_UNLOCK state</t>
  </si>
  <si>
    <t>TXB-HLC-TC_6145</t>
  </si>
  <si>
    <t>TXB-HLC-TC_6146</t>
  </si>
  <si>
    <t>Mode transition not happened, so deny logic applied to find the reason</t>
  </si>
  <si>
    <t>System is in TURRET_UNLOCK mode</t>
  </si>
  <si>
    <t>Pre-mission mode requested from TURRET_UNLOCK is accepted</t>
  </si>
  <si>
    <t>TURRET_UNLOCK mode request from Pre-mission is accepted</t>
  </si>
  <si>
    <t>Turret_lock is set not UNLOCKED for mmc_tm_turretUnlockSetTime_cs, so mode tranistion happens to Pre-mission and mmd_flg_turretUnLockFailed is set for mmc_tm_faultNotfcSetTime_cs.</t>
  </si>
  <si>
    <t>MM_DCM_E</t>
  </si>
  <si>
    <t>MM_SYSTEM_MODE_REQ_T_LOCK_E</t>
  </si>
  <si>
    <t>TXB-HLC-TC_6080
TXB-HLC-TC_6172</t>
  </si>
  <si>
    <t>TXB-HLC-TC_6131
TXB-HLC-TC_8808
TXB-HLC-TC_8809
TXB-HLC-TC_8810
TXB-HLC-TC_8811</t>
  </si>
  <si>
    <t>DCM mode request from Pre-Mission is accepted</t>
  </si>
  <si>
    <t>TURRET_LOCK mode request from DCM is accepted</t>
  </si>
  <si>
    <t>Pre-Mission mode request from TURRET_LOCK is accepted</t>
  </si>
  <si>
    <t>TXB-HLC-TC_6013
TXB-HLC-TC_6404
TXB-HLC-TC_6420
TXB-HLC-TC_6453</t>
  </si>
  <si>
    <t>This TP shouldtraced some where</t>
  </si>
  <si>
    <t>Pre-Condition for taking the system to DCM mode</t>
  </si>
  <si>
    <t>TXB-HLC-TC_6067
TXB-HLC-TC_6081</t>
  </si>
  <si>
    <t>TXB-HLC-TC_6093
TXB-HLC-TC_8764</t>
  </si>
  <si>
    <t>TXB-HLC-TC_8766</t>
  </si>
  <si>
    <t>TXB-HLC-TC_8768</t>
  </si>
  <si>
    <t>TXB-HLC-TC_8769</t>
  </si>
  <si>
    <t>TXB-HLC-TC_8770</t>
  </si>
  <si>
    <t>TXB-HLC-TC_8771</t>
  </si>
  <si>
    <t>TXB-HLC-TC_8772</t>
  </si>
  <si>
    <t>TXB-HLC-TC_8773</t>
  </si>
  <si>
    <t>TXB-HLC-TC_8774</t>
  </si>
  <si>
    <t>TXB-HLC-TC_8775</t>
  </si>
  <si>
    <t>TXB-HLC-TC_8776</t>
  </si>
  <si>
    <t>TXB-HLC-TC_8777</t>
  </si>
  <si>
    <t>TXB-HLC-TC_8778</t>
  </si>
  <si>
    <t>TXB-HLC-TC_8779</t>
  </si>
  <si>
    <t>TXB-HLC-TC_8780</t>
  </si>
  <si>
    <t>TXB-HLC-TC_8781</t>
  </si>
  <si>
    <t>TXB-HLC-TC_8782</t>
  </si>
  <si>
    <t>SM_FAIL_ACTIVE_E</t>
  </si>
  <si>
    <t>SM_FAIL_PASSIVE_E</t>
  </si>
  <si>
    <t>SM_EMERGENCY_STOP_E</t>
  </si>
  <si>
    <t>TXB-HLC-TC_8783</t>
  </si>
  <si>
    <t>TXB-HLC-TC_8784</t>
  </si>
  <si>
    <t>TXB-HLC-TC_8785</t>
  </si>
  <si>
    <t>TXB-HLC-TC_8786</t>
  </si>
  <si>
    <t>TXB-HLC-TC_8787</t>
  </si>
  <si>
    <t>TXB-HLC-TC_8788</t>
  </si>
  <si>
    <t>TXB-HLC-TC_8789</t>
  </si>
  <si>
    <t>TXB-HLC-TC_8790</t>
  </si>
  <si>
    <t>TXB-HLC-TC_8791</t>
  </si>
  <si>
    <t>TXB-HLC-TC_8792</t>
  </si>
  <si>
    <t>TXB-HLC-TC_8793</t>
  </si>
  <si>
    <t>TXB-HLC-TC_8794</t>
  </si>
  <si>
    <t>TXB-HLC-TC_8795</t>
  </si>
  <si>
    <t>TXB-HLC-TC_8796</t>
  </si>
  <si>
    <t>CS_SWITCH_INVALID_E</t>
  </si>
  <si>
    <t>TXB-HLC-TC_6092
TXB-HLC-TC_8765
TXB-HLC-TC_6229</t>
  </si>
  <si>
    <t>TXB-HLC-TC_6267
TXB-HLC-TC_6275
TXB-HLC-TC_6292
TXB-HLC-TC_6302
TXB-HLC-TC_6466
TXB-HLC-TC_6479
TXB-HLC-TC_6488
TXB-HLC-TC_6498</t>
  </si>
  <si>
    <t>TXB-HLC-TC_6286
TXB-HLC-TC_6296
TXB-HLC-TC_6304
TXB-HLC-TC_6500</t>
  </si>
  <si>
    <t>TXB-HLC-TC_6283
TXB-HLC-TC_6476
TXB-HLC-TC_6512</t>
  </si>
  <si>
    <t>TXB-HLC-TC_6285
TXB-HLC-TC_6293
TXB-HLC-TC_6489
TXB-HLC-TC_6499
TXB-HLC-TC_6513</t>
  </si>
  <si>
    <t>TXB-HLC-TC_6220</t>
  </si>
  <si>
    <t>TXB-HLC-TC_6282
TXB-HLC-TC_6295
TXB-HLC-TC_6303
TXB-HLC-TC_6467
TXB-HLC-TC_6477
TXB-HLC-TC_6511
TXB-HLC-TC_6206</t>
  </si>
  <si>
    <t>TXB-HLC-TC_6456</t>
  </si>
  <si>
    <t>TXB-HLC-TC_6068
TXB-HLC-TC_6082</t>
  </si>
  <si>
    <t>TXB-HLC-TC_6069
TXB-HLC-TC_6083</t>
  </si>
  <si>
    <t>TXB-HLC-TC_6071
TXB-HLC-TC_6084</t>
  </si>
  <si>
    <t>TXB-HLC-TC_6085</t>
  </si>
  <si>
    <t>TXB-HLC-TC_6073
TXB-HLC-TC_6086</t>
  </si>
  <si>
    <t>TXB-HLC-TC_6091
TXB-HLC-TC_8767
TXB-HLC-TC_6228</t>
  </si>
  <si>
    <t>TXB-HLC-TC_6235
TXB-HLC-TC_6257
TXB-HLC-TC_6265</t>
  </si>
  <si>
    <t>TXB-HLC-TC_6236
TXB-HLC-TC_6258
TXB-HLC-TC_6266
TXB-HLC-TC_6478
TXB-HLC-TC_6487
TXB-HLC-TC_6501
TXB-HLC-TC_6510</t>
  </si>
  <si>
    <t>TXB-HLC-TC_6287
TXB-HLC-TC_6297
TXB-HLC-TC_6305</t>
  </si>
  <si>
    <t>TXB-HLC-TC_6234
TXB-HLC-TC_6249</t>
  </si>
  <si>
    <t>TXB-HLC-TC_6237
TXB-HLC-TC_6243
TXB-HLC-TC_6250</t>
  </si>
  <si>
    <t>TXB-HLC-TC_6275
TXB-HLC-TC_6283
TXB-HLC-TC_6292
TXB-HLC-TC_6302</t>
  </si>
  <si>
    <t>TXB-HLC-TC_6286
TXB-HLC-TC_6296
TXB-HLC-TC_6304</t>
  </si>
  <si>
    <t>TXB-HLC-TC_6312</t>
  </si>
  <si>
    <t>TXB-HLC-TC_6228
TXB-HLC-TC_6242
TXB-HLC-TC_6257
TXB-HLC-TC_6265
TXB-HLC-TC_6274
TXB-HLC-TC_6310
TXB-HLC-TC_6223</t>
  </si>
  <si>
    <t>TXB-HLC-TC_6221
TXB-HLC-TC_6457
TXB-HLC-TC_6212</t>
  </si>
  <si>
    <t>TXB-HLC-TC_6467</t>
  </si>
  <si>
    <t>TXB-HLC-TC_6466
TXB-HLC-TC_6476
TXB-HLC-TC_6489
TXB-HLC-TC_6501
TXB-HLC-TC_6513</t>
  </si>
  <si>
    <t>TXB-HLC-TC_6459</t>
  </si>
  <si>
    <t>TXB-HLC-TC_6458</t>
  </si>
  <si>
    <t>TXB-HLC-TC_6479
TXB-HLC-TC_6487
TXB-HLC-TC_6498
TXB-HLC-TC_6510
TXB-HLC-TC_8817</t>
  </si>
  <si>
    <t>TXB-HLC-TC_6284
TXB-HLC-TC_6294
TXB-HLC-TC_6522</t>
  </si>
  <si>
    <t>TXB-HLC-TC_6311
TXB-HLC-TC_6524</t>
  </si>
  <si>
    <t>TXB-HLC-TC_6525</t>
  </si>
  <si>
    <t>TXB-HLC-TC_6066</t>
  </si>
  <si>
    <t>Ignition set to OFF, so system moves to SHUTDOWN state from DCM</t>
  </si>
  <si>
    <t>DCM-TAS mode is requested from Pre-mission, so system mode changed to DCM-TAS.</t>
  </si>
  <si>
    <t>PCM and LVC mode requests are not accepted from DCM-TAS, so PCM and UNLOAD deny logic is activated.</t>
  </si>
  <si>
    <t>LVC mode request is not accepted from DCM-TAS, so UNLOAD deny logic is activated.</t>
  </si>
  <si>
    <t>PCM mode request is not accepted from DCM-TAS, so PCM deny logic is activated.</t>
  </si>
  <si>
    <t>None of the modes are requested from DCM-TAS, but deny logic for PCM request is still active, so activate deny logic for PCM.</t>
  </si>
  <si>
    <t>None of the modes are requested from DCM-TAS, but deny logic for PCM and UNLOAD request is still active, so activate deny logic for PCM and UNLOAD.</t>
  </si>
  <si>
    <t>None of the modes are requested from DCM-TAS, but deny logic for UNLOAD request is still active, so activate deny logic for UNLOAD.</t>
  </si>
  <si>
    <t>DCM-BW mode is requested from Pre-mission, so system mode changed to DCM-BW.</t>
  </si>
  <si>
    <t>MM_SYSTEM_MODE_PUSHBACK_ATA_BW_E</t>
  </si>
  <si>
    <t>PCM and LVC mode requests are not accepted from DCM-BW, so PCM and UNLOAD deny logic is activated.</t>
  </si>
  <si>
    <t>LVC mode request is not accepted from DCM-BW, so UNLOAD deny logic is activated.</t>
  </si>
  <si>
    <t>PCM mode request is not accepted from DCM-BW, so PCM deny logic is activated.</t>
  </si>
  <si>
    <t>None of the modes are requested from DCM-BW, but deny logic for PCM request is still active, so activate deny logic for PCM.</t>
  </si>
  <si>
    <t>None of the modes are requested from DCM-BW, but deny logic for PCM and UNLOAD request is still active, so activate deny logic for PCM and UNLOAD.</t>
  </si>
  <si>
    <t>None of the modes are requested from DCM-BW, but deny logic for UNLOAD request is still active, so activate deny logic for UNLOAD.</t>
  </si>
  <si>
    <t>TXB-HLC-TC_6089</t>
  </si>
  <si>
    <t>TXB-HLC-TC_6087</t>
  </si>
  <si>
    <t>This is pre-condition for changing the system mode to Pre-Mission from INIT state.</t>
  </si>
  <si>
    <t>TXB-HLC-TC_6093
TXB-HLC-TC_6097</t>
  </si>
  <si>
    <t>TXB-HLC-TC_6092
TXB-HLC-TC_6098
TXB-HLC-TC_6229</t>
  </si>
  <si>
    <t>TXB-HLC-TC_6099</t>
  </si>
  <si>
    <t>TXB-HLC-TC_6091
TXB-HLC-TC_6100
TXB-HLC-TC_6228</t>
  </si>
  <si>
    <t>TXB-HLC-TC_6101</t>
  </si>
  <si>
    <t>TXB-HLC-TC_6102</t>
  </si>
  <si>
    <t>TXB-HLC-TC_6103</t>
  </si>
  <si>
    <t>TXB-HLC-TC_6104</t>
  </si>
  <si>
    <t>TXB-HLC-TC_6105</t>
  </si>
  <si>
    <t>TXB-HLC-TC_6106</t>
  </si>
  <si>
    <t>TXB-HLC-TC_6107</t>
  </si>
  <si>
    <t>TXB-HLC-TC_6108</t>
  </si>
  <si>
    <t>TXB-HLC-TC_6109</t>
  </si>
  <si>
    <t>TXB-HLC-TC_6110</t>
  </si>
  <si>
    <t>TXB-HLC-TC_6111</t>
  </si>
  <si>
    <t>TXB-HLC-TC_6112</t>
  </si>
  <si>
    <t>TXB-HLC-TC_6113</t>
  </si>
  <si>
    <t>TXB-HLC-TC_6114</t>
  </si>
  <si>
    <t>TXB-HLC-TC_6115</t>
  </si>
  <si>
    <t>TXB-HLC-TC_6117</t>
  </si>
  <si>
    <t>TXB-HLC-TC_6118</t>
  </si>
  <si>
    <t>TXB-HLC-TC_6119</t>
  </si>
  <si>
    <t>TXB-HLC-TC_6120</t>
  </si>
  <si>
    <t>TXB-HLC-TC_6121</t>
  </si>
  <si>
    <t>TXB-HLC-TC_6122</t>
  </si>
  <si>
    <t>TXB-HLC-TC_6123</t>
  </si>
  <si>
    <t>TXB-HLC-TC_6124</t>
  </si>
  <si>
    <t>TXB-HLC-TC_6125</t>
  </si>
  <si>
    <t>TXB-HLC-TC_6126</t>
  </si>
  <si>
    <t>TXB-HLC-TC_6127</t>
  </si>
  <si>
    <t>TXB-HLC-TC_6128</t>
  </si>
  <si>
    <t>TXB-HLC-TC_6129</t>
  </si>
  <si>
    <t>TURRET_LOCK mode request is accepted from DCM, so state change happened to TURRET_LOCK.</t>
  </si>
  <si>
    <t>Turret is LOCKED, so state transition happened to PRE-MISSION.</t>
  </si>
  <si>
    <t>DCM mode request is accepted from PRE-MISSION, so state transition happened to DCM.</t>
  </si>
  <si>
    <t>MM_SYSTEM_MODE_MAINTENANCE_TOWING_E</t>
  </si>
  <si>
    <t>TXB-HLC-TC_6073
TXB-HLC-TC_6085</t>
  </si>
  <si>
    <t>TXB-HLC-TC_6070
TXB-HLC-TC_6090</t>
  </si>
  <si>
    <t>TXB-HLC-TC_6086</t>
  </si>
  <si>
    <t>TXB-HLC-TC_6088</t>
  </si>
  <si>
    <t>TXB-HLC-TC_6092
TXB-HLC-TC_6523</t>
  </si>
  <si>
    <t>TXB-HLC-TC_6093
TXB-HLC-TC_6524</t>
  </si>
  <si>
    <t>TXB-HLC-TC_6067
TXB-HLC-TC_6081
TXB-HLC-TC_6459</t>
  </si>
  <si>
    <t>TXB-HLC-TC_6467
TXB-HLC-TC_6479
TXB-HLC-TC_6488</t>
  </si>
  <si>
    <t>TXB-HLC-TC_6498
TXB-HLC-TC_6510</t>
  </si>
  <si>
    <t>TXB-HLC-TC_6466
TXB-HLC-TC_6476
TXB-HLC-TC_6487
TXB-HLC-TC_6501
TXB-HLC-TC_6513</t>
  </si>
  <si>
    <t>TXB-HLC-TC_6080
TXB-HLC-TC_6207</t>
  </si>
  <si>
    <t>TXB-HLC-TC_6580</t>
  </si>
  <si>
    <t>Neutral mode is requested from DCM-TAS which is invalid mode request, so neutral mode illegal transition bits are activated.</t>
  </si>
  <si>
    <t>Neutral mode is not requested from DCM-TAS, so neutral mode illegal transition bits will be deactivated after mmc_tm_illegalTransitionNotfcSetTime_cs.</t>
  </si>
  <si>
    <t>TXB-HLC-TC_6584</t>
  </si>
  <si>
    <t>TXB-HLC-TC_6583</t>
  </si>
  <si>
    <t>Neutral mode is requested from DCM-BW which is invalid mode request, so neutral mode illegal transition bits are activated.</t>
  </si>
  <si>
    <t>Neutral mode is not requested from DCM-BW, so neutral mode illegal transition bits will be deactivated after mmc_tm_illegalTransitionNotfcSetTime_cs.</t>
  </si>
  <si>
    <t>TXB-HLC-TC_6582</t>
  </si>
  <si>
    <t>TXB-HLC-TC_6585</t>
  </si>
  <si>
    <t>Neutral mode is requested from DCM-MAINTENANCE which is invalid mode request, so neutral mode illegal transition bits are activated.</t>
  </si>
  <si>
    <t>Neutral mode is not requested from DCM-MAINTENANCE, so neutral mode illegal transition bits will be deactivated after mmc_tm_illegalTransitionNotfcSetTime_cs.</t>
  </si>
  <si>
    <t>TXB-HLC-TC_6581</t>
  </si>
  <si>
    <t>TXB-HLC-TC_6629</t>
  </si>
  <si>
    <t>PCM mode is requested from DCM-MAINTENANCE which is invalid mode request, so PCM mode illegal transition bits are activated.</t>
  </si>
  <si>
    <t>PCM mode is not requested from DCM-MAINTENANCE, so PCM mode illegal transition bits will be deactivated after mmc_tm_illegalTransitionNotfcSetTime_cs.</t>
  </si>
  <si>
    <t>PCM mode is requested from DCM-MAINTANANCE mode which is invalid request, so PCM request illegal notification flags are set.</t>
  </si>
  <si>
    <t>Neutral mode is requested (PCM request is still active) from DCM-MAINTANANCE mode which is invalid request, so Neutral request illegal notification flags are set (PCM request illegal notification flags will reset).</t>
  </si>
  <si>
    <t>Neutral mode is not requested from DCM-MAINTANANCE, so Neutral mode request illegal notification flags will reset after mmc_tm_illegalTransitionNotfcSetTime_cs.</t>
  </si>
  <si>
    <t>TXB-HLC-TC_6628
TXB-HLC-TC_6130</t>
  </si>
  <si>
    <t>Turret lock mode request is accepted, so system changed to Turret lock</t>
  </si>
  <si>
    <t>TXB-HLC-TC_6132</t>
  </si>
  <si>
    <t xml:space="preserve">When turret lock request status is LVC_TURRET_LOCK_ERROR_E, system will be remain in Turret_Lock mode untill turret lock stautus changed to LOCKED or UNLOCKED. </t>
  </si>
  <si>
    <t>TXB-HLC-TC_6133</t>
  </si>
  <si>
    <t>DCM mode request is accepted, so mode transition happened to DCM.</t>
  </si>
  <si>
    <t>Turret lock status is set to UNLOCKED.</t>
  </si>
  <si>
    <t>TXB-HLC-TC_6134</t>
  </si>
  <si>
    <t>Turret lock failure indication is activation continues</t>
  </si>
  <si>
    <t>Turret lock failure indication flag is set for more than fault indication time, so Turret lock failure indication flag deactivated</t>
  </si>
  <si>
    <t>Turret lock status is set to UNLOCKED for more than Turret Lock time. So state transition happens to DCM and turret lock fail bit activated.</t>
  </si>
  <si>
    <t>TXB-HLC-TC_6230</t>
  </si>
  <si>
    <t>TXB-HLC-TC_6478
TXB-HLC-TC_6500
TXB-HLC-TC_6513
TXB-HLC-TC_6408
TXB-HLC-TC_6424</t>
  </si>
  <si>
    <t>TXB-HLC-TC_5985
TXB-HLC-TC_5988
TXB-HLC-TC_6455
TXB-HLC-TC_6465
TXB-HLC-TC_6509
TXB-HLC-TC_6359
TXB-HLC-TC_6460</t>
  </si>
  <si>
    <t>TXB-HLC-TC_6512
TXB-HLC-TC_6469</t>
  </si>
  <si>
    <t>TXB-HLC-TC_6476
TXB-HLC-TC_6488
TXB-HLC-TC_6498
TXB-HLC-TC_6252
TXB-HLC-TC_6339
TXB-HLC-TC_6382
TXB-HLC-TC_6398
TXB-HLC-TC_6481
TXB-HLC-TC_6502</t>
  </si>
  <si>
    <t>TXB-HLC-TC_6050
TXB-HLC-TC_6480</t>
  </si>
  <si>
    <t>TXB-HLC-TC_6056
TXB-HLC-TC_6491</t>
  </si>
  <si>
    <t>TXB-HLC-TC_6053
TXB-HLC-TC_6503</t>
  </si>
  <si>
    <t>PCM mode request is accepted, so mode system mode set to PCM</t>
  </si>
  <si>
    <t>TXB-HLC-TC_6095
TXB-HLC-TC_6166</t>
  </si>
  <si>
    <t>MM_SYSTEM_MODE_STEER_BY_WIRE_E</t>
  </si>
  <si>
    <t>Shutdown mode request is accepted, so system mode changed to SHUTDOWN</t>
  </si>
  <si>
    <t>TXB-HLC-TC_8797</t>
  </si>
  <si>
    <t>mmd_bm_reasonUnloadDenied (PRE_MISSION)</t>
  </si>
  <si>
    <t>mmd_bm_reasonDcmDenied2 (PRE_MISSION)</t>
  </si>
  <si>
    <t>mmd_bm_reasonPcmDenied (DCM)</t>
  </si>
  <si>
    <t>mmd_bm_reasonUnloadDenied (DCM)</t>
  </si>
  <si>
    <t>mmd_bm_reasonDcmDenied1 (PCM)</t>
  </si>
  <si>
    <t>mmd_bm_reasonNeutDenied (PCM)</t>
  </si>
  <si>
    <t>DCM mode request is accepted, so system mode changed to DCM</t>
  </si>
  <si>
    <t>TXB-HLC-TC_6005</t>
  </si>
  <si>
    <t>PCM mode request is accepted, so system mode changed to PCM</t>
  </si>
  <si>
    <t>MM_SYSTEM_MODE_TURRET_STEER_E</t>
  </si>
  <si>
    <t>TXB-HLC-TC_8798</t>
  </si>
  <si>
    <t>This is pre-condition for changing the system mode to DCM from INIT state.</t>
  </si>
  <si>
    <t>System mode changed to DCM</t>
  </si>
  <si>
    <t>TXB-HLC-TC_6158</t>
  </si>
  <si>
    <t>TXB-HLC-TC_6159</t>
  </si>
  <si>
    <t>TXB-HLC-TC_6094
TXB-HLC-TC_6175</t>
  </si>
  <si>
    <t>TXB-HLC-TC_8763
TXB-HLC-TC_6165
TXB-HLC-TC_6174</t>
  </si>
  <si>
    <t>TXB-HLC-TC_6336</t>
  </si>
  <si>
    <t>TXB-HLC-TC_6327
TXB-HLC-TC_6338
TXB-HLC-TC_6346</t>
  </si>
  <si>
    <t>TXB-HLC-TC_6347</t>
  </si>
  <si>
    <t>TXB-HLC-TC_6348</t>
  </si>
  <si>
    <t>TXB-HLC-TC_6335
TXB-HLC-TC_6358</t>
  </si>
  <si>
    <t>TXB-HLC-TC_6327
TXB-HLC-TC_6338
TXB-HLC-TC_6348
TXB-HLC-TC_6357</t>
  </si>
  <si>
    <t>TXB-HLC-TC_6326
TXB-HLC-TC_6335
TXB-HLC-TC_6349
TXB-HLC-TC_6356
TXB-HLC-TC_6316</t>
  </si>
  <si>
    <t>TXB-HLC-TC_6157
TXB-HLC-TC_8800</t>
  </si>
  <si>
    <t>TXB-HLC-TC_6161
TXB-HLC-TC_8802</t>
  </si>
  <si>
    <t>TXB-HLC-TC_6160
TXB-HLC-TC_8803</t>
  </si>
  <si>
    <t>TXB-HLC-TC_6163
TXB-HLC-TC_6170
TXB-HLC-TC_6432</t>
  </si>
  <si>
    <t>TXB-HLC-TC_6164
TXB-HLC-TC_6171
TXB-HLC-TC_6433</t>
  </si>
  <si>
    <t>TXB-HLC-TC_6442
TXB-HLC-TC_6449
TXB-HLC-TC_6435</t>
  </si>
  <si>
    <t>TXB-HLC-TC_6337
TXB-HLC-TC_6349
TXB-HLC-TC_6213</t>
  </si>
  <si>
    <t>TXB-HLC-TC_6441
TXB-HLC-TC_6450
TXB-HLC-TC_6451
TXB-HLC-TC_6216</t>
  </si>
  <si>
    <t>TXB-HLC-TC_6156
TXB-HLC-TC_8799
TXB-HLC-TC_6315</t>
  </si>
  <si>
    <t>TXB-HLC-TC_6314</t>
  </si>
  <si>
    <t>TXB-HLC-TC_6313</t>
  </si>
  <si>
    <t>TXB-HLC-TC_6015</t>
  </si>
  <si>
    <t>TXB-HLC-TC_5998
TXB-HLC-TC_6042
TXB-HLC-TC_6475
TXB-HLC-TC_6497
TXB-HLC-TC_5999
TXB-HLC-TC_6000
TXB-HLC-TC_6041
TXB-HLC-TC_6362
TXB-HLC-TC_6363
TXB-HLC-TC_6368</t>
  </si>
  <si>
    <t>TXB-HLC-TC_6441
TXB-HLC-TC_6434</t>
  </si>
  <si>
    <t>None of the modes are requested from PCM. So system is in PCM mode only. Also deny logics are not activated for none of the modes</t>
  </si>
  <si>
    <t>DCM mode request is not accepted, so deny logic is activated</t>
  </si>
  <si>
    <t xml:space="preserve">DCM mode and neutral mode requests are not accepted, so based on priority, DCM deny logic is activated. </t>
  </si>
  <si>
    <t>None of the modes are requested from PCM. So system is in PCM mode only. Also deny logic is applied for previously activated mode request</t>
  </si>
  <si>
    <t>Neutral mode request is not accepted, so deny logic is activated</t>
  </si>
  <si>
    <t>TXB-HLC-TC_6599</t>
  </si>
  <si>
    <t>TXB-HLC-TC_6601</t>
  </si>
  <si>
    <t xml:space="preserve">UNLOAD (LVC mode) is requested which is invalid mode request from PCM, so illegal notification flag will be activated. </t>
  </si>
  <si>
    <t xml:space="preserve">UNLOAD is not requested, so illegal notification flag will be deactivated after illegal transition notification time. </t>
  </si>
  <si>
    <t xml:space="preserve">UNLOAD is not requested for more than illegal transition notification time, so illegal notification flag deactivated </t>
  </si>
  <si>
    <t>UNLOAD is requested, so illegal notification flag will be activated and illegal notification couter resets</t>
  </si>
  <si>
    <t>DCM mode request is accepted, so mode transition happens to DCM from PCM</t>
  </si>
  <si>
    <t>MM_PCM_E</t>
  </si>
  <si>
    <t>TXB-HLC-TC_6155
TXB-HLC-TC_6214</t>
  </si>
  <si>
    <t>TXB-HLC-TC_6096</t>
  </si>
  <si>
    <t>Precondition for changing system mode to PCM</t>
  </si>
  <si>
    <t>Neutral mode request is accepted from PCM, so mode transition happens to Neutral</t>
  </si>
  <si>
    <t>MM_SYSTEM_MODE_NEUTRAL_E</t>
  </si>
  <si>
    <t>TXB-HLC-TC_6168
TXB-HLC-TC_6217
TXB-HLC-TC_6442
TXB-HLC-TC_6176</t>
  </si>
  <si>
    <t>TXB-HLC-TC_6177</t>
  </si>
  <si>
    <t>shutdown mode request is accepted from Neutral, so mode transition happens to shutdown</t>
  </si>
  <si>
    <t>PCM mode request is accepted, so mode transition happens to PCM from DCM</t>
  </si>
  <si>
    <t>TXB-HLC-TC_6178</t>
  </si>
  <si>
    <t>TXB-HLC-TC_6332</t>
  </si>
  <si>
    <t>TXB-HLC-TC_6325
TXB-HLC-TC_6334
TXB-HLC-TC_6342</t>
  </si>
  <si>
    <t>TXB-HLC-TC_6343</t>
  </si>
  <si>
    <t>TXB-HLC-TC_6344</t>
  </si>
  <si>
    <t>TXB-HLC-TC_6324
TXB-HLC-TC_6331
TXB-HLC-TC_6345
TXB-HLC-TC_6353
TXB-HLC-TC_6316</t>
  </si>
  <si>
    <t>TXB-HLC-TC_6325
TXB-HLC-TC_6334
TXB-HLC-TC_6344
TXB-HLC-TC_6354</t>
  </si>
  <si>
    <t>TXB-HLC-TC_6331
TXB-HLC-TC_6355</t>
  </si>
  <si>
    <t>TXB-HLC-TC_6439
TXB-HLC-TC_6434</t>
  </si>
  <si>
    <t>TXB-HLC-TC_6168
TXB-HLC-TC_6217
TXB-HLC-TC_6440
TXB-HLC-TC_6176</t>
  </si>
  <si>
    <t>TXB-HLC-TC_6440
TXB-HLC-TC_6446
TXB-HLC-TC_6435</t>
  </si>
  <si>
    <t>TXB-HLC-TC_6439
TXB-HLC-TC_6447
TXB-HLC-TC_6448
TXB-HLC-TC_6216</t>
  </si>
  <si>
    <t>TXB-HLC-TC_6598</t>
  </si>
  <si>
    <t>TXB-HLC-TC_6600</t>
  </si>
  <si>
    <t>TXB-HLC-TC_6333
TXB-HLC-TC_6345
TXB-HLC-TC_6213
TXB-HLC-TC_6468</t>
  </si>
  <si>
    <t>This is pre-condition for changing the system mode to Neutral mode from INIT state.</t>
  </si>
  <si>
    <t>System is in neutral mode</t>
  </si>
  <si>
    <t>TXB-HLC-TC_6179
TXB-HLC-TC_6180
TXB-HLC-TC_6190
TXB-HLC-TC_6181
TXB-HLC-TC_6192</t>
  </si>
  <si>
    <t>TXB-HLC-TC_6182
TXB-HLC-TC_6183
TXB-HLC-TC_6184
TXB-HLC-TC_6188
TXB-HLC-TC_6187
TXB-HLC-TC_6189
TXB-HLC-TC_6191
TXB-HLC-TC_6610</t>
  </si>
  <si>
    <t>TXB-HLC-TC_6619</t>
  </si>
  <si>
    <t>TXB-HLC-TC_6611</t>
  </si>
  <si>
    <t>TXB-HLC-TC_6620</t>
  </si>
  <si>
    <t>Neutral mode is not desabled, so mode transition does not happens after neutral mode delay time</t>
  </si>
  <si>
    <t>Illegal mode DCM is requested, so set illegal notification flag</t>
  </si>
  <si>
    <t>1) Neutral mode is not disabled, so there is no mode transition.
2) Illegal mode UNLOAD (LVC Mode) is requested, so set illegal notification flag</t>
  </si>
  <si>
    <t>Illegal mode UNLOAD (LVC Mode) is requested, so illegal notification flag is set.</t>
  </si>
  <si>
    <t>Illegal mode UNLOAD (LVC Mode) is not requested, so illegal notification flag will reset after illegal transition set time.</t>
  </si>
  <si>
    <t>Illegal mode UNLOAD (LVC Mode) is requested, so illegal notification flag will set.</t>
  </si>
  <si>
    <t>Illegal mode UNLOAD (LVC Mode) is not requested for more than illegal transition set time, so illegal notification flag is reset.</t>
  </si>
  <si>
    <t>Illegal mode DCM is requested, so illegal notification flag is set.</t>
  </si>
  <si>
    <t>Illegal mode DCM is not requested, so illegal notification flag will reset after illegal transition set time.</t>
  </si>
  <si>
    <t>Illegal mode DCM is requested, so illegal notification flag will set.</t>
  </si>
  <si>
    <t>Illegal mode DCM is not requested for more than illegal transition set time, so illegal notification flag is reset.</t>
  </si>
  <si>
    <t>Illegal mode DCM is not requested for more than illegal notification set time, so illegal notification flag will reset here.</t>
  </si>
  <si>
    <t>Illegal mode DCM is not requested, so illegal notification flag will reset after completion of illegal notification set time.</t>
  </si>
  <si>
    <t>Illegal mode UNLOAD (LVC Mode) is not requested for more than illegal notification set time, so illegal notification flag will reset here.</t>
  </si>
  <si>
    <t>Illegal mode UNLOAD (LVC Mode) is not requested, so illegal notification flag will reset after completion of illegal notification set time.</t>
  </si>
  <si>
    <t>TXB-HLC-TC_6612</t>
  </si>
  <si>
    <t>Illegal mode UNLOAD (LVC Mode) is not requested for more than illegal transition set time, so illegal notification flag deactivated</t>
  </si>
  <si>
    <t>Illegal mode UNLOAD (LVC Mode) is requested and also DCM mode is requested, so based priority UNLOAD illegal notification flag is activated</t>
  </si>
  <si>
    <t>TXB-HLC-TC_6621</t>
  </si>
  <si>
    <t>PCM mode request is accepted from Neutral, so system mode changed to PCM</t>
  </si>
  <si>
    <t>TXB-HLC-TC_6185</t>
  </si>
  <si>
    <t>TXB-HLC-TC_6186</t>
  </si>
  <si>
    <t>1) Neutral desable flag is set for more than neutral mode delay time, so neutral failed flag is set and mode changed to PCM
2) Since neutral status is failed, neutral failed flag will be set for fault notification period of time in PCM mode</t>
  </si>
  <si>
    <t>neutral failed flag is reset here</t>
  </si>
  <si>
    <t>neutral failed flag is set</t>
  </si>
  <si>
    <t>MM_ANALYSIS_Procedure</t>
  </si>
  <si>
    <t>Check the results for all steps of the following procedures:
MM_HL_TEST_NOM_Procedure
MM_HL_TEST_MAX_Procedure
MM_HL_TEST_MIN_Procedure</t>
  </si>
  <si>
    <t>Verify that the obtained outputs in all those steps is within the Range Mentioned below for each of the listed variable. 
mmd_enum_systemMode of type ENUM having range 0 to 11
mmd_enum_ctrlModeToApply of type ENUM having range 0 to 1
mmd_enum_pcmDcmMode of type ENUM having range 0 to 2
mmd_enum_turretLockRequest of type ENUM having range 0 to 1
mmd_bm_reasonPcmDenied having range 0 to 65535
mmd_bm_reasonDcmDenied1 having range 0 to 255
mmd_bm_reasonDcmDenied2 having range 0 to 255
mmd_bm_reasonNeutDenied having range 0 to 255
mmd_bm_reasonUnloadDenied having range 0 to 255
mmd_flg_neutralFailed having range range 0 to 1
mmd_flg_turretLockFailed having range range 0 to 1
mmd_flg_turretUnLockFailed having range range 0 to 1
mmd_bm_illegalTransReqst having range 0 to 255
mmd_bm_reasonLoadCompleteDenied having range 0 to 255</t>
  </si>
  <si>
    <t>TXB-HLC-TC_5923</t>
  </si>
  <si>
    <t>TXB-HLC-TC_6071
TXB-HLC-TC_6084
TXB-HLC-TC_5922</t>
  </si>
  <si>
    <t>TXB-HLC-TC_6267
TXB-HLC-TC_6275
TXB-HLC-TC_6292
TXB-HLC-TC_6302
TXB-HLC-TC_6466
TXB-HLC-TC_6479
TXB-HLC-TC_6488
TXB-HLC-TC_6498
TXB-HLC-TC_5922</t>
  </si>
  <si>
    <t>TXB-HLC-TC_6005
TXB-HLC-TC_8763
TXB-HLC-TC_6165
TXB-HLC-TC_8798
TXB-HLC-TC_6174
TXB-HLC-TC_5922</t>
  </si>
  <si>
    <t>TXB-HLC-TC_5990
TXB-HLC-TC_5991
TXB-HLC-TC_5922</t>
  </si>
  <si>
    <t>TXB-HLC-TC_6025
TXB-HLC-TC_6389
TXB-HLC-TC_6394
TXB-HLC-TC_5922</t>
  </si>
  <si>
    <t>TXB-HLC-TC_5997
TXB-HLC-TC_6494
TXB-HLC-TC_5922</t>
  </si>
  <si>
    <t>TXB-HLC-TC_5934
TXB-HLC-TC_5922</t>
  </si>
  <si>
    <t>TXB-HLC-TC_6162
TXB-HLC-TC_6169
TXB-HLC-TC_6324
TXB-HLC-TC_8801</t>
  </si>
  <si>
    <t>TXB-HLC-TC_6162
TXB-HLC-TC_6169
TXB-HLC-TC_6326
TXB-HLC-TC_8801</t>
  </si>
  <si>
    <t>TXB-HLC-TC_5932
TXB-HLC-TC_5942
TXB-HLC-TC_6553
TXB-HLC-TC_5937
TXB-HLC-TC_5939
TXB-HLC-TC_5940
TXB-HLC-TC_6562
TXB-HLC-TC_6571
TXB-HLC-TC_6554
TXB-HLC-TC_6563
TXB-HLC-TC_6572
TXB-HLC-TC_6555
TXB-HLC-TC_6564
TXB-HLC-TC_6573
TXB-HLC-TC_5938
TXB-HLC-TC_5924</t>
  </si>
  <si>
    <t>TXB-HLC-TC_6144
TXB-HLC-TC_5922
TXB-HLC-TC_5924</t>
  </si>
  <si>
    <t>TXB-HLC-TC_6193
TXB-HLC-TC_5924</t>
  </si>
  <si>
    <t>MM_LL_Procedure</t>
  </si>
  <si>
    <t>Verify that system mode set to SHUTDOWN</t>
  </si>
  <si>
    <t>This test is to verify that when system is in SHUTDOWN mode, system mode change does not happens</t>
  </si>
  <si>
    <t>Low Level Test</t>
  </si>
  <si>
    <t>This test is to verify that when system is in PRE_MISSION mode and deny logic inputs are not set, so deny logic not activated.</t>
  </si>
  <si>
    <t>Verify that system mode set to MM_SYSTEM_MODE_PRE_MISSION_E</t>
  </si>
  <si>
    <t xml:space="preserve">After initialization
Set System mode to MM_SYSTEM_MODE_SHUTDOWN_E
Set other modes to Not Requested
invoke mr_mm_ref function
</t>
  </si>
  <si>
    <t xml:space="preserve">After initialization
Set System mode to MM_SYSTEM_MODE_PRE_MISSION_E
Set Deny logics are not activated
Set other modes to Not Requested
invoke mr_mm_ref function
</t>
  </si>
  <si>
    <t>1) DCM mode request is accepted, so mode transition happens to DCM from PCM
2) This is to prove that illegal notification transition notification is set while moving system from PCM to DCM with invalid mode request PCM.</t>
  </si>
  <si>
    <t>Set steering method to DB_STEER_METHOD_UNAVAILABLE_E
Set system mode to Neutral</t>
  </si>
  <si>
    <t>Verify that system mode is set to Neutral</t>
  </si>
  <si>
    <t>Verify system mode is set to MM_SYSTEM_MODE_PUSHBACK_ATA_TAS_E</t>
  </si>
  <si>
    <t>Verify system mode is set to MM_SYSTEM_MODE_PUSHBACK_ATA_BW_E</t>
  </si>
  <si>
    <t>Verify system mode is set to INIT</t>
  </si>
  <si>
    <t>This test case is to prove that system mode set to ATA_TAS when lvcd_enum_turretLockStatus set to other than LVC_LOCKED_E</t>
  </si>
  <si>
    <t>This test case is to prove that system mode set to ATA_BW when lvcd_enum_turretLockStatus set to LVC_UNLOCKED_E</t>
  </si>
  <si>
    <t>This test case is to prove that system mode set to INIT when mission type is MAINTEN_TOWING and turret lock status is LOCKED</t>
  </si>
  <si>
    <t>Set DCM-Pushback reasons are not accepted
Set lvcd_enum_turretLockStatus to LVC_UNLOCKED_E
Invoke mm_ref_DCM</t>
  </si>
  <si>
    <t>Set DCM-Pushback reasons are not accepted
Set lvcd_enum_turretLockStatus to LVC_LOCKED_E
Set mission type to MD_MISSION_TYPE_UNKNOWN_E
Invoke mm_ref_DCM</t>
  </si>
  <si>
    <t>Set DCM-Pushback reasons are not accepted
Set lvcd_enum_turretLockStatus to LVC_LOCKED_E
Set mission type to MD_MISSION_TYPE_MAINTEN_TOWING_E
Set system mode to INIT
Invoke mm_ref_DCM</t>
  </si>
  <si>
    <t>Super mode is PCM, steering method set to UNAVAILABLE. So system mode set to previous value.</t>
  </si>
  <si>
    <t>Verify that PushBack_NotReason is applied to select DCM-sub mode</t>
  </si>
  <si>
    <t>Set DCM-PushBack modes to activated
Invoke mm_ref_DCM</t>
  </si>
  <si>
    <t xml:space="preserve">This is to verify that once system enters into LVC mode if any illegal request comes, then illegal notification will be given </t>
  </si>
  <si>
    <t>This test case is to prove that PushBack_NotReason logic is applied to select DCM-sub mode</t>
  </si>
  <si>
    <t>Verify that DCM deny logic is activated</t>
  </si>
  <si>
    <t>Verify that DCM deny logic is not activated</t>
  </si>
  <si>
    <t>Set csd_enum_dcmSwitchStatus to CS_SWITCH_REQUESTED_E
Set csd_enum_pcmSwitchStatus to CS_SWITCH_NOT_REQUESTED_E
Set csd_enum_neutralSwitchStatus to CS_SWITCH_NOT_REQUESTED_E
Invoke mm_ref_PCM_NtrlReasonBitMask</t>
  </si>
  <si>
    <t>Set csd_enum_dcmSwitchStatus to CS_SWITCH_NOT_REQUESTED_E
Set csd_enum_pcmSwitchStatus to CS_SWITCH_REQUESTED_E
Set csd_enum_neutralSwitchStatus to CS_SWITCH_NOT_REQUESTED_E
Invoke mm_ref_PCM_NtrlReasonBitMask</t>
  </si>
  <si>
    <t>Set csd_enum_dcmSwitchStatus to CS_SWITCH_NOT_REQUESTED_E
Set csd_enum_pcmSwitchStatus to CS_SWITCH_REQUESTED_E
Set csd_enum_neutralSwitchStatus to CS_SWITCH_NOT_REQUESTED_E
Invoke mm_ref_PCM_DcmReasonBitMask</t>
  </si>
  <si>
    <t>Verify that Neutral deny logic is not activated</t>
  </si>
  <si>
    <t>Pre-condition for taking system to TURRET_LOCK</t>
  </si>
  <si>
    <t>Pre-condition for taking system to Pre-mission</t>
  </si>
  <si>
    <t>1) DCM mode request is accepted.
2) This is to prove that when system enters into DCM mode with invalid mode requests, notification will be alerted</t>
  </si>
  <si>
    <t>This is to prove that when system moving to Neutral mode with illegal mode requests, then illegl notification will be alerted</t>
  </si>
  <si>
    <t>Set steering method to DB_STEER_METHOD_UNAVAILABLE_E</t>
  </si>
  <si>
    <t>Verify that PcmLegalSubState is not activated</t>
  </si>
  <si>
    <t>This test is to verify that when system is in PCM mode and steering method is unavailable, then set system mode is not set to PCM-turret or PCM-steer by wire mode</t>
  </si>
  <si>
    <t>This test is to verify that when PCM switch is requested, none of the PCM reasons are activated</t>
  </si>
  <si>
    <t>This test is to verify that when DCM switch is requested, DCM deny reasons are activated</t>
  </si>
  <si>
    <t>Set csd_enum_dcmSwitchStatus to CS_SWITCH_NOT_REQUESTED_E
Set csd_enum_pcmSwitchStatus to CS_SWITCH_REQUESTED_E
Set csd_enum_neutralSwitchStatus to CS_SWITCH_NOT_REQUESTED_E
Invoke mm_ref_PCM</t>
  </si>
  <si>
    <t>Verify that Deny logic is not activated</t>
  </si>
  <si>
    <t>Set csd_enum_dcmSwitchStatus to CS_SWITCH_NOT_REQUESTED_E
Set csd_enum_pcmSwitchStatus to CS_SWITCH_NOT_REQUESTED_E
Set csd_enum_neutralSwitchStatus to CS_SWITCH_REQUESTED_E
Invoke mm_ref_PCM</t>
  </si>
  <si>
    <t>Verify that Neutral Deny logic is activated</t>
  </si>
  <si>
    <t>Verify that DCM deny logics are applied</t>
  </si>
  <si>
    <t>Set csd_enum_dcmSwitchStatus to CS_SWITCH_REQUESTED_E
Set csd_enum_pcmSwitchStatus to CS_SWITCH_NOT_REQUESTED_E
Set csd_enum_neutralSwitchStatus to CS_SWITCH_NOT_REQUESTED_E
Invoke mm_ref_PCM</t>
  </si>
  <si>
    <t>Set csd_enum_dcmSwitchStatus to CS_SWITCH_NOT_REQUESTED_E
Set csd_enum_pcmSwitchStatus to CS_SWITCH_NOT_REQUESTED_E
Set csd_enum_neutralSwitchStatus to CS_SWITCH_NOT_REQUESTED_E
Invoke mm_ref_PCM</t>
  </si>
  <si>
    <t>Verify that Deny logic is Not activated</t>
  </si>
  <si>
    <t>This test is to prove that when in PCM mode PCM switch is requeted, so deny logic are not acivated</t>
  </si>
  <si>
    <t>This test is to prove that when in PCM mode Neutral mode is requeted, so deny logic acivated</t>
  </si>
  <si>
    <t>This test is to verify that DCM switch is requested, so DCM deny logics are applied</t>
  </si>
  <si>
    <t>This test is to verify that Neutral switch is requested, so Neutral deny logics are applied</t>
  </si>
  <si>
    <t>This test is to verify that none of the system modes are requested, so deny logics are not applied</t>
  </si>
  <si>
    <t>This test is to verify that when system is in Pre-mission mode and load joystic is UNAVAILABLE, then DCM deny logic is not activated</t>
  </si>
  <si>
    <t>Verify mmd_bm_reasonUnloadDenied is set to 0</t>
  </si>
  <si>
    <t>Verify mmd_bm_reasonDcmDenied2 is set to 0</t>
  </si>
  <si>
    <t>This test is to verify that when system is in Pre-mission mode and load joystic is UNAVAILABLE, then unload deny logic is not activated</t>
  </si>
  <si>
    <t>This test is to verify that when neutral switch is not requested and deny logic bits are not set, then neutral deny logic should not be activated</t>
  </si>
  <si>
    <t>This test is to verify that when DCM switch is not requested and deny logic bits are not set, then DCM deny logic should not be activated</t>
  </si>
  <si>
    <t>System is in PCM:
Set csd_enum_neutralSwitchStatus to CS_SWITCH_NOT_REQUESTED_E
Set Neutral deny bits to 0</t>
  </si>
  <si>
    <t>Verfiy that Neutral deny logic is not activated</t>
  </si>
  <si>
    <t>System is in PCM:
Set csd_enum_dcmSwitchStatus to CS_SWITCH_NOT_REQUESTED_E
Set DCM deny bits to 0</t>
  </si>
  <si>
    <t>Verfiy that DCM deny logic is not activated</t>
  </si>
  <si>
    <t>TS Seq Number</t>
  </si>
  <si>
    <t>TP Dors</t>
  </si>
  <si>
    <t>System is in Pre-mission:
Set lvcd_enum_loadJoystick to LVC_LOAD_UNAVAILBLE_E
Set mmd_bm_reasonDcmDenied2 to 0
Invoke mr_mm_ref</t>
  </si>
  <si>
    <t>System is in Pre-mission:
Set lvcd_enum_loadJoystick to LVC_LOAD_UNAVAILBLE_E
Set mmd_bm_reasonUnloadDenied to 0
Invoke mr_mm_ref</t>
  </si>
  <si>
    <t>TXB-HLC-TC_6003
TXB-HLC-TC_6200</t>
  </si>
  <si>
    <t>TXB-HLC-TC_6089
TXB-HLC-TC_5922</t>
  </si>
  <si>
    <t>TXB-HLC-TC_6094
TXB-HLC-TC_6175
TXB-HLC-TC_6219</t>
  </si>
  <si>
    <t>TXB-HLC-TC_6065
TXB-HLC-TC_6077
TXB-HLC-TC_6076</t>
  </si>
  <si>
    <t>TXB-HLC-TC_6074
TXB-HLC-TC_6078</t>
  </si>
  <si>
    <t>TXB-HLC-TC_6004
TXB-HLC-TC_6064
TXB-HLC-TC_6075
TXB-HLC-TC_6079</t>
  </si>
  <si>
    <t>csd_enum_estopSwitchStatus</t>
  </si>
  <si>
    <t>dpvd_flg_dmpPosAndVelValid</t>
  </si>
  <si>
    <t>dpvd_vel_dmpVelocity_mmps</t>
  </si>
  <si>
    <t>loctfd_flg_svVelValid</t>
  </si>
  <si>
    <t>loctfd_vel_svVel_mps</t>
  </si>
  <si>
    <t>mmc_c_numCycles</t>
  </si>
  <si>
    <t>mmc_vel_locVelTresh_mps</t>
  </si>
  <si>
    <t>mmc_vel_dpvVelTresh_mmps</t>
  </si>
  <si>
    <t>mmc_tm_estopShtdwnSetTime_cs</t>
  </si>
  <si>
    <t>mmd_flg_locDpvVelStatus</t>
  </si>
  <si>
    <t>Pre-condition to take system to LVC mode</t>
  </si>
  <si>
    <t>This scenario is to prove that when ESTOP is REQUESTED, system moves to SHUTDOWN mode after estopShtdwnSetTime cycle</t>
  </si>
  <si>
    <t>1) Continous increment for mmc_c_numCycles
2) dmpPos and svVelValid is VALID and dmpVelocity and svVel is less than thesholds for mmc_c_numCycles, so system mode transition happened SHUTDOWN</t>
  </si>
  <si>
    <t>1) Continous increment for mmc_c_numCycles (with once decrement)
2) dmpPos and svVelValid is VALID and dmpVelocity and svVel is less than thesholds for mmc_c_numCycles, so system mode transition happened SHUTDOWN</t>
  </si>
  <si>
    <t>INVALID rerquest is received form loc and dpv, so previous request will be considard as INVALID</t>
  </si>
  <si>
    <t>This scenario is to prove that when ESTOP is REQUESTED, system moves to SHUTDOWN mode after estopShtdwnSetTime cycle (once ESTOP is requested, then it will be latched)</t>
  </si>
  <si>
    <t>ESTOP is not requested, since request is latched NOT_REQUEST scenario will not be considard.</t>
  </si>
  <si>
    <t>VALID request and velocity received from dpv and loc, so system mode will be set to SHUTDOWN after numCycles</t>
  </si>
  <si>
    <t>dpv validity and velocity is VALID</t>
  </si>
  <si>
    <t>dpv validity and velocity is VALID, so SHUTDOWN request will be done with loc inputs</t>
  </si>
  <si>
    <t>This is pre-condition for changing the system mode to PCM from INIT state.</t>
  </si>
  <si>
    <t>System mode changed to PCM</t>
  </si>
  <si>
    <t>loc validity and velocity is VALID</t>
  </si>
  <si>
    <t>loc validity and velocity is VALID, so SHUTDOWN request will be done with dpv inputs</t>
  </si>
  <si>
    <t>VALID request and velocity received from dpv and loc</t>
  </si>
  <si>
    <t>1) INVALID request and velocity received from dpv
2) INVALID request and velocity received from loc</t>
  </si>
  <si>
    <t>1) INVALID request and velocity received from dpv
2) VALID request and velocity received from loc</t>
  </si>
  <si>
    <t>VALID data received from loc</t>
  </si>
  <si>
    <t>VALID data received from loc for more than numCycles, so locDpv validity is set</t>
  </si>
  <si>
    <t>TXB-HLC-TC_22028</t>
  </si>
  <si>
    <t>TXB-HLC-TC_22029</t>
  </si>
  <si>
    <t>TXB-HLC-TC_22030</t>
  </si>
  <si>
    <t>TXB-HLC-TC_22031</t>
  </si>
  <si>
    <t>TXB-HLC-TC_22032</t>
  </si>
  <si>
    <t>TXB-HLC-TC_22033</t>
  </si>
  <si>
    <t>TXB-HLC-TC_22034</t>
  </si>
  <si>
    <t>TXB-HLC-TC_22035</t>
  </si>
  <si>
    <t>TXB-HLC-TC_22036</t>
  </si>
  <si>
    <t>TXB-HLC-TC_22037</t>
  </si>
  <si>
    <t>TXB-HLC-TC_22038</t>
  </si>
  <si>
    <t>TXB-HLC-TC_22039</t>
  </si>
  <si>
    <t>TXB-HLC-TC_22040</t>
  </si>
  <si>
    <t>TXB-HLC-TC_22041</t>
  </si>
  <si>
    <t>TXB-HLC-TC_22042</t>
  </si>
  <si>
    <t>TXB-HLC-TC_22043</t>
  </si>
  <si>
    <t>TXB-HLC-TC_22044</t>
  </si>
  <si>
    <t>TXB-HLC-TC_22045</t>
  </si>
  <si>
    <t>TXB-HLC-TC_22046</t>
  </si>
  <si>
    <t>TXB-HLC-TC_22047</t>
  </si>
  <si>
    <t xml:space="preserve">The Taxibot scheduler applicationTask1() is executed every 10ms and it is proved as per the test Procedure"10_50_msec_Timing_Analysis_Test_Procedure"_x000D_
1) Verify that in function applicationTask1(), taxibotMainCyclic10() is called._x000D_
2) Verify that in function taxibotMainCyclic10(), invokes all the 10ms tasks._x000D_
Verify that function taxibotMainCyclic10() calls appDispatcherIn10().
3) Verify that in function appDispatcherIn10(), function mm_context_step() is called for Modes Manager.
4) Verify that in function mm_context_step(), the following function to process Mods Manager is called which completely covers the requirement:_x000D_
mr_mm_ref
_x000D_
_x000D_
</t>
  </si>
  <si>
    <t>TXB-HLC-TC_22016
TXB-HLC-TC_5984
TXB-HLC-TC_6464
TXB-HLC-TC_6506
TXB-HLC-TC_6202
TXB-HLC-TC_6443
TXB-HLC-TC_5922</t>
  </si>
  <si>
    <t>TXB-HLC-TC_5987
TXB-HLC-TC_6203
TXB-HLC-TC_22017</t>
  </si>
  <si>
    <t>TXB-HLC-TC_22018
TXB-HLC-TC_5944</t>
  </si>
  <si>
    <t>TXB-HLC-TC_22019
TXB-HLC-TC_5945</t>
  </si>
  <si>
    <t>TXB-HLC-TC_6070
TXB-HLC-TC_6090
TXB-HLC-TC_22020
TXB-HLC-TC_5922</t>
  </si>
  <si>
    <t>TXB-HLC-TC_6070
TXB-HLC-TC_6090
TXB-HLC-TC_22020</t>
  </si>
  <si>
    <t>TXB-HLC-TC_6088
TXB-HLC-TC_22021
TXB-HLC-TC_5922</t>
  </si>
  <si>
    <t>TXB-HLC-TC_6088
TXB-HLC-TC_22021</t>
  </si>
  <si>
    <t>TXB-HLC-TC_22052</t>
  </si>
  <si>
    <t>TXB-HLC-TC_22048
TXB-HLC-TC_22051
TXB-HLC-TC_22055</t>
  </si>
  <si>
    <t>TXB-HLC-TC_22065</t>
  </si>
  <si>
    <t>TXB-HLC-TC_22049
TXB-HLC-TC_22066
TXB-HLC-TC_22060
TXB-HLC-TC_22057
TXB-HLC-TC_22059</t>
  </si>
  <si>
    <t>TXB-HLC-TC_22068
TXB-HLC-TC_22056
TXB-HLC-TC_22058
TXB-HLC-TC_22073
TXB-HLC-TC_22072
TXB-HLC-TC_22069
TXB-HLC-TC_22071
TXB-HLC-TC_22070</t>
  </si>
  <si>
    <t>TXB-HLC-TC_22067
TXB-HLC-TC_22074</t>
  </si>
  <si>
    <t>TXB-HLC-TC_22077</t>
  </si>
  <si>
    <t>TXB-HLC-TC_6001
TXB-HLC-TC_6043
TXB-HLC-TC_22078</t>
  </si>
  <si>
    <t>TXB-HLC-TC_5941
TXB-HLC-TC_5987
TXB-HLC-TC_5944
TXB-HLC-TC_5945
TXB-HLC-TC_5947
TXB-HLC-TC_5950
TXB-HLC-TC_5951
TXB-HLC-TC_5952
TXB-HLC-TC_5953
TXB-HLC-TC_5954
TXB-HLC-TC_5948
TXB-HLC-TC_6203
TXB-HLC-TC_22017
TXB-HLC-TC_22080
TXB-HLC-TC_22018
TXB-HLC-TC_22019
TXB-HLC-TC_5922</t>
  </si>
  <si>
    <t>TXB-HLC-TC_22080</t>
  </si>
  <si>
    <t>When turret lock request status is LVC_INTERMEDIATE_E</t>
  </si>
  <si>
    <t>When turret lock request status is LVC_INTERMEDIATE_E for more than turret lock time, so system mode changed to DCM</t>
  </si>
  <si>
    <t>When turret lock request status is LVC_TURRET_LOCK_ERROR_E</t>
  </si>
  <si>
    <t>When turret lock request status is LVC_TURRET_LOCK_ERROR_E for more than turret lock time, so system mode changed to DCM</t>
  </si>
  <si>
    <t>TXB-HLC-TC_22085</t>
  </si>
  <si>
    <t>TXB-HLC-TC_22086</t>
  </si>
  <si>
    <t>TXB-HLC-TC_6244
TXB-HLC-TC_6251
TXB-HLC-TC_6269
TXB-HLC-TC_6277
TXB-HLC-TC_22087</t>
  </si>
  <si>
    <t>TXB-HLC-TC_6229
TXB-HLC-TC_6259
TXB-HLC-TC_6268
TXB-HLC-TC_22087</t>
  </si>
  <si>
    <t>TXB-HLC-TC_6237
TXB-HLC-TC_6243
TXB-HLC-TC_6250
TXB-HLC-TC_6259
TXB-HLC-TC_6268
TXB-HLC-TC_6276
TXB-HLC-TC_22088
TXB-HLC-TC_6209</t>
  </si>
  <si>
    <t>TXB-HLC-TC_6234
TXB-HLC-TC_6242
TXB-HLC-TC_6249
TXB-HLC-TC_6256
TXB-HLC-TC_6264
TXB-HLC-TC_6274
TXB-HLC-TC_22089
TXB-HLC-TC_6222</t>
  </si>
  <si>
    <t>TXB-HLC-TC_22089</t>
  </si>
  <si>
    <t>TXB-HLC-TC_6467
TXB-HLC-TC_6477
TXB-HLC-TC_6489
TXB-HLC-TC_6499
TXB-HLC-TC_6238
TXB-HLC-TC_6245
TXB-HLC-TC_6260
TXB-HLC-TC_6270
TXB-HLC-TC_6278
TXB-HLC-TC_22090
TXB-HLC-TC_22091
TXB-HLC-TC_6350
TXB-HLC-TC_22092
TXB-HLC-TC_6390
TXB-HLC-TC_6461
TXB-HLC-TC_6490</t>
  </si>
  <si>
    <t>TXB-HLC-TC_6501
TXB-HLC-TC_6511
TXB-HLC-TC_6288
TXB-HLC-TC_6298
TXB-HLC-TC_6306
TXB-HLC-TC_6321
TXB-HLC-TC_6328
TXB-HLC-TC_22093</t>
  </si>
  <si>
    <t>TXB-HLC-TC_6058
TXB-HLC-TC_6006
TXB-HLC-TC_22079
TXB-HLC-TC_22094
TXB-HLC-TC_6452</t>
  </si>
  <si>
    <t>TXB-HLC-TC_6369
TXB-HLC-TC_6378
TXB-HLC-TC_6386
TXB-HLC-TC_6394
TXB-HLC-TC_22094
TXB-HLC-TC_6428
TXB-HLC-TC_6369</t>
  </si>
  <si>
    <t>TXB-HLC-TC_6007
TXB-HLC-TC_22095</t>
  </si>
  <si>
    <t>TXB-HLC-TC_6372
TXB-HLC-TC_6381
TXB-HLC-TC_6389
TXB-HLC-TC_6397
TXB-HLC-TC_22096
TXB-HLC-TC_6420</t>
  </si>
  <si>
    <t>TXB-HLC-TC_22097</t>
  </si>
  <si>
    <t>TXB-HLC-TC_6466
TXB-HLC-TC_6479
TXB-HLC-TC_6487
TXB-HLC-TC_6510
TXB-HLC-TC_6374
TXB-HLC-TC_22098
TXB-HLC-TC_6515</t>
  </si>
  <si>
    <t>TXB-HLC-TC_6457
TXB-HLC-TC_22099
TXB-HLC-TC_6436
TXB-HLC-TC_22100</t>
  </si>
  <si>
    <t>TXB-HLC-TC_6630
TXB-HLC-TC_6132
TXB-HLC-TC_6133
TXB-HLC-TC_6134
TXB-HLC-TC_6224
TXB-HLC-TC_5924
TXB-HLC-TC_6230
TXB-HLC-TC_6078
TXB-HLC-TC_22100
TXB-HLC-TC_6095
TXB-HLC-TC_6166
TXB-HLC-TC_8797
TXB-HLC-TC_6063
TXB-HLC-TC_6210
TXB-HLC-TC_5922
TXB-HLC-TC_6074</t>
  </si>
  <si>
    <t>TXB-HLC-TC_6057
TXB-HLC-TC_6514
TXB-HLC-TC_22101</t>
  </si>
  <si>
    <t>TXB-HLC-TC_6091
TXB-HLC-TC_6522
TXB-HLC-TC_22102</t>
  </si>
  <si>
    <t>TXB-HLC-TC_22103</t>
  </si>
  <si>
    <t>TXB-HLC-TC_22104</t>
  </si>
  <si>
    <t>STEP#</t>
  </si>
  <si>
    <t>TIME</t>
  </si>
  <si>
    <t>TYPE</t>
  </si>
  <si>
    <t>C</t>
  </si>
  <si>
    <t>RUN</t>
  </si>
  <si>
    <t>D</t>
  </si>
  <si>
    <t>X</t>
  </si>
  <si>
    <t>STOP</t>
  </si>
  <si>
    <t>At cycle 1 For 1 cycles</t>
  </si>
  <si>
    <t>At the end of cycle 1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</si>
  <si>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Intermediate Inputs</t>
  </si>
  <si>
    <t>At cycle 2 For 1 cycles
Set isd_enum_initStatus to IS_INIT_PROCESSED_E
Set lvcd_enum_turretLockStatus to LVC_LOCKED_E
Set lvcd_enum_ignitionKeyStatus to LVC_IGNITION_OFF_E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 For 1 cycles
Set isd_enum_initStatus to IS_INIT_COMPLETED_E
Set lvcd_enum_turretLockStatus to LVC_LOCKED_E
Set lvcd_enum_ignitionKeyStatus to LVC_IGNITION_OFF_E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 For 496 cycles
Set isd_enum_initStatus to IS_INIT_COMPLETED_E
Set lvcd_enum_turretLockStatus to LVC_LOCKED_E
Set lvcd_enum_ignitionKeyStatus to LVC_IGNITION_OFF_E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500 For 1 cycles
Set isd_enum_initStatus to IS_INIT_COMPLETED_E
Set lvcd_enum_turretLockStatus to LVC_LOCKED_E
Set lvcd_enum_ignitionKeyStatus to LVC_IGNITION_OFF_E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501 For 1 cycles
Set isd_enum_initStatus to IS_INIT_COMPLETED_E
Set lvcd_enum_turretLockStatus to LVC_LOCKED_E
Set lvcd_enum_ignitionKeyStatus to LVC_IGNITION_OFF_E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502 For 1 cycles
Set isd_enum_initStatus to IS_INIT_COMPLETED_E
Set lvcd_enum_turretLockStatus to LVC_LOCKED_E
Set lvcd_enum_ignitionKeyStatus to LVC_IGNITION_OFF_E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</si>
  <si>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500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501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502
Verify mmd_enum_systemMode is MM_SYSTEM_MODE_SHUTDOWN_E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</si>
  <si>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TP to Doors</t>
  </si>
  <si>
    <t>TP to RTRT</t>
  </si>
  <si>
    <t>_</t>
  </si>
  <si>
    <t>A</t>
  </si>
  <si>
    <t>B</t>
  </si>
  <si>
    <t>E</t>
  </si>
  <si>
    <t>F</t>
  </si>
  <si>
    <t>G</t>
  </si>
  <si>
    <t>H</t>
  </si>
  <si>
    <t>1</t>
  </si>
  <si>
    <t>2</t>
  </si>
  <si>
    <t>3</t>
  </si>
  <si>
    <t>4</t>
  </si>
  <si>
    <t>5</t>
  </si>
  <si>
    <t>6</t>
  </si>
  <si>
    <t>7_A</t>
  </si>
  <si>
    <t>7_B</t>
  </si>
  <si>
    <t>7_C</t>
  </si>
  <si>
    <t>7_D</t>
  </si>
  <si>
    <t>7_E</t>
  </si>
  <si>
    <t>7_F</t>
  </si>
  <si>
    <t>7_G</t>
  </si>
  <si>
    <t>7_H</t>
  </si>
  <si>
    <t>8_A</t>
  </si>
  <si>
    <t>8_B</t>
  </si>
  <si>
    <t>8_C</t>
  </si>
  <si>
    <t>8_D</t>
  </si>
  <si>
    <t>8_E</t>
  </si>
  <si>
    <t>9</t>
  </si>
  <si>
    <t>10</t>
  </si>
  <si>
    <t>11</t>
  </si>
  <si>
    <t>12</t>
  </si>
  <si>
    <t>13</t>
  </si>
  <si>
    <t>14</t>
  </si>
  <si>
    <t>15</t>
  </si>
  <si>
    <t>16</t>
  </si>
  <si>
    <t>17</t>
  </si>
  <si>
    <t>18</t>
  </si>
  <si>
    <t>19</t>
  </si>
  <si>
    <t>20</t>
  </si>
  <si>
    <t>22</t>
  </si>
  <si>
    <t>23</t>
  </si>
  <si>
    <t>24</t>
  </si>
  <si>
    <t>25</t>
  </si>
  <si>
    <t>26</t>
  </si>
  <si>
    <t>27</t>
  </si>
  <si>
    <t>28</t>
  </si>
  <si>
    <t>29</t>
  </si>
  <si>
    <t>30</t>
  </si>
  <si>
    <t>31</t>
  </si>
  <si>
    <t>32</t>
  </si>
  <si>
    <t>33</t>
  </si>
  <si>
    <t>34</t>
  </si>
  <si>
    <t>35</t>
  </si>
  <si>
    <t>36</t>
  </si>
  <si>
    <t>37</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</si>
  <si>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</si>
  <si>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</si>
  <si>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</si>
  <si>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</si>
  <si>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</si>
  <si>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</si>
  <si>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</si>
  <si>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</si>
  <si>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</si>
  <si>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</si>
  <si>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</si>
  <si>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</si>
  <si>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</si>
  <si>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</si>
  <si>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</si>
  <si>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</si>
  <si>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</si>
  <si>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</si>
  <si>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</si>
  <si>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</si>
  <si>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</si>
  <si>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</si>
  <si>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</si>
  <si>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</si>
  <si>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</si>
  <si>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</si>
  <si>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</si>
  <si>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</si>
  <si>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</si>
  <si>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</si>
  <si>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</si>
  <si>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</si>
  <si>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</si>
  <si>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</si>
  <si>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</si>
  <si>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</si>
  <si>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</si>
  <si>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</si>
  <si>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</si>
  <si>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</si>
  <si>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</si>
  <si>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</si>
  <si>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</si>
  <si>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</si>
  <si>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</si>
  <si>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</si>
  <si>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</si>
  <si>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</si>
  <si>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</si>
  <si>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</si>
  <si>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</si>
  <si>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</si>
  <si>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</si>
  <si>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</si>
  <si>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</si>
  <si>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</si>
  <si>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</si>
  <si>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</si>
  <si>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</si>
  <si>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</si>
  <si>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</si>
  <si>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</si>
  <si>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</si>
  <si>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</si>
  <si>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</si>
  <si>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</si>
  <si>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</si>
  <si>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</si>
  <si>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</si>
  <si>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</si>
  <si>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</si>
  <si>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</si>
  <si>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</si>
  <si>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</si>
  <si>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</si>
  <si>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</si>
  <si>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</si>
  <si>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</si>
  <si>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</si>
  <si>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</si>
  <si>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</si>
  <si>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</si>
  <si>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</si>
  <si>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</si>
  <si>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</si>
  <si>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</si>
  <si>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</si>
  <si>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</si>
  <si>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</si>
  <si>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</si>
  <si>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</si>
  <si>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</si>
  <si>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</si>
  <si>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</si>
  <si>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</si>
  <si>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</si>
  <si>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</si>
  <si>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</si>
  <si>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</si>
  <si>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</si>
  <si>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</si>
  <si>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</si>
  <si>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</si>
  <si>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</si>
  <si>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</si>
  <si>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</si>
  <si>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</si>
  <si>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</si>
  <si>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</si>
  <si>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</si>
  <si>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</si>
  <si>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</si>
  <si>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</si>
  <si>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</si>
  <si>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</si>
  <si>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</si>
  <si>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</si>
  <si>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</si>
  <si>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</si>
  <si>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</si>
  <si>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</si>
  <si>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</si>
  <si>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</si>
  <si>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</si>
  <si>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</si>
  <si>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</si>
  <si>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</si>
  <si>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</si>
  <si>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</si>
  <si>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</si>
  <si>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</si>
  <si>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</si>
  <si>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</si>
  <si>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</si>
  <si>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</si>
  <si>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</si>
  <si>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</si>
  <si>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</si>
  <si>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</si>
  <si>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</si>
  <si>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</si>
  <si>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</si>
  <si>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</si>
  <si>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</si>
  <si>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</si>
  <si>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</si>
  <si>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</si>
  <si>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</si>
  <si>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</si>
  <si>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</si>
  <si>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</si>
  <si>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</si>
  <si>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</si>
  <si>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</si>
  <si>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</si>
  <si>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</si>
  <si>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</si>
  <si>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</si>
  <si>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</si>
  <si>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</si>
  <si>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</si>
  <si>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173_A</t>
  </si>
  <si>
    <t>173_B</t>
  </si>
  <si>
    <t>201</t>
  </si>
  <si>
    <t>202</t>
  </si>
  <si>
    <t>203</t>
  </si>
  <si>
    <t>204</t>
  </si>
  <si>
    <t>0</t>
  </si>
  <si>
    <t>At cycle 1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CS_SWITCH_REQUESTED_E
Set csd_enum_neutralSwitchStatus to CS_SWITCH_REQUESTED_E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CS_SWITCH_REQUESTED_E
Set csd_enum_neutralSwitchStatus to CS_SWITCH_REQUESTED_E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 For 497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CS_SWITCH_REQUESTED_E
Set csd_enum_neutralSwitchStatus to CS_SWITCH_REQUESTED_E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500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CS_SWITCH_REQUESTED_E
Set csd_enum_neutralSwitchStatus to CS_SWITCH_REQUESTED_E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501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502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</si>
  <si>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500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501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t>
  </si>
  <si>
    <t>At cycle 1 For 1 cycles
Set isd_enum_initStatus to IS_INIT_COMPLETED_E
Set lvcd_enum_turretLockStatus to LVC_LOCKED_E
Set lvcd_enum_ignitionKeyStatus to LVC_IGNITION_ERROR_E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 For 1 cycles
Set isd_enum_initStatus to IS_INIT_COMPLETED_E
Set lvcd_enum_turretLockStatus to LVC_LOCKED_E
Set lvcd_enum_ignitionKeyStatus to LVC_IGNITION_ERROR_E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 For 497 cycles
Set isd_enum_initStatus to IS_INIT_COMPLETED_E
Set lvcd_enum_turretLockStatus to LVC_LOCKED_E
Set lvcd_enum_ignitionKeyStatus to LVC_IGNITION_ERROR_E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500 For 1 cycles
Set isd_enum_initStatus to IS_INIT_COMPLETED_E
Set lvcd_enum_turretLockStatus to LVC_LOCKED_E
Set lvcd_enum_ignitionKeyStatus to LVC_IGNITION_ERROR_E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501 For 1 cycles
Set isd_enum_initStatus to IS_INIT_COMPLETED_E
Set lvcd_enum_turretLockStatus to LVC_LOCKED_E
Set lvcd_enum_ignitionKeyStatus to LVC_IGNITION_ERROR_E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502 For 1 cycles
Set isd_enum_initStatus to IS_INIT_COMPLETED_E
Set lvcd_enum_turretLockStatus to LVC_LOCKED_E
Set lvcd_enum_ignitionKeyStatus to LVC_IGNITION_ERROR_E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</si>
  <si>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500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501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
Verify mmd_bm_reasonLoadCompleteDenied is 0</t>
  </si>
  <si>
    <t>At cycle 1 For 1 cycles
Set isd_enum_initStatus to IS_INIT_NOT_PROCESSED_E
Set lvcd_enum_turretLockStatus to LVC_LOCKED_E
Set lvcd_enum_ignitionKeyStatus to LVC_IGNITION_OFF_E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 For 1 cycles
Set isd_enum_initStatus to IS_INIT_NOT_PROCESSED_E
Set lvcd_enum_turretLockStatus to LVC_LOCKED_E
Set lvcd_enum_ignitionKeyStatus to LVC_IGNITION_OFF_E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 For 497 cycles
Set isd_enum_initStatus to IS_INIT_NOT_PROCESSED_E
Set lvcd_enum_turretLockStatus to LVC_LOCKED_E
Set lvcd_enum_ignitionKeyStatus to LVC_IGNITION_OFF_E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500 For 1 cycles
Set isd_enum_initStatus to IS_INIT_NOT_PROCESSED_E
Set lvcd_enum_turretLockStatus to LVC_LOCKED_E
Set lvcd_enum_ignitionKeyStatus to LVC_IGNITION_OFF_E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501 For 1 cycles
Set isd_enum_initStatus to IS_INIT_NOT_PROCESSED_E
Set lvcd_enum_turretLockStatus to LVC_LOCKED_E
Set lvcd_enum_ignitionKeyStatus to LVC_IGNITION_OFF_E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502 For 1 cycles
Set isd_enum_initStatus to IS_INIT_NOT_PROCESSED_E
Set lvcd_enum_turretLockStatus to LVC_LOCKED_E
Set lvcd_enum_ignitionKeyStatus to LVC_IGNITION_OFF_E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</si>
  <si>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500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501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502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</si>
  <si>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 For 1 cycles
Set isd_enum_initStatus to IS_INIT_PROCESSED_E
Set lvcd_enum_turretLockStatus to LVC_LOCKED_E
Set lvcd_enum_ignitionKeyStatus to LVC_IGNITION_OFF_E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 For 1 cycles
Set isd_enum_initStatus to IS_INIT_PROCESSED_E
Set lvcd_enum_turretLockStatus to LVC_LOCKED_E
Set lvcd_enum_ignitionKeyStatus to LVC_IGNITION_OFF_E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 For 497 cycles
Set isd_enum_initStatus to IS_INIT_PROCESSED_E
Set lvcd_enum_turretLockStatus to LVC_LOCKED_E
Set lvcd_enum_ignitionKeyStatus to LVC_IGNITION_OFF_E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500 For 1 cycles
Set isd_enum_initStatus to IS_INIT_PROCESSED_E
Set lvcd_enum_turretLockStatus to LVC_LOCKED_E
Set lvcd_enum_ignitionKeyStatus to LVC_IGNITION_OFF_E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501 For 1 cycles
Set isd_enum_initStatus to IS_INIT_PROCESSED_E
Set lvcd_enum_turretLockStatus to LVC_LOCKED_E
Set lvcd_enum_ignitionKeyStatus to LVC_IGNITION_OFF_E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502 For 1 cycles
Set isd_enum_initStatus to IS_INIT_PROCESSED_E
Set lvcd_enum_turretLockStatus to LVC_LOCKED_E
Set lvcd_enum_ignitionKeyStatus to LVC_IGNITION_OFF_E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</si>
  <si>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cycle 4056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CS_SWITCH_REQUESTED_E
Set csd_enum_neutralSwitchStatus to CS_SWITCH_REQUESTED_E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4057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4058 For 297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4355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4356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4357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4358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4359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4360 For 1 cycles
Set isd_enum_initStatus to IS_INIT_COMPLETED_E
Set lvcd_enum_turretLockStatus to LVC_UNLOCKED_E
Set lvcd_enum_ignitionKeyStatus to LVC_IGNITION_OFF_E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</si>
  <si>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4056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4057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4058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4355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4356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4357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4358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4359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4360
Verify mmd_enum_systemMode is MM_SYSTEM_MODE_SHUTDOWN_E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</si>
  <si>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Set csd_enum_estopSwitchStatus to CS_SWITCH_NOT_REQUESTED_E
Set dpvd_flg_dmpPosAndVelValid to 0
Set dpvd_vel_dmpVelocity_mmps to 0
Set loctfd_flg_svVelValid to 0
Set loctfd_vel_svVel_mps to 0</t>
  </si>
  <si>
    <t>At cycle 1 For 500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501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502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503 For 498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1001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1002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1003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1004 For 1 cycles
Set isd_enum_initStatus to IS_INIT_COMPLETED_E
Set lvcd_enum_turretLockStatus to LVC_UNLOCKED_E
Set lvcd_enum_ignitionKeyStatus to LVC_IGNITION_OFF_E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***Error****</t>
  </si>
  <si>
    <t>At the end of cycle 1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501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503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1001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1003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1004
Verify mmd_enum_systemMode is MM_SYSTEM_MODE_SHUTDOWN_E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</si>
  <si>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 For 500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501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502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503 For 498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1001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1002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1003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</si>
  <si>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501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503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1001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1003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</si>
  <si>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1004 For 1 cycles
Set isd_enum_initStatus to IS_INIT_COMPLETED_E
Set lvcd_enum_turretLockStatus to LVC_UNLOCKED_E
Set lvcd_enum_ignitionKeyStatus to LVC_IGNITION_OFF_E
Set lvcd_enum_fwdNeuRevPos to LVC_FORWARD_E
Set lvcd_enum_parkBrkReq to LVC_REQ_DISENGAGE_E
Set lvcd_enum_parkBrakeStatus to LVC_NOT_APPLIED_E
Set lvcd_enum_loadJoystick to LVC_UNLOAD_E
Set lvcd_enum_loadingStep to LVC_LOAD_STAGE0_E
Set lvcd_enum_pinStatus to LVC_PIN_STATUS_UNKNOWN_E
Set lvcd_enum_operatStationPos to LVC_FWD_E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1
Set dcd_vel_tugWsFL_mps to 0.2
Set dcd_flg_speedRLValid to 1
Set dcd_vel_tugWsRL_mps to 0.2
Set dcd_flg_speedFRValid to 1
Set dcd_vel_tugWsFR_mps to 0.2
Set dcd_flg_speedRRValid to 0
Set dcd_vel_tugWsRR_mps to 0.4
Set csd_enum_estopSwitchStatus to CS_SWITCH_NOT_REQUESTED_E
Set dpvd_flg_dmpPosAndVelValid to 0
Set dpvd_vel_dmpVelocity_mmps to 0
Set loctfd_flg_svVelValid to 0
Set loctfd_vel_svVel_mps to 0</t>
  </si>
  <si>
    <t>At the end of cycle 1004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31
Verify mmd_flg_neutralFailed is 0
Verify mmd_flg_turretLockFailed is 0
Verify mmd_flg_turretUnLockFailed is 0
Verify mmd_bm_illegalTransReqst is 0
Verify mmd_bm_reasonLoadCompleteDenied is 0</t>
  </si>
  <si>
    <t>At cycle 1005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LVC_NOT_APPLIED_E
Set lvcd_enum_loadJoystick to LVC_UNLOAD_E
Set lvcd_enum_loadingStep to LVC_LOAD_STAGE0_E
Set lvcd_enum_pinStatus to LVC_PIN_STATUS_UNKNOWN_E
Set lvcd_enum_operatStationPos to LVC_REV_E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</si>
  <si>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1005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8
Verify mmd_flg_neutralFailed is 0
Verify mmd_flg_turretLockFailed is 0
Verify mmd_flg_turretUnLockFailed is 0
Verify mmd_bm_illegalTransReqst is 0
Verify mmd_bm_reasonLoadCompleteDenied is 0</t>
  </si>
  <si>
    <t>At cycle 1006 For 1 cycles
Set isd_enum_initStatus to IS_INIT_COMPLETED_E
Set lvcd_enum_turretLockStatus to LVC_UNLOCKED_E
Set lvcd_enum_ignitionKeyStatus to LVC_IGNITION_ERROR_E
Set lvcd_enum_fwdNeuRevPos to LVC_NEUTRAL_E
Set lvcd_enum_parkBrkReq to LVC_REQ_ENGAGE_E
Set lvcd_enum_parkBrakeStatus to LVC_NOT_APPLIED_E
Set lvcd_enum_loadJoystick to LVC_UNLOAD_E
Set lvcd_enum_loadingStep to LVC_LOAD_STAGE0_E
Set lvcd_enum_pinStatus to LVC_PIN_STATUS_UNKNOWN_E
Set lvcd_enum_operatStationPos to LVC_FWD_E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</si>
  <si>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1006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24
Verify mmd_flg_neutralFailed is 0
Verify mmd_flg_turretLockFailed is 0
Verify mmd_flg_turretUnLockFailed is 0
Verify mmd_bm_illegalTransReqst is 0
Verify mmd_bm_reasonLoadCompleteDenied is 0</t>
  </si>
  <si>
    <t>At cycle 1007 For 1 cycles
Set isd_enum_initStatus to IS_INIT_COMPLETED_E
Set lvcd_enum_turretLockStatus to LVC_UNLOCKED_E
Set lvcd_enum_ignitionKeyStatus to LVC_IGNITION_ERROR_E
Set lvcd_enum_fwdNeuRevPos to LVC_NEUTRAL_E
Set lvcd_enum_parkBrkReq to LVC_REQ_ENGAGE_E
Set lvcd_enum_parkBrakeStatus to LVC_NOT_APPLIED_E
Set lvcd_enum_loadJoystick to LVC_UNLOAD_E
Set lvcd_enum_loadingStep to LVC_LOAD_STAGE0_E
Set lvcd_enum_pinStatus to LVC_PIN_STATUS_UNKNOWN_E
Set lvcd_enum_operatStationPos to LVC_UNDEFINED_E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1008 For 1 cycles
Set isd_enum_initStatus to IS_INIT_COMPLETED_E
Set lvcd_enum_turretLockStatus to LVC_UNLOCKED_E
Set lvcd_enum_ignitionKeyStatus to LVC_IGNITION_ERROR_E
Set lvcd_enum_fwdNeuRevPos to LVC_NEUTRAL_E
Set lvcd_enum_parkBrkReq to LVC_REQ_ENGAGE_E
Set lvcd_enum_parkBrakeStatus to LVC_NOT_APPLIED_E
Set lvcd_enum_loadJoystick to LVC_UNLOAD_E
Set lvcd_enum_loadingStep to LVC_LOAD_STAGE0_E
Set lvcd_enum_pinStatus to LVC_PIN_STATUS_UNKNOWN_E
Set lvcd_enum_operatStationPos to LVC_OPERATOR_POS_ERROR_E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</si>
  <si>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1007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24
Verify mmd_flg_neutralFailed is 0
Verify mmd_flg_turretLockFailed is 0
Verify mmd_flg_turretUnLockFailed is 0
Verify mmd_bm_illegalTransReqst is 0
Verify mmd_bm_reasonLoadCompleteDenied is 0
At the end of cycle 1008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24
Verify mmd_flg_neutralFailed is 0
Verify mmd_flg_turretLockFailed is 0
Verify mmd_flg_turretUnLockFailed is 0
Verify mmd_bm_illegalTransReqst is 0
Verify mmd_bm_reasonLoadCompleteDenied is 0</t>
  </si>
  <si>
    <t>At cycle 1009 For 1 cycles
Set isd_enum_initStatus to IS_INIT_COMPLETED_E
Set lvcd_enum_turretLockStatus to LVC_UNLOCKED_E
Set lvcd_enum_ignitionKeyStatus to LVC_IGNITION_ERROR_E
Set lvcd_enum_fwdNeuRevPos to LVC_NEUTRAL_E
Set lvcd_enum_parkBrkReq to LVC_REQ_DISENGAGE_E
Set lvcd_enum_parkBrakeStatus to LVC_NOT_APPLIED_E
Set lvcd_enum_loadJoystick to LVC_UNLOAD_E
Set lvcd_enum_loadingStep to LVC_LOAD_STAGE0_E
Set lvcd_enum_pinStatus to LVC_PIN_STATUS_UNKNOWN_E
Set lvcd_enum_operatStationPos to LVC_REV_E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</si>
  <si>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1009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12
Verify mmd_flg_neutralFailed is 0
Verify mmd_flg_turretLockFailed is 0
Verify mmd_flg_turretUnLockFailed is 0
Verify mmd_bm_illegalTransReqst is 0
Verify mmd_bm_reasonLoadCompleteDenied is 0</t>
  </si>
  <si>
    <t>At cycle 1010 For 1 cycles
Set isd_enum_initStatus to IS_INIT_COMPLETED_E
Set lvcd_enum_turretLockStatus to LVC_UNLOCKED_E
Set lvcd_enum_ignitionKeyStatus to LVC_IGNITION_ERROR_E
Set lvcd_enum_fwdNeuRevPos to LVC_NEUTRAL_E
Set lvcd_enum_parkBrkReq to LVC_REQ_NOT_AVAILABLE_E
Set lvcd_enum_parkBrakeStatus to LVC_APPLIED_E
Set lvcd_enum_loadJoystick to LVC_UNLOAD_E
Set lvcd_enum_loadingStep to LVC_LOAD_STAGE0_E
Set lvcd_enum_pinStatus to LVC_PIN_STATUS_UNKNOWN_E
Set lvcd_enum_operatStationPos to LVC_REV_E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</si>
  <si>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1010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4
Verify mmd_flg_neutralFailed is 0
Verify mmd_flg_turretLockFailed is 0
Verify mmd_flg_turretUnLockFailed is 0
Verify mmd_bm_illegalTransReqst is 0
Verify mmd_bm_reasonLoadCompleteDenied is 0</t>
  </si>
  <si>
    <t>At cycle 1011 For 1 cycles
Set isd_enum_initStatus to IS_INIT_COMPLETED_E
Set lvcd_enum_turretLockStatus to LVC_UNLOCKED_E
Set lvcd_enum_ignitionKeyStatus to LVC_IGNITION_ERROR_E
Set lvcd_enum_fwdNeuRevPos to LVC_NEUTRAL_E
Set lvcd_enum_parkBrkReq to LVC_REQ_ERROR_E
Set lvcd_enum_parkBrakeStatus to LVC_NOT_AVAILABLE_E
Set lvcd_enum_loadJoystick to LVC_UNLOAD_E
Set lvcd_enum_loadingStep to LVC_LOAD_STAGE0_E
Set lvcd_enum_pinStatus to LVC_PIN_STATUS_UNKNOWN_E
Set lvcd_enum_operatStationPos to LVC_REV_E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</si>
  <si>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1011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12
Verify mmd_flg_neutralFailed is 0
Verify mmd_flg_turretLockFailed is 0
Verify mmd_flg_turretUnLockFailed is 0
Verify mmd_bm_illegalTransReqst is 0
Verify mmd_bm_reasonLoadCompleteDenied is 0</t>
  </si>
  <si>
    <t>At cycle 1012 For 1 cycles
Set isd_enum_initStatus to IS_INIT_COMPLETED_E
Set lvcd_enum_turretLockStatus to LVC_UNLOCKED_E
Set lvcd_enum_ignitionKeyStatus to LVC_IGNITION_ERROR_E
Set lvcd_enum_fwdNeuRevPos to LVC_FORWARD_E
Set lvcd_enum_parkBrkReq to LVC_REQ_ERROR_E
Set lvcd_enum_parkBrakeStatus to LVC_APPLIED_E
Set lvcd_enum_loadJoystick to LVC_UNLOAD_E
Set lvcd_enum_loadingStep to LVC_LOAD_STAGE0_E
Set lvcd_enum_pinStatus to LVC_PIN_STATUS_UNKNOWN_E
Set lvcd_enum_operatStationPos to LVC_REV_E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</si>
  <si>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1012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6
Verify mmd_flg_neutralFailed is 0
Verify mmd_flg_turretLockFailed is 0
Verify mmd_flg_turretUnLockFailed is 0
Verify mmd_bm_illegalTransReqst is 0
Verify mmd_bm_reasonLoadCompleteDenied is 0</t>
  </si>
  <si>
    <t>At cycle 1013 For 1 cycles
Set isd_enum_initStatus to IS_INIT_COMPLETED_E
Set lvcd_enum_turretLockStatus to LVC_UNLOCKED_E
Set lvcd_enum_ignitionKeyStatus to LVC_IGNITION_ERROR_E
Set lvcd_enum_fwdNeuRevPos to LVC_REVERSE_E
Set lvcd_enum_parkBrkReq to LVC_REQ_ERROR_E
Set lvcd_enum_parkBrakeStatus to LVC_STATUS_ERROR_E
Set lvcd_enum_loadJoystick to LVC_UNLOAD_E
Set lvcd_enum_loadingStep to LVC_LOAD_STAGE0_E
Set lvcd_enum_pinStatus to LVC_PIN_STATUS_UNKNOWN_E
Set lvcd_enum_operatStationPos to LVC_REV_E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</si>
  <si>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1013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14
Verify mmd_flg_neutralFailed is 0
Verify mmd_flg_turretLockFailed is 0
Verify mmd_flg_turretUnLockFailed is 0
Verify mmd_bm_illegalTransReqst is 0
Verify mmd_bm_reasonLoadCompleteDenied is 0</t>
  </si>
  <si>
    <t>At cycle 1014 For 1 cycles
Set isd_enum_initStatus to IS_INIT_COMPLETED_E
Set lvcd_enum_turretLockStatus to LVC_UNLOCKED_E
Set lvcd_enum_ignitionKeyStatus to LVC_IGNITION_ERROR_E
Set lvcd_enum_fwdNeuRevPos to LVC_FNR_STATE_ERROR_E
Set lvcd_enum_parkBrkReq to LVC_REQ_ERROR_E
Set lvcd_enum_parkBrakeStatus to LVC_NOT_APPLIED_E
Set lvcd_enum_loadJoystick to LVC_UNLOAD_E
Set lvcd_enum_loadingStep to LVC_LOAD_STAGE0_E
Set lvcd_enum_pinStatus to LVC_PIN_STATUS_UNKNOWN_E
Set lvcd_enum_operatStationPos to LVC_REV_E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</si>
  <si>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1014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14
Verify mmd_flg_neutralFailed is 0
Verify mmd_flg_turretLockFailed is 0
Verify mmd_flg_turretUnLockFailed is 0
Verify mmd_bm_illegalTransReqst is 0
Verify mmd_bm_reasonLoadCompleteDenied is 0</t>
  </si>
  <si>
    <t>At cycle 1015 For 1 cycles
Set isd_enum_initStatus to IS_INIT_COMPLETED_E
Set lvcd_enum_turretLockStatus to LVC_INTERMEDIATE_E
Set lvcd_enum_ignitionKeyStatus to LVC_IGNITION_ERROR_E
Set lvcd_enum_fwdNeuRevPos to LVC_NEUTRAL_E
Set lvcd_enum_parkBrkReq to LVC_REQ_ERROR_E
Set lvcd_enum_parkBrakeStatus to LVC_APPLIED_E
Set lvcd_enum_loadJoystick to LVC_UNLOAD_E
Set lvcd_enum_loadingStep to LVC_LOAD_STAGE0_E
Set lvcd_enum_pinStatus to LVC_PIN_STATUS_UNKNOWN_E
Set lvcd_enum_operatStationPos to LVC_REV_E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1
Set dcd_flg_speedFLValid to 1
Set dcd_vel_tugWsFL_mps to 0.2
Set dcd_flg_speedRLValid to 1
Set dcd_vel_tugWsRL_mps to 0.2
Set dcd_flg_speedFRValid to 1
Set dcd_vel_tugWsFR_mps to 0.2
Set dcd_flg_speedRRValid to 0
Set dcd_vel_tugWsRR_mps to 0
Set csd_enum_estopSwitchStatus to CS_SWITCH_NOT_REQUESTED_E
Set dpvd_flg_dmpPosAndVelValid to 0
Set dpvd_vel_dmpVelocity_mmps to 0
Set loctfd_flg_svVelValid to 0
Set loctfd_vel_svVel_mps to 0
At cycle 1016 For 1 cycles
Set isd_enum_initStatus to IS_INIT_COMPLETED_E
Set lvcd_enum_turretLockStatus to LVC_INTERMEDIATE_E
Set lvcd_enum_ignitionKeyStatus to LVC_IGNITION_ERROR_E
Set lvcd_enum_fwdNeuRevPos to LVC_NEUTRAL_E
Set lvcd_enum_parkBrkReq to LVC_REQ_ERROR_E
Set lvcd_enum_parkBrakeStatus to LVC_APPLIED_E
Set lvcd_enum_loadJoystick to LVC_LOAD_E
Set lvcd_enum_loadingStep to LVC_LOAD_STAGE0_E
Set lvcd_enum_pinStatus to LVC_PIN_STATUS_UNKNOWN_E
Set lvcd_enum_operatStationPos to LVC_REV_E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1017 For 1 cycles
Set isd_enum_initStatus to IS_INIT_COMPLETED_E
Set lvcd_enum_turretLockStatus to LVC_UNLOCKED_E
Set lvcd_enum_ignitionKeyStatus to LVC_IGNITION_ERROR_E
Set lvcd_enum_fwdNeuRevPos to LVC_NEUTRAL_E
Set lvcd_enum_parkBrkReq to LVC_REQ_ERROR_E
Set lvcd_enum_parkBrakeStatus to LVC_NOT_APPLIED_E
Set lvcd_enum_loadJoystick to LVC_LOAD_UNAVAILBLE_E
Set lvcd_enum_loadingStep to LVC_LOAD_STAGE0_E
Set lvcd_enum_pinStatus to LVC_PIN_OUT_E
Set lvcd_enum_operatStationPos to LVC_REV_E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</si>
  <si>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1015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5
Verify mmd_flg_neutralFailed is 0
Verify mmd_flg_turretLockFailed is 0
Verify mmd_flg_turretUnLockFailed is 0
Verify mmd_bm_illegalTransReqst is 0
Verify mmd_bm_reasonLoadCompleteDenied is 0
At the end of cycle 1016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228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1017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157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</si>
  <si>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1018 For 1 cycles
Set isd_enum_initStatus to IS_INIT_COMPLETED_E
Set lvcd_enum_turretLockStatus to LVC_INTERMEDIATE_E
Set lvcd_enum_ignitionKeyStatus to LVC_IGNITION_ERROR_E
Set lvcd_enum_fwdNeuRevPos to LVC_NEUTRAL_E
Set lvcd_enum_parkBrkReq to LVC_REQ_ERROR_E
Set lvcd_enum_parkBrakeStatus to LVC_APPLIED_E
Set lvcd_enum_loadJoystick to LVC_LOAD_ERROR_E
Set lvcd_enum_loadingStep to LVC_LOAD_STAGE0_E
Set lvcd_enum_pinStatus to LVC_PIN_STATUS_UNKNOWN_E
Set lvcd_enum_operatStationPos to LVC_REV_E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</si>
  <si>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1018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36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</si>
  <si>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1019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LVC_PIN_OUT_E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</si>
  <si>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1019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</si>
  <si>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1020 For 1 cycles
Set isd_enum_initStatus to IS_INIT_COMPLETED_E
Set lvcd_enum_turretLockStatus to LVC_TURRET_LOCK_ERROR_E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LVC_PIN_IN_E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</si>
  <si>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1020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160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</si>
  <si>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1021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LVC_PIN_OUT_E
Set lvcd_enum_operatStationPos to LVC_UNDEFINED_E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</si>
  <si>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1021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</si>
  <si>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1022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LVC_PIN_ERROR_E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</si>
  <si>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1022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161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</si>
  <si>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1023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</si>
  <si>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1023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</si>
  <si>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1024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LVC_PIN_OUT_E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</si>
  <si>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1024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145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</si>
  <si>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1025 For 1 cycles
Set isd_enum_initStatus to IS_INIT_COMPLETED_E
Set lvcd_enum_turretLockStatus to LVC_INTERMEDIATE_E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</si>
  <si>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1025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162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</si>
  <si>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1026 For 1 cycles
Set isd_enum_initStatus to IS_INIT_COMPLETED_E
Set lvcd_enum_turretLockStatus to LVC_INTERMEDIATE_E
Set lvcd_enum_ignitionKeyStatus to LVC_IGNITION_ON_E
Set lvcd_enum_fwdNeuRevPos to LVC_REVERSE_E
Set lvcd_enum_parkBrkReq to LVC_REQ_ENGAGE_E
Set lvcd_enum_parkBrakeStatus to LVC_APPLIED_E
Set lvcd_enum_loadJoystick to LVC_LOAD_E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</si>
  <si>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1026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162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</si>
  <si>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1027 For 1 cycles
Set isd_enum_initStatus to IS_INIT_COMPLETED_E
Set lvcd_enum_turretLockStatus to LVC_INTERMEDIATE_E
Set lvcd_enum_ignitionKeyStatus to LVC_IGNITION_ON_E
Set lvcd_enum_fwdNeuRevPos to LVC_FNR_STATE_ERROR_E
Set lvcd_enum_parkBrkReq to LVC_REQ_ENGAGE_E
Set lvcd_enum_parkBrakeStatus to LVC_APPLIED_E
Set lvcd_enum_loadJoystick to LVC_LOAD_E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</si>
  <si>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1027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162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</si>
  <si>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1028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LVC_NOT_APPLIED_E
Set lvcd_enum_loadJoystick to LVC_LOAD_E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</si>
  <si>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1028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168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</si>
  <si>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1029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LVC_NOT_AVAILABLE_E
Set lvcd_enum_loadJoystick to LVC_LOAD_E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</si>
  <si>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1029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168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</si>
  <si>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1030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LVC_STATUS_ERROR_E
Set lvcd_enum_loadJoystick to LVC_LOAD_E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</si>
  <si>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1030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168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</si>
  <si>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1031 For 1 cycles
Set isd_enum_initStatus to IS_INIT_COMPLETED_E
Set lvcd_enum_turretLockStatus to LVC_INTERMEDIATE_E
Set lvcd_enum_ignitionKeyStatus to LVC_IGNITION_ON_E
Set lvcd_enum_fwdNeuRevPos to LVC_NEUTRAL_E
Set lvcd_enum_parkBrkReq to LVC_REQ_DISENGAGE_E
Set lvcd_enum_parkBrakeStatus to LVC_APPLIED_E
Set lvcd_enum_loadJoystick to LVC_LOAD_E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</si>
  <si>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1031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164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</si>
  <si>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1032 For 1 cycles
Set isd_enum_initStatus to IS_INIT_COMPLETED_E
Set lvcd_enum_turretLockStatus to LVC_INTERMEDIATE_E
Set lvcd_enum_ignitionKeyStatus to LVC_IGNITION_ON_E
Set lvcd_enum_fwdNeuRevPos to LVC_NEUTRAL_E
Set lvcd_enum_parkBrkReq to LVC_REQ_DISENGAGE_E
Set lvcd_enum_parkBrakeStatus to LVC_NOT_AVAILABLE_E
Set lvcd_enum_loadJoystick to LVC_LOAD_E
Set lvcd_enum_loadingStep to LVC_LOAD_STAGE0_E
Set lvcd_enum_pinStatus to LVC_PIN_STATUS_UNKNOWN_E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</si>
  <si>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1032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172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</si>
  <si>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1033 For 1 cycles
Set isd_enum_initStatus to IS_INIT_COMPLETED_E
Set lvcd_enum_turretLockStatus to LVC_INTERMEDIATE_E
Set lvcd_enum_ignitionKeyStatus to LVC_IGNITION_ON_E
Set lvcd_enum_fwdNeuRevPos to LVC_NEUTRAL_E
Set lvcd_enum_parkBrkReq to LVC_REQ_DISENGAGE_E
Set lvcd_enum_parkBrakeStatus to LVC_STATUS_ERROR_E
Set lvcd_enum_loadJoystick to LVC_LOAD_E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1034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LVC_PIN_IN_E
Set lvcd_enum_operatStationPos to LVC_UNDEFINED_E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1035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LVC_PIN_IN_E
Set lvcd_enum_operatStationPos to LVC_UNDEFINED_E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</si>
  <si>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1033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172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1034
Verify mmd_enum_systemMode is MM_SYSTEM_MODE_PRE_MISSION_E
Verify mmd_enum_pcmDcmMode is MM_NONE_E
Verify mmd_enum_turretLockRequest is MM_TURRET_LOCK_LOCK_E
Verify mmd_enum_ctrlModeToApply is MM_HLC_E
Verify mmd_bm_reasonPcmDenied is 0
Verify mmd_bm_reasonDcmDenied1 is 0
Verify mmd_bm_reasonDcmDenied2 is 144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1035
Verify mmd_enum_systemMode is MM_SYSTEM_MODE_PRE_MISSION_E
Verify mmd_enum_pcmDcmMode is MM_NONE_E
Verify mmd_enum_turretLockRequest is MM_TURRET_LOCK_LOCK_E
Verify mmd_enum_ctrlModeToApply is MM_HLC_E
Verify mmd_bm_reasonPcmDenied is 0
Verify mmd_bm_reasonDcmDenied1 is 0
Verify mmd_bm_reasonDcmDenied2 is 144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</si>
  <si>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1036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LVC_PIN_IN_E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1037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LVC_PIN_IN_E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</si>
  <si>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1036
Verify mmd_enum_systemMode is MM_SYSTEM_MODE_PRE_MISSION_E
Verify mmd_enum_pcmDcmMode is MM_NONE_E
Verify mmd_enum_turretLockRequest is MM_TURRET_LOCK_LOCK_E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1037
Verify mmd_enum_systemMode is MM_SYSTEM_MODE_PRE_MISSION_E
Verify mmd_enum_pcmDcmMode is MM_NONE_E
Verify mmd_enum_turretLockRequest is MM_TURRET_LOCK_LOCK_E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</si>
  <si>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1038 For 1 cycles
Set isd_enum_initStatus to IS_INIT_COMPLETED_E
Set lvcd_enum_turretLockStatus to LVC_TURRET_LOCK_ERROR_E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LVC_PIN_IN_E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1039 For 1 cycles
Set isd_enum_initStatus to IS_INIT_COMPLETED_E
Set lvcd_enum_turretLockStatus to LVC_TURRET_LOCK_ERROR_E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LVC_PIN_IN_E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</si>
  <si>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1038
Verify mmd_enum_systemMode is MM_SYSTEM_MODE_PRE_MISSION_E
Verify mmd_enum_pcmDcmMode is MM_NONE_E
Verify mmd_enum_turretLockRequest is MM_TURRET_LOCK_LOCK_E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1039
Verify mmd_enum_systemMode is MM_SYSTEM_MODE_PRE_MISSION_E
Verify mmd_enum_pcmDcmMode is MM_NONE_E
Verify mmd_enum_turretLockRequest is MM_TURRET_LOCK_LOCK_E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</si>
  <si>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1040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LVC_PIN_IN_E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1041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LVC_PIN_IN_E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</si>
  <si>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1040
Verify mmd_enum_systemMode is MM_SYSTEM_MODE_PRE_MISSION_E
Verify mmd_enum_pcmDcmMode is MM_NONE_E
Verify mmd_enum_turretLockRequest is MM_TURRET_LOCK_LOCK_E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1041
Verify mmd_enum_systemMode is MM_SYSTEM_MODE_PRE_MISSION_E
Verify mmd_enum_pcmDcmMode is MM_NONE_E
Verify mmd_enum_turretLockRequest is MM_TURRET_LOCK_LOCK_E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</si>
  <si>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1042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LVC_PIN_OUT_E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1043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LVC_PIN_OUT_E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</si>
  <si>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1042
Verify mmd_enum_systemMode is MM_SYSTEM_MODE_PRE_MISSION_E
Verify mmd_enum_pcmDcmMode is MM_NONE_E
Verify mmd_enum_turretLockRequest is MM_TURRET_LOCK_LOCK_E
Verify mmd_enum_ctrlModeToApply is MM_HLC_E
Verify mmd_bm_reasonPcmDenied is 0
Verify mmd_bm_reasonDcmDenied1 is 0
Verify mmd_bm_reasonDcmDenied2 is 129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1043
Verify mmd_enum_systemMode is MM_SYSTEM_MODE_PRE_MISSION_E
Verify mmd_enum_pcmDcmMode is MM_NONE_E
Verify mmd_enum_turretLockRequest is MM_TURRET_LOCK_LOCK_E
Verify mmd_enum_ctrlModeToApply is MM_HLC_E
Verify mmd_bm_reasonPcmDenied is 0
Verify mmd_bm_reasonDcmDenied1 is 0
Verify mmd_bm_reasonDcmDenied2 is 129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</si>
  <si>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1044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LVC_PIN_OUT_E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1045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LVC_PIN_OUT_E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</si>
  <si>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1044
Verify mmd_enum_systemMode is MM_SYSTEM_MODE_PRE_MISSION_E
Verify mmd_enum_pcmDcmMode is MM_NONE_E
Verify mmd_enum_turretLockRequest is MM_TURRET_LOCK_LOCK_E
Verify mmd_enum_ctrlModeToApply is MM_HLC_E
Verify mmd_bm_reasonPcmDenied is 0
Verify mmd_bm_reasonDcmDenied1 is 0
Verify mmd_bm_reasonDcmDenied2 is 192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1045
Verify mmd_enum_systemMode is MM_SYSTEM_MODE_PRE_MISSION_E
Verify mmd_enum_pcmDcmMode is MM_NONE_E
Verify mmd_enum_turretLockRequest is MM_TURRET_LOCK_LOCK_E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</si>
  <si>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1046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LVC_PIN_OUT_E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1047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LVC_PIN_OUT_E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</si>
  <si>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1046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1047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</si>
  <si>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1048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LVC_PIN_ERROR_E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1049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LVC_PIN_ERROR_E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</si>
  <si>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1048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224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1049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224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</si>
  <si>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1050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1051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</si>
  <si>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1050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1051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</si>
  <si>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1052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1053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LVC_UNLOAD_E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</si>
  <si>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1052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1053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16
Verify mmd_flg_neutralFailed is 0
Verify mmd_flg_turretLockFailed is 0
Verify mmd_flg_turretUnLockFailed is 0
Verify mmd_bm_illegalTransReqst is 0
Verify mmd_bm_reasonLoadCompleteDenied is 0</t>
  </si>
  <si>
    <t>At cycle 1054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1055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</si>
  <si>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1054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1055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</si>
  <si>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1056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LVC_UNLOAD_E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1057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</si>
  <si>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1056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16
Verify mmd_flg_neutralFailed is 0
Verify mmd_flg_turretLockFailed is 0
Verify mmd_flg_turretUnLockFailed is 0
Verify mmd_bm_illegalTransReqst is 0
Verify mmd_bm_reasonLoadCompleteDenied is 0
At the end of cycle 1057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0
Verify mmd_bm_reasonLoadCompleteDenied is 0</t>
  </si>
  <si>
    <t>At cycle 1058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1
Set dcd_vel_tugWsFL_mps to 10
Set dcd_flg_speedRLValid to 1
Set dcd_vel_tugWsRL_mps to 10
Set dcd_flg_speedFRValid to 1
Set dcd_vel_tugWsFR_mps to 10
Set dcd_flg_speedRRValid to 0
Set dcd_vel_tugWsRR_mps to 0
Set csd_enum_estopSwitchStatus to CS_SWITCH_NOT_REQUESTED_E
Set dpvd_flg_dmpPosAndVelValid to 0
Set dpvd_vel_dmpVelocity_mmps to 0
Set loctfd_flg_svVelValid to 0
Set loctfd_vel_svVel_mps to 0
At cycle 1059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</si>
  <si>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1058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145
Verify mmd_flg_neutralFailed is 0
Verify mmd_flg_turretLockFailed is 0
Verify mmd_flg_turretUnLockFailed is 0
Verify mmd_bm_illegalTransReqst is 0
Verify mmd_bm_reasonLoadCompleteDenied is 0
At the end of cycle 1059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144
Verify mmd_flg_neutralFailed is 0
Verify mmd_flg_turretLockFailed is 0
Verify mmd_flg_turretUnLockFailed is 0
Verify mmd_bm_illegalTransReqst is 0
Verify mmd_bm_reasonLoadCompleteDenied is 0</t>
  </si>
  <si>
    <t>At cycle 1060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1061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</si>
  <si>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1060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144
Verify mmd_flg_neutralFailed is 0
Verify mmd_flg_turretLockFailed is 0
Verify mmd_flg_turretUnLockFailed is 0
Verify mmd_bm_illegalTransReqst is 0
Verify mmd_bm_reasonLoadCompleteDenied is 0
At the end of cycle 1061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144
Verify mmd_flg_neutralFailed is 0
Verify mmd_flg_turretLockFailed is 0
Verify mmd_flg_turretUnLockFailed is 0
Verify mmd_bm_illegalTransReqst is 0
Verify mmd_bm_reasonLoadCompleteDenied is 0</t>
  </si>
  <si>
    <t>At cycle 1062 For 1 cycles
Set isd_enum_initStatus to IS_INIT_COMPLETED_E
Set lvcd_enum_turretLockStatus to LVC_INTERMEDIATE_E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1063 For 1 cycles
Set isd_enum_initStatus to IS_INIT_COMPLETED_E
Set lvcd_enum_turretLockStatus to LVC_INTERMEDIATE_E
Set lvcd_enum_ignitionKeyStatus to LVC_IGNITION_ON_E
Set lvcd_enum_fwdNeuRevPos to LVC_FORWARD_E
Set lvcd_enum_parkBrkReq to LVC_REQ_ENGAGE_E
Set lvcd_enum_parkBrakeStatus to LVC_APPLIED_E
Set lvcd_enum_loadJoystick to LVC_LOAD_UNAVAILBLE_E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</si>
  <si>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1062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130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1063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130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</si>
  <si>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1064 For 1 cycles
Set isd_enum_initStatus to IS_INIT_COMPLETED_E
Set lvcd_enum_turretLockStatus to LVC_INTERMEDIATE_E
Set lvcd_enum_ignitionKeyStatus to LVC_IGNITION_ON_E
Set lvcd_enum_fwdNeuRevPos to LVC_REVERSE_E
Set lvcd_enum_parkBrkReq to LVC_REQ_ENGAGE_E
Set lvcd_enum_parkBrakeStatus to LVC_APPLIED_E
Set lvcd_enum_loadJoystick to LVC_LOAD_E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1065 For 1 cycles
Set isd_enum_initStatus to IS_INIT_COMPLETED_E
Set lvcd_enum_turretLockStatus to LVC_INTERMEDIATE_E
Set lvcd_enum_ignitionKeyStatus to LVC_IGNITION_ON_E
Set lvcd_enum_fwdNeuRevPos to LVC_REVERSE_E
Set lvcd_enum_parkBrkReq to LVC_REQ_ENGAGE_E
Set lvcd_enum_parkBrakeStatus to LVC_APPLIED_E
Set lvcd_enum_loadJoystick to LVC_LOAD_UNAVAILBLE_E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</si>
  <si>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1064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130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1065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130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</si>
  <si>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1066 For 1 cycles
Set isd_enum_initStatus to IS_INIT_COMPLETED_E
Set lvcd_enum_turretLockStatus to LVC_INTERMEDIATE_E
Set lvcd_enum_ignitionKeyStatus to LVC_IGNITION_ON_E
Set lvcd_enum_fwdNeuRevPos to LVC_FNR_STATE_ERROR_E
Set lvcd_enum_parkBrkReq to LVC_REQ_ENGAGE_E
Set lvcd_enum_parkBrakeStatus to LVC_APPLIED_E
Set lvcd_enum_loadJoystick to LVC_LOAD_E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1067 For 1 cycles
Set isd_enum_initStatus to IS_INIT_COMPLETED_E
Set lvcd_enum_turretLockStatus to LVC_INTERMEDIATE_E
Set lvcd_enum_ignitionKeyStatus to LVC_IGNITION_ON_E
Set lvcd_enum_fwdNeuRevPos to LVC_FNR_STATE_ERROR_E
Set lvcd_enum_parkBrkReq to LVC_REQ_ENGAGE_E
Set lvcd_enum_parkBrakeStatus to LVC_APPLIED_E
Set lvcd_enum_loadJoystick to LVC_LOAD_UNAVAILBLE_E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</si>
  <si>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1066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130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1067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130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</si>
  <si>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1068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LVC_NOT_APPLIED_E
Set lvcd_enum_loadJoystick to LVC_LOAD_E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1069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LVC_NOT_APPLIED_E
Set lvcd_enum_loadJoystick to LVC_LOAD_UNAVAILBLE_E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</si>
  <si>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1068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136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1069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136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</si>
  <si>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1070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LVC_NOT_AVAILABLE_E
Set lvcd_enum_loadJoystick to LVC_LOAD_E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1071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LVC_NOT_AVAILABLE_E
Set lvcd_enum_loadJoystick to LVC_LOAD_UNAVAILBLE_E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</si>
  <si>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1070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136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1071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136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</si>
  <si>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1072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LVC_STATUS_ERROR_E
Set lvcd_enum_loadJoystick to LVC_LOAD_E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1073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LVC_STATUS_ERROR_E
Set lvcd_enum_loadJoystick to LVC_LOAD_UNAVAILBLE_E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</si>
  <si>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1072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136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1073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136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</si>
  <si>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1074 For 1 cycles
Set isd_enum_initStatus to IS_INIT_COMPLETED_E
Set lvcd_enum_turretLockStatus to LVC_INTERMEDIATE_E
Set lvcd_enum_ignitionKeyStatus to LVC_IGNITION_ON_E
Set lvcd_enum_fwdNeuRevPos to LVC_NEUTRAL_E
Set lvcd_enum_parkBrkReq to LVC_REQ_DISENGAGE_E
Set lvcd_enum_parkBrakeStatus to LVC_APPLIED_E
Set lvcd_enum_loadJoystick to LVC_LOAD_E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1075 For 1 cycles
Set isd_enum_initStatus to IS_INIT_COMPLETED_E
Set lvcd_enum_turretLockStatus to LVC_INTERMEDIATE_E
Set lvcd_enum_ignitionKeyStatus to LVC_IGNITION_ON_E
Set lvcd_enum_fwdNeuRevPos to LVC_NEUTRAL_E
Set lvcd_enum_parkBrkReq to LVC_REQ_DISENGAGE_E
Set lvcd_enum_parkBrakeStatus to LVC_APPLIED_E
Set lvcd_enum_loadJoystick to LVC_LOAD_UNAVAILBLE_E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</si>
  <si>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1074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132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1075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132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</si>
  <si>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1076 For 1 cycles
Set isd_enum_initStatus to IS_INIT_COMPLETED_E
Set lvcd_enum_turretLockStatus to LVC_INTERMEDIATE_E
Set lvcd_enum_ignitionKeyStatus to LVC_IGNITION_ON_E
Set lvcd_enum_fwdNeuRevPos to LVC_NEUTRAL_E
Set lvcd_enum_parkBrkReq to LVC_REQ_NOT_AVAILABLE_E
Set lvcd_enum_parkBrakeStatus to LVC_APPLIED_E
Set lvcd_enum_loadJoystick to LVC_LOAD_E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1077 For 1 cycles
Set isd_enum_initStatus to IS_INIT_COMPLETED_E
Set lvcd_enum_turretLockStatus to LVC_INTERMEDIATE_E
Set lvcd_enum_ignitionKeyStatus to LVC_IGNITION_ON_E
Set lvcd_enum_fwdNeuRevPos to LVC_NEUTRAL_E
Set lvcd_enum_parkBrkReq to LVC_REQ_NOT_AVAILABLE_E
Set lvcd_enum_parkBrakeStatus to LVC_APPLIED_E
Set lvcd_enum_loadJoystick to LVC_LOAD_UNAVAILBLE_E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</si>
  <si>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1076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132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1077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132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</si>
  <si>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1078 For 1 cycles
Set isd_enum_initStatus to IS_INIT_COMPLETED_E
Set lvcd_enum_turretLockStatus to LVC_INTERMEDIATE_E
Set lvcd_enum_ignitionKeyStatus to LVC_IGNITION_ON_E
Set lvcd_enum_fwdNeuRevPos to LVC_NEUTRAL_E
Set lvcd_enum_parkBrkReq to LVC_REQ_ERROR_E
Set lvcd_enum_parkBrakeStatus to LVC_APPLIED_E
Set lvcd_enum_loadJoystick to LVC_LOAD_E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1079 For 1 cycles
Set isd_enum_initStatus to IS_INIT_COMPLETED_E
Set lvcd_enum_turretLockStatus to LVC_INTERMEDIATE_E
Set lvcd_enum_ignitionKeyStatus to LVC_IGNITION_ON_E
Set lvcd_enum_fwdNeuRevPos to LVC_NEUTRAL_E
Set lvcd_enum_parkBrkReq to LVC_REQ_ERROR_E
Set lvcd_enum_parkBrakeStatus to LVC_APPLIED_E
Set lvcd_enum_loadJoystick to LVC_LOAD_UNAVAILBLE_E
Set lvcd_enum_loadingStep to LVC_LOAD_STAGE0_E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</si>
  <si>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1078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132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1079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132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</si>
  <si>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1080 For 1 cycles
Set isd_enum_initStatus to IS_INIT_COMPLETED_E
Set lvcd_enum_turretLockStatus to LVC_UNLOCKED_E
Set lvcd_enum_ignitionKeyStatus to LVC_IGNITION_ON_E
Set lvcd_enum_fwdNeuRevPos to LVC_REVERSE_E
Set lvcd_enum_parkBrkReq to LVC_REQ_ERROR_E
Set lvcd_enum_parkBrakeStatus to LVC_NOT_APPLIED_E
Set lvcd_enum_loadJoystick to LVC_UNLOAD_E
Set lvcd_enum_loadingStep to LVC_LOAD_STAGE0_E
Set lvcd_enum_pinStatus to LVC_PIN_STATUS_UNKNOWN_E
Set lvcd_enum_operatStationPos to LVC_UNDEFINED_E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</si>
  <si>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1080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30
Verify mmd_flg_neutralFailed is 0
Verify mmd_flg_turretLockFailed is 0
Verify mmd_flg_turretUnLockFailed is 0
Verify mmd_bm_illegalTransReqst is 0
Verify mmd_bm_reasonLoadCompleteDenied is 0</t>
  </si>
  <si>
    <t>At cycle 1081 For 1 cycles
Set isd_enum_initStatus to IS_INIT_COMPLETED_E
Set lvcd_enum_turretLockStatus to LVC_UNLOCKED_E
Set lvcd_enum_ignitionKeyStatus to LVC_IGNITION_ON_E
Set lvcd_enum_fwdNeuRevPos to LVC_NEUTRAL_E
Set lvcd_enum_parkBrkReq to LVC_REQ_DISENGAGE_E
Set lvcd_enum_parkBrakeStatus to LVC_NOT_APPLIED_E
Set lvcd_enum_loadJoystick to LVC_UNLOAD_E
Set lvcd_enum_loadingStep to LVC_LOAD_STAGE0_E
Set lvcd_enum_pinStatus to LVC_PIN_STATUS_UNKNOWN_E
Set lvcd_enum_operatStationPos to LVC_FWD_E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</si>
  <si>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1081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28
Verify mmd_flg_neutralFailed is 0
Verify mmd_flg_turretLockFailed is 0
Verify mmd_flg_turretUnLockFailed is 0
Verify mmd_bm_illegalTransReqst is 0
Verify mmd_bm_reasonLoadCompleteDenied is 0</t>
  </si>
  <si>
    <t>At cycle 1082 For 1 cycles
Set isd_enum_initStatus to IS_INIT_COMPLETED_E
Set lvcd_enum_turretLockStatus to LVC_UNLOCKED_E
Set lvcd_enum_ignitionKeyStatus to LVC_IGNITION_ON_E
Set lvcd_enum_fwdNeuRevPos to LVC_FNR_STATE_ERROR_E
Set lvcd_enum_parkBrkReq to LVC_REQ_DISENGAGE_E
Set lvcd_enum_parkBrakeStatus to LVC_NOT_APPLIED_E
Set lvcd_enum_loadJoystick to LVC_UNLOAD_E
Set lvcd_enum_loadingStep to LVC_LOAD_STAGE0_E
Set lvcd_enum_pinStatus to LVC_PIN_STATUS_UNKNOWN_E
Set lvcd_enum_operatStationPos to LVC_OPERATOR_POS_ERROR_E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</si>
  <si>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1082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30
Verify mmd_flg_neutralFailed is 0
Verify mmd_flg_turretLockFailed is 0
Verify mmd_flg_turretUnLockFailed is 0
Verify mmd_bm_illegalTransReqst is 0
Verify mmd_bm_reasonLoadCompleteDenied is 0</t>
  </si>
  <si>
    <t>At cycle 1083 For 1 cycles
Set isd_enum_initStatus to IS_INIT_COMPLETED_E
Set lvcd_enum_turretLockStatus to LVC_UNLOCKED_E
Set lvcd_enum_ignitionKeyStatus to LVC_IGNITION_ON_E
Set lvcd_enum_fwdNeuRevPos to LVC_FORWARD_E
Set lvcd_enum_parkBrkReq to LVC_REQ_ERROR_E
Set lvcd_enum_parkBrakeStatus to LVC_STATUS_ERROR_E
Set lvcd_enum_loadJoystick to LVC_LOAD_UNAVAILBLE_E
Set lvcd_enum_loadingStep to LVC_LOAD_STAGE0_E
Set lvcd_enum_pinStatus to LVC_PIN_STATUS_UNKNOWN_E
Set lvcd_enum_operatStationPos to LVC_OPERATOR_POS_ERROR_E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</si>
  <si>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1083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158
Verify mmd_flg_neutralFailed is 0
Verify mmd_flg_turretLockFailed is 0
Verify mmd_flg_turretUnLockFailed is 0
Verify mmd_bm_illegalTransReqst is 0
Verify mmd_bm_reasonLoadCompleteDenied is 0</t>
  </si>
  <si>
    <t>At cycle 1084 For 1 cycles
Set isd_enum_initStatus to IS_INIT_COMPLETED_E
Set lvcd_enum_turretLockStatus to LVC_UNLOCKED_E
Set lvcd_enum_ignitionKeyStatus to LVC_IGNITION_ON_E
Set lvcd_enum_fwdNeuRevPos to LVC_FORWARD_E
Set lvcd_enum_parkBrkReq to LVC_REQ_DISENGAGE_E
Set lvcd_enum_parkBrakeStatus to LVC_NOT_APPLIED_E
Set lvcd_enum_loadJoystick to LVC_LOAD_E
Set lvcd_enum_loadingStep to LVC_LOAD_STAGE0_E
Set lvcd_enum_pinStatus to LVC_PIN_ERROR_E
Set lvcd_enum_operatStationPos to LVC_UNDEFINED_E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</si>
  <si>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1084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159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</si>
  <si>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1085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LVC_PIN_OUT_E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</si>
  <si>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1085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192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</si>
  <si>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1086 For 1 cycles
Set isd_enum_initStatus to IS_INIT_COMPLETED_E
Set lvcd_enum_turretLockStatus to LVC_UNLOCKED_E
Set lvcd_enum_ignitionKeyStatus to LVC_IGNITION_ON_E
Set lvcd_enum_fwdNeuRevPos to LVC_REVERSE_E
Set lvcd_enum_parkBrkReq to LVC_REQ_NOT_AVAILABLE_E
Set lvcd_enum_parkBrakeStatus to LVC_NOT_AVAILABLE_E
Set lvcd_enum_loadJoystick to LVC_LOAD_E
Set lvcd_enum_loadingStep to LVC_LOAD_STAGE0_E
Set lvcd_enum_pinStatus to LVC_PIN_STATUS_UNKNOWN_E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</si>
  <si>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1086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143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</si>
  <si>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1087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LVC_PIN_IN_E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</si>
  <si>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1087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144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</si>
  <si>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1088 For 1 cycles
Set isd_enum_initStatus to IS_INIT_COMPLETED_E
Set lvcd_enum_turretLockStatus to LVC_UNLOCKED_E
Set lvcd_enum_ignitionKeyStatus to LVC_IGNITION_ON_E
Set lvcd_enum_fwdNeuRevPos to LVC_FNR_STATE_ERROR_E
Set lvcd_enum_parkBrkReq to LVC_REQ_ERROR_E
Set lvcd_enum_parkBrakeStatus to LVC_STATUS_ERROR_E
Set lvcd_enum_loadJoystick to LVC_LOAD_E
Set lvcd_enum_loadingStep to LVC_LOAD_STAGE0_E
Set lvcd_enum_pinStatus to LVC_PIN_STATUS_UNKNOWN_E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</si>
  <si>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1088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239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</si>
  <si>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1089 For 1 cycles
Set isd_enum_initStatus to IS_INIT_COMPLETED_E
Set lvcd_enum_turretLockStatus to LVC_UNLOCKED_E
Set lvcd_enum_ignitionKeyStatus to LVC_IGNITION_ON_E
Set lvcd_enum_fwdNeuRevPos to LVC_FORWARD_E
Set lvcd_enum_parkBrkReq to LVC_REQ_DISENGAGE_E
Set lvcd_enum_parkBrakeStatus to LVC_NOT_APPLIED_E
Set lvcd_enum_loadJoystick to LVC_LOAD_E
Set lvcd_enum_loadingStep to LVC_LOAD_STAGE0_E
Set lvcd_enum_pinStatus to LVC_PIN_STATUS_UNKNOWN_E
Set lvcd_enum_operatStationPos to LVC_UNDEFINED_E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</si>
  <si>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1089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159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</si>
  <si>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1090 For 1 cycles
Set isd_enum_initStatus to IS_INIT_COMPLETED_E
Set lvcd_enum_turretLockStatus to LVC_UNLOCKED_E
Set lvcd_enum_ignitionKeyStatus to LVC_IGNITION_ON_E
Set lvcd_enum_fwdNeuRevPos to LVC_FORWARD_E
Set lvcd_enum_parkBrkReq to LVC_REQ_DISENGAGE_E
Set lvcd_enum_parkBrakeStatus to LVC_NOT_APPLIED_E
Set lvcd_enum_loadJoystick to LVC_LOAD_E
Set lvcd_enum_loadingStep to LVC_LOAD_STAGE0_E
Set lvcd_enum_pinStatus to LVC_PIN_STATUS_UNKNOWN_E
Set lvcd_enum_operatStationPos to LVC_UNDEFINED_E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</si>
  <si>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1090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142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</si>
  <si>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1091 For 1 cycles
Set isd_enum_initStatus to IS_INIT_COMPLETED_E
Set lvcd_enum_turretLockStatus to LVC_UNLOCKED_E
Set lvcd_enum_ignitionKeyStatus to LVC_IGNITION_ON_E
Set lvcd_enum_fwdNeuRevPos to LVC_FORWARD_E
Set lvcd_enum_parkBrkReq to LVC_REQ_DISENGAGE_E
Set lvcd_enum_parkBrakeStatus to LVC_NOT_APPLIED_E
Set lvcd_enum_loadJoystick to LVC_LOAD_E
Set lvcd_enum_loadingStep to LVC_LOAD_STAGE0_E
Set lvcd_enum_pinStatus to LVC_PIN_STATUS_UNKNOWN_E
Set lvcd_enum_operatStationPos to LVC_UNDEFINED_E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***Error****</t>
  </si>
  <si>
    <t>At the end of cycle 1091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238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</si>
  <si>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1092 For 1 cycles
Set isd_enum_initStatus to IS_INIT_COMPLETED_E
Set lvcd_enum_turretLockStatus to LVC_UNLOCKED_E
Set lvcd_enum_ignitionKeyStatus to LVC_IGNITION_ON_E
Set lvcd_enum_fwdNeuRevPos to LVC_FORWARD_E
Set lvcd_enum_parkBrkReq to LVC_REQ_DISENGAGE_E
Set lvcd_enum_parkBrakeStatus to LVC_NOT_APPLIED_E
Set lvcd_enum_loadJoystick to LVC_LOAD_E
Set lvcd_enum_loadingStep to LVC_LOAD_STAGE0_E
Set lvcd_enum_pinStatus to LVC_PIN_STATUS_UNKNOWN_E
Set lvcd_enum_operatStationPos to LVC_UNDEFINED_E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</si>
  <si>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1092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174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</si>
  <si>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1093 For 1 cycles
Set isd_enum_initStatus to IS_INIT_COMPLETED_E
Set lvcd_enum_turretLockStatus to LVC_UNLOCKED_E
Set lvcd_enum_ignitionKeyStatus to LVC_IGNITION_ON_E
Set lvcd_enum_fwdNeuRevPos to LVC_FORWARD_E
Set lvcd_enum_parkBrkReq to LVC_REQ_DISENGAGE_E
Set lvcd_enum_parkBrakeStatus to LVC_NOT_APPLIED_E
Set lvcd_enum_loadJoystick to LVC_LOAD_UNAVAILBLE_E
Set lvcd_enum_loadingStep to LVC_LOAD_STAGE0_E
Set lvcd_enum_pinStatus to LVC_PIN_STATUS_UNKNOWN_E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</si>
  <si>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1093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143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</si>
  <si>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1094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LVC_LOAD_STAGE0_E
Set lvcd_enum_pinStatus to LVC_PIN_IN_E
Set lvcd_enum_operatStationPos to LVC_UNDEFINED_E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</si>
  <si>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1094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</si>
  <si>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1095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</si>
  <si>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1095
Verify mmd_enum_systemMode is MM_SYSTEM_MODE_REQ_T_UNLOCK_E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</si>
  <si>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1096 For 1 cycles
Set isd_enum_initStatus to IS_INIT_COMPLETED_E
Set lvcd_enum_turretLockStatus to LVC_INTERMEDIATE_E
Set lvcd_enum_ignitionKeyStatus to LVC_IGNITION_ON_E
Set lvcd_enum_fwdNeuRevPos to LVC_FORWARD_E
Set lvcd_enum_parkBrkReq to LVC_REQ_DISENGAGE_E
Set lvcd_enum_parkBrakeStatus to LVC_NOT_APPLIED_E
Set lvcd_enum_loadJoystick to LVC_LOAD_E
Set lvcd_enum_loadingStep to LVC_LOAD_STAGE0_E
Set lvcd_enum_pinStatus to LVC_PIN_STATUS_UNKNOWN_E
Set lvcd_enum_operatStationPos to LVC_UNDEFINED_E
Set motfd_enum_missionInProgress to MO_MISSION_APPROVED_E
Set motfd_enum_missionType to MD_MISSION_TYPE_UNKNOWN_E
Set csd_enum_dcmSwitchStatus to CS_SWITCH_REQUESTED_E
Set csd_enum_pcmSwitchStatus to CS_SWITCH_REQUESTED_E
Set csd_enum_neutralSwitchStatus to CS_SWITCH_REQUESTED_E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1097 For 1 cycles
Set isd_enum_initStatus to IS_INIT_COMPLETED_E
Set lvcd_enum_turretLockStatus to LVC_UNLOCKED_E
Set lvcd_enum_ignitionKeyStatus to LVC_IGNITION_ON_E
Set lvcd_enum_fwdNeuRevPos to LVC_FORWARD_E
Set lvcd_enum_parkBrkReq to LVC_REQ_DISENGAGE_E
Set lvcd_enum_parkBrakeStatus to LVC_NOT_APPLIED_E
Set lvcd_enum_loadJoystick to LVC_LOAD_UNAVAILBLE_E
Set lvcd_enum_loadingStep to LVC_LOAD_STAGE0_E
Set lvcd_enum_pinStatus to LVC_PIN_STATUS_UNKNOWN_E
Set lvcd_enum_operatStationPos to LVC_UNDEFINED_E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</si>
  <si>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1096
Verify mmd_enum_systemMode is MM_SYSTEM_MODE_REQ_T_UNLOCK_E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1097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</si>
  <si>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1098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</si>
  <si>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1098
Verify mmd_enum_systemMode is MM_SYSTEM_MODE_REQ_T_UNLOCK_E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</si>
  <si>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1099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1100 For 197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1297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1298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1299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1300 For 297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1597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1598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1599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</si>
  <si>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1099
Verify mmd_enum_systemMode is MM_SYSTEM_MODE_REQ_T_UNLOCK_E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1100
Verify mmd_enum_systemMode is MM_SYSTEM_MODE_REQ_T_UNLOCK_E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1297
Verify mmd_enum_systemMode is MM_SYSTEM_MODE_REQ_T_UNLOCK_E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1298
Verify mmd_enum_systemMode is MM_SYSTEM_MODE_REQ_T_UNLOCK_E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1299
Verify mmd_enum_systemMode is MM_SYSTEM_MODE_PRE_MISSION_E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1
Verify mmd_bm_illegalTransReqst is 0
Verify mmd_bm_reasonLoadCompleteDenied is 0
At the end of cycle 1300
Verify mmd_enum_systemMode is MM_SYSTEM_MODE_PRE_MISSION_E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1
Verify mmd_bm_illegalTransReqst is 0
Verify mmd_bm_reasonLoadCompleteDenied is 0
At the end of cycle 1597
Verify mmd_enum_systemMode is MM_SYSTEM_MODE_PRE_MISSION_E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1
Verify mmd_bm_illegalTransReqst is 0
Verify mmd_bm_reasonLoadCompleteDenied is 0
At the end of cycle 1598
Verify mmd_enum_systemMode is MM_SYSTEM_MODE_PRE_MISSION_E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1
Verify mmd_bm_illegalTransReqst is 0
Verify mmd_bm_reasonLoadCompleteDenied is 0
At the end of cycle 1599
Verify mmd_enum_systemMode is MM_SYSTEM_MODE_PRE_MISSION_E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</si>
  <si>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1600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</si>
  <si>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1600
Verify mmd_enum_systemMode is MM_SYSTEM_MODE_REQ_T_UNLOCK_E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</si>
  <si>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1601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1602 For 197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1799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1800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1801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1802 For 297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LVC_UNLOAD_E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2099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2100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2101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</si>
  <si>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1601
Verify mmd_enum_systemMode is MM_SYSTEM_MODE_REQ_T_UNLOCK_E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1602
Verify mmd_enum_systemMode is MM_SYSTEM_MODE_REQ_T_UNLOCK_E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1799
Verify mmd_enum_systemMode is MM_SYSTEM_MODE_REQ_T_UNLOCK_E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1800
Verify mmd_enum_systemMode is MM_SYSTEM_MODE_REQ_T_UNLOCK_E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1801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1
Verify mmd_bm_illegalTransReqst is 0
Verify mmd_bm_reasonLoadCompleteDenied is 0
At the end of cycle 1802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16
Verify mmd_flg_neutralFailed is 0
Verify mmd_flg_turretLockFailed is 0
Verify mmd_flg_turretUnLockFailed is 1
Verify mmd_bm_illegalTransReqst is 0
Verify mmd_bm_reasonLoadCompleteDenied is 0
At the end of cycle 2099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144
Verify mmd_flg_neutralFailed is 0
Verify mmd_flg_turretLockFailed is 0
Verify mmd_flg_turretUnLockFailed is 1
Verify mmd_bm_illegalTransReqst is 0
Verify mmd_bm_reasonLoadCompleteDenied is 0
At the end of cycle 2100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144
Verify mmd_flg_neutralFailed is 0
Verify mmd_flg_turretLockFailed is 0
Verify mmd_flg_turretUnLockFailed is 1
Verify mmd_bm_illegalTransReqst is 0
Verify mmd_bm_reasonLoadCompleteDenied is 0
At the end of cycle 2101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144
Verify mmd_flg_neutralFailed is 0
Verify mmd_flg_turretLockFailed is 0
Verify mmd_flg_turretUnLockFailed is 0
Verify mmd_bm_illegalTransReqst is 0
Verify mmd_bm_reasonLoadCompleteDenied is 0</t>
  </si>
  <si>
    <t>At cycle 2102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</si>
  <si>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2102
Verify mmd_enum_systemMode is MM_SYSTEM_MODE_REQ_T_UNLOCK_E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</si>
  <si>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2103 For 1 cycles
Set isd_enum_initStatus to IS_INIT_COMPLETED_E
Set lvcd_enum_turretLockStatus to LVC_TURRET_LOCK_ERROR_E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2104 For 197 cycles
Set isd_enum_initStatus to IS_INIT_COMPLETED_E
Set lvcd_enum_turretLockStatus to LVC_TURRET_LOCK_ERROR_E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2301 For 1 cycles
Set isd_enum_initStatus to IS_INIT_COMPLETED_E
Set lvcd_enum_turretLockStatus to LVC_TURRET_LOCK_ERROR_E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2302 For 1 cycles
Set isd_enum_initStatus to IS_INIT_COMPLETED_E
Set lvcd_enum_turretLockStatus to LVC_TURRET_LOCK_ERROR_E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2303 For 1 cycles
Set isd_enum_initStatus to IS_INIT_COMPLETED_E
Set lvcd_enum_turretLockStatus to LVC_TURRET_LOCK_ERROR_E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2304 For 297 cycles
Set isd_enum_initStatus to IS_INIT_COMPLETED_E
Set lvcd_enum_turretLockStatus to LVC_TURRET_LOCK_ERROR_E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2601 For 1 cycles
Set isd_enum_initStatus to IS_INIT_COMPLETED_E
Set lvcd_enum_turretLockStatus to LVC_TURRET_LOCK_ERROR_E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2602 For 1 cycles
Set isd_enum_initStatus to IS_INIT_COMPLETED_E
Set lvcd_enum_turretLockStatus to LVC_TURRET_LOCK_ERROR_E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2603 For 1 cycles
Set isd_enum_initStatus to IS_INIT_COMPLETED_E
Set lvcd_enum_turretLockStatus to LVC_TURRET_LOCK_ERROR_E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LVC_LOAD_STAGE0_E
Set lvcd_enum_pinStatus to LVC_PIN_STATUS_UNKNOWN_E
Set lvcd_enum_operatStationPos to LVC_UNDEFINED_E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</si>
  <si>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2103
Verify mmd_enum_systemMode is MM_SYSTEM_MODE_REQ_T_UNLOCK_E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2104
Verify mmd_enum_systemMode is MM_SYSTEM_MODE_REQ_T_UNLOCK_E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2301
Verify mmd_enum_systemMode is MM_SYSTEM_MODE_REQ_T_UNLOCK_E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2302
Verify mmd_enum_systemMode is MM_SYSTEM_MODE_REQ_T_UNLOCK_E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2303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1
Verify mmd_bm_illegalTransReqst is 0
Verify mmd_bm_reasonLoadCompleteDenied is 0
At the end of cycle 2304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1
Verify mmd_bm_illegalTransReqst is 0
Verify mmd_bm_reasonLoadCompleteDenied is 0
At the end of cycle 2601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1
Verify mmd_bm_illegalTransReqst is 0
Verify mmd_bm_reasonLoadCompleteDenied is 0
At the end of cycle 2602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1
Verify mmd_bm_illegalTransReqst is 0
Verify mmd_bm_reasonLoadCompleteDenied is 0
At the end of cycle 2603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</si>
  <si>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2604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2605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</si>
  <si>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2604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2605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</si>
  <si>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2606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</si>
  <si>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2606
Verify mmd_enum_systemMode is MM_SYSTEM_MODE_REQ_T_LOCK_E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</si>
  <si>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2607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LVC_UNDEFINED_E
Set motfd_enum_missionInProgress to MO_MISSION_APPROVED_E
Set motfd_enum_missionType to MD_MISSION_TYPE_MAINTEN_TOWING_E
Set csd_enum_dcmSwitchStatus to CS_SWITCH_REQUESTED_E
Set csd_enum_pcmSwitchStatus to CS_SWITCH_REQUESTED_E
Set csd_enum_neutralSwitchStatus to CS_SWITCH_REQUESTED_E
Set tasd_flg_turretValid to 1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2608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</si>
  <si>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2607
Verify mmd_enum_systemMode is MM_SYSTEM_MODE_REQ_T_LOCK_E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2608
Verify mmd_enum_systemMode is MM_SYSTEM_MODE_PRE_MISSION_E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</si>
  <si>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2609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LVC_PIN_OUT_E
Set lvcd_enum_operatStationPos to LVC_UNDEFINED_E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2610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LVC_PIN_OUT_E
Set lvcd_enum_operatStationPos to LVC_UNDEFINED_E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</si>
  <si>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2609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2610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</si>
  <si>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2611 For 1 cycles
Set isd_enum_initStatus to IS_INIT_COMPLETED_E
Set lvcd_enum_turretLockStatus to LVC_LOCKED_E
Set lvcd_enum_ignitionKeyStatus to LVC_IGNITION_OFF_E
Set lvcd_enum_fwdNeuRevPos to LVC_NEUTRAL_E
Set lvcd_enum_parkBrkReq to LVC_REQ_ENGAGE_E
Set lvcd_enum_parkBrakeStatus to LVC_NOT_APPLIED_E
Set lvcd_enum_loadJoystick to LVC_UNLOAD_E
Set lvcd_enum_loadingStep to LVC_LOAD_STAGE48_E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</si>
  <si>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2611
Verify mmd_enum_systemMode is MM_SYSTEM_MODE_PUSHBACK_ATA_TAS_E
Verify mmd_enum_pcmDcmMode is MM_DCM_E
Verify mmd_enum_turretLockRequest is MM_TURRET_LOCK_UNLOCK_E
Verify mmd_enum_ctrlModeToApply is MM_HLC_E
Verify mmd_bm_reasonPcmDenied is 2056
Verify mmd_bm_reasonDcmDenied1 is 0
Verify mmd_bm_reasonDcmDenied2 is 0
Verify mmd_bm_reasonNeutDenied is 0
Verify mmd_bm_reasonUnloadDenied is 24
Verify mmd_flg_neutralFailed is 0
Verify mmd_flg_turretLockFailed is 0
Verify mmd_flg_turretUnLockFailed is 0
Verify mmd_bm_illegalTransReqst is 0
Verify mmd_bm_reasonLoadCompleteDenied is 0</t>
  </si>
  <si>
    <t>At cycle 2612 For 1 cycles
Set isd_enum_initStatus to IS_INIT_COMPLETED_E
Set lvcd_enum_turretLockStatus to LVC_LOCKED_E
Set lvcd_enum_ignitionKeyStatus to LVC_IGNITION_OFF_E
Set lvcd_enum_fwdNeuRevPos to LVC_NEUTRAL_E
Set lvcd_enum_parkBrkReq to LVC_REQ_ENGAGE_E
Set lvcd_enum_parkBrakeStatus to LVC_NOT_AVAILABLE_E
Set lvcd_enum_loadJoystick to LVC_UNLOAD_E
Set lvcd_enum_loadingStep to LVC_LOAD_STAGE48_E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</si>
  <si>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2612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24
Verify mmd_flg_neutralFailed is 0
Verify mmd_flg_turretLockFailed is 0
Verify mmd_flg_turretUnLockFailed is 0
Verify mmd_bm_illegalTransReqst is 0
Verify mmd_bm_reasonLoadCompleteDenied is 0</t>
  </si>
  <si>
    <t>At cycle 2613 For 1 cycles
Set isd_enum_initStatus to IS_INIT_COMPLETED_E
Set lvcd_enum_turretLockStatus to LVC_LOCKED_E
Set lvcd_enum_ignitionKeyStatus to LVC_IGNITION_OFF_E
Set lvcd_enum_fwdNeuRevPos to LVC_NEUTRAL_E
Set lvcd_enum_parkBrkReq to LVC_REQ_ENGAGE_E
Set lvcd_enum_parkBrakeStatus to LVC_STATUS_ERROR_E
Set lvcd_enum_loadJoystick to LVC_UNLOAD_E
Set lvcd_enum_loadingStep to LVC_LOAD_STAGE48_E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0
Set smd_enum_safetyMode to SM_FAIL_PASSIVE_E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</si>
  <si>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2613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24
Verify mmd_flg_neutralFailed is 0
Verify mmd_flg_turretLockFailed is 0
Verify mmd_flg_turretUnLockFailed is 0
Verify mmd_bm_illegalTransReqst is 0
Verify mmd_bm_reasonLoadCompleteDenied is 0</t>
  </si>
  <si>
    <t>At cycle 2614 For 1 cycles
Set isd_enum_initStatus to IS_INIT_COMPLETED_E
Set lvcd_enum_turretLockStatus to LVC_UNLOCKED_E
Set lvcd_enum_ignitionKeyStatus to LVC_IGNITION_OFF_E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DB_STEER_METHOD_UNAVAILABLE_E
Set ntd_flg_neutralDisabled to 0
Set emd_flg_lvcModeApproved to 1
Set dcd_flg_speedFLValid to 1
Set dcd_vel_tugWsFL_mps to 25
Set dcd_flg_speedRLValid to 1
Set dcd_vel_tugWsRL_mps to 25
Set dcd_flg_speedFRValid to 1
Set dcd_vel_tugWsFR_mps to 25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</si>
  <si>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2614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17
Verify mmd_flg_neutralFailed is 0
Verify mmd_flg_turretLockFailed is 0
Verify mmd_flg_turretUnLockFailed is 0
Verify mmd_bm_illegalTransReqst is 0
Verify mmd_bm_reasonLoadCompleteDenied is 0</t>
  </si>
  <si>
    <t>At cycle 2615 For 1 cycles
Set isd_enum_initStatus to IS_INIT_COMPLETED_E
Set lvcd_enum_turretLockStatus to LVC_UNLOCKED_E
Set lvcd_enum_ignitionKeyStatus to LVC_IGNITION_ON_E
Set lvcd_enum_fwdNeuRevPos to LVC_NEUTRAL_E
Set lvcd_enum_parkBrkReq to LVC_REQ_DISENGAGE_E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25
Set csd_enum_estopSwitchStatus to CS_SWITCH_NOT_REQUESTED_E
Set dpvd_flg_dmpPosAndVelValid to 0
Set dpvd_vel_dmpVelocity_mmps to 0
Set loctfd_flg_svVelValid to 0
Set loctfd_vel_svVel_mps to 0</t>
  </si>
  <si>
    <t>At the end of cycle 2615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4
Verify mmd_flg_neutralFailed is 0
Verify mmd_flg_turretLockFailed is 0
Verify mmd_flg_turretUnLockFailed is 0
Verify mmd_bm_illegalTransReqst is 0
Verify mmd_bm_reasonLoadCompleteDenied is 0</t>
  </si>
  <si>
    <t>At cycle 2616 For 1 cycles
Set isd_enum_initStatus to IS_INIT_COMPLETED_E
Set lvcd_enum_turretLockStatus to LVC_UNLOCKED_E
Set lvcd_enum_ignitionKeyStatus to LVC_IGNITION_ON2_E
Set lvcd_enum_fwdNeuRevPos to LVC_NEUTRAL_E
Set lvcd_enum_parkBrkReq to LVC_REQ_NOT_AVAILABLE_E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</si>
  <si>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2616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20
Verify mmd_flg_neutralFailed is 0
Verify mmd_flg_turretLockFailed is 0
Verify mmd_flg_turretUnLockFailed is 0
Verify mmd_bm_illegalTransReqst is 0
Verify mmd_bm_reasonLoadCompleteDenied is 0</t>
  </si>
  <si>
    <t>At cycle 2617 For 1 cycles
Set isd_enum_initStatus to IS_INIT_COMPLETED_E
Set lvcd_enum_turretLockStatus to LVC_LOCKED_E
Set lvcd_enum_ignitionKeyStatus to LVC_IGNITION_ERROR_E
Set lvcd_enum_fwdNeuRevPos to LVC_NEUTRAL_E
Set lvcd_enum_parkBrkReq to LVC_REQ_ERROR_E
Set lvcd_enum_parkBrakeStatus to LVC_APPLIED_E
Set lvcd_enum_loadJoystick to LVC_UNLOAD_E
Set lvcd_enum_loadingStep to LVC_LOAD_STAGE48_E
Set lvcd_enum_pinStatus to LVC_PIN_OUT_E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</si>
  <si>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2617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20
Verify mmd_flg_neutralFailed is 0
Verify mmd_flg_turretLockFailed is 0
Verify mmd_flg_turretUnLockFailed is 0
Verify mmd_bm_illegalTransReqst is 0
Verify mmd_bm_reasonLoadCompleteDenied is 0</t>
  </si>
  <si>
    <t>At cycle 2618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</si>
  <si>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2618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18
Verify mmd_flg_neutralFailed is 0
Verify mmd_flg_turretLockFailed is 0
Verify mmd_flg_turretUnLockFailed is 0
Verify mmd_bm_illegalTransReqst is 0
Verify mmd_bm_reasonLoadCompleteDenied is 0</t>
  </si>
  <si>
    <t>At cycle 2619 For 1 cycles
Set isd_enum_initStatus to IS_INIT_COMPLETED_E
Set lvcd_enum_turretLockStatus to LVC_INTERMEDIATE_E
Set lvcd_enum_ignitionKeyStatus to LVC_IGNITION_ON_E
Set lvcd_enum_fwdNeuRevPos to LVC_REVERSE_E
Set lvcd_enum_parkBrkReq to LVC_REQ_ENGAGE_E
Set lvcd_enum_parkBrakeStatus to LVC_APPLIED_E
Set lvcd_enum_loadJoystick to LVC_UNLOAD_E
Set lvcd_enum_loadingStep to LVC_LOAD_STAGE48_E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DB_STEER_METHOD_UNAVAILABLE_E
Set ntd_flg_neutralDisabled to 0
Set emd_flg_lvcModeApproved to 1
Set dcd_flg_speedFLValid to 1
Set dcd_vel_tugWsFL_mps to -25
Set dcd_flg_speedRLValid to 1
Set dcd_vel_tugWsRL_mps to -25
Set dcd_flg_speedFRValid to 1
Set dcd_vel_tugWsFR_mps to -25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</si>
  <si>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2619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19
Verify mmd_flg_neutralFailed is 0
Verify mmd_flg_turretLockFailed is 0
Verify mmd_flg_turretUnLockFailed is 0
Verify mmd_bm_illegalTransReqst is 0
Verify mmd_bm_reasonLoadCompleteDenied is 0</t>
  </si>
  <si>
    <t>At cycle 2620 For 1 cycles
Set isd_enum_initStatus to IS_INIT_COMPLETED_E
Set lvcd_enum_turretLockStatus to LVC_TURRET_LOCK_ERROR_E
Set lvcd_enum_ignitionKeyStatus to LVC_IGNITION_ON_E
Set lvcd_enum_fwdNeuRevPos to LVC_FNR_STATE_ERROR_E
Set lvcd_enum_parkBrkReq to LVC_REQ_ENGAGE_E
Set lvcd_enum_parkBrakeStatus to LVC_APPLIED_E
Set lvcd_enum_loadJoystick to LVC_UNLOAD_E
Set lvcd_enum_loadingStep to LVC_LOAD_STAGE48_E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-25
Set csd_enum_estopSwitchStatus to CS_SWITCH_NOT_REQUESTED_E
Set dpvd_flg_dmpPosAndVelValid to 0
Set dpvd_vel_dmpVelocity_mmps to 0
Set loctfd_flg_svVelValid to 0
Set loctfd_vel_svVel_mps to 0</t>
  </si>
  <si>
    <t>At the end of cycle 2620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18
Verify mmd_flg_neutralFailed is 0
Verify mmd_flg_turretLockFailed is 0
Verify mmd_flg_turretUnLockFailed is 0
Verify mmd_bm_illegalTransReqst is 0
Verify mmd_bm_reasonLoadCompleteDenied is 0</t>
  </si>
  <si>
    <t>At cycle 2621 For 1 cycles
Set isd_enum_initStatus to IS_INIT_COMPLETED_E
Set lvcd_enum_turretLockStatus to LVC_TURRET_LOCK_ERROR_E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1
Set dcd_vel_tugWsFL_mps to 10
Set dcd_flg_speedRLValid to 1
Set dcd_vel_tugWsRL_mps to 10
Set dcd_flg_speedFRValid to 1
Set dcd_vel_tugWsFR_mps to 10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</si>
  <si>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2621
Verify mmd_enum_systemMode is MM_SYSTEM_MODE_PUSHBACK_ATA_TAS_E
Verify mmd_enum_pcmDcmMode is MM_DCM_E
Verify mmd_enum_turretLockRequest is MM_TURRET_LOCK_UNLOCK_E
Verify mmd_enum_ctrlModeToApply is MM_HLC_E
Verify mmd_bm_reasonPcmDenied is 257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</si>
  <si>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2622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</si>
  <si>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2622
Verify mmd_enum_systemMode is MM_SYSTEM_MODE_PUSHBACK_ATA_TAS_E
Verify mmd_enum_pcmDcmMode is MM_DCM_E
Verify mmd_enum_turretLockRequest is MM_TURRET_LOCK_UNLOCK_E
Verify mmd_enum_ctrlModeToApply is MM_HLC_E
Verify mmd_bm_reasonPcmDenied is 256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</si>
  <si>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2623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0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</si>
  <si>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2623
Verify mmd_enum_systemMode is MM_SYSTEM_MODE_PUSHBACK_ATA_TAS_E
Verify mmd_enum_pcmDcmMode is MM_DCM_E
Verify mmd_enum_turretLockRequest is MM_TURRET_LOCK_UNLOCK_E
Verify mmd_enum_ctrlModeToApply is MM_HLC_E
Verify mmd_bm_reasonPcmDenied is 512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</si>
  <si>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2624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</si>
  <si>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2624
Verify mmd_enum_systemMode is MM_SYSTEM_MODE_PUSHBACK_ATA_TAS_E
Verify mmd_enum_pcmDcmMode is MM_DCM_E
Verify mmd_enum_turretLockRequest is MM_TURRET_LOCK_UNLOCK_E
Verify mmd_enum_ctrlModeToApply is MM_HLC_E
Verify mmd_bm_reasonPcmDenied is 256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</si>
  <si>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2625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LVC_PIN_STATUS_UNKNOWN_E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</si>
  <si>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2625
Verify mmd_enum_systemMode is MM_SYSTEM_MODE_PUSHBACK_ATA_TAS_E
Verify mmd_enum_pcmDcmMode is MM_DCM_E
Verify mmd_enum_turretLockRequest is MM_TURRET_LOCK_UNLOCK_E
Verify mmd_enum_ctrlModeToApply is MM_HLC_E
Verify mmd_bm_reasonPcmDenied is 128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</si>
  <si>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2626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</si>
  <si>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2626
Verify mmd_enum_systemMode is MM_SYSTEM_MODE_PUSHBACK_ATA_TAS_E
Verify mmd_enum_pcmDcmMode is MM_DCM_E
Verify mmd_enum_turretLockRequest is MM_TURRET_LOCK_UNLOCK_E
Verify mmd_enum_ctrlModeToApply is MM_HLC_E
Verify mmd_bm_reasonPcmDenied is 128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</si>
  <si>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2627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LVC_PIN_ERROR_E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</si>
  <si>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2627
Verify mmd_enum_systemMode is MM_SYSTEM_MODE_PUSHBACK_ATA_TAS_E
Verify mmd_enum_pcmDcmMode is MM_DCM_E
Verify mmd_enum_turretLockRequest is MM_TURRET_LOCK_UNLOCK_E
Verify mmd_enum_ctrlModeToApply is MM_HLC_E
Verify mmd_bm_reasonPcmDenied is 128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</si>
  <si>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2628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</si>
  <si>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2628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</si>
  <si>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2629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</si>
  <si>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2629
Verify mmd_enum_systemMode is MM_SYSTEM_MODE_PUSHBACK_ATA_TAS_E
Verify mmd_enum_pcmDcmMode is MM_DCM_E
Verify mmd_enum_turretLockRequest is MM_TURRET_LOCK_UNLOCK_E
Verify mmd_enum_ctrlModeToApply is MM_HLC_E
Verify mmd_bm_reasonPcmDenied is 32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</si>
  <si>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2630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0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</si>
  <si>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2630
Verify mmd_enum_systemMode is MM_SYSTEM_MODE_PUSHBACK_ATA_TAS_E
Verify mmd_enum_pcmDcmMode is MM_DCM_E
Verify mmd_enum_turretLockRequest is MM_TURRET_LOCK_UNLOCK_E
Verify mmd_enum_ctrlModeToApply is MM_HLC_E
Verify mmd_bm_reasonPcmDenied is 64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</si>
  <si>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2631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</si>
  <si>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2631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</si>
  <si>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2632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</si>
  <si>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2632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</si>
  <si>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2633 For 1 cycles
Set isd_enum_initStatus to IS_INIT_COMPLETED_E
Set lvcd_enum_turretLockStatus to LVC_TURRET_LOCK_ERROR_E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</si>
  <si>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2633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</si>
  <si>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2634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LVC_PIN_STATUS_UNKNOWN_E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</si>
  <si>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2634
Verify mmd_enum_systemMode is MM_SYSTEM_MODE_PUSHBACK_ATA_TAS_E
Verify mmd_enum_pcmDcmMode is MM_DCM_E
Verify mmd_enum_turretLockRequest is MM_TURRET_LOCK_UNLOCK_E
Verify mmd_enum_ctrlModeToApply is MM_HLC_E
Verify mmd_bm_reasonPcmDenied is 32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</si>
  <si>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2635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</si>
  <si>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2635
Verify mmd_enum_systemMode is MM_SYSTEM_MODE_PUSHBACK_ATA_TAS_E
Verify mmd_enum_pcmDcmMode is MM_DCM_E
Verify mmd_enum_turretLockRequest is MM_TURRET_LOCK_UNLOCK_E
Verify mmd_enum_ctrlModeToApply is MM_HLC_E
Verify mmd_bm_reasonPcmDenied is 32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</si>
  <si>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2636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LVC_PIN_ERROR_E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</si>
  <si>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2636
Verify mmd_enum_systemMode is MM_SYSTEM_MODE_PUSHBACK_ATA_TAS_E
Verify mmd_enum_pcmDcmMode is MM_DCM_E
Verify mmd_enum_turretLockRequest is MM_TURRET_LOCK_UNLOCK_E
Verify mmd_enum_ctrlModeToApply is MM_HLC_E
Verify mmd_bm_reasonPcmDenied is 32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</si>
  <si>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2637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</si>
  <si>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2637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</si>
  <si>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2638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</si>
  <si>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2638
Verify mmd_enum_systemMode is MM_SYSTEM_MODE_PUSHBACK_ATA_TAS_E
Verify mmd_enum_pcmDcmMode is MM_DCM_E
Verify mmd_enum_turretLockRequest is MM_TURRET_LOCK_UNLOCK_E
Verify mmd_enum_ctrlModeToApply is MM_HLC_E
Verify mmd_bm_reasonPcmDenied is 384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</si>
  <si>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2639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SM_FAIL_ACTIVE_E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</si>
  <si>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2639
Verify mmd_enum_systemMode is MM_SYSTEM_MODE_PUSHBACK_ATA_TAS_E
Verify mmd_enum_pcmDcmMode is MM_DCM_E
Verify mmd_enum_turretLockRequest is MM_TURRET_LOCK_UNLOCK_E
Verify mmd_enum_ctrlModeToApply is MM_HLC_E
Verify mmd_bm_reasonPcmDenied is 16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</si>
  <si>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2640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SM_FAIL_PASSIVE_E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</si>
  <si>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2640
Verify mmd_enum_systemMode is MM_SYSTEM_MODE_PUSHBACK_ATA_TAS_E
Verify mmd_enum_pcmDcmMode is MM_DCM_E
Verify mmd_enum_turretLockRequest is MM_TURRET_LOCK_UNLOCK_E
Verify mmd_enum_ctrlModeToApply is MM_HLC_E
Verify mmd_bm_reasonPcmDenied is 16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</si>
  <si>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2641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SM_EMERGENCY_STOP_E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</si>
  <si>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2641
Verify mmd_enum_systemMode is MM_SYSTEM_MODE_PUSHBACK_ATA_TAS_E
Verify mmd_enum_pcmDcmMode is MM_DCM_E
Verify mmd_enum_turretLockRequest is MM_TURRET_LOCK_UNLOCK_E
Verify mmd_enum_ctrlModeToApply is MM_HLC_E
Verify mmd_bm_reasonPcmDenied is 16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</si>
  <si>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2642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LVC_NOT_APPLIED_E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</si>
  <si>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2642
Verify mmd_enum_systemMode is MM_SYSTEM_MODE_PUSHBACK_ATA_TAS_E
Verify mmd_enum_pcmDcmMode is MM_DCM_E
Verify mmd_enum_turretLockRequest is MM_TURRET_LOCK_UNLOCK_E
Verify mmd_enum_ctrlModeToApply is MM_HLC_E
Verify mmd_bm_reasonPcmDenied is 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</si>
  <si>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2643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LVC_NOT_AVAILABLE_E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</si>
  <si>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2643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</si>
  <si>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2644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LVC_STATUS_ERROR_E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</si>
  <si>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2644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</si>
  <si>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2645 For 1 cycles
Set isd_enum_initStatus to IS_INIT_COMPLETED_E
Set lvcd_enum_turretLockStatus to LVC_LOCKED_E
Set lvcd_enum_ignitionKeyStatus to LVC_IGNITION_ON_E
Set lvcd_enum_fwdNeuRevPos to LVC_NEUTRAL_E
Set lvcd_enum_parkBrkReq to LVC_REQ_DISENGAGE_E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</si>
  <si>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2645
Verify mmd_enum_systemMode is MM_SYSTEM_MODE_PUSHBACK_ATA_TAS_E
Verify mmd_enum_pcmDcmMode is MM_DCM_E
Verify mmd_enum_turretLockRequest is MM_TURRET_LOCK_UNLOCK_E
Verify mmd_enum_ctrlModeToApply is MM_HLC_E
Verify mmd_bm_reasonPcmDenied is 4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</si>
  <si>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2646 For 1 cycles
Set isd_enum_initStatus to IS_INIT_COMPLETED_E
Set lvcd_enum_turretLockStatus to LVC_LOCKED_E
Set lvcd_enum_ignitionKeyStatus to LVC_IGNITION_ON_E
Set lvcd_enum_fwdNeuRevPos to LVC_NEUTRAL_E
Set lvcd_enum_parkBrkReq to LVC_REQ_NOT_AVAILABLE_E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</si>
  <si>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2646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</si>
  <si>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2647 For 1 cycles
Set isd_enum_initStatus to IS_INIT_COMPLETED_E
Set lvcd_enum_turretLockStatus to LVC_LOCKED_E
Set lvcd_enum_ignitionKeyStatus to LVC_IGNITION_ON_E
Set lvcd_enum_fwdNeuRevPos to LVC_NEUTRAL_E
Set lvcd_enum_parkBrkReq to LVC_REQ_ERROR_E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</si>
  <si>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2647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</si>
  <si>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2648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</si>
  <si>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2648
Verify mmd_enum_systemMode is MM_SYSTEM_MODE_PUSHBACK_ATA_TAS_E
Verify mmd_enum_pcmDcmMode is MM_DCM_E
Verify mmd_enum_turretLockRequest is MM_TURRET_LOCK_UNLOCK_E
Verify mmd_enum_ctrlModeToApply is MM_HLC_E
Verify mmd_bm_reasonPcmDenied is 2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</si>
  <si>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2649 For 1 cycles
Set isd_enum_initStatus to IS_INIT_COMPLETED_E
Set lvcd_enum_turretLockStatus to LVC_LOCKED_E
Set lvcd_enum_ignitionKeyStatus to LVC_IGNITION_ON_E
Set lvcd_enum_fwdNeuRevPos to LVC_REVERSE_E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</si>
  <si>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2649
Verify mmd_enum_systemMode is MM_SYSTEM_MODE_PUSHBACK_ATA_TAS_E
Verify mmd_enum_pcmDcmMode is MM_DCM_E
Verify mmd_enum_turretLockRequest is MM_TURRET_LOCK_UNLOCK_E
Verify mmd_enum_ctrlModeToApply is MM_HLC_E
Verify mmd_bm_reasonPcmDenied is 2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</si>
  <si>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2650 For 1 cycles
Set isd_enum_initStatus to IS_INIT_COMPLETED_E
Set lvcd_enum_turretLockStatus to LVC_LOCKED_E
Set lvcd_enum_ignitionKeyStatus to LVC_IGNITION_ON_E
Set lvcd_enum_fwdNeuRevPos to LVC_FNR_STATE_ERROR_E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</si>
  <si>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2650
Verify mmd_enum_systemMode is MM_SYSTEM_MODE_PUSHBACK_ATA_TAS_E
Verify mmd_enum_pcmDcmMode is MM_DCM_E
Verify mmd_enum_turretLockRequest is MM_TURRET_LOCK_UNLOCK_E
Verify mmd_enum_ctrlModeToApply is MM_HLC_E
Verify mmd_bm_reasonPcmDenied is 2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</si>
  <si>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2651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1
Set dcd_vel_tugWsFL_mps to 5
Set dcd_flg_speedRLValid to 1
Set dcd_vel_tugWsRL_mps to 5
Set dcd_flg_speedFRValid to 1
Set dcd_vel_tugWsFR_mps to 5
Set dcd_flg_speedRRValid to 1
Set dcd_vel_tugWsRR_mps to 5
Set csd_enum_estopSwitchStatus to CS_SWITCH_NOT_REQUESTED_E
Set dpvd_flg_dmpPosAndVelValid to 0
Set dpvd_vel_dmpVelocity_mmps to 0
Set loctfd_flg_svVelValid to 0
Set loctfd_vel_svVel_mps to 0</t>
  </si>
  <si>
    <t>At the end of cycle 2651
Verify mmd_enum_systemMode is MM_SYSTEM_MODE_PUSHBACK_ATA_TAS_E
Verify mmd_enum_pcmDcmMode is MM_DCM_E
Verify mmd_enum_turretLockRequest is MM_TURRET_LOCK_UNLOCK_E
Verify mmd_enum_ctrlModeToApply is MM_HLC_E
Verify mmd_bm_reasonPcmDenied is 1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</si>
  <si>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2652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</si>
  <si>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2652
Verify mmd_enum_systemMode is MM_SYSTEM_MODE_PUSHBACK_ATA_TAS_E
Verify mmd_enum_pcmDcmMode is MM_DCM_E
Verify mmd_enum_turretLockRequest is MM_TURRET_LOCK_UNLOCK_E
Verify mmd_enum_ctrlModeToApply is MM_HLC_E
Verify mmd_bm_reasonPcmDenied is 32768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</si>
  <si>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2653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CS_SWITCH_INVALID_E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</si>
  <si>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2653
Verify mmd_enum_systemMode is MM_SYSTEM_MODE_PUSHBACK_ATA_TAS_E
Verify mmd_enum_pcmDcmMode is MM_DCM_E
Verify mmd_enum_turretLockRequest is MM_TURRET_LOCK_UNLOCK_E
Verify mmd_enum_ctrlModeToApply is MM_HLC_E
Verify mmd_bm_reasonPcmDenied is 32768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</si>
  <si>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2654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</si>
  <si>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2654
Verify mmd_enum_systemMode is MM_SYSTEM_MODE_PUSHBACK_ATA_TAS_E
Verify mmd_enum_pcmDcmMode is MM_DCM_E
Verify mmd_enum_turretLockRequest is MM_TURRET_LOCK_UNLOCK_E
Verify mmd_enum_ctrlModeToApply is MM_HLC_E
Verify mmd_bm_reasonPcmDenied is 2048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</si>
  <si>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2655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LVC_OPERATOR_POS_ERROR_E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</si>
  <si>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2655
Verify mmd_enum_systemMode is MM_SYSTEM_MODE_PUSHBACK_ATA_TAS_E
Verify mmd_enum_pcmDcmMode is MM_DCM_E
Verify mmd_enum_turretLockRequest is MM_TURRET_LOCK_UNLOCK_E
Verify mmd_enum_ctrlModeToApply is MM_HLC_E
Verify mmd_bm_reasonPcmDenied is 2048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</si>
  <si>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2656 For 1 cycles
Set isd_enum_initStatus to IS_INIT_COMPLETED_E
Set lvcd_enum_turretLockStatus to LVC_LOCKED_E
Set lvcd_enum_ignitionKeyStatus to LVC_IGNITION_ON_E
Set lvcd_enum_fwdNeuRevPos to LVC_FORWARD_E
Set lvcd_enum_parkBrkReq to LVC_REQ_DISENGAGE_E
Set lvcd_enum_parkBrakeStatus to LVC_NOT_APPLIED_E
Set lvcd_enum_loadJoystick to LVC_LOAD_E
Set lvcd_enum_loadingStep to LVC_LOAD_STAGE48_E
Set lvcd_enum_pinStatus to LVC_PIN_STATUS_UNKNOWN_E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0
Set acd_flg_arincValid to 1
Set smd_enum_safetyMode to SM_FAIL_ACTIVE_E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</si>
  <si>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2656
Verify mmd_enum_systemMode is MM_SYSTEM_MODE_PUSHBACK_ATA_TAS_E
Verify mmd_enum_pcmDcmMode is MM_DCM_E
Verify mmd_enum_turretLockRequest is MM_TURRET_LOCK_UNLOCK_E
Verify mmd_enum_ctrlModeToApply is MM_HLC_E
Verify mmd_bm_reasonPcmDenied is 126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</si>
  <si>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2657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LVC_OPERATOR_POS_ERROR_E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</si>
  <si>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2657
Verify mmd_enum_systemMode is MM_SYSTEM_MODE_PUSHBACK_ATA_TAS_E
Verify mmd_enum_pcmDcmMode is MM_DCM_E
Verify mmd_enum_turretLockRequest is MM_TURRET_LOCK_UNLOCK_E
Verify mmd_enum_ctrlModeToApply is MM_HLC_E
Verify mmd_bm_reasonPcmDenied is 2048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</si>
  <si>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2658 For 1 cycles
Set isd_enum_initStatus to IS_INIT_COMPLETED_E
Set lvcd_enum_turretLockStatus to LVC_LOCKED_E
Set lvcd_enum_ignitionKeyStatus to LVC_IGNITION_ON_E
Set lvcd_enum_fwdNeuRevPos to LVC_REVERSE_E
Set lvcd_enum_parkBrkReq to LVC_REQ_DISENGAGE_E
Set lvcd_enum_parkBrakeStatus to LVC_NOT_APPLIED_E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0
Set acd_flg_arincValid to 1
Set smd_enum_safetyMode to SM_FAIL_PASSIVE_E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</si>
  <si>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2658
Verify mmd_enum_systemMode is MM_SYSTEM_MODE_PUSHBACK_ATA_TAS_E
Verify mmd_enum_pcmDcmMode is MM_DCM_E
Verify mmd_enum_turretLockRequest is MM_TURRET_LOCK_UNLOCK_E
Verify mmd_enum_ctrlModeToApply is MM_HLC_E
Verify mmd_bm_reasonPcmDenied is 126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</si>
  <si>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2659 For 1 cycles
Set isd_enum_initStatus to IS_INIT_COMPLETED_E
Set lvcd_enum_turretLockStatus to LVC_LOCKED_E
Set lvcd_enum_ignitionKeyStatus to LVC_IGNITION_ON_E
Set lvcd_enum_fwdNeuRevPos to LVC_NEUTRAL_E
Set lvcd_enum_parkBrkReq to LVC_REQ_ERROR_E
Set lvcd_enum_parkBrakeStatus to LVC_STATUS_ERROR_E
Set lvcd_enum_loadJoystick to LVC_UNLOAD_E
Set lvcd_enum_loadingStep to LVC_LOAD_STAGE48_E
Set lvcd_enum_pinStatus to LVC_PIN_OUT_E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</si>
  <si>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2659
Verify mmd_enum_systemMode is MM_SYSTEM_MODE_PUSHBACK_ATA_TAS_E
Verify mmd_enum_pcmDcmMode is MM_DCM_E
Verify mmd_enum_turretLockRequest is MM_TURRET_LOCK_UNLOCK_E
Verify mmd_enum_ctrlModeToApply is MM_HLC_E
Verify mmd_bm_reasonPcmDenied is 2048
Verify mmd_bm_reasonDcmDenied1 is 0
Verify mmd_bm_reasonDcmDenied2 is 0
Verify mmd_bm_reasonNeutDenied is 0
Verify mmd_bm_reasonUnloadDenied is 12
Verify mmd_flg_neutralFailed is 0
Verify mmd_flg_turretLockFailed is 0
Verify mmd_flg_turretUnLockFailed is 0
Verify mmd_bm_illegalTransReqst is 0
Verify mmd_bm_reasonLoadCompleteDenied is 0</t>
  </si>
  <si>
    <t>At cycle 2660 For 1 cycles
Set isd_enum_initStatus to IS_INIT_COMPLETED_E
Set lvcd_enum_turretLockStatus to LVC_UNLOCKED_E
Set lvcd_enum_ignitionKeyStatus to LVC_IGNITION_ON_E
Set lvcd_enum_fwdNeuRevPos to LVC_FNR_STATE_ERROR_E
Set lvcd_enum_parkBrkReq to LVC_REQ_ENGAGE_E
Set lvcd_enum_parkBrakeStatus to LVC_APPLIED_E
Set lvcd_enum_loadJoystick to LVC_UNLOAD_E
Set lvcd_enum_loadingStep to LVC_LOAD_STAGE48_E
Set lvcd_enum_pinStatus to LVC_PIN_ERROR_E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0
Set acd_flg_arincValid to 0
Set smd_enum_safetyMode to SM_EMERGENCY_STOP_E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</si>
  <si>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2660
Verify mmd_enum_systemMode is MM_SYSTEM_MODE_PUSHBACK_ATA_TAS_E
Verify mmd_enum_pcmDcmMode is MM_DCM_E
Verify mmd_enum_turretLockRequest is MM_TURRET_LOCK_UNLOCK_E
Verify mmd_enum_ctrlModeToApply is MM_HLC_E
Verify mmd_bm_reasonPcmDenied is 114
Verify mmd_bm_reasonDcmDenied1 is 0
Verify mmd_bm_reasonDcmDenied2 is 0
Verify mmd_bm_reasonNeutDenied is 0
Verify mmd_bm_reasonUnloadDenied is 18
Verify mmd_flg_neutralFailed is 0
Verify mmd_flg_turretLockFailed is 0
Verify mmd_flg_turretUnLockFailed is 0
Verify mmd_bm_illegalTransReqst is 0
Verify mmd_bm_reasonLoadCompleteDenied is 0</t>
  </si>
  <si>
    <t>At cycle 2661 For 1 cycles
Set isd_enum_initStatus to IS_INIT_COMPLETED_E
Set lvcd_enum_turretLockStatus to LVC_UNLOCKED_E
Set lvcd_enum_ignitionKeyStatus to LVC_IGNITION_ON_E
Set lvcd_enum_fwdNeuRevPos to LVC_NEUTRAL_E
Set lvcd_enum_parkBrkReq to LVC_REQ_ERROR_E
Set lvcd_enum_parkBrakeStatus to LVC_NOT_APPLIED_E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DB_STEER_METHOD_SBW_E
Set ntd_flg_neutralDisabled to 0
Set emd_flg_lvcModeApproved to 1
Set dcd_flg_speedFLValid to 1
Set dcd_vel_tugWsFL_mps to 10
Set dcd_flg_speedRLValid to 1
Set dcd_vel_tugWsRL_mps to 10
Set dcd_flg_speedFRValid to 1
Set dcd_vel_tugWsFR_mps to 10
Set dcd_flg_speedRRValid to 1
Set dcd_vel_tugWsRR_mps to 10
Set csd_enum_estopSwitchStatus to CS_SWITCH_NOT_REQUESTED_E
Set dpvd_flg_dmpPosAndVelValid to 0
Set dpvd_vel_dmpVelocity_mmps to 0
Set loctfd_flg_svVelValid to 0
Set loctfd_vel_svVel_mps to 0</t>
  </si>
  <si>
    <t>At the end of cycle 2661
Verify mmd_enum_systemMode is MM_SYSTEM_MODE_PUSHBACK_ATA_TAS_E
Verify mmd_enum_pcmDcmMode is MM_DCM_E
Verify mmd_enum_turretLockRequest is MM_TURRET_LOCK_UNLOCK_E
Verify mmd_enum_ctrlModeToApply is MM_HLC_E
Verify mmd_bm_reasonPcmDenied is 2825
Verify mmd_bm_reasonDcmDenied1 is 0
Verify mmd_bm_reasonDcmDenied2 is 0
Verify mmd_bm_reasonNeutDenied is 0
Verify mmd_bm_reasonUnloadDenied is 13
Verify mmd_flg_neutralFailed is 0
Verify mmd_flg_turretLockFailed is 0
Verify mmd_flg_turretUnLockFailed is 0
Verify mmd_bm_illegalTransReqst is 0
Verify mmd_bm_reasonLoadCompleteDenied is 0</t>
  </si>
  <si>
    <t>At cycle 2662 For 1 cycles
Set isd_enum_initStatus to IS_INIT_COMPLETED_E
Set lvcd_enum_turretLockStatus to LVC_LOCKED_E
Set lvcd_enum_ignitionKeyStatus to LVC_IGNITION_ON_E
Set lvcd_enum_fwdNeuRevPos to LVC_REVERSE_E
Set lvcd_enum_parkBrkReq to LVC_REQ_ENGAGE_E
Set lvcd_enum_parkBrakeStatus to LVC_APPLIED_E
Set lvcd_enum_loadJoystick to LVC_UNLOAD_E
Set lvcd_enum_loadingStep to LVC_LOAD_STAGE48_E
Set lvcd_enum_pinStatus to LVC_PIN_STATUS_UNKNOWN_E
Set lvcd_enum_operatStationPos to LVC_UNDEFINED_E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</si>
  <si>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2662
Verify mmd_enum_systemMode is MM_SYSTEM_MODE_PUSHBACK_ATA_TAS_E
Verify mmd_enum_pcmDcmMode is MM_DCM_E
Verify mmd_enum_turretLockRequest is MM_TURRET_LOCK_UNLOCK_E
Verify mmd_enum_ctrlModeToApply is MM_HLC_E
Verify mmd_bm_reasonPcmDenied is 2178
Verify mmd_bm_reasonDcmDenied1 is 0
Verify mmd_bm_reasonDcmDenied2 is 0
Verify mmd_bm_reasonNeutDenied is 0
Verify mmd_bm_reasonUnloadDenied is 18
Verify mmd_flg_neutralFailed is 0
Verify mmd_flg_turretLockFailed is 0
Verify mmd_flg_turretUnLockFailed is 0
Verify mmd_bm_illegalTransReqst is 0
Verify mmd_bm_reasonLoadCompleteDenied is 0</t>
  </si>
  <si>
    <t>At cycle 2663 For 1 cycles
Set isd_enum_initStatus to IS_INIT_COMPLETED_E
Set lvcd_enum_turretLockStatus to LVC_INTERMEDIATE_E
Set lvcd_enum_ignitionKeyStatus to LVC_IGNITION_ON_E
Set lvcd_enum_fwdNeuRevPos to LVC_NEUTRAL_E
Set lvcd_enum_parkBrkReq to LVC_REQ_DISENGAGE_E
Set lvcd_enum_parkBrakeStatus to LVC_REQ_NOT_AVAILABLE_E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</si>
  <si>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2663
Verify mmd_enum_systemMode is MM_SYSTEM_MODE_PUSHBACK_ATA_TAS_E
Verify mmd_enum_pcmDcmMode is MM_DCM_E
Verify mmd_enum_turretLockRequest is MM_TURRET_LOCK_UNLOCK_E
Verify mmd_enum_ctrlModeToApply is MM_HLC_E
Verify mmd_bm_reasonPcmDenied is 2308
Verify mmd_bm_reasonDcmDenied1 is 0
Verify mmd_bm_reasonDcmDenied2 is 0
Verify mmd_bm_reasonNeutDenied is 0
Verify mmd_bm_reasonUnloadDenied is 12
Verify mmd_flg_neutralFailed is 0
Verify mmd_flg_turretLockFailed is 0
Verify mmd_flg_turretUnLockFailed is 0
Verify mmd_bm_illegalTransReqst is 0
Verify mmd_bm_reasonLoadCompleteDenied is 0</t>
  </si>
  <si>
    <t>At cycle 2664 For 1 cycles
Set isd_enum_initStatus to IS_INIT_COMPLETED_E
Set lvcd_enum_turretLockStatus to LVC_INTERMEDIATE_E
Set lvcd_enum_ignitionKeyStatus to LVC_IGNITION_ON_E
Set lvcd_enum_fwdNeuRevPos to LVC_FORWARD_E
Set lvcd_enum_parkBrkReq to LVC_REQ_ENGAGE_E
Set lvcd_enum_parkBrakeStatus to LVC_APPLIED_E
Set lvcd_enum_loadJoystick to LVC_UNLOAD_E
Set lvcd_enum_loadingStep to LVC_LOAD_STAGE48_E
Set lvcd_enum_pinStatus to LVC_PIN_OUT_E
Set lvcd_enum_operatStationPos to LVC_OPERATOR_POS_ERROR_E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0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</si>
  <si>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2664
Verify mmd_enum_systemMode is MM_SYSTEM_MODE_PUSHBACK_ATA_TAS_E
Verify mmd_enum_pcmDcmMode is MM_DCM_E
Verify mmd_enum_turretLockRequest is MM_TURRET_LOCK_UNLOCK_E
Verify mmd_enum_ctrlModeToApply is MM_HLC_E
Verify mmd_bm_reasonPcmDenied is 2946
Verify mmd_bm_reasonDcmDenied1 is 0
Verify mmd_bm_reasonDcmDenied2 is 0
Verify mmd_bm_reasonNeutDenied is 0
Verify mmd_bm_reasonUnloadDenied is 18
Verify mmd_flg_neutralFailed is 0
Verify mmd_flg_turretLockFailed is 0
Verify mmd_flg_turretUnLockFailed is 0
Verify mmd_bm_illegalTransReqst is 0
Verify mmd_bm_reasonLoadCompleteDenied is 0</t>
  </si>
  <si>
    <t>At cycle 2665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LVC_STATUS_ERROR_E
Set lvcd_enum_loadJoystick to LVC_UNLOAD_E
Set lvcd_enum_loadingStep to LVC_LOAD_STAGE48_E
Set lvcd_enum_pinStatus to LVC_PIN_OUT_E
Set lvcd_enum_operatStationPos to LVC_UNDEFINED_E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0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</si>
  <si>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2665
Verify mmd_enum_systemMode is MM_SYSTEM_MODE_PUSHBACK_ATA_TAS_E
Verify mmd_enum_pcmDcmMode is MM_DCM_E
Verify mmd_enum_turretLockRequest is MM_TURRET_LOCK_UNLOCK_E
Verify mmd_enum_ctrlModeToApply is MM_HLC_E
Verify mmd_bm_reasonPcmDenied is 2050
Verify mmd_bm_reasonDcmDenied1 is 0
Verify mmd_bm_reasonDcmDenied2 is 0
Verify mmd_bm_reasonNeutDenied is 0
Verify mmd_bm_reasonUnloadDenied is 26
Verify mmd_flg_neutralFailed is 0
Verify mmd_flg_turretLockFailed is 0
Verify mmd_flg_turretUnLockFailed is 0
Verify mmd_bm_illegalTransReqst is 0
Verify mmd_bm_reasonLoadCompleteDenied is 0</t>
  </si>
  <si>
    <t>At cycle 2666 For 1 cycles
Set isd_enum_initStatus to IS_INIT_COMPLETED_E
Set lvcd_enum_turretLockStatus to LVC_TURRET_LOCK_ERROR_E
Set lvcd_enum_ignitionKeyStatus to LVC_IGNITION_ON_E
Set lvcd_enum_fwdNeuRevPos to LVC_FORWARD_E
Set lvcd_enum_parkBrkReq to LVC_REQ_ENGAGE_E
Set lvcd_enum_parkBrakeStatus to LVC_APPLIED_E
Set lvcd_enum_loadJoystick to LVC_LOAD_E
Set lvcd_enum_loadingStep to LVC_LOAD_STAGE48_E
Set lvcd_enum_pinStatus to LVC_PIN_ERROR_E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0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</si>
  <si>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2666
Verify mmd_enum_systemMode is MM_SYSTEM_MODE_PUSHBACK_ATA_TAS_E
Verify mmd_enum_pcmDcmMode is MM_DCM_E
Verify mmd_enum_turretLockRequest is MM_TURRET_LOCK_UNLOCK_E
Verify mmd_enum_ctrlModeToApply is MM_HLC_E
Verify mmd_bm_reasonPcmDenied is 2946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</si>
  <si>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2667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1
Set dcd_flg_speedFLValid to 1
Set dcd_vel_tugWsFL_mps to 10
Set dcd_flg_speedRLValid to 1
Set dcd_vel_tugWsRL_mps to 10
Set dcd_flg_speedFRValid to 1
Set dcd_vel_tugWsFR_mps to 10
Set dcd_flg_speedRRValid to 1
Set dcd_vel_tugWsRR_mps to 10
Set csd_enum_estopSwitchStatus to CS_SWITCH_NOT_REQUESTED_E
Set dpvd_flg_dmpPosAndVelValid to 0
Set dpvd_vel_dmpVelocity_mmps to 0
Set loctfd_flg_svVelValid to 0
Set loctfd_vel_svVel_mps to 0</t>
  </si>
  <si>
    <t>At the end of cycle 2667
Verify mmd_enum_systemMode is MM_SYSTEM_MODE_PUSHBACK_ATA_TAS_E
Verify mmd_enum_pcmDcmMode is MM_DCM_E
Verify mmd_enum_turretLockRequest is MM_TURRET_LOCK_UNLOCK_E
Verify mmd_enum_ctrlModeToApply is MM_HLC_E
Verify mmd_bm_reasonPcmDenied is 1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</si>
  <si>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2668 For 1 cycles
Set isd_enum_initStatus to IS_INIT_COMPLETED_E
Set lvcd_enum_turretLockStatus to LVC_LOCKED_E
Set lvcd_enum_ignitionKeyStatus to LVC_IGNITION_ON_E
Set lvcd_enum_fwdNeuRevPos to LVC_FORWARD_E
Set lvcd_enum_parkBrkReq to LVC_REQ_DISENGAGE_E
Set lvcd_enum_parkBrakeStatus to LVC_NOT_APPLIED_E
Set lvcd_enum_loadJoystick to LVC_LOAD_E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</si>
  <si>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2668
Verify mmd_enum_systemMode is MM_SYSTEM_MODE_PUSHBACK_ATA_TAS_E
Verify mmd_enum_pcmDcmMode is MM_DCM_E
Verify mmd_enum_turretLockRequest is MM_TURRET_LOCK_UNLOCK_E
Verify mmd_enum_ctrlModeToApply is MM_HLC_E
Verify mmd_bm_reasonPcmDenied is 34830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</si>
  <si>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2669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</si>
  <si>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2669
Verify mmd_enum_systemMode is MM_SYSTEM_MODE_PUSHBACK_ATA_TAS_E
Verify mmd_enum_pcmDcmMode is MM_DCM_E
Verify mmd_enum_turretLockRequest is MM_TURRET_LOCK_UNLOCK_E
Verify mmd_enum_ctrlModeToApply is MM_HLC_E
Verify mmd_bm_reasonPcmDenied is 34816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</si>
  <si>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2670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</si>
  <si>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2670
Verify mmd_enum_systemMode is MM_SYSTEM_MODE_PUSHBACK_ATA_TAS_E
Verify mmd_enum_pcmDcmMode is MM_DCM_E
Verify mmd_enum_turretLockRequest is MM_TURRET_LOCK_UNLOCK_E
Verify mmd_enum_ctrlModeToApply is MM_HLC_E
Verify mmd_bm_reasonPcmDenied is 2050
Verify mmd_bm_reasonDcmDenied1 is 0
Verify mmd_bm_reasonDcmDenied2 is 0
Verify mmd_bm_reasonNeutDenied is 0
Verify mmd_bm_reasonUnloadDenied is 2
Verify mmd_flg_neutralFailed is 0
Verify mmd_flg_turretLockFailed is 0
Verify mmd_flg_turretUnLockFailed is 0
Verify mmd_bm_illegalTransReqst is 0
Verify mmd_bm_reasonLoadCompleteDenied is 0</t>
  </si>
  <si>
    <t>At cycle 2671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CS_SWITCH_INVALID_E
Set csd_enum_neutralSwitchStatus to CS_SWITCH_NOT_REQUESTED_E
Set tasd_flg_turretValid to 1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2672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CS_SWITCH_INVALID_E
Set csd_enum_neutralSwitchStatus to CS_SWITCH_NOT_REQUESTED_E
Set tasd_flg_turretValid to 1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</si>
  <si>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2671
Verify mmd_enum_systemMode is MM_SYSTEM_MODE_PUSHBACK_ATA_TAS_E
Verify mmd_enum_pcmDcmMode is MM_DCM_E
Verify mmd_enum_turretLockRequest is MM_TURRET_LOCK_UNLOCK_E
Verify mmd_enum_ctrlModeToApply is MM_HLC_E
Verify mmd_bm_reasonPcmDenied is 34816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0
Verify mmd_bm_reasonLoadCompleteDenied is 0
At the end of cycle 2672
Verify mmd_enum_systemMode is MM_SYSTEM_MODE_PUSHBACK_ATA_TAS_E
Verify mmd_enum_pcmDcmMode is MM_DCM_E
Verify mmd_enum_turretLockRequest is MM_TURRET_LOCK_UNLOCK_E
Verify mmd_enum_ctrlModeToApply is MM_HLC_E
Verify mmd_bm_reasonPcmDenied is 34816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0
Verify mmd_bm_reasonLoadCompleteDenied is 0</t>
  </si>
  <si>
    <t>At cycle 2673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</si>
  <si>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2673
Verify mmd_enum_systemMode is MM_SYSTEM_MODE_PUSHBACK_ATA_TAS_E
Verify mmd_enum_pcmDcmMode is MM_DCM_E
Verify mmd_enum_turretLockRequest is MM_TURRET_LOCK_UNLOCK_E
Verify mmd_enum_ctrlModeToApply is MM_HLC_E
Verify mmd_bm_reasonPcmDenied is 32768
Verify mmd_bm_reasonDcmDenied1 is 0
Verify mmd_bm_reasonDcmDenied2 is 0
Verify mmd_bm_reasonNeutDenied is 0
Verify mmd_bm_reasonUnloadDenied is 144
Verify mmd_flg_neutralFailed is 0
Verify mmd_flg_turretLockFailed is 0
Verify mmd_flg_turretUnLockFailed is 0
Verify mmd_bm_illegalTransReqst is 0
Verify mmd_bm_reasonLoadCompleteDenied is 0</t>
  </si>
  <si>
    <t>At cycle 2674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</si>
  <si>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2674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</si>
  <si>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2675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</si>
  <si>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2675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</si>
  <si>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2676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CS_SWITCH_INVALID_E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</si>
  <si>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2676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</si>
  <si>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2677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LVC_NOT_APPLIED_E
Set lvcd_enum_loadJoystick to LVC_LOAD_E
Set lvcd_enum_loadingStep to LVC_LOAD_STAGE48_E
Set lvcd_enum_pinStatus to LVC_PIN_IN_E
Set lvcd_enum_operatStationPos to LVC_UNDEFINED_E
Set motfd_enum_missionInProgress to MO_MISSION_APPROVED_E
Set motfd_enum_missionType to MD_MISSION_TYPE_MAINTEN_TOWING_E
Set csd_enum_dcmSwitchStatus to CS_SWITCH_REQUESTED_E
Set csd_enum_pcmSwitchStatus to CS_SWITCH_REQUESTED_E
Set csd_enum_neutralSwitchStatus to CS_SWITCH_NOT_REQUESTED_E
Set tasd_flg_turretValid to 1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</si>
  <si>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2677
Verify mmd_enum_systemMode is MM_SYSTEM_MODE_PUSHBACK_ATA_TAS_E
Verify mmd_enum_pcmDcmMode is MM_DCM_E
Verify mmd_enum_turretLockRequest is MM_TURRET_LOCK_UNLOCK_E
Verify mmd_enum_ctrlModeToApply is MM_HLC_E
Verify mmd_bm_reasonPcmDenied is 2058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</si>
  <si>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2678 For 1 cycles
Set isd_enum_initStatus to IS_INIT_COMPLETED_E
Set lvcd_enum_turretLockStatus to LVC_LOCKED_E
Set lvcd_enum_ignitionKeyStatus to LVC_IGNITION_ON_E
Set lvcd_enum_fwdNeuRevPos to LVC_FORWARD_E
Set lvcd_enum_parkBrkReq to LVC_REQ_DISENGAGE_E
Set lvcd_enum_parkBrakeStatus to LVC_NOT_APPLIED_E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1
Set smd_enum_safetyMode to SM_FAIL_PASSIVE_E
Set dbd_enum_acSteeringMethod to DB_STEER_METHOD_TURRET_E
Set ntd_flg_neutralDisabled to 0
Set emd_flg_lvcModeApproved to 1
Set dcd_flg_speedFLValid to 1
Set dcd_vel_tugWsFL_mps to 10
Set dcd_flg_speedRLValid to 1
Set dcd_vel_tugWsRL_mps to 10
Set dcd_flg_speedFRValid to 1
Set dcd_vel_tugWsFR_mps to 10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</si>
  <si>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2678
Verify mmd_enum_systemMode is MM_SYSTEM_MODE_PUSHBACK_ATA_TAS_E
Verify mmd_enum_pcmDcmMode is MM_DCM_E
Verify mmd_enum_turretLockRequest is MM_TURRET_LOCK_UNLOCK_E
Verify mmd_enum_ctrlModeToApply is MM_HLC_E
Verify mmd_bm_reasonPcmDenied is 32895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</si>
  <si>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2679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LVC_NOT_APPLIED_E
Set lvcd_enum_loadJoystick to LVC_LOAD_E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</si>
  <si>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2679
Verify mmd_enum_systemMode is MM_SYSTEM_MODE_PUSHBACK_ATA_TAS_E
Verify mmd_enum_pcmDcmMode is MM_DCM_E
Verify mmd_enum_turretLockRequest is MM_TURRET_LOCK_UNLOCK_E
Verify mmd_enum_ctrlModeToApply is MM_HLC_E
Verify mmd_bm_reasonPcmDenied is 34826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</si>
  <si>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2680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LVC_NOT_APPLIED_E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</si>
  <si>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2680
Verify mmd_enum_systemMode is MM_SYSTEM_MODE_PUSHBACK_ATA_TAS_E
Verify mmd_enum_pcmDcmMode is MM_DCM_E
Verify mmd_enum_turretLockRequest is MM_TURRET_LOCK_UNLOCK_E
Verify mmd_enum_ctrlModeToApply is MM_HLC_E
Verify mmd_bm_reasonPcmDenied is 32842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</si>
  <si>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2681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LVC_NOT_APPLIED_E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</si>
  <si>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2681
Verify mmd_enum_systemMode is MM_SYSTEM_MODE_PUSHBACK_ATA_TAS_E
Verify mmd_enum_pcmDcmMode is MM_DCM_E
Verify mmd_enum_turretLockRequest is MM_TURRET_LOCK_UNLOCK_E
Verify mmd_enum_ctrlModeToApply is MM_HLC_E
Verify mmd_bm_reasonPcmDenied is 33674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</si>
  <si>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2682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LVC_NOT_APPLIED_E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</si>
  <si>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2682
Verify mmd_enum_systemMode is MM_SYSTEM_MODE_PUSHBACK_ATA_TAS_E
Verify mmd_enum_pcmDcmMode is MM_DCM_E
Verify mmd_enum_turretLockRequest is MM_TURRET_LOCK_UNLOCK_E
Verify mmd_enum_ctrlModeToApply is MM_HLC_E
Verify mmd_bm_reasonPcmDenied is 32778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</si>
  <si>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2683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LVC_NOT_APPLIED_E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</si>
  <si>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2683
Verify mmd_enum_systemMode is MM_SYSTEM_MODE_PUSHBACK_ATA_TAS_E
Verify mmd_enum_pcmDcmMode is MM_DCM_E
Verify mmd_enum_turretLockRequest is MM_TURRET_LOCK_UNLOCK_E
Verify mmd_enum_ctrlModeToApply is MM_HLC_E
Verify mmd_bm_reasonPcmDenied is 42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</si>
  <si>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2684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1
Set dcd_vel_tugWsFL_mps to 10
Set dcd_flg_speedRLValid to 1
Set dcd_vel_tugWsRL_mps to 10
Set dcd_flg_speedFRValid to 1
Set dcd_vel_tugWsFR_mps to 10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</si>
  <si>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2684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7
Verify mmd_flg_neutralFailed is 0
Verify mmd_flg_turretLockFailed is 0
Verify mmd_flg_turretUnLockFailed is 0
Verify mmd_bm_illegalTransReqst is 0
Verify mmd_bm_reasonLoadCompleteDenied is 0</t>
  </si>
  <si>
    <t>At cycle 2685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LVC_NOT_APPLIED_E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</si>
  <si>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2685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152
Verify mmd_flg_neutralFailed is 0
Verify mmd_flg_turretLockFailed is 0
Verify mmd_flg_turretUnLockFailed is 0
Verify mmd_bm_illegalTransReqst is 0
Verify mmd_bm_reasonLoadCompleteDenied is 0</t>
  </si>
  <si>
    <t>At cycle 2686 For 1 cycles
Set isd_enum_initStatus to IS_INIT_COMPLETED_E
Set lvcd_enum_turretLockStatus to LVC_LOCKED_E
Set lvcd_enum_ignitionKeyStatus to LVC_IGNITION_ON_E
Set lvcd_enum_fwdNeuRevPos to LVC_FORWARD_E
Set lvcd_enum_parkBrkReq to LVC_REQ_DISENGAGE_E
Set lvcd_enum_parkBrakeStatus to LVC_APPLIED_E
Set lvcd_enum_loadJoystick to LVC_LOAD_E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1
Set dcd_vel_tugWsFL_mps to 10
Set dcd_flg_speedRLValid to 1
Set dcd_vel_tugWsRL_mps to 10
Set dcd_flg_speedFRValid to 1
Set dcd_vel_tugWsFR_mps to 10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</si>
  <si>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2686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135
Verify mmd_flg_neutralFailed is 0
Verify mmd_flg_turretLockFailed is 0
Verify mmd_flg_turretUnLockFailed is 0
Verify mmd_bm_illegalTransReqst is 0
Verify mmd_bm_reasonLoadCompleteDenied is 0</t>
  </si>
  <si>
    <t>At cycle 2687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</si>
  <si>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2687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0
Verify mmd_bm_reasonLoadCompleteDenied is 0</t>
  </si>
  <si>
    <t>At cycle 2688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</si>
  <si>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2688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0
Verify mmd_bm_reasonLoadCompleteDenied is 0</t>
  </si>
  <si>
    <t>At cycle 2689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</si>
  <si>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2689
Verify mmd_enum_systemMode is MM_SYSTEM_MODE_PUSHBACK_ATA_TAS_E
Verify mmd_enum_pcmDcmMode is MM_DCM_E
Verify mmd_enum_turretLockRequest is MM_TURRET_LOCK_UNLOCK_E
Verify mmd_enum_ctrlModeToApply is MM_HLC_E
Verify mmd_bm_reasonPcmDenied is 2082
Verify mmd_bm_reasonDcmDenied1 is 0
Verify mmd_bm_reasonDcmDenied2 is 0
Verify mmd_bm_reasonNeutDenied is 0
Verify mmd_bm_reasonUnloadDenied is 2
Verify mmd_flg_neutralFailed is 0
Verify mmd_flg_turretLockFailed is 0
Verify mmd_flg_turretUnLockFailed is 0
Verify mmd_bm_illegalTransReqst is 0
Verify mmd_bm_reasonLoadCompleteDenied is 0</t>
  </si>
  <si>
    <t>At cycle 2690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2691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</si>
  <si>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2690
Verify mmd_enum_systemMode is MM_SYSTEM_MODE_PUSHBACK_ATA_TAS_E
Verify mmd_enum_pcmDcmMode is MM_DCM_E
Verify mmd_enum_turretLockRequest is MM_TURRET_LOCK_UNLOCK_E
Verify mmd_enum_ctrlModeToApply is MM_HLC_E
Verify mmd_bm_reasonPcmDenied is 2080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2691
Verify mmd_enum_systemMode is MM_SYSTEM_MODE_PUSHBACK_ATA_TAS_E
Verify mmd_enum_pcmDcmMode is MM_DCM_E
Verify mmd_enum_turretLockRequest is MM_TURRET_LOCK_UNLOCK_E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</si>
  <si>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2692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2693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2694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2695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2696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2697 For 295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2992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2993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</si>
  <si>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2692
Verify mmd_enum_systemMode is MM_SYSTEM_MODE_PUSHBACK_ATA_TAS_E
Verify mmd_enum_pcmDcmMode is MM_DCM_E
Verify mmd_enum_turretLockRequest is MM_TURRET_LOCK_UNLOCK_E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2693
Verify mmd_enum_systemMode is MM_SYSTEM_MODE_PUSHBACK_ATA_TAS_E
Verify mmd_enum_pcmDcmMode is MM_DCM_E
Verify mmd_enum_turretLockRequest is MM_TURRET_LOCK_UNLOCK_E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2694
Verify mmd_enum_systemMode is MM_SYSTEM_MODE_PUSHBACK_ATA_TAS_E
Verify mmd_enum_pcmDcmMode is MM_DCM_E
Verify mmd_enum_turretLockRequest is MM_TURRET_LOCK_UNLOCK_E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2695
Verify mmd_enum_systemMode is MM_SYSTEM_MODE_PUSHBACK_ATA_TAS_E
Verify mmd_enum_pcmDcmMode is MM_DCM_E
Verify mmd_enum_turretLockRequest is MM_TURRET_LOCK_UNLOCK_E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2696
Verify mmd_enum_systemMode is MM_SYSTEM_MODE_PUSHBACK_ATA_TAS_E
Verify mmd_enum_pcmDcmMode is MM_DCM_E
Verify mmd_enum_turretLockRequest is MM_TURRET_LOCK_UNLOCK_E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2697
Verify mmd_enum_systemMode is MM_SYSTEM_MODE_PUSHBACK_ATA_TAS_E
Verify mmd_enum_pcmDcmMode is MM_DCM_E
Verify mmd_enum_turretLockRequest is MM_TURRET_LOCK_UNLOCK_E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2992
Verify mmd_enum_systemMode is MM_SYSTEM_MODE_PUSHBACK_ATA_TAS_E
Verify mmd_enum_pcmDcmMode is MM_DCM_E
Verify mmd_enum_turretLockRequest is MM_TURRET_LOCK_UNLOCK_E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2993
Verify mmd_enum_systemMode is MM_SYSTEM_MODE_PUSHBACK_ATA_TAS_E
Verify mmd_enum_pcmDcmMode is MM_DCM_E
Verify mmd_enum_turretLockRequest is MM_TURRET_LOCK_UNLOCK_E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t>
  </si>
  <si>
    <t>At cycle 2994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2995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2996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2997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2998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2999 For 296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3295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3296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3297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3298 For 296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3594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3595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3596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</si>
  <si>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2994
Verify mmd_enum_systemMode is MM_SYSTEM_MODE_PUSHBACK_ATA_TAS_E
Verify mmd_enum_pcmDcmMode is MM_DCM_E
Verify mmd_enum_turretLockRequest is MM_TURRET_LOCK_UNLOCK_E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2995
Verify mmd_enum_systemMode is MM_SYSTEM_MODE_PUSHBACK_ATA_TAS_E
Verify mmd_enum_pcmDcmMode is MM_DCM_E
Verify mmd_enum_turretLockRequest is MM_TURRET_LOCK_UNLOCK_E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2996
Verify mmd_enum_systemMode is MM_SYSTEM_MODE_PUSHBACK_ATA_TAS_E
Verify mmd_enum_pcmDcmMode is MM_DCM_E
Verify mmd_enum_turretLockRequest is MM_TURRET_LOCK_UNLOCK_E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2997
Verify mmd_enum_systemMode is MM_SYSTEM_MODE_PUSHBACK_ATA_TAS_E
Verify mmd_enum_pcmDcmMode is MM_DCM_E
Verify mmd_enum_turretLockRequest is MM_TURRET_LOCK_UNLOCK_E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2998
Verify mmd_enum_systemMode is MM_SYSTEM_MODE_PUSHBACK_ATA_TAS_E
Verify mmd_enum_pcmDcmMode is MM_DCM_E
Verify mmd_enum_turretLockRequest is MM_TURRET_LOCK_UNLOCK_E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2999
Verify mmd_enum_systemMode is MM_SYSTEM_MODE_PUSHBACK_ATA_TAS_E
Verify mmd_enum_pcmDcmMode is MM_DCM_E
Verify mmd_enum_turretLockRequest is MM_TURRET_LOCK_UNLOCK_E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3295
Verify mmd_enum_systemMode is MM_SYSTEM_MODE_PUSHBACK_ATA_TAS_E
Verify mmd_enum_pcmDcmMode is MM_DCM_E
Verify mmd_enum_turretLockRequest is MM_TURRET_LOCK_UNLOCK_E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3296
Verify mmd_enum_systemMode is MM_SYSTEM_MODE_PUSHBACK_ATA_TAS_E
Verify mmd_enum_pcmDcmMode is MM_DCM_E
Verify mmd_enum_turretLockRequest is MM_TURRET_LOCK_UNLOCK_E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3297
Verify mmd_enum_systemMode is MM_SYSTEM_MODE_PUSHBACK_ATA_TAS_E
Verify mmd_enum_pcmDcmMode is MM_DCM_E
Verify mmd_enum_turretLockRequest is MM_TURRET_LOCK_UNLOCK_E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3298
Verify mmd_enum_systemMode is MM_SYSTEM_MODE_PUSHBACK_ATA_TAS_E
Verify mmd_enum_pcmDcmMode is MM_DCM_E
Verify mmd_enum_turretLockRequest is MM_TURRET_LOCK_UNLOCK_E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3594
Verify mmd_enum_systemMode is MM_SYSTEM_MODE_PUSHBACK_ATA_TAS_E
Verify mmd_enum_pcmDcmMode is MM_DCM_E
Verify mmd_enum_turretLockRequest is MM_TURRET_LOCK_UNLOCK_E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3595
Verify mmd_enum_systemMode is MM_SYSTEM_MODE_PUSHBACK_ATA_TAS_E
Verify mmd_enum_pcmDcmMode is MM_DCM_E
Verify mmd_enum_turretLockRequest is MM_TURRET_LOCK_UNLOCK_E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3596
Verify mmd_enum_systemMode is MM_SYSTEM_MODE_PUSHBACK_ATA_TAS_E
Verify mmd_enum_pcmDcmMode is MM_DCM_E
Verify mmd_enum_turretLockRequest is MM_TURRET_LOCK_UNLOCK_E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</si>
  <si>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3597 For 1 cycles
Set isd_enum_initStatus to IS_INIT_COMPLETED_E
Set lvcd_enum_turretLockStatus to LVC_LOCKED_E
Set lvcd_enum_ignitionKeyStatus to LVC_IGNITION_OFF_E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</si>
  <si>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3597
Verify mmd_enum_systemMode is MM_SYSTEM_MODE_SHUTDOWN_E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</si>
  <si>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1004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LVC_UNDEFINED_E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LVC_UNDEFINED_E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</si>
  <si>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1004
Verify mmd_enum_systemMode is MM_SYSTEM_MODE_PRE_MISSION_E
Verify mmd_enum_pcmDcmMode is MM_NONE_E
Verify mmd_enum_turretLockRequest is MM_TURRET_LOCK_LOCK_E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1005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</si>
  <si>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1006 For 1 cycles
Set isd_enum_initStatus to IS_INIT_COMPLETED_E
Set lvcd_enum_turretLockStatus to LVC_LOCKED_E
Set lvcd_enum_ignitionKeyStatus to LVC_IGNITION_OFF_E
Set lvcd_enum_fwdNeuRevPos to LVC_NEUTRAL_E
Set lvcd_enum_parkBrkReq to LVC_REQ_ENGAGE_E
Set lvcd_enum_parkBrakeStatus to LVC_NOT_APPLIED_E
Set lvcd_enum_loadJoystick to LVC_UNLOAD_E
Set lvcd_enum_loadingStep to LVC_LOAD_STAGE48_E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</si>
  <si>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1006
Verify mmd_enum_systemMode is MM_SYSTEM_MODE_PUSHBACK_ATA_BW_E
Verify mmd_enum_pcmDcmMode is MM_DCM_E
Verify mmd_enum_turretLockRequest is MM_TURRET_LOCK_LOCK_E
Verify mmd_enum_ctrlModeToApply is MM_HLC_E
Verify mmd_bm_reasonPcmDenied is 2056
Verify mmd_bm_reasonDcmDenied1 is 0
Verify mmd_bm_reasonDcmDenied2 is 0
Verify mmd_bm_reasonNeutDenied is 0
Verify mmd_bm_reasonUnloadDenied is 24
Verify mmd_flg_neutralFailed is 0
Verify mmd_flg_turretLockFailed is 0
Verify mmd_flg_turretUnLockFailed is 0
Verify mmd_bm_illegalTransReqst is 0
Verify mmd_bm_reasonLoadCompleteDenied is 0</t>
  </si>
  <si>
    <t>At cycle 1007 For 1 cycles
Set isd_enum_initStatus to IS_INIT_COMPLETED_E
Set lvcd_enum_turretLockStatus to LVC_LOCKED_E
Set lvcd_enum_ignitionKeyStatus to LVC_IGNITION_OFF_E
Set lvcd_enum_fwdNeuRevPos to LVC_NEUTRAL_E
Set lvcd_enum_parkBrkReq to LVC_REQ_ENGAGE_E
Set lvcd_enum_parkBrakeStatus to LVC_NOT_AVAILABLE_E
Set lvcd_enum_loadJoystick to LVC_UNLOAD_E
Set lvcd_enum_loadingStep to LVC_LOAD_STAGE48_E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</si>
  <si>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1007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24
Verify mmd_flg_neutralFailed is 0
Verify mmd_flg_turretLockFailed is 0
Verify mmd_flg_turretUnLockFailed is 0
Verify mmd_bm_illegalTransReqst is 0
Verify mmd_bm_reasonLoadCompleteDenied is 0</t>
  </si>
  <si>
    <t>At cycle 1008 For 1 cycles
Set isd_enum_initStatus to IS_INIT_COMPLETED_E
Set lvcd_enum_turretLockStatus to LVC_LOCKED_E
Set lvcd_enum_ignitionKeyStatus to LVC_IGNITION_OFF_E
Set lvcd_enum_fwdNeuRevPos to LVC_NEUTRAL_E
Set lvcd_enum_parkBrkReq to LVC_REQ_ENGAGE_E
Set lvcd_enum_parkBrakeStatus to LVC_STATUS_ERROR_E
Set lvcd_enum_loadJoystick to LVC_UNLOAD_E
Set lvcd_enum_loadingStep to LVC_LOAD_STAGE48_E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0
Set smd_enum_safetyMode to SM_FAIL_PASSIVE_E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</si>
  <si>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1008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24
Verify mmd_flg_neutralFailed is 0
Verify mmd_flg_turretLockFailed is 0
Verify mmd_flg_turretUnLockFailed is 0
Verify mmd_bm_illegalTransReqst is 0
Verify mmd_bm_reasonLoadCompleteDenied is 0</t>
  </si>
  <si>
    <t>At cycle 1009 For 1 cycles
Set isd_enum_initStatus to IS_INIT_COMPLETED_E
Set lvcd_enum_turretLockStatus to LVC_UNLOCKED_E
Set lvcd_enum_ignitionKeyStatus to LVC_IGNITION_OFF_E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DB_STEER_METHOD_UNAVAILABLE_E
Set ntd_flg_neutralDisabled to 0
Set emd_flg_lvcModeApproved to 1
Set dcd_flg_speedFLValid to 1
Set dcd_vel_tugWsFL_mps to 25
Set dcd_flg_speedRLValid to 1
Set dcd_vel_tugWsRL_mps to 25
Set dcd_flg_speedFRValid to 1
Set dcd_vel_tugWsFR_mps to 25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</si>
  <si>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1009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17
Verify mmd_flg_neutralFailed is 0
Verify mmd_flg_turretLockFailed is 0
Verify mmd_flg_turretUnLockFailed is 0
Verify mmd_bm_illegalTransReqst is 0
Verify mmd_bm_reasonLoadCompleteDenied is 0</t>
  </si>
  <si>
    <t>At cycle 1010 For 1 cycles
Set isd_enum_initStatus to IS_INIT_COMPLETED_E
Set lvcd_enum_turretLockStatus to LVC_UNLOCKED_E
Set lvcd_enum_ignitionKeyStatus to LVC_IGNITION_ON_E
Set lvcd_enum_fwdNeuRevPos to LVC_NEUTRAL_E
Set lvcd_enum_parkBrkReq to LVC_REQ_DISENGAGE_E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</si>
  <si>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1010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4
Verify mmd_flg_neutralFailed is 0
Verify mmd_flg_turretLockFailed is 0
Verify mmd_flg_turretUnLockFailed is 0
Verify mmd_bm_illegalTransReqst is 0
Verify mmd_bm_reasonLoadCompleteDenied is 0</t>
  </si>
  <si>
    <t>At cycle 1011 For 1 cycles
Set isd_enum_initStatus to IS_INIT_COMPLETED_E
Set lvcd_enum_turretLockStatus to LVC_UNLOCKED_E
Set lvcd_enum_ignitionKeyStatus to LVC_IGNITION_ON2_E
Set lvcd_enum_fwdNeuRevPos to LVC_NEUTRAL_E
Set lvcd_enum_parkBrkReq to LVC_REQ_NOT_AVAILABLE_E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</si>
  <si>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1011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20
Verify mmd_flg_neutralFailed is 0
Verify mmd_flg_turretLockFailed is 0
Verify mmd_flg_turretUnLockFailed is 0
Verify mmd_bm_illegalTransReqst is 0
Verify mmd_bm_reasonLoadCompleteDenied is 0</t>
  </si>
  <si>
    <t>At cycle 1012 For 1 cycles
Set isd_enum_initStatus to IS_INIT_COMPLETED_E
Set lvcd_enum_turretLockStatus to LVC_LOCKED_E
Set lvcd_enum_ignitionKeyStatus to LVC_IGNITION_ERROR_E
Set lvcd_enum_fwdNeuRevPos to LVC_NEUTRAL_E
Set lvcd_enum_parkBrkReq to LVC_REQ_ERROR_E
Set lvcd_enum_parkBrakeStatus to LVC_APPLIED_E
Set lvcd_enum_loadJoystick to LVC_UNLOAD_E
Set lvcd_enum_loadingStep to LVC_LOAD_STAGE48_E
Set lvcd_enum_pinStatus to LVC_PIN_OUT_E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</si>
  <si>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1012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20
Verify mmd_flg_neutralFailed is 0
Verify mmd_flg_turretLockFailed is 0
Verify mmd_flg_turretUnLockFailed is 0
Verify mmd_bm_illegalTransReqst is 0
Verify mmd_bm_reasonLoadCompleteDenied is 0</t>
  </si>
  <si>
    <t>At cycle 1
During initialization verify that Modes Manager outputs are set to default values</t>
  </si>
  <si>
    <t>At cycle 2
Change the system mode from INIT to SHUTDOWN</t>
  </si>
  <si>
    <t>At cycle 1
When system is in INIT mode, init status is not completed. So mode transition will not happen to LVC/Shutdown</t>
  </si>
  <si>
    <t>At cycle 1004
Mode transition not happened, so deny logic applied to find the reason</t>
  </si>
  <si>
    <t>At cycle 1005
Mode transition not happened, so deny logic applied to find the reason</t>
  </si>
  <si>
    <t>At cycle 1006
Mode transition not happened, so deny logic applied to find the reason</t>
  </si>
  <si>
    <t>At cycle 1007
Mode transition not happened, so deny logic applied to find the reason
At cycle 1008
Mode transition not happened, so deny logic applied to find the reason</t>
  </si>
  <si>
    <t>At cycle 1009
Mode transition not happened, so deny logic applied to find the reason</t>
  </si>
  <si>
    <t>At cycle 1010
Mode transition not happened, so deny logic applied to find the reason</t>
  </si>
  <si>
    <t>At cycle 1011
Mode transition not happened, so deny logic applied to find the reason</t>
  </si>
  <si>
    <t>At cycle 1012
Mode transition not happened, so deny logic applied to find the reason</t>
  </si>
  <si>
    <t>At cycle 1013
Mode transition not happened, so deny logic applied to find the reason</t>
  </si>
  <si>
    <t>At cycle 1014
Mode transition not happened, so deny logic applied to find the reason</t>
  </si>
  <si>
    <t>At cycle 1015
Mode transition not happened, so deny logic applied to find the reason
At cycle 1016
Mode transition not happened, so deny logic applied to find the reason
At cycle 1017
Mode transition not happened, so deny logic applied to find the reason</t>
  </si>
  <si>
    <t>At cycle 1018
Mode transition not happened, so deny logic applied to find the reason</t>
  </si>
  <si>
    <t>At cycle 1019
Mode transition not happened, so deny logic applied to find the reason</t>
  </si>
  <si>
    <t>At cycle 1020
Mode transition not happened, so deny logic applied to find the reason</t>
  </si>
  <si>
    <t>At cycle 1021
Mode transition not happened, so deny logic applied to find the reason</t>
  </si>
  <si>
    <t>At cycle 1022
Mode transition not happened, so deny logic applied to find the reason</t>
  </si>
  <si>
    <t>At cycle 1023
Mode transition not happened, so deny logic applied to find the reason</t>
  </si>
  <si>
    <t>At cycle 1024
Mode transition not happened, so deny logic applied to find the reason</t>
  </si>
  <si>
    <t>At cycle 1025
Mode transition not happened, so deny logic applied to find the reason</t>
  </si>
  <si>
    <t>At cycle 1026
Mode transition not happened, so deny logic applied to find the reason</t>
  </si>
  <si>
    <t>At cycle 1027
Mode transition not happened, so deny logic applied to find the reason</t>
  </si>
  <si>
    <t>At cycle 1028
Mode transition not happened, so deny logic applied to find the reason</t>
  </si>
  <si>
    <t>At cycle 1029
Mode transition not happened, so deny logic applied to find the reason</t>
  </si>
  <si>
    <t>At cycle 1030
Mode transition not happened, so deny logic applied to find the reason</t>
  </si>
  <si>
    <t>At cycle 1031
Mode transition not happened, so deny logic applied to find the reason</t>
  </si>
  <si>
    <t>At cycle 1032
Mode transition not happened, so deny logic applied to find the reason</t>
  </si>
  <si>
    <t>At cycle 1033
Mode transition not happened, so deny logic applied to find the reason
At cycle 1034
Mode transition not happened, so deny logic applied to find the reason
At cycle 1035
Mode transition not happened, so deny logic applied to find the reason</t>
  </si>
  <si>
    <t>At cycle 1036
Mode transition not happened, so deny logic applied to find the reason
At cycle 1037
Mode transition not happened, so deny logic applied to find the reason</t>
  </si>
  <si>
    <t>At cycle 1038
Mode transition not happened, so deny logic applied to find the reason
At cycle 1039
Mode transition not happened, so deny logic applied to find the reason</t>
  </si>
  <si>
    <t>At cycle 1040
Mode transition not happened, so deny logic applied to find the reason
At cycle 1041
Mode transition not happened, so deny logic applied to find the reason</t>
  </si>
  <si>
    <t>At cycle 1042
Mode transition not happened, so deny logic applied to find the reason
At cycle 1043
Mode transition not happened, so deny logic applied to find the reason</t>
  </si>
  <si>
    <t>At cycle 1044
Mode transition not happened, so deny logic applied to find the reason
At cycle 1045
Mode transition not happened, so deny logic applied to find the reason</t>
  </si>
  <si>
    <t>At cycle 1046
Mode transition not happened, so deny logic applied to find the reason
At cycle 1047
Mode transition not happened, so deny logic applied to find the reason</t>
  </si>
  <si>
    <t>At cycle 1048
Mode transition not happened, so deny logic applied to find the reason
At cycle 1049
Mode transition not happened, so deny logic applied to find the reason</t>
  </si>
  <si>
    <t>At cycle 1050
Mode transition not happened, so deny logic applied to find the reason
At cycle 1051
Mode transition not happened, so deny logic applied to find the reason</t>
  </si>
  <si>
    <t>At cycle 1052
Mode transition not happened, so deny logic applied to find the reason
At cycle 1053
Mode transition not happened, so deny logic applied to find the reason</t>
  </si>
  <si>
    <t>At cycle 1054
Mode transition not happened, so deny logic applied to find the reason
At cycle 1055
Mode transition not happened, so deny logic applied to find the reason</t>
  </si>
  <si>
    <t>At cycle 1056
Mode transition not happened, so deny logic applied to find the reason
At cycle 1057
Mode transition not happened, so deny logic applied to find the reason</t>
  </si>
  <si>
    <t>At cycle 1058
Mode transition not happened, so deny logic applied to find the reason
At cycle 1059
Mode transition not happened, so deny logic applied to find the reason</t>
  </si>
  <si>
    <t>At cycle 1060
Mode transition not happened, so deny logic applied to find the reason
At cycle 1061
Mode transition not happened, so deny logic applied to find the reason</t>
  </si>
  <si>
    <t>At cycle 1062
Mode transition not happened, so deny logic applied to find the reason
At cycle 1063
Mode transition not happened, so deny logic applied to find the reason</t>
  </si>
  <si>
    <t>At cycle 1064
Mode transition not happened, so deny logic applied to find the reason
At cycle 1065
Mode transition not happened, so deny logic applied to find the reason</t>
  </si>
  <si>
    <t>At cycle 1066
Mode transition not happened, so deny logic applied to find the reason
At cycle 1067
Mode transition not happened, so deny logic applied to find the reason</t>
  </si>
  <si>
    <t>At cycle 1068
Mode transition not happened, so deny logic applied to find the reason
At cycle 1069
Mode transition not happened, so deny logic applied to find the reason</t>
  </si>
  <si>
    <t>At cycle 1070
Mode transition not happened, so deny logic applied to find the reason
At cycle 1071
Mode transition not happened, so deny logic applied to find the reason</t>
  </si>
  <si>
    <t>At cycle 1072
Mode transition not happened, so deny logic applied to find the reason
At cycle 1073
Mode transition not happened, so deny logic applied to find the reason</t>
  </si>
  <si>
    <t>At cycle 1074
Mode transition not happened, so deny logic applied to find the reason
At cycle 1075
Mode transition not happened, so deny logic applied to find the reason</t>
  </si>
  <si>
    <t>At cycle 1076
Mode transition not happened, so deny logic applied to find the reason
At cycle 1077
Mode transition not happened, so deny logic applied to find the reason</t>
  </si>
  <si>
    <t>At cycle 1078
Mode transition not happened, so deny logic applied to find the reason
At cycle 1079
Mode transition not happened, so deny logic applied to find the reason</t>
  </si>
  <si>
    <t>At cycle 1080
Mode transition not happened, so deny logic applied to find the reason</t>
  </si>
  <si>
    <t>At cycle 1081
Mode transition not happened, so deny logic applied to find the reason</t>
  </si>
  <si>
    <t>At cycle 1082
Mode transition not happened, so deny logic applied to find the reason</t>
  </si>
  <si>
    <t>At cycle 1083
Mode transition not happened, so deny logic applied to find the reason</t>
  </si>
  <si>
    <t>At cycle 1084
Mode transition not happened, so deny logic applied to find the reason</t>
  </si>
  <si>
    <t>At cycle 1085
Mode transition not happened, so deny logic applied to find the reason</t>
  </si>
  <si>
    <t>At cycle 1086
Mode transition not happened, so deny logic applied to find the reason</t>
  </si>
  <si>
    <t>At cycle 1087
Mode transition not happened, so deny logic applied to find the reason</t>
  </si>
  <si>
    <t>At cycle 1088
Mode transition not happened, so deny logic applied to find the reason</t>
  </si>
  <si>
    <t>At cycle 1089
Mode transition not happened, so deny logic applied to find the reason</t>
  </si>
  <si>
    <t>At cycle 1090
Mode transition not happened, so deny logic applied to find the reason</t>
  </si>
  <si>
    <t>At cycle 1091
Mode transition not happened, so deny logic applied to find the reason</t>
  </si>
  <si>
    <t>At cycle 1092
Mode transition not happened, so deny logic applied to find the reason</t>
  </si>
  <si>
    <t>At cycle 1093
Mode transition not happened, so deny logic applied to find the reason</t>
  </si>
  <si>
    <t>At cycle 1094
Mode transition not happened, so deny logic applied to find the reason</t>
  </si>
  <si>
    <t>At cycle 1095
TURRET_UNLOCK mode request from Pre-mission is accepted</t>
  </si>
  <si>
    <t>At cycle 1096
System is in TURRET_UNLOCK mode
At cycle 1097
Pre-mission mode requested from TURRET_UNLOCK is accepted</t>
  </si>
  <si>
    <t>At cycle 1098
TURRET_UNLOCK mode request from Pre-mission is accepted</t>
  </si>
  <si>
    <t>At cycle 1600
Preset for taking the system to TURRET_UNLOCK state</t>
  </si>
  <si>
    <t>At cycle 2102
Preset for taking the system to TURRET_UNLOCK state</t>
  </si>
  <si>
    <t>At cycle 2606
TURRET_LOCK mode request from DCM is accepted</t>
  </si>
  <si>
    <t>At cycle 2609
Pre-Condition for taking the system to DCM mode
At cycle 2610
DCM-TAS mode is requested from Pre-mission, so system mode changed to DCM-TAS.</t>
  </si>
  <si>
    <t>At cycle 2611
PCM and LVC mode requests are not accepted from DCM-TAS, so PCM and UNLOAD deny logic is activated.</t>
  </si>
  <si>
    <t>At cycle 2612
LVC mode request is not accepted from DCM-TAS, so UNLOAD deny logic is activated.</t>
  </si>
  <si>
    <t>At cycle 2613
LVC mode request is not accepted from DCM-TAS, so UNLOAD deny logic is activated.</t>
  </si>
  <si>
    <t>At cycle 2614
LVC mode request is not accepted from DCM-TAS, so UNLOAD deny logic is activated.</t>
  </si>
  <si>
    <t>At cycle 2615
LVC mode request is not accepted from DCM-TAS, so UNLOAD deny logic is activated.</t>
  </si>
  <si>
    <t>At cycle 2616
LVC mode request is not accepted from DCM-TAS, so UNLOAD deny logic is activated.</t>
  </si>
  <si>
    <t>At cycle 2617
LVC mode request is not accepted from DCM-TAS, so UNLOAD deny logic is activated.</t>
  </si>
  <si>
    <t>At cycle 2618
LVC mode request is not accepted from DCM-TAS, so UNLOAD deny logic is activated.</t>
  </si>
  <si>
    <t>At cycle 2619
LVC mode request is not accepted from DCM-TAS, so UNLOAD deny logic is activated.</t>
  </si>
  <si>
    <t>At cycle 2620
LVC mode request is not accepted from DCM-TAS, so UNLOAD deny logic is activated.</t>
  </si>
  <si>
    <t>At cycle 2621
PCM mode request is not accepted from DCM-TAS, so PCM deny logic is activated.</t>
  </si>
  <si>
    <t>At cycle 2622
PCM mode request is not accepted from DCM-TAS, so PCM deny logic is activated.</t>
  </si>
  <si>
    <t>At cycle 2623
PCM mode request is not accepted from DCM-TAS, so PCM deny logic is activated.</t>
  </si>
  <si>
    <t>At cycle 2624
PCM mode request is not accepted from DCM-TAS, so PCM deny logic is activated.</t>
  </si>
  <si>
    <t>At cycle 2625
PCM mode request is not accepted from DCM-TAS, so PCM deny logic is activated.</t>
  </si>
  <si>
    <t>At cycle 2626
PCM mode request is not accepted from DCM-TAS, so PCM deny logic is activated.</t>
  </si>
  <si>
    <t>At cycle 2627
PCM mode request is not accepted from DCM-TAS, so PCM deny logic is activated.</t>
  </si>
  <si>
    <t>At cycle 2628
PCM mode request is not accepted from DCM-TAS, so PCM deny logic is activated.</t>
  </si>
  <si>
    <t>At cycle 2629
PCM mode request is not accepted from DCM-TAS, so PCM deny logic is activated.</t>
  </si>
  <si>
    <t>At cycle 2630
PCM mode request is not accepted from DCM-TAS, so PCM deny logic is activated.</t>
  </si>
  <si>
    <t>At cycle 2631
PCM mode request is not accepted from DCM-TAS, so PCM deny logic is activated.</t>
  </si>
  <si>
    <t>At cycle 2632
PCM mode request is not accepted from DCM-TAS, so PCM deny logic is activated.</t>
  </si>
  <si>
    <t>At cycle 2633
PCM mode request is not accepted from DCM-TAS, so PCM deny logic is activated.</t>
  </si>
  <si>
    <t>At cycle 2634
PCM mode request is not accepted from DCM-TAS, so PCM deny logic is activated.</t>
  </si>
  <si>
    <t>At cycle 2635
PCM mode request is not accepted from DCM-TAS, so PCM deny logic is activated.</t>
  </si>
  <si>
    <t>At cycle 2636
PCM mode request is not accepted from DCM-TAS, so PCM deny logic is activated.</t>
  </si>
  <si>
    <t>At cycle 2637
PCM mode request is not accepted from DCM-TAS, so PCM deny logic is activated.</t>
  </si>
  <si>
    <t>At cycle 2638
PCM mode request is not accepted from DCM-TAS, so PCM deny logic is activated.</t>
  </si>
  <si>
    <t>At cycle 2639
PCM mode request is not accepted from DCM-TAS, so PCM deny logic is activated.</t>
  </si>
  <si>
    <t>At cycle 2640
PCM mode request is not accepted from DCM-TAS, so PCM deny logic is activated.</t>
  </si>
  <si>
    <t>At cycle 2641
PCM mode request is not accepted from DCM-TAS, so PCM deny logic is activated.</t>
  </si>
  <si>
    <t>At cycle 2642
PCM mode request is not accepted from DCM-TAS, so PCM deny logic is activated.</t>
  </si>
  <si>
    <t>At cycle 2643
PCM mode request is not accepted from DCM-TAS, so PCM deny logic is activated.</t>
  </si>
  <si>
    <t>At cycle 2644
PCM mode request is not accepted from DCM-TAS, so PCM deny logic is activated.</t>
  </si>
  <si>
    <t>At cycle 2645
PCM mode request is not accepted from DCM-TAS, so PCM deny logic is activated.</t>
  </si>
  <si>
    <t>At cycle 2646
PCM mode request is not accepted from DCM-TAS, so PCM deny logic is activated.</t>
  </si>
  <si>
    <t>At cycle 2647
PCM mode request is not accepted from DCM-TAS, so PCM deny logic is activated.</t>
  </si>
  <si>
    <t>At cycle 2648
PCM mode request is not accepted from DCM-TAS, so PCM deny logic is activated.</t>
  </si>
  <si>
    <t>At cycle 2649
PCM mode request is not accepted from DCM-TAS, so PCM deny logic is activated.</t>
  </si>
  <si>
    <t>At cycle 2650
PCM mode request is not accepted from DCM-TAS, so PCM deny logic is activated.</t>
  </si>
  <si>
    <t>At cycle 2651
PCM mode request is not accepted from DCM-TAS, so PCM deny logic is activated.</t>
  </si>
  <si>
    <t>At cycle 2652
None of the modes are requested from DCM-TAS, but deny logic for PCM request is still active, so activate deny logic for PCM.</t>
  </si>
  <si>
    <t>At cycle 2653
None of the modes are requested from DCM-TAS, but deny logic for PCM request is still active, so activate deny logic for PCM.</t>
  </si>
  <si>
    <t>At cycle 2654
PCM mode request is not accepted from DCM-TAS, so PCM deny logic is activated.</t>
  </si>
  <si>
    <t>At cycle 2655
PCM mode request is not accepted from DCM-TAS, so PCM deny logic is activated.</t>
  </si>
  <si>
    <t>At cycle 2656
PCM mode request is not accepted from DCM-TAS, so PCM deny logic is activated.</t>
  </si>
  <si>
    <t>At cycle 2657
PCM mode request is not accepted from DCM-TAS, so PCM deny logic is activated.</t>
  </si>
  <si>
    <t>At cycle 2658
PCM mode request is not accepted from DCM-TAS, so PCM deny logic is activated.</t>
  </si>
  <si>
    <t>At cycle 2659
PCM and LVC mode requests are not accepted from DCM-TAS, so PCM and UNLOAD deny logic is activated.</t>
  </si>
  <si>
    <t>At cycle 2660
PCM and LVC mode requests are not accepted from DCM-TAS, so PCM and UNLOAD deny logic is activated.</t>
  </si>
  <si>
    <t>At cycle 2661
PCM and LVC mode requests are not accepted from DCM-TAS, so PCM and UNLOAD deny logic is activated.</t>
  </si>
  <si>
    <t>At cycle 2662
PCM and LVC mode requests are not accepted from DCM-TAS, so PCM and UNLOAD deny logic is activated.</t>
  </si>
  <si>
    <t>At cycle 2663
PCM and LVC mode requests are not accepted from DCM-TAS, so PCM and UNLOAD deny logic is activated.</t>
  </si>
  <si>
    <t>At cycle 2664
PCM and LVC mode requests are not accepted from DCM-TAS, so PCM and UNLOAD deny logic is activated.</t>
  </si>
  <si>
    <t>At cycle 2665
PCM and LVC mode requests are not accepted from DCM-TAS, so PCM and UNLOAD deny logic is activated.</t>
  </si>
  <si>
    <t>At cycle 2666
PCM mode request is not accepted from DCM-TAS, so PCM deny logic is activated.</t>
  </si>
  <si>
    <t>At cycle 2667
PCM mode request is not accepted from DCM-TAS, so PCM deny logic is activated.</t>
  </si>
  <si>
    <t>At cycle 2668
None of the modes are requested from DCM-TAS, but deny logic for PCM request is still active, so activate deny logic for PCM.</t>
  </si>
  <si>
    <t>At cycle 2669
None of the modes are requested from DCM-TAS, but deny logic for PCM request is still active, so activate deny logic for PCM.</t>
  </si>
  <si>
    <t>At cycle 2670
PCM and LVC mode requests are not accepted from DCM-TAS, so PCM and UNLOAD deny logic is activated.</t>
  </si>
  <si>
    <t>At cycle 2671
None of the modes are requested from DCM-TAS, but deny logic for PCM and UNLOAD request is still active, so activate deny logic for PCM and UNLOAD.
At cycle 2672
None of the modes are requested from DCM-TAS, but deny logic for PCM and UNLOAD request is still active, so activate deny logic for PCM and UNLOAD.</t>
  </si>
  <si>
    <t>TXB-HLC-TC_6311
TXB-HLC-TC_6524
TXB-HLC-TC_6311
TXB-HLC-TC_6524</t>
  </si>
  <si>
    <t>At cycle 2673
None of the modes are requested from DCM-TAS, but deny logic for PCM and UNLOAD request is still active, so activate deny logic for PCM and UNLOAD.</t>
  </si>
  <si>
    <t>At cycle 2674
PCM mode request is not accepted from DCM-TAS, so PCM deny logic is activated.</t>
  </si>
  <si>
    <t>At cycle 2675
None of the modes are requested from DCM-TAS, but deny logic for PCM request is still active, so activate deny logic for PCM.</t>
  </si>
  <si>
    <t>At cycle 2676
None of the modes are requested from DCM-TAS, but deny logic for PCM request is still active, so activate deny logic for PCM.</t>
  </si>
  <si>
    <t>At cycle 2677
PCM mode request is not accepted from DCM-TAS, so PCM deny logic is activated.</t>
  </si>
  <si>
    <t>At cycle 2678
None of the modes are requested from DCM-TAS, but deny logic for PCM request is still active, so activate deny logic for PCM.</t>
  </si>
  <si>
    <t>At cycle 2679
None of the modes are requested from DCM-TAS, but deny logic for PCM request is still active, so activate deny logic for PCM.</t>
  </si>
  <si>
    <t>At cycle 2680
None of the modes are requested from DCM-TAS, but deny logic for PCM request is still active, so activate deny logic for PCM.</t>
  </si>
  <si>
    <t>At cycle 2681
None of the modes are requested from DCM-TAS, but deny logic for PCM request is still active, so activate deny logic for PCM.</t>
  </si>
  <si>
    <t>At cycle 2682
None of the modes are requested from DCM-TAS, but deny logic for PCM request is still active, so activate deny logic for PCM.</t>
  </si>
  <si>
    <t>At cycle 2683
PCM mode request is not accepted from DCM-TAS, so PCM deny logic is activated.</t>
  </si>
  <si>
    <t>At cycle 2684
LVC mode request is not accepted from DCM-TAS, so UNLOAD deny logic is activated.</t>
  </si>
  <si>
    <t>At cycle 2685
None of the modes are requested from DCM-TAS, but deny logic for UNLOAD request is still active, so activate deny logic for UNLOAD.</t>
  </si>
  <si>
    <t>At cycle 2686
None of the modes are requested from DCM-TAS, but deny logic for UNLOAD request is still active, so activate deny logic for UNLOAD.</t>
  </si>
  <si>
    <t>At cycle 2687
None of the modes are requested from DCM-TAS, but deny logic for UNLOAD request is still active, so activate deny logic for UNLOAD.</t>
  </si>
  <si>
    <t>At cycle 2688
None of the modes are requested from DCM-TAS, but deny logic for UNLOAD request is still active, so activate deny logic for UNLOAD.</t>
  </si>
  <si>
    <t>At cycle 2689
PCM mode request is not accepted from DCM-TAS, so PCM deny logic is activated.</t>
  </si>
  <si>
    <t>At cycle 2690
None of the modes are requested from DCM-TAS, but deny logic for PCM request is still active, so activate deny logic for PCM.</t>
  </si>
  <si>
    <t>At cycle 3597
Ignition set to OFF, so system moves to SHUTDOWN state from DCM</t>
  </si>
  <si>
    <t>At cycle 1004
DCM-BW mode is requested from Pre-mission, so system mode changed to DCM-BW.</t>
  </si>
  <si>
    <t>At cycle 1006
PCM and LVC mode requests are not accepted from DCM-BW, so PCM and UNLOAD deny logic is activated.</t>
  </si>
  <si>
    <t>At cycle 1007
LVC mode request is not accepted from DCM-BW, so UNLOAD deny logic is activated.</t>
  </si>
  <si>
    <t>At cycle 1008
LVC mode request is not accepted from DCM-BW, so UNLOAD deny logic is activated.</t>
  </si>
  <si>
    <t>At cycle 1009
LVC mode request is not accepted from DCM-BW, so UNLOAD deny logic is activated.</t>
  </si>
  <si>
    <t>At cycle 1010
LVC mode request is not accepted from DCM-BW, so UNLOAD deny logic is activated.</t>
  </si>
  <si>
    <t>At cycle 1011
LVC mode request is not accepted from DCM-BW, so UNLOAD deny logic is activated.</t>
  </si>
  <si>
    <t>At cycle 1012
LVC mode request is not accepted from DCM-BW, so UNLOAD deny logic is activated.</t>
  </si>
  <si>
    <t>At cycle 1013
LVC mode request is not accepted from DCM-BW, so UNLOAD deny logic is activated.</t>
  </si>
  <si>
    <t>At cycle 1014
LVC mode request is not accepted from DCM-BW, so UNLOAD deny logic is activated.</t>
  </si>
  <si>
    <t>At cycle 1015
LVC mode request is not accepted from DCM-BW, so UNLOAD deny logic is activated.</t>
  </si>
  <si>
    <t>At cycle 1016
PCM mode request is not accepted from DCM-BW, so PCM deny logic is activated.</t>
  </si>
  <si>
    <t>At cycle 1017
PCM mode request is not accepted from DCM-BW, so PCM deny logic is activated.</t>
  </si>
  <si>
    <t>At cycle 1018
PCM mode request is not accepted from DCM-BW, so PCM deny logic is activated.</t>
  </si>
  <si>
    <t>At cycle 1019
PCM mode request is not accepted from DCM-BW, so PCM deny logic is activated.</t>
  </si>
  <si>
    <t>At cycle 1020
PCM mode request is not accepted from DCM-BW, so PCM deny logic is activated.</t>
  </si>
  <si>
    <t>At cycle 1021
PCM mode request is not accepted from DCM-BW, so PCM deny logic is activated.</t>
  </si>
  <si>
    <t>At cycle 1022
PCM mode request is not accepted from DCM-BW, so PCM deny logic is activated.</t>
  </si>
  <si>
    <t>At cycle 1023
PCM mode request is not accepted from DCM-BW, so PCM deny logic is activated.</t>
  </si>
  <si>
    <t>At cycle 1024
PCM mode request is not accepted from DCM-BW, so PCM deny logic is activated.</t>
  </si>
  <si>
    <t>At cycle 1025
PCM mode request is not accepted from DCM-BW, so PCM deny logic is activated.</t>
  </si>
  <si>
    <t>At cycle 1026
PCM mode request is not accepted from DCM-BW, so PCM deny logic is activated.</t>
  </si>
  <si>
    <t>At cycle 1027
PCM mode request is not accepted from DCM-BW, so PCM deny logic is activated.</t>
  </si>
  <si>
    <t>At cycle 1028
PCM mode request is not accepted from DCM-BW, so PCM deny logic is activated.</t>
  </si>
  <si>
    <t>At cycle 1029
PCM mode request is not accepted from DCM-BW, so PCM deny logic is activated.</t>
  </si>
  <si>
    <t>At cycle 1030
PCM mode request is not accepted from DCM-BW, so PCM deny logic is activated.</t>
  </si>
  <si>
    <t>At cycle 1031
PCM mode request is not accepted from DCM-BW, so PCM deny logic is activated.</t>
  </si>
  <si>
    <t>At cycle 1032
PCM mode request is not accepted from DCM-BW, so PCM deny logic is activated.</t>
  </si>
  <si>
    <t>At cycle 1033
PCM mode request is not accepted from DCM-BW, so PCM deny logic is activated.</t>
  </si>
  <si>
    <t>At cycle 1034
PCM mode request is not accepted from DCM-BW, so PCM deny logic is activated.</t>
  </si>
  <si>
    <t>At cycle 1035
PCM mode request is not accepted from DCM-BW, so PCM deny logic is activated.</t>
  </si>
  <si>
    <t>At cycle 1036
PCM mode request is not accepted from DCM-BW, so PCM deny logic is activated.</t>
  </si>
  <si>
    <t>At cycle 1037
PCM mode request is not accepted from DCM-BW, so PCM deny logic is activated.</t>
  </si>
  <si>
    <t>At cycle 1038
PCM mode request is not accepted from DCM-BW, so PCM deny logic is activated.</t>
  </si>
  <si>
    <t>At cycle 1039
PCM mode request is not accepted from DCM-BW, so PCM deny logic is activated.</t>
  </si>
  <si>
    <t>At cycle 1040
PCM mode request is not accepted from DCM-BW, so PCM deny logic is activated.</t>
  </si>
  <si>
    <t>At cycle 1041
PCM mode request is not accepted from DCM-BW, so PCM deny logic is activated.</t>
  </si>
  <si>
    <t>At cycle 1042
PCM mode request is not accepted from DCM-BW, so PCM deny logic is activated.</t>
  </si>
  <si>
    <t>At cycle 1043
PCM mode request is not accepted from DCM-BW, so PCM deny logic is activated.</t>
  </si>
  <si>
    <t>At cycle 1044
PCM mode request is not accepted from DCM-BW, so PCM deny logic is activated.</t>
  </si>
  <si>
    <t>At cycle 1045
PCM mode request is not accepted from DCM-BW, so PCM deny logic is activated.</t>
  </si>
  <si>
    <t>At cycle 1046
None of the modes are requested from DCM-BW, but deny logic for PCM request is still active, so activate deny logic for PCM.</t>
  </si>
  <si>
    <t>At cycle 1047
None of the modes are requested from DCM-BW, but deny logic for PCM request is still active, so activate deny logic for PCM.</t>
  </si>
  <si>
    <t>At cycle 1048
PCM mode request is not accepted from DCM-BW, so PCM deny logic is activated.</t>
  </si>
  <si>
    <t>At cycle 1049
PCM mode request is not accepted from DCM-BW, so PCM deny logic is activated.</t>
  </si>
  <si>
    <t>At cycle 1050
PCM mode request is not accepted from DCM-BW, so PCM deny logic is activated.</t>
  </si>
  <si>
    <t>At cycle 1051
PCM mode request is not accepted from DCM-BW, so PCM deny logic is activated.</t>
  </si>
  <si>
    <t>At cycle 1052
PCM mode request is not accepted from DCM-BW, so PCM deny logic is activated.</t>
  </si>
  <si>
    <t>At cycle 1053
PCM and LVC mode requests are not accepted from DCM-BW, so PCM and UNLOAD deny logic is activated.</t>
  </si>
  <si>
    <t>At cycle 1054
PCM and LVC mode requests are not accepted from DCM-BW, so PCM and UNLOAD deny logic is activated.</t>
  </si>
  <si>
    <t>At cycle 1055
PCM and LVC mode requests are not accepted from DCM-BW, so PCM and UNLOAD deny logic is activated.</t>
  </si>
  <si>
    <t>At cycle 1056
PCM and LVC mode requests are not accepted from DCM-BW, so PCM and UNLOAD deny logic is activated.</t>
  </si>
  <si>
    <t>At cycle 1057
PCM and LVC mode requests are not accepted from DCM-BW, so PCM and UNLOAD deny logic is activated.</t>
  </si>
  <si>
    <t>At cycle 1058
PCM and LVC mode requests are not accepted from DCM-BW, so PCM and UNLOAD deny logic is activated.</t>
  </si>
  <si>
    <t>At cycle 1059
PCM and LVC mode requests are not accepted from DCM-BW, so PCM and UNLOAD deny logic is activated.</t>
  </si>
  <si>
    <t>At cycle 1060
PCM mode request is not accepted from DCM-BW, so PCM deny logic is activated.</t>
  </si>
  <si>
    <t>At cycle 1061
PCM mode request is not accepted from DCM-BW, so PCM deny logic is activated.</t>
  </si>
  <si>
    <t>At cycle 1062
None of the modes are requested from DCM-BW, but deny logic for PCM request is still active, so activate deny logic for PCM.</t>
  </si>
  <si>
    <t>At cycle 1063
None of the modes are requested from DCM-BW, but deny logic for PCM request is still active, so activate deny logic for PCM.</t>
  </si>
  <si>
    <t>At cycle 1064
PCM and LVC mode requests are not accepted from DCM-BW, so PCM and UNLOAD deny logic is activated.</t>
  </si>
  <si>
    <t>At cycle 1065
None of the modes are requested from DCM-BW, but deny logic for PCM and UNLOAD request is still active, so activate deny logic for PCM and UNLOAD.
At cycle 1066
None of the modes are requested from DCM-BW, but deny logic for PCM and UNLOAD request is still active, so activate deny logic for PCM and UNLOAD.</t>
  </si>
  <si>
    <t>At cycle 1067
None of the modes are requested from DCM-BW, but deny logic for PCM and UNLOAD request is still active, so activate deny logic for PCM and UNLOAD.</t>
  </si>
  <si>
    <t>At cycle 1068
PCM mode request is not accepted from DCM-BW, so PCM deny logic is activated.</t>
  </si>
  <si>
    <t>At cycle 1069
None of the modes are requested from DCM-BW, but deny logic for PCM request is still active, so activate deny logic for PCM.</t>
  </si>
  <si>
    <t>At cycle 1070
None of the modes are requested from DCM-BW, but deny logic for PCM request is still active, so activate deny logic for PCM.</t>
  </si>
  <si>
    <t>At cycle 1071
PCM mode request is not accepted from DCM-BW, so PCM deny logic is activated.</t>
  </si>
  <si>
    <t>At cycle 1072
None of the modes are requested from DCM-BW, but deny logic for PCM request is still active, so activate deny logic for PCM.</t>
  </si>
  <si>
    <t>At cycle 1073
None of the modes are requested from DCM-BW, but deny logic for PCM request is still active, so activate deny logic for PCM.</t>
  </si>
  <si>
    <t>At cycle 1074
None of the modes are requested from DCM-BW, but deny logic for PCM request is still active, so activate deny logic for PCM.</t>
  </si>
  <si>
    <t>At cycle 1075
None of the modes are requested from DCM-BW, but deny logic for PCM request is still active, so activate deny logic for PCM.</t>
  </si>
  <si>
    <t>At cycle 1076
None of the modes are requested from DCM-BW, but deny logic for PCM request is still active, so activate deny logic for PCM.</t>
  </si>
  <si>
    <t>At cycle 1077
PCM mode request is not accepted from DCM-BW, so PCM deny logic is activated.</t>
  </si>
  <si>
    <t>At cycle 1078
LVC mode request is not accepted from DCM-BW, so UNLOAD deny logic is activated.</t>
  </si>
  <si>
    <t>At cycle 1079
None of the modes are requested from DCM-BW, but deny logic for UNLOAD request is still active, so activate deny logic for UNLOAD.</t>
  </si>
  <si>
    <t>At cycle 1080
None of the modes are requested from DCM-BW, but deny logic for UNLOAD request is still active, so activate deny logic for UNLOAD.</t>
  </si>
  <si>
    <t>At cycle 1081
None of the modes are requested from DCM-BW, but deny logic for UNLOAD request is still active, so activate deny logic for UNLOAD.</t>
  </si>
  <si>
    <t>At cycle 1082
None of the modes are requested from DCM-BW, but deny logic for UNLOAD request is still active, so activate deny logic for UNLOAD.</t>
  </si>
  <si>
    <t>At cycle 1083
PCM mode request is not accepted from DCM-BW, so PCM deny logic is activated.</t>
  </si>
  <si>
    <t>At cycle 1084
None of the modes are requested from DCM-BW, but deny logic for PCM request is still active, so activate deny logic for PCM.</t>
  </si>
  <si>
    <t>At cycle 1995
TURRET_LOCK mode request is accepted from DCM, so state change happened to TURRET_LOCK.</t>
  </si>
  <si>
    <t>At cycle 1996
Turret is LOCKED, so state transition happened to PRE-MISSION.</t>
  </si>
  <si>
    <t>At cycle 1007
None of the modes are requested from PCM. So system is in PCM mode only. Also deny logics are not activated for none of the modes</t>
  </si>
  <si>
    <t>At cycle 1008
None of the modes are requested from PCM. So system is in PCM mode only. Also deny logics are not activated for none of the modes</t>
  </si>
  <si>
    <t>At cycle 1009
DCM mode request is not accepted, so deny logic is activated</t>
  </si>
  <si>
    <t>At cycle 1010
DCM mode request is not accepted, so deny logic is activated</t>
  </si>
  <si>
    <t>At cycle 1011
DCM mode request is not accepted, so deny logic is activated</t>
  </si>
  <si>
    <t>At cycle 1012
DCM mode request is not accepted, so deny logic is activated</t>
  </si>
  <si>
    <t>At cycle 1013
DCM mode request is not accepted, so deny logic is activated</t>
  </si>
  <si>
    <t>At cycle 1014
DCM mode request is not accepted, so deny logic is activated</t>
  </si>
  <si>
    <t xml:space="preserve">At cycle 1015
DCM mode and neutral mode requests are not accepted, so based on priority, DCM deny logic is activated. </t>
  </si>
  <si>
    <t>At cycle 1016
None of the modes are requested from PCM. So system is in PCM mode only. Also deny logics are not activated for none of the modes</t>
  </si>
  <si>
    <t>At cycle 1017
None of the modes are requested from PCM. So system is in PCM mode only. Also deny logics are not activated for none of the modes</t>
  </si>
  <si>
    <t>At cycle 1018
DCM mode request is not accepted, so deny logic is activated</t>
  </si>
  <si>
    <t>At cycle 1019
DCM mode request is not accepted, so deny logic is activated</t>
  </si>
  <si>
    <t>At cycle 1020
DCM mode request is not accepted, so deny logic is activated</t>
  </si>
  <si>
    <t>At cycle 1021
DCM mode request is not accepted, so deny logic is activated</t>
  </si>
  <si>
    <t>At cycle 1022
DCM mode request is not accepted, so deny logic is activated</t>
  </si>
  <si>
    <t>At cycle 1023
DCM mode request is not accepted, so deny logic is activated</t>
  </si>
  <si>
    <t>At cycle 1024
None of the modes are requested from PCM. So system is in PCM mode only. Also deny logic is applied for previously activated mode request</t>
  </si>
  <si>
    <t>At cycle 1025
DCM mode request is not accepted, so deny logic is activated</t>
  </si>
  <si>
    <t>At cycle 1026
None of the modes are requested from PCM. So system is in PCM mode only. Also deny logic is applied for previously activated mode request</t>
  </si>
  <si>
    <t>At cycle 1027
Neutral mode request is not accepted, so deny logic is activated</t>
  </si>
  <si>
    <t>At cycle 1028
Neutral mode request is not accepted, so deny logic is activated
At cycle 1029
None of the modes are requested from PCM. So system is in PCM mode only. Also deny logic is applied for previously activated mode request</t>
  </si>
  <si>
    <t>At cycle 1030
Neutral mode request is not accepted, so deny logic is activated
At cycle 1031
None of the modes are requested from PCM. So system is in PCM mode only. Also deny logic is applied for previously activated mode request</t>
  </si>
  <si>
    <t>At cycle 1941
DCM mode request is accepted, so mode transition happens to DCM from PCM</t>
  </si>
  <si>
    <t>At cycle 1942
Precondition for changing system mode to PCM</t>
  </si>
  <si>
    <t>At cycle 1943
Neutral mode request is accepted from PCM, so mode transition happens to Neutral</t>
  </si>
  <si>
    <t>At cycle 1944
shutdown mode request is accepted from Neutral, so mode transition happens to shutdown</t>
  </si>
  <si>
    <t>At cycle 1942
PCM mode request is accepted, so mode transition happens to PCM from DCM</t>
  </si>
  <si>
    <t>At cycle 1008
Neutral mode is not desabled, so mode transition does not happens after neutral mode delay time</t>
  </si>
  <si>
    <t>At cycle 3439
PCM mode request is accepted from Neutral, so system mode changed to PCM</t>
  </si>
  <si>
    <t>At cycle 3441
PCM mode request is accepted from Neutral, so system mode changed to PCM</t>
  </si>
  <si>
    <t xml:space="preserve">
At cycle 1998
DCM mode request is accepted from PRE-MISSION, so state transition happened to DCM.</t>
  </si>
  <si>
    <t xml:space="preserve">At cycle 1
Change the system mode from INIT to LVC
At cycle 502
This is to verify that once system enters into LVC mode if any illegal request comes, then illegal notification will be given </t>
  </si>
  <si>
    <t>At cycle 4056
DCM mode requested here, so override existing alarms PCM, Neutral. Also DCM is Invalid request from LVC mode, so set illegal transition.
At cycle 4057
None of the illegal mode transitions are requested here. So stop activating illegal transition after mmc_tm_illegalTransitionNotfcSetTime_cs.
At cycle 4360
Ignition key set to OFF, so shutdown the system</t>
  </si>
  <si>
    <t>At cycle 1
This is pre-condition for changing system mode to LVC
At cycle 1003
System mode changed to Pre-Mission</t>
  </si>
  <si>
    <t>At cycle 2692
Neutral mode is requested from DCM-TAS which is invalid mode request, so neutral mode illegal transition bits are activated.
At cycle 2696
Neutral mode is not requested from DCM-TAS, so neutral mode illegal transition bits will be deactivated after mmc_tm_illegalTransitionNotfcSetTime_cs.</t>
  </si>
  <si>
    <t>At cycle 2994
Neutral mode is requested from DCM-TAS which is invalid mode request, so neutral mode illegal transition bits are activated.
At cycle 2998
Neutral mode is not requested from DCM-TAS, so neutral mode illegal transition bits will be deactivated after mmc_tm_illegalTransitionNotfcSetTime_cs.
At cycle 3296
Neutral mode is requested from DCM-TAS which is invalid mode request, so neutral mode illegal transition bits are activated.
At cycle 3297
Neutral mode is not requested from DCM-TAS, so neutral mode illegal transition bits will be deactivated after mmc_tm_illegalTransitionNotfcSetTime_cs.</t>
  </si>
  <si>
    <t>At cycle 1
This is pre-condition for changing the system mode to Pre-Mission from INIT state.
At cycle 1003
System mode changed to Pre-Mission</t>
  </si>
  <si>
    <t>At cycle 1086
Neutral mode is requested from DCM-BW which is invalid mode request, so neutral mode illegal transition bits are activated.
At cycle 1090
Neutral mode is not requested from DCM-BW, so neutral mode illegal transition bits will be deactivated after mmc_tm_illegalTransitionNotfcSetTime_cs.</t>
  </si>
  <si>
    <t>At cycle 1391
Neutral mode is requested from DCM-BW which is invalid mode request, so neutral mode illegal transition bits are activated.
At cycle 1395
Neutral mode is not requested from DCM-BW, so neutral mode illegal transition bits will be deactivated after mmc_tm_illegalTransitionNotfcSetTime_cs.
At cycle 1693
Neutral mode is requested from DCM-BW which is invalid mode request, so neutral mode illegal transition bits are activated.
At cycle 1694
Neutral mode is not requested from DCM-BW, so neutral mode illegal transition bits will be deactivated after mmc_tm_illegalTransitionNotfcSetTime_cs.</t>
  </si>
  <si>
    <t>At cycle 2030
Neutral mode is requested from DCM-MAINTENANCE which is invalid mode request, so neutral mode illegal transition bits are activated.
At cycle 2034
Neutral mode is not requested from DCM-MAINTENANCE, so neutral mode illegal transition bits will be deactivated after mmc_tm_illegalTransitionNotfcSetTime_cs.</t>
  </si>
  <si>
    <t>At cycle 2939
PCM mode is requested from DCM-MAINTENANCE which is invalid mode request, so PCM mode illegal transition bits are activated.
At cycle 2943
PCM mode is not requested from DCM-MAINTENANCE, so PCM mode illegal transition bits will be deactivated after mmc_tm_illegalTransitionNotfcSetTime_cs.</t>
  </si>
  <si>
    <t xml:space="preserve">At cycle 1032
UNLOAD (LVC mode) is requested which is invalid mode request from PCM, so illegal notification flag will be activated. 
At cycle 1036
UNLOAD is not requested, so illegal notification flag will be deactivated after illegal transition notification time. 
At cycle 1336
UNLOAD is not requested for more than illegal transition notification time, so illegal notification flag deactivated </t>
  </si>
  <si>
    <t>At cycle 1011
1) Neutral mode is not disabled, so there is no mode transition.
2) Illegal mode UNLOAD (LVC Mode) is requested, so set illegal notification flag
At cycle 1015
Illegal mode UNLOAD (LVC Mode) is not requested, so illegal notification flag will reset after completion of illegal notification set time.
At cycle 1315
Illegal mode UNLOAD (LVC Mode) is not requested for more than illegal notification set time, so illegal notification flag will reset here.</t>
  </si>
  <si>
    <t>At cycle 1316
Illegal mode DCM is requested, so set illegal notification flag
At cycle 1320
Illegal mode DCM is not requested, so illegal notification flag will reset after completion of illegal notification set time.
At cycle 1620
Illegal mode DCM is not requested for more than illegal notification set time, so illegal notification flag will reset here.</t>
  </si>
  <si>
    <t>At cycle 2829
Illegal mode UNLOAD (LVC Mode) is requested, so illegal notification flag is set.
At cycle 2832
Illegal mode UNLOAD (LVC Mode) is requested and also DCM mode is requested, so based priority UNLOAD illegal notification flag is activated
At cycle 2833
Illegal mode UNLOAD (LVC Mode) is not requested, so illegal notification flag will reset after illegal transition set time.
At cycle 3133
Illegal mode UNLOAD (LVC Mode) is not requested for more than illegal transition set time, so illegal notification flag deactivated</t>
  </si>
  <si>
    <t>At cycle 3134
Illegal mode UNLOAD (LVC Mode) is requested, so illegal notification flag is set.
At cycle 3137
Illegal mode UNLOAD (LVC Mode) is requested and also DCM mode is requested, so based priority UNLOAD illegal notification flag is activated
At cycle 3138
Illegal mode UNLOAD (LVC Mode) is not requested, so illegal notification flag will reset after illegal transition set time.
At cycle 3438
Illegal mode UNLOAD (LVC Mode) is not requested for more than illegal transition set time, so illegal notification flag deactivated</t>
  </si>
  <si>
    <t>At cycle 3443
neutral failed flag is set
At cycle 3445
1) Neutral desable flag is set for more than neutral mode delay time, so neutral failed flag is set and mode changed to PCM
2) Since neutral status is failed, neutral failed flag will be set for fault notification period of time in PCM mode
At cycle 3745
neutral failed flag is reset here
At cycle 3746
1) DCM mode request is accepted, so mode transition happens to DCM from PCM
2) This is to prove that illegal notification transition notification is set while moving system from PCM to DCM with invalid mode request PCM.
At cycle 3747
Pre-condition for taking system to TURRET_LOCK
At cycle 3748
Pre-condition for taking system to Pre-mission
At cycle 3750
1) DCM mode request is accepted.
2) This is to prove that when system enters into DCM mode with invalid mode requests, notification will be alerted</t>
  </si>
  <si>
    <t>At cycle 1
Pre-condition to take system to LVC mode
At cycle 503
This scenario is to prove that when ESTOP is REQUESTED, system moves to SHUTDOWN mode after estopShtdwnSetTime cycle</t>
  </si>
  <si>
    <t>At cycle 1
Pre-condition to take system to LVC mode
At cycle 503
1) Continous increment for mmc_c_numCycles
2) dmpPos and svVelValid is VALID and dmpVelocity and svVel is less than thesholds for mmc_c_numCycles, so system mode transition happened SHUTDOWN</t>
  </si>
  <si>
    <t>7_A_2</t>
  </si>
  <si>
    <t>7_B_2</t>
  </si>
  <si>
    <t>7_C_2</t>
  </si>
  <si>
    <t>7_D_2</t>
  </si>
  <si>
    <t>7_E_2</t>
  </si>
  <si>
    <t>7_F_2</t>
  </si>
  <si>
    <t>7_G_2</t>
  </si>
  <si>
    <t>8_A_2</t>
  </si>
  <si>
    <t>8_B_2</t>
  </si>
  <si>
    <t>8_C_2</t>
  </si>
  <si>
    <t>8_D_2</t>
  </si>
  <si>
    <t>8_E_2</t>
  </si>
  <si>
    <t>173_A_2</t>
  </si>
  <si>
    <t>173_B_2</t>
  </si>
  <si>
    <t>174_2</t>
  </si>
  <si>
    <t>175_2</t>
  </si>
  <si>
    <t>200_2</t>
  </si>
  <si>
    <t>172_2</t>
  </si>
  <si>
    <t>170_2</t>
  </si>
  <si>
    <t>179_2</t>
  </si>
  <si>
    <t>180_1</t>
  </si>
  <si>
    <t>4_1</t>
  </si>
  <si>
    <t>3_1</t>
  </si>
  <si>
    <t>2_1</t>
  </si>
  <si>
    <t>5_1</t>
  </si>
  <si>
    <t>6_1</t>
  </si>
  <si>
    <t>7_A_1</t>
  </si>
  <si>
    <t>7_B_1</t>
  </si>
  <si>
    <t>At cycle 1 For 1 cycles
Set isd_enum_initStatus to IS_INIT_COMPLETED_E
Set lvcd_enum_turretLockStatus to LVC_LOCKED_E
Set lvcd_enum_ignitionKeyStatus to LVC_IGNITION_ON2_E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 For 1 cycles
Set isd_enum_initStatus to IS_INIT_COMPLETED_E
Set lvcd_enum_turretLockStatus to LVC_LOCKED_E
Set lvcd_enum_ignitionKeyStatus to LVC_IGNITION_ON2_E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 For 497 cycles
Set isd_enum_initStatus to IS_INIT_COMPLETED_E
Set lvcd_enum_turretLockStatus to LVC_LOCKED_E
Set lvcd_enum_ignitionKeyStatus to LVC_IGNITION_ON2_E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500 For 1 cycles
Set isd_enum_initStatus to IS_INIT_COMPLETED_E
Set lvcd_enum_turretLockStatus to LVC_LOCKED_E
Set lvcd_enum_ignitionKeyStatus to LVC_IGNITION_ON2_E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501 For 1 cycles
Set isd_enum_initStatus to IS_INIT_COMPLETED_E
Set lvcd_enum_turretLockStatus to LVC_LOCKED_E
Set lvcd_enum_ignitionKeyStatus to LVC_IGNITION_ON2_E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502 For 1 cycles
Set isd_enum_initStatus to IS_INIT_COMPLETED_E
Set lvcd_enum_turretLockStatus to LVC_LOCKED_E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503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</si>
  <si>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500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501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503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</si>
  <si>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504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505 For 1 cycles
Set isd_enum_initStatus to IS_INIT_COMPLETED_E
Set lvcd_enum_turretLockStatus to LVC_UNLOCKED_E
Set lvcd_enum_ignitionKeyStatus to LVC_IGNITION_ERROR_E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506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507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508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509 For 297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806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807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</si>
  <si>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504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505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506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507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508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509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806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807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</si>
  <si>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808 For 193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1001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1002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1003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1004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1005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1006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1007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</si>
  <si>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808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1001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1003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1004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
Verify mmd_bm_reasonLoadCompleteDenied is 0
At the end of cycle 1005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
Verify mmd_bm_reasonLoadCompleteDenied is 0
At the end of cycle 1006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
Verify mmd_bm_reasonLoadCompleteDenied is 0
At the end of cycle 1007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
Verify mmd_bm_reasonLoadCompleteDenied is 0</t>
  </si>
  <si>
    <t>At cycle 1008 For 298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1306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1307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1308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1309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1310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1311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</si>
  <si>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1008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
Verify mmd_bm_reasonLoadCompleteDenied is 0
At the end of cycle 1306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
Verify mmd_bm_reasonLoadCompleteDenied is 0
At the end of cycle 1307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1308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1309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1310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1311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t>
  </si>
  <si>
    <t>At cycle 1312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1313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1314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1315 For 298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1613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1614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1615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1616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</si>
  <si>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1312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1313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1314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1315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1613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1614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1615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1616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</si>
  <si>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1617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1618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***Error****
At cycle 1619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1620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1621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1622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1623 For 296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1919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</si>
  <si>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1617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1618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1619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1620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1621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1622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1623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1919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t>
  </si>
  <si>
    <t>At cycle 1920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1921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1922 For 297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2219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2220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2221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2222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2223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</si>
  <si>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1920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1921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1922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2219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2220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2221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2222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2223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</si>
  <si>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2224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***Error****
At cycle 2225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2226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2227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2228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2229 For 296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2525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2526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2527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2528 For 297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</si>
  <si>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2224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
Verify mmd_bm_reasonLoadCompleteDenied is 0
At the end of cycle 2225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
Verify mmd_bm_reasonLoadCompleteDenied is 0
At the end of cycle 2226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
Verify mmd_bm_reasonLoadCompleteDenied is 0
At the end of cycle 2227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
Verify mmd_bm_reasonLoadCompleteDenied is 0
At the end of cycle 2228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
Verify mmd_bm_reasonLoadCompleteDenied is 0
At the end of cycle 2229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
Verify mmd_bm_reasonLoadCompleteDenied is 0
At the end of cycle 2525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
Verify mmd_bm_reasonLoadCompleteDenied is 0
At the end of cycle 2526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
Verify mmd_bm_reasonLoadCompleteDenied is 0
At the end of cycle 2527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
Verify mmd_bm_reasonLoadCompleteDenied is 0
At the end of cycle 2528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
Verify mmd_bm_reasonLoadCompleteDenied is 0</t>
  </si>
  <si>
    <t>At cycle 2825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2826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2827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2828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2829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2830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***Error****
At cycle 2831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2832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</si>
  <si>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2825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
Verify mmd_bm_reasonLoadCompleteDenied is 0
At the end of cycle 2826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2827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2828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2829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2830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2831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2832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t>
  </si>
  <si>
    <t>At cycle 2833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2834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2835 For 296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3131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3132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3133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3134 For 297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3431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3432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</si>
  <si>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2833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2834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2835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3131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3132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3133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3134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3431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3432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</si>
  <si>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3433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3434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3435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3436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***Error****
At cycle 3437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3438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3439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3440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CS_SWITCH_REQUESTED_E
Set csd_enum_neutralSwitchStatus to CS_SWITCH_REQUESTED_E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3441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</si>
  <si>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3433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3434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3435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3436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3437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3438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3439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
Verify mmd_bm_reasonLoadCompleteDenied is 0
At the end of cycle 3440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3441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t>
  </si>
  <si>
    <t>At cycle 3442 For 297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3739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3740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3741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3742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3743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3744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***Error****
At cycle 3745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</si>
  <si>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3442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3739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3740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3741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3742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3743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3744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
Verify mmd_bm_reasonLoadCompleteDenied is 0
At the end of cycle 3745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
Verify mmd_bm_reasonLoadCompleteDenied is 0</t>
  </si>
  <si>
    <t>At cycle 3746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3747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3748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CS_SWITCH_REQUESTED_E
Set csd_enum_neutralSwitchStatus to CS_SWITCH_REQUESTED_E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3749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3750 For 297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4047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4048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4049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</si>
  <si>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3746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
Verify mmd_bm_reasonLoadCompleteDenied is 0
At the end of cycle 3747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
Verify mmd_bm_reasonLoadCompleteDenied is 0
At the end of cycle 3748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3749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3750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4047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4048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4049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</si>
  <si>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4050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4051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4052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***Error****
At cycle 4053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4054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4055 For 1 cycles
Set isd_enum_initStatus to IS_INIT_COMPLETED_E
Set lvcd_enum_turretLockStatus to LVC_UNLOCKED_E
Set lvcd_enum_ignitionKeyStatus to LVC_IGNITION_ON2_E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</si>
  <si>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4050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4051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4052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4053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4054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4055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t>
  </si>
  <si>
    <t>At cycle 1 For 500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501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502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***Error****
At cycle 503 For 498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1001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1002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1003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***Error****</t>
  </si>
  <si>
    <t>At the end of cycle 1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501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503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1001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4
Verify mmd_bm_reasonLoadCompleteDenied is 0
At the end of cycle 1003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</si>
  <si>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1004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1
Set dcd_vel_tugWsFL_mps to 0.1
Set dcd_flg_speedRLValid to 1
Set dcd_vel_tugWsRL_mps to 0
Set dcd_flg_speedFRValid to 1
Set dcd_vel_tugWsFR_mps to 0.1
Set dcd_flg_speedRRValid to 0
Set dcd_vel_tugWsRR_mps to 0
Set csd_enum_estopSwitchStatus to CS_SWITCH_NOT_REQUESTED_E
Set dpvd_flg_dmpPosAndVelValid to 0
Set dpvd_vel_dmpVelocity_mmps to 0
Set loctfd_flg_svVelValid to 0
Set loctfd_vel_svVel_mps to 0
***Error****
At cycle 1005 For 498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LVC_REV_E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1503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LVC_REV_E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1504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LVC_REV_E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1505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LVC_REV_E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1506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LVC_REV_E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1507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1508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1
Set dcd_vel_tugWsFL_mps to 0.1
Set dcd_flg_speedRLValid to 0
Set dcd_vel_tugWsRL_mps to 0.1
Set dcd_flg_speedFRValid to 1
Set dcd_vel_tugWsFR_mps to 0.1
Set dcd_flg_speedRRValid to 0
Set dcd_vel_tugWsRR_mps to 0
Set csd_enum_estopSwitchStatus to CS_SWITCH_NOT_REQUESTED_E
Set dpvd_flg_dmpPosAndVelValid to 0
Set dpvd_vel_dmpVelocity_mmps to 0
Set loctfd_flg_svVelValid to 0
Set loctfd_vel_svVel_mps to 0
***Error****</t>
  </si>
  <si>
    <t>At the end of cycle 1004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1005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1503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1504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1505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1506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1507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1508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</si>
  <si>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1509 For 498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2007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2008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2009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2010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2011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2012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1
Set dcd_vel_tugWsFL_mps to 0
Set dcd_flg_speedRLValid to 1
Set dcd_vel_tugWsRL_mps to 0.1
Set dcd_flg_speedFRValid to 1
Set dcd_vel_tugWsFR_mps to 0
Set dcd_flg_speedRRValid to 1
Set dcd_vel_tugWsRR_mps to 0.2
Set csd_enum_estopSwitchStatus to CS_SWITCH_NOT_REQUESTED_E
Set dpvd_flg_dmpPosAndVelValid to 0
Set dpvd_vel_dmpVelocity_mmps to 0
Set loctfd_flg_svVelValid to 0
Set loctfd_vel_svVel_mps to 0
***Error****
At cycle 2013 For 498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MO_MISSION_UNKNOWN_E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</si>
  <si>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1509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2007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2008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2009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2010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2011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2012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2013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</si>
  <si>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2511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MO_MISSION_UNKNOWN_E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2512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MO_MISSION_UNKNOWN_E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2513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MO_MISSION_UNKNOWN_E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2514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MO_MISSION_UNKNOWN_E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2515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2516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1
Set dcd_vel_tugWsFL_mps to 0
Set dcd_flg_speedRLValid to 1
Set dcd_vel_tugWsRL_mps to 0.1
Set dcd_flg_speedFRValid to 1
Set dcd_vel_tugWsFR_mps to 0
Set dcd_flg_speedRRValid to 1
Set dcd_vel_tugWsRR_mps to 0.2
Set csd_enum_estopSwitchStatus to CS_SWITCH_NOT_REQUESTED_E
Set dpvd_flg_dmpPosAndVelValid to 0
Set dpvd_vel_dmpVelocity_mmps to 0
Set loctfd_flg_svVelValid to 0
Set loctfd_vel_svVel_mps to 0
***Error****
At cycle 2517 For 498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MO_MISSION_UNDER_VERIFICATION_E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</si>
  <si>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2511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2512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2513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2514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2515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2516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2517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</si>
  <si>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3015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MO_MISSION_UNDER_VERIFICATION_E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3016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MO_MISSION_UNDER_VERIFICATION_E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3017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MO_MISSION_UNDER_VERIFICATION_E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3018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MO_MISSION_UNDER_VERIFICATION_E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3019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3020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1
Set dcd_vel_tugWsFL_mps to 0
Set dcd_flg_speedRLValid to 1
Set dcd_vel_tugWsRL_mps to 0.1
Set dcd_flg_speedFRValid to 1
Set dcd_vel_tugWsFR_mps to 0
Set dcd_flg_speedRRValid to 1
Set dcd_vel_tugWsRR_mps to 0.2
Set csd_enum_estopSwitchStatus to CS_SWITCH_NOT_REQUESTED_E
Set dpvd_flg_dmpPosAndVelValid to 0
Set dpvd_vel_dmpVelocity_mmps to 0
Set loctfd_flg_svVelValid to 0
Set loctfd_vel_svVel_mps to 0
***Error****
At cycle 3021 For 498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MO_MISSION_REJECT_E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3519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MO_MISSION_REJECT_E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</si>
  <si>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3015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3016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3017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3018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3019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3020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3021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3519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</si>
  <si>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3520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MO_MISSION_REJECT_E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3521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MO_MISSION_REJECT_E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3522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MO_MISSION_REJECT_E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3523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3524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LVC_LOAD_STAGE0_E
Set lvcd_enum_pinStatus to LVC_PIN_IN_E
Set lvcd_enum_operatStationPos to LVC_REV_E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1
Set dcd_vel_tugWsFL_mps to 0
Set dcd_flg_speedRLValid to 1
Set dcd_vel_tugWsRL_mps to 0.1
Set dcd_flg_speedFRValid to 1
Set dcd_vel_tugWsFR_mps to 0
Set dcd_flg_speedRRValid to 1
Set dcd_vel_tugWsRR_mps to 0.2
Set csd_enum_estopSwitchStatus to CS_SWITCH_NOT_REQUESTED_E
Set dpvd_flg_dmpPosAndVelValid to 0
Set dpvd_vel_dmpVelocity_mmps to 0
Set loctfd_flg_svVelValid to 0
Set loctfd_vel_svVel_mps to 0
***Error****
At cycle 3525 For 498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4023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4024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</si>
  <si>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3520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3521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3522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3523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3524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3525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4023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4024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</si>
  <si>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4025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4026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4027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4028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LVC_LOAD_STAGE47_E
Set lvcd_enum_pinStatus to LVC_PIN_IN_E
Set lvcd_enum_operatStationPos to LVC_REV_E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1
Set dcd_vel_tugWsFL_mps to 0
Set dcd_flg_speedRLValid to 1
Set dcd_vel_tugWsRL_mps to 0.1
Set dcd_flg_speedFRValid to 1
Set dcd_vel_tugWsFR_mps to 0
Set dcd_flg_speedRRValid to 1
Set dcd_vel_tugWsRR_mps to 0.2
Set csd_enum_estopSwitchStatus to CS_SWITCH_NOT_REQUESTED_E
Set dpvd_flg_dmpPosAndVelValid to 0
Set dpvd_vel_dmpVelocity_mmps to 0
Set loctfd_flg_svVelValid to 0
Set loctfd_vel_svVel_mps to 0
***Error****
At cycle 4029 For 498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LVC_LOAD_STAGE47_E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4527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LVC_LOAD_STAGE47_E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4528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LVC_LOAD_STAGE47_E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4529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LVC_LOAD_STAGE47_E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</si>
  <si>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4025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4026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4027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4028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4029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4527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4528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4529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</si>
  <si>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4530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LVC_LOAD_STAGE47_E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4531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4532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LVC_LOAD_STAGE49_E
Set lvcd_enum_pinStatus to LVC_PIN_IN_E
Set lvcd_enum_operatStationPos to LVC_REV_E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1
Set dcd_vel_tugWsFL_mps to 0
Set dcd_flg_speedRLValid to 1
Set dcd_vel_tugWsRL_mps to 0.1
Set dcd_flg_speedFRValid to 1
Set dcd_vel_tugWsFR_mps to 0
Set dcd_flg_speedRRValid to 1
Set dcd_vel_tugWsRR_mps to 0.2
Set csd_enum_estopSwitchStatus to CS_SWITCH_NOT_REQUESTED_E
Set dpvd_flg_dmpPosAndVelValid to 0
Set dpvd_vel_dmpVelocity_mmps to 0
Set loctfd_flg_svVelValid to 0
Set loctfd_vel_svVel_mps to 0
***Error****
At cycle 4533 For 498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LVC_LOAD_STAGE49_E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5031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LVC_LOAD_STAGE49_E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5032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LVC_LOAD_STAGE49_E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5033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LVC_LOAD_STAGE49_E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5034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LVC_LOAD_STAGE49_E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5035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5036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LVC_LOAD_STAGE99_E
Set lvcd_enum_pinStatus to LVC_PIN_IN_E
Set lvcd_enum_operatStationPos to LVC_REV_E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1
Set dcd_vel_tugWsFL_mps to 0
Set dcd_flg_speedRLValid to 1
Set dcd_vel_tugWsRL_mps to 0.1
Set dcd_flg_speedFRValid to 1
Set dcd_vel_tugWsFR_mps to 0
Set dcd_flg_speedRRValid to 1
Set dcd_vel_tugWsRR_mps to 0.2
Set csd_enum_estopSwitchStatus to CS_SWITCH_NOT_REQUESTED_E
Set dpvd_flg_dmpPosAndVelValid to 0
Set dpvd_vel_dmpVelocity_mmps to 0
Set loctfd_flg_svVelValid to 0
Set loctfd_vel_svVel_mps to 0
***Error****</t>
  </si>
  <si>
    <t>At the end of cycle 4530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4531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4532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4533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5031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5032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5033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5034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5035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5036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</si>
  <si>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5037 For 498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LVC_LOAD_STAGE99_E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5535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LVC_LOAD_STAGE99_E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5536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LVC_LOAD_STAGE99_E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5537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LVC_LOAD_STAGE99_E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5538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LVC_LOAD_STAGE99_E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5539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5540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MO_MISSION_IN_PROGRESS_E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1
Set dcd_vel_tugWsFL_mps to 0
Set dcd_flg_speedRLValid to 1
Set dcd_vel_tugWsRL_mps to 0.1
Set dcd_flg_speedFRValid to 1
Set dcd_vel_tugWsFR_mps to 0
Set dcd_flg_speedRRValid to 1
Set dcd_vel_tugWsRR_mps to 0.2
Set csd_enum_estopSwitchStatus to CS_SWITCH_NOT_REQUESTED_E
Set dpvd_flg_dmpPosAndVelValid to 0
Set dpvd_vel_dmpVelocity_mmps to 0
Set loctfd_flg_svVelValid to 0
Set loctfd_vel_svVel_mps to 0</t>
  </si>
  <si>
    <t>At the end of cycle 5037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5535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5536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5537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5538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5539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5540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</si>
  <si>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5541 For 498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LVC_REV_E
Set motfd_enum_missionInProgress to MO_MISSION_IN_PROGRESS_E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1
Set dcd_vel_tugWsFL_mps to 0
Set dcd_flg_speedRLValid to 1
Set dcd_vel_tugWsRL_mps to 0.1
Set dcd_flg_speedFRValid to 1
Set dcd_vel_tugWsFR_mps to 0
Set dcd_flg_speedRRValid to 1
Set dcd_vel_tugWsRR_mps to 0.2
Set csd_enum_estopSwitchStatus to CS_SWITCH_NOT_REQUESTED_E
Set dpvd_flg_dmpPosAndVelValid to 0
Set dpvd_vel_dmpVelocity_mmps to 0
Set loctfd_flg_svVelValid to 0
Set loctfd_vel_svVel_mps to 0
At cycle 6039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LVC_REV_E
Set motfd_enum_missionInProgress to MO_MISSION_IN_PROGRESS_E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1
Set dcd_vel_tugWsFL_mps to 0
Set dcd_flg_speedRLValid to 1
Set dcd_vel_tugWsRL_mps to 0.1
Set dcd_flg_speedFRValid to 1
Set dcd_vel_tugWsFR_mps to 0
Set dcd_flg_speedRRValid to 1
Set dcd_vel_tugWsRR_mps to 0.2
Set csd_enum_estopSwitchStatus to CS_SWITCH_NOT_REQUESTED_E
Set dpvd_flg_dmpPosAndVelValid to 0
Set dpvd_vel_dmpVelocity_mmps to 0
Set loctfd_flg_svVelValid to 0
Set loctfd_vel_svVel_mps to 0
At cycle 6040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LVC_REV_E
Set motfd_enum_missionInProgress to MO_MISSION_IN_PROGRESS_E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1
Set dcd_vel_tugWsFL_mps to 0
Set dcd_flg_speedRLValid to 1
Set dcd_vel_tugWsRL_mps to 0.1
Set dcd_flg_speedFRValid to 1
Set dcd_vel_tugWsFR_mps to 0
Set dcd_flg_speedRRValid to 1
Set dcd_vel_tugWsRR_mps to 0.2
Set csd_enum_estopSwitchStatus to CS_SWITCH_NOT_REQUESTED_E
Set dpvd_flg_dmpPosAndVelValid to 0
Set dpvd_vel_dmpVelocity_mmps to 0
Set loctfd_flg_svVelValid to 0
Set loctfd_vel_svVel_mps to 0
At cycle 6041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LVC_REV_E
Set motfd_enum_missionInProgress to MO_MISSION_IN_PROGRESS_E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1
Set dcd_vel_tugWsFL_mps to 0
Set dcd_flg_speedRLValid to 1
Set dcd_vel_tugWsRL_mps to 0.1
Set dcd_flg_speedFRValid to 1
Set dcd_vel_tugWsFR_mps to 0
Set dcd_flg_speedRRValid to 1
Set dcd_vel_tugWsRR_mps to 0.2
Set csd_enum_estopSwitchStatus to CS_SWITCH_NOT_REQUESTED_E
Set dpvd_flg_dmpPosAndVelValid to 0
Set dpvd_vel_dmpVelocity_mmps to 0
Set loctfd_flg_svVelValid to 0
Set loctfd_vel_svVel_mps to 0</t>
  </si>
  <si>
    <t>At the end of cycle 5541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6039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6040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6041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</si>
  <si>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1013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</si>
  <si>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1013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18
Verify mmd_flg_neutralFailed is 0
Verify mmd_flg_turretLockFailed is 0
Verify mmd_flg_turretUnLockFailed is 0
Verify mmd_bm_illegalTransReqst is 0
Verify mmd_bm_reasonLoadCompleteDenied is 0</t>
  </si>
  <si>
    <t>At cycle 1014 For 1 cycles
Set isd_enum_initStatus to IS_INIT_COMPLETED_E
Set lvcd_enum_turretLockStatus to LVC_INTERMEDIATE_E
Set lvcd_enum_ignitionKeyStatus to LVC_IGNITION_ON_E
Set lvcd_enum_fwdNeuRevPos to LVC_REVERSE_E
Set lvcd_enum_parkBrkReq to LVC_REQ_ENGAGE_E
Set lvcd_enum_parkBrakeStatus to LVC_APPLIED_E
Set lvcd_enum_loadJoystick to LVC_UNLOAD_E
Set lvcd_enum_loadingStep to LVC_LOAD_STAGE48_E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DB_STEER_METHOD_UNAVAILABLE_E
Set ntd_flg_neutralDisabled to 0
Set emd_flg_lvcModeApproved to 1
Set dcd_flg_speedFLValid to 1
Set dcd_vel_tugWsFL_mps to -25
Set dcd_flg_speedRLValid to 1
Set dcd_vel_tugWsRL_mps to -25
Set dcd_flg_speedFRValid to 1
Set dcd_vel_tugWsFR_mps to -25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</si>
  <si>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1014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19
Verify mmd_flg_neutralFailed is 0
Verify mmd_flg_turretLockFailed is 0
Verify mmd_flg_turretUnLockFailed is 0
Verify mmd_bm_illegalTransReqst is 0
Verify mmd_bm_reasonLoadCompleteDenied is 0</t>
  </si>
  <si>
    <t>At cycle 1015 For 1 cycles
Set isd_enum_initStatus to IS_INIT_COMPLETED_E
Set lvcd_enum_turretLockStatus to LVC_TURRET_LOCK_ERROR_E
Set lvcd_enum_ignitionKeyStatus to LVC_IGNITION_ON_E
Set lvcd_enum_fwdNeuRevPos to LVC_FNR_STATE_ERROR_E
Set lvcd_enum_parkBrkReq to LVC_REQ_ENGAGE_E
Set lvcd_enum_parkBrakeStatus to LVC_APPLIED_E
Set lvcd_enum_loadJoystick to LVC_UNLOAD_E
Set lvcd_enum_loadingStep to LVC_LOAD_STAGE48_E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</si>
  <si>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1015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18
Verify mmd_flg_neutralFailed is 0
Verify mmd_flg_turretLockFailed is 0
Verify mmd_flg_turretUnLockFailed is 0
Verify mmd_bm_illegalTransReqst is 0
Verify mmd_bm_reasonLoadCompleteDenied is 0</t>
  </si>
  <si>
    <t>At cycle 1016 For 1 cycles
Set isd_enum_initStatus to IS_INIT_COMPLETED_E
Set lvcd_enum_turretLockStatus to LVC_TURRET_LOCK_ERROR_E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1
Set dcd_vel_tugWsFL_mps to 10
Set dcd_flg_speedRLValid to 1
Set dcd_vel_tugWsRL_mps to 10
Set dcd_flg_speedFRValid to 1
Set dcd_vel_tugWsFR_mps to 10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</si>
  <si>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1016
Verify mmd_enum_systemMode is MM_SYSTEM_MODE_PUSHBACK_ATA_BW_E
Verify mmd_enum_pcmDcmMode is MM_DCM_E
Verify mmd_enum_turretLockRequest is MM_TURRET_LOCK_LOCK_E
Verify mmd_enum_ctrlModeToApply is MM_HLC_E
Verify mmd_bm_reasonPcmDenied is 257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</si>
  <si>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1017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</si>
  <si>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1017
Verify mmd_enum_systemMode is MM_SYSTEM_MODE_PUSHBACK_ATA_BW_E
Verify mmd_enum_pcmDcmMode is MM_DCM_E
Verify mmd_enum_turretLockRequest is MM_TURRET_LOCK_LOCK_E
Verify mmd_enum_ctrlModeToApply is MM_HLC_E
Verify mmd_bm_reasonPcmDenied is 256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</si>
  <si>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1018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0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</si>
  <si>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1018
Verify mmd_enum_systemMode is MM_SYSTEM_MODE_PUSHBACK_ATA_BW_E
Verify mmd_enum_pcmDcmMode is MM_DCM_E
Verify mmd_enum_turretLockRequest is MM_TURRET_LOCK_LOCK_E
Verify mmd_enum_ctrlModeToApply is MM_HLC_E
Verify mmd_bm_reasonPcmDenied is 512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</si>
  <si>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1019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</si>
  <si>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1019
Verify mmd_enum_systemMode is MM_SYSTEM_MODE_PUSHBACK_ATA_BW_E
Verify mmd_enum_pcmDcmMode is MM_DCM_E
Verify mmd_enum_turretLockRequest is MM_TURRET_LOCK_LOCK_E
Verify mmd_enum_ctrlModeToApply is MM_HLC_E
Verify mmd_bm_reasonPcmDenied is 256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</si>
  <si>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1020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LVC_PIN_STATUS_UNKNOWN_E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</si>
  <si>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1020
Verify mmd_enum_systemMode is MM_SYSTEM_MODE_PUSHBACK_ATA_BW_E
Verify mmd_enum_pcmDcmMode is MM_DCM_E
Verify mmd_enum_turretLockRequest is MM_TURRET_LOCK_LOCK_E
Verify mmd_enum_ctrlModeToApply is MM_HLC_E
Verify mmd_bm_reasonPcmDenied is 128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</si>
  <si>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1021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</si>
  <si>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1021
Verify mmd_enum_systemMode is MM_SYSTEM_MODE_PUSHBACK_ATA_BW_E
Verify mmd_enum_pcmDcmMode is MM_DCM_E
Verify mmd_enum_turretLockRequest is MM_TURRET_LOCK_LOCK_E
Verify mmd_enum_ctrlModeToApply is MM_HLC_E
Verify mmd_bm_reasonPcmDenied is 128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</si>
  <si>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1022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LVC_PIN_ERROR_E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</si>
  <si>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1022
Verify mmd_enum_systemMode is MM_SYSTEM_MODE_PUSHBACK_ATA_BW_E
Verify mmd_enum_pcmDcmMode is MM_DCM_E
Verify mmd_enum_turretLockRequest is MM_TURRET_LOCK_LOCK_E
Verify mmd_enum_ctrlModeToApply is MM_HLC_E
Verify mmd_bm_reasonPcmDenied is 128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</si>
  <si>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1023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</si>
  <si>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1023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</si>
  <si>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1024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</si>
  <si>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1024
Verify mmd_enum_systemMode is MM_SYSTEM_MODE_PUSHBACK_ATA_BW_E
Verify mmd_enum_pcmDcmMode is MM_DCM_E
Verify mmd_enum_turretLockRequest is MM_TURRET_LOCK_LOCK_E
Verify mmd_enum_ctrlModeToApply is MM_HLC_E
Verify mmd_bm_reasonPcmDenied is 32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</si>
  <si>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1025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0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</si>
  <si>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1025
Verify mmd_enum_systemMode is MM_SYSTEM_MODE_PUSHBACK_ATA_BW_E
Verify mmd_enum_pcmDcmMode is MM_DCM_E
Verify mmd_enum_turretLockRequest is MM_TURRET_LOCK_LOCK_E
Verify mmd_enum_ctrlModeToApply is MM_HLC_E
Verify mmd_bm_reasonPcmDenied is 64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</si>
  <si>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1026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</si>
  <si>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1026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</si>
  <si>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1027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</si>
  <si>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1027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</si>
  <si>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1028 For 1 cycles
Set isd_enum_initStatus to IS_INIT_COMPLETED_E
Set lvcd_enum_turretLockStatus to LVC_TURRET_LOCK_ERROR_E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</si>
  <si>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1028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</si>
  <si>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1029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LVC_PIN_STATUS_UNKNOWN_E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</si>
  <si>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1029
Verify mmd_enum_systemMode is MM_SYSTEM_MODE_PUSHBACK_ATA_BW_E
Verify mmd_enum_pcmDcmMode is MM_DCM_E
Verify mmd_enum_turretLockRequest is MM_TURRET_LOCK_LOCK_E
Verify mmd_enum_ctrlModeToApply is MM_HLC_E
Verify mmd_bm_reasonPcmDenied is 32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</si>
  <si>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1030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</si>
  <si>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1030
Verify mmd_enum_systemMode is MM_SYSTEM_MODE_PUSHBACK_ATA_BW_E
Verify mmd_enum_pcmDcmMode is MM_DCM_E
Verify mmd_enum_turretLockRequest is MM_TURRET_LOCK_LOCK_E
Verify mmd_enum_ctrlModeToApply is MM_HLC_E
Verify mmd_bm_reasonPcmDenied is 32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</si>
  <si>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1031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LVC_PIN_ERROR_E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</si>
  <si>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1031
Verify mmd_enum_systemMode is MM_SYSTEM_MODE_PUSHBACK_ATA_BW_E
Verify mmd_enum_pcmDcmMode is MM_DCM_E
Verify mmd_enum_turretLockRequest is MM_TURRET_LOCK_LOCK_E
Verify mmd_enum_ctrlModeToApply is MM_HLC_E
Verify mmd_bm_reasonPcmDenied is 32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</si>
  <si>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1032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</si>
  <si>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1032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</si>
  <si>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1033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</si>
  <si>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1033
Verify mmd_enum_systemMode is MM_SYSTEM_MODE_PUSHBACK_ATA_BW_E
Verify mmd_enum_pcmDcmMode is MM_DCM_E
Verify mmd_enum_turretLockRequest is MM_TURRET_LOCK_LOCK_E
Verify mmd_enum_ctrlModeToApply is MM_HLC_E
Verify mmd_bm_reasonPcmDenied is 384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</si>
  <si>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1034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SM_FAIL_ACTIVE_E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</si>
  <si>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1034
Verify mmd_enum_systemMode is MM_SYSTEM_MODE_PUSHBACK_ATA_BW_E
Verify mmd_enum_pcmDcmMode is MM_DCM_E
Verify mmd_enum_turretLockRequest is MM_TURRET_LOCK_LOCK_E
Verify mmd_enum_ctrlModeToApply is MM_HLC_E
Verify mmd_bm_reasonPcmDenied is 16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</si>
  <si>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1035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SM_EMERGENCY_STOP_E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</si>
  <si>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1035
Verify mmd_enum_systemMode is MM_SYSTEM_MODE_PUSHBACK_ATA_BW_E
Verify mmd_enum_pcmDcmMode is MM_DCM_E
Verify mmd_enum_turretLockRequest is MM_TURRET_LOCK_LOCK_E
Verify mmd_enum_ctrlModeToApply is MM_HLC_E
Verify mmd_bm_reasonPcmDenied is 16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</si>
  <si>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1036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LVC_NOT_APPLIED_E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</si>
  <si>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1036
Verify mmd_enum_systemMode is MM_SYSTEM_MODE_PUSHBACK_ATA_BW_E
Verify mmd_enum_pcmDcmMode is MM_DCM_E
Verify mmd_enum_turretLockRequest is MM_TURRET_LOCK_LOCK_E
Verify mmd_enum_ctrlModeToApply is MM_HLC_E
Verify mmd_bm_reasonPcmDenied is 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</si>
  <si>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1037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LVC_NOT_AVAILABLE_E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</si>
  <si>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1037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</si>
  <si>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1038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LVC_STATUS_ERROR_E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</si>
  <si>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1038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</si>
  <si>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1039 For 1 cycles
Set isd_enum_initStatus to IS_INIT_COMPLETED_E
Set lvcd_enum_turretLockStatus to LVC_LOCKED_E
Set lvcd_enum_ignitionKeyStatus to LVC_IGNITION_ON_E
Set lvcd_enum_fwdNeuRevPos to LVC_NEUTRAL_E
Set lvcd_enum_parkBrkReq to LVC_REQ_DISENGAGE_E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</si>
  <si>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1039
Verify mmd_enum_systemMode is MM_SYSTEM_MODE_PUSHBACK_ATA_BW_E
Verify mmd_enum_pcmDcmMode is MM_DCM_E
Verify mmd_enum_turretLockRequest is MM_TURRET_LOCK_LOCK_E
Verify mmd_enum_ctrlModeToApply is MM_HLC_E
Verify mmd_bm_reasonPcmDenied is 4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</si>
  <si>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1040 For 1 cycles
Set isd_enum_initStatus to IS_INIT_COMPLETED_E
Set lvcd_enum_turretLockStatus to LVC_LOCKED_E
Set lvcd_enum_ignitionKeyStatus to LVC_IGNITION_ON_E
Set lvcd_enum_fwdNeuRevPos to LVC_NEUTRAL_E
Set lvcd_enum_parkBrkReq to LVC_REQ_NOT_AVAILABLE_E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</si>
  <si>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1040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</si>
  <si>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1041 For 1 cycles
Set isd_enum_initStatus to IS_INIT_COMPLETED_E
Set lvcd_enum_turretLockStatus to LVC_LOCKED_E
Set lvcd_enum_ignitionKeyStatus to LVC_IGNITION_ON_E
Set lvcd_enum_fwdNeuRevPos to LVC_NEUTRAL_E
Set lvcd_enum_parkBrkReq to LVC_REQ_ERROR_E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</si>
  <si>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1041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</si>
  <si>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1042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</si>
  <si>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1042
Verify mmd_enum_systemMode is MM_SYSTEM_MODE_PUSHBACK_ATA_BW_E
Verify mmd_enum_pcmDcmMode is MM_DCM_E
Verify mmd_enum_turretLockRequest is MM_TURRET_LOCK_LOCK_E
Verify mmd_enum_ctrlModeToApply is MM_HLC_E
Verify mmd_bm_reasonPcmDenied is 2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</si>
  <si>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1043 For 1 cycles
Set isd_enum_initStatus to IS_INIT_COMPLETED_E
Set lvcd_enum_turretLockStatus to LVC_LOCKED_E
Set lvcd_enum_ignitionKeyStatus to LVC_IGNITION_ON_E
Set lvcd_enum_fwdNeuRevPos to LVC_REVERSE_E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</si>
  <si>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1043
Verify mmd_enum_systemMode is MM_SYSTEM_MODE_PUSHBACK_ATA_BW_E
Verify mmd_enum_pcmDcmMode is MM_DCM_E
Verify mmd_enum_turretLockRequest is MM_TURRET_LOCK_LOCK_E
Verify mmd_enum_ctrlModeToApply is MM_HLC_E
Verify mmd_bm_reasonPcmDenied is 2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</si>
  <si>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1044 For 1 cycles
Set isd_enum_initStatus to IS_INIT_COMPLETED_E
Set lvcd_enum_turretLockStatus to LVC_LOCKED_E
Set lvcd_enum_ignitionKeyStatus to LVC_IGNITION_ON_E
Set lvcd_enum_fwdNeuRevPos to LVC_FNR_STATE_ERROR_E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</si>
  <si>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1044
Verify mmd_enum_systemMode is MM_SYSTEM_MODE_PUSHBACK_ATA_BW_E
Verify mmd_enum_pcmDcmMode is MM_DCM_E
Verify mmd_enum_turretLockRequest is MM_TURRET_LOCK_LOCK_E
Verify mmd_enum_ctrlModeToApply is MM_HLC_E
Verify mmd_bm_reasonPcmDenied is 2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</si>
  <si>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1045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1
Set dcd_vel_tugWsFL_mps to 5
Set dcd_flg_speedRLValid to 1
Set dcd_vel_tugWsRL_mps to 5
Set dcd_flg_speedFRValid to 1
Set dcd_vel_tugWsFR_mps to 5
Set dcd_flg_speedRRValid to 1
Set dcd_vel_tugWsRR_mps to 5
Set csd_enum_estopSwitchStatus to CS_SWITCH_NOT_REQUESTED_E
Set dpvd_flg_dmpPosAndVelValid to 0
Set dpvd_vel_dmpVelocity_mmps to 0
Set loctfd_flg_svVelValid to 0
Set loctfd_vel_svVel_mps to 0</t>
  </si>
  <si>
    <t>At the end of cycle 1045
Verify mmd_enum_systemMode is MM_SYSTEM_MODE_PUSHBACK_ATA_BW_E
Verify mmd_enum_pcmDcmMode is MM_DCM_E
Verify mmd_enum_turretLockRequest is MM_TURRET_LOCK_LOCK_E
Verify mmd_enum_ctrlModeToApply is MM_HLC_E
Verify mmd_bm_reasonPcmDenied is 1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</si>
  <si>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1046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</si>
  <si>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1046
Verify mmd_enum_systemMode is MM_SYSTEM_MODE_PUSHBACK_ATA_BW_E
Verify mmd_enum_pcmDcmMode is MM_DCM_E
Verify mmd_enum_turretLockRequest is MM_TURRET_LOCK_LOCK_E
Verify mmd_enum_ctrlModeToApply is MM_HLC_E
Verify mmd_bm_reasonPcmDenied is 32768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</si>
  <si>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1047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CS_SWITCH_INVALID_E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</si>
  <si>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1047
Verify mmd_enum_systemMode is MM_SYSTEM_MODE_PUSHBACK_ATA_BW_E
Verify mmd_enum_pcmDcmMode is MM_DCM_E
Verify mmd_enum_turretLockRequest is MM_TURRET_LOCK_LOCK_E
Verify mmd_enum_ctrlModeToApply is MM_HLC_E
Verify mmd_bm_reasonPcmDenied is 32768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</si>
  <si>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1048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</si>
  <si>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1048
Verify mmd_enum_systemMode is MM_SYSTEM_MODE_PUSHBACK_ATA_BW_E
Verify mmd_enum_pcmDcmMode is MM_DCM_E
Verify mmd_enum_turretLockRequest is MM_TURRET_LOCK_LOCK_E
Verify mmd_enum_ctrlModeToApply is MM_HLC_E
Verify mmd_bm_reasonPcmDenied is 2048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</si>
  <si>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1049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LVC_OPERATOR_POS_ERROR_E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</si>
  <si>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1049
Verify mmd_enum_systemMode is MM_SYSTEM_MODE_PUSHBACK_ATA_BW_E
Verify mmd_enum_pcmDcmMode is MM_DCM_E
Verify mmd_enum_turretLockRequest is MM_TURRET_LOCK_LOCK_E
Verify mmd_enum_ctrlModeToApply is MM_HLC_E
Verify mmd_bm_reasonPcmDenied is 2048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</si>
  <si>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1050 For 1 cycles
Set isd_enum_initStatus to IS_INIT_COMPLETED_E
Set lvcd_enum_turretLockStatus to LVC_LOCKED_E
Set lvcd_enum_ignitionKeyStatus to LVC_IGNITION_ON_E
Set lvcd_enum_fwdNeuRevPos to LVC_FORWARD_E
Set lvcd_enum_parkBrkReq to LVC_REQ_DISENGAGE_E
Set lvcd_enum_parkBrakeStatus to LVC_NOT_APPLIED_E
Set lvcd_enum_loadJoystick to LVC_LOAD_E
Set lvcd_enum_loadingStep to LVC_LOAD_STAGE48_E
Set lvcd_enum_pinStatus to LVC_PIN_STATUS_UNKNOWN_E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0
Set acd_flg_arincValid to 1
Set smd_enum_safetyMode to SM_FAIL_ACTIVE_E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</si>
  <si>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1050
Verify mmd_enum_systemMode is MM_SYSTEM_MODE_PUSHBACK_ATA_BW_E
Verify mmd_enum_pcmDcmMode is MM_DCM_E
Verify mmd_enum_turretLockRequest is MM_TURRET_LOCK_LOCK_E
Verify mmd_enum_ctrlModeToApply is MM_HLC_E
Verify mmd_bm_reasonPcmDenied is 126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</si>
  <si>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1051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LVC_OPERATOR_POS_ERROR_E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</si>
  <si>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1051
Verify mmd_enum_systemMode is MM_SYSTEM_MODE_PUSHBACK_ATA_BW_E
Verify mmd_enum_pcmDcmMode is MM_DCM_E
Verify mmd_enum_turretLockRequest is MM_TURRET_LOCK_LOCK_E
Verify mmd_enum_ctrlModeToApply is MM_HLC_E
Verify mmd_bm_reasonPcmDenied is 2048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</si>
  <si>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1052 For 1 cycles
Set isd_enum_initStatus to IS_INIT_COMPLETED_E
Set lvcd_enum_turretLockStatus to LVC_LOCKED_E
Set lvcd_enum_ignitionKeyStatus to LVC_IGNITION_ON_E
Set lvcd_enum_fwdNeuRevPos to LVC_REVERSE_E
Set lvcd_enum_parkBrkReq to LVC_REQ_DISENGAGE_E
Set lvcd_enum_parkBrakeStatus to LVC_NOT_APPLIED_E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0
Set acd_flg_arincValid to 1
Set smd_enum_safetyMode to SM_FAIL_PASSIVE_E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</si>
  <si>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1052
Verify mmd_enum_systemMode is MM_SYSTEM_MODE_PUSHBACK_ATA_BW_E
Verify mmd_enum_pcmDcmMode is MM_DCM_E
Verify mmd_enum_turretLockRequest is MM_TURRET_LOCK_LOCK_E
Verify mmd_enum_ctrlModeToApply is MM_HLC_E
Verify mmd_bm_reasonPcmDenied is 126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</si>
  <si>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1053 For 1 cycles
Set isd_enum_initStatus to IS_INIT_COMPLETED_E
Set lvcd_enum_turretLockStatus to LVC_LOCKED_E
Set lvcd_enum_ignitionKeyStatus to LVC_IGNITION_ON_E
Set lvcd_enum_fwdNeuRevPos to LVC_NEUTRAL_E
Set lvcd_enum_parkBrkReq to LVC_REQ_ERROR_E
Set lvcd_enum_parkBrakeStatus to LVC_STATUS_ERROR_E
Set lvcd_enum_loadJoystick to LVC_UNLOAD_E
Set lvcd_enum_loadingStep to LVC_LOAD_STAGE48_E
Set lvcd_enum_pinStatus to LVC_PIN_OUT_E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</si>
  <si>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1053
Verify mmd_enum_systemMode is MM_SYSTEM_MODE_PUSHBACK_ATA_BW_E
Verify mmd_enum_pcmDcmMode is MM_DCM_E
Verify mmd_enum_turretLockRequest is MM_TURRET_LOCK_LOCK_E
Verify mmd_enum_ctrlModeToApply is MM_HLC_E
Verify mmd_bm_reasonPcmDenied is 2048
Verify mmd_bm_reasonDcmDenied1 is 0
Verify mmd_bm_reasonDcmDenied2 is 0
Verify mmd_bm_reasonNeutDenied is 0
Verify mmd_bm_reasonUnloadDenied is 12
Verify mmd_flg_neutralFailed is 0
Verify mmd_flg_turretLockFailed is 0
Verify mmd_flg_turretUnLockFailed is 0
Verify mmd_bm_illegalTransReqst is 0
Verify mmd_bm_reasonLoadCompleteDenied is 0</t>
  </si>
  <si>
    <t>At cycle 1054 For 1 cycles
Set isd_enum_initStatus to IS_INIT_COMPLETED_E
Set lvcd_enum_turretLockStatus to LVC_UNLOCKED_E
Set lvcd_enum_ignitionKeyStatus to LVC_IGNITION_ON_E
Set lvcd_enum_fwdNeuRevPos to LVC_FNR_STATE_ERROR_E
Set lvcd_enum_parkBrkReq to LVC_REQ_ENGAGE_E
Set lvcd_enum_parkBrakeStatus to LVC_APPLIED_E
Set lvcd_enum_loadJoystick to LVC_UNLOAD_E
Set lvcd_enum_loadingStep to LVC_LOAD_STAGE48_E
Set lvcd_enum_pinStatus to LVC_PIN_ERROR_E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0
Set acd_flg_arincValid to 0
Set smd_enum_safetyMode to SM_EMERGENCY_STOP_E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</si>
  <si>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1054
Verify mmd_enum_systemMode is MM_SYSTEM_MODE_PUSHBACK_ATA_BW_E
Verify mmd_enum_pcmDcmMode is MM_DCM_E
Verify mmd_enum_turretLockRequest is MM_TURRET_LOCK_LOCK_E
Verify mmd_enum_ctrlModeToApply is MM_HLC_E
Verify mmd_bm_reasonPcmDenied is 114
Verify mmd_bm_reasonDcmDenied1 is 0
Verify mmd_bm_reasonDcmDenied2 is 0
Verify mmd_bm_reasonNeutDenied is 0
Verify mmd_bm_reasonUnloadDenied is 18
Verify mmd_flg_neutralFailed is 0
Verify mmd_flg_turretLockFailed is 0
Verify mmd_flg_turretUnLockFailed is 0
Verify mmd_bm_illegalTransReqst is 0
Verify mmd_bm_reasonLoadCompleteDenied is 0</t>
  </si>
  <si>
    <t>At cycle 1055 For 1 cycles
Set isd_enum_initStatus to IS_INIT_COMPLETED_E
Set lvcd_enum_turretLockStatus to LVC_UNLOCKED_E
Set lvcd_enum_ignitionKeyStatus to LVC_IGNITION_ON_E
Set lvcd_enum_fwdNeuRevPos to LVC_NEUTRAL_E
Set lvcd_enum_parkBrkReq to LVC_REQ_ERROR_E
Set lvcd_enum_parkBrakeStatus to LVC_NOT_APPLIED_E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DB_STEER_METHOD_SBW_E
Set ntd_flg_neutralDisabled to 0
Set emd_flg_lvcModeApproved to 1
Set dcd_flg_speedFLValid to 1
Set dcd_vel_tugWsFL_mps to 10
Set dcd_flg_speedRLValid to 1
Set dcd_vel_tugWsRL_mps to 10
Set dcd_flg_speedFRValid to 1
Set dcd_vel_tugWsFR_mps to 10
Set dcd_flg_speedRRValid to 1
Set dcd_vel_tugWsRR_mps to 10
Set csd_enum_estopSwitchStatus to CS_SWITCH_NOT_REQUESTED_E
Set dpvd_flg_dmpPosAndVelValid to 0
Set dpvd_vel_dmpVelocity_mmps to 0
Set loctfd_flg_svVelValid to 0
Set loctfd_vel_svVel_mps to 0</t>
  </si>
  <si>
    <t>At the end of cycle 1055
Verify mmd_enum_systemMode is MM_SYSTEM_MODE_PUSHBACK_ATA_BW_E
Verify mmd_enum_pcmDcmMode is MM_DCM_E
Verify mmd_enum_turretLockRequest is MM_TURRET_LOCK_LOCK_E
Verify mmd_enum_ctrlModeToApply is MM_HLC_E
Verify mmd_bm_reasonPcmDenied is 2825
Verify mmd_bm_reasonDcmDenied1 is 0
Verify mmd_bm_reasonDcmDenied2 is 0
Verify mmd_bm_reasonNeutDenied is 0
Verify mmd_bm_reasonUnloadDenied is 13
Verify mmd_flg_neutralFailed is 0
Verify mmd_flg_turretLockFailed is 0
Verify mmd_flg_turretUnLockFailed is 0
Verify mmd_bm_illegalTransReqst is 0
Verify mmd_bm_reasonLoadCompleteDenied is 0</t>
  </si>
  <si>
    <t>At cycle 1056 For 1 cycles
Set isd_enum_initStatus to IS_INIT_COMPLETED_E
Set lvcd_enum_turretLockStatus to LVC_LOCKED_E
Set lvcd_enum_ignitionKeyStatus to LVC_IGNITION_ON_E
Set lvcd_enum_fwdNeuRevPos to LVC_REVERSE_E
Set lvcd_enum_parkBrkReq to LVC_REQ_ENGAGE_E
Set lvcd_enum_parkBrakeStatus to LVC_APPLIED_E
Set lvcd_enum_loadJoystick to LVC_UNLOAD_E
Set lvcd_enum_loadingStep to LVC_LOAD_STAGE48_E
Set lvcd_enum_pinStatus to LVC_PIN_STATUS_UNKNOWN_E
Set lvcd_enum_operatStationPos to LVC_UNDEFINED_E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</si>
  <si>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1056
Verify mmd_enum_systemMode is MM_SYSTEM_MODE_PUSHBACK_ATA_BW_E
Verify mmd_enum_pcmDcmMode is MM_DCM_E
Verify mmd_enum_turretLockRequest is MM_TURRET_LOCK_LOCK_E
Verify mmd_enum_ctrlModeToApply is MM_HLC_E
Verify mmd_bm_reasonPcmDenied is 2178
Verify mmd_bm_reasonDcmDenied1 is 0
Verify mmd_bm_reasonDcmDenied2 is 0
Verify mmd_bm_reasonNeutDenied is 0
Verify mmd_bm_reasonUnloadDenied is 18
Verify mmd_flg_neutralFailed is 0
Verify mmd_flg_turretLockFailed is 0
Verify mmd_flg_turretUnLockFailed is 0
Verify mmd_bm_illegalTransReqst is 0
Verify mmd_bm_reasonLoadCompleteDenied is 0</t>
  </si>
  <si>
    <t>At cycle 1057 For 1 cycles
Set isd_enum_initStatus to IS_INIT_COMPLETED_E
Set lvcd_enum_turretLockStatus to LVC_INTERMEDIATE_E
Set lvcd_enum_ignitionKeyStatus to LVC_IGNITION_ON_E
Set lvcd_enum_fwdNeuRevPos to LVC_NEUTRAL_E
Set lvcd_enum_parkBrkReq to LVC_REQ_DISENGAGE_E
Set lvcd_enum_parkBrakeStatus to LVC_REQ_NOT_AVAILABLE_E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</si>
  <si>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1057
Verify mmd_enum_systemMode is MM_SYSTEM_MODE_PUSHBACK_ATA_BW_E
Verify mmd_enum_pcmDcmMode is MM_DCM_E
Verify mmd_enum_turretLockRequest is MM_TURRET_LOCK_LOCK_E
Verify mmd_enum_ctrlModeToApply is MM_HLC_E
Verify mmd_bm_reasonPcmDenied is 2308
Verify mmd_bm_reasonDcmDenied1 is 0
Verify mmd_bm_reasonDcmDenied2 is 0
Verify mmd_bm_reasonNeutDenied is 0
Verify mmd_bm_reasonUnloadDenied is 12
Verify mmd_flg_neutralFailed is 0
Verify mmd_flg_turretLockFailed is 0
Verify mmd_flg_turretUnLockFailed is 0
Verify mmd_bm_illegalTransReqst is 0
Verify mmd_bm_reasonLoadCompleteDenied is 0</t>
  </si>
  <si>
    <t>At cycle 1058 For 1 cycles
Set isd_enum_initStatus to IS_INIT_COMPLETED_E
Set lvcd_enum_turretLockStatus to LVC_INTERMEDIATE_E
Set lvcd_enum_ignitionKeyStatus to LVC_IGNITION_ON_E
Set lvcd_enum_fwdNeuRevPos to LVC_FORWARD_E
Set lvcd_enum_parkBrkReq to LVC_REQ_ENGAGE_E
Set lvcd_enum_parkBrakeStatus to LVC_APPLIED_E
Set lvcd_enum_loadJoystick to LVC_UNLOAD_E
Set lvcd_enum_loadingStep to LVC_LOAD_STAGE48_E
Set lvcd_enum_pinStatus to LVC_PIN_OUT_E
Set lvcd_enum_operatStationPos to LVC_OPERATOR_POS_ERROR_E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0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</si>
  <si>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1058
Verify mmd_enum_systemMode is MM_SYSTEM_MODE_PUSHBACK_ATA_BW_E
Verify mmd_enum_pcmDcmMode is MM_DCM_E
Verify mmd_enum_turretLockRequest is MM_TURRET_LOCK_LOCK_E
Verify mmd_enum_ctrlModeToApply is MM_HLC_E
Verify mmd_bm_reasonPcmDenied is 2946
Verify mmd_bm_reasonDcmDenied1 is 0
Verify mmd_bm_reasonDcmDenied2 is 0
Verify mmd_bm_reasonNeutDenied is 0
Verify mmd_bm_reasonUnloadDenied is 18
Verify mmd_flg_neutralFailed is 0
Verify mmd_flg_turretLockFailed is 0
Verify mmd_flg_turretUnLockFailed is 0
Verify mmd_bm_illegalTransReqst is 0
Verify mmd_bm_reasonLoadCompleteDenied is 0</t>
  </si>
  <si>
    <t>At cycle 1059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LVC_STATUS_ERROR_E
Set lvcd_enum_loadJoystick to LVC_UNLOAD_E
Set lvcd_enum_loadingStep to LVC_LOAD_STAGE48_E
Set lvcd_enum_pinStatus to LVC_PIN_OUT_E
Set lvcd_enum_operatStationPos to LVC_UNDEFINED_E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0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</si>
  <si>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1059
Verify mmd_enum_systemMode is MM_SYSTEM_MODE_PUSHBACK_ATA_BW_E
Verify mmd_enum_pcmDcmMode is MM_DCM_E
Verify mmd_enum_turretLockRequest is MM_TURRET_LOCK_LOCK_E
Verify mmd_enum_ctrlModeToApply is MM_HLC_E
Verify mmd_bm_reasonPcmDenied is 2050
Verify mmd_bm_reasonDcmDenied1 is 0
Verify mmd_bm_reasonDcmDenied2 is 0
Verify mmd_bm_reasonNeutDenied is 0
Verify mmd_bm_reasonUnloadDenied is 26
Verify mmd_flg_neutralFailed is 0
Verify mmd_flg_turretLockFailed is 0
Verify mmd_flg_turretUnLockFailed is 0
Verify mmd_bm_illegalTransReqst is 0
Verify mmd_bm_reasonLoadCompleteDenied is 0</t>
  </si>
  <si>
    <t>At cycle 1060 For 1 cycles
Set isd_enum_initStatus to IS_INIT_COMPLETED_E
Set lvcd_enum_turretLockStatus to LVC_TURRET_LOCK_ERROR_E
Set lvcd_enum_ignitionKeyStatus to LVC_IGNITION_ON_E
Set lvcd_enum_fwdNeuRevPos to LVC_FORWARD_E
Set lvcd_enum_parkBrkReq to LVC_REQ_ENGAGE_E
Set lvcd_enum_parkBrakeStatus to LVC_APPLIED_E
Set lvcd_enum_loadJoystick to LVC_LOAD_E
Set lvcd_enum_loadingStep to LVC_LOAD_STAGE48_E
Set lvcd_enum_pinStatus to LVC_PIN_ERROR_E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0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</si>
  <si>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1060
Verify mmd_enum_systemMode is MM_SYSTEM_MODE_PUSHBACK_ATA_BW_E
Verify mmd_enum_pcmDcmMode is MM_DCM_E
Verify mmd_enum_turretLockRequest is MM_TURRET_LOCK_LOCK_E
Verify mmd_enum_ctrlModeToApply is MM_HLC_E
Verify mmd_bm_reasonPcmDenied is 2946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</si>
  <si>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1061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1
Set dcd_flg_speedFLValid to 1
Set dcd_vel_tugWsFL_mps to 10
Set dcd_flg_speedRLValid to 1
Set dcd_vel_tugWsRL_mps to 10
Set dcd_flg_speedFRValid to 1
Set dcd_vel_tugWsFR_mps to 10
Set dcd_flg_speedRRValid to 1
Set dcd_vel_tugWsRR_mps to 10
Set csd_enum_estopSwitchStatus to CS_SWITCH_NOT_REQUESTED_E
Set dpvd_flg_dmpPosAndVelValid to 0
Set dpvd_vel_dmpVelocity_mmps to 0
Set loctfd_flg_svVelValid to 0
Set loctfd_vel_svVel_mps to 0</t>
  </si>
  <si>
    <t>At the end of cycle 1061
Verify mmd_enum_systemMode is MM_SYSTEM_MODE_PUSHBACK_ATA_BW_E
Verify mmd_enum_pcmDcmMode is MM_DCM_E
Verify mmd_enum_turretLockRequest is MM_TURRET_LOCK_LOCK_E
Verify mmd_enum_ctrlModeToApply is MM_HLC_E
Verify mmd_bm_reasonPcmDenied is 1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</si>
  <si>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1062 For 1 cycles
Set isd_enum_initStatus to IS_INIT_COMPLETED_E
Set lvcd_enum_turretLockStatus to LVC_LOCKED_E
Set lvcd_enum_ignitionKeyStatus to LVC_IGNITION_ON_E
Set lvcd_enum_fwdNeuRevPos to LVC_FORWARD_E
Set lvcd_enum_parkBrkReq to LVC_REQ_DISENGAGE_E
Set lvcd_enum_parkBrakeStatus to LVC_NOT_APPLIED_E
Set lvcd_enum_loadJoystick to LVC_LOAD_E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</si>
  <si>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1062
Verify mmd_enum_systemMode is MM_SYSTEM_MODE_PUSHBACK_ATA_BW_E
Verify mmd_enum_pcmDcmMode is MM_DCM_E
Verify mmd_enum_turretLockRequest is MM_TURRET_LOCK_LOCK_E
Verify mmd_enum_ctrlModeToApply is MM_HLC_E
Verify mmd_bm_reasonPcmDenied is 34830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</si>
  <si>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1063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</si>
  <si>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1063
Verify mmd_enum_systemMode is MM_SYSTEM_MODE_PUSHBACK_ATA_BW_E
Verify mmd_enum_pcmDcmMode is MM_DCM_E
Verify mmd_enum_turretLockRequest is MM_TURRET_LOCK_LOCK_E
Verify mmd_enum_ctrlModeToApply is MM_HLC_E
Verify mmd_bm_reasonPcmDenied is 34816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</si>
  <si>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1064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</si>
  <si>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1064
Verify mmd_enum_systemMode is MM_SYSTEM_MODE_PUSHBACK_ATA_BW_E
Verify mmd_enum_pcmDcmMode is MM_DCM_E
Verify mmd_enum_turretLockRequest is MM_TURRET_LOCK_LOCK_E
Verify mmd_enum_ctrlModeToApply is MM_HLC_E
Verify mmd_bm_reasonPcmDenied is 2050
Verify mmd_bm_reasonDcmDenied1 is 0
Verify mmd_bm_reasonDcmDenied2 is 0
Verify mmd_bm_reasonNeutDenied is 0
Verify mmd_bm_reasonUnloadDenied is 2
Verify mmd_flg_neutralFailed is 0
Verify mmd_flg_turretLockFailed is 0
Verify mmd_flg_turretUnLockFailed is 0
Verify mmd_bm_illegalTransReqst is 0
Verify mmd_bm_reasonLoadCompleteDenied is 0</t>
  </si>
  <si>
    <t>At cycle 1065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CS_SWITCH_INVALID_E
Set csd_enum_neutralSwitchStatus to CS_SWITCH_NOT_REQUESTED_E
Set tasd_flg_turretValid to 1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1066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CS_SWITCH_INVALID_E
Set csd_enum_neutralSwitchStatus to CS_SWITCH_NOT_REQUESTED_E
Set tasd_flg_turretValid to 1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</si>
  <si>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1065
Verify mmd_enum_systemMode is MM_SYSTEM_MODE_PUSHBACK_ATA_BW_E
Verify mmd_enum_pcmDcmMode is MM_DCM_E
Verify mmd_enum_turretLockRequest is MM_TURRET_LOCK_LOCK_E
Verify mmd_enum_ctrlModeToApply is MM_HLC_E
Verify mmd_bm_reasonPcmDenied is 34816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0
Verify mmd_bm_reasonLoadCompleteDenied is 0
At the end of cycle 1066
Verify mmd_enum_systemMode is MM_SYSTEM_MODE_PUSHBACK_ATA_BW_E
Verify mmd_enum_pcmDcmMode is MM_DCM_E
Verify mmd_enum_turretLockRequest is MM_TURRET_LOCK_LOCK_E
Verify mmd_enum_ctrlModeToApply is MM_HLC_E
Verify mmd_bm_reasonPcmDenied is 34816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0
Verify mmd_bm_reasonLoadCompleteDenied is 0</t>
  </si>
  <si>
    <t>At cycle 1067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</si>
  <si>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1067
Verify mmd_enum_systemMode is MM_SYSTEM_MODE_PUSHBACK_ATA_BW_E
Verify mmd_enum_pcmDcmMode is MM_DCM_E
Verify mmd_enum_turretLockRequest is MM_TURRET_LOCK_LOCK_E
Verify mmd_enum_ctrlModeToApply is MM_HLC_E
Verify mmd_bm_reasonPcmDenied is 32768
Verify mmd_bm_reasonDcmDenied1 is 0
Verify mmd_bm_reasonDcmDenied2 is 0
Verify mmd_bm_reasonNeutDenied is 0
Verify mmd_bm_reasonUnloadDenied is 144
Verify mmd_flg_neutralFailed is 0
Verify mmd_flg_turretLockFailed is 0
Verify mmd_flg_turretUnLockFailed is 0
Verify mmd_bm_illegalTransReqst is 0
Verify mmd_bm_reasonLoadCompleteDenied is 0</t>
  </si>
  <si>
    <t>At cycle 1068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</si>
  <si>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1068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</si>
  <si>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1069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</si>
  <si>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1069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</si>
  <si>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1070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CS_SWITCH_INVALID_E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</si>
  <si>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1070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</si>
  <si>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1071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LVC_NOT_APPLIED_E
Set lvcd_enum_loadJoystick to LVC_LOAD_E
Set lvcd_enum_loadingStep to LVC_LOAD_STAGE48_E
Set lvcd_enum_pinStatus to LVC_PIN_IN_E
Set lvcd_enum_operatStationPos to LVC_UNDEFINED_E
Set motfd_enum_missionInProgress to MO_MISSION_APPROVED_E
Set motfd_enum_missionType to MD_MISSION_TYPE_MAINTEN_TOWING_E
Set csd_enum_dcmSwitchStatus to CS_SWITCH_REQUESTED_E
Set csd_enum_pcmSwitchStatus to CS_SWITCH_REQUESTED_E
Set csd_enum_neutralSwitchStatus to CS_SWITCH_NOT_REQUESTED_E
Set tasd_flg_turretValid to 1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</si>
  <si>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1071
Verify mmd_enum_systemMode is MM_SYSTEM_MODE_PUSHBACK_ATA_BW_E
Verify mmd_enum_pcmDcmMode is MM_DCM_E
Verify mmd_enum_turretLockRequest is MM_TURRET_LOCK_LOCK_E
Verify mmd_enum_ctrlModeToApply is MM_HLC_E
Verify mmd_bm_reasonPcmDenied is 2058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</si>
  <si>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1072 For 1 cycles
Set isd_enum_initStatus to IS_INIT_COMPLETED_E
Set lvcd_enum_turretLockStatus to LVC_LOCKED_E
Set lvcd_enum_ignitionKeyStatus to LVC_IGNITION_ON_E
Set lvcd_enum_fwdNeuRevPos to LVC_FORWARD_E
Set lvcd_enum_parkBrkReq to LVC_REQ_DISENGAGE_E
Set lvcd_enum_parkBrakeStatus to LVC_NOT_APPLIED_E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1
Set smd_enum_safetyMode to SM_FAIL_PASSIVE_E
Set dbd_enum_acSteeringMethod to DB_STEER_METHOD_TURRET_E
Set ntd_flg_neutralDisabled to 0
Set emd_flg_lvcModeApproved to 1
Set dcd_flg_speedFLValid to 1
Set dcd_vel_tugWsFL_mps to 10
Set dcd_flg_speedRLValid to 1
Set dcd_vel_tugWsRL_mps to 10
Set dcd_flg_speedFRValid to 1
Set dcd_vel_tugWsFR_mps to 10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</si>
  <si>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1072
Verify mmd_enum_systemMode is MM_SYSTEM_MODE_PUSHBACK_ATA_BW_E
Verify mmd_enum_pcmDcmMode is MM_DCM_E
Verify mmd_enum_turretLockRequest is MM_TURRET_LOCK_LOCK_E
Verify mmd_enum_ctrlModeToApply is MM_HLC_E
Verify mmd_bm_reasonPcmDenied is 32895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</si>
  <si>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1073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LVC_NOT_APPLIED_E
Set lvcd_enum_loadJoystick to LVC_LOAD_E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</si>
  <si>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1073
Verify mmd_enum_systemMode is MM_SYSTEM_MODE_PUSHBACK_ATA_BW_E
Verify mmd_enum_pcmDcmMode is MM_DCM_E
Verify mmd_enum_turretLockRequest is MM_TURRET_LOCK_LOCK_E
Verify mmd_enum_ctrlModeToApply is MM_HLC_E
Verify mmd_bm_reasonPcmDenied is 34826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</si>
  <si>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1074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LVC_NOT_APPLIED_E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</si>
  <si>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1074
Verify mmd_enum_systemMode is MM_SYSTEM_MODE_PUSHBACK_ATA_BW_E
Verify mmd_enum_pcmDcmMode is MM_DCM_E
Verify mmd_enum_turretLockRequest is MM_TURRET_LOCK_LOCK_E
Verify mmd_enum_ctrlModeToApply is MM_HLC_E
Verify mmd_bm_reasonPcmDenied is 32842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</si>
  <si>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1075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LVC_NOT_APPLIED_E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</si>
  <si>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1075
Verify mmd_enum_systemMode is MM_SYSTEM_MODE_PUSHBACK_ATA_BW_E
Verify mmd_enum_pcmDcmMode is MM_DCM_E
Verify mmd_enum_turretLockRequest is MM_TURRET_LOCK_LOCK_E
Verify mmd_enum_ctrlModeToApply is MM_HLC_E
Verify mmd_bm_reasonPcmDenied is 33674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</si>
  <si>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1076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LVC_NOT_APPLIED_E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</si>
  <si>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1076
Verify mmd_enum_systemMode is MM_SYSTEM_MODE_PUSHBACK_ATA_BW_E
Verify mmd_enum_pcmDcmMode is MM_DCM_E
Verify mmd_enum_turretLockRequest is MM_TURRET_LOCK_LOCK_E
Verify mmd_enum_ctrlModeToApply is MM_HLC_E
Verify mmd_bm_reasonPcmDenied is 32778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</si>
  <si>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1077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LVC_NOT_APPLIED_E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</si>
  <si>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1077
Verify mmd_enum_systemMode is MM_SYSTEM_MODE_PUSHBACK_ATA_BW_E
Verify mmd_enum_pcmDcmMode is MM_DCM_E
Verify mmd_enum_turretLockRequest is MM_TURRET_LOCK_LOCK_E
Verify mmd_enum_ctrlModeToApply is MM_HLC_E
Verify mmd_bm_reasonPcmDenied is 42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</si>
  <si>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1078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1
Set dcd_vel_tugWsFL_mps to 10
Set dcd_flg_speedRLValid to 1
Set dcd_vel_tugWsRL_mps to 10
Set dcd_flg_speedFRValid to 1
Set dcd_vel_tugWsFR_mps to 10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</si>
  <si>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1078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7
Verify mmd_flg_neutralFailed is 0
Verify mmd_flg_turretLockFailed is 0
Verify mmd_flg_turretUnLockFailed is 0
Verify mmd_bm_illegalTransReqst is 0
Verify mmd_bm_reasonLoadCompleteDenied is 0</t>
  </si>
  <si>
    <t>At cycle 1079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LVC_NOT_APPLIED_E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</si>
  <si>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1079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152
Verify mmd_flg_neutralFailed is 0
Verify mmd_flg_turretLockFailed is 0
Verify mmd_flg_turretUnLockFailed is 0
Verify mmd_bm_illegalTransReqst is 0
Verify mmd_bm_reasonLoadCompleteDenied is 0</t>
  </si>
  <si>
    <t>At cycle 1080 For 1 cycles
Set isd_enum_initStatus to IS_INIT_COMPLETED_E
Set lvcd_enum_turretLockStatus to LVC_LOCKED_E
Set lvcd_enum_ignitionKeyStatus to LVC_IGNITION_ON_E
Set lvcd_enum_fwdNeuRevPos to LVC_FORWARD_E
Set lvcd_enum_parkBrkReq to LVC_REQ_DISENGAGE_E
Set lvcd_enum_parkBrakeStatus to LVC_APPLIED_E
Set lvcd_enum_loadJoystick to LVC_LOAD_E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1
Set dcd_vel_tugWsFL_mps to 10
Set dcd_flg_speedRLValid to 1
Set dcd_vel_tugWsRL_mps to 10
Set dcd_flg_speedFRValid to 1
Set dcd_vel_tugWsFR_mps to 10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</si>
  <si>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1080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135
Verify mmd_flg_neutralFailed is 0
Verify mmd_flg_turretLockFailed is 0
Verify mmd_flg_turretUnLockFailed is 0
Verify mmd_bm_illegalTransReqst is 0
Verify mmd_bm_reasonLoadCompleteDenied is 0</t>
  </si>
  <si>
    <t>At cycle 1081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</si>
  <si>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1081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0
Verify mmd_bm_reasonLoadCompleteDenied is 0</t>
  </si>
  <si>
    <t>At cycle 1082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</si>
  <si>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1082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0
Verify mmd_bm_reasonLoadCompleteDenied is 0</t>
  </si>
  <si>
    <t>At cycle 1083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</si>
  <si>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1083
Verify mmd_enum_systemMode is MM_SYSTEM_MODE_PUSHBACK_ATA_BW_E
Verify mmd_enum_pcmDcmMode is MM_DCM_E
Verify mmd_enum_turretLockRequest is MM_TURRET_LOCK_LOCK_E
Verify mmd_enum_ctrlModeToApply is MM_HLC_E
Verify mmd_bm_reasonPcmDenied is 2082
Verify mmd_bm_reasonDcmDenied1 is 0
Verify mmd_bm_reasonDcmDenied2 is 0
Verify mmd_bm_reasonNeutDenied is 0
Verify mmd_bm_reasonUnloadDenied is 2
Verify mmd_flg_neutralFailed is 0
Verify mmd_flg_turretLockFailed is 0
Verify mmd_flg_turretUnLockFailed is 0
Verify mmd_bm_illegalTransReqst is 0
Verify mmd_bm_reasonLoadCompleteDenied is 0</t>
  </si>
  <si>
    <t>At cycle 1084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1085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</si>
  <si>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1084
Verify mmd_enum_systemMode is MM_SYSTEM_MODE_PUSHBACK_ATA_BW_E
Verify mmd_enum_pcmDcmMode is MM_DCM_E
Verify mmd_enum_turretLockRequest is MM_TURRET_LOCK_LOCK_E
Verify mmd_enum_ctrlModeToApply is MM_HLC_E
Verify mmd_bm_reasonPcmDenied is 2080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1085
Verify mmd_enum_systemMode is MM_SYSTEM_MODE_PUSHBACK_ATA_BW_E
Verify mmd_enum_pcmDcmMode is MM_DCM_E
Verify mmd_enum_turretLockRequest is MM_TURRET_LOCK_LOCK_E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</si>
  <si>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1086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1087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1088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1089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1090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1091 For 297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1388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1389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1390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</si>
  <si>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1086
Verify mmd_enum_systemMode is MM_SYSTEM_MODE_PUSHBACK_ATA_BW_E
Verify mmd_enum_pcmDcmMode is MM_DCM_E
Verify mmd_enum_turretLockRequest is MM_TURRET_LOCK_LOCK_E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1087
Verify mmd_enum_systemMode is MM_SYSTEM_MODE_PUSHBACK_ATA_BW_E
Verify mmd_enum_pcmDcmMode is MM_DCM_E
Verify mmd_enum_turretLockRequest is MM_TURRET_LOCK_LOCK_E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1088
Verify mmd_enum_systemMode is MM_SYSTEM_MODE_PUSHBACK_ATA_BW_E
Verify mmd_enum_pcmDcmMode is MM_DCM_E
Verify mmd_enum_turretLockRequest is MM_TURRET_LOCK_LOCK_E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1089
Verify mmd_enum_systemMode is MM_SYSTEM_MODE_PUSHBACK_ATA_BW_E
Verify mmd_enum_pcmDcmMode is MM_DCM_E
Verify mmd_enum_turretLockRequest is MM_TURRET_LOCK_LOCK_E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1090
Verify mmd_enum_systemMode is MM_SYSTEM_MODE_PUSHBACK_ATA_BW_E
Verify mmd_enum_pcmDcmMode is MM_DCM_E
Verify mmd_enum_turretLockRequest is MM_TURRET_LOCK_LOCK_E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1091
Verify mmd_enum_systemMode is MM_SYSTEM_MODE_PUSHBACK_ATA_BW_E
Verify mmd_enum_pcmDcmMode is MM_DCM_E
Verify mmd_enum_turretLockRequest is MM_TURRET_LOCK_LOCK_E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1388
Verify mmd_enum_systemMode is MM_SYSTEM_MODE_PUSHBACK_ATA_BW_E
Verify mmd_enum_pcmDcmMode is MM_DCM_E
Verify mmd_enum_turretLockRequest is MM_TURRET_LOCK_LOCK_E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1389
Verify mmd_enum_systemMode is MM_SYSTEM_MODE_PUSHBACK_ATA_BW_E
Verify mmd_enum_pcmDcmMode is MM_DCM_E
Verify mmd_enum_turretLockRequest is MM_TURRET_LOCK_LOCK_E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1390
Verify mmd_enum_systemMode is MM_SYSTEM_MODE_PUSHBACK_ATA_BW_E
Verify mmd_enum_pcmDcmMode is MM_DCM_E
Verify mmd_enum_turretLockRequest is MM_TURRET_LOCK_LOCK_E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</si>
  <si>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1391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1392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1393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1394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1395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1396 For 296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1692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1693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1694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1695 For 297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1992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1993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1994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</si>
  <si>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1391
Verify mmd_enum_systemMode is MM_SYSTEM_MODE_PUSHBACK_ATA_BW_E
Verify mmd_enum_pcmDcmMode is MM_DCM_E
Verify mmd_enum_turretLockRequest is MM_TURRET_LOCK_LOCK_E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1392
Verify mmd_enum_systemMode is MM_SYSTEM_MODE_PUSHBACK_ATA_BW_E
Verify mmd_enum_pcmDcmMode is MM_DCM_E
Verify mmd_enum_turretLockRequest is MM_TURRET_LOCK_LOCK_E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1393
Verify mmd_enum_systemMode is MM_SYSTEM_MODE_PUSHBACK_ATA_BW_E
Verify mmd_enum_pcmDcmMode is MM_DCM_E
Verify mmd_enum_turretLockRequest is MM_TURRET_LOCK_LOCK_E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1394
Verify mmd_enum_systemMode is MM_SYSTEM_MODE_PUSHBACK_ATA_BW_E
Verify mmd_enum_pcmDcmMode is MM_DCM_E
Verify mmd_enum_turretLockRequest is MM_TURRET_LOCK_LOCK_E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1395
Verify mmd_enum_systemMode is MM_SYSTEM_MODE_PUSHBACK_ATA_BW_E
Verify mmd_enum_pcmDcmMode is MM_DCM_E
Verify mmd_enum_turretLockRequest is MM_TURRET_LOCK_LOCK_E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1396
Verify mmd_enum_systemMode is MM_SYSTEM_MODE_PUSHBACK_ATA_BW_E
Verify mmd_enum_pcmDcmMode is MM_DCM_E
Verify mmd_enum_turretLockRequest is MM_TURRET_LOCK_LOCK_E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1692
Verify mmd_enum_systemMode is MM_SYSTEM_MODE_PUSHBACK_ATA_BW_E
Verify mmd_enum_pcmDcmMode is MM_DCM_E
Verify mmd_enum_turretLockRequest is MM_TURRET_LOCK_LOCK_E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1693
Verify mmd_enum_systemMode is MM_SYSTEM_MODE_PUSHBACK_ATA_BW_E
Verify mmd_enum_pcmDcmMode is MM_DCM_E
Verify mmd_enum_turretLockRequest is MM_TURRET_LOCK_LOCK_E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1694
Verify mmd_enum_systemMode is MM_SYSTEM_MODE_PUSHBACK_ATA_BW_E
Verify mmd_enum_pcmDcmMode is MM_DCM_E
Verify mmd_enum_turretLockRequest is MM_TURRET_LOCK_LOCK_E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1695
Verify mmd_enum_systemMode is MM_SYSTEM_MODE_PUSHBACK_ATA_BW_E
Verify mmd_enum_pcmDcmMode is MM_DCM_E
Verify mmd_enum_turretLockRequest is MM_TURRET_LOCK_LOCK_E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1992
Verify mmd_enum_systemMode is MM_SYSTEM_MODE_PUSHBACK_ATA_BW_E
Verify mmd_enum_pcmDcmMode is MM_DCM_E
Verify mmd_enum_turretLockRequest is MM_TURRET_LOCK_LOCK_E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1993
Verify mmd_enum_systemMode is MM_SYSTEM_MODE_PUSHBACK_ATA_BW_E
Verify mmd_enum_pcmDcmMode is MM_DCM_E
Verify mmd_enum_turretLockRequest is MM_TURRET_LOCK_LOCK_E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1994
Verify mmd_enum_systemMode is MM_SYSTEM_MODE_PUSHBACK_ATA_BW_E
Verify mmd_enum_pcmDcmMode is MM_DCM_E
Verify mmd_enum_turretLockRequest is MM_TURRET_LOCK_LOCK_E
Verify mmd_enum_ctrlModeToApply is MM_HLC_E
Verify mmd_bm_reasonPcmDenied is 34848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</si>
  <si>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1995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</si>
  <si>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1995
Verify mmd_enum_systemMode is MM_SYSTEM_MODE_REQ_T_LOCK_E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</si>
  <si>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1996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</si>
  <si>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1996
Verify mmd_enum_systemMode is MM_SYSTEM_MODE_PRE_MISSION_E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</si>
  <si>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1997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1998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DB_STEER_METHOD_UNAVAILABLE_E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</si>
  <si>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1997
Verify mmd_enum_systemMode is MM_SYSTEM_MODE_PRE_MISSION_E
Verify mmd_enum_pcmDcmMode is MM_NONE_E
Verify mmd_enum_turretLockRequest is MM_TURRET_LOCK_LOCK_E
Verify mmd_enum_ctrlModeToApply is MM_HLC_E
Verify mmd_bm_reasonPcmDenied is 0
Verify mmd_bm_reasonDcmDenied1 is 0
Verify mmd_bm_reasonDcmDenied2 is 160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1998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</si>
  <si>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1999 For 1 cycles
Set isd_enum_initStatus to IS_INIT_COMPLETED_E
Set lvcd_enum_turretLockStatus to LVC_LOCKED_E
Set lvcd_enum_ignitionKeyStatus to LVC_IGNITION_OFF_E
Set lvcd_enum_fwdNeuRevPos to LVC_NEUTRAL_E
Set lvcd_enum_parkBrkReq to LVC_REQ_ENGAGE_E
Set lvcd_enum_parkBrakeStatus to LVC_NOT_APPLIED_E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</si>
  <si>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1999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8
Verify mmd_flg_neutralFailed is 0
Verify mmd_flg_turretLockFailed is 0
Verify mmd_flg_turretUnLockFailed is 0
Verify mmd_bm_illegalTransReqst is 0
Verify mmd_bm_reasonLoadCompleteDenied is 0</t>
  </si>
  <si>
    <t>At cycle 2000 For 1 cycles
Set isd_enum_initStatus to IS_INIT_COMPLETED_E
Set lvcd_enum_turretLockStatus to LVC_LOCKED_E
Set lvcd_enum_ignitionKeyStatus to LVC_IGNITION_OFF_E
Set lvcd_enum_fwdNeuRevPos to LVC_NEUTRAL_E
Set lvcd_enum_parkBrkReq to LVC_REQ_ENGAGE_E
Set lvcd_enum_parkBrakeStatus to LVC_NOT_AVAILABLE_E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</si>
  <si>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2000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8
Verify mmd_flg_neutralFailed is 0
Verify mmd_flg_turretLockFailed is 0
Verify mmd_flg_turretUnLockFailed is 0
Verify mmd_bm_illegalTransReqst is 0
Verify mmd_bm_reasonLoadCompleteDenied is 0</t>
  </si>
  <si>
    <t>At cycle 2001 For 1 cycles
Set isd_enum_initStatus to IS_INIT_COMPLETED_E
Set lvcd_enum_turretLockStatus to LVC_LOCKED_E
Set lvcd_enum_ignitionKeyStatus to LVC_IGNITION_OFF_E
Set lvcd_enum_fwdNeuRevPos to LVC_NEUTRAL_E
Set lvcd_enum_parkBrkReq to LVC_REQ_ENGAGE_E
Set lvcd_enum_parkBrakeStatus to LVC_STATUS_ERROR_E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</si>
  <si>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2001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8
Verify mmd_flg_neutralFailed is 0
Verify mmd_flg_turretLockFailed is 0
Verify mmd_flg_turretUnLockFailed is 0
Verify mmd_bm_illegalTransReqst is 0
Verify mmd_bm_reasonLoadCompleteDenied is 0</t>
  </si>
  <si>
    <t>At cycle 2002 For 1 cycles
Set isd_enum_initStatus to IS_INIT_COMPLETED_E
Set lvcd_enum_turretLockStatus to LVC_LOCKED_E
Set lvcd_enum_ignitionKeyStatus to LVC_IGNITION_OFF_E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1
Set dcd_vel_tugWsFL_mps to 10
Set dcd_flg_speedRLValid to 1
Set dcd_vel_tugWsRL_mps to 10
Set dcd_flg_speedFRValid to 1
Set dcd_vel_tugWsFR_mps to 10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</si>
  <si>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2002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
Verify mmd_flg_neutralFailed is 0
Verify mmd_flg_turretLockFailed is 0
Verify mmd_flg_turretUnLockFailed is 0
Verify mmd_bm_illegalTransReqst is 0
Verify mmd_bm_reasonLoadCompleteDenied is 0</t>
  </si>
  <si>
    <t>At cycle 2003 For 1 cycles
Set isd_enum_initStatus to IS_INIT_COMPLETED_E
Set lvcd_enum_turretLockStatus to LVC_LOCKED_E
Set lvcd_enum_ignitionKeyStatus to LVC_IGNITION_ON_E
Set lvcd_enum_fwdNeuRevPos to LVC_NEUTRAL_E
Set lvcd_enum_parkBrkReq to LVC_REQ_DISENGAGE_E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</si>
  <si>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2003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4
Verify mmd_flg_neutralFailed is 0
Verify mmd_flg_turretLockFailed is 0
Verify mmd_flg_turretUnLockFailed is 0
Verify mmd_bm_illegalTransReqst is 0
Verify mmd_bm_reasonLoadCompleteDenied is 0</t>
  </si>
  <si>
    <t>At cycle 2004 For 1 cycles
Set isd_enum_initStatus to IS_INIT_COMPLETED_E
Set lvcd_enum_turretLockStatus to LVC_LOCKED_E
Set lvcd_enum_ignitionKeyStatus to LVC_IGNITION_ERROR_E
Set lvcd_enum_fwdNeuRevPos to LVC_NEUTRAL_E
Set lvcd_enum_parkBrkReq to LVC_REQ_NOT_AVAILABLE_E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</si>
  <si>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2004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4
Verify mmd_flg_neutralFailed is 0
Verify mmd_flg_turretLockFailed is 0
Verify mmd_flg_turretUnLockFailed is 0
Verify mmd_bm_illegalTransReqst is 0
Verify mmd_bm_reasonLoadCompleteDenied is 0</t>
  </si>
  <si>
    <t>At cycle 2005 For 1 cycles
Set isd_enum_initStatus to IS_INIT_COMPLETED_E
Set lvcd_enum_turretLockStatus to LVC_LOCKED_E
Set lvcd_enum_ignitionKeyStatus to LVC_IGNITION_ON_E
Set lvcd_enum_fwdNeuRevPos to LVC_NEUTRAL_E
Set lvcd_enum_parkBrkReq to LVC_REQ_ERROR_E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</si>
  <si>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2005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4
Verify mmd_flg_neutralFailed is 0
Verify mmd_flg_turretLockFailed is 0
Verify mmd_flg_turretUnLockFailed is 0
Verify mmd_bm_illegalTransReqst is 0
Verify mmd_bm_reasonLoadCompleteDenied is 0</t>
  </si>
  <si>
    <t>At cycle 2006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</si>
  <si>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2006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2
Verify mmd_flg_neutralFailed is 0
Verify mmd_flg_turretLockFailed is 0
Verify mmd_flg_turretUnLockFailed is 0
Verify mmd_bm_illegalTransReqst is 0
Verify mmd_bm_reasonLoadCompleteDenied is 0</t>
  </si>
  <si>
    <t>At cycle 2007 For 1 cycles
Set isd_enum_initStatus to IS_INIT_COMPLETED_E
Set lvcd_enum_turretLockStatus to LVC_LOCKED_E
Set lvcd_enum_ignitionKeyStatus to LVC_IGNITION_ON_E
Set lvcd_enum_fwdNeuRevPos to LVC_REVERSE_E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</si>
  <si>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2007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2
Verify mmd_flg_neutralFailed is 0
Verify mmd_flg_turretLockFailed is 0
Verify mmd_flg_turretUnLockFailed is 0
Verify mmd_bm_illegalTransReqst is 0
Verify mmd_bm_reasonLoadCompleteDenied is 0</t>
  </si>
  <si>
    <t>At cycle 2008 For 1 cycles
Set isd_enum_initStatus to IS_INIT_COMPLETED_E
Set lvcd_enum_turretLockStatus to LVC_LOCKED_E
Set lvcd_enum_ignitionKeyStatus to LVC_IGNITION_ON_E
Set lvcd_enum_fwdNeuRevPos to LVC_FNR_STATE_ERROR_E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</si>
  <si>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2008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2
Verify mmd_flg_neutralFailed is 0
Verify mmd_flg_turretLockFailed is 0
Verify mmd_flg_turretUnLockFailed is 0
Verify mmd_bm_illegalTransReqst is 0
Verify mmd_bm_reasonLoadCompleteDenied is 0</t>
  </si>
  <si>
    <t>At cycle 2009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</si>
  <si>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2009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0
Verify mmd_bm_reasonLoadCompleteDenied is 0</t>
  </si>
  <si>
    <t>At cycle 2010 For 1 cycles
Set isd_enum_initStatus to IS_INIT_COMPLETED_E
Set lvcd_enum_turretLockStatus to LVC_LOCKED_E
Set lvcd_enum_ignitionKeyStatus to LVC_IGNITION_ON_E
Set lvcd_enum_fwdNeuRevPos to LVC_FNR_STATE_ERROR_E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</si>
  <si>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2010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2
Verify mmd_flg_neutralFailed is 0
Verify mmd_flg_turretLockFailed is 0
Verify mmd_flg_turretUnLockFailed is 0
Verify mmd_bm_illegalTransReqst is 0
Verify mmd_bm_reasonLoadCompleteDenied is 0</t>
  </si>
  <si>
    <t>At cycle 2011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</si>
  <si>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2011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0
Verify mmd_bm_reasonLoadCompleteDenied is 0</t>
  </si>
  <si>
    <t>At cycle 2012 For 1 cycles
Set isd_enum_initStatus to IS_INIT_COMPLETED_E
Set lvcd_enum_turretLockStatus to LVC_LOCKED_E
Set lvcd_enum_ignitionKeyStatus to LVC_IGNITION_ON_E
Set lvcd_enum_fwdNeuRevPos to LVC_FNR_STATE_ERROR_E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</si>
  <si>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2012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2
Verify mmd_flg_neutralFailed is 0
Verify mmd_flg_turretLockFailed is 0
Verify mmd_flg_turretUnLockFailed is 0
Verify mmd_bm_illegalTransReqst is 0
Verify mmd_bm_reasonLoadCompleteDenied is 0</t>
  </si>
  <si>
    <t>At cycle 2013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</si>
  <si>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2013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0
Verify mmd_bm_reasonLoadCompleteDenied is 0</t>
  </si>
  <si>
    <t>At cycle 2014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LVC_NOT_APPLIED_E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</si>
  <si>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2014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14
Verify mmd_flg_neutralFailed is 0
Verify mmd_flg_turretLockFailed is 0
Verify mmd_flg_turretUnLockFailed is 0
Verify mmd_bm_illegalTransReqst is 0
Verify mmd_bm_reasonLoadCompleteDenied is 0</t>
  </si>
  <si>
    <t>At cycle 2015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DB_STEER_METHOD_SBW_E
Set ntd_flg_neutralDisabled to 0
Set emd_flg_lvcModeApproved to 1
Set dcd_flg_speedFLValid to 1
Set dcd_vel_tugWsFL_mps to 10
Set dcd_flg_speedRLValid to 1
Set dcd_vel_tugWsRL_mps to 10
Set dcd_flg_speedFRValid to 1
Set dcd_vel_tugWsFR_mps to 10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</si>
  <si>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2015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17
Verify mmd_flg_neutralFailed is 0
Verify mmd_flg_turretLockFailed is 0
Verify mmd_flg_turretUnLockFailed is 0
Verify mmd_bm_illegalTransReqst is 0
Verify mmd_bm_reasonLoadCompleteDenied is 0</t>
  </si>
  <si>
    <t>At cycle 2016 For 1 cycles
Set isd_enum_initStatus to IS_INIT_COMPLETED_E
Set lvcd_enum_turretLockStatus to LVC_LOCKED_E
Set lvcd_enum_ignitionKeyStatus to LVC_IGNITION_ON_E
Set lvcd_enum_fwdNeuRevPos to LVC_REVERSE_E
Set lvcd_enum_parkBrkReq to LVC_REQ_DISENGAGE_E
Set lvcd_enum_parkBrakeStatus to LVC_NOT_AVAILABLE_E
Set lvcd_enum_loadJoystick to LVC_UNLOAD_E
Set lvcd_enum_loadingStep to LVC_LOAD_STAGE48_E
Set lvcd_enum_pinStatus to LVC_PIN_OUT_E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1
Set smd_enum_safetyMode to SM_FAIL_ACTIVE_E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</si>
  <si>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2016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14
Verify mmd_flg_neutralFailed is 0
Verify mmd_flg_turretLockFailed is 0
Verify mmd_flg_turretUnLockFailed is 0
Verify mmd_bm_illegalTransReqst is 0
Verify mmd_bm_reasonLoadCompleteDenied is 0</t>
  </si>
  <si>
    <t>At cycle 2017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LVC_PIN_OUT_E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DB_STEER_METHOD_SBW_E
Set ntd_flg_neutralDisabled to 0
Set emd_flg_lvcModeApproved to 1
Set dcd_flg_speedFLValid to 1
Set dcd_vel_tugWsFL_mps to 10
Set dcd_flg_speedRLValid to 1
Set dcd_vel_tugWsRL_mps to 10
Set dcd_flg_speedFRValid to 1
Set dcd_vel_tugWsFR_mps to 10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</si>
  <si>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2017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17
Verify mmd_flg_neutralFailed is 0
Verify mmd_flg_turretLockFailed is 0
Verify mmd_flg_turretUnLockFailed is 0
Verify mmd_bm_illegalTransReqst is 0
Verify mmd_bm_reasonLoadCompleteDenied is 0</t>
  </si>
  <si>
    <t>At cycle 2018 For 1 cycles
Set isd_enum_initStatus to IS_INIT_COMPLETED_E
Set lvcd_enum_turretLockStatus to LVC_LOCKED_E
Set lvcd_enum_ignitionKeyStatus to LVC_IGNITION_ON_E
Set lvcd_enum_fwdNeuRevPos to LVC_FNR_STATE_ERROR_E
Set lvcd_enum_parkBrkReq to LVC_REQ_ENGAGE_E
Set lvcd_enum_parkBrakeStatus to LVC_STATUS_ERROR_E
Set lvcd_enum_loadJoystick to LVC_UNLOAD_E
Set lvcd_enum_loadingStep to LVC_LOAD_STAGE48_E
Set lvcd_enum_pinStatus to LVC_PIN_STATUS_UNKNOWN_E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</si>
  <si>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2018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10
Verify mmd_flg_neutralFailed is 0
Verify mmd_flg_turretLockFailed is 0
Verify mmd_flg_turretUnLockFailed is 0
Verify mmd_bm_illegalTransReqst is 0
Verify mmd_bm_reasonLoadCompleteDenied is 0</t>
  </si>
  <si>
    <t>At cycle 2019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LVC_OPERATOR_POS_ERROR_E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1
Set dcd_vel_tugWsFL_mps to 10
Set dcd_flg_speedRLValid to 1
Set dcd_vel_tugWsRL_mps to 10
Set dcd_flg_speedFRValid to 1
Set dcd_vel_tugWsFR_mps to 10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</si>
  <si>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2019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17
Verify mmd_flg_neutralFailed is 0
Verify mmd_flg_turretLockFailed is 0
Verify mmd_flg_turretUnLockFailed is 0
Verify mmd_bm_illegalTransReqst is 0
Verify mmd_bm_reasonLoadCompleteDenied is 0</t>
  </si>
  <si>
    <t>At cycle 2020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1
Set dcd_vel_tugWsFL_mps to 10
Set dcd_flg_speedRLValid to 1
Set dcd_vel_tugWsRL_mps to 10
Set dcd_flg_speedFRValid to 1
Set dcd_vel_tugWsFR_mps to 10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</si>
  <si>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2020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
Verify mmd_flg_neutralFailed is 0
Verify mmd_flg_turretLockFailed is 0
Verify mmd_flg_turretUnLockFailed is 0
Verify mmd_bm_illegalTransReqst is 0
Verify mmd_bm_reasonLoadCompleteDenied is 0</t>
  </si>
  <si>
    <t>At cycle 2021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</si>
  <si>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2021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0
Verify mmd_bm_reasonLoadCompleteDenied is 0</t>
  </si>
  <si>
    <t>At cycle 2022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1
Set dcd_vel_tugWsFL_mps to 10
Set dcd_flg_speedRLValid to 1
Set dcd_vel_tugWsRL_mps to 10
Set dcd_flg_speedFRValid to 1
Set dcd_vel_tugWsFR_mps to 10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</si>
  <si>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2022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
Verify mmd_flg_neutralFailed is 0
Verify mmd_flg_turretLockFailed is 0
Verify mmd_flg_turretUnLockFailed is 0
Verify mmd_bm_illegalTransReqst is 0
Verify mmd_bm_reasonLoadCompleteDenied is 0</t>
  </si>
  <si>
    <t>At cycle 2023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</si>
  <si>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2023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0
Verify mmd_bm_reasonLoadCompleteDenied is 0</t>
  </si>
  <si>
    <t>At cycle 2024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1
Set dcd_vel_tugWsFL_mps to 10
Set dcd_flg_speedRLValid to 1
Set dcd_vel_tugWsRL_mps to 10
Set dcd_flg_speedFRValid to 1
Set dcd_vel_tugWsFR_mps to 10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</si>
  <si>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2024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
Verify mmd_flg_neutralFailed is 0
Verify mmd_flg_turretLockFailed is 0
Verify mmd_flg_turretUnLockFailed is 0
Verify mmd_bm_illegalTransReqst is 0
Verify mmd_bm_reasonLoadCompleteDenied is 0</t>
  </si>
  <si>
    <t>At cycle 2025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</si>
  <si>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2025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0
Verify mmd_bm_reasonLoadCompleteDenied is 0</t>
  </si>
  <si>
    <t>At cycle 2026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1
Set dcd_vel_tugWsFL_mps to 10
Set dcd_flg_speedRLValid to 1
Set dcd_vel_tugWsRL_mps to 10
Set dcd_flg_speedFRValid to 1
Set dcd_vel_tugWsFR_mps to 10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</si>
  <si>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2026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
Verify mmd_flg_neutralFailed is 0
Verify mmd_flg_turretLockFailed is 0
Verify mmd_flg_turretUnLockFailed is 0
Verify mmd_bm_illegalTransReqst is 0
Verify mmd_bm_reasonLoadCompleteDenied is 0</t>
  </si>
  <si>
    <t>At cycle 2027 For 1 cycles
Set isd_enum_initStatus to IS_INIT_COMPLETED_E
Set lvcd_enum_turretLockStatus to LVC_LOCKED_E
Set lvcd_enum_ignitionKeyStatus to LVC_IGNITION_ON_E
Set lvcd_enum_fwdNeuRevPos to LVC_NEUTRAL_E
Set lvcd_enum_parkBrkReq to LVC_REQ_ERROR_E
Set lvcd_enum_parkBrakeStatus to LVC_NOT_APPLIED_E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</si>
  <si>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2027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156
Verify mmd_flg_neutralFailed is 0
Verify mmd_flg_turretLockFailed is 0
Verify mmd_flg_turretUnLockFailed is 0
Verify mmd_bm_illegalTransReqst is 0
Verify mmd_bm_reasonLoadCompleteDenied is 0</t>
  </si>
  <si>
    <t>At cycle 2028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LVC_LOAD_UNAVAILBLE_E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1
Set dcd_vel_tugWsFL_mps to 10
Set dcd_flg_speedRLValid to 1
Set dcd_vel_tugWsRL_mps to 10
Set dcd_flg_speedFRValid to 1
Set dcd_vel_tugWsFR_mps to 10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</si>
  <si>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2028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131
Verify mmd_flg_neutralFailed is 0
Verify mmd_flg_turretLockFailed is 0
Verify mmd_flg_turretUnLockFailed is 0
Verify mmd_bm_illegalTransReqst is 0
Verify mmd_bm_reasonLoadCompleteDenied is 0</t>
  </si>
  <si>
    <t>At cycle 2029 For 1 cycles
Set isd_enum_initStatus to IS_INIT_COMPLETED_E
Set lvcd_enum_turretLockStatus to LVC_LOCKED_E
Set lvcd_enum_ignitionKeyStatus to LVC_IGNITION_ON_E
Set lvcd_enum_fwdNeuRevPos to LVC_NEUTRAL_E
Set lvcd_enum_parkBrkReq to LVC_REQ_ERROR_E
Set lvcd_enum_parkBrakeStatus to LVC_APPLIED_E
Set lvcd_enum_loadJoystick to LVC_LOAD_UNAVAILBLE_E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</si>
  <si>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2029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132
Verify mmd_flg_neutralFailed is 0
Verify mmd_flg_turretLockFailed is 0
Verify mmd_flg_turretUnLockFailed is 0
Verify mmd_bm_illegalTransReqst is 0
Verify mmd_bm_reasonLoadCompleteDenied is 0</t>
  </si>
  <si>
    <t>At cycle 2030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2031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2032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2033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2034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2035 For 297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2332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2333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2334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</si>
  <si>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2030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8
Verify mmd_bm_reasonLoadCompleteDenied is 0
At the end of cycle 2031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8
Verify mmd_bm_reasonLoadCompleteDenied is 0
At the end of cycle 2032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8
Verify mmd_bm_reasonLoadCompleteDenied is 0
At the end of cycle 2033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8
Verify mmd_bm_reasonLoadCompleteDenied is 0
At the end of cycle 2034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8
Verify mmd_bm_reasonLoadCompleteDenied is 0
At the end of cycle 2035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8
Verify mmd_bm_reasonLoadCompleteDenied is 0
At the end of cycle 2332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8
Verify mmd_bm_reasonLoadCompleteDenied is 0
At the end of cycle 2333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0
Verify mmd_bm_reasonLoadCompleteDenied is 0
At the end of cycle 2334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0
Verify mmd_bm_reasonLoadCompleteDenied is 0</t>
  </si>
  <si>
    <t>At cycle 2335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2336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2337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2338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2339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2340 For 296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2636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</si>
  <si>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2335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8
Verify mmd_bm_reasonLoadCompleteDenied is 0
At the end of cycle 2336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8
Verify mmd_bm_reasonLoadCompleteDenied is 0
At the end of cycle 2337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8
Verify mmd_bm_reasonLoadCompleteDenied is 0
At the end of cycle 2338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8
Verify mmd_bm_reasonLoadCompleteDenied is 0
At the end of cycle 2339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8
Verify mmd_bm_reasonLoadCompleteDenied is 0
At the end of cycle 2340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8
Verify mmd_bm_reasonLoadCompleteDenied is 0
At the end of cycle 2636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8
Verify mmd_bm_reasonLoadCompleteDenied is 0</t>
  </si>
  <si>
    <t>At cycle 2637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2638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2639 For 297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2936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2937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2938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</si>
  <si>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2637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8
Verify mmd_bm_reasonLoadCompleteDenied is 0
At the end of cycle 2638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8
Verify mmd_bm_reasonLoadCompleteDenied is 0
At the end of cycle 2639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8
Verify mmd_bm_reasonLoadCompleteDenied is 0
At the end of cycle 2936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8
Verify mmd_bm_reasonLoadCompleteDenied is 0
At the end of cycle 2937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0
Verify mmd_bm_reasonLoadCompleteDenied is 0
At the end of cycle 2938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128
Verify mmd_flg_neutralFailed is 0
Verify mmd_flg_turretLockFailed is 0
Verify mmd_flg_turretUnLockFailed is 0
Verify mmd_bm_illegalTransReqst is 0
Verify mmd_bm_reasonLoadCompleteDenied is 0</t>
  </si>
  <si>
    <t>At cycle 2939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2940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2941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2942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2943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2944 For 297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3241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3242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3243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</si>
  <si>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2939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256
Verify mmd_bm_reasonLoadCompleteDenied is 0
At the end of cycle 2940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256
Verify mmd_bm_reasonLoadCompleteDenied is 0
At the end of cycle 2941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256
Verify mmd_bm_reasonLoadCompleteDenied is 0
At the end of cycle 2942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256
Verify mmd_bm_reasonLoadCompleteDenied is 0
At the end of cycle 2943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256
Verify mmd_bm_reasonLoadCompleteDenied is 0
At the end of cycle 2944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256
Verify mmd_bm_reasonLoadCompleteDenied is 0
At the end of cycle 3241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256
Verify mmd_bm_reasonLoadCompleteDenied is 0
At the end of cycle 3242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3243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</si>
  <si>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3244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3245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3246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3247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3248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3249 For 296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</si>
  <si>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3244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256
Verify mmd_bm_reasonLoadCompleteDenied is 0
At the end of cycle 3245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256
Verify mmd_bm_reasonLoadCompleteDenied is 0
At the end of cycle 3246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256
Verify mmd_bm_reasonLoadCompleteDenied is 0
At the end of cycle 3247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256
Verify mmd_bm_reasonLoadCompleteDenied is 0
At the end of cycle 3248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256
Verify mmd_bm_reasonLoadCompleteDenied is 0
At the end of cycle 3249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256
Verify mmd_bm_reasonLoadCompleteDenied is 0</t>
  </si>
  <si>
    <t>At cycle 3545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3546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3547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3548 For 297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3845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3846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3847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</si>
  <si>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3545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256
Verify mmd_bm_reasonLoadCompleteDenied is 0
At the end of cycle 3546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256
Verify mmd_bm_reasonLoadCompleteDenied is 0
At the end of cycle 3547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256
Verify mmd_bm_reasonLoadCompleteDenied is 0
At the end of cycle 3548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256
Verify mmd_bm_reasonLoadCompleteDenied is 0
At the end of cycle 3845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256
Verify mmd_bm_reasonLoadCompleteDenied is 0
At the end of cycle 3846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3847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</si>
  <si>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3848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3849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3850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3851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3852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3853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3854 For 297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4151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4152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4153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***Error****</t>
  </si>
  <si>
    <t>At the end of cycle 3848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256
Verify mmd_bm_reasonLoadCompleteDenied is 0
At the end of cycle 3849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256
Verify mmd_bm_reasonLoadCompleteDenied is 0
At the end of cycle 3850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256
Verify mmd_bm_reasonLoadCompleteDenied is 0
At the end of cycle 3851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3852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3853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3854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
At the end of cycle 4151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4152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4153
Verify mmd_enum_systemMode is MM_SYSTEM_MODE_REQ_T_LOCK_E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</si>
  <si>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4154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4155 For 197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4352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4353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4354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4355 For 1 cycles
Set isd_enum_initStatus to IS_INIT_COMPLETED_E
Set lvcd_enum_turretLockStatus to LVC_UNLOCKED_E
Set lvcd_enum_ignitionKeyStatus to LVC_IGNITION_OFF_E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DB_STEER_METHOD_UNAVAILABLE_E
Set ntd_flg_neutralDisabled to 0
Set emd_flg_lvcModeApproved to 1
Set dcd_flg_speedFLValid to 1
Set dcd_vel_tugWsFL_mps to 25
Set dcd_flg_speedRLValid to 1
Set dcd_vel_tugWsRL_mps to 25
Set dcd_flg_speedFRValid to 1
Set dcd_vel_tugWsFR_mps to 25
Set dcd_flg_speedRRValid to 0
Set dcd_vel_tugWsRR_mps to 0
Set csd_enum_estopSwitchStatus to CS_SWITCH_NOT_REQUESTED_E
Set dpvd_flg_dmpPosAndVelValid to 0
Set dpvd_vel_dmpVelocity_mmps to 0
Set loctfd_flg_svVelValid to 0
Set loctfd_vel_svVel_mps to 0
***Error****
At cycle 4356 For 1 cycles
Set isd_enum_initStatus to IS_INIT_COMPLETED_E
Set lvcd_enum_turretLockStatus to LVC_TURRET_LOCK_ERROR_E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***Error****
At cycle 4357 For 1 cycles
Set isd_enum_initStatus to IS_INIT_COMPLETED_E
Set lvcd_enum_turretLockStatus to LVC_TURRET_LOCK_ERROR_E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4358 For 197 cycles
Set isd_enum_initStatus to IS_INIT_COMPLETED_E
Set lvcd_enum_turretLockStatus to LVC_TURRET_LOCK_ERROR_E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</si>
  <si>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4154
Verify mmd_enum_systemMode is MM_SYSTEM_MODE_REQ_T_LOCK_E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4155
Verify mmd_enum_systemMode is MM_SYSTEM_MODE_REQ_T_LOCK_E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4352
Verify mmd_enum_systemMode is MM_SYSTEM_MODE_REQ_T_LOCK_E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4353
Verify mmd_enum_systemMode is MM_SYSTEM_MODE_REQ_T_LOCK_E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4354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1
Verify mmd_flg_turretUnLockFailed is 0
Verify mmd_bm_illegalTransReqst is 0
Verify mmd_bm_reasonLoadCompleteDenied is 0
At the end of cycle 4355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17
Verify mmd_flg_neutralFailed is 0
Verify mmd_flg_turretLockFailed is 1
Verify mmd_flg_turretUnLockFailed is 0
Verify mmd_bm_illegalTransReqst is 0
Verify mmd_bm_reasonLoadCompleteDenied is 0
At the end of cycle 4356
Verify mmd_enum_systemMode is MM_SYSTEM_MODE_REQ_T_LOCK_E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4357
Verify mmd_enum_systemMode is MM_SYSTEM_MODE_REQ_T_LOCK_E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4358
Verify mmd_enum_systemMode is MM_SYSTEM_MODE_REQ_T_LOCK_E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</si>
  <si>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4555 For 1 cycles
Set isd_enum_initStatus to IS_INIT_COMPLETED_E
Set lvcd_enum_turretLockStatus to LVC_TURRET_LOCK_ERROR_E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4556 For 1 cycles
Set isd_enum_initStatus to IS_INIT_COMPLETED_E
Set lvcd_enum_turretLockStatus to LVC_TURRET_LOCK_ERROR_E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4557 For 1 cycles
Set isd_enum_initStatus to IS_INIT_COMPLETED_E
Set lvcd_enum_turretLockStatus to LVC_TURRET_LOCK_ERROR_E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4558 For 1 cycles
Set isd_enum_initStatus to IS_INIT_COMPLETED_E
Set lvcd_enum_turretLockStatus to LVC_UNLOCKED_E
Set lvcd_enum_ignitionKeyStatus to LVC_IGNITION_OFF_E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DB_STEER_METHOD_UNAVAILABLE_E
Set ntd_flg_neutralDisabled to 0
Set emd_flg_lvcModeApproved to 1
Set dcd_flg_speedFLValid to 1
Set dcd_vel_tugWsFL_mps to 25
Set dcd_flg_speedRLValid to 1
Set dcd_vel_tugWsRL_mps to 25
Set dcd_flg_speedFRValid to 1
Set dcd_vel_tugWsFR_mps to 25
Set dcd_flg_speedRRValid to 0
Set dcd_vel_tugWsRR_mps to 0
Set csd_enum_estopSwitchStatus to CS_SWITCH_NOT_REQUESTED_E
Set dpvd_flg_dmpPosAndVelValid to 0
Set dpvd_vel_dmpVelocity_mmps to 0
Set loctfd_flg_svVelValid to 0
Set loctfd_vel_svVel_mps to 0
At cycle 4559 For 1 cycles
Set isd_enum_initStatus to IS_INIT_COMPLETED_E
Set lvcd_enum_turretLockStatus to LVC_TURRET_LOCK_ERROR_E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***Error****
At cycle 4560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4561 For 197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4758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4759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</si>
  <si>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4555
Verify mmd_enum_systemMode is MM_SYSTEM_MODE_REQ_T_LOCK_E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4556
Verify mmd_enum_systemMode is MM_SYSTEM_MODE_REQ_T_LOCK_E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4557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1
Verify mmd_flg_turretUnLockFailed is 0
Verify mmd_bm_illegalTransReqst is 0
Verify mmd_bm_reasonLoadCompleteDenied is 0
At the end of cycle 4558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17
Verify mmd_flg_neutralFailed is 0
Verify mmd_flg_turretLockFailed is 1
Verify mmd_flg_turretUnLockFailed is 0
Verify mmd_bm_illegalTransReqst is 0
Verify mmd_bm_reasonLoadCompleteDenied is 0
At the end of cycle 4559
Verify mmd_enum_systemMode is MM_SYSTEM_MODE_REQ_T_LOCK_E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4560
Verify mmd_enum_systemMode is MM_SYSTEM_MODE_REQ_T_LOCK_E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4561
Verify mmd_enum_systemMode is MM_SYSTEM_MODE_REQ_T_LOCK_E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4758
Verify mmd_enum_systemMode is MM_SYSTEM_MODE_REQ_T_LOCK_E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4759
Verify mmd_enum_systemMode is MM_SYSTEM_MODE_REQ_T_LOCK_E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</si>
  <si>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4760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***Error****
At cycle 4761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4762 For 296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5058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5059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5060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5061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***Error****
At cycle 5062 For 1 cycles
Set isd_enum_initStatus to IS_INIT_COMPLETED_E
Set lvcd_enum_turretLockStatus to LVC_LOCKED_E
Set lvcd_enum_ignitionKeyStatus to LVC_IGNITION_OFF_E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SM_FAIL_PASSIVE_E
Set dbd_enum_acSteeringMethod to DB_STEER_METHOD_SBW_E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***Error****</t>
  </si>
  <si>
    <t>At the end of cycle 4760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1
Verify mmd_flg_turretUnLockFailed is 0
Verify mmd_bm_illegalTransReqst is 0
Verify mmd_bm_reasonLoadCompleteDenied is 0
At the end of cycle 4761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2
Verify mmd_flg_neutralFailed is 0
Verify mmd_flg_turretLockFailed is 1
Verify mmd_flg_turretUnLockFailed is 0
Verify mmd_bm_illegalTransReqst is 0
Verify mmd_bm_reasonLoadCompleteDenied is 0
At the end of cycle 4762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2
Verify mmd_flg_neutralFailed is 0
Verify mmd_flg_turretLockFailed is 1
Verify mmd_flg_turretUnLockFailed is 0
Verify mmd_bm_illegalTransReqst is 0
Verify mmd_bm_reasonLoadCompleteDenied is 0
At the end of cycle 5058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2
Verify mmd_flg_neutralFailed is 0
Verify mmd_flg_turretLockFailed is 1
Verify mmd_flg_turretUnLockFailed is 0
Verify mmd_bm_illegalTransReqst is 0
Verify mmd_bm_reasonLoadCompleteDenied is 0
At the end of cycle 5059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2
Verify mmd_flg_neutralFailed is 0
Verify mmd_flg_turretLockFailed is 1
Verify mmd_flg_turretUnLockFailed is 0
Verify mmd_bm_illegalTransReqst is 0
Verify mmd_bm_reasonLoadCompleteDenied is 0
At the end of cycle 5060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2
Verify mmd_flg_neutralFailed is 0
Verify mmd_flg_turretLockFailed is 0
Verify mmd_flg_turretUnLockFailed is 0
Verify mmd_bm_illegalTransReqst is 0
Verify mmd_bm_reasonLoadCompleteDenied is 0
At the end of cycle 5061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5062
Verify mmd_enum_systemMode is MM_SYSTEM_MODE_SHUTDOWN_E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</si>
  <si>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 For 500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501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502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503 For 498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1001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1002 For 1 cycles
Set isd_enum_initStatus to IS_INIT_COMPLETED_E
Set lvcd_enum_turretLockStatus to LVC_UNLOCKED_E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</si>
  <si>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501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503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1001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</si>
  <si>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1003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1004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***Error****
At cycle 1005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LVC_PIN_OUT_E
Set lvcd_enum_operatStationPos to LVC_FWD_E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1006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***Error****
At cycle 1007 For 1 cycles
Set isd_enum_initStatus to IS_INIT_COMPLETED_E
Set lvcd_enum_turretLockStatus to LVC_UNLOCKED_E
Set lvcd_enum_ignitionKeyStatus to LVC_IGNITION_OFF_E
Set lvcd_enum_fwdNeuRevPos to LVC_NEUTRAL_E
Set lvcd_enum_parkBrkReq to LVC_REQ_ENGAGE_E
Set lvcd_enum_parkBrakeStatus to LVC_APPLIED_E
Set lvcd_enum_loadJoystick to LVC_LOAD_UNAVAILBLE_E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SM_EMERGENCY_STOP_E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***Error****</t>
  </si>
  <si>
    <t>At the end of cycle 1003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1004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193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1005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1006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1007
Verify mmd_enum_systemMode is MM_SYSTEM_MODE_SHUTDOWN_E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</si>
  <si>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1003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***Error****</t>
  </si>
  <si>
    <t>At the end of cycle 1003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1004
Verify mmd_enum_systemMode is MM_SYSTEM_MODE_PRE_MISSION_E
Verify mmd_enum_pcmDcmMode is MM_NONE_E
Verify mmd_enum_turretLockRequest is MM_TURRET_LOCK_LOCK_E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1005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1006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</si>
  <si>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1007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</si>
  <si>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1007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</si>
  <si>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1008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CS_SWITCH_INVALID_E
Set csd_enum_pcmSwitchStatus to CS_SWITCH_INVALID_E
Set csd_enum_neutralSwitchStatus to CS_SWITCH_INVALID_E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</si>
  <si>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1008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</si>
  <si>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1009 For 1 cycles
Set isd_enum_initStatus to IS_INIT_COMPLETED_E
Set lvcd_enum_turretLockStatus to LVC_LOCKED_E
Set lvcd_enum_ignitionKeyStatus to LVC_IGNITION_OFF_E
Set lvcd_enum_fwdNeuRevPos to LVC_NEUTRAL_E
Set lvcd_enum_parkBrkReq to LVC_REQ_DISENGAGE_E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</si>
  <si>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1009
Verify mmd_enum_systemMode is MM_SYSTEM_MODE_STEER_BY_WIRE_E
Verify mmd_enum_pcmDcmMode is MM_PCM_E
Verify mmd_enum_turretLockRequest is MM_TURRET_LOCK_LOCK_E
Verify mmd_enum_ctrlModeToApply is MM_HLC_E
Verify mmd_bm_reasonPcmDenied is 0
Verify mmd_bm_reasonDcmDenied1 is 4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</si>
  <si>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1010 For 1 cycles
Set isd_enum_initStatus to IS_INIT_COMPLETED_E
Set lvcd_enum_turretLockStatus to LVC_LOCKED_E
Set lvcd_enum_ignitionKeyStatus to LVC_IGNITION_OFF_E
Set lvcd_enum_fwdNeuRevPos to LVC_NEUTRAL_E
Set lvcd_enum_parkBrkReq to LVC_REQ_NOT_AVAILABLE_E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1
Set acd_flg_arincValid to 1
Set smd_enum_safetyMode to SM_FAIL_ACTIVE_E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</si>
  <si>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1010
Verify mmd_enum_systemMode is MM_SYSTEM_MODE_STEER_BY_WIRE_E
Verify mmd_enum_pcmDcmMode is MM_PCM_E
Verify mmd_enum_turretLockRequest is MM_TURRET_LOCK_LOCK_E
Verify mmd_enum_ctrlModeToApply is MM_HLC_E
Verify mmd_bm_reasonPcmDenied is 0
Verify mmd_bm_reasonDcmDenied1 is 4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</si>
  <si>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1011 For 1 cycles
Set isd_enum_initStatus to IS_INIT_COMPLETED_E
Set lvcd_enum_turretLockStatus to LVC_LOCKED_E
Set lvcd_enum_ignitionKeyStatus to LVC_IGNITION_ON_E
Set lvcd_enum_fwdNeuRevPos to LVC_NEUTRAL_E
Set lvcd_enum_parkBrkReq to LVC_REQ_ERROR_E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</si>
  <si>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1011
Verify mmd_enum_systemMode is MM_SYSTEM_MODE_STEER_BY_WIRE_E
Verify mmd_enum_pcmDcmMode is MM_PCM_E
Verify mmd_enum_turretLockRequest is MM_TURRET_LOCK_LOCK_E
Verify mmd_enum_ctrlModeToApply is MM_HLC_E
Verify mmd_bm_reasonPcmDenied is 0
Verify mmd_bm_reasonDcmDenied1 is 4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</si>
  <si>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1012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</si>
  <si>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1012
Verify mmd_enum_systemMode is MM_SYSTEM_MODE_STEER_BY_WIRE_E
Verify mmd_enum_pcmDcmMode is MM_PCM_E
Verify mmd_enum_turretLockRequest is MM_TURRET_LOCK_LOCK_E
Verify mmd_enum_ctrlModeToApply is MM_HLC_E
Verify mmd_bm_reasonPcmDenied is 0
Verify mmd_bm_reasonDcmDenied1 is 2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</si>
  <si>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1013 For 1 cycles
Set isd_enum_initStatus to IS_INIT_COMPLETED_E
Set lvcd_enum_turretLockStatus to LVC_LOCKED_E
Set lvcd_enum_ignitionKeyStatus to LVC_IGNITION_ERROR_E
Set lvcd_enum_fwdNeuRevPos to LVC_REVERSE_E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1
Set acd_flg_arincValid to 1
Set smd_enum_safetyMode to SM_FAIL_PASSIVE_E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</si>
  <si>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1013
Verify mmd_enum_systemMode is MM_SYSTEM_MODE_STEER_BY_WIRE_E
Verify mmd_enum_pcmDcmMode is MM_PCM_E
Verify mmd_enum_turretLockRequest is MM_TURRET_LOCK_LOCK_E
Verify mmd_enum_ctrlModeToApply is MM_HLC_E
Verify mmd_bm_reasonPcmDenied is 0
Verify mmd_bm_reasonDcmDenied1 is 2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</si>
  <si>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1014 For 1 cycles
Set isd_enum_initStatus to IS_INIT_COMPLETED_E
Set lvcd_enum_turretLockStatus to LVC_LOCKED_E
Set lvcd_enum_ignitionKeyStatus to LVC_IGNITION_ON_E
Set lvcd_enum_fwdNeuRevPos to LVC_FNR_STATE_ERROR_E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1
Set acd_flg_arincValid to 1
Set smd_enum_safetyMode to SM_FAIL_PASSIVE_E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</si>
  <si>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1014
Verify mmd_enum_systemMode is MM_SYSTEM_MODE_STEER_BY_WIRE_E
Verify mmd_enum_pcmDcmMode is MM_PCM_E
Verify mmd_enum_turretLockRequest is MM_TURRET_LOCK_LOCK_E
Verify mmd_enum_ctrlModeToApply is MM_HLC_E
Verify mmd_bm_reasonPcmDenied is 0
Verify mmd_bm_reasonDcmDenied1 is 2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</si>
  <si>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1015 For 1 cycles
Set isd_enum_initStatus to IS_INIT_COMPLETED_E
Set lvcd_enum_turretLockStatus to LVC_LOCKED_E
Set lvcd_enum_ignitionKeyStatus to LVC_IGNITION_OFF_E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CS_SWITCH_REQUESTED_E
Set csd_enum_neutralSwitchStatus to CS_SWITCH_REQUESTED_E
Set tasd_flg_turretValid to 1
Set acd_flg_arincValid to 1
Set smd_enum_safetyMode to SM_FAIL_PASSIVE_E
Set dbd_enum_acSteeringMethod to DB_STEER_METHOD_TURRET_E
Set ntd_flg_neutralDisabled to 0
Set emd_flg_lvcModeApproved to 0
Set dcd_flg_speedFLValid to 1
Set dcd_vel_tugWsFL_mps to 25
Set dcd_flg_speedRLValid to 1
Set dcd_vel_tugWsRL_mps to 25
Set dcd_flg_speedFRValid to 1
Set dcd_vel_tugWsFR_mps to 25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</si>
  <si>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1015
Verify mmd_enum_systemMode is MM_SYSTEM_MODE_STEER_BY_WIRE_E
Verify mmd_enum_pcmDcmMode is MM_PCM_E
Verify mmd_enum_turretLockRequest is MM_TURRET_LOCK_LOCK_E
Verify mmd_enum_ctrlModeToApply is MM_HLC_E
Verify mmd_bm_reasonPcmDenied is 0
Verify mmd_bm_reasonDcmDenied1 is 1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</si>
  <si>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1016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</si>
  <si>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1016
Verify mmd_enum_systemMode is MM_SYSTEM_MODE_STEER_BY_WIRE_E
Verify mmd_enum_pcmDcmMode is MM_PCM_E
Verify mmd_enum_turretLockRequest is MM_TURRET_LOCK_LOCK_E
Verify mmd_enum_ctrlModeToApply is MM_HLC_E
Verify mmd_bm_reasonPcmDenied is 0
Verify mmd_bm_reasonDcmDenied1 is 128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</si>
  <si>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1017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CS_SWITCH_INVALID_E
Set csd_enum_pcmSwitchStatus to CS_SWITCH_INVALID_E
Set csd_enum_neutralSwitchStatus to CS_SWITCH_INVALID_E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</si>
  <si>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1017
Verify mmd_enum_systemMode is MM_SYSTEM_MODE_STEER_BY_WIRE_E
Verify mmd_enum_pcmDcmMode is MM_PCM_E
Verify mmd_enum_turretLockRequest is MM_TURRET_LOCK_LOCK_E
Verify mmd_enum_ctrlModeToApply is MM_HLC_E
Verify mmd_bm_reasonPcmDenied is 0
Verify mmd_bm_reasonDcmDenied1 is 128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</si>
  <si>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1018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1
Set dcd_vel_tugWsFL_mps to 25
Set dcd_flg_speedRLValid to 1
Set dcd_vel_tugWsRL_mps to 25
Set dcd_flg_speedFRValid to 1
Set dcd_vel_tugWsFR_mps to 25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</si>
  <si>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1018
Verify mmd_enum_systemMode is MM_SYSTEM_MODE_STEER_BY_WIRE_E
Verify mmd_enum_pcmDcmMode is MM_PCM_E
Verify mmd_enum_turretLockRequest is MM_TURRET_LOCK_LOCK_E
Verify mmd_enum_ctrlModeToApply is MM_HLC_E
Verify mmd_bm_reasonPcmDenied is 0
Verify mmd_bm_reasonDcmDenied1 is 3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</si>
  <si>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1019 For 1 cycles
Set isd_enum_initStatus to IS_INIT_COMPLETED_E
Set lvcd_enum_turretLockStatus to LVC_LOCKED_E
Set lvcd_enum_ignitionKeyStatus to LVC_IGNITION_ON_E
Set lvcd_enum_fwdNeuRevPos to LVC_NEUTRAL_E
Set lvcd_enum_parkBrkReq to LVC_REQ_DISENGAGE_E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</si>
  <si>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1019
Verify mmd_enum_systemMode is MM_SYSTEM_MODE_STEER_BY_WIRE_E
Verify mmd_enum_pcmDcmMode is MM_PCM_E
Verify mmd_enum_turretLockRequest is MM_TURRET_LOCK_LOCK_E
Verify mmd_enum_ctrlModeToApply is MM_HLC_E
Verify mmd_bm_reasonPcmDenied is 0
Verify mmd_bm_reasonDcmDenied1 is 4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</si>
  <si>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1020 For 1 cycles
Set isd_enum_initStatus to IS_INIT_COMPLETED_E
Set lvcd_enum_turretLockStatus to LVC_LOCKED_E
Set lvcd_enum_ignitionKeyStatus to LVC_IGNITION_ON_E
Set lvcd_enum_fwdNeuRevPos to LVC_REVERSE_E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1
Set dcd_vel_tugWsFL_mps to 25
Set dcd_flg_speedRLValid to 1
Set dcd_vel_tugWsRL_mps to 25
Set dcd_flg_speedFRValid to 1
Set dcd_vel_tugWsFR_mps to 25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</si>
  <si>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1020
Verify mmd_enum_systemMode is MM_SYSTEM_MODE_STEER_BY_WIRE_E
Verify mmd_enum_pcmDcmMode is MM_PCM_E
Verify mmd_enum_turretLockRequest is MM_TURRET_LOCK_LOCK_E
Verify mmd_enum_ctrlModeToApply is MM_HLC_E
Verify mmd_bm_reasonPcmDenied is 0
Verify mmd_bm_reasonDcmDenied1 is 3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</si>
  <si>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1021 For 1 cycles
Set isd_enum_initStatus to IS_INIT_COMPLETED_E
Set lvcd_enum_turretLockStatus to LVC_LOCKED_E
Set lvcd_enum_ignitionKeyStatus to LVC_IGNITION_ON_E
Set lvcd_enum_fwdNeuRevPos to LVC_NEUTRAL_E
Set lvcd_enum_parkBrkReq to LVC_REQ_NOT_AVAILABLE_E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</si>
  <si>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1021
Verify mmd_enum_systemMode is MM_SYSTEM_MODE_STEER_BY_WIRE_E
Verify mmd_enum_pcmDcmMode is MM_PCM_E
Verify mmd_enum_turretLockRequest is MM_TURRET_LOCK_LOCK_E
Verify mmd_enum_ctrlModeToApply is MM_HLC_E
Verify mmd_bm_reasonPcmDenied is 0
Verify mmd_bm_reasonDcmDenied1 is 4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</si>
  <si>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1022 For 1 cycles
Set isd_enum_initStatus to IS_INIT_COMPLETED_E
Set lvcd_enum_turretLockStatus to LVC_LOCKED_E
Set lvcd_enum_ignitionKeyStatus to LVC_IGNITION_ON_E
Set lvcd_enum_fwdNeuRevPos to LVC_FNR_STATE_ERROR_E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1
Set dcd_vel_tugWsFL_mps to 25
Set dcd_flg_speedRLValid to 1
Set dcd_vel_tugWsRL_mps to 25
Set dcd_flg_speedFRValid to 1
Set dcd_vel_tugWsFR_mps to 25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</si>
  <si>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1022
Verify mmd_enum_systemMode is MM_SYSTEM_MODE_STEER_BY_WIRE_E
Verify mmd_enum_pcmDcmMode is MM_PCM_E
Verify mmd_enum_turretLockRequest is MM_TURRET_LOCK_LOCK_E
Verify mmd_enum_ctrlModeToApply is MM_HLC_E
Verify mmd_bm_reasonPcmDenied is 0
Verify mmd_bm_reasonDcmDenied1 is 3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</si>
  <si>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1023 For 1 cycles
Set isd_enum_initStatus to IS_INIT_COMPLETED_E
Set lvcd_enum_turretLockStatus to LVC_LOCKED_E
Set lvcd_enum_ignitionKeyStatus to LVC_IGNITION_ON_E
Set lvcd_enum_fwdNeuRevPos to LVC_NEUTRAL_E
Set lvcd_enum_parkBrkReq to LVC_REQ_ERROR_E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</si>
  <si>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1023
Verify mmd_enum_systemMode is MM_SYSTEM_MODE_STEER_BY_WIRE_E
Verify mmd_enum_pcmDcmMode is MM_PCM_E
Verify mmd_enum_turretLockRequest is MM_TURRET_LOCK_LOCK_E
Verify mmd_enum_ctrlModeToApply is MM_HLC_E
Verify mmd_bm_reasonPcmDenied is 0
Verify mmd_bm_reasonDcmDenied1 is 4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</si>
  <si>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1024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1
Set dcd_vel_tugWsFL_mps to 25
Set dcd_flg_speedRLValid to 1
Set dcd_vel_tugWsRL_mps to 25
Set dcd_flg_speedFRValid to 1
Set dcd_vel_tugWsFR_mps to 25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</si>
  <si>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1024
Verify mmd_enum_systemMode is MM_SYSTEM_MODE_STEER_BY_WIRE_E
Verify mmd_enum_pcmDcmMode is MM_PCM_E
Verify mmd_enum_turretLockRequest is MM_TURRET_LOCK_LOCK_E
Verify mmd_enum_ctrlModeToApply is MM_HLC_E
Verify mmd_bm_reasonPcmDenied is 0
Verify mmd_bm_reasonDcmDenied1 is 131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</si>
  <si>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1025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1
Set dcd_vel_tugWsFL_mps to 25
Set dcd_flg_speedRLValid to 1
Set dcd_vel_tugWsRL_mps to 25
Set dcd_flg_speedFRValid to 1
Set dcd_vel_tugWsFR_mps to 25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</si>
  <si>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1025
Verify mmd_enum_systemMode is MM_SYSTEM_MODE_STEER_BY_WIRE_E
Verify mmd_enum_pcmDcmMode is MM_PCM_E
Verify mmd_enum_turretLockRequest is MM_TURRET_LOCK_LOCK_E
Verify mmd_enum_ctrlModeToApply is MM_HLC_E
Verify mmd_bm_reasonPcmDenied is 0
Verify mmd_bm_reasonDcmDenied1 is 3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</si>
  <si>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1026 For 1 cycles
Set isd_enum_initStatus to IS_INIT_COMPLETED_E
Set lvcd_enum_turretLockStatus to LVC_LOCKED_E
Set lvcd_enum_ignitionKeyStatus to LVC_IGNITION_ON_E
Set lvcd_enum_fwdNeuRevPos to LVC_NEUTRAL_E
Set lvcd_enum_parkBrkReq to LVC_REQ_ERROR_E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CS_SWITCH_INVALID_E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</si>
  <si>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1026
Verify mmd_enum_systemMode is MM_SYSTEM_MODE_STEER_BY_WIRE_E
Verify mmd_enum_pcmDcmMode is MM_PCM_E
Verify mmd_enum_turretLockRequest is MM_TURRET_LOCK_LOCK_E
Verify mmd_enum_ctrlModeToApply is MM_HLC_E
Verify mmd_bm_reasonPcmDenied is 0
Verify mmd_bm_reasonDcmDenied1 is 132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</si>
  <si>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1027 For 1 cycles
Set isd_enum_initStatus to IS_INIT_COMPLETED_E
Set lvcd_enum_turretLockStatus to LVC_LOCKED_E
Set lvcd_enum_ignitionKeyStatus to LVC_IGNITION_ON_E
Set lvcd_enum_fwdNeuRevPos to LVC_NEUTRAL_E
Set lvcd_enum_parkBrkReq to LVC_REQ_ERROR_E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1
Set dcd_vel_tugWsFL_mps to 25
Set dcd_flg_speedRLValid to 1
Set dcd_vel_tugWsRL_mps to 25
Set dcd_flg_speedFRValid to 1
Set dcd_vel_tugWsFR_mps to 25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</si>
  <si>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1027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1
Verify mmd_bm_reasonUnloadDenied is 0
Verify mmd_flg_neutralFailed is 0
Verify mmd_flg_turretLockFailed is 0
Verify mmd_flg_turretUnLockFailed is 0
Verify mmd_bm_illegalTransReqst is 0
Verify mmd_bm_reasonLoadCompleteDenied is 0</t>
  </si>
  <si>
    <t>At cycle 1028 For 1 cycles
Set isd_enum_initStatus to IS_INIT_COMPLETED_E
Set lvcd_enum_turretLockStatus to LVC_LOCKED_E
Set lvcd_enum_ignitionKeyStatus to LVC_IGNITION_ON_E
Set lvcd_enum_fwdNeuRevPos to LVC_NEUTRAL_E
Set lvcd_enum_parkBrkReq to LVC_REQ_ERROR_E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1
Set dcd_vel_tugWsFL_mps to 25
Set dcd_flg_speedRLValid to 1
Set dcd_vel_tugWsRL_mps to 25
Set dcd_flg_speedFRValid to 1
Set dcd_vel_tugWsFR_mps to 25
Set dcd_flg_speedRRValid to 0
Set dcd_vel_tugWsRR_mps to 0
Set csd_enum_estopSwitchStatus to CS_SWITCH_NOT_REQUESTED_E
Set dpvd_flg_dmpPosAndVelValid to 0
Set dpvd_vel_dmpVelocity_mmps to 0
Set loctfd_flg_svVelValid to 0
Set loctfd_vel_svVel_mps to 0
At cycle 1029 For 1 cycles
Set isd_enum_initStatus to IS_INIT_COMPLETED_E
Set lvcd_enum_turretLockStatus to LVC_LOCKED_E
Set lvcd_enum_ignitionKeyStatus to LVC_IGNITION_ON_E
Set lvcd_enum_fwdNeuRevPos to LVC_NEUTRAL_E
Set lvcd_enum_parkBrkReq to LVC_REQ_ERROR_E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</si>
  <si>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1028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1
Verify mmd_bm_reasonUnloadDenied is 0
Verify mmd_flg_neutralFailed is 0
Verify mmd_flg_turretLockFailed is 0
Verify mmd_flg_turretUnLockFailed is 0
Verify mmd_bm_illegalTransReqst is 0
Verify mmd_bm_reasonLoadCompleteDenied is 0
At the end of cycle 1029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0
Verify mmd_bm_reasonLoadCompleteDenied is 0</t>
  </si>
  <si>
    <t>At cycle 1030 For 1 cycles
Set isd_enum_initStatus to IS_INIT_COMPLETED_E
Set lvcd_enum_turretLockStatus to LVC_LOCKED_E
Set lvcd_enum_ignitionKeyStatus to LVC_IGNITION_ON_E
Set lvcd_enum_fwdNeuRevPos to LVC_NEUTRAL_E
Set lvcd_enum_parkBrkReq to LVC_REQ_ERROR_E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1
Set dcd_vel_tugWsFL_mps to 25
Set dcd_flg_speedRLValid to 1
Set dcd_vel_tugWsRL_mps to 25
Set dcd_flg_speedFRValid to 1
Set dcd_vel_tugWsFR_mps to 25
Set dcd_flg_speedRRValid to 0
Set dcd_vel_tugWsRR_mps to 0
Set csd_enum_estopSwitchStatus to CS_SWITCH_NOT_REQUESTED_E
Set dpvd_flg_dmpPosAndVelValid to 0
Set dpvd_vel_dmpVelocity_mmps to 0
Set loctfd_flg_svVelValid to 0
Set loctfd_vel_svVel_mps to 0
At cycle 1031 For 1 cycles
Set isd_enum_initStatus to IS_INIT_COMPLETED_E
Set lvcd_enum_turretLockStatus to LVC_LOCKED_E
Set lvcd_enum_ignitionKeyStatus to LVC_IGNITION_ON_E
Set lvcd_enum_fwdNeuRevPos to LVC_NEUTRAL_E
Set lvcd_enum_parkBrkReq to LVC_REQ_ERROR_E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CS_SWITCH_INVALID_E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</si>
  <si>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1030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1
Verify mmd_bm_reasonUnloadDenied is 0
Verify mmd_flg_neutralFailed is 0
Verify mmd_flg_turretLockFailed is 0
Verify mmd_flg_turretUnLockFailed is 0
Verify mmd_bm_illegalTransReqst is 0
Verify mmd_bm_reasonLoadCompleteDenied is 0
At the end of cycle 1031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0
Verify mmd_bm_reasonLoadCompleteDenied is 0</t>
  </si>
  <si>
    <t>At cycle 1032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1033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1034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1035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1036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1037 For 297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1334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1335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1336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</si>
  <si>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1032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1033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1034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1035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1036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1037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1334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1335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0
Verify mmd_bm_reasonLoadCompleteDenied is 0
At the end of cycle 1336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0
Verify mmd_bm_reasonLoadCompleteDenied is 0</t>
  </si>
  <si>
    <t>At cycle 1337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1338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1339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1340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1341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1342 For 296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1638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LVC_LOAD_ERROR_E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1639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1640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</si>
  <si>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1337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1338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1339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1340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1341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1342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1638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1639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1640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t>
  </si>
  <si>
    <t>At cycle 1641 For 297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1938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1939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1940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</si>
  <si>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1641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1938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1939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0
Verify mmd_bm_reasonLoadCompleteDenied is 0
At the end of cycle 1940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0
Verify mmd_bm_reasonLoadCompleteDenied is 0</t>
  </si>
  <si>
    <t>At cycle 1941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</si>
  <si>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1941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</si>
  <si>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1942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</si>
  <si>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1942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</si>
  <si>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1943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</si>
  <si>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1943
Verify mmd_enum_systemMode is MM_SYSTEM_MODE_NEUTRAL_E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</si>
  <si>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1944 For 1 cycles
Set isd_enum_initStatus to IS_INIT_COMPLETED_E
Set lvcd_enum_turretLockStatus to LVC_LOCKED_E
Set lvcd_enum_ignitionKeyStatus to LVC_IGNITION_OFF_E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SM_EMERGENCY_STOP_E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</si>
  <si>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1944
Verify mmd_enum_systemMode is MM_SYSTEM_MODE_SHUTDOWN_E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</si>
  <si>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1003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1006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LVC_PIN_OUT_E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***Error****</t>
  </si>
  <si>
    <t>At the end of cycle 1003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1004
Verify mmd_enum_systemMode is MM_SYSTEM_MODE_PRE_MISSION_E
Verify mmd_enum_pcmDcmMode is MM_NONE_E
Verify mmd_enum_turretLockRequest is MM_TURRET_LOCK_LOCK_E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1005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1006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</si>
  <si>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the end of cycle 1007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</si>
  <si>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the end of cycle 1008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</si>
  <si>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the end of cycle 1009
Verify mmd_enum_systemMode is MM_SYSTEM_MODE_TURRET_STEER_E
Verify mmd_enum_pcmDcmMode is MM_PCM_E
Verify mmd_enum_turretLockRequest is MM_TURRET_LOCK_UNLOCK_E
Verify mmd_enum_ctrlModeToApply is MM_HLC_E
Verify mmd_bm_reasonPcmDenied is 0
Verify mmd_bm_reasonDcmDenied1 is 4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</si>
  <si>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the end of cycle 1010
Verify mmd_enum_systemMode is MM_SYSTEM_MODE_TURRET_STEER_E
Verify mmd_enum_pcmDcmMode is MM_PCM_E
Verify mmd_enum_turretLockRequest is MM_TURRET_LOCK_UNLOCK_E
Verify mmd_enum_ctrlModeToApply is MM_HLC_E
Verify mmd_bm_reasonPcmDenied is 0
Verify mmd_bm_reasonDcmDenied1 is 4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</si>
  <si>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the end of cycle 1011
Verify mmd_enum_systemMode is MM_SYSTEM_MODE_TURRET_STEER_E
Verify mmd_enum_pcmDcmMode is MM_PCM_E
Verify mmd_enum_turretLockRequest is MM_TURRET_LOCK_UNLOCK_E
Verify mmd_enum_ctrlModeToApply is MM_HLC_E
Verify mmd_bm_reasonPcmDenied is 0
Verify mmd_bm_reasonDcmDenied1 is 4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</si>
  <si>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the end of cycle 1012
Verify mmd_enum_systemMode is MM_SYSTEM_MODE_TURRET_STEER_E
Verify mmd_enum_pcmDcmMode is MM_PCM_E
Verify mmd_enum_turretLockRequest is MM_TURRET_LOCK_UNLOCK_E
Verify mmd_enum_ctrlModeToApply is MM_HLC_E
Verify mmd_bm_reasonPcmDenied is 0
Verify mmd_bm_reasonDcmDenied1 is 2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</si>
  <si>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the end of cycle 1013
Verify mmd_enum_systemMode is MM_SYSTEM_MODE_TURRET_STEER_E
Verify mmd_enum_pcmDcmMode is MM_PCM_E
Verify mmd_enum_turretLockRequest is MM_TURRET_LOCK_UNLOCK_E
Verify mmd_enum_ctrlModeToApply is MM_HLC_E
Verify mmd_bm_reasonPcmDenied is 0
Verify mmd_bm_reasonDcmDenied1 is 2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</si>
  <si>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the end of cycle 1014
Verify mmd_enum_systemMode is MM_SYSTEM_MODE_TURRET_STEER_E
Verify mmd_enum_pcmDcmMode is MM_PCM_E
Verify mmd_enum_turretLockRequest is MM_TURRET_LOCK_UNLOCK_E
Verify mmd_enum_ctrlModeToApply is MM_HLC_E
Verify mmd_bm_reasonPcmDenied is 0
Verify mmd_bm_reasonDcmDenied1 is 2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</si>
  <si>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the end of cycle 1015
Verify mmd_enum_systemMode is MM_SYSTEM_MODE_TURRET_STEER_E
Verify mmd_enum_pcmDcmMode is MM_PCM_E
Verify mmd_enum_turretLockRequest is MM_TURRET_LOCK_UNLOCK_E
Verify mmd_enum_ctrlModeToApply is MM_HLC_E
Verify mmd_bm_reasonPcmDenied is 0
Verify mmd_bm_reasonDcmDenied1 is 1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</si>
  <si>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the end of cycle 1016
Verify mmd_enum_systemMode is MM_SYSTEM_MODE_TURRET_STEER_E
Verify mmd_enum_pcmDcmMode is MM_PCM_E
Verify mmd_enum_turretLockRequest is MM_TURRET_LOCK_UNLOCK_E
Verify mmd_enum_ctrlModeToApply is MM_HLC_E
Verify mmd_bm_reasonPcmDenied is 0
Verify mmd_bm_reasonDcmDenied1 is 128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</si>
  <si>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the end of cycle 1017
Verify mmd_enum_systemMode is MM_SYSTEM_MODE_TURRET_STEER_E
Verify mmd_enum_pcmDcmMode is MM_PCM_E
Verify mmd_enum_turretLockRequest is MM_TURRET_LOCK_UNLOCK_E
Verify mmd_enum_ctrlModeToApply is MM_HLC_E
Verify mmd_bm_reasonPcmDenied is 0
Verify mmd_bm_reasonDcmDenied1 is 128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</si>
  <si>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the end of cycle 1018
Verify mmd_enum_systemMode is MM_SYSTEM_MODE_TURRET_STEER_E
Verify mmd_enum_pcmDcmMode is MM_PCM_E
Verify mmd_enum_turretLockRequest is MM_TURRET_LOCK_UNLOCK_E
Verify mmd_enum_ctrlModeToApply is MM_HLC_E
Verify mmd_bm_reasonPcmDenied is 0
Verify mmd_bm_reasonDcmDenied1 is 3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</si>
  <si>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the end of cycle 1019
Verify mmd_enum_systemMode is MM_SYSTEM_MODE_TURRET_STEER_E
Verify mmd_enum_pcmDcmMode is MM_PCM_E
Verify mmd_enum_turretLockRequest is MM_TURRET_LOCK_UNLOCK_E
Verify mmd_enum_ctrlModeToApply is MM_HLC_E
Verify mmd_bm_reasonPcmDenied is 0
Verify mmd_bm_reasonDcmDenied1 is 4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</si>
  <si>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the end of cycle 1020
Verify mmd_enum_systemMode is MM_SYSTEM_MODE_TURRET_STEER_E
Verify mmd_enum_pcmDcmMode is MM_PCM_E
Verify mmd_enum_turretLockRequest is MM_TURRET_LOCK_UNLOCK_E
Verify mmd_enum_ctrlModeToApply is MM_HLC_E
Verify mmd_bm_reasonPcmDenied is 0
Verify mmd_bm_reasonDcmDenied1 is 3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</si>
  <si>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the end of cycle 1021
Verify mmd_enum_systemMode is MM_SYSTEM_MODE_TURRET_STEER_E
Verify mmd_enum_pcmDcmMode is MM_PCM_E
Verify mmd_enum_turretLockRequest is MM_TURRET_LOCK_UNLOCK_E
Verify mmd_enum_ctrlModeToApply is MM_HLC_E
Verify mmd_bm_reasonPcmDenied is 0
Verify mmd_bm_reasonDcmDenied1 is 4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</si>
  <si>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the end of cycle 1022
Verify mmd_enum_systemMode is MM_SYSTEM_MODE_TURRET_STEER_E
Verify mmd_enum_pcmDcmMode is MM_PCM_E
Verify mmd_enum_turretLockRequest is MM_TURRET_LOCK_UNLOCK_E
Verify mmd_enum_ctrlModeToApply is MM_HLC_E
Verify mmd_bm_reasonPcmDenied is 0
Verify mmd_bm_reasonDcmDenied1 is 3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</si>
  <si>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the end of cycle 1023
Verify mmd_enum_systemMode is MM_SYSTEM_MODE_TURRET_STEER_E
Verify mmd_enum_pcmDcmMode is MM_PCM_E
Verify mmd_enum_turretLockRequest is MM_TURRET_LOCK_UNLOCK_E
Verify mmd_enum_ctrlModeToApply is MM_HLC_E
Verify mmd_bm_reasonPcmDenied is 0
Verify mmd_bm_reasonDcmDenied1 is 4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</si>
  <si>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the end of cycle 1024
Verify mmd_enum_systemMode is MM_SYSTEM_MODE_TURRET_STEER_E
Verify mmd_enum_pcmDcmMode is MM_PCM_E
Verify mmd_enum_turretLockRequest is MM_TURRET_LOCK_UNLOCK_E
Verify mmd_enum_ctrlModeToApply is MM_HLC_E
Verify mmd_bm_reasonPcmDenied is 0
Verify mmd_bm_reasonDcmDenied1 is 131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</si>
  <si>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the end of cycle 1025
Verify mmd_enum_systemMode is MM_SYSTEM_MODE_TURRET_STEER_E
Verify mmd_enum_pcmDcmMode is MM_PCM_E
Verify mmd_enum_turretLockRequest is MM_TURRET_LOCK_UNLOCK_E
Verify mmd_enum_ctrlModeToApply is MM_HLC_E
Verify mmd_bm_reasonPcmDenied is 0
Verify mmd_bm_reasonDcmDenied1 is 3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</si>
  <si>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the end of cycle 1026
Verify mmd_enum_systemMode is MM_SYSTEM_MODE_TURRET_STEER_E
Verify mmd_enum_pcmDcmMode is MM_PCM_E
Verify mmd_enum_turretLockRequest is MM_TURRET_LOCK_UNLOCK_E
Verify mmd_enum_ctrlModeToApply is MM_HLC_E
Verify mmd_bm_reasonPcmDenied is 0
Verify mmd_bm_reasonDcmDenied1 is 132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</si>
  <si>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the end of cycle 1027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1
Verify mmd_bm_reasonUnloadDenied is 0
Verify mmd_flg_neutralFailed is 0
Verify mmd_flg_turretLockFailed is 0
Verify mmd_flg_turretUnLockFailed is 0
Verify mmd_bm_illegalTransReqst is 0
Verify mmd_bm_reasonLoadCompleteDenied is 0</t>
  </si>
  <si>
    <t>At the end of cycle 1028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1
Verify mmd_bm_reasonUnloadDenied is 0
Verify mmd_flg_neutralFailed is 0
Verify mmd_flg_turretLockFailed is 0
Verify mmd_flg_turretUnLockFailed is 0
Verify mmd_bm_illegalTransReqst is 0
Verify mmd_bm_reasonLoadCompleteDenied is 0
At the end of cycle 1029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0
Verify mmd_bm_reasonLoadCompleteDenied is 0</t>
  </si>
  <si>
    <t>At the end of cycle 1030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1
Verify mmd_bm_reasonUnloadDenied is 0
Verify mmd_flg_neutralFailed is 0
Verify mmd_flg_turretLockFailed is 0
Verify mmd_flg_turretUnLockFailed is 0
Verify mmd_bm_illegalTransReqst is 0
Verify mmd_bm_reasonLoadCompleteDenied is 0
At the end of cycle 1031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0
Verify mmd_bm_reasonLoadCompleteDenied is 0</t>
  </si>
  <si>
    <t>At the end of cycle 1032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1033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1034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1035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1036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1037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1334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1335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0
Verify mmd_bm_reasonLoadCompleteDenied is 0
At the end of cycle 1336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0
Verify mmd_bm_reasonLoadCompleteDenied is 0</t>
  </si>
  <si>
    <t>At cycle 1337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1338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1339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1340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1341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1342 For 296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</si>
  <si>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1337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1338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1339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1340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1341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1342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t>
  </si>
  <si>
    <t>At cycle 1638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LVC_LOAD_ERROR_E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1639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1640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1641 For 297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1938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1939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1940 For 1 cycles
Set isd_enum_initStatus to IS_INIT_COMPLETED_E
Set lvcd_enum_turretLockStatus to LVC_LOCKED_E
Set lvcd_enum_ignitionKeyStatus to LVC_IGNITION_ON_E
Set lvcd_enum_fwdNeuRevPos to LVC_FORWARD_E
Set lvcd_enum_parkBrkReq to LVC_REQ_ERROR_E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</si>
  <si>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1638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1639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1640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1641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1938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32
Verify mmd_bm_reasonLoadCompleteDenied is 0
At the end of cycle 1939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0
Verify mmd_bm_reasonLoadCompleteDenied is 0
At the end of cycle 1940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128
Verify mmd_bm_reasonUnloadDenied is 0
Verify mmd_flg_neutralFailed is 0
Verify mmd_flg_turretLockFailed is 0
Verify mmd_flg_turretUnLockFailed is 0
Verify mmd_bm_illegalTransReqst is 0
Verify mmd_bm_reasonLoadCompleteDenied is 0</t>
  </si>
  <si>
    <t>At cycle 1942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LVC_PIN_OUT_E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</si>
  <si>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1942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</si>
  <si>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the end of cycle 1943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</si>
  <si>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1944 For 1 cycles
Set isd_enum_initStatus to IS_INIT_COMPLETED_E
Set lvcd_enum_turretLockStatus to LVC_LOCKED_E
Set lvcd_enum_ignitionKeyStatus to LVC_IGNITION_OFF_E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SM_FAIL_PASSIVE_E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</si>
  <si>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1944
Verify mmd_enum_systemMode is MM_SYSTEM_MODE_SHUTDOWN_E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</si>
  <si>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1004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1006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LVC_PIN_OUT_E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</si>
  <si>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1004
Verify mmd_enum_systemMode is MM_SYSTEM_MODE_PRE_MISSION_E
Verify mmd_enum_pcmDcmMode is MM_NONE_E
Verify mmd_enum_turretLockRequest is MM_TURRET_LOCK_LOCK_E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1005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1006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1007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</si>
  <si>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1008 For 1 cycles
Set isd_enum_initStatus to IS_INIT_COMPLETED_E
Set lvcd_enum_turretLockStatus to LVC_LOCKED_E
Set lvcd_enum_ignitionKeyStatus to LVC_IGNITION_OFF_E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SM_EMERGENCY_STOP_E
Set dbd_enum_acSteeringMethod to DB_STEER_METHOD_SBW_E
Set ntd_flg_neutralDisabled to 0
Set emd_flg_lvcModeApproved to 0
Set dcd_flg_speedFLValid to 1
Set dcd_vel_tugWsFL_mps to 10
Set dcd_flg_speedRLValid to 1
Set dcd_vel_tugWsRL_mps to 10
Set dcd_flg_speedFRValid to 1
Set dcd_vel_tugWsFR_mps to 10
Set dcd_flg_speedRRValid to 0
Set dcd_vel_tugWsRR_mps to 0
Set csd_enum_estopSwitchStatus to CS_SWITCH_NOT_REQUESTED_E
Set dpvd_flg_dmpPosAndVelValid to 0
Set dpvd_vel_dmpVelocity_mmps to 0
Set loctfd_flg_svVelValid to 0
Set loctfd_vel_svVel_mps to 0
At cycle 1009 For 1 cycles
Set isd_enum_initStatus to IS_INIT_COMPLETED_E
Set lvcd_enum_turretLockStatus to LVC_LOCKED_E
Set lvcd_enum_ignitionKeyStatus to LVC_IGNITION_OFF_E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1010 For 1 cycles
Set isd_enum_initStatus to IS_INIT_COMPLETED_E
Set lvcd_enum_turretLockStatus to LVC_LOCKED_E
Set lvcd_enum_ignitionKeyStatus to LVC_IGNITION_OFF_E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SM_FAIL_ACTIVE_E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</si>
  <si>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1008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1009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1010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</si>
  <si>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1011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SM_EMERGENCY_STOP_E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1012 For 1 cycles
Set isd_enum_initStatus to IS_INIT_COMPLETED_E
Set lvcd_enum_turretLockStatus to LVC_LOCKED_E
Set lvcd_enum_ignitionKeyStatus to LVC_IGNITION_ON2_E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SM_EMERGENCY_STOP_E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1013 For 1 cycles
Set isd_enum_initStatus to IS_INIT_COMPLETED_E
Set lvcd_enum_turretLockStatus to LVC_LOCKED_E
Set lvcd_enum_ignitionKeyStatus to LVC_IGNITION_ERROR_E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CS_SWITCH_REQUESTED_E
Set tasd_flg_turretValid to 1
Set acd_flg_arincValid to 1
Set smd_enum_safetyMode to SM_EMERGENCY_STOP_E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1014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CS_SWITCH_REQUESTED_E
Set tasd_flg_turretValid to 1
Set acd_flg_arincValid to 1
Set smd_enum_safetyMode to SM_FAIL_PASSIVE_E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1015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1
Set dcd_vel_tugWsFL_mps to 10
Set dcd_flg_speedRLValid to 1
Set dcd_vel_tugWsRL_mps to 10
Set dcd_flg_speedFRValid to 1
Set dcd_vel_tugWsFR_mps to 10
Set dcd_flg_speedRRValid to 0
Set dcd_vel_tugWsRR_mps to 0
Set csd_enum_estopSwitchStatus to CS_SWITCH_NOT_REQUESTED_E
Set dpvd_flg_dmpPosAndVelValid to 0
Set dpvd_vel_dmpVelocity_mmps to 0
Set loctfd_flg_svVelValid to 0
Set loctfd_vel_svVel_mps to 0
At cycle 1016 For 297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CS_SWITCH_INVALID_E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1313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1314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1315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</si>
  <si>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1011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
At the end of cycle 1012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
At the end of cycle 1013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
At the end of cycle 1014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
At the end of cycle 1015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
At the end of cycle 1016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
At the end of cycle 1313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
At the end of cycle 1314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1315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</si>
  <si>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1316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CS_SWITCH_REQUESTED_E
Set tasd_flg_turretValid to 1
Set acd_flg_arincValid to 1
Set smd_enum_safetyMode to SM_EMERGENCY_STOP_E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1317 For 1 cycles
Set isd_enum_initStatus to IS_INIT_COMPLETED_E
Set lvcd_enum_turretLockStatus to LVC_LOCKED_E
Set lvcd_enum_ignitionKeyStatus to LVC_IGNITION_ON2_E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CS_SWITCH_REQUESTED_E
Set tasd_flg_turretValid to 1
Set acd_flg_arincValid to 1
Set smd_enum_safetyMode to SM_EMERGENCY_STOP_E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1318 For 1 cycles
Set isd_enum_initStatus to IS_INIT_COMPLETED_E
Set lvcd_enum_turretLockStatus to LVC_LOCKED_E
Set lvcd_enum_ignitionKeyStatus to LVC_IGNITION_ERROR_E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CS_SWITCH_REQUESTED_E
Set csd_enum_neutralSwitchStatus to CS_SWITCH_REQUESTED_E
Set tasd_flg_turretValid to 1
Set acd_flg_arincValid to 1
Set smd_enum_safetyMode to SM_EMERGENCY_STOP_E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1319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CS_SWITCH_REQUESTED_E
Set csd_enum_neutralSwitchStatus to CS_SWITCH_REQUESTED_E
Set tasd_flg_turretValid to 1
Set acd_flg_arincValid to 1
Set smd_enum_safetyMode to SM_FAIL_PASSIVE_E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1320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1
Set dcd_vel_tugWsFL_mps to 10
Set dcd_flg_speedRLValid to 1
Set dcd_vel_tugWsRL_mps to 10
Set dcd_flg_speedFRValid to 1
Set dcd_vel_tugWsFR_mps to 10
Set dcd_flg_speedRRValid to 0
Set dcd_vel_tugWsRR_mps to 0
Set csd_enum_estopSwitchStatus to CS_SWITCH_NOT_REQUESTED_E
Set dpvd_flg_dmpPosAndVelValid to 0
Set dpvd_vel_dmpVelocity_mmps to 0
Set loctfd_flg_svVelValid to 0
Set loctfd_vel_svVel_mps to 0
At cycle 1321 For 297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CS_SWITCH_INVALID_E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1618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1619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1620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</si>
  <si>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1316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128
Verify mmd_bm_reasonLoadCompleteDenied is 0
At the end of cycle 1317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128
Verify mmd_bm_reasonLoadCompleteDenied is 0
At the end of cycle 1318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128
Verify mmd_bm_reasonLoadCompleteDenied is 0
At the end of cycle 1319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128
Verify mmd_bm_reasonLoadCompleteDenied is 0
At the end of cycle 1320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128
Verify mmd_bm_reasonLoadCompleteDenied is 0
At the end of cycle 1321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128
Verify mmd_bm_reasonLoadCompleteDenied is 0
At the end of cycle 1618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128
Verify mmd_bm_reasonLoadCompleteDenied is 0
At the end of cycle 1619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1620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</si>
  <si>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1621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1622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1623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1624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1625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1626 For 296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1922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LVC_LOAD_ERROR_E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</si>
  <si>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1621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
At the end of cycle 1622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
At the end of cycle 1623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
At the end of cycle 1624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
At the end of cycle 1625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
At the end of cycle 1626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
At the end of cycle 1922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t>
  </si>
  <si>
    <t>At cycle 1923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1924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1925 For 297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2222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2223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2224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</si>
  <si>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1923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
At the end of cycle 1924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
At the end of cycle 1925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
At the end of cycle 2222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
At the end of cycle 2223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2224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</si>
  <si>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2225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2226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2227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2228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2229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2230 For 296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2526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CS_SWITCH_INVALID_E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</si>
  <si>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2225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128
Verify mmd_bm_reasonLoadCompleteDenied is 0
At the end of cycle 2226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128
Verify mmd_bm_reasonLoadCompleteDenied is 0
At the end of cycle 2227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128
Verify mmd_bm_reasonLoadCompleteDenied is 0
At the end of cycle 2228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128
Verify mmd_bm_reasonLoadCompleteDenied is 0
At the end of cycle 2229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128
Verify mmd_bm_reasonLoadCompleteDenied is 0
At the end of cycle 2230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128
Verify mmd_bm_reasonLoadCompleteDenied is 0
At the end of cycle 2526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128
Verify mmd_bm_reasonLoadCompleteDenied is 0</t>
  </si>
  <si>
    <t>At cycle 2527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2528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2529 For 297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2826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2827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2828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</si>
  <si>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2527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128
Verify mmd_bm_reasonLoadCompleteDenied is 0
At the end of cycle 2528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128
Verify mmd_bm_reasonLoadCompleteDenied is 0
At the end of cycle 2529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128
Verify mmd_bm_reasonLoadCompleteDenied is 0
At the end of cycle 2826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128
Verify mmd_bm_reasonLoadCompleteDenied is 0
At the end of cycle 2827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2828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</si>
  <si>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2829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2830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2831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2832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2833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2834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2835 For 297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3132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3133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</si>
  <si>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2829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
At the end of cycle 2830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
At the end of cycle 2831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
At the end of cycle 2832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
At the end of cycle 2833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
At the end of cycle 2834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
At the end of cycle 2835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
At the end of cycle 3132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3133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</si>
  <si>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3134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3135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3136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3137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3138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3139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3140 For 297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3437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3438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</si>
  <si>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3134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128
Verify mmd_bm_reasonLoadCompleteDenied is 0
At the end of cycle 3135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128
Verify mmd_bm_reasonLoadCompleteDenied is 0
At the end of cycle 3136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128
Verify mmd_bm_reasonLoadCompleteDenied is 0
At the end of cycle 3137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
At the end of cycle 3138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
At the end of cycle 3139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
At the end of cycle 3140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
At the end of cycle 3437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3438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</si>
  <si>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3439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</si>
  <si>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3439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</si>
  <si>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3440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</si>
  <si>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3440
Verify mmd_enum_systemMode is MM_SYSTEM_MODE_NEUTRAL_E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64
Verify mmd_bm_reasonLoadCompleteDenied is 0</t>
  </si>
  <si>
    <t>At cycle 3441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CS_SWITCH_REQUESTED_E
Set csd_enum_neutralSwitchStatus to CS_SWITCH_NOT_REQUESTED_E
Set tasd_flg_turretValid to 1
Set acd_flg_arincValid to 1
Set smd_enum_safetyMode to SM_FAIL_ACTIVE_E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</si>
  <si>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3441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32
Verify mmd_bm_reasonLoadCompleteDenied is 0</t>
  </si>
  <si>
    <t>At cycle 3442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</si>
  <si>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3442
Verify mmd_enum_systemMode is MM_SYSTEM_MODE_NEUTRAL_E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128
Verify mmd_bm_reasonLoadCompleteDenied is 0</t>
  </si>
  <si>
    <t>At cycle 3443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SM_FAIL_ACTIVE_E
Set dbd_enum_acSteeringMethod to DB_STEER_METHOD_SBW_E
Set ntd_flg_neutralDisabled to 1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3444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SM_FAIL_ACTIVE_E
Set dbd_enum_acSteeringMethod to DB_STEER_METHOD_SBW_E
Set ntd_flg_neutralDisabled to 1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3445 For 298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SM_FAIL_ACTIVE_E
Set dbd_enum_acSteeringMethod to DB_STEER_METHOD_SBW_E
Set ntd_flg_neutralDisabled to 1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3743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SM_FAIL_ACTIVE_E
Set dbd_enum_acSteeringMethod to DB_STEER_METHOD_SBW_E
Set ntd_flg_neutralDisabled to 1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3744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SM_FAIL_ACTIVE_E
Set dbd_enum_acSteeringMethod to DB_STEER_METHOD_SBW_E
Set ntd_flg_neutralDisabled to 1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3745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1
Set acd_flg_arincValid to 1
Set smd_enum_safetyMode to SM_FAIL_ACTIVE_E
Set dbd_enum_acSteeringMethod to DB_STEER_METHOD_SBW_E
Set ntd_flg_neutralDisabled to 1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3746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MD_MISSION_TYPE_MAINTEN_TOWING_E
Set csd_enum_dcmSwitchStatus to CS_SWITCH_REQUESTED_E
Set csd_enum_pcmSwitchStatus to CS_SWITCH_REQUESTED_E
Set csd_enum_neutralSwitchStatus to CS_SWITCH_NOT_REQUESTED_E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3747 For 1 cycles
Set isd_enum_initStatus to IS_INIT_COMPLETED_E
Set lvcd_enum_turretLockStatus to LVC_INTERMEDIATE_E
Set lvcd_enum_ignitionKeyStatus to LVC_IGNITION_ON_E
Set lvcd_enum_fwdNeuRevPos to LVC_NEUTRAL_E
Set lvcd_enum_parkBrkReq to LVC_REQ_ENGAGE_E
Set lvcd_enum_parkBrakeStatus to LVC_APPLIED_E
Set lvcd_enum_loadJoystick to LVC_UNLOAD_E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3748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LVC_UNDEFINED_E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3749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1
Set acd_flg_arincValid to 0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3750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LVC_REV_E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CS_SWITCH_REQUESTED_E
Set tasd_flg_turretValid to 1
Set acd_flg_arincValid to 0
Set smd_enum_safetyMode to SM_NORMAL_E
Set dbd_enum_acSteeringMethod to DB_STEER_METHOD_TURRET_E
Set ntd_flg_neutralDisabled to 0
Set emd_flg_lvcModeApproved to 1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t>
  </si>
  <si>
    <t>At the end of cycle 3443
Verify mmd_enum_systemMode is MM_SYSTEM_MODE_NEUTRAL_E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128
Verify mmd_bm_reasonLoadCompleteDenied is 0
At the end of cycle 3444
Verify mmd_enum_systemMode is MM_SYSTEM_MODE_NEUTRAL_E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128
Verify mmd_bm_reasonLoadCompleteDenied is 0
At the end of cycle 3445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1
Verify mmd_flg_turretLockFailed is 0
Verify mmd_flg_turretUnLockFailed is 0
Verify mmd_bm_illegalTransReqst is 0
Verify mmd_bm_reasonLoadCompleteDenied is 0
At the end of cycle 3743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1
Verify mmd_flg_turretLockFailed is 0
Verify mmd_flg_turretUnLockFailed is 0
Verify mmd_bm_illegalTransReqst is 0
Verify mmd_bm_reasonLoadCompleteDenied is 0
At the end of cycle 3744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1
Verify mmd_flg_turretLockFailed is 0
Verify mmd_flg_turretUnLockFailed is 0
Verify mmd_bm_illegalTransReqst is 0
Verify mmd_bm_reasonLoadCompleteDenied is 0
At the end of cycle 3745
Verify mmd_enum_systemMode is MM_SYSTEM_MODE_STEER_BY_WIRE_E
Verify mmd_enum_pcmDcmMode is MM_PCM_E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3746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256
Verify mmd_bm_reasonLoadCompleteDenied is 0
At the end of cycle 3747
Verify mmd_enum_systemMode is MM_SYSTEM_MODE_REQ_T_LOCK_E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3748
Verify mmd_enum_systemMode is MM_SYSTEM_MODE_PRE_MISSION_E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3749
Verify mmd_enum_systemMode is MM_SYSTEM_MODE_PRE_MISSION_E
Verify mmd_enum_pcmDcmMode is MM_NONE_E
Verify mmd_enum_turretLockRequest is MM_TURRET_LOCK_LOCK_E
Verify mmd_enum_ctrlModeToApply is MM_HLC_E
Verify mmd_bm_reasonPcmDenied is 0
Verify mmd_bm_reasonDcmDenied1 is 0
Verify mmd_bm_reasonDcmDenied2 is 160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3750
Verify mmd_enum_systemMode is MM_SYSTEM_MODE_MAINTENANCE_TOWING_E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8
Verify mmd_bm_reasonLoadCompleteDenied is 0</t>
  </si>
  <si>
    <t>At cycle 1 For 501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502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503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0
Set dpvd_vel_dmpVelocity_mmps to 0
Set loctfd_flg_svVelValid to 0
Set loctfd_vel_svVel_mps to 0
***Error****
At cycle 504 For 2398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0
Set dpvd_vel_dmpVelocity_mmps to 0
Set loctfd_flg_svVelValid to 0
Set loctfd_vel_svVel_mps to 0
***Error****
At cycle 2902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0
Set dpvd_vel_dmpVelocity_mmps to 0
Set loctfd_flg_svVelValid to 0
Set loctfd_vel_svVel_mps to 0
At cycle 2903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0
Set dpvd_vel_dmpVelocity_mmps to 0
Set loctfd_flg_svVelValid to 0
Set loctfd_vel_svVel_mps to 0
At cycle 2904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0
Set dpvd_vel_dmpVelocity_mmps to 0
Set loctfd_flg_svVelValid to 0
Set loctfd_vel_svVel_mps to 0</t>
  </si>
  <si>
    <t>At the end of cycle 1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503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504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2902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2903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2904
Verify mmd_enum_systemMode is MM_SYSTEM_MODE_SHUTDOWN_E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</si>
  <si>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 For 501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502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503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0
Set dpvd_vel_dmpVelocity_mmps to 1
Set loctfd_flg_svVelValid to 0
Set loctfd_vel_svVel_mps to 0.1
At cycle 504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1
Set loctfd_flg_svVelValid to 1
Set loctfd_vel_svVel_mps to 0.1</t>
  </si>
  <si>
    <t>At the end of cycle 1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503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504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t>
  </si>
  <si>
    <t>At cycle 505 For 297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1
Set loctfd_flg_svVelValid to 1
Set loctfd_vel_svVel_mps to 0.1
At cycle 802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1
Set loctfd_flg_svVelValid to 1
Set loctfd_vel_svVel_mps to 0.1
At cycle 803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1
Set loctfd_flg_svVelValid to 1
Set loctfd_vel_svVel_mps to 0.1
At cycle 804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1
Set loctfd_flg_svVelValid to 1
Set loctfd_vel_svVel_mps to 0.1
At cycle 805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2
Set loctfd_flg_svVelValid to 1
Set loctfd_vel_svVel_mps to 0.2</t>
  </si>
  <si>
    <t>At the end of cycle 505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802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803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804
Verify mmd_enum_systemMode is MM_SYSTEM_MODE_SHUTDOWN_E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805
Verify mmd_enum_systemMode is MM_SYSTEM_MODE_SHUTDOWN_E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</si>
  <si>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 For 501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502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503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1
Set loctfd_flg_svVelValid to 1
Set loctfd_vel_svVel_mps to 0.1
At cycle 504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1
Set loctfd_flg_svVelValid to 1
Set loctfd_vel_svVel_mps to 0.1
At cycle 505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1
Set loctfd_flg_svVelValid to 1
Set loctfd_vel_svVel_mps to 0.1</t>
  </si>
  <si>
    <t>At the end of cycle 1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502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503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504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505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t>
  </si>
  <si>
    <t>At cycle 506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0
Set dpvd_vel_dmpVelocity_mmps to 1
Set loctfd_flg_svVelValid to 0
Set loctfd_vel_svVel_mps to 0.1
At cycle 507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1
Set loctfd_flg_svVelValid to 1
Set loctfd_vel_svVel_mps to 0.1
At cycle 508 For 298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1
Set loctfd_flg_svVelValid to 1
Set loctfd_vel_svVel_mps to 0.1
At cycle 806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1
Set loctfd_flg_svVelValid to 1
Set loctfd_vel_svVel_mps to 0.1
At cycle 807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1
Set loctfd_flg_svVelValid to 1
Set loctfd_vel_svVel_mps to 0.1</t>
  </si>
  <si>
    <t>At the end of cycle 506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507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508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806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1
Verify mmd_bm_reasonLoadCompleteDenied is 0
At the end of cycle 807
Verify mmd_enum_systemMode is MM_SYSTEM_MODE_SHUTDOWN_E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</si>
  <si>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1004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0
Set dpvd_vel_dmpVelocity_mmps to 0
Set loctfd_flg_svVelValid to 0
Set loctfd_vel_svVel_mps to 0
At cycle 1005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0
Set dpvd_vel_dmpVelocity_mmps to 0
Set loctfd_flg_svVelValid to 0
Set loctfd_vel_svVel_mps to 0
At cycle 1006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1007 For 2397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0
Set dpvd_vel_dmpVelocity_mmps to 0
Set loctfd_flg_svVelValid to 0
Set loctfd_vel_svVel_mps to 0
At cycle 3404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0
Set dpvd_vel_dmpVelocity_mmps to 0
Set loctfd_flg_svVelValid to 0
Set loctfd_vel_svVel_mps to 0
At cycle 3405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0
Set dpvd_vel_dmpVelocity_mmps to 0
Set loctfd_flg_svVelValid to 0
Set loctfd_vel_svVel_mps to 0
At cycle 3406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0
Set dpvd_vel_dmpVelocity_mmps to 0
Set loctfd_flg_svVelValid to 0
Set loctfd_vel_svVel_mps to 0</t>
  </si>
  <si>
    <t>At the end of cycle 1004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1005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1006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1007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3404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3405
Verify mmd_enum_systemMode is MM_SYSTEM_MODE_SHUTDOWN_E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3406
Verify mmd_enum_systemMode is MM_SYSTEM_MODE_SHUTDOWN_E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</si>
  <si>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1004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1
Set loctfd_flg_svVelValid to 1
Set loctfd_vel_svVel_mps to 0.1
At cycle 1007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1
Set loctfd_flg_svVelValid to 1
Set loctfd_vel_svVel_mps to 0.1
At cycle 1008 For 297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1
Set loctfd_flg_svVelValid to 1
Set loctfd_vel_svVel_mps to 0.1
At cycle 1305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0
Set dpvd_vel_dmpVelocity_mmps to 1
Set loctfd_flg_svVelValid to 1
Set loctfd_vel_svVel_mps to 0.1
At cycle 1306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0
Set dpvd_vel_dmpVelocity_mmps to 1
Set loctfd_flg_svVelValid to 1
Set loctfd_vel_svVel_mps to 0.1</t>
  </si>
  <si>
    <t>At the end of cycle 1004
Verify mmd_enum_systemMode is MM_SYSTEM_MODE_PRE_MISSION_E
Verify mmd_enum_pcmDcmMode is MM_NONE_E
Verify mmd_enum_turretLockRequest is MM_TURRET_LOCK_LOCK_E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1005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1006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1007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1008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1305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1306
Verify mmd_enum_systemMode is MM_SYSTEM_MODE_SHUTDOWN_E
Verify mmd_enum_pcmDcmMode is MM_NONE_E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</si>
  <si>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1004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1005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LVC_PIN_OUT_E
Set lvcd_enum_operatStationPos to LVC_FWD_E
Set motfd_enum_missionInProgress to MO_MISSION_APPROVED_E
Set motfd_enum_missionType to MD_MISSION_TYPE_UNKNOWN_E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1006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1007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1
Set loctfd_flg_svVelValid to 1
Set loctfd_vel_svVel_mps to -1000
At cycle 1008 For 297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1
Set loctfd_flg_svVelValid to 1
Set loctfd_vel_svVel_mps to 0.1
At cycle 1305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1
Set loctfd_flg_svVelValid to 1
Set loctfd_vel_svVel_mps to 0.1
At cycle 1306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1
Set loctfd_flg_svVelValid to 0
Set loctfd_vel_svVel_mps to 0.1
At cycle 1307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LVC_PIN_OUT_E
Set lvcd_enum_operatStationPos to LVC_FWD_E
Set motfd_enum_missionInProgress to MO_MISSION_APPROVED_E
Set motfd_enum_missionType to MD_MISSION_TYPE_MAINTEN_TOWING_E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1
Set loctfd_flg_svVelValid to 0
Set loctfd_vel_svVel_mps to 0.1</t>
  </si>
  <si>
    <t>At the end of cycle 1004
Verify mmd_enum_systemMode is MM_SYSTEM_MODE_PRE_MISSION_E
Verify mmd_enum_pcmDcmMode is MM_NONE_E
Verify mmd_enum_turretLockRequest is MM_TURRET_LOCK_UNLOCK_E
Verify mmd_enum_ctrlModeToApply is MM_HLC_E
Verify mmd_bm_reasonPcmDenied is 0
Verify mmd_bm_reasonDcmDenied1 is 0
Verify mmd_bm_reasonDcmDenied2 is 193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1005
Verify mmd_enum_systemMode is MM_SYSTEM_MODE_PUSHBACK_ATA_TAS_E
Verify mmd_enum_pcmDcmMode is MM_DCM_E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1006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1007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1008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1305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1306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1307
Verify mmd_enum_systemMode is MM_SYSTEM_MODE_SHUTDOWN_E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</si>
  <si>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1004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1006 For 1 cycles
Set isd_enum_initStatus to IS_INIT_COMPLETED_E
Set lvcd_enum_turretLockStatus to LVC_UNLOCKED_E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LVC_PIN_OUT_E
Set lvcd_enum_operatStationPos to LVC_FWD_E
Set motfd_enum_missionInProgress to MO_MISSION_APPROVED_E
Set motfd_enum_missionType to MD_MISSION_TYPE_REGULAR_TOWING_E
Set csd_enum_dcmSwitchStatus to CS_SWITCH_NOT_REQUESTED_E
Set csd_enum_pcmSwitchStatus to CS_SWITCH_REQUESTED_E
Set csd_enum_neutralSwitchStatus to CS_SWITCH_NOT_REQUESTED_E
Set tasd_flg_turretValid to 1
Set acd_flg_arincValid to 1
Set smd_enum_safetyMode to SM_NORMAL_E
Set dbd_enum_acSteeringMethod to DB_STEER_METHOD_TURRET_E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CS_SWITCH_NOT_REQUESTED_E
Set dpvd_flg_dmpPosAndVelValid to 0
Set dpvd_vel_dmpVelocity_mmps to 0
Set loctfd_flg_svVelValid to 0
Set loctfd_vel_svVel_mps to 0
At cycle 1008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1
Set loctfd_flg_svVelValid to 1
Set loctfd_vel_svVel_mps to 0.1
At cycle 1009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1
Set loctfd_flg_svVelValid to 1
Set loctfd_vel_svVel_mps to 0.1
At cycle 1010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1
Set loctfd_flg_svVelValid to 0
Set loctfd_vel_svVel_mps to 500
At cycle 1011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0
Set loctfd_flg_svVelValid to 1
Set loctfd_vel_svVel_mps to 0.2</t>
  </si>
  <si>
    <t>At the end of cycle 1004
Verify mmd_enum_systemMode is MM_SYSTEM_MODE_PRE_MISSION_E
Verify mmd_enum_pcmDcmMode is MM_NONE_E
Verify mmd_enum_turretLockRequest is MM_TURRET_LOCK_LOCK_E
Verify mmd_enum_ctrlModeToApply is MM_HLC_E
Verify mmd_bm_reasonPcmDenied is 0
Verify mmd_bm_reasonDcmDenied1 is 0
Verify mmd_bm_reasonDcmDenied2 is 128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1005
Verify mmd_enum_systemMode is MM_SYSTEM_MODE_PUSHBACK_ATA_BW_E
Verify mmd_enum_pcmDcmMode is MM_DCM_E
Verify mmd_enum_turretLockRequest is MM_TURRET_LOCK_LOCK_E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1006
Verify mmd_enum_systemMode is MM_SYSTEM_MODE_TURRET_STEER_E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1007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1008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1009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1010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1011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</si>
  <si>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1012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0
Set loctfd_flg_svVelValid to 1
Set loctfd_vel_svVel_mps to 2
At cycle 1013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2
Set loctfd_flg_svVelValid to 1
Set loctfd_vel_svVel_mps to 2
At cycle 1014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2
Set loctfd_flg_svVelValid to 0
Set loctfd_vel_svVel_mps to 0
At cycle 1015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1
Set dpvd_vel_dmpVelocity_mmps to 0
Set loctfd_flg_svVelValid to 1
Set loctfd_vel_svVel_mps to 0
At cycle 1016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0
Set dpvd_vel_dmpVelocity_mmps to 0
Set loctfd_flg_svVelValid to 0
Set loctfd_vel_svVel_mps to 100</t>
  </si>
  <si>
    <t>At the end of cycle 1012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1013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1014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1015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1016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</si>
  <si>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1017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0
Set dpvd_vel_dmpVelocity_mmps to 0
Set loctfd_flg_svVelValid to 1
Set loctfd_vel_svVel_mps to 0
At cycle 1018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0
Set dpvd_vel_dmpVelocity_mmps to 0
Set loctfd_flg_svVelValid to 1
Set loctfd_vel_svVel_mps to 0
At cycle 1019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0
Set dpvd_vel_dmpVelocity_mmps to 0
Set loctfd_flg_svVelValid to 1
Set loctfd_vel_svVel_mps to 0
At cycle 1020 For 296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0
Set dpvd_vel_dmpVelocity_mmps to 0
Set loctfd_flg_svVelValid to 1
Set loctfd_vel_svVel_mps to 0
At cycle 1316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0
Set dpvd_vel_dmpVelocity_mmps to 0
Set loctfd_flg_svVelValid to 1
Set loctfd_vel_svVel_mps to 0
At cycle 1317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0
Set dpvd_vel_dmpVelocity_mmps to 0
Set loctfd_flg_svVelValid to 1
Set loctfd_vel_svVel_mps to 0
At cycle 1318 For 1 cycles
Set isd_enum_initStatus to IS_INIT_COMPLETED_E
Set lvcd_enum_turretLockStatus to LVC_LOCKED_E
Set lvcd_enum_ignitionKeyStatus to LVC_IGNITION_ON_E
Set lvcd_enum_fwdNeuRevPos to LVC_NEUTRAL_E
Set lvcd_enum_parkBrkReq to LVC_REQ_ENGAGE_E
Set lvcd_enum_parkBrakeStatus to LVC_APPLIED_E
Set lvcd_enum_loadJoystick to LVC_LOAD_UNAVAILBLE_E
Set lvcd_enum_loadingStep to LVC_LOAD_STAGE48_E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CS_SWITCH_REQUESTED_E
Set tasd_flg_turretValid to 1
Set acd_flg_arincValid to 1
Set smd_enum_safetyMode to SM_NORMAL_E
Set dbd_enum_acSteeringMethod to DB_STEER_METHOD_SBW_E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Set csd_enum_estopSwitchStatus to CS_SWITCH_REQUESTED_E
Set dpvd_flg_dmpPosAndVelValid to 0
Set dpvd_vel_dmpVelocity_mmps to 0
Set loctfd_flg_svVelValid to 1
Set loctfd_vel_svVel_mps to 0</t>
  </si>
  <si>
    <t>At the end of cycle 1017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1018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1019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1020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1316
Verify mmd_enum_systemMode is MM_SYSTEM_MODE_NEUTRAL_E
Verify mmd_enum_pcmDcmMode is MM_PCM_E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1317
Verify mmd_enum_systemMode is MM_SYSTEM_MODE_SHUTDOWN_E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cycle 1318
Verify mmd_enum_systemMode is MM_SYSTEM_MODE_SHUTDOWN_E
Verify mmd_enum_pcmDcmMode is MM_NONE_E
Verify mmd_enum_turretLockRequest is MM_TURRET_LOCK_UNLOCK_E
Verify mmd_enum_ctrlModeToApply is MM_HLC_E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</si>
  <si>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cycle 1
Change the system mode from INIT to LVC
At cycle 502
System mode changed to LVC</t>
  </si>
  <si>
    <t>At cycle 504
PCM mode requested here. This is Invalid request from LVC mode, so set illegal transition.
At cycle 508
PCM mode is not requested here. So stop activating illegal transition after mmc_tm_illegalTransitionNotfcSetTime_cs.</t>
  </si>
  <si>
    <t xml:space="preserve">
At cycle 1004
DCM mode requested here. This is Invalid request from LVC mode, so set illegal transition.</t>
  </si>
  <si>
    <t>At cycle 1008
DCM mode is not requested here. So stop activating illegal transition after mmc_tm_illegalTransitionNotfcSetTime_cs.
At cycle 1311
Neutral mode requested here. This is Invalid request from LVC mode, so set illegal transition.</t>
  </si>
  <si>
    <t xml:space="preserve">
At cycle 1315
Neutral mode is not requested here. So stop activating illegal transition after mmc_tm_illegalTransitionNotfcSetTime_cs.</t>
  </si>
  <si>
    <t xml:space="preserve">
At cycle 1618
PCM mode requested here. This is Invalid request from LVC mode, so set illegal transition.
At cycle 1622
PCM mode is not requested here. So stop activating illegal transition after mmc_tm_illegalTransitionNotfcSetTime_cs.</t>
  </si>
  <si>
    <t>At cycle 1920
PCM mode requested here. This is Invalid request from LVC mode, so set illegal transition.
At cycle 1921
PCM mode is not requested here. So stop activating illegal transition after mmc_tm_illegalTransitionNotfcSetTime_cs.</t>
  </si>
  <si>
    <t>At cycle 2224
DCM mode requested here. This is Invalid request from LVC mode, so set illegal transition.
At cycle 2228
DCM mode is not requested here. So stop activating illegal transition after mmc_tm_illegalTransitionNotfcSetTime_cs.
At cycle 2526
DCM mode requested here. This is Invalid request from LVC mode, so set illegal transition.
At cycle 2527
DCM mode is not requested here. So stop activating illegal transition after mmc_tm_illegalTransitionNotfcSetTime_cs.</t>
  </si>
  <si>
    <t xml:space="preserve">
At cycle 2830
Neutral mode requested here. This is Invalid request from LVC mode, so set illegal transition.</t>
  </si>
  <si>
    <t xml:space="preserve">
At cycle 2834
Neutral mode is not requested here. So stop activating illegal transition after mmc_tm_illegalTransitionNotfcSetTime_cs.
At cycle 3132
Neutral mode requested here. This is Invalid request from LVC mode, so set illegal transition.
At cycle 3133
Neutral mode is not requested here. So stop activating illegal transition after mmc_tm_illegalTransitionNotfcSetTime_cs.</t>
  </si>
  <si>
    <t xml:space="preserve">
At cycle 3436
PCM mode requested here. This is Invalid request from LVC mode, so set illegal transition.
At cycle 3439
DCM mode requested here, so override existing alarms PCM. Also DCM is Invalid request from LVC mode, so set illegal transition.
At cycle 3440
Neutral mode requested here, so override existing alarms PCM, DCM. Also Neutral is Invalid request from LVC mode, so set illegal transition.
At cycle 3441
None of the illegal mode transitions are requested here. So stop activating illegal transition after mmc_tm_illegalTransitionNotfcSetTime_cs.</t>
  </si>
  <si>
    <t xml:space="preserve">
At cycle 3744
DCM mode requested here. This is Invalid request from LVC mode, so set illegal transition.</t>
  </si>
  <si>
    <t xml:space="preserve">
At cycle 3747
PCM mode requested here, so override existing alarms DCM. Also PCM is Invalid request from LVC mode, so set illegal transition.
At cycle 3748
Neutral mode requested here, so override existing alarms PCM, DCM. Also Neutral is Invalid request from LVC mode, so set illegal transition.
At cycle 3749
None of the illegal mode transitions are requested here. So stop activating illegal transition after mmc_tm_illegalTransitionNotfcSetTime_cs.</t>
  </si>
  <si>
    <t xml:space="preserve">
At cycle 4052
Neutral mode requested here. This is Invalid request from LVC mode, so set illegal transition.
At cycle 4055
PCM mode requested here, so override existing alarms Neutral. Also PCM is Invalid request from LVC mode, so set illegal transition.</t>
  </si>
  <si>
    <t>At cycle 1004
System mode changed to LVC
At cycle 1505
Load joystick is unavailable for more than LVC Load stage timer, so system mode has not changed to Pre-Mission
At cycle 1507
System mode changed to Pre-Mission
At cycle 1508
System mode changed to LVC</t>
  </si>
  <si>
    <t xml:space="preserve">
At cycle 2009
There is an error while loading joystick for more than LVC Load stage timer, so system mode has not changed to Pre-Mission
At cycle 2011
System mode changed to Pre-Mission
At cycle 2012
System mode changed to LVC</t>
  </si>
  <si>
    <t xml:space="preserve">
At cycle 2513
Mission progress status is not approved for more than LVC Load stage timer, so system mode has not changed to Pre-Mission
At cycle 2515
System mode changed to Pre-Mission
At cycle 2516
System mode changed to LVC</t>
  </si>
  <si>
    <t xml:space="preserve">
At cycle 3017
Mission progress status is not approved for more than LVC Load stage timer, so system mode has not changed to Pre-Mission
At cycle 3019
System mode changed to Pre-Mission
At cycle 3020
System mode changed to LVC</t>
  </si>
  <si>
    <t xml:space="preserve">
At cycle 3521
Mission progress status is not approved for more than LVC Load stage timer, so system mode has not changed to Pre-Mission
At cycle 3523
System mode changed to Pre-Mission
At cycle 3524
System mode changed to LVC</t>
  </si>
  <si>
    <t>At cycle 4025
Loading stage is not set to 48 for more than LVC Load stage timer, so system mode has not changed to Pre-Mission
At cycle 4027
System mode changed to Pre-Mission
At cycle 4028
System mode changed to LVC
At cycle 4529
Loading stage is not set to 48 for more than LVC Load stage timer, so system mode has not changed to Pre-Mission</t>
  </si>
  <si>
    <t xml:space="preserve">
At cycle 4531
System mode changed to Pre-Mission
At cycle 4532
System mode changed to LVC
At cycle 5033
Loading stage is not set to 48 for more than LVC Load stage timer, so system mode has not changed to Pre-Mission
At cycle 5035
System mode changed to Pre-Mission
At cycle 5036
System mode changed to LVC</t>
  </si>
  <si>
    <t xml:space="preserve">
At cycle 5537
Loading stage is not set to 48 for more than LVC Load stage timer, so system mode has not changed to Pre-Mission
At cycle 5539
System mode changed to Pre-Mission
At cycle 5540
System mode changed to LVC</t>
  </si>
  <si>
    <t xml:space="preserve">
At cycle 6041
System mode transition happened from LVC to Pre-Mission</t>
  </si>
  <si>
    <t>At cycle 1
This is pre-condition for changing the system mode to Pre-Mission from INIT state.</t>
  </si>
  <si>
    <t>At cycle 2335
Neutral mode is requested from DCM-MAINTENANCE which is invalid mode request, so neutral mode illegal transition bits are activated.
At cycle 2339
Neutral mode is not requested from DCM-MAINTENANCE, so neutral mode illegal transition bits will be deactivated after mmc_tm_illegalTransitionNotfcSetTime_cs.</t>
  </si>
  <si>
    <t>At cycle 2637
Neutral mode is requested from DCM-MAINTENANCE which is invalid mode request, so neutral mode illegal transition bits are activated.
At cycle 2638
Neutral mode is not requested from DCM-MAINTENANCE, so neutral mode illegal transition bits will be deactivated after mmc_tm_illegalTransitionNotfcSetTime_cs.</t>
  </si>
  <si>
    <t>At cycle 3244
PCM mode is requested from DCM-MAINTENANCE which is invalid mode request, so PCM mode illegal transition bits are activated.
At cycle 3248
PCM mode is not requested from DCM-MAINTENANCE, so PCM mode illegal transition bits will be deactivated after mmc_tm_illegalTransitionNotfcSetTime_cs.</t>
  </si>
  <si>
    <t xml:space="preserve">
At cycle 3546
PCM mode is requested from DCM-MAINTENANCE which is invalid mode request, so PCM mode illegal transition bits are activated.
At cycle 3547
PCM mode is not requested from DCM-MAINTENANCE, so PCM mode illegal transition bits will be deactivated after mmc_tm_illegalTransitionNotfcSetTime_cs.</t>
  </si>
  <si>
    <t>At cycle 3848
PCM mode is requested from DCM-MAINTANANCE mode which is invalid request, so PCM request illegal notification flags are set.
At cycle 3851
Neutral mode is requested (PCM request is still active) from DCM-MAINTANANCE mode which is invalid request, so Neutral request illegal notification flags are set (PCM request illegal notification flags will reset).
At cycle 3852
Neutral mode is not requested from DCM-MAINTANANCE, so Neutral mode request illegal notification flags will reset after mmc_tm_illegalTransitionNotfcSetTime_cs.
At cycle 4153
Turret lock mode request is accepted, so system changed to Turret lock</t>
  </si>
  <si>
    <t>At cycle 4154
When turret lock request status is LVC_INTERMEDIATE_E
At cycle 4354
When turret lock request status is LVC_INTERMEDIATE_E for more than turret lock time, so system mode changed to DCM
At cycle 4355
DCM mode request is accepted, so mode transition happened to DCM.
At cycle 4356
When turret lock request status is LVC_TURRET_LOCK_ERROR_E</t>
  </si>
  <si>
    <t>At cycle 4760
Turret lock status is set to UNLOCKED for more than Turret Lock time. So state transition happens to DCM and turret lock fail bit activated.
At cycle 4761
Turret lock failure indication is activation continues
At cycle 5060
Turret lock failure indication flag is set for more than fault indication time, so Turret lock failure indication flag deactivated
At cycle 5061
PCM mode request is accepted, so mode system mode set to PCM
At cycle 5062
Shutdown mode request is accepted, so system mode changed to SHUTDOWN</t>
  </si>
  <si>
    <t>At cycle 1003
System mode changed to Pre-Mission
At cycle 1005
DCM mode request is accepted, so system mode changed to DCM
At cycle 1006
PCM mode request is accepted, so system mode changed to PCM
At cycle 1007
Shutdown mode request is accepted, so system mode changed to SHUTDOWN</t>
  </si>
  <si>
    <t>At cycle 1
This is pre-condition for changing the system mode to DCM from INIT state.</t>
  </si>
  <si>
    <t xml:space="preserve">At cycle 1337
UNLOAD (LVC mode) is requested which is invalid mode request from PCM, so illegal notification flag will be activated. 
At cycle 1341
UNLOAD is not requested, so illegal notification flag will be deactivated after illegal transition notification time. </t>
  </si>
  <si>
    <t xml:space="preserve">At cycle 1337
UNLOAD (LVC mode) is requested which is invalid mode request from PCM, so illegal notification flag will be activated. 
At cycle 1341
UNLOAD is not requested, so illegal notification flag will be deactivated after illegal transition notification time. 
At cycle 1639
UNLOAD is requested, so illegal notification flag will be activated and illegal notification couter resets
At cycle 1640
UNLOAD is not requested, so illegal notification flag will be deactivated after illegal transition notification time. </t>
  </si>
  <si>
    <t>At cycle 1
This is pre-condition for changing the system mode to Neutral mode from INIT state.</t>
  </si>
  <si>
    <t>At cycle 1621
Illegal mode UNLOAD (LVC Mode) is requested, so illegal notification flag is set.
At cycle 1625
Illegal mode UNLOAD (LVC Mode) is not requested, so illegal notification flag will reset after illegal transition set time.</t>
  </si>
  <si>
    <t>At cycle 1923
Illegal mode UNLOAD (LVC Mode) is requested, so illegal notification flag will set.
At cycle 1924
Illegal mode UNLOAD (LVC Mode) is not requested, so illegal notification flag will reset after illegal transition set time.
At cycle 2224
Illegal mode UNLOAD (LVC Mode) is not requested for more than illegal transition set time, so illegal notification flag is reset.</t>
  </si>
  <si>
    <t>At cycle 2225
Illegal mode DCM is requested, so illegal notification flag is set.
At cycle 2229
Illegal mode DCM is not requested, so illegal notification flag will reset after illegal transition set time.</t>
  </si>
  <si>
    <t>At cycle 2527
Illegal mode DCM is requested, so illegal notification flag will set.
At cycle 2528
Illegal mode DCM is not requested, so illegal notification flag will reset after illegal transition set time.
At cycle 2828
Illegal mode DCM is not requested for more than illegal transition set time, so illegal notification flag is reset.</t>
  </si>
  <si>
    <t>At cycle 1
Pre-condition to take system to LVC mode
At cycle 503
1) Continous increment for mmc_c_numCycles (with once decrement)
2) dmpPos and svVelValid is VALID and dmpVelocity and svVel is less than thesholds for mmc_c_numCycles, so system mode transition happened SHUTDOWN</t>
  </si>
  <si>
    <t>At cycle 506
INVALID rerquest is received form loc and dpv, so previous request will be considard as INVALID</t>
  </si>
  <si>
    <t>At cycle 1004
This scenario is to prove that when ESTOP is REQUESTED, system moves to SHUTDOWN mode after estopShtdwnSetTime cycle (once ESTOP is requested, then it will be latched)
At cycle 1006
ESTOP is not requested, since request is latched NOT_REQUEST scenario will not be considard.</t>
  </si>
  <si>
    <t xml:space="preserve">
At cycle 1005
System mode changed to DCM
At cycle 1006
VALID request and velocity received from dpv and loc, so system mode will be set to SHUTDOWN after numCycles
At cycle 1305
dpv validity and velocity is VALID
At cycle 1306
dpv validity and velocity is VALID, so SHUTDOWN request will be done with loc inputs</t>
  </si>
  <si>
    <t>At cycle 1
This is pre-condition for changing the system mode to PCM from INIT state.</t>
  </si>
  <si>
    <t xml:space="preserve">
At cycle 1006
System mode changed to PCM
At cycle 1007
VALID request and velocity received from dpv and loc, so system mode will be set to SHUTDOWN after numCycles
At cycle 1306
loc validity and velocity is VALID
At cycle 1307
loc validity and velocity is VALID, so SHUTDOWN request will be done with dpv inputs</t>
  </si>
  <si>
    <t xml:space="preserve">
At cycle 1007
System is in neutral mode
At cycle 1008
VALID request and velocity received from dpv and loc
At cycle 1009
VALID request and velocity received from dpv and loc
At cycle 1010
1) INVALID request and velocity received from dpv
2) INVALID request and velocity received from loc
At cycle 1011
1) INVALID request and velocity received from dpv
2) INVALID request and velocity received from loc</t>
  </si>
  <si>
    <t>At cycle 1012
1) INVALID request and velocity received from dpv
2) VALID request and velocity received from loc
At cycle 1013
1) INVALID request and velocity received from dpv
2) INVALID request and velocity received from loc
At cycle 1014
1) INVALID request and velocity received from dpv
2) VALID request and velocity received from loc
At cycle 1015
VALID request and velocity received from dpv and loc
At cycle 1016
1) INVALID request and velocity received from dpv
2) INVALID request and velocity received from loc</t>
  </si>
  <si>
    <t>At cycle 1017
VALID data received from loc
At cycle 1317
VALID data received from loc for more than numCycles, so locDpv validity is set</t>
  </si>
  <si>
    <t>At cycle 1299
Turret_lock is set not UNLOCKED for mmc_tm_turretUnlockSetTime_cs, so mode tranistion happens to Pre-mission and mmd_flg_turretUnLockFailed is set for mmc_tm_faultNotfcSetTime_cs.</t>
  </si>
  <si>
    <t>At cycle 1801
Turret_lock is set not UNLOCKED for mmc_tm_turretUnlockSetTime_cs, so mode tranistion happens to Pre-mission and mmd_flg_turretUnLockFailed is set for mmc_tm_faultNotfcSetTime_cs.</t>
  </si>
  <si>
    <t>At cycle 2303
Turret_lock is set not UNLOCKED for mmc_tm_turretUnlockSetTime_cs, so mode tranistion happens to Pre-mission and mmd_flg_turretUnLockFailed is set for mmc_tm_faultNotfcSetTime_cs.</t>
  </si>
  <si>
    <t>At cycle 2605
DCM mode request from Pre-Mission is accepted</t>
  </si>
  <si>
    <t>At cycle 2608
Pre-Mission mode request from TURRET_LOCK is accepted</t>
  </si>
  <si>
    <t>At cycle 4557
When turret lock request status is LVC_TURRET_LOCK_ERROR_E for more than turret lock time, so system mode changed to DCM
At cycle 4558
DCM mode request is accepted, so mode transition happened to DCM.
At cycle 4559
When turret lock request status is LVC_TURRET_LOCK_ERROR_E, system will be remain in Turret_Lock mode untill turret lock stautus changed to LOCKED or UNLOCKED. 
At cycle 4560
Turret lock status is set to UNLOCKED.</t>
  </si>
  <si>
    <t>At cycle 1005
System mode changed to DCM
At cycle 1006
PCM mode request is accepted, so system mode changed to PCM</t>
  </si>
  <si>
    <t xml:space="preserve">At cycle 1639
UNLOAD is requested, so illegal notification flag will be activated and illegal notification couter resets
At cycle 1640
UNLOAD is not requested, so illegal notification flag will be deactivated after illegal transition notification time. 
At cycle 1940
UNLOAD is not requested for more than illegal transition notification time, so illegal notification flag deactivated </t>
  </si>
  <si>
    <t>At cycle 1007
System is in neutral mode</t>
  </si>
  <si>
    <t>At cycle 3440
Precondition to take system to neutral mode</t>
  </si>
  <si>
    <t>At cycle 3442
Precondition to take system to neutral mode</t>
  </si>
  <si>
    <t xml:space="preserve">At cycle 1940
UNLOAD is not requested for more than illegal transition notification time, so illegal notification flag deactivated </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</si>
</sst>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sz val="11"/>
      <name val="Calibri"/>
      <family val="2"/>
      <scheme val="minor"/>
    </font>
    <font>
      <sz val="9"/>
      <color indexed="81"/>
      <name val="Tahoma"/>
      <family val="2"/>
    </font>
    <font>
      <b/>
      <sz val="9"/>
      <color indexed="81"/>
      <name val="Tahoma"/>
      <family val="2"/>
    </font>
    <font>
      <sz val="12"/>
      <color indexed="81"/>
      <name val="Tahoma"/>
      <family val="2"/>
    </font>
  </fonts>
  <fills count="8">
    <fill>
      <patternFill patternType="none"/>
    </fill>
    <fill>
      <patternFill patternType="gray125"/>
    </fill>
    <fill>
      <patternFill patternType="solid">
        <fgColor theme="0" tint="-0.249977111117893"/>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5" tint="0.79998168889431442"/>
        <bgColor indexed="64"/>
      </patternFill>
    </fill>
    <fill>
      <patternFill patternType="solid">
        <fgColor rgb="FFFF0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7">
    <xf numFmtId="0" fontId="0" fillId="0" borderId="0" xfId="0"/>
    <xf numFmtId="0" fontId="0" fillId="2" borderId="1" xfId="0" applyFill="1" applyBorder="1"/>
    <xf numFmtId="0" fontId="0" fillId="0" borderId="1" xfId="0" applyBorder="1"/>
    <xf numFmtId="0" fontId="0" fillId="3" borderId="1" xfId="0" applyFill="1" applyBorder="1"/>
    <xf numFmtId="0" fontId="0" fillId="2" borderId="1" xfId="0" applyFill="1" applyBorder="1" applyAlignment="1">
      <alignment horizontal="left" vertical="top" wrapText="1"/>
    </xf>
    <xf numFmtId="0" fontId="0" fillId="4" borderId="1" xfId="0" applyFill="1" applyBorder="1"/>
    <xf numFmtId="0" fontId="0" fillId="0" borderId="1" xfId="0" applyFill="1" applyBorder="1" applyAlignment="1">
      <alignment wrapText="1"/>
    </xf>
    <xf numFmtId="0" fontId="0" fillId="0" borderId="0" xfId="0" applyFill="1"/>
    <xf numFmtId="0" fontId="0" fillId="0" borderId="1" xfId="0" applyFill="1" applyBorder="1"/>
    <xf numFmtId="0" fontId="0" fillId="0" borderId="0" xfId="0" applyAlignment="1">
      <alignment vertical="top"/>
    </xf>
    <xf numFmtId="0" fontId="0" fillId="0" borderId="0" xfId="0" applyAlignment="1">
      <alignment wrapText="1"/>
    </xf>
    <xf numFmtId="0" fontId="0" fillId="5" borderId="1" xfId="0" applyFill="1" applyBorder="1"/>
    <xf numFmtId="0" fontId="0" fillId="2" borderId="0" xfId="0" applyFill="1"/>
    <xf numFmtId="0" fontId="0" fillId="0" borderId="0" xfId="0" applyAlignment="1">
      <alignment wrapText="1"/>
    </xf>
    <xf numFmtId="0" fontId="0" fillId="0" borderId="0" xfId="0"/>
    <xf numFmtId="0" fontId="1" fillId="0" borderId="1" xfId="0" applyFont="1" applyFill="1" applyBorder="1" applyAlignment="1">
      <alignment wrapText="1"/>
    </xf>
    <xf numFmtId="0" fontId="1" fillId="0" borderId="0" xfId="0" applyFont="1" applyFill="1" applyAlignment="1">
      <alignment wrapText="1"/>
    </xf>
    <xf numFmtId="0" fontId="1" fillId="0" borderId="0" xfId="0" applyFont="1" applyFill="1"/>
    <xf numFmtId="0" fontId="1" fillId="0" borderId="1" xfId="0" applyFont="1" applyFill="1" applyBorder="1"/>
    <xf numFmtId="2" fontId="1" fillId="0" borderId="1" xfId="0" applyNumberFormat="1" applyFont="1" applyFill="1" applyBorder="1"/>
    <xf numFmtId="0" fontId="1" fillId="6" borderId="1" xfId="0" applyFont="1" applyFill="1" applyBorder="1" applyAlignment="1">
      <alignment wrapText="1"/>
    </xf>
    <xf numFmtId="0" fontId="1" fillId="4" borderId="1" xfId="0" applyFont="1" applyFill="1" applyBorder="1" applyAlignment="1">
      <alignment wrapText="1"/>
    </xf>
    <xf numFmtId="2" fontId="1" fillId="6" borderId="1" xfId="0" applyNumberFormat="1" applyFont="1" applyFill="1" applyBorder="1"/>
    <xf numFmtId="0" fontId="1" fillId="7" borderId="1" xfId="0" applyFont="1" applyFill="1" applyBorder="1" applyAlignment="1">
      <alignment wrapText="1"/>
    </xf>
    <xf numFmtId="0" fontId="1" fillId="6" borderId="0" xfId="0" applyFont="1" applyFill="1"/>
    <xf numFmtId="0" fontId="1" fillId="0" borderId="0" xfId="0" applyFont="1" applyFill="1" applyBorder="1" applyAlignment="1">
      <alignment wrapText="1"/>
    </xf>
    <xf numFmtId="0" fontId="1" fillId="3" borderId="1" xfId="0" applyFont="1" applyFill="1" applyBorder="1" applyAlignment="1">
      <alignment wrapText="1"/>
    </xf>
    <xf numFmtId="0" fontId="0" fillId="6" borderId="0" xfId="0" applyFill="1"/>
    <xf numFmtId="0" fontId="0" fillId="0" borderId="0" xfId="0" applyFill="1" applyAlignment="1">
      <alignment wrapText="1"/>
    </xf>
    <xf numFmtId="0" fontId="1" fillId="0" borderId="1" xfId="0" applyFont="1" applyFill="1" applyBorder="1" applyAlignment="1"/>
    <xf numFmtId="0" fontId="0" fillId="0" borderId="1" xfId="0" applyBorder="1"/>
    <xf numFmtId="0" fontId="0" fillId="4" borderId="0" xfId="0" applyFill="1"/>
    <xf numFmtId="0" fontId="0" fillId="0" borderId="1" xfId="0" applyBorder="1"/>
    <xf numFmtId="0" fontId="0" fillId="0" borderId="1" xfId="0" applyBorder="1"/>
    <xf numFmtId="0" fontId="0" fillId="0" borderId="1" xfId="0" applyBorder="1" applyAlignment="1">
      <alignment horizontal="left"/>
    </xf>
    <xf numFmtId="0" fontId="0" fillId="0" borderId="1" xfId="0" applyBorder="1" applyAlignment="1">
      <alignment horizontal="left" vertical="top"/>
    </xf>
    <xf numFmtId="0" fontId="0" fillId="0" borderId="1" xfId="0" applyFill="1" applyBorder="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QB208"/>
  <sheetViews>
    <sheetView zoomScale="85" zoomScaleNormal="85" workbookViewId="0">
      <pane xSplit="2" ySplit="9" topLeftCell="C10" activePane="bottomRight" state="frozen"/>
      <selection pane="topRight" activeCell="C1" sqref="C1"/>
      <selection pane="bottomLeft" activeCell="A10" sqref="A10"/>
      <selection pane="bottomRight" activeCell="B10" sqref="B10:C21"/>
    </sheetView>
  </sheetViews>
  <sheetFormatPr defaultColWidth="30.7109375" defaultRowHeight="15" customHeight="1" x14ac:dyDescent="0.25"/>
  <cols>
    <col min="1" max="1" width="30.7109375" style="7" customWidth="1"/>
    <col min="2" max="2" width="40" style="7" customWidth="1"/>
    <col min="3" max="44" width="30.7109375" style="7" customWidth="1"/>
    <col min="45" max="45" width="30.7109375" style="14" customWidth="1"/>
    <col min="46" max="73" width="30.7109375" customWidth="1"/>
    <col min="74" max="82" width="30.7109375" style="14" customWidth="1"/>
    <col min="83" max="90" width="30.7109375" customWidth="1"/>
    <col min="91" max="92" width="30.7109375" style="14" customWidth="1"/>
    <col min="93" max="97" width="30.7109375" customWidth="1"/>
    <col min="98" max="140" width="30.7109375" style="14" customWidth="1"/>
    <col min="141" max="160" width="30.7109375" customWidth="1"/>
    <col min="161" max="204" width="30.7109375" style="14" customWidth="1"/>
    <col min="205" max="229" width="30.7109375" customWidth="1"/>
    <col min="230" max="231" width="30.7109375" style="14" customWidth="1"/>
    <col min="232" max="235" width="30.7109375" customWidth="1"/>
    <col min="236" max="252" width="30.7109375" style="14" customWidth="1"/>
    <col min="253" max="255" width="30.7109375" customWidth="1"/>
    <col min="256" max="267" width="30.7109375" style="14" customWidth="1"/>
    <col min="268" max="269" width="30.7109375" customWidth="1"/>
    <col min="270" max="282" width="30.7109375" style="14" customWidth="1"/>
    <col min="283" max="284" width="30.7109375" customWidth="1"/>
    <col min="285" max="328" width="30.7109375" style="14" customWidth="1"/>
    <col min="329" max="335" width="30.7109375" customWidth="1"/>
    <col min="336" max="336" width="30.7109375" style="14" customWidth="1"/>
    <col min="337" max="352" width="30.7109375" customWidth="1"/>
    <col min="353" max="486" width="30.7109375" style="14" customWidth="1"/>
    <col min="487" max="576" width="30.7109375" style="14"/>
    <col min="577" max="598" width="30.7109375" style="14" customWidth="1"/>
    <col min="599" max="633" width="30.7109375" style="14"/>
    <col min="634" max="655" width="30.7109375" style="14" customWidth="1"/>
    <col min="656" max="942" width="30.7109375" style="14"/>
    <col min="943" max="971" width="30.7109375" style="7" customWidth="1"/>
    <col min="972" max="979" width="30.7109375" style="14"/>
    <col min="980" max="986" width="30.7109375" style="7" customWidth="1"/>
    <col min="987" max="995" width="30.7109375" style="14"/>
    <col min="996" max="1000" width="30.7109375" style="7" customWidth="1"/>
    <col min="1001" max="16384" width="30.7109375" style="14"/>
  </cols>
  <sheetData>
    <row r="1" spans="1:1120" ht="15" customHeight="1" x14ac:dyDescent="0.25">
      <c r="A1" s="3" t="s">
        <v>4</v>
      </c>
      <c r="B1" s="2" t="s">
        <v>8</v>
      </c>
      <c r="C1" s="3" t="s">
        <v>752</v>
      </c>
      <c r="D1" s="3" t="s">
        <v>753</v>
      </c>
      <c r="E1" s="3" t="s">
        <v>753</v>
      </c>
      <c r="F1" s="3" t="s">
        <v>753</v>
      </c>
      <c r="G1" s="3" t="s">
        <v>753</v>
      </c>
      <c r="H1" s="3" t="s">
        <v>753</v>
      </c>
      <c r="I1" s="3" t="s">
        <v>753</v>
      </c>
      <c r="J1" s="3" t="s">
        <v>752</v>
      </c>
      <c r="K1" s="3" t="s">
        <v>754</v>
      </c>
      <c r="L1" s="3" t="s">
        <v>754</v>
      </c>
      <c r="M1" s="3" t="s">
        <v>754</v>
      </c>
      <c r="N1" s="3" t="s">
        <v>754</v>
      </c>
      <c r="O1" s="3" t="s">
        <v>754</v>
      </c>
      <c r="P1" s="3" t="s">
        <v>754</v>
      </c>
      <c r="Q1" s="3" t="s">
        <v>752</v>
      </c>
      <c r="R1" s="3" t="s">
        <v>755</v>
      </c>
      <c r="S1" s="3" t="s">
        <v>755</v>
      </c>
      <c r="T1" s="3" t="s">
        <v>755</v>
      </c>
      <c r="U1" s="3" t="s">
        <v>755</v>
      </c>
      <c r="V1" s="3" t="s">
        <v>755</v>
      </c>
      <c r="W1" s="3" t="s">
        <v>755</v>
      </c>
      <c r="X1" s="3" t="s">
        <v>752</v>
      </c>
      <c r="Y1" s="3" t="s">
        <v>756</v>
      </c>
      <c r="Z1" s="3" t="s">
        <v>756</v>
      </c>
      <c r="AA1" s="3" t="s">
        <v>756</v>
      </c>
      <c r="AB1" s="3" t="s">
        <v>756</v>
      </c>
      <c r="AC1" s="3" t="s">
        <v>756</v>
      </c>
      <c r="AD1" s="3" t="s">
        <v>756</v>
      </c>
      <c r="AE1" s="3" t="s">
        <v>752</v>
      </c>
      <c r="AF1" s="3" t="s">
        <v>757</v>
      </c>
      <c r="AG1" s="3" t="s">
        <v>757</v>
      </c>
      <c r="AH1" s="3" t="s">
        <v>757</v>
      </c>
      <c r="AI1" s="3" t="s">
        <v>757</v>
      </c>
      <c r="AJ1" s="3" t="s">
        <v>757</v>
      </c>
      <c r="AK1" s="3" t="s">
        <v>757</v>
      </c>
      <c r="AL1" s="3" t="s">
        <v>752</v>
      </c>
      <c r="AM1" s="3" t="s">
        <v>758</v>
      </c>
      <c r="AN1" s="3" t="s">
        <v>758</v>
      </c>
      <c r="AO1" s="3" t="s">
        <v>758</v>
      </c>
      <c r="AP1" s="3" t="s">
        <v>758</v>
      </c>
      <c r="AQ1" s="3" t="s">
        <v>758</v>
      </c>
      <c r="AR1" s="3" t="s">
        <v>758</v>
      </c>
      <c r="AS1" s="3" t="s">
        <v>758</v>
      </c>
      <c r="AT1" s="3" t="s">
        <v>1599</v>
      </c>
      <c r="AU1" s="3" t="s">
        <v>1599</v>
      </c>
      <c r="AV1" s="3" t="s">
        <v>1599</v>
      </c>
      <c r="AW1" s="3" t="s">
        <v>1599</v>
      </c>
      <c r="AX1" s="3" t="s">
        <v>1599</v>
      </c>
      <c r="AY1" s="3" t="s">
        <v>1599</v>
      </c>
      <c r="AZ1" s="3" t="s">
        <v>1599</v>
      </c>
      <c r="BA1" s="3" t="s">
        <v>1599</v>
      </c>
      <c r="BB1" s="3" t="s">
        <v>759</v>
      </c>
      <c r="BC1" s="3" t="s">
        <v>759</v>
      </c>
      <c r="BD1" s="3" t="s">
        <v>759</v>
      </c>
      <c r="BE1" s="3" t="s">
        <v>759</v>
      </c>
      <c r="BF1" s="3" t="s">
        <v>759</v>
      </c>
      <c r="BG1" s="3" t="s">
        <v>759</v>
      </c>
      <c r="BH1" s="3" t="s">
        <v>759</v>
      </c>
      <c r="BI1" s="3" t="s">
        <v>759</v>
      </c>
      <c r="BJ1" s="3" t="s">
        <v>1600</v>
      </c>
      <c r="BK1" s="3" t="s">
        <v>1600</v>
      </c>
      <c r="BL1" s="3" t="s">
        <v>1600</v>
      </c>
      <c r="BM1" s="3" t="s">
        <v>1600</v>
      </c>
      <c r="BN1" s="3" t="s">
        <v>1600</v>
      </c>
      <c r="BO1" s="3" t="s">
        <v>1600</v>
      </c>
      <c r="BP1" s="3" t="s">
        <v>1600</v>
      </c>
      <c r="BQ1" s="3" t="s">
        <v>760</v>
      </c>
      <c r="BR1" s="3" t="s">
        <v>760</v>
      </c>
      <c r="BS1" s="3" t="s">
        <v>760</v>
      </c>
      <c r="BT1" s="3" t="s">
        <v>760</v>
      </c>
      <c r="BU1" s="3" t="s">
        <v>760</v>
      </c>
      <c r="BV1" s="3" t="s">
        <v>760</v>
      </c>
      <c r="BW1" s="3" t="s">
        <v>760</v>
      </c>
      <c r="BX1" s="3" t="s">
        <v>760</v>
      </c>
      <c r="BY1" s="3" t="s">
        <v>1601</v>
      </c>
      <c r="BZ1" s="3" t="s">
        <v>1601</v>
      </c>
      <c r="CA1" s="3" t="s">
        <v>1601</v>
      </c>
      <c r="CB1" s="3" t="s">
        <v>1601</v>
      </c>
      <c r="CC1" s="3" t="s">
        <v>1601</v>
      </c>
      <c r="CD1" s="3" t="s">
        <v>1601</v>
      </c>
      <c r="CE1" s="3" t="s">
        <v>1601</v>
      </c>
      <c r="CF1" s="3" t="s">
        <v>1601</v>
      </c>
      <c r="CG1" s="3" t="s">
        <v>761</v>
      </c>
      <c r="CH1" s="3" t="s">
        <v>761</v>
      </c>
      <c r="CI1" s="3" t="s">
        <v>761</v>
      </c>
      <c r="CJ1" s="3" t="s">
        <v>761</v>
      </c>
      <c r="CK1" s="3" t="s">
        <v>761</v>
      </c>
      <c r="CL1" s="3" t="s">
        <v>761</v>
      </c>
      <c r="CM1" s="3" t="s">
        <v>761</v>
      </c>
      <c r="CN1" s="3" t="s">
        <v>761</v>
      </c>
      <c r="CO1" s="3" t="s">
        <v>1602</v>
      </c>
      <c r="CP1" s="3" t="s">
        <v>1602</v>
      </c>
      <c r="CQ1" s="3" t="s">
        <v>1602</v>
      </c>
      <c r="CR1" s="3" t="s">
        <v>1602</v>
      </c>
      <c r="CS1" s="3" t="s">
        <v>1602</v>
      </c>
      <c r="CT1" s="3" t="s">
        <v>1602</v>
      </c>
      <c r="CU1" s="3" t="s">
        <v>1602</v>
      </c>
      <c r="CV1" s="3" t="s">
        <v>1602</v>
      </c>
      <c r="CW1" s="3" t="s">
        <v>1602</v>
      </c>
      <c r="CX1" s="3" t="s">
        <v>1602</v>
      </c>
      <c r="CY1" s="3" t="s">
        <v>762</v>
      </c>
      <c r="CZ1" s="3" t="s">
        <v>762</v>
      </c>
      <c r="DA1" s="3" t="s">
        <v>762</v>
      </c>
      <c r="DB1" s="3" t="s">
        <v>762</v>
      </c>
      <c r="DC1" s="3" t="s">
        <v>762</v>
      </c>
      <c r="DD1" s="3" t="s">
        <v>762</v>
      </c>
      <c r="DE1" s="3" t="s">
        <v>762</v>
      </c>
      <c r="DF1" s="3" t="s">
        <v>762</v>
      </c>
      <c r="DG1" s="3" t="s">
        <v>1603</v>
      </c>
      <c r="DH1" s="3" t="s">
        <v>1603</v>
      </c>
      <c r="DI1" s="3" t="s">
        <v>1603</v>
      </c>
      <c r="DJ1" s="3" t="s">
        <v>1603</v>
      </c>
      <c r="DK1" s="3" t="s">
        <v>1603</v>
      </c>
      <c r="DL1" s="3" t="s">
        <v>1603</v>
      </c>
      <c r="DM1" s="3" t="s">
        <v>1603</v>
      </c>
      <c r="DN1" s="3" t="s">
        <v>1603</v>
      </c>
      <c r="DO1" s="3" t="s">
        <v>1603</v>
      </c>
      <c r="DP1" s="3" t="s">
        <v>763</v>
      </c>
      <c r="DQ1" s="3" t="s">
        <v>763</v>
      </c>
      <c r="DR1" s="3" t="s">
        <v>763</v>
      </c>
      <c r="DS1" s="3" t="s">
        <v>763</v>
      </c>
      <c r="DT1" s="3" t="s">
        <v>763</v>
      </c>
      <c r="DU1" s="3" t="s">
        <v>763</v>
      </c>
      <c r="DV1" s="3" t="s">
        <v>763</v>
      </c>
      <c r="DW1" s="3" t="s">
        <v>763</v>
      </c>
      <c r="DX1" s="3" t="s">
        <v>763</v>
      </c>
      <c r="DY1" s="3" t="s">
        <v>1604</v>
      </c>
      <c r="DZ1" s="3" t="s">
        <v>1604</v>
      </c>
      <c r="EA1" s="3" t="s">
        <v>1604</v>
      </c>
      <c r="EB1" s="3" t="s">
        <v>1604</v>
      </c>
      <c r="EC1" s="3" t="s">
        <v>1604</v>
      </c>
      <c r="ED1" s="3" t="s">
        <v>1604</v>
      </c>
      <c r="EE1" s="3" t="s">
        <v>1604</v>
      </c>
      <c r="EF1" s="3" t="s">
        <v>1604</v>
      </c>
      <c r="EG1" s="3" t="s">
        <v>764</v>
      </c>
      <c r="EH1" s="3" t="s">
        <v>764</v>
      </c>
      <c r="EI1" s="3" t="s">
        <v>764</v>
      </c>
      <c r="EJ1" s="3" t="s">
        <v>764</v>
      </c>
      <c r="EK1" s="3" t="s">
        <v>764</v>
      </c>
      <c r="EL1" s="3" t="s">
        <v>764</v>
      </c>
      <c r="EM1" s="3" t="s">
        <v>764</v>
      </c>
      <c r="EN1" s="3" t="s">
        <v>764</v>
      </c>
      <c r="EO1" s="3" t="s">
        <v>1605</v>
      </c>
      <c r="EP1" s="3" t="s">
        <v>1605</v>
      </c>
      <c r="EQ1" s="3" t="s">
        <v>1605</v>
      </c>
      <c r="ER1" s="3" t="s">
        <v>1605</v>
      </c>
      <c r="ES1" s="3" t="s">
        <v>1605</v>
      </c>
      <c r="ET1" s="3" t="s">
        <v>1605</v>
      </c>
      <c r="EU1" s="3" t="s">
        <v>765</v>
      </c>
      <c r="EV1" s="3" t="s">
        <v>765</v>
      </c>
      <c r="EW1" s="3" t="s">
        <v>765</v>
      </c>
      <c r="EX1" s="3" t="s">
        <v>765</v>
      </c>
      <c r="EY1" s="3" t="s">
        <v>765</v>
      </c>
      <c r="EZ1" s="3" t="s">
        <v>765</v>
      </c>
      <c r="FA1" s="3" t="s">
        <v>765</v>
      </c>
      <c r="FB1" s="3" t="s">
        <v>765</v>
      </c>
      <c r="FC1" s="3" t="s">
        <v>765</v>
      </c>
      <c r="FD1" s="3" t="s">
        <v>752</v>
      </c>
      <c r="FE1" s="3" t="s">
        <v>766</v>
      </c>
      <c r="FF1" s="3" t="s">
        <v>766</v>
      </c>
      <c r="FG1" s="3" t="s">
        <v>766</v>
      </c>
      <c r="FH1" s="3" t="s">
        <v>766</v>
      </c>
      <c r="FI1" s="3" t="s">
        <v>766</v>
      </c>
      <c r="FJ1" s="3" t="s">
        <v>766</v>
      </c>
      <c r="FK1" s="3" t="s">
        <v>766</v>
      </c>
      <c r="FL1" s="3" t="s">
        <v>1606</v>
      </c>
      <c r="FM1" s="3" t="s">
        <v>1606</v>
      </c>
      <c r="FN1" s="3" t="s">
        <v>1606</v>
      </c>
      <c r="FO1" s="3" t="s">
        <v>1606</v>
      </c>
      <c r="FP1" s="3" t="s">
        <v>1606</v>
      </c>
      <c r="FQ1" s="3" t="s">
        <v>1606</v>
      </c>
      <c r="FR1" s="3" t="s">
        <v>1606</v>
      </c>
      <c r="FS1" s="3" t="s">
        <v>1606</v>
      </c>
      <c r="FT1" s="3" t="s">
        <v>767</v>
      </c>
      <c r="FU1" s="3" t="s">
        <v>767</v>
      </c>
      <c r="FV1" s="3" t="s">
        <v>767</v>
      </c>
      <c r="FW1" s="3" t="s">
        <v>767</v>
      </c>
      <c r="FX1" s="3" t="s">
        <v>767</v>
      </c>
      <c r="FY1" s="3" t="s">
        <v>767</v>
      </c>
      <c r="FZ1" s="3" t="s">
        <v>767</v>
      </c>
      <c r="GA1" s="3" t="s">
        <v>767</v>
      </c>
      <c r="GB1" s="3" t="s">
        <v>1607</v>
      </c>
      <c r="GC1" s="3" t="s">
        <v>1607</v>
      </c>
      <c r="GD1" s="3" t="s">
        <v>1607</v>
      </c>
      <c r="GE1" s="3" t="s">
        <v>1607</v>
      </c>
      <c r="GF1" s="3" t="s">
        <v>1607</v>
      </c>
      <c r="GG1" s="3" t="s">
        <v>1607</v>
      </c>
      <c r="GH1" s="3" t="s">
        <v>1607</v>
      </c>
      <c r="GI1" s="3" t="s">
        <v>768</v>
      </c>
      <c r="GJ1" s="3" t="s">
        <v>768</v>
      </c>
      <c r="GK1" s="3" t="s">
        <v>768</v>
      </c>
      <c r="GL1" s="3" t="s">
        <v>768</v>
      </c>
      <c r="GM1" s="3" t="s">
        <v>768</v>
      </c>
      <c r="GN1" s="3" t="s">
        <v>768</v>
      </c>
      <c r="GO1" s="3" t="s">
        <v>768</v>
      </c>
      <c r="GP1" s="3" t="s">
        <v>768</v>
      </c>
      <c r="GQ1" s="3" t="s">
        <v>1608</v>
      </c>
      <c r="GR1" s="3" t="s">
        <v>1608</v>
      </c>
      <c r="GS1" s="3" t="s">
        <v>1608</v>
      </c>
      <c r="GT1" s="3" t="s">
        <v>1608</v>
      </c>
      <c r="GU1" s="3" t="s">
        <v>1608</v>
      </c>
      <c r="GV1" s="3" t="s">
        <v>1608</v>
      </c>
      <c r="GW1" s="3" t="s">
        <v>1608</v>
      </c>
      <c r="GX1" s="3" t="s">
        <v>1608</v>
      </c>
      <c r="GY1" s="3" t="s">
        <v>769</v>
      </c>
      <c r="GZ1" s="3" t="s">
        <v>769</v>
      </c>
      <c r="HA1" s="3" t="s">
        <v>769</v>
      </c>
      <c r="HB1" s="3" t="s">
        <v>769</v>
      </c>
      <c r="HC1" s="3" t="s">
        <v>769</v>
      </c>
      <c r="HD1" s="3" t="s">
        <v>769</v>
      </c>
      <c r="HE1" s="3" t="s">
        <v>769</v>
      </c>
      <c r="HF1" s="3" t="s">
        <v>769</v>
      </c>
      <c r="HG1" s="3" t="s">
        <v>1609</v>
      </c>
      <c r="HH1" s="3" t="s">
        <v>1609</v>
      </c>
      <c r="HI1" s="3" t="s">
        <v>1609</v>
      </c>
      <c r="HJ1" s="3" t="s">
        <v>1609</v>
      </c>
      <c r="HK1" s="3" t="s">
        <v>1609</v>
      </c>
      <c r="HL1" s="3" t="s">
        <v>1609</v>
      </c>
      <c r="HM1" s="3" t="s">
        <v>1609</v>
      </c>
      <c r="HN1" s="3" t="s">
        <v>1609</v>
      </c>
      <c r="HO1" s="3" t="s">
        <v>1609</v>
      </c>
      <c r="HP1" s="3" t="s">
        <v>1609</v>
      </c>
      <c r="HQ1" s="3" t="s">
        <v>770</v>
      </c>
      <c r="HR1" s="3" t="s">
        <v>770</v>
      </c>
      <c r="HS1" s="3" t="s">
        <v>770</v>
      </c>
      <c r="HT1" s="3" t="s">
        <v>770</v>
      </c>
      <c r="HU1" s="3" t="s">
        <v>770</v>
      </c>
      <c r="HV1" s="3" t="s">
        <v>770</v>
      </c>
      <c r="HW1" s="3" t="s">
        <v>770</v>
      </c>
      <c r="HX1" s="3" t="s">
        <v>1610</v>
      </c>
      <c r="HY1" s="3" t="s">
        <v>1610</v>
      </c>
      <c r="HZ1" s="3" t="s">
        <v>1610</v>
      </c>
      <c r="IA1" s="3" t="s">
        <v>1610</v>
      </c>
      <c r="IB1" s="3" t="s">
        <v>752</v>
      </c>
      <c r="IC1" s="3" t="s">
        <v>771</v>
      </c>
      <c r="ID1" s="3" t="s">
        <v>771</v>
      </c>
      <c r="IE1" s="3" t="s">
        <v>771</v>
      </c>
      <c r="IF1" s="3" t="s">
        <v>771</v>
      </c>
      <c r="IG1" s="3" t="s">
        <v>771</v>
      </c>
      <c r="IH1" s="3" t="s">
        <v>771</v>
      </c>
      <c r="II1" s="3" t="s">
        <v>771</v>
      </c>
      <c r="IJ1" s="3" t="s">
        <v>771</v>
      </c>
      <c r="IK1" s="3" t="s">
        <v>752</v>
      </c>
      <c r="IL1" s="3" t="s">
        <v>772</v>
      </c>
      <c r="IM1" s="3" t="s">
        <v>772</v>
      </c>
      <c r="IN1" s="3" t="s">
        <v>772</v>
      </c>
      <c r="IO1" s="3" t="s">
        <v>772</v>
      </c>
      <c r="IP1" s="3" t="s">
        <v>772</v>
      </c>
      <c r="IQ1" s="3" t="s">
        <v>772</v>
      </c>
      <c r="IR1" s="3" t="s">
        <v>772</v>
      </c>
      <c r="IS1" s="3" t="s">
        <v>773</v>
      </c>
      <c r="IT1" s="3" t="s">
        <v>774</v>
      </c>
      <c r="IU1" s="3" t="s">
        <v>775</v>
      </c>
      <c r="IV1" s="3" t="s">
        <v>776</v>
      </c>
      <c r="IW1" s="3" t="s">
        <v>776</v>
      </c>
      <c r="IX1" s="3" t="s">
        <v>777</v>
      </c>
      <c r="IY1" s="3" t="s">
        <v>778</v>
      </c>
      <c r="IZ1" s="3" t="s">
        <v>779</v>
      </c>
      <c r="JA1" s="3" t="s">
        <v>780</v>
      </c>
      <c r="JB1" s="3" t="s">
        <v>781</v>
      </c>
      <c r="JC1" s="3" t="s">
        <v>782</v>
      </c>
      <c r="JD1" s="3" t="s">
        <v>783</v>
      </c>
      <c r="JE1" s="3" t="s">
        <v>783</v>
      </c>
      <c r="JF1" s="3" t="s">
        <v>783</v>
      </c>
      <c r="JG1" s="3" t="s">
        <v>784</v>
      </c>
      <c r="JH1" s="3" t="s">
        <v>785</v>
      </c>
      <c r="JI1" s="3" t="s">
        <v>786</v>
      </c>
      <c r="JJ1" s="3" t="s">
        <v>787</v>
      </c>
      <c r="JK1" s="3" t="s">
        <v>788</v>
      </c>
      <c r="JL1" s="3" t="s">
        <v>789</v>
      </c>
      <c r="JM1" s="3" t="s">
        <v>790</v>
      </c>
      <c r="JN1" s="3" t="s">
        <v>791</v>
      </c>
      <c r="JO1" s="3" t="s">
        <v>792</v>
      </c>
      <c r="JP1" s="3" t="s">
        <v>793</v>
      </c>
      <c r="JQ1" s="3" t="s">
        <v>794</v>
      </c>
      <c r="JR1" s="3" t="s">
        <v>795</v>
      </c>
      <c r="JS1" s="3" t="s">
        <v>796</v>
      </c>
      <c r="JT1" s="3" t="s">
        <v>797</v>
      </c>
      <c r="JU1" s="3" t="s">
        <v>798</v>
      </c>
      <c r="JV1" s="3" t="s">
        <v>799</v>
      </c>
      <c r="JW1" s="3" t="s">
        <v>799</v>
      </c>
      <c r="JX1" s="3" t="s">
        <v>799</v>
      </c>
      <c r="JY1" s="3" t="s">
        <v>800</v>
      </c>
      <c r="JZ1" s="3" t="s">
        <v>800</v>
      </c>
      <c r="KA1" s="3" t="s">
        <v>801</v>
      </c>
      <c r="KB1" s="3" t="s">
        <v>801</v>
      </c>
      <c r="KC1" s="3" t="s">
        <v>802</v>
      </c>
      <c r="KD1" s="3" t="s">
        <v>802</v>
      </c>
      <c r="KE1" s="3" t="s">
        <v>803</v>
      </c>
      <c r="KF1" s="3" t="s">
        <v>803</v>
      </c>
      <c r="KG1" s="3" t="s">
        <v>804</v>
      </c>
      <c r="KH1" s="3" t="s">
        <v>804</v>
      </c>
      <c r="KI1" s="3" t="s">
        <v>805</v>
      </c>
      <c r="KJ1" s="3" t="s">
        <v>805</v>
      </c>
      <c r="KK1" s="3" t="s">
        <v>806</v>
      </c>
      <c r="KL1" s="3" t="s">
        <v>806</v>
      </c>
      <c r="KM1" s="3" t="s">
        <v>807</v>
      </c>
      <c r="KN1" s="3" t="s">
        <v>807</v>
      </c>
      <c r="KO1" s="3" t="s">
        <v>808</v>
      </c>
      <c r="KP1" s="3" t="s">
        <v>808</v>
      </c>
      <c r="KQ1" s="3" t="s">
        <v>809</v>
      </c>
      <c r="KR1" s="3" t="s">
        <v>809</v>
      </c>
      <c r="KS1" s="3" t="s">
        <v>810</v>
      </c>
      <c r="KT1" s="3" t="s">
        <v>810</v>
      </c>
      <c r="KU1" s="3" t="s">
        <v>811</v>
      </c>
      <c r="KV1" s="3" t="s">
        <v>811</v>
      </c>
      <c r="KW1" s="3" t="s">
        <v>812</v>
      </c>
      <c r="KX1" s="3" t="s">
        <v>812</v>
      </c>
      <c r="KY1" s="3" t="s">
        <v>813</v>
      </c>
      <c r="KZ1" s="3" t="s">
        <v>813</v>
      </c>
      <c r="LA1" s="3" t="s">
        <v>814</v>
      </c>
      <c r="LB1" s="3" t="s">
        <v>814</v>
      </c>
      <c r="LC1" s="3" t="s">
        <v>815</v>
      </c>
      <c r="LD1" s="3" t="s">
        <v>815</v>
      </c>
      <c r="LE1" s="3" t="s">
        <v>816</v>
      </c>
      <c r="LF1" s="3" t="s">
        <v>816</v>
      </c>
      <c r="LG1" s="3" t="s">
        <v>817</v>
      </c>
      <c r="LH1" s="3" t="s">
        <v>817</v>
      </c>
      <c r="LI1" s="3" t="s">
        <v>818</v>
      </c>
      <c r="LJ1" s="3" t="s">
        <v>818</v>
      </c>
      <c r="LK1" s="3" t="s">
        <v>819</v>
      </c>
      <c r="LL1" s="3" t="s">
        <v>819</v>
      </c>
      <c r="LM1" s="3" t="s">
        <v>820</v>
      </c>
      <c r="LN1" s="3" t="s">
        <v>820</v>
      </c>
      <c r="LO1" s="3" t="s">
        <v>821</v>
      </c>
      <c r="LP1" s="3" t="s">
        <v>821</v>
      </c>
      <c r="LQ1" s="3" t="s">
        <v>822</v>
      </c>
      <c r="LR1" s="3" t="s">
        <v>823</v>
      </c>
      <c r="LS1" s="3" t="s">
        <v>824</v>
      </c>
      <c r="LT1" s="3" t="s">
        <v>825</v>
      </c>
      <c r="LU1" s="3" t="s">
        <v>826</v>
      </c>
      <c r="LV1" s="3" t="s">
        <v>827</v>
      </c>
      <c r="LW1" s="3" t="s">
        <v>828</v>
      </c>
      <c r="LX1" s="3" t="s">
        <v>829</v>
      </c>
      <c r="LY1" s="3" t="s">
        <v>830</v>
      </c>
      <c r="LZ1" s="3" t="s">
        <v>831</v>
      </c>
      <c r="MA1" s="3" t="s">
        <v>832</v>
      </c>
      <c r="MB1" s="3" t="s">
        <v>833</v>
      </c>
      <c r="MC1" s="3" t="s">
        <v>834</v>
      </c>
      <c r="MD1" s="3" t="s">
        <v>835</v>
      </c>
      <c r="ME1" s="3" t="s">
        <v>836</v>
      </c>
      <c r="MF1" s="3" t="s">
        <v>837</v>
      </c>
      <c r="MG1" s="3" t="s">
        <v>838</v>
      </c>
      <c r="MH1" s="3" t="s">
        <v>838</v>
      </c>
      <c r="MI1" s="3" t="s">
        <v>839</v>
      </c>
      <c r="MJ1" s="3" t="s">
        <v>840</v>
      </c>
      <c r="MK1" s="3" t="s">
        <v>840</v>
      </c>
      <c r="ML1" s="3" t="s">
        <v>840</v>
      </c>
      <c r="MM1" s="3" t="s">
        <v>840</v>
      </c>
      <c r="MN1" s="3" t="s">
        <v>840</v>
      </c>
      <c r="MO1" s="3" t="s">
        <v>840</v>
      </c>
      <c r="MP1" s="3" t="s">
        <v>840</v>
      </c>
      <c r="MQ1" s="3" t="s">
        <v>840</v>
      </c>
      <c r="MR1" s="3" t="s">
        <v>840</v>
      </c>
      <c r="MS1" s="3" t="s">
        <v>841</v>
      </c>
      <c r="MT1" s="3" t="s">
        <v>842</v>
      </c>
      <c r="MU1" s="3" t="s">
        <v>842</v>
      </c>
      <c r="MV1" s="3" t="s">
        <v>842</v>
      </c>
      <c r="MW1" s="3" t="s">
        <v>842</v>
      </c>
      <c r="MX1" s="3" t="s">
        <v>842</v>
      </c>
      <c r="MY1" s="3" t="s">
        <v>842</v>
      </c>
      <c r="MZ1" s="3" t="s">
        <v>842</v>
      </c>
      <c r="NA1" s="3" t="s">
        <v>842</v>
      </c>
      <c r="NB1" s="3" t="s">
        <v>842</v>
      </c>
      <c r="NC1" s="3" t="s">
        <v>843</v>
      </c>
      <c r="ND1" s="3" t="s">
        <v>844</v>
      </c>
      <c r="NE1" s="3" t="s">
        <v>844</v>
      </c>
      <c r="NF1" s="3" t="s">
        <v>844</v>
      </c>
      <c r="NG1" s="3" t="s">
        <v>844</v>
      </c>
      <c r="NH1" s="3" t="s">
        <v>844</v>
      </c>
      <c r="NI1" s="3" t="s">
        <v>844</v>
      </c>
      <c r="NJ1" s="3" t="s">
        <v>844</v>
      </c>
      <c r="NK1" s="3" t="s">
        <v>844</v>
      </c>
      <c r="NL1" s="3" t="s">
        <v>844</v>
      </c>
      <c r="NM1" s="3" t="s">
        <v>845</v>
      </c>
      <c r="NN1" s="3" t="s">
        <v>845</v>
      </c>
      <c r="NO1" s="3" t="s">
        <v>846</v>
      </c>
      <c r="NP1" s="3" t="s">
        <v>847</v>
      </c>
      <c r="NQ1" s="3" t="s">
        <v>847</v>
      </c>
      <c r="NR1" s="3" t="s">
        <v>848</v>
      </c>
      <c r="NS1" s="3" t="s">
        <v>848</v>
      </c>
      <c r="NT1" s="3" t="s">
        <v>849</v>
      </c>
      <c r="NU1" s="3" t="s">
        <v>850</v>
      </c>
      <c r="NV1" s="3" t="s">
        <v>851</v>
      </c>
      <c r="NW1" s="3" t="s">
        <v>852</v>
      </c>
      <c r="NX1" s="3" t="s">
        <v>853</v>
      </c>
      <c r="NY1" s="3" t="s">
        <v>854</v>
      </c>
      <c r="NZ1" s="3" t="s">
        <v>855</v>
      </c>
      <c r="OA1" s="3" t="s">
        <v>856</v>
      </c>
      <c r="OB1" s="3" t="s">
        <v>857</v>
      </c>
      <c r="OC1" s="3" t="s">
        <v>858</v>
      </c>
      <c r="OD1" s="3" t="s">
        <v>859</v>
      </c>
      <c r="OE1" s="3" t="s">
        <v>860</v>
      </c>
      <c r="OF1" s="3" t="s">
        <v>861</v>
      </c>
      <c r="OG1" s="3" t="s">
        <v>862</v>
      </c>
      <c r="OH1" s="3" t="s">
        <v>863</v>
      </c>
      <c r="OI1" s="3" t="s">
        <v>864</v>
      </c>
      <c r="OJ1" s="3" t="s">
        <v>865</v>
      </c>
      <c r="OK1" s="3" t="s">
        <v>866</v>
      </c>
      <c r="OL1" s="3" t="s">
        <v>867</v>
      </c>
      <c r="OM1" s="3" t="s">
        <v>868</v>
      </c>
      <c r="ON1" s="3" t="s">
        <v>869</v>
      </c>
      <c r="OO1" s="3" t="s">
        <v>870</v>
      </c>
      <c r="OP1" s="3" t="s">
        <v>871</v>
      </c>
      <c r="OQ1" s="3" t="s">
        <v>872</v>
      </c>
      <c r="OR1" s="3" t="s">
        <v>873</v>
      </c>
      <c r="OS1" s="3" t="s">
        <v>874</v>
      </c>
      <c r="OT1" s="3" t="s">
        <v>875</v>
      </c>
      <c r="OU1" s="3" t="s">
        <v>876</v>
      </c>
      <c r="OV1" s="3" t="s">
        <v>877</v>
      </c>
      <c r="OW1" s="3" t="s">
        <v>878</v>
      </c>
      <c r="OX1" s="3" t="s">
        <v>879</v>
      </c>
      <c r="OY1" s="3" t="s">
        <v>880</v>
      </c>
      <c r="OZ1" s="3" t="s">
        <v>881</v>
      </c>
      <c r="PA1" s="3" t="s">
        <v>882</v>
      </c>
      <c r="PB1" s="3" t="s">
        <v>883</v>
      </c>
      <c r="PC1" s="3" t="s">
        <v>884</v>
      </c>
      <c r="PD1" s="3" t="s">
        <v>885</v>
      </c>
      <c r="PE1" s="3" t="s">
        <v>886</v>
      </c>
      <c r="PF1" s="3" t="s">
        <v>887</v>
      </c>
      <c r="PG1" s="3" t="s">
        <v>888</v>
      </c>
      <c r="PH1" s="3" t="s">
        <v>889</v>
      </c>
      <c r="PI1" s="3" t="s">
        <v>890</v>
      </c>
      <c r="PJ1" s="3" t="s">
        <v>891</v>
      </c>
      <c r="PK1" s="3" t="s">
        <v>892</v>
      </c>
      <c r="PL1" s="3" t="s">
        <v>893</v>
      </c>
      <c r="PM1" s="3" t="s">
        <v>894</v>
      </c>
      <c r="PN1" s="3" t="s">
        <v>895</v>
      </c>
      <c r="PO1" s="3" t="s">
        <v>896</v>
      </c>
      <c r="PP1" s="3" t="s">
        <v>897</v>
      </c>
      <c r="PQ1" s="3" t="s">
        <v>898</v>
      </c>
      <c r="PR1" s="3" t="s">
        <v>899</v>
      </c>
      <c r="PS1" s="3" t="s">
        <v>900</v>
      </c>
      <c r="PT1" s="3" t="s">
        <v>901</v>
      </c>
      <c r="PU1" s="3" t="s">
        <v>902</v>
      </c>
      <c r="PV1" s="3" t="s">
        <v>903</v>
      </c>
      <c r="PW1" s="3" t="s">
        <v>904</v>
      </c>
      <c r="PX1" s="3" t="s">
        <v>905</v>
      </c>
      <c r="PY1" s="3" t="s">
        <v>906</v>
      </c>
      <c r="PZ1" s="3" t="s">
        <v>907</v>
      </c>
      <c r="QA1" s="3" t="s">
        <v>908</v>
      </c>
      <c r="QB1" s="3" t="s">
        <v>909</v>
      </c>
      <c r="QC1" s="3" t="s">
        <v>909</v>
      </c>
      <c r="QD1" s="3" t="s">
        <v>910</v>
      </c>
      <c r="QE1" s="3" t="s">
        <v>911</v>
      </c>
      <c r="QF1" s="3" t="s">
        <v>912</v>
      </c>
      <c r="QG1" s="3" t="s">
        <v>913</v>
      </c>
      <c r="QH1" s="3" t="s">
        <v>914</v>
      </c>
      <c r="QI1" s="3" t="s">
        <v>915</v>
      </c>
      <c r="QJ1" s="3" t="s">
        <v>916</v>
      </c>
      <c r="QK1" s="3" t="s">
        <v>917</v>
      </c>
      <c r="QL1" s="3" t="s">
        <v>918</v>
      </c>
      <c r="QM1" s="3" t="s">
        <v>919</v>
      </c>
      <c r="QN1" s="3" t="s">
        <v>920</v>
      </c>
      <c r="QO1" s="3" t="s">
        <v>921</v>
      </c>
      <c r="QP1" s="3" t="s">
        <v>922</v>
      </c>
      <c r="QQ1" s="3" t="s">
        <v>923</v>
      </c>
      <c r="QR1" s="3" t="s">
        <v>924</v>
      </c>
      <c r="QS1" s="3" t="s">
        <v>925</v>
      </c>
      <c r="QT1" s="3" t="s">
        <v>926</v>
      </c>
      <c r="QU1" s="3" t="s">
        <v>927</v>
      </c>
      <c r="QV1" s="3" t="s">
        <v>927</v>
      </c>
      <c r="QW1" s="3" t="s">
        <v>928</v>
      </c>
      <c r="QX1" s="3" t="s">
        <v>928</v>
      </c>
      <c r="QY1" s="3" t="s">
        <v>928</v>
      </c>
      <c r="QZ1" s="3" t="s">
        <v>928</v>
      </c>
      <c r="RA1" s="3" t="s">
        <v>928</v>
      </c>
      <c r="RB1" s="3" t="s">
        <v>928</v>
      </c>
      <c r="RC1" s="3" t="s">
        <v>928</v>
      </c>
      <c r="RD1" s="3" t="s">
        <v>928</v>
      </c>
      <c r="RE1" s="3" t="s">
        <v>929</v>
      </c>
      <c r="RF1" s="3" t="s">
        <v>929</v>
      </c>
      <c r="RG1" s="3" t="s">
        <v>929</v>
      </c>
      <c r="RH1" s="3" t="s">
        <v>929</v>
      </c>
      <c r="RI1" s="3" t="s">
        <v>929</v>
      </c>
      <c r="RJ1" s="3" t="s">
        <v>929</v>
      </c>
      <c r="RK1" s="3" t="s">
        <v>929</v>
      </c>
      <c r="RL1" s="3" t="s">
        <v>929</v>
      </c>
      <c r="RM1" s="3" t="s">
        <v>929</v>
      </c>
      <c r="RN1" s="3" t="s">
        <v>929</v>
      </c>
      <c r="RO1" s="3" t="s">
        <v>929</v>
      </c>
      <c r="RP1" s="3" t="s">
        <v>929</v>
      </c>
      <c r="RQ1" s="3" t="s">
        <v>929</v>
      </c>
      <c r="RR1" s="3" t="s">
        <v>930</v>
      </c>
      <c r="RS1" s="3" t="s">
        <v>752</v>
      </c>
      <c r="RT1" s="3" t="s">
        <v>772</v>
      </c>
      <c r="RU1" s="3" t="s">
        <v>772</v>
      </c>
      <c r="RV1" s="3" t="s">
        <v>772</v>
      </c>
      <c r="RW1" s="3" t="s">
        <v>772</v>
      </c>
      <c r="RX1" s="3" t="s">
        <v>772</v>
      </c>
      <c r="RY1" s="3" t="s">
        <v>772</v>
      </c>
      <c r="RZ1" s="3" t="s">
        <v>772</v>
      </c>
      <c r="SA1" s="3" t="s">
        <v>848</v>
      </c>
      <c r="SB1" s="3" t="s">
        <v>848</v>
      </c>
      <c r="SC1" s="3" t="s">
        <v>849</v>
      </c>
      <c r="SD1" s="3" t="s">
        <v>850</v>
      </c>
      <c r="SE1" s="3" t="s">
        <v>851</v>
      </c>
      <c r="SF1" s="3" t="s">
        <v>852</v>
      </c>
      <c r="SG1" s="3" t="s">
        <v>853</v>
      </c>
      <c r="SH1" s="3" t="s">
        <v>854</v>
      </c>
      <c r="SI1" s="3" t="s">
        <v>855</v>
      </c>
      <c r="SJ1" s="3" t="s">
        <v>856</v>
      </c>
      <c r="SK1" s="3" t="s">
        <v>857</v>
      </c>
      <c r="SL1" s="3" t="s">
        <v>858</v>
      </c>
      <c r="SM1" s="3" t="s">
        <v>859</v>
      </c>
      <c r="SN1" s="3" t="s">
        <v>860</v>
      </c>
      <c r="SO1" s="3" t="s">
        <v>861</v>
      </c>
      <c r="SP1" s="3" t="s">
        <v>862</v>
      </c>
      <c r="SQ1" s="3" t="s">
        <v>863</v>
      </c>
      <c r="SR1" s="3" t="s">
        <v>864</v>
      </c>
      <c r="SS1" s="3" t="s">
        <v>865</v>
      </c>
      <c r="ST1" s="3" t="s">
        <v>866</v>
      </c>
      <c r="SU1" s="3" t="s">
        <v>867</v>
      </c>
      <c r="SV1" s="3" t="s">
        <v>868</v>
      </c>
      <c r="SW1" s="3" t="s">
        <v>869</v>
      </c>
      <c r="SX1" s="3" t="s">
        <v>870</v>
      </c>
      <c r="SY1" s="3" t="s">
        <v>871</v>
      </c>
      <c r="SZ1" s="3" t="s">
        <v>872</v>
      </c>
      <c r="TA1" s="3" t="s">
        <v>873</v>
      </c>
      <c r="TB1" s="3" t="s">
        <v>874</v>
      </c>
      <c r="TC1" s="3" t="s">
        <v>875</v>
      </c>
      <c r="TD1" s="3" t="s">
        <v>876</v>
      </c>
      <c r="TE1" s="3" t="s">
        <v>877</v>
      </c>
      <c r="TF1" s="3" t="s">
        <v>879</v>
      </c>
      <c r="TG1" s="3" t="s">
        <v>880</v>
      </c>
      <c r="TH1" s="3" t="s">
        <v>881</v>
      </c>
      <c r="TI1" s="3" t="s">
        <v>882</v>
      </c>
      <c r="TJ1" s="3" t="s">
        <v>883</v>
      </c>
      <c r="TK1" s="3" t="s">
        <v>884</v>
      </c>
      <c r="TL1" s="3" t="s">
        <v>885</v>
      </c>
      <c r="TM1" s="3" t="s">
        <v>886</v>
      </c>
      <c r="TN1" s="3" t="s">
        <v>887</v>
      </c>
      <c r="TO1" s="3" t="s">
        <v>888</v>
      </c>
      <c r="TP1" s="3" t="s">
        <v>889</v>
      </c>
      <c r="TQ1" s="3" t="s">
        <v>890</v>
      </c>
      <c r="TR1" s="3" t="s">
        <v>891</v>
      </c>
      <c r="TS1" s="3" t="s">
        <v>892</v>
      </c>
      <c r="TT1" s="3" t="s">
        <v>893</v>
      </c>
      <c r="TU1" s="3" t="s">
        <v>894</v>
      </c>
      <c r="TV1" s="3" t="s">
        <v>895</v>
      </c>
      <c r="TW1" s="3" t="s">
        <v>896</v>
      </c>
      <c r="TX1" s="3" t="s">
        <v>897</v>
      </c>
      <c r="TY1" s="3" t="s">
        <v>898</v>
      </c>
      <c r="TZ1" s="3" t="s">
        <v>899</v>
      </c>
      <c r="UA1" s="3" t="s">
        <v>900</v>
      </c>
      <c r="UB1" s="3" t="s">
        <v>901</v>
      </c>
      <c r="UC1" s="3" t="s">
        <v>902</v>
      </c>
      <c r="UD1" s="3" t="s">
        <v>903</v>
      </c>
      <c r="UE1" s="3" t="s">
        <v>904</v>
      </c>
      <c r="UF1" s="3" t="s">
        <v>905</v>
      </c>
      <c r="UG1" s="3" t="s">
        <v>906</v>
      </c>
      <c r="UH1" s="3" t="s">
        <v>907</v>
      </c>
      <c r="UI1" s="3" t="s">
        <v>908</v>
      </c>
      <c r="UJ1" s="3" t="s">
        <v>909</v>
      </c>
      <c r="UK1" s="3" t="s">
        <v>909</v>
      </c>
      <c r="UL1" s="3" t="s">
        <v>910</v>
      </c>
      <c r="UM1" s="3" t="s">
        <v>911</v>
      </c>
      <c r="UN1" s="3" t="s">
        <v>912</v>
      </c>
      <c r="UO1" s="3" t="s">
        <v>913</v>
      </c>
      <c r="UP1" s="3" t="s">
        <v>914</v>
      </c>
      <c r="UQ1" s="3" t="s">
        <v>915</v>
      </c>
      <c r="UR1" s="3" t="s">
        <v>916</v>
      </c>
      <c r="US1" s="3" t="s">
        <v>917</v>
      </c>
      <c r="UT1" s="3" t="s">
        <v>918</v>
      </c>
      <c r="UU1" s="3" t="s">
        <v>919</v>
      </c>
      <c r="UV1" s="3" t="s">
        <v>920</v>
      </c>
      <c r="UW1" s="3" t="s">
        <v>921</v>
      </c>
      <c r="UX1" s="3" t="s">
        <v>922</v>
      </c>
      <c r="UY1" s="3" t="s">
        <v>923</v>
      </c>
      <c r="UZ1" s="3" t="s">
        <v>924</v>
      </c>
      <c r="VA1" s="3" t="s">
        <v>925</v>
      </c>
      <c r="VB1" s="3" t="s">
        <v>926</v>
      </c>
      <c r="VC1" s="3" t="s">
        <v>927</v>
      </c>
      <c r="VD1" s="3" t="s">
        <v>927</v>
      </c>
      <c r="VE1" s="3" t="s">
        <v>928</v>
      </c>
      <c r="VF1" s="3" t="s">
        <v>928</v>
      </c>
      <c r="VG1" s="3" t="s">
        <v>928</v>
      </c>
      <c r="VH1" s="3" t="s">
        <v>928</v>
      </c>
      <c r="VI1" s="3" t="s">
        <v>928</v>
      </c>
      <c r="VJ1" s="3" t="s">
        <v>928</v>
      </c>
      <c r="VK1" s="3" t="s">
        <v>928</v>
      </c>
      <c r="VL1" s="3" t="s">
        <v>928</v>
      </c>
      <c r="VM1" s="3" t="s">
        <v>928</v>
      </c>
      <c r="VN1" s="3" t="s">
        <v>929</v>
      </c>
      <c r="VO1" s="3" t="s">
        <v>929</v>
      </c>
      <c r="VP1" s="3" t="s">
        <v>929</v>
      </c>
      <c r="VQ1" s="3" t="s">
        <v>929</v>
      </c>
      <c r="VR1" s="3" t="s">
        <v>929</v>
      </c>
      <c r="VS1" s="3" t="s">
        <v>929</v>
      </c>
      <c r="VT1" s="3" t="s">
        <v>929</v>
      </c>
      <c r="VU1" s="3" t="s">
        <v>929</v>
      </c>
      <c r="VV1" s="3" t="s">
        <v>929</v>
      </c>
      <c r="VW1" s="3" t="s">
        <v>929</v>
      </c>
      <c r="VX1" s="3" t="s">
        <v>929</v>
      </c>
      <c r="VY1" s="3" t="s">
        <v>929</v>
      </c>
      <c r="VZ1" s="3" t="s">
        <v>929</v>
      </c>
      <c r="WA1" s="3" t="s">
        <v>928</v>
      </c>
      <c r="WB1" s="3" t="s">
        <v>929</v>
      </c>
      <c r="WC1" s="3" t="s">
        <v>930</v>
      </c>
      <c r="WD1" s="3" t="s">
        <v>930</v>
      </c>
      <c r="WE1" s="3" t="s">
        <v>931</v>
      </c>
      <c r="WF1" s="3" t="s">
        <v>932</v>
      </c>
      <c r="WG1" s="3" t="s">
        <v>933</v>
      </c>
      <c r="WH1" s="3" t="s">
        <v>934</v>
      </c>
      <c r="WI1" s="3" t="s">
        <v>935</v>
      </c>
      <c r="WJ1" s="3" t="s">
        <v>936</v>
      </c>
      <c r="WK1" s="3" t="s">
        <v>937</v>
      </c>
      <c r="WL1" s="3" t="s">
        <v>938</v>
      </c>
      <c r="WM1" s="3" t="s">
        <v>939</v>
      </c>
      <c r="WN1" s="3" t="s">
        <v>940</v>
      </c>
      <c r="WO1" s="3" t="s">
        <v>941</v>
      </c>
      <c r="WP1" s="3" t="s">
        <v>940</v>
      </c>
      <c r="WQ1" s="3" t="s">
        <v>942</v>
      </c>
      <c r="WR1" s="3" t="s">
        <v>940</v>
      </c>
      <c r="WS1" s="3" t="s">
        <v>943</v>
      </c>
      <c r="WT1" s="3" t="s">
        <v>944</v>
      </c>
      <c r="WU1" s="3" t="s">
        <v>945</v>
      </c>
      <c r="WV1" s="3" t="s">
        <v>946</v>
      </c>
      <c r="WW1" s="3" t="s">
        <v>947</v>
      </c>
      <c r="WX1" s="3" t="s">
        <v>948</v>
      </c>
      <c r="WY1" s="3" t="s">
        <v>949</v>
      </c>
      <c r="WZ1" s="3" t="s">
        <v>950</v>
      </c>
      <c r="XA1" s="3" t="s">
        <v>951</v>
      </c>
      <c r="XB1" s="3" t="s">
        <v>952</v>
      </c>
      <c r="XC1" s="3" t="s">
        <v>953</v>
      </c>
      <c r="XD1" s="3" t="s">
        <v>954</v>
      </c>
      <c r="XE1" s="3" t="s">
        <v>955</v>
      </c>
      <c r="XF1" s="3" t="s">
        <v>956</v>
      </c>
      <c r="XG1" s="3" t="s">
        <v>957</v>
      </c>
      <c r="XH1" s="3" t="s">
        <v>958</v>
      </c>
      <c r="XI1" s="3" t="s">
        <v>959</v>
      </c>
      <c r="XJ1" s="3" t="s">
        <v>928</v>
      </c>
      <c r="XK1" s="3" t="s">
        <v>928</v>
      </c>
      <c r="XL1" s="3" t="s">
        <v>928</v>
      </c>
      <c r="XM1" s="3" t="s">
        <v>928</v>
      </c>
      <c r="XN1" s="3" t="s">
        <v>928</v>
      </c>
      <c r="XO1" s="3" t="s">
        <v>928</v>
      </c>
      <c r="XP1" s="3" t="s">
        <v>928</v>
      </c>
      <c r="XQ1" s="3" t="s">
        <v>928</v>
      </c>
      <c r="XR1" s="3" t="s">
        <v>928</v>
      </c>
      <c r="XS1" s="3" t="s">
        <v>929</v>
      </c>
      <c r="XT1" s="3" t="s">
        <v>929</v>
      </c>
      <c r="XU1" s="3" t="s">
        <v>929</v>
      </c>
      <c r="XV1" s="3" t="s">
        <v>929</v>
      </c>
      <c r="XW1" s="3" t="s">
        <v>929</v>
      </c>
      <c r="XX1" s="3" t="s">
        <v>929</v>
      </c>
      <c r="XY1" s="3" t="s">
        <v>929</v>
      </c>
      <c r="XZ1" s="3" t="s">
        <v>1617</v>
      </c>
      <c r="YA1" s="3" t="s">
        <v>1617</v>
      </c>
      <c r="YB1" s="3" t="s">
        <v>1617</v>
      </c>
      <c r="YC1" s="3" t="s">
        <v>1617</v>
      </c>
      <c r="YD1" s="3" t="s">
        <v>1617</v>
      </c>
      <c r="YE1" s="3" t="s">
        <v>1617</v>
      </c>
      <c r="YF1" s="3" t="s">
        <v>930</v>
      </c>
      <c r="YG1" s="3" t="s">
        <v>930</v>
      </c>
      <c r="YH1" s="3" t="s">
        <v>930</v>
      </c>
      <c r="YI1" s="3" t="s">
        <v>930</v>
      </c>
      <c r="YJ1" s="3" t="s">
        <v>930</v>
      </c>
      <c r="YK1" s="3" t="s">
        <v>930</v>
      </c>
      <c r="YL1" s="3" t="s">
        <v>930</v>
      </c>
      <c r="YM1" s="3" t="s">
        <v>930</v>
      </c>
      <c r="YN1" s="3" t="s">
        <v>930</v>
      </c>
      <c r="YO1" s="3" t="s">
        <v>931</v>
      </c>
      <c r="YP1" s="3" t="s">
        <v>931</v>
      </c>
      <c r="YQ1" s="3" t="s">
        <v>931</v>
      </c>
      <c r="YR1" s="3" t="s">
        <v>931</v>
      </c>
      <c r="YS1" s="3" t="s">
        <v>931</v>
      </c>
      <c r="YT1" s="3" t="s">
        <v>931</v>
      </c>
      <c r="YU1" s="3" t="s">
        <v>1616</v>
      </c>
      <c r="YV1" s="3" t="s">
        <v>1616</v>
      </c>
      <c r="YW1" s="3" t="s">
        <v>1616</v>
      </c>
      <c r="YX1" s="3" t="s">
        <v>1616</v>
      </c>
      <c r="YY1" s="3" t="s">
        <v>1616</v>
      </c>
      <c r="YZ1" s="3" t="s">
        <v>1616</v>
      </c>
      <c r="ZA1" s="3" t="s">
        <v>1616</v>
      </c>
      <c r="ZB1" s="3" t="s">
        <v>960</v>
      </c>
      <c r="ZC1" s="3" t="s">
        <v>960</v>
      </c>
      <c r="ZD1" s="3" t="s">
        <v>960</v>
      </c>
      <c r="ZE1" s="3" t="s">
        <v>960</v>
      </c>
      <c r="ZF1" s="3" t="s">
        <v>960</v>
      </c>
      <c r="ZG1" s="3" t="s">
        <v>960</v>
      </c>
      <c r="ZH1" s="3" t="s">
        <v>960</v>
      </c>
      <c r="ZI1" s="3" t="s">
        <v>960</v>
      </c>
      <c r="ZJ1" s="3" t="s">
        <v>960</v>
      </c>
      <c r="ZK1" s="3" t="s">
        <v>960</v>
      </c>
      <c r="ZL1" s="3" t="s">
        <v>1611</v>
      </c>
      <c r="ZM1" s="3" t="s">
        <v>1611</v>
      </c>
      <c r="ZN1" s="3" t="s">
        <v>1611</v>
      </c>
      <c r="ZO1" s="3" t="s">
        <v>1611</v>
      </c>
      <c r="ZP1" s="3" t="s">
        <v>1611</v>
      </c>
      <c r="ZQ1" s="3" t="s">
        <v>1611</v>
      </c>
      <c r="ZR1" s="3" t="s">
        <v>1611</v>
      </c>
      <c r="ZS1" s="3" t="s">
        <v>1611</v>
      </c>
      <c r="ZT1" s="3" t="s">
        <v>1611</v>
      </c>
      <c r="ZU1" s="3" t="s">
        <v>961</v>
      </c>
      <c r="ZV1" s="3" t="s">
        <v>961</v>
      </c>
      <c r="ZW1" s="3" t="s">
        <v>961</v>
      </c>
      <c r="ZX1" s="3" t="s">
        <v>961</v>
      </c>
      <c r="ZY1" s="3" t="s">
        <v>961</v>
      </c>
      <c r="ZZ1" s="3" t="s">
        <v>961</v>
      </c>
      <c r="AAA1" s="3" t="s">
        <v>961</v>
      </c>
      <c r="AAB1" s="3" t="s">
        <v>961</v>
      </c>
      <c r="AAC1" s="3" t="s">
        <v>961</v>
      </c>
      <c r="AAD1" s="3" t="s">
        <v>1612</v>
      </c>
      <c r="AAE1" s="3" t="s">
        <v>1612</v>
      </c>
      <c r="AAF1" s="3" t="s">
        <v>1612</v>
      </c>
      <c r="AAG1" s="3" t="s">
        <v>1612</v>
      </c>
      <c r="AAH1" s="3" t="s">
        <v>1612</v>
      </c>
      <c r="AAI1" s="3" t="s">
        <v>1612</v>
      </c>
      <c r="AAJ1" s="3" t="s">
        <v>1612</v>
      </c>
      <c r="AAK1" s="3" t="s">
        <v>1612</v>
      </c>
      <c r="AAL1" s="3" t="s">
        <v>752</v>
      </c>
      <c r="AAM1" s="3" t="s">
        <v>933</v>
      </c>
      <c r="AAN1" s="3" t="s">
        <v>933</v>
      </c>
      <c r="AAO1" s="3" t="s">
        <v>933</v>
      </c>
      <c r="AAP1" s="3" t="s">
        <v>933</v>
      </c>
      <c r="AAQ1" s="3" t="s">
        <v>933</v>
      </c>
      <c r="AAR1" s="3" t="s">
        <v>933</v>
      </c>
      <c r="AAS1" s="3" t="s">
        <v>1613</v>
      </c>
      <c r="AAT1" s="3" t="s">
        <v>1613</v>
      </c>
      <c r="AAU1" s="3" t="s">
        <v>1613</v>
      </c>
      <c r="AAV1" s="3" t="s">
        <v>1613</v>
      </c>
      <c r="AAW1" s="3" t="s">
        <v>1613</v>
      </c>
      <c r="AAX1" s="3" t="s">
        <v>752</v>
      </c>
      <c r="AAY1" s="3" t="s">
        <v>934</v>
      </c>
      <c r="AAZ1" s="3" t="s">
        <v>934</v>
      </c>
      <c r="ABA1" s="3" t="s">
        <v>934</v>
      </c>
      <c r="ABB1" s="3" t="s">
        <v>934</v>
      </c>
      <c r="ABC1" s="3" t="s">
        <v>934</v>
      </c>
      <c r="ABD1" s="3" t="s">
        <v>934</v>
      </c>
      <c r="ABE1" s="3" t="s">
        <v>1614</v>
      </c>
      <c r="ABF1" s="3" t="s">
        <v>1614</v>
      </c>
      <c r="ABG1" s="3" t="s">
        <v>1614</v>
      </c>
      <c r="ABH1" s="3" t="s">
        <v>1614</v>
      </c>
      <c r="ABI1" s="3" t="s">
        <v>962</v>
      </c>
      <c r="ABJ1" s="3" t="s">
        <v>963</v>
      </c>
      <c r="ABK1" s="3" t="s">
        <v>935</v>
      </c>
      <c r="ABL1" s="3" t="s">
        <v>936</v>
      </c>
      <c r="ABM1" s="3" t="s">
        <v>937</v>
      </c>
      <c r="ABN1" s="3" t="s">
        <v>938</v>
      </c>
      <c r="ABO1" s="3" t="s">
        <v>939</v>
      </c>
      <c r="ABP1" s="3" t="s">
        <v>940</v>
      </c>
      <c r="ABQ1" s="3" t="s">
        <v>941</v>
      </c>
      <c r="ABR1" s="3" t="s">
        <v>942</v>
      </c>
      <c r="ABS1" s="3" t="s">
        <v>943</v>
      </c>
      <c r="ABT1" s="3" t="s">
        <v>944</v>
      </c>
      <c r="ABU1" s="3" t="s">
        <v>945</v>
      </c>
      <c r="ABV1" s="3" t="s">
        <v>946</v>
      </c>
      <c r="ABW1" s="3" t="s">
        <v>947</v>
      </c>
      <c r="ABX1" s="3" t="s">
        <v>948</v>
      </c>
      <c r="ABY1" s="3" t="s">
        <v>949</v>
      </c>
      <c r="ABZ1" s="3" t="s">
        <v>950</v>
      </c>
      <c r="ACA1" s="3" t="s">
        <v>951</v>
      </c>
      <c r="ACB1" s="3" t="s">
        <v>952</v>
      </c>
      <c r="ACC1" s="3" t="s">
        <v>954</v>
      </c>
      <c r="ACD1" s="3" t="s">
        <v>956</v>
      </c>
      <c r="ACE1" s="3" t="s">
        <v>956</v>
      </c>
      <c r="ACF1" s="3" t="s">
        <v>957</v>
      </c>
      <c r="ACG1" s="3" t="s">
        <v>957</v>
      </c>
      <c r="ACH1" s="3" t="s">
        <v>958</v>
      </c>
      <c r="ACI1" s="3" t="s">
        <v>958</v>
      </c>
      <c r="ACJ1" s="3" t="s">
        <v>958</v>
      </c>
      <c r="ACK1" s="3" t="s">
        <v>958</v>
      </c>
      <c r="ACL1" s="3" t="s">
        <v>958</v>
      </c>
      <c r="ACM1" s="3" t="s">
        <v>958</v>
      </c>
      <c r="ACN1" s="3" t="s">
        <v>958</v>
      </c>
      <c r="ACO1" s="3" t="s">
        <v>958</v>
      </c>
      <c r="ACP1" s="3" t="s">
        <v>958</v>
      </c>
      <c r="ACQ1" s="3" t="s">
        <v>959</v>
      </c>
      <c r="ACR1" s="3" t="s">
        <v>959</v>
      </c>
      <c r="ACS1" s="3" t="s">
        <v>959</v>
      </c>
      <c r="ACT1" s="3" t="s">
        <v>959</v>
      </c>
      <c r="ACU1" s="3" t="s">
        <v>959</v>
      </c>
      <c r="ACV1" s="3" t="s">
        <v>959</v>
      </c>
      <c r="ACW1" s="3" t="s">
        <v>959</v>
      </c>
      <c r="ACX1" s="3" t="s">
        <v>959</v>
      </c>
      <c r="ACY1" s="3" t="s">
        <v>959</v>
      </c>
      <c r="ACZ1" s="3" t="s">
        <v>1615</v>
      </c>
      <c r="ADA1" s="3" t="s">
        <v>1615</v>
      </c>
      <c r="ADB1" s="3" t="s">
        <v>1615</v>
      </c>
      <c r="ADC1" s="3" t="s">
        <v>1615</v>
      </c>
      <c r="ADD1" s="3" t="s">
        <v>962</v>
      </c>
      <c r="ADE1" s="3" t="s">
        <v>963</v>
      </c>
      <c r="ADF1" s="3" t="s">
        <v>964</v>
      </c>
      <c r="ADG1" s="3" t="s">
        <v>965</v>
      </c>
      <c r="ADH1" s="3" t="s">
        <v>752</v>
      </c>
      <c r="ADI1" s="3" t="s">
        <v>934</v>
      </c>
      <c r="ADJ1" s="3" t="s">
        <v>934</v>
      </c>
      <c r="ADK1" s="3" t="s">
        <v>934</v>
      </c>
      <c r="ADL1" s="3" t="s">
        <v>934</v>
      </c>
      <c r="ADM1" s="3" t="s">
        <v>934</v>
      </c>
      <c r="ADN1" s="3" t="s">
        <v>934</v>
      </c>
      <c r="ADO1" s="3" t="s">
        <v>1614</v>
      </c>
      <c r="ADP1" s="3" t="s">
        <v>1614</v>
      </c>
      <c r="ADQ1" s="3" t="s">
        <v>1614</v>
      </c>
      <c r="ADR1" s="3" t="s">
        <v>1614</v>
      </c>
      <c r="ADS1" s="3" t="s">
        <v>962</v>
      </c>
      <c r="ADT1" s="3" t="s">
        <v>963</v>
      </c>
      <c r="ADU1" s="3" t="s">
        <v>935</v>
      </c>
      <c r="ADV1" s="3" t="s">
        <v>936</v>
      </c>
      <c r="ADW1" s="3" t="s">
        <v>937</v>
      </c>
      <c r="ADX1" s="3" t="s">
        <v>938</v>
      </c>
      <c r="ADY1" s="3" t="s">
        <v>939</v>
      </c>
      <c r="ADZ1" s="3" t="s">
        <v>940</v>
      </c>
      <c r="AEA1" s="3" t="s">
        <v>941</v>
      </c>
      <c r="AEB1" s="3" t="s">
        <v>942</v>
      </c>
      <c r="AEC1" s="3" t="s">
        <v>943</v>
      </c>
      <c r="AED1" s="3" t="s">
        <v>944</v>
      </c>
      <c r="AEE1" s="3" t="s">
        <v>945</v>
      </c>
      <c r="AEF1" s="3" t="s">
        <v>946</v>
      </c>
      <c r="AEG1" s="3" t="s">
        <v>947</v>
      </c>
      <c r="AEH1" s="3" t="s">
        <v>948</v>
      </c>
      <c r="AEI1" s="3" t="s">
        <v>949</v>
      </c>
      <c r="AEJ1" s="3" t="s">
        <v>950</v>
      </c>
      <c r="AEK1" s="3" t="s">
        <v>951</v>
      </c>
      <c r="AEL1" s="3" t="s">
        <v>952</v>
      </c>
      <c r="AEM1" s="3" t="s">
        <v>954</v>
      </c>
      <c r="AEN1" s="3" t="s">
        <v>956</v>
      </c>
      <c r="AEO1" s="3" t="s">
        <v>956</v>
      </c>
      <c r="AEP1" s="3" t="s">
        <v>957</v>
      </c>
      <c r="AEQ1" s="3" t="s">
        <v>957</v>
      </c>
      <c r="AER1" s="3" t="s">
        <v>958</v>
      </c>
      <c r="AES1" s="3" t="s">
        <v>958</v>
      </c>
      <c r="AET1" s="3" t="s">
        <v>958</v>
      </c>
      <c r="AEU1" s="3" t="s">
        <v>958</v>
      </c>
      <c r="AEV1" s="3" t="s">
        <v>958</v>
      </c>
      <c r="AEW1" s="3" t="s">
        <v>958</v>
      </c>
      <c r="AEX1" s="3" t="s">
        <v>958</v>
      </c>
      <c r="AEY1" s="3" t="s">
        <v>958</v>
      </c>
      <c r="AEZ1" s="3" t="s">
        <v>958</v>
      </c>
      <c r="AFA1" s="3" t="s">
        <v>959</v>
      </c>
      <c r="AFB1" s="3" t="s">
        <v>959</v>
      </c>
      <c r="AFC1" s="3" t="s">
        <v>959</v>
      </c>
      <c r="AFD1" s="3" t="s">
        <v>959</v>
      </c>
      <c r="AFE1" s="3" t="s">
        <v>959</v>
      </c>
      <c r="AFF1" s="3" t="s">
        <v>959</v>
      </c>
      <c r="AFG1" s="3" t="s">
        <v>1615</v>
      </c>
      <c r="AFH1" s="3" t="s">
        <v>1615</v>
      </c>
      <c r="AFI1" s="3" t="s">
        <v>1615</v>
      </c>
      <c r="AFJ1" s="3" t="s">
        <v>1615</v>
      </c>
      <c r="AFK1" s="3" t="s">
        <v>1615</v>
      </c>
      <c r="AFL1" s="3" t="s">
        <v>1615</v>
      </c>
      <c r="AFM1" s="3" t="s">
        <v>1615</v>
      </c>
      <c r="AFN1" s="3" t="s">
        <v>962</v>
      </c>
      <c r="AFO1" s="3" t="s">
        <v>963</v>
      </c>
      <c r="AFP1" s="3" t="s">
        <v>964</v>
      </c>
      <c r="AFQ1" s="3" t="s">
        <v>965</v>
      </c>
      <c r="AFR1" s="3" t="s">
        <v>752</v>
      </c>
      <c r="AFS1" s="3" t="s">
        <v>934</v>
      </c>
      <c r="AFT1" s="3" t="s">
        <v>934</v>
      </c>
      <c r="AFU1" s="3" t="s">
        <v>934</v>
      </c>
      <c r="AFV1" s="3" t="s">
        <v>934</v>
      </c>
      <c r="AFW1" s="3" t="s">
        <v>934</v>
      </c>
      <c r="AFX1" s="3" t="s">
        <v>934</v>
      </c>
      <c r="AFY1" s="3" t="s">
        <v>934</v>
      </c>
      <c r="AFZ1" s="3" t="s">
        <v>1614</v>
      </c>
      <c r="AGA1" s="3" t="s">
        <v>1614</v>
      </c>
      <c r="AGB1" s="3" t="s">
        <v>1614</v>
      </c>
      <c r="AGC1" s="3" t="s">
        <v>1614</v>
      </c>
      <c r="AGD1" s="3" t="s">
        <v>935</v>
      </c>
      <c r="AGE1" s="3" t="s">
        <v>935</v>
      </c>
      <c r="AGF1" s="3" t="s">
        <v>935</v>
      </c>
      <c r="AGG1" s="3" t="s">
        <v>936</v>
      </c>
      <c r="AGH1" s="3" t="s">
        <v>936</v>
      </c>
      <c r="AGI1" s="3" t="s">
        <v>936</v>
      </c>
      <c r="AGJ1" s="3" t="s">
        <v>936</v>
      </c>
      <c r="AGK1" s="3" t="s">
        <v>936</v>
      </c>
      <c r="AGL1" s="3" t="s">
        <v>936</v>
      </c>
      <c r="AGM1" s="3" t="s">
        <v>936</v>
      </c>
      <c r="AGN1" s="3" t="s">
        <v>936</v>
      </c>
      <c r="AGO1" s="3" t="s">
        <v>936</v>
      </c>
      <c r="AGP1" s="3" t="s">
        <v>937</v>
      </c>
      <c r="AGQ1" s="3" t="s">
        <v>937</v>
      </c>
      <c r="AGR1" s="3" t="s">
        <v>937</v>
      </c>
      <c r="AGS1" s="3" t="s">
        <v>937</v>
      </c>
      <c r="AGT1" s="3" t="s">
        <v>937</v>
      </c>
      <c r="AGU1" s="3" t="s">
        <v>937</v>
      </c>
      <c r="AGV1" s="3" t="s">
        <v>937</v>
      </c>
      <c r="AGW1" s="3" t="s">
        <v>937</v>
      </c>
      <c r="AGX1" s="3" t="s">
        <v>937</v>
      </c>
      <c r="AGY1" s="3" t="s">
        <v>938</v>
      </c>
      <c r="AGZ1" s="3" t="s">
        <v>938</v>
      </c>
      <c r="AHA1" s="3" t="s">
        <v>938</v>
      </c>
      <c r="AHB1" s="3" t="s">
        <v>938</v>
      </c>
      <c r="AHC1" s="3" t="s">
        <v>938</v>
      </c>
      <c r="AHD1" s="3" t="s">
        <v>938</v>
      </c>
      <c r="AHE1" s="3" t="s">
        <v>938</v>
      </c>
      <c r="AHF1" s="3" t="s">
        <v>1618</v>
      </c>
      <c r="AHG1" s="3" t="s">
        <v>1618</v>
      </c>
      <c r="AHH1" s="3" t="s">
        <v>1618</v>
      </c>
      <c r="AHI1" s="3" t="s">
        <v>1618</v>
      </c>
      <c r="AHJ1" s="3" t="s">
        <v>1618</v>
      </c>
      <c r="AHK1" s="3" t="s">
        <v>1618</v>
      </c>
      <c r="AHL1" s="3" t="s">
        <v>939</v>
      </c>
      <c r="AHM1" s="3" t="s">
        <v>939</v>
      </c>
      <c r="AHN1" s="3" t="s">
        <v>939</v>
      </c>
      <c r="AHO1" s="3" t="s">
        <v>939</v>
      </c>
      <c r="AHP1" s="3" t="s">
        <v>939</v>
      </c>
      <c r="AHQ1" s="3" t="s">
        <v>939</v>
      </c>
      <c r="AHR1" s="3" t="s">
        <v>939</v>
      </c>
      <c r="AHS1" s="3" t="s">
        <v>1619</v>
      </c>
      <c r="AHT1" s="3" t="s">
        <v>1619</v>
      </c>
      <c r="AHU1" s="3" t="s">
        <v>1619</v>
      </c>
      <c r="AHV1" s="3" t="s">
        <v>1619</v>
      </c>
      <c r="AHW1" s="3" t="s">
        <v>1619</v>
      </c>
      <c r="AHX1" s="3" t="s">
        <v>1619</v>
      </c>
      <c r="AHY1" s="3" t="s">
        <v>940</v>
      </c>
      <c r="AHZ1" s="3" t="s">
        <v>940</v>
      </c>
      <c r="AIA1" s="3" t="s">
        <v>940</v>
      </c>
      <c r="AIB1" s="3" t="s">
        <v>940</v>
      </c>
      <c r="AIC1" s="3" t="s">
        <v>940</v>
      </c>
      <c r="AID1" s="3" t="s">
        <v>940</v>
      </c>
      <c r="AIE1" s="3" t="s">
        <v>940</v>
      </c>
      <c r="AIF1" s="3" t="s">
        <v>940</v>
      </c>
      <c r="AIG1" s="3" t="s">
        <v>940</v>
      </c>
      <c r="AIH1" s="3" t="s">
        <v>941</v>
      </c>
      <c r="AII1" s="3" t="s">
        <v>941</v>
      </c>
      <c r="AIJ1" s="3" t="s">
        <v>941</v>
      </c>
      <c r="AIK1" s="3" t="s">
        <v>941</v>
      </c>
      <c r="AIL1" s="3" t="s">
        <v>941</v>
      </c>
      <c r="AIM1" s="3" t="s">
        <v>941</v>
      </c>
      <c r="AIN1" s="3" t="s">
        <v>941</v>
      </c>
      <c r="AIO1" s="3" t="s">
        <v>941</v>
      </c>
      <c r="AIP1" s="3" t="s">
        <v>941</v>
      </c>
      <c r="AIQ1" s="3" t="s">
        <v>942</v>
      </c>
      <c r="AIR1" s="3" t="s">
        <v>943</v>
      </c>
      <c r="AIS1" s="3" t="s">
        <v>944</v>
      </c>
      <c r="AIT1" s="3" t="s">
        <v>945</v>
      </c>
      <c r="AIU1" s="3" t="s">
        <v>946</v>
      </c>
      <c r="AIV1" s="3" t="s">
        <v>946</v>
      </c>
      <c r="AIW1" s="3" t="s">
        <v>946</v>
      </c>
      <c r="AIX1" s="3" t="s">
        <v>946</v>
      </c>
      <c r="AIY1" s="3" t="s">
        <v>946</v>
      </c>
      <c r="AIZ1" s="3" t="s">
        <v>946</v>
      </c>
      <c r="AJA1" s="3" t="s">
        <v>946</v>
      </c>
      <c r="AJB1" s="3" t="s">
        <v>946</v>
      </c>
      <c r="AJC1" s="3" t="s">
        <v>946</v>
      </c>
      <c r="AJD1" s="3" t="s">
        <v>946</v>
      </c>
      <c r="AJE1" s="3" t="s">
        <v>946</v>
      </c>
      <c r="AJF1" s="3" t="s">
        <v>753</v>
      </c>
      <c r="AJG1" s="3" t="s">
        <v>752</v>
      </c>
      <c r="AJH1" s="3" t="s">
        <v>752</v>
      </c>
      <c r="AJI1" s="3" t="s">
        <v>752</v>
      </c>
      <c r="AJJ1" s="3" t="s">
        <v>752</v>
      </c>
      <c r="AJK1" s="3" t="s">
        <v>752</v>
      </c>
      <c r="AJL1" s="3" t="s">
        <v>752</v>
      </c>
      <c r="AJM1" s="3" t="s">
        <v>752</v>
      </c>
      <c r="AJN1" s="3" t="s">
        <v>966</v>
      </c>
      <c r="AJO1" s="3" t="s">
        <v>754</v>
      </c>
      <c r="AJP1" s="3" t="s">
        <v>754</v>
      </c>
      <c r="AJQ1" s="3" t="s">
        <v>754</v>
      </c>
      <c r="AJR1" s="3" t="s">
        <v>754</v>
      </c>
      <c r="AJS1" s="3" t="s">
        <v>1621</v>
      </c>
      <c r="AJT1" s="3" t="s">
        <v>1621</v>
      </c>
      <c r="AJU1" s="3" t="s">
        <v>1621</v>
      </c>
      <c r="AJV1" s="3" t="s">
        <v>1621</v>
      </c>
      <c r="AJW1" s="3" t="s">
        <v>1621</v>
      </c>
      <c r="AJX1" s="3" t="s">
        <v>966</v>
      </c>
      <c r="AJY1" s="3" t="s">
        <v>755</v>
      </c>
      <c r="AJZ1" s="3" t="s">
        <v>755</v>
      </c>
      <c r="AKA1" s="3" t="s">
        <v>755</v>
      </c>
      <c r="AKB1" s="3" t="s">
        <v>755</v>
      </c>
      <c r="AKC1" s="3" t="s">
        <v>755</v>
      </c>
      <c r="AKD1" s="3" t="s">
        <v>1620</v>
      </c>
      <c r="AKE1" s="3" t="s">
        <v>1620</v>
      </c>
      <c r="AKF1" s="3" t="s">
        <v>1620</v>
      </c>
      <c r="AKG1" s="3" t="s">
        <v>1620</v>
      </c>
      <c r="AKH1" s="3" t="s">
        <v>1620</v>
      </c>
      <c r="AKI1" s="3" t="s">
        <v>966</v>
      </c>
      <c r="AKJ1" s="3" t="s">
        <v>753</v>
      </c>
      <c r="AKK1" s="3" t="s">
        <v>753</v>
      </c>
      <c r="AKL1" s="3" t="s">
        <v>753</v>
      </c>
      <c r="AKM1" s="3" t="s">
        <v>753</v>
      </c>
      <c r="AKN1" s="3" t="s">
        <v>753</v>
      </c>
      <c r="AKO1" s="3" t="s">
        <v>753</v>
      </c>
      <c r="AKP1" s="3" t="s">
        <v>753</v>
      </c>
      <c r="AKQ1" s="3" t="s">
        <v>1622</v>
      </c>
      <c r="AKR1" s="3" t="s">
        <v>1622</v>
      </c>
      <c r="AKS1" s="3" t="s">
        <v>1622</v>
      </c>
      <c r="AKT1" s="3" t="s">
        <v>1622</v>
      </c>
      <c r="AKU1" s="3" t="s">
        <v>1622</v>
      </c>
      <c r="AKV1" s="3" t="s">
        <v>1622</v>
      </c>
      <c r="AKW1" s="3" t="s">
        <v>1622</v>
      </c>
      <c r="AKX1" s="3" t="s">
        <v>966</v>
      </c>
      <c r="AKY1" s="3" t="s">
        <v>756</v>
      </c>
      <c r="AKZ1" s="3" t="s">
        <v>756</v>
      </c>
      <c r="ALA1" s="3" t="s">
        <v>756</v>
      </c>
      <c r="ALB1" s="3" t="s">
        <v>756</v>
      </c>
      <c r="ALC1" s="3" t="s">
        <v>756</v>
      </c>
      <c r="ALD1" s="3" t="s">
        <v>756</v>
      </c>
      <c r="ALE1" s="3" t="s">
        <v>756</v>
      </c>
      <c r="ALF1" s="3" t="s">
        <v>1623</v>
      </c>
      <c r="ALG1" s="3" t="s">
        <v>1623</v>
      </c>
      <c r="ALH1" s="3" t="s">
        <v>1623</v>
      </c>
      <c r="ALI1" s="3" t="s">
        <v>1623</v>
      </c>
      <c r="ALJ1" s="3" t="s">
        <v>1623</v>
      </c>
      <c r="ALK1" s="3" t="s">
        <v>1623</v>
      </c>
      <c r="ALL1" s="3" t="s">
        <v>1623</v>
      </c>
      <c r="ALM1" s="3" t="s">
        <v>966</v>
      </c>
      <c r="ALN1" s="3" t="s">
        <v>757</v>
      </c>
      <c r="ALO1" s="3" t="s">
        <v>757</v>
      </c>
      <c r="ALP1" s="3" t="s">
        <v>757</v>
      </c>
      <c r="ALQ1" s="3" t="s">
        <v>757</v>
      </c>
      <c r="ALR1" s="3" t="s">
        <v>757</v>
      </c>
      <c r="ALS1" s="3" t="s">
        <v>757</v>
      </c>
      <c r="ALT1" s="3" t="s">
        <v>757</v>
      </c>
      <c r="ALU1" s="3" t="s">
        <v>1624</v>
      </c>
      <c r="ALV1" s="3" t="s">
        <v>1624</v>
      </c>
      <c r="ALW1" s="3" t="s">
        <v>1624</v>
      </c>
      <c r="ALX1" s="3" t="s">
        <v>1624</v>
      </c>
      <c r="ALY1" s="3" t="s">
        <v>1624</v>
      </c>
      <c r="ALZ1" s="3" t="s">
        <v>1624</v>
      </c>
      <c r="AMA1" s="3" t="s">
        <v>1624</v>
      </c>
      <c r="AMB1" s="3" t="s">
        <v>1624</v>
      </c>
      <c r="AMC1" s="3" t="s">
        <v>966</v>
      </c>
      <c r="AMD1" s="3" t="s">
        <v>758</v>
      </c>
      <c r="AME1" s="3" t="s">
        <v>758</v>
      </c>
      <c r="AMF1" s="3" t="s">
        <v>758</v>
      </c>
      <c r="AMG1" s="3" t="s">
        <v>758</v>
      </c>
      <c r="AMH1" s="3" t="s">
        <v>758</v>
      </c>
      <c r="AMI1" s="3" t="s">
        <v>758</v>
      </c>
      <c r="AMJ1" s="3" t="s">
        <v>758</v>
      </c>
      <c r="AMK1" s="3" t="s">
        <v>1625</v>
      </c>
      <c r="AML1" s="3" t="s">
        <v>1625</v>
      </c>
      <c r="AMM1" s="3" t="s">
        <v>1625</v>
      </c>
      <c r="AMN1" s="3" t="s">
        <v>1625</v>
      </c>
      <c r="AMO1" s="3" t="s">
        <v>1625</v>
      </c>
      <c r="AMP1" s="3" t="s">
        <v>1625</v>
      </c>
      <c r="AMQ1" s="3" t="s">
        <v>1625</v>
      </c>
      <c r="AMR1" s="3" t="s">
        <v>1625</v>
      </c>
      <c r="AMS1" s="3" t="s">
        <v>759</v>
      </c>
      <c r="AMT1" s="3" t="s">
        <v>759</v>
      </c>
      <c r="AMU1" s="3" t="s">
        <v>759</v>
      </c>
      <c r="AMV1" s="3" t="s">
        <v>759</v>
      </c>
      <c r="AMW1" s="3" t="s">
        <v>759</v>
      </c>
      <c r="AMX1" s="3" t="s">
        <v>1626</v>
      </c>
      <c r="AMY1" s="3" t="s">
        <v>1626</v>
      </c>
      <c r="AMZ1" s="3" t="s">
        <v>1626</v>
      </c>
      <c r="ANA1" s="3" t="s">
        <v>1626</v>
      </c>
      <c r="ANB1" s="3" t="s">
        <v>1626</v>
      </c>
      <c r="ANC1" s="3" t="s">
        <v>1626</v>
      </c>
      <c r="AND1" s="3" t="s">
        <v>1626</v>
      </c>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row>
    <row r="2" spans="1:1120" ht="15" customHeight="1" x14ac:dyDescent="0.25">
      <c r="A2" s="2" t="s">
        <v>18</v>
      </c>
      <c r="B2" s="8"/>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C2" s="1"/>
      <c r="ND2" s="1"/>
      <c r="NE2" s="1"/>
      <c r="NF2" s="1"/>
      <c r="NG2" s="1"/>
      <c r="NH2" s="1"/>
      <c r="NI2" s="1"/>
      <c r="NJ2" s="1"/>
      <c r="NK2" s="1"/>
      <c r="NL2" s="1"/>
      <c r="NM2" s="1"/>
      <c r="NN2" s="1"/>
      <c r="NO2" s="1"/>
      <c r="NP2" s="1"/>
      <c r="NQ2" s="1"/>
      <c r="NR2" s="1"/>
      <c r="NS2" s="1"/>
      <c r="NT2" s="1"/>
      <c r="NU2" s="1"/>
      <c r="NV2" s="1"/>
      <c r="NW2" s="1"/>
      <c r="NX2" s="1"/>
      <c r="NY2" s="1"/>
      <c r="NZ2" s="1"/>
      <c r="OA2" s="1"/>
      <c r="OB2" s="1"/>
      <c r="OC2" s="1"/>
      <c r="OD2" s="1"/>
      <c r="OE2" s="1"/>
      <c r="OF2" s="1"/>
      <c r="OG2" s="1"/>
      <c r="OH2" s="1"/>
      <c r="OI2" s="1"/>
      <c r="OJ2" s="1"/>
      <c r="OK2" s="1"/>
      <c r="OL2" s="1"/>
      <c r="OM2" s="1"/>
      <c r="ON2" s="1"/>
      <c r="OO2" s="1"/>
      <c r="OP2" s="1"/>
      <c r="OQ2" s="1"/>
      <c r="OR2" s="1"/>
      <c r="OS2" s="1"/>
      <c r="OT2" s="1"/>
      <c r="OU2" s="1"/>
      <c r="OV2" s="1"/>
      <c r="OW2" s="1"/>
      <c r="OX2" s="1"/>
      <c r="OY2" s="1"/>
      <c r="OZ2" s="1"/>
      <c r="PA2" s="1"/>
      <c r="PB2" s="1"/>
      <c r="PC2" s="1"/>
      <c r="PD2" s="1"/>
      <c r="PE2" s="1"/>
      <c r="PF2" s="1"/>
      <c r="PG2" s="1"/>
      <c r="PH2" s="1"/>
      <c r="PI2" s="1"/>
      <c r="PJ2" s="1"/>
      <c r="PK2" s="1"/>
      <c r="PL2" s="1"/>
      <c r="PM2" s="1"/>
      <c r="PN2" s="1"/>
      <c r="PO2" s="1"/>
      <c r="PP2" s="1"/>
      <c r="PQ2" s="1"/>
      <c r="PR2" s="1"/>
      <c r="PS2" s="1"/>
      <c r="PT2" s="1"/>
      <c r="PU2" s="1"/>
      <c r="PV2" s="1"/>
      <c r="PW2" s="1"/>
      <c r="PX2" s="1"/>
      <c r="PY2" s="1"/>
      <c r="PZ2" s="1"/>
      <c r="QA2" s="1"/>
      <c r="QB2" s="1"/>
      <c r="QC2" s="1"/>
      <c r="QD2" s="1"/>
      <c r="QE2" s="1"/>
      <c r="QF2" s="1"/>
      <c r="QG2" s="1"/>
      <c r="QH2" s="1"/>
      <c r="QI2" s="1"/>
      <c r="QJ2" s="1"/>
      <c r="QK2" s="1"/>
      <c r="QL2" s="1"/>
      <c r="QM2" s="1"/>
      <c r="QN2" s="1"/>
      <c r="QO2" s="1"/>
      <c r="QP2" s="1"/>
      <c r="QQ2" s="1"/>
      <c r="QR2" s="1"/>
      <c r="QS2" s="1"/>
      <c r="QT2" s="1"/>
      <c r="QU2" s="1"/>
      <c r="QV2" s="1"/>
      <c r="QW2" s="1"/>
      <c r="QX2" s="1"/>
      <c r="QY2" s="1"/>
      <c r="QZ2" s="1"/>
      <c r="RA2" s="1"/>
      <c r="RB2" s="1"/>
      <c r="RC2" s="1"/>
      <c r="RD2" s="1"/>
      <c r="RE2" s="1"/>
      <c r="RF2" s="1"/>
      <c r="RG2" s="1"/>
      <c r="RH2" s="1"/>
      <c r="RI2" s="1"/>
      <c r="RJ2" s="1"/>
      <c r="RK2" s="1"/>
      <c r="RL2" s="1"/>
      <c r="RM2" s="1"/>
      <c r="RN2" s="1"/>
      <c r="RO2" s="1"/>
      <c r="RP2" s="1"/>
      <c r="RQ2" s="1"/>
      <c r="RR2" s="1"/>
      <c r="RS2" s="1"/>
      <c r="RT2" s="1"/>
      <c r="RU2" s="1"/>
      <c r="RV2" s="1"/>
      <c r="RW2" s="1"/>
      <c r="RX2" s="1"/>
      <c r="RY2" s="1"/>
      <c r="RZ2" s="1"/>
      <c r="SA2" s="1"/>
      <c r="SB2" s="1"/>
      <c r="SC2" s="1"/>
      <c r="SD2" s="1"/>
      <c r="SE2" s="1"/>
      <c r="SF2" s="1"/>
      <c r="SG2" s="1"/>
      <c r="SH2" s="1"/>
      <c r="SI2" s="1"/>
      <c r="SJ2" s="1"/>
      <c r="SK2" s="1"/>
      <c r="SL2" s="1"/>
      <c r="SM2" s="1"/>
      <c r="SN2" s="1"/>
      <c r="SO2" s="1"/>
      <c r="SP2" s="1"/>
      <c r="SQ2" s="1"/>
      <c r="SR2" s="1"/>
      <c r="SS2" s="1"/>
      <c r="ST2" s="1"/>
      <c r="SU2" s="1"/>
      <c r="SV2" s="1"/>
      <c r="SW2" s="1"/>
      <c r="SX2" s="1"/>
      <c r="SY2" s="1"/>
      <c r="SZ2" s="1"/>
      <c r="TA2" s="1"/>
      <c r="TB2" s="1"/>
      <c r="TC2" s="1"/>
      <c r="TD2" s="1"/>
      <c r="TE2" s="1"/>
      <c r="TF2" s="1"/>
      <c r="TG2" s="1"/>
      <c r="TH2" s="1"/>
      <c r="TI2" s="1"/>
      <c r="TJ2" s="1"/>
      <c r="TK2" s="1"/>
      <c r="TL2" s="1"/>
      <c r="TM2" s="1"/>
      <c r="TN2" s="1"/>
      <c r="TO2" s="1"/>
      <c r="TP2" s="1"/>
      <c r="TQ2" s="1"/>
      <c r="TR2" s="1"/>
      <c r="TS2" s="1"/>
      <c r="TT2" s="1"/>
      <c r="TU2" s="1"/>
      <c r="TV2" s="1"/>
      <c r="TW2" s="1"/>
      <c r="TX2" s="1"/>
      <c r="TY2" s="1"/>
      <c r="TZ2" s="1"/>
      <c r="UA2" s="1"/>
      <c r="UB2" s="1"/>
      <c r="UC2" s="1"/>
      <c r="UD2" s="1"/>
      <c r="UE2" s="1"/>
      <c r="UF2" s="1"/>
      <c r="UG2" s="1"/>
      <c r="UH2" s="1"/>
      <c r="UI2" s="1"/>
      <c r="UJ2" s="1"/>
      <c r="UK2" s="1"/>
      <c r="UL2" s="1"/>
      <c r="UM2" s="1"/>
      <c r="UN2" s="1"/>
      <c r="UO2" s="1"/>
      <c r="UP2" s="1"/>
      <c r="UQ2" s="1"/>
      <c r="UR2" s="1"/>
      <c r="US2" s="1"/>
      <c r="UT2" s="1"/>
      <c r="UU2" s="1"/>
      <c r="UV2" s="1"/>
      <c r="UW2" s="1"/>
      <c r="UX2" s="1"/>
      <c r="UY2" s="1"/>
      <c r="UZ2" s="1"/>
      <c r="VA2" s="1"/>
      <c r="VB2" s="1"/>
      <c r="VC2" s="1"/>
      <c r="VD2" s="1"/>
      <c r="VE2" s="1"/>
      <c r="VF2" s="1"/>
      <c r="VG2" s="1"/>
      <c r="VH2" s="1"/>
      <c r="VI2" s="1"/>
      <c r="VJ2" s="1"/>
      <c r="VK2" s="1"/>
      <c r="VL2" s="1"/>
      <c r="VM2" s="1"/>
      <c r="VN2" s="1"/>
      <c r="VO2" s="1"/>
      <c r="VP2" s="1"/>
      <c r="VQ2" s="1"/>
      <c r="VR2" s="1"/>
      <c r="VS2" s="1"/>
      <c r="VT2" s="1"/>
      <c r="VU2" s="1"/>
      <c r="VV2" s="1"/>
      <c r="VW2" s="1"/>
      <c r="VX2" s="1"/>
      <c r="VY2" s="1"/>
      <c r="VZ2" s="1"/>
      <c r="WA2" s="1"/>
      <c r="WB2" s="1"/>
      <c r="WC2" s="1"/>
      <c r="WD2" s="1"/>
      <c r="WE2" s="1"/>
      <c r="WF2" s="1"/>
      <c r="WG2" s="1"/>
      <c r="WH2" s="1"/>
      <c r="WI2" s="1"/>
      <c r="WJ2" s="1"/>
      <c r="WK2" s="1"/>
      <c r="WL2" s="1"/>
      <c r="WM2" s="1"/>
      <c r="WN2" s="1"/>
      <c r="WO2" s="1"/>
      <c r="WP2" s="1"/>
      <c r="WQ2" s="1"/>
      <c r="WR2" s="1"/>
      <c r="WS2" s="1"/>
      <c r="WT2" s="1"/>
      <c r="WU2" s="1"/>
      <c r="WV2" s="1"/>
      <c r="WW2" s="1"/>
      <c r="WX2" s="1"/>
      <c r="WY2" s="1"/>
      <c r="WZ2" s="1"/>
      <c r="XA2" s="1"/>
      <c r="XB2" s="1"/>
      <c r="XC2" s="1"/>
      <c r="XD2" s="1"/>
      <c r="XE2" s="1"/>
      <c r="XF2" s="1"/>
      <c r="XG2" s="1"/>
      <c r="XH2" s="1"/>
      <c r="XI2" s="1"/>
      <c r="XJ2" s="1"/>
      <c r="XK2" s="1"/>
      <c r="XL2" s="1"/>
      <c r="XM2" s="1"/>
      <c r="XN2" s="1"/>
      <c r="XO2" s="1"/>
      <c r="XP2" s="1"/>
      <c r="XQ2" s="1"/>
      <c r="XR2" s="1"/>
      <c r="XS2" s="1"/>
      <c r="XT2" s="1"/>
      <c r="XU2" s="1"/>
      <c r="XV2" s="1"/>
      <c r="XW2" s="1"/>
      <c r="XX2" s="1"/>
      <c r="XY2" s="1"/>
      <c r="XZ2" s="1"/>
      <c r="YA2" s="1"/>
      <c r="YB2" s="1"/>
      <c r="YC2" s="1"/>
      <c r="YD2" s="1"/>
      <c r="YE2" s="1"/>
      <c r="YF2" s="1"/>
      <c r="YG2" s="1"/>
      <c r="YH2" s="1"/>
      <c r="YI2" s="1"/>
      <c r="YJ2" s="1"/>
      <c r="YK2" s="1"/>
      <c r="YL2" s="1"/>
      <c r="YM2" s="1"/>
      <c r="YN2" s="1"/>
      <c r="YO2" s="1"/>
      <c r="YP2" s="1"/>
      <c r="YQ2" s="1"/>
      <c r="YR2" s="1"/>
      <c r="YS2" s="1"/>
      <c r="YT2" s="1"/>
      <c r="YU2" s="1"/>
      <c r="YV2" s="1"/>
      <c r="YW2" s="1"/>
      <c r="YX2" s="1"/>
      <c r="YY2" s="1"/>
      <c r="YZ2" s="1"/>
      <c r="ZA2" s="1"/>
      <c r="ZB2" s="1"/>
      <c r="ZC2" s="1"/>
      <c r="ZD2" s="1"/>
      <c r="ZE2" s="1"/>
      <c r="ZF2" s="1"/>
      <c r="ZG2" s="1"/>
      <c r="ZH2" s="1"/>
      <c r="ZI2" s="1"/>
      <c r="ZJ2" s="1"/>
      <c r="ZK2" s="1"/>
      <c r="ZL2" s="1"/>
      <c r="ZM2" s="1"/>
      <c r="ZN2" s="1"/>
      <c r="ZO2" s="1"/>
      <c r="ZP2" s="1"/>
      <c r="ZQ2" s="1"/>
      <c r="ZR2" s="1"/>
      <c r="ZS2" s="1"/>
      <c r="ZT2" s="1"/>
      <c r="ZU2" s="1"/>
      <c r="ZV2" s="1"/>
      <c r="ZW2" s="1"/>
      <c r="ZX2" s="1"/>
      <c r="ZY2" s="1"/>
      <c r="ZZ2" s="1"/>
      <c r="AAA2" s="1"/>
      <c r="AAB2" s="1"/>
      <c r="AAC2" s="1"/>
      <c r="AAD2" s="1"/>
      <c r="AAE2" s="1"/>
      <c r="AAF2" s="1"/>
      <c r="AAG2" s="1"/>
      <c r="AAH2" s="1"/>
      <c r="AAI2" s="1"/>
      <c r="AAJ2" s="1"/>
      <c r="AAK2" s="1"/>
      <c r="AAL2" s="1"/>
      <c r="AAM2" s="1"/>
      <c r="AAN2" s="1"/>
      <c r="AAO2" s="1"/>
      <c r="AAP2" s="1"/>
      <c r="AAQ2" s="1"/>
      <c r="AAR2" s="1"/>
      <c r="AAS2" s="1"/>
      <c r="AAT2" s="1"/>
      <c r="AAU2" s="1"/>
      <c r="AAV2" s="1"/>
      <c r="AAW2" s="1"/>
      <c r="AAX2" s="1"/>
      <c r="AAY2" s="1"/>
      <c r="AAZ2" s="1"/>
      <c r="ABA2" s="1"/>
      <c r="ABB2" s="1"/>
      <c r="ABC2" s="1"/>
      <c r="ABD2" s="1"/>
      <c r="ABE2" s="1"/>
      <c r="ABF2" s="1"/>
      <c r="ABG2" s="1"/>
      <c r="ABH2" s="1"/>
      <c r="ABI2" s="1"/>
      <c r="ABJ2" s="1"/>
      <c r="ABK2" s="1"/>
      <c r="ABL2" s="1"/>
      <c r="ABM2" s="1"/>
      <c r="ABN2" s="1"/>
      <c r="ABO2" s="1"/>
      <c r="ABP2" s="1"/>
      <c r="ABQ2" s="1"/>
      <c r="ABR2" s="1"/>
      <c r="ABS2" s="1"/>
      <c r="ABT2" s="1"/>
      <c r="ABU2" s="1"/>
      <c r="ABV2" s="1"/>
      <c r="ABW2" s="1"/>
      <c r="ABX2" s="1"/>
      <c r="ABY2" s="1"/>
      <c r="ABZ2" s="1"/>
      <c r="ACA2" s="1"/>
      <c r="ACB2" s="1"/>
      <c r="ACC2" s="1"/>
      <c r="ACD2" s="1"/>
      <c r="ACE2" s="1"/>
      <c r="ACF2" s="1"/>
      <c r="ACG2" s="1"/>
      <c r="ACH2" s="1"/>
      <c r="ACI2" s="1"/>
      <c r="ACJ2" s="1"/>
      <c r="ACK2" s="1"/>
      <c r="ACL2" s="1"/>
      <c r="ACM2" s="1"/>
      <c r="ACN2" s="1"/>
      <c r="ACO2" s="1"/>
      <c r="ACP2" s="1"/>
      <c r="ACQ2" s="1"/>
      <c r="ACR2" s="1"/>
      <c r="ACS2" s="1"/>
      <c r="ACT2" s="1"/>
      <c r="ACU2" s="1"/>
      <c r="ACV2" s="1"/>
      <c r="ACW2" s="1"/>
      <c r="ACX2" s="1"/>
      <c r="ACY2" s="1"/>
      <c r="ACZ2" s="1"/>
      <c r="ADA2" s="1"/>
      <c r="ADB2" s="1"/>
      <c r="ADC2" s="1"/>
      <c r="ADD2" s="1"/>
      <c r="ADE2" s="1"/>
      <c r="ADF2" s="1"/>
      <c r="ADG2" s="1"/>
      <c r="ADH2" s="1"/>
      <c r="ADI2" s="1"/>
      <c r="ADJ2" s="1"/>
      <c r="ADK2" s="1"/>
      <c r="ADL2" s="1"/>
      <c r="ADM2" s="1"/>
      <c r="ADN2" s="1"/>
      <c r="ADO2" s="1"/>
      <c r="ADP2" s="1"/>
      <c r="ADQ2" s="1"/>
      <c r="ADR2" s="1"/>
      <c r="ADS2" s="1"/>
      <c r="ADT2" s="1"/>
      <c r="ADU2" s="1"/>
      <c r="ADV2" s="1"/>
      <c r="ADW2" s="1"/>
      <c r="ADX2" s="1"/>
      <c r="ADY2" s="1"/>
      <c r="ADZ2" s="1"/>
      <c r="AEA2" s="1"/>
      <c r="AEB2" s="1"/>
      <c r="AEC2" s="1"/>
      <c r="AED2" s="1"/>
      <c r="AEE2" s="1"/>
      <c r="AEF2" s="1"/>
      <c r="AEG2" s="1"/>
      <c r="AEH2" s="1"/>
      <c r="AEI2" s="1"/>
      <c r="AEJ2" s="1"/>
      <c r="AEK2" s="1"/>
      <c r="AEL2" s="1"/>
      <c r="AEM2" s="1"/>
      <c r="AEN2" s="1"/>
      <c r="AEO2" s="1"/>
      <c r="AEP2" s="1"/>
      <c r="AEQ2" s="1"/>
      <c r="AER2" s="1"/>
      <c r="AES2" s="1"/>
      <c r="AET2" s="1"/>
      <c r="AEU2" s="1"/>
      <c r="AEV2" s="1"/>
      <c r="AEW2" s="1"/>
      <c r="AEX2" s="1"/>
      <c r="AEY2" s="1"/>
      <c r="AEZ2" s="1"/>
      <c r="AFA2" s="1"/>
      <c r="AFB2" s="1"/>
      <c r="AFC2" s="1"/>
      <c r="AFD2" s="1"/>
      <c r="AFE2" s="1"/>
      <c r="AFF2" s="1"/>
      <c r="AFG2" s="1"/>
      <c r="AFH2" s="1"/>
      <c r="AFI2" s="1"/>
      <c r="AFJ2" s="1"/>
      <c r="AFK2" s="1"/>
      <c r="AFL2" s="1"/>
      <c r="AFM2" s="1"/>
      <c r="AFN2" s="1"/>
      <c r="AFO2" s="1"/>
      <c r="AFP2" s="1"/>
      <c r="AFQ2" s="1"/>
      <c r="AFR2" s="1"/>
      <c r="AFS2" s="1"/>
      <c r="AFT2" s="1"/>
      <c r="AFU2" s="1"/>
      <c r="AFV2" s="1"/>
      <c r="AFW2" s="1"/>
      <c r="AFX2" s="1"/>
      <c r="AFY2" s="1"/>
      <c r="AFZ2" s="1"/>
      <c r="AGA2" s="1"/>
      <c r="AGB2" s="1"/>
      <c r="AGC2" s="1"/>
      <c r="AGD2" s="1"/>
      <c r="AGE2" s="1"/>
      <c r="AGF2" s="1"/>
      <c r="AGG2" s="1"/>
      <c r="AGH2" s="1"/>
      <c r="AGI2" s="1"/>
      <c r="AGJ2" s="1"/>
      <c r="AGK2" s="1"/>
      <c r="AGL2" s="1"/>
      <c r="AGM2" s="1"/>
      <c r="AGN2" s="1"/>
      <c r="AGO2" s="1"/>
      <c r="AGP2" s="1"/>
      <c r="AGQ2" s="1"/>
      <c r="AGR2" s="1"/>
      <c r="AGS2" s="1"/>
      <c r="AGT2" s="1"/>
      <c r="AGU2" s="1"/>
      <c r="AGV2" s="1"/>
      <c r="AGW2" s="1"/>
      <c r="AGX2" s="1"/>
      <c r="AGY2" s="1"/>
      <c r="AGZ2" s="1"/>
      <c r="AHA2" s="1"/>
      <c r="AHB2" s="1"/>
      <c r="AHC2" s="1"/>
      <c r="AHD2" s="1"/>
      <c r="AHE2" s="1"/>
      <c r="AHF2" s="1"/>
      <c r="AHG2" s="1"/>
      <c r="AHH2" s="1"/>
      <c r="AHI2" s="1"/>
      <c r="AHJ2" s="1"/>
      <c r="AHK2" s="1"/>
      <c r="AHL2" s="1"/>
      <c r="AHM2" s="1"/>
      <c r="AHN2" s="1"/>
      <c r="AHO2" s="1"/>
      <c r="AHP2" s="1"/>
      <c r="AHQ2" s="1"/>
      <c r="AHR2" s="1"/>
      <c r="AHS2" s="1"/>
      <c r="AHT2" s="1"/>
      <c r="AHU2" s="1"/>
      <c r="AHV2" s="1"/>
      <c r="AHW2" s="1"/>
      <c r="AHX2" s="1"/>
      <c r="AHY2" s="1"/>
      <c r="AHZ2" s="1"/>
      <c r="AIA2" s="1"/>
      <c r="AIB2" s="1"/>
      <c r="AIC2" s="1"/>
      <c r="AID2" s="1"/>
      <c r="AIE2" s="1"/>
      <c r="AIF2" s="1"/>
      <c r="AIG2" s="1"/>
      <c r="AIH2" s="1"/>
      <c r="AII2" s="1"/>
      <c r="AIJ2" s="1"/>
      <c r="AIK2" s="1"/>
      <c r="AIL2" s="1"/>
      <c r="AIM2" s="1"/>
      <c r="AIN2" s="1"/>
      <c r="AIO2" s="1"/>
      <c r="AIP2" s="1"/>
      <c r="AIQ2" s="1"/>
      <c r="AIR2" s="1"/>
      <c r="AIS2" s="1"/>
      <c r="AIT2" s="1"/>
      <c r="AIU2" s="1"/>
      <c r="AIV2" s="1"/>
      <c r="AIW2" s="1"/>
      <c r="AIX2" s="1"/>
      <c r="AIY2" s="1"/>
      <c r="AIZ2" s="1"/>
      <c r="AJA2" s="1"/>
      <c r="AJB2" s="1"/>
      <c r="AJC2" s="1"/>
      <c r="AJD2" s="1"/>
      <c r="AJE2" s="1"/>
      <c r="AJF2" s="1"/>
      <c r="AJG2" s="1"/>
      <c r="AJH2" s="1"/>
      <c r="AJI2" s="1"/>
      <c r="AJJ2" s="1"/>
      <c r="AJK2" s="1"/>
      <c r="AJL2" s="1"/>
      <c r="AJM2" s="1"/>
      <c r="AJN2" s="1"/>
      <c r="AJO2" s="1"/>
      <c r="AJP2" s="1"/>
      <c r="AJQ2" s="1"/>
      <c r="AJR2" s="1"/>
      <c r="AJS2" s="1"/>
      <c r="AJT2" s="1"/>
      <c r="AJU2" s="1"/>
      <c r="AJV2" s="1"/>
      <c r="AJW2" s="1"/>
      <c r="AJX2" s="1"/>
      <c r="AJY2" s="1"/>
      <c r="AJZ2" s="1"/>
      <c r="AKA2" s="1"/>
      <c r="AKB2" s="1"/>
      <c r="AKC2" s="1"/>
      <c r="AKD2" s="1"/>
      <c r="AKE2" s="1"/>
      <c r="AKF2" s="1"/>
      <c r="AKG2" s="1"/>
      <c r="AKH2" s="1"/>
      <c r="AKI2" s="1"/>
      <c r="AKJ2" s="1"/>
      <c r="AKK2" s="1"/>
      <c r="AKL2" s="1"/>
      <c r="AKM2" s="1"/>
      <c r="AKN2" s="1"/>
      <c r="AKO2" s="1"/>
      <c r="AKP2" s="1"/>
      <c r="AKQ2" s="1"/>
      <c r="AKR2" s="1"/>
      <c r="AKS2" s="1"/>
      <c r="AKT2" s="1"/>
      <c r="AKU2" s="1"/>
      <c r="AKV2" s="1"/>
      <c r="AKW2" s="1"/>
      <c r="AKX2" s="1"/>
      <c r="AKY2" s="1"/>
      <c r="AKZ2" s="1"/>
      <c r="ALA2" s="1"/>
      <c r="ALB2" s="1"/>
      <c r="ALC2" s="1"/>
      <c r="ALD2" s="1"/>
      <c r="ALE2" s="1"/>
      <c r="ALF2" s="1"/>
      <c r="ALG2" s="1"/>
      <c r="ALH2" s="1"/>
      <c r="ALI2" s="1"/>
      <c r="ALJ2" s="1"/>
      <c r="ALK2" s="1"/>
      <c r="ALL2" s="1"/>
      <c r="ALM2" s="1"/>
      <c r="ALN2" s="1"/>
      <c r="ALO2" s="1"/>
      <c r="ALP2" s="1"/>
      <c r="ALQ2" s="1"/>
      <c r="ALR2" s="1"/>
      <c r="ALS2" s="1"/>
      <c r="ALT2" s="1"/>
      <c r="ALU2" s="1"/>
      <c r="ALV2" s="1"/>
      <c r="ALW2" s="1"/>
      <c r="ALX2" s="1"/>
      <c r="ALY2" s="1"/>
      <c r="ALZ2" s="1"/>
      <c r="AMA2" s="1"/>
      <c r="AMB2" s="1"/>
      <c r="AMC2" s="1"/>
      <c r="AMD2" s="1"/>
      <c r="AME2" s="1"/>
      <c r="AMF2" s="1"/>
      <c r="AMG2" s="1"/>
      <c r="AMH2" s="1"/>
      <c r="AMI2" s="1"/>
      <c r="AMJ2" s="1"/>
      <c r="AMK2" s="1"/>
      <c r="AML2" s="1"/>
      <c r="AMM2" s="1"/>
      <c r="AMN2" s="1"/>
      <c r="AMO2" s="1"/>
      <c r="AMP2" s="1"/>
      <c r="AMQ2" s="1"/>
      <c r="AMR2" s="1"/>
      <c r="AMS2" s="1"/>
      <c r="AMT2" s="1"/>
      <c r="AMU2" s="1"/>
      <c r="AMV2" s="1"/>
      <c r="AMW2" s="1"/>
      <c r="AMX2" s="1"/>
      <c r="AMY2" s="1"/>
      <c r="AMZ2" s="1"/>
      <c r="ANA2" s="1"/>
      <c r="ANB2" s="1"/>
      <c r="ANC2" s="1"/>
      <c r="AND2" s="1"/>
      <c r="ANE2" s="1"/>
      <c r="ANF2" s="1"/>
      <c r="ANG2" s="1"/>
      <c r="ANH2" s="1"/>
      <c r="ANI2" s="1"/>
      <c r="ANJ2" s="1"/>
      <c r="ANK2" s="1"/>
      <c r="ANL2" s="1"/>
      <c r="ANM2" s="1"/>
      <c r="ANN2" s="1"/>
      <c r="ANO2" s="1"/>
      <c r="ANP2" s="1"/>
      <c r="ANQ2" s="1"/>
      <c r="ANR2" s="1"/>
      <c r="ANS2" s="1"/>
      <c r="ANT2" s="1"/>
      <c r="ANU2" s="1"/>
      <c r="ANV2" s="1"/>
      <c r="ANW2" s="1"/>
      <c r="ANX2" s="1"/>
      <c r="ANY2" s="1"/>
      <c r="ANZ2" s="1"/>
      <c r="AOA2" s="1"/>
      <c r="AOB2" s="1"/>
      <c r="AOC2" s="1"/>
      <c r="AOD2" s="1"/>
      <c r="AOE2" s="1"/>
      <c r="AOF2" s="1"/>
      <c r="AOG2" s="1"/>
      <c r="AOH2" s="1"/>
      <c r="AOI2" s="1"/>
      <c r="AOJ2" s="1"/>
      <c r="AOK2" s="1"/>
      <c r="AOL2" s="1"/>
      <c r="AOM2" s="1"/>
      <c r="AON2" s="1"/>
      <c r="AOO2" s="1"/>
      <c r="AOP2" s="1"/>
      <c r="AOQ2" s="1"/>
      <c r="AOR2" s="1"/>
      <c r="AOS2" s="1"/>
      <c r="AOT2" s="1"/>
      <c r="AOU2" s="1"/>
      <c r="AOV2" s="1"/>
      <c r="AOW2" s="1"/>
      <c r="AOX2" s="1"/>
      <c r="AOY2" s="1"/>
      <c r="AOZ2" s="1"/>
      <c r="APA2" s="1"/>
      <c r="APB2" s="1"/>
      <c r="APC2" s="1"/>
      <c r="APD2" s="1"/>
      <c r="APE2" s="1"/>
      <c r="APF2" s="1"/>
      <c r="APG2" s="1"/>
      <c r="APH2" s="1"/>
      <c r="API2" s="1"/>
      <c r="APJ2" s="1"/>
      <c r="APK2" s="1"/>
      <c r="APL2" s="1"/>
      <c r="APM2" s="1"/>
      <c r="APN2" s="1"/>
      <c r="APO2" s="1"/>
      <c r="APP2" s="1"/>
      <c r="APQ2" s="1"/>
      <c r="APR2" s="1"/>
      <c r="APS2" s="1"/>
      <c r="APT2" s="1"/>
      <c r="APU2" s="1"/>
      <c r="APV2" s="1"/>
      <c r="APW2" s="1"/>
      <c r="APX2" s="1"/>
      <c r="APY2" s="1"/>
      <c r="APZ2" s="1"/>
      <c r="AQA2" s="1"/>
      <c r="AQB2" s="1"/>
    </row>
    <row r="3" spans="1:1120" ht="15" customHeight="1" x14ac:dyDescent="0.25">
      <c r="A3" s="35" t="s">
        <v>5</v>
      </c>
      <c r="B3" s="35"/>
      <c r="C3" s="4" t="s">
        <v>738</v>
      </c>
      <c r="D3" s="4" t="s">
        <v>741</v>
      </c>
      <c r="E3" s="4"/>
      <c r="F3" s="4"/>
      <c r="G3" s="4"/>
      <c r="H3" s="4"/>
      <c r="I3" s="4"/>
      <c r="J3" s="4"/>
      <c r="K3" s="4" t="s">
        <v>967</v>
      </c>
      <c r="L3" s="4"/>
      <c r="M3" s="4"/>
      <c r="N3" s="4"/>
      <c r="O3" s="4"/>
      <c r="P3" s="4"/>
      <c r="Q3" s="4"/>
      <c r="R3" s="4" t="s">
        <v>969</v>
      </c>
      <c r="S3" s="4"/>
      <c r="T3" s="4"/>
      <c r="U3" s="4"/>
      <c r="V3" s="4"/>
      <c r="W3" s="4"/>
      <c r="X3" s="4"/>
      <c r="Y3" s="4" t="s">
        <v>971</v>
      </c>
      <c r="Z3" s="4"/>
      <c r="AA3" s="4"/>
      <c r="AB3" s="4"/>
      <c r="AC3" s="4"/>
      <c r="AD3" s="4"/>
      <c r="AE3" s="4"/>
      <c r="AF3" s="4" t="s">
        <v>973</v>
      </c>
      <c r="AG3" s="4"/>
      <c r="AH3" s="4"/>
      <c r="AI3" s="4"/>
      <c r="AJ3" s="4"/>
      <c r="AK3" s="4"/>
      <c r="AL3" s="4"/>
      <c r="AM3" s="4" t="s">
        <v>1627</v>
      </c>
      <c r="AN3" s="4"/>
      <c r="AO3" s="4"/>
      <c r="AP3" s="4"/>
      <c r="AQ3" s="4"/>
      <c r="AR3" s="4"/>
      <c r="AS3" s="4"/>
      <c r="AT3" s="4" t="s">
        <v>1629</v>
      </c>
      <c r="AU3" s="4"/>
      <c r="AV3" s="4"/>
      <c r="AW3" s="4"/>
      <c r="AX3" s="4"/>
      <c r="AY3" s="4"/>
      <c r="AZ3" s="4"/>
      <c r="BA3" s="4"/>
      <c r="BB3" s="4" t="s">
        <v>1631</v>
      </c>
      <c r="BC3" s="4"/>
      <c r="BD3" s="4"/>
      <c r="BE3" s="4"/>
      <c r="BF3" s="4"/>
      <c r="BG3" s="4"/>
      <c r="BH3" s="4"/>
      <c r="BI3" s="4"/>
      <c r="BJ3" s="4" t="s">
        <v>1633</v>
      </c>
      <c r="BK3" s="4"/>
      <c r="BL3" s="4"/>
      <c r="BM3" s="4"/>
      <c r="BN3" s="4"/>
      <c r="BO3" s="4"/>
      <c r="BP3" s="4"/>
      <c r="BQ3" s="4" t="s">
        <v>1635</v>
      </c>
      <c r="BR3" s="4"/>
      <c r="BS3" s="4"/>
      <c r="BT3" s="4"/>
      <c r="BU3" s="4"/>
      <c r="BV3" s="4"/>
      <c r="BW3" s="4"/>
      <c r="BX3" s="4"/>
      <c r="BY3" s="4" t="s">
        <v>1637</v>
      </c>
      <c r="BZ3" s="4"/>
      <c r="CA3" s="4"/>
      <c r="CB3" s="4"/>
      <c r="CC3" s="4"/>
      <c r="CD3" s="4"/>
      <c r="CE3" s="4"/>
      <c r="CF3" s="4"/>
      <c r="CG3" s="4" t="s">
        <v>1639</v>
      </c>
      <c r="CH3" s="4"/>
      <c r="CI3" s="4"/>
      <c r="CJ3" s="4"/>
      <c r="CK3" s="4"/>
      <c r="CL3" s="4"/>
      <c r="CM3" s="4"/>
      <c r="CN3" s="4"/>
      <c r="CO3" s="4" t="s">
        <v>1641</v>
      </c>
      <c r="CP3" s="4"/>
      <c r="CQ3" s="4"/>
      <c r="CR3" s="4"/>
      <c r="CS3" s="4"/>
      <c r="CT3" s="4"/>
      <c r="CU3" s="4"/>
      <c r="CV3" s="4"/>
      <c r="CW3" s="4"/>
      <c r="CX3" s="4"/>
      <c r="CY3" s="4" t="s">
        <v>1643</v>
      </c>
      <c r="CZ3" s="4"/>
      <c r="DA3" s="4"/>
      <c r="DB3" s="4"/>
      <c r="DC3" s="4"/>
      <c r="DD3" s="4"/>
      <c r="DE3" s="4"/>
      <c r="DF3" s="4"/>
      <c r="DG3" s="4" t="s">
        <v>1645</v>
      </c>
      <c r="DH3" s="4"/>
      <c r="DI3" s="4"/>
      <c r="DJ3" s="4"/>
      <c r="DK3" s="4"/>
      <c r="DL3" s="4"/>
      <c r="DM3" s="4"/>
      <c r="DN3" s="4"/>
      <c r="DO3" s="4"/>
      <c r="DP3" s="4" t="s">
        <v>1647</v>
      </c>
      <c r="DQ3" s="4"/>
      <c r="DR3" s="4"/>
      <c r="DS3" s="4"/>
      <c r="DT3" s="4"/>
      <c r="DU3" s="4"/>
      <c r="DV3" s="4"/>
      <c r="DW3" s="4"/>
      <c r="DX3" s="4"/>
      <c r="DY3" s="4" t="s">
        <v>1649</v>
      </c>
      <c r="DZ3" s="4"/>
      <c r="EA3" s="4"/>
      <c r="EB3" s="4"/>
      <c r="EC3" s="4"/>
      <c r="ED3" s="4"/>
      <c r="EE3" s="4"/>
      <c r="EF3" s="4"/>
      <c r="EG3" s="4" t="s">
        <v>1651</v>
      </c>
      <c r="EH3" s="4"/>
      <c r="EI3" s="4"/>
      <c r="EJ3" s="4"/>
      <c r="EK3" s="4"/>
      <c r="EL3" s="4"/>
      <c r="EM3" s="4"/>
      <c r="EN3" s="4"/>
      <c r="EO3" s="4" t="s">
        <v>1653</v>
      </c>
      <c r="EP3" s="4"/>
      <c r="EQ3" s="4"/>
      <c r="ER3" s="4"/>
      <c r="ES3" s="4"/>
      <c r="ET3" s="4"/>
      <c r="EU3" s="4" t="s">
        <v>974</v>
      </c>
      <c r="EV3" s="4"/>
      <c r="EW3" s="4"/>
      <c r="EX3" s="4"/>
      <c r="EY3" s="4"/>
      <c r="EZ3" s="4"/>
      <c r="FA3" s="4"/>
      <c r="FB3" s="4"/>
      <c r="FC3" s="4"/>
      <c r="FD3" s="4" t="s">
        <v>976</v>
      </c>
      <c r="FE3" s="4" t="s">
        <v>1655</v>
      </c>
      <c r="FF3" s="4"/>
      <c r="FG3" s="4"/>
      <c r="FH3" s="4"/>
      <c r="FI3" s="4"/>
      <c r="FJ3" s="4"/>
      <c r="FK3" s="4"/>
      <c r="FL3" s="4" t="s">
        <v>1657</v>
      </c>
      <c r="FM3" s="4"/>
      <c r="FN3" s="4"/>
      <c r="FO3" s="4"/>
      <c r="FP3" s="4"/>
      <c r="FQ3" s="4"/>
      <c r="FR3" s="4"/>
      <c r="FS3" s="4"/>
      <c r="FT3" s="4" t="s">
        <v>1659</v>
      </c>
      <c r="FU3" s="4"/>
      <c r="FV3" s="4"/>
      <c r="FW3" s="4"/>
      <c r="FX3" s="4"/>
      <c r="FY3" s="4"/>
      <c r="FZ3" s="4"/>
      <c r="GA3" s="4"/>
      <c r="GB3" s="4" t="s">
        <v>1661</v>
      </c>
      <c r="GC3" s="4"/>
      <c r="GD3" s="4"/>
      <c r="GE3" s="4"/>
      <c r="GF3" s="4"/>
      <c r="GG3" s="4"/>
      <c r="GH3" s="4"/>
      <c r="GI3" s="4" t="s">
        <v>1663</v>
      </c>
      <c r="GJ3" s="4"/>
      <c r="GK3" s="4"/>
      <c r="GL3" s="4"/>
      <c r="GM3" s="4"/>
      <c r="GN3" s="4"/>
      <c r="GO3" s="4"/>
      <c r="GP3" s="4"/>
      <c r="GQ3" s="4" t="s">
        <v>1665</v>
      </c>
      <c r="GR3" s="4"/>
      <c r="GS3" s="4"/>
      <c r="GT3" s="4"/>
      <c r="GU3" s="4"/>
      <c r="GV3" s="4"/>
      <c r="GW3" s="4"/>
      <c r="GX3" s="4"/>
      <c r="GY3" s="4" t="s">
        <v>1667</v>
      </c>
      <c r="GZ3" s="4"/>
      <c r="HA3" s="4"/>
      <c r="HB3" s="4"/>
      <c r="HC3" s="4"/>
      <c r="HD3" s="4"/>
      <c r="HE3" s="4"/>
      <c r="HF3" s="4"/>
      <c r="HG3" s="4" t="s">
        <v>1669</v>
      </c>
      <c r="HH3" s="4"/>
      <c r="HI3" s="4"/>
      <c r="HJ3" s="4"/>
      <c r="HK3" s="4"/>
      <c r="HL3" s="4"/>
      <c r="HM3" s="4"/>
      <c r="HN3" s="4"/>
      <c r="HO3" s="4"/>
      <c r="HP3" s="4"/>
      <c r="HQ3" s="4" t="s">
        <v>1671</v>
      </c>
      <c r="HR3" s="4"/>
      <c r="HS3" s="4"/>
      <c r="HT3" s="4"/>
      <c r="HU3" s="4"/>
      <c r="HV3" s="4"/>
      <c r="HW3" s="4"/>
      <c r="HX3" s="4" t="s">
        <v>1673</v>
      </c>
      <c r="HY3" s="4"/>
      <c r="HZ3" s="4"/>
      <c r="IA3" s="4"/>
      <c r="IB3" s="4"/>
      <c r="IC3" s="4" t="s">
        <v>977</v>
      </c>
      <c r="ID3" s="4"/>
      <c r="IE3" s="4"/>
      <c r="IF3" s="4"/>
      <c r="IG3" s="4"/>
      <c r="IH3" s="4"/>
      <c r="II3" s="4"/>
      <c r="IJ3" s="4"/>
      <c r="IK3" s="4"/>
      <c r="IL3" s="4" t="s">
        <v>979</v>
      </c>
      <c r="IM3" s="4"/>
      <c r="IN3" s="4"/>
      <c r="IO3" s="4"/>
      <c r="IP3" s="4"/>
      <c r="IQ3" s="4"/>
      <c r="IR3" s="4"/>
      <c r="IS3" s="4" t="s">
        <v>981</v>
      </c>
      <c r="IT3" s="4" t="s">
        <v>983</v>
      </c>
      <c r="IU3" s="4" t="s">
        <v>985</v>
      </c>
      <c r="IV3" s="4" t="s">
        <v>987</v>
      </c>
      <c r="IW3" s="4"/>
      <c r="IX3" s="4" t="s">
        <v>989</v>
      </c>
      <c r="IY3" s="4" t="s">
        <v>991</v>
      </c>
      <c r="IZ3" s="4" t="s">
        <v>993</v>
      </c>
      <c r="JA3" s="4" t="s">
        <v>995</v>
      </c>
      <c r="JB3" s="4" t="s">
        <v>997</v>
      </c>
      <c r="JC3" s="4" t="s">
        <v>999</v>
      </c>
      <c r="JD3" s="4" t="s">
        <v>1001</v>
      </c>
      <c r="JE3" s="4"/>
      <c r="JF3" s="4"/>
      <c r="JG3" s="4" t="s">
        <v>1003</v>
      </c>
      <c r="JH3" s="4" t="s">
        <v>1005</v>
      </c>
      <c r="JI3" s="4" t="s">
        <v>1007</v>
      </c>
      <c r="JJ3" s="4" t="s">
        <v>1009</v>
      </c>
      <c r="JK3" s="4" t="s">
        <v>1011</v>
      </c>
      <c r="JL3" s="4" t="s">
        <v>1013</v>
      </c>
      <c r="JM3" s="4" t="s">
        <v>1015</v>
      </c>
      <c r="JN3" s="4" t="s">
        <v>1017</v>
      </c>
      <c r="JO3" s="4" t="s">
        <v>1019</v>
      </c>
      <c r="JP3" s="4" t="s">
        <v>1021</v>
      </c>
      <c r="JQ3" s="4" t="s">
        <v>1023</v>
      </c>
      <c r="JR3" s="4" t="s">
        <v>1025</v>
      </c>
      <c r="JS3" s="4" t="s">
        <v>1027</v>
      </c>
      <c r="JT3" s="4" t="s">
        <v>1029</v>
      </c>
      <c r="JU3" s="4" t="s">
        <v>1031</v>
      </c>
      <c r="JV3" s="4" t="s">
        <v>1033</v>
      </c>
      <c r="JW3" s="4"/>
      <c r="JX3" s="4"/>
      <c r="JY3" s="4" t="s">
        <v>1035</v>
      </c>
      <c r="JZ3" s="4"/>
      <c r="KA3" s="4" t="s">
        <v>1037</v>
      </c>
      <c r="KB3" s="4"/>
      <c r="KC3" s="4" t="s">
        <v>1039</v>
      </c>
      <c r="KD3" s="4"/>
      <c r="KE3" s="4" t="s">
        <v>1041</v>
      </c>
      <c r="KF3" s="4"/>
      <c r="KG3" s="4" t="s">
        <v>1043</v>
      </c>
      <c r="KH3" s="4"/>
      <c r="KI3" s="4" t="s">
        <v>1045</v>
      </c>
      <c r="KJ3" s="4"/>
      <c r="KK3" s="4" t="s">
        <v>1047</v>
      </c>
      <c r="KL3" s="4"/>
      <c r="KM3" s="4" t="s">
        <v>1049</v>
      </c>
      <c r="KN3" s="4"/>
      <c r="KO3" s="4" t="s">
        <v>1051</v>
      </c>
      <c r="KP3" s="4"/>
      <c r="KQ3" s="4" t="s">
        <v>1053</v>
      </c>
      <c r="KR3" s="4"/>
      <c r="KS3" s="4" t="s">
        <v>1055</v>
      </c>
      <c r="KT3" s="4"/>
      <c r="KU3" s="4" t="s">
        <v>1057</v>
      </c>
      <c r="KV3" s="4"/>
      <c r="KW3" s="4" t="s">
        <v>1059</v>
      </c>
      <c r="KX3" s="4"/>
      <c r="KY3" s="4" t="s">
        <v>1061</v>
      </c>
      <c r="KZ3" s="4"/>
      <c r="LA3" s="4" t="s">
        <v>1063</v>
      </c>
      <c r="LB3" s="4"/>
      <c r="LC3" s="4" t="s">
        <v>1065</v>
      </c>
      <c r="LD3" s="4"/>
      <c r="LE3" s="4" t="s">
        <v>1067</v>
      </c>
      <c r="LF3" s="4"/>
      <c r="LG3" s="4" t="s">
        <v>1069</v>
      </c>
      <c r="LH3" s="4"/>
      <c r="LI3" s="4" t="s">
        <v>1071</v>
      </c>
      <c r="LJ3" s="4"/>
      <c r="LK3" s="4" t="s">
        <v>1073</v>
      </c>
      <c r="LL3" s="4"/>
      <c r="LM3" s="4" t="s">
        <v>1075</v>
      </c>
      <c r="LN3" s="4"/>
      <c r="LO3" s="4" t="s">
        <v>1077</v>
      </c>
      <c r="LP3" s="4"/>
      <c r="LQ3" s="4" t="s">
        <v>1079</v>
      </c>
      <c r="LR3" s="4" t="s">
        <v>1081</v>
      </c>
      <c r="LS3" s="4" t="s">
        <v>1083</v>
      </c>
      <c r="LT3" s="4" t="s">
        <v>1085</v>
      </c>
      <c r="LU3" s="4" t="s">
        <v>1087</v>
      </c>
      <c r="LV3" s="4" t="s">
        <v>1089</v>
      </c>
      <c r="LW3" s="4" t="s">
        <v>1091</v>
      </c>
      <c r="LX3" s="4" t="s">
        <v>1093</v>
      </c>
      <c r="LY3" s="4" t="s">
        <v>1095</v>
      </c>
      <c r="LZ3" s="4" t="s">
        <v>1097</v>
      </c>
      <c r="MA3" s="4" t="s">
        <v>1099</v>
      </c>
      <c r="MB3" s="4" t="s">
        <v>1101</v>
      </c>
      <c r="MC3" s="4" t="s">
        <v>1103</v>
      </c>
      <c r="MD3" s="4" t="s">
        <v>1105</v>
      </c>
      <c r="ME3" s="4" t="s">
        <v>1107</v>
      </c>
      <c r="MF3" s="4" t="s">
        <v>1109</v>
      </c>
      <c r="MG3" s="4" t="s">
        <v>1111</v>
      </c>
      <c r="MH3" s="4"/>
      <c r="MI3" s="4" t="s">
        <v>1113</v>
      </c>
      <c r="MJ3" s="4" t="s">
        <v>1115</v>
      </c>
      <c r="MK3" s="4"/>
      <c r="ML3" s="4"/>
      <c r="MM3" s="4"/>
      <c r="MN3" s="4"/>
      <c r="MO3" s="4"/>
      <c r="MP3" s="4"/>
      <c r="MQ3" s="4"/>
      <c r="MR3" s="4"/>
      <c r="MS3" s="4" t="s">
        <v>1117</v>
      </c>
      <c r="MT3" s="4" t="s">
        <v>1119</v>
      </c>
      <c r="MU3" s="4"/>
      <c r="MV3" s="4"/>
      <c r="MW3" s="4"/>
      <c r="MX3" s="4"/>
      <c r="MY3" s="4"/>
      <c r="MZ3" s="4"/>
      <c r="NA3" s="4"/>
      <c r="NB3" s="4"/>
      <c r="NC3" s="4" t="s">
        <v>1121</v>
      </c>
      <c r="ND3" s="4" t="s">
        <v>1123</v>
      </c>
      <c r="NE3" s="4"/>
      <c r="NF3" s="4"/>
      <c r="NG3" s="4"/>
      <c r="NH3" s="4"/>
      <c r="NI3" s="4"/>
      <c r="NJ3" s="4"/>
      <c r="NK3" s="4"/>
      <c r="NL3" s="4"/>
      <c r="NM3" s="4" t="s">
        <v>1125</v>
      </c>
      <c r="NN3" s="4"/>
      <c r="NO3" s="4" t="s">
        <v>1127</v>
      </c>
      <c r="NP3" s="4" t="s">
        <v>1129</v>
      </c>
      <c r="NQ3" s="4"/>
      <c r="NR3" s="4" t="s">
        <v>1131</v>
      </c>
      <c r="NS3" s="4"/>
      <c r="NT3" s="4" t="s">
        <v>1133</v>
      </c>
      <c r="NU3" s="4" t="s">
        <v>1135</v>
      </c>
      <c r="NV3" s="4" t="s">
        <v>1137</v>
      </c>
      <c r="NW3" s="4" t="s">
        <v>1139</v>
      </c>
      <c r="NX3" s="4" t="s">
        <v>1141</v>
      </c>
      <c r="NY3" s="4" t="s">
        <v>1143</v>
      </c>
      <c r="NZ3" s="4" t="s">
        <v>1145</v>
      </c>
      <c r="OA3" s="4" t="s">
        <v>1147</v>
      </c>
      <c r="OB3" s="4" t="s">
        <v>1149</v>
      </c>
      <c r="OC3" s="4" t="s">
        <v>1151</v>
      </c>
      <c r="OD3" s="4" t="s">
        <v>1153</v>
      </c>
      <c r="OE3" s="4" t="s">
        <v>1155</v>
      </c>
      <c r="OF3" s="4" t="s">
        <v>1157</v>
      </c>
      <c r="OG3" s="4" t="s">
        <v>1159</v>
      </c>
      <c r="OH3" s="4" t="s">
        <v>1161</v>
      </c>
      <c r="OI3" s="4" t="s">
        <v>1163</v>
      </c>
      <c r="OJ3" s="4" t="s">
        <v>1165</v>
      </c>
      <c r="OK3" s="4" t="s">
        <v>1167</v>
      </c>
      <c r="OL3" s="4" t="s">
        <v>1169</v>
      </c>
      <c r="OM3" s="4" t="s">
        <v>1171</v>
      </c>
      <c r="ON3" s="4" t="s">
        <v>1173</v>
      </c>
      <c r="OO3" s="4" t="s">
        <v>1175</v>
      </c>
      <c r="OP3" s="4" t="s">
        <v>1177</v>
      </c>
      <c r="OQ3" s="4" t="s">
        <v>1179</v>
      </c>
      <c r="OR3" s="4" t="s">
        <v>1181</v>
      </c>
      <c r="OS3" s="4" t="s">
        <v>1183</v>
      </c>
      <c r="OT3" s="4" t="s">
        <v>1185</v>
      </c>
      <c r="OU3" s="4" t="s">
        <v>1187</v>
      </c>
      <c r="OV3" s="4" t="s">
        <v>1189</v>
      </c>
      <c r="OW3" s="4" t="s">
        <v>1191</v>
      </c>
      <c r="OX3" s="4" t="s">
        <v>1193</v>
      </c>
      <c r="OY3" s="4" t="s">
        <v>1195</v>
      </c>
      <c r="OZ3" s="4" t="s">
        <v>1197</v>
      </c>
      <c r="PA3" s="4" t="s">
        <v>1199</v>
      </c>
      <c r="PB3" s="4" t="s">
        <v>1201</v>
      </c>
      <c r="PC3" s="4" t="s">
        <v>1203</v>
      </c>
      <c r="PD3" s="4" t="s">
        <v>1205</v>
      </c>
      <c r="PE3" s="4" t="s">
        <v>1207</v>
      </c>
      <c r="PF3" s="4" t="s">
        <v>1209</v>
      </c>
      <c r="PG3" s="4" t="s">
        <v>1211</v>
      </c>
      <c r="PH3" s="4" t="s">
        <v>1213</v>
      </c>
      <c r="PI3" s="4" t="s">
        <v>1215</v>
      </c>
      <c r="PJ3" s="4" t="s">
        <v>1217</v>
      </c>
      <c r="PK3" s="4" t="s">
        <v>1219</v>
      </c>
      <c r="PL3" s="4" t="s">
        <v>1221</v>
      </c>
      <c r="PM3" s="4" t="s">
        <v>1223</v>
      </c>
      <c r="PN3" s="4" t="s">
        <v>1225</v>
      </c>
      <c r="PO3" s="4" t="s">
        <v>1227</v>
      </c>
      <c r="PP3" s="4" t="s">
        <v>1229</v>
      </c>
      <c r="PQ3" s="4" t="s">
        <v>1231</v>
      </c>
      <c r="PR3" s="4" t="s">
        <v>1233</v>
      </c>
      <c r="PS3" s="4" t="s">
        <v>1235</v>
      </c>
      <c r="PT3" s="4" t="s">
        <v>1237</v>
      </c>
      <c r="PU3" s="4" t="s">
        <v>1239</v>
      </c>
      <c r="PV3" s="4" t="s">
        <v>1241</v>
      </c>
      <c r="PW3" s="4" t="s">
        <v>1243</v>
      </c>
      <c r="PX3" s="4" t="s">
        <v>1245</v>
      </c>
      <c r="PY3" s="4" t="s">
        <v>1247</v>
      </c>
      <c r="PZ3" s="4" t="s">
        <v>1249</v>
      </c>
      <c r="QA3" s="4" t="s">
        <v>1251</v>
      </c>
      <c r="QB3" s="4" t="s">
        <v>1253</v>
      </c>
      <c r="QC3" s="4"/>
      <c r="QD3" s="4" t="s">
        <v>1255</v>
      </c>
      <c r="QE3" s="4" t="s">
        <v>1257</v>
      </c>
      <c r="QF3" s="4" t="s">
        <v>1259</v>
      </c>
      <c r="QG3" s="4" t="s">
        <v>1261</v>
      </c>
      <c r="QH3" s="4" t="s">
        <v>1263</v>
      </c>
      <c r="QI3" s="4" t="s">
        <v>1265</v>
      </c>
      <c r="QJ3" s="4" t="s">
        <v>1267</v>
      </c>
      <c r="QK3" s="4" t="s">
        <v>1269</v>
      </c>
      <c r="QL3" s="4" t="s">
        <v>1271</v>
      </c>
      <c r="QM3" s="4" t="s">
        <v>1273</v>
      </c>
      <c r="QN3" s="4" t="s">
        <v>1275</v>
      </c>
      <c r="QO3" s="4" t="s">
        <v>1277</v>
      </c>
      <c r="QP3" s="4" t="s">
        <v>1279</v>
      </c>
      <c r="QQ3" s="4" t="s">
        <v>1281</v>
      </c>
      <c r="QR3" s="4" t="s">
        <v>1283</v>
      </c>
      <c r="QS3" s="4" t="s">
        <v>1285</v>
      </c>
      <c r="QT3" s="4" t="s">
        <v>1287</v>
      </c>
      <c r="QU3" s="4" t="s">
        <v>1289</v>
      </c>
      <c r="QV3" s="4"/>
      <c r="QW3" s="4" t="s">
        <v>1291</v>
      </c>
      <c r="QX3" s="4"/>
      <c r="QY3" s="4"/>
      <c r="QZ3" s="4"/>
      <c r="RA3" s="4"/>
      <c r="RB3" s="4"/>
      <c r="RC3" s="4"/>
      <c r="RD3" s="4"/>
      <c r="RE3" s="4" t="s">
        <v>1293</v>
      </c>
      <c r="RF3" s="4"/>
      <c r="RG3" s="4"/>
      <c r="RH3" s="4"/>
      <c r="RI3" s="4"/>
      <c r="RJ3" s="4"/>
      <c r="RK3" s="4"/>
      <c r="RL3" s="4"/>
      <c r="RM3" s="4"/>
      <c r="RN3" s="4"/>
      <c r="RO3" s="4"/>
      <c r="RP3" s="4"/>
      <c r="RQ3" s="4"/>
      <c r="RR3" s="4" t="s">
        <v>1295</v>
      </c>
      <c r="RS3" s="4"/>
      <c r="RT3" s="4" t="s">
        <v>979</v>
      </c>
      <c r="RU3" s="4"/>
      <c r="RV3" s="4"/>
      <c r="RW3" s="4"/>
      <c r="RX3" s="4"/>
      <c r="RY3" s="4"/>
      <c r="RZ3" s="4"/>
      <c r="SA3" s="4" t="s">
        <v>1297</v>
      </c>
      <c r="SB3" s="4"/>
      <c r="SC3" s="4" t="s">
        <v>1299</v>
      </c>
      <c r="SD3" s="4" t="s">
        <v>1301</v>
      </c>
      <c r="SE3" s="4" t="s">
        <v>1303</v>
      </c>
      <c r="SF3" s="4" t="s">
        <v>1305</v>
      </c>
      <c r="SG3" s="4" t="s">
        <v>1307</v>
      </c>
      <c r="SH3" s="4" t="s">
        <v>1309</v>
      </c>
      <c r="SI3" s="4" t="s">
        <v>1311</v>
      </c>
      <c r="SJ3" s="4" t="s">
        <v>1675</v>
      </c>
      <c r="SK3" s="4" t="s">
        <v>1677</v>
      </c>
      <c r="SL3" s="4" t="s">
        <v>1679</v>
      </c>
      <c r="SM3" s="4" t="s">
        <v>1681</v>
      </c>
      <c r="SN3" s="4" t="s">
        <v>1683</v>
      </c>
      <c r="SO3" s="4" t="s">
        <v>1685</v>
      </c>
      <c r="SP3" s="4" t="s">
        <v>1687</v>
      </c>
      <c r="SQ3" s="4" t="s">
        <v>1689</v>
      </c>
      <c r="SR3" s="4" t="s">
        <v>1691</v>
      </c>
      <c r="SS3" s="4" t="s">
        <v>1693</v>
      </c>
      <c r="ST3" s="4" t="s">
        <v>1695</v>
      </c>
      <c r="SU3" s="4" t="s">
        <v>1697</v>
      </c>
      <c r="SV3" s="4" t="s">
        <v>1699</v>
      </c>
      <c r="SW3" s="4" t="s">
        <v>1701</v>
      </c>
      <c r="SX3" s="4" t="s">
        <v>1703</v>
      </c>
      <c r="SY3" s="4" t="s">
        <v>1705</v>
      </c>
      <c r="SZ3" s="4" t="s">
        <v>1707</v>
      </c>
      <c r="TA3" s="4" t="s">
        <v>1709</v>
      </c>
      <c r="TB3" s="4" t="s">
        <v>1711</v>
      </c>
      <c r="TC3" s="4" t="s">
        <v>1713</v>
      </c>
      <c r="TD3" s="4" t="s">
        <v>1715</v>
      </c>
      <c r="TE3" s="4" t="s">
        <v>1717</v>
      </c>
      <c r="TF3" s="4" t="s">
        <v>1719</v>
      </c>
      <c r="TG3" s="4" t="s">
        <v>1721</v>
      </c>
      <c r="TH3" s="4" t="s">
        <v>1723</v>
      </c>
      <c r="TI3" s="4" t="s">
        <v>1725</v>
      </c>
      <c r="TJ3" s="4" t="s">
        <v>1727</v>
      </c>
      <c r="TK3" s="4" t="s">
        <v>1729</v>
      </c>
      <c r="TL3" s="4" t="s">
        <v>1731</v>
      </c>
      <c r="TM3" s="4" t="s">
        <v>1733</v>
      </c>
      <c r="TN3" s="4" t="s">
        <v>1735</v>
      </c>
      <c r="TO3" s="4" t="s">
        <v>1737</v>
      </c>
      <c r="TP3" s="4" t="s">
        <v>1739</v>
      </c>
      <c r="TQ3" s="4" t="s">
        <v>1741</v>
      </c>
      <c r="TR3" s="4" t="s">
        <v>1743</v>
      </c>
      <c r="TS3" s="4" t="s">
        <v>1745</v>
      </c>
      <c r="TT3" s="4" t="s">
        <v>1747</v>
      </c>
      <c r="TU3" s="4" t="s">
        <v>1749</v>
      </c>
      <c r="TV3" s="4" t="s">
        <v>1751</v>
      </c>
      <c r="TW3" s="4" t="s">
        <v>1753</v>
      </c>
      <c r="TX3" s="4" t="s">
        <v>1755</v>
      </c>
      <c r="TY3" s="4" t="s">
        <v>1757</v>
      </c>
      <c r="TZ3" s="4" t="s">
        <v>1759</v>
      </c>
      <c r="UA3" s="4" t="s">
        <v>1761</v>
      </c>
      <c r="UB3" s="4" t="s">
        <v>1763</v>
      </c>
      <c r="UC3" s="4" t="s">
        <v>1765</v>
      </c>
      <c r="UD3" s="4" t="s">
        <v>1767</v>
      </c>
      <c r="UE3" s="4" t="s">
        <v>1769</v>
      </c>
      <c r="UF3" s="4" t="s">
        <v>1771</v>
      </c>
      <c r="UG3" s="4" t="s">
        <v>1773</v>
      </c>
      <c r="UH3" s="4" t="s">
        <v>1775</v>
      </c>
      <c r="UI3" s="4" t="s">
        <v>1777</v>
      </c>
      <c r="UJ3" s="4" t="s">
        <v>1779</v>
      </c>
      <c r="UK3" s="4"/>
      <c r="UL3" s="4" t="s">
        <v>1781</v>
      </c>
      <c r="UM3" s="4" t="s">
        <v>1783</v>
      </c>
      <c r="UN3" s="4" t="s">
        <v>1785</v>
      </c>
      <c r="UO3" s="4" t="s">
        <v>1787</v>
      </c>
      <c r="UP3" s="4" t="s">
        <v>1789</v>
      </c>
      <c r="UQ3" s="4" t="s">
        <v>1791</v>
      </c>
      <c r="UR3" s="4" t="s">
        <v>1793</v>
      </c>
      <c r="US3" s="4" t="s">
        <v>1795</v>
      </c>
      <c r="UT3" s="4" t="s">
        <v>1797</v>
      </c>
      <c r="UU3" s="4" t="s">
        <v>1799</v>
      </c>
      <c r="UV3" s="4" t="s">
        <v>1801</v>
      </c>
      <c r="UW3" s="4" t="s">
        <v>1803</v>
      </c>
      <c r="UX3" s="4" t="s">
        <v>1805</v>
      </c>
      <c r="UY3" s="4" t="s">
        <v>1807</v>
      </c>
      <c r="UZ3" s="4" t="s">
        <v>1809</v>
      </c>
      <c r="VA3" s="4" t="s">
        <v>1811</v>
      </c>
      <c r="VB3" s="4" t="s">
        <v>1813</v>
      </c>
      <c r="VC3" s="4" t="s">
        <v>1815</v>
      </c>
      <c r="VD3" s="4"/>
      <c r="VE3" s="4" t="s">
        <v>1817</v>
      </c>
      <c r="VF3" s="4"/>
      <c r="VG3" s="4"/>
      <c r="VH3" s="4"/>
      <c r="VI3" s="4"/>
      <c r="VJ3" s="4"/>
      <c r="VK3" s="4"/>
      <c r="VL3" s="4"/>
      <c r="VM3" s="4"/>
      <c r="VN3" s="4" t="s">
        <v>1819</v>
      </c>
      <c r="VO3" s="4"/>
      <c r="VP3" s="4"/>
      <c r="VQ3" s="4"/>
      <c r="VR3" s="4"/>
      <c r="VS3" s="4"/>
      <c r="VT3" s="4"/>
      <c r="VU3" s="4"/>
      <c r="VV3" s="4"/>
      <c r="VW3" s="4"/>
      <c r="VX3" s="4"/>
      <c r="VY3" s="4"/>
      <c r="VZ3" s="4"/>
      <c r="WA3" s="4" t="s">
        <v>1821</v>
      </c>
      <c r="WB3" s="4" t="s">
        <v>1823</v>
      </c>
      <c r="WC3" s="4" t="s">
        <v>1825</v>
      </c>
      <c r="WD3" s="4"/>
      <c r="WE3" s="4" t="s">
        <v>1827</v>
      </c>
      <c r="WF3" s="4" t="s">
        <v>1829</v>
      </c>
      <c r="WG3" s="4" t="s">
        <v>1831</v>
      </c>
      <c r="WH3" s="4" t="s">
        <v>1833</v>
      </c>
      <c r="WI3" s="4" t="s">
        <v>1835</v>
      </c>
      <c r="WJ3" s="4" t="s">
        <v>1837</v>
      </c>
      <c r="WK3" s="4" t="s">
        <v>1839</v>
      </c>
      <c r="WL3" s="4" t="s">
        <v>1841</v>
      </c>
      <c r="WM3" s="4" t="s">
        <v>1843</v>
      </c>
      <c r="WN3" s="4" t="s">
        <v>1845</v>
      </c>
      <c r="WO3" s="4" t="s">
        <v>1847</v>
      </c>
      <c r="WP3" s="4" t="s">
        <v>1849</v>
      </c>
      <c r="WQ3" s="4" t="s">
        <v>1851</v>
      </c>
      <c r="WR3" s="4" t="s">
        <v>1853</v>
      </c>
      <c r="WS3" s="4" t="s">
        <v>1855</v>
      </c>
      <c r="WT3" s="4" t="s">
        <v>1857</v>
      </c>
      <c r="WU3" s="4" t="s">
        <v>1859</v>
      </c>
      <c r="WV3" s="4" t="s">
        <v>1861</v>
      </c>
      <c r="WW3" s="4" t="s">
        <v>1863</v>
      </c>
      <c r="WX3" s="4" t="s">
        <v>1865</v>
      </c>
      <c r="WY3" s="4" t="s">
        <v>1867</v>
      </c>
      <c r="WZ3" s="4" t="s">
        <v>1869</v>
      </c>
      <c r="XA3" s="4" t="s">
        <v>1871</v>
      </c>
      <c r="XB3" s="4" t="s">
        <v>1873</v>
      </c>
      <c r="XC3" s="4" t="s">
        <v>1875</v>
      </c>
      <c r="XD3" s="4" t="s">
        <v>1877</v>
      </c>
      <c r="XE3" s="4" t="s">
        <v>1879</v>
      </c>
      <c r="XF3" s="4" t="s">
        <v>1881</v>
      </c>
      <c r="XG3" s="4" t="s">
        <v>1883</v>
      </c>
      <c r="XH3" s="4" t="s">
        <v>1885</v>
      </c>
      <c r="XI3" s="4" t="s">
        <v>1887</v>
      </c>
      <c r="XJ3" s="4" t="s">
        <v>1889</v>
      </c>
      <c r="XK3" s="4"/>
      <c r="XL3" s="4"/>
      <c r="XM3" s="4"/>
      <c r="XN3" s="4"/>
      <c r="XO3" s="4"/>
      <c r="XP3" s="4"/>
      <c r="XQ3" s="4"/>
      <c r="XR3" s="4"/>
      <c r="XS3" s="4" t="s">
        <v>1891</v>
      </c>
      <c r="XT3" s="4"/>
      <c r="XU3" s="4"/>
      <c r="XV3" s="4"/>
      <c r="XW3" s="4"/>
      <c r="XX3" s="4"/>
      <c r="XY3" s="4"/>
      <c r="XZ3" s="4" t="s">
        <v>1893</v>
      </c>
      <c r="YA3" s="4"/>
      <c r="YB3" s="4"/>
      <c r="YC3" s="4"/>
      <c r="YD3" s="4"/>
      <c r="YE3" s="4"/>
      <c r="YF3" s="4" t="s">
        <v>1895</v>
      </c>
      <c r="YG3" s="4"/>
      <c r="YH3" s="4"/>
      <c r="YI3" s="4"/>
      <c r="YJ3" s="4"/>
      <c r="YK3" s="4"/>
      <c r="YL3" s="4"/>
      <c r="YM3" s="4"/>
      <c r="YN3" s="4"/>
      <c r="YO3" s="4" t="s">
        <v>1897</v>
      </c>
      <c r="YP3" s="4"/>
      <c r="YQ3" s="4"/>
      <c r="YR3" s="4"/>
      <c r="YS3" s="4"/>
      <c r="YT3" s="4"/>
      <c r="YU3" s="4" t="s">
        <v>1899</v>
      </c>
      <c r="YV3" s="4"/>
      <c r="YW3" s="4"/>
      <c r="YX3" s="4"/>
      <c r="YY3" s="4"/>
      <c r="YZ3" s="4"/>
      <c r="ZA3" s="4"/>
      <c r="ZB3" s="4" t="s">
        <v>1901</v>
      </c>
      <c r="ZC3" s="4"/>
      <c r="ZD3" s="4"/>
      <c r="ZE3" s="4"/>
      <c r="ZF3" s="4"/>
      <c r="ZG3" s="4"/>
      <c r="ZH3" s="4"/>
      <c r="ZI3" s="4"/>
      <c r="ZJ3" s="4"/>
      <c r="ZK3" s="4"/>
      <c r="ZL3" s="4" t="s">
        <v>1903</v>
      </c>
      <c r="ZM3" s="4"/>
      <c r="ZN3" s="4"/>
      <c r="ZO3" s="4"/>
      <c r="ZP3" s="4"/>
      <c r="ZQ3" s="4"/>
      <c r="ZR3" s="4"/>
      <c r="ZS3" s="4"/>
      <c r="ZT3" s="4"/>
      <c r="ZU3" s="4" t="s">
        <v>1905</v>
      </c>
      <c r="ZV3" s="4"/>
      <c r="ZW3" s="4"/>
      <c r="ZX3" s="4"/>
      <c r="ZY3" s="4"/>
      <c r="ZZ3" s="4"/>
      <c r="AAA3" s="4"/>
      <c r="AAB3" s="4"/>
      <c r="AAC3" s="4"/>
      <c r="AAD3" s="4" t="s">
        <v>1907</v>
      </c>
      <c r="AAE3" s="4"/>
      <c r="AAF3" s="4"/>
      <c r="AAG3" s="4"/>
      <c r="AAH3" s="4"/>
      <c r="AAI3" s="4"/>
      <c r="AAJ3" s="4"/>
      <c r="AAK3" s="4"/>
      <c r="AAL3" s="4"/>
      <c r="AAM3" s="4" t="s">
        <v>1909</v>
      </c>
      <c r="AAN3" s="4"/>
      <c r="AAO3" s="4"/>
      <c r="AAP3" s="4"/>
      <c r="AAQ3" s="4"/>
      <c r="AAR3" s="4"/>
      <c r="AAS3" s="4" t="s">
        <v>1911</v>
      </c>
      <c r="AAT3" s="4"/>
      <c r="AAU3" s="4"/>
      <c r="AAV3" s="4"/>
      <c r="AAW3" s="4"/>
      <c r="AAX3" s="4"/>
      <c r="AAY3" s="4" t="s">
        <v>1909</v>
      </c>
      <c r="AAZ3" s="4"/>
      <c r="ABA3" s="4"/>
      <c r="ABB3" s="4"/>
      <c r="ABC3" s="4"/>
      <c r="ABD3" s="4"/>
      <c r="ABE3" s="4" t="s">
        <v>1913</v>
      </c>
      <c r="ABF3" s="4"/>
      <c r="ABG3" s="4"/>
      <c r="ABH3" s="4"/>
      <c r="ABI3" s="4" t="s">
        <v>1915</v>
      </c>
      <c r="ABJ3" s="4" t="s">
        <v>1917</v>
      </c>
      <c r="ABK3" s="4" t="s">
        <v>1919</v>
      </c>
      <c r="ABL3" s="4" t="s">
        <v>1921</v>
      </c>
      <c r="ABM3" s="4" t="s">
        <v>1923</v>
      </c>
      <c r="ABN3" s="4" t="s">
        <v>1925</v>
      </c>
      <c r="ABO3" s="4" t="s">
        <v>1927</v>
      </c>
      <c r="ABP3" s="4" t="s">
        <v>1929</v>
      </c>
      <c r="ABQ3" s="4" t="s">
        <v>1931</v>
      </c>
      <c r="ABR3" s="4" t="s">
        <v>1933</v>
      </c>
      <c r="ABS3" s="4" t="s">
        <v>1935</v>
      </c>
      <c r="ABT3" s="4" t="s">
        <v>1937</v>
      </c>
      <c r="ABU3" s="4" t="s">
        <v>1939</v>
      </c>
      <c r="ABV3" s="4" t="s">
        <v>1941</v>
      </c>
      <c r="ABW3" s="4" t="s">
        <v>1943</v>
      </c>
      <c r="ABX3" s="4" t="s">
        <v>1945</v>
      </c>
      <c r="ABY3" s="4" t="s">
        <v>1947</v>
      </c>
      <c r="ABZ3" s="4" t="s">
        <v>1949</v>
      </c>
      <c r="ACA3" s="4" t="s">
        <v>1951</v>
      </c>
      <c r="ACB3" s="4" t="s">
        <v>1953</v>
      </c>
      <c r="ACC3" s="4" t="s">
        <v>1955</v>
      </c>
      <c r="ACD3" s="4" t="s">
        <v>1957</v>
      </c>
      <c r="ACE3" s="4"/>
      <c r="ACF3" s="4" t="s">
        <v>1959</v>
      </c>
      <c r="ACG3" s="4"/>
      <c r="ACH3" s="4" t="s">
        <v>1961</v>
      </c>
      <c r="ACI3" s="4"/>
      <c r="ACJ3" s="4"/>
      <c r="ACK3" s="4"/>
      <c r="ACL3" s="4"/>
      <c r="ACM3" s="4"/>
      <c r="ACN3" s="4"/>
      <c r="ACO3" s="4"/>
      <c r="ACP3" s="4"/>
      <c r="ACQ3" s="4" t="s">
        <v>1963</v>
      </c>
      <c r="ACR3" s="4"/>
      <c r="ACS3" s="4"/>
      <c r="ACT3" s="4"/>
      <c r="ACU3" s="4"/>
      <c r="ACV3" s="4"/>
      <c r="ACW3" s="4"/>
      <c r="ACX3" s="4"/>
      <c r="ACY3" s="4"/>
      <c r="ACZ3" s="4" t="s">
        <v>1965</v>
      </c>
      <c r="ADA3" s="4"/>
      <c r="ADB3" s="4"/>
      <c r="ADC3" s="4"/>
      <c r="ADD3" s="4" t="s">
        <v>1967</v>
      </c>
      <c r="ADE3" s="4" t="s">
        <v>1969</v>
      </c>
      <c r="ADF3" s="4" t="s">
        <v>1971</v>
      </c>
      <c r="ADG3" s="4" t="s">
        <v>1973</v>
      </c>
      <c r="ADH3" s="4"/>
      <c r="ADI3" s="4" t="s">
        <v>1909</v>
      </c>
      <c r="ADJ3" s="4"/>
      <c r="ADK3" s="4"/>
      <c r="ADL3" s="4"/>
      <c r="ADM3" s="4"/>
      <c r="ADN3" s="4"/>
      <c r="ADO3" s="4" t="s">
        <v>1975</v>
      </c>
      <c r="ADP3" s="4"/>
      <c r="ADQ3" s="4"/>
      <c r="ADR3" s="4"/>
      <c r="ADS3" s="4" t="s">
        <v>1915</v>
      </c>
      <c r="ADT3" s="4" t="s">
        <v>1917</v>
      </c>
      <c r="ADU3" s="4" t="s">
        <v>1919</v>
      </c>
      <c r="ADV3" s="4" t="s">
        <v>1921</v>
      </c>
      <c r="ADW3" s="4" t="s">
        <v>1923</v>
      </c>
      <c r="ADX3" s="4" t="s">
        <v>1925</v>
      </c>
      <c r="ADY3" s="4" t="s">
        <v>1927</v>
      </c>
      <c r="ADZ3" s="4" t="s">
        <v>1929</v>
      </c>
      <c r="AEA3" s="4" t="s">
        <v>1931</v>
      </c>
      <c r="AEB3" s="4" t="s">
        <v>1933</v>
      </c>
      <c r="AEC3" s="4" t="s">
        <v>1935</v>
      </c>
      <c r="AED3" s="4" t="s">
        <v>1937</v>
      </c>
      <c r="AEE3" s="4" t="s">
        <v>1939</v>
      </c>
      <c r="AEF3" s="4" t="s">
        <v>1941</v>
      </c>
      <c r="AEG3" s="4" t="s">
        <v>1943</v>
      </c>
      <c r="AEH3" s="4" t="s">
        <v>1945</v>
      </c>
      <c r="AEI3" s="4" t="s">
        <v>1947</v>
      </c>
      <c r="AEJ3" s="4" t="s">
        <v>1949</v>
      </c>
      <c r="AEK3" s="4" t="s">
        <v>1951</v>
      </c>
      <c r="AEL3" s="4" t="s">
        <v>1953</v>
      </c>
      <c r="AEM3" s="4" t="s">
        <v>1955</v>
      </c>
      <c r="AEN3" s="4" t="s">
        <v>1957</v>
      </c>
      <c r="AEO3" s="4"/>
      <c r="AEP3" s="4" t="s">
        <v>1959</v>
      </c>
      <c r="AEQ3" s="4"/>
      <c r="AER3" s="4" t="s">
        <v>1961</v>
      </c>
      <c r="AES3" s="4"/>
      <c r="AET3" s="4"/>
      <c r="AEU3" s="4"/>
      <c r="AEV3" s="4"/>
      <c r="AEW3" s="4"/>
      <c r="AEX3" s="4"/>
      <c r="AEY3" s="4"/>
      <c r="AEZ3" s="4"/>
      <c r="AFA3" s="4" t="s">
        <v>2001</v>
      </c>
      <c r="AFB3" s="4"/>
      <c r="AFC3" s="4"/>
      <c r="AFD3" s="4"/>
      <c r="AFE3" s="4"/>
      <c r="AFF3" s="4"/>
      <c r="AFG3" s="4" t="s">
        <v>2003</v>
      </c>
      <c r="AFH3" s="4"/>
      <c r="AFI3" s="4"/>
      <c r="AFJ3" s="4"/>
      <c r="AFK3" s="4"/>
      <c r="AFL3" s="4"/>
      <c r="AFM3" s="4"/>
      <c r="AFN3" s="4" t="s">
        <v>1967</v>
      </c>
      <c r="AFO3" s="4" t="s">
        <v>2005</v>
      </c>
      <c r="AFP3" s="4" t="s">
        <v>1971</v>
      </c>
      <c r="AFQ3" s="4" t="s">
        <v>2008</v>
      </c>
      <c r="AFR3" s="4"/>
      <c r="AFS3" s="4" t="s">
        <v>979</v>
      </c>
      <c r="AFT3" s="4"/>
      <c r="AFU3" s="4"/>
      <c r="AFV3" s="4"/>
      <c r="AFW3" s="4"/>
      <c r="AFX3" s="4"/>
      <c r="AFY3" s="4"/>
      <c r="AFZ3" s="4" t="s">
        <v>2010</v>
      </c>
      <c r="AGA3" s="4"/>
      <c r="AGB3" s="4"/>
      <c r="AGC3" s="4"/>
      <c r="AGD3" s="4" t="s">
        <v>2012</v>
      </c>
      <c r="AGE3" s="4"/>
      <c r="AGF3" s="4"/>
      <c r="AGG3" s="4" t="s">
        <v>2014</v>
      </c>
      <c r="AGH3" s="4"/>
      <c r="AGI3" s="4"/>
      <c r="AGJ3" s="4"/>
      <c r="AGK3" s="4"/>
      <c r="AGL3" s="4"/>
      <c r="AGM3" s="4"/>
      <c r="AGN3" s="4"/>
      <c r="AGO3" s="4"/>
      <c r="AGP3" s="4" t="s">
        <v>2016</v>
      </c>
      <c r="AGQ3" s="4"/>
      <c r="AGR3" s="4"/>
      <c r="AGS3" s="4"/>
      <c r="AGT3" s="4"/>
      <c r="AGU3" s="4"/>
      <c r="AGV3" s="4"/>
      <c r="AGW3" s="4"/>
      <c r="AGX3" s="4"/>
      <c r="AGY3" s="4" t="s">
        <v>2018</v>
      </c>
      <c r="AGZ3" s="4"/>
      <c r="AHA3" s="4"/>
      <c r="AHB3" s="4"/>
      <c r="AHC3" s="4"/>
      <c r="AHD3" s="4"/>
      <c r="AHE3" s="4"/>
      <c r="AHF3" s="4" t="s">
        <v>2020</v>
      </c>
      <c r="AHG3" s="4"/>
      <c r="AHH3" s="4"/>
      <c r="AHI3" s="4"/>
      <c r="AHJ3" s="4"/>
      <c r="AHK3" s="4"/>
      <c r="AHL3" s="4" t="s">
        <v>2022</v>
      </c>
      <c r="AHM3" s="4"/>
      <c r="AHN3" s="4"/>
      <c r="AHO3" s="4"/>
      <c r="AHP3" s="4"/>
      <c r="AHQ3" s="4"/>
      <c r="AHR3" s="4"/>
      <c r="AHS3" s="4" t="s">
        <v>2024</v>
      </c>
      <c r="AHT3" s="4"/>
      <c r="AHU3" s="4"/>
      <c r="AHV3" s="4"/>
      <c r="AHW3" s="4"/>
      <c r="AHX3" s="4"/>
      <c r="AHY3" s="4" t="s">
        <v>2026</v>
      </c>
      <c r="AHZ3" s="4"/>
      <c r="AIA3" s="4"/>
      <c r="AIB3" s="4"/>
      <c r="AIC3" s="4"/>
      <c r="AID3" s="4"/>
      <c r="AIE3" s="4"/>
      <c r="AIF3" s="4"/>
      <c r="AIG3" s="4"/>
      <c r="AIH3" s="4" t="s">
        <v>2028</v>
      </c>
      <c r="AII3" s="4"/>
      <c r="AIJ3" s="4"/>
      <c r="AIK3" s="4"/>
      <c r="AIL3" s="4"/>
      <c r="AIM3" s="4"/>
      <c r="AIN3" s="4"/>
      <c r="AIO3" s="4"/>
      <c r="AIP3" s="4"/>
      <c r="AIQ3" s="4" t="s">
        <v>2030</v>
      </c>
      <c r="AIR3" s="4" t="s">
        <v>2032</v>
      </c>
      <c r="AIS3" s="4" t="s">
        <v>2034</v>
      </c>
      <c r="AIT3" s="4" t="s">
        <v>2036</v>
      </c>
      <c r="AIU3" s="4" t="s">
        <v>2038</v>
      </c>
      <c r="AIV3" s="4"/>
      <c r="AIW3" s="4"/>
      <c r="AIX3" s="4"/>
      <c r="AIY3" s="4"/>
      <c r="AIZ3" s="4"/>
      <c r="AJA3" s="4"/>
      <c r="AJB3" s="4"/>
      <c r="AJC3" s="4"/>
      <c r="AJD3" s="4"/>
      <c r="AJE3" s="4"/>
      <c r="AJF3" s="4"/>
      <c r="AJG3" s="4" t="s">
        <v>2040</v>
      </c>
      <c r="AJH3" s="4"/>
      <c r="AJI3" s="4"/>
      <c r="AJJ3" s="4"/>
      <c r="AJK3" s="4"/>
      <c r="AJL3" s="4"/>
      <c r="AJM3" s="4"/>
      <c r="AJN3" s="4"/>
      <c r="AJO3" s="4" t="s">
        <v>2042</v>
      </c>
      <c r="AJP3" s="4"/>
      <c r="AJQ3" s="4"/>
      <c r="AJR3" s="4"/>
      <c r="AJS3" s="4" t="s">
        <v>2044</v>
      </c>
      <c r="AJT3" s="4"/>
      <c r="AJU3" s="4"/>
      <c r="AJV3" s="4"/>
      <c r="AJW3" s="4"/>
      <c r="AJX3" s="4"/>
      <c r="AJY3" s="4" t="s">
        <v>2046</v>
      </c>
      <c r="AJZ3" s="4"/>
      <c r="AKA3" s="4"/>
      <c r="AKB3" s="4"/>
      <c r="AKC3" s="4"/>
      <c r="AKD3" s="4" t="s">
        <v>2048</v>
      </c>
      <c r="AKE3" s="4"/>
      <c r="AKF3" s="4"/>
      <c r="AKG3" s="4"/>
      <c r="AKH3" s="4"/>
      <c r="AKI3" s="4"/>
      <c r="AKJ3" s="4" t="s">
        <v>979</v>
      </c>
      <c r="AKK3" s="4"/>
      <c r="AKL3" s="4"/>
      <c r="AKM3" s="4"/>
      <c r="AKN3" s="4"/>
      <c r="AKO3" s="4"/>
      <c r="AKP3" s="4"/>
      <c r="AKQ3" s="4" t="s">
        <v>2050</v>
      </c>
      <c r="AKR3" s="4"/>
      <c r="AKS3" s="4"/>
      <c r="AKT3" s="4"/>
      <c r="AKU3" s="4"/>
      <c r="AKV3" s="4"/>
      <c r="AKW3" s="4"/>
      <c r="AKX3" s="4"/>
      <c r="AKY3" s="4" t="s">
        <v>979</v>
      </c>
      <c r="AKZ3" s="4"/>
      <c r="ALA3" s="4"/>
      <c r="ALB3" s="4"/>
      <c r="ALC3" s="4"/>
      <c r="ALD3" s="4"/>
      <c r="ALE3" s="4"/>
      <c r="ALF3" s="4" t="s">
        <v>2052</v>
      </c>
      <c r="ALG3" s="4"/>
      <c r="ALH3" s="4"/>
      <c r="ALI3" s="4"/>
      <c r="ALJ3" s="4"/>
      <c r="ALK3" s="4"/>
      <c r="ALL3" s="4"/>
      <c r="ALM3" s="4"/>
      <c r="ALN3" s="4" t="s">
        <v>979</v>
      </c>
      <c r="ALO3" s="4"/>
      <c r="ALP3" s="4"/>
      <c r="ALQ3" s="4"/>
      <c r="ALR3" s="4"/>
      <c r="ALS3" s="4"/>
      <c r="ALT3" s="4"/>
      <c r="ALU3" s="4" t="s">
        <v>2054</v>
      </c>
      <c r="ALV3" s="4"/>
      <c r="ALW3" s="4"/>
      <c r="ALX3" s="4"/>
      <c r="ALY3" s="4"/>
      <c r="ALZ3" s="4"/>
      <c r="AMA3" s="4"/>
      <c r="AMB3" s="4"/>
      <c r="AMC3" s="4"/>
      <c r="AMD3" s="4" t="s">
        <v>979</v>
      </c>
      <c r="AME3" s="4"/>
      <c r="AMF3" s="4"/>
      <c r="AMG3" s="4"/>
      <c r="AMH3" s="4"/>
      <c r="AMI3" s="4"/>
      <c r="AMJ3" s="4"/>
      <c r="AMK3" s="4" t="s">
        <v>2056</v>
      </c>
      <c r="AML3" s="4"/>
      <c r="AMM3" s="4"/>
      <c r="AMN3" s="4"/>
      <c r="AMO3" s="4"/>
      <c r="AMP3" s="4"/>
      <c r="AMQ3" s="4"/>
      <c r="AMR3" s="4"/>
      <c r="AMS3" s="4" t="s">
        <v>2058</v>
      </c>
      <c r="AMT3" s="4"/>
      <c r="AMU3" s="4"/>
      <c r="AMV3" s="4"/>
      <c r="AMW3" s="4"/>
      <c r="AMX3" s="4" t="s">
        <v>2060</v>
      </c>
      <c r="AMY3" s="4"/>
      <c r="AMZ3" s="4"/>
      <c r="ANA3" s="4"/>
      <c r="ANB3" s="4"/>
      <c r="ANC3" s="4"/>
      <c r="AND3" s="4"/>
      <c r="ANE3" s="4"/>
      <c r="ANF3" s="4"/>
      <c r="ANG3" s="4"/>
      <c r="ANH3" s="4"/>
      <c r="ANI3" s="4"/>
      <c r="ANJ3" s="4"/>
      <c r="ANK3" s="4"/>
      <c r="ANL3" s="4"/>
      <c r="ANM3" s="4"/>
      <c r="ANN3" s="4"/>
      <c r="ANO3" s="4"/>
      <c r="ANP3" s="4"/>
      <c r="ANQ3" s="4"/>
      <c r="ANR3" s="4"/>
      <c r="ANS3" s="4"/>
      <c r="ANT3" s="4"/>
      <c r="ANU3" s="4"/>
      <c r="ANV3" s="4"/>
      <c r="ANW3" s="4"/>
      <c r="ANX3" s="4"/>
      <c r="ANY3" s="4"/>
      <c r="ANZ3" s="4"/>
      <c r="AOA3" s="4"/>
      <c r="AOB3" s="4"/>
      <c r="AOC3" s="4"/>
      <c r="AOD3" s="4"/>
      <c r="AOE3" s="4"/>
      <c r="AOF3" s="4"/>
      <c r="AOG3" s="4"/>
      <c r="AOH3" s="4"/>
      <c r="AOI3" s="4"/>
      <c r="AOJ3" s="4"/>
      <c r="AOK3" s="4"/>
      <c r="AOL3" s="4"/>
      <c r="AOM3" s="4"/>
      <c r="AON3" s="4"/>
      <c r="AOO3" s="4"/>
      <c r="AOP3" s="4"/>
      <c r="AOQ3" s="4"/>
      <c r="AOR3" s="4"/>
      <c r="AOS3" s="4"/>
      <c r="AOT3" s="4"/>
      <c r="AOU3" s="4"/>
      <c r="AOV3" s="4"/>
      <c r="AOW3" s="4"/>
      <c r="AOX3" s="4"/>
      <c r="AOY3" s="4"/>
      <c r="AOZ3" s="4"/>
      <c r="APA3" s="4"/>
      <c r="APB3" s="4"/>
      <c r="APC3" s="4"/>
      <c r="APD3" s="4"/>
      <c r="APE3" s="4"/>
      <c r="APF3" s="4"/>
      <c r="APG3" s="4"/>
      <c r="APH3" s="4"/>
      <c r="API3" s="4"/>
      <c r="APJ3" s="4"/>
      <c r="APK3" s="4"/>
      <c r="APL3" s="4"/>
      <c r="APM3" s="4"/>
      <c r="APN3" s="4"/>
      <c r="APO3" s="4"/>
      <c r="APP3" s="4"/>
      <c r="APQ3" s="4"/>
      <c r="APR3" s="4"/>
      <c r="APS3" s="4"/>
      <c r="APT3" s="4"/>
      <c r="APU3" s="4"/>
      <c r="APV3" s="4"/>
      <c r="APW3" s="4"/>
      <c r="APX3" s="4"/>
      <c r="APY3" s="4"/>
      <c r="APZ3" s="4"/>
      <c r="AQA3" s="4"/>
      <c r="AQB3" s="4"/>
    </row>
    <row r="4" spans="1:1120" ht="15" customHeight="1" x14ac:dyDescent="0.25">
      <c r="A4" s="35" t="s">
        <v>6</v>
      </c>
      <c r="B4" s="35"/>
      <c r="C4" s="4" t="s">
        <v>739</v>
      </c>
      <c r="D4" s="4" t="s">
        <v>742</v>
      </c>
      <c r="E4" s="4"/>
      <c r="F4" s="4"/>
      <c r="G4" s="4"/>
      <c r="H4" s="4"/>
      <c r="I4" s="4"/>
      <c r="J4" s="4"/>
      <c r="K4" s="4" t="s">
        <v>968</v>
      </c>
      <c r="L4" s="4"/>
      <c r="M4" s="4"/>
      <c r="N4" s="4"/>
      <c r="O4" s="4"/>
      <c r="P4" s="4"/>
      <c r="Q4" s="4"/>
      <c r="R4" s="4" t="s">
        <v>970</v>
      </c>
      <c r="S4" s="4"/>
      <c r="T4" s="4"/>
      <c r="U4" s="4"/>
      <c r="V4" s="4"/>
      <c r="W4" s="4"/>
      <c r="X4" s="4"/>
      <c r="Y4" s="4" t="s">
        <v>972</v>
      </c>
      <c r="Z4" s="4"/>
      <c r="AA4" s="4"/>
      <c r="AB4" s="4"/>
      <c r="AC4" s="4"/>
      <c r="AD4" s="4"/>
      <c r="AE4" s="4"/>
      <c r="AF4" s="4" t="s">
        <v>972</v>
      </c>
      <c r="AG4" s="4"/>
      <c r="AH4" s="4"/>
      <c r="AI4" s="4"/>
      <c r="AJ4" s="4"/>
      <c r="AK4" s="4"/>
      <c r="AL4" s="4"/>
      <c r="AM4" s="4" t="s">
        <v>1628</v>
      </c>
      <c r="AN4" s="4"/>
      <c r="AO4" s="4"/>
      <c r="AP4" s="4"/>
      <c r="AQ4" s="4"/>
      <c r="AR4" s="4"/>
      <c r="AS4" s="4"/>
      <c r="AT4" s="4" t="s">
        <v>1630</v>
      </c>
      <c r="AU4" s="4"/>
      <c r="AV4" s="4"/>
      <c r="AW4" s="4"/>
      <c r="AX4" s="4"/>
      <c r="AY4" s="4"/>
      <c r="AZ4" s="4"/>
      <c r="BA4" s="4"/>
      <c r="BB4" s="4" t="s">
        <v>1632</v>
      </c>
      <c r="BC4" s="4"/>
      <c r="BD4" s="4"/>
      <c r="BE4" s="4"/>
      <c r="BF4" s="4"/>
      <c r="BG4" s="4"/>
      <c r="BH4" s="4"/>
      <c r="BI4" s="4"/>
      <c r="BJ4" s="4" t="s">
        <v>1634</v>
      </c>
      <c r="BK4" s="4"/>
      <c r="BL4" s="4"/>
      <c r="BM4" s="4"/>
      <c r="BN4" s="4"/>
      <c r="BO4" s="4"/>
      <c r="BP4" s="4"/>
      <c r="BQ4" s="4" t="s">
        <v>1636</v>
      </c>
      <c r="BR4" s="4"/>
      <c r="BS4" s="4"/>
      <c r="BT4" s="4"/>
      <c r="BU4" s="4"/>
      <c r="BV4" s="4"/>
      <c r="BW4" s="4"/>
      <c r="BX4" s="4"/>
      <c r="BY4" s="4" t="s">
        <v>1638</v>
      </c>
      <c r="BZ4" s="4"/>
      <c r="CA4" s="4"/>
      <c r="CB4" s="4"/>
      <c r="CC4" s="4"/>
      <c r="CD4" s="4"/>
      <c r="CE4" s="4"/>
      <c r="CF4" s="4"/>
      <c r="CG4" s="4" t="s">
        <v>1640</v>
      </c>
      <c r="CH4" s="4"/>
      <c r="CI4" s="4"/>
      <c r="CJ4" s="4"/>
      <c r="CK4" s="4"/>
      <c r="CL4" s="4"/>
      <c r="CM4" s="4"/>
      <c r="CN4" s="4"/>
      <c r="CO4" s="4" t="s">
        <v>1642</v>
      </c>
      <c r="CP4" s="4"/>
      <c r="CQ4" s="4"/>
      <c r="CR4" s="4"/>
      <c r="CS4" s="4"/>
      <c r="CT4" s="4"/>
      <c r="CU4" s="4"/>
      <c r="CV4" s="4"/>
      <c r="CW4" s="4"/>
      <c r="CX4" s="4"/>
      <c r="CY4" s="4" t="s">
        <v>1644</v>
      </c>
      <c r="CZ4" s="4"/>
      <c r="DA4" s="4"/>
      <c r="DB4" s="4"/>
      <c r="DC4" s="4"/>
      <c r="DD4" s="4"/>
      <c r="DE4" s="4"/>
      <c r="DF4" s="4"/>
      <c r="DG4" s="4" t="s">
        <v>1646</v>
      </c>
      <c r="DH4" s="4"/>
      <c r="DI4" s="4"/>
      <c r="DJ4" s="4"/>
      <c r="DK4" s="4"/>
      <c r="DL4" s="4"/>
      <c r="DM4" s="4"/>
      <c r="DN4" s="4"/>
      <c r="DO4" s="4"/>
      <c r="DP4" s="4" t="s">
        <v>1648</v>
      </c>
      <c r="DQ4" s="4"/>
      <c r="DR4" s="4"/>
      <c r="DS4" s="4"/>
      <c r="DT4" s="4"/>
      <c r="DU4" s="4"/>
      <c r="DV4" s="4"/>
      <c r="DW4" s="4"/>
      <c r="DX4" s="4"/>
      <c r="DY4" s="4" t="s">
        <v>1650</v>
      </c>
      <c r="DZ4" s="4"/>
      <c r="EA4" s="4"/>
      <c r="EB4" s="4"/>
      <c r="EC4" s="4"/>
      <c r="ED4" s="4"/>
      <c r="EE4" s="4"/>
      <c r="EF4" s="4"/>
      <c r="EG4" s="4" t="s">
        <v>1652</v>
      </c>
      <c r="EH4" s="4"/>
      <c r="EI4" s="4"/>
      <c r="EJ4" s="4"/>
      <c r="EK4" s="4"/>
      <c r="EL4" s="4"/>
      <c r="EM4" s="4"/>
      <c r="EN4" s="4"/>
      <c r="EO4" s="4" t="s">
        <v>1654</v>
      </c>
      <c r="EP4" s="4"/>
      <c r="EQ4" s="4"/>
      <c r="ER4" s="4"/>
      <c r="ES4" s="4"/>
      <c r="ET4" s="4"/>
      <c r="EU4" s="4" t="s">
        <v>975</v>
      </c>
      <c r="EV4" s="4"/>
      <c r="EW4" s="4"/>
      <c r="EX4" s="4"/>
      <c r="EY4" s="4"/>
      <c r="EZ4" s="4"/>
      <c r="FA4" s="4"/>
      <c r="FB4" s="4"/>
      <c r="FC4" s="4"/>
      <c r="FD4" s="4"/>
      <c r="FE4" s="4" t="s">
        <v>1656</v>
      </c>
      <c r="FF4" s="4"/>
      <c r="FG4" s="4"/>
      <c r="FH4" s="4"/>
      <c r="FI4" s="4"/>
      <c r="FJ4" s="4"/>
      <c r="FK4" s="4"/>
      <c r="FL4" s="4" t="s">
        <v>1658</v>
      </c>
      <c r="FM4" s="4"/>
      <c r="FN4" s="4"/>
      <c r="FO4" s="4"/>
      <c r="FP4" s="4"/>
      <c r="FQ4" s="4"/>
      <c r="FR4" s="4"/>
      <c r="FS4" s="4"/>
      <c r="FT4" s="4" t="s">
        <v>1660</v>
      </c>
      <c r="FU4" s="4"/>
      <c r="FV4" s="4"/>
      <c r="FW4" s="4"/>
      <c r="FX4" s="4"/>
      <c r="FY4" s="4"/>
      <c r="FZ4" s="4"/>
      <c r="GA4" s="4"/>
      <c r="GB4" s="4" t="s">
        <v>1662</v>
      </c>
      <c r="GC4" s="4"/>
      <c r="GD4" s="4"/>
      <c r="GE4" s="4"/>
      <c r="GF4" s="4"/>
      <c r="GG4" s="4"/>
      <c r="GH4" s="4"/>
      <c r="GI4" s="4" t="s">
        <v>1664</v>
      </c>
      <c r="GJ4" s="4"/>
      <c r="GK4" s="4"/>
      <c r="GL4" s="4"/>
      <c r="GM4" s="4"/>
      <c r="GN4" s="4"/>
      <c r="GO4" s="4"/>
      <c r="GP4" s="4"/>
      <c r="GQ4" s="4" t="s">
        <v>1666</v>
      </c>
      <c r="GR4" s="4"/>
      <c r="GS4" s="4"/>
      <c r="GT4" s="4"/>
      <c r="GU4" s="4"/>
      <c r="GV4" s="4"/>
      <c r="GW4" s="4"/>
      <c r="GX4" s="4"/>
      <c r="GY4" s="4" t="s">
        <v>1668</v>
      </c>
      <c r="GZ4" s="4"/>
      <c r="HA4" s="4"/>
      <c r="HB4" s="4"/>
      <c r="HC4" s="4"/>
      <c r="HD4" s="4"/>
      <c r="HE4" s="4"/>
      <c r="HF4" s="4"/>
      <c r="HG4" s="4" t="s">
        <v>1670</v>
      </c>
      <c r="HH4" s="4"/>
      <c r="HI4" s="4"/>
      <c r="HJ4" s="4"/>
      <c r="HK4" s="4"/>
      <c r="HL4" s="4"/>
      <c r="HM4" s="4"/>
      <c r="HN4" s="4"/>
      <c r="HO4" s="4"/>
      <c r="HP4" s="4"/>
      <c r="HQ4" s="4" t="s">
        <v>1672</v>
      </c>
      <c r="HR4" s="4"/>
      <c r="HS4" s="4"/>
      <c r="HT4" s="4"/>
      <c r="HU4" s="4"/>
      <c r="HV4" s="4"/>
      <c r="HW4" s="4"/>
      <c r="HX4" s="4" t="s">
        <v>1674</v>
      </c>
      <c r="HY4" s="4"/>
      <c r="HZ4" s="4"/>
      <c r="IA4" s="4"/>
      <c r="IB4" s="4"/>
      <c r="IC4" s="4" t="s">
        <v>978</v>
      </c>
      <c r="ID4" s="4"/>
      <c r="IE4" s="4"/>
      <c r="IF4" s="4"/>
      <c r="IG4" s="4"/>
      <c r="IH4" s="4"/>
      <c r="II4" s="4"/>
      <c r="IJ4" s="4"/>
      <c r="IK4" s="4"/>
      <c r="IL4" s="4" t="s">
        <v>980</v>
      </c>
      <c r="IM4" s="4"/>
      <c r="IN4" s="4"/>
      <c r="IO4" s="4"/>
      <c r="IP4" s="4"/>
      <c r="IQ4" s="4"/>
      <c r="IR4" s="4"/>
      <c r="IS4" s="4" t="s">
        <v>982</v>
      </c>
      <c r="IT4" s="4" t="s">
        <v>984</v>
      </c>
      <c r="IU4" s="4" t="s">
        <v>986</v>
      </c>
      <c r="IV4" s="4" t="s">
        <v>988</v>
      </c>
      <c r="IW4" s="4"/>
      <c r="IX4" s="4" t="s">
        <v>990</v>
      </c>
      <c r="IY4" s="4" t="s">
        <v>992</v>
      </c>
      <c r="IZ4" s="4" t="s">
        <v>994</v>
      </c>
      <c r="JA4" s="4" t="s">
        <v>996</v>
      </c>
      <c r="JB4" s="4" t="s">
        <v>998</v>
      </c>
      <c r="JC4" s="4" t="s">
        <v>1000</v>
      </c>
      <c r="JD4" s="4" t="s">
        <v>1002</v>
      </c>
      <c r="JE4" s="4"/>
      <c r="JF4" s="4"/>
      <c r="JG4" s="4" t="s">
        <v>1004</v>
      </c>
      <c r="JH4" s="4" t="s">
        <v>1006</v>
      </c>
      <c r="JI4" s="4" t="s">
        <v>1008</v>
      </c>
      <c r="JJ4" s="4" t="s">
        <v>1010</v>
      </c>
      <c r="JK4" s="4" t="s">
        <v>1012</v>
      </c>
      <c r="JL4" s="4" t="s">
        <v>1014</v>
      </c>
      <c r="JM4" s="4" t="s">
        <v>1016</v>
      </c>
      <c r="JN4" s="4" t="s">
        <v>1018</v>
      </c>
      <c r="JO4" s="4" t="s">
        <v>1020</v>
      </c>
      <c r="JP4" s="4" t="s">
        <v>1022</v>
      </c>
      <c r="JQ4" s="4" t="s">
        <v>1024</v>
      </c>
      <c r="JR4" s="4" t="s">
        <v>1026</v>
      </c>
      <c r="JS4" s="4" t="s">
        <v>1028</v>
      </c>
      <c r="JT4" s="4" t="s">
        <v>1030</v>
      </c>
      <c r="JU4" s="4" t="s">
        <v>1032</v>
      </c>
      <c r="JV4" s="4" t="s">
        <v>1034</v>
      </c>
      <c r="JW4" s="4"/>
      <c r="JX4" s="4"/>
      <c r="JY4" s="4" t="s">
        <v>1036</v>
      </c>
      <c r="JZ4" s="4"/>
      <c r="KA4" s="4" t="s">
        <v>1038</v>
      </c>
      <c r="KB4" s="4"/>
      <c r="KC4" s="4" t="s">
        <v>1040</v>
      </c>
      <c r="KD4" s="4"/>
      <c r="KE4" s="4" t="s">
        <v>1042</v>
      </c>
      <c r="KF4" s="4"/>
      <c r="KG4" s="4" t="s">
        <v>1044</v>
      </c>
      <c r="KH4" s="4"/>
      <c r="KI4" s="4" t="s">
        <v>1046</v>
      </c>
      <c r="KJ4" s="4"/>
      <c r="KK4" s="4" t="s">
        <v>1048</v>
      </c>
      <c r="KL4" s="4"/>
      <c r="KM4" s="4" t="s">
        <v>1050</v>
      </c>
      <c r="KN4" s="4"/>
      <c r="KO4" s="4" t="s">
        <v>1052</v>
      </c>
      <c r="KP4" s="4"/>
      <c r="KQ4" s="4" t="s">
        <v>1054</v>
      </c>
      <c r="KR4" s="4"/>
      <c r="KS4" s="4" t="s">
        <v>1056</v>
      </c>
      <c r="KT4" s="4"/>
      <c r="KU4" s="4" t="s">
        <v>1058</v>
      </c>
      <c r="KV4" s="4"/>
      <c r="KW4" s="4" t="s">
        <v>1060</v>
      </c>
      <c r="KX4" s="4"/>
      <c r="KY4" s="4" t="s">
        <v>1062</v>
      </c>
      <c r="KZ4" s="4"/>
      <c r="LA4" s="4" t="s">
        <v>1064</v>
      </c>
      <c r="LB4" s="4"/>
      <c r="LC4" s="4" t="s">
        <v>1066</v>
      </c>
      <c r="LD4" s="4"/>
      <c r="LE4" s="4" t="s">
        <v>1068</v>
      </c>
      <c r="LF4" s="4"/>
      <c r="LG4" s="4" t="s">
        <v>1070</v>
      </c>
      <c r="LH4" s="4"/>
      <c r="LI4" s="4" t="s">
        <v>1072</v>
      </c>
      <c r="LJ4" s="4"/>
      <c r="LK4" s="4" t="s">
        <v>1074</v>
      </c>
      <c r="LL4" s="4"/>
      <c r="LM4" s="4" t="s">
        <v>1076</v>
      </c>
      <c r="LN4" s="4"/>
      <c r="LO4" s="4" t="s">
        <v>1078</v>
      </c>
      <c r="LP4" s="4"/>
      <c r="LQ4" s="4" t="s">
        <v>1080</v>
      </c>
      <c r="LR4" s="4" t="s">
        <v>1082</v>
      </c>
      <c r="LS4" s="4" t="s">
        <v>1084</v>
      </c>
      <c r="LT4" s="4" t="s">
        <v>1086</v>
      </c>
      <c r="LU4" s="4" t="s">
        <v>1088</v>
      </c>
      <c r="LV4" s="4" t="s">
        <v>1090</v>
      </c>
      <c r="LW4" s="4" t="s">
        <v>1092</v>
      </c>
      <c r="LX4" s="4" t="s">
        <v>1094</v>
      </c>
      <c r="LY4" s="4" t="s">
        <v>1096</v>
      </c>
      <c r="LZ4" s="4" t="s">
        <v>1098</v>
      </c>
      <c r="MA4" s="4" t="s">
        <v>1100</v>
      </c>
      <c r="MB4" s="4" t="s">
        <v>1102</v>
      </c>
      <c r="MC4" s="4" t="s">
        <v>1104</v>
      </c>
      <c r="MD4" s="4" t="s">
        <v>1106</v>
      </c>
      <c r="ME4" s="4" t="s">
        <v>1108</v>
      </c>
      <c r="MF4" s="4" t="s">
        <v>1110</v>
      </c>
      <c r="MG4" s="4" t="s">
        <v>1112</v>
      </c>
      <c r="MH4" s="4"/>
      <c r="MI4" s="4" t="s">
        <v>1114</v>
      </c>
      <c r="MJ4" s="4" t="s">
        <v>1116</v>
      </c>
      <c r="MK4" s="4"/>
      <c r="ML4" s="4"/>
      <c r="MM4" s="4"/>
      <c r="MN4" s="4"/>
      <c r="MO4" s="4"/>
      <c r="MP4" s="4"/>
      <c r="MQ4" s="4"/>
      <c r="MR4" s="4"/>
      <c r="MS4" s="4" t="s">
        <v>1118</v>
      </c>
      <c r="MT4" s="4" t="s">
        <v>1120</v>
      </c>
      <c r="MU4" s="4"/>
      <c r="MV4" s="4"/>
      <c r="MW4" s="4"/>
      <c r="MX4" s="4"/>
      <c r="MY4" s="4"/>
      <c r="MZ4" s="4"/>
      <c r="NA4" s="4"/>
      <c r="NB4" s="4"/>
      <c r="NC4" s="4" t="s">
        <v>1122</v>
      </c>
      <c r="ND4" s="4" t="s">
        <v>1124</v>
      </c>
      <c r="NE4" s="4"/>
      <c r="NF4" s="4"/>
      <c r="NG4" s="4"/>
      <c r="NH4" s="4"/>
      <c r="NI4" s="4"/>
      <c r="NJ4" s="4"/>
      <c r="NK4" s="4"/>
      <c r="NL4" s="4"/>
      <c r="NM4" s="4" t="s">
        <v>1126</v>
      </c>
      <c r="NN4" s="4"/>
      <c r="NO4" s="4" t="s">
        <v>1128</v>
      </c>
      <c r="NP4" s="4" t="s">
        <v>1130</v>
      </c>
      <c r="NQ4" s="4"/>
      <c r="NR4" s="4" t="s">
        <v>1132</v>
      </c>
      <c r="NS4" s="4"/>
      <c r="NT4" s="4" t="s">
        <v>1134</v>
      </c>
      <c r="NU4" s="4" t="s">
        <v>1136</v>
      </c>
      <c r="NV4" s="4" t="s">
        <v>1138</v>
      </c>
      <c r="NW4" s="4" t="s">
        <v>1140</v>
      </c>
      <c r="NX4" s="4" t="s">
        <v>1142</v>
      </c>
      <c r="NY4" s="4" t="s">
        <v>1144</v>
      </c>
      <c r="NZ4" s="4" t="s">
        <v>1146</v>
      </c>
      <c r="OA4" s="4" t="s">
        <v>1148</v>
      </c>
      <c r="OB4" s="4" t="s">
        <v>1150</v>
      </c>
      <c r="OC4" s="4" t="s">
        <v>1152</v>
      </c>
      <c r="OD4" s="4" t="s">
        <v>1154</v>
      </c>
      <c r="OE4" s="4" t="s">
        <v>1156</v>
      </c>
      <c r="OF4" s="4" t="s">
        <v>1158</v>
      </c>
      <c r="OG4" s="4" t="s">
        <v>1160</v>
      </c>
      <c r="OH4" s="4" t="s">
        <v>1162</v>
      </c>
      <c r="OI4" s="4" t="s">
        <v>1164</v>
      </c>
      <c r="OJ4" s="4" t="s">
        <v>1166</v>
      </c>
      <c r="OK4" s="4" t="s">
        <v>1168</v>
      </c>
      <c r="OL4" s="4" t="s">
        <v>1170</v>
      </c>
      <c r="OM4" s="4" t="s">
        <v>1172</v>
      </c>
      <c r="ON4" s="4" t="s">
        <v>1174</v>
      </c>
      <c r="OO4" s="4" t="s">
        <v>1176</v>
      </c>
      <c r="OP4" s="4" t="s">
        <v>1178</v>
      </c>
      <c r="OQ4" s="4" t="s">
        <v>1180</v>
      </c>
      <c r="OR4" s="4" t="s">
        <v>1182</v>
      </c>
      <c r="OS4" s="4" t="s">
        <v>1184</v>
      </c>
      <c r="OT4" s="4" t="s">
        <v>1186</v>
      </c>
      <c r="OU4" s="4" t="s">
        <v>1188</v>
      </c>
      <c r="OV4" s="4" t="s">
        <v>1190</v>
      </c>
      <c r="OW4" s="4" t="s">
        <v>1192</v>
      </c>
      <c r="OX4" s="4" t="s">
        <v>1194</v>
      </c>
      <c r="OY4" s="4" t="s">
        <v>1196</v>
      </c>
      <c r="OZ4" s="4" t="s">
        <v>1198</v>
      </c>
      <c r="PA4" s="4" t="s">
        <v>1200</v>
      </c>
      <c r="PB4" s="4" t="s">
        <v>1202</v>
      </c>
      <c r="PC4" s="4" t="s">
        <v>1204</v>
      </c>
      <c r="PD4" s="4" t="s">
        <v>1206</v>
      </c>
      <c r="PE4" s="4" t="s">
        <v>1208</v>
      </c>
      <c r="PF4" s="4" t="s">
        <v>1210</v>
      </c>
      <c r="PG4" s="4" t="s">
        <v>1212</v>
      </c>
      <c r="PH4" s="4" t="s">
        <v>1214</v>
      </c>
      <c r="PI4" s="4" t="s">
        <v>1216</v>
      </c>
      <c r="PJ4" s="4" t="s">
        <v>1218</v>
      </c>
      <c r="PK4" s="4" t="s">
        <v>1220</v>
      </c>
      <c r="PL4" s="4" t="s">
        <v>1222</v>
      </c>
      <c r="PM4" s="4" t="s">
        <v>1224</v>
      </c>
      <c r="PN4" s="4" t="s">
        <v>1226</v>
      </c>
      <c r="PO4" s="4" t="s">
        <v>1228</v>
      </c>
      <c r="PP4" s="4" t="s">
        <v>1230</v>
      </c>
      <c r="PQ4" s="4" t="s">
        <v>1232</v>
      </c>
      <c r="PR4" s="4" t="s">
        <v>1234</v>
      </c>
      <c r="PS4" s="4" t="s">
        <v>1236</v>
      </c>
      <c r="PT4" s="4" t="s">
        <v>1238</v>
      </c>
      <c r="PU4" s="4" t="s">
        <v>1240</v>
      </c>
      <c r="PV4" s="4" t="s">
        <v>1242</v>
      </c>
      <c r="PW4" s="4" t="s">
        <v>1244</v>
      </c>
      <c r="PX4" s="4" t="s">
        <v>1246</v>
      </c>
      <c r="PY4" s="4" t="s">
        <v>1248</v>
      </c>
      <c r="PZ4" s="4" t="s">
        <v>1250</v>
      </c>
      <c r="QA4" s="4" t="s">
        <v>1252</v>
      </c>
      <c r="QB4" s="4" t="s">
        <v>1254</v>
      </c>
      <c r="QC4" s="4"/>
      <c r="QD4" s="4" t="s">
        <v>1256</v>
      </c>
      <c r="QE4" s="4" t="s">
        <v>1258</v>
      </c>
      <c r="QF4" s="4" t="s">
        <v>1260</v>
      </c>
      <c r="QG4" s="4" t="s">
        <v>1262</v>
      </c>
      <c r="QH4" s="4" t="s">
        <v>1264</v>
      </c>
      <c r="QI4" s="4" t="s">
        <v>1266</v>
      </c>
      <c r="QJ4" s="4" t="s">
        <v>1268</v>
      </c>
      <c r="QK4" s="4" t="s">
        <v>1270</v>
      </c>
      <c r="QL4" s="4" t="s">
        <v>1272</v>
      </c>
      <c r="QM4" s="4" t="s">
        <v>1274</v>
      </c>
      <c r="QN4" s="4" t="s">
        <v>1276</v>
      </c>
      <c r="QO4" s="4" t="s">
        <v>1278</v>
      </c>
      <c r="QP4" s="4" t="s">
        <v>1280</v>
      </c>
      <c r="QQ4" s="4" t="s">
        <v>1282</v>
      </c>
      <c r="QR4" s="4" t="s">
        <v>1284</v>
      </c>
      <c r="QS4" s="4" t="s">
        <v>1286</v>
      </c>
      <c r="QT4" s="4" t="s">
        <v>1288</v>
      </c>
      <c r="QU4" s="4" t="s">
        <v>1290</v>
      </c>
      <c r="QV4" s="4"/>
      <c r="QW4" s="4" t="s">
        <v>1292</v>
      </c>
      <c r="QX4" s="4"/>
      <c r="QY4" s="4"/>
      <c r="QZ4" s="4"/>
      <c r="RA4" s="4"/>
      <c r="RB4" s="4"/>
      <c r="RC4" s="4"/>
      <c r="RD4" s="4"/>
      <c r="RE4" s="4" t="s">
        <v>1294</v>
      </c>
      <c r="RF4" s="4"/>
      <c r="RG4" s="4"/>
      <c r="RH4" s="4"/>
      <c r="RI4" s="4"/>
      <c r="RJ4" s="4"/>
      <c r="RK4" s="4"/>
      <c r="RL4" s="4"/>
      <c r="RM4" s="4"/>
      <c r="RN4" s="4"/>
      <c r="RO4" s="4"/>
      <c r="RP4" s="4"/>
      <c r="RQ4" s="4"/>
      <c r="RR4" s="4" t="s">
        <v>1296</v>
      </c>
      <c r="RS4" s="4"/>
      <c r="RT4" s="4" t="s">
        <v>980</v>
      </c>
      <c r="RU4" s="4"/>
      <c r="RV4" s="4"/>
      <c r="RW4" s="4"/>
      <c r="RX4" s="4"/>
      <c r="RY4" s="4"/>
      <c r="RZ4" s="4"/>
      <c r="SA4" s="4" t="s">
        <v>1298</v>
      </c>
      <c r="SB4" s="4"/>
      <c r="SC4" s="4" t="s">
        <v>1300</v>
      </c>
      <c r="SD4" s="4" t="s">
        <v>1302</v>
      </c>
      <c r="SE4" s="4" t="s">
        <v>1304</v>
      </c>
      <c r="SF4" s="4" t="s">
        <v>1306</v>
      </c>
      <c r="SG4" s="4" t="s">
        <v>1308</v>
      </c>
      <c r="SH4" s="4" t="s">
        <v>1310</v>
      </c>
      <c r="SI4" s="4" t="s">
        <v>1312</v>
      </c>
      <c r="SJ4" s="4" t="s">
        <v>1676</v>
      </c>
      <c r="SK4" s="4" t="s">
        <v>1678</v>
      </c>
      <c r="SL4" s="4" t="s">
        <v>1680</v>
      </c>
      <c r="SM4" s="4" t="s">
        <v>1682</v>
      </c>
      <c r="SN4" s="4" t="s">
        <v>1684</v>
      </c>
      <c r="SO4" s="4" t="s">
        <v>1686</v>
      </c>
      <c r="SP4" s="4" t="s">
        <v>1688</v>
      </c>
      <c r="SQ4" s="4" t="s">
        <v>1690</v>
      </c>
      <c r="SR4" s="4" t="s">
        <v>1692</v>
      </c>
      <c r="SS4" s="4" t="s">
        <v>1694</v>
      </c>
      <c r="ST4" s="4" t="s">
        <v>1696</v>
      </c>
      <c r="SU4" s="4" t="s">
        <v>1698</v>
      </c>
      <c r="SV4" s="4" t="s">
        <v>1700</v>
      </c>
      <c r="SW4" s="4" t="s">
        <v>1702</v>
      </c>
      <c r="SX4" s="4" t="s">
        <v>1704</v>
      </c>
      <c r="SY4" s="4" t="s">
        <v>1706</v>
      </c>
      <c r="SZ4" s="4" t="s">
        <v>1708</v>
      </c>
      <c r="TA4" s="4" t="s">
        <v>1710</v>
      </c>
      <c r="TB4" s="4" t="s">
        <v>1712</v>
      </c>
      <c r="TC4" s="4" t="s">
        <v>1714</v>
      </c>
      <c r="TD4" s="4" t="s">
        <v>1716</v>
      </c>
      <c r="TE4" s="4" t="s">
        <v>1718</v>
      </c>
      <c r="TF4" s="4" t="s">
        <v>1720</v>
      </c>
      <c r="TG4" s="4" t="s">
        <v>1722</v>
      </c>
      <c r="TH4" s="4" t="s">
        <v>1724</v>
      </c>
      <c r="TI4" s="4" t="s">
        <v>1726</v>
      </c>
      <c r="TJ4" s="4" t="s">
        <v>1728</v>
      </c>
      <c r="TK4" s="4" t="s">
        <v>1730</v>
      </c>
      <c r="TL4" s="4" t="s">
        <v>1732</v>
      </c>
      <c r="TM4" s="4" t="s">
        <v>1734</v>
      </c>
      <c r="TN4" s="4" t="s">
        <v>1736</v>
      </c>
      <c r="TO4" s="4" t="s">
        <v>1738</v>
      </c>
      <c r="TP4" s="4" t="s">
        <v>1740</v>
      </c>
      <c r="TQ4" s="4" t="s">
        <v>1742</v>
      </c>
      <c r="TR4" s="4" t="s">
        <v>1744</v>
      </c>
      <c r="TS4" s="4" t="s">
        <v>1746</v>
      </c>
      <c r="TT4" s="4" t="s">
        <v>1748</v>
      </c>
      <c r="TU4" s="4" t="s">
        <v>1750</v>
      </c>
      <c r="TV4" s="4" t="s">
        <v>1752</v>
      </c>
      <c r="TW4" s="4" t="s">
        <v>1754</v>
      </c>
      <c r="TX4" s="4" t="s">
        <v>1756</v>
      </c>
      <c r="TY4" s="4" t="s">
        <v>1758</v>
      </c>
      <c r="TZ4" s="4" t="s">
        <v>1760</v>
      </c>
      <c r="UA4" s="4" t="s">
        <v>1762</v>
      </c>
      <c r="UB4" s="4" t="s">
        <v>1764</v>
      </c>
      <c r="UC4" s="4" t="s">
        <v>1766</v>
      </c>
      <c r="UD4" s="4" t="s">
        <v>1768</v>
      </c>
      <c r="UE4" s="4" t="s">
        <v>1770</v>
      </c>
      <c r="UF4" s="4" t="s">
        <v>1772</v>
      </c>
      <c r="UG4" s="4" t="s">
        <v>1774</v>
      </c>
      <c r="UH4" s="4" t="s">
        <v>1776</v>
      </c>
      <c r="UI4" s="4" t="s">
        <v>1778</v>
      </c>
      <c r="UJ4" s="4" t="s">
        <v>1780</v>
      </c>
      <c r="UK4" s="4"/>
      <c r="UL4" s="4" t="s">
        <v>1782</v>
      </c>
      <c r="UM4" s="4" t="s">
        <v>1784</v>
      </c>
      <c r="UN4" s="4" t="s">
        <v>1786</v>
      </c>
      <c r="UO4" s="4" t="s">
        <v>1788</v>
      </c>
      <c r="UP4" s="4" t="s">
        <v>1790</v>
      </c>
      <c r="UQ4" s="4" t="s">
        <v>1792</v>
      </c>
      <c r="UR4" s="4" t="s">
        <v>1794</v>
      </c>
      <c r="US4" s="4" t="s">
        <v>1796</v>
      </c>
      <c r="UT4" s="4" t="s">
        <v>1798</v>
      </c>
      <c r="UU4" s="4" t="s">
        <v>1800</v>
      </c>
      <c r="UV4" s="4" t="s">
        <v>1802</v>
      </c>
      <c r="UW4" s="4" t="s">
        <v>1804</v>
      </c>
      <c r="UX4" s="4" t="s">
        <v>1806</v>
      </c>
      <c r="UY4" s="4" t="s">
        <v>1808</v>
      </c>
      <c r="UZ4" s="4" t="s">
        <v>1810</v>
      </c>
      <c r="VA4" s="4" t="s">
        <v>1812</v>
      </c>
      <c r="VB4" s="4" t="s">
        <v>1814</v>
      </c>
      <c r="VC4" s="4" t="s">
        <v>1816</v>
      </c>
      <c r="VD4" s="4"/>
      <c r="VE4" s="4" t="s">
        <v>1818</v>
      </c>
      <c r="VF4" s="4"/>
      <c r="VG4" s="4"/>
      <c r="VH4" s="4"/>
      <c r="VI4" s="4"/>
      <c r="VJ4" s="4"/>
      <c r="VK4" s="4"/>
      <c r="VL4" s="4"/>
      <c r="VM4" s="4"/>
      <c r="VN4" s="4" t="s">
        <v>1820</v>
      </c>
      <c r="VO4" s="4"/>
      <c r="VP4" s="4"/>
      <c r="VQ4" s="4"/>
      <c r="VR4" s="4"/>
      <c r="VS4" s="4"/>
      <c r="VT4" s="4"/>
      <c r="VU4" s="4"/>
      <c r="VV4" s="4"/>
      <c r="VW4" s="4"/>
      <c r="VX4" s="4"/>
      <c r="VY4" s="4"/>
      <c r="VZ4" s="4"/>
      <c r="WA4" s="4" t="s">
        <v>1822</v>
      </c>
      <c r="WB4" s="4" t="s">
        <v>1824</v>
      </c>
      <c r="WC4" s="4" t="s">
        <v>1826</v>
      </c>
      <c r="WD4" s="4"/>
      <c r="WE4" s="4" t="s">
        <v>1828</v>
      </c>
      <c r="WF4" s="4" t="s">
        <v>1830</v>
      </c>
      <c r="WG4" s="4" t="s">
        <v>1832</v>
      </c>
      <c r="WH4" s="4" t="s">
        <v>1834</v>
      </c>
      <c r="WI4" s="4" t="s">
        <v>1836</v>
      </c>
      <c r="WJ4" s="4" t="s">
        <v>1838</v>
      </c>
      <c r="WK4" s="4" t="s">
        <v>1840</v>
      </c>
      <c r="WL4" s="4" t="s">
        <v>1842</v>
      </c>
      <c r="WM4" s="4" t="s">
        <v>1844</v>
      </c>
      <c r="WN4" s="4" t="s">
        <v>1846</v>
      </c>
      <c r="WO4" s="4" t="s">
        <v>1848</v>
      </c>
      <c r="WP4" s="4" t="s">
        <v>1850</v>
      </c>
      <c r="WQ4" s="4" t="s">
        <v>1852</v>
      </c>
      <c r="WR4" s="4" t="s">
        <v>1854</v>
      </c>
      <c r="WS4" s="4" t="s">
        <v>1856</v>
      </c>
      <c r="WT4" s="4" t="s">
        <v>1858</v>
      </c>
      <c r="WU4" s="4" t="s">
        <v>1860</v>
      </c>
      <c r="WV4" s="4" t="s">
        <v>1862</v>
      </c>
      <c r="WW4" s="4" t="s">
        <v>1864</v>
      </c>
      <c r="WX4" s="4" t="s">
        <v>1866</v>
      </c>
      <c r="WY4" s="4" t="s">
        <v>1868</v>
      </c>
      <c r="WZ4" s="4" t="s">
        <v>1870</v>
      </c>
      <c r="XA4" s="4" t="s">
        <v>1872</v>
      </c>
      <c r="XB4" s="4" t="s">
        <v>1874</v>
      </c>
      <c r="XC4" s="4" t="s">
        <v>1876</v>
      </c>
      <c r="XD4" s="4" t="s">
        <v>1878</v>
      </c>
      <c r="XE4" s="4" t="s">
        <v>1880</v>
      </c>
      <c r="XF4" s="4" t="s">
        <v>1882</v>
      </c>
      <c r="XG4" s="4" t="s">
        <v>1884</v>
      </c>
      <c r="XH4" s="4" t="s">
        <v>1886</v>
      </c>
      <c r="XI4" s="4" t="s">
        <v>1888</v>
      </c>
      <c r="XJ4" s="4" t="s">
        <v>1890</v>
      </c>
      <c r="XK4" s="4"/>
      <c r="XL4" s="4"/>
      <c r="XM4" s="4"/>
      <c r="XN4" s="4"/>
      <c r="XO4" s="4"/>
      <c r="XP4" s="4"/>
      <c r="XQ4" s="4"/>
      <c r="XR4" s="4"/>
      <c r="XS4" s="4" t="s">
        <v>1892</v>
      </c>
      <c r="XT4" s="4"/>
      <c r="XU4" s="4"/>
      <c r="XV4" s="4"/>
      <c r="XW4" s="4"/>
      <c r="XX4" s="4"/>
      <c r="XY4" s="4"/>
      <c r="XZ4" s="4" t="s">
        <v>1894</v>
      </c>
      <c r="YA4" s="4"/>
      <c r="YB4" s="4"/>
      <c r="YC4" s="4"/>
      <c r="YD4" s="4"/>
      <c r="YE4" s="4"/>
      <c r="YF4" s="4" t="s">
        <v>1896</v>
      </c>
      <c r="YG4" s="4"/>
      <c r="YH4" s="4"/>
      <c r="YI4" s="4"/>
      <c r="YJ4" s="4"/>
      <c r="YK4" s="4"/>
      <c r="YL4" s="4"/>
      <c r="YM4" s="4"/>
      <c r="YN4" s="4"/>
      <c r="YO4" s="4" t="s">
        <v>1898</v>
      </c>
      <c r="YP4" s="4"/>
      <c r="YQ4" s="4"/>
      <c r="YR4" s="4"/>
      <c r="YS4" s="4"/>
      <c r="YT4" s="4"/>
      <c r="YU4" s="4" t="s">
        <v>1900</v>
      </c>
      <c r="YV4" s="4"/>
      <c r="YW4" s="4"/>
      <c r="YX4" s="4"/>
      <c r="YY4" s="4"/>
      <c r="YZ4" s="4"/>
      <c r="ZA4" s="4"/>
      <c r="ZB4" s="4" t="s">
        <v>1902</v>
      </c>
      <c r="ZC4" s="4"/>
      <c r="ZD4" s="4"/>
      <c r="ZE4" s="4"/>
      <c r="ZF4" s="4"/>
      <c r="ZG4" s="4"/>
      <c r="ZH4" s="4"/>
      <c r="ZI4" s="4"/>
      <c r="ZJ4" s="4"/>
      <c r="ZK4" s="4"/>
      <c r="ZL4" s="4" t="s">
        <v>1904</v>
      </c>
      <c r="ZM4" s="4"/>
      <c r="ZN4" s="4"/>
      <c r="ZO4" s="4"/>
      <c r="ZP4" s="4"/>
      <c r="ZQ4" s="4"/>
      <c r="ZR4" s="4"/>
      <c r="ZS4" s="4"/>
      <c r="ZT4" s="4"/>
      <c r="ZU4" s="4" t="s">
        <v>1906</v>
      </c>
      <c r="ZV4" s="4"/>
      <c r="ZW4" s="4"/>
      <c r="ZX4" s="4"/>
      <c r="ZY4" s="4"/>
      <c r="ZZ4" s="4"/>
      <c r="AAA4" s="4"/>
      <c r="AAB4" s="4"/>
      <c r="AAC4" s="4"/>
      <c r="AAD4" s="4" t="s">
        <v>1908</v>
      </c>
      <c r="AAE4" s="4"/>
      <c r="AAF4" s="4"/>
      <c r="AAG4" s="4"/>
      <c r="AAH4" s="4"/>
      <c r="AAI4" s="4"/>
      <c r="AAJ4" s="4"/>
      <c r="AAK4" s="4"/>
      <c r="AAL4" s="4"/>
      <c r="AAM4" s="4" t="s">
        <v>1910</v>
      </c>
      <c r="AAN4" s="4"/>
      <c r="AAO4" s="4"/>
      <c r="AAP4" s="4"/>
      <c r="AAQ4" s="4"/>
      <c r="AAR4" s="4"/>
      <c r="AAS4" s="4" t="s">
        <v>1912</v>
      </c>
      <c r="AAT4" s="4"/>
      <c r="AAU4" s="4"/>
      <c r="AAV4" s="4"/>
      <c r="AAW4" s="4"/>
      <c r="AAX4" s="4"/>
      <c r="AAY4" s="4" t="s">
        <v>1910</v>
      </c>
      <c r="AAZ4" s="4"/>
      <c r="ABA4" s="4"/>
      <c r="ABB4" s="4"/>
      <c r="ABC4" s="4"/>
      <c r="ABD4" s="4"/>
      <c r="ABE4" s="4" t="s">
        <v>1914</v>
      </c>
      <c r="ABF4" s="4"/>
      <c r="ABG4" s="4"/>
      <c r="ABH4" s="4"/>
      <c r="ABI4" s="4" t="s">
        <v>1916</v>
      </c>
      <c r="ABJ4" s="4" t="s">
        <v>1918</v>
      </c>
      <c r="ABK4" s="4" t="s">
        <v>1920</v>
      </c>
      <c r="ABL4" s="4" t="s">
        <v>1922</v>
      </c>
      <c r="ABM4" s="4" t="s">
        <v>1924</v>
      </c>
      <c r="ABN4" s="4" t="s">
        <v>1926</v>
      </c>
      <c r="ABO4" s="4" t="s">
        <v>1928</v>
      </c>
      <c r="ABP4" s="4" t="s">
        <v>1930</v>
      </c>
      <c r="ABQ4" s="4" t="s">
        <v>1932</v>
      </c>
      <c r="ABR4" s="4" t="s">
        <v>1934</v>
      </c>
      <c r="ABS4" s="4" t="s">
        <v>1936</v>
      </c>
      <c r="ABT4" s="4" t="s">
        <v>1938</v>
      </c>
      <c r="ABU4" s="4" t="s">
        <v>1940</v>
      </c>
      <c r="ABV4" s="4" t="s">
        <v>1942</v>
      </c>
      <c r="ABW4" s="4" t="s">
        <v>1944</v>
      </c>
      <c r="ABX4" s="4" t="s">
        <v>1946</v>
      </c>
      <c r="ABY4" s="4" t="s">
        <v>1948</v>
      </c>
      <c r="ABZ4" s="4" t="s">
        <v>1950</v>
      </c>
      <c r="ACA4" s="4" t="s">
        <v>1952</v>
      </c>
      <c r="ACB4" s="4" t="s">
        <v>1954</v>
      </c>
      <c r="ACC4" s="4" t="s">
        <v>1956</v>
      </c>
      <c r="ACD4" s="4" t="s">
        <v>1958</v>
      </c>
      <c r="ACE4" s="4"/>
      <c r="ACF4" s="4" t="s">
        <v>1960</v>
      </c>
      <c r="ACG4" s="4"/>
      <c r="ACH4" s="4" t="s">
        <v>1962</v>
      </c>
      <c r="ACI4" s="4"/>
      <c r="ACJ4" s="4"/>
      <c r="ACK4" s="4"/>
      <c r="ACL4" s="4"/>
      <c r="ACM4" s="4"/>
      <c r="ACN4" s="4"/>
      <c r="ACO4" s="4"/>
      <c r="ACP4" s="4"/>
      <c r="ACQ4" s="4" t="s">
        <v>1964</v>
      </c>
      <c r="ACR4" s="4"/>
      <c r="ACS4" s="4"/>
      <c r="ACT4" s="4"/>
      <c r="ACU4" s="4"/>
      <c r="ACV4" s="4"/>
      <c r="ACW4" s="4"/>
      <c r="ACX4" s="4"/>
      <c r="ACY4" s="4"/>
      <c r="ACZ4" s="4" t="s">
        <v>1966</v>
      </c>
      <c r="ADA4" s="4"/>
      <c r="ADB4" s="4"/>
      <c r="ADC4" s="4"/>
      <c r="ADD4" s="4" t="s">
        <v>1968</v>
      </c>
      <c r="ADE4" s="4" t="s">
        <v>1970</v>
      </c>
      <c r="ADF4" s="4" t="s">
        <v>1972</v>
      </c>
      <c r="ADG4" s="4" t="s">
        <v>1974</v>
      </c>
      <c r="ADH4" s="4"/>
      <c r="ADI4" s="4" t="s">
        <v>1910</v>
      </c>
      <c r="ADJ4" s="4"/>
      <c r="ADK4" s="4"/>
      <c r="ADL4" s="4"/>
      <c r="ADM4" s="4"/>
      <c r="ADN4" s="4"/>
      <c r="ADO4" s="4" t="s">
        <v>1976</v>
      </c>
      <c r="ADP4" s="4"/>
      <c r="ADQ4" s="4"/>
      <c r="ADR4" s="4"/>
      <c r="ADS4" s="4" t="s">
        <v>1977</v>
      </c>
      <c r="ADT4" s="4" t="s">
        <v>1978</v>
      </c>
      <c r="ADU4" s="4" t="s">
        <v>1979</v>
      </c>
      <c r="ADV4" s="4" t="s">
        <v>1980</v>
      </c>
      <c r="ADW4" s="4" t="s">
        <v>1981</v>
      </c>
      <c r="ADX4" s="4" t="s">
        <v>1982</v>
      </c>
      <c r="ADY4" s="4" t="s">
        <v>1983</v>
      </c>
      <c r="ADZ4" s="4" t="s">
        <v>1984</v>
      </c>
      <c r="AEA4" s="4" t="s">
        <v>1985</v>
      </c>
      <c r="AEB4" s="4" t="s">
        <v>1986</v>
      </c>
      <c r="AEC4" s="4" t="s">
        <v>1987</v>
      </c>
      <c r="AED4" s="4" t="s">
        <v>1988</v>
      </c>
      <c r="AEE4" s="4" t="s">
        <v>1989</v>
      </c>
      <c r="AEF4" s="4" t="s">
        <v>1990</v>
      </c>
      <c r="AEG4" s="4" t="s">
        <v>1991</v>
      </c>
      <c r="AEH4" s="4" t="s">
        <v>1992</v>
      </c>
      <c r="AEI4" s="4" t="s">
        <v>1993</v>
      </c>
      <c r="AEJ4" s="4" t="s">
        <v>1994</v>
      </c>
      <c r="AEK4" s="4" t="s">
        <v>1995</v>
      </c>
      <c r="AEL4" s="4" t="s">
        <v>1996</v>
      </c>
      <c r="AEM4" s="4" t="s">
        <v>1997</v>
      </c>
      <c r="AEN4" s="4" t="s">
        <v>1998</v>
      </c>
      <c r="AEO4" s="4"/>
      <c r="AEP4" s="4" t="s">
        <v>1999</v>
      </c>
      <c r="AEQ4" s="4"/>
      <c r="AER4" s="4" t="s">
        <v>2000</v>
      </c>
      <c r="AES4" s="4"/>
      <c r="AET4" s="4"/>
      <c r="AEU4" s="4"/>
      <c r="AEV4" s="4"/>
      <c r="AEW4" s="4"/>
      <c r="AEX4" s="4"/>
      <c r="AEY4" s="4"/>
      <c r="AEZ4" s="4"/>
      <c r="AFA4" s="4" t="s">
        <v>2002</v>
      </c>
      <c r="AFB4" s="4"/>
      <c r="AFC4" s="4"/>
      <c r="AFD4" s="4"/>
      <c r="AFE4" s="4"/>
      <c r="AFF4" s="4"/>
      <c r="AFG4" s="4" t="s">
        <v>2004</v>
      </c>
      <c r="AFH4" s="4"/>
      <c r="AFI4" s="4"/>
      <c r="AFJ4" s="4"/>
      <c r="AFK4" s="4"/>
      <c r="AFL4" s="4"/>
      <c r="AFM4" s="4"/>
      <c r="AFN4" s="4" t="s">
        <v>1968</v>
      </c>
      <c r="AFO4" s="4" t="s">
        <v>2006</v>
      </c>
      <c r="AFP4" s="4" t="s">
        <v>2007</v>
      </c>
      <c r="AFQ4" s="4" t="s">
        <v>2009</v>
      </c>
      <c r="AFR4" s="4"/>
      <c r="AFS4" s="4" t="s">
        <v>980</v>
      </c>
      <c r="AFT4" s="4"/>
      <c r="AFU4" s="4"/>
      <c r="AFV4" s="4"/>
      <c r="AFW4" s="4"/>
      <c r="AFX4" s="4"/>
      <c r="AFY4" s="4"/>
      <c r="AFZ4" s="4" t="s">
        <v>2011</v>
      </c>
      <c r="AGA4" s="4"/>
      <c r="AGB4" s="4"/>
      <c r="AGC4" s="4"/>
      <c r="AGD4" s="4" t="s">
        <v>2013</v>
      </c>
      <c r="AGE4" s="4"/>
      <c r="AGF4" s="4"/>
      <c r="AGG4" s="4" t="s">
        <v>2015</v>
      </c>
      <c r="AGH4" s="4"/>
      <c r="AGI4" s="4"/>
      <c r="AGJ4" s="4"/>
      <c r="AGK4" s="4"/>
      <c r="AGL4" s="4"/>
      <c r="AGM4" s="4"/>
      <c r="AGN4" s="4"/>
      <c r="AGO4" s="4"/>
      <c r="AGP4" s="4" t="s">
        <v>2017</v>
      </c>
      <c r="AGQ4" s="4"/>
      <c r="AGR4" s="4"/>
      <c r="AGS4" s="4"/>
      <c r="AGT4" s="4"/>
      <c r="AGU4" s="4"/>
      <c r="AGV4" s="4"/>
      <c r="AGW4" s="4"/>
      <c r="AGX4" s="4"/>
      <c r="AGY4" s="4" t="s">
        <v>2019</v>
      </c>
      <c r="AGZ4" s="4"/>
      <c r="AHA4" s="4"/>
      <c r="AHB4" s="4"/>
      <c r="AHC4" s="4"/>
      <c r="AHD4" s="4"/>
      <c r="AHE4" s="4"/>
      <c r="AHF4" s="4" t="s">
        <v>2021</v>
      </c>
      <c r="AHG4" s="4"/>
      <c r="AHH4" s="4"/>
      <c r="AHI4" s="4"/>
      <c r="AHJ4" s="4"/>
      <c r="AHK4" s="4"/>
      <c r="AHL4" s="4" t="s">
        <v>2023</v>
      </c>
      <c r="AHM4" s="4"/>
      <c r="AHN4" s="4"/>
      <c r="AHO4" s="4"/>
      <c r="AHP4" s="4"/>
      <c r="AHQ4" s="4"/>
      <c r="AHR4" s="4"/>
      <c r="AHS4" s="4" t="s">
        <v>2025</v>
      </c>
      <c r="AHT4" s="4"/>
      <c r="AHU4" s="4"/>
      <c r="AHV4" s="4"/>
      <c r="AHW4" s="4"/>
      <c r="AHX4" s="4"/>
      <c r="AHY4" s="4" t="s">
        <v>2027</v>
      </c>
      <c r="AHZ4" s="4"/>
      <c r="AIA4" s="4"/>
      <c r="AIB4" s="4"/>
      <c r="AIC4" s="4"/>
      <c r="AID4" s="4"/>
      <c r="AIE4" s="4"/>
      <c r="AIF4" s="4"/>
      <c r="AIG4" s="4"/>
      <c r="AIH4" s="4" t="s">
        <v>2029</v>
      </c>
      <c r="AII4" s="4"/>
      <c r="AIJ4" s="4"/>
      <c r="AIK4" s="4"/>
      <c r="AIL4" s="4"/>
      <c r="AIM4" s="4"/>
      <c r="AIN4" s="4"/>
      <c r="AIO4" s="4"/>
      <c r="AIP4" s="4"/>
      <c r="AIQ4" s="4" t="s">
        <v>2031</v>
      </c>
      <c r="AIR4" s="4" t="s">
        <v>2033</v>
      </c>
      <c r="AIS4" s="4" t="s">
        <v>2035</v>
      </c>
      <c r="AIT4" s="4" t="s">
        <v>2037</v>
      </c>
      <c r="AIU4" s="4" t="s">
        <v>2039</v>
      </c>
      <c r="AIV4" s="4"/>
      <c r="AIW4" s="4"/>
      <c r="AIX4" s="4"/>
      <c r="AIY4" s="4"/>
      <c r="AIZ4" s="4"/>
      <c r="AJA4" s="4"/>
      <c r="AJB4" s="4"/>
      <c r="AJC4" s="4"/>
      <c r="AJD4" s="4"/>
      <c r="AJE4" s="4"/>
      <c r="AJF4" s="4"/>
      <c r="AJG4" s="4" t="s">
        <v>2041</v>
      </c>
      <c r="AJH4" s="4"/>
      <c r="AJI4" s="4"/>
      <c r="AJJ4" s="4"/>
      <c r="AJK4" s="4"/>
      <c r="AJL4" s="4"/>
      <c r="AJM4" s="4"/>
      <c r="AJN4" s="4"/>
      <c r="AJO4" s="4" t="s">
        <v>2043</v>
      </c>
      <c r="AJP4" s="4"/>
      <c r="AJQ4" s="4"/>
      <c r="AJR4" s="4"/>
      <c r="AJS4" s="4" t="s">
        <v>2045</v>
      </c>
      <c r="AJT4" s="4"/>
      <c r="AJU4" s="4"/>
      <c r="AJV4" s="4"/>
      <c r="AJW4" s="4"/>
      <c r="AJX4" s="4"/>
      <c r="AJY4" s="4" t="s">
        <v>2047</v>
      </c>
      <c r="AJZ4" s="4"/>
      <c r="AKA4" s="4"/>
      <c r="AKB4" s="4"/>
      <c r="AKC4" s="4"/>
      <c r="AKD4" s="4" t="s">
        <v>2049</v>
      </c>
      <c r="AKE4" s="4"/>
      <c r="AKF4" s="4"/>
      <c r="AKG4" s="4"/>
      <c r="AKH4" s="4"/>
      <c r="AKI4" s="4"/>
      <c r="AKJ4" s="4" t="s">
        <v>980</v>
      </c>
      <c r="AKK4" s="4"/>
      <c r="AKL4" s="4"/>
      <c r="AKM4" s="4"/>
      <c r="AKN4" s="4"/>
      <c r="AKO4" s="4"/>
      <c r="AKP4" s="4"/>
      <c r="AKQ4" s="4" t="s">
        <v>2051</v>
      </c>
      <c r="AKR4" s="4"/>
      <c r="AKS4" s="4"/>
      <c r="AKT4" s="4"/>
      <c r="AKU4" s="4"/>
      <c r="AKV4" s="4"/>
      <c r="AKW4" s="4"/>
      <c r="AKX4" s="4"/>
      <c r="AKY4" s="4" t="s">
        <v>980</v>
      </c>
      <c r="AKZ4" s="4"/>
      <c r="ALA4" s="4"/>
      <c r="ALB4" s="4"/>
      <c r="ALC4" s="4"/>
      <c r="ALD4" s="4"/>
      <c r="ALE4" s="4"/>
      <c r="ALF4" s="4" t="s">
        <v>2053</v>
      </c>
      <c r="ALG4" s="4"/>
      <c r="ALH4" s="4"/>
      <c r="ALI4" s="4"/>
      <c r="ALJ4" s="4"/>
      <c r="ALK4" s="4"/>
      <c r="ALL4" s="4"/>
      <c r="ALM4" s="4"/>
      <c r="ALN4" s="4" t="s">
        <v>980</v>
      </c>
      <c r="ALO4" s="4"/>
      <c r="ALP4" s="4"/>
      <c r="ALQ4" s="4"/>
      <c r="ALR4" s="4"/>
      <c r="ALS4" s="4"/>
      <c r="ALT4" s="4"/>
      <c r="ALU4" s="4" t="s">
        <v>2055</v>
      </c>
      <c r="ALV4" s="4"/>
      <c r="ALW4" s="4"/>
      <c r="ALX4" s="4"/>
      <c r="ALY4" s="4"/>
      <c r="ALZ4" s="4"/>
      <c r="AMA4" s="4"/>
      <c r="AMB4" s="4"/>
      <c r="AMC4" s="4"/>
      <c r="AMD4" s="4" t="s">
        <v>980</v>
      </c>
      <c r="AME4" s="4"/>
      <c r="AMF4" s="4"/>
      <c r="AMG4" s="4"/>
      <c r="AMH4" s="4"/>
      <c r="AMI4" s="4"/>
      <c r="AMJ4" s="4"/>
      <c r="AMK4" s="4" t="s">
        <v>2057</v>
      </c>
      <c r="AML4" s="4"/>
      <c r="AMM4" s="4"/>
      <c r="AMN4" s="4"/>
      <c r="AMO4" s="4"/>
      <c r="AMP4" s="4"/>
      <c r="AMQ4" s="4"/>
      <c r="AMR4" s="4"/>
      <c r="AMS4" s="4" t="s">
        <v>2059</v>
      </c>
      <c r="AMT4" s="4"/>
      <c r="AMU4" s="4"/>
      <c r="AMV4" s="4"/>
      <c r="AMW4" s="4"/>
      <c r="AMX4" s="4" t="s">
        <v>2061</v>
      </c>
      <c r="AMY4" s="4"/>
      <c r="AMZ4" s="4"/>
      <c r="ANA4" s="4"/>
      <c r="ANB4" s="4"/>
      <c r="ANC4" s="4"/>
      <c r="AND4" s="4"/>
      <c r="ANE4" s="4"/>
      <c r="ANF4" s="4"/>
      <c r="ANG4" s="4"/>
      <c r="ANH4" s="4"/>
      <c r="ANI4" s="4"/>
      <c r="ANJ4" s="4"/>
      <c r="ANK4" s="4"/>
      <c r="ANL4" s="4"/>
      <c r="ANM4" s="4"/>
      <c r="ANN4" s="4"/>
      <c r="ANO4" s="4"/>
      <c r="ANP4" s="4"/>
      <c r="ANQ4" s="4"/>
      <c r="ANR4" s="4"/>
      <c r="ANS4" s="4"/>
      <c r="ANT4" s="4"/>
      <c r="ANU4" s="4"/>
      <c r="ANV4" s="4"/>
      <c r="ANW4" s="4"/>
      <c r="ANX4" s="4"/>
      <c r="ANY4" s="4"/>
      <c r="ANZ4" s="4"/>
      <c r="AOA4" s="4"/>
      <c r="AOB4" s="4"/>
      <c r="AOC4" s="4"/>
      <c r="AOD4" s="4"/>
      <c r="AOE4" s="4"/>
      <c r="AOF4" s="4"/>
      <c r="AOG4" s="4"/>
      <c r="AOH4" s="4"/>
      <c r="AOI4" s="4"/>
      <c r="AOJ4" s="4"/>
      <c r="AOK4" s="4"/>
      <c r="AOL4" s="4"/>
      <c r="AOM4" s="4"/>
      <c r="AON4" s="4"/>
      <c r="AOO4" s="4"/>
      <c r="AOP4" s="4"/>
      <c r="AOQ4" s="4"/>
      <c r="AOR4" s="4"/>
      <c r="AOS4" s="4"/>
      <c r="AOT4" s="4"/>
      <c r="AOU4" s="4"/>
      <c r="AOV4" s="4"/>
      <c r="AOW4" s="4"/>
      <c r="AOX4" s="4"/>
      <c r="AOY4" s="4"/>
      <c r="AOZ4" s="4"/>
      <c r="APA4" s="4"/>
      <c r="APB4" s="4"/>
      <c r="APC4" s="4"/>
      <c r="APD4" s="4"/>
      <c r="APE4" s="4"/>
      <c r="APF4" s="4"/>
      <c r="APG4" s="4"/>
      <c r="APH4" s="4"/>
      <c r="API4" s="4"/>
      <c r="APJ4" s="4"/>
      <c r="APK4" s="4"/>
      <c r="APL4" s="4"/>
      <c r="APM4" s="4"/>
      <c r="APN4" s="4"/>
      <c r="APO4" s="4"/>
      <c r="APP4" s="4"/>
      <c r="APQ4" s="4"/>
      <c r="APR4" s="4"/>
      <c r="APS4" s="4"/>
      <c r="APT4" s="4"/>
      <c r="APU4" s="4"/>
      <c r="APV4" s="4"/>
      <c r="APW4" s="4"/>
      <c r="APX4" s="4"/>
      <c r="APY4" s="4"/>
      <c r="APZ4" s="4"/>
      <c r="AQA4" s="4"/>
      <c r="AQB4" s="4"/>
    </row>
    <row r="5" spans="1:1120" ht="15" customHeight="1" x14ac:dyDescent="0.25">
      <c r="A5" s="35" t="s">
        <v>7</v>
      </c>
      <c r="B5" s="3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c r="ER5" s="4"/>
      <c r="ES5" s="4"/>
      <c r="ET5" s="4"/>
      <c r="EU5" s="4"/>
      <c r="EV5" s="4"/>
      <c r="EW5" s="4"/>
      <c r="EX5" s="4"/>
      <c r="EY5" s="4"/>
      <c r="EZ5" s="4"/>
      <c r="FA5" s="4"/>
      <c r="FB5" s="4"/>
      <c r="FC5" s="4"/>
      <c r="FD5" s="4"/>
      <c r="FE5" s="4"/>
      <c r="FF5" s="4"/>
      <c r="FG5" s="4"/>
      <c r="FH5" s="4"/>
      <c r="FI5" s="4"/>
      <c r="FJ5" s="4"/>
      <c r="FK5" s="4"/>
      <c r="FL5" s="4"/>
      <c r="FM5" s="4"/>
      <c r="FN5" s="4"/>
      <c r="FO5" s="4"/>
      <c r="FP5" s="4"/>
      <c r="FQ5" s="4"/>
      <c r="FR5" s="4"/>
      <c r="FS5" s="4"/>
      <c r="FT5" s="4"/>
      <c r="FU5" s="4"/>
      <c r="FV5" s="4"/>
      <c r="FW5" s="4"/>
      <c r="FX5" s="4"/>
      <c r="FY5" s="4"/>
      <c r="FZ5" s="4"/>
      <c r="GA5" s="4"/>
      <c r="GB5" s="4"/>
      <c r="GC5" s="4"/>
      <c r="GD5" s="4"/>
      <c r="GE5" s="4"/>
      <c r="GF5" s="4"/>
      <c r="GG5" s="4"/>
      <c r="GH5" s="4"/>
      <c r="GI5" s="4"/>
      <c r="GJ5" s="4"/>
      <c r="GK5" s="4"/>
      <c r="GL5" s="4"/>
      <c r="GM5" s="4"/>
      <c r="GN5" s="4"/>
      <c r="GO5" s="4"/>
      <c r="GP5" s="4"/>
      <c r="GQ5" s="4"/>
      <c r="GR5" s="4"/>
      <c r="GS5" s="4"/>
      <c r="GT5" s="4"/>
      <c r="GU5" s="4"/>
      <c r="GV5" s="4"/>
      <c r="GW5" s="4"/>
      <c r="GX5" s="4"/>
      <c r="GY5" s="4"/>
      <c r="GZ5" s="4"/>
      <c r="HA5" s="4"/>
      <c r="HB5" s="4"/>
      <c r="HC5" s="4"/>
      <c r="HD5" s="4"/>
      <c r="HE5" s="4"/>
      <c r="HF5" s="4"/>
      <c r="HG5" s="4"/>
      <c r="HH5" s="4"/>
      <c r="HI5" s="4"/>
      <c r="HJ5" s="4"/>
      <c r="HK5" s="4"/>
      <c r="HL5" s="4"/>
      <c r="HM5" s="4"/>
      <c r="HN5" s="4"/>
      <c r="HO5" s="4"/>
      <c r="HP5" s="4"/>
      <c r="HQ5" s="4"/>
      <c r="HR5" s="4"/>
      <c r="HS5" s="4"/>
      <c r="HT5" s="4"/>
      <c r="HU5" s="4"/>
      <c r="HV5" s="4"/>
      <c r="HW5" s="4"/>
      <c r="HX5" s="4"/>
      <c r="HY5" s="4"/>
      <c r="HZ5" s="4"/>
      <c r="IA5" s="4"/>
      <c r="IB5" s="4"/>
      <c r="IC5" s="4"/>
      <c r="ID5" s="4"/>
      <c r="IE5" s="4"/>
      <c r="IF5" s="4"/>
      <c r="IG5" s="4"/>
      <c r="IH5" s="4"/>
      <c r="II5" s="4"/>
      <c r="IJ5" s="4"/>
      <c r="IK5" s="4"/>
      <c r="IL5" s="4"/>
      <c r="IM5" s="4"/>
      <c r="IN5" s="4"/>
      <c r="IO5" s="4"/>
      <c r="IP5" s="4"/>
      <c r="IQ5" s="4"/>
      <c r="IR5" s="4"/>
      <c r="IS5" s="4"/>
      <c r="IT5" s="4"/>
      <c r="IU5" s="4"/>
      <c r="IV5" s="4"/>
      <c r="IW5" s="4"/>
      <c r="IX5" s="4"/>
      <c r="IY5" s="4"/>
      <c r="IZ5" s="4"/>
      <c r="JA5" s="4"/>
      <c r="JB5" s="4"/>
      <c r="JC5" s="4"/>
      <c r="JD5" s="4"/>
      <c r="JE5" s="4"/>
      <c r="JF5" s="4"/>
      <c r="JG5" s="4"/>
      <c r="JH5" s="4"/>
      <c r="JI5" s="4"/>
      <c r="JJ5" s="4"/>
      <c r="JK5" s="4"/>
      <c r="JL5" s="4"/>
      <c r="JM5" s="4"/>
      <c r="JN5" s="4"/>
      <c r="JO5" s="4"/>
      <c r="JP5" s="4"/>
      <c r="JQ5" s="4"/>
      <c r="JR5" s="4"/>
      <c r="JS5" s="4"/>
      <c r="JT5" s="4"/>
      <c r="JU5" s="4"/>
      <c r="JV5" s="4"/>
      <c r="JW5" s="4"/>
      <c r="JX5" s="4"/>
      <c r="JY5" s="4"/>
      <c r="JZ5" s="4"/>
      <c r="KA5" s="4"/>
      <c r="KB5" s="4"/>
      <c r="KC5" s="4"/>
      <c r="KD5" s="4"/>
      <c r="KE5" s="4"/>
      <c r="KF5" s="4"/>
      <c r="KG5" s="4"/>
      <c r="KH5" s="4"/>
      <c r="KI5" s="4"/>
      <c r="KJ5" s="4"/>
      <c r="KK5" s="4"/>
      <c r="KL5" s="4"/>
      <c r="KM5" s="4"/>
      <c r="KN5" s="4"/>
      <c r="KO5" s="4"/>
      <c r="KP5" s="4"/>
      <c r="KQ5" s="4"/>
      <c r="KR5" s="4"/>
      <c r="KS5" s="4"/>
      <c r="KT5" s="4"/>
      <c r="KU5" s="4"/>
      <c r="KV5" s="4"/>
      <c r="KW5" s="4"/>
      <c r="KX5" s="4"/>
      <c r="KY5" s="4"/>
      <c r="KZ5" s="4"/>
      <c r="LA5" s="4"/>
      <c r="LB5" s="4"/>
      <c r="LC5" s="4"/>
      <c r="LD5" s="4"/>
      <c r="LE5" s="4"/>
      <c r="LF5" s="4"/>
      <c r="LG5" s="4"/>
      <c r="LH5" s="4"/>
      <c r="LI5" s="4"/>
      <c r="LJ5" s="4"/>
      <c r="LK5" s="4"/>
      <c r="LL5" s="4"/>
      <c r="LM5" s="4"/>
      <c r="LN5" s="4"/>
      <c r="LO5" s="4"/>
      <c r="LP5" s="4"/>
      <c r="LQ5" s="4"/>
      <c r="LR5" s="4"/>
      <c r="LS5" s="4"/>
      <c r="LT5" s="4"/>
      <c r="LU5" s="4"/>
      <c r="LV5" s="4"/>
      <c r="LW5" s="4"/>
      <c r="LX5" s="4"/>
      <c r="LY5" s="4"/>
      <c r="LZ5" s="4"/>
      <c r="MA5" s="4"/>
      <c r="MB5" s="4"/>
      <c r="MC5" s="4"/>
      <c r="MD5" s="4"/>
      <c r="ME5" s="4"/>
      <c r="MF5" s="4"/>
      <c r="MG5" s="4"/>
      <c r="MH5" s="4"/>
      <c r="MI5" s="4"/>
      <c r="MJ5" s="4"/>
      <c r="MK5" s="4"/>
      <c r="ML5" s="4"/>
      <c r="MM5" s="4"/>
      <c r="MN5" s="4"/>
      <c r="MO5" s="4"/>
      <c r="MP5" s="4"/>
      <c r="MQ5" s="4"/>
      <c r="MR5" s="4"/>
      <c r="MS5" s="4"/>
      <c r="MT5" s="4"/>
      <c r="MU5" s="4"/>
      <c r="MV5" s="4"/>
      <c r="MW5" s="4"/>
      <c r="MX5" s="4"/>
      <c r="MY5" s="4"/>
      <c r="MZ5" s="4"/>
      <c r="NA5" s="4"/>
      <c r="NB5" s="4"/>
      <c r="NC5" s="4"/>
      <c r="ND5" s="4"/>
      <c r="NE5" s="4"/>
      <c r="NF5" s="4"/>
      <c r="NG5" s="4"/>
      <c r="NH5" s="4"/>
      <c r="NI5" s="4"/>
      <c r="NJ5" s="4"/>
      <c r="NK5" s="4"/>
      <c r="NL5" s="4"/>
      <c r="NM5" s="4"/>
      <c r="NN5" s="4"/>
      <c r="NO5" s="4"/>
      <c r="NP5" s="4"/>
      <c r="NQ5" s="4"/>
      <c r="NR5" s="4"/>
      <c r="NS5" s="4"/>
      <c r="NT5" s="4"/>
      <c r="NU5" s="4"/>
      <c r="NV5" s="4"/>
      <c r="NW5" s="4"/>
      <c r="NX5" s="4"/>
      <c r="NY5" s="4"/>
      <c r="NZ5" s="4"/>
      <c r="OA5" s="4"/>
      <c r="OB5" s="4"/>
      <c r="OC5" s="4"/>
      <c r="OD5" s="4"/>
      <c r="OE5" s="4"/>
      <c r="OF5" s="4"/>
      <c r="OG5" s="4"/>
      <c r="OH5" s="4"/>
      <c r="OI5" s="4"/>
      <c r="OJ5" s="4"/>
      <c r="OK5" s="4"/>
      <c r="OL5" s="4"/>
      <c r="OM5" s="4"/>
      <c r="ON5" s="4"/>
      <c r="OO5" s="4"/>
      <c r="OP5" s="4"/>
      <c r="OQ5" s="4"/>
      <c r="OR5" s="4"/>
      <c r="OS5" s="4"/>
      <c r="OT5" s="4"/>
      <c r="OU5" s="4"/>
      <c r="OV5" s="4"/>
      <c r="OW5" s="4"/>
      <c r="OX5" s="4"/>
      <c r="OY5" s="4"/>
      <c r="OZ5" s="4"/>
      <c r="PA5" s="4"/>
      <c r="PB5" s="4"/>
      <c r="PC5" s="4"/>
      <c r="PD5" s="4"/>
      <c r="PE5" s="4"/>
      <c r="PF5" s="4"/>
      <c r="PG5" s="4"/>
      <c r="PH5" s="4"/>
      <c r="PI5" s="4"/>
      <c r="PJ5" s="4"/>
      <c r="PK5" s="4"/>
      <c r="PL5" s="4"/>
      <c r="PM5" s="4"/>
      <c r="PN5" s="4"/>
      <c r="PO5" s="4"/>
      <c r="PP5" s="4"/>
      <c r="PQ5" s="4"/>
      <c r="PR5" s="4"/>
      <c r="PS5" s="4"/>
      <c r="PT5" s="4"/>
      <c r="PU5" s="4"/>
      <c r="PV5" s="4"/>
      <c r="PW5" s="4"/>
      <c r="PX5" s="4"/>
      <c r="PY5" s="4"/>
      <c r="PZ5" s="4"/>
      <c r="QA5" s="4"/>
      <c r="QB5" s="4"/>
      <c r="QC5" s="4"/>
      <c r="QD5" s="4"/>
      <c r="QE5" s="4"/>
      <c r="QF5" s="4"/>
      <c r="QG5" s="4"/>
      <c r="QH5" s="4"/>
      <c r="QI5" s="4"/>
      <c r="QJ5" s="4"/>
      <c r="QK5" s="4"/>
      <c r="QL5" s="4"/>
      <c r="QM5" s="4"/>
      <c r="QN5" s="4"/>
      <c r="QO5" s="4"/>
      <c r="QP5" s="4"/>
      <c r="QQ5" s="4"/>
      <c r="QR5" s="4"/>
      <c r="QS5" s="4"/>
      <c r="QT5" s="4"/>
      <c r="QU5" s="4"/>
      <c r="QV5" s="4"/>
      <c r="QW5" s="4"/>
      <c r="QX5" s="4"/>
      <c r="QY5" s="4"/>
      <c r="QZ5" s="4"/>
      <c r="RA5" s="4"/>
      <c r="RB5" s="4"/>
      <c r="RC5" s="4"/>
      <c r="RD5" s="4"/>
      <c r="RE5" s="4"/>
      <c r="RF5" s="4"/>
      <c r="RG5" s="4"/>
      <c r="RH5" s="4"/>
      <c r="RI5" s="4"/>
      <c r="RJ5" s="4"/>
      <c r="RK5" s="4"/>
      <c r="RL5" s="4"/>
      <c r="RM5" s="4"/>
      <c r="RN5" s="4"/>
      <c r="RO5" s="4"/>
      <c r="RP5" s="4"/>
      <c r="RQ5" s="4"/>
      <c r="RR5" s="4"/>
      <c r="RS5" s="4"/>
      <c r="RT5" s="4"/>
      <c r="RU5" s="4"/>
      <c r="RV5" s="4"/>
      <c r="RW5" s="4"/>
      <c r="RX5" s="4"/>
      <c r="RY5" s="4"/>
      <c r="RZ5" s="4"/>
      <c r="SA5" s="4"/>
      <c r="SB5" s="4"/>
      <c r="SC5" s="4"/>
      <c r="SD5" s="4"/>
      <c r="SE5" s="4"/>
      <c r="SF5" s="4"/>
      <c r="SG5" s="4"/>
      <c r="SH5" s="4"/>
      <c r="SI5" s="4"/>
      <c r="SJ5" s="4"/>
      <c r="SK5" s="4"/>
      <c r="SL5" s="4"/>
      <c r="SM5" s="4"/>
      <c r="SN5" s="4"/>
      <c r="SO5" s="4"/>
      <c r="SP5" s="4"/>
      <c r="SQ5" s="4"/>
      <c r="SR5" s="4"/>
      <c r="SS5" s="4"/>
      <c r="ST5" s="4"/>
      <c r="SU5" s="4"/>
      <c r="SV5" s="4"/>
      <c r="SW5" s="4"/>
      <c r="SX5" s="4"/>
      <c r="SY5" s="4"/>
      <c r="SZ5" s="4"/>
      <c r="TA5" s="4"/>
      <c r="TB5" s="4"/>
      <c r="TC5" s="4"/>
      <c r="TD5" s="4"/>
      <c r="TE5" s="4"/>
      <c r="TF5" s="4"/>
      <c r="TG5" s="4"/>
      <c r="TH5" s="4"/>
      <c r="TI5" s="4"/>
      <c r="TJ5" s="4"/>
      <c r="TK5" s="4"/>
      <c r="TL5" s="4"/>
      <c r="TM5" s="4"/>
      <c r="TN5" s="4"/>
      <c r="TO5" s="4"/>
      <c r="TP5" s="4"/>
      <c r="TQ5" s="4"/>
      <c r="TR5" s="4"/>
      <c r="TS5" s="4"/>
      <c r="TT5" s="4"/>
      <c r="TU5" s="4"/>
      <c r="TV5" s="4"/>
      <c r="TW5" s="4"/>
      <c r="TX5" s="4"/>
      <c r="TY5" s="4"/>
      <c r="TZ5" s="4"/>
      <c r="UA5" s="4"/>
      <c r="UB5" s="4"/>
      <c r="UC5" s="4"/>
      <c r="UD5" s="4"/>
      <c r="UE5" s="4"/>
      <c r="UF5" s="4"/>
      <c r="UG5" s="4"/>
      <c r="UH5" s="4"/>
      <c r="UI5" s="4"/>
      <c r="UJ5" s="4"/>
      <c r="UK5" s="4"/>
      <c r="UL5" s="4"/>
      <c r="UM5" s="4"/>
      <c r="UN5" s="4"/>
      <c r="UO5" s="4"/>
      <c r="UP5" s="4"/>
      <c r="UQ5" s="4"/>
      <c r="UR5" s="4"/>
      <c r="US5" s="4"/>
      <c r="UT5" s="4"/>
      <c r="UU5" s="4"/>
      <c r="UV5" s="4"/>
      <c r="UW5" s="4"/>
      <c r="UX5" s="4"/>
      <c r="UY5" s="4"/>
      <c r="UZ5" s="4"/>
      <c r="VA5" s="4"/>
      <c r="VB5" s="4"/>
      <c r="VC5" s="4"/>
      <c r="VD5" s="4"/>
      <c r="VE5" s="4"/>
      <c r="VF5" s="4"/>
      <c r="VG5" s="4"/>
      <c r="VH5" s="4"/>
      <c r="VI5" s="4"/>
      <c r="VJ5" s="4"/>
      <c r="VK5" s="4"/>
      <c r="VL5" s="4"/>
      <c r="VM5" s="4"/>
      <c r="VN5" s="4"/>
      <c r="VO5" s="4"/>
      <c r="VP5" s="4"/>
      <c r="VQ5" s="4"/>
      <c r="VR5" s="4"/>
      <c r="VS5" s="4"/>
      <c r="VT5" s="4"/>
      <c r="VU5" s="4"/>
      <c r="VV5" s="4"/>
      <c r="VW5" s="4"/>
      <c r="VX5" s="4"/>
      <c r="VY5" s="4"/>
      <c r="VZ5" s="4"/>
      <c r="WA5" s="4"/>
      <c r="WB5" s="4"/>
      <c r="WC5" s="4"/>
      <c r="WD5" s="4"/>
      <c r="WE5" s="4"/>
      <c r="WF5" s="4"/>
      <c r="WG5" s="4"/>
      <c r="WH5" s="4"/>
      <c r="WI5" s="4"/>
      <c r="WJ5" s="4"/>
      <c r="WK5" s="4"/>
      <c r="WL5" s="4"/>
      <c r="WM5" s="4"/>
      <c r="WN5" s="4"/>
      <c r="WO5" s="4"/>
      <c r="WP5" s="4"/>
      <c r="WQ5" s="4"/>
      <c r="WR5" s="4"/>
      <c r="WS5" s="4"/>
      <c r="WT5" s="4"/>
      <c r="WU5" s="4"/>
      <c r="WV5" s="4"/>
      <c r="WW5" s="4"/>
      <c r="WX5" s="4"/>
      <c r="WY5" s="4"/>
      <c r="WZ5" s="4"/>
      <c r="XA5" s="4"/>
      <c r="XB5" s="4"/>
      <c r="XC5" s="4"/>
      <c r="XD5" s="4"/>
      <c r="XE5" s="4"/>
      <c r="XF5" s="4"/>
      <c r="XG5" s="4"/>
      <c r="XH5" s="4"/>
      <c r="XI5" s="4"/>
      <c r="XJ5" s="4"/>
      <c r="XK5" s="4"/>
      <c r="XL5" s="4"/>
      <c r="XM5" s="4"/>
      <c r="XN5" s="4"/>
      <c r="XO5" s="4"/>
      <c r="XP5" s="4"/>
      <c r="XQ5" s="4"/>
      <c r="XR5" s="4"/>
      <c r="XS5" s="4"/>
      <c r="XT5" s="4"/>
      <c r="XU5" s="4"/>
      <c r="XV5" s="4"/>
      <c r="XW5" s="4"/>
      <c r="XX5" s="4"/>
      <c r="XY5" s="4"/>
      <c r="XZ5" s="4"/>
      <c r="YA5" s="4"/>
      <c r="YB5" s="4"/>
      <c r="YC5" s="4"/>
      <c r="YD5" s="4"/>
      <c r="YE5" s="4"/>
      <c r="YF5" s="4"/>
      <c r="YG5" s="4"/>
      <c r="YH5" s="4"/>
      <c r="YI5" s="4"/>
      <c r="YJ5" s="4"/>
      <c r="YK5" s="4"/>
      <c r="YL5" s="4"/>
      <c r="YM5" s="4"/>
      <c r="YN5" s="4"/>
      <c r="YO5" s="4"/>
      <c r="YP5" s="4"/>
      <c r="YQ5" s="4"/>
      <c r="YR5" s="4"/>
      <c r="YS5" s="4"/>
      <c r="YT5" s="4"/>
      <c r="YU5" s="4"/>
      <c r="YV5" s="4"/>
      <c r="YW5" s="4"/>
      <c r="YX5" s="4"/>
      <c r="YY5" s="4"/>
      <c r="YZ5" s="4"/>
      <c r="ZA5" s="4"/>
      <c r="ZB5" s="4"/>
      <c r="ZC5" s="4"/>
      <c r="ZD5" s="4"/>
      <c r="ZE5" s="4"/>
      <c r="ZF5" s="4"/>
      <c r="ZG5" s="4"/>
      <c r="ZH5" s="4"/>
      <c r="ZI5" s="4"/>
      <c r="ZJ5" s="4"/>
      <c r="ZK5" s="4"/>
      <c r="ZL5" s="4"/>
      <c r="ZM5" s="4"/>
      <c r="ZN5" s="4"/>
      <c r="ZO5" s="4"/>
      <c r="ZP5" s="4"/>
      <c r="ZQ5" s="4"/>
      <c r="ZR5" s="4"/>
      <c r="ZS5" s="4"/>
      <c r="ZT5" s="4"/>
      <c r="ZU5" s="4"/>
      <c r="ZV5" s="4"/>
      <c r="ZW5" s="4"/>
      <c r="ZX5" s="4"/>
      <c r="ZY5" s="4"/>
      <c r="ZZ5" s="4"/>
      <c r="AAA5" s="4"/>
      <c r="AAB5" s="4"/>
      <c r="AAC5" s="4"/>
      <c r="AAD5" s="4"/>
      <c r="AAE5" s="4"/>
      <c r="AAF5" s="4"/>
      <c r="AAG5" s="4"/>
      <c r="AAH5" s="4"/>
      <c r="AAI5" s="4"/>
      <c r="AAJ5" s="4"/>
      <c r="AAK5" s="4"/>
      <c r="AAL5" s="4"/>
      <c r="AAM5" s="4"/>
      <c r="AAN5" s="4"/>
      <c r="AAO5" s="4"/>
      <c r="AAP5" s="4"/>
      <c r="AAQ5" s="4"/>
      <c r="AAR5" s="4"/>
      <c r="AAS5" s="4"/>
      <c r="AAT5" s="4"/>
      <c r="AAU5" s="4"/>
      <c r="AAV5" s="4"/>
      <c r="AAW5" s="4"/>
      <c r="AAX5" s="4"/>
      <c r="AAY5" s="4"/>
      <c r="AAZ5" s="4"/>
      <c r="ABA5" s="4"/>
      <c r="ABB5" s="4"/>
      <c r="ABC5" s="4"/>
      <c r="ABD5" s="4"/>
      <c r="ABE5" s="4"/>
      <c r="ABF5" s="4"/>
      <c r="ABG5" s="4"/>
      <c r="ABH5" s="4"/>
      <c r="ABI5" s="4"/>
      <c r="ABJ5" s="4"/>
      <c r="ABK5" s="4"/>
      <c r="ABL5" s="4"/>
      <c r="ABM5" s="4"/>
      <c r="ABN5" s="4"/>
      <c r="ABO5" s="4"/>
      <c r="ABP5" s="4"/>
      <c r="ABQ5" s="4"/>
      <c r="ABR5" s="4"/>
      <c r="ABS5" s="4"/>
      <c r="ABT5" s="4"/>
      <c r="ABU5" s="4"/>
      <c r="ABV5" s="4"/>
      <c r="ABW5" s="4"/>
      <c r="ABX5" s="4"/>
      <c r="ABY5" s="4"/>
      <c r="ABZ5" s="4"/>
      <c r="ACA5" s="4"/>
      <c r="ACB5" s="4"/>
      <c r="ACC5" s="4"/>
      <c r="ACD5" s="4"/>
      <c r="ACE5" s="4"/>
      <c r="ACF5" s="4"/>
      <c r="ACG5" s="4"/>
      <c r="ACH5" s="4"/>
      <c r="ACI5" s="4"/>
      <c r="ACJ5" s="4"/>
      <c r="ACK5" s="4"/>
      <c r="ACL5" s="4"/>
      <c r="ACM5" s="4"/>
      <c r="ACN5" s="4"/>
      <c r="ACO5" s="4"/>
      <c r="ACP5" s="4"/>
      <c r="ACQ5" s="4"/>
      <c r="ACR5" s="4"/>
      <c r="ACS5" s="4"/>
      <c r="ACT5" s="4"/>
      <c r="ACU5" s="4"/>
      <c r="ACV5" s="4"/>
      <c r="ACW5" s="4"/>
      <c r="ACX5" s="4"/>
      <c r="ACY5" s="4"/>
      <c r="ACZ5" s="4"/>
      <c r="ADA5" s="4"/>
      <c r="ADB5" s="4"/>
      <c r="ADC5" s="4"/>
      <c r="ADD5" s="4"/>
      <c r="ADE5" s="4"/>
      <c r="ADF5" s="4"/>
      <c r="ADG5" s="4"/>
      <c r="ADH5" s="4"/>
      <c r="ADI5" s="4"/>
      <c r="ADJ5" s="4"/>
      <c r="ADK5" s="4"/>
      <c r="ADL5" s="4"/>
      <c r="ADM5" s="4"/>
      <c r="ADN5" s="4"/>
      <c r="ADO5" s="4"/>
      <c r="ADP5" s="4"/>
      <c r="ADQ5" s="4"/>
      <c r="ADR5" s="4"/>
      <c r="ADS5" s="4"/>
      <c r="ADT5" s="4"/>
      <c r="ADU5" s="4"/>
      <c r="ADV5" s="4"/>
      <c r="ADW5" s="4"/>
      <c r="ADX5" s="4"/>
      <c r="ADY5" s="4"/>
      <c r="ADZ5" s="4"/>
      <c r="AEA5" s="4"/>
      <c r="AEB5" s="4"/>
      <c r="AEC5" s="4"/>
      <c r="AED5" s="4"/>
      <c r="AEE5" s="4"/>
      <c r="AEF5" s="4"/>
      <c r="AEG5" s="4"/>
      <c r="AEH5" s="4"/>
      <c r="AEI5" s="4"/>
      <c r="AEJ5" s="4"/>
      <c r="AEK5" s="4"/>
      <c r="AEL5" s="4"/>
      <c r="AEM5" s="4"/>
      <c r="AEN5" s="4"/>
      <c r="AEO5" s="4"/>
      <c r="AEP5" s="4"/>
      <c r="AEQ5" s="4"/>
      <c r="AER5" s="4"/>
      <c r="AES5" s="4"/>
      <c r="AET5" s="4"/>
      <c r="AEU5" s="4"/>
      <c r="AEV5" s="4"/>
      <c r="AEW5" s="4"/>
      <c r="AEX5" s="4"/>
      <c r="AEY5" s="4"/>
      <c r="AEZ5" s="4"/>
      <c r="AFA5" s="4"/>
      <c r="AFB5" s="4"/>
      <c r="AFC5" s="4"/>
      <c r="AFD5" s="4"/>
      <c r="AFE5" s="4"/>
      <c r="AFF5" s="4"/>
      <c r="AFG5" s="4"/>
      <c r="AFH5" s="4"/>
      <c r="AFI5" s="4"/>
      <c r="AFJ5" s="4"/>
      <c r="AFK5" s="4"/>
      <c r="AFL5" s="4"/>
      <c r="AFM5" s="4"/>
      <c r="AFN5" s="4"/>
      <c r="AFO5" s="4"/>
      <c r="AFP5" s="4"/>
      <c r="AFQ5" s="4"/>
      <c r="AFR5" s="4"/>
      <c r="AFS5" s="4"/>
      <c r="AFT5" s="4"/>
      <c r="AFU5" s="4"/>
      <c r="AFV5" s="4"/>
      <c r="AFW5" s="4"/>
      <c r="AFX5" s="4"/>
      <c r="AFY5" s="4"/>
      <c r="AFZ5" s="4"/>
      <c r="AGA5" s="4"/>
      <c r="AGB5" s="4"/>
      <c r="AGC5" s="4"/>
      <c r="AGD5" s="4"/>
      <c r="AGE5" s="4"/>
      <c r="AGF5" s="4"/>
      <c r="AGG5" s="4"/>
      <c r="AGH5" s="4"/>
      <c r="AGI5" s="4"/>
      <c r="AGJ5" s="4"/>
      <c r="AGK5" s="4"/>
      <c r="AGL5" s="4"/>
      <c r="AGM5" s="4"/>
      <c r="AGN5" s="4"/>
      <c r="AGO5" s="4"/>
      <c r="AGP5" s="4"/>
      <c r="AGQ5" s="4"/>
      <c r="AGR5" s="4"/>
      <c r="AGS5" s="4"/>
      <c r="AGT5" s="4"/>
      <c r="AGU5" s="4"/>
      <c r="AGV5" s="4"/>
      <c r="AGW5" s="4"/>
      <c r="AGX5" s="4"/>
      <c r="AGY5" s="4"/>
      <c r="AGZ5" s="4"/>
      <c r="AHA5" s="4"/>
      <c r="AHB5" s="4"/>
      <c r="AHC5" s="4"/>
      <c r="AHD5" s="4"/>
      <c r="AHE5" s="4"/>
      <c r="AHF5" s="4"/>
      <c r="AHG5" s="4"/>
      <c r="AHH5" s="4"/>
      <c r="AHI5" s="4"/>
      <c r="AHJ5" s="4"/>
      <c r="AHK5" s="4"/>
      <c r="AHL5" s="4"/>
      <c r="AHM5" s="4"/>
      <c r="AHN5" s="4"/>
      <c r="AHO5" s="4"/>
      <c r="AHP5" s="4"/>
      <c r="AHQ5" s="4"/>
      <c r="AHR5" s="4"/>
      <c r="AHS5" s="4"/>
      <c r="AHT5" s="4"/>
      <c r="AHU5" s="4"/>
      <c r="AHV5" s="4"/>
      <c r="AHW5" s="4"/>
      <c r="AHX5" s="4"/>
      <c r="AHY5" s="4"/>
      <c r="AHZ5" s="4"/>
      <c r="AIA5" s="4"/>
      <c r="AIB5" s="4"/>
      <c r="AIC5" s="4"/>
      <c r="AID5" s="4"/>
      <c r="AIE5" s="4"/>
      <c r="AIF5" s="4"/>
      <c r="AIG5" s="4"/>
      <c r="AIH5" s="4"/>
      <c r="AII5" s="4"/>
      <c r="AIJ5" s="4"/>
      <c r="AIK5" s="4"/>
      <c r="AIL5" s="4"/>
      <c r="AIM5" s="4"/>
      <c r="AIN5" s="4"/>
      <c r="AIO5" s="4"/>
      <c r="AIP5" s="4"/>
      <c r="AIQ5" s="4"/>
      <c r="AIR5" s="4"/>
      <c r="AIS5" s="4"/>
      <c r="AIT5" s="4"/>
      <c r="AIU5" s="4"/>
      <c r="AIV5" s="4"/>
      <c r="AIW5" s="4"/>
      <c r="AIX5" s="4"/>
      <c r="AIY5" s="4"/>
      <c r="AIZ5" s="4"/>
      <c r="AJA5" s="4"/>
      <c r="AJB5" s="4"/>
      <c r="AJC5" s="4"/>
      <c r="AJD5" s="4"/>
      <c r="AJE5" s="4"/>
      <c r="AJF5" s="4"/>
      <c r="AJG5" s="4"/>
      <c r="AJH5" s="4"/>
      <c r="AJI5" s="4"/>
      <c r="AJJ5" s="4"/>
      <c r="AJK5" s="4"/>
      <c r="AJL5" s="4"/>
      <c r="AJM5" s="4"/>
      <c r="AJN5" s="4"/>
      <c r="AJO5" s="4"/>
      <c r="AJP5" s="4"/>
      <c r="AJQ5" s="4"/>
      <c r="AJR5" s="4"/>
      <c r="AJS5" s="4"/>
      <c r="AJT5" s="4"/>
      <c r="AJU5" s="4"/>
      <c r="AJV5" s="4"/>
      <c r="AJW5" s="4"/>
      <c r="AJX5" s="4"/>
      <c r="AJY5" s="4"/>
      <c r="AJZ5" s="4"/>
      <c r="AKA5" s="4"/>
      <c r="AKB5" s="4"/>
      <c r="AKC5" s="4"/>
      <c r="AKD5" s="4"/>
      <c r="AKE5" s="4"/>
      <c r="AKF5" s="4"/>
      <c r="AKG5" s="4"/>
      <c r="AKH5" s="4"/>
      <c r="AKI5" s="4"/>
      <c r="AKJ5" s="4"/>
      <c r="AKK5" s="4"/>
      <c r="AKL5" s="4"/>
      <c r="AKM5" s="4"/>
      <c r="AKN5" s="4"/>
      <c r="AKO5" s="4"/>
      <c r="AKP5" s="4"/>
      <c r="AKQ5" s="4"/>
      <c r="AKR5" s="4"/>
      <c r="AKS5" s="4"/>
      <c r="AKT5" s="4"/>
      <c r="AKU5" s="4"/>
      <c r="AKV5" s="4"/>
      <c r="AKW5" s="4"/>
      <c r="AKX5" s="4"/>
      <c r="AKY5" s="4"/>
      <c r="AKZ5" s="4"/>
      <c r="ALA5" s="4"/>
      <c r="ALB5" s="4"/>
      <c r="ALC5" s="4"/>
      <c r="ALD5" s="4"/>
      <c r="ALE5" s="4"/>
      <c r="ALF5" s="4"/>
      <c r="ALG5" s="4"/>
      <c r="ALH5" s="4"/>
      <c r="ALI5" s="4"/>
      <c r="ALJ5" s="4"/>
      <c r="ALK5" s="4"/>
      <c r="ALL5" s="4"/>
      <c r="ALM5" s="4"/>
      <c r="ALN5" s="4"/>
      <c r="ALO5" s="4"/>
      <c r="ALP5" s="4"/>
      <c r="ALQ5" s="4"/>
      <c r="ALR5" s="4"/>
      <c r="ALS5" s="4"/>
      <c r="ALT5" s="4"/>
      <c r="ALU5" s="4"/>
      <c r="ALV5" s="4"/>
      <c r="ALW5" s="4"/>
      <c r="ALX5" s="4"/>
      <c r="ALY5" s="4"/>
      <c r="ALZ5" s="4"/>
      <c r="AMA5" s="4"/>
      <c r="AMB5" s="4"/>
      <c r="AMC5" s="4"/>
      <c r="AMD5" s="4"/>
      <c r="AME5" s="4"/>
      <c r="AMF5" s="4"/>
      <c r="AMG5" s="4"/>
      <c r="AMH5" s="4"/>
      <c r="AMI5" s="4"/>
      <c r="AMJ5" s="4"/>
      <c r="AMK5" s="4"/>
      <c r="AML5" s="4"/>
      <c r="AMM5" s="4"/>
      <c r="AMN5" s="4"/>
      <c r="AMO5" s="4"/>
      <c r="AMP5" s="4"/>
      <c r="AMQ5" s="4"/>
      <c r="AMR5" s="4"/>
      <c r="AMS5" s="4"/>
      <c r="AMT5" s="4"/>
      <c r="AMU5" s="4"/>
      <c r="AMV5" s="4"/>
      <c r="AMW5" s="4"/>
      <c r="AMX5" s="4"/>
      <c r="AMY5" s="4"/>
      <c r="AMZ5" s="4"/>
      <c r="ANA5" s="4"/>
      <c r="ANB5" s="4"/>
      <c r="ANC5" s="4"/>
      <c r="AND5" s="4"/>
      <c r="ANE5" s="4"/>
      <c r="ANF5" s="4"/>
      <c r="ANG5" s="4"/>
      <c r="ANH5" s="4"/>
      <c r="ANI5" s="4"/>
      <c r="ANJ5" s="4"/>
      <c r="ANK5" s="4"/>
      <c r="ANL5" s="4"/>
      <c r="ANM5" s="4"/>
      <c r="ANN5" s="4"/>
      <c r="ANO5" s="4"/>
      <c r="ANP5" s="4"/>
      <c r="ANQ5" s="4"/>
      <c r="ANR5" s="4"/>
      <c r="ANS5" s="4"/>
      <c r="ANT5" s="4"/>
      <c r="ANU5" s="4"/>
      <c r="ANV5" s="4"/>
      <c r="ANW5" s="4"/>
      <c r="ANX5" s="4"/>
      <c r="ANY5" s="4"/>
      <c r="ANZ5" s="4"/>
      <c r="AOA5" s="4"/>
      <c r="AOB5" s="4"/>
      <c r="AOC5" s="4"/>
      <c r="AOD5" s="4"/>
      <c r="AOE5" s="4"/>
      <c r="AOF5" s="4"/>
      <c r="AOG5" s="4"/>
      <c r="AOH5" s="4"/>
      <c r="AOI5" s="4"/>
      <c r="AOJ5" s="4"/>
      <c r="AOK5" s="4"/>
      <c r="AOL5" s="4"/>
      <c r="AOM5" s="4"/>
      <c r="AON5" s="4"/>
      <c r="AOO5" s="4"/>
      <c r="AOP5" s="4"/>
      <c r="AOQ5" s="4"/>
      <c r="AOR5" s="4"/>
      <c r="AOS5" s="4"/>
      <c r="AOT5" s="4"/>
      <c r="AOU5" s="4"/>
      <c r="AOV5" s="4"/>
      <c r="AOW5" s="4"/>
      <c r="AOX5" s="4"/>
      <c r="AOY5" s="4"/>
      <c r="AOZ5" s="4"/>
      <c r="APA5" s="4"/>
      <c r="APB5" s="4"/>
      <c r="APC5" s="4"/>
      <c r="APD5" s="4"/>
      <c r="APE5" s="4"/>
      <c r="APF5" s="4"/>
      <c r="APG5" s="4"/>
      <c r="APH5" s="4"/>
      <c r="API5" s="4"/>
      <c r="APJ5" s="4"/>
      <c r="APK5" s="4"/>
      <c r="APL5" s="4"/>
      <c r="APM5" s="4"/>
      <c r="APN5" s="4"/>
      <c r="APO5" s="4"/>
      <c r="APP5" s="4"/>
      <c r="APQ5" s="4"/>
      <c r="APR5" s="4"/>
      <c r="APS5" s="4"/>
      <c r="APT5" s="4"/>
      <c r="APU5" s="4"/>
      <c r="APV5" s="4"/>
      <c r="APW5" s="4"/>
      <c r="APX5" s="4"/>
      <c r="APY5" s="4"/>
      <c r="APZ5" s="4"/>
      <c r="AQA5" s="4"/>
      <c r="AQB5" s="4"/>
    </row>
    <row r="6" spans="1:1120" s="17" customFormat="1" ht="15" customHeight="1" x14ac:dyDescent="0.25">
      <c r="A6" s="33" t="s">
        <v>9</v>
      </c>
      <c r="B6" s="33"/>
      <c r="C6" s="15" t="s">
        <v>109</v>
      </c>
      <c r="D6" s="15" t="s">
        <v>122</v>
      </c>
      <c r="E6" s="15"/>
      <c r="F6" s="15"/>
      <c r="G6" s="15"/>
      <c r="H6" s="15"/>
      <c r="I6" s="15"/>
      <c r="J6" s="15"/>
      <c r="K6" s="15" t="s">
        <v>117</v>
      </c>
      <c r="L6" s="15"/>
      <c r="M6" s="15"/>
      <c r="N6" s="15"/>
      <c r="O6" s="15"/>
      <c r="P6" s="15"/>
      <c r="Q6" s="15"/>
      <c r="R6" s="15" t="s">
        <v>113</v>
      </c>
      <c r="S6" s="15"/>
      <c r="T6" s="15"/>
      <c r="U6" s="15"/>
      <c r="V6" s="15"/>
      <c r="W6" s="15"/>
      <c r="X6" s="15"/>
      <c r="Y6" s="15" t="s">
        <v>558</v>
      </c>
      <c r="Z6" s="15"/>
      <c r="AA6" s="15"/>
      <c r="AB6" s="15"/>
      <c r="AC6" s="15"/>
      <c r="AD6" s="15"/>
      <c r="AE6" s="15"/>
      <c r="AF6" s="15" t="s">
        <v>116</v>
      </c>
      <c r="AG6" s="15"/>
      <c r="AH6" s="15"/>
      <c r="AI6" s="15"/>
      <c r="AJ6" s="15"/>
      <c r="AK6" s="15"/>
      <c r="AL6" s="15"/>
      <c r="AM6" s="15" t="s">
        <v>561</v>
      </c>
      <c r="AN6" s="15"/>
      <c r="AO6" s="15"/>
      <c r="AP6" s="15"/>
      <c r="AQ6" s="15"/>
      <c r="AR6" s="15"/>
      <c r="AS6" s="15"/>
      <c r="AT6" s="15"/>
      <c r="AU6" s="15"/>
      <c r="AV6" s="15"/>
      <c r="AW6" s="15"/>
      <c r="AX6" s="15"/>
      <c r="AY6" s="15"/>
      <c r="AZ6" s="15"/>
      <c r="BA6" s="15"/>
      <c r="BB6" s="15"/>
      <c r="BC6" s="15"/>
      <c r="BD6" s="15"/>
      <c r="BE6" s="15"/>
      <c r="BF6" s="15"/>
      <c r="BG6" s="15"/>
      <c r="BH6" s="15"/>
      <c r="BI6" s="15"/>
      <c r="BJ6" s="15"/>
      <c r="BK6" s="15"/>
      <c r="BL6" s="15"/>
      <c r="BM6" s="15"/>
      <c r="BN6" s="15"/>
      <c r="BO6" s="15"/>
      <c r="BP6" s="15"/>
      <c r="BQ6" s="15"/>
      <c r="BR6" s="15"/>
      <c r="BS6" s="15"/>
      <c r="BT6" s="15"/>
      <c r="BU6" s="15"/>
      <c r="BV6" s="15"/>
      <c r="BW6" s="15"/>
      <c r="BX6" s="15"/>
      <c r="BY6" s="15"/>
      <c r="BZ6" s="15"/>
      <c r="CA6" s="15"/>
      <c r="CB6" s="15"/>
      <c r="CC6" s="15"/>
      <c r="CD6" s="15"/>
      <c r="CE6" s="15"/>
      <c r="CF6" s="15"/>
      <c r="CG6" s="15"/>
      <c r="CH6" s="15"/>
      <c r="CI6" s="15"/>
      <c r="CJ6" s="15"/>
      <c r="CK6" s="15"/>
      <c r="CL6" s="15"/>
      <c r="CM6" s="15"/>
      <c r="CN6" s="15"/>
      <c r="CO6" s="15"/>
      <c r="CP6" s="15"/>
      <c r="CQ6" s="15"/>
      <c r="CR6" s="15"/>
      <c r="CS6" s="15"/>
      <c r="CT6" s="15"/>
      <c r="CU6" s="15"/>
      <c r="CV6" s="15"/>
      <c r="CW6" s="15"/>
      <c r="CX6" s="15"/>
      <c r="CY6" s="15"/>
      <c r="CZ6" s="15"/>
      <c r="DA6" s="15"/>
      <c r="DB6" s="15"/>
      <c r="DC6" s="15"/>
      <c r="DD6" s="15"/>
      <c r="DE6" s="15"/>
      <c r="DF6" s="15"/>
      <c r="DG6" s="15"/>
      <c r="DH6" s="15"/>
      <c r="DI6" s="15"/>
      <c r="DJ6" s="15"/>
      <c r="DK6" s="15"/>
      <c r="DL6" s="15"/>
      <c r="DM6" s="15"/>
      <c r="DN6" s="15"/>
      <c r="DO6" s="15"/>
      <c r="DP6" s="15"/>
      <c r="DQ6" s="15"/>
      <c r="DR6" s="15"/>
      <c r="DS6" s="15"/>
      <c r="DT6" s="15"/>
      <c r="DU6" s="15"/>
      <c r="DV6" s="15"/>
      <c r="DW6" s="15"/>
      <c r="DX6" s="15"/>
      <c r="DY6" s="15"/>
      <c r="DZ6" s="15"/>
      <c r="EA6" s="15"/>
      <c r="EB6" s="15"/>
      <c r="EC6" s="15"/>
      <c r="ED6" s="15"/>
      <c r="EE6" s="15"/>
      <c r="EF6" s="15"/>
      <c r="EG6" s="15"/>
      <c r="EH6" s="15"/>
      <c r="EI6" s="15"/>
      <c r="EJ6" s="15"/>
      <c r="EK6" s="15"/>
      <c r="EL6" s="15"/>
      <c r="EM6" s="15"/>
      <c r="EN6" s="15"/>
      <c r="EO6" s="15"/>
      <c r="EP6" s="15"/>
      <c r="EQ6" s="15"/>
      <c r="ER6" s="15"/>
      <c r="ES6" s="15"/>
      <c r="ET6" s="15"/>
      <c r="EU6" s="15"/>
      <c r="EV6" s="15"/>
      <c r="EW6" s="15"/>
      <c r="EX6" s="15"/>
      <c r="EY6" s="15"/>
      <c r="EZ6" s="15"/>
      <c r="FA6" s="15"/>
      <c r="FB6" s="15"/>
      <c r="FC6" s="16"/>
      <c r="FE6" s="16" t="s">
        <v>703</v>
      </c>
      <c r="FF6" s="16"/>
      <c r="FG6" s="16"/>
      <c r="FH6" s="16"/>
      <c r="FI6" s="16"/>
      <c r="FJ6" s="16"/>
      <c r="FK6" s="16"/>
      <c r="FM6" s="15"/>
      <c r="FN6" s="16"/>
      <c r="FO6" s="15"/>
      <c r="FS6" s="15"/>
      <c r="FU6" s="15"/>
      <c r="FY6" s="15"/>
      <c r="GC6" s="15"/>
      <c r="GE6" s="15"/>
      <c r="GI6" s="15"/>
      <c r="GK6" s="15"/>
      <c r="GP6" s="15"/>
      <c r="GR6" s="15"/>
      <c r="GU6" s="15"/>
      <c r="GW6" s="15"/>
      <c r="GY6" s="15"/>
      <c r="HB6" s="15"/>
      <c r="HD6" s="15"/>
      <c r="HF6" s="15"/>
      <c r="HI6" s="15"/>
      <c r="HK6" s="15"/>
      <c r="HM6" s="15"/>
      <c r="HP6" s="15"/>
      <c r="HR6" s="15"/>
      <c r="HT6" s="15"/>
      <c r="HW6" s="15"/>
      <c r="HY6" s="15"/>
      <c r="IA6" s="15"/>
      <c r="IC6" s="16" t="s">
        <v>175</v>
      </c>
      <c r="ID6" s="16"/>
      <c r="IE6" s="16"/>
      <c r="IF6" s="16"/>
      <c r="IG6" s="16"/>
      <c r="IH6" s="16"/>
      <c r="II6" s="16"/>
      <c r="IJ6" s="16"/>
      <c r="IL6" s="16"/>
      <c r="IM6" s="16"/>
      <c r="IN6" s="16"/>
      <c r="IO6" s="16"/>
      <c r="IP6" s="16"/>
      <c r="IQ6" s="16"/>
      <c r="IR6" s="16"/>
      <c r="IS6" s="13" t="s">
        <v>687</v>
      </c>
      <c r="IT6" s="13" t="s">
        <v>430</v>
      </c>
      <c r="IU6" s="13" t="s">
        <v>178</v>
      </c>
      <c r="IV6" s="13" t="s">
        <v>555</v>
      </c>
      <c r="IW6" s="14"/>
      <c r="IX6" s="13" t="s">
        <v>214</v>
      </c>
      <c r="IY6" s="14" t="s">
        <v>183</v>
      </c>
      <c r="IZ6" s="13" t="s">
        <v>215</v>
      </c>
      <c r="JA6" s="13" t="s">
        <v>213</v>
      </c>
      <c r="JB6" s="13" t="s">
        <v>216</v>
      </c>
      <c r="JC6" s="13" t="s">
        <v>557</v>
      </c>
      <c r="JD6" s="13" t="s">
        <v>477</v>
      </c>
      <c r="JE6" s="13"/>
      <c r="JF6" s="14"/>
      <c r="JG6" s="13" t="s">
        <v>702</v>
      </c>
      <c r="JH6" s="14" t="s">
        <v>189</v>
      </c>
      <c r="JI6" s="13" t="s">
        <v>226</v>
      </c>
      <c r="JJ6" s="13" t="s">
        <v>228</v>
      </c>
      <c r="JK6" s="13" t="s">
        <v>227</v>
      </c>
      <c r="JL6" s="13" t="s">
        <v>229</v>
      </c>
      <c r="JM6" s="13" t="s">
        <v>222</v>
      </c>
      <c r="JN6" s="13" t="s">
        <v>433</v>
      </c>
      <c r="JO6" s="14" t="s">
        <v>193</v>
      </c>
      <c r="JP6" s="14" t="s">
        <v>194</v>
      </c>
      <c r="JQ6" s="13" t="s">
        <v>435</v>
      </c>
      <c r="JR6" s="14" t="s">
        <v>198</v>
      </c>
      <c r="JS6" s="14" t="s">
        <v>199</v>
      </c>
      <c r="JT6" s="13" t="s">
        <v>434</v>
      </c>
      <c r="JU6" s="13" t="s">
        <v>726</v>
      </c>
      <c r="JV6" s="13" t="s">
        <v>718</v>
      </c>
      <c r="JW6" s="13"/>
      <c r="JX6"/>
      <c r="JY6" s="13" t="s">
        <v>720</v>
      </c>
      <c r="JZ6" s="14"/>
      <c r="KA6" s="14" t="s">
        <v>200</v>
      </c>
      <c r="KB6" s="14"/>
      <c r="KC6" s="14" t="s">
        <v>201</v>
      </c>
      <c r="KD6" s="14"/>
      <c r="KE6" s="14" t="s">
        <v>202</v>
      </c>
      <c r="KF6" s="14"/>
      <c r="KG6" s="13" t="s">
        <v>238</v>
      </c>
      <c r="KH6" s="14"/>
      <c r="KI6" s="14" t="s">
        <v>204</v>
      </c>
      <c r="KJ6" s="14"/>
      <c r="KK6" s="13" t="s">
        <v>261</v>
      </c>
      <c r="KL6" s="14"/>
      <c r="KM6" s="13" t="s">
        <v>206</v>
      </c>
      <c r="KN6" s="14"/>
      <c r="KO6" s="13" t="s">
        <v>476</v>
      </c>
      <c r="KP6" s="14"/>
      <c r="KQ6" s="13" t="s">
        <v>241</v>
      </c>
      <c r="KR6" s="14"/>
      <c r="KS6" s="13" t="s">
        <v>220</v>
      </c>
      <c r="KT6" s="14"/>
      <c r="KU6" s="13" t="s">
        <v>218</v>
      </c>
      <c r="KV6" s="14"/>
      <c r="KW6" s="13" t="s">
        <v>221</v>
      </c>
      <c r="KX6" s="14"/>
      <c r="KY6" s="13" t="s">
        <v>235</v>
      </c>
      <c r="KZ6" s="14"/>
      <c r="LA6" s="14" t="s">
        <v>207</v>
      </c>
      <c r="LB6" s="14"/>
      <c r="LC6" s="14" t="s">
        <v>208</v>
      </c>
      <c r="LD6" s="14"/>
      <c r="LE6" s="13" t="s">
        <v>236</v>
      </c>
      <c r="LF6" s="14"/>
      <c r="LG6" s="14" t="s">
        <v>209</v>
      </c>
      <c r="LH6" s="14"/>
      <c r="LI6" s="13" t="s">
        <v>556</v>
      </c>
      <c r="LJ6" s="14"/>
      <c r="LK6" s="13" t="s">
        <v>237</v>
      </c>
      <c r="LL6" s="14"/>
      <c r="LM6" s="13" t="s">
        <v>233</v>
      </c>
      <c r="LN6" s="14"/>
      <c r="LO6" s="14" t="s">
        <v>210</v>
      </c>
      <c r="LP6" s="14"/>
      <c r="LQ6" s="13" t="s">
        <v>234</v>
      </c>
      <c r="LR6"/>
      <c r="LS6" s="13" t="s">
        <v>217</v>
      </c>
      <c r="LT6" s="13" t="s">
        <v>219</v>
      </c>
      <c r="LU6" s="13" t="s">
        <v>719</v>
      </c>
      <c r="LV6" s="13" t="s">
        <v>721</v>
      </c>
      <c r="LW6" s="13" t="s">
        <v>232</v>
      </c>
      <c r="LX6" s="14" t="s">
        <v>224</v>
      </c>
      <c r="LY6" s="13" t="s">
        <v>225</v>
      </c>
      <c r="LZ6" s="13" t="s">
        <v>231</v>
      </c>
      <c r="MA6" s="14" t="s">
        <v>722</v>
      </c>
      <c r="MB6"/>
      <c r="MC6" s="14" t="s">
        <v>230</v>
      </c>
      <c r="MD6" s="13" t="s">
        <v>239</v>
      </c>
      <c r="ME6" s="13" t="s">
        <v>240</v>
      </c>
      <c r="MF6" s="13" t="s">
        <v>243</v>
      </c>
      <c r="MG6" s="13" t="s">
        <v>244</v>
      </c>
      <c r="MH6"/>
      <c r="MI6" s="13" t="s">
        <v>245</v>
      </c>
      <c r="MJ6" s="13" t="s">
        <v>562</v>
      </c>
      <c r="MK6"/>
      <c r="ML6"/>
      <c r="MM6"/>
      <c r="MN6" s="25"/>
      <c r="MO6" s="14"/>
      <c r="MP6" s="14"/>
      <c r="MQ6" s="14"/>
      <c r="MR6" s="14"/>
      <c r="MS6" s="14"/>
      <c r="MT6" s="14" t="s">
        <v>247</v>
      </c>
      <c r="MU6" s="14"/>
      <c r="MV6" s="14"/>
      <c r="MW6" s="14"/>
      <c r="MX6" s="25"/>
      <c r="MY6" s="14"/>
      <c r="MZ6" s="14"/>
      <c r="NA6" s="14"/>
      <c r="NB6" s="14"/>
      <c r="NC6" s="14"/>
      <c r="ND6" s="14" t="s">
        <v>248</v>
      </c>
      <c r="NE6" s="14"/>
      <c r="NF6" s="14"/>
      <c r="NG6" s="14"/>
      <c r="NH6" s="25"/>
      <c r="NI6" s="14"/>
      <c r="NJ6" s="14"/>
      <c r="NK6" s="14"/>
      <c r="NL6" s="14"/>
      <c r="NM6" s="13" t="s">
        <v>631</v>
      </c>
      <c r="NN6" s="14"/>
      <c r="NO6" s="13" t="s">
        <v>256</v>
      </c>
      <c r="NP6" s="13" t="s">
        <v>257</v>
      </c>
      <c r="NQ6" s="14"/>
      <c r="NR6" s="15"/>
      <c r="NS6" s="15"/>
      <c r="NT6" s="15" t="s">
        <v>264</v>
      </c>
      <c r="NU6" s="15" t="s">
        <v>308</v>
      </c>
      <c r="NV6" s="15" t="s">
        <v>309</v>
      </c>
      <c r="NW6" s="15" t="s">
        <v>691</v>
      </c>
      <c r="NX6" s="15" t="s">
        <v>552</v>
      </c>
      <c r="NY6" s="15" t="s">
        <v>311</v>
      </c>
      <c r="NZ6" s="15" t="s">
        <v>312</v>
      </c>
      <c r="OA6" s="15" t="s">
        <v>350</v>
      </c>
      <c r="OB6" s="15" t="s">
        <v>693</v>
      </c>
      <c r="OC6" s="15" t="s">
        <v>632</v>
      </c>
      <c r="OD6" s="15" t="s">
        <v>313</v>
      </c>
      <c r="OE6" s="15" t="s">
        <v>300</v>
      </c>
      <c r="OF6" s="15" t="s">
        <v>265</v>
      </c>
      <c r="OG6" s="15" t="s">
        <v>266</v>
      </c>
      <c r="OH6" s="15" t="s">
        <v>267</v>
      </c>
      <c r="OI6" s="15" t="s">
        <v>268</v>
      </c>
      <c r="OJ6" s="15" t="s">
        <v>269</v>
      </c>
      <c r="OK6" s="15" t="s">
        <v>270</v>
      </c>
      <c r="OL6" s="15" t="s">
        <v>271</v>
      </c>
      <c r="OM6" s="15" t="s">
        <v>272</v>
      </c>
      <c r="ON6" s="15" t="s">
        <v>273</v>
      </c>
      <c r="OO6" s="15" t="s">
        <v>274</v>
      </c>
      <c r="OP6" s="15" t="s">
        <v>275</v>
      </c>
      <c r="OQ6" s="15" t="s">
        <v>276</v>
      </c>
      <c r="OR6" s="15" t="s">
        <v>277</v>
      </c>
      <c r="OS6" s="15" t="s">
        <v>278</v>
      </c>
      <c r="OT6" s="15" t="s">
        <v>279</v>
      </c>
      <c r="OU6" s="15" t="s">
        <v>280</v>
      </c>
      <c r="OV6" s="15" t="s">
        <v>281</v>
      </c>
      <c r="OW6" s="15" t="s">
        <v>285</v>
      </c>
      <c r="OX6" s="15" t="s">
        <v>286</v>
      </c>
      <c r="OY6" s="15" t="s">
        <v>287</v>
      </c>
      <c r="OZ6" s="15" t="s">
        <v>288</v>
      </c>
      <c r="PA6" s="15" t="s">
        <v>289</v>
      </c>
      <c r="PB6" s="15" t="s">
        <v>290</v>
      </c>
      <c r="PC6" s="15" t="s">
        <v>291</v>
      </c>
      <c r="PD6" s="15" t="s">
        <v>292</v>
      </c>
      <c r="PE6" s="15" t="s">
        <v>293</v>
      </c>
      <c r="PF6" s="15" t="s">
        <v>294</v>
      </c>
      <c r="PG6" s="15" t="s">
        <v>295</v>
      </c>
      <c r="PH6" s="15" t="s">
        <v>296</v>
      </c>
      <c r="PI6" s="15" t="s">
        <v>297</v>
      </c>
      <c r="PJ6" s="15" t="s">
        <v>298</v>
      </c>
      <c r="PK6" s="15" t="s">
        <v>728</v>
      </c>
      <c r="PL6" s="15" t="s">
        <v>729</v>
      </c>
      <c r="PM6" s="15" t="s">
        <v>714</v>
      </c>
      <c r="PN6" s="15" t="s">
        <v>713</v>
      </c>
      <c r="PO6" s="15" t="s">
        <v>314</v>
      </c>
      <c r="PP6" s="15" t="s">
        <v>711</v>
      </c>
      <c r="PQ6" s="15" t="s">
        <v>315</v>
      </c>
      <c r="PR6" s="15" t="s">
        <v>553</v>
      </c>
      <c r="PS6" s="15" t="s">
        <v>306</v>
      </c>
      <c r="PT6" s="15" t="s">
        <v>304</v>
      </c>
      <c r="PU6" s="15" t="s">
        <v>303</v>
      </c>
      <c r="PV6" s="15" t="s">
        <v>302</v>
      </c>
      <c r="PW6" s="15" t="s">
        <v>329</v>
      </c>
      <c r="PX6" s="15" t="s">
        <v>316</v>
      </c>
      <c r="PY6" s="15" t="s">
        <v>317</v>
      </c>
      <c r="PZ6" s="15" t="s">
        <v>318</v>
      </c>
      <c r="QA6" s="15"/>
      <c r="QB6" s="15" t="s">
        <v>330</v>
      </c>
      <c r="QC6" s="15" t="s">
        <v>330</v>
      </c>
      <c r="QD6" s="15" t="s">
        <v>307</v>
      </c>
      <c r="QE6" s="15"/>
      <c r="QF6" s="15" t="s">
        <v>323</v>
      </c>
      <c r="QG6" s="15" t="s">
        <v>305</v>
      </c>
      <c r="QH6" s="15"/>
      <c r="QI6" s="15" t="s">
        <v>322</v>
      </c>
      <c r="QJ6" s="15" t="s">
        <v>712</v>
      </c>
      <c r="QK6" s="15" t="s">
        <v>715</v>
      </c>
      <c r="QL6" s="15" t="s">
        <v>319</v>
      </c>
      <c r="QM6" s="15" t="s">
        <v>320</v>
      </c>
      <c r="QN6" s="15" t="s">
        <v>321</v>
      </c>
      <c r="QO6" s="17" t="s">
        <v>326</v>
      </c>
      <c r="QP6" s="15" t="s">
        <v>328</v>
      </c>
      <c r="QQ6" s="15" t="s">
        <v>325</v>
      </c>
      <c r="QR6" s="15" t="s">
        <v>324</v>
      </c>
      <c r="QS6" s="15" t="s">
        <v>324</v>
      </c>
      <c r="QT6" s="15" t="s">
        <v>331</v>
      </c>
      <c r="QU6" s="15" t="s">
        <v>327</v>
      </c>
      <c r="QV6" s="15"/>
      <c r="QW6" s="15" t="s">
        <v>399</v>
      </c>
      <c r="QX6" s="15"/>
      <c r="QY6" s="15"/>
      <c r="QZ6" s="15"/>
      <c r="RA6" s="15"/>
      <c r="RB6" s="15"/>
      <c r="RC6" s="15"/>
      <c r="RD6" s="15"/>
      <c r="RE6" s="15" t="s">
        <v>403</v>
      </c>
      <c r="RF6" s="15"/>
      <c r="RG6" s="15"/>
      <c r="RH6" s="15"/>
      <c r="RI6" s="15"/>
      <c r="RJ6" s="15"/>
      <c r="RK6" s="15"/>
      <c r="RL6" s="15"/>
      <c r="RM6" s="15"/>
      <c r="RN6" s="15"/>
      <c r="RO6" s="15"/>
      <c r="RP6" s="15"/>
      <c r="RQ6" s="15"/>
      <c r="RR6" s="15" t="s">
        <v>332</v>
      </c>
      <c r="RT6" s="16"/>
      <c r="RU6" s="16"/>
      <c r="RV6" s="16"/>
      <c r="RW6" s="16"/>
      <c r="RX6" s="16"/>
      <c r="RY6" s="16"/>
      <c r="RZ6" s="16"/>
      <c r="SA6" s="15" t="s">
        <v>636</v>
      </c>
      <c r="SB6" s="15"/>
      <c r="SC6" s="15" t="s">
        <v>264</v>
      </c>
      <c r="SD6" s="15" t="s">
        <v>308</v>
      </c>
      <c r="SE6" s="15" t="s">
        <v>309</v>
      </c>
      <c r="SF6" s="15" t="s">
        <v>692</v>
      </c>
      <c r="SG6" s="15" t="s">
        <v>310</v>
      </c>
      <c r="SH6" s="15" t="s">
        <v>311</v>
      </c>
      <c r="SI6" s="15" t="s">
        <v>312</v>
      </c>
      <c r="SJ6" s="15" t="s">
        <v>350</v>
      </c>
      <c r="SK6" s="15" t="s">
        <v>694</v>
      </c>
      <c r="SL6" s="15" t="s">
        <v>349</v>
      </c>
      <c r="SM6" s="15" t="s">
        <v>355</v>
      </c>
      <c r="SN6" s="15" t="s">
        <v>353</v>
      </c>
      <c r="SO6" s="15" t="s">
        <v>352</v>
      </c>
      <c r="SP6" s="15" t="s">
        <v>354</v>
      </c>
      <c r="SQ6" s="15" t="s">
        <v>356</v>
      </c>
      <c r="SR6" s="15" t="s">
        <v>357</v>
      </c>
      <c r="SS6" s="15" t="s">
        <v>358</v>
      </c>
      <c r="ST6" s="15" t="s">
        <v>359</v>
      </c>
      <c r="SU6" s="15" t="s">
        <v>360</v>
      </c>
      <c r="SV6" s="15" t="s">
        <v>361</v>
      </c>
      <c r="SW6" s="15" t="s">
        <v>362</v>
      </c>
      <c r="SX6" s="15" t="s">
        <v>363</v>
      </c>
      <c r="SY6" s="15" t="s">
        <v>364</v>
      </c>
      <c r="SZ6" s="15" t="s">
        <v>365</v>
      </c>
      <c r="TA6" s="15" t="s">
        <v>366</v>
      </c>
      <c r="TB6" s="15" t="s">
        <v>367</v>
      </c>
      <c r="TC6" s="15" t="s">
        <v>368</v>
      </c>
      <c r="TD6" s="15" t="s">
        <v>369</v>
      </c>
      <c r="TE6" s="15" t="s">
        <v>370</v>
      </c>
      <c r="TF6" s="15" t="s">
        <v>371</v>
      </c>
      <c r="TG6" s="15" t="s">
        <v>372</v>
      </c>
      <c r="TH6" s="15" t="s">
        <v>373</v>
      </c>
      <c r="TI6" s="15" t="s">
        <v>374</v>
      </c>
      <c r="TJ6" s="15" t="s">
        <v>375</v>
      </c>
      <c r="TK6" s="15" t="s">
        <v>376</v>
      </c>
      <c r="TL6" s="15" t="s">
        <v>377</v>
      </c>
      <c r="TM6" s="15" t="s">
        <v>378</v>
      </c>
      <c r="TN6" s="15" t="s">
        <v>379</v>
      </c>
      <c r="TO6" s="15" t="s">
        <v>380</v>
      </c>
      <c r="TP6" s="15" t="s">
        <v>381</v>
      </c>
      <c r="TQ6" s="15" t="s">
        <v>382</v>
      </c>
      <c r="TR6" s="15" t="s">
        <v>383</v>
      </c>
      <c r="TS6" s="15" t="s">
        <v>709</v>
      </c>
      <c r="TT6" s="15" t="s">
        <v>710</v>
      </c>
      <c r="TU6" s="15" t="s">
        <v>714</v>
      </c>
      <c r="TV6" s="15" t="s">
        <v>713</v>
      </c>
      <c r="TW6" s="15" t="s">
        <v>314</v>
      </c>
      <c r="TX6" s="15" t="s">
        <v>711</v>
      </c>
      <c r="TY6" s="15" t="s">
        <v>315</v>
      </c>
      <c r="TZ6" s="15" t="s">
        <v>301</v>
      </c>
      <c r="UA6" s="15" t="s">
        <v>306</v>
      </c>
      <c r="UB6" s="15" t="s">
        <v>304</v>
      </c>
      <c r="UC6" s="15" t="s">
        <v>303</v>
      </c>
      <c r="UD6" s="15" t="s">
        <v>302</v>
      </c>
      <c r="UE6" s="15" t="s">
        <v>329</v>
      </c>
      <c r="UF6" s="15" t="s">
        <v>316</v>
      </c>
      <c r="UG6" s="15" t="s">
        <v>317</v>
      </c>
      <c r="UH6" s="15" t="s">
        <v>318</v>
      </c>
      <c r="UI6" s="15"/>
      <c r="UJ6" s="15" t="s">
        <v>330</v>
      </c>
      <c r="UK6" s="15" t="s">
        <v>330</v>
      </c>
      <c r="UL6" s="15" t="s">
        <v>307</v>
      </c>
      <c r="UM6" s="15"/>
      <c r="UN6" s="15" t="s">
        <v>323</v>
      </c>
      <c r="UO6" s="15" t="s">
        <v>305</v>
      </c>
      <c r="UP6" s="15"/>
      <c r="UQ6" s="15" t="s">
        <v>322</v>
      </c>
      <c r="UR6" s="15" t="s">
        <v>712</v>
      </c>
      <c r="US6" s="15" t="s">
        <v>715</v>
      </c>
      <c r="UT6" s="15" t="s">
        <v>319</v>
      </c>
      <c r="UU6" s="15" t="s">
        <v>320</v>
      </c>
      <c r="UV6" s="15" t="s">
        <v>321</v>
      </c>
      <c r="UW6" s="17" t="s">
        <v>326</v>
      </c>
      <c r="UX6" s="15" t="s">
        <v>328</v>
      </c>
      <c r="UY6" s="15" t="s">
        <v>325</v>
      </c>
      <c r="UZ6" s="15" t="s">
        <v>324</v>
      </c>
      <c r="VA6" s="15" t="s">
        <v>324</v>
      </c>
      <c r="VB6" s="15" t="s">
        <v>331</v>
      </c>
      <c r="VC6" s="15" t="s">
        <v>327</v>
      </c>
      <c r="VD6" s="15"/>
      <c r="VE6" s="15" t="s">
        <v>406</v>
      </c>
      <c r="VF6" s="15"/>
      <c r="VG6" s="15"/>
      <c r="VH6" s="15"/>
      <c r="VI6" s="15"/>
      <c r="VJ6" s="15"/>
      <c r="VK6" s="15"/>
      <c r="VL6" s="15"/>
      <c r="VM6" s="15"/>
      <c r="VN6" s="15" t="s">
        <v>407</v>
      </c>
      <c r="VO6" s="15"/>
      <c r="VP6" s="15"/>
      <c r="VQ6" s="15"/>
      <c r="VR6" s="15"/>
      <c r="VS6" s="15"/>
      <c r="VT6" s="15"/>
      <c r="VU6" s="15"/>
      <c r="VV6" s="15"/>
      <c r="VW6" s="15"/>
      <c r="VX6" s="15"/>
      <c r="VY6" s="15"/>
      <c r="VZ6" s="15"/>
      <c r="WA6" s="15" t="s">
        <v>398</v>
      </c>
      <c r="WB6" s="15"/>
      <c r="WC6" s="15" t="s">
        <v>634</v>
      </c>
      <c r="WD6" s="15"/>
      <c r="WE6" s="15" t="s">
        <v>394</v>
      </c>
      <c r="WF6" s="15" t="s">
        <v>308</v>
      </c>
      <c r="WG6" s="15" t="s">
        <v>309</v>
      </c>
      <c r="WH6" s="15" t="s">
        <v>389</v>
      </c>
      <c r="WI6" s="15" t="s">
        <v>310</v>
      </c>
      <c r="WJ6" s="15" t="s">
        <v>388</v>
      </c>
      <c r="WK6" s="15" t="s">
        <v>390</v>
      </c>
      <c r="WL6" s="15" t="s">
        <v>350</v>
      </c>
      <c r="WM6" s="15" t="s">
        <v>391</v>
      </c>
      <c r="WN6" s="15" t="s">
        <v>349</v>
      </c>
      <c r="WO6" s="15" t="s">
        <v>727</v>
      </c>
      <c r="WP6" s="15" t="s">
        <v>331</v>
      </c>
      <c r="WQ6" s="15" t="s">
        <v>392</v>
      </c>
      <c r="WR6" s="15"/>
      <c r="WS6" s="15" t="s">
        <v>393</v>
      </c>
      <c r="WT6" s="15" t="s">
        <v>432</v>
      </c>
      <c r="WU6" s="15" t="s">
        <v>723</v>
      </c>
      <c r="WV6" s="15" t="s">
        <v>716</v>
      </c>
      <c r="WW6" s="15" t="s">
        <v>717</v>
      </c>
      <c r="WX6" s="15" t="s">
        <v>429</v>
      </c>
      <c r="WY6" s="15" t="s">
        <v>431</v>
      </c>
      <c r="WZ6" s="15"/>
      <c r="XA6" s="15" t="s">
        <v>307</v>
      </c>
      <c r="XB6" s="15"/>
      <c r="XC6" s="15" t="s">
        <v>724</v>
      </c>
      <c r="XD6" s="15"/>
      <c r="XE6" s="15" t="s">
        <v>327</v>
      </c>
      <c r="XF6" s="15"/>
      <c r="XG6" s="15" t="s">
        <v>396</v>
      </c>
      <c r="XH6" s="15" t="s">
        <v>397</v>
      </c>
      <c r="XI6" s="15" t="s">
        <v>395</v>
      </c>
      <c r="XJ6" s="26" t="s">
        <v>410</v>
      </c>
      <c r="XK6" s="15"/>
      <c r="XL6" s="15"/>
      <c r="XM6" s="15"/>
      <c r="XN6" s="15"/>
      <c r="XO6" s="15"/>
      <c r="XP6" s="15"/>
      <c r="XQ6" s="15"/>
      <c r="XR6" s="15"/>
      <c r="XS6" s="26" t="s">
        <v>402</v>
      </c>
      <c r="XT6" s="15"/>
      <c r="XU6" s="15"/>
      <c r="XV6" s="15"/>
      <c r="XW6" s="15"/>
      <c r="XX6" s="15"/>
      <c r="XY6" s="15"/>
      <c r="XZ6" s="15"/>
      <c r="YA6" s="15"/>
      <c r="YB6" s="15"/>
      <c r="YC6" s="15"/>
      <c r="YD6" s="15"/>
      <c r="YE6" s="15"/>
      <c r="YF6" s="21" t="s">
        <v>417</v>
      </c>
      <c r="YG6" s="15"/>
      <c r="YH6" s="15"/>
      <c r="YI6" s="15"/>
      <c r="YJ6" s="15"/>
      <c r="YK6" s="15"/>
      <c r="YL6" s="15"/>
      <c r="YM6" s="15"/>
      <c r="YN6" s="15"/>
      <c r="YO6" s="15" t="s">
        <v>411</v>
      </c>
      <c r="YP6" s="15"/>
      <c r="YQ6" s="15"/>
      <c r="YR6" s="15"/>
      <c r="YS6" s="15"/>
      <c r="YT6" s="15"/>
      <c r="YU6" s="15"/>
      <c r="YV6" s="15"/>
      <c r="YW6" s="15"/>
      <c r="YX6" s="15"/>
      <c r="YY6" s="15"/>
      <c r="YZ6" s="15"/>
      <c r="ZA6" s="15"/>
      <c r="ZB6" s="15" t="s">
        <v>725</v>
      </c>
      <c r="ZC6" s="15"/>
      <c r="ZD6" s="15"/>
      <c r="ZE6" s="15"/>
      <c r="ZF6" s="15"/>
      <c r="ZG6" s="15"/>
      <c r="ZH6" s="15"/>
      <c r="ZI6" s="15"/>
      <c r="ZJ6" s="15"/>
      <c r="ZK6" s="15"/>
      <c r="ZL6" s="15"/>
      <c r="ZM6" s="15"/>
      <c r="ZN6" s="15"/>
      <c r="ZO6" s="15"/>
      <c r="ZP6" s="15"/>
      <c r="ZQ6" s="15"/>
      <c r="ZR6" s="15"/>
      <c r="ZS6" s="15"/>
      <c r="ZT6" s="15"/>
      <c r="ZU6" s="15"/>
      <c r="ZV6" s="15"/>
      <c r="ZW6" s="15"/>
      <c r="ZX6" s="15"/>
      <c r="ZY6" s="15"/>
      <c r="ZZ6" s="15"/>
      <c r="AAA6" s="15"/>
      <c r="AAB6" s="15"/>
      <c r="AAC6" s="15"/>
      <c r="AAD6" s="15"/>
      <c r="AAE6" s="15"/>
      <c r="AAF6" s="15"/>
      <c r="AAG6" s="15"/>
      <c r="AAH6" s="15"/>
      <c r="AAI6" s="15"/>
      <c r="AAJ6" s="15"/>
      <c r="AAK6" s="15"/>
      <c r="AAL6" s="15"/>
      <c r="AAM6" s="15" t="s">
        <v>554</v>
      </c>
      <c r="AAN6" s="15"/>
      <c r="AAO6" s="15"/>
      <c r="AAP6" s="15"/>
      <c r="AAQ6" s="15"/>
      <c r="AAR6" s="15"/>
      <c r="AAS6" s="15"/>
      <c r="AAT6" s="15"/>
      <c r="AAU6" s="15"/>
      <c r="AAV6" s="15"/>
      <c r="AAW6" s="15"/>
      <c r="AAX6" s="15"/>
      <c r="AAY6" s="15" t="s">
        <v>633</v>
      </c>
      <c r="AAZ6" s="15"/>
      <c r="ABA6" s="15"/>
      <c r="ABB6" s="15"/>
      <c r="ABC6" s="15"/>
      <c r="ABD6" s="15"/>
      <c r="ABE6" s="15"/>
      <c r="ABF6" s="15"/>
      <c r="ABG6" s="15"/>
      <c r="ABH6" s="15"/>
      <c r="ABI6" s="15" t="s">
        <v>474</v>
      </c>
      <c r="ABJ6" s="15" t="s">
        <v>475</v>
      </c>
      <c r="ABK6" s="15" t="s">
        <v>473</v>
      </c>
      <c r="ABL6" s="15" t="s">
        <v>465</v>
      </c>
      <c r="ABM6" s="15" t="s">
        <v>454</v>
      </c>
      <c r="ABN6" s="15" t="s">
        <v>455</v>
      </c>
      <c r="ABO6" s="15" t="s">
        <v>467</v>
      </c>
      <c r="ABP6" s="15" t="s">
        <v>466</v>
      </c>
      <c r="ABQ6" s="15" t="s">
        <v>560</v>
      </c>
      <c r="ABR6" s="15" t="s">
        <v>468</v>
      </c>
      <c r="ABS6" s="15" t="s">
        <v>469</v>
      </c>
      <c r="ABT6" s="15" t="s">
        <v>462</v>
      </c>
      <c r="ABU6" s="15" t="s">
        <v>459</v>
      </c>
      <c r="ABV6" s="15" t="s">
        <v>458</v>
      </c>
      <c r="ABW6" s="17" t="s">
        <v>460</v>
      </c>
      <c r="ABX6" s="15" t="s">
        <v>471</v>
      </c>
      <c r="ABY6" s="15" t="s">
        <v>461</v>
      </c>
      <c r="ABZ6" s="15" t="s">
        <v>464</v>
      </c>
      <c r="ACA6" s="15"/>
      <c r="ACB6" s="15" t="s">
        <v>463</v>
      </c>
      <c r="ACC6" s="15" t="s">
        <v>478</v>
      </c>
      <c r="ACD6" s="15" t="s">
        <v>470</v>
      </c>
      <c r="ACF6" s="15" t="s">
        <v>472</v>
      </c>
      <c r="ACH6" s="15" t="s">
        <v>484</v>
      </c>
      <c r="ACI6" s="15"/>
      <c r="ACJ6" s="15"/>
      <c r="ACK6" s="15"/>
      <c r="ACL6" s="15"/>
      <c r="ACM6" s="15"/>
      <c r="ACN6" s="15"/>
      <c r="ACO6" s="15"/>
      <c r="ACP6" s="15"/>
      <c r="ACQ6" s="15" t="s">
        <v>485</v>
      </c>
      <c r="ACR6" s="15"/>
      <c r="ACS6" s="15"/>
      <c r="ACT6" s="15"/>
      <c r="ACU6" s="15"/>
      <c r="ACV6" s="15"/>
      <c r="ACW6" s="15"/>
      <c r="ACX6" s="15"/>
      <c r="ACY6" s="15"/>
      <c r="ACZ6" s="15"/>
      <c r="ADA6" s="15"/>
      <c r="ADB6" s="15"/>
      <c r="ADC6" s="15"/>
      <c r="ADD6" s="15" t="s">
        <v>492</v>
      </c>
      <c r="ADE6" s="15"/>
      <c r="ADF6" s="15" t="s">
        <v>497</v>
      </c>
      <c r="ADG6" s="15" t="s">
        <v>498</v>
      </c>
      <c r="ADH6" s="15"/>
      <c r="ADI6" s="15" t="s">
        <v>633</v>
      </c>
      <c r="ADJ6" s="15"/>
      <c r="ADK6" s="15"/>
      <c r="ADL6" s="15"/>
      <c r="ADM6" s="15"/>
      <c r="ADN6" s="15"/>
      <c r="ADO6" s="15"/>
      <c r="ADP6" s="15"/>
      <c r="ADQ6" s="15"/>
      <c r="ADR6" s="15"/>
      <c r="ADS6" s="15" t="s">
        <v>474</v>
      </c>
      <c r="ADT6" s="15" t="s">
        <v>475</v>
      </c>
      <c r="ADU6" s="15" t="s">
        <v>473</v>
      </c>
      <c r="ADV6" s="15" t="s">
        <v>465</v>
      </c>
      <c r="ADW6" s="15" t="s">
        <v>454</v>
      </c>
      <c r="ADX6" s="15" t="s">
        <v>455</v>
      </c>
      <c r="ADY6" s="15" t="s">
        <v>467</v>
      </c>
      <c r="ADZ6" s="15" t="s">
        <v>466</v>
      </c>
      <c r="AEA6" s="15" t="s">
        <v>559</v>
      </c>
      <c r="AEB6" s="15" t="s">
        <v>468</v>
      </c>
      <c r="AEC6" s="15" t="s">
        <v>469</v>
      </c>
      <c r="AED6" s="15" t="s">
        <v>508</v>
      </c>
      <c r="AEE6" s="15" t="s">
        <v>503</v>
      </c>
      <c r="AEF6" s="15" t="s">
        <v>502</v>
      </c>
      <c r="AEG6" s="17" t="s">
        <v>504</v>
      </c>
      <c r="AEH6" s="15" t="s">
        <v>515</v>
      </c>
      <c r="AEI6" s="15" t="s">
        <v>505</v>
      </c>
      <c r="AEJ6" s="15" t="s">
        <v>506</v>
      </c>
      <c r="AEK6" s="15"/>
      <c r="AEL6" s="15" t="s">
        <v>507</v>
      </c>
      <c r="AEM6" s="15" t="s">
        <v>509</v>
      </c>
      <c r="AEN6" s="15" t="s">
        <v>511</v>
      </c>
      <c r="AEP6" s="15" t="s">
        <v>512</v>
      </c>
      <c r="AER6" s="15" t="s">
        <v>513</v>
      </c>
      <c r="AES6" s="15"/>
      <c r="AET6" s="15"/>
      <c r="AEU6" s="15"/>
      <c r="AEV6" s="15"/>
      <c r="AEW6" s="15"/>
      <c r="AEX6" s="15"/>
      <c r="AEY6" s="15"/>
      <c r="AEZ6" s="15"/>
      <c r="AFA6" s="15" t="s">
        <v>514</v>
      </c>
      <c r="AFB6" s="15"/>
      <c r="AFC6" s="15"/>
      <c r="AFD6" s="15"/>
      <c r="AFE6" s="15"/>
      <c r="AFF6" s="15"/>
      <c r="AFG6" s="15"/>
      <c r="AFH6" s="15"/>
      <c r="AFI6" s="15"/>
      <c r="AFJ6" s="15"/>
      <c r="AFK6" s="15"/>
      <c r="AFL6" s="15"/>
      <c r="AFM6" s="15"/>
      <c r="AFN6" s="15" t="s">
        <v>492</v>
      </c>
      <c r="AFO6" s="15" t="s">
        <v>493</v>
      </c>
      <c r="AFP6" s="15" t="s">
        <v>510</v>
      </c>
      <c r="AFQ6" s="15" t="s">
        <v>501</v>
      </c>
      <c r="AFR6" s="15"/>
      <c r="AFS6" s="15"/>
      <c r="AFT6" s="15"/>
      <c r="AFU6" s="15"/>
      <c r="AFV6" s="15"/>
      <c r="AFW6" s="15"/>
      <c r="AFX6" s="15"/>
      <c r="AFY6" s="15"/>
      <c r="AFZ6" s="15"/>
      <c r="AGA6" s="15"/>
      <c r="AGB6" s="15"/>
      <c r="AGC6" s="15"/>
      <c r="AGD6" s="15" t="s">
        <v>518</v>
      </c>
      <c r="AGE6" s="15"/>
      <c r="AGF6" s="15"/>
      <c r="AGG6" s="15" t="s">
        <v>519</v>
      </c>
      <c r="AGH6" s="15"/>
      <c r="AGI6" s="15"/>
      <c r="AGJ6" s="15"/>
      <c r="AGK6" s="15"/>
      <c r="AGL6" s="15"/>
      <c r="AGM6" s="15"/>
      <c r="AGN6" s="15"/>
      <c r="AGO6" s="15"/>
      <c r="AGP6" s="15" t="s">
        <v>520</v>
      </c>
      <c r="AGQ6" s="15"/>
      <c r="AGR6" s="15"/>
      <c r="AGS6" s="15"/>
      <c r="AGT6" s="15"/>
      <c r="AGU6" s="15"/>
      <c r="AGV6" s="15"/>
      <c r="AGW6" s="15"/>
      <c r="AGX6" s="15"/>
      <c r="AGY6" s="15" t="s">
        <v>521</v>
      </c>
      <c r="AGZ6" s="15"/>
      <c r="AHA6" s="15"/>
      <c r="AHB6" s="15"/>
      <c r="AHC6" s="15"/>
      <c r="AHD6" s="15"/>
      <c r="AHE6" s="15"/>
      <c r="AHF6" s="15"/>
      <c r="AHG6" s="15"/>
      <c r="AHH6" s="15"/>
      <c r="AHI6" s="15"/>
      <c r="AHJ6" s="15"/>
      <c r="AHK6" s="15"/>
      <c r="AHL6" s="15" t="s">
        <v>522</v>
      </c>
      <c r="AHM6" s="15"/>
      <c r="AHN6" s="15"/>
      <c r="AHO6" s="15"/>
      <c r="AHP6" s="15"/>
      <c r="AHQ6" s="15"/>
      <c r="AHR6" s="15"/>
      <c r="AHS6" s="15"/>
      <c r="AHT6" s="15"/>
      <c r="AHU6" s="15"/>
      <c r="AHV6" s="15"/>
      <c r="AHW6" s="15"/>
      <c r="AHX6" s="15"/>
      <c r="AHY6" s="15" t="s">
        <v>538</v>
      </c>
      <c r="AHZ6" s="15"/>
      <c r="AIA6" s="15"/>
      <c r="AIB6" s="15"/>
      <c r="AIC6" s="15"/>
      <c r="AID6" s="15"/>
      <c r="AIE6" s="15"/>
      <c r="AIF6" s="15"/>
      <c r="AIG6" s="15"/>
      <c r="AIH6" s="15" t="s">
        <v>541</v>
      </c>
      <c r="AII6" s="15"/>
      <c r="AIJ6" s="15"/>
      <c r="AIK6" s="15"/>
      <c r="AIL6" s="15"/>
      <c r="AIM6" s="15"/>
      <c r="AIN6" s="15"/>
      <c r="AIO6" s="15"/>
      <c r="AIP6" s="15"/>
      <c r="AIQ6" s="15" t="s">
        <v>543</v>
      </c>
      <c r="AIR6" s="15"/>
      <c r="AIS6" s="15" t="s">
        <v>544</v>
      </c>
      <c r="AIT6" s="15"/>
      <c r="AIU6" s="15" t="s">
        <v>563</v>
      </c>
      <c r="AIV6" s="15"/>
      <c r="AIW6" s="15"/>
      <c r="AIX6" s="15"/>
      <c r="AIY6" s="15"/>
      <c r="AIZ6" s="15"/>
      <c r="AJA6" s="15"/>
      <c r="AJB6" s="15"/>
      <c r="AJC6" s="15"/>
      <c r="AJD6" s="15"/>
      <c r="AJE6" s="15"/>
      <c r="AJF6" s="15"/>
      <c r="AJG6" s="15" t="s">
        <v>696</v>
      </c>
      <c r="AJH6" s="15"/>
      <c r="AJI6" s="15"/>
      <c r="AJJ6" s="15"/>
      <c r="AJK6" s="15"/>
      <c r="AJL6" s="15"/>
      <c r="AJM6" s="15"/>
      <c r="AJN6" s="15"/>
      <c r="AJO6" s="15" t="s">
        <v>698</v>
      </c>
      <c r="AJP6" s="15"/>
      <c r="AJQ6" s="15"/>
      <c r="AJR6" s="15"/>
      <c r="AJS6" s="15"/>
      <c r="AJT6" s="15"/>
      <c r="AJU6" s="15"/>
      <c r="AJV6" s="15"/>
      <c r="AJW6" s="15"/>
      <c r="AJX6" s="15"/>
      <c r="AJY6" s="15" t="s">
        <v>700</v>
      </c>
      <c r="AJZ6" s="15"/>
      <c r="AKA6" s="15"/>
      <c r="AKB6" s="15"/>
      <c r="AKC6" s="15"/>
      <c r="AKD6" s="15"/>
      <c r="AKE6" s="15"/>
      <c r="AKF6" s="15"/>
      <c r="AKG6" s="15"/>
      <c r="AKH6" s="15"/>
      <c r="AKI6" s="15"/>
      <c r="AKJ6" s="16" t="s">
        <v>695</v>
      </c>
      <c r="AKK6" s="16"/>
      <c r="AKL6" s="16"/>
      <c r="AKM6" s="16"/>
      <c r="AKN6" s="16"/>
      <c r="AKO6" s="16"/>
      <c r="AKP6" s="16"/>
      <c r="AKQ6" s="15"/>
      <c r="AKR6" s="15"/>
      <c r="AKS6" s="15"/>
      <c r="AKT6" s="15"/>
      <c r="AKU6" s="15"/>
      <c r="AKV6" s="15"/>
      <c r="AKW6" s="15"/>
      <c r="AKX6" s="15"/>
      <c r="AKY6" s="15" t="s">
        <v>697</v>
      </c>
      <c r="AKZ6" s="15"/>
      <c r="ALA6" s="15"/>
      <c r="ALB6" s="15"/>
      <c r="ALC6" s="15"/>
      <c r="ALD6" s="15"/>
      <c r="ALE6" s="15"/>
      <c r="ALF6" s="15"/>
      <c r="ALG6" s="15"/>
      <c r="ALH6" s="15"/>
      <c r="ALI6" s="15"/>
      <c r="ALJ6" s="15"/>
      <c r="ALK6" s="15"/>
      <c r="ALL6" s="15"/>
      <c r="ALM6" s="15"/>
      <c r="ALN6" s="15" t="s">
        <v>701</v>
      </c>
      <c r="ALO6" s="15"/>
      <c r="ALP6" s="15"/>
      <c r="ALQ6" s="15"/>
      <c r="ALR6" s="15"/>
      <c r="ALS6" s="15"/>
      <c r="ALT6" s="15"/>
      <c r="ALU6" s="15"/>
      <c r="ALV6" s="15"/>
      <c r="ALW6" s="15"/>
      <c r="ALX6" s="15"/>
      <c r="ALY6" s="15"/>
      <c r="ALZ6" s="15"/>
      <c r="AMA6" s="15"/>
      <c r="AMB6" s="15"/>
      <c r="AMC6" s="15"/>
      <c r="AMD6" s="28" t="s">
        <v>699</v>
      </c>
      <c r="AME6" s="15"/>
      <c r="AMF6" s="15"/>
      <c r="AMG6" s="15"/>
      <c r="AMH6" s="15"/>
      <c r="AMI6" s="15"/>
      <c r="AMJ6" s="15"/>
      <c r="AMK6" s="15"/>
      <c r="AML6" s="15"/>
      <c r="AMM6" s="15"/>
      <c r="AMN6" s="15"/>
      <c r="AMO6" s="15"/>
      <c r="AMP6" s="15"/>
      <c r="AMQ6" s="15"/>
      <c r="AMR6" s="15"/>
      <c r="AMS6" s="15"/>
      <c r="AMT6" s="15"/>
      <c r="AMU6" s="15"/>
      <c r="AMV6" s="15"/>
      <c r="AMW6" s="15"/>
      <c r="AMX6" s="15"/>
      <c r="AMY6" s="15"/>
      <c r="AMZ6" s="15"/>
      <c r="ANA6" s="15"/>
      <c r="ANB6" s="15"/>
      <c r="ANC6" s="15"/>
      <c r="AND6" s="15"/>
      <c r="ANE6" s="15"/>
      <c r="ANF6" s="15"/>
      <c r="ANG6" s="15"/>
      <c r="ANH6" s="15"/>
      <c r="ANI6" s="15"/>
      <c r="ANJ6" s="15"/>
      <c r="ANK6" s="15"/>
      <c r="ANL6" s="15"/>
      <c r="ANM6" s="15"/>
      <c r="ANN6" s="15"/>
      <c r="ANO6" s="15"/>
      <c r="ANP6" s="15"/>
      <c r="ANQ6" s="15"/>
      <c r="ANR6" s="15"/>
      <c r="ANS6" s="15"/>
      <c r="ANT6" s="15"/>
      <c r="ANU6" s="15"/>
      <c r="ANV6" s="15"/>
      <c r="ANW6" s="15"/>
      <c r="ANX6" s="15"/>
      <c r="ANY6" s="15"/>
      <c r="ANZ6" s="15"/>
      <c r="AOA6" s="15"/>
      <c r="AOB6" s="15"/>
      <c r="AOC6" s="15"/>
      <c r="AOD6" s="15"/>
      <c r="AOE6" s="15"/>
      <c r="AOF6" s="15"/>
      <c r="AOG6" s="15"/>
      <c r="AOH6" s="15"/>
      <c r="AOI6" s="15"/>
      <c r="AOJ6" s="15"/>
      <c r="AOK6" s="15"/>
      <c r="AOL6" s="15"/>
      <c r="AOM6" s="15"/>
      <c r="AON6" s="15"/>
      <c r="AOO6" s="15"/>
      <c r="AOP6" s="15"/>
      <c r="AOQ6" s="15"/>
      <c r="AOR6" s="15"/>
      <c r="AOS6" s="15"/>
      <c r="AOT6" s="15"/>
      <c r="AOU6" s="15"/>
      <c r="AOV6" s="15"/>
      <c r="AOW6" s="15"/>
      <c r="AOX6" s="15"/>
      <c r="AOY6" s="15"/>
      <c r="AOZ6" s="15"/>
      <c r="APA6" s="15"/>
      <c r="APB6" s="15"/>
      <c r="APC6" s="15"/>
      <c r="APD6" s="15"/>
      <c r="APE6" s="15"/>
      <c r="APF6" s="15"/>
      <c r="APG6" s="15"/>
      <c r="APH6" s="15"/>
      <c r="API6" s="15"/>
      <c r="APJ6" s="15"/>
      <c r="APK6" s="15"/>
      <c r="APL6" s="15"/>
      <c r="APM6" s="15"/>
      <c r="APN6" s="15"/>
      <c r="APO6" s="15"/>
      <c r="APP6" s="15"/>
      <c r="APQ6" s="15"/>
      <c r="APR6" s="15"/>
      <c r="APS6" s="15"/>
      <c r="APT6" s="15"/>
      <c r="APU6" s="15"/>
      <c r="APV6" s="15"/>
      <c r="APW6" s="15"/>
      <c r="APX6" s="15"/>
      <c r="APY6" s="15"/>
      <c r="APZ6" s="15"/>
      <c r="AQA6" s="15"/>
      <c r="AQB6" s="15"/>
    </row>
    <row r="7" spans="1:1120" s="17" customFormat="1" ht="15" customHeight="1" x14ac:dyDescent="0.25">
      <c r="A7" s="36" t="s">
        <v>13</v>
      </c>
      <c r="B7" s="36"/>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c r="CC7" s="18"/>
      <c r="CD7" s="18"/>
      <c r="CE7" s="18"/>
      <c r="CF7" s="18"/>
      <c r="CG7" s="18"/>
      <c r="CH7" s="18"/>
      <c r="CI7" s="18"/>
      <c r="CJ7" s="18"/>
      <c r="CK7" s="18"/>
      <c r="CL7" s="18"/>
      <c r="CM7" s="18"/>
      <c r="CN7" s="18"/>
      <c r="CO7" s="18"/>
      <c r="CP7" s="18"/>
      <c r="CQ7" s="18"/>
      <c r="CR7" s="18"/>
      <c r="CS7" s="18"/>
      <c r="CT7" s="18"/>
      <c r="CU7" s="18"/>
      <c r="CV7" s="18"/>
      <c r="CW7" s="18"/>
      <c r="CX7" s="18"/>
      <c r="CY7" s="18"/>
      <c r="CZ7" s="18"/>
      <c r="DA7" s="18"/>
      <c r="DB7" s="18"/>
      <c r="DC7" s="18"/>
      <c r="DD7" s="18"/>
      <c r="DE7" s="18"/>
      <c r="DF7" s="18"/>
      <c r="DG7" s="18"/>
      <c r="DH7" s="18"/>
      <c r="DI7" s="18"/>
      <c r="DJ7" s="18"/>
      <c r="DK7" s="18"/>
      <c r="DL7" s="18"/>
      <c r="DM7" s="18"/>
      <c r="DN7" s="18"/>
      <c r="DO7" s="18"/>
      <c r="DP7" s="18"/>
      <c r="DQ7" s="18"/>
      <c r="DR7" s="18"/>
      <c r="DS7" s="18"/>
      <c r="DT7" s="18"/>
      <c r="DU7" s="18"/>
      <c r="DV7" s="18"/>
      <c r="DW7" s="18"/>
      <c r="DX7" s="18"/>
      <c r="DY7" s="18"/>
      <c r="DZ7" s="18"/>
      <c r="EA7" s="18"/>
      <c r="EB7" s="18"/>
      <c r="EC7" s="18"/>
      <c r="ED7" s="18"/>
      <c r="EE7" s="18"/>
      <c r="EF7" s="18"/>
      <c r="EG7" s="18"/>
      <c r="EH7" s="18"/>
      <c r="EI7" s="18"/>
      <c r="EJ7" s="18"/>
      <c r="EK7" s="18"/>
      <c r="EL7" s="18"/>
      <c r="EM7" s="18"/>
      <c r="EN7" s="18"/>
      <c r="EO7" s="18"/>
      <c r="EP7" s="18"/>
      <c r="EQ7" s="18"/>
      <c r="ER7" s="18"/>
      <c r="ES7" s="18"/>
      <c r="ET7" s="18"/>
      <c r="EU7" s="18"/>
      <c r="EV7" s="18"/>
      <c r="EW7" s="18"/>
      <c r="EX7" s="18"/>
      <c r="EY7" s="18"/>
      <c r="EZ7" s="18"/>
      <c r="FA7" s="18"/>
      <c r="FB7" s="18"/>
      <c r="FC7" s="18"/>
      <c r="FD7" s="18"/>
      <c r="FE7" s="18"/>
      <c r="FF7" s="18"/>
      <c r="FG7" s="18"/>
      <c r="FH7" s="18"/>
      <c r="FI7" s="18"/>
      <c r="FJ7" s="18"/>
      <c r="FK7" s="18"/>
      <c r="FL7" s="18"/>
      <c r="FM7" s="18"/>
      <c r="FN7" s="18"/>
      <c r="FO7" s="18"/>
      <c r="FP7" s="18"/>
      <c r="FQ7" s="18"/>
      <c r="FR7" s="18"/>
      <c r="FS7" s="18"/>
      <c r="FT7" s="18"/>
      <c r="FU7" s="18"/>
      <c r="FV7" s="18"/>
      <c r="FW7" s="18"/>
      <c r="FX7" s="18"/>
      <c r="FY7" s="18"/>
      <c r="FZ7" s="18"/>
      <c r="GA7" s="18"/>
      <c r="GB7" s="18"/>
      <c r="GC7" s="18"/>
      <c r="GD7" s="18"/>
      <c r="GE7" s="18"/>
      <c r="GF7" s="18"/>
      <c r="GG7" s="18"/>
      <c r="GH7" s="18"/>
      <c r="GI7" s="18"/>
      <c r="GJ7" s="18"/>
      <c r="GK7" s="18"/>
      <c r="GL7" s="18"/>
      <c r="GM7" s="18"/>
      <c r="GN7" s="18"/>
      <c r="GO7" s="18"/>
      <c r="GP7" s="18"/>
      <c r="GQ7" s="18"/>
      <c r="GR7" s="18"/>
      <c r="GS7" s="18"/>
      <c r="GT7" s="18"/>
      <c r="GU7" s="18"/>
      <c r="GV7" s="18"/>
      <c r="GW7" s="18"/>
      <c r="GX7" s="18"/>
      <c r="GY7" s="18"/>
      <c r="GZ7" s="18"/>
      <c r="HA7" s="18"/>
      <c r="HB7" s="18"/>
      <c r="HC7" s="18"/>
      <c r="HD7" s="18"/>
      <c r="HE7" s="18"/>
      <c r="HF7" s="18"/>
      <c r="HG7" s="18"/>
      <c r="HH7" s="18"/>
      <c r="HI7" s="18"/>
      <c r="HJ7" s="18"/>
      <c r="HK7" s="18"/>
      <c r="HL7" s="18"/>
      <c r="HM7" s="18"/>
      <c r="HN7" s="18"/>
      <c r="HO7" s="18"/>
      <c r="HP7" s="18"/>
      <c r="HQ7" s="18"/>
      <c r="HR7" s="18"/>
      <c r="HS7" s="18"/>
      <c r="HT7" s="18"/>
      <c r="HU7" s="18"/>
      <c r="HV7" s="18"/>
      <c r="HW7" s="18"/>
      <c r="HX7" s="18"/>
      <c r="HY7" s="18"/>
      <c r="HZ7" s="18"/>
      <c r="IA7" s="18"/>
      <c r="IB7" s="18"/>
      <c r="IC7" s="18"/>
      <c r="ID7" s="18"/>
      <c r="IE7" s="18"/>
      <c r="IF7" s="18"/>
      <c r="IG7" s="18"/>
      <c r="IH7" s="18"/>
      <c r="II7" s="18"/>
      <c r="IJ7" s="18"/>
      <c r="IK7" s="18"/>
      <c r="IL7" s="18"/>
      <c r="IM7" s="18"/>
      <c r="IN7" s="18"/>
      <c r="IO7" s="18"/>
      <c r="IP7" s="18"/>
      <c r="IQ7" s="18"/>
      <c r="IR7" s="18"/>
      <c r="IS7" s="15"/>
      <c r="IT7" s="15"/>
      <c r="IU7" s="15"/>
      <c r="IV7" s="15"/>
      <c r="IW7" s="15"/>
      <c r="IX7" s="15"/>
      <c r="IY7" s="15"/>
      <c r="IZ7" s="15"/>
      <c r="JA7" s="15"/>
      <c r="JB7" s="15"/>
      <c r="JC7" s="15"/>
      <c r="JD7" s="15"/>
      <c r="JE7" s="15"/>
      <c r="JF7" s="15"/>
      <c r="JG7" s="15"/>
      <c r="JH7" s="15"/>
      <c r="JI7" s="15"/>
      <c r="JJ7" s="15"/>
      <c r="JK7" s="15"/>
      <c r="JL7" s="15"/>
      <c r="JM7" s="15"/>
      <c r="JN7" s="15"/>
      <c r="JO7" s="15"/>
      <c r="JP7" s="15"/>
      <c r="JQ7" s="15"/>
      <c r="JR7" s="15"/>
      <c r="JS7" s="15"/>
      <c r="JT7" s="15"/>
      <c r="JU7" s="15"/>
      <c r="JV7" s="15"/>
      <c r="JW7" s="15"/>
      <c r="JX7" s="15"/>
      <c r="JY7" s="15"/>
      <c r="JZ7" s="15"/>
      <c r="KA7" s="15"/>
      <c r="KB7" s="15"/>
      <c r="KC7" s="15"/>
      <c r="KD7" s="15"/>
      <c r="KE7" s="15"/>
      <c r="KF7" s="15"/>
      <c r="KG7" s="15"/>
      <c r="KH7" s="15"/>
      <c r="KI7" s="15"/>
      <c r="KJ7" s="15"/>
      <c r="KK7" s="15"/>
      <c r="KL7" s="15"/>
      <c r="KM7" s="15"/>
      <c r="KN7" s="15"/>
      <c r="KO7" s="15"/>
      <c r="KP7" s="15"/>
      <c r="KQ7" s="15"/>
      <c r="KR7" s="15"/>
      <c r="KS7" s="15"/>
      <c r="KT7" s="15"/>
      <c r="KU7" s="15"/>
      <c r="KV7" s="15"/>
      <c r="KW7" s="15"/>
      <c r="KX7" s="15"/>
      <c r="KY7" s="15"/>
      <c r="KZ7" s="15"/>
      <c r="LA7" s="15"/>
      <c r="LB7" s="15"/>
      <c r="LC7" s="15"/>
      <c r="LD7" s="15"/>
      <c r="LE7" s="15"/>
      <c r="LF7" s="15"/>
      <c r="LG7" s="15"/>
      <c r="LH7" s="15"/>
      <c r="LI7" s="15"/>
      <c r="LJ7" s="15"/>
      <c r="LK7" s="15"/>
      <c r="LL7" s="15"/>
      <c r="LM7" s="15"/>
      <c r="LN7" s="15"/>
      <c r="LO7" s="15"/>
      <c r="LP7" s="15"/>
      <c r="LQ7" s="15"/>
      <c r="LR7" s="15"/>
      <c r="LS7" s="15"/>
      <c r="LT7" s="15"/>
      <c r="LU7" s="15"/>
      <c r="LV7" s="15"/>
      <c r="LW7" s="15"/>
      <c r="LX7" s="15"/>
      <c r="LY7" s="15"/>
      <c r="LZ7" s="15"/>
      <c r="MA7" s="15"/>
      <c r="MB7" s="15"/>
      <c r="MC7" s="15"/>
      <c r="MD7" s="15"/>
      <c r="ME7" s="15"/>
      <c r="MF7" s="15"/>
      <c r="MG7" s="15"/>
      <c r="MH7" s="15"/>
      <c r="MI7" s="15"/>
      <c r="MJ7" s="15"/>
      <c r="MK7" s="15"/>
      <c r="ML7" s="15"/>
      <c r="MM7" s="15"/>
      <c r="MN7" s="15"/>
      <c r="MO7" s="15"/>
      <c r="MP7" s="15"/>
      <c r="MQ7" s="15"/>
      <c r="MR7" s="15"/>
      <c r="MS7" s="15"/>
      <c r="MT7" s="15"/>
      <c r="MU7" s="15"/>
      <c r="MV7" s="15"/>
      <c r="MW7" s="15"/>
      <c r="MX7" s="15"/>
      <c r="MY7" s="15"/>
      <c r="MZ7" s="15"/>
      <c r="NA7" s="15"/>
      <c r="NB7" s="15"/>
      <c r="NC7" s="15"/>
      <c r="ND7" s="15"/>
      <c r="NE7" s="15"/>
      <c r="NF7" s="15"/>
      <c r="NG7" s="15"/>
      <c r="NH7" s="15"/>
      <c r="NI7" s="15"/>
      <c r="NJ7" s="15"/>
      <c r="NK7" s="15"/>
      <c r="NL7" s="15"/>
      <c r="NM7" s="15"/>
      <c r="NN7" s="15"/>
      <c r="NO7" s="15"/>
      <c r="NP7" s="15"/>
      <c r="NQ7" s="15"/>
      <c r="NR7" s="15"/>
      <c r="NS7" s="15"/>
      <c r="NT7" s="15"/>
      <c r="NU7" s="15"/>
      <c r="NV7" s="15"/>
      <c r="NW7" s="15"/>
      <c r="NX7" s="15"/>
      <c r="NY7" s="15"/>
      <c r="NZ7" s="15"/>
      <c r="OA7" s="15"/>
      <c r="OB7" s="15"/>
      <c r="OC7" s="15"/>
      <c r="OD7" s="15"/>
      <c r="OE7" s="15"/>
      <c r="OF7" s="15"/>
      <c r="OG7" s="15"/>
      <c r="OH7" s="15"/>
      <c r="OI7" s="15"/>
      <c r="OJ7" s="15"/>
      <c r="OK7" s="15"/>
      <c r="OL7" s="15"/>
      <c r="OM7" s="15"/>
      <c r="ON7" s="15"/>
      <c r="OO7" s="15"/>
      <c r="OP7" s="15"/>
      <c r="OQ7" s="15"/>
      <c r="OR7" s="15"/>
      <c r="OS7" s="15"/>
      <c r="OT7" s="15"/>
      <c r="OU7" s="15"/>
      <c r="OV7" s="15"/>
      <c r="OW7" s="15"/>
      <c r="OX7" s="15"/>
      <c r="OY7" s="15"/>
      <c r="OZ7" s="15"/>
      <c r="PA7" s="15"/>
      <c r="PB7" s="15"/>
      <c r="PC7" s="15"/>
      <c r="PD7" s="15"/>
      <c r="PE7" s="15"/>
      <c r="PF7" s="15"/>
      <c r="PG7" s="15"/>
      <c r="PH7" s="15"/>
      <c r="PI7" s="15"/>
      <c r="PJ7" s="15"/>
      <c r="PK7" s="15"/>
      <c r="PL7" s="15"/>
      <c r="PM7" s="15"/>
      <c r="PN7" s="15"/>
      <c r="PO7" s="15"/>
      <c r="PP7" s="15"/>
      <c r="PQ7" s="15"/>
      <c r="PR7" s="15"/>
      <c r="PS7" s="15"/>
      <c r="PT7" s="15"/>
      <c r="PU7" s="15"/>
      <c r="PV7" s="15"/>
      <c r="PW7" s="15"/>
      <c r="PX7" s="15"/>
      <c r="PY7" s="15"/>
      <c r="PZ7" s="15"/>
      <c r="QA7" s="15"/>
      <c r="QB7" s="15"/>
      <c r="QC7" s="15"/>
      <c r="QD7" s="15"/>
      <c r="QE7" s="15"/>
      <c r="QF7" s="15"/>
      <c r="QG7" s="15"/>
      <c r="QH7" s="15"/>
      <c r="QI7" s="15"/>
      <c r="QJ7" s="15"/>
      <c r="QK7" s="15"/>
      <c r="QL7" s="15"/>
      <c r="QM7" s="15"/>
      <c r="QN7" s="15"/>
      <c r="QO7" s="15"/>
      <c r="QP7" s="15"/>
      <c r="QQ7" s="15"/>
      <c r="QR7" s="15"/>
      <c r="QS7" s="15"/>
      <c r="QT7" s="15"/>
      <c r="QU7" s="15"/>
      <c r="QV7" s="15"/>
      <c r="QW7" s="15"/>
      <c r="QX7" s="15"/>
      <c r="QY7" s="15"/>
      <c r="QZ7" s="15"/>
      <c r="RA7" s="15"/>
      <c r="RB7" s="15"/>
      <c r="RC7" s="15"/>
      <c r="RD7" s="15"/>
      <c r="RE7" s="15"/>
      <c r="RF7" s="15"/>
      <c r="RG7" s="15"/>
      <c r="RH7" s="15"/>
      <c r="RI7" s="15"/>
      <c r="RJ7" s="15"/>
      <c r="RK7" s="15"/>
      <c r="RL7" s="15"/>
      <c r="RM7" s="15"/>
      <c r="RN7" s="15"/>
      <c r="RO7" s="15"/>
      <c r="RP7" s="15"/>
      <c r="RQ7" s="15"/>
      <c r="RR7" s="15"/>
      <c r="RS7" s="18"/>
      <c r="RT7" s="18"/>
      <c r="RU7" s="18"/>
      <c r="RV7" s="18"/>
      <c r="RW7" s="18"/>
      <c r="RX7" s="18"/>
      <c r="RY7" s="18"/>
      <c r="RZ7" s="18"/>
      <c r="SA7" s="15"/>
      <c r="SB7" s="15"/>
      <c r="SC7" s="15"/>
      <c r="SD7" s="15"/>
      <c r="SE7" s="15"/>
      <c r="SF7" s="15"/>
      <c r="SG7" s="15"/>
      <c r="SH7" s="15"/>
      <c r="SI7" s="15"/>
      <c r="SJ7" s="15"/>
      <c r="SK7" s="15"/>
      <c r="SL7" s="15"/>
      <c r="SM7" s="15"/>
      <c r="SN7" s="15"/>
      <c r="SO7" s="15"/>
      <c r="SP7" s="15"/>
      <c r="SQ7" s="15"/>
      <c r="SR7" s="15"/>
      <c r="SS7" s="15"/>
      <c r="ST7" s="15"/>
      <c r="SU7" s="15"/>
      <c r="SV7" s="15"/>
      <c r="SW7" s="15"/>
      <c r="SX7" s="15"/>
      <c r="SY7" s="15"/>
      <c r="SZ7" s="15"/>
      <c r="TA7" s="15"/>
      <c r="TB7" s="15"/>
      <c r="TC7" s="15"/>
      <c r="TD7" s="15"/>
      <c r="TE7" s="15"/>
      <c r="TF7" s="15"/>
      <c r="TG7" s="15"/>
      <c r="TH7" s="15"/>
      <c r="TI7" s="15"/>
      <c r="TJ7" s="15"/>
      <c r="TK7" s="15"/>
      <c r="TL7" s="15"/>
      <c r="TM7" s="15"/>
      <c r="TN7" s="15"/>
      <c r="TO7" s="15"/>
      <c r="TP7" s="15"/>
      <c r="TQ7" s="15"/>
      <c r="TR7" s="15"/>
      <c r="TS7" s="15"/>
      <c r="TT7" s="15"/>
      <c r="TU7" s="15"/>
      <c r="TV7" s="15"/>
      <c r="TW7" s="15"/>
      <c r="TX7" s="15"/>
      <c r="TY7" s="15"/>
      <c r="TZ7" s="15"/>
      <c r="UA7" s="15"/>
      <c r="UB7" s="15"/>
      <c r="UC7" s="15"/>
      <c r="UD7" s="15"/>
      <c r="UE7" s="15"/>
      <c r="UF7" s="15"/>
      <c r="UG7" s="15"/>
      <c r="UH7" s="15"/>
      <c r="UI7" s="15"/>
      <c r="UJ7" s="15"/>
      <c r="UK7" s="15"/>
      <c r="UL7" s="15"/>
      <c r="UM7" s="15"/>
      <c r="UN7" s="15"/>
      <c r="UO7" s="15"/>
      <c r="UP7" s="15"/>
      <c r="UQ7" s="15"/>
      <c r="UR7" s="15"/>
      <c r="US7" s="15"/>
      <c r="UT7" s="15"/>
      <c r="UU7" s="15"/>
      <c r="UV7" s="15"/>
      <c r="UW7" s="15"/>
      <c r="UX7" s="15"/>
      <c r="UY7" s="15"/>
      <c r="UZ7" s="15"/>
      <c r="VA7" s="15"/>
      <c r="VB7" s="15"/>
      <c r="VC7" s="15"/>
      <c r="VD7" s="15"/>
      <c r="VE7" s="15"/>
      <c r="VF7" s="15"/>
      <c r="VG7" s="15"/>
      <c r="VH7" s="15"/>
      <c r="VI7" s="15"/>
      <c r="VJ7" s="15"/>
      <c r="VK7" s="15"/>
      <c r="VL7" s="15"/>
      <c r="VM7" s="15"/>
      <c r="VN7" s="15"/>
      <c r="VO7" s="15"/>
      <c r="VP7" s="15"/>
      <c r="VQ7" s="15"/>
      <c r="VR7" s="15"/>
      <c r="VS7" s="15"/>
      <c r="VT7" s="15"/>
      <c r="VU7" s="15"/>
      <c r="VV7" s="15"/>
      <c r="VW7" s="15"/>
      <c r="VX7" s="15"/>
      <c r="VY7" s="15"/>
      <c r="VZ7" s="15"/>
      <c r="WA7" s="15"/>
      <c r="WB7" s="15"/>
      <c r="WC7" s="15"/>
      <c r="WD7" s="15"/>
      <c r="WE7" s="15"/>
      <c r="WF7" s="15"/>
      <c r="WG7" s="15"/>
      <c r="WH7" s="15"/>
      <c r="WI7" s="15"/>
      <c r="WJ7" s="15"/>
      <c r="WK7" s="15"/>
      <c r="WL7" s="15"/>
      <c r="WM7" s="15"/>
      <c r="WN7" s="15"/>
      <c r="WO7" s="15"/>
      <c r="WP7" s="15"/>
      <c r="WQ7" s="15"/>
      <c r="WR7" s="15"/>
      <c r="WS7" s="15"/>
      <c r="WT7" s="15"/>
      <c r="WU7" s="15"/>
      <c r="WV7" s="15"/>
      <c r="WW7" s="15"/>
      <c r="WX7" s="15"/>
      <c r="WY7" s="15"/>
      <c r="WZ7" s="15"/>
      <c r="XA7" s="15"/>
      <c r="XB7" s="15"/>
      <c r="XC7" s="15"/>
      <c r="XD7" s="15"/>
      <c r="XE7" s="15"/>
      <c r="XF7" s="15"/>
      <c r="XG7" s="15"/>
      <c r="XH7" s="15"/>
      <c r="XI7" s="15"/>
      <c r="XJ7" s="15"/>
      <c r="XK7" s="15"/>
      <c r="XL7" s="15"/>
      <c r="XM7" s="15"/>
      <c r="XN7" s="15"/>
      <c r="XO7" s="15"/>
      <c r="XP7" s="15"/>
      <c r="XQ7" s="15"/>
      <c r="XR7" s="15"/>
      <c r="XS7" s="15"/>
      <c r="XT7" s="15"/>
      <c r="XU7" s="15"/>
      <c r="XV7" s="15"/>
      <c r="XW7" s="15"/>
      <c r="XX7" s="15"/>
      <c r="XY7" s="15"/>
      <c r="XZ7" s="15"/>
      <c r="YA7" s="15"/>
      <c r="YB7" s="15"/>
      <c r="YC7" s="15"/>
      <c r="YD7" s="15"/>
      <c r="YE7" s="15"/>
      <c r="YF7" s="15"/>
      <c r="YG7" s="15"/>
      <c r="YH7" s="15"/>
      <c r="YI7" s="15"/>
      <c r="YJ7" s="15"/>
      <c r="YK7" s="15"/>
      <c r="YL7" s="15"/>
      <c r="YM7" s="15"/>
      <c r="YN7" s="15"/>
      <c r="YO7" s="15"/>
      <c r="YP7" s="15"/>
      <c r="YQ7" s="15"/>
      <c r="YR7" s="15"/>
      <c r="YS7" s="15"/>
      <c r="YT7" s="15"/>
      <c r="YU7" s="15"/>
      <c r="YV7" s="15"/>
      <c r="YW7" s="15"/>
      <c r="YX7" s="15"/>
      <c r="YY7" s="15"/>
      <c r="YZ7" s="15"/>
      <c r="ZA7" s="15"/>
      <c r="ZB7" s="15"/>
      <c r="ZC7" s="15"/>
      <c r="ZD7" s="15"/>
      <c r="ZE7" s="15"/>
      <c r="ZF7" s="15"/>
      <c r="ZG7" s="15"/>
      <c r="ZH7" s="15"/>
      <c r="ZI7" s="15"/>
      <c r="ZJ7" s="15"/>
      <c r="ZK7" s="15"/>
      <c r="ZL7" s="15"/>
      <c r="ZM7" s="15"/>
      <c r="ZN7" s="15"/>
      <c r="ZO7" s="15"/>
      <c r="ZP7" s="15"/>
      <c r="ZQ7" s="15"/>
      <c r="ZR7" s="15"/>
      <c r="ZS7" s="15"/>
      <c r="ZT7" s="15"/>
      <c r="ZU7" s="15"/>
      <c r="ZV7" s="15"/>
      <c r="ZW7" s="15"/>
      <c r="ZX7" s="15"/>
      <c r="ZY7" s="15"/>
      <c r="ZZ7" s="15"/>
      <c r="AAA7" s="15"/>
      <c r="AAB7" s="15"/>
      <c r="AAC7" s="15"/>
      <c r="AAD7" s="15"/>
      <c r="AAE7" s="15"/>
      <c r="AAF7" s="15"/>
      <c r="AAG7" s="15"/>
      <c r="AAH7" s="15"/>
      <c r="AAI7" s="15"/>
      <c r="AAJ7" s="15"/>
      <c r="AAK7" s="15"/>
      <c r="AAL7" s="15"/>
      <c r="AAM7" s="15"/>
      <c r="AAN7" s="15"/>
      <c r="AAO7" s="15"/>
      <c r="AAP7" s="15"/>
      <c r="AAQ7" s="15"/>
      <c r="AAR7" s="15"/>
      <c r="AAS7" s="15"/>
      <c r="AAT7" s="15"/>
      <c r="AAU7" s="15"/>
      <c r="AAV7" s="15"/>
      <c r="AAW7" s="15"/>
      <c r="AAX7" s="15"/>
      <c r="AAY7" s="15"/>
      <c r="AAZ7" s="15"/>
      <c r="ABA7" s="15"/>
      <c r="ABB7" s="15"/>
      <c r="ABC7" s="15"/>
      <c r="ABD7" s="15"/>
      <c r="ABE7" s="15"/>
      <c r="ABF7" s="15"/>
      <c r="ABG7" s="15"/>
      <c r="ABH7" s="15"/>
      <c r="ABI7" s="15"/>
      <c r="ABJ7" s="15"/>
      <c r="ABK7" s="15"/>
      <c r="ABL7" s="15"/>
      <c r="ABM7" s="15"/>
      <c r="ABN7" s="15"/>
      <c r="ABO7" s="15"/>
      <c r="ABP7" s="15"/>
      <c r="ABQ7" s="15"/>
      <c r="ABR7" s="15"/>
      <c r="ABS7" s="15"/>
      <c r="ABT7" s="15"/>
      <c r="ABU7" s="15"/>
      <c r="ABV7" s="15"/>
      <c r="ABW7" s="15"/>
      <c r="ABX7" s="15"/>
      <c r="ABY7" s="15"/>
      <c r="ABZ7" s="15"/>
      <c r="ACA7" s="15"/>
      <c r="ACB7" s="15"/>
      <c r="ACC7" s="15"/>
      <c r="ACD7" s="15"/>
      <c r="ACE7" s="15"/>
      <c r="ACF7" s="15"/>
      <c r="ACG7" s="15"/>
      <c r="ACH7" s="15"/>
      <c r="ACI7" s="15"/>
      <c r="ACJ7" s="15"/>
      <c r="ACK7" s="15"/>
      <c r="ACL7" s="15"/>
      <c r="ACM7" s="15"/>
      <c r="ACN7" s="15"/>
      <c r="ACO7" s="15"/>
      <c r="ACP7" s="15"/>
      <c r="ACQ7" s="15"/>
      <c r="ACR7" s="15"/>
      <c r="ACS7" s="15"/>
      <c r="ACT7" s="15"/>
      <c r="ACU7" s="15"/>
      <c r="ACV7" s="15"/>
      <c r="ACW7" s="15"/>
      <c r="ACX7" s="15"/>
      <c r="ACY7" s="15"/>
      <c r="ACZ7" s="15"/>
      <c r="ADA7" s="15"/>
      <c r="ADB7" s="15"/>
      <c r="ADC7" s="15"/>
      <c r="ADD7" s="15"/>
      <c r="ADE7" s="15"/>
      <c r="ADF7" s="15"/>
      <c r="ADG7" s="15"/>
      <c r="ADH7" s="15"/>
      <c r="ADI7" s="15"/>
      <c r="ADJ7" s="15"/>
      <c r="ADK7" s="15"/>
      <c r="ADL7" s="15"/>
      <c r="ADM7" s="15"/>
      <c r="ADN7" s="15"/>
      <c r="ADO7" s="15"/>
      <c r="ADP7" s="15"/>
      <c r="ADQ7" s="15"/>
      <c r="ADR7" s="15"/>
      <c r="ADS7" s="15"/>
      <c r="ADT7" s="15"/>
      <c r="ADU7" s="15"/>
      <c r="ADV7" s="15"/>
      <c r="ADW7" s="15"/>
      <c r="ADX7" s="15"/>
      <c r="ADY7" s="15"/>
      <c r="ADZ7" s="15"/>
      <c r="AEA7" s="15"/>
      <c r="AEB7" s="15"/>
      <c r="AEC7" s="15"/>
      <c r="AED7" s="15"/>
      <c r="AEE7" s="15"/>
      <c r="AEF7" s="15"/>
      <c r="AEG7" s="15"/>
      <c r="AEH7" s="15"/>
      <c r="AEI7" s="15"/>
      <c r="AEJ7" s="15"/>
      <c r="AEK7" s="15"/>
      <c r="AEL7" s="15"/>
      <c r="AEM7" s="15"/>
      <c r="AEN7" s="15"/>
      <c r="AEO7" s="15"/>
      <c r="AEP7" s="15"/>
      <c r="AEQ7" s="15"/>
      <c r="AER7" s="15"/>
      <c r="AES7" s="15"/>
      <c r="AET7" s="15"/>
      <c r="AEU7" s="15"/>
      <c r="AEV7" s="15"/>
      <c r="AEW7" s="15"/>
      <c r="AEX7" s="15"/>
      <c r="AEY7" s="15"/>
      <c r="AEZ7" s="15"/>
      <c r="AFA7" s="15"/>
      <c r="AFB7" s="15"/>
      <c r="AFC7" s="15"/>
      <c r="AFD7" s="15"/>
      <c r="AFE7" s="15"/>
      <c r="AFF7" s="15"/>
      <c r="AFG7" s="15"/>
      <c r="AFH7" s="15"/>
      <c r="AFI7" s="15"/>
      <c r="AFJ7" s="15"/>
      <c r="AFK7" s="15"/>
      <c r="AFL7" s="15"/>
      <c r="AFM7" s="15"/>
      <c r="AFN7" s="15"/>
      <c r="AFO7" s="15"/>
      <c r="AFP7" s="15"/>
      <c r="AFQ7" s="15"/>
      <c r="AFR7" s="15"/>
      <c r="AFS7" s="15"/>
      <c r="AFT7" s="15"/>
      <c r="AFU7" s="15"/>
      <c r="AFV7" s="15"/>
      <c r="AFW7" s="15"/>
      <c r="AFX7" s="15"/>
      <c r="AFY7" s="15"/>
      <c r="AFZ7" s="15"/>
      <c r="AGA7" s="15"/>
      <c r="AGB7" s="15"/>
      <c r="AGC7" s="15"/>
      <c r="AGD7" s="15"/>
      <c r="AGE7" s="15"/>
      <c r="AGF7" s="15"/>
      <c r="AGG7" s="15"/>
      <c r="AGH7" s="15"/>
      <c r="AGI7" s="15"/>
      <c r="AGJ7" s="15"/>
      <c r="AGK7" s="15"/>
      <c r="AGL7" s="15"/>
      <c r="AGM7" s="15"/>
      <c r="AGN7" s="15"/>
      <c r="AGO7" s="15"/>
      <c r="AGP7" s="15"/>
      <c r="AGQ7" s="15"/>
      <c r="AGR7" s="15"/>
      <c r="AGS7" s="15"/>
      <c r="AGT7" s="15"/>
      <c r="AGU7" s="15"/>
      <c r="AGV7" s="15"/>
      <c r="AGW7" s="15"/>
      <c r="AGX7" s="15"/>
      <c r="AGY7" s="15"/>
      <c r="AGZ7" s="15"/>
      <c r="AHA7" s="15"/>
      <c r="AHB7" s="15"/>
      <c r="AHC7" s="15"/>
      <c r="AHD7" s="15"/>
      <c r="AHE7" s="15"/>
      <c r="AHF7" s="15"/>
      <c r="AHG7" s="15"/>
      <c r="AHH7" s="15"/>
      <c r="AHI7" s="15"/>
      <c r="AHJ7" s="15"/>
      <c r="AHK7" s="15"/>
      <c r="AHL7" s="15"/>
      <c r="AHM7" s="15"/>
      <c r="AHN7" s="15"/>
      <c r="AHO7" s="15"/>
      <c r="AHP7" s="15"/>
      <c r="AHQ7" s="15"/>
      <c r="AHR7" s="15"/>
      <c r="AHS7" s="15"/>
      <c r="AHT7" s="15"/>
      <c r="AHU7" s="15"/>
      <c r="AHV7" s="15"/>
      <c r="AHW7" s="15"/>
      <c r="AHX7" s="15"/>
      <c r="AHY7" s="15"/>
      <c r="AHZ7" s="15"/>
      <c r="AIA7" s="15"/>
      <c r="AIB7" s="15"/>
      <c r="AIC7" s="15"/>
      <c r="AID7" s="15"/>
      <c r="AIE7" s="15"/>
      <c r="AIF7" s="15"/>
      <c r="AIG7" s="15"/>
      <c r="AIH7" s="15"/>
      <c r="AII7" s="15"/>
      <c r="AIJ7" s="15"/>
      <c r="AIK7" s="15"/>
      <c r="AIL7" s="15"/>
      <c r="AIM7" s="15"/>
      <c r="AIN7" s="15"/>
      <c r="AIO7" s="15"/>
      <c r="AIP7" s="15"/>
      <c r="AIQ7" s="15"/>
      <c r="AIR7" s="15"/>
      <c r="AIS7" s="15"/>
      <c r="AIT7" s="15"/>
      <c r="AIU7" s="15"/>
      <c r="AIV7" s="15"/>
      <c r="AIW7" s="15"/>
      <c r="AIX7" s="15"/>
      <c r="AIY7" s="15"/>
      <c r="AIZ7" s="15"/>
      <c r="AJA7" s="15"/>
      <c r="AJB7" s="15"/>
      <c r="AJC7" s="15"/>
      <c r="AJD7" s="15"/>
      <c r="AJE7" s="15"/>
      <c r="AJF7" s="15"/>
      <c r="AJG7" s="18"/>
      <c r="AJH7" s="18"/>
      <c r="AJI7" s="18"/>
      <c r="AJJ7" s="18"/>
      <c r="AJK7" s="18"/>
      <c r="AJL7" s="18"/>
      <c r="AJM7" s="18"/>
      <c r="AJN7" s="18"/>
      <c r="AJO7" s="18"/>
      <c r="AJP7" s="18"/>
      <c r="AJQ7" s="18"/>
      <c r="AJR7" s="18"/>
      <c r="AJS7" s="18"/>
      <c r="AJT7" s="18"/>
      <c r="AJU7" s="18"/>
      <c r="AJV7" s="18"/>
      <c r="AJW7" s="18"/>
      <c r="AJX7" s="18"/>
      <c r="AJY7" s="18"/>
      <c r="AJZ7" s="18"/>
      <c r="AKA7" s="18"/>
      <c r="AKB7" s="18"/>
      <c r="AKC7" s="18"/>
      <c r="AKD7" s="18"/>
      <c r="AKE7" s="18"/>
      <c r="AKF7" s="18"/>
      <c r="AKG7" s="18"/>
      <c r="AKH7" s="18"/>
      <c r="AKI7" s="18"/>
      <c r="AKJ7" s="18"/>
      <c r="AKK7" s="18"/>
      <c r="AKL7" s="18"/>
      <c r="AKM7" s="18"/>
      <c r="AKN7" s="18"/>
      <c r="AKO7" s="18"/>
      <c r="AKP7" s="18"/>
      <c r="AKQ7" s="15"/>
      <c r="AKR7" s="18"/>
      <c r="AKS7" s="18"/>
      <c r="AKT7" s="18"/>
      <c r="AKU7" s="18"/>
      <c r="AKV7" s="18"/>
      <c r="AKW7" s="18"/>
      <c r="AKX7" s="18"/>
      <c r="AKY7" s="15"/>
      <c r="AKZ7" s="15"/>
      <c r="ALA7" s="15"/>
      <c r="ALB7" s="15"/>
      <c r="ALC7" s="15"/>
      <c r="ALD7" s="15"/>
      <c r="ALE7" s="15"/>
      <c r="ALF7" s="15"/>
      <c r="ALG7" s="15"/>
      <c r="ALH7" s="18"/>
      <c r="ALI7" s="18"/>
      <c r="ALJ7" s="18"/>
      <c r="ALK7" s="18"/>
      <c r="ALL7" s="18"/>
      <c r="ALM7" s="15"/>
      <c r="ALN7" s="15"/>
      <c r="ALO7" s="15"/>
      <c r="ALP7" s="15"/>
      <c r="ALQ7" s="15"/>
      <c r="ALR7" s="15"/>
      <c r="ALS7" s="15"/>
      <c r="ALT7" s="15"/>
      <c r="ALU7" s="15"/>
      <c r="ALV7" s="15"/>
      <c r="ALW7" s="15"/>
      <c r="ALX7" s="15"/>
      <c r="ALY7" s="15"/>
      <c r="ALZ7" s="15"/>
      <c r="AMA7" s="15"/>
      <c r="AMB7" s="15"/>
      <c r="AMC7" s="15"/>
      <c r="AMD7" s="15"/>
      <c r="AME7" s="15"/>
      <c r="AMF7" s="15"/>
      <c r="AMG7" s="15"/>
      <c r="AMH7" s="15"/>
      <c r="AMI7" s="15"/>
      <c r="AMJ7" s="15"/>
      <c r="AMK7" s="15"/>
      <c r="AML7" s="15"/>
      <c r="AMM7" s="15"/>
      <c r="AMN7" s="15"/>
      <c r="AMO7" s="15"/>
      <c r="AMP7" s="15"/>
      <c r="AMQ7" s="15"/>
      <c r="AMR7" s="15"/>
      <c r="AMS7" s="15"/>
      <c r="AMT7" s="15"/>
      <c r="AMU7" s="15"/>
      <c r="AMV7" s="15"/>
      <c r="AMW7" s="15"/>
      <c r="AMX7" s="15"/>
      <c r="AMY7" s="15"/>
      <c r="AMZ7" s="15"/>
      <c r="ANA7" s="15"/>
      <c r="ANB7" s="15"/>
      <c r="ANC7" s="15"/>
      <c r="AND7" s="15"/>
      <c r="ANE7" s="15"/>
      <c r="ANF7" s="15"/>
      <c r="ANG7" s="15"/>
      <c r="ANH7" s="15"/>
      <c r="ANI7" s="15"/>
      <c r="ANJ7" s="15"/>
      <c r="ANK7" s="15"/>
      <c r="ANL7" s="15"/>
      <c r="ANM7" s="15"/>
      <c r="ANN7" s="15"/>
      <c r="ANO7" s="15"/>
      <c r="ANP7" s="15"/>
      <c r="ANQ7" s="15"/>
      <c r="ANR7" s="15"/>
      <c r="ANS7" s="15"/>
      <c r="ANT7" s="15"/>
      <c r="ANU7" s="15"/>
      <c r="ANV7" s="15"/>
      <c r="ANW7" s="15"/>
      <c r="ANX7" s="15"/>
      <c r="ANY7" s="15"/>
      <c r="ANZ7" s="15"/>
      <c r="AOA7" s="15"/>
      <c r="AOB7" s="15"/>
      <c r="AOC7" s="15"/>
      <c r="AOD7" s="15"/>
      <c r="AOE7" s="15"/>
      <c r="AOF7" s="15"/>
      <c r="AOG7" s="15"/>
      <c r="AOH7" s="15"/>
      <c r="AOI7" s="15"/>
      <c r="AOJ7" s="15"/>
      <c r="AOK7" s="15"/>
      <c r="AOL7" s="15"/>
      <c r="AOM7" s="15"/>
      <c r="AON7" s="15"/>
      <c r="AOO7" s="15"/>
      <c r="AOP7" s="15"/>
      <c r="AOQ7" s="15"/>
      <c r="AOR7" s="15"/>
      <c r="AOS7" s="15"/>
      <c r="AOT7" s="15"/>
      <c r="AOU7" s="15"/>
      <c r="AOV7" s="15"/>
      <c r="AOW7" s="15"/>
      <c r="AOX7" s="15"/>
      <c r="AOY7" s="15"/>
      <c r="AOZ7" s="15"/>
      <c r="APA7" s="15"/>
      <c r="APB7" s="15"/>
      <c r="APC7" s="15"/>
      <c r="APD7" s="15"/>
      <c r="APE7" s="15"/>
      <c r="APF7" s="15"/>
      <c r="APG7" s="15"/>
      <c r="APH7" s="15"/>
      <c r="API7" s="15"/>
      <c r="APJ7" s="15"/>
      <c r="APK7" s="15"/>
      <c r="APL7" s="15"/>
      <c r="APM7" s="15"/>
      <c r="APN7" s="15"/>
      <c r="APO7" s="15"/>
      <c r="APP7" s="15"/>
      <c r="APQ7" s="15"/>
      <c r="APR7" s="15"/>
      <c r="APS7" s="15"/>
      <c r="APT7" s="15"/>
      <c r="APU7" s="15"/>
      <c r="APV7" s="15"/>
      <c r="APW7" s="15"/>
      <c r="APX7" s="15"/>
      <c r="APY7" s="15"/>
      <c r="APZ7" s="15"/>
      <c r="AQA7" s="15"/>
      <c r="AQB7" s="15"/>
    </row>
    <row r="8" spans="1:1120" s="17" customFormat="1" ht="15" customHeight="1" x14ac:dyDescent="0.25">
      <c r="A8" s="33" t="s">
        <v>0</v>
      </c>
      <c r="B8" s="33"/>
      <c r="C8" s="15" t="s">
        <v>90</v>
      </c>
      <c r="D8" s="15" t="s">
        <v>95</v>
      </c>
      <c r="E8" s="15"/>
      <c r="F8" s="15"/>
      <c r="G8" s="15"/>
      <c r="H8" s="15"/>
      <c r="I8" s="15"/>
      <c r="J8" s="15" t="s">
        <v>105</v>
      </c>
      <c r="K8" s="15" t="s">
        <v>106</v>
      </c>
      <c r="L8" s="15"/>
      <c r="M8" s="15"/>
      <c r="N8" s="15"/>
      <c r="O8" s="15"/>
      <c r="P8" s="29" t="s">
        <v>587</v>
      </c>
      <c r="Q8" s="15" t="s">
        <v>105</v>
      </c>
      <c r="R8" s="15" t="s">
        <v>106</v>
      </c>
      <c r="S8" s="15"/>
      <c r="T8" s="15"/>
      <c r="U8" s="15"/>
      <c r="V8" s="15"/>
      <c r="W8" s="29" t="s">
        <v>587</v>
      </c>
      <c r="X8" s="15" t="s">
        <v>105</v>
      </c>
      <c r="Y8" s="15" t="s">
        <v>115</v>
      </c>
      <c r="Z8" s="15"/>
      <c r="AA8" s="15"/>
      <c r="AB8" s="15"/>
      <c r="AC8" s="15"/>
      <c r="AD8" s="15"/>
      <c r="AE8" s="15" t="s">
        <v>105</v>
      </c>
      <c r="AF8" s="15" t="s">
        <v>115</v>
      </c>
      <c r="AG8" s="15"/>
      <c r="AH8" s="15"/>
      <c r="AI8" s="15"/>
      <c r="AJ8" s="15"/>
      <c r="AK8" s="15"/>
      <c r="AL8" s="15" t="s">
        <v>105</v>
      </c>
      <c r="AM8" s="15" t="s">
        <v>106</v>
      </c>
      <c r="AN8" s="15"/>
      <c r="AO8" s="15"/>
      <c r="AP8" s="15"/>
      <c r="AQ8" s="15"/>
      <c r="AR8" s="15" t="s">
        <v>123</v>
      </c>
      <c r="AS8" s="15"/>
      <c r="AT8" s="15" t="s">
        <v>130</v>
      </c>
      <c r="AU8" s="15"/>
      <c r="AV8" s="15"/>
      <c r="AW8" s="15"/>
      <c r="AX8" s="15" t="s">
        <v>127</v>
      </c>
      <c r="AY8" s="15"/>
      <c r="AZ8" s="15"/>
      <c r="BA8" s="15"/>
      <c r="BB8" s="15"/>
      <c r="BC8" s="15"/>
      <c r="BD8" s="15"/>
      <c r="BE8" s="15"/>
      <c r="BF8" s="15" t="s">
        <v>131</v>
      </c>
      <c r="BG8" s="15"/>
      <c r="BH8" s="15"/>
      <c r="BI8" s="15"/>
      <c r="BJ8" s="15" t="s">
        <v>128</v>
      </c>
      <c r="BK8" s="15"/>
      <c r="BL8" s="15"/>
      <c r="BM8" s="15"/>
      <c r="BN8" s="15"/>
      <c r="BO8" s="15"/>
      <c r="BP8" s="15" t="s">
        <v>132</v>
      </c>
      <c r="BQ8" s="15"/>
      <c r="BR8" s="15"/>
      <c r="BS8" s="15"/>
      <c r="BT8" s="15" t="s">
        <v>129</v>
      </c>
      <c r="BU8" s="15"/>
      <c r="BV8" s="15"/>
      <c r="BW8" s="15"/>
      <c r="BX8" s="15"/>
      <c r="BY8" s="15"/>
      <c r="BZ8" s="15" t="s">
        <v>130</v>
      </c>
      <c r="CA8" s="15"/>
      <c r="CB8" s="15"/>
      <c r="CC8" s="15"/>
      <c r="CD8" s="15" t="s">
        <v>127</v>
      </c>
      <c r="CE8" s="15"/>
      <c r="CF8" s="15"/>
      <c r="CG8" s="15" t="s">
        <v>130</v>
      </c>
      <c r="CH8" s="15" t="s">
        <v>127</v>
      </c>
      <c r="CI8" s="15"/>
      <c r="CJ8" s="15"/>
      <c r="CK8" s="15"/>
      <c r="CL8" s="15"/>
      <c r="CM8" s="15"/>
      <c r="CN8" s="15"/>
      <c r="CO8" s="15" t="s">
        <v>131</v>
      </c>
      <c r="CP8" s="15"/>
      <c r="CQ8" s="15"/>
      <c r="CR8" s="15"/>
      <c r="CS8" s="15" t="s">
        <v>128</v>
      </c>
      <c r="CT8" s="15"/>
      <c r="CU8" s="15"/>
      <c r="CV8" s="15" t="s">
        <v>131</v>
      </c>
      <c r="CW8" s="15" t="s">
        <v>128</v>
      </c>
      <c r="CX8" s="15"/>
      <c r="CY8" s="15"/>
      <c r="CZ8" s="15"/>
      <c r="DA8" s="15"/>
      <c r="DB8" s="15"/>
      <c r="DC8" s="15"/>
      <c r="DD8" s="15" t="s">
        <v>132</v>
      </c>
      <c r="DE8" s="15"/>
      <c r="DF8" s="15"/>
      <c r="DG8" s="15"/>
      <c r="DH8" s="15" t="s">
        <v>129</v>
      </c>
      <c r="DI8" s="15"/>
      <c r="DJ8" s="15"/>
      <c r="DK8" s="15" t="s">
        <v>132</v>
      </c>
      <c r="DL8" s="15" t="s">
        <v>129</v>
      </c>
      <c r="DM8" s="15"/>
      <c r="DN8" s="15"/>
      <c r="DO8" s="15"/>
      <c r="DP8" s="15"/>
      <c r="DQ8" s="15"/>
      <c r="DR8" s="15"/>
      <c r="DS8" s="15" t="s">
        <v>130</v>
      </c>
      <c r="DT8" s="15"/>
      <c r="DU8" s="15"/>
      <c r="DV8" s="15" t="s">
        <v>133</v>
      </c>
      <c r="DW8" s="15" t="s">
        <v>134</v>
      </c>
      <c r="DX8" s="15" t="s">
        <v>136</v>
      </c>
      <c r="DY8" s="15"/>
      <c r="DZ8" s="15"/>
      <c r="EA8" s="15"/>
      <c r="EB8" s="15"/>
      <c r="EC8" s="15"/>
      <c r="ED8" s="15"/>
      <c r="EE8" s="15" t="s">
        <v>131</v>
      </c>
      <c r="EF8" s="15"/>
      <c r="EG8" s="15"/>
      <c r="EH8" s="15" t="s">
        <v>137</v>
      </c>
      <c r="EI8" s="15" t="s">
        <v>134</v>
      </c>
      <c r="EJ8" s="15" t="s">
        <v>136</v>
      </c>
      <c r="EK8" s="15"/>
      <c r="EL8" s="15"/>
      <c r="EM8" s="15"/>
      <c r="EN8" s="15"/>
      <c r="EO8" s="15"/>
      <c r="EP8" s="15"/>
      <c r="EQ8" s="15" t="s">
        <v>132</v>
      </c>
      <c r="ER8" s="15"/>
      <c r="ES8" s="15"/>
      <c r="ET8" s="15" t="s">
        <v>140</v>
      </c>
      <c r="EU8" s="15" t="s">
        <v>141</v>
      </c>
      <c r="EV8" s="15" t="s">
        <v>136</v>
      </c>
      <c r="EW8" s="15"/>
      <c r="EX8" s="15"/>
      <c r="EY8" s="15"/>
      <c r="EZ8" s="15"/>
      <c r="FA8" s="15"/>
      <c r="FB8" s="15"/>
      <c r="FC8" s="15" t="s">
        <v>142</v>
      </c>
      <c r="FD8" s="15" t="s">
        <v>105</v>
      </c>
      <c r="FE8" s="15" t="s">
        <v>143</v>
      </c>
      <c r="FF8" s="15"/>
      <c r="FG8" s="15"/>
      <c r="FH8" s="15"/>
      <c r="FI8" s="15"/>
      <c r="FJ8" s="15"/>
      <c r="FK8" s="15" t="s">
        <v>145</v>
      </c>
      <c r="FL8" s="15" t="s">
        <v>123</v>
      </c>
      <c r="FM8" s="15"/>
      <c r="FN8" s="15"/>
      <c r="FO8" s="15"/>
      <c r="FP8" s="15" t="s">
        <v>151</v>
      </c>
      <c r="FQ8" s="15"/>
      <c r="FR8" s="15" t="s">
        <v>145</v>
      </c>
      <c r="FS8" s="15" t="s">
        <v>123</v>
      </c>
      <c r="FT8" s="15"/>
      <c r="FU8" s="15"/>
      <c r="FV8" s="15"/>
      <c r="FW8" s="15" t="s">
        <v>158</v>
      </c>
      <c r="FX8" s="15"/>
      <c r="FY8" s="15" t="s">
        <v>145</v>
      </c>
      <c r="FZ8" s="15" t="s">
        <v>123</v>
      </c>
      <c r="GA8" s="15"/>
      <c r="GB8" s="15"/>
      <c r="GC8" s="15"/>
      <c r="GD8" s="15" t="s">
        <v>160</v>
      </c>
      <c r="GE8" s="15"/>
      <c r="GF8" s="15" t="s">
        <v>145</v>
      </c>
      <c r="GG8" s="15" t="s">
        <v>123</v>
      </c>
      <c r="GH8" s="15"/>
      <c r="GI8" s="15"/>
      <c r="GJ8" s="15"/>
      <c r="GK8" s="15" t="s">
        <v>160</v>
      </c>
      <c r="GL8" s="15"/>
      <c r="GM8" s="15" t="s">
        <v>145</v>
      </c>
      <c r="GN8" s="15" t="s">
        <v>123</v>
      </c>
      <c r="GO8" s="15"/>
      <c r="GP8" s="15"/>
      <c r="GQ8" s="15"/>
      <c r="GR8" s="15" t="s">
        <v>160</v>
      </c>
      <c r="GS8" s="15"/>
      <c r="GT8" s="15" t="s">
        <v>145</v>
      </c>
      <c r="GU8" s="15" t="s">
        <v>123</v>
      </c>
      <c r="GV8" s="15"/>
      <c r="GW8" s="15"/>
      <c r="GX8" s="15"/>
      <c r="GY8" s="15" t="s">
        <v>166</v>
      </c>
      <c r="GZ8" s="15"/>
      <c r="HA8" s="15" t="s">
        <v>145</v>
      </c>
      <c r="HB8" s="15" t="s">
        <v>123</v>
      </c>
      <c r="HC8" s="15"/>
      <c r="HD8" s="15"/>
      <c r="HE8" s="15"/>
      <c r="HF8" s="15" t="s">
        <v>166</v>
      </c>
      <c r="HG8" s="15"/>
      <c r="HH8" s="15" t="s">
        <v>145</v>
      </c>
      <c r="HI8" s="15" t="s">
        <v>123</v>
      </c>
      <c r="HJ8" s="15"/>
      <c r="HK8" s="15"/>
      <c r="HL8" s="15"/>
      <c r="HM8" s="15" t="s">
        <v>166</v>
      </c>
      <c r="HN8" s="15"/>
      <c r="HO8" s="15" t="s">
        <v>145</v>
      </c>
      <c r="HP8" s="15" t="s">
        <v>123</v>
      </c>
      <c r="HQ8" s="15"/>
      <c r="HR8" s="15"/>
      <c r="HS8" s="15"/>
      <c r="HT8" s="15" t="s">
        <v>166</v>
      </c>
      <c r="HU8" s="15"/>
      <c r="HV8" s="15" t="s">
        <v>145</v>
      </c>
      <c r="HW8" s="15" t="s">
        <v>123</v>
      </c>
      <c r="HX8" s="15"/>
      <c r="HY8" s="15"/>
      <c r="HZ8" s="15"/>
      <c r="IA8" s="15" t="s">
        <v>174</v>
      </c>
      <c r="IB8" s="15" t="s">
        <v>105</v>
      </c>
      <c r="IC8" s="15" t="s">
        <v>143</v>
      </c>
      <c r="ID8" s="15"/>
      <c r="IE8" s="15"/>
      <c r="IF8" s="15"/>
      <c r="IG8" s="15"/>
      <c r="IH8" s="15"/>
      <c r="II8" s="15" t="s">
        <v>145</v>
      </c>
      <c r="IJ8" s="15"/>
      <c r="IK8" s="15" t="s">
        <v>105</v>
      </c>
      <c r="IL8" s="15" t="s">
        <v>143</v>
      </c>
      <c r="IM8" s="15"/>
      <c r="IN8" s="15"/>
      <c r="IO8" s="15"/>
      <c r="IP8" s="15"/>
      <c r="IQ8" s="15"/>
      <c r="IR8" s="15" t="s">
        <v>145</v>
      </c>
      <c r="IS8" s="15" t="s">
        <v>249</v>
      </c>
      <c r="IT8" s="15" t="s">
        <v>249</v>
      </c>
      <c r="IU8" s="15" t="s">
        <v>249</v>
      </c>
      <c r="IV8" s="15" t="s">
        <v>249</v>
      </c>
      <c r="IW8" s="15" t="s">
        <v>249</v>
      </c>
      <c r="IX8" s="15" t="s">
        <v>249</v>
      </c>
      <c r="IY8" s="15" t="s">
        <v>249</v>
      </c>
      <c r="IZ8" s="15" t="s">
        <v>249</v>
      </c>
      <c r="JA8" s="15" t="s">
        <v>249</v>
      </c>
      <c r="JB8" s="15" t="s">
        <v>249</v>
      </c>
      <c r="JC8" s="15" t="s">
        <v>249</v>
      </c>
      <c r="JD8" s="15" t="s">
        <v>249</v>
      </c>
      <c r="JE8" s="15" t="s">
        <v>249</v>
      </c>
      <c r="JF8" s="15" t="s">
        <v>249</v>
      </c>
      <c r="JG8" s="15" t="s">
        <v>249</v>
      </c>
      <c r="JH8" s="15" t="s">
        <v>249</v>
      </c>
      <c r="JI8" s="15" t="s">
        <v>249</v>
      </c>
      <c r="JJ8" s="15" t="s">
        <v>249</v>
      </c>
      <c r="JK8" s="15" t="s">
        <v>249</v>
      </c>
      <c r="JL8" s="15" t="s">
        <v>249</v>
      </c>
      <c r="JM8" s="15" t="s">
        <v>249</v>
      </c>
      <c r="JN8" s="15" t="s">
        <v>249</v>
      </c>
      <c r="JO8" s="15" t="s">
        <v>249</v>
      </c>
      <c r="JP8" s="15" t="s">
        <v>249</v>
      </c>
      <c r="JQ8" s="15" t="s">
        <v>249</v>
      </c>
      <c r="JR8" s="15" t="s">
        <v>249</v>
      </c>
      <c r="JS8" s="15" t="s">
        <v>249</v>
      </c>
      <c r="JT8" s="15" t="s">
        <v>249</v>
      </c>
      <c r="JU8" s="15" t="s">
        <v>249</v>
      </c>
      <c r="JV8" s="15" t="s">
        <v>249</v>
      </c>
      <c r="JW8" s="15" t="s">
        <v>249</v>
      </c>
      <c r="JX8" s="15" t="s">
        <v>249</v>
      </c>
      <c r="JY8" s="15" t="s">
        <v>249</v>
      </c>
      <c r="JZ8" s="15" t="s">
        <v>249</v>
      </c>
      <c r="KA8" s="15" t="s">
        <v>249</v>
      </c>
      <c r="KB8" s="15" t="s">
        <v>249</v>
      </c>
      <c r="KC8" s="15" t="s">
        <v>249</v>
      </c>
      <c r="KD8" s="15" t="s">
        <v>249</v>
      </c>
      <c r="KE8" s="15" t="s">
        <v>249</v>
      </c>
      <c r="KF8" s="15" t="s">
        <v>249</v>
      </c>
      <c r="KG8" s="15" t="s">
        <v>249</v>
      </c>
      <c r="KH8" s="15" t="s">
        <v>249</v>
      </c>
      <c r="KI8" s="15" t="s">
        <v>249</v>
      </c>
      <c r="KJ8" s="15" t="s">
        <v>249</v>
      </c>
      <c r="KK8" s="15" t="s">
        <v>249</v>
      </c>
      <c r="KL8" s="15" t="s">
        <v>249</v>
      </c>
      <c r="KM8" s="15" t="s">
        <v>249</v>
      </c>
      <c r="KN8" s="15" t="s">
        <v>249</v>
      </c>
      <c r="KO8" s="15" t="s">
        <v>249</v>
      </c>
      <c r="KP8" s="15" t="s">
        <v>249</v>
      </c>
      <c r="KQ8" s="15" t="s">
        <v>249</v>
      </c>
      <c r="KR8" s="15" t="s">
        <v>249</v>
      </c>
      <c r="KS8" s="15" t="s">
        <v>249</v>
      </c>
      <c r="KT8" s="15" t="s">
        <v>249</v>
      </c>
      <c r="KU8" s="15" t="s">
        <v>249</v>
      </c>
      <c r="KV8" s="15" t="s">
        <v>249</v>
      </c>
      <c r="KW8" s="15" t="s">
        <v>249</v>
      </c>
      <c r="KX8" s="15" t="s">
        <v>249</v>
      </c>
      <c r="KY8" s="15" t="s">
        <v>249</v>
      </c>
      <c r="KZ8" s="15" t="s">
        <v>249</v>
      </c>
      <c r="LA8" s="15" t="s">
        <v>249</v>
      </c>
      <c r="LB8" s="15" t="s">
        <v>249</v>
      </c>
      <c r="LC8" s="15" t="s">
        <v>249</v>
      </c>
      <c r="LD8" s="15" t="s">
        <v>249</v>
      </c>
      <c r="LE8" s="15" t="s">
        <v>249</v>
      </c>
      <c r="LF8" s="15" t="s">
        <v>249</v>
      </c>
      <c r="LG8" s="15" t="s">
        <v>249</v>
      </c>
      <c r="LH8" s="15" t="s">
        <v>249</v>
      </c>
      <c r="LI8" s="15" t="s">
        <v>249</v>
      </c>
      <c r="LJ8" s="15" t="s">
        <v>249</v>
      </c>
      <c r="LK8" s="15" t="s">
        <v>249</v>
      </c>
      <c r="LL8" s="15" t="s">
        <v>249</v>
      </c>
      <c r="LM8" s="15" t="s">
        <v>249</v>
      </c>
      <c r="LN8" s="15" t="s">
        <v>249</v>
      </c>
      <c r="LO8" s="15" t="s">
        <v>249</v>
      </c>
      <c r="LP8" s="15" t="s">
        <v>249</v>
      </c>
      <c r="LQ8" s="15" t="s">
        <v>249</v>
      </c>
      <c r="LR8" s="15" t="s">
        <v>249</v>
      </c>
      <c r="LS8" s="15" t="s">
        <v>249</v>
      </c>
      <c r="LT8" s="15" t="s">
        <v>249</v>
      </c>
      <c r="LU8" s="15" t="s">
        <v>249</v>
      </c>
      <c r="LV8" s="15" t="s">
        <v>249</v>
      </c>
      <c r="LW8" s="15" t="s">
        <v>249</v>
      </c>
      <c r="LX8" s="15" t="s">
        <v>249</v>
      </c>
      <c r="LY8" s="15" t="s">
        <v>249</v>
      </c>
      <c r="LZ8" s="15" t="s">
        <v>249</v>
      </c>
      <c r="MA8" s="15" t="s">
        <v>249</v>
      </c>
      <c r="MB8" s="15" t="s">
        <v>249</v>
      </c>
      <c r="MC8" s="15" t="s">
        <v>249</v>
      </c>
      <c r="MD8" s="15" t="s">
        <v>249</v>
      </c>
      <c r="ME8" s="15" t="s">
        <v>249</v>
      </c>
      <c r="MF8" s="15" t="s">
        <v>252</v>
      </c>
      <c r="MG8" s="15" t="s">
        <v>250</v>
      </c>
      <c r="MH8" s="15" t="s">
        <v>251</v>
      </c>
      <c r="MI8" s="15" t="s">
        <v>252</v>
      </c>
      <c r="MJ8" s="15"/>
      <c r="MK8" s="15"/>
      <c r="ML8" s="15"/>
      <c r="MM8" s="15"/>
      <c r="MN8" s="15" t="s">
        <v>253</v>
      </c>
      <c r="MO8" s="15"/>
      <c r="MP8" s="15"/>
      <c r="MQ8" s="15"/>
      <c r="MR8" s="15"/>
      <c r="MS8" s="15" t="s">
        <v>246</v>
      </c>
      <c r="MT8" s="15"/>
      <c r="MU8" s="15"/>
      <c r="MV8" s="15"/>
      <c r="MW8" s="15"/>
      <c r="MX8" s="15" t="s">
        <v>253</v>
      </c>
      <c r="MY8" s="15"/>
      <c r="MZ8" s="15"/>
      <c r="NA8" s="15"/>
      <c r="NB8" s="15"/>
      <c r="NC8" s="15" t="s">
        <v>246</v>
      </c>
      <c r="ND8" s="15"/>
      <c r="NE8" s="15"/>
      <c r="NF8" s="15"/>
      <c r="NG8" s="15"/>
      <c r="NH8" s="15" t="s">
        <v>253</v>
      </c>
      <c r="NI8" s="15"/>
      <c r="NJ8" s="15"/>
      <c r="NK8" s="15"/>
      <c r="NL8" s="15"/>
      <c r="NM8" s="15"/>
      <c r="NN8" s="15" t="s">
        <v>258</v>
      </c>
      <c r="NO8" s="15" t="s">
        <v>259</v>
      </c>
      <c r="NP8" s="15"/>
      <c r="NQ8" s="15" t="s">
        <v>260</v>
      </c>
      <c r="NR8" s="15" t="s">
        <v>263</v>
      </c>
      <c r="NS8" s="15" t="s">
        <v>334</v>
      </c>
      <c r="NT8" s="15" t="s">
        <v>335</v>
      </c>
      <c r="NU8" s="15" t="s">
        <v>336</v>
      </c>
      <c r="NV8" s="15" t="s">
        <v>336</v>
      </c>
      <c r="NW8" s="15" t="s">
        <v>336</v>
      </c>
      <c r="NX8" s="15" t="s">
        <v>336</v>
      </c>
      <c r="NY8" s="15" t="s">
        <v>336</v>
      </c>
      <c r="NZ8" s="15" t="s">
        <v>336</v>
      </c>
      <c r="OA8" s="15" t="s">
        <v>336</v>
      </c>
      <c r="OB8" s="15" t="s">
        <v>336</v>
      </c>
      <c r="OC8" s="15" t="s">
        <v>336</v>
      </c>
      <c r="OD8" s="15" t="s">
        <v>337</v>
      </c>
      <c r="OE8" s="15" t="s">
        <v>337</v>
      </c>
      <c r="OF8" s="15" t="s">
        <v>337</v>
      </c>
      <c r="OG8" s="15" t="s">
        <v>337</v>
      </c>
      <c r="OH8" s="15" t="s">
        <v>337</v>
      </c>
      <c r="OI8" s="15" t="s">
        <v>337</v>
      </c>
      <c r="OJ8" s="15" t="s">
        <v>337</v>
      </c>
      <c r="OK8" s="15" t="s">
        <v>337</v>
      </c>
      <c r="OL8" s="15" t="s">
        <v>337</v>
      </c>
      <c r="OM8" s="15" t="s">
        <v>337</v>
      </c>
      <c r="ON8" s="15" t="s">
        <v>337</v>
      </c>
      <c r="OO8" s="15" t="s">
        <v>337</v>
      </c>
      <c r="OP8" s="15" t="s">
        <v>337</v>
      </c>
      <c r="OQ8" s="15" t="s">
        <v>337</v>
      </c>
      <c r="OR8" s="15" t="s">
        <v>337</v>
      </c>
      <c r="OS8" s="15" t="s">
        <v>337</v>
      </c>
      <c r="OT8" s="15" t="s">
        <v>337</v>
      </c>
      <c r="OU8" s="15" t="s">
        <v>337</v>
      </c>
      <c r="OV8" s="15" t="s">
        <v>337</v>
      </c>
      <c r="OW8" s="15" t="s">
        <v>337</v>
      </c>
      <c r="OX8" s="15" t="s">
        <v>337</v>
      </c>
      <c r="OY8" s="15" t="s">
        <v>337</v>
      </c>
      <c r="OZ8" s="15" t="s">
        <v>337</v>
      </c>
      <c r="PA8" s="15" t="s">
        <v>337</v>
      </c>
      <c r="PB8" s="15" t="s">
        <v>337</v>
      </c>
      <c r="PC8" s="15" t="s">
        <v>337</v>
      </c>
      <c r="PD8" s="15" t="s">
        <v>337</v>
      </c>
      <c r="PE8" s="15" t="s">
        <v>337</v>
      </c>
      <c r="PF8" s="15" t="s">
        <v>337</v>
      </c>
      <c r="PG8" s="15" t="s">
        <v>337</v>
      </c>
      <c r="PH8" s="15" t="s">
        <v>337</v>
      </c>
      <c r="PI8" s="15" t="s">
        <v>338</v>
      </c>
      <c r="PJ8" s="15" t="s">
        <v>338</v>
      </c>
      <c r="PK8" s="15" t="s">
        <v>337</v>
      </c>
      <c r="PL8" s="15" t="s">
        <v>337</v>
      </c>
      <c r="PM8" s="15" t="s">
        <v>337</v>
      </c>
      <c r="PN8" s="15" t="s">
        <v>337</v>
      </c>
      <c r="PO8" s="15" t="s">
        <v>337</v>
      </c>
      <c r="PP8" s="15" t="s">
        <v>335</v>
      </c>
      <c r="PQ8" s="15" t="s">
        <v>335</v>
      </c>
      <c r="PR8" s="15" t="s">
        <v>335</v>
      </c>
      <c r="PS8" s="15" t="s">
        <v>335</v>
      </c>
      <c r="PT8" s="15" t="s">
        <v>335</v>
      </c>
      <c r="PU8" s="15" t="s">
        <v>335</v>
      </c>
      <c r="PV8" s="15" t="s">
        <v>335</v>
      </c>
      <c r="PW8" s="15" t="s">
        <v>337</v>
      </c>
      <c r="PX8" s="15" t="s">
        <v>337</v>
      </c>
      <c r="PY8" s="15" t="s">
        <v>338</v>
      </c>
      <c r="PZ8" s="15" t="s">
        <v>338</v>
      </c>
      <c r="QA8" s="15" t="s">
        <v>335</v>
      </c>
      <c r="QB8" s="15" t="s">
        <v>339</v>
      </c>
      <c r="QC8" s="15" t="s">
        <v>339</v>
      </c>
      <c r="QD8" s="15" t="s">
        <v>339</v>
      </c>
      <c r="QE8" s="15" t="s">
        <v>337</v>
      </c>
      <c r="QF8" s="15" t="s">
        <v>338</v>
      </c>
      <c r="QG8" s="15" t="s">
        <v>338</v>
      </c>
      <c r="QH8" s="15" t="s">
        <v>337</v>
      </c>
      <c r="QI8" s="15" t="s">
        <v>338</v>
      </c>
      <c r="QJ8" s="15" t="s">
        <v>338</v>
      </c>
      <c r="QK8" s="15" t="s">
        <v>338</v>
      </c>
      <c r="QL8" s="15" t="s">
        <v>338</v>
      </c>
      <c r="QM8" s="15" t="s">
        <v>338</v>
      </c>
      <c r="QN8" s="15" t="s">
        <v>337</v>
      </c>
      <c r="QO8" s="15" t="s">
        <v>336</v>
      </c>
      <c r="QP8" s="15" t="s">
        <v>340</v>
      </c>
      <c r="QQ8" s="15" t="s">
        <v>340</v>
      </c>
      <c r="QR8" s="15" t="s">
        <v>340</v>
      </c>
      <c r="QS8" s="15" t="s">
        <v>340</v>
      </c>
      <c r="QT8" s="15" t="s">
        <v>337</v>
      </c>
      <c r="QU8" s="15" t="s">
        <v>338</v>
      </c>
      <c r="QV8" s="15"/>
      <c r="QW8" s="15" t="s">
        <v>400</v>
      </c>
      <c r="QX8" s="15"/>
      <c r="QY8" s="15"/>
      <c r="QZ8" s="15"/>
      <c r="RA8" s="15" t="s">
        <v>401</v>
      </c>
      <c r="RB8" s="15"/>
      <c r="RC8" s="15"/>
      <c r="RD8" s="15"/>
      <c r="RE8" s="15" t="s">
        <v>400</v>
      </c>
      <c r="RF8" s="15"/>
      <c r="RG8" s="15"/>
      <c r="RH8" s="15"/>
      <c r="RI8" s="15" t="s">
        <v>401</v>
      </c>
      <c r="RJ8" s="15"/>
      <c r="RK8" s="15"/>
      <c r="RL8" s="15" t="s">
        <v>400</v>
      </c>
      <c r="RM8" s="15" t="s">
        <v>401</v>
      </c>
      <c r="RN8" s="15"/>
      <c r="RO8" s="15"/>
      <c r="RP8" s="15"/>
      <c r="RQ8" s="15"/>
      <c r="RR8" s="15" t="s">
        <v>333</v>
      </c>
      <c r="RS8" s="15" t="s">
        <v>105</v>
      </c>
      <c r="RT8" s="15" t="s">
        <v>351</v>
      </c>
      <c r="RU8" s="15"/>
      <c r="RV8" s="15"/>
      <c r="RW8" s="15"/>
      <c r="RX8" s="15"/>
      <c r="RY8" s="15"/>
      <c r="RZ8" s="15" t="s">
        <v>145</v>
      </c>
      <c r="SA8" s="15" t="s">
        <v>341</v>
      </c>
      <c r="SC8" s="15" t="s">
        <v>343</v>
      </c>
      <c r="SD8" s="15" t="s">
        <v>344</v>
      </c>
      <c r="SE8" s="15" t="s">
        <v>344</v>
      </c>
      <c r="SF8" s="15" t="s">
        <v>344</v>
      </c>
      <c r="SG8" s="15" t="s">
        <v>344</v>
      </c>
      <c r="SH8" s="15" t="s">
        <v>344</v>
      </c>
      <c r="SI8" s="15" t="s">
        <v>344</v>
      </c>
      <c r="SJ8" s="15" t="s">
        <v>344</v>
      </c>
      <c r="SK8" s="15" t="s">
        <v>344</v>
      </c>
      <c r="SL8" s="15" t="s">
        <v>344</v>
      </c>
      <c r="SM8" s="15" t="s">
        <v>345</v>
      </c>
      <c r="SN8" s="15" t="s">
        <v>345</v>
      </c>
      <c r="SO8" s="15" t="s">
        <v>345</v>
      </c>
      <c r="SP8" s="15" t="s">
        <v>345</v>
      </c>
      <c r="SQ8" s="15" t="s">
        <v>345</v>
      </c>
      <c r="SR8" s="15" t="s">
        <v>345</v>
      </c>
      <c r="SS8" s="15" t="s">
        <v>345</v>
      </c>
      <c r="ST8" s="15" t="s">
        <v>345</v>
      </c>
      <c r="SU8" s="15" t="s">
        <v>345</v>
      </c>
      <c r="SV8" s="15" t="s">
        <v>345</v>
      </c>
      <c r="SW8" s="15" t="s">
        <v>345</v>
      </c>
      <c r="SX8" s="15" t="s">
        <v>345</v>
      </c>
      <c r="SY8" s="15" t="s">
        <v>345</v>
      </c>
      <c r="SZ8" s="15" t="s">
        <v>345</v>
      </c>
      <c r="TA8" s="15" t="s">
        <v>345</v>
      </c>
      <c r="TB8" s="15" t="s">
        <v>345</v>
      </c>
      <c r="TC8" s="15" t="s">
        <v>345</v>
      </c>
      <c r="TD8" s="15" t="s">
        <v>345</v>
      </c>
      <c r="TE8" s="15" t="s">
        <v>345</v>
      </c>
      <c r="TF8" s="15" t="s">
        <v>345</v>
      </c>
      <c r="TG8" s="15" t="s">
        <v>345</v>
      </c>
      <c r="TH8" s="15" t="s">
        <v>345</v>
      </c>
      <c r="TI8" s="15" t="s">
        <v>345</v>
      </c>
      <c r="TJ8" s="15" t="s">
        <v>345</v>
      </c>
      <c r="TK8" s="15" t="s">
        <v>345</v>
      </c>
      <c r="TL8" s="15" t="s">
        <v>345</v>
      </c>
      <c r="TM8" s="15" t="s">
        <v>345</v>
      </c>
      <c r="TN8" s="15" t="s">
        <v>345</v>
      </c>
      <c r="TO8" s="15" t="s">
        <v>345</v>
      </c>
      <c r="TP8" s="15" t="s">
        <v>345</v>
      </c>
      <c r="TQ8" s="15" t="s">
        <v>346</v>
      </c>
      <c r="TR8" s="15" t="s">
        <v>346</v>
      </c>
      <c r="TS8" s="15" t="s">
        <v>345</v>
      </c>
      <c r="TT8" s="15" t="s">
        <v>345</v>
      </c>
      <c r="TU8" s="15" t="s">
        <v>345</v>
      </c>
      <c r="TV8" s="15" t="s">
        <v>345</v>
      </c>
      <c r="TW8" s="15" t="s">
        <v>345</v>
      </c>
      <c r="TX8" s="15" t="s">
        <v>343</v>
      </c>
      <c r="TY8" s="15" t="s">
        <v>343</v>
      </c>
      <c r="TZ8" s="15" t="s">
        <v>343</v>
      </c>
      <c r="UA8" s="15" t="s">
        <v>343</v>
      </c>
      <c r="UB8" s="15" t="s">
        <v>343</v>
      </c>
      <c r="UC8" s="15" t="s">
        <v>343</v>
      </c>
      <c r="UD8" s="15" t="s">
        <v>343</v>
      </c>
      <c r="UE8" s="15" t="s">
        <v>345</v>
      </c>
      <c r="UF8" s="15" t="s">
        <v>345</v>
      </c>
      <c r="UG8" s="15" t="s">
        <v>346</v>
      </c>
      <c r="UH8" s="15" t="s">
        <v>346</v>
      </c>
      <c r="UI8" s="15" t="s">
        <v>343</v>
      </c>
      <c r="UJ8" s="15" t="s">
        <v>347</v>
      </c>
      <c r="UK8" s="15" t="s">
        <v>347</v>
      </c>
      <c r="UL8" s="15" t="s">
        <v>347</v>
      </c>
      <c r="UM8" s="15" t="s">
        <v>345</v>
      </c>
      <c r="UN8" s="15" t="s">
        <v>346</v>
      </c>
      <c r="UO8" s="15" t="s">
        <v>346</v>
      </c>
      <c r="UP8" s="15" t="s">
        <v>345</v>
      </c>
      <c r="UQ8" s="15" t="s">
        <v>346</v>
      </c>
      <c r="UR8" s="15" t="s">
        <v>346</v>
      </c>
      <c r="US8" s="15" t="s">
        <v>346</v>
      </c>
      <c r="UT8" s="15" t="s">
        <v>346</v>
      </c>
      <c r="UU8" s="15" t="s">
        <v>346</v>
      </c>
      <c r="UV8" s="15" t="s">
        <v>345</v>
      </c>
      <c r="UW8" s="15" t="s">
        <v>344</v>
      </c>
      <c r="UX8" s="15" t="s">
        <v>348</v>
      </c>
      <c r="UY8" s="15" t="s">
        <v>348</v>
      </c>
      <c r="UZ8" s="15" t="s">
        <v>348</v>
      </c>
      <c r="VA8" s="15" t="s">
        <v>348</v>
      </c>
      <c r="VB8" s="15" t="s">
        <v>345</v>
      </c>
      <c r="VC8" s="15" t="s">
        <v>346</v>
      </c>
      <c r="VD8" s="15"/>
      <c r="VE8" s="15" t="s">
        <v>404</v>
      </c>
      <c r="VF8" s="15"/>
      <c r="VG8" s="15"/>
      <c r="VH8" s="15"/>
      <c r="VI8" s="15" t="s">
        <v>405</v>
      </c>
      <c r="VJ8" s="15"/>
      <c r="VK8" s="15"/>
      <c r="VL8" s="15"/>
      <c r="VM8" s="15"/>
      <c r="VN8" s="15" t="s">
        <v>404</v>
      </c>
      <c r="VO8" s="15"/>
      <c r="VP8" s="15"/>
      <c r="VQ8" s="15"/>
      <c r="VR8" s="15" t="s">
        <v>405</v>
      </c>
      <c r="VS8" s="15"/>
      <c r="VT8" s="15"/>
      <c r="VU8" s="15" t="s">
        <v>404</v>
      </c>
      <c r="VV8" s="15" t="s">
        <v>405</v>
      </c>
      <c r="VW8" s="15"/>
      <c r="VX8" s="15"/>
      <c r="VY8" s="15"/>
      <c r="VZ8" s="15"/>
      <c r="WA8" s="15" t="s">
        <v>384</v>
      </c>
      <c r="WB8" s="15" t="s">
        <v>385</v>
      </c>
      <c r="WC8" s="15"/>
      <c r="WD8" s="15" t="s">
        <v>386</v>
      </c>
      <c r="WE8" s="15"/>
      <c r="WF8" s="15"/>
      <c r="WG8" s="15"/>
      <c r="WH8" s="15"/>
      <c r="WI8" s="15"/>
      <c r="WJ8" s="15"/>
      <c r="WK8" s="15"/>
      <c r="WL8" s="15"/>
      <c r="WM8" s="15"/>
      <c r="WN8" s="15"/>
      <c r="WO8" s="15"/>
      <c r="WP8" s="15"/>
      <c r="WQ8" s="15"/>
      <c r="WR8" s="15"/>
      <c r="WS8" s="15"/>
      <c r="WT8" s="15"/>
      <c r="WU8" s="15"/>
      <c r="WV8" s="15"/>
      <c r="WW8" s="15"/>
      <c r="WX8" s="15"/>
      <c r="WY8" s="15"/>
      <c r="WZ8" s="15"/>
      <c r="XA8" s="15"/>
      <c r="XB8" s="15"/>
      <c r="XC8" s="15"/>
      <c r="XD8" s="15"/>
      <c r="XE8" s="15"/>
      <c r="XF8" s="15"/>
      <c r="XG8" s="15"/>
      <c r="XH8" s="15"/>
      <c r="XI8" s="15"/>
      <c r="XJ8" s="15" t="s">
        <v>408</v>
      </c>
      <c r="XK8" s="15"/>
      <c r="XL8" s="15"/>
      <c r="XM8" s="15"/>
      <c r="XN8" s="15" t="s">
        <v>409</v>
      </c>
      <c r="XO8" s="15"/>
      <c r="XP8" s="15"/>
      <c r="XQ8" s="15"/>
      <c r="XR8" s="15"/>
      <c r="XS8" s="15" t="s">
        <v>408</v>
      </c>
      <c r="XT8" s="15"/>
      <c r="XU8" s="15"/>
      <c r="XV8" s="15"/>
      <c r="XW8" s="15" t="s">
        <v>409</v>
      </c>
      <c r="XX8" s="15"/>
      <c r="XY8" s="15"/>
      <c r="XZ8" s="15" t="s">
        <v>408</v>
      </c>
      <c r="YA8" s="15" t="s">
        <v>409</v>
      </c>
      <c r="YB8" s="15"/>
      <c r="YC8" s="15"/>
      <c r="YD8" s="15"/>
      <c r="YE8" s="15"/>
      <c r="YF8" s="15" t="s">
        <v>412</v>
      </c>
      <c r="YG8" s="15"/>
      <c r="YH8" s="15"/>
      <c r="YI8" s="15"/>
      <c r="YJ8" s="15" t="s">
        <v>413</v>
      </c>
      <c r="YK8" s="15"/>
      <c r="YL8" s="15"/>
      <c r="YM8" s="15"/>
      <c r="YN8" s="15"/>
      <c r="YO8" s="15" t="s">
        <v>412</v>
      </c>
      <c r="YP8" s="15"/>
      <c r="YQ8" s="15"/>
      <c r="YR8" s="15"/>
      <c r="YS8" s="15" t="s">
        <v>413</v>
      </c>
      <c r="YT8" s="15"/>
      <c r="YU8" s="15"/>
      <c r="YV8" s="15" t="s">
        <v>412</v>
      </c>
      <c r="YW8" s="15" t="s">
        <v>413</v>
      </c>
      <c r="YX8" s="15"/>
      <c r="YY8" s="15"/>
      <c r="YZ8" s="15"/>
      <c r="ZA8" s="15"/>
      <c r="ZB8" s="15" t="s">
        <v>414</v>
      </c>
      <c r="ZC8" s="15"/>
      <c r="ZD8" s="15"/>
      <c r="ZE8" s="15" t="s">
        <v>415</v>
      </c>
      <c r="ZF8" s="15" t="s">
        <v>416</v>
      </c>
      <c r="ZG8" s="15"/>
      <c r="ZH8" s="15"/>
      <c r="ZI8" s="15"/>
      <c r="ZJ8" s="15"/>
      <c r="ZK8" s="15" t="s">
        <v>418</v>
      </c>
      <c r="ZL8" s="15" t="s">
        <v>705</v>
      </c>
      <c r="ZM8" s="15"/>
      <c r="ZN8" s="15"/>
      <c r="ZO8" s="15"/>
      <c r="ZP8" s="15" t="s">
        <v>706</v>
      </c>
      <c r="ZQ8" s="15" t="s">
        <v>422</v>
      </c>
      <c r="ZR8" s="15" t="s">
        <v>707</v>
      </c>
      <c r="ZT8" s="15"/>
      <c r="ZU8" s="15"/>
      <c r="ZV8" s="15"/>
      <c r="ZW8" s="15" t="s">
        <v>708</v>
      </c>
      <c r="ZX8" s="15" t="s">
        <v>422</v>
      </c>
      <c r="ZY8" s="15" t="s">
        <v>420</v>
      </c>
      <c r="ZZ8" s="15" t="s">
        <v>423</v>
      </c>
      <c r="AAA8" s="15"/>
      <c r="AAB8" s="15"/>
      <c r="AAC8" s="15"/>
      <c r="AAD8" s="15" t="s">
        <v>427</v>
      </c>
      <c r="AAE8" s="15" t="s">
        <v>425</v>
      </c>
      <c r="AAF8" s="15"/>
      <c r="AAG8" s="15"/>
      <c r="AAH8" s="15"/>
      <c r="AAI8" s="15" t="s">
        <v>426</v>
      </c>
      <c r="AAJ8" s="15" t="s">
        <v>436</v>
      </c>
      <c r="AAK8" s="15" t="s">
        <v>439</v>
      </c>
      <c r="AAL8" s="15" t="s">
        <v>105</v>
      </c>
      <c r="AAM8" s="15" t="s">
        <v>351</v>
      </c>
      <c r="AAN8" s="15"/>
      <c r="AAO8" s="15"/>
      <c r="AAP8" s="15"/>
      <c r="AAQ8" s="15"/>
      <c r="AAR8" s="15"/>
      <c r="AAS8" s="15" t="s">
        <v>145</v>
      </c>
      <c r="AAT8" s="15"/>
      <c r="AAU8" s="15" t="s">
        <v>447</v>
      </c>
      <c r="AAV8" s="15" t="s">
        <v>449</v>
      </c>
      <c r="AAW8" s="15" t="s">
        <v>439</v>
      </c>
      <c r="AAX8" s="15" t="s">
        <v>105</v>
      </c>
      <c r="AAY8" s="15" t="s">
        <v>452</v>
      </c>
      <c r="AAZ8" s="15"/>
      <c r="ABA8" s="15"/>
      <c r="ABB8" s="15"/>
      <c r="ABC8" s="15"/>
      <c r="ABD8" s="15"/>
      <c r="ABE8" s="15"/>
      <c r="ABF8" s="15"/>
      <c r="ABG8" s="15" t="s">
        <v>453</v>
      </c>
      <c r="ABH8" s="15" t="s">
        <v>449</v>
      </c>
      <c r="ABI8" s="15" t="s">
        <v>479</v>
      </c>
      <c r="ABJ8" s="15" t="s">
        <v>479</v>
      </c>
      <c r="ABK8" s="15" t="s">
        <v>480</v>
      </c>
      <c r="ABL8" s="15" t="s">
        <v>480</v>
      </c>
      <c r="ABM8" s="15" t="s">
        <v>480</v>
      </c>
      <c r="ABN8" s="15" t="s">
        <v>480</v>
      </c>
      <c r="ABO8" s="15" t="s">
        <v>480</v>
      </c>
      <c r="ABP8" s="15" t="s">
        <v>480</v>
      </c>
      <c r="ABQ8" s="15" t="s">
        <v>481</v>
      </c>
      <c r="ABR8" s="15" t="s">
        <v>479</v>
      </c>
      <c r="ABS8" s="15" t="s">
        <v>479</v>
      </c>
      <c r="ABT8" s="15" t="s">
        <v>480</v>
      </c>
      <c r="ABU8" s="15" t="s">
        <v>480</v>
      </c>
      <c r="ABV8" s="15" t="s">
        <v>480</v>
      </c>
      <c r="ABW8" s="15" t="s">
        <v>480</v>
      </c>
      <c r="ABX8" s="15" t="s">
        <v>480</v>
      </c>
      <c r="ABY8" s="15" t="s">
        <v>480</v>
      </c>
      <c r="ABZ8" s="15" t="s">
        <v>482</v>
      </c>
      <c r="ACA8" s="15" t="s">
        <v>480</v>
      </c>
      <c r="ACB8" s="15" t="s">
        <v>482</v>
      </c>
      <c r="ACC8" s="15" t="s">
        <v>483</v>
      </c>
      <c r="ACD8" s="15" t="s">
        <v>483</v>
      </c>
      <c r="ACE8" s="15" t="s">
        <v>482</v>
      </c>
      <c r="ACF8" s="15" t="s">
        <v>483</v>
      </c>
      <c r="ACG8" s="15" t="s">
        <v>482</v>
      </c>
      <c r="ACH8" s="15" t="s">
        <v>486</v>
      </c>
      <c r="ACI8" s="15"/>
      <c r="ACJ8" s="15"/>
      <c r="ACK8" s="15"/>
      <c r="ACL8" s="15" t="s">
        <v>487</v>
      </c>
      <c r="ACM8" s="15"/>
      <c r="ACN8" s="15"/>
      <c r="ACO8" s="15"/>
      <c r="ACP8" s="15" t="s">
        <v>488</v>
      </c>
      <c r="ACQ8" s="15" t="s">
        <v>486</v>
      </c>
      <c r="ACR8" s="15"/>
      <c r="ACS8" s="15"/>
      <c r="ACT8" s="15"/>
      <c r="ACU8" s="15" t="s">
        <v>487</v>
      </c>
      <c r="ACV8" s="15"/>
      <c r="ACW8" s="15"/>
      <c r="ACX8" s="15" t="s">
        <v>489</v>
      </c>
      <c r="ACY8" s="15" t="s">
        <v>487</v>
      </c>
      <c r="ACZ8" s="15"/>
      <c r="ADA8" s="15"/>
      <c r="ADB8" s="15"/>
      <c r="ADC8" s="15" t="s">
        <v>488</v>
      </c>
      <c r="ADD8" s="15" t="s">
        <v>490</v>
      </c>
      <c r="ADE8" s="15" t="s">
        <v>494</v>
      </c>
      <c r="ADF8" s="15" t="s">
        <v>495</v>
      </c>
      <c r="ADG8" s="15" t="s">
        <v>499</v>
      </c>
      <c r="ADH8" s="15" t="s">
        <v>105</v>
      </c>
      <c r="ADI8" s="15" t="s">
        <v>452</v>
      </c>
      <c r="ADJ8" s="15"/>
      <c r="ADK8" s="15"/>
      <c r="ADL8" s="15"/>
      <c r="ADM8" s="15"/>
      <c r="ADN8" s="15"/>
      <c r="ADO8" s="15"/>
      <c r="ADP8" s="15"/>
      <c r="ADQ8" s="15" t="s">
        <v>453</v>
      </c>
      <c r="ADR8" s="15" t="s">
        <v>449</v>
      </c>
      <c r="ADS8" s="15" t="s">
        <v>479</v>
      </c>
      <c r="ADT8" s="15" t="s">
        <v>479</v>
      </c>
      <c r="ADU8" s="15" t="s">
        <v>480</v>
      </c>
      <c r="ADV8" s="15" t="s">
        <v>480</v>
      </c>
      <c r="ADW8" s="15" t="s">
        <v>480</v>
      </c>
      <c r="ADX8" s="15" t="s">
        <v>480</v>
      </c>
      <c r="ADY8" s="15" t="s">
        <v>480</v>
      </c>
      <c r="ADZ8" s="15" t="s">
        <v>480</v>
      </c>
      <c r="AEA8" s="15" t="s">
        <v>481</v>
      </c>
      <c r="AEB8" s="15" t="s">
        <v>479</v>
      </c>
      <c r="AEC8" s="15" t="s">
        <v>479</v>
      </c>
      <c r="AED8" s="15" t="s">
        <v>480</v>
      </c>
      <c r="AEE8" s="15" t="s">
        <v>480</v>
      </c>
      <c r="AEF8" s="15" t="s">
        <v>480</v>
      </c>
      <c r="AEG8" s="15" t="s">
        <v>480</v>
      </c>
      <c r="AEH8" s="15" t="s">
        <v>480</v>
      </c>
      <c r="AEI8" s="15" t="s">
        <v>480</v>
      </c>
      <c r="AEJ8" s="15" t="s">
        <v>482</v>
      </c>
      <c r="AEK8" s="15" t="s">
        <v>480</v>
      </c>
      <c r="AEL8" s="15" t="s">
        <v>482</v>
      </c>
      <c r="AEM8" s="15" t="s">
        <v>483</v>
      </c>
      <c r="AEN8" s="15" t="s">
        <v>483</v>
      </c>
      <c r="AEO8" s="15" t="s">
        <v>482</v>
      </c>
      <c r="AEP8" s="15" t="s">
        <v>483</v>
      </c>
      <c r="AEQ8" s="15" t="s">
        <v>482</v>
      </c>
      <c r="AER8" s="15" t="s">
        <v>486</v>
      </c>
      <c r="AES8" s="15"/>
      <c r="AET8" s="15"/>
      <c r="AEU8" s="15"/>
      <c r="AEV8" s="15" t="s">
        <v>487</v>
      </c>
      <c r="AEW8" s="15"/>
      <c r="AEX8" s="15"/>
      <c r="AEY8" s="15"/>
      <c r="AEZ8" s="15" t="s">
        <v>488</v>
      </c>
      <c r="AFA8" s="15" t="s">
        <v>486</v>
      </c>
      <c r="AFB8" s="15"/>
      <c r="AFC8" s="15"/>
      <c r="AFD8" s="15"/>
      <c r="AFE8" s="15" t="s">
        <v>487</v>
      </c>
      <c r="AFF8" s="15"/>
      <c r="AFG8" s="15"/>
      <c r="AFH8" s="15" t="s">
        <v>489</v>
      </c>
      <c r="AFI8" s="15" t="s">
        <v>487</v>
      </c>
      <c r="AFJ8" s="15"/>
      <c r="AFK8" s="15"/>
      <c r="AFL8" s="15"/>
      <c r="AFM8" s="15" t="s">
        <v>488</v>
      </c>
      <c r="AFN8" s="15" t="s">
        <v>490</v>
      </c>
      <c r="AFO8" s="15" t="s">
        <v>500</v>
      </c>
      <c r="AFP8" s="15" t="s">
        <v>495</v>
      </c>
      <c r="AFQ8" s="15" t="s">
        <v>499</v>
      </c>
      <c r="AFR8" s="15" t="s">
        <v>105</v>
      </c>
      <c r="AFS8" s="15" t="s">
        <v>516</v>
      </c>
      <c r="AFT8" s="15"/>
      <c r="AFU8" s="15"/>
      <c r="AFV8" s="15"/>
      <c r="AFW8" s="15"/>
      <c r="AFX8" s="15"/>
      <c r="AFY8" s="15"/>
      <c r="AFZ8" s="15"/>
      <c r="AGA8" s="15"/>
      <c r="AGB8" s="15"/>
      <c r="AGC8" s="15" t="s">
        <v>517</v>
      </c>
      <c r="AGD8" s="15" t="s">
        <v>523</v>
      </c>
      <c r="AGE8" s="15"/>
      <c r="AGF8" s="15"/>
      <c r="AGG8" s="15" t="s">
        <v>525</v>
      </c>
      <c r="AGH8" s="15"/>
      <c r="AGI8" s="15"/>
      <c r="AGJ8" s="15"/>
      <c r="AGK8" s="15" t="s">
        <v>537</v>
      </c>
      <c r="AGL8" s="15"/>
      <c r="AGM8" s="15"/>
      <c r="AGN8" s="15"/>
      <c r="AGO8" s="15" t="s">
        <v>536</v>
      </c>
      <c r="AGP8" s="15" t="s">
        <v>524</v>
      </c>
      <c r="AGQ8" s="15"/>
      <c r="AGR8" s="15"/>
      <c r="AGS8" s="15"/>
      <c r="AGT8" s="15" t="s">
        <v>535</v>
      </c>
      <c r="AGU8" s="15"/>
      <c r="AGV8" s="15"/>
      <c r="AGW8" s="15"/>
      <c r="AGX8" s="15" t="s">
        <v>534</v>
      </c>
      <c r="AGY8" s="15" t="s">
        <v>526</v>
      </c>
      <c r="AGZ8" s="15"/>
      <c r="AHA8" s="15"/>
      <c r="AHB8" s="15"/>
      <c r="AHC8" s="15" t="s">
        <v>527</v>
      </c>
      <c r="AHD8" s="15"/>
      <c r="AHE8" s="15"/>
      <c r="AHF8" s="15" t="s">
        <v>528</v>
      </c>
      <c r="AHG8" s="15" t="s">
        <v>527</v>
      </c>
      <c r="AHH8" s="15"/>
      <c r="AHI8" s="15"/>
      <c r="AHJ8" s="15"/>
      <c r="AHK8" s="15" t="s">
        <v>529</v>
      </c>
      <c r="AHL8" s="15" t="s">
        <v>530</v>
      </c>
      <c r="AHM8" s="15"/>
      <c r="AHN8" s="15"/>
      <c r="AHO8" s="15"/>
      <c r="AHP8" s="15" t="s">
        <v>531</v>
      </c>
      <c r="AHQ8" s="15"/>
      <c r="AHR8" s="15"/>
      <c r="AHS8" s="15" t="s">
        <v>532</v>
      </c>
      <c r="AHT8" s="15" t="s">
        <v>531</v>
      </c>
      <c r="AHU8" s="15"/>
      <c r="AHV8" s="15"/>
      <c r="AHW8" s="15"/>
      <c r="AHX8" s="15" t="s">
        <v>533</v>
      </c>
      <c r="AHY8" s="15" t="s">
        <v>526</v>
      </c>
      <c r="AHZ8" s="15"/>
      <c r="AIA8" s="15"/>
      <c r="AIB8" s="15" t="s">
        <v>540</v>
      </c>
      <c r="AIC8" s="15" t="s">
        <v>527</v>
      </c>
      <c r="AID8" s="15"/>
      <c r="AIE8" s="15"/>
      <c r="AIF8" s="15"/>
      <c r="AIG8" s="15" t="s">
        <v>539</v>
      </c>
      <c r="AIH8" s="15" t="s">
        <v>526</v>
      </c>
      <c r="AII8" s="15"/>
      <c r="AIJ8" s="15"/>
      <c r="AIK8" s="15" t="s">
        <v>540</v>
      </c>
      <c r="AIL8" s="15" t="s">
        <v>527</v>
      </c>
      <c r="AIM8" s="15"/>
      <c r="AIN8" s="15"/>
      <c r="AIO8" s="15"/>
      <c r="AIP8" s="15" t="s">
        <v>539</v>
      </c>
      <c r="AIQ8" s="15" t="s">
        <v>542</v>
      </c>
      <c r="AIR8" s="15" t="s">
        <v>598</v>
      </c>
      <c r="AIS8" s="15" t="s">
        <v>542</v>
      </c>
      <c r="AIT8" s="15" t="s">
        <v>598</v>
      </c>
      <c r="AIU8" s="15" t="s">
        <v>547</v>
      </c>
      <c r="AIV8" s="15"/>
      <c r="AIW8" s="15" t="s">
        <v>545</v>
      </c>
      <c r="AIX8" s="15"/>
      <c r="AIY8" s="15"/>
      <c r="AIZ8" s="15" t="s">
        <v>546</v>
      </c>
      <c r="AJA8" s="15" t="s">
        <v>572</v>
      </c>
      <c r="AJB8" s="15" t="s">
        <v>595</v>
      </c>
      <c r="AJC8" s="15" t="s">
        <v>596</v>
      </c>
      <c r="AJD8" s="15"/>
      <c r="AJE8" s="15" t="s">
        <v>597</v>
      </c>
      <c r="AJF8" s="15" t="s">
        <v>105</v>
      </c>
      <c r="AJG8" s="15" t="s">
        <v>647</v>
      </c>
      <c r="AJI8" s="14" t="s">
        <v>648</v>
      </c>
      <c r="AJN8" s="15" t="s">
        <v>105</v>
      </c>
      <c r="AJO8" s="15" t="s">
        <v>647</v>
      </c>
      <c r="AJQ8" s="13" t="s">
        <v>649</v>
      </c>
      <c r="AJX8" s="15" t="s">
        <v>105</v>
      </c>
      <c r="AJY8" s="15" t="s">
        <v>647</v>
      </c>
      <c r="AKA8" s="13" t="s">
        <v>650</v>
      </c>
      <c r="AKD8" s="13" t="s">
        <v>651</v>
      </c>
      <c r="AKI8" s="15" t="s">
        <v>105</v>
      </c>
      <c r="AKJ8" s="15" t="s">
        <v>351</v>
      </c>
      <c r="AKK8" s="15"/>
      <c r="AKL8" s="15"/>
      <c r="AKM8" s="15"/>
      <c r="AKN8" s="15"/>
      <c r="AKO8" s="15"/>
      <c r="AKP8" s="15" t="s">
        <v>145</v>
      </c>
      <c r="AKQ8" s="14" t="s">
        <v>652</v>
      </c>
      <c r="AKS8" s="14" t="s">
        <v>653</v>
      </c>
      <c r="AKX8" s="15" t="s">
        <v>105</v>
      </c>
      <c r="AKY8" s="15" t="s">
        <v>452</v>
      </c>
      <c r="AKZ8" s="15"/>
      <c r="ALA8" s="15"/>
      <c r="ALB8" s="15"/>
      <c r="ALC8" s="15"/>
      <c r="ALD8" s="15"/>
      <c r="ALE8" s="15"/>
      <c r="ALF8" s="15"/>
      <c r="ALG8" s="15" t="s">
        <v>453</v>
      </c>
      <c r="ALH8" s="13" t="s">
        <v>654</v>
      </c>
      <c r="ALK8" s="14" t="s">
        <v>655</v>
      </c>
      <c r="ALL8" s="13" t="s">
        <v>656</v>
      </c>
      <c r="ALM8" s="15" t="s">
        <v>105</v>
      </c>
      <c r="ALN8" s="15" t="s">
        <v>657</v>
      </c>
      <c r="ALO8" s="15"/>
      <c r="ALP8" s="15"/>
      <c r="ALQ8" s="15"/>
      <c r="ALR8" s="15"/>
      <c r="ALS8" s="15"/>
      <c r="ALU8" s="15"/>
      <c r="ALV8" s="15"/>
      <c r="ALW8" s="15" t="s">
        <v>658</v>
      </c>
      <c r="ALX8" s="15" t="s">
        <v>654</v>
      </c>
      <c r="ALY8" s="15"/>
      <c r="ALZ8" s="15"/>
      <c r="AMA8" s="14" t="s">
        <v>659</v>
      </c>
      <c r="AMB8" s="13" t="s">
        <v>660</v>
      </c>
      <c r="AMC8" s="15" t="s">
        <v>105</v>
      </c>
      <c r="AMD8" s="15" t="s">
        <v>516</v>
      </c>
      <c r="AME8" s="15"/>
      <c r="AMF8" s="15"/>
      <c r="AMG8" s="15"/>
      <c r="AMH8" s="15"/>
      <c r="AMI8" s="15"/>
      <c r="AMJ8" s="15"/>
      <c r="AMK8" s="15"/>
      <c r="AML8" s="15"/>
      <c r="AMM8" s="15"/>
      <c r="AMN8" s="15" t="s">
        <v>517</v>
      </c>
      <c r="AMO8" s="13" t="s">
        <v>661</v>
      </c>
      <c r="AMP8" s="13" t="s">
        <v>661</v>
      </c>
      <c r="AMQ8" s="13" t="s">
        <v>662</v>
      </c>
      <c r="AMR8" s="13" t="s">
        <v>662</v>
      </c>
      <c r="AMS8" s="13" t="s">
        <v>663</v>
      </c>
      <c r="AMT8" s="13" t="s">
        <v>662</v>
      </c>
      <c r="AMU8" s="13" t="s">
        <v>663</v>
      </c>
      <c r="AMV8" s="13" t="s">
        <v>661</v>
      </c>
      <c r="AMW8" s="13" t="s">
        <v>662</v>
      </c>
      <c r="AMX8" s="13" t="s">
        <v>664</v>
      </c>
      <c r="AMY8" s="14"/>
      <c r="AMZ8" s="14"/>
      <c r="ANA8" s="14"/>
      <c r="ANB8" s="14"/>
      <c r="ANC8" s="13" t="s">
        <v>665</v>
      </c>
      <c r="AND8" s="14"/>
      <c r="ANE8" s="15"/>
      <c r="ANF8" s="15"/>
      <c r="ANG8" s="15"/>
      <c r="ANH8" s="15"/>
      <c r="ANI8" s="15"/>
      <c r="ANJ8" s="15"/>
      <c r="ANK8" s="15"/>
      <c r="ANL8" s="15"/>
      <c r="ANM8" s="15"/>
      <c r="ANN8" s="15"/>
      <c r="ANO8" s="15"/>
      <c r="ANP8" s="15"/>
      <c r="ANQ8" s="15"/>
      <c r="ANR8" s="15"/>
      <c r="ANS8" s="15"/>
      <c r="ANT8" s="15"/>
      <c r="ANU8" s="15"/>
      <c r="ANV8" s="15"/>
      <c r="ANW8" s="15"/>
      <c r="ANX8" s="15"/>
      <c r="ANY8" s="15"/>
      <c r="ANZ8" s="15"/>
      <c r="AOA8" s="15"/>
      <c r="AOB8" s="15"/>
      <c r="AOC8" s="15"/>
      <c r="AOD8" s="15"/>
      <c r="AOE8" s="15"/>
      <c r="AOF8" s="15"/>
      <c r="AOG8" s="15"/>
      <c r="AOH8" s="15"/>
      <c r="AOI8" s="15"/>
      <c r="AOJ8" s="15"/>
      <c r="AOK8" s="15"/>
      <c r="AOL8" s="15"/>
      <c r="AOM8" s="15"/>
      <c r="AON8" s="15"/>
      <c r="AOO8" s="15"/>
      <c r="AOP8" s="15"/>
      <c r="AOQ8" s="15"/>
      <c r="AOR8" s="15"/>
      <c r="AOS8" s="15"/>
      <c r="AOT8" s="15"/>
      <c r="AOU8" s="15"/>
      <c r="AOV8" s="15"/>
      <c r="AOW8" s="15"/>
      <c r="AOX8" s="15"/>
      <c r="AOY8" s="15"/>
      <c r="AOZ8" s="15"/>
      <c r="APA8" s="15"/>
      <c r="APB8" s="15"/>
      <c r="APC8" s="15"/>
      <c r="APD8" s="15"/>
      <c r="APE8" s="15"/>
      <c r="APF8" s="15"/>
      <c r="APG8" s="15"/>
      <c r="APH8" s="15"/>
      <c r="API8" s="15"/>
      <c r="APJ8" s="15"/>
      <c r="APK8" s="15"/>
      <c r="APL8" s="15"/>
      <c r="APM8" s="15"/>
      <c r="APN8" s="15"/>
      <c r="APO8" s="15"/>
      <c r="APP8" s="15"/>
      <c r="APQ8" s="15"/>
      <c r="APR8" s="15"/>
      <c r="APS8" s="15"/>
      <c r="APT8" s="15"/>
      <c r="APU8" s="15"/>
      <c r="APV8" s="15"/>
      <c r="APW8" s="15"/>
      <c r="APX8" s="15"/>
      <c r="APY8" s="15"/>
      <c r="APZ8" s="15"/>
      <c r="AQA8" s="15"/>
      <c r="AQB8" s="15"/>
    </row>
    <row r="9" spans="1:1120" s="17" customFormat="1" ht="15" customHeight="1" x14ac:dyDescent="0.25">
      <c r="A9" s="34" t="s">
        <v>10</v>
      </c>
      <c r="B9" s="34"/>
      <c r="C9" s="15">
        <v>10</v>
      </c>
      <c r="D9" s="15">
        <f>C9+10</f>
        <v>20</v>
      </c>
      <c r="E9" s="15">
        <f>D9+10</f>
        <v>30</v>
      </c>
      <c r="F9" s="15">
        <f>E9+10</f>
        <v>40</v>
      </c>
      <c r="G9" s="15">
        <f>H9-10</f>
        <v>5000</v>
      </c>
      <c r="H9" s="15">
        <f>I9-10</f>
        <v>5010</v>
      </c>
      <c r="I9" s="15">
        <f>D9+(I12*10)-10</f>
        <v>5020</v>
      </c>
      <c r="J9" s="15"/>
      <c r="K9" s="15">
        <v>10</v>
      </c>
      <c r="L9" s="15">
        <f>K9+10</f>
        <v>20</v>
      </c>
      <c r="M9" s="15">
        <f>L9+10</f>
        <v>30</v>
      </c>
      <c r="N9" s="15">
        <f>O9-10</f>
        <v>5000</v>
      </c>
      <c r="O9" s="15">
        <f>P9-10</f>
        <v>5010</v>
      </c>
      <c r="P9" s="15">
        <f>K9+(P12*10)</f>
        <v>5020</v>
      </c>
      <c r="Q9" s="15"/>
      <c r="R9" s="15">
        <v>10</v>
      </c>
      <c r="S9" s="15">
        <f>R9+10</f>
        <v>20</v>
      </c>
      <c r="T9" s="15">
        <f>S9+10</f>
        <v>30</v>
      </c>
      <c r="U9" s="15">
        <f>V9-10</f>
        <v>5000</v>
      </c>
      <c r="V9" s="15">
        <f>W9-10</f>
        <v>5010</v>
      </c>
      <c r="W9" s="15">
        <f>R9+(W12*10)</f>
        <v>5020</v>
      </c>
      <c r="X9" s="15"/>
      <c r="Y9" s="15">
        <v>10</v>
      </c>
      <c r="Z9" s="15">
        <f>Y9+10</f>
        <v>20</v>
      </c>
      <c r="AA9" s="15">
        <f>Z9+10</f>
        <v>30</v>
      </c>
      <c r="AB9" s="15">
        <f>AC9-10</f>
        <v>5000</v>
      </c>
      <c r="AC9" s="15">
        <f>AD9-10</f>
        <v>5010</v>
      </c>
      <c r="AD9" s="15">
        <f>Y9+(AD12*10)</f>
        <v>5020</v>
      </c>
      <c r="AE9" s="15"/>
      <c r="AF9" s="15">
        <v>10</v>
      </c>
      <c r="AG9" s="15">
        <f>AF9+10</f>
        <v>20</v>
      </c>
      <c r="AH9" s="15">
        <f>AG9+10</f>
        <v>30</v>
      </c>
      <c r="AI9" s="15">
        <f>AJ9-10</f>
        <v>5000</v>
      </c>
      <c r="AJ9" s="15">
        <f>AK9-10</f>
        <v>5010</v>
      </c>
      <c r="AK9" s="15">
        <f>AF9+(AK12*10)</f>
        <v>5020</v>
      </c>
      <c r="AL9" s="15"/>
      <c r="AM9" s="15">
        <v>10</v>
      </c>
      <c r="AN9" s="15">
        <f>AM9+10</f>
        <v>20</v>
      </c>
      <c r="AO9" s="15">
        <f>AN9+10</f>
        <v>30</v>
      </c>
      <c r="AP9" s="15">
        <f>AQ9-10</f>
        <v>5000</v>
      </c>
      <c r="AQ9" s="15">
        <f>AR9-10</f>
        <v>5010</v>
      </c>
      <c r="AR9" s="15">
        <f>AM9+(AR12*10)</f>
        <v>5020</v>
      </c>
      <c r="AS9" s="15">
        <f>AR9+10</f>
        <v>5030</v>
      </c>
      <c r="AT9" s="15">
        <f>AS9+10</f>
        <v>5040</v>
      </c>
      <c r="AU9" s="15">
        <f>AT9+10</f>
        <v>5050</v>
      </c>
      <c r="AV9" s="15">
        <f>AU9+10</f>
        <v>5060</v>
      </c>
      <c r="AW9" s="15">
        <f t="shared" ref="AW9:AY9" si="0">AV9+10</f>
        <v>5070</v>
      </c>
      <c r="AX9" s="15">
        <f t="shared" si="0"/>
        <v>5080</v>
      </c>
      <c r="AY9" s="15">
        <f t="shared" si="0"/>
        <v>5090</v>
      </c>
      <c r="AZ9" s="15">
        <f>BA9-10</f>
        <v>8060</v>
      </c>
      <c r="BA9" s="15">
        <f>BB9-10</f>
        <v>8070</v>
      </c>
      <c r="BB9" s="15">
        <f>AX9+(BB14*10)</f>
        <v>8080</v>
      </c>
      <c r="BC9" s="15">
        <f>BD9-10</f>
        <v>10010</v>
      </c>
      <c r="BD9" s="15">
        <f>BE9-10</f>
        <v>10020</v>
      </c>
      <c r="BE9" s="15">
        <f>(AS9+(BE13*10))-10</f>
        <v>10030</v>
      </c>
      <c r="BF9" s="15">
        <f>BE9+10</f>
        <v>10040</v>
      </c>
      <c r="BG9" s="15">
        <f>BF9+10</f>
        <v>10050</v>
      </c>
      <c r="BH9" s="15">
        <f>BG9+10</f>
        <v>10060</v>
      </c>
      <c r="BI9" s="15">
        <f>BH9+10</f>
        <v>10070</v>
      </c>
      <c r="BJ9" s="15">
        <f>BI9+10</f>
        <v>10080</v>
      </c>
      <c r="BK9" s="15">
        <f>BL9-10</f>
        <v>13060</v>
      </c>
      <c r="BL9" s="15">
        <f>BM9-10</f>
        <v>13070</v>
      </c>
      <c r="BM9" s="15">
        <f>BJ9+(BM14*10)</f>
        <v>13080</v>
      </c>
      <c r="BN9" s="15">
        <f t="shared" ref="BN9:BT9" si="1">BM9+10</f>
        <v>13090</v>
      </c>
      <c r="BO9" s="15">
        <f t="shared" si="1"/>
        <v>13100</v>
      </c>
      <c r="BP9" s="15">
        <f t="shared" si="1"/>
        <v>13110</v>
      </c>
      <c r="BQ9" s="15">
        <f t="shared" si="1"/>
        <v>13120</v>
      </c>
      <c r="BR9" s="15">
        <f t="shared" si="1"/>
        <v>13130</v>
      </c>
      <c r="BS9" s="15">
        <f t="shared" si="1"/>
        <v>13140</v>
      </c>
      <c r="BT9" s="15">
        <f t="shared" si="1"/>
        <v>13150</v>
      </c>
      <c r="BU9" s="15">
        <f>BV9-10</f>
        <v>16130</v>
      </c>
      <c r="BV9" s="15">
        <f>BW9-10</f>
        <v>16140</v>
      </c>
      <c r="BW9" s="15">
        <f>BT9+(BW14*10)</f>
        <v>16150</v>
      </c>
      <c r="BX9" s="15">
        <f>BW9+10</f>
        <v>16160</v>
      </c>
      <c r="BY9" s="15">
        <f>BX9+10</f>
        <v>16170</v>
      </c>
      <c r="BZ9" s="15">
        <f>BY9+10</f>
        <v>16180</v>
      </c>
      <c r="CA9" s="15">
        <f t="shared" ref="CA9:CC9" si="2">BZ9+10</f>
        <v>16190</v>
      </c>
      <c r="CB9" s="15">
        <f t="shared" si="2"/>
        <v>16200</v>
      </c>
      <c r="CC9" s="15">
        <f t="shared" si="2"/>
        <v>16210</v>
      </c>
      <c r="CD9" s="15">
        <f>CC9+10</f>
        <v>16220</v>
      </c>
      <c r="CE9" s="15">
        <f>CD9+10</f>
        <v>16230</v>
      </c>
      <c r="CF9" s="15">
        <f>CG9-10</f>
        <v>19190</v>
      </c>
      <c r="CG9" s="15">
        <f>CH9-10</f>
        <v>19200</v>
      </c>
      <c r="CH9" s="15">
        <f>CD9+(CH14*10)-10</f>
        <v>19210</v>
      </c>
      <c r="CI9" s="15">
        <f>CH9+10</f>
        <v>19220</v>
      </c>
      <c r="CJ9" s="15">
        <f>CK9-10</f>
        <v>22190</v>
      </c>
      <c r="CK9" s="15">
        <f>CL9-10</f>
        <v>22200</v>
      </c>
      <c r="CL9" s="15">
        <f>CH9+(CL14*10)</f>
        <v>22210</v>
      </c>
      <c r="CM9" s="15">
        <f>CL9+10</f>
        <v>22220</v>
      </c>
      <c r="CN9" s="15">
        <f>CM9+10</f>
        <v>22230</v>
      </c>
      <c r="CO9" s="15">
        <f>CN9+10</f>
        <v>22240</v>
      </c>
      <c r="CP9" s="15">
        <f t="shared" ref="CP9:CR9" si="3">CO9+10</f>
        <v>22250</v>
      </c>
      <c r="CQ9" s="15">
        <f t="shared" si="3"/>
        <v>22260</v>
      </c>
      <c r="CR9" s="15">
        <f t="shared" si="3"/>
        <v>22270</v>
      </c>
      <c r="CS9" s="15">
        <f>CR9+10</f>
        <v>22280</v>
      </c>
      <c r="CT9" s="15">
        <f>CS9+10</f>
        <v>22290</v>
      </c>
      <c r="CU9" s="15">
        <f>CV9-10</f>
        <v>25250</v>
      </c>
      <c r="CV9" s="15">
        <f>CW9-10</f>
        <v>25260</v>
      </c>
      <c r="CW9" s="15">
        <f>CS9+(CW14*10)-10</f>
        <v>25270</v>
      </c>
      <c r="CX9" s="15">
        <f>CW9+10</f>
        <v>25280</v>
      </c>
      <c r="CY9" s="15">
        <f>CZ9-10</f>
        <v>28250</v>
      </c>
      <c r="CZ9" s="15">
        <f>DA9-10</f>
        <v>28260</v>
      </c>
      <c r="DA9" s="15">
        <f>CW9+(DA14*10)</f>
        <v>28270</v>
      </c>
      <c r="DB9" s="15">
        <f>DA9+10</f>
        <v>28280</v>
      </c>
      <c r="DC9" s="15">
        <f>DB9+10</f>
        <v>28290</v>
      </c>
      <c r="DD9" s="15">
        <f>DC9+10</f>
        <v>28300</v>
      </c>
      <c r="DE9" s="15">
        <f t="shared" ref="DE9:DG9" si="4">DD9+10</f>
        <v>28310</v>
      </c>
      <c r="DF9" s="15">
        <f t="shared" si="4"/>
        <v>28320</v>
      </c>
      <c r="DG9" s="15">
        <f t="shared" si="4"/>
        <v>28330</v>
      </c>
      <c r="DH9" s="15">
        <f>DG9+10</f>
        <v>28340</v>
      </c>
      <c r="DI9" s="15">
        <f>DH9+10</f>
        <v>28350</v>
      </c>
      <c r="DJ9" s="15">
        <f>DK9-10</f>
        <v>31310</v>
      </c>
      <c r="DK9" s="15">
        <f>DL9-10</f>
        <v>31320</v>
      </c>
      <c r="DL9" s="15">
        <f>DH9+(DL14*10)-10</f>
        <v>31330</v>
      </c>
      <c r="DM9" s="15">
        <f>DL9+10</f>
        <v>31340</v>
      </c>
      <c r="DN9" s="15">
        <f>DO9-10</f>
        <v>34310</v>
      </c>
      <c r="DO9" s="15">
        <f>DP9-10</f>
        <v>34320</v>
      </c>
      <c r="DP9" s="15">
        <f>DL9+(DP14*10)</f>
        <v>34330</v>
      </c>
      <c r="DQ9" s="15">
        <f>DP9+10</f>
        <v>34340</v>
      </c>
      <c r="DR9" s="15">
        <f>DQ9+10</f>
        <v>34350</v>
      </c>
      <c r="DS9" s="15">
        <f t="shared" ref="DS9:DT9" si="5">DR9+10</f>
        <v>34360</v>
      </c>
      <c r="DT9" s="15">
        <f t="shared" si="5"/>
        <v>34370</v>
      </c>
      <c r="DU9" s="15">
        <f>DT9+10</f>
        <v>34380</v>
      </c>
      <c r="DV9" s="15">
        <f>DU9+10</f>
        <v>34390</v>
      </c>
      <c r="DW9" s="15">
        <f>DV9+10</f>
        <v>34400</v>
      </c>
      <c r="DX9" s="15">
        <f>DW9+10</f>
        <v>34410</v>
      </c>
      <c r="DY9" s="15">
        <f>DX9+10</f>
        <v>34420</v>
      </c>
      <c r="DZ9" s="15">
        <f>EA9-10</f>
        <v>37390</v>
      </c>
      <c r="EA9" s="15">
        <f>EB9-10</f>
        <v>37400</v>
      </c>
      <c r="EB9" s="15">
        <f>DX9+(EB14*10)</f>
        <v>37410</v>
      </c>
      <c r="EC9" s="15">
        <f>EB9+10</f>
        <v>37420</v>
      </c>
      <c r="ED9" s="15">
        <f>EC9+10</f>
        <v>37430</v>
      </c>
      <c r="EE9" s="15">
        <f t="shared" ref="EE9:EF9" si="6">ED9+10</f>
        <v>37440</v>
      </c>
      <c r="EF9" s="15">
        <f t="shared" si="6"/>
        <v>37450</v>
      </c>
      <c r="EG9" s="15">
        <f>EF9+10</f>
        <v>37460</v>
      </c>
      <c r="EH9" s="15">
        <f>EG9+10</f>
        <v>37470</v>
      </c>
      <c r="EI9" s="15">
        <f>EH9+10</f>
        <v>37480</v>
      </c>
      <c r="EJ9" s="15">
        <f>EI9+10</f>
        <v>37490</v>
      </c>
      <c r="EK9" s="15">
        <f>EJ9+10</f>
        <v>37500</v>
      </c>
      <c r="EL9" s="15">
        <f>EM9-10</f>
        <v>40470</v>
      </c>
      <c r="EM9" s="15">
        <f>EN9-10</f>
        <v>40480</v>
      </c>
      <c r="EN9" s="15">
        <f>EJ9+(EN14*10)</f>
        <v>40490</v>
      </c>
      <c r="EO9" s="15">
        <f>EN9+10</f>
        <v>40500</v>
      </c>
      <c r="EP9" s="15">
        <f>EO9+10</f>
        <v>40510</v>
      </c>
      <c r="EQ9" s="15">
        <f t="shared" ref="EQ9:ER9" si="7">EP9+10</f>
        <v>40520</v>
      </c>
      <c r="ER9" s="15">
        <f t="shared" si="7"/>
        <v>40530</v>
      </c>
      <c r="ES9" s="15">
        <f>ER9+10</f>
        <v>40540</v>
      </c>
      <c r="ET9" s="15">
        <f>ES9+10</f>
        <v>40550</v>
      </c>
      <c r="EU9" s="15">
        <f>ET9+10</f>
        <v>40560</v>
      </c>
      <c r="EV9" s="15">
        <f>EU9+10</f>
        <v>40570</v>
      </c>
      <c r="EW9" s="15">
        <f>EV9+10</f>
        <v>40580</v>
      </c>
      <c r="EX9" s="15">
        <f>EY9-10</f>
        <v>43550</v>
      </c>
      <c r="EY9" s="15">
        <f>EZ9-10</f>
        <v>43560</v>
      </c>
      <c r="EZ9" s="15">
        <f>EV9+(EZ14*10)</f>
        <v>43570</v>
      </c>
      <c r="FA9" s="15">
        <f>EZ9+10</f>
        <v>43580</v>
      </c>
      <c r="FB9" s="15">
        <f>FA9+10</f>
        <v>43590</v>
      </c>
      <c r="FC9" s="15">
        <f>FB9+10</f>
        <v>43600</v>
      </c>
      <c r="FD9" s="15"/>
      <c r="FE9" s="15">
        <v>10</v>
      </c>
      <c r="FF9" s="15">
        <f>FG9-10</f>
        <v>5010</v>
      </c>
      <c r="FG9" s="15">
        <f>FE9+(FG12*10)</f>
        <v>5020</v>
      </c>
      <c r="FH9" s="15">
        <f>FG9+10</f>
        <v>5030</v>
      </c>
      <c r="FI9" s="15">
        <f>FJ9-10</f>
        <v>10010</v>
      </c>
      <c r="FJ9" s="15">
        <f>FK9-10</f>
        <v>10020</v>
      </c>
      <c r="FK9" s="15">
        <f>FG9+(FK13*10)</f>
        <v>10030</v>
      </c>
      <c r="FL9" s="15">
        <f>FK9+10</f>
        <v>10040</v>
      </c>
      <c r="FM9" s="15">
        <f>FL9+10</f>
        <v>10050</v>
      </c>
      <c r="FN9" s="15">
        <f>FO9-10</f>
        <v>15030</v>
      </c>
      <c r="FO9" s="15">
        <f>FP9-10</f>
        <v>15040</v>
      </c>
      <c r="FP9" s="15">
        <f>FL9+(FP13*10)</f>
        <v>15050</v>
      </c>
      <c r="FQ9" s="15">
        <f>FP9+10</f>
        <v>15060</v>
      </c>
      <c r="FR9" s="15">
        <f>FQ9+10</f>
        <v>15070</v>
      </c>
      <c r="FS9" s="15">
        <f>FR9+10</f>
        <v>15080</v>
      </c>
      <c r="FT9" s="15">
        <f>FS9+10</f>
        <v>15090</v>
      </c>
      <c r="FU9" s="15">
        <f>FV9-10</f>
        <v>20070</v>
      </c>
      <c r="FV9" s="15">
        <f>FW9-10</f>
        <v>20080</v>
      </c>
      <c r="FW9" s="15">
        <f>FS9+(FW13*10)</f>
        <v>20090</v>
      </c>
      <c r="FX9" s="15">
        <f>FW9+10</f>
        <v>20100</v>
      </c>
      <c r="FY9" s="15">
        <f>FX9+10</f>
        <v>20110</v>
      </c>
      <c r="FZ9" s="15">
        <f>FY9+10</f>
        <v>20120</v>
      </c>
      <c r="GA9" s="15">
        <f>FZ9+10</f>
        <v>20130</v>
      </c>
      <c r="GB9" s="15">
        <f>GC9-10</f>
        <v>25110</v>
      </c>
      <c r="GC9" s="15">
        <f>GD9-10</f>
        <v>25120</v>
      </c>
      <c r="GD9" s="15">
        <f>FZ9+(GD13*10)</f>
        <v>25130</v>
      </c>
      <c r="GE9" s="15">
        <f>GD9+10</f>
        <v>25140</v>
      </c>
      <c r="GF9" s="15">
        <f>GE9+10</f>
        <v>25150</v>
      </c>
      <c r="GG9" s="15">
        <f>GF9+10</f>
        <v>25160</v>
      </c>
      <c r="GH9" s="15">
        <f>GG9+10</f>
        <v>25170</v>
      </c>
      <c r="GI9" s="15">
        <f>GJ9-10</f>
        <v>30150</v>
      </c>
      <c r="GJ9" s="15">
        <f>GK9-10</f>
        <v>30160</v>
      </c>
      <c r="GK9" s="15">
        <f>GG9+(GK13*10)</f>
        <v>30170</v>
      </c>
      <c r="GL9" s="15">
        <f>GK9+10</f>
        <v>30180</v>
      </c>
      <c r="GM9" s="15">
        <f>GL9+10</f>
        <v>30190</v>
      </c>
      <c r="GN9" s="15">
        <f>GM9+10</f>
        <v>30200</v>
      </c>
      <c r="GO9" s="15">
        <f>GN9+10</f>
        <v>30210</v>
      </c>
      <c r="GP9" s="15">
        <f>GQ9-10</f>
        <v>35190</v>
      </c>
      <c r="GQ9" s="15">
        <f>GR9-10</f>
        <v>35200</v>
      </c>
      <c r="GR9" s="15">
        <f>GN9+(GR13*10)</f>
        <v>35210</v>
      </c>
      <c r="GS9" s="15">
        <f>GR9+10</f>
        <v>35220</v>
      </c>
      <c r="GT9" s="15">
        <f>GS9+10</f>
        <v>35230</v>
      </c>
      <c r="GU9" s="15">
        <f>GT9+10</f>
        <v>35240</v>
      </c>
      <c r="GV9" s="15">
        <f>GU9+10</f>
        <v>35250</v>
      </c>
      <c r="GW9" s="15">
        <f>GX9-10</f>
        <v>40230</v>
      </c>
      <c r="GX9" s="15">
        <f>GY9-10</f>
        <v>40240</v>
      </c>
      <c r="GY9" s="15">
        <f>GU9+(GY13*10)</f>
        <v>40250</v>
      </c>
      <c r="GZ9" s="15">
        <f>GY9+10</f>
        <v>40260</v>
      </c>
      <c r="HA9" s="15">
        <f>GZ9+10</f>
        <v>40270</v>
      </c>
      <c r="HB9" s="15">
        <f>HA9+10</f>
        <v>40280</v>
      </c>
      <c r="HC9" s="15">
        <f>HB9+10</f>
        <v>40290</v>
      </c>
      <c r="HD9" s="15">
        <f>HE9-10</f>
        <v>45270</v>
      </c>
      <c r="HE9" s="15">
        <f>HF9-10</f>
        <v>45280</v>
      </c>
      <c r="HF9" s="15">
        <f>HB9+(HF13*10)</f>
        <v>45290</v>
      </c>
      <c r="HG9" s="15">
        <f>HF9+10</f>
        <v>45300</v>
      </c>
      <c r="HH9" s="15">
        <f>HG9+10</f>
        <v>45310</v>
      </c>
      <c r="HI9" s="15">
        <f>HH9+10</f>
        <v>45320</v>
      </c>
      <c r="HJ9" s="15">
        <f>HI9+10</f>
        <v>45330</v>
      </c>
      <c r="HK9" s="15">
        <f>HL9-10</f>
        <v>50310</v>
      </c>
      <c r="HL9" s="15">
        <f>HM9-10</f>
        <v>50320</v>
      </c>
      <c r="HM9" s="15">
        <f>HI9+(HM13*10)</f>
        <v>50330</v>
      </c>
      <c r="HN9" s="15">
        <f>HM9+10</f>
        <v>50340</v>
      </c>
      <c r="HO9" s="15">
        <f>HN9+10</f>
        <v>50350</v>
      </c>
      <c r="HP9" s="15">
        <f>HO9+10</f>
        <v>50360</v>
      </c>
      <c r="HQ9" s="15">
        <f>HP9+10</f>
        <v>50370</v>
      </c>
      <c r="HR9" s="15">
        <f>HS9-10</f>
        <v>55350</v>
      </c>
      <c r="HS9" s="15">
        <f>HT9-10</f>
        <v>55360</v>
      </c>
      <c r="HT9" s="15">
        <f>HP9+(HT13*10)</f>
        <v>55370</v>
      </c>
      <c r="HU9" s="15">
        <f>HT9+10</f>
        <v>55380</v>
      </c>
      <c r="HV9" s="15">
        <f>HU9+10</f>
        <v>55390</v>
      </c>
      <c r="HW9" s="15">
        <f>HV9+10</f>
        <v>55400</v>
      </c>
      <c r="HX9" s="15">
        <f>HW9+10</f>
        <v>55410</v>
      </c>
      <c r="HY9" s="15">
        <f>HZ9-10</f>
        <v>60390</v>
      </c>
      <c r="HZ9" s="15">
        <f>IA9-10</f>
        <v>60400</v>
      </c>
      <c r="IA9" s="15">
        <f>HW9+(IA13*10)</f>
        <v>60410</v>
      </c>
      <c r="IB9" s="15"/>
      <c r="IC9" s="15">
        <v>10</v>
      </c>
      <c r="ID9" s="15">
        <f>IE9-10</f>
        <v>5010</v>
      </c>
      <c r="IE9" s="15">
        <f>IC9+(IE12*10)</f>
        <v>5020</v>
      </c>
      <c r="IF9" s="15">
        <f>IE9+10</f>
        <v>5030</v>
      </c>
      <c r="IG9" s="15">
        <f>IH9-10</f>
        <v>10010</v>
      </c>
      <c r="IH9" s="15">
        <f>II9-10</f>
        <v>10020</v>
      </c>
      <c r="II9" s="15">
        <f>IE9+(II13*10)</f>
        <v>10030</v>
      </c>
      <c r="IJ9" s="15">
        <f>IF9+(IJ13*10)</f>
        <v>10040</v>
      </c>
      <c r="IK9" s="15"/>
      <c r="IL9" s="15">
        <v>10</v>
      </c>
      <c r="IM9" s="15">
        <f>IN9-10</f>
        <v>5010</v>
      </c>
      <c r="IN9" s="15">
        <f>IL9+(IN12*10)</f>
        <v>5020</v>
      </c>
      <c r="IO9" s="15">
        <f>IN9+10</f>
        <v>5030</v>
      </c>
      <c r="IP9" s="15">
        <f>IQ9-10</f>
        <v>10010</v>
      </c>
      <c r="IQ9" s="15">
        <f>IR9-10</f>
        <v>10020</v>
      </c>
      <c r="IR9" s="15">
        <f>IN9+(IR13*10)</f>
        <v>10030</v>
      </c>
      <c r="IS9" s="15">
        <f>IR9+10</f>
        <v>10040</v>
      </c>
      <c r="IT9" s="15">
        <f t="shared" ref="IT9:IU9" si="8">IS9+10</f>
        <v>10050</v>
      </c>
      <c r="IU9" s="15">
        <f t="shared" si="8"/>
        <v>10060</v>
      </c>
      <c r="IV9" s="15">
        <f t="shared" ref="IV9:IW9" si="9">IU9+10</f>
        <v>10070</v>
      </c>
      <c r="IW9" s="15">
        <f t="shared" si="9"/>
        <v>10080</v>
      </c>
      <c r="IX9" s="15">
        <f t="shared" ref="IX9:IY9" si="10">IW9+10</f>
        <v>10090</v>
      </c>
      <c r="IY9" s="15">
        <f t="shared" si="10"/>
        <v>10100</v>
      </c>
      <c r="IZ9" s="15">
        <f t="shared" ref="IZ9:JA9" si="11">IY9+10</f>
        <v>10110</v>
      </c>
      <c r="JA9" s="15">
        <f t="shared" si="11"/>
        <v>10120</v>
      </c>
      <c r="JB9" s="15">
        <f t="shared" ref="JB9:JC9" si="12">JA9+10</f>
        <v>10130</v>
      </c>
      <c r="JC9" s="15">
        <f t="shared" si="12"/>
        <v>10140</v>
      </c>
      <c r="JD9" s="15">
        <f t="shared" ref="JD9:JE9" si="13">JC9+10</f>
        <v>10150</v>
      </c>
      <c r="JE9" s="15">
        <f t="shared" si="13"/>
        <v>10160</v>
      </c>
      <c r="JF9" s="15">
        <f t="shared" ref="JF9:JI9" si="14">JE9+10</f>
        <v>10170</v>
      </c>
      <c r="JG9" s="15">
        <f t="shared" si="14"/>
        <v>10180</v>
      </c>
      <c r="JH9" s="15">
        <f t="shared" si="14"/>
        <v>10190</v>
      </c>
      <c r="JI9" s="15">
        <f t="shared" si="14"/>
        <v>10200</v>
      </c>
      <c r="JJ9" s="15">
        <f t="shared" ref="JJ9:JK9" si="15">JI9+10</f>
        <v>10210</v>
      </c>
      <c r="JK9" s="15">
        <f t="shared" si="15"/>
        <v>10220</v>
      </c>
      <c r="JL9" s="15">
        <f t="shared" ref="JL9:JM9" si="16">JK9+10</f>
        <v>10230</v>
      </c>
      <c r="JM9" s="15">
        <f t="shared" si="16"/>
        <v>10240</v>
      </c>
      <c r="JN9" s="15">
        <f t="shared" ref="JN9:JO9" si="17">JM9+10</f>
        <v>10250</v>
      </c>
      <c r="JO9" s="15">
        <f t="shared" si="17"/>
        <v>10260</v>
      </c>
      <c r="JP9" s="15">
        <f t="shared" ref="JP9:JQ9" si="18">JO9+10</f>
        <v>10270</v>
      </c>
      <c r="JQ9" s="15">
        <f t="shared" si="18"/>
        <v>10280</v>
      </c>
      <c r="JR9" s="15">
        <f t="shared" ref="JR9:JS9" si="19">JQ9+10</f>
        <v>10290</v>
      </c>
      <c r="JS9" s="15">
        <f t="shared" si="19"/>
        <v>10300</v>
      </c>
      <c r="JT9" s="15">
        <f t="shared" ref="JT9:JU9" si="20">JS9+10</f>
        <v>10310</v>
      </c>
      <c r="JU9" s="15">
        <f t="shared" si="20"/>
        <v>10320</v>
      </c>
      <c r="JV9" s="15">
        <f t="shared" ref="JV9:JX9" si="21">JU9+10</f>
        <v>10330</v>
      </c>
      <c r="JW9" s="15">
        <f t="shared" si="21"/>
        <v>10340</v>
      </c>
      <c r="JX9" s="15">
        <f t="shared" si="21"/>
        <v>10350</v>
      </c>
      <c r="JY9" s="15">
        <f t="shared" ref="JY9:JZ9" si="22">JX9+10</f>
        <v>10360</v>
      </c>
      <c r="JZ9" s="15">
        <f t="shared" si="22"/>
        <v>10370</v>
      </c>
      <c r="KA9" s="15">
        <f t="shared" ref="KA9:KB9" si="23">JZ9+10</f>
        <v>10380</v>
      </c>
      <c r="KB9" s="15">
        <f t="shared" si="23"/>
        <v>10390</v>
      </c>
      <c r="KC9" s="15">
        <f t="shared" ref="KC9:KD9" si="24">KB9+10</f>
        <v>10400</v>
      </c>
      <c r="KD9" s="15">
        <f t="shared" si="24"/>
        <v>10410</v>
      </c>
      <c r="KE9" s="15">
        <f t="shared" ref="KE9:KF9" si="25">KD9+10</f>
        <v>10420</v>
      </c>
      <c r="KF9" s="15">
        <f t="shared" si="25"/>
        <v>10430</v>
      </c>
      <c r="KG9" s="15">
        <f t="shared" ref="KG9:KH9" si="26">KF9+10</f>
        <v>10440</v>
      </c>
      <c r="KH9" s="15">
        <f t="shared" si="26"/>
        <v>10450</v>
      </c>
      <c r="KI9" s="15">
        <f t="shared" ref="KI9:KJ9" si="27">KH9+10</f>
        <v>10460</v>
      </c>
      <c r="KJ9" s="15">
        <f t="shared" si="27"/>
        <v>10470</v>
      </c>
      <c r="KK9" s="15">
        <f t="shared" ref="KK9:KL9" si="28">KJ9+10</f>
        <v>10480</v>
      </c>
      <c r="KL9" s="15">
        <f t="shared" si="28"/>
        <v>10490</v>
      </c>
      <c r="KM9" s="15">
        <f t="shared" ref="KM9:KN9" si="29">KL9+10</f>
        <v>10500</v>
      </c>
      <c r="KN9" s="15">
        <f t="shared" si="29"/>
        <v>10510</v>
      </c>
      <c r="KO9" s="15">
        <f t="shared" ref="KO9:KP9" si="30">KN9+10</f>
        <v>10520</v>
      </c>
      <c r="KP9" s="15">
        <f t="shared" si="30"/>
        <v>10530</v>
      </c>
      <c r="KQ9" s="15">
        <f t="shared" ref="KQ9:KR9" si="31">KP9+10</f>
        <v>10540</v>
      </c>
      <c r="KR9" s="15">
        <f t="shared" si="31"/>
        <v>10550</v>
      </c>
      <c r="KS9" s="15">
        <f t="shared" ref="KS9:KT9" si="32">KR9+10</f>
        <v>10560</v>
      </c>
      <c r="KT9" s="15">
        <f t="shared" si="32"/>
        <v>10570</v>
      </c>
      <c r="KU9" s="15">
        <f t="shared" ref="KU9:KX9" si="33">KT9+10</f>
        <v>10580</v>
      </c>
      <c r="KV9" s="15">
        <f t="shared" si="33"/>
        <v>10590</v>
      </c>
      <c r="KW9" s="15">
        <f t="shared" si="33"/>
        <v>10600</v>
      </c>
      <c r="KX9" s="15">
        <f t="shared" si="33"/>
        <v>10610</v>
      </c>
      <c r="KY9" s="15">
        <f t="shared" ref="KY9:KZ9" si="34">KX9+10</f>
        <v>10620</v>
      </c>
      <c r="KZ9" s="15">
        <f t="shared" si="34"/>
        <v>10630</v>
      </c>
      <c r="LA9" s="15">
        <f t="shared" ref="LA9:LB9" si="35">KZ9+10</f>
        <v>10640</v>
      </c>
      <c r="LB9" s="15">
        <f t="shared" si="35"/>
        <v>10650</v>
      </c>
      <c r="LC9" s="15">
        <f t="shared" ref="LC9:LD9" si="36">LB9+10</f>
        <v>10660</v>
      </c>
      <c r="LD9" s="15">
        <f t="shared" si="36"/>
        <v>10670</v>
      </c>
      <c r="LE9" s="15">
        <f t="shared" ref="LE9:LF9" si="37">LD9+10</f>
        <v>10680</v>
      </c>
      <c r="LF9" s="15">
        <f t="shared" si="37"/>
        <v>10690</v>
      </c>
      <c r="LG9" s="15">
        <f t="shared" ref="LG9:LJ9" si="38">LF9+10</f>
        <v>10700</v>
      </c>
      <c r="LH9" s="15">
        <f t="shared" si="38"/>
        <v>10710</v>
      </c>
      <c r="LI9" s="15">
        <f t="shared" si="38"/>
        <v>10720</v>
      </c>
      <c r="LJ9" s="15">
        <f t="shared" si="38"/>
        <v>10730</v>
      </c>
      <c r="LK9" s="15">
        <f t="shared" ref="LK9:LL9" si="39">LJ9+10</f>
        <v>10740</v>
      </c>
      <c r="LL9" s="15">
        <f t="shared" si="39"/>
        <v>10750</v>
      </c>
      <c r="LM9" s="15">
        <f t="shared" ref="LM9:LS9" si="40">LL9+10</f>
        <v>10760</v>
      </c>
      <c r="LN9" s="15">
        <f t="shared" si="40"/>
        <v>10770</v>
      </c>
      <c r="LO9" s="15">
        <f t="shared" si="40"/>
        <v>10780</v>
      </c>
      <c r="LP9" s="15">
        <f t="shared" si="40"/>
        <v>10790</v>
      </c>
      <c r="LQ9" s="15">
        <f t="shared" si="40"/>
        <v>10800</v>
      </c>
      <c r="LR9" s="15">
        <f t="shared" si="40"/>
        <v>10810</v>
      </c>
      <c r="LS9" s="15">
        <f t="shared" si="40"/>
        <v>10820</v>
      </c>
      <c r="LT9" s="15">
        <f t="shared" ref="LT9:MK9" si="41">LS9+10</f>
        <v>10830</v>
      </c>
      <c r="LU9" s="15">
        <f t="shared" si="41"/>
        <v>10840</v>
      </c>
      <c r="LV9" s="15">
        <f t="shared" si="41"/>
        <v>10850</v>
      </c>
      <c r="LW9" s="15">
        <f t="shared" si="41"/>
        <v>10860</v>
      </c>
      <c r="LX9" s="15">
        <f t="shared" si="41"/>
        <v>10870</v>
      </c>
      <c r="LY9" s="15">
        <f t="shared" si="41"/>
        <v>10880</v>
      </c>
      <c r="LZ9" s="15">
        <f t="shared" si="41"/>
        <v>10890</v>
      </c>
      <c r="MA9" s="15">
        <f t="shared" si="41"/>
        <v>10900</v>
      </c>
      <c r="MB9" s="15">
        <f t="shared" si="41"/>
        <v>10910</v>
      </c>
      <c r="MC9" s="15">
        <f t="shared" si="41"/>
        <v>10920</v>
      </c>
      <c r="MD9" s="15">
        <f t="shared" si="41"/>
        <v>10930</v>
      </c>
      <c r="ME9" s="15">
        <f t="shared" si="41"/>
        <v>10940</v>
      </c>
      <c r="MF9" s="15">
        <f t="shared" si="41"/>
        <v>10950</v>
      </c>
      <c r="MG9" s="15">
        <f t="shared" si="41"/>
        <v>10960</v>
      </c>
      <c r="MH9" s="15">
        <f t="shared" si="41"/>
        <v>10970</v>
      </c>
      <c r="MI9" s="15">
        <f t="shared" si="41"/>
        <v>10980</v>
      </c>
      <c r="MJ9" s="15">
        <f t="shared" si="41"/>
        <v>10990</v>
      </c>
      <c r="MK9" s="15">
        <f t="shared" si="41"/>
        <v>11000</v>
      </c>
      <c r="ML9" s="15">
        <f>MM9-10</f>
        <v>12970</v>
      </c>
      <c r="MM9" s="15">
        <f>MN9-10</f>
        <v>12980</v>
      </c>
      <c r="MN9" s="15">
        <f>MJ9+(MN10*10)</f>
        <v>12990</v>
      </c>
      <c r="MO9" s="15">
        <f>MN9+10</f>
        <v>13000</v>
      </c>
      <c r="MP9" s="15">
        <f>MQ9-10</f>
        <v>15970</v>
      </c>
      <c r="MQ9" s="15">
        <f>MR9-10</f>
        <v>15980</v>
      </c>
      <c r="MR9" s="15">
        <f>MN9+(MR15*10)</f>
        <v>15990</v>
      </c>
      <c r="MS9" s="15">
        <f>MR9+10</f>
        <v>16000</v>
      </c>
      <c r="MT9" s="15">
        <f>MS9+10</f>
        <v>16010</v>
      </c>
      <c r="MU9" s="15">
        <f>MT9+10</f>
        <v>16020</v>
      </c>
      <c r="MV9" s="15">
        <f>MW9-10</f>
        <v>17990</v>
      </c>
      <c r="MW9" s="15">
        <f>MX9-10</f>
        <v>18000</v>
      </c>
      <c r="MX9" s="15">
        <f>MT9+(MX10*10)</f>
        <v>18010</v>
      </c>
      <c r="MY9" s="15">
        <f>MX9+10</f>
        <v>18020</v>
      </c>
      <c r="MZ9" s="15">
        <f>NA9-10</f>
        <v>20990</v>
      </c>
      <c r="NA9" s="15">
        <f>NB9-10</f>
        <v>21000</v>
      </c>
      <c r="NB9" s="15">
        <f>MX9+(NB15*10)</f>
        <v>21010</v>
      </c>
      <c r="NC9" s="15">
        <f>NB9+10</f>
        <v>21020</v>
      </c>
      <c r="ND9" s="15">
        <f>NC9+10</f>
        <v>21030</v>
      </c>
      <c r="NE9" s="15">
        <f>ND9+10</f>
        <v>21040</v>
      </c>
      <c r="NF9" s="15">
        <f>NG9-10</f>
        <v>23010</v>
      </c>
      <c r="NG9" s="15">
        <f>NH9-10</f>
        <v>23020</v>
      </c>
      <c r="NH9" s="15">
        <f>ND9+(NH10*10)</f>
        <v>23030</v>
      </c>
      <c r="NI9" s="15">
        <f>NH9+10</f>
        <v>23040</v>
      </c>
      <c r="NJ9" s="15">
        <f>NK9-10</f>
        <v>26010</v>
      </c>
      <c r="NK9" s="15">
        <f>NL9-10</f>
        <v>26020</v>
      </c>
      <c r="NL9" s="15">
        <f>NH9+(NL15*10)</f>
        <v>26030</v>
      </c>
      <c r="NM9" s="15">
        <f t="shared" ref="NM9:NX9" si="42">NL9+10</f>
        <v>26040</v>
      </c>
      <c r="NN9" s="15">
        <f t="shared" si="42"/>
        <v>26050</v>
      </c>
      <c r="NO9" s="15">
        <f t="shared" si="42"/>
        <v>26060</v>
      </c>
      <c r="NP9" s="15">
        <f t="shared" si="42"/>
        <v>26070</v>
      </c>
      <c r="NQ9" s="15">
        <f t="shared" si="42"/>
        <v>26080</v>
      </c>
      <c r="NR9" s="15">
        <f t="shared" si="42"/>
        <v>26090</v>
      </c>
      <c r="NS9" s="15">
        <f t="shared" si="42"/>
        <v>26100</v>
      </c>
      <c r="NT9" s="15">
        <f t="shared" si="42"/>
        <v>26110</v>
      </c>
      <c r="NU9" s="15">
        <f t="shared" si="42"/>
        <v>26120</v>
      </c>
      <c r="NV9" s="15">
        <f t="shared" si="42"/>
        <v>26130</v>
      </c>
      <c r="NW9" s="15">
        <f t="shared" si="42"/>
        <v>26140</v>
      </c>
      <c r="NX9" s="15">
        <f t="shared" si="42"/>
        <v>26150</v>
      </c>
      <c r="NY9" s="15">
        <f t="shared" ref="NY9:PR9" si="43">NX9+10</f>
        <v>26160</v>
      </c>
      <c r="NZ9" s="15">
        <f t="shared" si="43"/>
        <v>26170</v>
      </c>
      <c r="OA9" s="15">
        <f t="shared" si="43"/>
        <v>26180</v>
      </c>
      <c r="OB9" s="15">
        <f t="shared" si="43"/>
        <v>26190</v>
      </c>
      <c r="OC9" s="15">
        <f t="shared" si="43"/>
        <v>26200</v>
      </c>
      <c r="OD9" s="15">
        <f t="shared" si="43"/>
        <v>26210</v>
      </c>
      <c r="OE9" s="15">
        <f t="shared" si="43"/>
        <v>26220</v>
      </c>
      <c r="OF9" s="15">
        <f t="shared" si="43"/>
        <v>26230</v>
      </c>
      <c r="OG9" s="15">
        <f t="shared" si="43"/>
        <v>26240</v>
      </c>
      <c r="OH9" s="15">
        <f t="shared" si="43"/>
        <v>26250</v>
      </c>
      <c r="OI9" s="15">
        <f t="shared" si="43"/>
        <v>26260</v>
      </c>
      <c r="OJ9" s="15">
        <f t="shared" si="43"/>
        <v>26270</v>
      </c>
      <c r="OK9" s="15">
        <f t="shared" si="43"/>
        <v>26280</v>
      </c>
      <c r="OL9" s="15">
        <f t="shared" si="43"/>
        <v>26290</v>
      </c>
      <c r="OM9" s="15">
        <f t="shared" si="43"/>
        <v>26300</v>
      </c>
      <c r="ON9" s="15">
        <f t="shared" si="43"/>
        <v>26310</v>
      </c>
      <c r="OO9" s="15">
        <f t="shared" si="43"/>
        <v>26320</v>
      </c>
      <c r="OP9" s="15">
        <f t="shared" si="43"/>
        <v>26330</v>
      </c>
      <c r="OQ9" s="15">
        <f t="shared" si="43"/>
        <v>26340</v>
      </c>
      <c r="OR9" s="15">
        <f t="shared" si="43"/>
        <v>26350</v>
      </c>
      <c r="OS9" s="15">
        <f t="shared" si="43"/>
        <v>26360</v>
      </c>
      <c r="OT9" s="15">
        <f t="shared" si="43"/>
        <v>26370</v>
      </c>
      <c r="OU9" s="15">
        <f t="shared" si="43"/>
        <v>26380</v>
      </c>
      <c r="OV9" s="15">
        <f t="shared" si="43"/>
        <v>26390</v>
      </c>
      <c r="OW9" s="15">
        <f t="shared" si="43"/>
        <v>26400</v>
      </c>
      <c r="OX9" s="15">
        <f t="shared" si="43"/>
        <v>26410</v>
      </c>
      <c r="OY9" s="15">
        <f t="shared" si="43"/>
        <v>26420</v>
      </c>
      <c r="OZ9" s="15">
        <f t="shared" si="43"/>
        <v>26430</v>
      </c>
      <c r="PA9" s="15">
        <f t="shared" si="43"/>
        <v>26440</v>
      </c>
      <c r="PB9" s="15">
        <f t="shared" si="43"/>
        <v>26450</v>
      </c>
      <c r="PC9" s="15">
        <f t="shared" si="43"/>
        <v>26460</v>
      </c>
      <c r="PD9" s="15">
        <f t="shared" si="43"/>
        <v>26470</v>
      </c>
      <c r="PE9" s="15">
        <f t="shared" si="43"/>
        <v>26480</v>
      </c>
      <c r="PF9" s="15">
        <f t="shared" si="43"/>
        <v>26490</v>
      </c>
      <c r="PG9" s="15">
        <f t="shared" si="43"/>
        <v>26500</v>
      </c>
      <c r="PH9" s="15">
        <f t="shared" si="43"/>
        <v>26510</v>
      </c>
      <c r="PI9" s="15">
        <f t="shared" si="43"/>
        <v>26520</v>
      </c>
      <c r="PJ9" s="15">
        <f t="shared" si="43"/>
        <v>26530</v>
      </c>
      <c r="PK9" s="15">
        <f t="shared" si="43"/>
        <v>26540</v>
      </c>
      <c r="PL9" s="15">
        <f t="shared" si="43"/>
        <v>26550</v>
      </c>
      <c r="PM9" s="15">
        <f t="shared" si="43"/>
        <v>26560</v>
      </c>
      <c r="PN9" s="15">
        <f t="shared" si="43"/>
        <v>26570</v>
      </c>
      <c r="PO9" s="15">
        <f t="shared" si="43"/>
        <v>26580</v>
      </c>
      <c r="PP9" s="15">
        <f t="shared" si="43"/>
        <v>26590</v>
      </c>
      <c r="PQ9" s="15">
        <f t="shared" si="43"/>
        <v>26600</v>
      </c>
      <c r="PR9" s="15">
        <f t="shared" si="43"/>
        <v>26610</v>
      </c>
      <c r="PS9" s="15">
        <f t="shared" ref="PS9" si="44">PR9+10</f>
        <v>26620</v>
      </c>
      <c r="PT9" s="15">
        <f t="shared" ref="PT9" si="45">PS9+10</f>
        <v>26630</v>
      </c>
      <c r="PU9" s="15">
        <f t="shared" ref="PU9" si="46">PT9+10</f>
        <v>26640</v>
      </c>
      <c r="PV9" s="15">
        <f t="shared" ref="PV9" si="47">PU9+10</f>
        <v>26650</v>
      </c>
      <c r="PW9" s="15">
        <f t="shared" ref="PW9" si="48">PV9+10</f>
        <v>26660</v>
      </c>
      <c r="PX9" s="15">
        <f t="shared" ref="PX9:QE9" si="49">PW9+10</f>
        <v>26670</v>
      </c>
      <c r="PY9" s="15">
        <f t="shared" si="49"/>
        <v>26680</v>
      </c>
      <c r="PZ9" s="15">
        <f t="shared" si="49"/>
        <v>26690</v>
      </c>
      <c r="QA9" s="15">
        <f t="shared" si="49"/>
        <v>26700</v>
      </c>
      <c r="QB9" s="15">
        <f t="shared" si="49"/>
        <v>26710</v>
      </c>
      <c r="QC9" s="15">
        <f t="shared" si="49"/>
        <v>26720</v>
      </c>
      <c r="QD9" s="15">
        <f t="shared" si="49"/>
        <v>26730</v>
      </c>
      <c r="QE9" s="15">
        <f t="shared" si="49"/>
        <v>26740</v>
      </c>
      <c r="QF9" s="15">
        <f t="shared" ref="QF9" si="50">QE9+10</f>
        <v>26750</v>
      </c>
      <c r="QG9" s="15">
        <f t="shared" ref="QG9" si="51">QF9+10</f>
        <v>26760</v>
      </c>
      <c r="QH9" s="15">
        <f t="shared" ref="QH9:QK9" si="52">QG9+10</f>
        <v>26770</v>
      </c>
      <c r="QI9" s="15">
        <f t="shared" si="52"/>
        <v>26780</v>
      </c>
      <c r="QJ9" s="15">
        <f t="shared" si="52"/>
        <v>26790</v>
      </c>
      <c r="QK9" s="15">
        <f t="shared" si="52"/>
        <v>26800</v>
      </c>
      <c r="QL9" s="15">
        <f t="shared" ref="QL9" si="53">QK9+10</f>
        <v>26810</v>
      </c>
      <c r="QM9" s="15">
        <f t="shared" ref="QM9:QN9" si="54">QL9+10</f>
        <v>26820</v>
      </c>
      <c r="QN9" s="15">
        <f t="shared" si="54"/>
        <v>26830</v>
      </c>
      <c r="QO9" s="15">
        <f t="shared" ref="QO9" si="55">QN9+10</f>
        <v>26840</v>
      </c>
      <c r="QP9" s="15">
        <f t="shared" ref="QP9" si="56">QO9+10</f>
        <v>26850</v>
      </c>
      <c r="QQ9" s="15">
        <f t="shared" ref="QQ9" si="57">QP9+10</f>
        <v>26860</v>
      </c>
      <c r="QR9" s="15">
        <f t="shared" ref="QR9:QV9" si="58">QQ9+10</f>
        <v>26870</v>
      </c>
      <c r="QS9" s="15">
        <f t="shared" si="58"/>
        <v>26880</v>
      </c>
      <c r="QT9" s="15">
        <f t="shared" si="58"/>
        <v>26890</v>
      </c>
      <c r="QU9" s="15">
        <f t="shared" si="58"/>
        <v>26900</v>
      </c>
      <c r="QV9" s="15">
        <f t="shared" si="58"/>
        <v>26910</v>
      </c>
      <c r="QW9" s="15">
        <f>QV9+10</f>
        <v>26920</v>
      </c>
      <c r="QX9" s="15">
        <f>QW9+10</f>
        <v>26930</v>
      </c>
      <c r="QY9" s="15">
        <f>QX9+10</f>
        <v>26940</v>
      </c>
      <c r="QZ9" s="15">
        <f t="shared" ref="QZ9" si="59">QY9+10</f>
        <v>26950</v>
      </c>
      <c r="RA9" s="15">
        <f t="shared" ref="RA9" si="60">QZ9+10</f>
        <v>26960</v>
      </c>
      <c r="RB9" s="15">
        <f t="shared" ref="RB9" si="61">RA9+10</f>
        <v>26970</v>
      </c>
      <c r="RC9" s="15">
        <f>RD9-10</f>
        <v>29920</v>
      </c>
      <c r="RD9" s="15">
        <f>RA9+(RD14*10)-30</f>
        <v>29930</v>
      </c>
      <c r="RE9" s="15">
        <f>RD9+10</f>
        <v>29940</v>
      </c>
      <c r="RF9" s="15">
        <f t="shared" ref="RF9" si="62">RE9+10</f>
        <v>29950</v>
      </c>
      <c r="RG9" s="15">
        <f t="shared" ref="RG9" si="63">RF9+10</f>
        <v>29960</v>
      </c>
      <c r="RH9" s="15">
        <f t="shared" ref="RH9" si="64">RG9+10</f>
        <v>29970</v>
      </c>
      <c r="RI9" s="15">
        <f>RH9+10</f>
        <v>29980</v>
      </c>
      <c r="RJ9" s="15">
        <f>RI9+10</f>
        <v>29990</v>
      </c>
      <c r="RK9" s="15">
        <f>RL9-10</f>
        <v>32950</v>
      </c>
      <c r="RL9" s="15">
        <f>RM9-10</f>
        <v>32960</v>
      </c>
      <c r="RM9" s="15">
        <f>RI9+(RM14*10)-10</f>
        <v>32970</v>
      </c>
      <c r="RN9" s="15">
        <f>RM9+10</f>
        <v>32980</v>
      </c>
      <c r="RO9" s="15">
        <f>RP9-10</f>
        <v>35940</v>
      </c>
      <c r="RP9" s="15">
        <f>RQ9-10</f>
        <v>35950</v>
      </c>
      <c r="RQ9" s="15">
        <f>RM9+(RQ14*10)-10</f>
        <v>35960</v>
      </c>
      <c r="RR9" s="15">
        <f>RQ9+10</f>
        <v>35970</v>
      </c>
      <c r="RS9" s="15"/>
      <c r="RT9" s="15">
        <v>10</v>
      </c>
      <c r="RU9" s="15">
        <f>RV9-10</f>
        <v>5010</v>
      </c>
      <c r="RV9" s="15">
        <f>RT9+(RV12*10)</f>
        <v>5020</v>
      </c>
      <c r="RW9" s="15">
        <f>RV9+10</f>
        <v>5030</v>
      </c>
      <c r="RX9" s="15">
        <f>RY9-10</f>
        <v>10010</v>
      </c>
      <c r="RY9" s="15">
        <f>RZ9-10</f>
        <v>10020</v>
      </c>
      <c r="RZ9" s="15">
        <f>RV9+(RZ13*10)</f>
        <v>10030</v>
      </c>
      <c r="SA9" s="15">
        <f>RW9+(SA13*10)</f>
        <v>10040</v>
      </c>
      <c r="SB9" s="15">
        <f t="shared" ref="SB9" si="65">SA9+10</f>
        <v>10050</v>
      </c>
      <c r="SC9" s="15">
        <f t="shared" ref="SC9" si="66">SB9+10</f>
        <v>10060</v>
      </c>
      <c r="SD9" s="15">
        <f t="shared" ref="SD9" si="67">SC9+10</f>
        <v>10070</v>
      </c>
      <c r="SE9" s="15">
        <f t="shared" ref="SE9" si="68">SD9+10</f>
        <v>10080</v>
      </c>
      <c r="SF9" s="15">
        <f t="shared" ref="SF9" si="69">SE9+10</f>
        <v>10090</v>
      </c>
      <c r="SG9" s="15">
        <f t="shared" ref="SG9" si="70">SF9+10</f>
        <v>10100</v>
      </c>
      <c r="SH9" s="15">
        <f t="shared" ref="SH9" si="71">SG9+10</f>
        <v>10110</v>
      </c>
      <c r="SI9" s="15">
        <f t="shared" ref="SI9" si="72">SH9+10</f>
        <v>10120</v>
      </c>
      <c r="SJ9" s="15">
        <f t="shared" ref="SJ9" si="73">SI9+10</f>
        <v>10130</v>
      </c>
      <c r="SK9" s="15">
        <f t="shared" ref="SK9" si="74">SJ9+10</f>
        <v>10140</v>
      </c>
      <c r="SL9" s="15">
        <f t="shared" ref="SL9" si="75">SK9+10</f>
        <v>10150</v>
      </c>
      <c r="SM9" s="15">
        <f t="shared" ref="SM9" si="76">SL9+10</f>
        <v>10160</v>
      </c>
      <c r="SN9" s="15">
        <f t="shared" ref="SN9" si="77">SM9+10</f>
        <v>10170</v>
      </c>
      <c r="SO9" s="15">
        <f t="shared" ref="SO9" si="78">SN9+10</f>
        <v>10180</v>
      </c>
      <c r="SP9" s="15">
        <f t="shared" ref="SP9" si="79">SO9+10</f>
        <v>10190</v>
      </c>
      <c r="SQ9" s="15">
        <f t="shared" ref="SQ9" si="80">SP9+10</f>
        <v>10200</v>
      </c>
      <c r="SR9" s="15">
        <f t="shared" ref="SR9" si="81">SQ9+10</f>
        <v>10210</v>
      </c>
      <c r="SS9" s="15">
        <f t="shared" ref="SS9" si="82">SR9+10</f>
        <v>10220</v>
      </c>
      <c r="ST9" s="15">
        <f t="shared" ref="ST9" si="83">SS9+10</f>
        <v>10230</v>
      </c>
      <c r="SU9" s="15">
        <f t="shared" ref="SU9" si="84">ST9+10</f>
        <v>10240</v>
      </c>
      <c r="SV9" s="15">
        <f t="shared" ref="SV9" si="85">SU9+10</f>
        <v>10250</v>
      </c>
      <c r="SW9" s="15">
        <f t="shared" ref="SW9" si="86">SV9+10</f>
        <v>10260</v>
      </c>
      <c r="SX9" s="15">
        <f t="shared" ref="SX9" si="87">SW9+10</f>
        <v>10270</v>
      </c>
      <c r="SY9" s="15">
        <f t="shared" ref="SY9" si="88">SX9+10</f>
        <v>10280</v>
      </c>
      <c r="SZ9" s="15">
        <f t="shared" ref="SZ9" si="89">SY9+10</f>
        <v>10290</v>
      </c>
      <c r="TA9" s="15">
        <f t="shared" ref="TA9" si="90">SZ9+10</f>
        <v>10300</v>
      </c>
      <c r="TB9" s="15">
        <f t="shared" ref="TB9" si="91">TA9+10</f>
        <v>10310</v>
      </c>
      <c r="TC9" s="15">
        <f t="shared" ref="TC9" si="92">TB9+10</f>
        <v>10320</v>
      </c>
      <c r="TD9" s="15">
        <f t="shared" ref="TD9" si="93">TC9+10</f>
        <v>10330</v>
      </c>
      <c r="TE9" s="15">
        <f t="shared" ref="TE9:TF9" si="94">TD9+10</f>
        <v>10340</v>
      </c>
      <c r="TF9" s="15">
        <f t="shared" si="94"/>
        <v>10350</v>
      </c>
      <c r="TG9" s="15">
        <f t="shared" ref="TG9" si="95">TF9+10</f>
        <v>10360</v>
      </c>
      <c r="TH9" s="15">
        <f t="shared" ref="TH9" si="96">TG9+10</f>
        <v>10370</v>
      </c>
      <c r="TI9" s="15">
        <f t="shared" ref="TI9" si="97">TH9+10</f>
        <v>10380</v>
      </c>
      <c r="TJ9" s="15">
        <f t="shared" ref="TJ9" si="98">TI9+10</f>
        <v>10390</v>
      </c>
      <c r="TK9" s="15">
        <f t="shared" ref="TK9" si="99">TJ9+10</f>
        <v>10400</v>
      </c>
      <c r="TL9" s="15">
        <f t="shared" ref="TL9" si="100">TK9+10</f>
        <v>10410</v>
      </c>
      <c r="TM9" s="15">
        <f t="shared" ref="TM9" si="101">TL9+10</f>
        <v>10420</v>
      </c>
      <c r="TN9" s="15">
        <f t="shared" ref="TN9" si="102">TM9+10</f>
        <v>10430</v>
      </c>
      <c r="TO9" s="15">
        <f t="shared" ref="TO9" si="103">TN9+10</f>
        <v>10440</v>
      </c>
      <c r="TP9" s="15">
        <f t="shared" ref="TP9" si="104">TO9+10</f>
        <v>10450</v>
      </c>
      <c r="TQ9" s="15">
        <f t="shared" ref="TQ9" si="105">TP9+10</f>
        <v>10460</v>
      </c>
      <c r="TR9" s="15">
        <f t="shared" ref="TR9" si="106">TQ9+10</f>
        <v>10470</v>
      </c>
      <c r="TS9" s="15">
        <f t="shared" ref="TS9" si="107">TR9+10</f>
        <v>10480</v>
      </c>
      <c r="TT9" s="15">
        <f t="shared" ref="TT9" si="108">TS9+10</f>
        <v>10490</v>
      </c>
      <c r="TU9" s="15">
        <f t="shared" ref="TU9" si="109">TT9+10</f>
        <v>10500</v>
      </c>
      <c r="TV9" s="15">
        <f t="shared" ref="TV9" si="110">TU9+10</f>
        <v>10510</v>
      </c>
      <c r="TW9" s="15">
        <f t="shared" ref="TW9" si="111">TV9+10</f>
        <v>10520</v>
      </c>
      <c r="TX9" s="15">
        <f t="shared" ref="TX9" si="112">TW9+10</f>
        <v>10530</v>
      </c>
      <c r="TY9" s="15">
        <f t="shared" ref="TY9" si="113">TX9+10</f>
        <v>10540</v>
      </c>
      <c r="TZ9" s="15">
        <f t="shared" ref="TZ9" si="114">TY9+10</f>
        <v>10550</v>
      </c>
      <c r="UA9" s="15">
        <f t="shared" ref="UA9" si="115">TZ9+10</f>
        <v>10560</v>
      </c>
      <c r="UB9" s="15">
        <f t="shared" ref="UB9" si="116">UA9+10</f>
        <v>10570</v>
      </c>
      <c r="UC9" s="15">
        <f t="shared" ref="UC9" si="117">UB9+10</f>
        <v>10580</v>
      </c>
      <c r="UD9" s="15">
        <f t="shared" ref="UD9" si="118">UC9+10</f>
        <v>10590</v>
      </c>
      <c r="UE9" s="15">
        <f t="shared" ref="UE9" si="119">UD9+10</f>
        <v>10600</v>
      </c>
      <c r="UF9" s="15">
        <f t="shared" ref="UF9" si="120">UE9+10</f>
        <v>10610</v>
      </c>
      <c r="UG9" s="15">
        <f t="shared" ref="UG9" si="121">UF9+10</f>
        <v>10620</v>
      </c>
      <c r="UH9" s="15">
        <f t="shared" ref="UH9" si="122">UG9+10</f>
        <v>10630</v>
      </c>
      <c r="UI9" s="15">
        <f t="shared" ref="UI9" si="123">UH9+10</f>
        <v>10640</v>
      </c>
      <c r="UJ9" s="15">
        <f t="shared" ref="UJ9" si="124">UI9+10</f>
        <v>10650</v>
      </c>
      <c r="UK9" s="15">
        <f t="shared" ref="UK9" si="125">UJ9+10</f>
        <v>10660</v>
      </c>
      <c r="UL9" s="15">
        <f t="shared" ref="UL9" si="126">UK9+10</f>
        <v>10670</v>
      </c>
      <c r="UM9" s="15">
        <f t="shared" ref="UM9" si="127">UL9+10</f>
        <v>10680</v>
      </c>
      <c r="UN9" s="15">
        <f t="shared" ref="UN9" si="128">UM9+10</f>
        <v>10690</v>
      </c>
      <c r="UO9" s="15">
        <f t="shared" ref="UO9" si="129">UN9+10</f>
        <v>10700</v>
      </c>
      <c r="UP9" s="15">
        <f t="shared" ref="UP9" si="130">UO9+10</f>
        <v>10710</v>
      </c>
      <c r="UQ9" s="15">
        <f t="shared" ref="UQ9" si="131">UP9+10</f>
        <v>10720</v>
      </c>
      <c r="UR9" s="15">
        <f t="shared" ref="UR9" si="132">UQ9+10</f>
        <v>10730</v>
      </c>
      <c r="US9" s="15">
        <f t="shared" ref="US9" si="133">UR9+10</f>
        <v>10740</v>
      </c>
      <c r="UT9" s="15">
        <f t="shared" ref="UT9" si="134">US9+10</f>
        <v>10750</v>
      </c>
      <c r="UU9" s="15">
        <f t="shared" ref="UU9" si="135">UT9+10</f>
        <v>10760</v>
      </c>
      <c r="UV9" s="15">
        <f t="shared" ref="UV9" si="136">UU9+10</f>
        <v>10770</v>
      </c>
      <c r="UW9" s="15">
        <f t="shared" ref="UW9" si="137">UV9+10</f>
        <v>10780</v>
      </c>
      <c r="UX9" s="15">
        <f t="shared" ref="UX9" si="138">UW9+10</f>
        <v>10790</v>
      </c>
      <c r="UY9" s="15">
        <f t="shared" ref="UY9" si="139">UX9+10</f>
        <v>10800</v>
      </c>
      <c r="UZ9" s="15">
        <f t="shared" ref="UZ9" si="140">UY9+10</f>
        <v>10810</v>
      </c>
      <c r="VA9" s="15">
        <f t="shared" ref="VA9" si="141">UZ9+10</f>
        <v>10820</v>
      </c>
      <c r="VB9" s="15">
        <f t="shared" ref="VB9" si="142">VA9+10</f>
        <v>10830</v>
      </c>
      <c r="VC9" s="15">
        <f t="shared" ref="VC9" si="143">VB9+10</f>
        <v>10840</v>
      </c>
      <c r="VD9" s="15">
        <f t="shared" ref="VD9:WJ9" si="144">VC9+10</f>
        <v>10850</v>
      </c>
      <c r="VE9" s="15">
        <f>VD9+10</f>
        <v>10860</v>
      </c>
      <c r="VF9" s="15">
        <f>VE9+10</f>
        <v>10870</v>
      </c>
      <c r="VG9" s="15">
        <f>VF9+10</f>
        <v>10880</v>
      </c>
      <c r="VH9" s="15">
        <f t="shared" ref="VH9" si="145">VG9+10</f>
        <v>10890</v>
      </c>
      <c r="VI9" s="15">
        <f t="shared" ref="VI9" si="146">VH9+10</f>
        <v>10900</v>
      </c>
      <c r="VJ9" s="15">
        <f t="shared" ref="VJ9" si="147">VI9+10</f>
        <v>10910</v>
      </c>
      <c r="VK9" s="15">
        <f>VL9-10</f>
        <v>13880</v>
      </c>
      <c r="VL9" s="15">
        <f>VM9-10</f>
        <v>13890</v>
      </c>
      <c r="VM9" s="15">
        <f>VI9+(VM14*10)</f>
        <v>13900</v>
      </c>
      <c r="VN9" s="15">
        <f>VM9+10</f>
        <v>13910</v>
      </c>
      <c r="VO9" s="15">
        <f t="shared" ref="VO9" si="148">VN9+10</f>
        <v>13920</v>
      </c>
      <c r="VP9" s="15">
        <f t="shared" ref="VP9" si="149">VO9+10</f>
        <v>13930</v>
      </c>
      <c r="VQ9" s="15">
        <f t="shared" ref="VQ9" si="150">VP9+10</f>
        <v>13940</v>
      </c>
      <c r="VR9" s="15">
        <f>VQ9+10</f>
        <v>13950</v>
      </c>
      <c r="VS9" s="15">
        <f>VR9+10</f>
        <v>13960</v>
      </c>
      <c r="VT9" s="15">
        <f>VU9-10</f>
        <v>16920</v>
      </c>
      <c r="VU9" s="15">
        <f>VV9-10</f>
        <v>16930</v>
      </c>
      <c r="VV9" s="15">
        <f>VR9+(VV14*10)-10</f>
        <v>16940</v>
      </c>
      <c r="VW9" s="15">
        <f>VV9+10</f>
        <v>16950</v>
      </c>
      <c r="VX9" s="15">
        <f>VY9-10</f>
        <v>19920</v>
      </c>
      <c r="VY9" s="15">
        <f>VZ9-10</f>
        <v>19930</v>
      </c>
      <c r="VZ9" s="15">
        <f>VV9+(VZ14*10)</f>
        <v>19940</v>
      </c>
      <c r="WA9" s="15">
        <f>VZ9+10</f>
        <v>19950</v>
      </c>
      <c r="WB9" s="15">
        <f t="shared" si="144"/>
        <v>19960</v>
      </c>
      <c r="WC9" s="15">
        <f t="shared" si="144"/>
        <v>19970</v>
      </c>
      <c r="WD9" s="15">
        <f t="shared" si="144"/>
        <v>19980</v>
      </c>
      <c r="WE9" s="15">
        <f t="shared" si="144"/>
        <v>19990</v>
      </c>
      <c r="WF9" s="15">
        <f t="shared" si="144"/>
        <v>20000</v>
      </c>
      <c r="WG9" s="15">
        <f t="shared" si="144"/>
        <v>20010</v>
      </c>
      <c r="WH9" s="15">
        <f t="shared" si="144"/>
        <v>20020</v>
      </c>
      <c r="WI9" s="15">
        <f t="shared" si="144"/>
        <v>20030</v>
      </c>
      <c r="WJ9" s="15">
        <f t="shared" si="144"/>
        <v>20040</v>
      </c>
      <c r="WK9" s="15">
        <f t="shared" ref="WK9" si="151">WJ9+10</f>
        <v>20050</v>
      </c>
      <c r="WL9" s="15">
        <f t="shared" ref="WL9" si="152">WK9+10</f>
        <v>20060</v>
      </c>
      <c r="WM9" s="15">
        <f t="shared" ref="WM9" si="153">WL9+10</f>
        <v>20070</v>
      </c>
      <c r="WN9" s="15">
        <f t="shared" ref="WN9:WS9" si="154">WM9+10</f>
        <v>20080</v>
      </c>
      <c r="WO9" s="15">
        <f t="shared" ref="WO9" si="155">WN9+10</f>
        <v>20090</v>
      </c>
      <c r="WP9" s="15">
        <f t="shared" si="154"/>
        <v>20100</v>
      </c>
      <c r="WQ9" s="15">
        <f t="shared" si="154"/>
        <v>20110</v>
      </c>
      <c r="WR9" s="15">
        <f t="shared" si="154"/>
        <v>20120</v>
      </c>
      <c r="WS9" s="15">
        <f t="shared" si="154"/>
        <v>20130</v>
      </c>
      <c r="WT9" s="15">
        <f t="shared" ref="WT9:WY9" si="156">WS9+10</f>
        <v>20140</v>
      </c>
      <c r="WU9" s="15">
        <f t="shared" si="156"/>
        <v>20150</v>
      </c>
      <c r="WV9" s="15">
        <f t="shared" si="156"/>
        <v>20160</v>
      </c>
      <c r="WW9" s="15">
        <f t="shared" si="156"/>
        <v>20170</v>
      </c>
      <c r="WX9" s="15">
        <f t="shared" si="156"/>
        <v>20180</v>
      </c>
      <c r="WY9" s="15">
        <f t="shared" si="156"/>
        <v>20190</v>
      </c>
      <c r="WZ9" s="15">
        <f t="shared" ref="WZ9" si="157">WY9+10</f>
        <v>20200</v>
      </c>
      <c r="XA9" s="15">
        <f t="shared" ref="XA9" si="158">WZ9+10</f>
        <v>20210</v>
      </c>
      <c r="XB9" s="15">
        <f t="shared" ref="XB9" si="159">XA9+10</f>
        <v>20220</v>
      </c>
      <c r="XC9" s="15">
        <f t="shared" ref="XC9" si="160">XB9+10</f>
        <v>20230</v>
      </c>
      <c r="XD9" s="15">
        <f t="shared" ref="XD9" si="161">XC9+10</f>
        <v>20240</v>
      </c>
      <c r="XE9" s="15">
        <f t="shared" ref="XE9:XF9" si="162">XD9+10</f>
        <v>20250</v>
      </c>
      <c r="XF9" s="15">
        <f t="shared" si="162"/>
        <v>20260</v>
      </c>
      <c r="XG9" s="15">
        <f t="shared" ref="XG9" si="163">XF9+10</f>
        <v>20270</v>
      </c>
      <c r="XH9" s="15">
        <f t="shared" ref="XH9" si="164">XG9+10</f>
        <v>20280</v>
      </c>
      <c r="XI9" s="15">
        <f t="shared" ref="XI9:XJ9" si="165">XH9+10</f>
        <v>20290</v>
      </c>
      <c r="XJ9" s="15">
        <f t="shared" si="165"/>
        <v>20300</v>
      </c>
      <c r="XK9" s="15">
        <f>XJ9+10</f>
        <v>20310</v>
      </c>
      <c r="XL9" s="15">
        <f>XK9+10</f>
        <v>20320</v>
      </c>
      <c r="XM9" s="15">
        <f t="shared" ref="XM9" si="166">XL9+10</f>
        <v>20330</v>
      </c>
      <c r="XN9" s="15">
        <f t="shared" ref="XN9" si="167">XM9+10</f>
        <v>20340</v>
      </c>
      <c r="XO9" s="15">
        <f t="shared" ref="XO9" si="168">XN9+10</f>
        <v>20350</v>
      </c>
      <c r="XP9" s="15">
        <f>XQ9-10</f>
        <v>23320</v>
      </c>
      <c r="XQ9" s="15">
        <f>XR9-10</f>
        <v>23330</v>
      </c>
      <c r="XR9" s="15">
        <f>XN9+(XR14*10)</f>
        <v>23340</v>
      </c>
      <c r="XS9" s="15">
        <f>XR9+10</f>
        <v>23350</v>
      </c>
      <c r="XT9" s="15">
        <f t="shared" ref="XT9" si="169">XS9+10</f>
        <v>23360</v>
      </c>
      <c r="XU9" s="15">
        <f t="shared" ref="XU9" si="170">XT9+10</f>
        <v>23370</v>
      </c>
      <c r="XV9" s="15">
        <f t="shared" ref="XV9" si="171">XU9+10</f>
        <v>23380</v>
      </c>
      <c r="XW9" s="15">
        <f>XV9+10</f>
        <v>23390</v>
      </c>
      <c r="XX9" s="15">
        <f>XW9+10</f>
        <v>23400</v>
      </c>
      <c r="XY9" s="15">
        <f>XZ9-10</f>
        <v>26360</v>
      </c>
      <c r="XZ9" s="15">
        <f>YA9-10</f>
        <v>26370</v>
      </c>
      <c r="YA9" s="15">
        <f>XW9+(YA14*10)-10</f>
        <v>26380</v>
      </c>
      <c r="YB9" s="15">
        <f>YA9+10</f>
        <v>26390</v>
      </c>
      <c r="YC9" s="15">
        <f>YD9-10</f>
        <v>29360</v>
      </c>
      <c r="YD9" s="15">
        <f>YE9-10</f>
        <v>29370</v>
      </c>
      <c r="YE9" s="15">
        <f>YA9+(YE14*10)</f>
        <v>29380</v>
      </c>
      <c r="YF9" s="15">
        <f>YE9+10</f>
        <v>29390</v>
      </c>
      <c r="YG9" s="15">
        <f>YF9+10</f>
        <v>29400</v>
      </c>
      <c r="YH9" s="15">
        <f>YG9+10</f>
        <v>29410</v>
      </c>
      <c r="YI9" s="15">
        <f t="shared" ref="YI9" si="172">YH9+10</f>
        <v>29420</v>
      </c>
      <c r="YJ9" s="15">
        <f t="shared" ref="YJ9" si="173">YI9+10</f>
        <v>29430</v>
      </c>
      <c r="YK9" s="15">
        <f t="shared" ref="YK9" si="174">YJ9+10</f>
        <v>29440</v>
      </c>
      <c r="YL9" s="15">
        <f>YM9-10</f>
        <v>32410</v>
      </c>
      <c r="YM9" s="15">
        <f>YN9-10</f>
        <v>32420</v>
      </c>
      <c r="YN9" s="15">
        <f>YJ9+(YN14*10)</f>
        <v>32430</v>
      </c>
      <c r="YO9" s="15">
        <f>YN9+10</f>
        <v>32440</v>
      </c>
      <c r="YP9" s="15">
        <f t="shared" ref="YP9" si="175">YO9+10</f>
        <v>32450</v>
      </c>
      <c r="YQ9" s="15">
        <f t="shared" ref="YQ9" si="176">YP9+10</f>
        <v>32460</v>
      </c>
      <c r="YR9" s="15">
        <f t="shared" ref="YR9" si="177">YQ9+10</f>
        <v>32470</v>
      </c>
      <c r="YS9" s="15">
        <f>YR9+10</f>
        <v>32480</v>
      </c>
      <c r="YT9" s="15">
        <f>YS9+10</f>
        <v>32490</v>
      </c>
      <c r="YU9" s="15">
        <f>YV9-10</f>
        <v>35450</v>
      </c>
      <c r="YV9" s="15">
        <f>YW9-10</f>
        <v>35460</v>
      </c>
      <c r="YW9" s="15">
        <f>YS9+(YW14*10)-10</f>
        <v>35470</v>
      </c>
      <c r="YX9" s="15">
        <f>YW9+10</f>
        <v>35480</v>
      </c>
      <c r="YY9" s="15">
        <f>YZ9-10</f>
        <v>38450</v>
      </c>
      <c r="YZ9" s="15">
        <f>ZA9-10</f>
        <v>38460</v>
      </c>
      <c r="ZA9" s="15">
        <f>YW9+(ZA14*10)</f>
        <v>38470</v>
      </c>
      <c r="ZB9" s="15">
        <f t="shared" ref="ZB9:ZH9" si="178">ZA9+10</f>
        <v>38480</v>
      </c>
      <c r="ZC9" s="15">
        <f t="shared" si="178"/>
        <v>38490</v>
      </c>
      <c r="ZD9" s="15">
        <f t="shared" si="178"/>
        <v>38500</v>
      </c>
      <c r="ZE9" s="15">
        <f t="shared" si="178"/>
        <v>38510</v>
      </c>
      <c r="ZF9" s="15">
        <f t="shared" si="178"/>
        <v>38520</v>
      </c>
      <c r="ZG9" s="15">
        <f t="shared" si="178"/>
        <v>38530</v>
      </c>
      <c r="ZH9" s="15">
        <f t="shared" si="178"/>
        <v>38540</v>
      </c>
      <c r="ZI9" s="15">
        <f>ZE9+(ZI14*10)</f>
        <v>41510</v>
      </c>
      <c r="ZJ9" s="15">
        <f>ZI9+10</f>
        <v>41520</v>
      </c>
      <c r="ZK9" s="15">
        <f>ZJ9+10</f>
        <v>41530</v>
      </c>
      <c r="ZL9" s="15">
        <f>ZK9+10</f>
        <v>41540</v>
      </c>
      <c r="ZM9" s="15">
        <f>ZL9+10</f>
        <v>41550</v>
      </c>
      <c r="ZN9" s="15">
        <f>ZO9-10</f>
        <v>43520</v>
      </c>
      <c r="ZO9" s="15">
        <f>ZL9+(ZO11*10)-10</f>
        <v>43530</v>
      </c>
      <c r="ZP9" s="15">
        <f>ZO9+10</f>
        <v>43540</v>
      </c>
      <c r="ZQ9" s="15">
        <f>ZP9+10</f>
        <v>43550</v>
      </c>
      <c r="ZR9" s="15">
        <f>ZQ9+10</f>
        <v>43560</v>
      </c>
      <c r="ZS9" s="15">
        <f>ZR9+10</f>
        <v>43570</v>
      </c>
      <c r="ZT9" s="15">
        <f>ZS9+10</f>
        <v>43580</v>
      </c>
      <c r="ZU9" s="15">
        <f>ZV9-10</f>
        <v>45550</v>
      </c>
      <c r="ZV9" s="15">
        <f>ZS9+(ZV11*10)-10</f>
        <v>45560</v>
      </c>
      <c r="ZW9" s="15">
        <f>ZV9+10</f>
        <v>45570</v>
      </c>
      <c r="ZX9" s="15">
        <f>ZW9+10</f>
        <v>45580</v>
      </c>
      <c r="ZY9" s="15">
        <f>ZX9+10</f>
        <v>45590</v>
      </c>
      <c r="ZZ9" s="15">
        <f>ZY9+10</f>
        <v>45600</v>
      </c>
      <c r="AAA9" s="15">
        <f>ZZ9+10</f>
        <v>45610</v>
      </c>
      <c r="AAB9" s="15">
        <f>AAC9-10</f>
        <v>47580</v>
      </c>
      <c r="AAC9" s="15">
        <f>AAD9-10</f>
        <v>47590</v>
      </c>
      <c r="AAD9" s="15">
        <f>ZY9+(AAD11*10)+10</f>
        <v>47600</v>
      </c>
      <c r="AAE9" s="15">
        <f>AAD9+10</f>
        <v>47610</v>
      </c>
      <c r="AAF9" s="15">
        <f>AAE9+10</f>
        <v>47620</v>
      </c>
      <c r="AAG9" s="15">
        <f>AAH9-10</f>
        <v>50580</v>
      </c>
      <c r="AAH9" s="15">
        <f>AAI9-10</f>
        <v>50590</v>
      </c>
      <c r="AAI9" s="15">
        <f>AAD9+(AAI15*10)</f>
        <v>50600</v>
      </c>
      <c r="AAJ9" s="15">
        <f>AAE9+(AAJ15*10)</f>
        <v>50610</v>
      </c>
      <c r="AAK9" s="15">
        <f>AAJ9+10</f>
        <v>50620</v>
      </c>
      <c r="AAL9" s="15"/>
      <c r="AAM9" s="15">
        <v>10</v>
      </c>
      <c r="AAN9" s="15">
        <f>AAO9-10</f>
        <v>5010</v>
      </c>
      <c r="AAO9" s="15">
        <f>AAM9+(AAO12*10)</f>
        <v>5020</v>
      </c>
      <c r="AAP9" s="15">
        <f>AAO9+10</f>
        <v>5030</v>
      </c>
      <c r="AAQ9" s="15">
        <f>AAR9-10</f>
        <v>10010</v>
      </c>
      <c r="AAR9" s="15">
        <f>AAS9-10</f>
        <v>10020</v>
      </c>
      <c r="AAS9" s="15">
        <f>AAO9+(AAS13*10)</f>
        <v>10030</v>
      </c>
      <c r="AAT9" s="15">
        <f>AAS9+10</f>
        <v>10040</v>
      </c>
      <c r="AAU9" s="15">
        <f>AAT9+10</f>
        <v>10050</v>
      </c>
      <c r="AAV9" s="15">
        <f>AAU9+10</f>
        <v>10060</v>
      </c>
      <c r="AAW9" s="15">
        <f>AAV9+10</f>
        <v>10070</v>
      </c>
      <c r="AAX9" s="15"/>
      <c r="AAY9" s="15">
        <v>10</v>
      </c>
      <c r="AAZ9" s="15">
        <f>ABA9-10</f>
        <v>5010</v>
      </c>
      <c r="ABA9" s="15">
        <f>AAY9+(ABA12*10)</f>
        <v>5020</v>
      </c>
      <c r="ABB9" s="15">
        <f>ABA9+10</f>
        <v>5030</v>
      </c>
      <c r="ABC9" s="15">
        <f>ABD9-10</f>
        <v>10010</v>
      </c>
      <c r="ABD9" s="15">
        <f>ABE9-10</f>
        <v>10020</v>
      </c>
      <c r="ABE9" s="15">
        <f>ABA9+(ABE13*10)</f>
        <v>10030</v>
      </c>
      <c r="ABF9" s="15">
        <f t="shared" ref="ABF9:ABK9" si="179">ABE9+10</f>
        <v>10040</v>
      </c>
      <c r="ABG9" s="15">
        <f t="shared" si="179"/>
        <v>10050</v>
      </c>
      <c r="ABH9" s="15">
        <f t="shared" si="179"/>
        <v>10060</v>
      </c>
      <c r="ABI9" s="15">
        <f t="shared" si="179"/>
        <v>10070</v>
      </c>
      <c r="ABJ9" s="15">
        <f t="shared" si="179"/>
        <v>10080</v>
      </c>
      <c r="ABK9" s="15">
        <f t="shared" si="179"/>
        <v>10090</v>
      </c>
      <c r="ABL9" s="15">
        <f t="shared" ref="ABL9:ACE9" si="180">ABK9+10</f>
        <v>10100</v>
      </c>
      <c r="ABM9" s="15">
        <f t="shared" si="180"/>
        <v>10110</v>
      </c>
      <c r="ABN9" s="15">
        <f t="shared" si="180"/>
        <v>10120</v>
      </c>
      <c r="ABO9" s="15">
        <f t="shared" si="180"/>
        <v>10130</v>
      </c>
      <c r="ABP9" s="15">
        <f t="shared" si="180"/>
        <v>10140</v>
      </c>
      <c r="ABQ9" s="15">
        <f t="shared" si="180"/>
        <v>10150</v>
      </c>
      <c r="ABR9" s="15">
        <f t="shared" si="180"/>
        <v>10160</v>
      </c>
      <c r="ABS9" s="15">
        <f t="shared" si="180"/>
        <v>10170</v>
      </c>
      <c r="ABT9" s="15">
        <f t="shared" si="180"/>
        <v>10180</v>
      </c>
      <c r="ABU9" s="15">
        <f t="shared" si="180"/>
        <v>10190</v>
      </c>
      <c r="ABV9" s="15">
        <f t="shared" si="180"/>
        <v>10200</v>
      </c>
      <c r="ABW9" s="15">
        <f t="shared" si="180"/>
        <v>10210</v>
      </c>
      <c r="ABX9" s="15">
        <f t="shared" si="180"/>
        <v>10220</v>
      </c>
      <c r="ABY9" s="15">
        <f t="shared" si="180"/>
        <v>10230</v>
      </c>
      <c r="ABZ9" s="15">
        <f t="shared" si="180"/>
        <v>10240</v>
      </c>
      <c r="ACA9" s="15">
        <f t="shared" si="180"/>
        <v>10250</v>
      </c>
      <c r="ACB9" s="15">
        <f t="shared" si="180"/>
        <v>10260</v>
      </c>
      <c r="ACC9" s="15">
        <f t="shared" si="180"/>
        <v>10270</v>
      </c>
      <c r="ACD9" s="15">
        <f t="shared" si="180"/>
        <v>10280</v>
      </c>
      <c r="ACE9" s="15">
        <f t="shared" si="180"/>
        <v>10290</v>
      </c>
      <c r="ACF9" s="15">
        <f t="shared" ref="ACF9:ACG9" si="181">ACE9+10</f>
        <v>10300</v>
      </c>
      <c r="ACG9" s="15">
        <f t="shared" si="181"/>
        <v>10310</v>
      </c>
      <c r="ACH9" s="15">
        <f t="shared" ref="ACH9:ACL9" si="182">ACG9+10</f>
        <v>10320</v>
      </c>
      <c r="ACI9" s="15">
        <f t="shared" si="182"/>
        <v>10330</v>
      </c>
      <c r="ACJ9" s="15">
        <f t="shared" si="182"/>
        <v>10340</v>
      </c>
      <c r="ACK9" s="15">
        <f t="shared" si="182"/>
        <v>10350</v>
      </c>
      <c r="ACL9" s="15">
        <f t="shared" si="182"/>
        <v>10360</v>
      </c>
      <c r="ACM9" s="15">
        <f>ACL9+10</f>
        <v>10370</v>
      </c>
      <c r="ACN9" s="15">
        <f>ACJ9+(ACN14*10)</f>
        <v>13340</v>
      </c>
      <c r="ACO9" s="15">
        <f>ACN9+10</f>
        <v>13350</v>
      </c>
      <c r="ACP9" s="15">
        <f>ACO9+10</f>
        <v>13360</v>
      </c>
      <c r="ACQ9" s="15">
        <f>ACP9+10</f>
        <v>13370</v>
      </c>
      <c r="ACR9" s="15">
        <f t="shared" ref="ACR9:ACU9" si="183">ACQ9+10</f>
        <v>13380</v>
      </c>
      <c r="ACS9" s="15">
        <f t="shared" si="183"/>
        <v>13390</v>
      </c>
      <c r="ACT9" s="15">
        <f t="shared" si="183"/>
        <v>13400</v>
      </c>
      <c r="ACU9" s="15">
        <f t="shared" si="183"/>
        <v>13410</v>
      </c>
      <c r="ACV9" s="15">
        <f>ACU9+10</f>
        <v>13420</v>
      </c>
      <c r="ACW9" s="15">
        <f>ACS9+(ACW14*10)-10</f>
        <v>16380</v>
      </c>
      <c r="ACX9" s="15">
        <f>ACW9+10</f>
        <v>16390</v>
      </c>
      <c r="ACY9" s="15">
        <f>ACX9+10</f>
        <v>16400</v>
      </c>
      <c r="ACZ9" s="15">
        <f>ACY9+10</f>
        <v>16410</v>
      </c>
      <c r="ADA9" s="15">
        <f>ACW9+(ADA14*10)</f>
        <v>19380</v>
      </c>
      <c r="ADB9" s="15">
        <f t="shared" ref="ADB9:ADG9" si="184">ADA9+10</f>
        <v>19390</v>
      </c>
      <c r="ADC9" s="15">
        <f t="shared" si="184"/>
        <v>19400</v>
      </c>
      <c r="ADD9" s="15">
        <f t="shared" si="184"/>
        <v>19410</v>
      </c>
      <c r="ADE9" s="15">
        <f t="shared" si="184"/>
        <v>19420</v>
      </c>
      <c r="ADF9" s="15">
        <f t="shared" si="184"/>
        <v>19430</v>
      </c>
      <c r="ADG9" s="15">
        <f t="shared" si="184"/>
        <v>19440</v>
      </c>
      <c r="ADH9" s="15"/>
      <c r="ADI9" s="15">
        <v>10</v>
      </c>
      <c r="ADJ9" s="15">
        <f>ADK9-10</f>
        <v>5010</v>
      </c>
      <c r="ADK9" s="15">
        <f>ADI9+(ADK12*10)</f>
        <v>5020</v>
      </c>
      <c r="ADL9" s="15">
        <f>ADK9+10</f>
        <v>5030</v>
      </c>
      <c r="ADM9" s="15">
        <f>ADN9-10</f>
        <v>10010</v>
      </c>
      <c r="ADN9" s="15">
        <f>ADO9-10</f>
        <v>10020</v>
      </c>
      <c r="ADO9" s="15">
        <f>ADK9+(ADO13*10)</f>
        <v>10030</v>
      </c>
      <c r="ADP9" s="15">
        <f t="shared" ref="ADP9:ADU9" si="185">ADO9+10</f>
        <v>10040</v>
      </c>
      <c r="ADQ9" s="15">
        <f t="shared" si="185"/>
        <v>10050</v>
      </c>
      <c r="ADR9" s="15">
        <f t="shared" si="185"/>
        <v>10060</v>
      </c>
      <c r="ADS9" s="15">
        <f t="shared" si="185"/>
        <v>10070</v>
      </c>
      <c r="ADT9" s="15">
        <f t="shared" si="185"/>
        <v>10080</v>
      </c>
      <c r="ADU9" s="15">
        <f t="shared" si="185"/>
        <v>10090</v>
      </c>
      <c r="ADV9" s="15">
        <f t="shared" ref="ADV9:AEV9" si="186">ADU9+10</f>
        <v>10100</v>
      </c>
      <c r="ADW9" s="15">
        <f t="shared" si="186"/>
        <v>10110</v>
      </c>
      <c r="ADX9" s="15">
        <f t="shared" si="186"/>
        <v>10120</v>
      </c>
      <c r="ADY9" s="15">
        <f t="shared" si="186"/>
        <v>10130</v>
      </c>
      <c r="ADZ9" s="15">
        <f t="shared" si="186"/>
        <v>10140</v>
      </c>
      <c r="AEA9" s="15">
        <f t="shared" si="186"/>
        <v>10150</v>
      </c>
      <c r="AEB9" s="15">
        <f t="shared" si="186"/>
        <v>10160</v>
      </c>
      <c r="AEC9" s="15">
        <f t="shared" si="186"/>
        <v>10170</v>
      </c>
      <c r="AED9" s="15">
        <f t="shared" si="186"/>
        <v>10180</v>
      </c>
      <c r="AEE9" s="15">
        <f t="shared" si="186"/>
        <v>10190</v>
      </c>
      <c r="AEF9" s="15">
        <f t="shared" si="186"/>
        <v>10200</v>
      </c>
      <c r="AEG9" s="15">
        <f t="shared" si="186"/>
        <v>10210</v>
      </c>
      <c r="AEH9" s="15">
        <f t="shared" si="186"/>
        <v>10220</v>
      </c>
      <c r="AEI9" s="15">
        <f t="shared" si="186"/>
        <v>10230</v>
      </c>
      <c r="AEJ9" s="15">
        <f t="shared" si="186"/>
        <v>10240</v>
      </c>
      <c r="AEK9" s="15">
        <f t="shared" si="186"/>
        <v>10250</v>
      </c>
      <c r="AEL9" s="15">
        <f t="shared" si="186"/>
        <v>10260</v>
      </c>
      <c r="AEM9" s="15">
        <f t="shared" si="186"/>
        <v>10270</v>
      </c>
      <c r="AEN9" s="15">
        <f t="shared" si="186"/>
        <v>10280</v>
      </c>
      <c r="AEO9" s="15">
        <f t="shared" si="186"/>
        <v>10290</v>
      </c>
      <c r="AEP9" s="15">
        <f t="shared" si="186"/>
        <v>10300</v>
      </c>
      <c r="AEQ9" s="15">
        <f t="shared" si="186"/>
        <v>10310</v>
      </c>
      <c r="AER9" s="15">
        <f t="shared" si="186"/>
        <v>10320</v>
      </c>
      <c r="AES9" s="15">
        <f t="shared" si="186"/>
        <v>10330</v>
      </c>
      <c r="AET9" s="15">
        <f t="shared" si="186"/>
        <v>10340</v>
      </c>
      <c r="AEU9" s="15">
        <f t="shared" si="186"/>
        <v>10350</v>
      </c>
      <c r="AEV9" s="15">
        <f t="shared" si="186"/>
        <v>10360</v>
      </c>
      <c r="AEW9" s="15">
        <f>AEV9+10</f>
        <v>10370</v>
      </c>
      <c r="AEX9" s="15">
        <f>AET9+(AEX14*10)</f>
        <v>13340</v>
      </c>
      <c r="AEY9" s="15">
        <f>AEX9+10</f>
        <v>13350</v>
      </c>
      <c r="AEZ9" s="15">
        <f>AEY9+10</f>
        <v>13360</v>
      </c>
      <c r="AFA9" s="15">
        <f>AEZ9+10</f>
        <v>13370</v>
      </c>
      <c r="AFB9" s="15">
        <f t="shared" ref="AFB9:AFE9" si="187">AFA9+10</f>
        <v>13380</v>
      </c>
      <c r="AFC9" s="15">
        <f t="shared" si="187"/>
        <v>13390</v>
      </c>
      <c r="AFD9" s="15">
        <f t="shared" si="187"/>
        <v>13400</v>
      </c>
      <c r="AFE9" s="15">
        <f t="shared" si="187"/>
        <v>13410</v>
      </c>
      <c r="AFF9" s="15">
        <f>AFE9+10</f>
        <v>13420</v>
      </c>
      <c r="AFG9" s="15">
        <f>AFC9+(AFG14*10)-10</f>
        <v>16380</v>
      </c>
      <c r="AFH9" s="15">
        <f>AFG9+10</f>
        <v>16390</v>
      </c>
      <c r="AFI9" s="15">
        <f>AFH9+10</f>
        <v>16400</v>
      </c>
      <c r="AFJ9" s="15">
        <f>AFI9+10</f>
        <v>16410</v>
      </c>
      <c r="AFK9" s="15">
        <f>AFG9+(AFK14*10)</f>
        <v>19380</v>
      </c>
      <c r="AFL9" s="15">
        <f t="shared" ref="AFL9:AFQ9" si="188">AFK9+10</f>
        <v>19390</v>
      </c>
      <c r="AFM9" s="15">
        <f t="shared" si="188"/>
        <v>19400</v>
      </c>
      <c r="AFN9" s="15">
        <f t="shared" si="188"/>
        <v>19410</v>
      </c>
      <c r="AFO9" s="15">
        <f t="shared" si="188"/>
        <v>19420</v>
      </c>
      <c r="AFP9" s="15">
        <f t="shared" si="188"/>
        <v>19430</v>
      </c>
      <c r="AFQ9" s="15">
        <f t="shared" si="188"/>
        <v>19440</v>
      </c>
      <c r="AFR9" s="15"/>
      <c r="AFS9" s="15">
        <v>10</v>
      </c>
      <c r="AFT9" s="15">
        <v>5010</v>
      </c>
      <c r="AFU9" s="15">
        <v>5020</v>
      </c>
      <c r="AFV9" s="15">
        <v>5030</v>
      </c>
      <c r="AFW9" s="15">
        <v>10010</v>
      </c>
      <c r="AFX9" s="15">
        <v>10020</v>
      </c>
      <c r="AFY9" s="15">
        <v>10030</v>
      </c>
      <c r="AFZ9" s="15">
        <v>10040</v>
      </c>
      <c r="AGA9" s="15">
        <v>10050</v>
      </c>
      <c r="AGB9" s="15">
        <v>10060</v>
      </c>
      <c r="AGC9" s="15">
        <f>AGB9+10</f>
        <v>10070</v>
      </c>
      <c r="AGD9" s="15">
        <f>AGC9+10</f>
        <v>10080</v>
      </c>
      <c r="AGE9" s="15">
        <f>AGD9+10</f>
        <v>10090</v>
      </c>
      <c r="AGF9" s="15">
        <f>AGE9+10</f>
        <v>10100</v>
      </c>
      <c r="AGG9" s="15">
        <f>AGF9+10</f>
        <v>10110</v>
      </c>
      <c r="AGH9" s="15">
        <f t="shared" ref="AGH9:AGL9" si="189">AGG9+10</f>
        <v>10120</v>
      </c>
      <c r="AGI9" s="15">
        <f t="shared" si="189"/>
        <v>10130</v>
      </c>
      <c r="AGJ9" s="15">
        <f t="shared" si="189"/>
        <v>10140</v>
      </c>
      <c r="AGK9" s="15">
        <f t="shared" si="189"/>
        <v>10150</v>
      </c>
      <c r="AGL9" s="15">
        <f t="shared" si="189"/>
        <v>10160</v>
      </c>
      <c r="AGM9" s="15">
        <f>AGN9-10</f>
        <v>13130</v>
      </c>
      <c r="AGN9" s="15">
        <f>AGO9-10</f>
        <v>13140</v>
      </c>
      <c r="AGO9" s="15">
        <f>AGK9+(AGO14*10)</f>
        <v>13150</v>
      </c>
      <c r="AGP9" s="15">
        <f>AGO9+10</f>
        <v>13160</v>
      </c>
      <c r="AGQ9" s="15">
        <f t="shared" ref="AGQ9:AGU9" si="190">AGP9+10</f>
        <v>13170</v>
      </c>
      <c r="AGR9" s="15">
        <f t="shared" si="190"/>
        <v>13180</v>
      </c>
      <c r="AGS9" s="15">
        <f t="shared" si="190"/>
        <v>13190</v>
      </c>
      <c r="AGT9" s="15">
        <f t="shared" si="190"/>
        <v>13200</v>
      </c>
      <c r="AGU9" s="15">
        <f t="shared" si="190"/>
        <v>13210</v>
      </c>
      <c r="AGV9" s="15">
        <f>AGW9-10</f>
        <v>16180</v>
      </c>
      <c r="AGW9" s="15">
        <f>AGX9-10</f>
        <v>16190</v>
      </c>
      <c r="AGX9" s="15">
        <f>AGT9+(AGX14*10)</f>
        <v>16200</v>
      </c>
      <c r="AGY9" s="15">
        <f>AGX9+10</f>
        <v>16210</v>
      </c>
      <c r="AGZ9" s="15">
        <f>AGY9+10</f>
        <v>16220</v>
      </c>
      <c r="AHA9" s="15">
        <f t="shared" ref="AHA9:AHD9" si="191">AGZ9+10</f>
        <v>16230</v>
      </c>
      <c r="AHB9" s="15">
        <f t="shared" si="191"/>
        <v>16240</v>
      </c>
      <c r="AHC9" s="15">
        <f t="shared" si="191"/>
        <v>16250</v>
      </c>
      <c r="AHD9" s="15">
        <f t="shared" si="191"/>
        <v>16260</v>
      </c>
      <c r="AHE9" s="15">
        <f>AHF9-10</f>
        <v>19220</v>
      </c>
      <c r="AHF9" s="15">
        <f>AHG9-10</f>
        <v>19230</v>
      </c>
      <c r="AHG9" s="15">
        <f>AHC9+(AHG14*10)-10</f>
        <v>19240</v>
      </c>
      <c r="AHH9" s="15">
        <f>AHG9+10</f>
        <v>19250</v>
      </c>
      <c r="AHI9" s="15">
        <f>AHJ9-10</f>
        <v>22220</v>
      </c>
      <c r="AHJ9" s="15">
        <f>AHK9-10</f>
        <v>22230</v>
      </c>
      <c r="AHK9" s="15">
        <f>AHG9+(AHK14*10)</f>
        <v>22240</v>
      </c>
      <c r="AHL9" s="15">
        <f>AHK9+10</f>
        <v>22250</v>
      </c>
      <c r="AHM9" s="15">
        <f>AHL9+10</f>
        <v>22260</v>
      </c>
      <c r="AHN9" s="15">
        <f t="shared" ref="AHN9:AHQ9" si="192">AHM9+10</f>
        <v>22270</v>
      </c>
      <c r="AHO9" s="15">
        <f t="shared" si="192"/>
        <v>22280</v>
      </c>
      <c r="AHP9" s="15">
        <f t="shared" si="192"/>
        <v>22290</v>
      </c>
      <c r="AHQ9" s="15">
        <f t="shared" si="192"/>
        <v>22300</v>
      </c>
      <c r="AHR9" s="15">
        <f>AHS9-10</f>
        <v>25260</v>
      </c>
      <c r="AHS9" s="15">
        <f>AHT9-10</f>
        <v>25270</v>
      </c>
      <c r="AHT9" s="15">
        <f>AHP9+(AHT14*10)-10</f>
        <v>25280</v>
      </c>
      <c r="AHU9" s="15">
        <f>AHT9+10</f>
        <v>25290</v>
      </c>
      <c r="AHV9" s="15">
        <f>AHW9-10</f>
        <v>28260</v>
      </c>
      <c r="AHW9" s="15">
        <f>AHX9-10</f>
        <v>28270</v>
      </c>
      <c r="AHX9" s="15">
        <f>AHT9+(AHX14*10)</f>
        <v>28280</v>
      </c>
      <c r="AHY9" s="15">
        <f>AHX9+10</f>
        <v>28290</v>
      </c>
      <c r="AHZ9" s="15">
        <f>AHY9+10</f>
        <v>28300</v>
      </c>
      <c r="AIA9" s="15">
        <f t="shared" ref="AIA9:AIE9" si="193">AHZ9+10</f>
        <v>28310</v>
      </c>
      <c r="AIB9" s="15">
        <f t="shared" si="193"/>
        <v>28320</v>
      </c>
      <c r="AIC9" s="15">
        <f t="shared" si="193"/>
        <v>28330</v>
      </c>
      <c r="AID9" s="15">
        <f t="shared" si="193"/>
        <v>28340</v>
      </c>
      <c r="AIE9" s="15">
        <f t="shared" si="193"/>
        <v>28350</v>
      </c>
      <c r="AIF9" s="15">
        <f>AIB9+(AIF14*10)</f>
        <v>31320</v>
      </c>
      <c r="AIG9" s="15">
        <f>AIF9+10</f>
        <v>31330</v>
      </c>
      <c r="AIH9" s="15">
        <f>AIG9+10</f>
        <v>31340</v>
      </c>
      <c r="AII9" s="15">
        <f>AIH9+10</f>
        <v>31350</v>
      </c>
      <c r="AIJ9" s="15">
        <f t="shared" ref="AIJ9:AIN9" si="194">AII9+10</f>
        <v>31360</v>
      </c>
      <c r="AIK9" s="15">
        <f t="shared" si="194"/>
        <v>31370</v>
      </c>
      <c r="AIL9" s="15">
        <f t="shared" si="194"/>
        <v>31380</v>
      </c>
      <c r="AIM9" s="15">
        <f t="shared" si="194"/>
        <v>31390</v>
      </c>
      <c r="AIN9" s="15">
        <f t="shared" si="194"/>
        <v>31400</v>
      </c>
      <c r="AIO9" s="15">
        <f>AIK9+(AIO14*10)</f>
        <v>34370</v>
      </c>
      <c r="AIP9" s="15">
        <f>AIO9+10</f>
        <v>34380</v>
      </c>
      <c r="AIQ9" s="15">
        <f>AIP9+10</f>
        <v>34390</v>
      </c>
      <c r="AIR9" s="15">
        <f>AIQ9+10</f>
        <v>34400</v>
      </c>
      <c r="AIS9" s="15">
        <f>AIR9+10</f>
        <v>34410</v>
      </c>
      <c r="AIT9" s="15">
        <f>AIS9+10</f>
        <v>34420</v>
      </c>
      <c r="AIU9" s="15">
        <f t="shared" ref="AIU9:AIW9" si="195">AIT9+10</f>
        <v>34430</v>
      </c>
      <c r="AIV9" s="15">
        <f t="shared" si="195"/>
        <v>34440</v>
      </c>
      <c r="AIW9" s="15">
        <f t="shared" si="195"/>
        <v>34450</v>
      </c>
      <c r="AIX9" s="15">
        <f>AIY9-10</f>
        <v>37430</v>
      </c>
      <c r="AIY9" s="15">
        <f>AIZ9-10</f>
        <v>37440</v>
      </c>
      <c r="AIZ9" s="15">
        <f>AIW9+(AIZ15*10)</f>
        <v>37450</v>
      </c>
      <c r="AJA9" s="15">
        <f t="shared" ref="AJA9" si="196">AIZ9+10</f>
        <v>37460</v>
      </c>
      <c r="AJB9" s="15">
        <f t="shared" ref="AJB9" si="197">AJA9+10</f>
        <v>37470</v>
      </c>
      <c r="AJC9" s="15">
        <f t="shared" ref="AJC9" si="198">AJB9+10</f>
        <v>37480</v>
      </c>
      <c r="AJD9" s="15">
        <f t="shared" ref="AJD9" si="199">AJC9+10</f>
        <v>37490</v>
      </c>
      <c r="AJE9" s="15">
        <f t="shared" ref="AJE9" si="200">AJD9+10</f>
        <v>37500</v>
      </c>
      <c r="AJF9" s="15"/>
      <c r="AJG9" s="15">
        <v>10</v>
      </c>
      <c r="AJH9" s="15">
        <f>AJG9+(AJH12*10)</f>
        <v>5020</v>
      </c>
      <c r="AJI9" s="15">
        <f>AJH9+10</f>
        <v>5030</v>
      </c>
      <c r="AJJ9" s="15">
        <f>AJI9+10</f>
        <v>5040</v>
      </c>
      <c r="AJK9" s="15">
        <f>AJL9-10</f>
        <v>29020</v>
      </c>
      <c r="AJL9" s="15">
        <f>AJI9+(AJL21*10)</f>
        <v>29030</v>
      </c>
      <c r="AJM9" s="15">
        <f>AJL9+10</f>
        <v>29040</v>
      </c>
      <c r="AJN9" s="15"/>
      <c r="AJO9" s="15">
        <v>10</v>
      </c>
      <c r="AJP9" s="15">
        <f>AJO9+(AJP12*10)</f>
        <v>5020</v>
      </c>
      <c r="AJQ9" s="15">
        <f>AJP9+10</f>
        <v>5030</v>
      </c>
      <c r="AJR9" s="15">
        <f>AJQ9+10</f>
        <v>5040</v>
      </c>
      <c r="AJS9" s="15">
        <f>AJR9+10</f>
        <v>5050</v>
      </c>
      <c r="AJT9" s="15">
        <f>AJU9-10</f>
        <v>8020</v>
      </c>
      <c r="AJU9" s="15">
        <f>AJV9-10</f>
        <v>8030</v>
      </c>
      <c r="AJV9" s="15">
        <f>AJW9-10</f>
        <v>8040</v>
      </c>
      <c r="AJW9" s="15">
        <f>AJS9+(AJW18*10)</f>
        <v>8050</v>
      </c>
      <c r="AJX9" s="15"/>
      <c r="AJY9" s="15">
        <v>10</v>
      </c>
      <c r="AJZ9" s="15">
        <f>AJY9+(AJZ12*10)</f>
        <v>5020</v>
      </c>
      <c r="AKA9" s="15">
        <f t="shared" ref="AKA9:AKF9" si="201">AJZ9+10</f>
        <v>5030</v>
      </c>
      <c r="AKB9" s="15">
        <f t="shared" si="201"/>
        <v>5040</v>
      </c>
      <c r="AKC9" s="15">
        <f t="shared" si="201"/>
        <v>5050</v>
      </c>
      <c r="AKD9" s="15">
        <f t="shared" si="201"/>
        <v>5060</v>
      </c>
      <c r="AKE9" s="15">
        <f t="shared" si="201"/>
        <v>5070</v>
      </c>
      <c r="AKF9" s="15">
        <f t="shared" si="201"/>
        <v>5080</v>
      </c>
      <c r="AKG9" s="15">
        <f>AKH9-10</f>
        <v>8060</v>
      </c>
      <c r="AKH9" s="15">
        <f>AKE9+(AKH18*10)</f>
        <v>8070</v>
      </c>
      <c r="AKI9" s="15"/>
      <c r="AKJ9" s="15">
        <v>10</v>
      </c>
      <c r="AKK9" s="15">
        <f>AKL9-10</f>
        <v>5010</v>
      </c>
      <c r="AKL9" s="15">
        <f>AKJ9+(AKL12*10)</f>
        <v>5020</v>
      </c>
      <c r="AKM9" s="15">
        <f>AKL9+10</f>
        <v>5030</v>
      </c>
      <c r="AKN9" s="15">
        <f>AKO9-10</f>
        <v>10010</v>
      </c>
      <c r="AKO9" s="15">
        <f>AKP9-10</f>
        <v>10020</v>
      </c>
      <c r="AKP9" s="15">
        <f>AKL9+(AKP13*10)</f>
        <v>10030</v>
      </c>
      <c r="AKQ9" s="15">
        <f>AKM9+(AKQ13*10)</f>
        <v>10040</v>
      </c>
      <c r="AKR9" s="15">
        <f>AKQ9+10</f>
        <v>10050</v>
      </c>
      <c r="AKS9" s="15">
        <f>AKR9+10</f>
        <v>10060</v>
      </c>
      <c r="AKT9" s="15">
        <f>AKS9+10</f>
        <v>10070</v>
      </c>
      <c r="AKU9" s="15">
        <f>AKQ9+(AKU21*10)</f>
        <v>34040</v>
      </c>
      <c r="AKV9" s="15">
        <f>AKU9+10</f>
        <v>34050</v>
      </c>
      <c r="AKW9" s="15">
        <f>AKV9+10</f>
        <v>34060</v>
      </c>
      <c r="AKX9" s="15"/>
      <c r="AKY9" s="15">
        <v>10</v>
      </c>
      <c r="AKZ9" s="15">
        <f>ALA9-10</f>
        <v>5010</v>
      </c>
      <c r="ALA9" s="15">
        <f>AKY9+(ALA12*10)</f>
        <v>5020</v>
      </c>
      <c r="ALB9" s="15">
        <f>ALA9+10</f>
        <v>5030</v>
      </c>
      <c r="ALC9" s="15">
        <f>ALD9-10</f>
        <v>10010</v>
      </c>
      <c r="ALD9" s="15">
        <f>ALE9-10</f>
        <v>10020</v>
      </c>
      <c r="ALE9" s="15">
        <f>ALA9+(ALE13*10)</f>
        <v>10030</v>
      </c>
      <c r="ALF9" s="15">
        <f t="shared" ref="ALF9:ALG9" si="202">ALE9+10</f>
        <v>10040</v>
      </c>
      <c r="ALG9" s="15">
        <f t="shared" si="202"/>
        <v>10050</v>
      </c>
      <c r="ALH9" s="15">
        <f>ALG9+10</f>
        <v>10060</v>
      </c>
      <c r="ALI9" s="15">
        <f>ALH9+10</f>
        <v>10070</v>
      </c>
      <c r="ALJ9" s="15">
        <f>ALI9+10</f>
        <v>10080</v>
      </c>
      <c r="ALK9" s="15">
        <f>ALL9-10</f>
        <v>13050</v>
      </c>
      <c r="ALL9" s="15">
        <f>ALH9+(ALL18*10)</f>
        <v>13060</v>
      </c>
      <c r="ALM9" s="15"/>
      <c r="ALN9" s="15">
        <v>10</v>
      </c>
      <c r="ALO9" s="15">
        <f>ALP9-10</f>
        <v>5010</v>
      </c>
      <c r="ALP9" s="15">
        <f>ALN9+(ALP12*10)</f>
        <v>5020</v>
      </c>
      <c r="ALQ9" s="15">
        <f>ALP9+10</f>
        <v>5030</v>
      </c>
      <c r="ALR9" s="15">
        <f>ALS9-10</f>
        <v>10010</v>
      </c>
      <c r="ALS9" s="15">
        <f>ALT9-10</f>
        <v>10020</v>
      </c>
      <c r="ALT9" s="15">
        <f>ALP9+(ALT13*10)</f>
        <v>10030</v>
      </c>
      <c r="ALU9" s="15">
        <f>ALT9+10</f>
        <v>10040</v>
      </c>
      <c r="ALV9" s="15">
        <f>ALU9+10</f>
        <v>10050</v>
      </c>
      <c r="ALW9" s="15">
        <f>ALV9+10</f>
        <v>10060</v>
      </c>
      <c r="ALX9" s="15">
        <f>ALW9+10</f>
        <v>10070</v>
      </c>
      <c r="ALY9" s="15">
        <f>ALX9+10</f>
        <v>10080</v>
      </c>
      <c r="ALZ9" s="15">
        <f>AMA9-10</f>
        <v>13050</v>
      </c>
      <c r="AMA9" s="15">
        <f>AMB9-10</f>
        <v>13060</v>
      </c>
      <c r="AMB9" s="15">
        <f>ALX9+(AMB18*10)</f>
        <v>13070</v>
      </c>
      <c r="AMC9" s="15"/>
      <c r="AMD9" s="15">
        <v>10</v>
      </c>
      <c r="AME9" s="15">
        <v>5010</v>
      </c>
      <c r="AMF9" s="15">
        <v>5020</v>
      </c>
      <c r="AMG9" s="15">
        <v>5030</v>
      </c>
      <c r="AMH9" s="15">
        <v>10010</v>
      </c>
      <c r="AMI9" s="15">
        <v>10020</v>
      </c>
      <c r="AMJ9" s="15">
        <v>10030</v>
      </c>
      <c r="AMK9" s="15">
        <v>10040</v>
      </c>
      <c r="AML9" s="15">
        <v>10050</v>
      </c>
      <c r="AMM9" s="15">
        <v>10060</v>
      </c>
      <c r="AMN9" s="15">
        <f>AMM9+10</f>
        <v>10070</v>
      </c>
      <c r="AMO9" s="15">
        <f>AMN9+10</f>
        <v>10080</v>
      </c>
      <c r="AMP9" s="15">
        <f t="shared" ref="AMP9:ANA9" si="203">AMO9+10</f>
        <v>10090</v>
      </c>
      <c r="AMQ9" s="15">
        <f t="shared" si="203"/>
        <v>10100</v>
      </c>
      <c r="AMR9" s="15">
        <f t="shared" si="203"/>
        <v>10110</v>
      </c>
      <c r="AMS9" s="15">
        <f t="shared" si="203"/>
        <v>10120</v>
      </c>
      <c r="AMT9" s="15">
        <f t="shared" si="203"/>
        <v>10130</v>
      </c>
      <c r="AMU9" s="15">
        <f t="shared" si="203"/>
        <v>10140</v>
      </c>
      <c r="AMV9" s="15">
        <f t="shared" si="203"/>
        <v>10150</v>
      </c>
      <c r="AMW9" s="15">
        <f t="shared" si="203"/>
        <v>10160</v>
      </c>
      <c r="AMX9" s="15">
        <f t="shared" si="203"/>
        <v>10170</v>
      </c>
      <c r="AMY9" s="15">
        <f t="shared" si="203"/>
        <v>10180</v>
      </c>
      <c r="AMZ9" s="15">
        <f t="shared" si="203"/>
        <v>10190</v>
      </c>
      <c r="ANA9" s="15">
        <f t="shared" si="203"/>
        <v>10200</v>
      </c>
      <c r="ANB9" s="15">
        <f>ANC9-10</f>
        <v>13160</v>
      </c>
      <c r="ANC9" s="15">
        <f>AND9-10</f>
        <v>13170</v>
      </c>
      <c r="AND9" s="15">
        <f>AMY9+(AND18*10)</f>
        <v>13180</v>
      </c>
      <c r="ANE9" s="15">
        <v>13190</v>
      </c>
      <c r="ANF9" s="15"/>
      <c r="ANG9" s="15"/>
      <c r="ANH9" s="15"/>
      <c r="ANI9" s="15"/>
      <c r="ANJ9" s="15"/>
      <c r="ANK9" s="15"/>
      <c r="ANL9" s="15"/>
      <c r="ANM9" s="15"/>
      <c r="ANN9" s="15"/>
      <c r="ANO9" s="15"/>
      <c r="ANP9" s="15"/>
      <c r="ANQ9" s="15"/>
      <c r="ANR9" s="15"/>
      <c r="ANS9" s="15"/>
      <c r="ANT9" s="15"/>
      <c r="ANU9" s="15"/>
      <c r="ANV9" s="15"/>
      <c r="ANW9" s="15"/>
      <c r="ANX9" s="15"/>
      <c r="ANY9" s="15"/>
      <c r="ANZ9" s="15"/>
      <c r="AOA9" s="15"/>
      <c r="AOB9" s="15"/>
      <c r="AOC9" s="15"/>
      <c r="AOD9" s="15"/>
      <c r="AOE9" s="15"/>
      <c r="AOF9" s="15"/>
      <c r="AOG9" s="15"/>
      <c r="AOH9" s="15"/>
      <c r="AOI9" s="15"/>
      <c r="AOJ9" s="15"/>
      <c r="AOK9" s="15"/>
      <c r="AOL9" s="15"/>
      <c r="AOM9" s="15"/>
      <c r="AON9" s="15"/>
      <c r="AOO9" s="15"/>
      <c r="AOP9" s="15"/>
      <c r="AOQ9" s="15"/>
      <c r="AOR9" s="15"/>
      <c r="AOS9" s="15"/>
      <c r="AOT9" s="15"/>
      <c r="AOU9" s="15"/>
      <c r="AOV9" s="15"/>
      <c r="AOW9" s="15"/>
      <c r="AOX9" s="15"/>
      <c r="AOY9" s="15"/>
      <c r="AOZ9" s="15"/>
      <c r="APA9" s="15"/>
      <c r="APB9" s="15"/>
      <c r="APC9" s="15"/>
      <c r="APD9" s="15"/>
      <c r="APE9" s="15"/>
      <c r="APF9" s="15"/>
      <c r="APG9" s="15"/>
      <c r="APH9" s="15"/>
      <c r="API9" s="15"/>
      <c r="APJ9" s="15"/>
      <c r="APK9" s="15"/>
      <c r="APL9" s="15"/>
      <c r="APM9" s="15"/>
      <c r="APN9" s="15"/>
      <c r="APO9" s="15"/>
      <c r="APP9" s="15"/>
      <c r="APQ9" s="15"/>
      <c r="APR9" s="15"/>
      <c r="APS9" s="15"/>
      <c r="APT9" s="15"/>
      <c r="APU9" s="15"/>
      <c r="APV9" s="15"/>
      <c r="APW9" s="15"/>
      <c r="APX9" s="15"/>
      <c r="APY9" s="15"/>
      <c r="APZ9" s="15"/>
      <c r="AQA9" s="15"/>
      <c r="AQB9" s="15"/>
    </row>
    <row r="10" spans="1:1120" s="17" customFormat="1" ht="15" customHeight="1" x14ac:dyDescent="0.25">
      <c r="A10" s="5" t="s">
        <v>1</v>
      </c>
      <c r="B10" s="6" t="s">
        <v>21</v>
      </c>
      <c r="C10" s="15">
        <v>200</v>
      </c>
      <c r="D10" s="15">
        <v>200</v>
      </c>
      <c r="E10" s="15">
        <v>200</v>
      </c>
      <c r="F10" s="15">
        <v>200</v>
      </c>
      <c r="G10" s="15">
        <v>200</v>
      </c>
      <c r="H10" s="15">
        <v>200</v>
      </c>
      <c r="I10" s="15">
        <v>200</v>
      </c>
      <c r="J10" s="15"/>
      <c r="K10" s="15">
        <v>200</v>
      </c>
      <c r="L10" s="15">
        <v>200</v>
      </c>
      <c r="M10" s="15">
        <v>200</v>
      </c>
      <c r="N10" s="15">
        <v>200</v>
      </c>
      <c r="O10" s="15">
        <v>200</v>
      </c>
      <c r="P10" s="15">
        <v>200</v>
      </c>
      <c r="Q10" s="15"/>
      <c r="R10" s="15">
        <v>200</v>
      </c>
      <c r="S10" s="15">
        <v>200</v>
      </c>
      <c r="T10" s="15">
        <v>200</v>
      </c>
      <c r="U10" s="15">
        <v>200</v>
      </c>
      <c r="V10" s="15">
        <v>200</v>
      </c>
      <c r="W10" s="15">
        <v>200</v>
      </c>
      <c r="X10" s="15"/>
      <c r="Y10" s="15">
        <v>200</v>
      </c>
      <c r="Z10" s="15">
        <v>200</v>
      </c>
      <c r="AA10" s="15">
        <v>200</v>
      </c>
      <c r="AB10" s="15">
        <v>200</v>
      </c>
      <c r="AC10" s="15">
        <v>200</v>
      </c>
      <c r="AD10" s="15">
        <v>200</v>
      </c>
      <c r="AE10" s="15"/>
      <c r="AF10" s="15">
        <v>200</v>
      </c>
      <c r="AG10" s="15">
        <v>200</v>
      </c>
      <c r="AH10" s="15">
        <v>200</v>
      </c>
      <c r="AI10" s="15">
        <v>200</v>
      </c>
      <c r="AJ10" s="15">
        <v>200</v>
      </c>
      <c r="AK10" s="15">
        <v>200</v>
      </c>
      <c r="AL10" s="15"/>
      <c r="AM10" s="15">
        <v>200</v>
      </c>
      <c r="AN10" s="15">
        <v>200</v>
      </c>
      <c r="AO10" s="15">
        <v>200</v>
      </c>
      <c r="AP10" s="15">
        <v>200</v>
      </c>
      <c r="AQ10" s="15">
        <v>200</v>
      </c>
      <c r="AR10" s="15">
        <v>200</v>
      </c>
      <c r="AS10" s="15">
        <v>200</v>
      </c>
      <c r="AT10" s="15">
        <v>200</v>
      </c>
      <c r="AU10" s="15">
        <v>200</v>
      </c>
      <c r="AV10" s="15">
        <v>200</v>
      </c>
      <c r="AW10" s="15">
        <v>200</v>
      </c>
      <c r="AX10" s="15">
        <v>200</v>
      </c>
      <c r="AY10" s="15">
        <v>200</v>
      </c>
      <c r="AZ10" s="15">
        <v>200</v>
      </c>
      <c r="BA10" s="15">
        <v>200</v>
      </c>
      <c r="BB10" s="15">
        <v>200</v>
      </c>
      <c r="BC10" s="15">
        <v>200</v>
      </c>
      <c r="BD10" s="15">
        <v>200</v>
      </c>
      <c r="BE10" s="15">
        <v>200</v>
      </c>
      <c r="BF10" s="15">
        <v>200</v>
      </c>
      <c r="BG10" s="15">
        <v>200</v>
      </c>
      <c r="BH10" s="15">
        <v>200</v>
      </c>
      <c r="BI10" s="15">
        <v>200</v>
      </c>
      <c r="BJ10" s="15">
        <v>200</v>
      </c>
      <c r="BK10" s="15">
        <v>200</v>
      </c>
      <c r="BL10" s="15">
        <v>200</v>
      </c>
      <c r="BM10" s="15">
        <v>200</v>
      </c>
      <c r="BN10" s="15">
        <v>200</v>
      </c>
      <c r="BO10" s="15">
        <v>200</v>
      </c>
      <c r="BP10" s="15">
        <v>200</v>
      </c>
      <c r="BQ10" s="15">
        <v>200</v>
      </c>
      <c r="BR10" s="15">
        <v>200</v>
      </c>
      <c r="BS10" s="15">
        <v>200</v>
      </c>
      <c r="BT10" s="15">
        <v>200</v>
      </c>
      <c r="BU10" s="15">
        <v>200</v>
      </c>
      <c r="BV10" s="15">
        <v>200</v>
      </c>
      <c r="BW10" s="15">
        <v>200</v>
      </c>
      <c r="BX10" s="15">
        <v>200</v>
      </c>
      <c r="BY10" s="15">
        <v>200</v>
      </c>
      <c r="BZ10" s="15">
        <v>200</v>
      </c>
      <c r="CA10" s="15">
        <v>200</v>
      </c>
      <c r="CB10" s="15">
        <v>200</v>
      </c>
      <c r="CC10" s="15">
        <v>200</v>
      </c>
      <c r="CD10" s="15">
        <v>200</v>
      </c>
      <c r="CE10" s="15">
        <v>200</v>
      </c>
      <c r="CF10" s="15">
        <v>200</v>
      </c>
      <c r="CG10" s="15">
        <v>200</v>
      </c>
      <c r="CH10" s="15">
        <v>200</v>
      </c>
      <c r="CI10" s="15">
        <v>200</v>
      </c>
      <c r="CJ10" s="15">
        <v>200</v>
      </c>
      <c r="CK10" s="15">
        <v>200</v>
      </c>
      <c r="CL10" s="15">
        <v>200</v>
      </c>
      <c r="CM10" s="15">
        <v>200</v>
      </c>
      <c r="CN10" s="15">
        <v>200</v>
      </c>
      <c r="CO10" s="15">
        <v>200</v>
      </c>
      <c r="CP10" s="15">
        <v>200</v>
      </c>
      <c r="CQ10" s="15">
        <v>200</v>
      </c>
      <c r="CR10" s="15">
        <v>200</v>
      </c>
      <c r="CS10" s="15">
        <v>200</v>
      </c>
      <c r="CT10" s="15">
        <v>200</v>
      </c>
      <c r="CU10" s="15">
        <v>200</v>
      </c>
      <c r="CV10" s="15">
        <v>200</v>
      </c>
      <c r="CW10" s="15">
        <v>200</v>
      </c>
      <c r="CX10" s="15">
        <v>200</v>
      </c>
      <c r="CY10" s="15">
        <v>200</v>
      </c>
      <c r="CZ10" s="15">
        <v>200</v>
      </c>
      <c r="DA10" s="15">
        <v>200</v>
      </c>
      <c r="DB10" s="15">
        <v>200</v>
      </c>
      <c r="DC10" s="15">
        <v>200</v>
      </c>
      <c r="DD10" s="15">
        <v>200</v>
      </c>
      <c r="DE10" s="15">
        <v>200</v>
      </c>
      <c r="DF10" s="15">
        <v>200</v>
      </c>
      <c r="DG10" s="15">
        <v>200</v>
      </c>
      <c r="DH10" s="15">
        <v>200</v>
      </c>
      <c r="DI10" s="15">
        <v>200</v>
      </c>
      <c r="DJ10" s="15">
        <v>200</v>
      </c>
      <c r="DK10" s="15">
        <v>200</v>
      </c>
      <c r="DL10" s="15">
        <v>200</v>
      </c>
      <c r="DM10" s="15">
        <v>200</v>
      </c>
      <c r="DN10" s="15">
        <v>200</v>
      </c>
      <c r="DO10" s="15">
        <v>200</v>
      </c>
      <c r="DP10" s="15">
        <v>200</v>
      </c>
      <c r="DQ10" s="15">
        <v>200</v>
      </c>
      <c r="DR10" s="15">
        <v>200</v>
      </c>
      <c r="DS10" s="15">
        <v>200</v>
      </c>
      <c r="DT10" s="15">
        <v>200</v>
      </c>
      <c r="DU10" s="15">
        <v>200</v>
      </c>
      <c r="DV10" s="15">
        <v>200</v>
      </c>
      <c r="DW10" s="15">
        <v>200</v>
      </c>
      <c r="DX10" s="15">
        <v>200</v>
      </c>
      <c r="DY10" s="15">
        <v>200</v>
      </c>
      <c r="DZ10" s="15">
        <v>200</v>
      </c>
      <c r="EA10" s="15">
        <v>200</v>
      </c>
      <c r="EB10" s="15">
        <v>200</v>
      </c>
      <c r="EC10" s="15">
        <v>200</v>
      </c>
      <c r="ED10" s="15">
        <v>200</v>
      </c>
      <c r="EE10" s="15">
        <v>200</v>
      </c>
      <c r="EF10" s="15">
        <v>200</v>
      </c>
      <c r="EG10" s="15">
        <v>200</v>
      </c>
      <c r="EH10" s="15">
        <v>200</v>
      </c>
      <c r="EI10" s="15">
        <v>200</v>
      </c>
      <c r="EJ10" s="15">
        <v>200</v>
      </c>
      <c r="EK10" s="15">
        <v>200</v>
      </c>
      <c r="EL10" s="15">
        <v>200</v>
      </c>
      <c r="EM10" s="15">
        <v>200</v>
      </c>
      <c r="EN10" s="15">
        <v>200</v>
      </c>
      <c r="EO10" s="15">
        <v>200</v>
      </c>
      <c r="EP10" s="15">
        <v>200</v>
      </c>
      <c r="EQ10" s="15">
        <v>200</v>
      </c>
      <c r="ER10" s="15">
        <v>200</v>
      </c>
      <c r="ES10" s="15">
        <v>200</v>
      </c>
      <c r="ET10" s="15">
        <v>200</v>
      </c>
      <c r="EU10" s="15">
        <v>200</v>
      </c>
      <c r="EV10" s="15">
        <v>200</v>
      </c>
      <c r="EW10" s="15">
        <v>200</v>
      </c>
      <c r="EX10" s="15">
        <v>200</v>
      </c>
      <c r="EY10" s="15">
        <v>200</v>
      </c>
      <c r="EZ10" s="15">
        <v>200</v>
      </c>
      <c r="FA10" s="15">
        <v>200</v>
      </c>
      <c r="FB10" s="15">
        <v>200</v>
      </c>
      <c r="FC10" s="15">
        <v>200</v>
      </c>
      <c r="FD10" s="15"/>
      <c r="FE10" s="15">
        <v>200</v>
      </c>
      <c r="FF10" s="15">
        <v>200</v>
      </c>
      <c r="FG10" s="15">
        <v>200</v>
      </c>
      <c r="FH10" s="15">
        <v>200</v>
      </c>
      <c r="FI10" s="15">
        <v>200</v>
      </c>
      <c r="FJ10" s="15">
        <v>200</v>
      </c>
      <c r="FK10" s="15">
        <v>200</v>
      </c>
      <c r="FL10" s="15">
        <v>200</v>
      </c>
      <c r="FM10" s="15">
        <v>200</v>
      </c>
      <c r="FN10" s="15">
        <v>200</v>
      </c>
      <c r="FO10" s="15">
        <v>200</v>
      </c>
      <c r="FP10" s="15">
        <v>200</v>
      </c>
      <c r="FQ10" s="15">
        <v>200</v>
      </c>
      <c r="FR10" s="15">
        <v>200</v>
      </c>
      <c r="FS10" s="15">
        <v>200</v>
      </c>
      <c r="FT10" s="15">
        <v>200</v>
      </c>
      <c r="FU10" s="15">
        <v>200</v>
      </c>
      <c r="FV10" s="15">
        <v>200</v>
      </c>
      <c r="FW10" s="15">
        <v>200</v>
      </c>
      <c r="FX10" s="15">
        <v>200</v>
      </c>
      <c r="FY10" s="15">
        <v>200</v>
      </c>
      <c r="FZ10" s="15">
        <v>200</v>
      </c>
      <c r="GA10" s="15">
        <v>200</v>
      </c>
      <c r="GB10" s="15">
        <v>200</v>
      </c>
      <c r="GC10" s="15">
        <v>200</v>
      </c>
      <c r="GD10" s="15">
        <v>200</v>
      </c>
      <c r="GE10" s="15">
        <v>200</v>
      </c>
      <c r="GF10" s="15">
        <v>200</v>
      </c>
      <c r="GG10" s="15">
        <v>200</v>
      </c>
      <c r="GH10" s="15">
        <v>200</v>
      </c>
      <c r="GI10" s="15">
        <v>200</v>
      </c>
      <c r="GJ10" s="15">
        <v>200</v>
      </c>
      <c r="GK10" s="15">
        <v>200</v>
      </c>
      <c r="GL10" s="15">
        <v>200</v>
      </c>
      <c r="GM10" s="15">
        <v>200</v>
      </c>
      <c r="GN10" s="15">
        <v>200</v>
      </c>
      <c r="GO10" s="15">
        <v>200</v>
      </c>
      <c r="GP10" s="15">
        <v>200</v>
      </c>
      <c r="GQ10" s="15">
        <v>200</v>
      </c>
      <c r="GR10" s="15">
        <v>200</v>
      </c>
      <c r="GS10" s="15">
        <v>200</v>
      </c>
      <c r="GT10" s="15">
        <v>200</v>
      </c>
      <c r="GU10" s="15">
        <v>200</v>
      </c>
      <c r="GV10" s="15">
        <v>200</v>
      </c>
      <c r="GW10" s="15">
        <v>200</v>
      </c>
      <c r="GX10" s="15">
        <v>200</v>
      </c>
      <c r="GY10" s="15">
        <v>200</v>
      </c>
      <c r="GZ10" s="15">
        <v>200</v>
      </c>
      <c r="HA10" s="15">
        <v>200</v>
      </c>
      <c r="HB10" s="15">
        <v>200</v>
      </c>
      <c r="HC10" s="15">
        <v>200</v>
      </c>
      <c r="HD10" s="15">
        <v>200</v>
      </c>
      <c r="HE10" s="15">
        <v>200</v>
      </c>
      <c r="HF10" s="15">
        <v>200</v>
      </c>
      <c r="HG10" s="15">
        <v>200</v>
      </c>
      <c r="HH10" s="15">
        <v>200</v>
      </c>
      <c r="HI10" s="15">
        <v>200</v>
      </c>
      <c r="HJ10" s="15">
        <v>200</v>
      </c>
      <c r="HK10" s="15">
        <v>200</v>
      </c>
      <c r="HL10" s="15">
        <v>200</v>
      </c>
      <c r="HM10" s="15">
        <v>200</v>
      </c>
      <c r="HN10" s="15">
        <v>200</v>
      </c>
      <c r="HO10" s="15">
        <v>200</v>
      </c>
      <c r="HP10" s="15">
        <v>200</v>
      </c>
      <c r="HQ10" s="15">
        <v>200</v>
      </c>
      <c r="HR10" s="15">
        <v>200</v>
      </c>
      <c r="HS10" s="15">
        <v>200</v>
      </c>
      <c r="HT10" s="15">
        <v>200</v>
      </c>
      <c r="HU10" s="15">
        <v>200</v>
      </c>
      <c r="HV10" s="15">
        <v>200</v>
      </c>
      <c r="HW10" s="15">
        <v>200</v>
      </c>
      <c r="HX10" s="15">
        <v>200</v>
      </c>
      <c r="HY10" s="15">
        <v>200</v>
      </c>
      <c r="HZ10" s="15">
        <v>200</v>
      </c>
      <c r="IA10" s="15">
        <v>200</v>
      </c>
      <c r="IB10" s="15"/>
      <c r="IC10" s="15">
        <v>200</v>
      </c>
      <c r="ID10" s="15">
        <v>200</v>
      </c>
      <c r="IE10" s="15">
        <v>200</v>
      </c>
      <c r="IF10" s="15">
        <v>200</v>
      </c>
      <c r="IG10" s="15">
        <v>200</v>
      </c>
      <c r="IH10" s="15">
        <v>200</v>
      </c>
      <c r="II10" s="15">
        <v>200</v>
      </c>
      <c r="IJ10" s="15">
        <v>200</v>
      </c>
      <c r="IK10" s="15"/>
      <c r="IL10" s="15">
        <v>200</v>
      </c>
      <c r="IM10" s="15">
        <v>200</v>
      </c>
      <c r="IN10" s="15">
        <v>200</v>
      </c>
      <c r="IO10" s="15">
        <v>200</v>
      </c>
      <c r="IP10" s="15">
        <v>200</v>
      </c>
      <c r="IQ10" s="15">
        <v>200</v>
      </c>
      <c r="IR10" s="15">
        <v>200</v>
      </c>
      <c r="IS10" s="15">
        <v>200</v>
      </c>
      <c r="IT10" s="15">
        <v>200</v>
      </c>
      <c r="IU10" s="15">
        <v>200</v>
      </c>
      <c r="IV10" s="15">
        <v>200</v>
      </c>
      <c r="IW10" s="15">
        <v>200</v>
      </c>
      <c r="IX10" s="15">
        <v>200</v>
      </c>
      <c r="IY10" s="15">
        <v>200</v>
      </c>
      <c r="IZ10" s="15">
        <v>200</v>
      </c>
      <c r="JA10" s="15">
        <v>200</v>
      </c>
      <c r="JB10" s="15">
        <v>200</v>
      </c>
      <c r="JC10" s="15">
        <v>200</v>
      </c>
      <c r="JD10" s="15">
        <v>200</v>
      </c>
      <c r="JE10" s="15">
        <v>200</v>
      </c>
      <c r="JF10" s="15">
        <v>200</v>
      </c>
      <c r="JG10" s="15">
        <v>200</v>
      </c>
      <c r="JH10" s="15">
        <v>200</v>
      </c>
      <c r="JI10" s="15">
        <v>200</v>
      </c>
      <c r="JJ10" s="15">
        <v>200</v>
      </c>
      <c r="JK10" s="15">
        <v>200</v>
      </c>
      <c r="JL10" s="15">
        <v>200</v>
      </c>
      <c r="JM10" s="15">
        <v>200</v>
      </c>
      <c r="JN10" s="15">
        <v>200</v>
      </c>
      <c r="JO10" s="15">
        <v>200</v>
      </c>
      <c r="JP10" s="15">
        <v>200</v>
      </c>
      <c r="JQ10" s="15">
        <v>200</v>
      </c>
      <c r="JR10" s="15">
        <v>200</v>
      </c>
      <c r="JS10" s="15">
        <v>200</v>
      </c>
      <c r="JT10" s="15">
        <v>200</v>
      </c>
      <c r="JU10" s="15">
        <v>200</v>
      </c>
      <c r="JV10" s="15">
        <v>200</v>
      </c>
      <c r="JW10" s="15">
        <v>200</v>
      </c>
      <c r="JX10" s="15">
        <v>200</v>
      </c>
      <c r="JY10" s="15">
        <v>200</v>
      </c>
      <c r="JZ10" s="15">
        <v>200</v>
      </c>
      <c r="KA10" s="15">
        <v>200</v>
      </c>
      <c r="KB10" s="15">
        <v>200</v>
      </c>
      <c r="KC10" s="15">
        <v>200</v>
      </c>
      <c r="KD10" s="15">
        <v>200</v>
      </c>
      <c r="KE10" s="15">
        <v>200</v>
      </c>
      <c r="KF10" s="15">
        <v>200</v>
      </c>
      <c r="KG10" s="15">
        <v>200</v>
      </c>
      <c r="KH10" s="15">
        <v>200</v>
      </c>
      <c r="KI10" s="15">
        <v>200</v>
      </c>
      <c r="KJ10" s="15">
        <v>200</v>
      </c>
      <c r="KK10" s="15">
        <v>200</v>
      </c>
      <c r="KL10" s="15">
        <v>200</v>
      </c>
      <c r="KM10" s="15">
        <v>200</v>
      </c>
      <c r="KN10" s="15">
        <v>200</v>
      </c>
      <c r="KO10" s="15">
        <v>200</v>
      </c>
      <c r="KP10" s="15">
        <v>200</v>
      </c>
      <c r="KQ10" s="15">
        <v>200</v>
      </c>
      <c r="KR10" s="15">
        <v>200</v>
      </c>
      <c r="KS10" s="15">
        <v>200</v>
      </c>
      <c r="KT10" s="15">
        <v>200</v>
      </c>
      <c r="KU10" s="15">
        <v>200</v>
      </c>
      <c r="KV10" s="15">
        <v>200</v>
      </c>
      <c r="KW10" s="15">
        <v>200</v>
      </c>
      <c r="KX10" s="15">
        <v>200</v>
      </c>
      <c r="KY10" s="15">
        <v>200</v>
      </c>
      <c r="KZ10" s="15">
        <v>200</v>
      </c>
      <c r="LA10" s="15">
        <v>200</v>
      </c>
      <c r="LB10" s="15">
        <v>200</v>
      </c>
      <c r="LC10" s="15">
        <v>200</v>
      </c>
      <c r="LD10" s="15">
        <v>200</v>
      </c>
      <c r="LE10" s="15">
        <v>200</v>
      </c>
      <c r="LF10" s="15">
        <v>200</v>
      </c>
      <c r="LG10" s="15">
        <v>200</v>
      </c>
      <c r="LH10" s="15">
        <v>200</v>
      </c>
      <c r="LI10" s="15">
        <v>200</v>
      </c>
      <c r="LJ10" s="15">
        <v>200</v>
      </c>
      <c r="LK10" s="15">
        <v>200</v>
      </c>
      <c r="LL10" s="15">
        <v>200</v>
      </c>
      <c r="LM10" s="15">
        <v>200</v>
      </c>
      <c r="LN10" s="15">
        <v>200</v>
      </c>
      <c r="LO10" s="15">
        <v>200</v>
      </c>
      <c r="LP10" s="15">
        <v>200</v>
      </c>
      <c r="LQ10" s="15">
        <v>200</v>
      </c>
      <c r="LR10" s="15">
        <v>200</v>
      </c>
      <c r="LS10" s="15">
        <v>200</v>
      </c>
      <c r="LT10" s="15">
        <v>200</v>
      </c>
      <c r="LU10" s="15">
        <v>200</v>
      </c>
      <c r="LV10" s="15">
        <v>200</v>
      </c>
      <c r="LW10" s="15">
        <v>200</v>
      </c>
      <c r="LX10" s="15">
        <v>200</v>
      </c>
      <c r="LY10" s="15">
        <v>200</v>
      </c>
      <c r="LZ10" s="15">
        <v>200</v>
      </c>
      <c r="MA10" s="15">
        <v>200</v>
      </c>
      <c r="MB10" s="15">
        <v>200</v>
      </c>
      <c r="MC10" s="15">
        <v>200</v>
      </c>
      <c r="MD10" s="15">
        <v>200</v>
      </c>
      <c r="ME10" s="15">
        <v>200</v>
      </c>
      <c r="MF10" s="15">
        <v>200</v>
      </c>
      <c r="MG10" s="15">
        <v>200</v>
      </c>
      <c r="MH10" s="15">
        <v>200</v>
      </c>
      <c r="MI10" s="21">
        <v>200</v>
      </c>
      <c r="MJ10" s="21">
        <v>200</v>
      </c>
      <c r="MK10" s="21">
        <v>200</v>
      </c>
      <c r="ML10" s="21">
        <v>200</v>
      </c>
      <c r="MM10" s="21">
        <v>200</v>
      </c>
      <c r="MN10" s="21">
        <v>200</v>
      </c>
      <c r="MO10" s="15">
        <v>200</v>
      </c>
      <c r="MP10" s="15">
        <v>200</v>
      </c>
      <c r="MQ10" s="15">
        <v>200</v>
      </c>
      <c r="MR10" s="15">
        <v>200</v>
      </c>
      <c r="MS10" s="21">
        <v>200</v>
      </c>
      <c r="MT10" s="21">
        <v>200</v>
      </c>
      <c r="MU10" s="21">
        <v>200</v>
      </c>
      <c r="MV10" s="21">
        <v>200</v>
      </c>
      <c r="MW10" s="21">
        <v>200</v>
      </c>
      <c r="MX10" s="21">
        <v>200</v>
      </c>
      <c r="MY10" s="15">
        <v>200</v>
      </c>
      <c r="MZ10" s="15">
        <v>200</v>
      </c>
      <c r="NA10" s="15">
        <v>200</v>
      </c>
      <c r="NB10" s="15">
        <v>200</v>
      </c>
      <c r="NC10" s="21">
        <v>200</v>
      </c>
      <c r="ND10" s="21">
        <v>200</v>
      </c>
      <c r="NE10" s="21">
        <v>200</v>
      </c>
      <c r="NF10" s="21">
        <v>200</v>
      </c>
      <c r="NG10" s="21">
        <v>200</v>
      </c>
      <c r="NH10" s="21">
        <v>200</v>
      </c>
      <c r="NI10" s="15">
        <v>200</v>
      </c>
      <c r="NJ10" s="15">
        <v>200</v>
      </c>
      <c r="NK10" s="15">
        <v>200</v>
      </c>
      <c r="NL10" s="15">
        <v>200</v>
      </c>
      <c r="NM10" s="15">
        <v>200</v>
      </c>
      <c r="NN10" s="15">
        <v>200</v>
      </c>
      <c r="NO10" s="15">
        <v>200</v>
      </c>
      <c r="NP10" s="15">
        <v>200</v>
      </c>
      <c r="NQ10" s="15">
        <v>200</v>
      </c>
      <c r="NR10" s="15">
        <v>200</v>
      </c>
      <c r="NS10" s="15">
        <v>200</v>
      </c>
      <c r="NT10" s="15">
        <v>200</v>
      </c>
      <c r="NU10" s="15">
        <v>200</v>
      </c>
      <c r="NV10" s="15">
        <v>200</v>
      </c>
      <c r="NW10" s="15">
        <v>200</v>
      </c>
      <c r="NX10" s="15">
        <v>200</v>
      </c>
      <c r="NY10" s="15">
        <v>200</v>
      </c>
      <c r="NZ10" s="15">
        <v>200</v>
      </c>
      <c r="OA10" s="15">
        <v>200</v>
      </c>
      <c r="OB10" s="15">
        <v>200</v>
      </c>
      <c r="OC10" s="15">
        <v>200</v>
      </c>
      <c r="OD10" s="15">
        <v>200</v>
      </c>
      <c r="OE10" s="15">
        <v>200</v>
      </c>
      <c r="OF10" s="15">
        <v>200</v>
      </c>
      <c r="OG10" s="15">
        <v>200</v>
      </c>
      <c r="OH10" s="15">
        <v>200</v>
      </c>
      <c r="OI10" s="15">
        <v>200</v>
      </c>
      <c r="OJ10" s="15">
        <v>200</v>
      </c>
      <c r="OK10" s="15">
        <v>200</v>
      </c>
      <c r="OL10" s="15">
        <v>200</v>
      </c>
      <c r="OM10" s="15">
        <v>200</v>
      </c>
      <c r="ON10" s="15">
        <v>200</v>
      </c>
      <c r="OO10" s="15">
        <v>200</v>
      </c>
      <c r="OP10" s="15">
        <v>200</v>
      </c>
      <c r="OQ10" s="15">
        <v>200</v>
      </c>
      <c r="OR10" s="15">
        <v>200</v>
      </c>
      <c r="OS10" s="15">
        <v>200</v>
      </c>
      <c r="OT10" s="15">
        <v>200</v>
      </c>
      <c r="OU10" s="15">
        <v>200</v>
      </c>
      <c r="OV10" s="15">
        <v>200</v>
      </c>
      <c r="OW10" s="15">
        <v>200</v>
      </c>
      <c r="OX10" s="15">
        <v>200</v>
      </c>
      <c r="OY10" s="15">
        <v>200</v>
      </c>
      <c r="OZ10" s="15">
        <v>200</v>
      </c>
      <c r="PA10" s="15">
        <v>200</v>
      </c>
      <c r="PB10" s="15">
        <v>200</v>
      </c>
      <c r="PC10" s="15">
        <v>200</v>
      </c>
      <c r="PD10" s="15">
        <v>200</v>
      </c>
      <c r="PE10" s="15">
        <v>200</v>
      </c>
      <c r="PF10" s="15">
        <v>200</v>
      </c>
      <c r="PG10" s="15">
        <v>200</v>
      </c>
      <c r="PH10" s="15">
        <v>200</v>
      </c>
      <c r="PI10" s="15">
        <v>200</v>
      </c>
      <c r="PJ10" s="15">
        <v>200</v>
      </c>
      <c r="PK10" s="15">
        <v>200</v>
      </c>
      <c r="PL10" s="15">
        <v>200</v>
      </c>
      <c r="PM10" s="15">
        <v>200</v>
      </c>
      <c r="PN10" s="15">
        <v>200</v>
      </c>
      <c r="PO10" s="15">
        <v>200</v>
      </c>
      <c r="PP10" s="15">
        <v>200</v>
      </c>
      <c r="PQ10" s="15">
        <v>200</v>
      </c>
      <c r="PR10" s="15">
        <v>200</v>
      </c>
      <c r="PS10" s="15">
        <v>200</v>
      </c>
      <c r="PT10" s="15">
        <v>200</v>
      </c>
      <c r="PU10" s="15">
        <v>200</v>
      </c>
      <c r="PV10" s="15">
        <v>200</v>
      </c>
      <c r="PW10" s="15">
        <v>200</v>
      </c>
      <c r="PX10" s="15">
        <v>200</v>
      </c>
      <c r="PY10" s="15">
        <v>200</v>
      </c>
      <c r="PZ10" s="15">
        <v>200</v>
      </c>
      <c r="QA10" s="15">
        <v>200</v>
      </c>
      <c r="QB10" s="15">
        <v>200</v>
      </c>
      <c r="QC10" s="15">
        <v>200</v>
      </c>
      <c r="QD10" s="15">
        <v>200</v>
      </c>
      <c r="QE10" s="15">
        <v>200</v>
      </c>
      <c r="QF10" s="15">
        <v>200</v>
      </c>
      <c r="QG10" s="15">
        <v>200</v>
      </c>
      <c r="QH10" s="15">
        <v>200</v>
      </c>
      <c r="QI10" s="15">
        <v>200</v>
      </c>
      <c r="QJ10" s="15">
        <v>200</v>
      </c>
      <c r="QK10" s="15">
        <v>200</v>
      </c>
      <c r="QL10" s="15">
        <v>200</v>
      </c>
      <c r="QM10" s="15">
        <v>200</v>
      </c>
      <c r="QN10" s="15">
        <v>200</v>
      </c>
      <c r="QO10" s="15">
        <v>200</v>
      </c>
      <c r="QP10" s="15">
        <v>200</v>
      </c>
      <c r="QQ10" s="15">
        <v>200</v>
      </c>
      <c r="QR10" s="15">
        <v>200</v>
      </c>
      <c r="QS10" s="15">
        <v>200</v>
      </c>
      <c r="QT10" s="15">
        <v>200</v>
      </c>
      <c r="QU10" s="15">
        <v>200</v>
      </c>
      <c r="QV10" s="15">
        <v>200</v>
      </c>
      <c r="QW10" s="15">
        <v>200</v>
      </c>
      <c r="QX10" s="15">
        <v>200</v>
      </c>
      <c r="QY10" s="15">
        <v>200</v>
      </c>
      <c r="QZ10" s="15">
        <v>200</v>
      </c>
      <c r="RA10" s="15">
        <v>200</v>
      </c>
      <c r="RB10" s="15">
        <v>200</v>
      </c>
      <c r="RC10" s="15">
        <v>200</v>
      </c>
      <c r="RD10" s="15">
        <v>200</v>
      </c>
      <c r="RE10" s="15">
        <v>200</v>
      </c>
      <c r="RF10" s="15">
        <v>200</v>
      </c>
      <c r="RG10" s="15">
        <v>200</v>
      </c>
      <c r="RH10" s="15">
        <v>200</v>
      </c>
      <c r="RI10" s="15">
        <v>200</v>
      </c>
      <c r="RJ10" s="15">
        <v>200</v>
      </c>
      <c r="RK10" s="15">
        <v>200</v>
      </c>
      <c r="RL10" s="15">
        <v>200</v>
      </c>
      <c r="RM10" s="15">
        <v>200</v>
      </c>
      <c r="RN10" s="15">
        <v>200</v>
      </c>
      <c r="RO10" s="15">
        <v>200</v>
      </c>
      <c r="RP10" s="15">
        <v>200</v>
      </c>
      <c r="RQ10" s="15">
        <v>200</v>
      </c>
      <c r="RR10" s="15">
        <v>200</v>
      </c>
      <c r="RS10" s="15"/>
      <c r="RT10" s="15">
        <v>200</v>
      </c>
      <c r="RU10" s="15">
        <v>200</v>
      </c>
      <c r="RV10" s="15">
        <v>200</v>
      </c>
      <c r="RW10" s="15">
        <v>200</v>
      </c>
      <c r="RX10" s="15">
        <v>200</v>
      </c>
      <c r="RY10" s="15">
        <v>200</v>
      </c>
      <c r="RZ10" s="15">
        <v>200</v>
      </c>
      <c r="SA10" s="15">
        <v>200</v>
      </c>
      <c r="SB10" s="15">
        <v>200</v>
      </c>
      <c r="SC10" s="15">
        <v>200</v>
      </c>
      <c r="SD10" s="15">
        <v>200</v>
      </c>
      <c r="SE10" s="15">
        <v>200</v>
      </c>
      <c r="SF10" s="15">
        <v>200</v>
      </c>
      <c r="SG10" s="15">
        <v>200</v>
      </c>
      <c r="SH10" s="15">
        <v>200</v>
      </c>
      <c r="SI10" s="15">
        <v>200</v>
      </c>
      <c r="SJ10" s="15">
        <v>200</v>
      </c>
      <c r="SK10" s="15">
        <v>200</v>
      </c>
      <c r="SL10" s="15">
        <v>200</v>
      </c>
      <c r="SM10" s="15">
        <v>200</v>
      </c>
      <c r="SN10" s="15">
        <v>200</v>
      </c>
      <c r="SO10" s="15">
        <v>200</v>
      </c>
      <c r="SP10" s="15">
        <v>200</v>
      </c>
      <c r="SQ10" s="15">
        <v>200</v>
      </c>
      <c r="SR10" s="15">
        <v>200</v>
      </c>
      <c r="SS10" s="15">
        <v>200</v>
      </c>
      <c r="ST10" s="15">
        <v>200</v>
      </c>
      <c r="SU10" s="15">
        <v>200</v>
      </c>
      <c r="SV10" s="15">
        <v>200</v>
      </c>
      <c r="SW10" s="15">
        <v>200</v>
      </c>
      <c r="SX10" s="15">
        <v>200</v>
      </c>
      <c r="SY10" s="15">
        <v>200</v>
      </c>
      <c r="SZ10" s="15">
        <v>200</v>
      </c>
      <c r="TA10" s="15">
        <v>200</v>
      </c>
      <c r="TB10" s="15">
        <v>200</v>
      </c>
      <c r="TC10" s="15">
        <v>200</v>
      </c>
      <c r="TD10" s="15">
        <v>200</v>
      </c>
      <c r="TE10" s="15">
        <v>200</v>
      </c>
      <c r="TF10" s="15">
        <v>200</v>
      </c>
      <c r="TG10" s="15">
        <v>200</v>
      </c>
      <c r="TH10" s="15">
        <v>200</v>
      </c>
      <c r="TI10" s="15">
        <v>200</v>
      </c>
      <c r="TJ10" s="15">
        <v>200</v>
      </c>
      <c r="TK10" s="15">
        <v>200</v>
      </c>
      <c r="TL10" s="15">
        <v>200</v>
      </c>
      <c r="TM10" s="15">
        <v>200</v>
      </c>
      <c r="TN10" s="15">
        <v>200</v>
      </c>
      <c r="TO10" s="15">
        <v>200</v>
      </c>
      <c r="TP10" s="15">
        <v>200</v>
      </c>
      <c r="TQ10" s="15">
        <v>200</v>
      </c>
      <c r="TR10" s="15">
        <v>200</v>
      </c>
      <c r="TS10" s="15">
        <v>200</v>
      </c>
      <c r="TT10" s="15">
        <v>200</v>
      </c>
      <c r="TU10" s="15">
        <v>200</v>
      </c>
      <c r="TV10" s="15">
        <v>200</v>
      </c>
      <c r="TW10" s="15">
        <v>200</v>
      </c>
      <c r="TX10" s="15">
        <v>200</v>
      </c>
      <c r="TY10" s="15">
        <v>200</v>
      </c>
      <c r="TZ10" s="15">
        <v>200</v>
      </c>
      <c r="UA10" s="15">
        <v>200</v>
      </c>
      <c r="UB10" s="15">
        <v>200</v>
      </c>
      <c r="UC10" s="15">
        <v>200</v>
      </c>
      <c r="UD10" s="15">
        <v>200</v>
      </c>
      <c r="UE10" s="15">
        <v>200</v>
      </c>
      <c r="UF10" s="15">
        <v>200</v>
      </c>
      <c r="UG10" s="15">
        <v>200</v>
      </c>
      <c r="UH10" s="15">
        <v>200</v>
      </c>
      <c r="UI10" s="15">
        <v>200</v>
      </c>
      <c r="UJ10" s="15">
        <v>200</v>
      </c>
      <c r="UK10" s="15">
        <v>200</v>
      </c>
      <c r="UL10" s="15">
        <v>200</v>
      </c>
      <c r="UM10" s="15">
        <v>200</v>
      </c>
      <c r="UN10" s="15">
        <v>200</v>
      </c>
      <c r="UO10" s="15">
        <v>200</v>
      </c>
      <c r="UP10" s="15">
        <v>200</v>
      </c>
      <c r="UQ10" s="15">
        <v>200</v>
      </c>
      <c r="UR10" s="15">
        <v>200</v>
      </c>
      <c r="US10" s="15">
        <v>200</v>
      </c>
      <c r="UT10" s="15">
        <v>200</v>
      </c>
      <c r="UU10" s="15">
        <v>200</v>
      </c>
      <c r="UV10" s="15">
        <v>200</v>
      </c>
      <c r="UW10" s="15">
        <v>200</v>
      </c>
      <c r="UX10" s="15">
        <v>200</v>
      </c>
      <c r="UY10" s="15">
        <v>200</v>
      </c>
      <c r="UZ10" s="15">
        <v>200</v>
      </c>
      <c r="VA10" s="15">
        <v>200</v>
      </c>
      <c r="VB10" s="15">
        <v>200</v>
      </c>
      <c r="VC10" s="15">
        <v>200</v>
      </c>
      <c r="VD10" s="15">
        <v>200</v>
      </c>
      <c r="VE10" s="15">
        <v>200</v>
      </c>
      <c r="VF10" s="15">
        <v>200</v>
      </c>
      <c r="VG10" s="15">
        <v>200</v>
      </c>
      <c r="VH10" s="15">
        <v>200</v>
      </c>
      <c r="VI10" s="15">
        <v>200</v>
      </c>
      <c r="VJ10" s="15">
        <v>200</v>
      </c>
      <c r="VK10" s="15">
        <v>200</v>
      </c>
      <c r="VL10" s="15">
        <v>200</v>
      </c>
      <c r="VM10" s="15">
        <v>200</v>
      </c>
      <c r="VN10" s="15">
        <v>200</v>
      </c>
      <c r="VO10" s="15">
        <v>200</v>
      </c>
      <c r="VP10" s="15">
        <v>200</v>
      </c>
      <c r="VQ10" s="15">
        <v>200</v>
      </c>
      <c r="VR10" s="15">
        <v>200</v>
      </c>
      <c r="VS10" s="15">
        <v>200</v>
      </c>
      <c r="VT10" s="15">
        <v>200</v>
      </c>
      <c r="VU10" s="15">
        <v>200</v>
      </c>
      <c r="VV10" s="15">
        <v>200</v>
      </c>
      <c r="VW10" s="15">
        <v>200</v>
      </c>
      <c r="VX10" s="15">
        <v>200</v>
      </c>
      <c r="VY10" s="15">
        <v>200</v>
      </c>
      <c r="VZ10" s="15">
        <v>200</v>
      </c>
      <c r="WA10" s="15">
        <v>200</v>
      </c>
      <c r="WB10" s="15">
        <v>200</v>
      </c>
      <c r="WC10" s="15">
        <v>200</v>
      </c>
      <c r="WD10" s="15">
        <v>200</v>
      </c>
      <c r="WE10" s="15">
        <v>200</v>
      </c>
      <c r="WF10" s="15">
        <v>200</v>
      </c>
      <c r="WG10" s="15">
        <v>200</v>
      </c>
      <c r="WH10" s="15">
        <v>200</v>
      </c>
      <c r="WI10" s="15">
        <v>200</v>
      </c>
      <c r="WJ10" s="15">
        <v>200</v>
      </c>
      <c r="WK10" s="15">
        <v>200</v>
      </c>
      <c r="WL10" s="15">
        <v>200</v>
      </c>
      <c r="WM10" s="15">
        <v>200</v>
      </c>
      <c r="WN10" s="15">
        <v>200</v>
      </c>
      <c r="WO10" s="15">
        <v>200</v>
      </c>
      <c r="WP10" s="15">
        <v>200</v>
      </c>
      <c r="WQ10" s="15">
        <v>200</v>
      </c>
      <c r="WR10" s="15">
        <v>200</v>
      </c>
      <c r="WS10" s="15">
        <v>200</v>
      </c>
      <c r="WT10" s="15">
        <v>200</v>
      </c>
      <c r="WU10" s="15">
        <v>200</v>
      </c>
      <c r="WV10" s="15">
        <v>200</v>
      </c>
      <c r="WW10" s="15">
        <v>200</v>
      </c>
      <c r="WX10" s="15">
        <v>200</v>
      </c>
      <c r="WY10" s="15">
        <v>200</v>
      </c>
      <c r="WZ10" s="15">
        <v>200</v>
      </c>
      <c r="XA10" s="15">
        <v>200</v>
      </c>
      <c r="XB10" s="15">
        <v>200</v>
      </c>
      <c r="XC10" s="15">
        <v>200</v>
      </c>
      <c r="XD10" s="15">
        <v>200</v>
      </c>
      <c r="XE10" s="15">
        <v>200</v>
      </c>
      <c r="XF10" s="15">
        <v>200</v>
      </c>
      <c r="XG10" s="15">
        <v>200</v>
      </c>
      <c r="XH10" s="15">
        <v>200</v>
      </c>
      <c r="XI10" s="15">
        <v>200</v>
      </c>
      <c r="XJ10" s="15">
        <v>200</v>
      </c>
      <c r="XK10" s="15">
        <v>200</v>
      </c>
      <c r="XL10" s="15">
        <v>200</v>
      </c>
      <c r="XM10" s="15">
        <v>200</v>
      </c>
      <c r="XN10" s="15">
        <v>200</v>
      </c>
      <c r="XO10" s="15">
        <v>200</v>
      </c>
      <c r="XP10" s="15">
        <v>200</v>
      </c>
      <c r="XQ10" s="15">
        <v>200</v>
      </c>
      <c r="XR10" s="15">
        <v>200</v>
      </c>
      <c r="XS10" s="15">
        <v>200</v>
      </c>
      <c r="XT10" s="15">
        <v>200</v>
      </c>
      <c r="XU10" s="15">
        <v>200</v>
      </c>
      <c r="XV10" s="15">
        <v>200</v>
      </c>
      <c r="XW10" s="15">
        <v>200</v>
      </c>
      <c r="XX10" s="15">
        <v>200</v>
      </c>
      <c r="XY10" s="15">
        <v>200</v>
      </c>
      <c r="XZ10" s="15">
        <v>200</v>
      </c>
      <c r="YA10" s="15">
        <v>200</v>
      </c>
      <c r="YB10" s="15">
        <v>200</v>
      </c>
      <c r="YC10" s="15">
        <v>200</v>
      </c>
      <c r="YD10" s="15">
        <v>200</v>
      </c>
      <c r="YE10" s="15">
        <v>200</v>
      </c>
      <c r="YF10" s="15">
        <v>200</v>
      </c>
      <c r="YG10" s="15">
        <v>200</v>
      </c>
      <c r="YH10" s="15">
        <v>200</v>
      </c>
      <c r="YI10" s="15">
        <v>200</v>
      </c>
      <c r="YJ10" s="15">
        <v>200</v>
      </c>
      <c r="YK10" s="15">
        <v>200</v>
      </c>
      <c r="YL10" s="15">
        <v>200</v>
      </c>
      <c r="YM10" s="15">
        <v>200</v>
      </c>
      <c r="YN10" s="15">
        <v>200</v>
      </c>
      <c r="YO10" s="15">
        <v>200</v>
      </c>
      <c r="YP10" s="15">
        <v>200</v>
      </c>
      <c r="YQ10" s="15">
        <v>200</v>
      </c>
      <c r="YR10" s="15">
        <v>200</v>
      </c>
      <c r="YS10" s="15">
        <v>200</v>
      </c>
      <c r="YT10" s="15">
        <v>200</v>
      </c>
      <c r="YU10" s="15">
        <v>200</v>
      </c>
      <c r="YV10" s="15">
        <v>200</v>
      </c>
      <c r="YW10" s="15">
        <v>200</v>
      </c>
      <c r="YX10" s="15">
        <v>200</v>
      </c>
      <c r="YY10" s="15">
        <v>200</v>
      </c>
      <c r="YZ10" s="15">
        <v>200</v>
      </c>
      <c r="ZA10" s="15">
        <v>200</v>
      </c>
      <c r="ZB10" s="15">
        <v>200</v>
      </c>
      <c r="ZC10" s="15">
        <v>200</v>
      </c>
      <c r="ZD10" s="15">
        <v>200</v>
      </c>
      <c r="ZE10" s="15">
        <v>200</v>
      </c>
      <c r="ZF10" s="15">
        <v>200</v>
      </c>
      <c r="ZG10" s="15">
        <v>200</v>
      </c>
      <c r="ZH10" s="15">
        <v>200</v>
      </c>
      <c r="ZI10" s="15">
        <v>200</v>
      </c>
      <c r="ZJ10" s="15">
        <v>200</v>
      </c>
      <c r="ZK10" s="15">
        <v>200</v>
      </c>
      <c r="ZL10" s="15">
        <v>200</v>
      </c>
      <c r="ZM10" s="15">
        <v>200</v>
      </c>
      <c r="ZN10" s="15">
        <v>200</v>
      </c>
      <c r="ZO10" s="15">
        <v>200</v>
      </c>
      <c r="ZP10" s="15">
        <v>200</v>
      </c>
      <c r="ZQ10" s="15">
        <v>200</v>
      </c>
      <c r="ZR10" s="15">
        <v>200</v>
      </c>
      <c r="ZS10" s="15">
        <v>200</v>
      </c>
      <c r="ZT10" s="15">
        <v>200</v>
      </c>
      <c r="ZU10" s="15">
        <v>200</v>
      </c>
      <c r="ZV10" s="15">
        <v>200</v>
      </c>
      <c r="ZW10" s="15">
        <v>200</v>
      </c>
      <c r="ZX10" s="15">
        <v>200</v>
      </c>
      <c r="ZY10" s="15">
        <v>200</v>
      </c>
      <c r="ZZ10" s="15">
        <v>200</v>
      </c>
      <c r="AAA10" s="15">
        <v>200</v>
      </c>
      <c r="AAB10" s="15">
        <v>200</v>
      </c>
      <c r="AAC10" s="15">
        <v>200</v>
      </c>
      <c r="AAD10" s="15">
        <v>200</v>
      </c>
      <c r="AAE10" s="15">
        <v>200</v>
      </c>
      <c r="AAF10" s="15">
        <v>200</v>
      </c>
      <c r="AAG10" s="15">
        <v>200</v>
      </c>
      <c r="AAH10" s="15">
        <v>200</v>
      </c>
      <c r="AAI10" s="15">
        <v>200</v>
      </c>
      <c r="AAJ10" s="15">
        <v>200</v>
      </c>
      <c r="AAK10" s="15">
        <v>200</v>
      </c>
      <c r="AAL10" s="15"/>
      <c r="AAM10" s="15">
        <v>200</v>
      </c>
      <c r="AAN10" s="15">
        <v>200</v>
      </c>
      <c r="AAO10" s="15">
        <v>200</v>
      </c>
      <c r="AAP10" s="15">
        <v>200</v>
      </c>
      <c r="AAQ10" s="15">
        <v>200</v>
      </c>
      <c r="AAR10" s="15">
        <v>200</v>
      </c>
      <c r="AAS10" s="15">
        <v>200</v>
      </c>
      <c r="AAT10" s="15">
        <v>200</v>
      </c>
      <c r="AAU10" s="15">
        <v>200</v>
      </c>
      <c r="AAV10" s="15">
        <v>200</v>
      </c>
      <c r="AAW10" s="15">
        <v>200</v>
      </c>
      <c r="AAX10" s="15"/>
      <c r="AAY10" s="15">
        <v>200</v>
      </c>
      <c r="AAZ10" s="15">
        <v>200</v>
      </c>
      <c r="ABA10" s="15">
        <v>200</v>
      </c>
      <c r="ABB10" s="15">
        <v>200</v>
      </c>
      <c r="ABC10" s="15">
        <v>200</v>
      </c>
      <c r="ABD10" s="15">
        <v>200</v>
      </c>
      <c r="ABE10" s="15">
        <v>200</v>
      </c>
      <c r="ABF10" s="15">
        <v>200</v>
      </c>
      <c r="ABG10" s="15">
        <v>200</v>
      </c>
      <c r="ABH10" s="15">
        <v>200</v>
      </c>
      <c r="ABI10" s="15">
        <v>200</v>
      </c>
      <c r="ABJ10" s="15">
        <v>200</v>
      </c>
      <c r="ABK10" s="15">
        <v>200</v>
      </c>
      <c r="ABL10" s="15">
        <v>200</v>
      </c>
      <c r="ABM10" s="15">
        <v>200</v>
      </c>
      <c r="ABN10" s="15">
        <v>200</v>
      </c>
      <c r="ABO10" s="15">
        <v>200</v>
      </c>
      <c r="ABP10" s="15">
        <v>200</v>
      </c>
      <c r="ABQ10" s="15">
        <v>200</v>
      </c>
      <c r="ABR10" s="15">
        <v>200</v>
      </c>
      <c r="ABS10" s="15">
        <v>200</v>
      </c>
      <c r="ABT10" s="15">
        <v>200</v>
      </c>
      <c r="ABU10" s="15">
        <v>200</v>
      </c>
      <c r="ABV10" s="15">
        <v>200</v>
      </c>
      <c r="ABW10" s="15">
        <v>200</v>
      </c>
      <c r="ABX10" s="15">
        <v>200</v>
      </c>
      <c r="ABY10" s="15">
        <v>200</v>
      </c>
      <c r="ABZ10" s="15">
        <v>200</v>
      </c>
      <c r="ACA10" s="15">
        <v>200</v>
      </c>
      <c r="ACB10" s="15">
        <v>200</v>
      </c>
      <c r="ACC10" s="15">
        <v>200</v>
      </c>
      <c r="ACD10" s="15">
        <v>200</v>
      </c>
      <c r="ACE10" s="15">
        <v>200</v>
      </c>
      <c r="ACF10" s="15">
        <v>200</v>
      </c>
      <c r="ACG10" s="15">
        <v>200</v>
      </c>
      <c r="ACH10" s="15">
        <v>200</v>
      </c>
      <c r="ACI10" s="15">
        <v>200</v>
      </c>
      <c r="ACJ10" s="15">
        <v>200</v>
      </c>
      <c r="ACK10" s="15">
        <v>200</v>
      </c>
      <c r="ACL10" s="15">
        <v>200</v>
      </c>
      <c r="ACM10" s="15">
        <v>200</v>
      </c>
      <c r="ACN10" s="15">
        <v>200</v>
      </c>
      <c r="ACO10" s="15">
        <v>200</v>
      </c>
      <c r="ACP10" s="15">
        <v>200</v>
      </c>
      <c r="ACQ10" s="15">
        <v>200</v>
      </c>
      <c r="ACR10" s="15">
        <v>200</v>
      </c>
      <c r="ACS10" s="15">
        <v>200</v>
      </c>
      <c r="ACT10" s="15">
        <v>200</v>
      </c>
      <c r="ACU10" s="15">
        <v>200</v>
      </c>
      <c r="ACV10" s="15">
        <v>200</v>
      </c>
      <c r="ACW10" s="15">
        <v>200</v>
      </c>
      <c r="ACX10" s="15">
        <v>200</v>
      </c>
      <c r="ACY10" s="15">
        <v>200</v>
      </c>
      <c r="ACZ10" s="15">
        <v>200</v>
      </c>
      <c r="ADA10" s="15">
        <v>200</v>
      </c>
      <c r="ADB10" s="15">
        <v>200</v>
      </c>
      <c r="ADC10" s="15">
        <v>200</v>
      </c>
      <c r="ADD10" s="15">
        <v>200</v>
      </c>
      <c r="ADE10" s="15">
        <v>200</v>
      </c>
      <c r="ADF10" s="15">
        <v>200</v>
      </c>
      <c r="ADG10" s="15">
        <v>200</v>
      </c>
      <c r="ADH10" s="15"/>
      <c r="ADI10" s="15">
        <v>200</v>
      </c>
      <c r="ADJ10" s="15">
        <v>200</v>
      </c>
      <c r="ADK10" s="15">
        <v>200</v>
      </c>
      <c r="ADL10" s="15">
        <v>200</v>
      </c>
      <c r="ADM10" s="15">
        <v>200</v>
      </c>
      <c r="ADN10" s="15">
        <v>200</v>
      </c>
      <c r="ADO10" s="15">
        <v>200</v>
      </c>
      <c r="ADP10" s="15">
        <v>200</v>
      </c>
      <c r="ADQ10" s="15">
        <v>200</v>
      </c>
      <c r="ADR10" s="15">
        <v>200</v>
      </c>
      <c r="ADS10" s="15">
        <v>200</v>
      </c>
      <c r="ADT10" s="15">
        <v>200</v>
      </c>
      <c r="ADU10" s="15">
        <v>200</v>
      </c>
      <c r="ADV10" s="15">
        <v>200</v>
      </c>
      <c r="ADW10" s="15">
        <v>200</v>
      </c>
      <c r="ADX10" s="15">
        <v>200</v>
      </c>
      <c r="ADY10" s="15">
        <v>200</v>
      </c>
      <c r="ADZ10" s="15">
        <v>200</v>
      </c>
      <c r="AEA10" s="15">
        <v>200</v>
      </c>
      <c r="AEB10" s="15">
        <v>200</v>
      </c>
      <c r="AEC10" s="15">
        <v>200</v>
      </c>
      <c r="AED10" s="15">
        <v>200</v>
      </c>
      <c r="AEE10" s="15">
        <v>200</v>
      </c>
      <c r="AEF10" s="15">
        <v>200</v>
      </c>
      <c r="AEG10" s="15">
        <v>200</v>
      </c>
      <c r="AEH10" s="15">
        <v>200</v>
      </c>
      <c r="AEI10" s="15">
        <v>200</v>
      </c>
      <c r="AEJ10" s="15">
        <v>200</v>
      </c>
      <c r="AEK10" s="15">
        <v>200</v>
      </c>
      <c r="AEL10" s="15">
        <v>200</v>
      </c>
      <c r="AEM10" s="15">
        <v>200</v>
      </c>
      <c r="AEN10" s="15">
        <v>200</v>
      </c>
      <c r="AEO10" s="15">
        <v>200</v>
      </c>
      <c r="AEP10" s="15">
        <v>200</v>
      </c>
      <c r="AEQ10" s="15">
        <v>200</v>
      </c>
      <c r="AER10" s="15">
        <v>200</v>
      </c>
      <c r="AES10" s="15">
        <v>200</v>
      </c>
      <c r="AET10" s="15">
        <v>200</v>
      </c>
      <c r="AEU10" s="15">
        <v>200</v>
      </c>
      <c r="AEV10" s="15">
        <v>200</v>
      </c>
      <c r="AEW10" s="15">
        <v>200</v>
      </c>
      <c r="AEX10" s="15">
        <v>200</v>
      </c>
      <c r="AEY10" s="15">
        <v>200</v>
      </c>
      <c r="AEZ10" s="15">
        <v>200</v>
      </c>
      <c r="AFA10" s="15">
        <v>200</v>
      </c>
      <c r="AFB10" s="15">
        <v>200</v>
      </c>
      <c r="AFC10" s="15">
        <v>200</v>
      </c>
      <c r="AFD10" s="15">
        <v>200</v>
      </c>
      <c r="AFE10" s="15">
        <v>200</v>
      </c>
      <c r="AFF10" s="15">
        <v>200</v>
      </c>
      <c r="AFG10" s="15">
        <v>200</v>
      </c>
      <c r="AFH10" s="15">
        <v>200</v>
      </c>
      <c r="AFI10" s="15">
        <v>200</v>
      </c>
      <c r="AFJ10" s="15">
        <v>200</v>
      </c>
      <c r="AFK10" s="15">
        <v>200</v>
      </c>
      <c r="AFL10" s="15">
        <v>200</v>
      </c>
      <c r="AFM10" s="15">
        <v>200</v>
      </c>
      <c r="AFN10" s="15">
        <v>200</v>
      </c>
      <c r="AFO10" s="15">
        <v>200</v>
      </c>
      <c r="AFP10" s="15">
        <v>200</v>
      </c>
      <c r="AFQ10" s="15">
        <v>200</v>
      </c>
      <c r="AFR10" s="15"/>
      <c r="AFS10" s="15">
        <v>200</v>
      </c>
      <c r="AFT10" s="15">
        <v>200</v>
      </c>
      <c r="AFU10" s="15">
        <v>200</v>
      </c>
      <c r="AFV10" s="15">
        <v>200</v>
      </c>
      <c r="AFW10" s="15">
        <v>200</v>
      </c>
      <c r="AFX10" s="15">
        <v>200</v>
      </c>
      <c r="AFY10" s="15">
        <v>200</v>
      </c>
      <c r="AFZ10" s="15">
        <v>200</v>
      </c>
      <c r="AGA10" s="15">
        <v>200</v>
      </c>
      <c r="AGB10" s="15">
        <v>200</v>
      </c>
      <c r="AGC10" s="15">
        <v>200</v>
      </c>
      <c r="AGD10" s="15">
        <v>200</v>
      </c>
      <c r="AGE10" s="15">
        <v>200</v>
      </c>
      <c r="AGF10" s="15">
        <v>200</v>
      </c>
      <c r="AGG10" s="15">
        <v>200</v>
      </c>
      <c r="AGH10" s="15">
        <v>200</v>
      </c>
      <c r="AGI10" s="15">
        <v>200</v>
      </c>
      <c r="AGJ10" s="15">
        <v>200</v>
      </c>
      <c r="AGK10" s="15">
        <v>200</v>
      </c>
      <c r="AGL10" s="15">
        <v>200</v>
      </c>
      <c r="AGM10" s="15">
        <v>200</v>
      </c>
      <c r="AGN10" s="15">
        <v>200</v>
      </c>
      <c r="AGO10" s="15">
        <v>200</v>
      </c>
      <c r="AGP10" s="15">
        <v>200</v>
      </c>
      <c r="AGQ10" s="15">
        <v>200</v>
      </c>
      <c r="AGR10" s="15">
        <v>200</v>
      </c>
      <c r="AGS10" s="15">
        <v>200</v>
      </c>
      <c r="AGT10" s="15">
        <v>200</v>
      </c>
      <c r="AGU10" s="15">
        <v>200</v>
      </c>
      <c r="AGV10" s="15">
        <v>200</v>
      </c>
      <c r="AGW10" s="15">
        <v>200</v>
      </c>
      <c r="AGX10" s="15">
        <v>200</v>
      </c>
      <c r="AGY10" s="15">
        <v>200</v>
      </c>
      <c r="AGZ10" s="15">
        <v>200</v>
      </c>
      <c r="AHA10" s="15">
        <v>200</v>
      </c>
      <c r="AHB10" s="15">
        <v>200</v>
      </c>
      <c r="AHC10" s="15">
        <v>200</v>
      </c>
      <c r="AHD10" s="15">
        <v>200</v>
      </c>
      <c r="AHE10" s="15">
        <v>200</v>
      </c>
      <c r="AHF10" s="15">
        <v>200</v>
      </c>
      <c r="AHG10" s="15">
        <v>200</v>
      </c>
      <c r="AHH10" s="15">
        <v>200</v>
      </c>
      <c r="AHI10" s="15">
        <v>200</v>
      </c>
      <c r="AHJ10" s="15">
        <v>200</v>
      </c>
      <c r="AHK10" s="15">
        <v>200</v>
      </c>
      <c r="AHL10" s="15">
        <v>200</v>
      </c>
      <c r="AHM10" s="15">
        <v>200</v>
      </c>
      <c r="AHN10" s="15">
        <v>200</v>
      </c>
      <c r="AHO10" s="15">
        <v>200</v>
      </c>
      <c r="AHP10" s="15">
        <v>200</v>
      </c>
      <c r="AHQ10" s="15">
        <v>200</v>
      </c>
      <c r="AHR10" s="15">
        <v>200</v>
      </c>
      <c r="AHS10" s="15">
        <v>200</v>
      </c>
      <c r="AHT10" s="15">
        <v>200</v>
      </c>
      <c r="AHU10" s="15">
        <v>200</v>
      </c>
      <c r="AHV10" s="15">
        <v>200</v>
      </c>
      <c r="AHW10" s="15">
        <v>200</v>
      </c>
      <c r="AHX10" s="15">
        <v>200</v>
      </c>
      <c r="AHY10" s="15">
        <v>200</v>
      </c>
      <c r="AHZ10" s="15">
        <v>200</v>
      </c>
      <c r="AIA10" s="15">
        <v>200</v>
      </c>
      <c r="AIB10" s="15">
        <v>200</v>
      </c>
      <c r="AIC10" s="15">
        <v>200</v>
      </c>
      <c r="AID10" s="15">
        <v>200</v>
      </c>
      <c r="AIE10" s="15">
        <v>200</v>
      </c>
      <c r="AIF10" s="15">
        <v>200</v>
      </c>
      <c r="AIG10" s="15">
        <v>200</v>
      </c>
      <c r="AIH10" s="15">
        <v>200</v>
      </c>
      <c r="AII10" s="15">
        <v>200</v>
      </c>
      <c r="AIJ10" s="15">
        <v>200</v>
      </c>
      <c r="AIK10" s="15">
        <v>200</v>
      </c>
      <c r="AIL10" s="15">
        <v>200</v>
      </c>
      <c r="AIM10" s="15">
        <v>200</v>
      </c>
      <c r="AIN10" s="15">
        <v>200</v>
      </c>
      <c r="AIO10" s="15">
        <v>200</v>
      </c>
      <c r="AIP10" s="15">
        <v>200</v>
      </c>
      <c r="AIQ10" s="15">
        <v>200</v>
      </c>
      <c r="AIR10" s="15">
        <v>200</v>
      </c>
      <c r="AIS10" s="15">
        <v>200</v>
      </c>
      <c r="AIT10" s="15">
        <v>200</v>
      </c>
      <c r="AIU10" s="15">
        <v>200</v>
      </c>
      <c r="AIV10" s="15">
        <v>200</v>
      </c>
      <c r="AIW10" s="15">
        <v>200</v>
      </c>
      <c r="AIX10" s="15">
        <v>200</v>
      </c>
      <c r="AIY10" s="15">
        <v>200</v>
      </c>
      <c r="AIZ10" s="15">
        <v>200</v>
      </c>
      <c r="AJA10" s="15">
        <v>200</v>
      </c>
      <c r="AJB10" s="15">
        <v>200</v>
      </c>
      <c r="AJC10" s="15">
        <v>200</v>
      </c>
      <c r="AJD10" s="15">
        <v>200</v>
      </c>
      <c r="AJE10" s="15">
        <v>200</v>
      </c>
      <c r="AJF10" s="15"/>
      <c r="AJG10" s="15">
        <v>200</v>
      </c>
      <c r="AJH10" s="15">
        <v>200</v>
      </c>
      <c r="AJI10" s="15">
        <v>200</v>
      </c>
      <c r="AJJ10" s="15">
        <v>200</v>
      </c>
      <c r="AJK10" s="15">
        <v>200</v>
      </c>
      <c r="AJL10" s="15">
        <v>200</v>
      </c>
      <c r="AJM10" s="15">
        <v>200</v>
      </c>
      <c r="AJN10" s="15"/>
      <c r="AJO10" s="15">
        <v>200</v>
      </c>
      <c r="AJP10" s="15">
        <v>200</v>
      </c>
      <c r="AJQ10" s="15">
        <v>200</v>
      </c>
      <c r="AJR10" s="15">
        <v>200</v>
      </c>
      <c r="AJS10" s="15">
        <v>200</v>
      </c>
      <c r="AJT10" s="15">
        <v>200</v>
      </c>
      <c r="AJU10" s="15">
        <v>200</v>
      </c>
      <c r="AJV10" s="15">
        <v>200</v>
      </c>
      <c r="AJW10" s="15">
        <v>200</v>
      </c>
      <c r="AJX10" s="15"/>
      <c r="AJY10" s="15">
        <v>200</v>
      </c>
      <c r="AJZ10" s="15">
        <v>200</v>
      </c>
      <c r="AKA10" s="15">
        <v>200</v>
      </c>
      <c r="AKB10" s="15">
        <v>200</v>
      </c>
      <c r="AKC10" s="15">
        <v>200</v>
      </c>
      <c r="AKD10" s="15">
        <v>200</v>
      </c>
      <c r="AKE10" s="15">
        <v>200</v>
      </c>
      <c r="AKF10" s="15">
        <v>200</v>
      </c>
      <c r="AKG10" s="15">
        <v>200</v>
      </c>
      <c r="AKH10" s="15">
        <v>200</v>
      </c>
      <c r="AKI10" s="15"/>
      <c r="AKJ10" s="15">
        <v>200</v>
      </c>
      <c r="AKK10" s="15">
        <v>200</v>
      </c>
      <c r="AKL10" s="15">
        <v>200</v>
      </c>
      <c r="AKM10" s="15">
        <v>200</v>
      </c>
      <c r="AKN10" s="15">
        <v>200</v>
      </c>
      <c r="AKO10" s="15">
        <v>200</v>
      </c>
      <c r="AKP10" s="15">
        <v>200</v>
      </c>
      <c r="AKQ10" s="15">
        <v>200</v>
      </c>
      <c r="AKR10" s="15">
        <v>200</v>
      </c>
      <c r="AKS10" s="15">
        <v>200</v>
      </c>
      <c r="AKT10" s="15">
        <v>200</v>
      </c>
      <c r="AKU10" s="15">
        <v>200</v>
      </c>
      <c r="AKV10" s="15">
        <v>200</v>
      </c>
      <c r="AKW10" s="15">
        <v>200</v>
      </c>
      <c r="AKX10" s="15"/>
      <c r="AKY10" s="15">
        <v>200</v>
      </c>
      <c r="AKZ10" s="15">
        <v>200</v>
      </c>
      <c r="ALA10" s="15">
        <v>200</v>
      </c>
      <c r="ALB10" s="15">
        <v>200</v>
      </c>
      <c r="ALC10" s="15">
        <v>200</v>
      </c>
      <c r="ALD10" s="15">
        <v>200</v>
      </c>
      <c r="ALE10" s="15">
        <v>200</v>
      </c>
      <c r="ALF10" s="15">
        <v>200</v>
      </c>
      <c r="ALG10" s="15">
        <v>200</v>
      </c>
      <c r="ALH10" s="15">
        <v>200</v>
      </c>
      <c r="ALI10" s="15">
        <v>200</v>
      </c>
      <c r="ALJ10" s="15">
        <v>200</v>
      </c>
      <c r="ALK10" s="15">
        <v>200</v>
      </c>
      <c r="ALL10" s="15">
        <v>200</v>
      </c>
      <c r="ALM10" s="15"/>
      <c r="ALN10" s="15">
        <v>200</v>
      </c>
      <c r="ALO10" s="15">
        <v>200</v>
      </c>
      <c r="ALP10" s="15">
        <v>200</v>
      </c>
      <c r="ALQ10" s="15">
        <v>200</v>
      </c>
      <c r="ALR10" s="15">
        <v>200</v>
      </c>
      <c r="ALS10" s="15">
        <v>200</v>
      </c>
      <c r="ALT10" s="15">
        <v>200</v>
      </c>
      <c r="ALU10" s="15">
        <v>200</v>
      </c>
      <c r="ALV10" s="15">
        <v>200</v>
      </c>
      <c r="ALW10" s="15">
        <v>200</v>
      </c>
      <c r="ALX10" s="15">
        <v>200</v>
      </c>
      <c r="ALY10" s="15">
        <v>200</v>
      </c>
      <c r="ALZ10" s="15">
        <v>200</v>
      </c>
      <c r="AMA10" s="15">
        <v>200</v>
      </c>
      <c r="AMB10" s="15">
        <v>200</v>
      </c>
      <c r="AMC10" s="15"/>
      <c r="AMD10" s="15">
        <v>200</v>
      </c>
      <c r="AME10" s="15">
        <v>200</v>
      </c>
      <c r="AMF10" s="15">
        <v>200</v>
      </c>
      <c r="AMG10" s="15">
        <v>200</v>
      </c>
      <c r="AMH10" s="15">
        <v>200</v>
      </c>
      <c r="AMI10" s="15">
        <v>200</v>
      </c>
      <c r="AMJ10" s="15">
        <v>200</v>
      </c>
      <c r="AMK10" s="15">
        <v>200</v>
      </c>
      <c r="AML10" s="15">
        <v>200</v>
      </c>
      <c r="AMM10" s="15">
        <v>200</v>
      </c>
      <c r="AMN10" s="15">
        <v>200</v>
      </c>
      <c r="AMO10" s="15">
        <v>200</v>
      </c>
      <c r="AMP10" s="15">
        <v>200</v>
      </c>
      <c r="AMQ10" s="15">
        <v>200</v>
      </c>
      <c r="AMR10" s="15">
        <v>200</v>
      </c>
      <c r="AMS10" s="15">
        <v>200</v>
      </c>
      <c r="AMT10" s="15">
        <v>200</v>
      </c>
      <c r="AMU10" s="15">
        <v>200</v>
      </c>
      <c r="AMV10" s="15">
        <v>200</v>
      </c>
      <c r="AMW10" s="15">
        <v>200</v>
      </c>
      <c r="AMX10" s="15">
        <v>200</v>
      </c>
      <c r="AMY10" s="15">
        <v>200</v>
      </c>
      <c r="AMZ10" s="15">
        <v>200</v>
      </c>
      <c r="ANA10" s="15">
        <v>200</v>
      </c>
      <c r="ANB10" s="15">
        <v>200</v>
      </c>
      <c r="ANC10" s="15">
        <v>200</v>
      </c>
      <c r="AND10" s="15">
        <v>200</v>
      </c>
      <c r="ANE10" s="15"/>
      <c r="ANF10" s="15"/>
      <c r="ANG10" s="15"/>
      <c r="ANH10" s="15"/>
      <c r="ANI10" s="15"/>
      <c r="ANJ10" s="15"/>
      <c r="ANK10" s="15"/>
      <c r="ANL10" s="15"/>
      <c r="ANM10" s="15"/>
      <c r="ANN10" s="15"/>
      <c r="ANO10" s="15"/>
      <c r="ANP10" s="15"/>
      <c r="ANQ10" s="15"/>
      <c r="ANR10" s="15"/>
      <c r="ANS10" s="15"/>
      <c r="ANT10" s="15"/>
      <c r="ANU10" s="15"/>
      <c r="ANV10" s="15"/>
      <c r="ANW10" s="15"/>
      <c r="ANX10" s="15"/>
      <c r="ANY10" s="15"/>
      <c r="ANZ10" s="15"/>
      <c r="AOA10" s="15"/>
      <c r="AOB10" s="15"/>
      <c r="AOC10" s="15"/>
      <c r="AOD10" s="15"/>
      <c r="AOE10" s="15"/>
      <c r="AOF10" s="15"/>
      <c r="AOG10" s="15"/>
      <c r="AOH10" s="15"/>
      <c r="AOI10" s="15"/>
      <c r="AOJ10" s="15"/>
      <c r="AOK10" s="15"/>
      <c r="AOL10" s="15"/>
      <c r="AOM10" s="15"/>
      <c r="AON10" s="15"/>
      <c r="AOO10" s="15"/>
      <c r="AOP10" s="15"/>
      <c r="AOQ10" s="15"/>
      <c r="AOR10" s="15"/>
      <c r="AOS10" s="15"/>
      <c r="AOT10" s="15"/>
      <c r="AOU10" s="15"/>
      <c r="AOV10" s="15"/>
      <c r="AOW10" s="15"/>
      <c r="AOX10" s="15"/>
      <c r="AOY10" s="15"/>
      <c r="AOZ10" s="15"/>
      <c r="APA10" s="15"/>
      <c r="APB10" s="15"/>
      <c r="APC10" s="15"/>
      <c r="APD10" s="15"/>
      <c r="APE10" s="15"/>
      <c r="APF10" s="15"/>
      <c r="APG10" s="15"/>
      <c r="APH10" s="15"/>
      <c r="API10" s="15"/>
      <c r="APJ10" s="15"/>
      <c r="APK10" s="15"/>
      <c r="APL10" s="15"/>
      <c r="APM10" s="15"/>
      <c r="APN10" s="15"/>
      <c r="APO10" s="15"/>
      <c r="APP10" s="15"/>
      <c r="APQ10" s="15"/>
      <c r="APR10" s="15"/>
      <c r="APS10" s="15"/>
      <c r="APT10" s="15"/>
      <c r="APU10" s="15"/>
      <c r="APV10" s="15"/>
      <c r="APW10" s="15"/>
      <c r="APX10" s="15"/>
      <c r="APY10" s="15"/>
      <c r="APZ10" s="15"/>
      <c r="AQA10" s="15"/>
      <c r="AQB10" s="15"/>
    </row>
    <row r="11" spans="1:1120" s="17" customFormat="1" ht="15" customHeight="1" x14ac:dyDescent="0.25">
      <c r="A11" s="5" t="s">
        <v>1</v>
      </c>
      <c r="B11" s="6" t="s">
        <v>22</v>
      </c>
      <c r="C11" s="15">
        <v>200</v>
      </c>
      <c r="D11" s="15">
        <v>200</v>
      </c>
      <c r="E11" s="15">
        <v>200</v>
      </c>
      <c r="F11" s="15">
        <v>200</v>
      </c>
      <c r="G11" s="15">
        <v>200</v>
      </c>
      <c r="H11" s="15">
        <v>200</v>
      </c>
      <c r="I11" s="15">
        <v>200</v>
      </c>
      <c r="J11" s="15"/>
      <c r="K11" s="15">
        <v>200</v>
      </c>
      <c r="L11" s="15">
        <v>200</v>
      </c>
      <c r="M11" s="15">
        <v>200</v>
      </c>
      <c r="N11" s="15">
        <v>200</v>
      </c>
      <c r="O11" s="15">
        <v>200</v>
      </c>
      <c r="P11" s="15">
        <v>200</v>
      </c>
      <c r="Q11" s="15"/>
      <c r="R11" s="15">
        <v>200</v>
      </c>
      <c r="S11" s="15">
        <v>200</v>
      </c>
      <c r="T11" s="15">
        <v>200</v>
      </c>
      <c r="U11" s="15">
        <v>200</v>
      </c>
      <c r="V11" s="15">
        <v>200</v>
      </c>
      <c r="W11" s="15">
        <v>200</v>
      </c>
      <c r="X11" s="15"/>
      <c r="Y11" s="15">
        <v>200</v>
      </c>
      <c r="Z11" s="15">
        <v>200</v>
      </c>
      <c r="AA11" s="15">
        <v>200</v>
      </c>
      <c r="AB11" s="15">
        <v>200</v>
      </c>
      <c r="AC11" s="15">
        <v>200</v>
      </c>
      <c r="AD11" s="15">
        <v>200</v>
      </c>
      <c r="AE11" s="15"/>
      <c r="AF11" s="15">
        <v>200</v>
      </c>
      <c r="AG11" s="15">
        <v>200</v>
      </c>
      <c r="AH11" s="15">
        <v>200</v>
      </c>
      <c r="AI11" s="15">
        <v>200</v>
      </c>
      <c r="AJ11" s="15">
        <v>200</v>
      </c>
      <c r="AK11" s="15">
        <v>200</v>
      </c>
      <c r="AL11" s="15"/>
      <c r="AM11" s="15">
        <v>200</v>
      </c>
      <c r="AN11" s="15">
        <v>200</v>
      </c>
      <c r="AO11" s="15">
        <v>200</v>
      </c>
      <c r="AP11" s="15">
        <v>200</v>
      </c>
      <c r="AQ11" s="15">
        <v>200</v>
      </c>
      <c r="AR11" s="15">
        <v>200</v>
      </c>
      <c r="AS11" s="15">
        <v>200</v>
      </c>
      <c r="AT11" s="15">
        <v>200</v>
      </c>
      <c r="AU11" s="15">
        <v>200</v>
      </c>
      <c r="AV11" s="15">
        <v>200</v>
      </c>
      <c r="AW11" s="15">
        <v>200</v>
      </c>
      <c r="AX11" s="15">
        <v>200</v>
      </c>
      <c r="AY11" s="15">
        <v>200</v>
      </c>
      <c r="AZ11" s="15">
        <v>200</v>
      </c>
      <c r="BA11" s="15">
        <v>200</v>
      </c>
      <c r="BB11" s="15">
        <v>200</v>
      </c>
      <c r="BC11" s="15">
        <v>200</v>
      </c>
      <c r="BD11" s="15">
        <v>200</v>
      </c>
      <c r="BE11" s="15">
        <v>200</v>
      </c>
      <c r="BF11" s="15">
        <v>200</v>
      </c>
      <c r="BG11" s="15">
        <v>200</v>
      </c>
      <c r="BH11" s="15">
        <v>200</v>
      </c>
      <c r="BI11" s="15">
        <v>200</v>
      </c>
      <c r="BJ11" s="15">
        <v>200</v>
      </c>
      <c r="BK11" s="15">
        <v>200</v>
      </c>
      <c r="BL11" s="15">
        <v>200</v>
      </c>
      <c r="BM11" s="15">
        <v>200</v>
      </c>
      <c r="BN11" s="15">
        <v>200</v>
      </c>
      <c r="BO11" s="15">
        <v>200</v>
      </c>
      <c r="BP11" s="15">
        <v>200</v>
      </c>
      <c r="BQ11" s="15">
        <v>200</v>
      </c>
      <c r="BR11" s="15">
        <v>200</v>
      </c>
      <c r="BS11" s="15">
        <v>200</v>
      </c>
      <c r="BT11" s="15">
        <v>200</v>
      </c>
      <c r="BU11" s="15">
        <v>200</v>
      </c>
      <c r="BV11" s="15">
        <v>200</v>
      </c>
      <c r="BW11" s="15">
        <v>200</v>
      </c>
      <c r="BX11" s="15">
        <v>200</v>
      </c>
      <c r="BY11" s="15">
        <v>200</v>
      </c>
      <c r="BZ11" s="15">
        <v>200</v>
      </c>
      <c r="CA11" s="15">
        <v>200</v>
      </c>
      <c r="CB11" s="15">
        <v>200</v>
      </c>
      <c r="CC11" s="15">
        <v>200</v>
      </c>
      <c r="CD11" s="15">
        <v>200</v>
      </c>
      <c r="CE11" s="15">
        <v>200</v>
      </c>
      <c r="CF11" s="15">
        <v>200</v>
      </c>
      <c r="CG11" s="15">
        <v>200</v>
      </c>
      <c r="CH11" s="15">
        <v>200</v>
      </c>
      <c r="CI11" s="15">
        <v>200</v>
      </c>
      <c r="CJ11" s="15">
        <v>200</v>
      </c>
      <c r="CK11" s="15">
        <v>200</v>
      </c>
      <c r="CL11" s="15">
        <v>200</v>
      </c>
      <c r="CM11" s="15">
        <v>200</v>
      </c>
      <c r="CN11" s="15">
        <v>200</v>
      </c>
      <c r="CO11" s="15">
        <v>200</v>
      </c>
      <c r="CP11" s="15">
        <v>200</v>
      </c>
      <c r="CQ11" s="15">
        <v>200</v>
      </c>
      <c r="CR11" s="15">
        <v>200</v>
      </c>
      <c r="CS11" s="15">
        <v>200</v>
      </c>
      <c r="CT11" s="15">
        <v>200</v>
      </c>
      <c r="CU11" s="15">
        <v>200</v>
      </c>
      <c r="CV11" s="15">
        <v>200</v>
      </c>
      <c r="CW11" s="15">
        <v>200</v>
      </c>
      <c r="CX11" s="15">
        <v>200</v>
      </c>
      <c r="CY11" s="15">
        <v>200</v>
      </c>
      <c r="CZ11" s="15">
        <v>200</v>
      </c>
      <c r="DA11" s="15">
        <v>200</v>
      </c>
      <c r="DB11" s="15">
        <v>200</v>
      </c>
      <c r="DC11" s="15">
        <v>200</v>
      </c>
      <c r="DD11" s="15">
        <v>200</v>
      </c>
      <c r="DE11" s="15">
        <v>200</v>
      </c>
      <c r="DF11" s="15">
        <v>200</v>
      </c>
      <c r="DG11" s="15">
        <v>200</v>
      </c>
      <c r="DH11" s="15">
        <v>200</v>
      </c>
      <c r="DI11" s="15">
        <v>200</v>
      </c>
      <c r="DJ11" s="15">
        <v>200</v>
      </c>
      <c r="DK11" s="15">
        <v>200</v>
      </c>
      <c r="DL11" s="15">
        <v>200</v>
      </c>
      <c r="DM11" s="15">
        <v>200</v>
      </c>
      <c r="DN11" s="15">
        <v>200</v>
      </c>
      <c r="DO11" s="15">
        <v>200</v>
      </c>
      <c r="DP11" s="15">
        <v>200</v>
      </c>
      <c r="DQ11" s="15">
        <v>200</v>
      </c>
      <c r="DR11" s="15">
        <v>200</v>
      </c>
      <c r="DS11" s="15">
        <v>200</v>
      </c>
      <c r="DT11" s="15">
        <v>200</v>
      </c>
      <c r="DU11" s="15">
        <v>200</v>
      </c>
      <c r="DV11" s="15">
        <v>200</v>
      </c>
      <c r="DW11" s="15">
        <v>200</v>
      </c>
      <c r="DX11" s="15">
        <v>200</v>
      </c>
      <c r="DY11" s="15">
        <v>200</v>
      </c>
      <c r="DZ11" s="15">
        <v>200</v>
      </c>
      <c r="EA11" s="15">
        <v>200</v>
      </c>
      <c r="EB11" s="15">
        <v>200</v>
      </c>
      <c r="EC11" s="15">
        <v>200</v>
      </c>
      <c r="ED11" s="15">
        <v>200</v>
      </c>
      <c r="EE11" s="15">
        <v>200</v>
      </c>
      <c r="EF11" s="15">
        <v>200</v>
      </c>
      <c r="EG11" s="15">
        <v>200</v>
      </c>
      <c r="EH11" s="15">
        <v>200</v>
      </c>
      <c r="EI11" s="15">
        <v>200</v>
      </c>
      <c r="EJ11" s="15">
        <v>200</v>
      </c>
      <c r="EK11" s="15">
        <v>200</v>
      </c>
      <c r="EL11" s="15">
        <v>200</v>
      </c>
      <c r="EM11" s="15">
        <v>200</v>
      </c>
      <c r="EN11" s="15">
        <v>200</v>
      </c>
      <c r="EO11" s="15">
        <v>200</v>
      </c>
      <c r="EP11" s="15">
        <v>200</v>
      </c>
      <c r="EQ11" s="15">
        <v>200</v>
      </c>
      <c r="ER11" s="15">
        <v>200</v>
      </c>
      <c r="ES11" s="15">
        <v>200</v>
      </c>
      <c r="ET11" s="15">
        <v>200</v>
      </c>
      <c r="EU11" s="15">
        <v>200</v>
      </c>
      <c r="EV11" s="15">
        <v>200</v>
      </c>
      <c r="EW11" s="15">
        <v>200</v>
      </c>
      <c r="EX11" s="15">
        <v>200</v>
      </c>
      <c r="EY11" s="15">
        <v>200</v>
      </c>
      <c r="EZ11" s="15">
        <v>200</v>
      </c>
      <c r="FA11" s="15">
        <v>200</v>
      </c>
      <c r="FB11" s="15">
        <v>200</v>
      </c>
      <c r="FC11" s="15">
        <v>200</v>
      </c>
      <c r="FD11" s="15"/>
      <c r="FE11" s="15">
        <v>200</v>
      </c>
      <c r="FF11" s="15">
        <v>200</v>
      </c>
      <c r="FG11" s="15">
        <v>200</v>
      </c>
      <c r="FH11" s="15">
        <v>200</v>
      </c>
      <c r="FI11" s="15">
        <v>200</v>
      </c>
      <c r="FJ11" s="15">
        <v>200</v>
      </c>
      <c r="FK11" s="15">
        <v>200</v>
      </c>
      <c r="FL11" s="15">
        <v>200</v>
      </c>
      <c r="FM11" s="15">
        <v>200</v>
      </c>
      <c r="FN11" s="15">
        <v>200</v>
      </c>
      <c r="FO11" s="15">
        <v>200</v>
      </c>
      <c r="FP11" s="15">
        <v>200</v>
      </c>
      <c r="FQ11" s="15">
        <v>200</v>
      </c>
      <c r="FR11" s="15">
        <v>200</v>
      </c>
      <c r="FS11" s="15">
        <v>200</v>
      </c>
      <c r="FT11" s="15">
        <v>200</v>
      </c>
      <c r="FU11" s="15">
        <v>200</v>
      </c>
      <c r="FV11" s="15">
        <v>200</v>
      </c>
      <c r="FW11" s="15">
        <v>200</v>
      </c>
      <c r="FX11" s="15">
        <v>200</v>
      </c>
      <c r="FY11" s="15">
        <v>200</v>
      </c>
      <c r="FZ11" s="15">
        <v>200</v>
      </c>
      <c r="GA11" s="15">
        <v>200</v>
      </c>
      <c r="GB11" s="15">
        <v>200</v>
      </c>
      <c r="GC11" s="15">
        <v>200</v>
      </c>
      <c r="GD11" s="15">
        <v>200</v>
      </c>
      <c r="GE11" s="15">
        <v>200</v>
      </c>
      <c r="GF11" s="15">
        <v>200</v>
      </c>
      <c r="GG11" s="15">
        <v>200</v>
      </c>
      <c r="GH11" s="15">
        <v>200</v>
      </c>
      <c r="GI11" s="15">
        <v>200</v>
      </c>
      <c r="GJ11" s="15">
        <v>200</v>
      </c>
      <c r="GK11" s="15">
        <v>200</v>
      </c>
      <c r="GL11" s="15">
        <v>200</v>
      </c>
      <c r="GM11" s="15">
        <v>200</v>
      </c>
      <c r="GN11" s="15">
        <v>200</v>
      </c>
      <c r="GO11" s="15">
        <v>200</v>
      </c>
      <c r="GP11" s="15">
        <v>200</v>
      </c>
      <c r="GQ11" s="15">
        <v>200</v>
      </c>
      <c r="GR11" s="15">
        <v>200</v>
      </c>
      <c r="GS11" s="15">
        <v>200</v>
      </c>
      <c r="GT11" s="15">
        <v>200</v>
      </c>
      <c r="GU11" s="15">
        <v>200</v>
      </c>
      <c r="GV11" s="15">
        <v>200</v>
      </c>
      <c r="GW11" s="15">
        <v>200</v>
      </c>
      <c r="GX11" s="15">
        <v>200</v>
      </c>
      <c r="GY11" s="15">
        <v>200</v>
      </c>
      <c r="GZ11" s="15">
        <v>200</v>
      </c>
      <c r="HA11" s="15">
        <v>200</v>
      </c>
      <c r="HB11" s="15">
        <v>200</v>
      </c>
      <c r="HC11" s="15">
        <v>200</v>
      </c>
      <c r="HD11" s="15">
        <v>200</v>
      </c>
      <c r="HE11" s="15">
        <v>200</v>
      </c>
      <c r="HF11" s="15">
        <v>200</v>
      </c>
      <c r="HG11" s="15">
        <v>200</v>
      </c>
      <c r="HH11" s="15">
        <v>200</v>
      </c>
      <c r="HI11" s="15">
        <v>200</v>
      </c>
      <c r="HJ11" s="15">
        <v>200</v>
      </c>
      <c r="HK11" s="15">
        <v>200</v>
      </c>
      <c r="HL11" s="15">
        <v>200</v>
      </c>
      <c r="HM11" s="15">
        <v>200</v>
      </c>
      <c r="HN11" s="15">
        <v>200</v>
      </c>
      <c r="HO11" s="15">
        <v>200</v>
      </c>
      <c r="HP11" s="15">
        <v>200</v>
      </c>
      <c r="HQ11" s="15">
        <v>200</v>
      </c>
      <c r="HR11" s="15">
        <v>200</v>
      </c>
      <c r="HS11" s="15">
        <v>200</v>
      </c>
      <c r="HT11" s="15">
        <v>200</v>
      </c>
      <c r="HU11" s="15">
        <v>200</v>
      </c>
      <c r="HV11" s="15">
        <v>200</v>
      </c>
      <c r="HW11" s="15">
        <v>200</v>
      </c>
      <c r="HX11" s="15">
        <v>200</v>
      </c>
      <c r="HY11" s="15">
        <v>200</v>
      </c>
      <c r="HZ11" s="15">
        <v>200</v>
      </c>
      <c r="IA11" s="15">
        <v>200</v>
      </c>
      <c r="IB11" s="15"/>
      <c r="IC11" s="15">
        <v>200</v>
      </c>
      <c r="ID11" s="15">
        <v>200</v>
      </c>
      <c r="IE11" s="15">
        <v>200</v>
      </c>
      <c r="IF11" s="15">
        <v>200</v>
      </c>
      <c r="IG11" s="15">
        <v>200</v>
      </c>
      <c r="IH11" s="15">
        <v>200</v>
      </c>
      <c r="II11" s="15">
        <v>200</v>
      </c>
      <c r="IJ11" s="15">
        <v>200</v>
      </c>
      <c r="IK11" s="15"/>
      <c r="IL11" s="15">
        <v>200</v>
      </c>
      <c r="IM11" s="15">
        <v>200</v>
      </c>
      <c r="IN11" s="15">
        <v>200</v>
      </c>
      <c r="IO11" s="15">
        <v>200</v>
      </c>
      <c r="IP11" s="15">
        <v>200</v>
      </c>
      <c r="IQ11" s="15">
        <v>200</v>
      </c>
      <c r="IR11" s="15">
        <v>200</v>
      </c>
      <c r="IS11" s="15">
        <v>200</v>
      </c>
      <c r="IT11" s="15">
        <v>200</v>
      </c>
      <c r="IU11" s="15">
        <v>200</v>
      </c>
      <c r="IV11" s="15">
        <v>200</v>
      </c>
      <c r="IW11" s="15">
        <v>200</v>
      </c>
      <c r="IX11" s="15">
        <v>200</v>
      </c>
      <c r="IY11" s="15">
        <v>200</v>
      </c>
      <c r="IZ11" s="15">
        <v>200</v>
      </c>
      <c r="JA11" s="15">
        <v>200</v>
      </c>
      <c r="JB11" s="15">
        <v>200</v>
      </c>
      <c r="JC11" s="15">
        <v>200</v>
      </c>
      <c r="JD11" s="15">
        <v>200</v>
      </c>
      <c r="JE11" s="15">
        <v>200</v>
      </c>
      <c r="JF11" s="15">
        <v>200</v>
      </c>
      <c r="JG11" s="15">
        <v>200</v>
      </c>
      <c r="JH11" s="15">
        <v>200</v>
      </c>
      <c r="JI11" s="15">
        <v>200</v>
      </c>
      <c r="JJ11" s="15">
        <v>200</v>
      </c>
      <c r="JK11" s="15">
        <v>200</v>
      </c>
      <c r="JL11" s="15">
        <v>200</v>
      </c>
      <c r="JM11" s="15">
        <v>200</v>
      </c>
      <c r="JN11" s="15">
        <v>200</v>
      </c>
      <c r="JO11" s="15">
        <v>200</v>
      </c>
      <c r="JP11" s="15">
        <v>200</v>
      </c>
      <c r="JQ11" s="15">
        <v>200</v>
      </c>
      <c r="JR11" s="15">
        <v>200</v>
      </c>
      <c r="JS11" s="15">
        <v>200</v>
      </c>
      <c r="JT11" s="15">
        <v>200</v>
      </c>
      <c r="JU11" s="15">
        <v>200</v>
      </c>
      <c r="JV11" s="15">
        <v>200</v>
      </c>
      <c r="JW11" s="15">
        <v>200</v>
      </c>
      <c r="JX11" s="15">
        <v>200</v>
      </c>
      <c r="JY11" s="15">
        <v>200</v>
      </c>
      <c r="JZ11" s="15">
        <v>200</v>
      </c>
      <c r="KA11" s="15">
        <v>200</v>
      </c>
      <c r="KB11" s="15">
        <v>200</v>
      </c>
      <c r="KC11" s="15">
        <v>200</v>
      </c>
      <c r="KD11" s="15">
        <v>200</v>
      </c>
      <c r="KE11" s="15">
        <v>200</v>
      </c>
      <c r="KF11" s="15">
        <v>200</v>
      </c>
      <c r="KG11" s="15">
        <v>200</v>
      </c>
      <c r="KH11" s="15">
        <v>200</v>
      </c>
      <c r="KI11" s="15">
        <v>200</v>
      </c>
      <c r="KJ11" s="15">
        <v>200</v>
      </c>
      <c r="KK11" s="15">
        <v>200</v>
      </c>
      <c r="KL11" s="15">
        <v>200</v>
      </c>
      <c r="KM11" s="15">
        <v>200</v>
      </c>
      <c r="KN11" s="15">
        <v>200</v>
      </c>
      <c r="KO11" s="15">
        <v>200</v>
      </c>
      <c r="KP11" s="15">
        <v>200</v>
      </c>
      <c r="KQ11" s="15">
        <v>200</v>
      </c>
      <c r="KR11" s="15">
        <v>200</v>
      </c>
      <c r="KS11" s="15">
        <v>200</v>
      </c>
      <c r="KT11" s="15">
        <v>200</v>
      </c>
      <c r="KU11" s="15">
        <v>200</v>
      </c>
      <c r="KV11" s="15">
        <v>200</v>
      </c>
      <c r="KW11" s="15">
        <v>200</v>
      </c>
      <c r="KX11" s="15">
        <v>200</v>
      </c>
      <c r="KY11" s="15">
        <v>200</v>
      </c>
      <c r="KZ11" s="15">
        <v>200</v>
      </c>
      <c r="LA11" s="15">
        <v>200</v>
      </c>
      <c r="LB11" s="15">
        <v>200</v>
      </c>
      <c r="LC11" s="15">
        <v>200</v>
      </c>
      <c r="LD11" s="15">
        <v>200</v>
      </c>
      <c r="LE11" s="15">
        <v>200</v>
      </c>
      <c r="LF11" s="15">
        <v>200</v>
      </c>
      <c r="LG11" s="15">
        <v>200</v>
      </c>
      <c r="LH11" s="15">
        <v>200</v>
      </c>
      <c r="LI11" s="15">
        <v>200</v>
      </c>
      <c r="LJ11" s="15">
        <v>200</v>
      </c>
      <c r="LK11" s="15">
        <v>200</v>
      </c>
      <c r="LL11" s="15">
        <v>200</v>
      </c>
      <c r="LM11" s="15">
        <v>200</v>
      </c>
      <c r="LN11" s="15">
        <v>200</v>
      </c>
      <c r="LO11" s="15">
        <v>200</v>
      </c>
      <c r="LP11" s="15">
        <v>200</v>
      </c>
      <c r="LQ11" s="15">
        <v>200</v>
      </c>
      <c r="LR11" s="15">
        <v>200</v>
      </c>
      <c r="LS11" s="15">
        <v>200</v>
      </c>
      <c r="LT11" s="15">
        <v>200</v>
      </c>
      <c r="LU11" s="15">
        <v>200</v>
      </c>
      <c r="LV11" s="15">
        <v>200</v>
      </c>
      <c r="LW11" s="15">
        <v>200</v>
      </c>
      <c r="LX11" s="15">
        <v>200</v>
      </c>
      <c r="LY11" s="15">
        <v>200</v>
      </c>
      <c r="LZ11" s="15">
        <v>200</v>
      </c>
      <c r="MA11" s="15">
        <v>200</v>
      </c>
      <c r="MB11" s="15">
        <v>200</v>
      </c>
      <c r="MC11" s="15">
        <v>200</v>
      </c>
      <c r="MD11" s="15">
        <v>200</v>
      </c>
      <c r="ME11" s="15">
        <v>200</v>
      </c>
      <c r="MF11" s="15">
        <v>200</v>
      </c>
      <c r="MG11" s="15">
        <v>200</v>
      </c>
      <c r="MH11" s="15">
        <v>200</v>
      </c>
      <c r="MI11" s="15">
        <v>200</v>
      </c>
      <c r="MJ11" s="15">
        <v>200</v>
      </c>
      <c r="MK11" s="15">
        <v>200</v>
      </c>
      <c r="ML11" s="15">
        <v>200</v>
      </c>
      <c r="MM11" s="15">
        <v>200</v>
      </c>
      <c r="MN11" s="15">
        <v>200</v>
      </c>
      <c r="MO11" s="15">
        <v>200</v>
      </c>
      <c r="MP11" s="15">
        <v>200</v>
      </c>
      <c r="MQ11" s="15">
        <v>200</v>
      </c>
      <c r="MR11" s="15">
        <v>200</v>
      </c>
      <c r="MS11" s="15">
        <v>200</v>
      </c>
      <c r="MT11" s="15">
        <v>200</v>
      </c>
      <c r="MU11" s="15">
        <v>200</v>
      </c>
      <c r="MV11" s="15">
        <v>200</v>
      </c>
      <c r="MW11" s="15">
        <v>200</v>
      </c>
      <c r="MX11" s="15">
        <v>200</v>
      </c>
      <c r="MY11" s="15">
        <v>200</v>
      </c>
      <c r="MZ11" s="15">
        <v>200</v>
      </c>
      <c r="NA11" s="15">
        <v>200</v>
      </c>
      <c r="NB11" s="15">
        <v>200</v>
      </c>
      <c r="NC11" s="15">
        <v>200</v>
      </c>
      <c r="ND11" s="15">
        <v>200</v>
      </c>
      <c r="NE11" s="15">
        <v>200</v>
      </c>
      <c r="NF11" s="15">
        <v>200</v>
      </c>
      <c r="NG11" s="15">
        <v>200</v>
      </c>
      <c r="NH11" s="15">
        <v>200</v>
      </c>
      <c r="NI11" s="15">
        <v>200</v>
      </c>
      <c r="NJ11" s="15">
        <v>200</v>
      </c>
      <c r="NK11" s="15">
        <v>200</v>
      </c>
      <c r="NL11" s="15">
        <v>200</v>
      </c>
      <c r="NM11" s="15">
        <v>200</v>
      </c>
      <c r="NN11" s="15">
        <v>200</v>
      </c>
      <c r="NO11" s="15">
        <v>200</v>
      </c>
      <c r="NP11" s="15">
        <v>200</v>
      </c>
      <c r="NQ11" s="15">
        <v>200</v>
      </c>
      <c r="NR11" s="15">
        <v>200</v>
      </c>
      <c r="NS11" s="15">
        <v>200</v>
      </c>
      <c r="NT11" s="15">
        <v>200</v>
      </c>
      <c r="NU11" s="15">
        <v>200</v>
      </c>
      <c r="NV11" s="15">
        <v>200</v>
      </c>
      <c r="NW11" s="15">
        <v>200</v>
      </c>
      <c r="NX11" s="15">
        <v>200</v>
      </c>
      <c r="NY11" s="15">
        <v>200</v>
      </c>
      <c r="NZ11" s="15">
        <v>200</v>
      </c>
      <c r="OA11" s="15">
        <v>200</v>
      </c>
      <c r="OB11" s="15">
        <v>200</v>
      </c>
      <c r="OC11" s="15">
        <v>200</v>
      </c>
      <c r="OD11" s="15">
        <v>200</v>
      </c>
      <c r="OE11" s="15">
        <v>200</v>
      </c>
      <c r="OF11" s="15">
        <v>200</v>
      </c>
      <c r="OG11" s="15">
        <v>200</v>
      </c>
      <c r="OH11" s="15">
        <v>200</v>
      </c>
      <c r="OI11" s="15">
        <v>200</v>
      </c>
      <c r="OJ11" s="15">
        <v>200</v>
      </c>
      <c r="OK11" s="15">
        <v>200</v>
      </c>
      <c r="OL11" s="15">
        <v>200</v>
      </c>
      <c r="OM11" s="15">
        <v>200</v>
      </c>
      <c r="ON11" s="15">
        <v>200</v>
      </c>
      <c r="OO11" s="15">
        <v>200</v>
      </c>
      <c r="OP11" s="15">
        <v>200</v>
      </c>
      <c r="OQ11" s="15">
        <v>200</v>
      </c>
      <c r="OR11" s="15">
        <v>200</v>
      </c>
      <c r="OS11" s="15">
        <v>200</v>
      </c>
      <c r="OT11" s="15">
        <v>200</v>
      </c>
      <c r="OU11" s="15">
        <v>200</v>
      </c>
      <c r="OV11" s="15">
        <v>200</v>
      </c>
      <c r="OW11" s="15">
        <v>200</v>
      </c>
      <c r="OX11" s="15">
        <v>200</v>
      </c>
      <c r="OY11" s="15">
        <v>200</v>
      </c>
      <c r="OZ11" s="15">
        <v>200</v>
      </c>
      <c r="PA11" s="15">
        <v>200</v>
      </c>
      <c r="PB11" s="15">
        <v>200</v>
      </c>
      <c r="PC11" s="15">
        <v>200</v>
      </c>
      <c r="PD11" s="15">
        <v>200</v>
      </c>
      <c r="PE11" s="15">
        <v>200</v>
      </c>
      <c r="PF11" s="15">
        <v>200</v>
      </c>
      <c r="PG11" s="15">
        <v>200</v>
      </c>
      <c r="PH11" s="15">
        <v>200</v>
      </c>
      <c r="PI11" s="15">
        <v>200</v>
      </c>
      <c r="PJ11" s="15">
        <v>200</v>
      </c>
      <c r="PK11" s="15">
        <v>200</v>
      </c>
      <c r="PL11" s="15">
        <v>200</v>
      </c>
      <c r="PM11" s="15">
        <v>200</v>
      </c>
      <c r="PN11" s="15">
        <v>200</v>
      </c>
      <c r="PO11" s="15">
        <v>200</v>
      </c>
      <c r="PP11" s="15">
        <v>200</v>
      </c>
      <c r="PQ11" s="15">
        <v>200</v>
      </c>
      <c r="PR11" s="15">
        <v>200</v>
      </c>
      <c r="PS11" s="15">
        <v>200</v>
      </c>
      <c r="PT11" s="15">
        <v>200</v>
      </c>
      <c r="PU11" s="15">
        <v>200</v>
      </c>
      <c r="PV11" s="15">
        <v>200</v>
      </c>
      <c r="PW11" s="15">
        <v>200</v>
      </c>
      <c r="PX11" s="15">
        <v>200</v>
      </c>
      <c r="PY11" s="15">
        <v>200</v>
      </c>
      <c r="PZ11" s="15">
        <v>200</v>
      </c>
      <c r="QA11" s="15">
        <v>200</v>
      </c>
      <c r="QB11" s="15">
        <v>200</v>
      </c>
      <c r="QC11" s="15">
        <v>200</v>
      </c>
      <c r="QD11" s="15">
        <v>200</v>
      </c>
      <c r="QE11" s="15">
        <v>200</v>
      </c>
      <c r="QF11" s="15">
        <v>200</v>
      </c>
      <c r="QG11" s="15">
        <v>200</v>
      </c>
      <c r="QH11" s="15">
        <v>200</v>
      </c>
      <c r="QI11" s="15">
        <v>200</v>
      </c>
      <c r="QJ11" s="15">
        <v>200</v>
      </c>
      <c r="QK11" s="15">
        <v>200</v>
      </c>
      <c r="QL11" s="15">
        <v>200</v>
      </c>
      <c r="QM11" s="15">
        <v>200</v>
      </c>
      <c r="QN11" s="15">
        <v>200</v>
      </c>
      <c r="QO11" s="15">
        <v>200</v>
      </c>
      <c r="QP11" s="15">
        <v>200</v>
      </c>
      <c r="QQ11" s="15">
        <v>200</v>
      </c>
      <c r="QR11" s="15">
        <v>200</v>
      </c>
      <c r="QS11" s="15">
        <v>200</v>
      </c>
      <c r="QT11" s="15">
        <v>200</v>
      </c>
      <c r="QU11" s="15">
        <v>200</v>
      </c>
      <c r="QV11" s="15">
        <v>200</v>
      </c>
      <c r="QW11" s="15">
        <v>200</v>
      </c>
      <c r="QX11" s="15">
        <v>200</v>
      </c>
      <c r="QY11" s="15">
        <v>200</v>
      </c>
      <c r="QZ11" s="15">
        <v>200</v>
      </c>
      <c r="RA11" s="15">
        <v>200</v>
      </c>
      <c r="RB11" s="15">
        <v>200</v>
      </c>
      <c r="RC11" s="15">
        <v>200</v>
      </c>
      <c r="RD11" s="15">
        <v>200</v>
      </c>
      <c r="RE11" s="15">
        <v>200</v>
      </c>
      <c r="RF11" s="15">
        <v>200</v>
      </c>
      <c r="RG11" s="15">
        <v>200</v>
      </c>
      <c r="RH11" s="15">
        <v>200</v>
      </c>
      <c r="RI11" s="15">
        <v>200</v>
      </c>
      <c r="RJ11" s="15">
        <v>200</v>
      </c>
      <c r="RK11" s="15">
        <v>200</v>
      </c>
      <c r="RL11" s="15">
        <v>200</v>
      </c>
      <c r="RM11" s="15">
        <v>200</v>
      </c>
      <c r="RN11" s="15">
        <v>200</v>
      </c>
      <c r="RO11" s="15">
        <v>200</v>
      </c>
      <c r="RP11" s="15">
        <v>200</v>
      </c>
      <c r="RQ11" s="15">
        <v>200</v>
      </c>
      <c r="RR11" s="15">
        <v>200</v>
      </c>
      <c r="RS11" s="15"/>
      <c r="RT11" s="15">
        <v>200</v>
      </c>
      <c r="RU11" s="15">
        <v>200</v>
      </c>
      <c r="RV11" s="15">
        <v>200</v>
      </c>
      <c r="RW11" s="15">
        <v>200</v>
      </c>
      <c r="RX11" s="15">
        <v>200</v>
      </c>
      <c r="RY11" s="15">
        <v>200</v>
      </c>
      <c r="RZ11" s="15">
        <v>200</v>
      </c>
      <c r="SA11" s="15">
        <v>200</v>
      </c>
      <c r="SB11" s="15">
        <v>200</v>
      </c>
      <c r="SC11" s="15">
        <v>200</v>
      </c>
      <c r="SD11" s="15">
        <v>200</v>
      </c>
      <c r="SE11" s="15">
        <v>200</v>
      </c>
      <c r="SF11" s="15">
        <v>200</v>
      </c>
      <c r="SG11" s="15">
        <v>200</v>
      </c>
      <c r="SH11" s="15">
        <v>200</v>
      </c>
      <c r="SI11" s="15">
        <v>200</v>
      </c>
      <c r="SJ11" s="15">
        <v>200</v>
      </c>
      <c r="SK11" s="15">
        <v>200</v>
      </c>
      <c r="SL11" s="15">
        <v>200</v>
      </c>
      <c r="SM11" s="15">
        <v>200</v>
      </c>
      <c r="SN11" s="15">
        <v>200</v>
      </c>
      <c r="SO11" s="15">
        <v>200</v>
      </c>
      <c r="SP11" s="15">
        <v>200</v>
      </c>
      <c r="SQ11" s="15">
        <v>200</v>
      </c>
      <c r="SR11" s="15">
        <v>200</v>
      </c>
      <c r="SS11" s="15">
        <v>200</v>
      </c>
      <c r="ST11" s="15">
        <v>200</v>
      </c>
      <c r="SU11" s="15">
        <v>200</v>
      </c>
      <c r="SV11" s="15">
        <v>200</v>
      </c>
      <c r="SW11" s="15">
        <v>200</v>
      </c>
      <c r="SX11" s="15">
        <v>200</v>
      </c>
      <c r="SY11" s="15">
        <v>200</v>
      </c>
      <c r="SZ11" s="15">
        <v>200</v>
      </c>
      <c r="TA11" s="15">
        <v>200</v>
      </c>
      <c r="TB11" s="15">
        <v>200</v>
      </c>
      <c r="TC11" s="15">
        <v>200</v>
      </c>
      <c r="TD11" s="15">
        <v>200</v>
      </c>
      <c r="TE11" s="15">
        <v>200</v>
      </c>
      <c r="TF11" s="15">
        <v>200</v>
      </c>
      <c r="TG11" s="15">
        <v>200</v>
      </c>
      <c r="TH11" s="15">
        <v>200</v>
      </c>
      <c r="TI11" s="15">
        <v>200</v>
      </c>
      <c r="TJ11" s="15">
        <v>200</v>
      </c>
      <c r="TK11" s="15">
        <v>200</v>
      </c>
      <c r="TL11" s="15">
        <v>200</v>
      </c>
      <c r="TM11" s="15">
        <v>200</v>
      </c>
      <c r="TN11" s="15">
        <v>200</v>
      </c>
      <c r="TO11" s="15">
        <v>200</v>
      </c>
      <c r="TP11" s="15">
        <v>200</v>
      </c>
      <c r="TQ11" s="15">
        <v>200</v>
      </c>
      <c r="TR11" s="15">
        <v>200</v>
      </c>
      <c r="TS11" s="15">
        <v>200</v>
      </c>
      <c r="TT11" s="15">
        <v>200</v>
      </c>
      <c r="TU11" s="15">
        <v>200</v>
      </c>
      <c r="TV11" s="15">
        <v>200</v>
      </c>
      <c r="TW11" s="15">
        <v>200</v>
      </c>
      <c r="TX11" s="15">
        <v>200</v>
      </c>
      <c r="TY11" s="15">
        <v>200</v>
      </c>
      <c r="TZ11" s="15">
        <v>200</v>
      </c>
      <c r="UA11" s="15">
        <v>200</v>
      </c>
      <c r="UB11" s="15">
        <v>200</v>
      </c>
      <c r="UC11" s="15">
        <v>200</v>
      </c>
      <c r="UD11" s="15">
        <v>200</v>
      </c>
      <c r="UE11" s="15">
        <v>200</v>
      </c>
      <c r="UF11" s="15">
        <v>200</v>
      </c>
      <c r="UG11" s="15">
        <v>200</v>
      </c>
      <c r="UH11" s="15">
        <v>200</v>
      </c>
      <c r="UI11" s="15">
        <v>200</v>
      </c>
      <c r="UJ11" s="15">
        <v>200</v>
      </c>
      <c r="UK11" s="15">
        <v>200</v>
      </c>
      <c r="UL11" s="15">
        <v>200</v>
      </c>
      <c r="UM11" s="15">
        <v>200</v>
      </c>
      <c r="UN11" s="15">
        <v>200</v>
      </c>
      <c r="UO11" s="15">
        <v>200</v>
      </c>
      <c r="UP11" s="15">
        <v>200</v>
      </c>
      <c r="UQ11" s="15">
        <v>200</v>
      </c>
      <c r="UR11" s="15">
        <v>200</v>
      </c>
      <c r="US11" s="15">
        <v>200</v>
      </c>
      <c r="UT11" s="15">
        <v>200</v>
      </c>
      <c r="UU11" s="15">
        <v>200</v>
      </c>
      <c r="UV11" s="15">
        <v>200</v>
      </c>
      <c r="UW11" s="15">
        <v>200</v>
      </c>
      <c r="UX11" s="15">
        <v>200</v>
      </c>
      <c r="UY11" s="15">
        <v>200</v>
      </c>
      <c r="UZ11" s="15">
        <v>200</v>
      </c>
      <c r="VA11" s="15">
        <v>200</v>
      </c>
      <c r="VB11" s="15">
        <v>200</v>
      </c>
      <c r="VC11" s="15">
        <v>200</v>
      </c>
      <c r="VD11" s="15">
        <v>200</v>
      </c>
      <c r="VE11" s="15">
        <v>200</v>
      </c>
      <c r="VF11" s="15">
        <v>200</v>
      </c>
      <c r="VG11" s="15">
        <v>200</v>
      </c>
      <c r="VH11" s="15">
        <v>200</v>
      </c>
      <c r="VI11" s="15">
        <v>200</v>
      </c>
      <c r="VJ11" s="15">
        <v>200</v>
      </c>
      <c r="VK11" s="15">
        <v>200</v>
      </c>
      <c r="VL11" s="15">
        <v>200</v>
      </c>
      <c r="VM11" s="15">
        <v>200</v>
      </c>
      <c r="VN11" s="15">
        <v>200</v>
      </c>
      <c r="VO11" s="15">
        <v>200</v>
      </c>
      <c r="VP11" s="15">
        <v>200</v>
      </c>
      <c r="VQ11" s="15">
        <v>200</v>
      </c>
      <c r="VR11" s="15">
        <v>200</v>
      </c>
      <c r="VS11" s="15">
        <v>200</v>
      </c>
      <c r="VT11" s="15">
        <v>200</v>
      </c>
      <c r="VU11" s="15">
        <v>200</v>
      </c>
      <c r="VV11" s="15">
        <v>200</v>
      </c>
      <c r="VW11" s="15">
        <v>200</v>
      </c>
      <c r="VX11" s="15">
        <v>200</v>
      </c>
      <c r="VY11" s="15">
        <v>200</v>
      </c>
      <c r="VZ11" s="15">
        <v>200</v>
      </c>
      <c r="WA11" s="15">
        <v>200</v>
      </c>
      <c r="WB11" s="15">
        <v>200</v>
      </c>
      <c r="WC11" s="15">
        <v>200</v>
      </c>
      <c r="WD11" s="15">
        <v>200</v>
      </c>
      <c r="WE11" s="15">
        <v>200</v>
      </c>
      <c r="WF11" s="15">
        <v>200</v>
      </c>
      <c r="WG11" s="15">
        <v>200</v>
      </c>
      <c r="WH11" s="15">
        <v>200</v>
      </c>
      <c r="WI11" s="15">
        <v>200</v>
      </c>
      <c r="WJ11" s="15">
        <v>200</v>
      </c>
      <c r="WK11" s="15">
        <v>200</v>
      </c>
      <c r="WL11" s="15">
        <v>200</v>
      </c>
      <c r="WM11" s="15">
        <v>200</v>
      </c>
      <c r="WN11" s="15">
        <v>200</v>
      </c>
      <c r="WO11" s="15">
        <v>200</v>
      </c>
      <c r="WP11" s="15">
        <v>200</v>
      </c>
      <c r="WQ11" s="15">
        <v>200</v>
      </c>
      <c r="WR11" s="15">
        <v>200</v>
      </c>
      <c r="WS11" s="15">
        <v>200</v>
      </c>
      <c r="WT11" s="15">
        <v>200</v>
      </c>
      <c r="WU11" s="15">
        <v>200</v>
      </c>
      <c r="WV11" s="15">
        <v>200</v>
      </c>
      <c r="WW11" s="15">
        <v>200</v>
      </c>
      <c r="WX11" s="15">
        <v>200</v>
      </c>
      <c r="WY11" s="15">
        <v>200</v>
      </c>
      <c r="WZ11" s="15">
        <v>200</v>
      </c>
      <c r="XA11" s="15">
        <v>200</v>
      </c>
      <c r="XB11" s="15">
        <v>200</v>
      </c>
      <c r="XC11" s="15">
        <v>200</v>
      </c>
      <c r="XD11" s="15">
        <v>200</v>
      </c>
      <c r="XE11" s="15">
        <v>200</v>
      </c>
      <c r="XF11" s="15">
        <v>200</v>
      </c>
      <c r="XG11" s="15">
        <v>200</v>
      </c>
      <c r="XH11" s="15">
        <v>200</v>
      </c>
      <c r="XI11" s="15">
        <v>200</v>
      </c>
      <c r="XJ11" s="15">
        <v>200</v>
      </c>
      <c r="XK11" s="15">
        <v>200</v>
      </c>
      <c r="XL11" s="15">
        <v>200</v>
      </c>
      <c r="XM11" s="15">
        <v>200</v>
      </c>
      <c r="XN11" s="15">
        <v>200</v>
      </c>
      <c r="XO11" s="15">
        <v>200</v>
      </c>
      <c r="XP11" s="15">
        <v>200</v>
      </c>
      <c r="XQ11" s="15">
        <v>200</v>
      </c>
      <c r="XR11" s="15">
        <v>200</v>
      </c>
      <c r="XS11" s="15">
        <v>200</v>
      </c>
      <c r="XT11" s="15">
        <v>200</v>
      </c>
      <c r="XU11" s="15">
        <v>200</v>
      </c>
      <c r="XV11" s="15">
        <v>200</v>
      </c>
      <c r="XW11" s="15">
        <v>200</v>
      </c>
      <c r="XX11" s="15">
        <v>200</v>
      </c>
      <c r="XY11" s="15">
        <v>200</v>
      </c>
      <c r="XZ11" s="15">
        <v>200</v>
      </c>
      <c r="YA11" s="15">
        <v>200</v>
      </c>
      <c r="YB11" s="15">
        <v>200</v>
      </c>
      <c r="YC11" s="15">
        <v>200</v>
      </c>
      <c r="YD11" s="15">
        <v>200</v>
      </c>
      <c r="YE11" s="15">
        <v>200</v>
      </c>
      <c r="YF11" s="15">
        <v>200</v>
      </c>
      <c r="YG11" s="15">
        <v>200</v>
      </c>
      <c r="YH11" s="15">
        <v>200</v>
      </c>
      <c r="YI11" s="15">
        <v>200</v>
      </c>
      <c r="YJ11" s="15">
        <v>200</v>
      </c>
      <c r="YK11" s="15">
        <v>200</v>
      </c>
      <c r="YL11" s="15">
        <v>200</v>
      </c>
      <c r="YM11" s="15">
        <v>200</v>
      </c>
      <c r="YN11" s="15">
        <v>200</v>
      </c>
      <c r="YO11" s="15">
        <v>200</v>
      </c>
      <c r="YP11" s="15">
        <v>200</v>
      </c>
      <c r="YQ11" s="15">
        <v>200</v>
      </c>
      <c r="YR11" s="15">
        <v>200</v>
      </c>
      <c r="YS11" s="15">
        <v>200</v>
      </c>
      <c r="YT11" s="15">
        <v>200</v>
      </c>
      <c r="YU11" s="15">
        <v>200</v>
      </c>
      <c r="YV11" s="15">
        <v>200</v>
      </c>
      <c r="YW11" s="15">
        <v>200</v>
      </c>
      <c r="YX11" s="15">
        <v>200</v>
      </c>
      <c r="YY11" s="15">
        <v>200</v>
      </c>
      <c r="YZ11" s="15">
        <v>200</v>
      </c>
      <c r="ZA11" s="15">
        <v>200</v>
      </c>
      <c r="ZB11" s="15">
        <v>200</v>
      </c>
      <c r="ZC11" s="15">
        <v>200</v>
      </c>
      <c r="ZD11" s="15">
        <v>200</v>
      </c>
      <c r="ZE11" s="15">
        <v>200</v>
      </c>
      <c r="ZF11" s="15">
        <v>200</v>
      </c>
      <c r="ZG11" s="15">
        <v>200</v>
      </c>
      <c r="ZH11" s="15">
        <v>200</v>
      </c>
      <c r="ZI11" s="15">
        <v>200</v>
      </c>
      <c r="ZJ11" s="15">
        <v>200</v>
      </c>
      <c r="ZK11" s="15">
        <v>200</v>
      </c>
      <c r="ZL11" s="15">
        <v>200</v>
      </c>
      <c r="ZM11" s="15">
        <v>200</v>
      </c>
      <c r="ZN11" s="15">
        <v>200</v>
      </c>
      <c r="ZO11" s="15">
        <v>200</v>
      </c>
      <c r="ZP11" s="15">
        <v>200</v>
      </c>
      <c r="ZQ11" s="15">
        <v>200</v>
      </c>
      <c r="ZR11" s="15">
        <v>200</v>
      </c>
      <c r="ZS11" s="15">
        <v>200</v>
      </c>
      <c r="ZT11" s="15">
        <v>200</v>
      </c>
      <c r="ZU11" s="15">
        <v>200</v>
      </c>
      <c r="ZV11" s="15">
        <v>200</v>
      </c>
      <c r="ZW11" s="15">
        <v>200</v>
      </c>
      <c r="ZX11" s="15">
        <v>200</v>
      </c>
      <c r="ZY11" s="15">
        <v>200</v>
      </c>
      <c r="ZZ11" s="21">
        <v>200</v>
      </c>
      <c r="AAA11" s="21">
        <v>200</v>
      </c>
      <c r="AAB11" s="21">
        <v>200</v>
      </c>
      <c r="AAC11" s="21">
        <v>200</v>
      </c>
      <c r="AAD11" s="21">
        <v>200</v>
      </c>
      <c r="AAE11" s="15">
        <v>200</v>
      </c>
      <c r="AAF11" s="15">
        <v>200</v>
      </c>
      <c r="AAG11" s="15">
        <v>200</v>
      </c>
      <c r="AAH11" s="15">
        <v>200</v>
      </c>
      <c r="AAI11" s="15">
        <v>200</v>
      </c>
      <c r="AAJ11" s="15">
        <v>200</v>
      </c>
      <c r="AAK11" s="15">
        <v>200</v>
      </c>
      <c r="AAL11" s="15"/>
      <c r="AAM11" s="15">
        <v>200</v>
      </c>
      <c r="AAN11" s="15">
        <v>200</v>
      </c>
      <c r="AAO11" s="15">
        <v>200</v>
      </c>
      <c r="AAP11" s="15">
        <v>200</v>
      </c>
      <c r="AAQ11" s="15">
        <v>200</v>
      </c>
      <c r="AAR11" s="15">
        <v>200</v>
      </c>
      <c r="AAS11" s="15">
        <v>200</v>
      </c>
      <c r="AAT11" s="15">
        <v>200</v>
      </c>
      <c r="AAU11" s="15">
        <v>200</v>
      </c>
      <c r="AAV11" s="15">
        <v>200</v>
      </c>
      <c r="AAW11" s="15">
        <v>200</v>
      </c>
      <c r="AAX11" s="15"/>
      <c r="AAY11" s="15">
        <v>200</v>
      </c>
      <c r="AAZ11" s="15">
        <v>200</v>
      </c>
      <c r="ABA11" s="15">
        <v>200</v>
      </c>
      <c r="ABB11" s="15">
        <v>200</v>
      </c>
      <c r="ABC11" s="15">
        <v>200</v>
      </c>
      <c r="ABD11" s="15">
        <v>200</v>
      </c>
      <c r="ABE11" s="15">
        <v>200</v>
      </c>
      <c r="ABF11" s="15">
        <v>200</v>
      </c>
      <c r="ABG11" s="15">
        <v>200</v>
      </c>
      <c r="ABH11" s="15">
        <v>200</v>
      </c>
      <c r="ABI11" s="15">
        <v>200</v>
      </c>
      <c r="ABJ11" s="15">
        <v>200</v>
      </c>
      <c r="ABK11" s="15">
        <v>200</v>
      </c>
      <c r="ABL11" s="15">
        <v>200</v>
      </c>
      <c r="ABM11" s="15">
        <v>200</v>
      </c>
      <c r="ABN11" s="15">
        <v>200</v>
      </c>
      <c r="ABO11" s="15">
        <v>200</v>
      </c>
      <c r="ABP11" s="15">
        <v>200</v>
      </c>
      <c r="ABQ11" s="15">
        <v>200</v>
      </c>
      <c r="ABR11" s="15">
        <v>200</v>
      </c>
      <c r="ABS11" s="15">
        <v>200</v>
      </c>
      <c r="ABT11" s="15">
        <v>200</v>
      </c>
      <c r="ABU11" s="15">
        <v>200</v>
      </c>
      <c r="ABV11" s="15">
        <v>200</v>
      </c>
      <c r="ABW11" s="15">
        <v>200</v>
      </c>
      <c r="ABX11" s="15">
        <v>200</v>
      </c>
      <c r="ABY11" s="15">
        <v>200</v>
      </c>
      <c r="ABZ11" s="15">
        <v>200</v>
      </c>
      <c r="ACA11" s="15">
        <v>200</v>
      </c>
      <c r="ACB11" s="15">
        <v>200</v>
      </c>
      <c r="ACC11" s="15">
        <v>200</v>
      </c>
      <c r="ACD11" s="15">
        <v>200</v>
      </c>
      <c r="ACE11" s="15">
        <v>200</v>
      </c>
      <c r="ACF11" s="15">
        <v>200</v>
      </c>
      <c r="ACG11" s="15">
        <v>200</v>
      </c>
      <c r="ACH11" s="15">
        <v>200</v>
      </c>
      <c r="ACI11" s="15">
        <v>200</v>
      </c>
      <c r="ACJ11" s="15">
        <v>200</v>
      </c>
      <c r="ACK11" s="15">
        <v>200</v>
      </c>
      <c r="ACL11" s="15">
        <v>200</v>
      </c>
      <c r="ACM11" s="15">
        <v>200</v>
      </c>
      <c r="ACN11" s="15">
        <v>200</v>
      </c>
      <c r="ACO11" s="15">
        <v>200</v>
      </c>
      <c r="ACP11" s="15">
        <v>200</v>
      </c>
      <c r="ACQ11" s="15">
        <v>200</v>
      </c>
      <c r="ACR11" s="15">
        <v>200</v>
      </c>
      <c r="ACS11" s="15">
        <v>200</v>
      </c>
      <c r="ACT11" s="15">
        <v>200</v>
      </c>
      <c r="ACU11" s="15">
        <v>200</v>
      </c>
      <c r="ACV11" s="15">
        <v>200</v>
      </c>
      <c r="ACW11" s="15">
        <v>200</v>
      </c>
      <c r="ACX11" s="15">
        <v>200</v>
      </c>
      <c r="ACY11" s="15">
        <v>200</v>
      </c>
      <c r="ACZ11" s="15">
        <v>200</v>
      </c>
      <c r="ADA11" s="15">
        <v>200</v>
      </c>
      <c r="ADB11" s="15">
        <v>200</v>
      </c>
      <c r="ADC11" s="15">
        <v>200</v>
      </c>
      <c r="ADD11" s="15">
        <v>200</v>
      </c>
      <c r="ADE11" s="15">
        <v>200</v>
      </c>
      <c r="ADF11" s="15">
        <v>200</v>
      </c>
      <c r="ADG11" s="15">
        <v>200</v>
      </c>
      <c r="ADH11" s="15"/>
      <c r="ADI11" s="15">
        <v>200</v>
      </c>
      <c r="ADJ11" s="15">
        <v>200</v>
      </c>
      <c r="ADK11" s="15">
        <v>200</v>
      </c>
      <c r="ADL11" s="15">
        <v>200</v>
      </c>
      <c r="ADM11" s="15">
        <v>200</v>
      </c>
      <c r="ADN11" s="15">
        <v>200</v>
      </c>
      <c r="ADO11" s="15">
        <v>200</v>
      </c>
      <c r="ADP11" s="15">
        <v>200</v>
      </c>
      <c r="ADQ11" s="15">
        <v>200</v>
      </c>
      <c r="ADR11" s="15">
        <v>200</v>
      </c>
      <c r="ADS11" s="15">
        <v>200</v>
      </c>
      <c r="ADT11" s="15">
        <v>200</v>
      </c>
      <c r="ADU11" s="15">
        <v>200</v>
      </c>
      <c r="ADV11" s="15">
        <v>200</v>
      </c>
      <c r="ADW11" s="15">
        <v>200</v>
      </c>
      <c r="ADX11" s="15">
        <v>200</v>
      </c>
      <c r="ADY11" s="15">
        <v>200</v>
      </c>
      <c r="ADZ11" s="15">
        <v>200</v>
      </c>
      <c r="AEA11" s="15">
        <v>200</v>
      </c>
      <c r="AEB11" s="15">
        <v>200</v>
      </c>
      <c r="AEC11" s="15">
        <v>200</v>
      </c>
      <c r="AED11" s="15">
        <v>200</v>
      </c>
      <c r="AEE11" s="15">
        <v>200</v>
      </c>
      <c r="AEF11" s="15">
        <v>200</v>
      </c>
      <c r="AEG11" s="15">
        <v>200</v>
      </c>
      <c r="AEH11" s="15">
        <v>200</v>
      </c>
      <c r="AEI11" s="15">
        <v>200</v>
      </c>
      <c r="AEJ11" s="15">
        <v>200</v>
      </c>
      <c r="AEK11" s="15">
        <v>200</v>
      </c>
      <c r="AEL11" s="15">
        <v>200</v>
      </c>
      <c r="AEM11" s="15">
        <v>200</v>
      </c>
      <c r="AEN11" s="15">
        <v>200</v>
      </c>
      <c r="AEO11" s="15">
        <v>200</v>
      </c>
      <c r="AEP11" s="15">
        <v>200</v>
      </c>
      <c r="AEQ11" s="15">
        <v>200</v>
      </c>
      <c r="AER11" s="15">
        <v>200</v>
      </c>
      <c r="AES11" s="15">
        <v>200</v>
      </c>
      <c r="AET11" s="15">
        <v>200</v>
      </c>
      <c r="AEU11" s="15">
        <v>200</v>
      </c>
      <c r="AEV11" s="15">
        <v>200</v>
      </c>
      <c r="AEW11" s="15">
        <v>200</v>
      </c>
      <c r="AEX11" s="15">
        <v>200</v>
      </c>
      <c r="AEY11" s="15">
        <v>200</v>
      </c>
      <c r="AEZ11" s="15">
        <v>200</v>
      </c>
      <c r="AFA11" s="15">
        <v>200</v>
      </c>
      <c r="AFB11" s="15">
        <v>200</v>
      </c>
      <c r="AFC11" s="15">
        <v>200</v>
      </c>
      <c r="AFD11" s="15">
        <v>200</v>
      </c>
      <c r="AFE11" s="15">
        <v>200</v>
      </c>
      <c r="AFF11" s="15">
        <v>200</v>
      </c>
      <c r="AFG11" s="15">
        <v>200</v>
      </c>
      <c r="AFH11" s="15">
        <v>200</v>
      </c>
      <c r="AFI11" s="15">
        <v>200</v>
      </c>
      <c r="AFJ11" s="15">
        <v>200</v>
      </c>
      <c r="AFK11" s="15">
        <v>200</v>
      </c>
      <c r="AFL11" s="15">
        <v>200</v>
      </c>
      <c r="AFM11" s="15">
        <v>200</v>
      </c>
      <c r="AFN11" s="15">
        <v>200</v>
      </c>
      <c r="AFO11" s="15">
        <v>200</v>
      </c>
      <c r="AFP11" s="15">
        <v>200</v>
      </c>
      <c r="AFQ11" s="15">
        <v>200</v>
      </c>
      <c r="AFR11" s="15"/>
      <c r="AFS11" s="15">
        <v>200</v>
      </c>
      <c r="AFT11" s="15">
        <v>200</v>
      </c>
      <c r="AFU11" s="15">
        <v>200</v>
      </c>
      <c r="AFV11" s="15">
        <v>200</v>
      </c>
      <c r="AFW11" s="15">
        <v>200</v>
      </c>
      <c r="AFX11" s="15">
        <v>200</v>
      </c>
      <c r="AFY11" s="15">
        <v>200</v>
      </c>
      <c r="AFZ11" s="15">
        <v>200</v>
      </c>
      <c r="AGA11" s="15">
        <v>200</v>
      </c>
      <c r="AGB11" s="15">
        <v>200</v>
      </c>
      <c r="AGC11" s="15">
        <v>200</v>
      </c>
      <c r="AGD11" s="15">
        <v>200</v>
      </c>
      <c r="AGE11" s="15">
        <v>200</v>
      </c>
      <c r="AGF11" s="15">
        <v>200</v>
      </c>
      <c r="AGG11" s="15">
        <v>200</v>
      </c>
      <c r="AGH11" s="15">
        <v>200</v>
      </c>
      <c r="AGI11" s="15">
        <v>200</v>
      </c>
      <c r="AGJ11" s="15">
        <v>200</v>
      </c>
      <c r="AGK11" s="15">
        <v>200</v>
      </c>
      <c r="AGL11" s="15">
        <v>200</v>
      </c>
      <c r="AGM11" s="15">
        <v>200</v>
      </c>
      <c r="AGN11" s="15">
        <v>200</v>
      </c>
      <c r="AGO11" s="15">
        <v>200</v>
      </c>
      <c r="AGP11" s="15">
        <v>200</v>
      </c>
      <c r="AGQ11" s="15">
        <v>200</v>
      </c>
      <c r="AGR11" s="15">
        <v>200</v>
      </c>
      <c r="AGS11" s="15">
        <v>200</v>
      </c>
      <c r="AGT11" s="15">
        <v>200</v>
      </c>
      <c r="AGU11" s="15">
        <v>200</v>
      </c>
      <c r="AGV11" s="15">
        <v>200</v>
      </c>
      <c r="AGW11" s="15">
        <v>200</v>
      </c>
      <c r="AGX11" s="15">
        <v>200</v>
      </c>
      <c r="AGY11" s="15">
        <v>200</v>
      </c>
      <c r="AGZ11" s="15">
        <v>200</v>
      </c>
      <c r="AHA11" s="15">
        <v>200</v>
      </c>
      <c r="AHB11" s="15">
        <v>200</v>
      </c>
      <c r="AHC11" s="15">
        <v>200</v>
      </c>
      <c r="AHD11" s="15">
        <v>200</v>
      </c>
      <c r="AHE11" s="15">
        <v>200</v>
      </c>
      <c r="AHF11" s="15">
        <v>200</v>
      </c>
      <c r="AHG11" s="15">
        <v>200</v>
      </c>
      <c r="AHH11" s="15">
        <v>200</v>
      </c>
      <c r="AHI11" s="15">
        <v>200</v>
      </c>
      <c r="AHJ11" s="15">
        <v>200</v>
      </c>
      <c r="AHK11" s="15">
        <v>200</v>
      </c>
      <c r="AHL11" s="15">
        <v>200</v>
      </c>
      <c r="AHM11" s="15">
        <v>200</v>
      </c>
      <c r="AHN11" s="15">
        <v>200</v>
      </c>
      <c r="AHO11" s="15">
        <v>200</v>
      </c>
      <c r="AHP11" s="15">
        <v>200</v>
      </c>
      <c r="AHQ11" s="15">
        <v>200</v>
      </c>
      <c r="AHR11" s="15">
        <v>200</v>
      </c>
      <c r="AHS11" s="15">
        <v>200</v>
      </c>
      <c r="AHT11" s="15">
        <v>200</v>
      </c>
      <c r="AHU11" s="15">
        <v>200</v>
      </c>
      <c r="AHV11" s="15">
        <v>200</v>
      </c>
      <c r="AHW11" s="15">
        <v>200</v>
      </c>
      <c r="AHX11" s="15">
        <v>200</v>
      </c>
      <c r="AHY11" s="15">
        <v>200</v>
      </c>
      <c r="AHZ11" s="15">
        <v>200</v>
      </c>
      <c r="AIA11" s="15">
        <v>200</v>
      </c>
      <c r="AIB11" s="15">
        <v>200</v>
      </c>
      <c r="AIC11" s="15">
        <v>200</v>
      </c>
      <c r="AID11" s="15">
        <v>200</v>
      </c>
      <c r="AIE11" s="15">
        <v>200</v>
      </c>
      <c r="AIF11" s="15">
        <v>200</v>
      </c>
      <c r="AIG11" s="15">
        <v>200</v>
      </c>
      <c r="AIH11" s="15">
        <v>200</v>
      </c>
      <c r="AII11" s="15">
        <v>200</v>
      </c>
      <c r="AIJ11" s="15">
        <v>200</v>
      </c>
      <c r="AIK11" s="15">
        <v>200</v>
      </c>
      <c r="AIL11" s="15">
        <v>200</v>
      </c>
      <c r="AIM11" s="15">
        <v>200</v>
      </c>
      <c r="AIN11" s="15">
        <v>200</v>
      </c>
      <c r="AIO11" s="15">
        <v>200</v>
      </c>
      <c r="AIP11" s="15">
        <v>200</v>
      </c>
      <c r="AIQ11" s="15">
        <v>200</v>
      </c>
      <c r="AIR11" s="15">
        <v>200</v>
      </c>
      <c r="AIS11" s="15">
        <v>200</v>
      </c>
      <c r="AIT11" s="15">
        <v>200</v>
      </c>
      <c r="AIU11" s="15">
        <v>200</v>
      </c>
      <c r="AIV11" s="15">
        <v>200</v>
      </c>
      <c r="AIW11" s="15">
        <v>200</v>
      </c>
      <c r="AIX11" s="15">
        <v>200</v>
      </c>
      <c r="AIY11" s="15">
        <v>200</v>
      </c>
      <c r="AIZ11" s="15">
        <v>200</v>
      </c>
      <c r="AJA11" s="15">
        <v>200</v>
      </c>
      <c r="AJB11" s="15">
        <v>200</v>
      </c>
      <c r="AJC11" s="15">
        <v>200</v>
      </c>
      <c r="AJD11" s="15">
        <v>200</v>
      </c>
      <c r="AJE11" s="15">
        <v>200</v>
      </c>
      <c r="AJF11" s="15"/>
      <c r="AJG11" s="15">
        <v>200</v>
      </c>
      <c r="AJH11" s="15">
        <v>200</v>
      </c>
      <c r="AJI11" s="15">
        <v>200</v>
      </c>
      <c r="AJJ11" s="15">
        <v>200</v>
      </c>
      <c r="AJK11" s="15">
        <v>200</v>
      </c>
      <c r="AJL11" s="15">
        <v>200</v>
      </c>
      <c r="AJM11" s="15">
        <v>200</v>
      </c>
      <c r="AJN11" s="15"/>
      <c r="AJO11" s="15">
        <v>200</v>
      </c>
      <c r="AJP11" s="15">
        <v>200</v>
      </c>
      <c r="AJQ11" s="15">
        <v>200</v>
      </c>
      <c r="AJR11" s="15">
        <v>200</v>
      </c>
      <c r="AJS11" s="15">
        <v>200</v>
      </c>
      <c r="AJT11" s="15">
        <v>200</v>
      </c>
      <c r="AJU11" s="15">
        <v>200</v>
      </c>
      <c r="AJV11" s="15">
        <v>200</v>
      </c>
      <c r="AJW11" s="15">
        <v>200</v>
      </c>
      <c r="AJX11" s="15"/>
      <c r="AJY11" s="15">
        <v>200</v>
      </c>
      <c r="AJZ11" s="15">
        <v>200</v>
      </c>
      <c r="AKA11" s="15">
        <v>200</v>
      </c>
      <c r="AKB11" s="15">
        <v>200</v>
      </c>
      <c r="AKC11" s="15">
        <v>200</v>
      </c>
      <c r="AKD11" s="15">
        <v>200</v>
      </c>
      <c r="AKE11" s="15">
        <v>200</v>
      </c>
      <c r="AKF11" s="15">
        <v>200</v>
      </c>
      <c r="AKG11" s="15">
        <v>200</v>
      </c>
      <c r="AKH11" s="15">
        <v>200</v>
      </c>
      <c r="AKI11" s="15"/>
      <c r="AKJ11" s="15">
        <v>200</v>
      </c>
      <c r="AKK11" s="15">
        <v>200</v>
      </c>
      <c r="AKL11" s="15">
        <v>200</v>
      </c>
      <c r="AKM11" s="15">
        <v>200</v>
      </c>
      <c r="AKN11" s="15">
        <v>200</v>
      </c>
      <c r="AKO11" s="15">
        <v>200</v>
      </c>
      <c r="AKP11" s="15">
        <v>200</v>
      </c>
      <c r="AKQ11" s="15">
        <v>200</v>
      </c>
      <c r="AKR11" s="15">
        <v>200</v>
      </c>
      <c r="AKS11" s="15">
        <v>200</v>
      </c>
      <c r="AKT11" s="15">
        <v>200</v>
      </c>
      <c r="AKU11" s="15">
        <v>200</v>
      </c>
      <c r="AKV11" s="15">
        <v>200</v>
      </c>
      <c r="AKW11" s="15">
        <v>200</v>
      </c>
      <c r="AKX11" s="15"/>
      <c r="AKY11" s="15">
        <v>200</v>
      </c>
      <c r="AKZ11" s="15">
        <v>200</v>
      </c>
      <c r="ALA11" s="15">
        <v>200</v>
      </c>
      <c r="ALB11" s="15">
        <v>200</v>
      </c>
      <c r="ALC11" s="15">
        <v>200</v>
      </c>
      <c r="ALD11" s="15">
        <v>200</v>
      </c>
      <c r="ALE11" s="15">
        <v>200</v>
      </c>
      <c r="ALF11" s="15">
        <v>200</v>
      </c>
      <c r="ALG11" s="15">
        <v>200</v>
      </c>
      <c r="ALH11" s="15">
        <v>200</v>
      </c>
      <c r="ALI11" s="15">
        <v>200</v>
      </c>
      <c r="ALJ11" s="15">
        <v>200</v>
      </c>
      <c r="ALK11" s="15">
        <v>200</v>
      </c>
      <c r="ALL11" s="15">
        <v>200</v>
      </c>
      <c r="ALM11" s="15"/>
      <c r="ALN11" s="15">
        <v>200</v>
      </c>
      <c r="ALO11" s="15">
        <v>200</v>
      </c>
      <c r="ALP11" s="15">
        <v>200</v>
      </c>
      <c r="ALQ11" s="15">
        <v>200</v>
      </c>
      <c r="ALR11" s="15">
        <v>200</v>
      </c>
      <c r="ALS11" s="15">
        <v>200</v>
      </c>
      <c r="ALT11" s="15">
        <v>200</v>
      </c>
      <c r="ALU11" s="15">
        <v>200</v>
      </c>
      <c r="ALV11" s="15">
        <v>200</v>
      </c>
      <c r="ALW11" s="15">
        <v>200</v>
      </c>
      <c r="ALX11" s="15">
        <v>200</v>
      </c>
      <c r="ALY11" s="15">
        <v>200</v>
      </c>
      <c r="ALZ11" s="15">
        <v>200</v>
      </c>
      <c r="AMA11" s="15">
        <v>200</v>
      </c>
      <c r="AMB11" s="15">
        <v>200</v>
      </c>
      <c r="AMC11" s="15"/>
      <c r="AMD11" s="15">
        <v>200</v>
      </c>
      <c r="AME11" s="15">
        <v>200</v>
      </c>
      <c r="AMF11" s="15">
        <v>200</v>
      </c>
      <c r="AMG11" s="15">
        <v>200</v>
      </c>
      <c r="AMH11" s="15">
        <v>200</v>
      </c>
      <c r="AMI11" s="15">
        <v>200</v>
      </c>
      <c r="AMJ11" s="15">
        <v>200</v>
      </c>
      <c r="AMK11" s="15">
        <v>200</v>
      </c>
      <c r="AML11" s="15">
        <v>200</v>
      </c>
      <c r="AMM11" s="15">
        <v>200</v>
      </c>
      <c r="AMN11" s="15">
        <v>200</v>
      </c>
      <c r="AMO11" s="15">
        <v>200</v>
      </c>
      <c r="AMP11" s="15">
        <v>200</v>
      </c>
      <c r="AMQ11" s="15">
        <v>200</v>
      </c>
      <c r="AMR11" s="15">
        <v>200</v>
      </c>
      <c r="AMS11" s="15">
        <v>200</v>
      </c>
      <c r="AMT11" s="15">
        <v>200</v>
      </c>
      <c r="AMU11" s="15">
        <v>200</v>
      </c>
      <c r="AMV11" s="15">
        <v>200</v>
      </c>
      <c r="AMW11" s="15">
        <v>200</v>
      </c>
      <c r="AMX11" s="15">
        <v>200</v>
      </c>
      <c r="AMY11" s="15">
        <v>200</v>
      </c>
      <c r="AMZ11" s="15">
        <v>200</v>
      </c>
      <c r="ANA11" s="15">
        <v>200</v>
      </c>
      <c r="ANB11" s="15">
        <v>200</v>
      </c>
      <c r="ANC11" s="15">
        <v>200</v>
      </c>
      <c r="AND11" s="15">
        <v>200</v>
      </c>
      <c r="ANE11" s="15"/>
      <c r="ANF11" s="15"/>
      <c r="ANG11" s="15"/>
      <c r="ANH11" s="15"/>
      <c r="ANI11" s="15"/>
      <c r="ANJ11" s="15"/>
      <c r="ANK11" s="15"/>
      <c r="ANL11" s="15"/>
      <c r="ANM11" s="15"/>
      <c r="ANN11" s="15"/>
      <c r="ANO11" s="15"/>
      <c r="ANP11" s="15"/>
      <c r="ANQ11" s="15"/>
      <c r="ANR11" s="15"/>
      <c r="ANS11" s="15"/>
      <c r="ANT11" s="15"/>
      <c r="ANU11" s="15"/>
      <c r="ANV11" s="15"/>
      <c r="ANW11" s="15"/>
      <c r="ANX11" s="15"/>
      <c r="ANY11" s="15"/>
      <c r="ANZ11" s="15"/>
      <c r="AOA11" s="15"/>
      <c r="AOB11" s="15"/>
      <c r="AOC11" s="15"/>
      <c r="AOD11" s="15"/>
      <c r="AOE11" s="15"/>
      <c r="AOF11" s="15"/>
      <c r="AOG11" s="15"/>
      <c r="AOH11" s="15"/>
      <c r="AOI11" s="15"/>
      <c r="AOJ11" s="15"/>
      <c r="AOK11" s="15"/>
      <c r="AOL11" s="15"/>
      <c r="AOM11" s="15"/>
      <c r="AON11" s="15"/>
      <c r="AOO11" s="15"/>
      <c r="AOP11" s="15"/>
      <c r="AOQ11" s="15"/>
      <c r="AOR11" s="15"/>
      <c r="AOS11" s="15"/>
      <c r="AOT11" s="15"/>
      <c r="AOU11" s="15"/>
      <c r="AOV11" s="15"/>
      <c r="AOW11" s="15"/>
      <c r="AOX11" s="15"/>
      <c r="AOY11" s="15"/>
      <c r="AOZ11" s="15"/>
      <c r="APA11" s="15"/>
      <c r="APB11" s="15"/>
      <c r="APC11" s="15"/>
      <c r="APD11" s="15"/>
      <c r="APE11" s="15"/>
      <c r="APF11" s="15"/>
      <c r="APG11" s="15"/>
      <c r="APH11" s="15"/>
      <c r="API11" s="15"/>
      <c r="APJ11" s="15"/>
      <c r="APK11" s="15"/>
      <c r="APL11" s="15"/>
      <c r="APM11" s="15"/>
      <c r="APN11" s="15"/>
      <c r="APO11" s="15"/>
      <c r="APP11" s="15"/>
      <c r="APQ11" s="15"/>
      <c r="APR11" s="15"/>
      <c r="APS11" s="15"/>
      <c r="APT11" s="15"/>
      <c r="APU11" s="15"/>
      <c r="APV11" s="15"/>
      <c r="APW11" s="15"/>
      <c r="APX11" s="15"/>
      <c r="APY11" s="15"/>
      <c r="APZ11" s="15"/>
      <c r="AQA11" s="15"/>
      <c r="AQB11" s="15"/>
    </row>
    <row r="12" spans="1:1120" s="17" customFormat="1" ht="15" customHeight="1" x14ac:dyDescent="0.25">
      <c r="A12" s="5" t="s">
        <v>1</v>
      </c>
      <c r="B12" s="6" t="s">
        <v>23</v>
      </c>
      <c r="C12" s="15">
        <v>501</v>
      </c>
      <c r="D12" s="15">
        <v>501</v>
      </c>
      <c r="E12" s="15">
        <v>501</v>
      </c>
      <c r="F12" s="15">
        <v>501</v>
      </c>
      <c r="G12" s="15">
        <v>501</v>
      </c>
      <c r="H12" s="15">
        <v>501</v>
      </c>
      <c r="I12" s="15">
        <v>501</v>
      </c>
      <c r="J12" s="15"/>
      <c r="K12" s="15">
        <v>501</v>
      </c>
      <c r="L12" s="15">
        <v>501</v>
      </c>
      <c r="M12" s="15">
        <v>501</v>
      </c>
      <c r="N12" s="15">
        <v>501</v>
      </c>
      <c r="O12" s="15">
        <v>501</v>
      </c>
      <c r="P12" s="15">
        <v>501</v>
      </c>
      <c r="Q12" s="15"/>
      <c r="R12" s="15">
        <v>501</v>
      </c>
      <c r="S12" s="15">
        <v>501</v>
      </c>
      <c r="T12" s="15">
        <v>501</v>
      </c>
      <c r="U12" s="15">
        <v>501</v>
      </c>
      <c r="V12" s="15">
        <v>501</v>
      </c>
      <c r="W12" s="15">
        <v>501</v>
      </c>
      <c r="X12" s="15"/>
      <c r="Y12" s="15">
        <v>501</v>
      </c>
      <c r="Z12" s="15">
        <v>501</v>
      </c>
      <c r="AA12" s="15">
        <v>501</v>
      </c>
      <c r="AB12" s="15">
        <v>501</v>
      </c>
      <c r="AC12" s="15">
        <v>501</v>
      </c>
      <c r="AD12" s="15">
        <v>501</v>
      </c>
      <c r="AE12" s="15"/>
      <c r="AF12" s="15">
        <v>501</v>
      </c>
      <c r="AG12" s="15">
        <v>501</v>
      </c>
      <c r="AH12" s="15">
        <v>501</v>
      </c>
      <c r="AI12" s="15">
        <v>501</v>
      </c>
      <c r="AJ12" s="15">
        <v>501</v>
      </c>
      <c r="AK12" s="15">
        <v>501</v>
      </c>
      <c r="AL12" s="15"/>
      <c r="AM12" s="21">
        <v>501</v>
      </c>
      <c r="AN12" s="21">
        <v>501</v>
      </c>
      <c r="AO12" s="21">
        <v>501</v>
      </c>
      <c r="AP12" s="21">
        <v>501</v>
      </c>
      <c r="AQ12" s="21">
        <v>501</v>
      </c>
      <c r="AR12" s="21">
        <v>501</v>
      </c>
      <c r="AS12" s="15">
        <v>501</v>
      </c>
      <c r="AT12" s="15">
        <v>501</v>
      </c>
      <c r="AU12" s="15">
        <v>501</v>
      </c>
      <c r="AV12" s="15">
        <v>501</v>
      </c>
      <c r="AW12" s="15">
        <v>501</v>
      </c>
      <c r="AX12" s="15">
        <v>501</v>
      </c>
      <c r="AY12" s="15">
        <v>501</v>
      </c>
      <c r="AZ12" s="15">
        <v>501</v>
      </c>
      <c r="BA12" s="15">
        <v>501</v>
      </c>
      <c r="BB12" s="15">
        <v>501</v>
      </c>
      <c r="BC12" s="15">
        <v>501</v>
      </c>
      <c r="BD12" s="15">
        <v>501</v>
      </c>
      <c r="BE12" s="15">
        <v>501</v>
      </c>
      <c r="BF12" s="15">
        <v>501</v>
      </c>
      <c r="BG12" s="15">
        <v>501</v>
      </c>
      <c r="BH12" s="15">
        <v>501</v>
      </c>
      <c r="BI12" s="15">
        <v>501</v>
      </c>
      <c r="BJ12" s="15">
        <v>501</v>
      </c>
      <c r="BK12" s="15">
        <v>501</v>
      </c>
      <c r="BL12" s="15">
        <v>501</v>
      </c>
      <c r="BM12" s="15">
        <v>501</v>
      </c>
      <c r="BN12" s="15">
        <v>501</v>
      </c>
      <c r="BO12" s="15">
        <v>501</v>
      </c>
      <c r="BP12" s="15">
        <v>501</v>
      </c>
      <c r="BQ12" s="15">
        <v>501</v>
      </c>
      <c r="BR12" s="15">
        <v>501</v>
      </c>
      <c r="BS12" s="15">
        <v>501</v>
      </c>
      <c r="BT12" s="15">
        <v>501</v>
      </c>
      <c r="BU12" s="15">
        <v>501</v>
      </c>
      <c r="BV12" s="15">
        <v>501</v>
      </c>
      <c r="BW12" s="15">
        <v>501</v>
      </c>
      <c r="BX12" s="15">
        <v>501</v>
      </c>
      <c r="BY12" s="15">
        <v>501</v>
      </c>
      <c r="BZ12" s="15">
        <v>501</v>
      </c>
      <c r="CA12" s="15">
        <v>501</v>
      </c>
      <c r="CB12" s="15">
        <v>501</v>
      </c>
      <c r="CC12" s="15">
        <v>501</v>
      </c>
      <c r="CD12" s="15">
        <v>501</v>
      </c>
      <c r="CE12" s="15">
        <v>501</v>
      </c>
      <c r="CF12" s="15">
        <v>501</v>
      </c>
      <c r="CG12" s="15">
        <v>501</v>
      </c>
      <c r="CH12" s="15">
        <v>501</v>
      </c>
      <c r="CI12" s="15">
        <v>501</v>
      </c>
      <c r="CJ12" s="15">
        <v>501</v>
      </c>
      <c r="CK12" s="15">
        <v>501</v>
      </c>
      <c r="CL12" s="15">
        <v>501</v>
      </c>
      <c r="CM12" s="15">
        <v>501</v>
      </c>
      <c r="CN12" s="15">
        <v>501</v>
      </c>
      <c r="CO12" s="15">
        <v>501</v>
      </c>
      <c r="CP12" s="15">
        <v>501</v>
      </c>
      <c r="CQ12" s="15">
        <v>501</v>
      </c>
      <c r="CR12" s="15">
        <v>501</v>
      </c>
      <c r="CS12" s="15">
        <v>501</v>
      </c>
      <c r="CT12" s="15">
        <v>501</v>
      </c>
      <c r="CU12" s="15">
        <v>501</v>
      </c>
      <c r="CV12" s="15">
        <v>501</v>
      </c>
      <c r="CW12" s="15">
        <v>501</v>
      </c>
      <c r="CX12" s="15">
        <v>501</v>
      </c>
      <c r="CY12" s="15">
        <v>501</v>
      </c>
      <c r="CZ12" s="15">
        <v>501</v>
      </c>
      <c r="DA12" s="15">
        <v>501</v>
      </c>
      <c r="DB12" s="15">
        <v>501</v>
      </c>
      <c r="DC12" s="15">
        <v>501</v>
      </c>
      <c r="DD12" s="15">
        <v>501</v>
      </c>
      <c r="DE12" s="15">
        <v>501</v>
      </c>
      <c r="DF12" s="15">
        <v>501</v>
      </c>
      <c r="DG12" s="15">
        <v>501</v>
      </c>
      <c r="DH12" s="15">
        <v>501</v>
      </c>
      <c r="DI12" s="15">
        <v>501</v>
      </c>
      <c r="DJ12" s="15">
        <v>501</v>
      </c>
      <c r="DK12" s="15">
        <v>501</v>
      </c>
      <c r="DL12" s="15">
        <v>501</v>
      </c>
      <c r="DM12" s="15">
        <v>501</v>
      </c>
      <c r="DN12" s="15">
        <v>501</v>
      </c>
      <c r="DO12" s="15">
        <v>501</v>
      </c>
      <c r="DP12" s="15">
        <v>501</v>
      </c>
      <c r="DQ12" s="15">
        <v>501</v>
      </c>
      <c r="DR12" s="15">
        <v>501</v>
      </c>
      <c r="DS12" s="15">
        <v>501</v>
      </c>
      <c r="DT12" s="15">
        <v>501</v>
      </c>
      <c r="DU12" s="15">
        <v>501</v>
      </c>
      <c r="DV12" s="15">
        <v>501</v>
      </c>
      <c r="DW12" s="15">
        <v>501</v>
      </c>
      <c r="DX12" s="15">
        <v>501</v>
      </c>
      <c r="DY12" s="15">
        <v>501</v>
      </c>
      <c r="DZ12" s="15">
        <v>501</v>
      </c>
      <c r="EA12" s="15">
        <v>501</v>
      </c>
      <c r="EB12" s="15">
        <v>501</v>
      </c>
      <c r="EC12" s="15">
        <v>501</v>
      </c>
      <c r="ED12" s="15">
        <v>501</v>
      </c>
      <c r="EE12" s="15">
        <v>501</v>
      </c>
      <c r="EF12" s="15">
        <v>501</v>
      </c>
      <c r="EG12" s="15">
        <v>501</v>
      </c>
      <c r="EH12" s="15">
        <v>501</v>
      </c>
      <c r="EI12" s="15">
        <v>501</v>
      </c>
      <c r="EJ12" s="15">
        <v>501</v>
      </c>
      <c r="EK12" s="15">
        <v>501</v>
      </c>
      <c r="EL12" s="15">
        <v>501</v>
      </c>
      <c r="EM12" s="15">
        <v>501</v>
      </c>
      <c r="EN12" s="15">
        <v>501</v>
      </c>
      <c r="EO12" s="15">
        <v>501</v>
      </c>
      <c r="EP12" s="15">
        <v>501</v>
      </c>
      <c r="EQ12" s="15">
        <v>501</v>
      </c>
      <c r="ER12" s="15">
        <v>501</v>
      </c>
      <c r="ES12" s="15">
        <v>501</v>
      </c>
      <c r="ET12" s="15">
        <v>501</v>
      </c>
      <c r="EU12" s="15">
        <v>501</v>
      </c>
      <c r="EV12" s="15">
        <v>501</v>
      </c>
      <c r="EW12" s="15">
        <v>501</v>
      </c>
      <c r="EX12" s="15">
        <v>501</v>
      </c>
      <c r="EY12" s="15">
        <v>501</v>
      </c>
      <c r="EZ12" s="15">
        <v>501</v>
      </c>
      <c r="FA12" s="15">
        <v>501</v>
      </c>
      <c r="FB12" s="15">
        <v>501</v>
      </c>
      <c r="FC12" s="15">
        <v>501</v>
      </c>
      <c r="FD12" s="15"/>
      <c r="FE12" s="21">
        <v>501</v>
      </c>
      <c r="FF12" s="21">
        <v>501</v>
      </c>
      <c r="FG12" s="21">
        <v>501</v>
      </c>
      <c r="FH12" s="15">
        <v>501</v>
      </c>
      <c r="FI12" s="15">
        <v>501</v>
      </c>
      <c r="FJ12" s="15">
        <v>501</v>
      </c>
      <c r="FK12" s="15">
        <v>501</v>
      </c>
      <c r="FL12" s="15">
        <v>501</v>
      </c>
      <c r="FM12" s="15">
        <v>501</v>
      </c>
      <c r="FN12" s="15">
        <v>501</v>
      </c>
      <c r="FO12" s="15">
        <v>501</v>
      </c>
      <c r="FP12" s="15">
        <v>501</v>
      </c>
      <c r="FQ12" s="15">
        <v>501</v>
      </c>
      <c r="FR12" s="15">
        <v>501</v>
      </c>
      <c r="FS12" s="15">
        <v>501</v>
      </c>
      <c r="FT12" s="15">
        <v>501</v>
      </c>
      <c r="FU12" s="15">
        <v>501</v>
      </c>
      <c r="FV12" s="15">
        <v>501</v>
      </c>
      <c r="FW12" s="15">
        <v>501</v>
      </c>
      <c r="FX12" s="15">
        <v>501</v>
      </c>
      <c r="FY12" s="15">
        <v>501</v>
      </c>
      <c r="FZ12" s="15">
        <v>501</v>
      </c>
      <c r="GA12" s="15">
        <v>501</v>
      </c>
      <c r="GB12" s="15">
        <v>501</v>
      </c>
      <c r="GC12" s="15">
        <v>501</v>
      </c>
      <c r="GD12" s="15">
        <v>501</v>
      </c>
      <c r="GE12" s="15">
        <v>501</v>
      </c>
      <c r="GF12" s="15">
        <v>501</v>
      </c>
      <c r="GG12" s="15">
        <v>501</v>
      </c>
      <c r="GH12" s="15">
        <v>501</v>
      </c>
      <c r="GI12" s="15">
        <v>501</v>
      </c>
      <c r="GJ12" s="15">
        <v>501</v>
      </c>
      <c r="GK12" s="15">
        <v>501</v>
      </c>
      <c r="GL12" s="15">
        <v>501</v>
      </c>
      <c r="GM12" s="15">
        <v>501</v>
      </c>
      <c r="GN12" s="15">
        <v>501</v>
      </c>
      <c r="GO12" s="15">
        <v>501</v>
      </c>
      <c r="GP12" s="15">
        <v>501</v>
      </c>
      <c r="GQ12" s="15">
        <v>501</v>
      </c>
      <c r="GR12" s="15">
        <v>501</v>
      </c>
      <c r="GS12" s="15">
        <v>501</v>
      </c>
      <c r="GT12" s="15">
        <v>501</v>
      </c>
      <c r="GU12" s="15">
        <v>501</v>
      </c>
      <c r="GV12" s="15">
        <v>501</v>
      </c>
      <c r="GW12" s="15">
        <v>501</v>
      </c>
      <c r="GX12" s="15">
        <v>501</v>
      </c>
      <c r="GY12" s="15">
        <v>501</v>
      </c>
      <c r="GZ12" s="15">
        <v>501</v>
      </c>
      <c r="HA12" s="15">
        <v>501</v>
      </c>
      <c r="HB12" s="15">
        <v>501</v>
      </c>
      <c r="HC12" s="15">
        <v>501</v>
      </c>
      <c r="HD12" s="15">
        <v>501</v>
      </c>
      <c r="HE12" s="15">
        <v>501</v>
      </c>
      <c r="HF12" s="15">
        <v>501</v>
      </c>
      <c r="HG12" s="15">
        <v>501</v>
      </c>
      <c r="HH12" s="15">
        <v>501</v>
      </c>
      <c r="HI12" s="15">
        <v>501</v>
      </c>
      <c r="HJ12" s="15">
        <v>501</v>
      </c>
      <c r="HK12" s="15">
        <v>501</v>
      </c>
      <c r="HL12" s="15">
        <v>501</v>
      </c>
      <c r="HM12" s="15">
        <v>501</v>
      </c>
      <c r="HN12" s="15">
        <v>501</v>
      </c>
      <c r="HO12" s="15">
        <v>501</v>
      </c>
      <c r="HP12" s="15">
        <v>501</v>
      </c>
      <c r="HQ12" s="15">
        <v>501</v>
      </c>
      <c r="HR12" s="15">
        <v>501</v>
      </c>
      <c r="HS12" s="15">
        <v>501</v>
      </c>
      <c r="HT12" s="15">
        <v>501</v>
      </c>
      <c r="HU12" s="15">
        <v>501</v>
      </c>
      <c r="HV12" s="15">
        <v>501</v>
      </c>
      <c r="HW12" s="15">
        <v>501</v>
      </c>
      <c r="HX12" s="15">
        <v>501</v>
      </c>
      <c r="HY12" s="15">
        <v>501</v>
      </c>
      <c r="HZ12" s="15">
        <v>501</v>
      </c>
      <c r="IA12" s="15">
        <v>501</v>
      </c>
      <c r="IB12" s="15"/>
      <c r="IC12" s="21">
        <v>501</v>
      </c>
      <c r="ID12" s="21">
        <v>501</v>
      </c>
      <c r="IE12" s="21">
        <v>501</v>
      </c>
      <c r="IF12" s="15">
        <v>501</v>
      </c>
      <c r="IG12" s="15">
        <v>501</v>
      </c>
      <c r="IH12" s="15">
        <v>501</v>
      </c>
      <c r="II12" s="15">
        <v>501</v>
      </c>
      <c r="IJ12" s="15">
        <v>501</v>
      </c>
      <c r="IK12" s="15"/>
      <c r="IL12" s="21">
        <v>501</v>
      </c>
      <c r="IM12" s="21">
        <v>501</v>
      </c>
      <c r="IN12" s="21">
        <v>501</v>
      </c>
      <c r="IO12" s="15">
        <v>501</v>
      </c>
      <c r="IP12" s="15">
        <v>501</v>
      </c>
      <c r="IQ12" s="15">
        <v>501</v>
      </c>
      <c r="IR12" s="15">
        <v>501</v>
      </c>
      <c r="IS12" s="15">
        <v>501</v>
      </c>
      <c r="IT12" s="15">
        <v>501</v>
      </c>
      <c r="IU12" s="15">
        <v>501</v>
      </c>
      <c r="IV12" s="15">
        <v>501</v>
      </c>
      <c r="IW12" s="15">
        <v>501</v>
      </c>
      <c r="IX12" s="15">
        <v>501</v>
      </c>
      <c r="IY12" s="15">
        <v>501</v>
      </c>
      <c r="IZ12" s="15">
        <v>501</v>
      </c>
      <c r="JA12" s="15">
        <v>501</v>
      </c>
      <c r="JB12" s="15">
        <v>501</v>
      </c>
      <c r="JC12" s="15">
        <v>501</v>
      </c>
      <c r="JD12" s="15">
        <v>501</v>
      </c>
      <c r="JE12" s="15">
        <v>501</v>
      </c>
      <c r="JF12" s="15">
        <v>501</v>
      </c>
      <c r="JG12" s="15">
        <v>501</v>
      </c>
      <c r="JH12" s="15">
        <v>501</v>
      </c>
      <c r="JI12" s="15">
        <v>501</v>
      </c>
      <c r="JJ12" s="15">
        <v>501</v>
      </c>
      <c r="JK12" s="15">
        <v>501</v>
      </c>
      <c r="JL12" s="15">
        <v>501</v>
      </c>
      <c r="JM12" s="15">
        <v>501</v>
      </c>
      <c r="JN12" s="15">
        <v>501</v>
      </c>
      <c r="JO12" s="15">
        <v>501</v>
      </c>
      <c r="JP12" s="15">
        <v>501</v>
      </c>
      <c r="JQ12" s="15">
        <v>501</v>
      </c>
      <c r="JR12" s="15">
        <v>501</v>
      </c>
      <c r="JS12" s="15">
        <v>501</v>
      </c>
      <c r="JT12" s="15">
        <v>501</v>
      </c>
      <c r="JU12" s="15">
        <v>501</v>
      </c>
      <c r="JV12" s="15">
        <v>501</v>
      </c>
      <c r="JW12" s="15">
        <v>501</v>
      </c>
      <c r="JX12" s="15">
        <v>501</v>
      </c>
      <c r="JY12" s="15">
        <v>501</v>
      </c>
      <c r="JZ12" s="15">
        <v>501</v>
      </c>
      <c r="KA12" s="15">
        <v>501</v>
      </c>
      <c r="KB12" s="15">
        <v>501</v>
      </c>
      <c r="KC12" s="15">
        <v>501</v>
      </c>
      <c r="KD12" s="15">
        <v>501</v>
      </c>
      <c r="KE12" s="15">
        <v>501</v>
      </c>
      <c r="KF12" s="15">
        <v>501</v>
      </c>
      <c r="KG12" s="15">
        <v>501</v>
      </c>
      <c r="KH12" s="15">
        <v>501</v>
      </c>
      <c r="KI12" s="15">
        <v>501</v>
      </c>
      <c r="KJ12" s="15">
        <v>501</v>
      </c>
      <c r="KK12" s="15">
        <v>501</v>
      </c>
      <c r="KL12" s="15">
        <v>501</v>
      </c>
      <c r="KM12" s="15">
        <v>501</v>
      </c>
      <c r="KN12" s="15">
        <v>501</v>
      </c>
      <c r="KO12" s="15">
        <v>501</v>
      </c>
      <c r="KP12" s="15">
        <v>501</v>
      </c>
      <c r="KQ12" s="15">
        <v>501</v>
      </c>
      <c r="KR12" s="15">
        <v>501</v>
      </c>
      <c r="KS12" s="15">
        <v>501</v>
      </c>
      <c r="KT12" s="15">
        <v>501</v>
      </c>
      <c r="KU12" s="15">
        <v>501</v>
      </c>
      <c r="KV12" s="15">
        <v>501</v>
      </c>
      <c r="KW12" s="15">
        <v>501</v>
      </c>
      <c r="KX12" s="15">
        <v>501</v>
      </c>
      <c r="KY12" s="15">
        <v>501</v>
      </c>
      <c r="KZ12" s="15">
        <v>501</v>
      </c>
      <c r="LA12" s="15">
        <v>501</v>
      </c>
      <c r="LB12" s="15">
        <v>501</v>
      </c>
      <c r="LC12" s="15">
        <v>501</v>
      </c>
      <c r="LD12" s="15">
        <v>501</v>
      </c>
      <c r="LE12" s="15">
        <v>501</v>
      </c>
      <c r="LF12" s="15">
        <v>501</v>
      </c>
      <c r="LG12" s="15">
        <v>501</v>
      </c>
      <c r="LH12" s="15">
        <v>501</v>
      </c>
      <c r="LI12" s="15">
        <v>501</v>
      </c>
      <c r="LJ12" s="15">
        <v>501</v>
      </c>
      <c r="LK12" s="15">
        <v>501</v>
      </c>
      <c r="LL12" s="15">
        <v>501</v>
      </c>
      <c r="LM12" s="15">
        <v>501</v>
      </c>
      <c r="LN12" s="15">
        <v>501</v>
      </c>
      <c r="LO12" s="15">
        <v>501</v>
      </c>
      <c r="LP12" s="15">
        <v>501</v>
      </c>
      <c r="LQ12" s="15">
        <v>501</v>
      </c>
      <c r="LR12" s="15">
        <v>501</v>
      </c>
      <c r="LS12" s="15">
        <v>501</v>
      </c>
      <c r="LT12" s="15">
        <v>501</v>
      </c>
      <c r="LU12" s="15">
        <v>501</v>
      </c>
      <c r="LV12" s="15">
        <v>501</v>
      </c>
      <c r="LW12" s="15">
        <v>501</v>
      </c>
      <c r="LX12" s="15">
        <v>501</v>
      </c>
      <c r="LY12" s="15">
        <v>501</v>
      </c>
      <c r="LZ12" s="15">
        <v>501</v>
      </c>
      <c r="MA12" s="15">
        <v>501</v>
      </c>
      <c r="MB12" s="15">
        <v>501</v>
      </c>
      <c r="MC12" s="15">
        <v>501</v>
      </c>
      <c r="MD12" s="15">
        <v>501</v>
      </c>
      <c r="ME12" s="15">
        <v>501</v>
      </c>
      <c r="MF12" s="15">
        <v>501</v>
      </c>
      <c r="MG12" s="15">
        <v>501</v>
      </c>
      <c r="MH12" s="15">
        <v>501</v>
      </c>
      <c r="MI12" s="15">
        <v>501</v>
      </c>
      <c r="MJ12" s="15">
        <v>501</v>
      </c>
      <c r="MK12" s="15">
        <v>501</v>
      </c>
      <c r="ML12" s="15">
        <v>501</v>
      </c>
      <c r="MM12" s="15">
        <v>501</v>
      </c>
      <c r="MN12" s="15">
        <v>501</v>
      </c>
      <c r="MO12" s="15">
        <v>501</v>
      </c>
      <c r="MP12" s="15">
        <v>501</v>
      </c>
      <c r="MQ12" s="15">
        <v>501</v>
      </c>
      <c r="MR12" s="15">
        <v>501</v>
      </c>
      <c r="MS12" s="15">
        <v>501</v>
      </c>
      <c r="MT12" s="15">
        <v>501</v>
      </c>
      <c r="MU12" s="15">
        <v>501</v>
      </c>
      <c r="MV12" s="15">
        <v>501</v>
      </c>
      <c r="MW12" s="15">
        <v>501</v>
      </c>
      <c r="MX12" s="15">
        <v>501</v>
      </c>
      <c r="MY12" s="15">
        <v>501</v>
      </c>
      <c r="MZ12" s="15">
        <v>501</v>
      </c>
      <c r="NA12" s="15">
        <v>501</v>
      </c>
      <c r="NB12" s="15">
        <v>501</v>
      </c>
      <c r="NC12" s="15">
        <v>501</v>
      </c>
      <c r="ND12" s="15">
        <v>501</v>
      </c>
      <c r="NE12" s="15">
        <v>501</v>
      </c>
      <c r="NF12" s="15">
        <v>501</v>
      </c>
      <c r="NG12" s="15">
        <v>501</v>
      </c>
      <c r="NH12" s="15">
        <v>501</v>
      </c>
      <c r="NI12" s="15">
        <v>501</v>
      </c>
      <c r="NJ12" s="15">
        <v>501</v>
      </c>
      <c r="NK12" s="15">
        <v>501</v>
      </c>
      <c r="NL12" s="15">
        <v>501</v>
      </c>
      <c r="NM12" s="15">
        <v>501</v>
      </c>
      <c r="NN12" s="15">
        <v>501</v>
      </c>
      <c r="NO12" s="15">
        <v>501</v>
      </c>
      <c r="NP12" s="15">
        <v>501</v>
      </c>
      <c r="NQ12" s="15">
        <v>501</v>
      </c>
      <c r="NR12" s="15">
        <v>501</v>
      </c>
      <c r="NS12" s="15">
        <v>501</v>
      </c>
      <c r="NT12" s="15">
        <v>501</v>
      </c>
      <c r="NU12" s="15">
        <v>501</v>
      </c>
      <c r="NV12" s="15">
        <v>501</v>
      </c>
      <c r="NW12" s="15">
        <v>501</v>
      </c>
      <c r="NX12" s="15">
        <v>501</v>
      </c>
      <c r="NY12" s="15">
        <v>501</v>
      </c>
      <c r="NZ12" s="15">
        <v>501</v>
      </c>
      <c r="OA12" s="15">
        <v>501</v>
      </c>
      <c r="OB12" s="15">
        <v>501</v>
      </c>
      <c r="OC12" s="15">
        <v>501</v>
      </c>
      <c r="OD12" s="15">
        <v>501</v>
      </c>
      <c r="OE12" s="15">
        <v>501</v>
      </c>
      <c r="OF12" s="15">
        <v>501</v>
      </c>
      <c r="OG12" s="15">
        <v>501</v>
      </c>
      <c r="OH12" s="15">
        <v>501</v>
      </c>
      <c r="OI12" s="15">
        <v>501</v>
      </c>
      <c r="OJ12" s="15">
        <v>501</v>
      </c>
      <c r="OK12" s="15">
        <v>501</v>
      </c>
      <c r="OL12" s="15">
        <v>501</v>
      </c>
      <c r="OM12" s="15">
        <v>501</v>
      </c>
      <c r="ON12" s="15">
        <v>501</v>
      </c>
      <c r="OO12" s="15">
        <v>501</v>
      </c>
      <c r="OP12" s="15">
        <v>501</v>
      </c>
      <c r="OQ12" s="15">
        <v>501</v>
      </c>
      <c r="OR12" s="15">
        <v>501</v>
      </c>
      <c r="OS12" s="15">
        <v>501</v>
      </c>
      <c r="OT12" s="15">
        <v>501</v>
      </c>
      <c r="OU12" s="15">
        <v>501</v>
      </c>
      <c r="OV12" s="15">
        <v>501</v>
      </c>
      <c r="OW12" s="15">
        <v>501</v>
      </c>
      <c r="OX12" s="15">
        <v>501</v>
      </c>
      <c r="OY12" s="15">
        <v>501</v>
      </c>
      <c r="OZ12" s="15">
        <v>501</v>
      </c>
      <c r="PA12" s="15">
        <v>501</v>
      </c>
      <c r="PB12" s="15">
        <v>501</v>
      </c>
      <c r="PC12" s="15">
        <v>501</v>
      </c>
      <c r="PD12" s="15">
        <v>501</v>
      </c>
      <c r="PE12" s="15">
        <v>501</v>
      </c>
      <c r="PF12" s="15">
        <v>501</v>
      </c>
      <c r="PG12" s="15">
        <v>501</v>
      </c>
      <c r="PH12" s="15">
        <v>501</v>
      </c>
      <c r="PI12" s="15">
        <v>501</v>
      </c>
      <c r="PJ12" s="15">
        <v>501</v>
      </c>
      <c r="PK12" s="15">
        <v>501</v>
      </c>
      <c r="PL12" s="15">
        <v>501</v>
      </c>
      <c r="PM12" s="15">
        <v>501</v>
      </c>
      <c r="PN12" s="15">
        <v>501</v>
      </c>
      <c r="PO12" s="15">
        <v>501</v>
      </c>
      <c r="PP12" s="15">
        <v>501</v>
      </c>
      <c r="PQ12" s="15">
        <v>501</v>
      </c>
      <c r="PR12" s="15">
        <v>501</v>
      </c>
      <c r="PS12" s="15">
        <v>501</v>
      </c>
      <c r="PT12" s="15">
        <v>501</v>
      </c>
      <c r="PU12" s="15">
        <v>501</v>
      </c>
      <c r="PV12" s="15">
        <v>501</v>
      </c>
      <c r="PW12" s="15">
        <v>501</v>
      </c>
      <c r="PX12" s="15">
        <v>501</v>
      </c>
      <c r="PY12" s="15">
        <v>501</v>
      </c>
      <c r="PZ12" s="15">
        <v>501</v>
      </c>
      <c r="QA12" s="15">
        <v>501</v>
      </c>
      <c r="QB12" s="15">
        <v>501</v>
      </c>
      <c r="QC12" s="15">
        <v>501</v>
      </c>
      <c r="QD12" s="15">
        <v>501</v>
      </c>
      <c r="QE12" s="15">
        <v>501</v>
      </c>
      <c r="QF12" s="15">
        <v>501</v>
      </c>
      <c r="QG12" s="15">
        <v>501</v>
      </c>
      <c r="QH12" s="15">
        <v>501</v>
      </c>
      <c r="QI12" s="15">
        <v>501</v>
      </c>
      <c r="QJ12" s="15">
        <v>501</v>
      </c>
      <c r="QK12" s="15">
        <v>501</v>
      </c>
      <c r="QL12" s="15">
        <v>501</v>
      </c>
      <c r="QM12" s="15">
        <v>501</v>
      </c>
      <c r="QN12" s="15">
        <v>501</v>
      </c>
      <c r="QO12" s="15">
        <v>501</v>
      </c>
      <c r="QP12" s="15">
        <v>501</v>
      </c>
      <c r="QQ12" s="15">
        <v>501</v>
      </c>
      <c r="QR12" s="15">
        <v>501</v>
      </c>
      <c r="QS12" s="15">
        <v>501</v>
      </c>
      <c r="QT12" s="15">
        <v>501</v>
      </c>
      <c r="QU12" s="15">
        <v>501</v>
      </c>
      <c r="QV12" s="15">
        <v>501</v>
      </c>
      <c r="QW12" s="15">
        <v>501</v>
      </c>
      <c r="QX12" s="15">
        <v>501</v>
      </c>
      <c r="QY12" s="15">
        <v>501</v>
      </c>
      <c r="QZ12" s="15">
        <v>501</v>
      </c>
      <c r="RA12" s="15">
        <v>501</v>
      </c>
      <c r="RB12" s="15">
        <v>501</v>
      </c>
      <c r="RC12" s="15">
        <v>501</v>
      </c>
      <c r="RD12" s="15">
        <v>501</v>
      </c>
      <c r="RE12" s="15">
        <v>501</v>
      </c>
      <c r="RF12" s="15">
        <v>501</v>
      </c>
      <c r="RG12" s="15">
        <v>501</v>
      </c>
      <c r="RH12" s="15">
        <v>501</v>
      </c>
      <c r="RI12" s="15">
        <v>501</v>
      </c>
      <c r="RJ12" s="15">
        <v>501</v>
      </c>
      <c r="RK12" s="15">
        <v>501</v>
      </c>
      <c r="RL12" s="15">
        <v>501</v>
      </c>
      <c r="RM12" s="15">
        <v>501</v>
      </c>
      <c r="RN12" s="15">
        <v>501</v>
      </c>
      <c r="RO12" s="15">
        <v>501</v>
      </c>
      <c r="RP12" s="15">
        <v>501</v>
      </c>
      <c r="RQ12" s="15">
        <v>501</v>
      </c>
      <c r="RR12" s="15">
        <v>501</v>
      </c>
      <c r="RS12" s="15"/>
      <c r="RT12" s="21">
        <v>501</v>
      </c>
      <c r="RU12" s="21">
        <v>501</v>
      </c>
      <c r="RV12" s="21">
        <v>501</v>
      </c>
      <c r="RW12" s="15">
        <v>501</v>
      </c>
      <c r="RX12" s="15">
        <v>501</v>
      </c>
      <c r="RY12" s="15">
        <v>501</v>
      </c>
      <c r="RZ12" s="15">
        <v>501</v>
      </c>
      <c r="SA12" s="15">
        <v>501</v>
      </c>
      <c r="SB12" s="15">
        <v>501</v>
      </c>
      <c r="SC12" s="15">
        <v>501</v>
      </c>
      <c r="SD12" s="15">
        <v>501</v>
      </c>
      <c r="SE12" s="15">
        <v>501</v>
      </c>
      <c r="SF12" s="15">
        <v>501</v>
      </c>
      <c r="SG12" s="15">
        <v>501</v>
      </c>
      <c r="SH12" s="15">
        <v>501</v>
      </c>
      <c r="SI12" s="15">
        <v>501</v>
      </c>
      <c r="SJ12" s="15">
        <v>501</v>
      </c>
      <c r="SK12" s="15">
        <v>501</v>
      </c>
      <c r="SL12" s="15">
        <v>501</v>
      </c>
      <c r="SM12" s="15">
        <v>501</v>
      </c>
      <c r="SN12" s="15">
        <v>501</v>
      </c>
      <c r="SO12" s="15">
        <v>501</v>
      </c>
      <c r="SP12" s="15">
        <v>501</v>
      </c>
      <c r="SQ12" s="15">
        <v>501</v>
      </c>
      <c r="SR12" s="15">
        <v>501</v>
      </c>
      <c r="SS12" s="15">
        <v>501</v>
      </c>
      <c r="ST12" s="15">
        <v>501</v>
      </c>
      <c r="SU12" s="15">
        <v>501</v>
      </c>
      <c r="SV12" s="15">
        <v>501</v>
      </c>
      <c r="SW12" s="15">
        <v>501</v>
      </c>
      <c r="SX12" s="15">
        <v>501</v>
      </c>
      <c r="SY12" s="15">
        <v>501</v>
      </c>
      <c r="SZ12" s="15">
        <v>501</v>
      </c>
      <c r="TA12" s="15">
        <v>501</v>
      </c>
      <c r="TB12" s="15">
        <v>501</v>
      </c>
      <c r="TC12" s="15">
        <v>501</v>
      </c>
      <c r="TD12" s="15">
        <v>501</v>
      </c>
      <c r="TE12" s="15">
        <v>501</v>
      </c>
      <c r="TF12" s="15">
        <v>501</v>
      </c>
      <c r="TG12" s="15">
        <v>501</v>
      </c>
      <c r="TH12" s="15">
        <v>501</v>
      </c>
      <c r="TI12" s="15">
        <v>501</v>
      </c>
      <c r="TJ12" s="15">
        <v>501</v>
      </c>
      <c r="TK12" s="15">
        <v>501</v>
      </c>
      <c r="TL12" s="15">
        <v>501</v>
      </c>
      <c r="TM12" s="15">
        <v>501</v>
      </c>
      <c r="TN12" s="15">
        <v>501</v>
      </c>
      <c r="TO12" s="15">
        <v>501</v>
      </c>
      <c r="TP12" s="15">
        <v>501</v>
      </c>
      <c r="TQ12" s="15">
        <v>501</v>
      </c>
      <c r="TR12" s="15">
        <v>501</v>
      </c>
      <c r="TS12" s="15">
        <v>501</v>
      </c>
      <c r="TT12" s="15">
        <v>501</v>
      </c>
      <c r="TU12" s="15">
        <v>501</v>
      </c>
      <c r="TV12" s="15">
        <v>501</v>
      </c>
      <c r="TW12" s="15">
        <v>501</v>
      </c>
      <c r="TX12" s="15">
        <v>501</v>
      </c>
      <c r="TY12" s="15">
        <v>501</v>
      </c>
      <c r="TZ12" s="15">
        <v>501</v>
      </c>
      <c r="UA12" s="15">
        <v>501</v>
      </c>
      <c r="UB12" s="15">
        <v>501</v>
      </c>
      <c r="UC12" s="15">
        <v>501</v>
      </c>
      <c r="UD12" s="15">
        <v>501</v>
      </c>
      <c r="UE12" s="15">
        <v>501</v>
      </c>
      <c r="UF12" s="15">
        <v>501</v>
      </c>
      <c r="UG12" s="15">
        <v>501</v>
      </c>
      <c r="UH12" s="15">
        <v>501</v>
      </c>
      <c r="UI12" s="15">
        <v>501</v>
      </c>
      <c r="UJ12" s="15">
        <v>501</v>
      </c>
      <c r="UK12" s="15">
        <v>501</v>
      </c>
      <c r="UL12" s="15">
        <v>501</v>
      </c>
      <c r="UM12" s="15">
        <v>501</v>
      </c>
      <c r="UN12" s="15">
        <v>501</v>
      </c>
      <c r="UO12" s="15">
        <v>501</v>
      </c>
      <c r="UP12" s="15">
        <v>501</v>
      </c>
      <c r="UQ12" s="15">
        <v>501</v>
      </c>
      <c r="UR12" s="15">
        <v>501</v>
      </c>
      <c r="US12" s="15">
        <v>501</v>
      </c>
      <c r="UT12" s="15">
        <v>501</v>
      </c>
      <c r="UU12" s="15">
        <v>501</v>
      </c>
      <c r="UV12" s="15">
        <v>501</v>
      </c>
      <c r="UW12" s="15">
        <v>501</v>
      </c>
      <c r="UX12" s="15">
        <v>501</v>
      </c>
      <c r="UY12" s="15">
        <v>501</v>
      </c>
      <c r="UZ12" s="15">
        <v>501</v>
      </c>
      <c r="VA12" s="15">
        <v>501</v>
      </c>
      <c r="VB12" s="15">
        <v>501</v>
      </c>
      <c r="VC12" s="15">
        <v>501</v>
      </c>
      <c r="VD12" s="15">
        <v>501</v>
      </c>
      <c r="VE12" s="15">
        <v>501</v>
      </c>
      <c r="VF12" s="15">
        <v>501</v>
      </c>
      <c r="VG12" s="15">
        <v>501</v>
      </c>
      <c r="VH12" s="15">
        <v>501</v>
      </c>
      <c r="VI12" s="15">
        <v>501</v>
      </c>
      <c r="VJ12" s="15">
        <v>501</v>
      </c>
      <c r="VK12" s="15">
        <v>501</v>
      </c>
      <c r="VL12" s="15">
        <v>501</v>
      </c>
      <c r="VM12" s="15">
        <v>501</v>
      </c>
      <c r="VN12" s="15">
        <v>501</v>
      </c>
      <c r="VO12" s="15">
        <v>501</v>
      </c>
      <c r="VP12" s="15">
        <v>501</v>
      </c>
      <c r="VQ12" s="15">
        <v>501</v>
      </c>
      <c r="VR12" s="15">
        <v>501</v>
      </c>
      <c r="VS12" s="15">
        <v>501</v>
      </c>
      <c r="VT12" s="15">
        <v>501</v>
      </c>
      <c r="VU12" s="15">
        <v>501</v>
      </c>
      <c r="VV12" s="15">
        <v>501</v>
      </c>
      <c r="VW12" s="15">
        <v>501</v>
      </c>
      <c r="VX12" s="15">
        <v>501</v>
      </c>
      <c r="VY12" s="15">
        <v>501</v>
      </c>
      <c r="VZ12" s="15">
        <v>501</v>
      </c>
      <c r="WA12" s="15">
        <v>501</v>
      </c>
      <c r="WB12" s="15">
        <v>501</v>
      </c>
      <c r="WC12" s="15">
        <v>501</v>
      </c>
      <c r="WD12" s="15">
        <v>501</v>
      </c>
      <c r="WE12" s="15">
        <v>501</v>
      </c>
      <c r="WF12" s="15">
        <v>501</v>
      </c>
      <c r="WG12" s="15">
        <v>501</v>
      </c>
      <c r="WH12" s="15">
        <v>501</v>
      </c>
      <c r="WI12" s="15">
        <v>501</v>
      </c>
      <c r="WJ12" s="15">
        <v>501</v>
      </c>
      <c r="WK12" s="15">
        <v>501</v>
      </c>
      <c r="WL12" s="15">
        <v>501</v>
      </c>
      <c r="WM12" s="15">
        <v>501</v>
      </c>
      <c r="WN12" s="15">
        <v>501</v>
      </c>
      <c r="WO12" s="15">
        <v>501</v>
      </c>
      <c r="WP12" s="15">
        <v>501</v>
      </c>
      <c r="WQ12" s="15">
        <v>501</v>
      </c>
      <c r="WR12" s="15">
        <v>501</v>
      </c>
      <c r="WS12" s="15">
        <v>501</v>
      </c>
      <c r="WT12" s="15">
        <v>501</v>
      </c>
      <c r="WU12" s="15">
        <v>501</v>
      </c>
      <c r="WV12" s="15">
        <v>501</v>
      </c>
      <c r="WW12" s="15">
        <v>501</v>
      </c>
      <c r="WX12" s="15">
        <v>501</v>
      </c>
      <c r="WY12" s="15">
        <v>501</v>
      </c>
      <c r="WZ12" s="15">
        <v>501</v>
      </c>
      <c r="XA12" s="15">
        <v>501</v>
      </c>
      <c r="XB12" s="15">
        <v>501</v>
      </c>
      <c r="XC12" s="15">
        <v>501</v>
      </c>
      <c r="XD12" s="15">
        <v>501</v>
      </c>
      <c r="XE12" s="15">
        <v>501</v>
      </c>
      <c r="XF12" s="15">
        <v>501</v>
      </c>
      <c r="XG12" s="15">
        <v>501</v>
      </c>
      <c r="XH12" s="15">
        <v>501</v>
      </c>
      <c r="XI12" s="15">
        <v>501</v>
      </c>
      <c r="XJ12" s="15">
        <v>501</v>
      </c>
      <c r="XK12" s="15">
        <v>501</v>
      </c>
      <c r="XL12" s="15">
        <v>501</v>
      </c>
      <c r="XM12" s="15">
        <v>501</v>
      </c>
      <c r="XN12" s="15">
        <v>501</v>
      </c>
      <c r="XO12" s="15">
        <v>501</v>
      </c>
      <c r="XP12" s="15">
        <v>501</v>
      </c>
      <c r="XQ12" s="15">
        <v>501</v>
      </c>
      <c r="XR12" s="15">
        <v>501</v>
      </c>
      <c r="XS12" s="15">
        <v>501</v>
      </c>
      <c r="XT12" s="15">
        <v>501</v>
      </c>
      <c r="XU12" s="15">
        <v>501</v>
      </c>
      <c r="XV12" s="15">
        <v>501</v>
      </c>
      <c r="XW12" s="15">
        <v>501</v>
      </c>
      <c r="XX12" s="15">
        <v>501</v>
      </c>
      <c r="XY12" s="15">
        <v>501</v>
      </c>
      <c r="XZ12" s="15">
        <v>501</v>
      </c>
      <c r="YA12" s="15">
        <v>501</v>
      </c>
      <c r="YB12" s="15">
        <v>501</v>
      </c>
      <c r="YC12" s="15">
        <v>501</v>
      </c>
      <c r="YD12" s="15">
        <v>501</v>
      </c>
      <c r="YE12" s="15">
        <v>501</v>
      </c>
      <c r="YF12" s="15">
        <v>501</v>
      </c>
      <c r="YG12" s="15">
        <v>501</v>
      </c>
      <c r="YH12" s="15">
        <v>501</v>
      </c>
      <c r="YI12" s="15">
        <v>501</v>
      </c>
      <c r="YJ12" s="15">
        <v>501</v>
      </c>
      <c r="YK12" s="15">
        <v>501</v>
      </c>
      <c r="YL12" s="15">
        <v>501</v>
      </c>
      <c r="YM12" s="15">
        <v>501</v>
      </c>
      <c r="YN12" s="15">
        <v>501</v>
      </c>
      <c r="YO12" s="15">
        <v>501</v>
      </c>
      <c r="YP12" s="15">
        <v>501</v>
      </c>
      <c r="YQ12" s="15">
        <v>501</v>
      </c>
      <c r="YR12" s="15">
        <v>501</v>
      </c>
      <c r="YS12" s="15">
        <v>501</v>
      </c>
      <c r="YT12" s="15">
        <v>501</v>
      </c>
      <c r="YU12" s="15">
        <v>501</v>
      </c>
      <c r="YV12" s="15">
        <v>501</v>
      </c>
      <c r="YW12" s="15">
        <v>501</v>
      </c>
      <c r="YX12" s="15">
        <v>501</v>
      </c>
      <c r="YY12" s="15">
        <v>501</v>
      </c>
      <c r="YZ12" s="15">
        <v>501</v>
      </c>
      <c r="ZA12" s="15">
        <v>501</v>
      </c>
      <c r="ZB12" s="15">
        <v>501</v>
      </c>
      <c r="ZC12" s="15">
        <v>501</v>
      </c>
      <c r="ZD12" s="15">
        <v>501</v>
      </c>
      <c r="ZE12" s="15">
        <v>501</v>
      </c>
      <c r="ZF12" s="15">
        <v>501</v>
      </c>
      <c r="ZG12" s="15">
        <v>501</v>
      </c>
      <c r="ZH12" s="15">
        <v>501</v>
      </c>
      <c r="ZI12" s="15">
        <v>501</v>
      </c>
      <c r="ZJ12" s="15">
        <v>501</v>
      </c>
      <c r="ZK12" s="15">
        <v>501</v>
      </c>
      <c r="ZL12" s="15">
        <v>501</v>
      </c>
      <c r="ZM12" s="15">
        <v>501</v>
      </c>
      <c r="ZN12" s="15">
        <v>501</v>
      </c>
      <c r="ZO12" s="15">
        <v>501</v>
      </c>
      <c r="ZP12" s="15">
        <v>501</v>
      </c>
      <c r="ZQ12" s="15">
        <v>501</v>
      </c>
      <c r="ZR12" s="15">
        <v>501</v>
      </c>
      <c r="ZS12" s="15">
        <v>501</v>
      </c>
      <c r="ZT12" s="15">
        <v>501</v>
      </c>
      <c r="ZU12" s="15">
        <v>501</v>
      </c>
      <c r="ZV12" s="15">
        <v>501</v>
      </c>
      <c r="ZW12" s="15">
        <v>501</v>
      </c>
      <c r="ZX12" s="15">
        <v>501</v>
      </c>
      <c r="ZY12" s="15">
        <v>501</v>
      </c>
      <c r="ZZ12" s="15">
        <v>501</v>
      </c>
      <c r="AAA12" s="15">
        <v>501</v>
      </c>
      <c r="AAB12" s="15">
        <v>501</v>
      </c>
      <c r="AAC12" s="15">
        <v>501</v>
      </c>
      <c r="AAD12" s="15">
        <v>501</v>
      </c>
      <c r="AAE12" s="15">
        <v>501</v>
      </c>
      <c r="AAF12" s="15">
        <v>501</v>
      </c>
      <c r="AAG12" s="15">
        <v>501</v>
      </c>
      <c r="AAH12" s="15">
        <v>501</v>
      </c>
      <c r="AAI12" s="15">
        <v>501</v>
      </c>
      <c r="AAJ12" s="15">
        <v>501</v>
      </c>
      <c r="AAK12" s="15">
        <v>501</v>
      </c>
      <c r="AAL12" s="15"/>
      <c r="AAM12" s="21">
        <v>501</v>
      </c>
      <c r="AAN12" s="21">
        <v>501</v>
      </c>
      <c r="AAO12" s="21">
        <v>501</v>
      </c>
      <c r="AAP12" s="15">
        <v>501</v>
      </c>
      <c r="AAQ12" s="15">
        <v>501</v>
      </c>
      <c r="AAR12" s="15">
        <v>501</v>
      </c>
      <c r="AAS12" s="15">
        <v>501</v>
      </c>
      <c r="AAT12" s="15">
        <v>501</v>
      </c>
      <c r="AAU12" s="15">
        <v>501</v>
      </c>
      <c r="AAV12" s="15">
        <v>501</v>
      </c>
      <c r="AAW12" s="15">
        <v>501</v>
      </c>
      <c r="AAX12" s="15"/>
      <c r="AAY12" s="21">
        <v>501</v>
      </c>
      <c r="AAZ12" s="21">
        <v>501</v>
      </c>
      <c r="ABA12" s="21">
        <v>501</v>
      </c>
      <c r="ABB12" s="15">
        <v>501</v>
      </c>
      <c r="ABC12" s="15">
        <v>501</v>
      </c>
      <c r="ABD12" s="15">
        <v>501</v>
      </c>
      <c r="ABE12" s="15">
        <v>501</v>
      </c>
      <c r="ABF12" s="15">
        <v>501</v>
      </c>
      <c r="ABG12" s="15">
        <v>501</v>
      </c>
      <c r="ABH12" s="15">
        <v>501</v>
      </c>
      <c r="ABI12" s="15">
        <v>501</v>
      </c>
      <c r="ABJ12" s="15">
        <v>501</v>
      </c>
      <c r="ABK12" s="15">
        <v>501</v>
      </c>
      <c r="ABL12" s="15">
        <v>501</v>
      </c>
      <c r="ABM12" s="15">
        <v>501</v>
      </c>
      <c r="ABN12" s="15">
        <v>501</v>
      </c>
      <c r="ABO12" s="15">
        <v>501</v>
      </c>
      <c r="ABP12" s="15">
        <v>501</v>
      </c>
      <c r="ABQ12" s="15">
        <v>501</v>
      </c>
      <c r="ABR12" s="15">
        <v>501</v>
      </c>
      <c r="ABS12" s="15">
        <v>501</v>
      </c>
      <c r="ABT12" s="15">
        <v>501</v>
      </c>
      <c r="ABU12" s="15">
        <v>501</v>
      </c>
      <c r="ABV12" s="15">
        <v>501</v>
      </c>
      <c r="ABW12" s="15">
        <v>501</v>
      </c>
      <c r="ABX12" s="15">
        <v>501</v>
      </c>
      <c r="ABY12" s="15">
        <v>501</v>
      </c>
      <c r="ABZ12" s="15">
        <v>501</v>
      </c>
      <c r="ACA12" s="15">
        <v>501</v>
      </c>
      <c r="ACB12" s="15">
        <v>501</v>
      </c>
      <c r="ACC12" s="15">
        <v>501</v>
      </c>
      <c r="ACD12" s="15">
        <v>501</v>
      </c>
      <c r="ACE12" s="15">
        <v>501</v>
      </c>
      <c r="ACF12" s="15">
        <v>501</v>
      </c>
      <c r="ACG12" s="15">
        <v>501</v>
      </c>
      <c r="ACH12" s="15">
        <v>501</v>
      </c>
      <c r="ACI12" s="15">
        <v>501</v>
      </c>
      <c r="ACJ12" s="15">
        <v>501</v>
      </c>
      <c r="ACK12" s="15">
        <v>501</v>
      </c>
      <c r="ACL12" s="15">
        <v>501</v>
      </c>
      <c r="ACM12" s="15">
        <v>501</v>
      </c>
      <c r="ACN12" s="15">
        <v>501</v>
      </c>
      <c r="ACO12" s="15">
        <v>501</v>
      </c>
      <c r="ACP12" s="15">
        <v>501</v>
      </c>
      <c r="ACQ12" s="15">
        <v>501</v>
      </c>
      <c r="ACR12" s="15">
        <v>501</v>
      </c>
      <c r="ACS12" s="15">
        <v>501</v>
      </c>
      <c r="ACT12" s="15">
        <v>501</v>
      </c>
      <c r="ACU12" s="15">
        <v>501</v>
      </c>
      <c r="ACV12" s="15">
        <v>501</v>
      </c>
      <c r="ACW12" s="15">
        <v>501</v>
      </c>
      <c r="ACX12" s="15">
        <v>501</v>
      </c>
      <c r="ACY12" s="15">
        <v>501</v>
      </c>
      <c r="ACZ12" s="15">
        <v>501</v>
      </c>
      <c r="ADA12" s="15">
        <v>501</v>
      </c>
      <c r="ADB12" s="15">
        <v>501</v>
      </c>
      <c r="ADC12" s="15">
        <v>501</v>
      </c>
      <c r="ADD12" s="15">
        <v>501</v>
      </c>
      <c r="ADE12" s="15">
        <v>501</v>
      </c>
      <c r="ADF12" s="15">
        <v>501</v>
      </c>
      <c r="ADG12" s="15">
        <v>501</v>
      </c>
      <c r="ADH12" s="15"/>
      <c r="ADI12" s="21">
        <v>501</v>
      </c>
      <c r="ADJ12" s="21">
        <v>501</v>
      </c>
      <c r="ADK12" s="21">
        <v>501</v>
      </c>
      <c r="ADL12" s="15">
        <v>501</v>
      </c>
      <c r="ADM12" s="15">
        <v>501</v>
      </c>
      <c r="ADN12" s="15">
        <v>501</v>
      </c>
      <c r="ADO12" s="15">
        <v>501</v>
      </c>
      <c r="ADP12" s="15">
        <v>501</v>
      </c>
      <c r="ADQ12" s="15">
        <v>501</v>
      </c>
      <c r="ADR12" s="15">
        <v>501</v>
      </c>
      <c r="ADS12" s="15">
        <v>501</v>
      </c>
      <c r="ADT12" s="15">
        <v>501</v>
      </c>
      <c r="ADU12" s="15">
        <v>501</v>
      </c>
      <c r="ADV12" s="15">
        <v>501</v>
      </c>
      <c r="ADW12" s="15">
        <v>501</v>
      </c>
      <c r="ADX12" s="15">
        <v>501</v>
      </c>
      <c r="ADY12" s="15">
        <v>501</v>
      </c>
      <c r="ADZ12" s="15">
        <v>501</v>
      </c>
      <c r="AEA12" s="15">
        <v>501</v>
      </c>
      <c r="AEB12" s="15">
        <v>501</v>
      </c>
      <c r="AEC12" s="15">
        <v>501</v>
      </c>
      <c r="AED12" s="15">
        <v>501</v>
      </c>
      <c r="AEE12" s="15">
        <v>501</v>
      </c>
      <c r="AEF12" s="15">
        <v>501</v>
      </c>
      <c r="AEG12" s="15">
        <v>501</v>
      </c>
      <c r="AEH12" s="15">
        <v>501</v>
      </c>
      <c r="AEI12" s="15">
        <v>501</v>
      </c>
      <c r="AEJ12" s="15">
        <v>501</v>
      </c>
      <c r="AEK12" s="15">
        <v>501</v>
      </c>
      <c r="AEL12" s="15">
        <v>501</v>
      </c>
      <c r="AEM12" s="15">
        <v>501</v>
      </c>
      <c r="AEN12" s="15">
        <v>501</v>
      </c>
      <c r="AEO12" s="15">
        <v>501</v>
      </c>
      <c r="AEP12" s="15">
        <v>501</v>
      </c>
      <c r="AEQ12" s="15">
        <v>501</v>
      </c>
      <c r="AER12" s="15">
        <v>501</v>
      </c>
      <c r="AES12" s="15">
        <v>501</v>
      </c>
      <c r="AET12" s="15">
        <v>501</v>
      </c>
      <c r="AEU12" s="15">
        <v>501</v>
      </c>
      <c r="AEV12" s="15">
        <v>501</v>
      </c>
      <c r="AEW12" s="15">
        <v>501</v>
      </c>
      <c r="AEX12" s="15">
        <v>501</v>
      </c>
      <c r="AEY12" s="15">
        <v>501</v>
      </c>
      <c r="AEZ12" s="15">
        <v>501</v>
      </c>
      <c r="AFA12" s="15">
        <v>501</v>
      </c>
      <c r="AFB12" s="15">
        <v>501</v>
      </c>
      <c r="AFC12" s="15">
        <v>501</v>
      </c>
      <c r="AFD12" s="15">
        <v>501</v>
      </c>
      <c r="AFE12" s="15">
        <v>501</v>
      </c>
      <c r="AFF12" s="15">
        <v>501</v>
      </c>
      <c r="AFG12" s="15">
        <v>501</v>
      </c>
      <c r="AFH12" s="15">
        <v>501</v>
      </c>
      <c r="AFI12" s="15">
        <v>501</v>
      </c>
      <c r="AFJ12" s="15">
        <v>501</v>
      </c>
      <c r="AFK12" s="15">
        <v>501</v>
      </c>
      <c r="AFL12" s="15">
        <v>501</v>
      </c>
      <c r="AFM12" s="15">
        <v>501</v>
      </c>
      <c r="AFN12" s="15">
        <v>501</v>
      </c>
      <c r="AFO12" s="15">
        <v>501</v>
      </c>
      <c r="AFP12" s="15">
        <v>501</v>
      </c>
      <c r="AFQ12" s="15">
        <v>501</v>
      </c>
      <c r="AFR12" s="15"/>
      <c r="AFS12" s="15">
        <v>501</v>
      </c>
      <c r="AFT12" s="15">
        <v>501</v>
      </c>
      <c r="AFU12" s="15">
        <v>501</v>
      </c>
      <c r="AFV12" s="15">
        <v>501</v>
      </c>
      <c r="AFW12" s="15">
        <v>501</v>
      </c>
      <c r="AFX12" s="15">
        <v>501</v>
      </c>
      <c r="AFY12" s="15">
        <v>501</v>
      </c>
      <c r="AFZ12" s="15">
        <v>501</v>
      </c>
      <c r="AGA12" s="15">
        <v>501</v>
      </c>
      <c r="AGB12" s="15">
        <v>501</v>
      </c>
      <c r="AGC12" s="15">
        <v>501</v>
      </c>
      <c r="AGD12" s="15">
        <v>501</v>
      </c>
      <c r="AGE12" s="15">
        <v>501</v>
      </c>
      <c r="AGF12" s="15">
        <v>501</v>
      </c>
      <c r="AGG12" s="15">
        <v>501</v>
      </c>
      <c r="AGH12" s="15">
        <v>501</v>
      </c>
      <c r="AGI12" s="15">
        <v>501</v>
      </c>
      <c r="AGJ12" s="15">
        <v>501</v>
      </c>
      <c r="AGK12" s="15">
        <v>501</v>
      </c>
      <c r="AGL12" s="15">
        <v>501</v>
      </c>
      <c r="AGM12" s="15">
        <v>501</v>
      </c>
      <c r="AGN12" s="15">
        <v>501</v>
      </c>
      <c r="AGO12" s="15">
        <v>501</v>
      </c>
      <c r="AGP12" s="15">
        <v>501</v>
      </c>
      <c r="AGQ12" s="15">
        <v>501</v>
      </c>
      <c r="AGR12" s="15">
        <v>501</v>
      </c>
      <c r="AGS12" s="15">
        <v>501</v>
      </c>
      <c r="AGT12" s="15">
        <v>501</v>
      </c>
      <c r="AGU12" s="15">
        <v>501</v>
      </c>
      <c r="AGV12" s="15">
        <v>501</v>
      </c>
      <c r="AGW12" s="15">
        <v>501</v>
      </c>
      <c r="AGX12" s="15">
        <v>501</v>
      </c>
      <c r="AGY12" s="15">
        <v>501</v>
      </c>
      <c r="AGZ12" s="15">
        <v>501</v>
      </c>
      <c r="AHA12" s="15">
        <v>501</v>
      </c>
      <c r="AHB12" s="15">
        <v>501</v>
      </c>
      <c r="AHC12" s="15">
        <v>501</v>
      </c>
      <c r="AHD12" s="15">
        <v>501</v>
      </c>
      <c r="AHE12" s="15">
        <v>501</v>
      </c>
      <c r="AHF12" s="15">
        <v>501</v>
      </c>
      <c r="AHG12" s="15">
        <v>501</v>
      </c>
      <c r="AHH12" s="15">
        <v>501</v>
      </c>
      <c r="AHI12" s="15">
        <v>501</v>
      </c>
      <c r="AHJ12" s="15">
        <v>501</v>
      </c>
      <c r="AHK12" s="15">
        <v>501</v>
      </c>
      <c r="AHL12" s="15">
        <v>501</v>
      </c>
      <c r="AHM12" s="15">
        <v>501</v>
      </c>
      <c r="AHN12" s="15">
        <v>501</v>
      </c>
      <c r="AHO12" s="15">
        <v>501</v>
      </c>
      <c r="AHP12" s="15">
        <v>501</v>
      </c>
      <c r="AHQ12" s="15">
        <v>501</v>
      </c>
      <c r="AHR12" s="15">
        <v>501</v>
      </c>
      <c r="AHS12" s="15">
        <v>501</v>
      </c>
      <c r="AHT12" s="15">
        <v>501</v>
      </c>
      <c r="AHU12" s="15">
        <v>501</v>
      </c>
      <c r="AHV12" s="15">
        <v>501</v>
      </c>
      <c r="AHW12" s="15">
        <v>501</v>
      </c>
      <c r="AHX12" s="15">
        <v>501</v>
      </c>
      <c r="AHY12" s="15">
        <v>501</v>
      </c>
      <c r="AHZ12" s="15">
        <v>501</v>
      </c>
      <c r="AIA12" s="15">
        <v>501</v>
      </c>
      <c r="AIB12" s="15">
        <v>501</v>
      </c>
      <c r="AIC12" s="15">
        <v>501</v>
      </c>
      <c r="AID12" s="15">
        <v>501</v>
      </c>
      <c r="AIE12" s="15">
        <v>501</v>
      </c>
      <c r="AIF12" s="15">
        <v>501</v>
      </c>
      <c r="AIG12" s="15">
        <v>501</v>
      </c>
      <c r="AIH12" s="15">
        <v>501</v>
      </c>
      <c r="AII12" s="15">
        <v>501</v>
      </c>
      <c r="AIJ12" s="15">
        <v>501</v>
      </c>
      <c r="AIK12" s="15">
        <v>501</v>
      </c>
      <c r="AIL12" s="15">
        <v>501</v>
      </c>
      <c r="AIM12" s="15">
        <v>501</v>
      </c>
      <c r="AIN12" s="15">
        <v>501</v>
      </c>
      <c r="AIO12" s="15">
        <v>501</v>
      </c>
      <c r="AIP12" s="15">
        <v>501</v>
      </c>
      <c r="AIQ12" s="15">
        <v>501</v>
      </c>
      <c r="AIR12" s="15">
        <v>501</v>
      </c>
      <c r="AIS12" s="15">
        <v>501</v>
      </c>
      <c r="AIT12" s="15">
        <v>501</v>
      </c>
      <c r="AIU12" s="15">
        <v>501</v>
      </c>
      <c r="AIV12" s="15">
        <v>501</v>
      </c>
      <c r="AIW12" s="15">
        <v>501</v>
      </c>
      <c r="AIX12" s="15">
        <v>501</v>
      </c>
      <c r="AIY12" s="15">
        <v>501</v>
      </c>
      <c r="AIZ12" s="15">
        <v>501</v>
      </c>
      <c r="AJA12" s="15">
        <v>501</v>
      </c>
      <c r="AJB12" s="15">
        <v>501</v>
      </c>
      <c r="AJC12" s="15">
        <v>501</v>
      </c>
      <c r="AJD12" s="15">
        <v>501</v>
      </c>
      <c r="AJE12" s="15">
        <v>501</v>
      </c>
      <c r="AJF12" s="15"/>
      <c r="AJG12" s="15">
        <v>501</v>
      </c>
      <c r="AJH12" s="15">
        <v>501</v>
      </c>
      <c r="AJI12" s="15">
        <v>501</v>
      </c>
      <c r="AJJ12" s="15">
        <v>501</v>
      </c>
      <c r="AJK12" s="15">
        <v>501</v>
      </c>
      <c r="AJL12" s="15">
        <v>501</v>
      </c>
      <c r="AJM12" s="15">
        <v>501</v>
      </c>
      <c r="AJN12" s="15"/>
      <c r="AJO12" s="15">
        <v>501</v>
      </c>
      <c r="AJP12" s="15">
        <v>501</v>
      </c>
      <c r="AJQ12" s="15">
        <v>501</v>
      </c>
      <c r="AJR12" s="15">
        <v>501</v>
      </c>
      <c r="AJS12" s="15">
        <v>501</v>
      </c>
      <c r="AJT12" s="15">
        <v>501</v>
      </c>
      <c r="AJU12" s="15">
        <v>501</v>
      </c>
      <c r="AJV12" s="15">
        <v>501</v>
      </c>
      <c r="AJW12" s="15">
        <v>501</v>
      </c>
      <c r="AJX12" s="15"/>
      <c r="AJY12" s="15">
        <v>501</v>
      </c>
      <c r="AJZ12" s="15">
        <v>501</v>
      </c>
      <c r="AKA12" s="15">
        <v>501</v>
      </c>
      <c r="AKB12" s="15">
        <v>501</v>
      </c>
      <c r="AKC12" s="15">
        <v>501</v>
      </c>
      <c r="AKD12" s="15">
        <v>501</v>
      </c>
      <c r="AKE12" s="15">
        <v>501</v>
      </c>
      <c r="AKF12" s="15">
        <v>501</v>
      </c>
      <c r="AKG12" s="15">
        <v>501</v>
      </c>
      <c r="AKH12" s="15">
        <v>501</v>
      </c>
      <c r="AKI12" s="15"/>
      <c r="AKJ12" s="21">
        <v>501</v>
      </c>
      <c r="AKK12" s="21">
        <v>501</v>
      </c>
      <c r="AKL12" s="21">
        <v>501</v>
      </c>
      <c r="AKM12" s="15">
        <v>501</v>
      </c>
      <c r="AKN12" s="15">
        <v>501</v>
      </c>
      <c r="AKO12" s="15">
        <v>501</v>
      </c>
      <c r="AKP12" s="15">
        <v>501</v>
      </c>
      <c r="AKQ12" s="15">
        <v>501</v>
      </c>
      <c r="AKR12" s="15">
        <v>501</v>
      </c>
      <c r="AKS12" s="15">
        <v>501</v>
      </c>
      <c r="AKT12" s="15">
        <v>501</v>
      </c>
      <c r="AKU12" s="15">
        <v>501</v>
      </c>
      <c r="AKV12" s="15">
        <v>501</v>
      </c>
      <c r="AKW12" s="15">
        <v>501</v>
      </c>
      <c r="AKX12" s="15"/>
      <c r="AKY12" s="21">
        <v>501</v>
      </c>
      <c r="AKZ12" s="21">
        <v>501</v>
      </c>
      <c r="ALA12" s="21">
        <v>501</v>
      </c>
      <c r="ALB12" s="15">
        <v>501</v>
      </c>
      <c r="ALC12" s="15">
        <v>501</v>
      </c>
      <c r="ALD12" s="15">
        <v>501</v>
      </c>
      <c r="ALE12" s="15">
        <v>501</v>
      </c>
      <c r="ALF12" s="15">
        <v>501</v>
      </c>
      <c r="ALG12" s="15">
        <v>501</v>
      </c>
      <c r="ALH12" s="15">
        <v>501</v>
      </c>
      <c r="ALI12" s="15">
        <v>501</v>
      </c>
      <c r="ALJ12" s="15">
        <v>501</v>
      </c>
      <c r="ALK12" s="15">
        <v>501</v>
      </c>
      <c r="ALL12" s="15">
        <v>501</v>
      </c>
      <c r="ALM12" s="15"/>
      <c r="ALN12" s="15">
        <v>501</v>
      </c>
      <c r="ALO12" s="15">
        <v>501</v>
      </c>
      <c r="ALP12" s="15">
        <v>501</v>
      </c>
      <c r="ALQ12" s="15">
        <v>501</v>
      </c>
      <c r="ALR12" s="15">
        <v>501</v>
      </c>
      <c r="ALS12" s="15">
        <v>501</v>
      </c>
      <c r="ALT12" s="15">
        <v>501</v>
      </c>
      <c r="ALU12" s="15">
        <v>501</v>
      </c>
      <c r="ALV12" s="15">
        <v>501</v>
      </c>
      <c r="ALW12" s="15">
        <v>501</v>
      </c>
      <c r="ALX12" s="15">
        <v>501</v>
      </c>
      <c r="ALY12" s="15">
        <v>501</v>
      </c>
      <c r="ALZ12" s="15">
        <v>501</v>
      </c>
      <c r="AMA12" s="15">
        <v>501</v>
      </c>
      <c r="AMB12" s="15">
        <v>501</v>
      </c>
      <c r="AMC12" s="15"/>
      <c r="AMD12" s="15">
        <v>501</v>
      </c>
      <c r="AME12" s="15">
        <v>501</v>
      </c>
      <c r="AMF12" s="15">
        <v>501</v>
      </c>
      <c r="AMG12" s="15">
        <v>501</v>
      </c>
      <c r="AMH12" s="15">
        <v>501</v>
      </c>
      <c r="AMI12" s="15">
        <v>501</v>
      </c>
      <c r="AMJ12" s="15">
        <v>501</v>
      </c>
      <c r="AMK12" s="15">
        <v>501</v>
      </c>
      <c r="AML12" s="15">
        <v>501</v>
      </c>
      <c r="AMM12" s="15">
        <v>501</v>
      </c>
      <c r="AMN12" s="15">
        <v>501</v>
      </c>
      <c r="AMO12" s="15">
        <v>501</v>
      </c>
      <c r="AMP12" s="15">
        <v>501</v>
      </c>
      <c r="AMQ12" s="15">
        <v>501</v>
      </c>
      <c r="AMR12" s="15">
        <v>501</v>
      </c>
      <c r="AMS12" s="15">
        <v>501</v>
      </c>
      <c r="AMT12" s="15">
        <v>501</v>
      </c>
      <c r="AMU12" s="15">
        <v>501</v>
      </c>
      <c r="AMV12" s="15">
        <v>501</v>
      </c>
      <c r="AMW12" s="15">
        <v>501</v>
      </c>
      <c r="AMX12" s="15">
        <v>501</v>
      </c>
      <c r="AMY12" s="15">
        <v>501</v>
      </c>
      <c r="AMZ12" s="15">
        <v>501</v>
      </c>
      <c r="ANA12" s="15">
        <v>501</v>
      </c>
      <c r="ANB12" s="15">
        <v>501</v>
      </c>
      <c r="ANC12" s="15">
        <v>501</v>
      </c>
      <c r="AND12" s="15">
        <v>501</v>
      </c>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row>
    <row r="13" spans="1:1120" s="17" customFormat="1" ht="15" customHeight="1" x14ac:dyDescent="0.25">
      <c r="A13" s="5" t="s">
        <v>1</v>
      </c>
      <c r="B13" s="6" t="s">
        <v>24</v>
      </c>
      <c r="C13" s="15">
        <v>501</v>
      </c>
      <c r="D13" s="15">
        <v>501</v>
      </c>
      <c r="E13" s="15">
        <v>501</v>
      </c>
      <c r="F13" s="15">
        <v>501</v>
      </c>
      <c r="G13" s="15">
        <v>501</v>
      </c>
      <c r="H13" s="15">
        <v>501</v>
      </c>
      <c r="I13" s="15">
        <v>501</v>
      </c>
      <c r="J13" s="15"/>
      <c r="K13" s="15">
        <v>501</v>
      </c>
      <c r="L13" s="15">
        <v>501</v>
      </c>
      <c r="M13" s="15">
        <v>501</v>
      </c>
      <c r="N13" s="15">
        <v>501</v>
      </c>
      <c r="O13" s="15">
        <v>501</v>
      </c>
      <c r="P13" s="15">
        <v>501</v>
      </c>
      <c r="Q13" s="15"/>
      <c r="R13" s="15">
        <v>501</v>
      </c>
      <c r="S13" s="15">
        <v>501</v>
      </c>
      <c r="T13" s="15">
        <v>501</v>
      </c>
      <c r="U13" s="15">
        <v>501</v>
      </c>
      <c r="V13" s="15">
        <v>501</v>
      </c>
      <c r="W13" s="15">
        <v>501</v>
      </c>
      <c r="X13" s="15"/>
      <c r="Y13" s="15">
        <v>501</v>
      </c>
      <c r="Z13" s="15">
        <v>501</v>
      </c>
      <c r="AA13" s="15">
        <v>501</v>
      </c>
      <c r="AB13" s="15">
        <v>501</v>
      </c>
      <c r="AC13" s="15">
        <v>501</v>
      </c>
      <c r="AD13" s="15">
        <v>501</v>
      </c>
      <c r="AE13" s="15"/>
      <c r="AF13" s="15">
        <v>501</v>
      </c>
      <c r="AG13" s="15">
        <v>501</v>
      </c>
      <c r="AH13" s="15">
        <v>501</v>
      </c>
      <c r="AI13" s="15">
        <v>501</v>
      </c>
      <c r="AJ13" s="15">
        <v>501</v>
      </c>
      <c r="AK13" s="15">
        <v>501</v>
      </c>
      <c r="AL13" s="15"/>
      <c r="AM13" s="15">
        <v>501</v>
      </c>
      <c r="AN13" s="15">
        <v>501</v>
      </c>
      <c r="AO13" s="15">
        <v>501</v>
      </c>
      <c r="AP13" s="15">
        <v>501</v>
      </c>
      <c r="AQ13" s="15">
        <v>501</v>
      </c>
      <c r="AR13" s="21">
        <v>501</v>
      </c>
      <c r="AS13" s="21">
        <v>501</v>
      </c>
      <c r="AT13" s="21">
        <v>501</v>
      </c>
      <c r="AU13" s="21">
        <v>501</v>
      </c>
      <c r="AV13" s="21">
        <v>501</v>
      </c>
      <c r="AW13" s="21">
        <v>501</v>
      </c>
      <c r="AX13" s="21">
        <v>501</v>
      </c>
      <c r="AY13" s="21">
        <v>501</v>
      </c>
      <c r="AZ13" s="21">
        <v>501</v>
      </c>
      <c r="BA13" s="21">
        <v>501</v>
      </c>
      <c r="BB13" s="21">
        <v>501</v>
      </c>
      <c r="BC13" s="21">
        <v>501</v>
      </c>
      <c r="BD13" s="21">
        <v>501</v>
      </c>
      <c r="BE13" s="21">
        <v>501</v>
      </c>
      <c r="BF13" s="21">
        <v>501</v>
      </c>
      <c r="BG13" s="21">
        <v>501</v>
      </c>
      <c r="BH13" s="21">
        <v>501</v>
      </c>
      <c r="BI13" s="21">
        <v>501</v>
      </c>
      <c r="BJ13" s="21">
        <v>501</v>
      </c>
      <c r="BK13" s="21">
        <v>501</v>
      </c>
      <c r="BL13" s="21">
        <v>501</v>
      </c>
      <c r="BM13" s="21">
        <v>501</v>
      </c>
      <c r="BN13" s="21">
        <v>501</v>
      </c>
      <c r="BO13" s="21">
        <v>501</v>
      </c>
      <c r="BP13" s="21">
        <v>501</v>
      </c>
      <c r="BQ13" s="21">
        <v>501</v>
      </c>
      <c r="BR13" s="21">
        <v>501</v>
      </c>
      <c r="BS13" s="21">
        <v>501</v>
      </c>
      <c r="BT13" s="21">
        <v>501</v>
      </c>
      <c r="BU13" s="21">
        <v>501</v>
      </c>
      <c r="BV13" s="21">
        <v>501</v>
      </c>
      <c r="BW13" s="21">
        <v>501</v>
      </c>
      <c r="BX13" s="21">
        <v>501</v>
      </c>
      <c r="BY13" s="21">
        <v>501</v>
      </c>
      <c r="BZ13" s="21">
        <v>501</v>
      </c>
      <c r="CA13" s="21">
        <v>501</v>
      </c>
      <c r="CB13" s="21">
        <v>501</v>
      </c>
      <c r="CC13" s="21">
        <v>501</v>
      </c>
      <c r="CD13" s="21">
        <v>501</v>
      </c>
      <c r="CE13" s="21">
        <v>501</v>
      </c>
      <c r="CF13" s="21">
        <v>501</v>
      </c>
      <c r="CG13" s="21">
        <v>501</v>
      </c>
      <c r="CH13" s="21">
        <v>501</v>
      </c>
      <c r="CI13" s="21">
        <v>501</v>
      </c>
      <c r="CJ13" s="21">
        <v>501</v>
      </c>
      <c r="CK13" s="21">
        <v>501</v>
      </c>
      <c r="CL13" s="21">
        <v>501</v>
      </c>
      <c r="CM13" s="21">
        <v>501</v>
      </c>
      <c r="CN13" s="21">
        <v>501</v>
      </c>
      <c r="CO13" s="21">
        <v>501</v>
      </c>
      <c r="CP13" s="21">
        <v>501</v>
      </c>
      <c r="CQ13" s="21">
        <v>501</v>
      </c>
      <c r="CR13" s="21">
        <v>501</v>
      </c>
      <c r="CS13" s="21">
        <v>501</v>
      </c>
      <c r="CT13" s="21">
        <v>501</v>
      </c>
      <c r="CU13" s="21">
        <v>501</v>
      </c>
      <c r="CV13" s="21">
        <v>501</v>
      </c>
      <c r="CW13" s="21">
        <v>501</v>
      </c>
      <c r="CX13" s="21">
        <v>501</v>
      </c>
      <c r="CY13" s="21">
        <v>501</v>
      </c>
      <c r="CZ13" s="21">
        <v>501</v>
      </c>
      <c r="DA13" s="21">
        <v>501</v>
      </c>
      <c r="DB13" s="21">
        <v>501</v>
      </c>
      <c r="DC13" s="21">
        <v>501</v>
      </c>
      <c r="DD13" s="21">
        <v>501</v>
      </c>
      <c r="DE13" s="21">
        <v>501</v>
      </c>
      <c r="DF13" s="21">
        <v>501</v>
      </c>
      <c r="DG13" s="21">
        <v>501</v>
      </c>
      <c r="DH13" s="21">
        <v>501</v>
      </c>
      <c r="DI13" s="21">
        <v>501</v>
      </c>
      <c r="DJ13" s="21">
        <v>501</v>
      </c>
      <c r="DK13" s="21">
        <v>501</v>
      </c>
      <c r="DL13" s="21">
        <v>501</v>
      </c>
      <c r="DM13" s="21">
        <v>501</v>
      </c>
      <c r="DN13" s="21">
        <v>501</v>
      </c>
      <c r="DO13" s="21">
        <v>501</v>
      </c>
      <c r="DP13" s="21">
        <v>501</v>
      </c>
      <c r="DQ13" s="21">
        <v>501</v>
      </c>
      <c r="DR13" s="21">
        <v>501</v>
      </c>
      <c r="DS13" s="21">
        <v>501</v>
      </c>
      <c r="DT13" s="21">
        <v>501</v>
      </c>
      <c r="DU13" s="21">
        <v>501</v>
      </c>
      <c r="DV13" s="21">
        <v>501</v>
      </c>
      <c r="DW13" s="21">
        <v>501</v>
      </c>
      <c r="DX13" s="21">
        <v>501</v>
      </c>
      <c r="DY13" s="21">
        <v>501</v>
      </c>
      <c r="DZ13" s="21">
        <v>501</v>
      </c>
      <c r="EA13" s="21">
        <v>501</v>
      </c>
      <c r="EB13" s="21">
        <v>501</v>
      </c>
      <c r="EC13" s="21">
        <v>501</v>
      </c>
      <c r="ED13" s="21">
        <v>501</v>
      </c>
      <c r="EE13" s="21">
        <v>501</v>
      </c>
      <c r="EF13" s="21">
        <v>501</v>
      </c>
      <c r="EG13" s="21">
        <v>501</v>
      </c>
      <c r="EH13" s="21">
        <v>501</v>
      </c>
      <c r="EI13" s="21">
        <v>501</v>
      </c>
      <c r="EJ13" s="21">
        <v>501</v>
      </c>
      <c r="EK13" s="21">
        <v>501</v>
      </c>
      <c r="EL13" s="21">
        <v>501</v>
      </c>
      <c r="EM13" s="21">
        <v>501</v>
      </c>
      <c r="EN13" s="21">
        <v>501</v>
      </c>
      <c r="EO13" s="21">
        <v>501</v>
      </c>
      <c r="EP13" s="21">
        <v>501</v>
      </c>
      <c r="EQ13" s="21">
        <v>501</v>
      </c>
      <c r="ER13" s="21">
        <v>501</v>
      </c>
      <c r="ES13" s="21">
        <v>501</v>
      </c>
      <c r="ET13" s="21">
        <v>501</v>
      </c>
      <c r="EU13" s="21">
        <v>501</v>
      </c>
      <c r="EV13" s="21">
        <v>501</v>
      </c>
      <c r="EW13" s="21">
        <v>501</v>
      </c>
      <c r="EX13" s="21">
        <v>501</v>
      </c>
      <c r="EY13" s="21">
        <v>501</v>
      </c>
      <c r="EZ13" s="21">
        <v>501</v>
      </c>
      <c r="FA13" s="21">
        <v>501</v>
      </c>
      <c r="FB13" s="21">
        <v>501</v>
      </c>
      <c r="FC13" s="21">
        <v>501</v>
      </c>
      <c r="FD13" s="15"/>
      <c r="FE13" s="15">
        <v>501</v>
      </c>
      <c r="FF13" s="15">
        <v>501</v>
      </c>
      <c r="FG13" s="21">
        <v>501</v>
      </c>
      <c r="FH13" s="21">
        <v>501</v>
      </c>
      <c r="FI13" s="21">
        <v>501</v>
      </c>
      <c r="FJ13" s="21">
        <v>501</v>
      </c>
      <c r="FK13" s="21">
        <v>501</v>
      </c>
      <c r="FL13" s="21">
        <v>501</v>
      </c>
      <c r="FM13" s="21">
        <v>501</v>
      </c>
      <c r="FN13" s="21">
        <v>501</v>
      </c>
      <c r="FO13" s="21">
        <v>501</v>
      </c>
      <c r="FP13" s="21">
        <v>501</v>
      </c>
      <c r="FQ13" s="21">
        <v>501</v>
      </c>
      <c r="FR13" s="21">
        <v>501</v>
      </c>
      <c r="FS13" s="21">
        <v>501</v>
      </c>
      <c r="FT13" s="21">
        <v>501</v>
      </c>
      <c r="FU13" s="21">
        <v>501</v>
      </c>
      <c r="FV13" s="21">
        <v>501</v>
      </c>
      <c r="FW13" s="21">
        <v>501</v>
      </c>
      <c r="FX13" s="21">
        <v>501</v>
      </c>
      <c r="FY13" s="21">
        <v>501</v>
      </c>
      <c r="FZ13" s="21">
        <v>501</v>
      </c>
      <c r="GA13" s="21">
        <v>501</v>
      </c>
      <c r="GB13" s="21">
        <v>501</v>
      </c>
      <c r="GC13" s="21">
        <v>501</v>
      </c>
      <c r="GD13" s="21">
        <v>501</v>
      </c>
      <c r="GE13" s="21">
        <v>501</v>
      </c>
      <c r="GF13" s="21">
        <v>501</v>
      </c>
      <c r="GG13" s="21">
        <v>501</v>
      </c>
      <c r="GH13" s="21">
        <v>501</v>
      </c>
      <c r="GI13" s="21">
        <v>501</v>
      </c>
      <c r="GJ13" s="21">
        <v>501</v>
      </c>
      <c r="GK13" s="21">
        <v>501</v>
      </c>
      <c r="GL13" s="21">
        <v>501</v>
      </c>
      <c r="GM13" s="21">
        <v>501</v>
      </c>
      <c r="GN13" s="21">
        <v>501</v>
      </c>
      <c r="GO13" s="21">
        <v>501</v>
      </c>
      <c r="GP13" s="21">
        <v>501</v>
      </c>
      <c r="GQ13" s="21">
        <v>501</v>
      </c>
      <c r="GR13" s="21">
        <v>501</v>
      </c>
      <c r="GS13" s="21">
        <v>501</v>
      </c>
      <c r="GT13" s="21">
        <v>501</v>
      </c>
      <c r="GU13" s="21">
        <v>501</v>
      </c>
      <c r="GV13" s="21">
        <v>501</v>
      </c>
      <c r="GW13" s="21">
        <v>501</v>
      </c>
      <c r="GX13" s="21">
        <v>501</v>
      </c>
      <c r="GY13" s="21">
        <v>501</v>
      </c>
      <c r="GZ13" s="21">
        <v>501</v>
      </c>
      <c r="HA13" s="21">
        <v>501</v>
      </c>
      <c r="HB13" s="21">
        <v>501</v>
      </c>
      <c r="HC13" s="21">
        <v>501</v>
      </c>
      <c r="HD13" s="21">
        <v>501</v>
      </c>
      <c r="HE13" s="21">
        <v>501</v>
      </c>
      <c r="HF13" s="21">
        <v>501</v>
      </c>
      <c r="HG13" s="21">
        <v>501</v>
      </c>
      <c r="HH13" s="21">
        <v>501</v>
      </c>
      <c r="HI13" s="21">
        <v>501</v>
      </c>
      <c r="HJ13" s="21">
        <v>501</v>
      </c>
      <c r="HK13" s="21">
        <v>501</v>
      </c>
      <c r="HL13" s="21">
        <v>501</v>
      </c>
      <c r="HM13" s="21">
        <v>501</v>
      </c>
      <c r="HN13" s="21">
        <v>501</v>
      </c>
      <c r="HO13" s="21">
        <v>501</v>
      </c>
      <c r="HP13" s="21">
        <v>501</v>
      </c>
      <c r="HQ13" s="21">
        <v>501</v>
      </c>
      <c r="HR13" s="21">
        <v>501</v>
      </c>
      <c r="HS13" s="21">
        <v>501</v>
      </c>
      <c r="HT13" s="21">
        <v>501</v>
      </c>
      <c r="HU13" s="21">
        <v>501</v>
      </c>
      <c r="HV13" s="21">
        <v>501</v>
      </c>
      <c r="HW13" s="21">
        <v>501</v>
      </c>
      <c r="HX13" s="21">
        <v>501</v>
      </c>
      <c r="HY13" s="21">
        <v>501</v>
      </c>
      <c r="HZ13" s="21">
        <v>501</v>
      </c>
      <c r="IA13" s="21">
        <v>501</v>
      </c>
      <c r="IB13" s="15"/>
      <c r="IC13" s="15">
        <v>501</v>
      </c>
      <c r="ID13" s="15">
        <v>501</v>
      </c>
      <c r="IE13" s="21">
        <v>501</v>
      </c>
      <c r="IF13" s="21">
        <v>501</v>
      </c>
      <c r="IG13" s="21">
        <v>501</v>
      </c>
      <c r="IH13" s="21">
        <v>501</v>
      </c>
      <c r="II13" s="21">
        <v>501</v>
      </c>
      <c r="IJ13" s="21">
        <v>501</v>
      </c>
      <c r="IK13" s="15"/>
      <c r="IL13" s="15">
        <v>501</v>
      </c>
      <c r="IM13" s="15">
        <v>501</v>
      </c>
      <c r="IN13" s="21">
        <v>501</v>
      </c>
      <c r="IO13" s="21">
        <v>501</v>
      </c>
      <c r="IP13" s="21">
        <v>501</v>
      </c>
      <c r="IQ13" s="21">
        <v>501</v>
      </c>
      <c r="IR13" s="21">
        <v>501</v>
      </c>
      <c r="IS13" s="15">
        <v>501</v>
      </c>
      <c r="IT13" s="15">
        <v>501</v>
      </c>
      <c r="IU13" s="15">
        <v>501</v>
      </c>
      <c r="IV13" s="15">
        <v>501</v>
      </c>
      <c r="IW13" s="15">
        <v>501</v>
      </c>
      <c r="IX13" s="15">
        <v>501</v>
      </c>
      <c r="IY13" s="15">
        <v>501</v>
      </c>
      <c r="IZ13" s="15">
        <v>501</v>
      </c>
      <c r="JA13" s="15">
        <v>501</v>
      </c>
      <c r="JB13" s="15">
        <v>501</v>
      </c>
      <c r="JC13" s="15">
        <v>501</v>
      </c>
      <c r="JD13" s="15">
        <v>501</v>
      </c>
      <c r="JE13" s="15">
        <v>501</v>
      </c>
      <c r="JF13" s="15">
        <v>501</v>
      </c>
      <c r="JG13" s="15">
        <v>501</v>
      </c>
      <c r="JH13" s="15">
        <v>501</v>
      </c>
      <c r="JI13" s="15">
        <v>501</v>
      </c>
      <c r="JJ13" s="15">
        <v>501</v>
      </c>
      <c r="JK13" s="15">
        <v>501</v>
      </c>
      <c r="JL13" s="15">
        <v>501</v>
      </c>
      <c r="JM13" s="15">
        <v>501</v>
      </c>
      <c r="JN13" s="15">
        <v>501</v>
      </c>
      <c r="JO13" s="15">
        <v>501</v>
      </c>
      <c r="JP13" s="15">
        <v>501</v>
      </c>
      <c r="JQ13" s="15">
        <v>501</v>
      </c>
      <c r="JR13" s="15">
        <v>501</v>
      </c>
      <c r="JS13" s="15">
        <v>501</v>
      </c>
      <c r="JT13" s="15">
        <v>501</v>
      </c>
      <c r="JU13" s="15">
        <v>501</v>
      </c>
      <c r="JV13" s="15">
        <v>501</v>
      </c>
      <c r="JW13" s="15">
        <v>501</v>
      </c>
      <c r="JX13" s="15">
        <v>501</v>
      </c>
      <c r="JY13" s="15">
        <v>501</v>
      </c>
      <c r="JZ13" s="15">
        <v>501</v>
      </c>
      <c r="KA13" s="15">
        <v>501</v>
      </c>
      <c r="KB13" s="15">
        <v>501</v>
      </c>
      <c r="KC13" s="15">
        <v>501</v>
      </c>
      <c r="KD13" s="15">
        <v>501</v>
      </c>
      <c r="KE13" s="15">
        <v>501</v>
      </c>
      <c r="KF13" s="15">
        <v>501</v>
      </c>
      <c r="KG13" s="15">
        <v>501</v>
      </c>
      <c r="KH13" s="15">
        <v>501</v>
      </c>
      <c r="KI13" s="15">
        <v>501</v>
      </c>
      <c r="KJ13" s="15">
        <v>501</v>
      </c>
      <c r="KK13" s="15">
        <v>501</v>
      </c>
      <c r="KL13" s="15">
        <v>501</v>
      </c>
      <c r="KM13" s="15">
        <v>501</v>
      </c>
      <c r="KN13" s="15">
        <v>501</v>
      </c>
      <c r="KO13" s="15">
        <v>501</v>
      </c>
      <c r="KP13" s="15">
        <v>501</v>
      </c>
      <c r="KQ13" s="15">
        <v>501</v>
      </c>
      <c r="KR13" s="15">
        <v>501</v>
      </c>
      <c r="KS13" s="15">
        <v>501</v>
      </c>
      <c r="KT13" s="15">
        <v>501</v>
      </c>
      <c r="KU13" s="15">
        <v>501</v>
      </c>
      <c r="KV13" s="15">
        <v>501</v>
      </c>
      <c r="KW13" s="15">
        <v>501</v>
      </c>
      <c r="KX13" s="15">
        <v>501</v>
      </c>
      <c r="KY13" s="15">
        <v>501</v>
      </c>
      <c r="KZ13" s="15">
        <v>501</v>
      </c>
      <c r="LA13" s="15">
        <v>501</v>
      </c>
      <c r="LB13" s="15">
        <v>501</v>
      </c>
      <c r="LC13" s="15">
        <v>501</v>
      </c>
      <c r="LD13" s="15">
        <v>501</v>
      </c>
      <c r="LE13" s="15">
        <v>501</v>
      </c>
      <c r="LF13" s="15">
        <v>501</v>
      </c>
      <c r="LG13" s="15">
        <v>501</v>
      </c>
      <c r="LH13" s="15">
        <v>501</v>
      </c>
      <c r="LI13" s="15">
        <v>501</v>
      </c>
      <c r="LJ13" s="15">
        <v>501</v>
      </c>
      <c r="LK13" s="15">
        <v>501</v>
      </c>
      <c r="LL13" s="15">
        <v>501</v>
      </c>
      <c r="LM13" s="15">
        <v>501</v>
      </c>
      <c r="LN13" s="15">
        <v>501</v>
      </c>
      <c r="LO13" s="15">
        <v>501</v>
      </c>
      <c r="LP13" s="15">
        <v>501</v>
      </c>
      <c r="LQ13" s="15">
        <v>501</v>
      </c>
      <c r="LR13" s="15">
        <v>501</v>
      </c>
      <c r="LS13" s="15">
        <v>501</v>
      </c>
      <c r="LT13" s="15">
        <v>501</v>
      </c>
      <c r="LU13" s="15">
        <v>501</v>
      </c>
      <c r="LV13" s="15">
        <v>501</v>
      </c>
      <c r="LW13" s="15">
        <v>501</v>
      </c>
      <c r="LX13" s="15">
        <v>501</v>
      </c>
      <c r="LY13" s="15">
        <v>501</v>
      </c>
      <c r="LZ13" s="15">
        <v>501</v>
      </c>
      <c r="MA13" s="15">
        <v>501</v>
      </c>
      <c r="MB13" s="15">
        <v>501</v>
      </c>
      <c r="MC13" s="15">
        <v>501</v>
      </c>
      <c r="MD13" s="15">
        <v>501</v>
      </c>
      <c r="ME13" s="15">
        <v>501</v>
      </c>
      <c r="MF13" s="15">
        <v>501</v>
      </c>
      <c r="MG13" s="15">
        <v>501</v>
      </c>
      <c r="MH13" s="15">
        <v>501</v>
      </c>
      <c r="MI13" s="15">
        <v>501</v>
      </c>
      <c r="MJ13" s="15">
        <v>501</v>
      </c>
      <c r="MK13" s="15">
        <v>501</v>
      </c>
      <c r="ML13" s="15">
        <v>501</v>
      </c>
      <c r="MM13" s="15">
        <v>501</v>
      </c>
      <c r="MN13" s="15">
        <v>501</v>
      </c>
      <c r="MO13" s="15">
        <v>501</v>
      </c>
      <c r="MP13" s="15">
        <v>501</v>
      </c>
      <c r="MQ13" s="15">
        <v>501</v>
      </c>
      <c r="MR13" s="15">
        <v>501</v>
      </c>
      <c r="MS13" s="15">
        <v>501</v>
      </c>
      <c r="MT13" s="15">
        <v>501</v>
      </c>
      <c r="MU13" s="15">
        <v>501</v>
      </c>
      <c r="MV13" s="15">
        <v>501</v>
      </c>
      <c r="MW13" s="15">
        <v>501</v>
      </c>
      <c r="MX13" s="15">
        <v>501</v>
      </c>
      <c r="MY13" s="15">
        <v>501</v>
      </c>
      <c r="MZ13" s="15">
        <v>501</v>
      </c>
      <c r="NA13" s="15">
        <v>501</v>
      </c>
      <c r="NB13" s="15">
        <v>501</v>
      </c>
      <c r="NC13" s="15">
        <v>501</v>
      </c>
      <c r="ND13" s="15">
        <v>501</v>
      </c>
      <c r="NE13" s="15">
        <v>501</v>
      </c>
      <c r="NF13" s="15">
        <v>501</v>
      </c>
      <c r="NG13" s="15">
        <v>501</v>
      </c>
      <c r="NH13" s="15">
        <v>501</v>
      </c>
      <c r="NI13" s="15">
        <v>501</v>
      </c>
      <c r="NJ13" s="15">
        <v>501</v>
      </c>
      <c r="NK13" s="15">
        <v>501</v>
      </c>
      <c r="NL13" s="15">
        <v>501</v>
      </c>
      <c r="NM13" s="15">
        <v>501</v>
      </c>
      <c r="NN13" s="15">
        <v>501</v>
      </c>
      <c r="NO13" s="15">
        <v>501</v>
      </c>
      <c r="NP13" s="15">
        <v>501</v>
      </c>
      <c r="NQ13" s="15">
        <v>501</v>
      </c>
      <c r="NR13" s="15">
        <v>501</v>
      </c>
      <c r="NS13" s="15">
        <v>501</v>
      </c>
      <c r="NT13" s="15">
        <v>501</v>
      </c>
      <c r="NU13" s="15">
        <v>501</v>
      </c>
      <c r="NV13" s="15">
        <v>501</v>
      </c>
      <c r="NW13" s="15">
        <v>501</v>
      </c>
      <c r="NX13" s="15">
        <v>501</v>
      </c>
      <c r="NY13" s="15">
        <v>501</v>
      </c>
      <c r="NZ13" s="15">
        <v>501</v>
      </c>
      <c r="OA13" s="15">
        <v>501</v>
      </c>
      <c r="OB13" s="15">
        <v>501</v>
      </c>
      <c r="OC13" s="15">
        <v>501</v>
      </c>
      <c r="OD13" s="15">
        <v>501</v>
      </c>
      <c r="OE13" s="15">
        <v>501</v>
      </c>
      <c r="OF13" s="15">
        <v>501</v>
      </c>
      <c r="OG13" s="15">
        <v>501</v>
      </c>
      <c r="OH13" s="15">
        <v>501</v>
      </c>
      <c r="OI13" s="15">
        <v>501</v>
      </c>
      <c r="OJ13" s="15">
        <v>501</v>
      </c>
      <c r="OK13" s="15">
        <v>501</v>
      </c>
      <c r="OL13" s="15">
        <v>501</v>
      </c>
      <c r="OM13" s="15">
        <v>501</v>
      </c>
      <c r="ON13" s="15">
        <v>501</v>
      </c>
      <c r="OO13" s="15">
        <v>501</v>
      </c>
      <c r="OP13" s="15">
        <v>501</v>
      </c>
      <c r="OQ13" s="15">
        <v>501</v>
      </c>
      <c r="OR13" s="15">
        <v>501</v>
      </c>
      <c r="OS13" s="15">
        <v>501</v>
      </c>
      <c r="OT13" s="15">
        <v>501</v>
      </c>
      <c r="OU13" s="15">
        <v>501</v>
      </c>
      <c r="OV13" s="15">
        <v>501</v>
      </c>
      <c r="OW13" s="15">
        <v>501</v>
      </c>
      <c r="OX13" s="15">
        <v>501</v>
      </c>
      <c r="OY13" s="15">
        <v>501</v>
      </c>
      <c r="OZ13" s="15">
        <v>501</v>
      </c>
      <c r="PA13" s="15">
        <v>501</v>
      </c>
      <c r="PB13" s="15">
        <v>501</v>
      </c>
      <c r="PC13" s="15">
        <v>501</v>
      </c>
      <c r="PD13" s="15">
        <v>501</v>
      </c>
      <c r="PE13" s="15">
        <v>501</v>
      </c>
      <c r="PF13" s="15">
        <v>501</v>
      </c>
      <c r="PG13" s="15">
        <v>501</v>
      </c>
      <c r="PH13" s="15">
        <v>501</v>
      </c>
      <c r="PI13" s="15">
        <v>501</v>
      </c>
      <c r="PJ13" s="15">
        <v>501</v>
      </c>
      <c r="PK13" s="15">
        <v>501</v>
      </c>
      <c r="PL13" s="15">
        <v>501</v>
      </c>
      <c r="PM13" s="15">
        <v>501</v>
      </c>
      <c r="PN13" s="15">
        <v>501</v>
      </c>
      <c r="PO13" s="15">
        <v>501</v>
      </c>
      <c r="PP13" s="15">
        <v>501</v>
      </c>
      <c r="PQ13" s="15">
        <v>501</v>
      </c>
      <c r="PR13" s="15">
        <v>501</v>
      </c>
      <c r="PS13" s="15">
        <v>501</v>
      </c>
      <c r="PT13" s="15">
        <v>501</v>
      </c>
      <c r="PU13" s="15">
        <v>501</v>
      </c>
      <c r="PV13" s="15">
        <v>501</v>
      </c>
      <c r="PW13" s="15">
        <v>501</v>
      </c>
      <c r="PX13" s="15">
        <v>501</v>
      </c>
      <c r="PY13" s="15">
        <v>501</v>
      </c>
      <c r="PZ13" s="15">
        <v>501</v>
      </c>
      <c r="QA13" s="15">
        <v>501</v>
      </c>
      <c r="QB13" s="15">
        <v>501</v>
      </c>
      <c r="QC13" s="15">
        <v>501</v>
      </c>
      <c r="QD13" s="15">
        <v>501</v>
      </c>
      <c r="QE13" s="15">
        <v>501</v>
      </c>
      <c r="QF13" s="15">
        <v>501</v>
      </c>
      <c r="QG13" s="15">
        <v>501</v>
      </c>
      <c r="QH13" s="15">
        <v>501</v>
      </c>
      <c r="QI13" s="15">
        <v>501</v>
      </c>
      <c r="QJ13" s="15">
        <v>501</v>
      </c>
      <c r="QK13" s="15">
        <v>501</v>
      </c>
      <c r="QL13" s="15">
        <v>501</v>
      </c>
      <c r="QM13" s="15">
        <v>501</v>
      </c>
      <c r="QN13" s="15">
        <v>501</v>
      </c>
      <c r="QO13" s="15">
        <v>501</v>
      </c>
      <c r="QP13" s="15">
        <v>501</v>
      </c>
      <c r="QQ13" s="15">
        <v>501</v>
      </c>
      <c r="QR13" s="15">
        <v>501</v>
      </c>
      <c r="QS13" s="15">
        <v>501</v>
      </c>
      <c r="QT13" s="15">
        <v>501</v>
      </c>
      <c r="QU13" s="15">
        <v>501</v>
      </c>
      <c r="QV13" s="15">
        <v>501</v>
      </c>
      <c r="QW13" s="15">
        <v>501</v>
      </c>
      <c r="QX13" s="15">
        <v>501</v>
      </c>
      <c r="QY13" s="15">
        <v>501</v>
      </c>
      <c r="QZ13" s="15">
        <v>501</v>
      </c>
      <c r="RA13" s="15">
        <v>501</v>
      </c>
      <c r="RB13" s="15">
        <v>501</v>
      </c>
      <c r="RC13" s="15">
        <v>501</v>
      </c>
      <c r="RD13" s="15">
        <v>501</v>
      </c>
      <c r="RE13" s="15">
        <v>501</v>
      </c>
      <c r="RF13" s="15">
        <v>501</v>
      </c>
      <c r="RG13" s="15">
        <v>501</v>
      </c>
      <c r="RH13" s="15">
        <v>501</v>
      </c>
      <c r="RI13" s="15">
        <v>501</v>
      </c>
      <c r="RJ13" s="15">
        <v>501</v>
      </c>
      <c r="RK13" s="15">
        <v>501</v>
      </c>
      <c r="RL13" s="15">
        <v>501</v>
      </c>
      <c r="RM13" s="15">
        <v>501</v>
      </c>
      <c r="RN13" s="15">
        <v>501</v>
      </c>
      <c r="RO13" s="15">
        <v>501</v>
      </c>
      <c r="RP13" s="15">
        <v>501</v>
      </c>
      <c r="RQ13" s="15">
        <v>501</v>
      </c>
      <c r="RR13" s="15">
        <v>501</v>
      </c>
      <c r="RS13" s="15"/>
      <c r="RT13" s="15">
        <v>501</v>
      </c>
      <c r="RU13" s="15">
        <v>501</v>
      </c>
      <c r="RV13" s="21">
        <v>501</v>
      </c>
      <c r="RW13" s="21">
        <v>501</v>
      </c>
      <c r="RX13" s="21">
        <v>501</v>
      </c>
      <c r="RY13" s="21">
        <v>501</v>
      </c>
      <c r="RZ13" s="21">
        <v>501</v>
      </c>
      <c r="SA13" s="15">
        <v>501</v>
      </c>
      <c r="SB13" s="15">
        <v>501</v>
      </c>
      <c r="SC13" s="15">
        <v>501</v>
      </c>
      <c r="SD13" s="15">
        <v>501</v>
      </c>
      <c r="SE13" s="15">
        <v>501</v>
      </c>
      <c r="SF13" s="15">
        <v>501</v>
      </c>
      <c r="SG13" s="15">
        <v>501</v>
      </c>
      <c r="SH13" s="15">
        <v>501</v>
      </c>
      <c r="SI13" s="15">
        <v>501</v>
      </c>
      <c r="SJ13" s="15">
        <v>501</v>
      </c>
      <c r="SK13" s="15">
        <v>501</v>
      </c>
      <c r="SL13" s="15">
        <v>501</v>
      </c>
      <c r="SM13" s="15">
        <v>501</v>
      </c>
      <c r="SN13" s="15">
        <v>501</v>
      </c>
      <c r="SO13" s="15">
        <v>501</v>
      </c>
      <c r="SP13" s="15">
        <v>501</v>
      </c>
      <c r="SQ13" s="15">
        <v>501</v>
      </c>
      <c r="SR13" s="15">
        <v>501</v>
      </c>
      <c r="SS13" s="15">
        <v>501</v>
      </c>
      <c r="ST13" s="15">
        <v>501</v>
      </c>
      <c r="SU13" s="15">
        <v>501</v>
      </c>
      <c r="SV13" s="15">
        <v>501</v>
      </c>
      <c r="SW13" s="15">
        <v>501</v>
      </c>
      <c r="SX13" s="15">
        <v>501</v>
      </c>
      <c r="SY13" s="15">
        <v>501</v>
      </c>
      <c r="SZ13" s="15">
        <v>501</v>
      </c>
      <c r="TA13" s="15">
        <v>501</v>
      </c>
      <c r="TB13" s="15">
        <v>501</v>
      </c>
      <c r="TC13" s="15">
        <v>501</v>
      </c>
      <c r="TD13" s="15">
        <v>501</v>
      </c>
      <c r="TE13" s="15">
        <v>501</v>
      </c>
      <c r="TF13" s="15">
        <v>501</v>
      </c>
      <c r="TG13" s="15">
        <v>501</v>
      </c>
      <c r="TH13" s="15">
        <v>501</v>
      </c>
      <c r="TI13" s="15">
        <v>501</v>
      </c>
      <c r="TJ13" s="15">
        <v>501</v>
      </c>
      <c r="TK13" s="15">
        <v>501</v>
      </c>
      <c r="TL13" s="15">
        <v>501</v>
      </c>
      <c r="TM13" s="15">
        <v>501</v>
      </c>
      <c r="TN13" s="15">
        <v>501</v>
      </c>
      <c r="TO13" s="15">
        <v>501</v>
      </c>
      <c r="TP13" s="15">
        <v>501</v>
      </c>
      <c r="TQ13" s="15">
        <v>501</v>
      </c>
      <c r="TR13" s="15">
        <v>501</v>
      </c>
      <c r="TS13" s="15">
        <v>501</v>
      </c>
      <c r="TT13" s="15">
        <v>501</v>
      </c>
      <c r="TU13" s="15">
        <v>501</v>
      </c>
      <c r="TV13" s="15">
        <v>501</v>
      </c>
      <c r="TW13" s="15">
        <v>501</v>
      </c>
      <c r="TX13" s="15">
        <v>501</v>
      </c>
      <c r="TY13" s="15">
        <v>501</v>
      </c>
      <c r="TZ13" s="15">
        <v>501</v>
      </c>
      <c r="UA13" s="15">
        <v>501</v>
      </c>
      <c r="UB13" s="15">
        <v>501</v>
      </c>
      <c r="UC13" s="15">
        <v>501</v>
      </c>
      <c r="UD13" s="15">
        <v>501</v>
      </c>
      <c r="UE13" s="15">
        <v>501</v>
      </c>
      <c r="UF13" s="15">
        <v>501</v>
      </c>
      <c r="UG13" s="15">
        <v>501</v>
      </c>
      <c r="UH13" s="15">
        <v>501</v>
      </c>
      <c r="UI13" s="15">
        <v>501</v>
      </c>
      <c r="UJ13" s="15">
        <v>501</v>
      </c>
      <c r="UK13" s="15">
        <v>501</v>
      </c>
      <c r="UL13" s="15">
        <v>501</v>
      </c>
      <c r="UM13" s="15">
        <v>501</v>
      </c>
      <c r="UN13" s="15">
        <v>501</v>
      </c>
      <c r="UO13" s="15">
        <v>501</v>
      </c>
      <c r="UP13" s="15">
        <v>501</v>
      </c>
      <c r="UQ13" s="15">
        <v>501</v>
      </c>
      <c r="UR13" s="15">
        <v>501</v>
      </c>
      <c r="US13" s="15">
        <v>501</v>
      </c>
      <c r="UT13" s="15">
        <v>501</v>
      </c>
      <c r="UU13" s="15">
        <v>501</v>
      </c>
      <c r="UV13" s="15">
        <v>501</v>
      </c>
      <c r="UW13" s="15">
        <v>501</v>
      </c>
      <c r="UX13" s="15">
        <v>501</v>
      </c>
      <c r="UY13" s="15">
        <v>501</v>
      </c>
      <c r="UZ13" s="15">
        <v>501</v>
      </c>
      <c r="VA13" s="15">
        <v>501</v>
      </c>
      <c r="VB13" s="15">
        <v>501</v>
      </c>
      <c r="VC13" s="15">
        <v>501</v>
      </c>
      <c r="VD13" s="15">
        <v>501</v>
      </c>
      <c r="VE13" s="15">
        <v>501</v>
      </c>
      <c r="VF13" s="15">
        <v>501</v>
      </c>
      <c r="VG13" s="15">
        <v>501</v>
      </c>
      <c r="VH13" s="15">
        <v>501</v>
      </c>
      <c r="VI13" s="15">
        <v>501</v>
      </c>
      <c r="VJ13" s="15">
        <v>501</v>
      </c>
      <c r="VK13" s="15">
        <v>501</v>
      </c>
      <c r="VL13" s="15">
        <v>501</v>
      </c>
      <c r="VM13" s="15">
        <v>501</v>
      </c>
      <c r="VN13" s="15">
        <v>501</v>
      </c>
      <c r="VO13" s="15">
        <v>501</v>
      </c>
      <c r="VP13" s="15">
        <v>501</v>
      </c>
      <c r="VQ13" s="15">
        <v>501</v>
      </c>
      <c r="VR13" s="15">
        <v>501</v>
      </c>
      <c r="VS13" s="15">
        <v>501</v>
      </c>
      <c r="VT13" s="15">
        <v>501</v>
      </c>
      <c r="VU13" s="15">
        <v>501</v>
      </c>
      <c r="VV13" s="15">
        <v>501</v>
      </c>
      <c r="VW13" s="15">
        <v>501</v>
      </c>
      <c r="VX13" s="15">
        <v>501</v>
      </c>
      <c r="VY13" s="15">
        <v>501</v>
      </c>
      <c r="VZ13" s="15">
        <v>501</v>
      </c>
      <c r="WA13" s="15">
        <v>501</v>
      </c>
      <c r="WB13" s="15">
        <v>501</v>
      </c>
      <c r="WC13" s="15">
        <v>501</v>
      </c>
      <c r="WD13" s="15">
        <v>501</v>
      </c>
      <c r="WE13" s="15">
        <v>501</v>
      </c>
      <c r="WF13" s="15">
        <v>501</v>
      </c>
      <c r="WG13" s="15">
        <v>501</v>
      </c>
      <c r="WH13" s="15">
        <v>501</v>
      </c>
      <c r="WI13" s="15">
        <v>501</v>
      </c>
      <c r="WJ13" s="15">
        <v>501</v>
      </c>
      <c r="WK13" s="15">
        <v>501</v>
      </c>
      <c r="WL13" s="15">
        <v>501</v>
      </c>
      <c r="WM13" s="15">
        <v>501</v>
      </c>
      <c r="WN13" s="15">
        <v>501</v>
      </c>
      <c r="WO13" s="15">
        <v>501</v>
      </c>
      <c r="WP13" s="15">
        <v>501</v>
      </c>
      <c r="WQ13" s="15">
        <v>501</v>
      </c>
      <c r="WR13" s="15">
        <v>501</v>
      </c>
      <c r="WS13" s="15">
        <v>501</v>
      </c>
      <c r="WT13" s="15">
        <v>501</v>
      </c>
      <c r="WU13" s="15">
        <v>501</v>
      </c>
      <c r="WV13" s="15">
        <v>501</v>
      </c>
      <c r="WW13" s="15">
        <v>501</v>
      </c>
      <c r="WX13" s="15">
        <v>501</v>
      </c>
      <c r="WY13" s="15">
        <v>501</v>
      </c>
      <c r="WZ13" s="15">
        <v>501</v>
      </c>
      <c r="XA13" s="15">
        <v>501</v>
      </c>
      <c r="XB13" s="15">
        <v>501</v>
      </c>
      <c r="XC13" s="15">
        <v>501</v>
      </c>
      <c r="XD13" s="15">
        <v>501</v>
      </c>
      <c r="XE13" s="15">
        <v>501</v>
      </c>
      <c r="XF13" s="15">
        <v>501</v>
      </c>
      <c r="XG13" s="15">
        <v>501</v>
      </c>
      <c r="XH13" s="15">
        <v>501</v>
      </c>
      <c r="XI13" s="15">
        <v>501</v>
      </c>
      <c r="XJ13" s="15">
        <v>501</v>
      </c>
      <c r="XK13" s="15">
        <v>501</v>
      </c>
      <c r="XL13" s="15">
        <v>501</v>
      </c>
      <c r="XM13" s="15">
        <v>501</v>
      </c>
      <c r="XN13" s="15">
        <v>501</v>
      </c>
      <c r="XO13" s="15">
        <v>501</v>
      </c>
      <c r="XP13" s="15">
        <v>501</v>
      </c>
      <c r="XQ13" s="15">
        <v>501</v>
      </c>
      <c r="XR13" s="15">
        <v>501</v>
      </c>
      <c r="XS13" s="15">
        <v>501</v>
      </c>
      <c r="XT13" s="15">
        <v>501</v>
      </c>
      <c r="XU13" s="15">
        <v>501</v>
      </c>
      <c r="XV13" s="15">
        <v>501</v>
      </c>
      <c r="XW13" s="15">
        <v>501</v>
      </c>
      <c r="XX13" s="15">
        <v>501</v>
      </c>
      <c r="XY13" s="15">
        <v>501</v>
      </c>
      <c r="XZ13" s="15">
        <v>501</v>
      </c>
      <c r="YA13" s="15">
        <v>501</v>
      </c>
      <c r="YB13" s="15">
        <v>501</v>
      </c>
      <c r="YC13" s="15">
        <v>501</v>
      </c>
      <c r="YD13" s="15">
        <v>501</v>
      </c>
      <c r="YE13" s="15">
        <v>501</v>
      </c>
      <c r="YF13" s="15">
        <v>501</v>
      </c>
      <c r="YG13" s="15">
        <v>501</v>
      </c>
      <c r="YH13" s="15">
        <v>501</v>
      </c>
      <c r="YI13" s="15">
        <v>501</v>
      </c>
      <c r="YJ13" s="15">
        <v>501</v>
      </c>
      <c r="YK13" s="15">
        <v>501</v>
      </c>
      <c r="YL13" s="15">
        <v>501</v>
      </c>
      <c r="YM13" s="15">
        <v>501</v>
      </c>
      <c r="YN13" s="15">
        <v>501</v>
      </c>
      <c r="YO13" s="15">
        <v>501</v>
      </c>
      <c r="YP13" s="15">
        <v>501</v>
      </c>
      <c r="YQ13" s="15">
        <v>501</v>
      </c>
      <c r="YR13" s="15">
        <v>501</v>
      </c>
      <c r="YS13" s="15">
        <v>501</v>
      </c>
      <c r="YT13" s="15">
        <v>501</v>
      </c>
      <c r="YU13" s="15">
        <v>501</v>
      </c>
      <c r="YV13" s="15">
        <v>501</v>
      </c>
      <c r="YW13" s="15">
        <v>501</v>
      </c>
      <c r="YX13" s="15">
        <v>501</v>
      </c>
      <c r="YY13" s="15">
        <v>501</v>
      </c>
      <c r="YZ13" s="15">
        <v>501</v>
      </c>
      <c r="ZA13" s="15">
        <v>501</v>
      </c>
      <c r="ZB13" s="15">
        <v>501</v>
      </c>
      <c r="ZC13" s="15">
        <v>501</v>
      </c>
      <c r="ZD13" s="15">
        <v>501</v>
      </c>
      <c r="ZE13" s="15">
        <v>501</v>
      </c>
      <c r="ZF13" s="15">
        <v>501</v>
      </c>
      <c r="ZG13" s="15">
        <v>501</v>
      </c>
      <c r="ZH13" s="15">
        <v>501</v>
      </c>
      <c r="ZI13" s="15">
        <v>501</v>
      </c>
      <c r="ZJ13" s="15">
        <v>501</v>
      </c>
      <c r="ZK13" s="15">
        <v>501</v>
      </c>
      <c r="ZL13" s="15">
        <v>501</v>
      </c>
      <c r="ZM13" s="15">
        <v>501</v>
      </c>
      <c r="ZN13" s="15">
        <v>501</v>
      </c>
      <c r="ZO13" s="15">
        <v>501</v>
      </c>
      <c r="ZP13" s="15">
        <v>501</v>
      </c>
      <c r="ZQ13" s="15">
        <v>501</v>
      </c>
      <c r="ZR13" s="15">
        <v>501</v>
      </c>
      <c r="ZS13" s="15">
        <v>501</v>
      </c>
      <c r="ZT13" s="15">
        <v>501</v>
      </c>
      <c r="ZU13" s="15">
        <v>501</v>
      </c>
      <c r="ZV13" s="15">
        <v>501</v>
      </c>
      <c r="ZW13" s="15">
        <v>501</v>
      </c>
      <c r="ZX13" s="15">
        <v>501</v>
      </c>
      <c r="ZY13" s="15">
        <v>501</v>
      </c>
      <c r="ZZ13" s="15">
        <v>501</v>
      </c>
      <c r="AAA13" s="15">
        <v>501</v>
      </c>
      <c r="AAB13" s="15">
        <v>501</v>
      </c>
      <c r="AAC13" s="15">
        <v>501</v>
      </c>
      <c r="AAD13" s="15">
        <v>501</v>
      </c>
      <c r="AAE13" s="15">
        <v>501</v>
      </c>
      <c r="AAF13" s="15">
        <v>501</v>
      </c>
      <c r="AAG13" s="15">
        <v>501</v>
      </c>
      <c r="AAH13" s="15">
        <v>501</v>
      </c>
      <c r="AAI13" s="15">
        <v>501</v>
      </c>
      <c r="AAJ13" s="15">
        <v>501</v>
      </c>
      <c r="AAK13" s="15">
        <v>501</v>
      </c>
      <c r="AAL13" s="15"/>
      <c r="AAM13" s="15">
        <v>501</v>
      </c>
      <c r="AAN13" s="15">
        <v>501</v>
      </c>
      <c r="AAO13" s="21">
        <v>501</v>
      </c>
      <c r="AAP13" s="21">
        <v>501</v>
      </c>
      <c r="AAQ13" s="21">
        <v>501</v>
      </c>
      <c r="AAR13" s="21">
        <v>501</v>
      </c>
      <c r="AAS13" s="21">
        <v>501</v>
      </c>
      <c r="AAT13" s="15">
        <v>501</v>
      </c>
      <c r="AAU13" s="15">
        <v>501</v>
      </c>
      <c r="AAV13" s="15">
        <v>501</v>
      </c>
      <c r="AAW13" s="15">
        <v>501</v>
      </c>
      <c r="AAX13" s="15"/>
      <c r="AAY13" s="15">
        <v>501</v>
      </c>
      <c r="AAZ13" s="15">
        <v>501</v>
      </c>
      <c r="ABA13" s="21">
        <v>501</v>
      </c>
      <c r="ABB13" s="21">
        <v>501</v>
      </c>
      <c r="ABC13" s="21">
        <v>501</v>
      </c>
      <c r="ABD13" s="21">
        <v>501</v>
      </c>
      <c r="ABE13" s="21">
        <v>501</v>
      </c>
      <c r="ABF13" s="15">
        <v>501</v>
      </c>
      <c r="ABG13" s="15">
        <v>501</v>
      </c>
      <c r="ABH13" s="15">
        <v>501</v>
      </c>
      <c r="ABI13" s="15">
        <v>501</v>
      </c>
      <c r="ABJ13" s="15">
        <v>501</v>
      </c>
      <c r="ABK13" s="15">
        <v>501</v>
      </c>
      <c r="ABL13" s="15">
        <v>501</v>
      </c>
      <c r="ABM13" s="15">
        <v>501</v>
      </c>
      <c r="ABN13" s="15">
        <v>501</v>
      </c>
      <c r="ABO13" s="15">
        <v>501</v>
      </c>
      <c r="ABP13" s="15">
        <v>501</v>
      </c>
      <c r="ABQ13" s="15">
        <v>501</v>
      </c>
      <c r="ABR13" s="15">
        <v>501</v>
      </c>
      <c r="ABS13" s="15">
        <v>501</v>
      </c>
      <c r="ABT13" s="15">
        <v>501</v>
      </c>
      <c r="ABU13" s="15">
        <v>501</v>
      </c>
      <c r="ABV13" s="15">
        <v>501</v>
      </c>
      <c r="ABW13" s="15">
        <v>501</v>
      </c>
      <c r="ABX13" s="15">
        <v>501</v>
      </c>
      <c r="ABY13" s="15">
        <v>501</v>
      </c>
      <c r="ABZ13" s="15">
        <v>501</v>
      </c>
      <c r="ACA13" s="15">
        <v>501</v>
      </c>
      <c r="ACB13" s="15">
        <v>501</v>
      </c>
      <c r="ACC13" s="15">
        <v>501</v>
      </c>
      <c r="ACD13" s="15">
        <v>501</v>
      </c>
      <c r="ACE13" s="15">
        <v>501</v>
      </c>
      <c r="ACF13" s="15">
        <v>501</v>
      </c>
      <c r="ACG13" s="15">
        <v>501</v>
      </c>
      <c r="ACH13" s="15">
        <v>501</v>
      </c>
      <c r="ACI13" s="15">
        <v>501</v>
      </c>
      <c r="ACJ13" s="15">
        <v>501</v>
      </c>
      <c r="ACK13" s="15">
        <v>501</v>
      </c>
      <c r="ACL13" s="15">
        <v>501</v>
      </c>
      <c r="ACM13" s="15">
        <v>501</v>
      </c>
      <c r="ACN13" s="15">
        <v>501</v>
      </c>
      <c r="ACO13" s="15">
        <v>501</v>
      </c>
      <c r="ACP13" s="15">
        <v>501</v>
      </c>
      <c r="ACQ13" s="15">
        <v>501</v>
      </c>
      <c r="ACR13" s="15">
        <v>501</v>
      </c>
      <c r="ACS13" s="15">
        <v>501</v>
      </c>
      <c r="ACT13" s="15">
        <v>501</v>
      </c>
      <c r="ACU13" s="15">
        <v>501</v>
      </c>
      <c r="ACV13" s="15">
        <v>501</v>
      </c>
      <c r="ACW13" s="15">
        <v>501</v>
      </c>
      <c r="ACX13" s="15">
        <v>501</v>
      </c>
      <c r="ACY13" s="15">
        <v>501</v>
      </c>
      <c r="ACZ13" s="15">
        <v>501</v>
      </c>
      <c r="ADA13" s="15">
        <v>501</v>
      </c>
      <c r="ADB13" s="15">
        <v>501</v>
      </c>
      <c r="ADC13" s="15">
        <v>501</v>
      </c>
      <c r="ADD13" s="15">
        <v>501</v>
      </c>
      <c r="ADE13" s="15">
        <v>501</v>
      </c>
      <c r="ADF13" s="15">
        <v>501</v>
      </c>
      <c r="ADG13" s="15">
        <v>501</v>
      </c>
      <c r="ADH13" s="15"/>
      <c r="ADI13" s="15">
        <v>501</v>
      </c>
      <c r="ADJ13" s="15">
        <v>501</v>
      </c>
      <c r="ADK13" s="21">
        <v>501</v>
      </c>
      <c r="ADL13" s="21">
        <v>501</v>
      </c>
      <c r="ADM13" s="21">
        <v>501</v>
      </c>
      <c r="ADN13" s="21">
        <v>501</v>
      </c>
      <c r="ADO13" s="21">
        <v>501</v>
      </c>
      <c r="ADP13" s="15">
        <v>501</v>
      </c>
      <c r="ADQ13" s="15">
        <v>501</v>
      </c>
      <c r="ADR13" s="15">
        <v>501</v>
      </c>
      <c r="ADS13" s="15">
        <v>501</v>
      </c>
      <c r="ADT13" s="15">
        <v>501</v>
      </c>
      <c r="ADU13" s="15">
        <v>501</v>
      </c>
      <c r="ADV13" s="15">
        <v>501</v>
      </c>
      <c r="ADW13" s="15">
        <v>501</v>
      </c>
      <c r="ADX13" s="15">
        <v>501</v>
      </c>
      <c r="ADY13" s="15">
        <v>501</v>
      </c>
      <c r="ADZ13" s="15">
        <v>501</v>
      </c>
      <c r="AEA13" s="15">
        <v>501</v>
      </c>
      <c r="AEB13" s="15">
        <v>501</v>
      </c>
      <c r="AEC13" s="15">
        <v>501</v>
      </c>
      <c r="AED13" s="15">
        <v>501</v>
      </c>
      <c r="AEE13" s="15">
        <v>501</v>
      </c>
      <c r="AEF13" s="15">
        <v>501</v>
      </c>
      <c r="AEG13" s="15">
        <v>501</v>
      </c>
      <c r="AEH13" s="15">
        <v>501</v>
      </c>
      <c r="AEI13" s="15">
        <v>501</v>
      </c>
      <c r="AEJ13" s="15">
        <v>501</v>
      </c>
      <c r="AEK13" s="15">
        <v>501</v>
      </c>
      <c r="AEL13" s="15">
        <v>501</v>
      </c>
      <c r="AEM13" s="15">
        <v>501</v>
      </c>
      <c r="AEN13" s="15">
        <v>501</v>
      </c>
      <c r="AEO13" s="15">
        <v>501</v>
      </c>
      <c r="AEP13" s="15">
        <v>501</v>
      </c>
      <c r="AEQ13" s="15">
        <v>501</v>
      </c>
      <c r="AER13" s="15">
        <v>501</v>
      </c>
      <c r="AES13" s="15">
        <v>501</v>
      </c>
      <c r="AET13" s="15">
        <v>501</v>
      </c>
      <c r="AEU13" s="15">
        <v>501</v>
      </c>
      <c r="AEV13" s="15">
        <v>501</v>
      </c>
      <c r="AEW13" s="15">
        <v>501</v>
      </c>
      <c r="AEX13" s="15">
        <v>501</v>
      </c>
      <c r="AEY13" s="15">
        <v>501</v>
      </c>
      <c r="AEZ13" s="15">
        <v>501</v>
      </c>
      <c r="AFA13" s="15">
        <v>501</v>
      </c>
      <c r="AFB13" s="15">
        <v>501</v>
      </c>
      <c r="AFC13" s="15">
        <v>501</v>
      </c>
      <c r="AFD13" s="15">
        <v>501</v>
      </c>
      <c r="AFE13" s="15">
        <v>501</v>
      </c>
      <c r="AFF13" s="15">
        <v>501</v>
      </c>
      <c r="AFG13" s="15">
        <v>501</v>
      </c>
      <c r="AFH13" s="15">
        <v>501</v>
      </c>
      <c r="AFI13" s="15">
        <v>501</v>
      </c>
      <c r="AFJ13" s="15">
        <v>501</v>
      </c>
      <c r="AFK13" s="15">
        <v>501</v>
      </c>
      <c r="AFL13" s="15">
        <v>501</v>
      </c>
      <c r="AFM13" s="15">
        <v>501</v>
      </c>
      <c r="AFN13" s="15">
        <v>501</v>
      </c>
      <c r="AFO13" s="15">
        <v>501</v>
      </c>
      <c r="AFP13" s="15">
        <v>501</v>
      </c>
      <c r="AFQ13" s="15">
        <v>501</v>
      </c>
      <c r="AFR13" s="15"/>
      <c r="AFS13" s="15">
        <v>501</v>
      </c>
      <c r="AFT13" s="15">
        <v>501</v>
      </c>
      <c r="AFU13" s="15">
        <v>501</v>
      </c>
      <c r="AFV13" s="15">
        <v>501</v>
      </c>
      <c r="AFW13" s="15">
        <v>501</v>
      </c>
      <c r="AFX13" s="15">
        <v>501</v>
      </c>
      <c r="AFY13" s="15">
        <v>501</v>
      </c>
      <c r="AFZ13" s="15">
        <v>501</v>
      </c>
      <c r="AGA13" s="15">
        <v>501</v>
      </c>
      <c r="AGB13" s="15">
        <v>501</v>
      </c>
      <c r="AGC13" s="15">
        <v>501</v>
      </c>
      <c r="AGD13" s="15">
        <v>501</v>
      </c>
      <c r="AGE13" s="15">
        <v>501</v>
      </c>
      <c r="AGF13" s="15">
        <v>501</v>
      </c>
      <c r="AGG13" s="15">
        <v>501</v>
      </c>
      <c r="AGH13" s="15">
        <v>501</v>
      </c>
      <c r="AGI13" s="15">
        <v>501</v>
      </c>
      <c r="AGJ13" s="15">
        <v>501</v>
      </c>
      <c r="AGK13" s="15">
        <v>501</v>
      </c>
      <c r="AGL13" s="15">
        <v>501</v>
      </c>
      <c r="AGM13" s="15">
        <v>501</v>
      </c>
      <c r="AGN13" s="15">
        <v>501</v>
      </c>
      <c r="AGO13" s="15">
        <v>501</v>
      </c>
      <c r="AGP13" s="15">
        <v>501</v>
      </c>
      <c r="AGQ13" s="15">
        <v>501</v>
      </c>
      <c r="AGR13" s="15">
        <v>501</v>
      </c>
      <c r="AGS13" s="15">
        <v>501</v>
      </c>
      <c r="AGT13" s="15">
        <v>501</v>
      </c>
      <c r="AGU13" s="15">
        <v>501</v>
      </c>
      <c r="AGV13" s="15">
        <v>501</v>
      </c>
      <c r="AGW13" s="15">
        <v>501</v>
      </c>
      <c r="AGX13" s="15">
        <v>501</v>
      </c>
      <c r="AGY13" s="15">
        <v>501</v>
      </c>
      <c r="AGZ13" s="15">
        <v>501</v>
      </c>
      <c r="AHA13" s="15">
        <v>501</v>
      </c>
      <c r="AHB13" s="15">
        <v>501</v>
      </c>
      <c r="AHC13" s="15">
        <v>501</v>
      </c>
      <c r="AHD13" s="15">
        <v>501</v>
      </c>
      <c r="AHE13" s="15">
        <v>501</v>
      </c>
      <c r="AHF13" s="15">
        <v>501</v>
      </c>
      <c r="AHG13" s="15">
        <v>501</v>
      </c>
      <c r="AHH13" s="15">
        <v>501</v>
      </c>
      <c r="AHI13" s="15">
        <v>501</v>
      </c>
      <c r="AHJ13" s="15">
        <v>501</v>
      </c>
      <c r="AHK13" s="15">
        <v>501</v>
      </c>
      <c r="AHL13" s="15">
        <v>501</v>
      </c>
      <c r="AHM13" s="15">
        <v>501</v>
      </c>
      <c r="AHN13" s="15">
        <v>501</v>
      </c>
      <c r="AHO13" s="15">
        <v>501</v>
      </c>
      <c r="AHP13" s="15">
        <v>501</v>
      </c>
      <c r="AHQ13" s="15">
        <v>501</v>
      </c>
      <c r="AHR13" s="15">
        <v>501</v>
      </c>
      <c r="AHS13" s="15">
        <v>501</v>
      </c>
      <c r="AHT13" s="15">
        <v>501</v>
      </c>
      <c r="AHU13" s="15">
        <v>501</v>
      </c>
      <c r="AHV13" s="15">
        <v>501</v>
      </c>
      <c r="AHW13" s="15">
        <v>501</v>
      </c>
      <c r="AHX13" s="15">
        <v>501</v>
      </c>
      <c r="AHY13" s="15">
        <v>501</v>
      </c>
      <c r="AHZ13" s="15">
        <v>501</v>
      </c>
      <c r="AIA13" s="15">
        <v>501</v>
      </c>
      <c r="AIB13" s="15">
        <v>501</v>
      </c>
      <c r="AIC13" s="15">
        <v>501</v>
      </c>
      <c r="AID13" s="15">
        <v>501</v>
      </c>
      <c r="AIE13" s="15">
        <v>501</v>
      </c>
      <c r="AIF13" s="15">
        <v>501</v>
      </c>
      <c r="AIG13" s="15">
        <v>501</v>
      </c>
      <c r="AIH13" s="15">
        <v>501</v>
      </c>
      <c r="AII13" s="15">
        <v>501</v>
      </c>
      <c r="AIJ13" s="15">
        <v>501</v>
      </c>
      <c r="AIK13" s="15">
        <v>501</v>
      </c>
      <c r="AIL13" s="15">
        <v>501</v>
      </c>
      <c r="AIM13" s="15">
        <v>501</v>
      </c>
      <c r="AIN13" s="15">
        <v>501</v>
      </c>
      <c r="AIO13" s="15">
        <v>501</v>
      </c>
      <c r="AIP13" s="15">
        <v>501</v>
      </c>
      <c r="AIQ13" s="15">
        <v>501</v>
      </c>
      <c r="AIR13" s="15">
        <v>501</v>
      </c>
      <c r="AIS13" s="15">
        <v>501</v>
      </c>
      <c r="AIT13" s="15">
        <v>501</v>
      </c>
      <c r="AIU13" s="15">
        <v>501</v>
      </c>
      <c r="AIV13" s="15">
        <v>501</v>
      </c>
      <c r="AIW13" s="15">
        <v>501</v>
      </c>
      <c r="AIX13" s="15">
        <v>501</v>
      </c>
      <c r="AIY13" s="15">
        <v>501</v>
      </c>
      <c r="AIZ13" s="15">
        <v>501</v>
      </c>
      <c r="AJA13" s="15">
        <v>501</v>
      </c>
      <c r="AJB13" s="15">
        <v>501</v>
      </c>
      <c r="AJC13" s="15">
        <v>501</v>
      </c>
      <c r="AJD13" s="15">
        <v>501</v>
      </c>
      <c r="AJE13" s="15">
        <v>501</v>
      </c>
      <c r="AJF13" s="15"/>
      <c r="AJG13" s="15">
        <v>501</v>
      </c>
      <c r="AJH13" s="15">
        <v>501</v>
      </c>
      <c r="AJI13" s="15">
        <v>501</v>
      </c>
      <c r="AJJ13" s="15">
        <v>501</v>
      </c>
      <c r="AJK13" s="15">
        <v>501</v>
      </c>
      <c r="AJL13" s="15">
        <v>501</v>
      </c>
      <c r="AJM13" s="15">
        <v>501</v>
      </c>
      <c r="AJN13" s="15"/>
      <c r="AJO13" s="15">
        <v>501</v>
      </c>
      <c r="AJP13" s="15">
        <v>501</v>
      </c>
      <c r="AJQ13" s="15">
        <v>501</v>
      </c>
      <c r="AJR13" s="15">
        <v>501</v>
      </c>
      <c r="AJS13" s="15">
        <v>501</v>
      </c>
      <c r="AJT13" s="15">
        <v>501</v>
      </c>
      <c r="AJU13" s="15">
        <v>501</v>
      </c>
      <c r="AJV13" s="15">
        <v>501</v>
      </c>
      <c r="AJW13" s="15">
        <v>501</v>
      </c>
      <c r="AJX13" s="15"/>
      <c r="AJY13" s="15">
        <v>501</v>
      </c>
      <c r="AJZ13" s="15">
        <v>501</v>
      </c>
      <c r="AKA13" s="15">
        <v>501</v>
      </c>
      <c r="AKB13" s="15">
        <v>501</v>
      </c>
      <c r="AKC13" s="15">
        <v>501</v>
      </c>
      <c r="AKD13" s="15">
        <v>501</v>
      </c>
      <c r="AKE13" s="15">
        <v>501</v>
      </c>
      <c r="AKF13" s="15">
        <v>501</v>
      </c>
      <c r="AKG13" s="15">
        <v>501</v>
      </c>
      <c r="AKH13" s="15">
        <v>501</v>
      </c>
      <c r="AKI13" s="15"/>
      <c r="AKJ13" s="15">
        <v>501</v>
      </c>
      <c r="AKK13" s="15">
        <v>501</v>
      </c>
      <c r="AKL13" s="21">
        <v>501</v>
      </c>
      <c r="AKM13" s="21">
        <v>501</v>
      </c>
      <c r="AKN13" s="21">
        <v>501</v>
      </c>
      <c r="AKO13" s="21">
        <v>501</v>
      </c>
      <c r="AKP13" s="21">
        <v>501</v>
      </c>
      <c r="AKQ13" s="15">
        <v>501</v>
      </c>
      <c r="AKR13" s="15">
        <v>501</v>
      </c>
      <c r="AKS13" s="15">
        <v>501</v>
      </c>
      <c r="AKT13" s="15">
        <v>501</v>
      </c>
      <c r="AKU13" s="15">
        <v>501</v>
      </c>
      <c r="AKV13" s="15">
        <v>501</v>
      </c>
      <c r="AKW13" s="15">
        <v>501</v>
      </c>
      <c r="AKX13" s="15"/>
      <c r="AKY13" s="15">
        <v>501</v>
      </c>
      <c r="AKZ13" s="15">
        <v>501</v>
      </c>
      <c r="ALA13" s="21">
        <v>501</v>
      </c>
      <c r="ALB13" s="21">
        <v>501</v>
      </c>
      <c r="ALC13" s="21">
        <v>501</v>
      </c>
      <c r="ALD13" s="21">
        <v>501</v>
      </c>
      <c r="ALE13" s="21">
        <v>501</v>
      </c>
      <c r="ALF13" s="15">
        <v>501</v>
      </c>
      <c r="ALG13" s="15">
        <v>501</v>
      </c>
      <c r="ALH13" s="15">
        <v>501</v>
      </c>
      <c r="ALI13" s="15">
        <v>501</v>
      </c>
      <c r="ALJ13" s="15">
        <v>501</v>
      </c>
      <c r="ALK13" s="15">
        <v>501</v>
      </c>
      <c r="ALL13" s="15">
        <v>501</v>
      </c>
      <c r="ALM13" s="15"/>
      <c r="ALN13" s="15">
        <v>501</v>
      </c>
      <c r="ALO13" s="15">
        <v>501</v>
      </c>
      <c r="ALP13" s="15">
        <v>501</v>
      </c>
      <c r="ALQ13" s="15">
        <v>501</v>
      </c>
      <c r="ALR13" s="15">
        <v>501</v>
      </c>
      <c r="ALS13" s="15">
        <v>501</v>
      </c>
      <c r="ALT13" s="15">
        <v>501</v>
      </c>
      <c r="ALU13" s="15">
        <v>501</v>
      </c>
      <c r="ALV13" s="15">
        <v>501</v>
      </c>
      <c r="ALW13" s="15">
        <v>501</v>
      </c>
      <c r="ALX13" s="15">
        <v>501</v>
      </c>
      <c r="ALY13" s="15">
        <v>501</v>
      </c>
      <c r="ALZ13" s="15">
        <v>501</v>
      </c>
      <c r="AMA13" s="15">
        <v>501</v>
      </c>
      <c r="AMB13" s="15">
        <v>501</v>
      </c>
      <c r="AMC13" s="15"/>
      <c r="AMD13" s="15">
        <v>501</v>
      </c>
      <c r="AME13" s="15">
        <v>501</v>
      </c>
      <c r="AMF13" s="15">
        <v>501</v>
      </c>
      <c r="AMG13" s="15">
        <v>501</v>
      </c>
      <c r="AMH13" s="15">
        <v>501</v>
      </c>
      <c r="AMI13" s="15">
        <v>501</v>
      </c>
      <c r="AMJ13" s="15">
        <v>501</v>
      </c>
      <c r="AMK13" s="15">
        <v>501</v>
      </c>
      <c r="AML13" s="15">
        <v>501</v>
      </c>
      <c r="AMM13" s="15">
        <v>501</v>
      </c>
      <c r="AMN13" s="15">
        <v>501</v>
      </c>
      <c r="AMO13" s="15">
        <v>501</v>
      </c>
      <c r="AMP13" s="15">
        <v>501</v>
      </c>
      <c r="AMQ13" s="15">
        <v>501</v>
      </c>
      <c r="AMR13" s="15">
        <v>501</v>
      </c>
      <c r="AMS13" s="15">
        <v>501</v>
      </c>
      <c r="AMT13" s="15">
        <v>501</v>
      </c>
      <c r="AMU13" s="15">
        <v>501</v>
      </c>
      <c r="AMV13" s="15">
        <v>501</v>
      </c>
      <c r="AMW13" s="15">
        <v>501</v>
      </c>
      <c r="AMX13" s="15">
        <v>501</v>
      </c>
      <c r="AMY13" s="15">
        <v>501</v>
      </c>
      <c r="AMZ13" s="15">
        <v>501</v>
      </c>
      <c r="ANA13" s="15">
        <v>501</v>
      </c>
      <c r="ANB13" s="15">
        <v>501</v>
      </c>
      <c r="ANC13" s="15">
        <v>501</v>
      </c>
      <c r="AND13" s="15">
        <v>501</v>
      </c>
      <c r="ANE13" s="15"/>
      <c r="ANF13" s="15"/>
      <c r="ANG13" s="15"/>
      <c r="ANH13" s="15"/>
      <c r="ANI13" s="15"/>
      <c r="ANJ13" s="15"/>
      <c r="ANK13" s="15"/>
      <c r="ANL13" s="15"/>
      <c r="ANM13" s="15"/>
      <c r="ANN13" s="15"/>
      <c r="ANO13" s="15"/>
      <c r="ANP13" s="15"/>
      <c r="ANQ13" s="15"/>
      <c r="ANR13" s="15"/>
      <c r="ANS13" s="15"/>
      <c r="ANT13" s="15"/>
      <c r="ANU13" s="15"/>
      <c r="ANV13" s="15"/>
      <c r="ANW13" s="15"/>
      <c r="ANX13" s="15"/>
      <c r="ANY13" s="15"/>
      <c r="ANZ13" s="15"/>
      <c r="AOA13" s="15"/>
      <c r="AOB13" s="15"/>
      <c r="AOC13" s="15"/>
      <c r="AOD13" s="15"/>
      <c r="AOE13" s="15"/>
      <c r="AOF13" s="15"/>
      <c r="AOG13" s="15"/>
      <c r="AOH13" s="15"/>
      <c r="AOI13" s="15"/>
      <c r="AOJ13" s="15"/>
      <c r="AOK13" s="15"/>
      <c r="AOL13" s="15"/>
      <c r="AOM13" s="15"/>
      <c r="AON13" s="15"/>
      <c r="AOO13" s="15"/>
      <c r="AOP13" s="15"/>
      <c r="AOQ13" s="15"/>
      <c r="AOR13" s="15"/>
      <c r="AOS13" s="15"/>
      <c r="AOT13" s="15"/>
      <c r="AOU13" s="15"/>
      <c r="AOV13" s="15"/>
      <c r="AOW13" s="15"/>
      <c r="AOX13" s="15"/>
      <c r="AOY13" s="15"/>
      <c r="AOZ13" s="15"/>
      <c r="APA13" s="15"/>
      <c r="APB13" s="15"/>
      <c r="APC13" s="15"/>
      <c r="APD13" s="15"/>
      <c r="APE13" s="15"/>
      <c r="APF13" s="15"/>
      <c r="APG13" s="15"/>
      <c r="APH13" s="15"/>
      <c r="API13" s="15"/>
      <c r="APJ13" s="15"/>
      <c r="APK13" s="15"/>
      <c r="APL13" s="15"/>
      <c r="APM13" s="15"/>
      <c r="APN13" s="15"/>
      <c r="APO13" s="15"/>
      <c r="APP13" s="15"/>
      <c r="APQ13" s="15"/>
      <c r="APR13" s="15"/>
      <c r="APS13" s="15"/>
      <c r="APT13" s="15"/>
      <c r="APU13" s="15"/>
      <c r="APV13" s="15"/>
      <c r="APW13" s="15"/>
      <c r="APX13" s="15"/>
      <c r="APY13" s="15"/>
      <c r="APZ13" s="15"/>
      <c r="AQA13" s="15"/>
      <c r="AQB13" s="15"/>
    </row>
    <row r="14" spans="1:1120" s="17" customFormat="1" ht="15" customHeight="1" x14ac:dyDescent="0.25">
      <c r="A14" s="5" t="s">
        <v>1</v>
      </c>
      <c r="B14" s="6" t="s">
        <v>25</v>
      </c>
      <c r="C14" s="15">
        <v>300</v>
      </c>
      <c r="D14" s="15">
        <v>300</v>
      </c>
      <c r="E14" s="15">
        <v>300</v>
      </c>
      <c r="F14" s="15">
        <v>300</v>
      </c>
      <c r="G14" s="15">
        <v>300</v>
      </c>
      <c r="H14" s="15">
        <v>300</v>
      </c>
      <c r="I14" s="15">
        <v>300</v>
      </c>
      <c r="J14" s="15"/>
      <c r="K14" s="15">
        <v>300</v>
      </c>
      <c r="L14" s="15">
        <v>300</v>
      </c>
      <c r="M14" s="15">
        <v>300</v>
      </c>
      <c r="N14" s="15">
        <v>300</v>
      </c>
      <c r="O14" s="15">
        <v>300</v>
      </c>
      <c r="P14" s="15">
        <v>300</v>
      </c>
      <c r="Q14" s="15"/>
      <c r="R14" s="15">
        <v>300</v>
      </c>
      <c r="S14" s="15">
        <v>300</v>
      </c>
      <c r="T14" s="15">
        <v>300</v>
      </c>
      <c r="U14" s="15">
        <v>300</v>
      </c>
      <c r="V14" s="15">
        <v>300</v>
      </c>
      <c r="W14" s="15">
        <v>300</v>
      </c>
      <c r="X14" s="15"/>
      <c r="Y14" s="15">
        <v>300</v>
      </c>
      <c r="Z14" s="15">
        <v>300</v>
      </c>
      <c r="AA14" s="15">
        <v>300</v>
      </c>
      <c r="AB14" s="15">
        <v>300</v>
      </c>
      <c r="AC14" s="15">
        <v>300</v>
      </c>
      <c r="AD14" s="15">
        <v>300</v>
      </c>
      <c r="AE14" s="15"/>
      <c r="AF14" s="15">
        <v>300</v>
      </c>
      <c r="AG14" s="15">
        <v>300</v>
      </c>
      <c r="AH14" s="15">
        <v>300</v>
      </c>
      <c r="AI14" s="15">
        <v>300</v>
      </c>
      <c r="AJ14" s="15">
        <v>300</v>
      </c>
      <c r="AK14" s="15">
        <v>300</v>
      </c>
      <c r="AL14" s="15"/>
      <c r="AM14" s="15">
        <v>300</v>
      </c>
      <c r="AN14" s="15">
        <v>300</v>
      </c>
      <c r="AO14" s="15">
        <v>300</v>
      </c>
      <c r="AP14" s="15">
        <v>300</v>
      </c>
      <c r="AQ14" s="15">
        <v>300</v>
      </c>
      <c r="AR14" s="15">
        <v>300</v>
      </c>
      <c r="AS14" s="15">
        <v>300</v>
      </c>
      <c r="AT14" s="21">
        <v>300</v>
      </c>
      <c r="AU14" s="21">
        <v>300</v>
      </c>
      <c r="AV14" s="21">
        <v>300</v>
      </c>
      <c r="AW14" s="21">
        <v>300</v>
      </c>
      <c r="AX14" s="21">
        <v>300</v>
      </c>
      <c r="AY14" s="21">
        <v>300</v>
      </c>
      <c r="AZ14" s="21">
        <v>300</v>
      </c>
      <c r="BA14" s="21">
        <v>300</v>
      </c>
      <c r="BB14" s="21">
        <v>300</v>
      </c>
      <c r="BC14" s="15">
        <v>300</v>
      </c>
      <c r="BD14" s="15">
        <v>300</v>
      </c>
      <c r="BE14" s="15">
        <v>300</v>
      </c>
      <c r="BF14" s="21">
        <v>300</v>
      </c>
      <c r="BG14" s="21">
        <v>300</v>
      </c>
      <c r="BH14" s="21">
        <v>300</v>
      </c>
      <c r="BI14" s="21">
        <v>300</v>
      </c>
      <c r="BJ14" s="21">
        <v>300</v>
      </c>
      <c r="BK14" s="21">
        <v>300</v>
      </c>
      <c r="BL14" s="21">
        <v>300</v>
      </c>
      <c r="BM14" s="21">
        <v>300</v>
      </c>
      <c r="BN14" s="15">
        <v>300</v>
      </c>
      <c r="BO14" s="15">
        <v>300</v>
      </c>
      <c r="BP14" s="21">
        <v>300</v>
      </c>
      <c r="BQ14" s="21">
        <v>300</v>
      </c>
      <c r="BR14" s="21">
        <v>300</v>
      </c>
      <c r="BS14" s="21">
        <v>300</v>
      </c>
      <c r="BT14" s="21">
        <v>300</v>
      </c>
      <c r="BU14" s="21">
        <v>300</v>
      </c>
      <c r="BV14" s="21">
        <v>300</v>
      </c>
      <c r="BW14" s="21">
        <v>300</v>
      </c>
      <c r="BX14" s="15">
        <v>300</v>
      </c>
      <c r="BY14" s="15">
        <v>300</v>
      </c>
      <c r="BZ14" s="21">
        <v>300</v>
      </c>
      <c r="CA14" s="21">
        <v>300</v>
      </c>
      <c r="CB14" s="21">
        <v>300</v>
      </c>
      <c r="CC14" s="21">
        <v>300</v>
      </c>
      <c r="CD14" s="21">
        <v>300</v>
      </c>
      <c r="CE14" s="21">
        <v>300</v>
      </c>
      <c r="CF14" s="21">
        <v>300</v>
      </c>
      <c r="CG14" s="21">
        <v>300</v>
      </c>
      <c r="CH14" s="21">
        <v>300</v>
      </c>
      <c r="CI14" s="21">
        <v>300</v>
      </c>
      <c r="CJ14" s="21">
        <v>300</v>
      </c>
      <c r="CK14" s="21">
        <v>300</v>
      </c>
      <c r="CL14" s="21">
        <v>300</v>
      </c>
      <c r="CM14" s="15">
        <v>300</v>
      </c>
      <c r="CN14" s="15">
        <v>300</v>
      </c>
      <c r="CO14" s="21">
        <v>300</v>
      </c>
      <c r="CP14" s="21">
        <v>300</v>
      </c>
      <c r="CQ14" s="21">
        <v>300</v>
      </c>
      <c r="CR14" s="21">
        <v>300</v>
      </c>
      <c r="CS14" s="21">
        <v>300</v>
      </c>
      <c r="CT14" s="21">
        <v>300</v>
      </c>
      <c r="CU14" s="21">
        <v>300</v>
      </c>
      <c r="CV14" s="21">
        <v>300</v>
      </c>
      <c r="CW14" s="21">
        <v>300</v>
      </c>
      <c r="CX14" s="21">
        <v>300</v>
      </c>
      <c r="CY14" s="21">
        <v>300</v>
      </c>
      <c r="CZ14" s="21">
        <v>300</v>
      </c>
      <c r="DA14" s="21">
        <v>300</v>
      </c>
      <c r="DB14" s="15">
        <v>300</v>
      </c>
      <c r="DC14" s="15">
        <v>300</v>
      </c>
      <c r="DD14" s="21">
        <v>300</v>
      </c>
      <c r="DE14" s="21">
        <v>300</v>
      </c>
      <c r="DF14" s="21">
        <v>300</v>
      </c>
      <c r="DG14" s="21">
        <v>300</v>
      </c>
      <c r="DH14" s="21">
        <v>300</v>
      </c>
      <c r="DI14" s="21">
        <v>300</v>
      </c>
      <c r="DJ14" s="21">
        <v>300</v>
      </c>
      <c r="DK14" s="21">
        <v>300</v>
      </c>
      <c r="DL14" s="21">
        <v>300</v>
      </c>
      <c r="DM14" s="21">
        <v>300</v>
      </c>
      <c r="DN14" s="21">
        <v>300</v>
      </c>
      <c r="DO14" s="21">
        <v>300</v>
      </c>
      <c r="DP14" s="21">
        <v>300</v>
      </c>
      <c r="DQ14" s="15">
        <v>300</v>
      </c>
      <c r="DR14" s="15">
        <v>300</v>
      </c>
      <c r="DS14" s="21">
        <v>300</v>
      </c>
      <c r="DT14" s="21">
        <v>300</v>
      </c>
      <c r="DU14" s="21">
        <v>300</v>
      </c>
      <c r="DV14" s="21">
        <v>300</v>
      </c>
      <c r="DW14" s="21">
        <v>300</v>
      </c>
      <c r="DX14" s="21">
        <v>300</v>
      </c>
      <c r="DY14" s="21">
        <v>300</v>
      </c>
      <c r="DZ14" s="21">
        <v>300</v>
      </c>
      <c r="EA14" s="21">
        <v>300</v>
      </c>
      <c r="EB14" s="21">
        <v>300</v>
      </c>
      <c r="EC14" s="15">
        <v>300</v>
      </c>
      <c r="ED14" s="15">
        <v>300</v>
      </c>
      <c r="EE14" s="21">
        <v>300</v>
      </c>
      <c r="EF14" s="21">
        <v>300</v>
      </c>
      <c r="EG14" s="21">
        <v>300</v>
      </c>
      <c r="EH14" s="21">
        <v>300</v>
      </c>
      <c r="EI14" s="21">
        <v>300</v>
      </c>
      <c r="EJ14" s="21">
        <v>300</v>
      </c>
      <c r="EK14" s="21">
        <v>300</v>
      </c>
      <c r="EL14" s="21">
        <v>300</v>
      </c>
      <c r="EM14" s="21">
        <v>300</v>
      </c>
      <c r="EN14" s="21">
        <v>300</v>
      </c>
      <c r="EO14" s="15">
        <v>300</v>
      </c>
      <c r="EP14" s="15">
        <v>300</v>
      </c>
      <c r="EQ14" s="21">
        <v>300</v>
      </c>
      <c r="ER14" s="21">
        <v>300</v>
      </c>
      <c r="ES14" s="21">
        <v>300</v>
      </c>
      <c r="ET14" s="21">
        <v>300</v>
      </c>
      <c r="EU14" s="21">
        <v>300</v>
      </c>
      <c r="EV14" s="21">
        <v>300</v>
      </c>
      <c r="EW14" s="21">
        <v>300</v>
      </c>
      <c r="EX14" s="21">
        <v>300</v>
      </c>
      <c r="EY14" s="21">
        <v>300</v>
      </c>
      <c r="EZ14" s="21">
        <v>300</v>
      </c>
      <c r="FA14" s="15">
        <v>300</v>
      </c>
      <c r="FB14" s="15">
        <v>300</v>
      </c>
      <c r="FC14" s="15">
        <v>300</v>
      </c>
      <c r="FD14" s="15"/>
      <c r="FE14" s="15">
        <v>300</v>
      </c>
      <c r="FF14" s="15">
        <v>300</v>
      </c>
      <c r="FG14" s="15">
        <v>300</v>
      </c>
      <c r="FH14" s="15">
        <v>300</v>
      </c>
      <c r="FI14" s="15">
        <v>300</v>
      </c>
      <c r="FJ14" s="15">
        <v>300</v>
      </c>
      <c r="FK14" s="15">
        <v>300</v>
      </c>
      <c r="FL14" s="15">
        <v>300</v>
      </c>
      <c r="FM14" s="15">
        <v>300</v>
      </c>
      <c r="FN14" s="15">
        <v>300</v>
      </c>
      <c r="FO14" s="15">
        <v>300</v>
      </c>
      <c r="FP14" s="15">
        <v>300</v>
      </c>
      <c r="FQ14" s="15">
        <v>300</v>
      </c>
      <c r="FR14" s="15">
        <v>300</v>
      </c>
      <c r="FS14" s="15">
        <v>300</v>
      </c>
      <c r="FT14" s="15">
        <v>300</v>
      </c>
      <c r="FU14" s="15">
        <v>300</v>
      </c>
      <c r="FV14" s="15">
        <v>300</v>
      </c>
      <c r="FW14" s="15">
        <v>300</v>
      </c>
      <c r="FX14" s="15">
        <v>300</v>
      </c>
      <c r="FY14" s="15">
        <v>300</v>
      </c>
      <c r="FZ14" s="15">
        <v>300</v>
      </c>
      <c r="GA14" s="15">
        <v>300</v>
      </c>
      <c r="GB14" s="15">
        <v>300</v>
      </c>
      <c r="GC14" s="15">
        <v>300</v>
      </c>
      <c r="GD14" s="15">
        <v>300</v>
      </c>
      <c r="GE14" s="15">
        <v>300</v>
      </c>
      <c r="GF14" s="15">
        <v>300</v>
      </c>
      <c r="GG14" s="15">
        <v>300</v>
      </c>
      <c r="GH14" s="15">
        <v>300</v>
      </c>
      <c r="GI14" s="15">
        <v>300</v>
      </c>
      <c r="GJ14" s="15">
        <v>300</v>
      </c>
      <c r="GK14" s="15">
        <v>300</v>
      </c>
      <c r="GL14" s="15">
        <v>300</v>
      </c>
      <c r="GM14" s="15">
        <v>300</v>
      </c>
      <c r="GN14" s="15">
        <v>300</v>
      </c>
      <c r="GO14" s="15">
        <v>300</v>
      </c>
      <c r="GP14" s="15">
        <v>300</v>
      </c>
      <c r="GQ14" s="15">
        <v>300</v>
      </c>
      <c r="GR14" s="15">
        <v>300</v>
      </c>
      <c r="GS14" s="15">
        <v>300</v>
      </c>
      <c r="GT14" s="15">
        <v>300</v>
      </c>
      <c r="GU14" s="15">
        <v>300</v>
      </c>
      <c r="GV14" s="15">
        <v>300</v>
      </c>
      <c r="GW14" s="15">
        <v>300</v>
      </c>
      <c r="GX14" s="15">
        <v>300</v>
      </c>
      <c r="GY14" s="15">
        <v>300</v>
      </c>
      <c r="GZ14" s="15">
        <v>300</v>
      </c>
      <c r="HA14" s="15">
        <v>300</v>
      </c>
      <c r="HB14" s="15">
        <v>300</v>
      </c>
      <c r="HC14" s="15">
        <v>300</v>
      </c>
      <c r="HD14" s="15">
        <v>300</v>
      </c>
      <c r="HE14" s="15">
        <v>300</v>
      </c>
      <c r="HF14" s="15">
        <v>300</v>
      </c>
      <c r="HG14" s="15">
        <v>300</v>
      </c>
      <c r="HH14" s="15">
        <v>300</v>
      </c>
      <c r="HI14" s="15">
        <v>300</v>
      </c>
      <c r="HJ14" s="15">
        <v>300</v>
      </c>
      <c r="HK14" s="15">
        <v>300</v>
      </c>
      <c r="HL14" s="15">
        <v>300</v>
      </c>
      <c r="HM14" s="15">
        <v>300</v>
      </c>
      <c r="HN14" s="15">
        <v>300</v>
      </c>
      <c r="HO14" s="15">
        <v>300</v>
      </c>
      <c r="HP14" s="15">
        <v>300</v>
      </c>
      <c r="HQ14" s="15">
        <v>300</v>
      </c>
      <c r="HR14" s="15">
        <v>300</v>
      </c>
      <c r="HS14" s="15">
        <v>300</v>
      </c>
      <c r="HT14" s="15">
        <v>300</v>
      </c>
      <c r="HU14" s="15">
        <v>300</v>
      </c>
      <c r="HV14" s="15">
        <v>300</v>
      </c>
      <c r="HW14" s="15">
        <v>300</v>
      </c>
      <c r="HX14" s="15">
        <v>300</v>
      </c>
      <c r="HY14" s="15">
        <v>300</v>
      </c>
      <c r="HZ14" s="15">
        <v>300</v>
      </c>
      <c r="IA14" s="15">
        <v>300</v>
      </c>
      <c r="IB14" s="15"/>
      <c r="IC14" s="15">
        <v>300</v>
      </c>
      <c r="ID14" s="15">
        <v>300</v>
      </c>
      <c r="IE14" s="15">
        <v>300</v>
      </c>
      <c r="IF14" s="15">
        <v>300</v>
      </c>
      <c r="IG14" s="15">
        <v>300</v>
      </c>
      <c r="IH14" s="15">
        <v>300</v>
      </c>
      <c r="II14" s="15">
        <v>300</v>
      </c>
      <c r="IJ14" s="15">
        <v>300</v>
      </c>
      <c r="IK14" s="15"/>
      <c r="IL14" s="15">
        <v>300</v>
      </c>
      <c r="IM14" s="15">
        <v>300</v>
      </c>
      <c r="IN14" s="15">
        <v>300</v>
      </c>
      <c r="IO14" s="15">
        <v>300</v>
      </c>
      <c r="IP14" s="15">
        <v>300</v>
      </c>
      <c r="IQ14" s="15">
        <v>300</v>
      </c>
      <c r="IR14" s="15">
        <v>300</v>
      </c>
      <c r="IS14" s="15">
        <v>300</v>
      </c>
      <c r="IT14" s="15">
        <v>300</v>
      </c>
      <c r="IU14" s="15">
        <v>300</v>
      </c>
      <c r="IV14" s="15">
        <v>300</v>
      </c>
      <c r="IW14" s="15">
        <v>300</v>
      </c>
      <c r="IX14" s="15">
        <v>300</v>
      </c>
      <c r="IY14" s="15">
        <v>300</v>
      </c>
      <c r="IZ14" s="15">
        <v>300</v>
      </c>
      <c r="JA14" s="15">
        <v>300</v>
      </c>
      <c r="JB14" s="15">
        <v>300</v>
      </c>
      <c r="JC14" s="15">
        <v>300</v>
      </c>
      <c r="JD14" s="15">
        <v>300</v>
      </c>
      <c r="JE14" s="15">
        <v>300</v>
      </c>
      <c r="JF14" s="15">
        <v>300</v>
      </c>
      <c r="JG14" s="15">
        <v>300</v>
      </c>
      <c r="JH14" s="15">
        <v>300</v>
      </c>
      <c r="JI14" s="15">
        <v>300</v>
      </c>
      <c r="JJ14" s="15">
        <v>300</v>
      </c>
      <c r="JK14" s="15">
        <v>300</v>
      </c>
      <c r="JL14" s="15">
        <v>300</v>
      </c>
      <c r="JM14" s="15">
        <v>300</v>
      </c>
      <c r="JN14" s="15">
        <v>300</v>
      </c>
      <c r="JO14" s="15">
        <v>300</v>
      </c>
      <c r="JP14" s="15">
        <v>300</v>
      </c>
      <c r="JQ14" s="15">
        <v>300</v>
      </c>
      <c r="JR14" s="15">
        <v>300</v>
      </c>
      <c r="JS14" s="15">
        <v>300</v>
      </c>
      <c r="JT14" s="15">
        <v>300</v>
      </c>
      <c r="JU14" s="15">
        <v>300</v>
      </c>
      <c r="JV14" s="15">
        <v>300</v>
      </c>
      <c r="JW14" s="15">
        <v>300</v>
      </c>
      <c r="JX14" s="15">
        <v>300</v>
      </c>
      <c r="JY14" s="15">
        <v>300</v>
      </c>
      <c r="JZ14" s="15">
        <v>300</v>
      </c>
      <c r="KA14" s="15">
        <v>300</v>
      </c>
      <c r="KB14" s="15">
        <v>300</v>
      </c>
      <c r="KC14" s="15">
        <v>300</v>
      </c>
      <c r="KD14" s="15">
        <v>300</v>
      </c>
      <c r="KE14" s="15">
        <v>300</v>
      </c>
      <c r="KF14" s="15">
        <v>300</v>
      </c>
      <c r="KG14" s="15">
        <v>300</v>
      </c>
      <c r="KH14" s="15">
        <v>300</v>
      </c>
      <c r="KI14" s="15">
        <v>300</v>
      </c>
      <c r="KJ14" s="15">
        <v>300</v>
      </c>
      <c r="KK14" s="15">
        <v>300</v>
      </c>
      <c r="KL14" s="15">
        <v>300</v>
      </c>
      <c r="KM14" s="15">
        <v>300</v>
      </c>
      <c r="KN14" s="15">
        <v>300</v>
      </c>
      <c r="KO14" s="15">
        <v>300</v>
      </c>
      <c r="KP14" s="15">
        <v>300</v>
      </c>
      <c r="KQ14" s="15">
        <v>300</v>
      </c>
      <c r="KR14" s="15">
        <v>300</v>
      </c>
      <c r="KS14" s="15">
        <v>300</v>
      </c>
      <c r="KT14" s="15">
        <v>300</v>
      </c>
      <c r="KU14" s="15">
        <v>300</v>
      </c>
      <c r="KV14" s="15">
        <v>300</v>
      </c>
      <c r="KW14" s="15">
        <v>300</v>
      </c>
      <c r="KX14" s="15">
        <v>300</v>
      </c>
      <c r="KY14" s="15">
        <v>300</v>
      </c>
      <c r="KZ14" s="15">
        <v>300</v>
      </c>
      <c r="LA14" s="15">
        <v>300</v>
      </c>
      <c r="LB14" s="15">
        <v>300</v>
      </c>
      <c r="LC14" s="15">
        <v>300</v>
      </c>
      <c r="LD14" s="15">
        <v>300</v>
      </c>
      <c r="LE14" s="15">
        <v>300</v>
      </c>
      <c r="LF14" s="15">
        <v>300</v>
      </c>
      <c r="LG14" s="15">
        <v>300</v>
      </c>
      <c r="LH14" s="15">
        <v>300</v>
      </c>
      <c r="LI14" s="15">
        <v>300</v>
      </c>
      <c r="LJ14" s="15">
        <v>300</v>
      </c>
      <c r="LK14" s="15">
        <v>300</v>
      </c>
      <c r="LL14" s="15">
        <v>300</v>
      </c>
      <c r="LM14" s="15">
        <v>300</v>
      </c>
      <c r="LN14" s="15">
        <v>300</v>
      </c>
      <c r="LO14" s="15">
        <v>300</v>
      </c>
      <c r="LP14" s="15">
        <v>300</v>
      </c>
      <c r="LQ14" s="15">
        <v>300</v>
      </c>
      <c r="LR14" s="15">
        <v>300</v>
      </c>
      <c r="LS14" s="15">
        <v>300</v>
      </c>
      <c r="LT14" s="15">
        <v>300</v>
      </c>
      <c r="LU14" s="15">
        <v>300</v>
      </c>
      <c r="LV14" s="15">
        <v>300</v>
      </c>
      <c r="LW14" s="15">
        <v>300</v>
      </c>
      <c r="LX14" s="15">
        <v>300</v>
      </c>
      <c r="LY14" s="15">
        <v>300</v>
      </c>
      <c r="LZ14" s="15">
        <v>300</v>
      </c>
      <c r="MA14" s="15">
        <v>300</v>
      </c>
      <c r="MB14" s="15">
        <v>300</v>
      </c>
      <c r="MC14" s="15">
        <v>300</v>
      </c>
      <c r="MD14" s="15">
        <v>300</v>
      </c>
      <c r="ME14" s="15">
        <v>300</v>
      </c>
      <c r="MF14" s="15">
        <v>300</v>
      </c>
      <c r="MG14" s="15">
        <v>300</v>
      </c>
      <c r="MH14" s="15">
        <v>300</v>
      </c>
      <c r="MI14" s="15">
        <v>300</v>
      </c>
      <c r="MJ14" s="15">
        <v>300</v>
      </c>
      <c r="MK14" s="15">
        <v>300</v>
      </c>
      <c r="ML14" s="15">
        <v>300</v>
      </c>
      <c r="MM14" s="15">
        <v>300</v>
      </c>
      <c r="MN14" s="15">
        <v>300</v>
      </c>
      <c r="MO14" s="15">
        <v>300</v>
      </c>
      <c r="MP14" s="15">
        <v>300</v>
      </c>
      <c r="MQ14" s="15">
        <v>300</v>
      </c>
      <c r="MR14" s="15">
        <v>300</v>
      </c>
      <c r="MS14" s="15">
        <v>300</v>
      </c>
      <c r="MT14" s="15">
        <v>300</v>
      </c>
      <c r="MU14" s="15">
        <v>300</v>
      </c>
      <c r="MV14" s="15">
        <v>300</v>
      </c>
      <c r="MW14" s="15">
        <v>300</v>
      </c>
      <c r="MX14" s="15">
        <v>300</v>
      </c>
      <c r="MY14" s="15">
        <v>300</v>
      </c>
      <c r="MZ14" s="15">
        <v>300</v>
      </c>
      <c r="NA14" s="15">
        <v>300</v>
      </c>
      <c r="NB14" s="15">
        <v>300</v>
      </c>
      <c r="NC14" s="15">
        <v>300</v>
      </c>
      <c r="ND14" s="15">
        <v>300</v>
      </c>
      <c r="NE14" s="15">
        <v>300</v>
      </c>
      <c r="NF14" s="15">
        <v>300</v>
      </c>
      <c r="NG14" s="15">
        <v>300</v>
      </c>
      <c r="NH14" s="15">
        <v>300</v>
      </c>
      <c r="NI14" s="15">
        <v>300</v>
      </c>
      <c r="NJ14" s="15">
        <v>300</v>
      </c>
      <c r="NK14" s="15">
        <v>300</v>
      </c>
      <c r="NL14" s="15">
        <v>300</v>
      </c>
      <c r="NM14" s="15">
        <v>300</v>
      </c>
      <c r="NN14" s="15">
        <v>300</v>
      </c>
      <c r="NO14" s="15">
        <v>300</v>
      </c>
      <c r="NP14" s="15">
        <v>300</v>
      </c>
      <c r="NQ14" s="15">
        <v>300</v>
      </c>
      <c r="NR14" s="15">
        <v>300</v>
      </c>
      <c r="NS14" s="15">
        <v>300</v>
      </c>
      <c r="NT14" s="15">
        <v>300</v>
      </c>
      <c r="NU14" s="15">
        <v>300</v>
      </c>
      <c r="NV14" s="15">
        <v>300</v>
      </c>
      <c r="NW14" s="15">
        <v>300</v>
      </c>
      <c r="NX14" s="15">
        <v>300</v>
      </c>
      <c r="NY14" s="15">
        <v>300</v>
      </c>
      <c r="NZ14" s="15">
        <v>300</v>
      </c>
      <c r="OA14" s="15">
        <v>300</v>
      </c>
      <c r="OB14" s="15">
        <v>300</v>
      </c>
      <c r="OC14" s="15">
        <v>300</v>
      </c>
      <c r="OD14" s="15">
        <v>300</v>
      </c>
      <c r="OE14" s="15">
        <v>300</v>
      </c>
      <c r="OF14" s="15">
        <v>300</v>
      </c>
      <c r="OG14" s="15">
        <v>300</v>
      </c>
      <c r="OH14" s="15">
        <v>300</v>
      </c>
      <c r="OI14" s="15">
        <v>300</v>
      </c>
      <c r="OJ14" s="15">
        <v>300</v>
      </c>
      <c r="OK14" s="15">
        <v>300</v>
      </c>
      <c r="OL14" s="15">
        <v>300</v>
      </c>
      <c r="OM14" s="15">
        <v>300</v>
      </c>
      <c r="ON14" s="15">
        <v>300</v>
      </c>
      <c r="OO14" s="15">
        <v>300</v>
      </c>
      <c r="OP14" s="15">
        <v>300</v>
      </c>
      <c r="OQ14" s="15">
        <v>300</v>
      </c>
      <c r="OR14" s="15">
        <v>300</v>
      </c>
      <c r="OS14" s="15">
        <v>300</v>
      </c>
      <c r="OT14" s="15">
        <v>300</v>
      </c>
      <c r="OU14" s="15">
        <v>300</v>
      </c>
      <c r="OV14" s="15">
        <v>300</v>
      </c>
      <c r="OW14" s="15">
        <v>300</v>
      </c>
      <c r="OX14" s="15">
        <v>300</v>
      </c>
      <c r="OY14" s="15">
        <v>300</v>
      </c>
      <c r="OZ14" s="15">
        <v>300</v>
      </c>
      <c r="PA14" s="15">
        <v>300</v>
      </c>
      <c r="PB14" s="15">
        <v>300</v>
      </c>
      <c r="PC14" s="15">
        <v>300</v>
      </c>
      <c r="PD14" s="15">
        <v>300</v>
      </c>
      <c r="PE14" s="15">
        <v>300</v>
      </c>
      <c r="PF14" s="15">
        <v>300</v>
      </c>
      <c r="PG14" s="15">
        <v>300</v>
      </c>
      <c r="PH14" s="15">
        <v>300</v>
      </c>
      <c r="PI14" s="15">
        <v>300</v>
      </c>
      <c r="PJ14" s="15">
        <v>300</v>
      </c>
      <c r="PK14" s="15">
        <v>300</v>
      </c>
      <c r="PL14" s="15">
        <v>300</v>
      </c>
      <c r="PM14" s="15">
        <v>300</v>
      </c>
      <c r="PN14" s="15">
        <v>300</v>
      </c>
      <c r="PO14" s="15">
        <v>300</v>
      </c>
      <c r="PP14" s="15">
        <v>300</v>
      </c>
      <c r="PQ14" s="15">
        <v>300</v>
      </c>
      <c r="PR14" s="15">
        <v>300</v>
      </c>
      <c r="PS14" s="15">
        <v>300</v>
      </c>
      <c r="PT14" s="15">
        <v>300</v>
      </c>
      <c r="PU14" s="15">
        <v>300</v>
      </c>
      <c r="PV14" s="15">
        <v>300</v>
      </c>
      <c r="PW14" s="15">
        <v>300</v>
      </c>
      <c r="PX14" s="15">
        <v>300</v>
      </c>
      <c r="PY14" s="15">
        <v>300</v>
      </c>
      <c r="PZ14" s="15">
        <v>300</v>
      </c>
      <c r="QA14" s="15">
        <v>300</v>
      </c>
      <c r="QB14" s="15">
        <v>300</v>
      </c>
      <c r="QC14" s="15">
        <v>300</v>
      </c>
      <c r="QD14" s="15">
        <v>300</v>
      </c>
      <c r="QE14" s="15">
        <v>300</v>
      </c>
      <c r="QF14" s="15">
        <v>300</v>
      </c>
      <c r="QG14" s="15">
        <v>300</v>
      </c>
      <c r="QH14" s="15">
        <v>300</v>
      </c>
      <c r="QI14" s="15">
        <v>300</v>
      </c>
      <c r="QJ14" s="15">
        <v>300</v>
      </c>
      <c r="QK14" s="15">
        <v>300</v>
      </c>
      <c r="QL14" s="15">
        <v>300</v>
      </c>
      <c r="QM14" s="15">
        <v>300</v>
      </c>
      <c r="QN14" s="15">
        <v>300</v>
      </c>
      <c r="QO14" s="15">
        <v>300</v>
      </c>
      <c r="QP14" s="15">
        <v>300</v>
      </c>
      <c r="QQ14" s="15">
        <v>300</v>
      </c>
      <c r="QR14" s="15">
        <v>300</v>
      </c>
      <c r="QS14" s="15">
        <v>300</v>
      </c>
      <c r="QT14" s="15">
        <v>300</v>
      </c>
      <c r="QU14" s="15">
        <v>300</v>
      </c>
      <c r="QV14" s="15">
        <v>300</v>
      </c>
      <c r="QW14" s="15">
        <v>300</v>
      </c>
      <c r="QX14" s="15">
        <v>300</v>
      </c>
      <c r="QY14" s="15">
        <v>300</v>
      </c>
      <c r="QZ14" s="15">
        <v>300</v>
      </c>
      <c r="RA14" s="15">
        <v>300</v>
      </c>
      <c r="RB14" s="15">
        <v>300</v>
      </c>
      <c r="RC14" s="15">
        <v>300</v>
      </c>
      <c r="RD14" s="15">
        <v>300</v>
      </c>
      <c r="RE14" s="15">
        <v>300</v>
      </c>
      <c r="RF14" s="15">
        <v>300</v>
      </c>
      <c r="RG14" s="15">
        <v>300</v>
      </c>
      <c r="RH14" s="15">
        <v>300</v>
      </c>
      <c r="RI14" s="15">
        <v>300</v>
      </c>
      <c r="RJ14" s="15">
        <v>300</v>
      </c>
      <c r="RK14" s="15">
        <v>300</v>
      </c>
      <c r="RL14" s="15">
        <v>300</v>
      </c>
      <c r="RM14" s="15">
        <v>300</v>
      </c>
      <c r="RN14" s="15">
        <v>300</v>
      </c>
      <c r="RO14" s="15">
        <v>300</v>
      </c>
      <c r="RP14" s="15">
        <v>300</v>
      </c>
      <c r="RQ14" s="15">
        <v>300</v>
      </c>
      <c r="RR14" s="15">
        <v>300</v>
      </c>
      <c r="RS14" s="15"/>
      <c r="RT14" s="15">
        <v>300</v>
      </c>
      <c r="RU14" s="15">
        <v>300</v>
      </c>
      <c r="RV14" s="15">
        <v>300</v>
      </c>
      <c r="RW14" s="15">
        <v>300</v>
      </c>
      <c r="RX14" s="15">
        <v>300</v>
      </c>
      <c r="RY14" s="15">
        <v>300</v>
      </c>
      <c r="RZ14" s="15">
        <v>300</v>
      </c>
      <c r="SA14" s="15">
        <v>300</v>
      </c>
      <c r="SB14" s="15">
        <v>300</v>
      </c>
      <c r="SC14" s="15">
        <v>300</v>
      </c>
      <c r="SD14" s="15">
        <v>300</v>
      </c>
      <c r="SE14" s="15">
        <v>300</v>
      </c>
      <c r="SF14" s="15">
        <v>300</v>
      </c>
      <c r="SG14" s="15">
        <v>300</v>
      </c>
      <c r="SH14" s="15">
        <v>300</v>
      </c>
      <c r="SI14" s="15">
        <v>300</v>
      </c>
      <c r="SJ14" s="15">
        <v>300</v>
      </c>
      <c r="SK14" s="15">
        <v>300</v>
      </c>
      <c r="SL14" s="15">
        <v>300</v>
      </c>
      <c r="SM14" s="15">
        <v>300</v>
      </c>
      <c r="SN14" s="15">
        <v>300</v>
      </c>
      <c r="SO14" s="15">
        <v>300</v>
      </c>
      <c r="SP14" s="15">
        <v>300</v>
      </c>
      <c r="SQ14" s="15">
        <v>300</v>
      </c>
      <c r="SR14" s="15">
        <v>300</v>
      </c>
      <c r="SS14" s="15">
        <v>300</v>
      </c>
      <c r="ST14" s="15">
        <v>300</v>
      </c>
      <c r="SU14" s="15">
        <v>300</v>
      </c>
      <c r="SV14" s="15">
        <v>300</v>
      </c>
      <c r="SW14" s="15">
        <v>300</v>
      </c>
      <c r="SX14" s="15">
        <v>300</v>
      </c>
      <c r="SY14" s="15">
        <v>300</v>
      </c>
      <c r="SZ14" s="15">
        <v>300</v>
      </c>
      <c r="TA14" s="15">
        <v>300</v>
      </c>
      <c r="TB14" s="15">
        <v>300</v>
      </c>
      <c r="TC14" s="15">
        <v>300</v>
      </c>
      <c r="TD14" s="15">
        <v>300</v>
      </c>
      <c r="TE14" s="15">
        <v>300</v>
      </c>
      <c r="TF14" s="15">
        <v>300</v>
      </c>
      <c r="TG14" s="15">
        <v>300</v>
      </c>
      <c r="TH14" s="15">
        <v>300</v>
      </c>
      <c r="TI14" s="15">
        <v>300</v>
      </c>
      <c r="TJ14" s="15">
        <v>300</v>
      </c>
      <c r="TK14" s="15">
        <v>300</v>
      </c>
      <c r="TL14" s="15">
        <v>300</v>
      </c>
      <c r="TM14" s="15">
        <v>300</v>
      </c>
      <c r="TN14" s="15">
        <v>300</v>
      </c>
      <c r="TO14" s="15">
        <v>300</v>
      </c>
      <c r="TP14" s="15">
        <v>300</v>
      </c>
      <c r="TQ14" s="15">
        <v>300</v>
      </c>
      <c r="TR14" s="15">
        <v>300</v>
      </c>
      <c r="TS14" s="15">
        <v>300</v>
      </c>
      <c r="TT14" s="15">
        <v>300</v>
      </c>
      <c r="TU14" s="15">
        <v>300</v>
      </c>
      <c r="TV14" s="15">
        <v>300</v>
      </c>
      <c r="TW14" s="15">
        <v>300</v>
      </c>
      <c r="TX14" s="15">
        <v>300</v>
      </c>
      <c r="TY14" s="15">
        <v>300</v>
      </c>
      <c r="TZ14" s="15">
        <v>300</v>
      </c>
      <c r="UA14" s="15">
        <v>300</v>
      </c>
      <c r="UB14" s="15">
        <v>300</v>
      </c>
      <c r="UC14" s="15">
        <v>300</v>
      </c>
      <c r="UD14" s="15">
        <v>300</v>
      </c>
      <c r="UE14" s="15">
        <v>300</v>
      </c>
      <c r="UF14" s="15">
        <v>300</v>
      </c>
      <c r="UG14" s="15">
        <v>300</v>
      </c>
      <c r="UH14" s="15">
        <v>300</v>
      </c>
      <c r="UI14" s="15">
        <v>300</v>
      </c>
      <c r="UJ14" s="15">
        <v>300</v>
      </c>
      <c r="UK14" s="15">
        <v>300</v>
      </c>
      <c r="UL14" s="15">
        <v>300</v>
      </c>
      <c r="UM14" s="15">
        <v>300</v>
      </c>
      <c r="UN14" s="15">
        <v>300</v>
      </c>
      <c r="UO14" s="15">
        <v>300</v>
      </c>
      <c r="UP14" s="15">
        <v>300</v>
      </c>
      <c r="UQ14" s="15">
        <v>300</v>
      </c>
      <c r="UR14" s="15">
        <v>300</v>
      </c>
      <c r="US14" s="15">
        <v>300</v>
      </c>
      <c r="UT14" s="15">
        <v>300</v>
      </c>
      <c r="UU14" s="15">
        <v>300</v>
      </c>
      <c r="UV14" s="15">
        <v>300</v>
      </c>
      <c r="UW14" s="15">
        <v>300</v>
      </c>
      <c r="UX14" s="15">
        <v>300</v>
      </c>
      <c r="UY14" s="15">
        <v>300</v>
      </c>
      <c r="UZ14" s="15">
        <v>300</v>
      </c>
      <c r="VA14" s="15">
        <v>300</v>
      </c>
      <c r="VB14" s="15">
        <v>300</v>
      </c>
      <c r="VC14" s="15">
        <v>300</v>
      </c>
      <c r="VD14" s="15">
        <v>300</v>
      </c>
      <c r="VE14" s="15">
        <v>300</v>
      </c>
      <c r="VF14" s="15">
        <v>300</v>
      </c>
      <c r="VG14" s="15">
        <v>300</v>
      </c>
      <c r="VH14" s="15">
        <v>300</v>
      </c>
      <c r="VI14" s="15">
        <v>300</v>
      </c>
      <c r="VJ14" s="15">
        <v>300</v>
      </c>
      <c r="VK14" s="15">
        <v>300</v>
      </c>
      <c r="VL14" s="15">
        <v>300</v>
      </c>
      <c r="VM14" s="15">
        <v>300</v>
      </c>
      <c r="VN14" s="15">
        <v>300</v>
      </c>
      <c r="VO14" s="15">
        <v>300</v>
      </c>
      <c r="VP14" s="15">
        <v>300</v>
      </c>
      <c r="VQ14" s="15">
        <v>300</v>
      </c>
      <c r="VR14" s="15">
        <v>300</v>
      </c>
      <c r="VS14" s="15">
        <v>300</v>
      </c>
      <c r="VT14" s="15">
        <v>300</v>
      </c>
      <c r="VU14" s="15">
        <v>300</v>
      </c>
      <c r="VV14" s="15">
        <v>300</v>
      </c>
      <c r="VW14" s="15">
        <v>300</v>
      </c>
      <c r="VX14" s="15">
        <v>300</v>
      </c>
      <c r="VY14" s="15">
        <v>300</v>
      </c>
      <c r="VZ14" s="15">
        <v>300</v>
      </c>
      <c r="WA14" s="15">
        <v>300</v>
      </c>
      <c r="WB14" s="15">
        <v>300</v>
      </c>
      <c r="WC14" s="15">
        <v>300</v>
      </c>
      <c r="WD14" s="15">
        <v>300</v>
      </c>
      <c r="WE14" s="15">
        <v>300</v>
      </c>
      <c r="WF14" s="15">
        <v>300</v>
      </c>
      <c r="WG14" s="15">
        <v>300</v>
      </c>
      <c r="WH14" s="15">
        <v>300</v>
      </c>
      <c r="WI14" s="15">
        <v>300</v>
      </c>
      <c r="WJ14" s="15">
        <v>300</v>
      </c>
      <c r="WK14" s="15">
        <v>300</v>
      </c>
      <c r="WL14" s="15">
        <v>300</v>
      </c>
      <c r="WM14" s="15">
        <v>300</v>
      </c>
      <c r="WN14" s="15">
        <v>300</v>
      </c>
      <c r="WO14" s="15">
        <v>300</v>
      </c>
      <c r="WP14" s="15">
        <v>300</v>
      </c>
      <c r="WQ14" s="15">
        <v>300</v>
      </c>
      <c r="WR14" s="15">
        <v>300</v>
      </c>
      <c r="WS14" s="15">
        <v>300</v>
      </c>
      <c r="WT14" s="15">
        <v>300</v>
      </c>
      <c r="WU14" s="15">
        <v>300</v>
      </c>
      <c r="WV14" s="15">
        <v>300</v>
      </c>
      <c r="WW14" s="15">
        <v>300</v>
      </c>
      <c r="WX14" s="15">
        <v>300</v>
      </c>
      <c r="WY14" s="15">
        <v>300</v>
      </c>
      <c r="WZ14" s="15">
        <v>300</v>
      </c>
      <c r="XA14" s="15">
        <v>300</v>
      </c>
      <c r="XB14" s="15">
        <v>300</v>
      </c>
      <c r="XC14" s="15">
        <v>300</v>
      </c>
      <c r="XD14" s="15">
        <v>300</v>
      </c>
      <c r="XE14" s="15">
        <v>300</v>
      </c>
      <c r="XF14" s="15">
        <v>300</v>
      </c>
      <c r="XG14" s="15">
        <v>300</v>
      </c>
      <c r="XH14" s="15">
        <v>300</v>
      </c>
      <c r="XI14" s="15">
        <v>300</v>
      </c>
      <c r="XJ14" s="15">
        <v>300</v>
      </c>
      <c r="XK14" s="15">
        <v>300</v>
      </c>
      <c r="XL14" s="15">
        <v>300</v>
      </c>
      <c r="XM14" s="15">
        <v>300</v>
      </c>
      <c r="XN14" s="15">
        <v>300</v>
      </c>
      <c r="XO14" s="15">
        <v>300</v>
      </c>
      <c r="XP14" s="15">
        <v>300</v>
      </c>
      <c r="XQ14" s="15">
        <v>300</v>
      </c>
      <c r="XR14" s="15">
        <v>300</v>
      </c>
      <c r="XS14" s="15">
        <v>300</v>
      </c>
      <c r="XT14" s="15">
        <v>300</v>
      </c>
      <c r="XU14" s="15">
        <v>300</v>
      </c>
      <c r="XV14" s="15">
        <v>300</v>
      </c>
      <c r="XW14" s="15">
        <v>300</v>
      </c>
      <c r="XX14" s="15">
        <v>300</v>
      </c>
      <c r="XY14" s="15">
        <v>300</v>
      </c>
      <c r="XZ14" s="15">
        <v>300</v>
      </c>
      <c r="YA14" s="15">
        <v>300</v>
      </c>
      <c r="YB14" s="15">
        <v>300</v>
      </c>
      <c r="YC14" s="15">
        <v>300</v>
      </c>
      <c r="YD14" s="15">
        <v>300</v>
      </c>
      <c r="YE14" s="15">
        <v>300</v>
      </c>
      <c r="YF14" s="15">
        <v>300</v>
      </c>
      <c r="YG14" s="15">
        <v>300</v>
      </c>
      <c r="YH14" s="15">
        <v>300</v>
      </c>
      <c r="YI14" s="15">
        <v>300</v>
      </c>
      <c r="YJ14" s="15">
        <v>300</v>
      </c>
      <c r="YK14" s="15">
        <v>300</v>
      </c>
      <c r="YL14" s="15">
        <v>300</v>
      </c>
      <c r="YM14" s="15">
        <v>300</v>
      </c>
      <c r="YN14" s="15">
        <v>300</v>
      </c>
      <c r="YO14" s="15">
        <v>300</v>
      </c>
      <c r="YP14" s="15">
        <v>300</v>
      </c>
      <c r="YQ14" s="15">
        <v>300</v>
      </c>
      <c r="YR14" s="15">
        <v>300</v>
      </c>
      <c r="YS14" s="15">
        <v>300</v>
      </c>
      <c r="YT14" s="15">
        <v>300</v>
      </c>
      <c r="YU14" s="15">
        <v>300</v>
      </c>
      <c r="YV14" s="15">
        <v>300</v>
      </c>
      <c r="YW14" s="15">
        <v>300</v>
      </c>
      <c r="YX14" s="15">
        <v>300</v>
      </c>
      <c r="YY14" s="15">
        <v>300</v>
      </c>
      <c r="YZ14" s="15">
        <v>300</v>
      </c>
      <c r="ZA14" s="15">
        <v>300</v>
      </c>
      <c r="ZB14" s="15">
        <v>300</v>
      </c>
      <c r="ZC14" s="15">
        <v>300</v>
      </c>
      <c r="ZD14" s="15">
        <v>300</v>
      </c>
      <c r="ZE14" s="15">
        <v>300</v>
      </c>
      <c r="ZF14" s="15">
        <v>300</v>
      </c>
      <c r="ZG14" s="15">
        <v>300</v>
      </c>
      <c r="ZH14" s="15">
        <v>300</v>
      </c>
      <c r="ZI14" s="15">
        <v>300</v>
      </c>
      <c r="ZJ14" s="15">
        <v>300</v>
      </c>
      <c r="ZK14" s="15">
        <v>300</v>
      </c>
      <c r="ZL14" s="15">
        <v>300</v>
      </c>
      <c r="ZM14" s="15">
        <v>300</v>
      </c>
      <c r="ZN14" s="15">
        <v>300</v>
      </c>
      <c r="ZO14" s="15">
        <v>300</v>
      </c>
      <c r="ZP14" s="15">
        <v>300</v>
      </c>
      <c r="ZQ14" s="15">
        <v>300</v>
      </c>
      <c r="ZR14" s="15">
        <v>300</v>
      </c>
      <c r="ZS14" s="15">
        <v>300</v>
      </c>
      <c r="ZT14" s="15">
        <v>300</v>
      </c>
      <c r="ZU14" s="15">
        <v>300</v>
      </c>
      <c r="ZV14" s="15">
        <v>300</v>
      </c>
      <c r="ZW14" s="15">
        <v>300</v>
      </c>
      <c r="ZX14" s="15">
        <v>300</v>
      </c>
      <c r="ZY14" s="15">
        <v>300</v>
      </c>
      <c r="ZZ14" s="15">
        <v>300</v>
      </c>
      <c r="AAA14" s="15">
        <v>300</v>
      </c>
      <c r="AAB14" s="15">
        <v>300</v>
      </c>
      <c r="AAC14" s="15">
        <v>300</v>
      </c>
      <c r="AAD14" s="15">
        <v>300</v>
      </c>
      <c r="AAE14" s="15">
        <v>300</v>
      </c>
      <c r="AAF14" s="15">
        <v>300</v>
      </c>
      <c r="AAG14" s="15">
        <v>300</v>
      </c>
      <c r="AAH14" s="15">
        <v>300</v>
      </c>
      <c r="AAI14" s="15">
        <v>300</v>
      </c>
      <c r="AAJ14" s="15">
        <v>300</v>
      </c>
      <c r="AAK14" s="15">
        <v>300</v>
      </c>
      <c r="AAL14" s="15"/>
      <c r="AAM14" s="15">
        <v>300</v>
      </c>
      <c r="AAN14" s="15">
        <v>300</v>
      </c>
      <c r="AAO14" s="15">
        <v>300</v>
      </c>
      <c r="AAP14" s="15">
        <v>300</v>
      </c>
      <c r="AAQ14" s="15">
        <v>300</v>
      </c>
      <c r="AAR14" s="15">
        <v>300</v>
      </c>
      <c r="AAS14" s="15">
        <v>300</v>
      </c>
      <c r="AAT14" s="15">
        <v>300</v>
      </c>
      <c r="AAU14" s="15">
        <v>300</v>
      </c>
      <c r="AAV14" s="15">
        <v>300</v>
      </c>
      <c r="AAW14" s="15">
        <v>300</v>
      </c>
      <c r="AAX14" s="15"/>
      <c r="AAY14" s="15">
        <v>300</v>
      </c>
      <c r="AAZ14" s="15">
        <v>300</v>
      </c>
      <c r="ABA14" s="15">
        <v>300</v>
      </c>
      <c r="ABB14" s="15">
        <v>300</v>
      </c>
      <c r="ABC14" s="15">
        <v>300</v>
      </c>
      <c r="ABD14" s="15">
        <v>300</v>
      </c>
      <c r="ABE14" s="15">
        <v>300</v>
      </c>
      <c r="ABF14" s="15">
        <v>300</v>
      </c>
      <c r="ABG14" s="15">
        <v>300</v>
      </c>
      <c r="ABH14" s="15">
        <v>300</v>
      </c>
      <c r="ABI14" s="15">
        <v>300</v>
      </c>
      <c r="ABJ14" s="15">
        <v>300</v>
      </c>
      <c r="ABK14" s="15">
        <v>300</v>
      </c>
      <c r="ABL14" s="15">
        <v>300</v>
      </c>
      <c r="ABM14" s="15">
        <v>300</v>
      </c>
      <c r="ABN14" s="15">
        <v>300</v>
      </c>
      <c r="ABO14" s="15">
        <v>300</v>
      </c>
      <c r="ABP14" s="15">
        <v>300</v>
      </c>
      <c r="ABQ14" s="15">
        <v>300</v>
      </c>
      <c r="ABR14" s="15">
        <v>300</v>
      </c>
      <c r="ABS14" s="15">
        <v>300</v>
      </c>
      <c r="ABT14" s="15">
        <v>300</v>
      </c>
      <c r="ABU14" s="15">
        <v>300</v>
      </c>
      <c r="ABV14" s="15">
        <v>300</v>
      </c>
      <c r="ABW14" s="15">
        <v>300</v>
      </c>
      <c r="ABX14" s="15">
        <v>300</v>
      </c>
      <c r="ABY14" s="15">
        <v>300</v>
      </c>
      <c r="ABZ14" s="15">
        <v>300</v>
      </c>
      <c r="ACA14" s="15">
        <v>300</v>
      </c>
      <c r="ACB14" s="15">
        <v>300</v>
      </c>
      <c r="ACC14" s="15">
        <v>300</v>
      </c>
      <c r="ACD14" s="15">
        <v>300</v>
      </c>
      <c r="ACE14" s="15">
        <v>300</v>
      </c>
      <c r="ACF14" s="15">
        <v>300</v>
      </c>
      <c r="ACG14" s="15">
        <v>300</v>
      </c>
      <c r="ACH14" s="15">
        <v>300</v>
      </c>
      <c r="ACI14" s="15">
        <v>300</v>
      </c>
      <c r="ACJ14" s="15">
        <v>300</v>
      </c>
      <c r="ACK14" s="15">
        <v>300</v>
      </c>
      <c r="ACL14" s="15">
        <v>300</v>
      </c>
      <c r="ACM14" s="15">
        <v>300</v>
      </c>
      <c r="ACN14" s="15">
        <v>300</v>
      </c>
      <c r="ACO14" s="15">
        <v>300</v>
      </c>
      <c r="ACP14" s="15">
        <v>300</v>
      </c>
      <c r="ACQ14" s="15">
        <v>300</v>
      </c>
      <c r="ACR14" s="15">
        <v>300</v>
      </c>
      <c r="ACS14" s="15">
        <v>300</v>
      </c>
      <c r="ACT14" s="15">
        <v>300</v>
      </c>
      <c r="ACU14" s="15">
        <v>300</v>
      </c>
      <c r="ACV14" s="15">
        <v>300</v>
      </c>
      <c r="ACW14" s="15">
        <v>300</v>
      </c>
      <c r="ACX14" s="15">
        <v>300</v>
      </c>
      <c r="ACY14" s="15">
        <v>300</v>
      </c>
      <c r="ACZ14" s="15">
        <v>300</v>
      </c>
      <c r="ADA14" s="15">
        <v>300</v>
      </c>
      <c r="ADB14" s="15">
        <v>300</v>
      </c>
      <c r="ADC14" s="15">
        <v>300</v>
      </c>
      <c r="ADD14" s="15">
        <v>300</v>
      </c>
      <c r="ADE14" s="15">
        <v>300</v>
      </c>
      <c r="ADF14" s="15">
        <v>300</v>
      </c>
      <c r="ADG14" s="15">
        <v>300</v>
      </c>
      <c r="ADH14" s="15"/>
      <c r="ADI14" s="15">
        <v>300</v>
      </c>
      <c r="ADJ14" s="15">
        <v>300</v>
      </c>
      <c r="ADK14" s="15">
        <v>300</v>
      </c>
      <c r="ADL14" s="15">
        <v>300</v>
      </c>
      <c r="ADM14" s="15">
        <v>300</v>
      </c>
      <c r="ADN14" s="15">
        <v>300</v>
      </c>
      <c r="ADO14" s="15">
        <v>300</v>
      </c>
      <c r="ADP14" s="15">
        <v>300</v>
      </c>
      <c r="ADQ14" s="15">
        <v>300</v>
      </c>
      <c r="ADR14" s="15">
        <v>300</v>
      </c>
      <c r="ADS14" s="15">
        <v>300</v>
      </c>
      <c r="ADT14" s="15">
        <v>300</v>
      </c>
      <c r="ADU14" s="15">
        <v>300</v>
      </c>
      <c r="ADV14" s="15">
        <v>300</v>
      </c>
      <c r="ADW14" s="15">
        <v>300</v>
      </c>
      <c r="ADX14" s="15">
        <v>300</v>
      </c>
      <c r="ADY14" s="15">
        <v>300</v>
      </c>
      <c r="ADZ14" s="15">
        <v>300</v>
      </c>
      <c r="AEA14" s="15">
        <v>300</v>
      </c>
      <c r="AEB14" s="15">
        <v>300</v>
      </c>
      <c r="AEC14" s="15">
        <v>300</v>
      </c>
      <c r="AED14" s="15">
        <v>300</v>
      </c>
      <c r="AEE14" s="15">
        <v>300</v>
      </c>
      <c r="AEF14" s="15">
        <v>300</v>
      </c>
      <c r="AEG14" s="15">
        <v>300</v>
      </c>
      <c r="AEH14" s="15">
        <v>300</v>
      </c>
      <c r="AEI14" s="15">
        <v>300</v>
      </c>
      <c r="AEJ14" s="15">
        <v>300</v>
      </c>
      <c r="AEK14" s="15">
        <v>300</v>
      </c>
      <c r="AEL14" s="15">
        <v>300</v>
      </c>
      <c r="AEM14" s="15">
        <v>300</v>
      </c>
      <c r="AEN14" s="15">
        <v>300</v>
      </c>
      <c r="AEO14" s="15">
        <v>300</v>
      </c>
      <c r="AEP14" s="15">
        <v>300</v>
      </c>
      <c r="AEQ14" s="15">
        <v>300</v>
      </c>
      <c r="AER14" s="15">
        <v>300</v>
      </c>
      <c r="AES14" s="15">
        <v>300</v>
      </c>
      <c r="AET14" s="15">
        <v>300</v>
      </c>
      <c r="AEU14" s="15">
        <v>300</v>
      </c>
      <c r="AEV14" s="15">
        <v>300</v>
      </c>
      <c r="AEW14" s="15">
        <v>300</v>
      </c>
      <c r="AEX14" s="15">
        <v>300</v>
      </c>
      <c r="AEY14" s="15">
        <v>300</v>
      </c>
      <c r="AEZ14" s="15">
        <v>300</v>
      </c>
      <c r="AFA14" s="15">
        <v>300</v>
      </c>
      <c r="AFB14" s="15">
        <v>300</v>
      </c>
      <c r="AFC14" s="15">
        <v>300</v>
      </c>
      <c r="AFD14" s="15">
        <v>300</v>
      </c>
      <c r="AFE14" s="15">
        <v>300</v>
      </c>
      <c r="AFF14" s="15">
        <v>300</v>
      </c>
      <c r="AFG14" s="15">
        <v>300</v>
      </c>
      <c r="AFH14" s="15">
        <v>300</v>
      </c>
      <c r="AFI14" s="15">
        <v>300</v>
      </c>
      <c r="AFJ14" s="15">
        <v>300</v>
      </c>
      <c r="AFK14" s="15">
        <v>300</v>
      </c>
      <c r="AFL14" s="15">
        <v>300</v>
      </c>
      <c r="AFM14" s="15">
        <v>300</v>
      </c>
      <c r="AFN14" s="15">
        <v>300</v>
      </c>
      <c r="AFO14" s="15">
        <v>300</v>
      </c>
      <c r="AFP14" s="15">
        <v>300</v>
      </c>
      <c r="AFQ14" s="15">
        <v>300</v>
      </c>
      <c r="AFR14" s="15"/>
      <c r="AFS14" s="15">
        <v>300</v>
      </c>
      <c r="AFT14" s="15">
        <v>300</v>
      </c>
      <c r="AFU14" s="15">
        <v>300</v>
      </c>
      <c r="AFV14" s="15">
        <v>300</v>
      </c>
      <c r="AFW14" s="15">
        <v>300</v>
      </c>
      <c r="AFX14" s="15">
        <v>300</v>
      </c>
      <c r="AFY14" s="15">
        <v>300</v>
      </c>
      <c r="AFZ14" s="15">
        <v>300</v>
      </c>
      <c r="AGA14" s="15">
        <v>300</v>
      </c>
      <c r="AGB14" s="15">
        <v>300</v>
      </c>
      <c r="AGC14" s="15">
        <v>300</v>
      </c>
      <c r="AGD14" s="15">
        <v>300</v>
      </c>
      <c r="AGE14" s="15">
        <v>300</v>
      </c>
      <c r="AGF14" s="15">
        <v>300</v>
      </c>
      <c r="AGG14" s="15">
        <v>300</v>
      </c>
      <c r="AGH14" s="15">
        <v>300</v>
      </c>
      <c r="AGI14" s="15">
        <v>300</v>
      </c>
      <c r="AGJ14" s="15">
        <v>300</v>
      </c>
      <c r="AGK14" s="15">
        <v>300</v>
      </c>
      <c r="AGL14" s="15">
        <v>300</v>
      </c>
      <c r="AGM14" s="15">
        <v>300</v>
      </c>
      <c r="AGN14" s="15">
        <v>300</v>
      </c>
      <c r="AGO14" s="15">
        <v>300</v>
      </c>
      <c r="AGP14" s="15">
        <v>300</v>
      </c>
      <c r="AGQ14" s="15">
        <v>300</v>
      </c>
      <c r="AGR14" s="15">
        <v>300</v>
      </c>
      <c r="AGS14" s="15">
        <v>300</v>
      </c>
      <c r="AGT14" s="15">
        <v>300</v>
      </c>
      <c r="AGU14" s="15">
        <v>300</v>
      </c>
      <c r="AGV14" s="15">
        <v>300</v>
      </c>
      <c r="AGW14" s="15">
        <v>300</v>
      </c>
      <c r="AGX14" s="15">
        <v>300</v>
      </c>
      <c r="AGY14" s="15">
        <v>300</v>
      </c>
      <c r="AGZ14" s="15">
        <v>300</v>
      </c>
      <c r="AHA14" s="15">
        <v>300</v>
      </c>
      <c r="AHB14" s="15">
        <v>300</v>
      </c>
      <c r="AHC14" s="15">
        <v>300</v>
      </c>
      <c r="AHD14" s="15">
        <v>300</v>
      </c>
      <c r="AHE14" s="15">
        <v>300</v>
      </c>
      <c r="AHF14" s="15">
        <v>300</v>
      </c>
      <c r="AHG14" s="15">
        <v>300</v>
      </c>
      <c r="AHH14" s="15">
        <v>300</v>
      </c>
      <c r="AHI14" s="15">
        <v>300</v>
      </c>
      <c r="AHJ14" s="15">
        <v>300</v>
      </c>
      <c r="AHK14" s="15">
        <v>300</v>
      </c>
      <c r="AHL14" s="15">
        <v>300</v>
      </c>
      <c r="AHM14" s="15">
        <v>300</v>
      </c>
      <c r="AHN14" s="15">
        <v>300</v>
      </c>
      <c r="AHO14" s="15">
        <v>300</v>
      </c>
      <c r="AHP14" s="15">
        <v>300</v>
      </c>
      <c r="AHQ14" s="15">
        <v>300</v>
      </c>
      <c r="AHR14" s="15">
        <v>300</v>
      </c>
      <c r="AHS14" s="15">
        <v>300</v>
      </c>
      <c r="AHT14" s="15">
        <v>300</v>
      </c>
      <c r="AHU14" s="15">
        <v>300</v>
      </c>
      <c r="AHV14" s="15">
        <v>300</v>
      </c>
      <c r="AHW14" s="15">
        <v>300</v>
      </c>
      <c r="AHX14" s="15">
        <v>300</v>
      </c>
      <c r="AHY14" s="15">
        <v>300</v>
      </c>
      <c r="AHZ14" s="15">
        <v>300</v>
      </c>
      <c r="AIA14" s="15">
        <v>300</v>
      </c>
      <c r="AIB14" s="15">
        <v>300</v>
      </c>
      <c r="AIC14" s="15">
        <v>300</v>
      </c>
      <c r="AID14" s="15">
        <v>300</v>
      </c>
      <c r="AIE14" s="15">
        <v>300</v>
      </c>
      <c r="AIF14" s="15">
        <v>300</v>
      </c>
      <c r="AIG14" s="15">
        <v>300</v>
      </c>
      <c r="AIH14" s="15">
        <v>300</v>
      </c>
      <c r="AII14" s="15">
        <v>300</v>
      </c>
      <c r="AIJ14" s="15">
        <v>300</v>
      </c>
      <c r="AIK14" s="15">
        <v>300</v>
      </c>
      <c r="AIL14" s="15">
        <v>300</v>
      </c>
      <c r="AIM14" s="15">
        <v>300</v>
      </c>
      <c r="AIN14" s="15">
        <v>300</v>
      </c>
      <c r="AIO14" s="15">
        <v>300</v>
      </c>
      <c r="AIP14" s="15">
        <v>300</v>
      </c>
      <c r="AIQ14" s="15">
        <v>300</v>
      </c>
      <c r="AIR14" s="15">
        <v>300</v>
      </c>
      <c r="AIS14" s="15">
        <v>300</v>
      </c>
      <c r="AIT14" s="15">
        <v>300</v>
      </c>
      <c r="AIU14" s="15">
        <v>300</v>
      </c>
      <c r="AIV14" s="15">
        <v>300</v>
      </c>
      <c r="AIW14" s="15">
        <v>300</v>
      </c>
      <c r="AIX14" s="15">
        <v>300</v>
      </c>
      <c r="AIY14" s="15">
        <v>300</v>
      </c>
      <c r="AIZ14" s="15">
        <v>300</v>
      </c>
      <c r="AJA14" s="15">
        <v>300</v>
      </c>
      <c r="AJB14" s="15">
        <v>300</v>
      </c>
      <c r="AJC14" s="15">
        <v>300</v>
      </c>
      <c r="AJD14" s="15">
        <v>300</v>
      </c>
      <c r="AJE14" s="15">
        <v>300</v>
      </c>
      <c r="AJF14" s="15"/>
      <c r="AJG14" s="15">
        <v>300</v>
      </c>
      <c r="AJH14" s="15">
        <v>300</v>
      </c>
      <c r="AJI14" s="15">
        <v>300</v>
      </c>
      <c r="AJJ14" s="15">
        <v>300</v>
      </c>
      <c r="AJK14" s="15">
        <v>300</v>
      </c>
      <c r="AJL14" s="15">
        <v>300</v>
      </c>
      <c r="AJM14" s="15">
        <v>300</v>
      </c>
      <c r="AJN14" s="15"/>
      <c r="AJO14" s="15">
        <v>300</v>
      </c>
      <c r="AJP14" s="15">
        <v>300</v>
      </c>
      <c r="AJQ14" s="15">
        <v>300</v>
      </c>
      <c r="AJR14" s="15">
        <v>300</v>
      </c>
      <c r="AJS14" s="15">
        <v>300</v>
      </c>
      <c r="AJT14" s="15">
        <v>300</v>
      </c>
      <c r="AJU14" s="15">
        <v>300</v>
      </c>
      <c r="AJV14" s="15">
        <v>300</v>
      </c>
      <c r="AJW14" s="15">
        <v>300</v>
      </c>
      <c r="AJX14" s="15"/>
      <c r="AJY14" s="15">
        <v>300</v>
      </c>
      <c r="AJZ14" s="15">
        <v>300</v>
      </c>
      <c r="AKA14" s="15">
        <v>300</v>
      </c>
      <c r="AKB14" s="15">
        <v>300</v>
      </c>
      <c r="AKC14" s="15">
        <v>300</v>
      </c>
      <c r="AKD14" s="15">
        <v>300</v>
      </c>
      <c r="AKE14" s="15">
        <v>300</v>
      </c>
      <c r="AKF14" s="15">
        <v>300</v>
      </c>
      <c r="AKG14" s="15">
        <v>300</v>
      </c>
      <c r="AKH14" s="15">
        <v>300</v>
      </c>
      <c r="AKI14" s="15"/>
      <c r="AKJ14" s="15">
        <v>300</v>
      </c>
      <c r="AKK14" s="15">
        <v>300</v>
      </c>
      <c r="AKL14" s="15">
        <v>300</v>
      </c>
      <c r="AKM14" s="15">
        <v>300</v>
      </c>
      <c r="AKN14" s="15">
        <v>300</v>
      </c>
      <c r="AKO14" s="15">
        <v>300</v>
      </c>
      <c r="AKP14" s="15">
        <v>300</v>
      </c>
      <c r="AKQ14" s="15">
        <v>300</v>
      </c>
      <c r="AKR14" s="15">
        <v>300</v>
      </c>
      <c r="AKS14" s="15">
        <v>300</v>
      </c>
      <c r="AKT14" s="15">
        <v>300</v>
      </c>
      <c r="AKU14" s="15">
        <v>300</v>
      </c>
      <c r="AKV14" s="15">
        <v>300</v>
      </c>
      <c r="AKW14" s="15">
        <v>300</v>
      </c>
      <c r="AKX14" s="15"/>
      <c r="AKY14" s="15">
        <v>300</v>
      </c>
      <c r="AKZ14" s="15">
        <v>300</v>
      </c>
      <c r="ALA14" s="15">
        <v>300</v>
      </c>
      <c r="ALB14" s="15">
        <v>300</v>
      </c>
      <c r="ALC14" s="15">
        <v>300</v>
      </c>
      <c r="ALD14" s="15">
        <v>300</v>
      </c>
      <c r="ALE14" s="15">
        <v>300</v>
      </c>
      <c r="ALF14" s="15">
        <v>300</v>
      </c>
      <c r="ALG14" s="15">
        <v>300</v>
      </c>
      <c r="ALH14" s="15">
        <v>300</v>
      </c>
      <c r="ALI14" s="15">
        <v>300</v>
      </c>
      <c r="ALJ14" s="15">
        <v>300</v>
      </c>
      <c r="ALK14" s="15">
        <v>300</v>
      </c>
      <c r="ALL14" s="15">
        <v>300</v>
      </c>
      <c r="ALM14" s="15"/>
      <c r="ALN14" s="15">
        <v>300</v>
      </c>
      <c r="ALO14" s="15">
        <v>300</v>
      </c>
      <c r="ALP14" s="15">
        <v>300</v>
      </c>
      <c r="ALQ14" s="15">
        <v>300</v>
      </c>
      <c r="ALR14" s="15">
        <v>300</v>
      </c>
      <c r="ALS14" s="15">
        <v>300</v>
      </c>
      <c r="ALT14" s="15">
        <v>300</v>
      </c>
      <c r="ALU14" s="15">
        <v>300</v>
      </c>
      <c r="ALV14" s="15">
        <v>300</v>
      </c>
      <c r="ALW14" s="15">
        <v>300</v>
      </c>
      <c r="ALX14" s="15">
        <v>300</v>
      </c>
      <c r="ALY14" s="15">
        <v>300</v>
      </c>
      <c r="ALZ14" s="15">
        <v>300</v>
      </c>
      <c r="AMA14" s="15">
        <v>300</v>
      </c>
      <c r="AMB14" s="15">
        <v>300</v>
      </c>
      <c r="AMC14" s="15"/>
      <c r="AMD14" s="15">
        <v>300</v>
      </c>
      <c r="AME14" s="15">
        <v>300</v>
      </c>
      <c r="AMF14" s="15">
        <v>300</v>
      </c>
      <c r="AMG14" s="15">
        <v>300</v>
      </c>
      <c r="AMH14" s="15">
        <v>300</v>
      </c>
      <c r="AMI14" s="15">
        <v>300</v>
      </c>
      <c r="AMJ14" s="15">
        <v>300</v>
      </c>
      <c r="AMK14" s="15">
        <v>300</v>
      </c>
      <c r="AML14" s="15">
        <v>300</v>
      </c>
      <c r="AMM14" s="15">
        <v>300</v>
      </c>
      <c r="AMN14" s="15">
        <v>300</v>
      </c>
      <c r="AMO14" s="15">
        <v>300</v>
      </c>
      <c r="AMP14" s="15">
        <v>300</v>
      </c>
      <c r="AMQ14" s="15">
        <v>300</v>
      </c>
      <c r="AMR14" s="15">
        <v>300</v>
      </c>
      <c r="AMS14" s="15">
        <v>300</v>
      </c>
      <c r="AMT14" s="15">
        <v>300</v>
      </c>
      <c r="AMU14" s="15">
        <v>300</v>
      </c>
      <c r="AMV14" s="15">
        <v>300</v>
      </c>
      <c r="AMW14" s="15">
        <v>300</v>
      </c>
      <c r="AMX14" s="15">
        <v>300</v>
      </c>
      <c r="AMY14" s="15">
        <v>300</v>
      </c>
      <c r="AMZ14" s="15">
        <v>300</v>
      </c>
      <c r="ANA14" s="15">
        <v>300</v>
      </c>
      <c r="ANB14" s="15">
        <v>300</v>
      </c>
      <c r="ANC14" s="15">
        <v>300</v>
      </c>
      <c r="AND14" s="15">
        <v>300</v>
      </c>
      <c r="ANE14" s="15"/>
      <c r="ANF14" s="15"/>
      <c r="ANG14" s="15"/>
      <c r="ANH14" s="15"/>
      <c r="ANI14" s="15"/>
      <c r="ANJ14" s="15"/>
      <c r="ANK14" s="15"/>
      <c r="ANL14" s="15"/>
      <c r="ANM14" s="15"/>
      <c r="ANN14" s="15"/>
      <c r="ANO14" s="15"/>
      <c r="ANP14" s="15"/>
      <c r="ANQ14" s="15"/>
      <c r="ANR14" s="15"/>
      <c r="ANS14" s="15"/>
      <c r="ANT14" s="15"/>
      <c r="ANU14" s="15"/>
      <c r="ANV14" s="15"/>
      <c r="ANW14" s="15"/>
      <c r="ANX14" s="15"/>
      <c r="ANY14" s="15"/>
      <c r="ANZ14" s="15"/>
      <c r="AOA14" s="15"/>
      <c r="AOB14" s="15"/>
      <c r="AOC14" s="15"/>
      <c r="AOD14" s="15"/>
      <c r="AOE14" s="15"/>
      <c r="AOF14" s="15"/>
      <c r="AOG14" s="15"/>
      <c r="AOH14" s="15"/>
      <c r="AOI14" s="15"/>
      <c r="AOJ14" s="15"/>
      <c r="AOK14" s="15"/>
      <c r="AOL14" s="15"/>
      <c r="AOM14" s="15"/>
      <c r="AON14" s="15"/>
      <c r="AOO14" s="15"/>
      <c r="AOP14" s="15"/>
      <c r="AOQ14" s="15"/>
      <c r="AOR14" s="15"/>
      <c r="AOS14" s="15"/>
      <c r="AOT14" s="15"/>
      <c r="AOU14" s="15"/>
      <c r="AOV14" s="15"/>
      <c r="AOW14" s="15"/>
      <c r="AOX14" s="15"/>
      <c r="AOY14" s="15"/>
      <c r="AOZ14" s="15"/>
      <c r="APA14" s="15"/>
      <c r="APB14" s="15"/>
      <c r="APC14" s="15"/>
      <c r="APD14" s="15"/>
      <c r="APE14" s="15"/>
      <c r="APF14" s="15"/>
      <c r="APG14" s="15"/>
      <c r="APH14" s="15"/>
      <c r="API14" s="15"/>
      <c r="APJ14" s="15"/>
      <c r="APK14" s="15"/>
      <c r="APL14" s="15"/>
      <c r="APM14" s="15"/>
      <c r="APN14" s="15"/>
      <c r="APO14" s="15"/>
      <c r="APP14" s="15"/>
      <c r="APQ14" s="15"/>
      <c r="APR14" s="15"/>
      <c r="APS14" s="15"/>
      <c r="APT14" s="15"/>
      <c r="APU14" s="15"/>
      <c r="APV14" s="15"/>
      <c r="APW14" s="15"/>
      <c r="APX14" s="15"/>
      <c r="APY14" s="15"/>
      <c r="APZ14" s="15"/>
      <c r="AQA14" s="15"/>
      <c r="AQB14" s="15"/>
    </row>
    <row r="15" spans="1:1120" s="17" customFormat="1" ht="15" customHeight="1" x14ac:dyDescent="0.25">
      <c r="A15" s="5" t="s">
        <v>1</v>
      </c>
      <c r="B15" s="6" t="s">
        <v>26</v>
      </c>
      <c r="C15" s="15">
        <v>300</v>
      </c>
      <c r="D15" s="15">
        <v>300</v>
      </c>
      <c r="E15" s="15">
        <v>300</v>
      </c>
      <c r="F15" s="15">
        <v>300</v>
      </c>
      <c r="G15" s="15">
        <v>300</v>
      </c>
      <c r="H15" s="15">
        <v>300</v>
      </c>
      <c r="I15" s="15">
        <v>300</v>
      </c>
      <c r="J15" s="15"/>
      <c r="K15" s="15">
        <v>300</v>
      </c>
      <c r="L15" s="15">
        <v>300</v>
      </c>
      <c r="M15" s="15">
        <v>300</v>
      </c>
      <c r="N15" s="15">
        <v>300</v>
      </c>
      <c r="O15" s="15">
        <v>300</v>
      </c>
      <c r="P15" s="15">
        <v>300</v>
      </c>
      <c r="Q15" s="15"/>
      <c r="R15" s="15">
        <v>300</v>
      </c>
      <c r="S15" s="15">
        <v>300</v>
      </c>
      <c r="T15" s="15">
        <v>300</v>
      </c>
      <c r="U15" s="15">
        <v>300</v>
      </c>
      <c r="V15" s="15">
        <v>300</v>
      </c>
      <c r="W15" s="15">
        <v>300</v>
      </c>
      <c r="X15" s="15"/>
      <c r="Y15" s="15">
        <v>300</v>
      </c>
      <c r="Z15" s="15">
        <v>300</v>
      </c>
      <c r="AA15" s="15">
        <v>300</v>
      </c>
      <c r="AB15" s="15">
        <v>300</v>
      </c>
      <c r="AC15" s="15">
        <v>300</v>
      </c>
      <c r="AD15" s="15">
        <v>300</v>
      </c>
      <c r="AE15" s="15"/>
      <c r="AF15" s="15">
        <v>300</v>
      </c>
      <c r="AG15" s="15">
        <v>300</v>
      </c>
      <c r="AH15" s="15">
        <v>300</v>
      </c>
      <c r="AI15" s="15">
        <v>300</v>
      </c>
      <c r="AJ15" s="15">
        <v>300</v>
      </c>
      <c r="AK15" s="15">
        <v>300</v>
      </c>
      <c r="AL15" s="15"/>
      <c r="AM15" s="15">
        <v>300</v>
      </c>
      <c r="AN15" s="15">
        <v>300</v>
      </c>
      <c r="AO15" s="15">
        <v>300</v>
      </c>
      <c r="AP15" s="15">
        <v>300</v>
      </c>
      <c r="AQ15" s="15">
        <v>300</v>
      </c>
      <c r="AR15" s="15">
        <v>300</v>
      </c>
      <c r="AS15" s="15">
        <v>300</v>
      </c>
      <c r="AT15" s="15">
        <v>300</v>
      </c>
      <c r="AU15" s="15">
        <v>300</v>
      </c>
      <c r="AV15" s="15">
        <v>300</v>
      </c>
      <c r="AW15" s="15">
        <v>300</v>
      </c>
      <c r="AX15" s="15">
        <v>300</v>
      </c>
      <c r="AY15" s="15">
        <v>300</v>
      </c>
      <c r="AZ15" s="15">
        <v>300</v>
      </c>
      <c r="BA15" s="15">
        <v>300</v>
      </c>
      <c r="BB15" s="15">
        <v>300</v>
      </c>
      <c r="BC15" s="15">
        <v>300</v>
      </c>
      <c r="BD15" s="15">
        <v>300</v>
      </c>
      <c r="BE15" s="15">
        <v>300</v>
      </c>
      <c r="BF15" s="15">
        <v>300</v>
      </c>
      <c r="BG15" s="15">
        <v>300</v>
      </c>
      <c r="BH15" s="15">
        <v>300</v>
      </c>
      <c r="BI15" s="15">
        <v>300</v>
      </c>
      <c r="BJ15" s="15">
        <v>300</v>
      </c>
      <c r="BK15" s="15">
        <v>300</v>
      </c>
      <c r="BL15" s="15">
        <v>300</v>
      </c>
      <c r="BM15" s="15">
        <v>300</v>
      </c>
      <c r="BN15" s="15">
        <v>300</v>
      </c>
      <c r="BO15" s="15">
        <v>300</v>
      </c>
      <c r="BP15" s="15">
        <v>300</v>
      </c>
      <c r="BQ15" s="15">
        <v>300</v>
      </c>
      <c r="BR15" s="15">
        <v>300</v>
      </c>
      <c r="BS15" s="15">
        <v>300</v>
      </c>
      <c r="BT15" s="15">
        <v>300</v>
      </c>
      <c r="BU15" s="15">
        <v>300</v>
      </c>
      <c r="BV15" s="15">
        <v>300</v>
      </c>
      <c r="BW15" s="15">
        <v>300</v>
      </c>
      <c r="BX15" s="15">
        <v>300</v>
      </c>
      <c r="BY15" s="15">
        <v>300</v>
      </c>
      <c r="BZ15" s="15">
        <v>300</v>
      </c>
      <c r="CA15" s="15">
        <v>300</v>
      </c>
      <c r="CB15" s="15">
        <v>300</v>
      </c>
      <c r="CC15" s="15">
        <v>300</v>
      </c>
      <c r="CD15" s="15">
        <v>300</v>
      </c>
      <c r="CE15" s="15">
        <v>300</v>
      </c>
      <c r="CF15" s="15">
        <v>300</v>
      </c>
      <c r="CG15" s="15">
        <v>300</v>
      </c>
      <c r="CH15" s="15">
        <v>300</v>
      </c>
      <c r="CI15" s="15">
        <v>300</v>
      </c>
      <c r="CJ15" s="15">
        <v>300</v>
      </c>
      <c r="CK15" s="15">
        <v>300</v>
      </c>
      <c r="CL15" s="15">
        <v>300</v>
      </c>
      <c r="CM15" s="15">
        <v>300</v>
      </c>
      <c r="CN15" s="15">
        <v>300</v>
      </c>
      <c r="CO15" s="15">
        <v>300</v>
      </c>
      <c r="CP15" s="15">
        <v>300</v>
      </c>
      <c r="CQ15" s="15">
        <v>300</v>
      </c>
      <c r="CR15" s="15">
        <v>300</v>
      </c>
      <c r="CS15" s="15">
        <v>300</v>
      </c>
      <c r="CT15" s="15">
        <v>300</v>
      </c>
      <c r="CU15" s="15">
        <v>300</v>
      </c>
      <c r="CV15" s="15">
        <v>300</v>
      </c>
      <c r="CW15" s="15">
        <v>300</v>
      </c>
      <c r="CX15" s="15">
        <v>300</v>
      </c>
      <c r="CY15" s="15">
        <v>300</v>
      </c>
      <c r="CZ15" s="15">
        <v>300</v>
      </c>
      <c r="DA15" s="15">
        <v>300</v>
      </c>
      <c r="DB15" s="15">
        <v>300</v>
      </c>
      <c r="DC15" s="15">
        <v>300</v>
      </c>
      <c r="DD15" s="15">
        <v>300</v>
      </c>
      <c r="DE15" s="15">
        <v>300</v>
      </c>
      <c r="DF15" s="15">
        <v>300</v>
      </c>
      <c r="DG15" s="15">
        <v>300</v>
      </c>
      <c r="DH15" s="15">
        <v>300</v>
      </c>
      <c r="DI15" s="15">
        <v>300</v>
      </c>
      <c r="DJ15" s="15">
        <v>300</v>
      </c>
      <c r="DK15" s="15">
        <v>300</v>
      </c>
      <c r="DL15" s="15">
        <v>300</v>
      </c>
      <c r="DM15" s="15">
        <v>300</v>
      </c>
      <c r="DN15" s="15">
        <v>300</v>
      </c>
      <c r="DO15" s="15">
        <v>300</v>
      </c>
      <c r="DP15" s="15">
        <v>300</v>
      </c>
      <c r="DQ15" s="15">
        <v>300</v>
      </c>
      <c r="DR15" s="15">
        <v>300</v>
      </c>
      <c r="DS15" s="15">
        <v>300</v>
      </c>
      <c r="DT15" s="15">
        <v>300</v>
      </c>
      <c r="DU15" s="15">
        <v>300</v>
      </c>
      <c r="DV15" s="15">
        <v>300</v>
      </c>
      <c r="DW15" s="15">
        <v>300</v>
      </c>
      <c r="DX15" s="15">
        <v>300</v>
      </c>
      <c r="DY15" s="15">
        <v>300</v>
      </c>
      <c r="DZ15" s="15">
        <v>300</v>
      </c>
      <c r="EA15" s="15">
        <v>300</v>
      </c>
      <c r="EB15" s="15">
        <v>300</v>
      </c>
      <c r="EC15" s="15">
        <v>300</v>
      </c>
      <c r="ED15" s="15">
        <v>300</v>
      </c>
      <c r="EE15" s="15">
        <v>300</v>
      </c>
      <c r="EF15" s="15">
        <v>300</v>
      </c>
      <c r="EG15" s="15">
        <v>300</v>
      </c>
      <c r="EH15" s="15">
        <v>300</v>
      </c>
      <c r="EI15" s="15">
        <v>300</v>
      </c>
      <c r="EJ15" s="15">
        <v>300</v>
      </c>
      <c r="EK15" s="15">
        <v>300</v>
      </c>
      <c r="EL15" s="15">
        <v>300</v>
      </c>
      <c r="EM15" s="15">
        <v>300</v>
      </c>
      <c r="EN15" s="15">
        <v>300</v>
      </c>
      <c r="EO15" s="15">
        <v>300</v>
      </c>
      <c r="EP15" s="15">
        <v>300</v>
      </c>
      <c r="EQ15" s="15">
        <v>300</v>
      </c>
      <c r="ER15" s="15">
        <v>300</v>
      </c>
      <c r="ES15" s="15">
        <v>300</v>
      </c>
      <c r="ET15" s="15">
        <v>300</v>
      </c>
      <c r="EU15" s="15">
        <v>300</v>
      </c>
      <c r="EV15" s="15">
        <v>300</v>
      </c>
      <c r="EW15" s="15">
        <v>300</v>
      </c>
      <c r="EX15" s="15">
        <v>300</v>
      </c>
      <c r="EY15" s="15">
        <v>300</v>
      </c>
      <c r="EZ15" s="15">
        <v>300</v>
      </c>
      <c r="FA15" s="15">
        <v>300</v>
      </c>
      <c r="FB15" s="15">
        <v>300</v>
      </c>
      <c r="FC15" s="15">
        <v>300</v>
      </c>
      <c r="FD15" s="15"/>
      <c r="FE15" s="15">
        <v>300</v>
      </c>
      <c r="FF15" s="15">
        <v>300</v>
      </c>
      <c r="FG15" s="15">
        <v>300</v>
      </c>
      <c r="FH15" s="15">
        <v>300</v>
      </c>
      <c r="FI15" s="15">
        <v>300</v>
      </c>
      <c r="FJ15" s="15">
        <v>300</v>
      </c>
      <c r="FK15" s="15">
        <v>300</v>
      </c>
      <c r="FL15" s="15">
        <v>300</v>
      </c>
      <c r="FM15" s="15">
        <v>300</v>
      </c>
      <c r="FN15" s="15">
        <v>300</v>
      </c>
      <c r="FO15" s="15">
        <v>300</v>
      </c>
      <c r="FP15" s="15">
        <v>300</v>
      </c>
      <c r="FQ15" s="15">
        <v>300</v>
      </c>
      <c r="FR15" s="15">
        <v>300</v>
      </c>
      <c r="FS15" s="15">
        <v>300</v>
      </c>
      <c r="FT15" s="15">
        <v>300</v>
      </c>
      <c r="FU15" s="15">
        <v>300</v>
      </c>
      <c r="FV15" s="15">
        <v>300</v>
      </c>
      <c r="FW15" s="15">
        <v>300</v>
      </c>
      <c r="FX15" s="15">
        <v>300</v>
      </c>
      <c r="FY15" s="15">
        <v>300</v>
      </c>
      <c r="FZ15" s="15">
        <v>300</v>
      </c>
      <c r="GA15" s="15">
        <v>300</v>
      </c>
      <c r="GB15" s="15">
        <v>300</v>
      </c>
      <c r="GC15" s="15">
        <v>300</v>
      </c>
      <c r="GD15" s="15">
        <v>300</v>
      </c>
      <c r="GE15" s="15">
        <v>300</v>
      </c>
      <c r="GF15" s="15">
        <v>300</v>
      </c>
      <c r="GG15" s="15">
        <v>300</v>
      </c>
      <c r="GH15" s="15">
        <v>300</v>
      </c>
      <c r="GI15" s="15">
        <v>300</v>
      </c>
      <c r="GJ15" s="15">
        <v>300</v>
      </c>
      <c r="GK15" s="15">
        <v>300</v>
      </c>
      <c r="GL15" s="15">
        <v>300</v>
      </c>
      <c r="GM15" s="15">
        <v>300</v>
      </c>
      <c r="GN15" s="15">
        <v>300</v>
      </c>
      <c r="GO15" s="15">
        <v>300</v>
      </c>
      <c r="GP15" s="15">
        <v>300</v>
      </c>
      <c r="GQ15" s="15">
        <v>300</v>
      </c>
      <c r="GR15" s="15">
        <v>300</v>
      </c>
      <c r="GS15" s="15">
        <v>300</v>
      </c>
      <c r="GT15" s="15">
        <v>300</v>
      </c>
      <c r="GU15" s="15">
        <v>300</v>
      </c>
      <c r="GV15" s="15">
        <v>300</v>
      </c>
      <c r="GW15" s="15">
        <v>300</v>
      </c>
      <c r="GX15" s="15">
        <v>300</v>
      </c>
      <c r="GY15" s="15">
        <v>300</v>
      </c>
      <c r="GZ15" s="15">
        <v>300</v>
      </c>
      <c r="HA15" s="15">
        <v>300</v>
      </c>
      <c r="HB15" s="15">
        <v>300</v>
      </c>
      <c r="HC15" s="15">
        <v>300</v>
      </c>
      <c r="HD15" s="15">
        <v>300</v>
      </c>
      <c r="HE15" s="15">
        <v>300</v>
      </c>
      <c r="HF15" s="15">
        <v>300</v>
      </c>
      <c r="HG15" s="15">
        <v>300</v>
      </c>
      <c r="HH15" s="15">
        <v>300</v>
      </c>
      <c r="HI15" s="15">
        <v>300</v>
      </c>
      <c r="HJ15" s="15">
        <v>300</v>
      </c>
      <c r="HK15" s="15">
        <v>300</v>
      </c>
      <c r="HL15" s="15">
        <v>300</v>
      </c>
      <c r="HM15" s="15">
        <v>300</v>
      </c>
      <c r="HN15" s="15">
        <v>300</v>
      </c>
      <c r="HO15" s="15">
        <v>300</v>
      </c>
      <c r="HP15" s="15">
        <v>300</v>
      </c>
      <c r="HQ15" s="15">
        <v>300</v>
      </c>
      <c r="HR15" s="15">
        <v>300</v>
      </c>
      <c r="HS15" s="15">
        <v>300</v>
      </c>
      <c r="HT15" s="15">
        <v>300</v>
      </c>
      <c r="HU15" s="15">
        <v>300</v>
      </c>
      <c r="HV15" s="15">
        <v>300</v>
      </c>
      <c r="HW15" s="15">
        <v>300</v>
      </c>
      <c r="HX15" s="15">
        <v>300</v>
      </c>
      <c r="HY15" s="15">
        <v>300</v>
      </c>
      <c r="HZ15" s="15">
        <v>300</v>
      </c>
      <c r="IA15" s="15">
        <v>300</v>
      </c>
      <c r="IB15" s="15"/>
      <c r="IC15" s="15">
        <v>300</v>
      </c>
      <c r="ID15" s="15">
        <v>300</v>
      </c>
      <c r="IE15" s="15">
        <v>300</v>
      </c>
      <c r="IF15" s="15">
        <v>300</v>
      </c>
      <c r="IG15" s="15">
        <v>300</v>
      </c>
      <c r="IH15" s="15">
        <v>300</v>
      </c>
      <c r="II15" s="15">
        <v>300</v>
      </c>
      <c r="IJ15" s="15">
        <v>300</v>
      </c>
      <c r="IK15" s="15"/>
      <c r="IL15" s="15">
        <v>300</v>
      </c>
      <c r="IM15" s="15">
        <v>300</v>
      </c>
      <c r="IN15" s="15">
        <v>300</v>
      </c>
      <c r="IO15" s="15">
        <v>300</v>
      </c>
      <c r="IP15" s="15">
        <v>300</v>
      </c>
      <c r="IQ15" s="15">
        <v>300</v>
      </c>
      <c r="IR15" s="15">
        <v>300</v>
      </c>
      <c r="IS15" s="15">
        <v>300</v>
      </c>
      <c r="IT15" s="15">
        <v>300</v>
      </c>
      <c r="IU15" s="15">
        <v>300</v>
      </c>
      <c r="IV15" s="15">
        <v>300</v>
      </c>
      <c r="IW15" s="15">
        <v>300</v>
      </c>
      <c r="IX15" s="15">
        <v>300</v>
      </c>
      <c r="IY15" s="15">
        <v>300</v>
      </c>
      <c r="IZ15" s="15">
        <v>300</v>
      </c>
      <c r="JA15" s="15">
        <v>300</v>
      </c>
      <c r="JB15" s="15">
        <v>300</v>
      </c>
      <c r="JC15" s="15">
        <v>300</v>
      </c>
      <c r="JD15" s="15">
        <v>300</v>
      </c>
      <c r="JE15" s="15">
        <v>300</v>
      </c>
      <c r="JF15" s="15">
        <v>300</v>
      </c>
      <c r="JG15" s="15">
        <v>300</v>
      </c>
      <c r="JH15" s="15">
        <v>300</v>
      </c>
      <c r="JI15" s="15">
        <v>300</v>
      </c>
      <c r="JJ15" s="15">
        <v>300</v>
      </c>
      <c r="JK15" s="15">
        <v>300</v>
      </c>
      <c r="JL15" s="15">
        <v>300</v>
      </c>
      <c r="JM15" s="15">
        <v>300</v>
      </c>
      <c r="JN15" s="15">
        <v>300</v>
      </c>
      <c r="JO15" s="15">
        <v>300</v>
      </c>
      <c r="JP15" s="15">
        <v>300</v>
      </c>
      <c r="JQ15" s="15">
        <v>300</v>
      </c>
      <c r="JR15" s="15">
        <v>300</v>
      </c>
      <c r="JS15" s="15">
        <v>300</v>
      </c>
      <c r="JT15" s="15">
        <v>300</v>
      </c>
      <c r="JU15" s="15">
        <v>300</v>
      </c>
      <c r="JV15" s="15">
        <v>300</v>
      </c>
      <c r="JW15" s="15">
        <v>300</v>
      </c>
      <c r="JX15" s="15">
        <v>300</v>
      </c>
      <c r="JY15" s="15">
        <v>300</v>
      </c>
      <c r="JZ15" s="15">
        <v>300</v>
      </c>
      <c r="KA15" s="15">
        <v>300</v>
      </c>
      <c r="KB15" s="15">
        <v>300</v>
      </c>
      <c r="KC15" s="15">
        <v>300</v>
      </c>
      <c r="KD15" s="15">
        <v>300</v>
      </c>
      <c r="KE15" s="15">
        <v>300</v>
      </c>
      <c r="KF15" s="15">
        <v>300</v>
      </c>
      <c r="KG15" s="15">
        <v>300</v>
      </c>
      <c r="KH15" s="15">
        <v>300</v>
      </c>
      <c r="KI15" s="15">
        <v>300</v>
      </c>
      <c r="KJ15" s="15">
        <v>300</v>
      </c>
      <c r="KK15" s="15">
        <v>300</v>
      </c>
      <c r="KL15" s="15">
        <v>300</v>
      </c>
      <c r="KM15" s="15">
        <v>300</v>
      </c>
      <c r="KN15" s="15">
        <v>300</v>
      </c>
      <c r="KO15" s="15">
        <v>300</v>
      </c>
      <c r="KP15" s="15">
        <v>300</v>
      </c>
      <c r="KQ15" s="15">
        <v>300</v>
      </c>
      <c r="KR15" s="15">
        <v>300</v>
      </c>
      <c r="KS15" s="15">
        <v>300</v>
      </c>
      <c r="KT15" s="15">
        <v>300</v>
      </c>
      <c r="KU15" s="15">
        <v>300</v>
      </c>
      <c r="KV15" s="15">
        <v>300</v>
      </c>
      <c r="KW15" s="15">
        <v>300</v>
      </c>
      <c r="KX15" s="15">
        <v>300</v>
      </c>
      <c r="KY15" s="15">
        <v>300</v>
      </c>
      <c r="KZ15" s="15">
        <v>300</v>
      </c>
      <c r="LA15" s="15">
        <v>300</v>
      </c>
      <c r="LB15" s="15">
        <v>300</v>
      </c>
      <c r="LC15" s="15">
        <v>300</v>
      </c>
      <c r="LD15" s="15">
        <v>300</v>
      </c>
      <c r="LE15" s="15">
        <v>300</v>
      </c>
      <c r="LF15" s="15">
        <v>300</v>
      </c>
      <c r="LG15" s="15">
        <v>300</v>
      </c>
      <c r="LH15" s="15">
        <v>300</v>
      </c>
      <c r="LI15" s="15">
        <v>300</v>
      </c>
      <c r="LJ15" s="15">
        <v>300</v>
      </c>
      <c r="LK15" s="15">
        <v>300</v>
      </c>
      <c r="LL15" s="15">
        <v>300</v>
      </c>
      <c r="LM15" s="15">
        <v>300</v>
      </c>
      <c r="LN15" s="15">
        <v>300</v>
      </c>
      <c r="LO15" s="15">
        <v>300</v>
      </c>
      <c r="LP15" s="15">
        <v>300</v>
      </c>
      <c r="LQ15" s="15">
        <v>300</v>
      </c>
      <c r="LR15" s="15">
        <v>300</v>
      </c>
      <c r="LS15" s="15">
        <v>300</v>
      </c>
      <c r="LT15" s="15">
        <v>300</v>
      </c>
      <c r="LU15" s="15">
        <v>300</v>
      </c>
      <c r="LV15" s="15">
        <v>300</v>
      </c>
      <c r="LW15" s="15">
        <v>300</v>
      </c>
      <c r="LX15" s="15">
        <v>300</v>
      </c>
      <c r="LY15" s="15">
        <v>300</v>
      </c>
      <c r="LZ15" s="15">
        <v>300</v>
      </c>
      <c r="MA15" s="15">
        <v>300</v>
      </c>
      <c r="MB15" s="15">
        <v>300</v>
      </c>
      <c r="MC15" s="15">
        <v>300</v>
      </c>
      <c r="MD15" s="15">
        <v>300</v>
      </c>
      <c r="ME15" s="15">
        <v>300</v>
      </c>
      <c r="MF15" s="15">
        <v>300</v>
      </c>
      <c r="MG15" s="15">
        <v>300</v>
      </c>
      <c r="MH15" s="15">
        <v>300</v>
      </c>
      <c r="MI15" s="15">
        <v>300</v>
      </c>
      <c r="MJ15" s="15">
        <v>300</v>
      </c>
      <c r="MK15" s="15">
        <v>300</v>
      </c>
      <c r="ML15" s="15">
        <v>300</v>
      </c>
      <c r="MM15" s="15">
        <v>300</v>
      </c>
      <c r="MN15" s="21">
        <v>300</v>
      </c>
      <c r="MO15" s="21">
        <v>300</v>
      </c>
      <c r="MP15" s="21">
        <v>300</v>
      </c>
      <c r="MQ15" s="21">
        <v>300</v>
      </c>
      <c r="MR15" s="21">
        <v>300</v>
      </c>
      <c r="MS15" s="15">
        <v>300</v>
      </c>
      <c r="MT15" s="15">
        <v>300</v>
      </c>
      <c r="MU15" s="15">
        <v>300</v>
      </c>
      <c r="MV15" s="15">
        <v>300</v>
      </c>
      <c r="MW15" s="15">
        <v>300</v>
      </c>
      <c r="MX15" s="21">
        <v>300</v>
      </c>
      <c r="MY15" s="21">
        <v>300</v>
      </c>
      <c r="MZ15" s="21">
        <v>300</v>
      </c>
      <c r="NA15" s="21">
        <v>300</v>
      </c>
      <c r="NB15" s="21">
        <v>300</v>
      </c>
      <c r="NC15" s="15">
        <v>300</v>
      </c>
      <c r="ND15" s="15">
        <v>300</v>
      </c>
      <c r="NE15" s="15">
        <v>300</v>
      </c>
      <c r="NF15" s="15">
        <v>300</v>
      </c>
      <c r="NG15" s="15">
        <v>300</v>
      </c>
      <c r="NH15" s="21">
        <v>300</v>
      </c>
      <c r="NI15" s="21">
        <v>300</v>
      </c>
      <c r="NJ15" s="21">
        <v>300</v>
      </c>
      <c r="NK15" s="21">
        <v>300</v>
      </c>
      <c r="NL15" s="21">
        <v>300</v>
      </c>
      <c r="NM15" s="15">
        <v>300</v>
      </c>
      <c r="NN15" s="15">
        <v>300</v>
      </c>
      <c r="NO15" s="15">
        <v>300</v>
      </c>
      <c r="NP15" s="15">
        <v>300</v>
      </c>
      <c r="NQ15" s="15">
        <v>300</v>
      </c>
      <c r="NR15" s="15">
        <v>300</v>
      </c>
      <c r="NS15" s="15">
        <v>300</v>
      </c>
      <c r="NT15" s="15">
        <v>300</v>
      </c>
      <c r="NU15" s="15">
        <v>300</v>
      </c>
      <c r="NV15" s="15">
        <v>300</v>
      </c>
      <c r="NW15" s="15">
        <v>300</v>
      </c>
      <c r="NX15" s="15">
        <v>300</v>
      </c>
      <c r="NY15" s="15">
        <v>300</v>
      </c>
      <c r="NZ15" s="15">
        <v>300</v>
      </c>
      <c r="OA15" s="15">
        <v>300</v>
      </c>
      <c r="OB15" s="15">
        <v>300</v>
      </c>
      <c r="OC15" s="15">
        <v>300</v>
      </c>
      <c r="OD15" s="15">
        <v>300</v>
      </c>
      <c r="OE15" s="15">
        <v>300</v>
      </c>
      <c r="OF15" s="15">
        <v>300</v>
      </c>
      <c r="OG15" s="15">
        <v>300</v>
      </c>
      <c r="OH15" s="15">
        <v>300</v>
      </c>
      <c r="OI15" s="15">
        <v>300</v>
      </c>
      <c r="OJ15" s="15">
        <v>300</v>
      </c>
      <c r="OK15" s="15">
        <v>300</v>
      </c>
      <c r="OL15" s="15">
        <v>300</v>
      </c>
      <c r="OM15" s="15">
        <v>300</v>
      </c>
      <c r="ON15" s="15">
        <v>300</v>
      </c>
      <c r="OO15" s="15">
        <v>300</v>
      </c>
      <c r="OP15" s="15">
        <v>300</v>
      </c>
      <c r="OQ15" s="15">
        <v>300</v>
      </c>
      <c r="OR15" s="15">
        <v>300</v>
      </c>
      <c r="OS15" s="15">
        <v>300</v>
      </c>
      <c r="OT15" s="15">
        <v>300</v>
      </c>
      <c r="OU15" s="15">
        <v>300</v>
      </c>
      <c r="OV15" s="15">
        <v>300</v>
      </c>
      <c r="OW15" s="15">
        <v>300</v>
      </c>
      <c r="OX15" s="15">
        <v>300</v>
      </c>
      <c r="OY15" s="15">
        <v>300</v>
      </c>
      <c r="OZ15" s="15">
        <v>300</v>
      </c>
      <c r="PA15" s="15">
        <v>300</v>
      </c>
      <c r="PB15" s="15">
        <v>300</v>
      </c>
      <c r="PC15" s="15">
        <v>300</v>
      </c>
      <c r="PD15" s="15">
        <v>300</v>
      </c>
      <c r="PE15" s="15">
        <v>300</v>
      </c>
      <c r="PF15" s="15">
        <v>300</v>
      </c>
      <c r="PG15" s="15">
        <v>300</v>
      </c>
      <c r="PH15" s="15">
        <v>300</v>
      </c>
      <c r="PI15" s="15">
        <v>300</v>
      </c>
      <c r="PJ15" s="15">
        <v>300</v>
      </c>
      <c r="PK15" s="15">
        <v>300</v>
      </c>
      <c r="PL15" s="15">
        <v>300</v>
      </c>
      <c r="PM15" s="15">
        <v>300</v>
      </c>
      <c r="PN15" s="15">
        <v>300</v>
      </c>
      <c r="PO15" s="15">
        <v>300</v>
      </c>
      <c r="PP15" s="15">
        <v>300</v>
      </c>
      <c r="PQ15" s="15">
        <v>300</v>
      </c>
      <c r="PR15" s="15">
        <v>300</v>
      </c>
      <c r="PS15" s="15">
        <v>300</v>
      </c>
      <c r="PT15" s="15">
        <v>300</v>
      </c>
      <c r="PU15" s="15">
        <v>300</v>
      </c>
      <c r="PV15" s="15">
        <v>300</v>
      </c>
      <c r="PW15" s="15">
        <v>300</v>
      </c>
      <c r="PX15" s="15">
        <v>300</v>
      </c>
      <c r="PY15" s="15">
        <v>300</v>
      </c>
      <c r="PZ15" s="15">
        <v>300</v>
      </c>
      <c r="QA15" s="15">
        <v>300</v>
      </c>
      <c r="QB15" s="15">
        <v>300</v>
      </c>
      <c r="QC15" s="15">
        <v>300</v>
      </c>
      <c r="QD15" s="15">
        <v>300</v>
      </c>
      <c r="QE15" s="15">
        <v>300</v>
      </c>
      <c r="QF15" s="15">
        <v>300</v>
      </c>
      <c r="QG15" s="15">
        <v>300</v>
      </c>
      <c r="QH15" s="15">
        <v>300</v>
      </c>
      <c r="QI15" s="15">
        <v>300</v>
      </c>
      <c r="QJ15" s="15">
        <v>300</v>
      </c>
      <c r="QK15" s="15">
        <v>300</v>
      </c>
      <c r="QL15" s="15">
        <v>300</v>
      </c>
      <c r="QM15" s="15">
        <v>300</v>
      </c>
      <c r="QN15" s="15">
        <v>300</v>
      </c>
      <c r="QO15" s="15">
        <v>300</v>
      </c>
      <c r="QP15" s="15">
        <v>300</v>
      </c>
      <c r="QQ15" s="15">
        <v>300</v>
      </c>
      <c r="QR15" s="15">
        <v>300</v>
      </c>
      <c r="QS15" s="15">
        <v>300</v>
      </c>
      <c r="QT15" s="15">
        <v>300</v>
      </c>
      <c r="QU15" s="15">
        <v>300</v>
      </c>
      <c r="QV15" s="15">
        <v>300</v>
      </c>
      <c r="QW15" s="15">
        <v>300</v>
      </c>
      <c r="QX15" s="15">
        <v>300</v>
      </c>
      <c r="QY15" s="15">
        <v>300</v>
      </c>
      <c r="QZ15" s="15">
        <v>300</v>
      </c>
      <c r="RA15" s="15">
        <v>300</v>
      </c>
      <c r="RB15" s="15">
        <v>300</v>
      </c>
      <c r="RC15" s="15">
        <v>300</v>
      </c>
      <c r="RD15" s="15">
        <v>300</v>
      </c>
      <c r="RE15" s="15">
        <v>300</v>
      </c>
      <c r="RF15" s="15">
        <v>300</v>
      </c>
      <c r="RG15" s="15">
        <v>300</v>
      </c>
      <c r="RH15" s="15">
        <v>300</v>
      </c>
      <c r="RI15" s="15">
        <v>300</v>
      </c>
      <c r="RJ15" s="15">
        <v>300</v>
      </c>
      <c r="RK15" s="15">
        <v>300</v>
      </c>
      <c r="RL15" s="15">
        <v>300</v>
      </c>
      <c r="RM15" s="15">
        <v>300</v>
      </c>
      <c r="RN15" s="15">
        <v>300</v>
      </c>
      <c r="RO15" s="15">
        <v>300</v>
      </c>
      <c r="RP15" s="15">
        <v>300</v>
      </c>
      <c r="RQ15" s="15">
        <v>300</v>
      </c>
      <c r="RR15" s="15">
        <v>300</v>
      </c>
      <c r="RS15" s="15"/>
      <c r="RT15" s="15">
        <v>300</v>
      </c>
      <c r="RU15" s="15">
        <v>300</v>
      </c>
      <c r="RV15" s="15">
        <v>300</v>
      </c>
      <c r="RW15" s="15">
        <v>300</v>
      </c>
      <c r="RX15" s="15">
        <v>300</v>
      </c>
      <c r="RY15" s="15">
        <v>300</v>
      </c>
      <c r="RZ15" s="15">
        <v>300</v>
      </c>
      <c r="SA15" s="15">
        <v>300</v>
      </c>
      <c r="SB15" s="15">
        <v>300</v>
      </c>
      <c r="SC15" s="15">
        <v>300</v>
      </c>
      <c r="SD15" s="15">
        <v>300</v>
      </c>
      <c r="SE15" s="15">
        <v>300</v>
      </c>
      <c r="SF15" s="15">
        <v>300</v>
      </c>
      <c r="SG15" s="15">
        <v>300</v>
      </c>
      <c r="SH15" s="15">
        <v>300</v>
      </c>
      <c r="SI15" s="15">
        <v>300</v>
      </c>
      <c r="SJ15" s="15">
        <v>300</v>
      </c>
      <c r="SK15" s="15">
        <v>300</v>
      </c>
      <c r="SL15" s="15">
        <v>300</v>
      </c>
      <c r="SM15" s="15">
        <v>300</v>
      </c>
      <c r="SN15" s="15">
        <v>300</v>
      </c>
      <c r="SO15" s="15">
        <v>300</v>
      </c>
      <c r="SP15" s="15">
        <v>300</v>
      </c>
      <c r="SQ15" s="15">
        <v>300</v>
      </c>
      <c r="SR15" s="15">
        <v>300</v>
      </c>
      <c r="SS15" s="15">
        <v>300</v>
      </c>
      <c r="ST15" s="15">
        <v>300</v>
      </c>
      <c r="SU15" s="15">
        <v>300</v>
      </c>
      <c r="SV15" s="15">
        <v>300</v>
      </c>
      <c r="SW15" s="15">
        <v>300</v>
      </c>
      <c r="SX15" s="15">
        <v>300</v>
      </c>
      <c r="SY15" s="15">
        <v>300</v>
      </c>
      <c r="SZ15" s="15">
        <v>300</v>
      </c>
      <c r="TA15" s="15">
        <v>300</v>
      </c>
      <c r="TB15" s="15">
        <v>300</v>
      </c>
      <c r="TC15" s="15">
        <v>300</v>
      </c>
      <c r="TD15" s="15">
        <v>300</v>
      </c>
      <c r="TE15" s="15">
        <v>300</v>
      </c>
      <c r="TF15" s="15">
        <v>300</v>
      </c>
      <c r="TG15" s="15">
        <v>300</v>
      </c>
      <c r="TH15" s="15">
        <v>300</v>
      </c>
      <c r="TI15" s="15">
        <v>300</v>
      </c>
      <c r="TJ15" s="15">
        <v>300</v>
      </c>
      <c r="TK15" s="15">
        <v>300</v>
      </c>
      <c r="TL15" s="15">
        <v>300</v>
      </c>
      <c r="TM15" s="15">
        <v>300</v>
      </c>
      <c r="TN15" s="15">
        <v>300</v>
      </c>
      <c r="TO15" s="15">
        <v>300</v>
      </c>
      <c r="TP15" s="15">
        <v>300</v>
      </c>
      <c r="TQ15" s="15">
        <v>300</v>
      </c>
      <c r="TR15" s="15">
        <v>300</v>
      </c>
      <c r="TS15" s="15">
        <v>300</v>
      </c>
      <c r="TT15" s="15">
        <v>300</v>
      </c>
      <c r="TU15" s="15">
        <v>300</v>
      </c>
      <c r="TV15" s="15">
        <v>300</v>
      </c>
      <c r="TW15" s="15">
        <v>300</v>
      </c>
      <c r="TX15" s="15">
        <v>300</v>
      </c>
      <c r="TY15" s="15">
        <v>300</v>
      </c>
      <c r="TZ15" s="15">
        <v>300</v>
      </c>
      <c r="UA15" s="15">
        <v>300</v>
      </c>
      <c r="UB15" s="15">
        <v>300</v>
      </c>
      <c r="UC15" s="15">
        <v>300</v>
      </c>
      <c r="UD15" s="15">
        <v>300</v>
      </c>
      <c r="UE15" s="15">
        <v>300</v>
      </c>
      <c r="UF15" s="15">
        <v>300</v>
      </c>
      <c r="UG15" s="15">
        <v>300</v>
      </c>
      <c r="UH15" s="15">
        <v>300</v>
      </c>
      <c r="UI15" s="15">
        <v>300</v>
      </c>
      <c r="UJ15" s="15">
        <v>300</v>
      </c>
      <c r="UK15" s="15">
        <v>300</v>
      </c>
      <c r="UL15" s="15">
        <v>300</v>
      </c>
      <c r="UM15" s="15">
        <v>300</v>
      </c>
      <c r="UN15" s="15">
        <v>300</v>
      </c>
      <c r="UO15" s="15">
        <v>300</v>
      </c>
      <c r="UP15" s="15">
        <v>300</v>
      </c>
      <c r="UQ15" s="15">
        <v>300</v>
      </c>
      <c r="UR15" s="15">
        <v>300</v>
      </c>
      <c r="US15" s="15">
        <v>300</v>
      </c>
      <c r="UT15" s="15">
        <v>300</v>
      </c>
      <c r="UU15" s="15">
        <v>300</v>
      </c>
      <c r="UV15" s="15">
        <v>300</v>
      </c>
      <c r="UW15" s="15">
        <v>300</v>
      </c>
      <c r="UX15" s="15">
        <v>300</v>
      </c>
      <c r="UY15" s="15">
        <v>300</v>
      </c>
      <c r="UZ15" s="15">
        <v>300</v>
      </c>
      <c r="VA15" s="15">
        <v>300</v>
      </c>
      <c r="VB15" s="15">
        <v>300</v>
      </c>
      <c r="VC15" s="15">
        <v>300</v>
      </c>
      <c r="VD15" s="15">
        <v>300</v>
      </c>
      <c r="VE15" s="15">
        <v>300</v>
      </c>
      <c r="VF15" s="15">
        <v>300</v>
      </c>
      <c r="VG15" s="15">
        <v>300</v>
      </c>
      <c r="VH15" s="15">
        <v>300</v>
      </c>
      <c r="VI15" s="15">
        <v>300</v>
      </c>
      <c r="VJ15" s="15">
        <v>300</v>
      </c>
      <c r="VK15" s="15">
        <v>300</v>
      </c>
      <c r="VL15" s="15">
        <v>300</v>
      </c>
      <c r="VM15" s="15">
        <v>300</v>
      </c>
      <c r="VN15" s="15">
        <v>300</v>
      </c>
      <c r="VO15" s="15">
        <v>300</v>
      </c>
      <c r="VP15" s="15">
        <v>300</v>
      </c>
      <c r="VQ15" s="15">
        <v>300</v>
      </c>
      <c r="VR15" s="15">
        <v>300</v>
      </c>
      <c r="VS15" s="15">
        <v>300</v>
      </c>
      <c r="VT15" s="15">
        <v>300</v>
      </c>
      <c r="VU15" s="15">
        <v>300</v>
      </c>
      <c r="VV15" s="15">
        <v>300</v>
      </c>
      <c r="VW15" s="15">
        <v>300</v>
      </c>
      <c r="VX15" s="15">
        <v>300</v>
      </c>
      <c r="VY15" s="15">
        <v>300</v>
      </c>
      <c r="VZ15" s="15">
        <v>300</v>
      </c>
      <c r="WA15" s="15">
        <v>300</v>
      </c>
      <c r="WB15" s="15">
        <v>300</v>
      </c>
      <c r="WC15" s="15">
        <v>300</v>
      </c>
      <c r="WD15" s="15">
        <v>300</v>
      </c>
      <c r="WE15" s="15">
        <v>300</v>
      </c>
      <c r="WF15" s="15">
        <v>300</v>
      </c>
      <c r="WG15" s="15">
        <v>300</v>
      </c>
      <c r="WH15" s="15">
        <v>300</v>
      </c>
      <c r="WI15" s="15">
        <v>300</v>
      </c>
      <c r="WJ15" s="15">
        <v>300</v>
      </c>
      <c r="WK15" s="15">
        <v>300</v>
      </c>
      <c r="WL15" s="15">
        <v>300</v>
      </c>
      <c r="WM15" s="15">
        <v>300</v>
      </c>
      <c r="WN15" s="15">
        <v>300</v>
      </c>
      <c r="WO15" s="15">
        <v>300</v>
      </c>
      <c r="WP15" s="15">
        <v>300</v>
      </c>
      <c r="WQ15" s="15">
        <v>300</v>
      </c>
      <c r="WR15" s="15">
        <v>300</v>
      </c>
      <c r="WS15" s="15">
        <v>300</v>
      </c>
      <c r="WT15" s="15">
        <v>300</v>
      </c>
      <c r="WU15" s="15">
        <v>300</v>
      </c>
      <c r="WV15" s="15">
        <v>300</v>
      </c>
      <c r="WW15" s="15">
        <v>300</v>
      </c>
      <c r="WX15" s="15">
        <v>300</v>
      </c>
      <c r="WY15" s="15">
        <v>300</v>
      </c>
      <c r="WZ15" s="15">
        <v>300</v>
      </c>
      <c r="XA15" s="15">
        <v>300</v>
      </c>
      <c r="XB15" s="15">
        <v>300</v>
      </c>
      <c r="XC15" s="15">
        <v>300</v>
      </c>
      <c r="XD15" s="15">
        <v>300</v>
      </c>
      <c r="XE15" s="15">
        <v>300</v>
      </c>
      <c r="XF15" s="15">
        <v>300</v>
      </c>
      <c r="XG15" s="15">
        <v>300</v>
      </c>
      <c r="XH15" s="15">
        <v>300</v>
      </c>
      <c r="XI15" s="15">
        <v>300</v>
      </c>
      <c r="XJ15" s="15">
        <v>300</v>
      </c>
      <c r="XK15" s="15">
        <v>300</v>
      </c>
      <c r="XL15" s="15">
        <v>300</v>
      </c>
      <c r="XM15" s="15">
        <v>300</v>
      </c>
      <c r="XN15" s="15">
        <v>300</v>
      </c>
      <c r="XO15" s="15">
        <v>300</v>
      </c>
      <c r="XP15" s="15">
        <v>300</v>
      </c>
      <c r="XQ15" s="15">
        <v>300</v>
      </c>
      <c r="XR15" s="15">
        <v>300</v>
      </c>
      <c r="XS15" s="15">
        <v>300</v>
      </c>
      <c r="XT15" s="15">
        <v>300</v>
      </c>
      <c r="XU15" s="15">
        <v>300</v>
      </c>
      <c r="XV15" s="15">
        <v>300</v>
      </c>
      <c r="XW15" s="15">
        <v>300</v>
      </c>
      <c r="XX15" s="15">
        <v>300</v>
      </c>
      <c r="XY15" s="15">
        <v>300</v>
      </c>
      <c r="XZ15" s="15">
        <v>300</v>
      </c>
      <c r="YA15" s="15">
        <v>300</v>
      </c>
      <c r="YB15" s="15">
        <v>300</v>
      </c>
      <c r="YC15" s="15">
        <v>300</v>
      </c>
      <c r="YD15" s="15">
        <v>300</v>
      </c>
      <c r="YE15" s="15">
        <v>300</v>
      </c>
      <c r="YF15" s="15">
        <v>300</v>
      </c>
      <c r="YG15" s="15">
        <v>300</v>
      </c>
      <c r="YH15" s="15">
        <v>300</v>
      </c>
      <c r="YI15" s="15">
        <v>300</v>
      </c>
      <c r="YJ15" s="15">
        <v>300</v>
      </c>
      <c r="YK15" s="15">
        <v>300</v>
      </c>
      <c r="YL15" s="15">
        <v>300</v>
      </c>
      <c r="YM15" s="15">
        <v>300</v>
      </c>
      <c r="YN15" s="15">
        <v>300</v>
      </c>
      <c r="YO15" s="15">
        <v>300</v>
      </c>
      <c r="YP15" s="15">
        <v>300</v>
      </c>
      <c r="YQ15" s="15">
        <v>300</v>
      </c>
      <c r="YR15" s="15">
        <v>300</v>
      </c>
      <c r="YS15" s="15">
        <v>300</v>
      </c>
      <c r="YT15" s="15">
        <v>300</v>
      </c>
      <c r="YU15" s="15">
        <v>300</v>
      </c>
      <c r="YV15" s="15">
        <v>300</v>
      </c>
      <c r="YW15" s="15">
        <v>300</v>
      </c>
      <c r="YX15" s="15">
        <v>300</v>
      </c>
      <c r="YY15" s="15">
        <v>300</v>
      </c>
      <c r="YZ15" s="15">
        <v>300</v>
      </c>
      <c r="ZA15" s="15">
        <v>300</v>
      </c>
      <c r="ZB15" s="15">
        <v>300</v>
      </c>
      <c r="ZC15" s="15">
        <v>300</v>
      </c>
      <c r="ZD15" s="15">
        <v>300</v>
      </c>
      <c r="ZE15" s="15">
        <v>300</v>
      </c>
      <c r="ZF15" s="15">
        <v>300</v>
      </c>
      <c r="ZG15" s="15">
        <v>300</v>
      </c>
      <c r="ZH15" s="15">
        <v>300</v>
      </c>
      <c r="ZI15" s="15">
        <v>300</v>
      </c>
      <c r="ZJ15" s="15">
        <v>300</v>
      </c>
      <c r="ZK15" s="15">
        <v>300</v>
      </c>
      <c r="ZL15" s="15">
        <v>300</v>
      </c>
      <c r="ZM15" s="15">
        <v>300</v>
      </c>
      <c r="ZN15" s="15">
        <v>300</v>
      </c>
      <c r="ZO15" s="15">
        <v>300</v>
      </c>
      <c r="ZP15" s="15">
        <v>300</v>
      </c>
      <c r="ZQ15" s="15">
        <v>300</v>
      </c>
      <c r="ZR15" s="15">
        <v>300</v>
      </c>
      <c r="ZS15" s="15">
        <v>300</v>
      </c>
      <c r="ZT15" s="15">
        <v>300</v>
      </c>
      <c r="ZU15" s="15">
        <v>300</v>
      </c>
      <c r="ZV15" s="15">
        <v>300</v>
      </c>
      <c r="ZW15" s="15">
        <v>300</v>
      </c>
      <c r="ZX15" s="15">
        <v>300</v>
      </c>
      <c r="ZY15" s="15">
        <v>300</v>
      </c>
      <c r="ZZ15" s="15">
        <v>300</v>
      </c>
      <c r="AAA15" s="15">
        <v>300</v>
      </c>
      <c r="AAB15" s="15">
        <v>300</v>
      </c>
      <c r="AAC15" s="15">
        <v>300</v>
      </c>
      <c r="AAD15" s="21">
        <v>300</v>
      </c>
      <c r="AAE15" s="21">
        <v>300</v>
      </c>
      <c r="AAF15" s="21">
        <v>300</v>
      </c>
      <c r="AAG15" s="21">
        <v>300</v>
      </c>
      <c r="AAH15" s="21">
        <v>300</v>
      </c>
      <c r="AAI15" s="21">
        <v>300</v>
      </c>
      <c r="AAJ15" s="15">
        <v>300</v>
      </c>
      <c r="AAK15" s="15">
        <v>300</v>
      </c>
      <c r="AAL15" s="15"/>
      <c r="AAM15" s="15">
        <v>300</v>
      </c>
      <c r="AAN15" s="15">
        <v>300</v>
      </c>
      <c r="AAO15" s="15">
        <v>300</v>
      </c>
      <c r="AAP15" s="15">
        <v>300</v>
      </c>
      <c r="AAQ15" s="15">
        <v>300</v>
      </c>
      <c r="AAR15" s="15">
        <v>300</v>
      </c>
      <c r="AAS15" s="15">
        <v>300</v>
      </c>
      <c r="AAT15" s="15">
        <v>300</v>
      </c>
      <c r="AAU15" s="15">
        <v>300</v>
      </c>
      <c r="AAV15" s="15">
        <v>300</v>
      </c>
      <c r="AAW15" s="15">
        <v>300</v>
      </c>
      <c r="AAX15" s="15"/>
      <c r="AAY15" s="15">
        <v>300</v>
      </c>
      <c r="AAZ15" s="15">
        <v>300</v>
      </c>
      <c r="ABA15" s="15">
        <v>300</v>
      </c>
      <c r="ABB15" s="15">
        <v>300</v>
      </c>
      <c r="ABC15" s="15">
        <v>300</v>
      </c>
      <c r="ABD15" s="15">
        <v>300</v>
      </c>
      <c r="ABE15" s="15">
        <v>300</v>
      </c>
      <c r="ABF15" s="15">
        <v>300</v>
      </c>
      <c r="ABG15" s="15">
        <v>300</v>
      </c>
      <c r="ABH15" s="15">
        <v>300</v>
      </c>
      <c r="ABI15" s="15">
        <v>300</v>
      </c>
      <c r="ABJ15" s="15">
        <v>300</v>
      </c>
      <c r="ABK15" s="15">
        <v>300</v>
      </c>
      <c r="ABL15" s="15">
        <v>300</v>
      </c>
      <c r="ABM15" s="15">
        <v>300</v>
      </c>
      <c r="ABN15" s="15">
        <v>300</v>
      </c>
      <c r="ABO15" s="15">
        <v>300</v>
      </c>
      <c r="ABP15" s="15">
        <v>300</v>
      </c>
      <c r="ABQ15" s="15">
        <v>300</v>
      </c>
      <c r="ABR15" s="15">
        <v>300</v>
      </c>
      <c r="ABS15" s="15">
        <v>300</v>
      </c>
      <c r="ABT15" s="15">
        <v>300</v>
      </c>
      <c r="ABU15" s="15">
        <v>300</v>
      </c>
      <c r="ABV15" s="15">
        <v>300</v>
      </c>
      <c r="ABW15" s="15">
        <v>300</v>
      </c>
      <c r="ABX15" s="15">
        <v>300</v>
      </c>
      <c r="ABY15" s="15">
        <v>300</v>
      </c>
      <c r="ABZ15" s="15">
        <v>300</v>
      </c>
      <c r="ACA15" s="15">
        <v>300</v>
      </c>
      <c r="ACB15" s="15">
        <v>300</v>
      </c>
      <c r="ACC15" s="15">
        <v>300</v>
      </c>
      <c r="ACD15" s="15">
        <v>300</v>
      </c>
      <c r="ACE15" s="15">
        <v>300</v>
      </c>
      <c r="ACF15" s="15">
        <v>300</v>
      </c>
      <c r="ACG15" s="15">
        <v>300</v>
      </c>
      <c r="ACH15" s="15">
        <v>300</v>
      </c>
      <c r="ACI15" s="15">
        <v>300</v>
      </c>
      <c r="ACJ15" s="15">
        <v>300</v>
      </c>
      <c r="ACK15" s="15">
        <v>300</v>
      </c>
      <c r="ACL15" s="15">
        <v>300</v>
      </c>
      <c r="ACM15" s="15">
        <v>300</v>
      </c>
      <c r="ACN15" s="15">
        <v>300</v>
      </c>
      <c r="ACO15" s="15">
        <v>300</v>
      </c>
      <c r="ACP15" s="15">
        <v>300</v>
      </c>
      <c r="ACQ15" s="15">
        <v>300</v>
      </c>
      <c r="ACR15" s="15">
        <v>300</v>
      </c>
      <c r="ACS15" s="15">
        <v>300</v>
      </c>
      <c r="ACT15" s="15">
        <v>300</v>
      </c>
      <c r="ACU15" s="15">
        <v>300</v>
      </c>
      <c r="ACV15" s="15">
        <v>300</v>
      </c>
      <c r="ACW15" s="15">
        <v>300</v>
      </c>
      <c r="ACX15" s="15">
        <v>300</v>
      </c>
      <c r="ACY15" s="15">
        <v>300</v>
      </c>
      <c r="ACZ15" s="15">
        <v>300</v>
      </c>
      <c r="ADA15" s="15">
        <v>300</v>
      </c>
      <c r="ADB15" s="15">
        <v>300</v>
      </c>
      <c r="ADC15" s="15">
        <v>300</v>
      </c>
      <c r="ADD15" s="15">
        <v>300</v>
      </c>
      <c r="ADE15" s="15">
        <v>300</v>
      </c>
      <c r="ADF15" s="15">
        <v>300</v>
      </c>
      <c r="ADG15" s="15">
        <v>300</v>
      </c>
      <c r="ADH15" s="15"/>
      <c r="ADI15" s="15">
        <v>300</v>
      </c>
      <c r="ADJ15" s="15">
        <v>300</v>
      </c>
      <c r="ADK15" s="15">
        <v>300</v>
      </c>
      <c r="ADL15" s="15">
        <v>300</v>
      </c>
      <c r="ADM15" s="15">
        <v>300</v>
      </c>
      <c r="ADN15" s="15">
        <v>300</v>
      </c>
      <c r="ADO15" s="15">
        <v>300</v>
      </c>
      <c r="ADP15" s="15">
        <v>300</v>
      </c>
      <c r="ADQ15" s="15">
        <v>300</v>
      </c>
      <c r="ADR15" s="15">
        <v>300</v>
      </c>
      <c r="ADS15" s="15">
        <v>300</v>
      </c>
      <c r="ADT15" s="15">
        <v>300</v>
      </c>
      <c r="ADU15" s="15">
        <v>300</v>
      </c>
      <c r="ADV15" s="15">
        <v>300</v>
      </c>
      <c r="ADW15" s="15">
        <v>300</v>
      </c>
      <c r="ADX15" s="15">
        <v>300</v>
      </c>
      <c r="ADY15" s="15">
        <v>300</v>
      </c>
      <c r="ADZ15" s="15">
        <v>300</v>
      </c>
      <c r="AEA15" s="15">
        <v>300</v>
      </c>
      <c r="AEB15" s="15">
        <v>300</v>
      </c>
      <c r="AEC15" s="15">
        <v>300</v>
      </c>
      <c r="AED15" s="15">
        <v>300</v>
      </c>
      <c r="AEE15" s="15">
        <v>300</v>
      </c>
      <c r="AEF15" s="15">
        <v>300</v>
      </c>
      <c r="AEG15" s="15">
        <v>300</v>
      </c>
      <c r="AEH15" s="15">
        <v>300</v>
      </c>
      <c r="AEI15" s="15">
        <v>300</v>
      </c>
      <c r="AEJ15" s="15">
        <v>300</v>
      </c>
      <c r="AEK15" s="15">
        <v>300</v>
      </c>
      <c r="AEL15" s="15">
        <v>300</v>
      </c>
      <c r="AEM15" s="15">
        <v>300</v>
      </c>
      <c r="AEN15" s="15">
        <v>300</v>
      </c>
      <c r="AEO15" s="15">
        <v>300</v>
      </c>
      <c r="AEP15" s="15">
        <v>300</v>
      </c>
      <c r="AEQ15" s="15">
        <v>300</v>
      </c>
      <c r="AER15" s="15">
        <v>300</v>
      </c>
      <c r="AES15" s="15">
        <v>300</v>
      </c>
      <c r="AET15" s="15">
        <v>300</v>
      </c>
      <c r="AEU15" s="15">
        <v>300</v>
      </c>
      <c r="AEV15" s="15">
        <v>300</v>
      </c>
      <c r="AEW15" s="15">
        <v>300</v>
      </c>
      <c r="AEX15" s="15">
        <v>300</v>
      </c>
      <c r="AEY15" s="15">
        <v>300</v>
      </c>
      <c r="AEZ15" s="15">
        <v>300</v>
      </c>
      <c r="AFA15" s="15">
        <v>300</v>
      </c>
      <c r="AFB15" s="15">
        <v>300</v>
      </c>
      <c r="AFC15" s="15">
        <v>300</v>
      </c>
      <c r="AFD15" s="15">
        <v>300</v>
      </c>
      <c r="AFE15" s="15">
        <v>300</v>
      </c>
      <c r="AFF15" s="15">
        <v>300</v>
      </c>
      <c r="AFG15" s="15">
        <v>300</v>
      </c>
      <c r="AFH15" s="15">
        <v>300</v>
      </c>
      <c r="AFI15" s="15">
        <v>300</v>
      </c>
      <c r="AFJ15" s="15">
        <v>300</v>
      </c>
      <c r="AFK15" s="15">
        <v>300</v>
      </c>
      <c r="AFL15" s="15">
        <v>300</v>
      </c>
      <c r="AFM15" s="15">
        <v>300</v>
      </c>
      <c r="AFN15" s="15">
        <v>300</v>
      </c>
      <c r="AFO15" s="15">
        <v>300</v>
      </c>
      <c r="AFP15" s="15">
        <v>300</v>
      </c>
      <c r="AFQ15" s="15">
        <v>300</v>
      </c>
      <c r="AFR15" s="15"/>
      <c r="AFS15" s="15">
        <v>300</v>
      </c>
      <c r="AFT15" s="15">
        <v>300</v>
      </c>
      <c r="AFU15" s="15">
        <v>300</v>
      </c>
      <c r="AFV15" s="15">
        <v>300</v>
      </c>
      <c r="AFW15" s="15">
        <v>300</v>
      </c>
      <c r="AFX15" s="15">
        <v>300</v>
      </c>
      <c r="AFY15" s="15">
        <v>300</v>
      </c>
      <c r="AFZ15" s="15">
        <v>300</v>
      </c>
      <c r="AGA15" s="15">
        <v>300</v>
      </c>
      <c r="AGB15" s="15">
        <v>300</v>
      </c>
      <c r="AGC15" s="15">
        <v>300</v>
      </c>
      <c r="AGD15" s="15">
        <v>300</v>
      </c>
      <c r="AGE15" s="15">
        <v>300</v>
      </c>
      <c r="AGF15" s="15">
        <v>300</v>
      </c>
      <c r="AGG15" s="15">
        <v>300</v>
      </c>
      <c r="AGH15" s="15">
        <v>300</v>
      </c>
      <c r="AGI15" s="15">
        <v>300</v>
      </c>
      <c r="AGJ15" s="15">
        <v>300</v>
      </c>
      <c r="AGK15" s="15">
        <v>300</v>
      </c>
      <c r="AGL15" s="15">
        <v>300</v>
      </c>
      <c r="AGM15" s="15">
        <v>300</v>
      </c>
      <c r="AGN15" s="15">
        <v>300</v>
      </c>
      <c r="AGO15" s="15">
        <v>300</v>
      </c>
      <c r="AGP15" s="15">
        <v>300</v>
      </c>
      <c r="AGQ15" s="15">
        <v>300</v>
      </c>
      <c r="AGR15" s="15">
        <v>300</v>
      </c>
      <c r="AGS15" s="15">
        <v>300</v>
      </c>
      <c r="AGT15" s="15">
        <v>300</v>
      </c>
      <c r="AGU15" s="15">
        <v>300</v>
      </c>
      <c r="AGV15" s="15">
        <v>300</v>
      </c>
      <c r="AGW15" s="15">
        <v>300</v>
      </c>
      <c r="AGX15" s="15">
        <v>300</v>
      </c>
      <c r="AGY15" s="15">
        <v>300</v>
      </c>
      <c r="AGZ15" s="15">
        <v>300</v>
      </c>
      <c r="AHA15" s="15">
        <v>300</v>
      </c>
      <c r="AHB15" s="15">
        <v>300</v>
      </c>
      <c r="AHC15" s="15">
        <v>300</v>
      </c>
      <c r="AHD15" s="15">
        <v>300</v>
      </c>
      <c r="AHE15" s="15">
        <v>300</v>
      </c>
      <c r="AHF15" s="15">
        <v>300</v>
      </c>
      <c r="AHG15" s="15">
        <v>300</v>
      </c>
      <c r="AHH15" s="15">
        <v>300</v>
      </c>
      <c r="AHI15" s="15">
        <v>300</v>
      </c>
      <c r="AHJ15" s="15">
        <v>300</v>
      </c>
      <c r="AHK15" s="15">
        <v>300</v>
      </c>
      <c r="AHL15" s="15">
        <v>300</v>
      </c>
      <c r="AHM15" s="15">
        <v>300</v>
      </c>
      <c r="AHN15" s="15">
        <v>300</v>
      </c>
      <c r="AHO15" s="15">
        <v>300</v>
      </c>
      <c r="AHP15" s="15">
        <v>300</v>
      </c>
      <c r="AHQ15" s="15">
        <v>300</v>
      </c>
      <c r="AHR15" s="15">
        <v>300</v>
      </c>
      <c r="AHS15" s="15">
        <v>300</v>
      </c>
      <c r="AHT15" s="15">
        <v>300</v>
      </c>
      <c r="AHU15" s="15">
        <v>300</v>
      </c>
      <c r="AHV15" s="15">
        <v>300</v>
      </c>
      <c r="AHW15" s="15">
        <v>300</v>
      </c>
      <c r="AHX15" s="15">
        <v>300</v>
      </c>
      <c r="AHY15" s="15">
        <v>300</v>
      </c>
      <c r="AHZ15" s="15">
        <v>300</v>
      </c>
      <c r="AIA15" s="15">
        <v>300</v>
      </c>
      <c r="AIB15" s="15">
        <v>300</v>
      </c>
      <c r="AIC15" s="15">
        <v>300</v>
      </c>
      <c r="AID15" s="15">
        <v>300</v>
      </c>
      <c r="AIE15" s="15">
        <v>300</v>
      </c>
      <c r="AIF15" s="15">
        <v>300</v>
      </c>
      <c r="AIG15" s="15">
        <v>300</v>
      </c>
      <c r="AIH15" s="15">
        <v>300</v>
      </c>
      <c r="AII15" s="15">
        <v>300</v>
      </c>
      <c r="AIJ15" s="15">
        <v>300</v>
      </c>
      <c r="AIK15" s="15">
        <v>300</v>
      </c>
      <c r="AIL15" s="15">
        <v>300</v>
      </c>
      <c r="AIM15" s="15">
        <v>300</v>
      </c>
      <c r="AIN15" s="15">
        <v>300</v>
      </c>
      <c r="AIO15" s="15">
        <v>300</v>
      </c>
      <c r="AIP15" s="15">
        <v>300</v>
      </c>
      <c r="AIQ15" s="15">
        <v>300</v>
      </c>
      <c r="AIR15" s="15">
        <v>300</v>
      </c>
      <c r="AIS15" s="15">
        <v>300</v>
      </c>
      <c r="AIT15" s="15">
        <v>300</v>
      </c>
      <c r="AIU15" s="15">
        <v>300</v>
      </c>
      <c r="AIV15" s="15">
        <v>300</v>
      </c>
      <c r="AIW15" s="15">
        <v>300</v>
      </c>
      <c r="AIX15" s="15">
        <v>300</v>
      </c>
      <c r="AIY15" s="15">
        <v>300</v>
      </c>
      <c r="AIZ15" s="15">
        <v>300</v>
      </c>
      <c r="AJA15" s="15">
        <v>300</v>
      </c>
      <c r="AJB15" s="15">
        <v>300</v>
      </c>
      <c r="AJC15" s="15">
        <v>300</v>
      </c>
      <c r="AJD15" s="15">
        <v>300</v>
      </c>
      <c r="AJE15" s="15">
        <v>300</v>
      </c>
      <c r="AJF15" s="15"/>
      <c r="AJG15" s="15">
        <v>300</v>
      </c>
      <c r="AJH15" s="15">
        <v>300</v>
      </c>
      <c r="AJI15" s="15">
        <v>300</v>
      </c>
      <c r="AJJ15" s="15">
        <v>300</v>
      </c>
      <c r="AJK15" s="15">
        <v>300</v>
      </c>
      <c r="AJL15" s="15">
        <v>300</v>
      </c>
      <c r="AJM15" s="15">
        <v>300</v>
      </c>
      <c r="AJN15" s="15"/>
      <c r="AJO15" s="15">
        <v>300</v>
      </c>
      <c r="AJP15" s="15">
        <v>300</v>
      </c>
      <c r="AJQ15" s="15">
        <v>300</v>
      </c>
      <c r="AJR15" s="15">
        <v>300</v>
      </c>
      <c r="AJS15" s="15">
        <v>300</v>
      </c>
      <c r="AJT15" s="15">
        <v>300</v>
      </c>
      <c r="AJU15" s="15">
        <v>300</v>
      </c>
      <c r="AJV15" s="15">
        <v>300</v>
      </c>
      <c r="AJW15" s="15">
        <v>300</v>
      </c>
      <c r="AJX15" s="15"/>
      <c r="AJY15" s="15">
        <v>300</v>
      </c>
      <c r="AJZ15" s="15">
        <v>300</v>
      </c>
      <c r="AKA15" s="15">
        <v>300</v>
      </c>
      <c r="AKB15" s="15">
        <v>300</v>
      </c>
      <c r="AKC15" s="15">
        <v>300</v>
      </c>
      <c r="AKD15" s="15">
        <v>300</v>
      </c>
      <c r="AKE15" s="15">
        <v>300</v>
      </c>
      <c r="AKF15" s="15">
        <v>300</v>
      </c>
      <c r="AKG15" s="15">
        <v>300</v>
      </c>
      <c r="AKH15" s="15">
        <v>300</v>
      </c>
      <c r="AKI15" s="15"/>
      <c r="AKJ15" s="15">
        <v>300</v>
      </c>
      <c r="AKK15" s="15">
        <v>300</v>
      </c>
      <c r="AKL15" s="15">
        <v>300</v>
      </c>
      <c r="AKM15" s="15">
        <v>300</v>
      </c>
      <c r="AKN15" s="15">
        <v>300</v>
      </c>
      <c r="AKO15" s="15">
        <v>300</v>
      </c>
      <c r="AKP15" s="15">
        <v>300</v>
      </c>
      <c r="AKQ15" s="15">
        <v>300</v>
      </c>
      <c r="AKR15" s="15">
        <v>300</v>
      </c>
      <c r="AKS15" s="15">
        <v>300</v>
      </c>
      <c r="AKT15" s="15">
        <v>300</v>
      </c>
      <c r="AKU15" s="15">
        <v>300</v>
      </c>
      <c r="AKV15" s="15">
        <v>300</v>
      </c>
      <c r="AKW15" s="15">
        <v>300</v>
      </c>
      <c r="AKX15" s="15"/>
      <c r="AKY15" s="15">
        <v>300</v>
      </c>
      <c r="AKZ15" s="15">
        <v>300</v>
      </c>
      <c r="ALA15" s="15">
        <v>300</v>
      </c>
      <c r="ALB15" s="15">
        <v>300</v>
      </c>
      <c r="ALC15" s="15">
        <v>300</v>
      </c>
      <c r="ALD15" s="15">
        <v>300</v>
      </c>
      <c r="ALE15" s="15">
        <v>300</v>
      </c>
      <c r="ALF15" s="15">
        <v>300</v>
      </c>
      <c r="ALG15" s="15">
        <v>300</v>
      </c>
      <c r="ALH15" s="15">
        <v>300</v>
      </c>
      <c r="ALI15" s="15">
        <v>300</v>
      </c>
      <c r="ALJ15" s="15">
        <v>300</v>
      </c>
      <c r="ALK15" s="15">
        <v>300</v>
      </c>
      <c r="ALL15" s="15">
        <v>300</v>
      </c>
      <c r="ALM15" s="15"/>
      <c r="ALN15" s="15">
        <v>300</v>
      </c>
      <c r="ALO15" s="15">
        <v>300</v>
      </c>
      <c r="ALP15" s="15">
        <v>300</v>
      </c>
      <c r="ALQ15" s="15">
        <v>300</v>
      </c>
      <c r="ALR15" s="15">
        <v>300</v>
      </c>
      <c r="ALS15" s="15">
        <v>300</v>
      </c>
      <c r="ALT15" s="15">
        <v>300</v>
      </c>
      <c r="ALU15" s="15">
        <v>300</v>
      </c>
      <c r="ALV15" s="15">
        <v>300</v>
      </c>
      <c r="ALW15" s="15">
        <v>300</v>
      </c>
      <c r="ALX15" s="15">
        <v>300</v>
      </c>
      <c r="ALY15" s="15">
        <v>300</v>
      </c>
      <c r="ALZ15" s="15">
        <v>300</v>
      </c>
      <c r="AMA15" s="15">
        <v>300</v>
      </c>
      <c r="AMB15" s="15">
        <v>300</v>
      </c>
      <c r="AMC15" s="15"/>
      <c r="AMD15" s="15">
        <v>300</v>
      </c>
      <c r="AME15" s="15">
        <v>300</v>
      </c>
      <c r="AMF15" s="15">
        <v>300</v>
      </c>
      <c r="AMG15" s="15">
        <v>300</v>
      </c>
      <c r="AMH15" s="15">
        <v>300</v>
      </c>
      <c r="AMI15" s="15">
        <v>300</v>
      </c>
      <c r="AMJ15" s="15">
        <v>300</v>
      </c>
      <c r="AMK15" s="15">
        <v>300</v>
      </c>
      <c r="AML15" s="15">
        <v>300</v>
      </c>
      <c r="AMM15" s="15">
        <v>300</v>
      </c>
      <c r="AMN15" s="15">
        <v>300</v>
      </c>
      <c r="AMO15" s="15">
        <v>300</v>
      </c>
      <c r="AMP15" s="15">
        <v>300</v>
      </c>
      <c r="AMQ15" s="15">
        <v>300</v>
      </c>
      <c r="AMR15" s="15">
        <v>300</v>
      </c>
      <c r="AMS15" s="15">
        <v>300</v>
      </c>
      <c r="AMT15" s="15">
        <v>300</v>
      </c>
      <c r="AMU15" s="15">
        <v>300</v>
      </c>
      <c r="AMV15" s="15">
        <v>300</v>
      </c>
      <c r="AMW15" s="15">
        <v>300</v>
      </c>
      <c r="AMX15" s="15">
        <v>300</v>
      </c>
      <c r="AMY15" s="15">
        <v>300</v>
      </c>
      <c r="AMZ15" s="15">
        <v>300</v>
      </c>
      <c r="ANA15" s="15">
        <v>300</v>
      </c>
      <c r="ANB15" s="15">
        <v>300</v>
      </c>
      <c r="ANC15" s="15">
        <v>300</v>
      </c>
      <c r="AND15" s="15">
        <v>300</v>
      </c>
      <c r="ANE15" s="15"/>
      <c r="ANF15" s="15"/>
      <c r="ANG15" s="15"/>
      <c r="ANH15" s="15"/>
      <c r="ANI15" s="15"/>
      <c r="ANJ15" s="15"/>
      <c r="ANK15" s="15"/>
      <c r="ANL15" s="15"/>
      <c r="ANM15" s="15"/>
      <c r="ANN15" s="15"/>
      <c r="ANO15" s="15"/>
      <c r="ANP15" s="15"/>
      <c r="ANQ15" s="15"/>
      <c r="ANR15" s="15"/>
      <c r="ANS15" s="15"/>
      <c r="ANT15" s="15"/>
      <c r="ANU15" s="15"/>
      <c r="ANV15" s="15"/>
      <c r="ANW15" s="15"/>
      <c r="ANX15" s="15"/>
      <c r="ANY15" s="15"/>
      <c r="ANZ15" s="15"/>
      <c r="AOA15" s="15"/>
      <c r="AOB15" s="15"/>
      <c r="AOC15" s="15"/>
      <c r="AOD15" s="15"/>
      <c r="AOE15" s="15"/>
      <c r="AOF15" s="15"/>
      <c r="AOG15" s="15"/>
      <c r="AOH15" s="15"/>
      <c r="AOI15" s="15"/>
      <c r="AOJ15" s="15"/>
      <c r="AOK15" s="15"/>
      <c r="AOL15" s="15"/>
      <c r="AOM15" s="15"/>
      <c r="AON15" s="15"/>
      <c r="AOO15" s="15"/>
      <c r="AOP15" s="15"/>
      <c r="AOQ15" s="15"/>
      <c r="AOR15" s="15"/>
      <c r="AOS15" s="15"/>
      <c r="AOT15" s="15"/>
      <c r="AOU15" s="15"/>
      <c r="AOV15" s="15"/>
      <c r="AOW15" s="15"/>
      <c r="AOX15" s="15"/>
      <c r="AOY15" s="15"/>
      <c r="AOZ15" s="15"/>
      <c r="APA15" s="15"/>
      <c r="APB15" s="15"/>
      <c r="APC15" s="15"/>
      <c r="APD15" s="15"/>
      <c r="APE15" s="15"/>
      <c r="APF15" s="15"/>
      <c r="APG15" s="15"/>
      <c r="APH15" s="15"/>
      <c r="API15" s="15"/>
      <c r="APJ15" s="15"/>
      <c r="APK15" s="15"/>
      <c r="APL15" s="15"/>
      <c r="APM15" s="15"/>
      <c r="APN15" s="15"/>
      <c r="APO15" s="15"/>
      <c r="APP15" s="15"/>
      <c r="APQ15" s="15"/>
      <c r="APR15" s="15"/>
      <c r="APS15" s="15"/>
      <c r="APT15" s="15"/>
      <c r="APU15" s="15"/>
      <c r="APV15" s="15"/>
      <c r="APW15" s="15"/>
      <c r="APX15" s="15"/>
      <c r="APY15" s="15"/>
      <c r="APZ15" s="15"/>
      <c r="AQA15" s="15"/>
      <c r="AQB15" s="15"/>
    </row>
    <row r="16" spans="1:1120" s="17" customFormat="1" ht="15" customHeight="1" x14ac:dyDescent="0.25">
      <c r="A16" s="5" t="s">
        <v>1</v>
      </c>
      <c r="B16" s="6" t="s">
        <v>80</v>
      </c>
      <c r="C16" s="15">
        <v>2</v>
      </c>
      <c r="D16" s="15">
        <v>2</v>
      </c>
      <c r="E16" s="15">
        <v>2</v>
      </c>
      <c r="F16" s="15">
        <v>2</v>
      </c>
      <c r="G16" s="15">
        <v>2</v>
      </c>
      <c r="H16" s="15">
        <v>2</v>
      </c>
      <c r="I16" s="15">
        <v>2</v>
      </c>
      <c r="J16" s="15"/>
      <c r="K16" s="15">
        <v>2</v>
      </c>
      <c r="L16" s="15">
        <v>2</v>
      </c>
      <c r="M16" s="15">
        <v>2</v>
      </c>
      <c r="N16" s="15">
        <v>2</v>
      </c>
      <c r="O16" s="15">
        <v>2</v>
      </c>
      <c r="P16" s="15">
        <v>2</v>
      </c>
      <c r="Q16" s="15"/>
      <c r="R16" s="15">
        <v>2</v>
      </c>
      <c r="S16" s="15">
        <v>2</v>
      </c>
      <c r="T16" s="15">
        <v>2</v>
      </c>
      <c r="U16" s="15">
        <v>2</v>
      </c>
      <c r="V16" s="15">
        <v>2</v>
      </c>
      <c r="W16" s="15">
        <v>2</v>
      </c>
      <c r="X16" s="15"/>
      <c r="Y16" s="15">
        <v>2</v>
      </c>
      <c r="Z16" s="15">
        <v>2</v>
      </c>
      <c r="AA16" s="15">
        <v>2</v>
      </c>
      <c r="AB16" s="15">
        <v>2</v>
      </c>
      <c r="AC16" s="15">
        <v>2</v>
      </c>
      <c r="AD16" s="15">
        <v>2</v>
      </c>
      <c r="AE16" s="15"/>
      <c r="AF16" s="15">
        <v>2</v>
      </c>
      <c r="AG16" s="15">
        <v>2</v>
      </c>
      <c r="AH16" s="15">
        <v>2</v>
      </c>
      <c r="AI16" s="15">
        <v>2</v>
      </c>
      <c r="AJ16" s="15">
        <v>2</v>
      </c>
      <c r="AK16" s="15">
        <v>2</v>
      </c>
      <c r="AL16" s="15"/>
      <c r="AM16" s="15">
        <v>2</v>
      </c>
      <c r="AN16" s="15">
        <v>2</v>
      </c>
      <c r="AO16" s="15">
        <v>2</v>
      </c>
      <c r="AP16" s="15">
        <v>2</v>
      </c>
      <c r="AQ16" s="15">
        <v>2</v>
      </c>
      <c r="AR16" s="15">
        <v>2</v>
      </c>
      <c r="AS16" s="15">
        <v>2</v>
      </c>
      <c r="AT16" s="15">
        <v>2</v>
      </c>
      <c r="AU16" s="15">
        <v>2</v>
      </c>
      <c r="AV16" s="15">
        <v>2</v>
      </c>
      <c r="AW16" s="15">
        <v>2</v>
      </c>
      <c r="AX16" s="15">
        <v>2</v>
      </c>
      <c r="AY16" s="15">
        <v>2</v>
      </c>
      <c r="AZ16" s="15">
        <v>2</v>
      </c>
      <c r="BA16" s="15">
        <v>2</v>
      </c>
      <c r="BB16" s="15">
        <v>2</v>
      </c>
      <c r="BC16" s="15">
        <v>2</v>
      </c>
      <c r="BD16" s="15">
        <v>2</v>
      </c>
      <c r="BE16" s="15">
        <v>2</v>
      </c>
      <c r="BF16" s="15">
        <v>2</v>
      </c>
      <c r="BG16" s="15">
        <v>2</v>
      </c>
      <c r="BH16" s="15">
        <v>2</v>
      </c>
      <c r="BI16" s="15">
        <v>2</v>
      </c>
      <c r="BJ16" s="15">
        <v>2</v>
      </c>
      <c r="BK16" s="15">
        <v>2</v>
      </c>
      <c r="BL16" s="15">
        <v>2</v>
      </c>
      <c r="BM16" s="15">
        <v>2</v>
      </c>
      <c r="BN16" s="15">
        <v>2</v>
      </c>
      <c r="BO16" s="15">
        <v>2</v>
      </c>
      <c r="BP16" s="15">
        <v>2</v>
      </c>
      <c r="BQ16" s="15">
        <v>2</v>
      </c>
      <c r="BR16" s="15">
        <v>2</v>
      </c>
      <c r="BS16" s="15">
        <v>2</v>
      </c>
      <c r="BT16" s="15">
        <v>2</v>
      </c>
      <c r="BU16" s="15">
        <v>2</v>
      </c>
      <c r="BV16" s="15">
        <v>2</v>
      </c>
      <c r="BW16" s="15">
        <v>2</v>
      </c>
      <c r="BX16" s="15">
        <v>2</v>
      </c>
      <c r="BY16" s="15">
        <v>2</v>
      </c>
      <c r="BZ16" s="15">
        <v>2</v>
      </c>
      <c r="CA16" s="15">
        <v>2</v>
      </c>
      <c r="CB16" s="15">
        <v>2</v>
      </c>
      <c r="CC16" s="15">
        <v>2</v>
      </c>
      <c r="CD16" s="15">
        <v>2</v>
      </c>
      <c r="CE16" s="15">
        <v>2</v>
      </c>
      <c r="CF16" s="15">
        <v>2</v>
      </c>
      <c r="CG16" s="15">
        <v>2</v>
      </c>
      <c r="CH16" s="15">
        <v>2</v>
      </c>
      <c r="CI16" s="15">
        <v>2</v>
      </c>
      <c r="CJ16" s="15">
        <v>2</v>
      </c>
      <c r="CK16" s="15">
        <v>2</v>
      </c>
      <c r="CL16" s="15">
        <v>2</v>
      </c>
      <c r="CM16" s="15">
        <v>2</v>
      </c>
      <c r="CN16" s="15">
        <v>2</v>
      </c>
      <c r="CO16" s="15">
        <v>2</v>
      </c>
      <c r="CP16" s="15">
        <v>2</v>
      </c>
      <c r="CQ16" s="15">
        <v>2</v>
      </c>
      <c r="CR16" s="15">
        <v>2</v>
      </c>
      <c r="CS16" s="15">
        <v>2</v>
      </c>
      <c r="CT16" s="15">
        <v>2</v>
      </c>
      <c r="CU16" s="15">
        <v>2</v>
      </c>
      <c r="CV16" s="15">
        <v>2</v>
      </c>
      <c r="CW16" s="15">
        <v>2</v>
      </c>
      <c r="CX16" s="15">
        <v>2</v>
      </c>
      <c r="CY16" s="15">
        <v>2</v>
      </c>
      <c r="CZ16" s="15">
        <v>2</v>
      </c>
      <c r="DA16" s="15">
        <v>2</v>
      </c>
      <c r="DB16" s="15">
        <v>2</v>
      </c>
      <c r="DC16" s="15">
        <v>2</v>
      </c>
      <c r="DD16" s="15">
        <v>2</v>
      </c>
      <c r="DE16" s="15">
        <v>2</v>
      </c>
      <c r="DF16" s="15">
        <v>2</v>
      </c>
      <c r="DG16" s="15">
        <v>2</v>
      </c>
      <c r="DH16" s="15">
        <v>2</v>
      </c>
      <c r="DI16" s="15">
        <v>2</v>
      </c>
      <c r="DJ16" s="15">
        <v>2</v>
      </c>
      <c r="DK16" s="15">
        <v>2</v>
      </c>
      <c r="DL16" s="15">
        <v>2</v>
      </c>
      <c r="DM16" s="15">
        <v>2</v>
      </c>
      <c r="DN16" s="15">
        <v>2</v>
      </c>
      <c r="DO16" s="15">
        <v>2</v>
      </c>
      <c r="DP16" s="15">
        <v>2</v>
      </c>
      <c r="DQ16" s="15">
        <v>2</v>
      </c>
      <c r="DR16" s="15">
        <v>2</v>
      </c>
      <c r="DS16" s="15">
        <v>2</v>
      </c>
      <c r="DT16" s="15">
        <v>2</v>
      </c>
      <c r="DU16" s="15">
        <v>2</v>
      </c>
      <c r="DV16" s="15">
        <v>2</v>
      </c>
      <c r="DW16" s="15">
        <v>2</v>
      </c>
      <c r="DX16" s="15">
        <v>2</v>
      </c>
      <c r="DY16" s="15">
        <v>2</v>
      </c>
      <c r="DZ16" s="15">
        <v>2</v>
      </c>
      <c r="EA16" s="15">
        <v>2</v>
      </c>
      <c r="EB16" s="15">
        <v>2</v>
      </c>
      <c r="EC16" s="15">
        <v>2</v>
      </c>
      <c r="ED16" s="15">
        <v>2</v>
      </c>
      <c r="EE16" s="15">
        <v>2</v>
      </c>
      <c r="EF16" s="15">
        <v>2</v>
      </c>
      <c r="EG16" s="15">
        <v>2</v>
      </c>
      <c r="EH16" s="15">
        <v>2</v>
      </c>
      <c r="EI16" s="15">
        <v>2</v>
      </c>
      <c r="EJ16" s="15">
        <v>2</v>
      </c>
      <c r="EK16" s="15">
        <v>2</v>
      </c>
      <c r="EL16" s="15">
        <v>2</v>
      </c>
      <c r="EM16" s="15">
        <v>2</v>
      </c>
      <c r="EN16" s="15">
        <v>2</v>
      </c>
      <c r="EO16" s="15">
        <v>2</v>
      </c>
      <c r="EP16" s="15">
        <v>2</v>
      </c>
      <c r="EQ16" s="15">
        <v>2</v>
      </c>
      <c r="ER16" s="15">
        <v>2</v>
      </c>
      <c r="ES16" s="15">
        <v>2</v>
      </c>
      <c r="ET16" s="15">
        <v>2</v>
      </c>
      <c r="EU16" s="15">
        <v>2</v>
      </c>
      <c r="EV16" s="15">
        <v>2</v>
      </c>
      <c r="EW16" s="15">
        <v>2</v>
      </c>
      <c r="EX16" s="15">
        <v>2</v>
      </c>
      <c r="EY16" s="15">
        <v>2</v>
      </c>
      <c r="EZ16" s="15">
        <v>2</v>
      </c>
      <c r="FA16" s="15">
        <v>2</v>
      </c>
      <c r="FB16" s="15">
        <v>2</v>
      </c>
      <c r="FC16" s="15">
        <v>2</v>
      </c>
      <c r="FD16" s="15"/>
      <c r="FE16" s="15">
        <v>2</v>
      </c>
      <c r="FF16" s="15">
        <v>2</v>
      </c>
      <c r="FG16" s="15">
        <v>2</v>
      </c>
      <c r="FH16" s="15">
        <v>2</v>
      </c>
      <c r="FI16" s="15">
        <v>2</v>
      </c>
      <c r="FJ16" s="15">
        <v>2</v>
      </c>
      <c r="FK16" s="15">
        <v>2</v>
      </c>
      <c r="FL16" s="15">
        <v>2</v>
      </c>
      <c r="FM16" s="15">
        <v>2</v>
      </c>
      <c r="FN16" s="15">
        <v>2</v>
      </c>
      <c r="FO16" s="15">
        <v>2</v>
      </c>
      <c r="FP16" s="15">
        <v>2</v>
      </c>
      <c r="FQ16" s="15">
        <v>2</v>
      </c>
      <c r="FR16" s="15">
        <v>2</v>
      </c>
      <c r="FS16" s="15">
        <v>2</v>
      </c>
      <c r="FT16" s="15">
        <v>2</v>
      </c>
      <c r="FU16" s="15">
        <v>2</v>
      </c>
      <c r="FV16" s="15">
        <v>2</v>
      </c>
      <c r="FW16" s="15">
        <v>2</v>
      </c>
      <c r="FX16" s="15">
        <v>2</v>
      </c>
      <c r="FY16" s="15">
        <v>2</v>
      </c>
      <c r="FZ16" s="15">
        <v>2</v>
      </c>
      <c r="GA16" s="15">
        <v>2</v>
      </c>
      <c r="GB16" s="15">
        <v>2</v>
      </c>
      <c r="GC16" s="15">
        <v>2</v>
      </c>
      <c r="GD16" s="15">
        <v>2</v>
      </c>
      <c r="GE16" s="15">
        <v>2</v>
      </c>
      <c r="GF16" s="15">
        <v>2</v>
      </c>
      <c r="GG16" s="15">
        <v>2</v>
      </c>
      <c r="GH16" s="15">
        <v>2</v>
      </c>
      <c r="GI16" s="15">
        <v>2</v>
      </c>
      <c r="GJ16" s="15">
        <v>2</v>
      </c>
      <c r="GK16" s="15">
        <v>2</v>
      </c>
      <c r="GL16" s="15">
        <v>2</v>
      </c>
      <c r="GM16" s="15">
        <v>2</v>
      </c>
      <c r="GN16" s="15">
        <v>2</v>
      </c>
      <c r="GO16" s="15">
        <v>2</v>
      </c>
      <c r="GP16" s="15">
        <v>2</v>
      </c>
      <c r="GQ16" s="15">
        <v>2</v>
      </c>
      <c r="GR16" s="15">
        <v>2</v>
      </c>
      <c r="GS16" s="15">
        <v>2</v>
      </c>
      <c r="GT16" s="15">
        <v>2</v>
      </c>
      <c r="GU16" s="15">
        <v>2</v>
      </c>
      <c r="GV16" s="15">
        <v>2</v>
      </c>
      <c r="GW16" s="15">
        <v>2</v>
      </c>
      <c r="GX16" s="15">
        <v>2</v>
      </c>
      <c r="GY16" s="15">
        <v>2</v>
      </c>
      <c r="GZ16" s="15">
        <v>2</v>
      </c>
      <c r="HA16" s="15">
        <v>2</v>
      </c>
      <c r="HB16" s="15">
        <v>2</v>
      </c>
      <c r="HC16" s="15">
        <v>2</v>
      </c>
      <c r="HD16" s="15">
        <v>2</v>
      </c>
      <c r="HE16" s="15">
        <v>2</v>
      </c>
      <c r="HF16" s="15">
        <v>2</v>
      </c>
      <c r="HG16" s="15">
        <v>2</v>
      </c>
      <c r="HH16" s="15">
        <v>2</v>
      </c>
      <c r="HI16" s="15">
        <v>2</v>
      </c>
      <c r="HJ16" s="15">
        <v>2</v>
      </c>
      <c r="HK16" s="15">
        <v>2</v>
      </c>
      <c r="HL16" s="15">
        <v>2</v>
      </c>
      <c r="HM16" s="15">
        <v>2</v>
      </c>
      <c r="HN16" s="15">
        <v>2</v>
      </c>
      <c r="HO16" s="15">
        <v>2</v>
      </c>
      <c r="HP16" s="15">
        <v>2</v>
      </c>
      <c r="HQ16" s="15">
        <v>2</v>
      </c>
      <c r="HR16" s="15">
        <v>2</v>
      </c>
      <c r="HS16" s="15">
        <v>2</v>
      </c>
      <c r="HT16" s="15">
        <v>2</v>
      </c>
      <c r="HU16" s="15">
        <v>2</v>
      </c>
      <c r="HV16" s="15">
        <v>2</v>
      </c>
      <c r="HW16" s="15">
        <v>2</v>
      </c>
      <c r="HX16" s="15">
        <v>2</v>
      </c>
      <c r="HY16" s="15">
        <v>2</v>
      </c>
      <c r="HZ16" s="15">
        <v>2</v>
      </c>
      <c r="IA16" s="15">
        <v>2</v>
      </c>
      <c r="IB16" s="15"/>
      <c r="IC16" s="15">
        <v>2</v>
      </c>
      <c r="ID16" s="15">
        <v>2</v>
      </c>
      <c r="IE16" s="15">
        <v>2</v>
      </c>
      <c r="IF16" s="15">
        <v>2</v>
      </c>
      <c r="IG16" s="15">
        <v>2</v>
      </c>
      <c r="IH16" s="15">
        <v>2</v>
      </c>
      <c r="II16" s="15">
        <v>2</v>
      </c>
      <c r="IJ16" s="15">
        <v>2</v>
      </c>
      <c r="IK16" s="15"/>
      <c r="IL16" s="15">
        <v>2</v>
      </c>
      <c r="IM16" s="15">
        <v>2</v>
      </c>
      <c r="IN16" s="15">
        <v>2</v>
      </c>
      <c r="IO16" s="15">
        <v>2</v>
      </c>
      <c r="IP16" s="15">
        <v>2</v>
      </c>
      <c r="IQ16" s="15">
        <v>2</v>
      </c>
      <c r="IR16" s="15">
        <v>2</v>
      </c>
      <c r="IS16" s="15">
        <v>2</v>
      </c>
      <c r="IT16" s="15">
        <v>2</v>
      </c>
      <c r="IU16" s="15">
        <v>2</v>
      </c>
      <c r="IV16" s="15">
        <v>2</v>
      </c>
      <c r="IW16" s="15">
        <v>2</v>
      </c>
      <c r="IX16" s="15">
        <v>2</v>
      </c>
      <c r="IY16" s="15">
        <v>2</v>
      </c>
      <c r="IZ16" s="15">
        <v>2</v>
      </c>
      <c r="JA16" s="15">
        <v>2</v>
      </c>
      <c r="JB16" s="15">
        <v>2</v>
      </c>
      <c r="JC16" s="15">
        <v>2</v>
      </c>
      <c r="JD16" s="15">
        <v>2</v>
      </c>
      <c r="JE16" s="15">
        <v>2</v>
      </c>
      <c r="JF16" s="15">
        <v>2</v>
      </c>
      <c r="JG16" s="15">
        <v>2</v>
      </c>
      <c r="JH16" s="15">
        <v>2</v>
      </c>
      <c r="JI16" s="15">
        <v>2</v>
      </c>
      <c r="JJ16" s="15">
        <v>2</v>
      </c>
      <c r="JK16" s="15">
        <v>2</v>
      </c>
      <c r="JL16" s="15">
        <v>2</v>
      </c>
      <c r="JM16" s="15">
        <v>2</v>
      </c>
      <c r="JN16" s="15">
        <v>2</v>
      </c>
      <c r="JO16" s="15">
        <v>2</v>
      </c>
      <c r="JP16" s="15">
        <v>2</v>
      </c>
      <c r="JQ16" s="15">
        <v>2</v>
      </c>
      <c r="JR16" s="15">
        <v>2</v>
      </c>
      <c r="JS16" s="15">
        <v>2</v>
      </c>
      <c r="JT16" s="15">
        <v>2</v>
      </c>
      <c r="JU16" s="15">
        <v>2</v>
      </c>
      <c r="JV16" s="15">
        <v>2</v>
      </c>
      <c r="JW16" s="15">
        <v>2</v>
      </c>
      <c r="JX16" s="15">
        <v>2</v>
      </c>
      <c r="JY16" s="15">
        <v>2</v>
      </c>
      <c r="JZ16" s="15">
        <v>2</v>
      </c>
      <c r="KA16" s="15">
        <v>2</v>
      </c>
      <c r="KB16" s="15">
        <v>2</v>
      </c>
      <c r="KC16" s="15">
        <v>2</v>
      </c>
      <c r="KD16" s="15">
        <v>2</v>
      </c>
      <c r="KE16" s="15">
        <v>2</v>
      </c>
      <c r="KF16" s="15">
        <v>2</v>
      </c>
      <c r="KG16" s="15">
        <v>2</v>
      </c>
      <c r="KH16" s="15">
        <v>2</v>
      </c>
      <c r="KI16" s="15">
        <v>2</v>
      </c>
      <c r="KJ16" s="15">
        <v>2</v>
      </c>
      <c r="KK16" s="15">
        <v>2</v>
      </c>
      <c r="KL16" s="15">
        <v>2</v>
      </c>
      <c r="KM16" s="15">
        <v>2</v>
      </c>
      <c r="KN16" s="15">
        <v>2</v>
      </c>
      <c r="KO16" s="15">
        <v>2</v>
      </c>
      <c r="KP16" s="15">
        <v>2</v>
      </c>
      <c r="KQ16" s="15">
        <v>2</v>
      </c>
      <c r="KR16" s="15">
        <v>2</v>
      </c>
      <c r="KS16" s="15">
        <v>2</v>
      </c>
      <c r="KT16" s="15">
        <v>2</v>
      </c>
      <c r="KU16" s="15">
        <v>2</v>
      </c>
      <c r="KV16" s="15">
        <v>2</v>
      </c>
      <c r="KW16" s="15">
        <v>2</v>
      </c>
      <c r="KX16" s="15">
        <v>2</v>
      </c>
      <c r="KY16" s="15">
        <v>2</v>
      </c>
      <c r="KZ16" s="15">
        <v>2</v>
      </c>
      <c r="LA16" s="15">
        <v>2</v>
      </c>
      <c r="LB16" s="15">
        <v>2</v>
      </c>
      <c r="LC16" s="15">
        <v>2</v>
      </c>
      <c r="LD16" s="15">
        <v>2</v>
      </c>
      <c r="LE16" s="15">
        <v>2</v>
      </c>
      <c r="LF16" s="15">
        <v>2</v>
      </c>
      <c r="LG16" s="15">
        <v>2</v>
      </c>
      <c r="LH16" s="15">
        <v>2</v>
      </c>
      <c r="LI16" s="15">
        <v>2</v>
      </c>
      <c r="LJ16" s="15">
        <v>2</v>
      </c>
      <c r="LK16" s="15">
        <v>2</v>
      </c>
      <c r="LL16" s="15">
        <v>2</v>
      </c>
      <c r="LM16" s="15">
        <v>2</v>
      </c>
      <c r="LN16" s="15">
        <v>2</v>
      </c>
      <c r="LO16" s="15">
        <v>2</v>
      </c>
      <c r="LP16" s="15">
        <v>2</v>
      </c>
      <c r="LQ16" s="15">
        <v>2</v>
      </c>
      <c r="LR16" s="15">
        <v>2</v>
      </c>
      <c r="LS16" s="15">
        <v>2</v>
      </c>
      <c r="LT16" s="15">
        <v>2</v>
      </c>
      <c r="LU16" s="15">
        <v>2</v>
      </c>
      <c r="LV16" s="15">
        <v>2</v>
      </c>
      <c r="LW16" s="15">
        <v>2</v>
      </c>
      <c r="LX16" s="15">
        <v>2</v>
      </c>
      <c r="LY16" s="15">
        <v>2</v>
      </c>
      <c r="LZ16" s="15">
        <v>2</v>
      </c>
      <c r="MA16" s="15">
        <v>2</v>
      </c>
      <c r="MB16" s="15">
        <v>2</v>
      </c>
      <c r="MC16" s="15">
        <v>2</v>
      </c>
      <c r="MD16" s="15">
        <v>2</v>
      </c>
      <c r="ME16" s="15">
        <v>2</v>
      </c>
      <c r="MF16" s="15">
        <v>2</v>
      </c>
      <c r="MG16" s="15">
        <v>2</v>
      </c>
      <c r="MH16" s="15">
        <v>2</v>
      </c>
      <c r="MI16" s="15">
        <v>2</v>
      </c>
      <c r="MJ16" s="15">
        <v>2</v>
      </c>
      <c r="MK16" s="15">
        <v>2</v>
      </c>
      <c r="ML16" s="15">
        <v>2</v>
      </c>
      <c r="MM16" s="15">
        <v>2</v>
      </c>
      <c r="MN16" s="15">
        <v>2</v>
      </c>
      <c r="MO16" s="15">
        <v>2</v>
      </c>
      <c r="MP16" s="15">
        <v>2</v>
      </c>
      <c r="MQ16" s="15">
        <v>2</v>
      </c>
      <c r="MR16" s="15">
        <v>2</v>
      </c>
      <c r="MS16" s="15">
        <v>2</v>
      </c>
      <c r="MT16" s="15">
        <v>2</v>
      </c>
      <c r="MU16" s="15">
        <v>2</v>
      </c>
      <c r="MV16" s="15">
        <v>2</v>
      </c>
      <c r="MW16" s="15">
        <v>2</v>
      </c>
      <c r="MX16" s="15">
        <v>2</v>
      </c>
      <c r="MY16" s="15">
        <v>2</v>
      </c>
      <c r="MZ16" s="15">
        <v>2</v>
      </c>
      <c r="NA16" s="15">
        <v>2</v>
      </c>
      <c r="NB16" s="15">
        <v>2</v>
      </c>
      <c r="NC16" s="15">
        <v>2</v>
      </c>
      <c r="ND16" s="15">
        <v>2</v>
      </c>
      <c r="NE16" s="15">
        <v>2</v>
      </c>
      <c r="NF16" s="15">
        <v>2</v>
      </c>
      <c r="NG16" s="15">
        <v>2</v>
      </c>
      <c r="NH16" s="15">
        <v>2</v>
      </c>
      <c r="NI16" s="15">
        <v>2</v>
      </c>
      <c r="NJ16" s="15">
        <v>2</v>
      </c>
      <c r="NK16" s="15">
        <v>2</v>
      </c>
      <c r="NL16" s="15">
        <v>2</v>
      </c>
      <c r="NM16" s="15">
        <v>2</v>
      </c>
      <c r="NN16" s="15">
        <v>2</v>
      </c>
      <c r="NO16" s="15">
        <v>2</v>
      </c>
      <c r="NP16" s="15">
        <v>2</v>
      </c>
      <c r="NQ16" s="15">
        <v>2</v>
      </c>
      <c r="NR16" s="15">
        <v>2</v>
      </c>
      <c r="NS16" s="15">
        <v>2</v>
      </c>
      <c r="NT16" s="15">
        <v>2</v>
      </c>
      <c r="NU16" s="15">
        <v>2</v>
      </c>
      <c r="NV16" s="15">
        <v>2</v>
      </c>
      <c r="NW16" s="15">
        <v>2</v>
      </c>
      <c r="NX16" s="15">
        <v>2</v>
      </c>
      <c r="NY16" s="15">
        <v>2</v>
      </c>
      <c r="NZ16" s="15">
        <v>2</v>
      </c>
      <c r="OA16" s="15">
        <v>2</v>
      </c>
      <c r="OB16" s="15">
        <v>2</v>
      </c>
      <c r="OC16" s="15">
        <v>2</v>
      </c>
      <c r="OD16" s="15">
        <v>2</v>
      </c>
      <c r="OE16" s="15">
        <v>2</v>
      </c>
      <c r="OF16" s="15">
        <v>2</v>
      </c>
      <c r="OG16" s="15">
        <v>2</v>
      </c>
      <c r="OH16" s="15">
        <v>2</v>
      </c>
      <c r="OI16" s="15">
        <v>2</v>
      </c>
      <c r="OJ16" s="15">
        <v>2</v>
      </c>
      <c r="OK16" s="15">
        <v>2</v>
      </c>
      <c r="OL16" s="15">
        <v>2</v>
      </c>
      <c r="OM16" s="15">
        <v>2</v>
      </c>
      <c r="ON16" s="15">
        <v>2</v>
      </c>
      <c r="OO16" s="15">
        <v>2</v>
      </c>
      <c r="OP16" s="15">
        <v>2</v>
      </c>
      <c r="OQ16" s="15">
        <v>2</v>
      </c>
      <c r="OR16" s="15">
        <v>2</v>
      </c>
      <c r="OS16" s="15">
        <v>2</v>
      </c>
      <c r="OT16" s="15">
        <v>2</v>
      </c>
      <c r="OU16" s="15">
        <v>2</v>
      </c>
      <c r="OV16" s="15">
        <v>2</v>
      </c>
      <c r="OW16" s="15">
        <v>2</v>
      </c>
      <c r="OX16" s="15">
        <v>2</v>
      </c>
      <c r="OY16" s="15">
        <v>2</v>
      </c>
      <c r="OZ16" s="15">
        <v>2</v>
      </c>
      <c r="PA16" s="15">
        <v>2</v>
      </c>
      <c r="PB16" s="15">
        <v>2</v>
      </c>
      <c r="PC16" s="15">
        <v>2</v>
      </c>
      <c r="PD16" s="15">
        <v>2</v>
      </c>
      <c r="PE16" s="15">
        <v>2</v>
      </c>
      <c r="PF16" s="15">
        <v>2</v>
      </c>
      <c r="PG16" s="15">
        <v>2</v>
      </c>
      <c r="PH16" s="15">
        <v>2</v>
      </c>
      <c r="PI16" s="15">
        <v>2</v>
      </c>
      <c r="PJ16" s="15">
        <v>2</v>
      </c>
      <c r="PK16" s="15">
        <v>2</v>
      </c>
      <c r="PL16" s="15">
        <v>2</v>
      </c>
      <c r="PM16" s="15">
        <v>2</v>
      </c>
      <c r="PN16" s="15">
        <v>2</v>
      </c>
      <c r="PO16" s="15">
        <v>2</v>
      </c>
      <c r="PP16" s="15">
        <v>2</v>
      </c>
      <c r="PQ16" s="15">
        <v>2</v>
      </c>
      <c r="PR16" s="15">
        <v>2</v>
      </c>
      <c r="PS16" s="15">
        <v>2</v>
      </c>
      <c r="PT16" s="15">
        <v>2</v>
      </c>
      <c r="PU16" s="15">
        <v>2</v>
      </c>
      <c r="PV16" s="15">
        <v>2</v>
      </c>
      <c r="PW16" s="15">
        <v>2</v>
      </c>
      <c r="PX16" s="15">
        <v>2</v>
      </c>
      <c r="PY16" s="15">
        <v>2</v>
      </c>
      <c r="PZ16" s="15">
        <v>2</v>
      </c>
      <c r="QA16" s="15">
        <v>2</v>
      </c>
      <c r="QB16" s="15">
        <v>2</v>
      </c>
      <c r="QC16" s="15">
        <v>2</v>
      </c>
      <c r="QD16" s="15">
        <v>2</v>
      </c>
      <c r="QE16" s="15">
        <v>2</v>
      </c>
      <c r="QF16" s="15">
        <v>2</v>
      </c>
      <c r="QG16" s="15">
        <v>2</v>
      </c>
      <c r="QH16" s="15">
        <v>2</v>
      </c>
      <c r="QI16" s="15">
        <v>2</v>
      </c>
      <c r="QJ16" s="15">
        <v>2</v>
      </c>
      <c r="QK16" s="15">
        <v>2</v>
      </c>
      <c r="QL16" s="15">
        <v>2</v>
      </c>
      <c r="QM16" s="15">
        <v>2</v>
      </c>
      <c r="QN16" s="15">
        <v>2</v>
      </c>
      <c r="QO16" s="15">
        <v>2</v>
      </c>
      <c r="QP16" s="15">
        <v>2</v>
      </c>
      <c r="QQ16" s="15">
        <v>2</v>
      </c>
      <c r="QR16" s="15">
        <v>2</v>
      </c>
      <c r="QS16" s="15">
        <v>2</v>
      </c>
      <c r="QT16" s="15">
        <v>2</v>
      </c>
      <c r="QU16" s="15">
        <v>2</v>
      </c>
      <c r="QV16" s="15">
        <v>2</v>
      </c>
      <c r="QW16" s="15">
        <v>2</v>
      </c>
      <c r="QX16" s="15">
        <v>2</v>
      </c>
      <c r="QY16" s="15">
        <v>2</v>
      </c>
      <c r="QZ16" s="15">
        <v>2</v>
      </c>
      <c r="RA16" s="15">
        <v>2</v>
      </c>
      <c r="RB16" s="15">
        <v>2</v>
      </c>
      <c r="RC16" s="15">
        <v>2</v>
      </c>
      <c r="RD16" s="15">
        <v>2</v>
      </c>
      <c r="RE16" s="15">
        <v>2</v>
      </c>
      <c r="RF16" s="15">
        <v>2</v>
      </c>
      <c r="RG16" s="15">
        <v>2</v>
      </c>
      <c r="RH16" s="15">
        <v>2</v>
      </c>
      <c r="RI16" s="15">
        <v>2</v>
      </c>
      <c r="RJ16" s="15">
        <v>2</v>
      </c>
      <c r="RK16" s="15">
        <v>2</v>
      </c>
      <c r="RL16" s="15">
        <v>2</v>
      </c>
      <c r="RM16" s="15">
        <v>2</v>
      </c>
      <c r="RN16" s="15">
        <v>2</v>
      </c>
      <c r="RO16" s="15">
        <v>2</v>
      </c>
      <c r="RP16" s="15">
        <v>2</v>
      </c>
      <c r="RQ16" s="15">
        <v>2</v>
      </c>
      <c r="RR16" s="15">
        <v>2</v>
      </c>
      <c r="RS16" s="15"/>
      <c r="RT16" s="15">
        <v>2</v>
      </c>
      <c r="RU16" s="15">
        <v>2</v>
      </c>
      <c r="RV16" s="15">
        <v>2</v>
      </c>
      <c r="RW16" s="15">
        <v>2</v>
      </c>
      <c r="RX16" s="15">
        <v>2</v>
      </c>
      <c r="RY16" s="15">
        <v>2</v>
      </c>
      <c r="RZ16" s="15">
        <v>2</v>
      </c>
      <c r="SA16" s="15">
        <v>2</v>
      </c>
      <c r="SB16" s="15">
        <v>2</v>
      </c>
      <c r="SC16" s="15">
        <v>2</v>
      </c>
      <c r="SD16" s="15">
        <v>2</v>
      </c>
      <c r="SE16" s="15">
        <v>2</v>
      </c>
      <c r="SF16" s="15">
        <v>2</v>
      </c>
      <c r="SG16" s="15">
        <v>2</v>
      </c>
      <c r="SH16" s="15">
        <v>2</v>
      </c>
      <c r="SI16" s="15">
        <v>2</v>
      </c>
      <c r="SJ16" s="15">
        <v>2</v>
      </c>
      <c r="SK16" s="15">
        <v>2</v>
      </c>
      <c r="SL16" s="15">
        <v>2</v>
      </c>
      <c r="SM16" s="15">
        <v>2</v>
      </c>
      <c r="SN16" s="15">
        <v>2</v>
      </c>
      <c r="SO16" s="15">
        <v>2</v>
      </c>
      <c r="SP16" s="15">
        <v>2</v>
      </c>
      <c r="SQ16" s="15">
        <v>2</v>
      </c>
      <c r="SR16" s="15">
        <v>2</v>
      </c>
      <c r="SS16" s="15">
        <v>2</v>
      </c>
      <c r="ST16" s="15">
        <v>2</v>
      </c>
      <c r="SU16" s="15">
        <v>2</v>
      </c>
      <c r="SV16" s="15">
        <v>2</v>
      </c>
      <c r="SW16" s="15">
        <v>2</v>
      </c>
      <c r="SX16" s="15">
        <v>2</v>
      </c>
      <c r="SY16" s="15">
        <v>2</v>
      </c>
      <c r="SZ16" s="15">
        <v>2</v>
      </c>
      <c r="TA16" s="15">
        <v>2</v>
      </c>
      <c r="TB16" s="15">
        <v>2</v>
      </c>
      <c r="TC16" s="15">
        <v>2</v>
      </c>
      <c r="TD16" s="15">
        <v>2</v>
      </c>
      <c r="TE16" s="15">
        <v>2</v>
      </c>
      <c r="TF16" s="15">
        <v>2</v>
      </c>
      <c r="TG16" s="15">
        <v>2</v>
      </c>
      <c r="TH16" s="15">
        <v>2</v>
      </c>
      <c r="TI16" s="15">
        <v>2</v>
      </c>
      <c r="TJ16" s="15">
        <v>2</v>
      </c>
      <c r="TK16" s="15">
        <v>2</v>
      </c>
      <c r="TL16" s="15">
        <v>2</v>
      </c>
      <c r="TM16" s="15">
        <v>2</v>
      </c>
      <c r="TN16" s="15">
        <v>2</v>
      </c>
      <c r="TO16" s="15">
        <v>2</v>
      </c>
      <c r="TP16" s="15">
        <v>2</v>
      </c>
      <c r="TQ16" s="15">
        <v>2</v>
      </c>
      <c r="TR16" s="15">
        <v>2</v>
      </c>
      <c r="TS16" s="15">
        <v>2</v>
      </c>
      <c r="TT16" s="15">
        <v>2</v>
      </c>
      <c r="TU16" s="15">
        <v>2</v>
      </c>
      <c r="TV16" s="15">
        <v>2</v>
      </c>
      <c r="TW16" s="15">
        <v>2</v>
      </c>
      <c r="TX16" s="15">
        <v>2</v>
      </c>
      <c r="TY16" s="15">
        <v>2</v>
      </c>
      <c r="TZ16" s="15">
        <v>2</v>
      </c>
      <c r="UA16" s="15">
        <v>2</v>
      </c>
      <c r="UB16" s="15">
        <v>2</v>
      </c>
      <c r="UC16" s="15">
        <v>2</v>
      </c>
      <c r="UD16" s="15">
        <v>2</v>
      </c>
      <c r="UE16" s="15">
        <v>2</v>
      </c>
      <c r="UF16" s="15">
        <v>2</v>
      </c>
      <c r="UG16" s="15">
        <v>2</v>
      </c>
      <c r="UH16" s="15">
        <v>2</v>
      </c>
      <c r="UI16" s="15">
        <v>2</v>
      </c>
      <c r="UJ16" s="15">
        <v>2</v>
      </c>
      <c r="UK16" s="15">
        <v>2</v>
      </c>
      <c r="UL16" s="15">
        <v>2</v>
      </c>
      <c r="UM16" s="15">
        <v>2</v>
      </c>
      <c r="UN16" s="15">
        <v>2</v>
      </c>
      <c r="UO16" s="15">
        <v>2</v>
      </c>
      <c r="UP16" s="15">
        <v>2</v>
      </c>
      <c r="UQ16" s="15">
        <v>2</v>
      </c>
      <c r="UR16" s="15">
        <v>2</v>
      </c>
      <c r="US16" s="15">
        <v>2</v>
      </c>
      <c r="UT16" s="15">
        <v>2</v>
      </c>
      <c r="UU16" s="15">
        <v>2</v>
      </c>
      <c r="UV16" s="15">
        <v>2</v>
      </c>
      <c r="UW16" s="15">
        <v>2</v>
      </c>
      <c r="UX16" s="15">
        <v>2</v>
      </c>
      <c r="UY16" s="15">
        <v>2</v>
      </c>
      <c r="UZ16" s="15">
        <v>2</v>
      </c>
      <c r="VA16" s="15">
        <v>2</v>
      </c>
      <c r="VB16" s="15">
        <v>2</v>
      </c>
      <c r="VC16" s="15">
        <v>2</v>
      </c>
      <c r="VD16" s="15">
        <v>2</v>
      </c>
      <c r="VE16" s="15">
        <v>2</v>
      </c>
      <c r="VF16" s="15">
        <v>2</v>
      </c>
      <c r="VG16" s="15">
        <v>2</v>
      </c>
      <c r="VH16" s="15">
        <v>2</v>
      </c>
      <c r="VI16" s="15">
        <v>2</v>
      </c>
      <c r="VJ16" s="15">
        <v>2</v>
      </c>
      <c r="VK16" s="15">
        <v>2</v>
      </c>
      <c r="VL16" s="15">
        <v>2</v>
      </c>
      <c r="VM16" s="15">
        <v>2</v>
      </c>
      <c r="VN16" s="15">
        <v>2</v>
      </c>
      <c r="VO16" s="15">
        <v>2</v>
      </c>
      <c r="VP16" s="15">
        <v>2</v>
      </c>
      <c r="VQ16" s="15">
        <v>2</v>
      </c>
      <c r="VR16" s="15">
        <v>2</v>
      </c>
      <c r="VS16" s="15">
        <v>2</v>
      </c>
      <c r="VT16" s="15">
        <v>2</v>
      </c>
      <c r="VU16" s="15">
        <v>2</v>
      </c>
      <c r="VV16" s="15">
        <v>2</v>
      </c>
      <c r="VW16" s="15">
        <v>2</v>
      </c>
      <c r="VX16" s="15">
        <v>2</v>
      </c>
      <c r="VY16" s="15">
        <v>2</v>
      </c>
      <c r="VZ16" s="15">
        <v>2</v>
      </c>
      <c r="WA16" s="15">
        <v>2</v>
      </c>
      <c r="WB16" s="15">
        <v>2</v>
      </c>
      <c r="WC16" s="15">
        <v>2</v>
      </c>
      <c r="WD16" s="15">
        <v>2</v>
      </c>
      <c r="WE16" s="15">
        <v>2</v>
      </c>
      <c r="WF16" s="15">
        <v>2</v>
      </c>
      <c r="WG16" s="15">
        <v>2</v>
      </c>
      <c r="WH16" s="15">
        <v>2</v>
      </c>
      <c r="WI16" s="15">
        <v>2</v>
      </c>
      <c r="WJ16" s="15">
        <v>2</v>
      </c>
      <c r="WK16" s="15">
        <v>2</v>
      </c>
      <c r="WL16" s="15">
        <v>2</v>
      </c>
      <c r="WM16" s="15">
        <v>2</v>
      </c>
      <c r="WN16" s="15">
        <v>2</v>
      </c>
      <c r="WO16" s="15">
        <v>2</v>
      </c>
      <c r="WP16" s="15">
        <v>2</v>
      </c>
      <c r="WQ16" s="15">
        <v>2</v>
      </c>
      <c r="WR16" s="15">
        <v>2</v>
      </c>
      <c r="WS16" s="15">
        <v>2</v>
      </c>
      <c r="WT16" s="15">
        <v>2</v>
      </c>
      <c r="WU16" s="15">
        <v>2</v>
      </c>
      <c r="WV16" s="15">
        <v>2</v>
      </c>
      <c r="WW16" s="15">
        <v>2</v>
      </c>
      <c r="WX16" s="15">
        <v>2</v>
      </c>
      <c r="WY16" s="15">
        <v>2</v>
      </c>
      <c r="WZ16" s="15">
        <v>2</v>
      </c>
      <c r="XA16" s="15">
        <v>2</v>
      </c>
      <c r="XB16" s="15">
        <v>2</v>
      </c>
      <c r="XC16" s="15">
        <v>2</v>
      </c>
      <c r="XD16" s="15">
        <v>2</v>
      </c>
      <c r="XE16" s="15">
        <v>2</v>
      </c>
      <c r="XF16" s="15">
        <v>2</v>
      </c>
      <c r="XG16" s="15">
        <v>2</v>
      </c>
      <c r="XH16" s="15">
        <v>2</v>
      </c>
      <c r="XI16" s="15">
        <v>2</v>
      </c>
      <c r="XJ16" s="15">
        <v>2</v>
      </c>
      <c r="XK16" s="15">
        <v>2</v>
      </c>
      <c r="XL16" s="15">
        <v>2</v>
      </c>
      <c r="XM16" s="15">
        <v>2</v>
      </c>
      <c r="XN16" s="15">
        <v>2</v>
      </c>
      <c r="XO16" s="15">
        <v>2</v>
      </c>
      <c r="XP16" s="15">
        <v>2</v>
      </c>
      <c r="XQ16" s="15">
        <v>2</v>
      </c>
      <c r="XR16" s="15">
        <v>2</v>
      </c>
      <c r="XS16" s="15">
        <v>2</v>
      </c>
      <c r="XT16" s="15">
        <v>2</v>
      </c>
      <c r="XU16" s="15">
        <v>2</v>
      </c>
      <c r="XV16" s="15">
        <v>2</v>
      </c>
      <c r="XW16" s="15">
        <v>2</v>
      </c>
      <c r="XX16" s="15">
        <v>2</v>
      </c>
      <c r="XY16" s="15">
        <v>2</v>
      </c>
      <c r="XZ16" s="15">
        <v>2</v>
      </c>
      <c r="YA16" s="15">
        <v>2</v>
      </c>
      <c r="YB16" s="15">
        <v>2</v>
      </c>
      <c r="YC16" s="15">
        <v>2</v>
      </c>
      <c r="YD16" s="15">
        <v>2</v>
      </c>
      <c r="YE16" s="15">
        <v>2</v>
      </c>
      <c r="YF16" s="15">
        <v>2</v>
      </c>
      <c r="YG16" s="15">
        <v>2</v>
      </c>
      <c r="YH16" s="15">
        <v>2</v>
      </c>
      <c r="YI16" s="15">
        <v>2</v>
      </c>
      <c r="YJ16" s="15">
        <v>2</v>
      </c>
      <c r="YK16" s="15">
        <v>2</v>
      </c>
      <c r="YL16" s="15">
        <v>2</v>
      </c>
      <c r="YM16" s="15">
        <v>2</v>
      </c>
      <c r="YN16" s="15">
        <v>2</v>
      </c>
      <c r="YO16" s="15">
        <v>2</v>
      </c>
      <c r="YP16" s="15">
        <v>2</v>
      </c>
      <c r="YQ16" s="15">
        <v>2</v>
      </c>
      <c r="YR16" s="15">
        <v>2</v>
      </c>
      <c r="YS16" s="15">
        <v>2</v>
      </c>
      <c r="YT16" s="15">
        <v>2</v>
      </c>
      <c r="YU16" s="15">
        <v>2</v>
      </c>
      <c r="YV16" s="15">
        <v>2</v>
      </c>
      <c r="YW16" s="15">
        <v>2</v>
      </c>
      <c r="YX16" s="15">
        <v>2</v>
      </c>
      <c r="YY16" s="15">
        <v>2</v>
      </c>
      <c r="YZ16" s="15">
        <v>2</v>
      </c>
      <c r="ZA16" s="15">
        <v>2</v>
      </c>
      <c r="ZB16" s="15">
        <v>2</v>
      </c>
      <c r="ZC16" s="15">
        <v>2</v>
      </c>
      <c r="ZD16" s="15">
        <v>2</v>
      </c>
      <c r="ZE16" s="15">
        <v>2</v>
      </c>
      <c r="ZF16" s="15">
        <v>2</v>
      </c>
      <c r="ZG16" s="15">
        <v>2</v>
      </c>
      <c r="ZH16" s="15">
        <v>2</v>
      </c>
      <c r="ZI16" s="15">
        <v>2</v>
      </c>
      <c r="ZJ16" s="15">
        <v>2</v>
      </c>
      <c r="ZK16" s="15">
        <v>2</v>
      </c>
      <c r="ZL16" s="15">
        <v>2</v>
      </c>
      <c r="ZM16" s="15">
        <v>2</v>
      </c>
      <c r="ZN16" s="15">
        <v>2</v>
      </c>
      <c r="ZO16" s="15">
        <v>2</v>
      </c>
      <c r="ZP16" s="15">
        <v>2</v>
      </c>
      <c r="ZQ16" s="15">
        <v>2</v>
      </c>
      <c r="ZR16" s="15">
        <v>2</v>
      </c>
      <c r="ZS16" s="15">
        <v>2</v>
      </c>
      <c r="ZT16" s="15">
        <v>2</v>
      </c>
      <c r="ZU16" s="15">
        <v>2</v>
      </c>
      <c r="ZV16" s="15">
        <v>2</v>
      </c>
      <c r="ZW16" s="15">
        <v>2</v>
      </c>
      <c r="ZX16" s="15">
        <v>2</v>
      </c>
      <c r="ZY16" s="15">
        <v>2</v>
      </c>
      <c r="ZZ16" s="15">
        <v>2</v>
      </c>
      <c r="AAA16" s="15">
        <v>2</v>
      </c>
      <c r="AAB16" s="15">
        <v>2</v>
      </c>
      <c r="AAC16" s="15">
        <v>2</v>
      </c>
      <c r="AAD16" s="15">
        <v>2</v>
      </c>
      <c r="AAE16" s="15">
        <v>2</v>
      </c>
      <c r="AAF16" s="15">
        <v>2</v>
      </c>
      <c r="AAG16" s="15">
        <v>2</v>
      </c>
      <c r="AAH16" s="15">
        <v>2</v>
      </c>
      <c r="AAI16" s="15">
        <v>2</v>
      </c>
      <c r="AAJ16" s="15">
        <v>2</v>
      </c>
      <c r="AAK16" s="15">
        <v>2</v>
      </c>
      <c r="AAL16" s="15"/>
      <c r="AAM16" s="15">
        <v>2</v>
      </c>
      <c r="AAN16" s="15">
        <v>2</v>
      </c>
      <c r="AAO16" s="15">
        <v>2</v>
      </c>
      <c r="AAP16" s="15">
        <v>2</v>
      </c>
      <c r="AAQ16" s="15">
        <v>2</v>
      </c>
      <c r="AAR16" s="15">
        <v>2</v>
      </c>
      <c r="AAS16" s="15">
        <v>2</v>
      </c>
      <c r="AAT16" s="15">
        <v>2</v>
      </c>
      <c r="AAU16" s="15">
        <v>2</v>
      </c>
      <c r="AAV16" s="15">
        <v>2</v>
      </c>
      <c r="AAW16" s="15">
        <v>2</v>
      </c>
      <c r="AAX16" s="15"/>
      <c r="AAY16" s="15">
        <v>2</v>
      </c>
      <c r="AAZ16" s="15">
        <v>2</v>
      </c>
      <c r="ABA16" s="15">
        <v>2</v>
      </c>
      <c r="ABB16" s="15">
        <v>2</v>
      </c>
      <c r="ABC16" s="15">
        <v>2</v>
      </c>
      <c r="ABD16" s="15">
        <v>2</v>
      </c>
      <c r="ABE16" s="15">
        <v>2</v>
      </c>
      <c r="ABF16" s="15">
        <v>2</v>
      </c>
      <c r="ABG16" s="15">
        <v>2</v>
      </c>
      <c r="ABH16" s="15">
        <v>2</v>
      </c>
      <c r="ABI16" s="15">
        <v>2</v>
      </c>
      <c r="ABJ16" s="15">
        <v>2</v>
      </c>
      <c r="ABK16" s="15">
        <v>2</v>
      </c>
      <c r="ABL16" s="15">
        <v>2</v>
      </c>
      <c r="ABM16" s="15">
        <v>2</v>
      </c>
      <c r="ABN16" s="15">
        <v>2</v>
      </c>
      <c r="ABO16" s="15">
        <v>2</v>
      </c>
      <c r="ABP16" s="15">
        <v>2</v>
      </c>
      <c r="ABQ16" s="15">
        <v>2</v>
      </c>
      <c r="ABR16" s="15">
        <v>2</v>
      </c>
      <c r="ABS16" s="15">
        <v>2</v>
      </c>
      <c r="ABT16" s="15">
        <v>2</v>
      </c>
      <c r="ABU16" s="15">
        <v>2</v>
      </c>
      <c r="ABV16" s="15">
        <v>2</v>
      </c>
      <c r="ABW16" s="15">
        <v>2</v>
      </c>
      <c r="ABX16" s="15">
        <v>2</v>
      </c>
      <c r="ABY16" s="15">
        <v>2</v>
      </c>
      <c r="ABZ16" s="15">
        <v>2</v>
      </c>
      <c r="ACA16" s="15">
        <v>2</v>
      </c>
      <c r="ACB16" s="15">
        <v>2</v>
      </c>
      <c r="ACC16" s="15">
        <v>2</v>
      </c>
      <c r="ACD16" s="15">
        <v>2</v>
      </c>
      <c r="ACE16" s="15">
        <v>2</v>
      </c>
      <c r="ACF16" s="15">
        <v>2</v>
      </c>
      <c r="ACG16" s="15">
        <v>2</v>
      </c>
      <c r="ACH16" s="15">
        <v>2</v>
      </c>
      <c r="ACI16" s="15">
        <v>2</v>
      </c>
      <c r="ACJ16" s="15">
        <v>2</v>
      </c>
      <c r="ACK16" s="15">
        <v>2</v>
      </c>
      <c r="ACL16" s="15">
        <v>2</v>
      </c>
      <c r="ACM16" s="15">
        <v>2</v>
      </c>
      <c r="ACN16" s="15">
        <v>2</v>
      </c>
      <c r="ACO16" s="15">
        <v>2</v>
      </c>
      <c r="ACP16" s="15">
        <v>2</v>
      </c>
      <c r="ACQ16" s="15">
        <v>2</v>
      </c>
      <c r="ACR16" s="15">
        <v>2</v>
      </c>
      <c r="ACS16" s="15">
        <v>2</v>
      </c>
      <c r="ACT16" s="15">
        <v>2</v>
      </c>
      <c r="ACU16" s="15">
        <v>2</v>
      </c>
      <c r="ACV16" s="15">
        <v>2</v>
      </c>
      <c r="ACW16" s="15">
        <v>2</v>
      </c>
      <c r="ACX16" s="15">
        <v>2</v>
      </c>
      <c r="ACY16" s="15">
        <v>2</v>
      </c>
      <c r="ACZ16" s="15">
        <v>2</v>
      </c>
      <c r="ADA16" s="15">
        <v>2</v>
      </c>
      <c r="ADB16" s="15">
        <v>2</v>
      </c>
      <c r="ADC16" s="15">
        <v>2</v>
      </c>
      <c r="ADD16" s="15">
        <v>2</v>
      </c>
      <c r="ADE16" s="15">
        <v>2</v>
      </c>
      <c r="ADF16" s="15">
        <v>2</v>
      </c>
      <c r="ADG16" s="15">
        <v>2</v>
      </c>
      <c r="ADH16" s="15"/>
      <c r="ADI16" s="15">
        <v>2</v>
      </c>
      <c r="ADJ16" s="15">
        <v>2</v>
      </c>
      <c r="ADK16" s="15">
        <v>2</v>
      </c>
      <c r="ADL16" s="15">
        <v>2</v>
      </c>
      <c r="ADM16" s="15">
        <v>2</v>
      </c>
      <c r="ADN16" s="15">
        <v>2</v>
      </c>
      <c r="ADO16" s="15">
        <v>2</v>
      </c>
      <c r="ADP16" s="15">
        <v>2</v>
      </c>
      <c r="ADQ16" s="15">
        <v>2</v>
      </c>
      <c r="ADR16" s="15">
        <v>2</v>
      </c>
      <c r="ADS16" s="15">
        <v>2</v>
      </c>
      <c r="ADT16" s="15">
        <v>2</v>
      </c>
      <c r="ADU16" s="15">
        <v>2</v>
      </c>
      <c r="ADV16" s="15">
        <v>2</v>
      </c>
      <c r="ADW16" s="15">
        <v>2</v>
      </c>
      <c r="ADX16" s="15">
        <v>2</v>
      </c>
      <c r="ADY16" s="15">
        <v>2</v>
      </c>
      <c r="ADZ16" s="15">
        <v>2</v>
      </c>
      <c r="AEA16" s="15">
        <v>2</v>
      </c>
      <c r="AEB16" s="15">
        <v>2</v>
      </c>
      <c r="AEC16" s="15">
        <v>2</v>
      </c>
      <c r="AED16" s="15">
        <v>2</v>
      </c>
      <c r="AEE16" s="15">
        <v>2</v>
      </c>
      <c r="AEF16" s="15">
        <v>2</v>
      </c>
      <c r="AEG16" s="15">
        <v>2</v>
      </c>
      <c r="AEH16" s="15">
        <v>2</v>
      </c>
      <c r="AEI16" s="15">
        <v>2</v>
      </c>
      <c r="AEJ16" s="15">
        <v>2</v>
      </c>
      <c r="AEK16" s="15">
        <v>2</v>
      </c>
      <c r="AEL16" s="15">
        <v>2</v>
      </c>
      <c r="AEM16" s="15">
        <v>2</v>
      </c>
      <c r="AEN16" s="15">
        <v>2</v>
      </c>
      <c r="AEO16" s="15">
        <v>2</v>
      </c>
      <c r="AEP16" s="15">
        <v>2</v>
      </c>
      <c r="AEQ16" s="15">
        <v>2</v>
      </c>
      <c r="AER16" s="15">
        <v>2</v>
      </c>
      <c r="AES16" s="15">
        <v>2</v>
      </c>
      <c r="AET16" s="15">
        <v>2</v>
      </c>
      <c r="AEU16" s="15">
        <v>2</v>
      </c>
      <c r="AEV16" s="15">
        <v>2</v>
      </c>
      <c r="AEW16" s="15">
        <v>2</v>
      </c>
      <c r="AEX16" s="15">
        <v>2</v>
      </c>
      <c r="AEY16" s="15">
        <v>2</v>
      </c>
      <c r="AEZ16" s="15">
        <v>2</v>
      </c>
      <c r="AFA16" s="15">
        <v>2</v>
      </c>
      <c r="AFB16" s="15">
        <v>2</v>
      </c>
      <c r="AFC16" s="15">
        <v>2</v>
      </c>
      <c r="AFD16" s="15">
        <v>2</v>
      </c>
      <c r="AFE16" s="15">
        <v>2</v>
      </c>
      <c r="AFF16" s="15">
        <v>2</v>
      </c>
      <c r="AFG16" s="15">
        <v>2</v>
      </c>
      <c r="AFH16" s="15">
        <v>2</v>
      </c>
      <c r="AFI16" s="15">
        <v>2</v>
      </c>
      <c r="AFJ16" s="15">
        <v>2</v>
      </c>
      <c r="AFK16" s="15">
        <v>2</v>
      </c>
      <c r="AFL16" s="15">
        <v>2</v>
      </c>
      <c r="AFM16" s="15">
        <v>2</v>
      </c>
      <c r="AFN16" s="15">
        <v>2</v>
      </c>
      <c r="AFO16" s="15">
        <v>2</v>
      </c>
      <c r="AFP16" s="15">
        <v>2</v>
      </c>
      <c r="AFQ16" s="15">
        <v>2</v>
      </c>
      <c r="AFR16" s="15"/>
      <c r="AFS16" s="15">
        <v>2</v>
      </c>
      <c r="AFT16" s="15">
        <v>2</v>
      </c>
      <c r="AFU16" s="15">
        <v>2</v>
      </c>
      <c r="AFV16" s="15">
        <v>2</v>
      </c>
      <c r="AFW16" s="15">
        <v>2</v>
      </c>
      <c r="AFX16" s="15">
        <v>2</v>
      </c>
      <c r="AFY16" s="15">
        <v>2</v>
      </c>
      <c r="AFZ16" s="15">
        <v>2</v>
      </c>
      <c r="AGA16" s="15">
        <v>2</v>
      </c>
      <c r="AGB16" s="15">
        <v>2</v>
      </c>
      <c r="AGC16" s="15">
        <v>2</v>
      </c>
      <c r="AGD16" s="15">
        <v>2</v>
      </c>
      <c r="AGE16" s="15">
        <v>2</v>
      </c>
      <c r="AGF16" s="15">
        <v>2</v>
      </c>
      <c r="AGG16" s="15">
        <v>2</v>
      </c>
      <c r="AGH16" s="15">
        <v>2</v>
      </c>
      <c r="AGI16" s="15">
        <v>2</v>
      </c>
      <c r="AGJ16" s="15">
        <v>2</v>
      </c>
      <c r="AGK16" s="15">
        <v>2</v>
      </c>
      <c r="AGL16" s="15">
        <v>2</v>
      </c>
      <c r="AGM16" s="15">
        <v>2</v>
      </c>
      <c r="AGN16" s="15">
        <v>2</v>
      </c>
      <c r="AGO16" s="15">
        <v>2</v>
      </c>
      <c r="AGP16" s="15">
        <v>2</v>
      </c>
      <c r="AGQ16" s="15">
        <v>2</v>
      </c>
      <c r="AGR16" s="15">
        <v>2</v>
      </c>
      <c r="AGS16" s="15">
        <v>2</v>
      </c>
      <c r="AGT16" s="15">
        <v>2</v>
      </c>
      <c r="AGU16" s="15">
        <v>2</v>
      </c>
      <c r="AGV16" s="15">
        <v>2</v>
      </c>
      <c r="AGW16" s="15">
        <v>2</v>
      </c>
      <c r="AGX16" s="15">
        <v>2</v>
      </c>
      <c r="AGY16" s="15">
        <v>2</v>
      </c>
      <c r="AGZ16" s="15">
        <v>2</v>
      </c>
      <c r="AHA16" s="15">
        <v>2</v>
      </c>
      <c r="AHB16" s="15">
        <v>2</v>
      </c>
      <c r="AHC16" s="15">
        <v>2</v>
      </c>
      <c r="AHD16" s="15">
        <v>2</v>
      </c>
      <c r="AHE16" s="15">
        <v>2</v>
      </c>
      <c r="AHF16" s="15">
        <v>2</v>
      </c>
      <c r="AHG16" s="15">
        <v>2</v>
      </c>
      <c r="AHH16" s="15">
        <v>2</v>
      </c>
      <c r="AHI16" s="15">
        <v>2</v>
      </c>
      <c r="AHJ16" s="15">
        <v>2</v>
      </c>
      <c r="AHK16" s="15">
        <v>2</v>
      </c>
      <c r="AHL16" s="15">
        <v>2</v>
      </c>
      <c r="AHM16" s="15">
        <v>2</v>
      </c>
      <c r="AHN16" s="15">
        <v>2</v>
      </c>
      <c r="AHO16" s="15">
        <v>2</v>
      </c>
      <c r="AHP16" s="15">
        <v>2</v>
      </c>
      <c r="AHQ16" s="15">
        <v>2</v>
      </c>
      <c r="AHR16" s="15">
        <v>2</v>
      </c>
      <c r="AHS16" s="15">
        <v>2</v>
      </c>
      <c r="AHT16" s="15">
        <v>2</v>
      </c>
      <c r="AHU16" s="15">
        <v>2</v>
      </c>
      <c r="AHV16" s="15">
        <v>2</v>
      </c>
      <c r="AHW16" s="15">
        <v>2</v>
      </c>
      <c r="AHX16" s="15">
        <v>2</v>
      </c>
      <c r="AHY16" s="15">
        <v>2</v>
      </c>
      <c r="AHZ16" s="15">
        <v>2</v>
      </c>
      <c r="AIA16" s="15">
        <v>2</v>
      </c>
      <c r="AIB16" s="15">
        <v>2</v>
      </c>
      <c r="AIC16" s="15">
        <v>2</v>
      </c>
      <c r="AID16" s="15">
        <v>2</v>
      </c>
      <c r="AIE16" s="15">
        <v>2</v>
      </c>
      <c r="AIF16" s="15">
        <v>2</v>
      </c>
      <c r="AIG16" s="15">
        <v>2</v>
      </c>
      <c r="AIH16" s="15">
        <v>2</v>
      </c>
      <c r="AII16" s="15">
        <v>2</v>
      </c>
      <c r="AIJ16" s="15">
        <v>2</v>
      </c>
      <c r="AIK16" s="15">
        <v>2</v>
      </c>
      <c r="AIL16" s="15">
        <v>2</v>
      </c>
      <c r="AIM16" s="15">
        <v>2</v>
      </c>
      <c r="AIN16" s="15">
        <v>2</v>
      </c>
      <c r="AIO16" s="15">
        <v>2</v>
      </c>
      <c r="AIP16" s="15">
        <v>2</v>
      </c>
      <c r="AIQ16" s="15">
        <v>2</v>
      </c>
      <c r="AIR16" s="15">
        <v>2</v>
      </c>
      <c r="AIS16" s="15">
        <v>2</v>
      </c>
      <c r="AIT16" s="15">
        <v>2</v>
      </c>
      <c r="AIU16" s="15">
        <v>2</v>
      </c>
      <c r="AIV16" s="15">
        <v>2</v>
      </c>
      <c r="AIW16" s="15">
        <v>2</v>
      </c>
      <c r="AIX16" s="15">
        <v>2</v>
      </c>
      <c r="AIY16" s="15">
        <v>2</v>
      </c>
      <c r="AIZ16" s="15">
        <v>2</v>
      </c>
      <c r="AJA16" s="15">
        <v>2</v>
      </c>
      <c r="AJB16" s="15">
        <v>2</v>
      </c>
      <c r="AJC16" s="15">
        <v>2</v>
      </c>
      <c r="AJD16" s="15">
        <v>2</v>
      </c>
      <c r="AJE16" s="15">
        <v>2</v>
      </c>
      <c r="AJF16" s="15"/>
      <c r="AJG16" s="15">
        <v>2</v>
      </c>
      <c r="AJH16" s="15">
        <v>2</v>
      </c>
      <c r="AJI16" s="15">
        <v>2</v>
      </c>
      <c r="AJJ16" s="15">
        <v>2</v>
      </c>
      <c r="AJK16" s="15">
        <v>2</v>
      </c>
      <c r="AJL16" s="15">
        <v>2</v>
      </c>
      <c r="AJM16" s="15">
        <v>2</v>
      </c>
      <c r="AJN16" s="15"/>
      <c r="AJO16" s="15">
        <v>2</v>
      </c>
      <c r="AJP16" s="15">
        <v>2</v>
      </c>
      <c r="AJQ16" s="15">
        <v>2</v>
      </c>
      <c r="AJR16" s="15">
        <v>2</v>
      </c>
      <c r="AJS16" s="15">
        <v>2</v>
      </c>
      <c r="AJT16" s="15">
        <v>2</v>
      </c>
      <c r="AJU16" s="15">
        <v>2</v>
      </c>
      <c r="AJV16" s="15">
        <v>2</v>
      </c>
      <c r="AJW16" s="15">
        <v>2</v>
      </c>
      <c r="AJX16" s="15"/>
      <c r="AJY16" s="15">
        <v>2</v>
      </c>
      <c r="AJZ16" s="15">
        <v>2</v>
      </c>
      <c r="AKA16" s="15">
        <v>2</v>
      </c>
      <c r="AKB16" s="15">
        <v>2</v>
      </c>
      <c r="AKC16" s="15">
        <v>2</v>
      </c>
      <c r="AKD16" s="15">
        <v>2</v>
      </c>
      <c r="AKE16" s="15">
        <v>2</v>
      </c>
      <c r="AKF16" s="15">
        <v>2</v>
      </c>
      <c r="AKG16" s="15">
        <v>2</v>
      </c>
      <c r="AKH16" s="15">
        <v>2</v>
      </c>
      <c r="AKI16" s="15"/>
      <c r="AKJ16" s="15">
        <v>2</v>
      </c>
      <c r="AKK16" s="15">
        <v>2</v>
      </c>
      <c r="AKL16" s="15">
        <v>2</v>
      </c>
      <c r="AKM16" s="15">
        <v>2</v>
      </c>
      <c r="AKN16" s="15">
        <v>2</v>
      </c>
      <c r="AKO16" s="15">
        <v>2</v>
      </c>
      <c r="AKP16" s="15">
        <v>2</v>
      </c>
      <c r="AKQ16" s="15">
        <v>2</v>
      </c>
      <c r="AKR16" s="15">
        <v>2</v>
      </c>
      <c r="AKS16" s="15">
        <v>2</v>
      </c>
      <c r="AKT16" s="15">
        <v>2</v>
      </c>
      <c r="AKU16" s="15">
        <v>2</v>
      </c>
      <c r="AKV16" s="15">
        <v>2</v>
      </c>
      <c r="AKW16" s="15">
        <v>2</v>
      </c>
      <c r="AKX16" s="15"/>
      <c r="AKY16" s="15">
        <v>2</v>
      </c>
      <c r="AKZ16" s="15">
        <v>2</v>
      </c>
      <c r="ALA16" s="15">
        <v>2</v>
      </c>
      <c r="ALB16" s="15">
        <v>2</v>
      </c>
      <c r="ALC16" s="15">
        <v>2</v>
      </c>
      <c r="ALD16" s="15">
        <v>2</v>
      </c>
      <c r="ALE16" s="15">
        <v>2</v>
      </c>
      <c r="ALF16" s="15">
        <v>2</v>
      </c>
      <c r="ALG16" s="15">
        <v>2</v>
      </c>
      <c r="ALH16" s="15">
        <v>2</v>
      </c>
      <c r="ALI16" s="15">
        <v>2</v>
      </c>
      <c r="ALJ16" s="15">
        <v>2</v>
      </c>
      <c r="ALK16" s="15">
        <v>2</v>
      </c>
      <c r="ALL16" s="15">
        <v>2</v>
      </c>
      <c r="ALM16" s="15"/>
      <c r="ALN16" s="15">
        <v>2</v>
      </c>
      <c r="ALO16" s="15">
        <v>2</v>
      </c>
      <c r="ALP16" s="15">
        <v>2</v>
      </c>
      <c r="ALQ16" s="15">
        <v>2</v>
      </c>
      <c r="ALR16" s="15">
        <v>2</v>
      </c>
      <c r="ALS16" s="15">
        <v>2</v>
      </c>
      <c r="ALT16" s="15">
        <v>2</v>
      </c>
      <c r="ALU16" s="15">
        <v>2</v>
      </c>
      <c r="ALV16" s="15">
        <v>2</v>
      </c>
      <c r="ALW16" s="15">
        <v>2</v>
      </c>
      <c r="ALX16" s="15">
        <v>2</v>
      </c>
      <c r="ALY16" s="15">
        <v>2</v>
      </c>
      <c r="ALZ16" s="15">
        <v>2</v>
      </c>
      <c r="AMA16" s="15">
        <v>2</v>
      </c>
      <c r="AMB16" s="15">
        <v>2</v>
      </c>
      <c r="AMC16" s="15"/>
      <c r="AMD16" s="15">
        <v>2</v>
      </c>
      <c r="AME16" s="15">
        <v>2</v>
      </c>
      <c r="AMF16" s="15">
        <v>2</v>
      </c>
      <c r="AMG16" s="15">
        <v>2</v>
      </c>
      <c r="AMH16" s="15">
        <v>2</v>
      </c>
      <c r="AMI16" s="15">
        <v>2</v>
      </c>
      <c r="AMJ16" s="15">
        <v>2</v>
      </c>
      <c r="AMK16" s="15">
        <v>2</v>
      </c>
      <c r="AML16" s="15">
        <v>2</v>
      </c>
      <c r="AMM16" s="15">
        <v>2</v>
      </c>
      <c r="AMN16" s="15">
        <v>2</v>
      </c>
      <c r="AMO16" s="15">
        <v>2</v>
      </c>
      <c r="AMP16" s="15">
        <v>2</v>
      </c>
      <c r="AMQ16" s="15">
        <v>2</v>
      </c>
      <c r="AMR16" s="15">
        <v>2</v>
      </c>
      <c r="AMS16" s="15">
        <v>2</v>
      </c>
      <c r="AMT16" s="15">
        <v>2</v>
      </c>
      <c r="AMU16" s="15">
        <v>2</v>
      </c>
      <c r="AMV16" s="15">
        <v>2</v>
      </c>
      <c r="AMW16" s="15">
        <v>2</v>
      </c>
      <c r="AMX16" s="15">
        <v>2</v>
      </c>
      <c r="AMY16" s="15">
        <v>2</v>
      </c>
      <c r="AMZ16" s="15">
        <v>2</v>
      </c>
      <c r="ANA16" s="15">
        <v>2</v>
      </c>
      <c r="ANB16" s="15">
        <v>2</v>
      </c>
      <c r="ANC16" s="15">
        <v>2</v>
      </c>
      <c r="AND16" s="15">
        <v>2</v>
      </c>
      <c r="ANE16" s="15"/>
      <c r="ANF16" s="15"/>
      <c r="ANG16" s="15"/>
      <c r="ANH16" s="15"/>
      <c r="ANI16" s="15"/>
      <c r="ANJ16" s="15"/>
      <c r="ANK16" s="15"/>
      <c r="ANL16" s="15"/>
      <c r="ANM16" s="15"/>
      <c r="ANN16" s="15"/>
      <c r="ANO16" s="15"/>
      <c r="ANP16" s="15"/>
      <c r="ANQ16" s="15"/>
      <c r="ANR16" s="15"/>
      <c r="ANS16" s="15"/>
      <c r="ANT16" s="15"/>
      <c r="ANU16" s="15"/>
      <c r="ANV16" s="15"/>
      <c r="ANW16" s="15"/>
      <c r="ANX16" s="15"/>
      <c r="ANY16" s="15"/>
      <c r="ANZ16" s="15"/>
      <c r="AOA16" s="15"/>
      <c r="AOB16" s="15"/>
      <c r="AOC16" s="15"/>
      <c r="AOD16" s="15"/>
      <c r="AOE16" s="15"/>
      <c r="AOF16" s="15"/>
      <c r="AOG16" s="15"/>
      <c r="AOH16" s="15"/>
      <c r="AOI16" s="15"/>
      <c r="AOJ16" s="15"/>
      <c r="AOK16" s="15"/>
      <c r="AOL16" s="15"/>
      <c r="AOM16" s="15"/>
      <c r="AON16" s="15"/>
      <c r="AOO16" s="15"/>
      <c r="AOP16" s="15"/>
      <c r="AOQ16" s="15"/>
      <c r="AOR16" s="15"/>
      <c r="AOS16" s="15"/>
      <c r="AOT16" s="15"/>
      <c r="AOU16" s="15"/>
      <c r="AOV16" s="15"/>
      <c r="AOW16" s="15"/>
      <c r="AOX16" s="15"/>
      <c r="AOY16" s="15"/>
      <c r="AOZ16" s="15"/>
      <c r="APA16" s="15"/>
      <c r="APB16" s="15"/>
      <c r="APC16" s="15"/>
      <c r="APD16" s="15"/>
      <c r="APE16" s="15"/>
      <c r="APF16" s="15"/>
      <c r="APG16" s="15"/>
      <c r="APH16" s="15"/>
      <c r="API16" s="15"/>
      <c r="APJ16" s="15"/>
      <c r="APK16" s="15"/>
      <c r="APL16" s="15"/>
      <c r="APM16" s="15"/>
      <c r="APN16" s="15"/>
      <c r="APO16" s="15"/>
      <c r="APP16" s="15"/>
      <c r="APQ16" s="15"/>
      <c r="APR16" s="15"/>
      <c r="APS16" s="15"/>
      <c r="APT16" s="15"/>
      <c r="APU16" s="15"/>
      <c r="APV16" s="15"/>
      <c r="APW16" s="15"/>
      <c r="APX16" s="15"/>
      <c r="APY16" s="15"/>
      <c r="APZ16" s="15"/>
      <c r="AQA16" s="15"/>
      <c r="AQB16" s="15"/>
    </row>
    <row r="17" spans="1:1120" s="17" customFormat="1" ht="15" customHeight="1" x14ac:dyDescent="0.25">
      <c r="A17" s="5" t="s">
        <v>1</v>
      </c>
      <c r="B17" s="6" t="s">
        <v>81</v>
      </c>
      <c r="C17" s="15">
        <v>0.1</v>
      </c>
      <c r="D17" s="15">
        <v>0.1</v>
      </c>
      <c r="E17" s="15">
        <v>0.1</v>
      </c>
      <c r="F17" s="15">
        <v>0.1</v>
      </c>
      <c r="G17" s="15">
        <v>0.1</v>
      </c>
      <c r="H17" s="15">
        <v>0.1</v>
      </c>
      <c r="I17" s="15">
        <v>0.1</v>
      </c>
      <c r="J17" s="15"/>
      <c r="K17" s="15">
        <v>0.1</v>
      </c>
      <c r="L17" s="15">
        <v>0.1</v>
      </c>
      <c r="M17" s="15">
        <v>0.1</v>
      </c>
      <c r="N17" s="15">
        <v>0.1</v>
      </c>
      <c r="O17" s="15">
        <v>0.1</v>
      </c>
      <c r="P17" s="15">
        <v>0.1</v>
      </c>
      <c r="Q17" s="15"/>
      <c r="R17" s="15">
        <v>0.1</v>
      </c>
      <c r="S17" s="15">
        <v>0.1</v>
      </c>
      <c r="T17" s="15">
        <v>0.1</v>
      </c>
      <c r="U17" s="15">
        <v>0.1</v>
      </c>
      <c r="V17" s="15">
        <v>0.1</v>
      </c>
      <c r="W17" s="15">
        <v>0.1</v>
      </c>
      <c r="X17" s="15"/>
      <c r="Y17" s="15">
        <v>0.1</v>
      </c>
      <c r="Z17" s="15">
        <v>0.1</v>
      </c>
      <c r="AA17" s="15">
        <v>0.1</v>
      </c>
      <c r="AB17" s="15">
        <v>0.1</v>
      </c>
      <c r="AC17" s="15">
        <v>0.1</v>
      </c>
      <c r="AD17" s="15">
        <v>0.1</v>
      </c>
      <c r="AE17" s="15"/>
      <c r="AF17" s="15">
        <v>0.1</v>
      </c>
      <c r="AG17" s="15">
        <v>0.1</v>
      </c>
      <c r="AH17" s="15">
        <v>0.1</v>
      </c>
      <c r="AI17" s="15">
        <v>0.1</v>
      </c>
      <c r="AJ17" s="15">
        <v>0.1</v>
      </c>
      <c r="AK17" s="15">
        <v>0.1</v>
      </c>
      <c r="AL17" s="15"/>
      <c r="AM17" s="15">
        <v>0.1</v>
      </c>
      <c r="AN17" s="15">
        <v>0.1</v>
      </c>
      <c r="AO17" s="15">
        <v>0.1</v>
      </c>
      <c r="AP17" s="15">
        <v>0.1</v>
      </c>
      <c r="AQ17" s="15">
        <v>0.1</v>
      </c>
      <c r="AR17" s="15">
        <v>0.1</v>
      </c>
      <c r="AS17" s="15">
        <v>0.1</v>
      </c>
      <c r="AT17" s="15">
        <v>0.1</v>
      </c>
      <c r="AU17" s="15">
        <v>0.1</v>
      </c>
      <c r="AV17" s="15">
        <v>0.1</v>
      </c>
      <c r="AW17" s="15">
        <v>0.1</v>
      </c>
      <c r="AX17" s="15">
        <v>0.1</v>
      </c>
      <c r="AY17" s="15">
        <v>0.1</v>
      </c>
      <c r="AZ17" s="15">
        <v>0.1</v>
      </c>
      <c r="BA17" s="15">
        <v>0.1</v>
      </c>
      <c r="BB17" s="15">
        <v>0.1</v>
      </c>
      <c r="BC17" s="15">
        <v>0.1</v>
      </c>
      <c r="BD17" s="15">
        <v>0.1</v>
      </c>
      <c r="BE17" s="15">
        <v>0.1</v>
      </c>
      <c r="BF17" s="15">
        <v>0.1</v>
      </c>
      <c r="BG17" s="15">
        <v>0.1</v>
      </c>
      <c r="BH17" s="15">
        <v>0.1</v>
      </c>
      <c r="BI17" s="15">
        <v>0.1</v>
      </c>
      <c r="BJ17" s="15">
        <v>0.1</v>
      </c>
      <c r="BK17" s="15">
        <v>0.1</v>
      </c>
      <c r="BL17" s="15">
        <v>0.1</v>
      </c>
      <c r="BM17" s="15">
        <v>0.1</v>
      </c>
      <c r="BN17" s="15">
        <v>0.1</v>
      </c>
      <c r="BO17" s="15">
        <v>0.1</v>
      </c>
      <c r="BP17" s="15">
        <v>0.1</v>
      </c>
      <c r="BQ17" s="15">
        <v>0.1</v>
      </c>
      <c r="BR17" s="15">
        <v>0.1</v>
      </c>
      <c r="BS17" s="15">
        <v>0.1</v>
      </c>
      <c r="BT17" s="15">
        <v>0.1</v>
      </c>
      <c r="BU17" s="15">
        <v>0.1</v>
      </c>
      <c r="BV17" s="15">
        <v>0.1</v>
      </c>
      <c r="BW17" s="15">
        <v>0.1</v>
      </c>
      <c r="BX17" s="15">
        <v>0.1</v>
      </c>
      <c r="BY17" s="15">
        <v>0.1</v>
      </c>
      <c r="BZ17" s="15">
        <v>0.1</v>
      </c>
      <c r="CA17" s="15">
        <v>0.1</v>
      </c>
      <c r="CB17" s="15">
        <v>0.1</v>
      </c>
      <c r="CC17" s="15">
        <v>0.1</v>
      </c>
      <c r="CD17" s="15">
        <v>0.1</v>
      </c>
      <c r="CE17" s="15">
        <v>0.1</v>
      </c>
      <c r="CF17" s="15">
        <v>0.1</v>
      </c>
      <c r="CG17" s="15">
        <v>0.1</v>
      </c>
      <c r="CH17" s="15">
        <v>0.1</v>
      </c>
      <c r="CI17" s="15">
        <v>0.1</v>
      </c>
      <c r="CJ17" s="15">
        <v>0.1</v>
      </c>
      <c r="CK17" s="15">
        <v>0.1</v>
      </c>
      <c r="CL17" s="15">
        <v>0.1</v>
      </c>
      <c r="CM17" s="15">
        <v>0.1</v>
      </c>
      <c r="CN17" s="15">
        <v>0.1</v>
      </c>
      <c r="CO17" s="15">
        <v>0.1</v>
      </c>
      <c r="CP17" s="15">
        <v>0.1</v>
      </c>
      <c r="CQ17" s="15">
        <v>0.1</v>
      </c>
      <c r="CR17" s="15">
        <v>0.1</v>
      </c>
      <c r="CS17" s="15">
        <v>0.1</v>
      </c>
      <c r="CT17" s="15">
        <v>0.1</v>
      </c>
      <c r="CU17" s="15">
        <v>0.1</v>
      </c>
      <c r="CV17" s="15">
        <v>0.1</v>
      </c>
      <c r="CW17" s="15">
        <v>0.1</v>
      </c>
      <c r="CX17" s="15">
        <v>0.1</v>
      </c>
      <c r="CY17" s="15">
        <v>0.1</v>
      </c>
      <c r="CZ17" s="15">
        <v>0.1</v>
      </c>
      <c r="DA17" s="15">
        <v>0.1</v>
      </c>
      <c r="DB17" s="15">
        <v>0.1</v>
      </c>
      <c r="DC17" s="15">
        <v>0.1</v>
      </c>
      <c r="DD17" s="15">
        <v>0.1</v>
      </c>
      <c r="DE17" s="15">
        <v>0.1</v>
      </c>
      <c r="DF17" s="15">
        <v>0.1</v>
      </c>
      <c r="DG17" s="15">
        <v>0.1</v>
      </c>
      <c r="DH17" s="15">
        <v>0.1</v>
      </c>
      <c r="DI17" s="15">
        <v>0.1</v>
      </c>
      <c r="DJ17" s="15">
        <v>0.1</v>
      </c>
      <c r="DK17" s="15">
        <v>0.1</v>
      </c>
      <c r="DL17" s="15">
        <v>0.1</v>
      </c>
      <c r="DM17" s="15">
        <v>0.1</v>
      </c>
      <c r="DN17" s="15">
        <v>0.1</v>
      </c>
      <c r="DO17" s="15">
        <v>0.1</v>
      </c>
      <c r="DP17" s="15">
        <v>0.1</v>
      </c>
      <c r="DQ17" s="15">
        <v>0.1</v>
      </c>
      <c r="DR17" s="15">
        <v>0.1</v>
      </c>
      <c r="DS17" s="15">
        <v>0.1</v>
      </c>
      <c r="DT17" s="15">
        <v>0.1</v>
      </c>
      <c r="DU17" s="15">
        <v>0.1</v>
      </c>
      <c r="DV17" s="15">
        <v>0.1</v>
      </c>
      <c r="DW17" s="15">
        <v>0.1</v>
      </c>
      <c r="DX17" s="15">
        <v>0.1</v>
      </c>
      <c r="DY17" s="15">
        <v>0.1</v>
      </c>
      <c r="DZ17" s="15">
        <v>0.1</v>
      </c>
      <c r="EA17" s="15">
        <v>0.1</v>
      </c>
      <c r="EB17" s="15">
        <v>0.1</v>
      </c>
      <c r="EC17" s="15">
        <v>0.1</v>
      </c>
      <c r="ED17" s="15">
        <v>0.1</v>
      </c>
      <c r="EE17" s="15">
        <v>0.1</v>
      </c>
      <c r="EF17" s="15">
        <v>0.1</v>
      </c>
      <c r="EG17" s="15">
        <v>0.1</v>
      </c>
      <c r="EH17" s="15">
        <v>0.1</v>
      </c>
      <c r="EI17" s="15">
        <v>0.1</v>
      </c>
      <c r="EJ17" s="15">
        <v>0.1</v>
      </c>
      <c r="EK17" s="15">
        <v>0.1</v>
      </c>
      <c r="EL17" s="15">
        <v>0.1</v>
      </c>
      <c r="EM17" s="15">
        <v>0.1</v>
      </c>
      <c r="EN17" s="15">
        <v>0.1</v>
      </c>
      <c r="EO17" s="15">
        <v>0.1</v>
      </c>
      <c r="EP17" s="15">
        <v>0.1</v>
      </c>
      <c r="EQ17" s="15">
        <v>0.1</v>
      </c>
      <c r="ER17" s="15">
        <v>0.1</v>
      </c>
      <c r="ES17" s="15">
        <v>0.1</v>
      </c>
      <c r="ET17" s="15">
        <v>0.1</v>
      </c>
      <c r="EU17" s="15">
        <v>0.1</v>
      </c>
      <c r="EV17" s="15">
        <v>0.1</v>
      </c>
      <c r="EW17" s="15">
        <v>0.1</v>
      </c>
      <c r="EX17" s="15">
        <v>0.1</v>
      </c>
      <c r="EY17" s="15">
        <v>0.1</v>
      </c>
      <c r="EZ17" s="15">
        <v>0.1</v>
      </c>
      <c r="FA17" s="15">
        <v>0.1</v>
      </c>
      <c r="FB17" s="15">
        <v>0.1</v>
      </c>
      <c r="FC17" s="15">
        <v>0.1</v>
      </c>
      <c r="FD17" s="15"/>
      <c r="FE17" s="15">
        <v>0.1</v>
      </c>
      <c r="FF17" s="15">
        <v>0.1</v>
      </c>
      <c r="FG17" s="15">
        <v>0.1</v>
      </c>
      <c r="FH17" s="15">
        <v>0.1</v>
      </c>
      <c r="FI17" s="15">
        <v>0.1</v>
      </c>
      <c r="FJ17" s="15">
        <v>0.1</v>
      </c>
      <c r="FK17" s="15">
        <v>0.1</v>
      </c>
      <c r="FL17" s="15">
        <v>0.1</v>
      </c>
      <c r="FM17" s="15">
        <v>0.1</v>
      </c>
      <c r="FN17" s="15">
        <v>0.1</v>
      </c>
      <c r="FO17" s="15">
        <v>0.1</v>
      </c>
      <c r="FP17" s="15">
        <v>0.1</v>
      </c>
      <c r="FQ17" s="15">
        <v>0.1</v>
      </c>
      <c r="FR17" s="15">
        <v>0.1</v>
      </c>
      <c r="FS17" s="15">
        <v>0.1</v>
      </c>
      <c r="FT17" s="15">
        <v>0.1</v>
      </c>
      <c r="FU17" s="15">
        <v>0.1</v>
      </c>
      <c r="FV17" s="15">
        <v>0.1</v>
      </c>
      <c r="FW17" s="15">
        <v>0.1</v>
      </c>
      <c r="FX17" s="15">
        <v>0.1</v>
      </c>
      <c r="FY17" s="15">
        <v>0.1</v>
      </c>
      <c r="FZ17" s="15">
        <v>0.1</v>
      </c>
      <c r="GA17" s="15">
        <v>0.1</v>
      </c>
      <c r="GB17" s="15">
        <v>0.1</v>
      </c>
      <c r="GC17" s="15">
        <v>0.1</v>
      </c>
      <c r="GD17" s="15">
        <v>0.1</v>
      </c>
      <c r="GE17" s="15">
        <v>0.1</v>
      </c>
      <c r="GF17" s="15">
        <v>0.1</v>
      </c>
      <c r="GG17" s="15">
        <v>0.1</v>
      </c>
      <c r="GH17" s="15">
        <v>0.1</v>
      </c>
      <c r="GI17" s="15">
        <v>0.1</v>
      </c>
      <c r="GJ17" s="15">
        <v>0.1</v>
      </c>
      <c r="GK17" s="15">
        <v>0.1</v>
      </c>
      <c r="GL17" s="15">
        <v>0.1</v>
      </c>
      <c r="GM17" s="15">
        <v>0.1</v>
      </c>
      <c r="GN17" s="15">
        <v>0.1</v>
      </c>
      <c r="GO17" s="15">
        <v>0.1</v>
      </c>
      <c r="GP17" s="15">
        <v>0.1</v>
      </c>
      <c r="GQ17" s="15">
        <v>0.1</v>
      </c>
      <c r="GR17" s="15">
        <v>0.1</v>
      </c>
      <c r="GS17" s="15">
        <v>0.1</v>
      </c>
      <c r="GT17" s="15">
        <v>0.1</v>
      </c>
      <c r="GU17" s="15">
        <v>0.1</v>
      </c>
      <c r="GV17" s="15">
        <v>0.1</v>
      </c>
      <c r="GW17" s="15">
        <v>0.1</v>
      </c>
      <c r="GX17" s="15">
        <v>0.1</v>
      </c>
      <c r="GY17" s="15">
        <v>0.1</v>
      </c>
      <c r="GZ17" s="15">
        <v>0.1</v>
      </c>
      <c r="HA17" s="15">
        <v>0.1</v>
      </c>
      <c r="HB17" s="15">
        <v>0.1</v>
      </c>
      <c r="HC17" s="15">
        <v>0.1</v>
      </c>
      <c r="HD17" s="15">
        <v>0.1</v>
      </c>
      <c r="HE17" s="15">
        <v>0.1</v>
      </c>
      <c r="HF17" s="15">
        <v>0.1</v>
      </c>
      <c r="HG17" s="15">
        <v>0.1</v>
      </c>
      <c r="HH17" s="15">
        <v>0.1</v>
      </c>
      <c r="HI17" s="15">
        <v>0.1</v>
      </c>
      <c r="HJ17" s="15">
        <v>0.1</v>
      </c>
      <c r="HK17" s="15">
        <v>0.1</v>
      </c>
      <c r="HL17" s="15">
        <v>0.1</v>
      </c>
      <c r="HM17" s="15">
        <v>0.1</v>
      </c>
      <c r="HN17" s="15">
        <v>0.1</v>
      </c>
      <c r="HO17" s="15">
        <v>0.1</v>
      </c>
      <c r="HP17" s="15">
        <v>0.1</v>
      </c>
      <c r="HQ17" s="15">
        <v>0.1</v>
      </c>
      <c r="HR17" s="15">
        <v>0.1</v>
      </c>
      <c r="HS17" s="15">
        <v>0.1</v>
      </c>
      <c r="HT17" s="15">
        <v>0.1</v>
      </c>
      <c r="HU17" s="15">
        <v>0.1</v>
      </c>
      <c r="HV17" s="15">
        <v>0.1</v>
      </c>
      <c r="HW17" s="15">
        <v>0.1</v>
      </c>
      <c r="HX17" s="15">
        <v>0.1</v>
      </c>
      <c r="HY17" s="15">
        <v>0.1</v>
      </c>
      <c r="HZ17" s="15">
        <v>0.1</v>
      </c>
      <c r="IA17" s="15">
        <v>0.1</v>
      </c>
      <c r="IB17" s="15"/>
      <c r="IC17" s="15">
        <v>0.1</v>
      </c>
      <c r="ID17" s="15">
        <v>0.1</v>
      </c>
      <c r="IE17" s="15">
        <v>0.1</v>
      </c>
      <c r="IF17" s="15">
        <v>0.1</v>
      </c>
      <c r="IG17" s="15">
        <v>0.1</v>
      </c>
      <c r="IH17" s="15">
        <v>0.1</v>
      </c>
      <c r="II17" s="15">
        <v>0.1</v>
      </c>
      <c r="IJ17" s="15">
        <v>0.1</v>
      </c>
      <c r="IK17" s="15"/>
      <c r="IL17" s="15">
        <v>0.1</v>
      </c>
      <c r="IM17" s="15">
        <v>0.1</v>
      </c>
      <c r="IN17" s="15">
        <v>0.1</v>
      </c>
      <c r="IO17" s="15">
        <v>0.1</v>
      </c>
      <c r="IP17" s="15">
        <v>0.1</v>
      </c>
      <c r="IQ17" s="15">
        <v>0.1</v>
      </c>
      <c r="IR17" s="15">
        <v>0.1</v>
      </c>
      <c r="IS17" s="15">
        <v>0.1</v>
      </c>
      <c r="IT17" s="15">
        <v>0.1</v>
      </c>
      <c r="IU17" s="15">
        <v>0.1</v>
      </c>
      <c r="IV17" s="15">
        <v>0.1</v>
      </c>
      <c r="IW17" s="15">
        <v>0.1</v>
      </c>
      <c r="IX17" s="15">
        <v>0.1</v>
      </c>
      <c r="IY17" s="15">
        <v>0.1</v>
      </c>
      <c r="IZ17" s="15">
        <v>0.1</v>
      </c>
      <c r="JA17" s="15">
        <v>0.1</v>
      </c>
      <c r="JB17" s="15">
        <v>0.1</v>
      </c>
      <c r="JC17" s="15">
        <v>0.1</v>
      </c>
      <c r="JD17" s="15">
        <v>0.1</v>
      </c>
      <c r="JE17" s="15">
        <v>0.1</v>
      </c>
      <c r="JF17" s="15">
        <v>0.1</v>
      </c>
      <c r="JG17" s="15">
        <v>0.1</v>
      </c>
      <c r="JH17" s="15">
        <v>0.1</v>
      </c>
      <c r="JI17" s="15">
        <v>0.1</v>
      </c>
      <c r="JJ17" s="15">
        <v>0.1</v>
      </c>
      <c r="JK17" s="15">
        <v>0.1</v>
      </c>
      <c r="JL17" s="15">
        <v>0.1</v>
      </c>
      <c r="JM17" s="15">
        <v>0.1</v>
      </c>
      <c r="JN17" s="15">
        <v>0.1</v>
      </c>
      <c r="JO17" s="15">
        <v>0.1</v>
      </c>
      <c r="JP17" s="15">
        <v>0.1</v>
      </c>
      <c r="JQ17" s="15">
        <v>0.1</v>
      </c>
      <c r="JR17" s="15">
        <v>0.1</v>
      </c>
      <c r="JS17" s="15">
        <v>0.1</v>
      </c>
      <c r="JT17" s="15">
        <v>0.1</v>
      </c>
      <c r="JU17" s="15">
        <v>0.1</v>
      </c>
      <c r="JV17" s="15">
        <v>0.1</v>
      </c>
      <c r="JW17" s="15">
        <v>0.1</v>
      </c>
      <c r="JX17" s="15">
        <v>0.1</v>
      </c>
      <c r="JY17" s="15">
        <v>0.1</v>
      </c>
      <c r="JZ17" s="15">
        <v>0.1</v>
      </c>
      <c r="KA17" s="15">
        <v>0.1</v>
      </c>
      <c r="KB17" s="15">
        <v>0.1</v>
      </c>
      <c r="KC17" s="15">
        <v>0.1</v>
      </c>
      <c r="KD17" s="15">
        <v>0.1</v>
      </c>
      <c r="KE17" s="15">
        <v>0.1</v>
      </c>
      <c r="KF17" s="15">
        <v>0.1</v>
      </c>
      <c r="KG17" s="15">
        <v>0.1</v>
      </c>
      <c r="KH17" s="15">
        <v>0.1</v>
      </c>
      <c r="KI17" s="15">
        <v>0.1</v>
      </c>
      <c r="KJ17" s="15">
        <v>0.1</v>
      </c>
      <c r="KK17" s="15">
        <v>0.1</v>
      </c>
      <c r="KL17" s="15">
        <v>0.1</v>
      </c>
      <c r="KM17" s="15">
        <v>0.1</v>
      </c>
      <c r="KN17" s="15">
        <v>0.1</v>
      </c>
      <c r="KO17" s="15">
        <v>0.1</v>
      </c>
      <c r="KP17" s="15">
        <v>0.1</v>
      </c>
      <c r="KQ17" s="15">
        <v>0.1</v>
      </c>
      <c r="KR17" s="15">
        <v>0.1</v>
      </c>
      <c r="KS17" s="15">
        <v>0.1</v>
      </c>
      <c r="KT17" s="15">
        <v>0.1</v>
      </c>
      <c r="KU17" s="15">
        <v>0.1</v>
      </c>
      <c r="KV17" s="15">
        <v>0.1</v>
      </c>
      <c r="KW17" s="15">
        <v>0.1</v>
      </c>
      <c r="KX17" s="15">
        <v>0.1</v>
      </c>
      <c r="KY17" s="15">
        <v>0.1</v>
      </c>
      <c r="KZ17" s="15">
        <v>0.1</v>
      </c>
      <c r="LA17" s="15">
        <v>0.1</v>
      </c>
      <c r="LB17" s="15">
        <v>0.1</v>
      </c>
      <c r="LC17" s="15">
        <v>0.1</v>
      </c>
      <c r="LD17" s="15">
        <v>0.1</v>
      </c>
      <c r="LE17" s="15">
        <v>0.1</v>
      </c>
      <c r="LF17" s="15">
        <v>0.1</v>
      </c>
      <c r="LG17" s="15">
        <v>0.1</v>
      </c>
      <c r="LH17" s="15">
        <v>0.1</v>
      </c>
      <c r="LI17" s="15">
        <v>0.1</v>
      </c>
      <c r="LJ17" s="15">
        <v>0.1</v>
      </c>
      <c r="LK17" s="15">
        <v>0.1</v>
      </c>
      <c r="LL17" s="15">
        <v>0.1</v>
      </c>
      <c r="LM17" s="15">
        <v>0.1</v>
      </c>
      <c r="LN17" s="15">
        <v>0.1</v>
      </c>
      <c r="LO17" s="15">
        <v>0.1</v>
      </c>
      <c r="LP17" s="15">
        <v>0.1</v>
      </c>
      <c r="LQ17" s="15">
        <v>0.1</v>
      </c>
      <c r="LR17" s="15">
        <v>0.1</v>
      </c>
      <c r="LS17" s="15">
        <v>0.1</v>
      </c>
      <c r="LT17" s="15">
        <v>0.1</v>
      </c>
      <c r="LU17" s="15">
        <v>0.1</v>
      </c>
      <c r="LV17" s="15">
        <v>0.1</v>
      </c>
      <c r="LW17" s="15">
        <v>0.1</v>
      </c>
      <c r="LX17" s="15">
        <v>0.1</v>
      </c>
      <c r="LY17" s="15">
        <v>0.1</v>
      </c>
      <c r="LZ17" s="15">
        <v>0.1</v>
      </c>
      <c r="MA17" s="15">
        <v>0.1</v>
      </c>
      <c r="MB17" s="15">
        <v>0.1</v>
      </c>
      <c r="MC17" s="15">
        <v>0.1</v>
      </c>
      <c r="MD17" s="15">
        <v>0.1</v>
      </c>
      <c r="ME17" s="15">
        <v>0.1</v>
      </c>
      <c r="MF17" s="15">
        <v>0.1</v>
      </c>
      <c r="MG17" s="15">
        <v>0.1</v>
      </c>
      <c r="MH17" s="15">
        <v>0.1</v>
      </c>
      <c r="MI17" s="15">
        <v>0.1</v>
      </c>
      <c r="MJ17" s="15">
        <v>0.1</v>
      </c>
      <c r="MK17" s="15">
        <v>0.1</v>
      </c>
      <c r="ML17" s="15">
        <v>0.1</v>
      </c>
      <c r="MM17" s="15">
        <v>0.1</v>
      </c>
      <c r="MN17" s="15">
        <v>0.1</v>
      </c>
      <c r="MO17" s="15">
        <v>0.1</v>
      </c>
      <c r="MP17" s="15">
        <v>0.1</v>
      </c>
      <c r="MQ17" s="15">
        <v>0.1</v>
      </c>
      <c r="MR17" s="15">
        <v>0.1</v>
      </c>
      <c r="MS17" s="15">
        <v>0.1</v>
      </c>
      <c r="MT17" s="15">
        <v>0.1</v>
      </c>
      <c r="MU17" s="15">
        <v>0.1</v>
      </c>
      <c r="MV17" s="15">
        <v>0.1</v>
      </c>
      <c r="MW17" s="15">
        <v>0.1</v>
      </c>
      <c r="MX17" s="15">
        <v>0.1</v>
      </c>
      <c r="MY17" s="15">
        <v>0.1</v>
      </c>
      <c r="MZ17" s="15">
        <v>0.1</v>
      </c>
      <c r="NA17" s="15">
        <v>0.1</v>
      </c>
      <c r="NB17" s="15">
        <v>0.1</v>
      </c>
      <c r="NC17" s="15">
        <v>0.1</v>
      </c>
      <c r="ND17" s="15">
        <v>0.1</v>
      </c>
      <c r="NE17" s="15">
        <v>0.1</v>
      </c>
      <c r="NF17" s="15">
        <v>0.1</v>
      </c>
      <c r="NG17" s="15">
        <v>0.1</v>
      </c>
      <c r="NH17" s="15">
        <v>0.1</v>
      </c>
      <c r="NI17" s="15">
        <v>0.1</v>
      </c>
      <c r="NJ17" s="15">
        <v>0.1</v>
      </c>
      <c r="NK17" s="15">
        <v>0.1</v>
      </c>
      <c r="NL17" s="15">
        <v>0.1</v>
      </c>
      <c r="NM17" s="15">
        <v>0.1</v>
      </c>
      <c r="NN17" s="15">
        <v>0.1</v>
      </c>
      <c r="NO17" s="15">
        <v>0.1</v>
      </c>
      <c r="NP17" s="15">
        <v>0.1</v>
      </c>
      <c r="NQ17" s="15">
        <v>0.1</v>
      </c>
      <c r="NR17" s="15">
        <v>0.1</v>
      </c>
      <c r="NS17" s="15">
        <v>0.1</v>
      </c>
      <c r="NT17" s="15">
        <v>0.1</v>
      </c>
      <c r="NU17" s="15">
        <v>0.1</v>
      </c>
      <c r="NV17" s="15">
        <v>0.1</v>
      </c>
      <c r="NW17" s="15">
        <v>0.1</v>
      </c>
      <c r="NX17" s="15">
        <v>0.1</v>
      </c>
      <c r="NY17" s="15">
        <v>0.1</v>
      </c>
      <c r="NZ17" s="15">
        <v>0.1</v>
      </c>
      <c r="OA17" s="15">
        <v>0.1</v>
      </c>
      <c r="OB17" s="15">
        <v>0.1</v>
      </c>
      <c r="OC17" s="15">
        <v>0.1</v>
      </c>
      <c r="OD17" s="15">
        <v>0.1</v>
      </c>
      <c r="OE17" s="15">
        <v>0.1</v>
      </c>
      <c r="OF17" s="15">
        <v>0.1</v>
      </c>
      <c r="OG17" s="15">
        <v>0.1</v>
      </c>
      <c r="OH17" s="15">
        <v>0.1</v>
      </c>
      <c r="OI17" s="15">
        <v>0.1</v>
      </c>
      <c r="OJ17" s="15">
        <v>0.1</v>
      </c>
      <c r="OK17" s="15">
        <v>0.1</v>
      </c>
      <c r="OL17" s="15">
        <v>0.1</v>
      </c>
      <c r="OM17" s="15">
        <v>0.1</v>
      </c>
      <c r="ON17" s="15">
        <v>0.1</v>
      </c>
      <c r="OO17" s="15">
        <v>0.1</v>
      </c>
      <c r="OP17" s="15">
        <v>0.1</v>
      </c>
      <c r="OQ17" s="15">
        <v>0.1</v>
      </c>
      <c r="OR17" s="15">
        <v>0.1</v>
      </c>
      <c r="OS17" s="15">
        <v>0.1</v>
      </c>
      <c r="OT17" s="15">
        <v>0.1</v>
      </c>
      <c r="OU17" s="15">
        <v>0.1</v>
      </c>
      <c r="OV17" s="15">
        <v>0.1</v>
      </c>
      <c r="OW17" s="15">
        <v>0.1</v>
      </c>
      <c r="OX17" s="15">
        <v>0.1</v>
      </c>
      <c r="OY17" s="15">
        <v>0.1</v>
      </c>
      <c r="OZ17" s="15">
        <v>0.1</v>
      </c>
      <c r="PA17" s="15">
        <v>0.1</v>
      </c>
      <c r="PB17" s="15">
        <v>0.1</v>
      </c>
      <c r="PC17" s="15">
        <v>0.1</v>
      </c>
      <c r="PD17" s="15">
        <v>0.1</v>
      </c>
      <c r="PE17" s="15">
        <v>0.1</v>
      </c>
      <c r="PF17" s="15">
        <v>0.1</v>
      </c>
      <c r="PG17" s="15">
        <v>0.1</v>
      </c>
      <c r="PH17" s="15">
        <v>0.1</v>
      </c>
      <c r="PI17" s="15">
        <v>0.1</v>
      </c>
      <c r="PJ17" s="15">
        <v>0.1</v>
      </c>
      <c r="PK17" s="15">
        <v>0.1</v>
      </c>
      <c r="PL17" s="15">
        <v>0.1</v>
      </c>
      <c r="PM17" s="15">
        <v>0.1</v>
      </c>
      <c r="PN17" s="15">
        <v>0.1</v>
      </c>
      <c r="PO17" s="15">
        <v>0.1</v>
      </c>
      <c r="PP17" s="15">
        <v>0.1</v>
      </c>
      <c r="PQ17" s="15">
        <v>0.1</v>
      </c>
      <c r="PR17" s="15">
        <v>0.1</v>
      </c>
      <c r="PS17" s="15">
        <v>0.1</v>
      </c>
      <c r="PT17" s="15">
        <v>0.1</v>
      </c>
      <c r="PU17" s="15">
        <v>0.1</v>
      </c>
      <c r="PV17" s="15">
        <v>0.1</v>
      </c>
      <c r="PW17" s="15">
        <v>0.1</v>
      </c>
      <c r="PX17" s="15">
        <v>0.1</v>
      </c>
      <c r="PY17" s="15">
        <v>0.1</v>
      </c>
      <c r="PZ17" s="15">
        <v>0.1</v>
      </c>
      <c r="QA17" s="15">
        <v>0.1</v>
      </c>
      <c r="QB17" s="15">
        <v>0.1</v>
      </c>
      <c r="QC17" s="15">
        <v>0.1</v>
      </c>
      <c r="QD17" s="15">
        <v>0.1</v>
      </c>
      <c r="QE17" s="15">
        <v>0.1</v>
      </c>
      <c r="QF17" s="15">
        <v>0.1</v>
      </c>
      <c r="QG17" s="15">
        <v>0.1</v>
      </c>
      <c r="QH17" s="15">
        <v>0.1</v>
      </c>
      <c r="QI17" s="15">
        <v>0.1</v>
      </c>
      <c r="QJ17" s="15">
        <v>0.1</v>
      </c>
      <c r="QK17" s="15">
        <v>0.1</v>
      </c>
      <c r="QL17" s="15">
        <v>0.1</v>
      </c>
      <c r="QM17" s="15">
        <v>0.1</v>
      </c>
      <c r="QN17" s="15">
        <v>0.1</v>
      </c>
      <c r="QO17" s="15">
        <v>0.1</v>
      </c>
      <c r="QP17" s="15">
        <v>0.1</v>
      </c>
      <c r="QQ17" s="15">
        <v>0.1</v>
      </c>
      <c r="QR17" s="15">
        <v>0.1</v>
      </c>
      <c r="QS17" s="15">
        <v>0.1</v>
      </c>
      <c r="QT17" s="15">
        <v>0.1</v>
      </c>
      <c r="QU17" s="15">
        <v>0.1</v>
      </c>
      <c r="QV17" s="15">
        <v>0.1</v>
      </c>
      <c r="QW17" s="15">
        <v>0.1</v>
      </c>
      <c r="QX17" s="15">
        <v>0.1</v>
      </c>
      <c r="QY17" s="15">
        <v>0.1</v>
      </c>
      <c r="QZ17" s="15">
        <v>0.1</v>
      </c>
      <c r="RA17" s="15">
        <v>0.1</v>
      </c>
      <c r="RB17" s="15">
        <v>0.1</v>
      </c>
      <c r="RC17" s="15">
        <v>0.1</v>
      </c>
      <c r="RD17" s="15">
        <v>0.1</v>
      </c>
      <c r="RE17" s="15">
        <v>0.1</v>
      </c>
      <c r="RF17" s="15">
        <v>0.1</v>
      </c>
      <c r="RG17" s="15">
        <v>0.1</v>
      </c>
      <c r="RH17" s="15">
        <v>0.1</v>
      </c>
      <c r="RI17" s="15">
        <v>0.1</v>
      </c>
      <c r="RJ17" s="15">
        <v>0.1</v>
      </c>
      <c r="RK17" s="15">
        <v>0.1</v>
      </c>
      <c r="RL17" s="15">
        <v>0.1</v>
      </c>
      <c r="RM17" s="15">
        <v>0.1</v>
      </c>
      <c r="RN17" s="15">
        <v>0.1</v>
      </c>
      <c r="RO17" s="15">
        <v>0.1</v>
      </c>
      <c r="RP17" s="15">
        <v>0.1</v>
      </c>
      <c r="RQ17" s="15">
        <v>0.1</v>
      </c>
      <c r="RR17" s="15">
        <v>0.1</v>
      </c>
      <c r="RS17" s="15"/>
      <c r="RT17" s="15">
        <v>0.1</v>
      </c>
      <c r="RU17" s="15">
        <v>0.1</v>
      </c>
      <c r="RV17" s="15">
        <v>0.1</v>
      </c>
      <c r="RW17" s="15">
        <v>0.1</v>
      </c>
      <c r="RX17" s="15">
        <v>0.1</v>
      </c>
      <c r="RY17" s="15">
        <v>0.1</v>
      </c>
      <c r="RZ17" s="15">
        <v>0.1</v>
      </c>
      <c r="SA17" s="15">
        <v>0.1</v>
      </c>
      <c r="SB17" s="15">
        <v>0.1</v>
      </c>
      <c r="SC17" s="15">
        <v>0.1</v>
      </c>
      <c r="SD17" s="15">
        <v>0.1</v>
      </c>
      <c r="SE17" s="15">
        <v>0.1</v>
      </c>
      <c r="SF17" s="15">
        <v>0.1</v>
      </c>
      <c r="SG17" s="15">
        <v>0.1</v>
      </c>
      <c r="SH17" s="15">
        <v>0.1</v>
      </c>
      <c r="SI17" s="15">
        <v>0.1</v>
      </c>
      <c r="SJ17" s="15">
        <v>0.1</v>
      </c>
      <c r="SK17" s="15">
        <v>0.1</v>
      </c>
      <c r="SL17" s="15">
        <v>0.1</v>
      </c>
      <c r="SM17" s="15">
        <v>0.1</v>
      </c>
      <c r="SN17" s="15">
        <v>0.1</v>
      </c>
      <c r="SO17" s="15">
        <v>0.1</v>
      </c>
      <c r="SP17" s="15">
        <v>0.1</v>
      </c>
      <c r="SQ17" s="15">
        <v>0.1</v>
      </c>
      <c r="SR17" s="15">
        <v>0.1</v>
      </c>
      <c r="SS17" s="15">
        <v>0.1</v>
      </c>
      <c r="ST17" s="15">
        <v>0.1</v>
      </c>
      <c r="SU17" s="15">
        <v>0.1</v>
      </c>
      <c r="SV17" s="15">
        <v>0.1</v>
      </c>
      <c r="SW17" s="15">
        <v>0.1</v>
      </c>
      <c r="SX17" s="15">
        <v>0.1</v>
      </c>
      <c r="SY17" s="15">
        <v>0.1</v>
      </c>
      <c r="SZ17" s="15">
        <v>0.1</v>
      </c>
      <c r="TA17" s="15">
        <v>0.1</v>
      </c>
      <c r="TB17" s="15">
        <v>0.1</v>
      </c>
      <c r="TC17" s="15">
        <v>0.1</v>
      </c>
      <c r="TD17" s="15">
        <v>0.1</v>
      </c>
      <c r="TE17" s="15">
        <v>0.1</v>
      </c>
      <c r="TF17" s="15">
        <v>0.1</v>
      </c>
      <c r="TG17" s="15">
        <v>0.1</v>
      </c>
      <c r="TH17" s="15">
        <v>0.1</v>
      </c>
      <c r="TI17" s="15">
        <v>0.1</v>
      </c>
      <c r="TJ17" s="15">
        <v>0.1</v>
      </c>
      <c r="TK17" s="15">
        <v>0.1</v>
      </c>
      <c r="TL17" s="15">
        <v>0.1</v>
      </c>
      <c r="TM17" s="15">
        <v>0.1</v>
      </c>
      <c r="TN17" s="15">
        <v>0.1</v>
      </c>
      <c r="TO17" s="15">
        <v>0.1</v>
      </c>
      <c r="TP17" s="15">
        <v>0.1</v>
      </c>
      <c r="TQ17" s="15">
        <v>0.1</v>
      </c>
      <c r="TR17" s="15">
        <v>0.1</v>
      </c>
      <c r="TS17" s="15">
        <v>0.1</v>
      </c>
      <c r="TT17" s="15">
        <v>0.1</v>
      </c>
      <c r="TU17" s="15">
        <v>0.1</v>
      </c>
      <c r="TV17" s="15">
        <v>0.1</v>
      </c>
      <c r="TW17" s="15">
        <v>0.1</v>
      </c>
      <c r="TX17" s="15">
        <v>0.1</v>
      </c>
      <c r="TY17" s="15">
        <v>0.1</v>
      </c>
      <c r="TZ17" s="15">
        <v>0.1</v>
      </c>
      <c r="UA17" s="15">
        <v>0.1</v>
      </c>
      <c r="UB17" s="15">
        <v>0.1</v>
      </c>
      <c r="UC17" s="15">
        <v>0.1</v>
      </c>
      <c r="UD17" s="15">
        <v>0.1</v>
      </c>
      <c r="UE17" s="15">
        <v>0.1</v>
      </c>
      <c r="UF17" s="15">
        <v>0.1</v>
      </c>
      <c r="UG17" s="15">
        <v>0.1</v>
      </c>
      <c r="UH17" s="15">
        <v>0.1</v>
      </c>
      <c r="UI17" s="15">
        <v>0.1</v>
      </c>
      <c r="UJ17" s="15">
        <v>0.1</v>
      </c>
      <c r="UK17" s="15">
        <v>0.1</v>
      </c>
      <c r="UL17" s="15">
        <v>0.1</v>
      </c>
      <c r="UM17" s="15">
        <v>0.1</v>
      </c>
      <c r="UN17" s="15">
        <v>0.1</v>
      </c>
      <c r="UO17" s="15">
        <v>0.1</v>
      </c>
      <c r="UP17" s="15">
        <v>0.1</v>
      </c>
      <c r="UQ17" s="15">
        <v>0.1</v>
      </c>
      <c r="UR17" s="15">
        <v>0.1</v>
      </c>
      <c r="US17" s="15">
        <v>0.1</v>
      </c>
      <c r="UT17" s="15">
        <v>0.1</v>
      </c>
      <c r="UU17" s="15">
        <v>0.1</v>
      </c>
      <c r="UV17" s="15">
        <v>0.1</v>
      </c>
      <c r="UW17" s="15">
        <v>0.1</v>
      </c>
      <c r="UX17" s="15">
        <v>0.1</v>
      </c>
      <c r="UY17" s="15">
        <v>0.1</v>
      </c>
      <c r="UZ17" s="15">
        <v>0.1</v>
      </c>
      <c r="VA17" s="15">
        <v>0.1</v>
      </c>
      <c r="VB17" s="15">
        <v>0.1</v>
      </c>
      <c r="VC17" s="15">
        <v>0.1</v>
      </c>
      <c r="VD17" s="15">
        <v>0.1</v>
      </c>
      <c r="VE17" s="15">
        <v>0.1</v>
      </c>
      <c r="VF17" s="15">
        <v>0.1</v>
      </c>
      <c r="VG17" s="15">
        <v>0.1</v>
      </c>
      <c r="VH17" s="15">
        <v>0.1</v>
      </c>
      <c r="VI17" s="15">
        <v>0.1</v>
      </c>
      <c r="VJ17" s="15">
        <v>0.1</v>
      </c>
      <c r="VK17" s="15">
        <v>0.1</v>
      </c>
      <c r="VL17" s="15">
        <v>0.1</v>
      </c>
      <c r="VM17" s="15">
        <v>0.1</v>
      </c>
      <c r="VN17" s="15">
        <v>0.1</v>
      </c>
      <c r="VO17" s="15">
        <v>0.1</v>
      </c>
      <c r="VP17" s="15">
        <v>0.1</v>
      </c>
      <c r="VQ17" s="15">
        <v>0.1</v>
      </c>
      <c r="VR17" s="15">
        <v>0.1</v>
      </c>
      <c r="VS17" s="15">
        <v>0.1</v>
      </c>
      <c r="VT17" s="15">
        <v>0.1</v>
      </c>
      <c r="VU17" s="15">
        <v>0.1</v>
      </c>
      <c r="VV17" s="15">
        <v>0.1</v>
      </c>
      <c r="VW17" s="15">
        <v>0.1</v>
      </c>
      <c r="VX17" s="15">
        <v>0.1</v>
      </c>
      <c r="VY17" s="15">
        <v>0.1</v>
      </c>
      <c r="VZ17" s="15">
        <v>0.1</v>
      </c>
      <c r="WA17" s="15">
        <v>0.1</v>
      </c>
      <c r="WB17" s="15">
        <v>0.1</v>
      </c>
      <c r="WC17" s="15">
        <v>0.1</v>
      </c>
      <c r="WD17" s="15">
        <v>0.1</v>
      </c>
      <c r="WE17" s="15">
        <v>0.1</v>
      </c>
      <c r="WF17" s="15">
        <v>0.1</v>
      </c>
      <c r="WG17" s="15">
        <v>0.1</v>
      </c>
      <c r="WH17" s="15">
        <v>0.1</v>
      </c>
      <c r="WI17" s="15">
        <v>0.1</v>
      </c>
      <c r="WJ17" s="15">
        <v>0.1</v>
      </c>
      <c r="WK17" s="15">
        <v>0.1</v>
      </c>
      <c r="WL17" s="15">
        <v>0.1</v>
      </c>
      <c r="WM17" s="15">
        <v>0.1</v>
      </c>
      <c r="WN17" s="15">
        <v>0.1</v>
      </c>
      <c r="WO17" s="15">
        <v>0.1</v>
      </c>
      <c r="WP17" s="15">
        <v>0.1</v>
      </c>
      <c r="WQ17" s="15">
        <v>0.1</v>
      </c>
      <c r="WR17" s="15">
        <v>0.1</v>
      </c>
      <c r="WS17" s="15">
        <v>0.1</v>
      </c>
      <c r="WT17" s="15">
        <v>0.1</v>
      </c>
      <c r="WU17" s="15">
        <v>0.1</v>
      </c>
      <c r="WV17" s="15">
        <v>0.1</v>
      </c>
      <c r="WW17" s="15">
        <v>0.1</v>
      </c>
      <c r="WX17" s="15">
        <v>0.1</v>
      </c>
      <c r="WY17" s="15">
        <v>0.1</v>
      </c>
      <c r="WZ17" s="15">
        <v>0.1</v>
      </c>
      <c r="XA17" s="15">
        <v>0.1</v>
      </c>
      <c r="XB17" s="15">
        <v>0.1</v>
      </c>
      <c r="XC17" s="15">
        <v>0.1</v>
      </c>
      <c r="XD17" s="15">
        <v>0.1</v>
      </c>
      <c r="XE17" s="15">
        <v>0.1</v>
      </c>
      <c r="XF17" s="15">
        <v>0.1</v>
      </c>
      <c r="XG17" s="15">
        <v>0.1</v>
      </c>
      <c r="XH17" s="15">
        <v>0.1</v>
      </c>
      <c r="XI17" s="15">
        <v>0.1</v>
      </c>
      <c r="XJ17" s="15">
        <v>0.1</v>
      </c>
      <c r="XK17" s="15">
        <v>0.1</v>
      </c>
      <c r="XL17" s="15">
        <v>0.1</v>
      </c>
      <c r="XM17" s="15">
        <v>0.1</v>
      </c>
      <c r="XN17" s="15">
        <v>0.1</v>
      </c>
      <c r="XO17" s="15">
        <v>0.1</v>
      </c>
      <c r="XP17" s="15">
        <v>0.1</v>
      </c>
      <c r="XQ17" s="15">
        <v>0.1</v>
      </c>
      <c r="XR17" s="15">
        <v>0.1</v>
      </c>
      <c r="XS17" s="15">
        <v>0.1</v>
      </c>
      <c r="XT17" s="15">
        <v>0.1</v>
      </c>
      <c r="XU17" s="15">
        <v>0.1</v>
      </c>
      <c r="XV17" s="15">
        <v>0.1</v>
      </c>
      <c r="XW17" s="15">
        <v>0.1</v>
      </c>
      <c r="XX17" s="15">
        <v>0.1</v>
      </c>
      <c r="XY17" s="15">
        <v>0.1</v>
      </c>
      <c r="XZ17" s="15">
        <v>0.1</v>
      </c>
      <c r="YA17" s="15">
        <v>0.1</v>
      </c>
      <c r="YB17" s="15">
        <v>0.1</v>
      </c>
      <c r="YC17" s="15">
        <v>0.1</v>
      </c>
      <c r="YD17" s="15">
        <v>0.1</v>
      </c>
      <c r="YE17" s="15">
        <v>0.1</v>
      </c>
      <c r="YF17" s="15">
        <v>0.1</v>
      </c>
      <c r="YG17" s="15">
        <v>0.1</v>
      </c>
      <c r="YH17" s="15">
        <v>0.1</v>
      </c>
      <c r="YI17" s="15">
        <v>0.1</v>
      </c>
      <c r="YJ17" s="15">
        <v>0.1</v>
      </c>
      <c r="YK17" s="15">
        <v>0.1</v>
      </c>
      <c r="YL17" s="15">
        <v>0.1</v>
      </c>
      <c r="YM17" s="15">
        <v>0.1</v>
      </c>
      <c r="YN17" s="15">
        <v>0.1</v>
      </c>
      <c r="YO17" s="15">
        <v>0.1</v>
      </c>
      <c r="YP17" s="15">
        <v>0.1</v>
      </c>
      <c r="YQ17" s="15">
        <v>0.1</v>
      </c>
      <c r="YR17" s="15">
        <v>0.1</v>
      </c>
      <c r="YS17" s="15">
        <v>0.1</v>
      </c>
      <c r="YT17" s="15">
        <v>0.1</v>
      </c>
      <c r="YU17" s="15">
        <v>0.1</v>
      </c>
      <c r="YV17" s="15">
        <v>0.1</v>
      </c>
      <c r="YW17" s="15">
        <v>0.1</v>
      </c>
      <c r="YX17" s="15">
        <v>0.1</v>
      </c>
      <c r="YY17" s="15">
        <v>0.1</v>
      </c>
      <c r="YZ17" s="15">
        <v>0.1</v>
      </c>
      <c r="ZA17" s="15">
        <v>0.1</v>
      </c>
      <c r="ZB17" s="15">
        <v>0.1</v>
      </c>
      <c r="ZC17" s="15">
        <v>0.1</v>
      </c>
      <c r="ZD17" s="15">
        <v>0.1</v>
      </c>
      <c r="ZE17" s="15">
        <v>0.1</v>
      </c>
      <c r="ZF17" s="15">
        <v>0.1</v>
      </c>
      <c r="ZG17" s="15">
        <v>0.1</v>
      </c>
      <c r="ZH17" s="15">
        <v>0.1</v>
      </c>
      <c r="ZI17" s="15">
        <v>0.1</v>
      </c>
      <c r="ZJ17" s="15">
        <v>0.1</v>
      </c>
      <c r="ZK17" s="15">
        <v>0.1</v>
      </c>
      <c r="ZL17" s="15">
        <v>0.1</v>
      </c>
      <c r="ZM17" s="15">
        <v>0.1</v>
      </c>
      <c r="ZN17" s="15">
        <v>0.1</v>
      </c>
      <c r="ZO17" s="15">
        <v>0.1</v>
      </c>
      <c r="ZP17" s="15">
        <v>0.1</v>
      </c>
      <c r="ZQ17" s="15">
        <v>0.1</v>
      </c>
      <c r="ZR17" s="15">
        <v>0.1</v>
      </c>
      <c r="ZS17" s="15">
        <v>0.1</v>
      </c>
      <c r="ZT17" s="15">
        <v>0.1</v>
      </c>
      <c r="ZU17" s="15">
        <v>0.1</v>
      </c>
      <c r="ZV17" s="15">
        <v>0.1</v>
      </c>
      <c r="ZW17" s="15">
        <v>0.1</v>
      </c>
      <c r="ZX17" s="15">
        <v>0.1</v>
      </c>
      <c r="ZY17" s="15">
        <v>0.1</v>
      </c>
      <c r="ZZ17" s="15">
        <v>0.1</v>
      </c>
      <c r="AAA17" s="15">
        <v>0.1</v>
      </c>
      <c r="AAB17" s="15">
        <v>0.1</v>
      </c>
      <c r="AAC17" s="15">
        <v>0.1</v>
      </c>
      <c r="AAD17" s="15">
        <v>0.1</v>
      </c>
      <c r="AAE17" s="15">
        <v>0.1</v>
      </c>
      <c r="AAF17" s="15">
        <v>0.1</v>
      </c>
      <c r="AAG17" s="15">
        <v>0.1</v>
      </c>
      <c r="AAH17" s="15">
        <v>0.1</v>
      </c>
      <c r="AAI17" s="15">
        <v>0.1</v>
      </c>
      <c r="AAJ17" s="15">
        <v>0.1</v>
      </c>
      <c r="AAK17" s="15">
        <v>0.1</v>
      </c>
      <c r="AAL17" s="15"/>
      <c r="AAM17" s="15">
        <v>0.1</v>
      </c>
      <c r="AAN17" s="15">
        <v>0.1</v>
      </c>
      <c r="AAO17" s="15">
        <v>0.1</v>
      </c>
      <c r="AAP17" s="15">
        <v>0.1</v>
      </c>
      <c r="AAQ17" s="15">
        <v>0.1</v>
      </c>
      <c r="AAR17" s="15">
        <v>0.1</v>
      </c>
      <c r="AAS17" s="15">
        <v>0.1</v>
      </c>
      <c r="AAT17" s="15">
        <v>0.1</v>
      </c>
      <c r="AAU17" s="15">
        <v>0.1</v>
      </c>
      <c r="AAV17" s="15">
        <v>0.1</v>
      </c>
      <c r="AAW17" s="15">
        <v>0.1</v>
      </c>
      <c r="AAX17" s="15"/>
      <c r="AAY17" s="15">
        <v>0.1</v>
      </c>
      <c r="AAZ17" s="15">
        <v>0.1</v>
      </c>
      <c r="ABA17" s="15">
        <v>0.1</v>
      </c>
      <c r="ABB17" s="15">
        <v>0.1</v>
      </c>
      <c r="ABC17" s="15">
        <v>0.1</v>
      </c>
      <c r="ABD17" s="15">
        <v>0.1</v>
      </c>
      <c r="ABE17" s="15">
        <v>0.1</v>
      </c>
      <c r="ABF17" s="15">
        <v>0.1</v>
      </c>
      <c r="ABG17" s="15">
        <v>0.1</v>
      </c>
      <c r="ABH17" s="15">
        <v>0.1</v>
      </c>
      <c r="ABI17" s="15">
        <v>0.1</v>
      </c>
      <c r="ABJ17" s="15">
        <v>0.1</v>
      </c>
      <c r="ABK17" s="15">
        <v>0.1</v>
      </c>
      <c r="ABL17" s="15">
        <v>0.1</v>
      </c>
      <c r="ABM17" s="15">
        <v>0.1</v>
      </c>
      <c r="ABN17" s="15">
        <v>0.1</v>
      </c>
      <c r="ABO17" s="15">
        <v>0.1</v>
      </c>
      <c r="ABP17" s="15">
        <v>0.1</v>
      </c>
      <c r="ABQ17" s="15">
        <v>0.1</v>
      </c>
      <c r="ABR17" s="15">
        <v>0.1</v>
      </c>
      <c r="ABS17" s="15">
        <v>0.1</v>
      </c>
      <c r="ABT17" s="15">
        <v>0.1</v>
      </c>
      <c r="ABU17" s="15">
        <v>0.1</v>
      </c>
      <c r="ABV17" s="15">
        <v>0.1</v>
      </c>
      <c r="ABW17" s="15">
        <v>0.1</v>
      </c>
      <c r="ABX17" s="15">
        <v>0.1</v>
      </c>
      <c r="ABY17" s="15">
        <v>0.1</v>
      </c>
      <c r="ABZ17" s="15">
        <v>0.1</v>
      </c>
      <c r="ACA17" s="15">
        <v>0.1</v>
      </c>
      <c r="ACB17" s="15">
        <v>0.1</v>
      </c>
      <c r="ACC17" s="15">
        <v>0.1</v>
      </c>
      <c r="ACD17" s="15">
        <v>0.1</v>
      </c>
      <c r="ACE17" s="15">
        <v>0.1</v>
      </c>
      <c r="ACF17" s="15">
        <v>0.1</v>
      </c>
      <c r="ACG17" s="15">
        <v>0.1</v>
      </c>
      <c r="ACH17" s="15">
        <v>0.1</v>
      </c>
      <c r="ACI17" s="15">
        <v>0.1</v>
      </c>
      <c r="ACJ17" s="15">
        <v>0.1</v>
      </c>
      <c r="ACK17" s="15">
        <v>0.1</v>
      </c>
      <c r="ACL17" s="15">
        <v>0.1</v>
      </c>
      <c r="ACM17" s="15">
        <v>0.1</v>
      </c>
      <c r="ACN17" s="15">
        <v>0.1</v>
      </c>
      <c r="ACO17" s="15">
        <v>0.1</v>
      </c>
      <c r="ACP17" s="15">
        <v>0.1</v>
      </c>
      <c r="ACQ17" s="15">
        <v>0.1</v>
      </c>
      <c r="ACR17" s="15">
        <v>0.1</v>
      </c>
      <c r="ACS17" s="15">
        <v>0.1</v>
      </c>
      <c r="ACT17" s="15">
        <v>0.1</v>
      </c>
      <c r="ACU17" s="15">
        <v>0.1</v>
      </c>
      <c r="ACV17" s="15">
        <v>0.1</v>
      </c>
      <c r="ACW17" s="15">
        <v>0.1</v>
      </c>
      <c r="ACX17" s="15">
        <v>0.1</v>
      </c>
      <c r="ACY17" s="15">
        <v>0.1</v>
      </c>
      <c r="ACZ17" s="15">
        <v>0.1</v>
      </c>
      <c r="ADA17" s="15">
        <v>0.1</v>
      </c>
      <c r="ADB17" s="15">
        <v>0.1</v>
      </c>
      <c r="ADC17" s="15">
        <v>0.1</v>
      </c>
      <c r="ADD17" s="15">
        <v>0.1</v>
      </c>
      <c r="ADE17" s="15">
        <v>0.1</v>
      </c>
      <c r="ADF17" s="15">
        <v>0.1</v>
      </c>
      <c r="ADG17" s="15">
        <v>0.1</v>
      </c>
      <c r="ADH17" s="15"/>
      <c r="ADI17" s="15">
        <v>0.1</v>
      </c>
      <c r="ADJ17" s="15">
        <v>0.1</v>
      </c>
      <c r="ADK17" s="15">
        <v>0.1</v>
      </c>
      <c r="ADL17" s="15">
        <v>0.1</v>
      </c>
      <c r="ADM17" s="15">
        <v>0.1</v>
      </c>
      <c r="ADN17" s="15">
        <v>0.1</v>
      </c>
      <c r="ADO17" s="15">
        <v>0.1</v>
      </c>
      <c r="ADP17" s="15">
        <v>0.1</v>
      </c>
      <c r="ADQ17" s="15">
        <v>0.1</v>
      </c>
      <c r="ADR17" s="15">
        <v>0.1</v>
      </c>
      <c r="ADS17" s="15">
        <v>0.1</v>
      </c>
      <c r="ADT17" s="15">
        <v>0.1</v>
      </c>
      <c r="ADU17" s="15">
        <v>0.1</v>
      </c>
      <c r="ADV17" s="15">
        <v>0.1</v>
      </c>
      <c r="ADW17" s="15">
        <v>0.1</v>
      </c>
      <c r="ADX17" s="15">
        <v>0.1</v>
      </c>
      <c r="ADY17" s="15">
        <v>0.1</v>
      </c>
      <c r="ADZ17" s="15">
        <v>0.1</v>
      </c>
      <c r="AEA17" s="15">
        <v>0.1</v>
      </c>
      <c r="AEB17" s="15">
        <v>0.1</v>
      </c>
      <c r="AEC17" s="15">
        <v>0.1</v>
      </c>
      <c r="AED17" s="15">
        <v>0.1</v>
      </c>
      <c r="AEE17" s="15">
        <v>0.1</v>
      </c>
      <c r="AEF17" s="15">
        <v>0.1</v>
      </c>
      <c r="AEG17" s="15">
        <v>0.1</v>
      </c>
      <c r="AEH17" s="15">
        <v>0.1</v>
      </c>
      <c r="AEI17" s="15">
        <v>0.1</v>
      </c>
      <c r="AEJ17" s="15">
        <v>0.1</v>
      </c>
      <c r="AEK17" s="15">
        <v>0.1</v>
      </c>
      <c r="AEL17" s="15">
        <v>0.1</v>
      </c>
      <c r="AEM17" s="15">
        <v>0.1</v>
      </c>
      <c r="AEN17" s="15">
        <v>0.1</v>
      </c>
      <c r="AEO17" s="15">
        <v>0.1</v>
      </c>
      <c r="AEP17" s="15">
        <v>0.1</v>
      </c>
      <c r="AEQ17" s="15">
        <v>0.1</v>
      </c>
      <c r="AER17" s="15">
        <v>0.1</v>
      </c>
      <c r="AES17" s="15">
        <v>0.1</v>
      </c>
      <c r="AET17" s="15">
        <v>0.1</v>
      </c>
      <c r="AEU17" s="15">
        <v>0.1</v>
      </c>
      <c r="AEV17" s="15">
        <v>0.1</v>
      </c>
      <c r="AEW17" s="15">
        <v>0.1</v>
      </c>
      <c r="AEX17" s="15">
        <v>0.1</v>
      </c>
      <c r="AEY17" s="15">
        <v>0.1</v>
      </c>
      <c r="AEZ17" s="15">
        <v>0.1</v>
      </c>
      <c r="AFA17" s="15">
        <v>0.1</v>
      </c>
      <c r="AFB17" s="15">
        <v>0.1</v>
      </c>
      <c r="AFC17" s="15">
        <v>0.1</v>
      </c>
      <c r="AFD17" s="15">
        <v>0.1</v>
      </c>
      <c r="AFE17" s="15">
        <v>0.1</v>
      </c>
      <c r="AFF17" s="15">
        <v>0.1</v>
      </c>
      <c r="AFG17" s="15">
        <v>0.1</v>
      </c>
      <c r="AFH17" s="15">
        <v>0.1</v>
      </c>
      <c r="AFI17" s="15">
        <v>0.1</v>
      </c>
      <c r="AFJ17" s="15">
        <v>0.1</v>
      </c>
      <c r="AFK17" s="15">
        <v>0.1</v>
      </c>
      <c r="AFL17" s="15">
        <v>0.1</v>
      </c>
      <c r="AFM17" s="15">
        <v>0.1</v>
      </c>
      <c r="AFN17" s="15">
        <v>0.1</v>
      </c>
      <c r="AFO17" s="15">
        <v>0.1</v>
      </c>
      <c r="AFP17" s="15">
        <v>0.1</v>
      </c>
      <c r="AFQ17" s="15">
        <v>0.1</v>
      </c>
      <c r="AFR17" s="15"/>
      <c r="AFS17" s="15">
        <v>0.1</v>
      </c>
      <c r="AFT17" s="15">
        <v>0.1</v>
      </c>
      <c r="AFU17" s="15">
        <v>0.1</v>
      </c>
      <c r="AFV17" s="15">
        <v>0.1</v>
      </c>
      <c r="AFW17" s="15">
        <v>0.1</v>
      </c>
      <c r="AFX17" s="15">
        <v>0.1</v>
      </c>
      <c r="AFY17" s="15">
        <v>0.1</v>
      </c>
      <c r="AFZ17" s="15">
        <v>0.1</v>
      </c>
      <c r="AGA17" s="15">
        <v>0.1</v>
      </c>
      <c r="AGB17" s="15">
        <v>0.1</v>
      </c>
      <c r="AGC17" s="15">
        <v>0.1</v>
      </c>
      <c r="AGD17" s="15">
        <v>0.1</v>
      </c>
      <c r="AGE17" s="15">
        <v>0.1</v>
      </c>
      <c r="AGF17" s="15">
        <v>0.1</v>
      </c>
      <c r="AGG17" s="15">
        <v>0.1</v>
      </c>
      <c r="AGH17" s="15">
        <v>0.1</v>
      </c>
      <c r="AGI17" s="15">
        <v>0.1</v>
      </c>
      <c r="AGJ17" s="15">
        <v>0.1</v>
      </c>
      <c r="AGK17" s="15">
        <v>0.1</v>
      </c>
      <c r="AGL17" s="15">
        <v>0.1</v>
      </c>
      <c r="AGM17" s="15">
        <v>0.1</v>
      </c>
      <c r="AGN17" s="15">
        <v>0.1</v>
      </c>
      <c r="AGO17" s="15">
        <v>0.1</v>
      </c>
      <c r="AGP17" s="15">
        <v>0.1</v>
      </c>
      <c r="AGQ17" s="15">
        <v>0.1</v>
      </c>
      <c r="AGR17" s="15">
        <v>0.1</v>
      </c>
      <c r="AGS17" s="15">
        <v>0.1</v>
      </c>
      <c r="AGT17" s="15">
        <v>0.1</v>
      </c>
      <c r="AGU17" s="15">
        <v>0.1</v>
      </c>
      <c r="AGV17" s="15">
        <v>0.1</v>
      </c>
      <c r="AGW17" s="15">
        <v>0.1</v>
      </c>
      <c r="AGX17" s="15">
        <v>0.1</v>
      </c>
      <c r="AGY17" s="15">
        <v>0.1</v>
      </c>
      <c r="AGZ17" s="15">
        <v>0.1</v>
      </c>
      <c r="AHA17" s="15">
        <v>0.1</v>
      </c>
      <c r="AHB17" s="15">
        <v>0.1</v>
      </c>
      <c r="AHC17" s="15">
        <v>0.1</v>
      </c>
      <c r="AHD17" s="15">
        <v>0.1</v>
      </c>
      <c r="AHE17" s="15">
        <v>0.1</v>
      </c>
      <c r="AHF17" s="15">
        <v>0.1</v>
      </c>
      <c r="AHG17" s="15">
        <v>0.1</v>
      </c>
      <c r="AHH17" s="15">
        <v>0.1</v>
      </c>
      <c r="AHI17" s="15">
        <v>0.1</v>
      </c>
      <c r="AHJ17" s="15">
        <v>0.1</v>
      </c>
      <c r="AHK17" s="15">
        <v>0.1</v>
      </c>
      <c r="AHL17" s="15">
        <v>0.1</v>
      </c>
      <c r="AHM17" s="15">
        <v>0.1</v>
      </c>
      <c r="AHN17" s="15">
        <v>0.1</v>
      </c>
      <c r="AHO17" s="15">
        <v>0.1</v>
      </c>
      <c r="AHP17" s="15">
        <v>0.1</v>
      </c>
      <c r="AHQ17" s="15">
        <v>0.1</v>
      </c>
      <c r="AHR17" s="15">
        <v>0.1</v>
      </c>
      <c r="AHS17" s="15">
        <v>0.1</v>
      </c>
      <c r="AHT17" s="15">
        <v>0.1</v>
      </c>
      <c r="AHU17" s="15">
        <v>0.1</v>
      </c>
      <c r="AHV17" s="15">
        <v>0.1</v>
      </c>
      <c r="AHW17" s="15">
        <v>0.1</v>
      </c>
      <c r="AHX17" s="15">
        <v>0.1</v>
      </c>
      <c r="AHY17" s="15">
        <v>0.1</v>
      </c>
      <c r="AHZ17" s="15">
        <v>0.1</v>
      </c>
      <c r="AIA17" s="15">
        <v>0.1</v>
      </c>
      <c r="AIB17" s="15">
        <v>0.1</v>
      </c>
      <c r="AIC17" s="15">
        <v>0.1</v>
      </c>
      <c r="AID17" s="15">
        <v>0.1</v>
      </c>
      <c r="AIE17" s="15">
        <v>0.1</v>
      </c>
      <c r="AIF17" s="15">
        <v>0.1</v>
      </c>
      <c r="AIG17" s="15">
        <v>0.1</v>
      </c>
      <c r="AIH17" s="15">
        <v>0.1</v>
      </c>
      <c r="AII17" s="15">
        <v>0.1</v>
      </c>
      <c r="AIJ17" s="15">
        <v>0.1</v>
      </c>
      <c r="AIK17" s="15">
        <v>0.1</v>
      </c>
      <c r="AIL17" s="15">
        <v>0.1</v>
      </c>
      <c r="AIM17" s="15">
        <v>0.1</v>
      </c>
      <c r="AIN17" s="15">
        <v>0.1</v>
      </c>
      <c r="AIO17" s="15">
        <v>0.1</v>
      </c>
      <c r="AIP17" s="15">
        <v>0.1</v>
      </c>
      <c r="AIQ17" s="15">
        <v>0.1</v>
      </c>
      <c r="AIR17" s="15">
        <v>0.1</v>
      </c>
      <c r="AIS17" s="15">
        <v>0.1</v>
      </c>
      <c r="AIT17" s="15">
        <v>0.1</v>
      </c>
      <c r="AIU17" s="15">
        <v>0.1</v>
      </c>
      <c r="AIV17" s="15">
        <v>0.1</v>
      </c>
      <c r="AIW17" s="15">
        <v>0.1</v>
      </c>
      <c r="AIX17" s="15">
        <v>0.1</v>
      </c>
      <c r="AIY17" s="15">
        <v>0.1</v>
      </c>
      <c r="AIZ17" s="15">
        <v>0.1</v>
      </c>
      <c r="AJA17" s="15">
        <v>0.1</v>
      </c>
      <c r="AJB17" s="15">
        <v>0.1</v>
      </c>
      <c r="AJC17" s="15">
        <v>0.1</v>
      </c>
      <c r="AJD17" s="15">
        <v>0.1</v>
      </c>
      <c r="AJE17" s="15">
        <v>0.1</v>
      </c>
      <c r="AJF17" s="15"/>
      <c r="AJG17" s="15">
        <v>0.1</v>
      </c>
      <c r="AJH17" s="15">
        <v>0.1</v>
      </c>
      <c r="AJI17" s="15">
        <v>0.1</v>
      </c>
      <c r="AJJ17" s="15">
        <v>0.1</v>
      </c>
      <c r="AJK17" s="15">
        <v>0.1</v>
      </c>
      <c r="AJL17" s="15">
        <v>0.1</v>
      </c>
      <c r="AJM17" s="15">
        <v>0.1</v>
      </c>
      <c r="AJN17" s="15"/>
      <c r="AJO17" s="15">
        <v>0.1</v>
      </c>
      <c r="AJP17" s="15">
        <v>0.1</v>
      </c>
      <c r="AJQ17" s="15">
        <v>0.1</v>
      </c>
      <c r="AJR17" s="15">
        <v>0.1</v>
      </c>
      <c r="AJS17" s="15">
        <v>0.1</v>
      </c>
      <c r="AJT17" s="15">
        <v>0.1</v>
      </c>
      <c r="AJU17" s="15">
        <v>0.1</v>
      </c>
      <c r="AJV17" s="15">
        <v>0.1</v>
      </c>
      <c r="AJW17" s="15">
        <v>0.1</v>
      </c>
      <c r="AJX17" s="15"/>
      <c r="AJY17" s="15">
        <v>0.1</v>
      </c>
      <c r="AJZ17" s="15">
        <v>0.1</v>
      </c>
      <c r="AKA17" s="15">
        <v>0.1</v>
      </c>
      <c r="AKB17" s="15">
        <v>0.1</v>
      </c>
      <c r="AKC17" s="15">
        <v>0.1</v>
      </c>
      <c r="AKD17" s="15">
        <v>0.1</v>
      </c>
      <c r="AKE17" s="15">
        <v>0.1</v>
      </c>
      <c r="AKF17" s="15">
        <v>0.1</v>
      </c>
      <c r="AKG17" s="15">
        <v>0.1</v>
      </c>
      <c r="AKH17" s="15">
        <v>0.1</v>
      </c>
      <c r="AKI17" s="15"/>
      <c r="AKJ17" s="15">
        <v>0.1</v>
      </c>
      <c r="AKK17" s="15">
        <v>0.1</v>
      </c>
      <c r="AKL17" s="15">
        <v>0.1</v>
      </c>
      <c r="AKM17" s="15">
        <v>0.1</v>
      </c>
      <c r="AKN17" s="15">
        <v>0.1</v>
      </c>
      <c r="AKO17" s="15">
        <v>0.1</v>
      </c>
      <c r="AKP17" s="15">
        <v>0.1</v>
      </c>
      <c r="AKQ17" s="15">
        <v>0.1</v>
      </c>
      <c r="AKR17" s="15">
        <v>0.1</v>
      </c>
      <c r="AKS17" s="15">
        <v>0.1</v>
      </c>
      <c r="AKT17" s="15">
        <v>0.1</v>
      </c>
      <c r="AKU17" s="15">
        <v>0.1</v>
      </c>
      <c r="AKV17" s="15">
        <v>0.1</v>
      </c>
      <c r="AKW17" s="15">
        <v>0.1</v>
      </c>
      <c r="AKX17" s="15"/>
      <c r="AKY17" s="15">
        <v>0.1</v>
      </c>
      <c r="AKZ17" s="15">
        <v>0.1</v>
      </c>
      <c r="ALA17" s="15">
        <v>0.1</v>
      </c>
      <c r="ALB17" s="15">
        <v>0.1</v>
      </c>
      <c r="ALC17" s="15">
        <v>0.1</v>
      </c>
      <c r="ALD17" s="15">
        <v>0.1</v>
      </c>
      <c r="ALE17" s="15">
        <v>0.1</v>
      </c>
      <c r="ALF17" s="15">
        <v>0.1</v>
      </c>
      <c r="ALG17" s="15">
        <v>0.1</v>
      </c>
      <c r="ALH17" s="15">
        <v>0.1</v>
      </c>
      <c r="ALI17" s="15">
        <v>0.1</v>
      </c>
      <c r="ALJ17" s="15">
        <v>0.1</v>
      </c>
      <c r="ALK17" s="15">
        <v>0.1</v>
      </c>
      <c r="ALL17" s="15">
        <v>0.1</v>
      </c>
      <c r="ALM17" s="15"/>
      <c r="ALN17" s="15">
        <v>0.1</v>
      </c>
      <c r="ALO17" s="15">
        <v>0.1</v>
      </c>
      <c r="ALP17" s="15">
        <v>0.1</v>
      </c>
      <c r="ALQ17" s="15">
        <v>0.1</v>
      </c>
      <c r="ALR17" s="15">
        <v>0.1</v>
      </c>
      <c r="ALS17" s="15">
        <v>0.1</v>
      </c>
      <c r="ALT17" s="15">
        <v>0.1</v>
      </c>
      <c r="ALU17" s="15">
        <v>0.1</v>
      </c>
      <c r="ALV17" s="15">
        <v>0.1</v>
      </c>
      <c r="ALW17" s="15">
        <v>0.1</v>
      </c>
      <c r="ALX17" s="15">
        <v>0.1</v>
      </c>
      <c r="ALY17" s="15">
        <v>0.1</v>
      </c>
      <c r="ALZ17" s="15">
        <v>0.1</v>
      </c>
      <c r="AMA17" s="15">
        <v>0.1</v>
      </c>
      <c r="AMB17" s="15">
        <v>0.1</v>
      </c>
      <c r="AMC17" s="15"/>
      <c r="AMD17" s="15">
        <v>0.1</v>
      </c>
      <c r="AME17" s="15">
        <v>0.1</v>
      </c>
      <c r="AMF17" s="15">
        <v>0.1</v>
      </c>
      <c r="AMG17" s="15">
        <v>0.1</v>
      </c>
      <c r="AMH17" s="15">
        <v>0.1</v>
      </c>
      <c r="AMI17" s="15">
        <v>0.1</v>
      </c>
      <c r="AMJ17" s="15">
        <v>0.1</v>
      </c>
      <c r="AMK17" s="15">
        <v>0.1</v>
      </c>
      <c r="AML17" s="15">
        <v>0.1</v>
      </c>
      <c r="AMM17" s="15">
        <v>0.1</v>
      </c>
      <c r="AMN17" s="15">
        <v>0.1</v>
      </c>
      <c r="AMO17" s="15">
        <v>0.1</v>
      </c>
      <c r="AMP17" s="15">
        <v>0.1</v>
      </c>
      <c r="AMQ17" s="15">
        <v>0.1</v>
      </c>
      <c r="AMR17" s="15">
        <v>0.1</v>
      </c>
      <c r="AMS17" s="15">
        <v>0.1</v>
      </c>
      <c r="AMT17" s="15">
        <v>0.1</v>
      </c>
      <c r="AMU17" s="15">
        <v>0.1</v>
      </c>
      <c r="AMV17" s="15">
        <v>0.1</v>
      </c>
      <c r="AMW17" s="15">
        <v>0.1</v>
      </c>
      <c r="AMX17" s="15">
        <v>0.1</v>
      </c>
      <c r="AMY17" s="15">
        <v>0.1</v>
      </c>
      <c r="AMZ17" s="15">
        <v>0.1</v>
      </c>
      <c r="ANA17" s="15">
        <v>0.1</v>
      </c>
      <c r="ANB17" s="15">
        <v>0.1</v>
      </c>
      <c r="ANC17" s="15">
        <v>0.1</v>
      </c>
      <c r="AND17" s="15">
        <v>0.1</v>
      </c>
      <c r="ANE17" s="15"/>
      <c r="ANF17" s="15"/>
      <c r="ANG17" s="15"/>
      <c r="ANH17" s="15"/>
      <c r="ANI17" s="15"/>
      <c r="ANJ17" s="15"/>
      <c r="ANK17" s="15"/>
      <c r="ANL17" s="15"/>
      <c r="ANM17" s="15"/>
      <c r="ANN17" s="15"/>
      <c r="ANO17" s="15"/>
      <c r="ANP17" s="15"/>
      <c r="ANQ17" s="15"/>
      <c r="ANR17" s="15"/>
      <c r="ANS17" s="15"/>
      <c r="ANT17" s="15"/>
      <c r="ANU17" s="15"/>
      <c r="ANV17" s="15"/>
      <c r="ANW17" s="15"/>
      <c r="ANX17" s="15"/>
      <c r="ANY17" s="15"/>
      <c r="ANZ17" s="15"/>
      <c r="AOA17" s="15"/>
      <c r="AOB17" s="15"/>
      <c r="AOC17" s="15"/>
      <c r="AOD17" s="15"/>
      <c r="AOE17" s="15"/>
      <c r="AOF17" s="15"/>
      <c r="AOG17" s="15"/>
      <c r="AOH17" s="15"/>
      <c r="AOI17" s="15"/>
      <c r="AOJ17" s="15"/>
      <c r="AOK17" s="15"/>
      <c r="AOL17" s="15"/>
      <c r="AOM17" s="15"/>
      <c r="AON17" s="15"/>
      <c r="AOO17" s="15"/>
      <c r="AOP17" s="15"/>
      <c r="AOQ17" s="15"/>
      <c r="AOR17" s="15"/>
      <c r="AOS17" s="15"/>
      <c r="AOT17" s="15"/>
      <c r="AOU17" s="15"/>
      <c r="AOV17" s="15"/>
      <c r="AOW17" s="15"/>
      <c r="AOX17" s="15"/>
      <c r="AOY17" s="15"/>
      <c r="AOZ17" s="15"/>
      <c r="APA17" s="15"/>
      <c r="APB17" s="15"/>
      <c r="APC17" s="15"/>
      <c r="APD17" s="15"/>
      <c r="APE17" s="15"/>
      <c r="APF17" s="15"/>
      <c r="APG17" s="15"/>
      <c r="APH17" s="15"/>
      <c r="API17" s="15"/>
      <c r="APJ17" s="15"/>
      <c r="APK17" s="15"/>
      <c r="APL17" s="15"/>
      <c r="APM17" s="15"/>
      <c r="APN17" s="15"/>
      <c r="APO17" s="15"/>
      <c r="APP17" s="15"/>
      <c r="APQ17" s="15"/>
      <c r="APR17" s="15"/>
      <c r="APS17" s="15"/>
      <c r="APT17" s="15"/>
      <c r="APU17" s="15"/>
      <c r="APV17" s="15"/>
      <c r="APW17" s="15"/>
      <c r="APX17" s="15"/>
      <c r="APY17" s="15"/>
      <c r="APZ17" s="15"/>
      <c r="AQA17" s="15"/>
      <c r="AQB17" s="15"/>
    </row>
    <row r="18" spans="1:1120" s="17" customFormat="1" ht="15" customHeight="1" x14ac:dyDescent="0.25">
      <c r="A18" s="5" t="s">
        <v>1</v>
      </c>
      <c r="B18" s="6" t="s">
        <v>642</v>
      </c>
      <c r="C18" s="15">
        <v>300</v>
      </c>
      <c r="D18" s="15">
        <v>300</v>
      </c>
      <c r="E18" s="15">
        <v>300</v>
      </c>
      <c r="F18" s="15">
        <v>300</v>
      </c>
      <c r="G18" s="15">
        <v>300</v>
      </c>
      <c r="H18" s="15">
        <v>300</v>
      </c>
      <c r="I18" s="15">
        <v>300</v>
      </c>
      <c r="J18" s="15"/>
      <c r="K18" s="15">
        <v>300</v>
      </c>
      <c r="L18" s="15">
        <v>300</v>
      </c>
      <c r="M18" s="15">
        <v>300</v>
      </c>
      <c r="N18" s="15">
        <v>300</v>
      </c>
      <c r="O18" s="15">
        <v>300</v>
      </c>
      <c r="P18" s="15">
        <v>300</v>
      </c>
      <c r="Q18" s="15"/>
      <c r="R18" s="15">
        <v>300</v>
      </c>
      <c r="S18" s="15">
        <v>300</v>
      </c>
      <c r="T18" s="15">
        <v>300</v>
      </c>
      <c r="U18" s="15">
        <v>300</v>
      </c>
      <c r="V18" s="15">
        <v>300</v>
      </c>
      <c r="W18" s="15">
        <v>300</v>
      </c>
      <c r="X18" s="15"/>
      <c r="Y18" s="15">
        <v>300</v>
      </c>
      <c r="Z18" s="15">
        <v>300</v>
      </c>
      <c r="AA18" s="15">
        <v>300</v>
      </c>
      <c r="AB18" s="15">
        <v>300</v>
      </c>
      <c r="AC18" s="15">
        <v>300</v>
      </c>
      <c r="AD18" s="15">
        <v>300</v>
      </c>
      <c r="AE18" s="15"/>
      <c r="AF18" s="15">
        <v>300</v>
      </c>
      <c r="AG18" s="15">
        <v>300</v>
      </c>
      <c r="AH18" s="15">
        <v>300</v>
      </c>
      <c r="AI18" s="15">
        <v>300</v>
      </c>
      <c r="AJ18" s="15">
        <v>300</v>
      </c>
      <c r="AK18" s="15">
        <v>300</v>
      </c>
      <c r="AL18" s="15"/>
      <c r="AM18" s="15">
        <v>300</v>
      </c>
      <c r="AN18" s="15">
        <v>300</v>
      </c>
      <c r="AO18" s="15">
        <v>300</v>
      </c>
      <c r="AP18" s="15">
        <v>300</v>
      </c>
      <c r="AQ18" s="15">
        <v>300</v>
      </c>
      <c r="AR18" s="15">
        <v>300</v>
      </c>
      <c r="AS18" s="15">
        <v>300</v>
      </c>
      <c r="AT18" s="15">
        <v>300</v>
      </c>
      <c r="AU18" s="15">
        <v>300</v>
      </c>
      <c r="AV18" s="15">
        <v>300</v>
      </c>
      <c r="AW18" s="15">
        <v>300</v>
      </c>
      <c r="AX18" s="15">
        <v>300</v>
      </c>
      <c r="AY18" s="15">
        <v>300</v>
      </c>
      <c r="AZ18" s="15">
        <v>300</v>
      </c>
      <c r="BA18" s="15">
        <v>300</v>
      </c>
      <c r="BB18" s="15">
        <v>300</v>
      </c>
      <c r="BC18" s="15">
        <v>300</v>
      </c>
      <c r="BD18" s="15">
        <v>300</v>
      </c>
      <c r="BE18" s="15">
        <v>300</v>
      </c>
      <c r="BF18" s="15">
        <v>300</v>
      </c>
      <c r="BG18" s="15">
        <v>300</v>
      </c>
      <c r="BH18" s="15">
        <v>300</v>
      </c>
      <c r="BI18" s="15">
        <v>300</v>
      </c>
      <c r="BJ18" s="15">
        <v>300</v>
      </c>
      <c r="BK18" s="15">
        <v>300</v>
      </c>
      <c r="BL18" s="15">
        <v>300</v>
      </c>
      <c r="BM18" s="15">
        <v>300</v>
      </c>
      <c r="BN18" s="15">
        <v>300</v>
      </c>
      <c r="BO18" s="15">
        <v>300</v>
      </c>
      <c r="BP18" s="15">
        <v>300</v>
      </c>
      <c r="BQ18" s="15">
        <v>300</v>
      </c>
      <c r="BR18" s="15">
        <v>300</v>
      </c>
      <c r="BS18" s="15">
        <v>300</v>
      </c>
      <c r="BT18" s="15">
        <v>300</v>
      </c>
      <c r="BU18" s="15">
        <v>300</v>
      </c>
      <c r="BV18" s="15">
        <v>300</v>
      </c>
      <c r="BW18" s="15">
        <v>300</v>
      </c>
      <c r="BX18" s="15">
        <v>300</v>
      </c>
      <c r="BY18" s="15">
        <v>300</v>
      </c>
      <c r="BZ18" s="15">
        <v>300</v>
      </c>
      <c r="CA18" s="15">
        <v>300</v>
      </c>
      <c r="CB18" s="15">
        <v>300</v>
      </c>
      <c r="CC18" s="15">
        <v>300</v>
      </c>
      <c r="CD18" s="15">
        <v>300</v>
      </c>
      <c r="CE18" s="15">
        <v>300</v>
      </c>
      <c r="CF18" s="15">
        <v>300</v>
      </c>
      <c r="CG18" s="15">
        <v>300</v>
      </c>
      <c r="CH18" s="15">
        <v>300</v>
      </c>
      <c r="CI18" s="15">
        <v>300</v>
      </c>
      <c r="CJ18" s="15">
        <v>300</v>
      </c>
      <c r="CK18" s="15">
        <v>300</v>
      </c>
      <c r="CL18" s="15">
        <v>300</v>
      </c>
      <c r="CM18" s="15">
        <v>300</v>
      </c>
      <c r="CN18" s="15">
        <v>300</v>
      </c>
      <c r="CO18" s="15">
        <v>300</v>
      </c>
      <c r="CP18" s="15">
        <v>300</v>
      </c>
      <c r="CQ18" s="15">
        <v>300</v>
      </c>
      <c r="CR18" s="15">
        <v>300</v>
      </c>
      <c r="CS18" s="15">
        <v>300</v>
      </c>
      <c r="CT18" s="15">
        <v>300</v>
      </c>
      <c r="CU18" s="15">
        <v>300</v>
      </c>
      <c r="CV18" s="15">
        <v>300</v>
      </c>
      <c r="CW18" s="15">
        <v>300</v>
      </c>
      <c r="CX18" s="15">
        <v>300</v>
      </c>
      <c r="CY18" s="15">
        <v>300</v>
      </c>
      <c r="CZ18" s="15">
        <v>300</v>
      </c>
      <c r="DA18" s="15">
        <v>300</v>
      </c>
      <c r="DB18" s="15">
        <v>300</v>
      </c>
      <c r="DC18" s="15">
        <v>300</v>
      </c>
      <c r="DD18" s="15">
        <v>300</v>
      </c>
      <c r="DE18" s="15">
        <v>300</v>
      </c>
      <c r="DF18" s="15">
        <v>300</v>
      </c>
      <c r="DG18" s="15">
        <v>300</v>
      </c>
      <c r="DH18" s="15">
        <v>300</v>
      </c>
      <c r="DI18" s="15">
        <v>300</v>
      </c>
      <c r="DJ18" s="15">
        <v>300</v>
      </c>
      <c r="DK18" s="15">
        <v>300</v>
      </c>
      <c r="DL18" s="15">
        <v>300</v>
      </c>
      <c r="DM18" s="15">
        <v>300</v>
      </c>
      <c r="DN18" s="15">
        <v>300</v>
      </c>
      <c r="DO18" s="15">
        <v>300</v>
      </c>
      <c r="DP18" s="15">
        <v>300</v>
      </c>
      <c r="DQ18" s="15">
        <v>300</v>
      </c>
      <c r="DR18" s="15">
        <v>300</v>
      </c>
      <c r="DS18" s="15">
        <v>300</v>
      </c>
      <c r="DT18" s="15">
        <v>300</v>
      </c>
      <c r="DU18" s="15">
        <v>300</v>
      </c>
      <c r="DV18" s="15">
        <v>300</v>
      </c>
      <c r="DW18" s="15">
        <v>300</v>
      </c>
      <c r="DX18" s="15">
        <v>300</v>
      </c>
      <c r="DY18" s="15">
        <v>300</v>
      </c>
      <c r="DZ18" s="15">
        <v>300</v>
      </c>
      <c r="EA18" s="15">
        <v>300</v>
      </c>
      <c r="EB18" s="15">
        <v>300</v>
      </c>
      <c r="EC18" s="15">
        <v>300</v>
      </c>
      <c r="ED18" s="15">
        <v>300</v>
      </c>
      <c r="EE18" s="15">
        <v>300</v>
      </c>
      <c r="EF18" s="15">
        <v>300</v>
      </c>
      <c r="EG18" s="15">
        <v>300</v>
      </c>
      <c r="EH18" s="15">
        <v>300</v>
      </c>
      <c r="EI18" s="15">
        <v>300</v>
      </c>
      <c r="EJ18" s="15">
        <v>300</v>
      </c>
      <c r="EK18" s="15">
        <v>300</v>
      </c>
      <c r="EL18" s="15">
        <v>300</v>
      </c>
      <c r="EM18" s="15">
        <v>300</v>
      </c>
      <c r="EN18" s="15">
        <v>300</v>
      </c>
      <c r="EO18" s="15">
        <v>300</v>
      </c>
      <c r="EP18" s="15">
        <v>300</v>
      </c>
      <c r="EQ18" s="15">
        <v>300</v>
      </c>
      <c r="ER18" s="15">
        <v>300</v>
      </c>
      <c r="ES18" s="15">
        <v>300</v>
      </c>
      <c r="ET18" s="15">
        <v>300</v>
      </c>
      <c r="EU18" s="15">
        <v>300</v>
      </c>
      <c r="EV18" s="15">
        <v>300</v>
      </c>
      <c r="EW18" s="15">
        <v>300</v>
      </c>
      <c r="EX18" s="15">
        <v>300</v>
      </c>
      <c r="EY18" s="15">
        <v>300</v>
      </c>
      <c r="EZ18" s="15">
        <v>300</v>
      </c>
      <c r="FA18" s="15">
        <v>300</v>
      </c>
      <c r="FB18" s="15">
        <v>300</v>
      </c>
      <c r="FC18" s="15">
        <v>300</v>
      </c>
      <c r="FD18" s="15"/>
      <c r="FE18" s="15">
        <v>300</v>
      </c>
      <c r="FF18" s="15">
        <v>300</v>
      </c>
      <c r="FG18" s="15">
        <v>300</v>
      </c>
      <c r="FH18" s="15">
        <v>300</v>
      </c>
      <c r="FI18" s="15">
        <v>300</v>
      </c>
      <c r="FJ18" s="15">
        <v>300</v>
      </c>
      <c r="FK18" s="15">
        <v>300</v>
      </c>
      <c r="FL18" s="15">
        <v>300</v>
      </c>
      <c r="FM18" s="15">
        <v>300</v>
      </c>
      <c r="FN18" s="15">
        <v>300</v>
      </c>
      <c r="FO18" s="15">
        <v>300</v>
      </c>
      <c r="FP18" s="15">
        <v>300</v>
      </c>
      <c r="FQ18" s="15">
        <v>300</v>
      </c>
      <c r="FR18" s="15">
        <v>300</v>
      </c>
      <c r="FS18" s="15">
        <v>300</v>
      </c>
      <c r="FT18" s="15">
        <v>300</v>
      </c>
      <c r="FU18" s="15">
        <v>300</v>
      </c>
      <c r="FV18" s="15">
        <v>300</v>
      </c>
      <c r="FW18" s="15">
        <v>300</v>
      </c>
      <c r="FX18" s="15">
        <v>300</v>
      </c>
      <c r="FY18" s="15">
        <v>300</v>
      </c>
      <c r="FZ18" s="15">
        <v>300</v>
      </c>
      <c r="GA18" s="15">
        <v>300</v>
      </c>
      <c r="GB18" s="15">
        <v>300</v>
      </c>
      <c r="GC18" s="15">
        <v>300</v>
      </c>
      <c r="GD18" s="15">
        <v>300</v>
      </c>
      <c r="GE18" s="15">
        <v>300</v>
      </c>
      <c r="GF18" s="15">
        <v>300</v>
      </c>
      <c r="GG18" s="15">
        <v>300</v>
      </c>
      <c r="GH18" s="15">
        <v>300</v>
      </c>
      <c r="GI18" s="15">
        <v>300</v>
      </c>
      <c r="GJ18" s="15">
        <v>300</v>
      </c>
      <c r="GK18" s="15">
        <v>300</v>
      </c>
      <c r="GL18" s="15">
        <v>300</v>
      </c>
      <c r="GM18" s="15">
        <v>300</v>
      </c>
      <c r="GN18" s="15">
        <v>300</v>
      </c>
      <c r="GO18" s="15">
        <v>300</v>
      </c>
      <c r="GP18" s="15">
        <v>300</v>
      </c>
      <c r="GQ18" s="15">
        <v>300</v>
      </c>
      <c r="GR18" s="15">
        <v>300</v>
      </c>
      <c r="GS18" s="15">
        <v>300</v>
      </c>
      <c r="GT18" s="15">
        <v>300</v>
      </c>
      <c r="GU18" s="15">
        <v>300</v>
      </c>
      <c r="GV18" s="15">
        <v>300</v>
      </c>
      <c r="GW18" s="15">
        <v>300</v>
      </c>
      <c r="GX18" s="15">
        <v>300</v>
      </c>
      <c r="GY18" s="15">
        <v>300</v>
      </c>
      <c r="GZ18" s="15">
        <v>300</v>
      </c>
      <c r="HA18" s="15">
        <v>300</v>
      </c>
      <c r="HB18" s="15">
        <v>300</v>
      </c>
      <c r="HC18" s="15">
        <v>300</v>
      </c>
      <c r="HD18" s="15">
        <v>300</v>
      </c>
      <c r="HE18" s="15">
        <v>300</v>
      </c>
      <c r="HF18" s="15">
        <v>300</v>
      </c>
      <c r="HG18" s="15">
        <v>300</v>
      </c>
      <c r="HH18" s="15">
        <v>300</v>
      </c>
      <c r="HI18" s="15">
        <v>300</v>
      </c>
      <c r="HJ18" s="15">
        <v>300</v>
      </c>
      <c r="HK18" s="15">
        <v>300</v>
      </c>
      <c r="HL18" s="15">
        <v>300</v>
      </c>
      <c r="HM18" s="15">
        <v>300</v>
      </c>
      <c r="HN18" s="15">
        <v>300</v>
      </c>
      <c r="HO18" s="15">
        <v>300</v>
      </c>
      <c r="HP18" s="15">
        <v>300</v>
      </c>
      <c r="HQ18" s="15">
        <v>300</v>
      </c>
      <c r="HR18" s="15">
        <v>300</v>
      </c>
      <c r="HS18" s="15">
        <v>300</v>
      </c>
      <c r="HT18" s="15">
        <v>300</v>
      </c>
      <c r="HU18" s="15">
        <v>300</v>
      </c>
      <c r="HV18" s="15">
        <v>300</v>
      </c>
      <c r="HW18" s="15">
        <v>300</v>
      </c>
      <c r="HX18" s="15">
        <v>300</v>
      </c>
      <c r="HY18" s="15">
        <v>300</v>
      </c>
      <c r="HZ18" s="15">
        <v>300</v>
      </c>
      <c r="IA18" s="15">
        <v>300</v>
      </c>
      <c r="IB18" s="15"/>
      <c r="IC18" s="15">
        <v>300</v>
      </c>
      <c r="ID18" s="15">
        <v>300</v>
      </c>
      <c r="IE18" s="15">
        <v>300</v>
      </c>
      <c r="IF18" s="15">
        <v>300</v>
      </c>
      <c r="IG18" s="15">
        <v>300</v>
      </c>
      <c r="IH18" s="15">
        <v>300</v>
      </c>
      <c r="II18" s="15">
        <v>300</v>
      </c>
      <c r="IJ18" s="15">
        <v>300</v>
      </c>
      <c r="IK18" s="15"/>
      <c r="IL18" s="15">
        <v>300</v>
      </c>
      <c r="IM18" s="15">
        <v>300</v>
      </c>
      <c r="IN18" s="15">
        <v>300</v>
      </c>
      <c r="IO18" s="15">
        <v>300</v>
      </c>
      <c r="IP18" s="15">
        <v>300</v>
      </c>
      <c r="IQ18" s="15">
        <v>300</v>
      </c>
      <c r="IR18" s="15">
        <v>300</v>
      </c>
      <c r="IS18" s="15">
        <v>300</v>
      </c>
      <c r="IT18" s="15">
        <v>300</v>
      </c>
      <c r="IU18" s="15">
        <v>300</v>
      </c>
      <c r="IV18" s="15">
        <v>300</v>
      </c>
      <c r="IW18" s="15">
        <v>300</v>
      </c>
      <c r="IX18" s="15">
        <v>300</v>
      </c>
      <c r="IY18" s="15">
        <v>300</v>
      </c>
      <c r="IZ18" s="15">
        <v>300</v>
      </c>
      <c r="JA18" s="15">
        <v>300</v>
      </c>
      <c r="JB18" s="15">
        <v>300</v>
      </c>
      <c r="JC18" s="15">
        <v>300</v>
      </c>
      <c r="JD18" s="15">
        <v>300</v>
      </c>
      <c r="JE18" s="15">
        <v>300</v>
      </c>
      <c r="JF18" s="15">
        <v>300</v>
      </c>
      <c r="JG18" s="15">
        <v>300</v>
      </c>
      <c r="JH18" s="15">
        <v>300</v>
      </c>
      <c r="JI18" s="15">
        <v>300</v>
      </c>
      <c r="JJ18" s="15">
        <v>300</v>
      </c>
      <c r="JK18" s="15">
        <v>300</v>
      </c>
      <c r="JL18" s="15">
        <v>300</v>
      </c>
      <c r="JM18" s="15">
        <v>300</v>
      </c>
      <c r="JN18" s="15">
        <v>300</v>
      </c>
      <c r="JO18" s="15">
        <v>300</v>
      </c>
      <c r="JP18" s="15">
        <v>300</v>
      </c>
      <c r="JQ18" s="15">
        <v>300</v>
      </c>
      <c r="JR18" s="15">
        <v>300</v>
      </c>
      <c r="JS18" s="15">
        <v>300</v>
      </c>
      <c r="JT18" s="15">
        <v>300</v>
      </c>
      <c r="JU18" s="15">
        <v>300</v>
      </c>
      <c r="JV18" s="15">
        <v>300</v>
      </c>
      <c r="JW18" s="15">
        <v>300</v>
      </c>
      <c r="JX18" s="15">
        <v>300</v>
      </c>
      <c r="JY18" s="15">
        <v>300</v>
      </c>
      <c r="JZ18" s="15">
        <v>300</v>
      </c>
      <c r="KA18" s="15">
        <v>300</v>
      </c>
      <c r="KB18" s="15">
        <v>300</v>
      </c>
      <c r="KC18" s="15">
        <v>300</v>
      </c>
      <c r="KD18" s="15">
        <v>300</v>
      </c>
      <c r="KE18" s="15">
        <v>300</v>
      </c>
      <c r="KF18" s="15">
        <v>300</v>
      </c>
      <c r="KG18" s="15">
        <v>300</v>
      </c>
      <c r="KH18" s="15">
        <v>300</v>
      </c>
      <c r="KI18" s="15">
        <v>300</v>
      </c>
      <c r="KJ18" s="15">
        <v>300</v>
      </c>
      <c r="KK18" s="15">
        <v>300</v>
      </c>
      <c r="KL18" s="15">
        <v>300</v>
      </c>
      <c r="KM18" s="15">
        <v>300</v>
      </c>
      <c r="KN18" s="15">
        <v>300</v>
      </c>
      <c r="KO18" s="15">
        <v>300</v>
      </c>
      <c r="KP18" s="15">
        <v>300</v>
      </c>
      <c r="KQ18" s="15">
        <v>300</v>
      </c>
      <c r="KR18" s="15">
        <v>300</v>
      </c>
      <c r="KS18" s="15">
        <v>300</v>
      </c>
      <c r="KT18" s="15">
        <v>300</v>
      </c>
      <c r="KU18" s="15">
        <v>300</v>
      </c>
      <c r="KV18" s="15">
        <v>300</v>
      </c>
      <c r="KW18" s="15">
        <v>300</v>
      </c>
      <c r="KX18" s="15">
        <v>300</v>
      </c>
      <c r="KY18" s="15">
        <v>300</v>
      </c>
      <c r="KZ18" s="15">
        <v>300</v>
      </c>
      <c r="LA18" s="15">
        <v>300</v>
      </c>
      <c r="LB18" s="15">
        <v>300</v>
      </c>
      <c r="LC18" s="15">
        <v>300</v>
      </c>
      <c r="LD18" s="15">
        <v>300</v>
      </c>
      <c r="LE18" s="15">
        <v>300</v>
      </c>
      <c r="LF18" s="15">
        <v>300</v>
      </c>
      <c r="LG18" s="15">
        <v>300</v>
      </c>
      <c r="LH18" s="15">
        <v>300</v>
      </c>
      <c r="LI18" s="15">
        <v>300</v>
      </c>
      <c r="LJ18" s="15">
        <v>300</v>
      </c>
      <c r="LK18" s="15">
        <v>300</v>
      </c>
      <c r="LL18" s="15">
        <v>300</v>
      </c>
      <c r="LM18" s="15">
        <v>300</v>
      </c>
      <c r="LN18" s="15">
        <v>300</v>
      </c>
      <c r="LO18" s="15">
        <v>300</v>
      </c>
      <c r="LP18" s="15">
        <v>300</v>
      </c>
      <c r="LQ18" s="15">
        <v>300</v>
      </c>
      <c r="LR18" s="15">
        <v>300</v>
      </c>
      <c r="LS18" s="15">
        <v>300</v>
      </c>
      <c r="LT18" s="15">
        <v>300</v>
      </c>
      <c r="LU18" s="15">
        <v>300</v>
      </c>
      <c r="LV18" s="15">
        <v>300</v>
      </c>
      <c r="LW18" s="15">
        <v>300</v>
      </c>
      <c r="LX18" s="15">
        <v>300</v>
      </c>
      <c r="LY18" s="15">
        <v>300</v>
      </c>
      <c r="LZ18" s="15">
        <v>300</v>
      </c>
      <c r="MA18" s="15">
        <v>300</v>
      </c>
      <c r="MB18" s="15">
        <v>300</v>
      </c>
      <c r="MC18" s="15">
        <v>300</v>
      </c>
      <c r="MD18" s="15">
        <v>300</v>
      </c>
      <c r="ME18" s="15">
        <v>300</v>
      </c>
      <c r="MF18" s="15">
        <v>300</v>
      </c>
      <c r="MG18" s="15">
        <v>300</v>
      </c>
      <c r="MH18" s="15">
        <v>300</v>
      </c>
      <c r="MI18" s="15">
        <v>300</v>
      </c>
      <c r="MJ18" s="15">
        <v>300</v>
      </c>
      <c r="MK18" s="15">
        <v>300</v>
      </c>
      <c r="ML18" s="15">
        <v>300</v>
      </c>
      <c r="MM18" s="15">
        <v>300</v>
      </c>
      <c r="MN18" s="15">
        <v>300</v>
      </c>
      <c r="MO18" s="15">
        <v>300</v>
      </c>
      <c r="MP18" s="15">
        <v>300</v>
      </c>
      <c r="MQ18" s="15">
        <v>300</v>
      </c>
      <c r="MR18" s="15">
        <v>300</v>
      </c>
      <c r="MS18" s="15">
        <v>300</v>
      </c>
      <c r="MT18" s="15">
        <v>300</v>
      </c>
      <c r="MU18" s="15">
        <v>300</v>
      </c>
      <c r="MV18" s="15">
        <v>300</v>
      </c>
      <c r="MW18" s="15">
        <v>300</v>
      </c>
      <c r="MX18" s="15">
        <v>300</v>
      </c>
      <c r="MY18" s="15">
        <v>300</v>
      </c>
      <c r="MZ18" s="15">
        <v>300</v>
      </c>
      <c r="NA18" s="15">
        <v>300</v>
      </c>
      <c r="NB18" s="15">
        <v>300</v>
      </c>
      <c r="NC18" s="15">
        <v>300</v>
      </c>
      <c r="ND18" s="15">
        <v>300</v>
      </c>
      <c r="NE18" s="15">
        <v>300</v>
      </c>
      <c r="NF18" s="15">
        <v>300</v>
      </c>
      <c r="NG18" s="15">
        <v>300</v>
      </c>
      <c r="NH18" s="15">
        <v>300</v>
      </c>
      <c r="NI18" s="15">
        <v>300</v>
      </c>
      <c r="NJ18" s="15">
        <v>300</v>
      </c>
      <c r="NK18" s="15">
        <v>300</v>
      </c>
      <c r="NL18" s="15">
        <v>300</v>
      </c>
      <c r="NM18" s="15">
        <v>300</v>
      </c>
      <c r="NN18" s="15">
        <v>300</v>
      </c>
      <c r="NO18" s="15">
        <v>300</v>
      </c>
      <c r="NP18" s="15">
        <v>300</v>
      </c>
      <c r="NQ18" s="15">
        <v>300</v>
      </c>
      <c r="NR18" s="15">
        <v>300</v>
      </c>
      <c r="NS18" s="15">
        <v>300</v>
      </c>
      <c r="NT18" s="15">
        <v>300</v>
      </c>
      <c r="NU18" s="15">
        <v>300</v>
      </c>
      <c r="NV18" s="15">
        <v>300</v>
      </c>
      <c r="NW18" s="15">
        <v>300</v>
      </c>
      <c r="NX18" s="15">
        <v>300</v>
      </c>
      <c r="NY18" s="15">
        <v>300</v>
      </c>
      <c r="NZ18" s="15">
        <v>300</v>
      </c>
      <c r="OA18" s="15">
        <v>300</v>
      </c>
      <c r="OB18" s="15">
        <v>300</v>
      </c>
      <c r="OC18" s="15">
        <v>300</v>
      </c>
      <c r="OD18" s="15">
        <v>300</v>
      </c>
      <c r="OE18" s="15">
        <v>300</v>
      </c>
      <c r="OF18" s="15">
        <v>300</v>
      </c>
      <c r="OG18" s="15">
        <v>300</v>
      </c>
      <c r="OH18" s="15">
        <v>300</v>
      </c>
      <c r="OI18" s="15">
        <v>300</v>
      </c>
      <c r="OJ18" s="15">
        <v>300</v>
      </c>
      <c r="OK18" s="15">
        <v>300</v>
      </c>
      <c r="OL18" s="15">
        <v>300</v>
      </c>
      <c r="OM18" s="15">
        <v>300</v>
      </c>
      <c r="ON18" s="15">
        <v>300</v>
      </c>
      <c r="OO18" s="15">
        <v>300</v>
      </c>
      <c r="OP18" s="15">
        <v>300</v>
      </c>
      <c r="OQ18" s="15">
        <v>300</v>
      </c>
      <c r="OR18" s="15">
        <v>300</v>
      </c>
      <c r="OS18" s="15">
        <v>300</v>
      </c>
      <c r="OT18" s="15">
        <v>300</v>
      </c>
      <c r="OU18" s="15">
        <v>300</v>
      </c>
      <c r="OV18" s="15">
        <v>300</v>
      </c>
      <c r="OW18" s="15">
        <v>300</v>
      </c>
      <c r="OX18" s="15">
        <v>300</v>
      </c>
      <c r="OY18" s="15">
        <v>300</v>
      </c>
      <c r="OZ18" s="15">
        <v>300</v>
      </c>
      <c r="PA18" s="15">
        <v>300</v>
      </c>
      <c r="PB18" s="15">
        <v>300</v>
      </c>
      <c r="PC18" s="15">
        <v>300</v>
      </c>
      <c r="PD18" s="15">
        <v>300</v>
      </c>
      <c r="PE18" s="15">
        <v>300</v>
      </c>
      <c r="PF18" s="15">
        <v>300</v>
      </c>
      <c r="PG18" s="15">
        <v>300</v>
      </c>
      <c r="PH18" s="15">
        <v>300</v>
      </c>
      <c r="PI18" s="15">
        <v>300</v>
      </c>
      <c r="PJ18" s="15">
        <v>300</v>
      </c>
      <c r="PK18" s="15">
        <v>300</v>
      </c>
      <c r="PL18" s="15">
        <v>300</v>
      </c>
      <c r="PM18" s="15">
        <v>300</v>
      </c>
      <c r="PN18" s="15">
        <v>300</v>
      </c>
      <c r="PO18" s="15">
        <v>300</v>
      </c>
      <c r="PP18" s="15">
        <v>300</v>
      </c>
      <c r="PQ18" s="15">
        <v>300</v>
      </c>
      <c r="PR18" s="15">
        <v>300</v>
      </c>
      <c r="PS18" s="15">
        <v>300</v>
      </c>
      <c r="PT18" s="15">
        <v>300</v>
      </c>
      <c r="PU18" s="15">
        <v>300</v>
      </c>
      <c r="PV18" s="15">
        <v>300</v>
      </c>
      <c r="PW18" s="15">
        <v>300</v>
      </c>
      <c r="PX18" s="15">
        <v>300</v>
      </c>
      <c r="PY18" s="15">
        <v>300</v>
      </c>
      <c r="PZ18" s="15">
        <v>300</v>
      </c>
      <c r="QA18" s="15">
        <v>300</v>
      </c>
      <c r="QB18" s="15">
        <v>300</v>
      </c>
      <c r="QC18" s="15">
        <v>300</v>
      </c>
      <c r="QD18" s="15">
        <v>300</v>
      </c>
      <c r="QE18" s="15">
        <v>300</v>
      </c>
      <c r="QF18" s="15">
        <v>300</v>
      </c>
      <c r="QG18" s="15">
        <v>300</v>
      </c>
      <c r="QH18" s="15">
        <v>300</v>
      </c>
      <c r="QI18" s="15">
        <v>300</v>
      </c>
      <c r="QJ18" s="15">
        <v>300</v>
      </c>
      <c r="QK18" s="15">
        <v>300</v>
      </c>
      <c r="QL18" s="15">
        <v>300</v>
      </c>
      <c r="QM18" s="15">
        <v>300</v>
      </c>
      <c r="QN18" s="15">
        <v>300</v>
      </c>
      <c r="QO18" s="15">
        <v>300</v>
      </c>
      <c r="QP18" s="15">
        <v>300</v>
      </c>
      <c r="QQ18" s="15">
        <v>300</v>
      </c>
      <c r="QR18" s="15">
        <v>300</v>
      </c>
      <c r="QS18" s="15">
        <v>300</v>
      </c>
      <c r="QT18" s="15">
        <v>300</v>
      </c>
      <c r="QU18" s="15">
        <v>300</v>
      </c>
      <c r="QV18" s="15">
        <v>300</v>
      </c>
      <c r="QW18" s="15">
        <v>300</v>
      </c>
      <c r="QX18" s="15">
        <v>300</v>
      </c>
      <c r="QY18" s="15">
        <v>300</v>
      </c>
      <c r="QZ18" s="15">
        <v>300</v>
      </c>
      <c r="RA18" s="15">
        <v>300</v>
      </c>
      <c r="RB18" s="15">
        <v>300</v>
      </c>
      <c r="RC18" s="15">
        <v>300</v>
      </c>
      <c r="RD18" s="15">
        <v>300</v>
      </c>
      <c r="RE18" s="15">
        <v>300</v>
      </c>
      <c r="RF18" s="15">
        <v>300</v>
      </c>
      <c r="RG18" s="15">
        <v>300</v>
      </c>
      <c r="RH18" s="15">
        <v>300</v>
      </c>
      <c r="RI18" s="15">
        <v>300</v>
      </c>
      <c r="RJ18" s="15">
        <v>300</v>
      </c>
      <c r="RK18" s="15">
        <v>300</v>
      </c>
      <c r="RL18" s="15">
        <v>300</v>
      </c>
      <c r="RM18" s="15">
        <v>300</v>
      </c>
      <c r="RN18" s="15">
        <v>300</v>
      </c>
      <c r="RO18" s="15">
        <v>300</v>
      </c>
      <c r="RP18" s="15">
        <v>300</v>
      </c>
      <c r="RQ18" s="15">
        <v>300</v>
      </c>
      <c r="RR18" s="15">
        <v>300</v>
      </c>
      <c r="RS18" s="15"/>
      <c r="RT18" s="15">
        <v>300</v>
      </c>
      <c r="RU18" s="15">
        <v>300</v>
      </c>
      <c r="RV18" s="15">
        <v>300</v>
      </c>
      <c r="RW18" s="15">
        <v>300</v>
      </c>
      <c r="RX18" s="15">
        <v>300</v>
      </c>
      <c r="RY18" s="15">
        <v>300</v>
      </c>
      <c r="RZ18" s="15">
        <v>300</v>
      </c>
      <c r="SA18" s="15">
        <v>300</v>
      </c>
      <c r="SB18" s="15">
        <v>300</v>
      </c>
      <c r="SC18" s="15">
        <v>300</v>
      </c>
      <c r="SD18" s="15">
        <v>300</v>
      </c>
      <c r="SE18" s="15">
        <v>300</v>
      </c>
      <c r="SF18" s="15">
        <v>300</v>
      </c>
      <c r="SG18" s="15">
        <v>300</v>
      </c>
      <c r="SH18" s="15">
        <v>300</v>
      </c>
      <c r="SI18" s="15">
        <v>300</v>
      </c>
      <c r="SJ18" s="15">
        <v>300</v>
      </c>
      <c r="SK18" s="15">
        <v>300</v>
      </c>
      <c r="SL18" s="15">
        <v>300</v>
      </c>
      <c r="SM18" s="15">
        <v>300</v>
      </c>
      <c r="SN18" s="15">
        <v>300</v>
      </c>
      <c r="SO18" s="15">
        <v>300</v>
      </c>
      <c r="SP18" s="15">
        <v>300</v>
      </c>
      <c r="SQ18" s="15">
        <v>300</v>
      </c>
      <c r="SR18" s="15">
        <v>300</v>
      </c>
      <c r="SS18" s="15">
        <v>300</v>
      </c>
      <c r="ST18" s="15">
        <v>300</v>
      </c>
      <c r="SU18" s="15">
        <v>300</v>
      </c>
      <c r="SV18" s="15">
        <v>300</v>
      </c>
      <c r="SW18" s="15">
        <v>300</v>
      </c>
      <c r="SX18" s="15">
        <v>300</v>
      </c>
      <c r="SY18" s="15">
        <v>300</v>
      </c>
      <c r="SZ18" s="15">
        <v>300</v>
      </c>
      <c r="TA18" s="15">
        <v>300</v>
      </c>
      <c r="TB18" s="15">
        <v>300</v>
      </c>
      <c r="TC18" s="15">
        <v>300</v>
      </c>
      <c r="TD18" s="15">
        <v>300</v>
      </c>
      <c r="TE18" s="15">
        <v>300</v>
      </c>
      <c r="TF18" s="15">
        <v>300</v>
      </c>
      <c r="TG18" s="15">
        <v>300</v>
      </c>
      <c r="TH18" s="15">
        <v>300</v>
      </c>
      <c r="TI18" s="15">
        <v>300</v>
      </c>
      <c r="TJ18" s="15">
        <v>300</v>
      </c>
      <c r="TK18" s="15">
        <v>300</v>
      </c>
      <c r="TL18" s="15">
        <v>300</v>
      </c>
      <c r="TM18" s="15">
        <v>300</v>
      </c>
      <c r="TN18" s="15">
        <v>300</v>
      </c>
      <c r="TO18" s="15">
        <v>300</v>
      </c>
      <c r="TP18" s="15">
        <v>300</v>
      </c>
      <c r="TQ18" s="15">
        <v>300</v>
      </c>
      <c r="TR18" s="15">
        <v>300</v>
      </c>
      <c r="TS18" s="15">
        <v>300</v>
      </c>
      <c r="TT18" s="15">
        <v>300</v>
      </c>
      <c r="TU18" s="15">
        <v>300</v>
      </c>
      <c r="TV18" s="15">
        <v>300</v>
      </c>
      <c r="TW18" s="15">
        <v>300</v>
      </c>
      <c r="TX18" s="15">
        <v>300</v>
      </c>
      <c r="TY18" s="15">
        <v>300</v>
      </c>
      <c r="TZ18" s="15">
        <v>300</v>
      </c>
      <c r="UA18" s="15">
        <v>300</v>
      </c>
      <c r="UB18" s="15">
        <v>300</v>
      </c>
      <c r="UC18" s="15">
        <v>300</v>
      </c>
      <c r="UD18" s="15">
        <v>300</v>
      </c>
      <c r="UE18" s="15">
        <v>300</v>
      </c>
      <c r="UF18" s="15">
        <v>300</v>
      </c>
      <c r="UG18" s="15">
        <v>300</v>
      </c>
      <c r="UH18" s="15">
        <v>300</v>
      </c>
      <c r="UI18" s="15">
        <v>300</v>
      </c>
      <c r="UJ18" s="15">
        <v>300</v>
      </c>
      <c r="UK18" s="15">
        <v>300</v>
      </c>
      <c r="UL18" s="15">
        <v>300</v>
      </c>
      <c r="UM18" s="15">
        <v>300</v>
      </c>
      <c r="UN18" s="15">
        <v>300</v>
      </c>
      <c r="UO18" s="15">
        <v>300</v>
      </c>
      <c r="UP18" s="15">
        <v>300</v>
      </c>
      <c r="UQ18" s="15">
        <v>300</v>
      </c>
      <c r="UR18" s="15">
        <v>300</v>
      </c>
      <c r="US18" s="15">
        <v>300</v>
      </c>
      <c r="UT18" s="15">
        <v>300</v>
      </c>
      <c r="UU18" s="15">
        <v>300</v>
      </c>
      <c r="UV18" s="15">
        <v>300</v>
      </c>
      <c r="UW18" s="15">
        <v>300</v>
      </c>
      <c r="UX18" s="15">
        <v>300</v>
      </c>
      <c r="UY18" s="15">
        <v>300</v>
      </c>
      <c r="UZ18" s="15">
        <v>300</v>
      </c>
      <c r="VA18" s="15">
        <v>300</v>
      </c>
      <c r="VB18" s="15">
        <v>300</v>
      </c>
      <c r="VC18" s="15">
        <v>300</v>
      </c>
      <c r="VD18" s="15">
        <v>300</v>
      </c>
      <c r="VE18" s="15">
        <v>300</v>
      </c>
      <c r="VF18" s="15">
        <v>300</v>
      </c>
      <c r="VG18" s="15">
        <v>300</v>
      </c>
      <c r="VH18" s="15">
        <v>300</v>
      </c>
      <c r="VI18" s="15">
        <v>300</v>
      </c>
      <c r="VJ18" s="15">
        <v>300</v>
      </c>
      <c r="VK18" s="15">
        <v>300</v>
      </c>
      <c r="VL18" s="15">
        <v>300</v>
      </c>
      <c r="VM18" s="15">
        <v>300</v>
      </c>
      <c r="VN18" s="15">
        <v>300</v>
      </c>
      <c r="VO18" s="15">
        <v>300</v>
      </c>
      <c r="VP18" s="15">
        <v>300</v>
      </c>
      <c r="VQ18" s="15">
        <v>300</v>
      </c>
      <c r="VR18" s="15">
        <v>300</v>
      </c>
      <c r="VS18" s="15">
        <v>300</v>
      </c>
      <c r="VT18" s="15">
        <v>300</v>
      </c>
      <c r="VU18" s="15">
        <v>300</v>
      </c>
      <c r="VV18" s="15">
        <v>300</v>
      </c>
      <c r="VW18" s="15">
        <v>300</v>
      </c>
      <c r="VX18" s="15">
        <v>300</v>
      </c>
      <c r="VY18" s="15">
        <v>300</v>
      </c>
      <c r="VZ18" s="15">
        <v>300</v>
      </c>
      <c r="WA18" s="15">
        <v>300</v>
      </c>
      <c r="WB18" s="15">
        <v>300</v>
      </c>
      <c r="WC18" s="15">
        <v>300</v>
      </c>
      <c r="WD18" s="15">
        <v>300</v>
      </c>
      <c r="WE18" s="15">
        <v>300</v>
      </c>
      <c r="WF18" s="15">
        <v>300</v>
      </c>
      <c r="WG18" s="15">
        <v>300</v>
      </c>
      <c r="WH18" s="15">
        <v>300</v>
      </c>
      <c r="WI18" s="15">
        <v>300</v>
      </c>
      <c r="WJ18" s="15">
        <v>300</v>
      </c>
      <c r="WK18" s="15">
        <v>300</v>
      </c>
      <c r="WL18" s="15">
        <v>300</v>
      </c>
      <c r="WM18" s="15">
        <v>300</v>
      </c>
      <c r="WN18" s="15">
        <v>300</v>
      </c>
      <c r="WO18" s="15">
        <v>300</v>
      </c>
      <c r="WP18" s="15">
        <v>300</v>
      </c>
      <c r="WQ18" s="15">
        <v>300</v>
      </c>
      <c r="WR18" s="15">
        <v>300</v>
      </c>
      <c r="WS18" s="15">
        <v>300</v>
      </c>
      <c r="WT18" s="15">
        <v>300</v>
      </c>
      <c r="WU18" s="15">
        <v>300</v>
      </c>
      <c r="WV18" s="15">
        <v>300</v>
      </c>
      <c r="WW18" s="15">
        <v>300</v>
      </c>
      <c r="WX18" s="15">
        <v>300</v>
      </c>
      <c r="WY18" s="15">
        <v>300</v>
      </c>
      <c r="WZ18" s="15">
        <v>300</v>
      </c>
      <c r="XA18" s="15">
        <v>300</v>
      </c>
      <c r="XB18" s="15">
        <v>300</v>
      </c>
      <c r="XC18" s="15">
        <v>300</v>
      </c>
      <c r="XD18" s="15">
        <v>300</v>
      </c>
      <c r="XE18" s="15">
        <v>300</v>
      </c>
      <c r="XF18" s="15">
        <v>300</v>
      </c>
      <c r="XG18" s="15">
        <v>300</v>
      </c>
      <c r="XH18" s="15">
        <v>300</v>
      </c>
      <c r="XI18" s="15">
        <v>300</v>
      </c>
      <c r="XJ18" s="15">
        <v>300</v>
      </c>
      <c r="XK18" s="15">
        <v>300</v>
      </c>
      <c r="XL18" s="15">
        <v>300</v>
      </c>
      <c r="XM18" s="15">
        <v>300</v>
      </c>
      <c r="XN18" s="15">
        <v>300</v>
      </c>
      <c r="XO18" s="15">
        <v>300</v>
      </c>
      <c r="XP18" s="15">
        <v>300</v>
      </c>
      <c r="XQ18" s="15">
        <v>300</v>
      </c>
      <c r="XR18" s="15">
        <v>300</v>
      </c>
      <c r="XS18" s="15">
        <v>300</v>
      </c>
      <c r="XT18" s="15">
        <v>300</v>
      </c>
      <c r="XU18" s="15">
        <v>300</v>
      </c>
      <c r="XV18" s="15">
        <v>300</v>
      </c>
      <c r="XW18" s="15">
        <v>300</v>
      </c>
      <c r="XX18" s="15">
        <v>300</v>
      </c>
      <c r="XY18" s="15">
        <v>300</v>
      </c>
      <c r="XZ18" s="15">
        <v>300</v>
      </c>
      <c r="YA18" s="15">
        <v>300</v>
      </c>
      <c r="YB18" s="15">
        <v>300</v>
      </c>
      <c r="YC18" s="15">
        <v>300</v>
      </c>
      <c r="YD18" s="15">
        <v>300</v>
      </c>
      <c r="YE18" s="15">
        <v>300</v>
      </c>
      <c r="YF18" s="15">
        <v>300</v>
      </c>
      <c r="YG18" s="15">
        <v>300</v>
      </c>
      <c r="YH18" s="15">
        <v>300</v>
      </c>
      <c r="YI18" s="15">
        <v>300</v>
      </c>
      <c r="YJ18" s="15">
        <v>300</v>
      </c>
      <c r="YK18" s="15">
        <v>300</v>
      </c>
      <c r="YL18" s="15">
        <v>300</v>
      </c>
      <c r="YM18" s="15">
        <v>300</v>
      </c>
      <c r="YN18" s="15">
        <v>300</v>
      </c>
      <c r="YO18" s="15">
        <v>300</v>
      </c>
      <c r="YP18" s="15">
        <v>300</v>
      </c>
      <c r="YQ18" s="15">
        <v>300</v>
      </c>
      <c r="YR18" s="15">
        <v>300</v>
      </c>
      <c r="YS18" s="15">
        <v>300</v>
      </c>
      <c r="YT18" s="15">
        <v>300</v>
      </c>
      <c r="YU18" s="15">
        <v>300</v>
      </c>
      <c r="YV18" s="15">
        <v>300</v>
      </c>
      <c r="YW18" s="15">
        <v>300</v>
      </c>
      <c r="YX18" s="15">
        <v>300</v>
      </c>
      <c r="YY18" s="15">
        <v>300</v>
      </c>
      <c r="YZ18" s="15">
        <v>300</v>
      </c>
      <c r="ZA18" s="15">
        <v>300</v>
      </c>
      <c r="ZB18" s="15">
        <v>300</v>
      </c>
      <c r="ZC18" s="15">
        <v>300</v>
      </c>
      <c r="ZD18" s="15">
        <v>300</v>
      </c>
      <c r="ZE18" s="15">
        <v>300</v>
      </c>
      <c r="ZF18" s="15">
        <v>300</v>
      </c>
      <c r="ZG18" s="15">
        <v>300</v>
      </c>
      <c r="ZH18" s="15">
        <v>300</v>
      </c>
      <c r="ZI18" s="15">
        <v>300</v>
      </c>
      <c r="ZJ18" s="15">
        <v>300</v>
      </c>
      <c r="ZK18" s="15">
        <v>300</v>
      </c>
      <c r="ZL18" s="15">
        <v>300</v>
      </c>
      <c r="ZM18" s="15">
        <v>300</v>
      </c>
      <c r="ZN18" s="15">
        <v>300</v>
      </c>
      <c r="ZO18" s="15">
        <v>300</v>
      </c>
      <c r="ZP18" s="15">
        <v>300</v>
      </c>
      <c r="ZQ18" s="15">
        <v>300</v>
      </c>
      <c r="ZR18" s="15">
        <v>300</v>
      </c>
      <c r="ZS18" s="15">
        <v>300</v>
      </c>
      <c r="ZT18" s="15">
        <v>300</v>
      </c>
      <c r="ZU18" s="15">
        <v>300</v>
      </c>
      <c r="ZV18" s="15">
        <v>300</v>
      </c>
      <c r="ZW18" s="15">
        <v>300</v>
      </c>
      <c r="ZX18" s="15">
        <v>300</v>
      </c>
      <c r="ZY18" s="15">
        <v>300</v>
      </c>
      <c r="ZZ18" s="15">
        <v>300</v>
      </c>
      <c r="AAA18" s="15">
        <v>300</v>
      </c>
      <c r="AAB18" s="15">
        <v>300</v>
      </c>
      <c r="AAC18" s="15">
        <v>300</v>
      </c>
      <c r="AAD18" s="15">
        <v>300</v>
      </c>
      <c r="AAE18" s="15">
        <v>300</v>
      </c>
      <c r="AAF18" s="15">
        <v>300</v>
      </c>
      <c r="AAG18" s="15">
        <v>300</v>
      </c>
      <c r="AAH18" s="15">
        <v>300</v>
      </c>
      <c r="AAI18" s="15">
        <v>300</v>
      </c>
      <c r="AAJ18" s="15">
        <v>300</v>
      </c>
      <c r="AAK18" s="15">
        <v>300</v>
      </c>
      <c r="AAL18" s="15"/>
      <c r="AAM18" s="15">
        <v>300</v>
      </c>
      <c r="AAN18" s="15">
        <v>300</v>
      </c>
      <c r="AAO18" s="15">
        <v>300</v>
      </c>
      <c r="AAP18" s="15">
        <v>300</v>
      </c>
      <c r="AAQ18" s="15">
        <v>300</v>
      </c>
      <c r="AAR18" s="15">
        <v>300</v>
      </c>
      <c r="AAS18" s="15">
        <v>300</v>
      </c>
      <c r="AAT18" s="15">
        <v>300</v>
      </c>
      <c r="AAU18" s="15">
        <v>300</v>
      </c>
      <c r="AAV18" s="15">
        <v>300</v>
      </c>
      <c r="AAW18" s="15">
        <v>300</v>
      </c>
      <c r="AAX18" s="15"/>
      <c r="AAY18" s="15">
        <v>300</v>
      </c>
      <c r="AAZ18" s="15">
        <v>300</v>
      </c>
      <c r="ABA18" s="15">
        <v>300</v>
      </c>
      <c r="ABB18" s="15">
        <v>300</v>
      </c>
      <c r="ABC18" s="15">
        <v>300</v>
      </c>
      <c r="ABD18" s="15">
        <v>300</v>
      </c>
      <c r="ABE18" s="15">
        <v>300</v>
      </c>
      <c r="ABF18" s="15">
        <v>300</v>
      </c>
      <c r="ABG18" s="15">
        <v>300</v>
      </c>
      <c r="ABH18" s="15">
        <v>300</v>
      </c>
      <c r="ABI18" s="15">
        <v>300</v>
      </c>
      <c r="ABJ18" s="15">
        <v>300</v>
      </c>
      <c r="ABK18" s="15">
        <v>300</v>
      </c>
      <c r="ABL18" s="15">
        <v>300</v>
      </c>
      <c r="ABM18" s="15">
        <v>300</v>
      </c>
      <c r="ABN18" s="15">
        <v>300</v>
      </c>
      <c r="ABO18" s="15">
        <v>300</v>
      </c>
      <c r="ABP18" s="15">
        <v>300</v>
      </c>
      <c r="ABQ18" s="15">
        <v>300</v>
      </c>
      <c r="ABR18" s="15">
        <v>300</v>
      </c>
      <c r="ABS18" s="15">
        <v>300</v>
      </c>
      <c r="ABT18" s="15">
        <v>300</v>
      </c>
      <c r="ABU18" s="15">
        <v>300</v>
      </c>
      <c r="ABV18" s="15">
        <v>300</v>
      </c>
      <c r="ABW18" s="15">
        <v>300</v>
      </c>
      <c r="ABX18" s="15">
        <v>300</v>
      </c>
      <c r="ABY18" s="15">
        <v>300</v>
      </c>
      <c r="ABZ18" s="15">
        <v>300</v>
      </c>
      <c r="ACA18" s="15">
        <v>300</v>
      </c>
      <c r="ACB18" s="15">
        <v>300</v>
      </c>
      <c r="ACC18" s="15">
        <v>300</v>
      </c>
      <c r="ACD18" s="15">
        <v>300</v>
      </c>
      <c r="ACE18" s="15">
        <v>300</v>
      </c>
      <c r="ACF18" s="15">
        <v>300</v>
      </c>
      <c r="ACG18" s="15">
        <v>300</v>
      </c>
      <c r="ACH18" s="15">
        <v>300</v>
      </c>
      <c r="ACI18" s="15">
        <v>300</v>
      </c>
      <c r="ACJ18" s="15">
        <v>300</v>
      </c>
      <c r="ACK18" s="15">
        <v>300</v>
      </c>
      <c r="ACL18" s="15">
        <v>300</v>
      </c>
      <c r="ACM18" s="15">
        <v>300</v>
      </c>
      <c r="ACN18" s="15">
        <v>300</v>
      </c>
      <c r="ACO18" s="15">
        <v>300</v>
      </c>
      <c r="ACP18" s="15">
        <v>300</v>
      </c>
      <c r="ACQ18" s="15">
        <v>300</v>
      </c>
      <c r="ACR18" s="15">
        <v>300</v>
      </c>
      <c r="ACS18" s="15">
        <v>300</v>
      </c>
      <c r="ACT18" s="15">
        <v>300</v>
      </c>
      <c r="ACU18" s="15">
        <v>300</v>
      </c>
      <c r="ACV18" s="15">
        <v>300</v>
      </c>
      <c r="ACW18" s="15">
        <v>300</v>
      </c>
      <c r="ACX18" s="15">
        <v>300</v>
      </c>
      <c r="ACY18" s="15">
        <v>300</v>
      </c>
      <c r="ACZ18" s="15">
        <v>300</v>
      </c>
      <c r="ADA18" s="15">
        <v>300</v>
      </c>
      <c r="ADB18" s="15">
        <v>300</v>
      </c>
      <c r="ADC18" s="15">
        <v>300</v>
      </c>
      <c r="ADD18" s="15">
        <v>300</v>
      </c>
      <c r="ADE18" s="15">
        <v>300</v>
      </c>
      <c r="ADF18" s="15">
        <v>300</v>
      </c>
      <c r="ADG18" s="15">
        <v>300</v>
      </c>
      <c r="ADH18" s="15"/>
      <c r="ADI18" s="15">
        <v>300</v>
      </c>
      <c r="ADJ18" s="15">
        <v>300</v>
      </c>
      <c r="ADK18" s="15">
        <v>300</v>
      </c>
      <c r="ADL18" s="15">
        <v>300</v>
      </c>
      <c r="ADM18" s="15">
        <v>300</v>
      </c>
      <c r="ADN18" s="15">
        <v>300</v>
      </c>
      <c r="ADO18" s="15">
        <v>300</v>
      </c>
      <c r="ADP18" s="15">
        <v>300</v>
      </c>
      <c r="ADQ18" s="15">
        <v>300</v>
      </c>
      <c r="ADR18" s="15">
        <v>300</v>
      </c>
      <c r="ADS18" s="15">
        <v>300</v>
      </c>
      <c r="ADT18" s="15">
        <v>300</v>
      </c>
      <c r="ADU18" s="15">
        <v>300</v>
      </c>
      <c r="ADV18" s="15">
        <v>300</v>
      </c>
      <c r="ADW18" s="15">
        <v>300</v>
      </c>
      <c r="ADX18" s="15">
        <v>300</v>
      </c>
      <c r="ADY18" s="15">
        <v>300</v>
      </c>
      <c r="ADZ18" s="15">
        <v>300</v>
      </c>
      <c r="AEA18" s="15">
        <v>300</v>
      </c>
      <c r="AEB18" s="15">
        <v>300</v>
      </c>
      <c r="AEC18" s="15">
        <v>300</v>
      </c>
      <c r="AED18" s="15">
        <v>300</v>
      </c>
      <c r="AEE18" s="15">
        <v>300</v>
      </c>
      <c r="AEF18" s="15">
        <v>300</v>
      </c>
      <c r="AEG18" s="15">
        <v>300</v>
      </c>
      <c r="AEH18" s="15">
        <v>300</v>
      </c>
      <c r="AEI18" s="15">
        <v>300</v>
      </c>
      <c r="AEJ18" s="15">
        <v>300</v>
      </c>
      <c r="AEK18" s="15">
        <v>300</v>
      </c>
      <c r="AEL18" s="15">
        <v>300</v>
      </c>
      <c r="AEM18" s="15">
        <v>300</v>
      </c>
      <c r="AEN18" s="15">
        <v>300</v>
      </c>
      <c r="AEO18" s="15">
        <v>300</v>
      </c>
      <c r="AEP18" s="15">
        <v>300</v>
      </c>
      <c r="AEQ18" s="15">
        <v>300</v>
      </c>
      <c r="AER18" s="15">
        <v>300</v>
      </c>
      <c r="AES18" s="15">
        <v>300</v>
      </c>
      <c r="AET18" s="15">
        <v>300</v>
      </c>
      <c r="AEU18" s="15">
        <v>300</v>
      </c>
      <c r="AEV18" s="15">
        <v>300</v>
      </c>
      <c r="AEW18" s="15">
        <v>300</v>
      </c>
      <c r="AEX18" s="15">
        <v>300</v>
      </c>
      <c r="AEY18" s="15">
        <v>300</v>
      </c>
      <c r="AEZ18" s="15">
        <v>300</v>
      </c>
      <c r="AFA18" s="15">
        <v>300</v>
      </c>
      <c r="AFB18" s="15">
        <v>300</v>
      </c>
      <c r="AFC18" s="15">
        <v>300</v>
      </c>
      <c r="AFD18" s="15">
        <v>300</v>
      </c>
      <c r="AFE18" s="15">
        <v>300</v>
      </c>
      <c r="AFF18" s="15">
        <v>300</v>
      </c>
      <c r="AFG18" s="15">
        <v>300</v>
      </c>
      <c r="AFH18" s="15">
        <v>300</v>
      </c>
      <c r="AFI18" s="15">
        <v>300</v>
      </c>
      <c r="AFJ18" s="15">
        <v>300</v>
      </c>
      <c r="AFK18" s="15">
        <v>300</v>
      </c>
      <c r="AFL18" s="15">
        <v>300</v>
      </c>
      <c r="AFM18" s="15">
        <v>300</v>
      </c>
      <c r="AFN18" s="15">
        <v>300</v>
      </c>
      <c r="AFO18" s="15">
        <v>300</v>
      </c>
      <c r="AFP18" s="15">
        <v>300</v>
      </c>
      <c r="AFQ18" s="15">
        <v>300</v>
      </c>
      <c r="AFR18" s="15"/>
      <c r="AFS18" s="15">
        <v>300</v>
      </c>
      <c r="AFT18" s="15">
        <v>300</v>
      </c>
      <c r="AFU18" s="15">
        <v>300</v>
      </c>
      <c r="AFV18" s="15">
        <v>300</v>
      </c>
      <c r="AFW18" s="15">
        <v>300</v>
      </c>
      <c r="AFX18" s="15">
        <v>300</v>
      </c>
      <c r="AFY18" s="15">
        <v>300</v>
      </c>
      <c r="AFZ18" s="15">
        <v>300</v>
      </c>
      <c r="AGA18" s="15">
        <v>300</v>
      </c>
      <c r="AGB18" s="15">
        <v>300</v>
      </c>
      <c r="AGC18" s="15">
        <v>300</v>
      </c>
      <c r="AGD18" s="15">
        <v>300</v>
      </c>
      <c r="AGE18" s="15">
        <v>300</v>
      </c>
      <c r="AGF18" s="15">
        <v>300</v>
      </c>
      <c r="AGG18" s="15">
        <v>300</v>
      </c>
      <c r="AGH18" s="15">
        <v>300</v>
      </c>
      <c r="AGI18" s="15">
        <v>300</v>
      </c>
      <c r="AGJ18" s="15">
        <v>300</v>
      </c>
      <c r="AGK18" s="15">
        <v>300</v>
      </c>
      <c r="AGL18" s="15">
        <v>300</v>
      </c>
      <c r="AGM18" s="15">
        <v>300</v>
      </c>
      <c r="AGN18" s="15">
        <v>300</v>
      </c>
      <c r="AGO18" s="15">
        <v>300</v>
      </c>
      <c r="AGP18" s="15">
        <v>300</v>
      </c>
      <c r="AGQ18" s="15">
        <v>300</v>
      </c>
      <c r="AGR18" s="15">
        <v>300</v>
      </c>
      <c r="AGS18" s="15">
        <v>300</v>
      </c>
      <c r="AGT18" s="15">
        <v>300</v>
      </c>
      <c r="AGU18" s="15">
        <v>300</v>
      </c>
      <c r="AGV18" s="15">
        <v>300</v>
      </c>
      <c r="AGW18" s="15">
        <v>300</v>
      </c>
      <c r="AGX18" s="15">
        <v>300</v>
      </c>
      <c r="AGY18" s="15">
        <v>300</v>
      </c>
      <c r="AGZ18" s="15">
        <v>300</v>
      </c>
      <c r="AHA18" s="15">
        <v>300</v>
      </c>
      <c r="AHB18" s="15">
        <v>300</v>
      </c>
      <c r="AHC18" s="15">
        <v>300</v>
      </c>
      <c r="AHD18" s="15">
        <v>300</v>
      </c>
      <c r="AHE18" s="15">
        <v>300</v>
      </c>
      <c r="AHF18" s="15">
        <v>300</v>
      </c>
      <c r="AHG18" s="15">
        <v>300</v>
      </c>
      <c r="AHH18" s="15">
        <v>300</v>
      </c>
      <c r="AHI18" s="15">
        <v>300</v>
      </c>
      <c r="AHJ18" s="15">
        <v>300</v>
      </c>
      <c r="AHK18" s="15">
        <v>300</v>
      </c>
      <c r="AHL18" s="15">
        <v>300</v>
      </c>
      <c r="AHM18" s="15">
        <v>300</v>
      </c>
      <c r="AHN18" s="15">
        <v>300</v>
      </c>
      <c r="AHO18" s="15">
        <v>300</v>
      </c>
      <c r="AHP18" s="15">
        <v>300</v>
      </c>
      <c r="AHQ18" s="15">
        <v>300</v>
      </c>
      <c r="AHR18" s="15">
        <v>300</v>
      </c>
      <c r="AHS18" s="15">
        <v>300</v>
      </c>
      <c r="AHT18" s="15">
        <v>300</v>
      </c>
      <c r="AHU18" s="15">
        <v>300</v>
      </c>
      <c r="AHV18" s="15">
        <v>300</v>
      </c>
      <c r="AHW18" s="15">
        <v>300</v>
      </c>
      <c r="AHX18" s="15">
        <v>300</v>
      </c>
      <c r="AHY18" s="15">
        <v>300</v>
      </c>
      <c r="AHZ18" s="15">
        <v>300</v>
      </c>
      <c r="AIA18" s="15">
        <v>300</v>
      </c>
      <c r="AIB18" s="15">
        <v>300</v>
      </c>
      <c r="AIC18" s="15">
        <v>300</v>
      </c>
      <c r="AID18" s="15">
        <v>300</v>
      </c>
      <c r="AIE18" s="15">
        <v>300</v>
      </c>
      <c r="AIF18" s="15">
        <v>300</v>
      </c>
      <c r="AIG18" s="15">
        <v>300</v>
      </c>
      <c r="AIH18" s="15">
        <v>300</v>
      </c>
      <c r="AII18" s="15">
        <v>300</v>
      </c>
      <c r="AIJ18" s="15">
        <v>300</v>
      </c>
      <c r="AIK18" s="15">
        <v>300</v>
      </c>
      <c r="AIL18" s="15">
        <v>300</v>
      </c>
      <c r="AIM18" s="15">
        <v>300</v>
      </c>
      <c r="AIN18" s="15">
        <v>300</v>
      </c>
      <c r="AIO18" s="15">
        <v>300</v>
      </c>
      <c r="AIP18" s="15">
        <v>300</v>
      </c>
      <c r="AIQ18" s="15">
        <v>300</v>
      </c>
      <c r="AIR18" s="15">
        <v>300</v>
      </c>
      <c r="AIS18" s="15">
        <v>300</v>
      </c>
      <c r="AIT18" s="15">
        <v>300</v>
      </c>
      <c r="AIU18" s="15">
        <v>300</v>
      </c>
      <c r="AIV18" s="15">
        <v>300</v>
      </c>
      <c r="AIW18" s="15">
        <v>300</v>
      </c>
      <c r="AIX18" s="15">
        <v>300</v>
      </c>
      <c r="AIY18" s="15">
        <v>300</v>
      </c>
      <c r="AIZ18" s="15">
        <v>300</v>
      </c>
      <c r="AJA18" s="15">
        <v>300</v>
      </c>
      <c r="AJB18" s="15">
        <v>300</v>
      </c>
      <c r="AJC18" s="15">
        <v>300</v>
      </c>
      <c r="AJD18" s="15">
        <v>300</v>
      </c>
      <c r="AJE18" s="15">
        <v>300</v>
      </c>
      <c r="AJF18" s="15"/>
      <c r="AJG18" s="15">
        <v>300</v>
      </c>
      <c r="AJH18" s="15">
        <v>300</v>
      </c>
      <c r="AJI18" s="15">
        <v>300</v>
      </c>
      <c r="AJJ18" s="15">
        <v>300</v>
      </c>
      <c r="AJK18" s="15">
        <v>300</v>
      </c>
      <c r="AJL18" s="15">
        <v>300</v>
      </c>
      <c r="AJM18" s="15">
        <v>300</v>
      </c>
      <c r="AJN18" s="15"/>
      <c r="AJO18" s="15">
        <v>300</v>
      </c>
      <c r="AJP18" s="15">
        <v>300</v>
      </c>
      <c r="AJQ18" s="15">
        <v>300</v>
      </c>
      <c r="AJR18" s="15">
        <v>300</v>
      </c>
      <c r="AJS18" s="15">
        <v>300</v>
      </c>
      <c r="AJT18" s="15">
        <v>300</v>
      </c>
      <c r="AJU18" s="15">
        <v>300</v>
      </c>
      <c r="AJV18" s="15">
        <v>300</v>
      </c>
      <c r="AJW18" s="15">
        <v>300</v>
      </c>
      <c r="AJX18" s="15"/>
      <c r="AJY18" s="15">
        <v>300</v>
      </c>
      <c r="AJZ18" s="15">
        <v>300</v>
      </c>
      <c r="AKA18" s="15">
        <v>300</v>
      </c>
      <c r="AKB18" s="15">
        <v>300</v>
      </c>
      <c r="AKC18" s="15">
        <v>300</v>
      </c>
      <c r="AKD18" s="15">
        <v>300</v>
      </c>
      <c r="AKE18" s="15">
        <v>300</v>
      </c>
      <c r="AKF18" s="15">
        <v>300</v>
      </c>
      <c r="AKG18" s="15">
        <v>300</v>
      </c>
      <c r="AKH18" s="15">
        <v>300</v>
      </c>
      <c r="AKI18" s="15"/>
      <c r="AKJ18" s="15">
        <v>300</v>
      </c>
      <c r="AKK18" s="15">
        <v>300</v>
      </c>
      <c r="AKL18" s="15">
        <v>300</v>
      </c>
      <c r="AKM18" s="15">
        <v>300</v>
      </c>
      <c r="AKN18" s="15">
        <v>300</v>
      </c>
      <c r="AKO18" s="15">
        <v>300</v>
      </c>
      <c r="AKP18" s="15">
        <v>300</v>
      </c>
      <c r="AKQ18" s="15">
        <v>300</v>
      </c>
      <c r="AKR18" s="15">
        <v>300</v>
      </c>
      <c r="AKS18" s="15">
        <v>300</v>
      </c>
      <c r="AKT18" s="15">
        <v>300</v>
      </c>
      <c r="AKU18" s="15">
        <v>300</v>
      </c>
      <c r="AKV18" s="15">
        <v>300</v>
      </c>
      <c r="AKW18" s="15">
        <v>300</v>
      </c>
      <c r="AKX18" s="15"/>
      <c r="AKY18" s="15">
        <v>300</v>
      </c>
      <c r="AKZ18" s="15">
        <v>300</v>
      </c>
      <c r="ALA18" s="15">
        <v>300</v>
      </c>
      <c r="ALB18" s="15">
        <v>300</v>
      </c>
      <c r="ALC18" s="15">
        <v>300</v>
      </c>
      <c r="ALD18" s="15">
        <v>300</v>
      </c>
      <c r="ALE18" s="15">
        <v>300</v>
      </c>
      <c r="ALF18" s="15">
        <v>300</v>
      </c>
      <c r="ALG18" s="15">
        <v>300</v>
      </c>
      <c r="ALH18" s="15">
        <v>300</v>
      </c>
      <c r="ALI18" s="15">
        <v>300</v>
      </c>
      <c r="ALJ18" s="15">
        <v>300</v>
      </c>
      <c r="ALK18" s="15">
        <v>300</v>
      </c>
      <c r="ALL18" s="15">
        <v>300</v>
      </c>
      <c r="ALM18" s="15"/>
      <c r="ALN18" s="15">
        <v>300</v>
      </c>
      <c r="ALO18" s="15">
        <v>300</v>
      </c>
      <c r="ALP18" s="15">
        <v>300</v>
      </c>
      <c r="ALQ18" s="15">
        <v>300</v>
      </c>
      <c r="ALR18" s="15">
        <v>300</v>
      </c>
      <c r="ALS18" s="15">
        <v>300</v>
      </c>
      <c r="ALT18" s="15">
        <v>300</v>
      </c>
      <c r="ALU18" s="15">
        <v>300</v>
      </c>
      <c r="ALV18" s="15">
        <v>300</v>
      </c>
      <c r="ALW18" s="15">
        <v>300</v>
      </c>
      <c r="ALX18" s="15">
        <v>300</v>
      </c>
      <c r="ALY18" s="15">
        <v>300</v>
      </c>
      <c r="ALZ18" s="15">
        <v>300</v>
      </c>
      <c r="AMA18" s="15">
        <v>300</v>
      </c>
      <c r="AMB18" s="15">
        <v>300</v>
      </c>
      <c r="AMC18" s="15"/>
      <c r="AMD18" s="15">
        <v>300</v>
      </c>
      <c r="AME18" s="15">
        <v>300</v>
      </c>
      <c r="AMF18" s="15">
        <v>300</v>
      </c>
      <c r="AMG18" s="15">
        <v>300</v>
      </c>
      <c r="AMH18" s="15">
        <v>300</v>
      </c>
      <c r="AMI18" s="15">
        <v>300</v>
      </c>
      <c r="AMJ18" s="15">
        <v>300</v>
      </c>
      <c r="AMK18" s="15">
        <v>300</v>
      </c>
      <c r="AML18" s="15">
        <v>300</v>
      </c>
      <c r="AMM18" s="15">
        <v>300</v>
      </c>
      <c r="AMN18" s="15">
        <v>300</v>
      </c>
      <c r="AMO18" s="15">
        <v>300</v>
      </c>
      <c r="AMP18" s="15">
        <v>300</v>
      </c>
      <c r="AMQ18" s="15">
        <v>300</v>
      </c>
      <c r="AMR18" s="15">
        <v>300</v>
      </c>
      <c r="AMS18" s="15">
        <v>300</v>
      </c>
      <c r="AMT18" s="15">
        <v>300</v>
      </c>
      <c r="AMU18" s="15">
        <v>300</v>
      </c>
      <c r="AMV18" s="15">
        <v>300</v>
      </c>
      <c r="AMW18" s="15">
        <v>300</v>
      </c>
      <c r="AMX18" s="15">
        <v>300</v>
      </c>
      <c r="AMY18" s="15">
        <v>300</v>
      </c>
      <c r="AMZ18" s="15">
        <v>300</v>
      </c>
      <c r="ANA18" s="15">
        <v>300</v>
      </c>
      <c r="ANB18" s="15">
        <v>300</v>
      </c>
      <c r="ANC18" s="15">
        <v>300</v>
      </c>
      <c r="AND18" s="15">
        <v>300</v>
      </c>
      <c r="ANE18" s="15"/>
      <c r="ANF18" s="15"/>
      <c r="ANG18" s="15"/>
      <c r="ANH18" s="15"/>
      <c r="ANI18" s="15"/>
      <c r="ANJ18" s="15"/>
      <c r="ANK18" s="15"/>
      <c r="ANL18" s="15"/>
      <c r="ANM18" s="15"/>
      <c r="ANN18" s="15"/>
      <c r="ANO18" s="15"/>
      <c r="ANP18" s="15"/>
      <c r="ANQ18" s="15"/>
      <c r="ANR18" s="15"/>
      <c r="ANS18" s="15"/>
      <c r="ANT18" s="15"/>
      <c r="ANU18" s="15"/>
      <c r="ANV18" s="15"/>
      <c r="ANW18" s="15"/>
      <c r="ANX18" s="15"/>
      <c r="ANY18" s="15"/>
      <c r="ANZ18" s="15"/>
      <c r="AOA18" s="15"/>
      <c r="AOB18" s="15"/>
      <c r="AOC18" s="15"/>
      <c r="AOD18" s="15"/>
      <c r="AOE18" s="15"/>
      <c r="AOF18" s="15"/>
      <c r="AOG18" s="15"/>
      <c r="AOH18" s="15"/>
      <c r="AOI18" s="15"/>
      <c r="AOJ18" s="15"/>
      <c r="AOK18" s="15"/>
      <c r="AOL18" s="15"/>
      <c r="AOM18" s="15"/>
      <c r="AON18" s="15"/>
      <c r="AOO18" s="15"/>
      <c r="AOP18" s="15"/>
      <c r="AOQ18" s="15"/>
      <c r="AOR18" s="15"/>
      <c r="AOS18" s="15"/>
      <c r="AOT18" s="15"/>
      <c r="AOU18" s="15"/>
      <c r="AOV18" s="15"/>
      <c r="AOW18" s="15"/>
      <c r="AOX18" s="15"/>
      <c r="AOY18" s="15"/>
      <c r="AOZ18" s="15"/>
      <c r="APA18" s="15"/>
      <c r="APB18" s="15"/>
      <c r="APC18" s="15"/>
      <c r="APD18" s="15"/>
      <c r="APE18" s="15"/>
      <c r="APF18" s="15"/>
      <c r="APG18" s="15"/>
      <c r="APH18" s="15"/>
      <c r="API18" s="15"/>
      <c r="APJ18" s="15"/>
      <c r="APK18" s="15"/>
      <c r="APL18" s="15"/>
      <c r="APM18" s="15"/>
      <c r="APN18" s="15"/>
      <c r="APO18" s="15"/>
      <c r="APP18" s="15"/>
      <c r="APQ18" s="15"/>
      <c r="APR18" s="15"/>
      <c r="APS18" s="15"/>
      <c r="APT18" s="15"/>
      <c r="APU18" s="15"/>
      <c r="APV18" s="15"/>
      <c r="APW18" s="15"/>
      <c r="APX18" s="15"/>
      <c r="APY18" s="15"/>
      <c r="APZ18" s="15"/>
      <c r="AQA18" s="15"/>
      <c r="AQB18" s="15"/>
    </row>
    <row r="19" spans="1:1120" s="17" customFormat="1" ht="15" customHeight="1" x14ac:dyDescent="0.25">
      <c r="A19" s="5" t="s">
        <v>1</v>
      </c>
      <c r="B19" s="6" t="s">
        <v>643</v>
      </c>
      <c r="C19" s="15">
        <v>0.1</v>
      </c>
      <c r="D19" s="15">
        <v>0.1</v>
      </c>
      <c r="E19" s="15">
        <v>0.1</v>
      </c>
      <c r="F19" s="15">
        <v>0.1</v>
      </c>
      <c r="G19" s="15">
        <v>0.1</v>
      </c>
      <c r="H19" s="15">
        <v>0.1</v>
      </c>
      <c r="I19" s="15">
        <v>0.1</v>
      </c>
      <c r="J19" s="15"/>
      <c r="K19" s="15">
        <v>0.1</v>
      </c>
      <c r="L19" s="15">
        <v>0.1</v>
      </c>
      <c r="M19" s="15">
        <v>0.1</v>
      </c>
      <c r="N19" s="15">
        <v>0.1</v>
      </c>
      <c r="O19" s="15">
        <v>0.1</v>
      </c>
      <c r="P19" s="15">
        <v>0.1</v>
      </c>
      <c r="Q19" s="15"/>
      <c r="R19" s="15">
        <v>0.1</v>
      </c>
      <c r="S19" s="15">
        <v>0.1</v>
      </c>
      <c r="T19" s="15">
        <v>0.1</v>
      </c>
      <c r="U19" s="15">
        <v>0.1</v>
      </c>
      <c r="V19" s="15">
        <v>0.1</v>
      </c>
      <c r="W19" s="15">
        <v>0.1</v>
      </c>
      <c r="X19" s="15"/>
      <c r="Y19" s="15">
        <v>0.1</v>
      </c>
      <c r="Z19" s="15">
        <v>0.1</v>
      </c>
      <c r="AA19" s="15">
        <v>0.1</v>
      </c>
      <c r="AB19" s="15">
        <v>0.1</v>
      </c>
      <c r="AC19" s="15">
        <v>0.1</v>
      </c>
      <c r="AD19" s="15">
        <v>0.1</v>
      </c>
      <c r="AE19" s="15"/>
      <c r="AF19" s="15">
        <v>0.1</v>
      </c>
      <c r="AG19" s="15">
        <v>0.1</v>
      </c>
      <c r="AH19" s="15">
        <v>0.1</v>
      </c>
      <c r="AI19" s="15">
        <v>0.1</v>
      </c>
      <c r="AJ19" s="15">
        <v>0.1</v>
      </c>
      <c r="AK19" s="15">
        <v>0.1</v>
      </c>
      <c r="AL19" s="15"/>
      <c r="AM19" s="15">
        <v>0.1</v>
      </c>
      <c r="AN19" s="15">
        <v>0.1</v>
      </c>
      <c r="AO19" s="15">
        <v>0.1</v>
      </c>
      <c r="AP19" s="15">
        <v>0.1</v>
      </c>
      <c r="AQ19" s="15">
        <v>0.1</v>
      </c>
      <c r="AR19" s="15">
        <v>0.1</v>
      </c>
      <c r="AS19" s="15">
        <v>0.1</v>
      </c>
      <c r="AT19" s="15">
        <v>0.1</v>
      </c>
      <c r="AU19" s="15">
        <v>0.1</v>
      </c>
      <c r="AV19" s="15">
        <v>0.1</v>
      </c>
      <c r="AW19" s="15">
        <v>0.1</v>
      </c>
      <c r="AX19" s="15">
        <v>0.1</v>
      </c>
      <c r="AY19" s="15">
        <v>0.1</v>
      </c>
      <c r="AZ19" s="15">
        <v>0.1</v>
      </c>
      <c r="BA19" s="15">
        <v>0.1</v>
      </c>
      <c r="BB19" s="15">
        <v>0.1</v>
      </c>
      <c r="BC19" s="15">
        <v>0.1</v>
      </c>
      <c r="BD19" s="15">
        <v>0.1</v>
      </c>
      <c r="BE19" s="15">
        <v>0.1</v>
      </c>
      <c r="BF19" s="15">
        <v>0.1</v>
      </c>
      <c r="BG19" s="15">
        <v>0.1</v>
      </c>
      <c r="BH19" s="15">
        <v>0.1</v>
      </c>
      <c r="BI19" s="15">
        <v>0.1</v>
      </c>
      <c r="BJ19" s="15">
        <v>0.1</v>
      </c>
      <c r="BK19" s="15">
        <v>0.1</v>
      </c>
      <c r="BL19" s="15">
        <v>0.1</v>
      </c>
      <c r="BM19" s="15">
        <v>0.1</v>
      </c>
      <c r="BN19" s="15">
        <v>0.1</v>
      </c>
      <c r="BO19" s="15">
        <v>0.1</v>
      </c>
      <c r="BP19" s="15">
        <v>0.1</v>
      </c>
      <c r="BQ19" s="15">
        <v>0.1</v>
      </c>
      <c r="BR19" s="15">
        <v>0.1</v>
      </c>
      <c r="BS19" s="15">
        <v>0.1</v>
      </c>
      <c r="BT19" s="15">
        <v>0.1</v>
      </c>
      <c r="BU19" s="15">
        <v>0.1</v>
      </c>
      <c r="BV19" s="15">
        <v>0.1</v>
      </c>
      <c r="BW19" s="15">
        <v>0.1</v>
      </c>
      <c r="BX19" s="15">
        <v>0.1</v>
      </c>
      <c r="BY19" s="15">
        <v>0.1</v>
      </c>
      <c r="BZ19" s="15">
        <v>0.1</v>
      </c>
      <c r="CA19" s="15">
        <v>0.1</v>
      </c>
      <c r="CB19" s="15">
        <v>0.1</v>
      </c>
      <c r="CC19" s="15">
        <v>0.1</v>
      </c>
      <c r="CD19" s="15">
        <v>0.1</v>
      </c>
      <c r="CE19" s="15">
        <v>0.1</v>
      </c>
      <c r="CF19" s="15">
        <v>0.1</v>
      </c>
      <c r="CG19" s="15">
        <v>0.1</v>
      </c>
      <c r="CH19" s="15">
        <v>0.1</v>
      </c>
      <c r="CI19" s="15">
        <v>0.1</v>
      </c>
      <c r="CJ19" s="15">
        <v>0.1</v>
      </c>
      <c r="CK19" s="15">
        <v>0.1</v>
      </c>
      <c r="CL19" s="15">
        <v>0.1</v>
      </c>
      <c r="CM19" s="15">
        <v>0.1</v>
      </c>
      <c r="CN19" s="15">
        <v>0.1</v>
      </c>
      <c r="CO19" s="15">
        <v>0.1</v>
      </c>
      <c r="CP19" s="15">
        <v>0.1</v>
      </c>
      <c r="CQ19" s="15">
        <v>0.1</v>
      </c>
      <c r="CR19" s="15">
        <v>0.1</v>
      </c>
      <c r="CS19" s="15">
        <v>0.1</v>
      </c>
      <c r="CT19" s="15">
        <v>0.1</v>
      </c>
      <c r="CU19" s="15">
        <v>0.1</v>
      </c>
      <c r="CV19" s="15">
        <v>0.1</v>
      </c>
      <c r="CW19" s="15">
        <v>0.1</v>
      </c>
      <c r="CX19" s="15">
        <v>0.1</v>
      </c>
      <c r="CY19" s="15">
        <v>0.1</v>
      </c>
      <c r="CZ19" s="15">
        <v>0.1</v>
      </c>
      <c r="DA19" s="15">
        <v>0.1</v>
      </c>
      <c r="DB19" s="15">
        <v>0.1</v>
      </c>
      <c r="DC19" s="15">
        <v>0.1</v>
      </c>
      <c r="DD19" s="15">
        <v>0.1</v>
      </c>
      <c r="DE19" s="15">
        <v>0.1</v>
      </c>
      <c r="DF19" s="15">
        <v>0.1</v>
      </c>
      <c r="DG19" s="15">
        <v>0.1</v>
      </c>
      <c r="DH19" s="15">
        <v>0.1</v>
      </c>
      <c r="DI19" s="15">
        <v>0.1</v>
      </c>
      <c r="DJ19" s="15">
        <v>0.1</v>
      </c>
      <c r="DK19" s="15">
        <v>0.1</v>
      </c>
      <c r="DL19" s="15">
        <v>0.1</v>
      </c>
      <c r="DM19" s="15">
        <v>0.1</v>
      </c>
      <c r="DN19" s="15">
        <v>0.1</v>
      </c>
      <c r="DO19" s="15">
        <v>0.1</v>
      </c>
      <c r="DP19" s="15">
        <v>0.1</v>
      </c>
      <c r="DQ19" s="15">
        <v>0.1</v>
      </c>
      <c r="DR19" s="15">
        <v>0.1</v>
      </c>
      <c r="DS19" s="15">
        <v>0.1</v>
      </c>
      <c r="DT19" s="15">
        <v>0.1</v>
      </c>
      <c r="DU19" s="15">
        <v>0.1</v>
      </c>
      <c r="DV19" s="15">
        <v>0.1</v>
      </c>
      <c r="DW19" s="15">
        <v>0.1</v>
      </c>
      <c r="DX19" s="15">
        <v>0.1</v>
      </c>
      <c r="DY19" s="15">
        <v>0.1</v>
      </c>
      <c r="DZ19" s="15">
        <v>0.1</v>
      </c>
      <c r="EA19" s="15">
        <v>0.1</v>
      </c>
      <c r="EB19" s="15">
        <v>0.1</v>
      </c>
      <c r="EC19" s="15">
        <v>0.1</v>
      </c>
      <c r="ED19" s="15">
        <v>0.1</v>
      </c>
      <c r="EE19" s="15">
        <v>0.1</v>
      </c>
      <c r="EF19" s="15">
        <v>0.1</v>
      </c>
      <c r="EG19" s="15">
        <v>0.1</v>
      </c>
      <c r="EH19" s="15">
        <v>0.1</v>
      </c>
      <c r="EI19" s="15">
        <v>0.1</v>
      </c>
      <c r="EJ19" s="15">
        <v>0.1</v>
      </c>
      <c r="EK19" s="15">
        <v>0.1</v>
      </c>
      <c r="EL19" s="15">
        <v>0.1</v>
      </c>
      <c r="EM19" s="15">
        <v>0.1</v>
      </c>
      <c r="EN19" s="15">
        <v>0.1</v>
      </c>
      <c r="EO19" s="15">
        <v>0.1</v>
      </c>
      <c r="EP19" s="15">
        <v>0.1</v>
      </c>
      <c r="EQ19" s="15">
        <v>0.1</v>
      </c>
      <c r="ER19" s="15">
        <v>0.1</v>
      </c>
      <c r="ES19" s="15">
        <v>0.1</v>
      </c>
      <c r="ET19" s="15">
        <v>0.1</v>
      </c>
      <c r="EU19" s="15">
        <v>0.1</v>
      </c>
      <c r="EV19" s="15">
        <v>0.1</v>
      </c>
      <c r="EW19" s="15">
        <v>0.1</v>
      </c>
      <c r="EX19" s="15">
        <v>0.1</v>
      </c>
      <c r="EY19" s="15">
        <v>0.1</v>
      </c>
      <c r="EZ19" s="15">
        <v>0.1</v>
      </c>
      <c r="FA19" s="15">
        <v>0.1</v>
      </c>
      <c r="FB19" s="15">
        <v>0.1</v>
      </c>
      <c r="FC19" s="15">
        <v>0.1</v>
      </c>
      <c r="FD19" s="15"/>
      <c r="FE19" s="15">
        <v>0.1</v>
      </c>
      <c r="FF19" s="15">
        <v>0.1</v>
      </c>
      <c r="FG19" s="15">
        <v>0.1</v>
      </c>
      <c r="FH19" s="15">
        <v>0.1</v>
      </c>
      <c r="FI19" s="15">
        <v>0.1</v>
      </c>
      <c r="FJ19" s="15">
        <v>0.1</v>
      </c>
      <c r="FK19" s="15">
        <v>0.1</v>
      </c>
      <c r="FL19" s="15">
        <v>0.1</v>
      </c>
      <c r="FM19" s="15">
        <v>0.1</v>
      </c>
      <c r="FN19" s="15">
        <v>0.1</v>
      </c>
      <c r="FO19" s="15">
        <v>0.1</v>
      </c>
      <c r="FP19" s="15">
        <v>0.1</v>
      </c>
      <c r="FQ19" s="15">
        <v>0.1</v>
      </c>
      <c r="FR19" s="15">
        <v>0.1</v>
      </c>
      <c r="FS19" s="15">
        <v>0.1</v>
      </c>
      <c r="FT19" s="15">
        <v>0.1</v>
      </c>
      <c r="FU19" s="15">
        <v>0.1</v>
      </c>
      <c r="FV19" s="15">
        <v>0.1</v>
      </c>
      <c r="FW19" s="15">
        <v>0.1</v>
      </c>
      <c r="FX19" s="15">
        <v>0.1</v>
      </c>
      <c r="FY19" s="15">
        <v>0.1</v>
      </c>
      <c r="FZ19" s="15">
        <v>0.1</v>
      </c>
      <c r="GA19" s="15">
        <v>0.1</v>
      </c>
      <c r="GB19" s="15">
        <v>0.1</v>
      </c>
      <c r="GC19" s="15">
        <v>0.1</v>
      </c>
      <c r="GD19" s="15">
        <v>0.1</v>
      </c>
      <c r="GE19" s="15">
        <v>0.1</v>
      </c>
      <c r="GF19" s="15">
        <v>0.1</v>
      </c>
      <c r="GG19" s="15">
        <v>0.1</v>
      </c>
      <c r="GH19" s="15">
        <v>0.1</v>
      </c>
      <c r="GI19" s="15">
        <v>0.1</v>
      </c>
      <c r="GJ19" s="15">
        <v>0.1</v>
      </c>
      <c r="GK19" s="15">
        <v>0.1</v>
      </c>
      <c r="GL19" s="15">
        <v>0.1</v>
      </c>
      <c r="GM19" s="15">
        <v>0.1</v>
      </c>
      <c r="GN19" s="15">
        <v>0.1</v>
      </c>
      <c r="GO19" s="15">
        <v>0.1</v>
      </c>
      <c r="GP19" s="15">
        <v>0.1</v>
      </c>
      <c r="GQ19" s="15">
        <v>0.1</v>
      </c>
      <c r="GR19" s="15">
        <v>0.1</v>
      </c>
      <c r="GS19" s="15">
        <v>0.1</v>
      </c>
      <c r="GT19" s="15">
        <v>0.1</v>
      </c>
      <c r="GU19" s="15">
        <v>0.1</v>
      </c>
      <c r="GV19" s="15">
        <v>0.1</v>
      </c>
      <c r="GW19" s="15">
        <v>0.1</v>
      </c>
      <c r="GX19" s="15">
        <v>0.1</v>
      </c>
      <c r="GY19" s="15">
        <v>0.1</v>
      </c>
      <c r="GZ19" s="15">
        <v>0.1</v>
      </c>
      <c r="HA19" s="15">
        <v>0.1</v>
      </c>
      <c r="HB19" s="15">
        <v>0.1</v>
      </c>
      <c r="HC19" s="15">
        <v>0.1</v>
      </c>
      <c r="HD19" s="15">
        <v>0.1</v>
      </c>
      <c r="HE19" s="15">
        <v>0.1</v>
      </c>
      <c r="HF19" s="15">
        <v>0.1</v>
      </c>
      <c r="HG19" s="15">
        <v>0.1</v>
      </c>
      <c r="HH19" s="15">
        <v>0.1</v>
      </c>
      <c r="HI19" s="15">
        <v>0.1</v>
      </c>
      <c r="HJ19" s="15">
        <v>0.1</v>
      </c>
      <c r="HK19" s="15">
        <v>0.1</v>
      </c>
      <c r="HL19" s="15">
        <v>0.1</v>
      </c>
      <c r="HM19" s="15">
        <v>0.1</v>
      </c>
      <c r="HN19" s="15">
        <v>0.1</v>
      </c>
      <c r="HO19" s="15">
        <v>0.1</v>
      </c>
      <c r="HP19" s="15">
        <v>0.1</v>
      </c>
      <c r="HQ19" s="15">
        <v>0.1</v>
      </c>
      <c r="HR19" s="15">
        <v>0.1</v>
      </c>
      <c r="HS19" s="15">
        <v>0.1</v>
      </c>
      <c r="HT19" s="15">
        <v>0.1</v>
      </c>
      <c r="HU19" s="15">
        <v>0.1</v>
      </c>
      <c r="HV19" s="15">
        <v>0.1</v>
      </c>
      <c r="HW19" s="15">
        <v>0.1</v>
      </c>
      <c r="HX19" s="15">
        <v>0.1</v>
      </c>
      <c r="HY19" s="15">
        <v>0.1</v>
      </c>
      <c r="HZ19" s="15">
        <v>0.1</v>
      </c>
      <c r="IA19" s="15">
        <v>0.1</v>
      </c>
      <c r="IB19" s="15"/>
      <c r="IC19" s="15">
        <v>0.1</v>
      </c>
      <c r="ID19" s="15">
        <v>0.1</v>
      </c>
      <c r="IE19" s="15">
        <v>0.1</v>
      </c>
      <c r="IF19" s="15">
        <v>0.1</v>
      </c>
      <c r="IG19" s="15">
        <v>0.1</v>
      </c>
      <c r="IH19" s="15">
        <v>0.1</v>
      </c>
      <c r="II19" s="15">
        <v>0.1</v>
      </c>
      <c r="IJ19" s="15">
        <v>0.1</v>
      </c>
      <c r="IK19" s="15"/>
      <c r="IL19" s="15">
        <v>0.1</v>
      </c>
      <c r="IM19" s="15">
        <v>0.1</v>
      </c>
      <c r="IN19" s="15">
        <v>0.1</v>
      </c>
      <c r="IO19" s="15">
        <v>0.1</v>
      </c>
      <c r="IP19" s="15">
        <v>0.1</v>
      </c>
      <c r="IQ19" s="15">
        <v>0.1</v>
      </c>
      <c r="IR19" s="15">
        <v>0.1</v>
      </c>
      <c r="IS19" s="15">
        <v>0.1</v>
      </c>
      <c r="IT19" s="15">
        <v>0.1</v>
      </c>
      <c r="IU19" s="15">
        <v>0.1</v>
      </c>
      <c r="IV19" s="15">
        <v>0.1</v>
      </c>
      <c r="IW19" s="15">
        <v>0.1</v>
      </c>
      <c r="IX19" s="15">
        <v>0.1</v>
      </c>
      <c r="IY19" s="15">
        <v>0.1</v>
      </c>
      <c r="IZ19" s="15">
        <v>0.1</v>
      </c>
      <c r="JA19" s="15">
        <v>0.1</v>
      </c>
      <c r="JB19" s="15">
        <v>0.1</v>
      </c>
      <c r="JC19" s="15">
        <v>0.1</v>
      </c>
      <c r="JD19" s="15">
        <v>0.1</v>
      </c>
      <c r="JE19" s="15">
        <v>0.1</v>
      </c>
      <c r="JF19" s="15">
        <v>0.1</v>
      </c>
      <c r="JG19" s="15">
        <v>0.1</v>
      </c>
      <c r="JH19" s="15">
        <v>0.1</v>
      </c>
      <c r="JI19" s="15">
        <v>0.1</v>
      </c>
      <c r="JJ19" s="15">
        <v>0.1</v>
      </c>
      <c r="JK19" s="15">
        <v>0.1</v>
      </c>
      <c r="JL19" s="15">
        <v>0.1</v>
      </c>
      <c r="JM19" s="15">
        <v>0.1</v>
      </c>
      <c r="JN19" s="15">
        <v>0.1</v>
      </c>
      <c r="JO19" s="15">
        <v>0.1</v>
      </c>
      <c r="JP19" s="15">
        <v>0.1</v>
      </c>
      <c r="JQ19" s="15">
        <v>0.1</v>
      </c>
      <c r="JR19" s="15">
        <v>0.1</v>
      </c>
      <c r="JS19" s="15">
        <v>0.1</v>
      </c>
      <c r="JT19" s="15">
        <v>0.1</v>
      </c>
      <c r="JU19" s="15">
        <v>0.1</v>
      </c>
      <c r="JV19" s="15">
        <v>0.1</v>
      </c>
      <c r="JW19" s="15">
        <v>0.1</v>
      </c>
      <c r="JX19" s="15">
        <v>0.1</v>
      </c>
      <c r="JY19" s="15">
        <v>0.1</v>
      </c>
      <c r="JZ19" s="15">
        <v>0.1</v>
      </c>
      <c r="KA19" s="15">
        <v>0.1</v>
      </c>
      <c r="KB19" s="15">
        <v>0.1</v>
      </c>
      <c r="KC19" s="15">
        <v>0.1</v>
      </c>
      <c r="KD19" s="15">
        <v>0.1</v>
      </c>
      <c r="KE19" s="15">
        <v>0.1</v>
      </c>
      <c r="KF19" s="15">
        <v>0.1</v>
      </c>
      <c r="KG19" s="15">
        <v>0.1</v>
      </c>
      <c r="KH19" s="15">
        <v>0.1</v>
      </c>
      <c r="KI19" s="15">
        <v>0.1</v>
      </c>
      <c r="KJ19" s="15">
        <v>0.1</v>
      </c>
      <c r="KK19" s="15">
        <v>0.1</v>
      </c>
      <c r="KL19" s="15">
        <v>0.1</v>
      </c>
      <c r="KM19" s="15">
        <v>0.1</v>
      </c>
      <c r="KN19" s="15">
        <v>0.1</v>
      </c>
      <c r="KO19" s="15">
        <v>0.1</v>
      </c>
      <c r="KP19" s="15">
        <v>0.1</v>
      </c>
      <c r="KQ19" s="15">
        <v>0.1</v>
      </c>
      <c r="KR19" s="15">
        <v>0.1</v>
      </c>
      <c r="KS19" s="15">
        <v>0.1</v>
      </c>
      <c r="KT19" s="15">
        <v>0.1</v>
      </c>
      <c r="KU19" s="15">
        <v>0.1</v>
      </c>
      <c r="KV19" s="15">
        <v>0.1</v>
      </c>
      <c r="KW19" s="15">
        <v>0.1</v>
      </c>
      <c r="KX19" s="15">
        <v>0.1</v>
      </c>
      <c r="KY19" s="15">
        <v>0.1</v>
      </c>
      <c r="KZ19" s="15">
        <v>0.1</v>
      </c>
      <c r="LA19" s="15">
        <v>0.1</v>
      </c>
      <c r="LB19" s="15">
        <v>0.1</v>
      </c>
      <c r="LC19" s="15">
        <v>0.1</v>
      </c>
      <c r="LD19" s="15">
        <v>0.1</v>
      </c>
      <c r="LE19" s="15">
        <v>0.1</v>
      </c>
      <c r="LF19" s="15">
        <v>0.1</v>
      </c>
      <c r="LG19" s="15">
        <v>0.1</v>
      </c>
      <c r="LH19" s="15">
        <v>0.1</v>
      </c>
      <c r="LI19" s="15">
        <v>0.1</v>
      </c>
      <c r="LJ19" s="15">
        <v>0.1</v>
      </c>
      <c r="LK19" s="15">
        <v>0.1</v>
      </c>
      <c r="LL19" s="15">
        <v>0.1</v>
      </c>
      <c r="LM19" s="15">
        <v>0.1</v>
      </c>
      <c r="LN19" s="15">
        <v>0.1</v>
      </c>
      <c r="LO19" s="15">
        <v>0.1</v>
      </c>
      <c r="LP19" s="15">
        <v>0.1</v>
      </c>
      <c r="LQ19" s="15">
        <v>0.1</v>
      </c>
      <c r="LR19" s="15">
        <v>0.1</v>
      </c>
      <c r="LS19" s="15">
        <v>0.1</v>
      </c>
      <c r="LT19" s="15">
        <v>0.1</v>
      </c>
      <c r="LU19" s="15">
        <v>0.1</v>
      </c>
      <c r="LV19" s="15">
        <v>0.1</v>
      </c>
      <c r="LW19" s="15">
        <v>0.1</v>
      </c>
      <c r="LX19" s="15">
        <v>0.1</v>
      </c>
      <c r="LY19" s="15">
        <v>0.1</v>
      </c>
      <c r="LZ19" s="15">
        <v>0.1</v>
      </c>
      <c r="MA19" s="15">
        <v>0.1</v>
      </c>
      <c r="MB19" s="15">
        <v>0.1</v>
      </c>
      <c r="MC19" s="15">
        <v>0.1</v>
      </c>
      <c r="MD19" s="15">
        <v>0.1</v>
      </c>
      <c r="ME19" s="15">
        <v>0.1</v>
      </c>
      <c r="MF19" s="15">
        <v>0.1</v>
      </c>
      <c r="MG19" s="15">
        <v>0.1</v>
      </c>
      <c r="MH19" s="15">
        <v>0.1</v>
      </c>
      <c r="MI19" s="15">
        <v>0.1</v>
      </c>
      <c r="MJ19" s="15">
        <v>0.1</v>
      </c>
      <c r="MK19" s="15">
        <v>0.1</v>
      </c>
      <c r="ML19" s="15">
        <v>0.1</v>
      </c>
      <c r="MM19" s="15">
        <v>0.1</v>
      </c>
      <c r="MN19" s="15">
        <v>0.1</v>
      </c>
      <c r="MO19" s="15">
        <v>0.1</v>
      </c>
      <c r="MP19" s="15">
        <v>0.1</v>
      </c>
      <c r="MQ19" s="15">
        <v>0.1</v>
      </c>
      <c r="MR19" s="15">
        <v>0.1</v>
      </c>
      <c r="MS19" s="15">
        <v>0.1</v>
      </c>
      <c r="MT19" s="15">
        <v>0.1</v>
      </c>
      <c r="MU19" s="15">
        <v>0.1</v>
      </c>
      <c r="MV19" s="15">
        <v>0.1</v>
      </c>
      <c r="MW19" s="15">
        <v>0.1</v>
      </c>
      <c r="MX19" s="15">
        <v>0.1</v>
      </c>
      <c r="MY19" s="15">
        <v>0.1</v>
      </c>
      <c r="MZ19" s="15">
        <v>0.1</v>
      </c>
      <c r="NA19" s="15">
        <v>0.1</v>
      </c>
      <c r="NB19" s="15">
        <v>0.1</v>
      </c>
      <c r="NC19" s="15">
        <v>0.1</v>
      </c>
      <c r="ND19" s="15">
        <v>0.1</v>
      </c>
      <c r="NE19" s="15">
        <v>0.1</v>
      </c>
      <c r="NF19" s="15">
        <v>0.1</v>
      </c>
      <c r="NG19" s="15">
        <v>0.1</v>
      </c>
      <c r="NH19" s="15">
        <v>0.1</v>
      </c>
      <c r="NI19" s="15">
        <v>0.1</v>
      </c>
      <c r="NJ19" s="15">
        <v>0.1</v>
      </c>
      <c r="NK19" s="15">
        <v>0.1</v>
      </c>
      <c r="NL19" s="15">
        <v>0.1</v>
      </c>
      <c r="NM19" s="15">
        <v>0.1</v>
      </c>
      <c r="NN19" s="15">
        <v>0.1</v>
      </c>
      <c r="NO19" s="15">
        <v>0.1</v>
      </c>
      <c r="NP19" s="15">
        <v>0.1</v>
      </c>
      <c r="NQ19" s="15">
        <v>0.1</v>
      </c>
      <c r="NR19" s="15">
        <v>0.1</v>
      </c>
      <c r="NS19" s="15">
        <v>0.1</v>
      </c>
      <c r="NT19" s="15">
        <v>0.1</v>
      </c>
      <c r="NU19" s="15">
        <v>0.1</v>
      </c>
      <c r="NV19" s="15">
        <v>0.1</v>
      </c>
      <c r="NW19" s="15">
        <v>0.1</v>
      </c>
      <c r="NX19" s="15">
        <v>0.1</v>
      </c>
      <c r="NY19" s="15">
        <v>0.1</v>
      </c>
      <c r="NZ19" s="15">
        <v>0.1</v>
      </c>
      <c r="OA19" s="15">
        <v>0.1</v>
      </c>
      <c r="OB19" s="15">
        <v>0.1</v>
      </c>
      <c r="OC19" s="15">
        <v>0.1</v>
      </c>
      <c r="OD19" s="15">
        <v>0.1</v>
      </c>
      <c r="OE19" s="15">
        <v>0.1</v>
      </c>
      <c r="OF19" s="15">
        <v>0.1</v>
      </c>
      <c r="OG19" s="15">
        <v>0.1</v>
      </c>
      <c r="OH19" s="15">
        <v>0.1</v>
      </c>
      <c r="OI19" s="15">
        <v>0.1</v>
      </c>
      <c r="OJ19" s="15">
        <v>0.1</v>
      </c>
      <c r="OK19" s="15">
        <v>0.1</v>
      </c>
      <c r="OL19" s="15">
        <v>0.1</v>
      </c>
      <c r="OM19" s="15">
        <v>0.1</v>
      </c>
      <c r="ON19" s="15">
        <v>0.1</v>
      </c>
      <c r="OO19" s="15">
        <v>0.1</v>
      </c>
      <c r="OP19" s="15">
        <v>0.1</v>
      </c>
      <c r="OQ19" s="15">
        <v>0.1</v>
      </c>
      <c r="OR19" s="15">
        <v>0.1</v>
      </c>
      <c r="OS19" s="15">
        <v>0.1</v>
      </c>
      <c r="OT19" s="15">
        <v>0.1</v>
      </c>
      <c r="OU19" s="15">
        <v>0.1</v>
      </c>
      <c r="OV19" s="15">
        <v>0.1</v>
      </c>
      <c r="OW19" s="15">
        <v>0.1</v>
      </c>
      <c r="OX19" s="15">
        <v>0.1</v>
      </c>
      <c r="OY19" s="15">
        <v>0.1</v>
      </c>
      <c r="OZ19" s="15">
        <v>0.1</v>
      </c>
      <c r="PA19" s="15">
        <v>0.1</v>
      </c>
      <c r="PB19" s="15">
        <v>0.1</v>
      </c>
      <c r="PC19" s="15">
        <v>0.1</v>
      </c>
      <c r="PD19" s="15">
        <v>0.1</v>
      </c>
      <c r="PE19" s="15">
        <v>0.1</v>
      </c>
      <c r="PF19" s="15">
        <v>0.1</v>
      </c>
      <c r="PG19" s="15">
        <v>0.1</v>
      </c>
      <c r="PH19" s="15">
        <v>0.1</v>
      </c>
      <c r="PI19" s="15">
        <v>0.1</v>
      </c>
      <c r="PJ19" s="15">
        <v>0.1</v>
      </c>
      <c r="PK19" s="15">
        <v>0.1</v>
      </c>
      <c r="PL19" s="15">
        <v>0.1</v>
      </c>
      <c r="PM19" s="15">
        <v>0.1</v>
      </c>
      <c r="PN19" s="15">
        <v>0.1</v>
      </c>
      <c r="PO19" s="15">
        <v>0.1</v>
      </c>
      <c r="PP19" s="15">
        <v>0.1</v>
      </c>
      <c r="PQ19" s="15">
        <v>0.1</v>
      </c>
      <c r="PR19" s="15">
        <v>0.1</v>
      </c>
      <c r="PS19" s="15">
        <v>0.1</v>
      </c>
      <c r="PT19" s="15">
        <v>0.1</v>
      </c>
      <c r="PU19" s="15">
        <v>0.1</v>
      </c>
      <c r="PV19" s="15">
        <v>0.1</v>
      </c>
      <c r="PW19" s="15">
        <v>0.1</v>
      </c>
      <c r="PX19" s="15">
        <v>0.1</v>
      </c>
      <c r="PY19" s="15">
        <v>0.1</v>
      </c>
      <c r="PZ19" s="15">
        <v>0.1</v>
      </c>
      <c r="QA19" s="15">
        <v>0.1</v>
      </c>
      <c r="QB19" s="15">
        <v>0.1</v>
      </c>
      <c r="QC19" s="15">
        <v>0.1</v>
      </c>
      <c r="QD19" s="15">
        <v>0.1</v>
      </c>
      <c r="QE19" s="15">
        <v>0.1</v>
      </c>
      <c r="QF19" s="15">
        <v>0.1</v>
      </c>
      <c r="QG19" s="15">
        <v>0.1</v>
      </c>
      <c r="QH19" s="15">
        <v>0.1</v>
      </c>
      <c r="QI19" s="15">
        <v>0.1</v>
      </c>
      <c r="QJ19" s="15">
        <v>0.1</v>
      </c>
      <c r="QK19" s="15">
        <v>0.1</v>
      </c>
      <c r="QL19" s="15">
        <v>0.1</v>
      </c>
      <c r="QM19" s="15">
        <v>0.1</v>
      </c>
      <c r="QN19" s="15">
        <v>0.1</v>
      </c>
      <c r="QO19" s="15">
        <v>0.1</v>
      </c>
      <c r="QP19" s="15">
        <v>0.1</v>
      </c>
      <c r="QQ19" s="15">
        <v>0.1</v>
      </c>
      <c r="QR19" s="15">
        <v>0.1</v>
      </c>
      <c r="QS19" s="15">
        <v>0.1</v>
      </c>
      <c r="QT19" s="15">
        <v>0.1</v>
      </c>
      <c r="QU19" s="15">
        <v>0.1</v>
      </c>
      <c r="QV19" s="15">
        <v>0.1</v>
      </c>
      <c r="QW19" s="15">
        <v>0.1</v>
      </c>
      <c r="QX19" s="15">
        <v>0.1</v>
      </c>
      <c r="QY19" s="15">
        <v>0.1</v>
      </c>
      <c r="QZ19" s="15">
        <v>0.1</v>
      </c>
      <c r="RA19" s="15">
        <v>0.1</v>
      </c>
      <c r="RB19" s="15">
        <v>0.1</v>
      </c>
      <c r="RC19" s="15">
        <v>0.1</v>
      </c>
      <c r="RD19" s="15">
        <v>0.1</v>
      </c>
      <c r="RE19" s="15">
        <v>0.1</v>
      </c>
      <c r="RF19" s="15">
        <v>0.1</v>
      </c>
      <c r="RG19" s="15">
        <v>0.1</v>
      </c>
      <c r="RH19" s="15">
        <v>0.1</v>
      </c>
      <c r="RI19" s="15">
        <v>0.1</v>
      </c>
      <c r="RJ19" s="15">
        <v>0.1</v>
      </c>
      <c r="RK19" s="15">
        <v>0.1</v>
      </c>
      <c r="RL19" s="15">
        <v>0.1</v>
      </c>
      <c r="RM19" s="15">
        <v>0.1</v>
      </c>
      <c r="RN19" s="15">
        <v>0.1</v>
      </c>
      <c r="RO19" s="15">
        <v>0.1</v>
      </c>
      <c r="RP19" s="15">
        <v>0.1</v>
      </c>
      <c r="RQ19" s="15">
        <v>0.1</v>
      </c>
      <c r="RR19" s="15">
        <v>0.1</v>
      </c>
      <c r="RS19" s="15"/>
      <c r="RT19" s="15">
        <v>0.1</v>
      </c>
      <c r="RU19" s="15">
        <v>0.1</v>
      </c>
      <c r="RV19" s="15">
        <v>0.1</v>
      </c>
      <c r="RW19" s="15">
        <v>0.1</v>
      </c>
      <c r="RX19" s="15">
        <v>0.1</v>
      </c>
      <c r="RY19" s="15">
        <v>0.1</v>
      </c>
      <c r="RZ19" s="15">
        <v>0.1</v>
      </c>
      <c r="SA19" s="15">
        <v>0.1</v>
      </c>
      <c r="SB19" s="15">
        <v>0.1</v>
      </c>
      <c r="SC19" s="15">
        <v>0.1</v>
      </c>
      <c r="SD19" s="15">
        <v>0.1</v>
      </c>
      <c r="SE19" s="15">
        <v>0.1</v>
      </c>
      <c r="SF19" s="15">
        <v>0.1</v>
      </c>
      <c r="SG19" s="15">
        <v>0.1</v>
      </c>
      <c r="SH19" s="15">
        <v>0.1</v>
      </c>
      <c r="SI19" s="15">
        <v>0.1</v>
      </c>
      <c r="SJ19" s="15">
        <v>0.1</v>
      </c>
      <c r="SK19" s="15">
        <v>0.1</v>
      </c>
      <c r="SL19" s="15">
        <v>0.1</v>
      </c>
      <c r="SM19" s="15">
        <v>0.1</v>
      </c>
      <c r="SN19" s="15">
        <v>0.1</v>
      </c>
      <c r="SO19" s="15">
        <v>0.1</v>
      </c>
      <c r="SP19" s="15">
        <v>0.1</v>
      </c>
      <c r="SQ19" s="15">
        <v>0.1</v>
      </c>
      <c r="SR19" s="15">
        <v>0.1</v>
      </c>
      <c r="SS19" s="15">
        <v>0.1</v>
      </c>
      <c r="ST19" s="15">
        <v>0.1</v>
      </c>
      <c r="SU19" s="15">
        <v>0.1</v>
      </c>
      <c r="SV19" s="15">
        <v>0.1</v>
      </c>
      <c r="SW19" s="15">
        <v>0.1</v>
      </c>
      <c r="SX19" s="15">
        <v>0.1</v>
      </c>
      <c r="SY19" s="15">
        <v>0.1</v>
      </c>
      <c r="SZ19" s="15">
        <v>0.1</v>
      </c>
      <c r="TA19" s="15">
        <v>0.1</v>
      </c>
      <c r="TB19" s="15">
        <v>0.1</v>
      </c>
      <c r="TC19" s="15">
        <v>0.1</v>
      </c>
      <c r="TD19" s="15">
        <v>0.1</v>
      </c>
      <c r="TE19" s="15">
        <v>0.1</v>
      </c>
      <c r="TF19" s="15">
        <v>0.1</v>
      </c>
      <c r="TG19" s="15">
        <v>0.1</v>
      </c>
      <c r="TH19" s="15">
        <v>0.1</v>
      </c>
      <c r="TI19" s="15">
        <v>0.1</v>
      </c>
      <c r="TJ19" s="15">
        <v>0.1</v>
      </c>
      <c r="TK19" s="15">
        <v>0.1</v>
      </c>
      <c r="TL19" s="15">
        <v>0.1</v>
      </c>
      <c r="TM19" s="15">
        <v>0.1</v>
      </c>
      <c r="TN19" s="15">
        <v>0.1</v>
      </c>
      <c r="TO19" s="15">
        <v>0.1</v>
      </c>
      <c r="TP19" s="15">
        <v>0.1</v>
      </c>
      <c r="TQ19" s="15">
        <v>0.1</v>
      </c>
      <c r="TR19" s="15">
        <v>0.1</v>
      </c>
      <c r="TS19" s="15">
        <v>0.1</v>
      </c>
      <c r="TT19" s="15">
        <v>0.1</v>
      </c>
      <c r="TU19" s="15">
        <v>0.1</v>
      </c>
      <c r="TV19" s="15">
        <v>0.1</v>
      </c>
      <c r="TW19" s="15">
        <v>0.1</v>
      </c>
      <c r="TX19" s="15">
        <v>0.1</v>
      </c>
      <c r="TY19" s="15">
        <v>0.1</v>
      </c>
      <c r="TZ19" s="15">
        <v>0.1</v>
      </c>
      <c r="UA19" s="15">
        <v>0.1</v>
      </c>
      <c r="UB19" s="15">
        <v>0.1</v>
      </c>
      <c r="UC19" s="15">
        <v>0.1</v>
      </c>
      <c r="UD19" s="15">
        <v>0.1</v>
      </c>
      <c r="UE19" s="15">
        <v>0.1</v>
      </c>
      <c r="UF19" s="15">
        <v>0.1</v>
      </c>
      <c r="UG19" s="15">
        <v>0.1</v>
      </c>
      <c r="UH19" s="15">
        <v>0.1</v>
      </c>
      <c r="UI19" s="15">
        <v>0.1</v>
      </c>
      <c r="UJ19" s="15">
        <v>0.1</v>
      </c>
      <c r="UK19" s="15">
        <v>0.1</v>
      </c>
      <c r="UL19" s="15">
        <v>0.1</v>
      </c>
      <c r="UM19" s="15">
        <v>0.1</v>
      </c>
      <c r="UN19" s="15">
        <v>0.1</v>
      </c>
      <c r="UO19" s="15">
        <v>0.1</v>
      </c>
      <c r="UP19" s="15">
        <v>0.1</v>
      </c>
      <c r="UQ19" s="15">
        <v>0.1</v>
      </c>
      <c r="UR19" s="15">
        <v>0.1</v>
      </c>
      <c r="US19" s="15">
        <v>0.1</v>
      </c>
      <c r="UT19" s="15">
        <v>0.1</v>
      </c>
      <c r="UU19" s="15">
        <v>0.1</v>
      </c>
      <c r="UV19" s="15">
        <v>0.1</v>
      </c>
      <c r="UW19" s="15">
        <v>0.1</v>
      </c>
      <c r="UX19" s="15">
        <v>0.1</v>
      </c>
      <c r="UY19" s="15">
        <v>0.1</v>
      </c>
      <c r="UZ19" s="15">
        <v>0.1</v>
      </c>
      <c r="VA19" s="15">
        <v>0.1</v>
      </c>
      <c r="VB19" s="15">
        <v>0.1</v>
      </c>
      <c r="VC19" s="15">
        <v>0.1</v>
      </c>
      <c r="VD19" s="15">
        <v>0.1</v>
      </c>
      <c r="VE19" s="15">
        <v>0.1</v>
      </c>
      <c r="VF19" s="15">
        <v>0.1</v>
      </c>
      <c r="VG19" s="15">
        <v>0.1</v>
      </c>
      <c r="VH19" s="15">
        <v>0.1</v>
      </c>
      <c r="VI19" s="15">
        <v>0.1</v>
      </c>
      <c r="VJ19" s="15">
        <v>0.1</v>
      </c>
      <c r="VK19" s="15">
        <v>0.1</v>
      </c>
      <c r="VL19" s="15">
        <v>0.1</v>
      </c>
      <c r="VM19" s="15">
        <v>0.1</v>
      </c>
      <c r="VN19" s="15">
        <v>0.1</v>
      </c>
      <c r="VO19" s="15">
        <v>0.1</v>
      </c>
      <c r="VP19" s="15">
        <v>0.1</v>
      </c>
      <c r="VQ19" s="15">
        <v>0.1</v>
      </c>
      <c r="VR19" s="15">
        <v>0.1</v>
      </c>
      <c r="VS19" s="15">
        <v>0.1</v>
      </c>
      <c r="VT19" s="15">
        <v>0.1</v>
      </c>
      <c r="VU19" s="15">
        <v>0.1</v>
      </c>
      <c r="VV19" s="15">
        <v>0.1</v>
      </c>
      <c r="VW19" s="15">
        <v>0.1</v>
      </c>
      <c r="VX19" s="15">
        <v>0.1</v>
      </c>
      <c r="VY19" s="15">
        <v>0.1</v>
      </c>
      <c r="VZ19" s="15">
        <v>0.1</v>
      </c>
      <c r="WA19" s="15">
        <v>0.1</v>
      </c>
      <c r="WB19" s="15">
        <v>0.1</v>
      </c>
      <c r="WC19" s="15">
        <v>0.1</v>
      </c>
      <c r="WD19" s="15">
        <v>0.1</v>
      </c>
      <c r="WE19" s="15">
        <v>0.1</v>
      </c>
      <c r="WF19" s="15">
        <v>0.1</v>
      </c>
      <c r="WG19" s="15">
        <v>0.1</v>
      </c>
      <c r="WH19" s="15">
        <v>0.1</v>
      </c>
      <c r="WI19" s="15">
        <v>0.1</v>
      </c>
      <c r="WJ19" s="15">
        <v>0.1</v>
      </c>
      <c r="WK19" s="15">
        <v>0.1</v>
      </c>
      <c r="WL19" s="15">
        <v>0.1</v>
      </c>
      <c r="WM19" s="15">
        <v>0.1</v>
      </c>
      <c r="WN19" s="15">
        <v>0.1</v>
      </c>
      <c r="WO19" s="15">
        <v>0.1</v>
      </c>
      <c r="WP19" s="15">
        <v>0.1</v>
      </c>
      <c r="WQ19" s="15">
        <v>0.1</v>
      </c>
      <c r="WR19" s="15">
        <v>0.1</v>
      </c>
      <c r="WS19" s="15">
        <v>0.1</v>
      </c>
      <c r="WT19" s="15">
        <v>0.1</v>
      </c>
      <c r="WU19" s="15">
        <v>0.1</v>
      </c>
      <c r="WV19" s="15">
        <v>0.1</v>
      </c>
      <c r="WW19" s="15">
        <v>0.1</v>
      </c>
      <c r="WX19" s="15">
        <v>0.1</v>
      </c>
      <c r="WY19" s="15">
        <v>0.1</v>
      </c>
      <c r="WZ19" s="15">
        <v>0.1</v>
      </c>
      <c r="XA19" s="15">
        <v>0.1</v>
      </c>
      <c r="XB19" s="15">
        <v>0.1</v>
      </c>
      <c r="XC19" s="15">
        <v>0.1</v>
      </c>
      <c r="XD19" s="15">
        <v>0.1</v>
      </c>
      <c r="XE19" s="15">
        <v>0.1</v>
      </c>
      <c r="XF19" s="15">
        <v>0.1</v>
      </c>
      <c r="XG19" s="15">
        <v>0.1</v>
      </c>
      <c r="XH19" s="15">
        <v>0.1</v>
      </c>
      <c r="XI19" s="15">
        <v>0.1</v>
      </c>
      <c r="XJ19" s="15">
        <v>0.1</v>
      </c>
      <c r="XK19" s="15">
        <v>0.1</v>
      </c>
      <c r="XL19" s="15">
        <v>0.1</v>
      </c>
      <c r="XM19" s="15">
        <v>0.1</v>
      </c>
      <c r="XN19" s="15">
        <v>0.1</v>
      </c>
      <c r="XO19" s="15">
        <v>0.1</v>
      </c>
      <c r="XP19" s="15">
        <v>0.1</v>
      </c>
      <c r="XQ19" s="15">
        <v>0.1</v>
      </c>
      <c r="XR19" s="15">
        <v>0.1</v>
      </c>
      <c r="XS19" s="15">
        <v>0.1</v>
      </c>
      <c r="XT19" s="15">
        <v>0.1</v>
      </c>
      <c r="XU19" s="15">
        <v>0.1</v>
      </c>
      <c r="XV19" s="15">
        <v>0.1</v>
      </c>
      <c r="XW19" s="15">
        <v>0.1</v>
      </c>
      <c r="XX19" s="15">
        <v>0.1</v>
      </c>
      <c r="XY19" s="15">
        <v>0.1</v>
      </c>
      <c r="XZ19" s="15">
        <v>0.1</v>
      </c>
      <c r="YA19" s="15">
        <v>0.1</v>
      </c>
      <c r="YB19" s="15">
        <v>0.1</v>
      </c>
      <c r="YC19" s="15">
        <v>0.1</v>
      </c>
      <c r="YD19" s="15">
        <v>0.1</v>
      </c>
      <c r="YE19" s="15">
        <v>0.1</v>
      </c>
      <c r="YF19" s="15">
        <v>0.1</v>
      </c>
      <c r="YG19" s="15">
        <v>0.1</v>
      </c>
      <c r="YH19" s="15">
        <v>0.1</v>
      </c>
      <c r="YI19" s="15">
        <v>0.1</v>
      </c>
      <c r="YJ19" s="15">
        <v>0.1</v>
      </c>
      <c r="YK19" s="15">
        <v>0.1</v>
      </c>
      <c r="YL19" s="15">
        <v>0.1</v>
      </c>
      <c r="YM19" s="15">
        <v>0.1</v>
      </c>
      <c r="YN19" s="15">
        <v>0.1</v>
      </c>
      <c r="YO19" s="15">
        <v>0.1</v>
      </c>
      <c r="YP19" s="15">
        <v>0.1</v>
      </c>
      <c r="YQ19" s="15">
        <v>0.1</v>
      </c>
      <c r="YR19" s="15">
        <v>0.1</v>
      </c>
      <c r="YS19" s="15">
        <v>0.1</v>
      </c>
      <c r="YT19" s="15">
        <v>0.1</v>
      </c>
      <c r="YU19" s="15">
        <v>0.1</v>
      </c>
      <c r="YV19" s="15">
        <v>0.1</v>
      </c>
      <c r="YW19" s="15">
        <v>0.1</v>
      </c>
      <c r="YX19" s="15">
        <v>0.1</v>
      </c>
      <c r="YY19" s="15">
        <v>0.1</v>
      </c>
      <c r="YZ19" s="15">
        <v>0.1</v>
      </c>
      <c r="ZA19" s="15">
        <v>0.1</v>
      </c>
      <c r="ZB19" s="15">
        <v>0.1</v>
      </c>
      <c r="ZC19" s="15">
        <v>0.1</v>
      </c>
      <c r="ZD19" s="15">
        <v>0.1</v>
      </c>
      <c r="ZE19" s="15">
        <v>0.1</v>
      </c>
      <c r="ZF19" s="15">
        <v>0.1</v>
      </c>
      <c r="ZG19" s="15">
        <v>0.1</v>
      </c>
      <c r="ZH19" s="15">
        <v>0.1</v>
      </c>
      <c r="ZI19" s="15">
        <v>0.1</v>
      </c>
      <c r="ZJ19" s="15">
        <v>0.1</v>
      </c>
      <c r="ZK19" s="15">
        <v>0.1</v>
      </c>
      <c r="ZL19" s="15">
        <v>0.1</v>
      </c>
      <c r="ZM19" s="15">
        <v>0.1</v>
      </c>
      <c r="ZN19" s="15">
        <v>0.1</v>
      </c>
      <c r="ZO19" s="15">
        <v>0.1</v>
      </c>
      <c r="ZP19" s="15">
        <v>0.1</v>
      </c>
      <c r="ZQ19" s="15">
        <v>0.1</v>
      </c>
      <c r="ZR19" s="15">
        <v>0.1</v>
      </c>
      <c r="ZS19" s="15">
        <v>0.1</v>
      </c>
      <c r="ZT19" s="15">
        <v>0.1</v>
      </c>
      <c r="ZU19" s="15">
        <v>0.1</v>
      </c>
      <c r="ZV19" s="15">
        <v>0.1</v>
      </c>
      <c r="ZW19" s="15">
        <v>0.1</v>
      </c>
      <c r="ZX19" s="15">
        <v>0.1</v>
      </c>
      <c r="ZY19" s="15">
        <v>0.1</v>
      </c>
      <c r="ZZ19" s="15">
        <v>0.1</v>
      </c>
      <c r="AAA19" s="15">
        <v>0.1</v>
      </c>
      <c r="AAB19" s="15">
        <v>0.1</v>
      </c>
      <c r="AAC19" s="15">
        <v>0.1</v>
      </c>
      <c r="AAD19" s="15">
        <v>0.1</v>
      </c>
      <c r="AAE19" s="15">
        <v>0.1</v>
      </c>
      <c r="AAF19" s="15">
        <v>0.1</v>
      </c>
      <c r="AAG19" s="15">
        <v>0.1</v>
      </c>
      <c r="AAH19" s="15">
        <v>0.1</v>
      </c>
      <c r="AAI19" s="15">
        <v>0.1</v>
      </c>
      <c r="AAJ19" s="15">
        <v>0.1</v>
      </c>
      <c r="AAK19" s="15">
        <v>0.1</v>
      </c>
      <c r="AAL19" s="15"/>
      <c r="AAM19" s="15">
        <v>0.1</v>
      </c>
      <c r="AAN19" s="15">
        <v>0.1</v>
      </c>
      <c r="AAO19" s="15">
        <v>0.1</v>
      </c>
      <c r="AAP19" s="15">
        <v>0.1</v>
      </c>
      <c r="AAQ19" s="15">
        <v>0.1</v>
      </c>
      <c r="AAR19" s="15">
        <v>0.1</v>
      </c>
      <c r="AAS19" s="15">
        <v>0.1</v>
      </c>
      <c r="AAT19" s="15">
        <v>0.1</v>
      </c>
      <c r="AAU19" s="15">
        <v>0.1</v>
      </c>
      <c r="AAV19" s="15">
        <v>0.1</v>
      </c>
      <c r="AAW19" s="15">
        <v>0.1</v>
      </c>
      <c r="AAX19" s="15"/>
      <c r="AAY19" s="15">
        <v>0.1</v>
      </c>
      <c r="AAZ19" s="15">
        <v>0.1</v>
      </c>
      <c r="ABA19" s="15">
        <v>0.1</v>
      </c>
      <c r="ABB19" s="15">
        <v>0.1</v>
      </c>
      <c r="ABC19" s="15">
        <v>0.1</v>
      </c>
      <c r="ABD19" s="15">
        <v>0.1</v>
      </c>
      <c r="ABE19" s="15">
        <v>0.1</v>
      </c>
      <c r="ABF19" s="15">
        <v>0.1</v>
      </c>
      <c r="ABG19" s="15">
        <v>0.1</v>
      </c>
      <c r="ABH19" s="15">
        <v>0.1</v>
      </c>
      <c r="ABI19" s="15">
        <v>0.1</v>
      </c>
      <c r="ABJ19" s="15">
        <v>0.1</v>
      </c>
      <c r="ABK19" s="15">
        <v>0.1</v>
      </c>
      <c r="ABL19" s="15">
        <v>0.1</v>
      </c>
      <c r="ABM19" s="15">
        <v>0.1</v>
      </c>
      <c r="ABN19" s="15">
        <v>0.1</v>
      </c>
      <c r="ABO19" s="15">
        <v>0.1</v>
      </c>
      <c r="ABP19" s="15">
        <v>0.1</v>
      </c>
      <c r="ABQ19" s="15">
        <v>0.1</v>
      </c>
      <c r="ABR19" s="15">
        <v>0.1</v>
      </c>
      <c r="ABS19" s="15">
        <v>0.1</v>
      </c>
      <c r="ABT19" s="15">
        <v>0.1</v>
      </c>
      <c r="ABU19" s="15">
        <v>0.1</v>
      </c>
      <c r="ABV19" s="15">
        <v>0.1</v>
      </c>
      <c r="ABW19" s="15">
        <v>0.1</v>
      </c>
      <c r="ABX19" s="15">
        <v>0.1</v>
      </c>
      <c r="ABY19" s="15">
        <v>0.1</v>
      </c>
      <c r="ABZ19" s="15">
        <v>0.1</v>
      </c>
      <c r="ACA19" s="15">
        <v>0.1</v>
      </c>
      <c r="ACB19" s="15">
        <v>0.1</v>
      </c>
      <c r="ACC19" s="15">
        <v>0.1</v>
      </c>
      <c r="ACD19" s="15">
        <v>0.1</v>
      </c>
      <c r="ACE19" s="15">
        <v>0.1</v>
      </c>
      <c r="ACF19" s="15">
        <v>0.1</v>
      </c>
      <c r="ACG19" s="15">
        <v>0.1</v>
      </c>
      <c r="ACH19" s="15">
        <v>0.1</v>
      </c>
      <c r="ACI19" s="15">
        <v>0.1</v>
      </c>
      <c r="ACJ19" s="15">
        <v>0.1</v>
      </c>
      <c r="ACK19" s="15">
        <v>0.1</v>
      </c>
      <c r="ACL19" s="15">
        <v>0.1</v>
      </c>
      <c r="ACM19" s="15">
        <v>0.1</v>
      </c>
      <c r="ACN19" s="15">
        <v>0.1</v>
      </c>
      <c r="ACO19" s="15">
        <v>0.1</v>
      </c>
      <c r="ACP19" s="15">
        <v>0.1</v>
      </c>
      <c r="ACQ19" s="15">
        <v>0.1</v>
      </c>
      <c r="ACR19" s="15">
        <v>0.1</v>
      </c>
      <c r="ACS19" s="15">
        <v>0.1</v>
      </c>
      <c r="ACT19" s="15">
        <v>0.1</v>
      </c>
      <c r="ACU19" s="15">
        <v>0.1</v>
      </c>
      <c r="ACV19" s="15">
        <v>0.1</v>
      </c>
      <c r="ACW19" s="15">
        <v>0.1</v>
      </c>
      <c r="ACX19" s="15">
        <v>0.1</v>
      </c>
      <c r="ACY19" s="15">
        <v>0.1</v>
      </c>
      <c r="ACZ19" s="15">
        <v>0.1</v>
      </c>
      <c r="ADA19" s="15">
        <v>0.1</v>
      </c>
      <c r="ADB19" s="15">
        <v>0.1</v>
      </c>
      <c r="ADC19" s="15">
        <v>0.1</v>
      </c>
      <c r="ADD19" s="15">
        <v>0.1</v>
      </c>
      <c r="ADE19" s="15">
        <v>0.1</v>
      </c>
      <c r="ADF19" s="15">
        <v>0.1</v>
      </c>
      <c r="ADG19" s="15">
        <v>0.1</v>
      </c>
      <c r="ADH19" s="15"/>
      <c r="ADI19" s="15">
        <v>0.1</v>
      </c>
      <c r="ADJ19" s="15">
        <v>0.1</v>
      </c>
      <c r="ADK19" s="15">
        <v>0.1</v>
      </c>
      <c r="ADL19" s="15">
        <v>0.1</v>
      </c>
      <c r="ADM19" s="15">
        <v>0.1</v>
      </c>
      <c r="ADN19" s="15">
        <v>0.1</v>
      </c>
      <c r="ADO19" s="15">
        <v>0.1</v>
      </c>
      <c r="ADP19" s="15">
        <v>0.1</v>
      </c>
      <c r="ADQ19" s="15">
        <v>0.1</v>
      </c>
      <c r="ADR19" s="15">
        <v>0.1</v>
      </c>
      <c r="ADS19" s="15">
        <v>0.1</v>
      </c>
      <c r="ADT19" s="15">
        <v>0.1</v>
      </c>
      <c r="ADU19" s="15">
        <v>0.1</v>
      </c>
      <c r="ADV19" s="15">
        <v>0.1</v>
      </c>
      <c r="ADW19" s="15">
        <v>0.1</v>
      </c>
      <c r="ADX19" s="15">
        <v>0.1</v>
      </c>
      <c r="ADY19" s="15">
        <v>0.1</v>
      </c>
      <c r="ADZ19" s="15">
        <v>0.1</v>
      </c>
      <c r="AEA19" s="15">
        <v>0.1</v>
      </c>
      <c r="AEB19" s="15">
        <v>0.1</v>
      </c>
      <c r="AEC19" s="15">
        <v>0.1</v>
      </c>
      <c r="AED19" s="15">
        <v>0.1</v>
      </c>
      <c r="AEE19" s="15">
        <v>0.1</v>
      </c>
      <c r="AEF19" s="15">
        <v>0.1</v>
      </c>
      <c r="AEG19" s="15">
        <v>0.1</v>
      </c>
      <c r="AEH19" s="15">
        <v>0.1</v>
      </c>
      <c r="AEI19" s="15">
        <v>0.1</v>
      </c>
      <c r="AEJ19" s="15">
        <v>0.1</v>
      </c>
      <c r="AEK19" s="15">
        <v>0.1</v>
      </c>
      <c r="AEL19" s="15">
        <v>0.1</v>
      </c>
      <c r="AEM19" s="15">
        <v>0.1</v>
      </c>
      <c r="AEN19" s="15">
        <v>0.1</v>
      </c>
      <c r="AEO19" s="15">
        <v>0.1</v>
      </c>
      <c r="AEP19" s="15">
        <v>0.1</v>
      </c>
      <c r="AEQ19" s="15">
        <v>0.1</v>
      </c>
      <c r="AER19" s="15">
        <v>0.1</v>
      </c>
      <c r="AES19" s="15">
        <v>0.1</v>
      </c>
      <c r="AET19" s="15">
        <v>0.1</v>
      </c>
      <c r="AEU19" s="15">
        <v>0.1</v>
      </c>
      <c r="AEV19" s="15">
        <v>0.1</v>
      </c>
      <c r="AEW19" s="15">
        <v>0.1</v>
      </c>
      <c r="AEX19" s="15">
        <v>0.1</v>
      </c>
      <c r="AEY19" s="15">
        <v>0.1</v>
      </c>
      <c r="AEZ19" s="15">
        <v>0.1</v>
      </c>
      <c r="AFA19" s="15">
        <v>0.1</v>
      </c>
      <c r="AFB19" s="15">
        <v>0.1</v>
      </c>
      <c r="AFC19" s="15">
        <v>0.1</v>
      </c>
      <c r="AFD19" s="15">
        <v>0.1</v>
      </c>
      <c r="AFE19" s="15">
        <v>0.1</v>
      </c>
      <c r="AFF19" s="15">
        <v>0.1</v>
      </c>
      <c r="AFG19" s="15">
        <v>0.1</v>
      </c>
      <c r="AFH19" s="15">
        <v>0.1</v>
      </c>
      <c r="AFI19" s="15">
        <v>0.1</v>
      </c>
      <c r="AFJ19" s="15">
        <v>0.1</v>
      </c>
      <c r="AFK19" s="15">
        <v>0.1</v>
      </c>
      <c r="AFL19" s="15">
        <v>0.1</v>
      </c>
      <c r="AFM19" s="15">
        <v>0.1</v>
      </c>
      <c r="AFN19" s="15">
        <v>0.1</v>
      </c>
      <c r="AFO19" s="15">
        <v>0.1</v>
      </c>
      <c r="AFP19" s="15">
        <v>0.1</v>
      </c>
      <c r="AFQ19" s="15">
        <v>0.1</v>
      </c>
      <c r="AFR19" s="15"/>
      <c r="AFS19" s="15">
        <v>0.1</v>
      </c>
      <c r="AFT19" s="15">
        <v>0.1</v>
      </c>
      <c r="AFU19" s="15">
        <v>0.1</v>
      </c>
      <c r="AFV19" s="15">
        <v>0.1</v>
      </c>
      <c r="AFW19" s="15">
        <v>0.1</v>
      </c>
      <c r="AFX19" s="15">
        <v>0.1</v>
      </c>
      <c r="AFY19" s="15">
        <v>0.1</v>
      </c>
      <c r="AFZ19" s="15">
        <v>0.1</v>
      </c>
      <c r="AGA19" s="15">
        <v>0.1</v>
      </c>
      <c r="AGB19" s="15">
        <v>0.1</v>
      </c>
      <c r="AGC19" s="15">
        <v>0.1</v>
      </c>
      <c r="AGD19" s="15">
        <v>0.1</v>
      </c>
      <c r="AGE19" s="15">
        <v>0.1</v>
      </c>
      <c r="AGF19" s="15">
        <v>0.1</v>
      </c>
      <c r="AGG19" s="15">
        <v>0.1</v>
      </c>
      <c r="AGH19" s="15">
        <v>0.1</v>
      </c>
      <c r="AGI19" s="15">
        <v>0.1</v>
      </c>
      <c r="AGJ19" s="15">
        <v>0.1</v>
      </c>
      <c r="AGK19" s="15">
        <v>0.1</v>
      </c>
      <c r="AGL19" s="15">
        <v>0.1</v>
      </c>
      <c r="AGM19" s="15">
        <v>0.1</v>
      </c>
      <c r="AGN19" s="15">
        <v>0.1</v>
      </c>
      <c r="AGO19" s="15">
        <v>0.1</v>
      </c>
      <c r="AGP19" s="15">
        <v>0.1</v>
      </c>
      <c r="AGQ19" s="15">
        <v>0.1</v>
      </c>
      <c r="AGR19" s="15">
        <v>0.1</v>
      </c>
      <c r="AGS19" s="15">
        <v>0.1</v>
      </c>
      <c r="AGT19" s="15">
        <v>0.1</v>
      </c>
      <c r="AGU19" s="15">
        <v>0.1</v>
      </c>
      <c r="AGV19" s="15">
        <v>0.1</v>
      </c>
      <c r="AGW19" s="15">
        <v>0.1</v>
      </c>
      <c r="AGX19" s="15">
        <v>0.1</v>
      </c>
      <c r="AGY19" s="15">
        <v>0.1</v>
      </c>
      <c r="AGZ19" s="15">
        <v>0.1</v>
      </c>
      <c r="AHA19" s="15">
        <v>0.1</v>
      </c>
      <c r="AHB19" s="15">
        <v>0.1</v>
      </c>
      <c r="AHC19" s="15">
        <v>0.1</v>
      </c>
      <c r="AHD19" s="15">
        <v>0.1</v>
      </c>
      <c r="AHE19" s="15">
        <v>0.1</v>
      </c>
      <c r="AHF19" s="15">
        <v>0.1</v>
      </c>
      <c r="AHG19" s="15">
        <v>0.1</v>
      </c>
      <c r="AHH19" s="15">
        <v>0.1</v>
      </c>
      <c r="AHI19" s="15">
        <v>0.1</v>
      </c>
      <c r="AHJ19" s="15">
        <v>0.1</v>
      </c>
      <c r="AHK19" s="15">
        <v>0.1</v>
      </c>
      <c r="AHL19" s="15">
        <v>0.1</v>
      </c>
      <c r="AHM19" s="15">
        <v>0.1</v>
      </c>
      <c r="AHN19" s="15">
        <v>0.1</v>
      </c>
      <c r="AHO19" s="15">
        <v>0.1</v>
      </c>
      <c r="AHP19" s="15">
        <v>0.1</v>
      </c>
      <c r="AHQ19" s="15">
        <v>0.1</v>
      </c>
      <c r="AHR19" s="15">
        <v>0.1</v>
      </c>
      <c r="AHS19" s="15">
        <v>0.1</v>
      </c>
      <c r="AHT19" s="15">
        <v>0.1</v>
      </c>
      <c r="AHU19" s="15">
        <v>0.1</v>
      </c>
      <c r="AHV19" s="15">
        <v>0.1</v>
      </c>
      <c r="AHW19" s="15">
        <v>0.1</v>
      </c>
      <c r="AHX19" s="15">
        <v>0.1</v>
      </c>
      <c r="AHY19" s="15">
        <v>0.1</v>
      </c>
      <c r="AHZ19" s="15">
        <v>0.1</v>
      </c>
      <c r="AIA19" s="15">
        <v>0.1</v>
      </c>
      <c r="AIB19" s="15">
        <v>0.1</v>
      </c>
      <c r="AIC19" s="15">
        <v>0.1</v>
      </c>
      <c r="AID19" s="15">
        <v>0.1</v>
      </c>
      <c r="AIE19" s="15">
        <v>0.1</v>
      </c>
      <c r="AIF19" s="15">
        <v>0.1</v>
      </c>
      <c r="AIG19" s="15">
        <v>0.1</v>
      </c>
      <c r="AIH19" s="15">
        <v>0.1</v>
      </c>
      <c r="AII19" s="15">
        <v>0.1</v>
      </c>
      <c r="AIJ19" s="15">
        <v>0.1</v>
      </c>
      <c r="AIK19" s="15">
        <v>0.1</v>
      </c>
      <c r="AIL19" s="15">
        <v>0.1</v>
      </c>
      <c r="AIM19" s="15">
        <v>0.1</v>
      </c>
      <c r="AIN19" s="15">
        <v>0.1</v>
      </c>
      <c r="AIO19" s="15">
        <v>0.1</v>
      </c>
      <c r="AIP19" s="15">
        <v>0.1</v>
      </c>
      <c r="AIQ19" s="15">
        <v>0.1</v>
      </c>
      <c r="AIR19" s="15">
        <v>0.1</v>
      </c>
      <c r="AIS19" s="15">
        <v>0.1</v>
      </c>
      <c r="AIT19" s="15">
        <v>0.1</v>
      </c>
      <c r="AIU19" s="15">
        <v>0.1</v>
      </c>
      <c r="AIV19" s="15">
        <v>0.1</v>
      </c>
      <c r="AIW19" s="15">
        <v>0.1</v>
      </c>
      <c r="AIX19" s="15">
        <v>0.1</v>
      </c>
      <c r="AIY19" s="15">
        <v>0.1</v>
      </c>
      <c r="AIZ19" s="15">
        <v>0.1</v>
      </c>
      <c r="AJA19" s="15">
        <v>0.1</v>
      </c>
      <c r="AJB19" s="15">
        <v>0.1</v>
      </c>
      <c r="AJC19" s="15">
        <v>0.1</v>
      </c>
      <c r="AJD19" s="15">
        <v>0.1</v>
      </c>
      <c r="AJE19" s="15">
        <v>0.1</v>
      </c>
      <c r="AJF19" s="15"/>
      <c r="AJG19" s="15">
        <v>0.1</v>
      </c>
      <c r="AJH19" s="15">
        <v>0.1</v>
      </c>
      <c r="AJI19" s="15">
        <v>0.1</v>
      </c>
      <c r="AJJ19" s="15">
        <v>0.1</v>
      </c>
      <c r="AJK19" s="15">
        <v>0.1</v>
      </c>
      <c r="AJL19" s="15">
        <v>0.1</v>
      </c>
      <c r="AJM19" s="15">
        <v>0.1</v>
      </c>
      <c r="AJN19" s="15"/>
      <c r="AJO19" s="15">
        <v>0.1</v>
      </c>
      <c r="AJP19" s="15">
        <v>0.1</v>
      </c>
      <c r="AJQ19" s="15">
        <v>0.1</v>
      </c>
      <c r="AJR19" s="15">
        <v>0.1</v>
      </c>
      <c r="AJS19" s="15">
        <v>0.1</v>
      </c>
      <c r="AJT19" s="15">
        <v>0.1</v>
      </c>
      <c r="AJU19" s="15">
        <v>0.1</v>
      </c>
      <c r="AJV19" s="15">
        <v>0.1</v>
      </c>
      <c r="AJW19" s="15">
        <v>0.1</v>
      </c>
      <c r="AJX19" s="15"/>
      <c r="AJY19" s="15">
        <v>0.1</v>
      </c>
      <c r="AJZ19" s="15">
        <v>0.1</v>
      </c>
      <c r="AKA19" s="15">
        <v>0.1</v>
      </c>
      <c r="AKB19" s="15">
        <v>0.1</v>
      </c>
      <c r="AKC19" s="15">
        <v>0.1</v>
      </c>
      <c r="AKD19" s="15">
        <v>0.1</v>
      </c>
      <c r="AKE19" s="15">
        <v>0.1</v>
      </c>
      <c r="AKF19" s="15">
        <v>0.1</v>
      </c>
      <c r="AKG19" s="15">
        <v>0.1</v>
      </c>
      <c r="AKH19" s="15">
        <v>0.1</v>
      </c>
      <c r="AKI19" s="15"/>
      <c r="AKJ19" s="15">
        <v>0.1</v>
      </c>
      <c r="AKK19" s="15">
        <v>0.1</v>
      </c>
      <c r="AKL19" s="15">
        <v>0.1</v>
      </c>
      <c r="AKM19" s="15">
        <v>0.1</v>
      </c>
      <c r="AKN19" s="15">
        <v>0.1</v>
      </c>
      <c r="AKO19" s="15">
        <v>0.1</v>
      </c>
      <c r="AKP19" s="15">
        <v>0.1</v>
      </c>
      <c r="AKQ19" s="15">
        <v>0.1</v>
      </c>
      <c r="AKR19" s="15">
        <v>0.1</v>
      </c>
      <c r="AKS19" s="15">
        <v>0.1</v>
      </c>
      <c r="AKT19" s="15">
        <v>0.1</v>
      </c>
      <c r="AKU19" s="15">
        <v>0.1</v>
      </c>
      <c r="AKV19" s="15">
        <v>0.1</v>
      </c>
      <c r="AKW19" s="15">
        <v>0.1</v>
      </c>
      <c r="AKX19" s="15"/>
      <c r="AKY19" s="15">
        <v>0.1</v>
      </c>
      <c r="AKZ19" s="15">
        <v>0.1</v>
      </c>
      <c r="ALA19" s="15">
        <v>0.1</v>
      </c>
      <c r="ALB19" s="15">
        <v>0.1</v>
      </c>
      <c r="ALC19" s="15">
        <v>0.1</v>
      </c>
      <c r="ALD19" s="15">
        <v>0.1</v>
      </c>
      <c r="ALE19" s="15">
        <v>0.1</v>
      </c>
      <c r="ALF19" s="15">
        <v>0.1</v>
      </c>
      <c r="ALG19" s="15">
        <v>0.1</v>
      </c>
      <c r="ALH19" s="15">
        <v>0.1</v>
      </c>
      <c r="ALI19" s="15">
        <v>0.1</v>
      </c>
      <c r="ALJ19" s="15">
        <v>0.1</v>
      </c>
      <c r="ALK19" s="15">
        <v>0.1</v>
      </c>
      <c r="ALL19" s="15">
        <v>0.1</v>
      </c>
      <c r="ALM19" s="15"/>
      <c r="ALN19" s="15">
        <v>0.1</v>
      </c>
      <c r="ALO19" s="15">
        <v>0.1</v>
      </c>
      <c r="ALP19" s="15">
        <v>0.1</v>
      </c>
      <c r="ALQ19" s="15">
        <v>0.1</v>
      </c>
      <c r="ALR19" s="15">
        <v>0.1</v>
      </c>
      <c r="ALS19" s="15">
        <v>0.1</v>
      </c>
      <c r="ALT19" s="15">
        <v>0.1</v>
      </c>
      <c r="ALU19" s="15">
        <v>0.1</v>
      </c>
      <c r="ALV19" s="15">
        <v>0.1</v>
      </c>
      <c r="ALW19" s="15">
        <v>0.1</v>
      </c>
      <c r="ALX19" s="15">
        <v>0.1</v>
      </c>
      <c r="ALY19" s="15">
        <v>0.1</v>
      </c>
      <c r="ALZ19" s="15">
        <v>0.1</v>
      </c>
      <c r="AMA19" s="15">
        <v>0.1</v>
      </c>
      <c r="AMB19" s="15">
        <v>0.1</v>
      </c>
      <c r="AMC19" s="15"/>
      <c r="AMD19" s="15">
        <v>0.1</v>
      </c>
      <c r="AME19" s="15">
        <v>0.1</v>
      </c>
      <c r="AMF19" s="15">
        <v>0.1</v>
      </c>
      <c r="AMG19" s="15">
        <v>0.1</v>
      </c>
      <c r="AMH19" s="15">
        <v>0.1</v>
      </c>
      <c r="AMI19" s="15">
        <v>0.1</v>
      </c>
      <c r="AMJ19" s="15">
        <v>0.1</v>
      </c>
      <c r="AMK19" s="15">
        <v>0.1</v>
      </c>
      <c r="AML19" s="15">
        <v>0.1</v>
      </c>
      <c r="AMM19" s="15">
        <v>0.1</v>
      </c>
      <c r="AMN19" s="15">
        <v>0.1</v>
      </c>
      <c r="AMO19" s="15">
        <v>0.1</v>
      </c>
      <c r="AMP19" s="15">
        <v>0.1</v>
      </c>
      <c r="AMQ19" s="15">
        <v>0.1</v>
      </c>
      <c r="AMR19" s="15">
        <v>0.1</v>
      </c>
      <c r="AMS19" s="15">
        <v>0.1</v>
      </c>
      <c r="AMT19" s="15">
        <v>0.1</v>
      </c>
      <c r="AMU19" s="15">
        <v>0.1</v>
      </c>
      <c r="AMV19" s="15">
        <v>0.1</v>
      </c>
      <c r="AMW19" s="15">
        <v>0.1</v>
      </c>
      <c r="AMX19" s="15">
        <v>0.1</v>
      </c>
      <c r="AMY19" s="15">
        <v>0.1</v>
      </c>
      <c r="AMZ19" s="15">
        <v>0.1</v>
      </c>
      <c r="ANA19" s="15">
        <v>0.1</v>
      </c>
      <c r="ANB19" s="15">
        <v>0.1</v>
      </c>
      <c r="ANC19" s="15">
        <v>0.1</v>
      </c>
      <c r="AND19" s="15">
        <v>0.1</v>
      </c>
      <c r="ANE19" s="15"/>
      <c r="ANF19" s="15"/>
      <c r="ANG19" s="15"/>
      <c r="ANH19" s="15"/>
      <c r="ANI19" s="15"/>
      <c r="ANJ19" s="15"/>
      <c r="ANK19" s="15"/>
      <c r="ANL19" s="15"/>
      <c r="ANM19" s="15"/>
      <c r="ANN19" s="15"/>
      <c r="ANO19" s="15"/>
      <c r="ANP19" s="15"/>
      <c r="ANQ19" s="15"/>
      <c r="ANR19" s="15"/>
      <c r="ANS19" s="15"/>
      <c r="ANT19" s="15"/>
      <c r="ANU19" s="15"/>
      <c r="ANV19" s="15"/>
      <c r="ANW19" s="15"/>
      <c r="ANX19" s="15"/>
      <c r="ANY19" s="15"/>
      <c r="ANZ19" s="15"/>
      <c r="AOA19" s="15"/>
      <c r="AOB19" s="15"/>
      <c r="AOC19" s="15"/>
      <c r="AOD19" s="15"/>
      <c r="AOE19" s="15"/>
      <c r="AOF19" s="15"/>
      <c r="AOG19" s="15"/>
      <c r="AOH19" s="15"/>
      <c r="AOI19" s="15"/>
      <c r="AOJ19" s="15"/>
      <c r="AOK19" s="15"/>
      <c r="AOL19" s="15"/>
      <c r="AOM19" s="15"/>
      <c r="AON19" s="15"/>
      <c r="AOO19" s="15"/>
      <c r="AOP19" s="15"/>
      <c r="AOQ19" s="15"/>
      <c r="AOR19" s="15"/>
      <c r="AOS19" s="15"/>
      <c r="AOT19" s="15"/>
      <c r="AOU19" s="15"/>
      <c r="AOV19" s="15"/>
      <c r="AOW19" s="15"/>
      <c r="AOX19" s="15"/>
      <c r="AOY19" s="15"/>
      <c r="AOZ19" s="15"/>
      <c r="APA19" s="15"/>
      <c r="APB19" s="15"/>
      <c r="APC19" s="15"/>
      <c r="APD19" s="15"/>
      <c r="APE19" s="15"/>
      <c r="APF19" s="15"/>
      <c r="APG19" s="15"/>
      <c r="APH19" s="15"/>
      <c r="API19" s="15"/>
      <c r="APJ19" s="15"/>
      <c r="APK19" s="15"/>
      <c r="APL19" s="15"/>
      <c r="APM19" s="15"/>
      <c r="APN19" s="15"/>
      <c r="APO19" s="15"/>
      <c r="APP19" s="15"/>
      <c r="APQ19" s="15"/>
      <c r="APR19" s="15"/>
      <c r="APS19" s="15"/>
      <c r="APT19" s="15"/>
      <c r="APU19" s="15"/>
      <c r="APV19" s="15"/>
      <c r="APW19" s="15"/>
      <c r="APX19" s="15"/>
      <c r="APY19" s="15"/>
      <c r="APZ19" s="15"/>
      <c r="AQA19" s="15"/>
      <c r="AQB19" s="15"/>
    </row>
    <row r="20" spans="1:1120" s="17" customFormat="1" ht="15" customHeight="1" x14ac:dyDescent="0.25">
      <c r="A20" s="5" t="s">
        <v>1</v>
      </c>
      <c r="B20" s="6" t="s">
        <v>644</v>
      </c>
      <c r="C20" s="15">
        <v>1</v>
      </c>
      <c r="D20" s="15">
        <v>1</v>
      </c>
      <c r="E20" s="15">
        <v>1</v>
      </c>
      <c r="F20" s="15">
        <v>1</v>
      </c>
      <c r="G20" s="15">
        <v>1</v>
      </c>
      <c r="H20" s="15">
        <v>1</v>
      </c>
      <c r="I20" s="15">
        <v>1</v>
      </c>
      <c r="J20" s="15"/>
      <c r="K20" s="15">
        <v>1</v>
      </c>
      <c r="L20" s="15">
        <v>1</v>
      </c>
      <c r="M20" s="15">
        <v>1</v>
      </c>
      <c r="N20" s="15">
        <v>1</v>
      </c>
      <c r="O20" s="15">
        <v>1</v>
      </c>
      <c r="P20" s="15">
        <v>1</v>
      </c>
      <c r="Q20" s="15"/>
      <c r="R20" s="15">
        <v>1</v>
      </c>
      <c r="S20" s="15">
        <v>1</v>
      </c>
      <c r="T20" s="15">
        <v>1</v>
      </c>
      <c r="U20" s="15">
        <v>1</v>
      </c>
      <c r="V20" s="15">
        <v>1</v>
      </c>
      <c r="W20" s="15">
        <v>1</v>
      </c>
      <c r="X20" s="15"/>
      <c r="Y20" s="15">
        <v>1</v>
      </c>
      <c r="Z20" s="15">
        <v>1</v>
      </c>
      <c r="AA20" s="15">
        <v>1</v>
      </c>
      <c r="AB20" s="15">
        <v>1</v>
      </c>
      <c r="AC20" s="15">
        <v>1</v>
      </c>
      <c r="AD20" s="15">
        <v>1</v>
      </c>
      <c r="AE20" s="15"/>
      <c r="AF20" s="15">
        <v>1</v>
      </c>
      <c r="AG20" s="15">
        <v>1</v>
      </c>
      <c r="AH20" s="15">
        <v>1</v>
      </c>
      <c r="AI20" s="15">
        <v>1</v>
      </c>
      <c r="AJ20" s="15">
        <v>1</v>
      </c>
      <c r="AK20" s="15">
        <v>1</v>
      </c>
      <c r="AL20" s="15"/>
      <c r="AM20" s="15">
        <v>1</v>
      </c>
      <c r="AN20" s="15">
        <v>1</v>
      </c>
      <c r="AO20" s="15">
        <v>1</v>
      </c>
      <c r="AP20" s="15">
        <v>1</v>
      </c>
      <c r="AQ20" s="15">
        <v>1</v>
      </c>
      <c r="AR20" s="15">
        <v>1</v>
      </c>
      <c r="AS20" s="15">
        <v>1</v>
      </c>
      <c r="AT20" s="15">
        <v>1</v>
      </c>
      <c r="AU20" s="15">
        <v>1</v>
      </c>
      <c r="AV20" s="15">
        <v>1</v>
      </c>
      <c r="AW20" s="15">
        <v>1</v>
      </c>
      <c r="AX20" s="15">
        <v>1</v>
      </c>
      <c r="AY20" s="15">
        <v>1</v>
      </c>
      <c r="AZ20" s="15">
        <v>1</v>
      </c>
      <c r="BA20" s="15">
        <v>1</v>
      </c>
      <c r="BB20" s="15">
        <v>1</v>
      </c>
      <c r="BC20" s="15">
        <v>1</v>
      </c>
      <c r="BD20" s="15">
        <v>1</v>
      </c>
      <c r="BE20" s="15">
        <v>1</v>
      </c>
      <c r="BF20" s="15">
        <v>1</v>
      </c>
      <c r="BG20" s="15">
        <v>1</v>
      </c>
      <c r="BH20" s="15">
        <v>1</v>
      </c>
      <c r="BI20" s="15">
        <v>1</v>
      </c>
      <c r="BJ20" s="15">
        <v>1</v>
      </c>
      <c r="BK20" s="15">
        <v>1</v>
      </c>
      <c r="BL20" s="15">
        <v>1</v>
      </c>
      <c r="BM20" s="15">
        <v>1</v>
      </c>
      <c r="BN20" s="15">
        <v>1</v>
      </c>
      <c r="BO20" s="15">
        <v>1</v>
      </c>
      <c r="BP20" s="15">
        <v>1</v>
      </c>
      <c r="BQ20" s="15">
        <v>1</v>
      </c>
      <c r="BR20" s="15">
        <v>1</v>
      </c>
      <c r="BS20" s="15">
        <v>1</v>
      </c>
      <c r="BT20" s="15">
        <v>1</v>
      </c>
      <c r="BU20" s="15">
        <v>1</v>
      </c>
      <c r="BV20" s="15">
        <v>1</v>
      </c>
      <c r="BW20" s="15">
        <v>1</v>
      </c>
      <c r="BX20" s="15">
        <v>1</v>
      </c>
      <c r="BY20" s="15">
        <v>1</v>
      </c>
      <c r="BZ20" s="15">
        <v>1</v>
      </c>
      <c r="CA20" s="15">
        <v>1</v>
      </c>
      <c r="CB20" s="15">
        <v>1</v>
      </c>
      <c r="CC20" s="15">
        <v>1</v>
      </c>
      <c r="CD20" s="15">
        <v>1</v>
      </c>
      <c r="CE20" s="15">
        <v>1</v>
      </c>
      <c r="CF20" s="15">
        <v>1</v>
      </c>
      <c r="CG20" s="15">
        <v>1</v>
      </c>
      <c r="CH20" s="15">
        <v>1</v>
      </c>
      <c r="CI20" s="15">
        <v>1</v>
      </c>
      <c r="CJ20" s="15">
        <v>1</v>
      </c>
      <c r="CK20" s="15">
        <v>1</v>
      </c>
      <c r="CL20" s="15">
        <v>1</v>
      </c>
      <c r="CM20" s="15">
        <v>1</v>
      </c>
      <c r="CN20" s="15">
        <v>1</v>
      </c>
      <c r="CO20" s="15">
        <v>1</v>
      </c>
      <c r="CP20" s="15">
        <v>1</v>
      </c>
      <c r="CQ20" s="15">
        <v>1</v>
      </c>
      <c r="CR20" s="15">
        <v>1</v>
      </c>
      <c r="CS20" s="15">
        <v>1</v>
      </c>
      <c r="CT20" s="15">
        <v>1</v>
      </c>
      <c r="CU20" s="15">
        <v>1</v>
      </c>
      <c r="CV20" s="15">
        <v>1</v>
      </c>
      <c r="CW20" s="15">
        <v>1</v>
      </c>
      <c r="CX20" s="15">
        <v>1</v>
      </c>
      <c r="CY20" s="15">
        <v>1</v>
      </c>
      <c r="CZ20" s="15">
        <v>1</v>
      </c>
      <c r="DA20" s="15">
        <v>1</v>
      </c>
      <c r="DB20" s="15">
        <v>1</v>
      </c>
      <c r="DC20" s="15">
        <v>1</v>
      </c>
      <c r="DD20" s="15">
        <v>1</v>
      </c>
      <c r="DE20" s="15">
        <v>1</v>
      </c>
      <c r="DF20" s="15">
        <v>1</v>
      </c>
      <c r="DG20" s="15">
        <v>1</v>
      </c>
      <c r="DH20" s="15">
        <v>1</v>
      </c>
      <c r="DI20" s="15">
        <v>1</v>
      </c>
      <c r="DJ20" s="15">
        <v>1</v>
      </c>
      <c r="DK20" s="15">
        <v>1</v>
      </c>
      <c r="DL20" s="15">
        <v>1</v>
      </c>
      <c r="DM20" s="15">
        <v>1</v>
      </c>
      <c r="DN20" s="15">
        <v>1</v>
      </c>
      <c r="DO20" s="15">
        <v>1</v>
      </c>
      <c r="DP20" s="15">
        <v>1</v>
      </c>
      <c r="DQ20" s="15">
        <v>1</v>
      </c>
      <c r="DR20" s="15">
        <v>1</v>
      </c>
      <c r="DS20" s="15">
        <v>1</v>
      </c>
      <c r="DT20" s="15">
        <v>1</v>
      </c>
      <c r="DU20" s="15">
        <v>1</v>
      </c>
      <c r="DV20" s="15">
        <v>1</v>
      </c>
      <c r="DW20" s="15">
        <v>1</v>
      </c>
      <c r="DX20" s="15">
        <v>1</v>
      </c>
      <c r="DY20" s="15">
        <v>1</v>
      </c>
      <c r="DZ20" s="15">
        <v>1</v>
      </c>
      <c r="EA20" s="15">
        <v>1</v>
      </c>
      <c r="EB20" s="15">
        <v>1</v>
      </c>
      <c r="EC20" s="15">
        <v>1</v>
      </c>
      <c r="ED20" s="15">
        <v>1</v>
      </c>
      <c r="EE20" s="15">
        <v>1</v>
      </c>
      <c r="EF20" s="15">
        <v>1</v>
      </c>
      <c r="EG20" s="15">
        <v>1</v>
      </c>
      <c r="EH20" s="15">
        <v>1</v>
      </c>
      <c r="EI20" s="15">
        <v>1</v>
      </c>
      <c r="EJ20" s="15">
        <v>1</v>
      </c>
      <c r="EK20" s="15">
        <v>1</v>
      </c>
      <c r="EL20" s="15">
        <v>1</v>
      </c>
      <c r="EM20" s="15">
        <v>1</v>
      </c>
      <c r="EN20" s="15">
        <v>1</v>
      </c>
      <c r="EO20" s="15">
        <v>1</v>
      </c>
      <c r="EP20" s="15">
        <v>1</v>
      </c>
      <c r="EQ20" s="15">
        <v>1</v>
      </c>
      <c r="ER20" s="15">
        <v>1</v>
      </c>
      <c r="ES20" s="15">
        <v>1</v>
      </c>
      <c r="ET20" s="15">
        <v>1</v>
      </c>
      <c r="EU20" s="15">
        <v>1</v>
      </c>
      <c r="EV20" s="15">
        <v>1</v>
      </c>
      <c r="EW20" s="15">
        <v>1</v>
      </c>
      <c r="EX20" s="15">
        <v>1</v>
      </c>
      <c r="EY20" s="15">
        <v>1</v>
      </c>
      <c r="EZ20" s="15">
        <v>1</v>
      </c>
      <c r="FA20" s="15">
        <v>1</v>
      </c>
      <c r="FB20" s="15">
        <v>1</v>
      </c>
      <c r="FC20" s="15">
        <v>1</v>
      </c>
      <c r="FD20" s="15"/>
      <c r="FE20" s="15">
        <v>1</v>
      </c>
      <c r="FF20" s="15">
        <v>1</v>
      </c>
      <c r="FG20" s="15">
        <v>1</v>
      </c>
      <c r="FH20" s="15">
        <v>1</v>
      </c>
      <c r="FI20" s="15">
        <v>1</v>
      </c>
      <c r="FJ20" s="15">
        <v>1</v>
      </c>
      <c r="FK20" s="15">
        <v>1</v>
      </c>
      <c r="FL20" s="15">
        <v>1</v>
      </c>
      <c r="FM20" s="15">
        <v>1</v>
      </c>
      <c r="FN20" s="15">
        <v>1</v>
      </c>
      <c r="FO20" s="15">
        <v>1</v>
      </c>
      <c r="FP20" s="15">
        <v>1</v>
      </c>
      <c r="FQ20" s="15">
        <v>1</v>
      </c>
      <c r="FR20" s="15">
        <v>1</v>
      </c>
      <c r="FS20" s="15">
        <v>1</v>
      </c>
      <c r="FT20" s="15">
        <v>1</v>
      </c>
      <c r="FU20" s="15">
        <v>1</v>
      </c>
      <c r="FV20" s="15">
        <v>1</v>
      </c>
      <c r="FW20" s="15">
        <v>1</v>
      </c>
      <c r="FX20" s="15">
        <v>1</v>
      </c>
      <c r="FY20" s="15">
        <v>1</v>
      </c>
      <c r="FZ20" s="15">
        <v>1</v>
      </c>
      <c r="GA20" s="15">
        <v>1</v>
      </c>
      <c r="GB20" s="15">
        <v>1</v>
      </c>
      <c r="GC20" s="15">
        <v>1</v>
      </c>
      <c r="GD20" s="15">
        <v>1</v>
      </c>
      <c r="GE20" s="15">
        <v>1</v>
      </c>
      <c r="GF20" s="15">
        <v>1</v>
      </c>
      <c r="GG20" s="15">
        <v>1</v>
      </c>
      <c r="GH20" s="15">
        <v>1</v>
      </c>
      <c r="GI20" s="15">
        <v>1</v>
      </c>
      <c r="GJ20" s="15">
        <v>1</v>
      </c>
      <c r="GK20" s="15">
        <v>1</v>
      </c>
      <c r="GL20" s="15">
        <v>1</v>
      </c>
      <c r="GM20" s="15">
        <v>1</v>
      </c>
      <c r="GN20" s="15">
        <v>1</v>
      </c>
      <c r="GO20" s="15">
        <v>1</v>
      </c>
      <c r="GP20" s="15">
        <v>1</v>
      </c>
      <c r="GQ20" s="15">
        <v>1</v>
      </c>
      <c r="GR20" s="15">
        <v>1</v>
      </c>
      <c r="GS20" s="15">
        <v>1</v>
      </c>
      <c r="GT20" s="15">
        <v>1</v>
      </c>
      <c r="GU20" s="15">
        <v>1</v>
      </c>
      <c r="GV20" s="15">
        <v>1</v>
      </c>
      <c r="GW20" s="15">
        <v>1</v>
      </c>
      <c r="GX20" s="15">
        <v>1</v>
      </c>
      <c r="GY20" s="15">
        <v>1</v>
      </c>
      <c r="GZ20" s="15">
        <v>1</v>
      </c>
      <c r="HA20" s="15">
        <v>1</v>
      </c>
      <c r="HB20" s="15">
        <v>1</v>
      </c>
      <c r="HC20" s="15">
        <v>1</v>
      </c>
      <c r="HD20" s="15">
        <v>1</v>
      </c>
      <c r="HE20" s="15">
        <v>1</v>
      </c>
      <c r="HF20" s="15">
        <v>1</v>
      </c>
      <c r="HG20" s="15">
        <v>1</v>
      </c>
      <c r="HH20" s="15">
        <v>1</v>
      </c>
      <c r="HI20" s="15">
        <v>1</v>
      </c>
      <c r="HJ20" s="15">
        <v>1</v>
      </c>
      <c r="HK20" s="15">
        <v>1</v>
      </c>
      <c r="HL20" s="15">
        <v>1</v>
      </c>
      <c r="HM20" s="15">
        <v>1</v>
      </c>
      <c r="HN20" s="15">
        <v>1</v>
      </c>
      <c r="HO20" s="15">
        <v>1</v>
      </c>
      <c r="HP20" s="15">
        <v>1</v>
      </c>
      <c r="HQ20" s="15">
        <v>1</v>
      </c>
      <c r="HR20" s="15">
        <v>1</v>
      </c>
      <c r="HS20" s="15">
        <v>1</v>
      </c>
      <c r="HT20" s="15">
        <v>1</v>
      </c>
      <c r="HU20" s="15">
        <v>1</v>
      </c>
      <c r="HV20" s="15">
        <v>1</v>
      </c>
      <c r="HW20" s="15">
        <v>1</v>
      </c>
      <c r="HX20" s="15">
        <v>1</v>
      </c>
      <c r="HY20" s="15">
        <v>1</v>
      </c>
      <c r="HZ20" s="15">
        <v>1</v>
      </c>
      <c r="IA20" s="15">
        <v>1</v>
      </c>
      <c r="IB20" s="15"/>
      <c r="IC20" s="15">
        <v>1</v>
      </c>
      <c r="ID20" s="15">
        <v>1</v>
      </c>
      <c r="IE20" s="15">
        <v>1</v>
      </c>
      <c r="IF20" s="15">
        <v>1</v>
      </c>
      <c r="IG20" s="15">
        <v>1</v>
      </c>
      <c r="IH20" s="15">
        <v>1</v>
      </c>
      <c r="II20" s="15">
        <v>1</v>
      </c>
      <c r="IJ20" s="15">
        <v>1</v>
      </c>
      <c r="IK20" s="15"/>
      <c r="IL20" s="15">
        <v>1</v>
      </c>
      <c r="IM20" s="15">
        <v>1</v>
      </c>
      <c r="IN20" s="15">
        <v>1</v>
      </c>
      <c r="IO20" s="15">
        <v>1</v>
      </c>
      <c r="IP20" s="15">
        <v>1</v>
      </c>
      <c r="IQ20" s="15">
        <v>1</v>
      </c>
      <c r="IR20" s="15">
        <v>1</v>
      </c>
      <c r="IS20" s="15">
        <v>1</v>
      </c>
      <c r="IT20" s="15">
        <v>1</v>
      </c>
      <c r="IU20" s="15">
        <v>1</v>
      </c>
      <c r="IV20" s="15">
        <v>1</v>
      </c>
      <c r="IW20" s="15">
        <v>1</v>
      </c>
      <c r="IX20" s="15">
        <v>1</v>
      </c>
      <c r="IY20" s="15">
        <v>1</v>
      </c>
      <c r="IZ20" s="15">
        <v>1</v>
      </c>
      <c r="JA20" s="15">
        <v>1</v>
      </c>
      <c r="JB20" s="15">
        <v>1</v>
      </c>
      <c r="JC20" s="15">
        <v>1</v>
      </c>
      <c r="JD20" s="15">
        <v>1</v>
      </c>
      <c r="JE20" s="15">
        <v>1</v>
      </c>
      <c r="JF20" s="15">
        <v>1</v>
      </c>
      <c r="JG20" s="15">
        <v>1</v>
      </c>
      <c r="JH20" s="15">
        <v>1</v>
      </c>
      <c r="JI20" s="15">
        <v>1</v>
      </c>
      <c r="JJ20" s="15">
        <v>1</v>
      </c>
      <c r="JK20" s="15">
        <v>1</v>
      </c>
      <c r="JL20" s="15">
        <v>1</v>
      </c>
      <c r="JM20" s="15">
        <v>1</v>
      </c>
      <c r="JN20" s="15">
        <v>1</v>
      </c>
      <c r="JO20" s="15">
        <v>1</v>
      </c>
      <c r="JP20" s="15">
        <v>1</v>
      </c>
      <c r="JQ20" s="15">
        <v>1</v>
      </c>
      <c r="JR20" s="15">
        <v>1</v>
      </c>
      <c r="JS20" s="15">
        <v>1</v>
      </c>
      <c r="JT20" s="15">
        <v>1</v>
      </c>
      <c r="JU20" s="15">
        <v>1</v>
      </c>
      <c r="JV20" s="15">
        <v>1</v>
      </c>
      <c r="JW20" s="15">
        <v>1</v>
      </c>
      <c r="JX20" s="15">
        <v>1</v>
      </c>
      <c r="JY20" s="15">
        <v>1</v>
      </c>
      <c r="JZ20" s="15">
        <v>1</v>
      </c>
      <c r="KA20" s="15">
        <v>1</v>
      </c>
      <c r="KB20" s="15">
        <v>1</v>
      </c>
      <c r="KC20" s="15">
        <v>1</v>
      </c>
      <c r="KD20" s="15">
        <v>1</v>
      </c>
      <c r="KE20" s="15">
        <v>1</v>
      </c>
      <c r="KF20" s="15">
        <v>1</v>
      </c>
      <c r="KG20" s="15">
        <v>1</v>
      </c>
      <c r="KH20" s="15">
        <v>1</v>
      </c>
      <c r="KI20" s="15">
        <v>1</v>
      </c>
      <c r="KJ20" s="15">
        <v>1</v>
      </c>
      <c r="KK20" s="15">
        <v>1</v>
      </c>
      <c r="KL20" s="15">
        <v>1</v>
      </c>
      <c r="KM20" s="15">
        <v>1</v>
      </c>
      <c r="KN20" s="15">
        <v>1</v>
      </c>
      <c r="KO20" s="15">
        <v>1</v>
      </c>
      <c r="KP20" s="15">
        <v>1</v>
      </c>
      <c r="KQ20" s="15">
        <v>1</v>
      </c>
      <c r="KR20" s="15">
        <v>1</v>
      </c>
      <c r="KS20" s="15">
        <v>1</v>
      </c>
      <c r="KT20" s="15">
        <v>1</v>
      </c>
      <c r="KU20" s="15">
        <v>1</v>
      </c>
      <c r="KV20" s="15">
        <v>1</v>
      </c>
      <c r="KW20" s="15">
        <v>1</v>
      </c>
      <c r="KX20" s="15">
        <v>1</v>
      </c>
      <c r="KY20" s="15">
        <v>1</v>
      </c>
      <c r="KZ20" s="15">
        <v>1</v>
      </c>
      <c r="LA20" s="15">
        <v>1</v>
      </c>
      <c r="LB20" s="15">
        <v>1</v>
      </c>
      <c r="LC20" s="15">
        <v>1</v>
      </c>
      <c r="LD20" s="15">
        <v>1</v>
      </c>
      <c r="LE20" s="15">
        <v>1</v>
      </c>
      <c r="LF20" s="15">
        <v>1</v>
      </c>
      <c r="LG20" s="15">
        <v>1</v>
      </c>
      <c r="LH20" s="15">
        <v>1</v>
      </c>
      <c r="LI20" s="15">
        <v>1</v>
      </c>
      <c r="LJ20" s="15">
        <v>1</v>
      </c>
      <c r="LK20" s="15">
        <v>1</v>
      </c>
      <c r="LL20" s="15">
        <v>1</v>
      </c>
      <c r="LM20" s="15">
        <v>1</v>
      </c>
      <c r="LN20" s="15">
        <v>1</v>
      </c>
      <c r="LO20" s="15">
        <v>1</v>
      </c>
      <c r="LP20" s="15">
        <v>1</v>
      </c>
      <c r="LQ20" s="15">
        <v>1</v>
      </c>
      <c r="LR20" s="15">
        <v>1</v>
      </c>
      <c r="LS20" s="15">
        <v>1</v>
      </c>
      <c r="LT20" s="15">
        <v>1</v>
      </c>
      <c r="LU20" s="15">
        <v>1</v>
      </c>
      <c r="LV20" s="15">
        <v>1</v>
      </c>
      <c r="LW20" s="15">
        <v>1</v>
      </c>
      <c r="LX20" s="15">
        <v>1</v>
      </c>
      <c r="LY20" s="15">
        <v>1</v>
      </c>
      <c r="LZ20" s="15">
        <v>1</v>
      </c>
      <c r="MA20" s="15">
        <v>1</v>
      </c>
      <c r="MB20" s="15">
        <v>1</v>
      </c>
      <c r="MC20" s="15">
        <v>1</v>
      </c>
      <c r="MD20" s="15">
        <v>1</v>
      </c>
      <c r="ME20" s="15">
        <v>1</v>
      </c>
      <c r="MF20" s="15">
        <v>1</v>
      </c>
      <c r="MG20" s="15">
        <v>1</v>
      </c>
      <c r="MH20" s="15">
        <v>1</v>
      </c>
      <c r="MI20" s="15">
        <v>1</v>
      </c>
      <c r="MJ20" s="15">
        <v>1</v>
      </c>
      <c r="MK20" s="15">
        <v>1</v>
      </c>
      <c r="ML20" s="15">
        <v>1</v>
      </c>
      <c r="MM20" s="15">
        <v>1</v>
      </c>
      <c r="MN20" s="15">
        <v>1</v>
      </c>
      <c r="MO20" s="15">
        <v>1</v>
      </c>
      <c r="MP20" s="15">
        <v>1</v>
      </c>
      <c r="MQ20" s="15">
        <v>1</v>
      </c>
      <c r="MR20" s="15">
        <v>1</v>
      </c>
      <c r="MS20" s="15">
        <v>1</v>
      </c>
      <c r="MT20" s="15">
        <v>1</v>
      </c>
      <c r="MU20" s="15">
        <v>1</v>
      </c>
      <c r="MV20" s="15">
        <v>1</v>
      </c>
      <c r="MW20" s="15">
        <v>1</v>
      </c>
      <c r="MX20" s="15">
        <v>1</v>
      </c>
      <c r="MY20" s="15">
        <v>1</v>
      </c>
      <c r="MZ20" s="15">
        <v>1</v>
      </c>
      <c r="NA20" s="15">
        <v>1</v>
      </c>
      <c r="NB20" s="15">
        <v>1</v>
      </c>
      <c r="NC20" s="15">
        <v>1</v>
      </c>
      <c r="ND20" s="15">
        <v>1</v>
      </c>
      <c r="NE20" s="15">
        <v>1</v>
      </c>
      <c r="NF20" s="15">
        <v>1</v>
      </c>
      <c r="NG20" s="15">
        <v>1</v>
      </c>
      <c r="NH20" s="15">
        <v>1</v>
      </c>
      <c r="NI20" s="15">
        <v>1</v>
      </c>
      <c r="NJ20" s="15">
        <v>1</v>
      </c>
      <c r="NK20" s="15">
        <v>1</v>
      </c>
      <c r="NL20" s="15">
        <v>1</v>
      </c>
      <c r="NM20" s="15">
        <v>1</v>
      </c>
      <c r="NN20" s="15">
        <v>1</v>
      </c>
      <c r="NO20" s="15">
        <v>1</v>
      </c>
      <c r="NP20" s="15">
        <v>1</v>
      </c>
      <c r="NQ20" s="15">
        <v>1</v>
      </c>
      <c r="NR20" s="15">
        <v>1</v>
      </c>
      <c r="NS20" s="15">
        <v>1</v>
      </c>
      <c r="NT20" s="15">
        <v>1</v>
      </c>
      <c r="NU20" s="15">
        <v>1</v>
      </c>
      <c r="NV20" s="15">
        <v>1</v>
      </c>
      <c r="NW20" s="15">
        <v>1</v>
      </c>
      <c r="NX20" s="15">
        <v>1</v>
      </c>
      <c r="NY20" s="15">
        <v>1</v>
      </c>
      <c r="NZ20" s="15">
        <v>1</v>
      </c>
      <c r="OA20" s="15">
        <v>1</v>
      </c>
      <c r="OB20" s="15">
        <v>1</v>
      </c>
      <c r="OC20" s="15">
        <v>1</v>
      </c>
      <c r="OD20" s="15">
        <v>1</v>
      </c>
      <c r="OE20" s="15">
        <v>1</v>
      </c>
      <c r="OF20" s="15">
        <v>1</v>
      </c>
      <c r="OG20" s="15">
        <v>1</v>
      </c>
      <c r="OH20" s="15">
        <v>1</v>
      </c>
      <c r="OI20" s="15">
        <v>1</v>
      </c>
      <c r="OJ20" s="15">
        <v>1</v>
      </c>
      <c r="OK20" s="15">
        <v>1</v>
      </c>
      <c r="OL20" s="15">
        <v>1</v>
      </c>
      <c r="OM20" s="15">
        <v>1</v>
      </c>
      <c r="ON20" s="15">
        <v>1</v>
      </c>
      <c r="OO20" s="15">
        <v>1</v>
      </c>
      <c r="OP20" s="15">
        <v>1</v>
      </c>
      <c r="OQ20" s="15">
        <v>1</v>
      </c>
      <c r="OR20" s="15">
        <v>1</v>
      </c>
      <c r="OS20" s="15">
        <v>1</v>
      </c>
      <c r="OT20" s="15">
        <v>1</v>
      </c>
      <c r="OU20" s="15">
        <v>1</v>
      </c>
      <c r="OV20" s="15">
        <v>1</v>
      </c>
      <c r="OW20" s="15">
        <v>1</v>
      </c>
      <c r="OX20" s="15">
        <v>1</v>
      </c>
      <c r="OY20" s="15">
        <v>1</v>
      </c>
      <c r="OZ20" s="15">
        <v>1</v>
      </c>
      <c r="PA20" s="15">
        <v>1</v>
      </c>
      <c r="PB20" s="15">
        <v>1</v>
      </c>
      <c r="PC20" s="15">
        <v>1</v>
      </c>
      <c r="PD20" s="15">
        <v>1</v>
      </c>
      <c r="PE20" s="15">
        <v>1</v>
      </c>
      <c r="PF20" s="15">
        <v>1</v>
      </c>
      <c r="PG20" s="15">
        <v>1</v>
      </c>
      <c r="PH20" s="15">
        <v>1</v>
      </c>
      <c r="PI20" s="15">
        <v>1</v>
      </c>
      <c r="PJ20" s="15">
        <v>1</v>
      </c>
      <c r="PK20" s="15">
        <v>1</v>
      </c>
      <c r="PL20" s="15">
        <v>1</v>
      </c>
      <c r="PM20" s="15">
        <v>1</v>
      </c>
      <c r="PN20" s="15">
        <v>1</v>
      </c>
      <c r="PO20" s="15">
        <v>1</v>
      </c>
      <c r="PP20" s="15">
        <v>1</v>
      </c>
      <c r="PQ20" s="15">
        <v>1</v>
      </c>
      <c r="PR20" s="15">
        <v>1</v>
      </c>
      <c r="PS20" s="15">
        <v>1</v>
      </c>
      <c r="PT20" s="15">
        <v>1</v>
      </c>
      <c r="PU20" s="15">
        <v>1</v>
      </c>
      <c r="PV20" s="15">
        <v>1</v>
      </c>
      <c r="PW20" s="15">
        <v>1</v>
      </c>
      <c r="PX20" s="15">
        <v>1</v>
      </c>
      <c r="PY20" s="15">
        <v>1</v>
      </c>
      <c r="PZ20" s="15">
        <v>1</v>
      </c>
      <c r="QA20" s="15">
        <v>1</v>
      </c>
      <c r="QB20" s="15">
        <v>1</v>
      </c>
      <c r="QC20" s="15">
        <v>1</v>
      </c>
      <c r="QD20" s="15">
        <v>1</v>
      </c>
      <c r="QE20" s="15">
        <v>1</v>
      </c>
      <c r="QF20" s="15">
        <v>1</v>
      </c>
      <c r="QG20" s="15">
        <v>1</v>
      </c>
      <c r="QH20" s="15">
        <v>1</v>
      </c>
      <c r="QI20" s="15">
        <v>1</v>
      </c>
      <c r="QJ20" s="15">
        <v>1</v>
      </c>
      <c r="QK20" s="15">
        <v>1</v>
      </c>
      <c r="QL20" s="15">
        <v>1</v>
      </c>
      <c r="QM20" s="15">
        <v>1</v>
      </c>
      <c r="QN20" s="15">
        <v>1</v>
      </c>
      <c r="QO20" s="15">
        <v>1</v>
      </c>
      <c r="QP20" s="15">
        <v>1</v>
      </c>
      <c r="QQ20" s="15">
        <v>1</v>
      </c>
      <c r="QR20" s="15">
        <v>1</v>
      </c>
      <c r="QS20" s="15">
        <v>1</v>
      </c>
      <c r="QT20" s="15">
        <v>1</v>
      </c>
      <c r="QU20" s="15">
        <v>1</v>
      </c>
      <c r="QV20" s="15">
        <v>1</v>
      </c>
      <c r="QW20" s="15">
        <v>1</v>
      </c>
      <c r="QX20" s="15">
        <v>1</v>
      </c>
      <c r="QY20" s="15">
        <v>1</v>
      </c>
      <c r="QZ20" s="15">
        <v>1</v>
      </c>
      <c r="RA20" s="15">
        <v>1</v>
      </c>
      <c r="RB20" s="15">
        <v>1</v>
      </c>
      <c r="RC20" s="15">
        <v>1</v>
      </c>
      <c r="RD20" s="15">
        <v>1</v>
      </c>
      <c r="RE20" s="15">
        <v>1</v>
      </c>
      <c r="RF20" s="15">
        <v>1</v>
      </c>
      <c r="RG20" s="15">
        <v>1</v>
      </c>
      <c r="RH20" s="15">
        <v>1</v>
      </c>
      <c r="RI20" s="15">
        <v>1</v>
      </c>
      <c r="RJ20" s="15">
        <v>1</v>
      </c>
      <c r="RK20" s="15">
        <v>1</v>
      </c>
      <c r="RL20" s="15">
        <v>1</v>
      </c>
      <c r="RM20" s="15">
        <v>1</v>
      </c>
      <c r="RN20" s="15">
        <v>1</v>
      </c>
      <c r="RO20" s="15">
        <v>1</v>
      </c>
      <c r="RP20" s="15">
        <v>1</v>
      </c>
      <c r="RQ20" s="15">
        <v>1</v>
      </c>
      <c r="RR20" s="15">
        <v>1</v>
      </c>
      <c r="RS20" s="15"/>
      <c r="RT20" s="15">
        <v>1</v>
      </c>
      <c r="RU20" s="15">
        <v>1</v>
      </c>
      <c r="RV20" s="15">
        <v>1</v>
      </c>
      <c r="RW20" s="15">
        <v>1</v>
      </c>
      <c r="RX20" s="15">
        <v>1</v>
      </c>
      <c r="RY20" s="15">
        <v>1</v>
      </c>
      <c r="RZ20" s="15">
        <v>1</v>
      </c>
      <c r="SA20" s="15">
        <v>1</v>
      </c>
      <c r="SB20" s="15">
        <v>1</v>
      </c>
      <c r="SC20" s="15">
        <v>1</v>
      </c>
      <c r="SD20" s="15">
        <v>1</v>
      </c>
      <c r="SE20" s="15">
        <v>1</v>
      </c>
      <c r="SF20" s="15">
        <v>1</v>
      </c>
      <c r="SG20" s="15">
        <v>1</v>
      </c>
      <c r="SH20" s="15">
        <v>1</v>
      </c>
      <c r="SI20" s="15">
        <v>1</v>
      </c>
      <c r="SJ20" s="15">
        <v>1</v>
      </c>
      <c r="SK20" s="15">
        <v>1</v>
      </c>
      <c r="SL20" s="15">
        <v>1</v>
      </c>
      <c r="SM20" s="15">
        <v>1</v>
      </c>
      <c r="SN20" s="15">
        <v>1</v>
      </c>
      <c r="SO20" s="15">
        <v>1</v>
      </c>
      <c r="SP20" s="15">
        <v>1</v>
      </c>
      <c r="SQ20" s="15">
        <v>1</v>
      </c>
      <c r="SR20" s="15">
        <v>1</v>
      </c>
      <c r="SS20" s="15">
        <v>1</v>
      </c>
      <c r="ST20" s="15">
        <v>1</v>
      </c>
      <c r="SU20" s="15">
        <v>1</v>
      </c>
      <c r="SV20" s="15">
        <v>1</v>
      </c>
      <c r="SW20" s="15">
        <v>1</v>
      </c>
      <c r="SX20" s="15">
        <v>1</v>
      </c>
      <c r="SY20" s="15">
        <v>1</v>
      </c>
      <c r="SZ20" s="15">
        <v>1</v>
      </c>
      <c r="TA20" s="15">
        <v>1</v>
      </c>
      <c r="TB20" s="15">
        <v>1</v>
      </c>
      <c r="TC20" s="15">
        <v>1</v>
      </c>
      <c r="TD20" s="15">
        <v>1</v>
      </c>
      <c r="TE20" s="15">
        <v>1</v>
      </c>
      <c r="TF20" s="15">
        <v>1</v>
      </c>
      <c r="TG20" s="15">
        <v>1</v>
      </c>
      <c r="TH20" s="15">
        <v>1</v>
      </c>
      <c r="TI20" s="15">
        <v>1</v>
      </c>
      <c r="TJ20" s="15">
        <v>1</v>
      </c>
      <c r="TK20" s="15">
        <v>1</v>
      </c>
      <c r="TL20" s="15">
        <v>1</v>
      </c>
      <c r="TM20" s="15">
        <v>1</v>
      </c>
      <c r="TN20" s="15">
        <v>1</v>
      </c>
      <c r="TO20" s="15">
        <v>1</v>
      </c>
      <c r="TP20" s="15">
        <v>1</v>
      </c>
      <c r="TQ20" s="15">
        <v>1</v>
      </c>
      <c r="TR20" s="15">
        <v>1</v>
      </c>
      <c r="TS20" s="15">
        <v>1</v>
      </c>
      <c r="TT20" s="15">
        <v>1</v>
      </c>
      <c r="TU20" s="15">
        <v>1</v>
      </c>
      <c r="TV20" s="15">
        <v>1</v>
      </c>
      <c r="TW20" s="15">
        <v>1</v>
      </c>
      <c r="TX20" s="15">
        <v>1</v>
      </c>
      <c r="TY20" s="15">
        <v>1</v>
      </c>
      <c r="TZ20" s="15">
        <v>1</v>
      </c>
      <c r="UA20" s="15">
        <v>1</v>
      </c>
      <c r="UB20" s="15">
        <v>1</v>
      </c>
      <c r="UC20" s="15">
        <v>1</v>
      </c>
      <c r="UD20" s="15">
        <v>1</v>
      </c>
      <c r="UE20" s="15">
        <v>1</v>
      </c>
      <c r="UF20" s="15">
        <v>1</v>
      </c>
      <c r="UG20" s="15">
        <v>1</v>
      </c>
      <c r="UH20" s="15">
        <v>1</v>
      </c>
      <c r="UI20" s="15">
        <v>1</v>
      </c>
      <c r="UJ20" s="15">
        <v>1</v>
      </c>
      <c r="UK20" s="15">
        <v>1</v>
      </c>
      <c r="UL20" s="15">
        <v>1</v>
      </c>
      <c r="UM20" s="15">
        <v>1</v>
      </c>
      <c r="UN20" s="15">
        <v>1</v>
      </c>
      <c r="UO20" s="15">
        <v>1</v>
      </c>
      <c r="UP20" s="15">
        <v>1</v>
      </c>
      <c r="UQ20" s="15">
        <v>1</v>
      </c>
      <c r="UR20" s="15">
        <v>1</v>
      </c>
      <c r="US20" s="15">
        <v>1</v>
      </c>
      <c r="UT20" s="15">
        <v>1</v>
      </c>
      <c r="UU20" s="15">
        <v>1</v>
      </c>
      <c r="UV20" s="15">
        <v>1</v>
      </c>
      <c r="UW20" s="15">
        <v>1</v>
      </c>
      <c r="UX20" s="15">
        <v>1</v>
      </c>
      <c r="UY20" s="15">
        <v>1</v>
      </c>
      <c r="UZ20" s="15">
        <v>1</v>
      </c>
      <c r="VA20" s="15">
        <v>1</v>
      </c>
      <c r="VB20" s="15">
        <v>1</v>
      </c>
      <c r="VC20" s="15">
        <v>1</v>
      </c>
      <c r="VD20" s="15">
        <v>1</v>
      </c>
      <c r="VE20" s="15">
        <v>1</v>
      </c>
      <c r="VF20" s="15">
        <v>1</v>
      </c>
      <c r="VG20" s="15">
        <v>1</v>
      </c>
      <c r="VH20" s="15">
        <v>1</v>
      </c>
      <c r="VI20" s="15">
        <v>1</v>
      </c>
      <c r="VJ20" s="15">
        <v>1</v>
      </c>
      <c r="VK20" s="15">
        <v>1</v>
      </c>
      <c r="VL20" s="15">
        <v>1</v>
      </c>
      <c r="VM20" s="15">
        <v>1</v>
      </c>
      <c r="VN20" s="15">
        <v>1</v>
      </c>
      <c r="VO20" s="15">
        <v>1</v>
      </c>
      <c r="VP20" s="15">
        <v>1</v>
      </c>
      <c r="VQ20" s="15">
        <v>1</v>
      </c>
      <c r="VR20" s="15">
        <v>1</v>
      </c>
      <c r="VS20" s="15">
        <v>1</v>
      </c>
      <c r="VT20" s="15">
        <v>1</v>
      </c>
      <c r="VU20" s="15">
        <v>1</v>
      </c>
      <c r="VV20" s="15">
        <v>1</v>
      </c>
      <c r="VW20" s="15">
        <v>1</v>
      </c>
      <c r="VX20" s="15">
        <v>1</v>
      </c>
      <c r="VY20" s="15">
        <v>1</v>
      </c>
      <c r="VZ20" s="15">
        <v>1</v>
      </c>
      <c r="WA20" s="15">
        <v>1</v>
      </c>
      <c r="WB20" s="15">
        <v>1</v>
      </c>
      <c r="WC20" s="15">
        <v>1</v>
      </c>
      <c r="WD20" s="15">
        <v>1</v>
      </c>
      <c r="WE20" s="15">
        <v>1</v>
      </c>
      <c r="WF20" s="15">
        <v>1</v>
      </c>
      <c r="WG20" s="15">
        <v>1</v>
      </c>
      <c r="WH20" s="15">
        <v>1</v>
      </c>
      <c r="WI20" s="15">
        <v>1</v>
      </c>
      <c r="WJ20" s="15">
        <v>1</v>
      </c>
      <c r="WK20" s="15">
        <v>1</v>
      </c>
      <c r="WL20" s="15">
        <v>1</v>
      </c>
      <c r="WM20" s="15">
        <v>1</v>
      </c>
      <c r="WN20" s="15">
        <v>1</v>
      </c>
      <c r="WO20" s="15">
        <v>1</v>
      </c>
      <c r="WP20" s="15">
        <v>1</v>
      </c>
      <c r="WQ20" s="15">
        <v>1</v>
      </c>
      <c r="WR20" s="15">
        <v>1</v>
      </c>
      <c r="WS20" s="15">
        <v>1</v>
      </c>
      <c r="WT20" s="15">
        <v>1</v>
      </c>
      <c r="WU20" s="15">
        <v>1</v>
      </c>
      <c r="WV20" s="15">
        <v>1</v>
      </c>
      <c r="WW20" s="15">
        <v>1</v>
      </c>
      <c r="WX20" s="15">
        <v>1</v>
      </c>
      <c r="WY20" s="15">
        <v>1</v>
      </c>
      <c r="WZ20" s="15">
        <v>1</v>
      </c>
      <c r="XA20" s="15">
        <v>1</v>
      </c>
      <c r="XB20" s="15">
        <v>1</v>
      </c>
      <c r="XC20" s="15">
        <v>1</v>
      </c>
      <c r="XD20" s="15">
        <v>1</v>
      </c>
      <c r="XE20" s="15">
        <v>1</v>
      </c>
      <c r="XF20" s="15">
        <v>1</v>
      </c>
      <c r="XG20" s="15">
        <v>1</v>
      </c>
      <c r="XH20" s="15">
        <v>1</v>
      </c>
      <c r="XI20" s="15">
        <v>1</v>
      </c>
      <c r="XJ20" s="15">
        <v>1</v>
      </c>
      <c r="XK20" s="15">
        <v>1</v>
      </c>
      <c r="XL20" s="15">
        <v>1</v>
      </c>
      <c r="XM20" s="15">
        <v>1</v>
      </c>
      <c r="XN20" s="15">
        <v>1</v>
      </c>
      <c r="XO20" s="15">
        <v>1</v>
      </c>
      <c r="XP20" s="15">
        <v>1</v>
      </c>
      <c r="XQ20" s="15">
        <v>1</v>
      </c>
      <c r="XR20" s="15">
        <v>1</v>
      </c>
      <c r="XS20" s="15">
        <v>1</v>
      </c>
      <c r="XT20" s="15">
        <v>1</v>
      </c>
      <c r="XU20" s="15">
        <v>1</v>
      </c>
      <c r="XV20" s="15">
        <v>1</v>
      </c>
      <c r="XW20" s="15">
        <v>1</v>
      </c>
      <c r="XX20" s="15">
        <v>1</v>
      </c>
      <c r="XY20" s="15">
        <v>1</v>
      </c>
      <c r="XZ20" s="15">
        <v>1</v>
      </c>
      <c r="YA20" s="15">
        <v>1</v>
      </c>
      <c r="YB20" s="15">
        <v>1</v>
      </c>
      <c r="YC20" s="15">
        <v>1</v>
      </c>
      <c r="YD20" s="15">
        <v>1</v>
      </c>
      <c r="YE20" s="15">
        <v>1</v>
      </c>
      <c r="YF20" s="15">
        <v>1</v>
      </c>
      <c r="YG20" s="15">
        <v>1</v>
      </c>
      <c r="YH20" s="15">
        <v>1</v>
      </c>
      <c r="YI20" s="15">
        <v>1</v>
      </c>
      <c r="YJ20" s="15">
        <v>1</v>
      </c>
      <c r="YK20" s="15">
        <v>1</v>
      </c>
      <c r="YL20" s="15">
        <v>1</v>
      </c>
      <c r="YM20" s="15">
        <v>1</v>
      </c>
      <c r="YN20" s="15">
        <v>1</v>
      </c>
      <c r="YO20" s="15">
        <v>1</v>
      </c>
      <c r="YP20" s="15">
        <v>1</v>
      </c>
      <c r="YQ20" s="15">
        <v>1</v>
      </c>
      <c r="YR20" s="15">
        <v>1</v>
      </c>
      <c r="YS20" s="15">
        <v>1</v>
      </c>
      <c r="YT20" s="15">
        <v>1</v>
      </c>
      <c r="YU20" s="15">
        <v>1</v>
      </c>
      <c r="YV20" s="15">
        <v>1</v>
      </c>
      <c r="YW20" s="15">
        <v>1</v>
      </c>
      <c r="YX20" s="15">
        <v>1</v>
      </c>
      <c r="YY20" s="15">
        <v>1</v>
      </c>
      <c r="YZ20" s="15">
        <v>1</v>
      </c>
      <c r="ZA20" s="15">
        <v>1</v>
      </c>
      <c r="ZB20" s="15">
        <v>1</v>
      </c>
      <c r="ZC20" s="15">
        <v>1</v>
      </c>
      <c r="ZD20" s="15">
        <v>1</v>
      </c>
      <c r="ZE20" s="15">
        <v>1</v>
      </c>
      <c r="ZF20" s="15">
        <v>1</v>
      </c>
      <c r="ZG20" s="15">
        <v>1</v>
      </c>
      <c r="ZH20" s="15">
        <v>1</v>
      </c>
      <c r="ZI20" s="15">
        <v>1</v>
      </c>
      <c r="ZJ20" s="15">
        <v>1</v>
      </c>
      <c r="ZK20" s="15">
        <v>1</v>
      </c>
      <c r="ZL20" s="15">
        <v>1</v>
      </c>
      <c r="ZM20" s="15">
        <v>1</v>
      </c>
      <c r="ZN20" s="15">
        <v>1</v>
      </c>
      <c r="ZO20" s="15">
        <v>1</v>
      </c>
      <c r="ZP20" s="15">
        <v>1</v>
      </c>
      <c r="ZQ20" s="15">
        <v>1</v>
      </c>
      <c r="ZR20" s="15">
        <v>1</v>
      </c>
      <c r="ZS20" s="15">
        <v>1</v>
      </c>
      <c r="ZT20" s="15">
        <v>1</v>
      </c>
      <c r="ZU20" s="15">
        <v>1</v>
      </c>
      <c r="ZV20" s="15">
        <v>1</v>
      </c>
      <c r="ZW20" s="15">
        <v>1</v>
      </c>
      <c r="ZX20" s="15">
        <v>1</v>
      </c>
      <c r="ZY20" s="15">
        <v>1</v>
      </c>
      <c r="ZZ20" s="15">
        <v>1</v>
      </c>
      <c r="AAA20" s="15">
        <v>1</v>
      </c>
      <c r="AAB20" s="15">
        <v>1</v>
      </c>
      <c r="AAC20" s="15">
        <v>1</v>
      </c>
      <c r="AAD20" s="15">
        <v>1</v>
      </c>
      <c r="AAE20" s="15">
        <v>1</v>
      </c>
      <c r="AAF20" s="15">
        <v>1</v>
      </c>
      <c r="AAG20" s="15">
        <v>1</v>
      </c>
      <c r="AAH20" s="15">
        <v>1</v>
      </c>
      <c r="AAI20" s="15">
        <v>1</v>
      </c>
      <c r="AAJ20" s="15">
        <v>1</v>
      </c>
      <c r="AAK20" s="15">
        <v>1</v>
      </c>
      <c r="AAL20" s="15"/>
      <c r="AAM20" s="15">
        <v>1</v>
      </c>
      <c r="AAN20" s="15">
        <v>1</v>
      </c>
      <c r="AAO20" s="15">
        <v>1</v>
      </c>
      <c r="AAP20" s="15">
        <v>1</v>
      </c>
      <c r="AAQ20" s="15">
        <v>1</v>
      </c>
      <c r="AAR20" s="15">
        <v>1</v>
      </c>
      <c r="AAS20" s="15">
        <v>1</v>
      </c>
      <c r="AAT20" s="15">
        <v>1</v>
      </c>
      <c r="AAU20" s="15">
        <v>1</v>
      </c>
      <c r="AAV20" s="15">
        <v>1</v>
      </c>
      <c r="AAW20" s="15">
        <v>1</v>
      </c>
      <c r="AAX20" s="15"/>
      <c r="AAY20" s="15">
        <v>1</v>
      </c>
      <c r="AAZ20" s="15">
        <v>1</v>
      </c>
      <c r="ABA20" s="15">
        <v>1</v>
      </c>
      <c r="ABB20" s="15">
        <v>1</v>
      </c>
      <c r="ABC20" s="15">
        <v>1</v>
      </c>
      <c r="ABD20" s="15">
        <v>1</v>
      </c>
      <c r="ABE20" s="15">
        <v>1</v>
      </c>
      <c r="ABF20" s="15">
        <v>1</v>
      </c>
      <c r="ABG20" s="15">
        <v>1</v>
      </c>
      <c r="ABH20" s="15">
        <v>1</v>
      </c>
      <c r="ABI20" s="15">
        <v>1</v>
      </c>
      <c r="ABJ20" s="15">
        <v>1</v>
      </c>
      <c r="ABK20" s="15">
        <v>1</v>
      </c>
      <c r="ABL20" s="15">
        <v>1</v>
      </c>
      <c r="ABM20" s="15">
        <v>1</v>
      </c>
      <c r="ABN20" s="15">
        <v>1</v>
      </c>
      <c r="ABO20" s="15">
        <v>1</v>
      </c>
      <c r="ABP20" s="15">
        <v>1</v>
      </c>
      <c r="ABQ20" s="15">
        <v>1</v>
      </c>
      <c r="ABR20" s="15">
        <v>1</v>
      </c>
      <c r="ABS20" s="15">
        <v>1</v>
      </c>
      <c r="ABT20" s="15">
        <v>1</v>
      </c>
      <c r="ABU20" s="15">
        <v>1</v>
      </c>
      <c r="ABV20" s="15">
        <v>1</v>
      </c>
      <c r="ABW20" s="15">
        <v>1</v>
      </c>
      <c r="ABX20" s="15">
        <v>1</v>
      </c>
      <c r="ABY20" s="15">
        <v>1</v>
      </c>
      <c r="ABZ20" s="15">
        <v>1</v>
      </c>
      <c r="ACA20" s="15">
        <v>1</v>
      </c>
      <c r="ACB20" s="15">
        <v>1</v>
      </c>
      <c r="ACC20" s="15">
        <v>1</v>
      </c>
      <c r="ACD20" s="15">
        <v>1</v>
      </c>
      <c r="ACE20" s="15">
        <v>1</v>
      </c>
      <c r="ACF20" s="15">
        <v>1</v>
      </c>
      <c r="ACG20" s="15">
        <v>1</v>
      </c>
      <c r="ACH20" s="15">
        <v>1</v>
      </c>
      <c r="ACI20" s="15">
        <v>1</v>
      </c>
      <c r="ACJ20" s="15">
        <v>1</v>
      </c>
      <c r="ACK20" s="15">
        <v>1</v>
      </c>
      <c r="ACL20" s="15">
        <v>1</v>
      </c>
      <c r="ACM20" s="15">
        <v>1</v>
      </c>
      <c r="ACN20" s="15">
        <v>1</v>
      </c>
      <c r="ACO20" s="15">
        <v>1</v>
      </c>
      <c r="ACP20" s="15">
        <v>1</v>
      </c>
      <c r="ACQ20" s="15">
        <v>1</v>
      </c>
      <c r="ACR20" s="15">
        <v>1</v>
      </c>
      <c r="ACS20" s="15">
        <v>1</v>
      </c>
      <c r="ACT20" s="15">
        <v>1</v>
      </c>
      <c r="ACU20" s="15">
        <v>1</v>
      </c>
      <c r="ACV20" s="15">
        <v>1</v>
      </c>
      <c r="ACW20" s="15">
        <v>1</v>
      </c>
      <c r="ACX20" s="15">
        <v>1</v>
      </c>
      <c r="ACY20" s="15">
        <v>1</v>
      </c>
      <c r="ACZ20" s="15">
        <v>1</v>
      </c>
      <c r="ADA20" s="15">
        <v>1</v>
      </c>
      <c r="ADB20" s="15">
        <v>1</v>
      </c>
      <c r="ADC20" s="15">
        <v>1</v>
      </c>
      <c r="ADD20" s="15">
        <v>1</v>
      </c>
      <c r="ADE20" s="15">
        <v>1</v>
      </c>
      <c r="ADF20" s="15">
        <v>1</v>
      </c>
      <c r="ADG20" s="15">
        <v>1</v>
      </c>
      <c r="ADH20" s="15"/>
      <c r="ADI20" s="15">
        <v>1</v>
      </c>
      <c r="ADJ20" s="15">
        <v>1</v>
      </c>
      <c r="ADK20" s="15">
        <v>1</v>
      </c>
      <c r="ADL20" s="15">
        <v>1</v>
      </c>
      <c r="ADM20" s="15">
        <v>1</v>
      </c>
      <c r="ADN20" s="15">
        <v>1</v>
      </c>
      <c r="ADO20" s="15">
        <v>1</v>
      </c>
      <c r="ADP20" s="15">
        <v>1</v>
      </c>
      <c r="ADQ20" s="15">
        <v>1</v>
      </c>
      <c r="ADR20" s="15">
        <v>1</v>
      </c>
      <c r="ADS20" s="15">
        <v>1</v>
      </c>
      <c r="ADT20" s="15">
        <v>1</v>
      </c>
      <c r="ADU20" s="15">
        <v>1</v>
      </c>
      <c r="ADV20" s="15">
        <v>1</v>
      </c>
      <c r="ADW20" s="15">
        <v>1</v>
      </c>
      <c r="ADX20" s="15">
        <v>1</v>
      </c>
      <c r="ADY20" s="15">
        <v>1</v>
      </c>
      <c r="ADZ20" s="15">
        <v>1</v>
      </c>
      <c r="AEA20" s="15">
        <v>1</v>
      </c>
      <c r="AEB20" s="15">
        <v>1</v>
      </c>
      <c r="AEC20" s="15">
        <v>1</v>
      </c>
      <c r="AED20" s="15">
        <v>1</v>
      </c>
      <c r="AEE20" s="15">
        <v>1</v>
      </c>
      <c r="AEF20" s="15">
        <v>1</v>
      </c>
      <c r="AEG20" s="15">
        <v>1</v>
      </c>
      <c r="AEH20" s="15">
        <v>1</v>
      </c>
      <c r="AEI20" s="15">
        <v>1</v>
      </c>
      <c r="AEJ20" s="15">
        <v>1</v>
      </c>
      <c r="AEK20" s="15">
        <v>1</v>
      </c>
      <c r="AEL20" s="15">
        <v>1</v>
      </c>
      <c r="AEM20" s="15">
        <v>1</v>
      </c>
      <c r="AEN20" s="15">
        <v>1</v>
      </c>
      <c r="AEO20" s="15">
        <v>1</v>
      </c>
      <c r="AEP20" s="15">
        <v>1</v>
      </c>
      <c r="AEQ20" s="15">
        <v>1</v>
      </c>
      <c r="AER20" s="15">
        <v>1</v>
      </c>
      <c r="AES20" s="15">
        <v>1</v>
      </c>
      <c r="AET20" s="15">
        <v>1</v>
      </c>
      <c r="AEU20" s="15">
        <v>1</v>
      </c>
      <c r="AEV20" s="15">
        <v>1</v>
      </c>
      <c r="AEW20" s="15">
        <v>1</v>
      </c>
      <c r="AEX20" s="15">
        <v>1</v>
      </c>
      <c r="AEY20" s="15">
        <v>1</v>
      </c>
      <c r="AEZ20" s="15">
        <v>1</v>
      </c>
      <c r="AFA20" s="15">
        <v>1</v>
      </c>
      <c r="AFB20" s="15">
        <v>1</v>
      </c>
      <c r="AFC20" s="15">
        <v>1</v>
      </c>
      <c r="AFD20" s="15">
        <v>1</v>
      </c>
      <c r="AFE20" s="15">
        <v>1</v>
      </c>
      <c r="AFF20" s="15">
        <v>1</v>
      </c>
      <c r="AFG20" s="15">
        <v>1</v>
      </c>
      <c r="AFH20" s="15">
        <v>1</v>
      </c>
      <c r="AFI20" s="15">
        <v>1</v>
      </c>
      <c r="AFJ20" s="15">
        <v>1</v>
      </c>
      <c r="AFK20" s="15">
        <v>1</v>
      </c>
      <c r="AFL20" s="15">
        <v>1</v>
      </c>
      <c r="AFM20" s="15">
        <v>1</v>
      </c>
      <c r="AFN20" s="15">
        <v>1</v>
      </c>
      <c r="AFO20" s="15">
        <v>1</v>
      </c>
      <c r="AFP20" s="15">
        <v>1</v>
      </c>
      <c r="AFQ20" s="15">
        <v>1</v>
      </c>
      <c r="AFR20" s="15"/>
      <c r="AFS20" s="15">
        <v>1</v>
      </c>
      <c r="AFT20" s="15">
        <v>1</v>
      </c>
      <c r="AFU20" s="15">
        <v>1</v>
      </c>
      <c r="AFV20" s="15">
        <v>1</v>
      </c>
      <c r="AFW20" s="15">
        <v>1</v>
      </c>
      <c r="AFX20" s="15">
        <v>1</v>
      </c>
      <c r="AFY20" s="15">
        <v>1</v>
      </c>
      <c r="AFZ20" s="15">
        <v>1</v>
      </c>
      <c r="AGA20" s="15">
        <v>1</v>
      </c>
      <c r="AGB20" s="15">
        <v>1</v>
      </c>
      <c r="AGC20" s="15">
        <v>1</v>
      </c>
      <c r="AGD20" s="15">
        <v>1</v>
      </c>
      <c r="AGE20" s="15">
        <v>1</v>
      </c>
      <c r="AGF20" s="15">
        <v>1</v>
      </c>
      <c r="AGG20" s="15">
        <v>1</v>
      </c>
      <c r="AGH20" s="15">
        <v>1</v>
      </c>
      <c r="AGI20" s="15">
        <v>1</v>
      </c>
      <c r="AGJ20" s="15">
        <v>1</v>
      </c>
      <c r="AGK20" s="15">
        <v>1</v>
      </c>
      <c r="AGL20" s="15">
        <v>1</v>
      </c>
      <c r="AGM20" s="15">
        <v>1</v>
      </c>
      <c r="AGN20" s="15">
        <v>1</v>
      </c>
      <c r="AGO20" s="15">
        <v>1</v>
      </c>
      <c r="AGP20" s="15">
        <v>1</v>
      </c>
      <c r="AGQ20" s="15">
        <v>1</v>
      </c>
      <c r="AGR20" s="15">
        <v>1</v>
      </c>
      <c r="AGS20" s="15">
        <v>1</v>
      </c>
      <c r="AGT20" s="15">
        <v>1</v>
      </c>
      <c r="AGU20" s="15">
        <v>1</v>
      </c>
      <c r="AGV20" s="15">
        <v>1</v>
      </c>
      <c r="AGW20" s="15">
        <v>1</v>
      </c>
      <c r="AGX20" s="15">
        <v>1</v>
      </c>
      <c r="AGY20" s="15">
        <v>1</v>
      </c>
      <c r="AGZ20" s="15">
        <v>1</v>
      </c>
      <c r="AHA20" s="15">
        <v>1</v>
      </c>
      <c r="AHB20" s="15">
        <v>1</v>
      </c>
      <c r="AHC20" s="15">
        <v>1</v>
      </c>
      <c r="AHD20" s="15">
        <v>1</v>
      </c>
      <c r="AHE20" s="15">
        <v>1</v>
      </c>
      <c r="AHF20" s="15">
        <v>1</v>
      </c>
      <c r="AHG20" s="15">
        <v>1</v>
      </c>
      <c r="AHH20" s="15">
        <v>1</v>
      </c>
      <c r="AHI20" s="15">
        <v>1</v>
      </c>
      <c r="AHJ20" s="15">
        <v>1</v>
      </c>
      <c r="AHK20" s="15">
        <v>1</v>
      </c>
      <c r="AHL20" s="15">
        <v>1</v>
      </c>
      <c r="AHM20" s="15">
        <v>1</v>
      </c>
      <c r="AHN20" s="15">
        <v>1</v>
      </c>
      <c r="AHO20" s="15">
        <v>1</v>
      </c>
      <c r="AHP20" s="15">
        <v>1</v>
      </c>
      <c r="AHQ20" s="15">
        <v>1</v>
      </c>
      <c r="AHR20" s="15">
        <v>1</v>
      </c>
      <c r="AHS20" s="15">
        <v>1</v>
      </c>
      <c r="AHT20" s="15">
        <v>1</v>
      </c>
      <c r="AHU20" s="15">
        <v>1</v>
      </c>
      <c r="AHV20" s="15">
        <v>1</v>
      </c>
      <c r="AHW20" s="15">
        <v>1</v>
      </c>
      <c r="AHX20" s="15">
        <v>1</v>
      </c>
      <c r="AHY20" s="15">
        <v>1</v>
      </c>
      <c r="AHZ20" s="15">
        <v>1</v>
      </c>
      <c r="AIA20" s="15">
        <v>1</v>
      </c>
      <c r="AIB20" s="15">
        <v>1</v>
      </c>
      <c r="AIC20" s="15">
        <v>1</v>
      </c>
      <c r="AID20" s="15">
        <v>1</v>
      </c>
      <c r="AIE20" s="15">
        <v>1</v>
      </c>
      <c r="AIF20" s="15">
        <v>1</v>
      </c>
      <c r="AIG20" s="15">
        <v>1</v>
      </c>
      <c r="AIH20" s="15">
        <v>1</v>
      </c>
      <c r="AII20" s="15">
        <v>1</v>
      </c>
      <c r="AIJ20" s="15">
        <v>1</v>
      </c>
      <c r="AIK20" s="15">
        <v>1</v>
      </c>
      <c r="AIL20" s="15">
        <v>1</v>
      </c>
      <c r="AIM20" s="15">
        <v>1</v>
      </c>
      <c r="AIN20" s="15">
        <v>1</v>
      </c>
      <c r="AIO20" s="15">
        <v>1</v>
      </c>
      <c r="AIP20" s="15">
        <v>1</v>
      </c>
      <c r="AIQ20" s="15">
        <v>1</v>
      </c>
      <c r="AIR20" s="15">
        <v>1</v>
      </c>
      <c r="AIS20" s="15">
        <v>1</v>
      </c>
      <c r="AIT20" s="15">
        <v>1</v>
      </c>
      <c r="AIU20" s="15">
        <v>1</v>
      </c>
      <c r="AIV20" s="15">
        <v>1</v>
      </c>
      <c r="AIW20" s="15">
        <v>1</v>
      </c>
      <c r="AIX20" s="15">
        <v>1</v>
      </c>
      <c r="AIY20" s="15">
        <v>1</v>
      </c>
      <c r="AIZ20" s="15">
        <v>1</v>
      </c>
      <c r="AJA20" s="15">
        <v>1</v>
      </c>
      <c r="AJB20" s="15">
        <v>1</v>
      </c>
      <c r="AJC20" s="15">
        <v>1</v>
      </c>
      <c r="AJD20" s="15">
        <v>1</v>
      </c>
      <c r="AJE20" s="15">
        <v>1</v>
      </c>
      <c r="AJF20" s="15"/>
      <c r="AJG20" s="15">
        <v>1</v>
      </c>
      <c r="AJH20" s="15">
        <v>1</v>
      </c>
      <c r="AJI20" s="15">
        <v>1</v>
      </c>
      <c r="AJJ20" s="15">
        <v>1</v>
      </c>
      <c r="AJK20" s="15">
        <v>1</v>
      </c>
      <c r="AJL20" s="15">
        <v>1</v>
      </c>
      <c r="AJM20" s="15">
        <v>1</v>
      </c>
      <c r="AJN20" s="15"/>
      <c r="AJO20" s="15">
        <v>1</v>
      </c>
      <c r="AJP20" s="15">
        <v>1</v>
      </c>
      <c r="AJQ20" s="15">
        <v>1</v>
      </c>
      <c r="AJR20" s="15">
        <v>1</v>
      </c>
      <c r="AJS20" s="15">
        <v>1</v>
      </c>
      <c r="AJT20" s="15">
        <v>1</v>
      </c>
      <c r="AJU20" s="15">
        <v>1</v>
      </c>
      <c r="AJV20" s="15">
        <v>1</v>
      </c>
      <c r="AJW20" s="15">
        <v>1</v>
      </c>
      <c r="AJX20" s="15"/>
      <c r="AJY20" s="15">
        <v>1</v>
      </c>
      <c r="AJZ20" s="15">
        <v>1</v>
      </c>
      <c r="AKA20" s="15">
        <v>1</v>
      </c>
      <c r="AKB20" s="15">
        <v>1</v>
      </c>
      <c r="AKC20" s="15">
        <v>1</v>
      </c>
      <c r="AKD20" s="15">
        <v>1</v>
      </c>
      <c r="AKE20" s="15">
        <v>1</v>
      </c>
      <c r="AKF20" s="15">
        <v>1</v>
      </c>
      <c r="AKG20" s="15">
        <v>1</v>
      </c>
      <c r="AKH20" s="15">
        <v>1</v>
      </c>
      <c r="AKI20" s="15"/>
      <c r="AKJ20" s="15">
        <v>1</v>
      </c>
      <c r="AKK20" s="15">
        <v>1</v>
      </c>
      <c r="AKL20" s="15">
        <v>1</v>
      </c>
      <c r="AKM20" s="15">
        <v>1</v>
      </c>
      <c r="AKN20" s="15">
        <v>1</v>
      </c>
      <c r="AKO20" s="15">
        <v>1</v>
      </c>
      <c r="AKP20" s="15">
        <v>1</v>
      </c>
      <c r="AKQ20" s="15">
        <v>1</v>
      </c>
      <c r="AKR20" s="15">
        <v>1</v>
      </c>
      <c r="AKS20" s="15">
        <v>1</v>
      </c>
      <c r="AKT20" s="15">
        <v>1</v>
      </c>
      <c r="AKU20" s="15">
        <v>1</v>
      </c>
      <c r="AKV20" s="15">
        <v>1</v>
      </c>
      <c r="AKW20" s="15">
        <v>1</v>
      </c>
      <c r="AKX20" s="15"/>
      <c r="AKY20" s="15">
        <v>1</v>
      </c>
      <c r="AKZ20" s="15">
        <v>1</v>
      </c>
      <c r="ALA20" s="15">
        <v>1</v>
      </c>
      <c r="ALB20" s="15">
        <v>1</v>
      </c>
      <c r="ALC20" s="15">
        <v>1</v>
      </c>
      <c r="ALD20" s="15">
        <v>1</v>
      </c>
      <c r="ALE20" s="15">
        <v>1</v>
      </c>
      <c r="ALF20" s="15">
        <v>1</v>
      </c>
      <c r="ALG20" s="15">
        <v>1</v>
      </c>
      <c r="ALH20" s="15">
        <v>1</v>
      </c>
      <c r="ALI20" s="15">
        <v>1</v>
      </c>
      <c r="ALJ20" s="15">
        <v>1</v>
      </c>
      <c r="ALK20" s="15">
        <v>1</v>
      </c>
      <c r="ALL20" s="15">
        <v>1</v>
      </c>
      <c r="ALM20" s="15"/>
      <c r="ALN20" s="15">
        <v>1</v>
      </c>
      <c r="ALO20" s="15">
        <v>1</v>
      </c>
      <c r="ALP20" s="15">
        <v>1</v>
      </c>
      <c r="ALQ20" s="15">
        <v>1</v>
      </c>
      <c r="ALR20" s="15">
        <v>1</v>
      </c>
      <c r="ALS20" s="15">
        <v>1</v>
      </c>
      <c r="ALT20" s="15">
        <v>1</v>
      </c>
      <c r="ALU20" s="15">
        <v>1</v>
      </c>
      <c r="ALV20" s="15">
        <v>1</v>
      </c>
      <c r="ALW20" s="15">
        <v>1</v>
      </c>
      <c r="ALX20" s="15">
        <v>1</v>
      </c>
      <c r="ALY20" s="15">
        <v>1</v>
      </c>
      <c r="ALZ20" s="15">
        <v>1</v>
      </c>
      <c r="AMA20" s="15">
        <v>1</v>
      </c>
      <c r="AMB20" s="15">
        <v>1</v>
      </c>
      <c r="AMC20" s="15"/>
      <c r="AMD20" s="15">
        <v>1</v>
      </c>
      <c r="AME20" s="15">
        <v>1</v>
      </c>
      <c r="AMF20" s="15">
        <v>1</v>
      </c>
      <c r="AMG20" s="15">
        <v>1</v>
      </c>
      <c r="AMH20" s="15">
        <v>1</v>
      </c>
      <c r="AMI20" s="15">
        <v>1</v>
      </c>
      <c r="AMJ20" s="15">
        <v>1</v>
      </c>
      <c r="AMK20" s="15">
        <v>1</v>
      </c>
      <c r="AML20" s="15">
        <v>1</v>
      </c>
      <c r="AMM20" s="15">
        <v>1</v>
      </c>
      <c r="AMN20" s="15">
        <v>1</v>
      </c>
      <c r="AMO20" s="15">
        <v>1</v>
      </c>
      <c r="AMP20" s="15">
        <v>1</v>
      </c>
      <c r="AMQ20" s="15">
        <v>1</v>
      </c>
      <c r="AMR20" s="15">
        <v>1</v>
      </c>
      <c r="AMS20" s="15">
        <v>1</v>
      </c>
      <c r="AMT20" s="15">
        <v>1</v>
      </c>
      <c r="AMU20" s="15">
        <v>1</v>
      </c>
      <c r="AMV20" s="15">
        <v>1</v>
      </c>
      <c r="AMW20" s="15">
        <v>1</v>
      </c>
      <c r="AMX20" s="15">
        <v>1</v>
      </c>
      <c r="AMY20" s="15">
        <v>1</v>
      </c>
      <c r="AMZ20" s="15">
        <v>1</v>
      </c>
      <c r="ANA20" s="15">
        <v>1</v>
      </c>
      <c r="ANB20" s="15">
        <v>1</v>
      </c>
      <c r="ANC20" s="15">
        <v>1</v>
      </c>
      <c r="AND20" s="15">
        <v>1</v>
      </c>
      <c r="ANE20" s="15"/>
      <c r="ANF20" s="15"/>
      <c r="ANG20" s="15"/>
      <c r="ANH20" s="15"/>
      <c r="ANI20" s="15"/>
      <c r="ANJ20" s="15"/>
      <c r="ANK20" s="15"/>
      <c r="ANL20" s="15"/>
      <c r="ANM20" s="15"/>
      <c r="ANN20" s="15"/>
      <c r="ANO20" s="15"/>
      <c r="ANP20" s="15"/>
      <c r="ANQ20" s="15"/>
      <c r="ANR20" s="15"/>
      <c r="ANS20" s="15"/>
      <c r="ANT20" s="15"/>
      <c r="ANU20" s="15"/>
      <c r="ANV20" s="15"/>
      <c r="ANW20" s="15"/>
      <c r="ANX20" s="15"/>
      <c r="ANY20" s="15"/>
      <c r="ANZ20" s="15"/>
      <c r="AOA20" s="15"/>
      <c r="AOB20" s="15"/>
      <c r="AOC20" s="15"/>
      <c r="AOD20" s="15"/>
      <c r="AOE20" s="15"/>
      <c r="AOF20" s="15"/>
      <c r="AOG20" s="15"/>
      <c r="AOH20" s="15"/>
      <c r="AOI20" s="15"/>
      <c r="AOJ20" s="15"/>
      <c r="AOK20" s="15"/>
      <c r="AOL20" s="15"/>
      <c r="AOM20" s="15"/>
      <c r="AON20" s="15"/>
      <c r="AOO20" s="15"/>
      <c r="AOP20" s="15"/>
      <c r="AOQ20" s="15"/>
      <c r="AOR20" s="15"/>
      <c r="AOS20" s="15"/>
      <c r="AOT20" s="15"/>
      <c r="AOU20" s="15"/>
      <c r="AOV20" s="15"/>
      <c r="AOW20" s="15"/>
      <c r="AOX20" s="15"/>
      <c r="AOY20" s="15"/>
      <c r="AOZ20" s="15"/>
      <c r="APA20" s="15"/>
      <c r="APB20" s="15"/>
      <c r="APC20" s="15"/>
      <c r="APD20" s="15"/>
      <c r="APE20" s="15"/>
      <c r="APF20" s="15"/>
      <c r="APG20" s="15"/>
      <c r="APH20" s="15"/>
      <c r="API20" s="15"/>
      <c r="APJ20" s="15"/>
      <c r="APK20" s="15"/>
      <c r="APL20" s="15"/>
      <c r="APM20" s="15"/>
      <c r="APN20" s="15"/>
      <c r="APO20" s="15"/>
      <c r="APP20" s="15"/>
      <c r="APQ20" s="15"/>
      <c r="APR20" s="15"/>
      <c r="APS20" s="15"/>
      <c r="APT20" s="15"/>
      <c r="APU20" s="15"/>
      <c r="APV20" s="15"/>
      <c r="APW20" s="15"/>
      <c r="APX20" s="15"/>
      <c r="APY20" s="15"/>
      <c r="APZ20" s="15"/>
      <c r="AQA20" s="15"/>
      <c r="AQB20" s="15"/>
    </row>
    <row r="21" spans="1:1120" s="17" customFormat="1" ht="15" customHeight="1" x14ac:dyDescent="0.25">
      <c r="A21" s="5" t="s">
        <v>1</v>
      </c>
      <c r="B21" s="6" t="s">
        <v>645</v>
      </c>
      <c r="C21" s="15">
        <v>2400</v>
      </c>
      <c r="D21" s="15">
        <v>2400</v>
      </c>
      <c r="E21" s="15">
        <v>2400</v>
      </c>
      <c r="F21" s="15">
        <v>2400</v>
      </c>
      <c r="G21" s="15">
        <v>2400</v>
      </c>
      <c r="H21" s="15">
        <v>2400</v>
      </c>
      <c r="I21" s="15">
        <v>2400</v>
      </c>
      <c r="J21" s="15"/>
      <c r="K21" s="15">
        <v>2400</v>
      </c>
      <c r="L21" s="15">
        <v>2400</v>
      </c>
      <c r="M21" s="15">
        <v>2400</v>
      </c>
      <c r="N21" s="15">
        <v>2400</v>
      </c>
      <c r="O21" s="15">
        <v>2400</v>
      </c>
      <c r="P21" s="15">
        <v>2400</v>
      </c>
      <c r="Q21" s="15"/>
      <c r="R21" s="15">
        <v>2400</v>
      </c>
      <c r="S21" s="15">
        <v>2400</v>
      </c>
      <c r="T21" s="15">
        <v>2400</v>
      </c>
      <c r="U21" s="15">
        <v>2400</v>
      </c>
      <c r="V21" s="15">
        <v>2400</v>
      </c>
      <c r="W21" s="15">
        <v>2400</v>
      </c>
      <c r="X21" s="15"/>
      <c r="Y21" s="15">
        <v>2400</v>
      </c>
      <c r="Z21" s="15">
        <v>2400</v>
      </c>
      <c r="AA21" s="15">
        <v>2400</v>
      </c>
      <c r="AB21" s="15">
        <v>2400</v>
      </c>
      <c r="AC21" s="15">
        <v>2400</v>
      </c>
      <c r="AD21" s="15">
        <v>2400</v>
      </c>
      <c r="AE21" s="15"/>
      <c r="AF21" s="15">
        <v>2400</v>
      </c>
      <c r="AG21" s="15">
        <v>2400</v>
      </c>
      <c r="AH21" s="15">
        <v>2400</v>
      </c>
      <c r="AI21" s="15">
        <v>2400</v>
      </c>
      <c r="AJ21" s="15">
        <v>2400</v>
      </c>
      <c r="AK21" s="15">
        <v>2400</v>
      </c>
      <c r="AL21" s="15"/>
      <c r="AM21" s="15">
        <v>2400</v>
      </c>
      <c r="AN21" s="15">
        <v>2400</v>
      </c>
      <c r="AO21" s="15">
        <v>2400</v>
      </c>
      <c r="AP21" s="15">
        <v>2400</v>
      </c>
      <c r="AQ21" s="15">
        <v>2400</v>
      </c>
      <c r="AR21" s="15">
        <v>2400</v>
      </c>
      <c r="AS21" s="15">
        <v>2400</v>
      </c>
      <c r="AT21" s="15">
        <v>2400</v>
      </c>
      <c r="AU21" s="15">
        <v>2400</v>
      </c>
      <c r="AV21" s="15">
        <v>2400</v>
      </c>
      <c r="AW21" s="15">
        <v>2400</v>
      </c>
      <c r="AX21" s="15">
        <v>2400</v>
      </c>
      <c r="AY21" s="15">
        <v>2400</v>
      </c>
      <c r="AZ21" s="15">
        <v>2400</v>
      </c>
      <c r="BA21" s="15">
        <v>2400</v>
      </c>
      <c r="BB21" s="15">
        <v>2400</v>
      </c>
      <c r="BC21" s="15">
        <v>2400</v>
      </c>
      <c r="BD21" s="15">
        <v>2400</v>
      </c>
      <c r="BE21" s="15">
        <v>2400</v>
      </c>
      <c r="BF21" s="15">
        <v>2400</v>
      </c>
      <c r="BG21" s="15">
        <v>2400</v>
      </c>
      <c r="BH21" s="15">
        <v>2400</v>
      </c>
      <c r="BI21" s="15">
        <v>2400</v>
      </c>
      <c r="BJ21" s="15">
        <v>2400</v>
      </c>
      <c r="BK21" s="15">
        <v>2400</v>
      </c>
      <c r="BL21" s="15">
        <v>2400</v>
      </c>
      <c r="BM21" s="15">
        <v>2400</v>
      </c>
      <c r="BN21" s="15">
        <v>2400</v>
      </c>
      <c r="BO21" s="15">
        <v>2400</v>
      </c>
      <c r="BP21" s="15">
        <v>2400</v>
      </c>
      <c r="BQ21" s="15">
        <v>2400</v>
      </c>
      <c r="BR21" s="15">
        <v>2400</v>
      </c>
      <c r="BS21" s="15">
        <v>2400</v>
      </c>
      <c r="BT21" s="15">
        <v>2400</v>
      </c>
      <c r="BU21" s="15">
        <v>2400</v>
      </c>
      <c r="BV21" s="15">
        <v>2400</v>
      </c>
      <c r="BW21" s="15">
        <v>2400</v>
      </c>
      <c r="BX21" s="15">
        <v>2400</v>
      </c>
      <c r="BY21" s="15">
        <v>2400</v>
      </c>
      <c r="BZ21" s="15">
        <v>2400</v>
      </c>
      <c r="CA21" s="15">
        <v>2400</v>
      </c>
      <c r="CB21" s="15">
        <v>2400</v>
      </c>
      <c r="CC21" s="15">
        <v>2400</v>
      </c>
      <c r="CD21" s="15">
        <v>2400</v>
      </c>
      <c r="CE21" s="15">
        <v>2400</v>
      </c>
      <c r="CF21" s="15">
        <v>2400</v>
      </c>
      <c r="CG21" s="15">
        <v>2400</v>
      </c>
      <c r="CH21" s="15">
        <v>2400</v>
      </c>
      <c r="CI21" s="15">
        <v>2400</v>
      </c>
      <c r="CJ21" s="15">
        <v>2400</v>
      </c>
      <c r="CK21" s="15">
        <v>2400</v>
      </c>
      <c r="CL21" s="15">
        <v>2400</v>
      </c>
      <c r="CM21" s="15">
        <v>2400</v>
      </c>
      <c r="CN21" s="15">
        <v>2400</v>
      </c>
      <c r="CO21" s="15">
        <v>2400</v>
      </c>
      <c r="CP21" s="15">
        <v>2400</v>
      </c>
      <c r="CQ21" s="15">
        <v>2400</v>
      </c>
      <c r="CR21" s="15">
        <v>2400</v>
      </c>
      <c r="CS21" s="15">
        <v>2400</v>
      </c>
      <c r="CT21" s="15">
        <v>2400</v>
      </c>
      <c r="CU21" s="15">
        <v>2400</v>
      </c>
      <c r="CV21" s="15">
        <v>2400</v>
      </c>
      <c r="CW21" s="15">
        <v>2400</v>
      </c>
      <c r="CX21" s="15">
        <v>2400</v>
      </c>
      <c r="CY21" s="15">
        <v>2400</v>
      </c>
      <c r="CZ21" s="15">
        <v>2400</v>
      </c>
      <c r="DA21" s="15">
        <v>2400</v>
      </c>
      <c r="DB21" s="15">
        <v>2400</v>
      </c>
      <c r="DC21" s="15">
        <v>2400</v>
      </c>
      <c r="DD21" s="15">
        <v>2400</v>
      </c>
      <c r="DE21" s="15">
        <v>2400</v>
      </c>
      <c r="DF21" s="15">
        <v>2400</v>
      </c>
      <c r="DG21" s="15">
        <v>2400</v>
      </c>
      <c r="DH21" s="15">
        <v>2400</v>
      </c>
      <c r="DI21" s="15">
        <v>2400</v>
      </c>
      <c r="DJ21" s="15">
        <v>2400</v>
      </c>
      <c r="DK21" s="15">
        <v>2400</v>
      </c>
      <c r="DL21" s="15">
        <v>2400</v>
      </c>
      <c r="DM21" s="15">
        <v>2400</v>
      </c>
      <c r="DN21" s="15">
        <v>2400</v>
      </c>
      <c r="DO21" s="15">
        <v>2400</v>
      </c>
      <c r="DP21" s="15">
        <v>2400</v>
      </c>
      <c r="DQ21" s="15">
        <v>2400</v>
      </c>
      <c r="DR21" s="15">
        <v>2400</v>
      </c>
      <c r="DS21" s="15">
        <v>2400</v>
      </c>
      <c r="DT21" s="15">
        <v>2400</v>
      </c>
      <c r="DU21" s="15">
        <v>2400</v>
      </c>
      <c r="DV21" s="15">
        <v>2400</v>
      </c>
      <c r="DW21" s="15">
        <v>2400</v>
      </c>
      <c r="DX21" s="15">
        <v>2400</v>
      </c>
      <c r="DY21" s="15">
        <v>2400</v>
      </c>
      <c r="DZ21" s="15">
        <v>2400</v>
      </c>
      <c r="EA21" s="15">
        <v>2400</v>
      </c>
      <c r="EB21" s="15">
        <v>2400</v>
      </c>
      <c r="EC21" s="15">
        <v>2400</v>
      </c>
      <c r="ED21" s="15">
        <v>2400</v>
      </c>
      <c r="EE21" s="15">
        <v>2400</v>
      </c>
      <c r="EF21" s="15">
        <v>2400</v>
      </c>
      <c r="EG21" s="15">
        <v>2400</v>
      </c>
      <c r="EH21" s="15">
        <v>2400</v>
      </c>
      <c r="EI21" s="15">
        <v>2400</v>
      </c>
      <c r="EJ21" s="15">
        <v>2400</v>
      </c>
      <c r="EK21" s="15">
        <v>2400</v>
      </c>
      <c r="EL21" s="15">
        <v>2400</v>
      </c>
      <c r="EM21" s="15">
        <v>2400</v>
      </c>
      <c r="EN21" s="15">
        <v>2400</v>
      </c>
      <c r="EO21" s="15">
        <v>2400</v>
      </c>
      <c r="EP21" s="15">
        <v>2400</v>
      </c>
      <c r="EQ21" s="15">
        <v>2400</v>
      </c>
      <c r="ER21" s="15">
        <v>2400</v>
      </c>
      <c r="ES21" s="15">
        <v>2400</v>
      </c>
      <c r="ET21" s="15">
        <v>2400</v>
      </c>
      <c r="EU21" s="15">
        <v>2400</v>
      </c>
      <c r="EV21" s="15">
        <v>2400</v>
      </c>
      <c r="EW21" s="15">
        <v>2400</v>
      </c>
      <c r="EX21" s="15">
        <v>2400</v>
      </c>
      <c r="EY21" s="15">
        <v>2400</v>
      </c>
      <c r="EZ21" s="15">
        <v>2400</v>
      </c>
      <c r="FA21" s="15">
        <v>2400</v>
      </c>
      <c r="FB21" s="15">
        <v>2400</v>
      </c>
      <c r="FC21" s="15">
        <v>2400</v>
      </c>
      <c r="FD21" s="15"/>
      <c r="FE21" s="15">
        <v>2400</v>
      </c>
      <c r="FF21" s="15">
        <v>2400</v>
      </c>
      <c r="FG21" s="15">
        <v>2400</v>
      </c>
      <c r="FH21" s="15">
        <v>2400</v>
      </c>
      <c r="FI21" s="15">
        <v>2400</v>
      </c>
      <c r="FJ21" s="15">
        <v>2400</v>
      </c>
      <c r="FK21" s="15">
        <v>2400</v>
      </c>
      <c r="FL21" s="15">
        <v>2400</v>
      </c>
      <c r="FM21" s="15">
        <v>2400</v>
      </c>
      <c r="FN21" s="15">
        <v>2400</v>
      </c>
      <c r="FO21" s="15">
        <v>2400</v>
      </c>
      <c r="FP21" s="15">
        <v>2400</v>
      </c>
      <c r="FQ21" s="15">
        <v>2400</v>
      </c>
      <c r="FR21" s="15">
        <v>2400</v>
      </c>
      <c r="FS21" s="15">
        <v>2400</v>
      </c>
      <c r="FT21" s="15">
        <v>2400</v>
      </c>
      <c r="FU21" s="15">
        <v>2400</v>
      </c>
      <c r="FV21" s="15">
        <v>2400</v>
      </c>
      <c r="FW21" s="15">
        <v>2400</v>
      </c>
      <c r="FX21" s="15">
        <v>2400</v>
      </c>
      <c r="FY21" s="15">
        <v>2400</v>
      </c>
      <c r="FZ21" s="15">
        <v>2400</v>
      </c>
      <c r="GA21" s="15">
        <v>2400</v>
      </c>
      <c r="GB21" s="15">
        <v>2400</v>
      </c>
      <c r="GC21" s="15">
        <v>2400</v>
      </c>
      <c r="GD21" s="15">
        <v>2400</v>
      </c>
      <c r="GE21" s="15">
        <v>2400</v>
      </c>
      <c r="GF21" s="15">
        <v>2400</v>
      </c>
      <c r="GG21" s="15">
        <v>2400</v>
      </c>
      <c r="GH21" s="15">
        <v>2400</v>
      </c>
      <c r="GI21" s="15">
        <v>2400</v>
      </c>
      <c r="GJ21" s="15">
        <v>2400</v>
      </c>
      <c r="GK21" s="15">
        <v>2400</v>
      </c>
      <c r="GL21" s="15">
        <v>2400</v>
      </c>
      <c r="GM21" s="15">
        <v>2400</v>
      </c>
      <c r="GN21" s="15">
        <v>2400</v>
      </c>
      <c r="GO21" s="15">
        <v>2400</v>
      </c>
      <c r="GP21" s="15">
        <v>2400</v>
      </c>
      <c r="GQ21" s="15">
        <v>2400</v>
      </c>
      <c r="GR21" s="15">
        <v>2400</v>
      </c>
      <c r="GS21" s="15">
        <v>2400</v>
      </c>
      <c r="GT21" s="15">
        <v>2400</v>
      </c>
      <c r="GU21" s="15">
        <v>2400</v>
      </c>
      <c r="GV21" s="15">
        <v>2400</v>
      </c>
      <c r="GW21" s="15">
        <v>2400</v>
      </c>
      <c r="GX21" s="15">
        <v>2400</v>
      </c>
      <c r="GY21" s="15">
        <v>2400</v>
      </c>
      <c r="GZ21" s="15">
        <v>2400</v>
      </c>
      <c r="HA21" s="15">
        <v>2400</v>
      </c>
      <c r="HB21" s="15">
        <v>2400</v>
      </c>
      <c r="HC21" s="15">
        <v>2400</v>
      </c>
      <c r="HD21" s="15">
        <v>2400</v>
      </c>
      <c r="HE21" s="15">
        <v>2400</v>
      </c>
      <c r="HF21" s="15">
        <v>2400</v>
      </c>
      <c r="HG21" s="15">
        <v>2400</v>
      </c>
      <c r="HH21" s="15">
        <v>2400</v>
      </c>
      <c r="HI21" s="15">
        <v>2400</v>
      </c>
      <c r="HJ21" s="15">
        <v>2400</v>
      </c>
      <c r="HK21" s="15">
        <v>2400</v>
      </c>
      <c r="HL21" s="15">
        <v>2400</v>
      </c>
      <c r="HM21" s="15">
        <v>2400</v>
      </c>
      <c r="HN21" s="15">
        <v>2400</v>
      </c>
      <c r="HO21" s="15">
        <v>2400</v>
      </c>
      <c r="HP21" s="15">
        <v>2400</v>
      </c>
      <c r="HQ21" s="15">
        <v>2400</v>
      </c>
      <c r="HR21" s="15">
        <v>2400</v>
      </c>
      <c r="HS21" s="15">
        <v>2400</v>
      </c>
      <c r="HT21" s="15">
        <v>2400</v>
      </c>
      <c r="HU21" s="15">
        <v>2400</v>
      </c>
      <c r="HV21" s="15">
        <v>2400</v>
      </c>
      <c r="HW21" s="15">
        <v>2400</v>
      </c>
      <c r="HX21" s="15">
        <v>2400</v>
      </c>
      <c r="HY21" s="15">
        <v>2400</v>
      </c>
      <c r="HZ21" s="15">
        <v>2400</v>
      </c>
      <c r="IA21" s="15">
        <v>2400</v>
      </c>
      <c r="IB21" s="15"/>
      <c r="IC21" s="15">
        <v>2400</v>
      </c>
      <c r="ID21" s="15">
        <v>2400</v>
      </c>
      <c r="IE21" s="15">
        <v>2400</v>
      </c>
      <c r="IF21" s="15">
        <v>2400</v>
      </c>
      <c r="IG21" s="15">
        <v>2400</v>
      </c>
      <c r="IH21" s="15">
        <v>2400</v>
      </c>
      <c r="II21" s="15">
        <v>2400</v>
      </c>
      <c r="IJ21" s="15">
        <v>2400</v>
      </c>
      <c r="IK21" s="15"/>
      <c r="IL21" s="15">
        <v>2400</v>
      </c>
      <c r="IM21" s="15">
        <v>2400</v>
      </c>
      <c r="IN21" s="15">
        <v>2400</v>
      </c>
      <c r="IO21" s="15">
        <v>2400</v>
      </c>
      <c r="IP21" s="15">
        <v>2400</v>
      </c>
      <c r="IQ21" s="15">
        <v>2400</v>
      </c>
      <c r="IR21" s="15">
        <v>2400</v>
      </c>
      <c r="IS21" s="15">
        <v>2400</v>
      </c>
      <c r="IT21" s="15">
        <v>2400</v>
      </c>
      <c r="IU21" s="15">
        <v>2400</v>
      </c>
      <c r="IV21" s="15">
        <v>2400</v>
      </c>
      <c r="IW21" s="15">
        <v>2400</v>
      </c>
      <c r="IX21" s="15">
        <v>2400</v>
      </c>
      <c r="IY21" s="15">
        <v>2400</v>
      </c>
      <c r="IZ21" s="15">
        <v>2400</v>
      </c>
      <c r="JA21" s="15">
        <v>2400</v>
      </c>
      <c r="JB21" s="15">
        <v>2400</v>
      </c>
      <c r="JC21" s="15">
        <v>2400</v>
      </c>
      <c r="JD21" s="15">
        <v>2400</v>
      </c>
      <c r="JE21" s="15">
        <v>2400</v>
      </c>
      <c r="JF21" s="15">
        <v>2400</v>
      </c>
      <c r="JG21" s="15">
        <v>2400</v>
      </c>
      <c r="JH21" s="15">
        <v>2400</v>
      </c>
      <c r="JI21" s="15">
        <v>2400</v>
      </c>
      <c r="JJ21" s="15">
        <v>2400</v>
      </c>
      <c r="JK21" s="15">
        <v>2400</v>
      </c>
      <c r="JL21" s="15">
        <v>2400</v>
      </c>
      <c r="JM21" s="15">
        <v>2400</v>
      </c>
      <c r="JN21" s="15">
        <v>2400</v>
      </c>
      <c r="JO21" s="15">
        <v>2400</v>
      </c>
      <c r="JP21" s="15">
        <v>2400</v>
      </c>
      <c r="JQ21" s="15">
        <v>2400</v>
      </c>
      <c r="JR21" s="15">
        <v>2400</v>
      </c>
      <c r="JS21" s="15">
        <v>2400</v>
      </c>
      <c r="JT21" s="15">
        <v>2400</v>
      </c>
      <c r="JU21" s="15">
        <v>2400</v>
      </c>
      <c r="JV21" s="15">
        <v>2400</v>
      </c>
      <c r="JW21" s="15">
        <v>2400</v>
      </c>
      <c r="JX21" s="15">
        <v>2400</v>
      </c>
      <c r="JY21" s="15">
        <v>2400</v>
      </c>
      <c r="JZ21" s="15">
        <v>2400</v>
      </c>
      <c r="KA21" s="15">
        <v>2400</v>
      </c>
      <c r="KB21" s="15">
        <v>2400</v>
      </c>
      <c r="KC21" s="15">
        <v>2400</v>
      </c>
      <c r="KD21" s="15">
        <v>2400</v>
      </c>
      <c r="KE21" s="15">
        <v>2400</v>
      </c>
      <c r="KF21" s="15">
        <v>2400</v>
      </c>
      <c r="KG21" s="15">
        <v>2400</v>
      </c>
      <c r="KH21" s="15">
        <v>2400</v>
      </c>
      <c r="KI21" s="15">
        <v>2400</v>
      </c>
      <c r="KJ21" s="15">
        <v>2400</v>
      </c>
      <c r="KK21" s="15">
        <v>2400</v>
      </c>
      <c r="KL21" s="15">
        <v>2400</v>
      </c>
      <c r="KM21" s="15">
        <v>2400</v>
      </c>
      <c r="KN21" s="15">
        <v>2400</v>
      </c>
      <c r="KO21" s="15">
        <v>2400</v>
      </c>
      <c r="KP21" s="15">
        <v>2400</v>
      </c>
      <c r="KQ21" s="15">
        <v>2400</v>
      </c>
      <c r="KR21" s="15">
        <v>2400</v>
      </c>
      <c r="KS21" s="15">
        <v>2400</v>
      </c>
      <c r="KT21" s="15">
        <v>2400</v>
      </c>
      <c r="KU21" s="15">
        <v>2400</v>
      </c>
      <c r="KV21" s="15">
        <v>2400</v>
      </c>
      <c r="KW21" s="15">
        <v>2400</v>
      </c>
      <c r="KX21" s="15">
        <v>2400</v>
      </c>
      <c r="KY21" s="15">
        <v>2400</v>
      </c>
      <c r="KZ21" s="15">
        <v>2400</v>
      </c>
      <c r="LA21" s="15">
        <v>2400</v>
      </c>
      <c r="LB21" s="15">
        <v>2400</v>
      </c>
      <c r="LC21" s="15">
        <v>2400</v>
      </c>
      <c r="LD21" s="15">
        <v>2400</v>
      </c>
      <c r="LE21" s="15">
        <v>2400</v>
      </c>
      <c r="LF21" s="15">
        <v>2400</v>
      </c>
      <c r="LG21" s="15">
        <v>2400</v>
      </c>
      <c r="LH21" s="15">
        <v>2400</v>
      </c>
      <c r="LI21" s="15">
        <v>2400</v>
      </c>
      <c r="LJ21" s="15">
        <v>2400</v>
      </c>
      <c r="LK21" s="15">
        <v>2400</v>
      </c>
      <c r="LL21" s="15">
        <v>2400</v>
      </c>
      <c r="LM21" s="15">
        <v>2400</v>
      </c>
      <c r="LN21" s="15">
        <v>2400</v>
      </c>
      <c r="LO21" s="15">
        <v>2400</v>
      </c>
      <c r="LP21" s="15">
        <v>2400</v>
      </c>
      <c r="LQ21" s="15">
        <v>2400</v>
      </c>
      <c r="LR21" s="15">
        <v>2400</v>
      </c>
      <c r="LS21" s="15">
        <v>2400</v>
      </c>
      <c r="LT21" s="15">
        <v>2400</v>
      </c>
      <c r="LU21" s="15">
        <v>2400</v>
      </c>
      <c r="LV21" s="15">
        <v>2400</v>
      </c>
      <c r="LW21" s="15">
        <v>2400</v>
      </c>
      <c r="LX21" s="15">
        <v>2400</v>
      </c>
      <c r="LY21" s="15">
        <v>2400</v>
      </c>
      <c r="LZ21" s="15">
        <v>2400</v>
      </c>
      <c r="MA21" s="15">
        <v>2400</v>
      </c>
      <c r="MB21" s="15">
        <v>2400</v>
      </c>
      <c r="MC21" s="15">
        <v>2400</v>
      </c>
      <c r="MD21" s="15">
        <v>2400</v>
      </c>
      <c r="ME21" s="15">
        <v>2400</v>
      </c>
      <c r="MF21" s="15">
        <v>2400</v>
      </c>
      <c r="MG21" s="15">
        <v>2400</v>
      </c>
      <c r="MH21" s="15">
        <v>2400</v>
      </c>
      <c r="MI21" s="15">
        <v>2400</v>
      </c>
      <c r="MJ21" s="15">
        <v>2400</v>
      </c>
      <c r="MK21" s="15">
        <v>2400</v>
      </c>
      <c r="ML21" s="15">
        <v>2400</v>
      </c>
      <c r="MM21" s="15">
        <v>2400</v>
      </c>
      <c r="MN21" s="15">
        <v>2400</v>
      </c>
      <c r="MO21" s="15">
        <v>2400</v>
      </c>
      <c r="MP21" s="15">
        <v>2400</v>
      </c>
      <c r="MQ21" s="15">
        <v>2400</v>
      </c>
      <c r="MR21" s="15">
        <v>2400</v>
      </c>
      <c r="MS21" s="15">
        <v>2400</v>
      </c>
      <c r="MT21" s="15">
        <v>2400</v>
      </c>
      <c r="MU21" s="15">
        <v>2400</v>
      </c>
      <c r="MV21" s="15">
        <v>2400</v>
      </c>
      <c r="MW21" s="15">
        <v>2400</v>
      </c>
      <c r="MX21" s="15">
        <v>2400</v>
      </c>
      <c r="MY21" s="15">
        <v>2400</v>
      </c>
      <c r="MZ21" s="15">
        <v>2400</v>
      </c>
      <c r="NA21" s="15">
        <v>2400</v>
      </c>
      <c r="NB21" s="15">
        <v>2400</v>
      </c>
      <c r="NC21" s="15">
        <v>2400</v>
      </c>
      <c r="ND21" s="15">
        <v>2400</v>
      </c>
      <c r="NE21" s="15">
        <v>2400</v>
      </c>
      <c r="NF21" s="15">
        <v>2400</v>
      </c>
      <c r="NG21" s="15">
        <v>2400</v>
      </c>
      <c r="NH21" s="15">
        <v>2400</v>
      </c>
      <c r="NI21" s="15">
        <v>2400</v>
      </c>
      <c r="NJ21" s="15">
        <v>2400</v>
      </c>
      <c r="NK21" s="15">
        <v>2400</v>
      </c>
      <c r="NL21" s="15">
        <v>2400</v>
      </c>
      <c r="NM21" s="15">
        <v>2400</v>
      </c>
      <c r="NN21" s="15">
        <v>2400</v>
      </c>
      <c r="NO21" s="15">
        <v>2400</v>
      </c>
      <c r="NP21" s="15">
        <v>2400</v>
      </c>
      <c r="NQ21" s="15">
        <v>2400</v>
      </c>
      <c r="NR21" s="15">
        <v>2400</v>
      </c>
      <c r="NS21" s="15">
        <v>2400</v>
      </c>
      <c r="NT21" s="15">
        <v>2400</v>
      </c>
      <c r="NU21" s="15">
        <v>2400</v>
      </c>
      <c r="NV21" s="15">
        <v>2400</v>
      </c>
      <c r="NW21" s="15">
        <v>2400</v>
      </c>
      <c r="NX21" s="15">
        <v>2400</v>
      </c>
      <c r="NY21" s="15">
        <v>2400</v>
      </c>
      <c r="NZ21" s="15">
        <v>2400</v>
      </c>
      <c r="OA21" s="15">
        <v>2400</v>
      </c>
      <c r="OB21" s="15">
        <v>2400</v>
      </c>
      <c r="OC21" s="15">
        <v>2400</v>
      </c>
      <c r="OD21" s="15">
        <v>2400</v>
      </c>
      <c r="OE21" s="15">
        <v>2400</v>
      </c>
      <c r="OF21" s="15">
        <v>2400</v>
      </c>
      <c r="OG21" s="15">
        <v>2400</v>
      </c>
      <c r="OH21" s="15">
        <v>2400</v>
      </c>
      <c r="OI21" s="15">
        <v>2400</v>
      </c>
      <c r="OJ21" s="15">
        <v>2400</v>
      </c>
      <c r="OK21" s="15">
        <v>2400</v>
      </c>
      <c r="OL21" s="15">
        <v>2400</v>
      </c>
      <c r="OM21" s="15">
        <v>2400</v>
      </c>
      <c r="ON21" s="15">
        <v>2400</v>
      </c>
      <c r="OO21" s="15">
        <v>2400</v>
      </c>
      <c r="OP21" s="15">
        <v>2400</v>
      </c>
      <c r="OQ21" s="15">
        <v>2400</v>
      </c>
      <c r="OR21" s="15">
        <v>2400</v>
      </c>
      <c r="OS21" s="15">
        <v>2400</v>
      </c>
      <c r="OT21" s="15">
        <v>2400</v>
      </c>
      <c r="OU21" s="15">
        <v>2400</v>
      </c>
      <c r="OV21" s="15">
        <v>2400</v>
      </c>
      <c r="OW21" s="15">
        <v>2400</v>
      </c>
      <c r="OX21" s="15">
        <v>2400</v>
      </c>
      <c r="OY21" s="15">
        <v>2400</v>
      </c>
      <c r="OZ21" s="15">
        <v>2400</v>
      </c>
      <c r="PA21" s="15">
        <v>2400</v>
      </c>
      <c r="PB21" s="15">
        <v>2400</v>
      </c>
      <c r="PC21" s="15">
        <v>2400</v>
      </c>
      <c r="PD21" s="15">
        <v>2400</v>
      </c>
      <c r="PE21" s="15">
        <v>2400</v>
      </c>
      <c r="PF21" s="15">
        <v>2400</v>
      </c>
      <c r="PG21" s="15">
        <v>2400</v>
      </c>
      <c r="PH21" s="15">
        <v>2400</v>
      </c>
      <c r="PI21" s="15">
        <v>2400</v>
      </c>
      <c r="PJ21" s="15">
        <v>2400</v>
      </c>
      <c r="PK21" s="15">
        <v>2400</v>
      </c>
      <c r="PL21" s="15">
        <v>2400</v>
      </c>
      <c r="PM21" s="15">
        <v>2400</v>
      </c>
      <c r="PN21" s="15">
        <v>2400</v>
      </c>
      <c r="PO21" s="15">
        <v>2400</v>
      </c>
      <c r="PP21" s="15">
        <v>2400</v>
      </c>
      <c r="PQ21" s="15">
        <v>2400</v>
      </c>
      <c r="PR21" s="15">
        <v>2400</v>
      </c>
      <c r="PS21" s="15">
        <v>2400</v>
      </c>
      <c r="PT21" s="15">
        <v>2400</v>
      </c>
      <c r="PU21" s="15">
        <v>2400</v>
      </c>
      <c r="PV21" s="15">
        <v>2400</v>
      </c>
      <c r="PW21" s="15">
        <v>2400</v>
      </c>
      <c r="PX21" s="15">
        <v>2400</v>
      </c>
      <c r="PY21" s="15">
        <v>2400</v>
      </c>
      <c r="PZ21" s="15">
        <v>2400</v>
      </c>
      <c r="QA21" s="15">
        <v>2400</v>
      </c>
      <c r="QB21" s="15">
        <v>2400</v>
      </c>
      <c r="QC21" s="15">
        <v>2400</v>
      </c>
      <c r="QD21" s="15">
        <v>2400</v>
      </c>
      <c r="QE21" s="15">
        <v>2400</v>
      </c>
      <c r="QF21" s="15">
        <v>2400</v>
      </c>
      <c r="QG21" s="15">
        <v>2400</v>
      </c>
      <c r="QH21" s="15">
        <v>2400</v>
      </c>
      <c r="QI21" s="15">
        <v>2400</v>
      </c>
      <c r="QJ21" s="15">
        <v>2400</v>
      </c>
      <c r="QK21" s="15">
        <v>2400</v>
      </c>
      <c r="QL21" s="15">
        <v>2400</v>
      </c>
      <c r="QM21" s="15">
        <v>2400</v>
      </c>
      <c r="QN21" s="15">
        <v>2400</v>
      </c>
      <c r="QO21" s="15">
        <v>2400</v>
      </c>
      <c r="QP21" s="15">
        <v>2400</v>
      </c>
      <c r="QQ21" s="15">
        <v>2400</v>
      </c>
      <c r="QR21" s="15">
        <v>2400</v>
      </c>
      <c r="QS21" s="15">
        <v>2400</v>
      </c>
      <c r="QT21" s="15">
        <v>2400</v>
      </c>
      <c r="QU21" s="15">
        <v>2400</v>
      </c>
      <c r="QV21" s="15">
        <v>2400</v>
      </c>
      <c r="QW21" s="15">
        <v>2400</v>
      </c>
      <c r="QX21" s="15">
        <v>2400</v>
      </c>
      <c r="QY21" s="15">
        <v>2400</v>
      </c>
      <c r="QZ21" s="15">
        <v>2400</v>
      </c>
      <c r="RA21" s="15">
        <v>2400</v>
      </c>
      <c r="RB21" s="15">
        <v>2400</v>
      </c>
      <c r="RC21" s="15">
        <v>2400</v>
      </c>
      <c r="RD21" s="15">
        <v>2400</v>
      </c>
      <c r="RE21" s="15">
        <v>2400</v>
      </c>
      <c r="RF21" s="15">
        <v>2400</v>
      </c>
      <c r="RG21" s="15">
        <v>2400</v>
      </c>
      <c r="RH21" s="15">
        <v>2400</v>
      </c>
      <c r="RI21" s="15">
        <v>2400</v>
      </c>
      <c r="RJ21" s="15">
        <v>2400</v>
      </c>
      <c r="RK21" s="15">
        <v>2400</v>
      </c>
      <c r="RL21" s="15">
        <v>2400</v>
      </c>
      <c r="RM21" s="15">
        <v>2400</v>
      </c>
      <c r="RN21" s="15">
        <v>2400</v>
      </c>
      <c r="RO21" s="15">
        <v>2400</v>
      </c>
      <c r="RP21" s="15">
        <v>2400</v>
      </c>
      <c r="RQ21" s="15">
        <v>2400</v>
      </c>
      <c r="RR21" s="15">
        <v>2400</v>
      </c>
      <c r="RS21" s="15"/>
      <c r="RT21" s="15">
        <v>2400</v>
      </c>
      <c r="RU21" s="15">
        <v>2400</v>
      </c>
      <c r="RV21" s="15">
        <v>2400</v>
      </c>
      <c r="RW21" s="15">
        <v>2400</v>
      </c>
      <c r="RX21" s="15">
        <v>2400</v>
      </c>
      <c r="RY21" s="15">
        <v>2400</v>
      </c>
      <c r="RZ21" s="15">
        <v>2400</v>
      </c>
      <c r="SA21" s="15">
        <v>2400</v>
      </c>
      <c r="SB21" s="15">
        <v>2400</v>
      </c>
      <c r="SC21" s="15">
        <v>2400</v>
      </c>
      <c r="SD21" s="15">
        <v>2400</v>
      </c>
      <c r="SE21" s="15">
        <v>2400</v>
      </c>
      <c r="SF21" s="15">
        <v>2400</v>
      </c>
      <c r="SG21" s="15">
        <v>2400</v>
      </c>
      <c r="SH21" s="15">
        <v>2400</v>
      </c>
      <c r="SI21" s="15">
        <v>2400</v>
      </c>
      <c r="SJ21" s="15">
        <v>2400</v>
      </c>
      <c r="SK21" s="15">
        <v>2400</v>
      </c>
      <c r="SL21" s="15">
        <v>2400</v>
      </c>
      <c r="SM21" s="15">
        <v>2400</v>
      </c>
      <c r="SN21" s="15">
        <v>2400</v>
      </c>
      <c r="SO21" s="15">
        <v>2400</v>
      </c>
      <c r="SP21" s="15">
        <v>2400</v>
      </c>
      <c r="SQ21" s="15">
        <v>2400</v>
      </c>
      <c r="SR21" s="15">
        <v>2400</v>
      </c>
      <c r="SS21" s="15">
        <v>2400</v>
      </c>
      <c r="ST21" s="15">
        <v>2400</v>
      </c>
      <c r="SU21" s="15">
        <v>2400</v>
      </c>
      <c r="SV21" s="15">
        <v>2400</v>
      </c>
      <c r="SW21" s="15">
        <v>2400</v>
      </c>
      <c r="SX21" s="15">
        <v>2400</v>
      </c>
      <c r="SY21" s="15">
        <v>2400</v>
      </c>
      <c r="SZ21" s="15">
        <v>2400</v>
      </c>
      <c r="TA21" s="15">
        <v>2400</v>
      </c>
      <c r="TB21" s="15">
        <v>2400</v>
      </c>
      <c r="TC21" s="15">
        <v>2400</v>
      </c>
      <c r="TD21" s="15">
        <v>2400</v>
      </c>
      <c r="TE21" s="15">
        <v>2400</v>
      </c>
      <c r="TF21" s="15">
        <v>2400</v>
      </c>
      <c r="TG21" s="15">
        <v>2400</v>
      </c>
      <c r="TH21" s="15">
        <v>2400</v>
      </c>
      <c r="TI21" s="15">
        <v>2400</v>
      </c>
      <c r="TJ21" s="15">
        <v>2400</v>
      </c>
      <c r="TK21" s="15">
        <v>2400</v>
      </c>
      <c r="TL21" s="15">
        <v>2400</v>
      </c>
      <c r="TM21" s="15">
        <v>2400</v>
      </c>
      <c r="TN21" s="15">
        <v>2400</v>
      </c>
      <c r="TO21" s="15">
        <v>2400</v>
      </c>
      <c r="TP21" s="15">
        <v>2400</v>
      </c>
      <c r="TQ21" s="15">
        <v>2400</v>
      </c>
      <c r="TR21" s="15">
        <v>2400</v>
      </c>
      <c r="TS21" s="15">
        <v>2400</v>
      </c>
      <c r="TT21" s="15">
        <v>2400</v>
      </c>
      <c r="TU21" s="15">
        <v>2400</v>
      </c>
      <c r="TV21" s="15">
        <v>2400</v>
      </c>
      <c r="TW21" s="15">
        <v>2400</v>
      </c>
      <c r="TX21" s="15">
        <v>2400</v>
      </c>
      <c r="TY21" s="15">
        <v>2400</v>
      </c>
      <c r="TZ21" s="15">
        <v>2400</v>
      </c>
      <c r="UA21" s="15">
        <v>2400</v>
      </c>
      <c r="UB21" s="15">
        <v>2400</v>
      </c>
      <c r="UC21" s="15">
        <v>2400</v>
      </c>
      <c r="UD21" s="15">
        <v>2400</v>
      </c>
      <c r="UE21" s="15">
        <v>2400</v>
      </c>
      <c r="UF21" s="15">
        <v>2400</v>
      </c>
      <c r="UG21" s="15">
        <v>2400</v>
      </c>
      <c r="UH21" s="15">
        <v>2400</v>
      </c>
      <c r="UI21" s="15">
        <v>2400</v>
      </c>
      <c r="UJ21" s="15">
        <v>2400</v>
      </c>
      <c r="UK21" s="15">
        <v>2400</v>
      </c>
      <c r="UL21" s="15">
        <v>2400</v>
      </c>
      <c r="UM21" s="15">
        <v>2400</v>
      </c>
      <c r="UN21" s="15">
        <v>2400</v>
      </c>
      <c r="UO21" s="15">
        <v>2400</v>
      </c>
      <c r="UP21" s="15">
        <v>2400</v>
      </c>
      <c r="UQ21" s="15">
        <v>2400</v>
      </c>
      <c r="UR21" s="15">
        <v>2400</v>
      </c>
      <c r="US21" s="15">
        <v>2400</v>
      </c>
      <c r="UT21" s="15">
        <v>2400</v>
      </c>
      <c r="UU21" s="15">
        <v>2400</v>
      </c>
      <c r="UV21" s="15">
        <v>2400</v>
      </c>
      <c r="UW21" s="15">
        <v>2400</v>
      </c>
      <c r="UX21" s="15">
        <v>2400</v>
      </c>
      <c r="UY21" s="15">
        <v>2400</v>
      </c>
      <c r="UZ21" s="15">
        <v>2400</v>
      </c>
      <c r="VA21" s="15">
        <v>2400</v>
      </c>
      <c r="VB21" s="15">
        <v>2400</v>
      </c>
      <c r="VC21" s="15">
        <v>2400</v>
      </c>
      <c r="VD21" s="15">
        <v>2400</v>
      </c>
      <c r="VE21" s="15">
        <v>2400</v>
      </c>
      <c r="VF21" s="15">
        <v>2400</v>
      </c>
      <c r="VG21" s="15">
        <v>2400</v>
      </c>
      <c r="VH21" s="15">
        <v>2400</v>
      </c>
      <c r="VI21" s="15">
        <v>2400</v>
      </c>
      <c r="VJ21" s="15">
        <v>2400</v>
      </c>
      <c r="VK21" s="15">
        <v>2400</v>
      </c>
      <c r="VL21" s="15">
        <v>2400</v>
      </c>
      <c r="VM21" s="15">
        <v>2400</v>
      </c>
      <c r="VN21" s="15">
        <v>2400</v>
      </c>
      <c r="VO21" s="15">
        <v>2400</v>
      </c>
      <c r="VP21" s="15">
        <v>2400</v>
      </c>
      <c r="VQ21" s="15">
        <v>2400</v>
      </c>
      <c r="VR21" s="15">
        <v>2400</v>
      </c>
      <c r="VS21" s="15">
        <v>2400</v>
      </c>
      <c r="VT21" s="15">
        <v>2400</v>
      </c>
      <c r="VU21" s="15">
        <v>2400</v>
      </c>
      <c r="VV21" s="15">
        <v>2400</v>
      </c>
      <c r="VW21" s="15">
        <v>2400</v>
      </c>
      <c r="VX21" s="15">
        <v>2400</v>
      </c>
      <c r="VY21" s="15">
        <v>2400</v>
      </c>
      <c r="VZ21" s="15">
        <v>2400</v>
      </c>
      <c r="WA21" s="15">
        <v>2400</v>
      </c>
      <c r="WB21" s="15">
        <v>2400</v>
      </c>
      <c r="WC21" s="15">
        <v>2400</v>
      </c>
      <c r="WD21" s="15">
        <v>2400</v>
      </c>
      <c r="WE21" s="15">
        <v>2400</v>
      </c>
      <c r="WF21" s="15">
        <v>2400</v>
      </c>
      <c r="WG21" s="15">
        <v>2400</v>
      </c>
      <c r="WH21" s="15">
        <v>2400</v>
      </c>
      <c r="WI21" s="15">
        <v>2400</v>
      </c>
      <c r="WJ21" s="15">
        <v>2400</v>
      </c>
      <c r="WK21" s="15">
        <v>2400</v>
      </c>
      <c r="WL21" s="15">
        <v>2400</v>
      </c>
      <c r="WM21" s="15">
        <v>2400</v>
      </c>
      <c r="WN21" s="15">
        <v>2400</v>
      </c>
      <c r="WO21" s="15">
        <v>2400</v>
      </c>
      <c r="WP21" s="15">
        <v>2400</v>
      </c>
      <c r="WQ21" s="15">
        <v>2400</v>
      </c>
      <c r="WR21" s="15">
        <v>2400</v>
      </c>
      <c r="WS21" s="15">
        <v>2400</v>
      </c>
      <c r="WT21" s="15">
        <v>2400</v>
      </c>
      <c r="WU21" s="15">
        <v>2400</v>
      </c>
      <c r="WV21" s="15">
        <v>2400</v>
      </c>
      <c r="WW21" s="15">
        <v>2400</v>
      </c>
      <c r="WX21" s="15">
        <v>2400</v>
      </c>
      <c r="WY21" s="15">
        <v>2400</v>
      </c>
      <c r="WZ21" s="15">
        <v>2400</v>
      </c>
      <c r="XA21" s="15">
        <v>2400</v>
      </c>
      <c r="XB21" s="15">
        <v>2400</v>
      </c>
      <c r="XC21" s="15">
        <v>2400</v>
      </c>
      <c r="XD21" s="15">
        <v>2400</v>
      </c>
      <c r="XE21" s="15">
        <v>2400</v>
      </c>
      <c r="XF21" s="15">
        <v>2400</v>
      </c>
      <c r="XG21" s="15">
        <v>2400</v>
      </c>
      <c r="XH21" s="15">
        <v>2400</v>
      </c>
      <c r="XI21" s="15">
        <v>2400</v>
      </c>
      <c r="XJ21" s="15">
        <v>2400</v>
      </c>
      <c r="XK21" s="15">
        <v>2400</v>
      </c>
      <c r="XL21" s="15">
        <v>2400</v>
      </c>
      <c r="XM21" s="15">
        <v>2400</v>
      </c>
      <c r="XN21" s="15">
        <v>2400</v>
      </c>
      <c r="XO21" s="15">
        <v>2400</v>
      </c>
      <c r="XP21" s="15">
        <v>2400</v>
      </c>
      <c r="XQ21" s="15">
        <v>2400</v>
      </c>
      <c r="XR21" s="15">
        <v>2400</v>
      </c>
      <c r="XS21" s="15">
        <v>2400</v>
      </c>
      <c r="XT21" s="15">
        <v>2400</v>
      </c>
      <c r="XU21" s="15">
        <v>2400</v>
      </c>
      <c r="XV21" s="15">
        <v>2400</v>
      </c>
      <c r="XW21" s="15">
        <v>2400</v>
      </c>
      <c r="XX21" s="15">
        <v>2400</v>
      </c>
      <c r="XY21" s="15">
        <v>2400</v>
      </c>
      <c r="XZ21" s="15">
        <v>2400</v>
      </c>
      <c r="YA21" s="15">
        <v>2400</v>
      </c>
      <c r="YB21" s="15">
        <v>2400</v>
      </c>
      <c r="YC21" s="15">
        <v>2400</v>
      </c>
      <c r="YD21" s="15">
        <v>2400</v>
      </c>
      <c r="YE21" s="15">
        <v>2400</v>
      </c>
      <c r="YF21" s="15">
        <v>2400</v>
      </c>
      <c r="YG21" s="15">
        <v>2400</v>
      </c>
      <c r="YH21" s="15">
        <v>2400</v>
      </c>
      <c r="YI21" s="15">
        <v>2400</v>
      </c>
      <c r="YJ21" s="15">
        <v>2400</v>
      </c>
      <c r="YK21" s="15">
        <v>2400</v>
      </c>
      <c r="YL21" s="15">
        <v>2400</v>
      </c>
      <c r="YM21" s="15">
        <v>2400</v>
      </c>
      <c r="YN21" s="15">
        <v>2400</v>
      </c>
      <c r="YO21" s="15">
        <v>2400</v>
      </c>
      <c r="YP21" s="15">
        <v>2400</v>
      </c>
      <c r="YQ21" s="15">
        <v>2400</v>
      </c>
      <c r="YR21" s="15">
        <v>2400</v>
      </c>
      <c r="YS21" s="15">
        <v>2400</v>
      </c>
      <c r="YT21" s="15">
        <v>2400</v>
      </c>
      <c r="YU21" s="15">
        <v>2400</v>
      </c>
      <c r="YV21" s="15">
        <v>2400</v>
      </c>
      <c r="YW21" s="15">
        <v>2400</v>
      </c>
      <c r="YX21" s="15">
        <v>2400</v>
      </c>
      <c r="YY21" s="15">
        <v>2400</v>
      </c>
      <c r="YZ21" s="15">
        <v>2400</v>
      </c>
      <c r="ZA21" s="15">
        <v>2400</v>
      </c>
      <c r="ZB21" s="15">
        <v>2400</v>
      </c>
      <c r="ZC21" s="15">
        <v>2400</v>
      </c>
      <c r="ZD21" s="15">
        <v>2400</v>
      </c>
      <c r="ZE21" s="15">
        <v>2400</v>
      </c>
      <c r="ZF21" s="15">
        <v>2400</v>
      </c>
      <c r="ZG21" s="15">
        <v>2400</v>
      </c>
      <c r="ZH21" s="15">
        <v>2400</v>
      </c>
      <c r="ZI21" s="15">
        <v>2400</v>
      </c>
      <c r="ZJ21" s="15">
        <v>2400</v>
      </c>
      <c r="ZK21" s="15">
        <v>2400</v>
      </c>
      <c r="ZL21" s="15">
        <v>2400</v>
      </c>
      <c r="ZM21" s="15">
        <v>2400</v>
      </c>
      <c r="ZN21" s="15">
        <v>2400</v>
      </c>
      <c r="ZO21" s="15">
        <v>2400</v>
      </c>
      <c r="ZP21" s="15">
        <v>2400</v>
      </c>
      <c r="ZQ21" s="15">
        <v>2400</v>
      </c>
      <c r="ZR21" s="15">
        <v>2400</v>
      </c>
      <c r="ZS21" s="15">
        <v>2400</v>
      </c>
      <c r="ZT21" s="15">
        <v>2400</v>
      </c>
      <c r="ZU21" s="15">
        <v>2400</v>
      </c>
      <c r="ZV21" s="15">
        <v>2400</v>
      </c>
      <c r="ZW21" s="15">
        <v>2400</v>
      </c>
      <c r="ZX21" s="15">
        <v>2400</v>
      </c>
      <c r="ZY21" s="15">
        <v>2400</v>
      </c>
      <c r="ZZ21" s="15">
        <v>2400</v>
      </c>
      <c r="AAA21" s="15">
        <v>2400</v>
      </c>
      <c r="AAB21" s="15">
        <v>2400</v>
      </c>
      <c r="AAC21" s="15">
        <v>2400</v>
      </c>
      <c r="AAD21" s="15">
        <v>2400</v>
      </c>
      <c r="AAE21" s="15">
        <v>2400</v>
      </c>
      <c r="AAF21" s="15">
        <v>2400</v>
      </c>
      <c r="AAG21" s="15">
        <v>2400</v>
      </c>
      <c r="AAH21" s="15">
        <v>2400</v>
      </c>
      <c r="AAI21" s="15">
        <v>2400</v>
      </c>
      <c r="AAJ21" s="15">
        <v>2400</v>
      </c>
      <c r="AAK21" s="15">
        <v>2400</v>
      </c>
      <c r="AAL21" s="15"/>
      <c r="AAM21" s="15">
        <v>2400</v>
      </c>
      <c r="AAN21" s="15">
        <v>2400</v>
      </c>
      <c r="AAO21" s="15">
        <v>2400</v>
      </c>
      <c r="AAP21" s="15">
        <v>2400</v>
      </c>
      <c r="AAQ21" s="15">
        <v>2400</v>
      </c>
      <c r="AAR21" s="15">
        <v>2400</v>
      </c>
      <c r="AAS21" s="15">
        <v>2400</v>
      </c>
      <c r="AAT21" s="15">
        <v>2400</v>
      </c>
      <c r="AAU21" s="15">
        <v>2400</v>
      </c>
      <c r="AAV21" s="15">
        <v>2400</v>
      </c>
      <c r="AAW21" s="15">
        <v>2400</v>
      </c>
      <c r="AAX21" s="15"/>
      <c r="AAY21" s="15">
        <v>2400</v>
      </c>
      <c r="AAZ21" s="15">
        <v>2400</v>
      </c>
      <c r="ABA21" s="15">
        <v>2400</v>
      </c>
      <c r="ABB21" s="15">
        <v>2400</v>
      </c>
      <c r="ABC21" s="15">
        <v>2400</v>
      </c>
      <c r="ABD21" s="15">
        <v>2400</v>
      </c>
      <c r="ABE21" s="15">
        <v>2400</v>
      </c>
      <c r="ABF21" s="15">
        <v>2400</v>
      </c>
      <c r="ABG21" s="15">
        <v>2400</v>
      </c>
      <c r="ABH21" s="15">
        <v>2400</v>
      </c>
      <c r="ABI21" s="15">
        <v>2400</v>
      </c>
      <c r="ABJ21" s="15">
        <v>2400</v>
      </c>
      <c r="ABK21" s="15">
        <v>2400</v>
      </c>
      <c r="ABL21" s="15">
        <v>2400</v>
      </c>
      <c r="ABM21" s="15">
        <v>2400</v>
      </c>
      <c r="ABN21" s="15">
        <v>2400</v>
      </c>
      <c r="ABO21" s="15">
        <v>2400</v>
      </c>
      <c r="ABP21" s="15">
        <v>2400</v>
      </c>
      <c r="ABQ21" s="15">
        <v>2400</v>
      </c>
      <c r="ABR21" s="15">
        <v>2400</v>
      </c>
      <c r="ABS21" s="15">
        <v>2400</v>
      </c>
      <c r="ABT21" s="15">
        <v>2400</v>
      </c>
      <c r="ABU21" s="15">
        <v>2400</v>
      </c>
      <c r="ABV21" s="15">
        <v>2400</v>
      </c>
      <c r="ABW21" s="15">
        <v>2400</v>
      </c>
      <c r="ABX21" s="15">
        <v>2400</v>
      </c>
      <c r="ABY21" s="15">
        <v>2400</v>
      </c>
      <c r="ABZ21" s="15">
        <v>2400</v>
      </c>
      <c r="ACA21" s="15">
        <v>2400</v>
      </c>
      <c r="ACB21" s="15">
        <v>2400</v>
      </c>
      <c r="ACC21" s="15">
        <v>2400</v>
      </c>
      <c r="ACD21" s="15">
        <v>2400</v>
      </c>
      <c r="ACE21" s="15">
        <v>2400</v>
      </c>
      <c r="ACF21" s="15">
        <v>2400</v>
      </c>
      <c r="ACG21" s="15">
        <v>2400</v>
      </c>
      <c r="ACH21" s="15">
        <v>2400</v>
      </c>
      <c r="ACI21" s="15">
        <v>2400</v>
      </c>
      <c r="ACJ21" s="15">
        <v>2400</v>
      </c>
      <c r="ACK21" s="15">
        <v>2400</v>
      </c>
      <c r="ACL21" s="15">
        <v>2400</v>
      </c>
      <c r="ACM21" s="15">
        <v>2400</v>
      </c>
      <c r="ACN21" s="15">
        <v>2400</v>
      </c>
      <c r="ACO21" s="15">
        <v>2400</v>
      </c>
      <c r="ACP21" s="15">
        <v>2400</v>
      </c>
      <c r="ACQ21" s="15">
        <v>2400</v>
      </c>
      <c r="ACR21" s="15">
        <v>2400</v>
      </c>
      <c r="ACS21" s="15">
        <v>2400</v>
      </c>
      <c r="ACT21" s="15">
        <v>2400</v>
      </c>
      <c r="ACU21" s="15">
        <v>2400</v>
      </c>
      <c r="ACV21" s="15">
        <v>2400</v>
      </c>
      <c r="ACW21" s="15">
        <v>2400</v>
      </c>
      <c r="ACX21" s="15">
        <v>2400</v>
      </c>
      <c r="ACY21" s="15">
        <v>2400</v>
      </c>
      <c r="ACZ21" s="15">
        <v>2400</v>
      </c>
      <c r="ADA21" s="15">
        <v>2400</v>
      </c>
      <c r="ADB21" s="15">
        <v>2400</v>
      </c>
      <c r="ADC21" s="15">
        <v>2400</v>
      </c>
      <c r="ADD21" s="15">
        <v>2400</v>
      </c>
      <c r="ADE21" s="15">
        <v>2400</v>
      </c>
      <c r="ADF21" s="15">
        <v>2400</v>
      </c>
      <c r="ADG21" s="15">
        <v>2400</v>
      </c>
      <c r="ADH21" s="15"/>
      <c r="ADI21" s="15">
        <v>2400</v>
      </c>
      <c r="ADJ21" s="15">
        <v>2400</v>
      </c>
      <c r="ADK21" s="15">
        <v>2400</v>
      </c>
      <c r="ADL21" s="15">
        <v>2400</v>
      </c>
      <c r="ADM21" s="15">
        <v>2400</v>
      </c>
      <c r="ADN21" s="15">
        <v>2400</v>
      </c>
      <c r="ADO21" s="15">
        <v>2400</v>
      </c>
      <c r="ADP21" s="15">
        <v>2400</v>
      </c>
      <c r="ADQ21" s="15">
        <v>2400</v>
      </c>
      <c r="ADR21" s="15">
        <v>2400</v>
      </c>
      <c r="ADS21" s="15">
        <v>2400</v>
      </c>
      <c r="ADT21" s="15">
        <v>2400</v>
      </c>
      <c r="ADU21" s="15">
        <v>2400</v>
      </c>
      <c r="ADV21" s="15">
        <v>2400</v>
      </c>
      <c r="ADW21" s="15">
        <v>2400</v>
      </c>
      <c r="ADX21" s="15">
        <v>2400</v>
      </c>
      <c r="ADY21" s="15">
        <v>2400</v>
      </c>
      <c r="ADZ21" s="15">
        <v>2400</v>
      </c>
      <c r="AEA21" s="15">
        <v>2400</v>
      </c>
      <c r="AEB21" s="15">
        <v>2400</v>
      </c>
      <c r="AEC21" s="15">
        <v>2400</v>
      </c>
      <c r="AED21" s="15">
        <v>2400</v>
      </c>
      <c r="AEE21" s="15">
        <v>2400</v>
      </c>
      <c r="AEF21" s="15">
        <v>2400</v>
      </c>
      <c r="AEG21" s="15">
        <v>2400</v>
      </c>
      <c r="AEH21" s="15">
        <v>2400</v>
      </c>
      <c r="AEI21" s="15">
        <v>2400</v>
      </c>
      <c r="AEJ21" s="15">
        <v>2400</v>
      </c>
      <c r="AEK21" s="15">
        <v>2400</v>
      </c>
      <c r="AEL21" s="15">
        <v>2400</v>
      </c>
      <c r="AEM21" s="15">
        <v>2400</v>
      </c>
      <c r="AEN21" s="15">
        <v>2400</v>
      </c>
      <c r="AEO21" s="15">
        <v>2400</v>
      </c>
      <c r="AEP21" s="15">
        <v>2400</v>
      </c>
      <c r="AEQ21" s="15">
        <v>2400</v>
      </c>
      <c r="AER21" s="15">
        <v>2400</v>
      </c>
      <c r="AES21" s="15">
        <v>2400</v>
      </c>
      <c r="AET21" s="15">
        <v>2400</v>
      </c>
      <c r="AEU21" s="15">
        <v>2400</v>
      </c>
      <c r="AEV21" s="15">
        <v>2400</v>
      </c>
      <c r="AEW21" s="15">
        <v>2400</v>
      </c>
      <c r="AEX21" s="15">
        <v>2400</v>
      </c>
      <c r="AEY21" s="15">
        <v>2400</v>
      </c>
      <c r="AEZ21" s="15">
        <v>2400</v>
      </c>
      <c r="AFA21" s="15">
        <v>2400</v>
      </c>
      <c r="AFB21" s="15">
        <v>2400</v>
      </c>
      <c r="AFC21" s="15">
        <v>2400</v>
      </c>
      <c r="AFD21" s="15">
        <v>2400</v>
      </c>
      <c r="AFE21" s="15">
        <v>2400</v>
      </c>
      <c r="AFF21" s="15">
        <v>2400</v>
      </c>
      <c r="AFG21" s="15">
        <v>2400</v>
      </c>
      <c r="AFH21" s="15">
        <v>2400</v>
      </c>
      <c r="AFI21" s="15">
        <v>2400</v>
      </c>
      <c r="AFJ21" s="15">
        <v>2400</v>
      </c>
      <c r="AFK21" s="15">
        <v>2400</v>
      </c>
      <c r="AFL21" s="15">
        <v>2400</v>
      </c>
      <c r="AFM21" s="15">
        <v>2400</v>
      </c>
      <c r="AFN21" s="15">
        <v>2400</v>
      </c>
      <c r="AFO21" s="15">
        <v>2400</v>
      </c>
      <c r="AFP21" s="15">
        <v>2400</v>
      </c>
      <c r="AFQ21" s="15">
        <v>2400</v>
      </c>
      <c r="AFR21" s="15"/>
      <c r="AFS21" s="15">
        <v>2400</v>
      </c>
      <c r="AFT21" s="15">
        <v>2400</v>
      </c>
      <c r="AFU21" s="15">
        <v>2400</v>
      </c>
      <c r="AFV21" s="15">
        <v>2400</v>
      </c>
      <c r="AFW21" s="15">
        <v>2400</v>
      </c>
      <c r="AFX21" s="15">
        <v>2400</v>
      </c>
      <c r="AFY21" s="15">
        <v>2400</v>
      </c>
      <c r="AFZ21" s="15">
        <v>2400</v>
      </c>
      <c r="AGA21" s="15">
        <v>2400</v>
      </c>
      <c r="AGB21" s="15">
        <v>2400</v>
      </c>
      <c r="AGC21" s="15">
        <v>2400</v>
      </c>
      <c r="AGD21" s="15">
        <v>2400</v>
      </c>
      <c r="AGE21" s="15">
        <v>2400</v>
      </c>
      <c r="AGF21" s="15">
        <v>2400</v>
      </c>
      <c r="AGG21" s="15">
        <v>2400</v>
      </c>
      <c r="AGH21" s="15">
        <v>2400</v>
      </c>
      <c r="AGI21" s="15">
        <v>2400</v>
      </c>
      <c r="AGJ21" s="15">
        <v>2400</v>
      </c>
      <c r="AGK21" s="15">
        <v>2400</v>
      </c>
      <c r="AGL21" s="15">
        <v>2400</v>
      </c>
      <c r="AGM21" s="15">
        <v>2400</v>
      </c>
      <c r="AGN21" s="15">
        <v>2400</v>
      </c>
      <c r="AGO21" s="15">
        <v>2400</v>
      </c>
      <c r="AGP21" s="15">
        <v>2400</v>
      </c>
      <c r="AGQ21" s="15">
        <v>2400</v>
      </c>
      <c r="AGR21" s="15">
        <v>2400</v>
      </c>
      <c r="AGS21" s="15">
        <v>2400</v>
      </c>
      <c r="AGT21" s="15">
        <v>2400</v>
      </c>
      <c r="AGU21" s="15">
        <v>2400</v>
      </c>
      <c r="AGV21" s="15">
        <v>2400</v>
      </c>
      <c r="AGW21" s="15">
        <v>2400</v>
      </c>
      <c r="AGX21" s="15">
        <v>2400</v>
      </c>
      <c r="AGY21" s="15">
        <v>2400</v>
      </c>
      <c r="AGZ21" s="15">
        <v>2400</v>
      </c>
      <c r="AHA21" s="15">
        <v>2400</v>
      </c>
      <c r="AHB21" s="15">
        <v>2400</v>
      </c>
      <c r="AHC21" s="15">
        <v>2400</v>
      </c>
      <c r="AHD21" s="15">
        <v>2400</v>
      </c>
      <c r="AHE21" s="15">
        <v>2400</v>
      </c>
      <c r="AHF21" s="15">
        <v>2400</v>
      </c>
      <c r="AHG21" s="15">
        <v>2400</v>
      </c>
      <c r="AHH21" s="15">
        <v>2400</v>
      </c>
      <c r="AHI21" s="15">
        <v>2400</v>
      </c>
      <c r="AHJ21" s="15">
        <v>2400</v>
      </c>
      <c r="AHK21" s="15">
        <v>2400</v>
      </c>
      <c r="AHL21" s="15">
        <v>2400</v>
      </c>
      <c r="AHM21" s="15">
        <v>2400</v>
      </c>
      <c r="AHN21" s="15">
        <v>2400</v>
      </c>
      <c r="AHO21" s="15">
        <v>2400</v>
      </c>
      <c r="AHP21" s="15">
        <v>2400</v>
      </c>
      <c r="AHQ21" s="15">
        <v>2400</v>
      </c>
      <c r="AHR21" s="15">
        <v>2400</v>
      </c>
      <c r="AHS21" s="15">
        <v>2400</v>
      </c>
      <c r="AHT21" s="15">
        <v>2400</v>
      </c>
      <c r="AHU21" s="15">
        <v>2400</v>
      </c>
      <c r="AHV21" s="15">
        <v>2400</v>
      </c>
      <c r="AHW21" s="15">
        <v>2400</v>
      </c>
      <c r="AHX21" s="15">
        <v>2400</v>
      </c>
      <c r="AHY21" s="15">
        <v>2400</v>
      </c>
      <c r="AHZ21" s="15">
        <v>2400</v>
      </c>
      <c r="AIA21" s="15">
        <v>2400</v>
      </c>
      <c r="AIB21" s="15">
        <v>2400</v>
      </c>
      <c r="AIC21" s="15">
        <v>2400</v>
      </c>
      <c r="AID21" s="15">
        <v>2400</v>
      </c>
      <c r="AIE21" s="15">
        <v>2400</v>
      </c>
      <c r="AIF21" s="15">
        <v>2400</v>
      </c>
      <c r="AIG21" s="15">
        <v>2400</v>
      </c>
      <c r="AIH21" s="15">
        <v>2400</v>
      </c>
      <c r="AII21" s="15">
        <v>2400</v>
      </c>
      <c r="AIJ21" s="15">
        <v>2400</v>
      </c>
      <c r="AIK21" s="15">
        <v>2400</v>
      </c>
      <c r="AIL21" s="15">
        <v>2400</v>
      </c>
      <c r="AIM21" s="15">
        <v>2400</v>
      </c>
      <c r="AIN21" s="15">
        <v>2400</v>
      </c>
      <c r="AIO21" s="15">
        <v>2400</v>
      </c>
      <c r="AIP21" s="15">
        <v>2400</v>
      </c>
      <c r="AIQ21" s="15">
        <v>2400</v>
      </c>
      <c r="AIR21" s="15">
        <v>2400</v>
      </c>
      <c r="AIS21" s="15">
        <v>2400</v>
      </c>
      <c r="AIT21" s="15">
        <v>2400</v>
      </c>
      <c r="AIU21" s="15">
        <v>2400</v>
      </c>
      <c r="AIV21" s="15">
        <v>2400</v>
      </c>
      <c r="AIW21" s="15">
        <v>2400</v>
      </c>
      <c r="AIX21" s="15">
        <v>2400</v>
      </c>
      <c r="AIY21" s="15">
        <v>2400</v>
      </c>
      <c r="AIZ21" s="15">
        <v>2400</v>
      </c>
      <c r="AJA21" s="15">
        <v>2400</v>
      </c>
      <c r="AJB21" s="15">
        <v>2400</v>
      </c>
      <c r="AJC21" s="15">
        <v>2400</v>
      </c>
      <c r="AJD21" s="15">
        <v>2400</v>
      </c>
      <c r="AJE21" s="15">
        <v>2400</v>
      </c>
      <c r="AJF21" s="15"/>
      <c r="AJG21" s="15">
        <v>2400</v>
      </c>
      <c r="AJH21" s="15">
        <v>2400</v>
      </c>
      <c r="AJI21" s="15">
        <v>2400</v>
      </c>
      <c r="AJJ21" s="15">
        <v>2400</v>
      </c>
      <c r="AJK21" s="15">
        <v>2400</v>
      </c>
      <c r="AJL21" s="15">
        <v>2400</v>
      </c>
      <c r="AJM21" s="15">
        <v>2400</v>
      </c>
      <c r="AJN21" s="15"/>
      <c r="AJO21" s="15">
        <v>2400</v>
      </c>
      <c r="AJP21" s="15">
        <v>2400</v>
      </c>
      <c r="AJQ21" s="15">
        <v>2400</v>
      </c>
      <c r="AJR21" s="15">
        <v>2400</v>
      </c>
      <c r="AJS21" s="15">
        <v>2400</v>
      </c>
      <c r="AJT21" s="15">
        <v>2400</v>
      </c>
      <c r="AJU21" s="15">
        <v>2400</v>
      </c>
      <c r="AJV21" s="15">
        <v>2400</v>
      </c>
      <c r="AJW21" s="15">
        <v>2400</v>
      </c>
      <c r="AJX21" s="15"/>
      <c r="AJY21" s="15">
        <v>2400</v>
      </c>
      <c r="AJZ21" s="15">
        <v>2400</v>
      </c>
      <c r="AKA21" s="15">
        <v>2400</v>
      </c>
      <c r="AKB21" s="15">
        <v>2400</v>
      </c>
      <c r="AKC21" s="15">
        <v>2400</v>
      </c>
      <c r="AKD21" s="15">
        <v>2400</v>
      </c>
      <c r="AKE21" s="15">
        <v>2400</v>
      </c>
      <c r="AKF21" s="15">
        <v>2400</v>
      </c>
      <c r="AKG21" s="15">
        <v>2400</v>
      </c>
      <c r="AKH21" s="15">
        <v>2400</v>
      </c>
      <c r="AKI21" s="15"/>
      <c r="AKJ21" s="15">
        <v>2400</v>
      </c>
      <c r="AKK21" s="15">
        <v>2400</v>
      </c>
      <c r="AKL21" s="15">
        <v>2400</v>
      </c>
      <c r="AKM21" s="15">
        <v>2400</v>
      </c>
      <c r="AKN21" s="15">
        <v>2400</v>
      </c>
      <c r="AKO21" s="15">
        <v>2400</v>
      </c>
      <c r="AKP21" s="15">
        <v>2400</v>
      </c>
      <c r="AKQ21" s="15">
        <v>2400</v>
      </c>
      <c r="AKR21" s="15">
        <v>2400</v>
      </c>
      <c r="AKS21" s="15">
        <v>2400</v>
      </c>
      <c r="AKT21" s="15">
        <v>2400</v>
      </c>
      <c r="AKU21" s="15">
        <v>2400</v>
      </c>
      <c r="AKV21" s="15">
        <v>2400</v>
      </c>
      <c r="AKW21" s="15">
        <v>2400</v>
      </c>
      <c r="AKX21" s="15"/>
      <c r="AKY21" s="15">
        <v>2400</v>
      </c>
      <c r="AKZ21" s="15">
        <v>2400</v>
      </c>
      <c r="ALA21" s="15">
        <v>2400</v>
      </c>
      <c r="ALB21" s="15">
        <v>2400</v>
      </c>
      <c r="ALC21" s="15">
        <v>2400</v>
      </c>
      <c r="ALD21" s="15">
        <v>2400</v>
      </c>
      <c r="ALE21" s="15">
        <v>2400</v>
      </c>
      <c r="ALF21" s="15">
        <v>2400</v>
      </c>
      <c r="ALG21" s="15">
        <v>2400</v>
      </c>
      <c r="ALH21" s="15">
        <v>2400</v>
      </c>
      <c r="ALI21" s="15">
        <v>2400</v>
      </c>
      <c r="ALJ21" s="15">
        <v>2400</v>
      </c>
      <c r="ALK21" s="15">
        <v>2400</v>
      </c>
      <c r="ALL21" s="15">
        <v>2400</v>
      </c>
      <c r="ALM21" s="15"/>
      <c r="ALN21" s="15">
        <v>2400</v>
      </c>
      <c r="ALO21" s="15">
        <v>2400</v>
      </c>
      <c r="ALP21" s="15">
        <v>2400</v>
      </c>
      <c r="ALQ21" s="15">
        <v>2400</v>
      </c>
      <c r="ALR21" s="15">
        <v>2400</v>
      </c>
      <c r="ALS21" s="15">
        <v>2400</v>
      </c>
      <c r="ALT21" s="15">
        <v>2400</v>
      </c>
      <c r="ALU21" s="15">
        <v>2400</v>
      </c>
      <c r="ALV21" s="15">
        <v>2400</v>
      </c>
      <c r="ALW21" s="15">
        <v>2400</v>
      </c>
      <c r="ALX21" s="15">
        <v>2400</v>
      </c>
      <c r="ALY21" s="15">
        <v>2400</v>
      </c>
      <c r="ALZ21" s="15">
        <v>2400</v>
      </c>
      <c r="AMA21" s="15">
        <v>2400</v>
      </c>
      <c r="AMB21" s="15">
        <v>2400</v>
      </c>
      <c r="AMC21" s="15"/>
      <c r="AMD21" s="15">
        <v>2400</v>
      </c>
      <c r="AME21" s="15">
        <v>2400</v>
      </c>
      <c r="AMF21" s="15">
        <v>2400</v>
      </c>
      <c r="AMG21" s="15">
        <v>2400</v>
      </c>
      <c r="AMH21" s="15">
        <v>2400</v>
      </c>
      <c r="AMI21" s="15">
        <v>2400</v>
      </c>
      <c r="AMJ21" s="15">
        <v>2400</v>
      </c>
      <c r="AMK21" s="15">
        <v>2400</v>
      </c>
      <c r="AML21" s="15">
        <v>2400</v>
      </c>
      <c r="AMM21" s="15">
        <v>2400</v>
      </c>
      <c r="AMN21" s="15">
        <v>2400</v>
      </c>
      <c r="AMO21" s="15">
        <v>2400</v>
      </c>
      <c r="AMP21" s="15">
        <v>2400</v>
      </c>
      <c r="AMQ21" s="15">
        <v>2400</v>
      </c>
      <c r="AMR21" s="15">
        <v>2400</v>
      </c>
      <c r="AMS21" s="15">
        <v>2400</v>
      </c>
      <c r="AMT21" s="15">
        <v>2400</v>
      </c>
      <c r="AMU21" s="15">
        <v>2400</v>
      </c>
      <c r="AMV21" s="15">
        <v>2400</v>
      </c>
      <c r="AMW21" s="15">
        <v>2400</v>
      </c>
      <c r="AMX21" s="15">
        <v>2400</v>
      </c>
      <c r="AMY21" s="15">
        <v>2400</v>
      </c>
      <c r="AMZ21" s="15">
        <v>2400</v>
      </c>
      <c r="ANA21" s="15">
        <v>2400</v>
      </c>
      <c r="ANB21" s="15">
        <v>2400</v>
      </c>
      <c r="ANC21" s="15">
        <v>2400</v>
      </c>
      <c r="AND21" s="15">
        <v>2400</v>
      </c>
      <c r="ANE21" s="15"/>
      <c r="ANF21" s="15"/>
      <c r="ANG21" s="15"/>
      <c r="ANH21" s="15"/>
      <c r="ANI21" s="15"/>
      <c r="ANJ21" s="15"/>
      <c r="ANK21" s="15"/>
      <c r="ANL21" s="15"/>
      <c r="ANM21" s="15"/>
      <c r="ANN21" s="15"/>
      <c r="ANO21" s="15"/>
      <c r="ANP21" s="15"/>
      <c r="ANQ21" s="15"/>
      <c r="ANR21" s="15"/>
      <c r="ANS21" s="15"/>
      <c r="ANT21" s="15"/>
      <c r="ANU21" s="15"/>
      <c r="ANV21" s="15"/>
      <c r="ANW21" s="15"/>
      <c r="ANX21" s="15"/>
      <c r="ANY21" s="15"/>
      <c r="ANZ21" s="15"/>
      <c r="AOA21" s="15"/>
      <c r="AOB21" s="15"/>
      <c r="AOC21" s="15"/>
      <c r="AOD21" s="15"/>
      <c r="AOE21" s="15"/>
      <c r="AOF21" s="15"/>
      <c r="AOG21" s="15"/>
      <c r="AOH21" s="15"/>
      <c r="AOI21" s="15"/>
      <c r="AOJ21" s="15"/>
      <c r="AOK21" s="15"/>
      <c r="AOL21" s="15"/>
      <c r="AOM21" s="15"/>
      <c r="AON21" s="15"/>
      <c r="AOO21" s="15"/>
      <c r="AOP21" s="15"/>
      <c r="AOQ21" s="15"/>
      <c r="AOR21" s="15"/>
      <c r="AOS21" s="15"/>
      <c r="AOT21" s="15"/>
      <c r="AOU21" s="15"/>
      <c r="AOV21" s="15"/>
      <c r="AOW21" s="15"/>
      <c r="AOX21" s="15"/>
      <c r="AOY21" s="15"/>
      <c r="AOZ21" s="15"/>
      <c r="APA21" s="15"/>
      <c r="APB21" s="15"/>
      <c r="APC21" s="15"/>
      <c r="APD21" s="15"/>
      <c r="APE21" s="15"/>
      <c r="APF21" s="15"/>
      <c r="APG21" s="15"/>
      <c r="APH21" s="15"/>
      <c r="API21" s="15"/>
      <c r="APJ21" s="15"/>
      <c r="APK21" s="15"/>
      <c r="APL21" s="15"/>
      <c r="APM21" s="15"/>
      <c r="APN21" s="15"/>
      <c r="APO21" s="15"/>
      <c r="APP21" s="15"/>
      <c r="APQ21" s="15"/>
      <c r="APR21" s="15"/>
      <c r="APS21" s="15"/>
      <c r="APT21" s="15"/>
      <c r="APU21" s="15"/>
      <c r="APV21" s="15"/>
      <c r="APW21" s="15"/>
      <c r="APX21" s="15"/>
      <c r="APY21" s="15"/>
      <c r="APZ21" s="15"/>
      <c r="AQA21" s="15"/>
      <c r="AQB21" s="15"/>
    </row>
    <row r="22" spans="1:1120" s="17" customFormat="1" ht="15" customHeight="1" x14ac:dyDescent="0.25">
      <c r="A22" s="3" t="s">
        <v>2</v>
      </c>
      <c r="B22" s="6" t="s">
        <v>27</v>
      </c>
      <c r="C22" s="15"/>
      <c r="D22" s="20" t="s">
        <v>97</v>
      </c>
      <c r="E22" s="20" t="s">
        <v>96</v>
      </c>
      <c r="F22" s="20" t="s">
        <v>96</v>
      </c>
      <c r="G22" s="20" t="s">
        <v>96</v>
      </c>
      <c r="H22" s="20" t="s">
        <v>96</v>
      </c>
      <c r="I22" s="20" t="s">
        <v>96</v>
      </c>
      <c r="J22" s="15"/>
      <c r="K22" s="20" t="s">
        <v>96</v>
      </c>
      <c r="L22" s="20" t="s">
        <v>96</v>
      </c>
      <c r="M22" s="20" t="s">
        <v>96</v>
      </c>
      <c r="N22" s="20" t="s">
        <v>96</v>
      </c>
      <c r="O22" s="20" t="s">
        <v>96</v>
      </c>
      <c r="P22" s="20" t="s">
        <v>96</v>
      </c>
      <c r="Q22" s="15"/>
      <c r="R22" s="20" t="s">
        <v>96</v>
      </c>
      <c r="S22" s="20" t="s">
        <v>96</v>
      </c>
      <c r="T22" s="20" t="s">
        <v>96</v>
      </c>
      <c r="U22" s="20" t="s">
        <v>96</v>
      </c>
      <c r="V22" s="20" t="s">
        <v>96</v>
      </c>
      <c r="W22" s="20" t="s">
        <v>96</v>
      </c>
      <c r="X22" s="15"/>
      <c r="Y22" s="20" t="s">
        <v>114</v>
      </c>
      <c r="Z22" s="20" t="s">
        <v>114</v>
      </c>
      <c r="AA22" s="20" t="s">
        <v>114</v>
      </c>
      <c r="AB22" s="20" t="s">
        <v>114</v>
      </c>
      <c r="AC22" s="20" t="s">
        <v>114</v>
      </c>
      <c r="AD22" s="20" t="s">
        <v>114</v>
      </c>
      <c r="AE22" s="15"/>
      <c r="AF22" s="20" t="s">
        <v>97</v>
      </c>
      <c r="AG22" s="20" t="s">
        <v>97</v>
      </c>
      <c r="AH22" s="20" t="s">
        <v>97</v>
      </c>
      <c r="AI22" s="20" t="s">
        <v>97</v>
      </c>
      <c r="AJ22" s="20" t="s">
        <v>97</v>
      </c>
      <c r="AK22" s="20" t="s">
        <v>97</v>
      </c>
      <c r="AL22" s="15"/>
      <c r="AM22" s="20" t="s">
        <v>96</v>
      </c>
      <c r="AN22" s="20" t="s">
        <v>96</v>
      </c>
      <c r="AO22" s="20" t="s">
        <v>96</v>
      </c>
      <c r="AP22" s="20" t="s">
        <v>96</v>
      </c>
      <c r="AQ22" s="20" t="s">
        <v>96</v>
      </c>
      <c r="AR22" s="20" t="s">
        <v>96</v>
      </c>
      <c r="AS22" s="15" t="s">
        <v>96</v>
      </c>
      <c r="AT22" s="15" t="s">
        <v>96</v>
      </c>
      <c r="AU22" s="15" t="s">
        <v>96</v>
      </c>
      <c r="AV22" s="15" t="s">
        <v>96</v>
      </c>
      <c r="AW22" s="15" t="s">
        <v>96</v>
      </c>
      <c r="AX22" s="15" t="s">
        <v>96</v>
      </c>
      <c r="AY22" s="15" t="s">
        <v>96</v>
      </c>
      <c r="AZ22" s="15" t="s">
        <v>96</v>
      </c>
      <c r="BA22" s="15" t="s">
        <v>96</v>
      </c>
      <c r="BB22" s="15" t="s">
        <v>96</v>
      </c>
      <c r="BC22" s="15" t="s">
        <v>96</v>
      </c>
      <c r="BD22" s="15" t="s">
        <v>96</v>
      </c>
      <c r="BE22" s="15" t="s">
        <v>96</v>
      </c>
      <c r="BF22" s="15" t="s">
        <v>96</v>
      </c>
      <c r="BG22" s="15" t="s">
        <v>96</v>
      </c>
      <c r="BH22" s="15" t="s">
        <v>96</v>
      </c>
      <c r="BI22" s="15" t="s">
        <v>96</v>
      </c>
      <c r="BJ22" s="15" t="s">
        <v>96</v>
      </c>
      <c r="BK22" s="15" t="s">
        <v>96</v>
      </c>
      <c r="BL22" s="15" t="s">
        <v>96</v>
      </c>
      <c r="BM22" s="15" t="s">
        <v>96</v>
      </c>
      <c r="BN22" s="15" t="s">
        <v>96</v>
      </c>
      <c r="BO22" s="15" t="s">
        <v>96</v>
      </c>
      <c r="BP22" s="15" t="s">
        <v>96</v>
      </c>
      <c r="BQ22" s="15" t="s">
        <v>96</v>
      </c>
      <c r="BR22" s="15" t="s">
        <v>96</v>
      </c>
      <c r="BS22" s="15" t="s">
        <v>96</v>
      </c>
      <c r="BT22" s="15" t="s">
        <v>96</v>
      </c>
      <c r="BU22" s="15" t="s">
        <v>96</v>
      </c>
      <c r="BV22" s="15" t="s">
        <v>96</v>
      </c>
      <c r="BW22" s="15" t="s">
        <v>96</v>
      </c>
      <c r="BX22" s="15" t="s">
        <v>96</v>
      </c>
      <c r="BY22" s="15" t="s">
        <v>96</v>
      </c>
      <c r="BZ22" s="15" t="s">
        <v>96</v>
      </c>
      <c r="CA22" s="15" t="s">
        <v>96</v>
      </c>
      <c r="CB22" s="15" t="s">
        <v>96</v>
      </c>
      <c r="CC22" s="15" t="s">
        <v>96</v>
      </c>
      <c r="CD22" s="15" t="s">
        <v>96</v>
      </c>
      <c r="CE22" s="15" t="s">
        <v>96</v>
      </c>
      <c r="CF22" s="15" t="s">
        <v>96</v>
      </c>
      <c r="CG22" s="15" t="s">
        <v>96</v>
      </c>
      <c r="CH22" s="15" t="s">
        <v>96</v>
      </c>
      <c r="CI22" s="15" t="s">
        <v>96</v>
      </c>
      <c r="CJ22" s="15" t="s">
        <v>96</v>
      </c>
      <c r="CK22" s="15" t="s">
        <v>96</v>
      </c>
      <c r="CL22" s="15" t="s">
        <v>96</v>
      </c>
      <c r="CM22" s="15" t="s">
        <v>96</v>
      </c>
      <c r="CN22" s="15" t="s">
        <v>96</v>
      </c>
      <c r="CO22" s="15" t="s">
        <v>96</v>
      </c>
      <c r="CP22" s="15" t="s">
        <v>96</v>
      </c>
      <c r="CQ22" s="15" t="s">
        <v>96</v>
      </c>
      <c r="CR22" s="15" t="s">
        <v>96</v>
      </c>
      <c r="CS22" s="15" t="s">
        <v>96</v>
      </c>
      <c r="CT22" s="15" t="s">
        <v>96</v>
      </c>
      <c r="CU22" s="15" t="s">
        <v>96</v>
      </c>
      <c r="CV22" s="15" t="s">
        <v>96</v>
      </c>
      <c r="CW22" s="15" t="s">
        <v>96</v>
      </c>
      <c r="CX22" s="15" t="s">
        <v>96</v>
      </c>
      <c r="CY22" s="15" t="s">
        <v>96</v>
      </c>
      <c r="CZ22" s="15" t="s">
        <v>96</v>
      </c>
      <c r="DA22" s="15" t="s">
        <v>96</v>
      </c>
      <c r="DB22" s="15" t="s">
        <v>96</v>
      </c>
      <c r="DC22" s="15" t="s">
        <v>96</v>
      </c>
      <c r="DD22" s="15" t="s">
        <v>96</v>
      </c>
      <c r="DE22" s="15" t="s">
        <v>96</v>
      </c>
      <c r="DF22" s="15" t="s">
        <v>96</v>
      </c>
      <c r="DG22" s="15" t="s">
        <v>96</v>
      </c>
      <c r="DH22" s="15" t="s">
        <v>96</v>
      </c>
      <c r="DI22" s="15" t="s">
        <v>96</v>
      </c>
      <c r="DJ22" s="15" t="s">
        <v>96</v>
      </c>
      <c r="DK22" s="15" t="s">
        <v>96</v>
      </c>
      <c r="DL22" s="15" t="s">
        <v>96</v>
      </c>
      <c r="DM22" s="15" t="s">
        <v>96</v>
      </c>
      <c r="DN22" s="15" t="s">
        <v>96</v>
      </c>
      <c r="DO22" s="15" t="s">
        <v>96</v>
      </c>
      <c r="DP22" s="15" t="s">
        <v>96</v>
      </c>
      <c r="DQ22" s="15" t="s">
        <v>96</v>
      </c>
      <c r="DR22" s="15" t="s">
        <v>96</v>
      </c>
      <c r="DS22" s="15" t="s">
        <v>96</v>
      </c>
      <c r="DT22" s="15" t="s">
        <v>96</v>
      </c>
      <c r="DU22" s="15" t="s">
        <v>96</v>
      </c>
      <c r="DV22" s="15" t="s">
        <v>96</v>
      </c>
      <c r="DW22" s="15" t="s">
        <v>96</v>
      </c>
      <c r="DX22" s="15" t="s">
        <v>96</v>
      </c>
      <c r="DY22" s="15" t="s">
        <v>96</v>
      </c>
      <c r="DZ22" s="15" t="s">
        <v>96</v>
      </c>
      <c r="EA22" s="15" t="s">
        <v>96</v>
      </c>
      <c r="EB22" s="15" t="s">
        <v>96</v>
      </c>
      <c r="EC22" s="15" t="s">
        <v>96</v>
      </c>
      <c r="ED22" s="15" t="s">
        <v>96</v>
      </c>
      <c r="EE22" s="15" t="s">
        <v>96</v>
      </c>
      <c r="EF22" s="15" t="s">
        <v>96</v>
      </c>
      <c r="EG22" s="15" t="s">
        <v>96</v>
      </c>
      <c r="EH22" s="15" t="s">
        <v>96</v>
      </c>
      <c r="EI22" s="15" t="s">
        <v>96</v>
      </c>
      <c r="EJ22" s="15" t="s">
        <v>96</v>
      </c>
      <c r="EK22" s="15" t="s">
        <v>96</v>
      </c>
      <c r="EL22" s="15" t="s">
        <v>96</v>
      </c>
      <c r="EM22" s="15" t="s">
        <v>96</v>
      </c>
      <c r="EN22" s="15" t="s">
        <v>96</v>
      </c>
      <c r="EO22" s="15" t="s">
        <v>96</v>
      </c>
      <c r="EP22" s="15" t="s">
        <v>96</v>
      </c>
      <c r="EQ22" s="15" t="s">
        <v>96</v>
      </c>
      <c r="ER22" s="15" t="s">
        <v>96</v>
      </c>
      <c r="ES22" s="15" t="s">
        <v>96</v>
      </c>
      <c r="ET22" s="15" t="s">
        <v>96</v>
      </c>
      <c r="EU22" s="15" t="s">
        <v>96</v>
      </c>
      <c r="EV22" s="15" t="s">
        <v>96</v>
      </c>
      <c r="EW22" s="15" t="s">
        <v>96</v>
      </c>
      <c r="EX22" s="15" t="s">
        <v>96</v>
      </c>
      <c r="EY22" s="15" t="s">
        <v>96</v>
      </c>
      <c r="EZ22" s="15" t="s">
        <v>96</v>
      </c>
      <c r="FA22" s="15" t="s">
        <v>96</v>
      </c>
      <c r="FB22" s="15" t="s">
        <v>96</v>
      </c>
      <c r="FC22" s="15" t="s">
        <v>96</v>
      </c>
      <c r="FD22" s="15"/>
      <c r="FE22" s="20" t="s">
        <v>96</v>
      </c>
      <c r="FF22" s="20" t="s">
        <v>96</v>
      </c>
      <c r="FG22" s="20" t="s">
        <v>96</v>
      </c>
      <c r="FH22" s="20" t="s">
        <v>96</v>
      </c>
      <c r="FI22" s="20" t="s">
        <v>96</v>
      </c>
      <c r="FJ22" s="20" t="s">
        <v>96</v>
      </c>
      <c r="FK22" s="20" t="s">
        <v>96</v>
      </c>
      <c r="FL22" s="15" t="s">
        <v>96</v>
      </c>
      <c r="FM22" s="15" t="s">
        <v>96</v>
      </c>
      <c r="FN22" s="15" t="s">
        <v>96</v>
      </c>
      <c r="FO22" s="15" t="s">
        <v>96</v>
      </c>
      <c r="FP22" s="15" t="s">
        <v>96</v>
      </c>
      <c r="FQ22" s="15" t="s">
        <v>96</v>
      </c>
      <c r="FR22" s="20" t="s">
        <v>96</v>
      </c>
      <c r="FS22" s="15" t="s">
        <v>96</v>
      </c>
      <c r="FT22" s="15" t="s">
        <v>96</v>
      </c>
      <c r="FU22" s="15" t="s">
        <v>96</v>
      </c>
      <c r="FV22" s="15" t="s">
        <v>96</v>
      </c>
      <c r="FW22" s="15" t="s">
        <v>96</v>
      </c>
      <c r="FX22" s="15" t="s">
        <v>96</v>
      </c>
      <c r="FY22" s="20" t="s">
        <v>96</v>
      </c>
      <c r="FZ22" s="15" t="s">
        <v>96</v>
      </c>
      <c r="GA22" s="15" t="s">
        <v>96</v>
      </c>
      <c r="GB22" s="15" t="s">
        <v>96</v>
      </c>
      <c r="GC22" s="15" t="s">
        <v>96</v>
      </c>
      <c r="GD22" s="15" t="s">
        <v>96</v>
      </c>
      <c r="GE22" s="15" t="s">
        <v>96</v>
      </c>
      <c r="GF22" s="20" t="s">
        <v>96</v>
      </c>
      <c r="GG22" s="15" t="s">
        <v>96</v>
      </c>
      <c r="GH22" s="15" t="s">
        <v>96</v>
      </c>
      <c r="GI22" s="15" t="s">
        <v>96</v>
      </c>
      <c r="GJ22" s="15" t="s">
        <v>96</v>
      </c>
      <c r="GK22" s="15" t="s">
        <v>96</v>
      </c>
      <c r="GL22" s="15" t="s">
        <v>96</v>
      </c>
      <c r="GM22" s="20" t="s">
        <v>96</v>
      </c>
      <c r="GN22" s="15" t="s">
        <v>96</v>
      </c>
      <c r="GO22" s="15" t="s">
        <v>96</v>
      </c>
      <c r="GP22" s="15" t="s">
        <v>96</v>
      </c>
      <c r="GQ22" s="15" t="s">
        <v>96</v>
      </c>
      <c r="GR22" s="15" t="s">
        <v>96</v>
      </c>
      <c r="GS22" s="15" t="s">
        <v>96</v>
      </c>
      <c r="GT22" s="20" t="s">
        <v>96</v>
      </c>
      <c r="GU22" s="15" t="s">
        <v>96</v>
      </c>
      <c r="GV22" s="15" t="s">
        <v>96</v>
      </c>
      <c r="GW22" s="15" t="s">
        <v>96</v>
      </c>
      <c r="GX22" s="15" t="s">
        <v>96</v>
      </c>
      <c r="GY22" s="15" t="s">
        <v>96</v>
      </c>
      <c r="GZ22" s="15" t="s">
        <v>96</v>
      </c>
      <c r="HA22" s="20" t="s">
        <v>96</v>
      </c>
      <c r="HB22" s="15" t="s">
        <v>96</v>
      </c>
      <c r="HC22" s="15" t="s">
        <v>96</v>
      </c>
      <c r="HD22" s="15" t="s">
        <v>96</v>
      </c>
      <c r="HE22" s="15" t="s">
        <v>96</v>
      </c>
      <c r="HF22" s="15" t="s">
        <v>96</v>
      </c>
      <c r="HG22" s="15" t="s">
        <v>96</v>
      </c>
      <c r="HH22" s="20" t="s">
        <v>96</v>
      </c>
      <c r="HI22" s="15" t="s">
        <v>96</v>
      </c>
      <c r="HJ22" s="15" t="s">
        <v>96</v>
      </c>
      <c r="HK22" s="15" t="s">
        <v>96</v>
      </c>
      <c r="HL22" s="15" t="s">
        <v>96</v>
      </c>
      <c r="HM22" s="15" t="s">
        <v>96</v>
      </c>
      <c r="HN22" s="15" t="s">
        <v>96</v>
      </c>
      <c r="HO22" s="20" t="s">
        <v>96</v>
      </c>
      <c r="HP22" s="15" t="s">
        <v>96</v>
      </c>
      <c r="HQ22" s="15" t="s">
        <v>96</v>
      </c>
      <c r="HR22" s="15" t="s">
        <v>96</v>
      </c>
      <c r="HS22" s="15" t="s">
        <v>96</v>
      </c>
      <c r="HT22" s="15" t="s">
        <v>96</v>
      </c>
      <c r="HU22" s="15" t="s">
        <v>96</v>
      </c>
      <c r="HV22" s="20" t="s">
        <v>96</v>
      </c>
      <c r="HW22" s="15" t="s">
        <v>96</v>
      </c>
      <c r="HX22" s="15" t="s">
        <v>96</v>
      </c>
      <c r="HY22" s="15" t="s">
        <v>96</v>
      </c>
      <c r="HZ22" s="15" t="s">
        <v>96</v>
      </c>
      <c r="IA22" s="15" t="s">
        <v>96</v>
      </c>
      <c r="IB22" s="15"/>
      <c r="IC22" s="20" t="s">
        <v>96</v>
      </c>
      <c r="ID22" s="20" t="s">
        <v>96</v>
      </c>
      <c r="IE22" s="20" t="s">
        <v>96</v>
      </c>
      <c r="IF22" s="20" t="s">
        <v>96</v>
      </c>
      <c r="IG22" s="20" t="s">
        <v>96</v>
      </c>
      <c r="IH22" s="20" t="s">
        <v>96</v>
      </c>
      <c r="II22" s="20" t="s">
        <v>96</v>
      </c>
      <c r="IJ22" s="20" t="s">
        <v>96</v>
      </c>
      <c r="IK22" s="15"/>
      <c r="IL22" s="20" t="s">
        <v>96</v>
      </c>
      <c r="IM22" s="20" t="s">
        <v>96</v>
      </c>
      <c r="IN22" s="20" t="s">
        <v>96</v>
      </c>
      <c r="IO22" s="20" t="s">
        <v>96</v>
      </c>
      <c r="IP22" s="20" t="s">
        <v>96</v>
      </c>
      <c r="IQ22" s="20" t="s">
        <v>96</v>
      </c>
      <c r="IR22" s="20" t="s">
        <v>96</v>
      </c>
      <c r="IS22" s="20" t="s">
        <v>96</v>
      </c>
      <c r="IT22" s="20" t="s">
        <v>96</v>
      </c>
      <c r="IU22" s="20" t="s">
        <v>96</v>
      </c>
      <c r="IV22" s="20" t="s">
        <v>96</v>
      </c>
      <c r="IW22" s="20" t="s">
        <v>96</v>
      </c>
      <c r="IX22" s="20" t="s">
        <v>96</v>
      </c>
      <c r="IY22" s="20" t="s">
        <v>96</v>
      </c>
      <c r="IZ22" s="20" t="s">
        <v>96</v>
      </c>
      <c r="JA22" s="20" t="s">
        <v>96</v>
      </c>
      <c r="JB22" s="20" t="s">
        <v>96</v>
      </c>
      <c r="JC22" s="20" t="s">
        <v>96</v>
      </c>
      <c r="JD22" s="20" t="s">
        <v>96</v>
      </c>
      <c r="JE22" s="20" t="s">
        <v>96</v>
      </c>
      <c r="JF22" s="20" t="s">
        <v>96</v>
      </c>
      <c r="JG22" s="20" t="s">
        <v>96</v>
      </c>
      <c r="JH22" s="20" t="s">
        <v>96</v>
      </c>
      <c r="JI22" s="20" t="s">
        <v>96</v>
      </c>
      <c r="JJ22" s="20" t="s">
        <v>96</v>
      </c>
      <c r="JK22" s="20" t="s">
        <v>96</v>
      </c>
      <c r="JL22" s="20" t="s">
        <v>96</v>
      </c>
      <c r="JM22" s="20" t="s">
        <v>96</v>
      </c>
      <c r="JN22" s="20" t="s">
        <v>96</v>
      </c>
      <c r="JO22" s="20" t="s">
        <v>96</v>
      </c>
      <c r="JP22" s="20" t="s">
        <v>96</v>
      </c>
      <c r="JQ22" s="20" t="s">
        <v>96</v>
      </c>
      <c r="JR22" s="20" t="s">
        <v>96</v>
      </c>
      <c r="JS22" s="20" t="s">
        <v>96</v>
      </c>
      <c r="JT22" s="20" t="s">
        <v>96</v>
      </c>
      <c r="JU22" s="20" t="s">
        <v>96</v>
      </c>
      <c r="JV22" s="20" t="s">
        <v>96</v>
      </c>
      <c r="JW22" s="20" t="s">
        <v>96</v>
      </c>
      <c r="JX22" s="20" t="s">
        <v>96</v>
      </c>
      <c r="JY22" s="20" t="s">
        <v>96</v>
      </c>
      <c r="JZ22" s="20" t="s">
        <v>96</v>
      </c>
      <c r="KA22" s="20" t="s">
        <v>96</v>
      </c>
      <c r="KB22" s="20" t="s">
        <v>96</v>
      </c>
      <c r="KC22" s="20" t="s">
        <v>96</v>
      </c>
      <c r="KD22" s="20" t="s">
        <v>96</v>
      </c>
      <c r="KE22" s="20" t="s">
        <v>96</v>
      </c>
      <c r="KF22" s="20" t="s">
        <v>96</v>
      </c>
      <c r="KG22" s="20" t="s">
        <v>96</v>
      </c>
      <c r="KH22" s="20" t="s">
        <v>96</v>
      </c>
      <c r="KI22" s="20" t="s">
        <v>96</v>
      </c>
      <c r="KJ22" s="20" t="s">
        <v>96</v>
      </c>
      <c r="KK22" s="20" t="s">
        <v>96</v>
      </c>
      <c r="KL22" s="20" t="s">
        <v>96</v>
      </c>
      <c r="KM22" s="20" t="s">
        <v>96</v>
      </c>
      <c r="KN22" s="20" t="s">
        <v>96</v>
      </c>
      <c r="KO22" s="20" t="s">
        <v>96</v>
      </c>
      <c r="KP22" s="20" t="s">
        <v>96</v>
      </c>
      <c r="KQ22" s="20" t="s">
        <v>96</v>
      </c>
      <c r="KR22" s="20" t="s">
        <v>96</v>
      </c>
      <c r="KS22" s="20" t="s">
        <v>96</v>
      </c>
      <c r="KT22" s="20" t="s">
        <v>96</v>
      </c>
      <c r="KU22" s="20" t="s">
        <v>96</v>
      </c>
      <c r="KV22" s="20" t="s">
        <v>96</v>
      </c>
      <c r="KW22" s="20" t="s">
        <v>96</v>
      </c>
      <c r="KX22" s="20" t="s">
        <v>96</v>
      </c>
      <c r="KY22" s="20" t="s">
        <v>96</v>
      </c>
      <c r="KZ22" s="20" t="s">
        <v>96</v>
      </c>
      <c r="LA22" s="20" t="s">
        <v>96</v>
      </c>
      <c r="LB22" s="20" t="s">
        <v>96</v>
      </c>
      <c r="LC22" s="20" t="s">
        <v>96</v>
      </c>
      <c r="LD22" s="20" t="s">
        <v>96</v>
      </c>
      <c r="LE22" s="20" t="s">
        <v>96</v>
      </c>
      <c r="LF22" s="20" t="s">
        <v>96</v>
      </c>
      <c r="LG22" s="20" t="s">
        <v>96</v>
      </c>
      <c r="LH22" s="20" t="s">
        <v>96</v>
      </c>
      <c r="LI22" s="20" t="s">
        <v>96</v>
      </c>
      <c r="LJ22" s="20" t="s">
        <v>96</v>
      </c>
      <c r="LK22" s="20" t="s">
        <v>96</v>
      </c>
      <c r="LL22" s="20" t="s">
        <v>96</v>
      </c>
      <c r="LM22" s="20" t="s">
        <v>96</v>
      </c>
      <c r="LN22" s="20" t="s">
        <v>96</v>
      </c>
      <c r="LO22" s="20" t="s">
        <v>96</v>
      </c>
      <c r="LP22" s="20" t="s">
        <v>96</v>
      </c>
      <c r="LQ22" s="20" t="s">
        <v>96</v>
      </c>
      <c r="LR22" s="20" t="s">
        <v>96</v>
      </c>
      <c r="LS22" s="20" t="s">
        <v>96</v>
      </c>
      <c r="LT22" s="20" t="s">
        <v>96</v>
      </c>
      <c r="LU22" s="20" t="s">
        <v>96</v>
      </c>
      <c r="LV22" s="20" t="s">
        <v>96</v>
      </c>
      <c r="LW22" s="20" t="s">
        <v>96</v>
      </c>
      <c r="LX22" s="20" t="s">
        <v>96</v>
      </c>
      <c r="LY22" s="20" t="s">
        <v>96</v>
      </c>
      <c r="LZ22" s="20" t="s">
        <v>96</v>
      </c>
      <c r="MA22" s="20" t="s">
        <v>96</v>
      </c>
      <c r="MB22" s="20" t="s">
        <v>96</v>
      </c>
      <c r="MC22" s="20" t="s">
        <v>96</v>
      </c>
      <c r="MD22" s="20" t="s">
        <v>96</v>
      </c>
      <c r="ME22" s="20" t="s">
        <v>96</v>
      </c>
      <c r="MF22" s="20" t="s">
        <v>96</v>
      </c>
      <c r="MG22" s="20" t="s">
        <v>96</v>
      </c>
      <c r="MH22" s="20" t="s">
        <v>96</v>
      </c>
      <c r="MI22" s="20" t="s">
        <v>96</v>
      </c>
      <c r="MJ22" s="20" t="s">
        <v>96</v>
      </c>
      <c r="MK22" s="20" t="s">
        <v>96</v>
      </c>
      <c r="ML22" s="20" t="s">
        <v>96</v>
      </c>
      <c r="MM22" s="20" t="s">
        <v>96</v>
      </c>
      <c r="MN22" s="20" t="s">
        <v>96</v>
      </c>
      <c r="MO22" s="20" t="s">
        <v>96</v>
      </c>
      <c r="MP22" s="20" t="s">
        <v>96</v>
      </c>
      <c r="MQ22" s="20" t="s">
        <v>96</v>
      </c>
      <c r="MR22" s="20" t="s">
        <v>96</v>
      </c>
      <c r="MS22" s="20" t="s">
        <v>96</v>
      </c>
      <c r="MT22" s="20" t="s">
        <v>96</v>
      </c>
      <c r="MU22" s="20" t="s">
        <v>96</v>
      </c>
      <c r="MV22" s="20" t="s">
        <v>96</v>
      </c>
      <c r="MW22" s="20" t="s">
        <v>96</v>
      </c>
      <c r="MX22" s="20" t="s">
        <v>96</v>
      </c>
      <c r="MY22" s="20" t="s">
        <v>96</v>
      </c>
      <c r="MZ22" s="20" t="s">
        <v>96</v>
      </c>
      <c r="NA22" s="20" t="s">
        <v>96</v>
      </c>
      <c r="NB22" s="20" t="s">
        <v>96</v>
      </c>
      <c r="NC22" s="20" t="s">
        <v>96</v>
      </c>
      <c r="ND22" s="20" t="s">
        <v>96</v>
      </c>
      <c r="NE22" s="20" t="s">
        <v>96</v>
      </c>
      <c r="NF22" s="20" t="s">
        <v>96</v>
      </c>
      <c r="NG22" s="20" t="s">
        <v>96</v>
      </c>
      <c r="NH22" s="20" t="s">
        <v>96</v>
      </c>
      <c r="NI22" s="20" t="s">
        <v>96</v>
      </c>
      <c r="NJ22" s="20" t="s">
        <v>96</v>
      </c>
      <c r="NK22" s="20" t="s">
        <v>96</v>
      </c>
      <c r="NL22" s="20" t="s">
        <v>96</v>
      </c>
      <c r="NM22" s="20" t="s">
        <v>96</v>
      </c>
      <c r="NN22" s="20" t="s">
        <v>96</v>
      </c>
      <c r="NO22" s="20" t="s">
        <v>96</v>
      </c>
      <c r="NP22" s="20" t="s">
        <v>96</v>
      </c>
      <c r="NQ22" s="20" t="s">
        <v>96</v>
      </c>
      <c r="NR22" s="20" t="s">
        <v>96</v>
      </c>
      <c r="NS22" s="20" t="s">
        <v>96</v>
      </c>
      <c r="NT22" s="15" t="s">
        <v>96</v>
      </c>
      <c r="NU22" s="15" t="s">
        <v>96</v>
      </c>
      <c r="NV22" s="15" t="s">
        <v>96</v>
      </c>
      <c r="NW22" s="15" t="s">
        <v>96</v>
      </c>
      <c r="NX22" s="15" t="s">
        <v>96</v>
      </c>
      <c r="NY22" s="15" t="s">
        <v>96</v>
      </c>
      <c r="NZ22" s="15" t="s">
        <v>96</v>
      </c>
      <c r="OA22" s="15" t="s">
        <v>96</v>
      </c>
      <c r="OB22" s="15" t="s">
        <v>96</v>
      </c>
      <c r="OC22" s="15" t="s">
        <v>96</v>
      </c>
      <c r="OD22" s="15" t="s">
        <v>96</v>
      </c>
      <c r="OE22" s="15" t="s">
        <v>96</v>
      </c>
      <c r="OF22" s="15" t="s">
        <v>96</v>
      </c>
      <c r="OG22" s="15" t="s">
        <v>96</v>
      </c>
      <c r="OH22" s="15" t="s">
        <v>96</v>
      </c>
      <c r="OI22" s="15" t="s">
        <v>96</v>
      </c>
      <c r="OJ22" s="15" t="s">
        <v>96</v>
      </c>
      <c r="OK22" s="15" t="s">
        <v>96</v>
      </c>
      <c r="OL22" s="15" t="s">
        <v>96</v>
      </c>
      <c r="OM22" s="15" t="s">
        <v>96</v>
      </c>
      <c r="ON22" s="15" t="s">
        <v>96</v>
      </c>
      <c r="OO22" s="15" t="s">
        <v>96</v>
      </c>
      <c r="OP22" s="15" t="s">
        <v>96</v>
      </c>
      <c r="OQ22" s="15" t="s">
        <v>96</v>
      </c>
      <c r="OR22" s="15" t="s">
        <v>96</v>
      </c>
      <c r="OS22" s="15" t="s">
        <v>96</v>
      </c>
      <c r="OT22" s="15" t="s">
        <v>96</v>
      </c>
      <c r="OU22" s="15" t="s">
        <v>96</v>
      </c>
      <c r="OV22" s="15" t="s">
        <v>96</v>
      </c>
      <c r="OW22" s="15" t="s">
        <v>96</v>
      </c>
      <c r="OX22" s="15" t="s">
        <v>96</v>
      </c>
      <c r="OY22" s="15" t="s">
        <v>96</v>
      </c>
      <c r="OZ22" s="15" t="s">
        <v>96</v>
      </c>
      <c r="PA22" s="15" t="s">
        <v>96</v>
      </c>
      <c r="PB22" s="15" t="s">
        <v>96</v>
      </c>
      <c r="PC22" s="15" t="s">
        <v>96</v>
      </c>
      <c r="PD22" s="15" t="s">
        <v>96</v>
      </c>
      <c r="PE22" s="15" t="s">
        <v>96</v>
      </c>
      <c r="PF22" s="15" t="s">
        <v>96</v>
      </c>
      <c r="PG22" s="15" t="s">
        <v>96</v>
      </c>
      <c r="PH22" s="15" t="s">
        <v>96</v>
      </c>
      <c r="PI22" s="15" t="s">
        <v>96</v>
      </c>
      <c r="PJ22" s="15" t="s">
        <v>96</v>
      </c>
      <c r="PK22" s="15" t="s">
        <v>96</v>
      </c>
      <c r="PL22" s="15" t="s">
        <v>96</v>
      </c>
      <c r="PM22" s="15" t="s">
        <v>96</v>
      </c>
      <c r="PN22" s="15" t="s">
        <v>96</v>
      </c>
      <c r="PO22" s="15" t="s">
        <v>96</v>
      </c>
      <c r="PP22" s="15" t="s">
        <v>96</v>
      </c>
      <c r="PQ22" s="15" t="s">
        <v>96</v>
      </c>
      <c r="PR22" s="15" t="s">
        <v>96</v>
      </c>
      <c r="PS22" s="15" t="s">
        <v>96</v>
      </c>
      <c r="PT22" s="15" t="s">
        <v>96</v>
      </c>
      <c r="PU22" s="15" t="s">
        <v>96</v>
      </c>
      <c r="PV22" s="15" t="s">
        <v>96</v>
      </c>
      <c r="PW22" s="15" t="s">
        <v>96</v>
      </c>
      <c r="PX22" s="15" t="s">
        <v>96</v>
      </c>
      <c r="PY22" s="15" t="s">
        <v>96</v>
      </c>
      <c r="PZ22" s="15" t="s">
        <v>96</v>
      </c>
      <c r="QA22" s="15" t="s">
        <v>96</v>
      </c>
      <c r="QB22" s="15" t="s">
        <v>96</v>
      </c>
      <c r="QC22" s="15" t="s">
        <v>96</v>
      </c>
      <c r="QD22" s="15" t="s">
        <v>96</v>
      </c>
      <c r="QE22" s="15" t="s">
        <v>96</v>
      </c>
      <c r="QF22" s="15" t="s">
        <v>96</v>
      </c>
      <c r="QG22" s="15" t="s">
        <v>96</v>
      </c>
      <c r="QH22" s="15" t="s">
        <v>96</v>
      </c>
      <c r="QI22" s="15" t="s">
        <v>96</v>
      </c>
      <c r="QJ22" s="15" t="s">
        <v>96</v>
      </c>
      <c r="QK22" s="15" t="s">
        <v>96</v>
      </c>
      <c r="QL22" s="15" t="s">
        <v>96</v>
      </c>
      <c r="QM22" s="15" t="s">
        <v>96</v>
      </c>
      <c r="QN22" s="15" t="s">
        <v>96</v>
      </c>
      <c r="QO22" s="15" t="s">
        <v>96</v>
      </c>
      <c r="QP22" s="15" t="s">
        <v>96</v>
      </c>
      <c r="QQ22" s="15" t="s">
        <v>96</v>
      </c>
      <c r="QR22" s="15" t="s">
        <v>96</v>
      </c>
      <c r="QS22" s="15" t="s">
        <v>96</v>
      </c>
      <c r="QT22" s="15" t="s">
        <v>96</v>
      </c>
      <c r="QU22" s="15" t="s">
        <v>96</v>
      </c>
      <c r="QV22" s="15" t="s">
        <v>96</v>
      </c>
      <c r="QW22" s="15" t="s">
        <v>96</v>
      </c>
      <c r="QX22" s="15" t="s">
        <v>96</v>
      </c>
      <c r="QY22" s="15" t="s">
        <v>96</v>
      </c>
      <c r="QZ22" s="15" t="s">
        <v>96</v>
      </c>
      <c r="RA22" s="15" t="s">
        <v>96</v>
      </c>
      <c r="RB22" s="15" t="s">
        <v>96</v>
      </c>
      <c r="RC22" s="15" t="s">
        <v>96</v>
      </c>
      <c r="RD22" s="15" t="s">
        <v>96</v>
      </c>
      <c r="RE22" s="15" t="s">
        <v>96</v>
      </c>
      <c r="RF22" s="15" t="s">
        <v>96</v>
      </c>
      <c r="RG22" s="15" t="s">
        <v>96</v>
      </c>
      <c r="RH22" s="15" t="s">
        <v>96</v>
      </c>
      <c r="RI22" s="15" t="s">
        <v>96</v>
      </c>
      <c r="RJ22" s="15" t="s">
        <v>96</v>
      </c>
      <c r="RK22" s="15" t="s">
        <v>96</v>
      </c>
      <c r="RL22" s="15" t="s">
        <v>96</v>
      </c>
      <c r="RM22" s="15" t="s">
        <v>96</v>
      </c>
      <c r="RN22" s="15" t="s">
        <v>96</v>
      </c>
      <c r="RO22" s="15" t="s">
        <v>96</v>
      </c>
      <c r="RP22" s="15" t="s">
        <v>96</v>
      </c>
      <c r="RQ22" s="15" t="s">
        <v>96</v>
      </c>
      <c r="RR22" s="15" t="s">
        <v>96</v>
      </c>
      <c r="RS22" s="15"/>
      <c r="RT22" s="20" t="s">
        <v>96</v>
      </c>
      <c r="RU22" s="20" t="s">
        <v>96</v>
      </c>
      <c r="RV22" s="20" t="s">
        <v>96</v>
      </c>
      <c r="RW22" s="20" t="s">
        <v>96</v>
      </c>
      <c r="RX22" s="20" t="s">
        <v>96</v>
      </c>
      <c r="RY22" s="20" t="s">
        <v>96</v>
      </c>
      <c r="RZ22" s="20" t="s">
        <v>96</v>
      </c>
      <c r="SA22" s="20" t="s">
        <v>96</v>
      </c>
      <c r="SB22" s="20" t="s">
        <v>96</v>
      </c>
      <c r="SC22" s="15" t="s">
        <v>96</v>
      </c>
      <c r="SD22" s="15" t="s">
        <v>96</v>
      </c>
      <c r="SE22" s="15" t="s">
        <v>96</v>
      </c>
      <c r="SF22" s="15" t="s">
        <v>96</v>
      </c>
      <c r="SG22" s="15" t="s">
        <v>96</v>
      </c>
      <c r="SH22" s="15" t="s">
        <v>96</v>
      </c>
      <c r="SI22" s="15" t="s">
        <v>96</v>
      </c>
      <c r="SJ22" s="15" t="s">
        <v>96</v>
      </c>
      <c r="SK22" s="15" t="s">
        <v>96</v>
      </c>
      <c r="SL22" s="15" t="s">
        <v>96</v>
      </c>
      <c r="SM22" s="15" t="s">
        <v>96</v>
      </c>
      <c r="SN22" s="15" t="s">
        <v>96</v>
      </c>
      <c r="SO22" s="15" t="s">
        <v>96</v>
      </c>
      <c r="SP22" s="15" t="s">
        <v>96</v>
      </c>
      <c r="SQ22" s="15" t="s">
        <v>96</v>
      </c>
      <c r="SR22" s="15" t="s">
        <v>96</v>
      </c>
      <c r="SS22" s="15" t="s">
        <v>96</v>
      </c>
      <c r="ST22" s="15" t="s">
        <v>96</v>
      </c>
      <c r="SU22" s="15" t="s">
        <v>96</v>
      </c>
      <c r="SV22" s="15" t="s">
        <v>96</v>
      </c>
      <c r="SW22" s="15" t="s">
        <v>96</v>
      </c>
      <c r="SX22" s="15" t="s">
        <v>96</v>
      </c>
      <c r="SY22" s="15" t="s">
        <v>96</v>
      </c>
      <c r="SZ22" s="15" t="s">
        <v>96</v>
      </c>
      <c r="TA22" s="15" t="s">
        <v>96</v>
      </c>
      <c r="TB22" s="15" t="s">
        <v>96</v>
      </c>
      <c r="TC22" s="15" t="s">
        <v>96</v>
      </c>
      <c r="TD22" s="15" t="s">
        <v>96</v>
      </c>
      <c r="TE22" s="15" t="s">
        <v>96</v>
      </c>
      <c r="TF22" s="15" t="s">
        <v>96</v>
      </c>
      <c r="TG22" s="15" t="s">
        <v>96</v>
      </c>
      <c r="TH22" s="15" t="s">
        <v>96</v>
      </c>
      <c r="TI22" s="15" t="s">
        <v>96</v>
      </c>
      <c r="TJ22" s="15" t="s">
        <v>96</v>
      </c>
      <c r="TK22" s="15" t="s">
        <v>96</v>
      </c>
      <c r="TL22" s="15" t="s">
        <v>96</v>
      </c>
      <c r="TM22" s="15" t="s">
        <v>96</v>
      </c>
      <c r="TN22" s="15" t="s">
        <v>96</v>
      </c>
      <c r="TO22" s="15" t="s">
        <v>96</v>
      </c>
      <c r="TP22" s="15" t="s">
        <v>96</v>
      </c>
      <c r="TQ22" s="15" t="s">
        <v>96</v>
      </c>
      <c r="TR22" s="15" t="s">
        <v>96</v>
      </c>
      <c r="TS22" s="15" t="s">
        <v>96</v>
      </c>
      <c r="TT22" s="15" t="s">
        <v>96</v>
      </c>
      <c r="TU22" s="15" t="s">
        <v>96</v>
      </c>
      <c r="TV22" s="15" t="s">
        <v>96</v>
      </c>
      <c r="TW22" s="15" t="s">
        <v>96</v>
      </c>
      <c r="TX22" s="15" t="s">
        <v>96</v>
      </c>
      <c r="TY22" s="15" t="s">
        <v>96</v>
      </c>
      <c r="TZ22" s="15" t="s">
        <v>96</v>
      </c>
      <c r="UA22" s="15" t="s">
        <v>96</v>
      </c>
      <c r="UB22" s="15" t="s">
        <v>96</v>
      </c>
      <c r="UC22" s="15" t="s">
        <v>96</v>
      </c>
      <c r="UD22" s="15" t="s">
        <v>96</v>
      </c>
      <c r="UE22" s="15" t="s">
        <v>96</v>
      </c>
      <c r="UF22" s="15" t="s">
        <v>96</v>
      </c>
      <c r="UG22" s="15" t="s">
        <v>96</v>
      </c>
      <c r="UH22" s="15" t="s">
        <v>96</v>
      </c>
      <c r="UI22" s="15" t="s">
        <v>96</v>
      </c>
      <c r="UJ22" s="15" t="s">
        <v>96</v>
      </c>
      <c r="UK22" s="15" t="s">
        <v>96</v>
      </c>
      <c r="UL22" s="15" t="s">
        <v>96</v>
      </c>
      <c r="UM22" s="15" t="s">
        <v>96</v>
      </c>
      <c r="UN22" s="15" t="s">
        <v>96</v>
      </c>
      <c r="UO22" s="15" t="s">
        <v>96</v>
      </c>
      <c r="UP22" s="15" t="s">
        <v>96</v>
      </c>
      <c r="UQ22" s="15" t="s">
        <v>96</v>
      </c>
      <c r="UR22" s="15" t="s">
        <v>96</v>
      </c>
      <c r="US22" s="15" t="s">
        <v>96</v>
      </c>
      <c r="UT22" s="15" t="s">
        <v>96</v>
      </c>
      <c r="UU22" s="15" t="s">
        <v>96</v>
      </c>
      <c r="UV22" s="15" t="s">
        <v>96</v>
      </c>
      <c r="UW22" s="15" t="s">
        <v>96</v>
      </c>
      <c r="UX22" s="15" t="s">
        <v>96</v>
      </c>
      <c r="UY22" s="15" t="s">
        <v>96</v>
      </c>
      <c r="UZ22" s="15" t="s">
        <v>96</v>
      </c>
      <c r="VA22" s="15" t="s">
        <v>96</v>
      </c>
      <c r="VB22" s="15" t="s">
        <v>96</v>
      </c>
      <c r="VC22" s="15" t="s">
        <v>96</v>
      </c>
      <c r="VD22" s="15" t="s">
        <v>96</v>
      </c>
      <c r="VE22" s="15" t="s">
        <v>96</v>
      </c>
      <c r="VF22" s="15" t="s">
        <v>96</v>
      </c>
      <c r="VG22" s="15" t="s">
        <v>96</v>
      </c>
      <c r="VH22" s="15" t="s">
        <v>96</v>
      </c>
      <c r="VI22" s="15" t="s">
        <v>96</v>
      </c>
      <c r="VJ22" s="15" t="s">
        <v>96</v>
      </c>
      <c r="VK22" s="15" t="s">
        <v>96</v>
      </c>
      <c r="VL22" s="15" t="s">
        <v>96</v>
      </c>
      <c r="VM22" s="15" t="s">
        <v>96</v>
      </c>
      <c r="VN22" s="15" t="s">
        <v>96</v>
      </c>
      <c r="VO22" s="15" t="s">
        <v>96</v>
      </c>
      <c r="VP22" s="15" t="s">
        <v>96</v>
      </c>
      <c r="VQ22" s="15" t="s">
        <v>96</v>
      </c>
      <c r="VR22" s="15" t="s">
        <v>96</v>
      </c>
      <c r="VS22" s="15" t="s">
        <v>96</v>
      </c>
      <c r="VT22" s="15" t="s">
        <v>96</v>
      </c>
      <c r="VU22" s="15" t="s">
        <v>96</v>
      </c>
      <c r="VV22" s="15" t="s">
        <v>96</v>
      </c>
      <c r="VW22" s="15" t="s">
        <v>96</v>
      </c>
      <c r="VX22" s="15" t="s">
        <v>96</v>
      </c>
      <c r="VY22" s="15" t="s">
        <v>96</v>
      </c>
      <c r="VZ22" s="15" t="s">
        <v>96</v>
      </c>
      <c r="WA22" s="15" t="s">
        <v>96</v>
      </c>
      <c r="WB22" s="15" t="s">
        <v>96</v>
      </c>
      <c r="WC22" s="15" t="s">
        <v>96</v>
      </c>
      <c r="WD22" s="15" t="s">
        <v>96</v>
      </c>
      <c r="WE22" s="15" t="s">
        <v>96</v>
      </c>
      <c r="WF22" s="15" t="s">
        <v>96</v>
      </c>
      <c r="WG22" s="15" t="s">
        <v>96</v>
      </c>
      <c r="WH22" s="15" t="s">
        <v>96</v>
      </c>
      <c r="WI22" s="15" t="s">
        <v>96</v>
      </c>
      <c r="WJ22" s="15" t="s">
        <v>96</v>
      </c>
      <c r="WK22" s="15" t="s">
        <v>96</v>
      </c>
      <c r="WL22" s="15" t="s">
        <v>96</v>
      </c>
      <c r="WM22" s="15" t="s">
        <v>96</v>
      </c>
      <c r="WN22" s="15" t="s">
        <v>96</v>
      </c>
      <c r="WO22" s="15" t="s">
        <v>96</v>
      </c>
      <c r="WP22" s="15" t="s">
        <v>96</v>
      </c>
      <c r="WQ22" s="15" t="s">
        <v>96</v>
      </c>
      <c r="WR22" s="15" t="s">
        <v>96</v>
      </c>
      <c r="WS22" s="15" t="s">
        <v>96</v>
      </c>
      <c r="WT22" s="15" t="s">
        <v>96</v>
      </c>
      <c r="WU22" s="15" t="s">
        <v>96</v>
      </c>
      <c r="WV22" s="15" t="s">
        <v>96</v>
      </c>
      <c r="WW22" s="15" t="s">
        <v>96</v>
      </c>
      <c r="WX22" s="15" t="s">
        <v>96</v>
      </c>
      <c r="WY22" s="15" t="s">
        <v>96</v>
      </c>
      <c r="WZ22" s="15" t="s">
        <v>96</v>
      </c>
      <c r="XA22" s="15" t="s">
        <v>96</v>
      </c>
      <c r="XB22" s="15" t="s">
        <v>96</v>
      </c>
      <c r="XC22" s="15" t="s">
        <v>96</v>
      </c>
      <c r="XD22" s="15" t="s">
        <v>96</v>
      </c>
      <c r="XE22" s="15" t="s">
        <v>96</v>
      </c>
      <c r="XF22" s="15" t="s">
        <v>96</v>
      </c>
      <c r="XG22" s="15" t="s">
        <v>96</v>
      </c>
      <c r="XH22" s="15" t="s">
        <v>96</v>
      </c>
      <c r="XI22" s="15" t="s">
        <v>96</v>
      </c>
      <c r="XJ22" s="15" t="s">
        <v>96</v>
      </c>
      <c r="XK22" s="15" t="s">
        <v>96</v>
      </c>
      <c r="XL22" s="15" t="s">
        <v>96</v>
      </c>
      <c r="XM22" s="15" t="s">
        <v>96</v>
      </c>
      <c r="XN22" s="15" t="s">
        <v>96</v>
      </c>
      <c r="XO22" s="15" t="s">
        <v>96</v>
      </c>
      <c r="XP22" s="15" t="s">
        <v>96</v>
      </c>
      <c r="XQ22" s="15" t="s">
        <v>96</v>
      </c>
      <c r="XR22" s="15" t="s">
        <v>96</v>
      </c>
      <c r="XS22" s="15" t="s">
        <v>96</v>
      </c>
      <c r="XT22" s="15" t="s">
        <v>96</v>
      </c>
      <c r="XU22" s="15" t="s">
        <v>96</v>
      </c>
      <c r="XV22" s="15" t="s">
        <v>96</v>
      </c>
      <c r="XW22" s="15" t="s">
        <v>96</v>
      </c>
      <c r="XX22" s="15" t="s">
        <v>96</v>
      </c>
      <c r="XY22" s="15" t="s">
        <v>96</v>
      </c>
      <c r="XZ22" s="15" t="s">
        <v>96</v>
      </c>
      <c r="YA22" s="15" t="s">
        <v>96</v>
      </c>
      <c r="YB22" s="15" t="s">
        <v>96</v>
      </c>
      <c r="YC22" s="15" t="s">
        <v>96</v>
      </c>
      <c r="YD22" s="15" t="s">
        <v>96</v>
      </c>
      <c r="YE22" s="15" t="s">
        <v>96</v>
      </c>
      <c r="YF22" s="15" t="s">
        <v>96</v>
      </c>
      <c r="YG22" s="15" t="s">
        <v>96</v>
      </c>
      <c r="YH22" s="15" t="s">
        <v>96</v>
      </c>
      <c r="YI22" s="15" t="s">
        <v>96</v>
      </c>
      <c r="YJ22" s="15" t="s">
        <v>96</v>
      </c>
      <c r="YK22" s="15" t="s">
        <v>96</v>
      </c>
      <c r="YL22" s="15" t="s">
        <v>96</v>
      </c>
      <c r="YM22" s="15" t="s">
        <v>96</v>
      </c>
      <c r="YN22" s="15" t="s">
        <v>96</v>
      </c>
      <c r="YO22" s="15" t="s">
        <v>96</v>
      </c>
      <c r="YP22" s="15" t="s">
        <v>96</v>
      </c>
      <c r="YQ22" s="15" t="s">
        <v>96</v>
      </c>
      <c r="YR22" s="15" t="s">
        <v>96</v>
      </c>
      <c r="YS22" s="15" t="s">
        <v>96</v>
      </c>
      <c r="YT22" s="15" t="s">
        <v>96</v>
      </c>
      <c r="YU22" s="15" t="s">
        <v>96</v>
      </c>
      <c r="YV22" s="15" t="s">
        <v>96</v>
      </c>
      <c r="YW22" s="15" t="s">
        <v>96</v>
      </c>
      <c r="YX22" s="15" t="s">
        <v>96</v>
      </c>
      <c r="YY22" s="15" t="s">
        <v>96</v>
      </c>
      <c r="YZ22" s="15" t="s">
        <v>96</v>
      </c>
      <c r="ZA22" s="15" t="s">
        <v>96</v>
      </c>
      <c r="ZB22" s="15" t="s">
        <v>96</v>
      </c>
      <c r="ZC22" s="15" t="s">
        <v>96</v>
      </c>
      <c r="ZD22" s="15" t="s">
        <v>96</v>
      </c>
      <c r="ZE22" s="15" t="s">
        <v>96</v>
      </c>
      <c r="ZF22" s="15" t="s">
        <v>96</v>
      </c>
      <c r="ZG22" s="15" t="s">
        <v>96</v>
      </c>
      <c r="ZH22" s="15" t="s">
        <v>96</v>
      </c>
      <c r="ZI22" s="15" t="s">
        <v>96</v>
      </c>
      <c r="ZJ22" s="15" t="s">
        <v>96</v>
      </c>
      <c r="ZK22" s="20" t="s">
        <v>96</v>
      </c>
      <c r="ZL22" s="20" t="s">
        <v>96</v>
      </c>
      <c r="ZM22" s="20" t="s">
        <v>96</v>
      </c>
      <c r="ZN22" s="20" t="s">
        <v>96</v>
      </c>
      <c r="ZO22" s="20" t="s">
        <v>96</v>
      </c>
      <c r="ZP22" s="20" t="s">
        <v>96</v>
      </c>
      <c r="ZQ22" s="20" t="s">
        <v>96</v>
      </c>
      <c r="ZR22" s="20" t="s">
        <v>96</v>
      </c>
      <c r="ZS22" s="20" t="s">
        <v>96</v>
      </c>
      <c r="ZT22" s="20" t="s">
        <v>96</v>
      </c>
      <c r="ZU22" s="20" t="s">
        <v>96</v>
      </c>
      <c r="ZV22" s="20" t="s">
        <v>96</v>
      </c>
      <c r="ZW22" s="20" t="s">
        <v>96</v>
      </c>
      <c r="ZX22" s="20" t="s">
        <v>96</v>
      </c>
      <c r="ZY22" s="20" t="s">
        <v>96</v>
      </c>
      <c r="ZZ22" s="20" t="s">
        <v>96</v>
      </c>
      <c r="AAA22" s="20" t="s">
        <v>96</v>
      </c>
      <c r="AAB22" s="20" t="s">
        <v>96</v>
      </c>
      <c r="AAC22" s="20" t="s">
        <v>96</v>
      </c>
      <c r="AAD22" s="20" t="s">
        <v>96</v>
      </c>
      <c r="AAE22" s="20" t="s">
        <v>96</v>
      </c>
      <c r="AAF22" s="20" t="s">
        <v>96</v>
      </c>
      <c r="AAG22" s="20" t="s">
        <v>96</v>
      </c>
      <c r="AAH22" s="20" t="s">
        <v>96</v>
      </c>
      <c r="AAI22" s="20" t="s">
        <v>96</v>
      </c>
      <c r="AAJ22" s="20" t="s">
        <v>96</v>
      </c>
      <c r="AAK22" s="15" t="s">
        <v>96</v>
      </c>
      <c r="AAL22" s="15"/>
      <c r="AAM22" s="20" t="s">
        <v>96</v>
      </c>
      <c r="AAN22" s="20" t="s">
        <v>96</v>
      </c>
      <c r="AAO22" s="20" t="s">
        <v>96</v>
      </c>
      <c r="AAP22" s="20" t="s">
        <v>96</v>
      </c>
      <c r="AAQ22" s="20" t="s">
        <v>96</v>
      </c>
      <c r="AAR22" s="20" t="s">
        <v>96</v>
      </c>
      <c r="AAS22" s="20" t="s">
        <v>96</v>
      </c>
      <c r="AAT22" s="20" t="s">
        <v>96</v>
      </c>
      <c r="AAU22" s="20" t="s">
        <v>96</v>
      </c>
      <c r="AAV22" s="20" t="s">
        <v>96</v>
      </c>
      <c r="AAW22" s="15" t="s">
        <v>96</v>
      </c>
      <c r="AAX22" s="15"/>
      <c r="AAY22" s="20" t="s">
        <v>96</v>
      </c>
      <c r="AAZ22" s="20" t="s">
        <v>96</v>
      </c>
      <c r="ABA22" s="20" t="s">
        <v>96</v>
      </c>
      <c r="ABB22" s="20" t="s">
        <v>96</v>
      </c>
      <c r="ABC22" s="20" t="s">
        <v>96</v>
      </c>
      <c r="ABD22" s="20" t="s">
        <v>96</v>
      </c>
      <c r="ABE22" s="20" t="s">
        <v>96</v>
      </c>
      <c r="ABF22" s="20" t="s">
        <v>96</v>
      </c>
      <c r="ABG22" s="20" t="s">
        <v>96</v>
      </c>
      <c r="ABH22" s="20" t="s">
        <v>96</v>
      </c>
      <c r="ABI22" s="20" t="s">
        <v>96</v>
      </c>
      <c r="ABJ22" s="20" t="s">
        <v>96</v>
      </c>
      <c r="ABK22" s="20" t="s">
        <v>96</v>
      </c>
      <c r="ABL22" s="20" t="s">
        <v>96</v>
      </c>
      <c r="ABM22" s="20" t="s">
        <v>96</v>
      </c>
      <c r="ABN22" s="20" t="s">
        <v>96</v>
      </c>
      <c r="ABO22" s="20" t="s">
        <v>96</v>
      </c>
      <c r="ABP22" s="20" t="s">
        <v>96</v>
      </c>
      <c r="ABQ22" s="20" t="s">
        <v>96</v>
      </c>
      <c r="ABR22" s="20" t="s">
        <v>96</v>
      </c>
      <c r="ABS22" s="20" t="s">
        <v>96</v>
      </c>
      <c r="ABT22" s="20" t="s">
        <v>96</v>
      </c>
      <c r="ABU22" s="20" t="s">
        <v>96</v>
      </c>
      <c r="ABV22" s="20" t="s">
        <v>96</v>
      </c>
      <c r="ABW22" s="20" t="s">
        <v>96</v>
      </c>
      <c r="ABX22" s="20" t="s">
        <v>96</v>
      </c>
      <c r="ABY22" s="20" t="s">
        <v>96</v>
      </c>
      <c r="ABZ22" s="20" t="s">
        <v>96</v>
      </c>
      <c r="ACA22" s="20" t="s">
        <v>96</v>
      </c>
      <c r="ACB22" s="20" t="s">
        <v>96</v>
      </c>
      <c r="ACC22" s="20" t="s">
        <v>96</v>
      </c>
      <c r="ACD22" s="20" t="s">
        <v>96</v>
      </c>
      <c r="ACE22" s="20" t="s">
        <v>96</v>
      </c>
      <c r="ACF22" s="20" t="s">
        <v>96</v>
      </c>
      <c r="ACG22" s="20" t="s">
        <v>96</v>
      </c>
      <c r="ACH22" s="15" t="s">
        <v>96</v>
      </c>
      <c r="ACI22" s="15" t="s">
        <v>96</v>
      </c>
      <c r="ACJ22" s="15" t="s">
        <v>96</v>
      </c>
      <c r="ACK22" s="15" t="s">
        <v>96</v>
      </c>
      <c r="ACL22" s="15" t="s">
        <v>96</v>
      </c>
      <c r="ACM22" s="15" t="s">
        <v>96</v>
      </c>
      <c r="ACN22" s="15" t="s">
        <v>96</v>
      </c>
      <c r="ACO22" s="15" t="s">
        <v>96</v>
      </c>
      <c r="ACP22" s="15" t="s">
        <v>96</v>
      </c>
      <c r="ACQ22" s="15" t="s">
        <v>96</v>
      </c>
      <c r="ACR22" s="15" t="s">
        <v>96</v>
      </c>
      <c r="ACS22" s="15" t="s">
        <v>96</v>
      </c>
      <c r="ACT22" s="15" t="s">
        <v>96</v>
      </c>
      <c r="ACU22" s="15" t="s">
        <v>96</v>
      </c>
      <c r="ACV22" s="15" t="s">
        <v>96</v>
      </c>
      <c r="ACW22" s="15" t="s">
        <v>96</v>
      </c>
      <c r="ACX22" s="15" t="s">
        <v>96</v>
      </c>
      <c r="ACY22" s="15" t="s">
        <v>96</v>
      </c>
      <c r="ACZ22" s="15" t="s">
        <v>96</v>
      </c>
      <c r="ADA22" s="15" t="s">
        <v>96</v>
      </c>
      <c r="ADB22" s="15" t="s">
        <v>96</v>
      </c>
      <c r="ADC22" s="15" t="s">
        <v>96</v>
      </c>
      <c r="ADD22" s="15" t="s">
        <v>96</v>
      </c>
      <c r="ADE22" s="15" t="s">
        <v>96</v>
      </c>
      <c r="ADF22" s="15" t="s">
        <v>96</v>
      </c>
      <c r="ADG22" s="15" t="s">
        <v>96</v>
      </c>
      <c r="ADH22" s="15"/>
      <c r="ADI22" s="20" t="s">
        <v>96</v>
      </c>
      <c r="ADJ22" s="20" t="s">
        <v>96</v>
      </c>
      <c r="ADK22" s="20" t="s">
        <v>96</v>
      </c>
      <c r="ADL22" s="20" t="s">
        <v>96</v>
      </c>
      <c r="ADM22" s="20" t="s">
        <v>96</v>
      </c>
      <c r="ADN22" s="20" t="s">
        <v>96</v>
      </c>
      <c r="ADO22" s="20" t="s">
        <v>96</v>
      </c>
      <c r="ADP22" s="20" t="s">
        <v>96</v>
      </c>
      <c r="ADQ22" s="20" t="s">
        <v>96</v>
      </c>
      <c r="ADR22" s="20" t="s">
        <v>96</v>
      </c>
      <c r="ADS22" s="20" t="s">
        <v>96</v>
      </c>
      <c r="ADT22" s="20" t="s">
        <v>96</v>
      </c>
      <c r="ADU22" s="20" t="s">
        <v>96</v>
      </c>
      <c r="ADV22" s="20" t="s">
        <v>96</v>
      </c>
      <c r="ADW22" s="20" t="s">
        <v>96</v>
      </c>
      <c r="ADX22" s="20" t="s">
        <v>96</v>
      </c>
      <c r="ADY22" s="20" t="s">
        <v>96</v>
      </c>
      <c r="ADZ22" s="20" t="s">
        <v>96</v>
      </c>
      <c r="AEA22" s="20" t="s">
        <v>96</v>
      </c>
      <c r="AEB22" s="20" t="s">
        <v>96</v>
      </c>
      <c r="AEC22" s="20" t="s">
        <v>96</v>
      </c>
      <c r="AED22" s="20" t="s">
        <v>96</v>
      </c>
      <c r="AEE22" s="20" t="s">
        <v>96</v>
      </c>
      <c r="AEF22" s="20" t="s">
        <v>96</v>
      </c>
      <c r="AEG22" s="20" t="s">
        <v>96</v>
      </c>
      <c r="AEH22" s="20" t="s">
        <v>96</v>
      </c>
      <c r="AEI22" s="20" t="s">
        <v>96</v>
      </c>
      <c r="AEJ22" s="20" t="s">
        <v>96</v>
      </c>
      <c r="AEK22" s="20" t="s">
        <v>96</v>
      </c>
      <c r="AEL22" s="20" t="s">
        <v>96</v>
      </c>
      <c r="AEM22" s="20" t="s">
        <v>96</v>
      </c>
      <c r="AEN22" s="20" t="s">
        <v>96</v>
      </c>
      <c r="AEO22" s="20" t="s">
        <v>96</v>
      </c>
      <c r="AEP22" s="20" t="s">
        <v>96</v>
      </c>
      <c r="AEQ22" s="20" t="s">
        <v>96</v>
      </c>
      <c r="AER22" s="15" t="s">
        <v>96</v>
      </c>
      <c r="AES22" s="15" t="s">
        <v>96</v>
      </c>
      <c r="AET22" s="15" t="s">
        <v>96</v>
      </c>
      <c r="AEU22" s="15" t="s">
        <v>96</v>
      </c>
      <c r="AEV22" s="15" t="s">
        <v>96</v>
      </c>
      <c r="AEW22" s="15" t="s">
        <v>96</v>
      </c>
      <c r="AEX22" s="15" t="s">
        <v>96</v>
      </c>
      <c r="AEY22" s="15" t="s">
        <v>96</v>
      </c>
      <c r="AEZ22" s="15" t="s">
        <v>96</v>
      </c>
      <c r="AFA22" s="15" t="s">
        <v>96</v>
      </c>
      <c r="AFB22" s="15" t="s">
        <v>96</v>
      </c>
      <c r="AFC22" s="15" t="s">
        <v>96</v>
      </c>
      <c r="AFD22" s="15" t="s">
        <v>96</v>
      </c>
      <c r="AFE22" s="15" t="s">
        <v>96</v>
      </c>
      <c r="AFF22" s="15" t="s">
        <v>96</v>
      </c>
      <c r="AFG22" s="15" t="s">
        <v>96</v>
      </c>
      <c r="AFH22" s="15" t="s">
        <v>96</v>
      </c>
      <c r="AFI22" s="15" t="s">
        <v>96</v>
      </c>
      <c r="AFJ22" s="15" t="s">
        <v>96</v>
      </c>
      <c r="AFK22" s="15" t="s">
        <v>96</v>
      </c>
      <c r="AFL22" s="15" t="s">
        <v>96</v>
      </c>
      <c r="AFM22" s="15" t="s">
        <v>96</v>
      </c>
      <c r="AFN22" s="15" t="s">
        <v>96</v>
      </c>
      <c r="AFO22" s="15" t="s">
        <v>96</v>
      </c>
      <c r="AFP22" s="15" t="s">
        <v>96</v>
      </c>
      <c r="AFQ22" s="15" t="s">
        <v>96</v>
      </c>
      <c r="AFR22" s="15"/>
      <c r="AFS22" s="15" t="s">
        <v>96</v>
      </c>
      <c r="AFT22" s="15" t="s">
        <v>96</v>
      </c>
      <c r="AFU22" s="15" t="s">
        <v>96</v>
      </c>
      <c r="AFV22" s="15" t="s">
        <v>96</v>
      </c>
      <c r="AFW22" s="15" t="s">
        <v>96</v>
      </c>
      <c r="AFX22" s="15" t="s">
        <v>96</v>
      </c>
      <c r="AFY22" s="15" t="s">
        <v>96</v>
      </c>
      <c r="AFZ22" s="15" t="s">
        <v>96</v>
      </c>
      <c r="AGA22" s="15" t="s">
        <v>96</v>
      </c>
      <c r="AGB22" s="15" t="s">
        <v>96</v>
      </c>
      <c r="AGC22" s="15" t="s">
        <v>96</v>
      </c>
      <c r="AGD22" s="15" t="s">
        <v>96</v>
      </c>
      <c r="AGE22" s="15" t="s">
        <v>96</v>
      </c>
      <c r="AGF22" s="15" t="s">
        <v>96</v>
      </c>
      <c r="AGG22" s="15" t="s">
        <v>96</v>
      </c>
      <c r="AGH22" s="15" t="s">
        <v>96</v>
      </c>
      <c r="AGI22" s="15" t="s">
        <v>96</v>
      </c>
      <c r="AGJ22" s="15" t="s">
        <v>96</v>
      </c>
      <c r="AGK22" s="15" t="s">
        <v>96</v>
      </c>
      <c r="AGL22" s="15" t="s">
        <v>96</v>
      </c>
      <c r="AGM22" s="15" t="s">
        <v>96</v>
      </c>
      <c r="AGN22" s="15" t="s">
        <v>96</v>
      </c>
      <c r="AGO22" s="15" t="s">
        <v>96</v>
      </c>
      <c r="AGP22" s="15" t="s">
        <v>96</v>
      </c>
      <c r="AGQ22" s="15" t="s">
        <v>96</v>
      </c>
      <c r="AGR22" s="15" t="s">
        <v>96</v>
      </c>
      <c r="AGS22" s="15" t="s">
        <v>96</v>
      </c>
      <c r="AGT22" s="15" t="s">
        <v>96</v>
      </c>
      <c r="AGU22" s="15" t="s">
        <v>96</v>
      </c>
      <c r="AGV22" s="15" t="s">
        <v>96</v>
      </c>
      <c r="AGW22" s="15" t="s">
        <v>96</v>
      </c>
      <c r="AGX22" s="15" t="s">
        <v>96</v>
      </c>
      <c r="AGY22" s="15" t="s">
        <v>96</v>
      </c>
      <c r="AGZ22" s="15" t="s">
        <v>96</v>
      </c>
      <c r="AHA22" s="15" t="s">
        <v>96</v>
      </c>
      <c r="AHB22" s="15" t="s">
        <v>96</v>
      </c>
      <c r="AHC22" s="15" t="s">
        <v>96</v>
      </c>
      <c r="AHD22" s="15" t="s">
        <v>96</v>
      </c>
      <c r="AHE22" s="15" t="s">
        <v>96</v>
      </c>
      <c r="AHF22" s="15" t="s">
        <v>96</v>
      </c>
      <c r="AHG22" s="15" t="s">
        <v>96</v>
      </c>
      <c r="AHH22" s="15" t="s">
        <v>96</v>
      </c>
      <c r="AHI22" s="15" t="s">
        <v>96</v>
      </c>
      <c r="AHJ22" s="15" t="s">
        <v>96</v>
      </c>
      <c r="AHK22" s="15" t="s">
        <v>96</v>
      </c>
      <c r="AHL22" s="15" t="s">
        <v>96</v>
      </c>
      <c r="AHM22" s="15" t="s">
        <v>96</v>
      </c>
      <c r="AHN22" s="15" t="s">
        <v>96</v>
      </c>
      <c r="AHO22" s="15" t="s">
        <v>96</v>
      </c>
      <c r="AHP22" s="15" t="s">
        <v>96</v>
      </c>
      <c r="AHQ22" s="15" t="s">
        <v>96</v>
      </c>
      <c r="AHR22" s="15" t="s">
        <v>96</v>
      </c>
      <c r="AHS22" s="15" t="s">
        <v>96</v>
      </c>
      <c r="AHT22" s="15" t="s">
        <v>96</v>
      </c>
      <c r="AHU22" s="15" t="s">
        <v>96</v>
      </c>
      <c r="AHV22" s="15" t="s">
        <v>96</v>
      </c>
      <c r="AHW22" s="15" t="s">
        <v>96</v>
      </c>
      <c r="AHX22" s="15" t="s">
        <v>96</v>
      </c>
      <c r="AHY22" s="15" t="s">
        <v>96</v>
      </c>
      <c r="AHZ22" s="15" t="s">
        <v>96</v>
      </c>
      <c r="AIA22" s="15" t="s">
        <v>96</v>
      </c>
      <c r="AIB22" s="15" t="s">
        <v>96</v>
      </c>
      <c r="AIC22" s="15" t="s">
        <v>96</v>
      </c>
      <c r="AID22" s="15" t="s">
        <v>96</v>
      </c>
      <c r="AIE22" s="15" t="s">
        <v>96</v>
      </c>
      <c r="AIF22" s="15" t="s">
        <v>96</v>
      </c>
      <c r="AIG22" s="15" t="s">
        <v>96</v>
      </c>
      <c r="AIH22" s="15" t="s">
        <v>96</v>
      </c>
      <c r="AII22" s="15" t="s">
        <v>96</v>
      </c>
      <c r="AIJ22" s="15" t="s">
        <v>96</v>
      </c>
      <c r="AIK22" s="15" t="s">
        <v>96</v>
      </c>
      <c r="AIL22" s="15" t="s">
        <v>96</v>
      </c>
      <c r="AIM22" s="15" t="s">
        <v>96</v>
      </c>
      <c r="AIN22" s="15" t="s">
        <v>96</v>
      </c>
      <c r="AIO22" s="15" t="s">
        <v>96</v>
      </c>
      <c r="AIP22" s="15" t="s">
        <v>96</v>
      </c>
      <c r="AIQ22" s="15" t="s">
        <v>96</v>
      </c>
      <c r="AIR22" s="15" t="s">
        <v>96</v>
      </c>
      <c r="AIS22" s="15" t="s">
        <v>96</v>
      </c>
      <c r="AIT22" s="15" t="s">
        <v>96</v>
      </c>
      <c r="AIU22" s="15" t="s">
        <v>96</v>
      </c>
      <c r="AIV22" s="15" t="s">
        <v>96</v>
      </c>
      <c r="AIW22" s="15" t="s">
        <v>96</v>
      </c>
      <c r="AIX22" s="15" t="s">
        <v>96</v>
      </c>
      <c r="AIY22" s="15" t="s">
        <v>96</v>
      </c>
      <c r="AIZ22" s="15" t="s">
        <v>96</v>
      </c>
      <c r="AJA22" s="15" t="s">
        <v>96</v>
      </c>
      <c r="AJB22" s="20" t="s">
        <v>96</v>
      </c>
      <c r="AJC22" s="20" t="s">
        <v>96</v>
      </c>
      <c r="AJD22" s="15" t="s">
        <v>96</v>
      </c>
      <c r="AJE22" s="15" t="s">
        <v>96</v>
      </c>
      <c r="AJF22" s="15"/>
      <c r="AJG22" s="20" t="s">
        <v>96</v>
      </c>
      <c r="AJH22" s="20" t="s">
        <v>96</v>
      </c>
      <c r="AJI22" s="20" t="s">
        <v>96</v>
      </c>
      <c r="AJJ22" s="20" t="s">
        <v>96</v>
      </c>
      <c r="AJK22" s="20" t="s">
        <v>96</v>
      </c>
      <c r="AJL22" s="20" t="s">
        <v>96</v>
      </c>
      <c r="AJM22" s="20" t="s">
        <v>96</v>
      </c>
      <c r="AJN22" s="20"/>
      <c r="AJO22" s="20" t="s">
        <v>96</v>
      </c>
      <c r="AJP22" s="20" t="s">
        <v>96</v>
      </c>
      <c r="AJQ22" s="20" t="s">
        <v>96</v>
      </c>
      <c r="AJR22" s="20" t="s">
        <v>96</v>
      </c>
      <c r="AJS22" s="20" t="s">
        <v>96</v>
      </c>
      <c r="AJT22" s="20" t="s">
        <v>96</v>
      </c>
      <c r="AJU22" s="20" t="s">
        <v>96</v>
      </c>
      <c r="AJV22" s="20" t="s">
        <v>96</v>
      </c>
      <c r="AJW22" s="20" t="s">
        <v>96</v>
      </c>
      <c r="AJX22" s="20"/>
      <c r="AJY22" s="20" t="s">
        <v>96</v>
      </c>
      <c r="AJZ22" s="20" t="s">
        <v>96</v>
      </c>
      <c r="AKA22" s="20" t="s">
        <v>96</v>
      </c>
      <c r="AKB22" s="20" t="s">
        <v>96</v>
      </c>
      <c r="AKC22" s="20" t="s">
        <v>96</v>
      </c>
      <c r="AKD22" s="20" t="s">
        <v>96</v>
      </c>
      <c r="AKE22" s="20" t="s">
        <v>96</v>
      </c>
      <c r="AKF22" s="20" t="s">
        <v>96</v>
      </c>
      <c r="AKG22" s="20" t="s">
        <v>96</v>
      </c>
      <c r="AKH22" s="20" t="s">
        <v>96</v>
      </c>
      <c r="AKI22" s="20"/>
      <c r="AKJ22" s="20" t="s">
        <v>96</v>
      </c>
      <c r="AKK22" s="20" t="s">
        <v>96</v>
      </c>
      <c r="AKL22" s="20" t="s">
        <v>96</v>
      </c>
      <c r="AKM22" s="20" t="s">
        <v>96</v>
      </c>
      <c r="AKN22" s="20" t="s">
        <v>96</v>
      </c>
      <c r="AKO22" s="20" t="s">
        <v>96</v>
      </c>
      <c r="AKP22" s="20" t="s">
        <v>96</v>
      </c>
      <c r="AKQ22" s="20" t="s">
        <v>96</v>
      </c>
      <c r="AKR22" s="20" t="s">
        <v>96</v>
      </c>
      <c r="AKS22" s="20" t="s">
        <v>96</v>
      </c>
      <c r="AKT22" s="20" t="s">
        <v>96</v>
      </c>
      <c r="AKU22" s="20" t="s">
        <v>96</v>
      </c>
      <c r="AKV22" s="20" t="s">
        <v>96</v>
      </c>
      <c r="AKW22" s="20" t="s">
        <v>96</v>
      </c>
      <c r="AKX22" s="20"/>
      <c r="AKY22" s="20" t="s">
        <v>96</v>
      </c>
      <c r="AKZ22" s="20" t="s">
        <v>96</v>
      </c>
      <c r="ALA22" s="20" t="s">
        <v>96</v>
      </c>
      <c r="ALB22" s="20" t="s">
        <v>96</v>
      </c>
      <c r="ALC22" s="20" t="s">
        <v>96</v>
      </c>
      <c r="ALD22" s="20" t="s">
        <v>96</v>
      </c>
      <c r="ALE22" s="20" t="s">
        <v>96</v>
      </c>
      <c r="ALF22" s="20" t="s">
        <v>96</v>
      </c>
      <c r="ALG22" s="20" t="s">
        <v>96</v>
      </c>
      <c r="ALH22" s="20" t="s">
        <v>96</v>
      </c>
      <c r="ALI22" s="20" t="s">
        <v>96</v>
      </c>
      <c r="ALJ22" s="20" t="s">
        <v>96</v>
      </c>
      <c r="ALK22" s="20" t="s">
        <v>96</v>
      </c>
      <c r="ALL22" s="20" t="s">
        <v>96</v>
      </c>
      <c r="ALM22" s="15"/>
      <c r="ALN22" s="20" t="s">
        <v>96</v>
      </c>
      <c r="ALO22" s="20" t="s">
        <v>96</v>
      </c>
      <c r="ALP22" s="20" t="s">
        <v>96</v>
      </c>
      <c r="ALQ22" s="20" t="s">
        <v>96</v>
      </c>
      <c r="ALR22" s="20" t="s">
        <v>96</v>
      </c>
      <c r="ALS22" s="20" t="s">
        <v>96</v>
      </c>
      <c r="ALT22" s="20" t="s">
        <v>96</v>
      </c>
      <c r="ALU22" s="20" t="s">
        <v>96</v>
      </c>
      <c r="ALV22" s="20" t="s">
        <v>96</v>
      </c>
      <c r="ALW22" s="20" t="s">
        <v>96</v>
      </c>
      <c r="ALX22" s="20" t="s">
        <v>96</v>
      </c>
      <c r="ALY22" s="20" t="s">
        <v>96</v>
      </c>
      <c r="ALZ22" s="20" t="s">
        <v>96</v>
      </c>
      <c r="AMA22" s="20" t="s">
        <v>96</v>
      </c>
      <c r="AMB22" s="20" t="s">
        <v>96</v>
      </c>
      <c r="AMC22" s="15"/>
      <c r="AMD22" s="15" t="s">
        <v>96</v>
      </c>
      <c r="AME22" s="15" t="s">
        <v>96</v>
      </c>
      <c r="AMF22" s="15" t="s">
        <v>96</v>
      </c>
      <c r="AMG22" s="15" t="s">
        <v>96</v>
      </c>
      <c r="AMH22" s="15" t="s">
        <v>96</v>
      </c>
      <c r="AMI22" s="15" t="s">
        <v>96</v>
      </c>
      <c r="AMJ22" s="15" t="s">
        <v>96</v>
      </c>
      <c r="AMK22" s="15" t="s">
        <v>96</v>
      </c>
      <c r="AML22" s="15" t="s">
        <v>96</v>
      </c>
      <c r="AMM22" s="15" t="s">
        <v>96</v>
      </c>
      <c r="AMN22" s="15" t="s">
        <v>96</v>
      </c>
      <c r="AMO22" s="15" t="s">
        <v>96</v>
      </c>
      <c r="AMP22" s="15" t="s">
        <v>96</v>
      </c>
      <c r="AMQ22" s="15" t="s">
        <v>96</v>
      </c>
      <c r="AMR22" s="15" t="s">
        <v>96</v>
      </c>
      <c r="AMS22" s="15" t="s">
        <v>96</v>
      </c>
      <c r="AMT22" s="15" t="s">
        <v>96</v>
      </c>
      <c r="AMU22" s="15" t="s">
        <v>96</v>
      </c>
      <c r="AMV22" s="15" t="s">
        <v>96</v>
      </c>
      <c r="AMW22" s="15" t="s">
        <v>96</v>
      </c>
      <c r="AMX22" s="15" t="s">
        <v>96</v>
      </c>
      <c r="AMY22" s="15" t="s">
        <v>96</v>
      </c>
      <c r="AMZ22" s="15" t="s">
        <v>96</v>
      </c>
      <c r="ANA22" s="15" t="s">
        <v>96</v>
      </c>
      <c r="ANB22" s="15" t="s">
        <v>96</v>
      </c>
      <c r="ANC22" s="15" t="s">
        <v>96</v>
      </c>
      <c r="AND22" s="15" t="s">
        <v>96</v>
      </c>
      <c r="ANE22" s="15"/>
      <c r="ANF22" s="15"/>
      <c r="ANG22" s="15"/>
      <c r="ANH22" s="15"/>
      <c r="ANI22" s="15"/>
      <c r="ANJ22" s="15"/>
      <c r="ANK22" s="15"/>
      <c r="ANL22" s="15"/>
      <c r="ANM22" s="15"/>
      <c r="ANN22" s="15"/>
      <c r="ANO22" s="15"/>
      <c r="ANP22" s="15"/>
      <c r="ANQ22" s="15"/>
      <c r="ANR22" s="15"/>
      <c r="ANS22" s="15"/>
      <c r="ANT22" s="15"/>
      <c r="ANU22" s="15"/>
      <c r="ANV22" s="15"/>
      <c r="ANW22" s="15"/>
      <c r="ANX22" s="15"/>
      <c r="ANY22" s="15"/>
      <c r="ANZ22" s="15"/>
      <c r="AOA22" s="15"/>
      <c r="AOB22" s="15"/>
      <c r="AOC22" s="15"/>
      <c r="AOD22" s="15"/>
      <c r="AOE22" s="15"/>
      <c r="AOF22" s="15"/>
      <c r="AOG22" s="15"/>
      <c r="AOH22" s="15"/>
      <c r="AOI22" s="15"/>
      <c r="AOJ22" s="15"/>
      <c r="AOK22" s="15"/>
      <c r="AOL22" s="15"/>
      <c r="AOM22" s="15"/>
      <c r="AON22" s="15"/>
      <c r="AOO22" s="15"/>
      <c r="AOP22" s="15"/>
      <c r="AOQ22" s="15"/>
      <c r="AOR22" s="15"/>
      <c r="AOS22" s="15"/>
      <c r="AOT22" s="15"/>
      <c r="AOU22" s="15"/>
      <c r="AOV22" s="15"/>
      <c r="AOW22" s="15"/>
      <c r="AOX22" s="15"/>
      <c r="AOY22" s="15"/>
      <c r="AOZ22" s="15"/>
      <c r="APA22" s="15"/>
      <c r="APB22" s="15"/>
      <c r="APC22" s="15"/>
      <c r="APD22" s="15"/>
      <c r="APE22" s="15"/>
      <c r="APF22" s="15"/>
      <c r="APG22" s="15"/>
      <c r="APH22" s="15"/>
      <c r="API22" s="15"/>
      <c r="APJ22" s="15"/>
      <c r="APK22" s="15"/>
      <c r="APL22" s="15"/>
      <c r="APM22" s="15"/>
      <c r="APN22" s="15"/>
      <c r="APO22" s="15"/>
      <c r="APP22" s="15"/>
      <c r="APQ22" s="15"/>
      <c r="APR22" s="15"/>
      <c r="APS22" s="15"/>
      <c r="APT22" s="15"/>
      <c r="APU22" s="15"/>
      <c r="APV22" s="15"/>
      <c r="APW22" s="15"/>
      <c r="APX22" s="15"/>
      <c r="APY22" s="15"/>
      <c r="APZ22" s="15"/>
      <c r="AQA22" s="15"/>
      <c r="AQB22" s="15"/>
    </row>
    <row r="23" spans="1:1120" s="17" customFormat="1" ht="15" customHeight="1" x14ac:dyDescent="0.25">
      <c r="A23" s="3" t="s">
        <v>2</v>
      </c>
      <c r="B23" s="6" t="s">
        <v>28</v>
      </c>
      <c r="C23" s="15"/>
      <c r="D23" s="15" t="s">
        <v>100</v>
      </c>
      <c r="E23" s="15" t="s">
        <v>100</v>
      </c>
      <c r="F23" s="15" t="s">
        <v>100</v>
      </c>
      <c r="G23" s="15" t="s">
        <v>100</v>
      </c>
      <c r="H23" s="15" t="s">
        <v>100</v>
      </c>
      <c r="I23" s="15" t="s">
        <v>100</v>
      </c>
      <c r="J23" s="15"/>
      <c r="K23" s="15" t="s">
        <v>100</v>
      </c>
      <c r="L23" s="15" t="s">
        <v>100</v>
      </c>
      <c r="M23" s="15" t="s">
        <v>100</v>
      </c>
      <c r="N23" s="15" t="s">
        <v>100</v>
      </c>
      <c r="O23" s="15" t="s">
        <v>100</v>
      </c>
      <c r="P23" s="15" t="s">
        <v>100</v>
      </c>
      <c r="Q23" s="15"/>
      <c r="R23" s="15" t="s">
        <v>100</v>
      </c>
      <c r="S23" s="15" t="s">
        <v>100</v>
      </c>
      <c r="T23" s="15" t="s">
        <v>100</v>
      </c>
      <c r="U23" s="15" t="s">
        <v>100</v>
      </c>
      <c r="V23" s="15" t="s">
        <v>100</v>
      </c>
      <c r="W23" s="15" t="s">
        <v>100</v>
      </c>
      <c r="X23" s="15"/>
      <c r="Y23" s="15" t="s">
        <v>100</v>
      </c>
      <c r="Z23" s="15" t="s">
        <v>100</v>
      </c>
      <c r="AA23" s="15" t="s">
        <v>100</v>
      </c>
      <c r="AB23" s="15" t="s">
        <v>100</v>
      </c>
      <c r="AC23" s="15" t="s">
        <v>100</v>
      </c>
      <c r="AD23" s="15" t="s">
        <v>100</v>
      </c>
      <c r="AE23" s="15"/>
      <c r="AF23" s="15" t="s">
        <v>100</v>
      </c>
      <c r="AG23" s="15" t="s">
        <v>100</v>
      </c>
      <c r="AH23" s="15" t="s">
        <v>100</v>
      </c>
      <c r="AI23" s="15" t="s">
        <v>100</v>
      </c>
      <c r="AJ23" s="15" t="s">
        <v>100</v>
      </c>
      <c r="AK23" s="15" t="s">
        <v>100</v>
      </c>
      <c r="AL23" s="15"/>
      <c r="AM23" s="15" t="s">
        <v>100</v>
      </c>
      <c r="AN23" s="15" t="s">
        <v>100</v>
      </c>
      <c r="AO23" s="15" t="s">
        <v>100</v>
      </c>
      <c r="AP23" s="15" t="s">
        <v>100</v>
      </c>
      <c r="AQ23" s="15" t="s">
        <v>100</v>
      </c>
      <c r="AR23" s="15" t="s">
        <v>100</v>
      </c>
      <c r="AS23" s="15" t="s">
        <v>121</v>
      </c>
      <c r="AT23" s="15" t="s">
        <v>121</v>
      </c>
      <c r="AU23" s="15" t="s">
        <v>121</v>
      </c>
      <c r="AV23" s="15" t="s">
        <v>121</v>
      </c>
      <c r="AW23" s="15" t="s">
        <v>121</v>
      </c>
      <c r="AX23" s="15" t="s">
        <v>121</v>
      </c>
      <c r="AY23" s="15" t="s">
        <v>121</v>
      </c>
      <c r="AZ23" s="15" t="s">
        <v>121</v>
      </c>
      <c r="BA23" s="15" t="s">
        <v>121</v>
      </c>
      <c r="BB23" s="15" t="s">
        <v>121</v>
      </c>
      <c r="BC23" s="15" t="s">
        <v>121</v>
      </c>
      <c r="BD23" s="15" t="s">
        <v>121</v>
      </c>
      <c r="BE23" s="15" t="s">
        <v>121</v>
      </c>
      <c r="BF23" s="15" t="s">
        <v>121</v>
      </c>
      <c r="BG23" s="15" t="s">
        <v>121</v>
      </c>
      <c r="BH23" s="15" t="s">
        <v>121</v>
      </c>
      <c r="BI23" s="15" t="s">
        <v>121</v>
      </c>
      <c r="BJ23" s="15" t="s">
        <v>121</v>
      </c>
      <c r="BK23" s="15" t="s">
        <v>121</v>
      </c>
      <c r="BL23" s="15" t="s">
        <v>121</v>
      </c>
      <c r="BM23" s="15" t="s">
        <v>121</v>
      </c>
      <c r="BN23" s="15" t="s">
        <v>121</v>
      </c>
      <c r="BO23" s="15" t="s">
        <v>121</v>
      </c>
      <c r="BP23" s="15" t="s">
        <v>121</v>
      </c>
      <c r="BQ23" s="15" t="s">
        <v>121</v>
      </c>
      <c r="BR23" s="15" t="s">
        <v>121</v>
      </c>
      <c r="BS23" s="15" t="s">
        <v>121</v>
      </c>
      <c r="BT23" s="15" t="s">
        <v>121</v>
      </c>
      <c r="BU23" s="15" t="s">
        <v>121</v>
      </c>
      <c r="BV23" s="15" t="s">
        <v>121</v>
      </c>
      <c r="BW23" s="15" t="s">
        <v>121</v>
      </c>
      <c r="BX23" s="15" t="s">
        <v>121</v>
      </c>
      <c r="BY23" s="15" t="s">
        <v>121</v>
      </c>
      <c r="BZ23" s="15" t="s">
        <v>121</v>
      </c>
      <c r="CA23" s="15" t="s">
        <v>121</v>
      </c>
      <c r="CB23" s="15" t="s">
        <v>121</v>
      </c>
      <c r="CC23" s="15" t="s">
        <v>121</v>
      </c>
      <c r="CD23" s="15" t="s">
        <v>121</v>
      </c>
      <c r="CE23" s="15" t="s">
        <v>121</v>
      </c>
      <c r="CF23" s="15" t="s">
        <v>121</v>
      </c>
      <c r="CG23" s="15" t="s">
        <v>121</v>
      </c>
      <c r="CH23" s="15" t="s">
        <v>121</v>
      </c>
      <c r="CI23" s="15" t="s">
        <v>121</v>
      </c>
      <c r="CJ23" s="15" t="s">
        <v>121</v>
      </c>
      <c r="CK23" s="15" t="s">
        <v>121</v>
      </c>
      <c r="CL23" s="15" t="s">
        <v>121</v>
      </c>
      <c r="CM23" s="15" t="s">
        <v>121</v>
      </c>
      <c r="CN23" s="15" t="s">
        <v>121</v>
      </c>
      <c r="CO23" s="15" t="s">
        <v>121</v>
      </c>
      <c r="CP23" s="15" t="s">
        <v>121</v>
      </c>
      <c r="CQ23" s="15" t="s">
        <v>121</v>
      </c>
      <c r="CR23" s="15" t="s">
        <v>121</v>
      </c>
      <c r="CS23" s="15" t="s">
        <v>121</v>
      </c>
      <c r="CT23" s="15" t="s">
        <v>121</v>
      </c>
      <c r="CU23" s="15" t="s">
        <v>121</v>
      </c>
      <c r="CV23" s="15" t="s">
        <v>121</v>
      </c>
      <c r="CW23" s="15" t="s">
        <v>121</v>
      </c>
      <c r="CX23" s="15" t="s">
        <v>121</v>
      </c>
      <c r="CY23" s="15" t="s">
        <v>121</v>
      </c>
      <c r="CZ23" s="15" t="s">
        <v>121</v>
      </c>
      <c r="DA23" s="15" t="s">
        <v>121</v>
      </c>
      <c r="DB23" s="15" t="s">
        <v>121</v>
      </c>
      <c r="DC23" s="15" t="s">
        <v>121</v>
      </c>
      <c r="DD23" s="15" t="s">
        <v>121</v>
      </c>
      <c r="DE23" s="15" t="s">
        <v>121</v>
      </c>
      <c r="DF23" s="15" t="s">
        <v>121</v>
      </c>
      <c r="DG23" s="15" t="s">
        <v>121</v>
      </c>
      <c r="DH23" s="15" t="s">
        <v>121</v>
      </c>
      <c r="DI23" s="15" t="s">
        <v>121</v>
      </c>
      <c r="DJ23" s="15" t="s">
        <v>121</v>
      </c>
      <c r="DK23" s="15" t="s">
        <v>121</v>
      </c>
      <c r="DL23" s="15" t="s">
        <v>121</v>
      </c>
      <c r="DM23" s="15" t="s">
        <v>121</v>
      </c>
      <c r="DN23" s="15" t="s">
        <v>121</v>
      </c>
      <c r="DO23" s="15" t="s">
        <v>121</v>
      </c>
      <c r="DP23" s="15" t="s">
        <v>121</v>
      </c>
      <c r="DQ23" s="15" t="s">
        <v>121</v>
      </c>
      <c r="DR23" s="15" t="s">
        <v>121</v>
      </c>
      <c r="DS23" s="15" t="s">
        <v>121</v>
      </c>
      <c r="DT23" s="15" t="s">
        <v>121</v>
      </c>
      <c r="DU23" s="15" t="s">
        <v>121</v>
      </c>
      <c r="DV23" s="15" t="s">
        <v>121</v>
      </c>
      <c r="DW23" s="15" t="s">
        <v>121</v>
      </c>
      <c r="DX23" s="15" t="s">
        <v>121</v>
      </c>
      <c r="DY23" s="15" t="s">
        <v>121</v>
      </c>
      <c r="DZ23" s="15" t="s">
        <v>121</v>
      </c>
      <c r="EA23" s="15" t="s">
        <v>121</v>
      </c>
      <c r="EB23" s="15" t="s">
        <v>121</v>
      </c>
      <c r="EC23" s="15" t="s">
        <v>121</v>
      </c>
      <c r="ED23" s="15" t="s">
        <v>121</v>
      </c>
      <c r="EE23" s="15" t="s">
        <v>121</v>
      </c>
      <c r="EF23" s="15" t="s">
        <v>121</v>
      </c>
      <c r="EG23" s="15" t="s">
        <v>121</v>
      </c>
      <c r="EH23" s="15" t="s">
        <v>121</v>
      </c>
      <c r="EI23" s="15" t="s">
        <v>121</v>
      </c>
      <c r="EJ23" s="15" t="s">
        <v>121</v>
      </c>
      <c r="EK23" s="15" t="s">
        <v>121</v>
      </c>
      <c r="EL23" s="15" t="s">
        <v>121</v>
      </c>
      <c r="EM23" s="15" t="s">
        <v>121</v>
      </c>
      <c r="EN23" s="15" t="s">
        <v>121</v>
      </c>
      <c r="EO23" s="15" t="s">
        <v>121</v>
      </c>
      <c r="EP23" s="15" t="s">
        <v>121</v>
      </c>
      <c r="EQ23" s="15" t="s">
        <v>121</v>
      </c>
      <c r="ER23" s="15" t="s">
        <v>121</v>
      </c>
      <c r="ES23" s="15" t="s">
        <v>121</v>
      </c>
      <c r="ET23" s="15" t="s">
        <v>121</v>
      </c>
      <c r="EU23" s="15" t="s">
        <v>121</v>
      </c>
      <c r="EV23" s="15" t="s">
        <v>121</v>
      </c>
      <c r="EW23" s="15" t="s">
        <v>121</v>
      </c>
      <c r="EX23" s="15" t="s">
        <v>121</v>
      </c>
      <c r="EY23" s="15" t="s">
        <v>121</v>
      </c>
      <c r="EZ23" s="15" t="s">
        <v>121</v>
      </c>
      <c r="FA23" s="15" t="s">
        <v>121</v>
      </c>
      <c r="FB23" s="15" t="s">
        <v>121</v>
      </c>
      <c r="FC23" s="15" t="s">
        <v>121</v>
      </c>
      <c r="FD23" s="15"/>
      <c r="FE23" s="15" t="s">
        <v>121</v>
      </c>
      <c r="FF23" s="15" t="s">
        <v>121</v>
      </c>
      <c r="FG23" s="15" t="s">
        <v>121</v>
      </c>
      <c r="FH23" s="15" t="s">
        <v>121</v>
      </c>
      <c r="FI23" s="15" t="s">
        <v>121</v>
      </c>
      <c r="FJ23" s="15" t="s">
        <v>121</v>
      </c>
      <c r="FK23" s="20" t="s">
        <v>121</v>
      </c>
      <c r="FL23" s="15" t="s">
        <v>121</v>
      </c>
      <c r="FM23" s="15" t="s">
        <v>121</v>
      </c>
      <c r="FN23" s="15" t="s">
        <v>121</v>
      </c>
      <c r="FO23" s="15" t="s">
        <v>121</v>
      </c>
      <c r="FP23" s="15" t="s">
        <v>121</v>
      </c>
      <c r="FQ23" s="15" t="s">
        <v>121</v>
      </c>
      <c r="FR23" s="20" t="s">
        <v>121</v>
      </c>
      <c r="FS23" s="15" t="s">
        <v>121</v>
      </c>
      <c r="FT23" s="15" t="s">
        <v>121</v>
      </c>
      <c r="FU23" s="15" t="s">
        <v>121</v>
      </c>
      <c r="FV23" s="15" t="s">
        <v>121</v>
      </c>
      <c r="FW23" s="15" t="s">
        <v>121</v>
      </c>
      <c r="FX23" s="15" t="s">
        <v>121</v>
      </c>
      <c r="FY23" s="20" t="s">
        <v>121</v>
      </c>
      <c r="FZ23" s="15" t="s">
        <v>121</v>
      </c>
      <c r="GA23" s="15" t="s">
        <v>121</v>
      </c>
      <c r="GB23" s="15" t="s">
        <v>121</v>
      </c>
      <c r="GC23" s="15" t="s">
        <v>121</v>
      </c>
      <c r="GD23" s="15" t="s">
        <v>121</v>
      </c>
      <c r="GE23" s="15" t="s">
        <v>121</v>
      </c>
      <c r="GF23" s="20" t="s">
        <v>121</v>
      </c>
      <c r="GG23" s="15" t="s">
        <v>121</v>
      </c>
      <c r="GH23" s="15" t="s">
        <v>121</v>
      </c>
      <c r="GI23" s="15" t="s">
        <v>121</v>
      </c>
      <c r="GJ23" s="15" t="s">
        <v>121</v>
      </c>
      <c r="GK23" s="15" t="s">
        <v>121</v>
      </c>
      <c r="GL23" s="15" t="s">
        <v>121</v>
      </c>
      <c r="GM23" s="20" t="s">
        <v>121</v>
      </c>
      <c r="GN23" s="15" t="s">
        <v>121</v>
      </c>
      <c r="GO23" s="15" t="s">
        <v>121</v>
      </c>
      <c r="GP23" s="15" t="s">
        <v>121</v>
      </c>
      <c r="GQ23" s="15" t="s">
        <v>121</v>
      </c>
      <c r="GR23" s="15" t="s">
        <v>121</v>
      </c>
      <c r="GS23" s="15" t="s">
        <v>121</v>
      </c>
      <c r="GT23" s="20" t="s">
        <v>121</v>
      </c>
      <c r="GU23" s="15" t="s">
        <v>121</v>
      </c>
      <c r="GV23" s="15" t="s">
        <v>121</v>
      </c>
      <c r="GW23" s="15" t="s">
        <v>121</v>
      </c>
      <c r="GX23" s="15" t="s">
        <v>121</v>
      </c>
      <c r="GY23" s="15" t="s">
        <v>121</v>
      </c>
      <c r="GZ23" s="15" t="s">
        <v>121</v>
      </c>
      <c r="HA23" s="20" t="s">
        <v>121</v>
      </c>
      <c r="HB23" s="15" t="s">
        <v>121</v>
      </c>
      <c r="HC23" s="15" t="s">
        <v>121</v>
      </c>
      <c r="HD23" s="15" t="s">
        <v>121</v>
      </c>
      <c r="HE23" s="15" t="s">
        <v>121</v>
      </c>
      <c r="HF23" s="15" t="s">
        <v>121</v>
      </c>
      <c r="HG23" s="15" t="s">
        <v>121</v>
      </c>
      <c r="HH23" s="20" t="s">
        <v>121</v>
      </c>
      <c r="HI23" s="15" t="s">
        <v>121</v>
      </c>
      <c r="HJ23" s="15" t="s">
        <v>121</v>
      </c>
      <c r="HK23" s="15" t="s">
        <v>121</v>
      </c>
      <c r="HL23" s="15" t="s">
        <v>121</v>
      </c>
      <c r="HM23" s="15" t="s">
        <v>121</v>
      </c>
      <c r="HN23" s="15" t="s">
        <v>121</v>
      </c>
      <c r="HO23" s="20" t="s">
        <v>121</v>
      </c>
      <c r="HP23" s="15" t="s">
        <v>121</v>
      </c>
      <c r="HQ23" s="15" t="s">
        <v>121</v>
      </c>
      <c r="HR23" s="15" t="s">
        <v>121</v>
      </c>
      <c r="HS23" s="15" t="s">
        <v>121</v>
      </c>
      <c r="HT23" s="15" t="s">
        <v>121</v>
      </c>
      <c r="HU23" s="15" t="s">
        <v>121</v>
      </c>
      <c r="HV23" s="20" t="s">
        <v>121</v>
      </c>
      <c r="HW23" s="15" t="s">
        <v>121</v>
      </c>
      <c r="HX23" s="15" t="s">
        <v>121</v>
      </c>
      <c r="HY23" s="15" t="s">
        <v>121</v>
      </c>
      <c r="HZ23" s="15" t="s">
        <v>121</v>
      </c>
      <c r="IA23" s="15" t="s">
        <v>121</v>
      </c>
      <c r="IB23" s="15"/>
      <c r="IC23" s="15" t="s">
        <v>121</v>
      </c>
      <c r="ID23" s="15" t="s">
        <v>121</v>
      </c>
      <c r="IE23" s="15" t="s">
        <v>121</v>
      </c>
      <c r="IF23" s="15" t="s">
        <v>121</v>
      </c>
      <c r="IG23" s="15" t="s">
        <v>121</v>
      </c>
      <c r="IH23" s="15" t="s">
        <v>121</v>
      </c>
      <c r="II23" s="20" t="s">
        <v>121</v>
      </c>
      <c r="IJ23" s="20" t="s">
        <v>121</v>
      </c>
      <c r="IK23" s="15"/>
      <c r="IL23" s="15" t="s">
        <v>121</v>
      </c>
      <c r="IM23" s="15" t="s">
        <v>121</v>
      </c>
      <c r="IN23" s="15" t="s">
        <v>121</v>
      </c>
      <c r="IO23" s="15" t="s">
        <v>121</v>
      </c>
      <c r="IP23" s="15" t="s">
        <v>121</v>
      </c>
      <c r="IQ23" s="15" t="s">
        <v>121</v>
      </c>
      <c r="IR23" s="20" t="s">
        <v>121</v>
      </c>
      <c r="IS23" s="15" t="s">
        <v>121</v>
      </c>
      <c r="IT23" s="15" t="s">
        <v>121</v>
      </c>
      <c r="IU23" s="15" t="s">
        <v>121</v>
      </c>
      <c r="IV23" s="15" t="s">
        <v>121</v>
      </c>
      <c r="IW23" s="15" t="s">
        <v>121</v>
      </c>
      <c r="IX23" s="15" t="s">
        <v>121</v>
      </c>
      <c r="IY23" s="15" t="s">
        <v>121</v>
      </c>
      <c r="IZ23" s="15" t="s">
        <v>121</v>
      </c>
      <c r="JA23" s="15" t="s">
        <v>121</v>
      </c>
      <c r="JB23" s="15" t="s">
        <v>121</v>
      </c>
      <c r="JC23" s="15" t="s">
        <v>121</v>
      </c>
      <c r="JD23" s="20" t="s">
        <v>186</v>
      </c>
      <c r="JE23" s="20" t="s">
        <v>186</v>
      </c>
      <c r="JF23" s="15" t="s">
        <v>121</v>
      </c>
      <c r="JG23" s="20" t="s">
        <v>186</v>
      </c>
      <c r="JH23" s="20" t="s">
        <v>121</v>
      </c>
      <c r="JI23" s="20" t="s">
        <v>190</v>
      </c>
      <c r="JJ23" s="20" t="s">
        <v>186</v>
      </c>
      <c r="JK23" s="20" t="s">
        <v>186</v>
      </c>
      <c r="JL23" s="20" t="s">
        <v>186</v>
      </c>
      <c r="JM23" s="20" t="s">
        <v>186</v>
      </c>
      <c r="JN23" s="20" t="s">
        <v>186</v>
      </c>
      <c r="JO23" s="20" t="s">
        <v>186</v>
      </c>
      <c r="JP23" s="20" t="s">
        <v>186</v>
      </c>
      <c r="JQ23" s="20" t="s">
        <v>186</v>
      </c>
      <c r="JR23" s="20" t="s">
        <v>186</v>
      </c>
      <c r="JS23" s="20" t="s">
        <v>186</v>
      </c>
      <c r="JT23" s="20" t="s">
        <v>186</v>
      </c>
      <c r="JU23" s="20" t="s">
        <v>186</v>
      </c>
      <c r="JV23" s="20" t="s">
        <v>186</v>
      </c>
      <c r="JW23" s="20" t="s">
        <v>100</v>
      </c>
      <c r="JX23" s="20" t="s">
        <v>100</v>
      </c>
      <c r="JY23" s="20" t="s">
        <v>186</v>
      </c>
      <c r="JZ23" s="20" t="s">
        <v>186</v>
      </c>
      <c r="KA23" s="20" t="s">
        <v>190</v>
      </c>
      <c r="KB23" s="20" t="s">
        <v>190</v>
      </c>
      <c r="KC23" s="20" t="s">
        <v>100</v>
      </c>
      <c r="KD23" s="20" t="s">
        <v>100</v>
      </c>
      <c r="KE23" s="20" t="s">
        <v>100</v>
      </c>
      <c r="KF23" s="20" t="s">
        <v>100</v>
      </c>
      <c r="KG23" s="20" t="s">
        <v>186</v>
      </c>
      <c r="KH23" s="20" t="s">
        <v>186</v>
      </c>
      <c r="KI23" s="20" t="s">
        <v>121</v>
      </c>
      <c r="KJ23" s="20" t="s">
        <v>121</v>
      </c>
      <c r="KK23" s="20" t="s">
        <v>121</v>
      </c>
      <c r="KL23" s="20" t="s">
        <v>121</v>
      </c>
      <c r="KM23" s="20" t="s">
        <v>186</v>
      </c>
      <c r="KN23" s="20" t="s">
        <v>186</v>
      </c>
      <c r="KO23" s="20" t="s">
        <v>186</v>
      </c>
      <c r="KP23" s="20" t="s">
        <v>186</v>
      </c>
      <c r="KQ23" s="20" t="s">
        <v>186</v>
      </c>
      <c r="KR23" s="20" t="s">
        <v>186</v>
      </c>
      <c r="KS23" s="20" t="s">
        <v>186</v>
      </c>
      <c r="KT23" s="20" t="s">
        <v>186</v>
      </c>
      <c r="KU23" s="20" t="s">
        <v>186</v>
      </c>
      <c r="KV23" s="20" t="s">
        <v>186</v>
      </c>
      <c r="KW23" s="20" t="s">
        <v>186</v>
      </c>
      <c r="KX23" s="20" t="s">
        <v>186</v>
      </c>
      <c r="KY23" s="20" t="s">
        <v>186</v>
      </c>
      <c r="KZ23" s="20" t="s">
        <v>186</v>
      </c>
      <c r="LA23" s="20" t="s">
        <v>186</v>
      </c>
      <c r="LB23" s="20" t="s">
        <v>186</v>
      </c>
      <c r="LC23" s="20" t="s">
        <v>186</v>
      </c>
      <c r="LD23" s="20" t="s">
        <v>186</v>
      </c>
      <c r="LE23" s="20" t="s">
        <v>186</v>
      </c>
      <c r="LF23" s="20" t="s">
        <v>186</v>
      </c>
      <c r="LG23" s="20" t="s">
        <v>186</v>
      </c>
      <c r="LH23" s="20" t="s">
        <v>186</v>
      </c>
      <c r="LI23" s="20" t="s">
        <v>186</v>
      </c>
      <c r="LJ23" s="20" t="s">
        <v>186</v>
      </c>
      <c r="LK23" s="20" t="s">
        <v>186</v>
      </c>
      <c r="LL23" s="20" t="s">
        <v>186</v>
      </c>
      <c r="LM23" s="20" t="s">
        <v>186</v>
      </c>
      <c r="LN23" s="20" t="s">
        <v>186</v>
      </c>
      <c r="LO23" s="20" t="s">
        <v>186</v>
      </c>
      <c r="LP23" s="20" t="s">
        <v>186</v>
      </c>
      <c r="LQ23" s="15" t="s">
        <v>121</v>
      </c>
      <c r="LR23" s="15" t="s">
        <v>121</v>
      </c>
      <c r="LS23" s="15" t="s">
        <v>121</v>
      </c>
      <c r="LT23" s="15" t="s">
        <v>121</v>
      </c>
      <c r="LU23" s="15" t="s">
        <v>121</v>
      </c>
      <c r="LV23" s="15" t="s">
        <v>121</v>
      </c>
      <c r="LW23" s="15" t="s">
        <v>121</v>
      </c>
      <c r="LX23" s="15" t="s">
        <v>121</v>
      </c>
      <c r="LY23" s="15" t="s">
        <v>121</v>
      </c>
      <c r="LZ23" s="15" t="s">
        <v>121</v>
      </c>
      <c r="MA23" s="15" t="s">
        <v>121</v>
      </c>
      <c r="MB23" s="15" t="s">
        <v>121</v>
      </c>
      <c r="MC23" s="15" t="s">
        <v>121</v>
      </c>
      <c r="MD23" s="15" t="s">
        <v>121</v>
      </c>
      <c r="ME23" s="15" t="s">
        <v>121</v>
      </c>
      <c r="MF23" s="20" t="s">
        <v>100</v>
      </c>
      <c r="MG23" s="20" t="s">
        <v>186</v>
      </c>
      <c r="MH23" s="20" t="s">
        <v>121</v>
      </c>
      <c r="MI23" s="20" t="s">
        <v>186</v>
      </c>
      <c r="MJ23" s="20" t="s">
        <v>100</v>
      </c>
      <c r="MK23" s="20" t="s">
        <v>100</v>
      </c>
      <c r="ML23" s="20" t="s">
        <v>100</v>
      </c>
      <c r="MM23" s="20" t="s">
        <v>100</v>
      </c>
      <c r="MN23" s="20" t="s">
        <v>100</v>
      </c>
      <c r="MO23" s="20" t="s">
        <v>100</v>
      </c>
      <c r="MP23" s="20" t="s">
        <v>100</v>
      </c>
      <c r="MQ23" s="20" t="s">
        <v>100</v>
      </c>
      <c r="MR23" s="20" t="s">
        <v>100</v>
      </c>
      <c r="MS23" s="20" t="s">
        <v>186</v>
      </c>
      <c r="MT23" s="20" t="s">
        <v>186</v>
      </c>
      <c r="MU23" s="20" t="s">
        <v>186</v>
      </c>
      <c r="MV23" s="20" t="s">
        <v>186</v>
      </c>
      <c r="MW23" s="20" t="s">
        <v>186</v>
      </c>
      <c r="MX23" s="20" t="s">
        <v>186</v>
      </c>
      <c r="MY23" s="20" t="s">
        <v>186</v>
      </c>
      <c r="MZ23" s="20" t="s">
        <v>186</v>
      </c>
      <c r="NA23" s="20" t="s">
        <v>186</v>
      </c>
      <c r="NB23" s="20" t="s">
        <v>186</v>
      </c>
      <c r="NC23" s="20" t="s">
        <v>186</v>
      </c>
      <c r="ND23" s="20" t="s">
        <v>190</v>
      </c>
      <c r="NE23" s="20" t="s">
        <v>190</v>
      </c>
      <c r="NF23" s="20" t="s">
        <v>190</v>
      </c>
      <c r="NG23" s="20" t="s">
        <v>190</v>
      </c>
      <c r="NH23" s="20" t="s">
        <v>190</v>
      </c>
      <c r="NI23" s="20" t="s">
        <v>190</v>
      </c>
      <c r="NJ23" s="20" t="s">
        <v>190</v>
      </c>
      <c r="NK23" s="20" t="s">
        <v>190</v>
      </c>
      <c r="NL23" s="20" t="s">
        <v>190</v>
      </c>
      <c r="NM23" s="20" t="s">
        <v>186</v>
      </c>
      <c r="NN23" s="20" t="s">
        <v>186</v>
      </c>
      <c r="NO23" s="20" t="s">
        <v>186</v>
      </c>
      <c r="NP23" s="20" t="s">
        <v>186</v>
      </c>
      <c r="NQ23" s="20" t="s">
        <v>100</v>
      </c>
      <c r="NR23" s="20" t="s">
        <v>121</v>
      </c>
      <c r="NS23" s="20" t="s">
        <v>121</v>
      </c>
      <c r="NT23" s="15" t="s">
        <v>100</v>
      </c>
      <c r="NU23" s="15" t="s">
        <v>100</v>
      </c>
      <c r="NV23" s="15" t="s">
        <v>100</v>
      </c>
      <c r="NW23" s="20" t="s">
        <v>121</v>
      </c>
      <c r="NX23" s="20" t="s">
        <v>121</v>
      </c>
      <c r="NY23" s="20" t="s">
        <v>121</v>
      </c>
      <c r="NZ23" s="15" t="s">
        <v>100</v>
      </c>
      <c r="OA23" s="20" t="s">
        <v>121</v>
      </c>
      <c r="OB23" s="20" t="s">
        <v>186</v>
      </c>
      <c r="OC23" s="20" t="s">
        <v>190</v>
      </c>
      <c r="OD23" s="20" t="s">
        <v>190</v>
      </c>
      <c r="OE23" s="20" t="s">
        <v>121</v>
      </c>
      <c r="OF23" s="20" t="s">
        <v>100</v>
      </c>
      <c r="OG23" s="20" t="s">
        <v>186</v>
      </c>
      <c r="OH23" s="20" t="s">
        <v>100</v>
      </c>
      <c r="OI23" s="20" t="s">
        <v>100</v>
      </c>
      <c r="OJ23" s="20" t="s">
        <v>100</v>
      </c>
      <c r="OK23" s="20" t="s">
        <v>100</v>
      </c>
      <c r="OL23" s="20" t="s">
        <v>100</v>
      </c>
      <c r="OM23" s="20" t="s">
        <v>121</v>
      </c>
      <c r="ON23" s="20" t="s">
        <v>100</v>
      </c>
      <c r="OO23" s="20" t="s">
        <v>186</v>
      </c>
      <c r="OP23" s="20" t="s">
        <v>190</v>
      </c>
      <c r="OQ23" s="20" t="s">
        <v>121</v>
      </c>
      <c r="OR23" s="20" t="s">
        <v>121</v>
      </c>
      <c r="OS23" s="20" t="s">
        <v>121</v>
      </c>
      <c r="OT23" s="20" t="s">
        <v>121</v>
      </c>
      <c r="OU23" s="20" t="s">
        <v>121</v>
      </c>
      <c r="OV23" s="20" t="s">
        <v>100</v>
      </c>
      <c r="OW23" s="20" t="s">
        <v>100</v>
      </c>
      <c r="OX23" s="20" t="s">
        <v>100</v>
      </c>
      <c r="OY23" s="20" t="s">
        <v>100</v>
      </c>
      <c r="OZ23" s="20" t="s">
        <v>100</v>
      </c>
      <c r="PA23" s="20" t="s">
        <v>100</v>
      </c>
      <c r="PB23" s="20" t="s">
        <v>100</v>
      </c>
      <c r="PC23" s="20" t="s">
        <v>100</v>
      </c>
      <c r="PD23" s="20" t="s">
        <v>100</v>
      </c>
      <c r="PE23" s="20" t="s">
        <v>100</v>
      </c>
      <c r="PF23" s="20" t="s">
        <v>100</v>
      </c>
      <c r="PG23" s="20" t="s">
        <v>100</v>
      </c>
      <c r="PH23" s="20" t="s">
        <v>100</v>
      </c>
      <c r="PI23" s="20" t="s">
        <v>100</v>
      </c>
      <c r="PJ23" s="20" t="s">
        <v>100</v>
      </c>
      <c r="PK23" s="20" t="s">
        <v>100</v>
      </c>
      <c r="PL23" s="20" t="s">
        <v>100</v>
      </c>
      <c r="PM23" s="15" t="s">
        <v>100</v>
      </c>
      <c r="PN23" s="15" t="s">
        <v>100</v>
      </c>
      <c r="PO23" s="15" t="s">
        <v>100</v>
      </c>
      <c r="PP23" s="15" t="s">
        <v>100</v>
      </c>
      <c r="PQ23" s="20" t="s">
        <v>121</v>
      </c>
      <c r="PR23" s="20" t="s">
        <v>121</v>
      </c>
      <c r="PS23" s="20" t="s">
        <v>100</v>
      </c>
      <c r="PT23" s="20" t="s">
        <v>186</v>
      </c>
      <c r="PU23" s="20" t="s">
        <v>186</v>
      </c>
      <c r="PV23" s="20" t="s">
        <v>121</v>
      </c>
      <c r="PW23" s="20" t="s">
        <v>190</v>
      </c>
      <c r="PX23" s="15" t="s">
        <v>100</v>
      </c>
      <c r="PY23" s="15" t="s">
        <v>100</v>
      </c>
      <c r="PZ23" s="15" t="s">
        <v>100</v>
      </c>
      <c r="QA23" s="15" t="s">
        <v>100</v>
      </c>
      <c r="QB23" s="15" t="s">
        <v>100</v>
      </c>
      <c r="QC23" s="15" t="s">
        <v>100</v>
      </c>
      <c r="QD23" s="20" t="s">
        <v>100</v>
      </c>
      <c r="QE23" s="20" t="s">
        <v>100</v>
      </c>
      <c r="QF23" s="20" t="s">
        <v>100</v>
      </c>
      <c r="QG23" s="20" t="s">
        <v>100</v>
      </c>
      <c r="QH23" s="15" t="s">
        <v>100</v>
      </c>
      <c r="QI23" s="15" t="s">
        <v>100</v>
      </c>
      <c r="QJ23" s="15" t="s">
        <v>100</v>
      </c>
      <c r="QK23" s="20" t="s">
        <v>121</v>
      </c>
      <c r="QL23" s="20" t="s">
        <v>121</v>
      </c>
      <c r="QM23" s="20" t="s">
        <v>121</v>
      </c>
      <c r="QN23" s="15" t="s">
        <v>100</v>
      </c>
      <c r="QO23" s="15" t="s">
        <v>100</v>
      </c>
      <c r="QP23" s="15" t="s">
        <v>100</v>
      </c>
      <c r="QQ23" s="15" t="s">
        <v>100</v>
      </c>
      <c r="QR23" s="15" t="s">
        <v>100</v>
      </c>
      <c r="QS23" s="15" t="s">
        <v>100</v>
      </c>
      <c r="QT23" s="15" t="s">
        <v>100</v>
      </c>
      <c r="QU23" s="15" t="s">
        <v>100</v>
      </c>
      <c r="QV23" s="15" t="s">
        <v>100</v>
      </c>
      <c r="QW23" s="15" t="s">
        <v>100</v>
      </c>
      <c r="QX23" s="15" t="s">
        <v>100</v>
      </c>
      <c r="QY23" s="15" t="s">
        <v>100</v>
      </c>
      <c r="QZ23" s="15" t="s">
        <v>100</v>
      </c>
      <c r="RA23" s="15" t="s">
        <v>100</v>
      </c>
      <c r="RB23" s="15" t="s">
        <v>100</v>
      </c>
      <c r="RC23" s="15" t="s">
        <v>100</v>
      </c>
      <c r="RD23" s="15" t="s">
        <v>100</v>
      </c>
      <c r="RE23" s="15" t="s">
        <v>100</v>
      </c>
      <c r="RF23" s="15" t="s">
        <v>100</v>
      </c>
      <c r="RG23" s="15" t="s">
        <v>100</v>
      </c>
      <c r="RH23" s="15" t="s">
        <v>100</v>
      </c>
      <c r="RI23" s="15" t="s">
        <v>100</v>
      </c>
      <c r="RJ23" s="15" t="s">
        <v>100</v>
      </c>
      <c r="RK23" s="15" t="s">
        <v>100</v>
      </c>
      <c r="RL23" s="15" t="s">
        <v>100</v>
      </c>
      <c r="RM23" s="15" t="s">
        <v>100</v>
      </c>
      <c r="RN23" s="15" t="s">
        <v>100</v>
      </c>
      <c r="RO23" s="15" t="s">
        <v>100</v>
      </c>
      <c r="RP23" s="15" t="s">
        <v>100</v>
      </c>
      <c r="RQ23" s="15" t="s">
        <v>100</v>
      </c>
      <c r="RR23" s="15" t="s">
        <v>100</v>
      </c>
      <c r="RS23" s="15"/>
      <c r="RT23" s="15" t="s">
        <v>121</v>
      </c>
      <c r="RU23" s="15" t="s">
        <v>121</v>
      </c>
      <c r="RV23" s="15" t="s">
        <v>121</v>
      </c>
      <c r="RW23" s="15" t="s">
        <v>121</v>
      </c>
      <c r="RX23" s="15" t="s">
        <v>121</v>
      </c>
      <c r="RY23" s="15" t="s">
        <v>121</v>
      </c>
      <c r="RZ23" s="20" t="s">
        <v>121</v>
      </c>
      <c r="SA23" s="20" t="s">
        <v>100</v>
      </c>
      <c r="SB23" s="20" t="s">
        <v>100</v>
      </c>
      <c r="SC23" s="15" t="s">
        <v>100</v>
      </c>
      <c r="SD23" s="15" t="s">
        <v>100</v>
      </c>
      <c r="SE23" s="15" t="s">
        <v>100</v>
      </c>
      <c r="SF23" s="20" t="s">
        <v>121</v>
      </c>
      <c r="SG23" s="20" t="s">
        <v>121</v>
      </c>
      <c r="SH23" s="20" t="s">
        <v>121</v>
      </c>
      <c r="SI23" s="15" t="s">
        <v>100</v>
      </c>
      <c r="SJ23" s="20" t="s">
        <v>121</v>
      </c>
      <c r="SK23" s="20" t="s">
        <v>186</v>
      </c>
      <c r="SL23" s="20" t="s">
        <v>190</v>
      </c>
      <c r="SM23" s="20" t="s">
        <v>190</v>
      </c>
      <c r="SN23" s="20" t="s">
        <v>121</v>
      </c>
      <c r="SO23" s="20" t="s">
        <v>100</v>
      </c>
      <c r="SP23" s="20" t="s">
        <v>186</v>
      </c>
      <c r="SQ23" s="20" t="s">
        <v>100</v>
      </c>
      <c r="SR23" s="20" t="s">
        <v>100</v>
      </c>
      <c r="SS23" s="20" t="s">
        <v>100</v>
      </c>
      <c r="ST23" s="20" t="s">
        <v>100</v>
      </c>
      <c r="SU23" s="20" t="s">
        <v>100</v>
      </c>
      <c r="SV23" s="20" t="s">
        <v>121</v>
      </c>
      <c r="SW23" s="20" t="s">
        <v>100</v>
      </c>
      <c r="SX23" s="20" t="s">
        <v>186</v>
      </c>
      <c r="SY23" s="20" t="s">
        <v>190</v>
      </c>
      <c r="SZ23" s="20" t="s">
        <v>121</v>
      </c>
      <c r="TA23" s="20" t="s">
        <v>121</v>
      </c>
      <c r="TB23" s="20" t="s">
        <v>121</v>
      </c>
      <c r="TC23" s="20" t="s">
        <v>121</v>
      </c>
      <c r="TD23" s="20" t="s">
        <v>121</v>
      </c>
      <c r="TE23" s="20" t="s">
        <v>100</v>
      </c>
      <c r="TF23" s="20" t="s">
        <v>100</v>
      </c>
      <c r="TG23" s="20" t="s">
        <v>100</v>
      </c>
      <c r="TH23" s="20" t="s">
        <v>100</v>
      </c>
      <c r="TI23" s="20" t="s">
        <v>100</v>
      </c>
      <c r="TJ23" s="20" t="s">
        <v>100</v>
      </c>
      <c r="TK23" s="20" t="s">
        <v>100</v>
      </c>
      <c r="TL23" s="20" t="s">
        <v>100</v>
      </c>
      <c r="TM23" s="20" t="s">
        <v>100</v>
      </c>
      <c r="TN23" s="20" t="s">
        <v>100</v>
      </c>
      <c r="TO23" s="20" t="s">
        <v>100</v>
      </c>
      <c r="TP23" s="20" t="s">
        <v>100</v>
      </c>
      <c r="TQ23" s="20" t="s">
        <v>100</v>
      </c>
      <c r="TR23" s="20" t="s">
        <v>100</v>
      </c>
      <c r="TS23" s="20" t="s">
        <v>100</v>
      </c>
      <c r="TT23" s="20" t="s">
        <v>100</v>
      </c>
      <c r="TU23" s="15" t="s">
        <v>100</v>
      </c>
      <c r="TV23" s="15" t="s">
        <v>100</v>
      </c>
      <c r="TW23" s="15" t="s">
        <v>100</v>
      </c>
      <c r="TX23" s="15" t="s">
        <v>100</v>
      </c>
      <c r="TY23" s="20" t="s">
        <v>121</v>
      </c>
      <c r="TZ23" s="20" t="s">
        <v>121</v>
      </c>
      <c r="UA23" s="20" t="s">
        <v>100</v>
      </c>
      <c r="UB23" s="20" t="s">
        <v>186</v>
      </c>
      <c r="UC23" s="20" t="s">
        <v>186</v>
      </c>
      <c r="UD23" s="20" t="s">
        <v>121</v>
      </c>
      <c r="UE23" s="20" t="s">
        <v>190</v>
      </c>
      <c r="UF23" s="15" t="s">
        <v>100</v>
      </c>
      <c r="UG23" s="15" t="s">
        <v>100</v>
      </c>
      <c r="UH23" s="15" t="s">
        <v>100</v>
      </c>
      <c r="UI23" s="15" t="s">
        <v>100</v>
      </c>
      <c r="UJ23" s="15" t="s">
        <v>100</v>
      </c>
      <c r="UK23" s="15" t="s">
        <v>100</v>
      </c>
      <c r="UL23" s="20" t="s">
        <v>100</v>
      </c>
      <c r="UM23" s="20" t="s">
        <v>100</v>
      </c>
      <c r="UN23" s="20" t="s">
        <v>100</v>
      </c>
      <c r="UO23" s="20" t="s">
        <v>100</v>
      </c>
      <c r="UP23" s="15" t="s">
        <v>100</v>
      </c>
      <c r="UQ23" s="15" t="s">
        <v>100</v>
      </c>
      <c r="UR23" s="15" t="s">
        <v>100</v>
      </c>
      <c r="US23" s="20" t="s">
        <v>121</v>
      </c>
      <c r="UT23" s="20" t="s">
        <v>121</v>
      </c>
      <c r="UU23" s="20" t="s">
        <v>121</v>
      </c>
      <c r="UV23" s="15" t="s">
        <v>100</v>
      </c>
      <c r="UW23" s="15" t="s">
        <v>100</v>
      </c>
      <c r="UX23" s="15" t="s">
        <v>100</v>
      </c>
      <c r="UY23" s="15" t="s">
        <v>100</v>
      </c>
      <c r="UZ23" s="15" t="s">
        <v>100</v>
      </c>
      <c r="VA23" s="15" t="s">
        <v>100</v>
      </c>
      <c r="VB23" s="15" t="s">
        <v>100</v>
      </c>
      <c r="VC23" s="15" t="s">
        <v>100</v>
      </c>
      <c r="VD23" s="15" t="s">
        <v>100</v>
      </c>
      <c r="VE23" s="15" t="s">
        <v>100</v>
      </c>
      <c r="VF23" s="15" t="s">
        <v>100</v>
      </c>
      <c r="VG23" s="15" t="s">
        <v>100</v>
      </c>
      <c r="VH23" s="15" t="s">
        <v>100</v>
      </c>
      <c r="VI23" s="15" t="s">
        <v>100</v>
      </c>
      <c r="VJ23" s="15" t="s">
        <v>100</v>
      </c>
      <c r="VK23" s="15" t="s">
        <v>100</v>
      </c>
      <c r="VL23" s="15" t="s">
        <v>100</v>
      </c>
      <c r="VM23" s="15" t="s">
        <v>100</v>
      </c>
      <c r="VN23" s="15" t="s">
        <v>100</v>
      </c>
      <c r="VO23" s="15" t="s">
        <v>100</v>
      </c>
      <c r="VP23" s="15" t="s">
        <v>100</v>
      </c>
      <c r="VQ23" s="15" t="s">
        <v>100</v>
      </c>
      <c r="VR23" s="15" t="s">
        <v>100</v>
      </c>
      <c r="VS23" s="15" t="s">
        <v>100</v>
      </c>
      <c r="VT23" s="15" t="s">
        <v>100</v>
      </c>
      <c r="VU23" s="15" t="s">
        <v>100</v>
      </c>
      <c r="VV23" s="15" t="s">
        <v>100</v>
      </c>
      <c r="VW23" s="15" t="s">
        <v>100</v>
      </c>
      <c r="VX23" s="15" t="s">
        <v>100</v>
      </c>
      <c r="VY23" s="15" t="s">
        <v>100</v>
      </c>
      <c r="VZ23" s="15" t="s">
        <v>100</v>
      </c>
      <c r="WA23" s="15" t="s">
        <v>100</v>
      </c>
      <c r="WB23" s="20" t="s">
        <v>100</v>
      </c>
      <c r="WC23" s="20" t="s">
        <v>100</v>
      </c>
      <c r="WD23" s="20" t="s">
        <v>100</v>
      </c>
      <c r="WE23" s="15" t="s">
        <v>100</v>
      </c>
      <c r="WF23" s="15" t="s">
        <v>100</v>
      </c>
      <c r="WG23" s="15" t="s">
        <v>100</v>
      </c>
      <c r="WH23" s="15" t="s">
        <v>100</v>
      </c>
      <c r="WI23" s="15" t="s">
        <v>100</v>
      </c>
      <c r="WJ23" s="15" t="s">
        <v>100</v>
      </c>
      <c r="WK23" s="15" t="s">
        <v>100</v>
      </c>
      <c r="WL23" s="15" t="s">
        <v>100</v>
      </c>
      <c r="WM23" s="15" t="s">
        <v>100</v>
      </c>
      <c r="WN23" s="15" t="s">
        <v>100</v>
      </c>
      <c r="WO23" s="15" t="s">
        <v>100</v>
      </c>
      <c r="WP23" s="15" t="s">
        <v>100</v>
      </c>
      <c r="WQ23" s="15" t="s">
        <v>100</v>
      </c>
      <c r="WR23" s="15" t="s">
        <v>100</v>
      </c>
      <c r="WS23" s="15" t="s">
        <v>100</v>
      </c>
      <c r="WT23" s="15" t="s">
        <v>100</v>
      </c>
      <c r="WU23" s="15" t="s">
        <v>100</v>
      </c>
      <c r="WV23" s="15" t="s">
        <v>100</v>
      </c>
      <c r="WW23" s="20" t="s">
        <v>121</v>
      </c>
      <c r="WX23" s="15" t="s">
        <v>100</v>
      </c>
      <c r="WY23" s="15" t="s">
        <v>100</v>
      </c>
      <c r="WZ23" s="15" t="s">
        <v>100</v>
      </c>
      <c r="XA23" s="15" t="s">
        <v>100</v>
      </c>
      <c r="XB23" s="15" t="s">
        <v>100</v>
      </c>
      <c r="XC23" s="15" t="s">
        <v>100</v>
      </c>
      <c r="XD23" s="15" t="s">
        <v>100</v>
      </c>
      <c r="XE23" s="15" t="s">
        <v>100</v>
      </c>
      <c r="XF23" s="15" t="s">
        <v>100</v>
      </c>
      <c r="XG23" s="15" t="s">
        <v>100</v>
      </c>
      <c r="XH23" s="15" t="s">
        <v>100</v>
      </c>
      <c r="XI23" s="15" t="s">
        <v>100</v>
      </c>
      <c r="XJ23" s="15" t="s">
        <v>100</v>
      </c>
      <c r="XK23" s="15" t="s">
        <v>100</v>
      </c>
      <c r="XL23" s="15" t="s">
        <v>100</v>
      </c>
      <c r="XM23" s="15" t="s">
        <v>100</v>
      </c>
      <c r="XN23" s="15" t="s">
        <v>100</v>
      </c>
      <c r="XO23" s="15" t="s">
        <v>100</v>
      </c>
      <c r="XP23" s="15" t="s">
        <v>100</v>
      </c>
      <c r="XQ23" s="15" t="s">
        <v>100</v>
      </c>
      <c r="XR23" s="15" t="s">
        <v>100</v>
      </c>
      <c r="XS23" s="15" t="s">
        <v>100</v>
      </c>
      <c r="XT23" s="15" t="s">
        <v>100</v>
      </c>
      <c r="XU23" s="15" t="s">
        <v>100</v>
      </c>
      <c r="XV23" s="15" t="s">
        <v>100</v>
      </c>
      <c r="XW23" s="15" t="s">
        <v>100</v>
      </c>
      <c r="XX23" s="15" t="s">
        <v>100</v>
      </c>
      <c r="XY23" s="15" t="s">
        <v>100</v>
      </c>
      <c r="XZ23" s="15" t="s">
        <v>100</v>
      </c>
      <c r="YA23" s="15" t="s">
        <v>100</v>
      </c>
      <c r="YB23" s="15" t="s">
        <v>100</v>
      </c>
      <c r="YC23" s="15" t="s">
        <v>100</v>
      </c>
      <c r="YD23" s="15" t="s">
        <v>100</v>
      </c>
      <c r="YE23" s="15" t="s">
        <v>100</v>
      </c>
      <c r="YF23" s="20" t="s">
        <v>100</v>
      </c>
      <c r="YG23" s="15" t="s">
        <v>100</v>
      </c>
      <c r="YH23" s="15" t="s">
        <v>100</v>
      </c>
      <c r="YI23" s="15" t="s">
        <v>100</v>
      </c>
      <c r="YJ23" s="15" t="s">
        <v>100</v>
      </c>
      <c r="YK23" s="15" t="s">
        <v>100</v>
      </c>
      <c r="YL23" s="15" t="s">
        <v>100</v>
      </c>
      <c r="YM23" s="15" t="s">
        <v>100</v>
      </c>
      <c r="YN23" s="15" t="s">
        <v>100</v>
      </c>
      <c r="YO23" s="15" t="s">
        <v>100</v>
      </c>
      <c r="YP23" s="15" t="s">
        <v>100</v>
      </c>
      <c r="YQ23" s="15" t="s">
        <v>100</v>
      </c>
      <c r="YR23" s="15" t="s">
        <v>100</v>
      </c>
      <c r="YS23" s="15" t="s">
        <v>100</v>
      </c>
      <c r="YT23" s="15" t="s">
        <v>100</v>
      </c>
      <c r="YU23" s="15" t="s">
        <v>100</v>
      </c>
      <c r="YV23" s="15" t="s">
        <v>100</v>
      </c>
      <c r="YW23" s="15" t="s">
        <v>100</v>
      </c>
      <c r="YX23" s="15" t="s">
        <v>100</v>
      </c>
      <c r="YY23" s="15" t="s">
        <v>100</v>
      </c>
      <c r="YZ23" s="15" t="s">
        <v>100</v>
      </c>
      <c r="ZA23" s="15" t="s">
        <v>100</v>
      </c>
      <c r="ZB23" s="15" t="s">
        <v>100</v>
      </c>
      <c r="ZC23" s="15" t="s">
        <v>100</v>
      </c>
      <c r="ZD23" s="15" t="s">
        <v>100</v>
      </c>
      <c r="ZE23" s="15" t="s">
        <v>100</v>
      </c>
      <c r="ZF23" s="15" t="s">
        <v>100</v>
      </c>
      <c r="ZG23" s="15" t="s">
        <v>100</v>
      </c>
      <c r="ZH23" s="15" t="s">
        <v>100</v>
      </c>
      <c r="ZI23" s="15" t="s">
        <v>100</v>
      </c>
      <c r="ZJ23" s="15" t="s">
        <v>100</v>
      </c>
      <c r="ZK23" s="20" t="s">
        <v>186</v>
      </c>
      <c r="ZL23" s="20" t="s">
        <v>186</v>
      </c>
      <c r="ZM23" s="20" t="s">
        <v>186</v>
      </c>
      <c r="ZN23" s="20" t="s">
        <v>186</v>
      </c>
      <c r="ZO23" s="20" t="s">
        <v>186</v>
      </c>
      <c r="ZP23" s="20" t="s">
        <v>186</v>
      </c>
      <c r="ZQ23" s="20" t="s">
        <v>121</v>
      </c>
      <c r="ZR23" s="20" t="s">
        <v>190</v>
      </c>
      <c r="ZS23" s="20" t="s">
        <v>190</v>
      </c>
      <c r="ZT23" s="20" t="s">
        <v>190</v>
      </c>
      <c r="ZU23" s="20" t="s">
        <v>190</v>
      </c>
      <c r="ZV23" s="20" t="s">
        <v>190</v>
      </c>
      <c r="ZW23" s="20" t="s">
        <v>190</v>
      </c>
      <c r="ZX23" s="20" t="s">
        <v>121</v>
      </c>
      <c r="ZY23" s="20" t="s">
        <v>190</v>
      </c>
      <c r="ZZ23" s="20" t="s">
        <v>121</v>
      </c>
      <c r="AAA23" s="20" t="s">
        <v>121</v>
      </c>
      <c r="AAB23" s="20" t="s">
        <v>121</v>
      </c>
      <c r="AAC23" s="20" t="s">
        <v>121</v>
      </c>
      <c r="AAD23" s="20" t="s">
        <v>121</v>
      </c>
      <c r="AAE23" s="20" t="s">
        <v>121</v>
      </c>
      <c r="AAF23" s="20" t="s">
        <v>121</v>
      </c>
      <c r="AAG23" s="20" t="s">
        <v>121</v>
      </c>
      <c r="AAH23" s="20" t="s">
        <v>121</v>
      </c>
      <c r="AAI23" s="20" t="s">
        <v>121</v>
      </c>
      <c r="AAJ23" s="20" t="s">
        <v>100</v>
      </c>
      <c r="AAK23" s="15" t="s">
        <v>100</v>
      </c>
      <c r="AAL23" s="15"/>
      <c r="AAM23" s="15" t="s">
        <v>121</v>
      </c>
      <c r="AAN23" s="15" t="s">
        <v>121</v>
      </c>
      <c r="AAO23" s="15" t="s">
        <v>121</v>
      </c>
      <c r="AAP23" s="15" t="s">
        <v>121</v>
      </c>
      <c r="AAQ23" s="15" t="s">
        <v>121</v>
      </c>
      <c r="AAR23" s="15" t="s">
        <v>121</v>
      </c>
      <c r="AAS23" s="20" t="s">
        <v>121</v>
      </c>
      <c r="AAT23" s="20" t="s">
        <v>121</v>
      </c>
      <c r="AAU23" s="20" t="s">
        <v>121</v>
      </c>
      <c r="AAV23" s="20" t="s">
        <v>121</v>
      </c>
      <c r="AAW23" s="15" t="s">
        <v>121</v>
      </c>
      <c r="AAX23" s="15"/>
      <c r="AAY23" s="15" t="s">
        <v>121</v>
      </c>
      <c r="AAZ23" s="15" t="s">
        <v>121</v>
      </c>
      <c r="ABA23" s="15" t="s">
        <v>121</v>
      </c>
      <c r="ABB23" s="15" t="s">
        <v>121</v>
      </c>
      <c r="ABC23" s="15" t="s">
        <v>121</v>
      </c>
      <c r="ABD23" s="15" t="s">
        <v>121</v>
      </c>
      <c r="ABE23" s="20" t="s">
        <v>121</v>
      </c>
      <c r="ABF23" s="20" t="s">
        <v>100</v>
      </c>
      <c r="ABG23" s="20" t="s">
        <v>100</v>
      </c>
      <c r="ABH23" s="20" t="s">
        <v>100</v>
      </c>
      <c r="ABI23" s="20" t="s">
        <v>100</v>
      </c>
      <c r="ABJ23" s="20" t="s">
        <v>100</v>
      </c>
      <c r="ABK23" s="20" t="s">
        <v>100</v>
      </c>
      <c r="ABL23" s="20" t="s">
        <v>100</v>
      </c>
      <c r="ABM23" s="20" t="s">
        <v>100</v>
      </c>
      <c r="ABN23" s="20" t="s">
        <v>100</v>
      </c>
      <c r="ABO23" s="20" t="s">
        <v>100</v>
      </c>
      <c r="ABP23" s="20" t="s">
        <v>100</v>
      </c>
      <c r="ABQ23" s="20" t="s">
        <v>100</v>
      </c>
      <c r="ABR23" s="20" t="s">
        <v>100</v>
      </c>
      <c r="ABS23" s="20" t="s">
        <v>100</v>
      </c>
      <c r="ABT23" s="20" t="s">
        <v>100</v>
      </c>
      <c r="ABU23" s="20" t="s">
        <v>100</v>
      </c>
      <c r="ABV23" s="20" t="s">
        <v>100</v>
      </c>
      <c r="ABW23" s="20" t="s">
        <v>100</v>
      </c>
      <c r="ABX23" s="20" t="s">
        <v>100</v>
      </c>
      <c r="ABY23" s="20" t="s">
        <v>100</v>
      </c>
      <c r="ABZ23" s="20" t="s">
        <v>100</v>
      </c>
      <c r="ACA23" s="20" t="s">
        <v>100</v>
      </c>
      <c r="ACB23" s="20" t="s">
        <v>100</v>
      </c>
      <c r="ACC23" s="20" t="s">
        <v>100</v>
      </c>
      <c r="ACD23" s="20" t="s">
        <v>100</v>
      </c>
      <c r="ACE23" s="20" t="s">
        <v>100</v>
      </c>
      <c r="ACF23" s="20" t="s">
        <v>100</v>
      </c>
      <c r="ACG23" s="20" t="s">
        <v>100</v>
      </c>
      <c r="ACH23" s="20" t="s">
        <v>100</v>
      </c>
      <c r="ACI23" s="20" t="s">
        <v>100</v>
      </c>
      <c r="ACJ23" s="20" t="s">
        <v>100</v>
      </c>
      <c r="ACK23" s="20" t="s">
        <v>100</v>
      </c>
      <c r="ACL23" s="20" t="s">
        <v>100</v>
      </c>
      <c r="ACM23" s="20" t="s">
        <v>100</v>
      </c>
      <c r="ACN23" s="20" t="s">
        <v>100</v>
      </c>
      <c r="ACO23" s="20" t="s">
        <v>100</v>
      </c>
      <c r="ACP23" s="20" t="s">
        <v>100</v>
      </c>
      <c r="ACQ23" s="20" t="s">
        <v>100</v>
      </c>
      <c r="ACR23" s="20" t="s">
        <v>100</v>
      </c>
      <c r="ACS23" s="20" t="s">
        <v>100</v>
      </c>
      <c r="ACT23" s="20" t="s">
        <v>100</v>
      </c>
      <c r="ACU23" s="20" t="s">
        <v>100</v>
      </c>
      <c r="ACV23" s="20" t="s">
        <v>100</v>
      </c>
      <c r="ACW23" s="20" t="s">
        <v>100</v>
      </c>
      <c r="ACX23" s="20" t="s">
        <v>100</v>
      </c>
      <c r="ACY23" s="20" t="s">
        <v>100</v>
      </c>
      <c r="ACZ23" s="20" t="s">
        <v>100</v>
      </c>
      <c r="ADA23" s="20" t="s">
        <v>100</v>
      </c>
      <c r="ADB23" s="20" t="s">
        <v>100</v>
      </c>
      <c r="ADC23" s="20" t="s">
        <v>100</v>
      </c>
      <c r="ADD23" s="15" t="s">
        <v>100</v>
      </c>
      <c r="ADE23" s="20" t="s">
        <v>100</v>
      </c>
      <c r="ADF23" s="15" t="s">
        <v>100</v>
      </c>
      <c r="ADG23" s="15" t="s">
        <v>100</v>
      </c>
      <c r="ADH23" s="15"/>
      <c r="ADI23" s="15" t="s">
        <v>121</v>
      </c>
      <c r="ADJ23" s="15" t="s">
        <v>121</v>
      </c>
      <c r="ADK23" s="15" t="s">
        <v>121</v>
      </c>
      <c r="ADL23" s="15" t="s">
        <v>121</v>
      </c>
      <c r="ADM23" s="15" t="s">
        <v>121</v>
      </c>
      <c r="ADN23" s="15" t="s">
        <v>121</v>
      </c>
      <c r="ADO23" s="20" t="s">
        <v>121</v>
      </c>
      <c r="ADP23" s="20" t="s">
        <v>100</v>
      </c>
      <c r="ADQ23" s="20" t="s">
        <v>100</v>
      </c>
      <c r="ADR23" s="20" t="s">
        <v>121</v>
      </c>
      <c r="ADS23" s="20" t="s">
        <v>100</v>
      </c>
      <c r="ADT23" s="20" t="s">
        <v>100</v>
      </c>
      <c r="ADU23" s="20" t="s">
        <v>100</v>
      </c>
      <c r="ADV23" s="20" t="s">
        <v>100</v>
      </c>
      <c r="ADW23" s="20" t="s">
        <v>100</v>
      </c>
      <c r="ADX23" s="20" t="s">
        <v>100</v>
      </c>
      <c r="ADY23" s="20" t="s">
        <v>100</v>
      </c>
      <c r="ADZ23" s="20" t="s">
        <v>100</v>
      </c>
      <c r="AEA23" s="20" t="s">
        <v>100</v>
      </c>
      <c r="AEB23" s="20" t="s">
        <v>100</v>
      </c>
      <c r="AEC23" s="20" t="s">
        <v>100</v>
      </c>
      <c r="AED23" s="20" t="s">
        <v>100</v>
      </c>
      <c r="AEE23" s="20" t="s">
        <v>100</v>
      </c>
      <c r="AEF23" s="20" t="s">
        <v>100</v>
      </c>
      <c r="AEG23" s="20" t="s">
        <v>100</v>
      </c>
      <c r="AEH23" s="20" t="s">
        <v>100</v>
      </c>
      <c r="AEI23" s="20" t="s">
        <v>100</v>
      </c>
      <c r="AEJ23" s="20" t="s">
        <v>100</v>
      </c>
      <c r="AEK23" s="20" t="s">
        <v>100</v>
      </c>
      <c r="AEL23" s="20" t="s">
        <v>100</v>
      </c>
      <c r="AEM23" s="20" t="s">
        <v>100</v>
      </c>
      <c r="AEN23" s="20" t="s">
        <v>100</v>
      </c>
      <c r="AEO23" s="20" t="s">
        <v>100</v>
      </c>
      <c r="AEP23" s="20" t="s">
        <v>100</v>
      </c>
      <c r="AEQ23" s="20" t="s">
        <v>100</v>
      </c>
      <c r="AER23" s="20" t="s">
        <v>100</v>
      </c>
      <c r="AES23" s="20" t="s">
        <v>100</v>
      </c>
      <c r="AET23" s="20" t="s">
        <v>100</v>
      </c>
      <c r="AEU23" s="20" t="s">
        <v>100</v>
      </c>
      <c r="AEV23" s="20" t="s">
        <v>100</v>
      </c>
      <c r="AEW23" s="20" t="s">
        <v>100</v>
      </c>
      <c r="AEX23" s="20" t="s">
        <v>100</v>
      </c>
      <c r="AEY23" s="20" t="s">
        <v>100</v>
      </c>
      <c r="AEZ23" s="20" t="s">
        <v>100</v>
      </c>
      <c r="AFA23" s="20" t="s">
        <v>100</v>
      </c>
      <c r="AFB23" s="20" t="s">
        <v>100</v>
      </c>
      <c r="AFC23" s="20" t="s">
        <v>100</v>
      </c>
      <c r="AFD23" s="20" t="s">
        <v>100</v>
      </c>
      <c r="AFE23" s="20" t="s">
        <v>100</v>
      </c>
      <c r="AFF23" s="20" t="s">
        <v>100</v>
      </c>
      <c r="AFG23" s="20" t="s">
        <v>100</v>
      </c>
      <c r="AFH23" s="20" t="s">
        <v>100</v>
      </c>
      <c r="AFI23" s="20" t="s">
        <v>100</v>
      </c>
      <c r="AFJ23" s="20" t="s">
        <v>100</v>
      </c>
      <c r="AFK23" s="20" t="s">
        <v>100</v>
      </c>
      <c r="AFL23" s="20" t="s">
        <v>100</v>
      </c>
      <c r="AFM23" s="20" t="s">
        <v>100</v>
      </c>
      <c r="AFN23" s="15" t="s">
        <v>100</v>
      </c>
      <c r="AFO23" s="20" t="s">
        <v>121</v>
      </c>
      <c r="AFP23" s="15" t="s">
        <v>100</v>
      </c>
      <c r="AFQ23" s="15" t="s">
        <v>100</v>
      </c>
      <c r="AFR23" s="15"/>
      <c r="AFS23" s="15" t="s">
        <v>121</v>
      </c>
      <c r="AFT23" s="15" t="s">
        <v>121</v>
      </c>
      <c r="AFU23" s="15" t="s">
        <v>121</v>
      </c>
      <c r="AFV23" s="15" t="s">
        <v>121</v>
      </c>
      <c r="AFW23" s="15" t="s">
        <v>121</v>
      </c>
      <c r="AFX23" s="15" t="s">
        <v>121</v>
      </c>
      <c r="AFY23" s="15" t="s">
        <v>121</v>
      </c>
      <c r="AFZ23" s="15" t="s">
        <v>100</v>
      </c>
      <c r="AGA23" s="15" t="s">
        <v>100</v>
      </c>
      <c r="AGB23" s="15" t="s">
        <v>121</v>
      </c>
      <c r="AGC23" s="15" t="s">
        <v>100</v>
      </c>
      <c r="AGD23" s="15" t="s">
        <v>100</v>
      </c>
      <c r="AGE23" s="15" t="s">
        <v>100</v>
      </c>
      <c r="AGF23" s="15" t="s">
        <v>100</v>
      </c>
      <c r="AGG23" s="15" t="s">
        <v>100</v>
      </c>
      <c r="AGH23" s="15" t="s">
        <v>100</v>
      </c>
      <c r="AGI23" s="15" t="s">
        <v>100</v>
      </c>
      <c r="AGJ23" s="15" t="s">
        <v>100</v>
      </c>
      <c r="AGK23" s="15" t="s">
        <v>100</v>
      </c>
      <c r="AGL23" s="15" t="s">
        <v>100</v>
      </c>
      <c r="AGM23" s="15" t="s">
        <v>100</v>
      </c>
      <c r="AGN23" s="15" t="s">
        <v>100</v>
      </c>
      <c r="AGO23" s="15" t="s">
        <v>100</v>
      </c>
      <c r="AGP23" s="15" t="s">
        <v>100</v>
      </c>
      <c r="AGQ23" s="15" t="s">
        <v>100</v>
      </c>
      <c r="AGR23" s="15" t="s">
        <v>100</v>
      </c>
      <c r="AGS23" s="15" t="s">
        <v>100</v>
      </c>
      <c r="AGT23" s="15" t="s">
        <v>100</v>
      </c>
      <c r="AGU23" s="15" t="s">
        <v>100</v>
      </c>
      <c r="AGV23" s="15" t="s">
        <v>100</v>
      </c>
      <c r="AGW23" s="15" t="s">
        <v>100</v>
      </c>
      <c r="AGX23" s="15" t="s">
        <v>100</v>
      </c>
      <c r="AGY23" s="15" t="s">
        <v>100</v>
      </c>
      <c r="AGZ23" s="15" t="s">
        <v>100</v>
      </c>
      <c r="AHA23" s="15" t="s">
        <v>100</v>
      </c>
      <c r="AHB23" s="15" t="s">
        <v>100</v>
      </c>
      <c r="AHC23" s="15" t="s">
        <v>100</v>
      </c>
      <c r="AHD23" s="15" t="s">
        <v>100</v>
      </c>
      <c r="AHE23" s="15" t="s">
        <v>100</v>
      </c>
      <c r="AHF23" s="15" t="s">
        <v>100</v>
      </c>
      <c r="AHG23" s="15" t="s">
        <v>100</v>
      </c>
      <c r="AHH23" s="15" t="s">
        <v>100</v>
      </c>
      <c r="AHI23" s="15" t="s">
        <v>100</v>
      </c>
      <c r="AHJ23" s="15" t="s">
        <v>100</v>
      </c>
      <c r="AHK23" s="15" t="s">
        <v>100</v>
      </c>
      <c r="AHL23" s="15" t="s">
        <v>100</v>
      </c>
      <c r="AHM23" s="15" t="s">
        <v>100</v>
      </c>
      <c r="AHN23" s="15" t="s">
        <v>100</v>
      </c>
      <c r="AHO23" s="15" t="s">
        <v>100</v>
      </c>
      <c r="AHP23" s="15" t="s">
        <v>100</v>
      </c>
      <c r="AHQ23" s="15" t="s">
        <v>100</v>
      </c>
      <c r="AHR23" s="15" t="s">
        <v>100</v>
      </c>
      <c r="AHS23" s="15" t="s">
        <v>100</v>
      </c>
      <c r="AHT23" s="15" t="s">
        <v>100</v>
      </c>
      <c r="AHU23" s="15" t="s">
        <v>100</v>
      </c>
      <c r="AHV23" s="15" t="s">
        <v>100</v>
      </c>
      <c r="AHW23" s="15" t="s">
        <v>100</v>
      </c>
      <c r="AHX23" s="15" t="s">
        <v>100</v>
      </c>
      <c r="AHY23" s="15" t="s">
        <v>100</v>
      </c>
      <c r="AHZ23" s="15" t="s">
        <v>100</v>
      </c>
      <c r="AIA23" s="15" t="s">
        <v>100</v>
      </c>
      <c r="AIB23" s="15" t="s">
        <v>100</v>
      </c>
      <c r="AIC23" s="15" t="s">
        <v>100</v>
      </c>
      <c r="AID23" s="15" t="s">
        <v>100</v>
      </c>
      <c r="AIE23" s="15" t="s">
        <v>100</v>
      </c>
      <c r="AIF23" s="15" t="s">
        <v>100</v>
      </c>
      <c r="AIG23" s="15" t="s">
        <v>100</v>
      </c>
      <c r="AIH23" s="15" t="s">
        <v>100</v>
      </c>
      <c r="AII23" s="15" t="s">
        <v>100</v>
      </c>
      <c r="AIJ23" s="15" t="s">
        <v>100</v>
      </c>
      <c r="AIK23" s="15" t="s">
        <v>100</v>
      </c>
      <c r="AIL23" s="15" t="s">
        <v>100</v>
      </c>
      <c r="AIM23" s="15" t="s">
        <v>100</v>
      </c>
      <c r="AIN23" s="15" t="s">
        <v>100</v>
      </c>
      <c r="AIO23" s="15" t="s">
        <v>100</v>
      </c>
      <c r="AIP23" s="15" t="s">
        <v>100</v>
      </c>
      <c r="AIQ23" s="15" t="s">
        <v>100</v>
      </c>
      <c r="AIR23" s="15" t="s">
        <v>100</v>
      </c>
      <c r="AIS23" s="15" t="s">
        <v>100</v>
      </c>
      <c r="AIT23" s="15" t="s">
        <v>100</v>
      </c>
      <c r="AIU23" s="15" t="s">
        <v>100</v>
      </c>
      <c r="AIV23" s="15" t="s">
        <v>100</v>
      </c>
      <c r="AIW23" s="15" t="s">
        <v>100</v>
      </c>
      <c r="AIX23" s="15" t="s">
        <v>100</v>
      </c>
      <c r="AIY23" s="15" t="s">
        <v>100</v>
      </c>
      <c r="AIZ23" s="15" t="s">
        <v>100</v>
      </c>
      <c r="AJA23" s="15" t="s">
        <v>100</v>
      </c>
      <c r="AJB23" s="20" t="s">
        <v>186</v>
      </c>
      <c r="AJC23" s="20" t="s">
        <v>100</v>
      </c>
      <c r="AJD23" s="20" t="s">
        <v>100</v>
      </c>
      <c r="AJE23" s="20" t="s">
        <v>100</v>
      </c>
      <c r="AJF23" s="15"/>
      <c r="AJG23" s="15" t="s">
        <v>100</v>
      </c>
      <c r="AJH23" s="15" t="s">
        <v>100</v>
      </c>
      <c r="AJI23" s="15" t="s">
        <v>100</v>
      </c>
      <c r="AJJ23" s="15" t="s">
        <v>100</v>
      </c>
      <c r="AJK23" s="15" t="s">
        <v>100</v>
      </c>
      <c r="AJL23" s="15" t="s">
        <v>100</v>
      </c>
      <c r="AJM23" s="15" t="s">
        <v>100</v>
      </c>
      <c r="AJN23" s="15"/>
      <c r="AJO23" s="15" t="s">
        <v>100</v>
      </c>
      <c r="AJP23" s="15" t="s">
        <v>100</v>
      </c>
      <c r="AJQ23" s="15" t="s">
        <v>100</v>
      </c>
      <c r="AJR23" s="15" t="s">
        <v>100</v>
      </c>
      <c r="AJS23" s="15" t="s">
        <v>100</v>
      </c>
      <c r="AJT23" s="15" t="s">
        <v>100</v>
      </c>
      <c r="AJU23" s="15" t="s">
        <v>100</v>
      </c>
      <c r="AJV23" s="15" t="s">
        <v>100</v>
      </c>
      <c r="AJW23" s="15" t="s">
        <v>100</v>
      </c>
      <c r="AJX23" s="15"/>
      <c r="AJY23" s="15" t="s">
        <v>100</v>
      </c>
      <c r="AJZ23" s="15" t="s">
        <v>100</v>
      </c>
      <c r="AKA23" s="15" t="s">
        <v>100</v>
      </c>
      <c r="AKB23" s="15" t="s">
        <v>100</v>
      </c>
      <c r="AKC23" s="15" t="s">
        <v>100</v>
      </c>
      <c r="AKD23" s="15" t="s">
        <v>100</v>
      </c>
      <c r="AKE23" s="15" t="s">
        <v>100</v>
      </c>
      <c r="AKF23" s="15" t="s">
        <v>100</v>
      </c>
      <c r="AKG23" s="15" t="s">
        <v>100</v>
      </c>
      <c r="AKH23" s="15" t="s">
        <v>100</v>
      </c>
      <c r="AKI23" s="15"/>
      <c r="AKJ23" s="15" t="s">
        <v>121</v>
      </c>
      <c r="AKK23" s="15" t="s">
        <v>121</v>
      </c>
      <c r="AKL23" s="15" t="s">
        <v>121</v>
      </c>
      <c r="AKM23" s="15" t="s">
        <v>121</v>
      </c>
      <c r="AKN23" s="15" t="s">
        <v>121</v>
      </c>
      <c r="AKO23" s="15" t="s">
        <v>121</v>
      </c>
      <c r="AKP23" s="20" t="s">
        <v>121</v>
      </c>
      <c r="AKQ23" s="20" t="s">
        <v>121</v>
      </c>
      <c r="AKR23" s="20" t="s">
        <v>121</v>
      </c>
      <c r="AKS23" s="20" t="s">
        <v>121</v>
      </c>
      <c r="AKT23" s="20" t="s">
        <v>121</v>
      </c>
      <c r="AKU23" s="20" t="s">
        <v>121</v>
      </c>
      <c r="AKV23" s="20" t="s">
        <v>121</v>
      </c>
      <c r="AKW23" s="20" t="s">
        <v>121</v>
      </c>
      <c r="AKX23" s="15"/>
      <c r="AKY23" s="15" t="s">
        <v>121</v>
      </c>
      <c r="AKZ23" s="15" t="s">
        <v>121</v>
      </c>
      <c r="ALA23" s="15" t="s">
        <v>121</v>
      </c>
      <c r="ALB23" s="15" t="s">
        <v>121</v>
      </c>
      <c r="ALC23" s="15" t="s">
        <v>121</v>
      </c>
      <c r="ALD23" s="15" t="s">
        <v>121</v>
      </c>
      <c r="ALE23" s="20" t="s">
        <v>121</v>
      </c>
      <c r="ALF23" s="20" t="s">
        <v>100</v>
      </c>
      <c r="ALG23" s="20" t="s">
        <v>100</v>
      </c>
      <c r="ALH23" s="20" t="s">
        <v>100</v>
      </c>
      <c r="ALI23" s="20" t="s">
        <v>100</v>
      </c>
      <c r="ALJ23" s="20" t="s">
        <v>100</v>
      </c>
      <c r="ALK23" s="20" t="s">
        <v>100</v>
      </c>
      <c r="ALL23" s="20" t="s">
        <v>100</v>
      </c>
      <c r="ALM23" s="15"/>
      <c r="ALN23" s="15" t="s">
        <v>121</v>
      </c>
      <c r="ALO23" s="15" t="s">
        <v>121</v>
      </c>
      <c r="ALP23" s="15" t="s">
        <v>121</v>
      </c>
      <c r="ALQ23" s="15" t="s">
        <v>121</v>
      </c>
      <c r="ALR23" s="15" t="s">
        <v>121</v>
      </c>
      <c r="ALS23" s="15" t="s">
        <v>121</v>
      </c>
      <c r="ALT23" s="20" t="s">
        <v>121</v>
      </c>
      <c r="ALU23" s="20" t="s">
        <v>121</v>
      </c>
      <c r="ALV23" s="20" t="s">
        <v>121</v>
      </c>
      <c r="ALW23" s="20" t="s">
        <v>121</v>
      </c>
      <c r="ALX23" s="20" t="s">
        <v>121</v>
      </c>
      <c r="ALY23" s="20" t="s">
        <v>121</v>
      </c>
      <c r="ALZ23" s="20" t="s">
        <v>121</v>
      </c>
      <c r="AMA23" s="20" t="s">
        <v>121</v>
      </c>
      <c r="AMB23" s="20" t="s">
        <v>121</v>
      </c>
      <c r="AMC23" s="15"/>
      <c r="AMD23" s="15" t="s">
        <v>121</v>
      </c>
      <c r="AME23" s="15" t="s">
        <v>121</v>
      </c>
      <c r="AMF23" s="15" t="s">
        <v>121</v>
      </c>
      <c r="AMG23" s="15" t="s">
        <v>121</v>
      </c>
      <c r="AMH23" s="15" t="s">
        <v>121</v>
      </c>
      <c r="AMI23" s="15" t="s">
        <v>121</v>
      </c>
      <c r="AMJ23" s="15" t="s">
        <v>121</v>
      </c>
      <c r="AMK23" s="15" t="s">
        <v>100</v>
      </c>
      <c r="AML23" s="15" t="s">
        <v>100</v>
      </c>
      <c r="AMM23" s="15" t="s">
        <v>121</v>
      </c>
      <c r="AMN23" s="15" t="s">
        <v>100</v>
      </c>
      <c r="AMO23" s="15" t="s">
        <v>100</v>
      </c>
      <c r="AMP23" s="15" t="s">
        <v>100</v>
      </c>
      <c r="AMQ23" s="15" t="s">
        <v>100</v>
      </c>
      <c r="AMR23" s="15" t="s">
        <v>100</v>
      </c>
      <c r="AMS23" s="15" t="s">
        <v>100</v>
      </c>
      <c r="AMT23" s="15" t="s">
        <v>100</v>
      </c>
      <c r="AMU23" s="15" t="s">
        <v>100</v>
      </c>
      <c r="AMV23" s="15" t="s">
        <v>100</v>
      </c>
      <c r="AMW23" s="15" t="s">
        <v>100</v>
      </c>
      <c r="AMX23" s="15" t="s">
        <v>100</v>
      </c>
      <c r="AMY23" s="15" t="s">
        <v>100</v>
      </c>
      <c r="AMZ23" s="15" t="s">
        <v>100</v>
      </c>
      <c r="ANA23" s="15" t="s">
        <v>100</v>
      </c>
      <c r="ANB23" s="15" t="s">
        <v>100</v>
      </c>
      <c r="ANC23" s="15" t="s">
        <v>100</v>
      </c>
      <c r="AND23" s="15" t="s">
        <v>100</v>
      </c>
      <c r="ANE23" s="15"/>
      <c r="ANF23" s="15"/>
      <c r="ANG23" s="15"/>
      <c r="ANH23" s="15"/>
      <c r="ANI23" s="15"/>
      <c r="ANJ23" s="15"/>
      <c r="ANK23" s="15"/>
      <c r="ANL23" s="15"/>
      <c r="ANM23" s="15"/>
      <c r="ANN23" s="15"/>
      <c r="ANO23" s="15"/>
      <c r="ANP23" s="15"/>
      <c r="ANQ23" s="15"/>
      <c r="ANR23" s="15"/>
      <c r="ANS23" s="15"/>
      <c r="ANT23" s="15"/>
      <c r="ANU23" s="15"/>
      <c r="ANV23" s="15"/>
      <c r="ANW23" s="15"/>
      <c r="ANX23" s="15"/>
      <c r="ANY23" s="15"/>
      <c r="ANZ23" s="15"/>
      <c r="AOA23" s="15"/>
      <c r="AOB23" s="15"/>
      <c r="AOC23" s="15"/>
      <c r="AOD23" s="15"/>
      <c r="AOE23" s="15"/>
      <c r="AOF23" s="15"/>
      <c r="AOG23" s="15"/>
      <c r="AOH23" s="15"/>
      <c r="AOI23" s="15"/>
      <c r="AOJ23" s="15"/>
      <c r="AOK23" s="15"/>
      <c r="AOL23" s="15"/>
      <c r="AOM23" s="15"/>
      <c r="AON23" s="15"/>
      <c r="AOO23" s="15"/>
      <c r="AOP23" s="15"/>
      <c r="AOQ23" s="15"/>
      <c r="AOR23" s="15"/>
      <c r="AOS23" s="15"/>
      <c r="AOT23" s="15"/>
      <c r="AOU23" s="15"/>
      <c r="AOV23" s="15"/>
      <c r="AOW23" s="15"/>
      <c r="AOX23" s="15"/>
      <c r="AOY23" s="15"/>
      <c r="AOZ23" s="15"/>
      <c r="APA23" s="15"/>
      <c r="APB23" s="15"/>
      <c r="APC23" s="15"/>
      <c r="APD23" s="15"/>
      <c r="APE23" s="15"/>
      <c r="APF23" s="15"/>
      <c r="APG23" s="15"/>
      <c r="APH23" s="15"/>
      <c r="API23" s="15"/>
      <c r="APJ23" s="15"/>
      <c r="APK23" s="15"/>
      <c r="APL23" s="15"/>
      <c r="APM23" s="15"/>
      <c r="APN23" s="15"/>
      <c r="APO23" s="15"/>
      <c r="APP23" s="15"/>
      <c r="APQ23" s="15"/>
      <c r="APR23" s="15"/>
      <c r="APS23" s="15"/>
      <c r="APT23" s="15"/>
      <c r="APU23" s="15"/>
      <c r="APV23" s="15"/>
      <c r="APW23" s="15"/>
      <c r="APX23" s="15"/>
      <c r="APY23" s="15"/>
      <c r="APZ23" s="15"/>
      <c r="AQA23" s="15"/>
      <c r="AQB23" s="15"/>
    </row>
    <row r="24" spans="1:1120" s="17" customFormat="1" ht="15" customHeight="1" x14ac:dyDescent="0.25">
      <c r="A24" s="3" t="s">
        <v>2</v>
      </c>
      <c r="B24" s="6" t="s">
        <v>29</v>
      </c>
      <c r="C24" s="15"/>
      <c r="D24" s="20" t="s">
        <v>98</v>
      </c>
      <c r="E24" s="20" t="s">
        <v>98</v>
      </c>
      <c r="F24" s="20" t="s">
        <v>98</v>
      </c>
      <c r="G24" s="20" t="s">
        <v>98</v>
      </c>
      <c r="H24" s="20" t="s">
        <v>98</v>
      </c>
      <c r="I24" s="20" t="s">
        <v>98</v>
      </c>
      <c r="J24" s="15"/>
      <c r="K24" s="20" t="s">
        <v>107</v>
      </c>
      <c r="L24" s="20" t="s">
        <v>107</v>
      </c>
      <c r="M24" s="20" t="s">
        <v>107</v>
      </c>
      <c r="N24" s="20" t="s">
        <v>107</v>
      </c>
      <c r="O24" s="20" t="s">
        <v>107</v>
      </c>
      <c r="P24" s="20" t="s">
        <v>107</v>
      </c>
      <c r="Q24" s="15"/>
      <c r="R24" s="20" t="s">
        <v>112</v>
      </c>
      <c r="S24" s="20" t="s">
        <v>112</v>
      </c>
      <c r="T24" s="20" t="s">
        <v>112</v>
      </c>
      <c r="U24" s="20" t="s">
        <v>112</v>
      </c>
      <c r="V24" s="20" t="s">
        <v>112</v>
      </c>
      <c r="W24" s="20" t="s">
        <v>112</v>
      </c>
      <c r="X24" s="15"/>
      <c r="Y24" s="20" t="s">
        <v>98</v>
      </c>
      <c r="Z24" s="20" t="s">
        <v>98</v>
      </c>
      <c r="AA24" s="20" t="s">
        <v>98</v>
      </c>
      <c r="AB24" s="20" t="s">
        <v>98</v>
      </c>
      <c r="AC24" s="20" t="s">
        <v>98</v>
      </c>
      <c r="AD24" s="20" t="s">
        <v>98</v>
      </c>
      <c r="AE24" s="15"/>
      <c r="AF24" s="20" t="s">
        <v>98</v>
      </c>
      <c r="AG24" s="20" t="s">
        <v>98</v>
      </c>
      <c r="AH24" s="20" t="s">
        <v>98</v>
      </c>
      <c r="AI24" s="20" t="s">
        <v>98</v>
      </c>
      <c r="AJ24" s="20" t="s">
        <v>98</v>
      </c>
      <c r="AK24" s="20" t="s">
        <v>98</v>
      </c>
      <c r="AL24" s="15"/>
      <c r="AM24" s="20" t="s">
        <v>111</v>
      </c>
      <c r="AN24" s="20" t="s">
        <v>111</v>
      </c>
      <c r="AO24" s="20" t="s">
        <v>111</v>
      </c>
      <c r="AP24" s="20" t="s">
        <v>111</v>
      </c>
      <c r="AQ24" s="20" t="s">
        <v>111</v>
      </c>
      <c r="AR24" s="20" t="s">
        <v>111</v>
      </c>
      <c r="AS24" s="20" t="s">
        <v>111</v>
      </c>
      <c r="AT24" s="20" t="s">
        <v>107</v>
      </c>
      <c r="AU24" s="20" t="s">
        <v>112</v>
      </c>
      <c r="AV24" s="20" t="s">
        <v>111</v>
      </c>
      <c r="AW24" s="20" t="s">
        <v>111</v>
      </c>
      <c r="AX24" s="20" t="s">
        <v>111</v>
      </c>
      <c r="AY24" s="20" t="s">
        <v>111</v>
      </c>
      <c r="AZ24" s="20" t="s">
        <v>111</v>
      </c>
      <c r="BA24" s="20" t="s">
        <v>111</v>
      </c>
      <c r="BB24" s="20" t="s">
        <v>111</v>
      </c>
      <c r="BC24" s="20" t="s">
        <v>111</v>
      </c>
      <c r="BD24" s="20" t="s">
        <v>111</v>
      </c>
      <c r="BE24" s="20" t="s">
        <v>111</v>
      </c>
      <c r="BF24" s="20" t="s">
        <v>111</v>
      </c>
      <c r="BG24" s="20" t="s">
        <v>111</v>
      </c>
      <c r="BH24" s="20" t="s">
        <v>111</v>
      </c>
      <c r="BI24" s="20" t="s">
        <v>111</v>
      </c>
      <c r="BJ24" s="20" t="s">
        <v>111</v>
      </c>
      <c r="BK24" s="20" t="s">
        <v>111</v>
      </c>
      <c r="BL24" s="20" t="s">
        <v>111</v>
      </c>
      <c r="BM24" s="20" t="s">
        <v>111</v>
      </c>
      <c r="BN24" s="20" t="s">
        <v>111</v>
      </c>
      <c r="BO24" s="20" t="s">
        <v>111</v>
      </c>
      <c r="BP24" s="20" t="s">
        <v>111</v>
      </c>
      <c r="BQ24" s="20" t="s">
        <v>111</v>
      </c>
      <c r="BR24" s="20" t="s">
        <v>111</v>
      </c>
      <c r="BS24" s="20" t="s">
        <v>111</v>
      </c>
      <c r="BT24" s="20" t="s">
        <v>111</v>
      </c>
      <c r="BU24" s="20" t="s">
        <v>111</v>
      </c>
      <c r="BV24" s="20" t="s">
        <v>111</v>
      </c>
      <c r="BW24" s="20" t="s">
        <v>111</v>
      </c>
      <c r="BX24" s="20" t="s">
        <v>111</v>
      </c>
      <c r="BY24" s="20" t="s">
        <v>111</v>
      </c>
      <c r="BZ24" s="20" t="s">
        <v>111</v>
      </c>
      <c r="CA24" s="20" t="s">
        <v>111</v>
      </c>
      <c r="CB24" s="20" t="s">
        <v>111</v>
      </c>
      <c r="CC24" s="20" t="s">
        <v>111</v>
      </c>
      <c r="CD24" s="20" t="s">
        <v>111</v>
      </c>
      <c r="CE24" s="20" t="s">
        <v>111</v>
      </c>
      <c r="CF24" s="20" t="s">
        <v>111</v>
      </c>
      <c r="CG24" s="20" t="s">
        <v>111</v>
      </c>
      <c r="CH24" s="20" t="s">
        <v>111</v>
      </c>
      <c r="CI24" s="20" t="s">
        <v>111</v>
      </c>
      <c r="CJ24" s="20" t="s">
        <v>111</v>
      </c>
      <c r="CK24" s="20" t="s">
        <v>111</v>
      </c>
      <c r="CL24" s="20" t="s">
        <v>111</v>
      </c>
      <c r="CM24" s="20" t="s">
        <v>111</v>
      </c>
      <c r="CN24" s="20" t="s">
        <v>111</v>
      </c>
      <c r="CO24" s="20" t="s">
        <v>111</v>
      </c>
      <c r="CP24" s="20" t="s">
        <v>111</v>
      </c>
      <c r="CQ24" s="20" t="s">
        <v>111</v>
      </c>
      <c r="CR24" s="20" t="s">
        <v>111</v>
      </c>
      <c r="CS24" s="20" t="s">
        <v>111</v>
      </c>
      <c r="CT24" s="20" t="s">
        <v>111</v>
      </c>
      <c r="CU24" s="20" t="s">
        <v>111</v>
      </c>
      <c r="CV24" s="20" t="s">
        <v>111</v>
      </c>
      <c r="CW24" s="20" t="s">
        <v>111</v>
      </c>
      <c r="CX24" s="20" t="s">
        <v>111</v>
      </c>
      <c r="CY24" s="20" t="s">
        <v>111</v>
      </c>
      <c r="CZ24" s="20" t="s">
        <v>111</v>
      </c>
      <c r="DA24" s="20" t="s">
        <v>111</v>
      </c>
      <c r="DB24" s="20" t="s">
        <v>111</v>
      </c>
      <c r="DC24" s="20" t="s">
        <v>111</v>
      </c>
      <c r="DD24" s="20" t="s">
        <v>111</v>
      </c>
      <c r="DE24" s="20" t="s">
        <v>111</v>
      </c>
      <c r="DF24" s="20" t="s">
        <v>111</v>
      </c>
      <c r="DG24" s="20" t="s">
        <v>111</v>
      </c>
      <c r="DH24" s="20" t="s">
        <v>111</v>
      </c>
      <c r="DI24" s="20" t="s">
        <v>111</v>
      </c>
      <c r="DJ24" s="20" t="s">
        <v>111</v>
      </c>
      <c r="DK24" s="20" t="s">
        <v>111</v>
      </c>
      <c r="DL24" s="20" t="s">
        <v>111</v>
      </c>
      <c r="DM24" s="20" t="s">
        <v>111</v>
      </c>
      <c r="DN24" s="20" t="s">
        <v>111</v>
      </c>
      <c r="DO24" s="20" t="s">
        <v>111</v>
      </c>
      <c r="DP24" s="20" t="s">
        <v>111</v>
      </c>
      <c r="DQ24" s="20" t="s">
        <v>111</v>
      </c>
      <c r="DR24" s="20" t="s">
        <v>111</v>
      </c>
      <c r="DS24" s="20" t="s">
        <v>111</v>
      </c>
      <c r="DT24" s="20" t="s">
        <v>111</v>
      </c>
      <c r="DU24" s="20" t="s">
        <v>111</v>
      </c>
      <c r="DV24" s="20" t="s">
        <v>111</v>
      </c>
      <c r="DW24" s="20" t="s">
        <v>111</v>
      </c>
      <c r="DX24" s="20" t="s">
        <v>111</v>
      </c>
      <c r="DY24" s="20" t="s">
        <v>111</v>
      </c>
      <c r="DZ24" s="20" t="s">
        <v>111</v>
      </c>
      <c r="EA24" s="20" t="s">
        <v>111</v>
      </c>
      <c r="EB24" s="20" t="s">
        <v>111</v>
      </c>
      <c r="EC24" s="20" t="s">
        <v>111</v>
      </c>
      <c r="ED24" s="20" t="s">
        <v>111</v>
      </c>
      <c r="EE24" s="20" t="s">
        <v>111</v>
      </c>
      <c r="EF24" s="20" t="s">
        <v>111</v>
      </c>
      <c r="EG24" s="20" t="s">
        <v>111</v>
      </c>
      <c r="EH24" s="20" t="s">
        <v>111</v>
      </c>
      <c r="EI24" s="20" t="s">
        <v>111</v>
      </c>
      <c r="EJ24" s="20" t="s">
        <v>111</v>
      </c>
      <c r="EK24" s="20" t="s">
        <v>111</v>
      </c>
      <c r="EL24" s="20" t="s">
        <v>111</v>
      </c>
      <c r="EM24" s="20" t="s">
        <v>111</v>
      </c>
      <c r="EN24" s="20" t="s">
        <v>111</v>
      </c>
      <c r="EO24" s="20" t="s">
        <v>111</v>
      </c>
      <c r="EP24" s="20" t="s">
        <v>111</v>
      </c>
      <c r="EQ24" s="20" t="s">
        <v>111</v>
      </c>
      <c r="ER24" s="20" t="s">
        <v>111</v>
      </c>
      <c r="ES24" s="20" t="s">
        <v>111</v>
      </c>
      <c r="ET24" s="20" t="s">
        <v>111</v>
      </c>
      <c r="EU24" s="20" t="s">
        <v>111</v>
      </c>
      <c r="EV24" s="20" t="s">
        <v>111</v>
      </c>
      <c r="EW24" s="20" t="s">
        <v>111</v>
      </c>
      <c r="EX24" s="20" t="s">
        <v>111</v>
      </c>
      <c r="EY24" s="20" t="s">
        <v>111</v>
      </c>
      <c r="EZ24" s="20" t="s">
        <v>111</v>
      </c>
      <c r="FA24" s="20" t="s">
        <v>111</v>
      </c>
      <c r="FB24" s="20" t="s">
        <v>111</v>
      </c>
      <c r="FC24" s="20" t="s">
        <v>98</v>
      </c>
      <c r="FD24" s="15"/>
      <c r="FE24" s="20" t="s">
        <v>107</v>
      </c>
      <c r="FF24" s="20" t="s">
        <v>107</v>
      </c>
      <c r="FG24" s="20" t="s">
        <v>107</v>
      </c>
      <c r="FH24" s="20" t="s">
        <v>107</v>
      </c>
      <c r="FI24" s="20" t="s">
        <v>107</v>
      </c>
      <c r="FJ24" s="20" t="s">
        <v>107</v>
      </c>
      <c r="FK24" s="20" t="s">
        <v>107</v>
      </c>
      <c r="FL24" s="20" t="s">
        <v>107</v>
      </c>
      <c r="FM24" s="15" t="s">
        <v>107</v>
      </c>
      <c r="FN24" s="15" t="s">
        <v>107</v>
      </c>
      <c r="FO24" s="15" t="s">
        <v>107</v>
      </c>
      <c r="FP24" s="15" t="s">
        <v>107</v>
      </c>
      <c r="FQ24" s="15" t="s">
        <v>107</v>
      </c>
      <c r="FR24" s="20" t="s">
        <v>107</v>
      </c>
      <c r="FS24" s="20" t="s">
        <v>107</v>
      </c>
      <c r="FT24" s="20" t="s">
        <v>107</v>
      </c>
      <c r="FU24" s="20" t="s">
        <v>107</v>
      </c>
      <c r="FV24" s="20" t="s">
        <v>107</v>
      </c>
      <c r="FW24" s="20" t="s">
        <v>107</v>
      </c>
      <c r="FX24" s="20" t="s">
        <v>107</v>
      </c>
      <c r="FY24" s="20" t="s">
        <v>107</v>
      </c>
      <c r="FZ24" s="20" t="s">
        <v>107</v>
      </c>
      <c r="GA24" s="20" t="s">
        <v>107</v>
      </c>
      <c r="GB24" s="20" t="s">
        <v>107</v>
      </c>
      <c r="GC24" s="20" t="s">
        <v>107</v>
      </c>
      <c r="GD24" s="20" t="s">
        <v>107</v>
      </c>
      <c r="GE24" s="20" t="s">
        <v>107</v>
      </c>
      <c r="GF24" s="20" t="s">
        <v>107</v>
      </c>
      <c r="GG24" s="20" t="s">
        <v>107</v>
      </c>
      <c r="GH24" s="20" t="s">
        <v>107</v>
      </c>
      <c r="GI24" s="20" t="s">
        <v>107</v>
      </c>
      <c r="GJ24" s="20" t="s">
        <v>107</v>
      </c>
      <c r="GK24" s="20" t="s">
        <v>107</v>
      </c>
      <c r="GL24" s="20" t="s">
        <v>107</v>
      </c>
      <c r="GM24" s="20" t="s">
        <v>107</v>
      </c>
      <c r="GN24" s="20" t="s">
        <v>107</v>
      </c>
      <c r="GO24" s="20" t="s">
        <v>107</v>
      </c>
      <c r="GP24" s="20" t="s">
        <v>107</v>
      </c>
      <c r="GQ24" s="20" t="s">
        <v>107</v>
      </c>
      <c r="GR24" s="20" t="s">
        <v>107</v>
      </c>
      <c r="GS24" s="20" t="s">
        <v>107</v>
      </c>
      <c r="GT24" s="20" t="s">
        <v>107</v>
      </c>
      <c r="GU24" s="20" t="s">
        <v>107</v>
      </c>
      <c r="GV24" s="20" t="s">
        <v>107</v>
      </c>
      <c r="GW24" s="20" t="s">
        <v>107</v>
      </c>
      <c r="GX24" s="20" t="s">
        <v>107</v>
      </c>
      <c r="GY24" s="20" t="s">
        <v>107</v>
      </c>
      <c r="GZ24" s="20" t="s">
        <v>107</v>
      </c>
      <c r="HA24" s="20" t="s">
        <v>107</v>
      </c>
      <c r="HB24" s="20" t="s">
        <v>107</v>
      </c>
      <c r="HC24" s="20" t="s">
        <v>107</v>
      </c>
      <c r="HD24" s="20" t="s">
        <v>107</v>
      </c>
      <c r="HE24" s="20" t="s">
        <v>107</v>
      </c>
      <c r="HF24" s="20" t="s">
        <v>107</v>
      </c>
      <c r="HG24" s="20" t="s">
        <v>107</v>
      </c>
      <c r="HH24" s="20" t="s">
        <v>107</v>
      </c>
      <c r="HI24" s="20" t="s">
        <v>107</v>
      </c>
      <c r="HJ24" s="20" t="s">
        <v>107</v>
      </c>
      <c r="HK24" s="20" t="s">
        <v>107</v>
      </c>
      <c r="HL24" s="20" t="s">
        <v>107</v>
      </c>
      <c r="HM24" s="20" t="s">
        <v>107</v>
      </c>
      <c r="HN24" s="20" t="s">
        <v>107</v>
      </c>
      <c r="HO24" s="20" t="s">
        <v>107</v>
      </c>
      <c r="HP24" s="20" t="s">
        <v>107</v>
      </c>
      <c r="HQ24" s="20" t="s">
        <v>107</v>
      </c>
      <c r="HR24" s="20" t="s">
        <v>107</v>
      </c>
      <c r="HS24" s="20" t="s">
        <v>107</v>
      </c>
      <c r="HT24" s="20" t="s">
        <v>107</v>
      </c>
      <c r="HU24" s="20" t="s">
        <v>107</v>
      </c>
      <c r="HV24" s="20" t="s">
        <v>107</v>
      </c>
      <c r="HW24" s="20" t="s">
        <v>107</v>
      </c>
      <c r="HX24" s="20" t="s">
        <v>107</v>
      </c>
      <c r="HY24" s="20" t="s">
        <v>107</v>
      </c>
      <c r="HZ24" s="20" t="s">
        <v>107</v>
      </c>
      <c r="IA24" s="20" t="s">
        <v>107</v>
      </c>
      <c r="IB24" s="15"/>
      <c r="IC24" s="20" t="s">
        <v>107</v>
      </c>
      <c r="ID24" s="20" t="s">
        <v>107</v>
      </c>
      <c r="IE24" s="20" t="s">
        <v>107</v>
      </c>
      <c r="IF24" s="20" t="s">
        <v>107</v>
      </c>
      <c r="IG24" s="20" t="s">
        <v>107</v>
      </c>
      <c r="IH24" s="20" t="s">
        <v>107</v>
      </c>
      <c r="II24" s="20" t="s">
        <v>107</v>
      </c>
      <c r="IJ24" s="20" t="s">
        <v>98</v>
      </c>
      <c r="IK24" s="15"/>
      <c r="IL24" s="20" t="s">
        <v>107</v>
      </c>
      <c r="IM24" s="20" t="s">
        <v>107</v>
      </c>
      <c r="IN24" s="20" t="s">
        <v>107</v>
      </c>
      <c r="IO24" s="20" t="s">
        <v>107</v>
      </c>
      <c r="IP24" s="20" t="s">
        <v>107</v>
      </c>
      <c r="IQ24" s="20" t="s">
        <v>107</v>
      </c>
      <c r="IR24" s="20" t="s">
        <v>107</v>
      </c>
      <c r="IS24" s="20" t="s">
        <v>98</v>
      </c>
      <c r="IT24" s="20" t="s">
        <v>107</v>
      </c>
      <c r="IU24" s="20" t="s">
        <v>112</v>
      </c>
      <c r="IV24" s="20" t="s">
        <v>112</v>
      </c>
      <c r="IW24" s="20" t="s">
        <v>112</v>
      </c>
      <c r="IX24" s="20" t="s">
        <v>112</v>
      </c>
      <c r="IY24" s="20" t="s">
        <v>112</v>
      </c>
      <c r="IZ24" s="20" t="s">
        <v>112</v>
      </c>
      <c r="JA24" s="20" t="s">
        <v>112</v>
      </c>
      <c r="JB24" s="20" t="s">
        <v>112</v>
      </c>
      <c r="JC24" s="20" t="s">
        <v>112</v>
      </c>
      <c r="JD24" s="20" t="s">
        <v>112</v>
      </c>
      <c r="JE24" s="20" t="s">
        <v>112</v>
      </c>
      <c r="JF24" s="20" t="s">
        <v>112</v>
      </c>
      <c r="JG24" s="20" t="s">
        <v>112</v>
      </c>
      <c r="JH24" s="20" t="s">
        <v>107</v>
      </c>
      <c r="JI24" s="20" t="s">
        <v>107</v>
      </c>
      <c r="JJ24" s="20" t="s">
        <v>107</v>
      </c>
      <c r="JK24" s="20" t="s">
        <v>107</v>
      </c>
      <c r="JL24" s="20" t="s">
        <v>107</v>
      </c>
      <c r="JM24" s="20" t="s">
        <v>107</v>
      </c>
      <c r="JN24" s="20" t="s">
        <v>107</v>
      </c>
      <c r="JO24" s="20" t="s">
        <v>107</v>
      </c>
      <c r="JP24" s="20" t="s">
        <v>107</v>
      </c>
      <c r="JQ24" s="20" t="s">
        <v>107</v>
      </c>
      <c r="JR24" s="20" t="s">
        <v>107</v>
      </c>
      <c r="JS24" s="20" t="s">
        <v>107</v>
      </c>
      <c r="JT24" s="20" t="s">
        <v>107</v>
      </c>
      <c r="JU24" s="20" t="s">
        <v>107</v>
      </c>
      <c r="JV24" s="20" t="s">
        <v>107</v>
      </c>
      <c r="JW24" s="20" t="s">
        <v>107</v>
      </c>
      <c r="JX24" s="20" t="s">
        <v>107</v>
      </c>
      <c r="JY24" s="20" t="s">
        <v>107</v>
      </c>
      <c r="JZ24" s="20" t="s">
        <v>107</v>
      </c>
      <c r="KA24" s="20" t="s">
        <v>107</v>
      </c>
      <c r="KB24" s="20" t="s">
        <v>107</v>
      </c>
      <c r="KC24" s="20" t="s">
        <v>107</v>
      </c>
      <c r="KD24" s="20" t="s">
        <v>107</v>
      </c>
      <c r="KE24" s="20" t="s">
        <v>107</v>
      </c>
      <c r="KF24" s="20" t="s">
        <v>107</v>
      </c>
      <c r="KG24" s="20" t="s">
        <v>107</v>
      </c>
      <c r="KH24" s="20" t="s">
        <v>107</v>
      </c>
      <c r="KI24" s="20" t="s">
        <v>107</v>
      </c>
      <c r="KJ24" s="20" t="s">
        <v>107</v>
      </c>
      <c r="KK24" s="20" t="s">
        <v>107</v>
      </c>
      <c r="KL24" s="20" t="s">
        <v>107</v>
      </c>
      <c r="KM24" s="20" t="s">
        <v>107</v>
      </c>
      <c r="KN24" s="20" t="s">
        <v>107</v>
      </c>
      <c r="KO24" s="20" t="s">
        <v>107</v>
      </c>
      <c r="KP24" s="20" t="s">
        <v>107</v>
      </c>
      <c r="KQ24" s="20" t="s">
        <v>107</v>
      </c>
      <c r="KR24" s="20" t="s">
        <v>107</v>
      </c>
      <c r="KS24" s="20" t="s">
        <v>107</v>
      </c>
      <c r="KT24" s="20" t="s">
        <v>107</v>
      </c>
      <c r="KU24" s="20" t="s">
        <v>107</v>
      </c>
      <c r="KV24" s="20" t="s">
        <v>107</v>
      </c>
      <c r="KW24" s="20" t="s">
        <v>107</v>
      </c>
      <c r="KX24" s="20" t="s">
        <v>107</v>
      </c>
      <c r="KY24" s="20" t="s">
        <v>107</v>
      </c>
      <c r="KZ24" s="20" t="s">
        <v>107</v>
      </c>
      <c r="LA24" s="20" t="s">
        <v>107</v>
      </c>
      <c r="LB24" s="20" t="s">
        <v>107</v>
      </c>
      <c r="LC24" s="20" t="s">
        <v>107</v>
      </c>
      <c r="LD24" s="20" t="s">
        <v>107</v>
      </c>
      <c r="LE24" s="20" t="s">
        <v>107</v>
      </c>
      <c r="LF24" s="20" t="s">
        <v>107</v>
      </c>
      <c r="LG24" s="20" t="s">
        <v>107</v>
      </c>
      <c r="LH24" s="20" t="s">
        <v>107</v>
      </c>
      <c r="LI24" s="20" t="s">
        <v>107</v>
      </c>
      <c r="LJ24" s="20" t="s">
        <v>107</v>
      </c>
      <c r="LK24" s="20" t="s">
        <v>107</v>
      </c>
      <c r="LL24" s="20" t="s">
        <v>107</v>
      </c>
      <c r="LM24" s="20" t="s">
        <v>107</v>
      </c>
      <c r="LN24" s="20" t="s">
        <v>107</v>
      </c>
      <c r="LO24" s="20" t="s">
        <v>107</v>
      </c>
      <c r="LP24" s="20" t="s">
        <v>107</v>
      </c>
      <c r="LQ24" s="20" t="s">
        <v>107</v>
      </c>
      <c r="LR24" s="20" t="s">
        <v>107</v>
      </c>
      <c r="LS24" s="20" t="s">
        <v>107</v>
      </c>
      <c r="LT24" s="20" t="s">
        <v>107</v>
      </c>
      <c r="LU24" s="20" t="s">
        <v>107</v>
      </c>
      <c r="LV24" s="20" t="s">
        <v>107</v>
      </c>
      <c r="LW24" s="20" t="s">
        <v>107</v>
      </c>
      <c r="LX24" s="20" t="s">
        <v>107</v>
      </c>
      <c r="LY24" s="20" t="s">
        <v>107</v>
      </c>
      <c r="LZ24" s="20" t="s">
        <v>107</v>
      </c>
      <c r="MA24" s="20" t="s">
        <v>107</v>
      </c>
      <c r="MB24" s="20" t="s">
        <v>107</v>
      </c>
      <c r="MC24" s="20" t="s">
        <v>107</v>
      </c>
      <c r="MD24" s="20" t="s">
        <v>107</v>
      </c>
      <c r="ME24" s="20" t="s">
        <v>107</v>
      </c>
      <c r="MF24" s="20" t="s">
        <v>107</v>
      </c>
      <c r="MG24" s="20" t="s">
        <v>107</v>
      </c>
      <c r="MH24" s="20" t="s">
        <v>107</v>
      </c>
      <c r="MI24" s="20" t="s">
        <v>107</v>
      </c>
      <c r="MJ24" s="20" t="s">
        <v>107</v>
      </c>
      <c r="MK24" s="20" t="s">
        <v>107</v>
      </c>
      <c r="ML24" s="20" t="s">
        <v>107</v>
      </c>
      <c r="MM24" s="20" t="s">
        <v>107</v>
      </c>
      <c r="MN24" s="20" t="s">
        <v>107</v>
      </c>
      <c r="MO24" s="20" t="s">
        <v>107</v>
      </c>
      <c r="MP24" s="20" t="s">
        <v>107</v>
      </c>
      <c r="MQ24" s="20" t="s">
        <v>107</v>
      </c>
      <c r="MR24" s="20" t="s">
        <v>107</v>
      </c>
      <c r="MS24" s="20" t="s">
        <v>107</v>
      </c>
      <c r="MT24" s="20" t="s">
        <v>107</v>
      </c>
      <c r="MU24" s="20" t="s">
        <v>107</v>
      </c>
      <c r="MV24" s="20" t="s">
        <v>107</v>
      </c>
      <c r="MW24" s="20" t="s">
        <v>107</v>
      </c>
      <c r="MX24" s="20" t="s">
        <v>107</v>
      </c>
      <c r="MY24" s="20" t="s">
        <v>107</v>
      </c>
      <c r="MZ24" s="20" t="s">
        <v>107</v>
      </c>
      <c r="NA24" s="20" t="s">
        <v>107</v>
      </c>
      <c r="NB24" s="20" t="s">
        <v>107</v>
      </c>
      <c r="NC24" s="20" t="s">
        <v>107</v>
      </c>
      <c r="ND24" s="20" t="s">
        <v>107</v>
      </c>
      <c r="NE24" s="20" t="s">
        <v>107</v>
      </c>
      <c r="NF24" s="20" t="s">
        <v>107</v>
      </c>
      <c r="NG24" s="20" t="s">
        <v>107</v>
      </c>
      <c r="NH24" s="20" t="s">
        <v>107</v>
      </c>
      <c r="NI24" s="20" t="s">
        <v>107</v>
      </c>
      <c r="NJ24" s="20" t="s">
        <v>107</v>
      </c>
      <c r="NK24" s="20" t="s">
        <v>107</v>
      </c>
      <c r="NL24" s="20" t="s">
        <v>107</v>
      </c>
      <c r="NM24" s="20" t="s">
        <v>107</v>
      </c>
      <c r="NN24" s="20" t="s">
        <v>107</v>
      </c>
      <c r="NO24" s="20" t="s">
        <v>107</v>
      </c>
      <c r="NP24" s="20" t="s">
        <v>107</v>
      </c>
      <c r="NQ24" s="20" t="s">
        <v>107</v>
      </c>
      <c r="NR24" s="20" t="s">
        <v>107</v>
      </c>
      <c r="NS24" s="20" t="s">
        <v>107</v>
      </c>
      <c r="NT24" s="20" t="s">
        <v>98</v>
      </c>
      <c r="NU24" s="20" t="s">
        <v>98</v>
      </c>
      <c r="NV24" s="20" t="s">
        <v>98</v>
      </c>
      <c r="NW24" s="20" t="s">
        <v>98</v>
      </c>
      <c r="NX24" s="20" t="s">
        <v>107</v>
      </c>
      <c r="NY24" s="20" t="s">
        <v>111</v>
      </c>
      <c r="NZ24" s="20" t="s">
        <v>112</v>
      </c>
      <c r="OA24" s="15" t="s">
        <v>107</v>
      </c>
      <c r="OB24" s="15" t="s">
        <v>107</v>
      </c>
      <c r="OC24" s="15" t="s">
        <v>107</v>
      </c>
      <c r="OD24" s="15" t="s">
        <v>107</v>
      </c>
      <c r="OE24" s="15" t="s">
        <v>107</v>
      </c>
      <c r="OF24" s="15" t="s">
        <v>107</v>
      </c>
      <c r="OG24" s="15" t="s">
        <v>107</v>
      </c>
      <c r="OH24" s="15" t="s">
        <v>107</v>
      </c>
      <c r="OI24" s="15" t="s">
        <v>107</v>
      </c>
      <c r="OJ24" s="15" t="s">
        <v>107</v>
      </c>
      <c r="OK24" s="15" t="s">
        <v>107</v>
      </c>
      <c r="OL24" s="15" t="s">
        <v>107</v>
      </c>
      <c r="OM24" s="15" t="s">
        <v>107</v>
      </c>
      <c r="ON24" s="15" t="s">
        <v>107</v>
      </c>
      <c r="OO24" s="15" t="s">
        <v>107</v>
      </c>
      <c r="OP24" s="15" t="s">
        <v>107</v>
      </c>
      <c r="OQ24" s="15" t="s">
        <v>107</v>
      </c>
      <c r="OR24" s="15" t="s">
        <v>107</v>
      </c>
      <c r="OS24" s="15" t="s">
        <v>107</v>
      </c>
      <c r="OT24" s="15" t="s">
        <v>107</v>
      </c>
      <c r="OU24" s="15" t="s">
        <v>107</v>
      </c>
      <c r="OV24" s="15" t="s">
        <v>107</v>
      </c>
      <c r="OW24" s="15" t="s">
        <v>107</v>
      </c>
      <c r="OX24" s="15" t="s">
        <v>107</v>
      </c>
      <c r="OY24" s="15" t="s">
        <v>107</v>
      </c>
      <c r="OZ24" s="15" t="s">
        <v>107</v>
      </c>
      <c r="PA24" s="15" t="s">
        <v>107</v>
      </c>
      <c r="PB24" s="15" t="s">
        <v>107</v>
      </c>
      <c r="PC24" s="15" t="s">
        <v>107</v>
      </c>
      <c r="PD24" s="15" t="s">
        <v>107</v>
      </c>
      <c r="PE24" s="15" t="s">
        <v>107</v>
      </c>
      <c r="PF24" s="15" t="s">
        <v>107</v>
      </c>
      <c r="PG24" s="15" t="s">
        <v>107</v>
      </c>
      <c r="PH24" s="15" t="s">
        <v>107</v>
      </c>
      <c r="PI24" s="15" t="s">
        <v>107</v>
      </c>
      <c r="PJ24" s="15" t="s">
        <v>107</v>
      </c>
      <c r="PK24" s="15" t="s">
        <v>107</v>
      </c>
      <c r="PL24" s="15" t="s">
        <v>107</v>
      </c>
      <c r="PM24" s="15" t="s">
        <v>107</v>
      </c>
      <c r="PN24" s="15" t="s">
        <v>107</v>
      </c>
      <c r="PO24" s="15" t="s">
        <v>107</v>
      </c>
      <c r="PP24" s="15" t="s">
        <v>107</v>
      </c>
      <c r="PQ24" s="15" t="s">
        <v>107</v>
      </c>
      <c r="PR24" s="15" t="s">
        <v>107</v>
      </c>
      <c r="PS24" s="15" t="s">
        <v>107</v>
      </c>
      <c r="PT24" s="15" t="s">
        <v>107</v>
      </c>
      <c r="PU24" s="15" t="s">
        <v>107</v>
      </c>
      <c r="PV24" s="15" t="s">
        <v>107</v>
      </c>
      <c r="PW24" s="15" t="s">
        <v>107</v>
      </c>
      <c r="PX24" s="15" t="s">
        <v>107</v>
      </c>
      <c r="PY24" s="15" t="s">
        <v>107</v>
      </c>
      <c r="PZ24" s="15" t="s">
        <v>107</v>
      </c>
      <c r="QA24" s="15" t="s">
        <v>107</v>
      </c>
      <c r="QB24" s="15" t="s">
        <v>107</v>
      </c>
      <c r="QC24" s="15" t="s">
        <v>107</v>
      </c>
      <c r="QD24" s="15" t="s">
        <v>107</v>
      </c>
      <c r="QE24" s="15" t="s">
        <v>107</v>
      </c>
      <c r="QF24" s="15" t="s">
        <v>107</v>
      </c>
      <c r="QG24" s="15" t="s">
        <v>107</v>
      </c>
      <c r="QH24" s="15" t="s">
        <v>107</v>
      </c>
      <c r="QI24" s="15" t="s">
        <v>107</v>
      </c>
      <c r="QJ24" s="15" t="s">
        <v>107</v>
      </c>
      <c r="QK24" s="15" t="s">
        <v>107</v>
      </c>
      <c r="QL24" s="15" t="s">
        <v>107</v>
      </c>
      <c r="QM24" s="15" t="s">
        <v>107</v>
      </c>
      <c r="QN24" s="15" t="s">
        <v>107</v>
      </c>
      <c r="QO24" s="15" t="s">
        <v>107</v>
      </c>
      <c r="QP24" s="15" t="s">
        <v>107</v>
      </c>
      <c r="QQ24" s="15" t="s">
        <v>107</v>
      </c>
      <c r="QR24" s="15" t="s">
        <v>107</v>
      </c>
      <c r="QS24" s="15" t="s">
        <v>107</v>
      </c>
      <c r="QT24" s="15" t="s">
        <v>107</v>
      </c>
      <c r="QU24" s="15" t="s">
        <v>107</v>
      </c>
      <c r="QV24" s="15" t="s">
        <v>107</v>
      </c>
      <c r="QW24" s="15" t="s">
        <v>107</v>
      </c>
      <c r="QX24" s="15" t="s">
        <v>107</v>
      </c>
      <c r="QY24" s="15" t="s">
        <v>107</v>
      </c>
      <c r="QZ24" s="15" t="s">
        <v>107</v>
      </c>
      <c r="RA24" s="15" t="s">
        <v>107</v>
      </c>
      <c r="RB24" s="15" t="s">
        <v>107</v>
      </c>
      <c r="RC24" s="15" t="s">
        <v>107</v>
      </c>
      <c r="RD24" s="15" t="s">
        <v>107</v>
      </c>
      <c r="RE24" s="15" t="s">
        <v>107</v>
      </c>
      <c r="RF24" s="15" t="s">
        <v>107</v>
      </c>
      <c r="RG24" s="15" t="s">
        <v>107</v>
      </c>
      <c r="RH24" s="15" t="s">
        <v>107</v>
      </c>
      <c r="RI24" s="15" t="s">
        <v>107</v>
      </c>
      <c r="RJ24" s="15" t="s">
        <v>107</v>
      </c>
      <c r="RK24" s="15" t="s">
        <v>107</v>
      </c>
      <c r="RL24" s="15" t="s">
        <v>107</v>
      </c>
      <c r="RM24" s="15" t="s">
        <v>107</v>
      </c>
      <c r="RN24" s="15" t="s">
        <v>107</v>
      </c>
      <c r="RO24" s="15" t="s">
        <v>107</v>
      </c>
      <c r="RP24" s="15" t="s">
        <v>107</v>
      </c>
      <c r="RQ24" s="15" t="s">
        <v>107</v>
      </c>
      <c r="RR24" s="20" t="s">
        <v>98</v>
      </c>
      <c r="RS24" s="15"/>
      <c r="RT24" s="20" t="s">
        <v>107</v>
      </c>
      <c r="RU24" s="20" t="s">
        <v>107</v>
      </c>
      <c r="RV24" s="20" t="s">
        <v>107</v>
      </c>
      <c r="RW24" s="20" t="s">
        <v>107</v>
      </c>
      <c r="RX24" s="20" t="s">
        <v>107</v>
      </c>
      <c r="RY24" s="20" t="s">
        <v>107</v>
      </c>
      <c r="RZ24" s="20" t="s">
        <v>107</v>
      </c>
      <c r="SA24" s="20" t="s">
        <v>107</v>
      </c>
      <c r="SB24" s="20" t="s">
        <v>107</v>
      </c>
      <c r="SC24" s="20" t="s">
        <v>98</v>
      </c>
      <c r="SD24" s="20" t="s">
        <v>98</v>
      </c>
      <c r="SE24" s="20" t="s">
        <v>98</v>
      </c>
      <c r="SF24" s="20" t="s">
        <v>98</v>
      </c>
      <c r="SG24" s="20" t="s">
        <v>107</v>
      </c>
      <c r="SH24" s="20" t="s">
        <v>111</v>
      </c>
      <c r="SI24" s="20" t="s">
        <v>112</v>
      </c>
      <c r="SJ24" s="15" t="s">
        <v>107</v>
      </c>
      <c r="SK24" s="15" t="s">
        <v>107</v>
      </c>
      <c r="SL24" s="15" t="s">
        <v>107</v>
      </c>
      <c r="SM24" s="15" t="s">
        <v>107</v>
      </c>
      <c r="SN24" s="15" t="s">
        <v>107</v>
      </c>
      <c r="SO24" s="15" t="s">
        <v>107</v>
      </c>
      <c r="SP24" s="15" t="s">
        <v>107</v>
      </c>
      <c r="SQ24" s="15" t="s">
        <v>107</v>
      </c>
      <c r="SR24" s="15" t="s">
        <v>107</v>
      </c>
      <c r="SS24" s="15" t="s">
        <v>107</v>
      </c>
      <c r="ST24" s="15" t="s">
        <v>107</v>
      </c>
      <c r="SU24" s="15" t="s">
        <v>107</v>
      </c>
      <c r="SV24" s="15" t="s">
        <v>107</v>
      </c>
      <c r="SW24" s="15" t="s">
        <v>107</v>
      </c>
      <c r="SX24" s="15" t="s">
        <v>107</v>
      </c>
      <c r="SY24" s="15" t="s">
        <v>107</v>
      </c>
      <c r="SZ24" s="15" t="s">
        <v>107</v>
      </c>
      <c r="TA24" s="15" t="s">
        <v>107</v>
      </c>
      <c r="TB24" s="15" t="s">
        <v>107</v>
      </c>
      <c r="TC24" s="15" t="s">
        <v>107</v>
      </c>
      <c r="TD24" s="15" t="s">
        <v>107</v>
      </c>
      <c r="TE24" s="15" t="s">
        <v>107</v>
      </c>
      <c r="TF24" s="15" t="s">
        <v>107</v>
      </c>
      <c r="TG24" s="15" t="s">
        <v>107</v>
      </c>
      <c r="TH24" s="15" t="s">
        <v>107</v>
      </c>
      <c r="TI24" s="15" t="s">
        <v>107</v>
      </c>
      <c r="TJ24" s="15" t="s">
        <v>107</v>
      </c>
      <c r="TK24" s="15" t="s">
        <v>107</v>
      </c>
      <c r="TL24" s="15" t="s">
        <v>107</v>
      </c>
      <c r="TM24" s="15" t="s">
        <v>107</v>
      </c>
      <c r="TN24" s="15" t="s">
        <v>107</v>
      </c>
      <c r="TO24" s="15" t="s">
        <v>107</v>
      </c>
      <c r="TP24" s="15" t="s">
        <v>107</v>
      </c>
      <c r="TQ24" s="15" t="s">
        <v>107</v>
      </c>
      <c r="TR24" s="15" t="s">
        <v>107</v>
      </c>
      <c r="TS24" s="15" t="s">
        <v>107</v>
      </c>
      <c r="TT24" s="15" t="s">
        <v>107</v>
      </c>
      <c r="TU24" s="15" t="s">
        <v>107</v>
      </c>
      <c r="TV24" s="15" t="s">
        <v>107</v>
      </c>
      <c r="TW24" s="15" t="s">
        <v>107</v>
      </c>
      <c r="TX24" s="15" t="s">
        <v>107</v>
      </c>
      <c r="TY24" s="15" t="s">
        <v>107</v>
      </c>
      <c r="TZ24" s="15" t="s">
        <v>107</v>
      </c>
      <c r="UA24" s="15" t="s">
        <v>107</v>
      </c>
      <c r="UB24" s="15" t="s">
        <v>107</v>
      </c>
      <c r="UC24" s="15" t="s">
        <v>107</v>
      </c>
      <c r="UD24" s="15" t="s">
        <v>107</v>
      </c>
      <c r="UE24" s="15" t="s">
        <v>107</v>
      </c>
      <c r="UF24" s="15" t="s">
        <v>107</v>
      </c>
      <c r="UG24" s="15" t="s">
        <v>107</v>
      </c>
      <c r="UH24" s="15" t="s">
        <v>107</v>
      </c>
      <c r="UI24" s="15" t="s">
        <v>107</v>
      </c>
      <c r="UJ24" s="15" t="s">
        <v>107</v>
      </c>
      <c r="UK24" s="15" t="s">
        <v>107</v>
      </c>
      <c r="UL24" s="15" t="s">
        <v>107</v>
      </c>
      <c r="UM24" s="15" t="s">
        <v>107</v>
      </c>
      <c r="UN24" s="15" t="s">
        <v>107</v>
      </c>
      <c r="UO24" s="15" t="s">
        <v>107</v>
      </c>
      <c r="UP24" s="15" t="s">
        <v>107</v>
      </c>
      <c r="UQ24" s="15" t="s">
        <v>107</v>
      </c>
      <c r="UR24" s="15" t="s">
        <v>107</v>
      </c>
      <c r="US24" s="15" t="s">
        <v>107</v>
      </c>
      <c r="UT24" s="15" t="s">
        <v>107</v>
      </c>
      <c r="UU24" s="15" t="s">
        <v>107</v>
      </c>
      <c r="UV24" s="15" t="s">
        <v>107</v>
      </c>
      <c r="UW24" s="15" t="s">
        <v>107</v>
      </c>
      <c r="UX24" s="15" t="s">
        <v>107</v>
      </c>
      <c r="UY24" s="15" t="s">
        <v>107</v>
      </c>
      <c r="UZ24" s="15" t="s">
        <v>107</v>
      </c>
      <c r="VA24" s="15" t="s">
        <v>107</v>
      </c>
      <c r="VB24" s="15" t="s">
        <v>107</v>
      </c>
      <c r="VC24" s="15" t="s">
        <v>107</v>
      </c>
      <c r="VD24" s="15" t="s">
        <v>107</v>
      </c>
      <c r="VE24" s="15" t="s">
        <v>107</v>
      </c>
      <c r="VF24" s="15" t="s">
        <v>107</v>
      </c>
      <c r="VG24" s="15" t="s">
        <v>107</v>
      </c>
      <c r="VH24" s="15" t="s">
        <v>107</v>
      </c>
      <c r="VI24" s="15" t="s">
        <v>107</v>
      </c>
      <c r="VJ24" s="15" t="s">
        <v>107</v>
      </c>
      <c r="VK24" s="15" t="s">
        <v>107</v>
      </c>
      <c r="VL24" s="15" t="s">
        <v>107</v>
      </c>
      <c r="VM24" s="15" t="s">
        <v>107</v>
      </c>
      <c r="VN24" s="15" t="s">
        <v>107</v>
      </c>
      <c r="VO24" s="15" t="s">
        <v>107</v>
      </c>
      <c r="VP24" s="15" t="s">
        <v>107</v>
      </c>
      <c r="VQ24" s="15" t="s">
        <v>107</v>
      </c>
      <c r="VR24" s="15" t="s">
        <v>107</v>
      </c>
      <c r="VS24" s="15" t="s">
        <v>107</v>
      </c>
      <c r="VT24" s="15" t="s">
        <v>107</v>
      </c>
      <c r="VU24" s="15" t="s">
        <v>107</v>
      </c>
      <c r="VV24" s="15" t="s">
        <v>107</v>
      </c>
      <c r="VW24" s="15" t="s">
        <v>107</v>
      </c>
      <c r="VX24" s="15" t="s">
        <v>107</v>
      </c>
      <c r="VY24" s="15" t="s">
        <v>107</v>
      </c>
      <c r="VZ24" s="15" t="s">
        <v>107</v>
      </c>
      <c r="WA24" s="15" t="s">
        <v>107</v>
      </c>
      <c r="WB24" s="15" t="s">
        <v>107</v>
      </c>
      <c r="WC24" s="15" t="s">
        <v>107</v>
      </c>
      <c r="WD24" s="15" t="s">
        <v>107</v>
      </c>
      <c r="WE24" s="20" t="s">
        <v>98</v>
      </c>
      <c r="WF24" s="20" t="s">
        <v>98</v>
      </c>
      <c r="WG24" s="20" t="s">
        <v>98</v>
      </c>
      <c r="WH24" s="20" t="s">
        <v>98</v>
      </c>
      <c r="WI24" s="20" t="s">
        <v>107</v>
      </c>
      <c r="WJ24" s="20" t="s">
        <v>112</v>
      </c>
      <c r="WK24" s="15" t="s">
        <v>107</v>
      </c>
      <c r="WL24" s="15" t="s">
        <v>107</v>
      </c>
      <c r="WM24" s="15" t="s">
        <v>107</v>
      </c>
      <c r="WN24" s="15" t="s">
        <v>107</v>
      </c>
      <c r="WO24" s="15" t="s">
        <v>107</v>
      </c>
      <c r="WP24" s="15" t="s">
        <v>107</v>
      </c>
      <c r="WQ24" s="15" t="s">
        <v>107</v>
      </c>
      <c r="WR24" s="15" t="s">
        <v>107</v>
      </c>
      <c r="WS24" s="15" t="s">
        <v>107</v>
      </c>
      <c r="WT24" s="15" t="s">
        <v>107</v>
      </c>
      <c r="WU24" s="15" t="s">
        <v>107</v>
      </c>
      <c r="WV24" s="15" t="s">
        <v>107</v>
      </c>
      <c r="WW24" s="15" t="s">
        <v>107</v>
      </c>
      <c r="WX24" s="15" t="s">
        <v>107</v>
      </c>
      <c r="WY24" s="15" t="s">
        <v>107</v>
      </c>
      <c r="WZ24" s="15" t="s">
        <v>107</v>
      </c>
      <c r="XA24" s="15" t="s">
        <v>107</v>
      </c>
      <c r="XB24" s="15" t="s">
        <v>107</v>
      </c>
      <c r="XC24" s="15" t="s">
        <v>107</v>
      </c>
      <c r="XD24" s="15" t="s">
        <v>107</v>
      </c>
      <c r="XE24" s="15" t="s">
        <v>107</v>
      </c>
      <c r="XF24" s="15" t="s">
        <v>107</v>
      </c>
      <c r="XG24" s="15" t="s">
        <v>107</v>
      </c>
      <c r="XH24" s="15" t="s">
        <v>107</v>
      </c>
      <c r="XI24" s="15" t="s">
        <v>107</v>
      </c>
      <c r="XJ24" s="15" t="s">
        <v>107</v>
      </c>
      <c r="XK24" s="15" t="s">
        <v>107</v>
      </c>
      <c r="XL24" s="15" t="s">
        <v>107</v>
      </c>
      <c r="XM24" s="15" t="s">
        <v>107</v>
      </c>
      <c r="XN24" s="15" t="s">
        <v>107</v>
      </c>
      <c r="XO24" s="15" t="s">
        <v>107</v>
      </c>
      <c r="XP24" s="15" t="s">
        <v>107</v>
      </c>
      <c r="XQ24" s="15" t="s">
        <v>107</v>
      </c>
      <c r="XR24" s="15" t="s">
        <v>107</v>
      </c>
      <c r="XS24" s="15" t="s">
        <v>107</v>
      </c>
      <c r="XT24" s="15" t="s">
        <v>107</v>
      </c>
      <c r="XU24" s="15" t="s">
        <v>107</v>
      </c>
      <c r="XV24" s="15" t="s">
        <v>107</v>
      </c>
      <c r="XW24" s="15" t="s">
        <v>107</v>
      </c>
      <c r="XX24" s="15" t="s">
        <v>107</v>
      </c>
      <c r="XY24" s="15" t="s">
        <v>107</v>
      </c>
      <c r="XZ24" s="15" t="s">
        <v>107</v>
      </c>
      <c r="YA24" s="15" t="s">
        <v>107</v>
      </c>
      <c r="YB24" s="15" t="s">
        <v>107</v>
      </c>
      <c r="YC24" s="15" t="s">
        <v>107</v>
      </c>
      <c r="YD24" s="15" t="s">
        <v>107</v>
      </c>
      <c r="YE24" s="15" t="s">
        <v>107</v>
      </c>
      <c r="YF24" s="15" t="s">
        <v>107</v>
      </c>
      <c r="YG24" s="15" t="s">
        <v>107</v>
      </c>
      <c r="YH24" s="15" t="s">
        <v>107</v>
      </c>
      <c r="YI24" s="15" t="s">
        <v>107</v>
      </c>
      <c r="YJ24" s="15" t="s">
        <v>107</v>
      </c>
      <c r="YK24" s="15" t="s">
        <v>107</v>
      </c>
      <c r="YL24" s="15" t="s">
        <v>107</v>
      </c>
      <c r="YM24" s="15" t="s">
        <v>107</v>
      </c>
      <c r="YN24" s="15" t="s">
        <v>107</v>
      </c>
      <c r="YO24" s="15" t="s">
        <v>107</v>
      </c>
      <c r="YP24" s="15" t="s">
        <v>107</v>
      </c>
      <c r="YQ24" s="15" t="s">
        <v>107</v>
      </c>
      <c r="YR24" s="15" t="s">
        <v>107</v>
      </c>
      <c r="YS24" s="15" t="s">
        <v>107</v>
      </c>
      <c r="YT24" s="15" t="s">
        <v>107</v>
      </c>
      <c r="YU24" s="15" t="s">
        <v>107</v>
      </c>
      <c r="YV24" s="15" t="s">
        <v>107</v>
      </c>
      <c r="YW24" s="15" t="s">
        <v>107</v>
      </c>
      <c r="YX24" s="15" t="s">
        <v>107</v>
      </c>
      <c r="YY24" s="15" t="s">
        <v>107</v>
      </c>
      <c r="YZ24" s="15" t="s">
        <v>107</v>
      </c>
      <c r="ZA24" s="15" t="s">
        <v>107</v>
      </c>
      <c r="ZB24" s="15" t="s">
        <v>107</v>
      </c>
      <c r="ZC24" s="15" t="s">
        <v>107</v>
      </c>
      <c r="ZD24" s="15" t="s">
        <v>107</v>
      </c>
      <c r="ZE24" s="15" t="s">
        <v>107</v>
      </c>
      <c r="ZF24" s="15" t="s">
        <v>107</v>
      </c>
      <c r="ZG24" s="15" t="s">
        <v>107</v>
      </c>
      <c r="ZH24" s="15" t="s">
        <v>107</v>
      </c>
      <c r="ZI24" s="15" t="s">
        <v>107</v>
      </c>
      <c r="ZJ24" s="15" t="s">
        <v>107</v>
      </c>
      <c r="ZK24" s="15" t="s">
        <v>107</v>
      </c>
      <c r="ZL24" s="15" t="s">
        <v>107</v>
      </c>
      <c r="ZM24" s="15" t="s">
        <v>107</v>
      </c>
      <c r="ZN24" s="15" t="s">
        <v>107</v>
      </c>
      <c r="ZO24" s="15" t="s">
        <v>107</v>
      </c>
      <c r="ZP24" s="15" t="s">
        <v>107</v>
      </c>
      <c r="ZQ24" s="15" t="s">
        <v>98</v>
      </c>
      <c r="ZR24" s="15" t="s">
        <v>107</v>
      </c>
      <c r="ZS24" s="15" t="s">
        <v>107</v>
      </c>
      <c r="ZT24" s="15" t="s">
        <v>107</v>
      </c>
      <c r="ZU24" s="15" t="s">
        <v>107</v>
      </c>
      <c r="ZV24" s="15" t="s">
        <v>107</v>
      </c>
      <c r="ZW24" s="15" t="s">
        <v>107</v>
      </c>
      <c r="ZX24" s="15" t="s">
        <v>98</v>
      </c>
      <c r="ZY24" s="15" t="s">
        <v>107</v>
      </c>
      <c r="ZZ24" s="15" t="s">
        <v>107</v>
      </c>
      <c r="AAA24" s="15" t="s">
        <v>107</v>
      </c>
      <c r="AAB24" s="15" t="s">
        <v>107</v>
      </c>
      <c r="AAC24" s="15" t="s">
        <v>107</v>
      </c>
      <c r="AAD24" s="15" t="s">
        <v>107</v>
      </c>
      <c r="AAE24" s="15" t="s">
        <v>107</v>
      </c>
      <c r="AAF24" s="15" t="s">
        <v>107</v>
      </c>
      <c r="AAG24" s="15" t="s">
        <v>107</v>
      </c>
      <c r="AAH24" s="15" t="s">
        <v>107</v>
      </c>
      <c r="AAI24" s="15" t="s">
        <v>107</v>
      </c>
      <c r="AAJ24" s="15" t="s">
        <v>107</v>
      </c>
      <c r="AAK24" s="20" t="s">
        <v>98</v>
      </c>
      <c r="AAL24" s="15"/>
      <c r="AAM24" s="20" t="s">
        <v>107</v>
      </c>
      <c r="AAN24" s="20" t="s">
        <v>107</v>
      </c>
      <c r="AAO24" s="20" t="s">
        <v>107</v>
      </c>
      <c r="AAP24" s="20" t="s">
        <v>107</v>
      </c>
      <c r="AAQ24" s="20" t="s">
        <v>107</v>
      </c>
      <c r="AAR24" s="20" t="s">
        <v>107</v>
      </c>
      <c r="AAS24" s="20" t="s">
        <v>107</v>
      </c>
      <c r="AAT24" s="20" t="s">
        <v>107</v>
      </c>
      <c r="AAU24" s="20" t="s">
        <v>107</v>
      </c>
      <c r="AAV24" s="20" t="s">
        <v>107</v>
      </c>
      <c r="AAW24" s="20" t="s">
        <v>98</v>
      </c>
      <c r="AAX24" s="15"/>
      <c r="AAY24" s="20" t="s">
        <v>107</v>
      </c>
      <c r="AAZ24" s="20" t="s">
        <v>107</v>
      </c>
      <c r="ABA24" s="20" t="s">
        <v>107</v>
      </c>
      <c r="ABB24" s="20" t="s">
        <v>107</v>
      </c>
      <c r="ABC24" s="20" t="s">
        <v>107</v>
      </c>
      <c r="ABD24" s="20" t="s">
        <v>107</v>
      </c>
      <c r="ABE24" s="20" t="s">
        <v>107</v>
      </c>
      <c r="ABF24" s="20" t="s">
        <v>107</v>
      </c>
      <c r="ABG24" s="20" t="s">
        <v>107</v>
      </c>
      <c r="ABH24" s="20" t="s">
        <v>107</v>
      </c>
      <c r="ABI24" s="20" t="s">
        <v>107</v>
      </c>
      <c r="ABJ24" s="20" t="s">
        <v>107</v>
      </c>
      <c r="ABK24" s="20" t="s">
        <v>98</v>
      </c>
      <c r="ABL24" s="20" t="s">
        <v>98</v>
      </c>
      <c r="ABM24" s="20" t="s">
        <v>107</v>
      </c>
      <c r="ABN24" s="20" t="s">
        <v>107</v>
      </c>
      <c r="ABO24" s="20" t="s">
        <v>112</v>
      </c>
      <c r="ABP24" s="20" t="s">
        <v>107</v>
      </c>
      <c r="ABQ24" s="20" t="s">
        <v>98</v>
      </c>
      <c r="ABR24" s="20" t="s">
        <v>107</v>
      </c>
      <c r="ABS24" s="20" t="s">
        <v>107</v>
      </c>
      <c r="ABT24" s="20" t="s">
        <v>107</v>
      </c>
      <c r="ABU24" s="20" t="s">
        <v>107</v>
      </c>
      <c r="ABV24" s="20" t="s">
        <v>107</v>
      </c>
      <c r="ABW24" s="20" t="s">
        <v>107</v>
      </c>
      <c r="ABX24" s="20" t="s">
        <v>107</v>
      </c>
      <c r="ABY24" s="20" t="s">
        <v>107</v>
      </c>
      <c r="ABZ24" s="20" t="s">
        <v>107</v>
      </c>
      <c r="ACA24" s="20" t="s">
        <v>107</v>
      </c>
      <c r="ACB24" s="20" t="s">
        <v>107</v>
      </c>
      <c r="ACC24" s="20" t="s">
        <v>107</v>
      </c>
      <c r="ACD24" s="20" t="s">
        <v>107</v>
      </c>
      <c r="ACE24" s="20" t="s">
        <v>107</v>
      </c>
      <c r="ACF24" s="20" t="s">
        <v>107</v>
      </c>
      <c r="ACG24" s="20" t="s">
        <v>107</v>
      </c>
      <c r="ACH24" s="20" t="s">
        <v>107</v>
      </c>
      <c r="ACI24" s="20" t="s">
        <v>107</v>
      </c>
      <c r="ACJ24" s="20" t="s">
        <v>107</v>
      </c>
      <c r="ACK24" s="20" t="s">
        <v>107</v>
      </c>
      <c r="ACL24" s="20" t="s">
        <v>107</v>
      </c>
      <c r="ACM24" s="20" t="s">
        <v>107</v>
      </c>
      <c r="ACN24" s="20" t="s">
        <v>107</v>
      </c>
      <c r="ACO24" s="20" t="s">
        <v>107</v>
      </c>
      <c r="ACP24" s="20" t="s">
        <v>107</v>
      </c>
      <c r="ACQ24" s="20" t="s">
        <v>107</v>
      </c>
      <c r="ACR24" s="20" t="s">
        <v>107</v>
      </c>
      <c r="ACS24" s="20" t="s">
        <v>107</v>
      </c>
      <c r="ACT24" s="20" t="s">
        <v>107</v>
      </c>
      <c r="ACU24" s="20" t="s">
        <v>107</v>
      </c>
      <c r="ACV24" s="20" t="s">
        <v>107</v>
      </c>
      <c r="ACW24" s="20" t="s">
        <v>107</v>
      </c>
      <c r="ACX24" s="20" t="s">
        <v>107</v>
      </c>
      <c r="ACY24" s="20" t="s">
        <v>107</v>
      </c>
      <c r="ACZ24" s="20" t="s">
        <v>107</v>
      </c>
      <c r="ADA24" s="20" t="s">
        <v>107</v>
      </c>
      <c r="ADB24" s="20" t="s">
        <v>107</v>
      </c>
      <c r="ADC24" s="20" t="s">
        <v>107</v>
      </c>
      <c r="ADD24" s="15" t="s">
        <v>107</v>
      </c>
      <c r="ADE24" s="15" t="s">
        <v>107</v>
      </c>
      <c r="ADF24" s="15" t="s">
        <v>107</v>
      </c>
      <c r="ADG24" s="15" t="s">
        <v>98</v>
      </c>
      <c r="ADH24" s="15"/>
      <c r="ADI24" s="20" t="s">
        <v>107</v>
      </c>
      <c r="ADJ24" s="20" t="s">
        <v>107</v>
      </c>
      <c r="ADK24" s="20" t="s">
        <v>107</v>
      </c>
      <c r="ADL24" s="20" t="s">
        <v>107</v>
      </c>
      <c r="ADM24" s="20" t="s">
        <v>107</v>
      </c>
      <c r="ADN24" s="20" t="s">
        <v>107</v>
      </c>
      <c r="ADO24" s="20" t="s">
        <v>107</v>
      </c>
      <c r="ADP24" s="20" t="s">
        <v>107</v>
      </c>
      <c r="ADQ24" s="20" t="s">
        <v>107</v>
      </c>
      <c r="ADR24" s="20" t="s">
        <v>107</v>
      </c>
      <c r="ADS24" s="20" t="s">
        <v>107</v>
      </c>
      <c r="ADT24" s="20" t="s">
        <v>107</v>
      </c>
      <c r="ADU24" s="20" t="s">
        <v>98</v>
      </c>
      <c r="ADV24" s="20" t="s">
        <v>98</v>
      </c>
      <c r="ADW24" s="20" t="s">
        <v>107</v>
      </c>
      <c r="ADX24" s="20" t="s">
        <v>107</v>
      </c>
      <c r="ADY24" s="20" t="s">
        <v>112</v>
      </c>
      <c r="ADZ24" s="20" t="s">
        <v>107</v>
      </c>
      <c r="AEA24" s="20" t="s">
        <v>98</v>
      </c>
      <c r="AEB24" s="20" t="s">
        <v>107</v>
      </c>
      <c r="AEC24" s="20" t="s">
        <v>107</v>
      </c>
      <c r="AED24" s="20" t="s">
        <v>107</v>
      </c>
      <c r="AEE24" s="20" t="s">
        <v>107</v>
      </c>
      <c r="AEF24" s="20" t="s">
        <v>107</v>
      </c>
      <c r="AEG24" s="20" t="s">
        <v>107</v>
      </c>
      <c r="AEH24" s="20" t="s">
        <v>107</v>
      </c>
      <c r="AEI24" s="20" t="s">
        <v>107</v>
      </c>
      <c r="AEJ24" s="20" t="s">
        <v>107</v>
      </c>
      <c r="AEK24" s="20" t="s">
        <v>107</v>
      </c>
      <c r="AEL24" s="20" t="s">
        <v>107</v>
      </c>
      <c r="AEM24" s="20" t="s">
        <v>107</v>
      </c>
      <c r="AEN24" s="20" t="s">
        <v>107</v>
      </c>
      <c r="AEO24" s="20" t="s">
        <v>107</v>
      </c>
      <c r="AEP24" s="20" t="s">
        <v>107</v>
      </c>
      <c r="AEQ24" s="20" t="s">
        <v>107</v>
      </c>
      <c r="AER24" s="20" t="s">
        <v>107</v>
      </c>
      <c r="AES24" s="20" t="s">
        <v>107</v>
      </c>
      <c r="AET24" s="20" t="s">
        <v>107</v>
      </c>
      <c r="AEU24" s="20" t="s">
        <v>107</v>
      </c>
      <c r="AEV24" s="20" t="s">
        <v>107</v>
      </c>
      <c r="AEW24" s="20" t="s">
        <v>107</v>
      </c>
      <c r="AEX24" s="20" t="s">
        <v>107</v>
      </c>
      <c r="AEY24" s="20" t="s">
        <v>107</v>
      </c>
      <c r="AEZ24" s="20" t="s">
        <v>107</v>
      </c>
      <c r="AFA24" s="20" t="s">
        <v>107</v>
      </c>
      <c r="AFB24" s="20" t="s">
        <v>107</v>
      </c>
      <c r="AFC24" s="20" t="s">
        <v>107</v>
      </c>
      <c r="AFD24" s="20" t="s">
        <v>107</v>
      </c>
      <c r="AFE24" s="20" t="s">
        <v>107</v>
      </c>
      <c r="AFF24" s="20" t="s">
        <v>107</v>
      </c>
      <c r="AFG24" s="20" t="s">
        <v>107</v>
      </c>
      <c r="AFH24" s="20" t="s">
        <v>107</v>
      </c>
      <c r="AFI24" s="20" t="s">
        <v>107</v>
      </c>
      <c r="AFJ24" s="20" t="s">
        <v>107</v>
      </c>
      <c r="AFK24" s="20" t="s">
        <v>107</v>
      </c>
      <c r="AFL24" s="20" t="s">
        <v>107</v>
      </c>
      <c r="AFM24" s="20" t="s">
        <v>107</v>
      </c>
      <c r="AFN24" s="15" t="s">
        <v>107</v>
      </c>
      <c r="AFO24" s="15" t="s">
        <v>107</v>
      </c>
      <c r="AFP24" s="15" t="s">
        <v>107</v>
      </c>
      <c r="AFQ24" s="15" t="s">
        <v>98</v>
      </c>
      <c r="AFR24" s="15"/>
      <c r="AFS24" s="15" t="s">
        <v>107</v>
      </c>
      <c r="AFT24" s="15" t="s">
        <v>107</v>
      </c>
      <c r="AFU24" s="15" t="s">
        <v>107</v>
      </c>
      <c r="AFV24" s="15" t="s">
        <v>107</v>
      </c>
      <c r="AFW24" s="15" t="s">
        <v>107</v>
      </c>
      <c r="AFX24" s="15" t="s">
        <v>107</v>
      </c>
      <c r="AFY24" s="15" t="s">
        <v>107</v>
      </c>
      <c r="AFZ24" s="15" t="s">
        <v>107</v>
      </c>
      <c r="AGA24" s="15" t="s">
        <v>107</v>
      </c>
      <c r="AGB24" s="15" t="s">
        <v>107</v>
      </c>
      <c r="AGC24" s="15" t="s">
        <v>107</v>
      </c>
      <c r="AGD24" s="15" t="s">
        <v>98</v>
      </c>
      <c r="AGE24" s="15" t="s">
        <v>98</v>
      </c>
      <c r="AGF24" s="15" t="s">
        <v>98</v>
      </c>
      <c r="AGG24" s="15" t="s">
        <v>107</v>
      </c>
      <c r="AGH24" s="15" t="s">
        <v>111</v>
      </c>
      <c r="AGI24" s="15" t="s">
        <v>112</v>
      </c>
      <c r="AGJ24" s="15" t="s">
        <v>107</v>
      </c>
      <c r="AGK24" s="15" t="s">
        <v>107</v>
      </c>
      <c r="AGL24" s="15" t="s">
        <v>107</v>
      </c>
      <c r="AGM24" s="15" t="s">
        <v>107</v>
      </c>
      <c r="AGN24" s="15" t="s">
        <v>107</v>
      </c>
      <c r="AGO24" s="15" t="s">
        <v>107</v>
      </c>
      <c r="AGP24" s="15" t="s">
        <v>107</v>
      </c>
      <c r="AGQ24" s="15" t="s">
        <v>111</v>
      </c>
      <c r="AGR24" s="15" t="s">
        <v>112</v>
      </c>
      <c r="AGS24" s="15" t="s">
        <v>107</v>
      </c>
      <c r="AGT24" s="15" t="s">
        <v>107</v>
      </c>
      <c r="AGU24" s="15" t="s">
        <v>107</v>
      </c>
      <c r="AGV24" s="15" t="s">
        <v>107</v>
      </c>
      <c r="AGW24" s="15" t="s">
        <v>107</v>
      </c>
      <c r="AGX24" s="15" t="s">
        <v>107</v>
      </c>
      <c r="AGY24" s="15" t="s">
        <v>107</v>
      </c>
      <c r="AGZ24" s="15" t="s">
        <v>107</v>
      </c>
      <c r="AHA24" s="15" t="s">
        <v>107</v>
      </c>
      <c r="AHB24" s="15" t="s">
        <v>107</v>
      </c>
      <c r="AHC24" s="15" t="s">
        <v>107</v>
      </c>
      <c r="AHD24" s="15" t="s">
        <v>107</v>
      </c>
      <c r="AHE24" s="15" t="s">
        <v>107</v>
      </c>
      <c r="AHF24" s="15" t="s">
        <v>107</v>
      </c>
      <c r="AHG24" s="15" t="s">
        <v>107</v>
      </c>
      <c r="AHH24" s="15" t="s">
        <v>107</v>
      </c>
      <c r="AHI24" s="15" t="s">
        <v>107</v>
      </c>
      <c r="AHJ24" s="15" t="s">
        <v>107</v>
      </c>
      <c r="AHK24" s="15" t="s">
        <v>107</v>
      </c>
      <c r="AHL24" s="15" t="s">
        <v>107</v>
      </c>
      <c r="AHM24" s="15" t="s">
        <v>107</v>
      </c>
      <c r="AHN24" s="15" t="s">
        <v>107</v>
      </c>
      <c r="AHO24" s="15" t="s">
        <v>107</v>
      </c>
      <c r="AHP24" s="15" t="s">
        <v>107</v>
      </c>
      <c r="AHQ24" s="15" t="s">
        <v>107</v>
      </c>
      <c r="AHR24" s="15" t="s">
        <v>107</v>
      </c>
      <c r="AHS24" s="15" t="s">
        <v>107</v>
      </c>
      <c r="AHT24" s="15" t="s">
        <v>107</v>
      </c>
      <c r="AHU24" s="15" t="s">
        <v>107</v>
      </c>
      <c r="AHV24" s="15" t="s">
        <v>107</v>
      </c>
      <c r="AHW24" s="15" t="s">
        <v>107</v>
      </c>
      <c r="AHX24" s="15" t="s">
        <v>107</v>
      </c>
      <c r="AHY24" s="15" t="s">
        <v>107</v>
      </c>
      <c r="AHZ24" s="15" t="s">
        <v>107</v>
      </c>
      <c r="AIA24" s="15" t="s">
        <v>107</v>
      </c>
      <c r="AIB24" s="15" t="s">
        <v>107</v>
      </c>
      <c r="AIC24" s="15" t="s">
        <v>107</v>
      </c>
      <c r="AID24" s="15" t="s">
        <v>107</v>
      </c>
      <c r="AIE24" s="15" t="s">
        <v>107</v>
      </c>
      <c r="AIF24" s="15" t="s">
        <v>107</v>
      </c>
      <c r="AIG24" s="15" t="s">
        <v>107</v>
      </c>
      <c r="AIH24" s="15" t="s">
        <v>107</v>
      </c>
      <c r="AII24" s="15" t="s">
        <v>107</v>
      </c>
      <c r="AIJ24" s="15" t="s">
        <v>107</v>
      </c>
      <c r="AIK24" s="15" t="s">
        <v>107</v>
      </c>
      <c r="AIL24" s="15" t="s">
        <v>107</v>
      </c>
      <c r="AIM24" s="15" t="s">
        <v>107</v>
      </c>
      <c r="AIN24" s="15" t="s">
        <v>107</v>
      </c>
      <c r="AIO24" s="15" t="s">
        <v>107</v>
      </c>
      <c r="AIP24" s="15" t="s">
        <v>107</v>
      </c>
      <c r="AIQ24" s="15" t="s">
        <v>107</v>
      </c>
      <c r="AIR24" s="15" t="s">
        <v>107</v>
      </c>
      <c r="AIS24" s="15" t="s">
        <v>107</v>
      </c>
      <c r="AIT24" s="15" t="s">
        <v>107</v>
      </c>
      <c r="AIU24" s="15" t="s">
        <v>107</v>
      </c>
      <c r="AIV24" s="15" t="s">
        <v>107</v>
      </c>
      <c r="AIW24" s="15" t="s">
        <v>107</v>
      </c>
      <c r="AIX24" s="15" t="s">
        <v>107</v>
      </c>
      <c r="AIY24" s="15" t="s">
        <v>107</v>
      </c>
      <c r="AIZ24" s="15" t="s">
        <v>107</v>
      </c>
      <c r="AJA24" s="15" t="s">
        <v>107</v>
      </c>
      <c r="AJB24" s="15" t="s">
        <v>107</v>
      </c>
      <c r="AJC24" s="20" t="s">
        <v>107</v>
      </c>
      <c r="AJD24" s="15" t="s">
        <v>107</v>
      </c>
      <c r="AJE24" s="15" t="s">
        <v>107</v>
      </c>
      <c r="AJF24" s="15"/>
      <c r="AJG24" s="20" t="s">
        <v>107</v>
      </c>
      <c r="AJH24" s="20" t="s">
        <v>107</v>
      </c>
      <c r="AJI24" s="20" t="s">
        <v>107</v>
      </c>
      <c r="AJJ24" s="20" t="s">
        <v>107</v>
      </c>
      <c r="AJK24" s="20" t="s">
        <v>107</v>
      </c>
      <c r="AJL24" s="20" t="s">
        <v>107</v>
      </c>
      <c r="AJM24" s="20" t="s">
        <v>107</v>
      </c>
      <c r="AJN24" s="20"/>
      <c r="AJO24" s="20" t="s">
        <v>107</v>
      </c>
      <c r="AJP24" s="20" t="s">
        <v>107</v>
      </c>
      <c r="AJQ24" s="20" t="s">
        <v>107</v>
      </c>
      <c r="AJR24" s="20" t="s">
        <v>107</v>
      </c>
      <c r="AJS24" s="20" t="s">
        <v>107</v>
      </c>
      <c r="AJT24" s="20" t="s">
        <v>107</v>
      </c>
      <c r="AJU24" s="20" t="s">
        <v>107</v>
      </c>
      <c r="AJV24" s="20" t="s">
        <v>107</v>
      </c>
      <c r="AJW24" s="20" t="s">
        <v>107</v>
      </c>
      <c r="AJX24" s="20"/>
      <c r="AJY24" s="20" t="s">
        <v>107</v>
      </c>
      <c r="AJZ24" s="20" t="s">
        <v>107</v>
      </c>
      <c r="AKA24" s="20" t="s">
        <v>107</v>
      </c>
      <c r="AKB24" s="20" t="s">
        <v>107</v>
      </c>
      <c r="AKC24" s="20" t="s">
        <v>107</v>
      </c>
      <c r="AKD24" s="20" t="s">
        <v>107</v>
      </c>
      <c r="AKE24" s="20" t="s">
        <v>107</v>
      </c>
      <c r="AKF24" s="20" t="s">
        <v>107</v>
      </c>
      <c r="AKG24" s="20" t="s">
        <v>107</v>
      </c>
      <c r="AKH24" s="20" t="s">
        <v>107</v>
      </c>
      <c r="AKI24" s="20"/>
      <c r="AKJ24" s="20" t="s">
        <v>107</v>
      </c>
      <c r="AKK24" s="20" t="s">
        <v>107</v>
      </c>
      <c r="AKL24" s="20" t="s">
        <v>107</v>
      </c>
      <c r="AKM24" s="20" t="s">
        <v>107</v>
      </c>
      <c r="AKN24" s="20" t="s">
        <v>107</v>
      </c>
      <c r="AKO24" s="20" t="s">
        <v>107</v>
      </c>
      <c r="AKP24" s="20" t="s">
        <v>107</v>
      </c>
      <c r="AKQ24" s="20" t="s">
        <v>107</v>
      </c>
      <c r="AKR24" s="20" t="s">
        <v>107</v>
      </c>
      <c r="AKS24" s="20" t="s">
        <v>107</v>
      </c>
      <c r="AKT24" s="20" t="s">
        <v>107</v>
      </c>
      <c r="AKU24" s="20" t="s">
        <v>107</v>
      </c>
      <c r="AKV24" s="20" t="s">
        <v>107</v>
      </c>
      <c r="AKW24" s="20" t="s">
        <v>107</v>
      </c>
      <c r="AKX24" s="20"/>
      <c r="AKY24" s="20" t="s">
        <v>107</v>
      </c>
      <c r="AKZ24" s="20" t="s">
        <v>107</v>
      </c>
      <c r="ALA24" s="20" t="s">
        <v>107</v>
      </c>
      <c r="ALB24" s="20" t="s">
        <v>107</v>
      </c>
      <c r="ALC24" s="20" t="s">
        <v>107</v>
      </c>
      <c r="ALD24" s="20" t="s">
        <v>107</v>
      </c>
      <c r="ALE24" s="20" t="s">
        <v>107</v>
      </c>
      <c r="ALF24" s="20" t="s">
        <v>107</v>
      </c>
      <c r="ALG24" s="20" t="s">
        <v>107</v>
      </c>
      <c r="ALH24" s="20" t="s">
        <v>107</v>
      </c>
      <c r="ALI24" s="20" t="s">
        <v>107</v>
      </c>
      <c r="ALJ24" s="20" t="s">
        <v>107</v>
      </c>
      <c r="ALK24" s="20" t="s">
        <v>107</v>
      </c>
      <c r="ALL24" s="20" t="s">
        <v>107</v>
      </c>
      <c r="ALM24" s="15"/>
      <c r="ALN24" s="20" t="s">
        <v>107</v>
      </c>
      <c r="ALO24" s="20" t="s">
        <v>107</v>
      </c>
      <c r="ALP24" s="20" t="s">
        <v>107</v>
      </c>
      <c r="ALQ24" s="20" t="s">
        <v>107</v>
      </c>
      <c r="ALR24" s="20" t="s">
        <v>107</v>
      </c>
      <c r="ALS24" s="20" t="s">
        <v>107</v>
      </c>
      <c r="ALT24" s="20" t="s">
        <v>107</v>
      </c>
      <c r="ALU24" s="20" t="s">
        <v>107</v>
      </c>
      <c r="ALV24" s="20" t="s">
        <v>107</v>
      </c>
      <c r="ALW24" s="20" t="s">
        <v>107</v>
      </c>
      <c r="ALX24" s="20" t="s">
        <v>107</v>
      </c>
      <c r="ALY24" s="20" t="s">
        <v>107</v>
      </c>
      <c r="ALZ24" s="20" t="s">
        <v>107</v>
      </c>
      <c r="AMA24" s="20" t="s">
        <v>107</v>
      </c>
      <c r="AMB24" s="20" t="s">
        <v>107</v>
      </c>
      <c r="AMC24" s="15"/>
      <c r="AMD24" s="15" t="s">
        <v>107</v>
      </c>
      <c r="AME24" s="15" t="s">
        <v>107</v>
      </c>
      <c r="AMF24" s="15" t="s">
        <v>107</v>
      </c>
      <c r="AMG24" s="15" t="s">
        <v>107</v>
      </c>
      <c r="AMH24" s="15" t="s">
        <v>107</v>
      </c>
      <c r="AMI24" s="15" t="s">
        <v>107</v>
      </c>
      <c r="AMJ24" s="15" t="s">
        <v>107</v>
      </c>
      <c r="AMK24" s="15" t="s">
        <v>107</v>
      </c>
      <c r="AML24" s="15" t="s">
        <v>107</v>
      </c>
      <c r="AMM24" s="15" t="s">
        <v>107</v>
      </c>
      <c r="AMN24" s="15" t="s">
        <v>107</v>
      </c>
      <c r="AMO24" s="15" t="s">
        <v>107</v>
      </c>
      <c r="AMP24" s="15" t="s">
        <v>107</v>
      </c>
      <c r="AMQ24" s="15" t="s">
        <v>107</v>
      </c>
      <c r="AMR24" s="15" t="s">
        <v>107</v>
      </c>
      <c r="AMS24" s="15" t="s">
        <v>107</v>
      </c>
      <c r="AMT24" s="15" t="s">
        <v>107</v>
      </c>
      <c r="AMU24" s="15" t="s">
        <v>107</v>
      </c>
      <c r="AMV24" s="15" t="s">
        <v>107</v>
      </c>
      <c r="AMW24" s="15" t="s">
        <v>107</v>
      </c>
      <c r="AMX24" s="15" t="s">
        <v>107</v>
      </c>
      <c r="AMY24" s="15" t="s">
        <v>107</v>
      </c>
      <c r="AMZ24" s="15" t="s">
        <v>107</v>
      </c>
      <c r="ANA24" s="15" t="s">
        <v>107</v>
      </c>
      <c r="ANB24" s="15" t="s">
        <v>107</v>
      </c>
      <c r="ANC24" s="15" t="s">
        <v>107</v>
      </c>
      <c r="AND24" s="15" t="s">
        <v>107</v>
      </c>
      <c r="ANE24" s="15"/>
      <c r="ANF24" s="15"/>
      <c r="ANG24" s="15"/>
      <c r="ANH24" s="15"/>
      <c r="ANI24" s="15"/>
      <c r="ANJ24" s="15"/>
      <c r="ANK24" s="15"/>
      <c r="ANL24" s="15"/>
      <c r="ANM24" s="15"/>
      <c r="ANN24" s="15"/>
      <c r="ANO24" s="15"/>
      <c r="ANP24" s="15"/>
      <c r="ANQ24" s="15"/>
      <c r="ANR24" s="15"/>
      <c r="ANS24" s="15"/>
      <c r="ANT24" s="15"/>
      <c r="ANU24" s="15"/>
      <c r="ANV24" s="15"/>
      <c r="ANW24" s="15"/>
      <c r="ANX24" s="15"/>
      <c r="ANY24" s="15"/>
      <c r="ANZ24" s="15"/>
      <c r="AOA24" s="15"/>
      <c r="AOB24" s="15"/>
      <c r="AOC24" s="15"/>
      <c r="AOD24" s="15"/>
      <c r="AOE24" s="15"/>
      <c r="AOF24" s="15"/>
      <c r="AOG24" s="15"/>
      <c r="AOH24" s="15"/>
      <c r="AOI24" s="15"/>
      <c r="AOJ24" s="15"/>
      <c r="AOK24" s="15"/>
      <c r="AOL24" s="15"/>
      <c r="AOM24" s="15"/>
      <c r="AON24" s="15"/>
      <c r="AOO24" s="15"/>
      <c r="AOP24" s="15"/>
      <c r="AOQ24" s="15"/>
      <c r="AOR24" s="15"/>
      <c r="AOS24" s="15"/>
      <c r="AOT24" s="15"/>
      <c r="AOU24" s="15"/>
      <c r="AOV24" s="15"/>
      <c r="AOW24" s="15"/>
      <c r="AOX24" s="15"/>
      <c r="AOY24" s="15"/>
      <c r="AOZ24" s="15"/>
      <c r="APA24" s="15"/>
      <c r="APB24" s="15"/>
      <c r="APC24" s="15"/>
      <c r="APD24" s="15"/>
      <c r="APE24" s="15"/>
      <c r="APF24" s="15"/>
      <c r="APG24" s="15"/>
      <c r="APH24" s="15"/>
      <c r="API24" s="15"/>
      <c r="APJ24" s="15"/>
      <c r="APK24" s="15"/>
      <c r="APL24" s="15"/>
      <c r="APM24" s="15"/>
      <c r="APN24" s="15"/>
      <c r="APO24" s="15"/>
      <c r="APP24" s="15"/>
      <c r="APQ24" s="15"/>
      <c r="APR24" s="15"/>
      <c r="APS24" s="15"/>
      <c r="APT24" s="15"/>
      <c r="APU24" s="15"/>
      <c r="APV24" s="15"/>
      <c r="APW24" s="15"/>
      <c r="APX24" s="15"/>
      <c r="APY24" s="15"/>
      <c r="APZ24" s="15"/>
      <c r="AQA24" s="15"/>
      <c r="AQB24" s="15"/>
    </row>
    <row r="25" spans="1:1120" s="17" customFormat="1" ht="15" customHeight="1" x14ac:dyDescent="0.25">
      <c r="A25" s="3" t="s">
        <v>2</v>
      </c>
      <c r="B25" s="6" t="s">
        <v>30</v>
      </c>
      <c r="C25" s="15"/>
      <c r="D25" s="15" t="s">
        <v>101</v>
      </c>
      <c r="E25" s="15" t="s">
        <v>101</v>
      </c>
      <c r="F25" s="15" t="s">
        <v>101</v>
      </c>
      <c r="G25" s="15" t="s">
        <v>101</v>
      </c>
      <c r="H25" s="15" t="s">
        <v>101</v>
      </c>
      <c r="I25" s="15" t="s">
        <v>101</v>
      </c>
      <c r="J25" s="15"/>
      <c r="K25" s="15" t="s">
        <v>101</v>
      </c>
      <c r="L25" s="15" t="s">
        <v>101</v>
      </c>
      <c r="M25" s="15" t="s">
        <v>101</v>
      </c>
      <c r="N25" s="15" t="s">
        <v>101</v>
      </c>
      <c r="O25" s="15" t="s">
        <v>101</v>
      </c>
      <c r="P25" s="15" t="s">
        <v>101</v>
      </c>
      <c r="Q25" s="15"/>
      <c r="R25" s="15" t="s">
        <v>101</v>
      </c>
      <c r="S25" s="15" t="s">
        <v>101</v>
      </c>
      <c r="T25" s="15" t="s">
        <v>101</v>
      </c>
      <c r="U25" s="15" t="s">
        <v>101</v>
      </c>
      <c r="V25" s="15" t="s">
        <v>101</v>
      </c>
      <c r="W25" s="15" t="s">
        <v>101</v>
      </c>
      <c r="X25" s="15"/>
      <c r="Y25" s="15" t="s">
        <v>101</v>
      </c>
      <c r="Z25" s="15" t="s">
        <v>101</v>
      </c>
      <c r="AA25" s="15" t="s">
        <v>101</v>
      </c>
      <c r="AB25" s="15" t="s">
        <v>101</v>
      </c>
      <c r="AC25" s="15" t="s">
        <v>101</v>
      </c>
      <c r="AD25" s="15" t="s">
        <v>101</v>
      </c>
      <c r="AE25" s="15"/>
      <c r="AF25" s="15" t="s">
        <v>101</v>
      </c>
      <c r="AG25" s="15" t="s">
        <v>101</v>
      </c>
      <c r="AH25" s="15" t="s">
        <v>101</v>
      </c>
      <c r="AI25" s="15" t="s">
        <v>101</v>
      </c>
      <c r="AJ25" s="15" t="s">
        <v>101</v>
      </c>
      <c r="AK25" s="15" t="s">
        <v>101</v>
      </c>
      <c r="AL25" s="15"/>
      <c r="AM25" s="15" t="s">
        <v>101</v>
      </c>
      <c r="AN25" s="15" t="s">
        <v>101</v>
      </c>
      <c r="AO25" s="15" t="s">
        <v>101</v>
      </c>
      <c r="AP25" s="15" t="s">
        <v>101</v>
      </c>
      <c r="AQ25" s="15" t="s">
        <v>101</v>
      </c>
      <c r="AR25" s="15" t="s">
        <v>101</v>
      </c>
      <c r="AS25" s="15" t="s">
        <v>101</v>
      </c>
      <c r="AT25" s="15" t="s">
        <v>101</v>
      </c>
      <c r="AU25" s="15" t="s">
        <v>101</v>
      </c>
      <c r="AV25" s="15" t="s">
        <v>101</v>
      </c>
      <c r="AW25" s="15" t="s">
        <v>101</v>
      </c>
      <c r="AX25" s="15" t="s">
        <v>101</v>
      </c>
      <c r="AY25" s="15" t="s">
        <v>101</v>
      </c>
      <c r="AZ25" s="15" t="s">
        <v>101</v>
      </c>
      <c r="BA25" s="15" t="s">
        <v>101</v>
      </c>
      <c r="BB25" s="15" t="s">
        <v>101</v>
      </c>
      <c r="BC25" s="15" t="s">
        <v>101</v>
      </c>
      <c r="BD25" s="15" t="s">
        <v>101</v>
      </c>
      <c r="BE25" s="15" t="s">
        <v>101</v>
      </c>
      <c r="BF25" s="15" t="s">
        <v>101</v>
      </c>
      <c r="BG25" s="15" t="s">
        <v>101</v>
      </c>
      <c r="BH25" s="15" t="s">
        <v>101</v>
      </c>
      <c r="BI25" s="15" t="s">
        <v>101</v>
      </c>
      <c r="BJ25" s="15" t="s">
        <v>101</v>
      </c>
      <c r="BK25" s="15" t="s">
        <v>101</v>
      </c>
      <c r="BL25" s="15" t="s">
        <v>101</v>
      </c>
      <c r="BM25" s="15" t="s">
        <v>101</v>
      </c>
      <c r="BN25" s="15" t="s">
        <v>101</v>
      </c>
      <c r="BO25" s="15" t="s">
        <v>101</v>
      </c>
      <c r="BP25" s="15" t="s">
        <v>101</v>
      </c>
      <c r="BQ25" s="15" t="s">
        <v>101</v>
      </c>
      <c r="BR25" s="15" t="s">
        <v>101</v>
      </c>
      <c r="BS25" s="15" t="s">
        <v>101</v>
      </c>
      <c r="BT25" s="15" t="s">
        <v>101</v>
      </c>
      <c r="BU25" s="15" t="s">
        <v>101</v>
      </c>
      <c r="BV25" s="15" t="s">
        <v>101</v>
      </c>
      <c r="BW25" s="15" t="s">
        <v>101</v>
      </c>
      <c r="BX25" s="15" t="s">
        <v>101</v>
      </c>
      <c r="BY25" s="15" t="s">
        <v>101</v>
      </c>
      <c r="BZ25" s="15" t="s">
        <v>101</v>
      </c>
      <c r="CA25" s="15" t="s">
        <v>101</v>
      </c>
      <c r="CB25" s="15" t="s">
        <v>101</v>
      </c>
      <c r="CC25" s="15" t="s">
        <v>101</v>
      </c>
      <c r="CD25" s="15" t="s">
        <v>101</v>
      </c>
      <c r="CE25" s="15" t="s">
        <v>101</v>
      </c>
      <c r="CF25" s="15" t="s">
        <v>101</v>
      </c>
      <c r="CG25" s="15" t="s">
        <v>101</v>
      </c>
      <c r="CH25" s="15" t="s">
        <v>101</v>
      </c>
      <c r="CI25" s="15" t="s">
        <v>101</v>
      </c>
      <c r="CJ25" s="15" t="s">
        <v>101</v>
      </c>
      <c r="CK25" s="15" t="s">
        <v>101</v>
      </c>
      <c r="CL25" s="15" t="s">
        <v>101</v>
      </c>
      <c r="CM25" s="15" t="s">
        <v>101</v>
      </c>
      <c r="CN25" s="15" t="s">
        <v>101</v>
      </c>
      <c r="CO25" s="15" t="s">
        <v>101</v>
      </c>
      <c r="CP25" s="15" t="s">
        <v>101</v>
      </c>
      <c r="CQ25" s="15" t="s">
        <v>101</v>
      </c>
      <c r="CR25" s="15" t="s">
        <v>101</v>
      </c>
      <c r="CS25" s="15" t="s">
        <v>101</v>
      </c>
      <c r="CT25" s="15" t="s">
        <v>101</v>
      </c>
      <c r="CU25" s="15" t="s">
        <v>101</v>
      </c>
      <c r="CV25" s="15" t="s">
        <v>101</v>
      </c>
      <c r="CW25" s="15" t="s">
        <v>101</v>
      </c>
      <c r="CX25" s="15" t="s">
        <v>101</v>
      </c>
      <c r="CY25" s="15" t="s">
        <v>101</v>
      </c>
      <c r="CZ25" s="15" t="s">
        <v>101</v>
      </c>
      <c r="DA25" s="15" t="s">
        <v>101</v>
      </c>
      <c r="DB25" s="15" t="s">
        <v>101</v>
      </c>
      <c r="DC25" s="15" t="s">
        <v>101</v>
      </c>
      <c r="DD25" s="15" t="s">
        <v>101</v>
      </c>
      <c r="DE25" s="15" t="s">
        <v>101</v>
      </c>
      <c r="DF25" s="15" t="s">
        <v>101</v>
      </c>
      <c r="DG25" s="15" t="s">
        <v>101</v>
      </c>
      <c r="DH25" s="15" t="s">
        <v>101</v>
      </c>
      <c r="DI25" s="15" t="s">
        <v>101</v>
      </c>
      <c r="DJ25" s="15" t="s">
        <v>101</v>
      </c>
      <c r="DK25" s="15" t="s">
        <v>101</v>
      </c>
      <c r="DL25" s="15" t="s">
        <v>101</v>
      </c>
      <c r="DM25" s="15" t="s">
        <v>101</v>
      </c>
      <c r="DN25" s="15" t="s">
        <v>101</v>
      </c>
      <c r="DO25" s="15" t="s">
        <v>101</v>
      </c>
      <c r="DP25" s="15" t="s">
        <v>101</v>
      </c>
      <c r="DQ25" s="15" t="s">
        <v>101</v>
      </c>
      <c r="DR25" s="15" t="s">
        <v>101</v>
      </c>
      <c r="DS25" s="15" t="s">
        <v>101</v>
      </c>
      <c r="DT25" s="15" t="s">
        <v>101</v>
      </c>
      <c r="DU25" s="15" t="s">
        <v>101</v>
      </c>
      <c r="DV25" s="15" t="s">
        <v>101</v>
      </c>
      <c r="DW25" s="15" t="s">
        <v>101</v>
      </c>
      <c r="DX25" s="15" t="s">
        <v>101</v>
      </c>
      <c r="DY25" s="15" t="s">
        <v>101</v>
      </c>
      <c r="DZ25" s="15" t="s">
        <v>101</v>
      </c>
      <c r="EA25" s="15" t="s">
        <v>101</v>
      </c>
      <c r="EB25" s="15" t="s">
        <v>101</v>
      </c>
      <c r="EC25" s="15" t="s">
        <v>101</v>
      </c>
      <c r="ED25" s="15" t="s">
        <v>101</v>
      </c>
      <c r="EE25" s="15" t="s">
        <v>101</v>
      </c>
      <c r="EF25" s="15" t="s">
        <v>101</v>
      </c>
      <c r="EG25" s="15" t="s">
        <v>101</v>
      </c>
      <c r="EH25" s="15" t="s">
        <v>101</v>
      </c>
      <c r="EI25" s="15" t="s">
        <v>101</v>
      </c>
      <c r="EJ25" s="15" t="s">
        <v>101</v>
      </c>
      <c r="EK25" s="15" t="s">
        <v>101</v>
      </c>
      <c r="EL25" s="15" t="s">
        <v>101</v>
      </c>
      <c r="EM25" s="15" t="s">
        <v>101</v>
      </c>
      <c r="EN25" s="15" t="s">
        <v>101</v>
      </c>
      <c r="EO25" s="15" t="s">
        <v>101</v>
      </c>
      <c r="EP25" s="15" t="s">
        <v>101</v>
      </c>
      <c r="EQ25" s="15" t="s">
        <v>101</v>
      </c>
      <c r="ER25" s="15" t="s">
        <v>101</v>
      </c>
      <c r="ES25" s="15" t="s">
        <v>101</v>
      </c>
      <c r="ET25" s="15" t="s">
        <v>101</v>
      </c>
      <c r="EU25" s="15" t="s">
        <v>101</v>
      </c>
      <c r="EV25" s="15" t="s">
        <v>101</v>
      </c>
      <c r="EW25" s="15" t="s">
        <v>101</v>
      </c>
      <c r="EX25" s="15" t="s">
        <v>101</v>
      </c>
      <c r="EY25" s="15" t="s">
        <v>101</v>
      </c>
      <c r="EZ25" s="15" t="s">
        <v>101</v>
      </c>
      <c r="FA25" s="15" t="s">
        <v>101</v>
      </c>
      <c r="FB25" s="15" t="s">
        <v>101</v>
      </c>
      <c r="FC25" s="15" t="s">
        <v>101</v>
      </c>
      <c r="FD25" s="15"/>
      <c r="FE25" s="15" t="s">
        <v>101</v>
      </c>
      <c r="FF25" s="15" t="s">
        <v>101</v>
      </c>
      <c r="FG25" s="15" t="s">
        <v>101</v>
      </c>
      <c r="FH25" s="15" t="s">
        <v>101</v>
      </c>
      <c r="FI25" s="15" t="s">
        <v>101</v>
      </c>
      <c r="FJ25" s="15" t="s">
        <v>101</v>
      </c>
      <c r="FK25" s="15" t="s">
        <v>77</v>
      </c>
      <c r="FL25" s="20" t="s">
        <v>77</v>
      </c>
      <c r="FM25" s="15" t="s">
        <v>77</v>
      </c>
      <c r="FN25" s="15" t="s">
        <v>77</v>
      </c>
      <c r="FO25" s="15" t="s">
        <v>77</v>
      </c>
      <c r="FP25" s="15" t="s">
        <v>77</v>
      </c>
      <c r="FQ25" s="15" t="s">
        <v>77</v>
      </c>
      <c r="FR25" s="15" t="s">
        <v>77</v>
      </c>
      <c r="FS25" s="15" t="s">
        <v>77</v>
      </c>
      <c r="FT25" s="15" t="s">
        <v>77</v>
      </c>
      <c r="FU25" s="15" t="s">
        <v>77</v>
      </c>
      <c r="FV25" s="15" t="s">
        <v>77</v>
      </c>
      <c r="FW25" s="15" t="s">
        <v>77</v>
      </c>
      <c r="FX25" s="15" t="s">
        <v>77</v>
      </c>
      <c r="FY25" s="15" t="s">
        <v>77</v>
      </c>
      <c r="FZ25" s="15" t="s">
        <v>77</v>
      </c>
      <c r="GA25" s="15" t="s">
        <v>77</v>
      </c>
      <c r="GB25" s="15" t="s">
        <v>77</v>
      </c>
      <c r="GC25" s="15" t="s">
        <v>77</v>
      </c>
      <c r="GD25" s="15" t="s">
        <v>77</v>
      </c>
      <c r="GE25" s="15" t="s">
        <v>77</v>
      </c>
      <c r="GF25" s="15" t="s">
        <v>77</v>
      </c>
      <c r="GG25" s="15" t="s">
        <v>77</v>
      </c>
      <c r="GH25" s="15" t="s">
        <v>77</v>
      </c>
      <c r="GI25" s="15" t="s">
        <v>77</v>
      </c>
      <c r="GJ25" s="15" t="s">
        <v>77</v>
      </c>
      <c r="GK25" s="15" t="s">
        <v>77</v>
      </c>
      <c r="GL25" s="15" t="s">
        <v>77</v>
      </c>
      <c r="GM25" s="15" t="s">
        <v>77</v>
      </c>
      <c r="GN25" s="15" t="s">
        <v>77</v>
      </c>
      <c r="GO25" s="15" t="s">
        <v>77</v>
      </c>
      <c r="GP25" s="15" t="s">
        <v>77</v>
      </c>
      <c r="GQ25" s="15" t="s">
        <v>77</v>
      </c>
      <c r="GR25" s="15" t="s">
        <v>77</v>
      </c>
      <c r="GS25" s="15" t="s">
        <v>77</v>
      </c>
      <c r="GT25" s="15" t="s">
        <v>77</v>
      </c>
      <c r="GU25" s="15" t="s">
        <v>77</v>
      </c>
      <c r="GV25" s="15" t="s">
        <v>77</v>
      </c>
      <c r="GW25" s="15" t="s">
        <v>77</v>
      </c>
      <c r="GX25" s="15" t="s">
        <v>77</v>
      </c>
      <c r="GY25" s="15" t="s">
        <v>77</v>
      </c>
      <c r="GZ25" s="15" t="s">
        <v>77</v>
      </c>
      <c r="HA25" s="15" t="s">
        <v>77</v>
      </c>
      <c r="HB25" s="15" t="s">
        <v>77</v>
      </c>
      <c r="HC25" s="15" t="s">
        <v>77</v>
      </c>
      <c r="HD25" s="15" t="s">
        <v>77</v>
      </c>
      <c r="HE25" s="15" t="s">
        <v>77</v>
      </c>
      <c r="HF25" s="15" t="s">
        <v>77</v>
      </c>
      <c r="HG25" s="15" t="s">
        <v>77</v>
      </c>
      <c r="HH25" s="15" t="s">
        <v>77</v>
      </c>
      <c r="HI25" s="15" t="s">
        <v>77</v>
      </c>
      <c r="HJ25" s="15" t="s">
        <v>77</v>
      </c>
      <c r="HK25" s="15" t="s">
        <v>77</v>
      </c>
      <c r="HL25" s="15" t="s">
        <v>77</v>
      </c>
      <c r="HM25" s="15" t="s">
        <v>77</v>
      </c>
      <c r="HN25" s="15" t="s">
        <v>77</v>
      </c>
      <c r="HO25" s="15" t="s">
        <v>77</v>
      </c>
      <c r="HP25" s="15" t="s">
        <v>77</v>
      </c>
      <c r="HQ25" s="15" t="s">
        <v>77</v>
      </c>
      <c r="HR25" s="15" t="s">
        <v>77</v>
      </c>
      <c r="HS25" s="15" t="s">
        <v>77</v>
      </c>
      <c r="HT25" s="15" t="s">
        <v>77</v>
      </c>
      <c r="HU25" s="15" t="s">
        <v>77</v>
      </c>
      <c r="HV25" s="15" t="s">
        <v>77</v>
      </c>
      <c r="HW25" s="15" t="s">
        <v>77</v>
      </c>
      <c r="HX25" s="15" t="s">
        <v>77</v>
      </c>
      <c r="HY25" s="15" t="s">
        <v>77</v>
      </c>
      <c r="HZ25" s="15" t="s">
        <v>77</v>
      </c>
      <c r="IA25" s="15" t="s">
        <v>77</v>
      </c>
      <c r="IB25" s="15"/>
      <c r="IC25" s="15" t="s">
        <v>101</v>
      </c>
      <c r="ID25" s="15" t="s">
        <v>101</v>
      </c>
      <c r="IE25" s="15" t="s">
        <v>101</v>
      </c>
      <c r="IF25" s="15" t="s">
        <v>101</v>
      </c>
      <c r="IG25" s="15" t="s">
        <v>101</v>
      </c>
      <c r="IH25" s="15" t="s">
        <v>101</v>
      </c>
      <c r="II25" s="15" t="s">
        <v>77</v>
      </c>
      <c r="IJ25" s="15" t="s">
        <v>77</v>
      </c>
      <c r="IK25" s="15"/>
      <c r="IL25" s="15" t="s">
        <v>101</v>
      </c>
      <c r="IM25" s="15" t="s">
        <v>101</v>
      </c>
      <c r="IN25" s="15" t="s">
        <v>101</v>
      </c>
      <c r="IO25" s="15" t="s">
        <v>101</v>
      </c>
      <c r="IP25" s="15" t="s">
        <v>101</v>
      </c>
      <c r="IQ25" s="15" t="s">
        <v>101</v>
      </c>
      <c r="IR25" s="15" t="s">
        <v>77</v>
      </c>
      <c r="IS25" s="15" t="s">
        <v>101</v>
      </c>
      <c r="IT25" s="20" t="s">
        <v>77</v>
      </c>
      <c r="IU25" s="20" t="s">
        <v>77</v>
      </c>
      <c r="IV25" s="20" t="s">
        <v>77</v>
      </c>
      <c r="IW25" s="20" t="s">
        <v>77</v>
      </c>
      <c r="IX25" s="20" t="s">
        <v>77</v>
      </c>
      <c r="IY25" s="20" t="s">
        <v>77</v>
      </c>
      <c r="IZ25" s="20" t="s">
        <v>77</v>
      </c>
      <c r="JA25" s="20" t="s">
        <v>101</v>
      </c>
      <c r="JB25" s="20" t="s">
        <v>184</v>
      </c>
      <c r="JC25" s="20" t="s">
        <v>185</v>
      </c>
      <c r="JD25" s="20" t="s">
        <v>77</v>
      </c>
      <c r="JE25" s="20" t="s">
        <v>77</v>
      </c>
      <c r="JF25" s="20" t="s">
        <v>77</v>
      </c>
      <c r="JG25" s="20" t="s">
        <v>77</v>
      </c>
      <c r="JH25" s="20" t="s">
        <v>77</v>
      </c>
      <c r="JI25" s="20" t="s">
        <v>77</v>
      </c>
      <c r="JJ25" s="20" t="s">
        <v>77</v>
      </c>
      <c r="JK25" s="20" t="s">
        <v>77</v>
      </c>
      <c r="JL25" s="20" t="s">
        <v>77</v>
      </c>
      <c r="JM25" s="20" t="s">
        <v>77</v>
      </c>
      <c r="JN25" s="20" t="s">
        <v>101</v>
      </c>
      <c r="JO25" s="20" t="s">
        <v>184</v>
      </c>
      <c r="JP25" s="20" t="s">
        <v>185</v>
      </c>
      <c r="JQ25" s="20" t="s">
        <v>77</v>
      </c>
      <c r="JR25" s="20" t="s">
        <v>77</v>
      </c>
      <c r="JS25" s="20" t="s">
        <v>77</v>
      </c>
      <c r="JT25" s="20" t="s">
        <v>77</v>
      </c>
      <c r="JU25" s="20" t="s">
        <v>77</v>
      </c>
      <c r="JV25" s="20" t="s">
        <v>77</v>
      </c>
      <c r="JW25" s="20" t="s">
        <v>77</v>
      </c>
      <c r="JX25" s="20" t="s">
        <v>77</v>
      </c>
      <c r="JY25" s="20" t="s">
        <v>77</v>
      </c>
      <c r="JZ25" s="20" t="s">
        <v>77</v>
      </c>
      <c r="KA25" s="20" t="s">
        <v>77</v>
      </c>
      <c r="KB25" s="20" t="s">
        <v>77</v>
      </c>
      <c r="KC25" s="20" t="s">
        <v>77</v>
      </c>
      <c r="KD25" s="20" t="s">
        <v>77</v>
      </c>
      <c r="KE25" s="20" t="s">
        <v>77</v>
      </c>
      <c r="KF25" s="20" t="s">
        <v>77</v>
      </c>
      <c r="KG25" s="20" t="s">
        <v>77</v>
      </c>
      <c r="KH25" s="20" t="s">
        <v>77</v>
      </c>
      <c r="KI25" s="20" t="s">
        <v>77</v>
      </c>
      <c r="KJ25" s="20" t="s">
        <v>77</v>
      </c>
      <c r="KK25" s="20" t="s">
        <v>77</v>
      </c>
      <c r="KL25" s="20" t="s">
        <v>77</v>
      </c>
      <c r="KM25" s="20" t="s">
        <v>77</v>
      </c>
      <c r="KN25" s="20" t="s">
        <v>77</v>
      </c>
      <c r="KO25" s="20" t="s">
        <v>77</v>
      </c>
      <c r="KP25" s="20" t="s">
        <v>77</v>
      </c>
      <c r="KQ25" s="20" t="s">
        <v>77</v>
      </c>
      <c r="KR25" s="20" t="s">
        <v>77</v>
      </c>
      <c r="KS25" s="20" t="s">
        <v>77</v>
      </c>
      <c r="KT25" s="20" t="s">
        <v>77</v>
      </c>
      <c r="KU25" s="20" t="s">
        <v>77</v>
      </c>
      <c r="KV25" s="20" t="s">
        <v>77</v>
      </c>
      <c r="KW25" s="20" t="s">
        <v>77</v>
      </c>
      <c r="KX25" s="20" t="s">
        <v>77</v>
      </c>
      <c r="KY25" s="20" t="s">
        <v>101</v>
      </c>
      <c r="KZ25" s="20" t="s">
        <v>101</v>
      </c>
      <c r="LA25" s="20" t="s">
        <v>184</v>
      </c>
      <c r="LB25" s="20" t="s">
        <v>184</v>
      </c>
      <c r="LC25" s="20" t="s">
        <v>185</v>
      </c>
      <c r="LD25" s="20" t="s">
        <v>185</v>
      </c>
      <c r="LE25" s="20" t="s">
        <v>77</v>
      </c>
      <c r="LF25" s="20" t="s">
        <v>77</v>
      </c>
      <c r="LG25" s="20" t="s">
        <v>77</v>
      </c>
      <c r="LH25" s="20" t="s">
        <v>77</v>
      </c>
      <c r="LI25" s="20" t="s">
        <v>77</v>
      </c>
      <c r="LJ25" s="20" t="s">
        <v>77</v>
      </c>
      <c r="LK25" s="20" t="s">
        <v>77</v>
      </c>
      <c r="LL25" s="20" t="s">
        <v>77</v>
      </c>
      <c r="LM25" s="20" t="s">
        <v>77</v>
      </c>
      <c r="LN25" s="20" t="s">
        <v>77</v>
      </c>
      <c r="LO25" s="20" t="s">
        <v>77</v>
      </c>
      <c r="LP25" s="20" t="s">
        <v>77</v>
      </c>
      <c r="LQ25" s="20" t="s">
        <v>184</v>
      </c>
      <c r="LR25" s="20" t="s">
        <v>77</v>
      </c>
      <c r="LS25" s="20" t="s">
        <v>185</v>
      </c>
      <c r="LT25" s="15" t="s">
        <v>101</v>
      </c>
      <c r="LU25" s="20" t="s">
        <v>101</v>
      </c>
      <c r="LV25" s="20" t="s">
        <v>77</v>
      </c>
      <c r="LW25" s="20" t="s">
        <v>184</v>
      </c>
      <c r="LX25" s="20" t="s">
        <v>77</v>
      </c>
      <c r="LY25" s="20" t="s">
        <v>185</v>
      </c>
      <c r="LZ25" s="15" t="s">
        <v>101</v>
      </c>
      <c r="MA25" s="15" t="s">
        <v>101</v>
      </c>
      <c r="MB25" s="15" t="s">
        <v>101</v>
      </c>
      <c r="MC25" s="15" t="s">
        <v>101</v>
      </c>
      <c r="MD25" s="15" t="s">
        <v>101</v>
      </c>
      <c r="ME25" s="20" t="s">
        <v>77</v>
      </c>
      <c r="MF25" s="20" t="s">
        <v>77</v>
      </c>
      <c r="MG25" s="15" t="s">
        <v>101</v>
      </c>
      <c r="MH25" s="15" t="s">
        <v>101</v>
      </c>
      <c r="MI25" s="20" t="s">
        <v>77</v>
      </c>
      <c r="MJ25" s="15" t="s">
        <v>77</v>
      </c>
      <c r="MK25" s="15" t="s">
        <v>77</v>
      </c>
      <c r="ML25" s="15" t="s">
        <v>77</v>
      </c>
      <c r="MM25" s="15" t="s">
        <v>77</v>
      </c>
      <c r="MN25" s="15" t="s">
        <v>77</v>
      </c>
      <c r="MO25" s="15" t="s">
        <v>77</v>
      </c>
      <c r="MP25" s="15" t="s">
        <v>77</v>
      </c>
      <c r="MQ25" s="15" t="s">
        <v>77</v>
      </c>
      <c r="MR25" s="15" t="s">
        <v>77</v>
      </c>
      <c r="MS25" s="20" t="s">
        <v>77</v>
      </c>
      <c r="MT25" s="15" t="s">
        <v>77</v>
      </c>
      <c r="MU25" s="15" t="s">
        <v>77</v>
      </c>
      <c r="MV25" s="15" t="s">
        <v>77</v>
      </c>
      <c r="MW25" s="15" t="s">
        <v>77</v>
      </c>
      <c r="MX25" s="15" t="s">
        <v>77</v>
      </c>
      <c r="MY25" s="15" t="s">
        <v>77</v>
      </c>
      <c r="MZ25" s="15" t="s">
        <v>77</v>
      </c>
      <c r="NA25" s="15" t="s">
        <v>77</v>
      </c>
      <c r="NB25" s="15" t="s">
        <v>77</v>
      </c>
      <c r="NC25" s="20" t="s">
        <v>77</v>
      </c>
      <c r="ND25" s="15" t="s">
        <v>77</v>
      </c>
      <c r="NE25" s="15" t="s">
        <v>77</v>
      </c>
      <c r="NF25" s="15" t="s">
        <v>77</v>
      </c>
      <c r="NG25" s="15" t="s">
        <v>77</v>
      </c>
      <c r="NH25" s="15" t="s">
        <v>77</v>
      </c>
      <c r="NI25" s="15" t="s">
        <v>77</v>
      </c>
      <c r="NJ25" s="15" t="s">
        <v>77</v>
      </c>
      <c r="NK25" s="15" t="s">
        <v>77</v>
      </c>
      <c r="NL25" s="15" t="s">
        <v>77</v>
      </c>
      <c r="NM25" s="20" t="s">
        <v>77</v>
      </c>
      <c r="NN25" s="20" t="s">
        <v>77</v>
      </c>
      <c r="NO25" s="20" t="s">
        <v>77</v>
      </c>
      <c r="NP25" s="15" t="s">
        <v>77</v>
      </c>
      <c r="NQ25" s="15" t="s">
        <v>77</v>
      </c>
      <c r="NR25" s="20" t="s">
        <v>77</v>
      </c>
      <c r="NS25" s="20" t="s">
        <v>77</v>
      </c>
      <c r="NT25" s="20" t="s">
        <v>77</v>
      </c>
      <c r="NU25" s="20" t="s">
        <v>77</v>
      </c>
      <c r="NV25" s="20" t="s">
        <v>77</v>
      </c>
      <c r="NW25" s="20" t="s">
        <v>77</v>
      </c>
      <c r="NX25" s="20" t="s">
        <v>77</v>
      </c>
      <c r="NY25" s="20" t="s">
        <v>77</v>
      </c>
      <c r="NZ25" s="20" t="s">
        <v>77</v>
      </c>
      <c r="OA25" s="20" t="s">
        <v>101</v>
      </c>
      <c r="OB25" s="20" t="s">
        <v>184</v>
      </c>
      <c r="OC25" s="20" t="s">
        <v>185</v>
      </c>
      <c r="OD25" s="20" t="s">
        <v>77</v>
      </c>
      <c r="OE25" s="20" t="s">
        <v>77</v>
      </c>
      <c r="OF25" s="20" t="s">
        <v>77</v>
      </c>
      <c r="OG25" s="20" t="s">
        <v>77</v>
      </c>
      <c r="OH25" s="20" t="s">
        <v>77</v>
      </c>
      <c r="OI25" s="20" t="s">
        <v>77</v>
      </c>
      <c r="OJ25" s="20" t="s">
        <v>77</v>
      </c>
      <c r="OK25" s="20" t="s">
        <v>77</v>
      </c>
      <c r="OL25" s="20" t="s">
        <v>77</v>
      </c>
      <c r="OM25" s="20" t="s">
        <v>77</v>
      </c>
      <c r="ON25" s="20" t="s">
        <v>77</v>
      </c>
      <c r="OO25" s="20" t="s">
        <v>77</v>
      </c>
      <c r="OP25" s="20" t="s">
        <v>77</v>
      </c>
      <c r="OQ25" s="20" t="s">
        <v>77</v>
      </c>
      <c r="OR25" s="20" t="s">
        <v>77</v>
      </c>
      <c r="OS25" s="20" t="s">
        <v>77</v>
      </c>
      <c r="OT25" s="20" t="s">
        <v>77</v>
      </c>
      <c r="OU25" s="20" t="s">
        <v>77</v>
      </c>
      <c r="OV25" s="20" t="s">
        <v>77</v>
      </c>
      <c r="OW25" s="20" t="s">
        <v>77</v>
      </c>
      <c r="OX25" s="20" t="s">
        <v>77</v>
      </c>
      <c r="OY25" s="20" t="s">
        <v>77</v>
      </c>
      <c r="OZ25" s="20" t="s">
        <v>77</v>
      </c>
      <c r="PA25" s="20" t="s">
        <v>77</v>
      </c>
      <c r="PB25" s="20" t="s">
        <v>77</v>
      </c>
      <c r="PC25" s="20" t="s">
        <v>77</v>
      </c>
      <c r="PD25" s="20" t="s">
        <v>77</v>
      </c>
      <c r="PE25" s="20" t="s">
        <v>101</v>
      </c>
      <c r="PF25" s="20" t="s">
        <v>184</v>
      </c>
      <c r="PG25" s="20" t="s">
        <v>185</v>
      </c>
      <c r="PH25" s="20" t="s">
        <v>77</v>
      </c>
      <c r="PI25" s="20" t="s">
        <v>77</v>
      </c>
      <c r="PJ25" s="20" t="s">
        <v>77</v>
      </c>
      <c r="PK25" s="20" t="s">
        <v>77</v>
      </c>
      <c r="PL25" s="20" t="s">
        <v>77</v>
      </c>
      <c r="PM25" s="20" t="s">
        <v>101</v>
      </c>
      <c r="PN25" s="20" t="s">
        <v>77</v>
      </c>
      <c r="PO25" s="20" t="s">
        <v>184</v>
      </c>
      <c r="PP25" s="20" t="s">
        <v>77</v>
      </c>
      <c r="PQ25" s="20" t="s">
        <v>185</v>
      </c>
      <c r="PR25" s="20" t="s">
        <v>77</v>
      </c>
      <c r="PS25" s="20" t="s">
        <v>184</v>
      </c>
      <c r="PT25" s="20" t="s">
        <v>77</v>
      </c>
      <c r="PU25" s="20" t="s">
        <v>101</v>
      </c>
      <c r="PV25" s="15" t="s">
        <v>101</v>
      </c>
      <c r="PW25" s="20" t="s">
        <v>101</v>
      </c>
      <c r="PX25" s="20" t="s">
        <v>77</v>
      </c>
      <c r="PY25" s="20" t="s">
        <v>101</v>
      </c>
      <c r="PZ25" s="20" t="s">
        <v>77</v>
      </c>
      <c r="QA25" s="15" t="s">
        <v>101</v>
      </c>
      <c r="QB25" s="20" t="s">
        <v>77</v>
      </c>
      <c r="QC25" s="20" t="s">
        <v>77</v>
      </c>
      <c r="QD25" s="20" t="s">
        <v>77</v>
      </c>
      <c r="QE25" s="20" t="s">
        <v>77</v>
      </c>
      <c r="QF25" s="20" t="s">
        <v>77</v>
      </c>
      <c r="QG25" s="20" t="s">
        <v>77</v>
      </c>
      <c r="QH25" s="15" t="s">
        <v>101</v>
      </c>
      <c r="QI25" s="15" t="s">
        <v>101</v>
      </c>
      <c r="QJ25" s="15" t="s">
        <v>101</v>
      </c>
      <c r="QK25" s="15" t="s">
        <v>101</v>
      </c>
      <c r="QL25" s="15" t="s">
        <v>101</v>
      </c>
      <c r="QM25" s="15" t="s">
        <v>101</v>
      </c>
      <c r="QN25" s="15" t="s">
        <v>101</v>
      </c>
      <c r="QO25" s="20" t="s">
        <v>101</v>
      </c>
      <c r="QP25" s="20" t="s">
        <v>77</v>
      </c>
      <c r="QQ25" s="20" t="s">
        <v>101</v>
      </c>
      <c r="QR25" s="20" t="s">
        <v>77</v>
      </c>
      <c r="QS25" s="20" t="s">
        <v>77</v>
      </c>
      <c r="QT25" s="20" t="s">
        <v>101</v>
      </c>
      <c r="QU25" s="20" t="s">
        <v>77</v>
      </c>
      <c r="QV25" s="20" t="s">
        <v>77</v>
      </c>
      <c r="QW25" s="20" t="s">
        <v>77</v>
      </c>
      <c r="QX25" s="20" t="s">
        <v>77</v>
      </c>
      <c r="QY25" s="20" t="s">
        <v>77</v>
      </c>
      <c r="QZ25" s="20" t="s">
        <v>77</v>
      </c>
      <c r="RA25" s="20" t="s">
        <v>77</v>
      </c>
      <c r="RB25" s="20" t="s">
        <v>77</v>
      </c>
      <c r="RC25" s="20" t="s">
        <v>77</v>
      </c>
      <c r="RD25" s="20" t="s">
        <v>77</v>
      </c>
      <c r="RE25" s="20" t="s">
        <v>77</v>
      </c>
      <c r="RF25" s="20" t="s">
        <v>77</v>
      </c>
      <c r="RG25" s="20" t="s">
        <v>77</v>
      </c>
      <c r="RH25" s="20" t="s">
        <v>77</v>
      </c>
      <c r="RI25" s="20" t="s">
        <v>77</v>
      </c>
      <c r="RJ25" s="20" t="s">
        <v>77</v>
      </c>
      <c r="RK25" s="20" t="s">
        <v>77</v>
      </c>
      <c r="RL25" s="20" t="s">
        <v>77</v>
      </c>
      <c r="RM25" s="20" t="s">
        <v>77</v>
      </c>
      <c r="RN25" s="20" t="s">
        <v>77</v>
      </c>
      <c r="RO25" s="20" t="s">
        <v>77</v>
      </c>
      <c r="RP25" s="20" t="s">
        <v>77</v>
      </c>
      <c r="RQ25" s="20" t="s">
        <v>77</v>
      </c>
      <c r="RR25" s="15" t="s">
        <v>77</v>
      </c>
      <c r="RS25" s="15"/>
      <c r="RT25" s="15" t="s">
        <v>101</v>
      </c>
      <c r="RU25" s="15" t="s">
        <v>101</v>
      </c>
      <c r="RV25" s="15" t="s">
        <v>101</v>
      </c>
      <c r="RW25" s="15" t="s">
        <v>101</v>
      </c>
      <c r="RX25" s="15" t="s">
        <v>101</v>
      </c>
      <c r="RY25" s="15" t="s">
        <v>101</v>
      </c>
      <c r="RZ25" s="15" t="s">
        <v>77</v>
      </c>
      <c r="SA25" s="20" t="s">
        <v>77</v>
      </c>
      <c r="SB25" s="20" t="s">
        <v>77</v>
      </c>
      <c r="SC25" s="20" t="s">
        <v>77</v>
      </c>
      <c r="SD25" s="20" t="s">
        <v>77</v>
      </c>
      <c r="SE25" s="20" t="s">
        <v>77</v>
      </c>
      <c r="SF25" s="20" t="s">
        <v>77</v>
      </c>
      <c r="SG25" s="20" t="s">
        <v>77</v>
      </c>
      <c r="SH25" s="20" t="s">
        <v>77</v>
      </c>
      <c r="SI25" s="20" t="s">
        <v>77</v>
      </c>
      <c r="SJ25" s="20" t="s">
        <v>101</v>
      </c>
      <c r="SK25" s="20" t="s">
        <v>184</v>
      </c>
      <c r="SL25" s="20" t="s">
        <v>185</v>
      </c>
      <c r="SM25" s="20" t="s">
        <v>77</v>
      </c>
      <c r="SN25" s="20" t="s">
        <v>77</v>
      </c>
      <c r="SO25" s="20" t="s">
        <v>77</v>
      </c>
      <c r="SP25" s="20" t="s">
        <v>77</v>
      </c>
      <c r="SQ25" s="20" t="s">
        <v>77</v>
      </c>
      <c r="SR25" s="20" t="s">
        <v>77</v>
      </c>
      <c r="SS25" s="20" t="s">
        <v>77</v>
      </c>
      <c r="ST25" s="20" t="s">
        <v>77</v>
      </c>
      <c r="SU25" s="20" t="s">
        <v>77</v>
      </c>
      <c r="SV25" s="20" t="s">
        <v>77</v>
      </c>
      <c r="SW25" s="20" t="s">
        <v>77</v>
      </c>
      <c r="SX25" s="20" t="s">
        <v>77</v>
      </c>
      <c r="SY25" s="20" t="s">
        <v>77</v>
      </c>
      <c r="SZ25" s="20" t="s">
        <v>77</v>
      </c>
      <c r="TA25" s="20" t="s">
        <v>77</v>
      </c>
      <c r="TB25" s="20" t="s">
        <v>77</v>
      </c>
      <c r="TC25" s="20" t="s">
        <v>77</v>
      </c>
      <c r="TD25" s="20" t="s">
        <v>77</v>
      </c>
      <c r="TE25" s="20" t="s">
        <v>77</v>
      </c>
      <c r="TF25" s="20" t="s">
        <v>77</v>
      </c>
      <c r="TG25" s="20" t="s">
        <v>77</v>
      </c>
      <c r="TH25" s="20" t="s">
        <v>77</v>
      </c>
      <c r="TI25" s="20" t="s">
        <v>77</v>
      </c>
      <c r="TJ25" s="20" t="s">
        <v>77</v>
      </c>
      <c r="TK25" s="20" t="s">
        <v>77</v>
      </c>
      <c r="TL25" s="20" t="s">
        <v>77</v>
      </c>
      <c r="TM25" s="20" t="s">
        <v>101</v>
      </c>
      <c r="TN25" s="20" t="s">
        <v>184</v>
      </c>
      <c r="TO25" s="20" t="s">
        <v>185</v>
      </c>
      <c r="TP25" s="20" t="s">
        <v>77</v>
      </c>
      <c r="TQ25" s="20" t="s">
        <v>77</v>
      </c>
      <c r="TR25" s="20" t="s">
        <v>77</v>
      </c>
      <c r="TS25" s="20" t="s">
        <v>77</v>
      </c>
      <c r="TT25" s="20" t="s">
        <v>77</v>
      </c>
      <c r="TU25" s="20" t="s">
        <v>101</v>
      </c>
      <c r="TV25" s="20" t="s">
        <v>77</v>
      </c>
      <c r="TW25" s="20" t="s">
        <v>184</v>
      </c>
      <c r="TX25" s="20" t="s">
        <v>77</v>
      </c>
      <c r="TY25" s="20" t="s">
        <v>185</v>
      </c>
      <c r="TZ25" s="20" t="s">
        <v>77</v>
      </c>
      <c r="UA25" s="20" t="s">
        <v>184</v>
      </c>
      <c r="UB25" s="20" t="s">
        <v>77</v>
      </c>
      <c r="UC25" s="20" t="s">
        <v>101</v>
      </c>
      <c r="UD25" s="15" t="s">
        <v>101</v>
      </c>
      <c r="UE25" s="20" t="s">
        <v>101</v>
      </c>
      <c r="UF25" s="20" t="s">
        <v>77</v>
      </c>
      <c r="UG25" s="20" t="s">
        <v>101</v>
      </c>
      <c r="UH25" s="20" t="s">
        <v>77</v>
      </c>
      <c r="UI25" s="15" t="s">
        <v>101</v>
      </c>
      <c r="UJ25" s="20" t="s">
        <v>77</v>
      </c>
      <c r="UK25" s="20" t="s">
        <v>77</v>
      </c>
      <c r="UL25" s="20" t="s">
        <v>77</v>
      </c>
      <c r="UM25" s="20" t="s">
        <v>77</v>
      </c>
      <c r="UN25" s="20" t="s">
        <v>77</v>
      </c>
      <c r="UO25" s="20" t="s">
        <v>77</v>
      </c>
      <c r="UP25" s="15" t="s">
        <v>101</v>
      </c>
      <c r="UQ25" s="15" t="s">
        <v>101</v>
      </c>
      <c r="UR25" s="15" t="s">
        <v>101</v>
      </c>
      <c r="US25" s="15" t="s">
        <v>101</v>
      </c>
      <c r="UT25" s="15" t="s">
        <v>101</v>
      </c>
      <c r="UU25" s="15" t="s">
        <v>101</v>
      </c>
      <c r="UV25" s="15" t="s">
        <v>101</v>
      </c>
      <c r="UW25" s="20" t="s">
        <v>101</v>
      </c>
      <c r="UX25" s="20" t="s">
        <v>77</v>
      </c>
      <c r="UY25" s="20" t="s">
        <v>101</v>
      </c>
      <c r="UZ25" s="20" t="s">
        <v>77</v>
      </c>
      <c r="VA25" s="20" t="s">
        <v>77</v>
      </c>
      <c r="VB25" s="20" t="s">
        <v>101</v>
      </c>
      <c r="VC25" s="20" t="s">
        <v>77</v>
      </c>
      <c r="VD25" s="20" t="s">
        <v>77</v>
      </c>
      <c r="VE25" s="20" t="s">
        <v>77</v>
      </c>
      <c r="VF25" s="20" t="s">
        <v>77</v>
      </c>
      <c r="VG25" s="20" t="s">
        <v>77</v>
      </c>
      <c r="VH25" s="20" t="s">
        <v>77</v>
      </c>
      <c r="VI25" s="20" t="s">
        <v>77</v>
      </c>
      <c r="VJ25" s="20" t="s">
        <v>77</v>
      </c>
      <c r="VK25" s="20" t="s">
        <v>77</v>
      </c>
      <c r="VL25" s="20" t="s">
        <v>77</v>
      </c>
      <c r="VM25" s="20" t="s">
        <v>77</v>
      </c>
      <c r="VN25" s="20" t="s">
        <v>77</v>
      </c>
      <c r="VO25" s="20" t="s">
        <v>77</v>
      </c>
      <c r="VP25" s="20" t="s">
        <v>77</v>
      </c>
      <c r="VQ25" s="20" t="s">
        <v>77</v>
      </c>
      <c r="VR25" s="20" t="s">
        <v>77</v>
      </c>
      <c r="VS25" s="20" t="s">
        <v>77</v>
      </c>
      <c r="VT25" s="20" t="s">
        <v>77</v>
      </c>
      <c r="VU25" s="20" t="s">
        <v>77</v>
      </c>
      <c r="VV25" s="20" t="s">
        <v>77</v>
      </c>
      <c r="VW25" s="20" t="s">
        <v>77</v>
      </c>
      <c r="VX25" s="20" t="s">
        <v>77</v>
      </c>
      <c r="VY25" s="20" t="s">
        <v>77</v>
      </c>
      <c r="VZ25" s="20" t="s">
        <v>77</v>
      </c>
      <c r="WA25" s="20" t="s">
        <v>77</v>
      </c>
      <c r="WB25" s="15" t="s">
        <v>77</v>
      </c>
      <c r="WC25" s="20" t="s">
        <v>77</v>
      </c>
      <c r="WD25" s="20" t="s">
        <v>77</v>
      </c>
      <c r="WE25" s="20" t="s">
        <v>77</v>
      </c>
      <c r="WF25" s="20" t="s">
        <v>77</v>
      </c>
      <c r="WG25" s="20" t="s">
        <v>77</v>
      </c>
      <c r="WH25" s="20" t="s">
        <v>77</v>
      </c>
      <c r="WI25" s="20" t="s">
        <v>77</v>
      </c>
      <c r="WJ25" s="20" t="s">
        <v>77</v>
      </c>
      <c r="WK25" s="20" t="s">
        <v>77</v>
      </c>
      <c r="WL25" s="20" t="s">
        <v>101</v>
      </c>
      <c r="WM25" s="20" t="s">
        <v>184</v>
      </c>
      <c r="WN25" s="20" t="s">
        <v>185</v>
      </c>
      <c r="WO25" s="20" t="s">
        <v>77</v>
      </c>
      <c r="WP25" s="20" t="s">
        <v>185</v>
      </c>
      <c r="WQ25" s="20" t="s">
        <v>77</v>
      </c>
      <c r="WR25" s="20" t="s">
        <v>185</v>
      </c>
      <c r="WS25" s="20" t="s">
        <v>77</v>
      </c>
      <c r="WT25" s="20" t="s">
        <v>101</v>
      </c>
      <c r="WU25" s="20" t="s">
        <v>77</v>
      </c>
      <c r="WV25" s="20" t="s">
        <v>184</v>
      </c>
      <c r="WW25" s="20" t="s">
        <v>77</v>
      </c>
      <c r="WX25" s="20" t="s">
        <v>185</v>
      </c>
      <c r="WY25" s="15" t="s">
        <v>77</v>
      </c>
      <c r="WZ25" s="20" t="s">
        <v>77</v>
      </c>
      <c r="XA25" s="15" t="s">
        <v>77</v>
      </c>
      <c r="XB25" s="20" t="s">
        <v>77</v>
      </c>
      <c r="XC25" s="15" t="s">
        <v>77</v>
      </c>
      <c r="XD25" s="20" t="s">
        <v>77</v>
      </c>
      <c r="XE25" s="15" t="s">
        <v>77</v>
      </c>
      <c r="XF25" s="20" t="s">
        <v>77</v>
      </c>
      <c r="XG25" s="20" t="s">
        <v>77</v>
      </c>
      <c r="XH25" s="20" t="s">
        <v>101</v>
      </c>
      <c r="XI25" s="20" t="s">
        <v>77</v>
      </c>
      <c r="XJ25" s="20" t="s">
        <v>77</v>
      </c>
      <c r="XK25" s="20" t="s">
        <v>77</v>
      </c>
      <c r="XL25" s="20" t="s">
        <v>77</v>
      </c>
      <c r="XM25" s="20" t="s">
        <v>77</v>
      </c>
      <c r="XN25" s="20" t="s">
        <v>77</v>
      </c>
      <c r="XO25" s="20" t="s">
        <v>77</v>
      </c>
      <c r="XP25" s="20" t="s">
        <v>77</v>
      </c>
      <c r="XQ25" s="20" t="s">
        <v>77</v>
      </c>
      <c r="XR25" s="20" t="s">
        <v>77</v>
      </c>
      <c r="XS25" s="20" t="s">
        <v>77</v>
      </c>
      <c r="XT25" s="20" t="s">
        <v>77</v>
      </c>
      <c r="XU25" s="20" t="s">
        <v>77</v>
      </c>
      <c r="XV25" s="20" t="s">
        <v>77</v>
      </c>
      <c r="XW25" s="20" t="s">
        <v>77</v>
      </c>
      <c r="XX25" s="20" t="s">
        <v>77</v>
      </c>
      <c r="XY25" s="20" t="s">
        <v>77</v>
      </c>
      <c r="XZ25" s="20" t="s">
        <v>77</v>
      </c>
      <c r="YA25" s="20" t="s">
        <v>77</v>
      </c>
      <c r="YB25" s="20" t="s">
        <v>77</v>
      </c>
      <c r="YC25" s="20" t="s">
        <v>77</v>
      </c>
      <c r="YD25" s="20" t="s">
        <v>77</v>
      </c>
      <c r="YE25" s="20" t="s">
        <v>77</v>
      </c>
      <c r="YF25" s="20" t="s">
        <v>77</v>
      </c>
      <c r="YG25" s="20" t="s">
        <v>77</v>
      </c>
      <c r="YH25" s="20" t="s">
        <v>77</v>
      </c>
      <c r="YI25" s="20" t="s">
        <v>77</v>
      </c>
      <c r="YJ25" s="20" t="s">
        <v>77</v>
      </c>
      <c r="YK25" s="20" t="s">
        <v>77</v>
      </c>
      <c r="YL25" s="20" t="s">
        <v>77</v>
      </c>
      <c r="YM25" s="20" t="s">
        <v>77</v>
      </c>
      <c r="YN25" s="20" t="s">
        <v>77</v>
      </c>
      <c r="YO25" s="20" t="s">
        <v>77</v>
      </c>
      <c r="YP25" s="20" t="s">
        <v>77</v>
      </c>
      <c r="YQ25" s="20" t="s">
        <v>77</v>
      </c>
      <c r="YR25" s="20" t="s">
        <v>77</v>
      </c>
      <c r="YS25" s="20" t="s">
        <v>77</v>
      </c>
      <c r="YT25" s="20" t="s">
        <v>77</v>
      </c>
      <c r="YU25" s="20" t="s">
        <v>77</v>
      </c>
      <c r="YV25" s="20" t="s">
        <v>77</v>
      </c>
      <c r="YW25" s="20" t="s">
        <v>77</v>
      </c>
      <c r="YX25" s="20" t="s">
        <v>77</v>
      </c>
      <c r="YY25" s="20" t="s">
        <v>77</v>
      </c>
      <c r="YZ25" s="20" t="s">
        <v>77</v>
      </c>
      <c r="ZA25" s="20" t="s">
        <v>77</v>
      </c>
      <c r="ZB25" s="20" t="s">
        <v>77</v>
      </c>
      <c r="ZC25" s="20" t="s">
        <v>77</v>
      </c>
      <c r="ZD25" s="20" t="s">
        <v>77</v>
      </c>
      <c r="ZE25" s="20" t="s">
        <v>77</v>
      </c>
      <c r="ZF25" s="20" t="s">
        <v>77</v>
      </c>
      <c r="ZG25" s="20" t="s">
        <v>77</v>
      </c>
      <c r="ZH25" s="20" t="s">
        <v>77</v>
      </c>
      <c r="ZI25" s="20" t="s">
        <v>77</v>
      </c>
      <c r="ZJ25" s="20" t="s">
        <v>77</v>
      </c>
      <c r="ZK25" s="20" t="s">
        <v>77</v>
      </c>
      <c r="ZL25" s="15" t="s">
        <v>77</v>
      </c>
      <c r="ZM25" s="15" t="s">
        <v>77</v>
      </c>
      <c r="ZN25" s="15" t="s">
        <v>77</v>
      </c>
      <c r="ZO25" s="15" t="s">
        <v>77</v>
      </c>
      <c r="ZP25" s="15" t="s">
        <v>77</v>
      </c>
      <c r="ZQ25" s="15" t="s">
        <v>77</v>
      </c>
      <c r="ZR25" s="20" t="s">
        <v>77</v>
      </c>
      <c r="ZS25" s="15" t="s">
        <v>77</v>
      </c>
      <c r="ZT25" s="15" t="s">
        <v>77</v>
      </c>
      <c r="ZU25" s="15" t="s">
        <v>77</v>
      </c>
      <c r="ZV25" s="15" t="s">
        <v>77</v>
      </c>
      <c r="ZW25" s="15" t="s">
        <v>77</v>
      </c>
      <c r="ZX25" s="15" t="s">
        <v>77</v>
      </c>
      <c r="ZY25" s="20" t="s">
        <v>77</v>
      </c>
      <c r="ZZ25" s="15" t="s">
        <v>77</v>
      </c>
      <c r="AAA25" s="15" t="s">
        <v>77</v>
      </c>
      <c r="AAB25" s="15" t="s">
        <v>77</v>
      </c>
      <c r="AAC25" s="15" t="s">
        <v>77</v>
      </c>
      <c r="AAD25" s="15" t="s">
        <v>77</v>
      </c>
      <c r="AAE25" s="15" t="s">
        <v>101</v>
      </c>
      <c r="AAF25" s="15" t="s">
        <v>101</v>
      </c>
      <c r="AAG25" s="15" t="s">
        <v>101</v>
      </c>
      <c r="AAH25" s="15" t="s">
        <v>101</v>
      </c>
      <c r="AAI25" s="15" t="s">
        <v>101</v>
      </c>
      <c r="AAJ25" s="20" t="s">
        <v>77</v>
      </c>
      <c r="AAK25" s="15" t="s">
        <v>77</v>
      </c>
      <c r="AAL25" s="15"/>
      <c r="AAM25" s="15" t="s">
        <v>101</v>
      </c>
      <c r="AAN25" s="15" t="s">
        <v>101</v>
      </c>
      <c r="AAO25" s="15" t="s">
        <v>101</v>
      </c>
      <c r="AAP25" s="15" t="s">
        <v>101</v>
      </c>
      <c r="AAQ25" s="15" t="s">
        <v>101</v>
      </c>
      <c r="AAR25" s="15" t="s">
        <v>101</v>
      </c>
      <c r="AAS25" s="15" t="s">
        <v>77</v>
      </c>
      <c r="AAT25" s="20" t="s">
        <v>77</v>
      </c>
      <c r="AAU25" s="20" t="s">
        <v>77</v>
      </c>
      <c r="AAV25" s="20" t="s">
        <v>77</v>
      </c>
      <c r="AAW25" s="15" t="s">
        <v>77</v>
      </c>
      <c r="AAX25" s="15"/>
      <c r="AAY25" s="15" t="s">
        <v>101</v>
      </c>
      <c r="AAZ25" s="15" t="s">
        <v>101</v>
      </c>
      <c r="ABA25" s="15" t="s">
        <v>101</v>
      </c>
      <c r="ABB25" s="15" t="s">
        <v>101</v>
      </c>
      <c r="ABC25" s="15" t="s">
        <v>101</v>
      </c>
      <c r="ABD25" s="15" t="s">
        <v>101</v>
      </c>
      <c r="ABE25" s="15" t="s">
        <v>77</v>
      </c>
      <c r="ABF25" s="20" t="s">
        <v>77</v>
      </c>
      <c r="ABG25" s="20" t="s">
        <v>77</v>
      </c>
      <c r="ABH25" s="20" t="s">
        <v>77</v>
      </c>
      <c r="ABI25" s="20" t="s">
        <v>77</v>
      </c>
      <c r="ABJ25" s="20" t="s">
        <v>77</v>
      </c>
      <c r="ABK25" s="20" t="s">
        <v>77</v>
      </c>
      <c r="ABL25" s="20" t="s">
        <v>77</v>
      </c>
      <c r="ABM25" s="20" t="s">
        <v>77</v>
      </c>
      <c r="ABN25" s="20" t="s">
        <v>101</v>
      </c>
      <c r="ABO25" s="20" t="s">
        <v>184</v>
      </c>
      <c r="ABP25" s="20" t="s">
        <v>185</v>
      </c>
      <c r="ABQ25" s="20" t="s">
        <v>77</v>
      </c>
      <c r="ABR25" s="20" t="s">
        <v>77</v>
      </c>
      <c r="ABS25" s="20" t="s">
        <v>77</v>
      </c>
      <c r="ABT25" s="15" t="s">
        <v>101</v>
      </c>
      <c r="ABU25" s="20" t="s">
        <v>77</v>
      </c>
      <c r="ABV25" s="15" t="s">
        <v>184</v>
      </c>
      <c r="ABW25" s="20" t="s">
        <v>77</v>
      </c>
      <c r="ABX25" s="15" t="s">
        <v>185</v>
      </c>
      <c r="ABY25" s="20" t="s">
        <v>77</v>
      </c>
      <c r="ABZ25" s="20" t="s">
        <v>101</v>
      </c>
      <c r="ACA25" s="20" t="s">
        <v>101</v>
      </c>
      <c r="ACB25" s="20" t="s">
        <v>77</v>
      </c>
      <c r="ACC25" s="20" t="s">
        <v>77</v>
      </c>
      <c r="ACD25" s="20" t="s">
        <v>77</v>
      </c>
      <c r="ACE25" s="20" t="s">
        <v>77</v>
      </c>
      <c r="ACF25" s="20" t="s">
        <v>77</v>
      </c>
      <c r="ACG25" s="20" t="s">
        <v>77</v>
      </c>
      <c r="ACH25" s="20" t="s">
        <v>101</v>
      </c>
      <c r="ACI25" s="20" t="s">
        <v>101</v>
      </c>
      <c r="ACJ25" s="20" t="s">
        <v>101</v>
      </c>
      <c r="ACK25" s="20" t="s">
        <v>101</v>
      </c>
      <c r="ACL25" s="20" t="s">
        <v>101</v>
      </c>
      <c r="ACM25" s="20" t="s">
        <v>101</v>
      </c>
      <c r="ACN25" s="20" t="s">
        <v>101</v>
      </c>
      <c r="ACO25" s="20" t="s">
        <v>101</v>
      </c>
      <c r="ACP25" s="20" t="s">
        <v>101</v>
      </c>
      <c r="ACQ25" s="20" t="s">
        <v>101</v>
      </c>
      <c r="ACR25" s="20" t="s">
        <v>101</v>
      </c>
      <c r="ACS25" s="20" t="s">
        <v>101</v>
      </c>
      <c r="ACT25" s="20" t="s">
        <v>101</v>
      </c>
      <c r="ACU25" s="20" t="s">
        <v>101</v>
      </c>
      <c r="ACV25" s="20" t="s">
        <v>101</v>
      </c>
      <c r="ACW25" s="20" t="s">
        <v>101</v>
      </c>
      <c r="ACX25" s="20" t="s">
        <v>101</v>
      </c>
      <c r="ACY25" s="20" t="s">
        <v>101</v>
      </c>
      <c r="ACZ25" s="20" t="s">
        <v>101</v>
      </c>
      <c r="ADA25" s="20" t="s">
        <v>101</v>
      </c>
      <c r="ADB25" s="20" t="s">
        <v>101</v>
      </c>
      <c r="ADC25" s="20" t="s">
        <v>101</v>
      </c>
      <c r="ADD25" s="20" t="s">
        <v>77</v>
      </c>
      <c r="ADE25" s="20" t="s">
        <v>77</v>
      </c>
      <c r="ADF25" s="15" t="s">
        <v>77</v>
      </c>
      <c r="ADG25" s="15" t="s">
        <v>77</v>
      </c>
      <c r="ADH25" s="15"/>
      <c r="ADI25" s="15" t="s">
        <v>101</v>
      </c>
      <c r="ADJ25" s="15" t="s">
        <v>101</v>
      </c>
      <c r="ADK25" s="15" t="s">
        <v>101</v>
      </c>
      <c r="ADL25" s="15" t="s">
        <v>101</v>
      </c>
      <c r="ADM25" s="15" t="s">
        <v>101</v>
      </c>
      <c r="ADN25" s="15" t="s">
        <v>101</v>
      </c>
      <c r="ADO25" s="15" t="s">
        <v>77</v>
      </c>
      <c r="ADP25" s="20" t="s">
        <v>77</v>
      </c>
      <c r="ADQ25" s="20" t="s">
        <v>77</v>
      </c>
      <c r="ADR25" s="20" t="s">
        <v>77</v>
      </c>
      <c r="ADS25" s="20" t="s">
        <v>77</v>
      </c>
      <c r="ADT25" s="20" t="s">
        <v>77</v>
      </c>
      <c r="ADU25" s="20" t="s">
        <v>77</v>
      </c>
      <c r="ADV25" s="20" t="s">
        <v>77</v>
      </c>
      <c r="ADW25" s="20" t="s">
        <v>77</v>
      </c>
      <c r="ADX25" s="20" t="s">
        <v>101</v>
      </c>
      <c r="ADY25" s="20" t="s">
        <v>184</v>
      </c>
      <c r="ADZ25" s="20" t="s">
        <v>185</v>
      </c>
      <c r="AEA25" s="20" t="s">
        <v>77</v>
      </c>
      <c r="AEB25" s="20" t="s">
        <v>77</v>
      </c>
      <c r="AEC25" s="20" t="s">
        <v>77</v>
      </c>
      <c r="AED25" s="15" t="s">
        <v>101</v>
      </c>
      <c r="AEE25" s="20" t="s">
        <v>77</v>
      </c>
      <c r="AEF25" s="15" t="s">
        <v>184</v>
      </c>
      <c r="AEG25" s="20" t="s">
        <v>77</v>
      </c>
      <c r="AEH25" s="15" t="s">
        <v>185</v>
      </c>
      <c r="AEI25" s="20" t="s">
        <v>77</v>
      </c>
      <c r="AEJ25" s="20" t="s">
        <v>101</v>
      </c>
      <c r="AEK25" s="20" t="s">
        <v>101</v>
      </c>
      <c r="AEL25" s="20" t="s">
        <v>77</v>
      </c>
      <c r="AEM25" s="20" t="s">
        <v>77</v>
      </c>
      <c r="AEN25" s="20" t="s">
        <v>77</v>
      </c>
      <c r="AEO25" s="20" t="s">
        <v>77</v>
      </c>
      <c r="AEP25" s="20" t="s">
        <v>77</v>
      </c>
      <c r="AEQ25" s="20" t="s">
        <v>77</v>
      </c>
      <c r="AER25" s="20" t="s">
        <v>101</v>
      </c>
      <c r="AES25" s="20" t="s">
        <v>101</v>
      </c>
      <c r="AET25" s="20" t="s">
        <v>101</v>
      </c>
      <c r="AEU25" s="20" t="s">
        <v>101</v>
      </c>
      <c r="AEV25" s="20" t="s">
        <v>101</v>
      </c>
      <c r="AEW25" s="20" t="s">
        <v>101</v>
      </c>
      <c r="AEX25" s="20" t="s">
        <v>101</v>
      </c>
      <c r="AEY25" s="20" t="s">
        <v>101</v>
      </c>
      <c r="AEZ25" s="20" t="s">
        <v>101</v>
      </c>
      <c r="AFA25" s="20" t="s">
        <v>101</v>
      </c>
      <c r="AFB25" s="20" t="s">
        <v>101</v>
      </c>
      <c r="AFC25" s="20" t="s">
        <v>101</v>
      </c>
      <c r="AFD25" s="20" t="s">
        <v>101</v>
      </c>
      <c r="AFE25" s="20" t="s">
        <v>101</v>
      </c>
      <c r="AFF25" s="20" t="s">
        <v>101</v>
      </c>
      <c r="AFG25" s="20" t="s">
        <v>101</v>
      </c>
      <c r="AFH25" s="20" t="s">
        <v>101</v>
      </c>
      <c r="AFI25" s="20" t="s">
        <v>101</v>
      </c>
      <c r="AFJ25" s="20" t="s">
        <v>101</v>
      </c>
      <c r="AFK25" s="20" t="s">
        <v>101</v>
      </c>
      <c r="AFL25" s="20" t="s">
        <v>101</v>
      </c>
      <c r="AFM25" s="20" t="s">
        <v>101</v>
      </c>
      <c r="AFN25" s="20" t="s">
        <v>77</v>
      </c>
      <c r="AFO25" s="20" t="s">
        <v>77</v>
      </c>
      <c r="AFP25" s="15" t="s">
        <v>77</v>
      </c>
      <c r="AFQ25" s="15" t="s">
        <v>77</v>
      </c>
      <c r="AFR25" s="15"/>
      <c r="AFS25" s="15" t="s">
        <v>101</v>
      </c>
      <c r="AFT25" s="15" t="s">
        <v>101</v>
      </c>
      <c r="AFU25" s="15" t="s">
        <v>101</v>
      </c>
      <c r="AFV25" s="15" t="s">
        <v>101</v>
      </c>
      <c r="AFW25" s="15" t="s">
        <v>101</v>
      </c>
      <c r="AFX25" s="15" t="s">
        <v>101</v>
      </c>
      <c r="AFY25" s="15" t="s">
        <v>77</v>
      </c>
      <c r="AFZ25" s="15" t="s">
        <v>77</v>
      </c>
      <c r="AGA25" s="15" t="s">
        <v>77</v>
      </c>
      <c r="AGB25" s="15" t="s">
        <v>77</v>
      </c>
      <c r="AGC25" s="15" t="s">
        <v>77</v>
      </c>
      <c r="AGD25" s="15" t="s">
        <v>77</v>
      </c>
      <c r="AGE25" s="15" t="s">
        <v>77</v>
      </c>
      <c r="AGF25" s="15" t="s">
        <v>77</v>
      </c>
      <c r="AGG25" s="15" t="s">
        <v>77</v>
      </c>
      <c r="AGH25" s="15" t="s">
        <v>77</v>
      </c>
      <c r="AGI25" s="15" t="s">
        <v>77</v>
      </c>
      <c r="AGJ25" s="15" t="s">
        <v>77</v>
      </c>
      <c r="AGK25" s="15" t="s">
        <v>77</v>
      </c>
      <c r="AGL25" s="15" t="s">
        <v>77</v>
      </c>
      <c r="AGM25" s="15" t="s">
        <v>77</v>
      </c>
      <c r="AGN25" s="15" t="s">
        <v>77</v>
      </c>
      <c r="AGO25" s="15" t="s">
        <v>77</v>
      </c>
      <c r="AGP25" s="15" t="s">
        <v>77</v>
      </c>
      <c r="AGQ25" s="15" t="s">
        <v>77</v>
      </c>
      <c r="AGR25" s="15" t="s">
        <v>77</v>
      </c>
      <c r="AGS25" s="15" t="s">
        <v>77</v>
      </c>
      <c r="AGT25" s="15" t="s">
        <v>77</v>
      </c>
      <c r="AGU25" s="15" t="s">
        <v>77</v>
      </c>
      <c r="AGV25" s="15" t="s">
        <v>77</v>
      </c>
      <c r="AGW25" s="15" t="s">
        <v>77</v>
      </c>
      <c r="AGX25" s="15" t="s">
        <v>77</v>
      </c>
      <c r="AGY25" s="15" t="s">
        <v>77</v>
      </c>
      <c r="AGZ25" s="15" t="s">
        <v>77</v>
      </c>
      <c r="AHA25" s="15" t="s">
        <v>77</v>
      </c>
      <c r="AHB25" s="15" t="s">
        <v>77</v>
      </c>
      <c r="AHC25" s="15" t="s">
        <v>77</v>
      </c>
      <c r="AHD25" s="15" t="s">
        <v>77</v>
      </c>
      <c r="AHE25" s="15" t="s">
        <v>77</v>
      </c>
      <c r="AHF25" s="15" t="s">
        <v>77</v>
      </c>
      <c r="AHG25" s="15" t="s">
        <v>77</v>
      </c>
      <c r="AHH25" s="15" t="s">
        <v>77</v>
      </c>
      <c r="AHI25" s="15" t="s">
        <v>77</v>
      </c>
      <c r="AHJ25" s="15" t="s">
        <v>77</v>
      </c>
      <c r="AHK25" s="15" t="s">
        <v>77</v>
      </c>
      <c r="AHL25" s="15" t="s">
        <v>77</v>
      </c>
      <c r="AHM25" s="15" t="s">
        <v>77</v>
      </c>
      <c r="AHN25" s="15" t="s">
        <v>77</v>
      </c>
      <c r="AHO25" s="15" t="s">
        <v>77</v>
      </c>
      <c r="AHP25" s="15" t="s">
        <v>77</v>
      </c>
      <c r="AHQ25" s="15" t="s">
        <v>77</v>
      </c>
      <c r="AHR25" s="15" t="s">
        <v>77</v>
      </c>
      <c r="AHS25" s="15" t="s">
        <v>77</v>
      </c>
      <c r="AHT25" s="15" t="s">
        <v>77</v>
      </c>
      <c r="AHU25" s="15" t="s">
        <v>77</v>
      </c>
      <c r="AHV25" s="15" t="s">
        <v>77</v>
      </c>
      <c r="AHW25" s="15" t="s">
        <v>77</v>
      </c>
      <c r="AHX25" s="15" t="s">
        <v>77</v>
      </c>
      <c r="AHY25" s="15" t="s">
        <v>77</v>
      </c>
      <c r="AHZ25" s="15" t="s">
        <v>77</v>
      </c>
      <c r="AIA25" s="15" t="s">
        <v>77</v>
      </c>
      <c r="AIB25" s="15" t="s">
        <v>77</v>
      </c>
      <c r="AIC25" s="15" t="s">
        <v>77</v>
      </c>
      <c r="AID25" s="15" t="s">
        <v>77</v>
      </c>
      <c r="AIE25" s="15" t="s">
        <v>77</v>
      </c>
      <c r="AIF25" s="15" t="s">
        <v>77</v>
      </c>
      <c r="AIG25" s="15" t="s">
        <v>77</v>
      </c>
      <c r="AIH25" s="15" t="s">
        <v>77</v>
      </c>
      <c r="AII25" s="15" t="s">
        <v>77</v>
      </c>
      <c r="AIJ25" s="15" t="s">
        <v>77</v>
      </c>
      <c r="AIK25" s="15" t="s">
        <v>77</v>
      </c>
      <c r="AIL25" s="15" t="s">
        <v>77</v>
      </c>
      <c r="AIM25" s="15" t="s">
        <v>77</v>
      </c>
      <c r="AIN25" s="15" t="s">
        <v>77</v>
      </c>
      <c r="AIO25" s="15" t="s">
        <v>77</v>
      </c>
      <c r="AIP25" s="15" t="s">
        <v>77</v>
      </c>
      <c r="AIQ25" s="15" t="s">
        <v>77</v>
      </c>
      <c r="AIR25" s="15" t="s">
        <v>77</v>
      </c>
      <c r="AIS25" s="15" t="s">
        <v>77</v>
      </c>
      <c r="AIT25" s="15" t="s">
        <v>77</v>
      </c>
      <c r="AIU25" s="15" t="s">
        <v>77</v>
      </c>
      <c r="AIV25" s="15" t="s">
        <v>77</v>
      </c>
      <c r="AIW25" s="15" t="s">
        <v>77</v>
      </c>
      <c r="AIX25" s="15" t="s">
        <v>77</v>
      </c>
      <c r="AIY25" s="15" t="s">
        <v>77</v>
      </c>
      <c r="AIZ25" s="15" t="s">
        <v>77</v>
      </c>
      <c r="AJA25" s="20" t="s">
        <v>77</v>
      </c>
      <c r="AJB25" s="20" t="s">
        <v>77</v>
      </c>
      <c r="AJC25" s="15" t="s">
        <v>77</v>
      </c>
      <c r="AJD25" s="20" t="s">
        <v>77</v>
      </c>
      <c r="AJE25" s="20" t="s">
        <v>77</v>
      </c>
      <c r="AJF25" s="15"/>
      <c r="AJG25" s="15" t="s">
        <v>101</v>
      </c>
      <c r="AJH25" s="15" t="s">
        <v>101</v>
      </c>
      <c r="AJI25" s="15" t="s">
        <v>101</v>
      </c>
      <c r="AJJ25" s="15" t="s">
        <v>101</v>
      </c>
      <c r="AJK25" s="15" t="s">
        <v>101</v>
      </c>
      <c r="AJL25" s="15" t="s">
        <v>101</v>
      </c>
      <c r="AJM25" s="15" t="s">
        <v>101</v>
      </c>
      <c r="AJN25" s="15"/>
      <c r="AJO25" s="15" t="s">
        <v>101</v>
      </c>
      <c r="AJP25" s="15" t="s">
        <v>101</v>
      </c>
      <c r="AJQ25" s="15" t="s">
        <v>101</v>
      </c>
      <c r="AJR25" s="15" t="s">
        <v>101</v>
      </c>
      <c r="AJS25" s="15" t="s">
        <v>101</v>
      </c>
      <c r="AJT25" s="15" t="s">
        <v>101</v>
      </c>
      <c r="AJU25" s="15" t="s">
        <v>101</v>
      </c>
      <c r="AJV25" s="15" t="s">
        <v>101</v>
      </c>
      <c r="AJW25" s="15" t="s">
        <v>101</v>
      </c>
      <c r="AJX25" s="15"/>
      <c r="AJY25" s="15" t="s">
        <v>101</v>
      </c>
      <c r="AJZ25" s="15" t="s">
        <v>101</v>
      </c>
      <c r="AKA25" s="15" t="s">
        <v>101</v>
      </c>
      <c r="AKB25" s="15" t="s">
        <v>101</v>
      </c>
      <c r="AKC25" s="15" t="s">
        <v>101</v>
      </c>
      <c r="AKD25" s="15" t="s">
        <v>101</v>
      </c>
      <c r="AKE25" s="15" t="s">
        <v>101</v>
      </c>
      <c r="AKF25" s="15" t="s">
        <v>101</v>
      </c>
      <c r="AKG25" s="15" t="s">
        <v>101</v>
      </c>
      <c r="AKH25" s="15" t="s">
        <v>101</v>
      </c>
      <c r="AKI25" s="15"/>
      <c r="AKJ25" s="15" t="s">
        <v>101</v>
      </c>
      <c r="AKK25" s="15" t="s">
        <v>101</v>
      </c>
      <c r="AKL25" s="15" t="s">
        <v>101</v>
      </c>
      <c r="AKM25" s="15" t="s">
        <v>101</v>
      </c>
      <c r="AKN25" s="15" t="s">
        <v>101</v>
      </c>
      <c r="AKO25" s="15" t="s">
        <v>101</v>
      </c>
      <c r="AKP25" s="15" t="s">
        <v>77</v>
      </c>
      <c r="AKQ25" s="15" t="s">
        <v>77</v>
      </c>
      <c r="AKR25" s="15" t="s">
        <v>77</v>
      </c>
      <c r="AKS25" s="15" t="s">
        <v>77</v>
      </c>
      <c r="AKT25" s="15" t="s">
        <v>77</v>
      </c>
      <c r="AKU25" s="15" t="s">
        <v>77</v>
      </c>
      <c r="AKV25" s="15" t="s">
        <v>77</v>
      </c>
      <c r="AKW25" s="15" t="s">
        <v>77</v>
      </c>
      <c r="AKX25" s="15"/>
      <c r="AKY25" s="15" t="s">
        <v>101</v>
      </c>
      <c r="AKZ25" s="15" t="s">
        <v>101</v>
      </c>
      <c r="ALA25" s="15" t="s">
        <v>101</v>
      </c>
      <c r="ALB25" s="15" t="s">
        <v>101</v>
      </c>
      <c r="ALC25" s="15" t="s">
        <v>101</v>
      </c>
      <c r="ALD25" s="15" t="s">
        <v>101</v>
      </c>
      <c r="ALE25" s="15" t="s">
        <v>77</v>
      </c>
      <c r="ALF25" s="20" t="s">
        <v>77</v>
      </c>
      <c r="ALG25" s="20" t="s">
        <v>77</v>
      </c>
      <c r="ALH25" s="20" t="s">
        <v>77</v>
      </c>
      <c r="ALI25" s="20" t="s">
        <v>77</v>
      </c>
      <c r="ALJ25" s="20" t="s">
        <v>77</v>
      </c>
      <c r="ALK25" s="20" t="s">
        <v>77</v>
      </c>
      <c r="ALL25" s="20" t="s">
        <v>77</v>
      </c>
      <c r="ALM25" s="15"/>
      <c r="ALN25" s="15" t="s">
        <v>101</v>
      </c>
      <c r="ALO25" s="15" t="s">
        <v>101</v>
      </c>
      <c r="ALP25" s="15" t="s">
        <v>101</v>
      </c>
      <c r="ALQ25" s="15" t="s">
        <v>101</v>
      </c>
      <c r="ALR25" s="15" t="s">
        <v>101</v>
      </c>
      <c r="ALS25" s="15" t="s">
        <v>101</v>
      </c>
      <c r="ALT25" s="15" t="s">
        <v>77</v>
      </c>
      <c r="ALU25" s="20" t="s">
        <v>77</v>
      </c>
      <c r="ALV25" s="20" t="s">
        <v>77</v>
      </c>
      <c r="ALW25" s="20" t="s">
        <v>77</v>
      </c>
      <c r="ALX25" s="20" t="s">
        <v>77</v>
      </c>
      <c r="ALY25" s="20" t="s">
        <v>77</v>
      </c>
      <c r="ALZ25" s="20" t="s">
        <v>77</v>
      </c>
      <c r="AMA25" s="20" t="s">
        <v>77</v>
      </c>
      <c r="AMB25" s="20" t="s">
        <v>77</v>
      </c>
      <c r="AMC25" s="15"/>
      <c r="AMD25" s="15" t="s">
        <v>101</v>
      </c>
      <c r="AME25" s="15" t="s">
        <v>101</v>
      </c>
      <c r="AMF25" s="15" t="s">
        <v>101</v>
      </c>
      <c r="AMG25" s="15" t="s">
        <v>101</v>
      </c>
      <c r="AMH25" s="15" t="s">
        <v>101</v>
      </c>
      <c r="AMI25" s="15" t="s">
        <v>101</v>
      </c>
      <c r="AMJ25" s="15" t="s">
        <v>77</v>
      </c>
      <c r="AMK25" s="15" t="s">
        <v>77</v>
      </c>
      <c r="AML25" s="15" t="s">
        <v>77</v>
      </c>
      <c r="AMM25" s="15" t="s">
        <v>77</v>
      </c>
      <c r="AMN25" s="15" t="s">
        <v>77</v>
      </c>
      <c r="AMO25" s="15" t="s">
        <v>77</v>
      </c>
      <c r="AMP25" s="15" t="s">
        <v>77</v>
      </c>
      <c r="AMQ25" s="15" t="s">
        <v>77</v>
      </c>
      <c r="AMR25" s="15" t="s">
        <v>77</v>
      </c>
      <c r="AMS25" s="15" t="s">
        <v>77</v>
      </c>
      <c r="AMT25" s="15" t="s">
        <v>77</v>
      </c>
      <c r="AMU25" s="15" t="s">
        <v>77</v>
      </c>
      <c r="AMV25" s="15" t="s">
        <v>77</v>
      </c>
      <c r="AMW25" s="15" t="s">
        <v>77</v>
      </c>
      <c r="AMX25" s="15" t="s">
        <v>77</v>
      </c>
      <c r="AMY25" s="15" t="s">
        <v>77</v>
      </c>
      <c r="AMZ25" s="15" t="s">
        <v>77</v>
      </c>
      <c r="ANA25" s="15" t="s">
        <v>77</v>
      </c>
      <c r="ANB25" s="15" t="s">
        <v>77</v>
      </c>
      <c r="ANC25" s="15" t="s">
        <v>77</v>
      </c>
      <c r="AND25" s="15" t="s">
        <v>77</v>
      </c>
      <c r="ANE25" s="15"/>
      <c r="ANF25" s="15"/>
      <c r="ANG25" s="15"/>
      <c r="ANH25" s="15"/>
      <c r="ANI25" s="15"/>
      <c r="ANJ25" s="15"/>
      <c r="ANK25" s="15"/>
      <c r="ANL25" s="15"/>
      <c r="ANM25" s="15"/>
      <c r="ANN25" s="15"/>
      <c r="ANO25" s="15"/>
      <c r="ANP25" s="15"/>
      <c r="ANQ25" s="15"/>
      <c r="ANR25" s="15"/>
      <c r="ANS25" s="15"/>
      <c r="ANT25" s="15"/>
      <c r="ANU25" s="15"/>
      <c r="ANV25" s="15"/>
      <c r="ANW25" s="15"/>
      <c r="ANX25" s="15"/>
      <c r="ANY25" s="15"/>
      <c r="ANZ25" s="15"/>
      <c r="AOA25" s="15"/>
      <c r="AOB25" s="15"/>
      <c r="AOC25" s="15"/>
      <c r="AOD25" s="15"/>
      <c r="AOE25" s="15"/>
      <c r="AOF25" s="15"/>
      <c r="AOG25" s="15"/>
      <c r="AOH25" s="15"/>
      <c r="AOI25" s="15"/>
      <c r="AOJ25" s="15"/>
      <c r="AOK25" s="15"/>
      <c r="AOL25" s="15"/>
      <c r="AOM25" s="15"/>
      <c r="AON25" s="15"/>
      <c r="AOO25" s="15"/>
      <c r="AOP25" s="15"/>
      <c r="AOQ25" s="15"/>
      <c r="AOR25" s="15"/>
      <c r="AOS25" s="15"/>
      <c r="AOT25" s="15"/>
      <c r="AOU25" s="15"/>
      <c r="AOV25" s="15"/>
      <c r="AOW25" s="15"/>
      <c r="AOX25" s="15"/>
      <c r="AOY25" s="15"/>
      <c r="AOZ25" s="15"/>
      <c r="APA25" s="15"/>
      <c r="APB25" s="15"/>
      <c r="APC25" s="15"/>
      <c r="APD25" s="15"/>
      <c r="APE25" s="15"/>
      <c r="APF25" s="15"/>
      <c r="APG25" s="15"/>
      <c r="APH25" s="15"/>
      <c r="API25" s="15"/>
      <c r="APJ25" s="15"/>
      <c r="APK25" s="15"/>
      <c r="APL25" s="15"/>
      <c r="APM25" s="15"/>
      <c r="APN25" s="15"/>
      <c r="APO25" s="15"/>
      <c r="APP25" s="15"/>
      <c r="APQ25" s="15"/>
      <c r="APR25" s="15"/>
      <c r="APS25" s="15"/>
      <c r="APT25" s="15"/>
      <c r="APU25" s="15"/>
      <c r="APV25" s="15"/>
      <c r="APW25" s="15"/>
      <c r="APX25" s="15"/>
      <c r="APY25" s="15"/>
      <c r="APZ25" s="15"/>
      <c r="AQA25" s="15"/>
      <c r="AQB25" s="15"/>
    </row>
    <row r="26" spans="1:1120" s="17" customFormat="1" ht="15" customHeight="1" x14ac:dyDescent="0.25">
      <c r="A26" s="3" t="s">
        <v>2</v>
      </c>
      <c r="B26" s="6" t="s">
        <v>31</v>
      </c>
      <c r="C26" s="15"/>
      <c r="D26" s="15" t="s">
        <v>78</v>
      </c>
      <c r="E26" s="15" t="s">
        <v>78</v>
      </c>
      <c r="F26" s="15" t="s">
        <v>78</v>
      </c>
      <c r="G26" s="15" t="s">
        <v>78</v>
      </c>
      <c r="H26" s="15" t="s">
        <v>78</v>
      </c>
      <c r="I26" s="15" t="s">
        <v>78</v>
      </c>
      <c r="J26" s="15"/>
      <c r="K26" s="15" t="s">
        <v>78</v>
      </c>
      <c r="L26" s="15" t="s">
        <v>78</v>
      </c>
      <c r="M26" s="15" t="s">
        <v>78</v>
      </c>
      <c r="N26" s="15" t="s">
        <v>78</v>
      </c>
      <c r="O26" s="15" t="s">
        <v>78</v>
      </c>
      <c r="P26" s="15" t="s">
        <v>78</v>
      </c>
      <c r="Q26" s="15"/>
      <c r="R26" s="15" t="s">
        <v>78</v>
      </c>
      <c r="S26" s="15" t="s">
        <v>78</v>
      </c>
      <c r="T26" s="15" t="s">
        <v>78</v>
      </c>
      <c r="U26" s="15" t="s">
        <v>78</v>
      </c>
      <c r="V26" s="15" t="s">
        <v>78</v>
      </c>
      <c r="W26" s="15" t="s">
        <v>78</v>
      </c>
      <c r="X26" s="15"/>
      <c r="Y26" s="15" t="s">
        <v>78</v>
      </c>
      <c r="Z26" s="15" t="s">
        <v>78</v>
      </c>
      <c r="AA26" s="15" t="s">
        <v>78</v>
      </c>
      <c r="AB26" s="15" t="s">
        <v>78</v>
      </c>
      <c r="AC26" s="15" t="s">
        <v>78</v>
      </c>
      <c r="AD26" s="15" t="s">
        <v>78</v>
      </c>
      <c r="AE26" s="15"/>
      <c r="AF26" s="15" t="s">
        <v>78</v>
      </c>
      <c r="AG26" s="15" t="s">
        <v>78</v>
      </c>
      <c r="AH26" s="15" t="s">
        <v>78</v>
      </c>
      <c r="AI26" s="15" t="s">
        <v>78</v>
      </c>
      <c r="AJ26" s="15" t="s">
        <v>78</v>
      </c>
      <c r="AK26" s="15" t="s">
        <v>78</v>
      </c>
      <c r="AL26" s="15"/>
      <c r="AM26" s="15" t="s">
        <v>78</v>
      </c>
      <c r="AN26" s="15" t="s">
        <v>78</v>
      </c>
      <c r="AO26" s="15" t="s">
        <v>78</v>
      </c>
      <c r="AP26" s="15" t="s">
        <v>78</v>
      </c>
      <c r="AQ26" s="15" t="s">
        <v>78</v>
      </c>
      <c r="AR26" s="15" t="s">
        <v>78</v>
      </c>
      <c r="AS26" s="15" t="s">
        <v>78</v>
      </c>
      <c r="AT26" s="15" t="s">
        <v>78</v>
      </c>
      <c r="AU26" s="15" t="s">
        <v>78</v>
      </c>
      <c r="AV26" s="15" t="s">
        <v>78</v>
      </c>
      <c r="AW26" s="15" t="s">
        <v>78</v>
      </c>
      <c r="AX26" s="15" t="s">
        <v>78</v>
      </c>
      <c r="AY26" s="15" t="s">
        <v>78</v>
      </c>
      <c r="AZ26" s="15" t="s">
        <v>78</v>
      </c>
      <c r="BA26" s="15" t="s">
        <v>78</v>
      </c>
      <c r="BB26" s="15" t="s">
        <v>78</v>
      </c>
      <c r="BC26" s="15" t="s">
        <v>78</v>
      </c>
      <c r="BD26" s="15" t="s">
        <v>78</v>
      </c>
      <c r="BE26" s="15" t="s">
        <v>78</v>
      </c>
      <c r="BF26" s="15" t="s">
        <v>78</v>
      </c>
      <c r="BG26" s="15" t="s">
        <v>78</v>
      </c>
      <c r="BH26" s="15" t="s">
        <v>78</v>
      </c>
      <c r="BI26" s="15" t="s">
        <v>78</v>
      </c>
      <c r="BJ26" s="15" t="s">
        <v>78</v>
      </c>
      <c r="BK26" s="15" t="s">
        <v>78</v>
      </c>
      <c r="BL26" s="15" t="s">
        <v>78</v>
      </c>
      <c r="BM26" s="15" t="s">
        <v>78</v>
      </c>
      <c r="BN26" s="15" t="s">
        <v>78</v>
      </c>
      <c r="BO26" s="15" t="s">
        <v>78</v>
      </c>
      <c r="BP26" s="15" t="s">
        <v>78</v>
      </c>
      <c r="BQ26" s="15" t="s">
        <v>78</v>
      </c>
      <c r="BR26" s="15" t="s">
        <v>78</v>
      </c>
      <c r="BS26" s="15" t="s">
        <v>78</v>
      </c>
      <c r="BT26" s="15" t="s">
        <v>78</v>
      </c>
      <c r="BU26" s="15" t="s">
        <v>78</v>
      </c>
      <c r="BV26" s="15" t="s">
        <v>78</v>
      </c>
      <c r="BW26" s="15" t="s">
        <v>78</v>
      </c>
      <c r="BX26" s="15" t="s">
        <v>78</v>
      </c>
      <c r="BY26" s="15" t="s">
        <v>78</v>
      </c>
      <c r="BZ26" s="15" t="s">
        <v>78</v>
      </c>
      <c r="CA26" s="15" t="s">
        <v>78</v>
      </c>
      <c r="CB26" s="15" t="s">
        <v>78</v>
      </c>
      <c r="CC26" s="15" t="s">
        <v>78</v>
      </c>
      <c r="CD26" s="15" t="s">
        <v>78</v>
      </c>
      <c r="CE26" s="15" t="s">
        <v>78</v>
      </c>
      <c r="CF26" s="15" t="s">
        <v>78</v>
      </c>
      <c r="CG26" s="15" t="s">
        <v>78</v>
      </c>
      <c r="CH26" s="15" t="s">
        <v>78</v>
      </c>
      <c r="CI26" s="15" t="s">
        <v>78</v>
      </c>
      <c r="CJ26" s="15" t="s">
        <v>78</v>
      </c>
      <c r="CK26" s="15" t="s">
        <v>78</v>
      </c>
      <c r="CL26" s="15" t="s">
        <v>78</v>
      </c>
      <c r="CM26" s="15" t="s">
        <v>78</v>
      </c>
      <c r="CN26" s="15" t="s">
        <v>78</v>
      </c>
      <c r="CO26" s="15" t="s">
        <v>78</v>
      </c>
      <c r="CP26" s="15" t="s">
        <v>78</v>
      </c>
      <c r="CQ26" s="15" t="s">
        <v>78</v>
      </c>
      <c r="CR26" s="15" t="s">
        <v>78</v>
      </c>
      <c r="CS26" s="15" t="s">
        <v>78</v>
      </c>
      <c r="CT26" s="15" t="s">
        <v>78</v>
      </c>
      <c r="CU26" s="15" t="s">
        <v>78</v>
      </c>
      <c r="CV26" s="15" t="s">
        <v>78</v>
      </c>
      <c r="CW26" s="15" t="s">
        <v>78</v>
      </c>
      <c r="CX26" s="15" t="s">
        <v>78</v>
      </c>
      <c r="CY26" s="15" t="s">
        <v>78</v>
      </c>
      <c r="CZ26" s="15" t="s">
        <v>78</v>
      </c>
      <c r="DA26" s="15" t="s">
        <v>78</v>
      </c>
      <c r="DB26" s="15" t="s">
        <v>78</v>
      </c>
      <c r="DC26" s="15" t="s">
        <v>78</v>
      </c>
      <c r="DD26" s="15" t="s">
        <v>78</v>
      </c>
      <c r="DE26" s="15" t="s">
        <v>78</v>
      </c>
      <c r="DF26" s="15" t="s">
        <v>78</v>
      </c>
      <c r="DG26" s="15" t="s">
        <v>78</v>
      </c>
      <c r="DH26" s="15" t="s">
        <v>78</v>
      </c>
      <c r="DI26" s="15" t="s">
        <v>78</v>
      </c>
      <c r="DJ26" s="15" t="s">
        <v>78</v>
      </c>
      <c r="DK26" s="15" t="s">
        <v>78</v>
      </c>
      <c r="DL26" s="15" t="s">
        <v>78</v>
      </c>
      <c r="DM26" s="15" t="s">
        <v>78</v>
      </c>
      <c r="DN26" s="15" t="s">
        <v>78</v>
      </c>
      <c r="DO26" s="15" t="s">
        <v>78</v>
      </c>
      <c r="DP26" s="15" t="s">
        <v>78</v>
      </c>
      <c r="DQ26" s="15" t="s">
        <v>78</v>
      </c>
      <c r="DR26" s="15" t="s">
        <v>78</v>
      </c>
      <c r="DS26" s="15" t="s">
        <v>78</v>
      </c>
      <c r="DT26" s="15" t="s">
        <v>78</v>
      </c>
      <c r="DU26" s="15" t="s">
        <v>78</v>
      </c>
      <c r="DV26" s="15" t="s">
        <v>78</v>
      </c>
      <c r="DW26" s="15" t="s">
        <v>78</v>
      </c>
      <c r="DX26" s="15" t="s">
        <v>78</v>
      </c>
      <c r="DY26" s="15" t="s">
        <v>78</v>
      </c>
      <c r="DZ26" s="15" t="s">
        <v>78</v>
      </c>
      <c r="EA26" s="15" t="s">
        <v>78</v>
      </c>
      <c r="EB26" s="15" t="s">
        <v>78</v>
      </c>
      <c r="EC26" s="15" t="s">
        <v>78</v>
      </c>
      <c r="ED26" s="15" t="s">
        <v>78</v>
      </c>
      <c r="EE26" s="15" t="s">
        <v>78</v>
      </c>
      <c r="EF26" s="15" t="s">
        <v>78</v>
      </c>
      <c r="EG26" s="15" t="s">
        <v>78</v>
      </c>
      <c r="EH26" s="15" t="s">
        <v>78</v>
      </c>
      <c r="EI26" s="15" t="s">
        <v>78</v>
      </c>
      <c r="EJ26" s="15" t="s">
        <v>78</v>
      </c>
      <c r="EK26" s="15" t="s">
        <v>78</v>
      </c>
      <c r="EL26" s="15" t="s">
        <v>78</v>
      </c>
      <c r="EM26" s="15" t="s">
        <v>78</v>
      </c>
      <c r="EN26" s="15" t="s">
        <v>78</v>
      </c>
      <c r="EO26" s="15" t="s">
        <v>78</v>
      </c>
      <c r="EP26" s="15" t="s">
        <v>78</v>
      </c>
      <c r="EQ26" s="15" t="s">
        <v>78</v>
      </c>
      <c r="ER26" s="15" t="s">
        <v>78</v>
      </c>
      <c r="ES26" s="15" t="s">
        <v>78</v>
      </c>
      <c r="ET26" s="15" t="s">
        <v>78</v>
      </c>
      <c r="EU26" s="15" t="s">
        <v>78</v>
      </c>
      <c r="EV26" s="15" t="s">
        <v>78</v>
      </c>
      <c r="EW26" s="15" t="s">
        <v>78</v>
      </c>
      <c r="EX26" s="15" t="s">
        <v>78</v>
      </c>
      <c r="EY26" s="15" t="s">
        <v>78</v>
      </c>
      <c r="EZ26" s="15" t="s">
        <v>78</v>
      </c>
      <c r="FA26" s="15" t="s">
        <v>78</v>
      </c>
      <c r="FB26" s="15" t="s">
        <v>78</v>
      </c>
      <c r="FC26" s="15" t="s">
        <v>78</v>
      </c>
      <c r="FD26" s="15"/>
      <c r="FE26" s="15" t="s">
        <v>78</v>
      </c>
      <c r="FF26" s="15" t="s">
        <v>78</v>
      </c>
      <c r="FG26" s="15" t="s">
        <v>78</v>
      </c>
      <c r="FH26" s="15" t="s">
        <v>78</v>
      </c>
      <c r="FI26" s="15" t="s">
        <v>78</v>
      </c>
      <c r="FJ26" s="15" t="s">
        <v>78</v>
      </c>
      <c r="FK26" s="15" t="s">
        <v>78</v>
      </c>
      <c r="FL26" s="20" t="s">
        <v>78</v>
      </c>
      <c r="FM26" s="15" t="s">
        <v>78</v>
      </c>
      <c r="FN26" s="15" t="s">
        <v>78</v>
      </c>
      <c r="FO26" s="15" t="s">
        <v>78</v>
      </c>
      <c r="FP26" s="15" t="s">
        <v>78</v>
      </c>
      <c r="FQ26" s="15" t="s">
        <v>78</v>
      </c>
      <c r="FR26" s="15" t="s">
        <v>78</v>
      </c>
      <c r="FS26" s="15" t="s">
        <v>78</v>
      </c>
      <c r="FT26" s="15" t="s">
        <v>78</v>
      </c>
      <c r="FU26" s="15" t="s">
        <v>78</v>
      </c>
      <c r="FV26" s="15" t="s">
        <v>78</v>
      </c>
      <c r="FW26" s="15" t="s">
        <v>78</v>
      </c>
      <c r="FX26" s="15" t="s">
        <v>78</v>
      </c>
      <c r="FY26" s="15" t="s">
        <v>78</v>
      </c>
      <c r="FZ26" s="15" t="s">
        <v>78</v>
      </c>
      <c r="GA26" s="15" t="s">
        <v>78</v>
      </c>
      <c r="GB26" s="15" t="s">
        <v>78</v>
      </c>
      <c r="GC26" s="15" t="s">
        <v>78</v>
      </c>
      <c r="GD26" s="15" t="s">
        <v>78</v>
      </c>
      <c r="GE26" s="15" t="s">
        <v>78</v>
      </c>
      <c r="GF26" s="15" t="s">
        <v>78</v>
      </c>
      <c r="GG26" s="20" t="s">
        <v>78</v>
      </c>
      <c r="GH26" s="15" t="s">
        <v>78</v>
      </c>
      <c r="GI26" s="15" t="s">
        <v>78</v>
      </c>
      <c r="GJ26" s="15" t="s">
        <v>78</v>
      </c>
      <c r="GK26" s="15" t="s">
        <v>78</v>
      </c>
      <c r="GL26" s="15" t="s">
        <v>78</v>
      </c>
      <c r="GM26" s="15" t="s">
        <v>78</v>
      </c>
      <c r="GN26" s="20" t="s">
        <v>78</v>
      </c>
      <c r="GO26" s="15" t="s">
        <v>78</v>
      </c>
      <c r="GP26" s="15" t="s">
        <v>78</v>
      </c>
      <c r="GQ26" s="15" t="s">
        <v>78</v>
      </c>
      <c r="GR26" s="15" t="s">
        <v>78</v>
      </c>
      <c r="GS26" s="15" t="s">
        <v>78</v>
      </c>
      <c r="GT26" s="15" t="s">
        <v>78</v>
      </c>
      <c r="GU26" s="20" t="s">
        <v>78</v>
      </c>
      <c r="GV26" s="15" t="s">
        <v>78</v>
      </c>
      <c r="GW26" s="15" t="s">
        <v>78</v>
      </c>
      <c r="GX26" s="15" t="s">
        <v>78</v>
      </c>
      <c r="GY26" s="15" t="s">
        <v>78</v>
      </c>
      <c r="GZ26" s="15" t="s">
        <v>78</v>
      </c>
      <c r="HA26" s="15" t="s">
        <v>78</v>
      </c>
      <c r="HB26" s="20" t="s">
        <v>78</v>
      </c>
      <c r="HC26" s="15" t="s">
        <v>78</v>
      </c>
      <c r="HD26" s="15" t="s">
        <v>78</v>
      </c>
      <c r="HE26" s="15" t="s">
        <v>78</v>
      </c>
      <c r="HF26" s="15" t="s">
        <v>78</v>
      </c>
      <c r="HG26" s="15" t="s">
        <v>78</v>
      </c>
      <c r="HH26" s="15" t="s">
        <v>78</v>
      </c>
      <c r="HI26" s="20" t="s">
        <v>78</v>
      </c>
      <c r="HJ26" s="15" t="s">
        <v>78</v>
      </c>
      <c r="HK26" s="15" t="s">
        <v>78</v>
      </c>
      <c r="HL26" s="15" t="s">
        <v>78</v>
      </c>
      <c r="HM26" s="15" t="s">
        <v>78</v>
      </c>
      <c r="HN26" s="15" t="s">
        <v>78</v>
      </c>
      <c r="HO26" s="15" t="s">
        <v>78</v>
      </c>
      <c r="HP26" s="20" t="s">
        <v>78</v>
      </c>
      <c r="HQ26" s="15" t="s">
        <v>78</v>
      </c>
      <c r="HR26" s="15" t="s">
        <v>78</v>
      </c>
      <c r="HS26" s="15" t="s">
        <v>78</v>
      </c>
      <c r="HT26" s="15" t="s">
        <v>78</v>
      </c>
      <c r="HU26" s="15" t="s">
        <v>78</v>
      </c>
      <c r="HV26" s="15" t="s">
        <v>78</v>
      </c>
      <c r="HW26" s="20" t="s">
        <v>78</v>
      </c>
      <c r="HX26" s="20" t="s">
        <v>78</v>
      </c>
      <c r="HY26" s="20" t="s">
        <v>78</v>
      </c>
      <c r="HZ26" s="20" t="s">
        <v>78</v>
      </c>
      <c r="IA26" s="20" t="s">
        <v>78</v>
      </c>
      <c r="IB26" s="15"/>
      <c r="IC26" s="15" t="s">
        <v>78</v>
      </c>
      <c r="ID26" s="15" t="s">
        <v>78</v>
      </c>
      <c r="IE26" s="15" t="s">
        <v>78</v>
      </c>
      <c r="IF26" s="15" t="s">
        <v>78</v>
      </c>
      <c r="IG26" s="15" t="s">
        <v>78</v>
      </c>
      <c r="IH26" s="15" t="s">
        <v>78</v>
      </c>
      <c r="II26" s="15" t="s">
        <v>78</v>
      </c>
      <c r="IJ26" s="15" t="s">
        <v>78</v>
      </c>
      <c r="IK26" s="15"/>
      <c r="IL26" s="15" t="s">
        <v>78</v>
      </c>
      <c r="IM26" s="15" t="s">
        <v>78</v>
      </c>
      <c r="IN26" s="15" t="s">
        <v>78</v>
      </c>
      <c r="IO26" s="15" t="s">
        <v>78</v>
      </c>
      <c r="IP26" s="15" t="s">
        <v>78</v>
      </c>
      <c r="IQ26" s="15" t="s">
        <v>78</v>
      </c>
      <c r="IR26" s="15" t="s">
        <v>78</v>
      </c>
      <c r="IS26" s="15" t="s">
        <v>180</v>
      </c>
      <c r="IT26" s="20" t="s">
        <v>78</v>
      </c>
      <c r="IU26" s="20" t="s">
        <v>78</v>
      </c>
      <c r="IV26" s="20" t="s">
        <v>78</v>
      </c>
      <c r="IW26" s="20" t="s">
        <v>78</v>
      </c>
      <c r="IX26" s="20" t="s">
        <v>180</v>
      </c>
      <c r="IY26" s="20" t="s">
        <v>181</v>
      </c>
      <c r="IZ26" s="24" t="s">
        <v>182</v>
      </c>
      <c r="JA26" s="24" t="s">
        <v>182</v>
      </c>
      <c r="JB26" s="24" t="s">
        <v>182</v>
      </c>
      <c r="JC26" s="24" t="s">
        <v>182</v>
      </c>
      <c r="JD26" s="24" t="s">
        <v>182</v>
      </c>
      <c r="JE26" s="24" t="s">
        <v>182</v>
      </c>
      <c r="JF26" s="24" t="s">
        <v>182</v>
      </c>
      <c r="JG26" s="24" t="s">
        <v>182</v>
      </c>
      <c r="JH26" s="20" t="s">
        <v>78</v>
      </c>
      <c r="JI26" s="20" t="s">
        <v>78</v>
      </c>
      <c r="JJ26" s="20" t="s">
        <v>78</v>
      </c>
      <c r="JK26" s="20" t="s">
        <v>78</v>
      </c>
      <c r="JL26" s="20" t="s">
        <v>78</v>
      </c>
      <c r="JM26" s="20" t="s">
        <v>78</v>
      </c>
      <c r="JN26" s="20" t="s">
        <v>78</v>
      </c>
      <c r="JO26" s="20" t="s">
        <v>78</v>
      </c>
      <c r="JP26" s="20" t="s">
        <v>78</v>
      </c>
      <c r="JQ26" s="20" t="s">
        <v>78</v>
      </c>
      <c r="JR26" s="20" t="s">
        <v>78</v>
      </c>
      <c r="JS26" s="20" t="s">
        <v>78</v>
      </c>
      <c r="JT26" s="20" t="s">
        <v>180</v>
      </c>
      <c r="JU26" s="20" t="s">
        <v>180</v>
      </c>
      <c r="JV26" s="20" t="s">
        <v>180</v>
      </c>
      <c r="JW26" s="20" t="s">
        <v>78</v>
      </c>
      <c r="JX26" s="20" t="s">
        <v>78</v>
      </c>
      <c r="JY26" s="20" t="s">
        <v>78</v>
      </c>
      <c r="JZ26" s="20" t="s">
        <v>78</v>
      </c>
      <c r="KA26" s="20" t="s">
        <v>78</v>
      </c>
      <c r="KB26" s="20" t="s">
        <v>78</v>
      </c>
      <c r="KC26" s="20" t="s">
        <v>78</v>
      </c>
      <c r="KD26" s="20" t="s">
        <v>78</v>
      </c>
      <c r="KE26" s="20" t="s">
        <v>78</v>
      </c>
      <c r="KF26" s="20" t="s">
        <v>78</v>
      </c>
      <c r="KG26" s="20" t="s">
        <v>78</v>
      </c>
      <c r="KH26" s="20" t="s">
        <v>78</v>
      </c>
      <c r="KI26" s="20" t="s">
        <v>78</v>
      </c>
      <c r="KJ26" s="20" t="s">
        <v>78</v>
      </c>
      <c r="KK26" s="20" t="s">
        <v>78</v>
      </c>
      <c r="KL26" s="20" t="s">
        <v>78</v>
      </c>
      <c r="KM26" s="20" t="s">
        <v>78</v>
      </c>
      <c r="KN26" s="20" t="s">
        <v>78</v>
      </c>
      <c r="KO26" s="20" t="s">
        <v>78</v>
      </c>
      <c r="KP26" s="20" t="s">
        <v>78</v>
      </c>
      <c r="KQ26" s="20" t="s">
        <v>78</v>
      </c>
      <c r="KR26" s="20" t="s">
        <v>78</v>
      </c>
      <c r="KS26" s="20" t="s">
        <v>78</v>
      </c>
      <c r="KT26" s="20" t="s">
        <v>78</v>
      </c>
      <c r="KU26" s="20" t="s">
        <v>78</v>
      </c>
      <c r="KV26" s="20" t="s">
        <v>78</v>
      </c>
      <c r="KW26" s="20" t="s">
        <v>78</v>
      </c>
      <c r="KX26" s="20" t="s">
        <v>78</v>
      </c>
      <c r="KY26" s="20" t="s">
        <v>78</v>
      </c>
      <c r="KZ26" s="20" t="s">
        <v>78</v>
      </c>
      <c r="LA26" s="20" t="s">
        <v>78</v>
      </c>
      <c r="LB26" s="20" t="s">
        <v>78</v>
      </c>
      <c r="LC26" s="20" t="s">
        <v>78</v>
      </c>
      <c r="LD26" s="20" t="s">
        <v>78</v>
      </c>
      <c r="LE26" s="20" t="s">
        <v>78</v>
      </c>
      <c r="LF26" s="20" t="s">
        <v>78</v>
      </c>
      <c r="LG26" s="20" t="s">
        <v>78</v>
      </c>
      <c r="LH26" s="20" t="s">
        <v>78</v>
      </c>
      <c r="LI26" s="20" t="s">
        <v>78</v>
      </c>
      <c r="LJ26" s="20" t="s">
        <v>78</v>
      </c>
      <c r="LK26" s="20" t="s">
        <v>180</v>
      </c>
      <c r="LL26" s="20" t="s">
        <v>180</v>
      </c>
      <c r="LM26" s="20" t="s">
        <v>181</v>
      </c>
      <c r="LN26" s="20" t="s">
        <v>181</v>
      </c>
      <c r="LO26" s="20" t="s">
        <v>182</v>
      </c>
      <c r="LP26" s="20" t="s">
        <v>182</v>
      </c>
      <c r="LQ26" s="20" t="s">
        <v>182</v>
      </c>
      <c r="LR26" s="15" t="s">
        <v>180</v>
      </c>
      <c r="LS26" s="15" t="s">
        <v>180</v>
      </c>
      <c r="LT26" s="20" t="s">
        <v>182</v>
      </c>
      <c r="LU26" s="20" t="s">
        <v>180</v>
      </c>
      <c r="LV26" s="20" t="s">
        <v>78</v>
      </c>
      <c r="LW26" s="20" t="s">
        <v>181</v>
      </c>
      <c r="LX26" s="20" t="s">
        <v>78</v>
      </c>
      <c r="LY26" s="20" t="s">
        <v>182</v>
      </c>
      <c r="LZ26" s="15" t="s">
        <v>180</v>
      </c>
      <c r="MA26" s="15" t="s">
        <v>180</v>
      </c>
      <c r="MB26" s="15" t="s">
        <v>180</v>
      </c>
      <c r="MC26" s="15" t="s">
        <v>180</v>
      </c>
      <c r="MD26" s="15" t="s">
        <v>180</v>
      </c>
      <c r="ME26" s="20" t="s">
        <v>78</v>
      </c>
      <c r="MF26" s="20" t="s">
        <v>78</v>
      </c>
      <c r="MG26" s="15" t="s">
        <v>180</v>
      </c>
      <c r="MH26" s="15" t="s">
        <v>180</v>
      </c>
      <c r="MI26" s="20" t="s">
        <v>78</v>
      </c>
      <c r="MJ26" s="15" t="s">
        <v>78</v>
      </c>
      <c r="MK26" s="15" t="s">
        <v>78</v>
      </c>
      <c r="ML26" s="15" t="s">
        <v>78</v>
      </c>
      <c r="MM26" s="15" t="s">
        <v>78</v>
      </c>
      <c r="MN26" s="15" t="s">
        <v>78</v>
      </c>
      <c r="MO26" s="15" t="s">
        <v>78</v>
      </c>
      <c r="MP26" s="15" t="s">
        <v>78</v>
      </c>
      <c r="MQ26" s="15" t="s">
        <v>78</v>
      </c>
      <c r="MR26" s="15" t="s">
        <v>78</v>
      </c>
      <c r="MS26" s="20" t="s">
        <v>78</v>
      </c>
      <c r="MT26" s="15" t="s">
        <v>78</v>
      </c>
      <c r="MU26" s="15" t="s">
        <v>78</v>
      </c>
      <c r="MV26" s="15" t="s">
        <v>78</v>
      </c>
      <c r="MW26" s="15" t="s">
        <v>78</v>
      </c>
      <c r="MX26" s="15" t="s">
        <v>78</v>
      </c>
      <c r="MY26" s="15" t="s">
        <v>78</v>
      </c>
      <c r="MZ26" s="15" t="s">
        <v>78</v>
      </c>
      <c r="NA26" s="15" t="s">
        <v>78</v>
      </c>
      <c r="NB26" s="15" t="s">
        <v>78</v>
      </c>
      <c r="NC26" s="20" t="s">
        <v>78</v>
      </c>
      <c r="ND26" s="15" t="s">
        <v>78</v>
      </c>
      <c r="NE26" s="15" t="s">
        <v>78</v>
      </c>
      <c r="NF26" s="15" t="s">
        <v>78</v>
      </c>
      <c r="NG26" s="15" t="s">
        <v>78</v>
      </c>
      <c r="NH26" s="15" t="s">
        <v>78</v>
      </c>
      <c r="NI26" s="15" t="s">
        <v>78</v>
      </c>
      <c r="NJ26" s="15" t="s">
        <v>78</v>
      </c>
      <c r="NK26" s="15" t="s">
        <v>78</v>
      </c>
      <c r="NL26" s="15" t="s">
        <v>78</v>
      </c>
      <c r="NM26" s="20" t="s">
        <v>78</v>
      </c>
      <c r="NN26" s="20" t="s">
        <v>78</v>
      </c>
      <c r="NO26" s="20" t="s">
        <v>78</v>
      </c>
      <c r="NP26" s="15" t="s">
        <v>78</v>
      </c>
      <c r="NQ26" s="15" t="s">
        <v>78</v>
      </c>
      <c r="NR26" s="20" t="s">
        <v>78</v>
      </c>
      <c r="NS26" s="20" t="s">
        <v>78</v>
      </c>
      <c r="NT26" s="20" t="s">
        <v>78</v>
      </c>
      <c r="NU26" s="20" t="s">
        <v>78</v>
      </c>
      <c r="NV26" s="20" t="s">
        <v>78</v>
      </c>
      <c r="NW26" s="20" t="s">
        <v>78</v>
      </c>
      <c r="NX26" s="20" t="s">
        <v>180</v>
      </c>
      <c r="NY26" s="20" t="s">
        <v>181</v>
      </c>
      <c r="NZ26" s="20" t="s">
        <v>182</v>
      </c>
      <c r="OA26" s="20" t="s">
        <v>78</v>
      </c>
      <c r="OB26" s="20" t="s">
        <v>78</v>
      </c>
      <c r="OC26" s="20" t="s">
        <v>78</v>
      </c>
      <c r="OD26" s="20" t="s">
        <v>78</v>
      </c>
      <c r="OE26" s="20" t="s">
        <v>78</v>
      </c>
      <c r="OF26" s="20" t="s">
        <v>78</v>
      </c>
      <c r="OG26" s="20" t="s">
        <v>78</v>
      </c>
      <c r="OH26" s="20" t="s">
        <v>78</v>
      </c>
      <c r="OI26" s="20" t="s">
        <v>78</v>
      </c>
      <c r="OJ26" s="20" t="s">
        <v>78</v>
      </c>
      <c r="OK26" s="20" t="s">
        <v>78</v>
      </c>
      <c r="OL26" s="20" t="s">
        <v>78</v>
      </c>
      <c r="OM26" s="20" t="s">
        <v>78</v>
      </c>
      <c r="ON26" s="20" t="s">
        <v>78</v>
      </c>
      <c r="OO26" s="20" t="s">
        <v>78</v>
      </c>
      <c r="OP26" s="20" t="s">
        <v>78</v>
      </c>
      <c r="OQ26" s="20" t="s">
        <v>78</v>
      </c>
      <c r="OR26" s="20" t="s">
        <v>78</v>
      </c>
      <c r="OS26" s="20" t="s">
        <v>78</v>
      </c>
      <c r="OT26" s="20" t="s">
        <v>78</v>
      </c>
      <c r="OU26" s="20" t="s">
        <v>78</v>
      </c>
      <c r="OV26" s="20" t="s">
        <v>78</v>
      </c>
      <c r="OW26" s="20" t="s">
        <v>78</v>
      </c>
      <c r="OX26" s="20" t="s">
        <v>78</v>
      </c>
      <c r="OY26" s="20" t="s">
        <v>78</v>
      </c>
      <c r="OZ26" s="20" t="s">
        <v>78</v>
      </c>
      <c r="PA26" s="20" t="s">
        <v>78</v>
      </c>
      <c r="PB26" s="20" t="s">
        <v>180</v>
      </c>
      <c r="PC26" s="20" t="s">
        <v>181</v>
      </c>
      <c r="PD26" s="20" t="s">
        <v>182</v>
      </c>
      <c r="PE26" s="20" t="s">
        <v>78</v>
      </c>
      <c r="PF26" s="20" t="s">
        <v>78</v>
      </c>
      <c r="PG26" s="20" t="s">
        <v>78</v>
      </c>
      <c r="PH26" s="20" t="s">
        <v>78</v>
      </c>
      <c r="PI26" s="20" t="s">
        <v>78</v>
      </c>
      <c r="PJ26" s="20" t="s">
        <v>78</v>
      </c>
      <c r="PK26" s="20" t="s">
        <v>78</v>
      </c>
      <c r="PL26" s="20" t="s">
        <v>78</v>
      </c>
      <c r="PM26" s="20" t="s">
        <v>180</v>
      </c>
      <c r="PN26" s="20" t="s">
        <v>78</v>
      </c>
      <c r="PO26" s="20" t="s">
        <v>180</v>
      </c>
      <c r="PP26" s="20" t="s">
        <v>182</v>
      </c>
      <c r="PQ26" s="20" t="s">
        <v>78</v>
      </c>
      <c r="PR26" s="20" t="s">
        <v>182</v>
      </c>
      <c r="PS26" s="20" t="s">
        <v>78</v>
      </c>
      <c r="PT26" s="20" t="s">
        <v>180</v>
      </c>
      <c r="PU26" s="15" t="s">
        <v>78</v>
      </c>
      <c r="PV26" s="15" t="s">
        <v>78</v>
      </c>
      <c r="PW26" s="15" t="s">
        <v>78</v>
      </c>
      <c r="PX26" s="20" t="s">
        <v>78</v>
      </c>
      <c r="PY26" s="20" t="s">
        <v>180</v>
      </c>
      <c r="PZ26" s="20" t="s">
        <v>78</v>
      </c>
      <c r="QA26" s="20" t="s">
        <v>78</v>
      </c>
      <c r="QB26" s="20" t="s">
        <v>78</v>
      </c>
      <c r="QC26" s="20" t="s">
        <v>78</v>
      </c>
      <c r="QD26" s="20" t="s">
        <v>78</v>
      </c>
      <c r="QE26" s="20" t="s">
        <v>78</v>
      </c>
      <c r="QF26" s="20" t="s">
        <v>78</v>
      </c>
      <c r="QG26" s="20" t="s">
        <v>78</v>
      </c>
      <c r="QH26" s="15" t="s">
        <v>78</v>
      </c>
      <c r="QI26" s="20" t="s">
        <v>180</v>
      </c>
      <c r="QJ26" s="15" t="s">
        <v>78</v>
      </c>
      <c r="QK26" s="15" t="s">
        <v>78</v>
      </c>
      <c r="QL26" s="15" t="s">
        <v>78</v>
      </c>
      <c r="QM26" s="15" t="s">
        <v>78</v>
      </c>
      <c r="QN26" s="15" t="s">
        <v>78</v>
      </c>
      <c r="QO26" s="20" t="s">
        <v>182</v>
      </c>
      <c r="QP26" s="20" t="s">
        <v>78</v>
      </c>
      <c r="QQ26" s="20" t="s">
        <v>180</v>
      </c>
      <c r="QR26" s="20" t="s">
        <v>78</v>
      </c>
      <c r="QS26" s="20" t="s">
        <v>78</v>
      </c>
      <c r="QT26" s="20" t="s">
        <v>78</v>
      </c>
      <c r="QU26" s="20" t="s">
        <v>78</v>
      </c>
      <c r="QV26" s="20" t="s">
        <v>78</v>
      </c>
      <c r="QW26" s="20" t="s">
        <v>78</v>
      </c>
      <c r="QX26" s="20" t="s">
        <v>78</v>
      </c>
      <c r="QY26" s="20" t="s">
        <v>78</v>
      </c>
      <c r="QZ26" s="20" t="s">
        <v>78</v>
      </c>
      <c r="RA26" s="20" t="s">
        <v>78</v>
      </c>
      <c r="RB26" s="20" t="s">
        <v>78</v>
      </c>
      <c r="RC26" s="20" t="s">
        <v>78</v>
      </c>
      <c r="RD26" s="20" t="s">
        <v>78</v>
      </c>
      <c r="RE26" s="20" t="s">
        <v>78</v>
      </c>
      <c r="RF26" s="20" t="s">
        <v>78</v>
      </c>
      <c r="RG26" s="20" t="s">
        <v>78</v>
      </c>
      <c r="RH26" s="20" t="s">
        <v>78</v>
      </c>
      <c r="RI26" s="20" t="s">
        <v>78</v>
      </c>
      <c r="RJ26" s="20" t="s">
        <v>78</v>
      </c>
      <c r="RK26" s="20" t="s">
        <v>78</v>
      </c>
      <c r="RL26" s="20" t="s">
        <v>78</v>
      </c>
      <c r="RM26" s="20" t="s">
        <v>78</v>
      </c>
      <c r="RN26" s="20" t="s">
        <v>78</v>
      </c>
      <c r="RO26" s="20" t="s">
        <v>78</v>
      </c>
      <c r="RP26" s="20" t="s">
        <v>78</v>
      </c>
      <c r="RQ26" s="20" t="s">
        <v>78</v>
      </c>
      <c r="RR26" s="15" t="s">
        <v>78</v>
      </c>
      <c r="RS26" s="15"/>
      <c r="RT26" s="15" t="s">
        <v>78</v>
      </c>
      <c r="RU26" s="15" t="s">
        <v>78</v>
      </c>
      <c r="RV26" s="15" t="s">
        <v>78</v>
      </c>
      <c r="RW26" s="15" t="s">
        <v>78</v>
      </c>
      <c r="RX26" s="15" t="s">
        <v>78</v>
      </c>
      <c r="RY26" s="15" t="s">
        <v>78</v>
      </c>
      <c r="RZ26" s="15" t="s">
        <v>78</v>
      </c>
      <c r="SA26" s="20" t="s">
        <v>78</v>
      </c>
      <c r="SB26" s="20" t="s">
        <v>78</v>
      </c>
      <c r="SC26" s="20" t="s">
        <v>78</v>
      </c>
      <c r="SD26" s="20" t="s">
        <v>78</v>
      </c>
      <c r="SE26" s="20" t="s">
        <v>78</v>
      </c>
      <c r="SF26" s="20" t="s">
        <v>78</v>
      </c>
      <c r="SG26" s="20" t="s">
        <v>180</v>
      </c>
      <c r="SH26" s="20" t="s">
        <v>181</v>
      </c>
      <c r="SI26" s="20" t="s">
        <v>182</v>
      </c>
      <c r="SJ26" s="20" t="s">
        <v>78</v>
      </c>
      <c r="SK26" s="20" t="s">
        <v>78</v>
      </c>
      <c r="SL26" s="20" t="s">
        <v>78</v>
      </c>
      <c r="SM26" s="20" t="s">
        <v>78</v>
      </c>
      <c r="SN26" s="20" t="s">
        <v>78</v>
      </c>
      <c r="SO26" s="20" t="s">
        <v>78</v>
      </c>
      <c r="SP26" s="20" t="s">
        <v>78</v>
      </c>
      <c r="SQ26" s="20" t="s">
        <v>78</v>
      </c>
      <c r="SR26" s="20" t="s">
        <v>78</v>
      </c>
      <c r="SS26" s="20" t="s">
        <v>78</v>
      </c>
      <c r="ST26" s="20" t="s">
        <v>78</v>
      </c>
      <c r="SU26" s="20" t="s">
        <v>78</v>
      </c>
      <c r="SV26" s="20" t="s">
        <v>78</v>
      </c>
      <c r="SW26" s="20" t="s">
        <v>78</v>
      </c>
      <c r="SX26" s="20" t="s">
        <v>78</v>
      </c>
      <c r="SY26" s="20" t="s">
        <v>78</v>
      </c>
      <c r="SZ26" s="20" t="s">
        <v>78</v>
      </c>
      <c r="TA26" s="20" t="s">
        <v>78</v>
      </c>
      <c r="TB26" s="20" t="s">
        <v>78</v>
      </c>
      <c r="TC26" s="20" t="s">
        <v>78</v>
      </c>
      <c r="TD26" s="20" t="s">
        <v>78</v>
      </c>
      <c r="TE26" s="20" t="s">
        <v>78</v>
      </c>
      <c r="TF26" s="20" t="s">
        <v>78</v>
      </c>
      <c r="TG26" s="20" t="s">
        <v>78</v>
      </c>
      <c r="TH26" s="20" t="s">
        <v>78</v>
      </c>
      <c r="TI26" s="20" t="s">
        <v>78</v>
      </c>
      <c r="TJ26" s="20" t="s">
        <v>180</v>
      </c>
      <c r="TK26" s="20" t="s">
        <v>181</v>
      </c>
      <c r="TL26" s="20" t="s">
        <v>182</v>
      </c>
      <c r="TM26" s="20" t="s">
        <v>78</v>
      </c>
      <c r="TN26" s="20" t="s">
        <v>78</v>
      </c>
      <c r="TO26" s="20" t="s">
        <v>78</v>
      </c>
      <c r="TP26" s="20" t="s">
        <v>78</v>
      </c>
      <c r="TQ26" s="20" t="s">
        <v>78</v>
      </c>
      <c r="TR26" s="20" t="s">
        <v>78</v>
      </c>
      <c r="TS26" s="20" t="s">
        <v>78</v>
      </c>
      <c r="TT26" s="20" t="s">
        <v>78</v>
      </c>
      <c r="TU26" s="20" t="s">
        <v>180</v>
      </c>
      <c r="TV26" s="20" t="s">
        <v>78</v>
      </c>
      <c r="TW26" s="20" t="s">
        <v>180</v>
      </c>
      <c r="TX26" s="20" t="s">
        <v>182</v>
      </c>
      <c r="TY26" s="20" t="s">
        <v>78</v>
      </c>
      <c r="TZ26" s="20" t="s">
        <v>182</v>
      </c>
      <c r="UA26" s="20" t="s">
        <v>78</v>
      </c>
      <c r="UB26" s="20" t="s">
        <v>180</v>
      </c>
      <c r="UC26" s="15" t="s">
        <v>78</v>
      </c>
      <c r="UD26" s="15" t="s">
        <v>78</v>
      </c>
      <c r="UE26" s="15" t="s">
        <v>78</v>
      </c>
      <c r="UF26" s="20" t="s">
        <v>78</v>
      </c>
      <c r="UG26" s="20" t="s">
        <v>180</v>
      </c>
      <c r="UH26" s="20" t="s">
        <v>78</v>
      </c>
      <c r="UI26" s="20" t="s">
        <v>78</v>
      </c>
      <c r="UJ26" s="20" t="s">
        <v>78</v>
      </c>
      <c r="UK26" s="20" t="s">
        <v>78</v>
      </c>
      <c r="UL26" s="20" t="s">
        <v>78</v>
      </c>
      <c r="UM26" s="20" t="s">
        <v>78</v>
      </c>
      <c r="UN26" s="20" t="s">
        <v>78</v>
      </c>
      <c r="UO26" s="20" t="s">
        <v>78</v>
      </c>
      <c r="UP26" s="15" t="s">
        <v>78</v>
      </c>
      <c r="UQ26" s="20" t="s">
        <v>180</v>
      </c>
      <c r="UR26" s="15" t="s">
        <v>78</v>
      </c>
      <c r="US26" s="15" t="s">
        <v>78</v>
      </c>
      <c r="UT26" s="15" t="s">
        <v>78</v>
      </c>
      <c r="UU26" s="15" t="s">
        <v>78</v>
      </c>
      <c r="UV26" s="15" t="s">
        <v>78</v>
      </c>
      <c r="UW26" s="20" t="s">
        <v>182</v>
      </c>
      <c r="UX26" s="20" t="s">
        <v>78</v>
      </c>
      <c r="UY26" s="20" t="s">
        <v>180</v>
      </c>
      <c r="UZ26" s="20" t="s">
        <v>78</v>
      </c>
      <c r="VA26" s="20" t="s">
        <v>78</v>
      </c>
      <c r="VB26" s="20" t="s">
        <v>78</v>
      </c>
      <c r="VC26" s="20" t="s">
        <v>78</v>
      </c>
      <c r="VD26" s="20" t="s">
        <v>78</v>
      </c>
      <c r="VE26" s="20" t="s">
        <v>78</v>
      </c>
      <c r="VF26" s="20" t="s">
        <v>78</v>
      </c>
      <c r="VG26" s="20" t="s">
        <v>78</v>
      </c>
      <c r="VH26" s="20" t="s">
        <v>78</v>
      </c>
      <c r="VI26" s="20" t="s">
        <v>78</v>
      </c>
      <c r="VJ26" s="20" t="s">
        <v>78</v>
      </c>
      <c r="VK26" s="20" t="s">
        <v>78</v>
      </c>
      <c r="VL26" s="20" t="s">
        <v>78</v>
      </c>
      <c r="VM26" s="20" t="s">
        <v>78</v>
      </c>
      <c r="VN26" s="20" t="s">
        <v>78</v>
      </c>
      <c r="VO26" s="20" t="s">
        <v>78</v>
      </c>
      <c r="VP26" s="20" t="s">
        <v>78</v>
      </c>
      <c r="VQ26" s="20" t="s">
        <v>78</v>
      </c>
      <c r="VR26" s="20" t="s">
        <v>78</v>
      </c>
      <c r="VS26" s="20" t="s">
        <v>78</v>
      </c>
      <c r="VT26" s="20" t="s">
        <v>78</v>
      </c>
      <c r="VU26" s="20" t="s">
        <v>78</v>
      </c>
      <c r="VV26" s="20" t="s">
        <v>78</v>
      </c>
      <c r="VW26" s="20" t="s">
        <v>78</v>
      </c>
      <c r="VX26" s="20" t="s">
        <v>78</v>
      </c>
      <c r="VY26" s="20" t="s">
        <v>78</v>
      </c>
      <c r="VZ26" s="20" t="s">
        <v>78</v>
      </c>
      <c r="WA26" s="20" t="s">
        <v>78</v>
      </c>
      <c r="WB26" s="15" t="s">
        <v>78</v>
      </c>
      <c r="WC26" s="20" t="s">
        <v>78</v>
      </c>
      <c r="WD26" s="20" t="s">
        <v>78</v>
      </c>
      <c r="WE26" s="20" t="s">
        <v>78</v>
      </c>
      <c r="WF26" s="20" t="s">
        <v>78</v>
      </c>
      <c r="WG26" s="20" t="s">
        <v>78</v>
      </c>
      <c r="WH26" s="20" t="s">
        <v>78</v>
      </c>
      <c r="WI26" s="20" t="s">
        <v>180</v>
      </c>
      <c r="WJ26" s="20" t="s">
        <v>181</v>
      </c>
      <c r="WK26" s="20" t="s">
        <v>182</v>
      </c>
      <c r="WL26" s="20" t="s">
        <v>78</v>
      </c>
      <c r="WM26" s="20" t="s">
        <v>78</v>
      </c>
      <c r="WN26" s="20" t="s">
        <v>78</v>
      </c>
      <c r="WO26" s="20" t="s">
        <v>78</v>
      </c>
      <c r="WP26" s="20" t="s">
        <v>78</v>
      </c>
      <c r="WQ26" s="20" t="s">
        <v>78</v>
      </c>
      <c r="WR26" s="20" t="s">
        <v>78</v>
      </c>
      <c r="WS26" s="20" t="s">
        <v>78</v>
      </c>
      <c r="WT26" s="20" t="s">
        <v>182</v>
      </c>
      <c r="WU26" s="20" t="s">
        <v>78</v>
      </c>
      <c r="WV26" s="20" t="s">
        <v>180</v>
      </c>
      <c r="WW26" s="15" t="s">
        <v>78</v>
      </c>
      <c r="WX26" s="15" t="s">
        <v>78</v>
      </c>
      <c r="WY26" s="15" t="s">
        <v>78</v>
      </c>
      <c r="WZ26" s="20" t="s">
        <v>78</v>
      </c>
      <c r="XA26" s="15" t="s">
        <v>78</v>
      </c>
      <c r="XB26" s="20" t="s">
        <v>78</v>
      </c>
      <c r="XC26" s="15" t="s">
        <v>78</v>
      </c>
      <c r="XD26" s="20" t="s">
        <v>78</v>
      </c>
      <c r="XE26" s="15" t="s">
        <v>78</v>
      </c>
      <c r="XF26" s="20" t="s">
        <v>78</v>
      </c>
      <c r="XG26" s="20" t="s">
        <v>182</v>
      </c>
      <c r="XH26" s="20" t="s">
        <v>78</v>
      </c>
      <c r="XI26" s="20" t="s">
        <v>182</v>
      </c>
      <c r="XJ26" s="20" t="s">
        <v>78</v>
      </c>
      <c r="XK26" s="20" t="s">
        <v>78</v>
      </c>
      <c r="XL26" s="20" t="s">
        <v>78</v>
      </c>
      <c r="XM26" s="20" t="s">
        <v>78</v>
      </c>
      <c r="XN26" s="20" t="s">
        <v>78</v>
      </c>
      <c r="XO26" s="20" t="s">
        <v>78</v>
      </c>
      <c r="XP26" s="20" t="s">
        <v>78</v>
      </c>
      <c r="XQ26" s="20" t="s">
        <v>78</v>
      </c>
      <c r="XR26" s="20" t="s">
        <v>78</v>
      </c>
      <c r="XS26" s="20" t="s">
        <v>78</v>
      </c>
      <c r="XT26" s="20" t="s">
        <v>78</v>
      </c>
      <c r="XU26" s="20" t="s">
        <v>78</v>
      </c>
      <c r="XV26" s="20" t="s">
        <v>78</v>
      </c>
      <c r="XW26" s="20" t="s">
        <v>78</v>
      </c>
      <c r="XX26" s="20" t="s">
        <v>78</v>
      </c>
      <c r="XY26" s="20" t="s">
        <v>78</v>
      </c>
      <c r="XZ26" s="20" t="s">
        <v>78</v>
      </c>
      <c r="YA26" s="20" t="s">
        <v>78</v>
      </c>
      <c r="YB26" s="20" t="s">
        <v>78</v>
      </c>
      <c r="YC26" s="20" t="s">
        <v>78</v>
      </c>
      <c r="YD26" s="20" t="s">
        <v>78</v>
      </c>
      <c r="YE26" s="20" t="s">
        <v>78</v>
      </c>
      <c r="YF26" s="20" t="s">
        <v>78</v>
      </c>
      <c r="YG26" s="20" t="s">
        <v>78</v>
      </c>
      <c r="YH26" s="20" t="s">
        <v>78</v>
      </c>
      <c r="YI26" s="20" t="s">
        <v>78</v>
      </c>
      <c r="YJ26" s="20" t="s">
        <v>78</v>
      </c>
      <c r="YK26" s="20" t="s">
        <v>78</v>
      </c>
      <c r="YL26" s="20" t="s">
        <v>78</v>
      </c>
      <c r="YM26" s="20" t="s">
        <v>78</v>
      </c>
      <c r="YN26" s="20" t="s">
        <v>78</v>
      </c>
      <c r="YO26" s="20" t="s">
        <v>78</v>
      </c>
      <c r="YP26" s="20" t="s">
        <v>78</v>
      </c>
      <c r="YQ26" s="20" t="s">
        <v>78</v>
      </c>
      <c r="YR26" s="20" t="s">
        <v>78</v>
      </c>
      <c r="YS26" s="20" t="s">
        <v>78</v>
      </c>
      <c r="YT26" s="20" t="s">
        <v>78</v>
      </c>
      <c r="YU26" s="20" t="s">
        <v>78</v>
      </c>
      <c r="YV26" s="20" t="s">
        <v>78</v>
      </c>
      <c r="YW26" s="20" t="s">
        <v>78</v>
      </c>
      <c r="YX26" s="20" t="s">
        <v>78</v>
      </c>
      <c r="YY26" s="20" t="s">
        <v>78</v>
      </c>
      <c r="YZ26" s="20" t="s">
        <v>78</v>
      </c>
      <c r="ZA26" s="20" t="s">
        <v>78</v>
      </c>
      <c r="ZB26" s="20" t="s">
        <v>78</v>
      </c>
      <c r="ZC26" s="20" t="s">
        <v>78</v>
      </c>
      <c r="ZD26" s="20" t="s">
        <v>78</v>
      </c>
      <c r="ZE26" s="20" t="s">
        <v>78</v>
      </c>
      <c r="ZF26" s="20" t="s">
        <v>78</v>
      </c>
      <c r="ZG26" s="20" t="s">
        <v>78</v>
      </c>
      <c r="ZH26" s="20" t="s">
        <v>78</v>
      </c>
      <c r="ZI26" s="20" t="s">
        <v>78</v>
      </c>
      <c r="ZJ26" s="20" t="s">
        <v>78</v>
      </c>
      <c r="ZK26" s="20" t="s">
        <v>78</v>
      </c>
      <c r="ZL26" s="15" t="s">
        <v>78</v>
      </c>
      <c r="ZM26" s="15" t="s">
        <v>78</v>
      </c>
      <c r="ZN26" s="15" t="s">
        <v>78</v>
      </c>
      <c r="ZO26" s="15" t="s">
        <v>78</v>
      </c>
      <c r="ZP26" s="15" t="s">
        <v>78</v>
      </c>
      <c r="ZQ26" s="15" t="s">
        <v>78</v>
      </c>
      <c r="ZR26" s="20" t="s">
        <v>78</v>
      </c>
      <c r="ZS26" s="15" t="s">
        <v>78</v>
      </c>
      <c r="ZT26" s="15" t="s">
        <v>78</v>
      </c>
      <c r="ZU26" s="15" t="s">
        <v>78</v>
      </c>
      <c r="ZV26" s="15" t="s">
        <v>78</v>
      </c>
      <c r="ZW26" s="15" t="s">
        <v>78</v>
      </c>
      <c r="ZX26" s="15" t="s">
        <v>78</v>
      </c>
      <c r="ZY26" s="20" t="s">
        <v>78</v>
      </c>
      <c r="ZZ26" s="15" t="s">
        <v>78</v>
      </c>
      <c r="AAA26" s="15" t="s">
        <v>78</v>
      </c>
      <c r="AAB26" s="15" t="s">
        <v>78</v>
      </c>
      <c r="AAC26" s="15" t="s">
        <v>78</v>
      </c>
      <c r="AAD26" s="15" t="s">
        <v>78</v>
      </c>
      <c r="AAE26" s="15" t="s">
        <v>78</v>
      </c>
      <c r="AAF26" s="15" t="s">
        <v>78</v>
      </c>
      <c r="AAG26" s="15" t="s">
        <v>78</v>
      </c>
      <c r="AAH26" s="15" t="s">
        <v>78</v>
      </c>
      <c r="AAI26" s="15" t="s">
        <v>78</v>
      </c>
      <c r="AAJ26" s="20" t="s">
        <v>78</v>
      </c>
      <c r="AAK26" s="15" t="s">
        <v>78</v>
      </c>
      <c r="AAL26" s="15"/>
      <c r="AAM26" s="15" t="s">
        <v>78</v>
      </c>
      <c r="AAN26" s="15" t="s">
        <v>78</v>
      </c>
      <c r="AAO26" s="15" t="s">
        <v>78</v>
      </c>
      <c r="AAP26" s="15" t="s">
        <v>78</v>
      </c>
      <c r="AAQ26" s="15" t="s">
        <v>78</v>
      </c>
      <c r="AAR26" s="15" t="s">
        <v>78</v>
      </c>
      <c r="AAS26" s="15" t="s">
        <v>78</v>
      </c>
      <c r="AAT26" s="20" t="s">
        <v>78</v>
      </c>
      <c r="AAU26" s="20" t="s">
        <v>78</v>
      </c>
      <c r="AAV26" s="20" t="s">
        <v>78</v>
      </c>
      <c r="AAW26" s="15" t="s">
        <v>78</v>
      </c>
      <c r="AAX26" s="15"/>
      <c r="AAY26" s="15" t="s">
        <v>78</v>
      </c>
      <c r="AAZ26" s="15" t="s">
        <v>78</v>
      </c>
      <c r="ABA26" s="15" t="s">
        <v>78</v>
      </c>
      <c r="ABB26" s="15" t="s">
        <v>78</v>
      </c>
      <c r="ABC26" s="15" t="s">
        <v>78</v>
      </c>
      <c r="ABD26" s="15" t="s">
        <v>78</v>
      </c>
      <c r="ABE26" s="15" t="s">
        <v>78</v>
      </c>
      <c r="ABF26" s="20" t="s">
        <v>78</v>
      </c>
      <c r="ABG26" s="20" t="s">
        <v>78</v>
      </c>
      <c r="ABH26" s="20" t="s">
        <v>78</v>
      </c>
      <c r="ABI26" s="20" t="s">
        <v>78</v>
      </c>
      <c r="ABJ26" s="20" t="s">
        <v>78</v>
      </c>
      <c r="ABK26" s="20" t="s">
        <v>180</v>
      </c>
      <c r="ABL26" s="20" t="s">
        <v>181</v>
      </c>
      <c r="ABM26" s="20" t="s">
        <v>182</v>
      </c>
      <c r="ABN26" s="20" t="s">
        <v>78</v>
      </c>
      <c r="ABO26" s="20" t="s">
        <v>78</v>
      </c>
      <c r="ABP26" s="20" t="s">
        <v>78</v>
      </c>
      <c r="ABQ26" s="20" t="s">
        <v>78</v>
      </c>
      <c r="ABR26" s="20" t="s">
        <v>78</v>
      </c>
      <c r="ABS26" s="20" t="s">
        <v>78</v>
      </c>
      <c r="ABT26" s="20" t="s">
        <v>78</v>
      </c>
      <c r="ABU26" s="15" t="s">
        <v>180</v>
      </c>
      <c r="ABV26" s="20" t="s">
        <v>78</v>
      </c>
      <c r="ABW26" s="15" t="s">
        <v>181</v>
      </c>
      <c r="ABX26" s="20" t="s">
        <v>78</v>
      </c>
      <c r="ABY26" s="15" t="s">
        <v>182</v>
      </c>
      <c r="ABZ26" s="20" t="s">
        <v>78</v>
      </c>
      <c r="ACA26" s="20" t="s">
        <v>78</v>
      </c>
      <c r="ACB26" s="15" t="s">
        <v>182</v>
      </c>
      <c r="ACC26" s="15" t="s">
        <v>182</v>
      </c>
      <c r="ACD26" s="15" t="s">
        <v>182</v>
      </c>
      <c r="ACE26" s="15" t="s">
        <v>182</v>
      </c>
      <c r="ACF26" s="15" t="s">
        <v>182</v>
      </c>
      <c r="ACG26" s="15" t="s">
        <v>182</v>
      </c>
      <c r="ACH26" s="15" t="s">
        <v>182</v>
      </c>
      <c r="ACI26" s="15" t="s">
        <v>182</v>
      </c>
      <c r="ACJ26" s="15" t="s">
        <v>182</v>
      </c>
      <c r="ACK26" s="15" t="s">
        <v>182</v>
      </c>
      <c r="ACL26" s="15" t="s">
        <v>182</v>
      </c>
      <c r="ACM26" s="15" t="s">
        <v>182</v>
      </c>
      <c r="ACN26" s="15" t="s">
        <v>182</v>
      </c>
      <c r="ACO26" s="15" t="s">
        <v>182</v>
      </c>
      <c r="ACP26" s="15" t="s">
        <v>182</v>
      </c>
      <c r="ACQ26" s="15" t="s">
        <v>182</v>
      </c>
      <c r="ACR26" s="15" t="s">
        <v>182</v>
      </c>
      <c r="ACS26" s="15" t="s">
        <v>182</v>
      </c>
      <c r="ACT26" s="15" t="s">
        <v>182</v>
      </c>
      <c r="ACU26" s="15" t="s">
        <v>182</v>
      </c>
      <c r="ACV26" s="15" t="s">
        <v>182</v>
      </c>
      <c r="ACW26" s="15" t="s">
        <v>182</v>
      </c>
      <c r="ACX26" s="15" t="s">
        <v>182</v>
      </c>
      <c r="ACY26" s="15" t="s">
        <v>182</v>
      </c>
      <c r="ACZ26" s="15" t="s">
        <v>182</v>
      </c>
      <c r="ADA26" s="15" t="s">
        <v>182</v>
      </c>
      <c r="ADB26" s="15" t="s">
        <v>182</v>
      </c>
      <c r="ADC26" s="15" t="s">
        <v>182</v>
      </c>
      <c r="ADD26" s="20" t="s">
        <v>78</v>
      </c>
      <c r="ADE26" s="20" t="s">
        <v>78</v>
      </c>
      <c r="ADF26" s="15" t="s">
        <v>78</v>
      </c>
      <c r="ADG26" s="15" t="s">
        <v>78</v>
      </c>
      <c r="ADH26" s="15"/>
      <c r="ADI26" s="15" t="s">
        <v>78</v>
      </c>
      <c r="ADJ26" s="15" t="s">
        <v>78</v>
      </c>
      <c r="ADK26" s="15" t="s">
        <v>78</v>
      </c>
      <c r="ADL26" s="15" t="s">
        <v>78</v>
      </c>
      <c r="ADM26" s="15" t="s">
        <v>78</v>
      </c>
      <c r="ADN26" s="15" t="s">
        <v>78</v>
      </c>
      <c r="ADO26" s="15" t="s">
        <v>78</v>
      </c>
      <c r="ADP26" s="20" t="s">
        <v>78</v>
      </c>
      <c r="ADQ26" s="20" t="s">
        <v>78</v>
      </c>
      <c r="ADR26" s="20" t="s">
        <v>78</v>
      </c>
      <c r="ADS26" s="20" t="s">
        <v>78</v>
      </c>
      <c r="ADT26" s="20" t="s">
        <v>78</v>
      </c>
      <c r="ADU26" s="20" t="s">
        <v>180</v>
      </c>
      <c r="ADV26" s="20" t="s">
        <v>181</v>
      </c>
      <c r="ADW26" s="20" t="s">
        <v>182</v>
      </c>
      <c r="ADX26" s="20" t="s">
        <v>78</v>
      </c>
      <c r="ADY26" s="20" t="s">
        <v>78</v>
      </c>
      <c r="ADZ26" s="20" t="s">
        <v>78</v>
      </c>
      <c r="AEA26" s="20" t="s">
        <v>78</v>
      </c>
      <c r="AEB26" s="20" t="s">
        <v>78</v>
      </c>
      <c r="AEC26" s="20" t="s">
        <v>78</v>
      </c>
      <c r="AED26" s="20" t="s">
        <v>78</v>
      </c>
      <c r="AEE26" s="15" t="s">
        <v>180</v>
      </c>
      <c r="AEF26" s="20" t="s">
        <v>78</v>
      </c>
      <c r="AEG26" s="15" t="s">
        <v>181</v>
      </c>
      <c r="AEH26" s="20" t="s">
        <v>78</v>
      </c>
      <c r="AEI26" s="15" t="s">
        <v>182</v>
      </c>
      <c r="AEJ26" s="20" t="s">
        <v>78</v>
      </c>
      <c r="AEK26" s="20" t="s">
        <v>78</v>
      </c>
      <c r="AEL26" s="15" t="s">
        <v>182</v>
      </c>
      <c r="AEM26" s="15" t="s">
        <v>182</v>
      </c>
      <c r="AEN26" s="15" t="s">
        <v>182</v>
      </c>
      <c r="AEO26" s="15" t="s">
        <v>182</v>
      </c>
      <c r="AEP26" s="15" t="s">
        <v>182</v>
      </c>
      <c r="AEQ26" s="15" t="s">
        <v>182</v>
      </c>
      <c r="AER26" s="15" t="s">
        <v>182</v>
      </c>
      <c r="AES26" s="15" t="s">
        <v>182</v>
      </c>
      <c r="AET26" s="15" t="s">
        <v>182</v>
      </c>
      <c r="AEU26" s="15" t="s">
        <v>182</v>
      </c>
      <c r="AEV26" s="15" t="s">
        <v>182</v>
      </c>
      <c r="AEW26" s="15" t="s">
        <v>182</v>
      </c>
      <c r="AEX26" s="15" t="s">
        <v>182</v>
      </c>
      <c r="AEY26" s="15" t="s">
        <v>182</v>
      </c>
      <c r="AEZ26" s="15" t="s">
        <v>182</v>
      </c>
      <c r="AFA26" s="15" t="s">
        <v>182</v>
      </c>
      <c r="AFB26" s="15" t="s">
        <v>182</v>
      </c>
      <c r="AFC26" s="15" t="s">
        <v>182</v>
      </c>
      <c r="AFD26" s="15" t="s">
        <v>182</v>
      </c>
      <c r="AFE26" s="15" t="s">
        <v>182</v>
      </c>
      <c r="AFF26" s="15" t="s">
        <v>182</v>
      </c>
      <c r="AFG26" s="15" t="s">
        <v>182</v>
      </c>
      <c r="AFH26" s="15" t="s">
        <v>182</v>
      </c>
      <c r="AFI26" s="15" t="s">
        <v>182</v>
      </c>
      <c r="AFJ26" s="15" t="s">
        <v>182</v>
      </c>
      <c r="AFK26" s="15" t="s">
        <v>182</v>
      </c>
      <c r="AFL26" s="15" t="s">
        <v>182</v>
      </c>
      <c r="AFM26" s="15" t="s">
        <v>182</v>
      </c>
      <c r="AFN26" s="20" t="s">
        <v>78</v>
      </c>
      <c r="AFO26" s="20" t="s">
        <v>78</v>
      </c>
      <c r="AFP26" s="15" t="s">
        <v>78</v>
      </c>
      <c r="AFQ26" s="15" t="s">
        <v>78</v>
      </c>
      <c r="AFR26" s="15"/>
      <c r="AFS26" s="15" t="s">
        <v>78</v>
      </c>
      <c r="AFT26" s="15" t="s">
        <v>78</v>
      </c>
      <c r="AFU26" s="15" t="s">
        <v>78</v>
      </c>
      <c r="AFV26" s="15" t="s">
        <v>78</v>
      </c>
      <c r="AFW26" s="15" t="s">
        <v>78</v>
      </c>
      <c r="AFX26" s="15" t="s">
        <v>78</v>
      </c>
      <c r="AFY26" s="15" t="s">
        <v>78</v>
      </c>
      <c r="AFZ26" s="15" t="s">
        <v>78</v>
      </c>
      <c r="AGA26" s="15" t="s">
        <v>78</v>
      </c>
      <c r="AGB26" s="15" t="s">
        <v>78</v>
      </c>
      <c r="AGC26" s="15" t="s">
        <v>78</v>
      </c>
      <c r="AGD26" s="15" t="s">
        <v>78</v>
      </c>
      <c r="AGE26" s="15" t="s">
        <v>78</v>
      </c>
      <c r="AGF26" s="15" t="s">
        <v>78</v>
      </c>
      <c r="AGG26" s="15" t="s">
        <v>78</v>
      </c>
      <c r="AGH26" s="15" t="s">
        <v>78</v>
      </c>
      <c r="AGI26" s="15" t="s">
        <v>78</v>
      </c>
      <c r="AGJ26" s="15" t="s">
        <v>78</v>
      </c>
      <c r="AGK26" s="15" t="s">
        <v>78</v>
      </c>
      <c r="AGL26" s="15" t="s">
        <v>78</v>
      </c>
      <c r="AGM26" s="15" t="s">
        <v>78</v>
      </c>
      <c r="AGN26" s="15" t="s">
        <v>78</v>
      </c>
      <c r="AGO26" s="15" t="s">
        <v>78</v>
      </c>
      <c r="AGP26" s="15" t="s">
        <v>78</v>
      </c>
      <c r="AGQ26" s="15" t="s">
        <v>78</v>
      </c>
      <c r="AGR26" s="15" t="s">
        <v>78</v>
      </c>
      <c r="AGS26" s="15" t="s">
        <v>78</v>
      </c>
      <c r="AGT26" s="15" t="s">
        <v>78</v>
      </c>
      <c r="AGU26" s="15" t="s">
        <v>78</v>
      </c>
      <c r="AGV26" s="15" t="s">
        <v>78</v>
      </c>
      <c r="AGW26" s="15" t="s">
        <v>78</v>
      </c>
      <c r="AGX26" s="15" t="s">
        <v>78</v>
      </c>
      <c r="AGY26" s="15" t="s">
        <v>78</v>
      </c>
      <c r="AGZ26" s="15" t="s">
        <v>78</v>
      </c>
      <c r="AHA26" s="15" t="s">
        <v>78</v>
      </c>
      <c r="AHB26" s="15" t="s">
        <v>78</v>
      </c>
      <c r="AHC26" s="15" t="s">
        <v>78</v>
      </c>
      <c r="AHD26" s="15" t="s">
        <v>78</v>
      </c>
      <c r="AHE26" s="15" t="s">
        <v>78</v>
      </c>
      <c r="AHF26" s="15" t="s">
        <v>78</v>
      </c>
      <c r="AHG26" s="15" t="s">
        <v>78</v>
      </c>
      <c r="AHH26" s="15" t="s">
        <v>78</v>
      </c>
      <c r="AHI26" s="15" t="s">
        <v>78</v>
      </c>
      <c r="AHJ26" s="15" t="s">
        <v>78</v>
      </c>
      <c r="AHK26" s="15" t="s">
        <v>78</v>
      </c>
      <c r="AHL26" s="15" t="s">
        <v>78</v>
      </c>
      <c r="AHM26" s="15" t="s">
        <v>78</v>
      </c>
      <c r="AHN26" s="15" t="s">
        <v>78</v>
      </c>
      <c r="AHO26" s="15" t="s">
        <v>78</v>
      </c>
      <c r="AHP26" s="15" t="s">
        <v>78</v>
      </c>
      <c r="AHQ26" s="15" t="s">
        <v>78</v>
      </c>
      <c r="AHR26" s="15" t="s">
        <v>78</v>
      </c>
      <c r="AHS26" s="15" t="s">
        <v>78</v>
      </c>
      <c r="AHT26" s="15" t="s">
        <v>78</v>
      </c>
      <c r="AHU26" s="15" t="s">
        <v>78</v>
      </c>
      <c r="AHV26" s="15" t="s">
        <v>78</v>
      </c>
      <c r="AHW26" s="15" t="s">
        <v>78</v>
      </c>
      <c r="AHX26" s="15" t="s">
        <v>78</v>
      </c>
      <c r="AHY26" s="15" t="s">
        <v>78</v>
      </c>
      <c r="AHZ26" s="15" t="s">
        <v>78</v>
      </c>
      <c r="AIA26" s="15" t="s">
        <v>78</v>
      </c>
      <c r="AIB26" s="15" t="s">
        <v>78</v>
      </c>
      <c r="AIC26" s="15" t="s">
        <v>78</v>
      </c>
      <c r="AID26" s="15" t="s">
        <v>78</v>
      </c>
      <c r="AIE26" s="15" t="s">
        <v>78</v>
      </c>
      <c r="AIF26" s="15" t="s">
        <v>78</v>
      </c>
      <c r="AIG26" s="15" t="s">
        <v>78</v>
      </c>
      <c r="AIH26" s="15" t="s">
        <v>78</v>
      </c>
      <c r="AII26" s="15" t="s">
        <v>78</v>
      </c>
      <c r="AIJ26" s="15" t="s">
        <v>78</v>
      </c>
      <c r="AIK26" s="15" t="s">
        <v>78</v>
      </c>
      <c r="AIL26" s="15" t="s">
        <v>78</v>
      </c>
      <c r="AIM26" s="15" t="s">
        <v>78</v>
      </c>
      <c r="AIN26" s="15" t="s">
        <v>78</v>
      </c>
      <c r="AIO26" s="15" t="s">
        <v>78</v>
      </c>
      <c r="AIP26" s="15" t="s">
        <v>78</v>
      </c>
      <c r="AIQ26" s="15" t="s">
        <v>78</v>
      </c>
      <c r="AIR26" s="15" t="s">
        <v>78</v>
      </c>
      <c r="AIS26" s="15" t="s">
        <v>78</v>
      </c>
      <c r="AIT26" s="15" t="s">
        <v>78</v>
      </c>
      <c r="AIU26" s="15" t="s">
        <v>78</v>
      </c>
      <c r="AIV26" s="15" t="s">
        <v>78</v>
      </c>
      <c r="AIW26" s="15" t="s">
        <v>78</v>
      </c>
      <c r="AIX26" s="15" t="s">
        <v>78</v>
      </c>
      <c r="AIY26" s="15" t="s">
        <v>78</v>
      </c>
      <c r="AIZ26" s="15" t="s">
        <v>78</v>
      </c>
      <c r="AJA26" s="20" t="s">
        <v>78</v>
      </c>
      <c r="AJB26" s="20" t="s">
        <v>78</v>
      </c>
      <c r="AJC26" s="15" t="s">
        <v>78</v>
      </c>
      <c r="AJD26" s="20" t="s">
        <v>78</v>
      </c>
      <c r="AJE26" s="20" t="s">
        <v>78</v>
      </c>
      <c r="AJF26" s="15"/>
      <c r="AJG26" s="15" t="s">
        <v>78</v>
      </c>
      <c r="AJH26" s="15" t="s">
        <v>78</v>
      </c>
      <c r="AJI26" s="15" t="s">
        <v>78</v>
      </c>
      <c r="AJJ26" s="15" t="s">
        <v>78</v>
      </c>
      <c r="AJK26" s="15" t="s">
        <v>78</v>
      </c>
      <c r="AJL26" s="15" t="s">
        <v>78</v>
      </c>
      <c r="AJM26" s="15" t="s">
        <v>78</v>
      </c>
      <c r="AJN26" s="15"/>
      <c r="AJO26" s="15" t="s">
        <v>78</v>
      </c>
      <c r="AJP26" s="15" t="s">
        <v>78</v>
      </c>
      <c r="AJQ26" s="15" t="s">
        <v>78</v>
      </c>
      <c r="AJR26" s="15" t="s">
        <v>78</v>
      </c>
      <c r="AJS26" s="15" t="s">
        <v>78</v>
      </c>
      <c r="AJT26" s="15" t="s">
        <v>78</v>
      </c>
      <c r="AJU26" s="15" t="s">
        <v>78</v>
      </c>
      <c r="AJV26" s="15" t="s">
        <v>78</v>
      </c>
      <c r="AJW26" s="15" t="s">
        <v>78</v>
      </c>
      <c r="AJX26" s="15"/>
      <c r="AJY26" s="15" t="s">
        <v>78</v>
      </c>
      <c r="AJZ26" s="15" t="s">
        <v>78</v>
      </c>
      <c r="AKA26" s="15" t="s">
        <v>78</v>
      </c>
      <c r="AKB26" s="15" t="s">
        <v>78</v>
      </c>
      <c r="AKC26" s="15" t="s">
        <v>78</v>
      </c>
      <c r="AKD26" s="15" t="s">
        <v>78</v>
      </c>
      <c r="AKE26" s="15" t="s">
        <v>78</v>
      </c>
      <c r="AKF26" s="15" t="s">
        <v>78</v>
      </c>
      <c r="AKG26" s="15" t="s">
        <v>78</v>
      </c>
      <c r="AKH26" s="15" t="s">
        <v>78</v>
      </c>
      <c r="AKI26" s="15"/>
      <c r="AKJ26" s="15" t="s">
        <v>78</v>
      </c>
      <c r="AKK26" s="15" t="s">
        <v>78</v>
      </c>
      <c r="AKL26" s="15" t="s">
        <v>78</v>
      </c>
      <c r="AKM26" s="15" t="s">
        <v>78</v>
      </c>
      <c r="AKN26" s="15" t="s">
        <v>78</v>
      </c>
      <c r="AKO26" s="15" t="s">
        <v>78</v>
      </c>
      <c r="AKP26" s="15" t="s">
        <v>78</v>
      </c>
      <c r="AKQ26" s="15" t="s">
        <v>78</v>
      </c>
      <c r="AKR26" s="15" t="s">
        <v>78</v>
      </c>
      <c r="AKS26" s="15" t="s">
        <v>78</v>
      </c>
      <c r="AKT26" s="15" t="s">
        <v>78</v>
      </c>
      <c r="AKU26" s="15" t="s">
        <v>78</v>
      </c>
      <c r="AKV26" s="15" t="s">
        <v>78</v>
      </c>
      <c r="AKW26" s="15" t="s">
        <v>78</v>
      </c>
      <c r="AKX26" s="15"/>
      <c r="AKY26" s="15" t="s">
        <v>78</v>
      </c>
      <c r="AKZ26" s="15" t="s">
        <v>78</v>
      </c>
      <c r="ALA26" s="15" t="s">
        <v>78</v>
      </c>
      <c r="ALB26" s="15" t="s">
        <v>78</v>
      </c>
      <c r="ALC26" s="15" t="s">
        <v>78</v>
      </c>
      <c r="ALD26" s="15" t="s">
        <v>78</v>
      </c>
      <c r="ALE26" s="15" t="s">
        <v>78</v>
      </c>
      <c r="ALF26" s="20" t="s">
        <v>78</v>
      </c>
      <c r="ALG26" s="20" t="s">
        <v>78</v>
      </c>
      <c r="ALH26" s="20" t="s">
        <v>78</v>
      </c>
      <c r="ALI26" s="20" t="s">
        <v>78</v>
      </c>
      <c r="ALJ26" s="20" t="s">
        <v>78</v>
      </c>
      <c r="ALK26" s="20" t="s">
        <v>78</v>
      </c>
      <c r="ALL26" s="20" t="s">
        <v>78</v>
      </c>
      <c r="ALM26" s="15"/>
      <c r="ALN26" s="15" t="s">
        <v>78</v>
      </c>
      <c r="ALO26" s="15" t="s">
        <v>78</v>
      </c>
      <c r="ALP26" s="15" t="s">
        <v>78</v>
      </c>
      <c r="ALQ26" s="15" t="s">
        <v>78</v>
      </c>
      <c r="ALR26" s="15" t="s">
        <v>78</v>
      </c>
      <c r="ALS26" s="15" t="s">
        <v>78</v>
      </c>
      <c r="ALT26" s="15" t="s">
        <v>78</v>
      </c>
      <c r="ALU26" s="20" t="s">
        <v>78</v>
      </c>
      <c r="ALV26" s="20" t="s">
        <v>78</v>
      </c>
      <c r="ALW26" s="20" t="s">
        <v>78</v>
      </c>
      <c r="ALX26" s="20" t="s">
        <v>78</v>
      </c>
      <c r="ALY26" s="20" t="s">
        <v>78</v>
      </c>
      <c r="ALZ26" s="20" t="s">
        <v>78</v>
      </c>
      <c r="AMA26" s="20" t="s">
        <v>78</v>
      </c>
      <c r="AMB26" s="20" t="s">
        <v>78</v>
      </c>
      <c r="AMC26" s="15"/>
      <c r="AMD26" s="15" t="s">
        <v>78</v>
      </c>
      <c r="AME26" s="15" t="s">
        <v>78</v>
      </c>
      <c r="AMF26" s="15" t="s">
        <v>78</v>
      </c>
      <c r="AMG26" s="15" t="s">
        <v>78</v>
      </c>
      <c r="AMH26" s="15" t="s">
        <v>78</v>
      </c>
      <c r="AMI26" s="15" t="s">
        <v>78</v>
      </c>
      <c r="AMJ26" s="15" t="s">
        <v>78</v>
      </c>
      <c r="AMK26" s="15" t="s">
        <v>78</v>
      </c>
      <c r="AML26" s="15" t="s">
        <v>78</v>
      </c>
      <c r="AMM26" s="15" t="s">
        <v>78</v>
      </c>
      <c r="AMN26" s="15" t="s">
        <v>78</v>
      </c>
      <c r="AMO26" s="15" t="s">
        <v>78</v>
      </c>
      <c r="AMP26" s="15" t="s">
        <v>78</v>
      </c>
      <c r="AMQ26" s="15" t="s">
        <v>78</v>
      </c>
      <c r="AMR26" s="15" t="s">
        <v>78</v>
      </c>
      <c r="AMS26" s="15" t="s">
        <v>78</v>
      </c>
      <c r="AMT26" s="15" t="s">
        <v>78</v>
      </c>
      <c r="AMU26" s="15" t="s">
        <v>78</v>
      </c>
      <c r="AMV26" s="15" t="s">
        <v>78</v>
      </c>
      <c r="AMW26" s="15" t="s">
        <v>78</v>
      </c>
      <c r="AMX26" s="15" t="s">
        <v>78</v>
      </c>
      <c r="AMY26" s="15" t="s">
        <v>78</v>
      </c>
      <c r="AMZ26" s="15" t="s">
        <v>78</v>
      </c>
      <c r="ANA26" s="15" t="s">
        <v>78</v>
      </c>
      <c r="ANB26" s="15" t="s">
        <v>78</v>
      </c>
      <c r="ANC26" s="15" t="s">
        <v>78</v>
      </c>
      <c r="AND26" s="15" t="s">
        <v>78</v>
      </c>
      <c r="ANE26" s="15"/>
      <c r="ANF26" s="15"/>
      <c r="ANG26" s="15"/>
      <c r="ANH26" s="15"/>
      <c r="ANI26" s="15"/>
      <c r="ANJ26" s="15"/>
      <c r="ANK26" s="15"/>
      <c r="ANL26" s="15"/>
      <c r="ANM26" s="15"/>
      <c r="ANN26" s="15"/>
      <c r="ANO26" s="15"/>
      <c r="ANP26" s="15"/>
      <c r="ANQ26" s="15"/>
      <c r="ANR26" s="15"/>
      <c r="ANS26" s="15"/>
      <c r="ANT26" s="15"/>
      <c r="ANU26" s="15"/>
      <c r="ANV26" s="15"/>
      <c r="ANW26" s="15"/>
      <c r="ANX26" s="15"/>
      <c r="ANY26" s="15"/>
      <c r="ANZ26" s="15"/>
      <c r="AOA26" s="15"/>
      <c r="AOB26" s="15"/>
      <c r="AOC26" s="15"/>
      <c r="AOD26" s="15"/>
      <c r="AOE26" s="15"/>
      <c r="AOF26" s="15"/>
      <c r="AOG26" s="15"/>
      <c r="AOH26" s="15"/>
      <c r="AOI26" s="15"/>
      <c r="AOJ26" s="15"/>
      <c r="AOK26" s="15"/>
      <c r="AOL26" s="15"/>
      <c r="AOM26" s="15"/>
      <c r="AON26" s="15"/>
      <c r="AOO26" s="15"/>
      <c r="AOP26" s="15"/>
      <c r="AOQ26" s="15"/>
      <c r="AOR26" s="15"/>
      <c r="AOS26" s="15"/>
      <c r="AOT26" s="15"/>
      <c r="AOU26" s="15"/>
      <c r="AOV26" s="15"/>
      <c r="AOW26" s="15"/>
      <c r="AOX26" s="15"/>
      <c r="AOY26" s="15"/>
      <c r="AOZ26" s="15"/>
      <c r="APA26" s="15"/>
      <c r="APB26" s="15"/>
      <c r="APC26" s="15"/>
      <c r="APD26" s="15"/>
      <c r="APE26" s="15"/>
      <c r="APF26" s="15"/>
      <c r="APG26" s="15"/>
      <c r="APH26" s="15"/>
      <c r="API26" s="15"/>
      <c r="APJ26" s="15"/>
      <c r="APK26" s="15"/>
      <c r="APL26" s="15"/>
      <c r="APM26" s="15"/>
      <c r="APN26" s="15"/>
      <c r="APO26" s="15"/>
      <c r="APP26" s="15"/>
      <c r="APQ26" s="15"/>
      <c r="APR26" s="15"/>
      <c r="APS26" s="15"/>
      <c r="APT26" s="15"/>
      <c r="APU26" s="15"/>
      <c r="APV26" s="15"/>
      <c r="APW26" s="15"/>
      <c r="APX26" s="15"/>
      <c r="APY26" s="15"/>
      <c r="APZ26" s="15"/>
      <c r="AQA26" s="15"/>
      <c r="AQB26" s="15"/>
    </row>
    <row r="27" spans="1:1120" s="17" customFormat="1" ht="15" customHeight="1" x14ac:dyDescent="0.25">
      <c r="A27" s="3" t="s">
        <v>2</v>
      </c>
      <c r="B27" s="6" t="s">
        <v>32</v>
      </c>
      <c r="C27" s="15"/>
      <c r="D27" s="15" t="s">
        <v>79</v>
      </c>
      <c r="E27" s="15" t="s">
        <v>79</v>
      </c>
      <c r="F27" s="15" t="s">
        <v>79</v>
      </c>
      <c r="G27" s="15" t="s">
        <v>79</v>
      </c>
      <c r="H27" s="15" t="s">
        <v>79</v>
      </c>
      <c r="I27" s="15" t="s">
        <v>79</v>
      </c>
      <c r="J27" s="15"/>
      <c r="K27" s="15" t="s">
        <v>79</v>
      </c>
      <c r="L27" s="15" t="s">
        <v>79</v>
      </c>
      <c r="M27" s="15" t="s">
        <v>79</v>
      </c>
      <c r="N27" s="15" t="s">
        <v>79</v>
      </c>
      <c r="O27" s="15" t="s">
        <v>79</v>
      </c>
      <c r="P27" s="15" t="s">
        <v>79</v>
      </c>
      <c r="Q27" s="15"/>
      <c r="R27" s="15" t="s">
        <v>79</v>
      </c>
      <c r="S27" s="15" t="s">
        <v>79</v>
      </c>
      <c r="T27" s="15" t="s">
        <v>79</v>
      </c>
      <c r="U27" s="15" t="s">
        <v>79</v>
      </c>
      <c r="V27" s="15" t="s">
        <v>79</v>
      </c>
      <c r="W27" s="15" t="s">
        <v>79</v>
      </c>
      <c r="X27" s="15"/>
      <c r="Y27" s="15" t="s">
        <v>79</v>
      </c>
      <c r="Z27" s="15" t="s">
        <v>79</v>
      </c>
      <c r="AA27" s="15" t="s">
        <v>79</v>
      </c>
      <c r="AB27" s="15" t="s">
        <v>79</v>
      </c>
      <c r="AC27" s="15" t="s">
        <v>79</v>
      </c>
      <c r="AD27" s="15" t="s">
        <v>79</v>
      </c>
      <c r="AE27" s="15"/>
      <c r="AF27" s="15" t="s">
        <v>79</v>
      </c>
      <c r="AG27" s="15" t="s">
        <v>79</v>
      </c>
      <c r="AH27" s="15" t="s">
        <v>79</v>
      </c>
      <c r="AI27" s="15" t="s">
        <v>79</v>
      </c>
      <c r="AJ27" s="15" t="s">
        <v>79</v>
      </c>
      <c r="AK27" s="15" t="s">
        <v>79</v>
      </c>
      <c r="AL27" s="15"/>
      <c r="AM27" s="15" t="s">
        <v>79</v>
      </c>
      <c r="AN27" s="15" t="s">
        <v>79</v>
      </c>
      <c r="AO27" s="15" t="s">
        <v>79</v>
      </c>
      <c r="AP27" s="15" t="s">
        <v>79</v>
      </c>
      <c r="AQ27" s="15" t="s">
        <v>79</v>
      </c>
      <c r="AR27" s="15" t="s">
        <v>79</v>
      </c>
      <c r="AS27" s="15" t="s">
        <v>79</v>
      </c>
      <c r="AT27" s="15" t="s">
        <v>79</v>
      </c>
      <c r="AU27" s="15" t="s">
        <v>79</v>
      </c>
      <c r="AV27" s="15" t="s">
        <v>79</v>
      </c>
      <c r="AW27" s="15" t="s">
        <v>79</v>
      </c>
      <c r="AX27" s="15" t="s">
        <v>79</v>
      </c>
      <c r="AY27" s="15" t="s">
        <v>79</v>
      </c>
      <c r="AZ27" s="15" t="s">
        <v>79</v>
      </c>
      <c r="BA27" s="15" t="s">
        <v>79</v>
      </c>
      <c r="BB27" s="15" t="s">
        <v>79</v>
      </c>
      <c r="BC27" s="15" t="s">
        <v>79</v>
      </c>
      <c r="BD27" s="15" t="s">
        <v>79</v>
      </c>
      <c r="BE27" s="15" t="s">
        <v>79</v>
      </c>
      <c r="BF27" s="15" t="s">
        <v>79</v>
      </c>
      <c r="BG27" s="15" t="s">
        <v>79</v>
      </c>
      <c r="BH27" s="15" t="s">
        <v>79</v>
      </c>
      <c r="BI27" s="15" t="s">
        <v>79</v>
      </c>
      <c r="BJ27" s="15" t="s">
        <v>79</v>
      </c>
      <c r="BK27" s="15" t="s">
        <v>79</v>
      </c>
      <c r="BL27" s="15" t="s">
        <v>79</v>
      </c>
      <c r="BM27" s="15" t="s">
        <v>79</v>
      </c>
      <c r="BN27" s="15" t="s">
        <v>79</v>
      </c>
      <c r="BO27" s="15" t="s">
        <v>79</v>
      </c>
      <c r="BP27" s="15" t="s">
        <v>79</v>
      </c>
      <c r="BQ27" s="15" t="s">
        <v>79</v>
      </c>
      <c r="BR27" s="15" t="s">
        <v>79</v>
      </c>
      <c r="BS27" s="15" t="s">
        <v>79</v>
      </c>
      <c r="BT27" s="15" t="s">
        <v>79</v>
      </c>
      <c r="BU27" s="15" t="s">
        <v>79</v>
      </c>
      <c r="BV27" s="15" t="s">
        <v>79</v>
      </c>
      <c r="BW27" s="15" t="s">
        <v>79</v>
      </c>
      <c r="BX27" s="15" t="s">
        <v>79</v>
      </c>
      <c r="BY27" s="15" t="s">
        <v>79</v>
      </c>
      <c r="BZ27" s="15" t="s">
        <v>79</v>
      </c>
      <c r="CA27" s="15" t="s">
        <v>79</v>
      </c>
      <c r="CB27" s="15" t="s">
        <v>79</v>
      </c>
      <c r="CC27" s="15" t="s">
        <v>79</v>
      </c>
      <c r="CD27" s="15" t="s">
        <v>79</v>
      </c>
      <c r="CE27" s="15" t="s">
        <v>79</v>
      </c>
      <c r="CF27" s="15" t="s">
        <v>79</v>
      </c>
      <c r="CG27" s="15" t="s">
        <v>79</v>
      </c>
      <c r="CH27" s="15" t="s">
        <v>79</v>
      </c>
      <c r="CI27" s="15" t="s">
        <v>79</v>
      </c>
      <c r="CJ27" s="15" t="s">
        <v>79</v>
      </c>
      <c r="CK27" s="15" t="s">
        <v>79</v>
      </c>
      <c r="CL27" s="15" t="s">
        <v>79</v>
      </c>
      <c r="CM27" s="15" t="s">
        <v>79</v>
      </c>
      <c r="CN27" s="15" t="s">
        <v>79</v>
      </c>
      <c r="CO27" s="15" t="s">
        <v>79</v>
      </c>
      <c r="CP27" s="15" t="s">
        <v>79</v>
      </c>
      <c r="CQ27" s="15" t="s">
        <v>79</v>
      </c>
      <c r="CR27" s="15" t="s">
        <v>79</v>
      </c>
      <c r="CS27" s="15" t="s">
        <v>79</v>
      </c>
      <c r="CT27" s="15" t="s">
        <v>79</v>
      </c>
      <c r="CU27" s="15" t="s">
        <v>79</v>
      </c>
      <c r="CV27" s="15" t="s">
        <v>79</v>
      </c>
      <c r="CW27" s="15" t="s">
        <v>79</v>
      </c>
      <c r="CX27" s="15" t="s">
        <v>79</v>
      </c>
      <c r="CY27" s="15" t="s">
        <v>79</v>
      </c>
      <c r="CZ27" s="15" t="s">
        <v>79</v>
      </c>
      <c r="DA27" s="15" t="s">
        <v>79</v>
      </c>
      <c r="DB27" s="15" t="s">
        <v>79</v>
      </c>
      <c r="DC27" s="15" t="s">
        <v>79</v>
      </c>
      <c r="DD27" s="15" t="s">
        <v>79</v>
      </c>
      <c r="DE27" s="15" t="s">
        <v>79</v>
      </c>
      <c r="DF27" s="15" t="s">
        <v>79</v>
      </c>
      <c r="DG27" s="15" t="s">
        <v>79</v>
      </c>
      <c r="DH27" s="15" t="s">
        <v>79</v>
      </c>
      <c r="DI27" s="15" t="s">
        <v>79</v>
      </c>
      <c r="DJ27" s="15" t="s">
        <v>79</v>
      </c>
      <c r="DK27" s="15" t="s">
        <v>79</v>
      </c>
      <c r="DL27" s="15" t="s">
        <v>79</v>
      </c>
      <c r="DM27" s="15" t="s">
        <v>79</v>
      </c>
      <c r="DN27" s="15" t="s">
        <v>79</v>
      </c>
      <c r="DO27" s="15" t="s">
        <v>79</v>
      </c>
      <c r="DP27" s="15" t="s">
        <v>79</v>
      </c>
      <c r="DQ27" s="15" t="s">
        <v>79</v>
      </c>
      <c r="DR27" s="15" t="s">
        <v>79</v>
      </c>
      <c r="DS27" s="15" t="s">
        <v>79</v>
      </c>
      <c r="DT27" s="15" t="s">
        <v>79</v>
      </c>
      <c r="DU27" s="15" t="s">
        <v>79</v>
      </c>
      <c r="DV27" s="15" t="s">
        <v>79</v>
      </c>
      <c r="DW27" s="15" t="s">
        <v>79</v>
      </c>
      <c r="DX27" s="15" t="s">
        <v>79</v>
      </c>
      <c r="DY27" s="15" t="s">
        <v>79</v>
      </c>
      <c r="DZ27" s="15" t="s">
        <v>79</v>
      </c>
      <c r="EA27" s="15" t="s">
        <v>79</v>
      </c>
      <c r="EB27" s="15" t="s">
        <v>79</v>
      </c>
      <c r="EC27" s="15" t="s">
        <v>79</v>
      </c>
      <c r="ED27" s="15" t="s">
        <v>79</v>
      </c>
      <c r="EE27" s="15" t="s">
        <v>79</v>
      </c>
      <c r="EF27" s="15" t="s">
        <v>79</v>
      </c>
      <c r="EG27" s="15" t="s">
        <v>79</v>
      </c>
      <c r="EH27" s="15" t="s">
        <v>79</v>
      </c>
      <c r="EI27" s="15" t="s">
        <v>79</v>
      </c>
      <c r="EJ27" s="15" t="s">
        <v>79</v>
      </c>
      <c r="EK27" s="15" t="s">
        <v>79</v>
      </c>
      <c r="EL27" s="15" t="s">
        <v>79</v>
      </c>
      <c r="EM27" s="15" t="s">
        <v>79</v>
      </c>
      <c r="EN27" s="15" t="s">
        <v>79</v>
      </c>
      <c r="EO27" s="15" t="s">
        <v>79</v>
      </c>
      <c r="EP27" s="15" t="s">
        <v>79</v>
      </c>
      <c r="EQ27" s="15" t="s">
        <v>79</v>
      </c>
      <c r="ER27" s="15" t="s">
        <v>79</v>
      </c>
      <c r="ES27" s="15" t="s">
        <v>79</v>
      </c>
      <c r="ET27" s="15" t="s">
        <v>79</v>
      </c>
      <c r="EU27" s="15" t="s">
        <v>79</v>
      </c>
      <c r="EV27" s="15" t="s">
        <v>79</v>
      </c>
      <c r="EW27" s="15" t="s">
        <v>79</v>
      </c>
      <c r="EX27" s="15" t="s">
        <v>79</v>
      </c>
      <c r="EY27" s="15" t="s">
        <v>79</v>
      </c>
      <c r="EZ27" s="15" t="s">
        <v>79</v>
      </c>
      <c r="FA27" s="15" t="s">
        <v>79</v>
      </c>
      <c r="FB27" s="15" t="s">
        <v>79</v>
      </c>
      <c r="FC27" s="15" t="s">
        <v>79</v>
      </c>
      <c r="FD27" s="15"/>
      <c r="FE27" s="15" t="s">
        <v>79</v>
      </c>
      <c r="FF27" s="15" t="s">
        <v>79</v>
      </c>
      <c r="FG27" s="15" t="s">
        <v>79</v>
      </c>
      <c r="FH27" s="15" t="s">
        <v>79</v>
      </c>
      <c r="FI27" s="15" t="s">
        <v>79</v>
      </c>
      <c r="FJ27" s="15" t="s">
        <v>79</v>
      </c>
      <c r="FK27" s="15" t="s">
        <v>79</v>
      </c>
      <c r="FL27" s="15" t="s">
        <v>79</v>
      </c>
      <c r="FM27" s="15" t="s">
        <v>79</v>
      </c>
      <c r="FN27" s="15" t="s">
        <v>79</v>
      </c>
      <c r="FO27" s="15" t="s">
        <v>79</v>
      </c>
      <c r="FP27" s="15" t="s">
        <v>79</v>
      </c>
      <c r="FQ27" s="15" t="s">
        <v>79</v>
      </c>
      <c r="FR27" s="15" t="s">
        <v>79</v>
      </c>
      <c r="FS27" s="15" t="s">
        <v>79</v>
      </c>
      <c r="FT27" s="15" t="s">
        <v>79</v>
      </c>
      <c r="FU27" s="15" t="s">
        <v>79</v>
      </c>
      <c r="FV27" s="15" t="s">
        <v>79</v>
      </c>
      <c r="FW27" s="15" t="s">
        <v>79</v>
      </c>
      <c r="FX27" s="15" t="s">
        <v>79</v>
      </c>
      <c r="FY27" s="15" t="s">
        <v>79</v>
      </c>
      <c r="FZ27" s="15" t="s">
        <v>79</v>
      </c>
      <c r="GA27" s="15" t="s">
        <v>79</v>
      </c>
      <c r="GB27" s="15" t="s">
        <v>79</v>
      </c>
      <c r="GC27" s="15" t="s">
        <v>79</v>
      </c>
      <c r="GD27" s="15" t="s">
        <v>79</v>
      </c>
      <c r="GE27" s="15" t="s">
        <v>79</v>
      </c>
      <c r="GF27" s="15" t="s">
        <v>79</v>
      </c>
      <c r="GG27" s="15" t="s">
        <v>79</v>
      </c>
      <c r="GH27" s="15" t="s">
        <v>79</v>
      </c>
      <c r="GI27" s="15" t="s">
        <v>79</v>
      </c>
      <c r="GJ27" s="15" t="s">
        <v>79</v>
      </c>
      <c r="GK27" s="15" t="s">
        <v>79</v>
      </c>
      <c r="GL27" s="15" t="s">
        <v>79</v>
      </c>
      <c r="GM27" s="15" t="s">
        <v>79</v>
      </c>
      <c r="GN27" s="15" t="s">
        <v>79</v>
      </c>
      <c r="GO27" s="15" t="s">
        <v>79</v>
      </c>
      <c r="GP27" s="15" t="s">
        <v>79</v>
      </c>
      <c r="GQ27" s="15" t="s">
        <v>79</v>
      </c>
      <c r="GR27" s="15" t="s">
        <v>79</v>
      </c>
      <c r="GS27" s="15" t="s">
        <v>79</v>
      </c>
      <c r="GT27" s="15" t="s">
        <v>79</v>
      </c>
      <c r="GU27" s="15" t="s">
        <v>79</v>
      </c>
      <c r="GV27" s="15" t="s">
        <v>79</v>
      </c>
      <c r="GW27" s="15" t="s">
        <v>79</v>
      </c>
      <c r="GX27" s="15" t="s">
        <v>79</v>
      </c>
      <c r="GY27" s="15" t="s">
        <v>79</v>
      </c>
      <c r="GZ27" s="15" t="s">
        <v>79</v>
      </c>
      <c r="HA27" s="15" t="s">
        <v>79</v>
      </c>
      <c r="HB27" s="15" t="s">
        <v>79</v>
      </c>
      <c r="HC27" s="15" t="s">
        <v>79</v>
      </c>
      <c r="HD27" s="15" t="s">
        <v>79</v>
      </c>
      <c r="HE27" s="15" t="s">
        <v>79</v>
      </c>
      <c r="HF27" s="15" t="s">
        <v>79</v>
      </c>
      <c r="HG27" s="15" t="s">
        <v>79</v>
      </c>
      <c r="HH27" s="15" t="s">
        <v>79</v>
      </c>
      <c r="HI27" s="15" t="s">
        <v>79</v>
      </c>
      <c r="HJ27" s="15" t="s">
        <v>79</v>
      </c>
      <c r="HK27" s="15" t="s">
        <v>79</v>
      </c>
      <c r="HL27" s="15" t="s">
        <v>79</v>
      </c>
      <c r="HM27" s="15" t="s">
        <v>79</v>
      </c>
      <c r="HN27" s="15" t="s">
        <v>79</v>
      </c>
      <c r="HO27" s="15" t="s">
        <v>79</v>
      </c>
      <c r="HP27" s="15" t="s">
        <v>79</v>
      </c>
      <c r="HQ27" s="15" t="s">
        <v>79</v>
      </c>
      <c r="HR27" s="15" t="s">
        <v>79</v>
      </c>
      <c r="HS27" s="15" t="s">
        <v>79</v>
      </c>
      <c r="HT27" s="15" t="s">
        <v>79</v>
      </c>
      <c r="HU27" s="15" t="s">
        <v>79</v>
      </c>
      <c r="HV27" s="15" t="s">
        <v>79</v>
      </c>
      <c r="HW27" s="15" t="s">
        <v>79</v>
      </c>
      <c r="HX27" s="15" t="s">
        <v>79</v>
      </c>
      <c r="HY27" s="15" t="s">
        <v>79</v>
      </c>
      <c r="HZ27" s="15" t="s">
        <v>79</v>
      </c>
      <c r="IA27" s="15" t="s">
        <v>79</v>
      </c>
      <c r="IB27" s="15"/>
      <c r="IC27" s="15" t="s">
        <v>79</v>
      </c>
      <c r="ID27" s="15" t="s">
        <v>79</v>
      </c>
      <c r="IE27" s="15" t="s">
        <v>79</v>
      </c>
      <c r="IF27" s="15" t="s">
        <v>79</v>
      </c>
      <c r="IG27" s="15" t="s">
        <v>79</v>
      </c>
      <c r="IH27" s="15" t="s">
        <v>79</v>
      </c>
      <c r="II27" s="15" t="s">
        <v>79</v>
      </c>
      <c r="IJ27" s="15" t="s">
        <v>79</v>
      </c>
      <c r="IK27" s="15"/>
      <c r="IL27" s="15" t="s">
        <v>79</v>
      </c>
      <c r="IM27" s="15" t="s">
        <v>79</v>
      </c>
      <c r="IN27" s="15" t="s">
        <v>79</v>
      </c>
      <c r="IO27" s="15" t="s">
        <v>79</v>
      </c>
      <c r="IP27" s="15" t="s">
        <v>79</v>
      </c>
      <c r="IQ27" s="15" t="s">
        <v>79</v>
      </c>
      <c r="IR27" s="15" t="s">
        <v>79</v>
      </c>
      <c r="IS27" s="15" t="s">
        <v>195</v>
      </c>
      <c r="IT27" s="15" t="s">
        <v>195</v>
      </c>
      <c r="IU27" s="15" t="s">
        <v>195</v>
      </c>
      <c r="IV27" s="15" t="s">
        <v>195</v>
      </c>
      <c r="IW27" s="15" t="s">
        <v>195</v>
      </c>
      <c r="IX27" s="15" t="s">
        <v>195</v>
      </c>
      <c r="IY27" s="20" t="s">
        <v>79</v>
      </c>
      <c r="IZ27" s="20" t="s">
        <v>196</v>
      </c>
      <c r="JA27" s="20" t="s">
        <v>79</v>
      </c>
      <c r="JB27" s="20" t="s">
        <v>197</v>
      </c>
      <c r="JC27" s="20" t="s">
        <v>195</v>
      </c>
      <c r="JD27" s="20" t="s">
        <v>79</v>
      </c>
      <c r="JE27" s="20" t="s">
        <v>79</v>
      </c>
      <c r="JF27" s="15" t="s">
        <v>195</v>
      </c>
      <c r="JG27" s="20" t="s">
        <v>79</v>
      </c>
      <c r="JH27" s="20" t="s">
        <v>79</v>
      </c>
      <c r="JI27" s="20" t="s">
        <v>79</v>
      </c>
      <c r="JJ27" s="20" t="s">
        <v>79</v>
      </c>
      <c r="JK27" s="20" t="s">
        <v>79</v>
      </c>
      <c r="JL27" s="20" t="s">
        <v>79</v>
      </c>
      <c r="JM27" s="20" t="s">
        <v>79</v>
      </c>
      <c r="JN27" s="20" t="s">
        <v>79</v>
      </c>
      <c r="JO27" s="20" t="s">
        <v>79</v>
      </c>
      <c r="JP27" s="20" t="s">
        <v>79</v>
      </c>
      <c r="JQ27" s="20" t="s">
        <v>195</v>
      </c>
      <c r="JR27" s="20" t="s">
        <v>196</v>
      </c>
      <c r="JS27" s="20" t="s">
        <v>197</v>
      </c>
      <c r="JT27" s="20" t="s">
        <v>79</v>
      </c>
      <c r="JU27" s="20" t="s">
        <v>196</v>
      </c>
      <c r="JV27" s="20" t="s">
        <v>197</v>
      </c>
      <c r="JW27" s="20" t="s">
        <v>79</v>
      </c>
      <c r="JX27" s="20" t="s">
        <v>79</v>
      </c>
      <c r="JY27" s="20" t="s">
        <v>79</v>
      </c>
      <c r="JZ27" s="20" t="s">
        <v>79</v>
      </c>
      <c r="KA27" s="20" t="s">
        <v>79</v>
      </c>
      <c r="KB27" s="20" t="s">
        <v>79</v>
      </c>
      <c r="KC27" s="20" t="s">
        <v>79</v>
      </c>
      <c r="KD27" s="20" t="s">
        <v>79</v>
      </c>
      <c r="KE27" s="20" t="s">
        <v>79</v>
      </c>
      <c r="KF27" s="20" t="s">
        <v>79</v>
      </c>
      <c r="KG27" s="20" t="s">
        <v>79</v>
      </c>
      <c r="KH27" s="20" t="s">
        <v>79</v>
      </c>
      <c r="KI27" s="20" t="s">
        <v>79</v>
      </c>
      <c r="KJ27" s="20" t="s">
        <v>79</v>
      </c>
      <c r="KK27" s="20" t="s">
        <v>79</v>
      </c>
      <c r="KL27" s="20" t="s">
        <v>79</v>
      </c>
      <c r="KM27" s="20" t="s">
        <v>79</v>
      </c>
      <c r="KN27" s="20" t="s">
        <v>79</v>
      </c>
      <c r="KO27" s="20" t="s">
        <v>79</v>
      </c>
      <c r="KP27" s="20" t="s">
        <v>79</v>
      </c>
      <c r="KQ27" s="20" t="s">
        <v>79</v>
      </c>
      <c r="KR27" s="20" t="s">
        <v>79</v>
      </c>
      <c r="KS27" s="20" t="s">
        <v>79</v>
      </c>
      <c r="KT27" s="20" t="s">
        <v>79</v>
      </c>
      <c r="KU27" s="20" t="s">
        <v>79</v>
      </c>
      <c r="KV27" s="20" t="s">
        <v>79</v>
      </c>
      <c r="KW27" s="20" t="s">
        <v>79</v>
      </c>
      <c r="KX27" s="20" t="s">
        <v>79</v>
      </c>
      <c r="KY27" s="20" t="s">
        <v>79</v>
      </c>
      <c r="KZ27" s="20" t="s">
        <v>79</v>
      </c>
      <c r="LA27" s="20" t="s">
        <v>79</v>
      </c>
      <c r="LB27" s="20" t="s">
        <v>79</v>
      </c>
      <c r="LC27" s="20" t="s">
        <v>79</v>
      </c>
      <c r="LD27" s="20" t="s">
        <v>79</v>
      </c>
      <c r="LE27" s="20" t="s">
        <v>195</v>
      </c>
      <c r="LF27" s="20" t="s">
        <v>195</v>
      </c>
      <c r="LG27" s="20" t="s">
        <v>196</v>
      </c>
      <c r="LH27" s="20" t="s">
        <v>196</v>
      </c>
      <c r="LI27" s="20" t="s">
        <v>197</v>
      </c>
      <c r="LJ27" s="20" t="s">
        <v>197</v>
      </c>
      <c r="LK27" s="20" t="s">
        <v>79</v>
      </c>
      <c r="LL27" s="20" t="s">
        <v>79</v>
      </c>
      <c r="LM27" s="20" t="s">
        <v>79</v>
      </c>
      <c r="LN27" s="20" t="s">
        <v>79</v>
      </c>
      <c r="LO27" s="20" t="s">
        <v>79</v>
      </c>
      <c r="LP27" s="20" t="s">
        <v>79</v>
      </c>
      <c r="LQ27" s="15" t="s">
        <v>195</v>
      </c>
      <c r="LR27" s="15" t="s">
        <v>195</v>
      </c>
      <c r="LS27" s="15" t="s">
        <v>195</v>
      </c>
      <c r="LT27" s="20" t="s">
        <v>197</v>
      </c>
      <c r="LU27" s="20" t="s">
        <v>195</v>
      </c>
      <c r="LV27" s="20" t="s">
        <v>79</v>
      </c>
      <c r="LW27" s="20" t="s">
        <v>196</v>
      </c>
      <c r="LX27" s="20" t="s">
        <v>79</v>
      </c>
      <c r="LY27" s="20" t="s">
        <v>197</v>
      </c>
      <c r="LZ27" s="15" t="s">
        <v>195</v>
      </c>
      <c r="MA27" s="15" t="s">
        <v>195</v>
      </c>
      <c r="MB27" s="15" t="s">
        <v>195</v>
      </c>
      <c r="MC27" s="15" t="s">
        <v>195</v>
      </c>
      <c r="MD27" s="15" t="s">
        <v>195</v>
      </c>
      <c r="ME27" s="20" t="s">
        <v>79</v>
      </c>
      <c r="MF27" s="20" t="s">
        <v>79</v>
      </c>
      <c r="MG27" s="15" t="s">
        <v>195</v>
      </c>
      <c r="MH27" s="15" t="s">
        <v>195</v>
      </c>
      <c r="MI27" s="20" t="s">
        <v>79</v>
      </c>
      <c r="MJ27" s="15" t="s">
        <v>79</v>
      </c>
      <c r="MK27" s="15" t="s">
        <v>79</v>
      </c>
      <c r="ML27" s="15" t="s">
        <v>79</v>
      </c>
      <c r="MM27" s="15" t="s">
        <v>79</v>
      </c>
      <c r="MN27" s="15" t="s">
        <v>79</v>
      </c>
      <c r="MO27" s="15" t="s">
        <v>79</v>
      </c>
      <c r="MP27" s="15" t="s">
        <v>79</v>
      </c>
      <c r="MQ27" s="15" t="s">
        <v>79</v>
      </c>
      <c r="MR27" s="15" t="s">
        <v>79</v>
      </c>
      <c r="MS27" s="20" t="s">
        <v>79</v>
      </c>
      <c r="MT27" s="15" t="s">
        <v>79</v>
      </c>
      <c r="MU27" s="15" t="s">
        <v>79</v>
      </c>
      <c r="MV27" s="15" t="s">
        <v>79</v>
      </c>
      <c r="MW27" s="15" t="s">
        <v>79</v>
      </c>
      <c r="MX27" s="15" t="s">
        <v>79</v>
      </c>
      <c r="MY27" s="15" t="s">
        <v>79</v>
      </c>
      <c r="MZ27" s="15" t="s">
        <v>79</v>
      </c>
      <c r="NA27" s="15" t="s">
        <v>79</v>
      </c>
      <c r="NB27" s="15" t="s">
        <v>79</v>
      </c>
      <c r="NC27" s="20" t="s">
        <v>79</v>
      </c>
      <c r="ND27" s="15" t="s">
        <v>79</v>
      </c>
      <c r="NE27" s="15" t="s">
        <v>79</v>
      </c>
      <c r="NF27" s="15" t="s">
        <v>79</v>
      </c>
      <c r="NG27" s="15" t="s">
        <v>79</v>
      </c>
      <c r="NH27" s="15" t="s">
        <v>79</v>
      </c>
      <c r="NI27" s="15" t="s">
        <v>79</v>
      </c>
      <c r="NJ27" s="15" t="s">
        <v>79</v>
      </c>
      <c r="NK27" s="15" t="s">
        <v>79</v>
      </c>
      <c r="NL27" s="15" t="s">
        <v>79</v>
      </c>
      <c r="NM27" s="20" t="s">
        <v>79</v>
      </c>
      <c r="NN27" s="20" t="s">
        <v>79</v>
      </c>
      <c r="NO27" s="20" t="s">
        <v>79</v>
      </c>
      <c r="NP27" s="15" t="s">
        <v>79</v>
      </c>
      <c r="NQ27" s="15" t="s">
        <v>79</v>
      </c>
      <c r="NR27" s="20" t="s">
        <v>79</v>
      </c>
      <c r="NS27" s="20" t="s">
        <v>79</v>
      </c>
      <c r="NT27" s="20" t="s">
        <v>195</v>
      </c>
      <c r="NU27" s="20" t="s">
        <v>196</v>
      </c>
      <c r="NV27" s="20" t="s">
        <v>197</v>
      </c>
      <c r="NW27" s="20" t="s">
        <v>79</v>
      </c>
      <c r="NX27" s="20" t="s">
        <v>79</v>
      </c>
      <c r="NY27" s="20" t="s">
        <v>79</v>
      </c>
      <c r="NZ27" s="20" t="s">
        <v>79</v>
      </c>
      <c r="OA27" s="20" t="s">
        <v>79</v>
      </c>
      <c r="OB27" s="20" t="s">
        <v>79</v>
      </c>
      <c r="OC27" s="20" t="s">
        <v>79</v>
      </c>
      <c r="OD27" s="20" t="s">
        <v>79</v>
      </c>
      <c r="OE27" s="20" t="s">
        <v>79</v>
      </c>
      <c r="OF27" s="20" t="s">
        <v>79</v>
      </c>
      <c r="OG27" s="20" t="s">
        <v>79</v>
      </c>
      <c r="OH27" s="20" t="s">
        <v>79</v>
      </c>
      <c r="OI27" s="20" t="s">
        <v>79</v>
      </c>
      <c r="OJ27" s="20" t="s">
        <v>79</v>
      </c>
      <c r="OK27" s="20" t="s">
        <v>79</v>
      </c>
      <c r="OL27" s="20" t="s">
        <v>79</v>
      </c>
      <c r="OM27" s="20" t="s">
        <v>79</v>
      </c>
      <c r="ON27" s="20" t="s">
        <v>79</v>
      </c>
      <c r="OO27" s="20" t="s">
        <v>79</v>
      </c>
      <c r="OP27" s="20" t="s">
        <v>79</v>
      </c>
      <c r="OQ27" s="20" t="s">
        <v>79</v>
      </c>
      <c r="OR27" s="20" t="s">
        <v>79</v>
      </c>
      <c r="OS27" s="20" t="s">
        <v>79</v>
      </c>
      <c r="OT27" s="20" t="s">
        <v>79</v>
      </c>
      <c r="OU27" s="20" t="s">
        <v>79</v>
      </c>
      <c r="OV27" s="20" t="s">
        <v>79</v>
      </c>
      <c r="OW27" s="20" t="s">
        <v>79</v>
      </c>
      <c r="OX27" s="20" t="s">
        <v>79</v>
      </c>
      <c r="OY27" s="20" t="s">
        <v>195</v>
      </c>
      <c r="OZ27" s="20" t="s">
        <v>196</v>
      </c>
      <c r="PA27" s="20" t="s">
        <v>197</v>
      </c>
      <c r="PB27" s="20" t="s">
        <v>79</v>
      </c>
      <c r="PC27" s="20" t="s">
        <v>79</v>
      </c>
      <c r="PD27" s="20" t="s">
        <v>79</v>
      </c>
      <c r="PE27" s="20" t="s">
        <v>79</v>
      </c>
      <c r="PF27" s="20" t="s">
        <v>79</v>
      </c>
      <c r="PG27" s="20" t="s">
        <v>79</v>
      </c>
      <c r="PH27" s="20" t="s">
        <v>79</v>
      </c>
      <c r="PI27" s="20" t="s">
        <v>79</v>
      </c>
      <c r="PJ27" s="20" t="s">
        <v>79</v>
      </c>
      <c r="PK27" s="20" t="s">
        <v>79</v>
      </c>
      <c r="PL27" s="20" t="s">
        <v>79</v>
      </c>
      <c r="PM27" s="20" t="s">
        <v>195</v>
      </c>
      <c r="PN27" s="20" t="s">
        <v>79</v>
      </c>
      <c r="PO27" s="20" t="s">
        <v>195</v>
      </c>
      <c r="PP27" s="20" t="s">
        <v>197</v>
      </c>
      <c r="PQ27" s="20" t="s">
        <v>79</v>
      </c>
      <c r="PR27" s="20" t="s">
        <v>195</v>
      </c>
      <c r="PS27" s="20" t="s">
        <v>79</v>
      </c>
      <c r="PT27" s="20" t="s">
        <v>181</v>
      </c>
      <c r="PU27" s="20" t="s">
        <v>79</v>
      </c>
      <c r="PV27" s="20" t="s">
        <v>197</v>
      </c>
      <c r="PW27" s="20" t="s">
        <v>79</v>
      </c>
      <c r="PX27" s="20" t="s">
        <v>79</v>
      </c>
      <c r="PY27" s="20" t="s">
        <v>195</v>
      </c>
      <c r="PZ27" s="20" t="s">
        <v>79</v>
      </c>
      <c r="QA27" s="20" t="s">
        <v>79</v>
      </c>
      <c r="QB27" s="20" t="s">
        <v>79</v>
      </c>
      <c r="QC27" s="20" t="s">
        <v>79</v>
      </c>
      <c r="QD27" s="20" t="s">
        <v>79</v>
      </c>
      <c r="QE27" s="20" t="s">
        <v>79</v>
      </c>
      <c r="QF27" s="20" t="s">
        <v>79</v>
      </c>
      <c r="QG27" s="20" t="s">
        <v>79</v>
      </c>
      <c r="QH27" s="15" t="s">
        <v>195</v>
      </c>
      <c r="QI27" s="15" t="s">
        <v>195</v>
      </c>
      <c r="QJ27" s="15" t="s">
        <v>195</v>
      </c>
      <c r="QK27" s="15" t="s">
        <v>195</v>
      </c>
      <c r="QL27" s="15" t="s">
        <v>195</v>
      </c>
      <c r="QM27" s="15" t="s">
        <v>195</v>
      </c>
      <c r="QN27" s="15" t="s">
        <v>195</v>
      </c>
      <c r="QO27" s="20" t="s">
        <v>79</v>
      </c>
      <c r="QP27" s="20" t="s">
        <v>195</v>
      </c>
      <c r="QQ27" s="20" t="s">
        <v>79</v>
      </c>
      <c r="QR27" s="20" t="s">
        <v>79</v>
      </c>
      <c r="QS27" s="20" t="s">
        <v>79</v>
      </c>
      <c r="QT27" s="20" t="s">
        <v>79</v>
      </c>
      <c r="QU27" s="20" t="s">
        <v>79</v>
      </c>
      <c r="QV27" s="20" t="s">
        <v>79</v>
      </c>
      <c r="QW27" s="20" t="s">
        <v>79</v>
      </c>
      <c r="QX27" s="20" t="s">
        <v>79</v>
      </c>
      <c r="QY27" s="20" t="s">
        <v>79</v>
      </c>
      <c r="QZ27" s="20" t="s">
        <v>79</v>
      </c>
      <c r="RA27" s="20" t="s">
        <v>79</v>
      </c>
      <c r="RB27" s="20" t="s">
        <v>79</v>
      </c>
      <c r="RC27" s="20" t="s">
        <v>79</v>
      </c>
      <c r="RD27" s="20" t="s">
        <v>79</v>
      </c>
      <c r="RE27" s="20" t="s">
        <v>79</v>
      </c>
      <c r="RF27" s="20" t="s">
        <v>79</v>
      </c>
      <c r="RG27" s="20" t="s">
        <v>79</v>
      </c>
      <c r="RH27" s="20" t="s">
        <v>79</v>
      </c>
      <c r="RI27" s="20" t="s">
        <v>79</v>
      </c>
      <c r="RJ27" s="20" t="s">
        <v>79</v>
      </c>
      <c r="RK27" s="20" t="s">
        <v>79</v>
      </c>
      <c r="RL27" s="20" t="s">
        <v>79</v>
      </c>
      <c r="RM27" s="20" t="s">
        <v>79</v>
      </c>
      <c r="RN27" s="20" t="s">
        <v>79</v>
      </c>
      <c r="RO27" s="20" t="s">
        <v>79</v>
      </c>
      <c r="RP27" s="20" t="s">
        <v>79</v>
      </c>
      <c r="RQ27" s="20" t="s">
        <v>79</v>
      </c>
      <c r="RR27" s="20" t="s">
        <v>79</v>
      </c>
      <c r="RS27" s="15"/>
      <c r="RT27" s="15" t="s">
        <v>79</v>
      </c>
      <c r="RU27" s="15" t="s">
        <v>79</v>
      </c>
      <c r="RV27" s="15" t="s">
        <v>79</v>
      </c>
      <c r="RW27" s="15" t="s">
        <v>79</v>
      </c>
      <c r="RX27" s="15" t="s">
        <v>79</v>
      </c>
      <c r="RY27" s="15" t="s">
        <v>79</v>
      </c>
      <c r="RZ27" s="15" t="s">
        <v>79</v>
      </c>
      <c r="SA27" s="20" t="s">
        <v>79</v>
      </c>
      <c r="SB27" s="20" t="s">
        <v>79</v>
      </c>
      <c r="SC27" s="20" t="s">
        <v>195</v>
      </c>
      <c r="SD27" s="20" t="s">
        <v>196</v>
      </c>
      <c r="SE27" s="20" t="s">
        <v>197</v>
      </c>
      <c r="SF27" s="20" t="s">
        <v>79</v>
      </c>
      <c r="SG27" s="20" t="s">
        <v>79</v>
      </c>
      <c r="SH27" s="20" t="s">
        <v>79</v>
      </c>
      <c r="SI27" s="20" t="s">
        <v>79</v>
      </c>
      <c r="SJ27" s="20" t="s">
        <v>79</v>
      </c>
      <c r="SK27" s="20" t="s">
        <v>79</v>
      </c>
      <c r="SL27" s="20" t="s">
        <v>79</v>
      </c>
      <c r="SM27" s="20" t="s">
        <v>79</v>
      </c>
      <c r="SN27" s="20" t="s">
        <v>79</v>
      </c>
      <c r="SO27" s="20" t="s">
        <v>79</v>
      </c>
      <c r="SP27" s="20" t="s">
        <v>79</v>
      </c>
      <c r="SQ27" s="20" t="s">
        <v>79</v>
      </c>
      <c r="SR27" s="20" t="s">
        <v>79</v>
      </c>
      <c r="SS27" s="20" t="s">
        <v>79</v>
      </c>
      <c r="ST27" s="20" t="s">
        <v>79</v>
      </c>
      <c r="SU27" s="20" t="s">
        <v>79</v>
      </c>
      <c r="SV27" s="20" t="s">
        <v>79</v>
      </c>
      <c r="SW27" s="20" t="s">
        <v>79</v>
      </c>
      <c r="SX27" s="20" t="s">
        <v>79</v>
      </c>
      <c r="SY27" s="20" t="s">
        <v>79</v>
      </c>
      <c r="SZ27" s="20" t="s">
        <v>79</v>
      </c>
      <c r="TA27" s="20" t="s">
        <v>79</v>
      </c>
      <c r="TB27" s="20" t="s">
        <v>79</v>
      </c>
      <c r="TC27" s="20" t="s">
        <v>79</v>
      </c>
      <c r="TD27" s="20" t="s">
        <v>79</v>
      </c>
      <c r="TE27" s="20" t="s">
        <v>79</v>
      </c>
      <c r="TF27" s="20" t="s">
        <v>79</v>
      </c>
      <c r="TG27" s="20" t="s">
        <v>195</v>
      </c>
      <c r="TH27" s="20" t="s">
        <v>196</v>
      </c>
      <c r="TI27" s="20" t="s">
        <v>197</v>
      </c>
      <c r="TJ27" s="20" t="s">
        <v>79</v>
      </c>
      <c r="TK27" s="20" t="s">
        <v>79</v>
      </c>
      <c r="TL27" s="20" t="s">
        <v>79</v>
      </c>
      <c r="TM27" s="20" t="s">
        <v>79</v>
      </c>
      <c r="TN27" s="20" t="s">
        <v>79</v>
      </c>
      <c r="TO27" s="20" t="s">
        <v>79</v>
      </c>
      <c r="TP27" s="20" t="s">
        <v>79</v>
      </c>
      <c r="TQ27" s="20" t="s">
        <v>79</v>
      </c>
      <c r="TR27" s="20" t="s">
        <v>79</v>
      </c>
      <c r="TS27" s="20" t="s">
        <v>79</v>
      </c>
      <c r="TT27" s="20" t="s">
        <v>79</v>
      </c>
      <c r="TU27" s="20" t="s">
        <v>195</v>
      </c>
      <c r="TV27" s="20" t="s">
        <v>79</v>
      </c>
      <c r="TW27" s="20" t="s">
        <v>195</v>
      </c>
      <c r="TX27" s="20" t="s">
        <v>197</v>
      </c>
      <c r="TY27" s="20" t="s">
        <v>79</v>
      </c>
      <c r="TZ27" s="20" t="s">
        <v>195</v>
      </c>
      <c r="UA27" s="20" t="s">
        <v>79</v>
      </c>
      <c r="UB27" s="20" t="s">
        <v>181</v>
      </c>
      <c r="UC27" s="20" t="s">
        <v>79</v>
      </c>
      <c r="UD27" s="20" t="s">
        <v>197</v>
      </c>
      <c r="UE27" s="20" t="s">
        <v>79</v>
      </c>
      <c r="UF27" s="20" t="s">
        <v>79</v>
      </c>
      <c r="UG27" s="20" t="s">
        <v>195</v>
      </c>
      <c r="UH27" s="20" t="s">
        <v>79</v>
      </c>
      <c r="UI27" s="20" t="s">
        <v>79</v>
      </c>
      <c r="UJ27" s="20" t="s">
        <v>79</v>
      </c>
      <c r="UK27" s="20" t="s">
        <v>79</v>
      </c>
      <c r="UL27" s="20" t="s">
        <v>79</v>
      </c>
      <c r="UM27" s="20" t="s">
        <v>79</v>
      </c>
      <c r="UN27" s="20" t="s">
        <v>79</v>
      </c>
      <c r="UO27" s="20" t="s">
        <v>79</v>
      </c>
      <c r="UP27" s="15" t="s">
        <v>195</v>
      </c>
      <c r="UQ27" s="15" t="s">
        <v>195</v>
      </c>
      <c r="UR27" s="15" t="s">
        <v>195</v>
      </c>
      <c r="US27" s="15" t="s">
        <v>195</v>
      </c>
      <c r="UT27" s="15" t="s">
        <v>195</v>
      </c>
      <c r="UU27" s="15" t="s">
        <v>195</v>
      </c>
      <c r="UV27" s="15" t="s">
        <v>195</v>
      </c>
      <c r="UW27" s="20" t="s">
        <v>79</v>
      </c>
      <c r="UX27" s="20" t="s">
        <v>195</v>
      </c>
      <c r="UY27" s="20" t="s">
        <v>79</v>
      </c>
      <c r="UZ27" s="20" t="s">
        <v>79</v>
      </c>
      <c r="VA27" s="20" t="s">
        <v>79</v>
      </c>
      <c r="VB27" s="20" t="s">
        <v>79</v>
      </c>
      <c r="VC27" s="20" t="s">
        <v>79</v>
      </c>
      <c r="VD27" s="20" t="s">
        <v>79</v>
      </c>
      <c r="VE27" s="20" t="s">
        <v>79</v>
      </c>
      <c r="VF27" s="20" t="s">
        <v>79</v>
      </c>
      <c r="VG27" s="20" t="s">
        <v>79</v>
      </c>
      <c r="VH27" s="20" t="s">
        <v>79</v>
      </c>
      <c r="VI27" s="20" t="s">
        <v>79</v>
      </c>
      <c r="VJ27" s="20" t="s">
        <v>79</v>
      </c>
      <c r="VK27" s="20" t="s">
        <v>79</v>
      </c>
      <c r="VL27" s="20" t="s">
        <v>79</v>
      </c>
      <c r="VM27" s="20" t="s">
        <v>79</v>
      </c>
      <c r="VN27" s="20" t="s">
        <v>79</v>
      </c>
      <c r="VO27" s="20" t="s">
        <v>79</v>
      </c>
      <c r="VP27" s="20" t="s">
        <v>79</v>
      </c>
      <c r="VQ27" s="20" t="s">
        <v>79</v>
      </c>
      <c r="VR27" s="20" t="s">
        <v>79</v>
      </c>
      <c r="VS27" s="20" t="s">
        <v>79</v>
      </c>
      <c r="VT27" s="20" t="s">
        <v>79</v>
      </c>
      <c r="VU27" s="20" t="s">
        <v>79</v>
      </c>
      <c r="VV27" s="20" t="s">
        <v>79</v>
      </c>
      <c r="VW27" s="20" t="s">
        <v>79</v>
      </c>
      <c r="VX27" s="20" t="s">
        <v>79</v>
      </c>
      <c r="VY27" s="20" t="s">
        <v>79</v>
      </c>
      <c r="VZ27" s="20" t="s">
        <v>79</v>
      </c>
      <c r="WA27" s="20" t="s">
        <v>79</v>
      </c>
      <c r="WB27" s="15" t="s">
        <v>79</v>
      </c>
      <c r="WC27" s="20" t="s">
        <v>79</v>
      </c>
      <c r="WD27" s="20" t="s">
        <v>79</v>
      </c>
      <c r="WE27" s="20" t="s">
        <v>195</v>
      </c>
      <c r="WF27" s="20" t="s">
        <v>196</v>
      </c>
      <c r="WG27" s="20" t="s">
        <v>197</v>
      </c>
      <c r="WH27" s="20" t="s">
        <v>79</v>
      </c>
      <c r="WI27" s="20" t="s">
        <v>79</v>
      </c>
      <c r="WJ27" s="20" t="s">
        <v>79</v>
      </c>
      <c r="WK27" s="20" t="s">
        <v>79</v>
      </c>
      <c r="WL27" s="20" t="s">
        <v>79</v>
      </c>
      <c r="WM27" s="20" t="s">
        <v>79</v>
      </c>
      <c r="WN27" s="20" t="s">
        <v>79</v>
      </c>
      <c r="WO27" s="20" t="s">
        <v>79</v>
      </c>
      <c r="WP27" s="20" t="s">
        <v>79</v>
      </c>
      <c r="WQ27" s="20" t="s">
        <v>79</v>
      </c>
      <c r="WR27" s="20" t="s">
        <v>79</v>
      </c>
      <c r="WS27" s="20" t="s">
        <v>79</v>
      </c>
      <c r="WT27" s="20" t="s">
        <v>195</v>
      </c>
      <c r="WU27" s="20" t="s">
        <v>79</v>
      </c>
      <c r="WV27" s="20" t="s">
        <v>196</v>
      </c>
      <c r="WW27" s="20" t="s">
        <v>79</v>
      </c>
      <c r="WX27" s="20" t="s">
        <v>197</v>
      </c>
      <c r="WY27" s="15" t="s">
        <v>79</v>
      </c>
      <c r="WZ27" s="20" t="s">
        <v>79</v>
      </c>
      <c r="XA27" s="15" t="s">
        <v>79</v>
      </c>
      <c r="XB27" s="20" t="s">
        <v>79</v>
      </c>
      <c r="XC27" s="15" t="s">
        <v>79</v>
      </c>
      <c r="XD27" s="20" t="s">
        <v>79</v>
      </c>
      <c r="XE27" s="15" t="s">
        <v>79</v>
      </c>
      <c r="XF27" s="20" t="s">
        <v>79</v>
      </c>
      <c r="XG27" s="20" t="s">
        <v>195</v>
      </c>
      <c r="XH27" s="20" t="s">
        <v>79</v>
      </c>
      <c r="XI27" s="15" t="s">
        <v>79</v>
      </c>
      <c r="XJ27" s="20" t="s">
        <v>79</v>
      </c>
      <c r="XK27" s="20" t="s">
        <v>79</v>
      </c>
      <c r="XL27" s="20" t="s">
        <v>79</v>
      </c>
      <c r="XM27" s="20" t="s">
        <v>79</v>
      </c>
      <c r="XN27" s="20" t="s">
        <v>79</v>
      </c>
      <c r="XO27" s="20" t="s">
        <v>79</v>
      </c>
      <c r="XP27" s="20" t="s">
        <v>79</v>
      </c>
      <c r="XQ27" s="20" t="s">
        <v>79</v>
      </c>
      <c r="XR27" s="20" t="s">
        <v>79</v>
      </c>
      <c r="XS27" s="20" t="s">
        <v>79</v>
      </c>
      <c r="XT27" s="20" t="s">
        <v>79</v>
      </c>
      <c r="XU27" s="20" t="s">
        <v>79</v>
      </c>
      <c r="XV27" s="20" t="s">
        <v>79</v>
      </c>
      <c r="XW27" s="20" t="s">
        <v>79</v>
      </c>
      <c r="XX27" s="20" t="s">
        <v>79</v>
      </c>
      <c r="XY27" s="20" t="s">
        <v>79</v>
      </c>
      <c r="XZ27" s="20" t="s">
        <v>79</v>
      </c>
      <c r="YA27" s="20" t="s">
        <v>79</v>
      </c>
      <c r="YB27" s="20" t="s">
        <v>79</v>
      </c>
      <c r="YC27" s="20" t="s">
        <v>79</v>
      </c>
      <c r="YD27" s="20" t="s">
        <v>79</v>
      </c>
      <c r="YE27" s="20" t="s">
        <v>79</v>
      </c>
      <c r="YF27" s="20" t="s">
        <v>79</v>
      </c>
      <c r="YG27" s="20" t="s">
        <v>79</v>
      </c>
      <c r="YH27" s="20" t="s">
        <v>79</v>
      </c>
      <c r="YI27" s="20" t="s">
        <v>79</v>
      </c>
      <c r="YJ27" s="20" t="s">
        <v>79</v>
      </c>
      <c r="YK27" s="20" t="s">
        <v>79</v>
      </c>
      <c r="YL27" s="20" t="s">
        <v>79</v>
      </c>
      <c r="YM27" s="20" t="s">
        <v>79</v>
      </c>
      <c r="YN27" s="20" t="s">
        <v>79</v>
      </c>
      <c r="YO27" s="20" t="s">
        <v>79</v>
      </c>
      <c r="YP27" s="20" t="s">
        <v>79</v>
      </c>
      <c r="YQ27" s="20" t="s">
        <v>79</v>
      </c>
      <c r="YR27" s="20" t="s">
        <v>79</v>
      </c>
      <c r="YS27" s="20" t="s">
        <v>79</v>
      </c>
      <c r="YT27" s="20" t="s">
        <v>79</v>
      </c>
      <c r="YU27" s="20" t="s">
        <v>79</v>
      </c>
      <c r="YV27" s="20" t="s">
        <v>79</v>
      </c>
      <c r="YW27" s="20" t="s">
        <v>79</v>
      </c>
      <c r="YX27" s="20" t="s">
        <v>79</v>
      </c>
      <c r="YY27" s="20" t="s">
        <v>79</v>
      </c>
      <c r="YZ27" s="20" t="s">
        <v>79</v>
      </c>
      <c r="ZA27" s="20" t="s">
        <v>79</v>
      </c>
      <c r="ZB27" s="20" t="s">
        <v>79</v>
      </c>
      <c r="ZC27" s="20" t="s">
        <v>79</v>
      </c>
      <c r="ZD27" s="20" t="s">
        <v>79</v>
      </c>
      <c r="ZE27" s="20" t="s">
        <v>79</v>
      </c>
      <c r="ZF27" s="20" t="s">
        <v>79</v>
      </c>
      <c r="ZG27" s="20" t="s">
        <v>79</v>
      </c>
      <c r="ZH27" s="20" t="s">
        <v>79</v>
      </c>
      <c r="ZI27" s="20" t="s">
        <v>79</v>
      </c>
      <c r="ZJ27" s="20" t="s">
        <v>79</v>
      </c>
      <c r="ZK27" s="20" t="s">
        <v>79</v>
      </c>
      <c r="ZL27" s="15" t="s">
        <v>79</v>
      </c>
      <c r="ZM27" s="15" t="s">
        <v>79</v>
      </c>
      <c r="ZN27" s="15" t="s">
        <v>79</v>
      </c>
      <c r="ZO27" s="15" t="s">
        <v>79</v>
      </c>
      <c r="ZP27" s="15" t="s">
        <v>79</v>
      </c>
      <c r="ZQ27" s="15" t="s">
        <v>79</v>
      </c>
      <c r="ZR27" s="20" t="s">
        <v>79</v>
      </c>
      <c r="ZS27" s="15" t="s">
        <v>79</v>
      </c>
      <c r="ZT27" s="15" t="s">
        <v>79</v>
      </c>
      <c r="ZU27" s="15" t="s">
        <v>79</v>
      </c>
      <c r="ZV27" s="15" t="s">
        <v>79</v>
      </c>
      <c r="ZW27" s="15" t="s">
        <v>79</v>
      </c>
      <c r="ZX27" s="15" t="s">
        <v>79</v>
      </c>
      <c r="ZY27" s="20" t="s">
        <v>79</v>
      </c>
      <c r="ZZ27" s="15" t="s">
        <v>79</v>
      </c>
      <c r="AAA27" s="15" t="s">
        <v>79</v>
      </c>
      <c r="AAB27" s="15" t="s">
        <v>79</v>
      </c>
      <c r="AAC27" s="15" t="s">
        <v>79</v>
      </c>
      <c r="AAD27" s="15" t="s">
        <v>79</v>
      </c>
      <c r="AAE27" s="15" t="s">
        <v>79</v>
      </c>
      <c r="AAF27" s="15" t="s">
        <v>79</v>
      </c>
      <c r="AAG27" s="15" t="s">
        <v>79</v>
      </c>
      <c r="AAH27" s="15" t="s">
        <v>79</v>
      </c>
      <c r="AAI27" s="15" t="s">
        <v>79</v>
      </c>
      <c r="AAJ27" s="20" t="s">
        <v>79</v>
      </c>
      <c r="AAK27" s="15" t="s">
        <v>79</v>
      </c>
      <c r="AAL27" s="15"/>
      <c r="AAM27" s="15" t="s">
        <v>79</v>
      </c>
      <c r="AAN27" s="15" t="s">
        <v>79</v>
      </c>
      <c r="AAO27" s="15" t="s">
        <v>79</v>
      </c>
      <c r="AAP27" s="15" t="s">
        <v>79</v>
      </c>
      <c r="AAQ27" s="15" t="s">
        <v>79</v>
      </c>
      <c r="AAR27" s="15" t="s">
        <v>79</v>
      </c>
      <c r="AAS27" s="15" t="s">
        <v>79</v>
      </c>
      <c r="AAT27" s="20" t="s">
        <v>79</v>
      </c>
      <c r="AAU27" s="20" t="s">
        <v>79</v>
      </c>
      <c r="AAV27" s="20" t="s">
        <v>79</v>
      </c>
      <c r="AAW27" s="15" t="s">
        <v>79</v>
      </c>
      <c r="AAX27" s="15"/>
      <c r="AAY27" s="15" t="s">
        <v>79</v>
      </c>
      <c r="AAZ27" s="15" t="s">
        <v>79</v>
      </c>
      <c r="ABA27" s="15" t="s">
        <v>79</v>
      </c>
      <c r="ABB27" s="15" t="s">
        <v>79</v>
      </c>
      <c r="ABC27" s="15" t="s">
        <v>79</v>
      </c>
      <c r="ABD27" s="15" t="s">
        <v>79</v>
      </c>
      <c r="ABE27" s="15" t="s">
        <v>79</v>
      </c>
      <c r="ABF27" s="20" t="s">
        <v>79</v>
      </c>
      <c r="ABG27" s="20" t="s">
        <v>79</v>
      </c>
      <c r="ABH27" s="20" t="s">
        <v>79</v>
      </c>
      <c r="ABI27" s="15" t="s">
        <v>79</v>
      </c>
      <c r="ABJ27" s="15" t="s">
        <v>79</v>
      </c>
      <c r="ABK27" s="15" t="s">
        <v>79</v>
      </c>
      <c r="ABL27" s="15" t="s">
        <v>79</v>
      </c>
      <c r="ABM27" s="15" t="s">
        <v>79</v>
      </c>
      <c r="ABN27" s="15" t="s">
        <v>79</v>
      </c>
      <c r="ABO27" s="15" t="s">
        <v>79</v>
      </c>
      <c r="ABP27" s="15" t="s">
        <v>79</v>
      </c>
      <c r="ABQ27" s="15" t="s">
        <v>79</v>
      </c>
      <c r="ABR27" s="15" t="s">
        <v>79</v>
      </c>
      <c r="ABS27" s="15" t="s">
        <v>79</v>
      </c>
      <c r="ABT27" s="15" t="s">
        <v>79</v>
      </c>
      <c r="ABU27" s="15" t="s">
        <v>79</v>
      </c>
      <c r="ABV27" s="15" t="s">
        <v>79</v>
      </c>
      <c r="ABW27" s="15" t="s">
        <v>79</v>
      </c>
      <c r="ABX27" s="15" t="s">
        <v>79</v>
      </c>
      <c r="ABY27" s="15" t="s">
        <v>79</v>
      </c>
      <c r="ABZ27" s="15" t="s">
        <v>79</v>
      </c>
      <c r="ACA27" s="15" t="s">
        <v>79</v>
      </c>
      <c r="ACB27" s="15" t="s">
        <v>79</v>
      </c>
      <c r="ACC27" s="15" t="s">
        <v>79</v>
      </c>
      <c r="ACD27" s="15" t="s">
        <v>79</v>
      </c>
      <c r="ACE27" s="15" t="s">
        <v>79</v>
      </c>
      <c r="ACF27" s="15" t="s">
        <v>79</v>
      </c>
      <c r="ACG27" s="15" t="s">
        <v>79</v>
      </c>
      <c r="ACH27" s="15" t="s">
        <v>79</v>
      </c>
      <c r="ACI27" s="15" t="s">
        <v>79</v>
      </c>
      <c r="ACJ27" s="15" t="s">
        <v>79</v>
      </c>
      <c r="ACK27" s="15" t="s">
        <v>79</v>
      </c>
      <c r="ACL27" s="15" t="s">
        <v>79</v>
      </c>
      <c r="ACM27" s="15" t="s">
        <v>79</v>
      </c>
      <c r="ACN27" s="15" t="s">
        <v>79</v>
      </c>
      <c r="ACO27" s="15" t="s">
        <v>79</v>
      </c>
      <c r="ACP27" s="15" t="s">
        <v>79</v>
      </c>
      <c r="ACQ27" s="15" t="s">
        <v>79</v>
      </c>
      <c r="ACR27" s="15" t="s">
        <v>79</v>
      </c>
      <c r="ACS27" s="15" t="s">
        <v>79</v>
      </c>
      <c r="ACT27" s="15" t="s">
        <v>79</v>
      </c>
      <c r="ACU27" s="15" t="s">
        <v>79</v>
      </c>
      <c r="ACV27" s="15" t="s">
        <v>79</v>
      </c>
      <c r="ACW27" s="15" t="s">
        <v>79</v>
      </c>
      <c r="ACX27" s="15" t="s">
        <v>79</v>
      </c>
      <c r="ACY27" s="15" t="s">
        <v>79</v>
      </c>
      <c r="ACZ27" s="15" t="s">
        <v>79</v>
      </c>
      <c r="ADA27" s="15" t="s">
        <v>79</v>
      </c>
      <c r="ADB27" s="15" t="s">
        <v>79</v>
      </c>
      <c r="ADC27" s="15" t="s">
        <v>79</v>
      </c>
      <c r="ADD27" s="15" t="s">
        <v>79</v>
      </c>
      <c r="ADE27" s="20" t="s">
        <v>79</v>
      </c>
      <c r="ADF27" s="15" t="s">
        <v>79</v>
      </c>
      <c r="ADG27" s="15" t="s">
        <v>79</v>
      </c>
      <c r="ADH27" s="15"/>
      <c r="ADI27" s="15" t="s">
        <v>79</v>
      </c>
      <c r="ADJ27" s="15" t="s">
        <v>79</v>
      </c>
      <c r="ADK27" s="15" t="s">
        <v>79</v>
      </c>
      <c r="ADL27" s="15" t="s">
        <v>79</v>
      </c>
      <c r="ADM27" s="15" t="s">
        <v>79</v>
      </c>
      <c r="ADN27" s="15" t="s">
        <v>79</v>
      </c>
      <c r="ADO27" s="15" t="s">
        <v>79</v>
      </c>
      <c r="ADP27" s="20" t="s">
        <v>79</v>
      </c>
      <c r="ADQ27" s="20" t="s">
        <v>79</v>
      </c>
      <c r="ADR27" s="20" t="s">
        <v>79</v>
      </c>
      <c r="ADS27" s="15" t="s">
        <v>79</v>
      </c>
      <c r="ADT27" s="15" t="s">
        <v>79</v>
      </c>
      <c r="ADU27" s="15" t="s">
        <v>79</v>
      </c>
      <c r="ADV27" s="15" t="s">
        <v>79</v>
      </c>
      <c r="ADW27" s="15" t="s">
        <v>79</v>
      </c>
      <c r="ADX27" s="15" t="s">
        <v>79</v>
      </c>
      <c r="ADY27" s="15" t="s">
        <v>79</v>
      </c>
      <c r="ADZ27" s="15" t="s">
        <v>79</v>
      </c>
      <c r="AEA27" s="15" t="s">
        <v>79</v>
      </c>
      <c r="AEB27" s="15" t="s">
        <v>79</v>
      </c>
      <c r="AEC27" s="15" t="s">
        <v>79</v>
      </c>
      <c r="AED27" s="15" t="s">
        <v>79</v>
      </c>
      <c r="AEE27" s="15" t="s">
        <v>79</v>
      </c>
      <c r="AEF27" s="15" t="s">
        <v>79</v>
      </c>
      <c r="AEG27" s="15" t="s">
        <v>79</v>
      </c>
      <c r="AEH27" s="15" t="s">
        <v>79</v>
      </c>
      <c r="AEI27" s="15" t="s">
        <v>79</v>
      </c>
      <c r="AEJ27" s="15" t="s">
        <v>79</v>
      </c>
      <c r="AEK27" s="15" t="s">
        <v>79</v>
      </c>
      <c r="AEL27" s="15" t="s">
        <v>79</v>
      </c>
      <c r="AEM27" s="15" t="s">
        <v>79</v>
      </c>
      <c r="AEN27" s="15" t="s">
        <v>79</v>
      </c>
      <c r="AEO27" s="15" t="s">
        <v>79</v>
      </c>
      <c r="AEP27" s="15" t="s">
        <v>79</v>
      </c>
      <c r="AEQ27" s="15" t="s">
        <v>79</v>
      </c>
      <c r="AER27" s="15" t="s">
        <v>79</v>
      </c>
      <c r="AES27" s="15" t="s">
        <v>79</v>
      </c>
      <c r="AET27" s="15" t="s">
        <v>79</v>
      </c>
      <c r="AEU27" s="15" t="s">
        <v>79</v>
      </c>
      <c r="AEV27" s="15" t="s">
        <v>79</v>
      </c>
      <c r="AEW27" s="15" t="s">
        <v>79</v>
      </c>
      <c r="AEX27" s="15" t="s">
        <v>79</v>
      </c>
      <c r="AEY27" s="15" t="s">
        <v>79</v>
      </c>
      <c r="AEZ27" s="15" t="s">
        <v>79</v>
      </c>
      <c r="AFA27" s="15" t="s">
        <v>79</v>
      </c>
      <c r="AFB27" s="15" t="s">
        <v>79</v>
      </c>
      <c r="AFC27" s="15" t="s">
        <v>79</v>
      </c>
      <c r="AFD27" s="15" t="s">
        <v>79</v>
      </c>
      <c r="AFE27" s="15" t="s">
        <v>79</v>
      </c>
      <c r="AFF27" s="15" t="s">
        <v>79</v>
      </c>
      <c r="AFG27" s="15" t="s">
        <v>79</v>
      </c>
      <c r="AFH27" s="15" t="s">
        <v>79</v>
      </c>
      <c r="AFI27" s="15" t="s">
        <v>79</v>
      </c>
      <c r="AFJ27" s="15" t="s">
        <v>79</v>
      </c>
      <c r="AFK27" s="15" t="s">
        <v>79</v>
      </c>
      <c r="AFL27" s="15" t="s">
        <v>79</v>
      </c>
      <c r="AFM27" s="15" t="s">
        <v>79</v>
      </c>
      <c r="AFN27" s="15" t="s">
        <v>79</v>
      </c>
      <c r="AFO27" s="20" t="s">
        <v>79</v>
      </c>
      <c r="AFP27" s="15" t="s">
        <v>79</v>
      </c>
      <c r="AFQ27" s="15" t="s">
        <v>79</v>
      </c>
      <c r="AFR27" s="15"/>
      <c r="AFS27" s="15" t="s">
        <v>79</v>
      </c>
      <c r="AFT27" s="15" t="s">
        <v>79</v>
      </c>
      <c r="AFU27" s="15" t="s">
        <v>79</v>
      </c>
      <c r="AFV27" s="15" t="s">
        <v>79</v>
      </c>
      <c r="AFW27" s="15" t="s">
        <v>79</v>
      </c>
      <c r="AFX27" s="15" t="s">
        <v>79</v>
      </c>
      <c r="AFY27" s="15" t="s">
        <v>79</v>
      </c>
      <c r="AFZ27" s="15" t="s">
        <v>79</v>
      </c>
      <c r="AGA27" s="15" t="s">
        <v>79</v>
      </c>
      <c r="AGB27" s="15" t="s">
        <v>79</v>
      </c>
      <c r="AGC27" s="15" t="s">
        <v>79</v>
      </c>
      <c r="AGD27" s="15" t="s">
        <v>79</v>
      </c>
      <c r="AGE27" s="15" t="s">
        <v>79</v>
      </c>
      <c r="AGF27" s="15" t="s">
        <v>79</v>
      </c>
      <c r="AGG27" s="15" t="s">
        <v>79</v>
      </c>
      <c r="AGH27" s="15" t="s">
        <v>79</v>
      </c>
      <c r="AGI27" s="15" t="s">
        <v>79</v>
      </c>
      <c r="AGJ27" s="15" t="s">
        <v>79</v>
      </c>
      <c r="AGK27" s="15" t="s">
        <v>79</v>
      </c>
      <c r="AGL27" s="15" t="s">
        <v>79</v>
      </c>
      <c r="AGM27" s="15" t="s">
        <v>79</v>
      </c>
      <c r="AGN27" s="15" t="s">
        <v>79</v>
      </c>
      <c r="AGO27" s="15" t="s">
        <v>79</v>
      </c>
      <c r="AGP27" s="15" t="s">
        <v>79</v>
      </c>
      <c r="AGQ27" s="15" t="s">
        <v>79</v>
      </c>
      <c r="AGR27" s="15" t="s">
        <v>79</v>
      </c>
      <c r="AGS27" s="15" t="s">
        <v>79</v>
      </c>
      <c r="AGT27" s="15" t="s">
        <v>79</v>
      </c>
      <c r="AGU27" s="15" t="s">
        <v>79</v>
      </c>
      <c r="AGV27" s="15" t="s">
        <v>79</v>
      </c>
      <c r="AGW27" s="15" t="s">
        <v>79</v>
      </c>
      <c r="AGX27" s="15" t="s">
        <v>79</v>
      </c>
      <c r="AGY27" s="15" t="s">
        <v>79</v>
      </c>
      <c r="AGZ27" s="15" t="s">
        <v>79</v>
      </c>
      <c r="AHA27" s="15" t="s">
        <v>79</v>
      </c>
      <c r="AHB27" s="15" t="s">
        <v>79</v>
      </c>
      <c r="AHC27" s="15" t="s">
        <v>79</v>
      </c>
      <c r="AHD27" s="15" t="s">
        <v>79</v>
      </c>
      <c r="AHE27" s="15" t="s">
        <v>79</v>
      </c>
      <c r="AHF27" s="15" t="s">
        <v>79</v>
      </c>
      <c r="AHG27" s="15" t="s">
        <v>79</v>
      </c>
      <c r="AHH27" s="15" t="s">
        <v>79</v>
      </c>
      <c r="AHI27" s="15" t="s">
        <v>79</v>
      </c>
      <c r="AHJ27" s="15" t="s">
        <v>79</v>
      </c>
      <c r="AHK27" s="15" t="s">
        <v>79</v>
      </c>
      <c r="AHL27" s="15" t="s">
        <v>79</v>
      </c>
      <c r="AHM27" s="15" t="s">
        <v>79</v>
      </c>
      <c r="AHN27" s="15" t="s">
        <v>79</v>
      </c>
      <c r="AHO27" s="15" t="s">
        <v>79</v>
      </c>
      <c r="AHP27" s="15" t="s">
        <v>79</v>
      </c>
      <c r="AHQ27" s="15" t="s">
        <v>79</v>
      </c>
      <c r="AHR27" s="15" t="s">
        <v>79</v>
      </c>
      <c r="AHS27" s="15" t="s">
        <v>79</v>
      </c>
      <c r="AHT27" s="15" t="s">
        <v>79</v>
      </c>
      <c r="AHU27" s="15" t="s">
        <v>79</v>
      </c>
      <c r="AHV27" s="15" t="s">
        <v>79</v>
      </c>
      <c r="AHW27" s="15" t="s">
        <v>79</v>
      </c>
      <c r="AHX27" s="15" t="s">
        <v>79</v>
      </c>
      <c r="AHY27" s="15" t="s">
        <v>79</v>
      </c>
      <c r="AHZ27" s="15" t="s">
        <v>79</v>
      </c>
      <c r="AIA27" s="15" t="s">
        <v>79</v>
      </c>
      <c r="AIB27" s="15" t="s">
        <v>79</v>
      </c>
      <c r="AIC27" s="15" t="s">
        <v>79</v>
      </c>
      <c r="AID27" s="15" t="s">
        <v>79</v>
      </c>
      <c r="AIE27" s="15" t="s">
        <v>79</v>
      </c>
      <c r="AIF27" s="15" t="s">
        <v>79</v>
      </c>
      <c r="AIG27" s="15" t="s">
        <v>79</v>
      </c>
      <c r="AIH27" s="15" t="s">
        <v>79</v>
      </c>
      <c r="AII27" s="15" t="s">
        <v>79</v>
      </c>
      <c r="AIJ27" s="15" t="s">
        <v>79</v>
      </c>
      <c r="AIK27" s="15" t="s">
        <v>79</v>
      </c>
      <c r="AIL27" s="15" t="s">
        <v>79</v>
      </c>
      <c r="AIM27" s="15" t="s">
        <v>79</v>
      </c>
      <c r="AIN27" s="15" t="s">
        <v>79</v>
      </c>
      <c r="AIO27" s="15" t="s">
        <v>79</v>
      </c>
      <c r="AIP27" s="15" t="s">
        <v>79</v>
      </c>
      <c r="AIQ27" s="15" t="s">
        <v>79</v>
      </c>
      <c r="AIR27" s="15" t="s">
        <v>79</v>
      </c>
      <c r="AIS27" s="15" t="s">
        <v>79</v>
      </c>
      <c r="AIT27" s="15" t="s">
        <v>79</v>
      </c>
      <c r="AIU27" s="15" t="s">
        <v>79</v>
      </c>
      <c r="AIV27" s="15" t="s">
        <v>79</v>
      </c>
      <c r="AIW27" s="15" t="s">
        <v>79</v>
      </c>
      <c r="AIX27" s="15" t="s">
        <v>79</v>
      </c>
      <c r="AIY27" s="15" t="s">
        <v>79</v>
      </c>
      <c r="AIZ27" s="15" t="s">
        <v>79</v>
      </c>
      <c r="AJA27" s="15" t="s">
        <v>79</v>
      </c>
      <c r="AJB27" s="20" t="s">
        <v>79</v>
      </c>
      <c r="AJC27" s="15" t="s">
        <v>79</v>
      </c>
      <c r="AJD27" s="20" t="s">
        <v>79</v>
      </c>
      <c r="AJE27" s="20" t="s">
        <v>79</v>
      </c>
      <c r="AJF27" s="15"/>
      <c r="AJG27" s="15" t="s">
        <v>79</v>
      </c>
      <c r="AJH27" s="15" t="s">
        <v>79</v>
      </c>
      <c r="AJI27" s="15" t="s">
        <v>79</v>
      </c>
      <c r="AJJ27" s="15" t="s">
        <v>79</v>
      </c>
      <c r="AJK27" s="15" t="s">
        <v>79</v>
      </c>
      <c r="AJL27" s="15" t="s">
        <v>79</v>
      </c>
      <c r="AJM27" s="15" t="s">
        <v>79</v>
      </c>
      <c r="AJN27" s="15"/>
      <c r="AJO27" s="15" t="s">
        <v>79</v>
      </c>
      <c r="AJP27" s="15" t="s">
        <v>79</v>
      </c>
      <c r="AJQ27" s="15" t="s">
        <v>79</v>
      </c>
      <c r="AJR27" s="15" t="s">
        <v>79</v>
      </c>
      <c r="AJS27" s="15" t="s">
        <v>79</v>
      </c>
      <c r="AJT27" s="15" t="s">
        <v>79</v>
      </c>
      <c r="AJU27" s="15" t="s">
        <v>79</v>
      </c>
      <c r="AJV27" s="15" t="s">
        <v>79</v>
      </c>
      <c r="AJW27" s="15" t="s">
        <v>79</v>
      </c>
      <c r="AJX27" s="15"/>
      <c r="AJY27" s="15" t="s">
        <v>79</v>
      </c>
      <c r="AJZ27" s="15" t="s">
        <v>79</v>
      </c>
      <c r="AKA27" s="15" t="s">
        <v>79</v>
      </c>
      <c r="AKB27" s="15" t="s">
        <v>79</v>
      </c>
      <c r="AKC27" s="15" t="s">
        <v>79</v>
      </c>
      <c r="AKD27" s="15" t="s">
        <v>79</v>
      </c>
      <c r="AKE27" s="15" t="s">
        <v>79</v>
      </c>
      <c r="AKF27" s="15" t="s">
        <v>79</v>
      </c>
      <c r="AKG27" s="15" t="s">
        <v>79</v>
      </c>
      <c r="AKH27" s="15" t="s">
        <v>79</v>
      </c>
      <c r="AKI27" s="15"/>
      <c r="AKJ27" s="15" t="s">
        <v>79</v>
      </c>
      <c r="AKK27" s="15" t="s">
        <v>79</v>
      </c>
      <c r="AKL27" s="15" t="s">
        <v>79</v>
      </c>
      <c r="AKM27" s="15" t="s">
        <v>79</v>
      </c>
      <c r="AKN27" s="15" t="s">
        <v>79</v>
      </c>
      <c r="AKO27" s="15" t="s">
        <v>79</v>
      </c>
      <c r="AKP27" s="15" t="s">
        <v>79</v>
      </c>
      <c r="AKQ27" s="15" t="s">
        <v>79</v>
      </c>
      <c r="AKR27" s="15" t="s">
        <v>79</v>
      </c>
      <c r="AKS27" s="15" t="s">
        <v>79</v>
      </c>
      <c r="AKT27" s="15" t="s">
        <v>79</v>
      </c>
      <c r="AKU27" s="15" t="s">
        <v>79</v>
      </c>
      <c r="AKV27" s="15" t="s">
        <v>79</v>
      </c>
      <c r="AKW27" s="15" t="s">
        <v>79</v>
      </c>
      <c r="AKX27" s="15"/>
      <c r="AKY27" s="15" t="s">
        <v>79</v>
      </c>
      <c r="AKZ27" s="15" t="s">
        <v>79</v>
      </c>
      <c r="ALA27" s="15" t="s">
        <v>79</v>
      </c>
      <c r="ALB27" s="15" t="s">
        <v>79</v>
      </c>
      <c r="ALC27" s="15" t="s">
        <v>79</v>
      </c>
      <c r="ALD27" s="15" t="s">
        <v>79</v>
      </c>
      <c r="ALE27" s="15" t="s">
        <v>79</v>
      </c>
      <c r="ALF27" s="20" t="s">
        <v>79</v>
      </c>
      <c r="ALG27" s="20" t="s">
        <v>79</v>
      </c>
      <c r="ALH27" s="20" t="s">
        <v>79</v>
      </c>
      <c r="ALI27" s="20" t="s">
        <v>79</v>
      </c>
      <c r="ALJ27" s="20" t="s">
        <v>79</v>
      </c>
      <c r="ALK27" s="20" t="s">
        <v>79</v>
      </c>
      <c r="ALL27" s="20" t="s">
        <v>79</v>
      </c>
      <c r="ALM27" s="15"/>
      <c r="ALN27" s="15" t="s">
        <v>79</v>
      </c>
      <c r="ALO27" s="15" t="s">
        <v>79</v>
      </c>
      <c r="ALP27" s="15" t="s">
        <v>79</v>
      </c>
      <c r="ALQ27" s="15" t="s">
        <v>79</v>
      </c>
      <c r="ALR27" s="15" t="s">
        <v>79</v>
      </c>
      <c r="ALS27" s="15" t="s">
        <v>79</v>
      </c>
      <c r="ALT27" s="15" t="s">
        <v>79</v>
      </c>
      <c r="ALU27" s="20" t="s">
        <v>79</v>
      </c>
      <c r="ALV27" s="20" t="s">
        <v>79</v>
      </c>
      <c r="ALW27" s="20" t="s">
        <v>79</v>
      </c>
      <c r="ALX27" s="20" t="s">
        <v>79</v>
      </c>
      <c r="ALY27" s="20" t="s">
        <v>79</v>
      </c>
      <c r="ALZ27" s="20" t="s">
        <v>79</v>
      </c>
      <c r="AMA27" s="20" t="s">
        <v>79</v>
      </c>
      <c r="AMB27" s="20" t="s">
        <v>79</v>
      </c>
      <c r="AMC27" s="15"/>
      <c r="AMD27" s="15" t="s">
        <v>79</v>
      </c>
      <c r="AME27" s="15" t="s">
        <v>79</v>
      </c>
      <c r="AMF27" s="15" t="s">
        <v>79</v>
      </c>
      <c r="AMG27" s="15" t="s">
        <v>79</v>
      </c>
      <c r="AMH27" s="15" t="s">
        <v>79</v>
      </c>
      <c r="AMI27" s="15" t="s">
        <v>79</v>
      </c>
      <c r="AMJ27" s="15" t="s">
        <v>79</v>
      </c>
      <c r="AMK27" s="15" t="s">
        <v>79</v>
      </c>
      <c r="AML27" s="15" t="s">
        <v>79</v>
      </c>
      <c r="AMM27" s="15" t="s">
        <v>79</v>
      </c>
      <c r="AMN27" s="15" t="s">
        <v>79</v>
      </c>
      <c r="AMO27" s="15" t="s">
        <v>79</v>
      </c>
      <c r="AMP27" s="15" t="s">
        <v>79</v>
      </c>
      <c r="AMQ27" s="15" t="s">
        <v>79</v>
      </c>
      <c r="AMR27" s="15" t="s">
        <v>79</v>
      </c>
      <c r="AMS27" s="15" t="s">
        <v>79</v>
      </c>
      <c r="AMT27" s="15" t="s">
        <v>79</v>
      </c>
      <c r="AMU27" s="15" t="s">
        <v>79</v>
      </c>
      <c r="AMV27" s="15" t="s">
        <v>79</v>
      </c>
      <c r="AMW27" s="15" t="s">
        <v>79</v>
      </c>
      <c r="AMX27" s="15" t="s">
        <v>79</v>
      </c>
      <c r="AMY27" s="15" t="s">
        <v>79</v>
      </c>
      <c r="AMZ27" s="15" t="s">
        <v>79</v>
      </c>
      <c r="ANA27" s="15" t="s">
        <v>79</v>
      </c>
      <c r="ANB27" s="15" t="s">
        <v>79</v>
      </c>
      <c r="ANC27" s="15" t="s">
        <v>79</v>
      </c>
      <c r="AND27" s="15" t="s">
        <v>79</v>
      </c>
      <c r="ANE27" s="15"/>
      <c r="ANF27" s="15"/>
      <c r="ANG27" s="15"/>
      <c r="ANH27" s="15"/>
      <c r="ANI27" s="15"/>
      <c r="ANJ27" s="15"/>
      <c r="ANK27" s="15"/>
      <c r="ANL27" s="15"/>
      <c r="ANM27" s="15"/>
      <c r="ANN27" s="15"/>
      <c r="ANO27" s="15"/>
      <c r="ANP27" s="15"/>
      <c r="ANQ27" s="15"/>
      <c r="ANR27" s="15"/>
      <c r="ANS27" s="15"/>
      <c r="ANT27" s="15"/>
      <c r="ANU27" s="15"/>
      <c r="ANV27" s="15"/>
      <c r="ANW27" s="15"/>
      <c r="ANX27" s="15"/>
      <c r="ANY27" s="15"/>
      <c r="ANZ27" s="15"/>
      <c r="AOA27" s="15"/>
      <c r="AOB27" s="15"/>
      <c r="AOC27" s="15"/>
      <c r="AOD27" s="15"/>
      <c r="AOE27" s="15"/>
      <c r="AOF27" s="15"/>
      <c r="AOG27" s="15"/>
      <c r="AOH27" s="15"/>
      <c r="AOI27" s="15"/>
      <c r="AOJ27" s="15"/>
      <c r="AOK27" s="15"/>
      <c r="AOL27" s="15"/>
      <c r="AOM27" s="15"/>
      <c r="AON27" s="15"/>
      <c r="AOO27" s="15"/>
      <c r="AOP27" s="15"/>
      <c r="AOQ27" s="15"/>
      <c r="AOR27" s="15"/>
      <c r="AOS27" s="15"/>
      <c r="AOT27" s="15"/>
      <c r="AOU27" s="15"/>
      <c r="AOV27" s="15"/>
      <c r="AOW27" s="15"/>
      <c r="AOX27" s="15"/>
      <c r="AOY27" s="15"/>
      <c r="AOZ27" s="15"/>
      <c r="APA27" s="15"/>
      <c r="APB27" s="15"/>
      <c r="APC27" s="15"/>
      <c r="APD27" s="15"/>
      <c r="APE27" s="15"/>
      <c r="APF27" s="15"/>
      <c r="APG27" s="15"/>
      <c r="APH27" s="15"/>
      <c r="API27" s="15"/>
      <c r="APJ27" s="15"/>
      <c r="APK27" s="15"/>
      <c r="APL27" s="15"/>
      <c r="APM27" s="15"/>
      <c r="APN27" s="15"/>
      <c r="APO27" s="15"/>
      <c r="APP27" s="15"/>
      <c r="APQ27" s="15"/>
      <c r="APR27" s="15"/>
      <c r="APS27" s="15"/>
      <c r="APT27" s="15"/>
      <c r="APU27" s="15"/>
      <c r="APV27" s="15"/>
      <c r="APW27" s="15"/>
      <c r="APX27" s="15"/>
      <c r="APY27" s="15"/>
      <c r="APZ27" s="15"/>
      <c r="AQA27" s="15"/>
      <c r="AQB27" s="15"/>
    </row>
    <row r="28" spans="1:1120" s="17" customFormat="1" ht="15" customHeight="1" x14ac:dyDescent="0.25">
      <c r="A28" s="3" t="s">
        <v>2</v>
      </c>
      <c r="B28" s="6" t="s">
        <v>33</v>
      </c>
      <c r="C28" s="15"/>
      <c r="D28" s="15" t="s">
        <v>70</v>
      </c>
      <c r="E28" s="15" t="s">
        <v>70</v>
      </c>
      <c r="F28" s="15" t="s">
        <v>70</v>
      </c>
      <c r="G28" s="15" t="s">
        <v>70</v>
      </c>
      <c r="H28" s="15" t="s">
        <v>70</v>
      </c>
      <c r="I28" s="15" t="s">
        <v>70</v>
      </c>
      <c r="J28" s="15"/>
      <c r="K28" s="15" t="s">
        <v>70</v>
      </c>
      <c r="L28" s="15" t="s">
        <v>70</v>
      </c>
      <c r="M28" s="15" t="s">
        <v>70</v>
      </c>
      <c r="N28" s="15" t="s">
        <v>70</v>
      </c>
      <c r="O28" s="15" t="s">
        <v>70</v>
      </c>
      <c r="P28" s="15" t="s">
        <v>70</v>
      </c>
      <c r="Q28" s="15"/>
      <c r="R28" s="15" t="s">
        <v>70</v>
      </c>
      <c r="S28" s="15" t="s">
        <v>70</v>
      </c>
      <c r="T28" s="15" t="s">
        <v>70</v>
      </c>
      <c r="U28" s="15" t="s">
        <v>70</v>
      </c>
      <c r="V28" s="15" t="s">
        <v>70</v>
      </c>
      <c r="W28" s="15" t="s">
        <v>70</v>
      </c>
      <c r="X28" s="15"/>
      <c r="Y28" s="15" t="s">
        <v>70</v>
      </c>
      <c r="Z28" s="15" t="s">
        <v>70</v>
      </c>
      <c r="AA28" s="15" t="s">
        <v>70</v>
      </c>
      <c r="AB28" s="15" t="s">
        <v>70</v>
      </c>
      <c r="AC28" s="15" t="s">
        <v>70</v>
      </c>
      <c r="AD28" s="15" t="s">
        <v>70</v>
      </c>
      <c r="AE28" s="15"/>
      <c r="AF28" s="15" t="s">
        <v>70</v>
      </c>
      <c r="AG28" s="15" t="s">
        <v>70</v>
      </c>
      <c r="AH28" s="15" t="s">
        <v>70</v>
      </c>
      <c r="AI28" s="15" t="s">
        <v>70</v>
      </c>
      <c r="AJ28" s="15" t="s">
        <v>70</v>
      </c>
      <c r="AK28" s="15" t="s">
        <v>70</v>
      </c>
      <c r="AL28" s="15"/>
      <c r="AM28" s="15" t="s">
        <v>70</v>
      </c>
      <c r="AN28" s="15" t="s">
        <v>70</v>
      </c>
      <c r="AO28" s="15" t="s">
        <v>70</v>
      </c>
      <c r="AP28" s="15" t="s">
        <v>70</v>
      </c>
      <c r="AQ28" s="15" t="s">
        <v>70</v>
      </c>
      <c r="AR28" s="20" t="s">
        <v>119</v>
      </c>
      <c r="AS28" s="20" t="s">
        <v>119</v>
      </c>
      <c r="AT28" s="20" t="s">
        <v>119</v>
      </c>
      <c r="AU28" s="20" t="s">
        <v>119</v>
      </c>
      <c r="AV28" s="20" t="s">
        <v>119</v>
      </c>
      <c r="AW28" s="20" t="s">
        <v>119</v>
      </c>
      <c r="AX28" s="20" t="s">
        <v>119</v>
      </c>
      <c r="AY28" s="20" t="s">
        <v>119</v>
      </c>
      <c r="AZ28" s="20" t="s">
        <v>119</v>
      </c>
      <c r="BA28" s="20" t="s">
        <v>119</v>
      </c>
      <c r="BB28" s="20" t="s">
        <v>119</v>
      </c>
      <c r="BC28" s="20" t="s">
        <v>119</v>
      </c>
      <c r="BD28" s="20" t="s">
        <v>119</v>
      </c>
      <c r="BE28" s="20" t="s">
        <v>119</v>
      </c>
      <c r="BF28" s="20" t="s">
        <v>119</v>
      </c>
      <c r="BG28" s="20" t="s">
        <v>119</v>
      </c>
      <c r="BH28" s="20" t="s">
        <v>119</v>
      </c>
      <c r="BI28" s="20" t="s">
        <v>119</v>
      </c>
      <c r="BJ28" s="20" t="s">
        <v>119</v>
      </c>
      <c r="BK28" s="20" t="s">
        <v>119</v>
      </c>
      <c r="BL28" s="20" t="s">
        <v>119</v>
      </c>
      <c r="BM28" s="20" t="s">
        <v>119</v>
      </c>
      <c r="BN28" s="20" t="s">
        <v>119</v>
      </c>
      <c r="BO28" s="20" t="s">
        <v>119</v>
      </c>
      <c r="BP28" s="20" t="s">
        <v>119</v>
      </c>
      <c r="BQ28" s="20" t="s">
        <v>119</v>
      </c>
      <c r="BR28" s="20" t="s">
        <v>119</v>
      </c>
      <c r="BS28" s="20" t="s">
        <v>119</v>
      </c>
      <c r="BT28" s="20" t="s">
        <v>119</v>
      </c>
      <c r="BU28" s="20" t="s">
        <v>119</v>
      </c>
      <c r="BV28" s="20" t="s">
        <v>119</v>
      </c>
      <c r="BW28" s="20" t="s">
        <v>119</v>
      </c>
      <c r="BX28" s="20" t="s">
        <v>119</v>
      </c>
      <c r="BY28" s="20" t="s">
        <v>119</v>
      </c>
      <c r="BZ28" s="20" t="s">
        <v>119</v>
      </c>
      <c r="CA28" s="20" t="s">
        <v>119</v>
      </c>
      <c r="CB28" s="20" t="s">
        <v>119</v>
      </c>
      <c r="CC28" s="20" t="s">
        <v>119</v>
      </c>
      <c r="CD28" s="20" t="s">
        <v>119</v>
      </c>
      <c r="CE28" s="20" t="s">
        <v>119</v>
      </c>
      <c r="CF28" s="20" t="s">
        <v>119</v>
      </c>
      <c r="CG28" s="20" t="s">
        <v>119</v>
      </c>
      <c r="CH28" s="20" t="s">
        <v>119</v>
      </c>
      <c r="CI28" s="20" t="s">
        <v>119</v>
      </c>
      <c r="CJ28" s="20" t="s">
        <v>119</v>
      </c>
      <c r="CK28" s="20" t="s">
        <v>119</v>
      </c>
      <c r="CL28" s="20" t="s">
        <v>119</v>
      </c>
      <c r="CM28" s="20" t="s">
        <v>119</v>
      </c>
      <c r="CN28" s="20" t="s">
        <v>119</v>
      </c>
      <c r="CO28" s="20" t="s">
        <v>119</v>
      </c>
      <c r="CP28" s="20" t="s">
        <v>119</v>
      </c>
      <c r="CQ28" s="20" t="s">
        <v>119</v>
      </c>
      <c r="CR28" s="20" t="s">
        <v>119</v>
      </c>
      <c r="CS28" s="20" t="s">
        <v>119</v>
      </c>
      <c r="CT28" s="20" t="s">
        <v>119</v>
      </c>
      <c r="CU28" s="20" t="s">
        <v>119</v>
      </c>
      <c r="CV28" s="20" t="s">
        <v>119</v>
      </c>
      <c r="CW28" s="20" t="s">
        <v>119</v>
      </c>
      <c r="CX28" s="20" t="s">
        <v>119</v>
      </c>
      <c r="CY28" s="20" t="s">
        <v>119</v>
      </c>
      <c r="CZ28" s="20" t="s">
        <v>119</v>
      </c>
      <c r="DA28" s="20" t="s">
        <v>119</v>
      </c>
      <c r="DB28" s="20" t="s">
        <v>119</v>
      </c>
      <c r="DC28" s="20" t="s">
        <v>119</v>
      </c>
      <c r="DD28" s="20" t="s">
        <v>119</v>
      </c>
      <c r="DE28" s="20" t="s">
        <v>119</v>
      </c>
      <c r="DF28" s="20" t="s">
        <v>119</v>
      </c>
      <c r="DG28" s="20" t="s">
        <v>119</v>
      </c>
      <c r="DH28" s="20" t="s">
        <v>119</v>
      </c>
      <c r="DI28" s="20" t="s">
        <v>119</v>
      </c>
      <c r="DJ28" s="20" t="s">
        <v>119</v>
      </c>
      <c r="DK28" s="20" t="s">
        <v>119</v>
      </c>
      <c r="DL28" s="20" t="s">
        <v>119</v>
      </c>
      <c r="DM28" s="20" t="s">
        <v>119</v>
      </c>
      <c r="DN28" s="20" t="s">
        <v>119</v>
      </c>
      <c r="DO28" s="20" t="s">
        <v>119</v>
      </c>
      <c r="DP28" s="20" t="s">
        <v>119</v>
      </c>
      <c r="DQ28" s="20" t="s">
        <v>119</v>
      </c>
      <c r="DR28" s="20" t="s">
        <v>119</v>
      </c>
      <c r="DS28" s="20" t="s">
        <v>119</v>
      </c>
      <c r="DT28" s="20" t="s">
        <v>119</v>
      </c>
      <c r="DU28" s="20" t="s">
        <v>119</v>
      </c>
      <c r="DV28" s="20" t="s">
        <v>119</v>
      </c>
      <c r="DW28" s="20" t="s">
        <v>119</v>
      </c>
      <c r="DX28" s="20" t="s">
        <v>119</v>
      </c>
      <c r="DY28" s="20" t="s">
        <v>119</v>
      </c>
      <c r="DZ28" s="20" t="s">
        <v>119</v>
      </c>
      <c r="EA28" s="20" t="s">
        <v>119</v>
      </c>
      <c r="EB28" s="20" t="s">
        <v>119</v>
      </c>
      <c r="EC28" s="20" t="s">
        <v>119</v>
      </c>
      <c r="ED28" s="20" t="s">
        <v>119</v>
      </c>
      <c r="EE28" s="20" t="s">
        <v>119</v>
      </c>
      <c r="EF28" s="20" t="s">
        <v>119</v>
      </c>
      <c r="EG28" s="20" t="s">
        <v>119</v>
      </c>
      <c r="EH28" s="20" t="s">
        <v>119</v>
      </c>
      <c r="EI28" s="20" t="s">
        <v>119</v>
      </c>
      <c r="EJ28" s="20" t="s">
        <v>119</v>
      </c>
      <c r="EK28" s="20" t="s">
        <v>119</v>
      </c>
      <c r="EL28" s="20" t="s">
        <v>119</v>
      </c>
      <c r="EM28" s="20" t="s">
        <v>119</v>
      </c>
      <c r="EN28" s="20" t="s">
        <v>119</v>
      </c>
      <c r="EO28" s="20" t="s">
        <v>119</v>
      </c>
      <c r="EP28" s="20" t="s">
        <v>119</v>
      </c>
      <c r="EQ28" s="20" t="s">
        <v>119</v>
      </c>
      <c r="ER28" s="20" t="s">
        <v>119</v>
      </c>
      <c r="ES28" s="20" t="s">
        <v>119</v>
      </c>
      <c r="ET28" s="20" t="s">
        <v>119</v>
      </c>
      <c r="EU28" s="20" t="s">
        <v>119</v>
      </c>
      <c r="EV28" s="20" t="s">
        <v>119</v>
      </c>
      <c r="EW28" s="20" t="s">
        <v>119</v>
      </c>
      <c r="EX28" s="20" t="s">
        <v>119</v>
      </c>
      <c r="EY28" s="20" t="s">
        <v>119</v>
      </c>
      <c r="EZ28" s="20" t="s">
        <v>119</v>
      </c>
      <c r="FA28" s="20" t="s">
        <v>119</v>
      </c>
      <c r="FB28" s="20" t="s">
        <v>119</v>
      </c>
      <c r="FC28" s="20" t="s">
        <v>119</v>
      </c>
      <c r="FD28" s="15"/>
      <c r="FE28" s="20" t="s">
        <v>70</v>
      </c>
      <c r="FF28" s="20" t="s">
        <v>70</v>
      </c>
      <c r="FG28" s="20" t="s">
        <v>70</v>
      </c>
      <c r="FH28" s="20" t="s">
        <v>70</v>
      </c>
      <c r="FI28" s="20" t="s">
        <v>70</v>
      </c>
      <c r="FJ28" s="20" t="s">
        <v>70</v>
      </c>
      <c r="FK28" s="20" t="s">
        <v>70</v>
      </c>
      <c r="FL28" s="20" t="s">
        <v>119</v>
      </c>
      <c r="FM28" s="20" t="s">
        <v>150</v>
      </c>
      <c r="FN28" s="20" t="s">
        <v>150</v>
      </c>
      <c r="FO28" s="20" t="s">
        <v>150</v>
      </c>
      <c r="FP28" s="20" t="s">
        <v>150</v>
      </c>
      <c r="FQ28" s="20" t="s">
        <v>150</v>
      </c>
      <c r="FR28" s="20" t="s">
        <v>70</v>
      </c>
      <c r="FS28" s="20" t="s">
        <v>119</v>
      </c>
      <c r="FT28" s="20" t="s">
        <v>152</v>
      </c>
      <c r="FU28" s="20" t="s">
        <v>152</v>
      </c>
      <c r="FV28" s="20" t="s">
        <v>152</v>
      </c>
      <c r="FW28" s="20" t="s">
        <v>152</v>
      </c>
      <c r="FX28" s="20" t="s">
        <v>152</v>
      </c>
      <c r="FY28" s="20" t="s">
        <v>70</v>
      </c>
      <c r="FZ28" s="20" t="s">
        <v>119</v>
      </c>
      <c r="GA28" s="20" t="s">
        <v>70</v>
      </c>
      <c r="GB28" s="20" t="s">
        <v>70</v>
      </c>
      <c r="GC28" s="20" t="s">
        <v>70</v>
      </c>
      <c r="GD28" s="20" t="s">
        <v>70</v>
      </c>
      <c r="GE28" s="20" t="s">
        <v>70</v>
      </c>
      <c r="GF28" s="20" t="s">
        <v>70</v>
      </c>
      <c r="GG28" s="20" t="s">
        <v>119</v>
      </c>
      <c r="GH28" s="20" t="s">
        <v>70</v>
      </c>
      <c r="GI28" s="20" t="s">
        <v>70</v>
      </c>
      <c r="GJ28" s="20" t="s">
        <v>70</v>
      </c>
      <c r="GK28" s="20" t="s">
        <v>70</v>
      </c>
      <c r="GL28" s="20" t="s">
        <v>70</v>
      </c>
      <c r="GM28" s="20" t="s">
        <v>70</v>
      </c>
      <c r="GN28" s="20" t="s">
        <v>119</v>
      </c>
      <c r="GO28" s="20" t="s">
        <v>70</v>
      </c>
      <c r="GP28" s="20" t="s">
        <v>70</v>
      </c>
      <c r="GQ28" s="20" t="s">
        <v>70</v>
      </c>
      <c r="GR28" s="20" t="s">
        <v>70</v>
      </c>
      <c r="GS28" s="20" t="s">
        <v>70</v>
      </c>
      <c r="GT28" s="20" t="s">
        <v>70</v>
      </c>
      <c r="GU28" s="20" t="s">
        <v>119</v>
      </c>
      <c r="GV28" s="20" t="s">
        <v>70</v>
      </c>
      <c r="GW28" s="20" t="s">
        <v>70</v>
      </c>
      <c r="GX28" s="20" t="s">
        <v>70</v>
      </c>
      <c r="GY28" s="20" t="s">
        <v>70</v>
      </c>
      <c r="GZ28" s="20" t="s">
        <v>70</v>
      </c>
      <c r="HA28" s="20" t="s">
        <v>70</v>
      </c>
      <c r="HB28" s="20" t="s">
        <v>119</v>
      </c>
      <c r="HC28" s="20" t="s">
        <v>70</v>
      </c>
      <c r="HD28" s="20" t="s">
        <v>70</v>
      </c>
      <c r="HE28" s="20" t="s">
        <v>70</v>
      </c>
      <c r="HF28" s="20" t="s">
        <v>70</v>
      </c>
      <c r="HG28" s="20" t="s">
        <v>70</v>
      </c>
      <c r="HH28" s="20" t="s">
        <v>70</v>
      </c>
      <c r="HI28" s="20" t="s">
        <v>119</v>
      </c>
      <c r="HJ28" s="20" t="s">
        <v>70</v>
      </c>
      <c r="HK28" s="20" t="s">
        <v>70</v>
      </c>
      <c r="HL28" s="20" t="s">
        <v>70</v>
      </c>
      <c r="HM28" s="20" t="s">
        <v>70</v>
      </c>
      <c r="HN28" s="20" t="s">
        <v>70</v>
      </c>
      <c r="HO28" s="20" t="s">
        <v>70</v>
      </c>
      <c r="HP28" s="20" t="s">
        <v>119</v>
      </c>
      <c r="HQ28" s="20" t="s">
        <v>70</v>
      </c>
      <c r="HR28" s="20" t="s">
        <v>70</v>
      </c>
      <c r="HS28" s="20" t="s">
        <v>70</v>
      </c>
      <c r="HT28" s="20" t="s">
        <v>70</v>
      </c>
      <c r="HU28" s="20" t="s">
        <v>70</v>
      </c>
      <c r="HV28" s="20" t="s">
        <v>70</v>
      </c>
      <c r="HW28" s="20" t="s">
        <v>119</v>
      </c>
      <c r="HX28" s="20" t="s">
        <v>70</v>
      </c>
      <c r="HY28" s="20" t="s">
        <v>70</v>
      </c>
      <c r="HZ28" s="20" t="s">
        <v>70</v>
      </c>
      <c r="IA28" s="20" t="s">
        <v>70</v>
      </c>
      <c r="IB28" s="15"/>
      <c r="IC28" s="20" t="s">
        <v>70</v>
      </c>
      <c r="ID28" s="20" t="s">
        <v>70</v>
      </c>
      <c r="IE28" s="20" t="s">
        <v>70</v>
      </c>
      <c r="IF28" s="20" t="s">
        <v>70</v>
      </c>
      <c r="IG28" s="20" t="s">
        <v>70</v>
      </c>
      <c r="IH28" s="20" t="s">
        <v>70</v>
      </c>
      <c r="II28" s="20" t="s">
        <v>70</v>
      </c>
      <c r="IJ28" s="20" t="s">
        <v>70</v>
      </c>
      <c r="IK28" s="15"/>
      <c r="IL28" s="20" t="s">
        <v>70</v>
      </c>
      <c r="IM28" s="20" t="s">
        <v>70</v>
      </c>
      <c r="IN28" s="20" t="s">
        <v>70</v>
      </c>
      <c r="IO28" s="20" t="s">
        <v>70</v>
      </c>
      <c r="IP28" s="20" t="s">
        <v>70</v>
      </c>
      <c r="IQ28" s="20" t="s">
        <v>70</v>
      </c>
      <c r="IR28" s="20" t="s">
        <v>70</v>
      </c>
      <c r="IS28" s="20" t="s">
        <v>119</v>
      </c>
      <c r="IT28" s="20" t="s">
        <v>119</v>
      </c>
      <c r="IU28" s="20" t="s">
        <v>119</v>
      </c>
      <c r="IV28" s="20" t="s">
        <v>119</v>
      </c>
      <c r="IW28" s="20" t="s">
        <v>119</v>
      </c>
      <c r="IX28" s="20" t="s">
        <v>119</v>
      </c>
      <c r="IY28" s="20" t="s">
        <v>119</v>
      </c>
      <c r="IZ28" s="20" t="s">
        <v>119</v>
      </c>
      <c r="JA28" s="20" t="s">
        <v>119</v>
      </c>
      <c r="JB28" s="20" t="s">
        <v>119</v>
      </c>
      <c r="JC28" s="20" t="s">
        <v>119</v>
      </c>
      <c r="JD28" s="20" t="s">
        <v>119</v>
      </c>
      <c r="JE28" s="20" t="s">
        <v>70</v>
      </c>
      <c r="JF28" s="20" t="s">
        <v>150</v>
      </c>
      <c r="JG28" s="20" t="s">
        <v>152</v>
      </c>
      <c r="JH28" s="20" t="s">
        <v>70</v>
      </c>
      <c r="JI28" s="20" t="s">
        <v>70</v>
      </c>
      <c r="JJ28" s="20" t="s">
        <v>70</v>
      </c>
      <c r="JK28" s="20" t="s">
        <v>70</v>
      </c>
      <c r="JL28" s="20" t="s">
        <v>70</v>
      </c>
      <c r="JM28" s="20" t="s">
        <v>70</v>
      </c>
      <c r="JN28" s="20" t="s">
        <v>70</v>
      </c>
      <c r="JO28" s="20" t="s">
        <v>70</v>
      </c>
      <c r="JP28" s="20" t="s">
        <v>70</v>
      </c>
      <c r="JQ28" s="20" t="s">
        <v>70</v>
      </c>
      <c r="JR28" s="20" t="s">
        <v>70</v>
      </c>
      <c r="JS28" s="20" t="s">
        <v>70</v>
      </c>
      <c r="JT28" s="20" t="s">
        <v>70</v>
      </c>
      <c r="JU28" s="20" t="s">
        <v>70</v>
      </c>
      <c r="JV28" s="20" t="s">
        <v>70</v>
      </c>
      <c r="JW28" s="20" t="s">
        <v>70</v>
      </c>
      <c r="JX28" s="20" t="s">
        <v>150</v>
      </c>
      <c r="JY28" s="20" t="s">
        <v>70</v>
      </c>
      <c r="JZ28" s="20" t="s">
        <v>150</v>
      </c>
      <c r="KA28" s="20" t="s">
        <v>70</v>
      </c>
      <c r="KB28" s="20" t="s">
        <v>150</v>
      </c>
      <c r="KC28" s="20" t="s">
        <v>70</v>
      </c>
      <c r="KD28" s="20" t="s">
        <v>150</v>
      </c>
      <c r="KE28" s="20" t="s">
        <v>70</v>
      </c>
      <c r="KF28" s="20" t="s">
        <v>150</v>
      </c>
      <c r="KG28" s="20" t="s">
        <v>70</v>
      </c>
      <c r="KH28" s="20" t="s">
        <v>150</v>
      </c>
      <c r="KI28" s="20" t="s">
        <v>70</v>
      </c>
      <c r="KJ28" s="20" t="s">
        <v>150</v>
      </c>
      <c r="KK28" s="20" t="s">
        <v>70</v>
      </c>
      <c r="KL28" s="20" t="s">
        <v>150</v>
      </c>
      <c r="KM28" s="20" t="s">
        <v>70</v>
      </c>
      <c r="KN28" s="20" t="s">
        <v>70</v>
      </c>
      <c r="KO28" s="20" t="s">
        <v>70</v>
      </c>
      <c r="KP28" s="20" t="s">
        <v>119</v>
      </c>
      <c r="KQ28" s="20" t="s">
        <v>70</v>
      </c>
      <c r="KR28" s="20" t="s">
        <v>152</v>
      </c>
      <c r="KS28" s="20" t="s">
        <v>119</v>
      </c>
      <c r="KT28" s="20" t="s">
        <v>150</v>
      </c>
      <c r="KU28" s="20" t="s">
        <v>150</v>
      </c>
      <c r="KV28" s="20" t="s">
        <v>150</v>
      </c>
      <c r="KW28" s="20" t="s">
        <v>152</v>
      </c>
      <c r="KX28" s="20" t="s">
        <v>150</v>
      </c>
      <c r="KY28" s="20" t="s">
        <v>70</v>
      </c>
      <c r="KZ28" s="20" t="s">
        <v>150</v>
      </c>
      <c r="LA28" s="20" t="s">
        <v>70</v>
      </c>
      <c r="LB28" s="20" t="s">
        <v>150</v>
      </c>
      <c r="LC28" s="20" t="s">
        <v>70</v>
      </c>
      <c r="LD28" s="20" t="s">
        <v>150</v>
      </c>
      <c r="LE28" s="20" t="s">
        <v>70</v>
      </c>
      <c r="LF28" s="20" t="s">
        <v>150</v>
      </c>
      <c r="LG28" s="20" t="s">
        <v>70</v>
      </c>
      <c r="LH28" s="20" t="s">
        <v>150</v>
      </c>
      <c r="LI28" s="20" t="s">
        <v>70</v>
      </c>
      <c r="LJ28" s="20" t="s">
        <v>150</v>
      </c>
      <c r="LK28" s="20" t="s">
        <v>70</v>
      </c>
      <c r="LL28" s="20" t="s">
        <v>150</v>
      </c>
      <c r="LM28" s="20" t="s">
        <v>70</v>
      </c>
      <c r="LN28" s="20" t="s">
        <v>150</v>
      </c>
      <c r="LO28" s="20" t="s">
        <v>70</v>
      </c>
      <c r="LP28" s="20" t="s">
        <v>150</v>
      </c>
      <c r="LQ28" s="20" t="s">
        <v>119</v>
      </c>
      <c r="LR28" s="20" t="s">
        <v>119</v>
      </c>
      <c r="LS28" s="20" t="s">
        <v>119</v>
      </c>
      <c r="LT28" s="20" t="s">
        <v>150</v>
      </c>
      <c r="LU28" s="20" t="s">
        <v>70</v>
      </c>
      <c r="LV28" s="20" t="s">
        <v>70</v>
      </c>
      <c r="LW28" s="20" t="s">
        <v>70</v>
      </c>
      <c r="LX28" s="20" t="s">
        <v>70</v>
      </c>
      <c r="LY28" s="20" t="s">
        <v>70</v>
      </c>
      <c r="LZ28" s="20" t="s">
        <v>70</v>
      </c>
      <c r="MA28" s="20" t="s">
        <v>70</v>
      </c>
      <c r="MB28" s="20" t="s">
        <v>70</v>
      </c>
      <c r="MC28" s="20" t="s">
        <v>70</v>
      </c>
      <c r="MD28" s="20" t="s">
        <v>150</v>
      </c>
      <c r="ME28" s="20" t="s">
        <v>152</v>
      </c>
      <c r="MF28" s="20" t="s">
        <v>70</v>
      </c>
      <c r="MG28" s="15" t="s">
        <v>70</v>
      </c>
      <c r="MH28" s="15" t="s">
        <v>150</v>
      </c>
      <c r="MI28" s="20" t="s">
        <v>70</v>
      </c>
      <c r="MJ28" s="20" t="s">
        <v>150</v>
      </c>
      <c r="MK28" s="20" t="s">
        <v>150</v>
      </c>
      <c r="ML28" s="20" t="s">
        <v>150</v>
      </c>
      <c r="MM28" s="20" t="s">
        <v>150</v>
      </c>
      <c r="MN28" s="20" t="s">
        <v>150</v>
      </c>
      <c r="MO28" s="20" t="s">
        <v>150</v>
      </c>
      <c r="MP28" s="20" t="s">
        <v>150</v>
      </c>
      <c r="MQ28" s="20" t="s">
        <v>150</v>
      </c>
      <c r="MR28" s="20" t="s">
        <v>150</v>
      </c>
      <c r="MS28" s="20" t="s">
        <v>70</v>
      </c>
      <c r="MT28" s="20" t="s">
        <v>150</v>
      </c>
      <c r="MU28" s="20" t="s">
        <v>150</v>
      </c>
      <c r="MV28" s="20" t="s">
        <v>150</v>
      </c>
      <c r="MW28" s="20" t="s">
        <v>150</v>
      </c>
      <c r="MX28" s="20" t="s">
        <v>150</v>
      </c>
      <c r="MY28" s="20" t="s">
        <v>119</v>
      </c>
      <c r="MZ28" s="20" t="s">
        <v>150</v>
      </c>
      <c r="NA28" s="20" t="s">
        <v>150</v>
      </c>
      <c r="NB28" s="20" t="s">
        <v>150</v>
      </c>
      <c r="NC28" s="20" t="s">
        <v>70</v>
      </c>
      <c r="ND28" s="20" t="s">
        <v>150</v>
      </c>
      <c r="NE28" s="20" t="s">
        <v>150</v>
      </c>
      <c r="NF28" s="20" t="s">
        <v>150</v>
      </c>
      <c r="NG28" s="20" t="s">
        <v>150</v>
      </c>
      <c r="NH28" s="20" t="s">
        <v>150</v>
      </c>
      <c r="NI28" s="20" t="s">
        <v>150</v>
      </c>
      <c r="NJ28" s="20" t="s">
        <v>150</v>
      </c>
      <c r="NK28" s="20" t="s">
        <v>150</v>
      </c>
      <c r="NL28" s="20" t="s">
        <v>150</v>
      </c>
      <c r="NM28" s="20" t="s">
        <v>70</v>
      </c>
      <c r="NN28" s="20" t="s">
        <v>150</v>
      </c>
      <c r="NO28" s="20" t="s">
        <v>119</v>
      </c>
      <c r="NP28" s="20" t="s">
        <v>119</v>
      </c>
      <c r="NQ28" s="20" t="s">
        <v>150</v>
      </c>
      <c r="NR28" s="20" t="s">
        <v>70</v>
      </c>
      <c r="NS28" s="20" t="s">
        <v>150</v>
      </c>
      <c r="NT28" s="20" t="s">
        <v>119</v>
      </c>
      <c r="NU28" s="20" t="s">
        <v>119</v>
      </c>
      <c r="NV28" s="20" t="s">
        <v>119</v>
      </c>
      <c r="NW28" s="20" t="s">
        <v>119</v>
      </c>
      <c r="NX28" s="20" t="s">
        <v>119</v>
      </c>
      <c r="NY28" s="20" t="s">
        <v>119</v>
      </c>
      <c r="NZ28" s="20" t="s">
        <v>119</v>
      </c>
      <c r="OA28" s="20" t="s">
        <v>119</v>
      </c>
      <c r="OB28" s="20" t="s">
        <v>119</v>
      </c>
      <c r="OC28" s="20" t="s">
        <v>119</v>
      </c>
      <c r="OD28" s="20" t="s">
        <v>70</v>
      </c>
      <c r="OE28" s="20" t="s">
        <v>150</v>
      </c>
      <c r="OF28" s="20" t="s">
        <v>152</v>
      </c>
      <c r="OG28" s="15" t="s">
        <v>70</v>
      </c>
      <c r="OH28" s="15" t="s">
        <v>70</v>
      </c>
      <c r="OI28" s="15" t="s">
        <v>70</v>
      </c>
      <c r="OJ28" s="15" t="s">
        <v>70</v>
      </c>
      <c r="OK28" s="15" t="s">
        <v>70</v>
      </c>
      <c r="OL28" s="15" t="s">
        <v>70</v>
      </c>
      <c r="OM28" s="15" t="s">
        <v>70</v>
      </c>
      <c r="ON28" s="15" t="s">
        <v>70</v>
      </c>
      <c r="OO28" s="15" t="s">
        <v>70</v>
      </c>
      <c r="OP28" s="15" t="s">
        <v>70</v>
      </c>
      <c r="OQ28" s="15" t="s">
        <v>70</v>
      </c>
      <c r="OR28" s="15" t="s">
        <v>70</v>
      </c>
      <c r="OS28" s="15" t="s">
        <v>70</v>
      </c>
      <c r="OT28" s="15" t="s">
        <v>70</v>
      </c>
      <c r="OU28" s="15" t="s">
        <v>70</v>
      </c>
      <c r="OV28" s="15" t="s">
        <v>70</v>
      </c>
      <c r="OW28" s="15" t="s">
        <v>70</v>
      </c>
      <c r="OX28" s="15" t="s">
        <v>70</v>
      </c>
      <c r="OY28" s="15" t="s">
        <v>70</v>
      </c>
      <c r="OZ28" s="15" t="s">
        <v>70</v>
      </c>
      <c r="PA28" s="15" t="s">
        <v>70</v>
      </c>
      <c r="PB28" s="15" t="s">
        <v>70</v>
      </c>
      <c r="PC28" s="15" t="s">
        <v>70</v>
      </c>
      <c r="PD28" s="15" t="s">
        <v>70</v>
      </c>
      <c r="PE28" s="15" t="s">
        <v>70</v>
      </c>
      <c r="PF28" s="15" t="s">
        <v>70</v>
      </c>
      <c r="PG28" s="15" t="s">
        <v>70</v>
      </c>
      <c r="PH28" s="15" t="s">
        <v>70</v>
      </c>
      <c r="PI28" s="15" t="s">
        <v>70</v>
      </c>
      <c r="PJ28" s="15" t="s">
        <v>70</v>
      </c>
      <c r="PK28" s="15" t="s">
        <v>70</v>
      </c>
      <c r="PL28" s="15" t="s">
        <v>70</v>
      </c>
      <c r="PM28" s="15" t="s">
        <v>70</v>
      </c>
      <c r="PN28" s="15" t="s">
        <v>70</v>
      </c>
      <c r="PO28" s="20" t="s">
        <v>150</v>
      </c>
      <c r="PP28" s="20" t="s">
        <v>119</v>
      </c>
      <c r="PQ28" s="20" t="s">
        <v>119</v>
      </c>
      <c r="PR28" s="20" t="s">
        <v>119</v>
      </c>
      <c r="PS28" s="20" t="s">
        <v>119</v>
      </c>
      <c r="PT28" s="20" t="s">
        <v>119</v>
      </c>
      <c r="PU28" s="20" t="s">
        <v>119</v>
      </c>
      <c r="PV28" s="20" t="s">
        <v>119</v>
      </c>
      <c r="PW28" s="20" t="s">
        <v>70</v>
      </c>
      <c r="PX28" s="20" t="s">
        <v>70</v>
      </c>
      <c r="PY28" s="20" t="s">
        <v>70</v>
      </c>
      <c r="PZ28" s="20" t="s">
        <v>70</v>
      </c>
      <c r="QA28" s="20" t="s">
        <v>119</v>
      </c>
      <c r="QB28" s="20" t="s">
        <v>152</v>
      </c>
      <c r="QC28" s="20" t="s">
        <v>150</v>
      </c>
      <c r="QD28" s="20" t="s">
        <v>70</v>
      </c>
      <c r="QE28" s="20" t="s">
        <v>70</v>
      </c>
      <c r="QF28" s="20" t="s">
        <v>150</v>
      </c>
      <c r="QG28" s="15" t="s">
        <v>70</v>
      </c>
      <c r="QH28" s="15" t="s">
        <v>70</v>
      </c>
      <c r="QI28" s="20" t="s">
        <v>70</v>
      </c>
      <c r="QJ28" s="20" t="s">
        <v>70</v>
      </c>
      <c r="QK28" s="20" t="s">
        <v>70</v>
      </c>
      <c r="QL28" s="20" t="s">
        <v>70</v>
      </c>
      <c r="QM28" s="20" t="s">
        <v>70</v>
      </c>
      <c r="QN28" s="20" t="s">
        <v>70</v>
      </c>
      <c r="QO28" s="20" t="s">
        <v>119</v>
      </c>
      <c r="QP28" s="20" t="s">
        <v>70</v>
      </c>
      <c r="QQ28" s="20" t="s">
        <v>70</v>
      </c>
      <c r="QR28" s="20" t="s">
        <v>70</v>
      </c>
      <c r="QS28" s="20" t="s">
        <v>70</v>
      </c>
      <c r="QT28" s="20" t="s">
        <v>119</v>
      </c>
      <c r="QU28" s="20" t="s">
        <v>70</v>
      </c>
      <c r="QV28" s="20" t="s">
        <v>152</v>
      </c>
      <c r="QW28" s="20" t="s">
        <v>152</v>
      </c>
      <c r="QX28" s="20" t="s">
        <v>152</v>
      </c>
      <c r="QY28" s="20" t="s">
        <v>152</v>
      </c>
      <c r="QZ28" s="20" t="s">
        <v>152</v>
      </c>
      <c r="RA28" s="20" t="s">
        <v>152</v>
      </c>
      <c r="RB28" s="20" t="s">
        <v>152</v>
      </c>
      <c r="RC28" s="20" t="s">
        <v>152</v>
      </c>
      <c r="RD28" s="20" t="s">
        <v>152</v>
      </c>
      <c r="RE28" s="20" t="s">
        <v>152</v>
      </c>
      <c r="RF28" s="20" t="s">
        <v>152</v>
      </c>
      <c r="RG28" s="20" t="s">
        <v>152</v>
      </c>
      <c r="RH28" s="20" t="s">
        <v>152</v>
      </c>
      <c r="RI28" s="20" t="s">
        <v>152</v>
      </c>
      <c r="RJ28" s="20" t="s">
        <v>152</v>
      </c>
      <c r="RK28" s="20" t="s">
        <v>152</v>
      </c>
      <c r="RL28" s="20" t="s">
        <v>152</v>
      </c>
      <c r="RM28" s="20" t="s">
        <v>152</v>
      </c>
      <c r="RN28" s="20" t="s">
        <v>152</v>
      </c>
      <c r="RO28" s="20" t="s">
        <v>152</v>
      </c>
      <c r="RP28" s="20" t="s">
        <v>152</v>
      </c>
      <c r="RQ28" s="20" t="s">
        <v>152</v>
      </c>
      <c r="RR28" s="20" t="s">
        <v>152</v>
      </c>
      <c r="RS28" s="15"/>
      <c r="RT28" s="20" t="s">
        <v>70</v>
      </c>
      <c r="RU28" s="20" t="s">
        <v>70</v>
      </c>
      <c r="RV28" s="20" t="s">
        <v>70</v>
      </c>
      <c r="RW28" s="20" t="s">
        <v>70</v>
      </c>
      <c r="RX28" s="20" t="s">
        <v>70</v>
      </c>
      <c r="RY28" s="20" t="s">
        <v>70</v>
      </c>
      <c r="RZ28" s="20" t="s">
        <v>70</v>
      </c>
      <c r="SA28" s="20" t="s">
        <v>70</v>
      </c>
      <c r="SB28" s="20" t="s">
        <v>150</v>
      </c>
      <c r="SC28" s="20" t="s">
        <v>119</v>
      </c>
      <c r="SD28" s="20" t="s">
        <v>119</v>
      </c>
      <c r="SE28" s="20" t="s">
        <v>119</v>
      </c>
      <c r="SF28" s="20" t="s">
        <v>119</v>
      </c>
      <c r="SG28" s="20" t="s">
        <v>119</v>
      </c>
      <c r="SH28" s="20" t="s">
        <v>119</v>
      </c>
      <c r="SI28" s="20" t="s">
        <v>119</v>
      </c>
      <c r="SJ28" s="20" t="s">
        <v>119</v>
      </c>
      <c r="SK28" s="20" t="s">
        <v>119</v>
      </c>
      <c r="SL28" s="20" t="s">
        <v>119</v>
      </c>
      <c r="SM28" s="20" t="s">
        <v>70</v>
      </c>
      <c r="SN28" s="20" t="s">
        <v>150</v>
      </c>
      <c r="SO28" s="20" t="s">
        <v>152</v>
      </c>
      <c r="SP28" s="15" t="s">
        <v>70</v>
      </c>
      <c r="SQ28" s="15" t="s">
        <v>70</v>
      </c>
      <c r="SR28" s="15" t="s">
        <v>70</v>
      </c>
      <c r="SS28" s="15" t="s">
        <v>70</v>
      </c>
      <c r="ST28" s="15" t="s">
        <v>70</v>
      </c>
      <c r="SU28" s="15" t="s">
        <v>70</v>
      </c>
      <c r="SV28" s="15" t="s">
        <v>70</v>
      </c>
      <c r="SW28" s="15" t="s">
        <v>70</v>
      </c>
      <c r="SX28" s="15" t="s">
        <v>70</v>
      </c>
      <c r="SY28" s="15" t="s">
        <v>70</v>
      </c>
      <c r="SZ28" s="15" t="s">
        <v>70</v>
      </c>
      <c r="TA28" s="15" t="s">
        <v>70</v>
      </c>
      <c r="TB28" s="15" t="s">
        <v>70</v>
      </c>
      <c r="TC28" s="15" t="s">
        <v>70</v>
      </c>
      <c r="TD28" s="15" t="s">
        <v>70</v>
      </c>
      <c r="TE28" s="15" t="s">
        <v>70</v>
      </c>
      <c r="TF28" s="15" t="s">
        <v>70</v>
      </c>
      <c r="TG28" s="15" t="s">
        <v>70</v>
      </c>
      <c r="TH28" s="15" t="s">
        <v>70</v>
      </c>
      <c r="TI28" s="15" t="s">
        <v>70</v>
      </c>
      <c r="TJ28" s="15" t="s">
        <v>70</v>
      </c>
      <c r="TK28" s="15" t="s">
        <v>70</v>
      </c>
      <c r="TL28" s="15" t="s">
        <v>70</v>
      </c>
      <c r="TM28" s="15" t="s">
        <v>70</v>
      </c>
      <c r="TN28" s="15" t="s">
        <v>70</v>
      </c>
      <c r="TO28" s="15" t="s">
        <v>70</v>
      </c>
      <c r="TP28" s="15" t="s">
        <v>70</v>
      </c>
      <c r="TQ28" s="15" t="s">
        <v>70</v>
      </c>
      <c r="TR28" s="15" t="s">
        <v>70</v>
      </c>
      <c r="TS28" s="15" t="s">
        <v>70</v>
      </c>
      <c r="TT28" s="15" t="s">
        <v>70</v>
      </c>
      <c r="TU28" s="15" t="s">
        <v>70</v>
      </c>
      <c r="TV28" s="15" t="s">
        <v>70</v>
      </c>
      <c r="TW28" s="20" t="s">
        <v>150</v>
      </c>
      <c r="TX28" s="20" t="s">
        <v>119</v>
      </c>
      <c r="TY28" s="20" t="s">
        <v>119</v>
      </c>
      <c r="TZ28" s="20" t="s">
        <v>119</v>
      </c>
      <c r="UA28" s="20" t="s">
        <v>119</v>
      </c>
      <c r="UB28" s="20" t="s">
        <v>119</v>
      </c>
      <c r="UC28" s="20" t="s">
        <v>119</v>
      </c>
      <c r="UD28" s="20" t="s">
        <v>119</v>
      </c>
      <c r="UE28" s="20" t="s">
        <v>70</v>
      </c>
      <c r="UF28" s="20" t="s">
        <v>70</v>
      </c>
      <c r="UG28" s="20" t="s">
        <v>70</v>
      </c>
      <c r="UH28" s="20" t="s">
        <v>70</v>
      </c>
      <c r="UI28" s="20" t="s">
        <v>119</v>
      </c>
      <c r="UJ28" s="20" t="s">
        <v>152</v>
      </c>
      <c r="UK28" s="20" t="s">
        <v>150</v>
      </c>
      <c r="UL28" s="20" t="s">
        <v>70</v>
      </c>
      <c r="UM28" s="20" t="s">
        <v>70</v>
      </c>
      <c r="UN28" s="20" t="s">
        <v>150</v>
      </c>
      <c r="UO28" s="15" t="s">
        <v>70</v>
      </c>
      <c r="UP28" s="15" t="s">
        <v>70</v>
      </c>
      <c r="UQ28" s="20" t="s">
        <v>70</v>
      </c>
      <c r="UR28" s="20" t="s">
        <v>70</v>
      </c>
      <c r="US28" s="20" t="s">
        <v>70</v>
      </c>
      <c r="UT28" s="20" t="s">
        <v>70</v>
      </c>
      <c r="UU28" s="20" t="s">
        <v>70</v>
      </c>
      <c r="UV28" s="20" t="s">
        <v>70</v>
      </c>
      <c r="UW28" s="20" t="s">
        <v>119</v>
      </c>
      <c r="UX28" s="20" t="s">
        <v>70</v>
      </c>
      <c r="UY28" s="20" t="s">
        <v>70</v>
      </c>
      <c r="UZ28" s="20" t="s">
        <v>70</v>
      </c>
      <c r="VA28" s="20" t="s">
        <v>70</v>
      </c>
      <c r="VB28" s="20" t="s">
        <v>119</v>
      </c>
      <c r="VC28" s="20" t="s">
        <v>70</v>
      </c>
      <c r="VD28" s="20" t="s">
        <v>152</v>
      </c>
      <c r="VE28" s="20" t="s">
        <v>152</v>
      </c>
      <c r="VF28" s="20" t="s">
        <v>152</v>
      </c>
      <c r="VG28" s="20" t="s">
        <v>152</v>
      </c>
      <c r="VH28" s="20" t="s">
        <v>152</v>
      </c>
      <c r="VI28" s="20" t="s">
        <v>152</v>
      </c>
      <c r="VJ28" s="20" t="s">
        <v>152</v>
      </c>
      <c r="VK28" s="20" t="s">
        <v>152</v>
      </c>
      <c r="VL28" s="20" t="s">
        <v>152</v>
      </c>
      <c r="VM28" s="20" t="s">
        <v>152</v>
      </c>
      <c r="VN28" s="20" t="s">
        <v>152</v>
      </c>
      <c r="VO28" s="20" t="s">
        <v>152</v>
      </c>
      <c r="VP28" s="20" t="s">
        <v>152</v>
      </c>
      <c r="VQ28" s="20" t="s">
        <v>152</v>
      </c>
      <c r="VR28" s="20" t="s">
        <v>152</v>
      </c>
      <c r="VS28" s="20" t="s">
        <v>152</v>
      </c>
      <c r="VT28" s="20" t="s">
        <v>152</v>
      </c>
      <c r="VU28" s="20" t="s">
        <v>152</v>
      </c>
      <c r="VV28" s="20" t="s">
        <v>152</v>
      </c>
      <c r="VW28" s="20" t="s">
        <v>152</v>
      </c>
      <c r="VX28" s="20" t="s">
        <v>152</v>
      </c>
      <c r="VY28" s="20" t="s">
        <v>152</v>
      </c>
      <c r="VZ28" s="20" t="s">
        <v>152</v>
      </c>
      <c r="WA28" s="20" t="s">
        <v>119</v>
      </c>
      <c r="WB28" s="15" t="s">
        <v>152</v>
      </c>
      <c r="WC28" s="20" t="s">
        <v>70</v>
      </c>
      <c r="WD28" s="20" t="s">
        <v>150</v>
      </c>
      <c r="WE28" s="20" t="s">
        <v>119</v>
      </c>
      <c r="WF28" s="20" t="s">
        <v>119</v>
      </c>
      <c r="WG28" s="20" t="s">
        <v>119</v>
      </c>
      <c r="WH28" s="20" t="s">
        <v>119</v>
      </c>
      <c r="WI28" s="20" t="s">
        <v>119</v>
      </c>
      <c r="WJ28" s="20" t="s">
        <v>119</v>
      </c>
      <c r="WK28" s="20" t="s">
        <v>119</v>
      </c>
      <c r="WL28" s="20" t="s">
        <v>119</v>
      </c>
      <c r="WM28" s="20" t="s">
        <v>119</v>
      </c>
      <c r="WN28" s="20" t="s">
        <v>119</v>
      </c>
      <c r="WO28" s="20" t="s">
        <v>70</v>
      </c>
      <c r="WP28" s="20" t="s">
        <v>119</v>
      </c>
      <c r="WQ28" s="20" t="s">
        <v>150</v>
      </c>
      <c r="WR28" s="20" t="s">
        <v>119</v>
      </c>
      <c r="WS28" s="20" t="s">
        <v>152</v>
      </c>
      <c r="WT28" s="20" t="s">
        <v>119</v>
      </c>
      <c r="WU28" s="20" t="s">
        <v>119</v>
      </c>
      <c r="WV28" s="20" t="s">
        <v>119</v>
      </c>
      <c r="WW28" s="20" t="s">
        <v>119</v>
      </c>
      <c r="WX28" s="20" t="s">
        <v>119</v>
      </c>
      <c r="WY28" s="20" t="s">
        <v>119</v>
      </c>
      <c r="WZ28" s="20" t="s">
        <v>119</v>
      </c>
      <c r="XA28" s="20" t="s">
        <v>70</v>
      </c>
      <c r="XB28" s="20" t="s">
        <v>119</v>
      </c>
      <c r="XC28" s="20" t="s">
        <v>150</v>
      </c>
      <c r="XD28" s="20" t="s">
        <v>119</v>
      </c>
      <c r="XE28" s="20" t="s">
        <v>152</v>
      </c>
      <c r="XF28" s="20" t="s">
        <v>119</v>
      </c>
      <c r="XG28" s="20" t="s">
        <v>150</v>
      </c>
      <c r="XH28" s="20" t="s">
        <v>150</v>
      </c>
      <c r="XI28" s="20" t="s">
        <v>150</v>
      </c>
      <c r="XJ28" s="20" t="s">
        <v>152</v>
      </c>
      <c r="XK28" s="20" t="s">
        <v>152</v>
      </c>
      <c r="XL28" s="20" t="s">
        <v>152</v>
      </c>
      <c r="XM28" s="20" t="s">
        <v>152</v>
      </c>
      <c r="XN28" s="20" t="s">
        <v>152</v>
      </c>
      <c r="XO28" s="20" t="s">
        <v>152</v>
      </c>
      <c r="XP28" s="20" t="s">
        <v>152</v>
      </c>
      <c r="XQ28" s="20" t="s">
        <v>152</v>
      </c>
      <c r="XR28" s="20" t="s">
        <v>152</v>
      </c>
      <c r="XS28" s="20" t="s">
        <v>152</v>
      </c>
      <c r="XT28" s="20" t="s">
        <v>152</v>
      </c>
      <c r="XU28" s="20" t="s">
        <v>152</v>
      </c>
      <c r="XV28" s="20" t="s">
        <v>152</v>
      </c>
      <c r="XW28" s="20" t="s">
        <v>152</v>
      </c>
      <c r="XX28" s="20" t="s">
        <v>152</v>
      </c>
      <c r="XY28" s="20" t="s">
        <v>152</v>
      </c>
      <c r="XZ28" s="20" t="s">
        <v>152</v>
      </c>
      <c r="YA28" s="20" t="s">
        <v>152</v>
      </c>
      <c r="YB28" s="20" t="s">
        <v>152</v>
      </c>
      <c r="YC28" s="20" t="s">
        <v>152</v>
      </c>
      <c r="YD28" s="20" t="s">
        <v>152</v>
      </c>
      <c r="YE28" s="20" t="s">
        <v>152</v>
      </c>
      <c r="YF28" s="20" t="s">
        <v>152</v>
      </c>
      <c r="YG28" s="20" t="s">
        <v>152</v>
      </c>
      <c r="YH28" s="20" t="s">
        <v>152</v>
      </c>
      <c r="YI28" s="20" t="s">
        <v>152</v>
      </c>
      <c r="YJ28" s="20" t="s">
        <v>152</v>
      </c>
      <c r="YK28" s="20" t="s">
        <v>152</v>
      </c>
      <c r="YL28" s="20" t="s">
        <v>152</v>
      </c>
      <c r="YM28" s="20" t="s">
        <v>152</v>
      </c>
      <c r="YN28" s="20" t="s">
        <v>152</v>
      </c>
      <c r="YO28" s="20" t="s">
        <v>152</v>
      </c>
      <c r="YP28" s="20" t="s">
        <v>152</v>
      </c>
      <c r="YQ28" s="20" t="s">
        <v>152</v>
      </c>
      <c r="YR28" s="20" t="s">
        <v>152</v>
      </c>
      <c r="YS28" s="20" t="s">
        <v>152</v>
      </c>
      <c r="YT28" s="20" t="s">
        <v>152</v>
      </c>
      <c r="YU28" s="20" t="s">
        <v>152</v>
      </c>
      <c r="YV28" s="20" t="s">
        <v>152</v>
      </c>
      <c r="YW28" s="20" t="s">
        <v>152</v>
      </c>
      <c r="YX28" s="20" t="s">
        <v>152</v>
      </c>
      <c r="YY28" s="20" t="s">
        <v>152</v>
      </c>
      <c r="YZ28" s="20" t="s">
        <v>152</v>
      </c>
      <c r="ZA28" s="20" t="s">
        <v>152</v>
      </c>
      <c r="ZB28" s="20" t="s">
        <v>152</v>
      </c>
      <c r="ZC28" s="20" t="s">
        <v>152</v>
      </c>
      <c r="ZD28" s="20" t="s">
        <v>152</v>
      </c>
      <c r="ZE28" s="20" t="s">
        <v>152</v>
      </c>
      <c r="ZF28" s="20" t="s">
        <v>152</v>
      </c>
      <c r="ZG28" s="20" t="s">
        <v>152</v>
      </c>
      <c r="ZH28" s="20" t="s">
        <v>152</v>
      </c>
      <c r="ZI28" s="20" t="s">
        <v>152</v>
      </c>
      <c r="ZJ28" s="20" t="s">
        <v>152</v>
      </c>
      <c r="ZK28" s="20" t="s">
        <v>119</v>
      </c>
      <c r="ZL28" s="15" t="s">
        <v>119</v>
      </c>
      <c r="ZM28" s="15" t="s">
        <v>119</v>
      </c>
      <c r="ZN28" s="15" t="s">
        <v>119</v>
      </c>
      <c r="ZO28" s="15" t="s">
        <v>119</v>
      </c>
      <c r="ZP28" s="15" t="s">
        <v>119</v>
      </c>
      <c r="ZQ28" s="15" t="s">
        <v>119</v>
      </c>
      <c r="ZR28" s="20" t="s">
        <v>119</v>
      </c>
      <c r="ZS28" s="15" t="s">
        <v>119</v>
      </c>
      <c r="ZT28" s="15" t="s">
        <v>119</v>
      </c>
      <c r="ZU28" s="15" t="s">
        <v>119</v>
      </c>
      <c r="ZV28" s="15" t="s">
        <v>119</v>
      </c>
      <c r="ZW28" s="15" t="s">
        <v>119</v>
      </c>
      <c r="ZX28" s="15" t="s">
        <v>119</v>
      </c>
      <c r="ZY28" s="20" t="s">
        <v>119</v>
      </c>
      <c r="ZZ28" s="15" t="s">
        <v>119</v>
      </c>
      <c r="AAA28" s="15" t="s">
        <v>119</v>
      </c>
      <c r="AAB28" s="15" t="s">
        <v>119</v>
      </c>
      <c r="AAC28" s="15" t="s">
        <v>119</v>
      </c>
      <c r="AAD28" s="15" t="s">
        <v>119</v>
      </c>
      <c r="AAE28" s="15" t="s">
        <v>119</v>
      </c>
      <c r="AAF28" s="15" t="s">
        <v>119</v>
      </c>
      <c r="AAG28" s="15" t="s">
        <v>119</v>
      </c>
      <c r="AAH28" s="15" t="s">
        <v>119</v>
      </c>
      <c r="AAI28" s="15" t="s">
        <v>119</v>
      </c>
      <c r="AAJ28" s="15" t="s">
        <v>70</v>
      </c>
      <c r="AAK28" s="15" t="s">
        <v>70</v>
      </c>
      <c r="AAL28" s="15"/>
      <c r="AAM28" s="20" t="s">
        <v>70</v>
      </c>
      <c r="AAN28" s="20" t="s">
        <v>70</v>
      </c>
      <c r="AAO28" s="20" t="s">
        <v>70</v>
      </c>
      <c r="AAP28" s="20" t="s">
        <v>70</v>
      </c>
      <c r="AAQ28" s="20" t="s">
        <v>70</v>
      </c>
      <c r="AAR28" s="20" t="s">
        <v>70</v>
      </c>
      <c r="AAS28" s="20" t="s">
        <v>70</v>
      </c>
      <c r="AAT28" s="20" t="s">
        <v>70</v>
      </c>
      <c r="AAU28" s="20" t="s">
        <v>150</v>
      </c>
      <c r="AAV28" s="15" t="s">
        <v>150</v>
      </c>
      <c r="AAW28" s="15" t="s">
        <v>150</v>
      </c>
      <c r="AAX28" s="15"/>
      <c r="AAY28" s="20" t="s">
        <v>70</v>
      </c>
      <c r="AAZ28" s="20" t="s">
        <v>70</v>
      </c>
      <c r="ABA28" s="20" t="s">
        <v>70</v>
      </c>
      <c r="ABB28" s="20" t="s">
        <v>70</v>
      </c>
      <c r="ABC28" s="20" t="s">
        <v>70</v>
      </c>
      <c r="ABD28" s="20" t="s">
        <v>70</v>
      </c>
      <c r="ABE28" s="20" t="s">
        <v>70</v>
      </c>
      <c r="ABF28" s="20" t="s">
        <v>70</v>
      </c>
      <c r="ABG28" s="20" t="s">
        <v>150</v>
      </c>
      <c r="ABH28" s="15" t="s">
        <v>150</v>
      </c>
      <c r="ABI28" s="15" t="s">
        <v>150</v>
      </c>
      <c r="ABJ28" s="15" t="s">
        <v>150</v>
      </c>
      <c r="ABK28" s="15" t="s">
        <v>150</v>
      </c>
      <c r="ABL28" s="15" t="s">
        <v>150</v>
      </c>
      <c r="ABM28" s="15" t="s">
        <v>150</v>
      </c>
      <c r="ABN28" s="15" t="s">
        <v>150</v>
      </c>
      <c r="ABO28" s="15" t="s">
        <v>150</v>
      </c>
      <c r="ABP28" s="15" t="s">
        <v>150</v>
      </c>
      <c r="ABQ28" s="15" t="s">
        <v>150</v>
      </c>
      <c r="ABR28" s="15" t="s">
        <v>150</v>
      </c>
      <c r="ABS28" s="15" t="s">
        <v>150</v>
      </c>
      <c r="ABT28" s="15" t="s">
        <v>150</v>
      </c>
      <c r="ABU28" s="15" t="s">
        <v>150</v>
      </c>
      <c r="ABV28" s="15" t="s">
        <v>150</v>
      </c>
      <c r="ABW28" s="15" t="s">
        <v>150</v>
      </c>
      <c r="ABX28" s="15" t="s">
        <v>150</v>
      </c>
      <c r="ABY28" s="15" t="s">
        <v>150</v>
      </c>
      <c r="ABZ28" s="15" t="s">
        <v>150</v>
      </c>
      <c r="ACA28" s="15" t="s">
        <v>150</v>
      </c>
      <c r="ACB28" s="15" t="s">
        <v>150</v>
      </c>
      <c r="ACC28" s="15" t="s">
        <v>150</v>
      </c>
      <c r="ACD28" s="15" t="s">
        <v>150</v>
      </c>
      <c r="ACE28" s="15" t="s">
        <v>150</v>
      </c>
      <c r="ACF28" s="15" t="s">
        <v>150</v>
      </c>
      <c r="ACG28" s="15" t="s">
        <v>150</v>
      </c>
      <c r="ACH28" s="20" t="s">
        <v>119</v>
      </c>
      <c r="ACI28" s="20" t="s">
        <v>119</v>
      </c>
      <c r="ACJ28" s="20" t="s">
        <v>119</v>
      </c>
      <c r="ACK28" s="20" t="s">
        <v>119</v>
      </c>
      <c r="ACL28" s="20" t="s">
        <v>70</v>
      </c>
      <c r="ACM28" s="20" t="s">
        <v>70</v>
      </c>
      <c r="ACN28" s="20" t="s">
        <v>70</v>
      </c>
      <c r="ACO28" s="20" t="s">
        <v>70</v>
      </c>
      <c r="ACP28" s="20" t="s">
        <v>70</v>
      </c>
      <c r="ACQ28" s="20" t="s">
        <v>119</v>
      </c>
      <c r="ACR28" s="20" t="s">
        <v>119</v>
      </c>
      <c r="ACS28" s="20" t="s">
        <v>119</v>
      </c>
      <c r="ACT28" s="20" t="s">
        <v>119</v>
      </c>
      <c r="ACU28" s="20" t="s">
        <v>70</v>
      </c>
      <c r="ACV28" s="20" t="s">
        <v>70</v>
      </c>
      <c r="ACW28" s="20" t="s">
        <v>152</v>
      </c>
      <c r="ACX28" s="20" t="s">
        <v>119</v>
      </c>
      <c r="ACY28" s="20" t="s">
        <v>150</v>
      </c>
      <c r="ACZ28" s="20" t="s">
        <v>150</v>
      </c>
      <c r="ADA28" s="20" t="s">
        <v>150</v>
      </c>
      <c r="ADB28" s="20" t="s">
        <v>150</v>
      </c>
      <c r="ADC28" s="20" t="s">
        <v>150</v>
      </c>
      <c r="ADD28" s="15" t="s">
        <v>150</v>
      </c>
      <c r="ADE28" s="15" t="s">
        <v>150</v>
      </c>
      <c r="ADF28" s="15" t="s">
        <v>150</v>
      </c>
      <c r="ADG28" s="15" t="s">
        <v>150</v>
      </c>
      <c r="ADH28" s="15"/>
      <c r="ADI28" s="20" t="s">
        <v>70</v>
      </c>
      <c r="ADJ28" s="20" t="s">
        <v>70</v>
      </c>
      <c r="ADK28" s="20" t="s">
        <v>70</v>
      </c>
      <c r="ADL28" s="20" t="s">
        <v>70</v>
      </c>
      <c r="ADM28" s="20" t="s">
        <v>70</v>
      </c>
      <c r="ADN28" s="20" t="s">
        <v>70</v>
      </c>
      <c r="ADO28" s="20" t="s">
        <v>70</v>
      </c>
      <c r="ADP28" s="20" t="s">
        <v>70</v>
      </c>
      <c r="ADQ28" s="20" t="s">
        <v>150</v>
      </c>
      <c r="ADR28" s="15" t="s">
        <v>150</v>
      </c>
      <c r="ADS28" s="15" t="s">
        <v>150</v>
      </c>
      <c r="ADT28" s="15" t="s">
        <v>150</v>
      </c>
      <c r="ADU28" s="15" t="s">
        <v>150</v>
      </c>
      <c r="ADV28" s="15" t="s">
        <v>150</v>
      </c>
      <c r="ADW28" s="15" t="s">
        <v>150</v>
      </c>
      <c r="ADX28" s="15" t="s">
        <v>150</v>
      </c>
      <c r="ADY28" s="15" t="s">
        <v>150</v>
      </c>
      <c r="ADZ28" s="15" t="s">
        <v>150</v>
      </c>
      <c r="AEA28" s="15" t="s">
        <v>150</v>
      </c>
      <c r="AEB28" s="15" t="s">
        <v>150</v>
      </c>
      <c r="AEC28" s="15" t="s">
        <v>150</v>
      </c>
      <c r="AED28" s="15" t="s">
        <v>150</v>
      </c>
      <c r="AEE28" s="15" t="s">
        <v>150</v>
      </c>
      <c r="AEF28" s="15" t="s">
        <v>150</v>
      </c>
      <c r="AEG28" s="15" t="s">
        <v>150</v>
      </c>
      <c r="AEH28" s="15" t="s">
        <v>150</v>
      </c>
      <c r="AEI28" s="15" t="s">
        <v>150</v>
      </c>
      <c r="AEJ28" s="15" t="s">
        <v>150</v>
      </c>
      <c r="AEK28" s="15" t="s">
        <v>150</v>
      </c>
      <c r="AEL28" s="15" t="s">
        <v>150</v>
      </c>
      <c r="AEM28" s="15" t="s">
        <v>150</v>
      </c>
      <c r="AEN28" s="15" t="s">
        <v>150</v>
      </c>
      <c r="AEO28" s="15" t="s">
        <v>150</v>
      </c>
      <c r="AEP28" s="15" t="s">
        <v>150</v>
      </c>
      <c r="AEQ28" s="15" t="s">
        <v>150</v>
      </c>
      <c r="AER28" s="20" t="s">
        <v>119</v>
      </c>
      <c r="AES28" s="20" t="s">
        <v>119</v>
      </c>
      <c r="AET28" s="20" t="s">
        <v>119</v>
      </c>
      <c r="AEU28" s="20" t="s">
        <v>119</v>
      </c>
      <c r="AEV28" s="20" t="s">
        <v>70</v>
      </c>
      <c r="AEW28" s="20" t="s">
        <v>70</v>
      </c>
      <c r="AEX28" s="20" t="s">
        <v>70</v>
      </c>
      <c r="AEY28" s="20" t="s">
        <v>70</v>
      </c>
      <c r="AEZ28" s="20" t="s">
        <v>70</v>
      </c>
      <c r="AFA28" s="20" t="s">
        <v>119</v>
      </c>
      <c r="AFB28" s="20" t="s">
        <v>119</v>
      </c>
      <c r="AFC28" s="20" t="s">
        <v>119</v>
      </c>
      <c r="AFD28" s="20" t="s">
        <v>119</v>
      </c>
      <c r="AFE28" s="20" t="s">
        <v>70</v>
      </c>
      <c r="AFF28" s="20" t="s">
        <v>70</v>
      </c>
      <c r="AFG28" s="20" t="s">
        <v>152</v>
      </c>
      <c r="AFH28" s="20" t="s">
        <v>119</v>
      </c>
      <c r="AFI28" s="20" t="s">
        <v>150</v>
      </c>
      <c r="AFJ28" s="20" t="s">
        <v>150</v>
      </c>
      <c r="AFK28" s="20" t="s">
        <v>150</v>
      </c>
      <c r="AFL28" s="20" t="s">
        <v>150</v>
      </c>
      <c r="AFM28" s="20" t="s">
        <v>150</v>
      </c>
      <c r="AFN28" s="15" t="s">
        <v>150</v>
      </c>
      <c r="AFO28" s="15" t="s">
        <v>150</v>
      </c>
      <c r="AFP28" s="15" t="s">
        <v>150</v>
      </c>
      <c r="AFQ28" s="15" t="s">
        <v>150</v>
      </c>
      <c r="AFR28" s="15"/>
      <c r="AFS28" s="15" t="s">
        <v>70</v>
      </c>
      <c r="AFT28" s="15" t="s">
        <v>70</v>
      </c>
      <c r="AFU28" s="15" t="s">
        <v>70</v>
      </c>
      <c r="AFV28" s="15" t="s">
        <v>70</v>
      </c>
      <c r="AFW28" s="15" t="s">
        <v>70</v>
      </c>
      <c r="AFX28" s="15" t="s">
        <v>70</v>
      </c>
      <c r="AFY28" s="15" t="s">
        <v>70</v>
      </c>
      <c r="AFZ28" s="15" t="s">
        <v>70</v>
      </c>
      <c r="AGA28" s="15" t="s">
        <v>150</v>
      </c>
      <c r="AGB28" s="15" t="s">
        <v>150</v>
      </c>
      <c r="AGC28" s="15" t="s">
        <v>150</v>
      </c>
      <c r="AGD28" s="15" t="s">
        <v>70</v>
      </c>
      <c r="AGE28" s="15" t="s">
        <v>70</v>
      </c>
      <c r="AGF28" s="15" t="s">
        <v>70</v>
      </c>
      <c r="AGG28" s="15" t="s">
        <v>119</v>
      </c>
      <c r="AGH28" s="15" t="s">
        <v>119</v>
      </c>
      <c r="AGI28" s="15" t="s">
        <v>119</v>
      </c>
      <c r="AGJ28" s="15" t="s">
        <v>119</v>
      </c>
      <c r="AGK28" s="15" t="s">
        <v>70</v>
      </c>
      <c r="AGL28" s="15" t="s">
        <v>70</v>
      </c>
      <c r="AGM28" s="15" t="s">
        <v>70</v>
      </c>
      <c r="AGN28" s="15" t="s">
        <v>70</v>
      </c>
      <c r="AGO28" s="15" t="s">
        <v>70</v>
      </c>
      <c r="AGP28" s="15" t="s">
        <v>70</v>
      </c>
      <c r="AGQ28" s="15" t="s">
        <v>70</v>
      </c>
      <c r="AGR28" s="15" t="s">
        <v>70</v>
      </c>
      <c r="AGS28" s="15" t="s">
        <v>70</v>
      </c>
      <c r="AGT28" s="15" t="s">
        <v>70</v>
      </c>
      <c r="AGU28" s="15" t="s">
        <v>70</v>
      </c>
      <c r="AGV28" s="15" t="s">
        <v>70</v>
      </c>
      <c r="AGW28" s="15" t="s">
        <v>70</v>
      </c>
      <c r="AGX28" s="15" t="s">
        <v>70</v>
      </c>
      <c r="AGY28" s="15" t="s">
        <v>119</v>
      </c>
      <c r="AGZ28" s="15" t="s">
        <v>119</v>
      </c>
      <c r="AHA28" s="15" t="s">
        <v>119</v>
      </c>
      <c r="AHB28" s="15" t="s">
        <v>119</v>
      </c>
      <c r="AHC28" s="15" t="s">
        <v>70</v>
      </c>
      <c r="AHD28" s="15" t="s">
        <v>70</v>
      </c>
      <c r="AHE28" s="15" t="s">
        <v>152</v>
      </c>
      <c r="AHF28" s="15" t="s">
        <v>119</v>
      </c>
      <c r="AHG28" s="15" t="s">
        <v>150</v>
      </c>
      <c r="AHH28" s="15" t="s">
        <v>150</v>
      </c>
      <c r="AHI28" s="15" t="s">
        <v>150</v>
      </c>
      <c r="AHJ28" s="15" t="s">
        <v>150</v>
      </c>
      <c r="AHK28" s="15" t="s">
        <v>150</v>
      </c>
      <c r="AHL28" s="15" t="s">
        <v>70</v>
      </c>
      <c r="AHM28" s="15" t="s">
        <v>70</v>
      </c>
      <c r="AHN28" s="15" t="s">
        <v>70</v>
      </c>
      <c r="AHO28" s="15" t="s">
        <v>70</v>
      </c>
      <c r="AHP28" s="15" t="s">
        <v>70</v>
      </c>
      <c r="AHQ28" s="15" t="s">
        <v>70</v>
      </c>
      <c r="AHR28" s="15" t="s">
        <v>70</v>
      </c>
      <c r="AHS28" s="15" t="s">
        <v>70</v>
      </c>
      <c r="AHT28" s="15" t="s">
        <v>70</v>
      </c>
      <c r="AHU28" s="15" t="s">
        <v>70</v>
      </c>
      <c r="AHV28" s="15" t="s">
        <v>70</v>
      </c>
      <c r="AHW28" s="15" t="s">
        <v>70</v>
      </c>
      <c r="AHX28" s="15" t="s">
        <v>70</v>
      </c>
      <c r="AHY28" s="15" t="s">
        <v>119</v>
      </c>
      <c r="AHZ28" s="15" t="s">
        <v>119</v>
      </c>
      <c r="AIA28" s="15" t="s">
        <v>119</v>
      </c>
      <c r="AIB28" s="15" t="s">
        <v>119</v>
      </c>
      <c r="AIC28" s="15" t="s">
        <v>70</v>
      </c>
      <c r="AID28" s="15" t="s">
        <v>70</v>
      </c>
      <c r="AIE28" s="15" t="s">
        <v>70</v>
      </c>
      <c r="AIF28" s="15" t="s">
        <v>70</v>
      </c>
      <c r="AIG28" s="15" t="s">
        <v>70</v>
      </c>
      <c r="AIH28" s="15" t="s">
        <v>70</v>
      </c>
      <c r="AII28" s="15" t="s">
        <v>70</v>
      </c>
      <c r="AIJ28" s="15" t="s">
        <v>70</v>
      </c>
      <c r="AIK28" s="15" t="s">
        <v>119</v>
      </c>
      <c r="AIL28" s="15" t="s">
        <v>70</v>
      </c>
      <c r="AIM28" s="15" t="s">
        <v>70</v>
      </c>
      <c r="AIN28" s="15" t="s">
        <v>70</v>
      </c>
      <c r="AIO28" s="15" t="s">
        <v>70</v>
      </c>
      <c r="AIP28" s="15" t="s">
        <v>70</v>
      </c>
      <c r="AIQ28" s="15" t="s">
        <v>70</v>
      </c>
      <c r="AIR28" s="20" t="s">
        <v>119</v>
      </c>
      <c r="AIS28" s="20" t="s">
        <v>119</v>
      </c>
      <c r="AIT28" s="15" t="s">
        <v>70</v>
      </c>
      <c r="AIU28" s="15" t="s">
        <v>70</v>
      </c>
      <c r="AIV28" s="15" t="s">
        <v>70</v>
      </c>
      <c r="AIW28" s="15" t="s">
        <v>70</v>
      </c>
      <c r="AIX28" s="15" t="s">
        <v>70</v>
      </c>
      <c r="AIY28" s="15" t="s">
        <v>70</v>
      </c>
      <c r="AIZ28" s="15" t="s">
        <v>70</v>
      </c>
      <c r="AJA28" s="15" t="s">
        <v>150</v>
      </c>
      <c r="AJB28" s="20" t="s">
        <v>119</v>
      </c>
      <c r="AJC28" s="20" t="s">
        <v>150</v>
      </c>
      <c r="AJD28" s="20" t="s">
        <v>70</v>
      </c>
      <c r="AJE28" s="20" t="s">
        <v>150</v>
      </c>
      <c r="AJF28" s="15"/>
      <c r="AJG28" s="15" t="s">
        <v>70</v>
      </c>
      <c r="AJH28" s="15" t="s">
        <v>70</v>
      </c>
      <c r="AJI28" s="15" t="s">
        <v>70</v>
      </c>
      <c r="AJJ28" s="15" t="s">
        <v>70</v>
      </c>
      <c r="AJK28" s="15" t="s">
        <v>70</v>
      </c>
      <c r="AJL28" s="15" t="s">
        <v>70</v>
      </c>
      <c r="AJM28" s="15" t="s">
        <v>70</v>
      </c>
      <c r="AJN28" s="15"/>
      <c r="AJO28" s="15" t="s">
        <v>70</v>
      </c>
      <c r="AJP28" s="15" t="s">
        <v>70</v>
      </c>
      <c r="AJQ28" s="15" t="s">
        <v>70</v>
      </c>
      <c r="AJR28" s="15" t="s">
        <v>70</v>
      </c>
      <c r="AJS28" s="15" t="s">
        <v>70</v>
      </c>
      <c r="AJT28" s="15" t="s">
        <v>70</v>
      </c>
      <c r="AJU28" s="15" t="s">
        <v>70</v>
      </c>
      <c r="AJV28" s="15" t="s">
        <v>70</v>
      </c>
      <c r="AJW28" s="15" t="s">
        <v>70</v>
      </c>
      <c r="AJX28" s="15"/>
      <c r="AJY28" s="15" t="s">
        <v>70</v>
      </c>
      <c r="AJZ28" s="15" t="s">
        <v>70</v>
      </c>
      <c r="AKA28" s="15" t="s">
        <v>70</v>
      </c>
      <c r="AKB28" s="15" t="s">
        <v>70</v>
      </c>
      <c r="AKC28" s="15" t="s">
        <v>70</v>
      </c>
      <c r="AKD28" s="15" t="s">
        <v>70</v>
      </c>
      <c r="AKE28" s="15" t="s">
        <v>70</v>
      </c>
      <c r="AKF28" s="15" t="s">
        <v>70</v>
      </c>
      <c r="AKG28" s="15" t="s">
        <v>70</v>
      </c>
      <c r="AKH28" s="15" t="s">
        <v>70</v>
      </c>
      <c r="AKI28" s="15"/>
      <c r="AKJ28" s="20" t="s">
        <v>70</v>
      </c>
      <c r="AKK28" s="20" t="s">
        <v>70</v>
      </c>
      <c r="AKL28" s="20" t="s">
        <v>70</v>
      </c>
      <c r="AKM28" s="20" t="s">
        <v>70</v>
      </c>
      <c r="AKN28" s="20" t="s">
        <v>70</v>
      </c>
      <c r="AKO28" s="20" t="s">
        <v>70</v>
      </c>
      <c r="AKP28" s="20" t="s">
        <v>70</v>
      </c>
      <c r="AKQ28" s="20" t="s">
        <v>70</v>
      </c>
      <c r="AKR28" s="20" t="s">
        <v>70</v>
      </c>
      <c r="AKS28" s="20" t="s">
        <v>70</v>
      </c>
      <c r="AKT28" s="20" t="s">
        <v>70</v>
      </c>
      <c r="AKU28" s="20" t="s">
        <v>70</v>
      </c>
      <c r="AKV28" s="20" t="s">
        <v>70</v>
      </c>
      <c r="AKW28" s="20" t="s">
        <v>70</v>
      </c>
      <c r="AKX28" s="15"/>
      <c r="AKY28" s="20" t="s">
        <v>70</v>
      </c>
      <c r="AKZ28" s="20" t="s">
        <v>70</v>
      </c>
      <c r="ALA28" s="20" t="s">
        <v>70</v>
      </c>
      <c r="ALB28" s="20" t="s">
        <v>70</v>
      </c>
      <c r="ALC28" s="20" t="s">
        <v>70</v>
      </c>
      <c r="ALD28" s="20" t="s">
        <v>70</v>
      </c>
      <c r="ALE28" s="20" t="s">
        <v>70</v>
      </c>
      <c r="ALF28" s="20" t="s">
        <v>70</v>
      </c>
      <c r="ALG28" s="20" t="s">
        <v>150</v>
      </c>
      <c r="ALH28" s="20" t="s">
        <v>150</v>
      </c>
      <c r="ALI28" s="20" t="s">
        <v>150</v>
      </c>
      <c r="ALJ28" s="20" t="s">
        <v>150</v>
      </c>
      <c r="ALK28" s="20" t="s">
        <v>150</v>
      </c>
      <c r="ALL28" s="20" t="s">
        <v>150</v>
      </c>
      <c r="ALM28" s="15"/>
      <c r="ALN28" s="20" t="s">
        <v>70</v>
      </c>
      <c r="ALO28" s="20" t="s">
        <v>70</v>
      </c>
      <c r="ALP28" s="20" t="s">
        <v>70</v>
      </c>
      <c r="ALQ28" s="20" t="s">
        <v>70</v>
      </c>
      <c r="ALR28" s="20" t="s">
        <v>70</v>
      </c>
      <c r="ALS28" s="20" t="s">
        <v>70</v>
      </c>
      <c r="ALT28" s="20" t="s">
        <v>70</v>
      </c>
      <c r="ALU28" s="20" t="s">
        <v>70</v>
      </c>
      <c r="ALV28" s="20" t="s">
        <v>150</v>
      </c>
      <c r="ALW28" s="15" t="s">
        <v>150</v>
      </c>
      <c r="ALX28" s="15" t="s">
        <v>150</v>
      </c>
      <c r="ALY28" s="15" t="s">
        <v>150</v>
      </c>
      <c r="ALZ28" s="15" t="s">
        <v>150</v>
      </c>
      <c r="AMA28" s="15" t="s">
        <v>150</v>
      </c>
      <c r="AMB28" s="15" t="s">
        <v>150</v>
      </c>
      <c r="AMC28" s="15"/>
      <c r="AMD28" s="15" t="s">
        <v>70</v>
      </c>
      <c r="AME28" s="15" t="s">
        <v>70</v>
      </c>
      <c r="AMF28" s="15" t="s">
        <v>70</v>
      </c>
      <c r="AMG28" s="15" t="s">
        <v>70</v>
      </c>
      <c r="AMH28" s="15" t="s">
        <v>70</v>
      </c>
      <c r="AMI28" s="15" t="s">
        <v>70</v>
      </c>
      <c r="AMJ28" s="15" t="s">
        <v>70</v>
      </c>
      <c r="AMK28" s="15" t="s">
        <v>70</v>
      </c>
      <c r="AML28" s="15" t="s">
        <v>150</v>
      </c>
      <c r="AMM28" s="15" t="s">
        <v>150</v>
      </c>
      <c r="AMN28" s="15" t="s">
        <v>150</v>
      </c>
      <c r="AMO28" s="15" t="s">
        <v>150</v>
      </c>
      <c r="AMP28" s="15" t="s">
        <v>150</v>
      </c>
      <c r="AMQ28" s="15" t="s">
        <v>150</v>
      </c>
      <c r="AMR28" s="15" t="s">
        <v>150</v>
      </c>
      <c r="AMS28" s="15" t="s">
        <v>150</v>
      </c>
      <c r="AMT28" s="15" t="s">
        <v>150</v>
      </c>
      <c r="AMU28" s="15" t="s">
        <v>150</v>
      </c>
      <c r="AMV28" s="15" t="s">
        <v>150</v>
      </c>
      <c r="AMW28" s="15" t="s">
        <v>150</v>
      </c>
      <c r="AMX28" s="15" t="s">
        <v>150</v>
      </c>
      <c r="AMY28" s="15" t="s">
        <v>150</v>
      </c>
      <c r="AMZ28" s="15" t="s">
        <v>150</v>
      </c>
      <c r="ANA28" s="15" t="s">
        <v>150</v>
      </c>
      <c r="ANB28" s="15" t="s">
        <v>150</v>
      </c>
      <c r="ANC28" s="15" t="s">
        <v>150</v>
      </c>
      <c r="AND28" s="15" t="s">
        <v>150</v>
      </c>
      <c r="ANE28" s="15"/>
      <c r="ANF28" s="15"/>
      <c r="ANG28" s="15"/>
      <c r="ANH28" s="15"/>
      <c r="ANI28" s="15"/>
      <c r="ANJ28" s="15"/>
      <c r="ANK28" s="15"/>
      <c r="ANL28" s="15"/>
      <c r="ANM28" s="15"/>
      <c r="ANN28" s="15"/>
      <c r="ANO28" s="15"/>
      <c r="ANP28" s="15"/>
      <c r="ANQ28" s="15"/>
      <c r="ANR28" s="15"/>
      <c r="ANS28" s="15"/>
      <c r="ANT28" s="15"/>
      <c r="ANU28" s="15"/>
      <c r="ANV28" s="15"/>
      <c r="ANW28" s="15"/>
      <c r="ANX28" s="15"/>
      <c r="ANY28" s="15"/>
      <c r="ANZ28" s="15"/>
      <c r="AOA28" s="15"/>
      <c r="AOB28" s="15"/>
      <c r="AOC28" s="15"/>
      <c r="AOD28" s="15"/>
      <c r="AOE28" s="15"/>
      <c r="AOF28" s="15"/>
      <c r="AOG28" s="15"/>
      <c r="AOH28" s="15"/>
      <c r="AOI28" s="15"/>
      <c r="AOJ28" s="15"/>
      <c r="AOK28" s="15"/>
      <c r="AOL28" s="15"/>
      <c r="AOM28" s="15"/>
      <c r="AON28" s="15"/>
      <c r="AOO28" s="15"/>
      <c r="AOP28" s="15"/>
      <c r="AOQ28" s="15"/>
      <c r="AOR28" s="15"/>
      <c r="AOS28" s="15"/>
      <c r="AOT28" s="15"/>
      <c r="AOU28" s="15"/>
      <c r="AOV28" s="15"/>
      <c r="AOW28" s="15"/>
      <c r="AOX28" s="15"/>
      <c r="AOY28" s="15"/>
      <c r="AOZ28" s="15"/>
      <c r="APA28" s="15"/>
      <c r="APB28" s="15"/>
      <c r="APC28" s="15"/>
      <c r="APD28" s="15"/>
      <c r="APE28" s="15"/>
      <c r="APF28" s="15"/>
      <c r="APG28" s="15"/>
      <c r="APH28" s="15"/>
      <c r="API28" s="15"/>
      <c r="APJ28" s="15"/>
      <c r="APK28" s="15"/>
      <c r="APL28" s="15"/>
      <c r="APM28" s="15"/>
      <c r="APN28" s="15"/>
      <c r="APO28" s="15"/>
      <c r="APP28" s="15"/>
      <c r="APQ28" s="15"/>
      <c r="APR28" s="15"/>
      <c r="APS28" s="15"/>
      <c r="APT28" s="15"/>
      <c r="APU28" s="15"/>
      <c r="APV28" s="15"/>
      <c r="APW28" s="15"/>
      <c r="APX28" s="15"/>
      <c r="APY28" s="15"/>
      <c r="APZ28" s="15"/>
      <c r="AQA28" s="15"/>
      <c r="AQB28" s="15"/>
    </row>
    <row r="29" spans="1:1120" s="17" customFormat="1" ht="15" customHeight="1" x14ac:dyDescent="0.25">
      <c r="A29" s="3" t="s">
        <v>2</v>
      </c>
      <c r="B29" s="6" t="s">
        <v>34</v>
      </c>
      <c r="C29" s="15"/>
      <c r="D29" s="15" t="s">
        <v>102</v>
      </c>
      <c r="E29" s="15" t="s">
        <v>102</v>
      </c>
      <c r="F29" s="15" t="s">
        <v>102</v>
      </c>
      <c r="G29" s="15" t="s">
        <v>102</v>
      </c>
      <c r="H29" s="15" t="s">
        <v>102</v>
      </c>
      <c r="I29" s="15" t="s">
        <v>102</v>
      </c>
      <c r="J29" s="15"/>
      <c r="K29" s="15" t="s">
        <v>102</v>
      </c>
      <c r="L29" s="15" t="s">
        <v>102</v>
      </c>
      <c r="M29" s="15" t="s">
        <v>102</v>
      </c>
      <c r="N29" s="15" t="s">
        <v>102</v>
      </c>
      <c r="O29" s="15" t="s">
        <v>102</v>
      </c>
      <c r="P29" s="15" t="s">
        <v>102</v>
      </c>
      <c r="Q29" s="15"/>
      <c r="R29" s="15" t="s">
        <v>102</v>
      </c>
      <c r="S29" s="15" t="s">
        <v>102</v>
      </c>
      <c r="T29" s="15" t="s">
        <v>102</v>
      </c>
      <c r="U29" s="15" t="s">
        <v>102</v>
      </c>
      <c r="V29" s="15" t="s">
        <v>102</v>
      </c>
      <c r="W29" s="15" t="s">
        <v>102</v>
      </c>
      <c r="X29" s="15"/>
      <c r="Y29" s="15" t="s">
        <v>102</v>
      </c>
      <c r="Z29" s="15" t="s">
        <v>102</v>
      </c>
      <c r="AA29" s="15" t="s">
        <v>102</v>
      </c>
      <c r="AB29" s="15" t="s">
        <v>102</v>
      </c>
      <c r="AC29" s="15" t="s">
        <v>102</v>
      </c>
      <c r="AD29" s="15" t="s">
        <v>102</v>
      </c>
      <c r="AE29" s="15"/>
      <c r="AF29" s="15" t="s">
        <v>102</v>
      </c>
      <c r="AG29" s="15" t="s">
        <v>102</v>
      </c>
      <c r="AH29" s="15" t="s">
        <v>102</v>
      </c>
      <c r="AI29" s="15" t="s">
        <v>102</v>
      </c>
      <c r="AJ29" s="15" t="s">
        <v>102</v>
      </c>
      <c r="AK29" s="15" t="s">
        <v>102</v>
      </c>
      <c r="AL29" s="15"/>
      <c r="AM29" s="15" t="s">
        <v>102</v>
      </c>
      <c r="AN29" s="15" t="s">
        <v>102</v>
      </c>
      <c r="AO29" s="15" t="s">
        <v>102</v>
      </c>
      <c r="AP29" s="15" t="s">
        <v>102</v>
      </c>
      <c r="AQ29" s="15" t="s">
        <v>102</v>
      </c>
      <c r="AR29" s="20" t="s">
        <v>75</v>
      </c>
      <c r="AS29" s="20" t="s">
        <v>75</v>
      </c>
      <c r="AT29" s="20" t="s">
        <v>75</v>
      </c>
      <c r="AU29" s="20" t="s">
        <v>75</v>
      </c>
      <c r="AV29" s="20" t="s">
        <v>75</v>
      </c>
      <c r="AW29" s="20" t="s">
        <v>75</v>
      </c>
      <c r="AX29" s="20" t="s">
        <v>75</v>
      </c>
      <c r="AY29" s="20" t="s">
        <v>75</v>
      </c>
      <c r="AZ29" s="20" t="s">
        <v>75</v>
      </c>
      <c r="BA29" s="20" t="s">
        <v>75</v>
      </c>
      <c r="BB29" s="20" t="s">
        <v>75</v>
      </c>
      <c r="BC29" s="20" t="s">
        <v>75</v>
      </c>
      <c r="BD29" s="20" t="s">
        <v>75</v>
      </c>
      <c r="BE29" s="20" t="s">
        <v>75</v>
      </c>
      <c r="BF29" s="20" t="s">
        <v>75</v>
      </c>
      <c r="BG29" s="20" t="s">
        <v>75</v>
      </c>
      <c r="BH29" s="20" t="s">
        <v>75</v>
      </c>
      <c r="BI29" s="20" t="s">
        <v>75</v>
      </c>
      <c r="BJ29" s="20" t="s">
        <v>75</v>
      </c>
      <c r="BK29" s="20" t="s">
        <v>75</v>
      </c>
      <c r="BL29" s="20" t="s">
        <v>75</v>
      </c>
      <c r="BM29" s="20" t="s">
        <v>75</v>
      </c>
      <c r="BN29" s="20" t="s">
        <v>75</v>
      </c>
      <c r="BO29" s="20" t="s">
        <v>75</v>
      </c>
      <c r="BP29" s="20" t="s">
        <v>75</v>
      </c>
      <c r="BQ29" s="20" t="s">
        <v>75</v>
      </c>
      <c r="BR29" s="20" t="s">
        <v>75</v>
      </c>
      <c r="BS29" s="20" t="s">
        <v>75</v>
      </c>
      <c r="BT29" s="20" t="s">
        <v>75</v>
      </c>
      <c r="BU29" s="20" t="s">
        <v>75</v>
      </c>
      <c r="BV29" s="20" t="s">
        <v>75</v>
      </c>
      <c r="BW29" s="20" t="s">
        <v>75</v>
      </c>
      <c r="BX29" s="20" t="s">
        <v>75</v>
      </c>
      <c r="BY29" s="20" t="s">
        <v>75</v>
      </c>
      <c r="BZ29" s="20" t="s">
        <v>75</v>
      </c>
      <c r="CA29" s="20" t="s">
        <v>75</v>
      </c>
      <c r="CB29" s="20" t="s">
        <v>75</v>
      </c>
      <c r="CC29" s="20" t="s">
        <v>75</v>
      </c>
      <c r="CD29" s="20" t="s">
        <v>75</v>
      </c>
      <c r="CE29" s="20" t="s">
        <v>75</v>
      </c>
      <c r="CF29" s="20" t="s">
        <v>75</v>
      </c>
      <c r="CG29" s="20" t="s">
        <v>75</v>
      </c>
      <c r="CH29" s="20" t="s">
        <v>75</v>
      </c>
      <c r="CI29" s="20" t="s">
        <v>75</v>
      </c>
      <c r="CJ29" s="20" t="s">
        <v>75</v>
      </c>
      <c r="CK29" s="20" t="s">
        <v>75</v>
      </c>
      <c r="CL29" s="20" t="s">
        <v>75</v>
      </c>
      <c r="CM29" s="20" t="s">
        <v>75</v>
      </c>
      <c r="CN29" s="20" t="s">
        <v>75</v>
      </c>
      <c r="CO29" s="20" t="s">
        <v>75</v>
      </c>
      <c r="CP29" s="20" t="s">
        <v>75</v>
      </c>
      <c r="CQ29" s="20" t="s">
        <v>75</v>
      </c>
      <c r="CR29" s="20" t="s">
        <v>75</v>
      </c>
      <c r="CS29" s="20" t="s">
        <v>75</v>
      </c>
      <c r="CT29" s="20" t="s">
        <v>75</v>
      </c>
      <c r="CU29" s="20" t="s">
        <v>75</v>
      </c>
      <c r="CV29" s="20" t="s">
        <v>75</v>
      </c>
      <c r="CW29" s="20" t="s">
        <v>75</v>
      </c>
      <c r="CX29" s="20" t="s">
        <v>75</v>
      </c>
      <c r="CY29" s="20" t="s">
        <v>75</v>
      </c>
      <c r="CZ29" s="20" t="s">
        <v>75</v>
      </c>
      <c r="DA29" s="20" t="s">
        <v>75</v>
      </c>
      <c r="DB29" s="20" t="s">
        <v>75</v>
      </c>
      <c r="DC29" s="20" t="s">
        <v>75</v>
      </c>
      <c r="DD29" s="20" t="s">
        <v>75</v>
      </c>
      <c r="DE29" s="20" t="s">
        <v>75</v>
      </c>
      <c r="DF29" s="20" t="s">
        <v>75</v>
      </c>
      <c r="DG29" s="20" t="s">
        <v>75</v>
      </c>
      <c r="DH29" s="20" t="s">
        <v>75</v>
      </c>
      <c r="DI29" s="20" t="s">
        <v>75</v>
      </c>
      <c r="DJ29" s="20" t="s">
        <v>75</v>
      </c>
      <c r="DK29" s="20" t="s">
        <v>75</v>
      </c>
      <c r="DL29" s="20" t="s">
        <v>75</v>
      </c>
      <c r="DM29" s="20" t="s">
        <v>75</v>
      </c>
      <c r="DN29" s="20" t="s">
        <v>75</v>
      </c>
      <c r="DO29" s="20" t="s">
        <v>75</v>
      </c>
      <c r="DP29" s="20" t="s">
        <v>75</v>
      </c>
      <c r="DQ29" s="20" t="s">
        <v>75</v>
      </c>
      <c r="DR29" s="20" t="s">
        <v>75</v>
      </c>
      <c r="DS29" s="20" t="s">
        <v>75</v>
      </c>
      <c r="DT29" s="20" t="s">
        <v>75</v>
      </c>
      <c r="DU29" s="20" t="s">
        <v>75</v>
      </c>
      <c r="DV29" s="20" t="s">
        <v>75</v>
      </c>
      <c r="DW29" s="20" t="s">
        <v>75</v>
      </c>
      <c r="DX29" s="20" t="s">
        <v>75</v>
      </c>
      <c r="DY29" s="20" t="s">
        <v>75</v>
      </c>
      <c r="DZ29" s="20" t="s">
        <v>75</v>
      </c>
      <c r="EA29" s="20" t="s">
        <v>75</v>
      </c>
      <c r="EB29" s="20" t="s">
        <v>75</v>
      </c>
      <c r="EC29" s="20" t="s">
        <v>75</v>
      </c>
      <c r="ED29" s="20" t="s">
        <v>75</v>
      </c>
      <c r="EE29" s="20" t="s">
        <v>75</v>
      </c>
      <c r="EF29" s="20" t="s">
        <v>75</v>
      </c>
      <c r="EG29" s="20" t="s">
        <v>75</v>
      </c>
      <c r="EH29" s="20" t="s">
        <v>75</v>
      </c>
      <c r="EI29" s="20" t="s">
        <v>75</v>
      </c>
      <c r="EJ29" s="20" t="s">
        <v>75</v>
      </c>
      <c r="EK29" s="20" t="s">
        <v>75</v>
      </c>
      <c r="EL29" s="20" t="s">
        <v>75</v>
      </c>
      <c r="EM29" s="20" t="s">
        <v>75</v>
      </c>
      <c r="EN29" s="20" t="s">
        <v>75</v>
      </c>
      <c r="EO29" s="20" t="s">
        <v>75</v>
      </c>
      <c r="EP29" s="20" t="s">
        <v>75</v>
      </c>
      <c r="EQ29" s="20" t="s">
        <v>75</v>
      </c>
      <c r="ER29" s="20" t="s">
        <v>75</v>
      </c>
      <c r="ES29" s="20" t="s">
        <v>75</v>
      </c>
      <c r="ET29" s="20" t="s">
        <v>75</v>
      </c>
      <c r="EU29" s="20" t="s">
        <v>75</v>
      </c>
      <c r="EV29" s="20" t="s">
        <v>75</v>
      </c>
      <c r="EW29" s="20" t="s">
        <v>75</v>
      </c>
      <c r="EX29" s="20" t="s">
        <v>75</v>
      </c>
      <c r="EY29" s="20" t="s">
        <v>75</v>
      </c>
      <c r="EZ29" s="20" t="s">
        <v>75</v>
      </c>
      <c r="FA29" s="20" t="s">
        <v>75</v>
      </c>
      <c r="FB29" s="20" t="s">
        <v>75</v>
      </c>
      <c r="FC29" s="20" t="s">
        <v>75</v>
      </c>
      <c r="FD29" s="15"/>
      <c r="FE29" s="20" t="s">
        <v>75</v>
      </c>
      <c r="FF29" s="20" t="s">
        <v>75</v>
      </c>
      <c r="FG29" s="20" t="s">
        <v>75</v>
      </c>
      <c r="FH29" s="20" t="s">
        <v>75</v>
      </c>
      <c r="FI29" s="20" t="s">
        <v>75</v>
      </c>
      <c r="FJ29" s="20" t="s">
        <v>75</v>
      </c>
      <c r="FK29" s="20" t="s">
        <v>75</v>
      </c>
      <c r="FL29" s="20" t="s">
        <v>75</v>
      </c>
      <c r="FM29" s="20" t="s">
        <v>75</v>
      </c>
      <c r="FN29" s="20" t="s">
        <v>75</v>
      </c>
      <c r="FO29" s="20" t="s">
        <v>75</v>
      </c>
      <c r="FP29" s="20" t="s">
        <v>75</v>
      </c>
      <c r="FQ29" s="20" t="s">
        <v>75</v>
      </c>
      <c r="FR29" s="20" t="s">
        <v>75</v>
      </c>
      <c r="FS29" s="20" t="s">
        <v>75</v>
      </c>
      <c r="FT29" s="20" t="s">
        <v>75</v>
      </c>
      <c r="FU29" s="20" t="s">
        <v>75</v>
      </c>
      <c r="FV29" s="20" t="s">
        <v>75</v>
      </c>
      <c r="FW29" s="20" t="s">
        <v>75</v>
      </c>
      <c r="FX29" s="20" t="s">
        <v>75</v>
      </c>
      <c r="FY29" s="20" t="s">
        <v>75</v>
      </c>
      <c r="FZ29" s="20" t="s">
        <v>75</v>
      </c>
      <c r="GA29" s="20" t="s">
        <v>75</v>
      </c>
      <c r="GB29" s="20" t="s">
        <v>75</v>
      </c>
      <c r="GC29" s="20" t="s">
        <v>75</v>
      </c>
      <c r="GD29" s="20" t="s">
        <v>75</v>
      </c>
      <c r="GE29" s="20" t="s">
        <v>75</v>
      </c>
      <c r="GF29" s="20" t="s">
        <v>75</v>
      </c>
      <c r="GG29" s="20" t="s">
        <v>75</v>
      </c>
      <c r="GH29" s="20" t="s">
        <v>75</v>
      </c>
      <c r="GI29" s="20" t="s">
        <v>75</v>
      </c>
      <c r="GJ29" s="20" t="s">
        <v>75</v>
      </c>
      <c r="GK29" s="20" t="s">
        <v>75</v>
      </c>
      <c r="GL29" s="20" t="s">
        <v>75</v>
      </c>
      <c r="GM29" s="20" t="s">
        <v>75</v>
      </c>
      <c r="GN29" s="20" t="s">
        <v>75</v>
      </c>
      <c r="GO29" s="20" t="s">
        <v>75</v>
      </c>
      <c r="GP29" s="20" t="s">
        <v>75</v>
      </c>
      <c r="GQ29" s="20" t="s">
        <v>75</v>
      </c>
      <c r="GR29" s="20" t="s">
        <v>75</v>
      </c>
      <c r="GS29" s="20" t="s">
        <v>75</v>
      </c>
      <c r="GT29" s="20" t="s">
        <v>75</v>
      </c>
      <c r="GU29" s="20" t="s">
        <v>102</v>
      </c>
      <c r="GV29" s="20" t="s">
        <v>102</v>
      </c>
      <c r="GW29" s="20" t="s">
        <v>102</v>
      </c>
      <c r="GX29" s="20" t="s">
        <v>102</v>
      </c>
      <c r="GY29" s="20" t="s">
        <v>102</v>
      </c>
      <c r="GZ29" s="20" t="s">
        <v>102</v>
      </c>
      <c r="HA29" s="20" t="s">
        <v>75</v>
      </c>
      <c r="HB29" s="20" t="s">
        <v>167</v>
      </c>
      <c r="HC29" s="20" t="s">
        <v>167</v>
      </c>
      <c r="HD29" s="20" t="s">
        <v>167</v>
      </c>
      <c r="HE29" s="20" t="s">
        <v>167</v>
      </c>
      <c r="HF29" s="20" t="s">
        <v>167</v>
      </c>
      <c r="HG29" s="20" t="s">
        <v>167</v>
      </c>
      <c r="HH29" s="20" t="s">
        <v>75</v>
      </c>
      <c r="HI29" s="20" t="s">
        <v>169</v>
      </c>
      <c r="HJ29" s="20" t="s">
        <v>169</v>
      </c>
      <c r="HK29" s="20" t="s">
        <v>169</v>
      </c>
      <c r="HL29" s="20" t="s">
        <v>169</v>
      </c>
      <c r="HM29" s="20" t="s">
        <v>169</v>
      </c>
      <c r="HN29" s="20" t="s">
        <v>169</v>
      </c>
      <c r="HO29" s="20" t="s">
        <v>75</v>
      </c>
      <c r="HP29" s="20" t="s">
        <v>172</v>
      </c>
      <c r="HQ29" s="20" t="s">
        <v>172</v>
      </c>
      <c r="HR29" s="20" t="s">
        <v>172</v>
      </c>
      <c r="HS29" s="20" t="s">
        <v>172</v>
      </c>
      <c r="HT29" s="20" t="s">
        <v>172</v>
      </c>
      <c r="HU29" s="20" t="s">
        <v>172</v>
      </c>
      <c r="HV29" s="20" t="s">
        <v>75</v>
      </c>
      <c r="HW29" s="20" t="s">
        <v>75</v>
      </c>
      <c r="HX29" s="20" t="s">
        <v>75</v>
      </c>
      <c r="HY29" s="20" t="s">
        <v>75</v>
      </c>
      <c r="HZ29" s="20" t="s">
        <v>75</v>
      </c>
      <c r="IA29" s="20" t="s">
        <v>75</v>
      </c>
      <c r="IB29" s="15"/>
      <c r="IC29" s="20" t="s">
        <v>75</v>
      </c>
      <c r="ID29" s="20" t="s">
        <v>75</v>
      </c>
      <c r="IE29" s="20" t="s">
        <v>75</v>
      </c>
      <c r="IF29" s="20" t="s">
        <v>75</v>
      </c>
      <c r="IG29" s="20" t="s">
        <v>75</v>
      </c>
      <c r="IH29" s="20" t="s">
        <v>75</v>
      </c>
      <c r="II29" s="20" t="s">
        <v>75</v>
      </c>
      <c r="IJ29" s="20" t="s">
        <v>75</v>
      </c>
      <c r="IK29" s="15"/>
      <c r="IL29" s="20" t="s">
        <v>75</v>
      </c>
      <c r="IM29" s="20" t="s">
        <v>75</v>
      </c>
      <c r="IN29" s="20" t="s">
        <v>75</v>
      </c>
      <c r="IO29" s="20" t="s">
        <v>75</v>
      </c>
      <c r="IP29" s="20" t="s">
        <v>75</v>
      </c>
      <c r="IQ29" s="20" t="s">
        <v>75</v>
      </c>
      <c r="IR29" s="20" t="s">
        <v>75</v>
      </c>
      <c r="IS29" s="15" t="s">
        <v>102</v>
      </c>
      <c r="IT29" s="15" t="s">
        <v>102</v>
      </c>
      <c r="IU29" s="15" t="s">
        <v>102</v>
      </c>
      <c r="IV29" s="15" t="s">
        <v>102</v>
      </c>
      <c r="IW29" s="15" t="s">
        <v>102</v>
      </c>
      <c r="IX29" s="15" t="s">
        <v>102</v>
      </c>
      <c r="IY29" s="15" t="s">
        <v>102</v>
      </c>
      <c r="IZ29" s="15" t="s">
        <v>102</v>
      </c>
      <c r="JA29" s="15" t="s">
        <v>102</v>
      </c>
      <c r="JB29" s="15" t="s">
        <v>102</v>
      </c>
      <c r="JC29" s="15" t="s">
        <v>102</v>
      </c>
      <c r="JD29" s="15" t="s">
        <v>102</v>
      </c>
      <c r="JE29" s="15" t="s">
        <v>102</v>
      </c>
      <c r="JF29" s="15" t="s">
        <v>102</v>
      </c>
      <c r="JG29" s="15" t="s">
        <v>102</v>
      </c>
      <c r="JH29" s="15" t="s">
        <v>102</v>
      </c>
      <c r="JI29" s="15" t="s">
        <v>102</v>
      </c>
      <c r="JJ29" s="15" t="s">
        <v>102</v>
      </c>
      <c r="JK29" s="15" t="s">
        <v>102</v>
      </c>
      <c r="JL29" s="15" t="s">
        <v>102</v>
      </c>
      <c r="JM29" s="15" t="s">
        <v>102</v>
      </c>
      <c r="JN29" s="15" t="s">
        <v>102</v>
      </c>
      <c r="JO29" s="15" t="s">
        <v>102</v>
      </c>
      <c r="JP29" s="15" t="s">
        <v>102</v>
      </c>
      <c r="JQ29" s="15" t="s">
        <v>102</v>
      </c>
      <c r="JR29" s="15" t="s">
        <v>102</v>
      </c>
      <c r="JS29" s="15" t="s">
        <v>102</v>
      </c>
      <c r="JT29" s="15" t="s">
        <v>102</v>
      </c>
      <c r="JU29" s="15" t="s">
        <v>102</v>
      </c>
      <c r="JV29" s="15" t="s">
        <v>102</v>
      </c>
      <c r="JW29" s="15" t="s">
        <v>102</v>
      </c>
      <c r="JX29" s="15" t="s">
        <v>102</v>
      </c>
      <c r="JY29" s="15" t="s">
        <v>102</v>
      </c>
      <c r="JZ29" s="15" t="s">
        <v>102</v>
      </c>
      <c r="KA29" s="15" t="s">
        <v>102</v>
      </c>
      <c r="KB29" s="15" t="s">
        <v>102</v>
      </c>
      <c r="KC29" s="15" t="s">
        <v>102</v>
      </c>
      <c r="KD29" s="15" t="s">
        <v>102</v>
      </c>
      <c r="KE29" s="15" t="s">
        <v>102</v>
      </c>
      <c r="KF29" s="15" t="s">
        <v>102</v>
      </c>
      <c r="KG29" s="15" t="s">
        <v>102</v>
      </c>
      <c r="KH29" s="15" t="s">
        <v>102</v>
      </c>
      <c r="KI29" s="15" t="s">
        <v>102</v>
      </c>
      <c r="KJ29" s="15" t="s">
        <v>102</v>
      </c>
      <c r="KK29" s="15" t="s">
        <v>102</v>
      </c>
      <c r="KL29" s="15" t="s">
        <v>102</v>
      </c>
      <c r="KM29" s="15" t="s">
        <v>102</v>
      </c>
      <c r="KN29" s="15" t="s">
        <v>102</v>
      </c>
      <c r="KO29" s="15" t="s">
        <v>102</v>
      </c>
      <c r="KP29" s="15" t="s">
        <v>102</v>
      </c>
      <c r="KQ29" s="15" t="s">
        <v>102</v>
      </c>
      <c r="KR29" s="15" t="s">
        <v>102</v>
      </c>
      <c r="KS29" s="15" t="s">
        <v>102</v>
      </c>
      <c r="KT29" s="15" t="s">
        <v>102</v>
      </c>
      <c r="KU29" s="15" t="s">
        <v>102</v>
      </c>
      <c r="KV29" s="15" t="s">
        <v>102</v>
      </c>
      <c r="KW29" s="15" t="s">
        <v>102</v>
      </c>
      <c r="KX29" s="15" t="s">
        <v>102</v>
      </c>
      <c r="KY29" s="15" t="s">
        <v>102</v>
      </c>
      <c r="KZ29" s="15" t="s">
        <v>102</v>
      </c>
      <c r="LA29" s="15" t="s">
        <v>102</v>
      </c>
      <c r="LB29" s="15" t="s">
        <v>102</v>
      </c>
      <c r="LC29" s="15" t="s">
        <v>102</v>
      </c>
      <c r="LD29" s="15" t="s">
        <v>102</v>
      </c>
      <c r="LE29" s="15" t="s">
        <v>102</v>
      </c>
      <c r="LF29" s="15" t="s">
        <v>102</v>
      </c>
      <c r="LG29" s="15" t="s">
        <v>102</v>
      </c>
      <c r="LH29" s="15" t="s">
        <v>102</v>
      </c>
      <c r="LI29" s="15" t="s">
        <v>102</v>
      </c>
      <c r="LJ29" s="15" t="s">
        <v>102</v>
      </c>
      <c r="LK29" s="15" t="s">
        <v>102</v>
      </c>
      <c r="LL29" s="15" t="s">
        <v>102</v>
      </c>
      <c r="LM29" s="15" t="s">
        <v>102</v>
      </c>
      <c r="LN29" s="15" t="s">
        <v>102</v>
      </c>
      <c r="LO29" s="15" t="s">
        <v>102</v>
      </c>
      <c r="LP29" s="15" t="s">
        <v>102</v>
      </c>
      <c r="LQ29" s="15" t="s">
        <v>102</v>
      </c>
      <c r="LR29" s="15" t="s">
        <v>102</v>
      </c>
      <c r="LS29" s="15" t="s">
        <v>102</v>
      </c>
      <c r="LT29" s="15" t="s">
        <v>102</v>
      </c>
      <c r="LU29" s="15" t="s">
        <v>102</v>
      </c>
      <c r="LV29" s="15" t="s">
        <v>102</v>
      </c>
      <c r="LW29" s="15" t="s">
        <v>102</v>
      </c>
      <c r="LX29" s="15" t="s">
        <v>102</v>
      </c>
      <c r="LY29" s="15" t="s">
        <v>102</v>
      </c>
      <c r="LZ29" s="15" t="s">
        <v>102</v>
      </c>
      <c r="MA29" s="15" t="s">
        <v>102</v>
      </c>
      <c r="MB29" s="15" t="s">
        <v>102</v>
      </c>
      <c r="MC29" s="15" t="s">
        <v>102</v>
      </c>
      <c r="MD29" s="15" t="s">
        <v>102</v>
      </c>
      <c r="ME29" s="15" t="s">
        <v>102</v>
      </c>
      <c r="MF29" s="15" t="s">
        <v>102</v>
      </c>
      <c r="MG29" s="15" t="s">
        <v>102</v>
      </c>
      <c r="MH29" s="15" t="s">
        <v>102</v>
      </c>
      <c r="MI29" s="15" t="s">
        <v>102</v>
      </c>
      <c r="MJ29" s="15" t="s">
        <v>102</v>
      </c>
      <c r="MK29" s="15" t="s">
        <v>102</v>
      </c>
      <c r="ML29" s="15" t="s">
        <v>102</v>
      </c>
      <c r="MM29" s="15" t="s">
        <v>102</v>
      </c>
      <c r="MN29" s="15" t="s">
        <v>102</v>
      </c>
      <c r="MO29" s="15" t="s">
        <v>102</v>
      </c>
      <c r="MP29" s="15" t="s">
        <v>102</v>
      </c>
      <c r="MQ29" s="15" t="s">
        <v>102</v>
      </c>
      <c r="MR29" s="15" t="s">
        <v>102</v>
      </c>
      <c r="MS29" s="15" t="s">
        <v>102</v>
      </c>
      <c r="MT29" s="15" t="s">
        <v>102</v>
      </c>
      <c r="MU29" s="15" t="s">
        <v>102</v>
      </c>
      <c r="MV29" s="15" t="s">
        <v>102</v>
      </c>
      <c r="MW29" s="15" t="s">
        <v>102</v>
      </c>
      <c r="MX29" s="15" t="s">
        <v>102</v>
      </c>
      <c r="MY29" s="15" t="s">
        <v>102</v>
      </c>
      <c r="MZ29" s="15" t="s">
        <v>102</v>
      </c>
      <c r="NA29" s="15" t="s">
        <v>102</v>
      </c>
      <c r="NB29" s="15" t="s">
        <v>102</v>
      </c>
      <c r="NC29" s="15" t="s">
        <v>102</v>
      </c>
      <c r="ND29" s="15" t="s">
        <v>102</v>
      </c>
      <c r="NE29" s="15" t="s">
        <v>102</v>
      </c>
      <c r="NF29" s="15" t="s">
        <v>102</v>
      </c>
      <c r="NG29" s="15" t="s">
        <v>102</v>
      </c>
      <c r="NH29" s="15" t="s">
        <v>102</v>
      </c>
      <c r="NI29" s="15" t="s">
        <v>102</v>
      </c>
      <c r="NJ29" s="15" t="s">
        <v>102</v>
      </c>
      <c r="NK29" s="15" t="s">
        <v>102</v>
      </c>
      <c r="NL29" s="15" t="s">
        <v>102</v>
      </c>
      <c r="NM29" s="15" t="s">
        <v>75</v>
      </c>
      <c r="NN29" s="15" t="s">
        <v>75</v>
      </c>
      <c r="NO29" s="15" t="s">
        <v>75</v>
      </c>
      <c r="NP29" s="15" t="s">
        <v>75</v>
      </c>
      <c r="NQ29" s="15" t="s">
        <v>75</v>
      </c>
      <c r="NR29" s="15" t="s">
        <v>75</v>
      </c>
      <c r="NS29" s="15" t="s">
        <v>75</v>
      </c>
      <c r="NT29" s="15" t="s">
        <v>75</v>
      </c>
      <c r="NU29" s="15" t="s">
        <v>75</v>
      </c>
      <c r="NV29" s="15" t="s">
        <v>75</v>
      </c>
      <c r="NW29" s="15" t="s">
        <v>75</v>
      </c>
      <c r="NX29" s="15" t="s">
        <v>75</v>
      </c>
      <c r="NY29" s="15" t="s">
        <v>75</v>
      </c>
      <c r="NZ29" s="15" t="s">
        <v>75</v>
      </c>
      <c r="OA29" s="15" t="s">
        <v>75</v>
      </c>
      <c r="OB29" s="15" t="s">
        <v>75</v>
      </c>
      <c r="OC29" s="15" t="s">
        <v>75</v>
      </c>
      <c r="OD29" s="15" t="s">
        <v>75</v>
      </c>
      <c r="OE29" s="15" t="s">
        <v>75</v>
      </c>
      <c r="OF29" s="15" t="s">
        <v>75</v>
      </c>
      <c r="OG29" s="15" t="s">
        <v>75</v>
      </c>
      <c r="OH29" s="15" t="s">
        <v>75</v>
      </c>
      <c r="OI29" s="15" t="s">
        <v>75</v>
      </c>
      <c r="OJ29" s="15" t="s">
        <v>75</v>
      </c>
      <c r="OK29" s="15" t="s">
        <v>75</v>
      </c>
      <c r="OL29" s="15" t="s">
        <v>75</v>
      </c>
      <c r="OM29" s="15" t="s">
        <v>75</v>
      </c>
      <c r="ON29" s="15" t="s">
        <v>75</v>
      </c>
      <c r="OO29" s="15" t="s">
        <v>75</v>
      </c>
      <c r="OP29" s="15" t="s">
        <v>75</v>
      </c>
      <c r="OQ29" s="15" t="s">
        <v>75</v>
      </c>
      <c r="OR29" s="15" t="s">
        <v>75</v>
      </c>
      <c r="OS29" s="15" t="s">
        <v>75</v>
      </c>
      <c r="OT29" s="15" t="s">
        <v>75</v>
      </c>
      <c r="OU29" s="15" t="s">
        <v>75</v>
      </c>
      <c r="OV29" s="15" t="s">
        <v>75</v>
      </c>
      <c r="OW29" s="15" t="s">
        <v>75</v>
      </c>
      <c r="OX29" s="15" t="s">
        <v>75</v>
      </c>
      <c r="OY29" s="15" t="s">
        <v>75</v>
      </c>
      <c r="OZ29" s="15" t="s">
        <v>75</v>
      </c>
      <c r="PA29" s="15" t="s">
        <v>75</v>
      </c>
      <c r="PB29" s="15" t="s">
        <v>75</v>
      </c>
      <c r="PC29" s="15" t="s">
        <v>75</v>
      </c>
      <c r="PD29" s="15" t="s">
        <v>75</v>
      </c>
      <c r="PE29" s="15" t="s">
        <v>75</v>
      </c>
      <c r="PF29" s="15" t="s">
        <v>75</v>
      </c>
      <c r="PG29" s="15" t="s">
        <v>75</v>
      </c>
      <c r="PH29" s="15" t="s">
        <v>75</v>
      </c>
      <c r="PI29" s="15" t="s">
        <v>75</v>
      </c>
      <c r="PJ29" s="15" t="s">
        <v>75</v>
      </c>
      <c r="PK29" s="15" t="s">
        <v>75</v>
      </c>
      <c r="PL29" s="15" t="s">
        <v>75</v>
      </c>
      <c r="PM29" s="15" t="s">
        <v>75</v>
      </c>
      <c r="PN29" s="15" t="s">
        <v>75</v>
      </c>
      <c r="PO29" s="15" t="s">
        <v>75</v>
      </c>
      <c r="PP29" s="15" t="s">
        <v>75</v>
      </c>
      <c r="PQ29" s="15" t="s">
        <v>75</v>
      </c>
      <c r="PR29" s="15" t="s">
        <v>75</v>
      </c>
      <c r="PS29" s="15" t="s">
        <v>75</v>
      </c>
      <c r="PT29" s="15" t="s">
        <v>75</v>
      </c>
      <c r="PU29" s="15" t="s">
        <v>75</v>
      </c>
      <c r="PV29" s="15" t="s">
        <v>75</v>
      </c>
      <c r="PW29" s="15" t="s">
        <v>75</v>
      </c>
      <c r="PX29" s="15" t="s">
        <v>75</v>
      </c>
      <c r="PY29" s="15" t="s">
        <v>75</v>
      </c>
      <c r="PZ29" s="15" t="s">
        <v>75</v>
      </c>
      <c r="QA29" s="15" t="s">
        <v>75</v>
      </c>
      <c r="QB29" s="15" t="s">
        <v>75</v>
      </c>
      <c r="QC29" s="15" t="s">
        <v>75</v>
      </c>
      <c r="QD29" s="15" t="s">
        <v>75</v>
      </c>
      <c r="QE29" s="15" t="s">
        <v>75</v>
      </c>
      <c r="QF29" s="15" t="s">
        <v>75</v>
      </c>
      <c r="QG29" s="15" t="s">
        <v>75</v>
      </c>
      <c r="QH29" s="15" t="s">
        <v>75</v>
      </c>
      <c r="QI29" s="15" t="s">
        <v>75</v>
      </c>
      <c r="QJ29" s="15" t="s">
        <v>75</v>
      </c>
      <c r="QK29" s="15" t="s">
        <v>75</v>
      </c>
      <c r="QL29" s="15" t="s">
        <v>75</v>
      </c>
      <c r="QM29" s="15" t="s">
        <v>75</v>
      </c>
      <c r="QN29" s="15" t="s">
        <v>75</v>
      </c>
      <c r="QO29" s="15" t="s">
        <v>75</v>
      </c>
      <c r="QP29" s="15" t="s">
        <v>75</v>
      </c>
      <c r="QQ29" s="15" t="s">
        <v>75</v>
      </c>
      <c r="QR29" s="15" t="s">
        <v>75</v>
      </c>
      <c r="QS29" s="15" t="s">
        <v>75</v>
      </c>
      <c r="QT29" s="15" t="s">
        <v>75</v>
      </c>
      <c r="QU29" s="15" t="s">
        <v>75</v>
      </c>
      <c r="QV29" s="15" t="s">
        <v>75</v>
      </c>
      <c r="QW29" s="15" t="s">
        <v>75</v>
      </c>
      <c r="QX29" s="15" t="s">
        <v>75</v>
      </c>
      <c r="QY29" s="15" t="s">
        <v>75</v>
      </c>
      <c r="QZ29" s="15" t="s">
        <v>75</v>
      </c>
      <c r="RA29" s="15" t="s">
        <v>75</v>
      </c>
      <c r="RB29" s="15" t="s">
        <v>75</v>
      </c>
      <c r="RC29" s="15" t="s">
        <v>75</v>
      </c>
      <c r="RD29" s="15" t="s">
        <v>75</v>
      </c>
      <c r="RE29" s="15" t="s">
        <v>75</v>
      </c>
      <c r="RF29" s="15" t="s">
        <v>75</v>
      </c>
      <c r="RG29" s="15" t="s">
        <v>75</v>
      </c>
      <c r="RH29" s="15" t="s">
        <v>75</v>
      </c>
      <c r="RI29" s="15" t="s">
        <v>75</v>
      </c>
      <c r="RJ29" s="15" t="s">
        <v>75</v>
      </c>
      <c r="RK29" s="15" t="s">
        <v>75</v>
      </c>
      <c r="RL29" s="15" t="s">
        <v>75</v>
      </c>
      <c r="RM29" s="15" t="s">
        <v>75</v>
      </c>
      <c r="RN29" s="15" t="s">
        <v>75</v>
      </c>
      <c r="RO29" s="15" t="s">
        <v>75</v>
      </c>
      <c r="RP29" s="15" t="s">
        <v>75</v>
      </c>
      <c r="RQ29" s="15" t="s">
        <v>75</v>
      </c>
      <c r="RR29" s="15" t="s">
        <v>75</v>
      </c>
      <c r="RS29" s="15"/>
      <c r="RT29" s="20" t="s">
        <v>75</v>
      </c>
      <c r="RU29" s="20" t="s">
        <v>75</v>
      </c>
      <c r="RV29" s="20" t="s">
        <v>75</v>
      </c>
      <c r="RW29" s="20" t="s">
        <v>75</v>
      </c>
      <c r="RX29" s="20" t="s">
        <v>75</v>
      </c>
      <c r="RY29" s="20" t="s">
        <v>75</v>
      </c>
      <c r="RZ29" s="20" t="s">
        <v>75</v>
      </c>
      <c r="SA29" s="15" t="s">
        <v>75</v>
      </c>
      <c r="SB29" s="15" t="s">
        <v>75</v>
      </c>
      <c r="SC29" s="15" t="s">
        <v>75</v>
      </c>
      <c r="SD29" s="15" t="s">
        <v>75</v>
      </c>
      <c r="SE29" s="15" t="s">
        <v>75</v>
      </c>
      <c r="SF29" s="15" t="s">
        <v>75</v>
      </c>
      <c r="SG29" s="15" t="s">
        <v>75</v>
      </c>
      <c r="SH29" s="15" t="s">
        <v>75</v>
      </c>
      <c r="SI29" s="15" t="s">
        <v>75</v>
      </c>
      <c r="SJ29" s="15" t="s">
        <v>75</v>
      </c>
      <c r="SK29" s="15" t="s">
        <v>75</v>
      </c>
      <c r="SL29" s="15" t="s">
        <v>75</v>
      </c>
      <c r="SM29" s="15" t="s">
        <v>75</v>
      </c>
      <c r="SN29" s="15" t="s">
        <v>75</v>
      </c>
      <c r="SO29" s="15" t="s">
        <v>75</v>
      </c>
      <c r="SP29" s="15" t="s">
        <v>75</v>
      </c>
      <c r="SQ29" s="15" t="s">
        <v>75</v>
      </c>
      <c r="SR29" s="15" t="s">
        <v>75</v>
      </c>
      <c r="SS29" s="15" t="s">
        <v>75</v>
      </c>
      <c r="ST29" s="15" t="s">
        <v>75</v>
      </c>
      <c r="SU29" s="15" t="s">
        <v>75</v>
      </c>
      <c r="SV29" s="15" t="s">
        <v>75</v>
      </c>
      <c r="SW29" s="15" t="s">
        <v>75</v>
      </c>
      <c r="SX29" s="15" t="s">
        <v>75</v>
      </c>
      <c r="SY29" s="15" t="s">
        <v>75</v>
      </c>
      <c r="SZ29" s="15" t="s">
        <v>75</v>
      </c>
      <c r="TA29" s="15" t="s">
        <v>75</v>
      </c>
      <c r="TB29" s="15" t="s">
        <v>75</v>
      </c>
      <c r="TC29" s="15" t="s">
        <v>75</v>
      </c>
      <c r="TD29" s="15" t="s">
        <v>75</v>
      </c>
      <c r="TE29" s="15" t="s">
        <v>75</v>
      </c>
      <c r="TF29" s="15" t="s">
        <v>75</v>
      </c>
      <c r="TG29" s="15" t="s">
        <v>75</v>
      </c>
      <c r="TH29" s="15" t="s">
        <v>75</v>
      </c>
      <c r="TI29" s="15" t="s">
        <v>75</v>
      </c>
      <c r="TJ29" s="15" t="s">
        <v>75</v>
      </c>
      <c r="TK29" s="15" t="s">
        <v>75</v>
      </c>
      <c r="TL29" s="15" t="s">
        <v>75</v>
      </c>
      <c r="TM29" s="15" t="s">
        <v>75</v>
      </c>
      <c r="TN29" s="15" t="s">
        <v>75</v>
      </c>
      <c r="TO29" s="15" t="s">
        <v>75</v>
      </c>
      <c r="TP29" s="15" t="s">
        <v>75</v>
      </c>
      <c r="TQ29" s="15" t="s">
        <v>75</v>
      </c>
      <c r="TR29" s="15" t="s">
        <v>75</v>
      </c>
      <c r="TS29" s="15" t="s">
        <v>75</v>
      </c>
      <c r="TT29" s="15" t="s">
        <v>75</v>
      </c>
      <c r="TU29" s="15" t="s">
        <v>75</v>
      </c>
      <c r="TV29" s="15" t="s">
        <v>75</v>
      </c>
      <c r="TW29" s="15" t="s">
        <v>75</v>
      </c>
      <c r="TX29" s="15" t="s">
        <v>75</v>
      </c>
      <c r="TY29" s="15" t="s">
        <v>75</v>
      </c>
      <c r="TZ29" s="15" t="s">
        <v>75</v>
      </c>
      <c r="UA29" s="15" t="s">
        <v>75</v>
      </c>
      <c r="UB29" s="15" t="s">
        <v>75</v>
      </c>
      <c r="UC29" s="15" t="s">
        <v>75</v>
      </c>
      <c r="UD29" s="15" t="s">
        <v>75</v>
      </c>
      <c r="UE29" s="15" t="s">
        <v>75</v>
      </c>
      <c r="UF29" s="15" t="s">
        <v>75</v>
      </c>
      <c r="UG29" s="15" t="s">
        <v>75</v>
      </c>
      <c r="UH29" s="15" t="s">
        <v>75</v>
      </c>
      <c r="UI29" s="15" t="s">
        <v>75</v>
      </c>
      <c r="UJ29" s="15" t="s">
        <v>75</v>
      </c>
      <c r="UK29" s="15" t="s">
        <v>75</v>
      </c>
      <c r="UL29" s="15" t="s">
        <v>75</v>
      </c>
      <c r="UM29" s="15" t="s">
        <v>75</v>
      </c>
      <c r="UN29" s="15" t="s">
        <v>75</v>
      </c>
      <c r="UO29" s="15" t="s">
        <v>75</v>
      </c>
      <c r="UP29" s="15" t="s">
        <v>75</v>
      </c>
      <c r="UQ29" s="15" t="s">
        <v>75</v>
      </c>
      <c r="UR29" s="15" t="s">
        <v>75</v>
      </c>
      <c r="US29" s="15" t="s">
        <v>75</v>
      </c>
      <c r="UT29" s="15" t="s">
        <v>75</v>
      </c>
      <c r="UU29" s="15" t="s">
        <v>75</v>
      </c>
      <c r="UV29" s="15" t="s">
        <v>75</v>
      </c>
      <c r="UW29" s="15" t="s">
        <v>75</v>
      </c>
      <c r="UX29" s="15" t="s">
        <v>75</v>
      </c>
      <c r="UY29" s="15" t="s">
        <v>75</v>
      </c>
      <c r="UZ29" s="15" t="s">
        <v>75</v>
      </c>
      <c r="VA29" s="15" t="s">
        <v>75</v>
      </c>
      <c r="VB29" s="15" t="s">
        <v>75</v>
      </c>
      <c r="VC29" s="15" t="s">
        <v>75</v>
      </c>
      <c r="VD29" s="15" t="s">
        <v>75</v>
      </c>
      <c r="VE29" s="15" t="s">
        <v>75</v>
      </c>
      <c r="VF29" s="15" t="s">
        <v>75</v>
      </c>
      <c r="VG29" s="15" t="s">
        <v>75</v>
      </c>
      <c r="VH29" s="15" t="s">
        <v>75</v>
      </c>
      <c r="VI29" s="15" t="s">
        <v>75</v>
      </c>
      <c r="VJ29" s="15" t="s">
        <v>75</v>
      </c>
      <c r="VK29" s="15" t="s">
        <v>75</v>
      </c>
      <c r="VL29" s="15" t="s">
        <v>75</v>
      </c>
      <c r="VM29" s="15" t="s">
        <v>75</v>
      </c>
      <c r="VN29" s="15" t="s">
        <v>75</v>
      </c>
      <c r="VO29" s="15" t="s">
        <v>75</v>
      </c>
      <c r="VP29" s="15" t="s">
        <v>75</v>
      </c>
      <c r="VQ29" s="15" t="s">
        <v>75</v>
      </c>
      <c r="VR29" s="15" t="s">
        <v>75</v>
      </c>
      <c r="VS29" s="15" t="s">
        <v>75</v>
      </c>
      <c r="VT29" s="15" t="s">
        <v>75</v>
      </c>
      <c r="VU29" s="15" t="s">
        <v>75</v>
      </c>
      <c r="VV29" s="15" t="s">
        <v>75</v>
      </c>
      <c r="VW29" s="15" t="s">
        <v>75</v>
      </c>
      <c r="VX29" s="15" t="s">
        <v>75</v>
      </c>
      <c r="VY29" s="15" t="s">
        <v>75</v>
      </c>
      <c r="VZ29" s="15" t="s">
        <v>75</v>
      </c>
      <c r="WA29" s="15" t="s">
        <v>75</v>
      </c>
      <c r="WB29" s="15" t="s">
        <v>75</v>
      </c>
      <c r="WC29" s="15" t="s">
        <v>75</v>
      </c>
      <c r="WD29" s="15" t="s">
        <v>75</v>
      </c>
      <c r="WE29" s="15" t="s">
        <v>75</v>
      </c>
      <c r="WF29" s="15" t="s">
        <v>75</v>
      </c>
      <c r="WG29" s="15" t="s">
        <v>75</v>
      </c>
      <c r="WH29" s="15" t="s">
        <v>75</v>
      </c>
      <c r="WI29" s="15" t="s">
        <v>75</v>
      </c>
      <c r="WJ29" s="15" t="s">
        <v>75</v>
      </c>
      <c r="WK29" s="15" t="s">
        <v>75</v>
      </c>
      <c r="WL29" s="15" t="s">
        <v>75</v>
      </c>
      <c r="WM29" s="15" t="s">
        <v>75</v>
      </c>
      <c r="WN29" s="15" t="s">
        <v>75</v>
      </c>
      <c r="WO29" s="15" t="s">
        <v>75</v>
      </c>
      <c r="WP29" s="15" t="s">
        <v>75</v>
      </c>
      <c r="WQ29" s="15" t="s">
        <v>75</v>
      </c>
      <c r="WR29" s="15" t="s">
        <v>75</v>
      </c>
      <c r="WS29" s="15" t="s">
        <v>75</v>
      </c>
      <c r="WT29" s="15" t="s">
        <v>75</v>
      </c>
      <c r="WU29" s="15" t="s">
        <v>75</v>
      </c>
      <c r="WV29" s="15" t="s">
        <v>75</v>
      </c>
      <c r="WW29" s="15" t="s">
        <v>75</v>
      </c>
      <c r="WX29" s="15" t="s">
        <v>75</v>
      </c>
      <c r="WY29" s="15" t="s">
        <v>75</v>
      </c>
      <c r="WZ29" s="15" t="s">
        <v>75</v>
      </c>
      <c r="XA29" s="15" t="s">
        <v>75</v>
      </c>
      <c r="XB29" s="15" t="s">
        <v>75</v>
      </c>
      <c r="XC29" s="15" t="s">
        <v>75</v>
      </c>
      <c r="XD29" s="15" t="s">
        <v>75</v>
      </c>
      <c r="XE29" s="15" t="s">
        <v>75</v>
      </c>
      <c r="XF29" s="15" t="s">
        <v>75</v>
      </c>
      <c r="XG29" s="15" t="s">
        <v>75</v>
      </c>
      <c r="XH29" s="15" t="s">
        <v>75</v>
      </c>
      <c r="XI29" s="15" t="s">
        <v>75</v>
      </c>
      <c r="XJ29" s="15" t="s">
        <v>75</v>
      </c>
      <c r="XK29" s="15" t="s">
        <v>75</v>
      </c>
      <c r="XL29" s="15" t="s">
        <v>75</v>
      </c>
      <c r="XM29" s="15" t="s">
        <v>75</v>
      </c>
      <c r="XN29" s="15" t="s">
        <v>75</v>
      </c>
      <c r="XO29" s="15" t="s">
        <v>75</v>
      </c>
      <c r="XP29" s="15" t="s">
        <v>75</v>
      </c>
      <c r="XQ29" s="15" t="s">
        <v>75</v>
      </c>
      <c r="XR29" s="15" t="s">
        <v>75</v>
      </c>
      <c r="XS29" s="15" t="s">
        <v>75</v>
      </c>
      <c r="XT29" s="15" t="s">
        <v>75</v>
      </c>
      <c r="XU29" s="15" t="s">
        <v>75</v>
      </c>
      <c r="XV29" s="15" t="s">
        <v>75</v>
      </c>
      <c r="XW29" s="15" t="s">
        <v>75</v>
      </c>
      <c r="XX29" s="15" t="s">
        <v>75</v>
      </c>
      <c r="XY29" s="15" t="s">
        <v>75</v>
      </c>
      <c r="XZ29" s="15" t="s">
        <v>75</v>
      </c>
      <c r="YA29" s="15" t="s">
        <v>75</v>
      </c>
      <c r="YB29" s="15" t="s">
        <v>75</v>
      </c>
      <c r="YC29" s="15" t="s">
        <v>75</v>
      </c>
      <c r="YD29" s="15" t="s">
        <v>75</v>
      </c>
      <c r="YE29" s="15" t="s">
        <v>75</v>
      </c>
      <c r="YF29" s="15" t="s">
        <v>75</v>
      </c>
      <c r="YG29" s="15" t="s">
        <v>75</v>
      </c>
      <c r="YH29" s="15" t="s">
        <v>75</v>
      </c>
      <c r="YI29" s="15" t="s">
        <v>75</v>
      </c>
      <c r="YJ29" s="15" t="s">
        <v>75</v>
      </c>
      <c r="YK29" s="15" t="s">
        <v>75</v>
      </c>
      <c r="YL29" s="15" t="s">
        <v>75</v>
      </c>
      <c r="YM29" s="15" t="s">
        <v>75</v>
      </c>
      <c r="YN29" s="15" t="s">
        <v>75</v>
      </c>
      <c r="YO29" s="15" t="s">
        <v>75</v>
      </c>
      <c r="YP29" s="15" t="s">
        <v>75</v>
      </c>
      <c r="YQ29" s="15" t="s">
        <v>75</v>
      </c>
      <c r="YR29" s="15" t="s">
        <v>75</v>
      </c>
      <c r="YS29" s="15" t="s">
        <v>75</v>
      </c>
      <c r="YT29" s="15" t="s">
        <v>75</v>
      </c>
      <c r="YU29" s="15" t="s">
        <v>75</v>
      </c>
      <c r="YV29" s="15" t="s">
        <v>75</v>
      </c>
      <c r="YW29" s="15" t="s">
        <v>75</v>
      </c>
      <c r="YX29" s="15" t="s">
        <v>75</v>
      </c>
      <c r="YY29" s="15" t="s">
        <v>75</v>
      </c>
      <c r="YZ29" s="15" t="s">
        <v>75</v>
      </c>
      <c r="ZA29" s="15" t="s">
        <v>75</v>
      </c>
      <c r="ZB29" s="15" t="s">
        <v>75</v>
      </c>
      <c r="ZC29" s="15" t="s">
        <v>75</v>
      </c>
      <c r="ZD29" s="15" t="s">
        <v>75</v>
      </c>
      <c r="ZE29" s="15" t="s">
        <v>75</v>
      </c>
      <c r="ZF29" s="15" t="s">
        <v>75</v>
      </c>
      <c r="ZG29" s="15" t="s">
        <v>75</v>
      </c>
      <c r="ZH29" s="15" t="s">
        <v>75</v>
      </c>
      <c r="ZI29" s="15" t="s">
        <v>75</v>
      </c>
      <c r="ZJ29" s="15" t="s">
        <v>75</v>
      </c>
      <c r="ZK29" s="15" t="s">
        <v>75</v>
      </c>
      <c r="ZL29" s="15" t="s">
        <v>75</v>
      </c>
      <c r="ZM29" s="15" t="s">
        <v>75</v>
      </c>
      <c r="ZN29" s="15" t="s">
        <v>75</v>
      </c>
      <c r="ZO29" s="15" t="s">
        <v>75</v>
      </c>
      <c r="ZP29" s="15" t="s">
        <v>75</v>
      </c>
      <c r="ZQ29" s="15" t="s">
        <v>75</v>
      </c>
      <c r="ZR29" s="15" t="s">
        <v>75</v>
      </c>
      <c r="ZS29" s="15" t="s">
        <v>75</v>
      </c>
      <c r="ZT29" s="15" t="s">
        <v>75</v>
      </c>
      <c r="ZU29" s="15" t="s">
        <v>75</v>
      </c>
      <c r="ZV29" s="15" t="s">
        <v>75</v>
      </c>
      <c r="ZW29" s="15" t="s">
        <v>75</v>
      </c>
      <c r="ZX29" s="15" t="s">
        <v>75</v>
      </c>
      <c r="ZY29" s="15" t="s">
        <v>75</v>
      </c>
      <c r="ZZ29" s="15" t="s">
        <v>75</v>
      </c>
      <c r="AAA29" s="15" t="s">
        <v>75</v>
      </c>
      <c r="AAB29" s="15" t="s">
        <v>75</v>
      </c>
      <c r="AAC29" s="15" t="s">
        <v>75</v>
      </c>
      <c r="AAD29" s="15" t="s">
        <v>75</v>
      </c>
      <c r="AAE29" s="15" t="s">
        <v>75</v>
      </c>
      <c r="AAF29" s="15" t="s">
        <v>75</v>
      </c>
      <c r="AAG29" s="15" t="s">
        <v>75</v>
      </c>
      <c r="AAH29" s="15" t="s">
        <v>75</v>
      </c>
      <c r="AAI29" s="15" t="s">
        <v>75</v>
      </c>
      <c r="AAJ29" s="15" t="s">
        <v>75</v>
      </c>
      <c r="AAK29" s="15" t="s">
        <v>75</v>
      </c>
      <c r="AAL29" s="15"/>
      <c r="AAM29" s="20" t="s">
        <v>75</v>
      </c>
      <c r="AAN29" s="20" t="s">
        <v>75</v>
      </c>
      <c r="AAO29" s="20" t="s">
        <v>75</v>
      </c>
      <c r="AAP29" s="20" t="s">
        <v>75</v>
      </c>
      <c r="AAQ29" s="20" t="s">
        <v>75</v>
      </c>
      <c r="AAR29" s="20" t="s">
        <v>75</v>
      </c>
      <c r="AAS29" s="20" t="s">
        <v>75</v>
      </c>
      <c r="AAT29" s="20" t="s">
        <v>75</v>
      </c>
      <c r="AAU29" s="20" t="s">
        <v>75</v>
      </c>
      <c r="AAV29" s="15" t="s">
        <v>75</v>
      </c>
      <c r="AAW29" s="15" t="s">
        <v>75</v>
      </c>
      <c r="AAX29" s="15"/>
      <c r="AAY29" s="20" t="s">
        <v>75</v>
      </c>
      <c r="AAZ29" s="20" t="s">
        <v>75</v>
      </c>
      <c r="ABA29" s="20" t="s">
        <v>75</v>
      </c>
      <c r="ABB29" s="20" t="s">
        <v>75</v>
      </c>
      <c r="ABC29" s="20" t="s">
        <v>75</v>
      </c>
      <c r="ABD29" s="20" t="s">
        <v>75</v>
      </c>
      <c r="ABE29" s="20" t="s">
        <v>75</v>
      </c>
      <c r="ABF29" s="20" t="s">
        <v>75</v>
      </c>
      <c r="ABG29" s="20" t="s">
        <v>75</v>
      </c>
      <c r="ABH29" s="15" t="s">
        <v>75</v>
      </c>
      <c r="ABI29" s="15" t="s">
        <v>75</v>
      </c>
      <c r="ABJ29" s="15" t="s">
        <v>75</v>
      </c>
      <c r="ABK29" s="15" t="s">
        <v>75</v>
      </c>
      <c r="ABL29" s="15" t="s">
        <v>75</v>
      </c>
      <c r="ABM29" s="15" t="s">
        <v>75</v>
      </c>
      <c r="ABN29" s="15" t="s">
        <v>75</v>
      </c>
      <c r="ABO29" s="15" t="s">
        <v>75</v>
      </c>
      <c r="ABP29" s="15" t="s">
        <v>75</v>
      </c>
      <c r="ABQ29" s="15" t="s">
        <v>75</v>
      </c>
      <c r="ABR29" s="15" t="s">
        <v>75</v>
      </c>
      <c r="ABS29" s="15" t="s">
        <v>75</v>
      </c>
      <c r="ABT29" s="15" t="s">
        <v>75</v>
      </c>
      <c r="ABU29" s="15" t="s">
        <v>75</v>
      </c>
      <c r="ABV29" s="15" t="s">
        <v>75</v>
      </c>
      <c r="ABW29" s="15" t="s">
        <v>75</v>
      </c>
      <c r="ABX29" s="15" t="s">
        <v>75</v>
      </c>
      <c r="ABY29" s="15" t="s">
        <v>75</v>
      </c>
      <c r="ABZ29" s="15" t="s">
        <v>75</v>
      </c>
      <c r="ACA29" s="15" t="s">
        <v>75</v>
      </c>
      <c r="ACB29" s="15" t="s">
        <v>75</v>
      </c>
      <c r="ACC29" s="15" t="s">
        <v>75</v>
      </c>
      <c r="ACD29" s="15" t="s">
        <v>75</v>
      </c>
      <c r="ACE29" s="15" t="s">
        <v>75</v>
      </c>
      <c r="ACF29" s="15" t="s">
        <v>75</v>
      </c>
      <c r="ACG29" s="15" t="s">
        <v>75</v>
      </c>
      <c r="ACH29" s="15" t="s">
        <v>75</v>
      </c>
      <c r="ACI29" s="15" t="s">
        <v>75</v>
      </c>
      <c r="ACJ29" s="15" t="s">
        <v>75</v>
      </c>
      <c r="ACK29" s="15" t="s">
        <v>75</v>
      </c>
      <c r="ACL29" s="15" t="s">
        <v>75</v>
      </c>
      <c r="ACM29" s="15" t="s">
        <v>75</v>
      </c>
      <c r="ACN29" s="15" t="s">
        <v>75</v>
      </c>
      <c r="ACO29" s="15" t="s">
        <v>75</v>
      </c>
      <c r="ACP29" s="15" t="s">
        <v>75</v>
      </c>
      <c r="ACQ29" s="15" t="s">
        <v>75</v>
      </c>
      <c r="ACR29" s="15" t="s">
        <v>75</v>
      </c>
      <c r="ACS29" s="15" t="s">
        <v>75</v>
      </c>
      <c r="ACT29" s="15" t="s">
        <v>75</v>
      </c>
      <c r="ACU29" s="15" t="s">
        <v>75</v>
      </c>
      <c r="ACV29" s="15" t="s">
        <v>75</v>
      </c>
      <c r="ACW29" s="15" t="s">
        <v>75</v>
      </c>
      <c r="ACX29" s="15" t="s">
        <v>75</v>
      </c>
      <c r="ACY29" s="15" t="s">
        <v>75</v>
      </c>
      <c r="ACZ29" s="15" t="s">
        <v>75</v>
      </c>
      <c r="ADA29" s="15" t="s">
        <v>75</v>
      </c>
      <c r="ADB29" s="15" t="s">
        <v>75</v>
      </c>
      <c r="ADC29" s="15" t="s">
        <v>75</v>
      </c>
      <c r="ADD29" s="15" t="s">
        <v>75</v>
      </c>
      <c r="ADE29" s="15" t="s">
        <v>75</v>
      </c>
      <c r="ADF29" s="15" t="s">
        <v>75</v>
      </c>
      <c r="ADG29" s="15" t="s">
        <v>75</v>
      </c>
      <c r="ADH29" s="15"/>
      <c r="ADI29" s="20" t="s">
        <v>75</v>
      </c>
      <c r="ADJ29" s="20" t="s">
        <v>75</v>
      </c>
      <c r="ADK29" s="20" t="s">
        <v>75</v>
      </c>
      <c r="ADL29" s="20" t="s">
        <v>75</v>
      </c>
      <c r="ADM29" s="20" t="s">
        <v>75</v>
      </c>
      <c r="ADN29" s="20" t="s">
        <v>75</v>
      </c>
      <c r="ADO29" s="20" t="s">
        <v>75</v>
      </c>
      <c r="ADP29" s="20" t="s">
        <v>75</v>
      </c>
      <c r="ADQ29" s="20" t="s">
        <v>75</v>
      </c>
      <c r="ADR29" s="15" t="s">
        <v>75</v>
      </c>
      <c r="ADS29" s="15" t="s">
        <v>75</v>
      </c>
      <c r="ADT29" s="15" t="s">
        <v>75</v>
      </c>
      <c r="ADU29" s="15" t="s">
        <v>75</v>
      </c>
      <c r="ADV29" s="15" t="s">
        <v>75</v>
      </c>
      <c r="ADW29" s="15" t="s">
        <v>75</v>
      </c>
      <c r="ADX29" s="15" t="s">
        <v>75</v>
      </c>
      <c r="ADY29" s="15" t="s">
        <v>75</v>
      </c>
      <c r="ADZ29" s="15" t="s">
        <v>75</v>
      </c>
      <c r="AEA29" s="15" t="s">
        <v>75</v>
      </c>
      <c r="AEB29" s="15" t="s">
        <v>75</v>
      </c>
      <c r="AEC29" s="15" t="s">
        <v>75</v>
      </c>
      <c r="AED29" s="15" t="s">
        <v>75</v>
      </c>
      <c r="AEE29" s="15" t="s">
        <v>75</v>
      </c>
      <c r="AEF29" s="15" t="s">
        <v>75</v>
      </c>
      <c r="AEG29" s="15" t="s">
        <v>75</v>
      </c>
      <c r="AEH29" s="15" t="s">
        <v>75</v>
      </c>
      <c r="AEI29" s="15" t="s">
        <v>75</v>
      </c>
      <c r="AEJ29" s="15" t="s">
        <v>75</v>
      </c>
      <c r="AEK29" s="15" t="s">
        <v>75</v>
      </c>
      <c r="AEL29" s="15" t="s">
        <v>75</v>
      </c>
      <c r="AEM29" s="15" t="s">
        <v>75</v>
      </c>
      <c r="AEN29" s="15" t="s">
        <v>75</v>
      </c>
      <c r="AEO29" s="15" t="s">
        <v>75</v>
      </c>
      <c r="AEP29" s="15" t="s">
        <v>75</v>
      </c>
      <c r="AEQ29" s="15" t="s">
        <v>75</v>
      </c>
      <c r="AER29" s="15" t="s">
        <v>75</v>
      </c>
      <c r="AES29" s="15" t="s">
        <v>75</v>
      </c>
      <c r="AET29" s="15" t="s">
        <v>75</v>
      </c>
      <c r="AEU29" s="15" t="s">
        <v>75</v>
      </c>
      <c r="AEV29" s="15" t="s">
        <v>75</v>
      </c>
      <c r="AEW29" s="15" t="s">
        <v>75</v>
      </c>
      <c r="AEX29" s="15" t="s">
        <v>75</v>
      </c>
      <c r="AEY29" s="15" t="s">
        <v>75</v>
      </c>
      <c r="AEZ29" s="15" t="s">
        <v>75</v>
      </c>
      <c r="AFA29" s="15" t="s">
        <v>75</v>
      </c>
      <c r="AFB29" s="15" t="s">
        <v>75</v>
      </c>
      <c r="AFC29" s="15" t="s">
        <v>75</v>
      </c>
      <c r="AFD29" s="15" t="s">
        <v>75</v>
      </c>
      <c r="AFE29" s="15" t="s">
        <v>75</v>
      </c>
      <c r="AFF29" s="15" t="s">
        <v>75</v>
      </c>
      <c r="AFG29" s="15" t="s">
        <v>75</v>
      </c>
      <c r="AFH29" s="15" t="s">
        <v>75</v>
      </c>
      <c r="AFI29" s="15" t="s">
        <v>75</v>
      </c>
      <c r="AFJ29" s="15" t="s">
        <v>75</v>
      </c>
      <c r="AFK29" s="15" t="s">
        <v>75</v>
      </c>
      <c r="AFL29" s="15" t="s">
        <v>75</v>
      </c>
      <c r="AFM29" s="15" t="s">
        <v>75</v>
      </c>
      <c r="AFN29" s="15" t="s">
        <v>75</v>
      </c>
      <c r="AFO29" s="15" t="s">
        <v>75</v>
      </c>
      <c r="AFP29" s="15" t="s">
        <v>75</v>
      </c>
      <c r="AFQ29" s="15" t="s">
        <v>75</v>
      </c>
      <c r="AFR29" s="15"/>
      <c r="AFS29" s="15" t="s">
        <v>75</v>
      </c>
      <c r="AFT29" s="15" t="s">
        <v>75</v>
      </c>
      <c r="AFU29" s="15" t="s">
        <v>75</v>
      </c>
      <c r="AFV29" s="15" t="s">
        <v>75</v>
      </c>
      <c r="AFW29" s="15" t="s">
        <v>75</v>
      </c>
      <c r="AFX29" s="15" t="s">
        <v>75</v>
      </c>
      <c r="AFY29" s="15" t="s">
        <v>75</v>
      </c>
      <c r="AFZ29" s="15" t="s">
        <v>75</v>
      </c>
      <c r="AGA29" s="15" t="s">
        <v>75</v>
      </c>
      <c r="AGB29" s="15" t="s">
        <v>75</v>
      </c>
      <c r="AGC29" s="15" t="s">
        <v>75</v>
      </c>
      <c r="AGD29" s="15" t="s">
        <v>75</v>
      </c>
      <c r="AGE29" s="15" t="s">
        <v>75</v>
      </c>
      <c r="AGF29" s="15" t="s">
        <v>75</v>
      </c>
      <c r="AGG29" s="15" t="s">
        <v>75</v>
      </c>
      <c r="AGH29" s="15" t="s">
        <v>75</v>
      </c>
      <c r="AGI29" s="15" t="s">
        <v>75</v>
      </c>
      <c r="AGJ29" s="15" t="s">
        <v>75</v>
      </c>
      <c r="AGK29" s="15" t="s">
        <v>75</v>
      </c>
      <c r="AGL29" s="15" t="s">
        <v>75</v>
      </c>
      <c r="AGM29" s="15" t="s">
        <v>75</v>
      </c>
      <c r="AGN29" s="15" t="s">
        <v>75</v>
      </c>
      <c r="AGO29" s="15" t="s">
        <v>75</v>
      </c>
      <c r="AGP29" s="15" t="s">
        <v>75</v>
      </c>
      <c r="AGQ29" s="15" t="s">
        <v>75</v>
      </c>
      <c r="AGR29" s="15" t="s">
        <v>75</v>
      </c>
      <c r="AGS29" s="15" t="s">
        <v>75</v>
      </c>
      <c r="AGT29" s="15" t="s">
        <v>75</v>
      </c>
      <c r="AGU29" s="15" t="s">
        <v>75</v>
      </c>
      <c r="AGV29" s="15" t="s">
        <v>75</v>
      </c>
      <c r="AGW29" s="15" t="s">
        <v>75</v>
      </c>
      <c r="AGX29" s="15" t="s">
        <v>75</v>
      </c>
      <c r="AGY29" s="15" t="s">
        <v>75</v>
      </c>
      <c r="AGZ29" s="15" t="s">
        <v>75</v>
      </c>
      <c r="AHA29" s="15" t="s">
        <v>75</v>
      </c>
      <c r="AHB29" s="15" t="s">
        <v>75</v>
      </c>
      <c r="AHC29" s="15" t="s">
        <v>75</v>
      </c>
      <c r="AHD29" s="15" t="s">
        <v>75</v>
      </c>
      <c r="AHE29" s="15" t="s">
        <v>75</v>
      </c>
      <c r="AHF29" s="15" t="s">
        <v>75</v>
      </c>
      <c r="AHG29" s="15" t="s">
        <v>75</v>
      </c>
      <c r="AHH29" s="15" t="s">
        <v>75</v>
      </c>
      <c r="AHI29" s="15" t="s">
        <v>75</v>
      </c>
      <c r="AHJ29" s="15" t="s">
        <v>75</v>
      </c>
      <c r="AHK29" s="15" t="s">
        <v>75</v>
      </c>
      <c r="AHL29" s="15" t="s">
        <v>75</v>
      </c>
      <c r="AHM29" s="15" t="s">
        <v>75</v>
      </c>
      <c r="AHN29" s="15" t="s">
        <v>75</v>
      </c>
      <c r="AHO29" s="15" t="s">
        <v>75</v>
      </c>
      <c r="AHP29" s="15" t="s">
        <v>75</v>
      </c>
      <c r="AHQ29" s="15" t="s">
        <v>75</v>
      </c>
      <c r="AHR29" s="15" t="s">
        <v>75</v>
      </c>
      <c r="AHS29" s="15" t="s">
        <v>75</v>
      </c>
      <c r="AHT29" s="15" t="s">
        <v>75</v>
      </c>
      <c r="AHU29" s="15" t="s">
        <v>75</v>
      </c>
      <c r="AHV29" s="15" t="s">
        <v>75</v>
      </c>
      <c r="AHW29" s="15" t="s">
        <v>75</v>
      </c>
      <c r="AHX29" s="15" t="s">
        <v>75</v>
      </c>
      <c r="AHY29" s="15" t="s">
        <v>75</v>
      </c>
      <c r="AHZ29" s="15" t="s">
        <v>75</v>
      </c>
      <c r="AIA29" s="15" t="s">
        <v>75</v>
      </c>
      <c r="AIB29" s="15" t="s">
        <v>75</v>
      </c>
      <c r="AIC29" s="15" t="s">
        <v>75</v>
      </c>
      <c r="AID29" s="15" t="s">
        <v>75</v>
      </c>
      <c r="AIE29" s="15" t="s">
        <v>75</v>
      </c>
      <c r="AIF29" s="15" t="s">
        <v>75</v>
      </c>
      <c r="AIG29" s="15" t="s">
        <v>75</v>
      </c>
      <c r="AIH29" s="15" t="s">
        <v>75</v>
      </c>
      <c r="AII29" s="15" t="s">
        <v>75</v>
      </c>
      <c r="AIJ29" s="15" t="s">
        <v>75</v>
      </c>
      <c r="AIK29" s="15" t="s">
        <v>75</v>
      </c>
      <c r="AIL29" s="15" t="s">
        <v>75</v>
      </c>
      <c r="AIM29" s="15" t="s">
        <v>75</v>
      </c>
      <c r="AIN29" s="15" t="s">
        <v>75</v>
      </c>
      <c r="AIO29" s="15" t="s">
        <v>75</v>
      </c>
      <c r="AIP29" s="15" t="s">
        <v>75</v>
      </c>
      <c r="AIQ29" s="15" t="s">
        <v>75</v>
      </c>
      <c r="AIR29" s="15" t="s">
        <v>75</v>
      </c>
      <c r="AIS29" s="15" t="s">
        <v>75</v>
      </c>
      <c r="AIT29" s="15" t="s">
        <v>75</v>
      </c>
      <c r="AIU29" s="15" t="s">
        <v>75</v>
      </c>
      <c r="AIV29" s="15" t="s">
        <v>75</v>
      </c>
      <c r="AIW29" s="15" t="s">
        <v>75</v>
      </c>
      <c r="AIX29" s="15" t="s">
        <v>75</v>
      </c>
      <c r="AIY29" s="15" t="s">
        <v>75</v>
      </c>
      <c r="AIZ29" s="15" t="s">
        <v>75</v>
      </c>
      <c r="AJA29" s="15" t="s">
        <v>75</v>
      </c>
      <c r="AJB29" s="15" t="s">
        <v>75</v>
      </c>
      <c r="AJC29" s="15" t="s">
        <v>75</v>
      </c>
      <c r="AJD29" s="15" t="s">
        <v>75</v>
      </c>
      <c r="AJE29" s="15" t="s">
        <v>75</v>
      </c>
      <c r="AJF29" s="15"/>
      <c r="AJG29" s="15" t="s">
        <v>102</v>
      </c>
      <c r="AJH29" s="15" t="s">
        <v>102</v>
      </c>
      <c r="AJI29" s="15" t="s">
        <v>102</v>
      </c>
      <c r="AJJ29" s="15" t="s">
        <v>102</v>
      </c>
      <c r="AJK29" s="15" t="s">
        <v>102</v>
      </c>
      <c r="AJL29" s="15" t="s">
        <v>102</v>
      </c>
      <c r="AJM29" s="15" t="s">
        <v>102</v>
      </c>
      <c r="AJN29" s="15"/>
      <c r="AJO29" s="15" t="s">
        <v>102</v>
      </c>
      <c r="AJP29" s="15" t="s">
        <v>102</v>
      </c>
      <c r="AJQ29" s="15" t="s">
        <v>102</v>
      </c>
      <c r="AJR29" s="15" t="s">
        <v>102</v>
      </c>
      <c r="AJS29" s="15" t="s">
        <v>102</v>
      </c>
      <c r="AJT29" s="15" t="s">
        <v>102</v>
      </c>
      <c r="AJU29" s="15" t="s">
        <v>102</v>
      </c>
      <c r="AJV29" s="15" t="s">
        <v>102</v>
      </c>
      <c r="AJW29" s="15" t="s">
        <v>102</v>
      </c>
      <c r="AJX29" s="15"/>
      <c r="AJY29" s="15" t="s">
        <v>102</v>
      </c>
      <c r="AJZ29" s="15" t="s">
        <v>102</v>
      </c>
      <c r="AKA29" s="15" t="s">
        <v>102</v>
      </c>
      <c r="AKB29" s="15" t="s">
        <v>102</v>
      </c>
      <c r="AKC29" s="15" t="s">
        <v>102</v>
      </c>
      <c r="AKD29" s="15" t="s">
        <v>102</v>
      </c>
      <c r="AKE29" s="15" t="s">
        <v>102</v>
      </c>
      <c r="AKF29" s="15" t="s">
        <v>102</v>
      </c>
      <c r="AKG29" s="15" t="s">
        <v>102</v>
      </c>
      <c r="AKH29" s="15" t="s">
        <v>102</v>
      </c>
      <c r="AKI29" s="15"/>
      <c r="AKJ29" s="20" t="s">
        <v>75</v>
      </c>
      <c r="AKK29" s="20" t="s">
        <v>75</v>
      </c>
      <c r="AKL29" s="20" t="s">
        <v>75</v>
      </c>
      <c r="AKM29" s="20" t="s">
        <v>75</v>
      </c>
      <c r="AKN29" s="20" t="s">
        <v>75</v>
      </c>
      <c r="AKO29" s="20" t="s">
        <v>75</v>
      </c>
      <c r="AKP29" s="20" t="s">
        <v>75</v>
      </c>
      <c r="AKQ29" s="20" t="s">
        <v>75</v>
      </c>
      <c r="AKR29" s="20" t="s">
        <v>75</v>
      </c>
      <c r="AKS29" s="20" t="s">
        <v>75</v>
      </c>
      <c r="AKT29" s="20" t="s">
        <v>75</v>
      </c>
      <c r="AKU29" s="20" t="s">
        <v>75</v>
      </c>
      <c r="AKV29" s="20" t="s">
        <v>75</v>
      </c>
      <c r="AKW29" s="20" t="s">
        <v>75</v>
      </c>
      <c r="AKX29" s="15"/>
      <c r="AKY29" s="20" t="s">
        <v>75</v>
      </c>
      <c r="AKZ29" s="20" t="s">
        <v>75</v>
      </c>
      <c r="ALA29" s="20" t="s">
        <v>75</v>
      </c>
      <c r="ALB29" s="20" t="s">
        <v>75</v>
      </c>
      <c r="ALC29" s="20" t="s">
        <v>75</v>
      </c>
      <c r="ALD29" s="20" t="s">
        <v>75</v>
      </c>
      <c r="ALE29" s="20" t="s">
        <v>75</v>
      </c>
      <c r="ALF29" s="20" t="s">
        <v>75</v>
      </c>
      <c r="ALG29" s="20" t="s">
        <v>75</v>
      </c>
      <c r="ALH29" s="20" t="s">
        <v>75</v>
      </c>
      <c r="ALI29" s="20" t="s">
        <v>75</v>
      </c>
      <c r="ALJ29" s="20" t="s">
        <v>75</v>
      </c>
      <c r="ALK29" s="20" t="s">
        <v>75</v>
      </c>
      <c r="ALL29" s="20" t="s">
        <v>75</v>
      </c>
      <c r="ALM29" s="15"/>
      <c r="ALN29" s="20" t="s">
        <v>75</v>
      </c>
      <c r="ALO29" s="20" t="s">
        <v>75</v>
      </c>
      <c r="ALP29" s="20" t="s">
        <v>75</v>
      </c>
      <c r="ALQ29" s="20" t="s">
        <v>75</v>
      </c>
      <c r="ALR29" s="20" t="s">
        <v>75</v>
      </c>
      <c r="ALS29" s="20" t="s">
        <v>75</v>
      </c>
      <c r="ALT29" s="20" t="s">
        <v>75</v>
      </c>
      <c r="ALU29" s="20" t="s">
        <v>75</v>
      </c>
      <c r="ALV29" s="20" t="s">
        <v>75</v>
      </c>
      <c r="ALW29" s="15" t="s">
        <v>75</v>
      </c>
      <c r="ALX29" s="15" t="s">
        <v>75</v>
      </c>
      <c r="ALY29" s="15" t="s">
        <v>75</v>
      </c>
      <c r="ALZ29" s="15" t="s">
        <v>75</v>
      </c>
      <c r="AMA29" s="15" t="s">
        <v>75</v>
      </c>
      <c r="AMB29" s="15" t="s">
        <v>75</v>
      </c>
      <c r="AMC29" s="15"/>
      <c r="AMD29" s="15" t="s">
        <v>75</v>
      </c>
      <c r="AME29" s="15" t="s">
        <v>75</v>
      </c>
      <c r="AMF29" s="15" t="s">
        <v>75</v>
      </c>
      <c r="AMG29" s="15" t="s">
        <v>75</v>
      </c>
      <c r="AMH29" s="15" t="s">
        <v>75</v>
      </c>
      <c r="AMI29" s="15" t="s">
        <v>75</v>
      </c>
      <c r="AMJ29" s="15" t="s">
        <v>75</v>
      </c>
      <c r="AMK29" s="15" t="s">
        <v>75</v>
      </c>
      <c r="AML29" s="15" t="s">
        <v>75</v>
      </c>
      <c r="AMM29" s="15" t="s">
        <v>75</v>
      </c>
      <c r="AMN29" s="15" t="s">
        <v>75</v>
      </c>
      <c r="AMO29" s="15" t="s">
        <v>75</v>
      </c>
      <c r="AMP29" s="15" t="s">
        <v>75</v>
      </c>
      <c r="AMQ29" s="15" t="s">
        <v>75</v>
      </c>
      <c r="AMR29" s="15" t="s">
        <v>75</v>
      </c>
      <c r="AMS29" s="15" t="s">
        <v>75</v>
      </c>
      <c r="AMT29" s="15" t="s">
        <v>75</v>
      </c>
      <c r="AMU29" s="15" t="s">
        <v>75</v>
      </c>
      <c r="AMV29" s="15" t="s">
        <v>75</v>
      </c>
      <c r="AMW29" s="15" t="s">
        <v>75</v>
      </c>
      <c r="AMX29" s="15" t="s">
        <v>75</v>
      </c>
      <c r="AMY29" s="15" t="s">
        <v>75</v>
      </c>
      <c r="AMZ29" s="15" t="s">
        <v>75</v>
      </c>
      <c r="ANA29" s="15" t="s">
        <v>75</v>
      </c>
      <c r="ANB29" s="15" t="s">
        <v>75</v>
      </c>
      <c r="ANC29" s="15" t="s">
        <v>75</v>
      </c>
      <c r="AND29" s="15" t="s">
        <v>75</v>
      </c>
      <c r="ANE29" s="15"/>
      <c r="ANF29" s="15"/>
      <c r="ANG29" s="15"/>
      <c r="ANH29" s="15"/>
      <c r="ANI29" s="15"/>
      <c r="ANJ29" s="15"/>
      <c r="ANK29" s="15"/>
      <c r="ANL29" s="15"/>
      <c r="ANM29" s="15"/>
      <c r="ANN29" s="15"/>
      <c r="ANO29" s="15"/>
      <c r="ANP29" s="15"/>
      <c r="ANQ29" s="15"/>
      <c r="ANR29" s="15"/>
      <c r="ANS29" s="15"/>
      <c r="ANT29" s="15"/>
      <c r="ANU29" s="15"/>
      <c r="ANV29" s="15"/>
      <c r="ANW29" s="15"/>
      <c r="ANX29" s="15"/>
      <c r="ANY29" s="15"/>
      <c r="ANZ29" s="15"/>
      <c r="AOA29" s="15"/>
      <c r="AOB29" s="15"/>
      <c r="AOC29" s="15"/>
      <c r="AOD29" s="15"/>
      <c r="AOE29" s="15"/>
      <c r="AOF29" s="15"/>
      <c r="AOG29" s="15"/>
      <c r="AOH29" s="15"/>
      <c r="AOI29" s="15"/>
      <c r="AOJ29" s="15"/>
      <c r="AOK29" s="15"/>
      <c r="AOL29" s="15"/>
      <c r="AOM29" s="15"/>
      <c r="AON29" s="15"/>
      <c r="AOO29" s="15"/>
      <c r="AOP29" s="15"/>
      <c r="AOQ29" s="15"/>
      <c r="AOR29" s="15"/>
      <c r="AOS29" s="15"/>
      <c r="AOT29" s="15"/>
      <c r="AOU29" s="15"/>
      <c r="AOV29" s="15"/>
      <c r="AOW29" s="15"/>
      <c r="AOX29" s="15"/>
      <c r="AOY29" s="15"/>
      <c r="AOZ29" s="15"/>
      <c r="APA29" s="15"/>
      <c r="APB29" s="15"/>
      <c r="APC29" s="15"/>
      <c r="APD29" s="15"/>
      <c r="APE29" s="15"/>
      <c r="APF29" s="15"/>
      <c r="APG29" s="15"/>
      <c r="APH29" s="15"/>
      <c r="API29" s="15"/>
      <c r="APJ29" s="15"/>
      <c r="APK29" s="15"/>
      <c r="APL29" s="15"/>
      <c r="APM29" s="15"/>
      <c r="APN29" s="15"/>
      <c r="APO29" s="15"/>
      <c r="APP29" s="15"/>
      <c r="APQ29" s="15"/>
      <c r="APR29" s="15"/>
      <c r="APS29" s="15"/>
      <c r="APT29" s="15"/>
      <c r="APU29" s="15"/>
      <c r="APV29" s="15"/>
      <c r="APW29" s="15"/>
      <c r="APX29" s="15"/>
      <c r="APY29" s="15"/>
      <c r="APZ29" s="15"/>
      <c r="AQA29" s="15"/>
      <c r="AQB29" s="15"/>
    </row>
    <row r="30" spans="1:1120" s="17" customFormat="1" ht="15" customHeight="1" x14ac:dyDescent="0.25">
      <c r="A30" s="3" t="s">
        <v>2</v>
      </c>
      <c r="B30" s="6" t="s">
        <v>35</v>
      </c>
      <c r="C30" s="19"/>
      <c r="D30" s="19" t="s">
        <v>76</v>
      </c>
      <c r="E30" s="19" t="s">
        <v>76</v>
      </c>
      <c r="F30" s="19" t="s">
        <v>76</v>
      </c>
      <c r="G30" s="19" t="s">
        <v>76</v>
      </c>
      <c r="H30" s="19" t="s">
        <v>76</v>
      </c>
      <c r="I30" s="19" t="s">
        <v>76</v>
      </c>
      <c r="J30" s="19"/>
      <c r="K30" s="19" t="s">
        <v>76</v>
      </c>
      <c r="L30" s="19" t="s">
        <v>76</v>
      </c>
      <c r="M30" s="19" t="s">
        <v>76</v>
      </c>
      <c r="N30" s="19" t="s">
        <v>76</v>
      </c>
      <c r="O30" s="19" t="s">
        <v>76</v>
      </c>
      <c r="P30" s="19" t="s">
        <v>76</v>
      </c>
      <c r="Q30" s="19"/>
      <c r="R30" s="19" t="s">
        <v>76</v>
      </c>
      <c r="S30" s="19" t="s">
        <v>76</v>
      </c>
      <c r="T30" s="19" t="s">
        <v>76</v>
      </c>
      <c r="U30" s="19" t="s">
        <v>76</v>
      </c>
      <c r="V30" s="19" t="s">
        <v>76</v>
      </c>
      <c r="W30" s="19" t="s">
        <v>76</v>
      </c>
      <c r="X30" s="19"/>
      <c r="Y30" s="19" t="s">
        <v>76</v>
      </c>
      <c r="Z30" s="19" t="s">
        <v>76</v>
      </c>
      <c r="AA30" s="19" t="s">
        <v>76</v>
      </c>
      <c r="AB30" s="19" t="s">
        <v>76</v>
      </c>
      <c r="AC30" s="19" t="s">
        <v>76</v>
      </c>
      <c r="AD30" s="19" t="s">
        <v>76</v>
      </c>
      <c r="AE30" s="19"/>
      <c r="AF30" s="19" t="s">
        <v>76</v>
      </c>
      <c r="AG30" s="19" t="s">
        <v>76</v>
      </c>
      <c r="AH30" s="19" t="s">
        <v>76</v>
      </c>
      <c r="AI30" s="19" t="s">
        <v>76</v>
      </c>
      <c r="AJ30" s="19" t="s">
        <v>76</v>
      </c>
      <c r="AK30" s="19" t="s">
        <v>76</v>
      </c>
      <c r="AL30" s="19"/>
      <c r="AM30" s="19" t="s">
        <v>76</v>
      </c>
      <c r="AN30" s="19" t="s">
        <v>76</v>
      </c>
      <c r="AO30" s="19" t="s">
        <v>76</v>
      </c>
      <c r="AP30" s="19" t="s">
        <v>76</v>
      </c>
      <c r="AQ30" s="19" t="s">
        <v>76</v>
      </c>
      <c r="AR30" s="19" t="s">
        <v>76</v>
      </c>
      <c r="AS30" s="19" t="s">
        <v>76</v>
      </c>
      <c r="AT30" s="19" t="s">
        <v>76</v>
      </c>
      <c r="AU30" s="19" t="s">
        <v>76</v>
      </c>
      <c r="AV30" s="19" t="s">
        <v>76</v>
      </c>
      <c r="AW30" s="19" t="s">
        <v>76</v>
      </c>
      <c r="AX30" s="19" t="s">
        <v>76</v>
      </c>
      <c r="AY30" s="19" t="s">
        <v>76</v>
      </c>
      <c r="AZ30" s="19" t="s">
        <v>76</v>
      </c>
      <c r="BA30" s="19" t="s">
        <v>76</v>
      </c>
      <c r="BB30" s="19" t="s">
        <v>76</v>
      </c>
      <c r="BC30" s="19" t="s">
        <v>76</v>
      </c>
      <c r="BD30" s="19" t="s">
        <v>76</v>
      </c>
      <c r="BE30" s="19" t="s">
        <v>76</v>
      </c>
      <c r="BF30" s="19" t="s">
        <v>76</v>
      </c>
      <c r="BG30" s="19" t="s">
        <v>76</v>
      </c>
      <c r="BH30" s="19" t="s">
        <v>76</v>
      </c>
      <c r="BI30" s="19" t="s">
        <v>76</v>
      </c>
      <c r="BJ30" s="19" t="s">
        <v>76</v>
      </c>
      <c r="BK30" s="19" t="s">
        <v>76</v>
      </c>
      <c r="BL30" s="19" t="s">
        <v>76</v>
      </c>
      <c r="BM30" s="19" t="s">
        <v>76</v>
      </c>
      <c r="BN30" s="19" t="s">
        <v>76</v>
      </c>
      <c r="BO30" s="19" t="s">
        <v>76</v>
      </c>
      <c r="BP30" s="19" t="s">
        <v>76</v>
      </c>
      <c r="BQ30" s="19" t="s">
        <v>76</v>
      </c>
      <c r="BR30" s="19" t="s">
        <v>76</v>
      </c>
      <c r="BS30" s="19" t="s">
        <v>76</v>
      </c>
      <c r="BT30" s="19" t="s">
        <v>76</v>
      </c>
      <c r="BU30" s="19" t="s">
        <v>76</v>
      </c>
      <c r="BV30" s="19" t="s">
        <v>76</v>
      </c>
      <c r="BW30" s="19" t="s">
        <v>76</v>
      </c>
      <c r="BX30" s="19" t="s">
        <v>76</v>
      </c>
      <c r="BY30" s="19" t="s">
        <v>76</v>
      </c>
      <c r="BZ30" s="19" t="s">
        <v>76</v>
      </c>
      <c r="CA30" s="19" t="s">
        <v>76</v>
      </c>
      <c r="CB30" s="19" t="s">
        <v>76</v>
      </c>
      <c r="CC30" s="19" t="s">
        <v>76</v>
      </c>
      <c r="CD30" s="19" t="s">
        <v>76</v>
      </c>
      <c r="CE30" s="19" t="s">
        <v>76</v>
      </c>
      <c r="CF30" s="19" t="s">
        <v>76</v>
      </c>
      <c r="CG30" s="19" t="s">
        <v>76</v>
      </c>
      <c r="CH30" s="19" t="s">
        <v>76</v>
      </c>
      <c r="CI30" s="19" t="s">
        <v>76</v>
      </c>
      <c r="CJ30" s="19" t="s">
        <v>76</v>
      </c>
      <c r="CK30" s="19" t="s">
        <v>76</v>
      </c>
      <c r="CL30" s="19" t="s">
        <v>76</v>
      </c>
      <c r="CM30" s="19" t="s">
        <v>76</v>
      </c>
      <c r="CN30" s="19" t="s">
        <v>76</v>
      </c>
      <c r="CO30" s="19" t="s">
        <v>76</v>
      </c>
      <c r="CP30" s="19" t="s">
        <v>76</v>
      </c>
      <c r="CQ30" s="19" t="s">
        <v>76</v>
      </c>
      <c r="CR30" s="19" t="s">
        <v>76</v>
      </c>
      <c r="CS30" s="19" t="s">
        <v>76</v>
      </c>
      <c r="CT30" s="19" t="s">
        <v>76</v>
      </c>
      <c r="CU30" s="19" t="s">
        <v>76</v>
      </c>
      <c r="CV30" s="19" t="s">
        <v>76</v>
      </c>
      <c r="CW30" s="19" t="s">
        <v>76</v>
      </c>
      <c r="CX30" s="19" t="s">
        <v>76</v>
      </c>
      <c r="CY30" s="19" t="s">
        <v>76</v>
      </c>
      <c r="CZ30" s="19" t="s">
        <v>76</v>
      </c>
      <c r="DA30" s="19" t="s">
        <v>76</v>
      </c>
      <c r="DB30" s="19" t="s">
        <v>76</v>
      </c>
      <c r="DC30" s="19" t="s">
        <v>76</v>
      </c>
      <c r="DD30" s="19" t="s">
        <v>76</v>
      </c>
      <c r="DE30" s="19" t="s">
        <v>76</v>
      </c>
      <c r="DF30" s="19" t="s">
        <v>76</v>
      </c>
      <c r="DG30" s="19" t="s">
        <v>76</v>
      </c>
      <c r="DH30" s="19" t="s">
        <v>76</v>
      </c>
      <c r="DI30" s="19" t="s">
        <v>76</v>
      </c>
      <c r="DJ30" s="19" t="s">
        <v>76</v>
      </c>
      <c r="DK30" s="19" t="s">
        <v>76</v>
      </c>
      <c r="DL30" s="19" t="s">
        <v>76</v>
      </c>
      <c r="DM30" s="19" t="s">
        <v>76</v>
      </c>
      <c r="DN30" s="19" t="s">
        <v>76</v>
      </c>
      <c r="DO30" s="19" t="s">
        <v>76</v>
      </c>
      <c r="DP30" s="19" t="s">
        <v>76</v>
      </c>
      <c r="DQ30" s="19" t="s">
        <v>76</v>
      </c>
      <c r="DR30" s="19" t="s">
        <v>76</v>
      </c>
      <c r="DS30" s="19" t="s">
        <v>76</v>
      </c>
      <c r="DT30" s="19" t="s">
        <v>76</v>
      </c>
      <c r="DU30" s="19" t="s">
        <v>76</v>
      </c>
      <c r="DV30" s="19" t="s">
        <v>76</v>
      </c>
      <c r="DW30" s="19" t="s">
        <v>76</v>
      </c>
      <c r="DX30" s="19" t="s">
        <v>76</v>
      </c>
      <c r="DY30" s="19" t="s">
        <v>76</v>
      </c>
      <c r="DZ30" s="19" t="s">
        <v>76</v>
      </c>
      <c r="EA30" s="19" t="s">
        <v>76</v>
      </c>
      <c r="EB30" s="19" t="s">
        <v>76</v>
      </c>
      <c r="EC30" s="19" t="s">
        <v>76</v>
      </c>
      <c r="ED30" s="19" t="s">
        <v>76</v>
      </c>
      <c r="EE30" s="19" t="s">
        <v>76</v>
      </c>
      <c r="EF30" s="19" t="s">
        <v>76</v>
      </c>
      <c r="EG30" s="19" t="s">
        <v>76</v>
      </c>
      <c r="EH30" s="19" t="s">
        <v>76</v>
      </c>
      <c r="EI30" s="19" t="s">
        <v>76</v>
      </c>
      <c r="EJ30" s="19" t="s">
        <v>76</v>
      </c>
      <c r="EK30" s="19" t="s">
        <v>76</v>
      </c>
      <c r="EL30" s="19" t="s">
        <v>76</v>
      </c>
      <c r="EM30" s="19" t="s">
        <v>76</v>
      </c>
      <c r="EN30" s="19" t="s">
        <v>76</v>
      </c>
      <c r="EO30" s="19" t="s">
        <v>76</v>
      </c>
      <c r="EP30" s="19" t="s">
        <v>76</v>
      </c>
      <c r="EQ30" s="19" t="s">
        <v>76</v>
      </c>
      <c r="ER30" s="19" t="s">
        <v>76</v>
      </c>
      <c r="ES30" s="19" t="s">
        <v>76</v>
      </c>
      <c r="ET30" s="19" t="s">
        <v>76</v>
      </c>
      <c r="EU30" s="19" t="s">
        <v>76</v>
      </c>
      <c r="EV30" s="19" t="s">
        <v>76</v>
      </c>
      <c r="EW30" s="19" t="s">
        <v>76</v>
      </c>
      <c r="EX30" s="19" t="s">
        <v>76</v>
      </c>
      <c r="EY30" s="19" t="s">
        <v>76</v>
      </c>
      <c r="EZ30" s="19" t="s">
        <v>76</v>
      </c>
      <c r="FA30" s="19" t="s">
        <v>76</v>
      </c>
      <c r="FB30" s="19" t="s">
        <v>76</v>
      </c>
      <c r="FC30" s="19" t="s">
        <v>76</v>
      </c>
      <c r="FD30" s="19"/>
      <c r="FE30" s="19" t="s">
        <v>76</v>
      </c>
      <c r="FF30" s="19" t="s">
        <v>76</v>
      </c>
      <c r="FG30" s="19" t="s">
        <v>76</v>
      </c>
      <c r="FH30" s="19" t="s">
        <v>76</v>
      </c>
      <c r="FI30" s="19" t="s">
        <v>76</v>
      </c>
      <c r="FJ30" s="19" t="s">
        <v>76</v>
      </c>
      <c r="FK30" s="19" t="s">
        <v>76</v>
      </c>
      <c r="FL30" s="19" t="s">
        <v>76</v>
      </c>
      <c r="FM30" s="19" t="s">
        <v>76</v>
      </c>
      <c r="FN30" s="19" t="s">
        <v>76</v>
      </c>
      <c r="FO30" s="19" t="s">
        <v>76</v>
      </c>
      <c r="FP30" s="19" t="s">
        <v>76</v>
      </c>
      <c r="FQ30" s="19" t="s">
        <v>76</v>
      </c>
      <c r="FR30" s="19" t="s">
        <v>76</v>
      </c>
      <c r="FS30" s="19" t="s">
        <v>76</v>
      </c>
      <c r="FT30" s="19" t="s">
        <v>76</v>
      </c>
      <c r="FU30" s="19" t="s">
        <v>76</v>
      </c>
      <c r="FV30" s="19" t="s">
        <v>76</v>
      </c>
      <c r="FW30" s="19" t="s">
        <v>76</v>
      </c>
      <c r="FX30" s="19" t="s">
        <v>76</v>
      </c>
      <c r="FY30" s="19" t="s">
        <v>76</v>
      </c>
      <c r="FZ30" s="19" t="s">
        <v>76</v>
      </c>
      <c r="GA30" s="19" t="s">
        <v>76</v>
      </c>
      <c r="GB30" s="19" t="s">
        <v>76</v>
      </c>
      <c r="GC30" s="19" t="s">
        <v>76</v>
      </c>
      <c r="GD30" s="19" t="s">
        <v>76</v>
      </c>
      <c r="GE30" s="19" t="s">
        <v>76</v>
      </c>
      <c r="GF30" s="19" t="s">
        <v>76</v>
      </c>
      <c r="GG30" s="19" t="s">
        <v>76</v>
      </c>
      <c r="GH30" s="19" t="s">
        <v>76</v>
      </c>
      <c r="GI30" s="19" t="s">
        <v>76</v>
      </c>
      <c r="GJ30" s="19" t="s">
        <v>76</v>
      </c>
      <c r="GK30" s="19" t="s">
        <v>76</v>
      </c>
      <c r="GL30" s="19" t="s">
        <v>76</v>
      </c>
      <c r="GM30" s="19" t="s">
        <v>76</v>
      </c>
      <c r="GN30" s="19" t="s">
        <v>76</v>
      </c>
      <c r="GO30" s="19" t="s">
        <v>76</v>
      </c>
      <c r="GP30" s="19" t="s">
        <v>76</v>
      </c>
      <c r="GQ30" s="19" t="s">
        <v>76</v>
      </c>
      <c r="GR30" s="19" t="s">
        <v>76</v>
      </c>
      <c r="GS30" s="19" t="s">
        <v>76</v>
      </c>
      <c r="GT30" s="19" t="s">
        <v>76</v>
      </c>
      <c r="GU30" s="19" t="s">
        <v>76</v>
      </c>
      <c r="GV30" s="19" t="s">
        <v>76</v>
      </c>
      <c r="GW30" s="19" t="s">
        <v>76</v>
      </c>
      <c r="GX30" s="19" t="s">
        <v>76</v>
      </c>
      <c r="GY30" s="19" t="s">
        <v>76</v>
      </c>
      <c r="GZ30" s="19" t="s">
        <v>76</v>
      </c>
      <c r="HA30" s="19" t="s">
        <v>76</v>
      </c>
      <c r="HB30" s="19" t="s">
        <v>76</v>
      </c>
      <c r="HC30" s="19" t="s">
        <v>76</v>
      </c>
      <c r="HD30" s="19" t="s">
        <v>76</v>
      </c>
      <c r="HE30" s="19" t="s">
        <v>76</v>
      </c>
      <c r="HF30" s="19" t="s">
        <v>76</v>
      </c>
      <c r="HG30" s="19" t="s">
        <v>76</v>
      </c>
      <c r="HH30" s="19" t="s">
        <v>76</v>
      </c>
      <c r="HI30" s="19" t="s">
        <v>76</v>
      </c>
      <c r="HJ30" s="19" t="s">
        <v>76</v>
      </c>
      <c r="HK30" s="19" t="s">
        <v>76</v>
      </c>
      <c r="HL30" s="19" t="s">
        <v>76</v>
      </c>
      <c r="HM30" s="19" t="s">
        <v>76</v>
      </c>
      <c r="HN30" s="19" t="s">
        <v>76</v>
      </c>
      <c r="HO30" s="19" t="s">
        <v>76</v>
      </c>
      <c r="HP30" s="19" t="s">
        <v>76</v>
      </c>
      <c r="HQ30" s="19" t="s">
        <v>76</v>
      </c>
      <c r="HR30" s="19" t="s">
        <v>76</v>
      </c>
      <c r="HS30" s="19" t="s">
        <v>76</v>
      </c>
      <c r="HT30" s="19" t="s">
        <v>76</v>
      </c>
      <c r="HU30" s="19" t="s">
        <v>76</v>
      </c>
      <c r="HV30" s="19" t="s">
        <v>76</v>
      </c>
      <c r="HW30" s="19" t="s">
        <v>76</v>
      </c>
      <c r="HX30" s="19" t="s">
        <v>76</v>
      </c>
      <c r="HY30" s="19" t="s">
        <v>76</v>
      </c>
      <c r="HZ30" s="19" t="s">
        <v>76</v>
      </c>
      <c r="IA30" s="19" t="s">
        <v>76</v>
      </c>
      <c r="IB30" s="19"/>
      <c r="IC30" s="19" t="s">
        <v>76</v>
      </c>
      <c r="ID30" s="19" t="s">
        <v>76</v>
      </c>
      <c r="IE30" s="19" t="s">
        <v>76</v>
      </c>
      <c r="IF30" s="19" t="s">
        <v>76</v>
      </c>
      <c r="IG30" s="19" t="s">
        <v>76</v>
      </c>
      <c r="IH30" s="19" t="s">
        <v>76</v>
      </c>
      <c r="II30" s="19" t="s">
        <v>76</v>
      </c>
      <c r="IJ30" s="19" t="s">
        <v>76</v>
      </c>
      <c r="IK30" s="19"/>
      <c r="IL30" s="19" t="s">
        <v>76</v>
      </c>
      <c r="IM30" s="19" t="s">
        <v>76</v>
      </c>
      <c r="IN30" s="19" t="s">
        <v>76</v>
      </c>
      <c r="IO30" s="19" t="s">
        <v>76</v>
      </c>
      <c r="IP30" s="19" t="s">
        <v>76</v>
      </c>
      <c r="IQ30" s="19" t="s">
        <v>76</v>
      </c>
      <c r="IR30" s="19" t="s">
        <v>76</v>
      </c>
      <c r="IS30" s="15" t="s">
        <v>223</v>
      </c>
      <c r="IT30" s="15" t="s">
        <v>223</v>
      </c>
      <c r="IU30" s="15" t="s">
        <v>223</v>
      </c>
      <c r="IV30" s="15" t="s">
        <v>223</v>
      </c>
      <c r="IW30" s="15" t="s">
        <v>223</v>
      </c>
      <c r="IX30" s="15" t="s">
        <v>223</v>
      </c>
      <c r="IY30" s="15" t="s">
        <v>223</v>
      </c>
      <c r="IZ30" s="15" t="s">
        <v>223</v>
      </c>
      <c r="JA30" s="15" t="s">
        <v>223</v>
      </c>
      <c r="JB30" s="15" t="s">
        <v>223</v>
      </c>
      <c r="JC30" s="15" t="s">
        <v>223</v>
      </c>
      <c r="JD30" s="15" t="s">
        <v>223</v>
      </c>
      <c r="JE30" s="15" t="s">
        <v>223</v>
      </c>
      <c r="JF30" s="20" t="s">
        <v>203</v>
      </c>
      <c r="JG30" s="15" t="s">
        <v>223</v>
      </c>
      <c r="JH30" s="20" t="s">
        <v>203</v>
      </c>
      <c r="JI30" s="20" t="s">
        <v>76</v>
      </c>
      <c r="JJ30" s="20" t="s">
        <v>203</v>
      </c>
      <c r="JK30" s="20" t="s">
        <v>205</v>
      </c>
      <c r="JL30" s="20" t="s">
        <v>223</v>
      </c>
      <c r="JM30" s="20" t="s">
        <v>203</v>
      </c>
      <c r="JN30" s="15" t="s">
        <v>223</v>
      </c>
      <c r="JO30" s="15" t="s">
        <v>223</v>
      </c>
      <c r="JP30" s="15" t="s">
        <v>223</v>
      </c>
      <c r="JQ30" s="15" t="s">
        <v>223</v>
      </c>
      <c r="JR30" s="15" t="s">
        <v>223</v>
      </c>
      <c r="JS30" s="15" t="s">
        <v>223</v>
      </c>
      <c r="JT30" s="15" t="s">
        <v>223</v>
      </c>
      <c r="JU30" s="15" t="s">
        <v>223</v>
      </c>
      <c r="JV30" s="15" t="s">
        <v>223</v>
      </c>
      <c r="JW30" s="20" t="s">
        <v>76</v>
      </c>
      <c r="JX30" s="20" t="s">
        <v>76</v>
      </c>
      <c r="JY30" s="20" t="s">
        <v>76</v>
      </c>
      <c r="JZ30" s="20" t="s">
        <v>76</v>
      </c>
      <c r="KA30" s="20" t="s">
        <v>76</v>
      </c>
      <c r="KB30" s="20" t="s">
        <v>76</v>
      </c>
      <c r="KC30" s="20" t="s">
        <v>76</v>
      </c>
      <c r="KD30" s="20" t="s">
        <v>76</v>
      </c>
      <c r="KE30" s="20" t="s">
        <v>203</v>
      </c>
      <c r="KF30" s="20" t="s">
        <v>203</v>
      </c>
      <c r="KG30" s="20" t="s">
        <v>203</v>
      </c>
      <c r="KH30" s="20" t="s">
        <v>203</v>
      </c>
      <c r="KI30" s="20" t="s">
        <v>203</v>
      </c>
      <c r="KJ30" s="20" t="s">
        <v>203</v>
      </c>
      <c r="KK30" s="20" t="s">
        <v>205</v>
      </c>
      <c r="KL30" s="20" t="s">
        <v>205</v>
      </c>
      <c r="KM30" s="20" t="s">
        <v>76</v>
      </c>
      <c r="KN30" s="20" t="s">
        <v>76</v>
      </c>
      <c r="KO30" s="20" t="s">
        <v>76</v>
      </c>
      <c r="KP30" s="20" t="s">
        <v>76</v>
      </c>
      <c r="KQ30" s="20" t="s">
        <v>76</v>
      </c>
      <c r="KR30" s="20" t="s">
        <v>76</v>
      </c>
      <c r="KS30" s="20" t="s">
        <v>76</v>
      </c>
      <c r="KT30" s="20" t="s">
        <v>76</v>
      </c>
      <c r="KU30" s="20" t="s">
        <v>76</v>
      </c>
      <c r="KV30" s="20" t="s">
        <v>76</v>
      </c>
      <c r="KW30" s="20" t="s">
        <v>76</v>
      </c>
      <c r="KX30" s="20" t="s">
        <v>76</v>
      </c>
      <c r="KY30" s="20" t="s">
        <v>76</v>
      </c>
      <c r="KZ30" s="20" t="s">
        <v>76</v>
      </c>
      <c r="LA30" s="20" t="s">
        <v>76</v>
      </c>
      <c r="LB30" s="20" t="s">
        <v>76</v>
      </c>
      <c r="LC30" s="20" t="s">
        <v>76</v>
      </c>
      <c r="LD30" s="20" t="s">
        <v>76</v>
      </c>
      <c r="LE30" s="20" t="s">
        <v>76</v>
      </c>
      <c r="LF30" s="20" t="s">
        <v>76</v>
      </c>
      <c r="LG30" s="20" t="s">
        <v>76</v>
      </c>
      <c r="LH30" s="20" t="s">
        <v>76</v>
      </c>
      <c r="LI30" s="20" t="s">
        <v>76</v>
      </c>
      <c r="LJ30" s="20" t="s">
        <v>76</v>
      </c>
      <c r="LK30" s="20" t="s">
        <v>76</v>
      </c>
      <c r="LL30" s="20" t="s">
        <v>76</v>
      </c>
      <c r="LM30" s="20" t="s">
        <v>76</v>
      </c>
      <c r="LN30" s="20" t="s">
        <v>76</v>
      </c>
      <c r="LO30" s="20" t="s">
        <v>76</v>
      </c>
      <c r="LP30" s="20" t="s">
        <v>76</v>
      </c>
      <c r="LQ30" s="15" t="s">
        <v>223</v>
      </c>
      <c r="LR30" s="15" t="s">
        <v>223</v>
      </c>
      <c r="LS30" s="15" t="s">
        <v>223</v>
      </c>
      <c r="LT30" s="15" t="s">
        <v>223</v>
      </c>
      <c r="LU30" s="20" t="s">
        <v>205</v>
      </c>
      <c r="LV30" s="20" t="s">
        <v>203</v>
      </c>
      <c r="LW30" s="20" t="s">
        <v>223</v>
      </c>
      <c r="LX30" s="20" t="s">
        <v>76</v>
      </c>
      <c r="LY30" s="20" t="s">
        <v>223</v>
      </c>
      <c r="LZ30" s="20" t="s">
        <v>223</v>
      </c>
      <c r="MA30" s="15" t="s">
        <v>223</v>
      </c>
      <c r="MB30" s="15" t="s">
        <v>223</v>
      </c>
      <c r="MC30" s="15" t="s">
        <v>223</v>
      </c>
      <c r="MD30" s="20" t="s">
        <v>223</v>
      </c>
      <c r="ME30" s="20" t="s">
        <v>76</v>
      </c>
      <c r="MF30" s="15" t="s">
        <v>223</v>
      </c>
      <c r="MG30" s="15" t="s">
        <v>223</v>
      </c>
      <c r="MH30" s="15" t="s">
        <v>223</v>
      </c>
      <c r="MI30" s="15" t="s">
        <v>223</v>
      </c>
      <c r="MJ30" s="15" t="s">
        <v>223</v>
      </c>
      <c r="MK30" s="15" t="s">
        <v>223</v>
      </c>
      <c r="ML30" s="15" t="s">
        <v>223</v>
      </c>
      <c r="MM30" s="15" t="s">
        <v>223</v>
      </c>
      <c r="MN30" s="15" t="s">
        <v>223</v>
      </c>
      <c r="MO30" s="15" t="s">
        <v>223</v>
      </c>
      <c r="MP30" s="15" t="s">
        <v>223</v>
      </c>
      <c r="MQ30" s="15" t="s">
        <v>223</v>
      </c>
      <c r="MR30" s="15" t="s">
        <v>223</v>
      </c>
      <c r="MS30" s="15" t="s">
        <v>223</v>
      </c>
      <c r="MT30" s="15" t="s">
        <v>223</v>
      </c>
      <c r="MU30" s="15" t="s">
        <v>223</v>
      </c>
      <c r="MV30" s="15" t="s">
        <v>223</v>
      </c>
      <c r="MW30" s="15" t="s">
        <v>223</v>
      </c>
      <c r="MX30" s="15" t="s">
        <v>223</v>
      </c>
      <c r="MY30" s="15" t="s">
        <v>223</v>
      </c>
      <c r="MZ30" s="15" t="s">
        <v>223</v>
      </c>
      <c r="NA30" s="15" t="s">
        <v>223</v>
      </c>
      <c r="NB30" s="15" t="s">
        <v>223</v>
      </c>
      <c r="NC30" s="15" t="s">
        <v>223</v>
      </c>
      <c r="ND30" s="15" t="s">
        <v>223</v>
      </c>
      <c r="NE30" s="15" t="s">
        <v>223</v>
      </c>
      <c r="NF30" s="15" t="s">
        <v>223</v>
      </c>
      <c r="NG30" s="15" t="s">
        <v>223</v>
      </c>
      <c r="NH30" s="15" t="s">
        <v>223</v>
      </c>
      <c r="NI30" s="15" t="s">
        <v>223</v>
      </c>
      <c r="NJ30" s="15" t="s">
        <v>223</v>
      </c>
      <c r="NK30" s="15" t="s">
        <v>223</v>
      </c>
      <c r="NL30" s="15" t="s">
        <v>223</v>
      </c>
      <c r="NM30" s="20" t="s">
        <v>76</v>
      </c>
      <c r="NN30" s="20" t="s">
        <v>76</v>
      </c>
      <c r="NO30" s="15" t="s">
        <v>76</v>
      </c>
      <c r="NP30" s="15" t="s">
        <v>76</v>
      </c>
      <c r="NQ30" s="15" t="s">
        <v>76</v>
      </c>
      <c r="NR30" s="20" t="s">
        <v>203</v>
      </c>
      <c r="NS30" s="20" t="s">
        <v>203</v>
      </c>
      <c r="NT30" s="15" t="s">
        <v>76</v>
      </c>
      <c r="NU30" s="20" t="s">
        <v>76</v>
      </c>
      <c r="NV30" s="20" t="s">
        <v>76</v>
      </c>
      <c r="NW30" s="20" t="s">
        <v>76</v>
      </c>
      <c r="NX30" s="20" t="s">
        <v>76</v>
      </c>
      <c r="NY30" s="20" t="s">
        <v>76</v>
      </c>
      <c r="NZ30" s="20" t="s">
        <v>203</v>
      </c>
      <c r="OA30" s="20" t="s">
        <v>76</v>
      </c>
      <c r="OB30" s="15" t="s">
        <v>76</v>
      </c>
      <c r="OC30" s="15" t="s">
        <v>76</v>
      </c>
      <c r="OD30" s="20" t="s">
        <v>76</v>
      </c>
      <c r="OE30" s="20" t="s">
        <v>76</v>
      </c>
      <c r="OF30" s="20" t="s">
        <v>76</v>
      </c>
      <c r="OG30" s="20" t="s">
        <v>76</v>
      </c>
      <c r="OH30" s="20" t="s">
        <v>223</v>
      </c>
      <c r="OI30" s="20" t="s">
        <v>203</v>
      </c>
      <c r="OJ30" s="20" t="s">
        <v>205</v>
      </c>
      <c r="OK30" s="20" t="s">
        <v>76</v>
      </c>
      <c r="OL30" s="20" t="s">
        <v>76</v>
      </c>
      <c r="OM30" s="20" t="s">
        <v>203</v>
      </c>
      <c r="ON30" s="20" t="s">
        <v>203</v>
      </c>
      <c r="OO30" s="20" t="s">
        <v>203</v>
      </c>
      <c r="OP30" s="20" t="s">
        <v>203</v>
      </c>
      <c r="OQ30" s="20" t="s">
        <v>223</v>
      </c>
      <c r="OR30" s="20" t="s">
        <v>76</v>
      </c>
      <c r="OS30" s="20" t="s">
        <v>205</v>
      </c>
      <c r="OT30" s="20" t="s">
        <v>203</v>
      </c>
      <c r="OU30" s="20" t="s">
        <v>203</v>
      </c>
      <c r="OV30" s="20" t="s">
        <v>76</v>
      </c>
      <c r="OW30" s="20" t="s">
        <v>76</v>
      </c>
      <c r="OX30" s="20" t="s">
        <v>76</v>
      </c>
      <c r="OY30" s="20" t="s">
        <v>76</v>
      </c>
      <c r="OZ30" s="20" t="s">
        <v>76</v>
      </c>
      <c r="PA30" s="20" t="s">
        <v>76</v>
      </c>
      <c r="PB30" s="20" t="s">
        <v>76</v>
      </c>
      <c r="PC30" s="20" t="s">
        <v>76</v>
      </c>
      <c r="PD30" s="20" t="s">
        <v>76</v>
      </c>
      <c r="PE30" s="20" t="s">
        <v>76</v>
      </c>
      <c r="PF30" s="20" t="s">
        <v>76</v>
      </c>
      <c r="PG30" s="20" t="s">
        <v>76</v>
      </c>
      <c r="PH30" s="20" t="s">
        <v>76</v>
      </c>
      <c r="PI30" s="20" t="s">
        <v>76</v>
      </c>
      <c r="PJ30" s="20" t="s">
        <v>76</v>
      </c>
      <c r="PK30" s="20" t="s">
        <v>76</v>
      </c>
      <c r="PL30" s="20" t="s">
        <v>76</v>
      </c>
      <c r="PM30" s="20" t="s">
        <v>223</v>
      </c>
      <c r="PN30" s="20" t="s">
        <v>76</v>
      </c>
      <c r="PO30" s="20" t="s">
        <v>76</v>
      </c>
      <c r="PP30" s="20" t="s">
        <v>203</v>
      </c>
      <c r="PQ30" s="20" t="s">
        <v>205</v>
      </c>
      <c r="PR30" s="20" t="s">
        <v>76</v>
      </c>
      <c r="PS30" s="20" t="s">
        <v>223</v>
      </c>
      <c r="PT30" s="20" t="s">
        <v>76</v>
      </c>
      <c r="PU30" s="20" t="s">
        <v>203</v>
      </c>
      <c r="PV30" s="20" t="s">
        <v>203</v>
      </c>
      <c r="PW30" s="20" t="s">
        <v>205</v>
      </c>
      <c r="PX30" s="20" t="s">
        <v>203</v>
      </c>
      <c r="PY30" s="15" t="s">
        <v>76</v>
      </c>
      <c r="PZ30" s="15" t="s">
        <v>76</v>
      </c>
      <c r="QA30" s="15" t="s">
        <v>76</v>
      </c>
      <c r="QB30" s="15" t="s">
        <v>76</v>
      </c>
      <c r="QC30" s="15" t="s">
        <v>76</v>
      </c>
      <c r="QD30" s="20" t="s">
        <v>203</v>
      </c>
      <c r="QE30" s="20" t="s">
        <v>203</v>
      </c>
      <c r="QF30" s="20" t="s">
        <v>203</v>
      </c>
      <c r="QG30" s="20" t="s">
        <v>203</v>
      </c>
      <c r="QH30" s="15" t="s">
        <v>76</v>
      </c>
      <c r="QI30" s="20" t="s">
        <v>76</v>
      </c>
      <c r="QJ30" s="15" t="s">
        <v>76</v>
      </c>
      <c r="QK30" s="20" t="s">
        <v>203</v>
      </c>
      <c r="QL30" s="20" t="s">
        <v>203</v>
      </c>
      <c r="QM30" s="20" t="s">
        <v>203</v>
      </c>
      <c r="QN30" s="15" t="s">
        <v>76</v>
      </c>
      <c r="QO30" s="15" t="s">
        <v>76</v>
      </c>
      <c r="QP30" s="15" t="s">
        <v>76</v>
      </c>
      <c r="QQ30" s="15" t="s">
        <v>76</v>
      </c>
      <c r="QR30" s="15" t="s">
        <v>76</v>
      </c>
      <c r="QS30" s="15" t="s">
        <v>76</v>
      </c>
      <c r="QT30" s="15" t="s">
        <v>76</v>
      </c>
      <c r="QU30" s="15" t="s">
        <v>76</v>
      </c>
      <c r="QV30" s="15" t="s">
        <v>76</v>
      </c>
      <c r="QW30" s="15" t="s">
        <v>76</v>
      </c>
      <c r="QX30" s="15" t="s">
        <v>76</v>
      </c>
      <c r="QY30" s="15" t="s">
        <v>76</v>
      </c>
      <c r="QZ30" s="15" t="s">
        <v>76</v>
      </c>
      <c r="RA30" s="15" t="s">
        <v>76</v>
      </c>
      <c r="RB30" s="15" t="s">
        <v>76</v>
      </c>
      <c r="RC30" s="15" t="s">
        <v>76</v>
      </c>
      <c r="RD30" s="15" t="s">
        <v>76</v>
      </c>
      <c r="RE30" s="15" t="s">
        <v>76</v>
      </c>
      <c r="RF30" s="15" t="s">
        <v>76</v>
      </c>
      <c r="RG30" s="15" t="s">
        <v>76</v>
      </c>
      <c r="RH30" s="15" t="s">
        <v>76</v>
      </c>
      <c r="RI30" s="15" t="s">
        <v>76</v>
      </c>
      <c r="RJ30" s="15" t="s">
        <v>76</v>
      </c>
      <c r="RK30" s="15" t="s">
        <v>76</v>
      </c>
      <c r="RL30" s="15" t="s">
        <v>76</v>
      </c>
      <c r="RM30" s="15" t="s">
        <v>76</v>
      </c>
      <c r="RN30" s="15" t="s">
        <v>76</v>
      </c>
      <c r="RO30" s="15" t="s">
        <v>76</v>
      </c>
      <c r="RP30" s="15" t="s">
        <v>76</v>
      </c>
      <c r="RQ30" s="15" t="s">
        <v>76</v>
      </c>
      <c r="RR30" s="15" t="s">
        <v>76</v>
      </c>
      <c r="RS30" s="19"/>
      <c r="RT30" s="19" t="s">
        <v>76</v>
      </c>
      <c r="RU30" s="19" t="s">
        <v>76</v>
      </c>
      <c r="RV30" s="19" t="s">
        <v>76</v>
      </c>
      <c r="RW30" s="19" t="s">
        <v>76</v>
      </c>
      <c r="RX30" s="19" t="s">
        <v>76</v>
      </c>
      <c r="RY30" s="19" t="s">
        <v>76</v>
      </c>
      <c r="RZ30" s="19" t="s">
        <v>76</v>
      </c>
      <c r="SA30" s="20" t="s">
        <v>76</v>
      </c>
      <c r="SB30" s="20" t="s">
        <v>76</v>
      </c>
      <c r="SC30" s="15" t="s">
        <v>76</v>
      </c>
      <c r="SD30" s="20" t="s">
        <v>76</v>
      </c>
      <c r="SE30" s="20" t="s">
        <v>76</v>
      </c>
      <c r="SF30" s="20" t="s">
        <v>76</v>
      </c>
      <c r="SG30" s="20" t="s">
        <v>76</v>
      </c>
      <c r="SH30" s="20" t="s">
        <v>76</v>
      </c>
      <c r="SI30" s="20" t="s">
        <v>203</v>
      </c>
      <c r="SJ30" s="20" t="s">
        <v>76</v>
      </c>
      <c r="SK30" s="15" t="s">
        <v>76</v>
      </c>
      <c r="SL30" s="15" t="s">
        <v>76</v>
      </c>
      <c r="SM30" s="20" t="s">
        <v>76</v>
      </c>
      <c r="SN30" s="20" t="s">
        <v>76</v>
      </c>
      <c r="SO30" s="20" t="s">
        <v>76</v>
      </c>
      <c r="SP30" s="20" t="s">
        <v>76</v>
      </c>
      <c r="SQ30" s="20" t="s">
        <v>223</v>
      </c>
      <c r="SR30" s="20" t="s">
        <v>203</v>
      </c>
      <c r="SS30" s="20" t="s">
        <v>205</v>
      </c>
      <c r="ST30" s="20" t="s">
        <v>76</v>
      </c>
      <c r="SU30" s="20" t="s">
        <v>76</v>
      </c>
      <c r="SV30" s="20" t="s">
        <v>203</v>
      </c>
      <c r="SW30" s="20" t="s">
        <v>203</v>
      </c>
      <c r="SX30" s="20" t="s">
        <v>203</v>
      </c>
      <c r="SY30" s="20" t="s">
        <v>203</v>
      </c>
      <c r="SZ30" s="20" t="s">
        <v>223</v>
      </c>
      <c r="TA30" s="20" t="s">
        <v>76</v>
      </c>
      <c r="TB30" s="20" t="s">
        <v>205</v>
      </c>
      <c r="TC30" s="20" t="s">
        <v>203</v>
      </c>
      <c r="TD30" s="20" t="s">
        <v>203</v>
      </c>
      <c r="TE30" s="20" t="s">
        <v>76</v>
      </c>
      <c r="TF30" s="20" t="s">
        <v>76</v>
      </c>
      <c r="TG30" s="20" t="s">
        <v>76</v>
      </c>
      <c r="TH30" s="20" t="s">
        <v>76</v>
      </c>
      <c r="TI30" s="20" t="s">
        <v>76</v>
      </c>
      <c r="TJ30" s="20" t="s">
        <v>76</v>
      </c>
      <c r="TK30" s="20" t="s">
        <v>76</v>
      </c>
      <c r="TL30" s="20" t="s">
        <v>76</v>
      </c>
      <c r="TM30" s="20" t="s">
        <v>76</v>
      </c>
      <c r="TN30" s="20" t="s">
        <v>76</v>
      </c>
      <c r="TO30" s="20" t="s">
        <v>76</v>
      </c>
      <c r="TP30" s="20" t="s">
        <v>76</v>
      </c>
      <c r="TQ30" s="20" t="s">
        <v>76</v>
      </c>
      <c r="TR30" s="20" t="s">
        <v>76</v>
      </c>
      <c r="TS30" s="20" t="s">
        <v>76</v>
      </c>
      <c r="TT30" s="20" t="s">
        <v>76</v>
      </c>
      <c r="TU30" s="20" t="s">
        <v>223</v>
      </c>
      <c r="TV30" s="20" t="s">
        <v>76</v>
      </c>
      <c r="TW30" s="20" t="s">
        <v>76</v>
      </c>
      <c r="TX30" s="20" t="s">
        <v>203</v>
      </c>
      <c r="TY30" s="20" t="s">
        <v>205</v>
      </c>
      <c r="TZ30" s="20" t="s">
        <v>76</v>
      </c>
      <c r="UA30" s="20" t="s">
        <v>223</v>
      </c>
      <c r="UB30" s="20" t="s">
        <v>76</v>
      </c>
      <c r="UC30" s="20" t="s">
        <v>203</v>
      </c>
      <c r="UD30" s="20" t="s">
        <v>203</v>
      </c>
      <c r="UE30" s="20" t="s">
        <v>205</v>
      </c>
      <c r="UF30" s="20" t="s">
        <v>203</v>
      </c>
      <c r="UG30" s="15" t="s">
        <v>76</v>
      </c>
      <c r="UH30" s="15" t="s">
        <v>76</v>
      </c>
      <c r="UI30" s="15" t="s">
        <v>76</v>
      </c>
      <c r="UJ30" s="15" t="s">
        <v>76</v>
      </c>
      <c r="UK30" s="15" t="s">
        <v>76</v>
      </c>
      <c r="UL30" s="20" t="s">
        <v>203</v>
      </c>
      <c r="UM30" s="20" t="s">
        <v>203</v>
      </c>
      <c r="UN30" s="20" t="s">
        <v>203</v>
      </c>
      <c r="UO30" s="20" t="s">
        <v>203</v>
      </c>
      <c r="UP30" s="15" t="s">
        <v>76</v>
      </c>
      <c r="UQ30" s="20" t="s">
        <v>76</v>
      </c>
      <c r="UR30" s="15" t="s">
        <v>76</v>
      </c>
      <c r="US30" s="20" t="s">
        <v>203</v>
      </c>
      <c r="UT30" s="20" t="s">
        <v>203</v>
      </c>
      <c r="UU30" s="20" t="s">
        <v>203</v>
      </c>
      <c r="UV30" s="15" t="s">
        <v>76</v>
      </c>
      <c r="UW30" s="15" t="s">
        <v>76</v>
      </c>
      <c r="UX30" s="15" t="s">
        <v>76</v>
      </c>
      <c r="UY30" s="15" t="s">
        <v>76</v>
      </c>
      <c r="UZ30" s="15" t="s">
        <v>76</v>
      </c>
      <c r="VA30" s="15" t="s">
        <v>76</v>
      </c>
      <c r="VB30" s="15" t="s">
        <v>76</v>
      </c>
      <c r="VC30" s="15" t="s">
        <v>76</v>
      </c>
      <c r="VD30" s="15" t="s">
        <v>76</v>
      </c>
      <c r="VE30" s="15" t="s">
        <v>76</v>
      </c>
      <c r="VF30" s="15" t="s">
        <v>76</v>
      </c>
      <c r="VG30" s="15" t="s">
        <v>76</v>
      </c>
      <c r="VH30" s="15" t="s">
        <v>76</v>
      </c>
      <c r="VI30" s="15" t="s">
        <v>76</v>
      </c>
      <c r="VJ30" s="15" t="s">
        <v>76</v>
      </c>
      <c r="VK30" s="15" t="s">
        <v>76</v>
      </c>
      <c r="VL30" s="15" t="s">
        <v>76</v>
      </c>
      <c r="VM30" s="15" t="s">
        <v>76</v>
      </c>
      <c r="VN30" s="15" t="s">
        <v>76</v>
      </c>
      <c r="VO30" s="15" t="s">
        <v>76</v>
      </c>
      <c r="VP30" s="15" t="s">
        <v>76</v>
      </c>
      <c r="VQ30" s="15" t="s">
        <v>76</v>
      </c>
      <c r="VR30" s="15" t="s">
        <v>76</v>
      </c>
      <c r="VS30" s="15" t="s">
        <v>76</v>
      </c>
      <c r="VT30" s="15" t="s">
        <v>76</v>
      </c>
      <c r="VU30" s="15" t="s">
        <v>76</v>
      </c>
      <c r="VV30" s="15" t="s">
        <v>76</v>
      </c>
      <c r="VW30" s="15" t="s">
        <v>76</v>
      </c>
      <c r="VX30" s="15" t="s">
        <v>76</v>
      </c>
      <c r="VY30" s="15" t="s">
        <v>76</v>
      </c>
      <c r="VZ30" s="15" t="s">
        <v>76</v>
      </c>
      <c r="WA30" s="15" t="s">
        <v>76</v>
      </c>
      <c r="WB30" s="15" t="s">
        <v>76</v>
      </c>
      <c r="WC30" s="20" t="s">
        <v>76</v>
      </c>
      <c r="WD30" s="20" t="s">
        <v>76</v>
      </c>
      <c r="WE30" s="15" t="s">
        <v>76</v>
      </c>
      <c r="WF30" s="15" t="s">
        <v>76</v>
      </c>
      <c r="WG30" s="15" t="s">
        <v>76</v>
      </c>
      <c r="WH30" s="15" t="s">
        <v>76</v>
      </c>
      <c r="WI30" s="15" t="s">
        <v>76</v>
      </c>
      <c r="WJ30" s="15" t="s">
        <v>76</v>
      </c>
      <c r="WK30" s="15" t="s">
        <v>76</v>
      </c>
      <c r="WL30" s="15" t="s">
        <v>76</v>
      </c>
      <c r="WM30" s="15" t="s">
        <v>76</v>
      </c>
      <c r="WN30" s="15" t="s">
        <v>76</v>
      </c>
      <c r="WO30" s="15" t="s">
        <v>76</v>
      </c>
      <c r="WP30" s="15" t="s">
        <v>76</v>
      </c>
      <c r="WQ30" s="15" t="s">
        <v>76</v>
      </c>
      <c r="WR30" s="15" t="s">
        <v>76</v>
      </c>
      <c r="WS30" s="15" t="s">
        <v>76</v>
      </c>
      <c r="WT30" s="15" t="s">
        <v>76</v>
      </c>
      <c r="WU30" s="20" t="s">
        <v>76</v>
      </c>
      <c r="WV30" s="20" t="s">
        <v>203</v>
      </c>
      <c r="WW30" s="20" t="s">
        <v>203</v>
      </c>
      <c r="WX30" s="20" t="s">
        <v>223</v>
      </c>
      <c r="WY30" s="15" t="s">
        <v>76</v>
      </c>
      <c r="WZ30" s="15" t="s">
        <v>76</v>
      </c>
      <c r="XA30" s="15" t="s">
        <v>76</v>
      </c>
      <c r="XB30" s="15" t="s">
        <v>76</v>
      </c>
      <c r="XC30" s="15" t="s">
        <v>76</v>
      </c>
      <c r="XD30" s="15" t="s">
        <v>76</v>
      </c>
      <c r="XE30" s="15" t="s">
        <v>76</v>
      </c>
      <c r="XF30" s="15" t="s">
        <v>76</v>
      </c>
      <c r="XG30" s="15" t="s">
        <v>76</v>
      </c>
      <c r="XH30" s="15" t="s">
        <v>76</v>
      </c>
      <c r="XI30" s="15" t="s">
        <v>76</v>
      </c>
      <c r="XJ30" s="15" t="s">
        <v>76</v>
      </c>
      <c r="XK30" s="15" t="s">
        <v>76</v>
      </c>
      <c r="XL30" s="15" t="s">
        <v>76</v>
      </c>
      <c r="XM30" s="15" t="s">
        <v>76</v>
      </c>
      <c r="XN30" s="15" t="s">
        <v>76</v>
      </c>
      <c r="XO30" s="15" t="s">
        <v>76</v>
      </c>
      <c r="XP30" s="15" t="s">
        <v>76</v>
      </c>
      <c r="XQ30" s="15" t="s">
        <v>76</v>
      </c>
      <c r="XR30" s="15" t="s">
        <v>76</v>
      </c>
      <c r="XS30" s="15" t="s">
        <v>76</v>
      </c>
      <c r="XT30" s="15" t="s">
        <v>76</v>
      </c>
      <c r="XU30" s="15" t="s">
        <v>76</v>
      </c>
      <c r="XV30" s="15" t="s">
        <v>76</v>
      </c>
      <c r="XW30" s="15" t="s">
        <v>76</v>
      </c>
      <c r="XX30" s="15" t="s">
        <v>76</v>
      </c>
      <c r="XY30" s="15" t="s">
        <v>76</v>
      </c>
      <c r="XZ30" s="15" t="s">
        <v>76</v>
      </c>
      <c r="YA30" s="15" t="s">
        <v>76</v>
      </c>
      <c r="YB30" s="15" t="s">
        <v>76</v>
      </c>
      <c r="YC30" s="15" t="s">
        <v>76</v>
      </c>
      <c r="YD30" s="15" t="s">
        <v>76</v>
      </c>
      <c r="YE30" s="15" t="s">
        <v>76</v>
      </c>
      <c r="YF30" s="20" t="s">
        <v>76</v>
      </c>
      <c r="YG30" s="15" t="s">
        <v>76</v>
      </c>
      <c r="YH30" s="15" t="s">
        <v>76</v>
      </c>
      <c r="YI30" s="15" t="s">
        <v>76</v>
      </c>
      <c r="YJ30" s="15" t="s">
        <v>76</v>
      </c>
      <c r="YK30" s="15" t="s">
        <v>76</v>
      </c>
      <c r="YL30" s="15" t="s">
        <v>76</v>
      </c>
      <c r="YM30" s="15" t="s">
        <v>76</v>
      </c>
      <c r="YN30" s="15" t="s">
        <v>76</v>
      </c>
      <c r="YO30" s="15" t="s">
        <v>76</v>
      </c>
      <c r="YP30" s="15" t="s">
        <v>76</v>
      </c>
      <c r="YQ30" s="15" t="s">
        <v>76</v>
      </c>
      <c r="YR30" s="15" t="s">
        <v>76</v>
      </c>
      <c r="YS30" s="15" t="s">
        <v>76</v>
      </c>
      <c r="YT30" s="15" t="s">
        <v>76</v>
      </c>
      <c r="YU30" s="15" t="s">
        <v>76</v>
      </c>
      <c r="YV30" s="15" t="s">
        <v>76</v>
      </c>
      <c r="YW30" s="15" t="s">
        <v>76</v>
      </c>
      <c r="YX30" s="15" t="s">
        <v>76</v>
      </c>
      <c r="YY30" s="15" t="s">
        <v>76</v>
      </c>
      <c r="YZ30" s="15" t="s">
        <v>76</v>
      </c>
      <c r="ZA30" s="15" t="s">
        <v>76</v>
      </c>
      <c r="ZB30" s="15" t="s">
        <v>76</v>
      </c>
      <c r="ZC30" s="15" t="s">
        <v>76</v>
      </c>
      <c r="ZD30" s="15" t="s">
        <v>76</v>
      </c>
      <c r="ZE30" s="15" t="s">
        <v>76</v>
      </c>
      <c r="ZF30" s="15" t="s">
        <v>76</v>
      </c>
      <c r="ZG30" s="15" t="s">
        <v>76</v>
      </c>
      <c r="ZH30" s="15" t="s">
        <v>76</v>
      </c>
      <c r="ZI30" s="15" t="s">
        <v>76</v>
      </c>
      <c r="ZJ30" s="15" t="s">
        <v>76</v>
      </c>
      <c r="ZK30" s="15" t="s">
        <v>76</v>
      </c>
      <c r="ZL30" s="15" t="s">
        <v>76</v>
      </c>
      <c r="ZM30" s="15" t="s">
        <v>76</v>
      </c>
      <c r="ZN30" s="15" t="s">
        <v>76</v>
      </c>
      <c r="ZO30" s="15" t="s">
        <v>76</v>
      </c>
      <c r="ZP30" s="15" t="s">
        <v>76</v>
      </c>
      <c r="ZQ30" s="15" t="s">
        <v>76</v>
      </c>
      <c r="ZR30" s="15" t="s">
        <v>76</v>
      </c>
      <c r="ZS30" s="15" t="s">
        <v>76</v>
      </c>
      <c r="ZT30" s="15" t="s">
        <v>76</v>
      </c>
      <c r="ZU30" s="15" t="s">
        <v>76</v>
      </c>
      <c r="ZV30" s="15" t="s">
        <v>76</v>
      </c>
      <c r="ZW30" s="15" t="s">
        <v>76</v>
      </c>
      <c r="ZX30" s="15" t="s">
        <v>76</v>
      </c>
      <c r="ZY30" s="15" t="s">
        <v>76</v>
      </c>
      <c r="ZZ30" s="15" t="s">
        <v>76</v>
      </c>
      <c r="AAA30" s="15" t="s">
        <v>76</v>
      </c>
      <c r="AAB30" s="15" t="s">
        <v>76</v>
      </c>
      <c r="AAC30" s="15" t="s">
        <v>76</v>
      </c>
      <c r="AAD30" s="15" t="s">
        <v>76</v>
      </c>
      <c r="AAE30" s="15" t="s">
        <v>76</v>
      </c>
      <c r="AAF30" s="15" t="s">
        <v>76</v>
      </c>
      <c r="AAG30" s="15" t="s">
        <v>76</v>
      </c>
      <c r="AAH30" s="15" t="s">
        <v>76</v>
      </c>
      <c r="AAI30" s="15" t="s">
        <v>76</v>
      </c>
      <c r="AAJ30" s="20" t="s">
        <v>76</v>
      </c>
      <c r="AAK30" s="15" t="s">
        <v>76</v>
      </c>
      <c r="AAL30" s="15"/>
      <c r="AAM30" s="19" t="s">
        <v>76</v>
      </c>
      <c r="AAN30" s="19" t="s">
        <v>76</v>
      </c>
      <c r="AAO30" s="19" t="s">
        <v>76</v>
      </c>
      <c r="AAP30" s="19" t="s">
        <v>76</v>
      </c>
      <c r="AAQ30" s="19" t="s">
        <v>76</v>
      </c>
      <c r="AAR30" s="19" t="s">
        <v>76</v>
      </c>
      <c r="AAS30" s="19" t="s">
        <v>76</v>
      </c>
      <c r="AAT30" s="20" t="s">
        <v>203</v>
      </c>
      <c r="AAU30" s="20" t="s">
        <v>203</v>
      </c>
      <c r="AAV30" s="20" t="s">
        <v>203</v>
      </c>
      <c r="AAW30" s="15" t="s">
        <v>203</v>
      </c>
      <c r="AAX30" s="15"/>
      <c r="AAY30" s="19" t="s">
        <v>76</v>
      </c>
      <c r="AAZ30" s="19" t="s">
        <v>76</v>
      </c>
      <c r="ABA30" s="19" t="s">
        <v>76</v>
      </c>
      <c r="ABB30" s="19" t="s">
        <v>76</v>
      </c>
      <c r="ABC30" s="19" t="s">
        <v>76</v>
      </c>
      <c r="ABD30" s="19" t="s">
        <v>76</v>
      </c>
      <c r="ABE30" s="19" t="s">
        <v>76</v>
      </c>
      <c r="ABF30" s="20" t="s">
        <v>76</v>
      </c>
      <c r="ABG30" s="20" t="s">
        <v>76</v>
      </c>
      <c r="ABH30" s="20" t="s">
        <v>76</v>
      </c>
      <c r="ABI30" s="15" t="s">
        <v>76</v>
      </c>
      <c r="ABJ30" s="15" t="s">
        <v>76</v>
      </c>
      <c r="ABK30" s="15" t="s">
        <v>76</v>
      </c>
      <c r="ABL30" s="15" t="s">
        <v>76</v>
      </c>
      <c r="ABM30" s="15" t="s">
        <v>76</v>
      </c>
      <c r="ABN30" s="15" t="s">
        <v>76</v>
      </c>
      <c r="ABO30" s="15" t="s">
        <v>76</v>
      </c>
      <c r="ABP30" s="15" t="s">
        <v>76</v>
      </c>
      <c r="ABQ30" s="15" t="s">
        <v>76</v>
      </c>
      <c r="ABR30" s="15" t="s">
        <v>76</v>
      </c>
      <c r="ABS30" s="15" t="s">
        <v>76</v>
      </c>
      <c r="ABT30" s="15" t="s">
        <v>76</v>
      </c>
      <c r="ABU30" s="15" t="s">
        <v>76</v>
      </c>
      <c r="ABV30" s="15" t="s">
        <v>76</v>
      </c>
      <c r="ABW30" s="15" t="s">
        <v>76</v>
      </c>
      <c r="ABX30" s="15" t="s">
        <v>76</v>
      </c>
      <c r="ABY30" s="15" t="s">
        <v>76</v>
      </c>
      <c r="ABZ30" s="15" t="s">
        <v>76</v>
      </c>
      <c r="ACA30" s="15" t="s">
        <v>76</v>
      </c>
      <c r="ACB30" s="15" t="s">
        <v>76</v>
      </c>
      <c r="ACC30" s="15" t="s">
        <v>76</v>
      </c>
      <c r="ACD30" s="15" t="s">
        <v>76</v>
      </c>
      <c r="ACE30" s="15" t="s">
        <v>76</v>
      </c>
      <c r="ACF30" s="15" t="s">
        <v>76</v>
      </c>
      <c r="ACG30" s="15" t="s">
        <v>76</v>
      </c>
      <c r="ACH30" s="15" t="s">
        <v>76</v>
      </c>
      <c r="ACI30" s="15" t="s">
        <v>76</v>
      </c>
      <c r="ACJ30" s="15" t="s">
        <v>76</v>
      </c>
      <c r="ACK30" s="15" t="s">
        <v>76</v>
      </c>
      <c r="ACL30" s="15" t="s">
        <v>76</v>
      </c>
      <c r="ACM30" s="15" t="s">
        <v>76</v>
      </c>
      <c r="ACN30" s="15" t="s">
        <v>76</v>
      </c>
      <c r="ACO30" s="15" t="s">
        <v>76</v>
      </c>
      <c r="ACP30" s="15" t="s">
        <v>76</v>
      </c>
      <c r="ACQ30" s="15" t="s">
        <v>76</v>
      </c>
      <c r="ACR30" s="15" t="s">
        <v>76</v>
      </c>
      <c r="ACS30" s="15" t="s">
        <v>76</v>
      </c>
      <c r="ACT30" s="15" t="s">
        <v>76</v>
      </c>
      <c r="ACU30" s="15" t="s">
        <v>76</v>
      </c>
      <c r="ACV30" s="15" t="s">
        <v>76</v>
      </c>
      <c r="ACW30" s="15" t="s">
        <v>76</v>
      </c>
      <c r="ACX30" s="15" t="s">
        <v>76</v>
      </c>
      <c r="ACY30" s="15" t="s">
        <v>76</v>
      </c>
      <c r="ACZ30" s="15" t="s">
        <v>76</v>
      </c>
      <c r="ADA30" s="15" t="s">
        <v>76</v>
      </c>
      <c r="ADB30" s="15" t="s">
        <v>76</v>
      </c>
      <c r="ADC30" s="15" t="s">
        <v>76</v>
      </c>
      <c r="ADD30" s="15" t="s">
        <v>76</v>
      </c>
      <c r="ADE30" s="20" t="s">
        <v>76</v>
      </c>
      <c r="ADF30" s="15" t="s">
        <v>76</v>
      </c>
      <c r="ADG30" s="15" t="s">
        <v>76</v>
      </c>
      <c r="ADH30" s="15"/>
      <c r="ADI30" s="19" t="s">
        <v>76</v>
      </c>
      <c r="ADJ30" s="19" t="s">
        <v>76</v>
      </c>
      <c r="ADK30" s="19" t="s">
        <v>76</v>
      </c>
      <c r="ADL30" s="19" t="s">
        <v>76</v>
      </c>
      <c r="ADM30" s="19" t="s">
        <v>76</v>
      </c>
      <c r="ADN30" s="19" t="s">
        <v>76</v>
      </c>
      <c r="ADO30" s="19" t="s">
        <v>76</v>
      </c>
      <c r="ADP30" s="20" t="s">
        <v>76</v>
      </c>
      <c r="ADQ30" s="20" t="s">
        <v>76</v>
      </c>
      <c r="ADR30" s="20" t="s">
        <v>203</v>
      </c>
      <c r="ADS30" s="15" t="s">
        <v>76</v>
      </c>
      <c r="ADT30" s="15" t="s">
        <v>76</v>
      </c>
      <c r="ADU30" s="15" t="s">
        <v>76</v>
      </c>
      <c r="ADV30" s="15" t="s">
        <v>76</v>
      </c>
      <c r="ADW30" s="15" t="s">
        <v>76</v>
      </c>
      <c r="ADX30" s="15" t="s">
        <v>76</v>
      </c>
      <c r="ADY30" s="15" t="s">
        <v>76</v>
      </c>
      <c r="ADZ30" s="15" t="s">
        <v>76</v>
      </c>
      <c r="AEA30" s="15" t="s">
        <v>76</v>
      </c>
      <c r="AEB30" s="15" t="s">
        <v>76</v>
      </c>
      <c r="AEC30" s="15" t="s">
        <v>76</v>
      </c>
      <c r="AED30" s="15" t="s">
        <v>76</v>
      </c>
      <c r="AEE30" s="15" t="s">
        <v>76</v>
      </c>
      <c r="AEF30" s="15" t="s">
        <v>76</v>
      </c>
      <c r="AEG30" s="15" t="s">
        <v>76</v>
      </c>
      <c r="AEH30" s="15" t="s">
        <v>76</v>
      </c>
      <c r="AEI30" s="15" t="s">
        <v>76</v>
      </c>
      <c r="AEJ30" s="15" t="s">
        <v>76</v>
      </c>
      <c r="AEK30" s="15" t="s">
        <v>76</v>
      </c>
      <c r="AEL30" s="15" t="s">
        <v>76</v>
      </c>
      <c r="AEM30" s="15" t="s">
        <v>76</v>
      </c>
      <c r="AEN30" s="15" t="s">
        <v>76</v>
      </c>
      <c r="AEO30" s="15" t="s">
        <v>76</v>
      </c>
      <c r="AEP30" s="15" t="s">
        <v>76</v>
      </c>
      <c r="AEQ30" s="15" t="s">
        <v>76</v>
      </c>
      <c r="AER30" s="15" t="s">
        <v>76</v>
      </c>
      <c r="AES30" s="15" t="s">
        <v>76</v>
      </c>
      <c r="AET30" s="15" t="s">
        <v>76</v>
      </c>
      <c r="AEU30" s="15" t="s">
        <v>76</v>
      </c>
      <c r="AEV30" s="15" t="s">
        <v>76</v>
      </c>
      <c r="AEW30" s="15" t="s">
        <v>76</v>
      </c>
      <c r="AEX30" s="15" t="s">
        <v>76</v>
      </c>
      <c r="AEY30" s="15" t="s">
        <v>76</v>
      </c>
      <c r="AEZ30" s="15" t="s">
        <v>76</v>
      </c>
      <c r="AFA30" s="15" t="s">
        <v>76</v>
      </c>
      <c r="AFB30" s="15" t="s">
        <v>76</v>
      </c>
      <c r="AFC30" s="15" t="s">
        <v>76</v>
      </c>
      <c r="AFD30" s="15" t="s">
        <v>76</v>
      </c>
      <c r="AFE30" s="15" t="s">
        <v>76</v>
      </c>
      <c r="AFF30" s="15" t="s">
        <v>76</v>
      </c>
      <c r="AFG30" s="15" t="s">
        <v>76</v>
      </c>
      <c r="AFH30" s="15" t="s">
        <v>76</v>
      </c>
      <c r="AFI30" s="15" t="s">
        <v>76</v>
      </c>
      <c r="AFJ30" s="15" t="s">
        <v>76</v>
      </c>
      <c r="AFK30" s="15" t="s">
        <v>76</v>
      </c>
      <c r="AFL30" s="15" t="s">
        <v>76</v>
      </c>
      <c r="AFM30" s="15" t="s">
        <v>76</v>
      </c>
      <c r="AFN30" s="15" t="s">
        <v>76</v>
      </c>
      <c r="AFO30" s="20" t="s">
        <v>203</v>
      </c>
      <c r="AFP30" s="15" t="s">
        <v>76</v>
      </c>
      <c r="AFQ30" s="15" t="s">
        <v>76</v>
      </c>
      <c r="AFR30" s="15"/>
      <c r="AFS30" s="15" t="s">
        <v>76</v>
      </c>
      <c r="AFT30" s="15" t="s">
        <v>76</v>
      </c>
      <c r="AFU30" s="15" t="s">
        <v>76</v>
      </c>
      <c r="AFV30" s="15" t="s">
        <v>76</v>
      </c>
      <c r="AFW30" s="15" t="s">
        <v>76</v>
      </c>
      <c r="AFX30" s="15" t="s">
        <v>76</v>
      </c>
      <c r="AFY30" s="15" t="s">
        <v>76</v>
      </c>
      <c r="AFZ30" s="15" t="s">
        <v>76</v>
      </c>
      <c r="AGA30" s="15" t="s">
        <v>76</v>
      </c>
      <c r="AGB30" s="15" t="s">
        <v>203</v>
      </c>
      <c r="AGC30" s="15" t="s">
        <v>76</v>
      </c>
      <c r="AGD30" s="15" t="s">
        <v>76</v>
      </c>
      <c r="AGE30" s="15" t="s">
        <v>76</v>
      </c>
      <c r="AGF30" s="15" t="s">
        <v>76</v>
      </c>
      <c r="AGG30" s="15" t="s">
        <v>76</v>
      </c>
      <c r="AGH30" s="15" t="s">
        <v>76</v>
      </c>
      <c r="AGI30" s="15" t="s">
        <v>76</v>
      </c>
      <c r="AGJ30" s="15" t="s">
        <v>76</v>
      </c>
      <c r="AGK30" s="15" t="s">
        <v>76</v>
      </c>
      <c r="AGL30" s="15" t="s">
        <v>76</v>
      </c>
      <c r="AGM30" s="15" t="s">
        <v>76</v>
      </c>
      <c r="AGN30" s="15" t="s">
        <v>76</v>
      </c>
      <c r="AGO30" s="15" t="s">
        <v>76</v>
      </c>
      <c r="AGP30" s="15" t="s">
        <v>76</v>
      </c>
      <c r="AGQ30" s="15" t="s">
        <v>76</v>
      </c>
      <c r="AGR30" s="15" t="s">
        <v>76</v>
      </c>
      <c r="AGS30" s="15" t="s">
        <v>76</v>
      </c>
      <c r="AGT30" s="15" t="s">
        <v>76</v>
      </c>
      <c r="AGU30" s="15" t="s">
        <v>76</v>
      </c>
      <c r="AGV30" s="15" t="s">
        <v>76</v>
      </c>
      <c r="AGW30" s="15" t="s">
        <v>76</v>
      </c>
      <c r="AGX30" s="15" t="s">
        <v>76</v>
      </c>
      <c r="AGY30" s="15" t="s">
        <v>76</v>
      </c>
      <c r="AGZ30" s="15" t="s">
        <v>76</v>
      </c>
      <c r="AHA30" s="15" t="s">
        <v>76</v>
      </c>
      <c r="AHB30" s="15" t="s">
        <v>76</v>
      </c>
      <c r="AHC30" s="15" t="s">
        <v>76</v>
      </c>
      <c r="AHD30" s="15" t="s">
        <v>76</v>
      </c>
      <c r="AHE30" s="15" t="s">
        <v>76</v>
      </c>
      <c r="AHF30" s="15" t="s">
        <v>76</v>
      </c>
      <c r="AHG30" s="15" t="s">
        <v>76</v>
      </c>
      <c r="AHH30" s="15" t="s">
        <v>76</v>
      </c>
      <c r="AHI30" s="15" t="s">
        <v>76</v>
      </c>
      <c r="AHJ30" s="15" t="s">
        <v>76</v>
      </c>
      <c r="AHK30" s="15" t="s">
        <v>76</v>
      </c>
      <c r="AHL30" s="15" t="s">
        <v>76</v>
      </c>
      <c r="AHM30" s="15" t="s">
        <v>76</v>
      </c>
      <c r="AHN30" s="15" t="s">
        <v>76</v>
      </c>
      <c r="AHO30" s="15" t="s">
        <v>76</v>
      </c>
      <c r="AHP30" s="15" t="s">
        <v>76</v>
      </c>
      <c r="AHQ30" s="15" t="s">
        <v>76</v>
      </c>
      <c r="AHR30" s="15" t="s">
        <v>76</v>
      </c>
      <c r="AHS30" s="15" t="s">
        <v>76</v>
      </c>
      <c r="AHT30" s="15" t="s">
        <v>76</v>
      </c>
      <c r="AHU30" s="15" t="s">
        <v>76</v>
      </c>
      <c r="AHV30" s="15" t="s">
        <v>76</v>
      </c>
      <c r="AHW30" s="15" t="s">
        <v>76</v>
      </c>
      <c r="AHX30" s="15" t="s">
        <v>76</v>
      </c>
      <c r="AHY30" s="15" t="s">
        <v>76</v>
      </c>
      <c r="AHZ30" s="15" t="s">
        <v>76</v>
      </c>
      <c r="AIA30" s="15" t="s">
        <v>76</v>
      </c>
      <c r="AIB30" s="15" t="s">
        <v>76</v>
      </c>
      <c r="AIC30" s="15" t="s">
        <v>76</v>
      </c>
      <c r="AID30" s="15" t="s">
        <v>76</v>
      </c>
      <c r="AIE30" s="15" t="s">
        <v>76</v>
      </c>
      <c r="AIF30" s="15" t="s">
        <v>76</v>
      </c>
      <c r="AIG30" s="15" t="s">
        <v>76</v>
      </c>
      <c r="AIH30" s="15" t="s">
        <v>76</v>
      </c>
      <c r="AII30" s="15" t="s">
        <v>76</v>
      </c>
      <c r="AIJ30" s="15" t="s">
        <v>76</v>
      </c>
      <c r="AIK30" s="15" t="s">
        <v>76</v>
      </c>
      <c r="AIL30" s="15" t="s">
        <v>76</v>
      </c>
      <c r="AIM30" s="15" t="s">
        <v>76</v>
      </c>
      <c r="AIN30" s="15" t="s">
        <v>76</v>
      </c>
      <c r="AIO30" s="15" t="s">
        <v>76</v>
      </c>
      <c r="AIP30" s="15" t="s">
        <v>76</v>
      </c>
      <c r="AIQ30" s="15" t="s">
        <v>76</v>
      </c>
      <c r="AIR30" s="15" t="s">
        <v>76</v>
      </c>
      <c r="AIS30" s="15" t="s">
        <v>76</v>
      </c>
      <c r="AIT30" s="15" t="s">
        <v>76</v>
      </c>
      <c r="AIU30" s="15" t="s">
        <v>76</v>
      </c>
      <c r="AIV30" s="15" t="s">
        <v>76</v>
      </c>
      <c r="AIW30" s="15" t="s">
        <v>76</v>
      </c>
      <c r="AIX30" s="15" t="s">
        <v>76</v>
      </c>
      <c r="AIY30" s="15" t="s">
        <v>76</v>
      </c>
      <c r="AIZ30" s="15" t="s">
        <v>76</v>
      </c>
      <c r="AJA30" s="15" t="s">
        <v>76</v>
      </c>
      <c r="AJB30" s="15" t="s">
        <v>76</v>
      </c>
      <c r="AJC30" s="15" t="s">
        <v>76</v>
      </c>
      <c r="AJD30" s="20" t="s">
        <v>76</v>
      </c>
      <c r="AJE30" s="20" t="s">
        <v>76</v>
      </c>
      <c r="AJF30" s="15"/>
      <c r="AJG30" s="19" t="s">
        <v>76</v>
      </c>
      <c r="AJH30" s="19" t="s">
        <v>76</v>
      </c>
      <c r="AJI30" s="19" t="s">
        <v>76</v>
      </c>
      <c r="AJJ30" s="19" t="s">
        <v>76</v>
      </c>
      <c r="AJK30" s="19" t="s">
        <v>76</v>
      </c>
      <c r="AJL30" s="19" t="s">
        <v>76</v>
      </c>
      <c r="AJM30" s="19" t="s">
        <v>76</v>
      </c>
      <c r="AJN30" s="19"/>
      <c r="AJO30" s="19" t="s">
        <v>76</v>
      </c>
      <c r="AJP30" s="19" t="s">
        <v>76</v>
      </c>
      <c r="AJQ30" s="19" t="s">
        <v>76</v>
      </c>
      <c r="AJR30" s="19" t="s">
        <v>76</v>
      </c>
      <c r="AJS30" s="19" t="s">
        <v>76</v>
      </c>
      <c r="AJT30" s="19" t="s">
        <v>76</v>
      </c>
      <c r="AJU30" s="19" t="s">
        <v>76</v>
      </c>
      <c r="AJV30" s="19" t="s">
        <v>76</v>
      </c>
      <c r="AJW30" s="19" t="s">
        <v>76</v>
      </c>
      <c r="AJX30" s="19"/>
      <c r="AJY30" s="19" t="s">
        <v>76</v>
      </c>
      <c r="AJZ30" s="19" t="s">
        <v>76</v>
      </c>
      <c r="AKA30" s="19" t="s">
        <v>76</v>
      </c>
      <c r="AKB30" s="19" t="s">
        <v>76</v>
      </c>
      <c r="AKC30" s="19" t="s">
        <v>76</v>
      </c>
      <c r="AKD30" s="19" t="s">
        <v>76</v>
      </c>
      <c r="AKE30" s="19" t="s">
        <v>76</v>
      </c>
      <c r="AKF30" s="19" t="s">
        <v>76</v>
      </c>
      <c r="AKG30" s="19" t="s">
        <v>76</v>
      </c>
      <c r="AKH30" s="19" t="s">
        <v>76</v>
      </c>
      <c r="AKI30" s="19"/>
      <c r="AKJ30" s="19" t="s">
        <v>76</v>
      </c>
      <c r="AKK30" s="19" t="s">
        <v>76</v>
      </c>
      <c r="AKL30" s="19" t="s">
        <v>76</v>
      </c>
      <c r="AKM30" s="19" t="s">
        <v>76</v>
      </c>
      <c r="AKN30" s="19" t="s">
        <v>76</v>
      </c>
      <c r="AKO30" s="19" t="s">
        <v>76</v>
      </c>
      <c r="AKP30" s="19" t="s">
        <v>76</v>
      </c>
      <c r="AKQ30" s="19" t="s">
        <v>76</v>
      </c>
      <c r="AKR30" s="19" t="s">
        <v>76</v>
      </c>
      <c r="AKS30" s="19" t="s">
        <v>76</v>
      </c>
      <c r="AKT30" s="19" t="s">
        <v>76</v>
      </c>
      <c r="AKU30" s="19" t="s">
        <v>76</v>
      </c>
      <c r="AKV30" s="19" t="s">
        <v>76</v>
      </c>
      <c r="AKW30" s="19" t="s">
        <v>76</v>
      </c>
      <c r="AKX30" s="19"/>
      <c r="AKY30" s="19" t="s">
        <v>76</v>
      </c>
      <c r="AKZ30" s="19" t="s">
        <v>76</v>
      </c>
      <c r="ALA30" s="19" t="s">
        <v>76</v>
      </c>
      <c r="ALB30" s="19" t="s">
        <v>76</v>
      </c>
      <c r="ALC30" s="19" t="s">
        <v>76</v>
      </c>
      <c r="ALD30" s="19" t="s">
        <v>76</v>
      </c>
      <c r="ALE30" s="19" t="s">
        <v>76</v>
      </c>
      <c r="ALF30" s="20" t="s">
        <v>76</v>
      </c>
      <c r="ALG30" s="20" t="s">
        <v>76</v>
      </c>
      <c r="ALH30" s="20" t="s">
        <v>76</v>
      </c>
      <c r="ALI30" s="20" t="s">
        <v>76</v>
      </c>
      <c r="ALJ30" s="20" t="s">
        <v>76</v>
      </c>
      <c r="ALK30" s="20" t="s">
        <v>76</v>
      </c>
      <c r="ALL30" s="20" t="s">
        <v>76</v>
      </c>
      <c r="ALM30" s="15"/>
      <c r="ALN30" s="19" t="s">
        <v>76</v>
      </c>
      <c r="ALO30" s="19" t="s">
        <v>76</v>
      </c>
      <c r="ALP30" s="19" t="s">
        <v>76</v>
      </c>
      <c r="ALQ30" s="19" t="s">
        <v>76</v>
      </c>
      <c r="ALR30" s="19" t="s">
        <v>76</v>
      </c>
      <c r="ALS30" s="19" t="s">
        <v>76</v>
      </c>
      <c r="ALT30" s="19" t="s">
        <v>76</v>
      </c>
      <c r="ALU30" s="20" t="s">
        <v>203</v>
      </c>
      <c r="ALV30" s="20" t="s">
        <v>203</v>
      </c>
      <c r="ALW30" s="20" t="s">
        <v>203</v>
      </c>
      <c r="ALX30" s="20" t="s">
        <v>203</v>
      </c>
      <c r="ALY30" s="20" t="s">
        <v>203</v>
      </c>
      <c r="ALZ30" s="20" t="s">
        <v>203</v>
      </c>
      <c r="AMA30" s="20" t="s">
        <v>203</v>
      </c>
      <c r="AMB30" s="20" t="s">
        <v>203</v>
      </c>
      <c r="AMC30" s="15"/>
      <c r="AMD30" s="15" t="s">
        <v>76</v>
      </c>
      <c r="AME30" s="15" t="s">
        <v>76</v>
      </c>
      <c r="AMF30" s="15" t="s">
        <v>76</v>
      </c>
      <c r="AMG30" s="15" t="s">
        <v>76</v>
      </c>
      <c r="AMH30" s="15" t="s">
        <v>76</v>
      </c>
      <c r="AMI30" s="15" t="s">
        <v>76</v>
      </c>
      <c r="AMJ30" s="15" t="s">
        <v>76</v>
      </c>
      <c r="AMK30" s="15" t="s">
        <v>76</v>
      </c>
      <c r="AML30" s="15" t="s">
        <v>76</v>
      </c>
      <c r="AMM30" s="15" t="s">
        <v>203</v>
      </c>
      <c r="AMN30" s="15" t="s">
        <v>76</v>
      </c>
      <c r="AMO30" s="15" t="s">
        <v>76</v>
      </c>
      <c r="AMP30" s="15" t="s">
        <v>76</v>
      </c>
      <c r="AMQ30" s="15" t="s">
        <v>76</v>
      </c>
      <c r="AMR30" s="15" t="s">
        <v>76</v>
      </c>
      <c r="AMS30" s="15" t="s">
        <v>76</v>
      </c>
      <c r="AMT30" s="15" t="s">
        <v>76</v>
      </c>
      <c r="AMU30" s="15" t="s">
        <v>76</v>
      </c>
      <c r="AMV30" s="15" t="s">
        <v>76</v>
      </c>
      <c r="AMW30" s="15" t="s">
        <v>76</v>
      </c>
      <c r="AMX30" s="15" t="s">
        <v>76</v>
      </c>
      <c r="AMY30" s="15" t="s">
        <v>76</v>
      </c>
      <c r="AMZ30" s="15" t="s">
        <v>76</v>
      </c>
      <c r="ANA30" s="15" t="s">
        <v>76</v>
      </c>
      <c r="ANB30" s="15" t="s">
        <v>76</v>
      </c>
      <c r="ANC30" s="15" t="s">
        <v>76</v>
      </c>
      <c r="AND30" s="15" t="s">
        <v>76</v>
      </c>
      <c r="ANE30" s="15"/>
      <c r="ANF30" s="15"/>
      <c r="ANG30" s="15"/>
      <c r="ANH30" s="15"/>
      <c r="ANI30" s="15"/>
      <c r="ANJ30" s="15"/>
      <c r="ANK30" s="15"/>
      <c r="ANL30" s="15"/>
      <c r="ANM30" s="15"/>
      <c r="ANN30" s="15"/>
      <c r="ANO30" s="15"/>
      <c r="ANP30" s="15"/>
      <c r="ANQ30" s="15"/>
      <c r="ANR30" s="15"/>
      <c r="ANS30" s="15"/>
      <c r="ANT30" s="15"/>
      <c r="ANU30" s="15"/>
      <c r="ANV30" s="15"/>
      <c r="ANW30" s="15"/>
      <c r="ANX30" s="15"/>
      <c r="ANY30" s="15"/>
      <c r="ANZ30" s="15"/>
      <c r="AOA30" s="15"/>
      <c r="AOB30" s="15"/>
      <c r="AOC30" s="15"/>
      <c r="AOD30" s="15"/>
      <c r="AOE30" s="15"/>
      <c r="AOF30" s="15"/>
      <c r="AOG30" s="15"/>
      <c r="AOH30" s="15"/>
      <c r="AOI30" s="15"/>
      <c r="AOJ30" s="15"/>
      <c r="AOK30" s="15"/>
      <c r="AOL30" s="15"/>
      <c r="AOM30" s="15"/>
      <c r="AON30" s="15"/>
      <c r="AOO30" s="15"/>
      <c r="AOP30" s="15"/>
      <c r="AOQ30" s="15"/>
      <c r="AOR30" s="15"/>
      <c r="AOS30" s="15"/>
      <c r="AOT30" s="15"/>
      <c r="AOU30" s="15"/>
      <c r="AOV30" s="15"/>
      <c r="AOW30" s="15"/>
      <c r="AOX30" s="15"/>
      <c r="AOY30" s="15"/>
      <c r="AOZ30" s="15"/>
      <c r="APA30" s="15"/>
      <c r="APB30" s="15"/>
      <c r="APC30" s="15"/>
      <c r="APD30" s="15"/>
      <c r="APE30" s="15"/>
      <c r="APF30" s="15"/>
      <c r="APG30" s="15"/>
      <c r="APH30" s="15"/>
      <c r="API30" s="15"/>
      <c r="APJ30" s="15"/>
      <c r="APK30" s="15"/>
      <c r="APL30" s="15"/>
      <c r="APM30" s="15"/>
      <c r="APN30" s="15"/>
      <c r="APO30" s="15"/>
      <c r="APP30" s="15"/>
      <c r="APQ30" s="15"/>
      <c r="APR30" s="15"/>
      <c r="APS30" s="15"/>
      <c r="APT30" s="15"/>
      <c r="APU30" s="15"/>
      <c r="APV30" s="15"/>
      <c r="APW30" s="15"/>
      <c r="APX30" s="15"/>
      <c r="APY30" s="15"/>
      <c r="APZ30" s="15"/>
      <c r="AQA30" s="15"/>
      <c r="AQB30" s="15"/>
    </row>
    <row r="31" spans="1:1120" s="17" customFormat="1" ht="15" customHeight="1" x14ac:dyDescent="0.25">
      <c r="A31" s="3" t="s">
        <v>2</v>
      </c>
      <c r="B31" s="6" t="s">
        <v>36</v>
      </c>
      <c r="C31" s="19"/>
      <c r="D31" s="19" t="s">
        <v>103</v>
      </c>
      <c r="E31" s="19" t="s">
        <v>103</v>
      </c>
      <c r="F31" s="19" t="s">
        <v>103</v>
      </c>
      <c r="G31" s="19" t="s">
        <v>103</v>
      </c>
      <c r="H31" s="19" t="s">
        <v>103</v>
      </c>
      <c r="I31" s="19" t="s">
        <v>103</v>
      </c>
      <c r="J31" s="19"/>
      <c r="K31" s="19" t="s">
        <v>103</v>
      </c>
      <c r="L31" s="19" t="s">
        <v>103</v>
      </c>
      <c r="M31" s="19" t="s">
        <v>103</v>
      </c>
      <c r="N31" s="19" t="s">
        <v>103</v>
      </c>
      <c r="O31" s="19" t="s">
        <v>103</v>
      </c>
      <c r="P31" s="19" t="s">
        <v>103</v>
      </c>
      <c r="Q31" s="19"/>
      <c r="R31" s="19" t="s">
        <v>103</v>
      </c>
      <c r="S31" s="19" t="s">
        <v>103</v>
      </c>
      <c r="T31" s="19" t="s">
        <v>103</v>
      </c>
      <c r="U31" s="19" t="s">
        <v>103</v>
      </c>
      <c r="V31" s="19" t="s">
        <v>103</v>
      </c>
      <c r="W31" s="19" t="s">
        <v>103</v>
      </c>
      <c r="X31" s="19"/>
      <c r="Y31" s="19" t="s">
        <v>103</v>
      </c>
      <c r="Z31" s="19" t="s">
        <v>103</v>
      </c>
      <c r="AA31" s="19" t="s">
        <v>103</v>
      </c>
      <c r="AB31" s="19" t="s">
        <v>103</v>
      </c>
      <c r="AC31" s="19" t="s">
        <v>103</v>
      </c>
      <c r="AD31" s="19" t="s">
        <v>103</v>
      </c>
      <c r="AE31" s="19"/>
      <c r="AF31" s="19" t="s">
        <v>103</v>
      </c>
      <c r="AG31" s="19" t="s">
        <v>103</v>
      </c>
      <c r="AH31" s="19" t="s">
        <v>103</v>
      </c>
      <c r="AI31" s="19" t="s">
        <v>103</v>
      </c>
      <c r="AJ31" s="19" t="s">
        <v>103</v>
      </c>
      <c r="AK31" s="19" t="s">
        <v>103</v>
      </c>
      <c r="AL31" s="19"/>
      <c r="AM31" s="19" t="s">
        <v>103</v>
      </c>
      <c r="AN31" s="19" t="s">
        <v>103</v>
      </c>
      <c r="AO31" s="19" t="s">
        <v>103</v>
      </c>
      <c r="AP31" s="19" t="s">
        <v>103</v>
      </c>
      <c r="AQ31" s="19" t="s">
        <v>103</v>
      </c>
      <c r="AR31" s="19" t="s">
        <v>103</v>
      </c>
      <c r="AS31" s="19" t="s">
        <v>103</v>
      </c>
      <c r="AT31" s="19" t="s">
        <v>103</v>
      </c>
      <c r="AU31" s="19" t="s">
        <v>103</v>
      </c>
      <c r="AV31" s="19" t="s">
        <v>103</v>
      </c>
      <c r="AW31" s="19" t="s">
        <v>103</v>
      </c>
      <c r="AX31" s="19" t="s">
        <v>103</v>
      </c>
      <c r="AY31" s="19" t="s">
        <v>103</v>
      </c>
      <c r="AZ31" s="19" t="s">
        <v>103</v>
      </c>
      <c r="BA31" s="19" t="s">
        <v>103</v>
      </c>
      <c r="BB31" s="19" t="s">
        <v>103</v>
      </c>
      <c r="BC31" s="19" t="s">
        <v>103</v>
      </c>
      <c r="BD31" s="19" t="s">
        <v>103</v>
      </c>
      <c r="BE31" s="19" t="s">
        <v>103</v>
      </c>
      <c r="BF31" s="19" t="s">
        <v>103</v>
      </c>
      <c r="BG31" s="19" t="s">
        <v>103</v>
      </c>
      <c r="BH31" s="19" t="s">
        <v>103</v>
      </c>
      <c r="BI31" s="19" t="s">
        <v>103</v>
      </c>
      <c r="BJ31" s="19" t="s">
        <v>103</v>
      </c>
      <c r="BK31" s="19" t="s">
        <v>103</v>
      </c>
      <c r="BL31" s="19" t="s">
        <v>103</v>
      </c>
      <c r="BM31" s="19" t="s">
        <v>103</v>
      </c>
      <c r="BN31" s="19" t="s">
        <v>103</v>
      </c>
      <c r="BO31" s="19" t="s">
        <v>103</v>
      </c>
      <c r="BP31" s="19" t="s">
        <v>103</v>
      </c>
      <c r="BQ31" s="19" t="s">
        <v>103</v>
      </c>
      <c r="BR31" s="19" t="s">
        <v>103</v>
      </c>
      <c r="BS31" s="19" t="s">
        <v>103</v>
      </c>
      <c r="BT31" s="19" t="s">
        <v>103</v>
      </c>
      <c r="BU31" s="19" t="s">
        <v>103</v>
      </c>
      <c r="BV31" s="19" t="s">
        <v>103</v>
      </c>
      <c r="BW31" s="19" t="s">
        <v>103</v>
      </c>
      <c r="BX31" s="19" t="s">
        <v>103</v>
      </c>
      <c r="BY31" s="19" t="s">
        <v>103</v>
      </c>
      <c r="BZ31" s="19" t="s">
        <v>103</v>
      </c>
      <c r="CA31" s="19" t="s">
        <v>103</v>
      </c>
      <c r="CB31" s="19" t="s">
        <v>103</v>
      </c>
      <c r="CC31" s="19" t="s">
        <v>103</v>
      </c>
      <c r="CD31" s="19" t="s">
        <v>103</v>
      </c>
      <c r="CE31" s="19" t="s">
        <v>103</v>
      </c>
      <c r="CF31" s="19" t="s">
        <v>103</v>
      </c>
      <c r="CG31" s="19" t="s">
        <v>103</v>
      </c>
      <c r="CH31" s="19" t="s">
        <v>103</v>
      </c>
      <c r="CI31" s="19" t="s">
        <v>103</v>
      </c>
      <c r="CJ31" s="19" t="s">
        <v>103</v>
      </c>
      <c r="CK31" s="19" t="s">
        <v>103</v>
      </c>
      <c r="CL31" s="19" t="s">
        <v>103</v>
      </c>
      <c r="CM31" s="19" t="s">
        <v>103</v>
      </c>
      <c r="CN31" s="19" t="s">
        <v>103</v>
      </c>
      <c r="CO31" s="19" t="s">
        <v>103</v>
      </c>
      <c r="CP31" s="19" t="s">
        <v>103</v>
      </c>
      <c r="CQ31" s="19" t="s">
        <v>103</v>
      </c>
      <c r="CR31" s="19" t="s">
        <v>103</v>
      </c>
      <c r="CS31" s="19" t="s">
        <v>103</v>
      </c>
      <c r="CT31" s="19" t="s">
        <v>103</v>
      </c>
      <c r="CU31" s="19" t="s">
        <v>103</v>
      </c>
      <c r="CV31" s="19" t="s">
        <v>103</v>
      </c>
      <c r="CW31" s="19" t="s">
        <v>103</v>
      </c>
      <c r="CX31" s="19" t="s">
        <v>103</v>
      </c>
      <c r="CY31" s="19" t="s">
        <v>103</v>
      </c>
      <c r="CZ31" s="19" t="s">
        <v>103</v>
      </c>
      <c r="DA31" s="19" t="s">
        <v>103</v>
      </c>
      <c r="DB31" s="19" t="s">
        <v>103</v>
      </c>
      <c r="DC31" s="19" t="s">
        <v>103</v>
      </c>
      <c r="DD31" s="19" t="s">
        <v>103</v>
      </c>
      <c r="DE31" s="19" t="s">
        <v>103</v>
      </c>
      <c r="DF31" s="19" t="s">
        <v>103</v>
      </c>
      <c r="DG31" s="19" t="s">
        <v>103</v>
      </c>
      <c r="DH31" s="19" t="s">
        <v>103</v>
      </c>
      <c r="DI31" s="19" t="s">
        <v>103</v>
      </c>
      <c r="DJ31" s="19" t="s">
        <v>103</v>
      </c>
      <c r="DK31" s="19" t="s">
        <v>103</v>
      </c>
      <c r="DL31" s="19" t="s">
        <v>103</v>
      </c>
      <c r="DM31" s="19" t="s">
        <v>103</v>
      </c>
      <c r="DN31" s="19" t="s">
        <v>103</v>
      </c>
      <c r="DO31" s="19" t="s">
        <v>103</v>
      </c>
      <c r="DP31" s="19" t="s">
        <v>103</v>
      </c>
      <c r="DQ31" s="19" t="s">
        <v>103</v>
      </c>
      <c r="DR31" s="19" t="s">
        <v>103</v>
      </c>
      <c r="DS31" s="19" t="s">
        <v>103</v>
      </c>
      <c r="DT31" s="19" t="s">
        <v>103</v>
      </c>
      <c r="DU31" s="19" t="s">
        <v>103</v>
      </c>
      <c r="DV31" s="19" t="s">
        <v>103</v>
      </c>
      <c r="DW31" s="19" t="s">
        <v>103</v>
      </c>
      <c r="DX31" s="19" t="s">
        <v>103</v>
      </c>
      <c r="DY31" s="19" t="s">
        <v>103</v>
      </c>
      <c r="DZ31" s="19" t="s">
        <v>103</v>
      </c>
      <c r="EA31" s="19" t="s">
        <v>103</v>
      </c>
      <c r="EB31" s="19" t="s">
        <v>103</v>
      </c>
      <c r="EC31" s="19" t="s">
        <v>103</v>
      </c>
      <c r="ED31" s="19" t="s">
        <v>103</v>
      </c>
      <c r="EE31" s="19" t="s">
        <v>103</v>
      </c>
      <c r="EF31" s="19" t="s">
        <v>103</v>
      </c>
      <c r="EG31" s="19" t="s">
        <v>103</v>
      </c>
      <c r="EH31" s="19" t="s">
        <v>103</v>
      </c>
      <c r="EI31" s="19" t="s">
        <v>103</v>
      </c>
      <c r="EJ31" s="19" t="s">
        <v>103</v>
      </c>
      <c r="EK31" s="19" t="s">
        <v>103</v>
      </c>
      <c r="EL31" s="19" t="s">
        <v>103</v>
      </c>
      <c r="EM31" s="19" t="s">
        <v>103</v>
      </c>
      <c r="EN31" s="19" t="s">
        <v>103</v>
      </c>
      <c r="EO31" s="19" t="s">
        <v>103</v>
      </c>
      <c r="EP31" s="19" t="s">
        <v>103</v>
      </c>
      <c r="EQ31" s="19" t="s">
        <v>103</v>
      </c>
      <c r="ER31" s="19" t="s">
        <v>103</v>
      </c>
      <c r="ES31" s="19" t="s">
        <v>103</v>
      </c>
      <c r="ET31" s="19" t="s">
        <v>103</v>
      </c>
      <c r="EU31" s="19" t="s">
        <v>103</v>
      </c>
      <c r="EV31" s="19" t="s">
        <v>103</v>
      </c>
      <c r="EW31" s="19" t="s">
        <v>103</v>
      </c>
      <c r="EX31" s="19" t="s">
        <v>103</v>
      </c>
      <c r="EY31" s="19" t="s">
        <v>103</v>
      </c>
      <c r="EZ31" s="19" t="s">
        <v>103</v>
      </c>
      <c r="FA31" s="19" t="s">
        <v>103</v>
      </c>
      <c r="FB31" s="19" t="s">
        <v>103</v>
      </c>
      <c r="FC31" s="19" t="s">
        <v>103</v>
      </c>
      <c r="FD31" s="19"/>
      <c r="FE31" s="19" t="s">
        <v>103</v>
      </c>
      <c r="FF31" s="19" t="s">
        <v>103</v>
      </c>
      <c r="FG31" s="19" t="s">
        <v>103</v>
      </c>
      <c r="FH31" s="19" t="s">
        <v>103</v>
      </c>
      <c r="FI31" s="19" t="s">
        <v>103</v>
      </c>
      <c r="FJ31" s="19" t="s">
        <v>103</v>
      </c>
      <c r="FK31" s="19" t="s">
        <v>103</v>
      </c>
      <c r="FL31" s="22" t="s">
        <v>149</v>
      </c>
      <c r="FM31" s="19" t="s">
        <v>149</v>
      </c>
      <c r="FN31" s="19" t="s">
        <v>149</v>
      </c>
      <c r="FO31" s="19" t="s">
        <v>149</v>
      </c>
      <c r="FP31" s="19" t="s">
        <v>149</v>
      </c>
      <c r="FQ31" s="19" t="s">
        <v>149</v>
      </c>
      <c r="FR31" s="19" t="s">
        <v>103</v>
      </c>
      <c r="FS31" s="22" t="s">
        <v>149</v>
      </c>
      <c r="FT31" s="19" t="s">
        <v>103</v>
      </c>
      <c r="FU31" s="19" t="s">
        <v>103</v>
      </c>
      <c r="FV31" s="19" t="s">
        <v>103</v>
      </c>
      <c r="FW31" s="19" t="s">
        <v>103</v>
      </c>
      <c r="FX31" s="19" t="s">
        <v>103</v>
      </c>
      <c r="FY31" s="19" t="s">
        <v>103</v>
      </c>
      <c r="FZ31" s="22" t="s">
        <v>149</v>
      </c>
      <c r="GA31" s="19" t="s">
        <v>103</v>
      </c>
      <c r="GB31" s="19" t="s">
        <v>103</v>
      </c>
      <c r="GC31" s="19" t="s">
        <v>103</v>
      </c>
      <c r="GD31" s="19" t="s">
        <v>103</v>
      </c>
      <c r="GE31" s="19" t="s">
        <v>103</v>
      </c>
      <c r="GF31" s="19" t="s">
        <v>103</v>
      </c>
      <c r="GG31" s="22" t="s">
        <v>149</v>
      </c>
      <c r="GH31" s="19" t="s">
        <v>103</v>
      </c>
      <c r="GI31" s="19" t="s">
        <v>103</v>
      </c>
      <c r="GJ31" s="19" t="s">
        <v>103</v>
      </c>
      <c r="GK31" s="19" t="s">
        <v>103</v>
      </c>
      <c r="GL31" s="19" t="s">
        <v>103</v>
      </c>
      <c r="GM31" s="19" t="s">
        <v>103</v>
      </c>
      <c r="GN31" s="22" t="s">
        <v>149</v>
      </c>
      <c r="GO31" s="19" t="s">
        <v>103</v>
      </c>
      <c r="GP31" s="19" t="s">
        <v>103</v>
      </c>
      <c r="GQ31" s="19" t="s">
        <v>103</v>
      </c>
      <c r="GR31" s="19" t="s">
        <v>103</v>
      </c>
      <c r="GS31" s="19" t="s">
        <v>103</v>
      </c>
      <c r="GT31" s="19" t="s">
        <v>103</v>
      </c>
      <c r="GU31" s="22" t="s">
        <v>149</v>
      </c>
      <c r="GV31" s="19" t="s">
        <v>103</v>
      </c>
      <c r="GW31" s="19" t="s">
        <v>103</v>
      </c>
      <c r="GX31" s="19" t="s">
        <v>103</v>
      </c>
      <c r="GY31" s="19" t="s">
        <v>103</v>
      </c>
      <c r="GZ31" s="19" t="s">
        <v>103</v>
      </c>
      <c r="HA31" s="19" t="s">
        <v>103</v>
      </c>
      <c r="HB31" s="22" t="s">
        <v>149</v>
      </c>
      <c r="HC31" s="19" t="s">
        <v>103</v>
      </c>
      <c r="HD31" s="19" t="s">
        <v>103</v>
      </c>
      <c r="HE31" s="19" t="s">
        <v>103</v>
      </c>
      <c r="HF31" s="19" t="s">
        <v>103</v>
      </c>
      <c r="HG31" s="19" t="s">
        <v>103</v>
      </c>
      <c r="HH31" s="19" t="s">
        <v>103</v>
      </c>
      <c r="HI31" s="22" t="s">
        <v>149</v>
      </c>
      <c r="HJ31" s="19" t="s">
        <v>103</v>
      </c>
      <c r="HK31" s="19" t="s">
        <v>103</v>
      </c>
      <c r="HL31" s="19" t="s">
        <v>103</v>
      </c>
      <c r="HM31" s="19" t="s">
        <v>103</v>
      </c>
      <c r="HN31" s="19" t="s">
        <v>103</v>
      </c>
      <c r="HO31" s="19" t="s">
        <v>103</v>
      </c>
      <c r="HP31" s="22" t="s">
        <v>149</v>
      </c>
      <c r="HQ31" s="19" t="s">
        <v>103</v>
      </c>
      <c r="HR31" s="19" t="s">
        <v>103</v>
      </c>
      <c r="HS31" s="19" t="s">
        <v>103</v>
      </c>
      <c r="HT31" s="19" t="s">
        <v>103</v>
      </c>
      <c r="HU31" s="19" t="s">
        <v>103</v>
      </c>
      <c r="HV31" s="19" t="s">
        <v>103</v>
      </c>
      <c r="HW31" s="22" t="s">
        <v>149</v>
      </c>
      <c r="HX31" s="22" t="s">
        <v>149</v>
      </c>
      <c r="HY31" s="22" t="s">
        <v>149</v>
      </c>
      <c r="HZ31" s="22" t="s">
        <v>149</v>
      </c>
      <c r="IA31" s="22" t="s">
        <v>149</v>
      </c>
      <c r="IB31" s="19"/>
      <c r="IC31" s="19" t="s">
        <v>103</v>
      </c>
      <c r="ID31" s="19" t="s">
        <v>103</v>
      </c>
      <c r="IE31" s="19" t="s">
        <v>103</v>
      </c>
      <c r="IF31" s="19" t="s">
        <v>103</v>
      </c>
      <c r="IG31" s="19" t="s">
        <v>103</v>
      </c>
      <c r="IH31" s="19" t="s">
        <v>103</v>
      </c>
      <c r="II31" s="19" t="s">
        <v>103</v>
      </c>
      <c r="IJ31" s="19" t="s">
        <v>103</v>
      </c>
      <c r="IK31" s="19"/>
      <c r="IL31" s="19" t="s">
        <v>103</v>
      </c>
      <c r="IM31" s="19" t="s">
        <v>103</v>
      </c>
      <c r="IN31" s="19" t="s">
        <v>103</v>
      </c>
      <c r="IO31" s="19" t="s">
        <v>103</v>
      </c>
      <c r="IP31" s="19" t="s">
        <v>103</v>
      </c>
      <c r="IQ31" s="19" t="s">
        <v>103</v>
      </c>
      <c r="IR31" s="19" t="s">
        <v>103</v>
      </c>
      <c r="IS31" s="24" t="s">
        <v>103</v>
      </c>
      <c r="IT31" s="24" t="s">
        <v>149</v>
      </c>
      <c r="IU31" s="24" t="s">
        <v>103</v>
      </c>
      <c r="IV31" s="24" t="s">
        <v>177</v>
      </c>
      <c r="IW31" s="24" t="s">
        <v>179</v>
      </c>
      <c r="IX31" s="24" t="s">
        <v>149</v>
      </c>
      <c r="IY31" s="24" t="s">
        <v>149</v>
      </c>
      <c r="IZ31" s="24" t="s">
        <v>149</v>
      </c>
      <c r="JA31" s="24" t="s">
        <v>149</v>
      </c>
      <c r="JB31" s="24" t="s">
        <v>149</v>
      </c>
      <c r="JC31" s="24" t="s">
        <v>149</v>
      </c>
      <c r="JD31" s="24" t="s">
        <v>149</v>
      </c>
      <c r="JE31" s="24" t="s">
        <v>149</v>
      </c>
      <c r="JF31" s="24" t="s">
        <v>149</v>
      </c>
      <c r="JG31" s="24" t="s">
        <v>149</v>
      </c>
      <c r="JH31" s="15" t="s">
        <v>177</v>
      </c>
      <c r="JI31" s="15" t="s">
        <v>177</v>
      </c>
      <c r="JJ31" s="15" t="s">
        <v>177</v>
      </c>
      <c r="JK31" s="15" t="s">
        <v>177</v>
      </c>
      <c r="JL31" s="15" t="s">
        <v>177</v>
      </c>
      <c r="JM31" s="15" t="s">
        <v>177</v>
      </c>
      <c r="JN31" s="15" t="s">
        <v>177</v>
      </c>
      <c r="JO31" s="15" t="s">
        <v>177</v>
      </c>
      <c r="JP31" s="15" t="s">
        <v>177</v>
      </c>
      <c r="JQ31" s="15" t="s">
        <v>177</v>
      </c>
      <c r="JR31" s="15" t="s">
        <v>177</v>
      </c>
      <c r="JS31" s="15" t="s">
        <v>177</v>
      </c>
      <c r="JT31" s="15" t="s">
        <v>177</v>
      </c>
      <c r="JU31" s="20" t="s">
        <v>103</v>
      </c>
      <c r="JV31" s="15" t="s">
        <v>177</v>
      </c>
      <c r="JW31" s="15" t="s">
        <v>177</v>
      </c>
      <c r="JX31" s="15" t="s">
        <v>177</v>
      </c>
      <c r="JY31" s="15" t="s">
        <v>177</v>
      </c>
      <c r="JZ31" s="15" t="s">
        <v>177</v>
      </c>
      <c r="KA31" s="15" t="s">
        <v>177</v>
      </c>
      <c r="KB31" s="15" t="s">
        <v>177</v>
      </c>
      <c r="KC31" s="15" t="s">
        <v>177</v>
      </c>
      <c r="KD31" s="15" t="s">
        <v>177</v>
      </c>
      <c r="KE31" s="15" t="s">
        <v>177</v>
      </c>
      <c r="KF31" s="15" t="s">
        <v>177</v>
      </c>
      <c r="KG31" s="15" t="s">
        <v>177</v>
      </c>
      <c r="KH31" s="15" t="s">
        <v>177</v>
      </c>
      <c r="KI31" s="15" t="s">
        <v>177</v>
      </c>
      <c r="KJ31" s="15" t="s">
        <v>177</v>
      </c>
      <c r="KK31" s="15" t="s">
        <v>177</v>
      </c>
      <c r="KL31" s="15" t="s">
        <v>177</v>
      </c>
      <c r="KM31" s="15" t="s">
        <v>177</v>
      </c>
      <c r="KN31" s="15" t="s">
        <v>177</v>
      </c>
      <c r="KO31" s="15" t="s">
        <v>177</v>
      </c>
      <c r="KP31" s="15" t="s">
        <v>177</v>
      </c>
      <c r="KQ31" s="15" t="s">
        <v>177</v>
      </c>
      <c r="KR31" s="15" t="s">
        <v>177</v>
      </c>
      <c r="KS31" s="15" t="s">
        <v>177</v>
      </c>
      <c r="KT31" s="20" t="s">
        <v>149</v>
      </c>
      <c r="KU31" s="15" t="s">
        <v>177</v>
      </c>
      <c r="KV31" s="15" t="s">
        <v>177</v>
      </c>
      <c r="KW31" s="15" t="s">
        <v>177</v>
      </c>
      <c r="KX31" s="15" t="s">
        <v>177</v>
      </c>
      <c r="KY31" s="15" t="s">
        <v>177</v>
      </c>
      <c r="KZ31" s="15" t="s">
        <v>177</v>
      </c>
      <c r="LA31" s="15" t="s">
        <v>177</v>
      </c>
      <c r="LB31" s="15" t="s">
        <v>177</v>
      </c>
      <c r="LC31" s="15" t="s">
        <v>177</v>
      </c>
      <c r="LD31" s="15" t="s">
        <v>177</v>
      </c>
      <c r="LE31" s="15" t="s">
        <v>177</v>
      </c>
      <c r="LF31" s="15" t="s">
        <v>177</v>
      </c>
      <c r="LG31" s="15" t="s">
        <v>177</v>
      </c>
      <c r="LH31" s="15" t="s">
        <v>177</v>
      </c>
      <c r="LI31" s="15" t="s">
        <v>177</v>
      </c>
      <c r="LJ31" s="15" t="s">
        <v>177</v>
      </c>
      <c r="LK31" s="15" t="s">
        <v>177</v>
      </c>
      <c r="LL31" s="15" t="s">
        <v>177</v>
      </c>
      <c r="LM31" s="15" t="s">
        <v>177</v>
      </c>
      <c r="LN31" s="15" t="s">
        <v>177</v>
      </c>
      <c r="LO31" s="15" t="s">
        <v>177</v>
      </c>
      <c r="LP31" s="15" t="s">
        <v>177</v>
      </c>
      <c r="LQ31" s="20" t="s">
        <v>177</v>
      </c>
      <c r="LR31" s="20" t="s">
        <v>103</v>
      </c>
      <c r="LS31" s="20" t="s">
        <v>179</v>
      </c>
      <c r="LT31" s="20" t="s">
        <v>179</v>
      </c>
      <c r="LU31" s="15" t="s">
        <v>177</v>
      </c>
      <c r="LV31" s="15" t="s">
        <v>177</v>
      </c>
      <c r="LW31" s="15" t="s">
        <v>177</v>
      </c>
      <c r="LX31" s="15" t="s">
        <v>177</v>
      </c>
      <c r="LY31" s="15" t="s">
        <v>177</v>
      </c>
      <c r="LZ31" s="15" t="s">
        <v>177</v>
      </c>
      <c r="MA31" s="15" t="s">
        <v>177</v>
      </c>
      <c r="MB31" s="15" t="s">
        <v>177</v>
      </c>
      <c r="MC31" s="15" t="s">
        <v>177</v>
      </c>
      <c r="MD31" s="15" t="s">
        <v>177</v>
      </c>
      <c r="ME31" s="15" t="s">
        <v>177</v>
      </c>
      <c r="MF31" s="15" t="s">
        <v>177</v>
      </c>
      <c r="MG31" s="15" t="s">
        <v>177</v>
      </c>
      <c r="MH31" s="15" t="s">
        <v>177</v>
      </c>
      <c r="MI31" s="15" t="s">
        <v>177</v>
      </c>
      <c r="MJ31" s="15" t="s">
        <v>177</v>
      </c>
      <c r="MK31" s="15" t="s">
        <v>177</v>
      </c>
      <c r="ML31" s="15" t="s">
        <v>177</v>
      </c>
      <c r="MM31" s="15" t="s">
        <v>177</v>
      </c>
      <c r="MN31" s="15" t="s">
        <v>177</v>
      </c>
      <c r="MO31" s="15" t="s">
        <v>177</v>
      </c>
      <c r="MP31" s="15" t="s">
        <v>177</v>
      </c>
      <c r="MQ31" s="15" t="s">
        <v>177</v>
      </c>
      <c r="MR31" s="15" t="s">
        <v>177</v>
      </c>
      <c r="MS31" s="15" t="s">
        <v>177</v>
      </c>
      <c r="MT31" s="15" t="s">
        <v>177</v>
      </c>
      <c r="MU31" s="15" t="s">
        <v>177</v>
      </c>
      <c r="MV31" s="15" t="s">
        <v>177</v>
      </c>
      <c r="MW31" s="15" t="s">
        <v>177</v>
      </c>
      <c r="MX31" s="15" t="s">
        <v>177</v>
      </c>
      <c r="MY31" s="15" t="s">
        <v>177</v>
      </c>
      <c r="MZ31" s="15" t="s">
        <v>177</v>
      </c>
      <c r="NA31" s="15" t="s">
        <v>177</v>
      </c>
      <c r="NB31" s="15" t="s">
        <v>177</v>
      </c>
      <c r="NC31" s="15" t="s">
        <v>177</v>
      </c>
      <c r="ND31" s="15" t="s">
        <v>177</v>
      </c>
      <c r="NE31" s="15" t="s">
        <v>177</v>
      </c>
      <c r="NF31" s="15" t="s">
        <v>177</v>
      </c>
      <c r="NG31" s="15" t="s">
        <v>177</v>
      </c>
      <c r="NH31" s="15" t="s">
        <v>177</v>
      </c>
      <c r="NI31" s="15" t="s">
        <v>177</v>
      </c>
      <c r="NJ31" s="15" t="s">
        <v>177</v>
      </c>
      <c r="NK31" s="15" t="s">
        <v>177</v>
      </c>
      <c r="NL31" s="15" t="s">
        <v>177</v>
      </c>
      <c r="NM31" s="15" t="s">
        <v>177</v>
      </c>
      <c r="NN31" s="15" t="s">
        <v>177</v>
      </c>
      <c r="NO31" s="15" t="s">
        <v>177</v>
      </c>
      <c r="NP31" s="15" t="s">
        <v>177</v>
      </c>
      <c r="NQ31" s="15" t="s">
        <v>177</v>
      </c>
      <c r="NR31" s="15" t="s">
        <v>177</v>
      </c>
      <c r="NS31" s="15" t="s">
        <v>177</v>
      </c>
      <c r="NT31" s="15" t="s">
        <v>177</v>
      </c>
      <c r="NU31" s="15" t="s">
        <v>177</v>
      </c>
      <c r="NV31" s="15" t="s">
        <v>177</v>
      </c>
      <c r="NW31" s="15" t="s">
        <v>103</v>
      </c>
      <c r="NX31" s="15" t="s">
        <v>149</v>
      </c>
      <c r="NY31" s="15" t="s">
        <v>103</v>
      </c>
      <c r="NZ31" s="15" t="s">
        <v>177</v>
      </c>
      <c r="OA31" s="15" t="s">
        <v>177</v>
      </c>
      <c r="OB31" s="15" t="s">
        <v>177</v>
      </c>
      <c r="OC31" s="15" t="s">
        <v>177</v>
      </c>
      <c r="OD31" s="20" t="s">
        <v>103</v>
      </c>
      <c r="OE31" s="20" t="s">
        <v>103</v>
      </c>
      <c r="OF31" s="20" t="s">
        <v>103</v>
      </c>
      <c r="OG31" s="20" t="s">
        <v>103</v>
      </c>
      <c r="OH31" s="20" t="s">
        <v>103</v>
      </c>
      <c r="OI31" s="20" t="s">
        <v>103</v>
      </c>
      <c r="OJ31" s="20" t="s">
        <v>103</v>
      </c>
      <c r="OK31" s="20" t="s">
        <v>103</v>
      </c>
      <c r="OL31" s="20" t="s">
        <v>103</v>
      </c>
      <c r="OM31" s="20" t="s">
        <v>103</v>
      </c>
      <c r="ON31" s="20" t="s">
        <v>103</v>
      </c>
      <c r="OO31" s="20" t="s">
        <v>103</v>
      </c>
      <c r="OP31" s="20" t="s">
        <v>103</v>
      </c>
      <c r="OQ31" s="20" t="s">
        <v>103</v>
      </c>
      <c r="OR31" s="20" t="s">
        <v>103</v>
      </c>
      <c r="OS31" s="20" t="s">
        <v>103</v>
      </c>
      <c r="OT31" s="20" t="s">
        <v>103</v>
      </c>
      <c r="OU31" s="20" t="s">
        <v>103</v>
      </c>
      <c r="OV31" s="20" t="s">
        <v>103</v>
      </c>
      <c r="OW31" s="20" t="s">
        <v>103</v>
      </c>
      <c r="OX31" s="20" t="s">
        <v>103</v>
      </c>
      <c r="OY31" s="20" t="s">
        <v>103</v>
      </c>
      <c r="OZ31" s="20" t="s">
        <v>103</v>
      </c>
      <c r="PA31" s="20" t="s">
        <v>103</v>
      </c>
      <c r="PB31" s="20" t="s">
        <v>103</v>
      </c>
      <c r="PC31" s="20" t="s">
        <v>103</v>
      </c>
      <c r="PD31" s="20" t="s">
        <v>103</v>
      </c>
      <c r="PE31" s="20" t="s">
        <v>103</v>
      </c>
      <c r="PF31" s="20" t="s">
        <v>103</v>
      </c>
      <c r="PG31" s="20" t="s">
        <v>103</v>
      </c>
      <c r="PH31" s="20" t="s">
        <v>103</v>
      </c>
      <c r="PI31" s="20" t="s">
        <v>103</v>
      </c>
      <c r="PJ31" s="20" t="s">
        <v>103</v>
      </c>
      <c r="PK31" s="20" t="s">
        <v>149</v>
      </c>
      <c r="PL31" s="20" t="s">
        <v>179</v>
      </c>
      <c r="PM31" s="20" t="s">
        <v>103</v>
      </c>
      <c r="PN31" s="20" t="s">
        <v>179</v>
      </c>
      <c r="PO31" s="20" t="s">
        <v>103</v>
      </c>
      <c r="PP31" s="20" t="s">
        <v>149</v>
      </c>
      <c r="PQ31" s="20" t="s">
        <v>103</v>
      </c>
      <c r="PR31" s="20" t="s">
        <v>149</v>
      </c>
      <c r="PS31" s="20" t="s">
        <v>177</v>
      </c>
      <c r="PT31" s="20" t="s">
        <v>149</v>
      </c>
      <c r="PU31" s="20" t="s">
        <v>179</v>
      </c>
      <c r="PV31" s="15" t="s">
        <v>177</v>
      </c>
      <c r="PW31" s="20" t="s">
        <v>149</v>
      </c>
      <c r="PX31" s="20" t="s">
        <v>103</v>
      </c>
      <c r="PY31" s="20" t="s">
        <v>149</v>
      </c>
      <c r="PZ31" s="15" t="s">
        <v>177</v>
      </c>
      <c r="QA31" s="20" t="s">
        <v>149</v>
      </c>
      <c r="QB31" s="20" t="s">
        <v>149</v>
      </c>
      <c r="QC31" s="20" t="s">
        <v>149</v>
      </c>
      <c r="QD31" s="20" t="s">
        <v>103</v>
      </c>
      <c r="QE31" s="20" t="s">
        <v>103</v>
      </c>
      <c r="QF31" s="20" t="s">
        <v>103</v>
      </c>
      <c r="QG31" s="20" t="s">
        <v>103</v>
      </c>
      <c r="QH31" s="15" t="s">
        <v>177</v>
      </c>
      <c r="QI31" s="20" t="s">
        <v>103</v>
      </c>
      <c r="QJ31" s="20" t="s">
        <v>149</v>
      </c>
      <c r="QK31" s="20" t="s">
        <v>103</v>
      </c>
      <c r="QL31" s="15" t="s">
        <v>103</v>
      </c>
      <c r="QM31" s="15" t="s">
        <v>103</v>
      </c>
      <c r="QN31" s="15" t="s">
        <v>103</v>
      </c>
      <c r="QO31" s="20" t="s">
        <v>149</v>
      </c>
      <c r="QP31" s="20" t="s">
        <v>103</v>
      </c>
      <c r="QQ31" s="20" t="s">
        <v>149</v>
      </c>
      <c r="QR31" s="20" t="s">
        <v>149</v>
      </c>
      <c r="QS31" s="20" t="s">
        <v>149</v>
      </c>
      <c r="QT31" s="20" t="s">
        <v>149</v>
      </c>
      <c r="QU31" s="20" t="s">
        <v>149</v>
      </c>
      <c r="QV31" s="20" t="s">
        <v>149</v>
      </c>
      <c r="QW31" s="20" t="s">
        <v>149</v>
      </c>
      <c r="QX31" s="20" t="s">
        <v>149</v>
      </c>
      <c r="QY31" s="20" t="s">
        <v>149</v>
      </c>
      <c r="QZ31" s="20" t="s">
        <v>149</v>
      </c>
      <c r="RA31" s="20" t="s">
        <v>149</v>
      </c>
      <c r="RB31" s="20" t="s">
        <v>149</v>
      </c>
      <c r="RC31" s="20" t="s">
        <v>149</v>
      </c>
      <c r="RD31" s="20" t="s">
        <v>149</v>
      </c>
      <c r="RE31" s="20" t="s">
        <v>149</v>
      </c>
      <c r="RF31" s="20" t="s">
        <v>149</v>
      </c>
      <c r="RG31" s="20" t="s">
        <v>149</v>
      </c>
      <c r="RH31" s="20" t="s">
        <v>149</v>
      </c>
      <c r="RI31" s="20" t="s">
        <v>149</v>
      </c>
      <c r="RJ31" s="20" t="s">
        <v>149</v>
      </c>
      <c r="RK31" s="20" t="s">
        <v>149</v>
      </c>
      <c r="RL31" s="20" t="s">
        <v>149</v>
      </c>
      <c r="RM31" s="20" t="s">
        <v>149</v>
      </c>
      <c r="RN31" s="20" t="s">
        <v>149</v>
      </c>
      <c r="RO31" s="20" t="s">
        <v>149</v>
      </c>
      <c r="RP31" s="20" t="s">
        <v>149</v>
      </c>
      <c r="RQ31" s="20" t="s">
        <v>149</v>
      </c>
      <c r="RR31" s="15" t="s">
        <v>149</v>
      </c>
      <c r="RS31" s="19"/>
      <c r="RT31" s="19" t="s">
        <v>103</v>
      </c>
      <c r="RU31" s="19" t="s">
        <v>103</v>
      </c>
      <c r="RV31" s="19" t="s">
        <v>103</v>
      </c>
      <c r="RW31" s="19" t="s">
        <v>103</v>
      </c>
      <c r="RX31" s="19" t="s">
        <v>103</v>
      </c>
      <c r="RY31" s="19" t="s">
        <v>103</v>
      </c>
      <c r="RZ31" s="19" t="s">
        <v>103</v>
      </c>
      <c r="SA31" s="15" t="s">
        <v>177</v>
      </c>
      <c r="SB31" s="15" t="s">
        <v>177</v>
      </c>
      <c r="SC31" s="15" t="s">
        <v>177</v>
      </c>
      <c r="SD31" s="15" t="s">
        <v>177</v>
      </c>
      <c r="SE31" s="15" t="s">
        <v>177</v>
      </c>
      <c r="SF31" s="15" t="s">
        <v>103</v>
      </c>
      <c r="SG31" s="15" t="s">
        <v>149</v>
      </c>
      <c r="SH31" s="15" t="s">
        <v>103</v>
      </c>
      <c r="SI31" s="15" t="s">
        <v>177</v>
      </c>
      <c r="SJ31" s="15" t="s">
        <v>177</v>
      </c>
      <c r="SK31" s="15" t="s">
        <v>177</v>
      </c>
      <c r="SL31" s="15" t="s">
        <v>177</v>
      </c>
      <c r="SM31" s="20" t="s">
        <v>103</v>
      </c>
      <c r="SN31" s="20" t="s">
        <v>103</v>
      </c>
      <c r="SO31" s="20" t="s">
        <v>103</v>
      </c>
      <c r="SP31" s="20" t="s">
        <v>103</v>
      </c>
      <c r="SQ31" s="20" t="s">
        <v>103</v>
      </c>
      <c r="SR31" s="20" t="s">
        <v>103</v>
      </c>
      <c r="SS31" s="20" t="s">
        <v>103</v>
      </c>
      <c r="ST31" s="20" t="s">
        <v>103</v>
      </c>
      <c r="SU31" s="20" t="s">
        <v>103</v>
      </c>
      <c r="SV31" s="20" t="s">
        <v>103</v>
      </c>
      <c r="SW31" s="20" t="s">
        <v>103</v>
      </c>
      <c r="SX31" s="20" t="s">
        <v>103</v>
      </c>
      <c r="SY31" s="20" t="s">
        <v>103</v>
      </c>
      <c r="SZ31" s="20" t="s">
        <v>103</v>
      </c>
      <c r="TA31" s="20" t="s">
        <v>103</v>
      </c>
      <c r="TB31" s="20" t="s">
        <v>103</v>
      </c>
      <c r="TC31" s="20" t="s">
        <v>103</v>
      </c>
      <c r="TD31" s="20" t="s">
        <v>103</v>
      </c>
      <c r="TE31" s="20" t="s">
        <v>103</v>
      </c>
      <c r="TF31" s="20" t="s">
        <v>103</v>
      </c>
      <c r="TG31" s="20" t="s">
        <v>103</v>
      </c>
      <c r="TH31" s="20" t="s">
        <v>103</v>
      </c>
      <c r="TI31" s="20" t="s">
        <v>103</v>
      </c>
      <c r="TJ31" s="20" t="s">
        <v>103</v>
      </c>
      <c r="TK31" s="20" t="s">
        <v>103</v>
      </c>
      <c r="TL31" s="20" t="s">
        <v>103</v>
      </c>
      <c r="TM31" s="20" t="s">
        <v>103</v>
      </c>
      <c r="TN31" s="20" t="s">
        <v>103</v>
      </c>
      <c r="TO31" s="20" t="s">
        <v>103</v>
      </c>
      <c r="TP31" s="20" t="s">
        <v>103</v>
      </c>
      <c r="TQ31" s="20" t="s">
        <v>103</v>
      </c>
      <c r="TR31" s="20" t="s">
        <v>103</v>
      </c>
      <c r="TS31" s="20" t="s">
        <v>149</v>
      </c>
      <c r="TT31" s="20" t="s">
        <v>179</v>
      </c>
      <c r="TU31" s="20" t="s">
        <v>103</v>
      </c>
      <c r="TV31" s="20" t="s">
        <v>179</v>
      </c>
      <c r="TW31" s="20" t="s">
        <v>103</v>
      </c>
      <c r="TX31" s="20" t="s">
        <v>149</v>
      </c>
      <c r="TY31" s="20" t="s">
        <v>103</v>
      </c>
      <c r="TZ31" s="20" t="s">
        <v>149</v>
      </c>
      <c r="UA31" s="20" t="s">
        <v>177</v>
      </c>
      <c r="UB31" s="20" t="s">
        <v>149</v>
      </c>
      <c r="UC31" s="20" t="s">
        <v>179</v>
      </c>
      <c r="UD31" s="15" t="s">
        <v>177</v>
      </c>
      <c r="UE31" s="20" t="s">
        <v>149</v>
      </c>
      <c r="UF31" s="20" t="s">
        <v>103</v>
      </c>
      <c r="UG31" s="20" t="s">
        <v>149</v>
      </c>
      <c r="UH31" s="15" t="s">
        <v>177</v>
      </c>
      <c r="UI31" s="20" t="s">
        <v>149</v>
      </c>
      <c r="UJ31" s="20" t="s">
        <v>149</v>
      </c>
      <c r="UK31" s="20" t="s">
        <v>149</v>
      </c>
      <c r="UL31" s="20" t="s">
        <v>103</v>
      </c>
      <c r="UM31" s="20" t="s">
        <v>103</v>
      </c>
      <c r="UN31" s="20" t="s">
        <v>103</v>
      </c>
      <c r="UO31" s="20" t="s">
        <v>103</v>
      </c>
      <c r="UP31" s="15" t="s">
        <v>177</v>
      </c>
      <c r="UQ31" s="20" t="s">
        <v>103</v>
      </c>
      <c r="UR31" s="20" t="s">
        <v>149</v>
      </c>
      <c r="US31" s="20" t="s">
        <v>103</v>
      </c>
      <c r="UT31" s="15" t="s">
        <v>103</v>
      </c>
      <c r="UU31" s="15" t="s">
        <v>103</v>
      </c>
      <c r="UV31" s="15" t="s">
        <v>103</v>
      </c>
      <c r="UW31" s="20" t="s">
        <v>149</v>
      </c>
      <c r="UX31" s="20" t="s">
        <v>103</v>
      </c>
      <c r="UY31" s="20" t="s">
        <v>149</v>
      </c>
      <c r="UZ31" s="20" t="s">
        <v>149</v>
      </c>
      <c r="VA31" s="20" t="s">
        <v>149</v>
      </c>
      <c r="VB31" s="20" t="s">
        <v>149</v>
      </c>
      <c r="VC31" s="20" t="s">
        <v>149</v>
      </c>
      <c r="VD31" s="20" t="s">
        <v>149</v>
      </c>
      <c r="VE31" s="20" t="s">
        <v>149</v>
      </c>
      <c r="VF31" s="20" t="s">
        <v>149</v>
      </c>
      <c r="VG31" s="20" t="s">
        <v>149</v>
      </c>
      <c r="VH31" s="20" t="s">
        <v>149</v>
      </c>
      <c r="VI31" s="20" t="s">
        <v>149</v>
      </c>
      <c r="VJ31" s="20" t="s">
        <v>149</v>
      </c>
      <c r="VK31" s="20" t="s">
        <v>149</v>
      </c>
      <c r="VL31" s="20" t="s">
        <v>149</v>
      </c>
      <c r="VM31" s="20" t="s">
        <v>149</v>
      </c>
      <c r="VN31" s="20" t="s">
        <v>149</v>
      </c>
      <c r="VO31" s="20" t="s">
        <v>149</v>
      </c>
      <c r="VP31" s="20" t="s">
        <v>149</v>
      </c>
      <c r="VQ31" s="20" t="s">
        <v>149</v>
      </c>
      <c r="VR31" s="20" t="s">
        <v>149</v>
      </c>
      <c r="VS31" s="20" t="s">
        <v>149</v>
      </c>
      <c r="VT31" s="20" t="s">
        <v>149</v>
      </c>
      <c r="VU31" s="20" t="s">
        <v>149</v>
      </c>
      <c r="VV31" s="20" t="s">
        <v>149</v>
      </c>
      <c r="VW31" s="20" t="s">
        <v>149</v>
      </c>
      <c r="VX31" s="20" t="s">
        <v>149</v>
      </c>
      <c r="VY31" s="20" t="s">
        <v>149</v>
      </c>
      <c r="VZ31" s="20" t="s">
        <v>149</v>
      </c>
      <c r="WA31" s="15" t="s">
        <v>149</v>
      </c>
      <c r="WB31" s="15" t="s">
        <v>149</v>
      </c>
      <c r="WC31" s="15" t="s">
        <v>149</v>
      </c>
      <c r="WD31" s="15" t="s">
        <v>149</v>
      </c>
      <c r="WE31" s="15" t="s">
        <v>149</v>
      </c>
      <c r="WF31" s="15" t="s">
        <v>149</v>
      </c>
      <c r="WG31" s="15" t="s">
        <v>149</v>
      </c>
      <c r="WH31" s="15" t="s">
        <v>149</v>
      </c>
      <c r="WI31" s="15" t="s">
        <v>149</v>
      </c>
      <c r="WJ31" s="15" t="s">
        <v>149</v>
      </c>
      <c r="WK31" s="15" t="s">
        <v>149</v>
      </c>
      <c r="WL31" s="15" t="s">
        <v>149</v>
      </c>
      <c r="WM31" s="15" t="s">
        <v>149</v>
      </c>
      <c r="WN31" s="15" t="s">
        <v>149</v>
      </c>
      <c r="WO31" s="15" t="s">
        <v>149</v>
      </c>
      <c r="WP31" s="15" t="s">
        <v>149</v>
      </c>
      <c r="WQ31" s="15" t="s">
        <v>149</v>
      </c>
      <c r="WR31" s="15" t="s">
        <v>149</v>
      </c>
      <c r="WS31" s="15" t="s">
        <v>149</v>
      </c>
      <c r="WT31" s="20" t="s">
        <v>149</v>
      </c>
      <c r="WU31" s="20" t="s">
        <v>103</v>
      </c>
      <c r="WV31" s="20" t="s">
        <v>149</v>
      </c>
      <c r="WW31" s="20" t="s">
        <v>177</v>
      </c>
      <c r="WX31" s="20" t="s">
        <v>149</v>
      </c>
      <c r="WY31" s="20" t="s">
        <v>179</v>
      </c>
      <c r="WZ31" s="20" t="s">
        <v>149</v>
      </c>
      <c r="XA31" s="15" t="s">
        <v>149</v>
      </c>
      <c r="XB31" s="20" t="s">
        <v>149</v>
      </c>
      <c r="XC31" s="15" t="s">
        <v>149</v>
      </c>
      <c r="XD31" s="20" t="s">
        <v>149</v>
      </c>
      <c r="XE31" s="15" t="s">
        <v>149</v>
      </c>
      <c r="XF31" s="20" t="s">
        <v>149</v>
      </c>
      <c r="XG31" s="20" t="s">
        <v>103</v>
      </c>
      <c r="XH31" s="20" t="s">
        <v>149</v>
      </c>
      <c r="XI31" s="15" t="s">
        <v>149</v>
      </c>
      <c r="XJ31" s="20" t="s">
        <v>149</v>
      </c>
      <c r="XK31" s="20" t="s">
        <v>149</v>
      </c>
      <c r="XL31" s="20" t="s">
        <v>149</v>
      </c>
      <c r="XM31" s="20" t="s">
        <v>149</v>
      </c>
      <c r="XN31" s="20" t="s">
        <v>149</v>
      </c>
      <c r="XO31" s="20" t="s">
        <v>149</v>
      </c>
      <c r="XP31" s="20" t="s">
        <v>149</v>
      </c>
      <c r="XQ31" s="20" t="s">
        <v>149</v>
      </c>
      <c r="XR31" s="20" t="s">
        <v>149</v>
      </c>
      <c r="XS31" s="20" t="s">
        <v>149</v>
      </c>
      <c r="XT31" s="20" t="s">
        <v>149</v>
      </c>
      <c r="XU31" s="20" t="s">
        <v>149</v>
      </c>
      <c r="XV31" s="20" t="s">
        <v>149</v>
      </c>
      <c r="XW31" s="20" t="s">
        <v>149</v>
      </c>
      <c r="XX31" s="20" t="s">
        <v>149</v>
      </c>
      <c r="XY31" s="20" t="s">
        <v>149</v>
      </c>
      <c r="XZ31" s="20" t="s">
        <v>149</v>
      </c>
      <c r="YA31" s="20" t="s">
        <v>149</v>
      </c>
      <c r="YB31" s="20" t="s">
        <v>149</v>
      </c>
      <c r="YC31" s="20" t="s">
        <v>149</v>
      </c>
      <c r="YD31" s="20" t="s">
        <v>149</v>
      </c>
      <c r="YE31" s="20" t="s">
        <v>149</v>
      </c>
      <c r="YF31" s="20" t="s">
        <v>103</v>
      </c>
      <c r="YG31" s="20" t="s">
        <v>149</v>
      </c>
      <c r="YH31" s="20" t="s">
        <v>149</v>
      </c>
      <c r="YI31" s="20" t="s">
        <v>149</v>
      </c>
      <c r="YJ31" s="20" t="s">
        <v>149</v>
      </c>
      <c r="YK31" s="20" t="s">
        <v>149</v>
      </c>
      <c r="YL31" s="20" t="s">
        <v>149</v>
      </c>
      <c r="YM31" s="20" t="s">
        <v>149</v>
      </c>
      <c r="YN31" s="20" t="s">
        <v>149</v>
      </c>
      <c r="YO31" s="20" t="s">
        <v>149</v>
      </c>
      <c r="YP31" s="20" t="s">
        <v>149</v>
      </c>
      <c r="YQ31" s="20" t="s">
        <v>149</v>
      </c>
      <c r="YR31" s="20" t="s">
        <v>149</v>
      </c>
      <c r="YS31" s="20" t="s">
        <v>149</v>
      </c>
      <c r="YT31" s="20" t="s">
        <v>149</v>
      </c>
      <c r="YU31" s="20" t="s">
        <v>149</v>
      </c>
      <c r="YV31" s="20" t="s">
        <v>149</v>
      </c>
      <c r="YW31" s="20" t="s">
        <v>149</v>
      </c>
      <c r="YX31" s="20" t="s">
        <v>149</v>
      </c>
      <c r="YY31" s="20" t="s">
        <v>149</v>
      </c>
      <c r="YZ31" s="20" t="s">
        <v>149</v>
      </c>
      <c r="ZA31" s="20" t="s">
        <v>149</v>
      </c>
      <c r="ZB31" s="20" t="s">
        <v>149</v>
      </c>
      <c r="ZC31" s="20" t="s">
        <v>149</v>
      </c>
      <c r="ZD31" s="20" t="s">
        <v>149</v>
      </c>
      <c r="ZE31" s="20" t="s">
        <v>149</v>
      </c>
      <c r="ZF31" s="20" t="s">
        <v>149</v>
      </c>
      <c r="ZG31" s="20" t="s">
        <v>149</v>
      </c>
      <c r="ZH31" s="20" t="s">
        <v>149</v>
      </c>
      <c r="ZI31" s="20" t="s">
        <v>149</v>
      </c>
      <c r="ZJ31" s="20" t="s">
        <v>149</v>
      </c>
      <c r="ZK31" s="15" t="s">
        <v>149</v>
      </c>
      <c r="ZL31" s="15" t="s">
        <v>149</v>
      </c>
      <c r="ZM31" s="15" t="s">
        <v>149</v>
      </c>
      <c r="ZN31" s="15" t="s">
        <v>149</v>
      </c>
      <c r="ZO31" s="15" t="s">
        <v>149</v>
      </c>
      <c r="ZP31" s="15" t="s">
        <v>149</v>
      </c>
      <c r="ZQ31" s="15" t="s">
        <v>103</v>
      </c>
      <c r="ZR31" s="15" t="s">
        <v>149</v>
      </c>
      <c r="ZS31" s="15" t="s">
        <v>149</v>
      </c>
      <c r="ZT31" s="15" t="s">
        <v>149</v>
      </c>
      <c r="ZU31" s="15" t="s">
        <v>149</v>
      </c>
      <c r="ZV31" s="15" t="s">
        <v>149</v>
      </c>
      <c r="ZW31" s="15" t="s">
        <v>149</v>
      </c>
      <c r="ZX31" s="15" t="s">
        <v>103</v>
      </c>
      <c r="ZY31" s="15" t="s">
        <v>149</v>
      </c>
      <c r="ZZ31" s="15" t="s">
        <v>149</v>
      </c>
      <c r="AAA31" s="15" t="s">
        <v>149</v>
      </c>
      <c r="AAB31" s="15" t="s">
        <v>149</v>
      </c>
      <c r="AAC31" s="15" t="s">
        <v>149</v>
      </c>
      <c r="AAD31" s="15" t="s">
        <v>149</v>
      </c>
      <c r="AAE31" s="15" t="s">
        <v>149</v>
      </c>
      <c r="AAF31" s="15" t="s">
        <v>149</v>
      </c>
      <c r="AAG31" s="15" t="s">
        <v>149</v>
      </c>
      <c r="AAH31" s="15" t="s">
        <v>149</v>
      </c>
      <c r="AAI31" s="15" t="s">
        <v>149</v>
      </c>
      <c r="AAJ31" s="20" t="s">
        <v>103</v>
      </c>
      <c r="AAK31" s="15" t="s">
        <v>103</v>
      </c>
      <c r="AAL31" s="15"/>
      <c r="AAM31" s="19" t="s">
        <v>103</v>
      </c>
      <c r="AAN31" s="19" t="s">
        <v>103</v>
      </c>
      <c r="AAO31" s="19" t="s">
        <v>103</v>
      </c>
      <c r="AAP31" s="19" t="s">
        <v>103</v>
      </c>
      <c r="AAQ31" s="19" t="s">
        <v>103</v>
      </c>
      <c r="AAR31" s="19" t="s">
        <v>103</v>
      </c>
      <c r="AAS31" s="19" t="s">
        <v>103</v>
      </c>
      <c r="AAT31" s="19" t="s">
        <v>103</v>
      </c>
      <c r="AAU31" s="19" t="s">
        <v>103</v>
      </c>
      <c r="AAV31" s="22" t="s">
        <v>103</v>
      </c>
      <c r="AAW31" s="15" t="s">
        <v>103</v>
      </c>
      <c r="AAX31" s="15"/>
      <c r="AAY31" s="19" t="s">
        <v>103</v>
      </c>
      <c r="AAZ31" s="19" t="s">
        <v>103</v>
      </c>
      <c r="ABA31" s="19" t="s">
        <v>103</v>
      </c>
      <c r="ABB31" s="19" t="s">
        <v>103</v>
      </c>
      <c r="ABC31" s="19" t="s">
        <v>103</v>
      </c>
      <c r="ABD31" s="19" t="s">
        <v>103</v>
      </c>
      <c r="ABE31" s="19" t="s">
        <v>103</v>
      </c>
      <c r="ABF31" s="19" t="s">
        <v>103</v>
      </c>
      <c r="ABG31" s="19" t="s">
        <v>103</v>
      </c>
      <c r="ABH31" s="22" t="s">
        <v>103</v>
      </c>
      <c r="ABI31" s="19" t="s">
        <v>103</v>
      </c>
      <c r="ABJ31" s="19" t="s">
        <v>103</v>
      </c>
      <c r="ABK31" s="15" t="s">
        <v>103</v>
      </c>
      <c r="ABL31" s="15" t="s">
        <v>103</v>
      </c>
      <c r="ABM31" s="15" t="s">
        <v>103</v>
      </c>
      <c r="ABN31" s="15" t="s">
        <v>103</v>
      </c>
      <c r="ABO31" s="15" t="s">
        <v>103</v>
      </c>
      <c r="ABP31" s="15" t="s">
        <v>103</v>
      </c>
      <c r="ABQ31" s="15" t="s">
        <v>103</v>
      </c>
      <c r="ABR31" s="15" t="s">
        <v>103</v>
      </c>
      <c r="ABS31" s="15" t="s">
        <v>103</v>
      </c>
      <c r="ABT31" s="15" t="s">
        <v>103</v>
      </c>
      <c r="ABU31" s="15" t="s">
        <v>103</v>
      </c>
      <c r="ABV31" s="15" t="s">
        <v>103</v>
      </c>
      <c r="ABW31" s="15" t="s">
        <v>103</v>
      </c>
      <c r="ABX31" s="15" t="s">
        <v>103</v>
      </c>
      <c r="ABY31" s="15" t="s">
        <v>103</v>
      </c>
      <c r="ABZ31" s="15" t="s">
        <v>103</v>
      </c>
      <c r="ACA31" s="15" t="s">
        <v>103</v>
      </c>
      <c r="ACB31" s="15" t="s">
        <v>103</v>
      </c>
      <c r="ACC31" s="15" t="s">
        <v>103</v>
      </c>
      <c r="ACD31" s="15" t="s">
        <v>103</v>
      </c>
      <c r="ACE31" s="15" t="s">
        <v>103</v>
      </c>
      <c r="ACF31" s="15" t="s">
        <v>103</v>
      </c>
      <c r="ACG31" s="15" t="s">
        <v>103</v>
      </c>
      <c r="ACH31" s="15" t="s">
        <v>103</v>
      </c>
      <c r="ACI31" s="15" t="s">
        <v>103</v>
      </c>
      <c r="ACJ31" s="15" t="s">
        <v>103</v>
      </c>
      <c r="ACK31" s="15" t="s">
        <v>103</v>
      </c>
      <c r="ACL31" s="15" t="s">
        <v>103</v>
      </c>
      <c r="ACM31" s="15" t="s">
        <v>103</v>
      </c>
      <c r="ACN31" s="15" t="s">
        <v>103</v>
      </c>
      <c r="ACO31" s="15" t="s">
        <v>103</v>
      </c>
      <c r="ACP31" s="15" t="s">
        <v>103</v>
      </c>
      <c r="ACQ31" s="15" t="s">
        <v>103</v>
      </c>
      <c r="ACR31" s="15" t="s">
        <v>103</v>
      </c>
      <c r="ACS31" s="15" t="s">
        <v>103</v>
      </c>
      <c r="ACT31" s="15" t="s">
        <v>103</v>
      </c>
      <c r="ACU31" s="15" t="s">
        <v>103</v>
      </c>
      <c r="ACV31" s="15" t="s">
        <v>103</v>
      </c>
      <c r="ACW31" s="15" t="s">
        <v>103</v>
      </c>
      <c r="ACX31" s="15" t="s">
        <v>103</v>
      </c>
      <c r="ACY31" s="15" t="s">
        <v>103</v>
      </c>
      <c r="ACZ31" s="15" t="s">
        <v>103</v>
      </c>
      <c r="ADA31" s="15" t="s">
        <v>103</v>
      </c>
      <c r="ADB31" s="15" t="s">
        <v>103</v>
      </c>
      <c r="ADC31" s="15" t="s">
        <v>103</v>
      </c>
      <c r="ADD31" s="15" t="s">
        <v>103</v>
      </c>
      <c r="ADE31" s="20" t="s">
        <v>103</v>
      </c>
      <c r="ADF31" s="15" t="s">
        <v>103</v>
      </c>
      <c r="ADG31" s="15" t="s">
        <v>103</v>
      </c>
      <c r="ADH31" s="15"/>
      <c r="ADI31" s="19" t="s">
        <v>103</v>
      </c>
      <c r="ADJ31" s="19" t="s">
        <v>103</v>
      </c>
      <c r="ADK31" s="19" t="s">
        <v>103</v>
      </c>
      <c r="ADL31" s="19" t="s">
        <v>103</v>
      </c>
      <c r="ADM31" s="19" t="s">
        <v>103</v>
      </c>
      <c r="ADN31" s="19" t="s">
        <v>103</v>
      </c>
      <c r="ADO31" s="19" t="s">
        <v>103</v>
      </c>
      <c r="ADP31" s="19" t="s">
        <v>103</v>
      </c>
      <c r="ADQ31" s="19" t="s">
        <v>103</v>
      </c>
      <c r="ADR31" s="22" t="s">
        <v>103</v>
      </c>
      <c r="ADS31" s="19" t="s">
        <v>103</v>
      </c>
      <c r="ADT31" s="19" t="s">
        <v>103</v>
      </c>
      <c r="ADU31" s="15" t="s">
        <v>103</v>
      </c>
      <c r="ADV31" s="15" t="s">
        <v>103</v>
      </c>
      <c r="ADW31" s="15" t="s">
        <v>103</v>
      </c>
      <c r="ADX31" s="15" t="s">
        <v>103</v>
      </c>
      <c r="ADY31" s="15" t="s">
        <v>103</v>
      </c>
      <c r="ADZ31" s="15" t="s">
        <v>103</v>
      </c>
      <c r="AEA31" s="15" t="s">
        <v>103</v>
      </c>
      <c r="AEB31" s="15" t="s">
        <v>103</v>
      </c>
      <c r="AEC31" s="15" t="s">
        <v>103</v>
      </c>
      <c r="AED31" s="15" t="s">
        <v>103</v>
      </c>
      <c r="AEE31" s="15" t="s">
        <v>103</v>
      </c>
      <c r="AEF31" s="15" t="s">
        <v>103</v>
      </c>
      <c r="AEG31" s="15" t="s">
        <v>103</v>
      </c>
      <c r="AEH31" s="15" t="s">
        <v>103</v>
      </c>
      <c r="AEI31" s="15" t="s">
        <v>103</v>
      </c>
      <c r="AEJ31" s="15" t="s">
        <v>103</v>
      </c>
      <c r="AEK31" s="15" t="s">
        <v>103</v>
      </c>
      <c r="AEL31" s="15" t="s">
        <v>103</v>
      </c>
      <c r="AEM31" s="15" t="s">
        <v>103</v>
      </c>
      <c r="AEN31" s="15" t="s">
        <v>103</v>
      </c>
      <c r="AEO31" s="15" t="s">
        <v>103</v>
      </c>
      <c r="AEP31" s="15" t="s">
        <v>103</v>
      </c>
      <c r="AEQ31" s="15" t="s">
        <v>103</v>
      </c>
      <c r="AER31" s="15" t="s">
        <v>103</v>
      </c>
      <c r="AES31" s="15" t="s">
        <v>103</v>
      </c>
      <c r="AET31" s="15" t="s">
        <v>103</v>
      </c>
      <c r="AEU31" s="15" t="s">
        <v>103</v>
      </c>
      <c r="AEV31" s="15" t="s">
        <v>103</v>
      </c>
      <c r="AEW31" s="15" t="s">
        <v>103</v>
      </c>
      <c r="AEX31" s="15" t="s">
        <v>103</v>
      </c>
      <c r="AEY31" s="15" t="s">
        <v>103</v>
      </c>
      <c r="AEZ31" s="15" t="s">
        <v>103</v>
      </c>
      <c r="AFA31" s="15" t="s">
        <v>103</v>
      </c>
      <c r="AFB31" s="15" t="s">
        <v>103</v>
      </c>
      <c r="AFC31" s="15" t="s">
        <v>103</v>
      </c>
      <c r="AFD31" s="15" t="s">
        <v>103</v>
      </c>
      <c r="AFE31" s="15" t="s">
        <v>103</v>
      </c>
      <c r="AFF31" s="15" t="s">
        <v>103</v>
      </c>
      <c r="AFG31" s="15" t="s">
        <v>103</v>
      </c>
      <c r="AFH31" s="15" t="s">
        <v>103</v>
      </c>
      <c r="AFI31" s="15" t="s">
        <v>103</v>
      </c>
      <c r="AFJ31" s="15" t="s">
        <v>103</v>
      </c>
      <c r="AFK31" s="15" t="s">
        <v>103</v>
      </c>
      <c r="AFL31" s="15" t="s">
        <v>103</v>
      </c>
      <c r="AFM31" s="15" t="s">
        <v>103</v>
      </c>
      <c r="AFN31" s="15" t="s">
        <v>103</v>
      </c>
      <c r="AFO31" s="20" t="s">
        <v>103</v>
      </c>
      <c r="AFP31" s="15" t="s">
        <v>103</v>
      </c>
      <c r="AFQ31" s="15" t="s">
        <v>103</v>
      </c>
      <c r="AFR31" s="15"/>
      <c r="AFS31" s="15" t="s">
        <v>103</v>
      </c>
      <c r="AFT31" s="15" t="s">
        <v>103</v>
      </c>
      <c r="AFU31" s="15" t="s">
        <v>103</v>
      </c>
      <c r="AFV31" s="15" t="s">
        <v>103</v>
      </c>
      <c r="AFW31" s="15" t="s">
        <v>103</v>
      </c>
      <c r="AFX31" s="15" t="s">
        <v>103</v>
      </c>
      <c r="AFY31" s="15" t="s">
        <v>103</v>
      </c>
      <c r="AFZ31" s="15" t="s">
        <v>103</v>
      </c>
      <c r="AGA31" s="15" t="s">
        <v>103</v>
      </c>
      <c r="AGB31" s="15" t="s">
        <v>103</v>
      </c>
      <c r="AGC31" s="15" t="s">
        <v>103</v>
      </c>
      <c r="AGD31" s="15" t="s">
        <v>103</v>
      </c>
      <c r="AGE31" s="15" t="s">
        <v>103</v>
      </c>
      <c r="AGF31" s="15" t="s">
        <v>103</v>
      </c>
      <c r="AGG31" s="15" t="s">
        <v>103</v>
      </c>
      <c r="AGH31" s="15" t="s">
        <v>103</v>
      </c>
      <c r="AGI31" s="15" t="s">
        <v>103</v>
      </c>
      <c r="AGJ31" s="15" t="s">
        <v>103</v>
      </c>
      <c r="AGK31" s="15" t="s">
        <v>103</v>
      </c>
      <c r="AGL31" s="15" t="s">
        <v>103</v>
      </c>
      <c r="AGM31" s="15" t="s">
        <v>103</v>
      </c>
      <c r="AGN31" s="15" t="s">
        <v>103</v>
      </c>
      <c r="AGO31" s="15" t="s">
        <v>103</v>
      </c>
      <c r="AGP31" s="15" t="s">
        <v>103</v>
      </c>
      <c r="AGQ31" s="15" t="s">
        <v>103</v>
      </c>
      <c r="AGR31" s="15" t="s">
        <v>103</v>
      </c>
      <c r="AGS31" s="15" t="s">
        <v>103</v>
      </c>
      <c r="AGT31" s="15" t="s">
        <v>103</v>
      </c>
      <c r="AGU31" s="15" t="s">
        <v>103</v>
      </c>
      <c r="AGV31" s="15" t="s">
        <v>103</v>
      </c>
      <c r="AGW31" s="15" t="s">
        <v>103</v>
      </c>
      <c r="AGX31" s="15" t="s">
        <v>103</v>
      </c>
      <c r="AGY31" s="15" t="s">
        <v>103</v>
      </c>
      <c r="AGZ31" s="15" t="s">
        <v>103</v>
      </c>
      <c r="AHA31" s="15" t="s">
        <v>103</v>
      </c>
      <c r="AHB31" s="15" t="s">
        <v>103</v>
      </c>
      <c r="AHC31" s="15" t="s">
        <v>103</v>
      </c>
      <c r="AHD31" s="15" t="s">
        <v>103</v>
      </c>
      <c r="AHE31" s="15" t="s">
        <v>103</v>
      </c>
      <c r="AHF31" s="15" t="s">
        <v>103</v>
      </c>
      <c r="AHG31" s="15" t="s">
        <v>103</v>
      </c>
      <c r="AHH31" s="15" t="s">
        <v>103</v>
      </c>
      <c r="AHI31" s="15" t="s">
        <v>103</v>
      </c>
      <c r="AHJ31" s="15" t="s">
        <v>103</v>
      </c>
      <c r="AHK31" s="15" t="s">
        <v>103</v>
      </c>
      <c r="AHL31" s="15" t="s">
        <v>103</v>
      </c>
      <c r="AHM31" s="15" t="s">
        <v>103</v>
      </c>
      <c r="AHN31" s="15" t="s">
        <v>103</v>
      </c>
      <c r="AHO31" s="15" t="s">
        <v>103</v>
      </c>
      <c r="AHP31" s="15" t="s">
        <v>103</v>
      </c>
      <c r="AHQ31" s="15" t="s">
        <v>103</v>
      </c>
      <c r="AHR31" s="15" t="s">
        <v>103</v>
      </c>
      <c r="AHS31" s="15" t="s">
        <v>103</v>
      </c>
      <c r="AHT31" s="15" t="s">
        <v>103</v>
      </c>
      <c r="AHU31" s="15" t="s">
        <v>103</v>
      </c>
      <c r="AHV31" s="15" t="s">
        <v>103</v>
      </c>
      <c r="AHW31" s="15" t="s">
        <v>103</v>
      </c>
      <c r="AHX31" s="15" t="s">
        <v>103</v>
      </c>
      <c r="AHY31" s="15" t="s">
        <v>103</v>
      </c>
      <c r="AHZ31" s="15" t="s">
        <v>103</v>
      </c>
      <c r="AIA31" s="15" t="s">
        <v>103</v>
      </c>
      <c r="AIB31" s="15" t="s">
        <v>103</v>
      </c>
      <c r="AIC31" s="15" t="s">
        <v>103</v>
      </c>
      <c r="AID31" s="15" t="s">
        <v>103</v>
      </c>
      <c r="AIE31" s="15" t="s">
        <v>103</v>
      </c>
      <c r="AIF31" s="15" t="s">
        <v>103</v>
      </c>
      <c r="AIG31" s="15" t="s">
        <v>103</v>
      </c>
      <c r="AIH31" s="15" t="s">
        <v>103</v>
      </c>
      <c r="AII31" s="15" t="s">
        <v>103</v>
      </c>
      <c r="AIJ31" s="15" t="s">
        <v>103</v>
      </c>
      <c r="AIK31" s="15" t="s">
        <v>103</v>
      </c>
      <c r="AIL31" s="15" t="s">
        <v>103</v>
      </c>
      <c r="AIM31" s="15" t="s">
        <v>103</v>
      </c>
      <c r="AIN31" s="15" t="s">
        <v>103</v>
      </c>
      <c r="AIO31" s="15" t="s">
        <v>103</v>
      </c>
      <c r="AIP31" s="15" t="s">
        <v>103</v>
      </c>
      <c r="AIQ31" s="15" t="s">
        <v>103</v>
      </c>
      <c r="AIR31" s="15" t="s">
        <v>103</v>
      </c>
      <c r="AIS31" s="15" t="s">
        <v>103</v>
      </c>
      <c r="AIT31" s="15" t="s">
        <v>103</v>
      </c>
      <c r="AIU31" s="15" t="s">
        <v>103</v>
      </c>
      <c r="AIV31" s="15" t="s">
        <v>103</v>
      </c>
      <c r="AIW31" s="15" t="s">
        <v>103</v>
      </c>
      <c r="AIX31" s="15" t="s">
        <v>103</v>
      </c>
      <c r="AIY31" s="15" t="s">
        <v>103</v>
      </c>
      <c r="AIZ31" s="15" t="s">
        <v>103</v>
      </c>
      <c r="AJA31" s="15" t="s">
        <v>103</v>
      </c>
      <c r="AJB31" s="15" t="s">
        <v>149</v>
      </c>
      <c r="AJC31" s="15" t="s">
        <v>177</v>
      </c>
      <c r="AJD31" s="15" t="s">
        <v>149</v>
      </c>
      <c r="AJE31" s="15" t="s">
        <v>149</v>
      </c>
      <c r="AJF31" s="15"/>
      <c r="AJG31" s="19" t="s">
        <v>103</v>
      </c>
      <c r="AJH31" s="19" t="s">
        <v>103</v>
      </c>
      <c r="AJI31" s="19" t="s">
        <v>103</v>
      </c>
      <c r="AJJ31" s="19" t="s">
        <v>103</v>
      </c>
      <c r="AJK31" s="19" t="s">
        <v>103</v>
      </c>
      <c r="AJL31" s="19" t="s">
        <v>103</v>
      </c>
      <c r="AJM31" s="19" t="s">
        <v>103</v>
      </c>
      <c r="AJN31" s="19"/>
      <c r="AJO31" s="19" t="s">
        <v>103</v>
      </c>
      <c r="AJP31" s="19" t="s">
        <v>103</v>
      </c>
      <c r="AJQ31" s="19" t="s">
        <v>103</v>
      </c>
      <c r="AJR31" s="19" t="s">
        <v>103</v>
      </c>
      <c r="AJS31" s="19" t="s">
        <v>103</v>
      </c>
      <c r="AJT31" s="19" t="s">
        <v>103</v>
      </c>
      <c r="AJU31" s="19" t="s">
        <v>103</v>
      </c>
      <c r="AJV31" s="19" t="s">
        <v>103</v>
      </c>
      <c r="AJW31" s="19" t="s">
        <v>103</v>
      </c>
      <c r="AJX31" s="19"/>
      <c r="AJY31" s="19" t="s">
        <v>103</v>
      </c>
      <c r="AJZ31" s="19" t="s">
        <v>103</v>
      </c>
      <c r="AKA31" s="19" t="s">
        <v>103</v>
      </c>
      <c r="AKB31" s="19" t="s">
        <v>103</v>
      </c>
      <c r="AKC31" s="19" t="s">
        <v>103</v>
      </c>
      <c r="AKD31" s="19" t="s">
        <v>103</v>
      </c>
      <c r="AKE31" s="19" t="s">
        <v>103</v>
      </c>
      <c r="AKF31" s="19" t="s">
        <v>103</v>
      </c>
      <c r="AKG31" s="19" t="s">
        <v>103</v>
      </c>
      <c r="AKH31" s="19" t="s">
        <v>103</v>
      </c>
      <c r="AKI31" s="19"/>
      <c r="AKJ31" s="19" t="s">
        <v>103</v>
      </c>
      <c r="AKK31" s="19" t="s">
        <v>103</v>
      </c>
      <c r="AKL31" s="19" t="s">
        <v>103</v>
      </c>
      <c r="AKM31" s="19" t="s">
        <v>103</v>
      </c>
      <c r="AKN31" s="19" t="s">
        <v>103</v>
      </c>
      <c r="AKO31" s="19" t="s">
        <v>103</v>
      </c>
      <c r="AKP31" s="19" t="s">
        <v>103</v>
      </c>
      <c r="AKQ31" s="19" t="s">
        <v>103</v>
      </c>
      <c r="AKR31" s="19" t="s">
        <v>103</v>
      </c>
      <c r="AKS31" s="19" t="s">
        <v>103</v>
      </c>
      <c r="AKT31" s="19" t="s">
        <v>103</v>
      </c>
      <c r="AKU31" s="19" t="s">
        <v>103</v>
      </c>
      <c r="AKV31" s="19" t="s">
        <v>103</v>
      </c>
      <c r="AKW31" s="19" t="s">
        <v>103</v>
      </c>
      <c r="AKX31" s="19"/>
      <c r="AKY31" s="19" t="s">
        <v>103</v>
      </c>
      <c r="AKZ31" s="19" t="s">
        <v>103</v>
      </c>
      <c r="ALA31" s="19" t="s">
        <v>103</v>
      </c>
      <c r="ALB31" s="19" t="s">
        <v>103</v>
      </c>
      <c r="ALC31" s="19" t="s">
        <v>103</v>
      </c>
      <c r="ALD31" s="19" t="s">
        <v>103</v>
      </c>
      <c r="ALE31" s="19" t="s">
        <v>103</v>
      </c>
      <c r="ALF31" s="19" t="s">
        <v>103</v>
      </c>
      <c r="ALG31" s="19" t="s">
        <v>103</v>
      </c>
      <c r="ALH31" s="19" t="s">
        <v>103</v>
      </c>
      <c r="ALI31" s="19" t="s">
        <v>103</v>
      </c>
      <c r="ALJ31" s="19" t="s">
        <v>103</v>
      </c>
      <c r="ALK31" s="19" t="s">
        <v>103</v>
      </c>
      <c r="ALL31" s="19" t="s">
        <v>103</v>
      </c>
      <c r="ALM31" s="15"/>
      <c r="ALN31" s="19" t="s">
        <v>103</v>
      </c>
      <c r="ALO31" s="19" t="s">
        <v>103</v>
      </c>
      <c r="ALP31" s="19" t="s">
        <v>103</v>
      </c>
      <c r="ALQ31" s="19" t="s">
        <v>103</v>
      </c>
      <c r="ALR31" s="19" t="s">
        <v>103</v>
      </c>
      <c r="ALS31" s="19" t="s">
        <v>103</v>
      </c>
      <c r="ALT31" s="19" t="s">
        <v>103</v>
      </c>
      <c r="ALU31" s="19" t="s">
        <v>103</v>
      </c>
      <c r="ALV31" s="19" t="s">
        <v>103</v>
      </c>
      <c r="ALW31" s="22" t="s">
        <v>103</v>
      </c>
      <c r="ALX31" s="22" t="s">
        <v>103</v>
      </c>
      <c r="ALY31" s="22" t="s">
        <v>103</v>
      </c>
      <c r="ALZ31" s="22" t="s">
        <v>103</v>
      </c>
      <c r="AMA31" s="22" t="s">
        <v>103</v>
      </c>
      <c r="AMB31" s="22" t="s">
        <v>103</v>
      </c>
      <c r="AMC31" s="15"/>
      <c r="AMD31" s="15" t="s">
        <v>103</v>
      </c>
      <c r="AME31" s="15" t="s">
        <v>103</v>
      </c>
      <c r="AMF31" s="15" t="s">
        <v>103</v>
      </c>
      <c r="AMG31" s="15" t="s">
        <v>103</v>
      </c>
      <c r="AMH31" s="15" t="s">
        <v>103</v>
      </c>
      <c r="AMI31" s="15" t="s">
        <v>103</v>
      </c>
      <c r="AMJ31" s="15" t="s">
        <v>103</v>
      </c>
      <c r="AMK31" s="15" t="s">
        <v>103</v>
      </c>
      <c r="AML31" s="15" t="s">
        <v>103</v>
      </c>
      <c r="AMM31" s="15" t="s">
        <v>103</v>
      </c>
      <c r="AMN31" s="15" t="s">
        <v>103</v>
      </c>
      <c r="AMO31" s="15" t="s">
        <v>103</v>
      </c>
      <c r="AMP31" s="15" t="s">
        <v>103</v>
      </c>
      <c r="AMQ31" s="15" t="s">
        <v>103</v>
      </c>
      <c r="AMR31" s="15" t="s">
        <v>103</v>
      </c>
      <c r="AMS31" s="15" t="s">
        <v>103</v>
      </c>
      <c r="AMT31" s="15" t="s">
        <v>103</v>
      </c>
      <c r="AMU31" s="15" t="s">
        <v>103</v>
      </c>
      <c r="AMV31" s="15" t="s">
        <v>103</v>
      </c>
      <c r="AMW31" s="15" t="s">
        <v>103</v>
      </c>
      <c r="AMX31" s="15" t="s">
        <v>103</v>
      </c>
      <c r="AMY31" s="15" t="s">
        <v>103</v>
      </c>
      <c r="AMZ31" s="15" t="s">
        <v>103</v>
      </c>
      <c r="ANA31" s="15" t="s">
        <v>103</v>
      </c>
      <c r="ANB31" s="15" t="s">
        <v>103</v>
      </c>
      <c r="ANC31" s="15" t="s">
        <v>103</v>
      </c>
      <c r="AND31" s="15" t="s">
        <v>103</v>
      </c>
      <c r="ANE31" s="15"/>
      <c r="ANF31" s="15"/>
      <c r="ANG31" s="15"/>
      <c r="ANH31" s="15"/>
      <c r="ANI31" s="15"/>
      <c r="ANJ31" s="15"/>
      <c r="ANK31" s="15"/>
      <c r="ANL31" s="15"/>
      <c r="ANM31" s="15"/>
      <c r="ANN31" s="15"/>
      <c r="ANO31" s="15"/>
      <c r="ANP31" s="15"/>
      <c r="ANQ31" s="15"/>
      <c r="ANR31" s="15"/>
      <c r="ANS31" s="15"/>
      <c r="ANT31" s="15"/>
      <c r="ANU31" s="15"/>
      <c r="ANV31" s="15"/>
      <c r="ANW31" s="15"/>
      <c r="ANX31" s="15"/>
      <c r="ANY31" s="15"/>
      <c r="ANZ31" s="15"/>
      <c r="AOA31" s="15"/>
      <c r="AOB31" s="15"/>
      <c r="AOC31" s="15"/>
      <c r="AOD31" s="15"/>
      <c r="AOE31" s="15"/>
      <c r="AOF31" s="15"/>
      <c r="AOG31" s="15"/>
      <c r="AOH31" s="15"/>
      <c r="AOI31" s="15"/>
      <c r="AOJ31" s="15"/>
      <c r="AOK31" s="15"/>
      <c r="AOL31" s="15"/>
      <c r="AOM31" s="15"/>
      <c r="AON31" s="15"/>
      <c r="AOO31" s="15"/>
      <c r="AOP31" s="15"/>
      <c r="AOQ31" s="15"/>
      <c r="AOR31" s="15"/>
      <c r="AOS31" s="15"/>
      <c r="AOT31" s="15"/>
      <c r="AOU31" s="15"/>
      <c r="AOV31" s="15"/>
      <c r="AOW31" s="15"/>
      <c r="AOX31" s="15"/>
      <c r="AOY31" s="15"/>
      <c r="AOZ31" s="15"/>
      <c r="APA31" s="15"/>
      <c r="APB31" s="15"/>
      <c r="APC31" s="15"/>
      <c r="APD31" s="15"/>
      <c r="APE31" s="15"/>
      <c r="APF31" s="15"/>
      <c r="APG31" s="15"/>
      <c r="APH31" s="15"/>
      <c r="API31" s="15"/>
      <c r="APJ31" s="15"/>
      <c r="APK31" s="15"/>
      <c r="APL31" s="15"/>
      <c r="APM31" s="15"/>
      <c r="APN31" s="15"/>
      <c r="APO31" s="15"/>
      <c r="APP31" s="15"/>
      <c r="APQ31" s="15"/>
      <c r="APR31" s="15"/>
      <c r="APS31" s="15"/>
      <c r="APT31" s="15"/>
      <c r="APU31" s="15"/>
      <c r="APV31" s="15"/>
      <c r="APW31" s="15"/>
      <c r="APX31" s="15"/>
      <c r="APY31" s="15"/>
      <c r="APZ31" s="15"/>
      <c r="AQA31" s="15"/>
      <c r="AQB31" s="15"/>
    </row>
    <row r="32" spans="1:1120" s="17" customFormat="1" ht="15" customHeight="1" x14ac:dyDescent="0.25">
      <c r="A32" s="3" t="s">
        <v>2</v>
      </c>
      <c r="B32" s="6" t="s">
        <v>37</v>
      </c>
      <c r="C32" s="19"/>
      <c r="D32" s="19" t="s">
        <v>74</v>
      </c>
      <c r="E32" s="19" t="s">
        <v>74</v>
      </c>
      <c r="F32" s="19" t="s">
        <v>74</v>
      </c>
      <c r="G32" s="19" t="s">
        <v>74</v>
      </c>
      <c r="H32" s="19" t="s">
        <v>74</v>
      </c>
      <c r="I32" s="19" t="s">
        <v>74</v>
      </c>
      <c r="J32" s="19"/>
      <c r="K32" s="19" t="s">
        <v>74</v>
      </c>
      <c r="L32" s="19" t="s">
        <v>74</v>
      </c>
      <c r="M32" s="19" t="s">
        <v>74</v>
      </c>
      <c r="N32" s="19" t="s">
        <v>74</v>
      </c>
      <c r="O32" s="19" t="s">
        <v>74</v>
      </c>
      <c r="P32" s="19" t="s">
        <v>74</v>
      </c>
      <c r="Q32" s="19"/>
      <c r="R32" s="19" t="s">
        <v>74</v>
      </c>
      <c r="S32" s="19" t="s">
        <v>74</v>
      </c>
      <c r="T32" s="19" t="s">
        <v>74</v>
      </c>
      <c r="U32" s="19" t="s">
        <v>74</v>
      </c>
      <c r="V32" s="19" t="s">
        <v>74</v>
      </c>
      <c r="W32" s="19" t="s">
        <v>74</v>
      </c>
      <c r="X32" s="19"/>
      <c r="Y32" s="19" t="s">
        <v>74</v>
      </c>
      <c r="Z32" s="19" t="s">
        <v>74</v>
      </c>
      <c r="AA32" s="19" t="s">
        <v>74</v>
      </c>
      <c r="AB32" s="19" t="s">
        <v>74</v>
      </c>
      <c r="AC32" s="19" t="s">
        <v>74</v>
      </c>
      <c r="AD32" s="19" t="s">
        <v>74</v>
      </c>
      <c r="AE32" s="19"/>
      <c r="AF32" s="19" t="s">
        <v>74</v>
      </c>
      <c r="AG32" s="19" t="s">
        <v>74</v>
      </c>
      <c r="AH32" s="19" t="s">
        <v>74</v>
      </c>
      <c r="AI32" s="19" t="s">
        <v>74</v>
      </c>
      <c r="AJ32" s="19" t="s">
        <v>74</v>
      </c>
      <c r="AK32" s="19" t="s">
        <v>74</v>
      </c>
      <c r="AL32" s="19"/>
      <c r="AM32" s="19" t="s">
        <v>74</v>
      </c>
      <c r="AN32" s="19" t="s">
        <v>74</v>
      </c>
      <c r="AO32" s="19" t="s">
        <v>74</v>
      </c>
      <c r="AP32" s="19" t="s">
        <v>74</v>
      </c>
      <c r="AQ32" s="19" t="s">
        <v>74</v>
      </c>
      <c r="AR32" s="22" t="s">
        <v>74</v>
      </c>
      <c r="AS32" s="22" t="s">
        <v>74</v>
      </c>
      <c r="AT32" s="22" t="s">
        <v>74</v>
      </c>
      <c r="AU32" s="22" t="s">
        <v>74</v>
      </c>
      <c r="AV32" s="22" t="s">
        <v>74</v>
      </c>
      <c r="AW32" s="22" t="s">
        <v>74</v>
      </c>
      <c r="AX32" s="22" t="s">
        <v>74</v>
      </c>
      <c r="AY32" s="22" t="s">
        <v>74</v>
      </c>
      <c r="AZ32" s="22" t="s">
        <v>74</v>
      </c>
      <c r="BA32" s="22" t="s">
        <v>74</v>
      </c>
      <c r="BB32" s="22" t="s">
        <v>74</v>
      </c>
      <c r="BC32" s="22" t="s">
        <v>74</v>
      </c>
      <c r="BD32" s="22" t="s">
        <v>74</v>
      </c>
      <c r="BE32" s="22" t="s">
        <v>74</v>
      </c>
      <c r="BF32" s="22" t="s">
        <v>74</v>
      </c>
      <c r="BG32" s="22" t="s">
        <v>74</v>
      </c>
      <c r="BH32" s="22" t="s">
        <v>74</v>
      </c>
      <c r="BI32" s="22" t="s">
        <v>74</v>
      </c>
      <c r="BJ32" s="22" t="s">
        <v>74</v>
      </c>
      <c r="BK32" s="22" t="s">
        <v>74</v>
      </c>
      <c r="BL32" s="22" t="s">
        <v>74</v>
      </c>
      <c r="BM32" s="22" t="s">
        <v>74</v>
      </c>
      <c r="BN32" s="22" t="s">
        <v>74</v>
      </c>
      <c r="BO32" s="22" t="s">
        <v>74</v>
      </c>
      <c r="BP32" s="22" t="s">
        <v>74</v>
      </c>
      <c r="BQ32" s="22" t="s">
        <v>74</v>
      </c>
      <c r="BR32" s="22" t="s">
        <v>74</v>
      </c>
      <c r="BS32" s="22" t="s">
        <v>74</v>
      </c>
      <c r="BT32" s="22" t="s">
        <v>74</v>
      </c>
      <c r="BU32" s="22" t="s">
        <v>74</v>
      </c>
      <c r="BV32" s="22" t="s">
        <v>74</v>
      </c>
      <c r="BW32" s="22" t="s">
        <v>74</v>
      </c>
      <c r="BX32" s="22" t="s">
        <v>74</v>
      </c>
      <c r="BY32" s="22" t="s">
        <v>74</v>
      </c>
      <c r="BZ32" s="22" t="s">
        <v>74</v>
      </c>
      <c r="CA32" s="22" t="s">
        <v>74</v>
      </c>
      <c r="CB32" s="22" t="s">
        <v>74</v>
      </c>
      <c r="CC32" s="22" t="s">
        <v>74</v>
      </c>
      <c r="CD32" s="22" t="s">
        <v>74</v>
      </c>
      <c r="CE32" s="22" t="s">
        <v>74</v>
      </c>
      <c r="CF32" s="22" t="s">
        <v>74</v>
      </c>
      <c r="CG32" s="22" t="s">
        <v>74</v>
      </c>
      <c r="CH32" s="22" t="s">
        <v>74</v>
      </c>
      <c r="CI32" s="22" t="s">
        <v>74</v>
      </c>
      <c r="CJ32" s="22" t="s">
        <v>74</v>
      </c>
      <c r="CK32" s="22" t="s">
        <v>74</v>
      </c>
      <c r="CL32" s="22" t="s">
        <v>74</v>
      </c>
      <c r="CM32" s="22" t="s">
        <v>74</v>
      </c>
      <c r="CN32" s="22" t="s">
        <v>74</v>
      </c>
      <c r="CO32" s="22" t="s">
        <v>74</v>
      </c>
      <c r="CP32" s="22" t="s">
        <v>74</v>
      </c>
      <c r="CQ32" s="22" t="s">
        <v>74</v>
      </c>
      <c r="CR32" s="22" t="s">
        <v>74</v>
      </c>
      <c r="CS32" s="22" t="s">
        <v>74</v>
      </c>
      <c r="CT32" s="22" t="s">
        <v>74</v>
      </c>
      <c r="CU32" s="22" t="s">
        <v>74</v>
      </c>
      <c r="CV32" s="22" t="s">
        <v>74</v>
      </c>
      <c r="CW32" s="22" t="s">
        <v>74</v>
      </c>
      <c r="CX32" s="22" t="s">
        <v>74</v>
      </c>
      <c r="CY32" s="22" t="s">
        <v>74</v>
      </c>
      <c r="CZ32" s="22" t="s">
        <v>74</v>
      </c>
      <c r="DA32" s="22" t="s">
        <v>74</v>
      </c>
      <c r="DB32" s="22" t="s">
        <v>74</v>
      </c>
      <c r="DC32" s="22" t="s">
        <v>74</v>
      </c>
      <c r="DD32" s="22" t="s">
        <v>74</v>
      </c>
      <c r="DE32" s="22" t="s">
        <v>74</v>
      </c>
      <c r="DF32" s="22" t="s">
        <v>74</v>
      </c>
      <c r="DG32" s="22" t="s">
        <v>74</v>
      </c>
      <c r="DH32" s="22" t="s">
        <v>74</v>
      </c>
      <c r="DI32" s="22" t="s">
        <v>74</v>
      </c>
      <c r="DJ32" s="22" t="s">
        <v>74</v>
      </c>
      <c r="DK32" s="22" t="s">
        <v>74</v>
      </c>
      <c r="DL32" s="22" t="s">
        <v>74</v>
      </c>
      <c r="DM32" s="22" t="s">
        <v>74</v>
      </c>
      <c r="DN32" s="22" t="s">
        <v>74</v>
      </c>
      <c r="DO32" s="22" t="s">
        <v>74</v>
      </c>
      <c r="DP32" s="22" t="s">
        <v>74</v>
      </c>
      <c r="DQ32" s="22" t="s">
        <v>74</v>
      </c>
      <c r="DR32" s="22" t="s">
        <v>74</v>
      </c>
      <c r="DS32" s="22" t="s">
        <v>74</v>
      </c>
      <c r="DT32" s="22" t="s">
        <v>74</v>
      </c>
      <c r="DU32" s="22" t="s">
        <v>74</v>
      </c>
      <c r="DV32" s="22" t="s">
        <v>74</v>
      </c>
      <c r="DW32" s="22" t="s">
        <v>74</v>
      </c>
      <c r="DX32" s="22" t="s">
        <v>74</v>
      </c>
      <c r="DY32" s="22" t="s">
        <v>74</v>
      </c>
      <c r="DZ32" s="22" t="s">
        <v>74</v>
      </c>
      <c r="EA32" s="22" t="s">
        <v>74</v>
      </c>
      <c r="EB32" s="22" t="s">
        <v>74</v>
      </c>
      <c r="EC32" s="22" t="s">
        <v>74</v>
      </c>
      <c r="ED32" s="22" t="s">
        <v>74</v>
      </c>
      <c r="EE32" s="22" t="s">
        <v>74</v>
      </c>
      <c r="EF32" s="22" t="s">
        <v>74</v>
      </c>
      <c r="EG32" s="22" t="s">
        <v>74</v>
      </c>
      <c r="EH32" s="22" t="s">
        <v>74</v>
      </c>
      <c r="EI32" s="22" t="s">
        <v>74</v>
      </c>
      <c r="EJ32" s="22" t="s">
        <v>74</v>
      </c>
      <c r="EK32" s="22" t="s">
        <v>74</v>
      </c>
      <c r="EL32" s="22" t="s">
        <v>74</v>
      </c>
      <c r="EM32" s="22" t="s">
        <v>74</v>
      </c>
      <c r="EN32" s="22" t="s">
        <v>74</v>
      </c>
      <c r="EO32" s="22" t="s">
        <v>74</v>
      </c>
      <c r="EP32" s="22" t="s">
        <v>74</v>
      </c>
      <c r="EQ32" s="22" t="s">
        <v>74</v>
      </c>
      <c r="ER32" s="22" t="s">
        <v>74</v>
      </c>
      <c r="ES32" s="22" t="s">
        <v>74</v>
      </c>
      <c r="ET32" s="22" t="s">
        <v>74</v>
      </c>
      <c r="EU32" s="22" t="s">
        <v>74</v>
      </c>
      <c r="EV32" s="22" t="s">
        <v>74</v>
      </c>
      <c r="EW32" s="22" t="s">
        <v>74</v>
      </c>
      <c r="EX32" s="22" t="s">
        <v>74</v>
      </c>
      <c r="EY32" s="22" t="s">
        <v>74</v>
      </c>
      <c r="EZ32" s="22" t="s">
        <v>74</v>
      </c>
      <c r="FA32" s="22" t="s">
        <v>74</v>
      </c>
      <c r="FB32" s="22" t="s">
        <v>74</v>
      </c>
      <c r="FC32" s="22" t="s">
        <v>74</v>
      </c>
      <c r="FD32" s="19"/>
      <c r="FE32" s="22" t="s">
        <v>74</v>
      </c>
      <c r="FF32" s="22" t="s">
        <v>74</v>
      </c>
      <c r="FG32" s="22" t="s">
        <v>74</v>
      </c>
      <c r="FH32" s="22" t="s">
        <v>74</v>
      </c>
      <c r="FI32" s="22" t="s">
        <v>74</v>
      </c>
      <c r="FJ32" s="22" t="s">
        <v>74</v>
      </c>
      <c r="FK32" s="22" t="s">
        <v>74</v>
      </c>
      <c r="FL32" s="22" t="s">
        <v>74</v>
      </c>
      <c r="FM32" s="22" t="s">
        <v>74</v>
      </c>
      <c r="FN32" s="22" t="s">
        <v>74</v>
      </c>
      <c r="FO32" s="22" t="s">
        <v>74</v>
      </c>
      <c r="FP32" s="22" t="s">
        <v>74</v>
      </c>
      <c r="FQ32" s="22" t="s">
        <v>74</v>
      </c>
      <c r="FR32" s="22" t="s">
        <v>74</v>
      </c>
      <c r="FS32" s="22" t="s">
        <v>74</v>
      </c>
      <c r="FT32" s="22" t="s">
        <v>74</v>
      </c>
      <c r="FU32" s="22" t="s">
        <v>74</v>
      </c>
      <c r="FV32" s="22" t="s">
        <v>74</v>
      </c>
      <c r="FW32" s="22" t="s">
        <v>74</v>
      </c>
      <c r="FX32" s="22" t="s">
        <v>74</v>
      </c>
      <c r="FY32" s="22" t="s">
        <v>74</v>
      </c>
      <c r="FZ32" s="22" t="s">
        <v>74</v>
      </c>
      <c r="GA32" s="22" t="s">
        <v>159</v>
      </c>
      <c r="GB32" s="22" t="s">
        <v>159</v>
      </c>
      <c r="GC32" s="22" t="s">
        <v>159</v>
      </c>
      <c r="GD32" s="22" t="s">
        <v>159</v>
      </c>
      <c r="GE32" s="22" t="s">
        <v>159</v>
      </c>
      <c r="GF32" s="22" t="s">
        <v>74</v>
      </c>
      <c r="GG32" s="22" t="s">
        <v>74</v>
      </c>
      <c r="GH32" s="22" t="s">
        <v>161</v>
      </c>
      <c r="GI32" s="22" t="s">
        <v>161</v>
      </c>
      <c r="GJ32" s="22" t="s">
        <v>161</v>
      </c>
      <c r="GK32" s="22" t="s">
        <v>161</v>
      </c>
      <c r="GL32" s="22" t="s">
        <v>161</v>
      </c>
      <c r="GM32" s="22" t="s">
        <v>74</v>
      </c>
      <c r="GN32" s="22" t="s">
        <v>74</v>
      </c>
      <c r="GO32" s="22" t="s">
        <v>163</v>
      </c>
      <c r="GP32" s="22" t="s">
        <v>163</v>
      </c>
      <c r="GQ32" s="22" t="s">
        <v>163</v>
      </c>
      <c r="GR32" s="22" t="s">
        <v>163</v>
      </c>
      <c r="GS32" s="22" t="s">
        <v>163</v>
      </c>
      <c r="GT32" s="22" t="s">
        <v>74</v>
      </c>
      <c r="GU32" s="22" t="s">
        <v>74</v>
      </c>
      <c r="GV32" s="22" t="s">
        <v>74</v>
      </c>
      <c r="GW32" s="22" t="s">
        <v>74</v>
      </c>
      <c r="GX32" s="22" t="s">
        <v>74</v>
      </c>
      <c r="GY32" s="22" t="s">
        <v>74</v>
      </c>
      <c r="GZ32" s="22" t="s">
        <v>74</v>
      </c>
      <c r="HA32" s="22" t="s">
        <v>74</v>
      </c>
      <c r="HB32" s="22" t="s">
        <v>74</v>
      </c>
      <c r="HC32" s="22" t="s">
        <v>74</v>
      </c>
      <c r="HD32" s="22" t="s">
        <v>74</v>
      </c>
      <c r="HE32" s="22" t="s">
        <v>74</v>
      </c>
      <c r="HF32" s="22" t="s">
        <v>74</v>
      </c>
      <c r="HG32" s="22" t="s">
        <v>74</v>
      </c>
      <c r="HH32" s="22" t="s">
        <v>74</v>
      </c>
      <c r="HI32" s="22" t="s">
        <v>74</v>
      </c>
      <c r="HJ32" s="22" t="s">
        <v>74</v>
      </c>
      <c r="HK32" s="22" t="s">
        <v>74</v>
      </c>
      <c r="HL32" s="22" t="s">
        <v>74</v>
      </c>
      <c r="HM32" s="22" t="s">
        <v>74</v>
      </c>
      <c r="HN32" s="22" t="s">
        <v>74</v>
      </c>
      <c r="HO32" s="22" t="s">
        <v>74</v>
      </c>
      <c r="HP32" s="22" t="s">
        <v>74</v>
      </c>
      <c r="HQ32" s="22" t="s">
        <v>74</v>
      </c>
      <c r="HR32" s="22" t="s">
        <v>74</v>
      </c>
      <c r="HS32" s="22" t="s">
        <v>74</v>
      </c>
      <c r="HT32" s="22" t="s">
        <v>74</v>
      </c>
      <c r="HU32" s="22" t="s">
        <v>74</v>
      </c>
      <c r="HV32" s="22" t="s">
        <v>74</v>
      </c>
      <c r="HW32" s="22" t="s">
        <v>173</v>
      </c>
      <c r="HX32" s="22" t="s">
        <v>173</v>
      </c>
      <c r="HY32" s="22" t="s">
        <v>173</v>
      </c>
      <c r="HZ32" s="22" t="s">
        <v>173</v>
      </c>
      <c r="IA32" s="22" t="s">
        <v>173</v>
      </c>
      <c r="IB32" s="19"/>
      <c r="IC32" s="22" t="s">
        <v>74</v>
      </c>
      <c r="ID32" s="22" t="s">
        <v>74</v>
      </c>
      <c r="IE32" s="22" t="s">
        <v>74</v>
      </c>
      <c r="IF32" s="22" t="s">
        <v>74</v>
      </c>
      <c r="IG32" s="22" t="s">
        <v>74</v>
      </c>
      <c r="IH32" s="22" t="s">
        <v>74</v>
      </c>
      <c r="II32" s="22" t="s">
        <v>74</v>
      </c>
      <c r="IJ32" s="22" t="s">
        <v>74</v>
      </c>
      <c r="IK32" s="19"/>
      <c r="IL32" s="22" t="s">
        <v>74</v>
      </c>
      <c r="IM32" s="22" t="s">
        <v>74</v>
      </c>
      <c r="IN32" s="22" t="s">
        <v>74</v>
      </c>
      <c r="IO32" s="22" t="s">
        <v>74</v>
      </c>
      <c r="IP32" s="22" t="s">
        <v>74</v>
      </c>
      <c r="IQ32" s="22" t="s">
        <v>74</v>
      </c>
      <c r="IR32" s="22" t="s">
        <v>74</v>
      </c>
      <c r="IS32" s="15" t="s">
        <v>74</v>
      </c>
      <c r="IT32" s="15" t="s">
        <v>74</v>
      </c>
      <c r="IU32" s="15" t="s">
        <v>74</v>
      </c>
      <c r="IV32" s="15" t="s">
        <v>74</v>
      </c>
      <c r="IW32" s="15" t="s">
        <v>74</v>
      </c>
      <c r="IX32" s="15" t="s">
        <v>74</v>
      </c>
      <c r="IY32" s="15" t="s">
        <v>74</v>
      </c>
      <c r="IZ32" s="15" t="s">
        <v>74</v>
      </c>
      <c r="JA32" s="15" t="s">
        <v>74</v>
      </c>
      <c r="JB32" s="15" t="s">
        <v>74</v>
      </c>
      <c r="JC32" s="15" t="s">
        <v>74</v>
      </c>
      <c r="JD32" s="15" t="s">
        <v>74</v>
      </c>
      <c r="JE32" s="15" t="s">
        <v>74</v>
      </c>
      <c r="JF32" s="15" t="s">
        <v>74</v>
      </c>
      <c r="JG32" s="15" t="s">
        <v>74</v>
      </c>
      <c r="JH32" s="15" t="s">
        <v>74</v>
      </c>
      <c r="JI32" s="15" t="s">
        <v>74</v>
      </c>
      <c r="JJ32" s="15" t="s">
        <v>74</v>
      </c>
      <c r="JK32" s="15" t="s">
        <v>74</v>
      </c>
      <c r="JL32" s="15" t="s">
        <v>74</v>
      </c>
      <c r="JM32" s="15" t="s">
        <v>74</v>
      </c>
      <c r="JN32" s="15" t="s">
        <v>74</v>
      </c>
      <c r="JO32" s="15" t="s">
        <v>74</v>
      </c>
      <c r="JP32" s="15" t="s">
        <v>74</v>
      </c>
      <c r="JQ32" s="15" t="s">
        <v>74</v>
      </c>
      <c r="JR32" s="15" t="s">
        <v>74</v>
      </c>
      <c r="JS32" s="15" t="s">
        <v>74</v>
      </c>
      <c r="JT32" s="15" t="s">
        <v>74</v>
      </c>
      <c r="JU32" s="15" t="s">
        <v>74</v>
      </c>
      <c r="JV32" s="15" t="s">
        <v>74</v>
      </c>
      <c r="JW32" s="15" t="s">
        <v>74</v>
      </c>
      <c r="JX32" s="15" t="s">
        <v>74</v>
      </c>
      <c r="JY32" s="15" t="s">
        <v>74</v>
      </c>
      <c r="JZ32" s="15" t="s">
        <v>74</v>
      </c>
      <c r="KA32" s="15" t="s">
        <v>74</v>
      </c>
      <c r="KB32" s="15" t="s">
        <v>74</v>
      </c>
      <c r="KC32" s="15" t="s">
        <v>74</v>
      </c>
      <c r="KD32" s="15" t="s">
        <v>74</v>
      </c>
      <c r="KE32" s="15" t="s">
        <v>74</v>
      </c>
      <c r="KF32" s="15" t="s">
        <v>74</v>
      </c>
      <c r="KG32" s="15" t="s">
        <v>74</v>
      </c>
      <c r="KH32" s="15" t="s">
        <v>74</v>
      </c>
      <c r="KI32" s="15" t="s">
        <v>74</v>
      </c>
      <c r="KJ32" s="15" t="s">
        <v>74</v>
      </c>
      <c r="KK32" s="15" t="s">
        <v>74</v>
      </c>
      <c r="KL32" s="15" t="s">
        <v>74</v>
      </c>
      <c r="KM32" s="15" t="s">
        <v>74</v>
      </c>
      <c r="KN32" s="15" t="s">
        <v>74</v>
      </c>
      <c r="KO32" s="15" t="s">
        <v>74</v>
      </c>
      <c r="KP32" s="15" t="s">
        <v>74</v>
      </c>
      <c r="KQ32" s="15" t="s">
        <v>74</v>
      </c>
      <c r="KR32" s="15" t="s">
        <v>74</v>
      </c>
      <c r="KS32" s="15" t="s">
        <v>74</v>
      </c>
      <c r="KT32" s="15" t="s">
        <v>74</v>
      </c>
      <c r="KU32" s="15" t="s">
        <v>74</v>
      </c>
      <c r="KV32" s="15" t="s">
        <v>74</v>
      </c>
      <c r="KW32" s="15" t="s">
        <v>74</v>
      </c>
      <c r="KX32" s="15" t="s">
        <v>74</v>
      </c>
      <c r="KY32" s="15" t="s">
        <v>74</v>
      </c>
      <c r="KZ32" s="15" t="s">
        <v>74</v>
      </c>
      <c r="LA32" s="15" t="s">
        <v>74</v>
      </c>
      <c r="LB32" s="15" t="s">
        <v>74</v>
      </c>
      <c r="LC32" s="15" t="s">
        <v>74</v>
      </c>
      <c r="LD32" s="15" t="s">
        <v>74</v>
      </c>
      <c r="LE32" s="15" t="s">
        <v>74</v>
      </c>
      <c r="LF32" s="15" t="s">
        <v>74</v>
      </c>
      <c r="LG32" s="15" t="s">
        <v>74</v>
      </c>
      <c r="LH32" s="15" t="s">
        <v>74</v>
      </c>
      <c r="LI32" s="15" t="s">
        <v>74</v>
      </c>
      <c r="LJ32" s="15" t="s">
        <v>74</v>
      </c>
      <c r="LK32" s="15" t="s">
        <v>74</v>
      </c>
      <c r="LL32" s="15" t="s">
        <v>74</v>
      </c>
      <c r="LM32" s="15" t="s">
        <v>74</v>
      </c>
      <c r="LN32" s="15" t="s">
        <v>74</v>
      </c>
      <c r="LO32" s="15" t="s">
        <v>74</v>
      </c>
      <c r="LP32" s="15" t="s">
        <v>74</v>
      </c>
      <c r="LQ32" s="15" t="s">
        <v>74</v>
      </c>
      <c r="LR32" s="15" t="s">
        <v>74</v>
      </c>
      <c r="LS32" s="15" t="s">
        <v>74</v>
      </c>
      <c r="LT32" s="15" t="s">
        <v>74</v>
      </c>
      <c r="LU32" s="15" t="s">
        <v>74</v>
      </c>
      <c r="LV32" s="15" t="s">
        <v>74</v>
      </c>
      <c r="LW32" s="15" t="s">
        <v>74</v>
      </c>
      <c r="LX32" s="15" t="s">
        <v>74</v>
      </c>
      <c r="LY32" s="15" t="s">
        <v>74</v>
      </c>
      <c r="LZ32" s="15" t="s">
        <v>74</v>
      </c>
      <c r="MA32" s="15" t="s">
        <v>74</v>
      </c>
      <c r="MB32" s="15" t="s">
        <v>74</v>
      </c>
      <c r="MC32" s="15" t="s">
        <v>74</v>
      </c>
      <c r="MD32" s="15" t="s">
        <v>74</v>
      </c>
      <c r="ME32" s="15" t="s">
        <v>74</v>
      </c>
      <c r="MF32" s="15" t="s">
        <v>74</v>
      </c>
      <c r="MG32" s="15" t="s">
        <v>74</v>
      </c>
      <c r="MH32" s="15" t="s">
        <v>74</v>
      </c>
      <c r="MI32" s="15" t="s">
        <v>74</v>
      </c>
      <c r="MJ32" s="15" t="s">
        <v>74</v>
      </c>
      <c r="MK32" s="15" t="s">
        <v>74</v>
      </c>
      <c r="ML32" s="15" t="s">
        <v>74</v>
      </c>
      <c r="MM32" s="15" t="s">
        <v>74</v>
      </c>
      <c r="MN32" s="15" t="s">
        <v>74</v>
      </c>
      <c r="MO32" s="15" t="s">
        <v>74</v>
      </c>
      <c r="MP32" s="15" t="s">
        <v>74</v>
      </c>
      <c r="MQ32" s="15" t="s">
        <v>74</v>
      </c>
      <c r="MR32" s="15" t="s">
        <v>74</v>
      </c>
      <c r="MS32" s="15" t="s">
        <v>74</v>
      </c>
      <c r="MT32" s="15" t="s">
        <v>74</v>
      </c>
      <c r="MU32" s="15" t="s">
        <v>74</v>
      </c>
      <c r="MV32" s="15" t="s">
        <v>74</v>
      </c>
      <c r="MW32" s="15" t="s">
        <v>74</v>
      </c>
      <c r="MX32" s="15" t="s">
        <v>74</v>
      </c>
      <c r="MY32" s="15" t="s">
        <v>74</v>
      </c>
      <c r="MZ32" s="15" t="s">
        <v>74</v>
      </c>
      <c r="NA32" s="15" t="s">
        <v>74</v>
      </c>
      <c r="NB32" s="15" t="s">
        <v>74</v>
      </c>
      <c r="NC32" s="15" t="s">
        <v>74</v>
      </c>
      <c r="ND32" s="15" t="s">
        <v>74</v>
      </c>
      <c r="NE32" s="15" t="s">
        <v>74</v>
      </c>
      <c r="NF32" s="15" t="s">
        <v>74</v>
      </c>
      <c r="NG32" s="15" t="s">
        <v>74</v>
      </c>
      <c r="NH32" s="15" t="s">
        <v>74</v>
      </c>
      <c r="NI32" s="15" t="s">
        <v>74</v>
      </c>
      <c r="NJ32" s="15" t="s">
        <v>74</v>
      </c>
      <c r="NK32" s="15" t="s">
        <v>74</v>
      </c>
      <c r="NL32" s="15" t="s">
        <v>74</v>
      </c>
      <c r="NM32" s="15" t="s">
        <v>74</v>
      </c>
      <c r="NN32" s="15" t="s">
        <v>74</v>
      </c>
      <c r="NO32" s="15" t="s">
        <v>74</v>
      </c>
      <c r="NP32" s="15" t="s">
        <v>74</v>
      </c>
      <c r="NQ32" s="15" t="s">
        <v>74</v>
      </c>
      <c r="NR32" s="15" t="s">
        <v>74</v>
      </c>
      <c r="NS32" s="15" t="s">
        <v>74</v>
      </c>
      <c r="NT32" s="15" t="s">
        <v>74</v>
      </c>
      <c r="NU32" s="15" t="s">
        <v>74</v>
      </c>
      <c r="NV32" s="15" t="s">
        <v>74</v>
      </c>
      <c r="NW32" s="15" t="s">
        <v>74</v>
      </c>
      <c r="NX32" s="15" t="s">
        <v>74</v>
      </c>
      <c r="NY32" s="15" t="s">
        <v>74</v>
      </c>
      <c r="NZ32" s="15" t="s">
        <v>74</v>
      </c>
      <c r="OA32" s="15" t="s">
        <v>74</v>
      </c>
      <c r="OB32" s="15" t="s">
        <v>74</v>
      </c>
      <c r="OC32" s="15" t="s">
        <v>74</v>
      </c>
      <c r="OD32" s="15" t="s">
        <v>74</v>
      </c>
      <c r="OE32" s="15" t="s">
        <v>74</v>
      </c>
      <c r="OF32" s="15" t="s">
        <v>74</v>
      </c>
      <c r="OG32" s="15" t="s">
        <v>74</v>
      </c>
      <c r="OH32" s="15" t="s">
        <v>74</v>
      </c>
      <c r="OI32" s="15" t="s">
        <v>74</v>
      </c>
      <c r="OJ32" s="15" t="s">
        <v>74</v>
      </c>
      <c r="OK32" s="15" t="s">
        <v>74</v>
      </c>
      <c r="OL32" s="15" t="s">
        <v>74</v>
      </c>
      <c r="OM32" s="15" t="s">
        <v>74</v>
      </c>
      <c r="ON32" s="15" t="s">
        <v>74</v>
      </c>
      <c r="OO32" s="15" t="s">
        <v>74</v>
      </c>
      <c r="OP32" s="15" t="s">
        <v>74</v>
      </c>
      <c r="OQ32" s="15" t="s">
        <v>74</v>
      </c>
      <c r="OR32" s="15" t="s">
        <v>74</v>
      </c>
      <c r="OS32" s="15" t="s">
        <v>74</v>
      </c>
      <c r="OT32" s="15" t="s">
        <v>74</v>
      </c>
      <c r="OU32" s="15" t="s">
        <v>74</v>
      </c>
      <c r="OV32" s="15" t="s">
        <v>74</v>
      </c>
      <c r="OW32" s="15" t="s">
        <v>74</v>
      </c>
      <c r="OX32" s="15" t="s">
        <v>74</v>
      </c>
      <c r="OY32" s="15" t="s">
        <v>74</v>
      </c>
      <c r="OZ32" s="15" t="s">
        <v>74</v>
      </c>
      <c r="PA32" s="15" t="s">
        <v>74</v>
      </c>
      <c r="PB32" s="15" t="s">
        <v>74</v>
      </c>
      <c r="PC32" s="15" t="s">
        <v>74</v>
      </c>
      <c r="PD32" s="15" t="s">
        <v>74</v>
      </c>
      <c r="PE32" s="15" t="s">
        <v>74</v>
      </c>
      <c r="PF32" s="15" t="s">
        <v>74</v>
      </c>
      <c r="PG32" s="15" t="s">
        <v>74</v>
      </c>
      <c r="PH32" s="15" t="s">
        <v>74</v>
      </c>
      <c r="PI32" s="15" t="s">
        <v>74</v>
      </c>
      <c r="PJ32" s="15" t="s">
        <v>74</v>
      </c>
      <c r="PK32" s="15" t="s">
        <v>74</v>
      </c>
      <c r="PL32" s="15" t="s">
        <v>74</v>
      </c>
      <c r="PM32" s="15" t="s">
        <v>74</v>
      </c>
      <c r="PN32" s="15" t="s">
        <v>74</v>
      </c>
      <c r="PO32" s="15" t="s">
        <v>74</v>
      </c>
      <c r="PP32" s="15" t="s">
        <v>74</v>
      </c>
      <c r="PQ32" s="15" t="s">
        <v>74</v>
      </c>
      <c r="PR32" s="15" t="s">
        <v>74</v>
      </c>
      <c r="PS32" s="15" t="s">
        <v>74</v>
      </c>
      <c r="PT32" s="15" t="s">
        <v>74</v>
      </c>
      <c r="PU32" s="15" t="s">
        <v>74</v>
      </c>
      <c r="PV32" s="15" t="s">
        <v>74</v>
      </c>
      <c r="PW32" s="15" t="s">
        <v>74</v>
      </c>
      <c r="PX32" s="15" t="s">
        <v>74</v>
      </c>
      <c r="PY32" s="15" t="s">
        <v>74</v>
      </c>
      <c r="PZ32" s="15" t="s">
        <v>74</v>
      </c>
      <c r="QA32" s="15" t="s">
        <v>74</v>
      </c>
      <c r="QB32" s="15" t="s">
        <v>74</v>
      </c>
      <c r="QC32" s="15" t="s">
        <v>74</v>
      </c>
      <c r="QD32" s="15" t="s">
        <v>74</v>
      </c>
      <c r="QE32" s="15" t="s">
        <v>74</v>
      </c>
      <c r="QF32" s="15" t="s">
        <v>74</v>
      </c>
      <c r="QG32" s="15" t="s">
        <v>74</v>
      </c>
      <c r="QH32" s="15" t="s">
        <v>74</v>
      </c>
      <c r="QI32" s="15" t="s">
        <v>74</v>
      </c>
      <c r="QJ32" s="15" t="s">
        <v>74</v>
      </c>
      <c r="QK32" s="15" t="s">
        <v>74</v>
      </c>
      <c r="QL32" s="15" t="s">
        <v>74</v>
      </c>
      <c r="QM32" s="15" t="s">
        <v>74</v>
      </c>
      <c r="QN32" s="15" t="s">
        <v>74</v>
      </c>
      <c r="QO32" s="15" t="s">
        <v>74</v>
      </c>
      <c r="QP32" s="15" t="s">
        <v>74</v>
      </c>
      <c r="QQ32" s="15" t="s">
        <v>74</v>
      </c>
      <c r="QR32" s="15" t="s">
        <v>74</v>
      </c>
      <c r="QS32" s="15" t="s">
        <v>74</v>
      </c>
      <c r="QT32" s="15" t="s">
        <v>74</v>
      </c>
      <c r="QU32" s="15" t="s">
        <v>74</v>
      </c>
      <c r="QV32" s="15" t="s">
        <v>74</v>
      </c>
      <c r="QW32" s="15" t="s">
        <v>74</v>
      </c>
      <c r="QX32" s="15" t="s">
        <v>74</v>
      </c>
      <c r="QY32" s="15" t="s">
        <v>74</v>
      </c>
      <c r="QZ32" s="15" t="s">
        <v>74</v>
      </c>
      <c r="RA32" s="15" t="s">
        <v>74</v>
      </c>
      <c r="RB32" s="15" t="s">
        <v>74</v>
      </c>
      <c r="RC32" s="15" t="s">
        <v>74</v>
      </c>
      <c r="RD32" s="15" t="s">
        <v>74</v>
      </c>
      <c r="RE32" s="15" t="s">
        <v>74</v>
      </c>
      <c r="RF32" s="15" t="s">
        <v>74</v>
      </c>
      <c r="RG32" s="15" t="s">
        <v>74</v>
      </c>
      <c r="RH32" s="15" t="s">
        <v>74</v>
      </c>
      <c r="RI32" s="15" t="s">
        <v>74</v>
      </c>
      <c r="RJ32" s="15" t="s">
        <v>74</v>
      </c>
      <c r="RK32" s="15" t="s">
        <v>74</v>
      </c>
      <c r="RL32" s="15" t="s">
        <v>74</v>
      </c>
      <c r="RM32" s="15" t="s">
        <v>74</v>
      </c>
      <c r="RN32" s="15" t="s">
        <v>74</v>
      </c>
      <c r="RO32" s="15" t="s">
        <v>74</v>
      </c>
      <c r="RP32" s="15" t="s">
        <v>74</v>
      </c>
      <c r="RQ32" s="15" t="s">
        <v>74</v>
      </c>
      <c r="RR32" s="15" t="s">
        <v>74</v>
      </c>
      <c r="RS32" s="19"/>
      <c r="RT32" s="22" t="s">
        <v>74</v>
      </c>
      <c r="RU32" s="22" t="s">
        <v>74</v>
      </c>
      <c r="RV32" s="22" t="s">
        <v>74</v>
      </c>
      <c r="RW32" s="22" t="s">
        <v>74</v>
      </c>
      <c r="RX32" s="22" t="s">
        <v>74</v>
      </c>
      <c r="RY32" s="22" t="s">
        <v>74</v>
      </c>
      <c r="RZ32" s="22" t="s">
        <v>74</v>
      </c>
      <c r="SA32" s="15" t="s">
        <v>74</v>
      </c>
      <c r="SB32" s="15" t="s">
        <v>74</v>
      </c>
      <c r="SC32" s="15" t="s">
        <v>74</v>
      </c>
      <c r="SD32" s="15" t="s">
        <v>74</v>
      </c>
      <c r="SE32" s="15" t="s">
        <v>74</v>
      </c>
      <c r="SF32" s="15" t="s">
        <v>74</v>
      </c>
      <c r="SG32" s="15" t="s">
        <v>74</v>
      </c>
      <c r="SH32" s="15" t="s">
        <v>74</v>
      </c>
      <c r="SI32" s="15" t="s">
        <v>74</v>
      </c>
      <c r="SJ32" s="15" t="s">
        <v>74</v>
      </c>
      <c r="SK32" s="15" t="s">
        <v>74</v>
      </c>
      <c r="SL32" s="15" t="s">
        <v>74</v>
      </c>
      <c r="SM32" s="15" t="s">
        <v>74</v>
      </c>
      <c r="SN32" s="15" t="s">
        <v>74</v>
      </c>
      <c r="SO32" s="15" t="s">
        <v>74</v>
      </c>
      <c r="SP32" s="15" t="s">
        <v>74</v>
      </c>
      <c r="SQ32" s="15" t="s">
        <v>74</v>
      </c>
      <c r="SR32" s="15" t="s">
        <v>74</v>
      </c>
      <c r="SS32" s="15" t="s">
        <v>74</v>
      </c>
      <c r="ST32" s="15" t="s">
        <v>74</v>
      </c>
      <c r="SU32" s="15" t="s">
        <v>74</v>
      </c>
      <c r="SV32" s="15" t="s">
        <v>74</v>
      </c>
      <c r="SW32" s="15" t="s">
        <v>74</v>
      </c>
      <c r="SX32" s="15" t="s">
        <v>74</v>
      </c>
      <c r="SY32" s="15" t="s">
        <v>74</v>
      </c>
      <c r="SZ32" s="15" t="s">
        <v>74</v>
      </c>
      <c r="TA32" s="15" t="s">
        <v>74</v>
      </c>
      <c r="TB32" s="15" t="s">
        <v>74</v>
      </c>
      <c r="TC32" s="15" t="s">
        <v>74</v>
      </c>
      <c r="TD32" s="15" t="s">
        <v>74</v>
      </c>
      <c r="TE32" s="15" t="s">
        <v>74</v>
      </c>
      <c r="TF32" s="15" t="s">
        <v>74</v>
      </c>
      <c r="TG32" s="15" t="s">
        <v>74</v>
      </c>
      <c r="TH32" s="15" t="s">
        <v>74</v>
      </c>
      <c r="TI32" s="15" t="s">
        <v>74</v>
      </c>
      <c r="TJ32" s="15" t="s">
        <v>74</v>
      </c>
      <c r="TK32" s="15" t="s">
        <v>74</v>
      </c>
      <c r="TL32" s="15" t="s">
        <v>74</v>
      </c>
      <c r="TM32" s="15" t="s">
        <v>74</v>
      </c>
      <c r="TN32" s="15" t="s">
        <v>74</v>
      </c>
      <c r="TO32" s="15" t="s">
        <v>74</v>
      </c>
      <c r="TP32" s="15" t="s">
        <v>74</v>
      </c>
      <c r="TQ32" s="15" t="s">
        <v>74</v>
      </c>
      <c r="TR32" s="15" t="s">
        <v>74</v>
      </c>
      <c r="TS32" s="15" t="s">
        <v>74</v>
      </c>
      <c r="TT32" s="15" t="s">
        <v>74</v>
      </c>
      <c r="TU32" s="15" t="s">
        <v>74</v>
      </c>
      <c r="TV32" s="15" t="s">
        <v>74</v>
      </c>
      <c r="TW32" s="15" t="s">
        <v>74</v>
      </c>
      <c r="TX32" s="15" t="s">
        <v>74</v>
      </c>
      <c r="TY32" s="15" t="s">
        <v>74</v>
      </c>
      <c r="TZ32" s="15" t="s">
        <v>74</v>
      </c>
      <c r="UA32" s="15" t="s">
        <v>74</v>
      </c>
      <c r="UB32" s="15" t="s">
        <v>74</v>
      </c>
      <c r="UC32" s="15" t="s">
        <v>74</v>
      </c>
      <c r="UD32" s="15" t="s">
        <v>74</v>
      </c>
      <c r="UE32" s="15" t="s">
        <v>74</v>
      </c>
      <c r="UF32" s="15" t="s">
        <v>74</v>
      </c>
      <c r="UG32" s="15" t="s">
        <v>74</v>
      </c>
      <c r="UH32" s="15" t="s">
        <v>74</v>
      </c>
      <c r="UI32" s="15" t="s">
        <v>74</v>
      </c>
      <c r="UJ32" s="15" t="s">
        <v>74</v>
      </c>
      <c r="UK32" s="15" t="s">
        <v>74</v>
      </c>
      <c r="UL32" s="15" t="s">
        <v>74</v>
      </c>
      <c r="UM32" s="15" t="s">
        <v>74</v>
      </c>
      <c r="UN32" s="15" t="s">
        <v>74</v>
      </c>
      <c r="UO32" s="15" t="s">
        <v>74</v>
      </c>
      <c r="UP32" s="15" t="s">
        <v>74</v>
      </c>
      <c r="UQ32" s="15" t="s">
        <v>74</v>
      </c>
      <c r="UR32" s="15" t="s">
        <v>74</v>
      </c>
      <c r="US32" s="15" t="s">
        <v>74</v>
      </c>
      <c r="UT32" s="15" t="s">
        <v>74</v>
      </c>
      <c r="UU32" s="15" t="s">
        <v>74</v>
      </c>
      <c r="UV32" s="15" t="s">
        <v>74</v>
      </c>
      <c r="UW32" s="15" t="s">
        <v>74</v>
      </c>
      <c r="UX32" s="15" t="s">
        <v>74</v>
      </c>
      <c r="UY32" s="15" t="s">
        <v>74</v>
      </c>
      <c r="UZ32" s="15" t="s">
        <v>74</v>
      </c>
      <c r="VA32" s="15" t="s">
        <v>74</v>
      </c>
      <c r="VB32" s="15" t="s">
        <v>74</v>
      </c>
      <c r="VC32" s="15" t="s">
        <v>74</v>
      </c>
      <c r="VD32" s="15" t="s">
        <v>74</v>
      </c>
      <c r="VE32" s="15" t="s">
        <v>74</v>
      </c>
      <c r="VF32" s="15" t="s">
        <v>74</v>
      </c>
      <c r="VG32" s="15" t="s">
        <v>74</v>
      </c>
      <c r="VH32" s="15" t="s">
        <v>74</v>
      </c>
      <c r="VI32" s="15" t="s">
        <v>74</v>
      </c>
      <c r="VJ32" s="15" t="s">
        <v>74</v>
      </c>
      <c r="VK32" s="15" t="s">
        <v>74</v>
      </c>
      <c r="VL32" s="15" t="s">
        <v>74</v>
      </c>
      <c r="VM32" s="15" t="s">
        <v>74</v>
      </c>
      <c r="VN32" s="15" t="s">
        <v>74</v>
      </c>
      <c r="VO32" s="15" t="s">
        <v>74</v>
      </c>
      <c r="VP32" s="15" t="s">
        <v>74</v>
      </c>
      <c r="VQ32" s="15" t="s">
        <v>74</v>
      </c>
      <c r="VR32" s="15" t="s">
        <v>74</v>
      </c>
      <c r="VS32" s="15" t="s">
        <v>74</v>
      </c>
      <c r="VT32" s="15" t="s">
        <v>74</v>
      </c>
      <c r="VU32" s="15" t="s">
        <v>74</v>
      </c>
      <c r="VV32" s="15" t="s">
        <v>74</v>
      </c>
      <c r="VW32" s="15" t="s">
        <v>74</v>
      </c>
      <c r="VX32" s="15" t="s">
        <v>74</v>
      </c>
      <c r="VY32" s="15" t="s">
        <v>74</v>
      </c>
      <c r="VZ32" s="15" t="s">
        <v>74</v>
      </c>
      <c r="WA32" s="15" t="s">
        <v>74</v>
      </c>
      <c r="WB32" s="15" t="s">
        <v>74</v>
      </c>
      <c r="WC32" s="15" t="s">
        <v>74</v>
      </c>
      <c r="WD32" s="15" t="s">
        <v>74</v>
      </c>
      <c r="WE32" s="15" t="s">
        <v>74</v>
      </c>
      <c r="WF32" s="15" t="s">
        <v>74</v>
      </c>
      <c r="WG32" s="15" t="s">
        <v>74</v>
      </c>
      <c r="WH32" s="15" t="s">
        <v>74</v>
      </c>
      <c r="WI32" s="15" t="s">
        <v>74</v>
      </c>
      <c r="WJ32" s="15" t="s">
        <v>74</v>
      </c>
      <c r="WK32" s="15" t="s">
        <v>74</v>
      </c>
      <c r="WL32" s="15" t="s">
        <v>74</v>
      </c>
      <c r="WM32" s="15" t="s">
        <v>74</v>
      </c>
      <c r="WN32" s="15" t="s">
        <v>74</v>
      </c>
      <c r="WO32" s="15" t="s">
        <v>74</v>
      </c>
      <c r="WP32" s="15" t="s">
        <v>74</v>
      </c>
      <c r="WQ32" s="15" t="s">
        <v>74</v>
      </c>
      <c r="WR32" s="15" t="s">
        <v>74</v>
      </c>
      <c r="WS32" s="15" t="s">
        <v>74</v>
      </c>
      <c r="WT32" s="15" t="s">
        <v>74</v>
      </c>
      <c r="WU32" s="15" t="s">
        <v>74</v>
      </c>
      <c r="WV32" s="15" t="s">
        <v>74</v>
      </c>
      <c r="WW32" s="15" t="s">
        <v>74</v>
      </c>
      <c r="WX32" s="15" t="s">
        <v>74</v>
      </c>
      <c r="WY32" s="15" t="s">
        <v>74</v>
      </c>
      <c r="WZ32" s="15" t="s">
        <v>74</v>
      </c>
      <c r="XA32" s="15" t="s">
        <v>74</v>
      </c>
      <c r="XB32" s="15" t="s">
        <v>74</v>
      </c>
      <c r="XC32" s="15" t="s">
        <v>74</v>
      </c>
      <c r="XD32" s="15" t="s">
        <v>74</v>
      </c>
      <c r="XE32" s="15" t="s">
        <v>74</v>
      </c>
      <c r="XF32" s="15" t="s">
        <v>74</v>
      </c>
      <c r="XG32" s="15" t="s">
        <v>74</v>
      </c>
      <c r="XH32" s="15" t="s">
        <v>74</v>
      </c>
      <c r="XI32" s="15" t="s">
        <v>74</v>
      </c>
      <c r="XJ32" s="15" t="s">
        <v>74</v>
      </c>
      <c r="XK32" s="15" t="s">
        <v>74</v>
      </c>
      <c r="XL32" s="15" t="s">
        <v>74</v>
      </c>
      <c r="XM32" s="15" t="s">
        <v>74</v>
      </c>
      <c r="XN32" s="15" t="s">
        <v>74</v>
      </c>
      <c r="XO32" s="15" t="s">
        <v>74</v>
      </c>
      <c r="XP32" s="15" t="s">
        <v>74</v>
      </c>
      <c r="XQ32" s="15" t="s">
        <v>74</v>
      </c>
      <c r="XR32" s="15" t="s">
        <v>74</v>
      </c>
      <c r="XS32" s="15" t="s">
        <v>74</v>
      </c>
      <c r="XT32" s="15" t="s">
        <v>74</v>
      </c>
      <c r="XU32" s="15" t="s">
        <v>74</v>
      </c>
      <c r="XV32" s="15" t="s">
        <v>74</v>
      </c>
      <c r="XW32" s="15" t="s">
        <v>74</v>
      </c>
      <c r="XX32" s="15" t="s">
        <v>74</v>
      </c>
      <c r="XY32" s="15" t="s">
        <v>74</v>
      </c>
      <c r="XZ32" s="15" t="s">
        <v>74</v>
      </c>
      <c r="YA32" s="15" t="s">
        <v>74</v>
      </c>
      <c r="YB32" s="15" t="s">
        <v>74</v>
      </c>
      <c r="YC32" s="15" t="s">
        <v>74</v>
      </c>
      <c r="YD32" s="15" t="s">
        <v>74</v>
      </c>
      <c r="YE32" s="15" t="s">
        <v>74</v>
      </c>
      <c r="YF32" s="15" t="s">
        <v>74</v>
      </c>
      <c r="YG32" s="15" t="s">
        <v>74</v>
      </c>
      <c r="YH32" s="15" t="s">
        <v>74</v>
      </c>
      <c r="YI32" s="15" t="s">
        <v>74</v>
      </c>
      <c r="YJ32" s="15" t="s">
        <v>74</v>
      </c>
      <c r="YK32" s="15" t="s">
        <v>74</v>
      </c>
      <c r="YL32" s="15" t="s">
        <v>74</v>
      </c>
      <c r="YM32" s="15" t="s">
        <v>74</v>
      </c>
      <c r="YN32" s="15" t="s">
        <v>74</v>
      </c>
      <c r="YO32" s="15" t="s">
        <v>74</v>
      </c>
      <c r="YP32" s="15" t="s">
        <v>74</v>
      </c>
      <c r="YQ32" s="15" t="s">
        <v>74</v>
      </c>
      <c r="YR32" s="15" t="s">
        <v>74</v>
      </c>
      <c r="YS32" s="15" t="s">
        <v>74</v>
      </c>
      <c r="YT32" s="15" t="s">
        <v>74</v>
      </c>
      <c r="YU32" s="15" t="s">
        <v>74</v>
      </c>
      <c r="YV32" s="15" t="s">
        <v>74</v>
      </c>
      <c r="YW32" s="15" t="s">
        <v>74</v>
      </c>
      <c r="YX32" s="15" t="s">
        <v>74</v>
      </c>
      <c r="YY32" s="15" t="s">
        <v>74</v>
      </c>
      <c r="YZ32" s="15" t="s">
        <v>74</v>
      </c>
      <c r="ZA32" s="15" t="s">
        <v>74</v>
      </c>
      <c r="ZB32" s="15" t="s">
        <v>74</v>
      </c>
      <c r="ZC32" s="15" t="s">
        <v>74</v>
      </c>
      <c r="ZD32" s="15" t="s">
        <v>74</v>
      </c>
      <c r="ZE32" s="15" t="s">
        <v>74</v>
      </c>
      <c r="ZF32" s="15" t="s">
        <v>74</v>
      </c>
      <c r="ZG32" s="15" t="s">
        <v>74</v>
      </c>
      <c r="ZH32" s="15" t="s">
        <v>74</v>
      </c>
      <c r="ZI32" s="15" t="s">
        <v>74</v>
      </c>
      <c r="ZJ32" s="15" t="s">
        <v>74</v>
      </c>
      <c r="ZK32" s="15" t="s">
        <v>74</v>
      </c>
      <c r="ZL32" s="15" t="s">
        <v>74</v>
      </c>
      <c r="ZM32" s="15" t="s">
        <v>74</v>
      </c>
      <c r="ZN32" s="15" t="s">
        <v>74</v>
      </c>
      <c r="ZO32" s="15" t="s">
        <v>74</v>
      </c>
      <c r="ZP32" s="15" t="s">
        <v>74</v>
      </c>
      <c r="ZQ32" s="15" t="s">
        <v>74</v>
      </c>
      <c r="ZR32" s="15" t="s">
        <v>74</v>
      </c>
      <c r="ZS32" s="15" t="s">
        <v>74</v>
      </c>
      <c r="ZT32" s="15" t="s">
        <v>74</v>
      </c>
      <c r="ZU32" s="15" t="s">
        <v>74</v>
      </c>
      <c r="ZV32" s="15" t="s">
        <v>74</v>
      </c>
      <c r="ZW32" s="15" t="s">
        <v>74</v>
      </c>
      <c r="ZX32" s="15" t="s">
        <v>74</v>
      </c>
      <c r="ZY32" s="15" t="s">
        <v>74</v>
      </c>
      <c r="ZZ32" s="15" t="s">
        <v>74</v>
      </c>
      <c r="AAA32" s="15" t="s">
        <v>74</v>
      </c>
      <c r="AAB32" s="15" t="s">
        <v>74</v>
      </c>
      <c r="AAC32" s="15" t="s">
        <v>74</v>
      </c>
      <c r="AAD32" s="15" t="s">
        <v>74</v>
      </c>
      <c r="AAE32" s="15" t="s">
        <v>74</v>
      </c>
      <c r="AAF32" s="15" t="s">
        <v>74</v>
      </c>
      <c r="AAG32" s="15" t="s">
        <v>74</v>
      </c>
      <c r="AAH32" s="15" t="s">
        <v>74</v>
      </c>
      <c r="AAI32" s="15" t="s">
        <v>74</v>
      </c>
      <c r="AAJ32" s="15" t="s">
        <v>74</v>
      </c>
      <c r="AAK32" s="15" t="s">
        <v>74</v>
      </c>
      <c r="AAL32" s="15"/>
      <c r="AAM32" s="22" t="s">
        <v>74</v>
      </c>
      <c r="AAN32" s="22" t="s">
        <v>74</v>
      </c>
      <c r="AAO32" s="22" t="s">
        <v>74</v>
      </c>
      <c r="AAP32" s="22" t="s">
        <v>74</v>
      </c>
      <c r="AAQ32" s="22" t="s">
        <v>74</v>
      </c>
      <c r="AAR32" s="22" t="s">
        <v>74</v>
      </c>
      <c r="AAS32" s="22" t="s">
        <v>74</v>
      </c>
      <c r="AAT32" s="22" t="s">
        <v>74</v>
      </c>
      <c r="AAU32" s="22" t="s">
        <v>74</v>
      </c>
      <c r="AAV32" s="15" t="s">
        <v>74</v>
      </c>
      <c r="AAW32" s="15" t="s">
        <v>74</v>
      </c>
      <c r="AAX32" s="15"/>
      <c r="AAY32" s="22" t="s">
        <v>74</v>
      </c>
      <c r="AAZ32" s="22" t="s">
        <v>74</v>
      </c>
      <c r="ABA32" s="22" t="s">
        <v>74</v>
      </c>
      <c r="ABB32" s="22" t="s">
        <v>74</v>
      </c>
      <c r="ABC32" s="22" t="s">
        <v>74</v>
      </c>
      <c r="ABD32" s="22" t="s">
        <v>74</v>
      </c>
      <c r="ABE32" s="22" t="s">
        <v>74</v>
      </c>
      <c r="ABF32" s="22" t="s">
        <v>74</v>
      </c>
      <c r="ABG32" s="22" t="s">
        <v>74</v>
      </c>
      <c r="ABH32" s="15" t="s">
        <v>74</v>
      </c>
      <c r="ABI32" s="15" t="s">
        <v>74</v>
      </c>
      <c r="ABJ32" s="15" t="s">
        <v>74</v>
      </c>
      <c r="ABK32" s="15" t="s">
        <v>74</v>
      </c>
      <c r="ABL32" s="15" t="s">
        <v>74</v>
      </c>
      <c r="ABM32" s="15" t="s">
        <v>74</v>
      </c>
      <c r="ABN32" s="15" t="s">
        <v>74</v>
      </c>
      <c r="ABO32" s="15" t="s">
        <v>74</v>
      </c>
      <c r="ABP32" s="15" t="s">
        <v>74</v>
      </c>
      <c r="ABQ32" s="15" t="s">
        <v>74</v>
      </c>
      <c r="ABR32" s="15" t="s">
        <v>74</v>
      </c>
      <c r="ABS32" s="15" t="s">
        <v>74</v>
      </c>
      <c r="ABT32" s="15" t="s">
        <v>74</v>
      </c>
      <c r="ABU32" s="15" t="s">
        <v>74</v>
      </c>
      <c r="ABV32" s="15" t="s">
        <v>74</v>
      </c>
      <c r="ABW32" s="15" t="s">
        <v>74</v>
      </c>
      <c r="ABX32" s="15" t="s">
        <v>74</v>
      </c>
      <c r="ABY32" s="15" t="s">
        <v>74</v>
      </c>
      <c r="ABZ32" s="15" t="s">
        <v>74</v>
      </c>
      <c r="ACA32" s="15" t="s">
        <v>74</v>
      </c>
      <c r="ACB32" s="15" t="s">
        <v>74</v>
      </c>
      <c r="ACC32" s="15" t="s">
        <v>74</v>
      </c>
      <c r="ACD32" s="15" t="s">
        <v>74</v>
      </c>
      <c r="ACE32" s="15" t="s">
        <v>74</v>
      </c>
      <c r="ACF32" s="15" t="s">
        <v>74</v>
      </c>
      <c r="ACG32" s="15" t="s">
        <v>74</v>
      </c>
      <c r="ACH32" s="15" t="s">
        <v>74</v>
      </c>
      <c r="ACI32" s="15" t="s">
        <v>74</v>
      </c>
      <c r="ACJ32" s="15" t="s">
        <v>74</v>
      </c>
      <c r="ACK32" s="15" t="s">
        <v>74</v>
      </c>
      <c r="ACL32" s="15" t="s">
        <v>74</v>
      </c>
      <c r="ACM32" s="15" t="s">
        <v>74</v>
      </c>
      <c r="ACN32" s="15" t="s">
        <v>74</v>
      </c>
      <c r="ACO32" s="15" t="s">
        <v>74</v>
      </c>
      <c r="ACP32" s="15" t="s">
        <v>74</v>
      </c>
      <c r="ACQ32" s="15" t="s">
        <v>74</v>
      </c>
      <c r="ACR32" s="15" t="s">
        <v>74</v>
      </c>
      <c r="ACS32" s="15" t="s">
        <v>74</v>
      </c>
      <c r="ACT32" s="15" t="s">
        <v>74</v>
      </c>
      <c r="ACU32" s="15" t="s">
        <v>74</v>
      </c>
      <c r="ACV32" s="15" t="s">
        <v>74</v>
      </c>
      <c r="ACW32" s="15" t="s">
        <v>74</v>
      </c>
      <c r="ACX32" s="15" t="s">
        <v>74</v>
      </c>
      <c r="ACY32" s="15" t="s">
        <v>74</v>
      </c>
      <c r="ACZ32" s="15" t="s">
        <v>74</v>
      </c>
      <c r="ADA32" s="15" t="s">
        <v>74</v>
      </c>
      <c r="ADB32" s="15" t="s">
        <v>74</v>
      </c>
      <c r="ADC32" s="15" t="s">
        <v>74</v>
      </c>
      <c r="ADD32" s="15" t="s">
        <v>74</v>
      </c>
      <c r="ADE32" s="15" t="s">
        <v>74</v>
      </c>
      <c r="ADF32" s="15" t="s">
        <v>74</v>
      </c>
      <c r="ADG32" s="15" t="s">
        <v>74</v>
      </c>
      <c r="ADH32" s="15"/>
      <c r="ADI32" s="22" t="s">
        <v>74</v>
      </c>
      <c r="ADJ32" s="22" t="s">
        <v>74</v>
      </c>
      <c r="ADK32" s="22" t="s">
        <v>74</v>
      </c>
      <c r="ADL32" s="22" t="s">
        <v>74</v>
      </c>
      <c r="ADM32" s="22" t="s">
        <v>74</v>
      </c>
      <c r="ADN32" s="22" t="s">
        <v>74</v>
      </c>
      <c r="ADO32" s="22" t="s">
        <v>74</v>
      </c>
      <c r="ADP32" s="22" t="s">
        <v>74</v>
      </c>
      <c r="ADQ32" s="22" t="s">
        <v>74</v>
      </c>
      <c r="ADR32" s="15" t="s">
        <v>74</v>
      </c>
      <c r="ADS32" s="15" t="s">
        <v>74</v>
      </c>
      <c r="ADT32" s="15" t="s">
        <v>74</v>
      </c>
      <c r="ADU32" s="15" t="s">
        <v>74</v>
      </c>
      <c r="ADV32" s="15" t="s">
        <v>74</v>
      </c>
      <c r="ADW32" s="15" t="s">
        <v>74</v>
      </c>
      <c r="ADX32" s="15" t="s">
        <v>74</v>
      </c>
      <c r="ADY32" s="15" t="s">
        <v>74</v>
      </c>
      <c r="ADZ32" s="15" t="s">
        <v>74</v>
      </c>
      <c r="AEA32" s="15" t="s">
        <v>74</v>
      </c>
      <c r="AEB32" s="15" t="s">
        <v>74</v>
      </c>
      <c r="AEC32" s="15" t="s">
        <v>74</v>
      </c>
      <c r="AED32" s="15" t="s">
        <v>74</v>
      </c>
      <c r="AEE32" s="15" t="s">
        <v>74</v>
      </c>
      <c r="AEF32" s="15" t="s">
        <v>74</v>
      </c>
      <c r="AEG32" s="15" t="s">
        <v>74</v>
      </c>
      <c r="AEH32" s="15" t="s">
        <v>74</v>
      </c>
      <c r="AEI32" s="15" t="s">
        <v>74</v>
      </c>
      <c r="AEJ32" s="15" t="s">
        <v>74</v>
      </c>
      <c r="AEK32" s="15" t="s">
        <v>74</v>
      </c>
      <c r="AEL32" s="15" t="s">
        <v>74</v>
      </c>
      <c r="AEM32" s="15" t="s">
        <v>74</v>
      </c>
      <c r="AEN32" s="15" t="s">
        <v>74</v>
      </c>
      <c r="AEO32" s="15" t="s">
        <v>74</v>
      </c>
      <c r="AEP32" s="15" t="s">
        <v>74</v>
      </c>
      <c r="AEQ32" s="15" t="s">
        <v>74</v>
      </c>
      <c r="AER32" s="15" t="s">
        <v>74</v>
      </c>
      <c r="AES32" s="15" t="s">
        <v>74</v>
      </c>
      <c r="AET32" s="15" t="s">
        <v>74</v>
      </c>
      <c r="AEU32" s="15" t="s">
        <v>74</v>
      </c>
      <c r="AEV32" s="15" t="s">
        <v>74</v>
      </c>
      <c r="AEW32" s="15" t="s">
        <v>74</v>
      </c>
      <c r="AEX32" s="15" t="s">
        <v>74</v>
      </c>
      <c r="AEY32" s="15" t="s">
        <v>74</v>
      </c>
      <c r="AEZ32" s="15" t="s">
        <v>74</v>
      </c>
      <c r="AFA32" s="15" t="s">
        <v>74</v>
      </c>
      <c r="AFB32" s="15" t="s">
        <v>74</v>
      </c>
      <c r="AFC32" s="15" t="s">
        <v>74</v>
      </c>
      <c r="AFD32" s="15" t="s">
        <v>74</v>
      </c>
      <c r="AFE32" s="15" t="s">
        <v>74</v>
      </c>
      <c r="AFF32" s="15" t="s">
        <v>74</v>
      </c>
      <c r="AFG32" s="15" t="s">
        <v>74</v>
      </c>
      <c r="AFH32" s="15" t="s">
        <v>74</v>
      </c>
      <c r="AFI32" s="15" t="s">
        <v>74</v>
      </c>
      <c r="AFJ32" s="15" t="s">
        <v>74</v>
      </c>
      <c r="AFK32" s="15" t="s">
        <v>74</v>
      </c>
      <c r="AFL32" s="15" t="s">
        <v>74</v>
      </c>
      <c r="AFM32" s="15" t="s">
        <v>74</v>
      </c>
      <c r="AFN32" s="15" t="s">
        <v>74</v>
      </c>
      <c r="AFO32" s="15" t="s">
        <v>74</v>
      </c>
      <c r="AFP32" s="15" t="s">
        <v>74</v>
      </c>
      <c r="AFQ32" s="15" t="s">
        <v>74</v>
      </c>
      <c r="AFR32" s="15"/>
      <c r="AFS32" s="15" t="s">
        <v>74</v>
      </c>
      <c r="AFT32" s="15" t="s">
        <v>74</v>
      </c>
      <c r="AFU32" s="15" t="s">
        <v>74</v>
      </c>
      <c r="AFV32" s="15" t="s">
        <v>74</v>
      </c>
      <c r="AFW32" s="15" t="s">
        <v>74</v>
      </c>
      <c r="AFX32" s="15" t="s">
        <v>74</v>
      </c>
      <c r="AFY32" s="15" t="s">
        <v>74</v>
      </c>
      <c r="AFZ32" s="15" t="s">
        <v>74</v>
      </c>
      <c r="AGA32" s="15" t="s">
        <v>74</v>
      </c>
      <c r="AGB32" s="15" t="s">
        <v>74</v>
      </c>
      <c r="AGC32" s="15" t="s">
        <v>74</v>
      </c>
      <c r="AGD32" s="15" t="s">
        <v>74</v>
      </c>
      <c r="AGE32" s="15" t="s">
        <v>74</v>
      </c>
      <c r="AGF32" s="15" t="s">
        <v>74</v>
      </c>
      <c r="AGG32" s="15" t="s">
        <v>74</v>
      </c>
      <c r="AGH32" s="15" t="s">
        <v>74</v>
      </c>
      <c r="AGI32" s="15" t="s">
        <v>74</v>
      </c>
      <c r="AGJ32" s="15" t="s">
        <v>74</v>
      </c>
      <c r="AGK32" s="15" t="s">
        <v>74</v>
      </c>
      <c r="AGL32" s="15" t="s">
        <v>74</v>
      </c>
      <c r="AGM32" s="15" t="s">
        <v>74</v>
      </c>
      <c r="AGN32" s="15" t="s">
        <v>74</v>
      </c>
      <c r="AGO32" s="15" t="s">
        <v>74</v>
      </c>
      <c r="AGP32" s="15" t="s">
        <v>74</v>
      </c>
      <c r="AGQ32" s="15" t="s">
        <v>74</v>
      </c>
      <c r="AGR32" s="15" t="s">
        <v>74</v>
      </c>
      <c r="AGS32" s="15" t="s">
        <v>74</v>
      </c>
      <c r="AGT32" s="15" t="s">
        <v>74</v>
      </c>
      <c r="AGU32" s="15" t="s">
        <v>74</v>
      </c>
      <c r="AGV32" s="15" t="s">
        <v>74</v>
      </c>
      <c r="AGW32" s="15" t="s">
        <v>74</v>
      </c>
      <c r="AGX32" s="15" t="s">
        <v>74</v>
      </c>
      <c r="AGY32" s="15" t="s">
        <v>74</v>
      </c>
      <c r="AGZ32" s="15" t="s">
        <v>74</v>
      </c>
      <c r="AHA32" s="15" t="s">
        <v>74</v>
      </c>
      <c r="AHB32" s="15" t="s">
        <v>74</v>
      </c>
      <c r="AHC32" s="15" t="s">
        <v>74</v>
      </c>
      <c r="AHD32" s="15" t="s">
        <v>74</v>
      </c>
      <c r="AHE32" s="15" t="s">
        <v>74</v>
      </c>
      <c r="AHF32" s="15" t="s">
        <v>74</v>
      </c>
      <c r="AHG32" s="15" t="s">
        <v>74</v>
      </c>
      <c r="AHH32" s="15" t="s">
        <v>74</v>
      </c>
      <c r="AHI32" s="15" t="s">
        <v>74</v>
      </c>
      <c r="AHJ32" s="15" t="s">
        <v>74</v>
      </c>
      <c r="AHK32" s="15" t="s">
        <v>74</v>
      </c>
      <c r="AHL32" s="15" t="s">
        <v>74</v>
      </c>
      <c r="AHM32" s="15" t="s">
        <v>74</v>
      </c>
      <c r="AHN32" s="15" t="s">
        <v>74</v>
      </c>
      <c r="AHO32" s="15" t="s">
        <v>74</v>
      </c>
      <c r="AHP32" s="15" t="s">
        <v>74</v>
      </c>
      <c r="AHQ32" s="15" t="s">
        <v>74</v>
      </c>
      <c r="AHR32" s="15" t="s">
        <v>74</v>
      </c>
      <c r="AHS32" s="15" t="s">
        <v>74</v>
      </c>
      <c r="AHT32" s="15" t="s">
        <v>74</v>
      </c>
      <c r="AHU32" s="15" t="s">
        <v>74</v>
      </c>
      <c r="AHV32" s="15" t="s">
        <v>74</v>
      </c>
      <c r="AHW32" s="15" t="s">
        <v>74</v>
      </c>
      <c r="AHX32" s="15" t="s">
        <v>74</v>
      </c>
      <c r="AHY32" s="15" t="s">
        <v>74</v>
      </c>
      <c r="AHZ32" s="15" t="s">
        <v>74</v>
      </c>
      <c r="AIA32" s="15" t="s">
        <v>74</v>
      </c>
      <c r="AIB32" s="15" t="s">
        <v>74</v>
      </c>
      <c r="AIC32" s="15" t="s">
        <v>74</v>
      </c>
      <c r="AID32" s="15" t="s">
        <v>74</v>
      </c>
      <c r="AIE32" s="15" t="s">
        <v>74</v>
      </c>
      <c r="AIF32" s="15" t="s">
        <v>74</v>
      </c>
      <c r="AIG32" s="15" t="s">
        <v>74</v>
      </c>
      <c r="AIH32" s="15" t="s">
        <v>74</v>
      </c>
      <c r="AII32" s="15" t="s">
        <v>74</v>
      </c>
      <c r="AIJ32" s="15" t="s">
        <v>74</v>
      </c>
      <c r="AIK32" s="15" t="s">
        <v>74</v>
      </c>
      <c r="AIL32" s="15" t="s">
        <v>74</v>
      </c>
      <c r="AIM32" s="15" t="s">
        <v>74</v>
      </c>
      <c r="AIN32" s="15" t="s">
        <v>74</v>
      </c>
      <c r="AIO32" s="15" t="s">
        <v>74</v>
      </c>
      <c r="AIP32" s="15" t="s">
        <v>74</v>
      </c>
      <c r="AIQ32" s="15" t="s">
        <v>74</v>
      </c>
      <c r="AIR32" s="15" t="s">
        <v>74</v>
      </c>
      <c r="AIS32" s="15" t="s">
        <v>74</v>
      </c>
      <c r="AIT32" s="15" t="s">
        <v>74</v>
      </c>
      <c r="AIU32" s="15" t="s">
        <v>74</v>
      </c>
      <c r="AIV32" s="15" t="s">
        <v>74</v>
      </c>
      <c r="AIW32" s="15" t="s">
        <v>74</v>
      </c>
      <c r="AIX32" s="15" t="s">
        <v>74</v>
      </c>
      <c r="AIY32" s="15" t="s">
        <v>74</v>
      </c>
      <c r="AIZ32" s="15" t="s">
        <v>74</v>
      </c>
      <c r="AJA32" s="15" t="s">
        <v>74</v>
      </c>
      <c r="AJB32" s="15" t="s">
        <v>74</v>
      </c>
      <c r="AJC32" s="15" t="s">
        <v>74</v>
      </c>
      <c r="AJD32" s="15" t="s">
        <v>74</v>
      </c>
      <c r="AJE32" s="15" t="s">
        <v>74</v>
      </c>
      <c r="AJF32" s="15"/>
      <c r="AJG32" s="19" t="s">
        <v>74</v>
      </c>
      <c r="AJH32" s="19" t="s">
        <v>74</v>
      </c>
      <c r="AJI32" s="19" t="s">
        <v>74</v>
      </c>
      <c r="AJJ32" s="19" t="s">
        <v>74</v>
      </c>
      <c r="AJK32" s="19" t="s">
        <v>74</v>
      </c>
      <c r="AJL32" s="19" t="s">
        <v>74</v>
      </c>
      <c r="AJM32" s="19" t="s">
        <v>74</v>
      </c>
      <c r="AJN32" s="19"/>
      <c r="AJO32" s="19" t="s">
        <v>74</v>
      </c>
      <c r="AJP32" s="19" t="s">
        <v>74</v>
      </c>
      <c r="AJQ32" s="19" t="s">
        <v>74</v>
      </c>
      <c r="AJR32" s="19" t="s">
        <v>74</v>
      </c>
      <c r="AJS32" s="19" t="s">
        <v>74</v>
      </c>
      <c r="AJT32" s="19" t="s">
        <v>74</v>
      </c>
      <c r="AJU32" s="19" t="s">
        <v>74</v>
      </c>
      <c r="AJV32" s="19" t="s">
        <v>74</v>
      </c>
      <c r="AJW32" s="19" t="s">
        <v>74</v>
      </c>
      <c r="AJX32" s="19"/>
      <c r="AJY32" s="19" t="s">
        <v>74</v>
      </c>
      <c r="AJZ32" s="19" t="s">
        <v>74</v>
      </c>
      <c r="AKA32" s="19" t="s">
        <v>74</v>
      </c>
      <c r="AKB32" s="19" t="s">
        <v>74</v>
      </c>
      <c r="AKC32" s="19" t="s">
        <v>74</v>
      </c>
      <c r="AKD32" s="19" t="s">
        <v>74</v>
      </c>
      <c r="AKE32" s="19" t="s">
        <v>74</v>
      </c>
      <c r="AKF32" s="19" t="s">
        <v>74</v>
      </c>
      <c r="AKG32" s="19" t="s">
        <v>74</v>
      </c>
      <c r="AKH32" s="19" t="s">
        <v>74</v>
      </c>
      <c r="AKI32" s="19"/>
      <c r="AKJ32" s="22" t="s">
        <v>74</v>
      </c>
      <c r="AKK32" s="22" t="s">
        <v>74</v>
      </c>
      <c r="AKL32" s="22" t="s">
        <v>74</v>
      </c>
      <c r="AKM32" s="22" t="s">
        <v>74</v>
      </c>
      <c r="AKN32" s="22" t="s">
        <v>74</v>
      </c>
      <c r="AKO32" s="22" t="s">
        <v>74</v>
      </c>
      <c r="AKP32" s="22" t="s">
        <v>74</v>
      </c>
      <c r="AKQ32" s="22" t="s">
        <v>74</v>
      </c>
      <c r="AKR32" s="22" t="s">
        <v>74</v>
      </c>
      <c r="AKS32" s="22" t="s">
        <v>74</v>
      </c>
      <c r="AKT32" s="22" t="s">
        <v>74</v>
      </c>
      <c r="AKU32" s="22" t="s">
        <v>74</v>
      </c>
      <c r="AKV32" s="22" t="s">
        <v>74</v>
      </c>
      <c r="AKW32" s="22" t="s">
        <v>74</v>
      </c>
      <c r="AKX32" s="19"/>
      <c r="AKY32" s="22" t="s">
        <v>74</v>
      </c>
      <c r="AKZ32" s="22" t="s">
        <v>74</v>
      </c>
      <c r="ALA32" s="22" t="s">
        <v>74</v>
      </c>
      <c r="ALB32" s="22" t="s">
        <v>74</v>
      </c>
      <c r="ALC32" s="22" t="s">
        <v>74</v>
      </c>
      <c r="ALD32" s="22" t="s">
        <v>74</v>
      </c>
      <c r="ALE32" s="22" t="s">
        <v>74</v>
      </c>
      <c r="ALF32" s="22" t="s">
        <v>74</v>
      </c>
      <c r="ALG32" s="22" t="s">
        <v>74</v>
      </c>
      <c r="ALH32" s="22" t="s">
        <v>74</v>
      </c>
      <c r="ALI32" s="22" t="s">
        <v>74</v>
      </c>
      <c r="ALJ32" s="22" t="s">
        <v>74</v>
      </c>
      <c r="ALK32" s="22" t="s">
        <v>74</v>
      </c>
      <c r="ALL32" s="22" t="s">
        <v>74</v>
      </c>
      <c r="ALM32" s="15"/>
      <c r="ALN32" s="22" t="s">
        <v>74</v>
      </c>
      <c r="ALO32" s="22" t="s">
        <v>74</v>
      </c>
      <c r="ALP32" s="22" t="s">
        <v>74</v>
      </c>
      <c r="ALQ32" s="22" t="s">
        <v>74</v>
      </c>
      <c r="ALR32" s="22" t="s">
        <v>74</v>
      </c>
      <c r="ALS32" s="22" t="s">
        <v>74</v>
      </c>
      <c r="ALT32" s="22" t="s">
        <v>74</v>
      </c>
      <c r="ALU32" s="22" t="s">
        <v>74</v>
      </c>
      <c r="ALV32" s="22" t="s">
        <v>74</v>
      </c>
      <c r="ALW32" s="15" t="s">
        <v>74</v>
      </c>
      <c r="ALX32" s="15" t="s">
        <v>74</v>
      </c>
      <c r="ALY32" s="15" t="s">
        <v>74</v>
      </c>
      <c r="ALZ32" s="15" t="s">
        <v>74</v>
      </c>
      <c r="AMA32" s="15" t="s">
        <v>74</v>
      </c>
      <c r="AMB32" s="15" t="s">
        <v>74</v>
      </c>
      <c r="AMC32" s="15"/>
      <c r="AMD32" s="15" t="s">
        <v>74</v>
      </c>
      <c r="AME32" s="15" t="s">
        <v>74</v>
      </c>
      <c r="AMF32" s="15" t="s">
        <v>74</v>
      </c>
      <c r="AMG32" s="15" t="s">
        <v>74</v>
      </c>
      <c r="AMH32" s="15" t="s">
        <v>74</v>
      </c>
      <c r="AMI32" s="15" t="s">
        <v>74</v>
      </c>
      <c r="AMJ32" s="15" t="s">
        <v>74</v>
      </c>
      <c r="AMK32" s="15" t="s">
        <v>74</v>
      </c>
      <c r="AML32" s="15" t="s">
        <v>74</v>
      </c>
      <c r="AMM32" s="15" t="s">
        <v>74</v>
      </c>
      <c r="AMN32" s="15" t="s">
        <v>74</v>
      </c>
      <c r="AMO32" s="15" t="s">
        <v>74</v>
      </c>
      <c r="AMP32" s="15" t="s">
        <v>74</v>
      </c>
      <c r="AMQ32" s="15" t="s">
        <v>74</v>
      </c>
      <c r="AMR32" s="15" t="s">
        <v>74</v>
      </c>
      <c r="AMS32" s="15" t="s">
        <v>74</v>
      </c>
      <c r="AMT32" s="15" t="s">
        <v>74</v>
      </c>
      <c r="AMU32" s="15" t="s">
        <v>74</v>
      </c>
      <c r="AMV32" s="15" t="s">
        <v>74</v>
      </c>
      <c r="AMW32" s="15" t="s">
        <v>74</v>
      </c>
      <c r="AMX32" s="15" t="s">
        <v>74</v>
      </c>
      <c r="AMY32" s="15" t="s">
        <v>74</v>
      </c>
      <c r="AMZ32" s="15" t="s">
        <v>74</v>
      </c>
      <c r="ANA32" s="15" t="s">
        <v>74</v>
      </c>
      <c r="ANB32" s="15" t="s">
        <v>74</v>
      </c>
      <c r="ANC32" s="15" t="s">
        <v>74</v>
      </c>
      <c r="AND32" s="15" t="s">
        <v>74</v>
      </c>
      <c r="ANE32" s="15"/>
      <c r="ANF32" s="15"/>
      <c r="ANG32" s="15"/>
      <c r="ANH32" s="15"/>
      <c r="ANI32" s="15"/>
      <c r="ANJ32" s="15"/>
      <c r="ANK32" s="15"/>
      <c r="ANL32" s="15"/>
      <c r="ANM32" s="15"/>
      <c r="ANN32" s="15"/>
      <c r="ANO32" s="15"/>
      <c r="ANP32" s="15"/>
      <c r="ANQ32" s="15"/>
      <c r="ANR32" s="15"/>
      <c r="ANS32" s="15"/>
      <c r="ANT32" s="15"/>
      <c r="ANU32" s="15"/>
      <c r="ANV32" s="15"/>
      <c r="ANW32" s="15"/>
      <c r="ANX32" s="15"/>
      <c r="ANY32" s="15"/>
      <c r="ANZ32" s="15"/>
      <c r="AOA32" s="15"/>
      <c r="AOB32" s="15"/>
      <c r="AOC32" s="15"/>
      <c r="AOD32" s="15"/>
      <c r="AOE32" s="15"/>
      <c r="AOF32" s="15"/>
      <c r="AOG32" s="15"/>
      <c r="AOH32" s="15"/>
      <c r="AOI32" s="15"/>
      <c r="AOJ32" s="15"/>
      <c r="AOK32" s="15"/>
      <c r="AOL32" s="15"/>
      <c r="AOM32" s="15"/>
      <c r="AON32" s="15"/>
      <c r="AOO32" s="15"/>
      <c r="AOP32" s="15"/>
      <c r="AOQ32" s="15"/>
      <c r="AOR32" s="15"/>
      <c r="AOS32" s="15"/>
      <c r="AOT32" s="15"/>
      <c r="AOU32" s="15"/>
      <c r="AOV32" s="15"/>
      <c r="AOW32" s="15"/>
      <c r="AOX32" s="15"/>
      <c r="AOY32" s="15"/>
      <c r="AOZ32" s="15"/>
      <c r="APA32" s="15"/>
      <c r="APB32" s="15"/>
      <c r="APC32" s="15"/>
      <c r="APD32" s="15"/>
      <c r="APE32" s="15"/>
      <c r="APF32" s="15"/>
      <c r="APG32" s="15"/>
      <c r="APH32" s="15"/>
      <c r="API32" s="15"/>
      <c r="APJ32" s="15"/>
      <c r="APK32" s="15"/>
      <c r="APL32" s="15"/>
      <c r="APM32" s="15"/>
      <c r="APN32" s="15"/>
      <c r="APO32" s="15"/>
      <c r="APP32" s="15"/>
      <c r="APQ32" s="15"/>
      <c r="APR32" s="15"/>
      <c r="APS32" s="15"/>
      <c r="APT32" s="15"/>
      <c r="APU32" s="15"/>
      <c r="APV32" s="15"/>
      <c r="APW32" s="15"/>
      <c r="APX32" s="15"/>
      <c r="APY32" s="15"/>
      <c r="APZ32" s="15"/>
      <c r="AQA32" s="15"/>
      <c r="AQB32" s="15"/>
    </row>
    <row r="33" spans="1:1120" s="17" customFormat="1" ht="15" customHeight="1" x14ac:dyDescent="0.25">
      <c r="A33" s="3" t="s">
        <v>2</v>
      </c>
      <c r="B33" s="6" t="s">
        <v>38</v>
      </c>
      <c r="C33" s="19"/>
      <c r="D33" s="19" t="s">
        <v>104</v>
      </c>
      <c r="E33" s="19" t="s">
        <v>104</v>
      </c>
      <c r="F33" s="19" t="s">
        <v>104</v>
      </c>
      <c r="G33" s="19" t="s">
        <v>104</v>
      </c>
      <c r="H33" s="19" t="s">
        <v>104</v>
      </c>
      <c r="I33" s="19" t="s">
        <v>104</v>
      </c>
      <c r="J33" s="19"/>
      <c r="K33" s="19" t="s">
        <v>104</v>
      </c>
      <c r="L33" s="19" t="s">
        <v>104</v>
      </c>
      <c r="M33" s="19" t="s">
        <v>104</v>
      </c>
      <c r="N33" s="19" t="s">
        <v>104</v>
      </c>
      <c r="O33" s="19" t="s">
        <v>104</v>
      </c>
      <c r="P33" s="19" t="s">
        <v>104</v>
      </c>
      <c r="Q33" s="19"/>
      <c r="R33" s="19" t="s">
        <v>104</v>
      </c>
      <c r="S33" s="19" t="s">
        <v>104</v>
      </c>
      <c r="T33" s="19" t="s">
        <v>104</v>
      </c>
      <c r="U33" s="19" t="s">
        <v>104</v>
      </c>
      <c r="V33" s="19" t="s">
        <v>104</v>
      </c>
      <c r="W33" s="19" t="s">
        <v>104</v>
      </c>
      <c r="X33" s="19"/>
      <c r="Y33" s="19" t="s">
        <v>104</v>
      </c>
      <c r="Z33" s="19" t="s">
        <v>104</v>
      </c>
      <c r="AA33" s="19" t="s">
        <v>104</v>
      </c>
      <c r="AB33" s="19" t="s">
        <v>104</v>
      </c>
      <c r="AC33" s="19" t="s">
        <v>104</v>
      </c>
      <c r="AD33" s="19" t="s">
        <v>104</v>
      </c>
      <c r="AE33" s="19"/>
      <c r="AF33" s="19" t="s">
        <v>104</v>
      </c>
      <c r="AG33" s="19" t="s">
        <v>104</v>
      </c>
      <c r="AH33" s="19" t="s">
        <v>104</v>
      </c>
      <c r="AI33" s="19" t="s">
        <v>104</v>
      </c>
      <c r="AJ33" s="19" t="s">
        <v>104</v>
      </c>
      <c r="AK33" s="19" t="s">
        <v>104</v>
      </c>
      <c r="AL33" s="19"/>
      <c r="AM33" s="19" t="s">
        <v>104</v>
      </c>
      <c r="AN33" s="19" t="s">
        <v>104</v>
      </c>
      <c r="AO33" s="19" t="s">
        <v>104</v>
      </c>
      <c r="AP33" s="19" t="s">
        <v>104</v>
      </c>
      <c r="AQ33" s="19" t="s">
        <v>104</v>
      </c>
      <c r="AR33" s="19" t="s">
        <v>104</v>
      </c>
      <c r="AS33" s="19" t="s">
        <v>104</v>
      </c>
      <c r="AT33" s="19" t="s">
        <v>104</v>
      </c>
      <c r="AU33" s="19" t="s">
        <v>104</v>
      </c>
      <c r="AV33" s="19" t="s">
        <v>104</v>
      </c>
      <c r="AW33" s="19" t="s">
        <v>104</v>
      </c>
      <c r="AX33" s="19" t="s">
        <v>104</v>
      </c>
      <c r="AY33" s="19" t="s">
        <v>104</v>
      </c>
      <c r="AZ33" s="19" t="s">
        <v>104</v>
      </c>
      <c r="BA33" s="19" t="s">
        <v>104</v>
      </c>
      <c r="BB33" s="19" t="s">
        <v>104</v>
      </c>
      <c r="BC33" s="19" t="s">
        <v>104</v>
      </c>
      <c r="BD33" s="19" t="s">
        <v>104</v>
      </c>
      <c r="BE33" s="19" t="s">
        <v>104</v>
      </c>
      <c r="BF33" s="19" t="s">
        <v>104</v>
      </c>
      <c r="BG33" s="19" t="s">
        <v>104</v>
      </c>
      <c r="BH33" s="19" t="s">
        <v>104</v>
      </c>
      <c r="BI33" s="19" t="s">
        <v>104</v>
      </c>
      <c r="BJ33" s="19" t="s">
        <v>104</v>
      </c>
      <c r="BK33" s="19" t="s">
        <v>104</v>
      </c>
      <c r="BL33" s="19" t="s">
        <v>104</v>
      </c>
      <c r="BM33" s="19" t="s">
        <v>104</v>
      </c>
      <c r="BN33" s="19" t="s">
        <v>104</v>
      </c>
      <c r="BO33" s="19" t="s">
        <v>104</v>
      </c>
      <c r="BP33" s="19" t="s">
        <v>104</v>
      </c>
      <c r="BQ33" s="19" t="s">
        <v>104</v>
      </c>
      <c r="BR33" s="19" t="s">
        <v>104</v>
      </c>
      <c r="BS33" s="19" t="s">
        <v>104</v>
      </c>
      <c r="BT33" s="19" t="s">
        <v>104</v>
      </c>
      <c r="BU33" s="19" t="s">
        <v>104</v>
      </c>
      <c r="BV33" s="19" t="s">
        <v>104</v>
      </c>
      <c r="BW33" s="19" t="s">
        <v>104</v>
      </c>
      <c r="BX33" s="19" t="s">
        <v>104</v>
      </c>
      <c r="BY33" s="19" t="s">
        <v>104</v>
      </c>
      <c r="BZ33" s="19" t="s">
        <v>104</v>
      </c>
      <c r="CA33" s="19" t="s">
        <v>104</v>
      </c>
      <c r="CB33" s="19" t="s">
        <v>104</v>
      </c>
      <c r="CC33" s="19" t="s">
        <v>104</v>
      </c>
      <c r="CD33" s="19" t="s">
        <v>104</v>
      </c>
      <c r="CE33" s="19" t="s">
        <v>104</v>
      </c>
      <c r="CF33" s="19" t="s">
        <v>104</v>
      </c>
      <c r="CG33" s="19" t="s">
        <v>104</v>
      </c>
      <c r="CH33" s="19" t="s">
        <v>104</v>
      </c>
      <c r="CI33" s="19" t="s">
        <v>104</v>
      </c>
      <c r="CJ33" s="19" t="s">
        <v>104</v>
      </c>
      <c r="CK33" s="19" t="s">
        <v>104</v>
      </c>
      <c r="CL33" s="19" t="s">
        <v>104</v>
      </c>
      <c r="CM33" s="19" t="s">
        <v>104</v>
      </c>
      <c r="CN33" s="19" t="s">
        <v>104</v>
      </c>
      <c r="CO33" s="19" t="s">
        <v>104</v>
      </c>
      <c r="CP33" s="19" t="s">
        <v>104</v>
      </c>
      <c r="CQ33" s="19" t="s">
        <v>104</v>
      </c>
      <c r="CR33" s="19" t="s">
        <v>104</v>
      </c>
      <c r="CS33" s="19" t="s">
        <v>104</v>
      </c>
      <c r="CT33" s="19" t="s">
        <v>104</v>
      </c>
      <c r="CU33" s="19" t="s">
        <v>104</v>
      </c>
      <c r="CV33" s="19" t="s">
        <v>104</v>
      </c>
      <c r="CW33" s="19" t="s">
        <v>104</v>
      </c>
      <c r="CX33" s="19" t="s">
        <v>104</v>
      </c>
      <c r="CY33" s="19" t="s">
        <v>104</v>
      </c>
      <c r="CZ33" s="19" t="s">
        <v>104</v>
      </c>
      <c r="DA33" s="19" t="s">
        <v>104</v>
      </c>
      <c r="DB33" s="19" t="s">
        <v>104</v>
      </c>
      <c r="DC33" s="19" t="s">
        <v>104</v>
      </c>
      <c r="DD33" s="19" t="s">
        <v>104</v>
      </c>
      <c r="DE33" s="19" t="s">
        <v>104</v>
      </c>
      <c r="DF33" s="19" t="s">
        <v>104</v>
      </c>
      <c r="DG33" s="19" t="s">
        <v>104</v>
      </c>
      <c r="DH33" s="19" t="s">
        <v>104</v>
      </c>
      <c r="DI33" s="19" t="s">
        <v>104</v>
      </c>
      <c r="DJ33" s="19" t="s">
        <v>104</v>
      </c>
      <c r="DK33" s="19" t="s">
        <v>104</v>
      </c>
      <c r="DL33" s="19" t="s">
        <v>104</v>
      </c>
      <c r="DM33" s="19" t="s">
        <v>104</v>
      </c>
      <c r="DN33" s="19" t="s">
        <v>104</v>
      </c>
      <c r="DO33" s="19" t="s">
        <v>104</v>
      </c>
      <c r="DP33" s="19" t="s">
        <v>104</v>
      </c>
      <c r="DQ33" s="19" t="s">
        <v>104</v>
      </c>
      <c r="DR33" s="19" t="s">
        <v>104</v>
      </c>
      <c r="DS33" s="19" t="s">
        <v>104</v>
      </c>
      <c r="DT33" s="19" t="s">
        <v>104</v>
      </c>
      <c r="DU33" s="19" t="s">
        <v>104</v>
      </c>
      <c r="DV33" s="19" t="s">
        <v>104</v>
      </c>
      <c r="DW33" s="19" t="s">
        <v>104</v>
      </c>
      <c r="DX33" s="19" t="s">
        <v>104</v>
      </c>
      <c r="DY33" s="19" t="s">
        <v>104</v>
      </c>
      <c r="DZ33" s="19" t="s">
        <v>104</v>
      </c>
      <c r="EA33" s="19" t="s">
        <v>104</v>
      </c>
      <c r="EB33" s="19" t="s">
        <v>104</v>
      </c>
      <c r="EC33" s="19" t="s">
        <v>104</v>
      </c>
      <c r="ED33" s="19" t="s">
        <v>104</v>
      </c>
      <c r="EE33" s="19" t="s">
        <v>104</v>
      </c>
      <c r="EF33" s="19" t="s">
        <v>104</v>
      </c>
      <c r="EG33" s="19" t="s">
        <v>104</v>
      </c>
      <c r="EH33" s="19" t="s">
        <v>104</v>
      </c>
      <c r="EI33" s="19" t="s">
        <v>104</v>
      </c>
      <c r="EJ33" s="19" t="s">
        <v>104</v>
      </c>
      <c r="EK33" s="19" t="s">
        <v>104</v>
      </c>
      <c r="EL33" s="19" t="s">
        <v>104</v>
      </c>
      <c r="EM33" s="19" t="s">
        <v>104</v>
      </c>
      <c r="EN33" s="19" t="s">
        <v>104</v>
      </c>
      <c r="EO33" s="19" t="s">
        <v>104</v>
      </c>
      <c r="EP33" s="19" t="s">
        <v>104</v>
      </c>
      <c r="EQ33" s="19" t="s">
        <v>104</v>
      </c>
      <c r="ER33" s="19" t="s">
        <v>104</v>
      </c>
      <c r="ES33" s="19" t="s">
        <v>104</v>
      </c>
      <c r="ET33" s="19" t="s">
        <v>104</v>
      </c>
      <c r="EU33" s="19" t="s">
        <v>104</v>
      </c>
      <c r="EV33" s="19" t="s">
        <v>104</v>
      </c>
      <c r="EW33" s="19" t="s">
        <v>104</v>
      </c>
      <c r="EX33" s="19" t="s">
        <v>104</v>
      </c>
      <c r="EY33" s="19" t="s">
        <v>104</v>
      </c>
      <c r="EZ33" s="19" t="s">
        <v>104</v>
      </c>
      <c r="FA33" s="19" t="s">
        <v>104</v>
      </c>
      <c r="FB33" s="19" t="s">
        <v>104</v>
      </c>
      <c r="FC33" s="19" t="s">
        <v>104</v>
      </c>
      <c r="FD33" s="19"/>
      <c r="FE33" s="19" t="s">
        <v>104</v>
      </c>
      <c r="FF33" s="19" t="s">
        <v>104</v>
      </c>
      <c r="FG33" s="19" t="s">
        <v>104</v>
      </c>
      <c r="FH33" s="19" t="s">
        <v>104</v>
      </c>
      <c r="FI33" s="19" t="s">
        <v>104</v>
      </c>
      <c r="FJ33" s="19" t="s">
        <v>104</v>
      </c>
      <c r="FK33" s="19" t="s">
        <v>104</v>
      </c>
      <c r="FL33" s="19" t="s">
        <v>104</v>
      </c>
      <c r="FM33" s="19" t="s">
        <v>104</v>
      </c>
      <c r="FN33" s="19" t="s">
        <v>104</v>
      </c>
      <c r="FO33" s="19" t="s">
        <v>104</v>
      </c>
      <c r="FP33" s="19" t="s">
        <v>104</v>
      </c>
      <c r="FQ33" s="19" t="s">
        <v>104</v>
      </c>
      <c r="FR33" s="19" t="s">
        <v>104</v>
      </c>
      <c r="FS33" s="19" t="s">
        <v>104</v>
      </c>
      <c r="FT33" s="19" t="s">
        <v>104</v>
      </c>
      <c r="FU33" s="19" t="s">
        <v>104</v>
      </c>
      <c r="FV33" s="19" t="s">
        <v>104</v>
      </c>
      <c r="FW33" s="19" t="s">
        <v>104</v>
      </c>
      <c r="FX33" s="19" t="s">
        <v>104</v>
      </c>
      <c r="FY33" s="19" t="s">
        <v>104</v>
      </c>
      <c r="FZ33" s="19" t="s">
        <v>104</v>
      </c>
      <c r="GA33" s="19" t="s">
        <v>104</v>
      </c>
      <c r="GB33" s="19" t="s">
        <v>104</v>
      </c>
      <c r="GC33" s="19" t="s">
        <v>104</v>
      </c>
      <c r="GD33" s="19" t="s">
        <v>104</v>
      </c>
      <c r="GE33" s="19" t="s">
        <v>104</v>
      </c>
      <c r="GF33" s="19" t="s">
        <v>104</v>
      </c>
      <c r="GG33" s="19" t="s">
        <v>104</v>
      </c>
      <c r="GH33" s="19" t="s">
        <v>104</v>
      </c>
      <c r="GI33" s="19" t="s">
        <v>104</v>
      </c>
      <c r="GJ33" s="19" t="s">
        <v>104</v>
      </c>
      <c r="GK33" s="19" t="s">
        <v>104</v>
      </c>
      <c r="GL33" s="19" t="s">
        <v>104</v>
      </c>
      <c r="GM33" s="19" t="s">
        <v>104</v>
      </c>
      <c r="GN33" s="19" t="s">
        <v>104</v>
      </c>
      <c r="GO33" s="19" t="s">
        <v>104</v>
      </c>
      <c r="GP33" s="19" t="s">
        <v>104</v>
      </c>
      <c r="GQ33" s="19" t="s">
        <v>104</v>
      </c>
      <c r="GR33" s="19" t="s">
        <v>104</v>
      </c>
      <c r="GS33" s="19" t="s">
        <v>104</v>
      </c>
      <c r="GT33" s="19" t="s">
        <v>104</v>
      </c>
      <c r="GU33" s="19" t="s">
        <v>104</v>
      </c>
      <c r="GV33" s="19" t="s">
        <v>104</v>
      </c>
      <c r="GW33" s="19" t="s">
        <v>104</v>
      </c>
      <c r="GX33" s="19" t="s">
        <v>104</v>
      </c>
      <c r="GY33" s="19" t="s">
        <v>104</v>
      </c>
      <c r="GZ33" s="19" t="s">
        <v>104</v>
      </c>
      <c r="HA33" s="19" t="s">
        <v>104</v>
      </c>
      <c r="HB33" s="19" t="s">
        <v>104</v>
      </c>
      <c r="HC33" s="19" t="s">
        <v>104</v>
      </c>
      <c r="HD33" s="19" t="s">
        <v>104</v>
      </c>
      <c r="HE33" s="19" t="s">
        <v>104</v>
      </c>
      <c r="HF33" s="19" t="s">
        <v>104</v>
      </c>
      <c r="HG33" s="19" t="s">
        <v>104</v>
      </c>
      <c r="HH33" s="19" t="s">
        <v>104</v>
      </c>
      <c r="HI33" s="19" t="s">
        <v>104</v>
      </c>
      <c r="HJ33" s="19" t="s">
        <v>104</v>
      </c>
      <c r="HK33" s="19" t="s">
        <v>104</v>
      </c>
      <c r="HL33" s="19" t="s">
        <v>104</v>
      </c>
      <c r="HM33" s="19" t="s">
        <v>104</v>
      </c>
      <c r="HN33" s="19" t="s">
        <v>104</v>
      </c>
      <c r="HO33" s="19" t="s">
        <v>104</v>
      </c>
      <c r="HP33" s="19" t="s">
        <v>104</v>
      </c>
      <c r="HQ33" s="19" t="s">
        <v>104</v>
      </c>
      <c r="HR33" s="19" t="s">
        <v>104</v>
      </c>
      <c r="HS33" s="19" t="s">
        <v>104</v>
      </c>
      <c r="HT33" s="19" t="s">
        <v>104</v>
      </c>
      <c r="HU33" s="19" t="s">
        <v>104</v>
      </c>
      <c r="HV33" s="19" t="s">
        <v>104</v>
      </c>
      <c r="HW33" s="19" t="s">
        <v>104</v>
      </c>
      <c r="HX33" s="19" t="s">
        <v>104</v>
      </c>
      <c r="HY33" s="19" t="s">
        <v>104</v>
      </c>
      <c r="HZ33" s="19" t="s">
        <v>104</v>
      </c>
      <c r="IA33" s="19" t="s">
        <v>104</v>
      </c>
      <c r="IB33" s="19"/>
      <c r="IC33" s="19" t="s">
        <v>104</v>
      </c>
      <c r="ID33" s="19" t="s">
        <v>104</v>
      </c>
      <c r="IE33" s="19" t="s">
        <v>104</v>
      </c>
      <c r="IF33" s="19" t="s">
        <v>104</v>
      </c>
      <c r="IG33" s="19" t="s">
        <v>104</v>
      </c>
      <c r="IH33" s="19" t="s">
        <v>104</v>
      </c>
      <c r="II33" s="19" t="s">
        <v>104</v>
      </c>
      <c r="IJ33" s="19" t="s">
        <v>104</v>
      </c>
      <c r="IK33" s="19"/>
      <c r="IL33" s="19" t="s">
        <v>104</v>
      </c>
      <c r="IM33" s="19" t="s">
        <v>104</v>
      </c>
      <c r="IN33" s="19" t="s">
        <v>104</v>
      </c>
      <c r="IO33" s="19" t="s">
        <v>104</v>
      </c>
      <c r="IP33" s="19" t="s">
        <v>104</v>
      </c>
      <c r="IQ33" s="19" t="s">
        <v>104</v>
      </c>
      <c r="IR33" s="19" t="s">
        <v>104</v>
      </c>
      <c r="IS33" s="15" t="s">
        <v>191</v>
      </c>
      <c r="IT33" s="15" t="s">
        <v>191</v>
      </c>
      <c r="IU33" s="15" t="s">
        <v>191</v>
      </c>
      <c r="IV33" s="15" t="s">
        <v>191</v>
      </c>
      <c r="IW33" s="15" t="s">
        <v>191</v>
      </c>
      <c r="IX33" s="15" t="s">
        <v>191</v>
      </c>
      <c r="IY33" s="15" t="s">
        <v>191</v>
      </c>
      <c r="IZ33" s="15" t="s">
        <v>191</v>
      </c>
      <c r="JA33" s="15" t="s">
        <v>191</v>
      </c>
      <c r="JB33" s="15" t="s">
        <v>191</v>
      </c>
      <c r="JC33" s="15" t="s">
        <v>191</v>
      </c>
      <c r="JD33" s="20" t="s">
        <v>104</v>
      </c>
      <c r="JE33" s="20" t="s">
        <v>104</v>
      </c>
      <c r="JF33" s="20" t="s">
        <v>104</v>
      </c>
      <c r="JG33" s="20" t="s">
        <v>104</v>
      </c>
      <c r="JH33" s="20" t="s">
        <v>104</v>
      </c>
      <c r="JI33" s="20" t="s">
        <v>104</v>
      </c>
      <c r="JJ33" s="20" t="s">
        <v>191</v>
      </c>
      <c r="JK33" s="20" t="s">
        <v>187</v>
      </c>
      <c r="JL33" s="20" t="s">
        <v>104</v>
      </c>
      <c r="JM33" s="20" t="s">
        <v>104</v>
      </c>
      <c r="JN33" s="20" t="s">
        <v>104</v>
      </c>
      <c r="JO33" s="20" t="s">
        <v>104</v>
      </c>
      <c r="JP33" s="20" t="s">
        <v>104</v>
      </c>
      <c r="JQ33" s="20" t="s">
        <v>104</v>
      </c>
      <c r="JR33" s="20" t="s">
        <v>104</v>
      </c>
      <c r="JS33" s="20" t="s">
        <v>104</v>
      </c>
      <c r="JT33" s="20" t="s">
        <v>104</v>
      </c>
      <c r="JU33" s="20" t="s">
        <v>104</v>
      </c>
      <c r="JV33" s="20" t="s">
        <v>104</v>
      </c>
      <c r="JW33" s="20" t="s">
        <v>191</v>
      </c>
      <c r="JX33" s="20" t="s">
        <v>191</v>
      </c>
      <c r="JY33" s="20" t="s">
        <v>104</v>
      </c>
      <c r="JZ33" s="20" t="s">
        <v>104</v>
      </c>
      <c r="KA33" s="20" t="s">
        <v>104</v>
      </c>
      <c r="KB33" s="20" t="s">
        <v>104</v>
      </c>
      <c r="KC33" s="20" t="s">
        <v>104</v>
      </c>
      <c r="KD33" s="20" t="s">
        <v>104</v>
      </c>
      <c r="KE33" s="20" t="s">
        <v>104</v>
      </c>
      <c r="KF33" s="20" t="s">
        <v>104</v>
      </c>
      <c r="KG33" s="20" t="s">
        <v>104</v>
      </c>
      <c r="KH33" s="20" t="s">
        <v>104</v>
      </c>
      <c r="KI33" s="20" t="s">
        <v>104</v>
      </c>
      <c r="KJ33" s="20" t="s">
        <v>104</v>
      </c>
      <c r="KK33" s="20" t="s">
        <v>104</v>
      </c>
      <c r="KL33" s="20" t="s">
        <v>104</v>
      </c>
      <c r="KM33" s="20" t="s">
        <v>187</v>
      </c>
      <c r="KN33" s="20" t="s">
        <v>187</v>
      </c>
      <c r="KO33" s="20" t="s">
        <v>187</v>
      </c>
      <c r="KP33" s="20" t="s">
        <v>187</v>
      </c>
      <c r="KQ33" s="20" t="s">
        <v>187</v>
      </c>
      <c r="KR33" s="20" t="s">
        <v>187</v>
      </c>
      <c r="KS33" s="20" t="s">
        <v>187</v>
      </c>
      <c r="KT33" s="20" t="s">
        <v>187</v>
      </c>
      <c r="KU33" s="20" t="s">
        <v>187</v>
      </c>
      <c r="KV33" s="20" t="s">
        <v>187</v>
      </c>
      <c r="KW33" s="20" t="s">
        <v>187</v>
      </c>
      <c r="KX33" s="20" t="s">
        <v>187</v>
      </c>
      <c r="KY33" s="20" t="s">
        <v>187</v>
      </c>
      <c r="KZ33" s="20" t="s">
        <v>187</v>
      </c>
      <c r="LA33" s="20" t="s">
        <v>187</v>
      </c>
      <c r="LB33" s="20" t="s">
        <v>187</v>
      </c>
      <c r="LC33" s="20" t="s">
        <v>187</v>
      </c>
      <c r="LD33" s="20" t="s">
        <v>187</v>
      </c>
      <c r="LE33" s="20" t="s">
        <v>187</v>
      </c>
      <c r="LF33" s="20" t="s">
        <v>187</v>
      </c>
      <c r="LG33" s="20" t="s">
        <v>187</v>
      </c>
      <c r="LH33" s="20" t="s">
        <v>187</v>
      </c>
      <c r="LI33" s="20" t="s">
        <v>187</v>
      </c>
      <c r="LJ33" s="20" t="s">
        <v>187</v>
      </c>
      <c r="LK33" s="20" t="s">
        <v>187</v>
      </c>
      <c r="LL33" s="20" t="s">
        <v>187</v>
      </c>
      <c r="LM33" s="20" t="s">
        <v>187</v>
      </c>
      <c r="LN33" s="20" t="s">
        <v>187</v>
      </c>
      <c r="LO33" s="20" t="s">
        <v>187</v>
      </c>
      <c r="LP33" s="20" t="s">
        <v>187</v>
      </c>
      <c r="LQ33" s="15" t="s">
        <v>191</v>
      </c>
      <c r="LR33" s="15" t="s">
        <v>191</v>
      </c>
      <c r="LS33" s="15" t="s">
        <v>191</v>
      </c>
      <c r="LT33" s="15" t="s">
        <v>191</v>
      </c>
      <c r="LU33" s="20" t="s">
        <v>191</v>
      </c>
      <c r="LV33" s="20" t="s">
        <v>104</v>
      </c>
      <c r="LW33" s="20" t="s">
        <v>187</v>
      </c>
      <c r="LX33" s="20" t="s">
        <v>104</v>
      </c>
      <c r="LY33" s="20" t="s">
        <v>187</v>
      </c>
      <c r="LZ33" s="15" t="s">
        <v>191</v>
      </c>
      <c r="MA33" s="15" t="s">
        <v>191</v>
      </c>
      <c r="MB33" s="15" t="s">
        <v>191</v>
      </c>
      <c r="MC33" s="15" t="s">
        <v>191</v>
      </c>
      <c r="MD33" s="20" t="s">
        <v>187</v>
      </c>
      <c r="ME33" s="20" t="s">
        <v>191</v>
      </c>
      <c r="MF33" s="20" t="s">
        <v>104</v>
      </c>
      <c r="MG33" s="15" t="s">
        <v>191</v>
      </c>
      <c r="MH33" s="15" t="s">
        <v>191</v>
      </c>
      <c r="MI33" s="20" t="s">
        <v>104</v>
      </c>
      <c r="MJ33" s="15" t="s">
        <v>104</v>
      </c>
      <c r="MK33" s="15" t="s">
        <v>104</v>
      </c>
      <c r="ML33" s="15" t="s">
        <v>104</v>
      </c>
      <c r="MM33" s="15" t="s">
        <v>104</v>
      </c>
      <c r="MN33" s="15" t="s">
        <v>104</v>
      </c>
      <c r="MO33" s="15" t="s">
        <v>104</v>
      </c>
      <c r="MP33" s="15" t="s">
        <v>104</v>
      </c>
      <c r="MQ33" s="15" t="s">
        <v>104</v>
      </c>
      <c r="MR33" s="15" t="s">
        <v>104</v>
      </c>
      <c r="MS33" s="20" t="s">
        <v>104</v>
      </c>
      <c r="MT33" s="15" t="s">
        <v>104</v>
      </c>
      <c r="MU33" s="15" t="s">
        <v>104</v>
      </c>
      <c r="MV33" s="15" t="s">
        <v>104</v>
      </c>
      <c r="MW33" s="15" t="s">
        <v>104</v>
      </c>
      <c r="MX33" s="15" t="s">
        <v>104</v>
      </c>
      <c r="MY33" s="15" t="s">
        <v>104</v>
      </c>
      <c r="MZ33" s="15" t="s">
        <v>104</v>
      </c>
      <c r="NA33" s="15" t="s">
        <v>104</v>
      </c>
      <c r="NB33" s="15" t="s">
        <v>104</v>
      </c>
      <c r="NC33" s="20" t="s">
        <v>104</v>
      </c>
      <c r="ND33" s="15" t="s">
        <v>104</v>
      </c>
      <c r="NE33" s="15" t="s">
        <v>104</v>
      </c>
      <c r="NF33" s="15" t="s">
        <v>104</v>
      </c>
      <c r="NG33" s="15" t="s">
        <v>104</v>
      </c>
      <c r="NH33" s="15" t="s">
        <v>104</v>
      </c>
      <c r="NI33" s="15" t="s">
        <v>104</v>
      </c>
      <c r="NJ33" s="15" t="s">
        <v>104</v>
      </c>
      <c r="NK33" s="15" t="s">
        <v>104</v>
      </c>
      <c r="NL33" s="15" t="s">
        <v>104</v>
      </c>
      <c r="NM33" s="20" t="s">
        <v>187</v>
      </c>
      <c r="NN33" s="20" t="s">
        <v>187</v>
      </c>
      <c r="NO33" s="15" t="s">
        <v>187</v>
      </c>
      <c r="NP33" s="15" t="s">
        <v>187</v>
      </c>
      <c r="NQ33" s="15" t="s">
        <v>187</v>
      </c>
      <c r="NR33" s="20" t="s">
        <v>191</v>
      </c>
      <c r="NS33" s="20" t="s">
        <v>191</v>
      </c>
      <c r="NT33" s="15" t="s">
        <v>187</v>
      </c>
      <c r="NU33" s="15" t="s">
        <v>187</v>
      </c>
      <c r="NV33" s="15" t="s">
        <v>187</v>
      </c>
      <c r="NW33" s="15" t="s">
        <v>187</v>
      </c>
      <c r="NX33" s="15" t="s">
        <v>187</v>
      </c>
      <c r="NY33" s="15" t="s">
        <v>187</v>
      </c>
      <c r="NZ33" s="15" t="s">
        <v>187</v>
      </c>
      <c r="OA33" s="20" t="s">
        <v>187</v>
      </c>
      <c r="OB33" s="20" t="s">
        <v>187</v>
      </c>
      <c r="OC33" s="20" t="s">
        <v>187</v>
      </c>
      <c r="OD33" s="15" t="s">
        <v>187</v>
      </c>
      <c r="OE33" s="15" t="s">
        <v>187</v>
      </c>
      <c r="OF33" s="15" t="s">
        <v>187</v>
      </c>
      <c r="OG33" s="15" t="s">
        <v>187</v>
      </c>
      <c r="OH33" s="15" t="s">
        <v>187</v>
      </c>
      <c r="OI33" s="15" t="s">
        <v>187</v>
      </c>
      <c r="OJ33" s="15" t="s">
        <v>187</v>
      </c>
      <c r="OK33" s="15" t="s">
        <v>187</v>
      </c>
      <c r="OL33" s="15" t="s">
        <v>187</v>
      </c>
      <c r="OM33" s="15" t="s">
        <v>187</v>
      </c>
      <c r="ON33" s="15" t="s">
        <v>187</v>
      </c>
      <c r="OO33" s="15" t="s">
        <v>187</v>
      </c>
      <c r="OP33" s="15" t="s">
        <v>187</v>
      </c>
      <c r="OQ33" s="15" t="s">
        <v>187</v>
      </c>
      <c r="OR33" s="15" t="s">
        <v>187</v>
      </c>
      <c r="OS33" s="15" t="s">
        <v>187</v>
      </c>
      <c r="OT33" s="15" t="s">
        <v>187</v>
      </c>
      <c r="OU33" s="15" t="s">
        <v>187</v>
      </c>
      <c r="OV33" s="15" t="s">
        <v>187</v>
      </c>
      <c r="OW33" s="15" t="s">
        <v>187</v>
      </c>
      <c r="OX33" s="15" t="s">
        <v>187</v>
      </c>
      <c r="OY33" s="15" t="s">
        <v>187</v>
      </c>
      <c r="OZ33" s="15" t="s">
        <v>187</v>
      </c>
      <c r="PA33" s="15" t="s">
        <v>187</v>
      </c>
      <c r="PB33" s="15" t="s">
        <v>187</v>
      </c>
      <c r="PC33" s="15" t="s">
        <v>187</v>
      </c>
      <c r="PD33" s="15" t="s">
        <v>187</v>
      </c>
      <c r="PE33" s="15" t="s">
        <v>187</v>
      </c>
      <c r="PF33" s="15" t="s">
        <v>187</v>
      </c>
      <c r="PG33" s="15" t="s">
        <v>187</v>
      </c>
      <c r="PH33" s="15" t="s">
        <v>187</v>
      </c>
      <c r="PI33" s="15" t="s">
        <v>187</v>
      </c>
      <c r="PJ33" s="15" t="s">
        <v>187</v>
      </c>
      <c r="PK33" s="15" t="s">
        <v>187</v>
      </c>
      <c r="PL33" s="15" t="s">
        <v>187</v>
      </c>
      <c r="PM33" s="15" t="s">
        <v>187</v>
      </c>
      <c r="PN33" s="15" t="s">
        <v>187</v>
      </c>
      <c r="PO33" s="15" t="s">
        <v>187</v>
      </c>
      <c r="PP33" s="15" t="s">
        <v>187</v>
      </c>
      <c r="PQ33" s="15" t="s">
        <v>187</v>
      </c>
      <c r="PR33" s="15" t="s">
        <v>187</v>
      </c>
      <c r="PS33" s="15" t="s">
        <v>187</v>
      </c>
      <c r="PT33" s="15" t="s">
        <v>187</v>
      </c>
      <c r="PU33" s="15" t="s">
        <v>187</v>
      </c>
      <c r="PV33" s="15" t="s">
        <v>187</v>
      </c>
      <c r="PW33" s="15" t="s">
        <v>187</v>
      </c>
      <c r="PX33" s="15" t="s">
        <v>187</v>
      </c>
      <c r="PY33" s="15" t="s">
        <v>187</v>
      </c>
      <c r="PZ33" s="15" t="s">
        <v>187</v>
      </c>
      <c r="QA33" s="15" t="s">
        <v>187</v>
      </c>
      <c r="QB33" s="15" t="s">
        <v>187</v>
      </c>
      <c r="QC33" s="15" t="s">
        <v>187</v>
      </c>
      <c r="QD33" s="15" t="s">
        <v>187</v>
      </c>
      <c r="QE33" s="15" t="s">
        <v>187</v>
      </c>
      <c r="QF33" s="15" t="s">
        <v>187</v>
      </c>
      <c r="QG33" s="15" t="s">
        <v>187</v>
      </c>
      <c r="QH33" s="15" t="s">
        <v>187</v>
      </c>
      <c r="QI33" s="15" t="s">
        <v>187</v>
      </c>
      <c r="QJ33" s="15" t="s">
        <v>187</v>
      </c>
      <c r="QK33" s="15" t="s">
        <v>187</v>
      </c>
      <c r="QL33" s="15" t="s">
        <v>187</v>
      </c>
      <c r="QM33" s="15" t="s">
        <v>187</v>
      </c>
      <c r="QN33" s="15" t="s">
        <v>187</v>
      </c>
      <c r="QO33" s="15" t="s">
        <v>187</v>
      </c>
      <c r="QP33" s="15" t="s">
        <v>187</v>
      </c>
      <c r="QQ33" s="15" t="s">
        <v>187</v>
      </c>
      <c r="QR33" s="15" t="s">
        <v>187</v>
      </c>
      <c r="QS33" s="15" t="s">
        <v>187</v>
      </c>
      <c r="QT33" s="15" t="s">
        <v>187</v>
      </c>
      <c r="QU33" s="15" t="s">
        <v>187</v>
      </c>
      <c r="QV33" s="15" t="s">
        <v>187</v>
      </c>
      <c r="QW33" s="15" t="s">
        <v>187</v>
      </c>
      <c r="QX33" s="15" t="s">
        <v>187</v>
      </c>
      <c r="QY33" s="15" t="s">
        <v>187</v>
      </c>
      <c r="QZ33" s="15" t="s">
        <v>187</v>
      </c>
      <c r="RA33" s="15" t="s">
        <v>187</v>
      </c>
      <c r="RB33" s="15" t="s">
        <v>187</v>
      </c>
      <c r="RC33" s="15" t="s">
        <v>187</v>
      </c>
      <c r="RD33" s="15" t="s">
        <v>187</v>
      </c>
      <c r="RE33" s="15" t="s">
        <v>187</v>
      </c>
      <c r="RF33" s="15" t="s">
        <v>187</v>
      </c>
      <c r="RG33" s="15" t="s">
        <v>187</v>
      </c>
      <c r="RH33" s="15" t="s">
        <v>187</v>
      </c>
      <c r="RI33" s="15" t="s">
        <v>187</v>
      </c>
      <c r="RJ33" s="15" t="s">
        <v>187</v>
      </c>
      <c r="RK33" s="15" t="s">
        <v>187</v>
      </c>
      <c r="RL33" s="15" t="s">
        <v>187</v>
      </c>
      <c r="RM33" s="15" t="s">
        <v>187</v>
      </c>
      <c r="RN33" s="15" t="s">
        <v>187</v>
      </c>
      <c r="RO33" s="15" t="s">
        <v>187</v>
      </c>
      <c r="RP33" s="15" t="s">
        <v>187</v>
      </c>
      <c r="RQ33" s="15" t="s">
        <v>187</v>
      </c>
      <c r="RR33" s="15" t="s">
        <v>187</v>
      </c>
      <c r="RS33" s="19"/>
      <c r="RT33" s="19" t="s">
        <v>104</v>
      </c>
      <c r="RU33" s="19" t="s">
        <v>104</v>
      </c>
      <c r="RV33" s="19" t="s">
        <v>104</v>
      </c>
      <c r="RW33" s="19" t="s">
        <v>104</v>
      </c>
      <c r="RX33" s="19" t="s">
        <v>104</v>
      </c>
      <c r="RY33" s="19" t="s">
        <v>104</v>
      </c>
      <c r="RZ33" s="19" t="s">
        <v>104</v>
      </c>
      <c r="SA33" s="20" t="s">
        <v>191</v>
      </c>
      <c r="SB33" s="20" t="s">
        <v>191</v>
      </c>
      <c r="SC33" s="15" t="s">
        <v>187</v>
      </c>
      <c r="SD33" s="15" t="s">
        <v>187</v>
      </c>
      <c r="SE33" s="15" t="s">
        <v>187</v>
      </c>
      <c r="SF33" s="15" t="s">
        <v>187</v>
      </c>
      <c r="SG33" s="15" t="s">
        <v>187</v>
      </c>
      <c r="SH33" s="15" t="s">
        <v>187</v>
      </c>
      <c r="SI33" s="15" t="s">
        <v>187</v>
      </c>
      <c r="SJ33" s="20" t="s">
        <v>187</v>
      </c>
      <c r="SK33" s="20" t="s">
        <v>187</v>
      </c>
      <c r="SL33" s="20" t="s">
        <v>187</v>
      </c>
      <c r="SM33" s="15" t="s">
        <v>187</v>
      </c>
      <c r="SN33" s="15" t="s">
        <v>187</v>
      </c>
      <c r="SO33" s="15" t="s">
        <v>187</v>
      </c>
      <c r="SP33" s="15" t="s">
        <v>187</v>
      </c>
      <c r="SQ33" s="15" t="s">
        <v>187</v>
      </c>
      <c r="SR33" s="15" t="s">
        <v>187</v>
      </c>
      <c r="SS33" s="15" t="s">
        <v>187</v>
      </c>
      <c r="ST33" s="15" t="s">
        <v>187</v>
      </c>
      <c r="SU33" s="15" t="s">
        <v>187</v>
      </c>
      <c r="SV33" s="15" t="s">
        <v>187</v>
      </c>
      <c r="SW33" s="15" t="s">
        <v>187</v>
      </c>
      <c r="SX33" s="15" t="s">
        <v>187</v>
      </c>
      <c r="SY33" s="15" t="s">
        <v>187</v>
      </c>
      <c r="SZ33" s="15" t="s">
        <v>187</v>
      </c>
      <c r="TA33" s="15" t="s">
        <v>187</v>
      </c>
      <c r="TB33" s="15" t="s">
        <v>187</v>
      </c>
      <c r="TC33" s="15" t="s">
        <v>187</v>
      </c>
      <c r="TD33" s="15" t="s">
        <v>187</v>
      </c>
      <c r="TE33" s="15" t="s">
        <v>187</v>
      </c>
      <c r="TF33" s="15" t="s">
        <v>187</v>
      </c>
      <c r="TG33" s="15" t="s">
        <v>187</v>
      </c>
      <c r="TH33" s="15" t="s">
        <v>187</v>
      </c>
      <c r="TI33" s="15" t="s">
        <v>187</v>
      </c>
      <c r="TJ33" s="15" t="s">
        <v>187</v>
      </c>
      <c r="TK33" s="15" t="s">
        <v>187</v>
      </c>
      <c r="TL33" s="15" t="s">
        <v>187</v>
      </c>
      <c r="TM33" s="15" t="s">
        <v>187</v>
      </c>
      <c r="TN33" s="15" t="s">
        <v>187</v>
      </c>
      <c r="TO33" s="15" t="s">
        <v>187</v>
      </c>
      <c r="TP33" s="15" t="s">
        <v>187</v>
      </c>
      <c r="TQ33" s="15" t="s">
        <v>187</v>
      </c>
      <c r="TR33" s="15" t="s">
        <v>187</v>
      </c>
      <c r="TS33" s="15" t="s">
        <v>187</v>
      </c>
      <c r="TT33" s="15" t="s">
        <v>187</v>
      </c>
      <c r="TU33" s="15" t="s">
        <v>187</v>
      </c>
      <c r="TV33" s="15" t="s">
        <v>187</v>
      </c>
      <c r="TW33" s="15" t="s">
        <v>187</v>
      </c>
      <c r="TX33" s="15" t="s">
        <v>187</v>
      </c>
      <c r="TY33" s="15" t="s">
        <v>187</v>
      </c>
      <c r="TZ33" s="15" t="s">
        <v>187</v>
      </c>
      <c r="UA33" s="15" t="s">
        <v>187</v>
      </c>
      <c r="UB33" s="15" t="s">
        <v>187</v>
      </c>
      <c r="UC33" s="15" t="s">
        <v>187</v>
      </c>
      <c r="UD33" s="15" t="s">
        <v>187</v>
      </c>
      <c r="UE33" s="15" t="s">
        <v>187</v>
      </c>
      <c r="UF33" s="15" t="s">
        <v>187</v>
      </c>
      <c r="UG33" s="15" t="s">
        <v>187</v>
      </c>
      <c r="UH33" s="15" t="s">
        <v>187</v>
      </c>
      <c r="UI33" s="15" t="s">
        <v>187</v>
      </c>
      <c r="UJ33" s="15" t="s">
        <v>187</v>
      </c>
      <c r="UK33" s="15" t="s">
        <v>187</v>
      </c>
      <c r="UL33" s="15" t="s">
        <v>187</v>
      </c>
      <c r="UM33" s="15" t="s">
        <v>187</v>
      </c>
      <c r="UN33" s="15" t="s">
        <v>187</v>
      </c>
      <c r="UO33" s="15" t="s">
        <v>187</v>
      </c>
      <c r="UP33" s="15" t="s">
        <v>187</v>
      </c>
      <c r="UQ33" s="15" t="s">
        <v>187</v>
      </c>
      <c r="UR33" s="15" t="s">
        <v>187</v>
      </c>
      <c r="US33" s="15" t="s">
        <v>187</v>
      </c>
      <c r="UT33" s="15" t="s">
        <v>187</v>
      </c>
      <c r="UU33" s="15" t="s">
        <v>187</v>
      </c>
      <c r="UV33" s="15" t="s">
        <v>187</v>
      </c>
      <c r="UW33" s="15" t="s">
        <v>187</v>
      </c>
      <c r="UX33" s="15" t="s">
        <v>187</v>
      </c>
      <c r="UY33" s="15" t="s">
        <v>187</v>
      </c>
      <c r="UZ33" s="15" t="s">
        <v>187</v>
      </c>
      <c r="VA33" s="15" t="s">
        <v>187</v>
      </c>
      <c r="VB33" s="15" t="s">
        <v>187</v>
      </c>
      <c r="VC33" s="15" t="s">
        <v>187</v>
      </c>
      <c r="VD33" s="15" t="s">
        <v>187</v>
      </c>
      <c r="VE33" s="15" t="s">
        <v>187</v>
      </c>
      <c r="VF33" s="15" t="s">
        <v>187</v>
      </c>
      <c r="VG33" s="15" t="s">
        <v>187</v>
      </c>
      <c r="VH33" s="15" t="s">
        <v>187</v>
      </c>
      <c r="VI33" s="15" t="s">
        <v>187</v>
      </c>
      <c r="VJ33" s="15" t="s">
        <v>187</v>
      </c>
      <c r="VK33" s="15" t="s">
        <v>187</v>
      </c>
      <c r="VL33" s="15" t="s">
        <v>187</v>
      </c>
      <c r="VM33" s="15" t="s">
        <v>187</v>
      </c>
      <c r="VN33" s="15" t="s">
        <v>187</v>
      </c>
      <c r="VO33" s="15" t="s">
        <v>187</v>
      </c>
      <c r="VP33" s="15" t="s">
        <v>187</v>
      </c>
      <c r="VQ33" s="15" t="s">
        <v>187</v>
      </c>
      <c r="VR33" s="15" t="s">
        <v>187</v>
      </c>
      <c r="VS33" s="15" t="s">
        <v>187</v>
      </c>
      <c r="VT33" s="15" t="s">
        <v>187</v>
      </c>
      <c r="VU33" s="15" t="s">
        <v>187</v>
      </c>
      <c r="VV33" s="15" t="s">
        <v>187</v>
      </c>
      <c r="VW33" s="15" t="s">
        <v>187</v>
      </c>
      <c r="VX33" s="15" t="s">
        <v>187</v>
      </c>
      <c r="VY33" s="15" t="s">
        <v>187</v>
      </c>
      <c r="VZ33" s="15" t="s">
        <v>187</v>
      </c>
      <c r="WA33" s="15" t="s">
        <v>187</v>
      </c>
      <c r="WB33" s="15" t="s">
        <v>187</v>
      </c>
      <c r="WC33" s="20" t="s">
        <v>187</v>
      </c>
      <c r="WD33" s="20" t="s">
        <v>187</v>
      </c>
      <c r="WE33" s="15" t="s">
        <v>187</v>
      </c>
      <c r="WF33" s="15" t="s">
        <v>187</v>
      </c>
      <c r="WG33" s="15" t="s">
        <v>187</v>
      </c>
      <c r="WH33" s="15" t="s">
        <v>187</v>
      </c>
      <c r="WI33" s="15" t="s">
        <v>187</v>
      </c>
      <c r="WJ33" s="15" t="s">
        <v>187</v>
      </c>
      <c r="WK33" s="15" t="s">
        <v>187</v>
      </c>
      <c r="WL33" s="15" t="s">
        <v>187</v>
      </c>
      <c r="WM33" s="15" t="s">
        <v>187</v>
      </c>
      <c r="WN33" s="15" t="s">
        <v>187</v>
      </c>
      <c r="WO33" s="15" t="s">
        <v>187</v>
      </c>
      <c r="WP33" s="15" t="s">
        <v>187</v>
      </c>
      <c r="WQ33" s="15" t="s">
        <v>187</v>
      </c>
      <c r="WR33" s="15" t="s">
        <v>187</v>
      </c>
      <c r="WS33" s="15" t="s">
        <v>187</v>
      </c>
      <c r="WT33" s="15" t="s">
        <v>187</v>
      </c>
      <c r="WU33" s="20" t="s">
        <v>104</v>
      </c>
      <c r="WV33" s="15" t="s">
        <v>187</v>
      </c>
      <c r="WW33" s="15" t="s">
        <v>187</v>
      </c>
      <c r="WX33" s="15" t="s">
        <v>187</v>
      </c>
      <c r="WY33" s="15" t="s">
        <v>187</v>
      </c>
      <c r="WZ33" s="15" t="s">
        <v>187</v>
      </c>
      <c r="XA33" s="15" t="s">
        <v>187</v>
      </c>
      <c r="XB33" s="15" t="s">
        <v>187</v>
      </c>
      <c r="XC33" s="15" t="s">
        <v>187</v>
      </c>
      <c r="XD33" s="15" t="s">
        <v>187</v>
      </c>
      <c r="XE33" s="15" t="s">
        <v>187</v>
      </c>
      <c r="XF33" s="15" t="s">
        <v>187</v>
      </c>
      <c r="XG33" s="15" t="s">
        <v>187</v>
      </c>
      <c r="XH33" s="15" t="s">
        <v>187</v>
      </c>
      <c r="XI33" s="15" t="s">
        <v>187</v>
      </c>
      <c r="XJ33" s="15" t="s">
        <v>187</v>
      </c>
      <c r="XK33" s="15" t="s">
        <v>187</v>
      </c>
      <c r="XL33" s="15" t="s">
        <v>187</v>
      </c>
      <c r="XM33" s="15" t="s">
        <v>187</v>
      </c>
      <c r="XN33" s="15" t="s">
        <v>187</v>
      </c>
      <c r="XO33" s="15" t="s">
        <v>187</v>
      </c>
      <c r="XP33" s="15" t="s">
        <v>187</v>
      </c>
      <c r="XQ33" s="15" t="s">
        <v>187</v>
      </c>
      <c r="XR33" s="15" t="s">
        <v>187</v>
      </c>
      <c r="XS33" s="15" t="s">
        <v>187</v>
      </c>
      <c r="XT33" s="15" t="s">
        <v>187</v>
      </c>
      <c r="XU33" s="15" t="s">
        <v>187</v>
      </c>
      <c r="XV33" s="15" t="s">
        <v>187</v>
      </c>
      <c r="XW33" s="15" t="s">
        <v>187</v>
      </c>
      <c r="XX33" s="15" t="s">
        <v>187</v>
      </c>
      <c r="XY33" s="15" t="s">
        <v>187</v>
      </c>
      <c r="XZ33" s="15" t="s">
        <v>187</v>
      </c>
      <c r="YA33" s="15" t="s">
        <v>187</v>
      </c>
      <c r="YB33" s="15" t="s">
        <v>187</v>
      </c>
      <c r="YC33" s="15" t="s">
        <v>187</v>
      </c>
      <c r="YD33" s="15" t="s">
        <v>187</v>
      </c>
      <c r="YE33" s="15" t="s">
        <v>187</v>
      </c>
      <c r="YF33" s="15" t="s">
        <v>187</v>
      </c>
      <c r="YG33" s="15" t="s">
        <v>187</v>
      </c>
      <c r="YH33" s="15" t="s">
        <v>187</v>
      </c>
      <c r="YI33" s="15" t="s">
        <v>187</v>
      </c>
      <c r="YJ33" s="15" t="s">
        <v>187</v>
      </c>
      <c r="YK33" s="15" t="s">
        <v>187</v>
      </c>
      <c r="YL33" s="15" t="s">
        <v>187</v>
      </c>
      <c r="YM33" s="15" t="s">
        <v>187</v>
      </c>
      <c r="YN33" s="15" t="s">
        <v>187</v>
      </c>
      <c r="YO33" s="15" t="s">
        <v>187</v>
      </c>
      <c r="YP33" s="15" t="s">
        <v>187</v>
      </c>
      <c r="YQ33" s="15" t="s">
        <v>187</v>
      </c>
      <c r="YR33" s="15" t="s">
        <v>187</v>
      </c>
      <c r="YS33" s="15" t="s">
        <v>187</v>
      </c>
      <c r="YT33" s="15" t="s">
        <v>187</v>
      </c>
      <c r="YU33" s="15" t="s">
        <v>187</v>
      </c>
      <c r="YV33" s="15" t="s">
        <v>187</v>
      </c>
      <c r="YW33" s="15" t="s">
        <v>187</v>
      </c>
      <c r="YX33" s="15" t="s">
        <v>187</v>
      </c>
      <c r="YY33" s="15" t="s">
        <v>187</v>
      </c>
      <c r="YZ33" s="15" t="s">
        <v>187</v>
      </c>
      <c r="ZA33" s="15" t="s">
        <v>187</v>
      </c>
      <c r="ZB33" s="15" t="s">
        <v>187</v>
      </c>
      <c r="ZC33" s="15" t="s">
        <v>187</v>
      </c>
      <c r="ZD33" s="15" t="s">
        <v>187</v>
      </c>
      <c r="ZE33" s="15" t="s">
        <v>187</v>
      </c>
      <c r="ZF33" s="15" t="s">
        <v>187</v>
      </c>
      <c r="ZG33" s="15" t="s">
        <v>187</v>
      </c>
      <c r="ZH33" s="15" t="s">
        <v>187</v>
      </c>
      <c r="ZI33" s="15" t="s">
        <v>187</v>
      </c>
      <c r="ZJ33" s="15" t="s">
        <v>187</v>
      </c>
      <c r="ZK33" s="15" t="s">
        <v>187</v>
      </c>
      <c r="ZL33" s="15" t="s">
        <v>187</v>
      </c>
      <c r="ZM33" s="15" t="s">
        <v>191</v>
      </c>
      <c r="ZN33" s="15" t="s">
        <v>187</v>
      </c>
      <c r="ZO33" s="15" t="s">
        <v>187</v>
      </c>
      <c r="ZP33" s="15" t="s">
        <v>187</v>
      </c>
      <c r="ZQ33" s="15" t="s">
        <v>187</v>
      </c>
      <c r="ZR33" s="15" t="s">
        <v>187</v>
      </c>
      <c r="ZS33" s="15" t="s">
        <v>187</v>
      </c>
      <c r="ZT33" s="15" t="s">
        <v>187</v>
      </c>
      <c r="ZU33" s="15" t="s">
        <v>187</v>
      </c>
      <c r="ZV33" s="15" t="s">
        <v>187</v>
      </c>
      <c r="ZW33" s="15" t="s">
        <v>187</v>
      </c>
      <c r="ZX33" s="15" t="s">
        <v>187</v>
      </c>
      <c r="ZY33" s="15" t="s">
        <v>187</v>
      </c>
      <c r="ZZ33" s="15" t="s">
        <v>187</v>
      </c>
      <c r="AAA33" s="15" t="s">
        <v>187</v>
      </c>
      <c r="AAB33" s="15" t="s">
        <v>187</v>
      </c>
      <c r="AAC33" s="15" t="s">
        <v>187</v>
      </c>
      <c r="AAD33" s="15" t="s">
        <v>104</v>
      </c>
      <c r="AAE33" s="15" t="s">
        <v>187</v>
      </c>
      <c r="AAF33" s="15" t="s">
        <v>187</v>
      </c>
      <c r="AAG33" s="15" t="s">
        <v>187</v>
      </c>
      <c r="AAH33" s="15" t="s">
        <v>187</v>
      </c>
      <c r="AAI33" s="15" t="s">
        <v>187</v>
      </c>
      <c r="AAJ33" s="15" t="s">
        <v>187</v>
      </c>
      <c r="AAK33" s="15" t="s">
        <v>187</v>
      </c>
      <c r="AAL33" s="15"/>
      <c r="AAM33" s="19" t="s">
        <v>104</v>
      </c>
      <c r="AAN33" s="19" t="s">
        <v>104</v>
      </c>
      <c r="AAO33" s="19" t="s">
        <v>104</v>
      </c>
      <c r="AAP33" s="19" t="s">
        <v>104</v>
      </c>
      <c r="AAQ33" s="19" t="s">
        <v>104</v>
      </c>
      <c r="AAR33" s="19" t="s">
        <v>104</v>
      </c>
      <c r="AAS33" s="19" t="s">
        <v>104</v>
      </c>
      <c r="AAT33" s="20" t="s">
        <v>187</v>
      </c>
      <c r="AAU33" s="20" t="s">
        <v>191</v>
      </c>
      <c r="AAV33" s="15" t="s">
        <v>187</v>
      </c>
      <c r="AAW33" s="15" t="s">
        <v>187</v>
      </c>
      <c r="AAX33" s="15"/>
      <c r="AAY33" s="19" t="s">
        <v>104</v>
      </c>
      <c r="AAZ33" s="19" t="s">
        <v>104</v>
      </c>
      <c r="ABA33" s="19" t="s">
        <v>104</v>
      </c>
      <c r="ABB33" s="19" t="s">
        <v>104</v>
      </c>
      <c r="ABC33" s="19" t="s">
        <v>104</v>
      </c>
      <c r="ABD33" s="19" t="s">
        <v>104</v>
      </c>
      <c r="ABE33" s="19" t="s">
        <v>104</v>
      </c>
      <c r="ABF33" s="20" t="s">
        <v>104</v>
      </c>
      <c r="ABG33" s="20" t="s">
        <v>104</v>
      </c>
      <c r="ABH33" s="15" t="s">
        <v>104</v>
      </c>
      <c r="ABI33" s="15" t="s">
        <v>104</v>
      </c>
      <c r="ABJ33" s="15" t="s">
        <v>104</v>
      </c>
      <c r="ABK33" s="15" t="s">
        <v>104</v>
      </c>
      <c r="ABL33" s="15" t="s">
        <v>104</v>
      </c>
      <c r="ABM33" s="15" t="s">
        <v>104</v>
      </c>
      <c r="ABN33" s="15" t="s">
        <v>104</v>
      </c>
      <c r="ABO33" s="15" t="s">
        <v>104</v>
      </c>
      <c r="ABP33" s="15" t="s">
        <v>104</v>
      </c>
      <c r="ABQ33" s="15" t="s">
        <v>104</v>
      </c>
      <c r="ABR33" s="15" t="s">
        <v>104</v>
      </c>
      <c r="ABS33" s="15" t="s">
        <v>104</v>
      </c>
      <c r="ABT33" s="15" t="s">
        <v>104</v>
      </c>
      <c r="ABU33" s="15" t="s">
        <v>104</v>
      </c>
      <c r="ABV33" s="15" t="s">
        <v>104</v>
      </c>
      <c r="ABW33" s="15" t="s">
        <v>104</v>
      </c>
      <c r="ABX33" s="15" t="s">
        <v>104</v>
      </c>
      <c r="ABY33" s="15" t="s">
        <v>104</v>
      </c>
      <c r="ABZ33" s="15" t="s">
        <v>104</v>
      </c>
      <c r="ACA33" s="15" t="s">
        <v>104</v>
      </c>
      <c r="ACB33" s="15" t="s">
        <v>104</v>
      </c>
      <c r="ACC33" s="15" t="s">
        <v>104</v>
      </c>
      <c r="ACD33" s="15" t="s">
        <v>104</v>
      </c>
      <c r="ACE33" s="15" t="s">
        <v>104</v>
      </c>
      <c r="ACF33" s="15" t="s">
        <v>104</v>
      </c>
      <c r="ACG33" s="15" t="s">
        <v>104</v>
      </c>
      <c r="ACH33" s="15" t="s">
        <v>104</v>
      </c>
      <c r="ACI33" s="15" t="s">
        <v>104</v>
      </c>
      <c r="ACJ33" s="15" t="s">
        <v>104</v>
      </c>
      <c r="ACK33" s="15" t="s">
        <v>104</v>
      </c>
      <c r="ACL33" s="15" t="s">
        <v>104</v>
      </c>
      <c r="ACM33" s="15" t="s">
        <v>104</v>
      </c>
      <c r="ACN33" s="15" t="s">
        <v>104</v>
      </c>
      <c r="ACO33" s="15" t="s">
        <v>104</v>
      </c>
      <c r="ACP33" s="15" t="s">
        <v>104</v>
      </c>
      <c r="ACQ33" s="15" t="s">
        <v>104</v>
      </c>
      <c r="ACR33" s="15" t="s">
        <v>104</v>
      </c>
      <c r="ACS33" s="15" t="s">
        <v>104</v>
      </c>
      <c r="ACT33" s="15" t="s">
        <v>104</v>
      </c>
      <c r="ACU33" s="15" t="s">
        <v>104</v>
      </c>
      <c r="ACV33" s="15" t="s">
        <v>104</v>
      </c>
      <c r="ACW33" s="15" t="s">
        <v>104</v>
      </c>
      <c r="ACX33" s="15" t="s">
        <v>104</v>
      </c>
      <c r="ACY33" s="15" t="s">
        <v>104</v>
      </c>
      <c r="ACZ33" s="15" t="s">
        <v>104</v>
      </c>
      <c r="ADA33" s="15" t="s">
        <v>104</v>
      </c>
      <c r="ADB33" s="15" t="s">
        <v>104</v>
      </c>
      <c r="ADC33" s="15" t="s">
        <v>104</v>
      </c>
      <c r="ADD33" s="15" t="s">
        <v>104</v>
      </c>
      <c r="ADE33" s="15" t="s">
        <v>104</v>
      </c>
      <c r="ADF33" s="15" t="s">
        <v>104</v>
      </c>
      <c r="ADG33" s="15" t="s">
        <v>104</v>
      </c>
      <c r="ADH33" s="15"/>
      <c r="ADI33" s="19" t="s">
        <v>104</v>
      </c>
      <c r="ADJ33" s="19" t="s">
        <v>104</v>
      </c>
      <c r="ADK33" s="19" t="s">
        <v>104</v>
      </c>
      <c r="ADL33" s="19" t="s">
        <v>104</v>
      </c>
      <c r="ADM33" s="19" t="s">
        <v>104</v>
      </c>
      <c r="ADN33" s="19" t="s">
        <v>104</v>
      </c>
      <c r="ADO33" s="19" t="s">
        <v>104</v>
      </c>
      <c r="ADP33" s="20" t="s">
        <v>104</v>
      </c>
      <c r="ADQ33" s="20" t="s">
        <v>104</v>
      </c>
      <c r="ADR33" s="15" t="s">
        <v>104</v>
      </c>
      <c r="ADS33" s="15" t="s">
        <v>104</v>
      </c>
      <c r="ADT33" s="15" t="s">
        <v>104</v>
      </c>
      <c r="ADU33" s="15" t="s">
        <v>104</v>
      </c>
      <c r="ADV33" s="15" t="s">
        <v>104</v>
      </c>
      <c r="ADW33" s="15" t="s">
        <v>104</v>
      </c>
      <c r="ADX33" s="15" t="s">
        <v>104</v>
      </c>
      <c r="ADY33" s="15" t="s">
        <v>104</v>
      </c>
      <c r="ADZ33" s="15" t="s">
        <v>104</v>
      </c>
      <c r="AEA33" s="15" t="s">
        <v>104</v>
      </c>
      <c r="AEB33" s="15" t="s">
        <v>104</v>
      </c>
      <c r="AEC33" s="15" t="s">
        <v>104</v>
      </c>
      <c r="AED33" s="15" t="s">
        <v>104</v>
      </c>
      <c r="AEE33" s="15" t="s">
        <v>104</v>
      </c>
      <c r="AEF33" s="15" t="s">
        <v>104</v>
      </c>
      <c r="AEG33" s="15" t="s">
        <v>104</v>
      </c>
      <c r="AEH33" s="15" t="s">
        <v>104</v>
      </c>
      <c r="AEI33" s="15" t="s">
        <v>104</v>
      </c>
      <c r="AEJ33" s="15" t="s">
        <v>104</v>
      </c>
      <c r="AEK33" s="15" t="s">
        <v>104</v>
      </c>
      <c r="AEL33" s="15" t="s">
        <v>104</v>
      </c>
      <c r="AEM33" s="15" t="s">
        <v>104</v>
      </c>
      <c r="AEN33" s="15" t="s">
        <v>104</v>
      </c>
      <c r="AEO33" s="15" t="s">
        <v>104</v>
      </c>
      <c r="AEP33" s="15" t="s">
        <v>104</v>
      </c>
      <c r="AEQ33" s="15" t="s">
        <v>104</v>
      </c>
      <c r="AER33" s="15" t="s">
        <v>104</v>
      </c>
      <c r="AES33" s="15" t="s">
        <v>104</v>
      </c>
      <c r="AET33" s="15" t="s">
        <v>104</v>
      </c>
      <c r="AEU33" s="15" t="s">
        <v>104</v>
      </c>
      <c r="AEV33" s="15" t="s">
        <v>104</v>
      </c>
      <c r="AEW33" s="15" t="s">
        <v>104</v>
      </c>
      <c r="AEX33" s="15" t="s">
        <v>104</v>
      </c>
      <c r="AEY33" s="15" t="s">
        <v>104</v>
      </c>
      <c r="AEZ33" s="15" t="s">
        <v>104</v>
      </c>
      <c r="AFA33" s="15" t="s">
        <v>104</v>
      </c>
      <c r="AFB33" s="15" t="s">
        <v>104</v>
      </c>
      <c r="AFC33" s="15" t="s">
        <v>104</v>
      </c>
      <c r="AFD33" s="15" t="s">
        <v>104</v>
      </c>
      <c r="AFE33" s="15" t="s">
        <v>104</v>
      </c>
      <c r="AFF33" s="15" t="s">
        <v>104</v>
      </c>
      <c r="AFG33" s="15" t="s">
        <v>104</v>
      </c>
      <c r="AFH33" s="15" t="s">
        <v>104</v>
      </c>
      <c r="AFI33" s="15" t="s">
        <v>104</v>
      </c>
      <c r="AFJ33" s="15" t="s">
        <v>104</v>
      </c>
      <c r="AFK33" s="15" t="s">
        <v>104</v>
      </c>
      <c r="AFL33" s="15" t="s">
        <v>104</v>
      </c>
      <c r="AFM33" s="15" t="s">
        <v>104</v>
      </c>
      <c r="AFN33" s="15" t="s">
        <v>104</v>
      </c>
      <c r="AFO33" s="15" t="s">
        <v>104</v>
      </c>
      <c r="AFP33" s="15" t="s">
        <v>104</v>
      </c>
      <c r="AFQ33" s="15" t="s">
        <v>104</v>
      </c>
      <c r="AFR33" s="15"/>
      <c r="AFS33" s="15" t="s">
        <v>104</v>
      </c>
      <c r="AFT33" s="15" t="s">
        <v>104</v>
      </c>
      <c r="AFU33" s="15" t="s">
        <v>104</v>
      </c>
      <c r="AFV33" s="15" t="s">
        <v>104</v>
      </c>
      <c r="AFW33" s="15" t="s">
        <v>104</v>
      </c>
      <c r="AFX33" s="15" t="s">
        <v>104</v>
      </c>
      <c r="AFY33" s="15" t="s">
        <v>104</v>
      </c>
      <c r="AFZ33" s="15" t="s">
        <v>104</v>
      </c>
      <c r="AGA33" s="15" t="s">
        <v>104</v>
      </c>
      <c r="AGB33" s="15" t="s">
        <v>104</v>
      </c>
      <c r="AGC33" s="15" t="s">
        <v>104</v>
      </c>
      <c r="AGD33" s="15" t="s">
        <v>104</v>
      </c>
      <c r="AGE33" s="15" t="s">
        <v>104</v>
      </c>
      <c r="AGF33" s="15" t="s">
        <v>104</v>
      </c>
      <c r="AGG33" s="15" t="s">
        <v>104</v>
      </c>
      <c r="AGH33" s="15" t="s">
        <v>104</v>
      </c>
      <c r="AGI33" s="15" t="s">
        <v>104</v>
      </c>
      <c r="AGJ33" s="15" t="s">
        <v>104</v>
      </c>
      <c r="AGK33" s="15" t="s">
        <v>104</v>
      </c>
      <c r="AGL33" s="15" t="s">
        <v>104</v>
      </c>
      <c r="AGM33" s="15" t="s">
        <v>104</v>
      </c>
      <c r="AGN33" s="15" t="s">
        <v>104</v>
      </c>
      <c r="AGO33" s="15" t="s">
        <v>104</v>
      </c>
      <c r="AGP33" s="15" t="s">
        <v>104</v>
      </c>
      <c r="AGQ33" s="15" t="s">
        <v>104</v>
      </c>
      <c r="AGR33" s="15" t="s">
        <v>104</v>
      </c>
      <c r="AGS33" s="15" t="s">
        <v>104</v>
      </c>
      <c r="AGT33" s="15" t="s">
        <v>104</v>
      </c>
      <c r="AGU33" s="15" t="s">
        <v>104</v>
      </c>
      <c r="AGV33" s="15" t="s">
        <v>104</v>
      </c>
      <c r="AGW33" s="15" t="s">
        <v>104</v>
      </c>
      <c r="AGX33" s="15" t="s">
        <v>104</v>
      </c>
      <c r="AGY33" s="15" t="s">
        <v>104</v>
      </c>
      <c r="AGZ33" s="15" t="s">
        <v>104</v>
      </c>
      <c r="AHA33" s="15" t="s">
        <v>104</v>
      </c>
      <c r="AHB33" s="15" t="s">
        <v>104</v>
      </c>
      <c r="AHC33" s="15" t="s">
        <v>104</v>
      </c>
      <c r="AHD33" s="15" t="s">
        <v>104</v>
      </c>
      <c r="AHE33" s="15" t="s">
        <v>104</v>
      </c>
      <c r="AHF33" s="15" t="s">
        <v>104</v>
      </c>
      <c r="AHG33" s="15" t="s">
        <v>104</v>
      </c>
      <c r="AHH33" s="15" t="s">
        <v>104</v>
      </c>
      <c r="AHI33" s="15" t="s">
        <v>104</v>
      </c>
      <c r="AHJ33" s="15" t="s">
        <v>104</v>
      </c>
      <c r="AHK33" s="15" t="s">
        <v>104</v>
      </c>
      <c r="AHL33" s="15" t="s">
        <v>104</v>
      </c>
      <c r="AHM33" s="15" t="s">
        <v>104</v>
      </c>
      <c r="AHN33" s="15" t="s">
        <v>104</v>
      </c>
      <c r="AHO33" s="15" t="s">
        <v>104</v>
      </c>
      <c r="AHP33" s="15" t="s">
        <v>104</v>
      </c>
      <c r="AHQ33" s="15" t="s">
        <v>104</v>
      </c>
      <c r="AHR33" s="15" t="s">
        <v>104</v>
      </c>
      <c r="AHS33" s="15" t="s">
        <v>104</v>
      </c>
      <c r="AHT33" s="15" t="s">
        <v>104</v>
      </c>
      <c r="AHU33" s="15" t="s">
        <v>104</v>
      </c>
      <c r="AHV33" s="15" t="s">
        <v>104</v>
      </c>
      <c r="AHW33" s="15" t="s">
        <v>104</v>
      </c>
      <c r="AHX33" s="15" t="s">
        <v>104</v>
      </c>
      <c r="AHY33" s="15" t="s">
        <v>104</v>
      </c>
      <c r="AHZ33" s="15" t="s">
        <v>104</v>
      </c>
      <c r="AIA33" s="15" t="s">
        <v>104</v>
      </c>
      <c r="AIB33" s="15" t="s">
        <v>104</v>
      </c>
      <c r="AIC33" s="15" t="s">
        <v>104</v>
      </c>
      <c r="AID33" s="15" t="s">
        <v>104</v>
      </c>
      <c r="AIE33" s="15" t="s">
        <v>104</v>
      </c>
      <c r="AIF33" s="15" t="s">
        <v>104</v>
      </c>
      <c r="AIG33" s="15" t="s">
        <v>104</v>
      </c>
      <c r="AIH33" s="15" t="s">
        <v>104</v>
      </c>
      <c r="AII33" s="15" t="s">
        <v>104</v>
      </c>
      <c r="AIJ33" s="15" t="s">
        <v>104</v>
      </c>
      <c r="AIK33" s="15" t="s">
        <v>104</v>
      </c>
      <c r="AIL33" s="15" t="s">
        <v>104</v>
      </c>
      <c r="AIM33" s="15" t="s">
        <v>104</v>
      </c>
      <c r="AIN33" s="15" t="s">
        <v>104</v>
      </c>
      <c r="AIO33" s="15" t="s">
        <v>104</v>
      </c>
      <c r="AIP33" s="15" t="s">
        <v>104</v>
      </c>
      <c r="AIQ33" s="15" t="s">
        <v>104</v>
      </c>
      <c r="AIR33" s="15" t="s">
        <v>104</v>
      </c>
      <c r="AIS33" s="15" t="s">
        <v>104</v>
      </c>
      <c r="AIT33" s="15" t="s">
        <v>104</v>
      </c>
      <c r="AIU33" s="15" t="s">
        <v>104</v>
      </c>
      <c r="AIV33" s="15" t="s">
        <v>104</v>
      </c>
      <c r="AIW33" s="15" t="s">
        <v>104</v>
      </c>
      <c r="AIX33" s="15" t="s">
        <v>104</v>
      </c>
      <c r="AIY33" s="15" t="s">
        <v>104</v>
      </c>
      <c r="AIZ33" s="15" t="s">
        <v>104</v>
      </c>
      <c r="AJA33" s="20" t="s">
        <v>187</v>
      </c>
      <c r="AJB33" s="15" t="s">
        <v>187</v>
      </c>
      <c r="AJC33" s="15" t="s">
        <v>187</v>
      </c>
      <c r="AJD33" s="20" t="s">
        <v>187</v>
      </c>
      <c r="AJE33" s="20" t="s">
        <v>187</v>
      </c>
      <c r="AJF33" s="15"/>
      <c r="AJG33" s="19" t="s">
        <v>104</v>
      </c>
      <c r="AJH33" s="19" t="s">
        <v>104</v>
      </c>
      <c r="AJI33" s="19" t="s">
        <v>104</v>
      </c>
      <c r="AJJ33" s="19" t="s">
        <v>104</v>
      </c>
      <c r="AJK33" s="19" t="s">
        <v>104</v>
      </c>
      <c r="AJL33" s="19" t="s">
        <v>104</v>
      </c>
      <c r="AJM33" s="19" t="s">
        <v>104</v>
      </c>
      <c r="AJN33" s="19"/>
      <c r="AJO33" s="19" t="s">
        <v>104</v>
      </c>
      <c r="AJP33" s="19" t="s">
        <v>104</v>
      </c>
      <c r="AJQ33" s="19" t="s">
        <v>104</v>
      </c>
      <c r="AJR33" s="19" t="s">
        <v>104</v>
      </c>
      <c r="AJS33" s="19" t="s">
        <v>104</v>
      </c>
      <c r="AJT33" s="19" t="s">
        <v>104</v>
      </c>
      <c r="AJU33" s="19" t="s">
        <v>104</v>
      </c>
      <c r="AJV33" s="19" t="s">
        <v>104</v>
      </c>
      <c r="AJW33" s="19" t="s">
        <v>104</v>
      </c>
      <c r="AJX33" s="19"/>
      <c r="AJY33" s="19" t="s">
        <v>104</v>
      </c>
      <c r="AJZ33" s="19" t="s">
        <v>104</v>
      </c>
      <c r="AKA33" s="19" t="s">
        <v>104</v>
      </c>
      <c r="AKB33" s="19" t="s">
        <v>104</v>
      </c>
      <c r="AKC33" s="19" t="s">
        <v>104</v>
      </c>
      <c r="AKD33" s="19" t="s">
        <v>104</v>
      </c>
      <c r="AKE33" s="19" t="s">
        <v>104</v>
      </c>
      <c r="AKF33" s="19" t="s">
        <v>104</v>
      </c>
      <c r="AKG33" s="19" t="s">
        <v>104</v>
      </c>
      <c r="AKH33" s="19" t="s">
        <v>104</v>
      </c>
      <c r="AKI33" s="19"/>
      <c r="AKJ33" s="19" t="s">
        <v>104</v>
      </c>
      <c r="AKK33" s="19" t="s">
        <v>104</v>
      </c>
      <c r="AKL33" s="19" t="s">
        <v>104</v>
      </c>
      <c r="AKM33" s="19" t="s">
        <v>104</v>
      </c>
      <c r="AKN33" s="19" t="s">
        <v>104</v>
      </c>
      <c r="AKO33" s="19" t="s">
        <v>104</v>
      </c>
      <c r="AKP33" s="19" t="s">
        <v>104</v>
      </c>
      <c r="AKQ33" s="19" t="s">
        <v>104</v>
      </c>
      <c r="AKR33" s="19" t="s">
        <v>104</v>
      </c>
      <c r="AKS33" s="19" t="s">
        <v>104</v>
      </c>
      <c r="AKT33" s="19" t="s">
        <v>104</v>
      </c>
      <c r="AKU33" s="19" t="s">
        <v>104</v>
      </c>
      <c r="AKV33" s="19" t="s">
        <v>104</v>
      </c>
      <c r="AKW33" s="19" t="s">
        <v>104</v>
      </c>
      <c r="AKX33" s="19"/>
      <c r="AKY33" s="19" t="s">
        <v>104</v>
      </c>
      <c r="AKZ33" s="19" t="s">
        <v>104</v>
      </c>
      <c r="ALA33" s="19" t="s">
        <v>104</v>
      </c>
      <c r="ALB33" s="19" t="s">
        <v>104</v>
      </c>
      <c r="ALC33" s="19" t="s">
        <v>104</v>
      </c>
      <c r="ALD33" s="19" t="s">
        <v>104</v>
      </c>
      <c r="ALE33" s="19" t="s">
        <v>104</v>
      </c>
      <c r="ALF33" s="20" t="s">
        <v>104</v>
      </c>
      <c r="ALG33" s="20" t="s">
        <v>104</v>
      </c>
      <c r="ALH33" s="20" t="s">
        <v>104</v>
      </c>
      <c r="ALI33" s="20" t="s">
        <v>104</v>
      </c>
      <c r="ALJ33" s="20" t="s">
        <v>104</v>
      </c>
      <c r="ALK33" s="20" t="s">
        <v>104</v>
      </c>
      <c r="ALL33" s="20" t="s">
        <v>104</v>
      </c>
      <c r="ALM33" s="15"/>
      <c r="ALN33" s="19" t="s">
        <v>104</v>
      </c>
      <c r="ALO33" s="19" t="s">
        <v>104</v>
      </c>
      <c r="ALP33" s="19" t="s">
        <v>104</v>
      </c>
      <c r="ALQ33" s="19" t="s">
        <v>104</v>
      </c>
      <c r="ALR33" s="19" t="s">
        <v>104</v>
      </c>
      <c r="ALS33" s="19" t="s">
        <v>104</v>
      </c>
      <c r="ALT33" s="19" t="s">
        <v>104</v>
      </c>
      <c r="ALU33" s="20" t="s">
        <v>187</v>
      </c>
      <c r="ALV33" s="20" t="s">
        <v>191</v>
      </c>
      <c r="ALW33" s="15" t="s">
        <v>187</v>
      </c>
      <c r="ALX33" s="15" t="s">
        <v>187</v>
      </c>
      <c r="ALY33" s="15" t="s">
        <v>187</v>
      </c>
      <c r="ALZ33" s="15" t="s">
        <v>187</v>
      </c>
      <c r="AMA33" s="15" t="s">
        <v>187</v>
      </c>
      <c r="AMB33" s="15" t="s">
        <v>187</v>
      </c>
      <c r="AMC33" s="15"/>
      <c r="AMD33" s="15" t="s">
        <v>104</v>
      </c>
      <c r="AME33" s="15" t="s">
        <v>104</v>
      </c>
      <c r="AMF33" s="15" t="s">
        <v>104</v>
      </c>
      <c r="AMG33" s="15" t="s">
        <v>104</v>
      </c>
      <c r="AMH33" s="15" t="s">
        <v>104</v>
      </c>
      <c r="AMI33" s="15" t="s">
        <v>104</v>
      </c>
      <c r="AMJ33" s="15" t="s">
        <v>104</v>
      </c>
      <c r="AMK33" s="15" t="s">
        <v>104</v>
      </c>
      <c r="AML33" s="15" t="s">
        <v>104</v>
      </c>
      <c r="AMM33" s="15" t="s">
        <v>104</v>
      </c>
      <c r="AMN33" s="15" t="s">
        <v>104</v>
      </c>
      <c r="AMO33" s="15" t="s">
        <v>104</v>
      </c>
      <c r="AMP33" s="15" t="s">
        <v>104</v>
      </c>
      <c r="AMQ33" s="15" t="s">
        <v>104</v>
      </c>
      <c r="AMR33" s="15" t="s">
        <v>104</v>
      </c>
      <c r="AMS33" s="15" t="s">
        <v>104</v>
      </c>
      <c r="AMT33" s="15" t="s">
        <v>104</v>
      </c>
      <c r="AMU33" s="15" t="s">
        <v>104</v>
      </c>
      <c r="AMV33" s="15" t="s">
        <v>104</v>
      </c>
      <c r="AMW33" s="15" t="s">
        <v>104</v>
      </c>
      <c r="AMX33" s="15" t="s">
        <v>104</v>
      </c>
      <c r="AMY33" s="15" t="s">
        <v>104</v>
      </c>
      <c r="AMZ33" s="15" t="s">
        <v>104</v>
      </c>
      <c r="ANA33" s="15" t="s">
        <v>104</v>
      </c>
      <c r="ANB33" s="15" t="s">
        <v>104</v>
      </c>
      <c r="ANC33" s="15" t="s">
        <v>104</v>
      </c>
      <c r="AND33" s="15" t="s">
        <v>104</v>
      </c>
      <c r="ANE33" s="15"/>
      <c r="ANF33" s="15"/>
      <c r="ANG33" s="15"/>
      <c r="ANH33" s="15"/>
      <c r="ANI33" s="15"/>
      <c r="ANJ33" s="15"/>
      <c r="ANK33" s="15"/>
      <c r="ANL33" s="15"/>
      <c r="ANM33" s="15"/>
      <c r="ANN33" s="15"/>
      <c r="ANO33" s="15"/>
      <c r="ANP33" s="15"/>
      <c r="ANQ33" s="15"/>
      <c r="ANR33" s="15"/>
      <c r="ANS33" s="15"/>
      <c r="ANT33" s="15"/>
      <c r="ANU33" s="15"/>
      <c r="ANV33" s="15"/>
      <c r="ANW33" s="15"/>
      <c r="ANX33" s="15"/>
      <c r="ANY33" s="15"/>
      <c r="ANZ33" s="15"/>
      <c r="AOA33" s="15"/>
      <c r="AOB33" s="15"/>
      <c r="AOC33" s="15"/>
      <c r="AOD33" s="15"/>
      <c r="AOE33" s="15"/>
      <c r="AOF33" s="15"/>
      <c r="AOG33" s="15"/>
      <c r="AOH33" s="15"/>
      <c r="AOI33" s="15"/>
      <c r="AOJ33" s="15"/>
      <c r="AOK33" s="15"/>
      <c r="AOL33" s="15"/>
      <c r="AOM33" s="15"/>
      <c r="AON33" s="15"/>
      <c r="AOO33" s="15"/>
      <c r="AOP33" s="15"/>
      <c r="AOQ33" s="15"/>
      <c r="AOR33" s="15"/>
      <c r="AOS33" s="15"/>
      <c r="AOT33" s="15"/>
      <c r="AOU33" s="15"/>
      <c r="AOV33" s="15"/>
      <c r="AOW33" s="15"/>
      <c r="AOX33" s="15"/>
      <c r="AOY33" s="15"/>
      <c r="AOZ33" s="15"/>
      <c r="APA33" s="15"/>
      <c r="APB33" s="15"/>
      <c r="APC33" s="15"/>
      <c r="APD33" s="15"/>
      <c r="APE33" s="15"/>
      <c r="APF33" s="15"/>
      <c r="APG33" s="15"/>
      <c r="APH33" s="15"/>
      <c r="API33" s="15"/>
      <c r="APJ33" s="15"/>
      <c r="APK33" s="15"/>
      <c r="APL33" s="15"/>
      <c r="APM33" s="15"/>
      <c r="APN33" s="15"/>
      <c r="APO33" s="15"/>
      <c r="APP33" s="15"/>
      <c r="APQ33" s="15"/>
      <c r="APR33" s="15"/>
      <c r="APS33" s="15"/>
      <c r="APT33" s="15"/>
      <c r="APU33" s="15"/>
      <c r="APV33" s="15"/>
      <c r="APW33" s="15"/>
      <c r="APX33" s="15"/>
      <c r="APY33" s="15"/>
      <c r="APZ33" s="15"/>
      <c r="AQA33" s="15"/>
      <c r="AQB33" s="15"/>
    </row>
    <row r="34" spans="1:1120" s="17" customFormat="1" ht="15" customHeight="1" x14ac:dyDescent="0.25">
      <c r="A34" s="3" t="s">
        <v>2</v>
      </c>
      <c r="B34" s="6" t="s">
        <v>39</v>
      </c>
      <c r="C34" s="15"/>
      <c r="D34" s="15" t="s">
        <v>71</v>
      </c>
      <c r="E34" s="15" t="s">
        <v>71</v>
      </c>
      <c r="F34" s="15" t="s">
        <v>71</v>
      </c>
      <c r="G34" s="15" t="s">
        <v>71</v>
      </c>
      <c r="H34" s="15" t="s">
        <v>71</v>
      </c>
      <c r="I34" s="15" t="s">
        <v>71</v>
      </c>
      <c r="J34" s="15"/>
      <c r="K34" s="15" t="s">
        <v>110</v>
      </c>
      <c r="L34" s="15" t="s">
        <v>110</v>
      </c>
      <c r="M34" s="15" t="s">
        <v>110</v>
      </c>
      <c r="N34" s="15" t="s">
        <v>110</v>
      </c>
      <c r="O34" s="15" t="s">
        <v>71</v>
      </c>
      <c r="P34" s="15" t="s">
        <v>71</v>
      </c>
      <c r="Q34" s="15"/>
      <c r="R34" s="15" t="s">
        <v>71</v>
      </c>
      <c r="S34" s="15" t="s">
        <v>71</v>
      </c>
      <c r="T34" s="15" t="s">
        <v>71</v>
      </c>
      <c r="U34" s="15" t="s">
        <v>71</v>
      </c>
      <c r="V34" s="15" t="s">
        <v>71</v>
      </c>
      <c r="W34" s="15" t="s">
        <v>110</v>
      </c>
      <c r="X34" s="15"/>
      <c r="Y34" s="15" t="s">
        <v>71</v>
      </c>
      <c r="Z34" s="15" t="s">
        <v>71</v>
      </c>
      <c r="AA34" s="15" t="s">
        <v>71</v>
      </c>
      <c r="AB34" s="15" t="s">
        <v>71</v>
      </c>
      <c r="AC34" s="15" t="s">
        <v>71</v>
      </c>
      <c r="AD34" s="15" t="s">
        <v>71</v>
      </c>
      <c r="AE34" s="15"/>
      <c r="AF34" s="15" t="s">
        <v>71</v>
      </c>
      <c r="AG34" s="15" t="s">
        <v>71</v>
      </c>
      <c r="AH34" s="15" t="s">
        <v>71</v>
      </c>
      <c r="AI34" s="15" t="s">
        <v>71</v>
      </c>
      <c r="AJ34" s="15" t="s">
        <v>71</v>
      </c>
      <c r="AK34" s="15" t="s">
        <v>71</v>
      </c>
      <c r="AL34" s="15"/>
      <c r="AM34" s="15" t="s">
        <v>71</v>
      </c>
      <c r="AN34" s="15" t="s">
        <v>71</v>
      </c>
      <c r="AO34" s="15" t="s">
        <v>71</v>
      </c>
      <c r="AP34" s="15" t="s">
        <v>71</v>
      </c>
      <c r="AQ34" s="15" t="s">
        <v>71</v>
      </c>
      <c r="AR34" s="15" t="s">
        <v>71</v>
      </c>
      <c r="AS34" s="15" t="s">
        <v>71</v>
      </c>
      <c r="AT34" s="15" t="s">
        <v>71</v>
      </c>
      <c r="AU34" s="15" t="s">
        <v>71</v>
      </c>
      <c r="AV34" s="15" t="s">
        <v>71</v>
      </c>
      <c r="AW34" s="15" t="s">
        <v>71</v>
      </c>
      <c r="AX34" s="15" t="s">
        <v>71</v>
      </c>
      <c r="AY34" s="15" t="s">
        <v>71</v>
      </c>
      <c r="AZ34" s="15" t="s">
        <v>71</v>
      </c>
      <c r="BA34" s="15" t="s">
        <v>71</v>
      </c>
      <c r="BB34" s="15" t="s">
        <v>71</v>
      </c>
      <c r="BC34" s="15" t="s">
        <v>71</v>
      </c>
      <c r="BD34" s="15" t="s">
        <v>71</v>
      </c>
      <c r="BE34" s="15" t="s">
        <v>71</v>
      </c>
      <c r="BF34" s="20" t="s">
        <v>110</v>
      </c>
      <c r="BG34" s="20" t="s">
        <v>110</v>
      </c>
      <c r="BH34" s="20" t="s">
        <v>110</v>
      </c>
      <c r="BI34" s="20" t="s">
        <v>110</v>
      </c>
      <c r="BJ34" s="20" t="s">
        <v>71</v>
      </c>
      <c r="BK34" s="20" t="s">
        <v>71</v>
      </c>
      <c r="BL34" s="20" t="s">
        <v>71</v>
      </c>
      <c r="BM34" s="20" t="s">
        <v>71</v>
      </c>
      <c r="BN34" s="20" t="s">
        <v>71</v>
      </c>
      <c r="BO34" s="20" t="s">
        <v>71</v>
      </c>
      <c r="BP34" s="15" t="s">
        <v>71</v>
      </c>
      <c r="BQ34" s="15" t="s">
        <v>71</v>
      </c>
      <c r="BR34" s="15" t="s">
        <v>71</v>
      </c>
      <c r="BS34" s="15" t="s">
        <v>71</v>
      </c>
      <c r="BT34" s="15" t="s">
        <v>71</v>
      </c>
      <c r="BU34" s="15" t="s">
        <v>71</v>
      </c>
      <c r="BV34" s="15" t="s">
        <v>71</v>
      </c>
      <c r="BW34" s="15" t="s">
        <v>71</v>
      </c>
      <c r="BX34" s="15" t="s">
        <v>71</v>
      </c>
      <c r="BY34" s="15" t="s">
        <v>71</v>
      </c>
      <c r="BZ34" s="15" t="s">
        <v>71</v>
      </c>
      <c r="CA34" s="15" t="s">
        <v>71</v>
      </c>
      <c r="CB34" s="15" t="s">
        <v>71</v>
      </c>
      <c r="CC34" s="15" t="s">
        <v>71</v>
      </c>
      <c r="CD34" s="15" t="s">
        <v>71</v>
      </c>
      <c r="CE34" s="15" t="s">
        <v>71</v>
      </c>
      <c r="CF34" s="15" t="s">
        <v>71</v>
      </c>
      <c r="CG34" s="15" t="s">
        <v>71</v>
      </c>
      <c r="CH34" s="15" t="s">
        <v>71</v>
      </c>
      <c r="CI34" s="15" t="s">
        <v>71</v>
      </c>
      <c r="CJ34" s="15" t="s">
        <v>71</v>
      </c>
      <c r="CK34" s="15" t="s">
        <v>71</v>
      </c>
      <c r="CL34" s="15" t="s">
        <v>71</v>
      </c>
      <c r="CM34" s="15" t="s">
        <v>71</v>
      </c>
      <c r="CN34" s="15" t="s">
        <v>71</v>
      </c>
      <c r="CO34" s="20" t="s">
        <v>110</v>
      </c>
      <c r="CP34" s="20" t="s">
        <v>110</v>
      </c>
      <c r="CQ34" s="20" t="s">
        <v>110</v>
      </c>
      <c r="CR34" s="20" t="s">
        <v>110</v>
      </c>
      <c r="CS34" s="20" t="s">
        <v>71</v>
      </c>
      <c r="CT34" s="20" t="s">
        <v>71</v>
      </c>
      <c r="CU34" s="20" t="s">
        <v>71</v>
      </c>
      <c r="CV34" s="20" t="s">
        <v>110</v>
      </c>
      <c r="CW34" s="20" t="s">
        <v>71</v>
      </c>
      <c r="CX34" s="20" t="s">
        <v>71</v>
      </c>
      <c r="CY34" s="20" t="s">
        <v>71</v>
      </c>
      <c r="CZ34" s="20" t="s">
        <v>71</v>
      </c>
      <c r="DA34" s="20" t="s">
        <v>71</v>
      </c>
      <c r="DB34" s="20" t="s">
        <v>71</v>
      </c>
      <c r="DC34" s="20" t="s">
        <v>71</v>
      </c>
      <c r="DD34" s="15" t="s">
        <v>71</v>
      </c>
      <c r="DE34" s="15" t="s">
        <v>71</v>
      </c>
      <c r="DF34" s="15" t="s">
        <v>71</v>
      </c>
      <c r="DG34" s="15" t="s">
        <v>71</v>
      </c>
      <c r="DH34" s="15" t="s">
        <v>71</v>
      </c>
      <c r="DI34" s="15" t="s">
        <v>71</v>
      </c>
      <c r="DJ34" s="15" t="s">
        <v>71</v>
      </c>
      <c r="DK34" s="15" t="s">
        <v>71</v>
      </c>
      <c r="DL34" s="15" t="s">
        <v>71</v>
      </c>
      <c r="DM34" s="15" t="s">
        <v>71</v>
      </c>
      <c r="DN34" s="15" t="s">
        <v>71</v>
      </c>
      <c r="DO34" s="15" t="s">
        <v>71</v>
      </c>
      <c r="DP34" s="15" t="s">
        <v>71</v>
      </c>
      <c r="DQ34" s="15" t="s">
        <v>71</v>
      </c>
      <c r="DR34" s="15" t="s">
        <v>71</v>
      </c>
      <c r="DS34" s="15" t="s">
        <v>71</v>
      </c>
      <c r="DT34" s="15" t="s">
        <v>71</v>
      </c>
      <c r="DU34" s="15" t="s">
        <v>71</v>
      </c>
      <c r="DV34" s="20" t="s">
        <v>110</v>
      </c>
      <c r="DW34" s="20" t="s">
        <v>110</v>
      </c>
      <c r="DX34" s="20" t="s">
        <v>71</v>
      </c>
      <c r="DY34" s="20" t="s">
        <v>71</v>
      </c>
      <c r="DZ34" s="20" t="s">
        <v>71</v>
      </c>
      <c r="EA34" s="20" t="s">
        <v>71</v>
      </c>
      <c r="EB34" s="20" t="s">
        <v>71</v>
      </c>
      <c r="EC34" s="20" t="s">
        <v>71</v>
      </c>
      <c r="ED34" s="20" t="s">
        <v>71</v>
      </c>
      <c r="EE34" s="20" t="s">
        <v>110</v>
      </c>
      <c r="EF34" s="20" t="s">
        <v>110</v>
      </c>
      <c r="EG34" s="20" t="s">
        <v>110</v>
      </c>
      <c r="EH34" s="20" t="s">
        <v>110</v>
      </c>
      <c r="EI34" s="20" t="s">
        <v>110</v>
      </c>
      <c r="EJ34" s="20" t="s">
        <v>71</v>
      </c>
      <c r="EK34" s="20" t="s">
        <v>71</v>
      </c>
      <c r="EL34" s="20" t="s">
        <v>71</v>
      </c>
      <c r="EM34" s="20" t="s">
        <v>71</v>
      </c>
      <c r="EN34" s="20" t="s">
        <v>71</v>
      </c>
      <c r="EO34" s="20" t="s">
        <v>71</v>
      </c>
      <c r="EP34" s="20" t="s">
        <v>71</v>
      </c>
      <c r="EQ34" s="15" t="s">
        <v>71</v>
      </c>
      <c r="ER34" s="15" t="s">
        <v>71</v>
      </c>
      <c r="ES34" s="15" t="s">
        <v>71</v>
      </c>
      <c r="ET34" s="15" t="s">
        <v>71</v>
      </c>
      <c r="EU34" s="20" t="s">
        <v>110</v>
      </c>
      <c r="EV34" s="20" t="s">
        <v>71</v>
      </c>
      <c r="EW34" s="20" t="s">
        <v>71</v>
      </c>
      <c r="EX34" s="20" t="s">
        <v>71</v>
      </c>
      <c r="EY34" s="20" t="s">
        <v>71</v>
      </c>
      <c r="EZ34" s="20" t="s">
        <v>71</v>
      </c>
      <c r="FA34" s="20" t="s">
        <v>71</v>
      </c>
      <c r="FB34" s="20" t="s">
        <v>71</v>
      </c>
      <c r="FC34" s="20" t="s">
        <v>71</v>
      </c>
      <c r="FD34" s="15"/>
      <c r="FE34" s="20" t="s">
        <v>71</v>
      </c>
      <c r="FF34" s="20" t="s">
        <v>71</v>
      </c>
      <c r="FG34" s="20" t="s">
        <v>71</v>
      </c>
      <c r="FH34" s="20" t="s">
        <v>71</v>
      </c>
      <c r="FI34" s="20" t="s">
        <v>71</v>
      </c>
      <c r="FJ34" s="20" t="s">
        <v>71</v>
      </c>
      <c r="FK34" s="20" t="s">
        <v>71</v>
      </c>
      <c r="FL34" s="20" t="s">
        <v>71</v>
      </c>
      <c r="FM34" s="20" t="s">
        <v>71</v>
      </c>
      <c r="FN34" s="20" t="s">
        <v>71</v>
      </c>
      <c r="FO34" s="20" t="s">
        <v>71</v>
      </c>
      <c r="FP34" s="20" t="s">
        <v>71</v>
      </c>
      <c r="FQ34" s="20" t="s">
        <v>71</v>
      </c>
      <c r="FR34" s="20" t="s">
        <v>71</v>
      </c>
      <c r="FS34" s="20" t="s">
        <v>71</v>
      </c>
      <c r="FT34" s="20" t="s">
        <v>71</v>
      </c>
      <c r="FU34" s="20" t="s">
        <v>71</v>
      </c>
      <c r="FV34" s="20" t="s">
        <v>71</v>
      </c>
      <c r="FW34" s="20" t="s">
        <v>71</v>
      </c>
      <c r="FX34" s="20" t="s">
        <v>71</v>
      </c>
      <c r="FY34" s="20" t="s">
        <v>71</v>
      </c>
      <c r="FZ34" s="20" t="s">
        <v>71</v>
      </c>
      <c r="GA34" s="20" t="s">
        <v>71</v>
      </c>
      <c r="GB34" s="20" t="s">
        <v>71</v>
      </c>
      <c r="GC34" s="20" t="s">
        <v>71</v>
      </c>
      <c r="GD34" s="20" t="s">
        <v>71</v>
      </c>
      <c r="GE34" s="20" t="s">
        <v>71</v>
      </c>
      <c r="GF34" s="20" t="s">
        <v>71</v>
      </c>
      <c r="GG34" s="20" t="s">
        <v>71</v>
      </c>
      <c r="GH34" s="20" t="s">
        <v>71</v>
      </c>
      <c r="GI34" s="20" t="s">
        <v>71</v>
      </c>
      <c r="GJ34" s="20" t="s">
        <v>71</v>
      </c>
      <c r="GK34" s="20" t="s">
        <v>71</v>
      </c>
      <c r="GL34" s="20" t="s">
        <v>71</v>
      </c>
      <c r="GM34" s="20" t="s">
        <v>71</v>
      </c>
      <c r="GN34" s="20" t="s">
        <v>71</v>
      </c>
      <c r="GO34" s="20" t="s">
        <v>71</v>
      </c>
      <c r="GP34" s="20" t="s">
        <v>71</v>
      </c>
      <c r="GQ34" s="20" t="s">
        <v>71</v>
      </c>
      <c r="GR34" s="20" t="s">
        <v>71</v>
      </c>
      <c r="GS34" s="20" t="s">
        <v>71</v>
      </c>
      <c r="GT34" s="20" t="s">
        <v>71</v>
      </c>
      <c r="GU34" s="20" t="s">
        <v>71</v>
      </c>
      <c r="GV34" s="20" t="s">
        <v>71</v>
      </c>
      <c r="GW34" s="20" t="s">
        <v>71</v>
      </c>
      <c r="GX34" s="20" t="s">
        <v>71</v>
      </c>
      <c r="GY34" s="20" t="s">
        <v>71</v>
      </c>
      <c r="GZ34" s="20" t="s">
        <v>71</v>
      </c>
      <c r="HA34" s="20" t="s">
        <v>71</v>
      </c>
      <c r="HB34" s="20" t="s">
        <v>71</v>
      </c>
      <c r="HC34" s="20" t="s">
        <v>71</v>
      </c>
      <c r="HD34" s="20" t="s">
        <v>71</v>
      </c>
      <c r="HE34" s="20" t="s">
        <v>71</v>
      </c>
      <c r="HF34" s="20" t="s">
        <v>71</v>
      </c>
      <c r="HG34" s="20" t="s">
        <v>71</v>
      </c>
      <c r="HH34" s="20" t="s">
        <v>71</v>
      </c>
      <c r="HI34" s="20" t="s">
        <v>71</v>
      </c>
      <c r="HJ34" s="20" t="s">
        <v>71</v>
      </c>
      <c r="HK34" s="20" t="s">
        <v>71</v>
      </c>
      <c r="HL34" s="20" t="s">
        <v>71</v>
      </c>
      <c r="HM34" s="20" t="s">
        <v>71</v>
      </c>
      <c r="HN34" s="20" t="s">
        <v>71</v>
      </c>
      <c r="HO34" s="20" t="s">
        <v>71</v>
      </c>
      <c r="HP34" s="20" t="s">
        <v>71</v>
      </c>
      <c r="HQ34" s="20" t="s">
        <v>71</v>
      </c>
      <c r="HR34" s="20" t="s">
        <v>71</v>
      </c>
      <c r="HS34" s="20" t="s">
        <v>71</v>
      </c>
      <c r="HT34" s="20" t="s">
        <v>71</v>
      </c>
      <c r="HU34" s="20" t="s">
        <v>71</v>
      </c>
      <c r="HV34" s="20" t="s">
        <v>71</v>
      </c>
      <c r="HW34" s="20" t="s">
        <v>71</v>
      </c>
      <c r="HX34" s="20" t="s">
        <v>71</v>
      </c>
      <c r="HY34" s="20" t="s">
        <v>71</v>
      </c>
      <c r="HZ34" s="20" t="s">
        <v>71</v>
      </c>
      <c r="IA34" s="20" t="s">
        <v>71</v>
      </c>
      <c r="IB34" s="15"/>
      <c r="IC34" s="20" t="s">
        <v>71</v>
      </c>
      <c r="ID34" s="20" t="s">
        <v>71</v>
      </c>
      <c r="IE34" s="20" t="s">
        <v>71</v>
      </c>
      <c r="IF34" s="20" t="s">
        <v>71</v>
      </c>
      <c r="IG34" s="20" t="s">
        <v>71</v>
      </c>
      <c r="IH34" s="20" t="s">
        <v>71</v>
      </c>
      <c r="II34" s="20" t="s">
        <v>71</v>
      </c>
      <c r="IJ34" s="20" t="s">
        <v>71</v>
      </c>
      <c r="IK34" s="15"/>
      <c r="IL34" s="20" t="s">
        <v>71</v>
      </c>
      <c r="IM34" s="20" t="s">
        <v>71</v>
      </c>
      <c r="IN34" s="20" t="s">
        <v>71</v>
      </c>
      <c r="IO34" s="20" t="s">
        <v>71</v>
      </c>
      <c r="IP34" s="20" t="s">
        <v>71</v>
      </c>
      <c r="IQ34" s="20" t="s">
        <v>71</v>
      </c>
      <c r="IR34" s="20" t="s">
        <v>71</v>
      </c>
      <c r="IS34" s="15" t="s">
        <v>71</v>
      </c>
      <c r="IT34" s="15" t="s">
        <v>71</v>
      </c>
      <c r="IU34" s="15" t="s">
        <v>71</v>
      </c>
      <c r="IV34" s="15" t="s">
        <v>71</v>
      </c>
      <c r="IW34" s="15" t="s">
        <v>71</v>
      </c>
      <c r="IX34" s="15" t="s">
        <v>71</v>
      </c>
      <c r="IY34" s="15" t="s">
        <v>71</v>
      </c>
      <c r="IZ34" s="15" t="s">
        <v>71</v>
      </c>
      <c r="JA34" s="15" t="s">
        <v>71</v>
      </c>
      <c r="JB34" s="15" t="s">
        <v>71</v>
      </c>
      <c r="JC34" s="15" t="s">
        <v>71</v>
      </c>
      <c r="JD34" s="15" t="s">
        <v>71</v>
      </c>
      <c r="JE34" s="15" t="s">
        <v>71</v>
      </c>
      <c r="JF34" s="15" t="s">
        <v>71</v>
      </c>
      <c r="JG34" s="15" t="s">
        <v>71</v>
      </c>
      <c r="JH34" s="15" t="s">
        <v>71</v>
      </c>
      <c r="JI34" s="15" t="s">
        <v>71</v>
      </c>
      <c r="JJ34" s="15" t="s">
        <v>71</v>
      </c>
      <c r="JK34" s="15" t="s">
        <v>71</v>
      </c>
      <c r="JL34" s="15" t="s">
        <v>71</v>
      </c>
      <c r="JM34" s="15" t="s">
        <v>71</v>
      </c>
      <c r="JN34" s="15" t="s">
        <v>71</v>
      </c>
      <c r="JO34" s="15" t="s">
        <v>71</v>
      </c>
      <c r="JP34" s="15" t="s">
        <v>71</v>
      </c>
      <c r="JQ34" s="15" t="s">
        <v>71</v>
      </c>
      <c r="JR34" s="15" t="s">
        <v>71</v>
      </c>
      <c r="JS34" s="15" t="s">
        <v>71</v>
      </c>
      <c r="JT34" s="15" t="s">
        <v>71</v>
      </c>
      <c r="JU34" s="15" t="s">
        <v>71</v>
      </c>
      <c r="JV34" s="15" t="s">
        <v>71</v>
      </c>
      <c r="JW34" s="15" t="s">
        <v>71</v>
      </c>
      <c r="JX34" s="15" t="s">
        <v>71</v>
      </c>
      <c r="JY34" s="15" t="s">
        <v>71</v>
      </c>
      <c r="JZ34" s="15" t="s">
        <v>71</v>
      </c>
      <c r="KA34" s="15" t="s">
        <v>71</v>
      </c>
      <c r="KB34" s="15" t="s">
        <v>71</v>
      </c>
      <c r="KC34" s="15" t="s">
        <v>71</v>
      </c>
      <c r="KD34" s="15" t="s">
        <v>71</v>
      </c>
      <c r="KE34" s="15" t="s">
        <v>71</v>
      </c>
      <c r="KF34" s="15" t="s">
        <v>71</v>
      </c>
      <c r="KG34" s="15" t="s">
        <v>71</v>
      </c>
      <c r="KH34" s="15" t="s">
        <v>71</v>
      </c>
      <c r="KI34" s="15" t="s">
        <v>71</v>
      </c>
      <c r="KJ34" s="15" t="s">
        <v>71</v>
      </c>
      <c r="KK34" s="15" t="s">
        <v>71</v>
      </c>
      <c r="KL34" s="15" t="s">
        <v>71</v>
      </c>
      <c r="KM34" s="15" t="s">
        <v>71</v>
      </c>
      <c r="KN34" s="15" t="s">
        <v>71</v>
      </c>
      <c r="KO34" s="15" t="s">
        <v>71</v>
      </c>
      <c r="KP34" s="15" t="s">
        <v>71</v>
      </c>
      <c r="KQ34" s="15" t="s">
        <v>71</v>
      </c>
      <c r="KR34" s="15" t="s">
        <v>71</v>
      </c>
      <c r="KS34" s="15" t="s">
        <v>71</v>
      </c>
      <c r="KT34" s="15" t="s">
        <v>71</v>
      </c>
      <c r="KU34" s="15" t="s">
        <v>71</v>
      </c>
      <c r="KV34" s="15" t="s">
        <v>71</v>
      </c>
      <c r="KW34" s="15" t="s">
        <v>71</v>
      </c>
      <c r="KX34" s="15" t="s">
        <v>71</v>
      </c>
      <c r="KY34" s="15" t="s">
        <v>71</v>
      </c>
      <c r="KZ34" s="15" t="s">
        <v>71</v>
      </c>
      <c r="LA34" s="15" t="s">
        <v>71</v>
      </c>
      <c r="LB34" s="15" t="s">
        <v>71</v>
      </c>
      <c r="LC34" s="15" t="s">
        <v>71</v>
      </c>
      <c r="LD34" s="15" t="s">
        <v>71</v>
      </c>
      <c r="LE34" s="15" t="s">
        <v>71</v>
      </c>
      <c r="LF34" s="15" t="s">
        <v>71</v>
      </c>
      <c r="LG34" s="15" t="s">
        <v>71</v>
      </c>
      <c r="LH34" s="15" t="s">
        <v>71</v>
      </c>
      <c r="LI34" s="15" t="s">
        <v>71</v>
      </c>
      <c r="LJ34" s="15" t="s">
        <v>71</v>
      </c>
      <c r="LK34" s="15" t="s">
        <v>71</v>
      </c>
      <c r="LL34" s="15" t="s">
        <v>71</v>
      </c>
      <c r="LM34" s="15" t="s">
        <v>71</v>
      </c>
      <c r="LN34" s="15" t="s">
        <v>71</v>
      </c>
      <c r="LO34" s="15" t="s">
        <v>71</v>
      </c>
      <c r="LP34" s="15" t="s">
        <v>71</v>
      </c>
      <c r="LQ34" s="15" t="s">
        <v>71</v>
      </c>
      <c r="LR34" s="15" t="s">
        <v>71</v>
      </c>
      <c r="LS34" s="15" t="s">
        <v>71</v>
      </c>
      <c r="LT34" s="15" t="s">
        <v>71</v>
      </c>
      <c r="LU34" s="15" t="s">
        <v>71</v>
      </c>
      <c r="LV34" s="15" t="s">
        <v>71</v>
      </c>
      <c r="LW34" s="15" t="s">
        <v>71</v>
      </c>
      <c r="LX34" s="15" t="s">
        <v>71</v>
      </c>
      <c r="LY34" s="15" t="s">
        <v>71</v>
      </c>
      <c r="LZ34" s="15" t="s">
        <v>71</v>
      </c>
      <c r="MA34" s="15" t="s">
        <v>71</v>
      </c>
      <c r="MB34" s="15" t="s">
        <v>71</v>
      </c>
      <c r="MC34" s="15" t="s">
        <v>71</v>
      </c>
      <c r="MD34" s="15" t="s">
        <v>71</v>
      </c>
      <c r="ME34" s="15" t="s">
        <v>71</v>
      </c>
      <c r="MF34" s="15" t="s">
        <v>71</v>
      </c>
      <c r="MG34" s="15" t="s">
        <v>110</v>
      </c>
      <c r="MH34" s="15" t="s">
        <v>71</v>
      </c>
      <c r="MI34" s="15" t="s">
        <v>71</v>
      </c>
      <c r="MJ34" s="15" t="s">
        <v>71</v>
      </c>
      <c r="MK34" s="15" t="s">
        <v>71</v>
      </c>
      <c r="ML34" s="15" t="s">
        <v>71</v>
      </c>
      <c r="MM34" s="15" t="s">
        <v>71</v>
      </c>
      <c r="MN34" s="15" t="s">
        <v>71</v>
      </c>
      <c r="MO34" s="15" t="s">
        <v>71</v>
      </c>
      <c r="MP34" s="15" t="s">
        <v>71</v>
      </c>
      <c r="MQ34" s="15" t="s">
        <v>71</v>
      </c>
      <c r="MR34" s="15" t="s">
        <v>71</v>
      </c>
      <c r="MS34" s="15" t="s">
        <v>71</v>
      </c>
      <c r="MT34" s="15" t="s">
        <v>71</v>
      </c>
      <c r="MU34" s="15" t="s">
        <v>71</v>
      </c>
      <c r="MV34" s="15" t="s">
        <v>71</v>
      </c>
      <c r="MW34" s="15" t="s">
        <v>71</v>
      </c>
      <c r="MX34" s="15" t="s">
        <v>71</v>
      </c>
      <c r="MY34" s="15" t="s">
        <v>71</v>
      </c>
      <c r="MZ34" s="15" t="s">
        <v>71</v>
      </c>
      <c r="NA34" s="15" t="s">
        <v>71</v>
      </c>
      <c r="NB34" s="15" t="s">
        <v>71</v>
      </c>
      <c r="NC34" s="15" t="s">
        <v>71</v>
      </c>
      <c r="ND34" s="15" t="s">
        <v>71</v>
      </c>
      <c r="NE34" s="15" t="s">
        <v>71</v>
      </c>
      <c r="NF34" s="15" t="s">
        <v>71</v>
      </c>
      <c r="NG34" s="15" t="s">
        <v>71</v>
      </c>
      <c r="NH34" s="15" t="s">
        <v>71</v>
      </c>
      <c r="NI34" s="15" t="s">
        <v>71</v>
      </c>
      <c r="NJ34" s="15" t="s">
        <v>71</v>
      </c>
      <c r="NK34" s="15" t="s">
        <v>71</v>
      </c>
      <c r="NL34" s="15" t="s">
        <v>71</v>
      </c>
      <c r="NM34" s="15" t="s">
        <v>71</v>
      </c>
      <c r="NN34" s="20" t="s">
        <v>71</v>
      </c>
      <c r="NO34" s="15" t="s">
        <v>71</v>
      </c>
      <c r="NP34" s="20" t="s">
        <v>110</v>
      </c>
      <c r="NQ34" s="15" t="s">
        <v>71</v>
      </c>
      <c r="NR34" s="15" t="s">
        <v>71</v>
      </c>
      <c r="NS34" s="20" t="s">
        <v>71</v>
      </c>
      <c r="NT34" s="20" t="s">
        <v>71</v>
      </c>
      <c r="NU34" s="20" t="s">
        <v>71</v>
      </c>
      <c r="NV34" s="20" t="s">
        <v>71</v>
      </c>
      <c r="NW34" s="20" t="s">
        <v>71</v>
      </c>
      <c r="NX34" s="20" t="s">
        <v>71</v>
      </c>
      <c r="NY34" s="20" t="s">
        <v>71</v>
      </c>
      <c r="NZ34" s="20" t="s">
        <v>71</v>
      </c>
      <c r="OA34" s="20" t="s">
        <v>71</v>
      </c>
      <c r="OB34" s="20" t="s">
        <v>71</v>
      </c>
      <c r="OC34" s="20" t="s">
        <v>71</v>
      </c>
      <c r="OD34" s="20" t="s">
        <v>71</v>
      </c>
      <c r="OE34" s="20" t="s">
        <v>71</v>
      </c>
      <c r="OF34" s="20" t="s">
        <v>71</v>
      </c>
      <c r="OG34" s="20" t="s">
        <v>71</v>
      </c>
      <c r="OH34" s="20" t="s">
        <v>71</v>
      </c>
      <c r="OI34" s="20" t="s">
        <v>71</v>
      </c>
      <c r="OJ34" s="20" t="s">
        <v>71</v>
      </c>
      <c r="OK34" s="20" t="s">
        <v>71</v>
      </c>
      <c r="OL34" s="20" t="s">
        <v>71</v>
      </c>
      <c r="OM34" s="20" t="s">
        <v>71</v>
      </c>
      <c r="ON34" s="20" t="s">
        <v>71</v>
      </c>
      <c r="OO34" s="20" t="s">
        <v>71</v>
      </c>
      <c r="OP34" s="20" t="s">
        <v>71</v>
      </c>
      <c r="OQ34" s="20" t="s">
        <v>71</v>
      </c>
      <c r="OR34" s="20" t="s">
        <v>71</v>
      </c>
      <c r="OS34" s="20" t="s">
        <v>71</v>
      </c>
      <c r="OT34" s="20" t="s">
        <v>71</v>
      </c>
      <c r="OU34" s="20" t="s">
        <v>71</v>
      </c>
      <c r="OV34" s="20" t="s">
        <v>71</v>
      </c>
      <c r="OW34" s="20" t="s">
        <v>71</v>
      </c>
      <c r="OX34" s="20" t="s">
        <v>71</v>
      </c>
      <c r="OY34" s="20" t="s">
        <v>71</v>
      </c>
      <c r="OZ34" s="20" t="s">
        <v>71</v>
      </c>
      <c r="PA34" s="20" t="s">
        <v>71</v>
      </c>
      <c r="PB34" s="20" t="s">
        <v>71</v>
      </c>
      <c r="PC34" s="20" t="s">
        <v>71</v>
      </c>
      <c r="PD34" s="20" t="s">
        <v>71</v>
      </c>
      <c r="PE34" s="20" t="s">
        <v>71</v>
      </c>
      <c r="PF34" s="20" t="s">
        <v>71</v>
      </c>
      <c r="PG34" s="20" t="s">
        <v>71</v>
      </c>
      <c r="PH34" s="20" t="s">
        <v>71</v>
      </c>
      <c r="PI34" s="20" t="s">
        <v>71</v>
      </c>
      <c r="PJ34" s="20" t="s">
        <v>71</v>
      </c>
      <c r="PK34" s="20" t="s">
        <v>71</v>
      </c>
      <c r="PL34" s="20" t="s">
        <v>71</v>
      </c>
      <c r="PM34" s="20" t="s">
        <v>71</v>
      </c>
      <c r="PN34" s="20" t="s">
        <v>71</v>
      </c>
      <c r="PO34" s="20" t="s">
        <v>71</v>
      </c>
      <c r="PP34" s="20" t="s">
        <v>71</v>
      </c>
      <c r="PQ34" s="20" t="s">
        <v>71</v>
      </c>
      <c r="PR34" s="20" t="s">
        <v>71</v>
      </c>
      <c r="PS34" s="20" t="s">
        <v>71</v>
      </c>
      <c r="PT34" s="20" t="s">
        <v>71</v>
      </c>
      <c r="PU34" s="20" t="s">
        <v>71</v>
      </c>
      <c r="PV34" s="20" t="s">
        <v>71</v>
      </c>
      <c r="PW34" s="20" t="s">
        <v>71</v>
      </c>
      <c r="PX34" s="20" t="s">
        <v>71</v>
      </c>
      <c r="PY34" s="20" t="s">
        <v>71</v>
      </c>
      <c r="PZ34" s="20" t="s">
        <v>71</v>
      </c>
      <c r="QA34" s="20" t="s">
        <v>71</v>
      </c>
      <c r="QB34" s="20" t="s">
        <v>71</v>
      </c>
      <c r="QC34" s="20" t="s">
        <v>71</v>
      </c>
      <c r="QD34" s="20" t="s">
        <v>71</v>
      </c>
      <c r="QE34" s="20" t="s">
        <v>71</v>
      </c>
      <c r="QF34" s="20" t="s">
        <v>71</v>
      </c>
      <c r="QG34" s="20" t="s">
        <v>71</v>
      </c>
      <c r="QH34" s="20" t="s">
        <v>110</v>
      </c>
      <c r="QI34" s="20" t="s">
        <v>71</v>
      </c>
      <c r="QJ34" s="20" t="s">
        <v>71</v>
      </c>
      <c r="QK34" s="20" t="s">
        <v>71</v>
      </c>
      <c r="QL34" s="20" t="s">
        <v>71</v>
      </c>
      <c r="QM34" s="20" t="s">
        <v>71</v>
      </c>
      <c r="QN34" s="20" t="s">
        <v>71</v>
      </c>
      <c r="QO34" s="20" t="s">
        <v>71</v>
      </c>
      <c r="QP34" s="20" t="s">
        <v>71</v>
      </c>
      <c r="QQ34" s="20" t="s">
        <v>71</v>
      </c>
      <c r="QR34" s="20" t="s">
        <v>71</v>
      </c>
      <c r="QS34" s="20" t="s">
        <v>71</v>
      </c>
      <c r="QT34" s="20" t="s">
        <v>71</v>
      </c>
      <c r="QU34" s="20" t="s">
        <v>71</v>
      </c>
      <c r="QV34" s="20" t="s">
        <v>71</v>
      </c>
      <c r="QW34" s="20" t="s">
        <v>71</v>
      </c>
      <c r="QX34" s="20" t="s">
        <v>71</v>
      </c>
      <c r="QY34" s="20" t="s">
        <v>71</v>
      </c>
      <c r="QZ34" s="20" t="s">
        <v>71</v>
      </c>
      <c r="RA34" s="20" t="s">
        <v>71</v>
      </c>
      <c r="RB34" s="20" t="s">
        <v>71</v>
      </c>
      <c r="RC34" s="20" t="s">
        <v>71</v>
      </c>
      <c r="RD34" s="20" t="s">
        <v>71</v>
      </c>
      <c r="RE34" s="20" t="s">
        <v>71</v>
      </c>
      <c r="RF34" s="20" t="s">
        <v>71</v>
      </c>
      <c r="RG34" s="20" t="s">
        <v>71</v>
      </c>
      <c r="RH34" s="20" t="s">
        <v>71</v>
      </c>
      <c r="RI34" s="20" t="s">
        <v>71</v>
      </c>
      <c r="RJ34" s="20" t="s">
        <v>71</v>
      </c>
      <c r="RK34" s="20" t="s">
        <v>71</v>
      </c>
      <c r="RL34" s="20" t="s">
        <v>71</v>
      </c>
      <c r="RM34" s="20" t="s">
        <v>71</v>
      </c>
      <c r="RN34" s="20" t="s">
        <v>71</v>
      </c>
      <c r="RO34" s="20" t="s">
        <v>71</v>
      </c>
      <c r="RP34" s="20" t="s">
        <v>71</v>
      </c>
      <c r="RQ34" s="20" t="s">
        <v>71</v>
      </c>
      <c r="RR34" s="15" t="s">
        <v>71</v>
      </c>
      <c r="RS34" s="15"/>
      <c r="RT34" s="20" t="s">
        <v>71</v>
      </c>
      <c r="RU34" s="20" t="s">
        <v>71</v>
      </c>
      <c r="RV34" s="20" t="s">
        <v>71</v>
      </c>
      <c r="RW34" s="20" t="s">
        <v>71</v>
      </c>
      <c r="RX34" s="20" t="s">
        <v>71</v>
      </c>
      <c r="RY34" s="20" t="s">
        <v>71</v>
      </c>
      <c r="RZ34" s="20" t="s">
        <v>71</v>
      </c>
      <c r="SA34" s="15" t="s">
        <v>71</v>
      </c>
      <c r="SB34" s="20" t="s">
        <v>71</v>
      </c>
      <c r="SC34" s="20" t="s">
        <v>71</v>
      </c>
      <c r="SD34" s="20" t="s">
        <v>71</v>
      </c>
      <c r="SE34" s="20" t="s">
        <v>71</v>
      </c>
      <c r="SF34" s="20" t="s">
        <v>71</v>
      </c>
      <c r="SG34" s="20" t="s">
        <v>71</v>
      </c>
      <c r="SH34" s="20" t="s">
        <v>71</v>
      </c>
      <c r="SI34" s="20" t="s">
        <v>71</v>
      </c>
      <c r="SJ34" s="20" t="s">
        <v>71</v>
      </c>
      <c r="SK34" s="20" t="s">
        <v>71</v>
      </c>
      <c r="SL34" s="20" t="s">
        <v>71</v>
      </c>
      <c r="SM34" s="20" t="s">
        <v>71</v>
      </c>
      <c r="SN34" s="20" t="s">
        <v>71</v>
      </c>
      <c r="SO34" s="20" t="s">
        <v>71</v>
      </c>
      <c r="SP34" s="20" t="s">
        <v>71</v>
      </c>
      <c r="SQ34" s="20" t="s">
        <v>71</v>
      </c>
      <c r="SR34" s="20" t="s">
        <v>71</v>
      </c>
      <c r="SS34" s="20" t="s">
        <v>71</v>
      </c>
      <c r="ST34" s="20" t="s">
        <v>71</v>
      </c>
      <c r="SU34" s="20" t="s">
        <v>71</v>
      </c>
      <c r="SV34" s="20" t="s">
        <v>71</v>
      </c>
      <c r="SW34" s="20" t="s">
        <v>71</v>
      </c>
      <c r="SX34" s="20" t="s">
        <v>71</v>
      </c>
      <c r="SY34" s="20" t="s">
        <v>71</v>
      </c>
      <c r="SZ34" s="20" t="s">
        <v>71</v>
      </c>
      <c r="TA34" s="20" t="s">
        <v>71</v>
      </c>
      <c r="TB34" s="20" t="s">
        <v>71</v>
      </c>
      <c r="TC34" s="20" t="s">
        <v>71</v>
      </c>
      <c r="TD34" s="20" t="s">
        <v>71</v>
      </c>
      <c r="TE34" s="20" t="s">
        <v>71</v>
      </c>
      <c r="TF34" s="20" t="s">
        <v>71</v>
      </c>
      <c r="TG34" s="20" t="s">
        <v>71</v>
      </c>
      <c r="TH34" s="20" t="s">
        <v>71</v>
      </c>
      <c r="TI34" s="20" t="s">
        <v>71</v>
      </c>
      <c r="TJ34" s="20" t="s">
        <v>71</v>
      </c>
      <c r="TK34" s="20" t="s">
        <v>71</v>
      </c>
      <c r="TL34" s="20" t="s">
        <v>71</v>
      </c>
      <c r="TM34" s="20" t="s">
        <v>71</v>
      </c>
      <c r="TN34" s="20" t="s">
        <v>71</v>
      </c>
      <c r="TO34" s="20" t="s">
        <v>71</v>
      </c>
      <c r="TP34" s="20" t="s">
        <v>71</v>
      </c>
      <c r="TQ34" s="20" t="s">
        <v>71</v>
      </c>
      <c r="TR34" s="20" t="s">
        <v>71</v>
      </c>
      <c r="TS34" s="20" t="s">
        <v>71</v>
      </c>
      <c r="TT34" s="20" t="s">
        <v>71</v>
      </c>
      <c r="TU34" s="20" t="s">
        <v>71</v>
      </c>
      <c r="TV34" s="20" t="s">
        <v>71</v>
      </c>
      <c r="TW34" s="20" t="s">
        <v>71</v>
      </c>
      <c r="TX34" s="20" t="s">
        <v>71</v>
      </c>
      <c r="TY34" s="20" t="s">
        <v>71</v>
      </c>
      <c r="TZ34" s="20" t="s">
        <v>71</v>
      </c>
      <c r="UA34" s="20" t="s">
        <v>71</v>
      </c>
      <c r="UB34" s="20" t="s">
        <v>71</v>
      </c>
      <c r="UC34" s="20" t="s">
        <v>71</v>
      </c>
      <c r="UD34" s="20" t="s">
        <v>71</v>
      </c>
      <c r="UE34" s="20" t="s">
        <v>71</v>
      </c>
      <c r="UF34" s="20" t="s">
        <v>71</v>
      </c>
      <c r="UG34" s="20" t="s">
        <v>71</v>
      </c>
      <c r="UH34" s="20" t="s">
        <v>71</v>
      </c>
      <c r="UI34" s="20" t="s">
        <v>71</v>
      </c>
      <c r="UJ34" s="20" t="s">
        <v>71</v>
      </c>
      <c r="UK34" s="20" t="s">
        <v>71</v>
      </c>
      <c r="UL34" s="20" t="s">
        <v>71</v>
      </c>
      <c r="UM34" s="20" t="s">
        <v>71</v>
      </c>
      <c r="UN34" s="20" t="s">
        <v>71</v>
      </c>
      <c r="UO34" s="20" t="s">
        <v>71</v>
      </c>
      <c r="UP34" s="20" t="s">
        <v>110</v>
      </c>
      <c r="UQ34" s="20" t="s">
        <v>71</v>
      </c>
      <c r="UR34" s="20" t="s">
        <v>71</v>
      </c>
      <c r="US34" s="20" t="s">
        <v>71</v>
      </c>
      <c r="UT34" s="20" t="s">
        <v>71</v>
      </c>
      <c r="UU34" s="20" t="s">
        <v>71</v>
      </c>
      <c r="UV34" s="20" t="s">
        <v>71</v>
      </c>
      <c r="UW34" s="20" t="s">
        <v>71</v>
      </c>
      <c r="UX34" s="20" t="s">
        <v>71</v>
      </c>
      <c r="UY34" s="20" t="s">
        <v>71</v>
      </c>
      <c r="UZ34" s="20" t="s">
        <v>71</v>
      </c>
      <c r="VA34" s="20" t="s">
        <v>71</v>
      </c>
      <c r="VB34" s="20" t="s">
        <v>71</v>
      </c>
      <c r="VC34" s="20" t="s">
        <v>71</v>
      </c>
      <c r="VD34" s="20" t="s">
        <v>71</v>
      </c>
      <c r="VE34" s="20" t="s">
        <v>71</v>
      </c>
      <c r="VF34" s="20" t="s">
        <v>71</v>
      </c>
      <c r="VG34" s="20" t="s">
        <v>71</v>
      </c>
      <c r="VH34" s="20" t="s">
        <v>71</v>
      </c>
      <c r="VI34" s="20" t="s">
        <v>71</v>
      </c>
      <c r="VJ34" s="20" t="s">
        <v>71</v>
      </c>
      <c r="VK34" s="20" t="s">
        <v>71</v>
      </c>
      <c r="VL34" s="20" t="s">
        <v>71</v>
      </c>
      <c r="VM34" s="20" t="s">
        <v>71</v>
      </c>
      <c r="VN34" s="20" t="s">
        <v>71</v>
      </c>
      <c r="VO34" s="20" t="s">
        <v>71</v>
      </c>
      <c r="VP34" s="20" t="s">
        <v>71</v>
      </c>
      <c r="VQ34" s="20" t="s">
        <v>71</v>
      </c>
      <c r="VR34" s="20" t="s">
        <v>71</v>
      </c>
      <c r="VS34" s="20" t="s">
        <v>71</v>
      </c>
      <c r="VT34" s="20" t="s">
        <v>71</v>
      </c>
      <c r="VU34" s="20" t="s">
        <v>71</v>
      </c>
      <c r="VV34" s="20" t="s">
        <v>71</v>
      </c>
      <c r="VW34" s="20" t="s">
        <v>71</v>
      </c>
      <c r="VX34" s="20" t="s">
        <v>71</v>
      </c>
      <c r="VY34" s="20" t="s">
        <v>71</v>
      </c>
      <c r="VZ34" s="20" t="s">
        <v>71</v>
      </c>
      <c r="WA34" s="15" t="s">
        <v>71</v>
      </c>
      <c r="WB34" s="15" t="s">
        <v>71</v>
      </c>
      <c r="WC34" s="15" t="s">
        <v>71</v>
      </c>
      <c r="WD34" s="15" t="s">
        <v>71</v>
      </c>
      <c r="WE34" s="20" t="s">
        <v>71</v>
      </c>
      <c r="WF34" s="20" t="s">
        <v>71</v>
      </c>
      <c r="WG34" s="20" t="s">
        <v>71</v>
      </c>
      <c r="WH34" s="20" t="s">
        <v>71</v>
      </c>
      <c r="WI34" s="20" t="s">
        <v>71</v>
      </c>
      <c r="WJ34" s="20" t="s">
        <v>71</v>
      </c>
      <c r="WK34" s="20" t="s">
        <v>71</v>
      </c>
      <c r="WL34" s="20" t="s">
        <v>71</v>
      </c>
      <c r="WM34" s="20" t="s">
        <v>71</v>
      </c>
      <c r="WN34" s="20" t="s">
        <v>71</v>
      </c>
      <c r="WO34" s="20" t="s">
        <v>71</v>
      </c>
      <c r="WP34" s="20" t="s">
        <v>71</v>
      </c>
      <c r="WQ34" s="20" t="s">
        <v>71</v>
      </c>
      <c r="WR34" s="20" t="s">
        <v>71</v>
      </c>
      <c r="WS34" s="20" t="s">
        <v>71</v>
      </c>
      <c r="WT34" s="20" t="s">
        <v>71</v>
      </c>
      <c r="WU34" s="20" t="s">
        <v>71</v>
      </c>
      <c r="WV34" s="20" t="s">
        <v>71</v>
      </c>
      <c r="WW34" s="20" t="s">
        <v>71</v>
      </c>
      <c r="WX34" s="20" t="s">
        <v>71</v>
      </c>
      <c r="WY34" s="20" t="s">
        <v>71</v>
      </c>
      <c r="WZ34" s="20" t="s">
        <v>71</v>
      </c>
      <c r="XA34" s="20" t="s">
        <v>71</v>
      </c>
      <c r="XB34" s="20" t="s">
        <v>71</v>
      </c>
      <c r="XC34" s="20" t="s">
        <v>71</v>
      </c>
      <c r="XD34" s="20" t="s">
        <v>71</v>
      </c>
      <c r="XE34" s="20" t="s">
        <v>71</v>
      </c>
      <c r="XF34" s="20" t="s">
        <v>71</v>
      </c>
      <c r="XG34" s="20" t="s">
        <v>71</v>
      </c>
      <c r="XH34" s="20" t="s">
        <v>71</v>
      </c>
      <c r="XI34" s="20" t="s">
        <v>71</v>
      </c>
      <c r="XJ34" s="20" t="s">
        <v>71</v>
      </c>
      <c r="XK34" s="20" t="s">
        <v>71</v>
      </c>
      <c r="XL34" s="20" t="s">
        <v>71</v>
      </c>
      <c r="XM34" s="20" t="s">
        <v>71</v>
      </c>
      <c r="XN34" s="20" t="s">
        <v>71</v>
      </c>
      <c r="XO34" s="20" t="s">
        <v>71</v>
      </c>
      <c r="XP34" s="20" t="s">
        <v>71</v>
      </c>
      <c r="XQ34" s="20" t="s">
        <v>71</v>
      </c>
      <c r="XR34" s="20" t="s">
        <v>71</v>
      </c>
      <c r="XS34" s="20" t="s">
        <v>71</v>
      </c>
      <c r="XT34" s="20" t="s">
        <v>71</v>
      </c>
      <c r="XU34" s="20" t="s">
        <v>71</v>
      </c>
      <c r="XV34" s="20" t="s">
        <v>71</v>
      </c>
      <c r="XW34" s="20" t="s">
        <v>71</v>
      </c>
      <c r="XX34" s="20" t="s">
        <v>71</v>
      </c>
      <c r="XY34" s="20" t="s">
        <v>71</v>
      </c>
      <c r="XZ34" s="20" t="s">
        <v>71</v>
      </c>
      <c r="YA34" s="20" t="s">
        <v>71</v>
      </c>
      <c r="YB34" s="20" t="s">
        <v>71</v>
      </c>
      <c r="YC34" s="20" t="s">
        <v>71</v>
      </c>
      <c r="YD34" s="20" t="s">
        <v>71</v>
      </c>
      <c r="YE34" s="20" t="s">
        <v>71</v>
      </c>
      <c r="YF34" s="20" t="s">
        <v>71</v>
      </c>
      <c r="YG34" s="20" t="s">
        <v>71</v>
      </c>
      <c r="YH34" s="20" t="s">
        <v>71</v>
      </c>
      <c r="YI34" s="20" t="s">
        <v>71</v>
      </c>
      <c r="YJ34" s="20" t="s">
        <v>71</v>
      </c>
      <c r="YK34" s="20" t="s">
        <v>71</v>
      </c>
      <c r="YL34" s="20" t="s">
        <v>71</v>
      </c>
      <c r="YM34" s="20" t="s">
        <v>71</v>
      </c>
      <c r="YN34" s="20" t="s">
        <v>71</v>
      </c>
      <c r="YO34" s="20" t="s">
        <v>71</v>
      </c>
      <c r="YP34" s="20" t="s">
        <v>71</v>
      </c>
      <c r="YQ34" s="20" t="s">
        <v>71</v>
      </c>
      <c r="YR34" s="20" t="s">
        <v>71</v>
      </c>
      <c r="YS34" s="20" t="s">
        <v>71</v>
      </c>
      <c r="YT34" s="20" t="s">
        <v>71</v>
      </c>
      <c r="YU34" s="20" t="s">
        <v>71</v>
      </c>
      <c r="YV34" s="20" t="s">
        <v>71</v>
      </c>
      <c r="YW34" s="20" t="s">
        <v>71</v>
      </c>
      <c r="YX34" s="20" t="s">
        <v>71</v>
      </c>
      <c r="YY34" s="20" t="s">
        <v>71</v>
      </c>
      <c r="YZ34" s="20" t="s">
        <v>71</v>
      </c>
      <c r="ZA34" s="20" t="s">
        <v>71</v>
      </c>
      <c r="ZB34" s="20" t="s">
        <v>71</v>
      </c>
      <c r="ZC34" s="20" t="s">
        <v>71</v>
      </c>
      <c r="ZD34" s="20" t="s">
        <v>71</v>
      </c>
      <c r="ZE34" s="20" t="s">
        <v>71</v>
      </c>
      <c r="ZF34" s="20" t="s">
        <v>71</v>
      </c>
      <c r="ZG34" s="20" t="s">
        <v>71</v>
      </c>
      <c r="ZH34" s="20" t="s">
        <v>71</v>
      </c>
      <c r="ZI34" s="20" t="s">
        <v>71</v>
      </c>
      <c r="ZJ34" s="20" t="s">
        <v>71</v>
      </c>
      <c r="ZK34" s="15" t="s">
        <v>71</v>
      </c>
      <c r="ZL34" s="15" t="s">
        <v>71</v>
      </c>
      <c r="ZM34" s="15" t="s">
        <v>71</v>
      </c>
      <c r="ZN34" s="15" t="s">
        <v>71</v>
      </c>
      <c r="ZO34" s="15" t="s">
        <v>71</v>
      </c>
      <c r="ZP34" s="15" t="s">
        <v>71</v>
      </c>
      <c r="ZQ34" s="15" t="s">
        <v>71</v>
      </c>
      <c r="ZR34" s="15" t="s">
        <v>71</v>
      </c>
      <c r="ZS34" s="15" t="s">
        <v>71</v>
      </c>
      <c r="ZT34" s="15" t="s">
        <v>71</v>
      </c>
      <c r="ZU34" s="15" t="s">
        <v>71</v>
      </c>
      <c r="ZV34" s="15" t="s">
        <v>71</v>
      </c>
      <c r="ZW34" s="15" t="s">
        <v>71</v>
      </c>
      <c r="ZX34" s="15" t="s">
        <v>71</v>
      </c>
      <c r="ZY34" s="15" t="s">
        <v>71</v>
      </c>
      <c r="ZZ34" s="15" t="s">
        <v>71</v>
      </c>
      <c r="AAA34" s="15" t="s">
        <v>71</v>
      </c>
      <c r="AAB34" s="15" t="s">
        <v>71</v>
      </c>
      <c r="AAC34" s="15" t="s">
        <v>71</v>
      </c>
      <c r="AAD34" s="15" t="s">
        <v>71</v>
      </c>
      <c r="AAE34" s="15" t="s">
        <v>71</v>
      </c>
      <c r="AAF34" s="15" t="s">
        <v>71</v>
      </c>
      <c r="AAG34" s="15" t="s">
        <v>71</v>
      </c>
      <c r="AAH34" s="15" t="s">
        <v>71</v>
      </c>
      <c r="AAI34" s="15" t="s">
        <v>71</v>
      </c>
      <c r="AAJ34" s="15" t="s">
        <v>71</v>
      </c>
      <c r="AAK34" s="15" t="s">
        <v>71</v>
      </c>
      <c r="AAL34" s="15"/>
      <c r="AAM34" s="20" t="s">
        <v>71</v>
      </c>
      <c r="AAN34" s="20" t="s">
        <v>71</v>
      </c>
      <c r="AAO34" s="20" t="s">
        <v>71</v>
      </c>
      <c r="AAP34" s="20" t="s">
        <v>71</v>
      </c>
      <c r="AAQ34" s="20" t="s">
        <v>71</v>
      </c>
      <c r="AAR34" s="20" t="s">
        <v>71</v>
      </c>
      <c r="AAS34" s="20" t="s">
        <v>71</v>
      </c>
      <c r="AAT34" s="20" t="s">
        <v>71</v>
      </c>
      <c r="AAU34" s="20" t="s">
        <v>71</v>
      </c>
      <c r="AAV34" s="15" t="s">
        <v>71</v>
      </c>
      <c r="AAW34" s="15" t="s">
        <v>71</v>
      </c>
      <c r="AAX34" s="15"/>
      <c r="AAY34" s="20" t="s">
        <v>71</v>
      </c>
      <c r="AAZ34" s="20" t="s">
        <v>71</v>
      </c>
      <c r="ABA34" s="20" t="s">
        <v>71</v>
      </c>
      <c r="ABB34" s="20" t="s">
        <v>71</v>
      </c>
      <c r="ABC34" s="20" t="s">
        <v>71</v>
      </c>
      <c r="ABD34" s="20" t="s">
        <v>71</v>
      </c>
      <c r="ABE34" s="20" t="s">
        <v>71</v>
      </c>
      <c r="ABF34" s="20" t="s">
        <v>71</v>
      </c>
      <c r="ABG34" s="20" t="s">
        <v>71</v>
      </c>
      <c r="ABH34" s="15" t="s">
        <v>71</v>
      </c>
      <c r="ABI34" s="20" t="s">
        <v>71</v>
      </c>
      <c r="ABJ34" s="15" t="s">
        <v>299</v>
      </c>
      <c r="ABK34" s="20" t="s">
        <v>110</v>
      </c>
      <c r="ABL34" s="20" t="s">
        <v>110</v>
      </c>
      <c r="ABM34" s="20" t="s">
        <v>110</v>
      </c>
      <c r="ABN34" s="20" t="s">
        <v>110</v>
      </c>
      <c r="ABO34" s="20" t="s">
        <v>110</v>
      </c>
      <c r="ABP34" s="20" t="s">
        <v>110</v>
      </c>
      <c r="ABQ34" s="20" t="s">
        <v>110</v>
      </c>
      <c r="ABR34" s="20" t="s">
        <v>71</v>
      </c>
      <c r="ABS34" s="20" t="s">
        <v>299</v>
      </c>
      <c r="ABT34" s="20" t="s">
        <v>110</v>
      </c>
      <c r="ABU34" s="20" t="s">
        <v>110</v>
      </c>
      <c r="ABV34" s="20" t="s">
        <v>110</v>
      </c>
      <c r="ABW34" s="20" t="s">
        <v>110</v>
      </c>
      <c r="ABX34" s="20" t="s">
        <v>110</v>
      </c>
      <c r="ABY34" s="20" t="s">
        <v>110</v>
      </c>
      <c r="ABZ34" s="20" t="s">
        <v>71</v>
      </c>
      <c r="ACA34" s="20" t="s">
        <v>110</v>
      </c>
      <c r="ACB34" s="20" t="s">
        <v>299</v>
      </c>
      <c r="ACC34" s="20" t="s">
        <v>71</v>
      </c>
      <c r="ACD34" s="20" t="s">
        <v>71</v>
      </c>
      <c r="ACE34" s="20" t="s">
        <v>71</v>
      </c>
      <c r="ACF34" s="20" t="s">
        <v>71</v>
      </c>
      <c r="ACG34" s="20" t="s">
        <v>71</v>
      </c>
      <c r="ACH34" s="15" t="s">
        <v>71</v>
      </c>
      <c r="ACI34" s="15" t="s">
        <v>71</v>
      </c>
      <c r="ACJ34" s="15" t="s">
        <v>71</v>
      </c>
      <c r="ACK34" s="15" t="s">
        <v>71</v>
      </c>
      <c r="ACL34" s="15" t="s">
        <v>71</v>
      </c>
      <c r="ACM34" s="15" t="s">
        <v>71</v>
      </c>
      <c r="ACN34" s="15" t="s">
        <v>71</v>
      </c>
      <c r="ACO34" s="15" t="s">
        <v>71</v>
      </c>
      <c r="ACP34" s="15" t="s">
        <v>71</v>
      </c>
      <c r="ACQ34" s="15" t="s">
        <v>71</v>
      </c>
      <c r="ACR34" s="15" t="s">
        <v>71</v>
      </c>
      <c r="ACS34" s="15" t="s">
        <v>71</v>
      </c>
      <c r="ACT34" s="15" t="s">
        <v>71</v>
      </c>
      <c r="ACU34" s="15" t="s">
        <v>71</v>
      </c>
      <c r="ACV34" s="15" t="s">
        <v>71</v>
      </c>
      <c r="ACW34" s="15" t="s">
        <v>71</v>
      </c>
      <c r="ACX34" s="15" t="s">
        <v>71</v>
      </c>
      <c r="ACY34" s="15" t="s">
        <v>71</v>
      </c>
      <c r="ACZ34" s="15" t="s">
        <v>71</v>
      </c>
      <c r="ADA34" s="15" t="s">
        <v>71</v>
      </c>
      <c r="ADB34" s="15" t="s">
        <v>71</v>
      </c>
      <c r="ADC34" s="15" t="s">
        <v>71</v>
      </c>
      <c r="ADD34" s="20" t="s">
        <v>110</v>
      </c>
      <c r="ADE34" s="15" t="s">
        <v>71</v>
      </c>
      <c r="ADF34" s="15" t="s">
        <v>71</v>
      </c>
      <c r="ADG34" s="15" t="s">
        <v>71</v>
      </c>
      <c r="ADH34" s="15"/>
      <c r="ADI34" s="20" t="s">
        <v>71</v>
      </c>
      <c r="ADJ34" s="20" t="s">
        <v>71</v>
      </c>
      <c r="ADK34" s="20" t="s">
        <v>71</v>
      </c>
      <c r="ADL34" s="20" t="s">
        <v>71</v>
      </c>
      <c r="ADM34" s="20" t="s">
        <v>71</v>
      </c>
      <c r="ADN34" s="20" t="s">
        <v>71</v>
      </c>
      <c r="ADO34" s="20" t="s">
        <v>71</v>
      </c>
      <c r="ADP34" s="20" t="s">
        <v>71</v>
      </c>
      <c r="ADQ34" s="20" t="s">
        <v>71</v>
      </c>
      <c r="ADR34" s="15" t="s">
        <v>71</v>
      </c>
      <c r="ADS34" s="20" t="s">
        <v>71</v>
      </c>
      <c r="ADT34" s="15" t="s">
        <v>299</v>
      </c>
      <c r="ADU34" s="20" t="s">
        <v>110</v>
      </c>
      <c r="ADV34" s="20" t="s">
        <v>110</v>
      </c>
      <c r="ADW34" s="20" t="s">
        <v>110</v>
      </c>
      <c r="ADX34" s="20" t="s">
        <v>110</v>
      </c>
      <c r="ADY34" s="20" t="s">
        <v>110</v>
      </c>
      <c r="ADZ34" s="20" t="s">
        <v>110</v>
      </c>
      <c r="AEA34" s="20" t="s">
        <v>110</v>
      </c>
      <c r="AEB34" s="20" t="s">
        <v>71</v>
      </c>
      <c r="AEC34" s="20" t="s">
        <v>299</v>
      </c>
      <c r="AED34" s="20" t="s">
        <v>110</v>
      </c>
      <c r="AEE34" s="20" t="s">
        <v>110</v>
      </c>
      <c r="AEF34" s="20" t="s">
        <v>110</v>
      </c>
      <c r="AEG34" s="20" t="s">
        <v>110</v>
      </c>
      <c r="AEH34" s="20" t="s">
        <v>110</v>
      </c>
      <c r="AEI34" s="20" t="s">
        <v>110</v>
      </c>
      <c r="AEJ34" s="20" t="s">
        <v>71</v>
      </c>
      <c r="AEK34" s="20" t="s">
        <v>110</v>
      </c>
      <c r="AEL34" s="20" t="s">
        <v>299</v>
      </c>
      <c r="AEM34" s="20" t="s">
        <v>71</v>
      </c>
      <c r="AEN34" s="20" t="s">
        <v>71</v>
      </c>
      <c r="AEO34" s="20" t="s">
        <v>71</v>
      </c>
      <c r="AEP34" s="20" t="s">
        <v>71</v>
      </c>
      <c r="AEQ34" s="20" t="s">
        <v>71</v>
      </c>
      <c r="AER34" s="15" t="s">
        <v>71</v>
      </c>
      <c r="AES34" s="15" t="s">
        <v>71</v>
      </c>
      <c r="AET34" s="15" t="s">
        <v>71</v>
      </c>
      <c r="AEU34" s="15" t="s">
        <v>71</v>
      </c>
      <c r="AEV34" s="15" t="s">
        <v>71</v>
      </c>
      <c r="AEW34" s="15" t="s">
        <v>71</v>
      </c>
      <c r="AEX34" s="15" t="s">
        <v>71</v>
      </c>
      <c r="AEY34" s="15" t="s">
        <v>71</v>
      </c>
      <c r="AEZ34" s="15" t="s">
        <v>71</v>
      </c>
      <c r="AFA34" s="15" t="s">
        <v>71</v>
      </c>
      <c r="AFB34" s="15" t="s">
        <v>71</v>
      </c>
      <c r="AFC34" s="15" t="s">
        <v>71</v>
      </c>
      <c r="AFD34" s="15" t="s">
        <v>71</v>
      </c>
      <c r="AFE34" s="15" t="s">
        <v>71</v>
      </c>
      <c r="AFF34" s="15" t="s">
        <v>71</v>
      </c>
      <c r="AFG34" s="15" t="s">
        <v>71</v>
      </c>
      <c r="AFH34" s="15" t="s">
        <v>71</v>
      </c>
      <c r="AFI34" s="15" t="s">
        <v>71</v>
      </c>
      <c r="AFJ34" s="15" t="s">
        <v>71</v>
      </c>
      <c r="AFK34" s="15" t="s">
        <v>71</v>
      </c>
      <c r="AFL34" s="15" t="s">
        <v>71</v>
      </c>
      <c r="AFM34" s="15" t="s">
        <v>71</v>
      </c>
      <c r="AFN34" s="20" t="s">
        <v>110</v>
      </c>
      <c r="AFO34" s="15" t="s">
        <v>71</v>
      </c>
      <c r="AFP34" s="15" t="s">
        <v>71</v>
      </c>
      <c r="AFQ34" s="15" t="s">
        <v>71</v>
      </c>
      <c r="AFR34" s="15"/>
      <c r="AFS34" s="15" t="s">
        <v>71</v>
      </c>
      <c r="AFT34" s="15" t="s">
        <v>71</v>
      </c>
      <c r="AFU34" s="15" t="s">
        <v>71</v>
      </c>
      <c r="AFV34" s="15" t="s">
        <v>71</v>
      </c>
      <c r="AFW34" s="15" t="s">
        <v>71</v>
      </c>
      <c r="AFX34" s="15" t="s">
        <v>71</v>
      </c>
      <c r="AFY34" s="15" t="s">
        <v>71</v>
      </c>
      <c r="AFZ34" s="15" t="s">
        <v>71</v>
      </c>
      <c r="AGA34" s="15" t="s">
        <v>71</v>
      </c>
      <c r="AGB34" s="15" t="s">
        <v>71</v>
      </c>
      <c r="AGC34" s="15" t="s">
        <v>71</v>
      </c>
      <c r="AGD34" s="15" t="s">
        <v>71</v>
      </c>
      <c r="AGE34" s="15" t="s">
        <v>71</v>
      </c>
      <c r="AGF34" s="15" t="s">
        <v>71</v>
      </c>
      <c r="AGG34" s="15" t="s">
        <v>71</v>
      </c>
      <c r="AGH34" s="15" t="s">
        <v>71</v>
      </c>
      <c r="AGI34" s="15" t="s">
        <v>71</v>
      </c>
      <c r="AGJ34" s="15" t="s">
        <v>71</v>
      </c>
      <c r="AGK34" s="15" t="s">
        <v>71</v>
      </c>
      <c r="AGL34" s="15" t="s">
        <v>71</v>
      </c>
      <c r="AGM34" s="15" t="s">
        <v>71</v>
      </c>
      <c r="AGN34" s="15" t="s">
        <v>71</v>
      </c>
      <c r="AGO34" s="15" t="s">
        <v>71</v>
      </c>
      <c r="AGP34" s="15" t="s">
        <v>110</v>
      </c>
      <c r="AGQ34" s="15" t="s">
        <v>110</v>
      </c>
      <c r="AGR34" s="15" t="s">
        <v>110</v>
      </c>
      <c r="AGS34" s="15" t="s">
        <v>110</v>
      </c>
      <c r="AGT34" s="15" t="s">
        <v>71</v>
      </c>
      <c r="AGU34" s="15" t="s">
        <v>71</v>
      </c>
      <c r="AGV34" s="15" t="s">
        <v>71</v>
      </c>
      <c r="AGW34" s="15" t="s">
        <v>71</v>
      </c>
      <c r="AGX34" s="15" t="s">
        <v>71</v>
      </c>
      <c r="AGY34" s="15" t="s">
        <v>71</v>
      </c>
      <c r="AGZ34" s="15" t="s">
        <v>71</v>
      </c>
      <c r="AHA34" s="15" t="s">
        <v>71</v>
      </c>
      <c r="AHB34" s="15" t="s">
        <v>71</v>
      </c>
      <c r="AHC34" s="15" t="s">
        <v>71</v>
      </c>
      <c r="AHD34" s="15" t="s">
        <v>71</v>
      </c>
      <c r="AHE34" s="15" t="s">
        <v>71</v>
      </c>
      <c r="AHF34" s="15" t="s">
        <v>71</v>
      </c>
      <c r="AHG34" s="15" t="s">
        <v>71</v>
      </c>
      <c r="AHH34" s="15" t="s">
        <v>71</v>
      </c>
      <c r="AHI34" s="15" t="s">
        <v>71</v>
      </c>
      <c r="AHJ34" s="15" t="s">
        <v>71</v>
      </c>
      <c r="AHK34" s="15" t="s">
        <v>71</v>
      </c>
      <c r="AHL34" s="15" t="s">
        <v>110</v>
      </c>
      <c r="AHM34" s="15" t="s">
        <v>110</v>
      </c>
      <c r="AHN34" s="15" t="s">
        <v>110</v>
      </c>
      <c r="AHO34" s="15" t="s">
        <v>110</v>
      </c>
      <c r="AHP34" s="15" t="s">
        <v>71</v>
      </c>
      <c r="AHQ34" s="15" t="s">
        <v>71</v>
      </c>
      <c r="AHR34" s="15" t="s">
        <v>299</v>
      </c>
      <c r="AHS34" s="15" t="s">
        <v>110</v>
      </c>
      <c r="AHT34" s="15" t="s">
        <v>71</v>
      </c>
      <c r="AHU34" s="15" t="s">
        <v>71</v>
      </c>
      <c r="AHV34" s="15" t="s">
        <v>71</v>
      </c>
      <c r="AHW34" s="15" t="s">
        <v>71</v>
      </c>
      <c r="AHX34" s="15" t="s">
        <v>71</v>
      </c>
      <c r="AHY34" s="15" t="s">
        <v>71</v>
      </c>
      <c r="AHZ34" s="15" t="s">
        <v>71</v>
      </c>
      <c r="AIA34" s="15" t="s">
        <v>71</v>
      </c>
      <c r="AIB34" s="15" t="s">
        <v>110</v>
      </c>
      <c r="AIC34" s="15" t="s">
        <v>71</v>
      </c>
      <c r="AID34" s="15" t="s">
        <v>71</v>
      </c>
      <c r="AIE34" s="15" t="s">
        <v>71</v>
      </c>
      <c r="AIF34" s="15" t="s">
        <v>71</v>
      </c>
      <c r="AIG34" s="15" t="s">
        <v>71</v>
      </c>
      <c r="AIH34" s="15" t="s">
        <v>110</v>
      </c>
      <c r="AII34" s="15" t="s">
        <v>110</v>
      </c>
      <c r="AIJ34" s="15" t="s">
        <v>110</v>
      </c>
      <c r="AIK34" s="15" t="s">
        <v>110</v>
      </c>
      <c r="AIL34" s="15" t="s">
        <v>71</v>
      </c>
      <c r="AIM34" s="15" t="s">
        <v>71</v>
      </c>
      <c r="AIN34" s="15" t="s">
        <v>71</v>
      </c>
      <c r="AIO34" s="15" t="s">
        <v>71</v>
      </c>
      <c r="AIP34" s="15" t="s">
        <v>71</v>
      </c>
      <c r="AIQ34" s="15" t="s">
        <v>71</v>
      </c>
      <c r="AIR34" s="15" t="s">
        <v>71</v>
      </c>
      <c r="AIS34" s="20" t="s">
        <v>110</v>
      </c>
      <c r="AIT34" s="20" t="s">
        <v>110</v>
      </c>
      <c r="AIU34" s="15" t="s">
        <v>71</v>
      </c>
      <c r="AIV34" s="15" t="s">
        <v>71</v>
      </c>
      <c r="AIW34" s="15" t="s">
        <v>71</v>
      </c>
      <c r="AIX34" s="15" t="s">
        <v>71</v>
      </c>
      <c r="AIY34" s="15" t="s">
        <v>71</v>
      </c>
      <c r="AIZ34" s="15" t="s">
        <v>71</v>
      </c>
      <c r="AJA34" s="20" t="s">
        <v>110</v>
      </c>
      <c r="AJB34" s="15" t="s">
        <v>71</v>
      </c>
      <c r="AJC34" s="15" t="s">
        <v>71</v>
      </c>
      <c r="AJD34" s="15" t="s">
        <v>71</v>
      </c>
      <c r="AJE34" s="15" t="s">
        <v>71</v>
      </c>
      <c r="AJF34" s="15"/>
      <c r="AJG34" s="15" t="s">
        <v>71</v>
      </c>
      <c r="AJH34" s="15" t="s">
        <v>71</v>
      </c>
      <c r="AJI34" s="15" t="s">
        <v>71</v>
      </c>
      <c r="AJJ34" s="15" t="s">
        <v>71</v>
      </c>
      <c r="AJK34" s="15" t="s">
        <v>71</v>
      </c>
      <c r="AJL34" s="15" t="s">
        <v>71</v>
      </c>
      <c r="AJM34" s="15" t="s">
        <v>71</v>
      </c>
      <c r="AJN34" s="15"/>
      <c r="AJO34" s="15" t="s">
        <v>71</v>
      </c>
      <c r="AJP34" s="15" t="s">
        <v>71</v>
      </c>
      <c r="AJQ34" s="15" t="s">
        <v>71</v>
      </c>
      <c r="AJR34" s="15" t="s">
        <v>71</v>
      </c>
      <c r="AJS34" s="15" t="s">
        <v>71</v>
      </c>
      <c r="AJT34" s="15" t="s">
        <v>71</v>
      </c>
      <c r="AJU34" s="15" t="s">
        <v>71</v>
      </c>
      <c r="AJV34" s="15" t="s">
        <v>71</v>
      </c>
      <c r="AJW34" s="15" t="s">
        <v>71</v>
      </c>
      <c r="AJX34" s="15"/>
      <c r="AJY34" s="15" t="s">
        <v>71</v>
      </c>
      <c r="AJZ34" s="15" t="s">
        <v>71</v>
      </c>
      <c r="AKA34" s="15" t="s">
        <v>71</v>
      </c>
      <c r="AKB34" s="15" t="s">
        <v>71</v>
      </c>
      <c r="AKC34" s="15" t="s">
        <v>71</v>
      </c>
      <c r="AKD34" s="15" t="s">
        <v>71</v>
      </c>
      <c r="AKE34" s="15" t="s">
        <v>71</v>
      </c>
      <c r="AKF34" s="15" t="s">
        <v>71</v>
      </c>
      <c r="AKG34" s="15" t="s">
        <v>71</v>
      </c>
      <c r="AKH34" s="15" t="s">
        <v>71</v>
      </c>
      <c r="AKI34" s="15"/>
      <c r="AKJ34" s="20" t="s">
        <v>71</v>
      </c>
      <c r="AKK34" s="20" t="s">
        <v>71</v>
      </c>
      <c r="AKL34" s="20" t="s">
        <v>71</v>
      </c>
      <c r="AKM34" s="20" t="s">
        <v>71</v>
      </c>
      <c r="AKN34" s="20" t="s">
        <v>71</v>
      </c>
      <c r="AKO34" s="20" t="s">
        <v>71</v>
      </c>
      <c r="AKP34" s="20" t="s">
        <v>71</v>
      </c>
      <c r="AKQ34" s="20" t="s">
        <v>71</v>
      </c>
      <c r="AKR34" s="20" t="s">
        <v>71</v>
      </c>
      <c r="AKS34" s="20" t="s">
        <v>71</v>
      </c>
      <c r="AKT34" s="20" t="s">
        <v>71</v>
      </c>
      <c r="AKU34" s="20" t="s">
        <v>71</v>
      </c>
      <c r="AKV34" s="20" t="s">
        <v>71</v>
      </c>
      <c r="AKW34" s="20" t="s">
        <v>71</v>
      </c>
      <c r="AKX34" s="15"/>
      <c r="AKY34" s="20" t="s">
        <v>71</v>
      </c>
      <c r="AKZ34" s="20" t="s">
        <v>71</v>
      </c>
      <c r="ALA34" s="20" t="s">
        <v>71</v>
      </c>
      <c r="ALB34" s="20" t="s">
        <v>71</v>
      </c>
      <c r="ALC34" s="20" t="s">
        <v>71</v>
      </c>
      <c r="ALD34" s="20" t="s">
        <v>71</v>
      </c>
      <c r="ALE34" s="20" t="s">
        <v>71</v>
      </c>
      <c r="ALF34" s="20" t="s">
        <v>71</v>
      </c>
      <c r="ALG34" s="20" t="s">
        <v>71</v>
      </c>
      <c r="ALH34" s="20" t="s">
        <v>71</v>
      </c>
      <c r="ALI34" s="20" t="s">
        <v>71</v>
      </c>
      <c r="ALJ34" s="20" t="s">
        <v>71</v>
      </c>
      <c r="ALK34" s="20" t="s">
        <v>71</v>
      </c>
      <c r="ALL34" s="20" t="s">
        <v>71</v>
      </c>
      <c r="ALM34" s="15"/>
      <c r="ALN34" s="20" t="s">
        <v>71</v>
      </c>
      <c r="ALO34" s="20" t="s">
        <v>71</v>
      </c>
      <c r="ALP34" s="20" t="s">
        <v>71</v>
      </c>
      <c r="ALQ34" s="20" t="s">
        <v>71</v>
      </c>
      <c r="ALR34" s="20" t="s">
        <v>71</v>
      </c>
      <c r="ALS34" s="20" t="s">
        <v>71</v>
      </c>
      <c r="ALT34" s="20" t="s">
        <v>71</v>
      </c>
      <c r="ALU34" s="20" t="s">
        <v>71</v>
      </c>
      <c r="ALV34" s="20" t="s">
        <v>71</v>
      </c>
      <c r="ALW34" s="15" t="s">
        <v>71</v>
      </c>
      <c r="ALX34" s="15" t="s">
        <v>71</v>
      </c>
      <c r="ALY34" s="15" t="s">
        <v>71</v>
      </c>
      <c r="ALZ34" s="15" t="s">
        <v>71</v>
      </c>
      <c r="AMA34" s="15" t="s">
        <v>71</v>
      </c>
      <c r="AMB34" s="15" t="s">
        <v>71</v>
      </c>
      <c r="AMC34" s="15"/>
      <c r="AMD34" s="15" t="s">
        <v>71</v>
      </c>
      <c r="AME34" s="15" t="s">
        <v>71</v>
      </c>
      <c r="AMF34" s="15" t="s">
        <v>71</v>
      </c>
      <c r="AMG34" s="15" t="s">
        <v>71</v>
      </c>
      <c r="AMH34" s="15" t="s">
        <v>71</v>
      </c>
      <c r="AMI34" s="15" t="s">
        <v>71</v>
      </c>
      <c r="AMJ34" s="15" t="s">
        <v>71</v>
      </c>
      <c r="AMK34" s="15" t="s">
        <v>71</v>
      </c>
      <c r="AML34" s="15" t="s">
        <v>71</v>
      </c>
      <c r="AMM34" s="15" t="s">
        <v>71</v>
      </c>
      <c r="AMN34" s="15" t="s">
        <v>71</v>
      </c>
      <c r="AMO34" s="15" t="s">
        <v>71</v>
      </c>
      <c r="AMP34" s="15" t="s">
        <v>71</v>
      </c>
      <c r="AMQ34" s="15" t="s">
        <v>71</v>
      </c>
      <c r="AMR34" s="15" t="s">
        <v>71</v>
      </c>
      <c r="AMS34" s="15" t="s">
        <v>71</v>
      </c>
      <c r="AMT34" s="15" t="s">
        <v>71</v>
      </c>
      <c r="AMU34" s="15" t="s">
        <v>71</v>
      </c>
      <c r="AMV34" s="15" t="s">
        <v>71</v>
      </c>
      <c r="AMW34" s="15" t="s">
        <v>71</v>
      </c>
      <c r="AMX34" s="15" t="s">
        <v>71</v>
      </c>
      <c r="AMY34" s="15" t="s">
        <v>71</v>
      </c>
      <c r="AMZ34" s="15" t="s">
        <v>71</v>
      </c>
      <c r="ANA34" s="15" t="s">
        <v>71</v>
      </c>
      <c r="ANB34" s="15" t="s">
        <v>71</v>
      </c>
      <c r="ANC34" s="15" t="s">
        <v>71</v>
      </c>
      <c r="AND34" s="15" t="s">
        <v>71</v>
      </c>
      <c r="ANE34" s="15"/>
      <c r="ANF34" s="15"/>
      <c r="ANG34" s="15"/>
      <c r="ANH34" s="15"/>
      <c r="ANI34" s="15"/>
      <c r="ANJ34" s="15"/>
      <c r="ANK34" s="15"/>
      <c r="ANL34" s="15"/>
      <c r="ANM34" s="15"/>
      <c r="ANN34" s="15"/>
      <c r="ANO34" s="15"/>
      <c r="ANP34" s="15"/>
      <c r="ANQ34" s="15"/>
      <c r="ANR34" s="15"/>
      <c r="ANS34" s="15"/>
      <c r="ANT34" s="15"/>
      <c r="ANU34" s="15"/>
      <c r="ANV34" s="15"/>
      <c r="ANW34" s="15"/>
      <c r="ANX34" s="15"/>
      <c r="ANY34" s="15"/>
      <c r="ANZ34" s="15"/>
      <c r="AOA34" s="15"/>
      <c r="AOB34" s="15"/>
      <c r="AOC34" s="15"/>
      <c r="AOD34" s="15"/>
      <c r="AOE34" s="15"/>
      <c r="AOF34" s="15"/>
      <c r="AOG34" s="15"/>
      <c r="AOH34" s="15"/>
      <c r="AOI34" s="15"/>
      <c r="AOJ34" s="15"/>
      <c r="AOK34" s="15"/>
      <c r="AOL34" s="15"/>
      <c r="AOM34" s="15"/>
      <c r="AON34" s="15"/>
      <c r="AOO34" s="15"/>
      <c r="AOP34" s="15"/>
      <c r="AOQ34" s="15"/>
      <c r="AOR34" s="15"/>
      <c r="AOS34" s="15"/>
      <c r="AOT34" s="15"/>
      <c r="AOU34" s="15"/>
      <c r="AOV34" s="15"/>
      <c r="AOW34" s="15"/>
      <c r="AOX34" s="15"/>
      <c r="AOY34" s="15"/>
      <c r="AOZ34" s="15"/>
      <c r="APA34" s="15"/>
      <c r="APB34" s="15"/>
      <c r="APC34" s="15"/>
      <c r="APD34" s="15"/>
      <c r="APE34" s="15"/>
      <c r="APF34" s="15"/>
      <c r="APG34" s="15"/>
      <c r="APH34" s="15"/>
      <c r="API34" s="15"/>
      <c r="APJ34" s="15"/>
      <c r="APK34" s="15"/>
      <c r="APL34" s="15"/>
      <c r="APM34" s="15"/>
      <c r="APN34" s="15"/>
      <c r="APO34" s="15"/>
      <c r="APP34" s="15"/>
      <c r="APQ34" s="15"/>
      <c r="APR34" s="15"/>
      <c r="APS34" s="15"/>
      <c r="APT34" s="15"/>
      <c r="APU34" s="15"/>
      <c r="APV34" s="15"/>
      <c r="APW34" s="15"/>
      <c r="APX34" s="15"/>
      <c r="APY34" s="15"/>
      <c r="APZ34" s="15"/>
      <c r="AQA34" s="15"/>
      <c r="AQB34" s="15"/>
    </row>
    <row r="35" spans="1:1120" s="17" customFormat="1" ht="15" customHeight="1" x14ac:dyDescent="0.25">
      <c r="A35" s="3" t="s">
        <v>2</v>
      </c>
      <c r="B35" s="6" t="s">
        <v>40</v>
      </c>
      <c r="C35" s="15"/>
      <c r="D35" s="15" t="s">
        <v>71</v>
      </c>
      <c r="E35" s="15" t="s">
        <v>71</v>
      </c>
      <c r="F35" s="15" t="s">
        <v>71</v>
      </c>
      <c r="G35" s="15" t="s">
        <v>71</v>
      </c>
      <c r="H35" s="15" t="s">
        <v>71</v>
      </c>
      <c r="I35" s="15" t="s">
        <v>71</v>
      </c>
      <c r="J35" s="15"/>
      <c r="K35" s="15" t="s">
        <v>110</v>
      </c>
      <c r="L35" s="15" t="s">
        <v>110</v>
      </c>
      <c r="M35" s="15" t="s">
        <v>110</v>
      </c>
      <c r="N35" s="15" t="s">
        <v>110</v>
      </c>
      <c r="O35" s="15" t="s">
        <v>71</v>
      </c>
      <c r="P35" s="15" t="s">
        <v>110</v>
      </c>
      <c r="Q35" s="15"/>
      <c r="R35" s="15" t="s">
        <v>71</v>
      </c>
      <c r="S35" s="15" t="s">
        <v>71</v>
      </c>
      <c r="T35" s="15" t="s">
        <v>71</v>
      </c>
      <c r="U35" s="15" t="s">
        <v>71</v>
      </c>
      <c r="V35" s="15" t="s">
        <v>71</v>
      </c>
      <c r="W35" s="15" t="s">
        <v>71</v>
      </c>
      <c r="X35" s="15"/>
      <c r="Y35" s="15" t="s">
        <v>71</v>
      </c>
      <c r="Z35" s="15" t="s">
        <v>71</v>
      </c>
      <c r="AA35" s="15" t="s">
        <v>71</v>
      </c>
      <c r="AB35" s="15" t="s">
        <v>71</v>
      </c>
      <c r="AC35" s="15" t="s">
        <v>71</v>
      </c>
      <c r="AD35" s="15" t="s">
        <v>71</v>
      </c>
      <c r="AE35" s="15"/>
      <c r="AF35" s="15" t="s">
        <v>71</v>
      </c>
      <c r="AG35" s="15" t="s">
        <v>71</v>
      </c>
      <c r="AH35" s="15" t="s">
        <v>71</v>
      </c>
      <c r="AI35" s="15" t="s">
        <v>71</v>
      </c>
      <c r="AJ35" s="15" t="s">
        <v>71</v>
      </c>
      <c r="AK35" s="15" t="s">
        <v>71</v>
      </c>
      <c r="AL35" s="15"/>
      <c r="AM35" s="15" t="s">
        <v>71</v>
      </c>
      <c r="AN35" s="15" t="s">
        <v>71</v>
      </c>
      <c r="AO35" s="15" t="s">
        <v>71</v>
      </c>
      <c r="AP35" s="15" t="s">
        <v>71</v>
      </c>
      <c r="AQ35" s="15" t="s">
        <v>71</v>
      </c>
      <c r="AR35" s="15" t="s">
        <v>71</v>
      </c>
      <c r="AS35" s="15" t="s">
        <v>71</v>
      </c>
      <c r="AT35" s="20" t="s">
        <v>110</v>
      </c>
      <c r="AU35" s="20" t="s">
        <v>110</v>
      </c>
      <c r="AV35" s="20" t="s">
        <v>110</v>
      </c>
      <c r="AW35" s="20" t="s">
        <v>110</v>
      </c>
      <c r="AX35" s="20" t="s">
        <v>71</v>
      </c>
      <c r="AY35" s="20" t="s">
        <v>71</v>
      </c>
      <c r="AZ35" s="20" t="s">
        <v>71</v>
      </c>
      <c r="BA35" s="20" t="s">
        <v>71</v>
      </c>
      <c r="BB35" s="20" t="s">
        <v>71</v>
      </c>
      <c r="BC35" s="20" t="s">
        <v>71</v>
      </c>
      <c r="BD35" s="20" t="s">
        <v>71</v>
      </c>
      <c r="BE35" s="20" t="s">
        <v>71</v>
      </c>
      <c r="BF35" s="15" t="s">
        <v>71</v>
      </c>
      <c r="BG35" s="15" t="s">
        <v>71</v>
      </c>
      <c r="BH35" s="15" t="s">
        <v>71</v>
      </c>
      <c r="BI35" s="15" t="s">
        <v>71</v>
      </c>
      <c r="BJ35" s="15" t="s">
        <v>71</v>
      </c>
      <c r="BK35" s="15" t="s">
        <v>71</v>
      </c>
      <c r="BL35" s="15" t="s">
        <v>71</v>
      </c>
      <c r="BM35" s="15" t="s">
        <v>71</v>
      </c>
      <c r="BN35" s="15" t="s">
        <v>71</v>
      </c>
      <c r="BO35" s="15" t="s">
        <v>71</v>
      </c>
      <c r="BP35" s="15" t="s">
        <v>71</v>
      </c>
      <c r="BQ35" s="15" t="s">
        <v>71</v>
      </c>
      <c r="BR35" s="15" t="s">
        <v>71</v>
      </c>
      <c r="BS35" s="15" t="s">
        <v>71</v>
      </c>
      <c r="BT35" s="15" t="s">
        <v>71</v>
      </c>
      <c r="BU35" s="15" t="s">
        <v>71</v>
      </c>
      <c r="BV35" s="15" t="s">
        <v>71</v>
      </c>
      <c r="BW35" s="15" t="s">
        <v>71</v>
      </c>
      <c r="BX35" s="15" t="s">
        <v>71</v>
      </c>
      <c r="BY35" s="15" t="s">
        <v>71</v>
      </c>
      <c r="BZ35" s="20" t="s">
        <v>110</v>
      </c>
      <c r="CA35" s="20" t="s">
        <v>110</v>
      </c>
      <c r="CB35" s="20" t="s">
        <v>110</v>
      </c>
      <c r="CC35" s="20" t="s">
        <v>110</v>
      </c>
      <c r="CD35" s="20" t="s">
        <v>71</v>
      </c>
      <c r="CE35" s="20" t="s">
        <v>71</v>
      </c>
      <c r="CF35" s="20" t="s">
        <v>71</v>
      </c>
      <c r="CG35" s="20" t="s">
        <v>110</v>
      </c>
      <c r="CH35" s="20" t="s">
        <v>71</v>
      </c>
      <c r="CI35" s="20" t="s">
        <v>71</v>
      </c>
      <c r="CJ35" s="20" t="s">
        <v>71</v>
      </c>
      <c r="CK35" s="20" t="s">
        <v>71</v>
      </c>
      <c r="CL35" s="20" t="s">
        <v>71</v>
      </c>
      <c r="CM35" s="20" t="s">
        <v>71</v>
      </c>
      <c r="CN35" s="20" t="s">
        <v>71</v>
      </c>
      <c r="CO35" s="15" t="s">
        <v>71</v>
      </c>
      <c r="CP35" s="15" t="s">
        <v>71</v>
      </c>
      <c r="CQ35" s="15" t="s">
        <v>71</v>
      </c>
      <c r="CR35" s="15" t="s">
        <v>71</v>
      </c>
      <c r="CS35" s="15" t="s">
        <v>71</v>
      </c>
      <c r="CT35" s="15" t="s">
        <v>71</v>
      </c>
      <c r="CU35" s="15" t="s">
        <v>71</v>
      </c>
      <c r="CV35" s="15" t="s">
        <v>71</v>
      </c>
      <c r="CW35" s="15" t="s">
        <v>71</v>
      </c>
      <c r="CX35" s="15" t="s">
        <v>71</v>
      </c>
      <c r="CY35" s="15" t="s">
        <v>71</v>
      </c>
      <c r="CZ35" s="15" t="s">
        <v>71</v>
      </c>
      <c r="DA35" s="15" t="s">
        <v>71</v>
      </c>
      <c r="DB35" s="15" t="s">
        <v>71</v>
      </c>
      <c r="DC35" s="15" t="s">
        <v>71</v>
      </c>
      <c r="DD35" s="15" t="s">
        <v>71</v>
      </c>
      <c r="DE35" s="15" t="s">
        <v>71</v>
      </c>
      <c r="DF35" s="15" t="s">
        <v>71</v>
      </c>
      <c r="DG35" s="15" t="s">
        <v>71</v>
      </c>
      <c r="DH35" s="15" t="s">
        <v>71</v>
      </c>
      <c r="DI35" s="15" t="s">
        <v>71</v>
      </c>
      <c r="DJ35" s="15" t="s">
        <v>71</v>
      </c>
      <c r="DK35" s="15" t="s">
        <v>71</v>
      </c>
      <c r="DL35" s="15" t="s">
        <v>71</v>
      </c>
      <c r="DM35" s="15" t="s">
        <v>71</v>
      </c>
      <c r="DN35" s="15" t="s">
        <v>71</v>
      </c>
      <c r="DO35" s="15" t="s">
        <v>71</v>
      </c>
      <c r="DP35" s="15" t="s">
        <v>71</v>
      </c>
      <c r="DQ35" s="15" t="s">
        <v>71</v>
      </c>
      <c r="DR35" s="15" t="s">
        <v>71</v>
      </c>
      <c r="DS35" s="20" t="s">
        <v>110</v>
      </c>
      <c r="DT35" s="20" t="s">
        <v>110</v>
      </c>
      <c r="DU35" s="20" t="s">
        <v>110</v>
      </c>
      <c r="DV35" s="20" t="s">
        <v>110</v>
      </c>
      <c r="DW35" s="20" t="s">
        <v>110</v>
      </c>
      <c r="DX35" s="20" t="s">
        <v>71</v>
      </c>
      <c r="DY35" s="20" t="s">
        <v>71</v>
      </c>
      <c r="DZ35" s="20" t="s">
        <v>71</v>
      </c>
      <c r="EA35" s="20" t="s">
        <v>71</v>
      </c>
      <c r="EB35" s="20" t="s">
        <v>71</v>
      </c>
      <c r="EC35" s="20" t="s">
        <v>71</v>
      </c>
      <c r="ED35" s="20" t="s">
        <v>71</v>
      </c>
      <c r="EE35" s="15" t="s">
        <v>71</v>
      </c>
      <c r="EF35" s="15" t="s">
        <v>71</v>
      </c>
      <c r="EG35" s="15" t="s">
        <v>71</v>
      </c>
      <c r="EH35" s="20" t="s">
        <v>110</v>
      </c>
      <c r="EI35" s="20" t="s">
        <v>110</v>
      </c>
      <c r="EJ35" s="20" t="s">
        <v>71</v>
      </c>
      <c r="EK35" s="20" t="s">
        <v>71</v>
      </c>
      <c r="EL35" s="20" t="s">
        <v>71</v>
      </c>
      <c r="EM35" s="20" t="s">
        <v>71</v>
      </c>
      <c r="EN35" s="20" t="s">
        <v>71</v>
      </c>
      <c r="EO35" s="20" t="s">
        <v>71</v>
      </c>
      <c r="EP35" s="20" t="s">
        <v>71</v>
      </c>
      <c r="EQ35" s="15" t="s">
        <v>71</v>
      </c>
      <c r="ER35" s="15" t="s">
        <v>71</v>
      </c>
      <c r="ES35" s="15" t="s">
        <v>71</v>
      </c>
      <c r="ET35" s="20" t="s">
        <v>110</v>
      </c>
      <c r="EU35" s="20" t="s">
        <v>110</v>
      </c>
      <c r="EV35" s="20" t="s">
        <v>71</v>
      </c>
      <c r="EW35" s="20" t="s">
        <v>71</v>
      </c>
      <c r="EX35" s="20" t="s">
        <v>71</v>
      </c>
      <c r="EY35" s="20" t="s">
        <v>71</v>
      </c>
      <c r="EZ35" s="20" t="s">
        <v>71</v>
      </c>
      <c r="FA35" s="20" t="s">
        <v>71</v>
      </c>
      <c r="FB35" s="20" t="s">
        <v>71</v>
      </c>
      <c r="FC35" s="20" t="s">
        <v>71</v>
      </c>
      <c r="FD35" s="15"/>
      <c r="FE35" s="20" t="s">
        <v>71</v>
      </c>
      <c r="FF35" s="20" t="s">
        <v>71</v>
      </c>
      <c r="FG35" s="20" t="s">
        <v>71</v>
      </c>
      <c r="FH35" s="20" t="s">
        <v>71</v>
      </c>
      <c r="FI35" s="20" t="s">
        <v>71</v>
      </c>
      <c r="FJ35" s="20" t="s">
        <v>71</v>
      </c>
      <c r="FK35" s="20" t="s">
        <v>71</v>
      </c>
      <c r="FL35" s="20" t="s">
        <v>71</v>
      </c>
      <c r="FM35" s="20" t="s">
        <v>71</v>
      </c>
      <c r="FN35" s="20" t="s">
        <v>71</v>
      </c>
      <c r="FO35" s="20" t="s">
        <v>71</v>
      </c>
      <c r="FP35" s="20" t="s">
        <v>71</v>
      </c>
      <c r="FQ35" s="20" t="s">
        <v>71</v>
      </c>
      <c r="FR35" s="20" t="s">
        <v>71</v>
      </c>
      <c r="FS35" s="20" t="s">
        <v>71</v>
      </c>
      <c r="FT35" s="20" t="s">
        <v>71</v>
      </c>
      <c r="FU35" s="20" t="s">
        <v>71</v>
      </c>
      <c r="FV35" s="20" t="s">
        <v>71</v>
      </c>
      <c r="FW35" s="20" t="s">
        <v>71</v>
      </c>
      <c r="FX35" s="20" t="s">
        <v>71</v>
      </c>
      <c r="FY35" s="20" t="s">
        <v>71</v>
      </c>
      <c r="FZ35" s="20" t="s">
        <v>71</v>
      </c>
      <c r="GA35" s="20" t="s">
        <v>71</v>
      </c>
      <c r="GB35" s="20" t="s">
        <v>71</v>
      </c>
      <c r="GC35" s="20" t="s">
        <v>71</v>
      </c>
      <c r="GD35" s="20" t="s">
        <v>71</v>
      </c>
      <c r="GE35" s="20" t="s">
        <v>71</v>
      </c>
      <c r="GF35" s="20" t="s">
        <v>71</v>
      </c>
      <c r="GG35" s="20" t="s">
        <v>71</v>
      </c>
      <c r="GH35" s="20" t="s">
        <v>71</v>
      </c>
      <c r="GI35" s="20" t="s">
        <v>71</v>
      </c>
      <c r="GJ35" s="20" t="s">
        <v>71</v>
      </c>
      <c r="GK35" s="20" t="s">
        <v>71</v>
      </c>
      <c r="GL35" s="20" t="s">
        <v>71</v>
      </c>
      <c r="GM35" s="20" t="s">
        <v>71</v>
      </c>
      <c r="GN35" s="20" t="s">
        <v>71</v>
      </c>
      <c r="GO35" s="20" t="s">
        <v>71</v>
      </c>
      <c r="GP35" s="20" t="s">
        <v>71</v>
      </c>
      <c r="GQ35" s="20" t="s">
        <v>71</v>
      </c>
      <c r="GR35" s="20" t="s">
        <v>71</v>
      </c>
      <c r="GS35" s="20" t="s">
        <v>71</v>
      </c>
      <c r="GT35" s="20" t="s">
        <v>71</v>
      </c>
      <c r="GU35" s="20" t="s">
        <v>71</v>
      </c>
      <c r="GV35" s="20" t="s">
        <v>71</v>
      </c>
      <c r="GW35" s="20" t="s">
        <v>71</v>
      </c>
      <c r="GX35" s="20" t="s">
        <v>71</v>
      </c>
      <c r="GY35" s="20" t="s">
        <v>71</v>
      </c>
      <c r="GZ35" s="20" t="s">
        <v>71</v>
      </c>
      <c r="HA35" s="20" t="s">
        <v>71</v>
      </c>
      <c r="HB35" s="20" t="s">
        <v>71</v>
      </c>
      <c r="HC35" s="20" t="s">
        <v>71</v>
      </c>
      <c r="HD35" s="20" t="s">
        <v>71</v>
      </c>
      <c r="HE35" s="20" t="s">
        <v>71</v>
      </c>
      <c r="HF35" s="20" t="s">
        <v>71</v>
      </c>
      <c r="HG35" s="20" t="s">
        <v>71</v>
      </c>
      <c r="HH35" s="20" t="s">
        <v>71</v>
      </c>
      <c r="HI35" s="20" t="s">
        <v>71</v>
      </c>
      <c r="HJ35" s="20" t="s">
        <v>71</v>
      </c>
      <c r="HK35" s="20" t="s">
        <v>71</v>
      </c>
      <c r="HL35" s="20" t="s">
        <v>71</v>
      </c>
      <c r="HM35" s="20" t="s">
        <v>71</v>
      </c>
      <c r="HN35" s="20" t="s">
        <v>71</v>
      </c>
      <c r="HO35" s="20" t="s">
        <v>71</v>
      </c>
      <c r="HP35" s="20" t="s">
        <v>71</v>
      </c>
      <c r="HQ35" s="20" t="s">
        <v>71</v>
      </c>
      <c r="HR35" s="20" t="s">
        <v>71</v>
      </c>
      <c r="HS35" s="20" t="s">
        <v>71</v>
      </c>
      <c r="HT35" s="20" t="s">
        <v>71</v>
      </c>
      <c r="HU35" s="20" t="s">
        <v>71</v>
      </c>
      <c r="HV35" s="20" t="s">
        <v>71</v>
      </c>
      <c r="HW35" s="20" t="s">
        <v>71</v>
      </c>
      <c r="HX35" s="20" t="s">
        <v>71</v>
      </c>
      <c r="HY35" s="20" t="s">
        <v>71</v>
      </c>
      <c r="HZ35" s="20" t="s">
        <v>71</v>
      </c>
      <c r="IA35" s="20" t="s">
        <v>71</v>
      </c>
      <c r="IB35" s="15"/>
      <c r="IC35" s="20" t="s">
        <v>71</v>
      </c>
      <c r="ID35" s="20" t="s">
        <v>71</v>
      </c>
      <c r="IE35" s="20" t="s">
        <v>71</v>
      </c>
      <c r="IF35" s="20" t="s">
        <v>71</v>
      </c>
      <c r="IG35" s="20" t="s">
        <v>71</v>
      </c>
      <c r="IH35" s="20" t="s">
        <v>71</v>
      </c>
      <c r="II35" s="20" t="s">
        <v>71</v>
      </c>
      <c r="IJ35" s="20" t="s">
        <v>71</v>
      </c>
      <c r="IK35" s="15"/>
      <c r="IL35" s="20" t="s">
        <v>71</v>
      </c>
      <c r="IM35" s="20" t="s">
        <v>71</v>
      </c>
      <c r="IN35" s="20" t="s">
        <v>71</v>
      </c>
      <c r="IO35" s="20" t="s">
        <v>71</v>
      </c>
      <c r="IP35" s="20" t="s">
        <v>71</v>
      </c>
      <c r="IQ35" s="20" t="s">
        <v>71</v>
      </c>
      <c r="IR35" s="20" t="s">
        <v>71</v>
      </c>
      <c r="IS35" s="15" t="s">
        <v>71</v>
      </c>
      <c r="IT35" s="15" t="s">
        <v>71</v>
      </c>
      <c r="IU35" s="15" t="s">
        <v>71</v>
      </c>
      <c r="IV35" s="15" t="s">
        <v>71</v>
      </c>
      <c r="IW35" s="15" t="s">
        <v>71</v>
      </c>
      <c r="IX35" s="15" t="s">
        <v>71</v>
      </c>
      <c r="IY35" s="15" t="s">
        <v>71</v>
      </c>
      <c r="IZ35" s="15" t="s">
        <v>71</v>
      </c>
      <c r="JA35" s="15" t="s">
        <v>71</v>
      </c>
      <c r="JB35" s="15" t="s">
        <v>71</v>
      </c>
      <c r="JC35" s="15" t="s">
        <v>71</v>
      </c>
      <c r="JD35" s="15" t="s">
        <v>71</v>
      </c>
      <c r="JE35" s="15" t="s">
        <v>71</v>
      </c>
      <c r="JF35" s="15" t="s">
        <v>71</v>
      </c>
      <c r="JG35" s="15" t="s">
        <v>71</v>
      </c>
      <c r="JH35" s="15" t="s">
        <v>71</v>
      </c>
      <c r="JI35" s="15" t="s">
        <v>71</v>
      </c>
      <c r="JJ35" s="15" t="s">
        <v>71</v>
      </c>
      <c r="JK35" s="15" t="s">
        <v>71</v>
      </c>
      <c r="JL35" s="15" t="s">
        <v>71</v>
      </c>
      <c r="JM35" s="15" t="s">
        <v>71</v>
      </c>
      <c r="JN35" s="15" t="s">
        <v>71</v>
      </c>
      <c r="JO35" s="15" t="s">
        <v>71</v>
      </c>
      <c r="JP35" s="15" t="s">
        <v>71</v>
      </c>
      <c r="JQ35" s="15" t="s">
        <v>71</v>
      </c>
      <c r="JR35" s="15" t="s">
        <v>71</v>
      </c>
      <c r="JS35" s="15" t="s">
        <v>71</v>
      </c>
      <c r="JT35" s="15" t="s">
        <v>71</v>
      </c>
      <c r="JU35" s="15" t="s">
        <v>71</v>
      </c>
      <c r="JV35" s="15" t="s">
        <v>71</v>
      </c>
      <c r="JW35" s="15" t="s">
        <v>71</v>
      </c>
      <c r="JX35" s="15" t="s">
        <v>71</v>
      </c>
      <c r="JY35" s="15" t="s">
        <v>71</v>
      </c>
      <c r="JZ35" s="15" t="s">
        <v>71</v>
      </c>
      <c r="KA35" s="15" t="s">
        <v>71</v>
      </c>
      <c r="KB35" s="15" t="s">
        <v>71</v>
      </c>
      <c r="KC35" s="15" t="s">
        <v>71</v>
      </c>
      <c r="KD35" s="15" t="s">
        <v>71</v>
      </c>
      <c r="KE35" s="15" t="s">
        <v>71</v>
      </c>
      <c r="KF35" s="15" t="s">
        <v>71</v>
      </c>
      <c r="KG35" s="15" t="s">
        <v>71</v>
      </c>
      <c r="KH35" s="15" t="s">
        <v>71</v>
      </c>
      <c r="KI35" s="15" t="s">
        <v>71</v>
      </c>
      <c r="KJ35" s="15" t="s">
        <v>71</v>
      </c>
      <c r="KK35" s="15" t="s">
        <v>71</v>
      </c>
      <c r="KL35" s="15" t="s">
        <v>71</v>
      </c>
      <c r="KM35" s="15" t="s">
        <v>71</v>
      </c>
      <c r="KN35" s="15" t="s">
        <v>71</v>
      </c>
      <c r="KO35" s="15" t="s">
        <v>71</v>
      </c>
      <c r="KP35" s="15" t="s">
        <v>71</v>
      </c>
      <c r="KQ35" s="15" t="s">
        <v>71</v>
      </c>
      <c r="KR35" s="15" t="s">
        <v>71</v>
      </c>
      <c r="KS35" s="15" t="s">
        <v>71</v>
      </c>
      <c r="KT35" s="15" t="s">
        <v>71</v>
      </c>
      <c r="KU35" s="15" t="s">
        <v>71</v>
      </c>
      <c r="KV35" s="15" t="s">
        <v>71</v>
      </c>
      <c r="KW35" s="15" t="s">
        <v>71</v>
      </c>
      <c r="KX35" s="15" t="s">
        <v>71</v>
      </c>
      <c r="KY35" s="15" t="s">
        <v>71</v>
      </c>
      <c r="KZ35" s="15" t="s">
        <v>71</v>
      </c>
      <c r="LA35" s="15" t="s">
        <v>71</v>
      </c>
      <c r="LB35" s="15" t="s">
        <v>71</v>
      </c>
      <c r="LC35" s="15" t="s">
        <v>71</v>
      </c>
      <c r="LD35" s="15" t="s">
        <v>71</v>
      </c>
      <c r="LE35" s="15" t="s">
        <v>71</v>
      </c>
      <c r="LF35" s="15" t="s">
        <v>71</v>
      </c>
      <c r="LG35" s="15" t="s">
        <v>71</v>
      </c>
      <c r="LH35" s="15" t="s">
        <v>71</v>
      </c>
      <c r="LI35" s="15" t="s">
        <v>71</v>
      </c>
      <c r="LJ35" s="15" t="s">
        <v>71</v>
      </c>
      <c r="LK35" s="15" t="s">
        <v>71</v>
      </c>
      <c r="LL35" s="15" t="s">
        <v>71</v>
      </c>
      <c r="LM35" s="15" t="s">
        <v>71</v>
      </c>
      <c r="LN35" s="15" t="s">
        <v>71</v>
      </c>
      <c r="LO35" s="15" t="s">
        <v>71</v>
      </c>
      <c r="LP35" s="15" t="s">
        <v>71</v>
      </c>
      <c r="LQ35" s="15" t="s">
        <v>71</v>
      </c>
      <c r="LR35" s="15" t="s">
        <v>71</v>
      </c>
      <c r="LS35" s="15" t="s">
        <v>71</v>
      </c>
      <c r="LT35" s="15" t="s">
        <v>71</v>
      </c>
      <c r="LU35" s="15" t="s">
        <v>71</v>
      </c>
      <c r="LV35" s="15" t="s">
        <v>71</v>
      </c>
      <c r="LW35" s="15" t="s">
        <v>71</v>
      </c>
      <c r="LX35" s="15" t="s">
        <v>71</v>
      </c>
      <c r="LY35" s="15" t="s">
        <v>71</v>
      </c>
      <c r="LZ35" s="15" t="s">
        <v>71</v>
      </c>
      <c r="MA35" s="15" t="s">
        <v>71</v>
      </c>
      <c r="MB35" s="15" t="s">
        <v>71</v>
      </c>
      <c r="MC35" s="15" t="s">
        <v>71</v>
      </c>
      <c r="MD35" s="15" t="s">
        <v>71</v>
      </c>
      <c r="ME35" s="15" t="s">
        <v>71</v>
      </c>
      <c r="MF35" s="15" t="s">
        <v>71</v>
      </c>
      <c r="MG35" s="15" t="s">
        <v>110</v>
      </c>
      <c r="MH35" s="15" t="s">
        <v>71</v>
      </c>
      <c r="MI35" s="15" t="s">
        <v>71</v>
      </c>
      <c r="MJ35" s="15" t="s">
        <v>71</v>
      </c>
      <c r="MK35" s="15" t="s">
        <v>71</v>
      </c>
      <c r="ML35" s="15" t="s">
        <v>71</v>
      </c>
      <c r="MM35" s="15" t="s">
        <v>71</v>
      </c>
      <c r="MN35" s="15" t="s">
        <v>71</v>
      </c>
      <c r="MO35" s="15" t="s">
        <v>71</v>
      </c>
      <c r="MP35" s="15" t="s">
        <v>71</v>
      </c>
      <c r="MQ35" s="15" t="s">
        <v>71</v>
      </c>
      <c r="MR35" s="15" t="s">
        <v>71</v>
      </c>
      <c r="MS35" s="15" t="s">
        <v>71</v>
      </c>
      <c r="MT35" s="15" t="s">
        <v>71</v>
      </c>
      <c r="MU35" s="15" t="s">
        <v>71</v>
      </c>
      <c r="MV35" s="15" t="s">
        <v>71</v>
      </c>
      <c r="MW35" s="15" t="s">
        <v>71</v>
      </c>
      <c r="MX35" s="15" t="s">
        <v>71</v>
      </c>
      <c r="MY35" s="15" t="s">
        <v>71</v>
      </c>
      <c r="MZ35" s="15" t="s">
        <v>71</v>
      </c>
      <c r="NA35" s="15" t="s">
        <v>71</v>
      </c>
      <c r="NB35" s="15" t="s">
        <v>71</v>
      </c>
      <c r="NC35" s="15" t="s">
        <v>71</v>
      </c>
      <c r="ND35" s="15" t="s">
        <v>71</v>
      </c>
      <c r="NE35" s="15" t="s">
        <v>71</v>
      </c>
      <c r="NF35" s="15" t="s">
        <v>71</v>
      </c>
      <c r="NG35" s="15" t="s">
        <v>71</v>
      </c>
      <c r="NH35" s="15" t="s">
        <v>71</v>
      </c>
      <c r="NI35" s="15" t="s">
        <v>71</v>
      </c>
      <c r="NJ35" s="15" t="s">
        <v>71</v>
      </c>
      <c r="NK35" s="15" t="s">
        <v>71</v>
      </c>
      <c r="NL35" s="15" t="s">
        <v>71</v>
      </c>
      <c r="NM35" s="15" t="s">
        <v>71</v>
      </c>
      <c r="NN35" s="20" t="s">
        <v>71</v>
      </c>
      <c r="NO35" s="15" t="s">
        <v>71</v>
      </c>
      <c r="NP35" s="20" t="s">
        <v>110</v>
      </c>
      <c r="NQ35" s="15" t="s">
        <v>71</v>
      </c>
      <c r="NR35" s="15" t="s">
        <v>71</v>
      </c>
      <c r="NS35" s="20" t="s">
        <v>71</v>
      </c>
      <c r="NT35" s="20" t="s">
        <v>110</v>
      </c>
      <c r="NU35" s="20" t="s">
        <v>71</v>
      </c>
      <c r="NV35" s="20" t="s">
        <v>71</v>
      </c>
      <c r="NW35" s="20" t="s">
        <v>71</v>
      </c>
      <c r="NX35" s="20" t="s">
        <v>71</v>
      </c>
      <c r="NY35" s="20" t="s">
        <v>71</v>
      </c>
      <c r="NZ35" s="20" t="s">
        <v>71</v>
      </c>
      <c r="OA35" s="20" t="s">
        <v>71</v>
      </c>
      <c r="OB35" s="20" t="s">
        <v>71</v>
      </c>
      <c r="OC35" s="20" t="s">
        <v>71</v>
      </c>
      <c r="OD35" s="20" t="s">
        <v>110</v>
      </c>
      <c r="OE35" s="20" t="s">
        <v>110</v>
      </c>
      <c r="OF35" s="20" t="s">
        <v>110</v>
      </c>
      <c r="OG35" s="20" t="s">
        <v>110</v>
      </c>
      <c r="OH35" s="20" t="s">
        <v>110</v>
      </c>
      <c r="OI35" s="20" t="s">
        <v>110</v>
      </c>
      <c r="OJ35" s="20" t="s">
        <v>110</v>
      </c>
      <c r="OK35" s="20" t="s">
        <v>110</v>
      </c>
      <c r="OL35" s="20" t="s">
        <v>110</v>
      </c>
      <c r="OM35" s="20" t="s">
        <v>110</v>
      </c>
      <c r="ON35" s="20" t="s">
        <v>110</v>
      </c>
      <c r="OO35" s="20" t="s">
        <v>110</v>
      </c>
      <c r="OP35" s="20" t="s">
        <v>110</v>
      </c>
      <c r="OQ35" s="20" t="s">
        <v>110</v>
      </c>
      <c r="OR35" s="20" t="s">
        <v>110</v>
      </c>
      <c r="OS35" s="20" t="s">
        <v>110</v>
      </c>
      <c r="OT35" s="20" t="s">
        <v>110</v>
      </c>
      <c r="OU35" s="20" t="s">
        <v>110</v>
      </c>
      <c r="OV35" s="20" t="s">
        <v>110</v>
      </c>
      <c r="OW35" s="20" t="s">
        <v>110</v>
      </c>
      <c r="OX35" s="20" t="s">
        <v>110</v>
      </c>
      <c r="OY35" s="20" t="s">
        <v>110</v>
      </c>
      <c r="OZ35" s="20" t="s">
        <v>110</v>
      </c>
      <c r="PA35" s="20" t="s">
        <v>110</v>
      </c>
      <c r="PB35" s="20" t="s">
        <v>110</v>
      </c>
      <c r="PC35" s="20" t="s">
        <v>110</v>
      </c>
      <c r="PD35" s="20" t="s">
        <v>110</v>
      </c>
      <c r="PE35" s="20" t="s">
        <v>110</v>
      </c>
      <c r="PF35" s="20" t="s">
        <v>110</v>
      </c>
      <c r="PG35" s="20" t="s">
        <v>110</v>
      </c>
      <c r="PH35" s="20" t="s">
        <v>110</v>
      </c>
      <c r="PI35" s="20" t="s">
        <v>71</v>
      </c>
      <c r="PJ35" s="20" t="s">
        <v>299</v>
      </c>
      <c r="PK35" s="20" t="s">
        <v>110</v>
      </c>
      <c r="PL35" s="20" t="s">
        <v>110</v>
      </c>
      <c r="PM35" s="20" t="s">
        <v>110</v>
      </c>
      <c r="PN35" s="20" t="s">
        <v>110</v>
      </c>
      <c r="PO35" s="20" t="s">
        <v>110</v>
      </c>
      <c r="PP35" s="20" t="s">
        <v>110</v>
      </c>
      <c r="PQ35" s="20" t="s">
        <v>110</v>
      </c>
      <c r="PR35" s="20" t="s">
        <v>110</v>
      </c>
      <c r="PS35" s="20" t="s">
        <v>110</v>
      </c>
      <c r="PT35" s="20" t="s">
        <v>110</v>
      </c>
      <c r="PU35" s="20" t="s">
        <v>110</v>
      </c>
      <c r="PV35" s="20" t="s">
        <v>110</v>
      </c>
      <c r="PW35" s="20" t="s">
        <v>110</v>
      </c>
      <c r="PX35" s="20" t="s">
        <v>110</v>
      </c>
      <c r="PY35" s="20" t="s">
        <v>71</v>
      </c>
      <c r="PZ35" s="20" t="s">
        <v>71</v>
      </c>
      <c r="QA35" s="20" t="s">
        <v>110</v>
      </c>
      <c r="QB35" s="24" t="s">
        <v>299</v>
      </c>
      <c r="QC35" s="24" t="s">
        <v>299</v>
      </c>
      <c r="QD35" s="20" t="s">
        <v>71</v>
      </c>
      <c r="QE35" s="20" t="s">
        <v>110</v>
      </c>
      <c r="QF35" s="20" t="s">
        <v>71</v>
      </c>
      <c r="QG35" s="24" t="s">
        <v>299</v>
      </c>
      <c r="QH35" s="20" t="s">
        <v>110</v>
      </c>
      <c r="QI35" s="20" t="s">
        <v>71</v>
      </c>
      <c r="QJ35" s="20" t="s">
        <v>71</v>
      </c>
      <c r="QK35" s="20" t="s">
        <v>71</v>
      </c>
      <c r="QL35" s="20" t="s">
        <v>71</v>
      </c>
      <c r="QM35" s="20" t="s">
        <v>71</v>
      </c>
      <c r="QN35" s="20" t="s">
        <v>110</v>
      </c>
      <c r="QO35" s="20" t="s">
        <v>71</v>
      </c>
      <c r="QP35" s="20" t="s">
        <v>71</v>
      </c>
      <c r="QQ35" s="20" t="s">
        <v>71</v>
      </c>
      <c r="QR35" s="20" t="s">
        <v>71</v>
      </c>
      <c r="QS35" s="20" t="s">
        <v>71</v>
      </c>
      <c r="QT35" s="20" t="s">
        <v>110</v>
      </c>
      <c r="QU35" s="20" t="s">
        <v>110</v>
      </c>
      <c r="QV35" s="20" t="s">
        <v>71</v>
      </c>
      <c r="QW35" s="20" t="s">
        <v>71</v>
      </c>
      <c r="QX35" s="20" t="s">
        <v>71</v>
      </c>
      <c r="QY35" s="20" t="s">
        <v>71</v>
      </c>
      <c r="QZ35" s="20" t="s">
        <v>71</v>
      </c>
      <c r="RA35" s="20" t="s">
        <v>71</v>
      </c>
      <c r="RB35" s="20" t="s">
        <v>71</v>
      </c>
      <c r="RC35" s="20" t="s">
        <v>71</v>
      </c>
      <c r="RD35" s="20" t="s">
        <v>71</v>
      </c>
      <c r="RE35" s="20" t="s">
        <v>71</v>
      </c>
      <c r="RF35" s="20" t="s">
        <v>71</v>
      </c>
      <c r="RG35" s="20" t="s">
        <v>71</v>
      </c>
      <c r="RH35" s="20" t="s">
        <v>71</v>
      </c>
      <c r="RI35" s="20" t="s">
        <v>71</v>
      </c>
      <c r="RJ35" s="20" t="s">
        <v>71</v>
      </c>
      <c r="RK35" s="20" t="s">
        <v>71</v>
      </c>
      <c r="RL35" s="20" t="s">
        <v>71</v>
      </c>
      <c r="RM35" s="20" t="s">
        <v>71</v>
      </c>
      <c r="RN35" s="20" t="s">
        <v>71</v>
      </c>
      <c r="RO35" s="20" t="s">
        <v>71</v>
      </c>
      <c r="RP35" s="20" t="s">
        <v>71</v>
      </c>
      <c r="RQ35" s="20" t="s">
        <v>71</v>
      </c>
      <c r="RR35" s="15" t="s">
        <v>71</v>
      </c>
      <c r="RS35" s="15"/>
      <c r="RT35" s="20" t="s">
        <v>71</v>
      </c>
      <c r="RU35" s="20" t="s">
        <v>71</v>
      </c>
      <c r="RV35" s="20" t="s">
        <v>71</v>
      </c>
      <c r="RW35" s="20" t="s">
        <v>71</v>
      </c>
      <c r="RX35" s="20" t="s">
        <v>71</v>
      </c>
      <c r="RY35" s="20" t="s">
        <v>71</v>
      </c>
      <c r="RZ35" s="20" t="s">
        <v>71</v>
      </c>
      <c r="SA35" s="15" t="s">
        <v>71</v>
      </c>
      <c r="SB35" s="20" t="s">
        <v>71</v>
      </c>
      <c r="SC35" s="20" t="s">
        <v>110</v>
      </c>
      <c r="SD35" s="20" t="s">
        <v>71</v>
      </c>
      <c r="SE35" s="20" t="s">
        <v>71</v>
      </c>
      <c r="SF35" s="20" t="s">
        <v>71</v>
      </c>
      <c r="SG35" s="20" t="s">
        <v>71</v>
      </c>
      <c r="SH35" s="20" t="s">
        <v>71</v>
      </c>
      <c r="SI35" s="20" t="s">
        <v>71</v>
      </c>
      <c r="SJ35" s="20" t="s">
        <v>71</v>
      </c>
      <c r="SK35" s="20" t="s">
        <v>71</v>
      </c>
      <c r="SL35" s="20" t="s">
        <v>71</v>
      </c>
      <c r="SM35" s="20" t="s">
        <v>110</v>
      </c>
      <c r="SN35" s="20" t="s">
        <v>110</v>
      </c>
      <c r="SO35" s="20" t="s">
        <v>110</v>
      </c>
      <c r="SP35" s="20" t="s">
        <v>110</v>
      </c>
      <c r="SQ35" s="20" t="s">
        <v>110</v>
      </c>
      <c r="SR35" s="20" t="s">
        <v>110</v>
      </c>
      <c r="SS35" s="20" t="s">
        <v>110</v>
      </c>
      <c r="ST35" s="20" t="s">
        <v>110</v>
      </c>
      <c r="SU35" s="20" t="s">
        <v>110</v>
      </c>
      <c r="SV35" s="20" t="s">
        <v>110</v>
      </c>
      <c r="SW35" s="20" t="s">
        <v>110</v>
      </c>
      <c r="SX35" s="20" t="s">
        <v>110</v>
      </c>
      <c r="SY35" s="20" t="s">
        <v>110</v>
      </c>
      <c r="SZ35" s="20" t="s">
        <v>110</v>
      </c>
      <c r="TA35" s="20" t="s">
        <v>110</v>
      </c>
      <c r="TB35" s="20" t="s">
        <v>110</v>
      </c>
      <c r="TC35" s="20" t="s">
        <v>110</v>
      </c>
      <c r="TD35" s="20" t="s">
        <v>110</v>
      </c>
      <c r="TE35" s="20" t="s">
        <v>110</v>
      </c>
      <c r="TF35" s="20" t="s">
        <v>110</v>
      </c>
      <c r="TG35" s="20" t="s">
        <v>110</v>
      </c>
      <c r="TH35" s="20" t="s">
        <v>110</v>
      </c>
      <c r="TI35" s="20" t="s">
        <v>110</v>
      </c>
      <c r="TJ35" s="20" t="s">
        <v>110</v>
      </c>
      <c r="TK35" s="20" t="s">
        <v>110</v>
      </c>
      <c r="TL35" s="20" t="s">
        <v>110</v>
      </c>
      <c r="TM35" s="20" t="s">
        <v>110</v>
      </c>
      <c r="TN35" s="20" t="s">
        <v>110</v>
      </c>
      <c r="TO35" s="20" t="s">
        <v>110</v>
      </c>
      <c r="TP35" s="20" t="s">
        <v>110</v>
      </c>
      <c r="TQ35" s="20" t="s">
        <v>71</v>
      </c>
      <c r="TR35" s="20" t="s">
        <v>299</v>
      </c>
      <c r="TS35" s="20" t="s">
        <v>110</v>
      </c>
      <c r="TT35" s="20" t="s">
        <v>110</v>
      </c>
      <c r="TU35" s="20" t="s">
        <v>110</v>
      </c>
      <c r="TV35" s="20" t="s">
        <v>110</v>
      </c>
      <c r="TW35" s="20" t="s">
        <v>110</v>
      </c>
      <c r="TX35" s="20" t="s">
        <v>110</v>
      </c>
      <c r="TY35" s="20" t="s">
        <v>110</v>
      </c>
      <c r="TZ35" s="20" t="s">
        <v>110</v>
      </c>
      <c r="UA35" s="20" t="s">
        <v>110</v>
      </c>
      <c r="UB35" s="20" t="s">
        <v>110</v>
      </c>
      <c r="UC35" s="20" t="s">
        <v>110</v>
      </c>
      <c r="UD35" s="20" t="s">
        <v>110</v>
      </c>
      <c r="UE35" s="20" t="s">
        <v>110</v>
      </c>
      <c r="UF35" s="20" t="s">
        <v>110</v>
      </c>
      <c r="UG35" s="20" t="s">
        <v>71</v>
      </c>
      <c r="UH35" s="20" t="s">
        <v>71</v>
      </c>
      <c r="UI35" s="20" t="s">
        <v>110</v>
      </c>
      <c r="UJ35" s="24" t="s">
        <v>299</v>
      </c>
      <c r="UK35" s="24" t="s">
        <v>299</v>
      </c>
      <c r="UL35" s="20" t="s">
        <v>71</v>
      </c>
      <c r="UM35" s="20" t="s">
        <v>110</v>
      </c>
      <c r="UN35" s="20" t="s">
        <v>71</v>
      </c>
      <c r="UO35" s="24" t="s">
        <v>299</v>
      </c>
      <c r="UP35" s="20" t="s">
        <v>110</v>
      </c>
      <c r="UQ35" s="20" t="s">
        <v>71</v>
      </c>
      <c r="UR35" s="20" t="s">
        <v>71</v>
      </c>
      <c r="US35" s="20" t="s">
        <v>71</v>
      </c>
      <c r="UT35" s="20" t="s">
        <v>71</v>
      </c>
      <c r="UU35" s="20" t="s">
        <v>71</v>
      </c>
      <c r="UV35" s="20" t="s">
        <v>110</v>
      </c>
      <c r="UW35" s="20" t="s">
        <v>71</v>
      </c>
      <c r="UX35" s="20" t="s">
        <v>71</v>
      </c>
      <c r="UY35" s="20" t="s">
        <v>71</v>
      </c>
      <c r="UZ35" s="20" t="s">
        <v>71</v>
      </c>
      <c r="VA35" s="20" t="s">
        <v>71</v>
      </c>
      <c r="VB35" s="20" t="s">
        <v>110</v>
      </c>
      <c r="VC35" s="20" t="s">
        <v>110</v>
      </c>
      <c r="VD35" s="20" t="s">
        <v>71</v>
      </c>
      <c r="VE35" s="20" t="s">
        <v>71</v>
      </c>
      <c r="VF35" s="20" t="s">
        <v>71</v>
      </c>
      <c r="VG35" s="20" t="s">
        <v>71</v>
      </c>
      <c r="VH35" s="20" t="s">
        <v>71</v>
      </c>
      <c r="VI35" s="20" t="s">
        <v>71</v>
      </c>
      <c r="VJ35" s="20" t="s">
        <v>71</v>
      </c>
      <c r="VK35" s="20" t="s">
        <v>71</v>
      </c>
      <c r="VL35" s="20" t="s">
        <v>71</v>
      </c>
      <c r="VM35" s="20" t="s">
        <v>71</v>
      </c>
      <c r="VN35" s="20" t="s">
        <v>71</v>
      </c>
      <c r="VO35" s="20" t="s">
        <v>71</v>
      </c>
      <c r="VP35" s="20" t="s">
        <v>71</v>
      </c>
      <c r="VQ35" s="20" t="s">
        <v>71</v>
      </c>
      <c r="VR35" s="20" t="s">
        <v>71</v>
      </c>
      <c r="VS35" s="20" t="s">
        <v>71</v>
      </c>
      <c r="VT35" s="20" t="s">
        <v>71</v>
      </c>
      <c r="VU35" s="20" t="s">
        <v>71</v>
      </c>
      <c r="VV35" s="20" t="s">
        <v>71</v>
      </c>
      <c r="VW35" s="20" t="s">
        <v>71</v>
      </c>
      <c r="VX35" s="20" t="s">
        <v>71</v>
      </c>
      <c r="VY35" s="20" t="s">
        <v>71</v>
      </c>
      <c r="VZ35" s="20" t="s">
        <v>71</v>
      </c>
      <c r="WA35" s="15" t="s">
        <v>71</v>
      </c>
      <c r="WB35" s="15" t="s">
        <v>71</v>
      </c>
      <c r="WC35" s="15" t="s">
        <v>71</v>
      </c>
      <c r="WD35" s="15" t="s">
        <v>71</v>
      </c>
      <c r="WE35" s="20" t="s">
        <v>71</v>
      </c>
      <c r="WF35" s="20" t="s">
        <v>71</v>
      </c>
      <c r="WG35" s="20" t="s">
        <v>71</v>
      </c>
      <c r="WH35" s="20" t="s">
        <v>71</v>
      </c>
      <c r="WI35" s="20" t="s">
        <v>71</v>
      </c>
      <c r="WJ35" s="20" t="s">
        <v>71</v>
      </c>
      <c r="WK35" s="20" t="s">
        <v>71</v>
      </c>
      <c r="WL35" s="20" t="s">
        <v>71</v>
      </c>
      <c r="WM35" s="20" t="s">
        <v>71</v>
      </c>
      <c r="WN35" s="20" t="s">
        <v>71</v>
      </c>
      <c r="WO35" s="20" t="s">
        <v>71</v>
      </c>
      <c r="WP35" s="20" t="s">
        <v>71</v>
      </c>
      <c r="WQ35" s="20" t="s">
        <v>71</v>
      </c>
      <c r="WR35" s="20" t="s">
        <v>71</v>
      </c>
      <c r="WS35" s="20" t="s">
        <v>71</v>
      </c>
      <c r="WT35" s="20" t="s">
        <v>71</v>
      </c>
      <c r="WU35" s="20" t="s">
        <v>71</v>
      </c>
      <c r="WV35" s="20" t="s">
        <v>71</v>
      </c>
      <c r="WW35" s="20" t="s">
        <v>71</v>
      </c>
      <c r="WX35" s="20" t="s">
        <v>71</v>
      </c>
      <c r="WY35" s="20" t="s">
        <v>71</v>
      </c>
      <c r="WZ35" s="20" t="s">
        <v>71</v>
      </c>
      <c r="XA35" s="20" t="s">
        <v>71</v>
      </c>
      <c r="XB35" s="20" t="s">
        <v>71</v>
      </c>
      <c r="XC35" s="20" t="s">
        <v>71</v>
      </c>
      <c r="XD35" s="20" t="s">
        <v>71</v>
      </c>
      <c r="XE35" s="20" t="s">
        <v>71</v>
      </c>
      <c r="XF35" s="20" t="s">
        <v>71</v>
      </c>
      <c r="XG35" s="20" t="s">
        <v>71</v>
      </c>
      <c r="XH35" s="20" t="s">
        <v>71</v>
      </c>
      <c r="XI35" s="20" t="s">
        <v>71</v>
      </c>
      <c r="XJ35" s="20" t="s">
        <v>71</v>
      </c>
      <c r="XK35" s="20" t="s">
        <v>71</v>
      </c>
      <c r="XL35" s="20" t="s">
        <v>71</v>
      </c>
      <c r="XM35" s="20" t="s">
        <v>71</v>
      </c>
      <c r="XN35" s="20" t="s">
        <v>71</v>
      </c>
      <c r="XO35" s="20" t="s">
        <v>71</v>
      </c>
      <c r="XP35" s="20" t="s">
        <v>71</v>
      </c>
      <c r="XQ35" s="20" t="s">
        <v>71</v>
      </c>
      <c r="XR35" s="20" t="s">
        <v>71</v>
      </c>
      <c r="XS35" s="20" t="s">
        <v>71</v>
      </c>
      <c r="XT35" s="20" t="s">
        <v>71</v>
      </c>
      <c r="XU35" s="20" t="s">
        <v>71</v>
      </c>
      <c r="XV35" s="20" t="s">
        <v>71</v>
      </c>
      <c r="XW35" s="20" t="s">
        <v>71</v>
      </c>
      <c r="XX35" s="20" t="s">
        <v>71</v>
      </c>
      <c r="XY35" s="20" t="s">
        <v>71</v>
      </c>
      <c r="XZ35" s="20" t="s">
        <v>71</v>
      </c>
      <c r="YA35" s="20" t="s">
        <v>71</v>
      </c>
      <c r="YB35" s="20" t="s">
        <v>71</v>
      </c>
      <c r="YC35" s="20" t="s">
        <v>71</v>
      </c>
      <c r="YD35" s="20" t="s">
        <v>71</v>
      </c>
      <c r="YE35" s="20" t="s">
        <v>71</v>
      </c>
      <c r="YF35" s="20" t="s">
        <v>110</v>
      </c>
      <c r="YG35" s="20" t="s">
        <v>110</v>
      </c>
      <c r="YH35" s="20" t="s">
        <v>110</v>
      </c>
      <c r="YI35" s="20" t="s">
        <v>110</v>
      </c>
      <c r="YJ35" s="20" t="s">
        <v>71</v>
      </c>
      <c r="YK35" s="20" t="s">
        <v>71</v>
      </c>
      <c r="YL35" s="20" t="s">
        <v>71</v>
      </c>
      <c r="YM35" s="20" t="s">
        <v>71</v>
      </c>
      <c r="YN35" s="20" t="s">
        <v>71</v>
      </c>
      <c r="YO35" s="20" t="s">
        <v>110</v>
      </c>
      <c r="YP35" s="20" t="s">
        <v>110</v>
      </c>
      <c r="YQ35" s="20" t="s">
        <v>110</v>
      </c>
      <c r="YR35" s="20" t="s">
        <v>110</v>
      </c>
      <c r="YS35" s="20" t="s">
        <v>71</v>
      </c>
      <c r="YT35" s="20" t="s">
        <v>71</v>
      </c>
      <c r="YU35" s="20" t="s">
        <v>71</v>
      </c>
      <c r="YV35" s="20" t="s">
        <v>110</v>
      </c>
      <c r="YW35" s="20" t="s">
        <v>71</v>
      </c>
      <c r="YX35" s="20" t="s">
        <v>71</v>
      </c>
      <c r="YY35" s="20" t="s">
        <v>71</v>
      </c>
      <c r="YZ35" s="20" t="s">
        <v>71</v>
      </c>
      <c r="ZA35" s="20" t="s">
        <v>71</v>
      </c>
      <c r="ZB35" s="20" t="s">
        <v>110</v>
      </c>
      <c r="ZC35" s="20" t="s">
        <v>110</v>
      </c>
      <c r="ZD35" s="20" t="s">
        <v>110</v>
      </c>
      <c r="ZE35" s="20" t="s">
        <v>110</v>
      </c>
      <c r="ZF35" s="20" t="s">
        <v>71</v>
      </c>
      <c r="ZG35" s="20" t="s">
        <v>71</v>
      </c>
      <c r="ZH35" s="20" t="s">
        <v>71</v>
      </c>
      <c r="ZI35" s="20" t="s">
        <v>71</v>
      </c>
      <c r="ZJ35" s="20" t="s">
        <v>71</v>
      </c>
      <c r="ZK35" s="15" t="s">
        <v>71</v>
      </c>
      <c r="ZL35" s="15" t="s">
        <v>71</v>
      </c>
      <c r="ZM35" s="15" t="s">
        <v>71</v>
      </c>
      <c r="ZN35" s="15" t="s">
        <v>71</v>
      </c>
      <c r="ZO35" s="15" t="s">
        <v>71</v>
      </c>
      <c r="ZP35" s="15" t="s">
        <v>71</v>
      </c>
      <c r="ZQ35" s="15" t="s">
        <v>71</v>
      </c>
      <c r="ZR35" s="15" t="s">
        <v>71</v>
      </c>
      <c r="ZS35" s="15" t="s">
        <v>71</v>
      </c>
      <c r="ZT35" s="15" t="s">
        <v>71</v>
      </c>
      <c r="ZU35" s="15" t="s">
        <v>71</v>
      </c>
      <c r="ZV35" s="15" t="s">
        <v>71</v>
      </c>
      <c r="ZW35" s="15" t="s">
        <v>71</v>
      </c>
      <c r="ZX35" s="15" t="s">
        <v>71</v>
      </c>
      <c r="ZY35" s="15" t="s">
        <v>71</v>
      </c>
      <c r="ZZ35" s="15" t="s">
        <v>71</v>
      </c>
      <c r="AAA35" s="15" t="s">
        <v>71</v>
      </c>
      <c r="AAB35" s="15" t="s">
        <v>71</v>
      </c>
      <c r="AAC35" s="15" t="s">
        <v>71</v>
      </c>
      <c r="AAD35" s="15" t="s">
        <v>71</v>
      </c>
      <c r="AAE35" s="15" t="s">
        <v>71</v>
      </c>
      <c r="AAF35" s="15" t="s">
        <v>71</v>
      </c>
      <c r="AAG35" s="15" t="s">
        <v>71</v>
      </c>
      <c r="AAH35" s="15" t="s">
        <v>71</v>
      </c>
      <c r="AAI35" s="15" t="s">
        <v>71</v>
      </c>
      <c r="AAJ35" s="20" t="s">
        <v>110</v>
      </c>
      <c r="AAK35" s="15" t="s">
        <v>71</v>
      </c>
      <c r="AAL35" s="15"/>
      <c r="AAM35" s="20" t="s">
        <v>71</v>
      </c>
      <c r="AAN35" s="20" t="s">
        <v>71</v>
      </c>
      <c r="AAO35" s="20" t="s">
        <v>71</v>
      </c>
      <c r="AAP35" s="20" t="s">
        <v>71</v>
      </c>
      <c r="AAQ35" s="20" t="s">
        <v>71</v>
      </c>
      <c r="AAR35" s="20" t="s">
        <v>71</v>
      </c>
      <c r="AAS35" s="20" t="s">
        <v>71</v>
      </c>
      <c r="AAT35" s="20" t="s">
        <v>71</v>
      </c>
      <c r="AAU35" s="20" t="s">
        <v>71</v>
      </c>
      <c r="AAV35" s="20" t="s">
        <v>110</v>
      </c>
      <c r="AAW35" s="15" t="s">
        <v>110</v>
      </c>
      <c r="AAX35" s="15"/>
      <c r="AAY35" s="20" t="s">
        <v>71</v>
      </c>
      <c r="AAZ35" s="20" t="s">
        <v>71</v>
      </c>
      <c r="ABA35" s="20" t="s">
        <v>71</v>
      </c>
      <c r="ABB35" s="20" t="s">
        <v>71</v>
      </c>
      <c r="ABC35" s="20" t="s">
        <v>71</v>
      </c>
      <c r="ABD35" s="20" t="s">
        <v>71</v>
      </c>
      <c r="ABE35" s="20" t="s">
        <v>71</v>
      </c>
      <c r="ABF35" s="20" t="s">
        <v>71</v>
      </c>
      <c r="ABG35" s="20" t="s">
        <v>71</v>
      </c>
      <c r="ABH35" s="20" t="s">
        <v>110</v>
      </c>
      <c r="ABI35" s="20" t="s">
        <v>71</v>
      </c>
      <c r="ABJ35" s="20" t="s">
        <v>299</v>
      </c>
      <c r="ABK35" s="15" t="s">
        <v>71</v>
      </c>
      <c r="ABL35" s="15" t="s">
        <v>71</v>
      </c>
      <c r="ABM35" s="15" t="s">
        <v>71</v>
      </c>
      <c r="ABN35" s="15" t="s">
        <v>71</v>
      </c>
      <c r="ABO35" s="15" t="s">
        <v>71</v>
      </c>
      <c r="ABP35" s="15" t="s">
        <v>71</v>
      </c>
      <c r="ABQ35" s="20" t="s">
        <v>110</v>
      </c>
      <c r="ABR35" s="20" t="s">
        <v>71</v>
      </c>
      <c r="ABS35" s="20" t="s">
        <v>299</v>
      </c>
      <c r="ABT35" s="20" t="s">
        <v>71</v>
      </c>
      <c r="ABU35" s="20" t="s">
        <v>71</v>
      </c>
      <c r="ABV35" s="20" t="s">
        <v>71</v>
      </c>
      <c r="ABW35" s="20" t="s">
        <v>71</v>
      </c>
      <c r="ABX35" s="20" t="s">
        <v>71</v>
      </c>
      <c r="ABY35" s="20" t="s">
        <v>71</v>
      </c>
      <c r="ABZ35" s="20" t="s">
        <v>71</v>
      </c>
      <c r="ACA35" s="20" t="s">
        <v>71</v>
      </c>
      <c r="ACB35" s="20" t="s">
        <v>71</v>
      </c>
      <c r="ACC35" s="20" t="s">
        <v>71</v>
      </c>
      <c r="ACD35" s="20" t="s">
        <v>71</v>
      </c>
      <c r="ACE35" s="20" t="s">
        <v>71</v>
      </c>
      <c r="ACF35" s="20" t="s">
        <v>71</v>
      </c>
      <c r="ACG35" s="20" t="s">
        <v>71</v>
      </c>
      <c r="ACH35" s="15" t="s">
        <v>71</v>
      </c>
      <c r="ACI35" s="15" t="s">
        <v>71</v>
      </c>
      <c r="ACJ35" s="15" t="s">
        <v>71</v>
      </c>
      <c r="ACK35" s="15" t="s">
        <v>71</v>
      </c>
      <c r="ACL35" s="15" t="s">
        <v>71</v>
      </c>
      <c r="ACM35" s="15" t="s">
        <v>71</v>
      </c>
      <c r="ACN35" s="15" t="s">
        <v>71</v>
      </c>
      <c r="ACO35" s="15" t="s">
        <v>71</v>
      </c>
      <c r="ACP35" s="15" t="s">
        <v>71</v>
      </c>
      <c r="ACQ35" s="15" t="s">
        <v>71</v>
      </c>
      <c r="ACR35" s="15" t="s">
        <v>71</v>
      </c>
      <c r="ACS35" s="15" t="s">
        <v>71</v>
      </c>
      <c r="ACT35" s="15" t="s">
        <v>71</v>
      </c>
      <c r="ACU35" s="15" t="s">
        <v>71</v>
      </c>
      <c r="ACV35" s="15" t="s">
        <v>71</v>
      </c>
      <c r="ACW35" s="15" t="s">
        <v>71</v>
      </c>
      <c r="ACX35" s="15" t="s">
        <v>71</v>
      </c>
      <c r="ACY35" s="15" t="s">
        <v>71</v>
      </c>
      <c r="ACZ35" s="15" t="s">
        <v>71</v>
      </c>
      <c r="ADA35" s="15" t="s">
        <v>71</v>
      </c>
      <c r="ADB35" s="15" t="s">
        <v>71</v>
      </c>
      <c r="ADC35" s="15" t="s">
        <v>71</v>
      </c>
      <c r="ADD35" s="15" t="s">
        <v>71</v>
      </c>
      <c r="ADE35" s="20" t="s">
        <v>110</v>
      </c>
      <c r="ADF35" s="15" t="s">
        <v>71</v>
      </c>
      <c r="ADG35" s="15" t="s">
        <v>71</v>
      </c>
      <c r="ADH35" s="15"/>
      <c r="ADI35" s="20" t="s">
        <v>71</v>
      </c>
      <c r="ADJ35" s="20" t="s">
        <v>71</v>
      </c>
      <c r="ADK35" s="20" t="s">
        <v>71</v>
      </c>
      <c r="ADL35" s="20" t="s">
        <v>71</v>
      </c>
      <c r="ADM35" s="20" t="s">
        <v>71</v>
      </c>
      <c r="ADN35" s="20" t="s">
        <v>71</v>
      </c>
      <c r="ADO35" s="20" t="s">
        <v>71</v>
      </c>
      <c r="ADP35" s="20" t="s">
        <v>71</v>
      </c>
      <c r="ADQ35" s="20" t="s">
        <v>71</v>
      </c>
      <c r="ADR35" s="20" t="s">
        <v>110</v>
      </c>
      <c r="ADS35" s="20" t="s">
        <v>71</v>
      </c>
      <c r="ADT35" s="20" t="s">
        <v>299</v>
      </c>
      <c r="ADU35" s="15" t="s">
        <v>71</v>
      </c>
      <c r="ADV35" s="15" t="s">
        <v>71</v>
      </c>
      <c r="ADW35" s="15" t="s">
        <v>71</v>
      </c>
      <c r="ADX35" s="15" t="s">
        <v>71</v>
      </c>
      <c r="ADY35" s="15" t="s">
        <v>71</v>
      </c>
      <c r="ADZ35" s="15" t="s">
        <v>71</v>
      </c>
      <c r="AEA35" s="20" t="s">
        <v>110</v>
      </c>
      <c r="AEB35" s="20" t="s">
        <v>71</v>
      </c>
      <c r="AEC35" s="20" t="s">
        <v>299</v>
      </c>
      <c r="AED35" s="20" t="s">
        <v>71</v>
      </c>
      <c r="AEE35" s="20" t="s">
        <v>71</v>
      </c>
      <c r="AEF35" s="20" t="s">
        <v>71</v>
      </c>
      <c r="AEG35" s="20" t="s">
        <v>71</v>
      </c>
      <c r="AEH35" s="20" t="s">
        <v>71</v>
      </c>
      <c r="AEI35" s="20" t="s">
        <v>71</v>
      </c>
      <c r="AEJ35" s="20" t="s">
        <v>71</v>
      </c>
      <c r="AEK35" s="20" t="s">
        <v>71</v>
      </c>
      <c r="AEL35" s="20" t="s">
        <v>71</v>
      </c>
      <c r="AEM35" s="20" t="s">
        <v>71</v>
      </c>
      <c r="AEN35" s="20" t="s">
        <v>71</v>
      </c>
      <c r="AEO35" s="20" t="s">
        <v>71</v>
      </c>
      <c r="AEP35" s="20" t="s">
        <v>71</v>
      </c>
      <c r="AEQ35" s="20" t="s">
        <v>71</v>
      </c>
      <c r="AER35" s="15" t="s">
        <v>71</v>
      </c>
      <c r="AES35" s="15" t="s">
        <v>71</v>
      </c>
      <c r="AET35" s="15" t="s">
        <v>71</v>
      </c>
      <c r="AEU35" s="15" t="s">
        <v>71</v>
      </c>
      <c r="AEV35" s="15" t="s">
        <v>71</v>
      </c>
      <c r="AEW35" s="15" t="s">
        <v>71</v>
      </c>
      <c r="AEX35" s="15" t="s">
        <v>71</v>
      </c>
      <c r="AEY35" s="15" t="s">
        <v>71</v>
      </c>
      <c r="AEZ35" s="15" t="s">
        <v>71</v>
      </c>
      <c r="AFA35" s="15" t="s">
        <v>71</v>
      </c>
      <c r="AFB35" s="15" t="s">
        <v>71</v>
      </c>
      <c r="AFC35" s="15" t="s">
        <v>71</v>
      </c>
      <c r="AFD35" s="15" t="s">
        <v>71</v>
      </c>
      <c r="AFE35" s="15" t="s">
        <v>71</v>
      </c>
      <c r="AFF35" s="15" t="s">
        <v>71</v>
      </c>
      <c r="AFG35" s="15" t="s">
        <v>71</v>
      </c>
      <c r="AFH35" s="15" t="s">
        <v>71</v>
      </c>
      <c r="AFI35" s="15" t="s">
        <v>71</v>
      </c>
      <c r="AFJ35" s="15" t="s">
        <v>71</v>
      </c>
      <c r="AFK35" s="15" t="s">
        <v>71</v>
      </c>
      <c r="AFL35" s="15" t="s">
        <v>71</v>
      </c>
      <c r="AFM35" s="15" t="s">
        <v>71</v>
      </c>
      <c r="AFN35" s="15" t="s">
        <v>71</v>
      </c>
      <c r="AFO35" s="20" t="s">
        <v>110</v>
      </c>
      <c r="AFP35" s="15" t="s">
        <v>71</v>
      </c>
      <c r="AFQ35" s="15" t="s">
        <v>71</v>
      </c>
      <c r="AFR35" s="15"/>
      <c r="AFS35" s="15" t="s">
        <v>71</v>
      </c>
      <c r="AFT35" s="15" t="s">
        <v>71</v>
      </c>
      <c r="AFU35" s="15" t="s">
        <v>71</v>
      </c>
      <c r="AFV35" s="15" t="s">
        <v>71</v>
      </c>
      <c r="AFW35" s="15" t="s">
        <v>71</v>
      </c>
      <c r="AFX35" s="15" t="s">
        <v>71</v>
      </c>
      <c r="AFY35" s="15" t="s">
        <v>71</v>
      </c>
      <c r="AFZ35" s="15" t="s">
        <v>71</v>
      </c>
      <c r="AGA35" s="15" t="s">
        <v>71</v>
      </c>
      <c r="AGB35" s="15" t="s">
        <v>110</v>
      </c>
      <c r="AGC35" s="15" t="s">
        <v>71</v>
      </c>
      <c r="AGD35" s="15" t="s">
        <v>71</v>
      </c>
      <c r="AGE35" s="15" t="s">
        <v>71</v>
      </c>
      <c r="AGF35" s="15" t="s">
        <v>71</v>
      </c>
      <c r="AGG35" s="15" t="s">
        <v>71</v>
      </c>
      <c r="AGH35" s="15" t="s">
        <v>71</v>
      </c>
      <c r="AGI35" s="15" t="s">
        <v>110</v>
      </c>
      <c r="AGJ35" s="15" t="s">
        <v>110</v>
      </c>
      <c r="AGK35" s="15" t="s">
        <v>110</v>
      </c>
      <c r="AGL35" s="15" t="s">
        <v>299</v>
      </c>
      <c r="AGM35" s="15" t="s">
        <v>71</v>
      </c>
      <c r="AGN35" s="15" t="s">
        <v>71</v>
      </c>
      <c r="AGO35" s="15" t="s">
        <v>71</v>
      </c>
      <c r="AGP35" s="15" t="s">
        <v>71</v>
      </c>
      <c r="AGQ35" s="15" t="s">
        <v>71</v>
      </c>
      <c r="AGR35" s="15" t="s">
        <v>110</v>
      </c>
      <c r="AGS35" s="15" t="s">
        <v>110</v>
      </c>
      <c r="AGT35" s="15" t="s">
        <v>110</v>
      </c>
      <c r="AGU35" s="15" t="s">
        <v>299</v>
      </c>
      <c r="AGV35" s="15" t="s">
        <v>71</v>
      </c>
      <c r="AGW35" s="15" t="s">
        <v>71</v>
      </c>
      <c r="AGX35" s="15" t="s">
        <v>71</v>
      </c>
      <c r="AGY35" s="15" t="s">
        <v>71</v>
      </c>
      <c r="AGZ35" s="15" t="s">
        <v>71</v>
      </c>
      <c r="AHA35" s="15" t="s">
        <v>71</v>
      </c>
      <c r="AHB35" s="15" t="s">
        <v>71</v>
      </c>
      <c r="AHC35" s="15" t="s">
        <v>71</v>
      </c>
      <c r="AHD35" s="15" t="s">
        <v>71</v>
      </c>
      <c r="AHE35" s="15" t="s">
        <v>71</v>
      </c>
      <c r="AHF35" s="15" t="s">
        <v>71</v>
      </c>
      <c r="AHG35" s="15" t="s">
        <v>71</v>
      </c>
      <c r="AHH35" s="15" t="s">
        <v>71</v>
      </c>
      <c r="AHI35" s="15" t="s">
        <v>71</v>
      </c>
      <c r="AHJ35" s="15" t="s">
        <v>71</v>
      </c>
      <c r="AHK35" s="15" t="s">
        <v>71</v>
      </c>
      <c r="AHL35" s="15" t="s">
        <v>71</v>
      </c>
      <c r="AHM35" s="15" t="s">
        <v>71</v>
      </c>
      <c r="AHN35" s="15" t="s">
        <v>71</v>
      </c>
      <c r="AHO35" s="15" t="s">
        <v>71</v>
      </c>
      <c r="AHP35" s="15" t="s">
        <v>71</v>
      </c>
      <c r="AHQ35" s="15" t="s">
        <v>71</v>
      </c>
      <c r="AHR35" s="15" t="s">
        <v>71</v>
      </c>
      <c r="AHS35" s="15" t="s">
        <v>71</v>
      </c>
      <c r="AHT35" s="15" t="s">
        <v>71</v>
      </c>
      <c r="AHU35" s="15" t="s">
        <v>71</v>
      </c>
      <c r="AHV35" s="15" t="s">
        <v>71</v>
      </c>
      <c r="AHW35" s="15" t="s">
        <v>71</v>
      </c>
      <c r="AHX35" s="15" t="s">
        <v>71</v>
      </c>
      <c r="AHY35" s="15" t="s">
        <v>71</v>
      </c>
      <c r="AHZ35" s="15" t="s">
        <v>71</v>
      </c>
      <c r="AIA35" s="15" t="s">
        <v>71</v>
      </c>
      <c r="AIB35" s="15" t="s">
        <v>71</v>
      </c>
      <c r="AIC35" s="15" t="s">
        <v>71</v>
      </c>
      <c r="AID35" s="15" t="s">
        <v>71</v>
      </c>
      <c r="AIE35" s="15" t="s">
        <v>71</v>
      </c>
      <c r="AIF35" s="15" t="s">
        <v>71</v>
      </c>
      <c r="AIG35" s="15" t="s">
        <v>71</v>
      </c>
      <c r="AIH35" s="15" t="s">
        <v>71</v>
      </c>
      <c r="AII35" s="15" t="s">
        <v>71</v>
      </c>
      <c r="AIJ35" s="15" t="s">
        <v>71</v>
      </c>
      <c r="AIK35" s="15" t="s">
        <v>71</v>
      </c>
      <c r="AIL35" s="15" t="s">
        <v>71</v>
      </c>
      <c r="AIM35" s="15" t="s">
        <v>71</v>
      </c>
      <c r="AIN35" s="15" t="s">
        <v>71</v>
      </c>
      <c r="AIO35" s="15" t="s">
        <v>71</v>
      </c>
      <c r="AIP35" s="15" t="s">
        <v>71</v>
      </c>
      <c r="AIQ35" s="20" t="s">
        <v>110</v>
      </c>
      <c r="AIR35" s="15" t="s">
        <v>71</v>
      </c>
      <c r="AIS35" s="20" t="s">
        <v>110</v>
      </c>
      <c r="AIT35" s="15" t="s">
        <v>71</v>
      </c>
      <c r="AIU35" s="15" t="s">
        <v>71</v>
      </c>
      <c r="AIV35" s="15" t="s">
        <v>71</v>
      </c>
      <c r="AIW35" s="15" t="s">
        <v>71</v>
      </c>
      <c r="AIX35" s="15" t="s">
        <v>71</v>
      </c>
      <c r="AIY35" s="15" t="s">
        <v>71</v>
      </c>
      <c r="AIZ35" s="15" t="s">
        <v>71</v>
      </c>
      <c r="AJA35" s="20" t="s">
        <v>110</v>
      </c>
      <c r="AJB35" s="15" t="s">
        <v>71</v>
      </c>
      <c r="AJC35" s="15" t="s">
        <v>71</v>
      </c>
      <c r="AJD35" s="15" t="s">
        <v>71</v>
      </c>
      <c r="AJE35" s="20" t="s">
        <v>110</v>
      </c>
      <c r="AJF35" s="15"/>
      <c r="AJG35" s="15" t="s">
        <v>110</v>
      </c>
      <c r="AJH35" s="15" t="s">
        <v>110</v>
      </c>
      <c r="AJI35" s="15" t="s">
        <v>110</v>
      </c>
      <c r="AJJ35" s="15" t="s">
        <v>110</v>
      </c>
      <c r="AJK35" s="15" t="s">
        <v>110</v>
      </c>
      <c r="AJL35" s="15" t="s">
        <v>110</v>
      </c>
      <c r="AJM35" s="15" t="s">
        <v>110</v>
      </c>
      <c r="AJN35" s="15"/>
      <c r="AJO35" s="15" t="s">
        <v>110</v>
      </c>
      <c r="AJP35" s="15" t="s">
        <v>110</v>
      </c>
      <c r="AJQ35" s="15" t="s">
        <v>110</v>
      </c>
      <c r="AJR35" s="15" t="s">
        <v>110</v>
      </c>
      <c r="AJS35" s="15" t="s">
        <v>110</v>
      </c>
      <c r="AJT35" s="15" t="s">
        <v>110</v>
      </c>
      <c r="AJU35" s="15" t="s">
        <v>110</v>
      </c>
      <c r="AJV35" s="15" t="s">
        <v>110</v>
      </c>
      <c r="AJW35" s="15" t="s">
        <v>110</v>
      </c>
      <c r="AJX35" s="15"/>
      <c r="AJY35" s="15" t="s">
        <v>110</v>
      </c>
      <c r="AJZ35" s="15" t="s">
        <v>110</v>
      </c>
      <c r="AKA35" s="15" t="s">
        <v>110</v>
      </c>
      <c r="AKB35" s="15" t="s">
        <v>110</v>
      </c>
      <c r="AKC35" s="15" t="s">
        <v>110</v>
      </c>
      <c r="AKD35" s="15" t="s">
        <v>110</v>
      </c>
      <c r="AKE35" s="15" t="s">
        <v>110</v>
      </c>
      <c r="AKF35" s="15" t="s">
        <v>110</v>
      </c>
      <c r="AKG35" s="15" t="s">
        <v>110</v>
      </c>
      <c r="AKH35" s="15" t="s">
        <v>110</v>
      </c>
      <c r="AKI35" s="15"/>
      <c r="AKJ35" s="20" t="s">
        <v>71</v>
      </c>
      <c r="AKK35" s="20" t="s">
        <v>71</v>
      </c>
      <c r="AKL35" s="20" t="s">
        <v>71</v>
      </c>
      <c r="AKM35" s="20" t="s">
        <v>71</v>
      </c>
      <c r="AKN35" s="20" t="s">
        <v>71</v>
      </c>
      <c r="AKO35" s="20" t="s">
        <v>71</v>
      </c>
      <c r="AKP35" s="20" t="s">
        <v>71</v>
      </c>
      <c r="AKQ35" s="20" t="s">
        <v>71</v>
      </c>
      <c r="AKR35" s="20" t="s">
        <v>71</v>
      </c>
      <c r="AKS35" s="20" t="s">
        <v>71</v>
      </c>
      <c r="AKT35" s="20" t="s">
        <v>71</v>
      </c>
      <c r="AKU35" s="20" t="s">
        <v>71</v>
      </c>
      <c r="AKV35" s="20" t="s">
        <v>71</v>
      </c>
      <c r="AKW35" s="20" t="s">
        <v>71</v>
      </c>
      <c r="AKX35" s="15"/>
      <c r="AKY35" s="20" t="s">
        <v>71</v>
      </c>
      <c r="AKZ35" s="20" t="s">
        <v>71</v>
      </c>
      <c r="ALA35" s="20" t="s">
        <v>71</v>
      </c>
      <c r="ALB35" s="20" t="s">
        <v>71</v>
      </c>
      <c r="ALC35" s="20" t="s">
        <v>71</v>
      </c>
      <c r="ALD35" s="20" t="s">
        <v>71</v>
      </c>
      <c r="ALE35" s="20" t="s">
        <v>71</v>
      </c>
      <c r="ALF35" s="20" t="s">
        <v>71</v>
      </c>
      <c r="ALG35" s="20" t="s">
        <v>71</v>
      </c>
      <c r="ALH35" s="20" t="s">
        <v>71</v>
      </c>
      <c r="ALI35" s="20" t="s">
        <v>71</v>
      </c>
      <c r="ALJ35" s="20" t="s">
        <v>71</v>
      </c>
      <c r="ALK35" s="20" t="s">
        <v>71</v>
      </c>
      <c r="ALL35" s="20" t="s">
        <v>71</v>
      </c>
      <c r="ALM35" s="15"/>
      <c r="ALN35" s="20" t="s">
        <v>71</v>
      </c>
      <c r="ALO35" s="20" t="s">
        <v>71</v>
      </c>
      <c r="ALP35" s="20" t="s">
        <v>71</v>
      </c>
      <c r="ALQ35" s="20" t="s">
        <v>71</v>
      </c>
      <c r="ALR35" s="20" t="s">
        <v>71</v>
      </c>
      <c r="ALS35" s="20" t="s">
        <v>71</v>
      </c>
      <c r="ALT35" s="20" t="s">
        <v>71</v>
      </c>
      <c r="ALU35" s="20" t="s">
        <v>71</v>
      </c>
      <c r="ALV35" s="20" t="s">
        <v>71</v>
      </c>
      <c r="ALW35" s="20" t="s">
        <v>110</v>
      </c>
      <c r="ALX35" s="20" t="s">
        <v>110</v>
      </c>
      <c r="ALY35" s="20" t="s">
        <v>110</v>
      </c>
      <c r="ALZ35" s="20" t="s">
        <v>110</v>
      </c>
      <c r="AMA35" s="20" t="s">
        <v>110</v>
      </c>
      <c r="AMB35" s="20" t="s">
        <v>110</v>
      </c>
      <c r="AMC35" s="15"/>
      <c r="AMD35" s="15" t="s">
        <v>71</v>
      </c>
      <c r="AME35" s="15" t="s">
        <v>71</v>
      </c>
      <c r="AMF35" s="15" t="s">
        <v>71</v>
      </c>
      <c r="AMG35" s="15" t="s">
        <v>71</v>
      </c>
      <c r="AMH35" s="15" t="s">
        <v>71</v>
      </c>
      <c r="AMI35" s="15" t="s">
        <v>71</v>
      </c>
      <c r="AMJ35" s="15" t="s">
        <v>71</v>
      </c>
      <c r="AMK35" s="15" t="s">
        <v>71</v>
      </c>
      <c r="AML35" s="15" t="s">
        <v>71</v>
      </c>
      <c r="AMM35" s="15" t="s">
        <v>110</v>
      </c>
      <c r="AMN35" s="15" t="s">
        <v>71</v>
      </c>
      <c r="AMO35" s="15" t="s">
        <v>71</v>
      </c>
      <c r="AMP35" s="15" t="s">
        <v>71</v>
      </c>
      <c r="AMQ35" s="15" t="s">
        <v>71</v>
      </c>
      <c r="AMR35" s="15" t="s">
        <v>71</v>
      </c>
      <c r="AMS35" s="15" t="s">
        <v>71</v>
      </c>
      <c r="AMT35" s="15" t="s">
        <v>71</v>
      </c>
      <c r="AMU35" s="15" t="s">
        <v>71</v>
      </c>
      <c r="AMV35" s="15" t="s">
        <v>71</v>
      </c>
      <c r="AMW35" s="15" t="s">
        <v>71</v>
      </c>
      <c r="AMX35" s="15" t="s">
        <v>71</v>
      </c>
      <c r="AMY35" s="15" t="s">
        <v>71</v>
      </c>
      <c r="AMZ35" s="15" t="s">
        <v>71</v>
      </c>
      <c r="ANA35" s="15" t="s">
        <v>71</v>
      </c>
      <c r="ANB35" s="15" t="s">
        <v>71</v>
      </c>
      <c r="ANC35" s="15" t="s">
        <v>71</v>
      </c>
      <c r="AND35" s="15" t="s">
        <v>71</v>
      </c>
      <c r="ANE35" s="15"/>
      <c r="ANF35" s="15"/>
      <c r="ANG35" s="15"/>
      <c r="ANH35" s="15"/>
      <c r="ANI35" s="15"/>
      <c r="ANJ35" s="15"/>
      <c r="ANK35" s="15"/>
      <c r="ANL35" s="15"/>
      <c r="ANM35" s="15"/>
      <c r="ANN35" s="15"/>
      <c r="ANO35" s="15"/>
      <c r="ANP35" s="15"/>
      <c r="ANQ35" s="15"/>
      <c r="ANR35" s="15"/>
      <c r="ANS35" s="15"/>
      <c r="ANT35" s="15"/>
      <c r="ANU35" s="15"/>
      <c r="ANV35" s="15"/>
      <c r="ANW35" s="15"/>
      <c r="ANX35" s="15"/>
      <c r="ANY35" s="15"/>
      <c r="ANZ35" s="15"/>
      <c r="AOA35" s="15"/>
      <c r="AOB35" s="15"/>
      <c r="AOC35" s="15"/>
      <c r="AOD35" s="15"/>
      <c r="AOE35" s="15"/>
      <c r="AOF35" s="15"/>
      <c r="AOG35" s="15"/>
      <c r="AOH35" s="15"/>
      <c r="AOI35" s="15"/>
      <c r="AOJ35" s="15"/>
      <c r="AOK35" s="15"/>
      <c r="AOL35" s="15"/>
      <c r="AOM35" s="15"/>
      <c r="AON35" s="15"/>
      <c r="AOO35" s="15"/>
      <c r="AOP35" s="15"/>
      <c r="AOQ35" s="15"/>
      <c r="AOR35" s="15"/>
      <c r="AOS35" s="15"/>
      <c r="AOT35" s="15"/>
      <c r="AOU35" s="15"/>
      <c r="AOV35" s="15"/>
      <c r="AOW35" s="15"/>
      <c r="AOX35" s="15"/>
      <c r="AOY35" s="15"/>
      <c r="AOZ35" s="15"/>
      <c r="APA35" s="15"/>
      <c r="APB35" s="15"/>
      <c r="APC35" s="15"/>
      <c r="APD35" s="15"/>
      <c r="APE35" s="15"/>
      <c r="APF35" s="15"/>
      <c r="APG35" s="15"/>
      <c r="APH35" s="15"/>
      <c r="API35" s="15"/>
      <c r="APJ35" s="15"/>
      <c r="APK35" s="15"/>
      <c r="APL35" s="15"/>
      <c r="APM35" s="15"/>
      <c r="APN35" s="15"/>
      <c r="APO35" s="15"/>
      <c r="APP35" s="15"/>
      <c r="APQ35" s="15"/>
      <c r="APR35" s="15"/>
      <c r="APS35" s="15"/>
      <c r="APT35" s="15"/>
      <c r="APU35" s="15"/>
      <c r="APV35" s="15"/>
      <c r="APW35" s="15"/>
      <c r="APX35" s="15"/>
      <c r="APY35" s="15"/>
      <c r="APZ35" s="15"/>
      <c r="AQA35" s="15"/>
      <c r="AQB35" s="15"/>
    </row>
    <row r="36" spans="1:1120" s="17" customFormat="1" ht="15" customHeight="1" x14ac:dyDescent="0.25">
      <c r="A36" s="3" t="s">
        <v>2</v>
      </c>
      <c r="B36" s="6" t="s">
        <v>41</v>
      </c>
      <c r="C36" s="15"/>
      <c r="D36" s="15" t="s">
        <v>71</v>
      </c>
      <c r="E36" s="15" t="s">
        <v>71</v>
      </c>
      <c r="F36" s="15" t="s">
        <v>71</v>
      </c>
      <c r="G36" s="15" t="s">
        <v>71</v>
      </c>
      <c r="H36" s="15" t="s">
        <v>71</v>
      </c>
      <c r="I36" s="15" t="s">
        <v>71</v>
      </c>
      <c r="J36" s="15"/>
      <c r="K36" s="15" t="s">
        <v>110</v>
      </c>
      <c r="L36" s="15" t="s">
        <v>110</v>
      </c>
      <c r="M36" s="15" t="s">
        <v>110</v>
      </c>
      <c r="N36" s="15" t="s">
        <v>110</v>
      </c>
      <c r="O36" s="15" t="s">
        <v>71</v>
      </c>
      <c r="P36" s="15" t="s">
        <v>71</v>
      </c>
      <c r="Q36" s="15"/>
      <c r="R36" s="15" t="s">
        <v>71</v>
      </c>
      <c r="S36" s="15" t="s">
        <v>71</v>
      </c>
      <c r="T36" s="15" t="s">
        <v>71</v>
      </c>
      <c r="U36" s="15" t="s">
        <v>71</v>
      </c>
      <c r="V36" s="15" t="s">
        <v>71</v>
      </c>
      <c r="W36" s="15" t="s">
        <v>71</v>
      </c>
      <c r="X36" s="15"/>
      <c r="Y36" s="15" t="s">
        <v>71</v>
      </c>
      <c r="Z36" s="15" t="s">
        <v>71</v>
      </c>
      <c r="AA36" s="15" t="s">
        <v>71</v>
      </c>
      <c r="AB36" s="15" t="s">
        <v>71</v>
      </c>
      <c r="AC36" s="15" t="s">
        <v>71</v>
      </c>
      <c r="AD36" s="15" t="s">
        <v>71</v>
      </c>
      <c r="AE36" s="15"/>
      <c r="AF36" s="15" t="s">
        <v>71</v>
      </c>
      <c r="AG36" s="15" t="s">
        <v>71</v>
      </c>
      <c r="AH36" s="15" t="s">
        <v>71</v>
      </c>
      <c r="AI36" s="15" t="s">
        <v>71</v>
      </c>
      <c r="AJ36" s="15" t="s">
        <v>71</v>
      </c>
      <c r="AK36" s="15" t="s">
        <v>71</v>
      </c>
      <c r="AL36" s="15"/>
      <c r="AM36" s="15" t="s">
        <v>71</v>
      </c>
      <c r="AN36" s="15" t="s">
        <v>71</v>
      </c>
      <c r="AO36" s="15" t="s">
        <v>71</v>
      </c>
      <c r="AP36" s="15" t="s">
        <v>71</v>
      </c>
      <c r="AQ36" s="15" t="s">
        <v>71</v>
      </c>
      <c r="AR36" s="15" t="s">
        <v>71</v>
      </c>
      <c r="AS36" s="15" t="s">
        <v>71</v>
      </c>
      <c r="AT36" s="15" t="s">
        <v>71</v>
      </c>
      <c r="AU36" s="15" t="s">
        <v>71</v>
      </c>
      <c r="AV36" s="15" t="s">
        <v>71</v>
      </c>
      <c r="AW36" s="15" t="s">
        <v>71</v>
      </c>
      <c r="AX36" s="15" t="s">
        <v>71</v>
      </c>
      <c r="AY36" s="15" t="s">
        <v>71</v>
      </c>
      <c r="AZ36" s="15" t="s">
        <v>71</v>
      </c>
      <c r="BA36" s="15" t="s">
        <v>71</v>
      </c>
      <c r="BB36" s="15" t="s">
        <v>71</v>
      </c>
      <c r="BC36" s="15" t="s">
        <v>71</v>
      </c>
      <c r="BD36" s="15" t="s">
        <v>71</v>
      </c>
      <c r="BE36" s="15" t="s">
        <v>71</v>
      </c>
      <c r="BF36" s="15" t="s">
        <v>71</v>
      </c>
      <c r="BG36" s="15" t="s">
        <v>71</v>
      </c>
      <c r="BH36" s="15" t="s">
        <v>71</v>
      </c>
      <c r="BI36" s="15" t="s">
        <v>71</v>
      </c>
      <c r="BJ36" s="15" t="s">
        <v>71</v>
      </c>
      <c r="BK36" s="15" t="s">
        <v>71</v>
      </c>
      <c r="BL36" s="15" t="s">
        <v>71</v>
      </c>
      <c r="BM36" s="15" t="s">
        <v>71</v>
      </c>
      <c r="BN36" s="15" t="s">
        <v>71</v>
      </c>
      <c r="BO36" s="15" t="s">
        <v>71</v>
      </c>
      <c r="BP36" s="20" t="s">
        <v>110</v>
      </c>
      <c r="BQ36" s="20" t="s">
        <v>110</v>
      </c>
      <c r="BR36" s="20" t="s">
        <v>110</v>
      </c>
      <c r="BS36" s="20" t="s">
        <v>110</v>
      </c>
      <c r="BT36" s="20" t="s">
        <v>71</v>
      </c>
      <c r="BU36" s="20" t="s">
        <v>71</v>
      </c>
      <c r="BV36" s="20" t="s">
        <v>71</v>
      </c>
      <c r="BW36" s="20" t="s">
        <v>71</v>
      </c>
      <c r="BX36" s="20" t="s">
        <v>71</v>
      </c>
      <c r="BY36" s="20" t="s">
        <v>71</v>
      </c>
      <c r="BZ36" s="15" t="s">
        <v>71</v>
      </c>
      <c r="CA36" s="15" t="s">
        <v>71</v>
      </c>
      <c r="CB36" s="15" t="s">
        <v>71</v>
      </c>
      <c r="CC36" s="15" t="s">
        <v>71</v>
      </c>
      <c r="CD36" s="15" t="s">
        <v>71</v>
      </c>
      <c r="CE36" s="15" t="s">
        <v>71</v>
      </c>
      <c r="CF36" s="15" t="s">
        <v>71</v>
      </c>
      <c r="CG36" s="15" t="s">
        <v>71</v>
      </c>
      <c r="CH36" s="15" t="s">
        <v>71</v>
      </c>
      <c r="CI36" s="15" t="s">
        <v>71</v>
      </c>
      <c r="CJ36" s="15" t="s">
        <v>71</v>
      </c>
      <c r="CK36" s="15" t="s">
        <v>71</v>
      </c>
      <c r="CL36" s="15" t="s">
        <v>71</v>
      </c>
      <c r="CM36" s="15" t="s">
        <v>71</v>
      </c>
      <c r="CN36" s="15" t="s">
        <v>71</v>
      </c>
      <c r="CO36" s="15" t="s">
        <v>71</v>
      </c>
      <c r="CP36" s="15" t="s">
        <v>71</v>
      </c>
      <c r="CQ36" s="15" t="s">
        <v>71</v>
      </c>
      <c r="CR36" s="15" t="s">
        <v>71</v>
      </c>
      <c r="CS36" s="15" t="s">
        <v>71</v>
      </c>
      <c r="CT36" s="15" t="s">
        <v>71</v>
      </c>
      <c r="CU36" s="15" t="s">
        <v>71</v>
      </c>
      <c r="CV36" s="15" t="s">
        <v>71</v>
      </c>
      <c r="CW36" s="15" t="s">
        <v>71</v>
      </c>
      <c r="CX36" s="15" t="s">
        <v>71</v>
      </c>
      <c r="CY36" s="15" t="s">
        <v>71</v>
      </c>
      <c r="CZ36" s="15" t="s">
        <v>71</v>
      </c>
      <c r="DA36" s="15" t="s">
        <v>71</v>
      </c>
      <c r="DB36" s="15" t="s">
        <v>71</v>
      </c>
      <c r="DC36" s="15" t="s">
        <v>71</v>
      </c>
      <c r="DD36" s="20" t="s">
        <v>110</v>
      </c>
      <c r="DE36" s="20" t="s">
        <v>110</v>
      </c>
      <c r="DF36" s="20" t="s">
        <v>110</v>
      </c>
      <c r="DG36" s="20" t="s">
        <v>110</v>
      </c>
      <c r="DH36" s="20" t="s">
        <v>71</v>
      </c>
      <c r="DI36" s="20" t="s">
        <v>71</v>
      </c>
      <c r="DJ36" s="20" t="s">
        <v>71</v>
      </c>
      <c r="DK36" s="20" t="s">
        <v>110</v>
      </c>
      <c r="DL36" s="20" t="s">
        <v>71</v>
      </c>
      <c r="DM36" s="20" t="s">
        <v>71</v>
      </c>
      <c r="DN36" s="20" t="s">
        <v>71</v>
      </c>
      <c r="DO36" s="20" t="s">
        <v>71</v>
      </c>
      <c r="DP36" s="20" t="s">
        <v>71</v>
      </c>
      <c r="DQ36" s="20" t="s">
        <v>71</v>
      </c>
      <c r="DR36" s="20" t="s">
        <v>71</v>
      </c>
      <c r="DS36" s="15" t="s">
        <v>71</v>
      </c>
      <c r="DT36" s="15" t="s">
        <v>71</v>
      </c>
      <c r="DU36" s="15" t="s">
        <v>71</v>
      </c>
      <c r="DV36" s="15" t="s">
        <v>71</v>
      </c>
      <c r="DW36" s="20" t="s">
        <v>110</v>
      </c>
      <c r="DX36" s="20" t="s">
        <v>71</v>
      </c>
      <c r="DY36" s="20" t="s">
        <v>71</v>
      </c>
      <c r="DZ36" s="20" t="s">
        <v>71</v>
      </c>
      <c r="EA36" s="20" t="s">
        <v>71</v>
      </c>
      <c r="EB36" s="20" t="s">
        <v>71</v>
      </c>
      <c r="EC36" s="20" t="s">
        <v>71</v>
      </c>
      <c r="ED36" s="20" t="s">
        <v>71</v>
      </c>
      <c r="EE36" s="15" t="s">
        <v>71</v>
      </c>
      <c r="EF36" s="15" t="s">
        <v>71</v>
      </c>
      <c r="EG36" s="15" t="s">
        <v>71</v>
      </c>
      <c r="EH36" s="15" t="s">
        <v>71</v>
      </c>
      <c r="EI36" s="20" t="s">
        <v>110</v>
      </c>
      <c r="EJ36" s="20" t="s">
        <v>71</v>
      </c>
      <c r="EK36" s="20" t="s">
        <v>71</v>
      </c>
      <c r="EL36" s="20" t="s">
        <v>71</v>
      </c>
      <c r="EM36" s="20" t="s">
        <v>71</v>
      </c>
      <c r="EN36" s="20" t="s">
        <v>71</v>
      </c>
      <c r="EO36" s="20" t="s">
        <v>71</v>
      </c>
      <c r="EP36" s="20" t="s">
        <v>71</v>
      </c>
      <c r="EQ36" s="20" t="s">
        <v>110</v>
      </c>
      <c r="ER36" s="20" t="s">
        <v>110</v>
      </c>
      <c r="ES36" s="20" t="s">
        <v>110</v>
      </c>
      <c r="ET36" s="20" t="s">
        <v>110</v>
      </c>
      <c r="EU36" s="20" t="s">
        <v>110</v>
      </c>
      <c r="EV36" s="20" t="s">
        <v>71</v>
      </c>
      <c r="EW36" s="20" t="s">
        <v>71</v>
      </c>
      <c r="EX36" s="20" t="s">
        <v>71</v>
      </c>
      <c r="EY36" s="20" t="s">
        <v>71</v>
      </c>
      <c r="EZ36" s="20" t="s">
        <v>71</v>
      </c>
      <c r="FA36" s="20" t="s">
        <v>71</v>
      </c>
      <c r="FB36" s="20" t="s">
        <v>71</v>
      </c>
      <c r="FC36" s="20" t="s">
        <v>71</v>
      </c>
      <c r="FD36" s="15"/>
      <c r="FE36" s="20" t="s">
        <v>71</v>
      </c>
      <c r="FF36" s="20" t="s">
        <v>71</v>
      </c>
      <c r="FG36" s="20" t="s">
        <v>71</v>
      </c>
      <c r="FH36" s="20" t="s">
        <v>71</v>
      </c>
      <c r="FI36" s="20" t="s">
        <v>71</v>
      </c>
      <c r="FJ36" s="20" t="s">
        <v>110</v>
      </c>
      <c r="FK36" s="20" t="s">
        <v>71</v>
      </c>
      <c r="FL36" s="20" t="s">
        <v>71</v>
      </c>
      <c r="FM36" s="20" t="s">
        <v>71</v>
      </c>
      <c r="FN36" s="20" t="s">
        <v>71</v>
      </c>
      <c r="FO36" s="20" t="s">
        <v>71</v>
      </c>
      <c r="FP36" s="20" t="s">
        <v>71</v>
      </c>
      <c r="FQ36" s="20" t="s">
        <v>71</v>
      </c>
      <c r="FR36" s="20" t="s">
        <v>71</v>
      </c>
      <c r="FS36" s="20" t="s">
        <v>71</v>
      </c>
      <c r="FT36" s="20" t="s">
        <v>71</v>
      </c>
      <c r="FU36" s="20" t="s">
        <v>71</v>
      </c>
      <c r="FV36" s="20" t="s">
        <v>71</v>
      </c>
      <c r="FW36" s="20" t="s">
        <v>71</v>
      </c>
      <c r="FX36" s="20" t="s">
        <v>71</v>
      </c>
      <c r="FY36" s="20" t="s">
        <v>71</v>
      </c>
      <c r="FZ36" s="20" t="s">
        <v>71</v>
      </c>
      <c r="GA36" s="20" t="s">
        <v>71</v>
      </c>
      <c r="GB36" s="20" t="s">
        <v>71</v>
      </c>
      <c r="GC36" s="20" t="s">
        <v>71</v>
      </c>
      <c r="GD36" s="20" t="s">
        <v>71</v>
      </c>
      <c r="GE36" s="20" t="s">
        <v>71</v>
      </c>
      <c r="GF36" s="20" t="s">
        <v>71</v>
      </c>
      <c r="GG36" s="20" t="s">
        <v>71</v>
      </c>
      <c r="GH36" s="20" t="s">
        <v>71</v>
      </c>
      <c r="GI36" s="20" t="s">
        <v>71</v>
      </c>
      <c r="GJ36" s="20" t="s">
        <v>71</v>
      </c>
      <c r="GK36" s="20" t="s">
        <v>71</v>
      </c>
      <c r="GL36" s="20" t="s">
        <v>71</v>
      </c>
      <c r="GM36" s="20" t="s">
        <v>71</v>
      </c>
      <c r="GN36" s="20" t="s">
        <v>71</v>
      </c>
      <c r="GO36" s="20" t="s">
        <v>71</v>
      </c>
      <c r="GP36" s="20" t="s">
        <v>71</v>
      </c>
      <c r="GQ36" s="20" t="s">
        <v>71</v>
      </c>
      <c r="GR36" s="20" t="s">
        <v>71</v>
      </c>
      <c r="GS36" s="20" t="s">
        <v>71</v>
      </c>
      <c r="GT36" s="20" t="s">
        <v>71</v>
      </c>
      <c r="GU36" s="20" t="s">
        <v>71</v>
      </c>
      <c r="GV36" s="20" t="s">
        <v>71</v>
      </c>
      <c r="GW36" s="20" t="s">
        <v>71</v>
      </c>
      <c r="GX36" s="20" t="s">
        <v>71</v>
      </c>
      <c r="GY36" s="20" t="s">
        <v>71</v>
      </c>
      <c r="GZ36" s="20" t="s">
        <v>71</v>
      </c>
      <c r="HA36" s="20" t="s">
        <v>71</v>
      </c>
      <c r="HB36" s="20" t="s">
        <v>71</v>
      </c>
      <c r="HC36" s="20" t="s">
        <v>71</v>
      </c>
      <c r="HD36" s="20" t="s">
        <v>71</v>
      </c>
      <c r="HE36" s="20" t="s">
        <v>71</v>
      </c>
      <c r="HF36" s="20" t="s">
        <v>71</v>
      </c>
      <c r="HG36" s="20" t="s">
        <v>71</v>
      </c>
      <c r="HH36" s="20" t="s">
        <v>71</v>
      </c>
      <c r="HI36" s="20" t="s">
        <v>71</v>
      </c>
      <c r="HJ36" s="20" t="s">
        <v>71</v>
      </c>
      <c r="HK36" s="20" t="s">
        <v>71</v>
      </c>
      <c r="HL36" s="20" t="s">
        <v>71</v>
      </c>
      <c r="HM36" s="20" t="s">
        <v>71</v>
      </c>
      <c r="HN36" s="20" t="s">
        <v>71</v>
      </c>
      <c r="HO36" s="20" t="s">
        <v>71</v>
      </c>
      <c r="HP36" s="20" t="s">
        <v>71</v>
      </c>
      <c r="HQ36" s="20" t="s">
        <v>71</v>
      </c>
      <c r="HR36" s="20" t="s">
        <v>71</v>
      </c>
      <c r="HS36" s="20" t="s">
        <v>71</v>
      </c>
      <c r="HT36" s="20" t="s">
        <v>71</v>
      </c>
      <c r="HU36" s="20" t="s">
        <v>71</v>
      </c>
      <c r="HV36" s="20" t="s">
        <v>71</v>
      </c>
      <c r="HW36" s="20" t="s">
        <v>71</v>
      </c>
      <c r="HX36" s="20" t="s">
        <v>71</v>
      </c>
      <c r="HY36" s="20" t="s">
        <v>71</v>
      </c>
      <c r="HZ36" s="20" t="s">
        <v>71</v>
      </c>
      <c r="IA36" s="20" t="s">
        <v>71</v>
      </c>
      <c r="IB36" s="15"/>
      <c r="IC36" s="20" t="s">
        <v>71</v>
      </c>
      <c r="ID36" s="20" t="s">
        <v>71</v>
      </c>
      <c r="IE36" s="20" t="s">
        <v>71</v>
      </c>
      <c r="IF36" s="20" t="s">
        <v>71</v>
      </c>
      <c r="IG36" s="20" t="s">
        <v>71</v>
      </c>
      <c r="IH36" s="20" t="s">
        <v>71</v>
      </c>
      <c r="II36" s="20" t="s">
        <v>71</v>
      </c>
      <c r="IJ36" s="20" t="s">
        <v>71</v>
      </c>
      <c r="IK36" s="15"/>
      <c r="IL36" s="20" t="s">
        <v>71</v>
      </c>
      <c r="IM36" s="20" t="s">
        <v>71</v>
      </c>
      <c r="IN36" s="20" t="s">
        <v>71</v>
      </c>
      <c r="IO36" s="20" t="s">
        <v>71</v>
      </c>
      <c r="IP36" s="20" t="s">
        <v>71</v>
      </c>
      <c r="IQ36" s="20" t="s">
        <v>71</v>
      </c>
      <c r="IR36" s="20" t="s">
        <v>71</v>
      </c>
      <c r="IS36" s="15" t="s">
        <v>71</v>
      </c>
      <c r="IT36" s="15" t="s">
        <v>71</v>
      </c>
      <c r="IU36" s="15" t="s">
        <v>71</v>
      </c>
      <c r="IV36" s="15" t="s">
        <v>71</v>
      </c>
      <c r="IW36" s="15" t="s">
        <v>71</v>
      </c>
      <c r="IX36" s="15" t="s">
        <v>71</v>
      </c>
      <c r="IY36" s="15" t="s">
        <v>71</v>
      </c>
      <c r="IZ36" s="15" t="s">
        <v>71</v>
      </c>
      <c r="JA36" s="15" t="s">
        <v>71</v>
      </c>
      <c r="JB36" s="15" t="s">
        <v>71</v>
      </c>
      <c r="JC36" s="15" t="s">
        <v>71</v>
      </c>
      <c r="JD36" s="15" t="s">
        <v>71</v>
      </c>
      <c r="JE36" s="15" t="s">
        <v>71</v>
      </c>
      <c r="JF36" s="15" t="s">
        <v>71</v>
      </c>
      <c r="JG36" s="15" t="s">
        <v>71</v>
      </c>
      <c r="JH36" s="15" t="s">
        <v>71</v>
      </c>
      <c r="JI36" s="15" t="s">
        <v>71</v>
      </c>
      <c r="JJ36" s="15" t="s">
        <v>71</v>
      </c>
      <c r="JK36" s="15" t="s">
        <v>71</v>
      </c>
      <c r="JL36" s="15" t="s">
        <v>71</v>
      </c>
      <c r="JM36" s="15" t="s">
        <v>71</v>
      </c>
      <c r="JN36" s="15" t="s">
        <v>71</v>
      </c>
      <c r="JO36" s="15" t="s">
        <v>71</v>
      </c>
      <c r="JP36" s="15" t="s">
        <v>71</v>
      </c>
      <c r="JQ36" s="15" t="s">
        <v>71</v>
      </c>
      <c r="JR36" s="15" t="s">
        <v>71</v>
      </c>
      <c r="JS36" s="15" t="s">
        <v>71</v>
      </c>
      <c r="JT36" s="15" t="s">
        <v>71</v>
      </c>
      <c r="JU36" s="15" t="s">
        <v>71</v>
      </c>
      <c r="JV36" s="15" t="s">
        <v>71</v>
      </c>
      <c r="JW36" s="15" t="s">
        <v>71</v>
      </c>
      <c r="JX36" s="15" t="s">
        <v>71</v>
      </c>
      <c r="JY36" s="15" t="s">
        <v>71</v>
      </c>
      <c r="JZ36" s="15" t="s">
        <v>71</v>
      </c>
      <c r="KA36" s="15" t="s">
        <v>71</v>
      </c>
      <c r="KB36" s="15" t="s">
        <v>71</v>
      </c>
      <c r="KC36" s="15" t="s">
        <v>71</v>
      </c>
      <c r="KD36" s="15" t="s">
        <v>71</v>
      </c>
      <c r="KE36" s="15" t="s">
        <v>71</v>
      </c>
      <c r="KF36" s="15" t="s">
        <v>71</v>
      </c>
      <c r="KG36" s="15" t="s">
        <v>71</v>
      </c>
      <c r="KH36" s="15" t="s">
        <v>71</v>
      </c>
      <c r="KI36" s="15" t="s">
        <v>71</v>
      </c>
      <c r="KJ36" s="15" t="s">
        <v>71</v>
      </c>
      <c r="KK36" s="15" t="s">
        <v>71</v>
      </c>
      <c r="KL36" s="15" t="s">
        <v>71</v>
      </c>
      <c r="KM36" s="15" t="s">
        <v>71</v>
      </c>
      <c r="KN36" s="15" t="s">
        <v>71</v>
      </c>
      <c r="KO36" s="15" t="s">
        <v>71</v>
      </c>
      <c r="KP36" s="15" t="s">
        <v>71</v>
      </c>
      <c r="KQ36" s="15" t="s">
        <v>71</v>
      </c>
      <c r="KR36" s="15" t="s">
        <v>71</v>
      </c>
      <c r="KS36" s="15" t="s">
        <v>71</v>
      </c>
      <c r="KT36" s="15" t="s">
        <v>71</v>
      </c>
      <c r="KU36" s="15" t="s">
        <v>71</v>
      </c>
      <c r="KV36" s="15" t="s">
        <v>71</v>
      </c>
      <c r="KW36" s="15" t="s">
        <v>71</v>
      </c>
      <c r="KX36" s="15" t="s">
        <v>71</v>
      </c>
      <c r="KY36" s="15" t="s">
        <v>71</v>
      </c>
      <c r="KZ36" s="15" t="s">
        <v>71</v>
      </c>
      <c r="LA36" s="15" t="s">
        <v>71</v>
      </c>
      <c r="LB36" s="15" t="s">
        <v>71</v>
      </c>
      <c r="LC36" s="15" t="s">
        <v>71</v>
      </c>
      <c r="LD36" s="15" t="s">
        <v>71</v>
      </c>
      <c r="LE36" s="15" t="s">
        <v>71</v>
      </c>
      <c r="LF36" s="15" t="s">
        <v>71</v>
      </c>
      <c r="LG36" s="15" t="s">
        <v>71</v>
      </c>
      <c r="LH36" s="15" t="s">
        <v>71</v>
      </c>
      <c r="LI36" s="15" t="s">
        <v>71</v>
      </c>
      <c r="LJ36" s="15" t="s">
        <v>71</v>
      </c>
      <c r="LK36" s="15" t="s">
        <v>71</v>
      </c>
      <c r="LL36" s="15" t="s">
        <v>71</v>
      </c>
      <c r="LM36" s="15" t="s">
        <v>71</v>
      </c>
      <c r="LN36" s="15" t="s">
        <v>71</v>
      </c>
      <c r="LO36" s="15" t="s">
        <v>71</v>
      </c>
      <c r="LP36" s="15" t="s">
        <v>71</v>
      </c>
      <c r="LQ36" s="15" t="s">
        <v>71</v>
      </c>
      <c r="LR36" s="15" t="s">
        <v>71</v>
      </c>
      <c r="LS36" s="15" t="s">
        <v>71</v>
      </c>
      <c r="LT36" s="15" t="s">
        <v>71</v>
      </c>
      <c r="LU36" s="15" t="s">
        <v>71</v>
      </c>
      <c r="LV36" s="15" t="s">
        <v>71</v>
      </c>
      <c r="LW36" s="15" t="s">
        <v>71</v>
      </c>
      <c r="LX36" s="15" t="s">
        <v>71</v>
      </c>
      <c r="LY36" s="15" t="s">
        <v>71</v>
      </c>
      <c r="LZ36" s="15" t="s">
        <v>71</v>
      </c>
      <c r="MA36" s="15" t="s">
        <v>71</v>
      </c>
      <c r="MB36" s="15" t="s">
        <v>71</v>
      </c>
      <c r="MC36" s="15" t="s">
        <v>71</v>
      </c>
      <c r="MD36" s="15" t="s">
        <v>71</v>
      </c>
      <c r="ME36" s="15" t="s">
        <v>71</v>
      </c>
      <c r="MF36" s="15" t="s">
        <v>71</v>
      </c>
      <c r="MG36" s="15" t="s">
        <v>110</v>
      </c>
      <c r="MH36" s="15" t="s">
        <v>71</v>
      </c>
      <c r="MI36" s="15" t="s">
        <v>71</v>
      </c>
      <c r="MJ36" s="15" t="s">
        <v>71</v>
      </c>
      <c r="MK36" s="15" t="s">
        <v>71</v>
      </c>
      <c r="ML36" s="15" t="s">
        <v>71</v>
      </c>
      <c r="MM36" s="15" t="s">
        <v>71</v>
      </c>
      <c r="MN36" s="15" t="s">
        <v>71</v>
      </c>
      <c r="MO36" s="15" t="s">
        <v>71</v>
      </c>
      <c r="MP36" s="15" t="s">
        <v>71</v>
      </c>
      <c r="MQ36" s="15" t="s">
        <v>71</v>
      </c>
      <c r="MR36" s="15" t="s">
        <v>71</v>
      </c>
      <c r="MS36" s="15" t="s">
        <v>71</v>
      </c>
      <c r="MT36" s="15" t="s">
        <v>71</v>
      </c>
      <c r="MU36" s="15" t="s">
        <v>71</v>
      </c>
      <c r="MV36" s="15" t="s">
        <v>71</v>
      </c>
      <c r="MW36" s="15" t="s">
        <v>71</v>
      </c>
      <c r="MX36" s="15" t="s">
        <v>71</v>
      </c>
      <c r="MY36" s="15" t="s">
        <v>71</v>
      </c>
      <c r="MZ36" s="15" t="s">
        <v>71</v>
      </c>
      <c r="NA36" s="15" t="s">
        <v>71</v>
      </c>
      <c r="NB36" s="15" t="s">
        <v>71</v>
      </c>
      <c r="NC36" s="15" t="s">
        <v>71</v>
      </c>
      <c r="ND36" s="15" t="s">
        <v>71</v>
      </c>
      <c r="NE36" s="15" t="s">
        <v>71</v>
      </c>
      <c r="NF36" s="15" t="s">
        <v>71</v>
      </c>
      <c r="NG36" s="15" t="s">
        <v>71</v>
      </c>
      <c r="NH36" s="15" t="s">
        <v>71</v>
      </c>
      <c r="NI36" s="15" t="s">
        <v>71</v>
      </c>
      <c r="NJ36" s="15" t="s">
        <v>71</v>
      </c>
      <c r="NK36" s="15" t="s">
        <v>71</v>
      </c>
      <c r="NL36" s="15" t="s">
        <v>71</v>
      </c>
      <c r="NM36" s="15" t="s">
        <v>71</v>
      </c>
      <c r="NN36" s="20" t="s">
        <v>71</v>
      </c>
      <c r="NO36" s="15" t="s">
        <v>71</v>
      </c>
      <c r="NP36" s="20" t="s">
        <v>110</v>
      </c>
      <c r="NQ36" s="15" t="s">
        <v>71</v>
      </c>
      <c r="NR36" s="15" t="s">
        <v>71</v>
      </c>
      <c r="NS36" s="20" t="s">
        <v>71</v>
      </c>
      <c r="NT36" s="20" t="s">
        <v>71</v>
      </c>
      <c r="NU36" s="20" t="s">
        <v>71</v>
      </c>
      <c r="NV36" s="20" t="s">
        <v>71</v>
      </c>
      <c r="NW36" s="20" t="s">
        <v>71</v>
      </c>
      <c r="NX36" s="20" t="s">
        <v>71</v>
      </c>
      <c r="NY36" s="20" t="s">
        <v>71</v>
      </c>
      <c r="NZ36" s="20" t="s">
        <v>71</v>
      </c>
      <c r="OA36" s="20" t="s">
        <v>71</v>
      </c>
      <c r="OB36" s="20" t="s">
        <v>71</v>
      </c>
      <c r="OC36" s="20" t="s">
        <v>71</v>
      </c>
      <c r="OD36" s="20" t="s">
        <v>71</v>
      </c>
      <c r="OE36" s="20" t="s">
        <v>71</v>
      </c>
      <c r="OF36" s="20" t="s">
        <v>71</v>
      </c>
      <c r="OG36" s="20" t="s">
        <v>71</v>
      </c>
      <c r="OH36" s="20" t="s">
        <v>71</v>
      </c>
      <c r="OI36" s="20" t="s">
        <v>71</v>
      </c>
      <c r="OJ36" s="20" t="s">
        <v>71</v>
      </c>
      <c r="OK36" s="20" t="s">
        <v>71</v>
      </c>
      <c r="OL36" s="20" t="s">
        <v>71</v>
      </c>
      <c r="OM36" s="20" t="s">
        <v>71</v>
      </c>
      <c r="ON36" s="20" t="s">
        <v>71</v>
      </c>
      <c r="OO36" s="20" t="s">
        <v>71</v>
      </c>
      <c r="OP36" s="20" t="s">
        <v>71</v>
      </c>
      <c r="OQ36" s="20" t="s">
        <v>71</v>
      </c>
      <c r="OR36" s="20" t="s">
        <v>71</v>
      </c>
      <c r="OS36" s="20" t="s">
        <v>71</v>
      </c>
      <c r="OT36" s="20" t="s">
        <v>71</v>
      </c>
      <c r="OU36" s="20" t="s">
        <v>71</v>
      </c>
      <c r="OV36" s="20" t="s">
        <v>71</v>
      </c>
      <c r="OW36" s="20" t="s">
        <v>71</v>
      </c>
      <c r="OX36" s="20" t="s">
        <v>71</v>
      </c>
      <c r="OY36" s="20" t="s">
        <v>71</v>
      </c>
      <c r="OZ36" s="20" t="s">
        <v>71</v>
      </c>
      <c r="PA36" s="20" t="s">
        <v>71</v>
      </c>
      <c r="PB36" s="20" t="s">
        <v>71</v>
      </c>
      <c r="PC36" s="20" t="s">
        <v>71</v>
      </c>
      <c r="PD36" s="20" t="s">
        <v>71</v>
      </c>
      <c r="PE36" s="20" t="s">
        <v>71</v>
      </c>
      <c r="PF36" s="20" t="s">
        <v>71</v>
      </c>
      <c r="PG36" s="20" t="s">
        <v>71</v>
      </c>
      <c r="PH36" s="20" t="s">
        <v>71</v>
      </c>
      <c r="PI36" s="20" t="s">
        <v>71</v>
      </c>
      <c r="PJ36" s="20" t="s">
        <v>71</v>
      </c>
      <c r="PK36" s="20" t="s">
        <v>71</v>
      </c>
      <c r="PL36" s="20" t="s">
        <v>71</v>
      </c>
      <c r="PM36" s="20" t="s">
        <v>71</v>
      </c>
      <c r="PN36" s="20" t="s">
        <v>71</v>
      </c>
      <c r="PO36" s="20" t="s">
        <v>71</v>
      </c>
      <c r="PP36" s="20" t="s">
        <v>71</v>
      </c>
      <c r="PQ36" s="20" t="s">
        <v>71</v>
      </c>
      <c r="PR36" s="20" t="s">
        <v>71</v>
      </c>
      <c r="PS36" s="20" t="s">
        <v>71</v>
      </c>
      <c r="PT36" s="20" t="s">
        <v>71</v>
      </c>
      <c r="PU36" s="20" t="s">
        <v>71</v>
      </c>
      <c r="PV36" s="20" t="s">
        <v>71</v>
      </c>
      <c r="PW36" s="20" t="s">
        <v>71</v>
      </c>
      <c r="PX36" s="20" t="s">
        <v>71</v>
      </c>
      <c r="PY36" s="20" t="s">
        <v>71</v>
      </c>
      <c r="PZ36" s="20" t="s">
        <v>71</v>
      </c>
      <c r="QA36" s="20" t="s">
        <v>71</v>
      </c>
      <c r="QB36" s="20" t="s">
        <v>71</v>
      </c>
      <c r="QC36" s="20" t="s">
        <v>71</v>
      </c>
      <c r="QD36" s="20" t="s">
        <v>71</v>
      </c>
      <c r="QE36" s="20" t="s">
        <v>71</v>
      </c>
      <c r="QF36" s="20" t="s">
        <v>71</v>
      </c>
      <c r="QG36" s="20" t="s">
        <v>71</v>
      </c>
      <c r="QH36" s="20" t="s">
        <v>71</v>
      </c>
      <c r="QI36" s="20" t="s">
        <v>71</v>
      </c>
      <c r="QJ36" s="20" t="s">
        <v>71</v>
      </c>
      <c r="QK36" s="20" t="s">
        <v>71</v>
      </c>
      <c r="QL36" s="20" t="s">
        <v>71</v>
      </c>
      <c r="QM36" s="20" t="s">
        <v>71</v>
      </c>
      <c r="QN36" s="20" t="s">
        <v>71</v>
      </c>
      <c r="QO36" s="20" t="s">
        <v>71</v>
      </c>
      <c r="QP36" s="20" t="s">
        <v>71</v>
      </c>
      <c r="QQ36" s="20" t="s">
        <v>71</v>
      </c>
      <c r="QR36" s="20" t="s">
        <v>71</v>
      </c>
      <c r="QS36" s="20" t="s">
        <v>71</v>
      </c>
      <c r="QT36" s="20" t="s">
        <v>71</v>
      </c>
      <c r="QU36" s="20" t="s">
        <v>71</v>
      </c>
      <c r="QV36" s="20" t="s">
        <v>71</v>
      </c>
      <c r="QW36" s="20" t="s">
        <v>110</v>
      </c>
      <c r="QX36" s="20" t="s">
        <v>110</v>
      </c>
      <c r="QY36" s="20" t="s">
        <v>110</v>
      </c>
      <c r="QZ36" s="20" t="s">
        <v>110</v>
      </c>
      <c r="RA36" s="20" t="s">
        <v>71</v>
      </c>
      <c r="RB36" s="20" t="s">
        <v>71</v>
      </c>
      <c r="RC36" s="20" t="s">
        <v>71</v>
      </c>
      <c r="RD36" s="20" t="s">
        <v>71</v>
      </c>
      <c r="RE36" s="20" t="s">
        <v>110</v>
      </c>
      <c r="RF36" s="20" t="s">
        <v>110</v>
      </c>
      <c r="RG36" s="20" t="s">
        <v>110</v>
      </c>
      <c r="RH36" s="20" t="s">
        <v>110</v>
      </c>
      <c r="RI36" s="20" t="s">
        <v>71</v>
      </c>
      <c r="RJ36" s="20" t="s">
        <v>71</v>
      </c>
      <c r="RK36" s="20" t="s">
        <v>71</v>
      </c>
      <c r="RL36" s="20" t="s">
        <v>110</v>
      </c>
      <c r="RM36" s="20" t="s">
        <v>71</v>
      </c>
      <c r="RN36" s="20" t="s">
        <v>71</v>
      </c>
      <c r="RO36" s="20" t="s">
        <v>71</v>
      </c>
      <c r="RP36" s="20" t="s">
        <v>71</v>
      </c>
      <c r="RQ36" s="20" t="s">
        <v>71</v>
      </c>
      <c r="RR36" s="15" t="s">
        <v>71</v>
      </c>
      <c r="RS36" s="15"/>
      <c r="RT36" s="20" t="s">
        <v>71</v>
      </c>
      <c r="RU36" s="20" t="s">
        <v>71</v>
      </c>
      <c r="RV36" s="20" t="s">
        <v>71</v>
      </c>
      <c r="RW36" s="20" t="s">
        <v>71</v>
      </c>
      <c r="RX36" s="20" t="s">
        <v>71</v>
      </c>
      <c r="RY36" s="20" t="s">
        <v>71</v>
      </c>
      <c r="RZ36" s="20" t="s">
        <v>71</v>
      </c>
      <c r="SA36" s="15" t="s">
        <v>71</v>
      </c>
      <c r="SB36" s="20" t="s">
        <v>71</v>
      </c>
      <c r="SC36" s="20" t="s">
        <v>71</v>
      </c>
      <c r="SD36" s="20" t="s">
        <v>71</v>
      </c>
      <c r="SE36" s="20" t="s">
        <v>71</v>
      </c>
      <c r="SF36" s="20" t="s">
        <v>71</v>
      </c>
      <c r="SG36" s="20" t="s">
        <v>71</v>
      </c>
      <c r="SH36" s="20" t="s">
        <v>71</v>
      </c>
      <c r="SI36" s="20" t="s">
        <v>71</v>
      </c>
      <c r="SJ36" s="20" t="s">
        <v>71</v>
      </c>
      <c r="SK36" s="20" t="s">
        <v>71</v>
      </c>
      <c r="SL36" s="20" t="s">
        <v>71</v>
      </c>
      <c r="SM36" s="20" t="s">
        <v>71</v>
      </c>
      <c r="SN36" s="20" t="s">
        <v>71</v>
      </c>
      <c r="SO36" s="20" t="s">
        <v>71</v>
      </c>
      <c r="SP36" s="20" t="s">
        <v>71</v>
      </c>
      <c r="SQ36" s="20" t="s">
        <v>71</v>
      </c>
      <c r="SR36" s="20" t="s">
        <v>71</v>
      </c>
      <c r="SS36" s="20" t="s">
        <v>71</v>
      </c>
      <c r="ST36" s="20" t="s">
        <v>71</v>
      </c>
      <c r="SU36" s="20" t="s">
        <v>71</v>
      </c>
      <c r="SV36" s="20" t="s">
        <v>71</v>
      </c>
      <c r="SW36" s="20" t="s">
        <v>71</v>
      </c>
      <c r="SX36" s="20" t="s">
        <v>71</v>
      </c>
      <c r="SY36" s="20" t="s">
        <v>71</v>
      </c>
      <c r="SZ36" s="20" t="s">
        <v>71</v>
      </c>
      <c r="TA36" s="20" t="s">
        <v>71</v>
      </c>
      <c r="TB36" s="20" t="s">
        <v>71</v>
      </c>
      <c r="TC36" s="20" t="s">
        <v>71</v>
      </c>
      <c r="TD36" s="20" t="s">
        <v>71</v>
      </c>
      <c r="TE36" s="20" t="s">
        <v>71</v>
      </c>
      <c r="TF36" s="20" t="s">
        <v>71</v>
      </c>
      <c r="TG36" s="20" t="s">
        <v>71</v>
      </c>
      <c r="TH36" s="20" t="s">
        <v>71</v>
      </c>
      <c r="TI36" s="20" t="s">
        <v>71</v>
      </c>
      <c r="TJ36" s="20" t="s">
        <v>71</v>
      </c>
      <c r="TK36" s="20" t="s">
        <v>71</v>
      </c>
      <c r="TL36" s="20" t="s">
        <v>71</v>
      </c>
      <c r="TM36" s="20" t="s">
        <v>71</v>
      </c>
      <c r="TN36" s="20" t="s">
        <v>71</v>
      </c>
      <c r="TO36" s="20" t="s">
        <v>71</v>
      </c>
      <c r="TP36" s="20" t="s">
        <v>71</v>
      </c>
      <c r="TQ36" s="20" t="s">
        <v>71</v>
      </c>
      <c r="TR36" s="20" t="s">
        <v>71</v>
      </c>
      <c r="TS36" s="20" t="s">
        <v>71</v>
      </c>
      <c r="TT36" s="20" t="s">
        <v>71</v>
      </c>
      <c r="TU36" s="20" t="s">
        <v>71</v>
      </c>
      <c r="TV36" s="20" t="s">
        <v>71</v>
      </c>
      <c r="TW36" s="20" t="s">
        <v>71</v>
      </c>
      <c r="TX36" s="20" t="s">
        <v>71</v>
      </c>
      <c r="TY36" s="20" t="s">
        <v>71</v>
      </c>
      <c r="TZ36" s="20" t="s">
        <v>71</v>
      </c>
      <c r="UA36" s="20" t="s">
        <v>71</v>
      </c>
      <c r="UB36" s="20" t="s">
        <v>71</v>
      </c>
      <c r="UC36" s="20" t="s">
        <v>71</v>
      </c>
      <c r="UD36" s="20" t="s">
        <v>71</v>
      </c>
      <c r="UE36" s="20" t="s">
        <v>71</v>
      </c>
      <c r="UF36" s="20" t="s">
        <v>71</v>
      </c>
      <c r="UG36" s="20" t="s">
        <v>71</v>
      </c>
      <c r="UH36" s="20" t="s">
        <v>71</v>
      </c>
      <c r="UI36" s="20" t="s">
        <v>71</v>
      </c>
      <c r="UJ36" s="20" t="s">
        <v>71</v>
      </c>
      <c r="UK36" s="20" t="s">
        <v>71</v>
      </c>
      <c r="UL36" s="20" t="s">
        <v>71</v>
      </c>
      <c r="UM36" s="20" t="s">
        <v>71</v>
      </c>
      <c r="UN36" s="20" t="s">
        <v>71</v>
      </c>
      <c r="UO36" s="20" t="s">
        <v>71</v>
      </c>
      <c r="UP36" s="20" t="s">
        <v>71</v>
      </c>
      <c r="UQ36" s="20" t="s">
        <v>71</v>
      </c>
      <c r="UR36" s="20" t="s">
        <v>71</v>
      </c>
      <c r="US36" s="20" t="s">
        <v>71</v>
      </c>
      <c r="UT36" s="20" t="s">
        <v>71</v>
      </c>
      <c r="UU36" s="20" t="s">
        <v>71</v>
      </c>
      <c r="UV36" s="20" t="s">
        <v>71</v>
      </c>
      <c r="UW36" s="20" t="s">
        <v>71</v>
      </c>
      <c r="UX36" s="20" t="s">
        <v>71</v>
      </c>
      <c r="UY36" s="20" t="s">
        <v>71</v>
      </c>
      <c r="UZ36" s="20" t="s">
        <v>71</v>
      </c>
      <c r="VA36" s="20" t="s">
        <v>71</v>
      </c>
      <c r="VB36" s="20" t="s">
        <v>71</v>
      </c>
      <c r="VC36" s="20" t="s">
        <v>71</v>
      </c>
      <c r="VD36" s="20" t="s">
        <v>71</v>
      </c>
      <c r="VE36" s="20" t="s">
        <v>110</v>
      </c>
      <c r="VF36" s="20" t="s">
        <v>110</v>
      </c>
      <c r="VG36" s="20" t="s">
        <v>110</v>
      </c>
      <c r="VH36" s="20" t="s">
        <v>110</v>
      </c>
      <c r="VI36" s="20" t="s">
        <v>71</v>
      </c>
      <c r="VJ36" s="20" t="s">
        <v>71</v>
      </c>
      <c r="VK36" s="20" t="s">
        <v>71</v>
      </c>
      <c r="VL36" s="20" t="s">
        <v>71</v>
      </c>
      <c r="VM36" s="20" t="s">
        <v>71</v>
      </c>
      <c r="VN36" s="20" t="s">
        <v>110</v>
      </c>
      <c r="VO36" s="20" t="s">
        <v>110</v>
      </c>
      <c r="VP36" s="20" t="s">
        <v>110</v>
      </c>
      <c r="VQ36" s="20" t="s">
        <v>110</v>
      </c>
      <c r="VR36" s="20" t="s">
        <v>71</v>
      </c>
      <c r="VS36" s="20" t="s">
        <v>71</v>
      </c>
      <c r="VT36" s="20" t="s">
        <v>71</v>
      </c>
      <c r="VU36" s="20" t="s">
        <v>110</v>
      </c>
      <c r="VV36" s="20" t="s">
        <v>71</v>
      </c>
      <c r="VW36" s="20" t="s">
        <v>71</v>
      </c>
      <c r="VX36" s="20" t="s">
        <v>71</v>
      </c>
      <c r="VY36" s="20" t="s">
        <v>71</v>
      </c>
      <c r="VZ36" s="20" t="s">
        <v>71</v>
      </c>
      <c r="WA36" s="15" t="s">
        <v>71</v>
      </c>
      <c r="WB36" s="15" t="s">
        <v>71</v>
      </c>
      <c r="WC36" s="15" t="s">
        <v>71</v>
      </c>
      <c r="WD36" s="15" t="s">
        <v>71</v>
      </c>
      <c r="WE36" s="20" t="s">
        <v>71</v>
      </c>
      <c r="WF36" s="20" t="s">
        <v>71</v>
      </c>
      <c r="WG36" s="20" t="s">
        <v>71</v>
      </c>
      <c r="WH36" s="20" t="s">
        <v>71</v>
      </c>
      <c r="WI36" s="20" t="s">
        <v>71</v>
      </c>
      <c r="WJ36" s="20" t="s">
        <v>71</v>
      </c>
      <c r="WK36" s="20" t="s">
        <v>71</v>
      </c>
      <c r="WL36" s="20" t="s">
        <v>71</v>
      </c>
      <c r="WM36" s="20" t="s">
        <v>71</v>
      </c>
      <c r="WN36" s="20" t="s">
        <v>71</v>
      </c>
      <c r="WO36" s="20" t="s">
        <v>71</v>
      </c>
      <c r="WP36" s="20" t="s">
        <v>71</v>
      </c>
      <c r="WQ36" s="20" t="s">
        <v>71</v>
      </c>
      <c r="WR36" s="20" t="s">
        <v>71</v>
      </c>
      <c r="WS36" s="20" t="s">
        <v>71</v>
      </c>
      <c r="WT36" s="20" t="s">
        <v>71</v>
      </c>
      <c r="WU36" s="20" t="s">
        <v>71</v>
      </c>
      <c r="WV36" s="20" t="s">
        <v>71</v>
      </c>
      <c r="WW36" s="20" t="s">
        <v>71</v>
      </c>
      <c r="WX36" s="20" t="s">
        <v>71</v>
      </c>
      <c r="WY36" s="20" t="s">
        <v>71</v>
      </c>
      <c r="WZ36" s="20" t="s">
        <v>71</v>
      </c>
      <c r="XA36" s="20" t="s">
        <v>71</v>
      </c>
      <c r="XB36" s="20" t="s">
        <v>71</v>
      </c>
      <c r="XC36" s="20" t="s">
        <v>71</v>
      </c>
      <c r="XD36" s="20" t="s">
        <v>71</v>
      </c>
      <c r="XE36" s="20" t="s">
        <v>71</v>
      </c>
      <c r="XF36" s="20" t="s">
        <v>71</v>
      </c>
      <c r="XG36" s="20" t="s">
        <v>71</v>
      </c>
      <c r="XH36" s="20" t="s">
        <v>71</v>
      </c>
      <c r="XI36" s="20" t="s">
        <v>71</v>
      </c>
      <c r="XJ36" s="20" t="s">
        <v>110</v>
      </c>
      <c r="XK36" s="20" t="s">
        <v>110</v>
      </c>
      <c r="XL36" s="20" t="s">
        <v>110</v>
      </c>
      <c r="XM36" s="20" t="s">
        <v>110</v>
      </c>
      <c r="XN36" s="20" t="s">
        <v>71</v>
      </c>
      <c r="XO36" s="20" t="s">
        <v>71</v>
      </c>
      <c r="XP36" s="20" t="s">
        <v>71</v>
      </c>
      <c r="XQ36" s="20" t="s">
        <v>71</v>
      </c>
      <c r="XR36" s="20" t="s">
        <v>71</v>
      </c>
      <c r="XS36" s="20" t="s">
        <v>110</v>
      </c>
      <c r="XT36" s="20" t="s">
        <v>110</v>
      </c>
      <c r="XU36" s="20" t="s">
        <v>110</v>
      </c>
      <c r="XV36" s="20" t="s">
        <v>110</v>
      </c>
      <c r="XW36" s="20" t="s">
        <v>71</v>
      </c>
      <c r="XX36" s="20" t="s">
        <v>71</v>
      </c>
      <c r="XY36" s="20" t="s">
        <v>71</v>
      </c>
      <c r="XZ36" s="20" t="s">
        <v>110</v>
      </c>
      <c r="YA36" s="20" t="s">
        <v>71</v>
      </c>
      <c r="YB36" s="20" t="s">
        <v>71</v>
      </c>
      <c r="YC36" s="20" t="s">
        <v>71</v>
      </c>
      <c r="YD36" s="20" t="s">
        <v>71</v>
      </c>
      <c r="YE36" s="20" t="s">
        <v>71</v>
      </c>
      <c r="YF36" s="20" t="s">
        <v>71</v>
      </c>
      <c r="YG36" s="20" t="s">
        <v>71</v>
      </c>
      <c r="YH36" s="20" t="s">
        <v>71</v>
      </c>
      <c r="YI36" s="20" t="s">
        <v>71</v>
      </c>
      <c r="YJ36" s="20" t="s">
        <v>71</v>
      </c>
      <c r="YK36" s="20" t="s">
        <v>71</v>
      </c>
      <c r="YL36" s="20" t="s">
        <v>71</v>
      </c>
      <c r="YM36" s="20" t="s">
        <v>71</v>
      </c>
      <c r="YN36" s="20" t="s">
        <v>71</v>
      </c>
      <c r="YO36" s="20" t="s">
        <v>71</v>
      </c>
      <c r="YP36" s="20" t="s">
        <v>71</v>
      </c>
      <c r="YQ36" s="20" t="s">
        <v>71</v>
      </c>
      <c r="YR36" s="20" t="s">
        <v>71</v>
      </c>
      <c r="YS36" s="20" t="s">
        <v>71</v>
      </c>
      <c r="YT36" s="20" t="s">
        <v>71</v>
      </c>
      <c r="YU36" s="20" t="s">
        <v>71</v>
      </c>
      <c r="YV36" s="20" t="s">
        <v>71</v>
      </c>
      <c r="YW36" s="20" t="s">
        <v>71</v>
      </c>
      <c r="YX36" s="20" t="s">
        <v>71</v>
      </c>
      <c r="YY36" s="20" t="s">
        <v>71</v>
      </c>
      <c r="YZ36" s="20" t="s">
        <v>71</v>
      </c>
      <c r="ZA36" s="20" t="s">
        <v>71</v>
      </c>
      <c r="ZB36" s="20" t="s">
        <v>71</v>
      </c>
      <c r="ZC36" s="20" t="s">
        <v>71</v>
      </c>
      <c r="ZD36" s="20" t="s">
        <v>71</v>
      </c>
      <c r="ZE36" s="20" t="s">
        <v>110</v>
      </c>
      <c r="ZF36" s="20" t="s">
        <v>71</v>
      </c>
      <c r="ZG36" s="20" t="s">
        <v>71</v>
      </c>
      <c r="ZH36" s="20" t="s">
        <v>71</v>
      </c>
      <c r="ZI36" s="20" t="s">
        <v>71</v>
      </c>
      <c r="ZJ36" s="20" t="s">
        <v>71</v>
      </c>
      <c r="ZK36" s="15" t="s">
        <v>71</v>
      </c>
      <c r="ZL36" s="15" t="s">
        <v>71</v>
      </c>
      <c r="ZM36" s="15" t="s">
        <v>71</v>
      </c>
      <c r="ZN36" s="15" t="s">
        <v>71</v>
      </c>
      <c r="ZO36" s="15" t="s">
        <v>71</v>
      </c>
      <c r="ZP36" s="15" t="s">
        <v>71</v>
      </c>
      <c r="ZQ36" s="15" t="s">
        <v>71</v>
      </c>
      <c r="ZR36" s="15" t="s">
        <v>71</v>
      </c>
      <c r="ZS36" s="15" t="s">
        <v>71</v>
      </c>
      <c r="ZT36" s="15" t="s">
        <v>71</v>
      </c>
      <c r="ZU36" s="15" t="s">
        <v>71</v>
      </c>
      <c r="ZV36" s="15" t="s">
        <v>71</v>
      </c>
      <c r="ZW36" s="15" t="s">
        <v>71</v>
      </c>
      <c r="ZX36" s="15" t="s">
        <v>71</v>
      </c>
      <c r="ZY36" s="15" t="s">
        <v>71</v>
      </c>
      <c r="ZZ36" s="15" t="s">
        <v>71</v>
      </c>
      <c r="AAA36" s="15" t="s">
        <v>71</v>
      </c>
      <c r="AAB36" s="15" t="s">
        <v>71</v>
      </c>
      <c r="AAC36" s="15" t="s">
        <v>71</v>
      </c>
      <c r="AAD36" s="15" t="s">
        <v>71</v>
      </c>
      <c r="AAE36" s="15" t="s">
        <v>71</v>
      </c>
      <c r="AAF36" s="15" t="s">
        <v>71</v>
      </c>
      <c r="AAG36" s="15" t="s">
        <v>71</v>
      </c>
      <c r="AAH36" s="15" t="s">
        <v>71</v>
      </c>
      <c r="AAI36" s="15" t="s">
        <v>71</v>
      </c>
      <c r="AAJ36" s="15" t="s">
        <v>71</v>
      </c>
      <c r="AAK36" s="15" t="s">
        <v>71</v>
      </c>
      <c r="AAL36" s="15"/>
      <c r="AAM36" s="20" t="s">
        <v>71</v>
      </c>
      <c r="AAN36" s="20" t="s">
        <v>71</v>
      </c>
      <c r="AAO36" s="20" t="s">
        <v>71</v>
      </c>
      <c r="AAP36" s="20" t="s">
        <v>71</v>
      </c>
      <c r="AAQ36" s="20" t="s">
        <v>71</v>
      </c>
      <c r="AAR36" s="20" t="s">
        <v>71</v>
      </c>
      <c r="AAS36" s="20" t="s">
        <v>71</v>
      </c>
      <c r="AAT36" s="20" t="s">
        <v>71</v>
      </c>
      <c r="AAU36" s="20" t="s">
        <v>71</v>
      </c>
      <c r="AAV36" s="15" t="s">
        <v>71</v>
      </c>
      <c r="AAW36" s="15" t="s">
        <v>71</v>
      </c>
      <c r="AAX36" s="15"/>
      <c r="AAY36" s="20" t="s">
        <v>71</v>
      </c>
      <c r="AAZ36" s="20" t="s">
        <v>71</v>
      </c>
      <c r="ABA36" s="20" t="s">
        <v>71</v>
      </c>
      <c r="ABB36" s="20" t="s">
        <v>71</v>
      </c>
      <c r="ABC36" s="20" t="s">
        <v>71</v>
      </c>
      <c r="ABD36" s="20" t="s">
        <v>71</v>
      </c>
      <c r="ABE36" s="20" t="s">
        <v>71</v>
      </c>
      <c r="ABF36" s="20" t="s">
        <v>71</v>
      </c>
      <c r="ABG36" s="20" t="s">
        <v>71</v>
      </c>
      <c r="ABH36" s="15" t="s">
        <v>71</v>
      </c>
      <c r="ABI36" s="20" t="s">
        <v>71</v>
      </c>
      <c r="ABJ36" s="15" t="s">
        <v>299</v>
      </c>
      <c r="ABK36" s="15" t="s">
        <v>71</v>
      </c>
      <c r="ABL36" s="15" t="s">
        <v>71</v>
      </c>
      <c r="ABM36" s="15" t="s">
        <v>71</v>
      </c>
      <c r="ABN36" s="15" t="s">
        <v>71</v>
      </c>
      <c r="ABO36" s="15" t="s">
        <v>71</v>
      </c>
      <c r="ABP36" s="15" t="s">
        <v>71</v>
      </c>
      <c r="ABQ36" s="20" t="s">
        <v>110</v>
      </c>
      <c r="ABR36" s="20" t="s">
        <v>71</v>
      </c>
      <c r="ABS36" s="20" t="s">
        <v>299</v>
      </c>
      <c r="ABT36" s="20" t="s">
        <v>71</v>
      </c>
      <c r="ABU36" s="20" t="s">
        <v>71</v>
      </c>
      <c r="ABV36" s="20" t="s">
        <v>71</v>
      </c>
      <c r="ABW36" s="20" t="s">
        <v>71</v>
      </c>
      <c r="ABX36" s="20" t="s">
        <v>71</v>
      </c>
      <c r="ABY36" s="20" t="s">
        <v>71</v>
      </c>
      <c r="ABZ36" s="20" t="s">
        <v>71</v>
      </c>
      <c r="ACA36" s="20" t="s">
        <v>71</v>
      </c>
      <c r="ACB36" s="20" t="s">
        <v>71</v>
      </c>
      <c r="ACC36" s="20" t="s">
        <v>110</v>
      </c>
      <c r="ACD36" s="20" t="s">
        <v>110</v>
      </c>
      <c r="ACE36" s="20" t="s">
        <v>71</v>
      </c>
      <c r="ACF36" s="20" t="s">
        <v>110</v>
      </c>
      <c r="ACG36" s="20" t="s">
        <v>299</v>
      </c>
      <c r="ACH36" s="15" t="s">
        <v>71</v>
      </c>
      <c r="ACI36" s="15" t="s">
        <v>71</v>
      </c>
      <c r="ACJ36" s="15" t="s">
        <v>71</v>
      </c>
      <c r="ACK36" s="15" t="s">
        <v>71</v>
      </c>
      <c r="ACL36" s="15" t="s">
        <v>71</v>
      </c>
      <c r="ACM36" s="15" t="s">
        <v>71</v>
      </c>
      <c r="ACN36" s="15" t="s">
        <v>71</v>
      </c>
      <c r="ACO36" s="15" t="s">
        <v>71</v>
      </c>
      <c r="ACP36" s="15" t="s">
        <v>71</v>
      </c>
      <c r="ACQ36" s="15" t="s">
        <v>71</v>
      </c>
      <c r="ACR36" s="15" t="s">
        <v>71</v>
      </c>
      <c r="ACS36" s="15" t="s">
        <v>71</v>
      </c>
      <c r="ACT36" s="15" t="s">
        <v>71</v>
      </c>
      <c r="ACU36" s="15" t="s">
        <v>71</v>
      </c>
      <c r="ACV36" s="15" t="s">
        <v>71</v>
      </c>
      <c r="ACW36" s="15" t="s">
        <v>71</v>
      </c>
      <c r="ACX36" s="15" t="s">
        <v>71</v>
      </c>
      <c r="ACY36" s="15" t="s">
        <v>71</v>
      </c>
      <c r="ACZ36" s="15" t="s">
        <v>71</v>
      </c>
      <c r="ADA36" s="15" t="s">
        <v>71</v>
      </c>
      <c r="ADB36" s="15" t="s">
        <v>71</v>
      </c>
      <c r="ADC36" s="15" t="s">
        <v>71</v>
      </c>
      <c r="ADD36" s="15" t="s">
        <v>71</v>
      </c>
      <c r="ADE36" s="15" t="s">
        <v>71</v>
      </c>
      <c r="ADF36" s="20" t="s">
        <v>110</v>
      </c>
      <c r="ADG36" s="15" t="s">
        <v>110</v>
      </c>
      <c r="ADH36" s="15"/>
      <c r="ADI36" s="20" t="s">
        <v>71</v>
      </c>
      <c r="ADJ36" s="20" t="s">
        <v>71</v>
      </c>
      <c r="ADK36" s="20" t="s">
        <v>71</v>
      </c>
      <c r="ADL36" s="20" t="s">
        <v>71</v>
      </c>
      <c r="ADM36" s="20" t="s">
        <v>71</v>
      </c>
      <c r="ADN36" s="20" t="s">
        <v>71</v>
      </c>
      <c r="ADO36" s="20" t="s">
        <v>71</v>
      </c>
      <c r="ADP36" s="20" t="s">
        <v>71</v>
      </c>
      <c r="ADQ36" s="20" t="s">
        <v>71</v>
      </c>
      <c r="ADR36" s="15" t="s">
        <v>71</v>
      </c>
      <c r="ADS36" s="20" t="s">
        <v>71</v>
      </c>
      <c r="ADT36" s="15" t="s">
        <v>299</v>
      </c>
      <c r="ADU36" s="15" t="s">
        <v>71</v>
      </c>
      <c r="ADV36" s="15" t="s">
        <v>71</v>
      </c>
      <c r="ADW36" s="15" t="s">
        <v>71</v>
      </c>
      <c r="ADX36" s="15" t="s">
        <v>71</v>
      </c>
      <c r="ADY36" s="15" t="s">
        <v>71</v>
      </c>
      <c r="ADZ36" s="15" t="s">
        <v>71</v>
      </c>
      <c r="AEA36" s="20" t="s">
        <v>110</v>
      </c>
      <c r="AEB36" s="20" t="s">
        <v>71</v>
      </c>
      <c r="AEC36" s="20" t="s">
        <v>299</v>
      </c>
      <c r="AED36" s="20" t="s">
        <v>71</v>
      </c>
      <c r="AEE36" s="20" t="s">
        <v>71</v>
      </c>
      <c r="AEF36" s="20" t="s">
        <v>71</v>
      </c>
      <c r="AEG36" s="20" t="s">
        <v>71</v>
      </c>
      <c r="AEH36" s="20" t="s">
        <v>71</v>
      </c>
      <c r="AEI36" s="20" t="s">
        <v>71</v>
      </c>
      <c r="AEJ36" s="20" t="s">
        <v>71</v>
      </c>
      <c r="AEK36" s="20" t="s">
        <v>71</v>
      </c>
      <c r="AEL36" s="20" t="s">
        <v>71</v>
      </c>
      <c r="AEM36" s="20" t="s">
        <v>110</v>
      </c>
      <c r="AEN36" s="20" t="s">
        <v>110</v>
      </c>
      <c r="AEO36" s="20" t="s">
        <v>71</v>
      </c>
      <c r="AEP36" s="20" t="s">
        <v>110</v>
      </c>
      <c r="AEQ36" s="20" t="s">
        <v>299</v>
      </c>
      <c r="AER36" s="15" t="s">
        <v>71</v>
      </c>
      <c r="AES36" s="15" t="s">
        <v>71</v>
      </c>
      <c r="AET36" s="15" t="s">
        <v>71</v>
      </c>
      <c r="AEU36" s="15" t="s">
        <v>71</v>
      </c>
      <c r="AEV36" s="15" t="s">
        <v>71</v>
      </c>
      <c r="AEW36" s="15" t="s">
        <v>71</v>
      </c>
      <c r="AEX36" s="15" t="s">
        <v>71</v>
      </c>
      <c r="AEY36" s="15" t="s">
        <v>71</v>
      </c>
      <c r="AEZ36" s="15" t="s">
        <v>71</v>
      </c>
      <c r="AFA36" s="15" t="s">
        <v>71</v>
      </c>
      <c r="AFB36" s="15" t="s">
        <v>71</v>
      </c>
      <c r="AFC36" s="15" t="s">
        <v>71</v>
      </c>
      <c r="AFD36" s="15" t="s">
        <v>71</v>
      </c>
      <c r="AFE36" s="15" t="s">
        <v>71</v>
      </c>
      <c r="AFF36" s="15" t="s">
        <v>71</v>
      </c>
      <c r="AFG36" s="15" t="s">
        <v>71</v>
      </c>
      <c r="AFH36" s="15" t="s">
        <v>71</v>
      </c>
      <c r="AFI36" s="15" t="s">
        <v>71</v>
      </c>
      <c r="AFJ36" s="15" t="s">
        <v>71</v>
      </c>
      <c r="AFK36" s="15" t="s">
        <v>71</v>
      </c>
      <c r="AFL36" s="15" t="s">
        <v>71</v>
      </c>
      <c r="AFM36" s="15" t="s">
        <v>71</v>
      </c>
      <c r="AFN36" s="15" t="s">
        <v>71</v>
      </c>
      <c r="AFO36" s="15" t="s">
        <v>71</v>
      </c>
      <c r="AFP36" s="20" t="s">
        <v>110</v>
      </c>
      <c r="AFQ36" s="15" t="s">
        <v>110</v>
      </c>
      <c r="AFR36" s="15"/>
      <c r="AFS36" s="15" t="s">
        <v>71</v>
      </c>
      <c r="AFT36" s="15" t="s">
        <v>71</v>
      </c>
      <c r="AFU36" s="15" t="s">
        <v>71</v>
      </c>
      <c r="AFV36" s="15" t="s">
        <v>71</v>
      </c>
      <c r="AFW36" s="15" t="s">
        <v>71</v>
      </c>
      <c r="AFX36" s="15" t="s">
        <v>71</v>
      </c>
      <c r="AFY36" s="15" t="s">
        <v>71</v>
      </c>
      <c r="AFZ36" s="15" t="s">
        <v>71</v>
      </c>
      <c r="AGA36" s="15" t="s">
        <v>71</v>
      </c>
      <c r="AGB36" s="15" t="s">
        <v>71</v>
      </c>
      <c r="AGC36" s="15" t="s">
        <v>110</v>
      </c>
      <c r="AGD36" s="15" t="s">
        <v>110</v>
      </c>
      <c r="AGE36" s="15" t="s">
        <v>110</v>
      </c>
      <c r="AGF36" s="15" t="s">
        <v>110</v>
      </c>
      <c r="AGG36" s="15" t="s">
        <v>110</v>
      </c>
      <c r="AGH36" s="15" t="s">
        <v>110</v>
      </c>
      <c r="AGI36" s="15" t="s">
        <v>110</v>
      </c>
      <c r="AGJ36" s="15" t="s">
        <v>110</v>
      </c>
      <c r="AGK36" s="15" t="s">
        <v>110</v>
      </c>
      <c r="AGL36" s="15" t="s">
        <v>110</v>
      </c>
      <c r="AGM36" s="15" t="s">
        <v>110</v>
      </c>
      <c r="AGN36" s="15" t="s">
        <v>110</v>
      </c>
      <c r="AGO36" s="15" t="s">
        <v>110</v>
      </c>
      <c r="AGP36" s="15" t="s">
        <v>110</v>
      </c>
      <c r="AGQ36" s="15" t="s">
        <v>110</v>
      </c>
      <c r="AGR36" s="15" t="s">
        <v>110</v>
      </c>
      <c r="AGS36" s="15" t="s">
        <v>110</v>
      </c>
      <c r="AGT36" s="15" t="s">
        <v>110</v>
      </c>
      <c r="AGU36" s="15" t="s">
        <v>110</v>
      </c>
      <c r="AGV36" s="15" t="s">
        <v>110</v>
      </c>
      <c r="AGW36" s="15" t="s">
        <v>110</v>
      </c>
      <c r="AGX36" s="15" t="s">
        <v>110</v>
      </c>
      <c r="AGY36" s="15" t="s">
        <v>110</v>
      </c>
      <c r="AGZ36" s="15" t="s">
        <v>110</v>
      </c>
      <c r="AHA36" s="15" t="s">
        <v>110</v>
      </c>
      <c r="AHB36" s="15" t="s">
        <v>110</v>
      </c>
      <c r="AHC36" s="15" t="s">
        <v>110</v>
      </c>
      <c r="AHD36" s="15" t="s">
        <v>110</v>
      </c>
      <c r="AHE36" s="15" t="s">
        <v>110</v>
      </c>
      <c r="AHF36" s="15" t="s">
        <v>110</v>
      </c>
      <c r="AHG36" s="15" t="s">
        <v>110</v>
      </c>
      <c r="AHH36" s="15" t="s">
        <v>110</v>
      </c>
      <c r="AHI36" s="15" t="s">
        <v>110</v>
      </c>
      <c r="AHJ36" s="15" t="s">
        <v>110</v>
      </c>
      <c r="AHK36" s="15" t="s">
        <v>110</v>
      </c>
      <c r="AHL36" s="15" t="s">
        <v>110</v>
      </c>
      <c r="AHM36" s="15" t="s">
        <v>110</v>
      </c>
      <c r="AHN36" s="15" t="s">
        <v>110</v>
      </c>
      <c r="AHO36" s="15" t="s">
        <v>110</v>
      </c>
      <c r="AHP36" s="15" t="s">
        <v>110</v>
      </c>
      <c r="AHQ36" s="15" t="s">
        <v>110</v>
      </c>
      <c r="AHR36" s="15" t="s">
        <v>110</v>
      </c>
      <c r="AHS36" s="15" t="s">
        <v>110</v>
      </c>
      <c r="AHT36" s="15" t="s">
        <v>110</v>
      </c>
      <c r="AHU36" s="15" t="s">
        <v>110</v>
      </c>
      <c r="AHV36" s="15" t="s">
        <v>110</v>
      </c>
      <c r="AHW36" s="15" t="s">
        <v>110</v>
      </c>
      <c r="AHX36" s="15" t="s">
        <v>110</v>
      </c>
      <c r="AHY36" s="15" t="s">
        <v>71</v>
      </c>
      <c r="AHZ36" s="15" t="s">
        <v>71</v>
      </c>
      <c r="AIA36" s="15" t="s">
        <v>71</v>
      </c>
      <c r="AIB36" s="15" t="s">
        <v>71</v>
      </c>
      <c r="AIC36" s="15" t="s">
        <v>71</v>
      </c>
      <c r="AID36" s="15" t="s">
        <v>71</v>
      </c>
      <c r="AIE36" s="15" t="s">
        <v>71</v>
      </c>
      <c r="AIF36" s="15" t="s">
        <v>71</v>
      </c>
      <c r="AIG36" s="15" t="s">
        <v>71</v>
      </c>
      <c r="AIH36" s="15" t="s">
        <v>71</v>
      </c>
      <c r="AII36" s="15" t="s">
        <v>71</v>
      </c>
      <c r="AIJ36" s="15" t="s">
        <v>71</v>
      </c>
      <c r="AIK36" s="15" t="s">
        <v>71</v>
      </c>
      <c r="AIL36" s="15" t="s">
        <v>71</v>
      </c>
      <c r="AIM36" s="15" t="s">
        <v>71</v>
      </c>
      <c r="AIN36" s="15" t="s">
        <v>71</v>
      </c>
      <c r="AIO36" s="15" t="s">
        <v>71</v>
      </c>
      <c r="AIP36" s="15" t="s">
        <v>71</v>
      </c>
      <c r="AIQ36" s="20" t="s">
        <v>110</v>
      </c>
      <c r="AIR36" s="20" t="s">
        <v>110</v>
      </c>
      <c r="AIS36" s="15" t="s">
        <v>71</v>
      </c>
      <c r="AIT36" s="20" t="s">
        <v>110</v>
      </c>
      <c r="AIU36" s="15" t="s">
        <v>71</v>
      </c>
      <c r="AIV36" s="15" t="s">
        <v>71</v>
      </c>
      <c r="AIW36" s="15" t="s">
        <v>71</v>
      </c>
      <c r="AIX36" s="15" t="s">
        <v>71</v>
      </c>
      <c r="AIY36" s="15" t="s">
        <v>71</v>
      </c>
      <c r="AIZ36" s="15" t="s">
        <v>71</v>
      </c>
      <c r="AJA36" s="15" t="s">
        <v>71</v>
      </c>
      <c r="AJB36" s="15" t="s">
        <v>71</v>
      </c>
      <c r="AJC36" s="15" t="s">
        <v>71</v>
      </c>
      <c r="AJD36" s="15" t="s">
        <v>71</v>
      </c>
      <c r="AJE36" s="20" t="s">
        <v>110</v>
      </c>
      <c r="AJF36" s="15"/>
      <c r="AJG36" s="15" t="s">
        <v>71</v>
      </c>
      <c r="AJH36" s="15" t="s">
        <v>71</v>
      </c>
      <c r="AJI36" s="15" t="s">
        <v>71</v>
      </c>
      <c r="AJJ36" s="15" t="s">
        <v>71</v>
      </c>
      <c r="AJK36" s="15" t="s">
        <v>71</v>
      </c>
      <c r="AJL36" s="15" t="s">
        <v>71</v>
      </c>
      <c r="AJM36" s="15" t="s">
        <v>71</v>
      </c>
      <c r="AJN36" s="15"/>
      <c r="AJO36" s="15" t="s">
        <v>71</v>
      </c>
      <c r="AJP36" s="15" t="s">
        <v>71</v>
      </c>
      <c r="AJQ36" s="15" t="s">
        <v>71</v>
      </c>
      <c r="AJR36" s="15" t="s">
        <v>71</v>
      </c>
      <c r="AJS36" s="15" t="s">
        <v>71</v>
      </c>
      <c r="AJT36" s="15" t="s">
        <v>71</v>
      </c>
      <c r="AJU36" s="15" t="s">
        <v>71</v>
      </c>
      <c r="AJV36" s="15" t="s">
        <v>71</v>
      </c>
      <c r="AJW36" s="15" t="s">
        <v>71</v>
      </c>
      <c r="AJX36" s="15"/>
      <c r="AJY36" s="15" t="s">
        <v>71</v>
      </c>
      <c r="AJZ36" s="15" t="s">
        <v>71</v>
      </c>
      <c r="AKA36" s="15" t="s">
        <v>71</v>
      </c>
      <c r="AKB36" s="15" t="s">
        <v>71</v>
      </c>
      <c r="AKC36" s="15" t="s">
        <v>71</v>
      </c>
      <c r="AKD36" s="15" t="s">
        <v>71</v>
      </c>
      <c r="AKE36" s="15" t="s">
        <v>71</v>
      </c>
      <c r="AKF36" s="15" t="s">
        <v>71</v>
      </c>
      <c r="AKG36" s="15" t="s">
        <v>71</v>
      </c>
      <c r="AKH36" s="15" t="s">
        <v>71</v>
      </c>
      <c r="AKI36" s="15"/>
      <c r="AKJ36" s="20" t="s">
        <v>71</v>
      </c>
      <c r="AKK36" s="20" t="s">
        <v>71</v>
      </c>
      <c r="AKL36" s="20" t="s">
        <v>71</v>
      </c>
      <c r="AKM36" s="20" t="s">
        <v>71</v>
      </c>
      <c r="AKN36" s="20" t="s">
        <v>71</v>
      </c>
      <c r="AKO36" s="20" t="s">
        <v>71</v>
      </c>
      <c r="AKP36" s="20" t="s">
        <v>71</v>
      </c>
      <c r="AKQ36" s="20" t="s">
        <v>71</v>
      </c>
      <c r="AKR36" s="20" t="s">
        <v>71</v>
      </c>
      <c r="AKS36" s="20" t="s">
        <v>71</v>
      </c>
      <c r="AKT36" s="20" t="s">
        <v>71</v>
      </c>
      <c r="AKU36" s="20" t="s">
        <v>71</v>
      </c>
      <c r="AKV36" s="20" t="s">
        <v>71</v>
      </c>
      <c r="AKW36" s="20" t="s">
        <v>71</v>
      </c>
      <c r="AKX36" s="15"/>
      <c r="AKY36" s="20" t="s">
        <v>71</v>
      </c>
      <c r="AKZ36" s="20" t="s">
        <v>71</v>
      </c>
      <c r="ALA36" s="20" t="s">
        <v>71</v>
      </c>
      <c r="ALB36" s="20" t="s">
        <v>71</v>
      </c>
      <c r="ALC36" s="20" t="s">
        <v>71</v>
      </c>
      <c r="ALD36" s="20" t="s">
        <v>71</v>
      </c>
      <c r="ALE36" s="20" t="s">
        <v>71</v>
      </c>
      <c r="ALF36" s="20" t="s">
        <v>71</v>
      </c>
      <c r="ALG36" s="20" t="s">
        <v>71</v>
      </c>
      <c r="ALH36" s="20" t="s">
        <v>71</v>
      </c>
      <c r="ALI36" s="20" t="s">
        <v>71</v>
      </c>
      <c r="ALJ36" s="20" t="s">
        <v>71</v>
      </c>
      <c r="ALK36" s="20" t="s">
        <v>71</v>
      </c>
      <c r="ALL36" s="20" t="s">
        <v>71</v>
      </c>
      <c r="ALM36" s="15"/>
      <c r="ALN36" s="20" t="s">
        <v>71</v>
      </c>
      <c r="ALO36" s="20" t="s">
        <v>71</v>
      </c>
      <c r="ALP36" s="20" t="s">
        <v>71</v>
      </c>
      <c r="ALQ36" s="20" t="s">
        <v>71</v>
      </c>
      <c r="ALR36" s="20" t="s">
        <v>71</v>
      </c>
      <c r="ALS36" s="20" t="s">
        <v>71</v>
      </c>
      <c r="ALT36" s="20" t="s">
        <v>71</v>
      </c>
      <c r="ALU36" s="20" t="s">
        <v>71</v>
      </c>
      <c r="ALV36" s="20" t="s">
        <v>71</v>
      </c>
      <c r="ALW36" s="15" t="s">
        <v>71</v>
      </c>
      <c r="ALX36" s="15" t="s">
        <v>71</v>
      </c>
      <c r="ALY36" s="15" t="s">
        <v>71</v>
      </c>
      <c r="ALZ36" s="15" t="s">
        <v>71</v>
      </c>
      <c r="AMA36" s="15" t="s">
        <v>71</v>
      </c>
      <c r="AMB36" s="15" t="s">
        <v>71</v>
      </c>
      <c r="AMC36" s="15"/>
      <c r="AMD36" s="15" t="s">
        <v>71</v>
      </c>
      <c r="AME36" s="15" t="s">
        <v>71</v>
      </c>
      <c r="AMF36" s="15" t="s">
        <v>71</v>
      </c>
      <c r="AMG36" s="15" t="s">
        <v>71</v>
      </c>
      <c r="AMH36" s="15" t="s">
        <v>71</v>
      </c>
      <c r="AMI36" s="15" t="s">
        <v>71</v>
      </c>
      <c r="AMJ36" s="15" t="s">
        <v>71</v>
      </c>
      <c r="AMK36" s="15" t="s">
        <v>71</v>
      </c>
      <c r="AML36" s="15" t="s">
        <v>71</v>
      </c>
      <c r="AMM36" s="15" t="s">
        <v>71</v>
      </c>
      <c r="AMN36" s="15" t="s">
        <v>110</v>
      </c>
      <c r="AMO36" s="15" t="s">
        <v>110</v>
      </c>
      <c r="AMP36" s="15" t="s">
        <v>110</v>
      </c>
      <c r="AMQ36" s="15" t="s">
        <v>110</v>
      </c>
      <c r="AMR36" s="15" t="s">
        <v>110</v>
      </c>
      <c r="AMS36" s="15" t="s">
        <v>110</v>
      </c>
      <c r="AMT36" s="15" t="s">
        <v>110</v>
      </c>
      <c r="AMU36" s="15" t="s">
        <v>110</v>
      </c>
      <c r="AMV36" s="15" t="s">
        <v>110</v>
      </c>
      <c r="AMW36" s="15" t="s">
        <v>110</v>
      </c>
      <c r="AMX36" s="15" t="s">
        <v>110</v>
      </c>
      <c r="AMY36" s="15" t="s">
        <v>110</v>
      </c>
      <c r="AMZ36" s="15" t="s">
        <v>110</v>
      </c>
      <c r="ANA36" s="15" t="s">
        <v>110</v>
      </c>
      <c r="ANB36" s="15" t="s">
        <v>110</v>
      </c>
      <c r="ANC36" s="15" t="s">
        <v>110</v>
      </c>
      <c r="AND36" s="15" t="s">
        <v>110</v>
      </c>
      <c r="ANE36" s="15"/>
      <c r="ANF36" s="15"/>
      <c r="ANG36" s="15"/>
      <c r="ANH36" s="15"/>
      <c r="ANI36" s="15"/>
      <c r="ANJ36" s="15"/>
      <c r="ANK36" s="15"/>
      <c r="ANL36" s="15"/>
      <c r="ANM36" s="15"/>
      <c r="ANN36" s="15"/>
      <c r="ANO36" s="15"/>
      <c r="ANP36" s="15"/>
      <c r="ANQ36" s="15"/>
      <c r="ANR36" s="15"/>
      <c r="ANS36" s="15"/>
      <c r="ANT36" s="15"/>
      <c r="ANU36" s="15"/>
      <c r="ANV36" s="15"/>
      <c r="ANW36" s="15"/>
      <c r="ANX36" s="15"/>
      <c r="ANY36" s="15"/>
      <c r="ANZ36" s="15"/>
      <c r="AOA36" s="15"/>
      <c r="AOB36" s="15"/>
      <c r="AOC36" s="15"/>
      <c r="AOD36" s="15"/>
      <c r="AOE36" s="15"/>
      <c r="AOF36" s="15"/>
      <c r="AOG36" s="15"/>
      <c r="AOH36" s="15"/>
      <c r="AOI36" s="15"/>
      <c r="AOJ36" s="15"/>
      <c r="AOK36" s="15"/>
      <c r="AOL36" s="15"/>
      <c r="AOM36" s="15"/>
      <c r="AON36" s="15"/>
      <c r="AOO36" s="15"/>
      <c r="AOP36" s="15"/>
      <c r="AOQ36" s="15"/>
      <c r="AOR36" s="15"/>
      <c r="AOS36" s="15"/>
      <c r="AOT36" s="15"/>
      <c r="AOU36" s="15"/>
      <c r="AOV36" s="15"/>
      <c r="AOW36" s="15"/>
      <c r="AOX36" s="15"/>
      <c r="AOY36" s="15"/>
      <c r="AOZ36" s="15"/>
      <c r="APA36" s="15"/>
      <c r="APB36" s="15"/>
      <c r="APC36" s="15"/>
      <c r="APD36" s="15"/>
      <c r="APE36" s="15"/>
      <c r="APF36" s="15"/>
      <c r="APG36" s="15"/>
      <c r="APH36" s="15"/>
      <c r="API36" s="15"/>
      <c r="APJ36" s="15"/>
      <c r="APK36" s="15"/>
      <c r="APL36" s="15"/>
      <c r="APM36" s="15"/>
      <c r="APN36" s="15"/>
      <c r="APO36" s="15"/>
      <c r="APP36" s="15"/>
      <c r="APQ36" s="15"/>
      <c r="APR36" s="15"/>
      <c r="APS36" s="15"/>
      <c r="APT36" s="15"/>
      <c r="APU36" s="15"/>
      <c r="APV36" s="15"/>
      <c r="APW36" s="15"/>
      <c r="APX36" s="15"/>
      <c r="APY36" s="15"/>
      <c r="APZ36" s="15"/>
      <c r="AQA36" s="15"/>
      <c r="AQB36" s="15"/>
    </row>
    <row r="37" spans="1:1120" s="17" customFormat="1" ht="15" customHeight="1" x14ac:dyDescent="0.25">
      <c r="A37" s="3" t="s">
        <v>2</v>
      </c>
      <c r="B37" s="6" t="s">
        <v>42</v>
      </c>
      <c r="C37" s="15"/>
      <c r="D37" s="15">
        <v>0</v>
      </c>
      <c r="E37" s="15">
        <v>0</v>
      </c>
      <c r="F37" s="15">
        <v>0</v>
      </c>
      <c r="G37" s="15">
        <v>0</v>
      </c>
      <c r="H37" s="15">
        <v>0</v>
      </c>
      <c r="I37" s="15">
        <v>0</v>
      </c>
      <c r="J37" s="15"/>
      <c r="K37" s="15">
        <v>0</v>
      </c>
      <c r="L37" s="15">
        <v>0</v>
      </c>
      <c r="M37" s="15">
        <v>0</v>
      </c>
      <c r="N37" s="15">
        <v>0</v>
      </c>
      <c r="O37" s="15">
        <v>0</v>
      </c>
      <c r="P37" s="15">
        <v>0</v>
      </c>
      <c r="Q37" s="15"/>
      <c r="R37" s="15">
        <v>0</v>
      </c>
      <c r="S37" s="15">
        <v>0</v>
      </c>
      <c r="T37" s="15">
        <v>0</v>
      </c>
      <c r="U37" s="15">
        <v>0</v>
      </c>
      <c r="V37" s="15">
        <v>0</v>
      </c>
      <c r="W37" s="15">
        <v>0</v>
      </c>
      <c r="X37" s="15"/>
      <c r="Y37" s="15">
        <v>0</v>
      </c>
      <c r="Z37" s="15">
        <v>0</v>
      </c>
      <c r="AA37" s="15">
        <v>0</v>
      </c>
      <c r="AB37" s="15">
        <v>0</v>
      </c>
      <c r="AC37" s="15">
        <v>0</v>
      </c>
      <c r="AD37" s="15">
        <v>0</v>
      </c>
      <c r="AE37" s="15"/>
      <c r="AF37" s="15">
        <v>0</v>
      </c>
      <c r="AG37" s="15">
        <v>0</v>
      </c>
      <c r="AH37" s="15">
        <v>0</v>
      </c>
      <c r="AI37" s="15">
        <v>0</v>
      </c>
      <c r="AJ37" s="15">
        <v>0</v>
      </c>
      <c r="AK37" s="15">
        <v>0</v>
      </c>
      <c r="AL37" s="15"/>
      <c r="AM37" s="15">
        <v>0</v>
      </c>
      <c r="AN37" s="15">
        <v>0</v>
      </c>
      <c r="AO37" s="15">
        <v>0</v>
      </c>
      <c r="AP37" s="15">
        <v>0</v>
      </c>
      <c r="AQ37" s="15">
        <v>0</v>
      </c>
      <c r="AR37" s="15">
        <v>0</v>
      </c>
      <c r="AS37" s="15">
        <v>0</v>
      </c>
      <c r="AT37" s="15">
        <v>0</v>
      </c>
      <c r="AU37" s="15">
        <v>0</v>
      </c>
      <c r="AV37" s="15">
        <v>0</v>
      </c>
      <c r="AW37" s="15">
        <v>0</v>
      </c>
      <c r="AX37" s="15">
        <v>0</v>
      </c>
      <c r="AY37" s="15">
        <v>0</v>
      </c>
      <c r="AZ37" s="15">
        <v>0</v>
      </c>
      <c r="BA37" s="15">
        <v>0</v>
      </c>
      <c r="BB37" s="15">
        <v>0</v>
      </c>
      <c r="BC37" s="15">
        <v>0</v>
      </c>
      <c r="BD37" s="15">
        <v>0</v>
      </c>
      <c r="BE37" s="15">
        <v>0</v>
      </c>
      <c r="BF37" s="15">
        <v>0</v>
      </c>
      <c r="BG37" s="15">
        <v>0</v>
      </c>
      <c r="BH37" s="15">
        <v>0</v>
      </c>
      <c r="BI37" s="15">
        <v>0</v>
      </c>
      <c r="BJ37" s="15">
        <v>0</v>
      </c>
      <c r="BK37" s="15">
        <v>0</v>
      </c>
      <c r="BL37" s="15">
        <v>0</v>
      </c>
      <c r="BM37" s="15">
        <v>0</v>
      </c>
      <c r="BN37" s="15">
        <v>0</v>
      </c>
      <c r="BO37" s="15">
        <v>0</v>
      </c>
      <c r="BP37" s="15">
        <v>0</v>
      </c>
      <c r="BQ37" s="15">
        <v>0</v>
      </c>
      <c r="BR37" s="15">
        <v>0</v>
      </c>
      <c r="BS37" s="15">
        <v>0</v>
      </c>
      <c r="BT37" s="15">
        <v>0</v>
      </c>
      <c r="BU37" s="15">
        <v>0</v>
      </c>
      <c r="BV37" s="15">
        <v>0</v>
      </c>
      <c r="BW37" s="15">
        <v>0</v>
      </c>
      <c r="BX37" s="15">
        <v>0</v>
      </c>
      <c r="BY37" s="15">
        <v>0</v>
      </c>
      <c r="BZ37" s="15">
        <v>0</v>
      </c>
      <c r="CA37" s="15">
        <v>0</v>
      </c>
      <c r="CB37" s="15">
        <v>0</v>
      </c>
      <c r="CC37" s="15">
        <v>0</v>
      </c>
      <c r="CD37" s="15">
        <v>0</v>
      </c>
      <c r="CE37" s="15">
        <v>0</v>
      </c>
      <c r="CF37" s="15">
        <v>0</v>
      </c>
      <c r="CG37" s="15">
        <v>0</v>
      </c>
      <c r="CH37" s="15">
        <v>0</v>
      </c>
      <c r="CI37" s="15">
        <v>0</v>
      </c>
      <c r="CJ37" s="15">
        <v>0</v>
      </c>
      <c r="CK37" s="15">
        <v>0</v>
      </c>
      <c r="CL37" s="15">
        <v>0</v>
      </c>
      <c r="CM37" s="15">
        <v>0</v>
      </c>
      <c r="CN37" s="15">
        <v>0</v>
      </c>
      <c r="CO37" s="15">
        <v>0</v>
      </c>
      <c r="CP37" s="15">
        <v>0</v>
      </c>
      <c r="CQ37" s="15">
        <v>0</v>
      </c>
      <c r="CR37" s="15">
        <v>0</v>
      </c>
      <c r="CS37" s="15">
        <v>0</v>
      </c>
      <c r="CT37" s="15">
        <v>0</v>
      </c>
      <c r="CU37" s="15">
        <v>0</v>
      </c>
      <c r="CV37" s="15">
        <v>0</v>
      </c>
      <c r="CW37" s="15">
        <v>0</v>
      </c>
      <c r="CX37" s="15">
        <v>0</v>
      </c>
      <c r="CY37" s="15">
        <v>0</v>
      </c>
      <c r="CZ37" s="15">
        <v>0</v>
      </c>
      <c r="DA37" s="15">
        <v>0</v>
      </c>
      <c r="DB37" s="15">
        <v>0</v>
      </c>
      <c r="DC37" s="15">
        <v>0</v>
      </c>
      <c r="DD37" s="15">
        <v>0</v>
      </c>
      <c r="DE37" s="15">
        <v>0</v>
      </c>
      <c r="DF37" s="15">
        <v>0</v>
      </c>
      <c r="DG37" s="15">
        <v>0</v>
      </c>
      <c r="DH37" s="15">
        <v>0</v>
      </c>
      <c r="DI37" s="15">
        <v>0</v>
      </c>
      <c r="DJ37" s="15">
        <v>0</v>
      </c>
      <c r="DK37" s="15">
        <v>0</v>
      </c>
      <c r="DL37" s="15">
        <v>0</v>
      </c>
      <c r="DM37" s="15">
        <v>0</v>
      </c>
      <c r="DN37" s="15">
        <v>0</v>
      </c>
      <c r="DO37" s="15">
        <v>0</v>
      </c>
      <c r="DP37" s="15">
        <v>0</v>
      </c>
      <c r="DQ37" s="15">
        <v>0</v>
      </c>
      <c r="DR37" s="15">
        <v>0</v>
      </c>
      <c r="DS37" s="15">
        <v>0</v>
      </c>
      <c r="DT37" s="15">
        <v>0</v>
      </c>
      <c r="DU37" s="15">
        <v>0</v>
      </c>
      <c r="DV37" s="15">
        <v>0</v>
      </c>
      <c r="DW37" s="15">
        <v>0</v>
      </c>
      <c r="DX37" s="15">
        <v>0</v>
      </c>
      <c r="DY37" s="15">
        <v>0</v>
      </c>
      <c r="DZ37" s="15">
        <v>0</v>
      </c>
      <c r="EA37" s="15">
        <v>0</v>
      </c>
      <c r="EB37" s="15">
        <v>0</v>
      </c>
      <c r="EC37" s="15">
        <v>0</v>
      </c>
      <c r="ED37" s="15">
        <v>0</v>
      </c>
      <c r="EE37" s="15">
        <v>0</v>
      </c>
      <c r="EF37" s="15">
        <v>0</v>
      </c>
      <c r="EG37" s="15">
        <v>0</v>
      </c>
      <c r="EH37" s="15">
        <v>0</v>
      </c>
      <c r="EI37" s="15">
        <v>0</v>
      </c>
      <c r="EJ37" s="15">
        <v>0</v>
      </c>
      <c r="EK37" s="15">
        <v>0</v>
      </c>
      <c r="EL37" s="15">
        <v>0</v>
      </c>
      <c r="EM37" s="15">
        <v>0</v>
      </c>
      <c r="EN37" s="15">
        <v>0</v>
      </c>
      <c r="EO37" s="15">
        <v>0</v>
      </c>
      <c r="EP37" s="15">
        <v>0</v>
      </c>
      <c r="EQ37" s="15">
        <v>0</v>
      </c>
      <c r="ER37" s="15">
        <v>0</v>
      </c>
      <c r="ES37" s="15">
        <v>0</v>
      </c>
      <c r="ET37" s="15">
        <v>0</v>
      </c>
      <c r="EU37" s="15">
        <v>0</v>
      </c>
      <c r="EV37" s="15">
        <v>0</v>
      </c>
      <c r="EW37" s="15">
        <v>0</v>
      </c>
      <c r="EX37" s="15">
        <v>0</v>
      </c>
      <c r="EY37" s="15">
        <v>0</v>
      </c>
      <c r="EZ37" s="15">
        <v>0</v>
      </c>
      <c r="FA37" s="15">
        <v>0</v>
      </c>
      <c r="FB37" s="15">
        <v>0</v>
      </c>
      <c r="FC37" s="15">
        <v>0</v>
      </c>
      <c r="FD37" s="15"/>
      <c r="FE37" s="15">
        <v>0</v>
      </c>
      <c r="FF37" s="15">
        <v>0</v>
      </c>
      <c r="FG37" s="15">
        <v>0</v>
      </c>
      <c r="FH37" s="15">
        <v>0</v>
      </c>
      <c r="FI37" s="15">
        <v>0</v>
      </c>
      <c r="FJ37" s="15">
        <v>0</v>
      </c>
      <c r="FK37" s="15">
        <v>0</v>
      </c>
      <c r="FL37" s="15">
        <v>0</v>
      </c>
      <c r="FM37" s="15">
        <v>0</v>
      </c>
      <c r="FN37" s="15">
        <v>0</v>
      </c>
      <c r="FO37" s="15">
        <v>0</v>
      </c>
      <c r="FP37" s="15">
        <v>0</v>
      </c>
      <c r="FQ37" s="15">
        <v>0</v>
      </c>
      <c r="FR37" s="15">
        <v>0</v>
      </c>
      <c r="FS37" s="15">
        <v>0</v>
      </c>
      <c r="FT37" s="15">
        <v>0</v>
      </c>
      <c r="FU37" s="15">
        <v>0</v>
      </c>
      <c r="FV37" s="15">
        <v>0</v>
      </c>
      <c r="FW37" s="15">
        <v>0</v>
      </c>
      <c r="FX37" s="15">
        <v>0</v>
      </c>
      <c r="FY37" s="15">
        <v>0</v>
      </c>
      <c r="FZ37" s="15">
        <v>0</v>
      </c>
      <c r="GA37" s="15">
        <v>0</v>
      </c>
      <c r="GB37" s="15">
        <v>0</v>
      </c>
      <c r="GC37" s="15">
        <v>0</v>
      </c>
      <c r="GD37" s="15">
        <v>0</v>
      </c>
      <c r="GE37" s="15">
        <v>0</v>
      </c>
      <c r="GF37" s="15">
        <v>0</v>
      </c>
      <c r="GG37" s="15">
        <v>0</v>
      </c>
      <c r="GH37" s="15">
        <v>0</v>
      </c>
      <c r="GI37" s="15">
        <v>0</v>
      </c>
      <c r="GJ37" s="15">
        <v>0</v>
      </c>
      <c r="GK37" s="15">
        <v>0</v>
      </c>
      <c r="GL37" s="15">
        <v>0</v>
      </c>
      <c r="GM37" s="15">
        <v>0</v>
      </c>
      <c r="GN37" s="15">
        <v>0</v>
      </c>
      <c r="GO37" s="15">
        <v>0</v>
      </c>
      <c r="GP37" s="15">
        <v>0</v>
      </c>
      <c r="GQ37" s="15">
        <v>0</v>
      </c>
      <c r="GR37" s="15">
        <v>0</v>
      </c>
      <c r="GS37" s="15">
        <v>0</v>
      </c>
      <c r="GT37" s="15">
        <v>0</v>
      </c>
      <c r="GU37" s="15">
        <v>0</v>
      </c>
      <c r="GV37" s="15">
        <v>0</v>
      </c>
      <c r="GW37" s="15">
        <v>0</v>
      </c>
      <c r="GX37" s="15">
        <v>0</v>
      </c>
      <c r="GY37" s="15">
        <v>0</v>
      </c>
      <c r="GZ37" s="15">
        <v>0</v>
      </c>
      <c r="HA37" s="15">
        <v>0</v>
      </c>
      <c r="HB37" s="15">
        <v>0</v>
      </c>
      <c r="HC37" s="15">
        <v>0</v>
      </c>
      <c r="HD37" s="15">
        <v>0</v>
      </c>
      <c r="HE37" s="15">
        <v>0</v>
      </c>
      <c r="HF37" s="15">
        <v>0</v>
      </c>
      <c r="HG37" s="15">
        <v>0</v>
      </c>
      <c r="HH37" s="15">
        <v>0</v>
      </c>
      <c r="HI37" s="15">
        <v>0</v>
      </c>
      <c r="HJ37" s="15">
        <v>0</v>
      </c>
      <c r="HK37" s="15">
        <v>0</v>
      </c>
      <c r="HL37" s="15">
        <v>0</v>
      </c>
      <c r="HM37" s="15">
        <v>0</v>
      </c>
      <c r="HN37" s="15">
        <v>0</v>
      </c>
      <c r="HO37" s="15">
        <v>0</v>
      </c>
      <c r="HP37" s="15">
        <v>0</v>
      </c>
      <c r="HQ37" s="15">
        <v>0</v>
      </c>
      <c r="HR37" s="15">
        <v>0</v>
      </c>
      <c r="HS37" s="15">
        <v>0</v>
      </c>
      <c r="HT37" s="15">
        <v>0</v>
      </c>
      <c r="HU37" s="15">
        <v>0</v>
      </c>
      <c r="HV37" s="15">
        <v>0</v>
      </c>
      <c r="HW37" s="15">
        <v>0</v>
      </c>
      <c r="HX37" s="15">
        <v>0</v>
      </c>
      <c r="HY37" s="15">
        <v>0</v>
      </c>
      <c r="HZ37" s="15">
        <v>0</v>
      </c>
      <c r="IA37" s="15">
        <v>0</v>
      </c>
      <c r="IB37" s="15"/>
      <c r="IC37" s="15">
        <v>0</v>
      </c>
      <c r="ID37" s="15">
        <v>0</v>
      </c>
      <c r="IE37" s="15">
        <v>0</v>
      </c>
      <c r="IF37" s="15">
        <v>0</v>
      </c>
      <c r="IG37" s="15">
        <v>0</v>
      </c>
      <c r="IH37" s="15">
        <v>0</v>
      </c>
      <c r="II37" s="15">
        <v>0</v>
      </c>
      <c r="IJ37" s="15">
        <v>0</v>
      </c>
      <c r="IK37" s="15"/>
      <c r="IL37" s="15">
        <v>0</v>
      </c>
      <c r="IM37" s="15">
        <v>0</v>
      </c>
      <c r="IN37" s="15">
        <v>0</v>
      </c>
      <c r="IO37" s="15">
        <v>0</v>
      </c>
      <c r="IP37" s="15">
        <v>0</v>
      </c>
      <c r="IQ37" s="15">
        <v>0</v>
      </c>
      <c r="IR37" s="15">
        <v>0</v>
      </c>
      <c r="IS37" s="15">
        <v>0</v>
      </c>
      <c r="IT37" s="15">
        <v>0</v>
      </c>
      <c r="IU37" s="15">
        <v>0</v>
      </c>
      <c r="IV37" s="15">
        <v>0</v>
      </c>
      <c r="IW37" s="15">
        <v>0</v>
      </c>
      <c r="IX37" s="15">
        <v>0</v>
      </c>
      <c r="IY37" s="15">
        <v>0</v>
      </c>
      <c r="IZ37" s="15">
        <v>0</v>
      </c>
      <c r="JA37" s="15">
        <v>0</v>
      </c>
      <c r="JB37" s="15">
        <v>0</v>
      </c>
      <c r="JC37" s="15">
        <v>0</v>
      </c>
      <c r="JD37" s="20">
        <v>1</v>
      </c>
      <c r="JE37" s="20">
        <v>0</v>
      </c>
      <c r="JF37" s="15">
        <v>0</v>
      </c>
      <c r="JG37" s="20">
        <v>1</v>
      </c>
      <c r="JH37" s="20">
        <v>1</v>
      </c>
      <c r="JI37" s="20">
        <v>1</v>
      </c>
      <c r="JJ37" s="20">
        <v>1</v>
      </c>
      <c r="JK37" s="20">
        <v>1</v>
      </c>
      <c r="JL37" s="20">
        <v>1</v>
      </c>
      <c r="JM37" s="20">
        <v>1</v>
      </c>
      <c r="JN37" s="20">
        <v>1</v>
      </c>
      <c r="JO37" s="20">
        <v>1</v>
      </c>
      <c r="JP37" s="20">
        <v>1</v>
      </c>
      <c r="JQ37" s="20">
        <v>1</v>
      </c>
      <c r="JR37" s="20">
        <v>1</v>
      </c>
      <c r="JS37" s="20">
        <v>1</v>
      </c>
      <c r="JT37" s="20">
        <v>1</v>
      </c>
      <c r="JU37" s="20">
        <v>1</v>
      </c>
      <c r="JV37" s="20">
        <v>1</v>
      </c>
      <c r="JW37" s="15">
        <v>0</v>
      </c>
      <c r="JX37" s="15">
        <v>0</v>
      </c>
      <c r="JY37" s="15">
        <v>0</v>
      </c>
      <c r="JZ37" s="15">
        <v>0</v>
      </c>
      <c r="KA37" s="15">
        <v>0</v>
      </c>
      <c r="KB37" s="15">
        <v>0</v>
      </c>
      <c r="KC37" s="15">
        <v>0</v>
      </c>
      <c r="KD37" s="15">
        <v>0</v>
      </c>
      <c r="KE37" s="15">
        <v>0</v>
      </c>
      <c r="KF37" s="15">
        <v>0</v>
      </c>
      <c r="KG37" s="15">
        <v>0</v>
      </c>
      <c r="KH37" s="20">
        <v>1</v>
      </c>
      <c r="KI37" s="15">
        <v>0</v>
      </c>
      <c r="KJ37" s="15">
        <v>0</v>
      </c>
      <c r="KK37" s="15">
        <v>0</v>
      </c>
      <c r="KL37" s="20">
        <v>0</v>
      </c>
      <c r="KM37" s="15">
        <v>0</v>
      </c>
      <c r="KN37" s="15">
        <v>0</v>
      </c>
      <c r="KO37" s="15">
        <v>0</v>
      </c>
      <c r="KP37" s="15">
        <v>0</v>
      </c>
      <c r="KQ37" s="15">
        <v>0</v>
      </c>
      <c r="KR37" s="15">
        <v>0</v>
      </c>
      <c r="KS37" s="15">
        <v>0</v>
      </c>
      <c r="KT37" s="15">
        <v>0</v>
      </c>
      <c r="KU37" s="15">
        <v>0</v>
      </c>
      <c r="KV37" s="15">
        <v>0</v>
      </c>
      <c r="KW37" s="15">
        <v>0</v>
      </c>
      <c r="KX37" s="15">
        <v>0</v>
      </c>
      <c r="KY37" s="15">
        <v>0</v>
      </c>
      <c r="KZ37" s="15">
        <v>0</v>
      </c>
      <c r="LA37" s="15">
        <v>0</v>
      </c>
      <c r="LB37" s="15">
        <v>0</v>
      </c>
      <c r="LC37" s="15">
        <v>0</v>
      </c>
      <c r="LD37" s="15">
        <v>0</v>
      </c>
      <c r="LE37" s="15">
        <v>0</v>
      </c>
      <c r="LF37" s="15">
        <v>0</v>
      </c>
      <c r="LG37" s="15">
        <v>0</v>
      </c>
      <c r="LH37" s="15">
        <v>0</v>
      </c>
      <c r="LI37" s="15">
        <v>0</v>
      </c>
      <c r="LJ37" s="15">
        <v>0</v>
      </c>
      <c r="LK37" s="15">
        <v>0</v>
      </c>
      <c r="LL37" s="15">
        <v>0</v>
      </c>
      <c r="LM37" s="15">
        <v>0</v>
      </c>
      <c r="LN37" s="15">
        <v>0</v>
      </c>
      <c r="LO37" s="15">
        <v>0</v>
      </c>
      <c r="LP37" s="15">
        <v>0</v>
      </c>
      <c r="LQ37" s="15">
        <v>0</v>
      </c>
      <c r="LR37" s="15">
        <v>0</v>
      </c>
      <c r="LS37" s="15">
        <v>0</v>
      </c>
      <c r="LT37" s="15">
        <v>0</v>
      </c>
      <c r="LU37" s="15">
        <v>0</v>
      </c>
      <c r="LV37" s="20">
        <v>0</v>
      </c>
      <c r="LW37" s="20">
        <v>0</v>
      </c>
      <c r="LX37" s="15">
        <v>0</v>
      </c>
      <c r="LY37" s="20">
        <v>0</v>
      </c>
      <c r="LZ37" s="20">
        <v>0</v>
      </c>
      <c r="MA37" s="15">
        <v>0</v>
      </c>
      <c r="MB37" s="20">
        <v>0</v>
      </c>
      <c r="MC37" s="20">
        <v>1</v>
      </c>
      <c r="MD37" s="20">
        <v>0</v>
      </c>
      <c r="ME37" s="15">
        <v>0</v>
      </c>
      <c r="MF37" s="20">
        <v>1</v>
      </c>
      <c r="MG37" s="15">
        <v>0</v>
      </c>
      <c r="MH37" s="15">
        <v>0</v>
      </c>
      <c r="MI37" s="20">
        <v>1</v>
      </c>
      <c r="MJ37" s="15">
        <v>1</v>
      </c>
      <c r="MK37" s="15">
        <v>1</v>
      </c>
      <c r="ML37" s="15">
        <v>1</v>
      </c>
      <c r="MM37" s="15">
        <v>1</v>
      </c>
      <c r="MN37" s="15">
        <v>1</v>
      </c>
      <c r="MO37" s="15">
        <v>1</v>
      </c>
      <c r="MP37" s="15">
        <v>1</v>
      </c>
      <c r="MQ37" s="15">
        <v>1</v>
      </c>
      <c r="MR37" s="15">
        <v>1</v>
      </c>
      <c r="MS37" s="20">
        <v>1</v>
      </c>
      <c r="MT37" s="15">
        <v>1</v>
      </c>
      <c r="MU37" s="15">
        <v>1</v>
      </c>
      <c r="MV37" s="15">
        <v>1</v>
      </c>
      <c r="MW37" s="15">
        <v>1</v>
      </c>
      <c r="MX37" s="15">
        <v>1</v>
      </c>
      <c r="MY37" s="15">
        <v>1</v>
      </c>
      <c r="MZ37" s="15">
        <v>1</v>
      </c>
      <c r="NA37" s="15">
        <v>1</v>
      </c>
      <c r="NB37" s="15">
        <v>1</v>
      </c>
      <c r="NC37" s="20">
        <v>1</v>
      </c>
      <c r="ND37" s="15">
        <v>1</v>
      </c>
      <c r="NE37" s="15">
        <v>1</v>
      </c>
      <c r="NF37" s="15">
        <v>1</v>
      </c>
      <c r="NG37" s="15">
        <v>1</v>
      </c>
      <c r="NH37" s="15">
        <v>1</v>
      </c>
      <c r="NI37" s="15">
        <v>1</v>
      </c>
      <c r="NJ37" s="15">
        <v>1</v>
      </c>
      <c r="NK37" s="15">
        <v>1</v>
      </c>
      <c r="NL37" s="15">
        <v>1</v>
      </c>
      <c r="NM37" s="15">
        <v>1</v>
      </c>
      <c r="NN37" s="15">
        <v>1</v>
      </c>
      <c r="NO37" s="15">
        <v>1</v>
      </c>
      <c r="NP37" s="15">
        <v>1</v>
      </c>
      <c r="NQ37" s="15">
        <v>1</v>
      </c>
      <c r="NR37" s="15">
        <v>1</v>
      </c>
      <c r="NS37" s="15">
        <v>1</v>
      </c>
      <c r="NT37" s="15">
        <v>1</v>
      </c>
      <c r="NU37" s="15">
        <v>1</v>
      </c>
      <c r="NV37" s="15">
        <v>1</v>
      </c>
      <c r="NW37" s="15">
        <v>1</v>
      </c>
      <c r="NX37" s="20">
        <v>0</v>
      </c>
      <c r="NY37" s="20">
        <v>0</v>
      </c>
      <c r="NZ37" s="20">
        <v>0</v>
      </c>
      <c r="OA37" s="15">
        <v>1</v>
      </c>
      <c r="OB37" s="15">
        <v>1</v>
      </c>
      <c r="OC37" s="15">
        <v>1</v>
      </c>
      <c r="OD37" s="20">
        <v>1</v>
      </c>
      <c r="OE37" s="20">
        <v>1</v>
      </c>
      <c r="OF37" s="20">
        <v>1</v>
      </c>
      <c r="OG37" s="20">
        <v>1</v>
      </c>
      <c r="OH37" s="20">
        <v>1</v>
      </c>
      <c r="OI37" s="20">
        <v>1</v>
      </c>
      <c r="OJ37" s="20">
        <v>1</v>
      </c>
      <c r="OK37" s="20">
        <v>1</v>
      </c>
      <c r="OL37" s="20">
        <v>1</v>
      </c>
      <c r="OM37" s="20">
        <v>0</v>
      </c>
      <c r="ON37" s="20">
        <v>1</v>
      </c>
      <c r="OO37" s="20">
        <v>1</v>
      </c>
      <c r="OP37" s="20">
        <v>1</v>
      </c>
      <c r="OQ37" s="20">
        <v>1</v>
      </c>
      <c r="OR37" s="20">
        <v>1</v>
      </c>
      <c r="OS37" s="20">
        <v>1</v>
      </c>
      <c r="OT37" s="20">
        <v>1</v>
      </c>
      <c r="OU37" s="20">
        <v>1</v>
      </c>
      <c r="OV37" s="20">
        <v>1</v>
      </c>
      <c r="OW37" s="20">
        <v>1</v>
      </c>
      <c r="OX37" s="20">
        <v>1</v>
      </c>
      <c r="OY37" s="20">
        <v>1</v>
      </c>
      <c r="OZ37" s="20">
        <v>1</v>
      </c>
      <c r="PA37" s="20">
        <v>1</v>
      </c>
      <c r="PB37" s="20">
        <v>1</v>
      </c>
      <c r="PC37" s="20">
        <v>1</v>
      </c>
      <c r="PD37" s="20">
        <v>1</v>
      </c>
      <c r="PE37" s="20">
        <v>1</v>
      </c>
      <c r="PF37" s="20">
        <v>1</v>
      </c>
      <c r="PG37" s="20">
        <v>1</v>
      </c>
      <c r="PH37" s="20">
        <v>1</v>
      </c>
      <c r="PI37" s="20">
        <v>1</v>
      </c>
      <c r="PJ37" s="20">
        <v>1</v>
      </c>
      <c r="PK37" s="20">
        <v>1</v>
      </c>
      <c r="PL37" s="20">
        <v>1</v>
      </c>
      <c r="PM37" s="20">
        <v>0</v>
      </c>
      <c r="PN37" s="20">
        <v>0</v>
      </c>
      <c r="PO37" s="20">
        <v>0</v>
      </c>
      <c r="PP37" s="20">
        <v>1</v>
      </c>
      <c r="PQ37" s="20">
        <v>0</v>
      </c>
      <c r="PR37" s="20">
        <v>0</v>
      </c>
      <c r="PS37" s="15">
        <v>1</v>
      </c>
      <c r="PT37" s="15">
        <v>1</v>
      </c>
      <c r="PU37" s="15">
        <v>1</v>
      </c>
      <c r="PV37" s="15">
        <v>1</v>
      </c>
      <c r="PW37" s="15">
        <v>1</v>
      </c>
      <c r="PX37" s="15">
        <v>1</v>
      </c>
      <c r="PY37" s="15">
        <v>1</v>
      </c>
      <c r="PZ37" s="15">
        <v>1</v>
      </c>
      <c r="QA37" s="15">
        <v>1</v>
      </c>
      <c r="QB37" s="15">
        <v>1</v>
      </c>
      <c r="QC37" s="15">
        <v>1</v>
      </c>
      <c r="QD37" s="15">
        <v>1</v>
      </c>
      <c r="QE37" s="15">
        <v>1</v>
      </c>
      <c r="QF37" s="15">
        <v>1</v>
      </c>
      <c r="QG37" s="15">
        <v>1</v>
      </c>
      <c r="QH37" s="15">
        <v>1</v>
      </c>
      <c r="QI37" s="20">
        <v>0</v>
      </c>
      <c r="QJ37" s="15">
        <v>0</v>
      </c>
      <c r="QK37" s="20">
        <v>0</v>
      </c>
      <c r="QL37" s="20">
        <v>0</v>
      </c>
      <c r="QM37" s="15">
        <v>0</v>
      </c>
      <c r="QN37" s="15">
        <v>1</v>
      </c>
      <c r="QO37" s="15">
        <v>1</v>
      </c>
      <c r="QP37" s="15">
        <v>1</v>
      </c>
      <c r="QQ37" s="15">
        <v>1</v>
      </c>
      <c r="QR37" s="15">
        <v>1</v>
      </c>
      <c r="QS37" s="15">
        <v>1</v>
      </c>
      <c r="QT37" s="15">
        <v>1</v>
      </c>
      <c r="QU37" s="15">
        <v>1</v>
      </c>
      <c r="QV37" s="15">
        <v>1</v>
      </c>
      <c r="QW37" s="15">
        <v>1</v>
      </c>
      <c r="QX37" s="15">
        <v>1</v>
      </c>
      <c r="QY37" s="15">
        <v>1</v>
      </c>
      <c r="QZ37" s="15">
        <v>1</v>
      </c>
      <c r="RA37" s="15">
        <v>1</v>
      </c>
      <c r="RB37" s="15">
        <v>1</v>
      </c>
      <c r="RC37" s="15">
        <v>1</v>
      </c>
      <c r="RD37" s="15">
        <v>1</v>
      </c>
      <c r="RE37" s="15">
        <v>1</v>
      </c>
      <c r="RF37" s="15">
        <v>1</v>
      </c>
      <c r="RG37" s="15">
        <v>1</v>
      </c>
      <c r="RH37" s="15">
        <v>1</v>
      </c>
      <c r="RI37" s="15">
        <v>1</v>
      </c>
      <c r="RJ37" s="15">
        <v>1</v>
      </c>
      <c r="RK37" s="15">
        <v>1</v>
      </c>
      <c r="RL37" s="15">
        <v>1</v>
      </c>
      <c r="RM37" s="15">
        <v>1</v>
      </c>
      <c r="RN37" s="15">
        <v>1</v>
      </c>
      <c r="RO37" s="15">
        <v>1</v>
      </c>
      <c r="RP37" s="15">
        <v>1</v>
      </c>
      <c r="RQ37" s="15">
        <v>1</v>
      </c>
      <c r="RR37" s="15">
        <v>1</v>
      </c>
      <c r="RS37" s="15"/>
      <c r="RT37" s="15">
        <v>0</v>
      </c>
      <c r="RU37" s="15">
        <v>0</v>
      </c>
      <c r="RV37" s="15">
        <v>0</v>
      </c>
      <c r="RW37" s="15">
        <v>0</v>
      </c>
      <c r="RX37" s="15">
        <v>0</v>
      </c>
      <c r="RY37" s="15">
        <v>0</v>
      </c>
      <c r="RZ37" s="15">
        <v>0</v>
      </c>
      <c r="SA37" s="15">
        <v>1</v>
      </c>
      <c r="SB37" s="15">
        <v>1</v>
      </c>
      <c r="SC37" s="15">
        <v>1</v>
      </c>
      <c r="SD37" s="15">
        <v>1</v>
      </c>
      <c r="SE37" s="15">
        <v>1</v>
      </c>
      <c r="SF37" s="15">
        <v>1</v>
      </c>
      <c r="SG37" s="20">
        <v>0</v>
      </c>
      <c r="SH37" s="20">
        <v>0</v>
      </c>
      <c r="SI37" s="20">
        <v>0</v>
      </c>
      <c r="SJ37" s="15">
        <v>1</v>
      </c>
      <c r="SK37" s="15">
        <v>1</v>
      </c>
      <c r="SL37" s="15">
        <v>1</v>
      </c>
      <c r="SM37" s="20">
        <v>1</v>
      </c>
      <c r="SN37" s="20">
        <v>1</v>
      </c>
      <c r="SO37" s="20">
        <v>1</v>
      </c>
      <c r="SP37" s="20">
        <v>1</v>
      </c>
      <c r="SQ37" s="20">
        <v>1</v>
      </c>
      <c r="SR37" s="20">
        <v>1</v>
      </c>
      <c r="SS37" s="20">
        <v>1</v>
      </c>
      <c r="ST37" s="20">
        <v>1</v>
      </c>
      <c r="SU37" s="20">
        <v>1</v>
      </c>
      <c r="SV37" s="20">
        <v>0</v>
      </c>
      <c r="SW37" s="20">
        <v>1</v>
      </c>
      <c r="SX37" s="20">
        <v>1</v>
      </c>
      <c r="SY37" s="20">
        <v>1</v>
      </c>
      <c r="SZ37" s="20">
        <v>1</v>
      </c>
      <c r="TA37" s="20">
        <v>1</v>
      </c>
      <c r="TB37" s="20">
        <v>1</v>
      </c>
      <c r="TC37" s="20">
        <v>1</v>
      </c>
      <c r="TD37" s="20">
        <v>1</v>
      </c>
      <c r="TE37" s="20">
        <v>1</v>
      </c>
      <c r="TF37" s="20">
        <v>1</v>
      </c>
      <c r="TG37" s="20">
        <v>1</v>
      </c>
      <c r="TH37" s="20">
        <v>1</v>
      </c>
      <c r="TI37" s="20">
        <v>1</v>
      </c>
      <c r="TJ37" s="20">
        <v>1</v>
      </c>
      <c r="TK37" s="20">
        <v>1</v>
      </c>
      <c r="TL37" s="20">
        <v>1</v>
      </c>
      <c r="TM37" s="20">
        <v>1</v>
      </c>
      <c r="TN37" s="20">
        <v>1</v>
      </c>
      <c r="TO37" s="20">
        <v>1</v>
      </c>
      <c r="TP37" s="20">
        <v>1</v>
      </c>
      <c r="TQ37" s="20">
        <v>1</v>
      </c>
      <c r="TR37" s="20">
        <v>1</v>
      </c>
      <c r="TS37" s="20">
        <v>1</v>
      </c>
      <c r="TT37" s="20">
        <v>1</v>
      </c>
      <c r="TU37" s="20">
        <v>0</v>
      </c>
      <c r="TV37" s="20">
        <v>0</v>
      </c>
      <c r="TW37" s="20">
        <v>0</v>
      </c>
      <c r="TX37" s="20">
        <v>1</v>
      </c>
      <c r="TY37" s="20">
        <v>0</v>
      </c>
      <c r="TZ37" s="20">
        <v>0</v>
      </c>
      <c r="UA37" s="15">
        <v>1</v>
      </c>
      <c r="UB37" s="15">
        <v>1</v>
      </c>
      <c r="UC37" s="15">
        <v>1</v>
      </c>
      <c r="UD37" s="15">
        <v>1</v>
      </c>
      <c r="UE37" s="15">
        <v>1</v>
      </c>
      <c r="UF37" s="15">
        <v>1</v>
      </c>
      <c r="UG37" s="15">
        <v>1</v>
      </c>
      <c r="UH37" s="15">
        <v>1</v>
      </c>
      <c r="UI37" s="15">
        <v>1</v>
      </c>
      <c r="UJ37" s="15">
        <v>1</v>
      </c>
      <c r="UK37" s="15">
        <v>1</v>
      </c>
      <c r="UL37" s="15">
        <v>1</v>
      </c>
      <c r="UM37" s="15">
        <v>1</v>
      </c>
      <c r="UN37" s="15">
        <v>1</v>
      </c>
      <c r="UO37" s="15">
        <v>1</v>
      </c>
      <c r="UP37" s="15">
        <v>1</v>
      </c>
      <c r="UQ37" s="20">
        <v>0</v>
      </c>
      <c r="UR37" s="15">
        <v>0</v>
      </c>
      <c r="US37" s="20">
        <v>0</v>
      </c>
      <c r="UT37" s="20">
        <v>0</v>
      </c>
      <c r="UU37" s="15">
        <v>0</v>
      </c>
      <c r="UV37" s="15">
        <v>1</v>
      </c>
      <c r="UW37" s="15">
        <v>1</v>
      </c>
      <c r="UX37" s="15">
        <v>1</v>
      </c>
      <c r="UY37" s="15">
        <v>1</v>
      </c>
      <c r="UZ37" s="15">
        <v>1</v>
      </c>
      <c r="VA37" s="15">
        <v>1</v>
      </c>
      <c r="VB37" s="15">
        <v>1</v>
      </c>
      <c r="VC37" s="15">
        <v>1</v>
      </c>
      <c r="VD37" s="15">
        <v>1</v>
      </c>
      <c r="VE37" s="15">
        <v>1</v>
      </c>
      <c r="VF37" s="15">
        <v>1</v>
      </c>
      <c r="VG37" s="15">
        <v>1</v>
      </c>
      <c r="VH37" s="15">
        <v>1</v>
      </c>
      <c r="VI37" s="15">
        <v>1</v>
      </c>
      <c r="VJ37" s="15">
        <v>1</v>
      </c>
      <c r="VK37" s="15">
        <v>1</v>
      </c>
      <c r="VL37" s="15">
        <v>1</v>
      </c>
      <c r="VM37" s="15">
        <v>1</v>
      </c>
      <c r="VN37" s="15">
        <v>1</v>
      </c>
      <c r="VO37" s="15">
        <v>1</v>
      </c>
      <c r="VP37" s="15">
        <v>1</v>
      </c>
      <c r="VQ37" s="15">
        <v>1</v>
      </c>
      <c r="VR37" s="15">
        <v>1</v>
      </c>
      <c r="VS37" s="15">
        <v>1</v>
      </c>
      <c r="VT37" s="15">
        <v>1</v>
      </c>
      <c r="VU37" s="15">
        <v>1</v>
      </c>
      <c r="VV37" s="15">
        <v>1</v>
      </c>
      <c r="VW37" s="15">
        <v>1</v>
      </c>
      <c r="VX37" s="15">
        <v>1</v>
      </c>
      <c r="VY37" s="15">
        <v>1</v>
      </c>
      <c r="VZ37" s="15">
        <v>1</v>
      </c>
      <c r="WA37" s="15">
        <v>1</v>
      </c>
      <c r="WB37" s="15">
        <v>1</v>
      </c>
      <c r="WC37" s="15">
        <v>1</v>
      </c>
      <c r="WD37" s="15">
        <v>1</v>
      </c>
      <c r="WE37" s="15">
        <v>1</v>
      </c>
      <c r="WF37" s="15">
        <v>1</v>
      </c>
      <c r="WG37" s="15">
        <v>1</v>
      </c>
      <c r="WH37" s="15">
        <v>1</v>
      </c>
      <c r="WI37" s="15">
        <v>1</v>
      </c>
      <c r="WJ37" s="15">
        <v>1</v>
      </c>
      <c r="WK37" s="15">
        <v>1</v>
      </c>
      <c r="WL37" s="15">
        <v>1</v>
      </c>
      <c r="WM37" s="15">
        <v>1</v>
      </c>
      <c r="WN37" s="15">
        <v>1</v>
      </c>
      <c r="WO37" s="15">
        <v>1</v>
      </c>
      <c r="WP37" s="15">
        <v>1</v>
      </c>
      <c r="WQ37" s="15">
        <v>1</v>
      </c>
      <c r="WR37" s="15">
        <v>1</v>
      </c>
      <c r="WS37" s="15">
        <v>1</v>
      </c>
      <c r="WT37" s="15">
        <v>1</v>
      </c>
      <c r="WU37" s="15">
        <v>1</v>
      </c>
      <c r="WV37" s="20">
        <v>0</v>
      </c>
      <c r="WW37" s="15">
        <v>1</v>
      </c>
      <c r="WX37" s="20">
        <v>0</v>
      </c>
      <c r="WY37" s="15">
        <v>1</v>
      </c>
      <c r="WZ37" s="15">
        <v>1</v>
      </c>
      <c r="XA37" s="15">
        <v>1</v>
      </c>
      <c r="XB37" s="15">
        <v>1</v>
      </c>
      <c r="XC37" s="15">
        <v>1</v>
      </c>
      <c r="XD37" s="15">
        <v>1</v>
      </c>
      <c r="XE37" s="15">
        <v>1</v>
      </c>
      <c r="XF37" s="15">
        <v>1</v>
      </c>
      <c r="XG37" s="15">
        <v>1</v>
      </c>
      <c r="XH37" s="15">
        <v>1</v>
      </c>
      <c r="XI37" s="15">
        <v>1</v>
      </c>
      <c r="XJ37" s="15">
        <v>1</v>
      </c>
      <c r="XK37" s="15">
        <v>1</v>
      </c>
      <c r="XL37" s="15">
        <v>1</v>
      </c>
      <c r="XM37" s="15">
        <v>1</v>
      </c>
      <c r="XN37" s="15">
        <v>1</v>
      </c>
      <c r="XO37" s="15">
        <v>1</v>
      </c>
      <c r="XP37" s="15">
        <v>1</v>
      </c>
      <c r="XQ37" s="15">
        <v>1</v>
      </c>
      <c r="XR37" s="15">
        <v>1</v>
      </c>
      <c r="XS37" s="15">
        <v>1</v>
      </c>
      <c r="XT37" s="15">
        <v>1</v>
      </c>
      <c r="XU37" s="15">
        <v>1</v>
      </c>
      <c r="XV37" s="15">
        <v>1</v>
      </c>
      <c r="XW37" s="15">
        <v>1</v>
      </c>
      <c r="XX37" s="15">
        <v>1</v>
      </c>
      <c r="XY37" s="15">
        <v>1</v>
      </c>
      <c r="XZ37" s="15">
        <v>1</v>
      </c>
      <c r="YA37" s="15">
        <v>1</v>
      </c>
      <c r="YB37" s="15">
        <v>1</v>
      </c>
      <c r="YC37" s="15">
        <v>1</v>
      </c>
      <c r="YD37" s="15">
        <v>1</v>
      </c>
      <c r="YE37" s="15">
        <v>1</v>
      </c>
      <c r="YF37" s="20">
        <v>1</v>
      </c>
      <c r="YG37" s="15">
        <v>1</v>
      </c>
      <c r="YH37" s="15">
        <v>1</v>
      </c>
      <c r="YI37" s="15">
        <v>1</v>
      </c>
      <c r="YJ37" s="15">
        <v>1</v>
      </c>
      <c r="YK37" s="15">
        <v>1</v>
      </c>
      <c r="YL37" s="15">
        <v>1</v>
      </c>
      <c r="YM37" s="15">
        <v>1</v>
      </c>
      <c r="YN37" s="15">
        <v>1</v>
      </c>
      <c r="YO37" s="15">
        <v>1</v>
      </c>
      <c r="YP37" s="15">
        <v>1</v>
      </c>
      <c r="YQ37" s="15">
        <v>1</v>
      </c>
      <c r="YR37" s="15">
        <v>1</v>
      </c>
      <c r="YS37" s="15">
        <v>1</v>
      </c>
      <c r="YT37" s="15">
        <v>1</v>
      </c>
      <c r="YU37" s="15">
        <v>1</v>
      </c>
      <c r="YV37" s="15">
        <v>1</v>
      </c>
      <c r="YW37" s="15">
        <v>1</v>
      </c>
      <c r="YX37" s="15">
        <v>1</v>
      </c>
      <c r="YY37" s="15">
        <v>1</v>
      </c>
      <c r="YZ37" s="15">
        <v>1</v>
      </c>
      <c r="ZA37" s="15">
        <v>1</v>
      </c>
      <c r="ZB37" s="15">
        <v>1</v>
      </c>
      <c r="ZC37" s="15">
        <v>1</v>
      </c>
      <c r="ZD37" s="15">
        <v>1</v>
      </c>
      <c r="ZE37" s="15">
        <v>1</v>
      </c>
      <c r="ZF37" s="15">
        <v>1</v>
      </c>
      <c r="ZG37" s="15">
        <v>1</v>
      </c>
      <c r="ZH37" s="15">
        <v>1</v>
      </c>
      <c r="ZI37" s="15">
        <v>1</v>
      </c>
      <c r="ZJ37" s="15">
        <v>1</v>
      </c>
      <c r="ZK37" s="15">
        <v>1</v>
      </c>
      <c r="ZL37" s="15">
        <v>1</v>
      </c>
      <c r="ZM37" s="15">
        <v>1</v>
      </c>
      <c r="ZN37" s="15">
        <v>1</v>
      </c>
      <c r="ZO37" s="15">
        <v>1</v>
      </c>
      <c r="ZP37" s="15">
        <v>1</v>
      </c>
      <c r="ZQ37" s="15">
        <v>1</v>
      </c>
      <c r="ZR37" s="15">
        <v>1</v>
      </c>
      <c r="ZS37" s="15">
        <v>1</v>
      </c>
      <c r="ZT37" s="15">
        <v>1</v>
      </c>
      <c r="ZU37" s="15">
        <v>1</v>
      </c>
      <c r="ZV37" s="15">
        <v>1</v>
      </c>
      <c r="ZW37" s="15">
        <v>1</v>
      </c>
      <c r="ZX37" s="15">
        <v>1</v>
      </c>
      <c r="ZY37" s="15">
        <v>1</v>
      </c>
      <c r="ZZ37" s="15">
        <v>1</v>
      </c>
      <c r="AAA37" s="15">
        <v>1</v>
      </c>
      <c r="AAB37" s="15">
        <v>1</v>
      </c>
      <c r="AAC37" s="15">
        <v>1</v>
      </c>
      <c r="AAD37" s="15">
        <v>1</v>
      </c>
      <c r="AAE37" s="15">
        <v>1</v>
      </c>
      <c r="AAF37" s="15">
        <v>1</v>
      </c>
      <c r="AAG37" s="15">
        <v>1</v>
      </c>
      <c r="AAH37" s="15">
        <v>1</v>
      </c>
      <c r="AAI37" s="15">
        <v>1</v>
      </c>
      <c r="AAJ37" s="20">
        <v>1</v>
      </c>
      <c r="AAK37" s="15">
        <v>1</v>
      </c>
      <c r="AAL37" s="15"/>
      <c r="AAM37" s="15">
        <v>0</v>
      </c>
      <c r="AAN37" s="15">
        <v>0</v>
      </c>
      <c r="AAO37" s="15">
        <v>0</v>
      </c>
      <c r="AAP37" s="15">
        <v>0</v>
      </c>
      <c r="AAQ37" s="15">
        <v>0</v>
      </c>
      <c r="AAR37" s="15">
        <v>0</v>
      </c>
      <c r="AAS37" s="15">
        <v>0</v>
      </c>
      <c r="AAT37" s="15">
        <v>0</v>
      </c>
      <c r="AAU37" s="15">
        <v>0</v>
      </c>
      <c r="AAV37" s="20">
        <v>1</v>
      </c>
      <c r="AAW37" s="15">
        <v>1</v>
      </c>
      <c r="AAX37" s="15"/>
      <c r="AAY37" s="15">
        <v>0</v>
      </c>
      <c r="AAZ37" s="15">
        <v>0</v>
      </c>
      <c r="ABA37" s="15">
        <v>0</v>
      </c>
      <c r="ABB37" s="15">
        <v>0</v>
      </c>
      <c r="ABC37" s="15">
        <v>0</v>
      </c>
      <c r="ABD37" s="15">
        <v>0</v>
      </c>
      <c r="ABE37" s="15">
        <v>0</v>
      </c>
      <c r="ABF37" s="15">
        <v>0</v>
      </c>
      <c r="ABG37" s="15">
        <v>0</v>
      </c>
      <c r="ABH37" s="20">
        <v>1</v>
      </c>
      <c r="ABI37" s="20">
        <v>1</v>
      </c>
      <c r="ABJ37" s="15">
        <v>1</v>
      </c>
      <c r="ABK37" s="15">
        <v>1</v>
      </c>
      <c r="ABL37" s="15">
        <v>1</v>
      </c>
      <c r="ABM37" s="15">
        <v>1</v>
      </c>
      <c r="ABN37" s="15">
        <v>1</v>
      </c>
      <c r="ABO37" s="15">
        <v>1</v>
      </c>
      <c r="ABP37" s="15">
        <v>1</v>
      </c>
      <c r="ABQ37" s="15">
        <v>1</v>
      </c>
      <c r="ABR37" s="15">
        <v>1</v>
      </c>
      <c r="ABS37" s="15">
        <v>1</v>
      </c>
      <c r="ABT37" s="15">
        <v>1</v>
      </c>
      <c r="ABU37" s="15">
        <v>1</v>
      </c>
      <c r="ABV37" s="15">
        <v>1</v>
      </c>
      <c r="ABW37" s="15">
        <v>1</v>
      </c>
      <c r="ABX37" s="15">
        <v>1</v>
      </c>
      <c r="ABY37" s="15">
        <v>1</v>
      </c>
      <c r="ABZ37" s="15">
        <v>1</v>
      </c>
      <c r="ACA37" s="15">
        <v>1</v>
      </c>
      <c r="ACB37" s="15">
        <v>1</v>
      </c>
      <c r="ACC37" s="15">
        <v>1</v>
      </c>
      <c r="ACD37" s="15">
        <v>1</v>
      </c>
      <c r="ACE37" s="15">
        <v>1</v>
      </c>
      <c r="ACF37" s="15">
        <v>1</v>
      </c>
      <c r="ACG37" s="15">
        <v>1</v>
      </c>
      <c r="ACH37" s="15">
        <v>1</v>
      </c>
      <c r="ACI37" s="15">
        <v>1</v>
      </c>
      <c r="ACJ37" s="15">
        <v>1</v>
      </c>
      <c r="ACK37" s="15">
        <v>1</v>
      </c>
      <c r="ACL37" s="15">
        <v>1</v>
      </c>
      <c r="ACM37" s="15">
        <v>1</v>
      </c>
      <c r="ACN37" s="15">
        <v>1</v>
      </c>
      <c r="ACO37" s="15">
        <v>1</v>
      </c>
      <c r="ACP37" s="15">
        <v>1</v>
      </c>
      <c r="ACQ37" s="15">
        <v>1</v>
      </c>
      <c r="ACR37" s="15">
        <v>1</v>
      </c>
      <c r="ACS37" s="15">
        <v>1</v>
      </c>
      <c r="ACT37" s="15">
        <v>1</v>
      </c>
      <c r="ACU37" s="15">
        <v>1</v>
      </c>
      <c r="ACV37" s="15">
        <v>1</v>
      </c>
      <c r="ACW37" s="15">
        <v>1</v>
      </c>
      <c r="ACX37" s="15">
        <v>1</v>
      </c>
      <c r="ACY37" s="15">
        <v>1</v>
      </c>
      <c r="ACZ37" s="15">
        <v>1</v>
      </c>
      <c r="ADA37" s="15">
        <v>1</v>
      </c>
      <c r="ADB37" s="15">
        <v>1</v>
      </c>
      <c r="ADC37" s="15">
        <v>1</v>
      </c>
      <c r="ADD37" s="15">
        <v>1</v>
      </c>
      <c r="ADE37" s="20">
        <v>1</v>
      </c>
      <c r="ADF37" s="15">
        <v>1</v>
      </c>
      <c r="ADG37" s="15">
        <v>1</v>
      </c>
      <c r="ADH37" s="15"/>
      <c r="ADI37" s="15">
        <v>0</v>
      </c>
      <c r="ADJ37" s="15">
        <v>0</v>
      </c>
      <c r="ADK37" s="15">
        <v>0</v>
      </c>
      <c r="ADL37" s="15">
        <v>0</v>
      </c>
      <c r="ADM37" s="15">
        <v>0</v>
      </c>
      <c r="ADN37" s="15">
        <v>0</v>
      </c>
      <c r="ADO37" s="15">
        <v>0</v>
      </c>
      <c r="ADP37" s="15">
        <v>0</v>
      </c>
      <c r="ADQ37" s="15">
        <v>0</v>
      </c>
      <c r="ADR37" s="20">
        <v>1</v>
      </c>
      <c r="ADS37" s="20">
        <v>1</v>
      </c>
      <c r="ADT37" s="15">
        <v>1</v>
      </c>
      <c r="ADU37" s="15">
        <v>1</v>
      </c>
      <c r="ADV37" s="15">
        <v>1</v>
      </c>
      <c r="ADW37" s="15">
        <v>1</v>
      </c>
      <c r="ADX37" s="15">
        <v>1</v>
      </c>
      <c r="ADY37" s="15">
        <v>1</v>
      </c>
      <c r="ADZ37" s="15">
        <v>1</v>
      </c>
      <c r="AEA37" s="15">
        <v>1</v>
      </c>
      <c r="AEB37" s="15">
        <v>1</v>
      </c>
      <c r="AEC37" s="15">
        <v>1</v>
      </c>
      <c r="AED37" s="15">
        <v>1</v>
      </c>
      <c r="AEE37" s="15">
        <v>1</v>
      </c>
      <c r="AEF37" s="15">
        <v>1</v>
      </c>
      <c r="AEG37" s="15">
        <v>1</v>
      </c>
      <c r="AEH37" s="15">
        <v>1</v>
      </c>
      <c r="AEI37" s="15">
        <v>1</v>
      </c>
      <c r="AEJ37" s="15">
        <v>1</v>
      </c>
      <c r="AEK37" s="15">
        <v>1</v>
      </c>
      <c r="AEL37" s="15">
        <v>1</v>
      </c>
      <c r="AEM37" s="15">
        <v>1</v>
      </c>
      <c r="AEN37" s="15">
        <v>1</v>
      </c>
      <c r="AEO37" s="15">
        <v>1</v>
      </c>
      <c r="AEP37" s="15">
        <v>1</v>
      </c>
      <c r="AEQ37" s="15">
        <v>1</v>
      </c>
      <c r="AER37" s="15">
        <v>1</v>
      </c>
      <c r="AES37" s="15">
        <v>1</v>
      </c>
      <c r="AET37" s="15">
        <v>1</v>
      </c>
      <c r="AEU37" s="15">
        <v>1</v>
      </c>
      <c r="AEV37" s="15">
        <v>1</v>
      </c>
      <c r="AEW37" s="15">
        <v>1</v>
      </c>
      <c r="AEX37" s="15">
        <v>1</v>
      </c>
      <c r="AEY37" s="15">
        <v>1</v>
      </c>
      <c r="AEZ37" s="15">
        <v>1</v>
      </c>
      <c r="AFA37" s="15">
        <v>1</v>
      </c>
      <c r="AFB37" s="15">
        <v>1</v>
      </c>
      <c r="AFC37" s="15">
        <v>1</v>
      </c>
      <c r="AFD37" s="15">
        <v>1</v>
      </c>
      <c r="AFE37" s="15">
        <v>1</v>
      </c>
      <c r="AFF37" s="15">
        <v>1</v>
      </c>
      <c r="AFG37" s="15">
        <v>1</v>
      </c>
      <c r="AFH37" s="15">
        <v>1</v>
      </c>
      <c r="AFI37" s="15">
        <v>1</v>
      </c>
      <c r="AFJ37" s="15">
        <v>1</v>
      </c>
      <c r="AFK37" s="15">
        <v>1</v>
      </c>
      <c r="AFL37" s="15">
        <v>1</v>
      </c>
      <c r="AFM37" s="15">
        <v>1</v>
      </c>
      <c r="AFN37" s="15">
        <v>1</v>
      </c>
      <c r="AFO37" s="20">
        <v>1</v>
      </c>
      <c r="AFP37" s="15">
        <v>1</v>
      </c>
      <c r="AFQ37" s="15">
        <v>1</v>
      </c>
      <c r="AFR37" s="15"/>
      <c r="AFS37" s="15">
        <v>0</v>
      </c>
      <c r="AFT37" s="15">
        <v>0</v>
      </c>
      <c r="AFU37" s="15">
        <v>0</v>
      </c>
      <c r="AFV37" s="15">
        <v>0</v>
      </c>
      <c r="AFW37" s="15">
        <v>0</v>
      </c>
      <c r="AFX37" s="15">
        <v>0</v>
      </c>
      <c r="AFY37" s="15">
        <v>0</v>
      </c>
      <c r="AFZ37" s="15">
        <v>0</v>
      </c>
      <c r="AGA37" s="15">
        <v>0</v>
      </c>
      <c r="AGB37" s="15">
        <v>1</v>
      </c>
      <c r="AGC37" s="15">
        <v>1</v>
      </c>
      <c r="AGD37" s="15">
        <v>1</v>
      </c>
      <c r="AGE37" s="15">
        <v>1</v>
      </c>
      <c r="AGF37" s="15">
        <v>1</v>
      </c>
      <c r="AGG37" s="15">
        <v>1</v>
      </c>
      <c r="AGH37" s="15">
        <v>1</v>
      </c>
      <c r="AGI37" s="15">
        <v>1</v>
      </c>
      <c r="AGJ37" s="15">
        <v>1</v>
      </c>
      <c r="AGK37" s="15">
        <v>1</v>
      </c>
      <c r="AGL37" s="15">
        <v>1</v>
      </c>
      <c r="AGM37" s="15">
        <v>1</v>
      </c>
      <c r="AGN37" s="15">
        <v>1</v>
      </c>
      <c r="AGO37" s="15">
        <v>1</v>
      </c>
      <c r="AGP37" s="15">
        <v>1</v>
      </c>
      <c r="AGQ37" s="15">
        <v>1</v>
      </c>
      <c r="AGR37" s="15">
        <v>1</v>
      </c>
      <c r="AGS37" s="15">
        <v>1</v>
      </c>
      <c r="AGT37" s="15">
        <v>1</v>
      </c>
      <c r="AGU37" s="15">
        <v>1</v>
      </c>
      <c r="AGV37" s="15">
        <v>1</v>
      </c>
      <c r="AGW37" s="15">
        <v>1</v>
      </c>
      <c r="AGX37" s="15">
        <v>1</v>
      </c>
      <c r="AGY37" s="15">
        <v>1</v>
      </c>
      <c r="AGZ37" s="15">
        <v>1</v>
      </c>
      <c r="AHA37" s="15">
        <v>1</v>
      </c>
      <c r="AHB37" s="15">
        <v>1</v>
      </c>
      <c r="AHC37" s="15">
        <v>1</v>
      </c>
      <c r="AHD37" s="15">
        <v>1</v>
      </c>
      <c r="AHE37" s="15">
        <v>1</v>
      </c>
      <c r="AHF37" s="15">
        <v>1</v>
      </c>
      <c r="AHG37" s="15">
        <v>1</v>
      </c>
      <c r="AHH37" s="15">
        <v>1</v>
      </c>
      <c r="AHI37" s="15">
        <v>1</v>
      </c>
      <c r="AHJ37" s="15">
        <v>1</v>
      </c>
      <c r="AHK37" s="15">
        <v>1</v>
      </c>
      <c r="AHL37" s="15">
        <v>1</v>
      </c>
      <c r="AHM37" s="15">
        <v>1</v>
      </c>
      <c r="AHN37" s="15">
        <v>1</v>
      </c>
      <c r="AHO37" s="15">
        <v>1</v>
      </c>
      <c r="AHP37" s="15">
        <v>1</v>
      </c>
      <c r="AHQ37" s="15">
        <v>1</v>
      </c>
      <c r="AHR37" s="15">
        <v>1</v>
      </c>
      <c r="AHS37" s="15">
        <v>1</v>
      </c>
      <c r="AHT37" s="15">
        <v>1</v>
      </c>
      <c r="AHU37" s="15">
        <v>1</v>
      </c>
      <c r="AHV37" s="15">
        <v>1</v>
      </c>
      <c r="AHW37" s="15">
        <v>1</v>
      </c>
      <c r="AHX37" s="15">
        <v>1</v>
      </c>
      <c r="AHY37" s="15">
        <v>1</v>
      </c>
      <c r="AHZ37" s="15">
        <v>1</v>
      </c>
      <c r="AIA37" s="15">
        <v>1</v>
      </c>
      <c r="AIB37" s="15">
        <v>1</v>
      </c>
      <c r="AIC37" s="15">
        <v>1</v>
      </c>
      <c r="AID37" s="15">
        <v>1</v>
      </c>
      <c r="AIE37" s="15">
        <v>1</v>
      </c>
      <c r="AIF37" s="15">
        <v>1</v>
      </c>
      <c r="AIG37" s="15">
        <v>1</v>
      </c>
      <c r="AIH37" s="15">
        <v>1</v>
      </c>
      <c r="AII37" s="15">
        <v>1</v>
      </c>
      <c r="AIJ37" s="15">
        <v>1</v>
      </c>
      <c r="AIK37" s="15">
        <v>1</v>
      </c>
      <c r="AIL37" s="15">
        <v>1</v>
      </c>
      <c r="AIM37" s="15">
        <v>1</v>
      </c>
      <c r="AIN37" s="15">
        <v>1</v>
      </c>
      <c r="AIO37" s="15">
        <v>1</v>
      </c>
      <c r="AIP37" s="15">
        <v>1</v>
      </c>
      <c r="AIQ37" s="15">
        <v>1</v>
      </c>
      <c r="AIR37" s="15">
        <v>1</v>
      </c>
      <c r="AIS37" s="15">
        <v>1</v>
      </c>
      <c r="AIT37" s="15">
        <v>1</v>
      </c>
      <c r="AIU37" s="15">
        <v>1</v>
      </c>
      <c r="AIV37" s="15">
        <v>1</v>
      </c>
      <c r="AIW37" s="15">
        <v>1</v>
      </c>
      <c r="AIX37" s="15">
        <v>1</v>
      </c>
      <c r="AIY37" s="15">
        <v>1</v>
      </c>
      <c r="AIZ37" s="15">
        <v>1</v>
      </c>
      <c r="AJA37" s="15">
        <v>1</v>
      </c>
      <c r="AJB37" s="15">
        <v>1</v>
      </c>
      <c r="AJC37" s="15">
        <v>1</v>
      </c>
      <c r="AJD37" s="15">
        <v>1</v>
      </c>
      <c r="AJE37" s="15">
        <v>1</v>
      </c>
      <c r="AJF37" s="15"/>
      <c r="AJG37" s="15">
        <v>0</v>
      </c>
      <c r="AJH37" s="15">
        <v>0</v>
      </c>
      <c r="AJI37" s="15">
        <v>0</v>
      </c>
      <c r="AJJ37" s="15">
        <v>0</v>
      </c>
      <c r="AJK37" s="15">
        <v>0</v>
      </c>
      <c r="AJL37" s="15">
        <v>0</v>
      </c>
      <c r="AJM37" s="15">
        <v>0</v>
      </c>
      <c r="AJN37" s="15"/>
      <c r="AJO37" s="15">
        <v>0</v>
      </c>
      <c r="AJP37" s="15">
        <v>0</v>
      </c>
      <c r="AJQ37" s="15">
        <v>0</v>
      </c>
      <c r="AJR37" s="15">
        <v>0</v>
      </c>
      <c r="AJS37" s="15">
        <v>0</v>
      </c>
      <c r="AJT37" s="15">
        <v>0</v>
      </c>
      <c r="AJU37" s="15">
        <v>0</v>
      </c>
      <c r="AJV37" s="15">
        <v>0</v>
      </c>
      <c r="AJW37" s="15">
        <v>0</v>
      </c>
      <c r="AJX37" s="15"/>
      <c r="AJY37" s="15">
        <v>0</v>
      </c>
      <c r="AJZ37" s="15">
        <v>0</v>
      </c>
      <c r="AKA37" s="15">
        <v>0</v>
      </c>
      <c r="AKB37" s="15">
        <v>0</v>
      </c>
      <c r="AKC37" s="15">
        <v>0</v>
      </c>
      <c r="AKD37" s="15">
        <v>0</v>
      </c>
      <c r="AKE37" s="15">
        <v>0</v>
      </c>
      <c r="AKF37" s="15">
        <v>0</v>
      </c>
      <c r="AKG37" s="15">
        <v>0</v>
      </c>
      <c r="AKH37" s="15">
        <v>0</v>
      </c>
      <c r="AKI37" s="15"/>
      <c r="AKJ37" s="15">
        <v>0</v>
      </c>
      <c r="AKK37" s="15">
        <v>0</v>
      </c>
      <c r="AKL37" s="15">
        <v>0</v>
      </c>
      <c r="AKM37" s="15">
        <v>0</v>
      </c>
      <c r="AKN37" s="15">
        <v>0</v>
      </c>
      <c r="AKO37" s="15">
        <v>0</v>
      </c>
      <c r="AKP37" s="15">
        <v>0</v>
      </c>
      <c r="AKQ37" s="15">
        <v>0</v>
      </c>
      <c r="AKR37" s="15">
        <v>0</v>
      </c>
      <c r="AKS37" s="15">
        <v>0</v>
      </c>
      <c r="AKT37" s="15">
        <v>0</v>
      </c>
      <c r="AKU37" s="15">
        <v>0</v>
      </c>
      <c r="AKV37" s="15">
        <v>0</v>
      </c>
      <c r="AKW37" s="15">
        <v>0</v>
      </c>
      <c r="AKX37" s="15"/>
      <c r="AKY37" s="15">
        <v>0</v>
      </c>
      <c r="AKZ37" s="15">
        <v>0</v>
      </c>
      <c r="ALA37" s="15">
        <v>0</v>
      </c>
      <c r="ALB37" s="15">
        <v>0</v>
      </c>
      <c r="ALC37" s="15">
        <v>0</v>
      </c>
      <c r="ALD37" s="15">
        <v>0</v>
      </c>
      <c r="ALE37" s="15">
        <v>0</v>
      </c>
      <c r="ALF37" s="15">
        <v>0</v>
      </c>
      <c r="ALG37" s="15">
        <v>0</v>
      </c>
      <c r="ALH37" s="15">
        <v>0</v>
      </c>
      <c r="ALI37" s="15">
        <v>0</v>
      </c>
      <c r="ALJ37" s="15">
        <v>0</v>
      </c>
      <c r="ALK37" s="15">
        <v>0</v>
      </c>
      <c r="ALL37" s="15">
        <v>0</v>
      </c>
      <c r="ALM37" s="15"/>
      <c r="ALN37" s="15">
        <v>0</v>
      </c>
      <c r="ALO37" s="15">
        <v>0</v>
      </c>
      <c r="ALP37" s="15">
        <v>0</v>
      </c>
      <c r="ALQ37" s="15">
        <v>0</v>
      </c>
      <c r="ALR37" s="15">
        <v>0</v>
      </c>
      <c r="ALS37" s="15">
        <v>0</v>
      </c>
      <c r="ALT37" s="15">
        <v>0</v>
      </c>
      <c r="ALU37" s="15">
        <v>0</v>
      </c>
      <c r="ALV37" s="15">
        <v>0</v>
      </c>
      <c r="ALW37" s="20">
        <v>1</v>
      </c>
      <c r="ALX37" s="20">
        <v>1</v>
      </c>
      <c r="ALY37" s="20">
        <v>1</v>
      </c>
      <c r="ALZ37" s="20">
        <v>1</v>
      </c>
      <c r="AMA37" s="20">
        <v>1</v>
      </c>
      <c r="AMB37" s="20">
        <v>1</v>
      </c>
      <c r="AMC37" s="15"/>
      <c r="AMD37" s="15">
        <v>0</v>
      </c>
      <c r="AME37" s="15">
        <v>0</v>
      </c>
      <c r="AMF37" s="15">
        <v>0</v>
      </c>
      <c r="AMG37" s="15">
        <v>0</v>
      </c>
      <c r="AMH37" s="15">
        <v>0</v>
      </c>
      <c r="AMI37" s="15">
        <v>0</v>
      </c>
      <c r="AMJ37" s="15">
        <v>0</v>
      </c>
      <c r="AMK37" s="15">
        <v>0</v>
      </c>
      <c r="AML37" s="15">
        <v>0</v>
      </c>
      <c r="AMM37" s="15">
        <v>1</v>
      </c>
      <c r="AMN37" s="15">
        <v>1</v>
      </c>
      <c r="AMO37" s="15">
        <v>1</v>
      </c>
      <c r="AMP37" s="15">
        <v>1</v>
      </c>
      <c r="AMQ37" s="15">
        <v>1</v>
      </c>
      <c r="AMR37" s="15">
        <v>1</v>
      </c>
      <c r="AMS37" s="15">
        <v>1</v>
      </c>
      <c r="AMT37" s="15">
        <v>1</v>
      </c>
      <c r="AMU37" s="15">
        <v>1</v>
      </c>
      <c r="AMV37" s="15">
        <v>1</v>
      </c>
      <c r="AMW37" s="15">
        <v>1</v>
      </c>
      <c r="AMX37" s="15">
        <v>1</v>
      </c>
      <c r="AMY37" s="15">
        <v>1</v>
      </c>
      <c r="AMZ37" s="15">
        <v>1</v>
      </c>
      <c r="ANA37" s="15">
        <v>1</v>
      </c>
      <c r="ANB37" s="15">
        <v>1</v>
      </c>
      <c r="ANC37" s="15">
        <v>1</v>
      </c>
      <c r="AND37" s="15">
        <v>1</v>
      </c>
      <c r="ANE37" s="15"/>
      <c r="ANF37" s="15"/>
      <c r="ANG37" s="15"/>
      <c r="ANH37" s="15"/>
      <c r="ANI37" s="15"/>
      <c r="ANJ37" s="15"/>
      <c r="ANK37" s="15"/>
      <c r="ANL37" s="15"/>
      <c r="ANM37" s="15"/>
      <c r="ANN37" s="15"/>
      <c r="ANO37" s="15"/>
      <c r="ANP37" s="15"/>
      <c r="ANQ37" s="15"/>
      <c r="ANR37" s="15"/>
      <c r="ANS37" s="15"/>
      <c r="ANT37" s="15"/>
      <c r="ANU37" s="15"/>
      <c r="ANV37" s="15"/>
      <c r="ANW37" s="15"/>
      <c r="ANX37" s="15"/>
      <c r="ANY37" s="15"/>
      <c r="ANZ37" s="15"/>
      <c r="AOA37" s="15"/>
      <c r="AOB37" s="15"/>
      <c r="AOC37" s="15"/>
      <c r="AOD37" s="15"/>
      <c r="AOE37" s="15"/>
      <c r="AOF37" s="15"/>
      <c r="AOG37" s="15"/>
      <c r="AOH37" s="15"/>
      <c r="AOI37" s="15"/>
      <c r="AOJ37" s="15"/>
      <c r="AOK37" s="15"/>
      <c r="AOL37" s="15"/>
      <c r="AOM37" s="15"/>
      <c r="AON37" s="15"/>
      <c r="AOO37" s="15"/>
      <c r="AOP37" s="15"/>
      <c r="AOQ37" s="15"/>
      <c r="AOR37" s="15"/>
      <c r="AOS37" s="15"/>
      <c r="AOT37" s="15"/>
      <c r="AOU37" s="15"/>
      <c r="AOV37" s="15"/>
      <c r="AOW37" s="15"/>
      <c r="AOX37" s="15"/>
      <c r="AOY37" s="15"/>
      <c r="AOZ37" s="15"/>
      <c r="APA37" s="15"/>
      <c r="APB37" s="15"/>
      <c r="APC37" s="15"/>
      <c r="APD37" s="15"/>
      <c r="APE37" s="15"/>
      <c r="APF37" s="15"/>
      <c r="APG37" s="15"/>
      <c r="APH37" s="15"/>
      <c r="API37" s="15"/>
      <c r="APJ37" s="15"/>
      <c r="APK37" s="15"/>
      <c r="APL37" s="15"/>
      <c r="APM37" s="15"/>
      <c r="APN37" s="15"/>
      <c r="APO37" s="15"/>
      <c r="APP37" s="15"/>
      <c r="APQ37" s="15"/>
      <c r="APR37" s="15"/>
      <c r="APS37" s="15"/>
      <c r="APT37" s="15"/>
      <c r="APU37" s="15"/>
      <c r="APV37" s="15"/>
      <c r="APW37" s="15"/>
      <c r="APX37" s="15"/>
      <c r="APY37" s="15"/>
      <c r="APZ37" s="15"/>
      <c r="AQA37" s="15"/>
      <c r="AQB37" s="15"/>
    </row>
    <row r="38" spans="1:1120" s="17" customFormat="1" ht="15" customHeight="1" x14ac:dyDescent="0.25">
      <c r="A38" s="3" t="s">
        <v>2</v>
      </c>
      <c r="B38" s="6" t="s">
        <v>43</v>
      </c>
      <c r="C38" s="15"/>
      <c r="D38" s="15">
        <v>0</v>
      </c>
      <c r="E38" s="15">
        <v>0</v>
      </c>
      <c r="F38" s="15">
        <v>0</v>
      </c>
      <c r="G38" s="15">
        <v>0</v>
      </c>
      <c r="H38" s="15">
        <v>0</v>
      </c>
      <c r="I38" s="15">
        <v>0</v>
      </c>
      <c r="J38" s="15"/>
      <c r="K38" s="15">
        <v>0</v>
      </c>
      <c r="L38" s="15">
        <v>0</v>
      </c>
      <c r="M38" s="15">
        <v>0</v>
      </c>
      <c r="N38" s="15">
        <v>0</v>
      </c>
      <c r="O38" s="15">
        <v>0</v>
      </c>
      <c r="P38" s="15">
        <v>0</v>
      </c>
      <c r="Q38" s="15"/>
      <c r="R38" s="15">
        <v>0</v>
      </c>
      <c r="S38" s="15">
        <v>0</v>
      </c>
      <c r="T38" s="15">
        <v>0</v>
      </c>
      <c r="U38" s="15">
        <v>0</v>
      </c>
      <c r="V38" s="15">
        <v>0</v>
      </c>
      <c r="W38" s="15">
        <v>0</v>
      </c>
      <c r="X38" s="15"/>
      <c r="Y38" s="15">
        <v>0</v>
      </c>
      <c r="Z38" s="15">
        <v>0</v>
      </c>
      <c r="AA38" s="15">
        <v>0</v>
      </c>
      <c r="AB38" s="15">
        <v>0</v>
      </c>
      <c r="AC38" s="15">
        <v>0</v>
      </c>
      <c r="AD38" s="15">
        <v>0</v>
      </c>
      <c r="AE38" s="15"/>
      <c r="AF38" s="15">
        <v>0</v>
      </c>
      <c r="AG38" s="15">
        <v>0</v>
      </c>
      <c r="AH38" s="15">
        <v>0</v>
      </c>
      <c r="AI38" s="15">
        <v>0</v>
      </c>
      <c r="AJ38" s="15">
        <v>0</v>
      </c>
      <c r="AK38" s="15">
        <v>0</v>
      </c>
      <c r="AL38" s="15"/>
      <c r="AM38" s="15">
        <v>0</v>
      </c>
      <c r="AN38" s="15">
        <v>0</v>
      </c>
      <c r="AO38" s="15">
        <v>0</v>
      </c>
      <c r="AP38" s="15">
        <v>0</v>
      </c>
      <c r="AQ38" s="15">
        <v>0</v>
      </c>
      <c r="AR38" s="15">
        <v>0</v>
      </c>
      <c r="AS38" s="15">
        <v>0</v>
      </c>
      <c r="AT38" s="15">
        <v>0</v>
      </c>
      <c r="AU38" s="15">
        <v>0</v>
      </c>
      <c r="AV38" s="15">
        <v>0</v>
      </c>
      <c r="AW38" s="15">
        <v>0</v>
      </c>
      <c r="AX38" s="15">
        <v>0</v>
      </c>
      <c r="AY38" s="15">
        <v>0</v>
      </c>
      <c r="AZ38" s="15">
        <v>0</v>
      </c>
      <c r="BA38" s="15">
        <v>0</v>
      </c>
      <c r="BB38" s="15">
        <v>0</v>
      </c>
      <c r="BC38" s="15">
        <v>0</v>
      </c>
      <c r="BD38" s="15">
        <v>0</v>
      </c>
      <c r="BE38" s="15">
        <v>0</v>
      </c>
      <c r="BF38" s="15">
        <v>0</v>
      </c>
      <c r="BG38" s="15">
        <v>0</v>
      </c>
      <c r="BH38" s="15">
        <v>0</v>
      </c>
      <c r="BI38" s="15">
        <v>0</v>
      </c>
      <c r="BJ38" s="15">
        <v>0</v>
      </c>
      <c r="BK38" s="15">
        <v>0</v>
      </c>
      <c r="BL38" s="15">
        <v>0</v>
      </c>
      <c r="BM38" s="15">
        <v>0</v>
      </c>
      <c r="BN38" s="15">
        <v>0</v>
      </c>
      <c r="BO38" s="15">
        <v>0</v>
      </c>
      <c r="BP38" s="15">
        <v>0</v>
      </c>
      <c r="BQ38" s="15">
        <v>0</v>
      </c>
      <c r="BR38" s="15">
        <v>0</v>
      </c>
      <c r="BS38" s="15">
        <v>0</v>
      </c>
      <c r="BT38" s="15">
        <v>0</v>
      </c>
      <c r="BU38" s="15">
        <v>0</v>
      </c>
      <c r="BV38" s="15">
        <v>0</v>
      </c>
      <c r="BW38" s="15">
        <v>0</v>
      </c>
      <c r="BX38" s="15">
        <v>0</v>
      </c>
      <c r="BY38" s="15">
        <v>0</v>
      </c>
      <c r="BZ38" s="15">
        <v>0</v>
      </c>
      <c r="CA38" s="15">
        <v>0</v>
      </c>
      <c r="CB38" s="15">
        <v>0</v>
      </c>
      <c r="CC38" s="15">
        <v>0</v>
      </c>
      <c r="CD38" s="15">
        <v>0</v>
      </c>
      <c r="CE38" s="15">
        <v>0</v>
      </c>
      <c r="CF38" s="15">
        <v>0</v>
      </c>
      <c r="CG38" s="15">
        <v>0</v>
      </c>
      <c r="CH38" s="15">
        <v>0</v>
      </c>
      <c r="CI38" s="15">
        <v>0</v>
      </c>
      <c r="CJ38" s="15">
        <v>0</v>
      </c>
      <c r="CK38" s="15">
        <v>0</v>
      </c>
      <c r="CL38" s="15">
        <v>0</v>
      </c>
      <c r="CM38" s="15">
        <v>0</v>
      </c>
      <c r="CN38" s="15">
        <v>0</v>
      </c>
      <c r="CO38" s="15">
        <v>0</v>
      </c>
      <c r="CP38" s="15">
        <v>0</v>
      </c>
      <c r="CQ38" s="15">
        <v>0</v>
      </c>
      <c r="CR38" s="15">
        <v>0</v>
      </c>
      <c r="CS38" s="15">
        <v>0</v>
      </c>
      <c r="CT38" s="15">
        <v>0</v>
      </c>
      <c r="CU38" s="15">
        <v>0</v>
      </c>
      <c r="CV38" s="15">
        <v>0</v>
      </c>
      <c r="CW38" s="15">
        <v>0</v>
      </c>
      <c r="CX38" s="15">
        <v>0</v>
      </c>
      <c r="CY38" s="15">
        <v>0</v>
      </c>
      <c r="CZ38" s="15">
        <v>0</v>
      </c>
      <c r="DA38" s="15">
        <v>0</v>
      </c>
      <c r="DB38" s="15">
        <v>0</v>
      </c>
      <c r="DC38" s="15">
        <v>0</v>
      </c>
      <c r="DD38" s="15">
        <v>0</v>
      </c>
      <c r="DE38" s="15">
        <v>0</v>
      </c>
      <c r="DF38" s="15">
        <v>0</v>
      </c>
      <c r="DG38" s="15">
        <v>0</v>
      </c>
      <c r="DH38" s="15">
        <v>0</v>
      </c>
      <c r="DI38" s="15">
        <v>0</v>
      </c>
      <c r="DJ38" s="15">
        <v>0</v>
      </c>
      <c r="DK38" s="15">
        <v>0</v>
      </c>
      <c r="DL38" s="15">
        <v>0</v>
      </c>
      <c r="DM38" s="15">
        <v>0</v>
      </c>
      <c r="DN38" s="15">
        <v>0</v>
      </c>
      <c r="DO38" s="15">
        <v>0</v>
      </c>
      <c r="DP38" s="15">
        <v>0</v>
      </c>
      <c r="DQ38" s="15">
        <v>0</v>
      </c>
      <c r="DR38" s="15">
        <v>0</v>
      </c>
      <c r="DS38" s="15">
        <v>0</v>
      </c>
      <c r="DT38" s="15">
        <v>0</v>
      </c>
      <c r="DU38" s="15">
        <v>0</v>
      </c>
      <c r="DV38" s="15">
        <v>0</v>
      </c>
      <c r="DW38" s="15">
        <v>0</v>
      </c>
      <c r="DX38" s="15">
        <v>0</v>
      </c>
      <c r="DY38" s="15">
        <v>0</v>
      </c>
      <c r="DZ38" s="15">
        <v>0</v>
      </c>
      <c r="EA38" s="15">
        <v>0</v>
      </c>
      <c r="EB38" s="15">
        <v>0</v>
      </c>
      <c r="EC38" s="15">
        <v>0</v>
      </c>
      <c r="ED38" s="15">
        <v>0</v>
      </c>
      <c r="EE38" s="15">
        <v>0</v>
      </c>
      <c r="EF38" s="15">
        <v>0</v>
      </c>
      <c r="EG38" s="15">
        <v>0</v>
      </c>
      <c r="EH38" s="15">
        <v>0</v>
      </c>
      <c r="EI38" s="15">
        <v>0</v>
      </c>
      <c r="EJ38" s="15">
        <v>0</v>
      </c>
      <c r="EK38" s="15">
        <v>0</v>
      </c>
      <c r="EL38" s="15">
        <v>0</v>
      </c>
      <c r="EM38" s="15">
        <v>0</v>
      </c>
      <c r="EN38" s="15">
        <v>0</v>
      </c>
      <c r="EO38" s="15">
        <v>0</v>
      </c>
      <c r="EP38" s="15">
        <v>0</v>
      </c>
      <c r="EQ38" s="15">
        <v>0</v>
      </c>
      <c r="ER38" s="15">
        <v>0</v>
      </c>
      <c r="ES38" s="15">
        <v>0</v>
      </c>
      <c r="ET38" s="15">
        <v>0</v>
      </c>
      <c r="EU38" s="15">
        <v>0</v>
      </c>
      <c r="EV38" s="15">
        <v>0</v>
      </c>
      <c r="EW38" s="15">
        <v>0</v>
      </c>
      <c r="EX38" s="15">
        <v>0</v>
      </c>
      <c r="EY38" s="15">
        <v>0</v>
      </c>
      <c r="EZ38" s="15">
        <v>0</v>
      </c>
      <c r="FA38" s="15">
        <v>0</v>
      </c>
      <c r="FB38" s="15">
        <v>0</v>
      </c>
      <c r="FC38" s="15">
        <v>0</v>
      </c>
      <c r="FD38" s="15"/>
      <c r="FE38" s="15">
        <v>0</v>
      </c>
      <c r="FF38" s="15">
        <v>0</v>
      </c>
      <c r="FG38" s="15">
        <v>0</v>
      </c>
      <c r="FH38" s="15">
        <v>0</v>
      </c>
      <c r="FI38" s="15">
        <v>0</v>
      </c>
      <c r="FJ38" s="15">
        <v>0</v>
      </c>
      <c r="FK38" s="15">
        <v>1</v>
      </c>
      <c r="FL38" s="15">
        <v>1</v>
      </c>
      <c r="FM38" s="15">
        <v>1</v>
      </c>
      <c r="FN38" s="15">
        <v>1</v>
      </c>
      <c r="FO38" s="15">
        <v>1</v>
      </c>
      <c r="FP38" s="15">
        <v>1</v>
      </c>
      <c r="FQ38" s="15">
        <v>1</v>
      </c>
      <c r="FR38" s="15">
        <v>1</v>
      </c>
      <c r="FS38" s="15">
        <v>1</v>
      </c>
      <c r="FT38" s="15">
        <v>1</v>
      </c>
      <c r="FU38" s="15">
        <v>1</v>
      </c>
      <c r="FV38" s="15">
        <v>1</v>
      </c>
      <c r="FW38" s="15">
        <v>1</v>
      </c>
      <c r="FX38" s="15">
        <v>1</v>
      </c>
      <c r="FY38" s="15">
        <v>1</v>
      </c>
      <c r="FZ38" s="15">
        <v>1</v>
      </c>
      <c r="GA38" s="15">
        <v>1</v>
      </c>
      <c r="GB38" s="15">
        <v>1</v>
      </c>
      <c r="GC38" s="15">
        <v>1</v>
      </c>
      <c r="GD38" s="15">
        <v>1</v>
      </c>
      <c r="GE38" s="15">
        <v>1</v>
      </c>
      <c r="GF38" s="15">
        <v>1</v>
      </c>
      <c r="GG38" s="15">
        <v>1</v>
      </c>
      <c r="GH38" s="15">
        <v>1</v>
      </c>
      <c r="GI38" s="15">
        <v>1</v>
      </c>
      <c r="GJ38" s="15">
        <v>1</v>
      </c>
      <c r="GK38" s="15">
        <v>1</v>
      </c>
      <c r="GL38" s="15">
        <v>1</v>
      </c>
      <c r="GM38" s="15">
        <v>1</v>
      </c>
      <c r="GN38" s="15">
        <v>1</v>
      </c>
      <c r="GO38" s="15">
        <v>1</v>
      </c>
      <c r="GP38" s="15">
        <v>1</v>
      </c>
      <c r="GQ38" s="15">
        <v>1</v>
      </c>
      <c r="GR38" s="15">
        <v>1</v>
      </c>
      <c r="GS38" s="15">
        <v>1</v>
      </c>
      <c r="GT38" s="15">
        <v>1</v>
      </c>
      <c r="GU38" s="15">
        <v>1</v>
      </c>
      <c r="GV38" s="15">
        <v>1</v>
      </c>
      <c r="GW38" s="15">
        <v>1</v>
      </c>
      <c r="GX38" s="15">
        <v>1</v>
      </c>
      <c r="GY38" s="15">
        <v>1</v>
      </c>
      <c r="GZ38" s="15">
        <v>1</v>
      </c>
      <c r="HA38" s="15">
        <v>1</v>
      </c>
      <c r="HB38" s="15">
        <v>1</v>
      </c>
      <c r="HC38" s="15">
        <v>1</v>
      </c>
      <c r="HD38" s="15">
        <v>1</v>
      </c>
      <c r="HE38" s="15">
        <v>1</v>
      </c>
      <c r="HF38" s="15">
        <v>1</v>
      </c>
      <c r="HG38" s="15">
        <v>1</v>
      </c>
      <c r="HH38" s="15">
        <v>1</v>
      </c>
      <c r="HI38" s="15">
        <v>1</v>
      </c>
      <c r="HJ38" s="15">
        <v>1</v>
      </c>
      <c r="HK38" s="15">
        <v>1</v>
      </c>
      <c r="HL38" s="15">
        <v>1</v>
      </c>
      <c r="HM38" s="15">
        <v>1</v>
      </c>
      <c r="HN38" s="15">
        <v>1</v>
      </c>
      <c r="HO38" s="15">
        <v>1</v>
      </c>
      <c r="HP38" s="15">
        <v>1</v>
      </c>
      <c r="HQ38" s="15">
        <v>1</v>
      </c>
      <c r="HR38" s="15">
        <v>1</v>
      </c>
      <c r="HS38" s="15">
        <v>1</v>
      </c>
      <c r="HT38" s="15">
        <v>1</v>
      </c>
      <c r="HU38" s="15">
        <v>1</v>
      </c>
      <c r="HV38" s="15">
        <v>1</v>
      </c>
      <c r="HW38" s="15">
        <v>1</v>
      </c>
      <c r="HX38" s="15">
        <v>1</v>
      </c>
      <c r="HY38" s="15">
        <v>1</v>
      </c>
      <c r="HZ38" s="15">
        <v>1</v>
      </c>
      <c r="IA38" s="15">
        <v>1</v>
      </c>
      <c r="IB38" s="15"/>
      <c r="IC38" s="15">
        <v>0</v>
      </c>
      <c r="ID38" s="15">
        <v>0</v>
      </c>
      <c r="IE38" s="15">
        <v>0</v>
      </c>
      <c r="IF38" s="15">
        <v>0</v>
      </c>
      <c r="IG38" s="15">
        <v>0</v>
      </c>
      <c r="IH38" s="15">
        <v>0</v>
      </c>
      <c r="II38" s="15">
        <v>1</v>
      </c>
      <c r="IJ38" s="15">
        <v>1</v>
      </c>
      <c r="IK38" s="15"/>
      <c r="IL38" s="15">
        <v>0</v>
      </c>
      <c r="IM38" s="15">
        <v>0</v>
      </c>
      <c r="IN38" s="15">
        <v>0</v>
      </c>
      <c r="IO38" s="15">
        <v>0</v>
      </c>
      <c r="IP38" s="15">
        <v>0</v>
      </c>
      <c r="IQ38" s="15">
        <v>0</v>
      </c>
      <c r="IR38" s="15">
        <v>1</v>
      </c>
      <c r="IS38" s="15">
        <v>0</v>
      </c>
      <c r="IT38" s="15">
        <v>0</v>
      </c>
      <c r="IU38" s="15">
        <v>0</v>
      </c>
      <c r="IV38" s="15">
        <v>0</v>
      </c>
      <c r="IW38" s="15">
        <v>0</v>
      </c>
      <c r="IX38" s="15">
        <v>0</v>
      </c>
      <c r="IY38" s="15">
        <v>0</v>
      </c>
      <c r="IZ38" s="15">
        <v>0</v>
      </c>
      <c r="JA38" s="15">
        <v>0</v>
      </c>
      <c r="JB38" s="15">
        <v>0</v>
      </c>
      <c r="JC38" s="15">
        <v>0</v>
      </c>
      <c r="JD38" s="15">
        <v>0</v>
      </c>
      <c r="JE38" s="15">
        <v>0</v>
      </c>
      <c r="JF38" s="15">
        <v>0</v>
      </c>
      <c r="JG38" s="15">
        <v>0</v>
      </c>
      <c r="JH38" s="15">
        <v>0</v>
      </c>
      <c r="JI38" s="15">
        <v>0</v>
      </c>
      <c r="JJ38" s="15">
        <v>0</v>
      </c>
      <c r="JK38" s="15">
        <v>0</v>
      </c>
      <c r="JL38" s="15">
        <v>0</v>
      </c>
      <c r="JM38" s="15">
        <v>0</v>
      </c>
      <c r="JN38" s="15">
        <v>0</v>
      </c>
      <c r="JO38" s="15">
        <v>0</v>
      </c>
      <c r="JP38" s="15">
        <v>0</v>
      </c>
      <c r="JQ38" s="15">
        <v>0</v>
      </c>
      <c r="JR38" s="15">
        <v>0</v>
      </c>
      <c r="JS38" s="15">
        <v>0</v>
      </c>
      <c r="JT38" s="15">
        <v>0</v>
      </c>
      <c r="JU38" s="15">
        <v>0</v>
      </c>
      <c r="JV38" s="15">
        <v>0</v>
      </c>
      <c r="JW38" s="20">
        <v>0</v>
      </c>
      <c r="JX38" s="20">
        <v>0</v>
      </c>
      <c r="JY38" s="20">
        <v>1</v>
      </c>
      <c r="JZ38" s="20">
        <v>1</v>
      </c>
      <c r="KA38" s="20">
        <v>1</v>
      </c>
      <c r="KB38" s="20">
        <v>1</v>
      </c>
      <c r="KC38" s="20">
        <v>1</v>
      </c>
      <c r="KD38" s="20">
        <v>1</v>
      </c>
      <c r="KE38" s="20">
        <v>1</v>
      </c>
      <c r="KF38" s="20">
        <v>1</v>
      </c>
      <c r="KG38" s="20">
        <v>0</v>
      </c>
      <c r="KH38" s="20">
        <v>0</v>
      </c>
      <c r="KI38" s="20">
        <v>0</v>
      </c>
      <c r="KJ38" s="20">
        <v>0</v>
      </c>
      <c r="KK38" s="20">
        <v>0</v>
      </c>
      <c r="KL38" s="20">
        <v>0</v>
      </c>
      <c r="KM38" s="20">
        <v>0</v>
      </c>
      <c r="KN38" s="20">
        <v>0</v>
      </c>
      <c r="KO38" s="20">
        <v>0</v>
      </c>
      <c r="KP38" s="20">
        <v>0</v>
      </c>
      <c r="KQ38" s="20">
        <v>0</v>
      </c>
      <c r="KR38" s="20">
        <v>0</v>
      </c>
      <c r="KS38" s="20">
        <v>0</v>
      </c>
      <c r="KT38" s="20">
        <v>0</v>
      </c>
      <c r="KU38" s="20">
        <v>0</v>
      </c>
      <c r="KV38" s="20">
        <v>0</v>
      </c>
      <c r="KW38" s="20">
        <v>0</v>
      </c>
      <c r="KX38" s="20">
        <v>0</v>
      </c>
      <c r="KY38" s="20">
        <v>0</v>
      </c>
      <c r="KZ38" s="20">
        <v>0</v>
      </c>
      <c r="LA38" s="20">
        <v>0</v>
      </c>
      <c r="LB38" s="20">
        <v>0</v>
      </c>
      <c r="LC38" s="20">
        <v>0</v>
      </c>
      <c r="LD38" s="20">
        <v>0</v>
      </c>
      <c r="LE38" s="20">
        <v>0</v>
      </c>
      <c r="LF38" s="20">
        <v>0</v>
      </c>
      <c r="LG38" s="20">
        <v>0</v>
      </c>
      <c r="LH38" s="20">
        <v>0</v>
      </c>
      <c r="LI38" s="20">
        <v>0</v>
      </c>
      <c r="LJ38" s="20">
        <v>0</v>
      </c>
      <c r="LK38" s="20">
        <v>0</v>
      </c>
      <c r="LL38" s="20">
        <v>0</v>
      </c>
      <c r="LM38" s="20">
        <v>0</v>
      </c>
      <c r="LN38" s="20">
        <v>0</v>
      </c>
      <c r="LO38" s="20">
        <v>0</v>
      </c>
      <c r="LP38" s="20">
        <v>0</v>
      </c>
      <c r="LQ38" s="15">
        <v>0</v>
      </c>
      <c r="LR38" s="15">
        <v>0</v>
      </c>
      <c r="LS38" s="15">
        <v>0</v>
      </c>
      <c r="LT38" s="15">
        <v>0</v>
      </c>
      <c r="LU38" s="20">
        <v>0</v>
      </c>
      <c r="LV38" s="20">
        <v>0</v>
      </c>
      <c r="LW38" s="15">
        <v>0</v>
      </c>
      <c r="LX38" s="15">
        <v>0</v>
      </c>
      <c r="LY38" s="15">
        <v>0</v>
      </c>
      <c r="LZ38" s="20">
        <v>0</v>
      </c>
      <c r="MA38" s="20">
        <v>0</v>
      </c>
      <c r="MB38" s="15">
        <v>0</v>
      </c>
      <c r="MC38" s="15">
        <v>0</v>
      </c>
      <c r="MD38" s="15">
        <v>0</v>
      </c>
      <c r="ME38" s="15">
        <v>0</v>
      </c>
      <c r="MF38" s="15">
        <v>0</v>
      </c>
      <c r="MG38" s="15">
        <v>0</v>
      </c>
      <c r="MH38" s="15">
        <v>0</v>
      </c>
      <c r="MI38" s="15">
        <v>0</v>
      </c>
      <c r="MJ38" s="15">
        <v>0</v>
      </c>
      <c r="MK38" s="15">
        <v>0</v>
      </c>
      <c r="ML38" s="15">
        <v>0</v>
      </c>
      <c r="MM38" s="15">
        <v>0</v>
      </c>
      <c r="MN38" s="15">
        <v>0</v>
      </c>
      <c r="MO38" s="15">
        <v>0</v>
      </c>
      <c r="MP38" s="15">
        <v>0</v>
      </c>
      <c r="MQ38" s="15">
        <v>0</v>
      </c>
      <c r="MR38" s="15">
        <v>0</v>
      </c>
      <c r="MS38" s="15">
        <v>0</v>
      </c>
      <c r="MT38" s="15">
        <v>0</v>
      </c>
      <c r="MU38" s="15">
        <v>0</v>
      </c>
      <c r="MV38" s="15">
        <v>0</v>
      </c>
      <c r="MW38" s="15">
        <v>0</v>
      </c>
      <c r="MX38" s="15">
        <v>0</v>
      </c>
      <c r="MY38" s="15">
        <v>0</v>
      </c>
      <c r="MZ38" s="15">
        <v>0</v>
      </c>
      <c r="NA38" s="15">
        <v>0</v>
      </c>
      <c r="NB38" s="15">
        <v>0</v>
      </c>
      <c r="NC38" s="15">
        <v>0</v>
      </c>
      <c r="ND38" s="15">
        <v>0</v>
      </c>
      <c r="NE38" s="15">
        <v>0</v>
      </c>
      <c r="NF38" s="15">
        <v>0</v>
      </c>
      <c r="NG38" s="15">
        <v>0</v>
      </c>
      <c r="NH38" s="15">
        <v>0</v>
      </c>
      <c r="NI38" s="15">
        <v>0</v>
      </c>
      <c r="NJ38" s="15">
        <v>0</v>
      </c>
      <c r="NK38" s="15">
        <v>0</v>
      </c>
      <c r="NL38" s="15">
        <v>0</v>
      </c>
      <c r="NM38" s="20">
        <v>0</v>
      </c>
      <c r="NN38" s="20">
        <v>0</v>
      </c>
      <c r="NO38" s="15">
        <v>0</v>
      </c>
      <c r="NP38" s="15">
        <v>0</v>
      </c>
      <c r="NQ38" s="15">
        <v>0</v>
      </c>
      <c r="NR38" s="20">
        <v>0</v>
      </c>
      <c r="NS38" s="20">
        <v>0</v>
      </c>
      <c r="NT38" s="15">
        <v>0</v>
      </c>
      <c r="NU38" s="15">
        <v>0</v>
      </c>
      <c r="NV38" s="15">
        <v>0</v>
      </c>
      <c r="NW38" s="20">
        <v>0</v>
      </c>
      <c r="NX38" s="20">
        <v>0</v>
      </c>
      <c r="NY38" s="20">
        <v>0</v>
      </c>
      <c r="NZ38" s="15">
        <v>1</v>
      </c>
      <c r="OA38" s="15">
        <v>1</v>
      </c>
      <c r="OB38" s="15">
        <v>1</v>
      </c>
      <c r="OC38" s="15">
        <v>1</v>
      </c>
      <c r="OD38" s="20">
        <v>1</v>
      </c>
      <c r="OE38" s="20">
        <v>1</v>
      </c>
      <c r="OF38" s="20">
        <v>0</v>
      </c>
      <c r="OG38" s="20">
        <v>1</v>
      </c>
      <c r="OH38" s="20">
        <v>1</v>
      </c>
      <c r="OI38" s="20">
        <v>1</v>
      </c>
      <c r="OJ38" s="20">
        <v>1</v>
      </c>
      <c r="OK38" s="20">
        <v>1</v>
      </c>
      <c r="OL38" s="20">
        <v>1</v>
      </c>
      <c r="OM38" s="20">
        <v>1</v>
      </c>
      <c r="ON38" s="20">
        <v>1</v>
      </c>
      <c r="OO38" s="20">
        <v>1</v>
      </c>
      <c r="OP38" s="20">
        <v>1</v>
      </c>
      <c r="OQ38" s="20">
        <v>1</v>
      </c>
      <c r="OR38" s="20">
        <v>1</v>
      </c>
      <c r="OS38" s="20">
        <v>1</v>
      </c>
      <c r="OT38" s="20">
        <v>1</v>
      </c>
      <c r="OU38" s="20">
        <v>1</v>
      </c>
      <c r="OV38" s="20">
        <v>1</v>
      </c>
      <c r="OW38" s="20">
        <v>1</v>
      </c>
      <c r="OX38" s="20">
        <v>1</v>
      </c>
      <c r="OY38" s="20">
        <v>1</v>
      </c>
      <c r="OZ38" s="20">
        <v>1</v>
      </c>
      <c r="PA38" s="20">
        <v>1</v>
      </c>
      <c r="PB38" s="20">
        <v>1</v>
      </c>
      <c r="PC38" s="20">
        <v>1</v>
      </c>
      <c r="PD38" s="20">
        <v>1</v>
      </c>
      <c r="PE38" s="20">
        <v>1</v>
      </c>
      <c r="PF38" s="20">
        <v>1</v>
      </c>
      <c r="PG38" s="20">
        <v>1</v>
      </c>
      <c r="PH38" s="20">
        <v>1</v>
      </c>
      <c r="PI38" s="20">
        <v>1</v>
      </c>
      <c r="PJ38" s="20">
        <v>1</v>
      </c>
      <c r="PK38" s="20">
        <v>1</v>
      </c>
      <c r="PL38" s="20">
        <v>1</v>
      </c>
      <c r="PM38" s="15">
        <v>1</v>
      </c>
      <c r="PN38" s="15">
        <v>1</v>
      </c>
      <c r="PO38" s="15">
        <v>1</v>
      </c>
      <c r="PP38" s="15">
        <v>1</v>
      </c>
      <c r="PQ38" s="20">
        <v>0</v>
      </c>
      <c r="PR38" s="20">
        <v>0</v>
      </c>
      <c r="PS38" s="20">
        <v>1</v>
      </c>
      <c r="PT38" s="15">
        <v>1</v>
      </c>
      <c r="PU38" s="20">
        <v>0</v>
      </c>
      <c r="PV38" s="20">
        <v>0</v>
      </c>
      <c r="PW38" s="20">
        <v>0</v>
      </c>
      <c r="PX38" s="20">
        <v>0</v>
      </c>
      <c r="PY38" s="15">
        <v>1</v>
      </c>
      <c r="PZ38" s="15">
        <v>1</v>
      </c>
      <c r="QA38" s="15">
        <v>1</v>
      </c>
      <c r="QB38" s="15">
        <v>1</v>
      </c>
      <c r="QC38" s="15">
        <v>1</v>
      </c>
      <c r="QD38" s="15">
        <v>1</v>
      </c>
      <c r="QE38" s="15">
        <v>1</v>
      </c>
      <c r="QF38" s="15">
        <v>1</v>
      </c>
      <c r="QG38" s="15">
        <v>1</v>
      </c>
      <c r="QH38" s="15">
        <v>1</v>
      </c>
      <c r="QI38" s="15">
        <v>1</v>
      </c>
      <c r="QJ38" s="15">
        <v>1</v>
      </c>
      <c r="QK38" s="20">
        <v>0</v>
      </c>
      <c r="QL38" s="20">
        <v>0</v>
      </c>
      <c r="QM38" s="20">
        <v>0</v>
      </c>
      <c r="QN38" s="15">
        <v>1</v>
      </c>
      <c r="QO38" s="15">
        <v>1</v>
      </c>
      <c r="QP38" s="15">
        <v>1</v>
      </c>
      <c r="QQ38" s="15">
        <v>1</v>
      </c>
      <c r="QR38" s="15">
        <v>1</v>
      </c>
      <c r="QS38" s="15">
        <v>1</v>
      </c>
      <c r="QT38" s="15">
        <v>1</v>
      </c>
      <c r="QU38" s="15">
        <v>1</v>
      </c>
      <c r="QV38" s="15">
        <v>1</v>
      </c>
      <c r="QW38" s="15">
        <v>1</v>
      </c>
      <c r="QX38" s="15">
        <v>1</v>
      </c>
      <c r="QY38" s="15">
        <v>1</v>
      </c>
      <c r="QZ38" s="15">
        <v>1</v>
      </c>
      <c r="RA38" s="15">
        <v>1</v>
      </c>
      <c r="RB38" s="15">
        <v>1</v>
      </c>
      <c r="RC38" s="15">
        <v>1</v>
      </c>
      <c r="RD38" s="15">
        <v>1</v>
      </c>
      <c r="RE38" s="15">
        <v>1</v>
      </c>
      <c r="RF38" s="15">
        <v>1</v>
      </c>
      <c r="RG38" s="15">
        <v>1</v>
      </c>
      <c r="RH38" s="15">
        <v>1</v>
      </c>
      <c r="RI38" s="15">
        <v>1</v>
      </c>
      <c r="RJ38" s="15">
        <v>1</v>
      </c>
      <c r="RK38" s="15">
        <v>1</v>
      </c>
      <c r="RL38" s="15">
        <v>1</v>
      </c>
      <c r="RM38" s="15">
        <v>1</v>
      </c>
      <c r="RN38" s="15">
        <v>1</v>
      </c>
      <c r="RO38" s="15">
        <v>1</v>
      </c>
      <c r="RP38" s="15">
        <v>1</v>
      </c>
      <c r="RQ38" s="15">
        <v>1</v>
      </c>
      <c r="RR38" s="15">
        <v>1</v>
      </c>
      <c r="RS38" s="15"/>
      <c r="RT38" s="15">
        <v>0</v>
      </c>
      <c r="RU38" s="15">
        <v>0</v>
      </c>
      <c r="RV38" s="15">
        <v>0</v>
      </c>
      <c r="RW38" s="15">
        <v>0</v>
      </c>
      <c r="RX38" s="15">
        <v>0</v>
      </c>
      <c r="RY38" s="15">
        <v>0</v>
      </c>
      <c r="RZ38" s="15">
        <v>1</v>
      </c>
      <c r="SA38" s="20">
        <v>1</v>
      </c>
      <c r="SB38" s="20">
        <v>1</v>
      </c>
      <c r="SC38" s="15">
        <v>0</v>
      </c>
      <c r="SD38" s="15">
        <v>0</v>
      </c>
      <c r="SE38" s="15">
        <v>0</v>
      </c>
      <c r="SF38" s="20">
        <v>0</v>
      </c>
      <c r="SG38" s="20">
        <v>0</v>
      </c>
      <c r="SH38" s="20">
        <v>0</v>
      </c>
      <c r="SI38" s="15">
        <v>1</v>
      </c>
      <c r="SJ38" s="15">
        <v>1</v>
      </c>
      <c r="SK38" s="15">
        <v>1</v>
      </c>
      <c r="SL38" s="15">
        <v>1</v>
      </c>
      <c r="SM38" s="20">
        <v>1</v>
      </c>
      <c r="SN38" s="20">
        <v>1</v>
      </c>
      <c r="SO38" s="20">
        <v>0</v>
      </c>
      <c r="SP38" s="20">
        <v>1</v>
      </c>
      <c r="SQ38" s="20">
        <v>1</v>
      </c>
      <c r="SR38" s="20">
        <v>1</v>
      </c>
      <c r="SS38" s="20">
        <v>1</v>
      </c>
      <c r="ST38" s="20">
        <v>1</v>
      </c>
      <c r="SU38" s="20">
        <v>1</v>
      </c>
      <c r="SV38" s="20">
        <v>1</v>
      </c>
      <c r="SW38" s="20">
        <v>1</v>
      </c>
      <c r="SX38" s="20">
        <v>1</v>
      </c>
      <c r="SY38" s="20">
        <v>1</v>
      </c>
      <c r="SZ38" s="20">
        <v>1</v>
      </c>
      <c r="TA38" s="20">
        <v>1</v>
      </c>
      <c r="TB38" s="20">
        <v>1</v>
      </c>
      <c r="TC38" s="20">
        <v>1</v>
      </c>
      <c r="TD38" s="20">
        <v>1</v>
      </c>
      <c r="TE38" s="20">
        <v>1</v>
      </c>
      <c r="TF38" s="20">
        <v>1</v>
      </c>
      <c r="TG38" s="20">
        <v>1</v>
      </c>
      <c r="TH38" s="20">
        <v>1</v>
      </c>
      <c r="TI38" s="20">
        <v>1</v>
      </c>
      <c r="TJ38" s="20">
        <v>1</v>
      </c>
      <c r="TK38" s="20">
        <v>1</v>
      </c>
      <c r="TL38" s="20">
        <v>1</v>
      </c>
      <c r="TM38" s="20">
        <v>1</v>
      </c>
      <c r="TN38" s="20">
        <v>1</v>
      </c>
      <c r="TO38" s="20">
        <v>1</v>
      </c>
      <c r="TP38" s="20">
        <v>1</v>
      </c>
      <c r="TQ38" s="20">
        <v>1</v>
      </c>
      <c r="TR38" s="20">
        <v>1</v>
      </c>
      <c r="TS38" s="20">
        <v>1</v>
      </c>
      <c r="TT38" s="20">
        <v>1</v>
      </c>
      <c r="TU38" s="15">
        <v>1</v>
      </c>
      <c r="TV38" s="15">
        <v>1</v>
      </c>
      <c r="TW38" s="15">
        <v>1</v>
      </c>
      <c r="TX38" s="15">
        <v>1</v>
      </c>
      <c r="TY38" s="20">
        <v>0</v>
      </c>
      <c r="TZ38" s="20">
        <v>0</v>
      </c>
      <c r="UA38" s="20">
        <v>1</v>
      </c>
      <c r="UB38" s="15">
        <v>1</v>
      </c>
      <c r="UC38" s="20">
        <v>0</v>
      </c>
      <c r="UD38" s="20">
        <v>0</v>
      </c>
      <c r="UE38" s="20">
        <v>0</v>
      </c>
      <c r="UF38" s="20">
        <v>0</v>
      </c>
      <c r="UG38" s="15">
        <v>1</v>
      </c>
      <c r="UH38" s="15">
        <v>1</v>
      </c>
      <c r="UI38" s="15">
        <v>1</v>
      </c>
      <c r="UJ38" s="15">
        <v>1</v>
      </c>
      <c r="UK38" s="15">
        <v>1</v>
      </c>
      <c r="UL38" s="15">
        <v>1</v>
      </c>
      <c r="UM38" s="15">
        <v>1</v>
      </c>
      <c r="UN38" s="15">
        <v>1</v>
      </c>
      <c r="UO38" s="15">
        <v>1</v>
      </c>
      <c r="UP38" s="15">
        <v>1</v>
      </c>
      <c r="UQ38" s="15">
        <v>1</v>
      </c>
      <c r="UR38" s="15">
        <v>1</v>
      </c>
      <c r="US38" s="20">
        <v>0</v>
      </c>
      <c r="UT38" s="20">
        <v>0</v>
      </c>
      <c r="UU38" s="20">
        <v>0</v>
      </c>
      <c r="UV38" s="15">
        <v>1</v>
      </c>
      <c r="UW38" s="15">
        <v>1</v>
      </c>
      <c r="UX38" s="15">
        <v>1</v>
      </c>
      <c r="UY38" s="15">
        <v>1</v>
      </c>
      <c r="UZ38" s="15">
        <v>1</v>
      </c>
      <c r="VA38" s="15">
        <v>1</v>
      </c>
      <c r="VB38" s="15">
        <v>1</v>
      </c>
      <c r="VC38" s="15">
        <v>1</v>
      </c>
      <c r="VD38" s="15">
        <v>1</v>
      </c>
      <c r="VE38" s="15">
        <v>1</v>
      </c>
      <c r="VF38" s="15">
        <v>1</v>
      </c>
      <c r="VG38" s="15">
        <v>1</v>
      </c>
      <c r="VH38" s="15">
        <v>1</v>
      </c>
      <c r="VI38" s="15">
        <v>1</v>
      </c>
      <c r="VJ38" s="15">
        <v>1</v>
      </c>
      <c r="VK38" s="15">
        <v>1</v>
      </c>
      <c r="VL38" s="15">
        <v>1</v>
      </c>
      <c r="VM38" s="15">
        <v>1</v>
      </c>
      <c r="VN38" s="15">
        <v>1</v>
      </c>
      <c r="VO38" s="15">
        <v>1</v>
      </c>
      <c r="VP38" s="15">
        <v>1</v>
      </c>
      <c r="VQ38" s="15">
        <v>1</v>
      </c>
      <c r="VR38" s="15">
        <v>1</v>
      </c>
      <c r="VS38" s="15">
        <v>1</v>
      </c>
      <c r="VT38" s="15">
        <v>1</v>
      </c>
      <c r="VU38" s="15">
        <v>1</v>
      </c>
      <c r="VV38" s="15">
        <v>1</v>
      </c>
      <c r="VW38" s="15">
        <v>1</v>
      </c>
      <c r="VX38" s="15">
        <v>1</v>
      </c>
      <c r="VY38" s="15">
        <v>1</v>
      </c>
      <c r="VZ38" s="15">
        <v>1</v>
      </c>
      <c r="WA38" s="15">
        <v>1</v>
      </c>
      <c r="WB38" s="15">
        <v>1</v>
      </c>
      <c r="WC38" s="20">
        <v>0</v>
      </c>
      <c r="WD38" s="20">
        <v>0</v>
      </c>
      <c r="WE38" s="15">
        <v>1</v>
      </c>
      <c r="WF38" s="15">
        <v>1</v>
      </c>
      <c r="WG38" s="15">
        <v>1</v>
      </c>
      <c r="WH38" s="15">
        <v>1</v>
      </c>
      <c r="WI38" s="15">
        <v>1</v>
      </c>
      <c r="WJ38" s="15">
        <v>1</v>
      </c>
      <c r="WK38" s="15">
        <v>1</v>
      </c>
      <c r="WL38" s="15">
        <v>1</v>
      </c>
      <c r="WM38" s="15">
        <v>1</v>
      </c>
      <c r="WN38" s="15">
        <v>1</v>
      </c>
      <c r="WO38" s="15">
        <v>1</v>
      </c>
      <c r="WP38" s="15">
        <v>1</v>
      </c>
      <c r="WQ38" s="15">
        <v>1</v>
      </c>
      <c r="WR38" s="15">
        <v>1</v>
      </c>
      <c r="WS38" s="15">
        <v>1</v>
      </c>
      <c r="WT38" s="15">
        <v>1</v>
      </c>
      <c r="WU38" s="20">
        <v>0</v>
      </c>
      <c r="WV38" s="15">
        <v>1</v>
      </c>
      <c r="WW38" s="20">
        <v>0</v>
      </c>
      <c r="WX38" s="15">
        <v>1</v>
      </c>
      <c r="WY38" s="15">
        <v>1</v>
      </c>
      <c r="WZ38" s="15">
        <v>1</v>
      </c>
      <c r="XA38" s="15">
        <v>1</v>
      </c>
      <c r="XB38" s="15">
        <v>1</v>
      </c>
      <c r="XC38" s="15">
        <v>1</v>
      </c>
      <c r="XD38" s="15">
        <v>1</v>
      </c>
      <c r="XE38" s="15">
        <v>1</v>
      </c>
      <c r="XF38" s="15">
        <v>1</v>
      </c>
      <c r="XG38" s="15">
        <v>1</v>
      </c>
      <c r="XH38" s="15">
        <v>1</v>
      </c>
      <c r="XI38" s="15">
        <v>1</v>
      </c>
      <c r="XJ38" s="15">
        <v>1</v>
      </c>
      <c r="XK38" s="15">
        <v>1</v>
      </c>
      <c r="XL38" s="15">
        <v>1</v>
      </c>
      <c r="XM38" s="15">
        <v>1</v>
      </c>
      <c r="XN38" s="15">
        <v>1</v>
      </c>
      <c r="XO38" s="15">
        <v>1</v>
      </c>
      <c r="XP38" s="15">
        <v>1</v>
      </c>
      <c r="XQ38" s="15">
        <v>1</v>
      </c>
      <c r="XR38" s="15">
        <v>1</v>
      </c>
      <c r="XS38" s="15">
        <v>1</v>
      </c>
      <c r="XT38" s="15">
        <v>1</v>
      </c>
      <c r="XU38" s="15">
        <v>1</v>
      </c>
      <c r="XV38" s="15">
        <v>1</v>
      </c>
      <c r="XW38" s="15">
        <v>1</v>
      </c>
      <c r="XX38" s="15">
        <v>1</v>
      </c>
      <c r="XY38" s="15">
        <v>1</v>
      </c>
      <c r="XZ38" s="15">
        <v>1</v>
      </c>
      <c r="YA38" s="15">
        <v>1</v>
      </c>
      <c r="YB38" s="15">
        <v>1</v>
      </c>
      <c r="YC38" s="15">
        <v>1</v>
      </c>
      <c r="YD38" s="15">
        <v>1</v>
      </c>
      <c r="YE38" s="15">
        <v>1</v>
      </c>
      <c r="YF38" s="20">
        <v>1</v>
      </c>
      <c r="YG38" s="15">
        <v>1</v>
      </c>
      <c r="YH38" s="15">
        <v>1</v>
      </c>
      <c r="YI38" s="15">
        <v>1</v>
      </c>
      <c r="YJ38" s="15">
        <v>1</v>
      </c>
      <c r="YK38" s="15">
        <v>1</v>
      </c>
      <c r="YL38" s="15">
        <v>1</v>
      </c>
      <c r="YM38" s="15">
        <v>1</v>
      </c>
      <c r="YN38" s="15">
        <v>1</v>
      </c>
      <c r="YO38" s="15">
        <v>1</v>
      </c>
      <c r="YP38" s="15">
        <v>1</v>
      </c>
      <c r="YQ38" s="15">
        <v>1</v>
      </c>
      <c r="YR38" s="15">
        <v>1</v>
      </c>
      <c r="YS38" s="15">
        <v>1</v>
      </c>
      <c r="YT38" s="15">
        <v>1</v>
      </c>
      <c r="YU38" s="15">
        <v>1</v>
      </c>
      <c r="YV38" s="15">
        <v>1</v>
      </c>
      <c r="YW38" s="15">
        <v>1</v>
      </c>
      <c r="YX38" s="15">
        <v>1</v>
      </c>
      <c r="YY38" s="15">
        <v>1</v>
      </c>
      <c r="YZ38" s="15">
        <v>1</v>
      </c>
      <c r="ZA38" s="15">
        <v>1</v>
      </c>
      <c r="ZB38" s="15">
        <v>1</v>
      </c>
      <c r="ZC38" s="15">
        <v>1</v>
      </c>
      <c r="ZD38" s="15">
        <v>1</v>
      </c>
      <c r="ZE38" s="15">
        <v>1</v>
      </c>
      <c r="ZF38" s="15">
        <v>1</v>
      </c>
      <c r="ZG38" s="15">
        <v>1</v>
      </c>
      <c r="ZH38" s="15">
        <v>1</v>
      </c>
      <c r="ZI38" s="15">
        <v>1</v>
      </c>
      <c r="ZJ38" s="15">
        <v>1</v>
      </c>
      <c r="ZK38" s="15">
        <v>1</v>
      </c>
      <c r="ZL38" s="15">
        <v>1</v>
      </c>
      <c r="ZM38" s="15">
        <v>1</v>
      </c>
      <c r="ZN38" s="15">
        <v>1</v>
      </c>
      <c r="ZO38" s="15">
        <v>1</v>
      </c>
      <c r="ZP38" s="15">
        <v>1</v>
      </c>
      <c r="ZQ38" s="15">
        <v>0</v>
      </c>
      <c r="ZR38" s="15">
        <v>1</v>
      </c>
      <c r="ZS38" s="15">
        <v>1</v>
      </c>
      <c r="ZT38" s="15">
        <v>1</v>
      </c>
      <c r="ZU38" s="15">
        <v>1</v>
      </c>
      <c r="ZV38" s="15">
        <v>1</v>
      </c>
      <c r="ZW38" s="15">
        <v>1</v>
      </c>
      <c r="ZX38" s="15">
        <v>0</v>
      </c>
      <c r="ZY38" s="15">
        <v>1</v>
      </c>
      <c r="ZZ38" s="15">
        <v>1</v>
      </c>
      <c r="AAA38" s="15">
        <v>1</v>
      </c>
      <c r="AAB38" s="15">
        <v>1</v>
      </c>
      <c r="AAC38" s="15">
        <v>1</v>
      </c>
      <c r="AAD38" s="15">
        <v>1</v>
      </c>
      <c r="AAE38" s="15">
        <v>1</v>
      </c>
      <c r="AAF38" s="15">
        <v>1</v>
      </c>
      <c r="AAG38" s="15">
        <v>1</v>
      </c>
      <c r="AAH38" s="15">
        <v>1</v>
      </c>
      <c r="AAI38" s="15">
        <v>1</v>
      </c>
      <c r="AAJ38" s="20">
        <v>1</v>
      </c>
      <c r="AAK38" s="15">
        <v>1</v>
      </c>
      <c r="AAL38" s="15"/>
      <c r="AAM38" s="15">
        <v>0</v>
      </c>
      <c r="AAN38" s="15">
        <v>0</v>
      </c>
      <c r="AAO38" s="15">
        <v>0</v>
      </c>
      <c r="AAP38" s="15">
        <v>0</v>
      </c>
      <c r="AAQ38" s="15">
        <v>0</v>
      </c>
      <c r="AAR38" s="15">
        <v>0</v>
      </c>
      <c r="AAS38" s="15">
        <v>1</v>
      </c>
      <c r="AAT38" s="20">
        <v>0</v>
      </c>
      <c r="AAU38" s="20">
        <v>0</v>
      </c>
      <c r="AAV38" s="20">
        <v>1</v>
      </c>
      <c r="AAW38" s="15">
        <v>1</v>
      </c>
      <c r="AAX38" s="15"/>
      <c r="AAY38" s="15">
        <v>0</v>
      </c>
      <c r="AAZ38" s="15">
        <v>0</v>
      </c>
      <c r="ABA38" s="15">
        <v>0</v>
      </c>
      <c r="ABB38" s="15">
        <v>0</v>
      </c>
      <c r="ABC38" s="15">
        <v>0</v>
      </c>
      <c r="ABD38" s="15">
        <v>0</v>
      </c>
      <c r="ABE38" s="15">
        <v>1</v>
      </c>
      <c r="ABF38" s="20">
        <v>1</v>
      </c>
      <c r="ABG38" s="20">
        <v>1</v>
      </c>
      <c r="ABH38" s="20">
        <v>1</v>
      </c>
      <c r="ABI38" s="20">
        <v>1</v>
      </c>
      <c r="ABJ38" s="15">
        <v>1</v>
      </c>
      <c r="ABK38" s="15">
        <v>1</v>
      </c>
      <c r="ABL38" s="15">
        <v>1</v>
      </c>
      <c r="ABM38" s="15">
        <v>1</v>
      </c>
      <c r="ABN38" s="15">
        <v>1</v>
      </c>
      <c r="ABO38" s="15">
        <v>1</v>
      </c>
      <c r="ABP38" s="15">
        <v>1</v>
      </c>
      <c r="ABQ38" s="15">
        <v>1</v>
      </c>
      <c r="ABR38" s="15">
        <v>1</v>
      </c>
      <c r="ABS38" s="15">
        <v>1</v>
      </c>
      <c r="ABT38" s="15">
        <v>1</v>
      </c>
      <c r="ABU38" s="15">
        <v>1</v>
      </c>
      <c r="ABV38" s="15">
        <v>1</v>
      </c>
      <c r="ABW38" s="15">
        <v>1</v>
      </c>
      <c r="ABX38" s="15">
        <v>1</v>
      </c>
      <c r="ABY38" s="15">
        <v>1</v>
      </c>
      <c r="ABZ38" s="15">
        <v>1</v>
      </c>
      <c r="ACA38" s="15">
        <v>1</v>
      </c>
      <c r="ACB38" s="15">
        <v>1</v>
      </c>
      <c r="ACC38" s="15">
        <v>1</v>
      </c>
      <c r="ACD38" s="15">
        <v>1</v>
      </c>
      <c r="ACE38" s="15">
        <v>1</v>
      </c>
      <c r="ACF38" s="15">
        <v>1</v>
      </c>
      <c r="ACG38" s="15">
        <v>1</v>
      </c>
      <c r="ACH38" s="15">
        <v>1</v>
      </c>
      <c r="ACI38" s="15">
        <v>1</v>
      </c>
      <c r="ACJ38" s="15">
        <v>1</v>
      </c>
      <c r="ACK38" s="15">
        <v>1</v>
      </c>
      <c r="ACL38" s="15">
        <v>1</v>
      </c>
      <c r="ACM38" s="15">
        <v>1</v>
      </c>
      <c r="ACN38" s="15">
        <v>1</v>
      </c>
      <c r="ACO38" s="15">
        <v>1</v>
      </c>
      <c r="ACP38" s="15">
        <v>1</v>
      </c>
      <c r="ACQ38" s="15">
        <v>1</v>
      </c>
      <c r="ACR38" s="15">
        <v>1</v>
      </c>
      <c r="ACS38" s="15">
        <v>1</v>
      </c>
      <c r="ACT38" s="15">
        <v>1</v>
      </c>
      <c r="ACU38" s="15">
        <v>1</v>
      </c>
      <c r="ACV38" s="15">
        <v>1</v>
      </c>
      <c r="ACW38" s="15">
        <v>1</v>
      </c>
      <c r="ACX38" s="15">
        <v>1</v>
      </c>
      <c r="ACY38" s="15">
        <v>1</v>
      </c>
      <c r="ACZ38" s="15">
        <v>1</v>
      </c>
      <c r="ADA38" s="15">
        <v>1</v>
      </c>
      <c r="ADB38" s="15">
        <v>1</v>
      </c>
      <c r="ADC38" s="15">
        <v>1</v>
      </c>
      <c r="ADD38" s="15">
        <v>1</v>
      </c>
      <c r="ADE38" s="20">
        <v>1</v>
      </c>
      <c r="ADF38" s="15">
        <v>1</v>
      </c>
      <c r="ADG38" s="15">
        <v>1</v>
      </c>
      <c r="ADH38" s="15"/>
      <c r="ADI38" s="15">
        <v>0</v>
      </c>
      <c r="ADJ38" s="15">
        <v>0</v>
      </c>
      <c r="ADK38" s="15">
        <v>0</v>
      </c>
      <c r="ADL38" s="15">
        <v>0</v>
      </c>
      <c r="ADM38" s="15">
        <v>0</v>
      </c>
      <c r="ADN38" s="15">
        <v>0</v>
      </c>
      <c r="ADO38" s="15">
        <v>1</v>
      </c>
      <c r="ADP38" s="20">
        <v>1</v>
      </c>
      <c r="ADQ38" s="20">
        <v>1</v>
      </c>
      <c r="ADR38" s="20">
        <v>1</v>
      </c>
      <c r="ADS38" s="20">
        <v>1</v>
      </c>
      <c r="ADT38" s="15">
        <v>1</v>
      </c>
      <c r="ADU38" s="15">
        <v>1</v>
      </c>
      <c r="ADV38" s="15">
        <v>1</v>
      </c>
      <c r="ADW38" s="15">
        <v>1</v>
      </c>
      <c r="ADX38" s="15">
        <v>1</v>
      </c>
      <c r="ADY38" s="15">
        <v>1</v>
      </c>
      <c r="ADZ38" s="15">
        <v>1</v>
      </c>
      <c r="AEA38" s="15">
        <v>1</v>
      </c>
      <c r="AEB38" s="15">
        <v>1</v>
      </c>
      <c r="AEC38" s="15">
        <v>1</v>
      </c>
      <c r="AED38" s="15">
        <v>1</v>
      </c>
      <c r="AEE38" s="15">
        <v>1</v>
      </c>
      <c r="AEF38" s="15">
        <v>1</v>
      </c>
      <c r="AEG38" s="15">
        <v>1</v>
      </c>
      <c r="AEH38" s="15">
        <v>1</v>
      </c>
      <c r="AEI38" s="15">
        <v>1</v>
      </c>
      <c r="AEJ38" s="15">
        <v>1</v>
      </c>
      <c r="AEK38" s="15">
        <v>1</v>
      </c>
      <c r="AEL38" s="15">
        <v>1</v>
      </c>
      <c r="AEM38" s="15">
        <v>1</v>
      </c>
      <c r="AEN38" s="15">
        <v>1</v>
      </c>
      <c r="AEO38" s="15">
        <v>1</v>
      </c>
      <c r="AEP38" s="15">
        <v>1</v>
      </c>
      <c r="AEQ38" s="15">
        <v>1</v>
      </c>
      <c r="AER38" s="15">
        <v>1</v>
      </c>
      <c r="AES38" s="15">
        <v>1</v>
      </c>
      <c r="AET38" s="15">
        <v>1</v>
      </c>
      <c r="AEU38" s="15">
        <v>1</v>
      </c>
      <c r="AEV38" s="15">
        <v>1</v>
      </c>
      <c r="AEW38" s="15">
        <v>1</v>
      </c>
      <c r="AEX38" s="15">
        <v>1</v>
      </c>
      <c r="AEY38" s="15">
        <v>1</v>
      </c>
      <c r="AEZ38" s="15">
        <v>1</v>
      </c>
      <c r="AFA38" s="15">
        <v>1</v>
      </c>
      <c r="AFB38" s="15">
        <v>1</v>
      </c>
      <c r="AFC38" s="15">
        <v>1</v>
      </c>
      <c r="AFD38" s="15">
        <v>1</v>
      </c>
      <c r="AFE38" s="15">
        <v>1</v>
      </c>
      <c r="AFF38" s="15">
        <v>1</v>
      </c>
      <c r="AFG38" s="15">
        <v>1</v>
      </c>
      <c r="AFH38" s="15">
        <v>1</v>
      </c>
      <c r="AFI38" s="15">
        <v>1</v>
      </c>
      <c r="AFJ38" s="15">
        <v>1</v>
      </c>
      <c r="AFK38" s="15">
        <v>1</v>
      </c>
      <c r="AFL38" s="15">
        <v>1</v>
      </c>
      <c r="AFM38" s="15">
        <v>1</v>
      </c>
      <c r="AFN38" s="15">
        <v>1</v>
      </c>
      <c r="AFO38" s="20">
        <v>1</v>
      </c>
      <c r="AFP38" s="15">
        <v>1</v>
      </c>
      <c r="AFQ38" s="15">
        <v>1</v>
      </c>
      <c r="AFR38" s="15"/>
      <c r="AFS38" s="15">
        <v>0</v>
      </c>
      <c r="AFT38" s="15">
        <v>0</v>
      </c>
      <c r="AFU38" s="15">
        <v>0</v>
      </c>
      <c r="AFV38" s="15">
        <v>0</v>
      </c>
      <c r="AFW38" s="15">
        <v>0</v>
      </c>
      <c r="AFX38" s="15">
        <v>0</v>
      </c>
      <c r="AFY38" s="15">
        <v>1</v>
      </c>
      <c r="AFZ38" s="15">
        <v>1</v>
      </c>
      <c r="AGA38" s="15">
        <v>1</v>
      </c>
      <c r="AGB38" s="15">
        <v>1</v>
      </c>
      <c r="AGC38" s="15">
        <v>1</v>
      </c>
      <c r="AGD38" s="15">
        <v>1</v>
      </c>
      <c r="AGE38" s="15">
        <v>1</v>
      </c>
      <c r="AGF38" s="15">
        <v>1</v>
      </c>
      <c r="AGG38" s="15">
        <v>1</v>
      </c>
      <c r="AGH38" s="15">
        <v>1</v>
      </c>
      <c r="AGI38" s="15">
        <v>1</v>
      </c>
      <c r="AGJ38" s="15">
        <v>1</v>
      </c>
      <c r="AGK38" s="15">
        <v>1</v>
      </c>
      <c r="AGL38" s="15">
        <v>1</v>
      </c>
      <c r="AGM38" s="15">
        <v>1</v>
      </c>
      <c r="AGN38" s="15">
        <v>1</v>
      </c>
      <c r="AGO38" s="15">
        <v>1</v>
      </c>
      <c r="AGP38" s="15">
        <v>1</v>
      </c>
      <c r="AGQ38" s="15">
        <v>1</v>
      </c>
      <c r="AGR38" s="15">
        <v>1</v>
      </c>
      <c r="AGS38" s="15">
        <v>1</v>
      </c>
      <c r="AGT38" s="15">
        <v>1</v>
      </c>
      <c r="AGU38" s="15">
        <v>1</v>
      </c>
      <c r="AGV38" s="15">
        <v>1</v>
      </c>
      <c r="AGW38" s="15">
        <v>1</v>
      </c>
      <c r="AGX38" s="15">
        <v>1</v>
      </c>
      <c r="AGY38" s="15">
        <v>1</v>
      </c>
      <c r="AGZ38" s="15">
        <v>1</v>
      </c>
      <c r="AHA38" s="15">
        <v>1</v>
      </c>
      <c r="AHB38" s="15">
        <v>1</v>
      </c>
      <c r="AHC38" s="15">
        <v>1</v>
      </c>
      <c r="AHD38" s="15">
        <v>1</v>
      </c>
      <c r="AHE38" s="15">
        <v>1</v>
      </c>
      <c r="AHF38" s="15">
        <v>1</v>
      </c>
      <c r="AHG38" s="15">
        <v>1</v>
      </c>
      <c r="AHH38" s="15">
        <v>1</v>
      </c>
      <c r="AHI38" s="15">
        <v>1</v>
      </c>
      <c r="AHJ38" s="15">
        <v>1</v>
      </c>
      <c r="AHK38" s="15">
        <v>1</v>
      </c>
      <c r="AHL38" s="15">
        <v>1</v>
      </c>
      <c r="AHM38" s="15">
        <v>1</v>
      </c>
      <c r="AHN38" s="15">
        <v>1</v>
      </c>
      <c r="AHO38" s="15">
        <v>1</v>
      </c>
      <c r="AHP38" s="15">
        <v>1</v>
      </c>
      <c r="AHQ38" s="15">
        <v>1</v>
      </c>
      <c r="AHR38" s="15">
        <v>1</v>
      </c>
      <c r="AHS38" s="15">
        <v>1</v>
      </c>
      <c r="AHT38" s="15">
        <v>1</v>
      </c>
      <c r="AHU38" s="15">
        <v>1</v>
      </c>
      <c r="AHV38" s="15">
        <v>1</v>
      </c>
      <c r="AHW38" s="15">
        <v>1</v>
      </c>
      <c r="AHX38" s="15">
        <v>1</v>
      </c>
      <c r="AHY38" s="15">
        <v>1</v>
      </c>
      <c r="AHZ38" s="15">
        <v>1</v>
      </c>
      <c r="AIA38" s="15">
        <v>1</v>
      </c>
      <c r="AIB38" s="15">
        <v>1</v>
      </c>
      <c r="AIC38" s="15">
        <v>1</v>
      </c>
      <c r="AID38" s="15">
        <v>1</v>
      </c>
      <c r="AIE38" s="15">
        <v>1</v>
      </c>
      <c r="AIF38" s="15">
        <v>1</v>
      </c>
      <c r="AIG38" s="15">
        <v>1</v>
      </c>
      <c r="AIH38" s="15">
        <v>1</v>
      </c>
      <c r="AII38" s="15">
        <v>1</v>
      </c>
      <c r="AIJ38" s="15">
        <v>1</v>
      </c>
      <c r="AIK38" s="15">
        <v>1</v>
      </c>
      <c r="AIL38" s="15">
        <v>1</v>
      </c>
      <c r="AIM38" s="15">
        <v>1</v>
      </c>
      <c r="AIN38" s="15">
        <v>1</v>
      </c>
      <c r="AIO38" s="15">
        <v>1</v>
      </c>
      <c r="AIP38" s="15">
        <v>1</v>
      </c>
      <c r="AIQ38" s="15">
        <v>1</v>
      </c>
      <c r="AIR38" s="15">
        <v>1</v>
      </c>
      <c r="AIS38" s="15">
        <v>1</v>
      </c>
      <c r="AIT38" s="15">
        <v>1</v>
      </c>
      <c r="AIU38" s="15">
        <v>1</v>
      </c>
      <c r="AIV38" s="15">
        <v>1</v>
      </c>
      <c r="AIW38" s="15">
        <v>1</v>
      </c>
      <c r="AIX38" s="15">
        <v>1</v>
      </c>
      <c r="AIY38" s="15">
        <v>1</v>
      </c>
      <c r="AIZ38" s="15">
        <v>1</v>
      </c>
      <c r="AJA38" s="15">
        <v>1</v>
      </c>
      <c r="AJB38" s="15">
        <v>1</v>
      </c>
      <c r="AJC38" s="15">
        <v>0</v>
      </c>
      <c r="AJD38" s="20">
        <v>0</v>
      </c>
      <c r="AJE38" s="20">
        <v>0</v>
      </c>
      <c r="AJF38" s="15"/>
      <c r="AJG38" s="15">
        <v>0</v>
      </c>
      <c r="AJH38" s="15">
        <v>0</v>
      </c>
      <c r="AJI38" s="15">
        <v>0</v>
      </c>
      <c r="AJJ38" s="15">
        <v>0</v>
      </c>
      <c r="AJK38" s="15">
        <v>0</v>
      </c>
      <c r="AJL38" s="15">
        <v>0</v>
      </c>
      <c r="AJM38" s="15">
        <v>0</v>
      </c>
      <c r="AJN38" s="15"/>
      <c r="AJO38" s="15">
        <v>0</v>
      </c>
      <c r="AJP38" s="15">
        <v>0</v>
      </c>
      <c r="AJQ38" s="15">
        <v>0</v>
      </c>
      <c r="AJR38" s="15">
        <v>0</v>
      </c>
      <c r="AJS38" s="15">
        <v>0</v>
      </c>
      <c r="AJT38" s="15">
        <v>0</v>
      </c>
      <c r="AJU38" s="15">
        <v>0</v>
      </c>
      <c r="AJV38" s="15">
        <v>0</v>
      </c>
      <c r="AJW38" s="15">
        <v>0</v>
      </c>
      <c r="AJX38" s="15"/>
      <c r="AJY38" s="15">
        <v>0</v>
      </c>
      <c r="AJZ38" s="15">
        <v>0</v>
      </c>
      <c r="AKA38" s="15">
        <v>0</v>
      </c>
      <c r="AKB38" s="15">
        <v>0</v>
      </c>
      <c r="AKC38" s="15">
        <v>0</v>
      </c>
      <c r="AKD38" s="15">
        <v>0</v>
      </c>
      <c r="AKE38" s="15">
        <v>0</v>
      </c>
      <c r="AKF38" s="15">
        <v>0</v>
      </c>
      <c r="AKG38" s="15">
        <v>0</v>
      </c>
      <c r="AKH38" s="15">
        <v>0</v>
      </c>
      <c r="AKI38" s="15"/>
      <c r="AKJ38" s="15">
        <v>0</v>
      </c>
      <c r="AKK38" s="15">
        <v>0</v>
      </c>
      <c r="AKL38" s="15">
        <v>0</v>
      </c>
      <c r="AKM38" s="15">
        <v>0</v>
      </c>
      <c r="AKN38" s="15">
        <v>0</v>
      </c>
      <c r="AKO38" s="15">
        <v>0</v>
      </c>
      <c r="AKP38" s="15">
        <v>1</v>
      </c>
      <c r="AKQ38" s="15">
        <v>1</v>
      </c>
      <c r="AKR38" s="15">
        <v>1</v>
      </c>
      <c r="AKS38" s="15">
        <v>1</v>
      </c>
      <c r="AKT38" s="15">
        <v>1</v>
      </c>
      <c r="AKU38" s="15">
        <v>1</v>
      </c>
      <c r="AKV38" s="15">
        <v>1</v>
      </c>
      <c r="AKW38" s="15">
        <v>1</v>
      </c>
      <c r="AKX38" s="15"/>
      <c r="AKY38" s="15">
        <v>0</v>
      </c>
      <c r="AKZ38" s="15">
        <v>0</v>
      </c>
      <c r="ALA38" s="15">
        <v>0</v>
      </c>
      <c r="ALB38" s="15">
        <v>0</v>
      </c>
      <c r="ALC38" s="15">
        <v>0</v>
      </c>
      <c r="ALD38" s="15">
        <v>0</v>
      </c>
      <c r="ALE38" s="15">
        <v>1</v>
      </c>
      <c r="ALF38" s="20">
        <v>1</v>
      </c>
      <c r="ALG38" s="20">
        <v>1</v>
      </c>
      <c r="ALH38" s="20">
        <v>1</v>
      </c>
      <c r="ALI38" s="20">
        <v>1</v>
      </c>
      <c r="ALJ38" s="20">
        <v>1</v>
      </c>
      <c r="ALK38" s="20">
        <v>1</v>
      </c>
      <c r="ALL38" s="20">
        <v>1</v>
      </c>
      <c r="ALM38" s="15"/>
      <c r="ALN38" s="15">
        <v>0</v>
      </c>
      <c r="ALO38" s="15">
        <v>0</v>
      </c>
      <c r="ALP38" s="15">
        <v>0</v>
      </c>
      <c r="ALQ38" s="15">
        <v>0</v>
      </c>
      <c r="ALR38" s="15">
        <v>0</v>
      </c>
      <c r="ALS38" s="15">
        <v>0</v>
      </c>
      <c r="ALT38" s="15">
        <v>1</v>
      </c>
      <c r="ALU38" s="20">
        <v>0</v>
      </c>
      <c r="ALV38" s="20">
        <v>0</v>
      </c>
      <c r="ALW38" s="20">
        <v>1</v>
      </c>
      <c r="ALX38" s="20">
        <v>1</v>
      </c>
      <c r="ALY38" s="20">
        <v>1</v>
      </c>
      <c r="ALZ38" s="20">
        <v>1</v>
      </c>
      <c r="AMA38" s="20">
        <v>1</v>
      </c>
      <c r="AMB38" s="20">
        <v>1</v>
      </c>
      <c r="AMC38" s="15"/>
      <c r="AMD38" s="15">
        <v>0</v>
      </c>
      <c r="AME38" s="15">
        <v>0</v>
      </c>
      <c r="AMF38" s="15">
        <v>0</v>
      </c>
      <c r="AMG38" s="15">
        <v>0</v>
      </c>
      <c r="AMH38" s="15">
        <v>0</v>
      </c>
      <c r="AMI38" s="15">
        <v>0</v>
      </c>
      <c r="AMJ38" s="15">
        <v>1</v>
      </c>
      <c r="AMK38" s="15">
        <v>1</v>
      </c>
      <c r="AML38" s="15">
        <v>1</v>
      </c>
      <c r="AMM38" s="15">
        <v>1</v>
      </c>
      <c r="AMN38" s="15">
        <v>1</v>
      </c>
      <c r="AMO38" s="15">
        <v>1</v>
      </c>
      <c r="AMP38" s="15">
        <v>1</v>
      </c>
      <c r="AMQ38" s="15">
        <v>1</v>
      </c>
      <c r="AMR38" s="15">
        <v>1</v>
      </c>
      <c r="AMS38" s="15">
        <v>1</v>
      </c>
      <c r="AMT38" s="15">
        <v>1</v>
      </c>
      <c r="AMU38" s="15">
        <v>1</v>
      </c>
      <c r="AMV38" s="15">
        <v>1</v>
      </c>
      <c r="AMW38" s="15">
        <v>1</v>
      </c>
      <c r="AMX38" s="15">
        <v>1</v>
      </c>
      <c r="AMY38" s="15">
        <v>1</v>
      </c>
      <c r="AMZ38" s="15">
        <v>1</v>
      </c>
      <c r="ANA38" s="15">
        <v>1</v>
      </c>
      <c r="ANB38" s="15">
        <v>1</v>
      </c>
      <c r="ANC38" s="15">
        <v>1</v>
      </c>
      <c r="AND38" s="15">
        <v>1</v>
      </c>
      <c r="ANE38" s="15"/>
      <c r="ANF38" s="15"/>
      <c r="ANG38" s="15"/>
      <c r="ANH38" s="15"/>
      <c r="ANI38" s="15"/>
      <c r="ANJ38" s="15"/>
      <c r="ANK38" s="15"/>
      <c r="ANL38" s="15"/>
      <c r="ANM38" s="15"/>
      <c r="ANN38" s="15"/>
      <c r="ANO38" s="15"/>
      <c r="ANP38" s="15"/>
      <c r="ANQ38" s="15"/>
      <c r="ANR38" s="15"/>
      <c r="ANS38" s="15"/>
      <c r="ANT38" s="15"/>
      <c r="ANU38" s="15"/>
      <c r="ANV38" s="15"/>
      <c r="ANW38" s="15"/>
      <c r="ANX38" s="15"/>
      <c r="ANY38" s="15"/>
      <c r="ANZ38" s="15"/>
      <c r="AOA38" s="15"/>
      <c r="AOB38" s="15"/>
      <c r="AOC38" s="15"/>
      <c r="AOD38" s="15"/>
      <c r="AOE38" s="15"/>
      <c r="AOF38" s="15"/>
      <c r="AOG38" s="15"/>
      <c r="AOH38" s="15"/>
      <c r="AOI38" s="15"/>
      <c r="AOJ38" s="15"/>
      <c r="AOK38" s="15"/>
      <c r="AOL38" s="15"/>
      <c r="AOM38" s="15"/>
      <c r="AON38" s="15"/>
      <c r="AOO38" s="15"/>
      <c r="AOP38" s="15"/>
      <c r="AOQ38" s="15"/>
      <c r="AOR38" s="15"/>
      <c r="AOS38" s="15"/>
      <c r="AOT38" s="15"/>
      <c r="AOU38" s="15"/>
      <c r="AOV38" s="15"/>
      <c r="AOW38" s="15"/>
      <c r="AOX38" s="15"/>
      <c r="AOY38" s="15"/>
      <c r="AOZ38" s="15"/>
      <c r="APA38" s="15"/>
      <c r="APB38" s="15"/>
      <c r="APC38" s="15"/>
      <c r="APD38" s="15"/>
      <c r="APE38" s="15"/>
      <c r="APF38" s="15"/>
      <c r="APG38" s="15"/>
      <c r="APH38" s="15"/>
      <c r="API38" s="15"/>
      <c r="APJ38" s="15"/>
      <c r="APK38" s="15"/>
      <c r="APL38" s="15"/>
      <c r="APM38" s="15"/>
      <c r="APN38" s="15"/>
      <c r="APO38" s="15"/>
      <c r="APP38" s="15"/>
      <c r="APQ38" s="15"/>
      <c r="APR38" s="15"/>
      <c r="APS38" s="15"/>
      <c r="APT38" s="15"/>
      <c r="APU38" s="15"/>
      <c r="APV38" s="15"/>
      <c r="APW38" s="15"/>
      <c r="APX38" s="15"/>
      <c r="APY38" s="15"/>
      <c r="APZ38" s="15"/>
      <c r="AQA38" s="15"/>
      <c r="AQB38" s="15"/>
    </row>
    <row r="39" spans="1:1120" s="17" customFormat="1" ht="15" customHeight="1" x14ac:dyDescent="0.25">
      <c r="A39" s="3" t="s">
        <v>2</v>
      </c>
      <c r="B39" s="6" t="s">
        <v>20</v>
      </c>
      <c r="C39" s="15"/>
      <c r="D39" s="15" t="s">
        <v>72</v>
      </c>
      <c r="E39" s="15" t="s">
        <v>72</v>
      </c>
      <c r="F39" s="15" t="s">
        <v>72</v>
      </c>
      <c r="G39" s="15" t="s">
        <v>72</v>
      </c>
      <c r="H39" s="15" t="s">
        <v>72</v>
      </c>
      <c r="I39" s="15" t="s">
        <v>72</v>
      </c>
      <c r="J39" s="15"/>
      <c r="K39" s="15" t="s">
        <v>72</v>
      </c>
      <c r="L39" s="15" t="s">
        <v>72</v>
      </c>
      <c r="M39" s="15" t="s">
        <v>72</v>
      </c>
      <c r="N39" s="15" t="s">
        <v>72</v>
      </c>
      <c r="O39" s="15" t="s">
        <v>72</v>
      </c>
      <c r="P39" s="15" t="s">
        <v>72</v>
      </c>
      <c r="Q39" s="15"/>
      <c r="R39" s="15" t="s">
        <v>72</v>
      </c>
      <c r="S39" s="15" t="s">
        <v>72</v>
      </c>
      <c r="T39" s="15" t="s">
        <v>72</v>
      </c>
      <c r="U39" s="15" t="s">
        <v>72</v>
      </c>
      <c r="V39" s="15" t="s">
        <v>72</v>
      </c>
      <c r="W39" s="15" t="s">
        <v>72</v>
      </c>
      <c r="X39" s="15"/>
      <c r="Y39" s="15" t="s">
        <v>72</v>
      </c>
      <c r="Z39" s="15" t="s">
        <v>72</v>
      </c>
      <c r="AA39" s="15" t="s">
        <v>72</v>
      </c>
      <c r="AB39" s="15" t="s">
        <v>72</v>
      </c>
      <c r="AC39" s="15" t="s">
        <v>72</v>
      </c>
      <c r="AD39" s="15" t="s">
        <v>72</v>
      </c>
      <c r="AE39" s="15"/>
      <c r="AF39" s="15" t="s">
        <v>72</v>
      </c>
      <c r="AG39" s="15" t="s">
        <v>72</v>
      </c>
      <c r="AH39" s="15" t="s">
        <v>72</v>
      </c>
      <c r="AI39" s="15" t="s">
        <v>72</v>
      </c>
      <c r="AJ39" s="15" t="s">
        <v>72</v>
      </c>
      <c r="AK39" s="15" t="s">
        <v>72</v>
      </c>
      <c r="AL39" s="15"/>
      <c r="AM39" s="15" t="s">
        <v>72</v>
      </c>
      <c r="AN39" s="15" t="s">
        <v>72</v>
      </c>
      <c r="AO39" s="15" t="s">
        <v>72</v>
      </c>
      <c r="AP39" s="15" t="s">
        <v>72</v>
      </c>
      <c r="AQ39" s="15" t="s">
        <v>72</v>
      </c>
      <c r="AR39" s="15" t="s">
        <v>72</v>
      </c>
      <c r="AS39" s="15" t="s">
        <v>72</v>
      </c>
      <c r="AT39" s="15" t="s">
        <v>72</v>
      </c>
      <c r="AU39" s="15" t="s">
        <v>72</v>
      </c>
      <c r="AV39" s="15" t="s">
        <v>72</v>
      </c>
      <c r="AW39" s="15" t="s">
        <v>72</v>
      </c>
      <c r="AX39" s="15" t="s">
        <v>72</v>
      </c>
      <c r="AY39" s="15" t="s">
        <v>72</v>
      </c>
      <c r="AZ39" s="15" t="s">
        <v>72</v>
      </c>
      <c r="BA39" s="15" t="s">
        <v>72</v>
      </c>
      <c r="BB39" s="15" t="s">
        <v>72</v>
      </c>
      <c r="BC39" s="15" t="s">
        <v>72</v>
      </c>
      <c r="BD39" s="15" t="s">
        <v>72</v>
      </c>
      <c r="BE39" s="15" t="s">
        <v>72</v>
      </c>
      <c r="BF39" s="15" t="s">
        <v>72</v>
      </c>
      <c r="BG39" s="15" t="s">
        <v>72</v>
      </c>
      <c r="BH39" s="15" t="s">
        <v>72</v>
      </c>
      <c r="BI39" s="15" t="s">
        <v>72</v>
      </c>
      <c r="BJ39" s="15" t="s">
        <v>72</v>
      </c>
      <c r="BK39" s="15" t="s">
        <v>72</v>
      </c>
      <c r="BL39" s="15" t="s">
        <v>72</v>
      </c>
      <c r="BM39" s="15" t="s">
        <v>72</v>
      </c>
      <c r="BN39" s="15" t="s">
        <v>72</v>
      </c>
      <c r="BO39" s="15" t="s">
        <v>72</v>
      </c>
      <c r="BP39" s="15" t="s">
        <v>72</v>
      </c>
      <c r="BQ39" s="15" t="s">
        <v>72</v>
      </c>
      <c r="BR39" s="15" t="s">
        <v>72</v>
      </c>
      <c r="BS39" s="15" t="s">
        <v>72</v>
      </c>
      <c r="BT39" s="15" t="s">
        <v>72</v>
      </c>
      <c r="BU39" s="15" t="s">
        <v>72</v>
      </c>
      <c r="BV39" s="15" t="s">
        <v>72</v>
      </c>
      <c r="BW39" s="15" t="s">
        <v>72</v>
      </c>
      <c r="BX39" s="15" t="s">
        <v>72</v>
      </c>
      <c r="BY39" s="15" t="s">
        <v>72</v>
      </c>
      <c r="BZ39" s="15" t="s">
        <v>72</v>
      </c>
      <c r="CA39" s="15" t="s">
        <v>72</v>
      </c>
      <c r="CB39" s="15" t="s">
        <v>72</v>
      </c>
      <c r="CC39" s="15" t="s">
        <v>72</v>
      </c>
      <c r="CD39" s="15" t="s">
        <v>72</v>
      </c>
      <c r="CE39" s="15" t="s">
        <v>72</v>
      </c>
      <c r="CF39" s="15" t="s">
        <v>72</v>
      </c>
      <c r="CG39" s="15" t="s">
        <v>72</v>
      </c>
      <c r="CH39" s="15" t="s">
        <v>72</v>
      </c>
      <c r="CI39" s="15" t="s">
        <v>72</v>
      </c>
      <c r="CJ39" s="15" t="s">
        <v>72</v>
      </c>
      <c r="CK39" s="15" t="s">
        <v>72</v>
      </c>
      <c r="CL39" s="15" t="s">
        <v>72</v>
      </c>
      <c r="CM39" s="15" t="s">
        <v>72</v>
      </c>
      <c r="CN39" s="15" t="s">
        <v>72</v>
      </c>
      <c r="CO39" s="15" t="s">
        <v>72</v>
      </c>
      <c r="CP39" s="15" t="s">
        <v>72</v>
      </c>
      <c r="CQ39" s="15" t="s">
        <v>72</v>
      </c>
      <c r="CR39" s="15" t="s">
        <v>72</v>
      </c>
      <c r="CS39" s="15" t="s">
        <v>72</v>
      </c>
      <c r="CT39" s="15" t="s">
        <v>72</v>
      </c>
      <c r="CU39" s="15" t="s">
        <v>72</v>
      </c>
      <c r="CV39" s="15" t="s">
        <v>72</v>
      </c>
      <c r="CW39" s="15" t="s">
        <v>72</v>
      </c>
      <c r="CX39" s="15" t="s">
        <v>72</v>
      </c>
      <c r="CY39" s="15" t="s">
        <v>72</v>
      </c>
      <c r="CZ39" s="15" t="s">
        <v>72</v>
      </c>
      <c r="DA39" s="15" t="s">
        <v>72</v>
      </c>
      <c r="DB39" s="15" t="s">
        <v>72</v>
      </c>
      <c r="DC39" s="15" t="s">
        <v>72</v>
      </c>
      <c r="DD39" s="15" t="s">
        <v>72</v>
      </c>
      <c r="DE39" s="15" t="s">
        <v>72</v>
      </c>
      <c r="DF39" s="15" t="s">
        <v>72</v>
      </c>
      <c r="DG39" s="15" t="s">
        <v>72</v>
      </c>
      <c r="DH39" s="15" t="s">
        <v>72</v>
      </c>
      <c r="DI39" s="15" t="s">
        <v>72</v>
      </c>
      <c r="DJ39" s="15" t="s">
        <v>72</v>
      </c>
      <c r="DK39" s="15" t="s">
        <v>72</v>
      </c>
      <c r="DL39" s="15" t="s">
        <v>72</v>
      </c>
      <c r="DM39" s="15" t="s">
        <v>72</v>
      </c>
      <c r="DN39" s="15" t="s">
        <v>72</v>
      </c>
      <c r="DO39" s="15" t="s">
        <v>72</v>
      </c>
      <c r="DP39" s="15" t="s">
        <v>72</v>
      </c>
      <c r="DQ39" s="15" t="s">
        <v>72</v>
      </c>
      <c r="DR39" s="15" t="s">
        <v>72</v>
      </c>
      <c r="DS39" s="15" t="s">
        <v>72</v>
      </c>
      <c r="DT39" s="15" t="s">
        <v>72</v>
      </c>
      <c r="DU39" s="15" t="s">
        <v>72</v>
      </c>
      <c r="DV39" s="15" t="s">
        <v>72</v>
      </c>
      <c r="DW39" s="15" t="s">
        <v>72</v>
      </c>
      <c r="DX39" s="15" t="s">
        <v>72</v>
      </c>
      <c r="DY39" s="15" t="s">
        <v>72</v>
      </c>
      <c r="DZ39" s="15" t="s">
        <v>72</v>
      </c>
      <c r="EA39" s="15" t="s">
        <v>72</v>
      </c>
      <c r="EB39" s="15" t="s">
        <v>72</v>
      </c>
      <c r="EC39" s="15" t="s">
        <v>72</v>
      </c>
      <c r="ED39" s="15" t="s">
        <v>72</v>
      </c>
      <c r="EE39" s="15" t="s">
        <v>72</v>
      </c>
      <c r="EF39" s="15" t="s">
        <v>72</v>
      </c>
      <c r="EG39" s="15" t="s">
        <v>72</v>
      </c>
      <c r="EH39" s="15" t="s">
        <v>72</v>
      </c>
      <c r="EI39" s="15" t="s">
        <v>72</v>
      </c>
      <c r="EJ39" s="15" t="s">
        <v>72</v>
      </c>
      <c r="EK39" s="15" t="s">
        <v>72</v>
      </c>
      <c r="EL39" s="15" t="s">
        <v>72</v>
      </c>
      <c r="EM39" s="15" t="s">
        <v>72</v>
      </c>
      <c r="EN39" s="15" t="s">
        <v>72</v>
      </c>
      <c r="EO39" s="15" t="s">
        <v>72</v>
      </c>
      <c r="EP39" s="15" t="s">
        <v>72</v>
      </c>
      <c r="EQ39" s="15" t="s">
        <v>72</v>
      </c>
      <c r="ER39" s="15" t="s">
        <v>72</v>
      </c>
      <c r="ES39" s="15" t="s">
        <v>72</v>
      </c>
      <c r="ET39" s="15" t="s">
        <v>72</v>
      </c>
      <c r="EU39" s="15" t="s">
        <v>72</v>
      </c>
      <c r="EV39" s="15" t="s">
        <v>72</v>
      </c>
      <c r="EW39" s="15" t="s">
        <v>72</v>
      </c>
      <c r="EX39" s="15" t="s">
        <v>72</v>
      </c>
      <c r="EY39" s="15" t="s">
        <v>72</v>
      </c>
      <c r="EZ39" s="15" t="s">
        <v>72</v>
      </c>
      <c r="FA39" s="15" t="s">
        <v>72</v>
      </c>
      <c r="FB39" s="15" t="s">
        <v>72</v>
      </c>
      <c r="FC39" s="15" t="s">
        <v>72</v>
      </c>
      <c r="FD39" s="15"/>
      <c r="FE39" s="15" t="s">
        <v>72</v>
      </c>
      <c r="FF39" s="15" t="s">
        <v>72</v>
      </c>
      <c r="FG39" s="15" t="s">
        <v>72</v>
      </c>
      <c r="FH39" s="15" t="s">
        <v>72</v>
      </c>
      <c r="FI39" s="15" t="s">
        <v>72</v>
      </c>
      <c r="FJ39" s="15" t="s">
        <v>72</v>
      </c>
      <c r="FK39" s="15" t="s">
        <v>72</v>
      </c>
      <c r="FL39" s="15" t="s">
        <v>72</v>
      </c>
      <c r="FM39" s="15" t="s">
        <v>72</v>
      </c>
      <c r="FN39" s="15" t="s">
        <v>72</v>
      </c>
      <c r="FO39" s="15" t="s">
        <v>72</v>
      </c>
      <c r="FP39" s="15" t="s">
        <v>72</v>
      </c>
      <c r="FQ39" s="15" t="s">
        <v>72</v>
      </c>
      <c r="FR39" s="15" t="s">
        <v>72</v>
      </c>
      <c r="FS39" s="15" t="s">
        <v>72</v>
      </c>
      <c r="FT39" s="15" t="s">
        <v>72</v>
      </c>
      <c r="FU39" s="15" t="s">
        <v>72</v>
      </c>
      <c r="FV39" s="15" t="s">
        <v>72</v>
      </c>
      <c r="FW39" s="15" t="s">
        <v>72</v>
      </c>
      <c r="FX39" s="15" t="s">
        <v>72</v>
      </c>
      <c r="FY39" s="15" t="s">
        <v>72</v>
      </c>
      <c r="FZ39" s="15" t="s">
        <v>72</v>
      </c>
      <c r="GA39" s="15" t="s">
        <v>72</v>
      </c>
      <c r="GB39" s="15" t="s">
        <v>72</v>
      </c>
      <c r="GC39" s="15" t="s">
        <v>72</v>
      </c>
      <c r="GD39" s="15" t="s">
        <v>72</v>
      </c>
      <c r="GE39" s="15" t="s">
        <v>72</v>
      </c>
      <c r="GF39" s="15" t="s">
        <v>72</v>
      </c>
      <c r="GG39" s="15" t="s">
        <v>72</v>
      </c>
      <c r="GH39" s="15" t="s">
        <v>72</v>
      </c>
      <c r="GI39" s="15" t="s">
        <v>72</v>
      </c>
      <c r="GJ39" s="15" t="s">
        <v>72</v>
      </c>
      <c r="GK39" s="15" t="s">
        <v>72</v>
      </c>
      <c r="GL39" s="15" t="s">
        <v>72</v>
      </c>
      <c r="GM39" s="15" t="s">
        <v>72</v>
      </c>
      <c r="GN39" s="15" t="s">
        <v>72</v>
      </c>
      <c r="GO39" s="15" t="s">
        <v>72</v>
      </c>
      <c r="GP39" s="15" t="s">
        <v>72</v>
      </c>
      <c r="GQ39" s="15" t="s">
        <v>72</v>
      </c>
      <c r="GR39" s="15" t="s">
        <v>72</v>
      </c>
      <c r="GS39" s="15" t="s">
        <v>72</v>
      </c>
      <c r="GT39" s="15" t="s">
        <v>72</v>
      </c>
      <c r="GU39" s="15" t="s">
        <v>72</v>
      </c>
      <c r="GV39" s="15" t="s">
        <v>72</v>
      </c>
      <c r="GW39" s="15" t="s">
        <v>72</v>
      </c>
      <c r="GX39" s="15" t="s">
        <v>72</v>
      </c>
      <c r="GY39" s="15" t="s">
        <v>72</v>
      </c>
      <c r="GZ39" s="15" t="s">
        <v>72</v>
      </c>
      <c r="HA39" s="15" t="s">
        <v>72</v>
      </c>
      <c r="HB39" s="15" t="s">
        <v>72</v>
      </c>
      <c r="HC39" s="15" t="s">
        <v>72</v>
      </c>
      <c r="HD39" s="15" t="s">
        <v>72</v>
      </c>
      <c r="HE39" s="15" t="s">
        <v>72</v>
      </c>
      <c r="HF39" s="15" t="s">
        <v>72</v>
      </c>
      <c r="HG39" s="15" t="s">
        <v>72</v>
      </c>
      <c r="HH39" s="15" t="s">
        <v>72</v>
      </c>
      <c r="HI39" s="15" t="s">
        <v>72</v>
      </c>
      <c r="HJ39" s="15" t="s">
        <v>72</v>
      </c>
      <c r="HK39" s="15" t="s">
        <v>72</v>
      </c>
      <c r="HL39" s="15" t="s">
        <v>72</v>
      </c>
      <c r="HM39" s="15" t="s">
        <v>72</v>
      </c>
      <c r="HN39" s="15" t="s">
        <v>72</v>
      </c>
      <c r="HO39" s="15" t="s">
        <v>72</v>
      </c>
      <c r="HP39" s="15" t="s">
        <v>72</v>
      </c>
      <c r="HQ39" s="15" t="s">
        <v>72</v>
      </c>
      <c r="HR39" s="15" t="s">
        <v>72</v>
      </c>
      <c r="HS39" s="15" t="s">
        <v>72</v>
      </c>
      <c r="HT39" s="15" t="s">
        <v>72</v>
      </c>
      <c r="HU39" s="15" t="s">
        <v>72</v>
      </c>
      <c r="HV39" s="15" t="s">
        <v>72</v>
      </c>
      <c r="HW39" s="15" t="s">
        <v>72</v>
      </c>
      <c r="HX39" s="15" t="s">
        <v>72</v>
      </c>
      <c r="HY39" s="15" t="s">
        <v>72</v>
      </c>
      <c r="HZ39" s="15" t="s">
        <v>72</v>
      </c>
      <c r="IA39" s="15" t="s">
        <v>72</v>
      </c>
      <c r="IB39" s="15"/>
      <c r="IC39" s="15" t="s">
        <v>72</v>
      </c>
      <c r="ID39" s="15" t="s">
        <v>72</v>
      </c>
      <c r="IE39" s="15" t="s">
        <v>72</v>
      </c>
      <c r="IF39" s="15" t="s">
        <v>72</v>
      </c>
      <c r="IG39" s="15" t="s">
        <v>72</v>
      </c>
      <c r="IH39" s="15" t="s">
        <v>72</v>
      </c>
      <c r="II39" s="15" t="s">
        <v>72</v>
      </c>
      <c r="IJ39" s="15" t="s">
        <v>72</v>
      </c>
      <c r="IK39" s="15"/>
      <c r="IL39" s="15" t="s">
        <v>72</v>
      </c>
      <c r="IM39" s="15" t="s">
        <v>72</v>
      </c>
      <c r="IN39" s="15" t="s">
        <v>72</v>
      </c>
      <c r="IO39" s="15" t="s">
        <v>72</v>
      </c>
      <c r="IP39" s="15" t="s">
        <v>72</v>
      </c>
      <c r="IQ39" s="15" t="s">
        <v>72</v>
      </c>
      <c r="IR39" s="15" t="s">
        <v>72</v>
      </c>
      <c r="IS39" s="15" t="s">
        <v>72</v>
      </c>
      <c r="IT39" s="15" t="s">
        <v>72</v>
      </c>
      <c r="IU39" s="15" t="s">
        <v>72</v>
      </c>
      <c r="IV39" s="15" t="s">
        <v>72</v>
      </c>
      <c r="IW39" s="15" t="s">
        <v>72</v>
      </c>
      <c r="IX39" s="15" t="s">
        <v>72</v>
      </c>
      <c r="IY39" s="15" t="s">
        <v>72</v>
      </c>
      <c r="IZ39" s="15" t="s">
        <v>72</v>
      </c>
      <c r="JA39" s="15" t="s">
        <v>72</v>
      </c>
      <c r="JB39" s="15" t="s">
        <v>72</v>
      </c>
      <c r="JC39" s="15" t="s">
        <v>72</v>
      </c>
      <c r="JD39" s="15" t="s">
        <v>72</v>
      </c>
      <c r="JE39" s="15" t="s">
        <v>72</v>
      </c>
      <c r="JF39" s="15" t="s">
        <v>72</v>
      </c>
      <c r="JG39" s="15" t="s">
        <v>72</v>
      </c>
      <c r="JH39" s="15" t="s">
        <v>72</v>
      </c>
      <c r="JI39" s="15" t="s">
        <v>72</v>
      </c>
      <c r="JJ39" s="15" t="s">
        <v>72</v>
      </c>
      <c r="JK39" s="15" t="s">
        <v>72</v>
      </c>
      <c r="JL39" s="15" t="s">
        <v>72</v>
      </c>
      <c r="JM39" s="15" t="s">
        <v>72</v>
      </c>
      <c r="JN39" s="15" t="s">
        <v>72</v>
      </c>
      <c r="JO39" s="15" t="s">
        <v>72</v>
      </c>
      <c r="JP39" s="15" t="s">
        <v>72</v>
      </c>
      <c r="JQ39" s="15" t="s">
        <v>72</v>
      </c>
      <c r="JR39" s="15" t="s">
        <v>72</v>
      </c>
      <c r="JS39" s="15" t="s">
        <v>72</v>
      </c>
      <c r="JT39" s="15" t="s">
        <v>72</v>
      </c>
      <c r="JU39" s="15" t="s">
        <v>72</v>
      </c>
      <c r="JV39" s="15" t="s">
        <v>72</v>
      </c>
      <c r="JW39" s="15" t="s">
        <v>72</v>
      </c>
      <c r="JX39" s="15" t="s">
        <v>72</v>
      </c>
      <c r="JY39" s="15" t="s">
        <v>72</v>
      </c>
      <c r="JZ39" s="15" t="s">
        <v>72</v>
      </c>
      <c r="KA39" s="15" t="s">
        <v>72</v>
      </c>
      <c r="KB39" s="15" t="s">
        <v>72</v>
      </c>
      <c r="KC39" s="15" t="s">
        <v>72</v>
      </c>
      <c r="KD39" s="15" t="s">
        <v>72</v>
      </c>
      <c r="KE39" s="15" t="s">
        <v>72</v>
      </c>
      <c r="KF39" s="15" t="s">
        <v>72</v>
      </c>
      <c r="KG39" s="15" t="s">
        <v>72</v>
      </c>
      <c r="KH39" s="15" t="s">
        <v>72</v>
      </c>
      <c r="KI39" s="15" t="s">
        <v>72</v>
      </c>
      <c r="KJ39" s="15" t="s">
        <v>72</v>
      </c>
      <c r="KK39" s="15" t="s">
        <v>72</v>
      </c>
      <c r="KL39" s="15" t="s">
        <v>72</v>
      </c>
      <c r="KM39" s="15" t="s">
        <v>72</v>
      </c>
      <c r="KN39" s="15" t="s">
        <v>72</v>
      </c>
      <c r="KO39" s="15" t="s">
        <v>72</v>
      </c>
      <c r="KP39" s="15" t="s">
        <v>72</v>
      </c>
      <c r="KQ39" s="15" t="s">
        <v>72</v>
      </c>
      <c r="KR39" s="15" t="s">
        <v>72</v>
      </c>
      <c r="KS39" s="15" t="s">
        <v>72</v>
      </c>
      <c r="KT39" s="15" t="s">
        <v>72</v>
      </c>
      <c r="KU39" s="15" t="s">
        <v>72</v>
      </c>
      <c r="KV39" s="15" t="s">
        <v>72</v>
      </c>
      <c r="KW39" s="15" t="s">
        <v>72</v>
      </c>
      <c r="KX39" s="15" t="s">
        <v>72</v>
      </c>
      <c r="KY39" s="15" t="s">
        <v>72</v>
      </c>
      <c r="KZ39" s="15" t="s">
        <v>72</v>
      </c>
      <c r="LA39" s="15" t="s">
        <v>72</v>
      </c>
      <c r="LB39" s="15" t="s">
        <v>72</v>
      </c>
      <c r="LC39" s="15" t="s">
        <v>72</v>
      </c>
      <c r="LD39" s="15" t="s">
        <v>72</v>
      </c>
      <c r="LE39" s="15" t="s">
        <v>72</v>
      </c>
      <c r="LF39" s="15" t="s">
        <v>72</v>
      </c>
      <c r="LG39" s="15" t="s">
        <v>72</v>
      </c>
      <c r="LH39" s="15" t="s">
        <v>72</v>
      </c>
      <c r="LI39" s="15" t="s">
        <v>72</v>
      </c>
      <c r="LJ39" s="15" t="s">
        <v>72</v>
      </c>
      <c r="LK39" s="15" t="s">
        <v>72</v>
      </c>
      <c r="LL39" s="15" t="s">
        <v>72</v>
      </c>
      <c r="LM39" s="15" t="s">
        <v>72</v>
      </c>
      <c r="LN39" s="15" t="s">
        <v>72</v>
      </c>
      <c r="LO39" s="15" t="s">
        <v>72</v>
      </c>
      <c r="LP39" s="15" t="s">
        <v>72</v>
      </c>
      <c r="LQ39" s="15" t="s">
        <v>72</v>
      </c>
      <c r="LR39" s="15" t="s">
        <v>72</v>
      </c>
      <c r="LS39" s="15" t="s">
        <v>72</v>
      </c>
      <c r="LT39" s="15" t="s">
        <v>72</v>
      </c>
      <c r="LU39" s="15" t="s">
        <v>72</v>
      </c>
      <c r="LV39" s="15" t="s">
        <v>72</v>
      </c>
      <c r="LW39" s="15" t="s">
        <v>72</v>
      </c>
      <c r="LX39" s="15" t="s">
        <v>72</v>
      </c>
      <c r="LY39" s="15" t="s">
        <v>72</v>
      </c>
      <c r="LZ39" s="15" t="s">
        <v>72</v>
      </c>
      <c r="MA39" s="15" t="s">
        <v>72</v>
      </c>
      <c r="MB39" s="15" t="s">
        <v>72</v>
      </c>
      <c r="MC39" s="15" t="s">
        <v>72</v>
      </c>
      <c r="MD39" s="15" t="s">
        <v>72</v>
      </c>
      <c r="ME39" s="15" t="s">
        <v>72</v>
      </c>
      <c r="MF39" s="15" t="s">
        <v>72</v>
      </c>
      <c r="MG39" s="15" t="s">
        <v>72</v>
      </c>
      <c r="MH39" s="15" t="s">
        <v>72</v>
      </c>
      <c r="MI39" s="15" t="s">
        <v>72</v>
      </c>
      <c r="MJ39" s="15" t="s">
        <v>72</v>
      </c>
      <c r="MK39" s="15" t="s">
        <v>72</v>
      </c>
      <c r="ML39" s="15" t="s">
        <v>72</v>
      </c>
      <c r="MM39" s="15" t="s">
        <v>72</v>
      </c>
      <c r="MN39" s="15" t="s">
        <v>72</v>
      </c>
      <c r="MO39" s="15" t="s">
        <v>72</v>
      </c>
      <c r="MP39" s="15" t="s">
        <v>72</v>
      </c>
      <c r="MQ39" s="15" t="s">
        <v>72</v>
      </c>
      <c r="MR39" s="15" t="s">
        <v>72</v>
      </c>
      <c r="MS39" s="15" t="s">
        <v>72</v>
      </c>
      <c r="MT39" s="15" t="s">
        <v>72</v>
      </c>
      <c r="MU39" s="15" t="s">
        <v>72</v>
      </c>
      <c r="MV39" s="15" t="s">
        <v>72</v>
      </c>
      <c r="MW39" s="15" t="s">
        <v>72</v>
      </c>
      <c r="MX39" s="15" t="s">
        <v>72</v>
      </c>
      <c r="MY39" s="15" t="s">
        <v>72</v>
      </c>
      <c r="MZ39" s="15" t="s">
        <v>72</v>
      </c>
      <c r="NA39" s="15" t="s">
        <v>72</v>
      </c>
      <c r="NB39" s="15" t="s">
        <v>72</v>
      </c>
      <c r="NC39" s="15" t="s">
        <v>72</v>
      </c>
      <c r="ND39" s="15" t="s">
        <v>72</v>
      </c>
      <c r="NE39" s="15" t="s">
        <v>72</v>
      </c>
      <c r="NF39" s="15" t="s">
        <v>72</v>
      </c>
      <c r="NG39" s="15" t="s">
        <v>72</v>
      </c>
      <c r="NH39" s="15" t="s">
        <v>72</v>
      </c>
      <c r="NI39" s="15" t="s">
        <v>72</v>
      </c>
      <c r="NJ39" s="15" t="s">
        <v>72</v>
      </c>
      <c r="NK39" s="15" t="s">
        <v>72</v>
      </c>
      <c r="NL39" s="15" t="s">
        <v>72</v>
      </c>
      <c r="NM39" s="15" t="s">
        <v>72</v>
      </c>
      <c r="NN39" s="15" t="s">
        <v>72</v>
      </c>
      <c r="NO39" s="15" t="s">
        <v>72</v>
      </c>
      <c r="NP39" s="15" t="s">
        <v>72</v>
      </c>
      <c r="NQ39" s="15" t="s">
        <v>72</v>
      </c>
      <c r="NR39" s="15" t="s">
        <v>72</v>
      </c>
      <c r="NS39" s="15" t="s">
        <v>72</v>
      </c>
      <c r="NT39" s="15" t="s">
        <v>72</v>
      </c>
      <c r="NU39" s="20" t="s">
        <v>72</v>
      </c>
      <c r="NV39" s="20" t="s">
        <v>283</v>
      </c>
      <c r="NW39" s="20" t="s">
        <v>72</v>
      </c>
      <c r="NX39" s="15" t="s">
        <v>72</v>
      </c>
      <c r="NY39" s="15" t="s">
        <v>72</v>
      </c>
      <c r="NZ39" s="15" t="s">
        <v>72</v>
      </c>
      <c r="OA39" s="15" t="s">
        <v>72</v>
      </c>
      <c r="OB39" s="15" t="s">
        <v>72</v>
      </c>
      <c r="OC39" s="15" t="s">
        <v>72</v>
      </c>
      <c r="OD39" s="20" t="s">
        <v>72</v>
      </c>
      <c r="OE39" s="20" t="s">
        <v>72</v>
      </c>
      <c r="OF39" s="20" t="s">
        <v>72</v>
      </c>
      <c r="OG39" s="20" t="s">
        <v>72</v>
      </c>
      <c r="OH39" s="20" t="s">
        <v>72</v>
      </c>
      <c r="OI39" s="20" t="s">
        <v>72</v>
      </c>
      <c r="OJ39" s="20" t="s">
        <v>72</v>
      </c>
      <c r="OK39" s="20" t="s">
        <v>72</v>
      </c>
      <c r="OL39" s="20" t="s">
        <v>72</v>
      </c>
      <c r="OM39" s="20" t="s">
        <v>72</v>
      </c>
      <c r="ON39" s="20" t="s">
        <v>72</v>
      </c>
      <c r="OO39" s="20" t="s">
        <v>72</v>
      </c>
      <c r="OP39" s="20" t="s">
        <v>72</v>
      </c>
      <c r="OQ39" s="20" t="s">
        <v>72</v>
      </c>
      <c r="OR39" s="20" t="s">
        <v>72</v>
      </c>
      <c r="OS39" s="20" t="s">
        <v>72</v>
      </c>
      <c r="OT39" s="20" t="s">
        <v>72</v>
      </c>
      <c r="OU39" s="20" t="s">
        <v>72</v>
      </c>
      <c r="OV39" s="20" t="s">
        <v>282</v>
      </c>
      <c r="OW39" s="20" t="s">
        <v>283</v>
      </c>
      <c r="OX39" s="20" t="s">
        <v>284</v>
      </c>
      <c r="OY39" s="20" t="s">
        <v>72</v>
      </c>
      <c r="OZ39" s="20" t="s">
        <v>72</v>
      </c>
      <c r="PA39" s="20" t="s">
        <v>72</v>
      </c>
      <c r="PB39" s="20" t="s">
        <v>72</v>
      </c>
      <c r="PC39" s="20" t="s">
        <v>72</v>
      </c>
      <c r="PD39" s="20" t="s">
        <v>72</v>
      </c>
      <c r="PE39" s="20" t="s">
        <v>72</v>
      </c>
      <c r="PF39" s="20" t="s">
        <v>72</v>
      </c>
      <c r="PG39" s="20" t="s">
        <v>72</v>
      </c>
      <c r="PH39" s="20" t="s">
        <v>72</v>
      </c>
      <c r="PI39" s="20" t="s">
        <v>72</v>
      </c>
      <c r="PJ39" s="20" t="s">
        <v>72</v>
      </c>
      <c r="PK39" s="20" t="s">
        <v>72</v>
      </c>
      <c r="PL39" s="20" t="s">
        <v>72</v>
      </c>
      <c r="PM39" s="20" t="s">
        <v>282</v>
      </c>
      <c r="PN39" s="20" t="s">
        <v>72</v>
      </c>
      <c r="PO39" s="20" t="s">
        <v>283</v>
      </c>
      <c r="PP39" s="20" t="s">
        <v>72</v>
      </c>
      <c r="PQ39" s="20" t="s">
        <v>284</v>
      </c>
      <c r="PR39" s="15" t="s">
        <v>72</v>
      </c>
      <c r="PS39" s="15" t="s">
        <v>72</v>
      </c>
      <c r="PT39" s="15" t="s">
        <v>72</v>
      </c>
      <c r="PU39" s="15" t="s">
        <v>72</v>
      </c>
      <c r="PV39" s="15" t="s">
        <v>72</v>
      </c>
      <c r="PW39" s="15" t="s">
        <v>72</v>
      </c>
      <c r="PX39" s="15" t="s">
        <v>72</v>
      </c>
      <c r="PY39" s="15" t="s">
        <v>72</v>
      </c>
      <c r="PZ39" s="15" t="s">
        <v>72</v>
      </c>
      <c r="QA39" s="15" t="s">
        <v>72</v>
      </c>
      <c r="QB39" s="15" t="s">
        <v>72</v>
      </c>
      <c r="QC39" s="15" t="s">
        <v>72</v>
      </c>
      <c r="QD39" s="20" t="s">
        <v>72</v>
      </c>
      <c r="QE39" s="20" t="s">
        <v>72</v>
      </c>
      <c r="QF39" s="20" t="s">
        <v>72</v>
      </c>
      <c r="QG39" s="20" t="s">
        <v>72</v>
      </c>
      <c r="QH39" s="20" t="s">
        <v>72</v>
      </c>
      <c r="QI39" s="15" t="s">
        <v>283</v>
      </c>
      <c r="QJ39" s="20" t="s">
        <v>72</v>
      </c>
      <c r="QK39" s="15" t="s">
        <v>72</v>
      </c>
      <c r="QL39" s="15" t="s">
        <v>72</v>
      </c>
      <c r="QM39" s="15" t="s">
        <v>72</v>
      </c>
      <c r="QN39" s="15" t="s">
        <v>72</v>
      </c>
      <c r="QO39" s="15" t="s">
        <v>72</v>
      </c>
      <c r="QP39" s="15" t="s">
        <v>72</v>
      </c>
      <c r="QQ39" s="15" t="s">
        <v>72</v>
      </c>
      <c r="QR39" s="15" t="s">
        <v>72</v>
      </c>
      <c r="QS39" s="15" t="s">
        <v>72</v>
      </c>
      <c r="QT39" s="15" t="s">
        <v>72</v>
      </c>
      <c r="QU39" s="15" t="s">
        <v>72</v>
      </c>
      <c r="QV39" s="15" t="s">
        <v>72</v>
      </c>
      <c r="QW39" s="15" t="s">
        <v>72</v>
      </c>
      <c r="QX39" s="15" t="s">
        <v>72</v>
      </c>
      <c r="QY39" s="15" t="s">
        <v>72</v>
      </c>
      <c r="QZ39" s="15" t="s">
        <v>72</v>
      </c>
      <c r="RA39" s="15" t="s">
        <v>72</v>
      </c>
      <c r="RB39" s="15" t="s">
        <v>72</v>
      </c>
      <c r="RC39" s="15" t="s">
        <v>72</v>
      </c>
      <c r="RD39" s="15" t="s">
        <v>72</v>
      </c>
      <c r="RE39" s="15" t="s">
        <v>72</v>
      </c>
      <c r="RF39" s="15" t="s">
        <v>72</v>
      </c>
      <c r="RG39" s="15" t="s">
        <v>72</v>
      </c>
      <c r="RH39" s="15" t="s">
        <v>72</v>
      </c>
      <c r="RI39" s="15" t="s">
        <v>72</v>
      </c>
      <c r="RJ39" s="15" t="s">
        <v>72</v>
      </c>
      <c r="RK39" s="15" t="s">
        <v>72</v>
      </c>
      <c r="RL39" s="15" t="s">
        <v>72</v>
      </c>
      <c r="RM39" s="15" t="s">
        <v>72</v>
      </c>
      <c r="RN39" s="15" t="s">
        <v>72</v>
      </c>
      <c r="RO39" s="15" t="s">
        <v>72</v>
      </c>
      <c r="RP39" s="15" t="s">
        <v>72</v>
      </c>
      <c r="RQ39" s="15" t="s">
        <v>72</v>
      </c>
      <c r="RR39" s="15" t="s">
        <v>72</v>
      </c>
      <c r="RS39" s="15"/>
      <c r="RT39" s="15" t="s">
        <v>72</v>
      </c>
      <c r="RU39" s="15" t="s">
        <v>72</v>
      </c>
      <c r="RV39" s="15" t="s">
        <v>72</v>
      </c>
      <c r="RW39" s="15" t="s">
        <v>72</v>
      </c>
      <c r="RX39" s="15" t="s">
        <v>72</v>
      </c>
      <c r="RY39" s="15" t="s">
        <v>72</v>
      </c>
      <c r="RZ39" s="15" t="s">
        <v>72</v>
      </c>
      <c r="SA39" s="15" t="s">
        <v>72</v>
      </c>
      <c r="SB39" s="15" t="s">
        <v>72</v>
      </c>
      <c r="SC39" s="15" t="s">
        <v>72</v>
      </c>
      <c r="SD39" s="20" t="s">
        <v>72</v>
      </c>
      <c r="SE39" s="20" t="s">
        <v>283</v>
      </c>
      <c r="SF39" s="20" t="s">
        <v>72</v>
      </c>
      <c r="SG39" s="15" t="s">
        <v>72</v>
      </c>
      <c r="SH39" s="15" t="s">
        <v>72</v>
      </c>
      <c r="SI39" s="15" t="s">
        <v>72</v>
      </c>
      <c r="SJ39" s="15" t="s">
        <v>72</v>
      </c>
      <c r="SK39" s="15" t="s">
        <v>72</v>
      </c>
      <c r="SL39" s="15" t="s">
        <v>72</v>
      </c>
      <c r="SM39" s="20" t="s">
        <v>72</v>
      </c>
      <c r="SN39" s="20" t="s">
        <v>72</v>
      </c>
      <c r="SO39" s="20" t="s">
        <v>72</v>
      </c>
      <c r="SP39" s="20" t="s">
        <v>72</v>
      </c>
      <c r="SQ39" s="20" t="s">
        <v>72</v>
      </c>
      <c r="SR39" s="20" t="s">
        <v>72</v>
      </c>
      <c r="SS39" s="20" t="s">
        <v>72</v>
      </c>
      <c r="ST39" s="20" t="s">
        <v>72</v>
      </c>
      <c r="SU39" s="20" t="s">
        <v>72</v>
      </c>
      <c r="SV39" s="20" t="s">
        <v>72</v>
      </c>
      <c r="SW39" s="20" t="s">
        <v>72</v>
      </c>
      <c r="SX39" s="20" t="s">
        <v>72</v>
      </c>
      <c r="SY39" s="20" t="s">
        <v>72</v>
      </c>
      <c r="SZ39" s="20" t="s">
        <v>72</v>
      </c>
      <c r="TA39" s="20" t="s">
        <v>72</v>
      </c>
      <c r="TB39" s="20" t="s">
        <v>72</v>
      </c>
      <c r="TC39" s="20" t="s">
        <v>72</v>
      </c>
      <c r="TD39" s="20" t="s">
        <v>72</v>
      </c>
      <c r="TE39" s="20" t="s">
        <v>282</v>
      </c>
      <c r="TF39" s="20" t="s">
        <v>284</v>
      </c>
      <c r="TG39" s="20" t="s">
        <v>72</v>
      </c>
      <c r="TH39" s="20" t="s">
        <v>72</v>
      </c>
      <c r="TI39" s="20" t="s">
        <v>72</v>
      </c>
      <c r="TJ39" s="20" t="s">
        <v>72</v>
      </c>
      <c r="TK39" s="20" t="s">
        <v>72</v>
      </c>
      <c r="TL39" s="20" t="s">
        <v>72</v>
      </c>
      <c r="TM39" s="20" t="s">
        <v>72</v>
      </c>
      <c r="TN39" s="20" t="s">
        <v>72</v>
      </c>
      <c r="TO39" s="20" t="s">
        <v>72</v>
      </c>
      <c r="TP39" s="20" t="s">
        <v>72</v>
      </c>
      <c r="TQ39" s="20" t="s">
        <v>72</v>
      </c>
      <c r="TR39" s="20" t="s">
        <v>72</v>
      </c>
      <c r="TS39" s="20" t="s">
        <v>72</v>
      </c>
      <c r="TT39" s="20" t="s">
        <v>72</v>
      </c>
      <c r="TU39" s="20" t="s">
        <v>282</v>
      </c>
      <c r="TV39" s="20" t="s">
        <v>72</v>
      </c>
      <c r="TW39" s="20" t="s">
        <v>283</v>
      </c>
      <c r="TX39" s="20" t="s">
        <v>72</v>
      </c>
      <c r="TY39" s="20" t="s">
        <v>284</v>
      </c>
      <c r="TZ39" s="15" t="s">
        <v>72</v>
      </c>
      <c r="UA39" s="15" t="s">
        <v>72</v>
      </c>
      <c r="UB39" s="15" t="s">
        <v>72</v>
      </c>
      <c r="UC39" s="15" t="s">
        <v>72</v>
      </c>
      <c r="UD39" s="15" t="s">
        <v>72</v>
      </c>
      <c r="UE39" s="15" t="s">
        <v>72</v>
      </c>
      <c r="UF39" s="15" t="s">
        <v>72</v>
      </c>
      <c r="UG39" s="15" t="s">
        <v>72</v>
      </c>
      <c r="UH39" s="15" t="s">
        <v>72</v>
      </c>
      <c r="UI39" s="15" t="s">
        <v>72</v>
      </c>
      <c r="UJ39" s="15" t="s">
        <v>72</v>
      </c>
      <c r="UK39" s="15" t="s">
        <v>72</v>
      </c>
      <c r="UL39" s="20" t="s">
        <v>72</v>
      </c>
      <c r="UM39" s="20" t="s">
        <v>72</v>
      </c>
      <c r="UN39" s="20" t="s">
        <v>72</v>
      </c>
      <c r="UO39" s="20" t="s">
        <v>72</v>
      </c>
      <c r="UP39" s="20" t="s">
        <v>72</v>
      </c>
      <c r="UQ39" s="15" t="s">
        <v>283</v>
      </c>
      <c r="UR39" s="20" t="s">
        <v>72</v>
      </c>
      <c r="US39" s="15" t="s">
        <v>72</v>
      </c>
      <c r="UT39" s="15" t="s">
        <v>72</v>
      </c>
      <c r="UU39" s="15" t="s">
        <v>72</v>
      </c>
      <c r="UV39" s="15" t="s">
        <v>72</v>
      </c>
      <c r="UW39" s="15" t="s">
        <v>72</v>
      </c>
      <c r="UX39" s="15" t="s">
        <v>72</v>
      </c>
      <c r="UY39" s="15" t="s">
        <v>72</v>
      </c>
      <c r="UZ39" s="15" t="s">
        <v>72</v>
      </c>
      <c r="VA39" s="15" t="s">
        <v>72</v>
      </c>
      <c r="VB39" s="15" t="s">
        <v>72</v>
      </c>
      <c r="VC39" s="15" t="s">
        <v>72</v>
      </c>
      <c r="VD39" s="15" t="s">
        <v>72</v>
      </c>
      <c r="VE39" s="15" t="s">
        <v>72</v>
      </c>
      <c r="VF39" s="15" t="s">
        <v>72</v>
      </c>
      <c r="VG39" s="15" t="s">
        <v>72</v>
      </c>
      <c r="VH39" s="15" t="s">
        <v>72</v>
      </c>
      <c r="VI39" s="15" t="s">
        <v>72</v>
      </c>
      <c r="VJ39" s="15" t="s">
        <v>72</v>
      </c>
      <c r="VK39" s="15" t="s">
        <v>72</v>
      </c>
      <c r="VL39" s="15" t="s">
        <v>72</v>
      </c>
      <c r="VM39" s="15" t="s">
        <v>72</v>
      </c>
      <c r="VN39" s="15" t="s">
        <v>72</v>
      </c>
      <c r="VO39" s="15" t="s">
        <v>72</v>
      </c>
      <c r="VP39" s="15" t="s">
        <v>72</v>
      </c>
      <c r="VQ39" s="15" t="s">
        <v>72</v>
      </c>
      <c r="VR39" s="15" t="s">
        <v>72</v>
      </c>
      <c r="VS39" s="15" t="s">
        <v>72</v>
      </c>
      <c r="VT39" s="15" t="s">
        <v>72</v>
      </c>
      <c r="VU39" s="15" t="s">
        <v>72</v>
      </c>
      <c r="VV39" s="15" t="s">
        <v>72</v>
      </c>
      <c r="VW39" s="15" t="s">
        <v>72</v>
      </c>
      <c r="VX39" s="15" t="s">
        <v>72</v>
      </c>
      <c r="VY39" s="15" t="s">
        <v>72</v>
      </c>
      <c r="VZ39" s="15" t="s">
        <v>72</v>
      </c>
      <c r="WA39" s="15" t="s">
        <v>72</v>
      </c>
      <c r="WB39" s="15" t="s">
        <v>72</v>
      </c>
      <c r="WC39" s="15" t="s">
        <v>72</v>
      </c>
      <c r="WD39" s="15" t="s">
        <v>72</v>
      </c>
      <c r="WE39" s="15" t="s">
        <v>72</v>
      </c>
      <c r="WF39" s="15" t="s">
        <v>72</v>
      </c>
      <c r="WG39" s="15" t="s">
        <v>72</v>
      </c>
      <c r="WH39" s="15" t="s">
        <v>72</v>
      </c>
      <c r="WI39" s="15" t="s">
        <v>72</v>
      </c>
      <c r="WJ39" s="15" t="s">
        <v>72</v>
      </c>
      <c r="WK39" s="15" t="s">
        <v>72</v>
      </c>
      <c r="WL39" s="15" t="s">
        <v>72</v>
      </c>
      <c r="WM39" s="15" t="s">
        <v>72</v>
      </c>
      <c r="WN39" s="15" t="s">
        <v>72</v>
      </c>
      <c r="WO39" s="15" t="s">
        <v>72</v>
      </c>
      <c r="WP39" s="15" t="s">
        <v>72</v>
      </c>
      <c r="WQ39" s="15" t="s">
        <v>72</v>
      </c>
      <c r="WR39" s="15" t="s">
        <v>72</v>
      </c>
      <c r="WS39" s="15" t="s">
        <v>72</v>
      </c>
      <c r="WT39" s="15" t="s">
        <v>72</v>
      </c>
      <c r="WU39" s="15" t="s">
        <v>72</v>
      </c>
      <c r="WV39" s="20" t="s">
        <v>282</v>
      </c>
      <c r="WW39" s="15" t="s">
        <v>72</v>
      </c>
      <c r="WX39" s="15" t="s">
        <v>72</v>
      </c>
      <c r="WY39" s="15" t="s">
        <v>72</v>
      </c>
      <c r="WZ39" s="15" t="s">
        <v>72</v>
      </c>
      <c r="XA39" s="15" t="s">
        <v>72</v>
      </c>
      <c r="XB39" s="15" t="s">
        <v>72</v>
      </c>
      <c r="XC39" s="15" t="s">
        <v>72</v>
      </c>
      <c r="XD39" s="15" t="s">
        <v>72</v>
      </c>
      <c r="XE39" s="15" t="s">
        <v>72</v>
      </c>
      <c r="XF39" s="15" t="s">
        <v>72</v>
      </c>
      <c r="XG39" s="15" t="s">
        <v>72</v>
      </c>
      <c r="XH39" s="15" t="s">
        <v>72</v>
      </c>
      <c r="XI39" s="15" t="s">
        <v>72</v>
      </c>
      <c r="XJ39" s="15" t="s">
        <v>72</v>
      </c>
      <c r="XK39" s="15" t="s">
        <v>72</v>
      </c>
      <c r="XL39" s="15" t="s">
        <v>72</v>
      </c>
      <c r="XM39" s="15" t="s">
        <v>72</v>
      </c>
      <c r="XN39" s="15" t="s">
        <v>72</v>
      </c>
      <c r="XO39" s="15" t="s">
        <v>72</v>
      </c>
      <c r="XP39" s="15" t="s">
        <v>72</v>
      </c>
      <c r="XQ39" s="15" t="s">
        <v>72</v>
      </c>
      <c r="XR39" s="15" t="s">
        <v>72</v>
      </c>
      <c r="XS39" s="15" t="s">
        <v>72</v>
      </c>
      <c r="XT39" s="15" t="s">
        <v>72</v>
      </c>
      <c r="XU39" s="15" t="s">
        <v>72</v>
      </c>
      <c r="XV39" s="15" t="s">
        <v>72</v>
      </c>
      <c r="XW39" s="15" t="s">
        <v>72</v>
      </c>
      <c r="XX39" s="15" t="s">
        <v>72</v>
      </c>
      <c r="XY39" s="15" t="s">
        <v>72</v>
      </c>
      <c r="XZ39" s="15" t="s">
        <v>72</v>
      </c>
      <c r="YA39" s="15" t="s">
        <v>72</v>
      </c>
      <c r="YB39" s="15" t="s">
        <v>72</v>
      </c>
      <c r="YC39" s="15" t="s">
        <v>72</v>
      </c>
      <c r="YD39" s="15" t="s">
        <v>72</v>
      </c>
      <c r="YE39" s="15" t="s">
        <v>72</v>
      </c>
      <c r="YF39" s="20" t="s">
        <v>72</v>
      </c>
      <c r="YG39" s="15" t="s">
        <v>72</v>
      </c>
      <c r="YH39" s="15" t="s">
        <v>72</v>
      </c>
      <c r="YI39" s="15" t="s">
        <v>72</v>
      </c>
      <c r="YJ39" s="15" t="s">
        <v>72</v>
      </c>
      <c r="YK39" s="15" t="s">
        <v>72</v>
      </c>
      <c r="YL39" s="15" t="s">
        <v>72</v>
      </c>
      <c r="YM39" s="15" t="s">
        <v>72</v>
      </c>
      <c r="YN39" s="15" t="s">
        <v>72</v>
      </c>
      <c r="YO39" s="15" t="s">
        <v>72</v>
      </c>
      <c r="YP39" s="15" t="s">
        <v>72</v>
      </c>
      <c r="YQ39" s="15" t="s">
        <v>72</v>
      </c>
      <c r="YR39" s="15" t="s">
        <v>72</v>
      </c>
      <c r="YS39" s="15" t="s">
        <v>72</v>
      </c>
      <c r="YT39" s="15" t="s">
        <v>72</v>
      </c>
      <c r="YU39" s="15" t="s">
        <v>72</v>
      </c>
      <c r="YV39" s="15" t="s">
        <v>72</v>
      </c>
      <c r="YW39" s="15" t="s">
        <v>72</v>
      </c>
      <c r="YX39" s="15" t="s">
        <v>72</v>
      </c>
      <c r="YY39" s="15" t="s">
        <v>72</v>
      </c>
      <c r="YZ39" s="15" t="s">
        <v>72</v>
      </c>
      <c r="ZA39" s="15" t="s">
        <v>72</v>
      </c>
      <c r="ZB39" s="15" t="s">
        <v>72</v>
      </c>
      <c r="ZC39" s="15" t="s">
        <v>72</v>
      </c>
      <c r="ZD39" s="15" t="s">
        <v>72</v>
      </c>
      <c r="ZE39" s="15" t="s">
        <v>72</v>
      </c>
      <c r="ZF39" s="15" t="s">
        <v>72</v>
      </c>
      <c r="ZG39" s="15" t="s">
        <v>72</v>
      </c>
      <c r="ZH39" s="15" t="s">
        <v>72</v>
      </c>
      <c r="ZI39" s="15" t="s">
        <v>72</v>
      </c>
      <c r="ZJ39" s="15" t="s">
        <v>72</v>
      </c>
      <c r="ZK39" s="15" t="s">
        <v>72</v>
      </c>
      <c r="ZL39" s="15" t="s">
        <v>72</v>
      </c>
      <c r="ZM39" s="15" t="s">
        <v>72</v>
      </c>
      <c r="ZN39" s="15" t="s">
        <v>72</v>
      </c>
      <c r="ZO39" s="15" t="s">
        <v>72</v>
      </c>
      <c r="ZP39" s="15" t="s">
        <v>72</v>
      </c>
      <c r="ZQ39" s="15" t="s">
        <v>72</v>
      </c>
      <c r="ZR39" s="15" t="s">
        <v>72</v>
      </c>
      <c r="ZS39" s="15" t="s">
        <v>72</v>
      </c>
      <c r="ZT39" s="15" t="s">
        <v>72</v>
      </c>
      <c r="ZU39" s="15" t="s">
        <v>72</v>
      </c>
      <c r="ZV39" s="15" t="s">
        <v>72</v>
      </c>
      <c r="ZW39" s="15" t="s">
        <v>72</v>
      </c>
      <c r="ZX39" s="15" t="s">
        <v>72</v>
      </c>
      <c r="ZY39" s="15" t="s">
        <v>72</v>
      </c>
      <c r="ZZ39" s="15" t="s">
        <v>72</v>
      </c>
      <c r="AAA39" s="15" t="s">
        <v>72</v>
      </c>
      <c r="AAB39" s="15" t="s">
        <v>72</v>
      </c>
      <c r="AAC39" s="15" t="s">
        <v>72</v>
      </c>
      <c r="AAD39" s="15" t="s">
        <v>72</v>
      </c>
      <c r="AAE39" s="15" t="s">
        <v>72</v>
      </c>
      <c r="AAF39" s="15" t="s">
        <v>72</v>
      </c>
      <c r="AAG39" s="15" t="s">
        <v>72</v>
      </c>
      <c r="AAH39" s="15" t="s">
        <v>72</v>
      </c>
      <c r="AAI39" s="15" t="s">
        <v>72</v>
      </c>
      <c r="AAJ39" s="20" t="s">
        <v>72</v>
      </c>
      <c r="AAK39" s="20" t="s">
        <v>283</v>
      </c>
      <c r="AAL39" s="15"/>
      <c r="AAM39" s="15" t="s">
        <v>72</v>
      </c>
      <c r="AAN39" s="15" t="s">
        <v>72</v>
      </c>
      <c r="AAO39" s="15" t="s">
        <v>72</v>
      </c>
      <c r="AAP39" s="15" t="s">
        <v>72</v>
      </c>
      <c r="AAQ39" s="15" t="s">
        <v>72</v>
      </c>
      <c r="AAR39" s="15" t="s">
        <v>72</v>
      </c>
      <c r="AAS39" s="15" t="s">
        <v>72</v>
      </c>
      <c r="AAT39" s="15" t="s">
        <v>72</v>
      </c>
      <c r="AAU39" s="15" t="s">
        <v>72</v>
      </c>
      <c r="AAV39" s="20" t="s">
        <v>72</v>
      </c>
      <c r="AAW39" s="20" t="s">
        <v>284</v>
      </c>
      <c r="AAX39" s="15"/>
      <c r="AAY39" s="15" t="s">
        <v>72</v>
      </c>
      <c r="AAZ39" s="15" t="s">
        <v>72</v>
      </c>
      <c r="ABA39" s="15" t="s">
        <v>72</v>
      </c>
      <c r="ABB39" s="15" t="s">
        <v>72</v>
      </c>
      <c r="ABC39" s="15" t="s">
        <v>72</v>
      </c>
      <c r="ABD39" s="15" t="s">
        <v>72</v>
      </c>
      <c r="ABE39" s="15" t="s">
        <v>72</v>
      </c>
      <c r="ABF39" s="15" t="s">
        <v>72</v>
      </c>
      <c r="ABG39" s="15" t="s">
        <v>72</v>
      </c>
      <c r="ABH39" s="20" t="s">
        <v>72</v>
      </c>
      <c r="ABI39" s="20" t="s">
        <v>72</v>
      </c>
      <c r="ABJ39" s="20" t="s">
        <v>72</v>
      </c>
      <c r="ABK39" s="20" t="s">
        <v>72</v>
      </c>
      <c r="ABL39" s="20" t="s">
        <v>282</v>
      </c>
      <c r="ABM39" s="15" t="s">
        <v>72</v>
      </c>
      <c r="ABN39" s="15" t="s">
        <v>72</v>
      </c>
      <c r="ABO39" s="20" t="s">
        <v>283</v>
      </c>
      <c r="ABP39" s="20" t="s">
        <v>283</v>
      </c>
      <c r="ABQ39" s="20" t="s">
        <v>283</v>
      </c>
      <c r="ABR39" s="15" t="s">
        <v>72</v>
      </c>
      <c r="ABS39" s="15" t="s">
        <v>72</v>
      </c>
      <c r="ABT39" s="15" t="s">
        <v>72</v>
      </c>
      <c r="ABU39" s="15" t="s">
        <v>72</v>
      </c>
      <c r="ABV39" s="15" t="s">
        <v>72</v>
      </c>
      <c r="ABW39" s="15" t="s">
        <v>72</v>
      </c>
      <c r="ABX39" s="15" t="s">
        <v>72</v>
      </c>
      <c r="ABY39" s="15" t="s">
        <v>72</v>
      </c>
      <c r="ABZ39" s="15" t="s">
        <v>72</v>
      </c>
      <c r="ACA39" s="15" t="s">
        <v>72</v>
      </c>
      <c r="ACB39" s="15" t="s">
        <v>72</v>
      </c>
      <c r="ACC39" s="15" t="s">
        <v>72</v>
      </c>
      <c r="ACD39" s="15" t="s">
        <v>72</v>
      </c>
      <c r="ACE39" s="15" t="s">
        <v>72</v>
      </c>
      <c r="ACF39" s="15" t="s">
        <v>72</v>
      </c>
      <c r="ACG39" s="15" t="s">
        <v>72</v>
      </c>
      <c r="ACH39" s="15" t="s">
        <v>72</v>
      </c>
      <c r="ACI39" s="15" t="s">
        <v>72</v>
      </c>
      <c r="ACJ39" s="15" t="s">
        <v>72</v>
      </c>
      <c r="ACK39" s="15" t="s">
        <v>72</v>
      </c>
      <c r="ACL39" s="15" t="s">
        <v>72</v>
      </c>
      <c r="ACM39" s="15" t="s">
        <v>72</v>
      </c>
      <c r="ACN39" s="15" t="s">
        <v>72</v>
      </c>
      <c r="ACO39" s="15" t="s">
        <v>72</v>
      </c>
      <c r="ACP39" s="15" t="s">
        <v>72</v>
      </c>
      <c r="ACQ39" s="15" t="s">
        <v>72</v>
      </c>
      <c r="ACR39" s="15" t="s">
        <v>72</v>
      </c>
      <c r="ACS39" s="15" t="s">
        <v>72</v>
      </c>
      <c r="ACT39" s="15" t="s">
        <v>72</v>
      </c>
      <c r="ACU39" s="15" t="s">
        <v>72</v>
      </c>
      <c r="ACV39" s="15" t="s">
        <v>72</v>
      </c>
      <c r="ACW39" s="15" t="s">
        <v>72</v>
      </c>
      <c r="ACX39" s="15" t="s">
        <v>72</v>
      </c>
      <c r="ACY39" s="15" t="s">
        <v>72</v>
      </c>
      <c r="ACZ39" s="15" t="s">
        <v>72</v>
      </c>
      <c r="ADA39" s="15" t="s">
        <v>72</v>
      </c>
      <c r="ADB39" s="15" t="s">
        <v>72</v>
      </c>
      <c r="ADC39" s="15" t="s">
        <v>72</v>
      </c>
      <c r="ADD39" s="15" t="s">
        <v>72</v>
      </c>
      <c r="ADE39" s="20" t="s">
        <v>72</v>
      </c>
      <c r="ADF39" s="15" t="s">
        <v>72</v>
      </c>
      <c r="ADG39" s="15" t="s">
        <v>284</v>
      </c>
      <c r="ADH39" s="15"/>
      <c r="ADI39" s="15" t="s">
        <v>72</v>
      </c>
      <c r="ADJ39" s="15" t="s">
        <v>72</v>
      </c>
      <c r="ADK39" s="15" t="s">
        <v>72</v>
      </c>
      <c r="ADL39" s="15" t="s">
        <v>72</v>
      </c>
      <c r="ADM39" s="15" t="s">
        <v>72</v>
      </c>
      <c r="ADN39" s="15" t="s">
        <v>72</v>
      </c>
      <c r="ADO39" s="15" t="s">
        <v>72</v>
      </c>
      <c r="ADP39" s="15" t="s">
        <v>72</v>
      </c>
      <c r="ADQ39" s="15" t="s">
        <v>72</v>
      </c>
      <c r="ADR39" s="20" t="s">
        <v>72</v>
      </c>
      <c r="ADS39" s="20" t="s">
        <v>72</v>
      </c>
      <c r="ADT39" s="20" t="s">
        <v>72</v>
      </c>
      <c r="ADU39" s="20" t="s">
        <v>72</v>
      </c>
      <c r="ADV39" s="20" t="s">
        <v>282</v>
      </c>
      <c r="ADW39" s="15" t="s">
        <v>72</v>
      </c>
      <c r="ADX39" s="15" t="s">
        <v>72</v>
      </c>
      <c r="ADY39" s="20" t="s">
        <v>283</v>
      </c>
      <c r="ADZ39" s="20" t="s">
        <v>283</v>
      </c>
      <c r="AEA39" s="20" t="s">
        <v>283</v>
      </c>
      <c r="AEB39" s="15" t="s">
        <v>72</v>
      </c>
      <c r="AEC39" s="15" t="s">
        <v>72</v>
      </c>
      <c r="AED39" s="15" t="s">
        <v>72</v>
      </c>
      <c r="AEE39" s="15" t="s">
        <v>72</v>
      </c>
      <c r="AEF39" s="15" t="s">
        <v>72</v>
      </c>
      <c r="AEG39" s="15" t="s">
        <v>72</v>
      </c>
      <c r="AEH39" s="15" t="s">
        <v>72</v>
      </c>
      <c r="AEI39" s="15" t="s">
        <v>72</v>
      </c>
      <c r="AEJ39" s="15" t="s">
        <v>72</v>
      </c>
      <c r="AEK39" s="15" t="s">
        <v>72</v>
      </c>
      <c r="AEL39" s="15" t="s">
        <v>72</v>
      </c>
      <c r="AEM39" s="15" t="s">
        <v>72</v>
      </c>
      <c r="AEN39" s="15" t="s">
        <v>72</v>
      </c>
      <c r="AEO39" s="15" t="s">
        <v>72</v>
      </c>
      <c r="AEP39" s="15" t="s">
        <v>72</v>
      </c>
      <c r="AEQ39" s="15" t="s">
        <v>72</v>
      </c>
      <c r="AER39" s="15" t="s">
        <v>72</v>
      </c>
      <c r="AES39" s="15" t="s">
        <v>72</v>
      </c>
      <c r="AET39" s="15" t="s">
        <v>72</v>
      </c>
      <c r="AEU39" s="15" t="s">
        <v>72</v>
      </c>
      <c r="AEV39" s="15" t="s">
        <v>72</v>
      </c>
      <c r="AEW39" s="15" t="s">
        <v>72</v>
      </c>
      <c r="AEX39" s="15" t="s">
        <v>72</v>
      </c>
      <c r="AEY39" s="15" t="s">
        <v>72</v>
      </c>
      <c r="AEZ39" s="15" t="s">
        <v>72</v>
      </c>
      <c r="AFA39" s="15" t="s">
        <v>72</v>
      </c>
      <c r="AFB39" s="15" t="s">
        <v>72</v>
      </c>
      <c r="AFC39" s="15" t="s">
        <v>72</v>
      </c>
      <c r="AFD39" s="15" t="s">
        <v>72</v>
      </c>
      <c r="AFE39" s="15" t="s">
        <v>72</v>
      </c>
      <c r="AFF39" s="15" t="s">
        <v>72</v>
      </c>
      <c r="AFG39" s="15" t="s">
        <v>72</v>
      </c>
      <c r="AFH39" s="15" t="s">
        <v>72</v>
      </c>
      <c r="AFI39" s="15" t="s">
        <v>72</v>
      </c>
      <c r="AFJ39" s="15" t="s">
        <v>72</v>
      </c>
      <c r="AFK39" s="15" t="s">
        <v>72</v>
      </c>
      <c r="AFL39" s="15" t="s">
        <v>72</v>
      </c>
      <c r="AFM39" s="15" t="s">
        <v>72</v>
      </c>
      <c r="AFN39" s="15" t="s">
        <v>72</v>
      </c>
      <c r="AFO39" s="20" t="s">
        <v>72</v>
      </c>
      <c r="AFP39" s="15" t="s">
        <v>72</v>
      </c>
      <c r="AFQ39" s="15" t="s">
        <v>283</v>
      </c>
      <c r="AFR39" s="15"/>
      <c r="AFS39" s="15" t="s">
        <v>72</v>
      </c>
      <c r="AFT39" s="15" t="s">
        <v>72</v>
      </c>
      <c r="AFU39" s="15" t="s">
        <v>72</v>
      </c>
      <c r="AFV39" s="15" t="s">
        <v>72</v>
      </c>
      <c r="AFW39" s="15" t="s">
        <v>72</v>
      </c>
      <c r="AFX39" s="15" t="s">
        <v>72</v>
      </c>
      <c r="AFY39" s="15" t="s">
        <v>72</v>
      </c>
      <c r="AFZ39" s="15" t="s">
        <v>72</v>
      </c>
      <c r="AGA39" s="15" t="s">
        <v>72</v>
      </c>
      <c r="AGB39" s="15" t="s">
        <v>72</v>
      </c>
      <c r="AGC39" s="15" t="s">
        <v>72</v>
      </c>
      <c r="AGD39" s="15" t="s">
        <v>284</v>
      </c>
      <c r="AGE39" s="15" t="s">
        <v>72</v>
      </c>
      <c r="AGF39" s="15" t="s">
        <v>282</v>
      </c>
      <c r="AGG39" s="15" t="s">
        <v>284</v>
      </c>
      <c r="AGH39" s="15" t="s">
        <v>284</v>
      </c>
      <c r="AGI39" s="15" t="s">
        <v>284</v>
      </c>
      <c r="AGJ39" s="15" t="s">
        <v>283</v>
      </c>
      <c r="AGK39" s="15" t="s">
        <v>72</v>
      </c>
      <c r="AGL39" s="15" t="s">
        <v>72</v>
      </c>
      <c r="AGM39" s="15" t="s">
        <v>72</v>
      </c>
      <c r="AGN39" s="15" t="s">
        <v>72</v>
      </c>
      <c r="AGO39" s="15" t="s">
        <v>72</v>
      </c>
      <c r="AGP39" s="15" t="s">
        <v>284</v>
      </c>
      <c r="AGQ39" s="15" t="s">
        <v>284</v>
      </c>
      <c r="AGR39" s="15" t="s">
        <v>284</v>
      </c>
      <c r="AGS39" s="15" t="s">
        <v>283</v>
      </c>
      <c r="AGT39" s="15" t="s">
        <v>72</v>
      </c>
      <c r="AGU39" s="15" t="s">
        <v>72</v>
      </c>
      <c r="AGV39" s="15" t="s">
        <v>72</v>
      </c>
      <c r="AGW39" s="15" t="s">
        <v>72</v>
      </c>
      <c r="AGX39" s="15" t="s">
        <v>72</v>
      </c>
      <c r="AGY39" s="15" t="s">
        <v>72</v>
      </c>
      <c r="AGZ39" s="15" t="s">
        <v>72</v>
      </c>
      <c r="AHA39" s="15" t="s">
        <v>72</v>
      </c>
      <c r="AHB39" s="15" t="s">
        <v>72</v>
      </c>
      <c r="AHC39" s="15" t="s">
        <v>72</v>
      </c>
      <c r="AHD39" s="15" t="s">
        <v>72</v>
      </c>
      <c r="AHE39" s="15" t="s">
        <v>72</v>
      </c>
      <c r="AHF39" s="15" t="s">
        <v>72</v>
      </c>
      <c r="AHG39" s="15" t="s">
        <v>72</v>
      </c>
      <c r="AHH39" s="15" t="s">
        <v>72</v>
      </c>
      <c r="AHI39" s="15" t="s">
        <v>72</v>
      </c>
      <c r="AHJ39" s="15" t="s">
        <v>72</v>
      </c>
      <c r="AHK39" s="15" t="s">
        <v>72</v>
      </c>
      <c r="AHL39" s="15" t="s">
        <v>72</v>
      </c>
      <c r="AHM39" s="15" t="s">
        <v>72</v>
      </c>
      <c r="AHN39" s="15" t="s">
        <v>72</v>
      </c>
      <c r="AHO39" s="15" t="s">
        <v>72</v>
      </c>
      <c r="AHP39" s="15" t="s">
        <v>72</v>
      </c>
      <c r="AHQ39" s="15" t="s">
        <v>72</v>
      </c>
      <c r="AHR39" s="15" t="s">
        <v>72</v>
      </c>
      <c r="AHS39" s="15" t="s">
        <v>72</v>
      </c>
      <c r="AHT39" s="15" t="s">
        <v>72</v>
      </c>
      <c r="AHU39" s="15" t="s">
        <v>72</v>
      </c>
      <c r="AHV39" s="15" t="s">
        <v>72</v>
      </c>
      <c r="AHW39" s="15" t="s">
        <v>72</v>
      </c>
      <c r="AHX39" s="15" t="s">
        <v>72</v>
      </c>
      <c r="AHY39" s="15" t="s">
        <v>72</v>
      </c>
      <c r="AHZ39" s="15" t="s">
        <v>72</v>
      </c>
      <c r="AIA39" s="15" t="s">
        <v>72</v>
      </c>
      <c r="AIB39" s="15" t="s">
        <v>72</v>
      </c>
      <c r="AIC39" s="15" t="s">
        <v>72</v>
      </c>
      <c r="AID39" s="15" t="s">
        <v>72</v>
      </c>
      <c r="AIE39" s="15" t="s">
        <v>72</v>
      </c>
      <c r="AIF39" s="15" t="s">
        <v>72</v>
      </c>
      <c r="AIG39" s="15" t="s">
        <v>72</v>
      </c>
      <c r="AIH39" s="15" t="s">
        <v>72</v>
      </c>
      <c r="AII39" s="15" t="s">
        <v>72</v>
      </c>
      <c r="AIJ39" s="15" t="s">
        <v>72</v>
      </c>
      <c r="AIK39" s="15" t="s">
        <v>72</v>
      </c>
      <c r="AIL39" s="15" t="s">
        <v>72</v>
      </c>
      <c r="AIM39" s="15" t="s">
        <v>72</v>
      </c>
      <c r="AIN39" s="15" t="s">
        <v>72</v>
      </c>
      <c r="AIO39" s="15" t="s">
        <v>72</v>
      </c>
      <c r="AIP39" s="15" t="s">
        <v>72</v>
      </c>
      <c r="AIQ39" s="20" t="s">
        <v>72</v>
      </c>
      <c r="AIR39" s="15" t="s">
        <v>72</v>
      </c>
      <c r="AIS39" s="20" t="s">
        <v>282</v>
      </c>
      <c r="AIT39" s="15" t="s">
        <v>72</v>
      </c>
      <c r="AIU39" s="15" t="s">
        <v>282</v>
      </c>
      <c r="AIV39" s="15" t="s">
        <v>282</v>
      </c>
      <c r="AIW39" s="15" t="s">
        <v>282</v>
      </c>
      <c r="AIX39" s="15" t="s">
        <v>282</v>
      </c>
      <c r="AIY39" s="15" t="s">
        <v>282</v>
      </c>
      <c r="AIZ39" s="15" t="s">
        <v>282</v>
      </c>
      <c r="AJA39" s="15" t="s">
        <v>72</v>
      </c>
      <c r="AJB39" s="15" t="s">
        <v>72</v>
      </c>
      <c r="AJC39" s="15" t="s">
        <v>72</v>
      </c>
      <c r="AJD39" s="15" t="s">
        <v>72</v>
      </c>
      <c r="AJE39" s="15" t="s">
        <v>72</v>
      </c>
      <c r="AJF39" s="15"/>
      <c r="AJG39" s="15" t="s">
        <v>72</v>
      </c>
      <c r="AJH39" s="15" t="s">
        <v>72</v>
      </c>
      <c r="AJI39" s="15" t="s">
        <v>72</v>
      </c>
      <c r="AJJ39" s="15" t="s">
        <v>72</v>
      </c>
      <c r="AJK39" s="15" t="s">
        <v>72</v>
      </c>
      <c r="AJL39" s="15" t="s">
        <v>72</v>
      </c>
      <c r="AJM39" s="15" t="s">
        <v>72</v>
      </c>
      <c r="AJN39" s="15"/>
      <c r="AJO39" s="15" t="s">
        <v>72</v>
      </c>
      <c r="AJP39" s="15" t="s">
        <v>72</v>
      </c>
      <c r="AJQ39" s="15" t="s">
        <v>72</v>
      </c>
      <c r="AJR39" s="15" t="s">
        <v>72</v>
      </c>
      <c r="AJS39" s="15" t="s">
        <v>72</v>
      </c>
      <c r="AJT39" s="15" t="s">
        <v>72</v>
      </c>
      <c r="AJU39" s="15" t="s">
        <v>72</v>
      </c>
      <c r="AJV39" s="15" t="s">
        <v>72</v>
      </c>
      <c r="AJW39" s="15" t="s">
        <v>72</v>
      </c>
      <c r="AJX39" s="15"/>
      <c r="AJY39" s="15" t="s">
        <v>72</v>
      </c>
      <c r="AJZ39" s="15" t="s">
        <v>72</v>
      </c>
      <c r="AKA39" s="15" t="s">
        <v>72</v>
      </c>
      <c r="AKB39" s="15" t="s">
        <v>72</v>
      </c>
      <c r="AKC39" s="15" t="s">
        <v>72</v>
      </c>
      <c r="AKD39" s="15" t="s">
        <v>72</v>
      </c>
      <c r="AKE39" s="15" t="s">
        <v>72</v>
      </c>
      <c r="AKF39" s="15" t="s">
        <v>72</v>
      </c>
      <c r="AKG39" s="15" t="s">
        <v>72</v>
      </c>
      <c r="AKH39" s="15" t="s">
        <v>72</v>
      </c>
      <c r="AKI39" s="15"/>
      <c r="AKJ39" s="15" t="s">
        <v>72</v>
      </c>
      <c r="AKK39" s="15" t="s">
        <v>72</v>
      </c>
      <c r="AKL39" s="15" t="s">
        <v>72</v>
      </c>
      <c r="AKM39" s="15" t="s">
        <v>72</v>
      </c>
      <c r="AKN39" s="15" t="s">
        <v>72</v>
      </c>
      <c r="AKO39" s="15" t="s">
        <v>72</v>
      </c>
      <c r="AKP39" s="15" t="s">
        <v>72</v>
      </c>
      <c r="AKQ39" s="15" t="s">
        <v>72</v>
      </c>
      <c r="AKR39" s="15" t="s">
        <v>72</v>
      </c>
      <c r="AKS39" s="15" t="s">
        <v>72</v>
      </c>
      <c r="AKT39" s="15" t="s">
        <v>72</v>
      </c>
      <c r="AKU39" s="15" t="s">
        <v>72</v>
      </c>
      <c r="AKV39" s="15" t="s">
        <v>72</v>
      </c>
      <c r="AKW39" s="15" t="s">
        <v>72</v>
      </c>
      <c r="AKX39" s="15"/>
      <c r="AKY39" s="15" t="s">
        <v>72</v>
      </c>
      <c r="AKZ39" s="15" t="s">
        <v>72</v>
      </c>
      <c r="ALA39" s="15" t="s">
        <v>72</v>
      </c>
      <c r="ALB39" s="15" t="s">
        <v>72</v>
      </c>
      <c r="ALC39" s="15" t="s">
        <v>72</v>
      </c>
      <c r="ALD39" s="15" t="s">
        <v>72</v>
      </c>
      <c r="ALE39" s="15" t="s">
        <v>72</v>
      </c>
      <c r="ALF39" s="15" t="s">
        <v>72</v>
      </c>
      <c r="ALG39" s="15" t="s">
        <v>72</v>
      </c>
      <c r="ALH39" s="15" t="s">
        <v>72</v>
      </c>
      <c r="ALI39" s="15" t="s">
        <v>72</v>
      </c>
      <c r="ALJ39" s="15" t="s">
        <v>72</v>
      </c>
      <c r="ALK39" s="15" t="s">
        <v>72</v>
      </c>
      <c r="ALL39" s="15" t="s">
        <v>72</v>
      </c>
      <c r="ALM39" s="15"/>
      <c r="ALN39" s="15" t="s">
        <v>72</v>
      </c>
      <c r="ALO39" s="15" t="s">
        <v>72</v>
      </c>
      <c r="ALP39" s="15" t="s">
        <v>72</v>
      </c>
      <c r="ALQ39" s="15" t="s">
        <v>72</v>
      </c>
      <c r="ALR39" s="15" t="s">
        <v>72</v>
      </c>
      <c r="ALS39" s="15" t="s">
        <v>72</v>
      </c>
      <c r="ALT39" s="15" t="s">
        <v>72</v>
      </c>
      <c r="ALU39" s="15" t="s">
        <v>72</v>
      </c>
      <c r="ALV39" s="15" t="s">
        <v>72</v>
      </c>
      <c r="ALW39" s="20" t="s">
        <v>72</v>
      </c>
      <c r="ALX39" s="20" t="s">
        <v>72</v>
      </c>
      <c r="ALY39" s="20" t="s">
        <v>72</v>
      </c>
      <c r="ALZ39" s="20" t="s">
        <v>72</v>
      </c>
      <c r="AMA39" s="20" t="s">
        <v>72</v>
      </c>
      <c r="AMB39" s="20" t="s">
        <v>72</v>
      </c>
      <c r="AMC39" s="15"/>
      <c r="AMD39" s="15" t="s">
        <v>72</v>
      </c>
      <c r="AME39" s="15" t="s">
        <v>72</v>
      </c>
      <c r="AMF39" s="15" t="s">
        <v>72</v>
      </c>
      <c r="AMG39" s="15" t="s">
        <v>72</v>
      </c>
      <c r="AMH39" s="15" t="s">
        <v>72</v>
      </c>
      <c r="AMI39" s="15" t="s">
        <v>72</v>
      </c>
      <c r="AMJ39" s="15" t="s">
        <v>72</v>
      </c>
      <c r="AMK39" s="15" t="s">
        <v>72</v>
      </c>
      <c r="AML39" s="15" t="s">
        <v>72</v>
      </c>
      <c r="AMM39" s="15" t="s">
        <v>72</v>
      </c>
      <c r="AMN39" s="15" t="s">
        <v>72</v>
      </c>
      <c r="AMO39" s="15" t="s">
        <v>72</v>
      </c>
      <c r="AMP39" s="15" t="s">
        <v>72</v>
      </c>
      <c r="AMQ39" s="15" t="s">
        <v>72</v>
      </c>
      <c r="AMR39" s="15" t="s">
        <v>72</v>
      </c>
      <c r="AMS39" s="15" t="s">
        <v>72</v>
      </c>
      <c r="AMT39" s="15" t="s">
        <v>72</v>
      </c>
      <c r="AMU39" s="15" t="s">
        <v>72</v>
      </c>
      <c r="AMV39" s="15" t="s">
        <v>72</v>
      </c>
      <c r="AMW39" s="15" t="s">
        <v>72</v>
      </c>
      <c r="AMX39" s="15" t="s">
        <v>72</v>
      </c>
      <c r="AMY39" s="15" t="s">
        <v>72</v>
      </c>
      <c r="AMZ39" s="15" t="s">
        <v>72</v>
      </c>
      <c r="ANA39" s="15" t="s">
        <v>72</v>
      </c>
      <c r="ANB39" s="15" t="s">
        <v>72</v>
      </c>
      <c r="ANC39" s="15" t="s">
        <v>72</v>
      </c>
      <c r="AND39" s="15" t="s">
        <v>72</v>
      </c>
      <c r="ANE39" s="15"/>
      <c r="ANF39" s="15"/>
      <c r="ANG39" s="15"/>
      <c r="ANH39" s="15"/>
      <c r="ANI39" s="15"/>
      <c r="ANJ39" s="15"/>
      <c r="ANK39" s="15"/>
      <c r="ANL39" s="15"/>
      <c r="ANM39" s="15"/>
      <c r="ANN39" s="15"/>
      <c r="ANO39" s="15"/>
      <c r="ANP39" s="15"/>
      <c r="ANQ39" s="15"/>
      <c r="ANR39" s="15"/>
      <c r="ANS39" s="15"/>
      <c r="ANT39" s="15"/>
      <c r="ANU39" s="15"/>
      <c r="ANV39" s="15"/>
      <c r="ANW39" s="15"/>
      <c r="ANX39" s="15"/>
      <c r="ANY39" s="15"/>
      <c r="ANZ39" s="15"/>
      <c r="AOA39" s="15"/>
      <c r="AOB39" s="15"/>
      <c r="AOC39" s="15"/>
      <c r="AOD39" s="15"/>
      <c r="AOE39" s="15"/>
      <c r="AOF39" s="15"/>
      <c r="AOG39" s="15"/>
      <c r="AOH39" s="15"/>
      <c r="AOI39" s="15"/>
      <c r="AOJ39" s="15"/>
      <c r="AOK39" s="15"/>
      <c r="AOL39" s="15"/>
      <c r="AOM39" s="15"/>
      <c r="AON39" s="15"/>
      <c r="AOO39" s="15"/>
      <c r="AOP39" s="15"/>
      <c r="AOQ39" s="15"/>
      <c r="AOR39" s="15"/>
      <c r="AOS39" s="15"/>
      <c r="AOT39" s="15"/>
      <c r="AOU39" s="15"/>
      <c r="AOV39" s="15"/>
      <c r="AOW39" s="15"/>
      <c r="AOX39" s="15"/>
      <c r="AOY39" s="15"/>
      <c r="AOZ39" s="15"/>
      <c r="APA39" s="15"/>
      <c r="APB39" s="15"/>
      <c r="APC39" s="15"/>
      <c r="APD39" s="15"/>
      <c r="APE39" s="15"/>
      <c r="APF39" s="15"/>
      <c r="APG39" s="15"/>
      <c r="APH39" s="15"/>
      <c r="API39" s="15"/>
      <c r="APJ39" s="15"/>
      <c r="APK39" s="15"/>
      <c r="APL39" s="15"/>
      <c r="APM39" s="15"/>
      <c r="APN39" s="15"/>
      <c r="APO39" s="15"/>
      <c r="APP39" s="15"/>
      <c r="APQ39" s="15"/>
      <c r="APR39" s="15"/>
      <c r="APS39" s="15"/>
      <c r="APT39" s="15"/>
      <c r="APU39" s="15"/>
      <c r="APV39" s="15"/>
      <c r="APW39" s="15"/>
      <c r="APX39" s="15"/>
      <c r="APY39" s="15"/>
      <c r="APZ39" s="15"/>
      <c r="AQA39" s="15"/>
      <c r="AQB39" s="15"/>
    </row>
    <row r="40" spans="1:1120" s="17" customFormat="1" ht="15" customHeight="1" x14ac:dyDescent="0.25">
      <c r="A40" s="3" t="s">
        <v>2</v>
      </c>
      <c r="B40" s="6" t="s">
        <v>44</v>
      </c>
      <c r="C40" s="15"/>
      <c r="D40" s="15" t="s">
        <v>73</v>
      </c>
      <c r="E40" s="15" t="s">
        <v>73</v>
      </c>
      <c r="F40" s="15" t="s">
        <v>73</v>
      </c>
      <c r="G40" s="15" t="s">
        <v>73</v>
      </c>
      <c r="H40" s="15" t="s">
        <v>73</v>
      </c>
      <c r="I40" s="15" t="s">
        <v>73</v>
      </c>
      <c r="J40" s="15"/>
      <c r="K40" s="15" t="s">
        <v>73</v>
      </c>
      <c r="L40" s="15" t="s">
        <v>73</v>
      </c>
      <c r="M40" s="15" t="s">
        <v>73</v>
      </c>
      <c r="N40" s="15" t="s">
        <v>73</v>
      </c>
      <c r="O40" s="15" t="s">
        <v>73</v>
      </c>
      <c r="P40" s="15" t="s">
        <v>73</v>
      </c>
      <c r="Q40" s="15"/>
      <c r="R40" s="15" t="s">
        <v>73</v>
      </c>
      <c r="S40" s="15" t="s">
        <v>73</v>
      </c>
      <c r="T40" s="15" t="s">
        <v>73</v>
      </c>
      <c r="U40" s="15" t="s">
        <v>73</v>
      </c>
      <c r="V40" s="15" t="s">
        <v>73</v>
      </c>
      <c r="W40" s="15" t="s">
        <v>73</v>
      </c>
      <c r="X40" s="15"/>
      <c r="Y40" s="15" t="s">
        <v>73</v>
      </c>
      <c r="Z40" s="15" t="s">
        <v>73</v>
      </c>
      <c r="AA40" s="15" t="s">
        <v>73</v>
      </c>
      <c r="AB40" s="15" t="s">
        <v>73</v>
      </c>
      <c r="AC40" s="15" t="s">
        <v>73</v>
      </c>
      <c r="AD40" s="15" t="s">
        <v>73</v>
      </c>
      <c r="AE40" s="15"/>
      <c r="AF40" s="15" t="s">
        <v>73</v>
      </c>
      <c r="AG40" s="15" t="s">
        <v>73</v>
      </c>
      <c r="AH40" s="15" t="s">
        <v>73</v>
      </c>
      <c r="AI40" s="15" t="s">
        <v>73</v>
      </c>
      <c r="AJ40" s="15" t="s">
        <v>73</v>
      </c>
      <c r="AK40" s="15" t="s">
        <v>73</v>
      </c>
      <c r="AL40" s="15"/>
      <c r="AM40" s="15" t="s">
        <v>73</v>
      </c>
      <c r="AN40" s="15" t="s">
        <v>73</v>
      </c>
      <c r="AO40" s="15" t="s">
        <v>73</v>
      </c>
      <c r="AP40" s="15" t="s">
        <v>73</v>
      </c>
      <c r="AQ40" s="15" t="s">
        <v>73</v>
      </c>
      <c r="AR40" s="15" t="s">
        <v>73</v>
      </c>
      <c r="AS40" s="15" t="s">
        <v>73</v>
      </c>
      <c r="AT40" s="15" t="s">
        <v>73</v>
      </c>
      <c r="AU40" s="15" t="s">
        <v>73</v>
      </c>
      <c r="AV40" s="15" t="s">
        <v>73</v>
      </c>
      <c r="AW40" s="15" t="s">
        <v>73</v>
      </c>
      <c r="AX40" s="15" t="s">
        <v>73</v>
      </c>
      <c r="AY40" s="15" t="s">
        <v>73</v>
      </c>
      <c r="AZ40" s="15" t="s">
        <v>73</v>
      </c>
      <c r="BA40" s="15" t="s">
        <v>73</v>
      </c>
      <c r="BB40" s="15" t="s">
        <v>73</v>
      </c>
      <c r="BC40" s="15" t="s">
        <v>73</v>
      </c>
      <c r="BD40" s="15" t="s">
        <v>73</v>
      </c>
      <c r="BE40" s="15" t="s">
        <v>73</v>
      </c>
      <c r="BF40" s="15" t="s">
        <v>73</v>
      </c>
      <c r="BG40" s="15" t="s">
        <v>73</v>
      </c>
      <c r="BH40" s="15" t="s">
        <v>73</v>
      </c>
      <c r="BI40" s="15" t="s">
        <v>73</v>
      </c>
      <c r="BJ40" s="15" t="s">
        <v>73</v>
      </c>
      <c r="BK40" s="15" t="s">
        <v>73</v>
      </c>
      <c r="BL40" s="15" t="s">
        <v>73</v>
      </c>
      <c r="BM40" s="15" t="s">
        <v>73</v>
      </c>
      <c r="BN40" s="15" t="s">
        <v>73</v>
      </c>
      <c r="BO40" s="15" t="s">
        <v>73</v>
      </c>
      <c r="BP40" s="15" t="s">
        <v>73</v>
      </c>
      <c r="BQ40" s="15" t="s">
        <v>73</v>
      </c>
      <c r="BR40" s="15" t="s">
        <v>73</v>
      </c>
      <c r="BS40" s="15" t="s">
        <v>73</v>
      </c>
      <c r="BT40" s="15" t="s">
        <v>73</v>
      </c>
      <c r="BU40" s="15" t="s">
        <v>73</v>
      </c>
      <c r="BV40" s="15" t="s">
        <v>73</v>
      </c>
      <c r="BW40" s="15" t="s">
        <v>73</v>
      </c>
      <c r="BX40" s="15" t="s">
        <v>73</v>
      </c>
      <c r="BY40" s="15" t="s">
        <v>73</v>
      </c>
      <c r="BZ40" s="15" t="s">
        <v>73</v>
      </c>
      <c r="CA40" s="15" t="s">
        <v>73</v>
      </c>
      <c r="CB40" s="15" t="s">
        <v>73</v>
      </c>
      <c r="CC40" s="15" t="s">
        <v>73</v>
      </c>
      <c r="CD40" s="15" t="s">
        <v>73</v>
      </c>
      <c r="CE40" s="15" t="s">
        <v>73</v>
      </c>
      <c r="CF40" s="15" t="s">
        <v>73</v>
      </c>
      <c r="CG40" s="15" t="s">
        <v>73</v>
      </c>
      <c r="CH40" s="15" t="s">
        <v>73</v>
      </c>
      <c r="CI40" s="15" t="s">
        <v>73</v>
      </c>
      <c r="CJ40" s="15" t="s">
        <v>73</v>
      </c>
      <c r="CK40" s="15" t="s">
        <v>73</v>
      </c>
      <c r="CL40" s="15" t="s">
        <v>73</v>
      </c>
      <c r="CM40" s="15" t="s">
        <v>73</v>
      </c>
      <c r="CN40" s="15" t="s">
        <v>73</v>
      </c>
      <c r="CO40" s="15" t="s">
        <v>73</v>
      </c>
      <c r="CP40" s="15" t="s">
        <v>73</v>
      </c>
      <c r="CQ40" s="15" t="s">
        <v>73</v>
      </c>
      <c r="CR40" s="15" t="s">
        <v>73</v>
      </c>
      <c r="CS40" s="15" t="s">
        <v>73</v>
      </c>
      <c r="CT40" s="15" t="s">
        <v>73</v>
      </c>
      <c r="CU40" s="15" t="s">
        <v>73</v>
      </c>
      <c r="CV40" s="15" t="s">
        <v>73</v>
      </c>
      <c r="CW40" s="15" t="s">
        <v>73</v>
      </c>
      <c r="CX40" s="15" t="s">
        <v>73</v>
      </c>
      <c r="CY40" s="15" t="s">
        <v>73</v>
      </c>
      <c r="CZ40" s="15" t="s">
        <v>73</v>
      </c>
      <c r="DA40" s="15" t="s">
        <v>73</v>
      </c>
      <c r="DB40" s="15" t="s">
        <v>73</v>
      </c>
      <c r="DC40" s="15" t="s">
        <v>73</v>
      </c>
      <c r="DD40" s="15" t="s">
        <v>73</v>
      </c>
      <c r="DE40" s="15" t="s">
        <v>73</v>
      </c>
      <c r="DF40" s="15" t="s">
        <v>73</v>
      </c>
      <c r="DG40" s="15" t="s">
        <v>73</v>
      </c>
      <c r="DH40" s="15" t="s">
        <v>73</v>
      </c>
      <c r="DI40" s="15" t="s">
        <v>73</v>
      </c>
      <c r="DJ40" s="15" t="s">
        <v>73</v>
      </c>
      <c r="DK40" s="15" t="s">
        <v>73</v>
      </c>
      <c r="DL40" s="15" t="s">
        <v>73</v>
      </c>
      <c r="DM40" s="15" t="s">
        <v>73</v>
      </c>
      <c r="DN40" s="15" t="s">
        <v>73</v>
      </c>
      <c r="DO40" s="15" t="s">
        <v>73</v>
      </c>
      <c r="DP40" s="15" t="s">
        <v>73</v>
      </c>
      <c r="DQ40" s="15" t="s">
        <v>73</v>
      </c>
      <c r="DR40" s="15" t="s">
        <v>73</v>
      </c>
      <c r="DS40" s="15" t="s">
        <v>73</v>
      </c>
      <c r="DT40" s="15" t="s">
        <v>73</v>
      </c>
      <c r="DU40" s="15" t="s">
        <v>73</v>
      </c>
      <c r="DV40" s="15" t="s">
        <v>73</v>
      </c>
      <c r="DW40" s="15" t="s">
        <v>73</v>
      </c>
      <c r="DX40" s="15" t="s">
        <v>73</v>
      </c>
      <c r="DY40" s="15" t="s">
        <v>73</v>
      </c>
      <c r="DZ40" s="15" t="s">
        <v>73</v>
      </c>
      <c r="EA40" s="15" t="s">
        <v>73</v>
      </c>
      <c r="EB40" s="15" t="s">
        <v>73</v>
      </c>
      <c r="EC40" s="15" t="s">
        <v>73</v>
      </c>
      <c r="ED40" s="15" t="s">
        <v>73</v>
      </c>
      <c r="EE40" s="15" t="s">
        <v>73</v>
      </c>
      <c r="EF40" s="15" t="s">
        <v>73</v>
      </c>
      <c r="EG40" s="15" t="s">
        <v>73</v>
      </c>
      <c r="EH40" s="15" t="s">
        <v>73</v>
      </c>
      <c r="EI40" s="15" t="s">
        <v>73</v>
      </c>
      <c r="EJ40" s="15" t="s">
        <v>73</v>
      </c>
      <c r="EK40" s="15" t="s">
        <v>73</v>
      </c>
      <c r="EL40" s="15" t="s">
        <v>73</v>
      </c>
      <c r="EM40" s="15" t="s">
        <v>73</v>
      </c>
      <c r="EN40" s="15" t="s">
        <v>73</v>
      </c>
      <c r="EO40" s="15" t="s">
        <v>73</v>
      </c>
      <c r="EP40" s="15" t="s">
        <v>73</v>
      </c>
      <c r="EQ40" s="15" t="s">
        <v>73</v>
      </c>
      <c r="ER40" s="15" t="s">
        <v>73</v>
      </c>
      <c r="ES40" s="15" t="s">
        <v>73</v>
      </c>
      <c r="ET40" s="15" t="s">
        <v>73</v>
      </c>
      <c r="EU40" s="15" t="s">
        <v>73</v>
      </c>
      <c r="EV40" s="15" t="s">
        <v>73</v>
      </c>
      <c r="EW40" s="15" t="s">
        <v>73</v>
      </c>
      <c r="EX40" s="15" t="s">
        <v>73</v>
      </c>
      <c r="EY40" s="15" t="s">
        <v>73</v>
      </c>
      <c r="EZ40" s="15" t="s">
        <v>73</v>
      </c>
      <c r="FA40" s="15" t="s">
        <v>73</v>
      </c>
      <c r="FB40" s="15" t="s">
        <v>73</v>
      </c>
      <c r="FC40" s="15" t="s">
        <v>73</v>
      </c>
      <c r="FD40" s="15"/>
      <c r="FE40" s="15" t="s">
        <v>73</v>
      </c>
      <c r="FF40" s="15" t="s">
        <v>73</v>
      </c>
      <c r="FG40" s="15" t="s">
        <v>73</v>
      </c>
      <c r="FH40" s="15" t="s">
        <v>73</v>
      </c>
      <c r="FI40" s="15" t="s">
        <v>73</v>
      </c>
      <c r="FJ40" s="15" t="s">
        <v>73</v>
      </c>
      <c r="FK40" s="15" t="s">
        <v>73</v>
      </c>
      <c r="FL40" s="15" t="s">
        <v>73</v>
      </c>
      <c r="FM40" s="15" t="s">
        <v>73</v>
      </c>
      <c r="FN40" s="15" t="s">
        <v>73</v>
      </c>
      <c r="FO40" s="15" t="s">
        <v>73</v>
      </c>
      <c r="FP40" s="15" t="s">
        <v>73</v>
      </c>
      <c r="FQ40" s="15" t="s">
        <v>73</v>
      </c>
      <c r="FR40" s="15" t="s">
        <v>73</v>
      </c>
      <c r="FS40" s="15" t="s">
        <v>73</v>
      </c>
      <c r="FT40" s="15" t="s">
        <v>73</v>
      </c>
      <c r="FU40" s="15" t="s">
        <v>73</v>
      </c>
      <c r="FV40" s="15" t="s">
        <v>73</v>
      </c>
      <c r="FW40" s="15" t="s">
        <v>73</v>
      </c>
      <c r="FX40" s="15" t="s">
        <v>73</v>
      </c>
      <c r="FY40" s="15" t="s">
        <v>73</v>
      </c>
      <c r="FZ40" s="15" t="s">
        <v>73</v>
      </c>
      <c r="GA40" s="15" t="s">
        <v>73</v>
      </c>
      <c r="GB40" s="15" t="s">
        <v>73</v>
      </c>
      <c r="GC40" s="15" t="s">
        <v>73</v>
      </c>
      <c r="GD40" s="15" t="s">
        <v>73</v>
      </c>
      <c r="GE40" s="15" t="s">
        <v>73</v>
      </c>
      <c r="GF40" s="15" t="s">
        <v>73</v>
      </c>
      <c r="GG40" s="15" t="s">
        <v>73</v>
      </c>
      <c r="GH40" s="15" t="s">
        <v>73</v>
      </c>
      <c r="GI40" s="15" t="s">
        <v>73</v>
      </c>
      <c r="GJ40" s="15" t="s">
        <v>73</v>
      </c>
      <c r="GK40" s="15" t="s">
        <v>73</v>
      </c>
      <c r="GL40" s="15" t="s">
        <v>73</v>
      </c>
      <c r="GM40" s="15" t="s">
        <v>73</v>
      </c>
      <c r="GN40" s="15" t="s">
        <v>73</v>
      </c>
      <c r="GO40" s="15" t="s">
        <v>73</v>
      </c>
      <c r="GP40" s="15" t="s">
        <v>73</v>
      </c>
      <c r="GQ40" s="15" t="s">
        <v>73</v>
      </c>
      <c r="GR40" s="15" t="s">
        <v>73</v>
      </c>
      <c r="GS40" s="15" t="s">
        <v>73</v>
      </c>
      <c r="GT40" s="15" t="s">
        <v>73</v>
      </c>
      <c r="GU40" s="15" t="s">
        <v>73</v>
      </c>
      <c r="GV40" s="15" t="s">
        <v>73</v>
      </c>
      <c r="GW40" s="15" t="s">
        <v>73</v>
      </c>
      <c r="GX40" s="15" t="s">
        <v>73</v>
      </c>
      <c r="GY40" s="15" t="s">
        <v>73</v>
      </c>
      <c r="GZ40" s="15" t="s">
        <v>73</v>
      </c>
      <c r="HA40" s="15" t="s">
        <v>73</v>
      </c>
      <c r="HB40" s="15" t="s">
        <v>73</v>
      </c>
      <c r="HC40" s="15" t="s">
        <v>73</v>
      </c>
      <c r="HD40" s="15" t="s">
        <v>73</v>
      </c>
      <c r="HE40" s="15" t="s">
        <v>73</v>
      </c>
      <c r="HF40" s="15" t="s">
        <v>73</v>
      </c>
      <c r="HG40" s="15" t="s">
        <v>73</v>
      </c>
      <c r="HH40" s="15" t="s">
        <v>73</v>
      </c>
      <c r="HI40" s="15" t="s">
        <v>73</v>
      </c>
      <c r="HJ40" s="15" t="s">
        <v>73</v>
      </c>
      <c r="HK40" s="15" t="s">
        <v>73</v>
      </c>
      <c r="HL40" s="15" t="s">
        <v>73</v>
      </c>
      <c r="HM40" s="15" t="s">
        <v>73</v>
      </c>
      <c r="HN40" s="15" t="s">
        <v>73</v>
      </c>
      <c r="HO40" s="15" t="s">
        <v>73</v>
      </c>
      <c r="HP40" s="15" t="s">
        <v>73</v>
      </c>
      <c r="HQ40" s="15" t="s">
        <v>73</v>
      </c>
      <c r="HR40" s="15" t="s">
        <v>73</v>
      </c>
      <c r="HS40" s="15" t="s">
        <v>73</v>
      </c>
      <c r="HT40" s="15" t="s">
        <v>73</v>
      </c>
      <c r="HU40" s="15" t="s">
        <v>73</v>
      </c>
      <c r="HV40" s="15" t="s">
        <v>73</v>
      </c>
      <c r="HW40" s="15" t="s">
        <v>73</v>
      </c>
      <c r="HX40" s="15" t="s">
        <v>73</v>
      </c>
      <c r="HY40" s="15" t="s">
        <v>73</v>
      </c>
      <c r="HZ40" s="15" t="s">
        <v>73</v>
      </c>
      <c r="IA40" s="15" t="s">
        <v>73</v>
      </c>
      <c r="IB40" s="15"/>
      <c r="IC40" s="15" t="s">
        <v>73</v>
      </c>
      <c r="ID40" s="15" t="s">
        <v>73</v>
      </c>
      <c r="IE40" s="15" t="s">
        <v>73</v>
      </c>
      <c r="IF40" s="15" t="s">
        <v>73</v>
      </c>
      <c r="IG40" s="15" t="s">
        <v>73</v>
      </c>
      <c r="IH40" s="15" t="s">
        <v>73</v>
      </c>
      <c r="II40" s="15" t="s">
        <v>73</v>
      </c>
      <c r="IJ40" s="15" t="s">
        <v>73</v>
      </c>
      <c r="IK40" s="15"/>
      <c r="IL40" s="15" t="s">
        <v>73</v>
      </c>
      <c r="IM40" s="15" t="s">
        <v>73</v>
      </c>
      <c r="IN40" s="15" t="s">
        <v>73</v>
      </c>
      <c r="IO40" s="15" t="s">
        <v>73</v>
      </c>
      <c r="IP40" s="15" t="s">
        <v>73</v>
      </c>
      <c r="IQ40" s="15" t="s">
        <v>73</v>
      </c>
      <c r="IR40" s="15" t="s">
        <v>73</v>
      </c>
      <c r="IS40" s="15" t="s">
        <v>73</v>
      </c>
      <c r="IT40" s="15" t="s">
        <v>73</v>
      </c>
      <c r="IU40" s="15" t="s">
        <v>73</v>
      </c>
      <c r="IV40" s="15" t="s">
        <v>73</v>
      </c>
      <c r="IW40" s="15" t="s">
        <v>73</v>
      </c>
      <c r="IX40" s="15" t="s">
        <v>73</v>
      </c>
      <c r="IY40" s="15" t="s">
        <v>73</v>
      </c>
      <c r="IZ40" s="15" t="s">
        <v>73</v>
      </c>
      <c r="JA40" s="15" t="s">
        <v>73</v>
      </c>
      <c r="JB40" s="15" t="s">
        <v>73</v>
      </c>
      <c r="JC40" s="15" t="s">
        <v>73</v>
      </c>
      <c r="JD40" s="20" t="s">
        <v>188</v>
      </c>
      <c r="JE40" s="20" t="s">
        <v>188</v>
      </c>
      <c r="JF40" s="20" t="s">
        <v>192</v>
      </c>
      <c r="JG40" s="20" t="s">
        <v>188</v>
      </c>
      <c r="JH40" s="20" t="s">
        <v>188</v>
      </c>
      <c r="JI40" s="20" t="s">
        <v>188</v>
      </c>
      <c r="JJ40" s="20" t="s">
        <v>188</v>
      </c>
      <c r="JK40" s="20" t="s">
        <v>188</v>
      </c>
      <c r="JL40" s="20" t="s">
        <v>73</v>
      </c>
      <c r="JM40" s="20" t="s">
        <v>192</v>
      </c>
      <c r="JN40" s="20" t="s">
        <v>188</v>
      </c>
      <c r="JO40" s="20" t="s">
        <v>188</v>
      </c>
      <c r="JP40" s="20" t="s">
        <v>188</v>
      </c>
      <c r="JQ40" s="20" t="s">
        <v>188</v>
      </c>
      <c r="JR40" s="20" t="s">
        <v>188</v>
      </c>
      <c r="JS40" s="20" t="s">
        <v>188</v>
      </c>
      <c r="JT40" s="20" t="s">
        <v>188</v>
      </c>
      <c r="JU40" s="20" t="s">
        <v>188</v>
      </c>
      <c r="JV40" s="20" t="s">
        <v>188</v>
      </c>
      <c r="JW40" s="20" t="s">
        <v>192</v>
      </c>
      <c r="JX40" s="20" t="s">
        <v>192</v>
      </c>
      <c r="JY40" s="20" t="s">
        <v>192</v>
      </c>
      <c r="JZ40" s="20" t="s">
        <v>192</v>
      </c>
      <c r="KA40" s="20" t="s">
        <v>192</v>
      </c>
      <c r="KB40" s="20" t="s">
        <v>192</v>
      </c>
      <c r="KC40" s="20" t="s">
        <v>73</v>
      </c>
      <c r="KD40" s="20" t="s">
        <v>73</v>
      </c>
      <c r="KE40" s="20" t="s">
        <v>192</v>
      </c>
      <c r="KF40" s="20" t="s">
        <v>192</v>
      </c>
      <c r="KG40" s="20" t="s">
        <v>188</v>
      </c>
      <c r="KH40" s="20" t="s">
        <v>188</v>
      </c>
      <c r="KI40" s="20" t="s">
        <v>73</v>
      </c>
      <c r="KJ40" s="20" t="s">
        <v>73</v>
      </c>
      <c r="KK40" s="20" t="s">
        <v>188</v>
      </c>
      <c r="KL40" s="20" t="s">
        <v>188</v>
      </c>
      <c r="KM40" s="20" t="s">
        <v>73</v>
      </c>
      <c r="KN40" s="20" t="s">
        <v>73</v>
      </c>
      <c r="KO40" s="20" t="s">
        <v>73</v>
      </c>
      <c r="KP40" s="20" t="s">
        <v>73</v>
      </c>
      <c r="KQ40" s="20" t="s">
        <v>73</v>
      </c>
      <c r="KR40" s="20" t="s">
        <v>73</v>
      </c>
      <c r="KS40" s="20" t="s">
        <v>73</v>
      </c>
      <c r="KT40" s="20" t="s">
        <v>73</v>
      </c>
      <c r="KU40" s="20" t="s">
        <v>73</v>
      </c>
      <c r="KV40" s="20" t="s">
        <v>73</v>
      </c>
      <c r="KW40" s="20" t="s">
        <v>73</v>
      </c>
      <c r="KX40" s="20" t="s">
        <v>73</v>
      </c>
      <c r="KY40" s="20" t="s">
        <v>73</v>
      </c>
      <c r="KZ40" s="20" t="s">
        <v>73</v>
      </c>
      <c r="LA40" s="20" t="s">
        <v>73</v>
      </c>
      <c r="LB40" s="20" t="s">
        <v>73</v>
      </c>
      <c r="LC40" s="20" t="s">
        <v>73</v>
      </c>
      <c r="LD40" s="20" t="s">
        <v>73</v>
      </c>
      <c r="LE40" s="20" t="s">
        <v>73</v>
      </c>
      <c r="LF40" s="20" t="s">
        <v>73</v>
      </c>
      <c r="LG40" s="20" t="s">
        <v>73</v>
      </c>
      <c r="LH40" s="20" t="s">
        <v>73</v>
      </c>
      <c r="LI40" s="20" t="s">
        <v>73</v>
      </c>
      <c r="LJ40" s="20" t="s">
        <v>73</v>
      </c>
      <c r="LK40" s="20" t="s">
        <v>73</v>
      </c>
      <c r="LL40" s="20" t="s">
        <v>73</v>
      </c>
      <c r="LM40" s="20" t="s">
        <v>73</v>
      </c>
      <c r="LN40" s="20" t="s">
        <v>73</v>
      </c>
      <c r="LO40" s="20" t="s">
        <v>73</v>
      </c>
      <c r="LP40" s="20" t="s">
        <v>73</v>
      </c>
      <c r="LQ40" s="15" t="s">
        <v>73</v>
      </c>
      <c r="LR40" s="15" t="s">
        <v>73</v>
      </c>
      <c r="LS40" s="15" t="s">
        <v>73</v>
      </c>
      <c r="LT40" s="15" t="s">
        <v>73</v>
      </c>
      <c r="LU40" s="20" t="s">
        <v>192</v>
      </c>
      <c r="LV40" s="20" t="s">
        <v>188</v>
      </c>
      <c r="LW40" s="20" t="s">
        <v>73</v>
      </c>
      <c r="LX40" s="20" t="s">
        <v>192</v>
      </c>
      <c r="LY40" s="20" t="s">
        <v>188</v>
      </c>
      <c r="LZ40" s="20" t="s">
        <v>192</v>
      </c>
      <c r="MA40" s="20" t="s">
        <v>73</v>
      </c>
      <c r="MB40" s="20" t="s">
        <v>188</v>
      </c>
      <c r="MC40" s="20" t="s">
        <v>188</v>
      </c>
      <c r="MD40" s="20" t="s">
        <v>73</v>
      </c>
      <c r="ME40" s="20" t="s">
        <v>73</v>
      </c>
      <c r="MF40" s="20" t="s">
        <v>188</v>
      </c>
      <c r="MG40" s="15" t="s">
        <v>73</v>
      </c>
      <c r="MH40" s="15" t="s">
        <v>73</v>
      </c>
      <c r="MI40" s="20" t="s">
        <v>188</v>
      </c>
      <c r="MJ40" s="15" t="s">
        <v>188</v>
      </c>
      <c r="MK40" s="15" t="s">
        <v>188</v>
      </c>
      <c r="ML40" s="15" t="s">
        <v>188</v>
      </c>
      <c r="MM40" s="15" t="s">
        <v>188</v>
      </c>
      <c r="MN40" s="15" t="s">
        <v>188</v>
      </c>
      <c r="MO40" s="15" t="s">
        <v>188</v>
      </c>
      <c r="MP40" s="15" t="s">
        <v>188</v>
      </c>
      <c r="MQ40" s="15" t="s">
        <v>188</v>
      </c>
      <c r="MR40" s="15" t="s">
        <v>188</v>
      </c>
      <c r="MS40" s="20" t="s">
        <v>188</v>
      </c>
      <c r="MT40" s="15" t="s">
        <v>188</v>
      </c>
      <c r="MU40" s="15" t="s">
        <v>188</v>
      </c>
      <c r="MV40" s="15" t="s">
        <v>188</v>
      </c>
      <c r="MW40" s="15" t="s">
        <v>188</v>
      </c>
      <c r="MX40" s="15" t="s">
        <v>188</v>
      </c>
      <c r="MY40" s="15" t="s">
        <v>188</v>
      </c>
      <c r="MZ40" s="15" t="s">
        <v>188</v>
      </c>
      <c r="NA40" s="15" t="s">
        <v>188</v>
      </c>
      <c r="NB40" s="15" t="s">
        <v>188</v>
      </c>
      <c r="NC40" s="20" t="s">
        <v>188</v>
      </c>
      <c r="ND40" s="15" t="s">
        <v>188</v>
      </c>
      <c r="NE40" s="15" t="s">
        <v>188</v>
      </c>
      <c r="NF40" s="15" t="s">
        <v>188</v>
      </c>
      <c r="NG40" s="15" t="s">
        <v>188</v>
      </c>
      <c r="NH40" s="15" t="s">
        <v>188</v>
      </c>
      <c r="NI40" s="15" t="s">
        <v>188</v>
      </c>
      <c r="NJ40" s="15" t="s">
        <v>188</v>
      </c>
      <c r="NK40" s="15" t="s">
        <v>188</v>
      </c>
      <c r="NL40" s="15" t="s">
        <v>188</v>
      </c>
      <c r="NM40" s="20" t="s">
        <v>73</v>
      </c>
      <c r="NN40" s="20" t="s">
        <v>73</v>
      </c>
      <c r="NO40" s="15" t="s">
        <v>73</v>
      </c>
      <c r="NP40" s="15" t="s">
        <v>73</v>
      </c>
      <c r="NQ40" s="15" t="s">
        <v>73</v>
      </c>
      <c r="NR40" s="20" t="s">
        <v>188</v>
      </c>
      <c r="NS40" s="20" t="s">
        <v>188</v>
      </c>
      <c r="NT40" s="15" t="s">
        <v>73</v>
      </c>
      <c r="NU40" s="20" t="s">
        <v>73</v>
      </c>
      <c r="NV40" s="20" t="s">
        <v>188</v>
      </c>
      <c r="NW40" s="20" t="s">
        <v>73</v>
      </c>
      <c r="NX40" s="20" t="s">
        <v>192</v>
      </c>
      <c r="NY40" s="20" t="s">
        <v>188</v>
      </c>
      <c r="NZ40" s="20" t="s">
        <v>192</v>
      </c>
      <c r="OA40" s="20" t="s">
        <v>192</v>
      </c>
      <c r="OB40" s="15" t="s">
        <v>73</v>
      </c>
      <c r="OC40" s="15" t="s">
        <v>73</v>
      </c>
      <c r="OD40" s="20" t="s">
        <v>192</v>
      </c>
      <c r="OE40" s="20" t="s">
        <v>192</v>
      </c>
      <c r="OF40" s="20" t="s">
        <v>192</v>
      </c>
      <c r="OG40" s="20" t="s">
        <v>192</v>
      </c>
      <c r="OH40" s="20" t="s">
        <v>192</v>
      </c>
      <c r="OI40" s="20" t="s">
        <v>192</v>
      </c>
      <c r="OJ40" s="20" t="s">
        <v>192</v>
      </c>
      <c r="OK40" s="20" t="s">
        <v>73</v>
      </c>
      <c r="OL40" s="20" t="s">
        <v>188</v>
      </c>
      <c r="OM40" s="20" t="s">
        <v>188</v>
      </c>
      <c r="ON40" s="20" t="s">
        <v>188</v>
      </c>
      <c r="OO40" s="20" t="s">
        <v>188</v>
      </c>
      <c r="OP40" s="20" t="s">
        <v>188</v>
      </c>
      <c r="OQ40" s="20" t="s">
        <v>188</v>
      </c>
      <c r="OR40" s="20" t="s">
        <v>188</v>
      </c>
      <c r="OS40" s="20" t="s">
        <v>188</v>
      </c>
      <c r="OT40" s="20" t="s">
        <v>73</v>
      </c>
      <c r="OU40" s="20" t="s">
        <v>192</v>
      </c>
      <c r="OV40" s="20" t="s">
        <v>192</v>
      </c>
      <c r="OW40" s="20" t="s">
        <v>192</v>
      </c>
      <c r="OX40" s="20" t="s">
        <v>192</v>
      </c>
      <c r="OY40" s="20" t="s">
        <v>192</v>
      </c>
      <c r="OZ40" s="20" t="s">
        <v>192</v>
      </c>
      <c r="PA40" s="20" t="s">
        <v>192</v>
      </c>
      <c r="PB40" s="20" t="s">
        <v>192</v>
      </c>
      <c r="PC40" s="20" t="s">
        <v>192</v>
      </c>
      <c r="PD40" s="20" t="s">
        <v>192</v>
      </c>
      <c r="PE40" s="20" t="s">
        <v>192</v>
      </c>
      <c r="PF40" s="20" t="s">
        <v>192</v>
      </c>
      <c r="PG40" s="20" t="s">
        <v>192</v>
      </c>
      <c r="PH40" s="20" t="s">
        <v>192</v>
      </c>
      <c r="PI40" s="20" t="s">
        <v>192</v>
      </c>
      <c r="PJ40" s="20" t="s">
        <v>192</v>
      </c>
      <c r="PK40" s="20" t="s">
        <v>192</v>
      </c>
      <c r="PL40" s="20" t="s">
        <v>192</v>
      </c>
      <c r="PM40" s="20" t="s">
        <v>188</v>
      </c>
      <c r="PN40" s="20" t="s">
        <v>73</v>
      </c>
      <c r="PO40" s="20" t="s">
        <v>188</v>
      </c>
      <c r="PP40" s="20" t="s">
        <v>188</v>
      </c>
      <c r="PQ40" s="20" t="s">
        <v>188</v>
      </c>
      <c r="PR40" s="20" t="s">
        <v>192</v>
      </c>
      <c r="PS40" s="20" t="s">
        <v>192</v>
      </c>
      <c r="PT40" s="20" t="s">
        <v>192</v>
      </c>
      <c r="PU40" s="20" t="s">
        <v>192</v>
      </c>
      <c r="PV40" s="20" t="s">
        <v>73</v>
      </c>
      <c r="PW40" s="20" t="s">
        <v>192</v>
      </c>
      <c r="PX40" s="20" t="s">
        <v>188</v>
      </c>
      <c r="PY40" s="15" t="s">
        <v>73</v>
      </c>
      <c r="PZ40" s="15" t="s">
        <v>73</v>
      </c>
      <c r="QA40" s="15" t="s">
        <v>73</v>
      </c>
      <c r="QB40" s="15" t="s">
        <v>73</v>
      </c>
      <c r="QC40" s="15" t="s">
        <v>73</v>
      </c>
      <c r="QD40" s="20" t="s">
        <v>188</v>
      </c>
      <c r="QE40" s="20" t="s">
        <v>188</v>
      </c>
      <c r="QF40" s="20" t="s">
        <v>188</v>
      </c>
      <c r="QG40" s="20" t="s">
        <v>188</v>
      </c>
      <c r="QH40" s="20" t="s">
        <v>73</v>
      </c>
      <c r="QI40" s="20" t="s">
        <v>188</v>
      </c>
      <c r="QJ40" s="20" t="s">
        <v>73</v>
      </c>
      <c r="QK40" s="20" t="s">
        <v>188</v>
      </c>
      <c r="QL40" s="20" t="s">
        <v>192</v>
      </c>
      <c r="QM40" s="20" t="s">
        <v>73</v>
      </c>
      <c r="QN40" s="15" t="s">
        <v>188</v>
      </c>
      <c r="QO40" s="15" t="s">
        <v>188</v>
      </c>
      <c r="QP40" s="15" t="s">
        <v>188</v>
      </c>
      <c r="QQ40" s="15" t="s">
        <v>188</v>
      </c>
      <c r="QR40" s="15" t="s">
        <v>188</v>
      </c>
      <c r="QS40" s="15" t="s">
        <v>188</v>
      </c>
      <c r="QT40" s="15" t="s">
        <v>188</v>
      </c>
      <c r="QU40" s="15" t="s">
        <v>188</v>
      </c>
      <c r="QV40" s="15" t="s">
        <v>188</v>
      </c>
      <c r="QW40" s="15" t="s">
        <v>188</v>
      </c>
      <c r="QX40" s="15" t="s">
        <v>188</v>
      </c>
      <c r="QY40" s="15" t="s">
        <v>188</v>
      </c>
      <c r="QZ40" s="15" t="s">
        <v>188</v>
      </c>
      <c r="RA40" s="15" t="s">
        <v>188</v>
      </c>
      <c r="RB40" s="15" t="s">
        <v>188</v>
      </c>
      <c r="RC40" s="15" t="s">
        <v>188</v>
      </c>
      <c r="RD40" s="15" t="s">
        <v>188</v>
      </c>
      <c r="RE40" s="15" t="s">
        <v>188</v>
      </c>
      <c r="RF40" s="15" t="s">
        <v>188</v>
      </c>
      <c r="RG40" s="15" t="s">
        <v>188</v>
      </c>
      <c r="RH40" s="15" t="s">
        <v>188</v>
      </c>
      <c r="RI40" s="15" t="s">
        <v>188</v>
      </c>
      <c r="RJ40" s="15" t="s">
        <v>188</v>
      </c>
      <c r="RK40" s="15" t="s">
        <v>188</v>
      </c>
      <c r="RL40" s="15" t="s">
        <v>188</v>
      </c>
      <c r="RM40" s="15" t="s">
        <v>188</v>
      </c>
      <c r="RN40" s="15" t="s">
        <v>188</v>
      </c>
      <c r="RO40" s="15" t="s">
        <v>188</v>
      </c>
      <c r="RP40" s="15" t="s">
        <v>188</v>
      </c>
      <c r="RQ40" s="15" t="s">
        <v>188</v>
      </c>
      <c r="RR40" s="15" t="s">
        <v>188</v>
      </c>
      <c r="RS40" s="15"/>
      <c r="RT40" s="15" t="s">
        <v>73</v>
      </c>
      <c r="RU40" s="15" t="s">
        <v>73</v>
      </c>
      <c r="RV40" s="15" t="s">
        <v>73</v>
      </c>
      <c r="RW40" s="15" t="s">
        <v>73</v>
      </c>
      <c r="RX40" s="15" t="s">
        <v>73</v>
      </c>
      <c r="RY40" s="15" t="s">
        <v>73</v>
      </c>
      <c r="RZ40" s="15" t="s">
        <v>73</v>
      </c>
      <c r="SA40" s="20" t="s">
        <v>192</v>
      </c>
      <c r="SB40" s="20" t="s">
        <v>192</v>
      </c>
      <c r="SC40" s="15" t="s">
        <v>73</v>
      </c>
      <c r="SD40" s="20" t="s">
        <v>73</v>
      </c>
      <c r="SE40" s="20" t="s">
        <v>188</v>
      </c>
      <c r="SF40" s="20" t="s">
        <v>73</v>
      </c>
      <c r="SG40" s="20" t="s">
        <v>192</v>
      </c>
      <c r="SH40" s="20" t="s">
        <v>188</v>
      </c>
      <c r="SI40" s="20" t="s">
        <v>192</v>
      </c>
      <c r="SJ40" s="20" t="s">
        <v>192</v>
      </c>
      <c r="SK40" s="15" t="s">
        <v>73</v>
      </c>
      <c r="SL40" s="15" t="s">
        <v>73</v>
      </c>
      <c r="SM40" s="20" t="s">
        <v>192</v>
      </c>
      <c r="SN40" s="20" t="s">
        <v>192</v>
      </c>
      <c r="SO40" s="20" t="s">
        <v>192</v>
      </c>
      <c r="SP40" s="20" t="s">
        <v>192</v>
      </c>
      <c r="SQ40" s="20" t="s">
        <v>192</v>
      </c>
      <c r="SR40" s="20" t="s">
        <v>192</v>
      </c>
      <c r="SS40" s="20" t="s">
        <v>192</v>
      </c>
      <c r="ST40" s="20" t="s">
        <v>73</v>
      </c>
      <c r="SU40" s="20" t="s">
        <v>188</v>
      </c>
      <c r="SV40" s="20" t="s">
        <v>188</v>
      </c>
      <c r="SW40" s="20" t="s">
        <v>188</v>
      </c>
      <c r="SX40" s="20" t="s">
        <v>188</v>
      </c>
      <c r="SY40" s="20" t="s">
        <v>188</v>
      </c>
      <c r="SZ40" s="20" t="s">
        <v>188</v>
      </c>
      <c r="TA40" s="20" t="s">
        <v>188</v>
      </c>
      <c r="TB40" s="20" t="s">
        <v>188</v>
      </c>
      <c r="TC40" s="20" t="s">
        <v>73</v>
      </c>
      <c r="TD40" s="20" t="s">
        <v>192</v>
      </c>
      <c r="TE40" s="20" t="s">
        <v>192</v>
      </c>
      <c r="TF40" s="20" t="s">
        <v>192</v>
      </c>
      <c r="TG40" s="20" t="s">
        <v>192</v>
      </c>
      <c r="TH40" s="20" t="s">
        <v>192</v>
      </c>
      <c r="TI40" s="20" t="s">
        <v>192</v>
      </c>
      <c r="TJ40" s="20" t="s">
        <v>192</v>
      </c>
      <c r="TK40" s="20" t="s">
        <v>192</v>
      </c>
      <c r="TL40" s="20" t="s">
        <v>192</v>
      </c>
      <c r="TM40" s="20" t="s">
        <v>192</v>
      </c>
      <c r="TN40" s="20" t="s">
        <v>192</v>
      </c>
      <c r="TO40" s="20" t="s">
        <v>192</v>
      </c>
      <c r="TP40" s="20" t="s">
        <v>192</v>
      </c>
      <c r="TQ40" s="20" t="s">
        <v>192</v>
      </c>
      <c r="TR40" s="20" t="s">
        <v>192</v>
      </c>
      <c r="TS40" s="20" t="s">
        <v>192</v>
      </c>
      <c r="TT40" s="20" t="s">
        <v>192</v>
      </c>
      <c r="TU40" s="20" t="s">
        <v>188</v>
      </c>
      <c r="TV40" s="20" t="s">
        <v>73</v>
      </c>
      <c r="TW40" s="20" t="s">
        <v>188</v>
      </c>
      <c r="TX40" s="20" t="s">
        <v>188</v>
      </c>
      <c r="TY40" s="20" t="s">
        <v>188</v>
      </c>
      <c r="TZ40" s="20" t="s">
        <v>192</v>
      </c>
      <c r="UA40" s="20" t="s">
        <v>192</v>
      </c>
      <c r="UB40" s="20" t="s">
        <v>192</v>
      </c>
      <c r="UC40" s="20" t="s">
        <v>192</v>
      </c>
      <c r="UD40" s="20" t="s">
        <v>73</v>
      </c>
      <c r="UE40" s="20" t="s">
        <v>192</v>
      </c>
      <c r="UF40" s="20" t="s">
        <v>188</v>
      </c>
      <c r="UG40" s="15" t="s">
        <v>73</v>
      </c>
      <c r="UH40" s="15" t="s">
        <v>73</v>
      </c>
      <c r="UI40" s="15" t="s">
        <v>73</v>
      </c>
      <c r="UJ40" s="15" t="s">
        <v>73</v>
      </c>
      <c r="UK40" s="15" t="s">
        <v>73</v>
      </c>
      <c r="UL40" s="20" t="s">
        <v>188</v>
      </c>
      <c r="UM40" s="20" t="s">
        <v>188</v>
      </c>
      <c r="UN40" s="20" t="s">
        <v>188</v>
      </c>
      <c r="UO40" s="20" t="s">
        <v>188</v>
      </c>
      <c r="UP40" s="20" t="s">
        <v>73</v>
      </c>
      <c r="UQ40" s="20" t="s">
        <v>188</v>
      </c>
      <c r="UR40" s="20" t="s">
        <v>73</v>
      </c>
      <c r="US40" s="20" t="s">
        <v>188</v>
      </c>
      <c r="UT40" s="20" t="s">
        <v>192</v>
      </c>
      <c r="UU40" s="20" t="s">
        <v>73</v>
      </c>
      <c r="UV40" s="15" t="s">
        <v>188</v>
      </c>
      <c r="UW40" s="15" t="s">
        <v>188</v>
      </c>
      <c r="UX40" s="15" t="s">
        <v>188</v>
      </c>
      <c r="UY40" s="15" t="s">
        <v>188</v>
      </c>
      <c r="UZ40" s="15" t="s">
        <v>188</v>
      </c>
      <c r="VA40" s="15" t="s">
        <v>188</v>
      </c>
      <c r="VB40" s="15" t="s">
        <v>188</v>
      </c>
      <c r="VC40" s="15" t="s">
        <v>188</v>
      </c>
      <c r="VD40" s="15" t="s">
        <v>188</v>
      </c>
      <c r="VE40" s="15" t="s">
        <v>188</v>
      </c>
      <c r="VF40" s="15" t="s">
        <v>188</v>
      </c>
      <c r="VG40" s="15" t="s">
        <v>188</v>
      </c>
      <c r="VH40" s="15" t="s">
        <v>188</v>
      </c>
      <c r="VI40" s="15" t="s">
        <v>188</v>
      </c>
      <c r="VJ40" s="15" t="s">
        <v>188</v>
      </c>
      <c r="VK40" s="15" t="s">
        <v>188</v>
      </c>
      <c r="VL40" s="15" t="s">
        <v>188</v>
      </c>
      <c r="VM40" s="15" t="s">
        <v>188</v>
      </c>
      <c r="VN40" s="15" t="s">
        <v>188</v>
      </c>
      <c r="VO40" s="15" t="s">
        <v>188</v>
      </c>
      <c r="VP40" s="15" t="s">
        <v>188</v>
      </c>
      <c r="VQ40" s="15" t="s">
        <v>188</v>
      </c>
      <c r="VR40" s="15" t="s">
        <v>188</v>
      </c>
      <c r="VS40" s="15" t="s">
        <v>188</v>
      </c>
      <c r="VT40" s="15" t="s">
        <v>188</v>
      </c>
      <c r="VU40" s="15" t="s">
        <v>188</v>
      </c>
      <c r="VV40" s="15" t="s">
        <v>188</v>
      </c>
      <c r="VW40" s="15" t="s">
        <v>188</v>
      </c>
      <c r="VX40" s="15" t="s">
        <v>188</v>
      </c>
      <c r="VY40" s="15" t="s">
        <v>188</v>
      </c>
      <c r="VZ40" s="15" t="s">
        <v>188</v>
      </c>
      <c r="WA40" s="15" t="s">
        <v>188</v>
      </c>
      <c r="WB40" s="15" t="s">
        <v>188</v>
      </c>
      <c r="WC40" s="20" t="s">
        <v>188</v>
      </c>
      <c r="WD40" s="20" t="s">
        <v>73</v>
      </c>
      <c r="WE40" s="15" t="s">
        <v>188</v>
      </c>
      <c r="WF40" s="15" t="s">
        <v>188</v>
      </c>
      <c r="WG40" s="15" t="s">
        <v>188</v>
      </c>
      <c r="WH40" s="15" t="s">
        <v>188</v>
      </c>
      <c r="WI40" s="15" t="s">
        <v>188</v>
      </c>
      <c r="WJ40" s="15" t="s">
        <v>188</v>
      </c>
      <c r="WK40" s="15" t="s">
        <v>188</v>
      </c>
      <c r="WL40" s="15" t="s">
        <v>188</v>
      </c>
      <c r="WM40" s="15" t="s">
        <v>188</v>
      </c>
      <c r="WN40" s="15" t="s">
        <v>188</v>
      </c>
      <c r="WO40" s="15" t="s">
        <v>188</v>
      </c>
      <c r="WP40" s="15" t="s">
        <v>188</v>
      </c>
      <c r="WQ40" s="15" t="s">
        <v>188</v>
      </c>
      <c r="WR40" s="15" t="s">
        <v>188</v>
      </c>
      <c r="WS40" s="15" t="s">
        <v>188</v>
      </c>
      <c r="WT40" s="15" t="s">
        <v>188</v>
      </c>
      <c r="WU40" s="20" t="s">
        <v>192</v>
      </c>
      <c r="WV40" s="15" t="s">
        <v>188</v>
      </c>
      <c r="WW40" s="20" t="s">
        <v>192</v>
      </c>
      <c r="WX40" s="15" t="s">
        <v>188</v>
      </c>
      <c r="WY40" s="15" t="s">
        <v>188</v>
      </c>
      <c r="WZ40" s="15" t="s">
        <v>188</v>
      </c>
      <c r="XA40" s="15" t="s">
        <v>188</v>
      </c>
      <c r="XB40" s="15" t="s">
        <v>188</v>
      </c>
      <c r="XC40" s="15" t="s">
        <v>188</v>
      </c>
      <c r="XD40" s="15" t="s">
        <v>188</v>
      </c>
      <c r="XE40" s="15" t="s">
        <v>188</v>
      </c>
      <c r="XF40" s="15" t="s">
        <v>188</v>
      </c>
      <c r="XG40" s="15" t="s">
        <v>188</v>
      </c>
      <c r="XH40" s="15" t="s">
        <v>188</v>
      </c>
      <c r="XI40" s="15" t="s">
        <v>188</v>
      </c>
      <c r="XJ40" s="15" t="s">
        <v>188</v>
      </c>
      <c r="XK40" s="15" t="s">
        <v>188</v>
      </c>
      <c r="XL40" s="15" t="s">
        <v>188</v>
      </c>
      <c r="XM40" s="15" t="s">
        <v>188</v>
      </c>
      <c r="XN40" s="15" t="s">
        <v>188</v>
      </c>
      <c r="XO40" s="15" t="s">
        <v>188</v>
      </c>
      <c r="XP40" s="15" t="s">
        <v>188</v>
      </c>
      <c r="XQ40" s="15" t="s">
        <v>188</v>
      </c>
      <c r="XR40" s="15" t="s">
        <v>188</v>
      </c>
      <c r="XS40" s="15" t="s">
        <v>188</v>
      </c>
      <c r="XT40" s="15" t="s">
        <v>188</v>
      </c>
      <c r="XU40" s="15" t="s">
        <v>188</v>
      </c>
      <c r="XV40" s="15" t="s">
        <v>188</v>
      </c>
      <c r="XW40" s="15" t="s">
        <v>188</v>
      </c>
      <c r="XX40" s="15" t="s">
        <v>188</v>
      </c>
      <c r="XY40" s="15" t="s">
        <v>188</v>
      </c>
      <c r="XZ40" s="15" t="s">
        <v>188</v>
      </c>
      <c r="YA40" s="15" t="s">
        <v>188</v>
      </c>
      <c r="YB40" s="15" t="s">
        <v>188</v>
      </c>
      <c r="YC40" s="15" t="s">
        <v>188</v>
      </c>
      <c r="YD40" s="15" t="s">
        <v>188</v>
      </c>
      <c r="YE40" s="15" t="s">
        <v>188</v>
      </c>
      <c r="YF40" s="20" t="s">
        <v>192</v>
      </c>
      <c r="YG40" s="15" t="s">
        <v>188</v>
      </c>
      <c r="YH40" s="15" t="s">
        <v>188</v>
      </c>
      <c r="YI40" s="15" t="s">
        <v>188</v>
      </c>
      <c r="YJ40" s="15" t="s">
        <v>188</v>
      </c>
      <c r="YK40" s="15" t="s">
        <v>188</v>
      </c>
      <c r="YL40" s="15" t="s">
        <v>188</v>
      </c>
      <c r="YM40" s="15" t="s">
        <v>188</v>
      </c>
      <c r="YN40" s="15" t="s">
        <v>188</v>
      </c>
      <c r="YO40" s="15" t="s">
        <v>188</v>
      </c>
      <c r="YP40" s="15" t="s">
        <v>188</v>
      </c>
      <c r="YQ40" s="15" t="s">
        <v>188</v>
      </c>
      <c r="YR40" s="15" t="s">
        <v>188</v>
      </c>
      <c r="YS40" s="15" t="s">
        <v>188</v>
      </c>
      <c r="YT40" s="15" t="s">
        <v>188</v>
      </c>
      <c r="YU40" s="15" t="s">
        <v>188</v>
      </c>
      <c r="YV40" s="15" t="s">
        <v>188</v>
      </c>
      <c r="YW40" s="15" t="s">
        <v>188</v>
      </c>
      <c r="YX40" s="15" t="s">
        <v>188</v>
      </c>
      <c r="YY40" s="15" t="s">
        <v>188</v>
      </c>
      <c r="YZ40" s="15" t="s">
        <v>188</v>
      </c>
      <c r="ZA40" s="15" t="s">
        <v>188</v>
      </c>
      <c r="ZB40" s="15" t="s">
        <v>188</v>
      </c>
      <c r="ZC40" s="15" t="s">
        <v>188</v>
      </c>
      <c r="ZD40" s="15" t="s">
        <v>188</v>
      </c>
      <c r="ZE40" s="15" t="s">
        <v>188</v>
      </c>
      <c r="ZF40" s="15" t="s">
        <v>188</v>
      </c>
      <c r="ZG40" s="15" t="s">
        <v>188</v>
      </c>
      <c r="ZH40" s="15" t="s">
        <v>188</v>
      </c>
      <c r="ZI40" s="15" t="s">
        <v>188</v>
      </c>
      <c r="ZJ40" s="15" t="s">
        <v>188</v>
      </c>
      <c r="ZK40" s="15" t="s">
        <v>188</v>
      </c>
      <c r="ZL40" s="15" t="s">
        <v>188</v>
      </c>
      <c r="ZM40" s="15" t="s">
        <v>188</v>
      </c>
      <c r="ZN40" s="15" t="s">
        <v>188</v>
      </c>
      <c r="ZO40" s="15" t="s">
        <v>188</v>
      </c>
      <c r="ZP40" s="15" t="s">
        <v>188</v>
      </c>
      <c r="ZQ40" s="15" t="s">
        <v>73</v>
      </c>
      <c r="ZR40" s="15" t="s">
        <v>188</v>
      </c>
      <c r="ZS40" s="15" t="s">
        <v>188</v>
      </c>
      <c r="ZT40" s="15" t="s">
        <v>188</v>
      </c>
      <c r="ZU40" s="15" t="s">
        <v>188</v>
      </c>
      <c r="ZV40" s="15" t="s">
        <v>188</v>
      </c>
      <c r="ZW40" s="15" t="s">
        <v>188</v>
      </c>
      <c r="ZX40" s="15" t="s">
        <v>73</v>
      </c>
      <c r="ZY40" s="15" t="s">
        <v>188</v>
      </c>
      <c r="ZZ40" s="15" t="s">
        <v>188</v>
      </c>
      <c r="AAA40" s="15" t="s">
        <v>188</v>
      </c>
      <c r="AAB40" s="15" t="s">
        <v>188</v>
      </c>
      <c r="AAC40" s="15" t="s">
        <v>188</v>
      </c>
      <c r="AAD40" s="15" t="s">
        <v>188</v>
      </c>
      <c r="AAE40" s="15" t="s">
        <v>188</v>
      </c>
      <c r="AAF40" s="15" t="s">
        <v>188</v>
      </c>
      <c r="AAG40" s="15" t="s">
        <v>188</v>
      </c>
      <c r="AAH40" s="15" t="s">
        <v>188</v>
      </c>
      <c r="AAI40" s="15" t="s">
        <v>188</v>
      </c>
      <c r="AAJ40" s="20" t="s">
        <v>192</v>
      </c>
      <c r="AAK40" s="15" t="s">
        <v>192</v>
      </c>
      <c r="AAL40" s="15"/>
      <c r="AAM40" s="15" t="s">
        <v>73</v>
      </c>
      <c r="AAN40" s="15" t="s">
        <v>73</v>
      </c>
      <c r="AAO40" s="15" t="s">
        <v>73</v>
      </c>
      <c r="AAP40" s="15" t="s">
        <v>73</v>
      </c>
      <c r="AAQ40" s="15" t="s">
        <v>73</v>
      </c>
      <c r="AAR40" s="15" t="s">
        <v>73</v>
      </c>
      <c r="AAS40" s="15" t="s">
        <v>73</v>
      </c>
      <c r="AAT40" s="20" t="s">
        <v>188</v>
      </c>
      <c r="AAU40" s="20" t="s">
        <v>188</v>
      </c>
      <c r="AAV40" s="20" t="s">
        <v>188</v>
      </c>
      <c r="AAW40" s="15" t="s">
        <v>188</v>
      </c>
      <c r="AAX40" s="15"/>
      <c r="AAY40" s="15" t="s">
        <v>73</v>
      </c>
      <c r="AAZ40" s="15" t="s">
        <v>73</v>
      </c>
      <c r="ABA40" s="15" t="s">
        <v>73</v>
      </c>
      <c r="ABB40" s="15" t="s">
        <v>73</v>
      </c>
      <c r="ABC40" s="15" t="s">
        <v>73</v>
      </c>
      <c r="ABD40" s="15" t="s">
        <v>73</v>
      </c>
      <c r="ABE40" s="15" t="s">
        <v>73</v>
      </c>
      <c r="ABF40" s="20" t="s">
        <v>192</v>
      </c>
      <c r="ABG40" s="20" t="s">
        <v>192</v>
      </c>
      <c r="ABH40" s="20" t="s">
        <v>192</v>
      </c>
      <c r="ABI40" s="15" t="s">
        <v>192</v>
      </c>
      <c r="ABJ40" s="15" t="s">
        <v>192</v>
      </c>
      <c r="ABK40" s="15" t="s">
        <v>192</v>
      </c>
      <c r="ABL40" s="15" t="s">
        <v>192</v>
      </c>
      <c r="ABM40" s="15" t="s">
        <v>192</v>
      </c>
      <c r="ABN40" s="15" t="s">
        <v>192</v>
      </c>
      <c r="ABO40" s="15" t="s">
        <v>192</v>
      </c>
      <c r="ABP40" s="15" t="s">
        <v>192</v>
      </c>
      <c r="ABQ40" s="20" t="s">
        <v>188</v>
      </c>
      <c r="ABR40" s="20" t="s">
        <v>188</v>
      </c>
      <c r="ABS40" s="15" t="s">
        <v>192</v>
      </c>
      <c r="ABT40" s="15" t="s">
        <v>192</v>
      </c>
      <c r="ABU40" s="15" t="s">
        <v>192</v>
      </c>
      <c r="ABV40" s="15" t="s">
        <v>192</v>
      </c>
      <c r="ABW40" s="15" t="s">
        <v>192</v>
      </c>
      <c r="ABX40" s="15" t="s">
        <v>192</v>
      </c>
      <c r="ABY40" s="15" t="s">
        <v>192</v>
      </c>
      <c r="ABZ40" s="15" t="s">
        <v>192</v>
      </c>
      <c r="ACA40" s="15" t="s">
        <v>192</v>
      </c>
      <c r="ACB40" s="15" t="s">
        <v>192</v>
      </c>
      <c r="ACC40" s="15" t="s">
        <v>192</v>
      </c>
      <c r="ACD40" s="15" t="s">
        <v>192</v>
      </c>
      <c r="ACE40" s="15" t="s">
        <v>192</v>
      </c>
      <c r="ACF40" s="15" t="s">
        <v>192</v>
      </c>
      <c r="ACG40" s="15" t="s">
        <v>192</v>
      </c>
      <c r="ACH40" s="15" t="s">
        <v>192</v>
      </c>
      <c r="ACI40" s="15" t="s">
        <v>192</v>
      </c>
      <c r="ACJ40" s="15" t="s">
        <v>192</v>
      </c>
      <c r="ACK40" s="15" t="s">
        <v>192</v>
      </c>
      <c r="ACL40" s="15" t="s">
        <v>192</v>
      </c>
      <c r="ACM40" s="15" t="s">
        <v>192</v>
      </c>
      <c r="ACN40" s="15" t="s">
        <v>192</v>
      </c>
      <c r="ACO40" s="15" t="s">
        <v>192</v>
      </c>
      <c r="ACP40" s="15" t="s">
        <v>192</v>
      </c>
      <c r="ACQ40" s="15" t="s">
        <v>192</v>
      </c>
      <c r="ACR40" s="15" t="s">
        <v>192</v>
      </c>
      <c r="ACS40" s="15" t="s">
        <v>192</v>
      </c>
      <c r="ACT40" s="15" t="s">
        <v>192</v>
      </c>
      <c r="ACU40" s="15" t="s">
        <v>192</v>
      </c>
      <c r="ACV40" s="15" t="s">
        <v>192</v>
      </c>
      <c r="ACW40" s="15" t="s">
        <v>192</v>
      </c>
      <c r="ACX40" s="15" t="s">
        <v>192</v>
      </c>
      <c r="ACY40" s="15" t="s">
        <v>192</v>
      </c>
      <c r="ACZ40" s="15" t="s">
        <v>192</v>
      </c>
      <c r="ADA40" s="15" t="s">
        <v>192</v>
      </c>
      <c r="ADB40" s="15" t="s">
        <v>192</v>
      </c>
      <c r="ADC40" s="15" t="s">
        <v>192</v>
      </c>
      <c r="ADD40" s="15" t="s">
        <v>192</v>
      </c>
      <c r="ADE40" s="20" t="s">
        <v>192</v>
      </c>
      <c r="ADF40" s="15" t="s">
        <v>192</v>
      </c>
      <c r="ADG40" s="15" t="s">
        <v>192</v>
      </c>
      <c r="ADH40" s="15"/>
      <c r="ADI40" s="15" t="s">
        <v>73</v>
      </c>
      <c r="ADJ40" s="15" t="s">
        <v>73</v>
      </c>
      <c r="ADK40" s="15" t="s">
        <v>73</v>
      </c>
      <c r="ADL40" s="15" t="s">
        <v>73</v>
      </c>
      <c r="ADM40" s="15" t="s">
        <v>73</v>
      </c>
      <c r="ADN40" s="15" t="s">
        <v>73</v>
      </c>
      <c r="ADO40" s="15" t="s">
        <v>73</v>
      </c>
      <c r="ADP40" s="20" t="s">
        <v>192</v>
      </c>
      <c r="ADQ40" s="20" t="s">
        <v>192</v>
      </c>
      <c r="ADR40" s="20" t="s">
        <v>188</v>
      </c>
      <c r="ADS40" s="15" t="s">
        <v>192</v>
      </c>
      <c r="ADT40" s="15" t="s">
        <v>192</v>
      </c>
      <c r="ADU40" s="15" t="s">
        <v>192</v>
      </c>
      <c r="ADV40" s="15" t="s">
        <v>192</v>
      </c>
      <c r="ADW40" s="15" t="s">
        <v>192</v>
      </c>
      <c r="ADX40" s="15" t="s">
        <v>192</v>
      </c>
      <c r="ADY40" s="15" t="s">
        <v>192</v>
      </c>
      <c r="ADZ40" s="15" t="s">
        <v>192</v>
      </c>
      <c r="AEA40" s="20" t="s">
        <v>188</v>
      </c>
      <c r="AEB40" s="20" t="s">
        <v>188</v>
      </c>
      <c r="AEC40" s="15" t="s">
        <v>192</v>
      </c>
      <c r="AED40" s="15" t="s">
        <v>192</v>
      </c>
      <c r="AEE40" s="15" t="s">
        <v>192</v>
      </c>
      <c r="AEF40" s="15" t="s">
        <v>192</v>
      </c>
      <c r="AEG40" s="15" t="s">
        <v>192</v>
      </c>
      <c r="AEH40" s="15" t="s">
        <v>192</v>
      </c>
      <c r="AEI40" s="15" t="s">
        <v>192</v>
      </c>
      <c r="AEJ40" s="15" t="s">
        <v>192</v>
      </c>
      <c r="AEK40" s="15" t="s">
        <v>192</v>
      </c>
      <c r="AEL40" s="15" t="s">
        <v>192</v>
      </c>
      <c r="AEM40" s="15" t="s">
        <v>192</v>
      </c>
      <c r="AEN40" s="15" t="s">
        <v>192</v>
      </c>
      <c r="AEO40" s="15" t="s">
        <v>192</v>
      </c>
      <c r="AEP40" s="15" t="s">
        <v>192</v>
      </c>
      <c r="AEQ40" s="15" t="s">
        <v>192</v>
      </c>
      <c r="AER40" s="15" t="s">
        <v>192</v>
      </c>
      <c r="AES40" s="15" t="s">
        <v>192</v>
      </c>
      <c r="AET40" s="15" t="s">
        <v>192</v>
      </c>
      <c r="AEU40" s="15" t="s">
        <v>192</v>
      </c>
      <c r="AEV40" s="15" t="s">
        <v>192</v>
      </c>
      <c r="AEW40" s="15" t="s">
        <v>192</v>
      </c>
      <c r="AEX40" s="15" t="s">
        <v>192</v>
      </c>
      <c r="AEY40" s="15" t="s">
        <v>192</v>
      </c>
      <c r="AEZ40" s="15" t="s">
        <v>192</v>
      </c>
      <c r="AFA40" s="15" t="s">
        <v>192</v>
      </c>
      <c r="AFB40" s="15" t="s">
        <v>192</v>
      </c>
      <c r="AFC40" s="15" t="s">
        <v>192</v>
      </c>
      <c r="AFD40" s="15" t="s">
        <v>192</v>
      </c>
      <c r="AFE40" s="15" t="s">
        <v>192</v>
      </c>
      <c r="AFF40" s="15" t="s">
        <v>192</v>
      </c>
      <c r="AFG40" s="15" t="s">
        <v>192</v>
      </c>
      <c r="AFH40" s="15" t="s">
        <v>192</v>
      </c>
      <c r="AFI40" s="15" t="s">
        <v>192</v>
      </c>
      <c r="AFJ40" s="15" t="s">
        <v>192</v>
      </c>
      <c r="AFK40" s="15" t="s">
        <v>192</v>
      </c>
      <c r="AFL40" s="15" t="s">
        <v>192</v>
      </c>
      <c r="AFM40" s="15" t="s">
        <v>192</v>
      </c>
      <c r="AFN40" s="15" t="s">
        <v>192</v>
      </c>
      <c r="AFO40" s="20" t="s">
        <v>188</v>
      </c>
      <c r="AFP40" s="15" t="s">
        <v>192</v>
      </c>
      <c r="AFQ40" s="15" t="s">
        <v>192</v>
      </c>
      <c r="AFR40" s="15"/>
      <c r="AFS40" s="15" t="s">
        <v>73</v>
      </c>
      <c r="AFT40" s="15" t="s">
        <v>73</v>
      </c>
      <c r="AFU40" s="15" t="s">
        <v>73</v>
      </c>
      <c r="AFV40" s="15" t="s">
        <v>73</v>
      </c>
      <c r="AFW40" s="15" t="s">
        <v>73</v>
      </c>
      <c r="AFX40" s="15" t="s">
        <v>73</v>
      </c>
      <c r="AFY40" s="15" t="s">
        <v>73</v>
      </c>
      <c r="AFZ40" s="15" t="s">
        <v>192</v>
      </c>
      <c r="AGA40" s="15" t="s">
        <v>192</v>
      </c>
      <c r="AGB40" s="15" t="s">
        <v>188</v>
      </c>
      <c r="AGC40" s="15" t="s">
        <v>192</v>
      </c>
      <c r="AGD40" s="15" t="s">
        <v>192</v>
      </c>
      <c r="AGE40" s="15" t="s">
        <v>192</v>
      </c>
      <c r="AGF40" s="15" t="s">
        <v>192</v>
      </c>
      <c r="AGG40" s="15" t="s">
        <v>192</v>
      </c>
      <c r="AGH40" s="15" t="s">
        <v>192</v>
      </c>
      <c r="AGI40" s="15" t="s">
        <v>192</v>
      </c>
      <c r="AGJ40" s="15" t="s">
        <v>192</v>
      </c>
      <c r="AGK40" s="15" t="s">
        <v>192</v>
      </c>
      <c r="AGL40" s="15" t="s">
        <v>192</v>
      </c>
      <c r="AGM40" s="15" t="s">
        <v>192</v>
      </c>
      <c r="AGN40" s="15" t="s">
        <v>192</v>
      </c>
      <c r="AGO40" s="15" t="s">
        <v>192</v>
      </c>
      <c r="AGP40" s="15" t="s">
        <v>192</v>
      </c>
      <c r="AGQ40" s="15" t="s">
        <v>192</v>
      </c>
      <c r="AGR40" s="15" t="s">
        <v>192</v>
      </c>
      <c r="AGS40" s="15" t="s">
        <v>192</v>
      </c>
      <c r="AGT40" s="15" t="s">
        <v>192</v>
      </c>
      <c r="AGU40" s="15" t="s">
        <v>192</v>
      </c>
      <c r="AGV40" s="15" t="s">
        <v>192</v>
      </c>
      <c r="AGW40" s="15" t="s">
        <v>192</v>
      </c>
      <c r="AGX40" s="15" t="s">
        <v>192</v>
      </c>
      <c r="AGY40" s="15" t="s">
        <v>192</v>
      </c>
      <c r="AGZ40" s="15" t="s">
        <v>192</v>
      </c>
      <c r="AHA40" s="15" t="s">
        <v>192</v>
      </c>
      <c r="AHB40" s="15" t="s">
        <v>192</v>
      </c>
      <c r="AHC40" s="15" t="s">
        <v>192</v>
      </c>
      <c r="AHD40" s="15" t="s">
        <v>192</v>
      </c>
      <c r="AHE40" s="15" t="s">
        <v>192</v>
      </c>
      <c r="AHF40" s="15" t="s">
        <v>192</v>
      </c>
      <c r="AHG40" s="15" t="s">
        <v>192</v>
      </c>
      <c r="AHH40" s="15" t="s">
        <v>192</v>
      </c>
      <c r="AHI40" s="15" t="s">
        <v>192</v>
      </c>
      <c r="AHJ40" s="15" t="s">
        <v>192</v>
      </c>
      <c r="AHK40" s="15" t="s">
        <v>192</v>
      </c>
      <c r="AHL40" s="15" t="s">
        <v>192</v>
      </c>
      <c r="AHM40" s="15" t="s">
        <v>192</v>
      </c>
      <c r="AHN40" s="15" t="s">
        <v>192</v>
      </c>
      <c r="AHO40" s="15" t="s">
        <v>192</v>
      </c>
      <c r="AHP40" s="15" t="s">
        <v>192</v>
      </c>
      <c r="AHQ40" s="15" t="s">
        <v>192</v>
      </c>
      <c r="AHR40" s="15" t="s">
        <v>192</v>
      </c>
      <c r="AHS40" s="15" t="s">
        <v>192</v>
      </c>
      <c r="AHT40" s="15" t="s">
        <v>192</v>
      </c>
      <c r="AHU40" s="15" t="s">
        <v>192</v>
      </c>
      <c r="AHV40" s="15" t="s">
        <v>192</v>
      </c>
      <c r="AHW40" s="15" t="s">
        <v>192</v>
      </c>
      <c r="AHX40" s="15" t="s">
        <v>192</v>
      </c>
      <c r="AHY40" s="15" t="s">
        <v>192</v>
      </c>
      <c r="AHZ40" s="15" t="s">
        <v>192</v>
      </c>
      <c r="AIA40" s="15" t="s">
        <v>192</v>
      </c>
      <c r="AIB40" s="15" t="s">
        <v>192</v>
      </c>
      <c r="AIC40" s="15" t="s">
        <v>192</v>
      </c>
      <c r="AID40" s="15" t="s">
        <v>192</v>
      </c>
      <c r="AIE40" s="15" t="s">
        <v>192</v>
      </c>
      <c r="AIF40" s="15" t="s">
        <v>192</v>
      </c>
      <c r="AIG40" s="15" t="s">
        <v>192</v>
      </c>
      <c r="AIH40" s="15" t="s">
        <v>192</v>
      </c>
      <c r="AII40" s="15" t="s">
        <v>192</v>
      </c>
      <c r="AIJ40" s="15" t="s">
        <v>192</v>
      </c>
      <c r="AIK40" s="15" t="s">
        <v>192</v>
      </c>
      <c r="AIL40" s="15" t="s">
        <v>192</v>
      </c>
      <c r="AIM40" s="15" t="s">
        <v>192</v>
      </c>
      <c r="AIN40" s="15" t="s">
        <v>192</v>
      </c>
      <c r="AIO40" s="15" t="s">
        <v>192</v>
      </c>
      <c r="AIP40" s="15" t="s">
        <v>192</v>
      </c>
      <c r="AIQ40" s="15" t="s">
        <v>192</v>
      </c>
      <c r="AIR40" s="15" t="s">
        <v>192</v>
      </c>
      <c r="AIS40" s="15" t="s">
        <v>192</v>
      </c>
      <c r="AIT40" s="15" t="s">
        <v>192</v>
      </c>
      <c r="AIU40" s="15" t="s">
        <v>192</v>
      </c>
      <c r="AIV40" s="15" t="s">
        <v>192</v>
      </c>
      <c r="AIW40" s="15" t="s">
        <v>192</v>
      </c>
      <c r="AIX40" s="15" t="s">
        <v>192</v>
      </c>
      <c r="AIY40" s="15" t="s">
        <v>192</v>
      </c>
      <c r="AIZ40" s="15" t="s">
        <v>192</v>
      </c>
      <c r="AJA40" s="15" t="s">
        <v>192</v>
      </c>
      <c r="AJB40" s="15" t="s">
        <v>188</v>
      </c>
      <c r="AJC40" s="15" t="s">
        <v>73</v>
      </c>
      <c r="AJD40" s="20" t="s">
        <v>188</v>
      </c>
      <c r="AJE40" s="20" t="s">
        <v>188</v>
      </c>
      <c r="AJF40" s="15"/>
      <c r="AJG40" s="15" t="s">
        <v>73</v>
      </c>
      <c r="AJH40" s="15" t="s">
        <v>73</v>
      </c>
      <c r="AJI40" s="15" t="s">
        <v>73</v>
      </c>
      <c r="AJJ40" s="15" t="s">
        <v>73</v>
      </c>
      <c r="AJK40" s="15" t="s">
        <v>73</v>
      </c>
      <c r="AJL40" s="15" t="s">
        <v>73</v>
      </c>
      <c r="AJM40" s="15" t="s">
        <v>73</v>
      </c>
      <c r="AJN40" s="15"/>
      <c r="AJO40" s="15" t="s">
        <v>73</v>
      </c>
      <c r="AJP40" s="15" t="s">
        <v>73</v>
      </c>
      <c r="AJQ40" s="15" t="s">
        <v>73</v>
      </c>
      <c r="AJR40" s="15" t="s">
        <v>73</v>
      </c>
      <c r="AJS40" s="15" t="s">
        <v>73</v>
      </c>
      <c r="AJT40" s="15" t="s">
        <v>73</v>
      </c>
      <c r="AJU40" s="15" t="s">
        <v>73</v>
      </c>
      <c r="AJV40" s="15" t="s">
        <v>73</v>
      </c>
      <c r="AJW40" s="15" t="s">
        <v>73</v>
      </c>
      <c r="AJX40" s="15"/>
      <c r="AJY40" s="15" t="s">
        <v>73</v>
      </c>
      <c r="AJZ40" s="15" t="s">
        <v>73</v>
      </c>
      <c r="AKA40" s="15" t="s">
        <v>73</v>
      </c>
      <c r="AKB40" s="15" t="s">
        <v>73</v>
      </c>
      <c r="AKC40" s="15" t="s">
        <v>73</v>
      </c>
      <c r="AKD40" s="15" t="s">
        <v>73</v>
      </c>
      <c r="AKE40" s="15" t="s">
        <v>73</v>
      </c>
      <c r="AKF40" s="15" t="s">
        <v>73</v>
      </c>
      <c r="AKG40" s="15" t="s">
        <v>73</v>
      </c>
      <c r="AKH40" s="15" t="s">
        <v>73</v>
      </c>
      <c r="AKI40" s="15"/>
      <c r="AKJ40" s="15" t="s">
        <v>73</v>
      </c>
      <c r="AKK40" s="15" t="s">
        <v>73</v>
      </c>
      <c r="AKL40" s="15" t="s">
        <v>73</v>
      </c>
      <c r="AKM40" s="15" t="s">
        <v>73</v>
      </c>
      <c r="AKN40" s="15" t="s">
        <v>73</v>
      </c>
      <c r="AKO40" s="15" t="s">
        <v>73</v>
      </c>
      <c r="AKP40" s="15" t="s">
        <v>73</v>
      </c>
      <c r="AKQ40" s="15" t="s">
        <v>73</v>
      </c>
      <c r="AKR40" s="15" t="s">
        <v>73</v>
      </c>
      <c r="AKS40" s="15" t="s">
        <v>73</v>
      </c>
      <c r="AKT40" s="15" t="s">
        <v>73</v>
      </c>
      <c r="AKU40" s="15" t="s">
        <v>73</v>
      </c>
      <c r="AKV40" s="15" t="s">
        <v>73</v>
      </c>
      <c r="AKW40" s="15" t="s">
        <v>73</v>
      </c>
      <c r="AKX40" s="15"/>
      <c r="AKY40" s="15" t="s">
        <v>73</v>
      </c>
      <c r="AKZ40" s="15" t="s">
        <v>73</v>
      </c>
      <c r="ALA40" s="15" t="s">
        <v>73</v>
      </c>
      <c r="ALB40" s="15" t="s">
        <v>73</v>
      </c>
      <c r="ALC40" s="15" t="s">
        <v>73</v>
      </c>
      <c r="ALD40" s="15" t="s">
        <v>73</v>
      </c>
      <c r="ALE40" s="15" t="s">
        <v>73</v>
      </c>
      <c r="ALF40" s="20" t="s">
        <v>192</v>
      </c>
      <c r="ALG40" s="20" t="s">
        <v>192</v>
      </c>
      <c r="ALH40" s="20" t="s">
        <v>192</v>
      </c>
      <c r="ALI40" s="20" t="s">
        <v>192</v>
      </c>
      <c r="ALJ40" s="20" t="s">
        <v>192</v>
      </c>
      <c r="ALK40" s="20" t="s">
        <v>192</v>
      </c>
      <c r="ALL40" s="20" t="s">
        <v>192</v>
      </c>
      <c r="ALM40" s="15"/>
      <c r="ALN40" s="15" t="s">
        <v>73</v>
      </c>
      <c r="ALO40" s="15" t="s">
        <v>73</v>
      </c>
      <c r="ALP40" s="15" t="s">
        <v>73</v>
      </c>
      <c r="ALQ40" s="15" t="s">
        <v>73</v>
      </c>
      <c r="ALR40" s="15" t="s">
        <v>73</v>
      </c>
      <c r="ALS40" s="15" t="s">
        <v>73</v>
      </c>
      <c r="ALT40" s="15" t="s">
        <v>73</v>
      </c>
      <c r="ALU40" s="20" t="s">
        <v>188</v>
      </c>
      <c r="ALV40" s="20" t="s">
        <v>188</v>
      </c>
      <c r="ALW40" s="20" t="s">
        <v>188</v>
      </c>
      <c r="ALX40" s="20" t="s">
        <v>188</v>
      </c>
      <c r="ALY40" s="20" t="s">
        <v>188</v>
      </c>
      <c r="ALZ40" s="20" t="s">
        <v>188</v>
      </c>
      <c r="AMA40" s="20" t="s">
        <v>188</v>
      </c>
      <c r="AMB40" s="20" t="s">
        <v>188</v>
      </c>
      <c r="AMC40" s="15"/>
      <c r="AMD40" s="15" t="s">
        <v>73</v>
      </c>
      <c r="AME40" s="15" t="s">
        <v>73</v>
      </c>
      <c r="AMF40" s="15" t="s">
        <v>73</v>
      </c>
      <c r="AMG40" s="15" t="s">
        <v>73</v>
      </c>
      <c r="AMH40" s="15" t="s">
        <v>73</v>
      </c>
      <c r="AMI40" s="15" t="s">
        <v>73</v>
      </c>
      <c r="AMJ40" s="15" t="s">
        <v>73</v>
      </c>
      <c r="AMK40" s="15" t="s">
        <v>192</v>
      </c>
      <c r="AML40" s="15" t="s">
        <v>192</v>
      </c>
      <c r="AMM40" s="15" t="s">
        <v>188</v>
      </c>
      <c r="AMN40" s="15" t="s">
        <v>192</v>
      </c>
      <c r="AMO40" s="15" t="s">
        <v>192</v>
      </c>
      <c r="AMP40" s="15" t="s">
        <v>192</v>
      </c>
      <c r="AMQ40" s="15" t="s">
        <v>192</v>
      </c>
      <c r="AMR40" s="15" t="s">
        <v>192</v>
      </c>
      <c r="AMS40" s="15" t="s">
        <v>192</v>
      </c>
      <c r="AMT40" s="15" t="s">
        <v>192</v>
      </c>
      <c r="AMU40" s="15" t="s">
        <v>192</v>
      </c>
      <c r="AMV40" s="15" t="s">
        <v>192</v>
      </c>
      <c r="AMW40" s="15" t="s">
        <v>192</v>
      </c>
      <c r="AMX40" s="15" t="s">
        <v>192</v>
      </c>
      <c r="AMY40" s="15" t="s">
        <v>192</v>
      </c>
      <c r="AMZ40" s="15" t="s">
        <v>192</v>
      </c>
      <c r="ANA40" s="15" t="s">
        <v>192</v>
      </c>
      <c r="ANB40" s="15" t="s">
        <v>192</v>
      </c>
      <c r="ANC40" s="15" t="s">
        <v>192</v>
      </c>
      <c r="AND40" s="15" t="s">
        <v>192</v>
      </c>
      <c r="ANE40" s="15"/>
      <c r="ANF40" s="15"/>
      <c r="ANG40" s="15"/>
      <c r="ANH40" s="15"/>
      <c r="ANI40" s="15"/>
      <c r="ANJ40" s="15"/>
      <c r="ANK40" s="15"/>
      <c r="ANL40" s="15"/>
      <c r="ANM40" s="15"/>
      <c r="ANN40" s="15"/>
      <c r="ANO40" s="15"/>
      <c r="ANP40" s="15"/>
      <c r="ANQ40" s="15"/>
      <c r="ANR40" s="15"/>
      <c r="ANS40" s="15"/>
      <c r="ANT40" s="15"/>
      <c r="ANU40" s="15"/>
      <c r="ANV40" s="15"/>
      <c r="ANW40" s="15"/>
      <c r="ANX40" s="15"/>
      <c r="ANY40" s="15"/>
      <c r="ANZ40" s="15"/>
      <c r="AOA40" s="15"/>
      <c r="AOB40" s="15"/>
      <c r="AOC40" s="15"/>
      <c r="AOD40" s="15"/>
      <c r="AOE40" s="15"/>
      <c r="AOF40" s="15"/>
      <c r="AOG40" s="15"/>
      <c r="AOH40" s="15"/>
      <c r="AOI40" s="15"/>
      <c r="AOJ40" s="15"/>
      <c r="AOK40" s="15"/>
      <c r="AOL40" s="15"/>
      <c r="AOM40" s="15"/>
      <c r="AON40" s="15"/>
      <c r="AOO40" s="15"/>
      <c r="AOP40" s="15"/>
      <c r="AOQ40" s="15"/>
      <c r="AOR40" s="15"/>
      <c r="AOS40" s="15"/>
      <c r="AOT40" s="15"/>
      <c r="AOU40" s="15"/>
      <c r="AOV40" s="15"/>
      <c r="AOW40" s="15"/>
      <c r="AOX40" s="15"/>
      <c r="AOY40" s="15"/>
      <c r="AOZ40" s="15"/>
      <c r="APA40" s="15"/>
      <c r="APB40" s="15"/>
      <c r="APC40" s="15"/>
      <c r="APD40" s="15"/>
      <c r="APE40" s="15"/>
      <c r="APF40" s="15"/>
      <c r="APG40" s="15"/>
      <c r="APH40" s="15"/>
      <c r="API40" s="15"/>
      <c r="APJ40" s="15"/>
      <c r="APK40" s="15"/>
      <c r="APL40" s="15"/>
      <c r="APM40" s="15"/>
      <c r="APN40" s="15"/>
      <c r="APO40" s="15"/>
      <c r="APP40" s="15"/>
      <c r="APQ40" s="15"/>
      <c r="APR40" s="15"/>
      <c r="APS40" s="15"/>
      <c r="APT40" s="15"/>
      <c r="APU40" s="15"/>
      <c r="APV40" s="15"/>
      <c r="APW40" s="15"/>
      <c r="APX40" s="15"/>
      <c r="APY40" s="15"/>
      <c r="APZ40" s="15"/>
      <c r="AQA40" s="15"/>
      <c r="AQB40" s="15"/>
    </row>
    <row r="41" spans="1:1120" s="17" customFormat="1" ht="15" customHeight="1" x14ac:dyDescent="0.25">
      <c r="A41" s="3" t="s">
        <v>2</v>
      </c>
      <c r="B41" s="6" t="s">
        <v>45</v>
      </c>
      <c r="C41" s="15"/>
      <c r="D41" s="15">
        <v>0</v>
      </c>
      <c r="E41" s="15">
        <v>0</v>
      </c>
      <c r="F41" s="15">
        <v>0</v>
      </c>
      <c r="G41" s="15">
        <v>0</v>
      </c>
      <c r="H41" s="15">
        <v>0</v>
      </c>
      <c r="I41" s="15">
        <v>0</v>
      </c>
      <c r="J41" s="15"/>
      <c r="K41" s="15">
        <v>0</v>
      </c>
      <c r="L41" s="15">
        <v>0</v>
      </c>
      <c r="M41" s="15">
        <v>0</v>
      </c>
      <c r="N41" s="15">
        <v>0</v>
      </c>
      <c r="O41" s="15">
        <v>0</v>
      </c>
      <c r="P41" s="15">
        <v>0</v>
      </c>
      <c r="Q41" s="15"/>
      <c r="R41" s="15">
        <v>0</v>
      </c>
      <c r="S41" s="15">
        <v>0</v>
      </c>
      <c r="T41" s="15">
        <v>0</v>
      </c>
      <c r="U41" s="15">
        <v>0</v>
      </c>
      <c r="V41" s="15">
        <v>0</v>
      </c>
      <c r="W41" s="15">
        <v>0</v>
      </c>
      <c r="X41" s="15"/>
      <c r="Y41" s="15">
        <v>0</v>
      </c>
      <c r="Z41" s="15">
        <v>0</v>
      </c>
      <c r="AA41" s="15">
        <v>0</v>
      </c>
      <c r="AB41" s="15">
        <v>0</v>
      </c>
      <c r="AC41" s="15">
        <v>0</v>
      </c>
      <c r="AD41" s="15">
        <v>0</v>
      </c>
      <c r="AE41" s="15"/>
      <c r="AF41" s="15">
        <v>0</v>
      </c>
      <c r="AG41" s="15">
        <v>0</v>
      </c>
      <c r="AH41" s="15">
        <v>0</v>
      </c>
      <c r="AI41" s="15">
        <v>0</v>
      </c>
      <c r="AJ41" s="15">
        <v>0</v>
      </c>
      <c r="AK41" s="15">
        <v>0</v>
      </c>
      <c r="AL41" s="15"/>
      <c r="AM41" s="15">
        <v>0</v>
      </c>
      <c r="AN41" s="15">
        <v>0</v>
      </c>
      <c r="AO41" s="15">
        <v>0</v>
      </c>
      <c r="AP41" s="15">
        <v>0</v>
      </c>
      <c r="AQ41" s="15">
        <v>0</v>
      </c>
      <c r="AR41" s="15">
        <v>0</v>
      </c>
      <c r="AS41" s="15">
        <v>0</v>
      </c>
      <c r="AT41" s="15">
        <v>0</v>
      </c>
      <c r="AU41" s="15">
        <v>0</v>
      </c>
      <c r="AV41" s="15">
        <v>0</v>
      </c>
      <c r="AW41" s="15">
        <v>0</v>
      </c>
      <c r="AX41" s="15">
        <v>0</v>
      </c>
      <c r="AY41" s="15">
        <v>0</v>
      </c>
      <c r="AZ41" s="15">
        <v>0</v>
      </c>
      <c r="BA41" s="15">
        <v>0</v>
      </c>
      <c r="BB41" s="15">
        <v>0</v>
      </c>
      <c r="BC41" s="15">
        <v>0</v>
      </c>
      <c r="BD41" s="15">
        <v>0</v>
      </c>
      <c r="BE41" s="15">
        <v>0</v>
      </c>
      <c r="BF41" s="15">
        <v>0</v>
      </c>
      <c r="BG41" s="15">
        <v>0</v>
      </c>
      <c r="BH41" s="15">
        <v>0</v>
      </c>
      <c r="BI41" s="15">
        <v>0</v>
      </c>
      <c r="BJ41" s="15">
        <v>0</v>
      </c>
      <c r="BK41" s="15">
        <v>0</v>
      </c>
      <c r="BL41" s="15">
        <v>0</v>
      </c>
      <c r="BM41" s="15">
        <v>0</v>
      </c>
      <c r="BN41" s="15">
        <v>0</v>
      </c>
      <c r="BO41" s="15">
        <v>0</v>
      </c>
      <c r="BP41" s="15">
        <v>0</v>
      </c>
      <c r="BQ41" s="15">
        <v>0</v>
      </c>
      <c r="BR41" s="15">
        <v>0</v>
      </c>
      <c r="BS41" s="15">
        <v>0</v>
      </c>
      <c r="BT41" s="15">
        <v>0</v>
      </c>
      <c r="BU41" s="15">
        <v>0</v>
      </c>
      <c r="BV41" s="15">
        <v>0</v>
      </c>
      <c r="BW41" s="15">
        <v>0</v>
      </c>
      <c r="BX41" s="15">
        <v>0</v>
      </c>
      <c r="BY41" s="15">
        <v>0</v>
      </c>
      <c r="BZ41" s="15">
        <v>0</v>
      </c>
      <c r="CA41" s="15">
        <v>0</v>
      </c>
      <c r="CB41" s="15">
        <v>0</v>
      </c>
      <c r="CC41" s="15">
        <v>0</v>
      </c>
      <c r="CD41" s="15">
        <v>0</v>
      </c>
      <c r="CE41" s="15">
        <v>0</v>
      </c>
      <c r="CF41" s="15">
        <v>0</v>
      </c>
      <c r="CG41" s="15">
        <v>0</v>
      </c>
      <c r="CH41" s="15">
        <v>0</v>
      </c>
      <c r="CI41" s="15">
        <v>0</v>
      </c>
      <c r="CJ41" s="15">
        <v>0</v>
      </c>
      <c r="CK41" s="15">
        <v>0</v>
      </c>
      <c r="CL41" s="15">
        <v>0</v>
      </c>
      <c r="CM41" s="15">
        <v>0</v>
      </c>
      <c r="CN41" s="15">
        <v>0</v>
      </c>
      <c r="CO41" s="15">
        <v>0</v>
      </c>
      <c r="CP41" s="15">
        <v>0</v>
      </c>
      <c r="CQ41" s="15">
        <v>0</v>
      </c>
      <c r="CR41" s="15">
        <v>0</v>
      </c>
      <c r="CS41" s="15">
        <v>0</v>
      </c>
      <c r="CT41" s="15">
        <v>0</v>
      </c>
      <c r="CU41" s="15">
        <v>0</v>
      </c>
      <c r="CV41" s="15">
        <v>0</v>
      </c>
      <c r="CW41" s="15">
        <v>0</v>
      </c>
      <c r="CX41" s="15">
        <v>0</v>
      </c>
      <c r="CY41" s="15">
        <v>0</v>
      </c>
      <c r="CZ41" s="15">
        <v>0</v>
      </c>
      <c r="DA41" s="15">
        <v>0</v>
      </c>
      <c r="DB41" s="15">
        <v>0</v>
      </c>
      <c r="DC41" s="15">
        <v>0</v>
      </c>
      <c r="DD41" s="15">
        <v>0</v>
      </c>
      <c r="DE41" s="15">
        <v>0</v>
      </c>
      <c r="DF41" s="15">
        <v>0</v>
      </c>
      <c r="DG41" s="15">
        <v>0</v>
      </c>
      <c r="DH41" s="15">
        <v>0</v>
      </c>
      <c r="DI41" s="15">
        <v>0</v>
      </c>
      <c r="DJ41" s="15">
        <v>0</v>
      </c>
      <c r="DK41" s="15">
        <v>0</v>
      </c>
      <c r="DL41" s="15">
        <v>0</v>
      </c>
      <c r="DM41" s="15">
        <v>0</v>
      </c>
      <c r="DN41" s="15">
        <v>0</v>
      </c>
      <c r="DO41" s="15">
        <v>0</v>
      </c>
      <c r="DP41" s="15">
        <v>0</v>
      </c>
      <c r="DQ41" s="15">
        <v>0</v>
      </c>
      <c r="DR41" s="15">
        <v>0</v>
      </c>
      <c r="DS41" s="15">
        <v>0</v>
      </c>
      <c r="DT41" s="15">
        <v>0</v>
      </c>
      <c r="DU41" s="15">
        <v>0</v>
      </c>
      <c r="DV41" s="15">
        <v>0</v>
      </c>
      <c r="DW41" s="15">
        <v>0</v>
      </c>
      <c r="DX41" s="15">
        <v>0</v>
      </c>
      <c r="DY41" s="15">
        <v>0</v>
      </c>
      <c r="DZ41" s="15">
        <v>0</v>
      </c>
      <c r="EA41" s="15">
        <v>0</v>
      </c>
      <c r="EB41" s="15">
        <v>0</v>
      </c>
      <c r="EC41" s="15">
        <v>0</v>
      </c>
      <c r="ED41" s="15">
        <v>0</v>
      </c>
      <c r="EE41" s="15">
        <v>0</v>
      </c>
      <c r="EF41" s="15">
        <v>0</v>
      </c>
      <c r="EG41" s="15">
        <v>0</v>
      </c>
      <c r="EH41" s="15">
        <v>0</v>
      </c>
      <c r="EI41" s="15">
        <v>0</v>
      </c>
      <c r="EJ41" s="15">
        <v>0</v>
      </c>
      <c r="EK41" s="15">
        <v>0</v>
      </c>
      <c r="EL41" s="15">
        <v>0</v>
      </c>
      <c r="EM41" s="15">
        <v>0</v>
      </c>
      <c r="EN41" s="15">
        <v>0</v>
      </c>
      <c r="EO41" s="15">
        <v>0</v>
      </c>
      <c r="EP41" s="15">
        <v>0</v>
      </c>
      <c r="EQ41" s="15">
        <v>0</v>
      </c>
      <c r="ER41" s="15">
        <v>0</v>
      </c>
      <c r="ES41" s="15">
        <v>0</v>
      </c>
      <c r="ET41" s="15">
        <v>0</v>
      </c>
      <c r="EU41" s="15">
        <v>0</v>
      </c>
      <c r="EV41" s="15">
        <v>0</v>
      </c>
      <c r="EW41" s="15">
        <v>0</v>
      </c>
      <c r="EX41" s="15">
        <v>0</v>
      </c>
      <c r="EY41" s="15">
        <v>0</v>
      </c>
      <c r="EZ41" s="15">
        <v>0</v>
      </c>
      <c r="FA41" s="15">
        <v>0</v>
      </c>
      <c r="FB41" s="15">
        <v>0</v>
      </c>
      <c r="FC41" s="15">
        <v>0</v>
      </c>
      <c r="FD41" s="15"/>
      <c r="FE41" s="15">
        <v>0</v>
      </c>
      <c r="FF41" s="15">
        <v>0</v>
      </c>
      <c r="FG41" s="15">
        <v>0</v>
      </c>
      <c r="FH41" s="15">
        <v>0</v>
      </c>
      <c r="FI41" s="15">
        <v>0</v>
      </c>
      <c r="FJ41" s="15">
        <v>0</v>
      </c>
      <c r="FK41" s="15">
        <v>0</v>
      </c>
      <c r="FL41" s="15">
        <v>0</v>
      </c>
      <c r="FM41" s="15">
        <v>0</v>
      </c>
      <c r="FN41" s="15">
        <v>0</v>
      </c>
      <c r="FO41" s="15">
        <v>0</v>
      </c>
      <c r="FP41" s="15">
        <v>0</v>
      </c>
      <c r="FQ41" s="15">
        <v>0</v>
      </c>
      <c r="FR41" s="15">
        <v>0</v>
      </c>
      <c r="FS41" s="15">
        <v>0</v>
      </c>
      <c r="FT41" s="15">
        <v>0</v>
      </c>
      <c r="FU41" s="15">
        <v>0</v>
      </c>
      <c r="FV41" s="15">
        <v>0</v>
      </c>
      <c r="FW41" s="15">
        <v>0</v>
      </c>
      <c r="FX41" s="15">
        <v>0</v>
      </c>
      <c r="FY41" s="15">
        <v>0</v>
      </c>
      <c r="FZ41" s="15">
        <v>0</v>
      </c>
      <c r="GA41" s="15">
        <v>0</v>
      </c>
      <c r="GB41" s="15">
        <v>0</v>
      </c>
      <c r="GC41" s="15">
        <v>0</v>
      </c>
      <c r="GD41" s="15">
        <v>0</v>
      </c>
      <c r="GE41" s="15">
        <v>0</v>
      </c>
      <c r="GF41" s="15">
        <v>0</v>
      </c>
      <c r="GG41" s="15">
        <v>0</v>
      </c>
      <c r="GH41" s="15">
        <v>0</v>
      </c>
      <c r="GI41" s="15">
        <v>0</v>
      </c>
      <c r="GJ41" s="15">
        <v>0</v>
      </c>
      <c r="GK41" s="15">
        <v>0</v>
      </c>
      <c r="GL41" s="15">
        <v>0</v>
      </c>
      <c r="GM41" s="15">
        <v>0</v>
      </c>
      <c r="GN41" s="15">
        <v>0</v>
      </c>
      <c r="GO41" s="15">
        <v>0</v>
      </c>
      <c r="GP41" s="15">
        <v>0</v>
      </c>
      <c r="GQ41" s="15">
        <v>0</v>
      </c>
      <c r="GR41" s="15">
        <v>0</v>
      </c>
      <c r="GS41" s="15">
        <v>0</v>
      </c>
      <c r="GT41" s="15">
        <v>0</v>
      </c>
      <c r="GU41" s="15">
        <v>0</v>
      </c>
      <c r="GV41" s="15">
        <v>0</v>
      </c>
      <c r="GW41" s="15">
        <v>0</v>
      </c>
      <c r="GX41" s="15">
        <v>0</v>
      </c>
      <c r="GY41" s="15">
        <v>0</v>
      </c>
      <c r="GZ41" s="15">
        <v>0</v>
      </c>
      <c r="HA41" s="15">
        <v>0</v>
      </c>
      <c r="HB41" s="15">
        <v>0</v>
      </c>
      <c r="HC41" s="15">
        <v>0</v>
      </c>
      <c r="HD41" s="15">
        <v>0</v>
      </c>
      <c r="HE41" s="15">
        <v>0</v>
      </c>
      <c r="HF41" s="15">
        <v>0</v>
      </c>
      <c r="HG41" s="15">
        <v>0</v>
      </c>
      <c r="HH41" s="15">
        <v>0</v>
      </c>
      <c r="HI41" s="15">
        <v>0</v>
      </c>
      <c r="HJ41" s="15">
        <v>0</v>
      </c>
      <c r="HK41" s="15">
        <v>0</v>
      </c>
      <c r="HL41" s="15">
        <v>0</v>
      </c>
      <c r="HM41" s="15">
        <v>0</v>
      </c>
      <c r="HN41" s="15">
        <v>0</v>
      </c>
      <c r="HO41" s="15">
        <v>0</v>
      </c>
      <c r="HP41" s="15">
        <v>0</v>
      </c>
      <c r="HQ41" s="15">
        <v>0</v>
      </c>
      <c r="HR41" s="15">
        <v>0</v>
      </c>
      <c r="HS41" s="15">
        <v>0</v>
      </c>
      <c r="HT41" s="15">
        <v>0</v>
      </c>
      <c r="HU41" s="15">
        <v>0</v>
      </c>
      <c r="HV41" s="15">
        <v>0</v>
      </c>
      <c r="HW41" s="15">
        <v>0</v>
      </c>
      <c r="HX41" s="15">
        <v>0</v>
      </c>
      <c r="HY41" s="15">
        <v>0</v>
      </c>
      <c r="HZ41" s="15">
        <v>0</v>
      </c>
      <c r="IA41" s="15">
        <v>0</v>
      </c>
      <c r="IB41" s="15"/>
      <c r="IC41" s="15">
        <v>0</v>
      </c>
      <c r="ID41" s="15">
        <v>0</v>
      </c>
      <c r="IE41" s="15">
        <v>0</v>
      </c>
      <c r="IF41" s="15">
        <v>0</v>
      </c>
      <c r="IG41" s="15">
        <v>0</v>
      </c>
      <c r="IH41" s="15">
        <v>0</v>
      </c>
      <c r="II41" s="15">
        <v>0</v>
      </c>
      <c r="IJ41" s="15">
        <v>0</v>
      </c>
      <c r="IK41" s="15"/>
      <c r="IL41" s="15">
        <v>0</v>
      </c>
      <c r="IM41" s="15">
        <v>0</v>
      </c>
      <c r="IN41" s="15">
        <v>0</v>
      </c>
      <c r="IO41" s="15">
        <v>0</v>
      </c>
      <c r="IP41" s="15">
        <v>0</v>
      </c>
      <c r="IQ41" s="15">
        <v>0</v>
      </c>
      <c r="IR41" s="15">
        <v>0</v>
      </c>
      <c r="IS41" s="15">
        <v>0</v>
      </c>
      <c r="IT41" s="15">
        <v>0</v>
      </c>
      <c r="IU41" s="15">
        <v>0</v>
      </c>
      <c r="IV41" s="15">
        <v>0</v>
      </c>
      <c r="IW41" s="15">
        <v>0</v>
      </c>
      <c r="IX41" s="15">
        <v>0</v>
      </c>
      <c r="IY41" s="15">
        <v>0</v>
      </c>
      <c r="IZ41" s="15">
        <v>0</v>
      </c>
      <c r="JA41" s="15">
        <v>0</v>
      </c>
      <c r="JB41" s="15">
        <v>0</v>
      </c>
      <c r="JC41" s="15">
        <v>0</v>
      </c>
      <c r="JD41" s="15">
        <v>0</v>
      </c>
      <c r="JE41" s="15">
        <v>0</v>
      </c>
      <c r="JF41" s="15">
        <v>0</v>
      </c>
      <c r="JG41" s="15">
        <v>0</v>
      </c>
      <c r="JH41" s="15">
        <v>0</v>
      </c>
      <c r="JI41" s="15">
        <v>0</v>
      </c>
      <c r="JJ41" s="15">
        <v>0</v>
      </c>
      <c r="JK41" s="15">
        <v>0</v>
      </c>
      <c r="JL41" s="15">
        <v>0</v>
      </c>
      <c r="JM41" s="15">
        <v>0</v>
      </c>
      <c r="JN41" s="15">
        <v>0</v>
      </c>
      <c r="JO41" s="15">
        <v>0</v>
      </c>
      <c r="JP41" s="15">
        <v>0</v>
      </c>
      <c r="JQ41" s="15">
        <v>0</v>
      </c>
      <c r="JR41" s="15">
        <v>0</v>
      </c>
      <c r="JS41" s="15">
        <v>0</v>
      </c>
      <c r="JT41" s="15">
        <v>0</v>
      </c>
      <c r="JU41" s="15">
        <v>0</v>
      </c>
      <c r="JV41" s="15">
        <v>0</v>
      </c>
      <c r="JW41" s="15">
        <v>0</v>
      </c>
      <c r="JX41" s="15">
        <v>0</v>
      </c>
      <c r="JY41" s="15">
        <v>0</v>
      </c>
      <c r="JZ41" s="15">
        <v>0</v>
      </c>
      <c r="KA41" s="15">
        <v>0</v>
      </c>
      <c r="KB41" s="15">
        <v>0</v>
      </c>
      <c r="KC41" s="15">
        <v>0</v>
      </c>
      <c r="KD41" s="15">
        <v>0</v>
      </c>
      <c r="KE41" s="15">
        <v>0</v>
      </c>
      <c r="KF41" s="15">
        <v>0</v>
      </c>
      <c r="KG41" s="15">
        <v>0</v>
      </c>
      <c r="KH41" s="15">
        <v>0</v>
      </c>
      <c r="KI41" s="15">
        <v>0</v>
      </c>
      <c r="KJ41" s="15">
        <v>0</v>
      </c>
      <c r="KK41" s="15">
        <v>0</v>
      </c>
      <c r="KL41" s="15">
        <v>0</v>
      </c>
      <c r="KM41" s="15">
        <v>0</v>
      </c>
      <c r="KN41" s="15">
        <v>0</v>
      </c>
      <c r="KO41" s="15">
        <v>0</v>
      </c>
      <c r="KP41" s="15">
        <v>0</v>
      </c>
      <c r="KQ41" s="15">
        <v>0</v>
      </c>
      <c r="KR41" s="15">
        <v>0</v>
      </c>
      <c r="KS41" s="15">
        <v>0</v>
      </c>
      <c r="KT41" s="15">
        <v>0</v>
      </c>
      <c r="KU41" s="15">
        <v>0</v>
      </c>
      <c r="KV41" s="15">
        <v>0</v>
      </c>
      <c r="KW41" s="15">
        <v>0</v>
      </c>
      <c r="KX41" s="15">
        <v>0</v>
      </c>
      <c r="KY41" s="15">
        <v>0</v>
      </c>
      <c r="KZ41" s="15">
        <v>0</v>
      </c>
      <c r="LA41" s="15">
        <v>0</v>
      </c>
      <c r="LB41" s="15">
        <v>0</v>
      </c>
      <c r="LC41" s="15">
        <v>0</v>
      </c>
      <c r="LD41" s="15">
        <v>0</v>
      </c>
      <c r="LE41" s="15">
        <v>0</v>
      </c>
      <c r="LF41" s="15">
        <v>0</v>
      </c>
      <c r="LG41" s="15">
        <v>0</v>
      </c>
      <c r="LH41" s="15">
        <v>0</v>
      </c>
      <c r="LI41" s="15">
        <v>0</v>
      </c>
      <c r="LJ41" s="15">
        <v>0</v>
      </c>
      <c r="LK41" s="15">
        <v>0</v>
      </c>
      <c r="LL41" s="15">
        <v>0</v>
      </c>
      <c r="LM41" s="15">
        <v>0</v>
      </c>
      <c r="LN41" s="15">
        <v>0</v>
      </c>
      <c r="LO41" s="15">
        <v>0</v>
      </c>
      <c r="LP41" s="15">
        <v>0</v>
      </c>
      <c r="LQ41" s="15">
        <v>0</v>
      </c>
      <c r="LR41" s="15">
        <v>0</v>
      </c>
      <c r="LS41" s="15">
        <v>0</v>
      </c>
      <c r="LT41" s="15">
        <v>0</v>
      </c>
      <c r="LU41" s="15">
        <v>0</v>
      </c>
      <c r="LV41" s="15">
        <v>0</v>
      </c>
      <c r="LW41" s="15">
        <v>0</v>
      </c>
      <c r="LX41" s="15">
        <v>0</v>
      </c>
      <c r="LY41" s="15">
        <v>0</v>
      </c>
      <c r="LZ41" s="15">
        <v>0</v>
      </c>
      <c r="MA41" s="15">
        <v>0</v>
      </c>
      <c r="MB41" s="15">
        <v>0</v>
      </c>
      <c r="MC41" s="15">
        <v>0</v>
      </c>
      <c r="MD41" s="15">
        <v>0</v>
      </c>
      <c r="ME41" s="15">
        <v>0</v>
      </c>
      <c r="MF41" s="15">
        <v>0</v>
      </c>
      <c r="MG41" s="15">
        <v>0</v>
      </c>
      <c r="MH41" s="15">
        <v>0</v>
      </c>
      <c r="MI41" s="15">
        <v>0</v>
      </c>
      <c r="MJ41" s="15">
        <v>0</v>
      </c>
      <c r="MK41" s="15">
        <v>0</v>
      </c>
      <c r="ML41" s="15">
        <v>0</v>
      </c>
      <c r="MM41" s="15">
        <v>0</v>
      </c>
      <c r="MN41" s="15">
        <v>0</v>
      </c>
      <c r="MO41" s="15">
        <v>0</v>
      </c>
      <c r="MP41" s="15">
        <v>0</v>
      </c>
      <c r="MQ41" s="15">
        <v>0</v>
      </c>
      <c r="MR41" s="15">
        <v>0</v>
      </c>
      <c r="MS41" s="15">
        <v>0</v>
      </c>
      <c r="MT41" s="15">
        <v>0</v>
      </c>
      <c r="MU41" s="15">
        <v>0</v>
      </c>
      <c r="MV41" s="15">
        <v>0</v>
      </c>
      <c r="MW41" s="15">
        <v>0</v>
      </c>
      <c r="MX41" s="15">
        <v>0</v>
      </c>
      <c r="MY41" s="15">
        <v>0</v>
      </c>
      <c r="MZ41" s="15">
        <v>0</v>
      </c>
      <c r="NA41" s="15">
        <v>0</v>
      </c>
      <c r="NB41" s="15">
        <v>0</v>
      </c>
      <c r="NC41" s="15">
        <v>0</v>
      </c>
      <c r="ND41" s="15">
        <v>0</v>
      </c>
      <c r="NE41" s="15">
        <v>0</v>
      </c>
      <c r="NF41" s="15">
        <v>0</v>
      </c>
      <c r="NG41" s="15">
        <v>0</v>
      </c>
      <c r="NH41" s="15">
        <v>0</v>
      </c>
      <c r="NI41" s="15">
        <v>0</v>
      </c>
      <c r="NJ41" s="15">
        <v>0</v>
      </c>
      <c r="NK41" s="15">
        <v>0</v>
      </c>
      <c r="NL41" s="15">
        <v>0</v>
      </c>
      <c r="NM41" s="15">
        <v>0</v>
      </c>
      <c r="NN41" s="15">
        <v>0</v>
      </c>
      <c r="NO41" s="20">
        <v>0</v>
      </c>
      <c r="NP41" s="15">
        <v>0</v>
      </c>
      <c r="NQ41" s="15">
        <v>0</v>
      </c>
      <c r="NR41" s="15">
        <v>0</v>
      </c>
      <c r="NS41" s="15">
        <v>0</v>
      </c>
      <c r="NT41" s="15">
        <v>0</v>
      </c>
      <c r="NU41" s="15">
        <v>0</v>
      </c>
      <c r="NV41" s="15">
        <v>0</v>
      </c>
      <c r="NW41" s="15">
        <v>0</v>
      </c>
      <c r="NX41" s="15">
        <v>0</v>
      </c>
      <c r="NY41" s="15">
        <v>0</v>
      </c>
      <c r="NZ41" s="15">
        <v>0</v>
      </c>
      <c r="OA41" s="15">
        <v>0</v>
      </c>
      <c r="OB41" s="15">
        <v>0</v>
      </c>
      <c r="OC41" s="15">
        <v>0</v>
      </c>
      <c r="OD41" s="15">
        <v>0</v>
      </c>
      <c r="OE41" s="15">
        <v>0</v>
      </c>
      <c r="OF41" s="15">
        <v>0</v>
      </c>
      <c r="OG41" s="15">
        <v>0</v>
      </c>
      <c r="OH41" s="15">
        <v>0</v>
      </c>
      <c r="OI41" s="15">
        <v>0</v>
      </c>
      <c r="OJ41" s="15">
        <v>0</v>
      </c>
      <c r="OK41" s="15">
        <v>0</v>
      </c>
      <c r="OL41" s="15">
        <v>0</v>
      </c>
      <c r="OM41" s="15">
        <v>0</v>
      </c>
      <c r="ON41" s="15">
        <v>0</v>
      </c>
      <c r="OO41" s="15">
        <v>0</v>
      </c>
      <c r="OP41" s="15">
        <v>0</v>
      </c>
      <c r="OQ41" s="15">
        <v>0</v>
      </c>
      <c r="OR41" s="15">
        <v>0</v>
      </c>
      <c r="OS41" s="15">
        <v>0</v>
      </c>
      <c r="OT41" s="15">
        <v>0</v>
      </c>
      <c r="OU41" s="15">
        <v>0</v>
      </c>
      <c r="OV41" s="15">
        <v>0</v>
      </c>
      <c r="OW41" s="15">
        <v>0</v>
      </c>
      <c r="OX41" s="15">
        <v>0</v>
      </c>
      <c r="OY41" s="15">
        <v>0</v>
      </c>
      <c r="OZ41" s="15">
        <v>0</v>
      </c>
      <c r="PA41" s="15">
        <v>0</v>
      </c>
      <c r="PB41" s="15">
        <v>0</v>
      </c>
      <c r="PC41" s="15">
        <v>0</v>
      </c>
      <c r="PD41" s="15">
        <v>0</v>
      </c>
      <c r="PE41" s="15">
        <v>0</v>
      </c>
      <c r="PF41" s="15">
        <v>0</v>
      </c>
      <c r="PG41" s="15">
        <v>0</v>
      </c>
      <c r="PH41" s="15">
        <v>0</v>
      </c>
      <c r="PI41" s="15">
        <v>0</v>
      </c>
      <c r="PJ41" s="15">
        <v>0</v>
      </c>
      <c r="PK41" s="15">
        <v>0</v>
      </c>
      <c r="PL41" s="15">
        <v>0</v>
      </c>
      <c r="PM41" s="15">
        <v>0</v>
      </c>
      <c r="PN41" s="15">
        <v>0</v>
      </c>
      <c r="PO41" s="15">
        <v>0</v>
      </c>
      <c r="PP41" s="15">
        <v>0</v>
      </c>
      <c r="PQ41" s="15">
        <v>0</v>
      </c>
      <c r="PR41" s="15">
        <v>0</v>
      </c>
      <c r="PS41" s="15">
        <v>0</v>
      </c>
      <c r="PT41" s="15">
        <v>0</v>
      </c>
      <c r="PU41" s="15">
        <v>0</v>
      </c>
      <c r="PV41" s="15">
        <v>0</v>
      </c>
      <c r="PW41" s="15">
        <v>0</v>
      </c>
      <c r="PX41" s="15">
        <v>0</v>
      </c>
      <c r="PY41" s="15">
        <v>0</v>
      </c>
      <c r="PZ41" s="15">
        <v>0</v>
      </c>
      <c r="QA41" s="15">
        <v>0</v>
      </c>
      <c r="QB41" s="15">
        <v>0</v>
      </c>
      <c r="QC41" s="15">
        <v>0</v>
      </c>
      <c r="QD41" s="15">
        <v>0</v>
      </c>
      <c r="QE41" s="15">
        <v>0</v>
      </c>
      <c r="QF41" s="15">
        <v>0</v>
      </c>
      <c r="QG41" s="15">
        <v>0</v>
      </c>
      <c r="QH41" s="15">
        <v>0</v>
      </c>
      <c r="QI41" s="15">
        <v>0</v>
      </c>
      <c r="QJ41" s="15">
        <v>0</v>
      </c>
      <c r="QK41" s="15">
        <v>0</v>
      </c>
      <c r="QL41" s="15">
        <v>0</v>
      </c>
      <c r="QM41" s="15">
        <v>0</v>
      </c>
      <c r="QN41" s="15">
        <v>0</v>
      </c>
      <c r="QO41" s="15">
        <v>0</v>
      </c>
      <c r="QP41" s="15">
        <v>0</v>
      </c>
      <c r="QQ41" s="15">
        <v>0</v>
      </c>
      <c r="QR41" s="15">
        <v>0</v>
      </c>
      <c r="QS41" s="15">
        <v>0</v>
      </c>
      <c r="QT41" s="15">
        <v>0</v>
      </c>
      <c r="QU41" s="15">
        <v>0</v>
      </c>
      <c r="QV41" s="15">
        <v>0</v>
      </c>
      <c r="QW41" s="15">
        <v>0</v>
      </c>
      <c r="QX41" s="15">
        <v>0</v>
      </c>
      <c r="QY41" s="15">
        <v>0</v>
      </c>
      <c r="QZ41" s="15">
        <v>0</v>
      </c>
      <c r="RA41" s="15">
        <v>0</v>
      </c>
      <c r="RB41" s="15">
        <v>0</v>
      </c>
      <c r="RC41" s="15">
        <v>0</v>
      </c>
      <c r="RD41" s="15">
        <v>0</v>
      </c>
      <c r="RE41" s="15">
        <v>0</v>
      </c>
      <c r="RF41" s="15">
        <v>0</v>
      </c>
      <c r="RG41" s="15">
        <v>0</v>
      </c>
      <c r="RH41" s="15">
        <v>0</v>
      </c>
      <c r="RI41" s="15">
        <v>0</v>
      </c>
      <c r="RJ41" s="15">
        <v>0</v>
      </c>
      <c r="RK41" s="15">
        <v>0</v>
      </c>
      <c r="RL41" s="15">
        <v>0</v>
      </c>
      <c r="RM41" s="15">
        <v>0</v>
      </c>
      <c r="RN41" s="15">
        <v>0</v>
      </c>
      <c r="RO41" s="15">
        <v>0</v>
      </c>
      <c r="RP41" s="15">
        <v>0</v>
      </c>
      <c r="RQ41" s="15">
        <v>0</v>
      </c>
      <c r="RR41" s="15">
        <v>0</v>
      </c>
      <c r="RS41" s="15"/>
      <c r="RT41" s="15">
        <v>0</v>
      </c>
      <c r="RU41" s="15">
        <v>0</v>
      </c>
      <c r="RV41" s="15">
        <v>0</v>
      </c>
      <c r="RW41" s="15">
        <v>0</v>
      </c>
      <c r="RX41" s="15">
        <v>0</v>
      </c>
      <c r="RY41" s="15">
        <v>0</v>
      </c>
      <c r="RZ41" s="15">
        <v>0</v>
      </c>
      <c r="SA41" s="15">
        <v>0</v>
      </c>
      <c r="SB41" s="15">
        <v>0</v>
      </c>
      <c r="SC41" s="15">
        <v>0</v>
      </c>
      <c r="SD41" s="15">
        <v>0</v>
      </c>
      <c r="SE41" s="15">
        <v>0</v>
      </c>
      <c r="SF41" s="15">
        <v>0</v>
      </c>
      <c r="SG41" s="15">
        <v>0</v>
      </c>
      <c r="SH41" s="15">
        <v>0</v>
      </c>
      <c r="SI41" s="15">
        <v>0</v>
      </c>
      <c r="SJ41" s="15">
        <v>0</v>
      </c>
      <c r="SK41" s="15">
        <v>0</v>
      </c>
      <c r="SL41" s="15">
        <v>0</v>
      </c>
      <c r="SM41" s="15">
        <v>0</v>
      </c>
      <c r="SN41" s="15">
        <v>0</v>
      </c>
      <c r="SO41" s="15">
        <v>0</v>
      </c>
      <c r="SP41" s="15">
        <v>0</v>
      </c>
      <c r="SQ41" s="15">
        <v>0</v>
      </c>
      <c r="SR41" s="15">
        <v>0</v>
      </c>
      <c r="SS41" s="15">
        <v>0</v>
      </c>
      <c r="ST41" s="15">
        <v>0</v>
      </c>
      <c r="SU41" s="15">
        <v>0</v>
      </c>
      <c r="SV41" s="15">
        <v>0</v>
      </c>
      <c r="SW41" s="15">
        <v>0</v>
      </c>
      <c r="SX41" s="15">
        <v>0</v>
      </c>
      <c r="SY41" s="15">
        <v>0</v>
      </c>
      <c r="SZ41" s="15">
        <v>0</v>
      </c>
      <c r="TA41" s="15">
        <v>0</v>
      </c>
      <c r="TB41" s="15">
        <v>0</v>
      </c>
      <c r="TC41" s="15">
        <v>0</v>
      </c>
      <c r="TD41" s="15">
        <v>0</v>
      </c>
      <c r="TE41" s="15">
        <v>0</v>
      </c>
      <c r="TF41" s="15">
        <v>0</v>
      </c>
      <c r="TG41" s="15">
        <v>0</v>
      </c>
      <c r="TH41" s="15">
        <v>0</v>
      </c>
      <c r="TI41" s="15">
        <v>0</v>
      </c>
      <c r="TJ41" s="15">
        <v>0</v>
      </c>
      <c r="TK41" s="15">
        <v>0</v>
      </c>
      <c r="TL41" s="15">
        <v>0</v>
      </c>
      <c r="TM41" s="15">
        <v>0</v>
      </c>
      <c r="TN41" s="15">
        <v>0</v>
      </c>
      <c r="TO41" s="15">
        <v>0</v>
      </c>
      <c r="TP41" s="15">
        <v>0</v>
      </c>
      <c r="TQ41" s="15">
        <v>0</v>
      </c>
      <c r="TR41" s="15">
        <v>0</v>
      </c>
      <c r="TS41" s="15">
        <v>0</v>
      </c>
      <c r="TT41" s="15">
        <v>0</v>
      </c>
      <c r="TU41" s="15">
        <v>0</v>
      </c>
      <c r="TV41" s="15">
        <v>0</v>
      </c>
      <c r="TW41" s="15">
        <v>0</v>
      </c>
      <c r="TX41" s="15">
        <v>0</v>
      </c>
      <c r="TY41" s="15">
        <v>0</v>
      </c>
      <c r="TZ41" s="15">
        <v>0</v>
      </c>
      <c r="UA41" s="15">
        <v>0</v>
      </c>
      <c r="UB41" s="15">
        <v>0</v>
      </c>
      <c r="UC41" s="15">
        <v>0</v>
      </c>
      <c r="UD41" s="15">
        <v>0</v>
      </c>
      <c r="UE41" s="15">
        <v>0</v>
      </c>
      <c r="UF41" s="15">
        <v>0</v>
      </c>
      <c r="UG41" s="15">
        <v>0</v>
      </c>
      <c r="UH41" s="15">
        <v>0</v>
      </c>
      <c r="UI41" s="15">
        <v>0</v>
      </c>
      <c r="UJ41" s="15">
        <v>0</v>
      </c>
      <c r="UK41" s="15">
        <v>0</v>
      </c>
      <c r="UL41" s="15">
        <v>0</v>
      </c>
      <c r="UM41" s="15">
        <v>0</v>
      </c>
      <c r="UN41" s="15">
        <v>0</v>
      </c>
      <c r="UO41" s="15">
        <v>0</v>
      </c>
      <c r="UP41" s="15">
        <v>0</v>
      </c>
      <c r="UQ41" s="15">
        <v>0</v>
      </c>
      <c r="UR41" s="15">
        <v>0</v>
      </c>
      <c r="US41" s="15">
        <v>0</v>
      </c>
      <c r="UT41" s="15">
        <v>0</v>
      </c>
      <c r="UU41" s="15">
        <v>0</v>
      </c>
      <c r="UV41" s="15">
        <v>0</v>
      </c>
      <c r="UW41" s="15">
        <v>0</v>
      </c>
      <c r="UX41" s="15">
        <v>0</v>
      </c>
      <c r="UY41" s="15">
        <v>0</v>
      </c>
      <c r="UZ41" s="15">
        <v>0</v>
      </c>
      <c r="VA41" s="15">
        <v>0</v>
      </c>
      <c r="VB41" s="15">
        <v>0</v>
      </c>
      <c r="VC41" s="15">
        <v>0</v>
      </c>
      <c r="VD41" s="15">
        <v>0</v>
      </c>
      <c r="VE41" s="15">
        <v>0</v>
      </c>
      <c r="VF41" s="15">
        <v>0</v>
      </c>
      <c r="VG41" s="15">
        <v>0</v>
      </c>
      <c r="VH41" s="15">
        <v>0</v>
      </c>
      <c r="VI41" s="15">
        <v>0</v>
      </c>
      <c r="VJ41" s="15">
        <v>0</v>
      </c>
      <c r="VK41" s="15">
        <v>0</v>
      </c>
      <c r="VL41" s="15">
        <v>0</v>
      </c>
      <c r="VM41" s="15">
        <v>0</v>
      </c>
      <c r="VN41" s="15">
        <v>0</v>
      </c>
      <c r="VO41" s="15">
        <v>0</v>
      </c>
      <c r="VP41" s="15">
        <v>0</v>
      </c>
      <c r="VQ41" s="15">
        <v>0</v>
      </c>
      <c r="VR41" s="15">
        <v>0</v>
      </c>
      <c r="VS41" s="15">
        <v>0</v>
      </c>
      <c r="VT41" s="15">
        <v>0</v>
      </c>
      <c r="VU41" s="15">
        <v>0</v>
      </c>
      <c r="VV41" s="15">
        <v>0</v>
      </c>
      <c r="VW41" s="15">
        <v>0</v>
      </c>
      <c r="VX41" s="15">
        <v>0</v>
      </c>
      <c r="VY41" s="15">
        <v>0</v>
      </c>
      <c r="VZ41" s="15">
        <v>0</v>
      </c>
      <c r="WA41" s="15">
        <v>0</v>
      </c>
      <c r="WB41" s="15">
        <v>0</v>
      </c>
      <c r="WC41" s="15">
        <v>0</v>
      </c>
      <c r="WD41" s="15">
        <v>0</v>
      </c>
      <c r="WE41" s="15">
        <v>0</v>
      </c>
      <c r="WF41" s="15">
        <v>0</v>
      </c>
      <c r="WG41" s="15">
        <v>0</v>
      </c>
      <c r="WH41" s="15">
        <v>0</v>
      </c>
      <c r="WI41" s="15">
        <v>0</v>
      </c>
      <c r="WJ41" s="15">
        <v>0</v>
      </c>
      <c r="WK41" s="15">
        <v>0</v>
      </c>
      <c r="WL41" s="15">
        <v>0</v>
      </c>
      <c r="WM41" s="15">
        <v>0</v>
      </c>
      <c r="WN41" s="15">
        <v>0</v>
      </c>
      <c r="WO41" s="15">
        <v>0</v>
      </c>
      <c r="WP41" s="15">
        <v>0</v>
      </c>
      <c r="WQ41" s="15">
        <v>0</v>
      </c>
      <c r="WR41" s="15">
        <v>0</v>
      </c>
      <c r="WS41" s="15">
        <v>0</v>
      </c>
      <c r="WT41" s="15">
        <v>0</v>
      </c>
      <c r="WU41" s="15">
        <v>0</v>
      </c>
      <c r="WV41" s="15">
        <v>0</v>
      </c>
      <c r="WW41" s="15">
        <v>0</v>
      </c>
      <c r="WX41" s="15">
        <v>0</v>
      </c>
      <c r="WY41" s="15">
        <v>0</v>
      </c>
      <c r="WZ41" s="15">
        <v>0</v>
      </c>
      <c r="XA41" s="15">
        <v>0</v>
      </c>
      <c r="XB41" s="15">
        <v>0</v>
      </c>
      <c r="XC41" s="15">
        <v>0</v>
      </c>
      <c r="XD41" s="15">
        <v>0</v>
      </c>
      <c r="XE41" s="15">
        <v>0</v>
      </c>
      <c r="XF41" s="15">
        <v>0</v>
      </c>
      <c r="XG41" s="15">
        <v>0</v>
      </c>
      <c r="XH41" s="15">
        <v>0</v>
      </c>
      <c r="XI41" s="15">
        <v>0</v>
      </c>
      <c r="XJ41" s="15">
        <v>0</v>
      </c>
      <c r="XK41" s="15">
        <v>0</v>
      </c>
      <c r="XL41" s="15">
        <v>0</v>
      </c>
      <c r="XM41" s="15">
        <v>0</v>
      </c>
      <c r="XN41" s="15">
        <v>0</v>
      </c>
      <c r="XO41" s="15">
        <v>0</v>
      </c>
      <c r="XP41" s="15">
        <v>0</v>
      </c>
      <c r="XQ41" s="15">
        <v>0</v>
      </c>
      <c r="XR41" s="15">
        <v>0</v>
      </c>
      <c r="XS41" s="15">
        <v>0</v>
      </c>
      <c r="XT41" s="15">
        <v>0</v>
      </c>
      <c r="XU41" s="15">
        <v>0</v>
      </c>
      <c r="XV41" s="15">
        <v>0</v>
      </c>
      <c r="XW41" s="15">
        <v>0</v>
      </c>
      <c r="XX41" s="15">
        <v>0</v>
      </c>
      <c r="XY41" s="15">
        <v>0</v>
      </c>
      <c r="XZ41" s="15">
        <v>0</v>
      </c>
      <c r="YA41" s="15">
        <v>0</v>
      </c>
      <c r="YB41" s="15">
        <v>0</v>
      </c>
      <c r="YC41" s="15">
        <v>0</v>
      </c>
      <c r="YD41" s="15">
        <v>0</v>
      </c>
      <c r="YE41" s="15">
        <v>0</v>
      </c>
      <c r="YF41" s="15">
        <v>0</v>
      </c>
      <c r="YG41" s="15">
        <v>0</v>
      </c>
      <c r="YH41" s="15">
        <v>0</v>
      </c>
      <c r="YI41" s="15">
        <v>0</v>
      </c>
      <c r="YJ41" s="15">
        <v>0</v>
      </c>
      <c r="YK41" s="15">
        <v>0</v>
      </c>
      <c r="YL41" s="15">
        <v>0</v>
      </c>
      <c r="YM41" s="15">
        <v>0</v>
      </c>
      <c r="YN41" s="15">
        <v>0</v>
      </c>
      <c r="YO41" s="15">
        <v>0</v>
      </c>
      <c r="YP41" s="15">
        <v>0</v>
      </c>
      <c r="YQ41" s="15">
        <v>0</v>
      </c>
      <c r="YR41" s="15">
        <v>0</v>
      </c>
      <c r="YS41" s="15">
        <v>0</v>
      </c>
      <c r="YT41" s="15">
        <v>0</v>
      </c>
      <c r="YU41" s="15">
        <v>0</v>
      </c>
      <c r="YV41" s="15">
        <v>0</v>
      </c>
      <c r="YW41" s="15">
        <v>0</v>
      </c>
      <c r="YX41" s="15">
        <v>0</v>
      </c>
      <c r="YY41" s="15">
        <v>0</v>
      </c>
      <c r="YZ41" s="15">
        <v>0</v>
      </c>
      <c r="ZA41" s="15">
        <v>0</v>
      </c>
      <c r="ZB41" s="15">
        <v>0</v>
      </c>
      <c r="ZC41" s="15">
        <v>0</v>
      </c>
      <c r="ZD41" s="15">
        <v>0</v>
      </c>
      <c r="ZE41" s="15">
        <v>0</v>
      </c>
      <c r="ZF41" s="15">
        <v>0</v>
      </c>
      <c r="ZG41" s="15">
        <v>0</v>
      </c>
      <c r="ZH41" s="15">
        <v>0</v>
      </c>
      <c r="ZI41" s="15">
        <v>0</v>
      </c>
      <c r="ZJ41" s="15">
        <v>0</v>
      </c>
      <c r="ZK41" s="15">
        <v>0</v>
      </c>
      <c r="ZL41" s="15">
        <v>0</v>
      </c>
      <c r="ZM41" s="15">
        <v>0</v>
      </c>
      <c r="ZN41" s="15">
        <v>0</v>
      </c>
      <c r="ZO41" s="15">
        <v>0</v>
      </c>
      <c r="ZP41" s="15">
        <v>0</v>
      </c>
      <c r="ZQ41" s="15">
        <v>0</v>
      </c>
      <c r="ZR41" s="15">
        <v>0</v>
      </c>
      <c r="ZS41" s="15">
        <v>0</v>
      </c>
      <c r="ZT41" s="15">
        <v>0</v>
      </c>
      <c r="ZU41" s="15">
        <v>0</v>
      </c>
      <c r="ZV41" s="15">
        <v>0</v>
      </c>
      <c r="ZW41" s="15">
        <v>0</v>
      </c>
      <c r="ZX41" s="15">
        <v>0</v>
      </c>
      <c r="ZY41" s="15">
        <v>0</v>
      </c>
      <c r="ZZ41" s="15">
        <v>0</v>
      </c>
      <c r="AAA41" s="15">
        <v>0</v>
      </c>
      <c r="AAB41" s="15">
        <v>0</v>
      </c>
      <c r="AAC41" s="15">
        <v>0</v>
      </c>
      <c r="AAD41" s="15">
        <v>0</v>
      </c>
      <c r="AAE41" s="15">
        <v>0</v>
      </c>
      <c r="AAF41" s="15">
        <v>0</v>
      </c>
      <c r="AAG41" s="15">
        <v>0</v>
      </c>
      <c r="AAH41" s="15">
        <v>0</v>
      </c>
      <c r="AAI41" s="15">
        <v>0</v>
      </c>
      <c r="AAJ41" s="15">
        <v>0</v>
      </c>
      <c r="AAK41" s="15">
        <v>0</v>
      </c>
      <c r="AAL41" s="15"/>
      <c r="AAM41" s="15">
        <v>0</v>
      </c>
      <c r="AAN41" s="15">
        <v>0</v>
      </c>
      <c r="AAO41" s="15">
        <v>0</v>
      </c>
      <c r="AAP41" s="15">
        <v>0</v>
      </c>
      <c r="AAQ41" s="15">
        <v>0</v>
      </c>
      <c r="AAR41" s="15">
        <v>0</v>
      </c>
      <c r="AAS41" s="15">
        <v>0</v>
      </c>
      <c r="AAT41" s="15">
        <v>0</v>
      </c>
      <c r="AAU41" s="15">
        <v>0</v>
      </c>
      <c r="AAV41" s="15">
        <v>0</v>
      </c>
      <c r="AAW41" s="15">
        <v>0</v>
      </c>
      <c r="AAX41" s="15"/>
      <c r="AAY41" s="15">
        <v>0</v>
      </c>
      <c r="AAZ41" s="15">
        <v>0</v>
      </c>
      <c r="ABA41" s="15">
        <v>0</v>
      </c>
      <c r="ABB41" s="15">
        <v>0</v>
      </c>
      <c r="ABC41" s="15">
        <v>0</v>
      </c>
      <c r="ABD41" s="15">
        <v>0</v>
      </c>
      <c r="ABE41" s="15">
        <v>0</v>
      </c>
      <c r="ABF41" s="15">
        <v>0</v>
      </c>
      <c r="ABG41" s="15">
        <v>0</v>
      </c>
      <c r="ABH41" s="15">
        <v>0</v>
      </c>
      <c r="ABI41" s="15">
        <v>0</v>
      </c>
      <c r="ABJ41" s="15">
        <v>0</v>
      </c>
      <c r="ABK41" s="15">
        <v>0</v>
      </c>
      <c r="ABL41" s="15">
        <v>0</v>
      </c>
      <c r="ABM41" s="15">
        <v>0</v>
      </c>
      <c r="ABN41" s="15">
        <v>0</v>
      </c>
      <c r="ABO41" s="15">
        <v>0</v>
      </c>
      <c r="ABP41" s="15">
        <v>0</v>
      </c>
      <c r="ABQ41" s="15">
        <v>0</v>
      </c>
      <c r="ABR41" s="15">
        <v>0</v>
      </c>
      <c r="ABS41" s="15">
        <v>0</v>
      </c>
      <c r="ABT41" s="15">
        <v>0</v>
      </c>
      <c r="ABU41" s="15">
        <v>0</v>
      </c>
      <c r="ABV41" s="15">
        <v>0</v>
      </c>
      <c r="ABW41" s="15">
        <v>0</v>
      </c>
      <c r="ABX41" s="15">
        <v>0</v>
      </c>
      <c r="ABY41" s="15">
        <v>0</v>
      </c>
      <c r="ABZ41" s="15">
        <v>0</v>
      </c>
      <c r="ACA41" s="15">
        <v>0</v>
      </c>
      <c r="ACB41" s="15">
        <v>0</v>
      </c>
      <c r="ACC41" s="15">
        <v>0</v>
      </c>
      <c r="ACD41" s="15">
        <v>0</v>
      </c>
      <c r="ACE41" s="15">
        <v>0</v>
      </c>
      <c r="ACF41" s="15">
        <v>0</v>
      </c>
      <c r="ACG41" s="15">
        <v>0</v>
      </c>
      <c r="ACH41" s="15">
        <v>0</v>
      </c>
      <c r="ACI41" s="15">
        <v>0</v>
      </c>
      <c r="ACJ41" s="15">
        <v>0</v>
      </c>
      <c r="ACK41" s="15">
        <v>0</v>
      </c>
      <c r="ACL41" s="15">
        <v>0</v>
      </c>
      <c r="ACM41" s="15">
        <v>0</v>
      </c>
      <c r="ACN41" s="15">
        <v>0</v>
      </c>
      <c r="ACO41" s="15">
        <v>0</v>
      </c>
      <c r="ACP41" s="15">
        <v>0</v>
      </c>
      <c r="ACQ41" s="15">
        <v>0</v>
      </c>
      <c r="ACR41" s="15">
        <v>0</v>
      </c>
      <c r="ACS41" s="15">
        <v>0</v>
      </c>
      <c r="ACT41" s="15">
        <v>0</v>
      </c>
      <c r="ACU41" s="15">
        <v>0</v>
      </c>
      <c r="ACV41" s="15">
        <v>0</v>
      </c>
      <c r="ACW41" s="15">
        <v>0</v>
      </c>
      <c r="ACX41" s="15">
        <v>0</v>
      </c>
      <c r="ACY41" s="15">
        <v>0</v>
      </c>
      <c r="ACZ41" s="15">
        <v>0</v>
      </c>
      <c r="ADA41" s="15">
        <v>0</v>
      </c>
      <c r="ADB41" s="15">
        <v>0</v>
      </c>
      <c r="ADC41" s="15">
        <v>0</v>
      </c>
      <c r="ADD41" s="15">
        <v>0</v>
      </c>
      <c r="ADE41" s="15">
        <v>0</v>
      </c>
      <c r="ADF41" s="15">
        <v>0</v>
      </c>
      <c r="ADG41" s="15">
        <v>0</v>
      </c>
      <c r="ADH41" s="15"/>
      <c r="ADI41" s="15">
        <v>0</v>
      </c>
      <c r="ADJ41" s="15">
        <v>0</v>
      </c>
      <c r="ADK41" s="15">
        <v>0</v>
      </c>
      <c r="ADL41" s="15">
        <v>0</v>
      </c>
      <c r="ADM41" s="15">
        <v>0</v>
      </c>
      <c r="ADN41" s="15">
        <v>0</v>
      </c>
      <c r="ADO41" s="15">
        <v>0</v>
      </c>
      <c r="ADP41" s="15">
        <v>0</v>
      </c>
      <c r="ADQ41" s="15">
        <v>0</v>
      </c>
      <c r="ADR41" s="15">
        <v>0</v>
      </c>
      <c r="ADS41" s="15">
        <v>0</v>
      </c>
      <c r="ADT41" s="15">
        <v>0</v>
      </c>
      <c r="ADU41" s="15">
        <v>0</v>
      </c>
      <c r="ADV41" s="15">
        <v>0</v>
      </c>
      <c r="ADW41" s="15">
        <v>0</v>
      </c>
      <c r="ADX41" s="15">
        <v>0</v>
      </c>
      <c r="ADY41" s="15">
        <v>0</v>
      </c>
      <c r="ADZ41" s="15">
        <v>0</v>
      </c>
      <c r="AEA41" s="15">
        <v>0</v>
      </c>
      <c r="AEB41" s="15">
        <v>0</v>
      </c>
      <c r="AEC41" s="15">
        <v>0</v>
      </c>
      <c r="AED41" s="15">
        <v>0</v>
      </c>
      <c r="AEE41" s="15">
        <v>0</v>
      </c>
      <c r="AEF41" s="15">
        <v>0</v>
      </c>
      <c r="AEG41" s="15">
        <v>0</v>
      </c>
      <c r="AEH41" s="15">
        <v>0</v>
      </c>
      <c r="AEI41" s="15">
        <v>0</v>
      </c>
      <c r="AEJ41" s="15">
        <v>0</v>
      </c>
      <c r="AEK41" s="15">
        <v>0</v>
      </c>
      <c r="AEL41" s="15">
        <v>0</v>
      </c>
      <c r="AEM41" s="15">
        <v>0</v>
      </c>
      <c r="AEN41" s="15">
        <v>0</v>
      </c>
      <c r="AEO41" s="15">
        <v>0</v>
      </c>
      <c r="AEP41" s="15">
        <v>0</v>
      </c>
      <c r="AEQ41" s="15">
        <v>0</v>
      </c>
      <c r="AER41" s="15">
        <v>0</v>
      </c>
      <c r="AES41" s="15">
        <v>0</v>
      </c>
      <c r="AET41" s="15">
        <v>0</v>
      </c>
      <c r="AEU41" s="15">
        <v>0</v>
      </c>
      <c r="AEV41" s="15">
        <v>0</v>
      </c>
      <c r="AEW41" s="15">
        <v>0</v>
      </c>
      <c r="AEX41" s="15">
        <v>0</v>
      </c>
      <c r="AEY41" s="15">
        <v>0</v>
      </c>
      <c r="AEZ41" s="15">
        <v>0</v>
      </c>
      <c r="AFA41" s="15">
        <v>0</v>
      </c>
      <c r="AFB41" s="15">
        <v>0</v>
      </c>
      <c r="AFC41" s="15">
        <v>0</v>
      </c>
      <c r="AFD41" s="15">
        <v>0</v>
      </c>
      <c r="AFE41" s="15">
        <v>0</v>
      </c>
      <c r="AFF41" s="15">
        <v>0</v>
      </c>
      <c r="AFG41" s="15">
        <v>0</v>
      </c>
      <c r="AFH41" s="15">
        <v>0</v>
      </c>
      <c r="AFI41" s="15">
        <v>0</v>
      </c>
      <c r="AFJ41" s="15">
        <v>0</v>
      </c>
      <c r="AFK41" s="15">
        <v>0</v>
      </c>
      <c r="AFL41" s="15">
        <v>0</v>
      </c>
      <c r="AFM41" s="15">
        <v>0</v>
      </c>
      <c r="AFN41" s="15">
        <v>0</v>
      </c>
      <c r="AFO41" s="15">
        <v>0</v>
      </c>
      <c r="AFP41" s="15">
        <v>0</v>
      </c>
      <c r="AFQ41" s="15">
        <v>0</v>
      </c>
      <c r="AFR41" s="15"/>
      <c r="AFS41" s="15">
        <v>0</v>
      </c>
      <c r="AFT41" s="15">
        <v>0</v>
      </c>
      <c r="AFU41" s="15">
        <v>0</v>
      </c>
      <c r="AFV41" s="15">
        <v>0</v>
      </c>
      <c r="AFW41" s="15">
        <v>0</v>
      </c>
      <c r="AFX41" s="15">
        <v>0</v>
      </c>
      <c r="AFY41" s="15">
        <v>0</v>
      </c>
      <c r="AFZ41" s="15">
        <v>0</v>
      </c>
      <c r="AGA41" s="15">
        <v>0</v>
      </c>
      <c r="AGB41" s="15">
        <v>0</v>
      </c>
      <c r="AGC41" s="15">
        <v>0</v>
      </c>
      <c r="AGD41" s="15">
        <v>0</v>
      </c>
      <c r="AGE41" s="15">
        <v>0</v>
      </c>
      <c r="AGF41" s="15">
        <v>0</v>
      </c>
      <c r="AGG41" s="15">
        <v>0</v>
      </c>
      <c r="AGH41" s="15">
        <v>0</v>
      </c>
      <c r="AGI41" s="15">
        <v>0</v>
      </c>
      <c r="AGJ41" s="15">
        <v>0</v>
      </c>
      <c r="AGK41" s="15">
        <v>0</v>
      </c>
      <c r="AGL41" s="15">
        <v>0</v>
      </c>
      <c r="AGM41" s="15">
        <v>0</v>
      </c>
      <c r="AGN41" s="15">
        <v>0</v>
      </c>
      <c r="AGO41" s="15">
        <v>0</v>
      </c>
      <c r="AGP41" s="15">
        <v>0</v>
      </c>
      <c r="AGQ41" s="15">
        <v>0</v>
      </c>
      <c r="AGR41" s="15">
        <v>0</v>
      </c>
      <c r="AGS41" s="15">
        <v>0</v>
      </c>
      <c r="AGT41" s="15">
        <v>0</v>
      </c>
      <c r="AGU41" s="15">
        <v>0</v>
      </c>
      <c r="AGV41" s="15">
        <v>0</v>
      </c>
      <c r="AGW41" s="15">
        <v>0</v>
      </c>
      <c r="AGX41" s="15">
        <v>0</v>
      </c>
      <c r="AGY41" s="15">
        <v>0</v>
      </c>
      <c r="AGZ41" s="15">
        <v>0</v>
      </c>
      <c r="AHA41" s="15">
        <v>0</v>
      </c>
      <c r="AHB41" s="15">
        <v>0</v>
      </c>
      <c r="AHC41" s="15">
        <v>0</v>
      </c>
      <c r="AHD41" s="15">
        <v>0</v>
      </c>
      <c r="AHE41" s="15">
        <v>0</v>
      </c>
      <c r="AHF41" s="15">
        <v>0</v>
      </c>
      <c r="AHG41" s="15">
        <v>0</v>
      </c>
      <c r="AHH41" s="15">
        <v>0</v>
      </c>
      <c r="AHI41" s="15">
        <v>0</v>
      </c>
      <c r="AHJ41" s="15">
        <v>0</v>
      </c>
      <c r="AHK41" s="15">
        <v>0</v>
      </c>
      <c r="AHL41" s="15">
        <v>0</v>
      </c>
      <c r="AHM41" s="15">
        <v>0</v>
      </c>
      <c r="AHN41" s="15">
        <v>0</v>
      </c>
      <c r="AHO41" s="15">
        <v>0</v>
      </c>
      <c r="AHP41" s="15">
        <v>0</v>
      </c>
      <c r="AHQ41" s="15">
        <v>0</v>
      </c>
      <c r="AHR41" s="15">
        <v>0</v>
      </c>
      <c r="AHS41" s="15">
        <v>0</v>
      </c>
      <c r="AHT41" s="15">
        <v>0</v>
      </c>
      <c r="AHU41" s="15">
        <v>0</v>
      </c>
      <c r="AHV41" s="15">
        <v>0</v>
      </c>
      <c r="AHW41" s="15">
        <v>0</v>
      </c>
      <c r="AHX41" s="15">
        <v>0</v>
      </c>
      <c r="AHY41" s="15">
        <v>0</v>
      </c>
      <c r="AHZ41" s="15">
        <v>0</v>
      </c>
      <c r="AIA41" s="15">
        <v>0</v>
      </c>
      <c r="AIB41" s="15">
        <v>0</v>
      </c>
      <c r="AIC41" s="15">
        <v>0</v>
      </c>
      <c r="AID41" s="15">
        <v>0</v>
      </c>
      <c r="AIE41" s="15">
        <v>0</v>
      </c>
      <c r="AIF41" s="15">
        <v>0</v>
      </c>
      <c r="AIG41" s="15">
        <v>0</v>
      </c>
      <c r="AIH41" s="15">
        <v>0</v>
      </c>
      <c r="AII41" s="15">
        <v>0</v>
      </c>
      <c r="AIJ41" s="15">
        <v>0</v>
      </c>
      <c r="AIK41" s="15">
        <v>0</v>
      </c>
      <c r="AIL41" s="15">
        <v>0</v>
      </c>
      <c r="AIM41" s="15">
        <v>0</v>
      </c>
      <c r="AIN41" s="15">
        <v>0</v>
      </c>
      <c r="AIO41" s="15">
        <v>0</v>
      </c>
      <c r="AIP41" s="15">
        <v>0</v>
      </c>
      <c r="AIQ41" s="15">
        <v>0</v>
      </c>
      <c r="AIR41" s="15">
        <v>0</v>
      </c>
      <c r="AIS41" s="15">
        <v>0</v>
      </c>
      <c r="AIT41" s="15">
        <v>0</v>
      </c>
      <c r="AIU41" s="15">
        <v>1</v>
      </c>
      <c r="AIV41" s="15">
        <v>1</v>
      </c>
      <c r="AIW41" s="15">
        <v>1</v>
      </c>
      <c r="AIX41" s="15">
        <v>1</v>
      </c>
      <c r="AIY41" s="15">
        <v>1</v>
      </c>
      <c r="AIZ41" s="15">
        <v>1</v>
      </c>
      <c r="AJA41" s="15">
        <v>0</v>
      </c>
      <c r="AJB41" s="15">
        <v>0</v>
      </c>
      <c r="AJC41" s="15">
        <v>0</v>
      </c>
      <c r="AJD41" s="15">
        <v>0</v>
      </c>
      <c r="AJE41" s="15">
        <v>0</v>
      </c>
      <c r="AJF41" s="15"/>
      <c r="AJG41" s="15">
        <v>0</v>
      </c>
      <c r="AJH41" s="15">
        <v>0</v>
      </c>
      <c r="AJI41" s="15">
        <v>0</v>
      </c>
      <c r="AJJ41" s="15">
        <v>0</v>
      </c>
      <c r="AJK41" s="15">
        <v>0</v>
      </c>
      <c r="AJL41" s="15">
        <v>0</v>
      </c>
      <c r="AJM41" s="15">
        <v>0</v>
      </c>
      <c r="AJN41" s="15"/>
      <c r="AJO41" s="15">
        <v>0</v>
      </c>
      <c r="AJP41" s="15">
        <v>0</v>
      </c>
      <c r="AJQ41" s="15">
        <v>0</v>
      </c>
      <c r="AJR41" s="15">
        <v>0</v>
      </c>
      <c r="AJS41" s="15">
        <v>0</v>
      </c>
      <c r="AJT41" s="15">
        <v>0</v>
      </c>
      <c r="AJU41" s="15">
        <v>0</v>
      </c>
      <c r="AJV41" s="15">
        <v>0</v>
      </c>
      <c r="AJW41" s="15">
        <v>0</v>
      </c>
      <c r="AJX41" s="15"/>
      <c r="AJY41" s="15">
        <v>0</v>
      </c>
      <c r="AJZ41" s="15">
        <v>0</v>
      </c>
      <c r="AKA41" s="15">
        <v>0</v>
      </c>
      <c r="AKB41" s="15">
        <v>0</v>
      </c>
      <c r="AKC41" s="15">
        <v>0</v>
      </c>
      <c r="AKD41" s="15">
        <v>0</v>
      </c>
      <c r="AKE41" s="15">
        <v>0</v>
      </c>
      <c r="AKF41" s="15">
        <v>0</v>
      </c>
      <c r="AKG41" s="15">
        <v>0</v>
      </c>
      <c r="AKH41" s="15">
        <v>0</v>
      </c>
      <c r="AKI41" s="15"/>
      <c r="AKJ41" s="15">
        <v>0</v>
      </c>
      <c r="AKK41" s="15">
        <v>0</v>
      </c>
      <c r="AKL41" s="15">
        <v>0</v>
      </c>
      <c r="AKM41" s="15">
        <v>0</v>
      </c>
      <c r="AKN41" s="15">
        <v>0</v>
      </c>
      <c r="AKO41" s="15">
        <v>0</v>
      </c>
      <c r="AKP41" s="15">
        <v>0</v>
      </c>
      <c r="AKQ41" s="15">
        <v>0</v>
      </c>
      <c r="AKR41" s="15">
        <v>0</v>
      </c>
      <c r="AKS41" s="15">
        <v>0</v>
      </c>
      <c r="AKT41" s="15">
        <v>0</v>
      </c>
      <c r="AKU41" s="15">
        <v>0</v>
      </c>
      <c r="AKV41" s="15">
        <v>0</v>
      </c>
      <c r="AKW41" s="15">
        <v>0</v>
      </c>
      <c r="AKX41" s="15"/>
      <c r="AKY41" s="15">
        <v>0</v>
      </c>
      <c r="AKZ41" s="15">
        <v>0</v>
      </c>
      <c r="ALA41" s="15">
        <v>0</v>
      </c>
      <c r="ALB41" s="15">
        <v>0</v>
      </c>
      <c r="ALC41" s="15">
        <v>0</v>
      </c>
      <c r="ALD41" s="15">
        <v>0</v>
      </c>
      <c r="ALE41" s="15">
        <v>0</v>
      </c>
      <c r="ALF41" s="15">
        <v>0</v>
      </c>
      <c r="ALG41" s="15">
        <v>0</v>
      </c>
      <c r="ALH41" s="15">
        <v>0</v>
      </c>
      <c r="ALI41" s="15">
        <v>0</v>
      </c>
      <c r="ALJ41" s="15">
        <v>0</v>
      </c>
      <c r="ALK41" s="15">
        <v>0</v>
      </c>
      <c r="ALL41" s="15">
        <v>0</v>
      </c>
      <c r="ALM41" s="15"/>
      <c r="ALN41" s="15">
        <v>0</v>
      </c>
      <c r="ALO41" s="15">
        <v>0</v>
      </c>
      <c r="ALP41" s="15">
        <v>0</v>
      </c>
      <c r="ALQ41" s="15">
        <v>0</v>
      </c>
      <c r="ALR41" s="15">
        <v>0</v>
      </c>
      <c r="ALS41" s="15">
        <v>0</v>
      </c>
      <c r="ALT41" s="15">
        <v>0</v>
      </c>
      <c r="ALU41" s="15">
        <v>0</v>
      </c>
      <c r="ALV41" s="15">
        <v>0</v>
      </c>
      <c r="ALW41" s="15">
        <v>0</v>
      </c>
      <c r="ALX41" s="15">
        <v>0</v>
      </c>
      <c r="ALY41" s="15">
        <v>0</v>
      </c>
      <c r="ALZ41" s="15">
        <v>0</v>
      </c>
      <c r="AMA41" s="15">
        <v>0</v>
      </c>
      <c r="AMB41" s="15">
        <v>0</v>
      </c>
      <c r="AMC41" s="15"/>
      <c r="AMD41" s="15">
        <v>0</v>
      </c>
      <c r="AME41" s="15">
        <v>0</v>
      </c>
      <c r="AMF41" s="15">
        <v>0</v>
      </c>
      <c r="AMG41" s="15">
        <v>0</v>
      </c>
      <c r="AMH41" s="15">
        <v>0</v>
      </c>
      <c r="AMI41" s="15">
        <v>0</v>
      </c>
      <c r="AMJ41" s="15">
        <v>0</v>
      </c>
      <c r="AMK41" s="15">
        <v>0</v>
      </c>
      <c r="AML41" s="15">
        <v>0</v>
      </c>
      <c r="AMM41" s="15">
        <v>0</v>
      </c>
      <c r="AMN41" s="15">
        <v>0</v>
      </c>
      <c r="AMO41" s="15">
        <v>0</v>
      </c>
      <c r="AMP41" s="15">
        <v>0</v>
      </c>
      <c r="AMQ41" s="15">
        <v>0</v>
      </c>
      <c r="AMR41" s="15">
        <v>0</v>
      </c>
      <c r="AMS41" s="15">
        <v>0</v>
      </c>
      <c r="AMT41" s="15">
        <v>0</v>
      </c>
      <c r="AMU41" s="15">
        <v>0</v>
      </c>
      <c r="AMV41" s="15">
        <v>0</v>
      </c>
      <c r="AMW41" s="15">
        <v>0</v>
      </c>
      <c r="AMX41" s="15">
        <v>0</v>
      </c>
      <c r="AMY41" s="15">
        <v>0</v>
      </c>
      <c r="AMZ41" s="15">
        <v>0</v>
      </c>
      <c r="ANA41" s="15">
        <v>0</v>
      </c>
      <c r="ANB41" s="15">
        <v>0</v>
      </c>
      <c r="ANC41" s="15">
        <v>0</v>
      </c>
      <c r="AND41" s="15">
        <v>0</v>
      </c>
      <c r="ANE41" s="15"/>
      <c r="ANF41" s="15"/>
      <c r="ANG41" s="15"/>
      <c r="ANH41" s="15"/>
      <c r="ANI41" s="15"/>
      <c r="ANJ41" s="15"/>
      <c r="ANK41" s="15"/>
      <c r="ANL41" s="15"/>
      <c r="ANM41" s="15"/>
      <c r="ANN41" s="15"/>
      <c r="ANO41" s="15"/>
      <c r="ANP41" s="15"/>
      <c r="ANQ41" s="15"/>
      <c r="ANR41" s="15"/>
      <c r="ANS41" s="15"/>
      <c r="ANT41" s="15"/>
      <c r="ANU41" s="15"/>
      <c r="ANV41" s="15"/>
      <c r="ANW41" s="15"/>
      <c r="ANX41" s="15"/>
      <c r="ANY41" s="15"/>
      <c r="ANZ41" s="15"/>
      <c r="AOA41" s="15"/>
      <c r="AOB41" s="15"/>
      <c r="AOC41" s="15"/>
      <c r="AOD41" s="15"/>
      <c r="AOE41" s="15"/>
      <c r="AOF41" s="15"/>
      <c r="AOG41" s="15"/>
      <c r="AOH41" s="15"/>
      <c r="AOI41" s="15"/>
      <c r="AOJ41" s="15"/>
      <c r="AOK41" s="15"/>
      <c r="AOL41" s="15"/>
      <c r="AOM41" s="15"/>
      <c r="AON41" s="15"/>
      <c r="AOO41" s="15"/>
      <c r="AOP41" s="15"/>
      <c r="AOQ41" s="15"/>
      <c r="AOR41" s="15"/>
      <c r="AOS41" s="15"/>
      <c r="AOT41" s="15"/>
      <c r="AOU41" s="15"/>
      <c r="AOV41" s="15"/>
      <c r="AOW41" s="15"/>
      <c r="AOX41" s="15"/>
      <c r="AOY41" s="15"/>
      <c r="AOZ41" s="15"/>
      <c r="APA41" s="15"/>
      <c r="APB41" s="15"/>
      <c r="APC41" s="15"/>
      <c r="APD41" s="15"/>
      <c r="APE41" s="15"/>
      <c r="APF41" s="15"/>
      <c r="APG41" s="15"/>
      <c r="APH41" s="15"/>
      <c r="API41" s="15"/>
      <c r="APJ41" s="15"/>
      <c r="APK41" s="15"/>
      <c r="APL41" s="15"/>
      <c r="APM41" s="15"/>
      <c r="APN41" s="15"/>
      <c r="APO41" s="15"/>
      <c r="APP41" s="15"/>
      <c r="APQ41" s="15"/>
      <c r="APR41" s="15"/>
      <c r="APS41" s="15"/>
      <c r="APT41" s="15"/>
      <c r="APU41" s="15"/>
      <c r="APV41" s="15"/>
      <c r="APW41" s="15"/>
      <c r="APX41" s="15"/>
      <c r="APY41" s="15"/>
      <c r="APZ41" s="15"/>
      <c r="AQA41" s="15"/>
      <c r="AQB41" s="15"/>
    </row>
    <row r="42" spans="1:1120" s="17" customFormat="1" ht="15" customHeight="1" x14ac:dyDescent="0.25">
      <c r="A42" s="3" t="s">
        <v>2</v>
      </c>
      <c r="B42" s="6" t="s">
        <v>46</v>
      </c>
      <c r="C42" s="15"/>
      <c r="D42" s="15">
        <v>0</v>
      </c>
      <c r="E42" s="15">
        <v>0</v>
      </c>
      <c r="F42" s="15">
        <v>0</v>
      </c>
      <c r="G42" s="15">
        <v>0</v>
      </c>
      <c r="H42" s="15">
        <v>0</v>
      </c>
      <c r="I42" s="15">
        <v>0</v>
      </c>
      <c r="J42" s="15"/>
      <c r="K42" s="15">
        <v>0</v>
      </c>
      <c r="L42" s="15">
        <v>0</v>
      </c>
      <c r="M42" s="15">
        <v>0</v>
      </c>
      <c r="N42" s="15">
        <v>0</v>
      </c>
      <c r="O42" s="15">
        <v>0</v>
      </c>
      <c r="P42" s="15">
        <v>0</v>
      </c>
      <c r="Q42" s="15"/>
      <c r="R42" s="15">
        <v>0</v>
      </c>
      <c r="S42" s="15">
        <v>0</v>
      </c>
      <c r="T42" s="15">
        <v>0</v>
      </c>
      <c r="U42" s="15">
        <v>0</v>
      </c>
      <c r="V42" s="15">
        <v>0</v>
      </c>
      <c r="W42" s="15">
        <v>0</v>
      </c>
      <c r="X42" s="15"/>
      <c r="Y42" s="15">
        <v>0</v>
      </c>
      <c r="Z42" s="15">
        <v>0</v>
      </c>
      <c r="AA42" s="15">
        <v>0</v>
      </c>
      <c r="AB42" s="15">
        <v>0</v>
      </c>
      <c r="AC42" s="15">
        <v>0</v>
      </c>
      <c r="AD42" s="15">
        <v>0</v>
      </c>
      <c r="AE42" s="15"/>
      <c r="AF42" s="15">
        <v>0</v>
      </c>
      <c r="AG42" s="15">
        <v>0</v>
      </c>
      <c r="AH42" s="15">
        <v>0</v>
      </c>
      <c r="AI42" s="15">
        <v>0</v>
      </c>
      <c r="AJ42" s="15">
        <v>0</v>
      </c>
      <c r="AK42" s="15">
        <v>0</v>
      </c>
      <c r="AL42" s="15"/>
      <c r="AM42" s="15">
        <v>0</v>
      </c>
      <c r="AN42" s="15">
        <v>0</v>
      </c>
      <c r="AO42" s="15">
        <v>0</v>
      </c>
      <c r="AP42" s="15">
        <v>0</v>
      </c>
      <c r="AQ42" s="15">
        <v>0</v>
      </c>
      <c r="AR42" s="15">
        <v>0</v>
      </c>
      <c r="AS42" s="15">
        <v>0</v>
      </c>
      <c r="AT42" s="15">
        <v>0</v>
      </c>
      <c r="AU42" s="15">
        <v>0</v>
      </c>
      <c r="AV42" s="15">
        <v>0</v>
      </c>
      <c r="AW42" s="15">
        <v>0</v>
      </c>
      <c r="AX42" s="15">
        <v>0</v>
      </c>
      <c r="AY42" s="15">
        <v>0</v>
      </c>
      <c r="AZ42" s="15">
        <v>0</v>
      </c>
      <c r="BA42" s="15">
        <v>0</v>
      </c>
      <c r="BB42" s="15">
        <v>0</v>
      </c>
      <c r="BC42" s="15">
        <v>0</v>
      </c>
      <c r="BD42" s="15">
        <v>0</v>
      </c>
      <c r="BE42" s="15">
        <v>0</v>
      </c>
      <c r="BF42" s="15">
        <v>0</v>
      </c>
      <c r="BG42" s="15">
        <v>0</v>
      </c>
      <c r="BH42" s="15">
        <v>0</v>
      </c>
      <c r="BI42" s="15">
        <v>0</v>
      </c>
      <c r="BJ42" s="15">
        <v>0</v>
      </c>
      <c r="BK42" s="15">
        <v>0</v>
      </c>
      <c r="BL42" s="15">
        <v>0</v>
      </c>
      <c r="BM42" s="15">
        <v>0</v>
      </c>
      <c r="BN42" s="15">
        <v>0</v>
      </c>
      <c r="BO42" s="15">
        <v>0</v>
      </c>
      <c r="BP42" s="15">
        <v>0</v>
      </c>
      <c r="BQ42" s="15">
        <v>0</v>
      </c>
      <c r="BR42" s="15">
        <v>0</v>
      </c>
      <c r="BS42" s="15">
        <v>0</v>
      </c>
      <c r="BT42" s="15">
        <v>0</v>
      </c>
      <c r="BU42" s="15">
        <v>0</v>
      </c>
      <c r="BV42" s="15">
        <v>0</v>
      </c>
      <c r="BW42" s="15">
        <v>0</v>
      </c>
      <c r="BX42" s="15">
        <v>0</v>
      </c>
      <c r="BY42" s="15">
        <v>0</v>
      </c>
      <c r="BZ42" s="15">
        <v>0</v>
      </c>
      <c r="CA42" s="15">
        <v>0</v>
      </c>
      <c r="CB42" s="15">
        <v>0</v>
      </c>
      <c r="CC42" s="15">
        <v>0</v>
      </c>
      <c r="CD42" s="15">
        <v>0</v>
      </c>
      <c r="CE42" s="15">
        <v>0</v>
      </c>
      <c r="CF42" s="15">
        <v>0</v>
      </c>
      <c r="CG42" s="15">
        <v>0</v>
      </c>
      <c r="CH42" s="15">
        <v>0</v>
      </c>
      <c r="CI42" s="15">
        <v>0</v>
      </c>
      <c r="CJ42" s="15">
        <v>0</v>
      </c>
      <c r="CK42" s="15">
        <v>0</v>
      </c>
      <c r="CL42" s="15">
        <v>0</v>
      </c>
      <c r="CM42" s="15">
        <v>0</v>
      </c>
      <c r="CN42" s="15">
        <v>0</v>
      </c>
      <c r="CO42" s="15">
        <v>0</v>
      </c>
      <c r="CP42" s="15">
        <v>0</v>
      </c>
      <c r="CQ42" s="15">
        <v>0</v>
      </c>
      <c r="CR42" s="15">
        <v>0</v>
      </c>
      <c r="CS42" s="15">
        <v>0</v>
      </c>
      <c r="CT42" s="15">
        <v>0</v>
      </c>
      <c r="CU42" s="15">
        <v>0</v>
      </c>
      <c r="CV42" s="15">
        <v>0</v>
      </c>
      <c r="CW42" s="15">
        <v>0</v>
      </c>
      <c r="CX42" s="15">
        <v>0</v>
      </c>
      <c r="CY42" s="15">
        <v>0</v>
      </c>
      <c r="CZ42" s="15">
        <v>0</v>
      </c>
      <c r="DA42" s="15">
        <v>0</v>
      </c>
      <c r="DB42" s="15">
        <v>0</v>
      </c>
      <c r="DC42" s="15">
        <v>0</v>
      </c>
      <c r="DD42" s="15">
        <v>0</v>
      </c>
      <c r="DE42" s="15">
        <v>0</v>
      </c>
      <c r="DF42" s="15">
        <v>0</v>
      </c>
      <c r="DG42" s="15">
        <v>0</v>
      </c>
      <c r="DH42" s="15">
        <v>0</v>
      </c>
      <c r="DI42" s="15">
        <v>0</v>
      </c>
      <c r="DJ42" s="15">
        <v>0</v>
      </c>
      <c r="DK42" s="15">
        <v>0</v>
      </c>
      <c r="DL42" s="15">
        <v>0</v>
      </c>
      <c r="DM42" s="15">
        <v>0</v>
      </c>
      <c r="DN42" s="15">
        <v>0</v>
      </c>
      <c r="DO42" s="15">
        <v>0</v>
      </c>
      <c r="DP42" s="15">
        <v>0</v>
      </c>
      <c r="DQ42" s="15">
        <v>0</v>
      </c>
      <c r="DR42" s="15">
        <v>0</v>
      </c>
      <c r="DS42" s="15">
        <v>0</v>
      </c>
      <c r="DT42" s="15">
        <v>0</v>
      </c>
      <c r="DU42" s="15">
        <v>0</v>
      </c>
      <c r="DV42" s="15">
        <v>0</v>
      </c>
      <c r="DW42" s="15">
        <v>0</v>
      </c>
      <c r="DX42" s="15">
        <v>0</v>
      </c>
      <c r="DY42" s="15">
        <v>0</v>
      </c>
      <c r="DZ42" s="15">
        <v>0</v>
      </c>
      <c r="EA42" s="15">
        <v>0</v>
      </c>
      <c r="EB42" s="15">
        <v>0</v>
      </c>
      <c r="EC42" s="15">
        <v>0</v>
      </c>
      <c r="ED42" s="15">
        <v>0</v>
      </c>
      <c r="EE42" s="15">
        <v>0</v>
      </c>
      <c r="EF42" s="15">
        <v>0</v>
      </c>
      <c r="EG42" s="15">
        <v>0</v>
      </c>
      <c r="EH42" s="15">
        <v>0</v>
      </c>
      <c r="EI42" s="15">
        <v>0</v>
      </c>
      <c r="EJ42" s="15">
        <v>0</v>
      </c>
      <c r="EK42" s="15">
        <v>0</v>
      </c>
      <c r="EL42" s="15">
        <v>0</v>
      </c>
      <c r="EM42" s="15">
        <v>0</v>
      </c>
      <c r="EN42" s="15">
        <v>0</v>
      </c>
      <c r="EO42" s="15">
        <v>0</v>
      </c>
      <c r="EP42" s="15">
        <v>0</v>
      </c>
      <c r="EQ42" s="15">
        <v>0</v>
      </c>
      <c r="ER42" s="15">
        <v>0</v>
      </c>
      <c r="ES42" s="15">
        <v>0</v>
      </c>
      <c r="ET42" s="15">
        <v>0</v>
      </c>
      <c r="EU42" s="15">
        <v>0</v>
      </c>
      <c r="EV42" s="15">
        <v>0</v>
      </c>
      <c r="EW42" s="15">
        <v>0</v>
      </c>
      <c r="EX42" s="15">
        <v>0</v>
      </c>
      <c r="EY42" s="15">
        <v>0</v>
      </c>
      <c r="EZ42" s="15">
        <v>0</v>
      </c>
      <c r="FA42" s="15">
        <v>0</v>
      </c>
      <c r="FB42" s="15">
        <v>0</v>
      </c>
      <c r="FC42" s="15">
        <v>0</v>
      </c>
      <c r="FD42" s="15"/>
      <c r="FE42" s="15">
        <v>0</v>
      </c>
      <c r="FF42" s="15">
        <v>0</v>
      </c>
      <c r="FG42" s="15">
        <v>0</v>
      </c>
      <c r="FH42" s="15">
        <v>0</v>
      </c>
      <c r="FI42" s="15">
        <v>0</v>
      </c>
      <c r="FJ42" s="15">
        <v>0</v>
      </c>
      <c r="FK42" s="15">
        <v>0</v>
      </c>
      <c r="FL42" s="15">
        <v>1</v>
      </c>
      <c r="FM42" s="15">
        <v>0</v>
      </c>
      <c r="FN42" s="15">
        <v>0</v>
      </c>
      <c r="FO42" s="15">
        <v>0</v>
      </c>
      <c r="FP42" s="15">
        <v>0</v>
      </c>
      <c r="FQ42" s="15">
        <v>0</v>
      </c>
      <c r="FR42" s="15">
        <v>0</v>
      </c>
      <c r="FS42" s="15">
        <v>1</v>
      </c>
      <c r="FT42" s="15">
        <v>1</v>
      </c>
      <c r="FU42" s="15">
        <v>1</v>
      </c>
      <c r="FV42" s="15">
        <v>1</v>
      </c>
      <c r="FW42" s="15">
        <v>1</v>
      </c>
      <c r="FX42" s="15">
        <v>1</v>
      </c>
      <c r="FY42" s="15">
        <v>0</v>
      </c>
      <c r="FZ42" s="15">
        <v>1</v>
      </c>
      <c r="GA42" s="15">
        <v>1</v>
      </c>
      <c r="GB42" s="15">
        <v>1</v>
      </c>
      <c r="GC42" s="15">
        <v>1</v>
      </c>
      <c r="GD42" s="15">
        <v>1</v>
      </c>
      <c r="GE42" s="15">
        <v>1</v>
      </c>
      <c r="GF42" s="15">
        <v>0</v>
      </c>
      <c r="GG42" s="15">
        <v>1</v>
      </c>
      <c r="GH42" s="15">
        <v>1</v>
      </c>
      <c r="GI42" s="15">
        <v>1</v>
      </c>
      <c r="GJ42" s="15">
        <v>1</v>
      </c>
      <c r="GK42" s="15">
        <v>1</v>
      </c>
      <c r="GL42" s="15">
        <v>1</v>
      </c>
      <c r="GM42" s="15">
        <v>0</v>
      </c>
      <c r="GN42" s="15">
        <v>1</v>
      </c>
      <c r="GO42" s="15">
        <v>1</v>
      </c>
      <c r="GP42" s="15">
        <v>1</v>
      </c>
      <c r="GQ42" s="15">
        <v>1</v>
      </c>
      <c r="GR42" s="15">
        <v>1</v>
      </c>
      <c r="GS42" s="15">
        <v>1</v>
      </c>
      <c r="GT42" s="15">
        <v>0</v>
      </c>
      <c r="GU42" s="15">
        <v>1</v>
      </c>
      <c r="GV42" s="15">
        <v>1</v>
      </c>
      <c r="GW42" s="15">
        <v>1</v>
      </c>
      <c r="GX42" s="15">
        <v>1</v>
      </c>
      <c r="GY42" s="15">
        <v>1</v>
      </c>
      <c r="GZ42" s="15">
        <v>1</v>
      </c>
      <c r="HA42" s="15">
        <v>0</v>
      </c>
      <c r="HB42" s="15">
        <v>1</v>
      </c>
      <c r="HC42" s="15">
        <v>1</v>
      </c>
      <c r="HD42" s="15">
        <v>1</v>
      </c>
      <c r="HE42" s="15">
        <v>1</v>
      </c>
      <c r="HF42" s="15">
        <v>1</v>
      </c>
      <c r="HG42" s="15">
        <v>1</v>
      </c>
      <c r="HH42" s="15">
        <v>0</v>
      </c>
      <c r="HI42" s="15">
        <v>1</v>
      </c>
      <c r="HJ42" s="15">
        <v>1</v>
      </c>
      <c r="HK42" s="15">
        <v>1</v>
      </c>
      <c r="HL42" s="15">
        <v>1</v>
      </c>
      <c r="HM42" s="15">
        <v>1</v>
      </c>
      <c r="HN42" s="15">
        <v>1</v>
      </c>
      <c r="HO42" s="15">
        <v>0</v>
      </c>
      <c r="HP42" s="15">
        <v>1</v>
      </c>
      <c r="HQ42" s="15">
        <v>1</v>
      </c>
      <c r="HR42" s="15">
        <v>1</v>
      </c>
      <c r="HS42" s="15">
        <v>1</v>
      </c>
      <c r="HT42" s="15">
        <v>1</v>
      </c>
      <c r="HU42" s="15">
        <v>1</v>
      </c>
      <c r="HV42" s="15">
        <v>0</v>
      </c>
      <c r="HW42" s="15">
        <v>1</v>
      </c>
      <c r="HX42" s="15">
        <v>1</v>
      </c>
      <c r="HY42" s="15">
        <v>1</v>
      </c>
      <c r="HZ42" s="15">
        <v>1</v>
      </c>
      <c r="IA42" s="15">
        <v>1</v>
      </c>
      <c r="IB42" s="15"/>
      <c r="IC42" s="15">
        <v>0</v>
      </c>
      <c r="ID42" s="15">
        <v>0</v>
      </c>
      <c r="IE42" s="15">
        <v>0</v>
      </c>
      <c r="IF42" s="15">
        <v>0</v>
      </c>
      <c r="IG42" s="15">
        <v>0</v>
      </c>
      <c r="IH42" s="15">
        <v>0</v>
      </c>
      <c r="II42" s="15">
        <v>0</v>
      </c>
      <c r="IJ42" s="15">
        <v>0</v>
      </c>
      <c r="IK42" s="15"/>
      <c r="IL42" s="15">
        <v>0</v>
      </c>
      <c r="IM42" s="15">
        <v>0</v>
      </c>
      <c r="IN42" s="15">
        <v>0</v>
      </c>
      <c r="IO42" s="15">
        <v>0</v>
      </c>
      <c r="IP42" s="15">
        <v>0</v>
      </c>
      <c r="IQ42" s="15">
        <v>0</v>
      </c>
      <c r="IR42" s="15">
        <v>0</v>
      </c>
      <c r="IS42" s="15">
        <v>0</v>
      </c>
      <c r="IT42" s="20">
        <v>0</v>
      </c>
      <c r="IU42" s="20">
        <v>1</v>
      </c>
      <c r="IV42" s="20">
        <v>1</v>
      </c>
      <c r="IW42" s="20">
        <v>1</v>
      </c>
      <c r="IX42" s="20">
        <v>1</v>
      </c>
      <c r="IY42" s="20">
        <v>1</v>
      </c>
      <c r="IZ42" s="20">
        <v>1</v>
      </c>
      <c r="JA42" s="20">
        <v>1</v>
      </c>
      <c r="JB42" s="20">
        <v>1</v>
      </c>
      <c r="JC42" s="20">
        <v>1</v>
      </c>
      <c r="JD42" s="20">
        <v>1</v>
      </c>
      <c r="JE42" s="20">
        <v>1</v>
      </c>
      <c r="JF42" s="20">
        <v>1</v>
      </c>
      <c r="JG42" s="20">
        <v>1</v>
      </c>
      <c r="JH42" s="15">
        <v>0</v>
      </c>
      <c r="JI42" s="15">
        <v>0</v>
      </c>
      <c r="JJ42" s="15">
        <v>0</v>
      </c>
      <c r="JK42" s="15">
        <v>0</v>
      </c>
      <c r="JL42" s="15">
        <v>0</v>
      </c>
      <c r="JM42" s="15">
        <v>0</v>
      </c>
      <c r="JN42" s="15">
        <v>0</v>
      </c>
      <c r="JO42" s="15">
        <v>0</v>
      </c>
      <c r="JP42" s="15">
        <v>0</v>
      </c>
      <c r="JQ42" s="15">
        <v>0</v>
      </c>
      <c r="JR42" s="15">
        <v>0</v>
      </c>
      <c r="JS42" s="15">
        <v>0</v>
      </c>
      <c r="JT42" s="15">
        <v>0</v>
      </c>
      <c r="JU42" s="15">
        <v>0</v>
      </c>
      <c r="JV42" s="15">
        <v>0</v>
      </c>
      <c r="JW42" s="15">
        <v>0</v>
      </c>
      <c r="JX42" s="15">
        <v>0</v>
      </c>
      <c r="JY42" s="15">
        <v>0</v>
      </c>
      <c r="JZ42" s="15">
        <v>0</v>
      </c>
      <c r="KA42" s="15">
        <v>0</v>
      </c>
      <c r="KB42" s="15">
        <v>0</v>
      </c>
      <c r="KC42" s="15">
        <v>0</v>
      </c>
      <c r="KD42" s="15">
        <v>0</v>
      </c>
      <c r="KE42" s="15">
        <v>0</v>
      </c>
      <c r="KF42" s="15">
        <v>0</v>
      </c>
      <c r="KG42" s="15">
        <v>0</v>
      </c>
      <c r="KH42" s="15">
        <v>0</v>
      </c>
      <c r="KI42" s="15">
        <v>0</v>
      </c>
      <c r="KJ42" s="15">
        <v>0</v>
      </c>
      <c r="KK42" s="15">
        <v>0</v>
      </c>
      <c r="KL42" s="15">
        <v>0</v>
      </c>
      <c r="KM42" s="15">
        <v>0</v>
      </c>
      <c r="KN42" s="15">
        <v>0</v>
      </c>
      <c r="KO42" s="15">
        <v>0</v>
      </c>
      <c r="KP42" s="15">
        <v>0</v>
      </c>
      <c r="KQ42" s="15">
        <v>0</v>
      </c>
      <c r="KR42" s="15">
        <v>0</v>
      </c>
      <c r="KS42" s="15">
        <v>0</v>
      </c>
      <c r="KT42" s="15">
        <v>0</v>
      </c>
      <c r="KU42" s="15">
        <v>0</v>
      </c>
      <c r="KV42" s="15">
        <v>0</v>
      </c>
      <c r="KW42" s="15">
        <v>0</v>
      </c>
      <c r="KX42" s="15">
        <v>0</v>
      </c>
      <c r="KY42" s="15">
        <v>0</v>
      </c>
      <c r="KZ42" s="15">
        <v>0</v>
      </c>
      <c r="LA42" s="15">
        <v>0</v>
      </c>
      <c r="LB42" s="15">
        <v>0</v>
      </c>
      <c r="LC42" s="15">
        <v>0</v>
      </c>
      <c r="LD42" s="15">
        <v>0</v>
      </c>
      <c r="LE42" s="15">
        <v>0</v>
      </c>
      <c r="LF42" s="15">
        <v>0</v>
      </c>
      <c r="LG42" s="15">
        <v>0</v>
      </c>
      <c r="LH42" s="15">
        <v>0</v>
      </c>
      <c r="LI42" s="15">
        <v>0</v>
      </c>
      <c r="LJ42" s="15">
        <v>0</v>
      </c>
      <c r="LK42" s="15">
        <v>0</v>
      </c>
      <c r="LL42" s="15">
        <v>0</v>
      </c>
      <c r="LM42" s="15">
        <v>0</v>
      </c>
      <c r="LN42" s="15">
        <v>0</v>
      </c>
      <c r="LO42" s="15">
        <v>0</v>
      </c>
      <c r="LP42" s="15">
        <v>0</v>
      </c>
      <c r="LQ42" s="15">
        <v>0</v>
      </c>
      <c r="LR42" s="15">
        <v>0</v>
      </c>
      <c r="LS42" s="15">
        <v>0</v>
      </c>
      <c r="LT42" s="15">
        <v>0</v>
      </c>
      <c r="LU42" s="15">
        <v>0</v>
      </c>
      <c r="LV42" s="15">
        <v>0</v>
      </c>
      <c r="LW42" s="15">
        <v>0</v>
      </c>
      <c r="LX42" s="15">
        <v>0</v>
      </c>
      <c r="LY42" s="15">
        <v>0</v>
      </c>
      <c r="LZ42" s="15">
        <v>0</v>
      </c>
      <c r="MA42" s="15">
        <v>0</v>
      </c>
      <c r="MB42" s="15">
        <v>0</v>
      </c>
      <c r="MC42" s="15">
        <v>0</v>
      </c>
      <c r="MD42" s="15">
        <v>0</v>
      </c>
      <c r="ME42" s="15">
        <v>0</v>
      </c>
      <c r="MF42" s="15">
        <v>0</v>
      </c>
      <c r="MG42" s="15">
        <v>0</v>
      </c>
      <c r="MH42" s="15">
        <v>0</v>
      </c>
      <c r="MI42" s="15">
        <v>0</v>
      </c>
      <c r="MJ42" s="15">
        <v>0</v>
      </c>
      <c r="MK42" s="15">
        <v>0</v>
      </c>
      <c r="ML42" s="15">
        <v>0</v>
      </c>
      <c r="MM42" s="15">
        <v>0</v>
      </c>
      <c r="MN42" s="15">
        <v>0</v>
      </c>
      <c r="MO42" s="15">
        <v>0</v>
      </c>
      <c r="MP42" s="15">
        <v>0</v>
      </c>
      <c r="MQ42" s="15">
        <v>0</v>
      </c>
      <c r="MR42" s="15">
        <v>0</v>
      </c>
      <c r="MS42" s="15">
        <v>0</v>
      </c>
      <c r="MT42" s="15">
        <v>0</v>
      </c>
      <c r="MU42" s="15">
        <v>0</v>
      </c>
      <c r="MV42" s="15">
        <v>0</v>
      </c>
      <c r="MW42" s="15">
        <v>0</v>
      </c>
      <c r="MX42" s="15">
        <v>0</v>
      </c>
      <c r="MY42" s="15">
        <v>0</v>
      </c>
      <c r="MZ42" s="15">
        <v>0</v>
      </c>
      <c r="NA42" s="15">
        <v>0</v>
      </c>
      <c r="NB42" s="15">
        <v>0</v>
      </c>
      <c r="NC42" s="15">
        <v>0</v>
      </c>
      <c r="ND42" s="15">
        <v>0</v>
      </c>
      <c r="NE42" s="15">
        <v>0</v>
      </c>
      <c r="NF42" s="15">
        <v>0</v>
      </c>
      <c r="NG42" s="15">
        <v>0</v>
      </c>
      <c r="NH42" s="15">
        <v>0</v>
      </c>
      <c r="NI42" s="15">
        <v>0</v>
      </c>
      <c r="NJ42" s="15">
        <v>0</v>
      </c>
      <c r="NK42" s="15">
        <v>0</v>
      </c>
      <c r="NL42" s="15">
        <v>0</v>
      </c>
      <c r="NM42" s="15">
        <v>0</v>
      </c>
      <c r="NN42" s="15">
        <v>0</v>
      </c>
      <c r="NO42" s="20">
        <v>0</v>
      </c>
      <c r="NP42" s="15">
        <v>0</v>
      </c>
      <c r="NQ42" s="15">
        <v>0</v>
      </c>
      <c r="NR42" s="15">
        <v>0</v>
      </c>
      <c r="NS42" s="15">
        <v>0</v>
      </c>
      <c r="NT42" s="15">
        <v>0</v>
      </c>
      <c r="NU42" s="15">
        <v>0</v>
      </c>
      <c r="NV42" s="15">
        <v>0</v>
      </c>
      <c r="NW42" s="15">
        <v>1</v>
      </c>
      <c r="NX42" s="15">
        <v>1</v>
      </c>
      <c r="NY42" s="15">
        <v>1</v>
      </c>
      <c r="NZ42" s="15">
        <v>1</v>
      </c>
      <c r="OA42" s="15">
        <v>1</v>
      </c>
      <c r="OB42" s="15">
        <v>1</v>
      </c>
      <c r="OC42" s="15">
        <v>1</v>
      </c>
      <c r="OD42" s="15">
        <v>1</v>
      </c>
      <c r="OE42" s="15">
        <v>1</v>
      </c>
      <c r="OF42" s="15">
        <v>1</v>
      </c>
      <c r="OG42" s="15">
        <v>1</v>
      </c>
      <c r="OH42" s="15">
        <v>1</v>
      </c>
      <c r="OI42" s="15">
        <v>1</v>
      </c>
      <c r="OJ42" s="15">
        <v>1</v>
      </c>
      <c r="OK42" s="15">
        <v>1</v>
      </c>
      <c r="OL42" s="15">
        <v>1</v>
      </c>
      <c r="OM42" s="15">
        <v>1</v>
      </c>
      <c r="ON42" s="15">
        <v>1</v>
      </c>
      <c r="OO42" s="15">
        <v>1</v>
      </c>
      <c r="OP42" s="15">
        <v>1</v>
      </c>
      <c r="OQ42" s="15">
        <v>1</v>
      </c>
      <c r="OR42" s="15">
        <v>1</v>
      </c>
      <c r="OS42" s="15">
        <v>1</v>
      </c>
      <c r="OT42" s="15">
        <v>1</v>
      </c>
      <c r="OU42" s="15">
        <v>1</v>
      </c>
      <c r="OV42" s="15">
        <v>1</v>
      </c>
      <c r="OW42" s="15">
        <v>1</v>
      </c>
      <c r="OX42" s="15">
        <v>1</v>
      </c>
      <c r="OY42" s="15">
        <v>1</v>
      </c>
      <c r="OZ42" s="15">
        <v>1</v>
      </c>
      <c r="PA42" s="15">
        <v>1</v>
      </c>
      <c r="PB42" s="15">
        <v>1</v>
      </c>
      <c r="PC42" s="15">
        <v>1</v>
      </c>
      <c r="PD42" s="15">
        <v>1</v>
      </c>
      <c r="PE42" s="15">
        <v>1</v>
      </c>
      <c r="PF42" s="15">
        <v>1</v>
      </c>
      <c r="PG42" s="15">
        <v>1</v>
      </c>
      <c r="PH42" s="15">
        <v>1</v>
      </c>
      <c r="PI42" s="15">
        <v>1</v>
      </c>
      <c r="PJ42" s="15">
        <v>1</v>
      </c>
      <c r="PK42" s="15">
        <v>1</v>
      </c>
      <c r="PL42" s="15">
        <v>1</v>
      </c>
      <c r="PM42" s="15">
        <v>1</v>
      </c>
      <c r="PN42" s="15">
        <v>1</v>
      </c>
      <c r="PO42" s="15">
        <v>1</v>
      </c>
      <c r="PP42" s="15">
        <v>1</v>
      </c>
      <c r="PQ42" s="15">
        <v>1</v>
      </c>
      <c r="PR42" s="15">
        <v>1</v>
      </c>
      <c r="PS42" s="15">
        <v>1</v>
      </c>
      <c r="PT42" s="15">
        <v>1</v>
      </c>
      <c r="PU42" s="15">
        <v>1</v>
      </c>
      <c r="PV42" s="15">
        <v>1</v>
      </c>
      <c r="PW42" s="15">
        <v>1</v>
      </c>
      <c r="PX42" s="15">
        <v>1</v>
      </c>
      <c r="PY42" s="15">
        <v>1</v>
      </c>
      <c r="PZ42" s="15">
        <v>1</v>
      </c>
      <c r="QA42" s="15">
        <v>1</v>
      </c>
      <c r="QB42" s="15">
        <v>1</v>
      </c>
      <c r="QC42" s="15">
        <v>1</v>
      </c>
      <c r="QD42" s="15">
        <v>1</v>
      </c>
      <c r="QE42" s="15">
        <v>1</v>
      </c>
      <c r="QF42" s="15">
        <v>1</v>
      </c>
      <c r="QG42" s="15">
        <v>1</v>
      </c>
      <c r="QH42" s="15">
        <v>1</v>
      </c>
      <c r="QI42" s="15">
        <v>1</v>
      </c>
      <c r="QJ42" s="15">
        <v>1</v>
      </c>
      <c r="QK42" s="15">
        <v>1</v>
      </c>
      <c r="QL42" s="15">
        <v>1</v>
      </c>
      <c r="QM42" s="15">
        <v>1</v>
      </c>
      <c r="QN42" s="15">
        <v>1</v>
      </c>
      <c r="QO42" s="15">
        <v>1</v>
      </c>
      <c r="QP42" s="15">
        <v>1</v>
      </c>
      <c r="QQ42" s="15">
        <v>1</v>
      </c>
      <c r="QR42" s="15">
        <v>1</v>
      </c>
      <c r="QS42" s="15">
        <v>1</v>
      </c>
      <c r="QT42" s="15">
        <v>1</v>
      </c>
      <c r="QU42" s="15">
        <v>1</v>
      </c>
      <c r="QV42" s="15">
        <v>1</v>
      </c>
      <c r="QW42" s="15">
        <v>1</v>
      </c>
      <c r="QX42" s="15">
        <v>1</v>
      </c>
      <c r="QY42" s="15">
        <v>1</v>
      </c>
      <c r="QZ42" s="15">
        <v>1</v>
      </c>
      <c r="RA42" s="15">
        <v>1</v>
      </c>
      <c r="RB42" s="15">
        <v>1</v>
      </c>
      <c r="RC42" s="15">
        <v>1</v>
      </c>
      <c r="RD42" s="15">
        <v>1</v>
      </c>
      <c r="RE42" s="15">
        <v>1</v>
      </c>
      <c r="RF42" s="15">
        <v>1</v>
      </c>
      <c r="RG42" s="15">
        <v>1</v>
      </c>
      <c r="RH42" s="15">
        <v>1</v>
      </c>
      <c r="RI42" s="15">
        <v>1</v>
      </c>
      <c r="RJ42" s="15">
        <v>1</v>
      </c>
      <c r="RK42" s="15">
        <v>1</v>
      </c>
      <c r="RL42" s="15">
        <v>1</v>
      </c>
      <c r="RM42" s="15">
        <v>1</v>
      </c>
      <c r="RN42" s="15">
        <v>1</v>
      </c>
      <c r="RO42" s="15">
        <v>1</v>
      </c>
      <c r="RP42" s="15">
        <v>1</v>
      </c>
      <c r="RQ42" s="15">
        <v>1</v>
      </c>
      <c r="RR42" s="15">
        <v>1</v>
      </c>
      <c r="RS42" s="15"/>
      <c r="RT42" s="15">
        <v>0</v>
      </c>
      <c r="RU42" s="15">
        <v>0</v>
      </c>
      <c r="RV42" s="15">
        <v>0</v>
      </c>
      <c r="RW42" s="15">
        <v>0</v>
      </c>
      <c r="RX42" s="15">
        <v>0</v>
      </c>
      <c r="RY42" s="15">
        <v>0</v>
      </c>
      <c r="RZ42" s="15">
        <v>0</v>
      </c>
      <c r="SA42" s="15">
        <v>0</v>
      </c>
      <c r="SB42" s="15">
        <v>0</v>
      </c>
      <c r="SC42" s="15">
        <v>0</v>
      </c>
      <c r="SD42" s="15">
        <v>0</v>
      </c>
      <c r="SE42" s="15">
        <v>0</v>
      </c>
      <c r="SF42" s="15">
        <v>1</v>
      </c>
      <c r="SG42" s="15">
        <v>1</v>
      </c>
      <c r="SH42" s="15">
        <v>1</v>
      </c>
      <c r="SI42" s="15">
        <v>1</v>
      </c>
      <c r="SJ42" s="15">
        <v>1</v>
      </c>
      <c r="SK42" s="15">
        <v>1</v>
      </c>
      <c r="SL42" s="15">
        <v>1</v>
      </c>
      <c r="SM42" s="15">
        <v>1</v>
      </c>
      <c r="SN42" s="15">
        <v>1</v>
      </c>
      <c r="SO42" s="15">
        <v>1</v>
      </c>
      <c r="SP42" s="15">
        <v>1</v>
      </c>
      <c r="SQ42" s="15">
        <v>1</v>
      </c>
      <c r="SR42" s="15">
        <v>1</v>
      </c>
      <c r="SS42" s="15">
        <v>1</v>
      </c>
      <c r="ST42" s="15">
        <v>1</v>
      </c>
      <c r="SU42" s="15">
        <v>1</v>
      </c>
      <c r="SV42" s="15">
        <v>1</v>
      </c>
      <c r="SW42" s="15">
        <v>1</v>
      </c>
      <c r="SX42" s="15">
        <v>1</v>
      </c>
      <c r="SY42" s="15">
        <v>1</v>
      </c>
      <c r="SZ42" s="15">
        <v>1</v>
      </c>
      <c r="TA42" s="15">
        <v>1</v>
      </c>
      <c r="TB42" s="15">
        <v>1</v>
      </c>
      <c r="TC42" s="15">
        <v>1</v>
      </c>
      <c r="TD42" s="15">
        <v>1</v>
      </c>
      <c r="TE42" s="15">
        <v>1</v>
      </c>
      <c r="TF42" s="15">
        <v>1</v>
      </c>
      <c r="TG42" s="15">
        <v>1</v>
      </c>
      <c r="TH42" s="15">
        <v>1</v>
      </c>
      <c r="TI42" s="15">
        <v>1</v>
      </c>
      <c r="TJ42" s="15">
        <v>1</v>
      </c>
      <c r="TK42" s="15">
        <v>1</v>
      </c>
      <c r="TL42" s="15">
        <v>1</v>
      </c>
      <c r="TM42" s="15">
        <v>1</v>
      </c>
      <c r="TN42" s="15">
        <v>1</v>
      </c>
      <c r="TO42" s="15">
        <v>1</v>
      </c>
      <c r="TP42" s="15">
        <v>1</v>
      </c>
      <c r="TQ42" s="15">
        <v>1</v>
      </c>
      <c r="TR42" s="15">
        <v>1</v>
      </c>
      <c r="TS42" s="15">
        <v>1</v>
      </c>
      <c r="TT42" s="15">
        <v>1</v>
      </c>
      <c r="TU42" s="15">
        <v>1</v>
      </c>
      <c r="TV42" s="15">
        <v>1</v>
      </c>
      <c r="TW42" s="15">
        <v>1</v>
      </c>
      <c r="TX42" s="15">
        <v>1</v>
      </c>
      <c r="TY42" s="15">
        <v>1</v>
      </c>
      <c r="TZ42" s="15">
        <v>1</v>
      </c>
      <c r="UA42" s="15">
        <v>1</v>
      </c>
      <c r="UB42" s="15">
        <v>1</v>
      </c>
      <c r="UC42" s="15">
        <v>1</v>
      </c>
      <c r="UD42" s="15">
        <v>1</v>
      </c>
      <c r="UE42" s="15">
        <v>1</v>
      </c>
      <c r="UF42" s="15">
        <v>1</v>
      </c>
      <c r="UG42" s="15">
        <v>1</v>
      </c>
      <c r="UH42" s="15">
        <v>1</v>
      </c>
      <c r="UI42" s="15">
        <v>1</v>
      </c>
      <c r="UJ42" s="15">
        <v>1</v>
      </c>
      <c r="UK42" s="15">
        <v>1</v>
      </c>
      <c r="UL42" s="15">
        <v>1</v>
      </c>
      <c r="UM42" s="15">
        <v>1</v>
      </c>
      <c r="UN42" s="15">
        <v>1</v>
      </c>
      <c r="UO42" s="15">
        <v>1</v>
      </c>
      <c r="UP42" s="15">
        <v>1</v>
      </c>
      <c r="UQ42" s="15">
        <v>1</v>
      </c>
      <c r="UR42" s="15">
        <v>1</v>
      </c>
      <c r="US42" s="15">
        <v>1</v>
      </c>
      <c r="UT42" s="15">
        <v>1</v>
      </c>
      <c r="UU42" s="15">
        <v>1</v>
      </c>
      <c r="UV42" s="15">
        <v>1</v>
      </c>
      <c r="UW42" s="15">
        <v>1</v>
      </c>
      <c r="UX42" s="15">
        <v>1</v>
      </c>
      <c r="UY42" s="15">
        <v>1</v>
      </c>
      <c r="UZ42" s="15">
        <v>1</v>
      </c>
      <c r="VA42" s="15">
        <v>1</v>
      </c>
      <c r="VB42" s="15">
        <v>1</v>
      </c>
      <c r="VC42" s="15">
        <v>1</v>
      </c>
      <c r="VD42" s="15">
        <v>1</v>
      </c>
      <c r="VE42" s="15">
        <v>1</v>
      </c>
      <c r="VF42" s="15">
        <v>1</v>
      </c>
      <c r="VG42" s="15">
        <v>1</v>
      </c>
      <c r="VH42" s="15">
        <v>1</v>
      </c>
      <c r="VI42" s="15">
        <v>1</v>
      </c>
      <c r="VJ42" s="15">
        <v>1</v>
      </c>
      <c r="VK42" s="15">
        <v>1</v>
      </c>
      <c r="VL42" s="15">
        <v>1</v>
      </c>
      <c r="VM42" s="15">
        <v>1</v>
      </c>
      <c r="VN42" s="15">
        <v>1</v>
      </c>
      <c r="VO42" s="15">
        <v>1</v>
      </c>
      <c r="VP42" s="15">
        <v>1</v>
      </c>
      <c r="VQ42" s="15">
        <v>1</v>
      </c>
      <c r="VR42" s="15">
        <v>1</v>
      </c>
      <c r="VS42" s="15">
        <v>1</v>
      </c>
      <c r="VT42" s="15">
        <v>1</v>
      </c>
      <c r="VU42" s="15">
        <v>1</v>
      </c>
      <c r="VV42" s="15">
        <v>1</v>
      </c>
      <c r="VW42" s="15">
        <v>1</v>
      </c>
      <c r="VX42" s="15">
        <v>1</v>
      </c>
      <c r="VY42" s="15">
        <v>1</v>
      </c>
      <c r="VZ42" s="15">
        <v>1</v>
      </c>
      <c r="WA42" s="15">
        <v>1</v>
      </c>
      <c r="WB42" s="15">
        <v>1</v>
      </c>
      <c r="WC42" s="15">
        <v>1</v>
      </c>
      <c r="WD42" s="15">
        <v>1</v>
      </c>
      <c r="WE42" s="15">
        <v>1</v>
      </c>
      <c r="WF42" s="15">
        <v>1</v>
      </c>
      <c r="WG42" s="15">
        <v>1</v>
      </c>
      <c r="WH42" s="15">
        <v>1</v>
      </c>
      <c r="WI42" s="15">
        <v>1</v>
      </c>
      <c r="WJ42" s="15">
        <v>1</v>
      </c>
      <c r="WK42" s="15">
        <v>1</v>
      </c>
      <c r="WL42" s="15">
        <v>1</v>
      </c>
      <c r="WM42" s="15">
        <v>1</v>
      </c>
      <c r="WN42" s="15">
        <v>1</v>
      </c>
      <c r="WO42" s="15">
        <v>1</v>
      </c>
      <c r="WP42" s="15">
        <v>1</v>
      </c>
      <c r="WQ42" s="15">
        <v>1</v>
      </c>
      <c r="WR42" s="15">
        <v>1</v>
      </c>
      <c r="WS42" s="15">
        <v>1</v>
      </c>
      <c r="WT42" s="15">
        <v>1</v>
      </c>
      <c r="WU42" s="15">
        <v>1</v>
      </c>
      <c r="WV42" s="15">
        <v>1</v>
      </c>
      <c r="WW42" s="15">
        <v>1</v>
      </c>
      <c r="WX42" s="15">
        <v>1</v>
      </c>
      <c r="WY42" s="15">
        <v>1</v>
      </c>
      <c r="WZ42" s="15">
        <v>1</v>
      </c>
      <c r="XA42" s="15">
        <v>1</v>
      </c>
      <c r="XB42" s="15">
        <v>1</v>
      </c>
      <c r="XC42" s="15">
        <v>1</v>
      </c>
      <c r="XD42" s="15">
        <v>1</v>
      </c>
      <c r="XE42" s="15">
        <v>1</v>
      </c>
      <c r="XF42" s="15">
        <v>1</v>
      </c>
      <c r="XG42" s="15">
        <v>1</v>
      </c>
      <c r="XH42" s="15">
        <v>1</v>
      </c>
      <c r="XI42" s="15">
        <v>1</v>
      </c>
      <c r="XJ42" s="15">
        <v>1</v>
      </c>
      <c r="XK42" s="15">
        <v>1</v>
      </c>
      <c r="XL42" s="15">
        <v>1</v>
      </c>
      <c r="XM42" s="15">
        <v>1</v>
      </c>
      <c r="XN42" s="15">
        <v>1</v>
      </c>
      <c r="XO42" s="15">
        <v>1</v>
      </c>
      <c r="XP42" s="15">
        <v>1</v>
      </c>
      <c r="XQ42" s="15">
        <v>1</v>
      </c>
      <c r="XR42" s="15">
        <v>1</v>
      </c>
      <c r="XS42" s="15">
        <v>1</v>
      </c>
      <c r="XT42" s="15">
        <v>1</v>
      </c>
      <c r="XU42" s="15">
        <v>1</v>
      </c>
      <c r="XV42" s="15">
        <v>1</v>
      </c>
      <c r="XW42" s="15">
        <v>1</v>
      </c>
      <c r="XX42" s="15">
        <v>1</v>
      </c>
      <c r="XY42" s="15">
        <v>1</v>
      </c>
      <c r="XZ42" s="15">
        <v>1</v>
      </c>
      <c r="YA42" s="15">
        <v>1</v>
      </c>
      <c r="YB42" s="15">
        <v>1</v>
      </c>
      <c r="YC42" s="15">
        <v>1</v>
      </c>
      <c r="YD42" s="15">
        <v>1</v>
      </c>
      <c r="YE42" s="15">
        <v>1</v>
      </c>
      <c r="YF42" s="15">
        <v>1</v>
      </c>
      <c r="YG42" s="15">
        <v>1</v>
      </c>
      <c r="YH42" s="15">
        <v>1</v>
      </c>
      <c r="YI42" s="15">
        <v>1</v>
      </c>
      <c r="YJ42" s="15">
        <v>1</v>
      </c>
      <c r="YK42" s="15">
        <v>1</v>
      </c>
      <c r="YL42" s="15">
        <v>1</v>
      </c>
      <c r="YM42" s="15">
        <v>1</v>
      </c>
      <c r="YN42" s="15">
        <v>1</v>
      </c>
      <c r="YO42" s="15">
        <v>1</v>
      </c>
      <c r="YP42" s="15">
        <v>1</v>
      </c>
      <c r="YQ42" s="15">
        <v>1</v>
      </c>
      <c r="YR42" s="15">
        <v>1</v>
      </c>
      <c r="YS42" s="15">
        <v>1</v>
      </c>
      <c r="YT42" s="15">
        <v>1</v>
      </c>
      <c r="YU42" s="15">
        <v>1</v>
      </c>
      <c r="YV42" s="15">
        <v>1</v>
      </c>
      <c r="YW42" s="15">
        <v>1</v>
      </c>
      <c r="YX42" s="15">
        <v>1</v>
      </c>
      <c r="YY42" s="15">
        <v>1</v>
      </c>
      <c r="YZ42" s="15">
        <v>1</v>
      </c>
      <c r="ZA42" s="15">
        <v>1</v>
      </c>
      <c r="ZB42" s="15">
        <v>1</v>
      </c>
      <c r="ZC42" s="15">
        <v>1</v>
      </c>
      <c r="ZD42" s="15">
        <v>1</v>
      </c>
      <c r="ZE42" s="15">
        <v>1</v>
      </c>
      <c r="ZF42" s="15">
        <v>1</v>
      </c>
      <c r="ZG42" s="15">
        <v>1</v>
      </c>
      <c r="ZH42" s="15">
        <v>1</v>
      </c>
      <c r="ZI42" s="15">
        <v>1</v>
      </c>
      <c r="ZJ42" s="15">
        <v>1</v>
      </c>
      <c r="ZK42" s="15">
        <v>1</v>
      </c>
      <c r="ZL42" s="15">
        <v>1</v>
      </c>
      <c r="ZM42" s="15">
        <v>1</v>
      </c>
      <c r="ZN42" s="15">
        <v>1</v>
      </c>
      <c r="ZO42" s="15">
        <v>1</v>
      </c>
      <c r="ZP42" s="15">
        <v>1</v>
      </c>
      <c r="ZQ42" s="15">
        <v>1</v>
      </c>
      <c r="ZR42" s="15">
        <v>1</v>
      </c>
      <c r="ZS42" s="15">
        <v>1</v>
      </c>
      <c r="ZT42" s="15">
        <v>1</v>
      </c>
      <c r="ZU42" s="15">
        <v>1</v>
      </c>
      <c r="ZV42" s="15">
        <v>1</v>
      </c>
      <c r="ZW42" s="15">
        <v>1</v>
      </c>
      <c r="ZX42" s="15">
        <v>1</v>
      </c>
      <c r="ZY42" s="15">
        <v>1</v>
      </c>
      <c r="ZZ42" s="15">
        <v>1</v>
      </c>
      <c r="AAA42" s="15">
        <v>1</v>
      </c>
      <c r="AAB42" s="15">
        <v>1</v>
      </c>
      <c r="AAC42" s="15">
        <v>1</v>
      </c>
      <c r="AAD42" s="15">
        <v>1</v>
      </c>
      <c r="AAE42" s="15">
        <v>1</v>
      </c>
      <c r="AAF42" s="15">
        <v>1</v>
      </c>
      <c r="AAG42" s="15">
        <v>1</v>
      </c>
      <c r="AAH42" s="15">
        <v>1</v>
      </c>
      <c r="AAI42" s="15">
        <v>1</v>
      </c>
      <c r="AAJ42" s="15">
        <v>1</v>
      </c>
      <c r="AAK42" s="15">
        <v>1</v>
      </c>
      <c r="AAL42" s="15"/>
      <c r="AAM42" s="15">
        <v>0</v>
      </c>
      <c r="AAN42" s="15">
        <v>0</v>
      </c>
      <c r="AAO42" s="15">
        <v>0</v>
      </c>
      <c r="AAP42" s="15">
        <v>0</v>
      </c>
      <c r="AAQ42" s="15">
        <v>0</v>
      </c>
      <c r="AAR42" s="15">
        <v>0</v>
      </c>
      <c r="AAS42" s="15">
        <v>0</v>
      </c>
      <c r="AAT42" s="15">
        <v>0</v>
      </c>
      <c r="AAU42" s="15">
        <v>0</v>
      </c>
      <c r="AAV42" s="15">
        <v>0</v>
      </c>
      <c r="AAW42" s="15">
        <v>0</v>
      </c>
      <c r="AAX42" s="15"/>
      <c r="AAY42" s="15">
        <v>0</v>
      </c>
      <c r="AAZ42" s="15">
        <v>0</v>
      </c>
      <c r="ABA42" s="15">
        <v>0</v>
      </c>
      <c r="ABB42" s="15">
        <v>0</v>
      </c>
      <c r="ABC42" s="15">
        <v>0</v>
      </c>
      <c r="ABD42" s="15">
        <v>0</v>
      </c>
      <c r="ABE42" s="15">
        <v>0</v>
      </c>
      <c r="ABF42" s="15">
        <v>0</v>
      </c>
      <c r="ABG42" s="15">
        <v>0</v>
      </c>
      <c r="ABH42" s="15">
        <v>0</v>
      </c>
      <c r="ABI42" s="15">
        <v>0</v>
      </c>
      <c r="ABJ42" s="15">
        <v>0</v>
      </c>
      <c r="ABK42" s="15">
        <v>0</v>
      </c>
      <c r="ABL42" s="15">
        <v>0</v>
      </c>
      <c r="ABM42" s="15">
        <v>0</v>
      </c>
      <c r="ABN42" s="15">
        <v>0</v>
      </c>
      <c r="ABO42" s="15">
        <v>0</v>
      </c>
      <c r="ABP42" s="15">
        <v>0</v>
      </c>
      <c r="ABQ42" s="15">
        <v>0</v>
      </c>
      <c r="ABR42" s="15">
        <v>0</v>
      </c>
      <c r="ABS42" s="15">
        <v>0</v>
      </c>
      <c r="ABT42" s="15">
        <v>0</v>
      </c>
      <c r="ABU42" s="15">
        <v>0</v>
      </c>
      <c r="ABV42" s="15">
        <v>0</v>
      </c>
      <c r="ABW42" s="15">
        <v>0</v>
      </c>
      <c r="ABX42" s="15">
        <v>0</v>
      </c>
      <c r="ABY42" s="15">
        <v>0</v>
      </c>
      <c r="ABZ42" s="15">
        <v>0</v>
      </c>
      <c r="ACA42" s="15">
        <v>0</v>
      </c>
      <c r="ACB42" s="15">
        <v>0</v>
      </c>
      <c r="ACC42" s="15">
        <v>0</v>
      </c>
      <c r="ACD42" s="15">
        <v>0</v>
      </c>
      <c r="ACE42" s="15">
        <v>0</v>
      </c>
      <c r="ACF42" s="15">
        <v>0</v>
      </c>
      <c r="ACG42" s="15">
        <v>0</v>
      </c>
      <c r="ACH42" s="15">
        <v>0</v>
      </c>
      <c r="ACI42" s="15">
        <v>0</v>
      </c>
      <c r="ACJ42" s="15">
        <v>0</v>
      </c>
      <c r="ACK42" s="15">
        <v>0</v>
      </c>
      <c r="ACL42" s="15">
        <v>0</v>
      </c>
      <c r="ACM42" s="15">
        <v>0</v>
      </c>
      <c r="ACN42" s="15">
        <v>0</v>
      </c>
      <c r="ACO42" s="15">
        <v>0</v>
      </c>
      <c r="ACP42" s="15">
        <v>0</v>
      </c>
      <c r="ACQ42" s="15">
        <v>0</v>
      </c>
      <c r="ACR42" s="15">
        <v>0</v>
      </c>
      <c r="ACS42" s="15">
        <v>0</v>
      </c>
      <c r="ACT42" s="15">
        <v>0</v>
      </c>
      <c r="ACU42" s="15">
        <v>0</v>
      </c>
      <c r="ACV42" s="15">
        <v>0</v>
      </c>
      <c r="ACW42" s="15">
        <v>0</v>
      </c>
      <c r="ACX42" s="15">
        <v>0</v>
      </c>
      <c r="ACY42" s="15">
        <v>0</v>
      </c>
      <c r="ACZ42" s="15">
        <v>0</v>
      </c>
      <c r="ADA42" s="15">
        <v>0</v>
      </c>
      <c r="ADB42" s="15">
        <v>0</v>
      </c>
      <c r="ADC42" s="15">
        <v>0</v>
      </c>
      <c r="ADD42" s="15">
        <v>0</v>
      </c>
      <c r="ADE42" s="15">
        <v>0</v>
      </c>
      <c r="ADF42" s="15">
        <v>0</v>
      </c>
      <c r="ADG42" s="15">
        <v>0</v>
      </c>
      <c r="ADH42" s="15"/>
      <c r="ADI42" s="15">
        <v>0</v>
      </c>
      <c r="ADJ42" s="15">
        <v>0</v>
      </c>
      <c r="ADK42" s="15">
        <v>0</v>
      </c>
      <c r="ADL42" s="15">
        <v>0</v>
      </c>
      <c r="ADM42" s="15">
        <v>0</v>
      </c>
      <c r="ADN42" s="15">
        <v>0</v>
      </c>
      <c r="ADO42" s="15">
        <v>0</v>
      </c>
      <c r="ADP42" s="15">
        <v>0</v>
      </c>
      <c r="ADQ42" s="15">
        <v>0</v>
      </c>
      <c r="ADR42" s="15">
        <v>0</v>
      </c>
      <c r="ADS42" s="15">
        <v>0</v>
      </c>
      <c r="ADT42" s="15">
        <v>0</v>
      </c>
      <c r="ADU42" s="15">
        <v>0</v>
      </c>
      <c r="ADV42" s="15">
        <v>0</v>
      </c>
      <c r="ADW42" s="15">
        <v>0</v>
      </c>
      <c r="ADX42" s="15">
        <v>0</v>
      </c>
      <c r="ADY42" s="15">
        <v>0</v>
      </c>
      <c r="ADZ42" s="15">
        <v>0</v>
      </c>
      <c r="AEA42" s="15">
        <v>0</v>
      </c>
      <c r="AEB42" s="15">
        <v>0</v>
      </c>
      <c r="AEC42" s="15">
        <v>0</v>
      </c>
      <c r="AED42" s="15">
        <v>0</v>
      </c>
      <c r="AEE42" s="15">
        <v>0</v>
      </c>
      <c r="AEF42" s="15">
        <v>0</v>
      </c>
      <c r="AEG42" s="15">
        <v>0</v>
      </c>
      <c r="AEH42" s="15">
        <v>0</v>
      </c>
      <c r="AEI42" s="15">
        <v>0</v>
      </c>
      <c r="AEJ42" s="15">
        <v>0</v>
      </c>
      <c r="AEK42" s="15">
        <v>0</v>
      </c>
      <c r="AEL42" s="15">
        <v>0</v>
      </c>
      <c r="AEM42" s="15">
        <v>0</v>
      </c>
      <c r="AEN42" s="15">
        <v>0</v>
      </c>
      <c r="AEO42" s="15">
        <v>0</v>
      </c>
      <c r="AEP42" s="15">
        <v>0</v>
      </c>
      <c r="AEQ42" s="15">
        <v>0</v>
      </c>
      <c r="AER42" s="15">
        <v>0</v>
      </c>
      <c r="AES42" s="15">
        <v>0</v>
      </c>
      <c r="AET42" s="15">
        <v>0</v>
      </c>
      <c r="AEU42" s="15">
        <v>0</v>
      </c>
      <c r="AEV42" s="15">
        <v>0</v>
      </c>
      <c r="AEW42" s="15">
        <v>0</v>
      </c>
      <c r="AEX42" s="15">
        <v>0</v>
      </c>
      <c r="AEY42" s="15">
        <v>0</v>
      </c>
      <c r="AEZ42" s="15">
        <v>0</v>
      </c>
      <c r="AFA42" s="15">
        <v>0</v>
      </c>
      <c r="AFB42" s="15">
        <v>0</v>
      </c>
      <c r="AFC42" s="15">
        <v>0</v>
      </c>
      <c r="AFD42" s="15">
        <v>0</v>
      </c>
      <c r="AFE42" s="15">
        <v>0</v>
      </c>
      <c r="AFF42" s="15">
        <v>0</v>
      </c>
      <c r="AFG42" s="15">
        <v>0</v>
      </c>
      <c r="AFH42" s="15">
        <v>0</v>
      </c>
      <c r="AFI42" s="15">
        <v>0</v>
      </c>
      <c r="AFJ42" s="15">
        <v>0</v>
      </c>
      <c r="AFK42" s="15">
        <v>0</v>
      </c>
      <c r="AFL42" s="15">
        <v>0</v>
      </c>
      <c r="AFM42" s="15">
        <v>0</v>
      </c>
      <c r="AFN42" s="15">
        <v>0</v>
      </c>
      <c r="AFO42" s="15">
        <v>0</v>
      </c>
      <c r="AFP42" s="15">
        <v>0</v>
      </c>
      <c r="AFQ42" s="15">
        <v>0</v>
      </c>
      <c r="AFR42" s="15"/>
      <c r="AFS42" s="15">
        <v>0</v>
      </c>
      <c r="AFT42" s="15">
        <v>0</v>
      </c>
      <c r="AFU42" s="15">
        <v>0</v>
      </c>
      <c r="AFV42" s="15">
        <v>0</v>
      </c>
      <c r="AFW42" s="15">
        <v>0</v>
      </c>
      <c r="AFX42" s="15">
        <v>0</v>
      </c>
      <c r="AFY42" s="15">
        <v>0</v>
      </c>
      <c r="AFZ42" s="15">
        <v>0</v>
      </c>
      <c r="AGA42" s="15">
        <v>0</v>
      </c>
      <c r="AGB42" s="15">
        <v>0</v>
      </c>
      <c r="AGC42" s="15">
        <v>0</v>
      </c>
      <c r="AGD42" s="15">
        <v>0</v>
      </c>
      <c r="AGE42" s="15">
        <v>0</v>
      </c>
      <c r="AGF42" s="15">
        <v>0</v>
      </c>
      <c r="AGG42" s="15">
        <v>0</v>
      </c>
      <c r="AGH42" s="15">
        <v>0</v>
      </c>
      <c r="AGI42" s="15">
        <v>0</v>
      </c>
      <c r="AGJ42" s="15">
        <v>0</v>
      </c>
      <c r="AGK42" s="15">
        <v>0</v>
      </c>
      <c r="AGL42" s="15">
        <v>0</v>
      </c>
      <c r="AGM42" s="15">
        <v>0</v>
      </c>
      <c r="AGN42" s="15">
        <v>0</v>
      </c>
      <c r="AGO42" s="15">
        <v>0</v>
      </c>
      <c r="AGP42" s="15">
        <v>0</v>
      </c>
      <c r="AGQ42" s="15">
        <v>0</v>
      </c>
      <c r="AGR42" s="15">
        <v>0</v>
      </c>
      <c r="AGS42" s="15">
        <v>0</v>
      </c>
      <c r="AGT42" s="15">
        <v>0</v>
      </c>
      <c r="AGU42" s="15">
        <v>0</v>
      </c>
      <c r="AGV42" s="15">
        <v>0</v>
      </c>
      <c r="AGW42" s="15">
        <v>0</v>
      </c>
      <c r="AGX42" s="15">
        <v>0</v>
      </c>
      <c r="AGY42" s="15">
        <v>0</v>
      </c>
      <c r="AGZ42" s="15">
        <v>0</v>
      </c>
      <c r="AHA42" s="15">
        <v>0</v>
      </c>
      <c r="AHB42" s="15">
        <v>0</v>
      </c>
      <c r="AHC42" s="15">
        <v>0</v>
      </c>
      <c r="AHD42" s="15">
        <v>0</v>
      </c>
      <c r="AHE42" s="15">
        <v>0</v>
      </c>
      <c r="AHF42" s="15">
        <v>0</v>
      </c>
      <c r="AHG42" s="15">
        <v>0</v>
      </c>
      <c r="AHH42" s="15">
        <v>0</v>
      </c>
      <c r="AHI42" s="15">
        <v>0</v>
      </c>
      <c r="AHJ42" s="15">
        <v>0</v>
      </c>
      <c r="AHK42" s="15">
        <v>0</v>
      </c>
      <c r="AHL42" s="15">
        <v>0</v>
      </c>
      <c r="AHM42" s="15">
        <v>0</v>
      </c>
      <c r="AHN42" s="15">
        <v>0</v>
      </c>
      <c r="AHO42" s="15">
        <v>0</v>
      </c>
      <c r="AHP42" s="15">
        <v>0</v>
      </c>
      <c r="AHQ42" s="15">
        <v>0</v>
      </c>
      <c r="AHR42" s="15">
        <v>0</v>
      </c>
      <c r="AHS42" s="15">
        <v>0</v>
      </c>
      <c r="AHT42" s="15">
        <v>0</v>
      </c>
      <c r="AHU42" s="15">
        <v>0</v>
      </c>
      <c r="AHV42" s="15">
        <v>0</v>
      </c>
      <c r="AHW42" s="15">
        <v>0</v>
      </c>
      <c r="AHX42" s="15">
        <v>0</v>
      </c>
      <c r="AHY42" s="15">
        <v>0</v>
      </c>
      <c r="AHZ42" s="15">
        <v>0</v>
      </c>
      <c r="AIA42" s="15">
        <v>0</v>
      </c>
      <c r="AIB42" s="15">
        <v>0</v>
      </c>
      <c r="AIC42" s="15">
        <v>0</v>
      </c>
      <c r="AID42" s="15">
        <v>0</v>
      </c>
      <c r="AIE42" s="15">
        <v>0</v>
      </c>
      <c r="AIF42" s="15">
        <v>0</v>
      </c>
      <c r="AIG42" s="15">
        <v>0</v>
      </c>
      <c r="AIH42" s="15">
        <v>0</v>
      </c>
      <c r="AII42" s="15">
        <v>0</v>
      </c>
      <c r="AIJ42" s="15">
        <v>0</v>
      </c>
      <c r="AIK42" s="15">
        <v>0</v>
      </c>
      <c r="AIL42" s="15">
        <v>0</v>
      </c>
      <c r="AIM42" s="15">
        <v>0</v>
      </c>
      <c r="AIN42" s="15">
        <v>0</v>
      </c>
      <c r="AIO42" s="15">
        <v>0</v>
      </c>
      <c r="AIP42" s="15">
        <v>0</v>
      </c>
      <c r="AIQ42" s="15">
        <v>0</v>
      </c>
      <c r="AIR42" s="15">
        <v>0</v>
      </c>
      <c r="AIS42" s="15">
        <v>0</v>
      </c>
      <c r="AIT42" s="15">
        <v>0</v>
      </c>
      <c r="AIU42" s="15">
        <v>0</v>
      </c>
      <c r="AIV42" s="15">
        <v>0</v>
      </c>
      <c r="AIW42" s="15">
        <v>0</v>
      </c>
      <c r="AIX42" s="15">
        <v>0</v>
      </c>
      <c r="AIY42" s="15">
        <v>0</v>
      </c>
      <c r="AIZ42" s="15">
        <v>0</v>
      </c>
      <c r="AJA42" s="15">
        <v>0</v>
      </c>
      <c r="AJB42" s="15">
        <v>1</v>
      </c>
      <c r="AJC42" s="15">
        <v>0</v>
      </c>
      <c r="AJD42" s="15">
        <v>1</v>
      </c>
      <c r="AJE42" s="15">
        <v>1</v>
      </c>
      <c r="AJF42" s="15"/>
      <c r="AJG42" s="15">
        <v>0</v>
      </c>
      <c r="AJH42" s="15">
        <v>0</v>
      </c>
      <c r="AJI42" s="15">
        <v>0</v>
      </c>
      <c r="AJJ42" s="15">
        <v>0</v>
      </c>
      <c r="AJK42" s="15">
        <v>0</v>
      </c>
      <c r="AJL42" s="15">
        <v>0</v>
      </c>
      <c r="AJM42" s="15">
        <v>0</v>
      </c>
      <c r="AJN42" s="15"/>
      <c r="AJO42" s="15">
        <v>0</v>
      </c>
      <c r="AJP42" s="15">
        <v>0</v>
      </c>
      <c r="AJQ42" s="15">
        <v>0</v>
      </c>
      <c r="AJR42" s="15">
        <v>0</v>
      </c>
      <c r="AJS42" s="15">
        <v>0</v>
      </c>
      <c r="AJT42" s="15">
        <v>0</v>
      </c>
      <c r="AJU42" s="15">
        <v>0</v>
      </c>
      <c r="AJV42" s="15">
        <v>0</v>
      </c>
      <c r="AJW42" s="15">
        <v>0</v>
      </c>
      <c r="AJX42" s="15"/>
      <c r="AJY42" s="15">
        <v>0</v>
      </c>
      <c r="AJZ42" s="15">
        <v>0</v>
      </c>
      <c r="AKA42" s="15">
        <v>0</v>
      </c>
      <c r="AKB42" s="15">
        <v>0</v>
      </c>
      <c r="AKC42" s="15">
        <v>0</v>
      </c>
      <c r="AKD42" s="15">
        <v>0</v>
      </c>
      <c r="AKE42" s="15">
        <v>0</v>
      </c>
      <c r="AKF42" s="15">
        <v>0</v>
      </c>
      <c r="AKG42" s="15">
        <v>0</v>
      </c>
      <c r="AKH42" s="15">
        <v>0</v>
      </c>
      <c r="AKI42" s="15"/>
      <c r="AKJ42" s="15">
        <v>0</v>
      </c>
      <c r="AKK42" s="15">
        <v>0</v>
      </c>
      <c r="AKL42" s="15">
        <v>0</v>
      </c>
      <c r="AKM42" s="15">
        <v>0</v>
      </c>
      <c r="AKN42" s="15">
        <v>0</v>
      </c>
      <c r="AKO42" s="15">
        <v>0</v>
      </c>
      <c r="AKP42" s="15">
        <v>0</v>
      </c>
      <c r="AKQ42" s="15">
        <v>0</v>
      </c>
      <c r="AKR42" s="15">
        <v>0</v>
      </c>
      <c r="AKS42" s="15">
        <v>0</v>
      </c>
      <c r="AKT42" s="15">
        <v>0</v>
      </c>
      <c r="AKU42" s="15">
        <v>0</v>
      </c>
      <c r="AKV42" s="15">
        <v>0</v>
      </c>
      <c r="AKW42" s="15">
        <v>0</v>
      </c>
      <c r="AKX42" s="15"/>
      <c r="AKY42" s="15">
        <v>0</v>
      </c>
      <c r="AKZ42" s="15">
        <v>0</v>
      </c>
      <c r="ALA42" s="15">
        <v>0</v>
      </c>
      <c r="ALB42" s="15">
        <v>0</v>
      </c>
      <c r="ALC42" s="15">
        <v>0</v>
      </c>
      <c r="ALD42" s="15">
        <v>0</v>
      </c>
      <c r="ALE42" s="15">
        <v>0</v>
      </c>
      <c r="ALF42" s="15">
        <v>0</v>
      </c>
      <c r="ALG42" s="15">
        <v>0</v>
      </c>
      <c r="ALH42" s="15">
        <v>0</v>
      </c>
      <c r="ALI42" s="15">
        <v>0</v>
      </c>
      <c r="ALJ42" s="15">
        <v>0</v>
      </c>
      <c r="ALK42" s="15">
        <v>0</v>
      </c>
      <c r="ALL42" s="15">
        <v>0</v>
      </c>
      <c r="ALM42" s="15"/>
      <c r="ALN42" s="15">
        <v>0</v>
      </c>
      <c r="ALO42" s="15">
        <v>0</v>
      </c>
      <c r="ALP42" s="15">
        <v>0</v>
      </c>
      <c r="ALQ42" s="15">
        <v>0</v>
      </c>
      <c r="ALR42" s="15">
        <v>0</v>
      </c>
      <c r="ALS42" s="15">
        <v>0</v>
      </c>
      <c r="ALT42" s="15">
        <v>0</v>
      </c>
      <c r="ALU42" s="15">
        <v>0</v>
      </c>
      <c r="ALV42" s="15">
        <v>0</v>
      </c>
      <c r="ALW42" s="15">
        <v>0</v>
      </c>
      <c r="ALX42" s="15">
        <v>0</v>
      </c>
      <c r="ALY42" s="15">
        <v>0</v>
      </c>
      <c r="ALZ42" s="15">
        <v>0</v>
      </c>
      <c r="AMA42" s="15">
        <v>0</v>
      </c>
      <c r="AMB42" s="15">
        <v>0</v>
      </c>
      <c r="AMC42" s="15"/>
      <c r="AMD42" s="15">
        <v>0</v>
      </c>
      <c r="AME42" s="15">
        <v>0</v>
      </c>
      <c r="AMF42" s="15">
        <v>0</v>
      </c>
      <c r="AMG42" s="15">
        <v>0</v>
      </c>
      <c r="AMH42" s="15">
        <v>0</v>
      </c>
      <c r="AMI42" s="15">
        <v>0</v>
      </c>
      <c r="AMJ42" s="15">
        <v>0</v>
      </c>
      <c r="AMK42" s="15">
        <v>0</v>
      </c>
      <c r="AML42" s="15">
        <v>0</v>
      </c>
      <c r="AMM42" s="15">
        <v>0</v>
      </c>
      <c r="AMN42" s="15">
        <v>0</v>
      </c>
      <c r="AMO42" s="15">
        <v>0</v>
      </c>
      <c r="AMP42" s="15">
        <v>0</v>
      </c>
      <c r="AMQ42" s="15">
        <v>0</v>
      </c>
      <c r="AMR42" s="15">
        <v>0</v>
      </c>
      <c r="AMS42" s="15">
        <v>0</v>
      </c>
      <c r="AMT42" s="15">
        <v>0</v>
      </c>
      <c r="AMU42" s="15">
        <v>0</v>
      </c>
      <c r="AMV42" s="15">
        <v>0</v>
      </c>
      <c r="AMW42" s="15">
        <v>0</v>
      </c>
      <c r="AMX42" s="15">
        <v>0</v>
      </c>
      <c r="AMY42" s="15">
        <v>0</v>
      </c>
      <c r="AMZ42" s="15">
        <v>0</v>
      </c>
      <c r="ANA42" s="15">
        <v>0</v>
      </c>
      <c r="ANB42" s="15">
        <v>0</v>
      </c>
      <c r="ANC42" s="15">
        <v>0</v>
      </c>
      <c r="AND42" s="15">
        <v>0</v>
      </c>
      <c r="ANE42" s="15"/>
      <c r="ANF42" s="15"/>
      <c r="ANG42" s="15"/>
      <c r="ANH42" s="15"/>
      <c r="ANI42" s="15"/>
      <c r="ANJ42" s="15"/>
      <c r="ANK42" s="15"/>
      <c r="ANL42" s="15"/>
      <c r="ANM42" s="15"/>
      <c r="ANN42" s="15"/>
      <c r="ANO42" s="15"/>
      <c r="ANP42" s="15"/>
      <c r="ANQ42" s="15"/>
      <c r="ANR42" s="15"/>
      <c r="ANS42" s="15"/>
      <c r="ANT42" s="15"/>
      <c r="ANU42" s="15"/>
      <c r="ANV42" s="15"/>
      <c r="ANW42" s="15"/>
      <c r="ANX42" s="15"/>
      <c r="ANY42" s="15"/>
      <c r="ANZ42" s="15"/>
      <c r="AOA42" s="15"/>
      <c r="AOB42" s="15"/>
      <c r="AOC42" s="15"/>
      <c r="AOD42" s="15"/>
      <c r="AOE42" s="15"/>
      <c r="AOF42" s="15"/>
      <c r="AOG42" s="15"/>
      <c r="AOH42" s="15"/>
      <c r="AOI42" s="15"/>
      <c r="AOJ42" s="15"/>
      <c r="AOK42" s="15"/>
      <c r="AOL42" s="15"/>
      <c r="AOM42" s="15"/>
      <c r="AON42" s="15"/>
      <c r="AOO42" s="15"/>
      <c r="AOP42" s="15"/>
      <c r="AOQ42" s="15"/>
      <c r="AOR42" s="15"/>
      <c r="AOS42" s="15"/>
      <c r="AOT42" s="15"/>
      <c r="AOU42" s="15"/>
      <c r="AOV42" s="15"/>
      <c r="AOW42" s="15"/>
      <c r="AOX42" s="15"/>
      <c r="AOY42" s="15"/>
      <c r="AOZ42" s="15"/>
      <c r="APA42" s="15"/>
      <c r="APB42" s="15"/>
      <c r="APC42" s="15"/>
      <c r="APD42" s="15"/>
      <c r="APE42" s="15"/>
      <c r="APF42" s="15"/>
      <c r="APG42" s="15"/>
      <c r="APH42" s="15"/>
      <c r="API42" s="15"/>
      <c r="APJ42" s="15"/>
      <c r="APK42" s="15"/>
      <c r="APL42" s="15"/>
      <c r="APM42" s="15"/>
      <c r="APN42" s="15"/>
      <c r="APO42" s="15"/>
      <c r="APP42" s="15"/>
      <c r="APQ42" s="15"/>
      <c r="APR42" s="15"/>
      <c r="APS42" s="15"/>
      <c r="APT42" s="15"/>
      <c r="APU42" s="15"/>
      <c r="APV42" s="15"/>
      <c r="APW42" s="15"/>
      <c r="APX42" s="15"/>
      <c r="APY42" s="15"/>
      <c r="APZ42" s="15"/>
      <c r="AQA42" s="15"/>
      <c r="AQB42" s="15"/>
    </row>
    <row r="43" spans="1:1120" s="17" customFormat="1" ht="15" customHeight="1" x14ac:dyDescent="0.25">
      <c r="A43" s="3" t="s">
        <v>2</v>
      </c>
      <c r="B43" s="6" t="s">
        <v>82</v>
      </c>
      <c r="C43" s="15"/>
      <c r="D43" s="15">
        <v>0</v>
      </c>
      <c r="E43" s="15">
        <v>0</v>
      </c>
      <c r="F43" s="15">
        <v>0</v>
      </c>
      <c r="G43" s="15">
        <v>0</v>
      </c>
      <c r="H43" s="15">
        <v>0</v>
      </c>
      <c r="I43" s="15">
        <v>0</v>
      </c>
      <c r="J43" s="15"/>
      <c r="K43" s="15">
        <v>0</v>
      </c>
      <c r="L43" s="15">
        <v>0</v>
      </c>
      <c r="M43" s="15">
        <v>0</v>
      </c>
      <c r="N43" s="15">
        <v>0</v>
      </c>
      <c r="O43" s="15">
        <v>0</v>
      </c>
      <c r="P43" s="15">
        <v>0</v>
      </c>
      <c r="Q43" s="15"/>
      <c r="R43" s="15">
        <v>0</v>
      </c>
      <c r="S43" s="15">
        <v>0</v>
      </c>
      <c r="T43" s="15">
        <v>0</v>
      </c>
      <c r="U43" s="15">
        <v>0</v>
      </c>
      <c r="V43" s="15">
        <v>0</v>
      </c>
      <c r="W43" s="15">
        <v>0</v>
      </c>
      <c r="X43" s="15"/>
      <c r="Y43" s="15">
        <v>0</v>
      </c>
      <c r="Z43" s="15">
        <v>0</v>
      </c>
      <c r="AA43" s="15">
        <v>0</v>
      </c>
      <c r="AB43" s="15">
        <v>0</v>
      </c>
      <c r="AC43" s="15">
        <v>0</v>
      </c>
      <c r="AD43" s="15">
        <v>0</v>
      </c>
      <c r="AE43" s="15"/>
      <c r="AF43" s="15">
        <v>0</v>
      </c>
      <c r="AG43" s="15">
        <v>0</v>
      </c>
      <c r="AH43" s="15">
        <v>0</v>
      </c>
      <c r="AI43" s="15">
        <v>0</v>
      </c>
      <c r="AJ43" s="15">
        <v>0</v>
      </c>
      <c r="AK43" s="15">
        <v>0</v>
      </c>
      <c r="AL43" s="15"/>
      <c r="AM43" s="15">
        <v>0</v>
      </c>
      <c r="AN43" s="15">
        <v>0</v>
      </c>
      <c r="AO43" s="15">
        <v>0</v>
      </c>
      <c r="AP43" s="15">
        <v>0</v>
      </c>
      <c r="AQ43" s="15">
        <v>0</v>
      </c>
      <c r="AR43" s="15">
        <v>0</v>
      </c>
      <c r="AS43" s="15">
        <v>0</v>
      </c>
      <c r="AT43" s="15">
        <v>0</v>
      </c>
      <c r="AU43" s="15">
        <v>0</v>
      </c>
      <c r="AV43" s="15">
        <v>0</v>
      </c>
      <c r="AW43" s="15">
        <v>0</v>
      </c>
      <c r="AX43" s="15">
        <v>0</v>
      </c>
      <c r="AY43" s="15">
        <v>0</v>
      </c>
      <c r="AZ43" s="15">
        <v>0</v>
      </c>
      <c r="BA43" s="15">
        <v>0</v>
      </c>
      <c r="BB43" s="15">
        <v>0</v>
      </c>
      <c r="BC43" s="15">
        <v>0</v>
      </c>
      <c r="BD43" s="15">
        <v>0</v>
      </c>
      <c r="BE43" s="15">
        <v>0</v>
      </c>
      <c r="BF43" s="15">
        <v>0</v>
      </c>
      <c r="BG43" s="15">
        <v>0</v>
      </c>
      <c r="BH43" s="15">
        <v>0</v>
      </c>
      <c r="BI43" s="15">
        <v>0</v>
      </c>
      <c r="BJ43" s="15">
        <v>0</v>
      </c>
      <c r="BK43" s="15">
        <v>0</v>
      </c>
      <c r="BL43" s="15">
        <v>0</v>
      </c>
      <c r="BM43" s="15">
        <v>0</v>
      </c>
      <c r="BN43" s="15">
        <v>0</v>
      </c>
      <c r="BO43" s="15">
        <v>0</v>
      </c>
      <c r="BP43" s="15">
        <v>0</v>
      </c>
      <c r="BQ43" s="15">
        <v>0</v>
      </c>
      <c r="BR43" s="15">
        <v>0</v>
      </c>
      <c r="BS43" s="15">
        <v>0</v>
      </c>
      <c r="BT43" s="15">
        <v>0</v>
      </c>
      <c r="BU43" s="15">
        <v>0</v>
      </c>
      <c r="BV43" s="15">
        <v>0</v>
      </c>
      <c r="BW43" s="15">
        <v>0</v>
      </c>
      <c r="BX43" s="15">
        <v>0</v>
      </c>
      <c r="BY43" s="15">
        <v>0</v>
      </c>
      <c r="BZ43" s="15">
        <v>0</v>
      </c>
      <c r="CA43" s="15">
        <v>0</v>
      </c>
      <c r="CB43" s="15">
        <v>0</v>
      </c>
      <c r="CC43" s="15">
        <v>0</v>
      </c>
      <c r="CD43" s="15">
        <v>0</v>
      </c>
      <c r="CE43" s="15">
        <v>0</v>
      </c>
      <c r="CF43" s="15">
        <v>0</v>
      </c>
      <c r="CG43" s="15">
        <v>0</v>
      </c>
      <c r="CH43" s="15">
        <v>0</v>
      </c>
      <c r="CI43" s="15">
        <v>0</v>
      </c>
      <c r="CJ43" s="15">
        <v>0</v>
      </c>
      <c r="CK43" s="15">
        <v>0</v>
      </c>
      <c r="CL43" s="15">
        <v>0</v>
      </c>
      <c r="CM43" s="15">
        <v>0</v>
      </c>
      <c r="CN43" s="15">
        <v>0</v>
      </c>
      <c r="CO43" s="15">
        <v>0</v>
      </c>
      <c r="CP43" s="15">
        <v>0</v>
      </c>
      <c r="CQ43" s="15">
        <v>0</v>
      </c>
      <c r="CR43" s="15">
        <v>0</v>
      </c>
      <c r="CS43" s="15">
        <v>0</v>
      </c>
      <c r="CT43" s="15">
        <v>0</v>
      </c>
      <c r="CU43" s="15">
        <v>0</v>
      </c>
      <c r="CV43" s="15">
        <v>0</v>
      </c>
      <c r="CW43" s="15">
        <v>0</v>
      </c>
      <c r="CX43" s="15">
        <v>0</v>
      </c>
      <c r="CY43" s="15">
        <v>0</v>
      </c>
      <c r="CZ43" s="15">
        <v>0</v>
      </c>
      <c r="DA43" s="15">
        <v>0</v>
      </c>
      <c r="DB43" s="15">
        <v>0</v>
      </c>
      <c r="DC43" s="15">
        <v>0</v>
      </c>
      <c r="DD43" s="15">
        <v>0</v>
      </c>
      <c r="DE43" s="15">
        <v>0</v>
      </c>
      <c r="DF43" s="15">
        <v>0</v>
      </c>
      <c r="DG43" s="15">
        <v>0</v>
      </c>
      <c r="DH43" s="15">
        <v>0</v>
      </c>
      <c r="DI43" s="15">
        <v>0</v>
      </c>
      <c r="DJ43" s="15">
        <v>0</v>
      </c>
      <c r="DK43" s="15">
        <v>0</v>
      </c>
      <c r="DL43" s="15">
        <v>0</v>
      </c>
      <c r="DM43" s="15">
        <v>0</v>
      </c>
      <c r="DN43" s="15">
        <v>0</v>
      </c>
      <c r="DO43" s="15">
        <v>0</v>
      </c>
      <c r="DP43" s="15">
        <v>0</v>
      </c>
      <c r="DQ43" s="15">
        <v>0</v>
      </c>
      <c r="DR43" s="15">
        <v>0</v>
      </c>
      <c r="DS43" s="15">
        <v>0</v>
      </c>
      <c r="DT43" s="15">
        <v>0</v>
      </c>
      <c r="DU43" s="15">
        <v>0</v>
      </c>
      <c r="DV43" s="15">
        <v>0</v>
      </c>
      <c r="DW43" s="15">
        <v>0</v>
      </c>
      <c r="DX43" s="15">
        <v>0</v>
      </c>
      <c r="DY43" s="15">
        <v>0</v>
      </c>
      <c r="DZ43" s="15">
        <v>0</v>
      </c>
      <c r="EA43" s="15">
        <v>0</v>
      </c>
      <c r="EB43" s="15">
        <v>0</v>
      </c>
      <c r="EC43" s="15">
        <v>0</v>
      </c>
      <c r="ED43" s="15">
        <v>0</v>
      </c>
      <c r="EE43" s="15">
        <v>0</v>
      </c>
      <c r="EF43" s="15">
        <v>0</v>
      </c>
      <c r="EG43" s="15">
        <v>0</v>
      </c>
      <c r="EH43" s="15">
        <v>0</v>
      </c>
      <c r="EI43" s="15">
        <v>0</v>
      </c>
      <c r="EJ43" s="15">
        <v>0</v>
      </c>
      <c r="EK43" s="15">
        <v>0</v>
      </c>
      <c r="EL43" s="15">
        <v>0</v>
      </c>
      <c r="EM43" s="15">
        <v>0</v>
      </c>
      <c r="EN43" s="15">
        <v>0</v>
      </c>
      <c r="EO43" s="15">
        <v>0</v>
      </c>
      <c r="EP43" s="15">
        <v>0</v>
      </c>
      <c r="EQ43" s="15">
        <v>0</v>
      </c>
      <c r="ER43" s="15">
        <v>0</v>
      </c>
      <c r="ES43" s="15">
        <v>0</v>
      </c>
      <c r="ET43" s="15">
        <v>0</v>
      </c>
      <c r="EU43" s="15">
        <v>0</v>
      </c>
      <c r="EV43" s="15">
        <v>0</v>
      </c>
      <c r="EW43" s="15">
        <v>0</v>
      </c>
      <c r="EX43" s="15">
        <v>0</v>
      </c>
      <c r="EY43" s="15">
        <v>0</v>
      </c>
      <c r="EZ43" s="15">
        <v>0</v>
      </c>
      <c r="FA43" s="15">
        <v>0</v>
      </c>
      <c r="FB43" s="15">
        <v>0</v>
      </c>
      <c r="FC43" s="15">
        <v>0</v>
      </c>
      <c r="FD43" s="15"/>
      <c r="FE43" s="15">
        <v>0</v>
      </c>
      <c r="FF43" s="15">
        <v>0</v>
      </c>
      <c r="FG43" s="15">
        <v>0</v>
      </c>
      <c r="FH43" s="15">
        <v>0</v>
      </c>
      <c r="FI43" s="15">
        <v>0</v>
      </c>
      <c r="FJ43" s="15">
        <v>0</v>
      </c>
      <c r="FK43" s="15">
        <v>0</v>
      </c>
      <c r="FL43" s="15">
        <v>1</v>
      </c>
      <c r="FM43" s="15">
        <v>0</v>
      </c>
      <c r="FN43" s="15">
        <v>0</v>
      </c>
      <c r="FO43" s="15">
        <v>0</v>
      </c>
      <c r="FP43" s="15">
        <v>0</v>
      </c>
      <c r="FQ43" s="15">
        <v>0</v>
      </c>
      <c r="FR43" s="15">
        <v>0</v>
      </c>
      <c r="FS43" s="15">
        <v>1</v>
      </c>
      <c r="FT43" s="15">
        <v>0</v>
      </c>
      <c r="FU43" s="15">
        <v>0</v>
      </c>
      <c r="FV43" s="15">
        <v>0</v>
      </c>
      <c r="FW43" s="15">
        <v>0</v>
      </c>
      <c r="FX43" s="15">
        <v>0</v>
      </c>
      <c r="FY43" s="15">
        <v>0</v>
      </c>
      <c r="FZ43" s="15">
        <v>1</v>
      </c>
      <c r="GA43" s="15">
        <v>0</v>
      </c>
      <c r="GB43" s="15">
        <v>0</v>
      </c>
      <c r="GC43" s="15">
        <v>0</v>
      </c>
      <c r="GD43" s="15">
        <v>0</v>
      </c>
      <c r="GE43" s="15">
        <v>0</v>
      </c>
      <c r="GF43" s="15">
        <v>0</v>
      </c>
      <c r="GG43" s="15">
        <v>1</v>
      </c>
      <c r="GH43" s="15">
        <v>0</v>
      </c>
      <c r="GI43" s="15">
        <v>0</v>
      </c>
      <c r="GJ43" s="15">
        <v>0</v>
      </c>
      <c r="GK43" s="15">
        <v>0</v>
      </c>
      <c r="GL43" s="15">
        <v>0</v>
      </c>
      <c r="GM43" s="15">
        <v>0</v>
      </c>
      <c r="GN43" s="15">
        <v>1</v>
      </c>
      <c r="GO43" s="15">
        <v>0</v>
      </c>
      <c r="GP43" s="15">
        <v>0</v>
      </c>
      <c r="GQ43" s="15">
        <v>0</v>
      </c>
      <c r="GR43" s="15">
        <v>0</v>
      </c>
      <c r="GS43" s="15">
        <v>0</v>
      </c>
      <c r="GT43" s="15">
        <v>0</v>
      </c>
      <c r="GU43" s="15">
        <v>1</v>
      </c>
      <c r="GV43" s="15">
        <v>0</v>
      </c>
      <c r="GW43" s="15">
        <v>0</v>
      </c>
      <c r="GX43" s="15">
        <v>0</v>
      </c>
      <c r="GY43" s="15">
        <v>0</v>
      </c>
      <c r="GZ43" s="15">
        <v>0</v>
      </c>
      <c r="HA43" s="15">
        <v>0</v>
      </c>
      <c r="HB43" s="15">
        <v>1</v>
      </c>
      <c r="HC43" s="15">
        <v>0</v>
      </c>
      <c r="HD43" s="15">
        <v>0</v>
      </c>
      <c r="HE43" s="15">
        <v>0</v>
      </c>
      <c r="HF43" s="15">
        <v>0</v>
      </c>
      <c r="HG43" s="15">
        <v>0</v>
      </c>
      <c r="HH43" s="15">
        <v>0</v>
      </c>
      <c r="HI43" s="15">
        <v>1</v>
      </c>
      <c r="HJ43" s="15">
        <v>0</v>
      </c>
      <c r="HK43" s="15">
        <v>0</v>
      </c>
      <c r="HL43" s="15">
        <v>0</v>
      </c>
      <c r="HM43" s="15">
        <v>0</v>
      </c>
      <c r="HN43" s="15">
        <v>0</v>
      </c>
      <c r="HO43" s="15">
        <v>0</v>
      </c>
      <c r="HP43" s="15">
        <v>1</v>
      </c>
      <c r="HQ43" s="15">
        <v>0</v>
      </c>
      <c r="HR43" s="15">
        <v>0</v>
      </c>
      <c r="HS43" s="15">
        <v>0</v>
      </c>
      <c r="HT43" s="15">
        <v>0</v>
      </c>
      <c r="HU43" s="15">
        <v>0</v>
      </c>
      <c r="HV43" s="15">
        <v>0</v>
      </c>
      <c r="HW43" s="15">
        <v>1</v>
      </c>
      <c r="HX43" s="15">
        <v>1</v>
      </c>
      <c r="HY43" s="15">
        <v>1</v>
      </c>
      <c r="HZ43" s="15">
        <v>1</v>
      </c>
      <c r="IA43" s="15">
        <v>1</v>
      </c>
      <c r="IB43" s="15"/>
      <c r="IC43" s="15">
        <v>0</v>
      </c>
      <c r="ID43" s="15">
        <v>0</v>
      </c>
      <c r="IE43" s="15">
        <v>0</v>
      </c>
      <c r="IF43" s="15">
        <v>0</v>
      </c>
      <c r="IG43" s="15">
        <v>0</v>
      </c>
      <c r="IH43" s="15">
        <v>0</v>
      </c>
      <c r="II43" s="15">
        <v>0</v>
      </c>
      <c r="IJ43" s="15">
        <v>0</v>
      </c>
      <c r="IK43" s="15"/>
      <c r="IL43" s="15">
        <v>0</v>
      </c>
      <c r="IM43" s="15">
        <v>0</v>
      </c>
      <c r="IN43" s="15">
        <v>0</v>
      </c>
      <c r="IO43" s="15">
        <v>0</v>
      </c>
      <c r="IP43" s="15">
        <v>0</v>
      </c>
      <c r="IQ43" s="15">
        <v>0</v>
      </c>
      <c r="IR43" s="15">
        <v>0</v>
      </c>
      <c r="IS43" s="20">
        <v>1</v>
      </c>
      <c r="IT43" s="20">
        <v>0</v>
      </c>
      <c r="IU43" s="20">
        <v>0</v>
      </c>
      <c r="IV43" s="20">
        <v>0</v>
      </c>
      <c r="IW43" s="20">
        <v>0</v>
      </c>
      <c r="IX43" s="20">
        <v>0</v>
      </c>
      <c r="IY43" s="20">
        <v>0</v>
      </c>
      <c r="IZ43" s="20">
        <v>0</v>
      </c>
      <c r="JA43" s="20">
        <v>0</v>
      </c>
      <c r="JB43" s="20">
        <v>0</v>
      </c>
      <c r="JC43" s="20">
        <v>0</v>
      </c>
      <c r="JD43" s="20">
        <v>1</v>
      </c>
      <c r="JE43" s="20">
        <v>0</v>
      </c>
      <c r="JF43" s="20">
        <v>0</v>
      </c>
      <c r="JG43" s="20">
        <v>0</v>
      </c>
      <c r="JH43" s="15">
        <v>0</v>
      </c>
      <c r="JI43" s="15">
        <v>0</v>
      </c>
      <c r="JJ43" s="15">
        <v>0</v>
      </c>
      <c r="JK43" s="15">
        <v>0</v>
      </c>
      <c r="JL43" s="15">
        <v>0</v>
      </c>
      <c r="JM43" s="15">
        <v>0</v>
      </c>
      <c r="JN43" s="15">
        <v>0</v>
      </c>
      <c r="JO43" s="15">
        <v>0</v>
      </c>
      <c r="JP43" s="15">
        <v>0</v>
      </c>
      <c r="JQ43" s="15">
        <v>0</v>
      </c>
      <c r="JR43" s="15">
        <v>0</v>
      </c>
      <c r="JS43" s="15">
        <v>0</v>
      </c>
      <c r="JT43" s="15">
        <v>0</v>
      </c>
      <c r="JU43" s="15">
        <v>0</v>
      </c>
      <c r="JV43" s="15">
        <v>0</v>
      </c>
      <c r="JW43" s="15">
        <v>0</v>
      </c>
      <c r="JX43" s="15">
        <v>0</v>
      </c>
      <c r="JY43" s="15">
        <v>0</v>
      </c>
      <c r="JZ43" s="15">
        <v>0</v>
      </c>
      <c r="KA43" s="15">
        <v>0</v>
      </c>
      <c r="KB43" s="15">
        <v>0</v>
      </c>
      <c r="KC43" s="15">
        <v>0</v>
      </c>
      <c r="KD43" s="15">
        <v>0</v>
      </c>
      <c r="KE43" s="15">
        <v>0</v>
      </c>
      <c r="KF43" s="15">
        <v>0</v>
      </c>
      <c r="KG43" s="15">
        <v>0</v>
      </c>
      <c r="KH43" s="15">
        <v>0</v>
      </c>
      <c r="KI43" s="15">
        <v>0</v>
      </c>
      <c r="KJ43" s="15">
        <v>0</v>
      </c>
      <c r="KK43" s="15">
        <v>0</v>
      </c>
      <c r="KL43" s="15">
        <v>0</v>
      </c>
      <c r="KM43" s="15">
        <v>0</v>
      </c>
      <c r="KN43" s="15">
        <v>0</v>
      </c>
      <c r="KO43" s="15">
        <v>0</v>
      </c>
      <c r="KP43" s="15">
        <v>0</v>
      </c>
      <c r="KQ43" s="15">
        <v>0</v>
      </c>
      <c r="KR43" s="15">
        <v>0</v>
      </c>
      <c r="KS43" s="15">
        <v>0</v>
      </c>
      <c r="KT43" s="15">
        <v>0</v>
      </c>
      <c r="KU43" s="15">
        <v>1</v>
      </c>
      <c r="KV43" s="15">
        <v>0</v>
      </c>
      <c r="KW43" s="15">
        <v>0</v>
      </c>
      <c r="KX43" s="15">
        <v>0</v>
      </c>
      <c r="KY43" s="15">
        <v>0</v>
      </c>
      <c r="KZ43" s="15">
        <v>0</v>
      </c>
      <c r="LA43" s="15">
        <v>0</v>
      </c>
      <c r="LB43" s="15">
        <v>0</v>
      </c>
      <c r="LC43" s="15">
        <v>0</v>
      </c>
      <c r="LD43" s="15">
        <v>0</v>
      </c>
      <c r="LE43" s="15">
        <v>0</v>
      </c>
      <c r="LF43" s="15">
        <v>0</v>
      </c>
      <c r="LG43" s="15">
        <v>0</v>
      </c>
      <c r="LH43" s="15">
        <v>0</v>
      </c>
      <c r="LI43" s="15">
        <v>0</v>
      </c>
      <c r="LJ43" s="15">
        <v>0</v>
      </c>
      <c r="LK43" s="15">
        <v>0</v>
      </c>
      <c r="LL43" s="15">
        <v>0</v>
      </c>
      <c r="LM43" s="15">
        <v>0</v>
      </c>
      <c r="LN43" s="15">
        <v>0</v>
      </c>
      <c r="LO43" s="15">
        <v>0</v>
      </c>
      <c r="LP43" s="15">
        <v>0</v>
      </c>
      <c r="LQ43" s="15">
        <v>0</v>
      </c>
      <c r="LR43" s="15">
        <v>0</v>
      </c>
      <c r="LS43" s="15">
        <v>0</v>
      </c>
      <c r="LT43" s="15">
        <v>0</v>
      </c>
      <c r="LU43" s="15">
        <v>0</v>
      </c>
      <c r="LV43" s="15">
        <v>0</v>
      </c>
      <c r="LW43" s="15">
        <v>0</v>
      </c>
      <c r="LX43" s="15">
        <v>0</v>
      </c>
      <c r="LY43" s="15">
        <v>0</v>
      </c>
      <c r="LZ43" s="15">
        <v>0</v>
      </c>
      <c r="MA43" s="15">
        <v>0</v>
      </c>
      <c r="MB43" s="15">
        <v>0</v>
      </c>
      <c r="MC43" s="15">
        <v>0</v>
      </c>
      <c r="MD43" s="15">
        <v>0</v>
      </c>
      <c r="ME43" s="15">
        <v>0</v>
      </c>
      <c r="MF43" s="15">
        <v>0</v>
      </c>
      <c r="MG43" s="15">
        <v>0</v>
      </c>
      <c r="MH43" s="15">
        <v>0</v>
      </c>
      <c r="MI43" s="15">
        <v>0</v>
      </c>
      <c r="MJ43" s="15">
        <v>0</v>
      </c>
      <c r="MK43" s="15">
        <v>0</v>
      </c>
      <c r="ML43" s="15">
        <v>0</v>
      </c>
      <c r="MM43" s="15">
        <v>0</v>
      </c>
      <c r="MN43" s="15">
        <v>0</v>
      </c>
      <c r="MO43" s="15">
        <v>0</v>
      </c>
      <c r="MP43" s="15">
        <v>0</v>
      </c>
      <c r="MQ43" s="15">
        <v>0</v>
      </c>
      <c r="MR43" s="15">
        <v>0</v>
      </c>
      <c r="MS43" s="15">
        <v>0</v>
      </c>
      <c r="MT43" s="15">
        <v>0</v>
      </c>
      <c r="MU43" s="15">
        <v>0</v>
      </c>
      <c r="MV43" s="15">
        <v>0</v>
      </c>
      <c r="MW43" s="15">
        <v>0</v>
      </c>
      <c r="MX43" s="15">
        <v>0</v>
      </c>
      <c r="MY43" s="15">
        <v>0</v>
      </c>
      <c r="MZ43" s="15">
        <v>0</v>
      </c>
      <c r="NA43" s="15">
        <v>0</v>
      </c>
      <c r="NB43" s="15">
        <v>0</v>
      </c>
      <c r="NC43" s="15">
        <v>0</v>
      </c>
      <c r="ND43" s="15">
        <v>0</v>
      </c>
      <c r="NE43" s="15">
        <v>0</v>
      </c>
      <c r="NF43" s="15">
        <v>0</v>
      </c>
      <c r="NG43" s="15">
        <v>0</v>
      </c>
      <c r="NH43" s="15">
        <v>0</v>
      </c>
      <c r="NI43" s="15">
        <v>0</v>
      </c>
      <c r="NJ43" s="15">
        <v>0</v>
      </c>
      <c r="NK43" s="15">
        <v>0</v>
      </c>
      <c r="NL43" s="15">
        <v>0</v>
      </c>
      <c r="NM43" s="15">
        <v>0</v>
      </c>
      <c r="NN43" s="15">
        <v>0</v>
      </c>
      <c r="NO43" s="20">
        <v>0</v>
      </c>
      <c r="NP43" s="15">
        <v>0</v>
      </c>
      <c r="NQ43" s="15">
        <v>0</v>
      </c>
      <c r="NR43" s="15">
        <v>0</v>
      </c>
      <c r="NS43" s="15">
        <v>0</v>
      </c>
      <c r="NT43" s="15">
        <v>0</v>
      </c>
      <c r="NU43" s="15">
        <v>0</v>
      </c>
      <c r="NV43" s="15">
        <v>0</v>
      </c>
      <c r="NW43" s="15">
        <v>1</v>
      </c>
      <c r="NX43" s="15">
        <v>0</v>
      </c>
      <c r="NY43" s="15">
        <v>0</v>
      </c>
      <c r="NZ43" s="15">
        <v>0</v>
      </c>
      <c r="OA43" s="15">
        <v>0</v>
      </c>
      <c r="OB43" s="15">
        <v>1</v>
      </c>
      <c r="OC43" s="15">
        <v>0</v>
      </c>
      <c r="OD43" s="15">
        <v>1</v>
      </c>
      <c r="OE43" s="15">
        <v>0</v>
      </c>
      <c r="OF43" s="15">
        <v>0</v>
      </c>
      <c r="OG43" s="15">
        <v>0</v>
      </c>
      <c r="OH43" s="15">
        <v>0</v>
      </c>
      <c r="OI43" s="15">
        <v>0</v>
      </c>
      <c r="OJ43" s="15">
        <v>0</v>
      </c>
      <c r="OK43" s="15">
        <v>0</v>
      </c>
      <c r="OL43" s="15">
        <v>0</v>
      </c>
      <c r="OM43" s="15">
        <v>0</v>
      </c>
      <c r="ON43" s="15">
        <v>0</v>
      </c>
      <c r="OO43" s="15">
        <v>0</v>
      </c>
      <c r="OP43" s="15">
        <v>0</v>
      </c>
      <c r="OQ43" s="15">
        <v>0</v>
      </c>
      <c r="OR43" s="15">
        <v>0</v>
      </c>
      <c r="OS43" s="15">
        <v>0</v>
      </c>
      <c r="OT43" s="15">
        <v>0</v>
      </c>
      <c r="OU43" s="15">
        <v>0</v>
      </c>
      <c r="OV43" s="15">
        <v>0</v>
      </c>
      <c r="OW43" s="15">
        <v>0</v>
      </c>
      <c r="OX43" s="15">
        <v>0</v>
      </c>
      <c r="OY43" s="15">
        <v>0</v>
      </c>
      <c r="OZ43" s="15">
        <v>0</v>
      </c>
      <c r="PA43" s="15">
        <v>0</v>
      </c>
      <c r="PB43" s="15">
        <v>0</v>
      </c>
      <c r="PC43" s="15">
        <v>0</v>
      </c>
      <c r="PD43" s="15">
        <v>0</v>
      </c>
      <c r="PE43" s="15">
        <v>0</v>
      </c>
      <c r="PF43" s="15">
        <v>0</v>
      </c>
      <c r="PG43" s="15">
        <v>0</v>
      </c>
      <c r="PH43" s="15">
        <v>1</v>
      </c>
      <c r="PI43" s="15">
        <v>0</v>
      </c>
      <c r="PJ43" s="15">
        <v>0</v>
      </c>
      <c r="PK43" s="15">
        <v>0</v>
      </c>
      <c r="PL43" s="15">
        <v>0</v>
      </c>
      <c r="PM43" s="15">
        <v>0</v>
      </c>
      <c r="PN43" s="15">
        <v>0</v>
      </c>
      <c r="PO43" s="15">
        <v>0</v>
      </c>
      <c r="PP43" s="15">
        <v>0</v>
      </c>
      <c r="PQ43" s="15">
        <v>0</v>
      </c>
      <c r="PR43" s="15">
        <v>1</v>
      </c>
      <c r="PS43" s="15">
        <v>0</v>
      </c>
      <c r="PT43" s="15">
        <v>0</v>
      </c>
      <c r="PU43" s="15">
        <v>0</v>
      </c>
      <c r="PV43" s="15">
        <v>0</v>
      </c>
      <c r="PW43" s="20">
        <v>0</v>
      </c>
      <c r="PX43" s="20">
        <v>1</v>
      </c>
      <c r="PY43" s="20">
        <v>0</v>
      </c>
      <c r="PZ43" s="15">
        <v>0</v>
      </c>
      <c r="QA43" s="20">
        <v>0</v>
      </c>
      <c r="QB43" s="20">
        <v>0</v>
      </c>
      <c r="QC43" s="20">
        <v>0</v>
      </c>
      <c r="QD43" s="15">
        <v>0</v>
      </c>
      <c r="QE43" s="15">
        <v>0</v>
      </c>
      <c r="QF43" s="15">
        <v>0</v>
      </c>
      <c r="QG43" s="15">
        <v>0</v>
      </c>
      <c r="QH43" s="15">
        <v>0</v>
      </c>
      <c r="QI43" s="15">
        <v>1</v>
      </c>
      <c r="QJ43" s="15">
        <v>0</v>
      </c>
      <c r="QK43" s="15">
        <v>0</v>
      </c>
      <c r="QL43" s="15">
        <v>0</v>
      </c>
      <c r="QM43" s="15">
        <v>0</v>
      </c>
      <c r="QN43" s="15">
        <v>0</v>
      </c>
      <c r="QO43" s="15">
        <v>1</v>
      </c>
      <c r="QP43" s="15">
        <v>0</v>
      </c>
      <c r="QQ43" s="15">
        <v>1</v>
      </c>
      <c r="QR43" s="15">
        <v>0</v>
      </c>
      <c r="QS43" s="15">
        <v>0</v>
      </c>
      <c r="QT43" s="15">
        <v>0</v>
      </c>
      <c r="QU43" s="15">
        <v>0</v>
      </c>
      <c r="QV43" s="15">
        <v>0</v>
      </c>
      <c r="QW43" s="15">
        <v>0</v>
      </c>
      <c r="QX43" s="15">
        <v>0</v>
      </c>
      <c r="QY43" s="15">
        <v>0</v>
      </c>
      <c r="QZ43" s="15">
        <v>0</v>
      </c>
      <c r="RA43" s="15">
        <v>0</v>
      </c>
      <c r="RB43" s="15">
        <v>0</v>
      </c>
      <c r="RC43" s="15">
        <v>0</v>
      </c>
      <c r="RD43" s="15">
        <v>0</v>
      </c>
      <c r="RE43" s="15">
        <v>0</v>
      </c>
      <c r="RF43" s="15">
        <v>0</v>
      </c>
      <c r="RG43" s="15">
        <v>0</v>
      </c>
      <c r="RH43" s="15">
        <v>0</v>
      </c>
      <c r="RI43" s="15">
        <v>0</v>
      </c>
      <c r="RJ43" s="15">
        <v>0</v>
      </c>
      <c r="RK43" s="15">
        <v>0</v>
      </c>
      <c r="RL43" s="15">
        <v>0</v>
      </c>
      <c r="RM43" s="15">
        <v>0</v>
      </c>
      <c r="RN43" s="15">
        <v>0</v>
      </c>
      <c r="RO43" s="15">
        <v>0</v>
      </c>
      <c r="RP43" s="15">
        <v>0</v>
      </c>
      <c r="RQ43" s="15">
        <v>0</v>
      </c>
      <c r="RR43" s="15">
        <v>0</v>
      </c>
      <c r="RS43" s="15"/>
      <c r="RT43" s="15">
        <v>0</v>
      </c>
      <c r="RU43" s="15">
        <v>0</v>
      </c>
      <c r="RV43" s="15">
        <v>0</v>
      </c>
      <c r="RW43" s="15">
        <v>0</v>
      </c>
      <c r="RX43" s="15">
        <v>0</v>
      </c>
      <c r="RY43" s="15">
        <v>0</v>
      </c>
      <c r="RZ43" s="15">
        <v>0</v>
      </c>
      <c r="SA43" s="15">
        <v>0</v>
      </c>
      <c r="SB43" s="15">
        <v>0</v>
      </c>
      <c r="SC43" s="15">
        <v>0</v>
      </c>
      <c r="SD43" s="15">
        <v>0</v>
      </c>
      <c r="SE43" s="15">
        <v>0</v>
      </c>
      <c r="SF43" s="15">
        <v>1</v>
      </c>
      <c r="SG43" s="15">
        <v>0</v>
      </c>
      <c r="SH43" s="15">
        <v>0</v>
      </c>
      <c r="SI43" s="15">
        <v>0</v>
      </c>
      <c r="SJ43" s="15">
        <v>0</v>
      </c>
      <c r="SK43" s="15">
        <v>1</v>
      </c>
      <c r="SL43" s="15">
        <v>0</v>
      </c>
      <c r="SM43" s="15">
        <v>1</v>
      </c>
      <c r="SN43" s="15">
        <v>0</v>
      </c>
      <c r="SO43" s="15">
        <v>0</v>
      </c>
      <c r="SP43" s="15">
        <v>0</v>
      </c>
      <c r="SQ43" s="15">
        <v>0</v>
      </c>
      <c r="SR43" s="15">
        <v>0</v>
      </c>
      <c r="SS43" s="15">
        <v>0</v>
      </c>
      <c r="ST43" s="15">
        <v>0</v>
      </c>
      <c r="SU43" s="15">
        <v>0</v>
      </c>
      <c r="SV43" s="15">
        <v>0</v>
      </c>
      <c r="SW43" s="15">
        <v>0</v>
      </c>
      <c r="SX43" s="15">
        <v>0</v>
      </c>
      <c r="SY43" s="15">
        <v>0</v>
      </c>
      <c r="SZ43" s="15">
        <v>0</v>
      </c>
      <c r="TA43" s="15">
        <v>0</v>
      </c>
      <c r="TB43" s="15">
        <v>0</v>
      </c>
      <c r="TC43" s="15">
        <v>0</v>
      </c>
      <c r="TD43" s="15">
        <v>0</v>
      </c>
      <c r="TE43" s="15">
        <v>0</v>
      </c>
      <c r="TF43" s="15">
        <v>0</v>
      </c>
      <c r="TG43" s="15">
        <v>0</v>
      </c>
      <c r="TH43" s="15">
        <v>0</v>
      </c>
      <c r="TI43" s="15">
        <v>0</v>
      </c>
      <c r="TJ43" s="15">
        <v>0</v>
      </c>
      <c r="TK43" s="15">
        <v>0</v>
      </c>
      <c r="TL43" s="15">
        <v>0</v>
      </c>
      <c r="TM43" s="15">
        <v>0</v>
      </c>
      <c r="TN43" s="15">
        <v>0</v>
      </c>
      <c r="TO43" s="15">
        <v>0</v>
      </c>
      <c r="TP43" s="15">
        <v>1</v>
      </c>
      <c r="TQ43" s="15">
        <v>0</v>
      </c>
      <c r="TR43" s="15">
        <v>0</v>
      </c>
      <c r="TS43" s="15">
        <v>0</v>
      </c>
      <c r="TT43" s="15">
        <v>0</v>
      </c>
      <c r="TU43" s="15">
        <v>0</v>
      </c>
      <c r="TV43" s="15">
        <v>0</v>
      </c>
      <c r="TW43" s="15">
        <v>0</v>
      </c>
      <c r="TX43" s="15">
        <v>0</v>
      </c>
      <c r="TY43" s="15">
        <v>0</v>
      </c>
      <c r="TZ43" s="15">
        <v>1</v>
      </c>
      <c r="UA43" s="15">
        <v>0</v>
      </c>
      <c r="UB43" s="15">
        <v>0</v>
      </c>
      <c r="UC43" s="15">
        <v>0</v>
      </c>
      <c r="UD43" s="15">
        <v>0</v>
      </c>
      <c r="UE43" s="20">
        <v>0</v>
      </c>
      <c r="UF43" s="20">
        <v>1</v>
      </c>
      <c r="UG43" s="20">
        <v>0</v>
      </c>
      <c r="UH43" s="15">
        <v>0</v>
      </c>
      <c r="UI43" s="20">
        <v>0</v>
      </c>
      <c r="UJ43" s="20">
        <v>0</v>
      </c>
      <c r="UK43" s="20">
        <v>0</v>
      </c>
      <c r="UL43" s="15">
        <v>0</v>
      </c>
      <c r="UM43" s="15">
        <v>0</v>
      </c>
      <c r="UN43" s="15">
        <v>0</v>
      </c>
      <c r="UO43" s="15">
        <v>0</v>
      </c>
      <c r="UP43" s="15">
        <v>0</v>
      </c>
      <c r="UQ43" s="15">
        <v>1</v>
      </c>
      <c r="UR43" s="15">
        <v>0</v>
      </c>
      <c r="US43" s="15">
        <v>0</v>
      </c>
      <c r="UT43" s="15">
        <v>0</v>
      </c>
      <c r="UU43" s="15">
        <v>0</v>
      </c>
      <c r="UV43" s="15">
        <v>0</v>
      </c>
      <c r="UW43" s="15">
        <v>1</v>
      </c>
      <c r="UX43" s="15">
        <v>0</v>
      </c>
      <c r="UY43" s="15">
        <v>1</v>
      </c>
      <c r="UZ43" s="15">
        <v>0</v>
      </c>
      <c r="VA43" s="15">
        <v>0</v>
      </c>
      <c r="VB43" s="15">
        <v>0</v>
      </c>
      <c r="VC43" s="15">
        <v>0</v>
      </c>
      <c r="VD43" s="15">
        <v>0</v>
      </c>
      <c r="VE43" s="15">
        <v>0</v>
      </c>
      <c r="VF43" s="15">
        <v>0</v>
      </c>
      <c r="VG43" s="15">
        <v>0</v>
      </c>
      <c r="VH43" s="15">
        <v>0</v>
      </c>
      <c r="VI43" s="15">
        <v>0</v>
      </c>
      <c r="VJ43" s="15">
        <v>0</v>
      </c>
      <c r="VK43" s="15">
        <v>0</v>
      </c>
      <c r="VL43" s="15">
        <v>0</v>
      </c>
      <c r="VM43" s="15">
        <v>0</v>
      </c>
      <c r="VN43" s="15">
        <v>0</v>
      </c>
      <c r="VO43" s="15">
        <v>0</v>
      </c>
      <c r="VP43" s="15">
        <v>0</v>
      </c>
      <c r="VQ43" s="15">
        <v>0</v>
      </c>
      <c r="VR43" s="15">
        <v>0</v>
      </c>
      <c r="VS43" s="15">
        <v>0</v>
      </c>
      <c r="VT43" s="15">
        <v>0</v>
      </c>
      <c r="VU43" s="15">
        <v>0</v>
      </c>
      <c r="VV43" s="15">
        <v>0</v>
      </c>
      <c r="VW43" s="15">
        <v>0</v>
      </c>
      <c r="VX43" s="15">
        <v>0</v>
      </c>
      <c r="VY43" s="15">
        <v>0</v>
      </c>
      <c r="VZ43" s="15">
        <v>0</v>
      </c>
      <c r="WA43" s="15">
        <v>0</v>
      </c>
      <c r="WB43" s="15">
        <v>0</v>
      </c>
      <c r="WC43" s="15">
        <v>0</v>
      </c>
      <c r="WD43" s="15">
        <v>0</v>
      </c>
      <c r="WE43" s="15">
        <v>0</v>
      </c>
      <c r="WF43" s="15">
        <v>0</v>
      </c>
      <c r="WG43" s="15">
        <v>0</v>
      </c>
      <c r="WH43" s="15">
        <v>1</v>
      </c>
      <c r="WI43" s="15">
        <v>0</v>
      </c>
      <c r="WJ43" s="15">
        <v>0</v>
      </c>
      <c r="WK43" s="15">
        <v>0</v>
      </c>
      <c r="WL43" s="15">
        <v>0</v>
      </c>
      <c r="WM43" s="15">
        <v>0</v>
      </c>
      <c r="WN43" s="15">
        <v>0</v>
      </c>
      <c r="WO43" s="15">
        <v>0</v>
      </c>
      <c r="WP43" s="15">
        <v>0</v>
      </c>
      <c r="WQ43" s="15">
        <v>0</v>
      </c>
      <c r="WR43" s="15">
        <v>0</v>
      </c>
      <c r="WS43" s="15">
        <v>0</v>
      </c>
      <c r="WT43" s="15">
        <v>0</v>
      </c>
      <c r="WU43" s="15">
        <v>1</v>
      </c>
      <c r="WV43" s="15">
        <v>0</v>
      </c>
      <c r="WW43" s="15">
        <v>1</v>
      </c>
      <c r="WX43" s="15">
        <v>0</v>
      </c>
      <c r="WY43" s="15">
        <v>1</v>
      </c>
      <c r="WZ43" s="15">
        <v>1</v>
      </c>
      <c r="XA43" s="15">
        <v>0</v>
      </c>
      <c r="XB43" s="15">
        <v>1</v>
      </c>
      <c r="XC43" s="15">
        <v>0</v>
      </c>
      <c r="XD43" s="15">
        <v>1</v>
      </c>
      <c r="XE43" s="15">
        <v>0</v>
      </c>
      <c r="XF43" s="15">
        <v>1</v>
      </c>
      <c r="XG43" s="15">
        <v>0</v>
      </c>
      <c r="XH43" s="15">
        <v>1</v>
      </c>
      <c r="XI43" s="15">
        <v>0</v>
      </c>
      <c r="XJ43" s="15">
        <v>0</v>
      </c>
      <c r="XK43" s="15">
        <v>0</v>
      </c>
      <c r="XL43" s="15">
        <v>0</v>
      </c>
      <c r="XM43" s="15">
        <v>0</v>
      </c>
      <c r="XN43" s="15">
        <v>0</v>
      </c>
      <c r="XO43" s="15">
        <v>0</v>
      </c>
      <c r="XP43" s="15">
        <v>0</v>
      </c>
      <c r="XQ43" s="15">
        <v>0</v>
      </c>
      <c r="XR43" s="15">
        <v>0</v>
      </c>
      <c r="XS43" s="15">
        <v>0</v>
      </c>
      <c r="XT43" s="15">
        <v>0</v>
      </c>
      <c r="XU43" s="15">
        <v>0</v>
      </c>
      <c r="XV43" s="15">
        <v>0</v>
      </c>
      <c r="XW43" s="15">
        <v>0</v>
      </c>
      <c r="XX43" s="15">
        <v>0</v>
      </c>
      <c r="XY43" s="15">
        <v>0</v>
      </c>
      <c r="XZ43" s="15">
        <v>0</v>
      </c>
      <c r="YA43" s="15">
        <v>0</v>
      </c>
      <c r="YB43" s="15">
        <v>0</v>
      </c>
      <c r="YC43" s="15">
        <v>0</v>
      </c>
      <c r="YD43" s="15">
        <v>0</v>
      </c>
      <c r="YE43" s="15">
        <v>0</v>
      </c>
      <c r="YF43" s="15">
        <v>0</v>
      </c>
      <c r="YG43" s="15">
        <v>0</v>
      </c>
      <c r="YH43" s="15">
        <v>0</v>
      </c>
      <c r="YI43" s="15">
        <v>0</v>
      </c>
      <c r="YJ43" s="15">
        <v>0</v>
      </c>
      <c r="YK43" s="15">
        <v>0</v>
      </c>
      <c r="YL43" s="15">
        <v>0</v>
      </c>
      <c r="YM43" s="15">
        <v>0</v>
      </c>
      <c r="YN43" s="15">
        <v>0</v>
      </c>
      <c r="YO43" s="15">
        <v>0</v>
      </c>
      <c r="YP43" s="15">
        <v>0</v>
      </c>
      <c r="YQ43" s="15">
        <v>0</v>
      </c>
      <c r="YR43" s="15">
        <v>0</v>
      </c>
      <c r="YS43" s="15">
        <v>0</v>
      </c>
      <c r="YT43" s="15">
        <v>0</v>
      </c>
      <c r="YU43" s="15">
        <v>0</v>
      </c>
      <c r="YV43" s="15">
        <v>0</v>
      </c>
      <c r="YW43" s="15">
        <v>0</v>
      </c>
      <c r="YX43" s="15">
        <v>0</v>
      </c>
      <c r="YY43" s="15">
        <v>0</v>
      </c>
      <c r="YZ43" s="15">
        <v>0</v>
      </c>
      <c r="ZA43" s="15">
        <v>0</v>
      </c>
      <c r="ZB43" s="15">
        <v>0</v>
      </c>
      <c r="ZC43" s="15">
        <v>0</v>
      </c>
      <c r="ZD43" s="15">
        <v>0</v>
      </c>
      <c r="ZE43" s="15">
        <v>0</v>
      </c>
      <c r="ZF43" s="15">
        <v>0</v>
      </c>
      <c r="ZG43" s="15">
        <v>0</v>
      </c>
      <c r="ZH43" s="15">
        <v>0</v>
      </c>
      <c r="ZI43" s="15">
        <v>0</v>
      </c>
      <c r="ZJ43" s="15">
        <v>0</v>
      </c>
      <c r="ZK43" s="15">
        <v>0</v>
      </c>
      <c r="ZL43" s="15">
        <v>0</v>
      </c>
      <c r="ZM43" s="15">
        <v>0</v>
      </c>
      <c r="ZN43" s="15">
        <v>0</v>
      </c>
      <c r="ZO43" s="15">
        <v>0</v>
      </c>
      <c r="ZP43" s="15">
        <v>0</v>
      </c>
      <c r="ZQ43" s="15">
        <v>1</v>
      </c>
      <c r="ZR43" s="15">
        <v>0</v>
      </c>
      <c r="ZS43" s="15">
        <v>0</v>
      </c>
      <c r="ZT43" s="15">
        <v>0</v>
      </c>
      <c r="ZU43" s="15">
        <v>0</v>
      </c>
      <c r="ZV43" s="15">
        <v>0</v>
      </c>
      <c r="ZW43" s="15">
        <v>0</v>
      </c>
      <c r="ZX43" s="15">
        <v>1</v>
      </c>
      <c r="ZY43" s="15">
        <v>0</v>
      </c>
      <c r="ZZ43" s="15">
        <v>0</v>
      </c>
      <c r="AAA43" s="15">
        <v>0</v>
      </c>
      <c r="AAB43" s="15">
        <v>0</v>
      </c>
      <c r="AAC43" s="15">
        <v>0</v>
      </c>
      <c r="AAD43" s="15">
        <v>0</v>
      </c>
      <c r="AAE43" s="15">
        <v>0</v>
      </c>
      <c r="AAF43" s="15">
        <v>0</v>
      </c>
      <c r="AAG43" s="15">
        <v>0</v>
      </c>
      <c r="AAH43" s="15">
        <v>0</v>
      </c>
      <c r="AAI43" s="15">
        <v>0</v>
      </c>
      <c r="AAJ43" s="15">
        <v>0</v>
      </c>
      <c r="AAK43" s="15">
        <v>0</v>
      </c>
      <c r="AAL43" s="15"/>
      <c r="AAM43" s="15">
        <v>0</v>
      </c>
      <c r="AAN43" s="15">
        <v>0</v>
      </c>
      <c r="AAO43" s="15">
        <v>0</v>
      </c>
      <c r="AAP43" s="15">
        <v>0</v>
      </c>
      <c r="AAQ43" s="15">
        <v>0</v>
      </c>
      <c r="AAR43" s="15">
        <v>0</v>
      </c>
      <c r="AAS43" s="15">
        <v>0</v>
      </c>
      <c r="AAT43" s="15">
        <v>0</v>
      </c>
      <c r="AAU43" s="15">
        <v>0</v>
      </c>
      <c r="AAV43" s="15">
        <v>0</v>
      </c>
      <c r="AAW43" s="15">
        <v>0</v>
      </c>
      <c r="AAX43" s="15"/>
      <c r="AAY43" s="15">
        <v>0</v>
      </c>
      <c r="AAZ43" s="15">
        <v>0</v>
      </c>
      <c r="ABA43" s="15">
        <v>0</v>
      </c>
      <c r="ABB43" s="15">
        <v>0</v>
      </c>
      <c r="ABC43" s="15">
        <v>0</v>
      </c>
      <c r="ABD43" s="15">
        <v>0</v>
      </c>
      <c r="ABE43" s="15">
        <v>0</v>
      </c>
      <c r="ABF43" s="15">
        <v>0</v>
      </c>
      <c r="ABG43" s="15">
        <v>0</v>
      </c>
      <c r="ABH43" s="15">
        <v>0</v>
      </c>
      <c r="ABI43" s="15">
        <v>0</v>
      </c>
      <c r="ABJ43" s="15">
        <v>0</v>
      </c>
      <c r="ABK43" s="15">
        <v>0</v>
      </c>
      <c r="ABL43" s="15">
        <v>0</v>
      </c>
      <c r="ABM43" s="15">
        <v>0</v>
      </c>
      <c r="ABN43" s="15">
        <v>0</v>
      </c>
      <c r="ABO43" s="15">
        <v>0</v>
      </c>
      <c r="ABP43" s="15">
        <v>0</v>
      </c>
      <c r="ABQ43" s="15">
        <v>1</v>
      </c>
      <c r="ABR43" s="15">
        <v>0</v>
      </c>
      <c r="ABS43" s="15">
        <v>0</v>
      </c>
      <c r="ABT43" s="15">
        <v>1</v>
      </c>
      <c r="ABU43" s="15">
        <v>0</v>
      </c>
      <c r="ABV43" s="15">
        <v>1</v>
      </c>
      <c r="ABW43" s="15">
        <v>0</v>
      </c>
      <c r="ABX43" s="15">
        <v>1</v>
      </c>
      <c r="ABY43" s="15">
        <v>0</v>
      </c>
      <c r="ABZ43" s="15">
        <v>1</v>
      </c>
      <c r="ACA43" s="15">
        <v>1</v>
      </c>
      <c r="ACB43" s="15">
        <v>0</v>
      </c>
      <c r="ACC43" s="15">
        <v>1</v>
      </c>
      <c r="ACD43" s="15">
        <v>1</v>
      </c>
      <c r="ACE43" s="15">
        <v>0</v>
      </c>
      <c r="ACF43" s="15">
        <v>1</v>
      </c>
      <c r="ACG43" s="15">
        <v>0</v>
      </c>
      <c r="ACH43" s="15">
        <v>0</v>
      </c>
      <c r="ACI43" s="15">
        <v>0</v>
      </c>
      <c r="ACJ43" s="15">
        <v>0</v>
      </c>
      <c r="ACK43" s="15">
        <v>0</v>
      </c>
      <c r="ACL43" s="15">
        <v>0</v>
      </c>
      <c r="ACM43" s="15">
        <v>0</v>
      </c>
      <c r="ACN43" s="15">
        <v>0</v>
      </c>
      <c r="ACO43" s="15">
        <v>0</v>
      </c>
      <c r="ACP43" s="15">
        <v>0</v>
      </c>
      <c r="ACQ43" s="15">
        <v>0</v>
      </c>
      <c r="ACR43" s="15">
        <v>0</v>
      </c>
      <c r="ACS43" s="15">
        <v>0</v>
      </c>
      <c r="ACT43" s="15">
        <v>0</v>
      </c>
      <c r="ACU43" s="15">
        <v>0</v>
      </c>
      <c r="ACV43" s="15">
        <v>0</v>
      </c>
      <c r="ACW43" s="15">
        <v>0</v>
      </c>
      <c r="ACX43" s="15">
        <v>0</v>
      </c>
      <c r="ACY43" s="15">
        <v>0</v>
      </c>
      <c r="ACZ43" s="15">
        <v>0</v>
      </c>
      <c r="ADA43" s="15">
        <v>0</v>
      </c>
      <c r="ADB43" s="15">
        <v>0</v>
      </c>
      <c r="ADC43" s="15">
        <v>0</v>
      </c>
      <c r="ADD43" s="15">
        <v>0</v>
      </c>
      <c r="ADE43" s="15">
        <v>0</v>
      </c>
      <c r="ADF43" s="15">
        <v>0</v>
      </c>
      <c r="ADG43" s="15">
        <v>0</v>
      </c>
      <c r="ADH43" s="15"/>
      <c r="ADI43" s="15">
        <v>0</v>
      </c>
      <c r="ADJ43" s="15">
        <v>0</v>
      </c>
      <c r="ADK43" s="15">
        <v>0</v>
      </c>
      <c r="ADL43" s="15">
        <v>0</v>
      </c>
      <c r="ADM43" s="15">
        <v>0</v>
      </c>
      <c r="ADN43" s="15">
        <v>0</v>
      </c>
      <c r="ADO43" s="15">
        <v>0</v>
      </c>
      <c r="ADP43" s="15">
        <v>0</v>
      </c>
      <c r="ADQ43" s="15">
        <v>0</v>
      </c>
      <c r="ADR43" s="15">
        <v>0</v>
      </c>
      <c r="ADS43" s="15">
        <v>0</v>
      </c>
      <c r="ADT43" s="15">
        <v>0</v>
      </c>
      <c r="ADU43" s="15">
        <v>0</v>
      </c>
      <c r="ADV43" s="15">
        <v>0</v>
      </c>
      <c r="ADW43" s="15">
        <v>0</v>
      </c>
      <c r="ADX43" s="15">
        <v>0</v>
      </c>
      <c r="ADY43" s="15">
        <v>0</v>
      </c>
      <c r="ADZ43" s="15">
        <v>0</v>
      </c>
      <c r="AEA43" s="15">
        <v>1</v>
      </c>
      <c r="AEB43" s="15">
        <v>0</v>
      </c>
      <c r="AEC43" s="15">
        <v>0</v>
      </c>
      <c r="AED43" s="15">
        <v>1</v>
      </c>
      <c r="AEE43" s="15">
        <v>0</v>
      </c>
      <c r="AEF43" s="15">
        <v>1</v>
      </c>
      <c r="AEG43" s="15">
        <v>0</v>
      </c>
      <c r="AEH43" s="15">
        <v>1</v>
      </c>
      <c r="AEI43" s="15">
        <v>0</v>
      </c>
      <c r="AEJ43" s="15">
        <v>1</v>
      </c>
      <c r="AEK43" s="15">
        <v>1</v>
      </c>
      <c r="AEL43" s="15">
        <v>0</v>
      </c>
      <c r="AEM43" s="15">
        <v>1</v>
      </c>
      <c r="AEN43" s="15">
        <v>1</v>
      </c>
      <c r="AEO43" s="15">
        <v>0</v>
      </c>
      <c r="AEP43" s="15">
        <v>1</v>
      </c>
      <c r="AEQ43" s="15">
        <v>0</v>
      </c>
      <c r="AER43" s="15">
        <v>0</v>
      </c>
      <c r="AES43" s="15">
        <v>0</v>
      </c>
      <c r="AET43" s="15">
        <v>0</v>
      </c>
      <c r="AEU43" s="15">
        <v>0</v>
      </c>
      <c r="AEV43" s="15">
        <v>0</v>
      </c>
      <c r="AEW43" s="15">
        <v>0</v>
      </c>
      <c r="AEX43" s="15">
        <v>0</v>
      </c>
      <c r="AEY43" s="15">
        <v>0</v>
      </c>
      <c r="AEZ43" s="15">
        <v>0</v>
      </c>
      <c r="AFA43" s="15">
        <v>0</v>
      </c>
      <c r="AFB43" s="15">
        <v>0</v>
      </c>
      <c r="AFC43" s="15">
        <v>0</v>
      </c>
      <c r="AFD43" s="15">
        <v>0</v>
      </c>
      <c r="AFE43" s="15">
        <v>0</v>
      </c>
      <c r="AFF43" s="15">
        <v>0</v>
      </c>
      <c r="AFG43" s="15">
        <v>0</v>
      </c>
      <c r="AFH43" s="15">
        <v>0</v>
      </c>
      <c r="AFI43" s="15">
        <v>0</v>
      </c>
      <c r="AFJ43" s="15">
        <v>0</v>
      </c>
      <c r="AFK43" s="15">
        <v>0</v>
      </c>
      <c r="AFL43" s="15">
        <v>0</v>
      </c>
      <c r="AFM43" s="15">
        <v>0</v>
      </c>
      <c r="AFN43" s="15">
        <v>0</v>
      </c>
      <c r="AFO43" s="15">
        <v>0</v>
      </c>
      <c r="AFP43" s="15">
        <v>0</v>
      </c>
      <c r="AFQ43" s="15">
        <v>0</v>
      </c>
      <c r="AFR43" s="15"/>
      <c r="AFS43" s="15">
        <v>0</v>
      </c>
      <c r="AFT43" s="15">
        <v>0</v>
      </c>
      <c r="AFU43" s="15">
        <v>0</v>
      </c>
      <c r="AFV43" s="15">
        <v>0</v>
      </c>
      <c r="AFW43" s="15">
        <v>0</v>
      </c>
      <c r="AFX43" s="15">
        <v>0</v>
      </c>
      <c r="AFY43" s="15">
        <v>0</v>
      </c>
      <c r="AFZ43" s="15">
        <v>0</v>
      </c>
      <c r="AGA43" s="15">
        <v>0</v>
      </c>
      <c r="AGB43" s="15">
        <v>0</v>
      </c>
      <c r="AGC43" s="15">
        <v>0</v>
      </c>
      <c r="AGD43" s="15">
        <v>1</v>
      </c>
      <c r="AGE43" s="15">
        <v>0</v>
      </c>
      <c r="AGF43" s="15">
        <v>0</v>
      </c>
      <c r="AGG43" s="15">
        <v>0</v>
      </c>
      <c r="AGH43" s="15">
        <v>0</v>
      </c>
      <c r="AGI43" s="15">
        <v>0</v>
      </c>
      <c r="AGJ43" s="15">
        <v>0</v>
      </c>
      <c r="AGK43" s="15">
        <v>1</v>
      </c>
      <c r="AGL43" s="15">
        <v>0</v>
      </c>
      <c r="AGM43" s="15">
        <v>0</v>
      </c>
      <c r="AGN43" s="15">
        <v>0</v>
      </c>
      <c r="AGO43" s="15">
        <v>0</v>
      </c>
      <c r="AGP43" s="15">
        <v>0</v>
      </c>
      <c r="AGQ43" s="15">
        <v>0</v>
      </c>
      <c r="AGR43" s="15">
        <v>0</v>
      </c>
      <c r="AGS43" s="15">
        <v>0</v>
      </c>
      <c r="AGT43" s="15">
        <v>1</v>
      </c>
      <c r="AGU43" s="15">
        <v>0</v>
      </c>
      <c r="AGV43" s="15">
        <v>0</v>
      </c>
      <c r="AGW43" s="15">
        <v>0</v>
      </c>
      <c r="AGX43" s="15">
        <v>0</v>
      </c>
      <c r="AGY43" s="15">
        <v>0</v>
      </c>
      <c r="AGZ43" s="15">
        <v>0</v>
      </c>
      <c r="AHA43" s="15">
        <v>0</v>
      </c>
      <c r="AHB43" s="15">
        <v>0</v>
      </c>
      <c r="AHC43" s="15">
        <v>0</v>
      </c>
      <c r="AHD43" s="15">
        <v>0</v>
      </c>
      <c r="AHE43" s="15">
        <v>0</v>
      </c>
      <c r="AHF43" s="15">
        <v>0</v>
      </c>
      <c r="AHG43" s="15">
        <v>0</v>
      </c>
      <c r="AHH43" s="15">
        <v>0</v>
      </c>
      <c r="AHI43" s="15">
        <v>0</v>
      </c>
      <c r="AHJ43" s="15">
        <v>0</v>
      </c>
      <c r="AHK43" s="15">
        <v>0</v>
      </c>
      <c r="AHL43" s="15">
        <v>0</v>
      </c>
      <c r="AHM43" s="15">
        <v>0</v>
      </c>
      <c r="AHN43" s="15">
        <v>0</v>
      </c>
      <c r="AHO43" s="15">
        <v>0</v>
      </c>
      <c r="AHP43" s="15">
        <v>0</v>
      </c>
      <c r="AHQ43" s="15">
        <v>0</v>
      </c>
      <c r="AHR43" s="15">
        <v>0</v>
      </c>
      <c r="AHS43" s="15">
        <v>0</v>
      </c>
      <c r="AHT43" s="15">
        <v>0</v>
      </c>
      <c r="AHU43" s="15">
        <v>0</v>
      </c>
      <c r="AHV43" s="15">
        <v>0</v>
      </c>
      <c r="AHW43" s="15">
        <v>0</v>
      </c>
      <c r="AHX43" s="15">
        <v>0</v>
      </c>
      <c r="AHY43" s="15">
        <v>0</v>
      </c>
      <c r="AHZ43" s="15">
        <v>0</v>
      </c>
      <c r="AIA43" s="15">
        <v>0</v>
      </c>
      <c r="AIB43" s="15">
        <v>0</v>
      </c>
      <c r="AIC43" s="15">
        <v>0</v>
      </c>
      <c r="AID43" s="15">
        <v>0</v>
      </c>
      <c r="AIE43" s="15">
        <v>0</v>
      </c>
      <c r="AIF43" s="15">
        <v>0</v>
      </c>
      <c r="AIG43" s="15">
        <v>0</v>
      </c>
      <c r="AIH43" s="15">
        <v>0</v>
      </c>
      <c r="AII43" s="15">
        <v>0</v>
      </c>
      <c r="AIJ43" s="15">
        <v>0</v>
      </c>
      <c r="AIK43" s="15">
        <v>0</v>
      </c>
      <c r="AIL43" s="15">
        <v>0</v>
      </c>
      <c r="AIM43" s="15">
        <v>0</v>
      </c>
      <c r="AIN43" s="15">
        <v>0</v>
      </c>
      <c r="AIO43" s="15">
        <v>0</v>
      </c>
      <c r="AIP43" s="15">
        <v>0</v>
      </c>
      <c r="AIQ43" s="15">
        <v>0</v>
      </c>
      <c r="AIR43" s="15">
        <v>0</v>
      </c>
      <c r="AIS43" s="15">
        <v>0</v>
      </c>
      <c r="AIT43" s="15">
        <v>0</v>
      </c>
      <c r="AIU43" s="15">
        <v>0</v>
      </c>
      <c r="AIV43" s="15">
        <v>0</v>
      </c>
      <c r="AIW43" s="15">
        <v>0</v>
      </c>
      <c r="AIX43" s="15">
        <v>0</v>
      </c>
      <c r="AIY43" s="15">
        <v>0</v>
      </c>
      <c r="AIZ43" s="15">
        <v>0</v>
      </c>
      <c r="AJA43" s="15">
        <v>0</v>
      </c>
      <c r="AJB43" s="15">
        <v>0</v>
      </c>
      <c r="AJC43" s="15">
        <v>0</v>
      </c>
      <c r="AJD43" s="15">
        <v>0</v>
      </c>
      <c r="AJE43" s="15">
        <v>0</v>
      </c>
      <c r="AJF43" s="15"/>
      <c r="AJG43" s="15">
        <v>0</v>
      </c>
      <c r="AJH43" s="15">
        <v>0</v>
      </c>
      <c r="AJI43" s="15">
        <v>0</v>
      </c>
      <c r="AJJ43" s="15">
        <v>0</v>
      </c>
      <c r="AJK43" s="15">
        <v>0</v>
      </c>
      <c r="AJL43" s="15">
        <v>0</v>
      </c>
      <c r="AJM43" s="15">
        <v>0</v>
      </c>
      <c r="AJN43" s="15"/>
      <c r="AJO43" s="15">
        <v>0</v>
      </c>
      <c r="AJP43" s="15">
        <v>0</v>
      </c>
      <c r="AJQ43" s="15">
        <v>0</v>
      </c>
      <c r="AJR43" s="15">
        <v>0</v>
      </c>
      <c r="AJS43" s="15">
        <v>0</v>
      </c>
      <c r="AJT43" s="15">
        <v>0</v>
      </c>
      <c r="AJU43" s="15">
        <v>0</v>
      </c>
      <c r="AJV43" s="15">
        <v>0</v>
      </c>
      <c r="AJW43" s="15">
        <v>0</v>
      </c>
      <c r="AJX43" s="15"/>
      <c r="AJY43" s="15">
        <v>0</v>
      </c>
      <c r="AJZ43" s="15">
        <v>0</v>
      </c>
      <c r="AKA43" s="15">
        <v>0</v>
      </c>
      <c r="AKB43" s="15">
        <v>0</v>
      </c>
      <c r="AKC43" s="15">
        <v>0</v>
      </c>
      <c r="AKD43" s="15">
        <v>0</v>
      </c>
      <c r="AKE43" s="15">
        <v>0</v>
      </c>
      <c r="AKF43" s="15">
        <v>0</v>
      </c>
      <c r="AKG43" s="15">
        <v>0</v>
      </c>
      <c r="AKH43" s="15">
        <v>0</v>
      </c>
      <c r="AKI43" s="15"/>
      <c r="AKJ43" s="15">
        <v>0</v>
      </c>
      <c r="AKK43" s="15">
        <v>0</v>
      </c>
      <c r="AKL43" s="15">
        <v>0</v>
      </c>
      <c r="AKM43" s="15">
        <v>0</v>
      </c>
      <c r="AKN43" s="15">
        <v>0</v>
      </c>
      <c r="AKO43" s="15">
        <v>0</v>
      </c>
      <c r="AKP43" s="15">
        <v>0</v>
      </c>
      <c r="AKQ43" s="15">
        <v>0</v>
      </c>
      <c r="AKR43" s="15">
        <v>0</v>
      </c>
      <c r="AKS43" s="15">
        <v>0</v>
      </c>
      <c r="AKT43" s="15">
        <v>0</v>
      </c>
      <c r="AKU43" s="15">
        <v>0</v>
      </c>
      <c r="AKV43" s="15">
        <v>0</v>
      </c>
      <c r="AKW43" s="15">
        <v>0</v>
      </c>
      <c r="AKX43" s="15"/>
      <c r="AKY43" s="15">
        <v>0</v>
      </c>
      <c r="AKZ43" s="15">
        <v>0</v>
      </c>
      <c r="ALA43" s="15">
        <v>0</v>
      </c>
      <c r="ALB43" s="15">
        <v>0</v>
      </c>
      <c r="ALC43" s="15">
        <v>0</v>
      </c>
      <c r="ALD43" s="15">
        <v>0</v>
      </c>
      <c r="ALE43" s="15">
        <v>0</v>
      </c>
      <c r="ALF43" s="15">
        <v>0</v>
      </c>
      <c r="ALG43" s="15">
        <v>0</v>
      </c>
      <c r="ALH43" s="15">
        <v>0</v>
      </c>
      <c r="ALI43" s="15">
        <v>0</v>
      </c>
      <c r="ALJ43" s="15">
        <v>0</v>
      </c>
      <c r="ALK43" s="15">
        <v>0</v>
      </c>
      <c r="ALL43" s="15">
        <v>0</v>
      </c>
      <c r="ALM43" s="15"/>
      <c r="ALN43" s="15">
        <v>0</v>
      </c>
      <c r="ALO43" s="15">
        <v>0</v>
      </c>
      <c r="ALP43" s="15">
        <v>0</v>
      </c>
      <c r="ALQ43" s="15">
        <v>0</v>
      </c>
      <c r="ALR43" s="15">
        <v>0</v>
      </c>
      <c r="ALS43" s="15">
        <v>0</v>
      </c>
      <c r="ALT43" s="15">
        <v>0</v>
      </c>
      <c r="ALU43" s="15">
        <v>0</v>
      </c>
      <c r="ALV43" s="15">
        <v>0</v>
      </c>
      <c r="ALW43" s="15">
        <v>0</v>
      </c>
      <c r="ALX43" s="15">
        <v>0</v>
      </c>
      <c r="ALY43" s="15">
        <v>0</v>
      </c>
      <c r="ALZ43" s="15">
        <v>0</v>
      </c>
      <c r="AMA43" s="15">
        <v>0</v>
      </c>
      <c r="AMB43" s="15">
        <v>0</v>
      </c>
      <c r="AMC43" s="15"/>
      <c r="AMD43" s="15">
        <v>0</v>
      </c>
      <c r="AME43" s="15">
        <v>0</v>
      </c>
      <c r="AMF43" s="15">
        <v>0</v>
      </c>
      <c r="AMG43" s="15">
        <v>0</v>
      </c>
      <c r="AMH43" s="15">
        <v>0</v>
      </c>
      <c r="AMI43" s="15">
        <v>0</v>
      </c>
      <c r="AMJ43" s="15">
        <v>0</v>
      </c>
      <c r="AMK43" s="15">
        <v>0</v>
      </c>
      <c r="AML43" s="15">
        <v>0</v>
      </c>
      <c r="AMM43" s="15">
        <v>0</v>
      </c>
      <c r="AMN43" s="15">
        <v>0</v>
      </c>
      <c r="AMO43" s="15">
        <v>0</v>
      </c>
      <c r="AMP43" s="15">
        <v>0</v>
      </c>
      <c r="AMQ43" s="15">
        <v>0</v>
      </c>
      <c r="AMR43" s="15">
        <v>0</v>
      </c>
      <c r="AMS43" s="15">
        <v>0</v>
      </c>
      <c r="AMT43" s="15">
        <v>0</v>
      </c>
      <c r="AMU43" s="15">
        <v>0</v>
      </c>
      <c r="AMV43" s="15">
        <v>0</v>
      </c>
      <c r="AMW43" s="15">
        <v>0</v>
      </c>
      <c r="AMX43" s="15">
        <v>0</v>
      </c>
      <c r="AMY43" s="15">
        <v>0</v>
      </c>
      <c r="AMZ43" s="15">
        <v>0</v>
      </c>
      <c r="ANA43" s="15">
        <v>0</v>
      </c>
      <c r="ANB43" s="15">
        <v>0</v>
      </c>
      <c r="ANC43" s="15">
        <v>0</v>
      </c>
      <c r="AND43" s="15">
        <v>0</v>
      </c>
      <c r="ANE43" s="15"/>
      <c r="ANF43" s="15"/>
      <c r="ANG43" s="15"/>
      <c r="ANH43" s="15"/>
      <c r="ANI43" s="15"/>
      <c r="ANJ43" s="15"/>
      <c r="ANK43" s="15"/>
      <c r="ANL43" s="15"/>
      <c r="ANM43" s="15"/>
      <c r="ANN43" s="15"/>
      <c r="ANO43" s="15"/>
      <c r="ANP43" s="15"/>
      <c r="ANQ43" s="15"/>
      <c r="ANR43" s="15"/>
      <c r="ANS43" s="15"/>
      <c r="ANT43" s="15"/>
      <c r="ANU43" s="15"/>
      <c r="ANV43" s="15"/>
      <c r="ANW43" s="15"/>
      <c r="ANX43" s="15"/>
      <c r="ANY43" s="15"/>
      <c r="ANZ43" s="15"/>
      <c r="AOA43" s="15"/>
      <c r="AOB43" s="15"/>
      <c r="AOC43" s="15"/>
      <c r="AOD43" s="15"/>
      <c r="AOE43" s="15"/>
      <c r="AOF43" s="15"/>
      <c r="AOG43" s="15"/>
      <c r="AOH43" s="15"/>
      <c r="AOI43" s="15"/>
      <c r="AOJ43" s="15"/>
      <c r="AOK43" s="15"/>
      <c r="AOL43" s="15"/>
      <c r="AOM43" s="15"/>
      <c r="AON43" s="15"/>
      <c r="AOO43" s="15"/>
      <c r="AOP43" s="15"/>
      <c r="AOQ43" s="15"/>
      <c r="AOR43" s="15"/>
      <c r="AOS43" s="15"/>
      <c r="AOT43" s="15"/>
      <c r="AOU43" s="15"/>
      <c r="AOV43" s="15"/>
      <c r="AOW43" s="15"/>
      <c r="AOX43" s="15"/>
      <c r="AOY43" s="15"/>
      <c r="AOZ43" s="15"/>
      <c r="APA43" s="15"/>
      <c r="APB43" s="15"/>
      <c r="APC43" s="15"/>
      <c r="APD43" s="15"/>
      <c r="APE43" s="15"/>
      <c r="APF43" s="15"/>
      <c r="APG43" s="15"/>
      <c r="APH43" s="15"/>
      <c r="API43" s="15"/>
      <c r="APJ43" s="15"/>
      <c r="APK43" s="15"/>
      <c r="APL43" s="15"/>
      <c r="APM43" s="15"/>
      <c r="APN43" s="15"/>
      <c r="APO43" s="15"/>
      <c r="APP43" s="15"/>
      <c r="APQ43" s="15"/>
      <c r="APR43" s="15"/>
      <c r="APS43" s="15"/>
      <c r="APT43" s="15"/>
      <c r="APU43" s="15"/>
      <c r="APV43" s="15"/>
      <c r="APW43" s="15"/>
      <c r="APX43" s="15"/>
      <c r="APY43" s="15"/>
      <c r="APZ43" s="15"/>
      <c r="AQA43" s="15"/>
      <c r="AQB43" s="15"/>
    </row>
    <row r="44" spans="1:1120" s="17" customFormat="1" ht="15" customHeight="1" x14ac:dyDescent="0.25">
      <c r="A44" s="3" t="s">
        <v>2</v>
      </c>
      <c r="B44" s="6" t="s">
        <v>83</v>
      </c>
      <c r="C44" s="15"/>
      <c r="D44" s="15">
        <v>0</v>
      </c>
      <c r="E44" s="15">
        <v>0</v>
      </c>
      <c r="F44" s="15">
        <v>0</v>
      </c>
      <c r="G44" s="15">
        <v>0</v>
      </c>
      <c r="H44" s="15">
        <v>0</v>
      </c>
      <c r="I44" s="15">
        <v>0</v>
      </c>
      <c r="J44" s="15"/>
      <c r="K44" s="15">
        <v>0</v>
      </c>
      <c r="L44" s="15">
        <v>0</v>
      </c>
      <c r="M44" s="15">
        <v>0</v>
      </c>
      <c r="N44" s="15">
        <v>0</v>
      </c>
      <c r="O44" s="15">
        <v>0</v>
      </c>
      <c r="P44" s="15">
        <v>0</v>
      </c>
      <c r="Q44" s="15"/>
      <c r="R44" s="15">
        <v>0</v>
      </c>
      <c r="S44" s="15">
        <v>0</v>
      </c>
      <c r="T44" s="15">
        <v>0</v>
      </c>
      <c r="U44" s="15">
        <v>0</v>
      </c>
      <c r="V44" s="15">
        <v>0</v>
      </c>
      <c r="W44" s="15">
        <v>0</v>
      </c>
      <c r="X44" s="15"/>
      <c r="Y44" s="15">
        <v>0</v>
      </c>
      <c r="Z44" s="15">
        <v>0</v>
      </c>
      <c r="AA44" s="15">
        <v>0</v>
      </c>
      <c r="AB44" s="15">
        <v>0</v>
      </c>
      <c r="AC44" s="15">
        <v>0</v>
      </c>
      <c r="AD44" s="15">
        <v>0</v>
      </c>
      <c r="AE44" s="15"/>
      <c r="AF44" s="15">
        <v>0</v>
      </c>
      <c r="AG44" s="15">
        <v>0</v>
      </c>
      <c r="AH44" s="15">
        <v>0</v>
      </c>
      <c r="AI44" s="15">
        <v>0</v>
      </c>
      <c r="AJ44" s="15">
        <v>0</v>
      </c>
      <c r="AK44" s="15">
        <v>0</v>
      </c>
      <c r="AL44" s="15"/>
      <c r="AM44" s="15">
        <v>0</v>
      </c>
      <c r="AN44" s="15">
        <v>0</v>
      </c>
      <c r="AO44" s="15">
        <v>0</v>
      </c>
      <c r="AP44" s="15">
        <v>0</v>
      </c>
      <c r="AQ44" s="15">
        <v>0</v>
      </c>
      <c r="AR44" s="15">
        <v>0</v>
      </c>
      <c r="AS44" s="15">
        <v>0</v>
      </c>
      <c r="AT44" s="15">
        <v>0</v>
      </c>
      <c r="AU44" s="15">
        <v>0</v>
      </c>
      <c r="AV44" s="15">
        <v>0</v>
      </c>
      <c r="AW44" s="15">
        <v>0</v>
      </c>
      <c r="AX44" s="15">
        <v>0</v>
      </c>
      <c r="AY44" s="15">
        <v>0</v>
      </c>
      <c r="AZ44" s="15">
        <v>0</v>
      </c>
      <c r="BA44" s="15">
        <v>0</v>
      </c>
      <c r="BB44" s="15">
        <v>0</v>
      </c>
      <c r="BC44" s="15">
        <v>0</v>
      </c>
      <c r="BD44" s="15">
        <v>0</v>
      </c>
      <c r="BE44" s="15">
        <v>0</v>
      </c>
      <c r="BF44" s="15">
        <v>0</v>
      </c>
      <c r="BG44" s="15">
        <v>0</v>
      </c>
      <c r="BH44" s="15">
        <v>0</v>
      </c>
      <c r="BI44" s="15">
        <v>0</v>
      </c>
      <c r="BJ44" s="15">
        <v>0</v>
      </c>
      <c r="BK44" s="15">
        <v>0</v>
      </c>
      <c r="BL44" s="15">
        <v>0</v>
      </c>
      <c r="BM44" s="15">
        <v>0</v>
      </c>
      <c r="BN44" s="15">
        <v>0</v>
      </c>
      <c r="BO44" s="15">
        <v>0</v>
      </c>
      <c r="BP44" s="15">
        <v>0</v>
      </c>
      <c r="BQ44" s="15">
        <v>0</v>
      </c>
      <c r="BR44" s="15">
        <v>0</v>
      </c>
      <c r="BS44" s="15">
        <v>0</v>
      </c>
      <c r="BT44" s="15">
        <v>0</v>
      </c>
      <c r="BU44" s="15">
        <v>0</v>
      </c>
      <c r="BV44" s="15">
        <v>0</v>
      </c>
      <c r="BW44" s="15">
        <v>0</v>
      </c>
      <c r="BX44" s="15">
        <v>0</v>
      </c>
      <c r="BY44" s="15">
        <v>0</v>
      </c>
      <c r="BZ44" s="15">
        <v>0</v>
      </c>
      <c r="CA44" s="15">
        <v>0</v>
      </c>
      <c r="CB44" s="15">
        <v>0</v>
      </c>
      <c r="CC44" s="15">
        <v>0</v>
      </c>
      <c r="CD44" s="15">
        <v>0</v>
      </c>
      <c r="CE44" s="15">
        <v>0</v>
      </c>
      <c r="CF44" s="15">
        <v>0</v>
      </c>
      <c r="CG44" s="15">
        <v>0</v>
      </c>
      <c r="CH44" s="15">
        <v>0</v>
      </c>
      <c r="CI44" s="15">
        <v>0</v>
      </c>
      <c r="CJ44" s="15">
        <v>0</v>
      </c>
      <c r="CK44" s="15">
        <v>0</v>
      </c>
      <c r="CL44" s="15">
        <v>0</v>
      </c>
      <c r="CM44" s="15">
        <v>0</v>
      </c>
      <c r="CN44" s="15">
        <v>0</v>
      </c>
      <c r="CO44" s="15">
        <v>0</v>
      </c>
      <c r="CP44" s="15">
        <v>0</v>
      </c>
      <c r="CQ44" s="15">
        <v>0</v>
      </c>
      <c r="CR44" s="15">
        <v>0</v>
      </c>
      <c r="CS44" s="15">
        <v>0</v>
      </c>
      <c r="CT44" s="15">
        <v>0</v>
      </c>
      <c r="CU44" s="15">
        <v>0</v>
      </c>
      <c r="CV44" s="15">
        <v>0</v>
      </c>
      <c r="CW44" s="15">
        <v>0</v>
      </c>
      <c r="CX44" s="15">
        <v>0</v>
      </c>
      <c r="CY44" s="15">
        <v>0</v>
      </c>
      <c r="CZ44" s="15">
        <v>0</v>
      </c>
      <c r="DA44" s="15">
        <v>0</v>
      </c>
      <c r="DB44" s="15">
        <v>0</v>
      </c>
      <c r="DC44" s="15">
        <v>0</v>
      </c>
      <c r="DD44" s="15">
        <v>0</v>
      </c>
      <c r="DE44" s="15">
        <v>0</v>
      </c>
      <c r="DF44" s="15">
        <v>0</v>
      </c>
      <c r="DG44" s="15">
        <v>0</v>
      </c>
      <c r="DH44" s="15">
        <v>0</v>
      </c>
      <c r="DI44" s="15">
        <v>0</v>
      </c>
      <c r="DJ44" s="15">
        <v>0</v>
      </c>
      <c r="DK44" s="15">
        <v>0</v>
      </c>
      <c r="DL44" s="15">
        <v>0</v>
      </c>
      <c r="DM44" s="15">
        <v>0</v>
      </c>
      <c r="DN44" s="15">
        <v>0</v>
      </c>
      <c r="DO44" s="15">
        <v>0</v>
      </c>
      <c r="DP44" s="15">
        <v>0</v>
      </c>
      <c r="DQ44" s="15">
        <v>0</v>
      </c>
      <c r="DR44" s="15">
        <v>0</v>
      </c>
      <c r="DS44" s="15">
        <v>0</v>
      </c>
      <c r="DT44" s="15">
        <v>0</v>
      </c>
      <c r="DU44" s="15">
        <v>0</v>
      </c>
      <c r="DV44" s="15">
        <v>0</v>
      </c>
      <c r="DW44" s="15">
        <v>0</v>
      </c>
      <c r="DX44" s="15">
        <v>0</v>
      </c>
      <c r="DY44" s="15">
        <v>0</v>
      </c>
      <c r="DZ44" s="15">
        <v>0</v>
      </c>
      <c r="EA44" s="15">
        <v>0</v>
      </c>
      <c r="EB44" s="15">
        <v>0</v>
      </c>
      <c r="EC44" s="15">
        <v>0</v>
      </c>
      <c r="ED44" s="15">
        <v>0</v>
      </c>
      <c r="EE44" s="15">
        <v>0</v>
      </c>
      <c r="EF44" s="15">
        <v>0</v>
      </c>
      <c r="EG44" s="15">
        <v>0</v>
      </c>
      <c r="EH44" s="15">
        <v>0</v>
      </c>
      <c r="EI44" s="15">
        <v>0</v>
      </c>
      <c r="EJ44" s="15">
        <v>0</v>
      </c>
      <c r="EK44" s="15">
        <v>0</v>
      </c>
      <c r="EL44" s="15">
        <v>0</v>
      </c>
      <c r="EM44" s="15">
        <v>0</v>
      </c>
      <c r="EN44" s="15">
        <v>0</v>
      </c>
      <c r="EO44" s="15">
        <v>0</v>
      </c>
      <c r="EP44" s="15">
        <v>0</v>
      </c>
      <c r="EQ44" s="15">
        <v>0</v>
      </c>
      <c r="ER44" s="15">
        <v>0</v>
      </c>
      <c r="ES44" s="15">
        <v>0</v>
      </c>
      <c r="ET44" s="15">
        <v>0</v>
      </c>
      <c r="EU44" s="15">
        <v>0</v>
      </c>
      <c r="EV44" s="15">
        <v>0</v>
      </c>
      <c r="EW44" s="15">
        <v>0</v>
      </c>
      <c r="EX44" s="15">
        <v>0</v>
      </c>
      <c r="EY44" s="15">
        <v>0</v>
      </c>
      <c r="EZ44" s="15">
        <v>0</v>
      </c>
      <c r="FA44" s="15">
        <v>0</v>
      </c>
      <c r="FB44" s="15">
        <v>0</v>
      </c>
      <c r="FC44" s="15">
        <v>0</v>
      </c>
      <c r="FD44" s="15"/>
      <c r="FE44" s="15">
        <v>0</v>
      </c>
      <c r="FF44" s="15">
        <v>0</v>
      </c>
      <c r="FG44" s="15">
        <v>0</v>
      </c>
      <c r="FH44" s="15">
        <v>0</v>
      </c>
      <c r="FI44" s="15">
        <v>0</v>
      </c>
      <c r="FJ44" s="15">
        <v>0</v>
      </c>
      <c r="FK44" s="15">
        <v>0</v>
      </c>
      <c r="FL44" s="15">
        <v>0.1</v>
      </c>
      <c r="FM44" s="15">
        <v>0</v>
      </c>
      <c r="FN44" s="15">
        <v>0</v>
      </c>
      <c r="FO44" s="15">
        <v>0</v>
      </c>
      <c r="FP44" s="15">
        <v>0</v>
      </c>
      <c r="FQ44" s="15">
        <v>0</v>
      </c>
      <c r="FR44" s="15">
        <v>0</v>
      </c>
      <c r="FS44" s="15">
        <v>0.1</v>
      </c>
      <c r="FT44" s="15">
        <v>0</v>
      </c>
      <c r="FU44" s="15">
        <v>0</v>
      </c>
      <c r="FV44" s="15">
        <v>0</v>
      </c>
      <c r="FW44" s="15">
        <v>0</v>
      </c>
      <c r="FX44" s="15">
        <v>0</v>
      </c>
      <c r="FY44" s="15">
        <v>0</v>
      </c>
      <c r="FZ44" s="15">
        <v>0</v>
      </c>
      <c r="GA44" s="15">
        <v>0</v>
      </c>
      <c r="GB44" s="15">
        <v>0</v>
      </c>
      <c r="GC44" s="15">
        <v>0</v>
      </c>
      <c r="GD44" s="15">
        <v>0</v>
      </c>
      <c r="GE44" s="15">
        <v>0</v>
      </c>
      <c r="GF44" s="15">
        <v>0</v>
      </c>
      <c r="GG44" s="15">
        <v>0</v>
      </c>
      <c r="GH44" s="15">
        <v>0</v>
      </c>
      <c r="GI44" s="15">
        <v>0</v>
      </c>
      <c r="GJ44" s="15">
        <v>0</v>
      </c>
      <c r="GK44" s="15">
        <v>0</v>
      </c>
      <c r="GL44" s="15">
        <v>0</v>
      </c>
      <c r="GM44" s="15">
        <v>0</v>
      </c>
      <c r="GN44" s="15">
        <v>0</v>
      </c>
      <c r="GO44" s="15">
        <v>0</v>
      </c>
      <c r="GP44" s="15">
        <v>0</v>
      </c>
      <c r="GQ44" s="15">
        <v>0</v>
      </c>
      <c r="GR44" s="15">
        <v>0</v>
      </c>
      <c r="GS44" s="15">
        <v>0</v>
      </c>
      <c r="GT44" s="15">
        <v>0</v>
      </c>
      <c r="GU44" s="15">
        <v>0</v>
      </c>
      <c r="GV44" s="15">
        <v>0</v>
      </c>
      <c r="GW44" s="15">
        <v>0</v>
      </c>
      <c r="GX44" s="15">
        <v>0</v>
      </c>
      <c r="GY44" s="15">
        <v>0</v>
      </c>
      <c r="GZ44" s="15">
        <v>0</v>
      </c>
      <c r="HA44" s="15">
        <v>0</v>
      </c>
      <c r="HB44" s="15">
        <v>0</v>
      </c>
      <c r="HC44" s="15">
        <v>0</v>
      </c>
      <c r="HD44" s="15">
        <v>0</v>
      </c>
      <c r="HE44" s="15">
        <v>0</v>
      </c>
      <c r="HF44" s="15">
        <v>0</v>
      </c>
      <c r="HG44" s="15">
        <v>0</v>
      </c>
      <c r="HH44" s="15">
        <v>0</v>
      </c>
      <c r="HI44" s="15">
        <v>0</v>
      </c>
      <c r="HJ44" s="15">
        <v>0</v>
      </c>
      <c r="HK44" s="15">
        <v>0</v>
      </c>
      <c r="HL44" s="15">
        <v>0</v>
      </c>
      <c r="HM44" s="15">
        <v>0</v>
      </c>
      <c r="HN44" s="15">
        <v>0</v>
      </c>
      <c r="HO44" s="15">
        <v>0</v>
      </c>
      <c r="HP44" s="15">
        <v>0</v>
      </c>
      <c r="HQ44" s="15">
        <v>0</v>
      </c>
      <c r="HR44" s="15">
        <v>0</v>
      </c>
      <c r="HS44" s="15">
        <v>0</v>
      </c>
      <c r="HT44" s="15">
        <v>0</v>
      </c>
      <c r="HU44" s="15">
        <v>0</v>
      </c>
      <c r="HV44" s="15">
        <v>0</v>
      </c>
      <c r="HW44" s="15">
        <v>0</v>
      </c>
      <c r="HX44" s="15">
        <v>0</v>
      </c>
      <c r="HY44" s="15">
        <v>0</v>
      </c>
      <c r="HZ44" s="15">
        <v>0</v>
      </c>
      <c r="IA44" s="15">
        <v>0</v>
      </c>
      <c r="IB44" s="15"/>
      <c r="IC44" s="15">
        <v>0</v>
      </c>
      <c r="ID44" s="15">
        <v>0</v>
      </c>
      <c r="IE44" s="15">
        <v>0</v>
      </c>
      <c r="IF44" s="15">
        <v>0</v>
      </c>
      <c r="IG44" s="15">
        <v>0</v>
      </c>
      <c r="IH44" s="15">
        <v>0</v>
      </c>
      <c r="II44" s="15">
        <v>0</v>
      </c>
      <c r="IJ44" s="15">
        <v>0</v>
      </c>
      <c r="IK44" s="15"/>
      <c r="IL44" s="15">
        <v>0</v>
      </c>
      <c r="IM44" s="15">
        <v>0</v>
      </c>
      <c r="IN44" s="15">
        <v>0</v>
      </c>
      <c r="IO44" s="15">
        <v>0</v>
      </c>
      <c r="IP44" s="15">
        <v>0</v>
      </c>
      <c r="IQ44" s="15">
        <v>0</v>
      </c>
      <c r="IR44" s="15">
        <v>0</v>
      </c>
      <c r="IS44" s="20">
        <v>0.2</v>
      </c>
      <c r="IT44" s="20">
        <v>0</v>
      </c>
      <c r="IU44" s="20">
        <v>0</v>
      </c>
      <c r="IV44" s="20">
        <v>0</v>
      </c>
      <c r="IW44" s="20">
        <v>0</v>
      </c>
      <c r="IX44" s="20">
        <v>0</v>
      </c>
      <c r="IY44" s="20">
        <v>0</v>
      </c>
      <c r="IZ44" s="20">
        <v>0</v>
      </c>
      <c r="JA44" s="20">
        <v>0</v>
      </c>
      <c r="JB44" s="20">
        <v>0</v>
      </c>
      <c r="JC44" s="20">
        <v>0</v>
      </c>
      <c r="JD44" s="20">
        <v>0.2</v>
      </c>
      <c r="JE44" s="20">
        <v>0</v>
      </c>
      <c r="JF44" s="20">
        <v>0</v>
      </c>
      <c r="JG44" s="20">
        <v>0</v>
      </c>
      <c r="JH44" s="15">
        <v>0</v>
      </c>
      <c r="JI44" s="15">
        <v>0</v>
      </c>
      <c r="JJ44" s="15">
        <v>0</v>
      </c>
      <c r="JK44" s="15">
        <v>0</v>
      </c>
      <c r="JL44" s="15">
        <v>0</v>
      </c>
      <c r="JM44" s="15">
        <v>0</v>
      </c>
      <c r="JN44" s="15">
        <v>0</v>
      </c>
      <c r="JO44" s="15">
        <v>0</v>
      </c>
      <c r="JP44" s="15">
        <v>0</v>
      </c>
      <c r="JQ44" s="15">
        <v>0</v>
      </c>
      <c r="JR44" s="15">
        <v>0</v>
      </c>
      <c r="JS44" s="15">
        <v>0</v>
      </c>
      <c r="JT44" s="15">
        <v>0</v>
      </c>
      <c r="JU44" s="15">
        <v>0</v>
      </c>
      <c r="JV44" s="15">
        <v>0</v>
      </c>
      <c r="JW44" s="15">
        <v>0</v>
      </c>
      <c r="JX44" s="15">
        <v>0</v>
      </c>
      <c r="JY44" s="15">
        <v>0</v>
      </c>
      <c r="JZ44" s="15">
        <v>0</v>
      </c>
      <c r="KA44" s="15">
        <v>0</v>
      </c>
      <c r="KB44" s="15">
        <v>0</v>
      </c>
      <c r="KC44" s="15">
        <v>0</v>
      </c>
      <c r="KD44" s="15">
        <v>0</v>
      </c>
      <c r="KE44" s="15">
        <v>0</v>
      </c>
      <c r="KF44" s="15">
        <v>0</v>
      </c>
      <c r="KG44" s="15">
        <v>0</v>
      </c>
      <c r="KH44" s="15">
        <v>0</v>
      </c>
      <c r="KI44" s="15">
        <v>0</v>
      </c>
      <c r="KJ44" s="15">
        <v>0</v>
      </c>
      <c r="KK44" s="15">
        <v>0</v>
      </c>
      <c r="KL44" s="15">
        <v>0</v>
      </c>
      <c r="KM44" s="15">
        <v>0</v>
      </c>
      <c r="KN44" s="15">
        <v>0</v>
      </c>
      <c r="KO44" s="15">
        <v>0</v>
      </c>
      <c r="KP44" s="15">
        <v>0</v>
      </c>
      <c r="KQ44" s="15">
        <v>0</v>
      </c>
      <c r="KR44" s="15">
        <v>0</v>
      </c>
      <c r="KS44" s="15">
        <v>0</v>
      </c>
      <c r="KT44" s="15">
        <v>0</v>
      </c>
      <c r="KU44" s="15">
        <v>10</v>
      </c>
      <c r="KV44" s="15">
        <v>0</v>
      </c>
      <c r="KW44" s="15">
        <v>0</v>
      </c>
      <c r="KX44" s="15">
        <v>0</v>
      </c>
      <c r="KY44" s="15">
        <v>0</v>
      </c>
      <c r="KZ44" s="15">
        <v>0</v>
      </c>
      <c r="LA44" s="15">
        <v>0</v>
      </c>
      <c r="LB44" s="15">
        <v>0</v>
      </c>
      <c r="LC44" s="15">
        <v>0</v>
      </c>
      <c r="LD44" s="15">
        <v>0</v>
      </c>
      <c r="LE44" s="15">
        <v>0</v>
      </c>
      <c r="LF44" s="15">
        <v>0</v>
      </c>
      <c r="LG44" s="15">
        <v>0</v>
      </c>
      <c r="LH44" s="15">
        <v>0</v>
      </c>
      <c r="LI44" s="15">
        <v>0</v>
      </c>
      <c r="LJ44" s="15">
        <v>0</v>
      </c>
      <c r="LK44" s="15">
        <v>0</v>
      </c>
      <c r="LL44" s="15">
        <v>0</v>
      </c>
      <c r="LM44" s="15">
        <v>0</v>
      </c>
      <c r="LN44" s="15">
        <v>0</v>
      </c>
      <c r="LO44" s="15">
        <v>0</v>
      </c>
      <c r="LP44" s="15">
        <v>0</v>
      </c>
      <c r="LQ44" s="15">
        <v>0</v>
      </c>
      <c r="LR44" s="15">
        <v>0</v>
      </c>
      <c r="LS44" s="15">
        <v>0</v>
      </c>
      <c r="LT44" s="15">
        <v>0</v>
      </c>
      <c r="LU44" s="15">
        <v>0</v>
      </c>
      <c r="LV44" s="15">
        <v>0</v>
      </c>
      <c r="LW44" s="15">
        <v>0</v>
      </c>
      <c r="LX44" s="15">
        <v>0</v>
      </c>
      <c r="LY44" s="15">
        <v>0</v>
      </c>
      <c r="LZ44" s="15">
        <v>0</v>
      </c>
      <c r="MA44" s="15">
        <v>0</v>
      </c>
      <c r="MB44" s="15">
        <v>0</v>
      </c>
      <c r="MC44" s="15">
        <v>0</v>
      </c>
      <c r="MD44" s="15">
        <v>0</v>
      </c>
      <c r="ME44" s="15">
        <v>0</v>
      </c>
      <c r="MF44" s="15">
        <v>0</v>
      </c>
      <c r="MG44" s="15">
        <v>0</v>
      </c>
      <c r="MH44" s="15">
        <v>0</v>
      </c>
      <c r="MI44" s="15">
        <v>0</v>
      </c>
      <c r="MJ44" s="15">
        <v>0</v>
      </c>
      <c r="MK44" s="15">
        <v>0</v>
      </c>
      <c r="ML44" s="15">
        <v>0</v>
      </c>
      <c r="MM44" s="15">
        <v>0</v>
      </c>
      <c r="MN44" s="15">
        <v>0</v>
      </c>
      <c r="MO44" s="15">
        <v>0</v>
      </c>
      <c r="MP44" s="15">
        <v>0</v>
      </c>
      <c r="MQ44" s="15">
        <v>0</v>
      </c>
      <c r="MR44" s="15">
        <v>0</v>
      </c>
      <c r="MS44" s="15">
        <v>0</v>
      </c>
      <c r="MT44" s="15">
        <v>0</v>
      </c>
      <c r="MU44" s="15">
        <v>0</v>
      </c>
      <c r="MV44" s="15">
        <v>0</v>
      </c>
      <c r="MW44" s="15">
        <v>0</v>
      </c>
      <c r="MX44" s="15">
        <v>0</v>
      </c>
      <c r="MY44" s="15">
        <v>0</v>
      </c>
      <c r="MZ44" s="15">
        <v>0</v>
      </c>
      <c r="NA44" s="15">
        <v>0</v>
      </c>
      <c r="NB44" s="15">
        <v>0</v>
      </c>
      <c r="NC44" s="15">
        <v>0</v>
      </c>
      <c r="ND44" s="15">
        <v>0</v>
      </c>
      <c r="NE44" s="15">
        <v>0</v>
      </c>
      <c r="NF44" s="15">
        <v>0</v>
      </c>
      <c r="NG44" s="15">
        <v>0</v>
      </c>
      <c r="NH44" s="15">
        <v>0</v>
      </c>
      <c r="NI44" s="15">
        <v>0</v>
      </c>
      <c r="NJ44" s="15">
        <v>0</v>
      </c>
      <c r="NK44" s="15">
        <v>0</v>
      </c>
      <c r="NL44" s="15">
        <v>0</v>
      </c>
      <c r="NM44" s="15">
        <v>0</v>
      </c>
      <c r="NN44" s="15">
        <v>0</v>
      </c>
      <c r="NO44" s="20">
        <v>0</v>
      </c>
      <c r="NP44" s="15">
        <v>0</v>
      </c>
      <c r="NQ44" s="15">
        <v>0</v>
      </c>
      <c r="NR44" s="15">
        <v>0</v>
      </c>
      <c r="NS44" s="15">
        <v>0</v>
      </c>
      <c r="NT44" s="15">
        <v>0</v>
      </c>
      <c r="NU44" s="15">
        <v>0</v>
      </c>
      <c r="NV44" s="15">
        <v>0</v>
      </c>
      <c r="NW44" s="15">
        <v>25</v>
      </c>
      <c r="NX44" s="15">
        <v>0</v>
      </c>
      <c r="NY44" s="15">
        <v>0</v>
      </c>
      <c r="NZ44" s="15">
        <v>0</v>
      </c>
      <c r="OA44" s="15">
        <v>0</v>
      </c>
      <c r="OB44" s="15">
        <v>-25</v>
      </c>
      <c r="OC44" s="15">
        <v>0</v>
      </c>
      <c r="OD44" s="15">
        <v>10</v>
      </c>
      <c r="OE44" s="15">
        <v>0</v>
      </c>
      <c r="OF44" s="15">
        <v>0</v>
      </c>
      <c r="OG44" s="15">
        <v>0</v>
      </c>
      <c r="OH44" s="15">
        <v>0</v>
      </c>
      <c r="OI44" s="15">
        <v>0</v>
      </c>
      <c r="OJ44" s="15">
        <v>0</v>
      </c>
      <c r="OK44" s="15">
        <v>0</v>
      </c>
      <c r="OL44" s="15">
        <v>0</v>
      </c>
      <c r="OM44" s="15">
        <v>0</v>
      </c>
      <c r="ON44" s="15">
        <v>0</v>
      </c>
      <c r="OO44" s="15">
        <v>0</v>
      </c>
      <c r="OP44" s="15">
        <v>0</v>
      </c>
      <c r="OQ44" s="15">
        <v>0</v>
      </c>
      <c r="OR44" s="15">
        <v>0</v>
      </c>
      <c r="OS44" s="15">
        <v>0</v>
      </c>
      <c r="OT44" s="15">
        <v>0</v>
      </c>
      <c r="OU44" s="15">
        <v>0</v>
      </c>
      <c r="OV44" s="15">
        <v>0</v>
      </c>
      <c r="OW44" s="15">
        <v>0</v>
      </c>
      <c r="OX44" s="15">
        <v>0</v>
      </c>
      <c r="OY44" s="15">
        <v>0</v>
      </c>
      <c r="OZ44" s="15">
        <v>0</v>
      </c>
      <c r="PA44" s="15">
        <v>0</v>
      </c>
      <c r="PB44" s="15">
        <v>0</v>
      </c>
      <c r="PC44" s="15">
        <v>0</v>
      </c>
      <c r="PD44" s="15">
        <v>0</v>
      </c>
      <c r="PE44" s="15">
        <v>0</v>
      </c>
      <c r="PF44" s="15">
        <v>0</v>
      </c>
      <c r="PG44" s="15">
        <v>0</v>
      </c>
      <c r="PH44" s="15">
        <v>5</v>
      </c>
      <c r="PI44" s="15">
        <v>0</v>
      </c>
      <c r="PJ44" s="15">
        <v>0</v>
      </c>
      <c r="PK44" s="15">
        <v>0</v>
      </c>
      <c r="PL44" s="15">
        <v>0</v>
      </c>
      <c r="PM44" s="15">
        <v>0</v>
      </c>
      <c r="PN44" s="15">
        <v>0</v>
      </c>
      <c r="PO44" s="15">
        <v>0</v>
      </c>
      <c r="PP44" s="15">
        <v>0</v>
      </c>
      <c r="PQ44" s="15">
        <v>0</v>
      </c>
      <c r="PR44" s="15">
        <v>10</v>
      </c>
      <c r="PS44" s="15">
        <v>0</v>
      </c>
      <c r="PT44" s="15">
        <v>0</v>
      </c>
      <c r="PU44" s="15">
        <v>0</v>
      </c>
      <c r="PV44" s="15">
        <v>0</v>
      </c>
      <c r="PW44" s="20">
        <v>0</v>
      </c>
      <c r="PX44" s="20">
        <v>10</v>
      </c>
      <c r="PY44" s="20">
        <v>0</v>
      </c>
      <c r="PZ44" s="15">
        <v>0</v>
      </c>
      <c r="QA44" s="20">
        <v>0</v>
      </c>
      <c r="QB44" s="20">
        <v>0</v>
      </c>
      <c r="QC44" s="20">
        <v>0</v>
      </c>
      <c r="QD44" s="15">
        <v>0</v>
      </c>
      <c r="QE44" s="15">
        <v>0</v>
      </c>
      <c r="QF44" s="15">
        <v>0</v>
      </c>
      <c r="QG44" s="15">
        <v>0</v>
      </c>
      <c r="QH44" s="15">
        <v>0</v>
      </c>
      <c r="QI44" s="15">
        <v>10</v>
      </c>
      <c r="QJ44" s="15">
        <v>0</v>
      </c>
      <c r="QK44" s="15">
        <v>0</v>
      </c>
      <c r="QL44" s="15">
        <v>0</v>
      </c>
      <c r="QM44" s="15">
        <v>0</v>
      </c>
      <c r="QN44" s="15">
        <v>0</v>
      </c>
      <c r="QO44" s="15">
        <v>10</v>
      </c>
      <c r="QP44" s="15">
        <v>0</v>
      </c>
      <c r="QQ44" s="15">
        <v>10</v>
      </c>
      <c r="QR44" s="15">
        <v>0</v>
      </c>
      <c r="QS44" s="15">
        <v>0</v>
      </c>
      <c r="QT44" s="15">
        <v>0</v>
      </c>
      <c r="QU44" s="15">
        <v>0</v>
      </c>
      <c r="QV44" s="15">
        <v>0</v>
      </c>
      <c r="QW44" s="15">
        <v>0</v>
      </c>
      <c r="QX44" s="15">
        <v>0</v>
      </c>
      <c r="QY44" s="15">
        <v>0</v>
      </c>
      <c r="QZ44" s="15">
        <v>0</v>
      </c>
      <c r="RA44" s="15">
        <v>0</v>
      </c>
      <c r="RB44" s="15">
        <v>0</v>
      </c>
      <c r="RC44" s="15">
        <v>0</v>
      </c>
      <c r="RD44" s="15">
        <v>0</v>
      </c>
      <c r="RE44" s="15">
        <v>0</v>
      </c>
      <c r="RF44" s="15">
        <v>0</v>
      </c>
      <c r="RG44" s="15">
        <v>0</v>
      </c>
      <c r="RH44" s="15">
        <v>0</v>
      </c>
      <c r="RI44" s="15">
        <v>0</v>
      </c>
      <c r="RJ44" s="15">
        <v>0</v>
      </c>
      <c r="RK44" s="15">
        <v>0</v>
      </c>
      <c r="RL44" s="15">
        <v>0</v>
      </c>
      <c r="RM44" s="15">
        <v>0</v>
      </c>
      <c r="RN44" s="15">
        <v>0</v>
      </c>
      <c r="RO44" s="15">
        <v>0</v>
      </c>
      <c r="RP44" s="15">
        <v>0</v>
      </c>
      <c r="RQ44" s="15">
        <v>0</v>
      </c>
      <c r="RR44" s="15">
        <v>0</v>
      </c>
      <c r="RS44" s="15"/>
      <c r="RT44" s="15">
        <v>0</v>
      </c>
      <c r="RU44" s="15">
        <v>0</v>
      </c>
      <c r="RV44" s="15">
        <v>0</v>
      </c>
      <c r="RW44" s="15">
        <v>0</v>
      </c>
      <c r="RX44" s="15">
        <v>0</v>
      </c>
      <c r="RY44" s="15">
        <v>0</v>
      </c>
      <c r="RZ44" s="15">
        <v>0</v>
      </c>
      <c r="SA44" s="15">
        <v>0</v>
      </c>
      <c r="SB44" s="15">
        <v>0</v>
      </c>
      <c r="SC44" s="15">
        <v>0</v>
      </c>
      <c r="SD44" s="15">
        <v>0</v>
      </c>
      <c r="SE44" s="15">
        <v>0</v>
      </c>
      <c r="SF44" s="15">
        <v>25</v>
      </c>
      <c r="SG44" s="15">
        <v>0</v>
      </c>
      <c r="SH44" s="15">
        <v>0</v>
      </c>
      <c r="SI44" s="15">
        <v>0</v>
      </c>
      <c r="SJ44" s="15">
        <v>0</v>
      </c>
      <c r="SK44" s="15">
        <v>-25</v>
      </c>
      <c r="SL44" s="15">
        <v>0</v>
      </c>
      <c r="SM44" s="15">
        <v>10</v>
      </c>
      <c r="SN44" s="15">
        <v>0</v>
      </c>
      <c r="SO44" s="15">
        <v>0</v>
      </c>
      <c r="SP44" s="15">
        <v>0</v>
      </c>
      <c r="SQ44" s="15">
        <v>0</v>
      </c>
      <c r="SR44" s="15">
        <v>0</v>
      </c>
      <c r="SS44" s="15">
        <v>0</v>
      </c>
      <c r="ST44" s="15">
        <v>0</v>
      </c>
      <c r="SU44" s="15">
        <v>0</v>
      </c>
      <c r="SV44" s="15">
        <v>0</v>
      </c>
      <c r="SW44" s="15">
        <v>0</v>
      </c>
      <c r="SX44" s="15">
        <v>0</v>
      </c>
      <c r="SY44" s="15">
        <v>0</v>
      </c>
      <c r="SZ44" s="15">
        <v>0</v>
      </c>
      <c r="TA44" s="15">
        <v>0</v>
      </c>
      <c r="TB44" s="15">
        <v>0</v>
      </c>
      <c r="TC44" s="15">
        <v>0</v>
      </c>
      <c r="TD44" s="15">
        <v>0</v>
      </c>
      <c r="TE44" s="15">
        <v>0</v>
      </c>
      <c r="TF44" s="15">
        <v>0</v>
      </c>
      <c r="TG44" s="15">
        <v>0</v>
      </c>
      <c r="TH44" s="15">
        <v>0</v>
      </c>
      <c r="TI44" s="15">
        <v>0</v>
      </c>
      <c r="TJ44" s="15">
        <v>0</v>
      </c>
      <c r="TK44" s="15">
        <v>0</v>
      </c>
      <c r="TL44" s="15">
        <v>0</v>
      </c>
      <c r="TM44" s="15">
        <v>0</v>
      </c>
      <c r="TN44" s="15">
        <v>0</v>
      </c>
      <c r="TO44" s="15">
        <v>0</v>
      </c>
      <c r="TP44" s="15">
        <v>5</v>
      </c>
      <c r="TQ44" s="15">
        <v>0</v>
      </c>
      <c r="TR44" s="15">
        <v>0</v>
      </c>
      <c r="TS44" s="15">
        <v>0</v>
      </c>
      <c r="TT44" s="15">
        <v>0</v>
      </c>
      <c r="TU44" s="15">
        <v>0</v>
      </c>
      <c r="TV44" s="15">
        <v>0</v>
      </c>
      <c r="TW44" s="15">
        <v>0</v>
      </c>
      <c r="TX44" s="15">
        <v>0</v>
      </c>
      <c r="TY44" s="15">
        <v>0</v>
      </c>
      <c r="TZ44" s="15">
        <v>10</v>
      </c>
      <c r="UA44" s="15">
        <v>0</v>
      </c>
      <c r="UB44" s="15">
        <v>0</v>
      </c>
      <c r="UC44" s="15">
        <v>0</v>
      </c>
      <c r="UD44" s="15">
        <v>0</v>
      </c>
      <c r="UE44" s="20">
        <v>0</v>
      </c>
      <c r="UF44" s="20">
        <v>10</v>
      </c>
      <c r="UG44" s="20">
        <v>0</v>
      </c>
      <c r="UH44" s="15">
        <v>0</v>
      </c>
      <c r="UI44" s="20">
        <v>0</v>
      </c>
      <c r="UJ44" s="20">
        <v>0</v>
      </c>
      <c r="UK44" s="20">
        <v>0</v>
      </c>
      <c r="UL44" s="15">
        <v>0</v>
      </c>
      <c r="UM44" s="15">
        <v>0</v>
      </c>
      <c r="UN44" s="15">
        <v>0</v>
      </c>
      <c r="UO44" s="15">
        <v>0</v>
      </c>
      <c r="UP44" s="15">
        <v>0</v>
      </c>
      <c r="UQ44" s="15">
        <v>10</v>
      </c>
      <c r="UR44" s="15">
        <v>0</v>
      </c>
      <c r="US44" s="15">
        <v>0</v>
      </c>
      <c r="UT44" s="15">
        <v>0</v>
      </c>
      <c r="UU44" s="15">
        <v>0</v>
      </c>
      <c r="UV44" s="15">
        <v>0</v>
      </c>
      <c r="UW44" s="15">
        <v>10</v>
      </c>
      <c r="UX44" s="15">
        <v>0</v>
      </c>
      <c r="UY44" s="15">
        <v>10</v>
      </c>
      <c r="UZ44" s="15">
        <v>0</v>
      </c>
      <c r="VA44" s="15">
        <v>0</v>
      </c>
      <c r="VB44" s="15">
        <v>0</v>
      </c>
      <c r="VC44" s="15">
        <v>0</v>
      </c>
      <c r="VD44" s="15">
        <v>0</v>
      </c>
      <c r="VE44" s="15">
        <v>0</v>
      </c>
      <c r="VF44" s="15">
        <v>0</v>
      </c>
      <c r="VG44" s="15">
        <v>0</v>
      </c>
      <c r="VH44" s="15">
        <v>0</v>
      </c>
      <c r="VI44" s="15">
        <v>0</v>
      </c>
      <c r="VJ44" s="15">
        <v>0</v>
      </c>
      <c r="VK44" s="15">
        <v>0</v>
      </c>
      <c r="VL44" s="15">
        <v>0</v>
      </c>
      <c r="VM44" s="15">
        <v>0</v>
      </c>
      <c r="VN44" s="15">
        <v>0</v>
      </c>
      <c r="VO44" s="15">
        <v>0</v>
      </c>
      <c r="VP44" s="15">
        <v>0</v>
      </c>
      <c r="VQ44" s="15">
        <v>0</v>
      </c>
      <c r="VR44" s="15">
        <v>0</v>
      </c>
      <c r="VS44" s="15">
        <v>0</v>
      </c>
      <c r="VT44" s="15">
        <v>0</v>
      </c>
      <c r="VU44" s="15">
        <v>0</v>
      </c>
      <c r="VV44" s="15">
        <v>0</v>
      </c>
      <c r="VW44" s="15">
        <v>0</v>
      </c>
      <c r="VX44" s="15">
        <v>0</v>
      </c>
      <c r="VY44" s="15">
        <v>0</v>
      </c>
      <c r="VZ44" s="15">
        <v>0</v>
      </c>
      <c r="WA44" s="15">
        <v>0</v>
      </c>
      <c r="WB44" s="15">
        <v>0</v>
      </c>
      <c r="WC44" s="15">
        <v>0</v>
      </c>
      <c r="WD44" s="15">
        <v>0</v>
      </c>
      <c r="WE44" s="15">
        <v>0</v>
      </c>
      <c r="WF44" s="15">
        <v>0</v>
      </c>
      <c r="WG44" s="15">
        <v>0</v>
      </c>
      <c r="WH44" s="15">
        <v>10</v>
      </c>
      <c r="WI44" s="15">
        <v>0</v>
      </c>
      <c r="WJ44" s="15">
        <v>0</v>
      </c>
      <c r="WK44" s="15">
        <v>0</v>
      </c>
      <c r="WL44" s="15">
        <v>0</v>
      </c>
      <c r="WM44" s="15">
        <v>0</v>
      </c>
      <c r="WN44" s="15">
        <v>0</v>
      </c>
      <c r="WO44" s="15">
        <v>0</v>
      </c>
      <c r="WP44" s="15">
        <v>0</v>
      </c>
      <c r="WQ44" s="15">
        <v>0</v>
      </c>
      <c r="WR44" s="15">
        <v>0</v>
      </c>
      <c r="WS44" s="15">
        <v>0</v>
      </c>
      <c r="WT44" s="15">
        <v>0</v>
      </c>
      <c r="WU44" s="15">
        <v>10</v>
      </c>
      <c r="WV44" s="15">
        <v>0</v>
      </c>
      <c r="WW44" s="15">
        <v>10</v>
      </c>
      <c r="WX44" s="15">
        <v>0</v>
      </c>
      <c r="WY44" s="15">
        <v>10</v>
      </c>
      <c r="WZ44" s="15">
        <v>10</v>
      </c>
      <c r="XA44" s="15">
        <v>0</v>
      </c>
      <c r="XB44" s="15">
        <v>10</v>
      </c>
      <c r="XC44" s="15">
        <v>0</v>
      </c>
      <c r="XD44" s="15">
        <v>10</v>
      </c>
      <c r="XE44" s="15">
        <v>0</v>
      </c>
      <c r="XF44" s="15">
        <v>10</v>
      </c>
      <c r="XG44" s="15">
        <v>0</v>
      </c>
      <c r="XH44" s="15">
        <v>10</v>
      </c>
      <c r="XI44" s="15">
        <v>0</v>
      </c>
      <c r="XJ44" s="15">
        <v>0</v>
      </c>
      <c r="XK44" s="15">
        <v>0</v>
      </c>
      <c r="XL44" s="15">
        <v>0</v>
      </c>
      <c r="XM44" s="15">
        <v>0</v>
      </c>
      <c r="XN44" s="15">
        <v>0</v>
      </c>
      <c r="XO44" s="15">
        <v>0</v>
      </c>
      <c r="XP44" s="15">
        <v>0</v>
      </c>
      <c r="XQ44" s="15">
        <v>0</v>
      </c>
      <c r="XR44" s="15">
        <v>0</v>
      </c>
      <c r="XS44" s="15">
        <v>0</v>
      </c>
      <c r="XT44" s="15">
        <v>0</v>
      </c>
      <c r="XU44" s="15">
        <v>0</v>
      </c>
      <c r="XV44" s="15">
        <v>0</v>
      </c>
      <c r="XW44" s="15">
        <v>0</v>
      </c>
      <c r="XX44" s="15">
        <v>0</v>
      </c>
      <c r="XY44" s="15">
        <v>0</v>
      </c>
      <c r="XZ44" s="15">
        <v>0</v>
      </c>
      <c r="YA44" s="15">
        <v>0</v>
      </c>
      <c r="YB44" s="15">
        <v>0</v>
      </c>
      <c r="YC44" s="15">
        <v>0</v>
      </c>
      <c r="YD44" s="15">
        <v>0</v>
      </c>
      <c r="YE44" s="15">
        <v>0</v>
      </c>
      <c r="YF44" s="15">
        <v>0</v>
      </c>
      <c r="YG44" s="15">
        <v>0</v>
      </c>
      <c r="YH44" s="15">
        <v>0</v>
      </c>
      <c r="YI44" s="15">
        <v>0</v>
      </c>
      <c r="YJ44" s="15">
        <v>0</v>
      </c>
      <c r="YK44" s="15">
        <v>0</v>
      </c>
      <c r="YL44" s="15">
        <v>0</v>
      </c>
      <c r="YM44" s="15">
        <v>0</v>
      </c>
      <c r="YN44" s="15">
        <v>0</v>
      </c>
      <c r="YO44" s="15">
        <v>0</v>
      </c>
      <c r="YP44" s="15">
        <v>0</v>
      </c>
      <c r="YQ44" s="15">
        <v>0</v>
      </c>
      <c r="YR44" s="15">
        <v>0</v>
      </c>
      <c r="YS44" s="15">
        <v>0</v>
      </c>
      <c r="YT44" s="15">
        <v>0</v>
      </c>
      <c r="YU44" s="15">
        <v>0</v>
      </c>
      <c r="YV44" s="15">
        <v>0</v>
      </c>
      <c r="YW44" s="15">
        <v>0</v>
      </c>
      <c r="YX44" s="15">
        <v>0</v>
      </c>
      <c r="YY44" s="15">
        <v>0</v>
      </c>
      <c r="YZ44" s="15">
        <v>0</v>
      </c>
      <c r="ZA44" s="15">
        <v>0</v>
      </c>
      <c r="ZB44" s="15">
        <v>0</v>
      </c>
      <c r="ZC44" s="15">
        <v>0</v>
      </c>
      <c r="ZD44" s="15">
        <v>0</v>
      </c>
      <c r="ZE44" s="15">
        <v>0</v>
      </c>
      <c r="ZF44" s="15">
        <v>0</v>
      </c>
      <c r="ZG44" s="15">
        <v>0</v>
      </c>
      <c r="ZH44" s="15">
        <v>0</v>
      </c>
      <c r="ZI44" s="15">
        <v>0</v>
      </c>
      <c r="ZJ44" s="15">
        <v>0</v>
      </c>
      <c r="ZK44" s="15">
        <v>0</v>
      </c>
      <c r="ZL44" s="15">
        <v>0</v>
      </c>
      <c r="ZM44" s="15">
        <v>0</v>
      </c>
      <c r="ZN44" s="15">
        <v>0</v>
      </c>
      <c r="ZO44" s="15">
        <v>0</v>
      </c>
      <c r="ZP44" s="15">
        <v>0</v>
      </c>
      <c r="ZQ44" s="15">
        <v>25</v>
      </c>
      <c r="ZR44" s="15">
        <v>0</v>
      </c>
      <c r="ZS44" s="15">
        <v>0</v>
      </c>
      <c r="ZT44" s="15">
        <v>0</v>
      </c>
      <c r="ZU44" s="15">
        <v>0</v>
      </c>
      <c r="ZV44" s="15">
        <v>0</v>
      </c>
      <c r="ZW44" s="15">
        <v>0</v>
      </c>
      <c r="ZX44" s="15">
        <v>25</v>
      </c>
      <c r="ZY44" s="15">
        <v>0</v>
      </c>
      <c r="ZZ44" s="15">
        <v>0</v>
      </c>
      <c r="AAA44" s="15">
        <v>0</v>
      </c>
      <c r="AAB44" s="15">
        <v>0</v>
      </c>
      <c r="AAC44" s="15">
        <v>0</v>
      </c>
      <c r="AAD44" s="15">
        <v>0</v>
      </c>
      <c r="AAE44" s="15">
        <v>0</v>
      </c>
      <c r="AAF44" s="15">
        <v>0</v>
      </c>
      <c r="AAG44" s="15">
        <v>0</v>
      </c>
      <c r="AAH44" s="15">
        <v>0</v>
      </c>
      <c r="AAI44" s="15">
        <v>0</v>
      </c>
      <c r="AAJ44" s="15">
        <v>0</v>
      </c>
      <c r="AAK44" s="15">
        <v>0</v>
      </c>
      <c r="AAL44" s="15"/>
      <c r="AAM44" s="15">
        <v>0</v>
      </c>
      <c r="AAN44" s="15">
        <v>0</v>
      </c>
      <c r="AAO44" s="15">
        <v>0</v>
      </c>
      <c r="AAP44" s="15">
        <v>0</v>
      </c>
      <c r="AAQ44" s="15">
        <v>0</v>
      </c>
      <c r="AAR44" s="15">
        <v>0</v>
      </c>
      <c r="AAS44" s="15">
        <v>0</v>
      </c>
      <c r="AAT44" s="15">
        <v>0</v>
      </c>
      <c r="AAU44" s="15">
        <v>0</v>
      </c>
      <c r="AAV44" s="15">
        <v>0</v>
      </c>
      <c r="AAW44" s="15">
        <v>0</v>
      </c>
      <c r="AAX44" s="15"/>
      <c r="AAY44" s="15">
        <v>0</v>
      </c>
      <c r="AAZ44" s="15">
        <v>0</v>
      </c>
      <c r="ABA44" s="15">
        <v>0</v>
      </c>
      <c r="ABB44" s="15">
        <v>0</v>
      </c>
      <c r="ABC44" s="15">
        <v>0</v>
      </c>
      <c r="ABD44" s="15">
        <v>0</v>
      </c>
      <c r="ABE44" s="15">
        <v>0</v>
      </c>
      <c r="ABF44" s="15">
        <v>0</v>
      </c>
      <c r="ABG44" s="15">
        <v>0</v>
      </c>
      <c r="ABH44" s="15">
        <v>0</v>
      </c>
      <c r="ABI44" s="15">
        <v>0</v>
      </c>
      <c r="ABJ44" s="15">
        <v>0</v>
      </c>
      <c r="ABK44" s="15">
        <v>0</v>
      </c>
      <c r="ABL44" s="15">
        <v>0</v>
      </c>
      <c r="ABM44" s="15">
        <v>0</v>
      </c>
      <c r="ABN44" s="15">
        <v>0</v>
      </c>
      <c r="ABO44" s="15">
        <v>0</v>
      </c>
      <c r="ABP44" s="15">
        <v>0</v>
      </c>
      <c r="ABQ44" s="15">
        <v>25</v>
      </c>
      <c r="ABR44" s="15">
        <v>0</v>
      </c>
      <c r="ABS44" s="15">
        <v>0</v>
      </c>
      <c r="ABT44" s="15">
        <v>25</v>
      </c>
      <c r="ABU44" s="15">
        <v>0</v>
      </c>
      <c r="ABV44" s="15">
        <v>25</v>
      </c>
      <c r="ABW44" s="15">
        <v>0</v>
      </c>
      <c r="ABX44" s="15">
        <v>25</v>
      </c>
      <c r="ABY44" s="15">
        <v>0</v>
      </c>
      <c r="ABZ44" s="15">
        <v>25</v>
      </c>
      <c r="ACA44" s="15">
        <v>25</v>
      </c>
      <c r="ACB44" s="15">
        <v>0</v>
      </c>
      <c r="ACC44" s="15">
        <v>25</v>
      </c>
      <c r="ACD44" s="15">
        <v>25</v>
      </c>
      <c r="ACE44" s="15">
        <v>0</v>
      </c>
      <c r="ACF44" s="15">
        <v>25</v>
      </c>
      <c r="ACG44" s="15">
        <v>0</v>
      </c>
      <c r="ACH44" s="15">
        <v>0</v>
      </c>
      <c r="ACI44" s="15">
        <v>0</v>
      </c>
      <c r="ACJ44" s="15">
        <v>0</v>
      </c>
      <c r="ACK44" s="15">
        <v>0</v>
      </c>
      <c r="ACL44" s="15">
        <v>0</v>
      </c>
      <c r="ACM44" s="15">
        <v>0</v>
      </c>
      <c r="ACN44" s="15">
        <v>0</v>
      </c>
      <c r="ACO44" s="15">
        <v>0</v>
      </c>
      <c r="ACP44" s="15">
        <v>0</v>
      </c>
      <c r="ACQ44" s="15">
        <v>0</v>
      </c>
      <c r="ACR44" s="15">
        <v>0</v>
      </c>
      <c r="ACS44" s="15">
        <v>0</v>
      </c>
      <c r="ACT44" s="15">
        <v>0</v>
      </c>
      <c r="ACU44" s="15">
        <v>0</v>
      </c>
      <c r="ACV44" s="15">
        <v>0</v>
      </c>
      <c r="ACW44" s="15">
        <v>0</v>
      </c>
      <c r="ACX44" s="15">
        <v>0</v>
      </c>
      <c r="ACY44" s="15">
        <v>0</v>
      </c>
      <c r="ACZ44" s="15">
        <v>0</v>
      </c>
      <c r="ADA44" s="15">
        <v>0</v>
      </c>
      <c r="ADB44" s="15">
        <v>0</v>
      </c>
      <c r="ADC44" s="15">
        <v>0</v>
      </c>
      <c r="ADD44" s="15">
        <v>0</v>
      </c>
      <c r="ADE44" s="15">
        <v>0</v>
      </c>
      <c r="ADF44" s="15">
        <v>0</v>
      </c>
      <c r="ADG44" s="15">
        <v>0</v>
      </c>
      <c r="ADH44" s="15"/>
      <c r="ADI44" s="15">
        <v>0</v>
      </c>
      <c r="ADJ44" s="15">
        <v>0</v>
      </c>
      <c r="ADK44" s="15">
        <v>0</v>
      </c>
      <c r="ADL44" s="15">
        <v>0</v>
      </c>
      <c r="ADM44" s="15">
        <v>0</v>
      </c>
      <c r="ADN44" s="15">
        <v>0</v>
      </c>
      <c r="ADO44" s="15">
        <v>0</v>
      </c>
      <c r="ADP44" s="15">
        <v>0</v>
      </c>
      <c r="ADQ44" s="15">
        <v>0</v>
      </c>
      <c r="ADR44" s="15">
        <v>0</v>
      </c>
      <c r="ADS44" s="15">
        <v>0</v>
      </c>
      <c r="ADT44" s="15">
        <v>0</v>
      </c>
      <c r="ADU44" s="15">
        <v>0</v>
      </c>
      <c r="ADV44" s="15">
        <v>0</v>
      </c>
      <c r="ADW44" s="15">
        <v>0</v>
      </c>
      <c r="ADX44" s="15">
        <v>0</v>
      </c>
      <c r="ADY44" s="15">
        <v>0</v>
      </c>
      <c r="ADZ44" s="15">
        <v>0</v>
      </c>
      <c r="AEA44" s="15">
        <v>25</v>
      </c>
      <c r="AEB44" s="15">
        <v>0</v>
      </c>
      <c r="AEC44" s="15">
        <v>0</v>
      </c>
      <c r="AED44" s="15">
        <v>25</v>
      </c>
      <c r="AEE44" s="15">
        <v>0</v>
      </c>
      <c r="AEF44" s="15">
        <v>25</v>
      </c>
      <c r="AEG44" s="15">
        <v>0</v>
      </c>
      <c r="AEH44" s="15">
        <v>25</v>
      </c>
      <c r="AEI44" s="15">
        <v>0</v>
      </c>
      <c r="AEJ44" s="15">
        <v>25</v>
      </c>
      <c r="AEK44" s="15">
        <v>25</v>
      </c>
      <c r="AEL44" s="15">
        <v>0</v>
      </c>
      <c r="AEM44" s="15">
        <v>25</v>
      </c>
      <c r="AEN44" s="15">
        <v>25</v>
      </c>
      <c r="AEO44" s="15">
        <v>0</v>
      </c>
      <c r="AEP44" s="15">
        <v>25</v>
      </c>
      <c r="AEQ44" s="15">
        <v>0</v>
      </c>
      <c r="AER44" s="15">
        <v>0</v>
      </c>
      <c r="AES44" s="15">
        <v>0</v>
      </c>
      <c r="AET44" s="15">
        <v>0</v>
      </c>
      <c r="AEU44" s="15">
        <v>0</v>
      </c>
      <c r="AEV44" s="15">
        <v>0</v>
      </c>
      <c r="AEW44" s="15">
        <v>0</v>
      </c>
      <c r="AEX44" s="15">
        <v>0</v>
      </c>
      <c r="AEY44" s="15">
        <v>0</v>
      </c>
      <c r="AEZ44" s="15">
        <v>0</v>
      </c>
      <c r="AFA44" s="15">
        <v>0</v>
      </c>
      <c r="AFB44" s="15">
        <v>0</v>
      </c>
      <c r="AFC44" s="15">
        <v>0</v>
      </c>
      <c r="AFD44" s="15">
        <v>0</v>
      </c>
      <c r="AFE44" s="15">
        <v>0</v>
      </c>
      <c r="AFF44" s="15">
        <v>0</v>
      </c>
      <c r="AFG44" s="15">
        <v>0</v>
      </c>
      <c r="AFH44" s="15">
        <v>0</v>
      </c>
      <c r="AFI44" s="15">
        <v>0</v>
      </c>
      <c r="AFJ44" s="15">
        <v>0</v>
      </c>
      <c r="AFK44" s="15">
        <v>0</v>
      </c>
      <c r="AFL44" s="15">
        <v>0</v>
      </c>
      <c r="AFM44" s="15">
        <v>0</v>
      </c>
      <c r="AFN44" s="15">
        <v>0</v>
      </c>
      <c r="AFO44" s="15">
        <v>0</v>
      </c>
      <c r="AFP44" s="15">
        <v>0</v>
      </c>
      <c r="AFQ44" s="15">
        <v>0</v>
      </c>
      <c r="AFR44" s="15"/>
      <c r="AFS44" s="15">
        <v>0</v>
      </c>
      <c r="AFT44" s="15">
        <v>0</v>
      </c>
      <c r="AFU44" s="15">
        <v>0</v>
      </c>
      <c r="AFV44" s="15">
        <v>0</v>
      </c>
      <c r="AFW44" s="15">
        <v>0</v>
      </c>
      <c r="AFX44" s="15">
        <v>0</v>
      </c>
      <c r="AFY44" s="15">
        <v>0</v>
      </c>
      <c r="AFZ44" s="15">
        <v>0</v>
      </c>
      <c r="AGA44" s="15">
        <v>0</v>
      </c>
      <c r="AGB44" s="15">
        <v>0</v>
      </c>
      <c r="AGC44" s="15">
        <v>0</v>
      </c>
      <c r="AGD44" s="15">
        <v>10</v>
      </c>
      <c r="AGE44" s="15">
        <v>0</v>
      </c>
      <c r="AGF44" s="15">
        <v>0</v>
      </c>
      <c r="AGG44" s="15">
        <v>0</v>
      </c>
      <c r="AGH44" s="15">
        <v>0</v>
      </c>
      <c r="AGI44" s="15">
        <v>0</v>
      </c>
      <c r="AGJ44" s="15">
        <v>0</v>
      </c>
      <c r="AGK44" s="15">
        <v>10</v>
      </c>
      <c r="AGL44" s="15">
        <v>0</v>
      </c>
      <c r="AGM44" s="15">
        <v>0</v>
      </c>
      <c r="AGN44" s="15">
        <v>0</v>
      </c>
      <c r="AGO44" s="15">
        <v>0</v>
      </c>
      <c r="AGP44" s="15">
        <v>0</v>
      </c>
      <c r="AGQ44" s="15">
        <v>0</v>
      </c>
      <c r="AGR44" s="15">
        <v>0</v>
      </c>
      <c r="AGS44" s="15">
        <v>0</v>
      </c>
      <c r="AGT44" s="15">
        <v>10</v>
      </c>
      <c r="AGU44" s="15">
        <v>0</v>
      </c>
      <c r="AGV44" s="15">
        <v>0</v>
      </c>
      <c r="AGW44" s="15">
        <v>0</v>
      </c>
      <c r="AGX44" s="15">
        <v>0</v>
      </c>
      <c r="AGY44" s="15">
        <v>0</v>
      </c>
      <c r="AGZ44" s="15">
        <v>0</v>
      </c>
      <c r="AHA44" s="15">
        <v>0</v>
      </c>
      <c r="AHB44" s="15">
        <v>0</v>
      </c>
      <c r="AHC44" s="15">
        <v>0</v>
      </c>
      <c r="AHD44" s="15">
        <v>0</v>
      </c>
      <c r="AHE44" s="15">
        <v>0</v>
      </c>
      <c r="AHF44" s="15">
        <v>0</v>
      </c>
      <c r="AHG44" s="15">
        <v>0</v>
      </c>
      <c r="AHH44" s="15">
        <v>0</v>
      </c>
      <c r="AHI44" s="15">
        <v>0</v>
      </c>
      <c r="AHJ44" s="15">
        <v>0</v>
      </c>
      <c r="AHK44" s="15">
        <v>0</v>
      </c>
      <c r="AHL44" s="15">
        <v>0</v>
      </c>
      <c r="AHM44" s="15">
        <v>0</v>
      </c>
      <c r="AHN44" s="15">
        <v>0</v>
      </c>
      <c r="AHO44" s="15">
        <v>0</v>
      </c>
      <c r="AHP44" s="15">
        <v>0</v>
      </c>
      <c r="AHQ44" s="15">
        <v>0</v>
      </c>
      <c r="AHR44" s="15">
        <v>0</v>
      </c>
      <c r="AHS44" s="15">
        <v>0</v>
      </c>
      <c r="AHT44" s="15">
        <v>0</v>
      </c>
      <c r="AHU44" s="15">
        <v>0</v>
      </c>
      <c r="AHV44" s="15">
        <v>0</v>
      </c>
      <c r="AHW44" s="15">
        <v>0</v>
      </c>
      <c r="AHX44" s="15">
        <v>0</v>
      </c>
      <c r="AHY44" s="15">
        <v>0</v>
      </c>
      <c r="AHZ44" s="15">
        <v>0</v>
      </c>
      <c r="AIA44" s="15">
        <v>0</v>
      </c>
      <c r="AIB44" s="15">
        <v>0</v>
      </c>
      <c r="AIC44" s="15">
        <v>0</v>
      </c>
      <c r="AID44" s="15">
        <v>0</v>
      </c>
      <c r="AIE44" s="15">
        <v>0</v>
      </c>
      <c r="AIF44" s="15">
        <v>0</v>
      </c>
      <c r="AIG44" s="15">
        <v>0</v>
      </c>
      <c r="AIH44" s="15">
        <v>0</v>
      </c>
      <c r="AII44" s="15">
        <v>0</v>
      </c>
      <c r="AIJ44" s="15">
        <v>0</v>
      </c>
      <c r="AIK44" s="15">
        <v>0</v>
      </c>
      <c r="AIL44" s="15">
        <v>0</v>
      </c>
      <c r="AIM44" s="15">
        <v>0</v>
      </c>
      <c r="AIN44" s="15">
        <v>0</v>
      </c>
      <c r="AIO44" s="15">
        <v>0</v>
      </c>
      <c r="AIP44" s="15">
        <v>0</v>
      </c>
      <c r="AIQ44" s="15">
        <v>0</v>
      </c>
      <c r="AIR44" s="15">
        <v>0</v>
      </c>
      <c r="AIS44" s="15">
        <v>0</v>
      </c>
      <c r="AIT44" s="15">
        <v>0</v>
      </c>
      <c r="AIU44" s="15">
        <v>0</v>
      </c>
      <c r="AIV44" s="15">
        <v>0</v>
      </c>
      <c r="AIW44" s="15">
        <v>0</v>
      </c>
      <c r="AIX44" s="15">
        <v>0</v>
      </c>
      <c r="AIY44" s="15">
        <v>0</v>
      </c>
      <c r="AIZ44" s="15">
        <v>0</v>
      </c>
      <c r="AJA44" s="15">
        <v>0</v>
      </c>
      <c r="AJB44" s="15">
        <v>0</v>
      </c>
      <c r="AJC44" s="15">
        <v>0</v>
      </c>
      <c r="AJD44" s="15">
        <v>0</v>
      </c>
      <c r="AJE44" s="15">
        <v>0</v>
      </c>
      <c r="AJF44" s="15"/>
      <c r="AJG44" s="15">
        <v>0</v>
      </c>
      <c r="AJH44" s="15">
        <v>0</v>
      </c>
      <c r="AJI44" s="15">
        <v>0</v>
      </c>
      <c r="AJJ44" s="15">
        <v>0</v>
      </c>
      <c r="AJK44" s="15">
        <v>0</v>
      </c>
      <c r="AJL44" s="15">
        <v>0</v>
      </c>
      <c r="AJM44" s="15">
        <v>0</v>
      </c>
      <c r="AJN44" s="15"/>
      <c r="AJO44" s="15">
        <v>0</v>
      </c>
      <c r="AJP44" s="15">
        <v>0</v>
      </c>
      <c r="AJQ44" s="15">
        <v>0</v>
      </c>
      <c r="AJR44" s="15">
        <v>0</v>
      </c>
      <c r="AJS44" s="15">
        <v>0</v>
      </c>
      <c r="AJT44" s="15">
        <v>0</v>
      </c>
      <c r="AJU44" s="15">
        <v>0</v>
      </c>
      <c r="AJV44" s="15">
        <v>0</v>
      </c>
      <c r="AJW44" s="15">
        <v>0</v>
      </c>
      <c r="AJX44" s="15"/>
      <c r="AJY44" s="15">
        <v>0</v>
      </c>
      <c r="AJZ44" s="15">
        <v>0</v>
      </c>
      <c r="AKA44" s="15">
        <v>0</v>
      </c>
      <c r="AKB44" s="15">
        <v>0</v>
      </c>
      <c r="AKC44" s="15">
        <v>0</v>
      </c>
      <c r="AKD44" s="15">
        <v>0</v>
      </c>
      <c r="AKE44" s="15">
        <v>0</v>
      </c>
      <c r="AKF44" s="15">
        <v>0</v>
      </c>
      <c r="AKG44" s="15">
        <v>0</v>
      </c>
      <c r="AKH44" s="15">
        <v>0</v>
      </c>
      <c r="AKI44" s="15"/>
      <c r="AKJ44" s="15">
        <v>0</v>
      </c>
      <c r="AKK44" s="15">
        <v>0</v>
      </c>
      <c r="AKL44" s="15">
        <v>0</v>
      </c>
      <c r="AKM44" s="15">
        <v>0</v>
      </c>
      <c r="AKN44" s="15">
        <v>0</v>
      </c>
      <c r="AKO44" s="15">
        <v>0</v>
      </c>
      <c r="AKP44" s="15">
        <v>0</v>
      </c>
      <c r="AKQ44" s="15">
        <v>0</v>
      </c>
      <c r="AKR44" s="15">
        <v>0</v>
      </c>
      <c r="AKS44" s="15">
        <v>0</v>
      </c>
      <c r="AKT44" s="15">
        <v>0</v>
      </c>
      <c r="AKU44" s="15">
        <v>0</v>
      </c>
      <c r="AKV44" s="15">
        <v>0</v>
      </c>
      <c r="AKW44" s="15">
        <v>0</v>
      </c>
      <c r="AKX44" s="15"/>
      <c r="AKY44" s="15">
        <v>0</v>
      </c>
      <c r="AKZ44" s="15">
        <v>0</v>
      </c>
      <c r="ALA44" s="15">
        <v>0</v>
      </c>
      <c r="ALB44" s="15">
        <v>0</v>
      </c>
      <c r="ALC44" s="15">
        <v>0</v>
      </c>
      <c r="ALD44" s="15">
        <v>0</v>
      </c>
      <c r="ALE44" s="15">
        <v>0</v>
      </c>
      <c r="ALF44" s="15">
        <v>0</v>
      </c>
      <c r="ALG44" s="15">
        <v>0</v>
      </c>
      <c r="ALH44" s="15">
        <v>0</v>
      </c>
      <c r="ALI44" s="15">
        <v>0</v>
      </c>
      <c r="ALJ44" s="15">
        <v>0</v>
      </c>
      <c r="ALK44" s="15">
        <v>0</v>
      </c>
      <c r="ALL44" s="15">
        <v>0</v>
      </c>
      <c r="ALM44" s="15"/>
      <c r="ALN44" s="15">
        <v>0</v>
      </c>
      <c r="ALO44" s="15">
        <v>0</v>
      </c>
      <c r="ALP44" s="15">
        <v>0</v>
      </c>
      <c r="ALQ44" s="15">
        <v>0</v>
      </c>
      <c r="ALR44" s="15">
        <v>0</v>
      </c>
      <c r="ALS44" s="15">
        <v>0</v>
      </c>
      <c r="ALT44" s="15">
        <v>0</v>
      </c>
      <c r="ALU44" s="15">
        <v>0</v>
      </c>
      <c r="ALV44" s="15">
        <v>0</v>
      </c>
      <c r="ALW44" s="15">
        <v>0</v>
      </c>
      <c r="ALX44" s="15">
        <v>0</v>
      </c>
      <c r="ALY44" s="15">
        <v>0</v>
      </c>
      <c r="ALZ44" s="15">
        <v>0</v>
      </c>
      <c r="AMA44" s="15">
        <v>0</v>
      </c>
      <c r="AMB44" s="15">
        <v>0</v>
      </c>
      <c r="AMC44" s="15"/>
      <c r="AMD44" s="15">
        <v>0</v>
      </c>
      <c r="AME44" s="15">
        <v>0</v>
      </c>
      <c r="AMF44" s="15">
        <v>0</v>
      </c>
      <c r="AMG44" s="15">
        <v>0</v>
      </c>
      <c r="AMH44" s="15">
        <v>0</v>
      </c>
      <c r="AMI44" s="15">
        <v>0</v>
      </c>
      <c r="AMJ44" s="15">
        <v>0</v>
      </c>
      <c r="AMK44" s="15">
        <v>0</v>
      </c>
      <c r="AML44" s="15">
        <v>0</v>
      </c>
      <c r="AMM44" s="15">
        <v>0</v>
      </c>
      <c r="AMN44" s="15">
        <v>0</v>
      </c>
      <c r="AMO44" s="15">
        <v>0</v>
      </c>
      <c r="AMP44" s="15">
        <v>0</v>
      </c>
      <c r="AMQ44" s="15">
        <v>0</v>
      </c>
      <c r="AMR44" s="15">
        <v>0</v>
      </c>
      <c r="AMS44" s="15">
        <v>0</v>
      </c>
      <c r="AMT44" s="15">
        <v>0</v>
      </c>
      <c r="AMU44" s="15">
        <v>0</v>
      </c>
      <c r="AMV44" s="15">
        <v>0</v>
      </c>
      <c r="AMW44" s="15">
        <v>0</v>
      </c>
      <c r="AMX44" s="15">
        <v>0</v>
      </c>
      <c r="AMY44" s="15">
        <v>0</v>
      </c>
      <c r="AMZ44" s="15">
        <v>0</v>
      </c>
      <c r="ANA44" s="15">
        <v>0</v>
      </c>
      <c r="ANB44" s="15">
        <v>0</v>
      </c>
      <c r="ANC44" s="15">
        <v>0</v>
      </c>
      <c r="AND44" s="15">
        <v>0</v>
      </c>
      <c r="ANE44" s="15"/>
      <c r="ANF44" s="15"/>
      <c r="ANG44" s="15"/>
      <c r="ANH44" s="15"/>
      <c r="ANI44" s="15"/>
      <c r="ANJ44" s="15"/>
      <c r="ANK44" s="15"/>
      <c r="ANL44" s="15"/>
      <c r="ANM44" s="15"/>
      <c r="ANN44" s="15"/>
      <c r="ANO44" s="15"/>
      <c r="ANP44" s="15"/>
      <c r="ANQ44" s="15"/>
      <c r="ANR44" s="15"/>
      <c r="ANS44" s="15"/>
      <c r="ANT44" s="15"/>
      <c r="ANU44" s="15"/>
      <c r="ANV44" s="15"/>
      <c r="ANW44" s="15"/>
      <c r="ANX44" s="15"/>
      <c r="ANY44" s="15"/>
      <c r="ANZ44" s="15"/>
      <c r="AOA44" s="15"/>
      <c r="AOB44" s="15"/>
      <c r="AOC44" s="15"/>
      <c r="AOD44" s="15"/>
      <c r="AOE44" s="15"/>
      <c r="AOF44" s="15"/>
      <c r="AOG44" s="15"/>
      <c r="AOH44" s="15"/>
      <c r="AOI44" s="15"/>
      <c r="AOJ44" s="15"/>
      <c r="AOK44" s="15"/>
      <c r="AOL44" s="15"/>
      <c r="AOM44" s="15"/>
      <c r="AON44" s="15"/>
      <c r="AOO44" s="15"/>
      <c r="AOP44" s="15"/>
      <c r="AOQ44" s="15"/>
      <c r="AOR44" s="15"/>
      <c r="AOS44" s="15"/>
      <c r="AOT44" s="15"/>
      <c r="AOU44" s="15"/>
      <c r="AOV44" s="15"/>
      <c r="AOW44" s="15"/>
      <c r="AOX44" s="15"/>
      <c r="AOY44" s="15"/>
      <c r="AOZ44" s="15"/>
      <c r="APA44" s="15"/>
      <c r="APB44" s="15"/>
      <c r="APC44" s="15"/>
      <c r="APD44" s="15"/>
      <c r="APE44" s="15"/>
      <c r="APF44" s="15"/>
      <c r="APG44" s="15"/>
      <c r="APH44" s="15"/>
      <c r="API44" s="15"/>
      <c r="APJ44" s="15"/>
      <c r="APK44" s="15"/>
      <c r="APL44" s="15"/>
      <c r="APM44" s="15"/>
      <c r="APN44" s="15"/>
      <c r="APO44" s="15"/>
      <c r="APP44" s="15"/>
      <c r="APQ44" s="15"/>
      <c r="APR44" s="15"/>
      <c r="APS44" s="15"/>
      <c r="APT44" s="15"/>
      <c r="APU44" s="15"/>
      <c r="APV44" s="15"/>
      <c r="APW44" s="15"/>
      <c r="APX44" s="15"/>
      <c r="APY44" s="15"/>
      <c r="APZ44" s="15"/>
      <c r="AQA44" s="15"/>
      <c r="AQB44" s="15"/>
    </row>
    <row r="45" spans="1:1120" s="17" customFormat="1" ht="15" customHeight="1" x14ac:dyDescent="0.25">
      <c r="A45" s="3" t="s">
        <v>2</v>
      </c>
      <c r="B45" s="6" t="s">
        <v>84</v>
      </c>
      <c r="C45" s="15"/>
      <c r="D45" s="15">
        <v>0</v>
      </c>
      <c r="E45" s="15">
        <v>0</v>
      </c>
      <c r="F45" s="15">
        <v>0</v>
      </c>
      <c r="G45" s="15">
        <v>0</v>
      </c>
      <c r="H45" s="15">
        <v>0</v>
      </c>
      <c r="I45" s="15">
        <v>0</v>
      </c>
      <c r="J45" s="15"/>
      <c r="K45" s="15">
        <v>0</v>
      </c>
      <c r="L45" s="15">
        <v>0</v>
      </c>
      <c r="M45" s="15">
        <v>0</v>
      </c>
      <c r="N45" s="15">
        <v>0</v>
      </c>
      <c r="O45" s="15">
        <v>0</v>
      </c>
      <c r="P45" s="15">
        <v>0</v>
      </c>
      <c r="Q45" s="15"/>
      <c r="R45" s="15">
        <v>0</v>
      </c>
      <c r="S45" s="15">
        <v>0</v>
      </c>
      <c r="T45" s="15">
        <v>0</v>
      </c>
      <c r="U45" s="15">
        <v>0</v>
      </c>
      <c r="V45" s="15">
        <v>0</v>
      </c>
      <c r="W45" s="15">
        <v>0</v>
      </c>
      <c r="X45" s="15"/>
      <c r="Y45" s="15">
        <v>0</v>
      </c>
      <c r="Z45" s="15">
        <v>0</v>
      </c>
      <c r="AA45" s="15">
        <v>0</v>
      </c>
      <c r="AB45" s="15">
        <v>0</v>
      </c>
      <c r="AC45" s="15">
        <v>0</v>
      </c>
      <c r="AD45" s="15">
        <v>0</v>
      </c>
      <c r="AE45" s="15"/>
      <c r="AF45" s="15">
        <v>0</v>
      </c>
      <c r="AG45" s="15">
        <v>0</v>
      </c>
      <c r="AH45" s="15">
        <v>0</v>
      </c>
      <c r="AI45" s="15">
        <v>0</v>
      </c>
      <c r="AJ45" s="15">
        <v>0</v>
      </c>
      <c r="AK45" s="15">
        <v>0</v>
      </c>
      <c r="AL45" s="15"/>
      <c r="AM45" s="15">
        <v>0</v>
      </c>
      <c r="AN45" s="15">
        <v>0</v>
      </c>
      <c r="AO45" s="15">
        <v>0</v>
      </c>
      <c r="AP45" s="15">
        <v>0</v>
      </c>
      <c r="AQ45" s="15">
        <v>0</v>
      </c>
      <c r="AR45" s="15">
        <v>0</v>
      </c>
      <c r="AS45" s="15">
        <v>0</v>
      </c>
      <c r="AT45" s="15">
        <v>0</v>
      </c>
      <c r="AU45" s="15">
        <v>0</v>
      </c>
      <c r="AV45" s="15">
        <v>0</v>
      </c>
      <c r="AW45" s="15">
        <v>0</v>
      </c>
      <c r="AX45" s="15">
        <v>0</v>
      </c>
      <c r="AY45" s="15">
        <v>0</v>
      </c>
      <c r="AZ45" s="15">
        <v>0</v>
      </c>
      <c r="BA45" s="15">
        <v>0</v>
      </c>
      <c r="BB45" s="15">
        <v>0</v>
      </c>
      <c r="BC45" s="15">
        <v>0</v>
      </c>
      <c r="BD45" s="15">
        <v>0</v>
      </c>
      <c r="BE45" s="15">
        <v>0</v>
      </c>
      <c r="BF45" s="15">
        <v>0</v>
      </c>
      <c r="BG45" s="15">
        <v>0</v>
      </c>
      <c r="BH45" s="15">
        <v>0</v>
      </c>
      <c r="BI45" s="15">
        <v>0</v>
      </c>
      <c r="BJ45" s="15">
        <v>0</v>
      </c>
      <c r="BK45" s="15">
        <v>0</v>
      </c>
      <c r="BL45" s="15">
        <v>0</v>
      </c>
      <c r="BM45" s="15">
        <v>0</v>
      </c>
      <c r="BN45" s="15">
        <v>0</v>
      </c>
      <c r="BO45" s="15">
        <v>0</v>
      </c>
      <c r="BP45" s="15">
        <v>0</v>
      </c>
      <c r="BQ45" s="15">
        <v>0</v>
      </c>
      <c r="BR45" s="15">
        <v>0</v>
      </c>
      <c r="BS45" s="15">
        <v>0</v>
      </c>
      <c r="BT45" s="15">
        <v>0</v>
      </c>
      <c r="BU45" s="15">
        <v>0</v>
      </c>
      <c r="BV45" s="15">
        <v>0</v>
      </c>
      <c r="BW45" s="15">
        <v>0</v>
      </c>
      <c r="BX45" s="15">
        <v>0</v>
      </c>
      <c r="BY45" s="15">
        <v>0</v>
      </c>
      <c r="BZ45" s="15">
        <v>0</v>
      </c>
      <c r="CA45" s="15">
        <v>0</v>
      </c>
      <c r="CB45" s="15">
        <v>0</v>
      </c>
      <c r="CC45" s="15">
        <v>0</v>
      </c>
      <c r="CD45" s="15">
        <v>0</v>
      </c>
      <c r="CE45" s="15">
        <v>0</v>
      </c>
      <c r="CF45" s="15">
        <v>0</v>
      </c>
      <c r="CG45" s="15">
        <v>0</v>
      </c>
      <c r="CH45" s="15">
        <v>0</v>
      </c>
      <c r="CI45" s="15">
        <v>0</v>
      </c>
      <c r="CJ45" s="15">
        <v>0</v>
      </c>
      <c r="CK45" s="15">
        <v>0</v>
      </c>
      <c r="CL45" s="15">
        <v>0</v>
      </c>
      <c r="CM45" s="15">
        <v>0</v>
      </c>
      <c r="CN45" s="15">
        <v>0</v>
      </c>
      <c r="CO45" s="15">
        <v>0</v>
      </c>
      <c r="CP45" s="15">
        <v>0</v>
      </c>
      <c r="CQ45" s="15">
        <v>0</v>
      </c>
      <c r="CR45" s="15">
        <v>0</v>
      </c>
      <c r="CS45" s="15">
        <v>0</v>
      </c>
      <c r="CT45" s="15">
        <v>0</v>
      </c>
      <c r="CU45" s="15">
        <v>0</v>
      </c>
      <c r="CV45" s="15">
        <v>0</v>
      </c>
      <c r="CW45" s="15">
        <v>0</v>
      </c>
      <c r="CX45" s="15">
        <v>0</v>
      </c>
      <c r="CY45" s="15">
        <v>0</v>
      </c>
      <c r="CZ45" s="15">
        <v>0</v>
      </c>
      <c r="DA45" s="15">
        <v>0</v>
      </c>
      <c r="DB45" s="15">
        <v>0</v>
      </c>
      <c r="DC45" s="15">
        <v>0</v>
      </c>
      <c r="DD45" s="15">
        <v>0</v>
      </c>
      <c r="DE45" s="15">
        <v>0</v>
      </c>
      <c r="DF45" s="15">
        <v>0</v>
      </c>
      <c r="DG45" s="15">
        <v>0</v>
      </c>
      <c r="DH45" s="15">
        <v>0</v>
      </c>
      <c r="DI45" s="15">
        <v>0</v>
      </c>
      <c r="DJ45" s="15">
        <v>0</v>
      </c>
      <c r="DK45" s="15">
        <v>0</v>
      </c>
      <c r="DL45" s="15">
        <v>0</v>
      </c>
      <c r="DM45" s="15">
        <v>0</v>
      </c>
      <c r="DN45" s="15">
        <v>0</v>
      </c>
      <c r="DO45" s="15">
        <v>0</v>
      </c>
      <c r="DP45" s="15">
        <v>0</v>
      </c>
      <c r="DQ45" s="15">
        <v>0</v>
      </c>
      <c r="DR45" s="15">
        <v>0</v>
      </c>
      <c r="DS45" s="15">
        <v>0</v>
      </c>
      <c r="DT45" s="15">
        <v>0</v>
      </c>
      <c r="DU45" s="15">
        <v>0</v>
      </c>
      <c r="DV45" s="15">
        <v>0</v>
      </c>
      <c r="DW45" s="15">
        <v>0</v>
      </c>
      <c r="DX45" s="15">
        <v>0</v>
      </c>
      <c r="DY45" s="15">
        <v>0</v>
      </c>
      <c r="DZ45" s="15">
        <v>0</v>
      </c>
      <c r="EA45" s="15">
        <v>0</v>
      </c>
      <c r="EB45" s="15">
        <v>0</v>
      </c>
      <c r="EC45" s="15">
        <v>0</v>
      </c>
      <c r="ED45" s="15">
        <v>0</v>
      </c>
      <c r="EE45" s="15">
        <v>0</v>
      </c>
      <c r="EF45" s="15">
        <v>0</v>
      </c>
      <c r="EG45" s="15">
        <v>0</v>
      </c>
      <c r="EH45" s="15">
        <v>0</v>
      </c>
      <c r="EI45" s="15">
        <v>0</v>
      </c>
      <c r="EJ45" s="15">
        <v>0</v>
      </c>
      <c r="EK45" s="15">
        <v>0</v>
      </c>
      <c r="EL45" s="15">
        <v>0</v>
      </c>
      <c r="EM45" s="15">
        <v>0</v>
      </c>
      <c r="EN45" s="15">
        <v>0</v>
      </c>
      <c r="EO45" s="15">
        <v>0</v>
      </c>
      <c r="EP45" s="15">
        <v>0</v>
      </c>
      <c r="EQ45" s="15">
        <v>0</v>
      </c>
      <c r="ER45" s="15">
        <v>0</v>
      </c>
      <c r="ES45" s="15">
        <v>0</v>
      </c>
      <c r="ET45" s="15">
        <v>0</v>
      </c>
      <c r="EU45" s="15">
        <v>0</v>
      </c>
      <c r="EV45" s="15">
        <v>0</v>
      </c>
      <c r="EW45" s="15">
        <v>0</v>
      </c>
      <c r="EX45" s="15">
        <v>0</v>
      </c>
      <c r="EY45" s="15">
        <v>0</v>
      </c>
      <c r="EZ45" s="15">
        <v>0</v>
      </c>
      <c r="FA45" s="15">
        <v>0</v>
      </c>
      <c r="FB45" s="15">
        <v>0</v>
      </c>
      <c r="FC45" s="15">
        <v>0</v>
      </c>
      <c r="FD45" s="15"/>
      <c r="FE45" s="15">
        <v>0</v>
      </c>
      <c r="FF45" s="15">
        <v>0</v>
      </c>
      <c r="FG45" s="15">
        <v>0</v>
      </c>
      <c r="FH45" s="15">
        <v>0</v>
      </c>
      <c r="FI45" s="15">
        <v>0</v>
      </c>
      <c r="FJ45" s="15">
        <v>0</v>
      </c>
      <c r="FK45" s="15">
        <v>0</v>
      </c>
      <c r="FL45" s="15">
        <v>1</v>
      </c>
      <c r="FM45" s="15">
        <v>0</v>
      </c>
      <c r="FN45" s="15">
        <v>0</v>
      </c>
      <c r="FO45" s="15">
        <v>0</v>
      </c>
      <c r="FP45" s="15">
        <v>0</v>
      </c>
      <c r="FQ45" s="15">
        <v>0</v>
      </c>
      <c r="FR45" s="15">
        <v>0</v>
      </c>
      <c r="FS45" s="15">
        <v>0</v>
      </c>
      <c r="FT45" s="15">
        <v>0</v>
      </c>
      <c r="FU45" s="15">
        <v>0</v>
      </c>
      <c r="FV45" s="15">
        <v>0</v>
      </c>
      <c r="FW45" s="15">
        <v>0</v>
      </c>
      <c r="FX45" s="15">
        <v>0</v>
      </c>
      <c r="FY45" s="15">
        <v>0</v>
      </c>
      <c r="FZ45" s="15">
        <v>1</v>
      </c>
      <c r="GA45" s="15">
        <v>0</v>
      </c>
      <c r="GB45" s="15">
        <v>0</v>
      </c>
      <c r="GC45" s="15">
        <v>0</v>
      </c>
      <c r="GD45" s="15">
        <v>0</v>
      </c>
      <c r="GE45" s="15">
        <v>0</v>
      </c>
      <c r="GF45" s="15">
        <v>0</v>
      </c>
      <c r="GG45" s="15">
        <v>1</v>
      </c>
      <c r="GH45" s="15">
        <v>0</v>
      </c>
      <c r="GI45" s="15">
        <v>0</v>
      </c>
      <c r="GJ45" s="15">
        <v>0</v>
      </c>
      <c r="GK45" s="15">
        <v>0</v>
      </c>
      <c r="GL45" s="15">
        <v>0</v>
      </c>
      <c r="GM45" s="15">
        <v>0</v>
      </c>
      <c r="GN45" s="15">
        <v>1</v>
      </c>
      <c r="GO45" s="15">
        <v>0</v>
      </c>
      <c r="GP45" s="15">
        <v>0</v>
      </c>
      <c r="GQ45" s="15">
        <v>0</v>
      </c>
      <c r="GR45" s="15">
        <v>0</v>
      </c>
      <c r="GS45" s="15">
        <v>0</v>
      </c>
      <c r="GT45" s="15">
        <v>0</v>
      </c>
      <c r="GU45" s="15">
        <v>1</v>
      </c>
      <c r="GV45" s="15">
        <v>0</v>
      </c>
      <c r="GW45" s="15">
        <v>0</v>
      </c>
      <c r="GX45" s="15">
        <v>0</v>
      </c>
      <c r="GY45" s="15">
        <v>0</v>
      </c>
      <c r="GZ45" s="15">
        <v>0</v>
      </c>
      <c r="HA45" s="15">
        <v>0</v>
      </c>
      <c r="HB45" s="15">
        <v>1</v>
      </c>
      <c r="HC45" s="15">
        <v>0</v>
      </c>
      <c r="HD45" s="15">
        <v>0</v>
      </c>
      <c r="HE45" s="15">
        <v>0</v>
      </c>
      <c r="HF45" s="15">
        <v>0</v>
      </c>
      <c r="HG45" s="15">
        <v>0</v>
      </c>
      <c r="HH45" s="15">
        <v>0</v>
      </c>
      <c r="HI45" s="15">
        <v>1</v>
      </c>
      <c r="HJ45" s="15">
        <v>0</v>
      </c>
      <c r="HK45" s="15">
        <v>0</v>
      </c>
      <c r="HL45" s="15">
        <v>0</v>
      </c>
      <c r="HM45" s="15">
        <v>0</v>
      </c>
      <c r="HN45" s="15">
        <v>0</v>
      </c>
      <c r="HO45" s="15">
        <v>0</v>
      </c>
      <c r="HP45" s="15">
        <v>1</v>
      </c>
      <c r="HQ45" s="15">
        <v>0</v>
      </c>
      <c r="HR45" s="15">
        <v>0</v>
      </c>
      <c r="HS45" s="15">
        <v>0</v>
      </c>
      <c r="HT45" s="15">
        <v>0</v>
      </c>
      <c r="HU45" s="15">
        <v>0</v>
      </c>
      <c r="HV45" s="15">
        <v>0</v>
      </c>
      <c r="HW45" s="15">
        <v>1</v>
      </c>
      <c r="HX45" s="15">
        <v>1</v>
      </c>
      <c r="HY45" s="15">
        <v>1</v>
      </c>
      <c r="HZ45" s="15">
        <v>1</v>
      </c>
      <c r="IA45" s="15">
        <v>1</v>
      </c>
      <c r="IB45" s="15"/>
      <c r="IC45" s="15">
        <v>0</v>
      </c>
      <c r="ID45" s="15">
        <v>0</v>
      </c>
      <c r="IE45" s="15">
        <v>0</v>
      </c>
      <c r="IF45" s="15">
        <v>0</v>
      </c>
      <c r="IG45" s="15">
        <v>0</v>
      </c>
      <c r="IH45" s="15">
        <v>0</v>
      </c>
      <c r="II45" s="15">
        <v>0</v>
      </c>
      <c r="IJ45" s="15">
        <v>0</v>
      </c>
      <c r="IK45" s="15"/>
      <c r="IL45" s="15">
        <v>0</v>
      </c>
      <c r="IM45" s="15">
        <v>0</v>
      </c>
      <c r="IN45" s="15">
        <v>0</v>
      </c>
      <c r="IO45" s="15">
        <v>0</v>
      </c>
      <c r="IP45" s="15">
        <v>0</v>
      </c>
      <c r="IQ45" s="15">
        <v>0</v>
      </c>
      <c r="IR45" s="15">
        <v>0</v>
      </c>
      <c r="IS45" s="20">
        <v>1</v>
      </c>
      <c r="IT45" s="20">
        <v>0</v>
      </c>
      <c r="IU45" s="20">
        <v>0</v>
      </c>
      <c r="IV45" s="20">
        <v>0</v>
      </c>
      <c r="IW45" s="20">
        <v>0</v>
      </c>
      <c r="IX45" s="20">
        <v>0</v>
      </c>
      <c r="IY45" s="20">
        <v>0</v>
      </c>
      <c r="IZ45" s="20">
        <v>0</v>
      </c>
      <c r="JA45" s="20">
        <v>0</v>
      </c>
      <c r="JB45" s="20">
        <v>0</v>
      </c>
      <c r="JC45" s="20">
        <v>0</v>
      </c>
      <c r="JD45" s="20">
        <v>1</v>
      </c>
      <c r="JE45" s="20">
        <v>0</v>
      </c>
      <c r="JF45" s="20">
        <v>0</v>
      </c>
      <c r="JG45" s="20">
        <v>0</v>
      </c>
      <c r="JH45" s="15">
        <v>0</v>
      </c>
      <c r="JI45" s="15">
        <v>0</v>
      </c>
      <c r="JJ45" s="15">
        <v>0</v>
      </c>
      <c r="JK45" s="15">
        <v>0</v>
      </c>
      <c r="JL45" s="15">
        <v>0</v>
      </c>
      <c r="JM45" s="15">
        <v>0</v>
      </c>
      <c r="JN45" s="15">
        <v>0</v>
      </c>
      <c r="JO45" s="15">
        <v>0</v>
      </c>
      <c r="JP45" s="15">
        <v>0</v>
      </c>
      <c r="JQ45" s="15">
        <v>0</v>
      </c>
      <c r="JR45" s="15">
        <v>0</v>
      </c>
      <c r="JS45" s="15">
        <v>0</v>
      </c>
      <c r="JT45" s="15">
        <v>0</v>
      </c>
      <c r="JU45" s="15">
        <v>0</v>
      </c>
      <c r="JV45" s="15">
        <v>0</v>
      </c>
      <c r="JW45" s="15">
        <v>0</v>
      </c>
      <c r="JX45" s="15">
        <v>0</v>
      </c>
      <c r="JY45" s="15">
        <v>0</v>
      </c>
      <c r="JZ45" s="15">
        <v>0</v>
      </c>
      <c r="KA45" s="15">
        <v>0</v>
      </c>
      <c r="KB45" s="15">
        <v>0</v>
      </c>
      <c r="KC45" s="15">
        <v>0</v>
      </c>
      <c r="KD45" s="15">
        <v>0</v>
      </c>
      <c r="KE45" s="15">
        <v>0</v>
      </c>
      <c r="KF45" s="15">
        <v>0</v>
      </c>
      <c r="KG45" s="15">
        <v>0</v>
      </c>
      <c r="KH45" s="15">
        <v>0</v>
      </c>
      <c r="KI45" s="15">
        <v>0</v>
      </c>
      <c r="KJ45" s="15">
        <v>0</v>
      </c>
      <c r="KK45" s="15">
        <v>0</v>
      </c>
      <c r="KL45" s="15">
        <v>0</v>
      </c>
      <c r="KM45" s="15">
        <v>0</v>
      </c>
      <c r="KN45" s="15">
        <v>0</v>
      </c>
      <c r="KO45" s="15">
        <v>0</v>
      </c>
      <c r="KP45" s="15">
        <v>0</v>
      </c>
      <c r="KQ45" s="15">
        <v>0</v>
      </c>
      <c r="KR45" s="15">
        <v>0</v>
      </c>
      <c r="KS45" s="15">
        <v>0</v>
      </c>
      <c r="KT45" s="15">
        <v>0</v>
      </c>
      <c r="KU45" s="15">
        <v>1</v>
      </c>
      <c r="KV45" s="15">
        <v>0</v>
      </c>
      <c r="KW45" s="15">
        <v>0</v>
      </c>
      <c r="KX45" s="15">
        <v>0</v>
      </c>
      <c r="KY45" s="15">
        <v>0</v>
      </c>
      <c r="KZ45" s="15">
        <v>0</v>
      </c>
      <c r="LA45" s="15">
        <v>0</v>
      </c>
      <c r="LB45" s="15">
        <v>0</v>
      </c>
      <c r="LC45" s="15">
        <v>0</v>
      </c>
      <c r="LD45" s="15">
        <v>0</v>
      </c>
      <c r="LE45" s="15">
        <v>0</v>
      </c>
      <c r="LF45" s="15">
        <v>0</v>
      </c>
      <c r="LG45" s="15">
        <v>0</v>
      </c>
      <c r="LH45" s="15">
        <v>0</v>
      </c>
      <c r="LI45" s="15">
        <v>0</v>
      </c>
      <c r="LJ45" s="15">
        <v>0</v>
      </c>
      <c r="LK45" s="15">
        <v>0</v>
      </c>
      <c r="LL45" s="15">
        <v>0</v>
      </c>
      <c r="LM45" s="15">
        <v>0</v>
      </c>
      <c r="LN45" s="15">
        <v>0</v>
      </c>
      <c r="LO45" s="15">
        <v>0</v>
      </c>
      <c r="LP45" s="15">
        <v>0</v>
      </c>
      <c r="LQ45" s="15">
        <v>0</v>
      </c>
      <c r="LR45" s="15">
        <v>0</v>
      </c>
      <c r="LS45" s="15">
        <v>0</v>
      </c>
      <c r="LT45" s="15">
        <v>0</v>
      </c>
      <c r="LU45" s="15">
        <v>0</v>
      </c>
      <c r="LV45" s="15">
        <v>0</v>
      </c>
      <c r="LW45" s="15">
        <v>0</v>
      </c>
      <c r="LX45" s="15">
        <v>0</v>
      </c>
      <c r="LY45" s="15">
        <v>0</v>
      </c>
      <c r="LZ45" s="15">
        <v>0</v>
      </c>
      <c r="MA45" s="15">
        <v>0</v>
      </c>
      <c r="MB45" s="15">
        <v>0</v>
      </c>
      <c r="MC45" s="15">
        <v>0</v>
      </c>
      <c r="MD45" s="15">
        <v>0</v>
      </c>
      <c r="ME45" s="15">
        <v>0</v>
      </c>
      <c r="MF45" s="15">
        <v>0</v>
      </c>
      <c r="MG45" s="15">
        <v>0</v>
      </c>
      <c r="MH45" s="15">
        <v>0</v>
      </c>
      <c r="MI45" s="15">
        <v>0</v>
      </c>
      <c r="MJ45" s="15">
        <v>0</v>
      </c>
      <c r="MK45" s="15">
        <v>0</v>
      </c>
      <c r="ML45" s="15">
        <v>0</v>
      </c>
      <c r="MM45" s="15">
        <v>0</v>
      </c>
      <c r="MN45" s="15">
        <v>0</v>
      </c>
      <c r="MO45" s="15">
        <v>0</v>
      </c>
      <c r="MP45" s="15">
        <v>0</v>
      </c>
      <c r="MQ45" s="15">
        <v>0</v>
      </c>
      <c r="MR45" s="15">
        <v>0</v>
      </c>
      <c r="MS45" s="15">
        <v>0</v>
      </c>
      <c r="MT45" s="15">
        <v>0</v>
      </c>
      <c r="MU45" s="15">
        <v>0</v>
      </c>
      <c r="MV45" s="15">
        <v>0</v>
      </c>
      <c r="MW45" s="15">
        <v>0</v>
      </c>
      <c r="MX45" s="15">
        <v>0</v>
      </c>
      <c r="MY45" s="15">
        <v>0</v>
      </c>
      <c r="MZ45" s="15">
        <v>0</v>
      </c>
      <c r="NA45" s="15">
        <v>0</v>
      </c>
      <c r="NB45" s="15">
        <v>0</v>
      </c>
      <c r="NC45" s="15">
        <v>0</v>
      </c>
      <c r="ND45" s="15">
        <v>0</v>
      </c>
      <c r="NE45" s="15">
        <v>0</v>
      </c>
      <c r="NF45" s="15">
        <v>0</v>
      </c>
      <c r="NG45" s="15">
        <v>0</v>
      </c>
      <c r="NH45" s="15">
        <v>0</v>
      </c>
      <c r="NI45" s="15">
        <v>0</v>
      </c>
      <c r="NJ45" s="15">
        <v>0</v>
      </c>
      <c r="NK45" s="15">
        <v>0</v>
      </c>
      <c r="NL45" s="15">
        <v>0</v>
      </c>
      <c r="NM45" s="15">
        <v>0</v>
      </c>
      <c r="NN45" s="15">
        <v>0</v>
      </c>
      <c r="NO45" s="20">
        <v>0</v>
      </c>
      <c r="NP45" s="15">
        <v>0</v>
      </c>
      <c r="NQ45" s="15">
        <v>0</v>
      </c>
      <c r="NR45" s="15">
        <v>0</v>
      </c>
      <c r="NS45" s="15">
        <v>0</v>
      </c>
      <c r="NT45" s="15">
        <v>0</v>
      </c>
      <c r="NU45" s="15">
        <v>0</v>
      </c>
      <c r="NV45" s="15">
        <v>0</v>
      </c>
      <c r="NW45" s="15">
        <v>1</v>
      </c>
      <c r="NX45" s="15">
        <v>0</v>
      </c>
      <c r="NY45" s="15">
        <v>0</v>
      </c>
      <c r="NZ45" s="15">
        <v>0</v>
      </c>
      <c r="OA45" s="15">
        <v>0</v>
      </c>
      <c r="OB45" s="15">
        <v>1</v>
      </c>
      <c r="OC45" s="15">
        <v>0</v>
      </c>
      <c r="OD45" s="15">
        <v>1</v>
      </c>
      <c r="OE45" s="15">
        <v>0</v>
      </c>
      <c r="OF45" s="15">
        <v>0</v>
      </c>
      <c r="OG45" s="15">
        <v>0</v>
      </c>
      <c r="OH45" s="15">
        <v>0</v>
      </c>
      <c r="OI45" s="15">
        <v>0</v>
      </c>
      <c r="OJ45" s="15">
        <v>0</v>
      </c>
      <c r="OK45" s="15">
        <v>0</v>
      </c>
      <c r="OL45" s="15">
        <v>0</v>
      </c>
      <c r="OM45" s="15">
        <v>0</v>
      </c>
      <c r="ON45" s="15">
        <v>0</v>
      </c>
      <c r="OO45" s="15">
        <v>0</v>
      </c>
      <c r="OP45" s="15">
        <v>0</v>
      </c>
      <c r="OQ45" s="15">
        <v>0</v>
      </c>
      <c r="OR45" s="15">
        <v>0</v>
      </c>
      <c r="OS45" s="15">
        <v>0</v>
      </c>
      <c r="OT45" s="15">
        <v>0</v>
      </c>
      <c r="OU45" s="15">
        <v>0</v>
      </c>
      <c r="OV45" s="15">
        <v>0</v>
      </c>
      <c r="OW45" s="15">
        <v>0</v>
      </c>
      <c r="OX45" s="15">
        <v>0</v>
      </c>
      <c r="OY45" s="15">
        <v>0</v>
      </c>
      <c r="OZ45" s="15">
        <v>0</v>
      </c>
      <c r="PA45" s="15">
        <v>0</v>
      </c>
      <c r="PB45" s="15">
        <v>0</v>
      </c>
      <c r="PC45" s="15">
        <v>0</v>
      </c>
      <c r="PD45" s="15">
        <v>0</v>
      </c>
      <c r="PE45" s="15">
        <v>0</v>
      </c>
      <c r="PF45" s="15">
        <v>0</v>
      </c>
      <c r="PG45" s="15">
        <v>0</v>
      </c>
      <c r="PH45" s="15">
        <v>1</v>
      </c>
      <c r="PI45" s="15">
        <v>0</v>
      </c>
      <c r="PJ45" s="15">
        <v>0</v>
      </c>
      <c r="PK45" s="15">
        <v>0</v>
      </c>
      <c r="PL45" s="15">
        <v>0</v>
      </c>
      <c r="PM45" s="15">
        <v>0</v>
      </c>
      <c r="PN45" s="15">
        <v>0</v>
      </c>
      <c r="PO45" s="15">
        <v>0</v>
      </c>
      <c r="PP45" s="15">
        <v>0</v>
      </c>
      <c r="PQ45" s="15">
        <v>0</v>
      </c>
      <c r="PR45" s="15">
        <v>1</v>
      </c>
      <c r="PS45" s="15">
        <v>0</v>
      </c>
      <c r="PT45" s="15">
        <v>0</v>
      </c>
      <c r="PU45" s="15">
        <v>0</v>
      </c>
      <c r="PV45" s="15">
        <v>0</v>
      </c>
      <c r="PW45" s="20">
        <v>0</v>
      </c>
      <c r="PX45" s="20">
        <v>1</v>
      </c>
      <c r="PY45" s="20">
        <v>0</v>
      </c>
      <c r="PZ45" s="15">
        <v>0</v>
      </c>
      <c r="QA45" s="20">
        <v>0</v>
      </c>
      <c r="QB45" s="20">
        <v>0</v>
      </c>
      <c r="QC45" s="20">
        <v>0</v>
      </c>
      <c r="QD45" s="15">
        <v>0</v>
      </c>
      <c r="QE45" s="15">
        <v>0</v>
      </c>
      <c r="QF45" s="15">
        <v>0</v>
      </c>
      <c r="QG45" s="15">
        <v>0</v>
      </c>
      <c r="QH45" s="15">
        <v>0</v>
      </c>
      <c r="QI45" s="15">
        <v>1</v>
      </c>
      <c r="QJ45" s="15">
        <v>0</v>
      </c>
      <c r="QK45" s="15">
        <v>0</v>
      </c>
      <c r="QL45" s="15">
        <v>0</v>
      </c>
      <c r="QM45" s="15">
        <v>0</v>
      </c>
      <c r="QN45" s="15">
        <v>0</v>
      </c>
      <c r="QO45" s="15">
        <v>1</v>
      </c>
      <c r="QP45" s="15">
        <v>0</v>
      </c>
      <c r="QQ45" s="15">
        <v>1</v>
      </c>
      <c r="QR45" s="15">
        <v>0</v>
      </c>
      <c r="QS45" s="15">
        <v>0</v>
      </c>
      <c r="QT45" s="15">
        <v>0</v>
      </c>
      <c r="QU45" s="15">
        <v>0</v>
      </c>
      <c r="QV45" s="15">
        <v>0</v>
      </c>
      <c r="QW45" s="15">
        <v>0</v>
      </c>
      <c r="QX45" s="15">
        <v>0</v>
      </c>
      <c r="QY45" s="15">
        <v>0</v>
      </c>
      <c r="QZ45" s="15">
        <v>0</v>
      </c>
      <c r="RA45" s="15">
        <v>0</v>
      </c>
      <c r="RB45" s="15">
        <v>0</v>
      </c>
      <c r="RC45" s="15">
        <v>0</v>
      </c>
      <c r="RD45" s="15">
        <v>0</v>
      </c>
      <c r="RE45" s="15">
        <v>0</v>
      </c>
      <c r="RF45" s="15">
        <v>0</v>
      </c>
      <c r="RG45" s="15">
        <v>0</v>
      </c>
      <c r="RH45" s="15">
        <v>0</v>
      </c>
      <c r="RI45" s="15">
        <v>0</v>
      </c>
      <c r="RJ45" s="15">
        <v>0</v>
      </c>
      <c r="RK45" s="15">
        <v>0</v>
      </c>
      <c r="RL45" s="15">
        <v>0</v>
      </c>
      <c r="RM45" s="15">
        <v>0</v>
      </c>
      <c r="RN45" s="15">
        <v>0</v>
      </c>
      <c r="RO45" s="15">
        <v>0</v>
      </c>
      <c r="RP45" s="15">
        <v>0</v>
      </c>
      <c r="RQ45" s="15">
        <v>0</v>
      </c>
      <c r="RR45" s="15">
        <v>0</v>
      </c>
      <c r="RS45" s="15"/>
      <c r="RT45" s="15">
        <v>0</v>
      </c>
      <c r="RU45" s="15">
        <v>0</v>
      </c>
      <c r="RV45" s="15">
        <v>0</v>
      </c>
      <c r="RW45" s="15">
        <v>0</v>
      </c>
      <c r="RX45" s="15">
        <v>0</v>
      </c>
      <c r="RY45" s="15">
        <v>0</v>
      </c>
      <c r="RZ45" s="15">
        <v>0</v>
      </c>
      <c r="SA45" s="15">
        <v>0</v>
      </c>
      <c r="SB45" s="15">
        <v>0</v>
      </c>
      <c r="SC45" s="15">
        <v>0</v>
      </c>
      <c r="SD45" s="15">
        <v>0</v>
      </c>
      <c r="SE45" s="15">
        <v>0</v>
      </c>
      <c r="SF45" s="15">
        <v>1</v>
      </c>
      <c r="SG45" s="15">
        <v>0</v>
      </c>
      <c r="SH45" s="15">
        <v>0</v>
      </c>
      <c r="SI45" s="15">
        <v>0</v>
      </c>
      <c r="SJ45" s="15">
        <v>0</v>
      </c>
      <c r="SK45" s="15">
        <v>1</v>
      </c>
      <c r="SL45" s="15">
        <v>0</v>
      </c>
      <c r="SM45" s="15">
        <v>1</v>
      </c>
      <c r="SN45" s="15">
        <v>0</v>
      </c>
      <c r="SO45" s="15">
        <v>0</v>
      </c>
      <c r="SP45" s="15">
        <v>0</v>
      </c>
      <c r="SQ45" s="15">
        <v>0</v>
      </c>
      <c r="SR45" s="15">
        <v>0</v>
      </c>
      <c r="SS45" s="15">
        <v>0</v>
      </c>
      <c r="ST45" s="15">
        <v>0</v>
      </c>
      <c r="SU45" s="15">
        <v>0</v>
      </c>
      <c r="SV45" s="15">
        <v>0</v>
      </c>
      <c r="SW45" s="15">
        <v>0</v>
      </c>
      <c r="SX45" s="15">
        <v>0</v>
      </c>
      <c r="SY45" s="15">
        <v>0</v>
      </c>
      <c r="SZ45" s="15">
        <v>0</v>
      </c>
      <c r="TA45" s="15">
        <v>0</v>
      </c>
      <c r="TB45" s="15">
        <v>0</v>
      </c>
      <c r="TC45" s="15">
        <v>0</v>
      </c>
      <c r="TD45" s="15">
        <v>0</v>
      </c>
      <c r="TE45" s="15">
        <v>0</v>
      </c>
      <c r="TF45" s="15">
        <v>0</v>
      </c>
      <c r="TG45" s="15">
        <v>0</v>
      </c>
      <c r="TH45" s="15">
        <v>0</v>
      </c>
      <c r="TI45" s="15">
        <v>0</v>
      </c>
      <c r="TJ45" s="15">
        <v>0</v>
      </c>
      <c r="TK45" s="15">
        <v>0</v>
      </c>
      <c r="TL45" s="15">
        <v>0</v>
      </c>
      <c r="TM45" s="15">
        <v>0</v>
      </c>
      <c r="TN45" s="15">
        <v>0</v>
      </c>
      <c r="TO45" s="15">
        <v>0</v>
      </c>
      <c r="TP45" s="15">
        <v>1</v>
      </c>
      <c r="TQ45" s="15">
        <v>0</v>
      </c>
      <c r="TR45" s="15">
        <v>0</v>
      </c>
      <c r="TS45" s="15">
        <v>0</v>
      </c>
      <c r="TT45" s="15">
        <v>0</v>
      </c>
      <c r="TU45" s="15">
        <v>0</v>
      </c>
      <c r="TV45" s="15">
        <v>0</v>
      </c>
      <c r="TW45" s="15">
        <v>0</v>
      </c>
      <c r="TX45" s="15">
        <v>0</v>
      </c>
      <c r="TY45" s="15">
        <v>0</v>
      </c>
      <c r="TZ45" s="15">
        <v>1</v>
      </c>
      <c r="UA45" s="15">
        <v>0</v>
      </c>
      <c r="UB45" s="15">
        <v>0</v>
      </c>
      <c r="UC45" s="15">
        <v>0</v>
      </c>
      <c r="UD45" s="15">
        <v>0</v>
      </c>
      <c r="UE45" s="20">
        <v>0</v>
      </c>
      <c r="UF45" s="20">
        <v>1</v>
      </c>
      <c r="UG45" s="20">
        <v>0</v>
      </c>
      <c r="UH45" s="15">
        <v>0</v>
      </c>
      <c r="UI45" s="20">
        <v>0</v>
      </c>
      <c r="UJ45" s="20">
        <v>0</v>
      </c>
      <c r="UK45" s="20">
        <v>0</v>
      </c>
      <c r="UL45" s="15">
        <v>0</v>
      </c>
      <c r="UM45" s="15">
        <v>0</v>
      </c>
      <c r="UN45" s="15">
        <v>0</v>
      </c>
      <c r="UO45" s="15">
        <v>0</v>
      </c>
      <c r="UP45" s="15">
        <v>0</v>
      </c>
      <c r="UQ45" s="15">
        <v>1</v>
      </c>
      <c r="UR45" s="15">
        <v>0</v>
      </c>
      <c r="US45" s="15">
        <v>0</v>
      </c>
      <c r="UT45" s="15">
        <v>0</v>
      </c>
      <c r="UU45" s="15">
        <v>0</v>
      </c>
      <c r="UV45" s="15">
        <v>0</v>
      </c>
      <c r="UW45" s="15">
        <v>1</v>
      </c>
      <c r="UX45" s="15">
        <v>0</v>
      </c>
      <c r="UY45" s="15">
        <v>1</v>
      </c>
      <c r="UZ45" s="15">
        <v>0</v>
      </c>
      <c r="VA45" s="15">
        <v>0</v>
      </c>
      <c r="VB45" s="15">
        <v>0</v>
      </c>
      <c r="VC45" s="15">
        <v>0</v>
      </c>
      <c r="VD45" s="15">
        <v>0</v>
      </c>
      <c r="VE45" s="15">
        <v>0</v>
      </c>
      <c r="VF45" s="15">
        <v>0</v>
      </c>
      <c r="VG45" s="15">
        <v>0</v>
      </c>
      <c r="VH45" s="15">
        <v>0</v>
      </c>
      <c r="VI45" s="15">
        <v>0</v>
      </c>
      <c r="VJ45" s="15">
        <v>0</v>
      </c>
      <c r="VK45" s="15">
        <v>0</v>
      </c>
      <c r="VL45" s="15">
        <v>0</v>
      </c>
      <c r="VM45" s="15">
        <v>0</v>
      </c>
      <c r="VN45" s="15">
        <v>0</v>
      </c>
      <c r="VO45" s="15">
        <v>0</v>
      </c>
      <c r="VP45" s="15">
        <v>0</v>
      </c>
      <c r="VQ45" s="15">
        <v>0</v>
      </c>
      <c r="VR45" s="15">
        <v>0</v>
      </c>
      <c r="VS45" s="15">
        <v>0</v>
      </c>
      <c r="VT45" s="15">
        <v>0</v>
      </c>
      <c r="VU45" s="15">
        <v>0</v>
      </c>
      <c r="VV45" s="15">
        <v>0</v>
      </c>
      <c r="VW45" s="15">
        <v>0</v>
      </c>
      <c r="VX45" s="15">
        <v>0</v>
      </c>
      <c r="VY45" s="15">
        <v>0</v>
      </c>
      <c r="VZ45" s="15">
        <v>0</v>
      </c>
      <c r="WA45" s="15">
        <v>0</v>
      </c>
      <c r="WB45" s="15">
        <v>0</v>
      </c>
      <c r="WC45" s="15">
        <v>0</v>
      </c>
      <c r="WD45" s="15">
        <v>0</v>
      </c>
      <c r="WE45" s="15">
        <v>0</v>
      </c>
      <c r="WF45" s="15">
        <v>0</v>
      </c>
      <c r="WG45" s="15">
        <v>0</v>
      </c>
      <c r="WH45" s="15">
        <v>1</v>
      </c>
      <c r="WI45" s="15">
        <v>0</v>
      </c>
      <c r="WJ45" s="15">
        <v>0</v>
      </c>
      <c r="WK45" s="15">
        <v>0</v>
      </c>
      <c r="WL45" s="15">
        <v>0</v>
      </c>
      <c r="WM45" s="15">
        <v>0</v>
      </c>
      <c r="WN45" s="15">
        <v>0</v>
      </c>
      <c r="WO45" s="15">
        <v>0</v>
      </c>
      <c r="WP45" s="15">
        <v>0</v>
      </c>
      <c r="WQ45" s="15">
        <v>0</v>
      </c>
      <c r="WR45" s="15">
        <v>0</v>
      </c>
      <c r="WS45" s="15">
        <v>0</v>
      </c>
      <c r="WT45" s="15">
        <v>0</v>
      </c>
      <c r="WU45" s="15">
        <v>1</v>
      </c>
      <c r="WV45" s="15">
        <v>0</v>
      </c>
      <c r="WW45" s="15">
        <v>1</v>
      </c>
      <c r="WX45" s="15">
        <v>0</v>
      </c>
      <c r="WY45" s="15">
        <v>1</v>
      </c>
      <c r="WZ45" s="15">
        <v>1</v>
      </c>
      <c r="XA45" s="15">
        <v>0</v>
      </c>
      <c r="XB45" s="15">
        <v>1</v>
      </c>
      <c r="XC45" s="15">
        <v>0</v>
      </c>
      <c r="XD45" s="15">
        <v>1</v>
      </c>
      <c r="XE45" s="15">
        <v>0</v>
      </c>
      <c r="XF45" s="15">
        <v>1</v>
      </c>
      <c r="XG45" s="15">
        <v>0</v>
      </c>
      <c r="XH45" s="15">
        <v>1</v>
      </c>
      <c r="XI45" s="15">
        <v>0</v>
      </c>
      <c r="XJ45" s="15">
        <v>0</v>
      </c>
      <c r="XK45" s="15">
        <v>0</v>
      </c>
      <c r="XL45" s="15">
        <v>0</v>
      </c>
      <c r="XM45" s="15">
        <v>0</v>
      </c>
      <c r="XN45" s="15">
        <v>0</v>
      </c>
      <c r="XO45" s="15">
        <v>0</v>
      </c>
      <c r="XP45" s="15">
        <v>0</v>
      </c>
      <c r="XQ45" s="15">
        <v>0</v>
      </c>
      <c r="XR45" s="15">
        <v>0</v>
      </c>
      <c r="XS45" s="15">
        <v>0</v>
      </c>
      <c r="XT45" s="15">
        <v>0</v>
      </c>
      <c r="XU45" s="15">
        <v>0</v>
      </c>
      <c r="XV45" s="15">
        <v>0</v>
      </c>
      <c r="XW45" s="15">
        <v>0</v>
      </c>
      <c r="XX45" s="15">
        <v>0</v>
      </c>
      <c r="XY45" s="15">
        <v>0</v>
      </c>
      <c r="XZ45" s="15">
        <v>0</v>
      </c>
      <c r="YA45" s="15">
        <v>0</v>
      </c>
      <c r="YB45" s="15">
        <v>0</v>
      </c>
      <c r="YC45" s="15">
        <v>0</v>
      </c>
      <c r="YD45" s="15">
        <v>0</v>
      </c>
      <c r="YE45" s="15">
        <v>0</v>
      </c>
      <c r="YF45" s="15">
        <v>0</v>
      </c>
      <c r="YG45" s="15">
        <v>0</v>
      </c>
      <c r="YH45" s="15">
        <v>0</v>
      </c>
      <c r="YI45" s="15">
        <v>0</v>
      </c>
      <c r="YJ45" s="15">
        <v>0</v>
      </c>
      <c r="YK45" s="15">
        <v>0</v>
      </c>
      <c r="YL45" s="15">
        <v>0</v>
      </c>
      <c r="YM45" s="15">
        <v>0</v>
      </c>
      <c r="YN45" s="15">
        <v>0</v>
      </c>
      <c r="YO45" s="15">
        <v>0</v>
      </c>
      <c r="YP45" s="15">
        <v>0</v>
      </c>
      <c r="YQ45" s="15">
        <v>0</v>
      </c>
      <c r="YR45" s="15">
        <v>0</v>
      </c>
      <c r="YS45" s="15">
        <v>0</v>
      </c>
      <c r="YT45" s="15">
        <v>0</v>
      </c>
      <c r="YU45" s="15">
        <v>0</v>
      </c>
      <c r="YV45" s="15">
        <v>0</v>
      </c>
      <c r="YW45" s="15">
        <v>0</v>
      </c>
      <c r="YX45" s="15">
        <v>0</v>
      </c>
      <c r="YY45" s="15">
        <v>0</v>
      </c>
      <c r="YZ45" s="15">
        <v>0</v>
      </c>
      <c r="ZA45" s="15">
        <v>0</v>
      </c>
      <c r="ZB45" s="15">
        <v>0</v>
      </c>
      <c r="ZC45" s="15">
        <v>0</v>
      </c>
      <c r="ZD45" s="15">
        <v>0</v>
      </c>
      <c r="ZE45" s="15">
        <v>0</v>
      </c>
      <c r="ZF45" s="15">
        <v>0</v>
      </c>
      <c r="ZG45" s="15">
        <v>0</v>
      </c>
      <c r="ZH45" s="15">
        <v>0</v>
      </c>
      <c r="ZI45" s="15">
        <v>0</v>
      </c>
      <c r="ZJ45" s="15">
        <v>0</v>
      </c>
      <c r="ZK45" s="15">
        <v>0</v>
      </c>
      <c r="ZL45" s="15">
        <v>0</v>
      </c>
      <c r="ZM45" s="15">
        <v>0</v>
      </c>
      <c r="ZN45" s="15">
        <v>0</v>
      </c>
      <c r="ZO45" s="15">
        <v>0</v>
      </c>
      <c r="ZP45" s="15">
        <v>0</v>
      </c>
      <c r="ZQ45" s="15">
        <v>1</v>
      </c>
      <c r="ZR45" s="15">
        <v>0</v>
      </c>
      <c r="ZS45" s="15">
        <v>0</v>
      </c>
      <c r="ZT45" s="15">
        <v>0</v>
      </c>
      <c r="ZU45" s="15">
        <v>0</v>
      </c>
      <c r="ZV45" s="15">
        <v>0</v>
      </c>
      <c r="ZW45" s="15">
        <v>0</v>
      </c>
      <c r="ZX45" s="15">
        <v>1</v>
      </c>
      <c r="ZY45" s="15">
        <v>0</v>
      </c>
      <c r="ZZ45" s="15">
        <v>0</v>
      </c>
      <c r="AAA45" s="15">
        <v>0</v>
      </c>
      <c r="AAB45" s="15">
        <v>0</v>
      </c>
      <c r="AAC45" s="15">
        <v>0</v>
      </c>
      <c r="AAD45" s="15">
        <v>0</v>
      </c>
      <c r="AAE45" s="15">
        <v>0</v>
      </c>
      <c r="AAF45" s="15">
        <v>0</v>
      </c>
      <c r="AAG45" s="15">
        <v>0</v>
      </c>
      <c r="AAH45" s="15">
        <v>0</v>
      </c>
      <c r="AAI45" s="15">
        <v>0</v>
      </c>
      <c r="AAJ45" s="15">
        <v>0</v>
      </c>
      <c r="AAK45" s="15">
        <v>0</v>
      </c>
      <c r="AAL45" s="15"/>
      <c r="AAM45" s="15">
        <v>0</v>
      </c>
      <c r="AAN45" s="15">
        <v>0</v>
      </c>
      <c r="AAO45" s="15">
        <v>0</v>
      </c>
      <c r="AAP45" s="15">
        <v>0</v>
      </c>
      <c r="AAQ45" s="15">
        <v>0</v>
      </c>
      <c r="AAR45" s="15">
        <v>0</v>
      </c>
      <c r="AAS45" s="15">
        <v>0</v>
      </c>
      <c r="AAT45" s="15">
        <v>0</v>
      </c>
      <c r="AAU45" s="15">
        <v>0</v>
      </c>
      <c r="AAV45" s="15">
        <v>0</v>
      </c>
      <c r="AAW45" s="15">
        <v>0</v>
      </c>
      <c r="AAX45" s="15"/>
      <c r="AAY45" s="15">
        <v>0</v>
      </c>
      <c r="AAZ45" s="15">
        <v>0</v>
      </c>
      <c r="ABA45" s="15">
        <v>0</v>
      </c>
      <c r="ABB45" s="15">
        <v>0</v>
      </c>
      <c r="ABC45" s="15">
        <v>0</v>
      </c>
      <c r="ABD45" s="15">
        <v>0</v>
      </c>
      <c r="ABE45" s="15">
        <v>0</v>
      </c>
      <c r="ABF45" s="15">
        <v>0</v>
      </c>
      <c r="ABG45" s="15">
        <v>0</v>
      </c>
      <c r="ABH45" s="15">
        <v>0</v>
      </c>
      <c r="ABI45" s="15">
        <v>0</v>
      </c>
      <c r="ABJ45" s="15">
        <v>0</v>
      </c>
      <c r="ABK45" s="15">
        <v>0</v>
      </c>
      <c r="ABL45" s="15">
        <v>0</v>
      </c>
      <c r="ABM45" s="15">
        <v>0</v>
      </c>
      <c r="ABN45" s="15">
        <v>0</v>
      </c>
      <c r="ABO45" s="15">
        <v>0</v>
      </c>
      <c r="ABP45" s="15">
        <v>0</v>
      </c>
      <c r="ABQ45" s="15">
        <v>1</v>
      </c>
      <c r="ABR45" s="15">
        <v>0</v>
      </c>
      <c r="ABS45" s="15">
        <v>0</v>
      </c>
      <c r="ABT45" s="15">
        <v>1</v>
      </c>
      <c r="ABU45" s="15">
        <v>0</v>
      </c>
      <c r="ABV45" s="15">
        <v>1</v>
      </c>
      <c r="ABW45" s="15">
        <v>0</v>
      </c>
      <c r="ABX45" s="15">
        <v>1</v>
      </c>
      <c r="ABY45" s="15">
        <v>0</v>
      </c>
      <c r="ABZ45" s="15">
        <v>1</v>
      </c>
      <c r="ACA45" s="15">
        <v>1</v>
      </c>
      <c r="ACB45" s="15">
        <v>0</v>
      </c>
      <c r="ACC45" s="15">
        <v>1</v>
      </c>
      <c r="ACD45" s="15">
        <v>1</v>
      </c>
      <c r="ACE45" s="15">
        <v>0</v>
      </c>
      <c r="ACF45" s="15">
        <v>1</v>
      </c>
      <c r="ACG45" s="15">
        <v>0</v>
      </c>
      <c r="ACH45" s="15">
        <v>0</v>
      </c>
      <c r="ACI45" s="15">
        <v>0</v>
      </c>
      <c r="ACJ45" s="15">
        <v>0</v>
      </c>
      <c r="ACK45" s="15">
        <v>0</v>
      </c>
      <c r="ACL45" s="15">
        <v>0</v>
      </c>
      <c r="ACM45" s="15">
        <v>0</v>
      </c>
      <c r="ACN45" s="15">
        <v>0</v>
      </c>
      <c r="ACO45" s="15">
        <v>0</v>
      </c>
      <c r="ACP45" s="15">
        <v>0</v>
      </c>
      <c r="ACQ45" s="15">
        <v>0</v>
      </c>
      <c r="ACR45" s="15">
        <v>0</v>
      </c>
      <c r="ACS45" s="15">
        <v>0</v>
      </c>
      <c r="ACT45" s="15">
        <v>0</v>
      </c>
      <c r="ACU45" s="15">
        <v>0</v>
      </c>
      <c r="ACV45" s="15">
        <v>0</v>
      </c>
      <c r="ACW45" s="15">
        <v>0</v>
      </c>
      <c r="ACX45" s="15">
        <v>0</v>
      </c>
      <c r="ACY45" s="15">
        <v>0</v>
      </c>
      <c r="ACZ45" s="15">
        <v>0</v>
      </c>
      <c r="ADA45" s="15">
        <v>0</v>
      </c>
      <c r="ADB45" s="15">
        <v>0</v>
      </c>
      <c r="ADC45" s="15">
        <v>0</v>
      </c>
      <c r="ADD45" s="15">
        <v>0</v>
      </c>
      <c r="ADE45" s="15">
        <v>0</v>
      </c>
      <c r="ADF45" s="15">
        <v>0</v>
      </c>
      <c r="ADG45" s="15">
        <v>0</v>
      </c>
      <c r="ADH45" s="15"/>
      <c r="ADI45" s="15">
        <v>0</v>
      </c>
      <c r="ADJ45" s="15">
        <v>0</v>
      </c>
      <c r="ADK45" s="15">
        <v>0</v>
      </c>
      <c r="ADL45" s="15">
        <v>0</v>
      </c>
      <c r="ADM45" s="15">
        <v>0</v>
      </c>
      <c r="ADN45" s="15">
        <v>0</v>
      </c>
      <c r="ADO45" s="15">
        <v>0</v>
      </c>
      <c r="ADP45" s="15">
        <v>0</v>
      </c>
      <c r="ADQ45" s="15">
        <v>0</v>
      </c>
      <c r="ADR45" s="15">
        <v>0</v>
      </c>
      <c r="ADS45" s="15">
        <v>0</v>
      </c>
      <c r="ADT45" s="15">
        <v>0</v>
      </c>
      <c r="ADU45" s="15">
        <v>0</v>
      </c>
      <c r="ADV45" s="15">
        <v>0</v>
      </c>
      <c r="ADW45" s="15">
        <v>0</v>
      </c>
      <c r="ADX45" s="15">
        <v>0</v>
      </c>
      <c r="ADY45" s="15">
        <v>0</v>
      </c>
      <c r="ADZ45" s="15">
        <v>0</v>
      </c>
      <c r="AEA45" s="15">
        <v>1</v>
      </c>
      <c r="AEB45" s="15">
        <v>0</v>
      </c>
      <c r="AEC45" s="15">
        <v>0</v>
      </c>
      <c r="AED45" s="15">
        <v>1</v>
      </c>
      <c r="AEE45" s="15">
        <v>0</v>
      </c>
      <c r="AEF45" s="15">
        <v>1</v>
      </c>
      <c r="AEG45" s="15">
        <v>0</v>
      </c>
      <c r="AEH45" s="15">
        <v>1</v>
      </c>
      <c r="AEI45" s="15">
        <v>0</v>
      </c>
      <c r="AEJ45" s="15">
        <v>1</v>
      </c>
      <c r="AEK45" s="15">
        <v>1</v>
      </c>
      <c r="AEL45" s="15">
        <v>0</v>
      </c>
      <c r="AEM45" s="15">
        <v>1</v>
      </c>
      <c r="AEN45" s="15">
        <v>1</v>
      </c>
      <c r="AEO45" s="15">
        <v>0</v>
      </c>
      <c r="AEP45" s="15">
        <v>1</v>
      </c>
      <c r="AEQ45" s="15">
        <v>0</v>
      </c>
      <c r="AER45" s="15">
        <v>0</v>
      </c>
      <c r="AES45" s="15">
        <v>0</v>
      </c>
      <c r="AET45" s="15">
        <v>0</v>
      </c>
      <c r="AEU45" s="15">
        <v>0</v>
      </c>
      <c r="AEV45" s="15">
        <v>0</v>
      </c>
      <c r="AEW45" s="15">
        <v>0</v>
      </c>
      <c r="AEX45" s="15">
        <v>0</v>
      </c>
      <c r="AEY45" s="15">
        <v>0</v>
      </c>
      <c r="AEZ45" s="15">
        <v>0</v>
      </c>
      <c r="AFA45" s="15">
        <v>0</v>
      </c>
      <c r="AFB45" s="15">
        <v>0</v>
      </c>
      <c r="AFC45" s="15">
        <v>0</v>
      </c>
      <c r="AFD45" s="15">
        <v>0</v>
      </c>
      <c r="AFE45" s="15">
        <v>0</v>
      </c>
      <c r="AFF45" s="15">
        <v>0</v>
      </c>
      <c r="AFG45" s="15">
        <v>0</v>
      </c>
      <c r="AFH45" s="15">
        <v>0</v>
      </c>
      <c r="AFI45" s="15">
        <v>0</v>
      </c>
      <c r="AFJ45" s="15">
        <v>0</v>
      </c>
      <c r="AFK45" s="15">
        <v>0</v>
      </c>
      <c r="AFL45" s="15">
        <v>0</v>
      </c>
      <c r="AFM45" s="15">
        <v>0</v>
      </c>
      <c r="AFN45" s="15">
        <v>0</v>
      </c>
      <c r="AFO45" s="15">
        <v>0</v>
      </c>
      <c r="AFP45" s="15">
        <v>0</v>
      </c>
      <c r="AFQ45" s="15">
        <v>0</v>
      </c>
      <c r="AFR45" s="15"/>
      <c r="AFS45" s="15">
        <v>0</v>
      </c>
      <c r="AFT45" s="15">
        <v>0</v>
      </c>
      <c r="AFU45" s="15">
        <v>0</v>
      </c>
      <c r="AFV45" s="15">
        <v>0</v>
      </c>
      <c r="AFW45" s="15">
        <v>0</v>
      </c>
      <c r="AFX45" s="15">
        <v>0</v>
      </c>
      <c r="AFY45" s="15">
        <v>0</v>
      </c>
      <c r="AFZ45" s="15">
        <v>0</v>
      </c>
      <c r="AGA45" s="15">
        <v>0</v>
      </c>
      <c r="AGB45" s="15">
        <v>0</v>
      </c>
      <c r="AGC45" s="15">
        <v>0</v>
      </c>
      <c r="AGD45" s="15">
        <v>1</v>
      </c>
      <c r="AGE45" s="15">
        <v>0</v>
      </c>
      <c r="AGF45" s="15">
        <v>0</v>
      </c>
      <c r="AGG45" s="15">
        <v>0</v>
      </c>
      <c r="AGH45" s="15">
        <v>0</v>
      </c>
      <c r="AGI45" s="15">
        <v>0</v>
      </c>
      <c r="AGJ45" s="15">
        <v>0</v>
      </c>
      <c r="AGK45" s="15">
        <v>1</v>
      </c>
      <c r="AGL45" s="15">
        <v>0</v>
      </c>
      <c r="AGM45" s="15">
        <v>0</v>
      </c>
      <c r="AGN45" s="15">
        <v>0</v>
      </c>
      <c r="AGO45" s="15">
        <v>0</v>
      </c>
      <c r="AGP45" s="15">
        <v>0</v>
      </c>
      <c r="AGQ45" s="15">
        <v>0</v>
      </c>
      <c r="AGR45" s="15">
        <v>0</v>
      </c>
      <c r="AGS45" s="15">
        <v>0</v>
      </c>
      <c r="AGT45" s="15">
        <v>1</v>
      </c>
      <c r="AGU45" s="15">
        <v>0</v>
      </c>
      <c r="AGV45" s="15">
        <v>0</v>
      </c>
      <c r="AGW45" s="15">
        <v>0</v>
      </c>
      <c r="AGX45" s="15">
        <v>0</v>
      </c>
      <c r="AGY45" s="15">
        <v>0</v>
      </c>
      <c r="AGZ45" s="15">
        <v>0</v>
      </c>
      <c r="AHA45" s="15">
        <v>0</v>
      </c>
      <c r="AHB45" s="15">
        <v>0</v>
      </c>
      <c r="AHC45" s="15">
        <v>0</v>
      </c>
      <c r="AHD45" s="15">
        <v>0</v>
      </c>
      <c r="AHE45" s="15">
        <v>0</v>
      </c>
      <c r="AHF45" s="15">
        <v>0</v>
      </c>
      <c r="AHG45" s="15">
        <v>0</v>
      </c>
      <c r="AHH45" s="15">
        <v>0</v>
      </c>
      <c r="AHI45" s="15">
        <v>0</v>
      </c>
      <c r="AHJ45" s="15">
        <v>0</v>
      </c>
      <c r="AHK45" s="15">
        <v>0</v>
      </c>
      <c r="AHL45" s="15">
        <v>0</v>
      </c>
      <c r="AHM45" s="15">
        <v>0</v>
      </c>
      <c r="AHN45" s="15">
        <v>0</v>
      </c>
      <c r="AHO45" s="15">
        <v>0</v>
      </c>
      <c r="AHP45" s="15">
        <v>0</v>
      </c>
      <c r="AHQ45" s="15">
        <v>0</v>
      </c>
      <c r="AHR45" s="15">
        <v>0</v>
      </c>
      <c r="AHS45" s="15">
        <v>0</v>
      </c>
      <c r="AHT45" s="15">
        <v>0</v>
      </c>
      <c r="AHU45" s="15">
        <v>0</v>
      </c>
      <c r="AHV45" s="15">
        <v>0</v>
      </c>
      <c r="AHW45" s="15">
        <v>0</v>
      </c>
      <c r="AHX45" s="15">
        <v>0</v>
      </c>
      <c r="AHY45" s="15">
        <v>0</v>
      </c>
      <c r="AHZ45" s="15">
        <v>0</v>
      </c>
      <c r="AIA45" s="15">
        <v>0</v>
      </c>
      <c r="AIB45" s="15">
        <v>0</v>
      </c>
      <c r="AIC45" s="15">
        <v>0</v>
      </c>
      <c r="AID45" s="15">
        <v>0</v>
      </c>
      <c r="AIE45" s="15">
        <v>0</v>
      </c>
      <c r="AIF45" s="15">
        <v>0</v>
      </c>
      <c r="AIG45" s="15">
        <v>0</v>
      </c>
      <c r="AIH45" s="15">
        <v>0</v>
      </c>
      <c r="AII45" s="15">
        <v>0</v>
      </c>
      <c r="AIJ45" s="15">
        <v>0</v>
      </c>
      <c r="AIK45" s="15">
        <v>0</v>
      </c>
      <c r="AIL45" s="15">
        <v>0</v>
      </c>
      <c r="AIM45" s="15">
        <v>0</v>
      </c>
      <c r="AIN45" s="15">
        <v>0</v>
      </c>
      <c r="AIO45" s="15">
        <v>0</v>
      </c>
      <c r="AIP45" s="15">
        <v>0</v>
      </c>
      <c r="AIQ45" s="15">
        <v>0</v>
      </c>
      <c r="AIR45" s="15">
        <v>0</v>
      </c>
      <c r="AIS45" s="15">
        <v>0</v>
      </c>
      <c r="AIT45" s="15">
        <v>0</v>
      </c>
      <c r="AIU45" s="15">
        <v>0</v>
      </c>
      <c r="AIV45" s="15">
        <v>0</v>
      </c>
      <c r="AIW45" s="15">
        <v>0</v>
      </c>
      <c r="AIX45" s="15">
        <v>0</v>
      </c>
      <c r="AIY45" s="15">
        <v>0</v>
      </c>
      <c r="AIZ45" s="15">
        <v>0</v>
      </c>
      <c r="AJA45" s="15">
        <v>0</v>
      </c>
      <c r="AJB45" s="15">
        <v>0</v>
      </c>
      <c r="AJC45" s="15">
        <v>0</v>
      </c>
      <c r="AJD45" s="15">
        <v>0</v>
      </c>
      <c r="AJE45" s="15">
        <v>0</v>
      </c>
      <c r="AJF45" s="15"/>
      <c r="AJG45" s="15">
        <v>0</v>
      </c>
      <c r="AJH45" s="15">
        <v>0</v>
      </c>
      <c r="AJI45" s="15">
        <v>0</v>
      </c>
      <c r="AJJ45" s="15">
        <v>0</v>
      </c>
      <c r="AJK45" s="15">
        <v>0</v>
      </c>
      <c r="AJL45" s="15">
        <v>0</v>
      </c>
      <c r="AJM45" s="15">
        <v>0</v>
      </c>
      <c r="AJN45" s="15"/>
      <c r="AJO45" s="15">
        <v>0</v>
      </c>
      <c r="AJP45" s="15">
        <v>0</v>
      </c>
      <c r="AJQ45" s="15">
        <v>0</v>
      </c>
      <c r="AJR45" s="15">
        <v>0</v>
      </c>
      <c r="AJS45" s="15">
        <v>0</v>
      </c>
      <c r="AJT45" s="15">
        <v>0</v>
      </c>
      <c r="AJU45" s="15">
        <v>0</v>
      </c>
      <c r="AJV45" s="15">
        <v>0</v>
      </c>
      <c r="AJW45" s="15">
        <v>0</v>
      </c>
      <c r="AJX45" s="15"/>
      <c r="AJY45" s="15">
        <v>0</v>
      </c>
      <c r="AJZ45" s="15">
        <v>0</v>
      </c>
      <c r="AKA45" s="15">
        <v>0</v>
      </c>
      <c r="AKB45" s="15">
        <v>0</v>
      </c>
      <c r="AKC45" s="15">
        <v>0</v>
      </c>
      <c r="AKD45" s="15">
        <v>0</v>
      </c>
      <c r="AKE45" s="15">
        <v>0</v>
      </c>
      <c r="AKF45" s="15">
        <v>0</v>
      </c>
      <c r="AKG45" s="15">
        <v>0</v>
      </c>
      <c r="AKH45" s="15">
        <v>0</v>
      </c>
      <c r="AKI45" s="15"/>
      <c r="AKJ45" s="15">
        <v>0</v>
      </c>
      <c r="AKK45" s="15">
        <v>0</v>
      </c>
      <c r="AKL45" s="15">
        <v>0</v>
      </c>
      <c r="AKM45" s="15">
        <v>0</v>
      </c>
      <c r="AKN45" s="15">
        <v>0</v>
      </c>
      <c r="AKO45" s="15">
        <v>0</v>
      </c>
      <c r="AKP45" s="15">
        <v>0</v>
      </c>
      <c r="AKQ45" s="15">
        <v>0</v>
      </c>
      <c r="AKR45" s="15">
        <v>0</v>
      </c>
      <c r="AKS45" s="15">
        <v>0</v>
      </c>
      <c r="AKT45" s="15">
        <v>0</v>
      </c>
      <c r="AKU45" s="15">
        <v>0</v>
      </c>
      <c r="AKV45" s="15">
        <v>0</v>
      </c>
      <c r="AKW45" s="15">
        <v>0</v>
      </c>
      <c r="AKX45" s="15"/>
      <c r="AKY45" s="15">
        <v>0</v>
      </c>
      <c r="AKZ45" s="15">
        <v>0</v>
      </c>
      <c r="ALA45" s="15">
        <v>0</v>
      </c>
      <c r="ALB45" s="15">
        <v>0</v>
      </c>
      <c r="ALC45" s="15">
        <v>0</v>
      </c>
      <c r="ALD45" s="15">
        <v>0</v>
      </c>
      <c r="ALE45" s="15">
        <v>0</v>
      </c>
      <c r="ALF45" s="15">
        <v>0</v>
      </c>
      <c r="ALG45" s="15">
        <v>0</v>
      </c>
      <c r="ALH45" s="15">
        <v>0</v>
      </c>
      <c r="ALI45" s="15">
        <v>0</v>
      </c>
      <c r="ALJ45" s="15">
        <v>0</v>
      </c>
      <c r="ALK45" s="15">
        <v>0</v>
      </c>
      <c r="ALL45" s="15">
        <v>0</v>
      </c>
      <c r="ALM45" s="15"/>
      <c r="ALN45" s="15">
        <v>0</v>
      </c>
      <c r="ALO45" s="15">
        <v>0</v>
      </c>
      <c r="ALP45" s="15">
        <v>0</v>
      </c>
      <c r="ALQ45" s="15">
        <v>0</v>
      </c>
      <c r="ALR45" s="15">
        <v>0</v>
      </c>
      <c r="ALS45" s="15">
        <v>0</v>
      </c>
      <c r="ALT45" s="15">
        <v>0</v>
      </c>
      <c r="ALU45" s="15">
        <v>0</v>
      </c>
      <c r="ALV45" s="15">
        <v>0</v>
      </c>
      <c r="ALW45" s="15">
        <v>0</v>
      </c>
      <c r="ALX45" s="15">
        <v>0</v>
      </c>
      <c r="ALY45" s="15">
        <v>0</v>
      </c>
      <c r="ALZ45" s="15">
        <v>0</v>
      </c>
      <c r="AMA45" s="15">
        <v>0</v>
      </c>
      <c r="AMB45" s="15">
        <v>0</v>
      </c>
      <c r="AMC45" s="15"/>
      <c r="AMD45" s="15">
        <v>0</v>
      </c>
      <c r="AME45" s="15">
        <v>0</v>
      </c>
      <c r="AMF45" s="15">
        <v>0</v>
      </c>
      <c r="AMG45" s="15">
        <v>0</v>
      </c>
      <c r="AMH45" s="15">
        <v>0</v>
      </c>
      <c r="AMI45" s="15">
        <v>0</v>
      </c>
      <c r="AMJ45" s="15">
        <v>0</v>
      </c>
      <c r="AMK45" s="15">
        <v>0</v>
      </c>
      <c r="AML45" s="15">
        <v>0</v>
      </c>
      <c r="AMM45" s="15">
        <v>0</v>
      </c>
      <c r="AMN45" s="15">
        <v>0</v>
      </c>
      <c r="AMO45" s="15">
        <v>0</v>
      </c>
      <c r="AMP45" s="15">
        <v>0</v>
      </c>
      <c r="AMQ45" s="15">
        <v>0</v>
      </c>
      <c r="AMR45" s="15">
        <v>0</v>
      </c>
      <c r="AMS45" s="15">
        <v>0</v>
      </c>
      <c r="AMT45" s="15">
        <v>0</v>
      </c>
      <c r="AMU45" s="15">
        <v>0</v>
      </c>
      <c r="AMV45" s="15">
        <v>0</v>
      </c>
      <c r="AMW45" s="15">
        <v>0</v>
      </c>
      <c r="AMX45" s="15">
        <v>0</v>
      </c>
      <c r="AMY45" s="15">
        <v>0</v>
      </c>
      <c r="AMZ45" s="15">
        <v>0</v>
      </c>
      <c r="ANA45" s="15">
        <v>0</v>
      </c>
      <c r="ANB45" s="15">
        <v>0</v>
      </c>
      <c r="ANC45" s="15">
        <v>0</v>
      </c>
      <c r="AND45" s="15">
        <v>0</v>
      </c>
      <c r="ANE45" s="15"/>
      <c r="ANF45" s="15"/>
      <c r="ANG45" s="15"/>
      <c r="ANH45" s="15"/>
      <c r="ANI45" s="15"/>
      <c r="ANJ45" s="15"/>
      <c r="ANK45" s="15"/>
      <c r="ANL45" s="15"/>
      <c r="ANM45" s="15"/>
      <c r="ANN45" s="15"/>
      <c r="ANO45" s="15"/>
      <c r="ANP45" s="15"/>
      <c r="ANQ45" s="15"/>
      <c r="ANR45" s="15"/>
      <c r="ANS45" s="15"/>
      <c r="ANT45" s="15"/>
      <c r="ANU45" s="15"/>
      <c r="ANV45" s="15"/>
      <c r="ANW45" s="15"/>
      <c r="ANX45" s="15"/>
      <c r="ANY45" s="15"/>
      <c r="ANZ45" s="15"/>
      <c r="AOA45" s="15"/>
      <c r="AOB45" s="15"/>
      <c r="AOC45" s="15"/>
      <c r="AOD45" s="15"/>
      <c r="AOE45" s="15"/>
      <c r="AOF45" s="15"/>
      <c r="AOG45" s="15"/>
      <c r="AOH45" s="15"/>
      <c r="AOI45" s="15"/>
      <c r="AOJ45" s="15"/>
      <c r="AOK45" s="15"/>
      <c r="AOL45" s="15"/>
      <c r="AOM45" s="15"/>
      <c r="AON45" s="15"/>
      <c r="AOO45" s="15"/>
      <c r="AOP45" s="15"/>
      <c r="AOQ45" s="15"/>
      <c r="AOR45" s="15"/>
      <c r="AOS45" s="15"/>
      <c r="AOT45" s="15"/>
      <c r="AOU45" s="15"/>
      <c r="AOV45" s="15"/>
      <c r="AOW45" s="15"/>
      <c r="AOX45" s="15"/>
      <c r="AOY45" s="15"/>
      <c r="AOZ45" s="15"/>
      <c r="APA45" s="15"/>
      <c r="APB45" s="15"/>
      <c r="APC45" s="15"/>
      <c r="APD45" s="15"/>
      <c r="APE45" s="15"/>
      <c r="APF45" s="15"/>
      <c r="APG45" s="15"/>
      <c r="APH45" s="15"/>
      <c r="API45" s="15"/>
      <c r="APJ45" s="15"/>
      <c r="APK45" s="15"/>
      <c r="APL45" s="15"/>
      <c r="APM45" s="15"/>
      <c r="APN45" s="15"/>
      <c r="APO45" s="15"/>
      <c r="APP45" s="15"/>
      <c r="APQ45" s="15"/>
      <c r="APR45" s="15"/>
      <c r="APS45" s="15"/>
      <c r="APT45" s="15"/>
      <c r="APU45" s="15"/>
      <c r="APV45" s="15"/>
      <c r="APW45" s="15"/>
      <c r="APX45" s="15"/>
      <c r="APY45" s="15"/>
      <c r="APZ45" s="15"/>
      <c r="AQA45" s="15"/>
      <c r="AQB45" s="15"/>
    </row>
    <row r="46" spans="1:1120" s="17" customFormat="1" ht="15" customHeight="1" x14ac:dyDescent="0.25">
      <c r="A46" s="3" t="s">
        <v>2</v>
      </c>
      <c r="B46" s="6" t="s">
        <v>85</v>
      </c>
      <c r="C46" s="15"/>
      <c r="D46" s="15">
        <v>0</v>
      </c>
      <c r="E46" s="15">
        <v>0</v>
      </c>
      <c r="F46" s="15">
        <v>0</v>
      </c>
      <c r="G46" s="15">
        <v>0</v>
      </c>
      <c r="H46" s="15">
        <v>0</v>
      </c>
      <c r="I46" s="15">
        <v>0</v>
      </c>
      <c r="J46" s="15"/>
      <c r="K46" s="15">
        <v>0</v>
      </c>
      <c r="L46" s="15">
        <v>0</v>
      </c>
      <c r="M46" s="15">
        <v>0</v>
      </c>
      <c r="N46" s="15">
        <v>0</v>
      </c>
      <c r="O46" s="15">
        <v>0</v>
      </c>
      <c r="P46" s="15">
        <v>0</v>
      </c>
      <c r="Q46" s="15"/>
      <c r="R46" s="15">
        <v>0</v>
      </c>
      <c r="S46" s="15">
        <v>0</v>
      </c>
      <c r="T46" s="15">
        <v>0</v>
      </c>
      <c r="U46" s="15">
        <v>0</v>
      </c>
      <c r="V46" s="15">
        <v>0</v>
      </c>
      <c r="W46" s="15">
        <v>0</v>
      </c>
      <c r="X46" s="15"/>
      <c r="Y46" s="15">
        <v>0</v>
      </c>
      <c r="Z46" s="15">
        <v>0</v>
      </c>
      <c r="AA46" s="15">
        <v>0</v>
      </c>
      <c r="AB46" s="15">
        <v>0</v>
      </c>
      <c r="AC46" s="15">
        <v>0</v>
      </c>
      <c r="AD46" s="15">
        <v>0</v>
      </c>
      <c r="AE46" s="15"/>
      <c r="AF46" s="15">
        <v>0</v>
      </c>
      <c r="AG46" s="15">
        <v>0</v>
      </c>
      <c r="AH46" s="15">
        <v>0</v>
      </c>
      <c r="AI46" s="15">
        <v>0</v>
      </c>
      <c r="AJ46" s="15">
        <v>0</v>
      </c>
      <c r="AK46" s="15">
        <v>0</v>
      </c>
      <c r="AL46" s="15"/>
      <c r="AM46" s="15">
        <v>0</v>
      </c>
      <c r="AN46" s="15">
        <v>0</v>
      </c>
      <c r="AO46" s="15">
        <v>0</v>
      </c>
      <c r="AP46" s="15">
        <v>0</v>
      </c>
      <c r="AQ46" s="15">
        <v>0</v>
      </c>
      <c r="AR46" s="15">
        <v>0</v>
      </c>
      <c r="AS46" s="15">
        <v>0</v>
      </c>
      <c r="AT46" s="15">
        <v>0</v>
      </c>
      <c r="AU46" s="15">
        <v>0</v>
      </c>
      <c r="AV46" s="15">
        <v>0</v>
      </c>
      <c r="AW46" s="15">
        <v>0</v>
      </c>
      <c r="AX46" s="15">
        <v>0</v>
      </c>
      <c r="AY46" s="15">
        <v>0</v>
      </c>
      <c r="AZ46" s="15">
        <v>0</v>
      </c>
      <c r="BA46" s="15">
        <v>0</v>
      </c>
      <c r="BB46" s="15">
        <v>0</v>
      </c>
      <c r="BC46" s="15">
        <v>0</v>
      </c>
      <c r="BD46" s="15">
        <v>0</v>
      </c>
      <c r="BE46" s="15">
        <v>0</v>
      </c>
      <c r="BF46" s="15">
        <v>0</v>
      </c>
      <c r="BG46" s="15">
        <v>0</v>
      </c>
      <c r="BH46" s="15">
        <v>0</v>
      </c>
      <c r="BI46" s="15">
        <v>0</v>
      </c>
      <c r="BJ46" s="15">
        <v>0</v>
      </c>
      <c r="BK46" s="15">
        <v>0</v>
      </c>
      <c r="BL46" s="15">
        <v>0</v>
      </c>
      <c r="BM46" s="15">
        <v>0</v>
      </c>
      <c r="BN46" s="15">
        <v>0</v>
      </c>
      <c r="BO46" s="15">
        <v>0</v>
      </c>
      <c r="BP46" s="15">
        <v>0</v>
      </c>
      <c r="BQ46" s="15">
        <v>0</v>
      </c>
      <c r="BR46" s="15">
        <v>0</v>
      </c>
      <c r="BS46" s="15">
        <v>0</v>
      </c>
      <c r="BT46" s="15">
        <v>0</v>
      </c>
      <c r="BU46" s="15">
        <v>0</v>
      </c>
      <c r="BV46" s="15">
        <v>0</v>
      </c>
      <c r="BW46" s="15">
        <v>0</v>
      </c>
      <c r="BX46" s="15">
        <v>0</v>
      </c>
      <c r="BY46" s="15">
        <v>0</v>
      </c>
      <c r="BZ46" s="15">
        <v>0</v>
      </c>
      <c r="CA46" s="15">
        <v>0</v>
      </c>
      <c r="CB46" s="15">
        <v>0</v>
      </c>
      <c r="CC46" s="15">
        <v>0</v>
      </c>
      <c r="CD46" s="15">
        <v>0</v>
      </c>
      <c r="CE46" s="15">
        <v>0</v>
      </c>
      <c r="CF46" s="15">
        <v>0</v>
      </c>
      <c r="CG46" s="15">
        <v>0</v>
      </c>
      <c r="CH46" s="15">
        <v>0</v>
      </c>
      <c r="CI46" s="15">
        <v>0</v>
      </c>
      <c r="CJ46" s="15">
        <v>0</v>
      </c>
      <c r="CK46" s="15">
        <v>0</v>
      </c>
      <c r="CL46" s="15">
        <v>0</v>
      </c>
      <c r="CM46" s="15">
        <v>0</v>
      </c>
      <c r="CN46" s="15">
        <v>0</v>
      </c>
      <c r="CO46" s="15">
        <v>0</v>
      </c>
      <c r="CP46" s="15">
        <v>0</v>
      </c>
      <c r="CQ46" s="15">
        <v>0</v>
      </c>
      <c r="CR46" s="15">
        <v>0</v>
      </c>
      <c r="CS46" s="15">
        <v>0</v>
      </c>
      <c r="CT46" s="15">
        <v>0</v>
      </c>
      <c r="CU46" s="15">
        <v>0</v>
      </c>
      <c r="CV46" s="15">
        <v>0</v>
      </c>
      <c r="CW46" s="15">
        <v>0</v>
      </c>
      <c r="CX46" s="15">
        <v>0</v>
      </c>
      <c r="CY46" s="15">
        <v>0</v>
      </c>
      <c r="CZ46" s="15">
        <v>0</v>
      </c>
      <c r="DA46" s="15">
        <v>0</v>
      </c>
      <c r="DB46" s="15">
        <v>0</v>
      </c>
      <c r="DC46" s="15">
        <v>0</v>
      </c>
      <c r="DD46" s="15">
        <v>0</v>
      </c>
      <c r="DE46" s="15">
        <v>0</v>
      </c>
      <c r="DF46" s="15">
        <v>0</v>
      </c>
      <c r="DG46" s="15">
        <v>0</v>
      </c>
      <c r="DH46" s="15">
        <v>0</v>
      </c>
      <c r="DI46" s="15">
        <v>0</v>
      </c>
      <c r="DJ46" s="15">
        <v>0</v>
      </c>
      <c r="DK46" s="15">
        <v>0</v>
      </c>
      <c r="DL46" s="15">
        <v>0</v>
      </c>
      <c r="DM46" s="15">
        <v>0</v>
      </c>
      <c r="DN46" s="15">
        <v>0</v>
      </c>
      <c r="DO46" s="15">
        <v>0</v>
      </c>
      <c r="DP46" s="15">
        <v>0</v>
      </c>
      <c r="DQ46" s="15">
        <v>0</v>
      </c>
      <c r="DR46" s="15">
        <v>0</v>
      </c>
      <c r="DS46" s="15">
        <v>0</v>
      </c>
      <c r="DT46" s="15">
        <v>0</v>
      </c>
      <c r="DU46" s="15">
        <v>0</v>
      </c>
      <c r="DV46" s="15">
        <v>0</v>
      </c>
      <c r="DW46" s="15">
        <v>0</v>
      </c>
      <c r="DX46" s="15">
        <v>0</v>
      </c>
      <c r="DY46" s="15">
        <v>0</v>
      </c>
      <c r="DZ46" s="15">
        <v>0</v>
      </c>
      <c r="EA46" s="15">
        <v>0</v>
      </c>
      <c r="EB46" s="15">
        <v>0</v>
      </c>
      <c r="EC46" s="15">
        <v>0</v>
      </c>
      <c r="ED46" s="15">
        <v>0</v>
      </c>
      <c r="EE46" s="15">
        <v>0</v>
      </c>
      <c r="EF46" s="15">
        <v>0</v>
      </c>
      <c r="EG46" s="15">
        <v>0</v>
      </c>
      <c r="EH46" s="15">
        <v>0</v>
      </c>
      <c r="EI46" s="15">
        <v>0</v>
      </c>
      <c r="EJ46" s="15">
        <v>0</v>
      </c>
      <c r="EK46" s="15">
        <v>0</v>
      </c>
      <c r="EL46" s="15">
        <v>0</v>
      </c>
      <c r="EM46" s="15">
        <v>0</v>
      </c>
      <c r="EN46" s="15">
        <v>0</v>
      </c>
      <c r="EO46" s="15">
        <v>0</v>
      </c>
      <c r="EP46" s="15">
        <v>0</v>
      </c>
      <c r="EQ46" s="15">
        <v>0</v>
      </c>
      <c r="ER46" s="15">
        <v>0</v>
      </c>
      <c r="ES46" s="15">
        <v>0</v>
      </c>
      <c r="ET46" s="15">
        <v>0</v>
      </c>
      <c r="EU46" s="15">
        <v>0</v>
      </c>
      <c r="EV46" s="15">
        <v>0</v>
      </c>
      <c r="EW46" s="15">
        <v>0</v>
      </c>
      <c r="EX46" s="15">
        <v>0</v>
      </c>
      <c r="EY46" s="15">
        <v>0</v>
      </c>
      <c r="EZ46" s="15">
        <v>0</v>
      </c>
      <c r="FA46" s="15">
        <v>0</v>
      </c>
      <c r="FB46" s="15">
        <v>0</v>
      </c>
      <c r="FC46" s="15">
        <v>0</v>
      </c>
      <c r="FD46" s="15"/>
      <c r="FE46" s="15">
        <v>0</v>
      </c>
      <c r="FF46" s="15">
        <v>0</v>
      </c>
      <c r="FG46" s="15">
        <v>0</v>
      </c>
      <c r="FH46" s="15">
        <v>0</v>
      </c>
      <c r="FI46" s="15">
        <v>0</v>
      </c>
      <c r="FJ46" s="15">
        <v>0</v>
      </c>
      <c r="FK46" s="15">
        <v>0</v>
      </c>
      <c r="FL46" s="15">
        <v>0</v>
      </c>
      <c r="FM46" s="15">
        <v>0</v>
      </c>
      <c r="FN46" s="15">
        <v>0</v>
      </c>
      <c r="FO46" s="15">
        <v>0</v>
      </c>
      <c r="FP46" s="15">
        <v>0</v>
      </c>
      <c r="FQ46" s="15">
        <v>0</v>
      </c>
      <c r="FR46" s="15">
        <v>0</v>
      </c>
      <c r="FS46" s="15">
        <v>0.1</v>
      </c>
      <c r="FT46" s="15">
        <v>0</v>
      </c>
      <c r="FU46" s="15">
        <v>0</v>
      </c>
      <c r="FV46" s="15">
        <v>0</v>
      </c>
      <c r="FW46" s="15">
        <v>0</v>
      </c>
      <c r="FX46" s="15">
        <v>0</v>
      </c>
      <c r="FY46" s="15">
        <v>0</v>
      </c>
      <c r="FZ46" s="15">
        <v>0.1</v>
      </c>
      <c r="GA46" s="15">
        <v>0</v>
      </c>
      <c r="GB46" s="15">
        <v>0</v>
      </c>
      <c r="GC46" s="15">
        <v>0</v>
      </c>
      <c r="GD46" s="15">
        <v>0</v>
      </c>
      <c r="GE46" s="15">
        <v>0</v>
      </c>
      <c r="GF46" s="15">
        <v>0</v>
      </c>
      <c r="GG46" s="15">
        <v>0.1</v>
      </c>
      <c r="GH46" s="15">
        <v>0</v>
      </c>
      <c r="GI46" s="15">
        <v>0</v>
      </c>
      <c r="GJ46" s="15">
        <v>0</v>
      </c>
      <c r="GK46" s="15">
        <v>0</v>
      </c>
      <c r="GL46" s="15">
        <v>0</v>
      </c>
      <c r="GM46" s="15">
        <v>0</v>
      </c>
      <c r="GN46" s="15">
        <v>0.1</v>
      </c>
      <c r="GO46" s="15">
        <v>0</v>
      </c>
      <c r="GP46" s="15">
        <v>0</v>
      </c>
      <c r="GQ46" s="15">
        <v>0</v>
      </c>
      <c r="GR46" s="15">
        <v>0</v>
      </c>
      <c r="GS46" s="15">
        <v>0</v>
      </c>
      <c r="GT46" s="15">
        <v>0</v>
      </c>
      <c r="GU46" s="15">
        <v>0.1</v>
      </c>
      <c r="GV46" s="15">
        <v>0</v>
      </c>
      <c r="GW46" s="15">
        <v>0</v>
      </c>
      <c r="GX46" s="15">
        <v>0</v>
      </c>
      <c r="GY46" s="15">
        <v>0</v>
      </c>
      <c r="GZ46" s="15">
        <v>0</v>
      </c>
      <c r="HA46" s="15">
        <v>0</v>
      </c>
      <c r="HB46" s="15">
        <v>0.1</v>
      </c>
      <c r="HC46" s="15">
        <v>0</v>
      </c>
      <c r="HD46" s="15">
        <v>0</v>
      </c>
      <c r="HE46" s="15">
        <v>0</v>
      </c>
      <c r="HF46" s="15">
        <v>0</v>
      </c>
      <c r="HG46" s="15">
        <v>0</v>
      </c>
      <c r="HH46" s="15">
        <v>0</v>
      </c>
      <c r="HI46" s="15">
        <v>0.1</v>
      </c>
      <c r="HJ46" s="15">
        <v>0</v>
      </c>
      <c r="HK46" s="15">
        <v>0</v>
      </c>
      <c r="HL46" s="15">
        <v>0</v>
      </c>
      <c r="HM46" s="15">
        <v>0</v>
      </c>
      <c r="HN46" s="15">
        <v>0</v>
      </c>
      <c r="HO46" s="15">
        <v>0</v>
      </c>
      <c r="HP46" s="15">
        <v>0.1</v>
      </c>
      <c r="HQ46" s="15">
        <v>0</v>
      </c>
      <c r="HR46" s="15">
        <v>0</v>
      </c>
      <c r="HS46" s="15">
        <v>0</v>
      </c>
      <c r="HT46" s="15">
        <v>0</v>
      </c>
      <c r="HU46" s="15">
        <v>0</v>
      </c>
      <c r="HV46" s="15">
        <v>0</v>
      </c>
      <c r="HW46" s="15">
        <v>0.1</v>
      </c>
      <c r="HX46" s="15">
        <v>0.1</v>
      </c>
      <c r="HY46" s="15">
        <v>0.1</v>
      </c>
      <c r="HZ46" s="15">
        <v>0.1</v>
      </c>
      <c r="IA46" s="15">
        <v>0.1</v>
      </c>
      <c r="IB46" s="15"/>
      <c r="IC46" s="15">
        <v>0</v>
      </c>
      <c r="ID46" s="15">
        <v>0</v>
      </c>
      <c r="IE46" s="15">
        <v>0</v>
      </c>
      <c r="IF46" s="15">
        <v>0</v>
      </c>
      <c r="IG46" s="15">
        <v>0</v>
      </c>
      <c r="IH46" s="15">
        <v>0</v>
      </c>
      <c r="II46" s="15">
        <v>0</v>
      </c>
      <c r="IJ46" s="15">
        <v>0</v>
      </c>
      <c r="IK46" s="15"/>
      <c r="IL46" s="15">
        <v>0</v>
      </c>
      <c r="IM46" s="15">
        <v>0</v>
      </c>
      <c r="IN46" s="15">
        <v>0</v>
      </c>
      <c r="IO46" s="15">
        <v>0</v>
      </c>
      <c r="IP46" s="15">
        <v>0</v>
      </c>
      <c r="IQ46" s="15">
        <v>0</v>
      </c>
      <c r="IR46" s="15">
        <v>0</v>
      </c>
      <c r="IS46" s="20">
        <v>0.2</v>
      </c>
      <c r="IT46" s="20">
        <v>0</v>
      </c>
      <c r="IU46" s="20">
        <v>0</v>
      </c>
      <c r="IV46" s="20">
        <v>0</v>
      </c>
      <c r="IW46" s="20">
        <v>0</v>
      </c>
      <c r="IX46" s="20">
        <v>0</v>
      </c>
      <c r="IY46" s="20">
        <v>0</v>
      </c>
      <c r="IZ46" s="20">
        <v>0</v>
      </c>
      <c r="JA46" s="20">
        <v>0</v>
      </c>
      <c r="JB46" s="20">
        <v>0</v>
      </c>
      <c r="JC46" s="20">
        <v>0</v>
      </c>
      <c r="JD46" s="20">
        <v>0.2</v>
      </c>
      <c r="JE46" s="20">
        <v>0</v>
      </c>
      <c r="JF46" s="20">
        <v>0</v>
      </c>
      <c r="JG46" s="20">
        <v>0</v>
      </c>
      <c r="JH46" s="15">
        <v>0</v>
      </c>
      <c r="JI46" s="15">
        <v>0</v>
      </c>
      <c r="JJ46" s="15">
        <v>0</v>
      </c>
      <c r="JK46" s="15">
        <v>0</v>
      </c>
      <c r="JL46" s="15">
        <v>0</v>
      </c>
      <c r="JM46" s="15">
        <v>0</v>
      </c>
      <c r="JN46" s="15">
        <v>0</v>
      </c>
      <c r="JO46" s="15">
        <v>0</v>
      </c>
      <c r="JP46" s="15">
        <v>0</v>
      </c>
      <c r="JQ46" s="15">
        <v>0</v>
      </c>
      <c r="JR46" s="15">
        <v>0</v>
      </c>
      <c r="JS46" s="15">
        <v>0</v>
      </c>
      <c r="JT46" s="15">
        <v>0</v>
      </c>
      <c r="JU46" s="15">
        <v>0</v>
      </c>
      <c r="JV46" s="15">
        <v>0</v>
      </c>
      <c r="JW46" s="15">
        <v>0</v>
      </c>
      <c r="JX46" s="15">
        <v>0</v>
      </c>
      <c r="JY46" s="15">
        <v>0</v>
      </c>
      <c r="JZ46" s="15">
        <v>0</v>
      </c>
      <c r="KA46" s="15">
        <v>0</v>
      </c>
      <c r="KB46" s="15">
        <v>0</v>
      </c>
      <c r="KC46" s="15">
        <v>0</v>
      </c>
      <c r="KD46" s="15">
        <v>0</v>
      </c>
      <c r="KE46" s="15">
        <v>0</v>
      </c>
      <c r="KF46" s="15">
        <v>0</v>
      </c>
      <c r="KG46" s="15">
        <v>0</v>
      </c>
      <c r="KH46" s="15">
        <v>0</v>
      </c>
      <c r="KI46" s="15">
        <v>0</v>
      </c>
      <c r="KJ46" s="15">
        <v>0</v>
      </c>
      <c r="KK46" s="15">
        <v>0</v>
      </c>
      <c r="KL46" s="15">
        <v>0</v>
      </c>
      <c r="KM46" s="15">
        <v>0</v>
      </c>
      <c r="KN46" s="15">
        <v>0</v>
      </c>
      <c r="KO46" s="15">
        <v>0</v>
      </c>
      <c r="KP46" s="15">
        <v>0</v>
      </c>
      <c r="KQ46" s="15">
        <v>0</v>
      </c>
      <c r="KR46" s="15">
        <v>0</v>
      </c>
      <c r="KS46" s="15">
        <v>0</v>
      </c>
      <c r="KT46" s="15">
        <v>0</v>
      </c>
      <c r="KU46" s="15">
        <v>10</v>
      </c>
      <c r="KV46" s="15">
        <v>0</v>
      </c>
      <c r="KW46" s="15">
        <v>0</v>
      </c>
      <c r="KX46" s="15">
        <v>0</v>
      </c>
      <c r="KY46" s="15">
        <v>0</v>
      </c>
      <c r="KZ46" s="15">
        <v>0</v>
      </c>
      <c r="LA46" s="15">
        <v>0</v>
      </c>
      <c r="LB46" s="15">
        <v>0</v>
      </c>
      <c r="LC46" s="15">
        <v>0</v>
      </c>
      <c r="LD46" s="15">
        <v>0</v>
      </c>
      <c r="LE46" s="15">
        <v>0</v>
      </c>
      <c r="LF46" s="15">
        <v>0</v>
      </c>
      <c r="LG46" s="15">
        <v>0</v>
      </c>
      <c r="LH46" s="15">
        <v>0</v>
      </c>
      <c r="LI46" s="15">
        <v>0</v>
      </c>
      <c r="LJ46" s="15">
        <v>0</v>
      </c>
      <c r="LK46" s="15">
        <v>0</v>
      </c>
      <c r="LL46" s="15">
        <v>0</v>
      </c>
      <c r="LM46" s="15">
        <v>0</v>
      </c>
      <c r="LN46" s="15">
        <v>0</v>
      </c>
      <c r="LO46" s="15">
        <v>0</v>
      </c>
      <c r="LP46" s="15">
        <v>0</v>
      </c>
      <c r="LQ46" s="15">
        <v>0</v>
      </c>
      <c r="LR46" s="15">
        <v>0</v>
      </c>
      <c r="LS46" s="15">
        <v>0</v>
      </c>
      <c r="LT46" s="15">
        <v>0</v>
      </c>
      <c r="LU46" s="15">
        <v>0</v>
      </c>
      <c r="LV46" s="15">
        <v>0</v>
      </c>
      <c r="LW46" s="15">
        <v>0</v>
      </c>
      <c r="LX46" s="15">
        <v>0</v>
      </c>
      <c r="LY46" s="15">
        <v>0</v>
      </c>
      <c r="LZ46" s="15">
        <v>0</v>
      </c>
      <c r="MA46" s="15">
        <v>0</v>
      </c>
      <c r="MB46" s="15">
        <v>0</v>
      </c>
      <c r="MC46" s="15">
        <v>0</v>
      </c>
      <c r="MD46" s="15">
        <v>0</v>
      </c>
      <c r="ME46" s="15">
        <v>0</v>
      </c>
      <c r="MF46" s="15">
        <v>0</v>
      </c>
      <c r="MG46" s="15">
        <v>0</v>
      </c>
      <c r="MH46" s="15">
        <v>0</v>
      </c>
      <c r="MI46" s="15">
        <v>0</v>
      </c>
      <c r="MJ46" s="15">
        <v>0</v>
      </c>
      <c r="MK46" s="15">
        <v>0</v>
      </c>
      <c r="ML46" s="15">
        <v>0</v>
      </c>
      <c r="MM46" s="15">
        <v>0</v>
      </c>
      <c r="MN46" s="15">
        <v>0</v>
      </c>
      <c r="MO46" s="15">
        <v>0</v>
      </c>
      <c r="MP46" s="15">
        <v>0</v>
      </c>
      <c r="MQ46" s="15">
        <v>0</v>
      </c>
      <c r="MR46" s="15">
        <v>0</v>
      </c>
      <c r="MS46" s="15">
        <v>0</v>
      </c>
      <c r="MT46" s="15">
        <v>0</v>
      </c>
      <c r="MU46" s="15">
        <v>0</v>
      </c>
      <c r="MV46" s="15">
        <v>0</v>
      </c>
      <c r="MW46" s="15">
        <v>0</v>
      </c>
      <c r="MX46" s="15">
        <v>0</v>
      </c>
      <c r="MY46" s="15">
        <v>0</v>
      </c>
      <c r="MZ46" s="15">
        <v>0</v>
      </c>
      <c r="NA46" s="15">
        <v>0</v>
      </c>
      <c r="NB46" s="15">
        <v>0</v>
      </c>
      <c r="NC46" s="15">
        <v>0</v>
      </c>
      <c r="ND46" s="15">
        <v>0</v>
      </c>
      <c r="NE46" s="15">
        <v>0</v>
      </c>
      <c r="NF46" s="15">
        <v>0</v>
      </c>
      <c r="NG46" s="15">
        <v>0</v>
      </c>
      <c r="NH46" s="15">
        <v>0</v>
      </c>
      <c r="NI46" s="15">
        <v>0</v>
      </c>
      <c r="NJ46" s="15">
        <v>0</v>
      </c>
      <c r="NK46" s="15">
        <v>0</v>
      </c>
      <c r="NL46" s="15">
        <v>0</v>
      </c>
      <c r="NM46" s="15">
        <v>0</v>
      </c>
      <c r="NN46" s="15">
        <v>0</v>
      </c>
      <c r="NO46" s="20">
        <v>0</v>
      </c>
      <c r="NP46" s="15">
        <v>0</v>
      </c>
      <c r="NQ46" s="15">
        <v>0</v>
      </c>
      <c r="NR46" s="15">
        <v>0</v>
      </c>
      <c r="NS46" s="15">
        <v>0</v>
      </c>
      <c r="NT46" s="15">
        <v>0</v>
      </c>
      <c r="NU46" s="15">
        <v>0</v>
      </c>
      <c r="NV46" s="15">
        <v>0</v>
      </c>
      <c r="NW46" s="15">
        <v>25</v>
      </c>
      <c r="NX46" s="15">
        <v>0</v>
      </c>
      <c r="NY46" s="15">
        <v>0</v>
      </c>
      <c r="NZ46" s="15">
        <v>0</v>
      </c>
      <c r="OA46" s="15">
        <v>0</v>
      </c>
      <c r="OB46" s="15">
        <v>-25</v>
      </c>
      <c r="OC46" s="15">
        <v>0</v>
      </c>
      <c r="OD46" s="15">
        <v>10</v>
      </c>
      <c r="OE46" s="15">
        <v>0</v>
      </c>
      <c r="OF46" s="15">
        <v>0</v>
      </c>
      <c r="OG46" s="15">
        <v>0</v>
      </c>
      <c r="OH46" s="15">
        <v>0</v>
      </c>
      <c r="OI46" s="15">
        <v>0</v>
      </c>
      <c r="OJ46" s="15">
        <v>0</v>
      </c>
      <c r="OK46" s="15">
        <v>0</v>
      </c>
      <c r="OL46" s="15">
        <v>0</v>
      </c>
      <c r="OM46" s="15">
        <v>0</v>
      </c>
      <c r="ON46" s="15">
        <v>0</v>
      </c>
      <c r="OO46" s="15">
        <v>0</v>
      </c>
      <c r="OP46" s="15">
        <v>0</v>
      </c>
      <c r="OQ46" s="15">
        <v>0</v>
      </c>
      <c r="OR46" s="15">
        <v>0</v>
      </c>
      <c r="OS46" s="15">
        <v>0</v>
      </c>
      <c r="OT46" s="15">
        <v>0</v>
      </c>
      <c r="OU46" s="15">
        <v>0</v>
      </c>
      <c r="OV46" s="15">
        <v>0</v>
      </c>
      <c r="OW46" s="15">
        <v>0</v>
      </c>
      <c r="OX46" s="15">
        <v>0</v>
      </c>
      <c r="OY46" s="15">
        <v>0</v>
      </c>
      <c r="OZ46" s="15">
        <v>0</v>
      </c>
      <c r="PA46" s="15">
        <v>0</v>
      </c>
      <c r="PB46" s="15">
        <v>0</v>
      </c>
      <c r="PC46" s="15">
        <v>0</v>
      </c>
      <c r="PD46" s="15">
        <v>0</v>
      </c>
      <c r="PE46" s="15">
        <v>0</v>
      </c>
      <c r="PF46" s="15">
        <v>0</v>
      </c>
      <c r="PG46" s="15">
        <v>0</v>
      </c>
      <c r="PH46" s="15">
        <v>5</v>
      </c>
      <c r="PI46" s="15">
        <v>0</v>
      </c>
      <c r="PJ46" s="15">
        <v>0</v>
      </c>
      <c r="PK46" s="15">
        <v>0</v>
      </c>
      <c r="PL46" s="15">
        <v>0</v>
      </c>
      <c r="PM46" s="15">
        <v>0</v>
      </c>
      <c r="PN46" s="15">
        <v>0</v>
      </c>
      <c r="PO46" s="15">
        <v>0</v>
      </c>
      <c r="PP46" s="15">
        <v>0</v>
      </c>
      <c r="PQ46" s="15">
        <v>0</v>
      </c>
      <c r="PR46" s="15">
        <v>10</v>
      </c>
      <c r="PS46" s="15">
        <v>0</v>
      </c>
      <c r="PT46" s="15">
        <v>0</v>
      </c>
      <c r="PU46" s="15">
        <v>0</v>
      </c>
      <c r="PV46" s="15">
        <v>0</v>
      </c>
      <c r="PW46" s="20">
        <v>0</v>
      </c>
      <c r="PX46" s="20">
        <v>10</v>
      </c>
      <c r="PY46" s="20">
        <v>0</v>
      </c>
      <c r="PZ46" s="15">
        <v>0</v>
      </c>
      <c r="QA46" s="20">
        <v>0</v>
      </c>
      <c r="QB46" s="20">
        <v>0</v>
      </c>
      <c r="QC46" s="20">
        <v>0</v>
      </c>
      <c r="QD46" s="15">
        <v>0</v>
      </c>
      <c r="QE46" s="15">
        <v>0</v>
      </c>
      <c r="QF46" s="15">
        <v>0</v>
      </c>
      <c r="QG46" s="15">
        <v>0</v>
      </c>
      <c r="QH46" s="15">
        <v>0</v>
      </c>
      <c r="QI46" s="15">
        <v>10</v>
      </c>
      <c r="QJ46" s="15">
        <v>0</v>
      </c>
      <c r="QK46" s="15">
        <v>0</v>
      </c>
      <c r="QL46" s="15">
        <v>0</v>
      </c>
      <c r="QM46" s="15">
        <v>0</v>
      </c>
      <c r="QN46" s="15">
        <v>0</v>
      </c>
      <c r="QO46" s="15">
        <v>10</v>
      </c>
      <c r="QP46" s="15">
        <v>0</v>
      </c>
      <c r="QQ46" s="15">
        <v>10</v>
      </c>
      <c r="QR46" s="15">
        <v>0</v>
      </c>
      <c r="QS46" s="15">
        <v>0</v>
      </c>
      <c r="QT46" s="15">
        <v>0</v>
      </c>
      <c r="QU46" s="15">
        <v>0</v>
      </c>
      <c r="QV46" s="15">
        <v>0</v>
      </c>
      <c r="QW46" s="15">
        <v>0</v>
      </c>
      <c r="QX46" s="15">
        <v>0</v>
      </c>
      <c r="QY46" s="15">
        <v>0</v>
      </c>
      <c r="QZ46" s="15">
        <v>0</v>
      </c>
      <c r="RA46" s="15">
        <v>0</v>
      </c>
      <c r="RB46" s="15">
        <v>0</v>
      </c>
      <c r="RC46" s="15">
        <v>0</v>
      </c>
      <c r="RD46" s="15">
        <v>0</v>
      </c>
      <c r="RE46" s="15">
        <v>0</v>
      </c>
      <c r="RF46" s="15">
        <v>0</v>
      </c>
      <c r="RG46" s="15">
        <v>0</v>
      </c>
      <c r="RH46" s="15">
        <v>0</v>
      </c>
      <c r="RI46" s="15">
        <v>0</v>
      </c>
      <c r="RJ46" s="15">
        <v>0</v>
      </c>
      <c r="RK46" s="15">
        <v>0</v>
      </c>
      <c r="RL46" s="15">
        <v>0</v>
      </c>
      <c r="RM46" s="15">
        <v>0</v>
      </c>
      <c r="RN46" s="15">
        <v>0</v>
      </c>
      <c r="RO46" s="15">
        <v>0</v>
      </c>
      <c r="RP46" s="15">
        <v>0</v>
      </c>
      <c r="RQ46" s="15">
        <v>0</v>
      </c>
      <c r="RR46" s="15">
        <v>0</v>
      </c>
      <c r="RS46" s="15"/>
      <c r="RT46" s="15">
        <v>0</v>
      </c>
      <c r="RU46" s="15">
        <v>0</v>
      </c>
      <c r="RV46" s="15">
        <v>0</v>
      </c>
      <c r="RW46" s="15">
        <v>0</v>
      </c>
      <c r="RX46" s="15">
        <v>0</v>
      </c>
      <c r="RY46" s="15">
        <v>0</v>
      </c>
      <c r="RZ46" s="15">
        <v>0</v>
      </c>
      <c r="SA46" s="15">
        <v>0</v>
      </c>
      <c r="SB46" s="15">
        <v>0</v>
      </c>
      <c r="SC46" s="15">
        <v>0</v>
      </c>
      <c r="SD46" s="15">
        <v>0</v>
      </c>
      <c r="SE46" s="15">
        <v>0</v>
      </c>
      <c r="SF46" s="15">
        <v>25</v>
      </c>
      <c r="SG46" s="15">
        <v>0</v>
      </c>
      <c r="SH46" s="15">
        <v>0</v>
      </c>
      <c r="SI46" s="15">
        <v>0</v>
      </c>
      <c r="SJ46" s="15">
        <v>0</v>
      </c>
      <c r="SK46" s="15">
        <v>-25</v>
      </c>
      <c r="SL46" s="15">
        <v>0</v>
      </c>
      <c r="SM46" s="15">
        <v>10</v>
      </c>
      <c r="SN46" s="15">
        <v>0</v>
      </c>
      <c r="SO46" s="15">
        <v>0</v>
      </c>
      <c r="SP46" s="15">
        <v>0</v>
      </c>
      <c r="SQ46" s="15">
        <v>0</v>
      </c>
      <c r="SR46" s="15">
        <v>0</v>
      </c>
      <c r="SS46" s="15">
        <v>0</v>
      </c>
      <c r="ST46" s="15">
        <v>0</v>
      </c>
      <c r="SU46" s="15">
        <v>0</v>
      </c>
      <c r="SV46" s="15">
        <v>0</v>
      </c>
      <c r="SW46" s="15">
        <v>0</v>
      </c>
      <c r="SX46" s="15">
        <v>0</v>
      </c>
      <c r="SY46" s="15">
        <v>0</v>
      </c>
      <c r="SZ46" s="15">
        <v>0</v>
      </c>
      <c r="TA46" s="15">
        <v>0</v>
      </c>
      <c r="TB46" s="15">
        <v>0</v>
      </c>
      <c r="TC46" s="15">
        <v>0</v>
      </c>
      <c r="TD46" s="15">
        <v>0</v>
      </c>
      <c r="TE46" s="15">
        <v>0</v>
      </c>
      <c r="TF46" s="15">
        <v>0</v>
      </c>
      <c r="TG46" s="15">
        <v>0</v>
      </c>
      <c r="TH46" s="15">
        <v>0</v>
      </c>
      <c r="TI46" s="15">
        <v>0</v>
      </c>
      <c r="TJ46" s="15">
        <v>0</v>
      </c>
      <c r="TK46" s="15">
        <v>0</v>
      </c>
      <c r="TL46" s="15">
        <v>0</v>
      </c>
      <c r="TM46" s="15">
        <v>0</v>
      </c>
      <c r="TN46" s="15">
        <v>0</v>
      </c>
      <c r="TO46" s="15">
        <v>0</v>
      </c>
      <c r="TP46" s="15">
        <v>5</v>
      </c>
      <c r="TQ46" s="15">
        <v>0</v>
      </c>
      <c r="TR46" s="15">
        <v>0</v>
      </c>
      <c r="TS46" s="15">
        <v>0</v>
      </c>
      <c r="TT46" s="15">
        <v>0</v>
      </c>
      <c r="TU46" s="15">
        <v>0</v>
      </c>
      <c r="TV46" s="15">
        <v>0</v>
      </c>
      <c r="TW46" s="15">
        <v>0</v>
      </c>
      <c r="TX46" s="15">
        <v>0</v>
      </c>
      <c r="TY46" s="15">
        <v>0</v>
      </c>
      <c r="TZ46" s="15">
        <v>10</v>
      </c>
      <c r="UA46" s="15">
        <v>0</v>
      </c>
      <c r="UB46" s="15">
        <v>0</v>
      </c>
      <c r="UC46" s="15">
        <v>0</v>
      </c>
      <c r="UD46" s="15">
        <v>0</v>
      </c>
      <c r="UE46" s="20">
        <v>0</v>
      </c>
      <c r="UF46" s="20">
        <v>10</v>
      </c>
      <c r="UG46" s="20">
        <v>0</v>
      </c>
      <c r="UH46" s="15">
        <v>0</v>
      </c>
      <c r="UI46" s="20">
        <v>0</v>
      </c>
      <c r="UJ46" s="20">
        <v>0</v>
      </c>
      <c r="UK46" s="20">
        <v>0</v>
      </c>
      <c r="UL46" s="15">
        <v>0</v>
      </c>
      <c r="UM46" s="15">
        <v>0</v>
      </c>
      <c r="UN46" s="15">
        <v>0</v>
      </c>
      <c r="UO46" s="15">
        <v>0</v>
      </c>
      <c r="UP46" s="15">
        <v>0</v>
      </c>
      <c r="UQ46" s="15">
        <v>10</v>
      </c>
      <c r="UR46" s="15">
        <v>0</v>
      </c>
      <c r="US46" s="15">
        <v>0</v>
      </c>
      <c r="UT46" s="15">
        <v>0</v>
      </c>
      <c r="UU46" s="15">
        <v>0</v>
      </c>
      <c r="UV46" s="15">
        <v>0</v>
      </c>
      <c r="UW46" s="15">
        <v>10</v>
      </c>
      <c r="UX46" s="15">
        <v>0</v>
      </c>
      <c r="UY46" s="15">
        <v>10</v>
      </c>
      <c r="UZ46" s="15">
        <v>0</v>
      </c>
      <c r="VA46" s="15">
        <v>0</v>
      </c>
      <c r="VB46" s="15">
        <v>0</v>
      </c>
      <c r="VC46" s="15">
        <v>0</v>
      </c>
      <c r="VD46" s="15">
        <v>0</v>
      </c>
      <c r="VE46" s="15">
        <v>0</v>
      </c>
      <c r="VF46" s="15">
        <v>0</v>
      </c>
      <c r="VG46" s="15">
        <v>0</v>
      </c>
      <c r="VH46" s="15">
        <v>0</v>
      </c>
      <c r="VI46" s="15">
        <v>0</v>
      </c>
      <c r="VJ46" s="15">
        <v>0</v>
      </c>
      <c r="VK46" s="15">
        <v>0</v>
      </c>
      <c r="VL46" s="15">
        <v>0</v>
      </c>
      <c r="VM46" s="15">
        <v>0</v>
      </c>
      <c r="VN46" s="15">
        <v>0</v>
      </c>
      <c r="VO46" s="15">
        <v>0</v>
      </c>
      <c r="VP46" s="15">
        <v>0</v>
      </c>
      <c r="VQ46" s="15">
        <v>0</v>
      </c>
      <c r="VR46" s="15">
        <v>0</v>
      </c>
      <c r="VS46" s="15">
        <v>0</v>
      </c>
      <c r="VT46" s="15">
        <v>0</v>
      </c>
      <c r="VU46" s="15">
        <v>0</v>
      </c>
      <c r="VV46" s="15">
        <v>0</v>
      </c>
      <c r="VW46" s="15">
        <v>0</v>
      </c>
      <c r="VX46" s="15">
        <v>0</v>
      </c>
      <c r="VY46" s="15">
        <v>0</v>
      </c>
      <c r="VZ46" s="15">
        <v>0</v>
      </c>
      <c r="WA46" s="15">
        <v>0</v>
      </c>
      <c r="WB46" s="15">
        <v>0</v>
      </c>
      <c r="WC46" s="15">
        <v>0</v>
      </c>
      <c r="WD46" s="15">
        <v>0</v>
      </c>
      <c r="WE46" s="15">
        <v>0</v>
      </c>
      <c r="WF46" s="15">
        <v>0</v>
      </c>
      <c r="WG46" s="15">
        <v>0</v>
      </c>
      <c r="WH46" s="15">
        <v>10</v>
      </c>
      <c r="WI46" s="15">
        <v>0</v>
      </c>
      <c r="WJ46" s="15">
        <v>0</v>
      </c>
      <c r="WK46" s="15">
        <v>0</v>
      </c>
      <c r="WL46" s="15">
        <v>0</v>
      </c>
      <c r="WM46" s="15">
        <v>0</v>
      </c>
      <c r="WN46" s="15">
        <v>0</v>
      </c>
      <c r="WO46" s="15">
        <v>0</v>
      </c>
      <c r="WP46" s="15">
        <v>0</v>
      </c>
      <c r="WQ46" s="15">
        <v>0</v>
      </c>
      <c r="WR46" s="15">
        <v>0</v>
      </c>
      <c r="WS46" s="15">
        <v>0</v>
      </c>
      <c r="WT46" s="15">
        <v>0</v>
      </c>
      <c r="WU46" s="15">
        <v>10</v>
      </c>
      <c r="WV46" s="15">
        <v>0</v>
      </c>
      <c r="WW46" s="15">
        <v>10</v>
      </c>
      <c r="WX46" s="15">
        <v>0</v>
      </c>
      <c r="WY46" s="15">
        <v>10</v>
      </c>
      <c r="WZ46" s="15">
        <v>10</v>
      </c>
      <c r="XA46" s="15">
        <v>0</v>
      </c>
      <c r="XB46" s="15">
        <v>10</v>
      </c>
      <c r="XC46" s="15">
        <v>0</v>
      </c>
      <c r="XD46" s="15">
        <v>10</v>
      </c>
      <c r="XE46" s="15">
        <v>0</v>
      </c>
      <c r="XF46" s="15">
        <v>10</v>
      </c>
      <c r="XG46" s="15">
        <v>0</v>
      </c>
      <c r="XH46" s="15">
        <v>10</v>
      </c>
      <c r="XI46" s="15">
        <v>0</v>
      </c>
      <c r="XJ46" s="15">
        <v>0</v>
      </c>
      <c r="XK46" s="15">
        <v>0</v>
      </c>
      <c r="XL46" s="15">
        <v>0</v>
      </c>
      <c r="XM46" s="15">
        <v>0</v>
      </c>
      <c r="XN46" s="15">
        <v>0</v>
      </c>
      <c r="XO46" s="15">
        <v>0</v>
      </c>
      <c r="XP46" s="15">
        <v>0</v>
      </c>
      <c r="XQ46" s="15">
        <v>0</v>
      </c>
      <c r="XR46" s="15">
        <v>0</v>
      </c>
      <c r="XS46" s="15">
        <v>0</v>
      </c>
      <c r="XT46" s="15">
        <v>0</v>
      </c>
      <c r="XU46" s="15">
        <v>0</v>
      </c>
      <c r="XV46" s="15">
        <v>0</v>
      </c>
      <c r="XW46" s="15">
        <v>0</v>
      </c>
      <c r="XX46" s="15">
        <v>0</v>
      </c>
      <c r="XY46" s="15">
        <v>0</v>
      </c>
      <c r="XZ46" s="15">
        <v>0</v>
      </c>
      <c r="YA46" s="15">
        <v>0</v>
      </c>
      <c r="YB46" s="15">
        <v>0</v>
      </c>
      <c r="YC46" s="15">
        <v>0</v>
      </c>
      <c r="YD46" s="15">
        <v>0</v>
      </c>
      <c r="YE46" s="15">
        <v>0</v>
      </c>
      <c r="YF46" s="15">
        <v>0</v>
      </c>
      <c r="YG46" s="15">
        <v>0</v>
      </c>
      <c r="YH46" s="15">
        <v>0</v>
      </c>
      <c r="YI46" s="15">
        <v>0</v>
      </c>
      <c r="YJ46" s="15">
        <v>0</v>
      </c>
      <c r="YK46" s="15">
        <v>0</v>
      </c>
      <c r="YL46" s="15">
        <v>0</v>
      </c>
      <c r="YM46" s="15">
        <v>0</v>
      </c>
      <c r="YN46" s="15">
        <v>0</v>
      </c>
      <c r="YO46" s="15">
        <v>0</v>
      </c>
      <c r="YP46" s="15">
        <v>0</v>
      </c>
      <c r="YQ46" s="15">
        <v>0</v>
      </c>
      <c r="YR46" s="15">
        <v>0</v>
      </c>
      <c r="YS46" s="15">
        <v>0</v>
      </c>
      <c r="YT46" s="15">
        <v>0</v>
      </c>
      <c r="YU46" s="15">
        <v>0</v>
      </c>
      <c r="YV46" s="15">
        <v>0</v>
      </c>
      <c r="YW46" s="15">
        <v>0</v>
      </c>
      <c r="YX46" s="15">
        <v>0</v>
      </c>
      <c r="YY46" s="15">
        <v>0</v>
      </c>
      <c r="YZ46" s="15">
        <v>0</v>
      </c>
      <c r="ZA46" s="15">
        <v>0</v>
      </c>
      <c r="ZB46" s="15">
        <v>0</v>
      </c>
      <c r="ZC46" s="15">
        <v>0</v>
      </c>
      <c r="ZD46" s="15">
        <v>0</v>
      </c>
      <c r="ZE46" s="15">
        <v>0</v>
      </c>
      <c r="ZF46" s="15">
        <v>0</v>
      </c>
      <c r="ZG46" s="15">
        <v>0</v>
      </c>
      <c r="ZH46" s="15">
        <v>0</v>
      </c>
      <c r="ZI46" s="15">
        <v>0</v>
      </c>
      <c r="ZJ46" s="15">
        <v>0</v>
      </c>
      <c r="ZK46" s="15">
        <v>0</v>
      </c>
      <c r="ZL46" s="15">
        <v>0</v>
      </c>
      <c r="ZM46" s="15">
        <v>0</v>
      </c>
      <c r="ZN46" s="15">
        <v>0</v>
      </c>
      <c r="ZO46" s="15">
        <v>0</v>
      </c>
      <c r="ZP46" s="15">
        <v>0</v>
      </c>
      <c r="ZQ46" s="15">
        <v>25</v>
      </c>
      <c r="ZR46" s="15">
        <v>0</v>
      </c>
      <c r="ZS46" s="15">
        <v>0</v>
      </c>
      <c r="ZT46" s="15">
        <v>0</v>
      </c>
      <c r="ZU46" s="15">
        <v>0</v>
      </c>
      <c r="ZV46" s="15">
        <v>0</v>
      </c>
      <c r="ZW46" s="15">
        <v>0</v>
      </c>
      <c r="ZX46" s="15">
        <v>25</v>
      </c>
      <c r="ZY46" s="15">
        <v>0</v>
      </c>
      <c r="ZZ46" s="15">
        <v>0</v>
      </c>
      <c r="AAA46" s="15">
        <v>0</v>
      </c>
      <c r="AAB46" s="15">
        <v>0</v>
      </c>
      <c r="AAC46" s="15">
        <v>0</v>
      </c>
      <c r="AAD46" s="15">
        <v>0</v>
      </c>
      <c r="AAE46" s="15">
        <v>0</v>
      </c>
      <c r="AAF46" s="15">
        <v>0</v>
      </c>
      <c r="AAG46" s="15">
        <v>0</v>
      </c>
      <c r="AAH46" s="15">
        <v>0</v>
      </c>
      <c r="AAI46" s="15">
        <v>0</v>
      </c>
      <c r="AAJ46" s="15">
        <v>0</v>
      </c>
      <c r="AAK46" s="15">
        <v>0</v>
      </c>
      <c r="AAL46" s="15"/>
      <c r="AAM46" s="15">
        <v>0</v>
      </c>
      <c r="AAN46" s="15">
        <v>0</v>
      </c>
      <c r="AAO46" s="15">
        <v>0</v>
      </c>
      <c r="AAP46" s="15">
        <v>0</v>
      </c>
      <c r="AAQ46" s="15">
        <v>0</v>
      </c>
      <c r="AAR46" s="15">
        <v>0</v>
      </c>
      <c r="AAS46" s="15">
        <v>0</v>
      </c>
      <c r="AAT46" s="15">
        <v>0</v>
      </c>
      <c r="AAU46" s="15">
        <v>0</v>
      </c>
      <c r="AAV46" s="15">
        <v>0</v>
      </c>
      <c r="AAW46" s="15">
        <v>0</v>
      </c>
      <c r="AAX46" s="15"/>
      <c r="AAY46" s="15">
        <v>0</v>
      </c>
      <c r="AAZ46" s="15">
        <v>0</v>
      </c>
      <c r="ABA46" s="15">
        <v>0</v>
      </c>
      <c r="ABB46" s="15">
        <v>0</v>
      </c>
      <c r="ABC46" s="15">
        <v>0</v>
      </c>
      <c r="ABD46" s="15">
        <v>0</v>
      </c>
      <c r="ABE46" s="15">
        <v>0</v>
      </c>
      <c r="ABF46" s="15">
        <v>0</v>
      </c>
      <c r="ABG46" s="15">
        <v>0</v>
      </c>
      <c r="ABH46" s="15">
        <v>0</v>
      </c>
      <c r="ABI46" s="15">
        <v>0</v>
      </c>
      <c r="ABJ46" s="15">
        <v>0</v>
      </c>
      <c r="ABK46" s="15">
        <v>0</v>
      </c>
      <c r="ABL46" s="15">
        <v>0</v>
      </c>
      <c r="ABM46" s="15">
        <v>0</v>
      </c>
      <c r="ABN46" s="15">
        <v>0</v>
      </c>
      <c r="ABO46" s="15">
        <v>0</v>
      </c>
      <c r="ABP46" s="15">
        <v>0</v>
      </c>
      <c r="ABQ46" s="15">
        <v>25</v>
      </c>
      <c r="ABR46" s="15">
        <v>0</v>
      </c>
      <c r="ABS46" s="15">
        <v>0</v>
      </c>
      <c r="ABT46" s="15">
        <v>25</v>
      </c>
      <c r="ABU46" s="15">
        <v>0</v>
      </c>
      <c r="ABV46" s="15">
        <v>25</v>
      </c>
      <c r="ABW46" s="15">
        <v>0</v>
      </c>
      <c r="ABX46" s="15">
        <v>25</v>
      </c>
      <c r="ABY46" s="15">
        <v>0</v>
      </c>
      <c r="ABZ46" s="15">
        <v>25</v>
      </c>
      <c r="ACA46" s="15">
        <v>25</v>
      </c>
      <c r="ACB46" s="15">
        <v>0</v>
      </c>
      <c r="ACC46" s="15">
        <v>25</v>
      </c>
      <c r="ACD46" s="15">
        <v>25</v>
      </c>
      <c r="ACE46" s="15">
        <v>0</v>
      </c>
      <c r="ACF46" s="15">
        <v>25</v>
      </c>
      <c r="ACG46" s="15">
        <v>0</v>
      </c>
      <c r="ACH46" s="15">
        <v>0</v>
      </c>
      <c r="ACI46" s="15">
        <v>0</v>
      </c>
      <c r="ACJ46" s="15">
        <v>0</v>
      </c>
      <c r="ACK46" s="15">
        <v>0</v>
      </c>
      <c r="ACL46" s="15">
        <v>0</v>
      </c>
      <c r="ACM46" s="15">
        <v>0</v>
      </c>
      <c r="ACN46" s="15">
        <v>0</v>
      </c>
      <c r="ACO46" s="15">
        <v>0</v>
      </c>
      <c r="ACP46" s="15">
        <v>0</v>
      </c>
      <c r="ACQ46" s="15">
        <v>0</v>
      </c>
      <c r="ACR46" s="15">
        <v>0</v>
      </c>
      <c r="ACS46" s="15">
        <v>0</v>
      </c>
      <c r="ACT46" s="15">
        <v>0</v>
      </c>
      <c r="ACU46" s="15">
        <v>0</v>
      </c>
      <c r="ACV46" s="15">
        <v>0</v>
      </c>
      <c r="ACW46" s="15">
        <v>0</v>
      </c>
      <c r="ACX46" s="15">
        <v>0</v>
      </c>
      <c r="ACY46" s="15">
        <v>0</v>
      </c>
      <c r="ACZ46" s="15">
        <v>0</v>
      </c>
      <c r="ADA46" s="15">
        <v>0</v>
      </c>
      <c r="ADB46" s="15">
        <v>0</v>
      </c>
      <c r="ADC46" s="15">
        <v>0</v>
      </c>
      <c r="ADD46" s="15">
        <v>0</v>
      </c>
      <c r="ADE46" s="15">
        <v>0</v>
      </c>
      <c r="ADF46" s="15">
        <v>0</v>
      </c>
      <c r="ADG46" s="15">
        <v>0</v>
      </c>
      <c r="ADH46" s="15"/>
      <c r="ADI46" s="15">
        <v>0</v>
      </c>
      <c r="ADJ46" s="15">
        <v>0</v>
      </c>
      <c r="ADK46" s="15">
        <v>0</v>
      </c>
      <c r="ADL46" s="15">
        <v>0</v>
      </c>
      <c r="ADM46" s="15">
        <v>0</v>
      </c>
      <c r="ADN46" s="15">
        <v>0</v>
      </c>
      <c r="ADO46" s="15">
        <v>0</v>
      </c>
      <c r="ADP46" s="15">
        <v>0</v>
      </c>
      <c r="ADQ46" s="15">
        <v>0</v>
      </c>
      <c r="ADR46" s="15">
        <v>0</v>
      </c>
      <c r="ADS46" s="15">
        <v>0</v>
      </c>
      <c r="ADT46" s="15">
        <v>0</v>
      </c>
      <c r="ADU46" s="15">
        <v>0</v>
      </c>
      <c r="ADV46" s="15">
        <v>0</v>
      </c>
      <c r="ADW46" s="15">
        <v>0</v>
      </c>
      <c r="ADX46" s="15">
        <v>0</v>
      </c>
      <c r="ADY46" s="15">
        <v>0</v>
      </c>
      <c r="ADZ46" s="15">
        <v>0</v>
      </c>
      <c r="AEA46" s="15">
        <v>25</v>
      </c>
      <c r="AEB46" s="15">
        <v>0</v>
      </c>
      <c r="AEC46" s="15">
        <v>0</v>
      </c>
      <c r="AED46" s="15">
        <v>25</v>
      </c>
      <c r="AEE46" s="15">
        <v>0</v>
      </c>
      <c r="AEF46" s="15">
        <v>25</v>
      </c>
      <c r="AEG46" s="15">
        <v>0</v>
      </c>
      <c r="AEH46" s="15">
        <v>25</v>
      </c>
      <c r="AEI46" s="15">
        <v>0</v>
      </c>
      <c r="AEJ46" s="15">
        <v>25</v>
      </c>
      <c r="AEK46" s="15">
        <v>25</v>
      </c>
      <c r="AEL46" s="15">
        <v>0</v>
      </c>
      <c r="AEM46" s="15">
        <v>25</v>
      </c>
      <c r="AEN46" s="15">
        <v>25</v>
      </c>
      <c r="AEO46" s="15">
        <v>0</v>
      </c>
      <c r="AEP46" s="15">
        <v>25</v>
      </c>
      <c r="AEQ46" s="15">
        <v>0</v>
      </c>
      <c r="AER46" s="15">
        <v>0</v>
      </c>
      <c r="AES46" s="15">
        <v>0</v>
      </c>
      <c r="AET46" s="15">
        <v>0</v>
      </c>
      <c r="AEU46" s="15">
        <v>0</v>
      </c>
      <c r="AEV46" s="15">
        <v>0</v>
      </c>
      <c r="AEW46" s="15">
        <v>0</v>
      </c>
      <c r="AEX46" s="15">
        <v>0</v>
      </c>
      <c r="AEY46" s="15">
        <v>0</v>
      </c>
      <c r="AEZ46" s="15">
        <v>0</v>
      </c>
      <c r="AFA46" s="15">
        <v>0</v>
      </c>
      <c r="AFB46" s="15">
        <v>0</v>
      </c>
      <c r="AFC46" s="15">
        <v>0</v>
      </c>
      <c r="AFD46" s="15">
        <v>0</v>
      </c>
      <c r="AFE46" s="15">
        <v>0</v>
      </c>
      <c r="AFF46" s="15">
        <v>0</v>
      </c>
      <c r="AFG46" s="15">
        <v>0</v>
      </c>
      <c r="AFH46" s="15">
        <v>0</v>
      </c>
      <c r="AFI46" s="15">
        <v>0</v>
      </c>
      <c r="AFJ46" s="15">
        <v>0</v>
      </c>
      <c r="AFK46" s="15">
        <v>0</v>
      </c>
      <c r="AFL46" s="15">
        <v>0</v>
      </c>
      <c r="AFM46" s="15">
        <v>0</v>
      </c>
      <c r="AFN46" s="15">
        <v>0</v>
      </c>
      <c r="AFO46" s="15">
        <v>0</v>
      </c>
      <c r="AFP46" s="15">
        <v>0</v>
      </c>
      <c r="AFQ46" s="15">
        <v>0</v>
      </c>
      <c r="AFR46" s="15"/>
      <c r="AFS46" s="15">
        <v>0</v>
      </c>
      <c r="AFT46" s="15">
        <v>0</v>
      </c>
      <c r="AFU46" s="15">
        <v>0</v>
      </c>
      <c r="AFV46" s="15">
        <v>0</v>
      </c>
      <c r="AFW46" s="15">
        <v>0</v>
      </c>
      <c r="AFX46" s="15">
        <v>0</v>
      </c>
      <c r="AFY46" s="15">
        <v>0</v>
      </c>
      <c r="AFZ46" s="15">
        <v>0</v>
      </c>
      <c r="AGA46" s="15">
        <v>0</v>
      </c>
      <c r="AGB46" s="15">
        <v>0</v>
      </c>
      <c r="AGC46" s="15">
        <v>0</v>
      </c>
      <c r="AGD46" s="15">
        <v>10</v>
      </c>
      <c r="AGE46" s="15">
        <v>0</v>
      </c>
      <c r="AGF46" s="15">
        <v>0</v>
      </c>
      <c r="AGG46" s="15">
        <v>0</v>
      </c>
      <c r="AGH46" s="15">
        <v>0</v>
      </c>
      <c r="AGI46" s="15">
        <v>0</v>
      </c>
      <c r="AGJ46" s="15">
        <v>0</v>
      </c>
      <c r="AGK46" s="15">
        <v>10</v>
      </c>
      <c r="AGL46" s="15">
        <v>0</v>
      </c>
      <c r="AGM46" s="15">
        <v>0</v>
      </c>
      <c r="AGN46" s="15">
        <v>0</v>
      </c>
      <c r="AGO46" s="15">
        <v>0</v>
      </c>
      <c r="AGP46" s="15">
        <v>0</v>
      </c>
      <c r="AGQ46" s="15">
        <v>0</v>
      </c>
      <c r="AGR46" s="15">
        <v>0</v>
      </c>
      <c r="AGS46" s="15">
        <v>0</v>
      </c>
      <c r="AGT46" s="15">
        <v>10</v>
      </c>
      <c r="AGU46" s="15">
        <v>0</v>
      </c>
      <c r="AGV46" s="15">
        <v>0</v>
      </c>
      <c r="AGW46" s="15">
        <v>0</v>
      </c>
      <c r="AGX46" s="15">
        <v>0</v>
      </c>
      <c r="AGY46" s="15">
        <v>0</v>
      </c>
      <c r="AGZ46" s="15">
        <v>0</v>
      </c>
      <c r="AHA46" s="15">
        <v>0</v>
      </c>
      <c r="AHB46" s="15">
        <v>0</v>
      </c>
      <c r="AHC46" s="15">
        <v>0</v>
      </c>
      <c r="AHD46" s="15">
        <v>0</v>
      </c>
      <c r="AHE46" s="15">
        <v>0</v>
      </c>
      <c r="AHF46" s="15">
        <v>0</v>
      </c>
      <c r="AHG46" s="15">
        <v>0</v>
      </c>
      <c r="AHH46" s="15">
        <v>0</v>
      </c>
      <c r="AHI46" s="15">
        <v>0</v>
      </c>
      <c r="AHJ46" s="15">
        <v>0</v>
      </c>
      <c r="AHK46" s="15">
        <v>0</v>
      </c>
      <c r="AHL46" s="15">
        <v>0</v>
      </c>
      <c r="AHM46" s="15">
        <v>0</v>
      </c>
      <c r="AHN46" s="15">
        <v>0</v>
      </c>
      <c r="AHO46" s="15">
        <v>0</v>
      </c>
      <c r="AHP46" s="15">
        <v>0</v>
      </c>
      <c r="AHQ46" s="15">
        <v>0</v>
      </c>
      <c r="AHR46" s="15">
        <v>0</v>
      </c>
      <c r="AHS46" s="15">
        <v>0</v>
      </c>
      <c r="AHT46" s="15">
        <v>0</v>
      </c>
      <c r="AHU46" s="15">
        <v>0</v>
      </c>
      <c r="AHV46" s="15">
        <v>0</v>
      </c>
      <c r="AHW46" s="15">
        <v>0</v>
      </c>
      <c r="AHX46" s="15">
        <v>0</v>
      </c>
      <c r="AHY46" s="15">
        <v>0</v>
      </c>
      <c r="AHZ46" s="15">
        <v>0</v>
      </c>
      <c r="AIA46" s="15">
        <v>0</v>
      </c>
      <c r="AIB46" s="15">
        <v>0</v>
      </c>
      <c r="AIC46" s="15">
        <v>0</v>
      </c>
      <c r="AID46" s="15">
        <v>0</v>
      </c>
      <c r="AIE46" s="15">
        <v>0</v>
      </c>
      <c r="AIF46" s="15">
        <v>0</v>
      </c>
      <c r="AIG46" s="15">
        <v>0</v>
      </c>
      <c r="AIH46" s="15">
        <v>0</v>
      </c>
      <c r="AII46" s="15">
        <v>0</v>
      </c>
      <c r="AIJ46" s="15">
        <v>0</v>
      </c>
      <c r="AIK46" s="15">
        <v>0</v>
      </c>
      <c r="AIL46" s="15">
        <v>0</v>
      </c>
      <c r="AIM46" s="15">
        <v>0</v>
      </c>
      <c r="AIN46" s="15">
        <v>0</v>
      </c>
      <c r="AIO46" s="15">
        <v>0</v>
      </c>
      <c r="AIP46" s="15">
        <v>0</v>
      </c>
      <c r="AIQ46" s="15">
        <v>0</v>
      </c>
      <c r="AIR46" s="15">
        <v>0</v>
      </c>
      <c r="AIS46" s="15">
        <v>0</v>
      </c>
      <c r="AIT46" s="15">
        <v>0</v>
      </c>
      <c r="AIU46" s="15">
        <v>0</v>
      </c>
      <c r="AIV46" s="15">
        <v>0</v>
      </c>
      <c r="AIW46" s="15">
        <v>0</v>
      </c>
      <c r="AIX46" s="15">
        <v>0</v>
      </c>
      <c r="AIY46" s="15">
        <v>0</v>
      </c>
      <c r="AIZ46" s="15">
        <v>0</v>
      </c>
      <c r="AJA46" s="15">
        <v>0</v>
      </c>
      <c r="AJB46" s="15">
        <v>0</v>
      </c>
      <c r="AJC46" s="15">
        <v>0</v>
      </c>
      <c r="AJD46" s="15">
        <v>0</v>
      </c>
      <c r="AJE46" s="15">
        <v>0</v>
      </c>
      <c r="AJF46" s="15"/>
      <c r="AJG46" s="15">
        <v>0</v>
      </c>
      <c r="AJH46" s="15">
        <v>0</v>
      </c>
      <c r="AJI46" s="15">
        <v>0</v>
      </c>
      <c r="AJJ46" s="15">
        <v>0</v>
      </c>
      <c r="AJK46" s="15">
        <v>0</v>
      </c>
      <c r="AJL46" s="15">
        <v>0</v>
      </c>
      <c r="AJM46" s="15">
        <v>0</v>
      </c>
      <c r="AJN46" s="15"/>
      <c r="AJO46" s="15">
        <v>0</v>
      </c>
      <c r="AJP46" s="15">
        <v>0</v>
      </c>
      <c r="AJQ46" s="15">
        <v>0</v>
      </c>
      <c r="AJR46" s="15">
        <v>0</v>
      </c>
      <c r="AJS46" s="15">
        <v>0</v>
      </c>
      <c r="AJT46" s="15">
        <v>0</v>
      </c>
      <c r="AJU46" s="15">
        <v>0</v>
      </c>
      <c r="AJV46" s="15">
        <v>0</v>
      </c>
      <c r="AJW46" s="15">
        <v>0</v>
      </c>
      <c r="AJX46" s="15"/>
      <c r="AJY46" s="15">
        <v>0</v>
      </c>
      <c r="AJZ46" s="15">
        <v>0</v>
      </c>
      <c r="AKA46" s="15">
        <v>0</v>
      </c>
      <c r="AKB46" s="15">
        <v>0</v>
      </c>
      <c r="AKC46" s="15">
        <v>0</v>
      </c>
      <c r="AKD46" s="15">
        <v>0</v>
      </c>
      <c r="AKE46" s="15">
        <v>0</v>
      </c>
      <c r="AKF46" s="15">
        <v>0</v>
      </c>
      <c r="AKG46" s="15">
        <v>0</v>
      </c>
      <c r="AKH46" s="15">
        <v>0</v>
      </c>
      <c r="AKI46" s="15"/>
      <c r="AKJ46" s="15">
        <v>0</v>
      </c>
      <c r="AKK46" s="15">
        <v>0</v>
      </c>
      <c r="AKL46" s="15">
        <v>0</v>
      </c>
      <c r="AKM46" s="15">
        <v>0</v>
      </c>
      <c r="AKN46" s="15">
        <v>0</v>
      </c>
      <c r="AKO46" s="15">
        <v>0</v>
      </c>
      <c r="AKP46" s="15">
        <v>0</v>
      </c>
      <c r="AKQ46" s="15">
        <v>0</v>
      </c>
      <c r="AKR46" s="15">
        <v>0</v>
      </c>
      <c r="AKS46" s="15">
        <v>0</v>
      </c>
      <c r="AKT46" s="15">
        <v>0</v>
      </c>
      <c r="AKU46" s="15">
        <v>0</v>
      </c>
      <c r="AKV46" s="15">
        <v>0</v>
      </c>
      <c r="AKW46" s="15">
        <v>0</v>
      </c>
      <c r="AKX46" s="15"/>
      <c r="AKY46" s="15">
        <v>0</v>
      </c>
      <c r="AKZ46" s="15">
        <v>0</v>
      </c>
      <c r="ALA46" s="15">
        <v>0</v>
      </c>
      <c r="ALB46" s="15">
        <v>0</v>
      </c>
      <c r="ALC46" s="15">
        <v>0</v>
      </c>
      <c r="ALD46" s="15">
        <v>0</v>
      </c>
      <c r="ALE46" s="15">
        <v>0</v>
      </c>
      <c r="ALF46" s="15">
        <v>0</v>
      </c>
      <c r="ALG46" s="15">
        <v>0</v>
      </c>
      <c r="ALH46" s="15">
        <v>0</v>
      </c>
      <c r="ALI46" s="15">
        <v>0</v>
      </c>
      <c r="ALJ46" s="15">
        <v>0</v>
      </c>
      <c r="ALK46" s="15">
        <v>0</v>
      </c>
      <c r="ALL46" s="15">
        <v>0</v>
      </c>
      <c r="ALM46" s="15"/>
      <c r="ALN46" s="15">
        <v>0</v>
      </c>
      <c r="ALO46" s="15">
        <v>0</v>
      </c>
      <c r="ALP46" s="15">
        <v>0</v>
      </c>
      <c r="ALQ46" s="15">
        <v>0</v>
      </c>
      <c r="ALR46" s="15">
        <v>0</v>
      </c>
      <c r="ALS46" s="15">
        <v>0</v>
      </c>
      <c r="ALT46" s="15">
        <v>0</v>
      </c>
      <c r="ALU46" s="15">
        <v>0</v>
      </c>
      <c r="ALV46" s="15">
        <v>0</v>
      </c>
      <c r="ALW46" s="15">
        <v>0</v>
      </c>
      <c r="ALX46" s="15">
        <v>0</v>
      </c>
      <c r="ALY46" s="15">
        <v>0</v>
      </c>
      <c r="ALZ46" s="15">
        <v>0</v>
      </c>
      <c r="AMA46" s="15">
        <v>0</v>
      </c>
      <c r="AMB46" s="15">
        <v>0</v>
      </c>
      <c r="AMC46" s="15"/>
      <c r="AMD46" s="15">
        <v>0</v>
      </c>
      <c r="AME46" s="15">
        <v>0</v>
      </c>
      <c r="AMF46" s="15">
        <v>0</v>
      </c>
      <c r="AMG46" s="15">
        <v>0</v>
      </c>
      <c r="AMH46" s="15">
        <v>0</v>
      </c>
      <c r="AMI46" s="15">
        <v>0</v>
      </c>
      <c r="AMJ46" s="15">
        <v>0</v>
      </c>
      <c r="AMK46" s="15">
        <v>0</v>
      </c>
      <c r="AML46" s="15">
        <v>0</v>
      </c>
      <c r="AMM46" s="15">
        <v>0</v>
      </c>
      <c r="AMN46" s="15">
        <v>0</v>
      </c>
      <c r="AMO46" s="15">
        <v>0</v>
      </c>
      <c r="AMP46" s="15">
        <v>0</v>
      </c>
      <c r="AMQ46" s="15">
        <v>0</v>
      </c>
      <c r="AMR46" s="15">
        <v>0</v>
      </c>
      <c r="AMS46" s="15">
        <v>0</v>
      </c>
      <c r="AMT46" s="15">
        <v>0</v>
      </c>
      <c r="AMU46" s="15">
        <v>0</v>
      </c>
      <c r="AMV46" s="15">
        <v>0</v>
      </c>
      <c r="AMW46" s="15">
        <v>0</v>
      </c>
      <c r="AMX46" s="15">
        <v>0</v>
      </c>
      <c r="AMY46" s="15">
        <v>0</v>
      </c>
      <c r="AMZ46" s="15">
        <v>0</v>
      </c>
      <c r="ANA46" s="15">
        <v>0</v>
      </c>
      <c r="ANB46" s="15">
        <v>0</v>
      </c>
      <c r="ANC46" s="15">
        <v>0</v>
      </c>
      <c r="AND46" s="15">
        <v>0</v>
      </c>
      <c r="ANE46" s="15"/>
      <c r="ANF46" s="15"/>
      <c r="ANG46" s="15"/>
      <c r="ANH46" s="15"/>
      <c r="ANI46" s="15"/>
      <c r="ANJ46" s="15"/>
      <c r="ANK46" s="15"/>
      <c r="ANL46" s="15"/>
      <c r="ANM46" s="15"/>
      <c r="ANN46" s="15"/>
      <c r="ANO46" s="15"/>
      <c r="ANP46" s="15"/>
      <c r="ANQ46" s="15"/>
      <c r="ANR46" s="15"/>
      <c r="ANS46" s="15"/>
      <c r="ANT46" s="15"/>
      <c r="ANU46" s="15"/>
      <c r="ANV46" s="15"/>
      <c r="ANW46" s="15"/>
      <c r="ANX46" s="15"/>
      <c r="ANY46" s="15"/>
      <c r="ANZ46" s="15"/>
      <c r="AOA46" s="15"/>
      <c r="AOB46" s="15"/>
      <c r="AOC46" s="15"/>
      <c r="AOD46" s="15"/>
      <c r="AOE46" s="15"/>
      <c r="AOF46" s="15"/>
      <c r="AOG46" s="15"/>
      <c r="AOH46" s="15"/>
      <c r="AOI46" s="15"/>
      <c r="AOJ46" s="15"/>
      <c r="AOK46" s="15"/>
      <c r="AOL46" s="15"/>
      <c r="AOM46" s="15"/>
      <c r="AON46" s="15"/>
      <c r="AOO46" s="15"/>
      <c r="AOP46" s="15"/>
      <c r="AOQ46" s="15"/>
      <c r="AOR46" s="15"/>
      <c r="AOS46" s="15"/>
      <c r="AOT46" s="15"/>
      <c r="AOU46" s="15"/>
      <c r="AOV46" s="15"/>
      <c r="AOW46" s="15"/>
      <c r="AOX46" s="15"/>
      <c r="AOY46" s="15"/>
      <c r="AOZ46" s="15"/>
      <c r="APA46" s="15"/>
      <c r="APB46" s="15"/>
      <c r="APC46" s="15"/>
      <c r="APD46" s="15"/>
      <c r="APE46" s="15"/>
      <c r="APF46" s="15"/>
      <c r="APG46" s="15"/>
      <c r="APH46" s="15"/>
      <c r="API46" s="15"/>
      <c r="APJ46" s="15"/>
      <c r="APK46" s="15"/>
      <c r="APL46" s="15"/>
      <c r="APM46" s="15"/>
      <c r="APN46" s="15"/>
      <c r="APO46" s="15"/>
      <c r="APP46" s="15"/>
      <c r="APQ46" s="15"/>
      <c r="APR46" s="15"/>
      <c r="APS46" s="15"/>
      <c r="APT46" s="15"/>
      <c r="APU46" s="15"/>
      <c r="APV46" s="15"/>
      <c r="APW46" s="15"/>
      <c r="APX46" s="15"/>
      <c r="APY46" s="15"/>
      <c r="APZ46" s="15"/>
      <c r="AQA46" s="15"/>
      <c r="AQB46" s="15"/>
    </row>
    <row r="47" spans="1:1120" s="17" customFormat="1" ht="15" customHeight="1" x14ac:dyDescent="0.25">
      <c r="A47" s="3" t="s">
        <v>2</v>
      </c>
      <c r="B47" s="6" t="s">
        <v>86</v>
      </c>
      <c r="C47" s="15"/>
      <c r="D47" s="15">
        <v>0</v>
      </c>
      <c r="E47" s="15">
        <v>0</v>
      </c>
      <c r="F47" s="15">
        <v>0</v>
      </c>
      <c r="G47" s="15">
        <v>0</v>
      </c>
      <c r="H47" s="15">
        <v>0</v>
      </c>
      <c r="I47" s="15">
        <v>0</v>
      </c>
      <c r="J47" s="15"/>
      <c r="K47" s="15">
        <v>0</v>
      </c>
      <c r="L47" s="15">
        <v>0</v>
      </c>
      <c r="M47" s="15">
        <v>0</v>
      </c>
      <c r="N47" s="15">
        <v>0</v>
      </c>
      <c r="O47" s="15">
        <v>0</v>
      </c>
      <c r="P47" s="15">
        <v>0</v>
      </c>
      <c r="Q47" s="15"/>
      <c r="R47" s="15">
        <v>0</v>
      </c>
      <c r="S47" s="15">
        <v>0</v>
      </c>
      <c r="T47" s="15">
        <v>0</v>
      </c>
      <c r="U47" s="15">
        <v>0</v>
      </c>
      <c r="V47" s="15">
        <v>0</v>
      </c>
      <c r="W47" s="15">
        <v>0</v>
      </c>
      <c r="X47" s="15"/>
      <c r="Y47" s="15">
        <v>0</v>
      </c>
      <c r="Z47" s="15">
        <v>0</v>
      </c>
      <c r="AA47" s="15">
        <v>0</v>
      </c>
      <c r="AB47" s="15">
        <v>0</v>
      </c>
      <c r="AC47" s="15">
        <v>0</v>
      </c>
      <c r="AD47" s="15">
        <v>0</v>
      </c>
      <c r="AE47" s="15"/>
      <c r="AF47" s="15">
        <v>0</v>
      </c>
      <c r="AG47" s="15">
        <v>0</v>
      </c>
      <c r="AH47" s="15">
        <v>0</v>
      </c>
      <c r="AI47" s="15">
        <v>0</v>
      </c>
      <c r="AJ47" s="15">
        <v>0</v>
      </c>
      <c r="AK47" s="15">
        <v>0</v>
      </c>
      <c r="AL47" s="15"/>
      <c r="AM47" s="15">
        <v>0</v>
      </c>
      <c r="AN47" s="15">
        <v>0</v>
      </c>
      <c r="AO47" s="15">
        <v>0</v>
      </c>
      <c r="AP47" s="15">
        <v>0</v>
      </c>
      <c r="AQ47" s="15">
        <v>0</v>
      </c>
      <c r="AR47" s="15">
        <v>0</v>
      </c>
      <c r="AS47" s="15">
        <v>0</v>
      </c>
      <c r="AT47" s="15">
        <v>0</v>
      </c>
      <c r="AU47" s="15">
        <v>0</v>
      </c>
      <c r="AV47" s="15">
        <v>0</v>
      </c>
      <c r="AW47" s="15">
        <v>0</v>
      </c>
      <c r="AX47" s="15">
        <v>0</v>
      </c>
      <c r="AY47" s="15">
        <v>0</v>
      </c>
      <c r="AZ47" s="15">
        <v>0</v>
      </c>
      <c r="BA47" s="15">
        <v>0</v>
      </c>
      <c r="BB47" s="15">
        <v>0</v>
      </c>
      <c r="BC47" s="15">
        <v>0</v>
      </c>
      <c r="BD47" s="15">
        <v>0</v>
      </c>
      <c r="BE47" s="15">
        <v>0</v>
      </c>
      <c r="BF47" s="15">
        <v>0</v>
      </c>
      <c r="BG47" s="15">
        <v>0</v>
      </c>
      <c r="BH47" s="15">
        <v>0</v>
      </c>
      <c r="BI47" s="15">
        <v>0</v>
      </c>
      <c r="BJ47" s="15">
        <v>0</v>
      </c>
      <c r="BK47" s="15">
        <v>0</v>
      </c>
      <c r="BL47" s="15">
        <v>0</v>
      </c>
      <c r="BM47" s="15">
        <v>0</v>
      </c>
      <c r="BN47" s="15">
        <v>0</v>
      </c>
      <c r="BO47" s="15">
        <v>0</v>
      </c>
      <c r="BP47" s="15">
        <v>0</v>
      </c>
      <c r="BQ47" s="15">
        <v>0</v>
      </c>
      <c r="BR47" s="15">
        <v>0</v>
      </c>
      <c r="BS47" s="15">
        <v>0</v>
      </c>
      <c r="BT47" s="15">
        <v>0</v>
      </c>
      <c r="BU47" s="15">
        <v>0</v>
      </c>
      <c r="BV47" s="15">
        <v>0</v>
      </c>
      <c r="BW47" s="15">
        <v>0</v>
      </c>
      <c r="BX47" s="15">
        <v>0</v>
      </c>
      <c r="BY47" s="15">
        <v>0</v>
      </c>
      <c r="BZ47" s="15">
        <v>0</v>
      </c>
      <c r="CA47" s="15">
        <v>0</v>
      </c>
      <c r="CB47" s="15">
        <v>0</v>
      </c>
      <c r="CC47" s="15">
        <v>0</v>
      </c>
      <c r="CD47" s="15">
        <v>0</v>
      </c>
      <c r="CE47" s="15">
        <v>0</v>
      </c>
      <c r="CF47" s="15">
        <v>0</v>
      </c>
      <c r="CG47" s="15">
        <v>0</v>
      </c>
      <c r="CH47" s="15">
        <v>0</v>
      </c>
      <c r="CI47" s="15">
        <v>0</v>
      </c>
      <c r="CJ47" s="15">
        <v>0</v>
      </c>
      <c r="CK47" s="15">
        <v>0</v>
      </c>
      <c r="CL47" s="15">
        <v>0</v>
      </c>
      <c r="CM47" s="15">
        <v>0</v>
      </c>
      <c r="CN47" s="15">
        <v>0</v>
      </c>
      <c r="CO47" s="15">
        <v>0</v>
      </c>
      <c r="CP47" s="15">
        <v>0</v>
      </c>
      <c r="CQ47" s="15">
        <v>0</v>
      </c>
      <c r="CR47" s="15">
        <v>0</v>
      </c>
      <c r="CS47" s="15">
        <v>0</v>
      </c>
      <c r="CT47" s="15">
        <v>0</v>
      </c>
      <c r="CU47" s="15">
        <v>0</v>
      </c>
      <c r="CV47" s="15">
        <v>0</v>
      </c>
      <c r="CW47" s="15">
        <v>0</v>
      </c>
      <c r="CX47" s="15">
        <v>0</v>
      </c>
      <c r="CY47" s="15">
        <v>0</v>
      </c>
      <c r="CZ47" s="15">
        <v>0</v>
      </c>
      <c r="DA47" s="15">
        <v>0</v>
      </c>
      <c r="DB47" s="15">
        <v>0</v>
      </c>
      <c r="DC47" s="15">
        <v>0</v>
      </c>
      <c r="DD47" s="15">
        <v>0</v>
      </c>
      <c r="DE47" s="15">
        <v>0</v>
      </c>
      <c r="DF47" s="15">
        <v>0</v>
      </c>
      <c r="DG47" s="15">
        <v>0</v>
      </c>
      <c r="DH47" s="15">
        <v>0</v>
      </c>
      <c r="DI47" s="15">
        <v>0</v>
      </c>
      <c r="DJ47" s="15">
        <v>0</v>
      </c>
      <c r="DK47" s="15">
        <v>0</v>
      </c>
      <c r="DL47" s="15">
        <v>0</v>
      </c>
      <c r="DM47" s="15">
        <v>0</v>
      </c>
      <c r="DN47" s="15">
        <v>0</v>
      </c>
      <c r="DO47" s="15">
        <v>0</v>
      </c>
      <c r="DP47" s="15">
        <v>0</v>
      </c>
      <c r="DQ47" s="15">
        <v>0</v>
      </c>
      <c r="DR47" s="15">
        <v>0</v>
      </c>
      <c r="DS47" s="15">
        <v>0</v>
      </c>
      <c r="DT47" s="15">
        <v>0</v>
      </c>
      <c r="DU47" s="15">
        <v>0</v>
      </c>
      <c r="DV47" s="15">
        <v>0</v>
      </c>
      <c r="DW47" s="15">
        <v>0</v>
      </c>
      <c r="DX47" s="15">
        <v>0</v>
      </c>
      <c r="DY47" s="15">
        <v>0</v>
      </c>
      <c r="DZ47" s="15">
        <v>0</v>
      </c>
      <c r="EA47" s="15">
        <v>0</v>
      </c>
      <c r="EB47" s="15">
        <v>0</v>
      </c>
      <c r="EC47" s="15">
        <v>0</v>
      </c>
      <c r="ED47" s="15">
        <v>0</v>
      </c>
      <c r="EE47" s="15">
        <v>0</v>
      </c>
      <c r="EF47" s="15">
        <v>0</v>
      </c>
      <c r="EG47" s="15">
        <v>0</v>
      </c>
      <c r="EH47" s="15">
        <v>0</v>
      </c>
      <c r="EI47" s="15">
        <v>0</v>
      </c>
      <c r="EJ47" s="15">
        <v>0</v>
      </c>
      <c r="EK47" s="15">
        <v>0</v>
      </c>
      <c r="EL47" s="15">
        <v>0</v>
      </c>
      <c r="EM47" s="15">
        <v>0</v>
      </c>
      <c r="EN47" s="15">
        <v>0</v>
      </c>
      <c r="EO47" s="15">
        <v>0</v>
      </c>
      <c r="EP47" s="15">
        <v>0</v>
      </c>
      <c r="EQ47" s="15">
        <v>0</v>
      </c>
      <c r="ER47" s="15">
        <v>0</v>
      </c>
      <c r="ES47" s="15">
        <v>0</v>
      </c>
      <c r="ET47" s="15">
        <v>0</v>
      </c>
      <c r="EU47" s="15">
        <v>0</v>
      </c>
      <c r="EV47" s="15">
        <v>0</v>
      </c>
      <c r="EW47" s="15">
        <v>0</v>
      </c>
      <c r="EX47" s="15">
        <v>0</v>
      </c>
      <c r="EY47" s="15">
        <v>0</v>
      </c>
      <c r="EZ47" s="15">
        <v>0</v>
      </c>
      <c r="FA47" s="15">
        <v>0</v>
      </c>
      <c r="FB47" s="15">
        <v>0</v>
      </c>
      <c r="FC47" s="15">
        <v>0</v>
      </c>
      <c r="FD47" s="15"/>
      <c r="FE47" s="15">
        <v>0</v>
      </c>
      <c r="FF47" s="15">
        <v>0</v>
      </c>
      <c r="FG47" s="15">
        <v>0</v>
      </c>
      <c r="FH47" s="15">
        <v>0</v>
      </c>
      <c r="FI47" s="15">
        <v>0</v>
      </c>
      <c r="FJ47" s="15">
        <v>0</v>
      </c>
      <c r="FK47" s="15">
        <v>0</v>
      </c>
      <c r="FL47" s="15">
        <v>1</v>
      </c>
      <c r="FM47" s="15">
        <v>0</v>
      </c>
      <c r="FN47" s="15">
        <v>0</v>
      </c>
      <c r="FO47" s="15">
        <v>0</v>
      </c>
      <c r="FP47" s="15">
        <v>0</v>
      </c>
      <c r="FQ47" s="15">
        <v>0</v>
      </c>
      <c r="FR47" s="15">
        <v>0</v>
      </c>
      <c r="FS47" s="15">
        <v>1</v>
      </c>
      <c r="FT47" s="15">
        <v>0</v>
      </c>
      <c r="FU47" s="15">
        <v>0</v>
      </c>
      <c r="FV47" s="15">
        <v>0</v>
      </c>
      <c r="FW47" s="15">
        <v>0</v>
      </c>
      <c r="FX47" s="15">
        <v>0</v>
      </c>
      <c r="FY47" s="15">
        <v>0</v>
      </c>
      <c r="FZ47" s="15">
        <v>1</v>
      </c>
      <c r="GA47" s="15">
        <v>0</v>
      </c>
      <c r="GB47" s="15">
        <v>0</v>
      </c>
      <c r="GC47" s="15">
        <v>0</v>
      </c>
      <c r="GD47" s="15">
        <v>0</v>
      </c>
      <c r="GE47" s="15">
        <v>0</v>
      </c>
      <c r="GF47" s="15">
        <v>0</v>
      </c>
      <c r="GG47" s="15">
        <v>1</v>
      </c>
      <c r="GH47" s="15">
        <v>0</v>
      </c>
      <c r="GI47" s="15">
        <v>0</v>
      </c>
      <c r="GJ47" s="15">
        <v>0</v>
      </c>
      <c r="GK47" s="15">
        <v>0</v>
      </c>
      <c r="GL47" s="15">
        <v>0</v>
      </c>
      <c r="GM47" s="15">
        <v>0</v>
      </c>
      <c r="GN47" s="15">
        <v>1</v>
      </c>
      <c r="GO47" s="15">
        <v>0</v>
      </c>
      <c r="GP47" s="15">
        <v>0</v>
      </c>
      <c r="GQ47" s="15">
        <v>0</v>
      </c>
      <c r="GR47" s="15">
        <v>0</v>
      </c>
      <c r="GS47" s="15">
        <v>0</v>
      </c>
      <c r="GT47" s="15">
        <v>0</v>
      </c>
      <c r="GU47" s="15">
        <v>1</v>
      </c>
      <c r="GV47" s="15">
        <v>0</v>
      </c>
      <c r="GW47" s="15">
        <v>0</v>
      </c>
      <c r="GX47" s="15">
        <v>0</v>
      </c>
      <c r="GY47" s="15">
        <v>0</v>
      </c>
      <c r="GZ47" s="15">
        <v>0</v>
      </c>
      <c r="HA47" s="15">
        <v>0</v>
      </c>
      <c r="HB47" s="15">
        <v>1</v>
      </c>
      <c r="HC47" s="15">
        <v>0</v>
      </c>
      <c r="HD47" s="15">
        <v>0</v>
      </c>
      <c r="HE47" s="15">
        <v>0</v>
      </c>
      <c r="HF47" s="15">
        <v>0</v>
      </c>
      <c r="HG47" s="15">
        <v>0</v>
      </c>
      <c r="HH47" s="15">
        <v>0</v>
      </c>
      <c r="HI47" s="15">
        <v>1</v>
      </c>
      <c r="HJ47" s="15">
        <v>0</v>
      </c>
      <c r="HK47" s="15">
        <v>0</v>
      </c>
      <c r="HL47" s="15">
        <v>0</v>
      </c>
      <c r="HM47" s="15">
        <v>0</v>
      </c>
      <c r="HN47" s="15">
        <v>0</v>
      </c>
      <c r="HO47" s="15">
        <v>0</v>
      </c>
      <c r="HP47" s="15">
        <v>1</v>
      </c>
      <c r="HQ47" s="15">
        <v>0</v>
      </c>
      <c r="HR47" s="15">
        <v>0</v>
      </c>
      <c r="HS47" s="15">
        <v>0</v>
      </c>
      <c r="HT47" s="15">
        <v>0</v>
      </c>
      <c r="HU47" s="15">
        <v>0</v>
      </c>
      <c r="HV47" s="15">
        <v>0</v>
      </c>
      <c r="HW47" s="15">
        <v>1</v>
      </c>
      <c r="HX47" s="15">
        <v>1</v>
      </c>
      <c r="HY47" s="15">
        <v>1</v>
      </c>
      <c r="HZ47" s="15">
        <v>1</v>
      </c>
      <c r="IA47" s="15">
        <v>1</v>
      </c>
      <c r="IB47" s="15"/>
      <c r="IC47" s="15">
        <v>0</v>
      </c>
      <c r="ID47" s="15">
        <v>0</v>
      </c>
      <c r="IE47" s="15">
        <v>0</v>
      </c>
      <c r="IF47" s="15">
        <v>0</v>
      </c>
      <c r="IG47" s="15">
        <v>0</v>
      </c>
      <c r="IH47" s="15">
        <v>0</v>
      </c>
      <c r="II47" s="15">
        <v>0</v>
      </c>
      <c r="IJ47" s="15">
        <v>0</v>
      </c>
      <c r="IK47" s="15"/>
      <c r="IL47" s="15">
        <v>0</v>
      </c>
      <c r="IM47" s="15">
        <v>0</v>
      </c>
      <c r="IN47" s="15">
        <v>0</v>
      </c>
      <c r="IO47" s="15">
        <v>0</v>
      </c>
      <c r="IP47" s="15">
        <v>0</v>
      </c>
      <c r="IQ47" s="15">
        <v>0</v>
      </c>
      <c r="IR47" s="15">
        <v>0</v>
      </c>
      <c r="IS47" s="20">
        <v>1</v>
      </c>
      <c r="IT47" s="20">
        <v>0</v>
      </c>
      <c r="IU47" s="20">
        <v>0</v>
      </c>
      <c r="IV47" s="20">
        <v>0</v>
      </c>
      <c r="IW47" s="20">
        <v>0</v>
      </c>
      <c r="IX47" s="20">
        <v>0</v>
      </c>
      <c r="IY47" s="20">
        <v>0</v>
      </c>
      <c r="IZ47" s="20">
        <v>0</v>
      </c>
      <c r="JA47" s="20">
        <v>0</v>
      </c>
      <c r="JB47" s="20">
        <v>0</v>
      </c>
      <c r="JC47" s="20">
        <v>0</v>
      </c>
      <c r="JD47" s="20">
        <v>1</v>
      </c>
      <c r="JE47" s="20">
        <v>0</v>
      </c>
      <c r="JF47" s="20">
        <v>0</v>
      </c>
      <c r="JG47" s="20">
        <v>0</v>
      </c>
      <c r="JH47" s="15">
        <v>0</v>
      </c>
      <c r="JI47" s="15">
        <v>0</v>
      </c>
      <c r="JJ47" s="15">
        <v>0</v>
      </c>
      <c r="JK47" s="15">
        <v>0</v>
      </c>
      <c r="JL47" s="15">
        <v>0</v>
      </c>
      <c r="JM47" s="15">
        <v>0</v>
      </c>
      <c r="JN47" s="15">
        <v>0</v>
      </c>
      <c r="JO47" s="15">
        <v>0</v>
      </c>
      <c r="JP47" s="15">
        <v>0</v>
      </c>
      <c r="JQ47" s="15">
        <v>0</v>
      </c>
      <c r="JR47" s="15">
        <v>0</v>
      </c>
      <c r="JS47" s="15">
        <v>0</v>
      </c>
      <c r="JT47" s="15">
        <v>0</v>
      </c>
      <c r="JU47" s="15">
        <v>0</v>
      </c>
      <c r="JV47" s="15">
        <v>0</v>
      </c>
      <c r="JW47" s="15">
        <v>0</v>
      </c>
      <c r="JX47" s="15">
        <v>0</v>
      </c>
      <c r="JY47" s="15">
        <v>0</v>
      </c>
      <c r="JZ47" s="15">
        <v>0</v>
      </c>
      <c r="KA47" s="15">
        <v>0</v>
      </c>
      <c r="KB47" s="15">
        <v>0</v>
      </c>
      <c r="KC47" s="15">
        <v>0</v>
      </c>
      <c r="KD47" s="15">
        <v>0</v>
      </c>
      <c r="KE47" s="15">
        <v>0</v>
      </c>
      <c r="KF47" s="15">
        <v>0</v>
      </c>
      <c r="KG47" s="15">
        <v>0</v>
      </c>
      <c r="KH47" s="15">
        <v>0</v>
      </c>
      <c r="KI47" s="15">
        <v>0</v>
      </c>
      <c r="KJ47" s="15">
        <v>0</v>
      </c>
      <c r="KK47" s="15">
        <v>0</v>
      </c>
      <c r="KL47" s="15">
        <v>0</v>
      </c>
      <c r="KM47" s="15">
        <v>0</v>
      </c>
      <c r="KN47" s="15">
        <v>0</v>
      </c>
      <c r="KO47" s="15">
        <v>0</v>
      </c>
      <c r="KP47" s="15">
        <v>0</v>
      </c>
      <c r="KQ47" s="15">
        <v>0</v>
      </c>
      <c r="KR47" s="15">
        <v>0</v>
      </c>
      <c r="KS47" s="15">
        <v>0</v>
      </c>
      <c r="KT47" s="15">
        <v>0</v>
      </c>
      <c r="KU47" s="15">
        <v>1</v>
      </c>
      <c r="KV47" s="15">
        <v>0</v>
      </c>
      <c r="KW47" s="15">
        <v>0</v>
      </c>
      <c r="KX47" s="15">
        <v>0</v>
      </c>
      <c r="KY47" s="15">
        <v>0</v>
      </c>
      <c r="KZ47" s="15">
        <v>0</v>
      </c>
      <c r="LA47" s="15">
        <v>0</v>
      </c>
      <c r="LB47" s="15">
        <v>0</v>
      </c>
      <c r="LC47" s="15">
        <v>0</v>
      </c>
      <c r="LD47" s="15">
        <v>0</v>
      </c>
      <c r="LE47" s="15">
        <v>0</v>
      </c>
      <c r="LF47" s="15">
        <v>0</v>
      </c>
      <c r="LG47" s="15">
        <v>0</v>
      </c>
      <c r="LH47" s="15">
        <v>0</v>
      </c>
      <c r="LI47" s="15">
        <v>0</v>
      </c>
      <c r="LJ47" s="15">
        <v>0</v>
      </c>
      <c r="LK47" s="15">
        <v>0</v>
      </c>
      <c r="LL47" s="15">
        <v>0</v>
      </c>
      <c r="LM47" s="15">
        <v>0</v>
      </c>
      <c r="LN47" s="15">
        <v>0</v>
      </c>
      <c r="LO47" s="15">
        <v>0</v>
      </c>
      <c r="LP47" s="15">
        <v>0</v>
      </c>
      <c r="LQ47" s="15">
        <v>0</v>
      </c>
      <c r="LR47" s="15">
        <v>0</v>
      </c>
      <c r="LS47" s="15">
        <v>0</v>
      </c>
      <c r="LT47" s="15">
        <v>0</v>
      </c>
      <c r="LU47" s="15">
        <v>0</v>
      </c>
      <c r="LV47" s="15">
        <v>0</v>
      </c>
      <c r="LW47" s="15">
        <v>0</v>
      </c>
      <c r="LX47" s="15">
        <v>0</v>
      </c>
      <c r="LY47" s="15">
        <v>0</v>
      </c>
      <c r="LZ47" s="15">
        <v>0</v>
      </c>
      <c r="MA47" s="15">
        <v>0</v>
      </c>
      <c r="MB47" s="15">
        <v>0</v>
      </c>
      <c r="MC47" s="15">
        <v>0</v>
      </c>
      <c r="MD47" s="15">
        <v>0</v>
      </c>
      <c r="ME47" s="15">
        <v>0</v>
      </c>
      <c r="MF47" s="15">
        <v>0</v>
      </c>
      <c r="MG47" s="15">
        <v>0</v>
      </c>
      <c r="MH47" s="15">
        <v>0</v>
      </c>
      <c r="MI47" s="15">
        <v>0</v>
      </c>
      <c r="MJ47" s="15">
        <v>0</v>
      </c>
      <c r="MK47" s="15">
        <v>0</v>
      </c>
      <c r="ML47" s="15">
        <v>0</v>
      </c>
      <c r="MM47" s="15">
        <v>0</v>
      </c>
      <c r="MN47" s="15">
        <v>0</v>
      </c>
      <c r="MO47" s="15">
        <v>0</v>
      </c>
      <c r="MP47" s="15">
        <v>0</v>
      </c>
      <c r="MQ47" s="15">
        <v>0</v>
      </c>
      <c r="MR47" s="15">
        <v>0</v>
      </c>
      <c r="MS47" s="15">
        <v>0</v>
      </c>
      <c r="MT47" s="15">
        <v>0</v>
      </c>
      <c r="MU47" s="15">
        <v>0</v>
      </c>
      <c r="MV47" s="15">
        <v>0</v>
      </c>
      <c r="MW47" s="15">
        <v>0</v>
      </c>
      <c r="MX47" s="15">
        <v>0</v>
      </c>
      <c r="MY47" s="15">
        <v>0</v>
      </c>
      <c r="MZ47" s="15">
        <v>0</v>
      </c>
      <c r="NA47" s="15">
        <v>0</v>
      </c>
      <c r="NB47" s="15">
        <v>0</v>
      </c>
      <c r="NC47" s="15">
        <v>0</v>
      </c>
      <c r="ND47" s="15">
        <v>0</v>
      </c>
      <c r="NE47" s="15">
        <v>0</v>
      </c>
      <c r="NF47" s="15">
        <v>0</v>
      </c>
      <c r="NG47" s="15">
        <v>0</v>
      </c>
      <c r="NH47" s="15">
        <v>0</v>
      </c>
      <c r="NI47" s="15">
        <v>0</v>
      </c>
      <c r="NJ47" s="15">
        <v>0</v>
      </c>
      <c r="NK47" s="15">
        <v>0</v>
      </c>
      <c r="NL47" s="15">
        <v>0</v>
      </c>
      <c r="NM47" s="15">
        <v>0</v>
      </c>
      <c r="NN47" s="15">
        <v>0</v>
      </c>
      <c r="NO47" s="20">
        <v>0</v>
      </c>
      <c r="NP47" s="15">
        <v>0</v>
      </c>
      <c r="NQ47" s="15">
        <v>0</v>
      </c>
      <c r="NR47" s="15">
        <v>0</v>
      </c>
      <c r="NS47" s="15">
        <v>0</v>
      </c>
      <c r="NT47" s="15">
        <v>0</v>
      </c>
      <c r="NU47" s="15">
        <v>0</v>
      </c>
      <c r="NV47" s="15">
        <v>0</v>
      </c>
      <c r="NW47" s="15">
        <v>1</v>
      </c>
      <c r="NX47" s="15">
        <v>0</v>
      </c>
      <c r="NY47" s="15">
        <v>0</v>
      </c>
      <c r="NZ47" s="15">
        <v>0</v>
      </c>
      <c r="OA47" s="15">
        <v>0</v>
      </c>
      <c r="OB47" s="15">
        <v>1</v>
      </c>
      <c r="OC47" s="15">
        <v>0</v>
      </c>
      <c r="OD47" s="15">
        <v>1</v>
      </c>
      <c r="OE47" s="15">
        <v>0</v>
      </c>
      <c r="OF47" s="15">
        <v>0</v>
      </c>
      <c r="OG47" s="15">
        <v>0</v>
      </c>
      <c r="OH47" s="15">
        <v>0</v>
      </c>
      <c r="OI47" s="15">
        <v>0</v>
      </c>
      <c r="OJ47" s="15">
        <v>0</v>
      </c>
      <c r="OK47" s="15">
        <v>0</v>
      </c>
      <c r="OL47" s="15">
        <v>0</v>
      </c>
      <c r="OM47" s="15">
        <v>0</v>
      </c>
      <c r="ON47" s="15">
        <v>0</v>
      </c>
      <c r="OO47" s="15">
        <v>0</v>
      </c>
      <c r="OP47" s="15">
        <v>0</v>
      </c>
      <c r="OQ47" s="15">
        <v>0</v>
      </c>
      <c r="OR47" s="15">
        <v>0</v>
      </c>
      <c r="OS47" s="15">
        <v>0</v>
      </c>
      <c r="OT47" s="15">
        <v>0</v>
      </c>
      <c r="OU47" s="15">
        <v>0</v>
      </c>
      <c r="OV47" s="15">
        <v>0</v>
      </c>
      <c r="OW47" s="15">
        <v>0</v>
      </c>
      <c r="OX47" s="15">
        <v>0</v>
      </c>
      <c r="OY47" s="15">
        <v>0</v>
      </c>
      <c r="OZ47" s="15">
        <v>0</v>
      </c>
      <c r="PA47" s="15">
        <v>0</v>
      </c>
      <c r="PB47" s="15">
        <v>0</v>
      </c>
      <c r="PC47" s="15">
        <v>0</v>
      </c>
      <c r="PD47" s="15">
        <v>0</v>
      </c>
      <c r="PE47" s="15">
        <v>0</v>
      </c>
      <c r="PF47" s="15">
        <v>0</v>
      </c>
      <c r="PG47" s="15">
        <v>0</v>
      </c>
      <c r="PH47" s="15">
        <v>1</v>
      </c>
      <c r="PI47" s="15">
        <v>0</v>
      </c>
      <c r="PJ47" s="15">
        <v>0</v>
      </c>
      <c r="PK47" s="15">
        <v>0</v>
      </c>
      <c r="PL47" s="15">
        <v>0</v>
      </c>
      <c r="PM47" s="15">
        <v>0</v>
      </c>
      <c r="PN47" s="15">
        <v>0</v>
      </c>
      <c r="PO47" s="15">
        <v>0</v>
      </c>
      <c r="PP47" s="15">
        <v>0</v>
      </c>
      <c r="PQ47" s="15">
        <v>0</v>
      </c>
      <c r="PR47" s="15">
        <v>1</v>
      </c>
      <c r="PS47" s="15">
        <v>0</v>
      </c>
      <c r="PT47" s="15">
        <v>0</v>
      </c>
      <c r="PU47" s="15">
        <v>0</v>
      </c>
      <c r="PV47" s="15">
        <v>0</v>
      </c>
      <c r="PW47" s="20">
        <v>0</v>
      </c>
      <c r="PX47" s="20">
        <v>1</v>
      </c>
      <c r="PY47" s="20">
        <v>0</v>
      </c>
      <c r="PZ47" s="15">
        <v>0</v>
      </c>
      <c r="QA47" s="20">
        <v>0</v>
      </c>
      <c r="QB47" s="20">
        <v>0</v>
      </c>
      <c r="QC47" s="20">
        <v>0</v>
      </c>
      <c r="QD47" s="15">
        <v>0</v>
      </c>
      <c r="QE47" s="15">
        <v>0</v>
      </c>
      <c r="QF47" s="15">
        <v>0</v>
      </c>
      <c r="QG47" s="15">
        <v>0</v>
      </c>
      <c r="QH47" s="15">
        <v>0</v>
      </c>
      <c r="QI47" s="15">
        <v>1</v>
      </c>
      <c r="QJ47" s="15">
        <v>0</v>
      </c>
      <c r="QK47" s="15">
        <v>0</v>
      </c>
      <c r="QL47" s="15">
        <v>0</v>
      </c>
      <c r="QM47" s="15">
        <v>0</v>
      </c>
      <c r="QN47" s="15">
        <v>0</v>
      </c>
      <c r="QO47" s="15">
        <v>1</v>
      </c>
      <c r="QP47" s="15">
        <v>0</v>
      </c>
      <c r="QQ47" s="15">
        <v>1</v>
      </c>
      <c r="QR47" s="15">
        <v>0</v>
      </c>
      <c r="QS47" s="15">
        <v>0</v>
      </c>
      <c r="QT47" s="15">
        <v>0</v>
      </c>
      <c r="QU47" s="15">
        <v>0</v>
      </c>
      <c r="QV47" s="15">
        <v>0</v>
      </c>
      <c r="QW47" s="15">
        <v>0</v>
      </c>
      <c r="QX47" s="15">
        <v>0</v>
      </c>
      <c r="QY47" s="15">
        <v>0</v>
      </c>
      <c r="QZ47" s="15">
        <v>0</v>
      </c>
      <c r="RA47" s="15">
        <v>0</v>
      </c>
      <c r="RB47" s="15">
        <v>0</v>
      </c>
      <c r="RC47" s="15">
        <v>0</v>
      </c>
      <c r="RD47" s="15">
        <v>0</v>
      </c>
      <c r="RE47" s="15">
        <v>0</v>
      </c>
      <c r="RF47" s="15">
        <v>0</v>
      </c>
      <c r="RG47" s="15">
        <v>0</v>
      </c>
      <c r="RH47" s="15">
        <v>0</v>
      </c>
      <c r="RI47" s="15">
        <v>0</v>
      </c>
      <c r="RJ47" s="15">
        <v>0</v>
      </c>
      <c r="RK47" s="15">
        <v>0</v>
      </c>
      <c r="RL47" s="15">
        <v>0</v>
      </c>
      <c r="RM47" s="15">
        <v>0</v>
      </c>
      <c r="RN47" s="15">
        <v>0</v>
      </c>
      <c r="RO47" s="15">
        <v>0</v>
      </c>
      <c r="RP47" s="15">
        <v>0</v>
      </c>
      <c r="RQ47" s="15">
        <v>0</v>
      </c>
      <c r="RR47" s="15">
        <v>0</v>
      </c>
      <c r="RS47" s="15"/>
      <c r="RT47" s="15">
        <v>0</v>
      </c>
      <c r="RU47" s="15">
        <v>0</v>
      </c>
      <c r="RV47" s="15">
        <v>0</v>
      </c>
      <c r="RW47" s="15">
        <v>0</v>
      </c>
      <c r="RX47" s="15">
        <v>0</v>
      </c>
      <c r="RY47" s="15">
        <v>0</v>
      </c>
      <c r="RZ47" s="15">
        <v>0</v>
      </c>
      <c r="SA47" s="15">
        <v>0</v>
      </c>
      <c r="SB47" s="15">
        <v>0</v>
      </c>
      <c r="SC47" s="15">
        <v>0</v>
      </c>
      <c r="SD47" s="15">
        <v>0</v>
      </c>
      <c r="SE47" s="15">
        <v>0</v>
      </c>
      <c r="SF47" s="15">
        <v>1</v>
      </c>
      <c r="SG47" s="15">
        <v>0</v>
      </c>
      <c r="SH47" s="15">
        <v>0</v>
      </c>
      <c r="SI47" s="15">
        <v>0</v>
      </c>
      <c r="SJ47" s="15">
        <v>0</v>
      </c>
      <c r="SK47" s="15">
        <v>1</v>
      </c>
      <c r="SL47" s="15">
        <v>0</v>
      </c>
      <c r="SM47" s="15">
        <v>1</v>
      </c>
      <c r="SN47" s="15">
        <v>0</v>
      </c>
      <c r="SO47" s="15">
        <v>0</v>
      </c>
      <c r="SP47" s="15">
        <v>0</v>
      </c>
      <c r="SQ47" s="15">
        <v>0</v>
      </c>
      <c r="SR47" s="15">
        <v>0</v>
      </c>
      <c r="SS47" s="15">
        <v>0</v>
      </c>
      <c r="ST47" s="15">
        <v>0</v>
      </c>
      <c r="SU47" s="15">
        <v>0</v>
      </c>
      <c r="SV47" s="15">
        <v>0</v>
      </c>
      <c r="SW47" s="15">
        <v>0</v>
      </c>
      <c r="SX47" s="15">
        <v>0</v>
      </c>
      <c r="SY47" s="15">
        <v>0</v>
      </c>
      <c r="SZ47" s="15">
        <v>0</v>
      </c>
      <c r="TA47" s="15">
        <v>0</v>
      </c>
      <c r="TB47" s="15">
        <v>0</v>
      </c>
      <c r="TC47" s="15">
        <v>0</v>
      </c>
      <c r="TD47" s="15">
        <v>0</v>
      </c>
      <c r="TE47" s="15">
        <v>0</v>
      </c>
      <c r="TF47" s="15">
        <v>0</v>
      </c>
      <c r="TG47" s="15">
        <v>0</v>
      </c>
      <c r="TH47" s="15">
        <v>0</v>
      </c>
      <c r="TI47" s="15">
        <v>0</v>
      </c>
      <c r="TJ47" s="15">
        <v>0</v>
      </c>
      <c r="TK47" s="15">
        <v>0</v>
      </c>
      <c r="TL47" s="15">
        <v>0</v>
      </c>
      <c r="TM47" s="15">
        <v>0</v>
      </c>
      <c r="TN47" s="15">
        <v>0</v>
      </c>
      <c r="TO47" s="15">
        <v>0</v>
      </c>
      <c r="TP47" s="15">
        <v>1</v>
      </c>
      <c r="TQ47" s="15">
        <v>0</v>
      </c>
      <c r="TR47" s="15">
        <v>0</v>
      </c>
      <c r="TS47" s="15">
        <v>0</v>
      </c>
      <c r="TT47" s="15">
        <v>0</v>
      </c>
      <c r="TU47" s="15">
        <v>0</v>
      </c>
      <c r="TV47" s="15">
        <v>0</v>
      </c>
      <c r="TW47" s="15">
        <v>0</v>
      </c>
      <c r="TX47" s="15">
        <v>0</v>
      </c>
      <c r="TY47" s="15">
        <v>0</v>
      </c>
      <c r="TZ47" s="15">
        <v>1</v>
      </c>
      <c r="UA47" s="15">
        <v>0</v>
      </c>
      <c r="UB47" s="15">
        <v>0</v>
      </c>
      <c r="UC47" s="15">
        <v>0</v>
      </c>
      <c r="UD47" s="15">
        <v>0</v>
      </c>
      <c r="UE47" s="20">
        <v>0</v>
      </c>
      <c r="UF47" s="20">
        <v>1</v>
      </c>
      <c r="UG47" s="20">
        <v>0</v>
      </c>
      <c r="UH47" s="15">
        <v>0</v>
      </c>
      <c r="UI47" s="20">
        <v>0</v>
      </c>
      <c r="UJ47" s="20">
        <v>0</v>
      </c>
      <c r="UK47" s="20">
        <v>0</v>
      </c>
      <c r="UL47" s="15">
        <v>0</v>
      </c>
      <c r="UM47" s="15">
        <v>0</v>
      </c>
      <c r="UN47" s="15">
        <v>0</v>
      </c>
      <c r="UO47" s="15">
        <v>0</v>
      </c>
      <c r="UP47" s="15">
        <v>0</v>
      </c>
      <c r="UQ47" s="15">
        <v>1</v>
      </c>
      <c r="UR47" s="15">
        <v>0</v>
      </c>
      <c r="US47" s="15">
        <v>0</v>
      </c>
      <c r="UT47" s="15">
        <v>0</v>
      </c>
      <c r="UU47" s="15">
        <v>0</v>
      </c>
      <c r="UV47" s="15">
        <v>0</v>
      </c>
      <c r="UW47" s="15">
        <v>1</v>
      </c>
      <c r="UX47" s="15">
        <v>0</v>
      </c>
      <c r="UY47" s="15">
        <v>1</v>
      </c>
      <c r="UZ47" s="15">
        <v>0</v>
      </c>
      <c r="VA47" s="15">
        <v>0</v>
      </c>
      <c r="VB47" s="15">
        <v>0</v>
      </c>
      <c r="VC47" s="15">
        <v>0</v>
      </c>
      <c r="VD47" s="15">
        <v>0</v>
      </c>
      <c r="VE47" s="15">
        <v>0</v>
      </c>
      <c r="VF47" s="15">
        <v>0</v>
      </c>
      <c r="VG47" s="15">
        <v>0</v>
      </c>
      <c r="VH47" s="15">
        <v>0</v>
      </c>
      <c r="VI47" s="15">
        <v>0</v>
      </c>
      <c r="VJ47" s="15">
        <v>0</v>
      </c>
      <c r="VK47" s="15">
        <v>0</v>
      </c>
      <c r="VL47" s="15">
        <v>0</v>
      </c>
      <c r="VM47" s="15">
        <v>0</v>
      </c>
      <c r="VN47" s="15">
        <v>0</v>
      </c>
      <c r="VO47" s="15">
        <v>0</v>
      </c>
      <c r="VP47" s="15">
        <v>0</v>
      </c>
      <c r="VQ47" s="15">
        <v>0</v>
      </c>
      <c r="VR47" s="15">
        <v>0</v>
      </c>
      <c r="VS47" s="15">
        <v>0</v>
      </c>
      <c r="VT47" s="15">
        <v>0</v>
      </c>
      <c r="VU47" s="15">
        <v>0</v>
      </c>
      <c r="VV47" s="15">
        <v>0</v>
      </c>
      <c r="VW47" s="15">
        <v>0</v>
      </c>
      <c r="VX47" s="15">
        <v>0</v>
      </c>
      <c r="VY47" s="15">
        <v>0</v>
      </c>
      <c r="VZ47" s="15">
        <v>0</v>
      </c>
      <c r="WA47" s="15">
        <v>0</v>
      </c>
      <c r="WB47" s="15">
        <v>0</v>
      </c>
      <c r="WC47" s="15">
        <v>0</v>
      </c>
      <c r="WD47" s="15">
        <v>0</v>
      </c>
      <c r="WE47" s="15">
        <v>0</v>
      </c>
      <c r="WF47" s="15">
        <v>0</v>
      </c>
      <c r="WG47" s="15">
        <v>0</v>
      </c>
      <c r="WH47" s="15">
        <v>1</v>
      </c>
      <c r="WI47" s="15">
        <v>0</v>
      </c>
      <c r="WJ47" s="15">
        <v>0</v>
      </c>
      <c r="WK47" s="15">
        <v>0</v>
      </c>
      <c r="WL47" s="15">
        <v>0</v>
      </c>
      <c r="WM47" s="15">
        <v>0</v>
      </c>
      <c r="WN47" s="15">
        <v>0</v>
      </c>
      <c r="WO47" s="15">
        <v>0</v>
      </c>
      <c r="WP47" s="15">
        <v>0</v>
      </c>
      <c r="WQ47" s="15">
        <v>0</v>
      </c>
      <c r="WR47" s="15">
        <v>0</v>
      </c>
      <c r="WS47" s="15">
        <v>0</v>
      </c>
      <c r="WT47" s="15">
        <v>0</v>
      </c>
      <c r="WU47" s="15">
        <v>1</v>
      </c>
      <c r="WV47" s="15">
        <v>0</v>
      </c>
      <c r="WW47" s="15">
        <v>1</v>
      </c>
      <c r="WX47" s="15">
        <v>0</v>
      </c>
      <c r="WY47" s="15">
        <v>1</v>
      </c>
      <c r="WZ47" s="15">
        <v>1</v>
      </c>
      <c r="XA47" s="15">
        <v>0</v>
      </c>
      <c r="XB47" s="15">
        <v>1</v>
      </c>
      <c r="XC47" s="15">
        <v>0</v>
      </c>
      <c r="XD47" s="15">
        <v>1</v>
      </c>
      <c r="XE47" s="15">
        <v>0</v>
      </c>
      <c r="XF47" s="15">
        <v>1</v>
      </c>
      <c r="XG47" s="15">
        <v>0</v>
      </c>
      <c r="XH47" s="15">
        <v>1</v>
      </c>
      <c r="XI47" s="15">
        <v>0</v>
      </c>
      <c r="XJ47" s="15">
        <v>0</v>
      </c>
      <c r="XK47" s="15">
        <v>0</v>
      </c>
      <c r="XL47" s="15">
        <v>0</v>
      </c>
      <c r="XM47" s="15">
        <v>0</v>
      </c>
      <c r="XN47" s="15">
        <v>0</v>
      </c>
      <c r="XO47" s="15">
        <v>0</v>
      </c>
      <c r="XP47" s="15">
        <v>0</v>
      </c>
      <c r="XQ47" s="15">
        <v>0</v>
      </c>
      <c r="XR47" s="15">
        <v>0</v>
      </c>
      <c r="XS47" s="15">
        <v>0</v>
      </c>
      <c r="XT47" s="15">
        <v>0</v>
      </c>
      <c r="XU47" s="15">
        <v>0</v>
      </c>
      <c r="XV47" s="15">
        <v>0</v>
      </c>
      <c r="XW47" s="15">
        <v>0</v>
      </c>
      <c r="XX47" s="15">
        <v>0</v>
      </c>
      <c r="XY47" s="15">
        <v>0</v>
      </c>
      <c r="XZ47" s="15">
        <v>0</v>
      </c>
      <c r="YA47" s="15">
        <v>0</v>
      </c>
      <c r="YB47" s="15">
        <v>0</v>
      </c>
      <c r="YC47" s="15">
        <v>0</v>
      </c>
      <c r="YD47" s="15">
        <v>0</v>
      </c>
      <c r="YE47" s="15">
        <v>0</v>
      </c>
      <c r="YF47" s="15">
        <v>0</v>
      </c>
      <c r="YG47" s="15">
        <v>0</v>
      </c>
      <c r="YH47" s="15">
        <v>0</v>
      </c>
      <c r="YI47" s="15">
        <v>0</v>
      </c>
      <c r="YJ47" s="15">
        <v>0</v>
      </c>
      <c r="YK47" s="15">
        <v>0</v>
      </c>
      <c r="YL47" s="15">
        <v>0</v>
      </c>
      <c r="YM47" s="15">
        <v>0</v>
      </c>
      <c r="YN47" s="15">
        <v>0</v>
      </c>
      <c r="YO47" s="15">
        <v>0</v>
      </c>
      <c r="YP47" s="15">
        <v>0</v>
      </c>
      <c r="YQ47" s="15">
        <v>0</v>
      </c>
      <c r="YR47" s="15">
        <v>0</v>
      </c>
      <c r="YS47" s="15">
        <v>0</v>
      </c>
      <c r="YT47" s="15">
        <v>0</v>
      </c>
      <c r="YU47" s="15">
        <v>0</v>
      </c>
      <c r="YV47" s="15">
        <v>0</v>
      </c>
      <c r="YW47" s="15">
        <v>0</v>
      </c>
      <c r="YX47" s="15">
        <v>0</v>
      </c>
      <c r="YY47" s="15">
        <v>0</v>
      </c>
      <c r="YZ47" s="15">
        <v>0</v>
      </c>
      <c r="ZA47" s="15">
        <v>0</v>
      </c>
      <c r="ZB47" s="15">
        <v>0</v>
      </c>
      <c r="ZC47" s="15">
        <v>0</v>
      </c>
      <c r="ZD47" s="15">
        <v>0</v>
      </c>
      <c r="ZE47" s="15">
        <v>0</v>
      </c>
      <c r="ZF47" s="15">
        <v>0</v>
      </c>
      <c r="ZG47" s="15">
        <v>0</v>
      </c>
      <c r="ZH47" s="15">
        <v>0</v>
      </c>
      <c r="ZI47" s="15">
        <v>0</v>
      </c>
      <c r="ZJ47" s="15">
        <v>0</v>
      </c>
      <c r="ZK47" s="15">
        <v>0</v>
      </c>
      <c r="ZL47" s="15">
        <v>0</v>
      </c>
      <c r="ZM47" s="15">
        <v>0</v>
      </c>
      <c r="ZN47" s="15">
        <v>0</v>
      </c>
      <c r="ZO47" s="15">
        <v>0</v>
      </c>
      <c r="ZP47" s="15">
        <v>0</v>
      </c>
      <c r="ZQ47" s="15">
        <v>1</v>
      </c>
      <c r="ZR47" s="15">
        <v>0</v>
      </c>
      <c r="ZS47" s="15">
        <v>0</v>
      </c>
      <c r="ZT47" s="15">
        <v>0</v>
      </c>
      <c r="ZU47" s="15">
        <v>0</v>
      </c>
      <c r="ZV47" s="15">
        <v>0</v>
      </c>
      <c r="ZW47" s="15">
        <v>0</v>
      </c>
      <c r="ZX47" s="15">
        <v>1</v>
      </c>
      <c r="ZY47" s="15">
        <v>0</v>
      </c>
      <c r="ZZ47" s="15">
        <v>0</v>
      </c>
      <c r="AAA47" s="15">
        <v>0</v>
      </c>
      <c r="AAB47" s="15">
        <v>0</v>
      </c>
      <c r="AAC47" s="15">
        <v>0</v>
      </c>
      <c r="AAD47" s="15">
        <v>0</v>
      </c>
      <c r="AAE47" s="15">
        <v>0</v>
      </c>
      <c r="AAF47" s="15">
        <v>0</v>
      </c>
      <c r="AAG47" s="15">
        <v>0</v>
      </c>
      <c r="AAH47" s="15">
        <v>0</v>
      </c>
      <c r="AAI47" s="15">
        <v>0</v>
      </c>
      <c r="AAJ47" s="15">
        <v>0</v>
      </c>
      <c r="AAK47" s="15">
        <v>0</v>
      </c>
      <c r="AAL47" s="15"/>
      <c r="AAM47" s="15">
        <v>0</v>
      </c>
      <c r="AAN47" s="15">
        <v>0</v>
      </c>
      <c r="AAO47" s="15">
        <v>0</v>
      </c>
      <c r="AAP47" s="15">
        <v>0</v>
      </c>
      <c r="AAQ47" s="15">
        <v>0</v>
      </c>
      <c r="AAR47" s="15">
        <v>0</v>
      </c>
      <c r="AAS47" s="15">
        <v>0</v>
      </c>
      <c r="AAT47" s="15">
        <v>0</v>
      </c>
      <c r="AAU47" s="15">
        <v>0</v>
      </c>
      <c r="AAV47" s="15">
        <v>0</v>
      </c>
      <c r="AAW47" s="15">
        <v>0</v>
      </c>
      <c r="AAX47" s="15"/>
      <c r="AAY47" s="15">
        <v>0</v>
      </c>
      <c r="AAZ47" s="15">
        <v>0</v>
      </c>
      <c r="ABA47" s="15">
        <v>0</v>
      </c>
      <c r="ABB47" s="15">
        <v>0</v>
      </c>
      <c r="ABC47" s="15">
        <v>0</v>
      </c>
      <c r="ABD47" s="15">
        <v>0</v>
      </c>
      <c r="ABE47" s="15">
        <v>0</v>
      </c>
      <c r="ABF47" s="15">
        <v>0</v>
      </c>
      <c r="ABG47" s="15">
        <v>0</v>
      </c>
      <c r="ABH47" s="15">
        <v>0</v>
      </c>
      <c r="ABI47" s="15">
        <v>0</v>
      </c>
      <c r="ABJ47" s="15">
        <v>0</v>
      </c>
      <c r="ABK47" s="15">
        <v>0</v>
      </c>
      <c r="ABL47" s="15">
        <v>0</v>
      </c>
      <c r="ABM47" s="15">
        <v>0</v>
      </c>
      <c r="ABN47" s="15">
        <v>0</v>
      </c>
      <c r="ABO47" s="15">
        <v>0</v>
      </c>
      <c r="ABP47" s="15">
        <v>0</v>
      </c>
      <c r="ABQ47" s="15">
        <v>1</v>
      </c>
      <c r="ABR47" s="15">
        <v>0</v>
      </c>
      <c r="ABS47" s="15">
        <v>0</v>
      </c>
      <c r="ABT47" s="15">
        <v>1</v>
      </c>
      <c r="ABU47" s="15">
        <v>0</v>
      </c>
      <c r="ABV47" s="15">
        <v>1</v>
      </c>
      <c r="ABW47" s="15">
        <v>0</v>
      </c>
      <c r="ABX47" s="15">
        <v>1</v>
      </c>
      <c r="ABY47" s="15">
        <v>0</v>
      </c>
      <c r="ABZ47" s="15">
        <v>1</v>
      </c>
      <c r="ACA47" s="15">
        <v>1</v>
      </c>
      <c r="ACB47" s="15">
        <v>0</v>
      </c>
      <c r="ACC47" s="15">
        <v>1</v>
      </c>
      <c r="ACD47" s="15">
        <v>1</v>
      </c>
      <c r="ACE47" s="15">
        <v>0</v>
      </c>
      <c r="ACF47" s="15">
        <v>1</v>
      </c>
      <c r="ACG47" s="15">
        <v>0</v>
      </c>
      <c r="ACH47" s="15">
        <v>0</v>
      </c>
      <c r="ACI47" s="15">
        <v>0</v>
      </c>
      <c r="ACJ47" s="15">
        <v>0</v>
      </c>
      <c r="ACK47" s="15">
        <v>0</v>
      </c>
      <c r="ACL47" s="15">
        <v>0</v>
      </c>
      <c r="ACM47" s="15">
        <v>0</v>
      </c>
      <c r="ACN47" s="15">
        <v>0</v>
      </c>
      <c r="ACO47" s="15">
        <v>0</v>
      </c>
      <c r="ACP47" s="15">
        <v>0</v>
      </c>
      <c r="ACQ47" s="15">
        <v>0</v>
      </c>
      <c r="ACR47" s="15">
        <v>0</v>
      </c>
      <c r="ACS47" s="15">
        <v>0</v>
      </c>
      <c r="ACT47" s="15">
        <v>0</v>
      </c>
      <c r="ACU47" s="15">
        <v>0</v>
      </c>
      <c r="ACV47" s="15">
        <v>0</v>
      </c>
      <c r="ACW47" s="15">
        <v>0</v>
      </c>
      <c r="ACX47" s="15">
        <v>0</v>
      </c>
      <c r="ACY47" s="15">
        <v>0</v>
      </c>
      <c r="ACZ47" s="15">
        <v>0</v>
      </c>
      <c r="ADA47" s="15">
        <v>0</v>
      </c>
      <c r="ADB47" s="15">
        <v>0</v>
      </c>
      <c r="ADC47" s="15">
        <v>0</v>
      </c>
      <c r="ADD47" s="15">
        <v>0</v>
      </c>
      <c r="ADE47" s="15">
        <v>0</v>
      </c>
      <c r="ADF47" s="15">
        <v>0</v>
      </c>
      <c r="ADG47" s="15">
        <v>0</v>
      </c>
      <c r="ADH47" s="15"/>
      <c r="ADI47" s="15">
        <v>0</v>
      </c>
      <c r="ADJ47" s="15">
        <v>0</v>
      </c>
      <c r="ADK47" s="15">
        <v>0</v>
      </c>
      <c r="ADL47" s="15">
        <v>0</v>
      </c>
      <c r="ADM47" s="15">
        <v>0</v>
      </c>
      <c r="ADN47" s="15">
        <v>0</v>
      </c>
      <c r="ADO47" s="15">
        <v>0</v>
      </c>
      <c r="ADP47" s="15">
        <v>0</v>
      </c>
      <c r="ADQ47" s="15">
        <v>0</v>
      </c>
      <c r="ADR47" s="15">
        <v>0</v>
      </c>
      <c r="ADS47" s="15">
        <v>0</v>
      </c>
      <c r="ADT47" s="15">
        <v>0</v>
      </c>
      <c r="ADU47" s="15">
        <v>0</v>
      </c>
      <c r="ADV47" s="15">
        <v>0</v>
      </c>
      <c r="ADW47" s="15">
        <v>0</v>
      </c>
      <c r="ADX47" s="15">
        <v>0</v>
      </c>
      <c r="ADY47" s="15">
        <v>0</v>
      </c>
      <c r="ADZ47" s="15">
        <v>0</v>
      </c>
      <c r="AEA47" s="15">
        <v>1</v>
      </c>
      <c r="AEB47" s="15">
        <v>0</v>
      </c>
      <c r="AEC47" s="15">
        <v>0</v>
      </c>
      <c r="AED47" s="15">
        <v>1</v>
      </c>
      <c r="AEE47" s="15">
        <v>0</v>
      </c>
      <c r="AEF47" s="15">
        <v>1</v>
      </c>
      <c r="AEG47" s="15">
        <v>0</v>
      </c>
      <c r="AEH47" s="15">
        <v>1</v>
      </c>
      <c r="AEI47" s="15">
        <v>0</v>
      </c>
      <c r="AEJ47" s="15">
        <v>1</v>
      </c>
      <c r="AEK47" s="15">
        <v>1</v>
      </c>
      <c r="AEL47" s="15">
        <v>0</v>
      </c>
      <c r="AEM47" s="15">
        <v>1</v>
      </c>
      <c r="AEN47" s="15">
        <v>1</v>
      </c>
      <c r="AEO47" s="15">
        <v>0</v>
      </c>
      <c r="AEP47" s="15">
        <v>1</v>
      </c>
      <c r="AEQ47" s="15">
        <v>0</v>
      </c>
      <c r="AER47" s="15">
        <v>0</v>
      </c>
      <c r="AES47" s="15">
        <v>0</v>
      </c>
      <c r="AET47" s="15">
        <v>0</v>
      </c>
      <c r="AEU47" s="15">
        <v>0</v>
      </c>
      <c r="AEV47" s="15">
        <v>0</v>
      </c>
      <c r="AEW47" s="15">
        <v>0</v>
      </c>
      <c r="AEX47" s="15">
        <v>0</v>
      </c>
      <c r="AEY47" s="15">
        <v>0</v>
      </c>
      <c r="AEZ47" s="15">
        <v>0</v>
      </c>
      <c r="AFA47" s="15">
        <v>0</v>
      </c>
      <c r="AFB47" s="15">
        <v>0</v>
      </c>
      <c r="AFC47" s="15">
        <v>0</v>
      </c>
      <c r="AFD47" s="15">
        <v>0</v>
      </c>
      <c r="AFE47" s="15">
        <v>0</v>
      </c>
      <c r="AFF47" s="15">
        <v>0</v>
      </c>
      <c r="AFG47" s="15">
        <v>0</v>
      </c>
      <c r="AFH47" s="15">
        <v>0</v>
      </c>
      <c r="AFI47" s="15">
        <v>0</v>
      </c>
      <c r="AFJ47" s="15">
        <v>0</v>
      </c>
      <c r="AFK47" s="15">
        <v>0</v>
      </c>
      <c r="AFL47" s="15">
        <v>0</v>
      </c>
      <c r="AFM47" s="15">
        <v>0</v>
      </c>
      <c r="AFN47" s="15">
        <v>0</v>
      </c>
      <c r="AFO47" s="15">
        <v>0</v>
      </c>
      <c r="AFP47" s="15">
        <v>0</v>
      </c>
      <c r="AFQ47" s="15">
        <v>0</v>
      </c>
      <c r="AFR47" s="15"/>
      <c r="AFS47" s="15">
        <v>0</v>
      </c>
      <c r="AFT47" s="15">
        <v>0</v>
      </c>
      <c r="AFU47" s="15">
        <v>0</v>
      </c>
      <c r="AFV47" s="15">
        <v>0</v>
      </c>
      <c r="AFW47" s="15">
        <v>0</v>
      </c>
      <c r="AFX47" s="15">
        <v>0</v>
      </c>
      <c r="AFY47" s="15">
        <v>0</v>
      </c>
      <c r="AFZ47" s="15">
        <v>0</v>
      </c>
      <c r="AGA47" s="15">
        <v>0</v>
      </c>
      <c r="AGB47" s="15">
        <v>0</v>
      </c>
      <c r="AGC47" s="15">
        <v>0</v>
      </c>
      <c r="AGD47" s="15">
        <v>1</v>
      </c>
      <c r="AGE47" s="15">
        <v>0</v>
      </c>
      <c r="AGF47" s="15">
        <v>0</v>
      </c>
      <c r="AGG47" s="15">
        <v>0</v>
      </c>
      <c r="AGH47" s="15">
        <v>0</v>
      </c>
      <c r="AGI47" s="15">
        <v>0</v>
      </c>
      <c r="AGJ47" s="15">
        <v>0</v>
      </c>
      <c r="AGK47" s="15">
        <v>1</v>
      </c>
      <c r="AGL47" s="15">
        <v>0</v>
      </c>
      <c r="AGM47" s="15">
        <v>0</v>
      </c>
      <c r="AGN47" s="15">
        <v>0</v>
      </c>
      <c r="AGO47" s="15">
        <v>0</v>
      </c>
      <c r="AGP47" s="15">
        <v>0</v>
      </c>
      <c r="AGQ47" s="15">
        <v>0</v>
      </c>
      <c r="AGR47" s="15">
        <v>0</v>
      </c>
      <c r="AGS47" s="15">
        <v>0</v>
      </c>
      <c r="AGT47" s="15">
        <v>1</v>
      </c>
      <c r="AGU47" s="15">
        <v>0</v>
      </c>
      <c r="AGV47" s="15">
        <v>0</v>
      </c>
      <c r="AGW47" s="15">
        <v>0</v>
      </c>
      <c r="AGX47" s="15">
        <v>0</v>
      </c>
      <c r="AGY47" s="15">
        <v>0</v>
      </c>
      <c r="AGZ47" s="15">
        <v>0</v>
      </c>
      <c r="AHA47" s="15">
        <v>0</v>
      </c>
      <c r="AHB47" s="15">
        <v>0</v>
      </c>
      <c r="AHC47" s="15">
        <v>0</v>
      </c>
      <c r="AHD47" s="15">
        <v>0</v>
      </c>
      <c r="AHE47" s="15">
        <v>0</v>
      </c>
      <c r="AHF47" s="15">
        <v>0</v>
      </c>
      <c r="AHG47" s="15">
        <v>0</v>
      </c>
      <c r="AHH47" s="15">
        <v>0</v>
      </c>
      <c r="AHI47" s="15">
        <v>0</v>
      </c>
      <c r="AHJ47" s="15">
        <v>0</v>
      </c>
      <c r="AHK47" s="15">
        <v>0</v>
      </c>
      <c r="AHL47" s="15">
        <v>0</v>
      </c>
      <c r="AHM47" s="15">
        <v>0</v>
      </c>
      <c r="AHN47" s="15">
        <v>0</v>
      </c>
      <c r="AHO47" s="15">
        <v>0</v>
      </c>
      <c r="AHP47" s="15">
        <v>0</v>
      </c>
      <c r="AHQ47" s="15">
        <v>0</v>
      </c>
      <c r="AHR47" s="15">
        <v>0</v>
      </c>
      <c r="AHS47" s="15">
        <v>0</v>
      </c>
      <c r="AHT47" s="15">
        <v>0</v>
      </c>
      <c r="AHU47" s="15">
        <v>0</v>
      </c>
      <c r="AHV47" s="15">
        <v>0</v>
      </c>
      <c r="AHW47" s="15">
        <v>0</v>
      </c>
      <c r="AHX47" s="15">
        <v>0</v>
      </c>
      <c r="AHY47" s="15">
        <v>0</v>
      </c>
      <c r="AHZ47" s="15">
        <v>0</v>
      </c>
      <c r="AIA47" s="15">
        <v>0</v>
      </c>
      <c r="AIB47" s="15">
        <v>0</v>
      </c>
      <c r="AIC47" s="15">
        <v>0</v>
      </c>
      <c r="AID47" s="15">
        <v>0</v>
      </c>
      <c r="AIE47" s="15">
        <v>0</v>
      </c>
      <c r="AIF47" s="15">
        <v>0</v>
      </c>
      <c r="AIG47" s="15">
        <v>0</v>
      </c>
      <c r="AIH47" s="15">
        <v>0</v>
      </c>
      <c r="AII47" s="15">
        <v>0</v>
      </c>
      <c r="AIJ47" s="15">
        <v>0</v>
      </c>
      <c r="AIK47" s="15">
        <v>0</v>
      </c>
      <c r="AIL47" s="15">
        <v>0</v>
      </c>
      <c r="AIM47" s="15">
        <v>0</v>
      </c>
      <c r="AIN47" s="15">
        <v>0</v>
      </c>
      <c r="AIO47" s="15">
        <v>0</v>
      </c>
      <c r="AIP47" s="15">
        <v>0</v>
      </c>
      <c r="AIQ47" s="15">
        <v>0</v>
      </c>
      <c r="AIR47" s="15">
        <v>0</v>
      </c>
      <c r="AIS47" s="15">
        <v>0</v>
      </c>
      <c r="AIT47" s="15">
        <v>0</v>
      </c>
      <c r="AIU47" s="15">
        <v>0</v>
      </c>
      <c r="AIV47" s="15">
        <v>0</v>
      </c>
      <c r="AIW47" s="15">
        <v>0</v>
      </c>
      <c r="AIX47" s="15">
        <v>0</v>
      </c>
      <c r="AIY47" s="15">
        <v>0</v>
      </c>
      <c r="AIZ47" s="15">
        <v>0</v>
      </c>
      <c r="AJA47" s="15">
        <v>0</v>
      </c>
      <c r="AJB47" s="15">
        <v>0</v>
      </c>
      <c r="AJC47" s="15">
        <v>0</v>
      </c>
      <c r="AJD47" s="15">
        <v>0</v>
      </c>
      <c r="AJE47" s="15">
        <v>0</v>
      </c>
      <c r="AJF47" s="15"/>
      <c r="AJG47" s="15">
        <v>0</v>
      </c>
      <c r="AJH47" s="15">
        <v>0</v>
      </c>
      <c r="AJI47" s="15">
        <v>0</v>
      </c>
      <c r="AJJ47" s="15">
        <v>0</v>
      </c>
      <c r="AJK47" s="15">
        <v>0</v>
      </c>
      <c r="AJL47" s="15">
        <v>0</v>
      </c>
      <c r="AJM47" s="15">
        <v>0</v>
      </c>
      <c r="AJN47" s="15"/>
      <c r="AJO47" s="15">
        <v>0</v>
      </c>
      <c r="AJP47" s="15">
        <v>0</v>
      </c>
      <c r="AJQ47" s="15">
        <v>0</v>
      </c>
      <c r="AJR47" s="15">
        <v>0</v>
      </c>
      <c r="AJS47" s="15">
        <v>0</v>
      </c>
      <c r="AJT47" s="15">
        <v>0</v>
      </c>
      <c r="AJU47" s="15">
        <v>0</v>
      </c>
      <c r="AJV47" s="15">
        <v>0</v>
      </c>
      <c r="AJW47" s="15">
        <v>0</v>
      </c>
      <c r="AJX47" s="15"/>
      <c r="AJY47" s="15">
        <v>0</v>
      </c>
      <c r="AJZ47" s="15">
        <v>0</v>
      </c>
      <c r="AKA47" s="15">
        <v>0</v>
      </c>
      <c r="AKB47" s="15">
        <v>0</v>
      </c>
      <c r="AKC47" s="15">
        <v>0</v>
      </c>
      <c r="AKD47" s="15">
        <v>0</v>
      </c>
      <c r="AKE47" s="15">
        <v>0</v>
      </c>
      <c r="AKF47" s="15">
        <v>0</v>
      </c>
      <c r="AKG47" s="15">
        <v>0</v>
      </c>
      <c r="AKH47" s="15">
        <v>0</v>
      </c>
      <c r="AKI47" s="15"/>
      <c r="AKJ47" s="15">
        <v>0</v>
      </c>
      <c r="AKK47" s="15">
        <v>0</v>
      </c>
      <c r="AKL47" s="15">
        <v>0</v>
      </c>
      <c r="AKM47" s="15">
        <v>0</v>
      </c>
      <c r="AKN47" s="15">
        <v>0</v>
      </c>
      <c r="AKO47" s="15">
        <v>0</v>
      </c>
      <c r="AKP47" s="15">
        <v>0</v>
      </c>
      <c r="AKQ47" s="15">
        <v>0</v>
      </c>
      <c r="AKR47" s="15">
        <v>0</v>
      </c>
      <c r="AKS47" s="15">
        <v>0</v>
      </c>
      <c r="AKT47" s="15">
        <v>0</v>
      </c>
      <c r="AKU47" s="15">
        <v>0</v>
      </c>
      <c r="AKV47" s="15">
        <v>0</v>
      </c>
      <c r="AKW47" s="15">
        <v>0</v>
      </c>
      <c r="AKX47" s="15"/>
      <c r="AKY47" s="15">
        <v>0</v>
      </c>
      <c r="AKZ47" s="15">
        <v>0</v>
      </c>
      <c r="ALA47" s="15">
        <v>0</v>
      </c>
      <c r="ALB47" s="15">
        <v>0</v>
      </c>
      <c r="ALC47" s="15">
        <v>0</v>
      </c>
      <c r="ALD47" s="15">
        <v>0</v>
      </c>
      <c r="ALE47" s="15">
        <v>0</v>
      </c>
      <c r="ALF47" s="15">
        <v>0</v>
      </c>
      <c r="ALG47" s="15">
        <v>0</v>
      </c>
      <c r="ALH47" s="15">
        <v>0</v>
      </c>
      <c r="ALI47" s="15">
        <v>0</v>
      </c>
      <c r="ALJ47" s="15">
        <v>0</v>
      </c>
      <c r="ALK47" s="15">
        <v>0</v>
      </c>
      <c r="ALL47" s="15">
        <v>0</v>
      </c>
      <c r="ALM47" s="15"/>
      <c r="ALN47" s="15">
        <v>0</v>
      </c>
      <c r="ALO47" s="15">
        <v>0</v>
      </c>
      <c r="ALP47" s="15">
        <v>0</v>
      </c>
      <c r="ALQ47" s="15">
        <v>0</v>
      </c>
      <c r="ALR47" s="15">
        <v>0</v>
      </c>
      <c r="ALS47" s="15">
        <v>0</v>
      </c>
      <c r="ALT47" s="15">
        <v>0</v>
      </c>
      <c r="ALU47" s="15">
        <v>0</v>
      </c>
      <c r="ALV47" s="15">
        <v>0</v>
      </c>
      <c r="ALW47" s="15">
        <v>0</v>
      </c>
      <c r="ALX47" s="15">
        <v>0</v>
      </c>
      <c r="ALY47" s="15">
        <v>0</v>
      </c>
      <c r="ALZ47" s="15">
        <v>0</v>
      </c>
      <c r="AMA47" s="15">
        <v>0</v>
      </c>
      <c r="AMB47" s="15">
        <v>0</v>
      </c>
      <c r="AMC47" s="15"/>
      <c r="AMD47" s="15">
        <v>0</v>
      </c>
      <c r="AME47" s="15">
        <v>0</v>
      </c>
      <c r="AMF47" s="15">
        <v>0</v>
      </c>
      <c r="AMG47" s="15">
        <v>0</v>
      </c>
      <c r="AMH47" s="15">
        <v>0</v>
      </c>
      <c r="AMI47" s="15">
        <v>0</v>
      </c>
      <c r="AMJ47" s="15">
        <v>0</v>
      </c>
      <c r="AMK47" s="15">
        <v>0</v>
      </c>
      <c r="AML47" s="15">
        <v>0</v>
      </c>
      <c r="AMM47" s="15">
        <v>0</v>
      </c>
      <c r="AMN47" s="15">
        <v>0</v>
      </c>
      <c r="AMO47" s="15">
        <v>0</v>
      </c>
      <c r="AMP47" s="15">
        <v>0</v>
      </c>
      <c r="AMQ47" s="15">
        <v>0</v>
      </c>
      <c r="AMR47" s="15">
        <v>0</v>
      </c>
      <c r="AMS47" s="15">
        <v>0</v>
      </c>
      <c r="AMT47" s="15">
        <v>0</v>
      </c>
      <c r="AMU47" s="15">
        <v>0</v>
      </c>
      <c r="AMV47" s="15">
        <v>0</v>
      </c>
      <c r="AMW47" s="15">
        <v>0</v>
      </c>
      <c r="AMX47" s="15">
        <v>0</v>
      </c>
      <c r="AMY47" s="15">
        <v>0</v>
      </c>
      <c r="AMZ47" s="15">
        <v>0</v>
      </c>
      <c r="ANA47" s="15">
        <v>0</v>
      </c>
      <c r="ANB47" s="15">
        <v>0</v>
      </c>
      <c r="ANC47" s="15">
        <v>0</v>
      </c>
      <c r="AND47" s="15">
        <v>0</v>
      </c>
      <c r="ANE47" s="15"/>
      <c r="ANF47" s="15"/>
      <c r="ANG47" s="15"/>
      <c r="ANH47" s="15"/>
      <c r="ANI47" s="15"/>
      <c r="ANJ47" s="15"/>
      <c r="ANK47" s="15"/>
      <c r="ANL47" s="15"/>
      <c r="ANM47" s="15"/>
      <c r="ANN47" s="15"/>
      <c r="ANO47" s="15"/>
      <c r="ANP47" s="15"/>
      <c r="ANQ47" s="15"/>
      <c r="ANR47" s="15"/>
      <c r="ANS47" s="15"/>
      <c r="ANT47" s="15"/>
      <c r="ANU47" s="15"/>
      <c r="ANV47" s="15"/>
      <c r="ANW47" s="15"/>
      <c r="ANX47" s="15"/>
      <c r="ANY47" s="15"/>
      <c r="ANZ47" s="15"/>
      <c r="AOA47" s="15"/>
      <c r="AOB47" s="15"/>
      <c r="AOC47" s="15"/>
      <c r="AOD47" s="15"/>
      <c r="AOE47" s="15"/>
      <c r="AOF47" s="15"/>
      <c r="AOG47" s="15"/>
      <c r="AOH47" s="15"/>
      <c r="AOI47" s="15"/>
      <c r="AOJ47" s="15"/>
      <c r="AOK47" s="15"/>
      <c r="AOL47" s="15"/>
      <c r="AOM47" s="15"/>
      <c r="AON47" s="15"/>
      <c r="AOO47" s="15"/>
      <c r="AOP47" s="15"/>
      <c r="AOQ47" s="15"/>
      <c r="AOR47" s="15"/>
      <c r="AOS47" s="15"/>
      <c r="AOT47" s="15"/>
      <c r="AOU47" s="15"/>
      <c r="AOV47" s="15"/>
      <c r="AOW47" s="15"/>
      <c r="AOX47" s="15"/>
      <c r="AOY47" s="15"/>
      <c r="AOZ47" s="15"/>
      <c r="APA47" s="15"/>
      <c r="APB47" s="15"/>
      <c r="APC47" s="15"/>
      <c r="APD47" s="15"/>
      <c r="APE47" s="15"/>
      <c r="APF47" s="15"/>
      <c r="APG47" s="15"/>
      <c r="APH47" s="15"/>
      <c r="API47" s="15"/>
      <c r="APJ47" s="15"/>
      <c r="APK47" s="15"/>
      <c r="APL47" s="15"/>
      <c r="APM47" s="15"/>
      <c r="APN47" s="15"/>
      <c r="APO47" s="15"/>
      <c r="APP47" s="15"/>
      <c r="APQ47" s="15"/>
      <c r="APR47" s="15"/>
      <c r="APS47" s="15"/>
      <c r="APT47" s="15"/>
      <c r="APU47" s="15"/>
      <c r="APV47" s="15"/>
      <c r="APW47" s="15"/>
      <c r="APX47" s="15"/>
      <c r="APY47" s="15"/>
      <c r="APZ47" s="15"/>
      <c r="AQA47" s="15"/>
      <c r="AQB47" s="15"/>
    </row>
    <row r="48" spans="1:1120" s="17" customFormat="1" ht="15" customHeight="1" x14ac:dyDescent="0.25">
      <c r="A48" s="3" t="s">
        <v>2</v>
      </c>
      <c r="B48" s="6" t="s">
        <v>87</v>
      </c>
      <c r="C48" s="15"/>
      <c r="D48" s="15">
        <v>0</v>
      </c>
      <c r="E48" s="15">
        <v>0</v>
      </c>
      <c r="F48" s="15">
        <v>0</v>
      </c>
      <c r="G48" s="15">
        <v>0</v>
      </c>
      <c r="H48" s="15">
        <v>0</v>
      </c>
      <c r="I48" s="15">
        <v>0</v>
      </c>
      <c r="J48" s="15"/>
      <c r="K48" s="15">
        <v>0</v>
      </c>
      <c r="L48" s="15">
        <v>0</v>
      </c>
      <c r="M48" s="15">
        <v>0</v>
      </c>
      <c r="N48" s="15">
        <v>0</v>
      </c>
      <c r="O48" s="15">
        <v>0</v>
      </c>
      <c r="P48" s="15">
        <v>0</v>
      </c>
      <c r="Q48" s="15"/>
      <c r="R48" s="15">
        <v>0</v>
      </c>
      <c r="S48" s="15">
        <v>0</v>
      </c>
      <c r="T48" s="15">
        <v>0</v>
      </c>
      <c r="U48" s="15">
        <v>0</v>
      </c>
      <c r="V48" s="15">
        <v>0</v>
      </c>
      <c r="W48" s="15">
        <v>0</v>
      </c>
      <c r="X48" s="15"/>
      <c r="Y48" s="15">
        <v>0</v>
      </c>
      <c r="Z48" s="15">
        <v>0</v>
      </c>
      <c r="AA48" s="15">
        <v>0</v>
      </c>
      <c r="AB48" s="15">
        <v>0</v>
      </c>
      <c r="AC48" s="15">
        <v>0</v>
      </c>
      <c r="AD48" s="15">
        <v>0</v>
      </c>
      <c r="AE48" s="15"/>
      <c r="AF48" s="15">
        <v>0</v>
      </c>
      <c r="AG48" s="15">
        <v>0</v>
      </c>
      <c r="AH48" s="15">
        <v>0</v>
      </c>
      <c r="AI48" s="15">
        <v>0</v>
      </c>
      <c r="AJ48" s="15">
        <v>0</v>
      </c>
      <c r="AK48" s="15">
        <v>0</v>
      </c>
      <c r="AL48" s="15"/>
      <c r="AM48" s="15">
        <v>0</v>
      </c>
      <c r="AN48" s="15">
        <v>0</v>
      </c>
      <c r="AO48" s="15">
        <v>0</v>
      </c>
      <c r="AP48" s="15">
        <v>0</v>
      </c>
      <c r="AQ48" s="15">
        <v>0</v>
      </c>
      <c r="AR48" s="15">
        <v>0</v>
      </c>
      <c r="AS48" s="15">
        <v>0</v>
      </c>
      <c r="AT48" s="15">
        <v>0</v>
      </c>
      <c r="AU48" s="15">
        <v>0</v>
      </c>
      <c r="AV48" s="15">
        <v>0</v>
      </c>
      <c r="AW48" s="15">
        <v>0</v>
      </c>
      <c r="AX48" s="15">
        <v>0</v>
      </c>
      <c r="AY48" s="15">
        <v>0</v>
      </c>
      <c r="AZ48" s="15">
        <v>0</v>
      </c>
      <c r="BA48" s="15">
        <v>0</v>
      </c>
      <c r="BB48" s="15">
        <v>0</v>
      </c>
      <c r="BC48" s="15">
        <v>0</v>
      </c>
      <c r="BD48" s="15">
        <v>0</v>
      </c>
      <c r="BE48" s="15">
        <v>0</v>
      </c>
      <c r="BF48" s="15">
        <v>0</v>
      </c>
      <c r="BG48" s="15">
        <v>0</v>
      </c>
      <c r="BH48" s="15">
        <v>0</v>
      </c>
      <c r="BI48" s="15">
        <v>0</v>
      </c>
      <c r="BJ48" s="15">
        <v>0</v>
      </c>
      <c r="BK48" s="15">
        <v>0</v>
      </c>
      <c r="BL48" s="15">
        <v>0</v>
      </c>
      <c r="BM48" s="15">
        <v>0</v>
      </c>
      <c r="BN48" s="15">
        <v>0</v>
      </c>
      <c r="BO48" s="15">
        <v>0</v>
      </c>
      <c r="BP48" s="15">
        <v>0</v>
      </c>
      <c r="BQ48" s="15">
        <v>0</v>
      </c>
      <c r="BR48" s="15">
        <v>0</v>
      </c>
      <c r="BS48" s="15">
        <v>0</v>
      </c>
      <c r="BT48" s="15">
        <v>0</v>
      </c>
      <c r="BU48" s="15">
        <v>0</v>
      </c>
      <c r="BV48" s="15">
        <v>0</v>
      </c>
      <c r="BW48" s="15">
        <v>0</v>
      </c>
      <c r="BX48" s="15">
        <v>0</v>
      </c>
      <c r="BY48" s="15">
        <v>0</v>
      </c>
      <c r="BZ48" s="15">
        <v>0</v>
      </c>
      <c r="CA48" s="15">
        <v>0</v>
      </c>
      <c r="CB48" s="15">
        <v>0</v>
      </c>
      <c r="CC48" s="15">
        <v>0</v>
      </c>
      <c r="CD48" s="15">
        <v>0</v>
      </c>
      <c r="CE48" s="15">
        <v>0</v>
      </c>
      <c r="CF48" s="15">
        <v>0</v>
      </c>
      <c r="CG48" s="15">
        <v>0</v>
      </c>
      <c r="CH48" s="15">
        <v>0</v>
      </c>
      <c r="CI48" s="15">
        <v>0</v>
      </c>
      <c r="CJ48" s="15">
        <v>0</v>
      </c>
      <c r="CK48" s="15">
        <v>0</v>
      </c>
      <c r="CL48" s="15">
        <v>0</v>
      </c>
      <c r="CM48" s="15">
        <v>0</v>
      </c>
      <c r="CN48" s="15">
        <v>0</v>
      </c>
      <c r="CO48" s="15">
        <v>0</v>
      </c>
      <c r="CP48" s="15">
        <v>0</v>
      </c>
      <c r="CQ48" s="15">
        <v>0</v>
      </c>
      <c r="CR48" s="15">
        <v>0</v>
      </c>
      <c r="CS48" s="15">
        <v>0</v>
      </c>
      <c r="CT48" s="15">
        <v>0</v>
      </c>
      <c r="CU48" s="15">
        <v>0</v>
      </c>
      <c r="CV48" s="15">
        <v>0</v>
      </c>
      <c r="CW48" s="15">
        <v>0</v>
      </c>
      <c r="CX48" s="15">
        <v>0</v>
      </c>
      <c r="CY48" s="15">
        <v>0</v>
      </c>
      <c r="CZ48" s="15">
        <v>0</v>
      </c>
      <c r="DA48" s="15">
        <v>0</v>
      </c>
      <c r="DB48" s="15">
        <v>0</v>
      </c>
      <c r="DC48" s="15">
        <v>0</v>
      </c>
      <c r="DD48" s="15">
        <v>0</v>
      </c>
      <c r="DE48" s="15">
        <v>0</v>
      </c>
      <c r="DF48" s="15">
        <v>0</v>
      </c>
      <c r="DG48" s="15">
        <v>0</v>
      </c>
      <c r="DH48" s="15">
        <v>0</v>
      </c>
      <c r="DI48" s="15">
        <v>0</v>
      </c>
      <c r="DJ48" s="15">
        <v>0</v>
      </c>
      <c r="DK48" s="15">
        <v>0</v>
      </c>
      <c r="DL48" s="15">
        <v>0</v>
      </c>
      <c r="DM48" s="15">
        <v>0</v>
      </c>
      <c r="DN48" s="15">
        <v>0</v>
      </c>
      <c r="DO48" s="15">
        <v>0</v>
      </c>
      <c r="DP48" s="15">
        <v>0</v>
      </c>
      <c r="DQ48" s="15">
        <v>0</v>
      </c>
      <c r="DR48" s="15">
        <v>0</v>
      </c>
      <c r="DS48" s="15">
        <v>0</v>
      </c>
      <c r="DT48" s="15">
        <v>0</v>
      </c>
      <c r="DU48" s="15">
        <v>0</v>
      </c>
      <c r="DV48" s="15">
        <v>0</v>
      </c>
      <c r="DW48" s="15">
        <v>0</v>
      </c>
      <c r="DX48" s="15">
        <v>0</v>
      </c>
      <c r="DY48" s="15">
        <v>0</v>
      </c>
      <c r="DZ48" s="15">
        <v>0</v>
      </c>
      <c r="EA48" s="15">
        <v>0</v>
      </c>
      <c r="EB48" s="15">
        <v>0</v>
      </c>
      <c r="EC48" s="15">
        <v>0</v>
      </c>
      <c r="ED48" s="15">
        <v>0</v>
      </c>
      <c r="EE48" s="15">
        <v>0</v>
      </c>
      <c r="EF48" s="15">
        <v>0</v>
      </c>
      <c r="EG48" s="15">
        <v>0</v>
      </c>
      <c r="EH48" s="15">
        <v>0</v>
      </c>
      <c r="EI48" s="15">
        <v>0</v>
      </c>
      <c r="EJ48" s="15">
        <v>0</v>
      </c>
      <c r="EK48" s="15">
        <v>0</v>
      </c>
      <c r="EL48" s="15">
        <v>0</v>
      </c>
      <c r="EM48" s="15">
        <v>0</v>
      </c>
      <c r="EN48" s="15">
        <v>0</v>
      </c>
      <c r="EO48" s="15">
        <v>0</v>
      </c>
      <c r="EP48" s="15">
        <v>0</v>
      </c>
      <c r="EQ48" s="15">
        <v>0</v>
      </c>
      <c r="ER48" s="15">
        <v>0</v>
      </c>
      <c r="ES48" s="15">
        <v>0</v>
      </c>
      <c r="ET48" s="15">
        <v>0</v>
      </c>
      <c r="EU48" s="15">
        <v>0</v>
      </c>
      <c r="EV48" s="15">
        <v>0</v>
      </c>
      <c r="EW48" s="15">
        <v>0</v>
      </c>
      <c r="EX48" s="15">
        <v>0</v>
      </c>
      <c r="EY48" s="15">
        <v>0</v>
      </c>
      <c r="EZ48" s="15">
        <v>0</v>
      </c>
      <c r="FA48" s="15">
        <v>0</v>
      </c>
      <c r="FB48" s="15">
        <v>0</v>
      </c>
      <c r="FC48" s="15">
        <v>0</v>
      </c>
      <c r="FD48" s="15"/>
      <c r="FE48" s="15">
        <v>0</v>
      </c>
      <c r="FF48" s="15">
        <v>0</v>
      </c>
      <c r="FG48" s="15">
        <v>0</v>
      </c>
      <c r="FH48" s="15">
        <v>0</v>
      </c>
      <c r="FI48" s="15">
        <v>0</v>
      </c>
      <c r="FJ48" s="15">
        <v>0</v>
      </c>
      <c r="FK48" s="15">
        <v>0</v>
      </c>
      <c r="FL48" s="15">
        <v>0.1</v>
      </c>
      <c r="FM48" s="15">
        <v>0</v>
      </c>
      <c r="FN48" s="15">
        <v>0</v>
      </c>
      <c r="FO48" s="15">
        <v>0</v>
      </c>
      <c r="FP48" s="15">
        <v>0</v>
      </c>
      <c r="FQ48" s="15">
        <v>0</v>
      </c>
      <c r="FR48" s="15">
        <v>0</v>
      </c>
      <c r="FS48" s="15">
        <v>0.1</v>
      </c>
      <c r="FT48" s="15">
        <v>0</v>
      </c>
      <c r="FU48" s="15">
        <v>0</v>
      </c>
      <c r="FV48" s="15">
        <v>0</v>
      </c>
      <c r="FW48" s="15">
        <v>0</v>
      </c>
      <c r="FX48" s="15">
        <v>0</v>
      </c>
      <c r="FY48" s="15">
        <v>0</v>
      </c>
      <c r="FZ48" s="15">
        <v>0</v>
      </c>
      <c r="GA48" s="15">
        <v>0</v>
      </c>
      <c r="GB48" s="15">
        <v>0</v>
      </c>
      <c r="GC48" s="15">
        <v>0</v>
      </c>
      <c r="GD48" s="15">
        <v>0</v>
      </c>
      <c r="GE48" s="15">
        <v>0</v>
      </c>
      <c r="GF48" s="15">
        <v>0</v>
      </c>
      <c r="GG48" s="15">
        <v>0</v>
      </c>
      <c r="GH48" s="15">
        <v>0</v>
      </c>
      <c r="GI48" s="15">
        <v>0</v>
      </c>
      <c r="GJ48" s="15">
        <v>0</v>
      </c>
      <c r="GK48" s="15">
        <v>0</v>
      </c>
      <c r="GL48" s="15">
        <v>0</v>
      </c>
      <c r="GM48" s="15">
        <v>0</v>
      </c>
      <c r="GN48" s="15">
        <v>0</v>
      </c>
      <c r="GO48" s="15">
        <v>0</v>
      </c>
      <c r="GP48" s="15">
        <v>0</v>
      </c>
      <c r="GQ48" s="15">
        <v>0</v>
      </c>
      <c r="GR48" s="15">
        <v>0</v>
      </c>
      <c r="GS48" s="15">
        <v>0</v>
      </c>
      <c r="GT48" s="15">
        <v>0</v>
      </c>
      <c r="GU48" s="15">
        <v>0</v>
      </c>
      <c r="GV48" s="15">
        <v>0</v>
      </c>
      <c r="GW48" s="15">
        <v>0</v>
      </c>
      <c r="GX48" s="15">
        <v>0</v>
      </c>
      <c r="GY48" s="15">
        <v>0</v>
      </c>
      <c r="GZ48" s="15">
        <v>0</v>
      </c>
      <c r="HA48" s="15">
        <v>0</v>
      </c>
      <c r="HB48" s="15">
        <v>0</v>
      </c>
      <c r="HC48" s="15">
        <v>0</v>
      </c>
      <c r="HD48" s="15">
        <v>0</v>
      </c>
      <c r="HE48" s="15">
        <v>0</v>
      </c>
      <c r="HF48" s="15">
        <v>0</v>
      </c>
      <c r="HG48" s="15">
        <v>0</v>
      </c>
      <c r="HH48" s="15">
        <v>0</v>
      </c>
      <c r="HI48" s="15">
        <v>0</v>
      </c>
      <c r="HJ48" s="15">
        <v>0</v>
      </c>
      <c r="HK48" s="15">
        <v>0</v>
      </c>
      <c r="HL48" s="15">
        <v>0</v>
      </c>
      <c r="HM48" s="15">
        <v>0</v>
      </c>
      <c r="HN48" s="15">
        <v>0</v>
      </c>
      <c r="HO48" s="15">
        <v>0</v>
      </c>
      <c r="HP48" s="15">
        <v>0</v>
      </c>
      <c r="HQ48" s="15">
        <v>0</v>
      </c>
      <c r="HR48" s="15">
        <v>0</v>
      </c>
      <c r="HS48" s="15">
        <v>0</v>
      </c>
      <c r="HT48" s="15">
        <v>0</v>
      </c>
      <c r="HU48" s="15">
        <v>0</v>
      </c>
      <c r="HV48" s="15">
        <v>0</v>
      </c>
      <c r="HW48" s="15">
        <v>0</v>
      </c>
      <c r="HX48" s="15">
        <v>0</v>
      </c>
      <c r="HY48" s="15">
        <v>0</v>
      </c>
      <c r="HZ48" s="15">
        <v>0</v>
      </c>
      <c r="IA48" s="15">
        <v>0</v>
      </c>
      <c r="IB48" s="15"/>
      <c r="IC48" s="15">
        <v>0</v>
      </c>
      <c r="ID48" s="15">
        <v>0</v>
      </c>
      <c r="IE48" s="15">
        <v>0</v>
      </c>
      <c r="IF48" s="15">
        <v>0</v>
      </c>
      <c r="IG48" s="15">
        <v>0</v>
      </c>
      <c r="IH48" s="15">
        <v>0</v>
      </c>
      <c r="II48" s="15">
        <v>0</v>
      </c>
      <c r="IJ48" s="15">
        <v>0</v>
      </c>
      <c r="IK48" s="15"/>
      <c r="IL48" s="15">
        <v>0</v>
      </c>
      <c r="IM48" s="15">
        <v>0</v>
      </c>
      <c r="IN48" s="15">
        <v>0</v>
      </c>
      <c r="IO48" s="15">
        <v>0</v>
      </c>
      <c r="IP48" s="15">
        <v>0</v>
      </c>
      <c r="IQ48" s="15">
        <v>0</v>
      </c>
      <c r="IR48" s="15">
        <v>0</v>
      </c>
      <c r="IS48" s="20">
        <v>0.2</v>
      </c>
      <c r="IT48" s="20">
        <v>0</v>
      </c>
      <c r="IU48" s="20">
        <v>0</v>
      </c>
      <c r="IV48" s="20">
        <v>0</v>
      </c>
      <c r="IW48" s="20">
        <v>0</v>
      </c>
      <c r="IX48" s="20">
        <v>0</v>
      </c>
      <c r="IY48" s="20">
        <v>0</v>
      </c>
      <c r="IZ48" s="20">
        <v>0</v>
      </c>
      <c r="JA48" s="20">
        <v>0</v>
      </c>
      <c r="JB48" s="20">
        <v>0</v>
      </c>
      <c r="JC48" s="20">
        <v>0</v>
      </c>
      <c r="JD48" s="20">
        <v>0.2</v>
      </c>
      <c r="JE48" s="20">
        <v>0</v>
      </c>
      <c r="JF48" s="20">
        <v>0</v>
      </c>
      <c r="JG48" s="20">
        <v>0</v>
      </c>
      <c r="JH48" s="15">
        <v>0</v>
      </c>
      <c r="JI48" s="15">
        <v>0</v>
      </c>
      <c r="JJ48" s="15">
        <v>0</v>
      </c>
      <c r="JK48" s="15">
        <v>0</v>
      </c>
      <c r="JL48" s="15">
        <v>0</v>
      </c>
      <c r="JM48" s="15">
        <v>0</v>
      </c>
      <c r="JN48" s="15">
        <v>0</v>
      </c>
      <c r="JO48" s="15">
        <v>0</v>
      </c>
      <c r="JP48" s="15">
        <v>0</v>
      </c>
      <c r="JQ48" s="15">
        <v>0</v>
      </c>
      <c r="JR48" s="15">
        <v>0</v>
      </c>
      <c r="JS48" s="15">
        <v>0</v>
      </c>
      <c r="JT48" s="15">
        <v>0</v>
      </c>
      <c r="JU48" s="15">
        <v>0</v>
      </c>
      <c r="JV48" s="15">
        <v>0</v>
      </c>
      <c r="JW48" s="15">
        <v>0</v>
      </c>
      <c r="JX48" s="15">
        <v>0</v>
      </c>
      <c r="JY48" s="15">
        <v>0</v>
      </c>
      <c r="JZ48" s="15">
        <v>0</v>
      </c>
      <c r="KA48" s="15">
        <v>0</v>
      </c>
      <c r="KB48" s="15">
        <v>0</v>
      </c>
      <c r="KC48" s="15">
        <v>0</v>
      </c>
      <c r="KD48" s="15">
        <v>0</v>
      </c>
      <c r="KE48" s="15">
        <v>0</v>
      </c>
      <c r="KF48" s="15">
        <v>0</v>
      </c>
      <c r="KG48" s="15">
        <v>0</v>
      </c>
      <c r="KH48" s="15">
        <v>0</v>
      </c>
      <c r="KI48" s="15">
        <v>0</v>
      </c>
      <c r="KJ48" s="15">
        <v>0</v>
      </c>
      <c r="KK48" s="15">
        <v>0</v>
      </c>
      <c r="KL48" s="15">
        <v>0</v>
      </c>
      <c r="KM48" s="15">
        <v>0</v>
      </c>
      <c r="KN48" s="15">
        <v>0</v>
      </c>
      <c r="KO48" s="15">
        <v>0</v>
      </c>
      <c r="KP48" s="15">
        <v>0</v>
      </c>
      <c r="KQ48" s="15">
        <v>0</v>
      </c>
      <c r="KR48" s="15">
        <v>0</v>
      </c>
      <c r="KS48" s="15">
        <v>0</v>
      </c>
      <c r="KT48" s="15">
        <v>0</v>
      </c>
      <c r="KU48" s="15">
        <v>10</v>
      </c>
      <c r="KV48" s="15">
        <v>0</v>
      </c>
      <c r="KW48" s="15">
        <v>0</v>
      </c>
      <c r="KX48" s="15">
        <v>0</v>
      </c>
      <c r="KY48" s="15">
        <v>0</v>
      </c>
      <c r="KZ48" s="15">
        <v>0</v>
      </c>
      <c r="LA48" s="15">
        <v>0</v>
      </c>
      <c r="LB48" s="15">
        <v>0</v>
      </c>
      <c r="LC48" s="15">
        <v>0</v>
      </c>
      <c r="LD48" s="15">
        <v>0</v>
      </c>
      <c r="LE48" s="15">
        <v>0</v>
      </c>
      <c r="LF48" s="15">
        <v>0</v>
      </c>
      <c r="LG48" s="15">
        <v>0</v>
      </c>
      <c r="LH48" s="15">
        <v>0</v>
      </c>
      <c r="LI48" s="15">
        <v>0</v>
      </c>
      <c r="LJ48" s="15">
        <v>0</v>
      </c>
      <c r="LK48" s="15">
        <v>0</v>
      </c>
      <c r="LL48" s="15">
        <v>0</v>
      </c>
      <c r="LM48" s="15">
        <v>0</v>
      </c>
      <c r="LN48" s="15">
        <v>0</v>
      </c>
      <c r="LO48" s="15">
        <v>0</v>
      </c>
      <c r="LP48" s="15">
        <v>0</v>
      </c>
      <c r="LQ48" s="15">
        <v>0</v>
      </c>
      <c r="LR48" s="15">
        <v>0</v>
      </c>
      <c r="LS48" s="15">
        <v>0</v>
      </c>
      <c r="LT48" s="15">
        <v>0</v>
      </c>
      <c r="LU48" s="15">
        <v>0</v>
      </c>
      <c r="LV48" s="15">
        <v>0</v>
      </c>
      <c r="LW48" s="15">
        <v>0</v>
      </c>
      <c r="LX48" s="15">
        <v>0</v>
      </c>
      <c r="LY48" s="15">
        <v>0</v>
      </c>
      <c r="LZ48" s="15">
        <v>0</v>
      </c>
      <c r="MA48" s="15">
        <v>0</v>
      </c>
      <c r="MB48" s="15">
        <v>0</v>
      </c>
      <c r="MC48" s="15">
        <v>0</v>
      </c>
      <c r="MD48" s="15">
        <v>0</v>
      </c>
      <c r="ME48" s="15">
        <v>0</v>
      </c>
      <c r="MF48" s="15">
        <v>0</v>
      </c>
      <c r="MG48" s="15">
        <v>0</v>
      </c>
      <c r="MH48" s="15">
        <v>0</v>
      </c>
      <c r="MI48" s="15">
        <v>0</v>
      </c>
      <c r="MJ48" s="15">
        <v>0</v>
      </c>
      <c r="MK48" s="15">
        <v>0</v>
      </c>
      <c r="ML48" s="15">
        <v>0</v>
      </c>
      <c r="MM48" s="15">
        <v>0</v>
      </c>
      <c r="MN48" s="15">
        <v>0</v>
      </c>
      <c r="MO48" s="15">
        <v>0</v>
      </c>
      <c r="MP48" s="15">
        <v>0</v>
      </c>
      <c r="MQ48" s="15">
        <v>0</v>
      </c>
      <c r="MR48" s="15">
        <v>0</v>
      </c>
      <c r="MS48" s="15">
        <v>0</v>
      </c>
      <c r="MT48" s="15">
        <v>0</v>
      </c>
      <c r="MU48" s="15">
        <v>0</v>
      </c>
      <c r="MV48" s="15">
        <v>0</v>
      </c>
      <c r="MW48" s="15">
        <v>0</v>
      </c>
      <c r="MX48" s="15">
        <v>0</v>
      </c>
      <c r="MY48" s="15">
        <v>0</v>
      </c>
      <c r="MZ48" s="15">
        <v>0</v>
      </c>
      <c r="NA48" s="15">
        <v>0</v>
      </c>
      <c r="NB48" s="15">
        <v>0</v>
      </c>
      <c r="NC48" s="15">
        <v>0</v>
      </c>
      <c r="ND48" s="15">
        <v>0</v>
      </c>
      <c r="NE48" s="15">
        <v>0</v>
      </c>
      <c r="NF48" s="15">
        <v>0</v>
      </c>
      <c r="NG48" s="15">
        <v>0</v>
      </c>
      <c r="NH48" s="15">
        <v>0</v>
      </c>
      <c r="NI48" s="15">
        <v>0</v>
      </c>
      <c r="NJ48" s="15">
        <v>0</v>
      </c>
      <c r="NK48" s="15">
        <v>0</v>
      </c>
      <c r="NL48" s="15">
        <v>0</v>
      </c>
      <c r="NM48" s="15">
        <v>0</v>
      </c>
      <c r="NN48" s="15">
        <v>0</v>
      </c>
      <c r="NO48" s="20">
        <v>0</v>
      </c>
      <c r="NP48" s="15">
        <v>0</v>
      </c>
      <c r="NQ48" s="15">
        <v>0</v>
      </c>
      <c r="NR48" s="15">
        <v>0</v>
      </c>
      <c r="NS48" s="15">
        <v>0</v>
      </c>
      <c r="NT48" s="15">
        <v>0</v>
      </c>
      <c r="NU48" s="15">
        <v>0</v>
      </c>
      <c r="NV48" s="15">
        <v>0</v>
      </c>
      <c r="NW48" s="15">
        <v>25</v>
      </c>
      <c r="NX48" s="15">
        <v>0</v>
      </c>
      <c r="NY48" s="15">
        <v>0</v>
      </c>
      <c r="NZ48" s="15">
        <v>0</v>
      </c>
      <c r="OA48" s="15">
        <v>0</v>
      </c>
      <c r="OB48" s="15">
        <v>-25</v>
      </c>
      <c r="OC48" s="15">
        <v>0</v>
      </c>
      <c r="OD48" s="15">
        <v>10</v>
      </c>
      <c r="OE48" s="15">
        <v>0</v>
      </c>
      <c r="OF48" s="15">
        <v>0</v>
      </c>
      <c r="OG48" s="15">
        <v>0</v>
      </c>
      <c r="OH48" s="15">
        <v>0</v>
      </c>
      <c r="OI48" s="15">
        <v>0</v>
      </c>
      <c r="OJ48" s="15">
        <v>0</v>
      </c>
      <c r="OK48" s="15">
        <v>0</v>
      </c>
      <c r="OL48" s="15">
        <v>0</v>
      </c>
      <c r="OM48" s="15">
        <v>0</v>
      </c>
      <c r="ON48" s="15">
        <v>0</v>
      </c>
      <c r="OO48" s="15">
        <v>0</v>
      </c>
      <c r="OP48" s="15">
        <v>0</v>
      </c>
      <c r="OQ48" s="15">
        <v>0</v>
      </c>
      <c r="OR48" s="15">
        <v>0</v>
      </c>
      <c r="OS48" s="15">
        <v>0</v>
      </c>
      <c r="OT48" s="15">
        <v>0</v>
      </c>
      <c r="OU48" s="15">
        <v>0</v>
      </c>
      <c r="OV48" s="15">
        <v>0</v>
      </c>
      <c r="OW48" s="15">
        <v>0</v>
      </c>
      <c r="OX48" s="15">
        <v>0</v>
      </c>
      <c r="OY48" s="15">
        <v>0</v>
      </c>
      <c r="OZ48" s="15">
        <v>0</v>
      </c>
      <c r="PA48" s="15">
        <v>0</v>
      </c>
      <c r="PB48" s="15">
        <v>0</v>
      </c>
      <c r="PC48" s="15">
        <v>0</v>
      </c>
      <c r="PD48" s="15">
        <v>0</v>
      </c>
      <c r="PE48" s="15">
        <v>0</v>
      </c>
      <c r="PF48" s="15">
        <v>0</v>
      </c>
      <c r="PG48" s="15">
        <v>0</v>
      </c>
      <c r="PH48" s="15">
        <v>5</v>
      </c>
      <c r="PI48" s="15">
        <v>0</v>
      </c>
      <c r="PJ48" s="15">
        <v>0</v>
      </c>
      <c r="PK48" s="15">
        <v>0</v>
      </c>
      <c r="PL48" s="15">
        <v>0</v>
      </c>
      <c r="PM48" s="15">
        <v>0</v>
      </c>
      <c r="PN48" s="15">
        <v>0</v>
      </c>
      <c r="PO48" s="15">
        <v>0</v>
      </c>
      <c r="PP48" s="15">
        <v>0</v>
      </c>
      <c r="PQ48" s="15">
        <v>0</v>
      </c>
      <c r="PR48" s="15">
        <v>10</v>
      </c>
      <c r="PS48" s="15">
        <v>0</v>
      </c>
      <c r="PT48" s="15">
        <v>0</v>
      </c>
      <c r="PU48" s="15">
        <v>0</v>
      </c>
      <c r="PV48" s="15">
        <v>0</v>
      </c>
      <c r="PW48" s="20">
        <v>0</v>
      </c>
      <c r="PX48" s="20">
        <v>10</v>
      </c>
      <c r="PY48" s="20">
        <v>0</v>
      </c>
      <c r="PZ48" s="15">
        <v>0</v>
      </c>
      <c r="QA48" s="20">
        <v>0</v>
      </c>
      <c r="QB48" s="20">
        <v>0</v>
      </c>
      <c r="QC48" s="20">
        <v>0</v>
      </c>
      <c r="QD48" s="15">
        <v>0</v>
      </c>
      <c r="QE48" s="15">
        <v>0</v>
      </c>
      <c r="QF48" s="15">
        <v>0</v>
      </c>
      <c r="QG48" s="15">
        <v>0</v>
      </c>
      <c r="QH48" s="15">
        <v>0</v>
      </c>
      <c r="QI48" s="15">
        <v>10</v>
      </c>
      <c r="QJ48" s="15">
        <v>0</v>
      </c>
      <c r="QK48" s="15">
        <v>0</v>
      </c>
      <c r="QL48" s="15">
        <v>0</v>
      </c>
      <c r="QM48" s="15">
        <v>0</v>
      </c>
      <c r="QN48" s="15">
        <v>0</v>
      </c>
      <c r="QO48" s="15">
        <v>10</v>
      </c>
      <c r="QP48" s="15">
        <v>0</v>
      </c>
      <c r="QQ48" s="15">
        <v>10</v>
      </c>
      <c r="QR48" s="15">
        <v>0</v>
      </c>
      <c r="QS48" s="15">
        <v>0</v>
      </c>
      <c r="QT48" s="15">
        <v>0</v>
      </c>
      <c r="QU48" s="15">
        <v>0</v>
      </c>
      <c r="QV48" s="15">
        <v>0</v>
      </c>
      <c r="QW48" s="15">
        <v>0</v>
      </c>
      <c r="QX48" s="15">
        <v>0</v>
      </c>
      <c r="QY48" s="15">
        <v>0</v>
      </c>
      <c r="QZ48" s="15">
        <v>0</v>
      </c>
      <c r="RA48" s="15">
        <v>0</v>
      </c>
      <c r="RB48" s="15">
        <v>0</v>
      </c>
      <c r="RC48" s="15">
        <v>0</v>
      </c>
      <c r="RD48" s="15">
        <v>0</v>
      </c>
      <c r="RE48" s="15">
        <v>0</v>
      </c>
      <c r="RF48" s="15">
        <v>0</v>
      </c>
      <c r="RG48" s="15">
        <v>0</v>
      </c>
      <c r="RH48" s="15">
        <v>0</v>
      </c>
      <c r="RI48" s="15">
        <v>0</v>
      </c>
      <c r="RJ48" s="15">
        <v>0</v>
      </c>
      <c r="RK48" s="15">
        <v>0</v>
      </c>
      <c r="RL48" s="15">
        <v>0</v>
      </c>
      <c r="RM48" s="15">
        <v>0</v>
      </c>
      <c r="RN48" s="15">
        <v>0</v>
      </c>
      <c r="RO48" s="15">
        <v>0</v>
      </c>
      <c r="RP48" s="15">
        <v>0</v>
      </c>
      <c r="RQ48" s="15">
        <v>0</v>
      </c>
      <c r="RR48" s="15">
        <v>0</v>
      </c>
      <c r="RS48" s="15"/>
      <c r="RT48" s="15">
        <v>0</v>
      </c>
      <c r="RU48" s="15">
        <v>0</v>
      </c>
      <c r="RV48" s="15">
        <v>0</v>
      </c>
      <c r="RW48" s="15">
        <v>0</v>
      </c>
      <c r="RX48" s="15">
        <v>0</v>
      </c>
      <c r="RY48" s="15">
        <v>0</v>
      </c>
      <c r="RZ48" s="15">
        <v>0</v>
      </c>
      <c r="SA48" s="15">
        <v>0</v>
      </c>
      <c r="SB48" s="15">
        <v>0</v>
      </c>
      <c r="SC48" s="15">
        <v>0</v>
      </c>
      <c r="SD48" s="15">
        <v>0</v>
      </c>
      <c r="SE48" s="15">
        <v>0</v>
      </c>
      <c r="SF48" s="15">
        <v>25</v>
      </c>
      <c r="SG48" s="15">
        <v>0</v>
      </c>
      <c r="SH48" s="15">
        <v>0</v>
      </c>
      <c r="SI48" s="15">
        <v>0</v>
      </c>
      <c r="SJ48" s="15">
        <v>0</v>
      </c>
      <c r="SK48" s="15">
        <v>-25</v>
      </c>
      <c r="SL48" s="15">
        <v>0</v>
      </c>
      <c r="SM48" s="15">
        <v>10</v>
      </c>
      <c r="SN48" s="15">
        <v>0</v>
      </c>
      <c r="SO48" s="15">
        <v>0</v>
      </c>
      <c r="SP48" s="15">
        <v>0</v>
      </c>
      <c r="SQ48" s="15">
        <v>0</v>
      </c>
      <c r="SR48" s="15">
        <v>0</v>
      </c>
      <c r="SS48" s="15">
        <v>0</v>
      </c>
      <c r="ST48" s="15">
        <v>0</v>
      </c>
      <c r="SU48" s="15">
        <v>0</v>
      </c>
      <c r="SV48" s="15">
        <v>0</v>
      </c>
      <c r="SW48" s="15">
        <v>0</v>
      </c>
      <c r="SX48" s="15">
        <v>0</v>
      </c>
      <c r="SY48" s="15">
        <v>0</v>
      </c>
      <c r="SZ48" s="15">
        <v>0</v>
      </c>
      <c r="TA48" s="15">
        <v>0</v>
      </c>
      <c r="TB48" s="15">
        <v>0</v>
      </c>
      <c r="TC48" s="15">
        <v>0</v>
      </c>
      <c r="TD48" s="15">
        <v>0</v>
      </c>
      <c r="TE48" s="15">
        <v>0</v>
      </c>
      <c r="TF48" s="15">
        <v>0</v>
      </c>
      <c r="TG48" s="15">
        <v>0</v>
      </c>
      <c r="TH48" s="15">
        <v>0</v>
      </c>
      <c r="TI48" s="15">
        <v>0</v>
      </c>
      <c r="TJ48" s="15">
        <v>0</v>
      </c>
      <c r="TK48" s="15">
        <v>0</v>
      </c>
      <c r="TL48" s="15">
        <v>0</v>
      </c>
      <c r="TM48" s="15">
        <v>0</v>
      </c>
      <c r="TN48" s="15">
        <v>0</v>
      </c>
      <c r="TO48" s="15">
        <v>0</v>
      </c>
      <c r="TP48" s="15">
        <v>5</v>
      </c>
      <c r="TQ48" s="15">
        <v>0</v>
      </c>
      <c r="TR48" s="15">
        <v>0</v>
      </c>
      <c r="TS48" s="15">
        <v>0</v>
      </c>
      <c r="TT48" s="15">
        <v>0</v>
      </c>
      <c r="TU48" s="15">
        <v>0</v>
      </c>
      <c r="TV48" s="15">
        <v>0</v>
      </c>
      <c r="TW48" s="15">
        <v>0</v>
      </c>
      <c r="TX48" s="15">
        <v>0</v>
      </c>
      <c r="TY48" s="15">
        <v>0</v>
      </c>
      <c r="TZ48" s="15">
        <v>10</v>
      </c>
      <c r="UA48" s="15">
        <v>0</v>
      </c>
      <c r="UB48" s="15">
        <v>0</v>
      </c>
      <c r="UC48" s="15">
        <v>0</v>
      </c>
      <c r="UD48" s="15">
        <v>0</v>
      </c>
      <c r="UE48" s="20">
        <v>0</v>
      </c>
      <c r="UF48" s="20">
        <v>10</v>
      </c>
      <c r="UG48" s="20">
        <v>0</v>
      </c>
      <c r="UH48" s="15">
        <v>0</v>
      </c>
      <c r="UI48" s="20">
        <v>0</v>
      </c>
      <c r="UJ48" s="20">
        <v>0</v>
      </c>
      <c r="UK48" s="20">
        <v>0</v>
      </c>
      <c r="UL48" s="15">
        <v>0</v>
      </c>
      <c r="UM48" s="15">
        <v>0</v>
      </c>
      <c r="UN48" s="15">
        <v>0</v>
      </c>
      <c r="UO48" s="15">
        <v>0</v>
      </c>
      <c r="UP48" s="15">
        <v>0</v>
      </c>
      <c r="UQ48" s="15">
        <v>10</v>
      </c>
      <c r="UR48" s="15">
        <v>0</v>
      </c>
      <c r="US48" s="15">
        <v>0</v>
      </c>
      <c r="UT48" s="15">
        <v>0</v>
      </c>
      <c r="UU48" s="15">
        <v>0</v>
      </c>
      <c r="UV48" s="15">
        <v>0</v>
      </c>
      <c r="UW48" s="15">
        <v>10</v>
      </c>
      <c r="UX48" s="15">
        <v>0</v>
      </c>
      <c r="UY48" s="15">
        <v>10</v>
      </c>
      <c r="UZ48" s="15">
        <v>0</v>
      </c>
      <c r="VA48" s="15">
        <v>0</v>
      </c>
      <c r="VB48" s="15">
        <v>0</v>
      </c>
      <c r="VC48" s="15">
        <v>0</v>
      </c>
      <c r="VD48" s="15">
        <v>0</v>
      </c>
      <c r="VE48" s="15">
        <v>0</v>
      </c>
      <c r="VF48" s="15">
        <v>0</v>
      </c>
      <c r="VG48" s="15">
        <v>0</v>
      </c>
      <c r="VH48" s="15">
        <v>0</v>
      </c>
      <c r="VI48" s="15">
        <v>0</v>
      </c>
      <c r="VJ48" s="15">
        <v>0</v>
      </c>
      <c r="VK48" s="15">
        <v>0</v>
      </c>
      <c r="VL48" s="15">
        <v>0</v>
      </c>
      <c r="VM48" s="15">
        <v>0</v>
      </c>
      <c r="VN48" s="15">
        <v>0</v>
      </c>
      <c r="VO48" s="15">
        <v>0</v>
      </c>
      <c r="VP48" s="15">
        <v>0</v>
      </c>
      <c r="VQ48" s="15">
        <v>0</v>
      </c>
      <c r="VR48" s="15">
        <v>0</v>
      </c>
      <c r="VS48" s="15">
        <v>0</v>
      </c>
      <c r="VT48" s="15">
        <v>0</v>
      </c>
      <c r="VU48" s="15">
        <v>0</v>
      </c>
      <c r="VV48" s="15">
        <v>0</v>
      </c>
      <c r="VW48" s="15">
        <v>0</v>
      </c>
      <c r="VX48" s="15">
        <v>0</v>
      </c>
      <c r="VY48" s="15">
        <v>0</v>
      </c>
      <c r="VZ48" s="15">
        <v>0</v>
      </c>
      <c r="WA48" s="15">
        <v>0</v>
      </c>
      <c r="WB48" s="15">
        <v>0</v>
      </c>
      <c r="WC48" s="15">
        <v>0</v>
      </c>
      <c r="WD48" s="15">
        <v>0</v>
      </c>
      <c r="WE48" s="15">
        <v>0</v>
      </c>
      <c r="WF48" s="15">
        <v>0</v>
      </c>
      <c r="WG48" s="15">
        <v>0</v>
      </c>
      <c r="WH48" s="15">
        <v>10</v>
      </c>
      <c r="WI48" s="15">
        <v>0</v>
      </c>
      <c r="WJ48" s="15">
        <v>0</v>
      </c>
      <c r="WK48" s="15">
        <v>0</v>
      </c>
      <c r="WL48" s="15">
        <v>0</v>
      </c>
      <c r="WM48" s="15">
        <v>0</v>
      </c>
      <c r="WN48" s="15">
        <v>0</v>
      </c>
      <c r="WO48" s="15">
        <v>0</v>
      </c>
      <c r="WP48" s="15">
        <v>0</v>
      </c>
      <c r="WQ48" s="15">
        <v>0</v>
      </c>
      <c r="WR48" s="15">
        <v>0</v>
      </c>
      <c r="WS48" s="15">
        <v>0</v>
      </c>
      <c r="WT48" s="15">
        <v>0</v>
      </c>
      <c r="WU48" s="15">
        <v>10</v>
      </c>
      <c r="WV48" s="15">
        <v>0</v>
      </c>
      <c r="WW48" s="15">
        <v>10</v>
      </c>
      <c r="WX48" s="15">
        <v>0</v>
      </c>
      <c r="WY48" s="15">
        <v>10</v>
      </c>
      <c r="WZ48" s="15">
        <v>10</v>
      </c>
      <c r="XA48" s="15">
        <v>0</v>
      </c>
      <c r="XB48" s="15">
        <v>10</v>
      </c>
      <c r="XC48" s="15">
        <v>0</v>
      </c>
      <c r="XD48" s="15">
        <v>10</v>
      </c>
      <c r="XE48" s="15">
        <v>0</v>
      </c>
      <c r="XF48" s="15">
        <v>10</v>
      </c>
      <c r="XG48" s="15">
        <v>0</v>
      </c>
      <c r="XH48" s="15">
        <v>10</v>
      </c>
      <c r="XI48" s="15">
        <v>0</v>
      </c>
      <c r="XJ48" s="15">
        <v>0</v>
      </c>
      <c r="XK48" s="15">
        <v>0</v>
      </c>
      <c r="XL48" s="15">
        <v>0</v>
      </c>
      <c r="XM48" s="15">
        <v>0</v>
      </c>
      <c r="XN48" s="15">
        <v>0</v>
      </c>
      <c r="XO48" s="15">
        <v>0</v>
      </c>
      <c r="XP48" s="15">
        <v>0</v>
      </c>
      <c r="XQ48" s="15">
        <v>0</v>
      </c>
      <c r="XR48" s="15">
        <v>0</v>
      </c>
      <c r="XS48" s="15">
        <v>0</v>
      </c>
      <c r="XT48" s="15">
        <v>0</v>
      </c>
      <c r="XU48" s="15">
        <v>0</v>
      </c>
      <c r="XV48" s="15">
        <v>0</v>
      </c>
      <c r="XW48" s="15">
        <v>0</v>
      </c>
      <c r="XX48" s="15">
        <v>0</v>
      </c>
      <c r="XY48" s="15">
        <v>0</v>
      </c>
      <c r="XZ48" s="15">
        <v>0</v>
      </c>
      <c r="YA48" s="15">
        <v>0</v>
      </c>
      <c r="YB48" s="15">
        <v>0</v>
      </c>
      <c r="YC48" s="15">
        <v>0</v>
      </c>
      <c r="YD48" s="15">
        <v>0</v>
      </c>
      <c r="YE48" s="15">
        <v>0</v>
      </c>
      <c r="YF48" s="15">
        <v>0</v>
      </c>
      <c r="YG48" s="15">
        <v>0</v>
      </c>
      <c r="YH48" s="15">
        <v>0</v>
      </c>
      <c r="YI48" s="15">
        <v>0</v>
      </c>
      <c r="YJ48" s="15">
        <v>0</v>
      </c>
      <c r="YK48" s="15">
        <v>0</v>
      </c>
      <c r="YL48" s="15">
        <v>0</v>
      </c>
      <c r="YM48" s="15">
        <v>0</v>
      </c>
      <c r="YN48" s="15">
        <v>0</v>
      </c>
      <c r="YO48" s="15">
        <v>0</v>
      </c>
      <c r="YP48" s="15">
        <v>0</v>
      </c>
      <c r="YQ48" s="15">
        <v>0</v>
      </c>
      <c r="YR48" s="15">
        <v>0</v>
      </c>
      <c r="YS48" s="15">
        <v>0</v>
      </c>
      <c r="YT48" s="15">
        <v>0</v>
      </c>
      <c r="YU48" s="15">
        <v>0</v>
      </c>
      <c r="YV48" s="15">
        <v>0</v>
      </c>
      <c r="YW48" s="15">
        <v>0</v>
      </c>
      <c r="YX48" s="15">
        <v>0</v>
      </c>
      <c r="YY48" s="15">
        <v>0</v>
      </c>
      <c r="YZ48" s="15">
        <v>0</v>
      </c>
      <c r="ZA48" s="15">
        <v>0</v>
      </c>
      <c r="ZB48" s="15">
        <v>0</v>
      </c>
      <c r="ZC48" s="15">
        <v>0</v>
      </c>
      <c r="ZD48" s="15">
        <v>0</v>
      </c>
      <c r="ZE48" s="15">
        <v>0</v>
      </c>
      <c r="ZF48" s="15">
        <v>0</v>
      </c>
      <c r="ZG48" s="15">
        <v>0</v>
      </c>
      <c r="ZH48" s="15">
        <v>0</v>
      </c>
      <c r="ZI48" s="15">
        <v>0</v>
      </c>
      <c r="ZJ48" s="15">
        <v>0</v>
      </c>
      <c r="ZK48" s="15">
        <v>0</v>
      </c>
      <c r="ZL48" s="15">
        <v>0</v>
      </c>
      <c r="ZM48" s="15">
        <v>0</v>
      </c>
      <c r="ZN48" s="15">
        <v>0</v>
      </c>
      <c r="ZO48" s="15">
        <v>0</v>
      </c>
      <c r="ZP48" s="15">
        <v>0</v>
      </c>
      <c r="ZQ48" s="15">
        <v>25</v>
      </c>
      <c r="ZR48" s="15">
        <v>0</v>
      </c>
      <c r="ZS48" s="15">
        <v>0</v>
      </c>
      <c r="ZT48" s="15">
        <v>0</v>
      </c>
      <c r="ZU48" s="15">
        <v>0</v>
      </c>
      <c r="ZV48" s="15">
        <v>0</v>
      </c>
      <c r="ZW48" s="15">
        <v>0</v>
      </c>
      <c r="ZX48" s="15">
        <v>25</v>
      </c>
      <c r="ZY48" s="15">
        <v>0</v>
      </c>
      <c r="ZZ48" s="15">
        <v>0</v>
      </c>
      <c r="AAA48" s="15">
        <v>0</v>
      </c>
      <c r="AAB48" s="15">
        <v>0</v>
      </c>
      <c r="AAC48" s="15">
        <v>0</v>
      </c>
      <c r="AAD48" s="15">
        <v>0</v>
      </c>
      <c r="AAE48" s="15">
        <v>0</v>
      </c>
      <c r="AAF48" s="15">
        <v>0</v>
      </c>
      <c r="AAG48" s="15">
        <v>0</v>
      </c>
      <c r="AAH48" s="15">
        <v>0</v>
      </c>
      <c r="AAI48" s="15">
        <v>0</v>
      </c>
      <c r="AAJ48" s="15">
        <v>0</v>
      </c>
      <c r="AAK48" s="15">
        <v>0</v>
      </c>
      <c r="AAL48" s="15"/>
      <c r="AAM48" s="15">
        <v>0</v>
      </c>
      <c r="AAN48" s="15">
        <v>0</v>
      </c>
      <c r="AAO48" s="15">
        <v>0</v>
      </c>
      <c r="AAP48" s="15">
        <v>0</v>
      </c>
      <c r="AAQ48" s="15">
        <v>0</v>
      </c>
      <c r="AAR48" s="15">
        <v>0</v>
      </c>
      <c r="AAS48" s="15">
        <v>0</v>
      </c>
      <c r="AAT48" s="15">
        <v>0</v>
      </c>
      <c r="AAU48" s="15">
        <v>0</v>
      </c>
      <c r="AAV48" s="15">
        <v>0</v>
      </c>
      <c r="AAW48" s="15">
        <v>0</v>
      </c>
      <c r="AAX48" s="15"/>
      <c r="AAY48" s="15">
        <v>0</v>
      </c>
      <c r="AAZ48" s="15">
        <v>0</v>
      </c>
      <c r="ABA48" s="15">
        <v>0</v>
      </c>
      <c r="ABB48" s="15">
        <v>0</v>
      </c>
      <c r="ABC48" s="15">
        <v>0</v>
      </c>
      <c r="ABD48" s="15">
        <v>0</v>
      </c>
      <c r="ABE48" s="15">
        <v>0</v>
      </c>
      <c r="ABF48" s="15">
        <v>0</v>
      </c>
      <c r="ABG48" s="15">
        <v>0</v>
      </c>
      <c r="ABH48" s="15">
        <v>0</v>
      </c>
      <c r="ABI48" s="15">
        <v>0</v>
      </c>
      <c r="ABJ48" s="15">
        <v>0</v>
      </c>
      <c r="ABK48" s="15">
        <v>0</v>
      </c>
      <c r="ABL48" s="15">
        <v>0</v>
      </c>
      <c r="ABM48" s="15">
        <v>0</v>
      </c>
      <c r="ABN48" s="15">
        <v>0</v>
      </c>
      <c r="ABO48" s="15">
        <v>0</v>
      </c>
      <c r="ABP48" s="15">
        <v>0</v>
      </c>
      <c r="ABQ48" s="15">
        <v>25</v>
      </c>
      <c r="ABR48" s="15">
        <v>0</v>
      </c>
      <c r="ABS48" s="15">
        <v>0</v>
      </c>
      <c r="ABT48" s="15">
        <v>25</v>
      </c>
      <c r="ABU48" s="15">
        <v>0</v>
      </c>
      <c r="ABV48" s="15">
        <v>25</v>
      </c>
      <c r="ABW48" s="15">
        <v>0</v>
      </c>
      <c r="ABX48" s="15">
        <v>25</v>
      </c>
      <c r="ABY48" s="15">
        <v>0</v>
      </c>
      <c r="ABZ48" s="15">
        <v>25</v>
      </c>
      <c r="ACA48" s="15">
        <v>25</v>
      </c>
      <c r="ACB48" s="15">
        <v>0</v>
      </c>
      <c r="ACC48" s="15">
        <v>25</v>
      </c>
      <c r="ACD48" s="15">
        <v>25</v>
      </c>
      <c r="ACE48" s="15">
        <v>0</v>
      </c>
      <c r="ACF48" s="15">
        <v>25</v>
      </c>
      <c r="ACG48" s="15">
        <v>0</v>
      </c>
      <c r="ACH48" s="15">
        <v>0</v>
      </c>
      <c r="ACI48" s="15">
        <v>0</v>
      </c>
      <c r="ACJ48" s="15">
        <v>0</v>
      </c>
      <c r="ACK48" s="15">
        <v>0</v>
      </c>
      <c r="ACL48" s="15">
        <v>0</v>
      </c>
      <c r="ACM48" s="15">
        <v>0</v>
      </c>
      <c r="ACN48" s="15">
        <v>0</v>
      </c>
      <c r="ACO48" s="15">
        <v>0</v>
      </c>
      <c r="ACP48" s="15">
        <v>0</v>
      </c>
      <c r="ACQ48" s="15">
        <v>0</v>
      </c>
      <c r="ACR48" s="15">
        <v>0</v>
      </c>
      <c r="ACS48" s="15">
        <v>0</v>
      </c>
      <c r="ACT48" s="15">
        <v>0</v>
      </c>
      <c r="ACU48" s="15">
        <v>0</v>
      </c>
      <c r="ACV48" s="15">
        <v>0</v>
      </c>
      <c r="ACW48" s="15">
        <v>0</v>
      </c>
      <c r="ACX48" s="15">
        <v>0</v>
      </c>
      <c r="ACY48" s="15">
        <v>0</v>
      </c>
      <c r="ACZ48" s="15">
        <v>0</v>
      </c>
      <c r="ADA48" s="15">
        <v>0</v>
      </c>
      <c r="ADB48" s="15">
        <v>0</v>
      </c>
      <c r="ADC48" s="15">
        <v>0</v>
      </c>
      <c r="ADD48" s="15">
        <v>0</v>
      </c>
      <c r="ADE48" s="15">
        <v>0</v>
      </c>
      <c r="ADF48" s="15">
        <v>0</v>
      </c>
      <c r="ADG48" s="15">
        <v>0</v>
      </c>
      <c r="ADH48" s="15"/>
      <c r="ADI48" s="15">
        <v>0</v>
      </c>
      <c r="ADJ48" s="15">
        <v>0</v>
      </c>
      <c r="ADK48" s="15">
        <v>0</v>
      </c>
      <c r="ADL48" s="15">
        <v>0</v>
      </c>
      <c r="ADM48" s="15">
        <v>0</v>
      </c>
      <c r="ADN48" s="15">
        <v>0</v>
      </c>
      <c r="ADO48" s="15">
        <v>0</v>
      </c>
      <c r="ADP48" s="15">
        <v>0</v>
      </c>
      <c r="ADQ48" s="15">
        <v>0</v>
      </c>
      <c r="ADR48" s="15">
        <v>0</v>
      </c>
      <c r="ADS48" s="15">
        <v>0</v>
      </c>
      <c r="ADT48" s="15">
        <v>0</v>
      </c>
      <c r="ADU48" s="15">
        <v>0</v>
      </c>
      <c r="ADV48" s="15">
        <v>0</v>
      </c>
      <c r="ADW48" s="15">
        <v>0</v>
      </c>
      <c r="ADX48" s="15">
        <v>0</v>
      </c>
      <c r="ADY48" s="15">
        <v>0</v>
      </c>
      <c r="ADZ48" s="15">
        <v>0</v>
      </c>
      <c r="AEA48" s="15">
        <v>25</v>
      </c>
      <c r="AEB48" s="15">
        <v>0</v>
      </c>
      <c r="AEC48" s="15">
        <v>0</v>
      </c>
      <c r="AED48" s="15">
        <v>25</v>
      </c>
      <c r="AEE48" s="15">
        <v>0</v>
      </c>
      <c r="AEF48" s="15">
        <v>25</v>
      </c>
      <c r="AEG48" s="15">
        <v>0</v>
      </c>
      <c r="AEH48" s="15">
        <v>25</v>
      </c>
      <c r="AEI48" s="15">
        <v>0</v>
      </c>
      <c r="AEJ48" s="15">
        <v>25</v>
      </c>
      <c r="AEK48" s="15">
        <v>25</v>
      </c>
      <c r="AEL48" s="15">
        <v>0</v>
      </c>
      <c r="AEM48" s="15">
        <v>25</v>
      </c>
      <c r="AEN48" s="15">
        <v>25</v>
      </c>
      <c r="AEO48" s="15">
        <v>0</v>
      </c>
      <c r="AEP48" s="15">
        <v>25</v>
      </c>
      <c r="AEQ48" s="15">
        <v>0</v>
      </c>
      <c r="AER48" s="15">
        <v>0</v>
      </c>
      <c r="AES48" s="15">
        <v>0</v>
      </c>
      <c r="AET48" s="15">
        <v>0</v>
      </c>
      <c r="AEU48" s="15">
        <v>0</v>
      </c>
      <c r="AEV48" s="15">
        <v>0</v>
      </c>
      <c r="AEW48" s="15">
        <v>0</v>
      </c>
      <c r="AEX48" s="15">
        <v>0</v>
      </c>
      <c r="AEY48" s="15">
        <v>0</v>
      </c>
      <c r="AEZ48" s="15">
        <v>0</v>
      </c>
      <c r="AFA48" s="15">
        <v>0</v>
      </c>
      <c r="AFB48" s="15">
        <v>0</v>
      </c>
      <c r="AFC48" s="15">
        <v>0</v>
      </c>
      <c r="AFD48" s="15">
        <v>0</v>
      </c>
      <c r="AFE48" s="15">
        <v>0</v>
      </c>
      <c r="AFF48" s="15">
        <v>0</v>
      </c>
      <c r="AFG48" s="15">
        <v>0</v>
      </c>
      <c r="AFH48" s="15">
        <v>0</v>
      </c>
      <c r="AFI48" s="15">
        <v>0</v>
      </c>
      <c r="AFJ48" s="15">
        <v>0</v>
      </c>
      <c r="AFK48" s="15">
        <v>0</v>
      </c>
      <c r="AFL48" s="15">
        <v>0</v>
      </c>
      <c r="AFM48" s="15">
        <v>0</v>
      </c>
      <c r="AFN48" s="15">
        <v>0</v>
      </c>
      <c r="AFO48" s="15">
        <v>0</v>
      </c>
      <c r="AFP48" s="15">
        <v>0</v>
      </c>
      <c r="AFQ48" s="15">
        <v>0</v>
      </c>
      <c r="AFR48" s="15"/>
      <c r="AFS48" s="15">
        <v>0</v>
      </c>
      <c r="AFT48" s="15">
        <v>0</v>
      </c>
      <c r="AFU48" s="15">
        <v>0</v>
      </c>
      <c r="AFV48" s="15">
        <v>0</v>
      </c>
      <c r="AFW48" s="15">
        <v>0</v>
      </c>
      <c r="AFX48" s="15">
        <v>0</v>
      </c>
      <c r="AFY48" s="15">
        <v>0</v>
      </c>
      <c r="AFZ48" s="15">
        <v>0</v>
      </c>
      <c r="AGA48" s="15">
        <v>0</v>
      </c>
      <c r="AGB48" s="15">
        <v>0</v>
      </c>
      <c r="AGC48" s="15">
        <v>0</v>
      </c>
      <c r="AGD48" s="15">
        <v>10</v>
      </c>
      <c r="AGE48" s="15">
        <v>0</v>
      </c>
      <c r="AGF48" s="15">
        <v>0</v>
      </c>
      <c r="AGG48" s="15">
        <v>0</v>
      </c>
      <c r="AGH48" s="15">
        <v>0</v>
      </c>
      <c r="AGI48" s="15">
        <v>0</v>
      </c>
      <c r="AGJ48" s="15">
        <v>0</v>
      </c>
      <c r="AGK48" s="15">
        <v>10</v>
      </c>
      <c r="AGL48" s="15">
        <v>0</v>
      </c>
      <c r="AGM48" s="15">
        <v>0</v>
      </c>
      <c r="AGN48" s="15">
        <v>0</v>
      </c>
      <c r="AGO48" s="15">
        <v>0</v>
      </c>
      <c r="AGP48" s="15">
        <v>0</v>
      </c>
      <c r="AGQ48" s="15">
        <v>0</v>
      </c>
      <c r="AGR48" s="15">
        <v>0</v>
      </c>
      <c r="AGS48" s="15">
        <v>0</v>
      </c>
      <c r="AGT48" s="15">
        <v>10</v>
      </c>
      <c r="AGU48" s="15">
        <v>0</v>
      </c>
      <c r="AGV48" s="15">
        <v>0</v>
      </c>
      <c r="AGW48" s="15">
        <v>0</v>
      </c>
      <c r="AGX48" s="15">
        <v>0</v>
      </c>
      <c r="AGY48" s="15">
        <v>0</v>
      </c>
      <c r="AGZ48" s="15">
        <v>0</v>
      </c>
      <c r="AHA48" s="15">
        <v>0</v>
      </c>
      <c r="AHB48" s="15">
        <v>0</v>
      </c>
      <c r="AHC48" s="15">
        <v>0</v>
      </c>
      <c r="AHD48" s="15">
        <v>0</v>
      </c>
      <c r="AHE48" s="15">
        <v>0</v>
      </c>
      <c r="AHF48" s="15">
        <v>0</v>
      </c>
      <c r="AHG48" s="15">
        <v>0</v>
      </c>
      <c r="AHH48" s="15">
        <v>0</v>
      </c>
      <c r="AHI48" s="15">
        <v>0</v>
      </c>
      <c r="AHJ48" s="15">
        <v>0</v>
      </c>
      <c r="AHK48" s="15">
        <v>0</v>
      </c>
      <c r="AHL48" s="15">
        <v>0</v>
      </c>
      <c r="AHM48" s="15">
        <v>0</v>
      </c>
      <c r="AHN48" s="15">
        <v>0</v>
      </c>
      <c r="AHO48" s="15">
        <v>0</v>
      </c>
      <c r="AHP48" s="15">
        <v>0</v>
      </c>
      <c r="AHQ48" s="15">
        <v>0</v>
      </c>
      <c r="AHR48" s="15">
        <v>0</v>
      </c>
      <c r="AHS48" s="15">
        <v>0</v>
      </c>
      <c r="AHT48" s="15">
        <v>0</v>
      </c>
      <c r="AHU48" s="15">
        <v>0</v>
      </c>
      <c r="AHV48" s="15">
        <v>0</v>
      </c>
      <c r="AHW48" s="15">
        <v>0</v>
      </c>
      <c r="AHX48" s="15">
        <v>0</v>
      </c>
      <c r="AHY48" s="15">
        <v>0</v>
      </c>
      <c r="AHZ48" s="15">
        <v>0</v>
      </c>
      <c r="AIA48" s="15">
        <v>0</v>
      </c>
      <c r="AIB48" s="15">
        <v>0</v>
      </c>
      <c r="AIC48" s="15">
        <v>0</v>
      </c>
      <c r="AID48" s="15">
        <v>0</v>
      </c>
      <c r="AIE48" s="15">
        <v>0</v>
      </c>
      <c r="AIF48" s="15">
        <v>0</v>
      </c>
      <c r="AIG48" s="15">
        <v>0</v>
      </c>
      <c r="AIH48" s="15">
        <v>0</v>
      </c>
      <c r="AII48" s="15">
        <v>0</v>
      </c>
      <c r="AIJ48" s="15">
        <v>0</v>
      </c>
      <c r="AIK48" s="15">
        <v>0</v>
      </c>
      <c r="AIL48" s="15">
        <v>0</v>
      </c>
      <c r="AIM48" s="15">
        <v>0</v>
      </c>
      <c r="AIN48" s="15">
        <v>0</v>
      </c>
      <c r="AIO48" s="15">
        <v>0</v>
      </c>
      <c r="AIP48" s="15">
        <v>0</v>
      </c>
      <c r="AIQ48" s="15">
        <v>0</v>
      </c>
      <c r="AIR48" s="15">
        <v>0</v>
      </c>
      <c r="AIS48" s="15">
        <v>0</v>
      </c>
      <c r="AIT48" s="15">
        <v>0</v>
      </c>
      <c r="AIU48" s="15">
        <v>0</v>
      </c>
      <c r="AIV48" s="15">
        <v>0</v>
      </c>
      <c r="AIW48" s="15">
        <v>0</v>
      </c>
      <c r="AIX48" s="15">
        <v>0</v>
      </c>
      <c r="AIY48" s="15">
        <v>0</v>
      </c>
      <c r="AIZ48" s="15">
        <v>0</v>
      </c>
      <c r="AJA48" s="15">
        <v>0</v>
      </c>
      <c r="AJB48" s="15">
        <v>0</v>
      </c>
      <c r="AJC48" s="15">
        <v>0</v>
      </c>
      <c r="AJD48" s="15">
        <v>0</v>
      </c>
      <c r="AJE48" s="15">
        <v>0</v>
      </c>
      <c r="AJF48" s="15"/>
      <c r="AJG48" s="15">
        <v>0</v>
      </c>
      <c r="AJH48" s="15">
        <v>0</v>
      </c>
      <c r="AJI48" s="15">
        <v>0</v>
      </c>
      <c r="AJJ48" s="15">
        <v>0</v>
      </c>
      <c r="AJK48" s="15">
        <v>0</v>
      </c>
      <c r="AJL48" s="15">
        <v>0</v>
      </c>
      <c r="AJM48" s="15">
        <v>0</v>
      </c>
      <c r="AJN48" s="15"/>
      <c r="AJO48" s="15">
        <v>0</v>
      </c>
      <c r="AJP48" s="15">
        <v>0</v>
      </c>
      <c r="AJQ48" s="15">
        <v>0</v>
      </c>
      <c r="AJR48" s="15">
        <v>0</v>
      </c>
      <c r="AJS48" s="15">
        <v>0</v>
      </c>
      <c r="AJT48" s="15">
        <v>0</v>
      </c>
      <c r="AJU48" s="15">
        <v>0</v>
      </c>
      <c r="AJV48" s="15">
        <v>0</v>
      </c>
      <c r="AJW48" s="15">
        <v>0</v>
      </c>
      <c r="AJX48" s="15"/>
      <c r="AJY48" s="15">
        <v>0</v>
      </c>
      <c r="AJZ48" s="15">
        <v>0</v>
      </c>
      <c r="AKA48" s="15">
        <v>0</v>
      </c>
      <c r="AKB48" s="15">
        <v>0</v>
      </c>
      <c r="AKC48" s="15">
        <v>0</v>
      </c>
      <c r="AKD48" s="15">
        <v>0</v>
      </c>
      <c r="AKE48" s="15">
        <v>0</v>
      </c>
      <c r="AKF48" s="15">
        <v>0</v>
      </c>
      <c r="AKG48" s="15">
        <v>0</v>
      </c>
      <c r="AKH48" s="15">
        <v>0</v>
      </c>
      <c r="AKI48" s="15"/>
      <c r="AKJ48" s="15">
        <v>0</v>
      </c>
      <c r="AKK48" s="15">
        <v>0</v>
      </c>
      <c r="AKL48" s="15">
        <v>0</v>
      </c>
      <c r="AKM48" s="15">
        <v>0</v>
      </c>
      <c r="AKN48" s="15">
        <v>0</v>
      </c>
      <c r="AKO48" s="15">
        <v>0</v>
      </c>
      <c r="AKP48" s="15">
        <v>0</v>
      </c>
      <c r="AKQ48" s="15">
        <v>0</v>
      </c>
      <c r="AKR48" s="15">
        <v>0</v>
      </c>
      <c r="AKS48" s="15">
        <v>0</v>
      </c>
      <c r="AKT48" s="15">
        <v>0</v>
      </c>
      <c r="AKU48" s="15">
        <v>0</v>
      </c>
      <c r="AKV48" s="15">
        <v>0</v>
      </c>
      <c r="AKW48" s="15">
        <v>0</v>
      </c>
      <c r="AKX48" s="15"/>
      <c r="AKY48" s="15">
        <v>0</v>
      </c>
      <c r="AKZ48" s="15">
        <v>0</v>
      </c>
      <c r="ALA48" s="15">
        <v>0</v>
      </c>
      <c r="ALB48" s="15">
        <v>0</v>
      </c>
      <c r="ALC48" s="15">
        <v>0</v>
      </c>
      <c r="ALD48" s="15">
        <v>0</v>
      </c>
      <c r="ALE48" s="15">
        <v>0</v>
      </c>
      <c r="ALF48" s="15">
        <v>0</v>
      </c>
      <c r="ALG48" s="15">
        <v>0</v>
      </c>
      <c r="ALH48" s="15">
        <v>0</v>
      </c>
      <c r="ALI48" s="15">
        <v>0</v>
      </c>
      <c r="ALJ48" s="15">
        <v>0</v>
      </c>
      <c r="ALK48" s="15">
        <v>0</v>
      </c>
      <c r="ALL48" s="15">
        <v>0</v>
      </c>
      <c r="ALM48" s="15"/>
      <c r="ALN48" s="15">
        <v>0</v>
      </c>
      <c r="ALO48" s="15">
        <v>0</v>
      </c>
      <c r="ALP48" s="15">
        <v>0</v>
      </c>
      <c r="ALQ48" s="15">
        <v>0</v>
      </c>
      <c r="ALR48" s="15">
        <v>0</v>
      </c>
      <c r="ALS48" s="15">
        <v>0</v>
      </c>
      <c r="ALT48" s="15">
        <v>0</v>
      </c>
      <c r="ALU48" s="15">
        <v>0</v>
      </c>
      <c r="ALV48" s="15">
        <v>0</v>
      </c>
      <c r="ALW48" s="15">
        <v>0</v>
      </c>
      <c r="ALX48" s="15">
        <v>0</v>
      </c>
      <c r="ALY48" s="15">
        <v>0</v>
      </c>
      <c r="ALZ48" s="15">
        <v>0</v>
      </c>
      <c r="AMA48" s="15">
        <v>0</v>
      </c>
      <c r="AMB48" s="15">
        <v>0</v>
      </c>
      <c r="AMC48" s="15"/>
      <c r="AMD48" s="15">
        <v>0</v>
      </c>
      <c r="AME48" s="15">
        <v>0</v>
      </c>
      <c r="AMF48" s="15">
        <v>0</v>
      </c>
      <c r="AMG48" s="15">
        <v>0</v>
      </c>
      <c r="AMH48" s="15">
        <v>0</v>
      </c>
      <c r="AMI48" s="15">
        <v>0</v>
      </c>
      <c r="AMJ48" s="15">
        <v>0</v>
      </c>
      <c r="AMK48" s="15">
        <v>0</v>
      </c>
      <c r="AML48" s="15">
        <v>0</v>
      </c>
      <c r="AMM48" s="15">
        <v>0</v>
      </c>
      <c r="AMN48" s="15">
        <v>0</v>
      </c>
      <c r="AMO48" s="15">
        <v>0</v>
      </c>
      <c r="AMP48" s="15">
        <v>0</v>
      </c>
      <c r="AMQ48" s="15">
        <v>0</v>
      </c>
      <c r="AMR48" s="15">
        <v>0</v>
      </c>
      <c r="AMS48" s="15">
        <v>0</v>
      </c>
      <c r="AMT48" s="15">
        <v>0</v>
      </c>
      <c r="AMU48" s="15">
        <v>0</v>
      </c>
      <c r="AMV48" s="15">
        <v>0</v>
      </c>
      <c r="AMW48" s="15">
        <v>0</v>
      </c>
      <c r="AMX48" s="15">
        <v>0</v>
      </c>
      <c r="AMY48" s="15">
        <v>0</v>
      </c>
      <c r="AMZ48" s="15">
        <v>0</v>
      </c>
      <c r="ANA48" s="15">
        <v>0</v>
      </c>
      <c r="ANB48" s="15">
        <v>0</v>
      </c>
      <c r="ANC48" s="15">
        <v>0</v>
      </c>
      <c r="AND48" s="15">
        <v>0</v>
      </c>
      <c r="ANE48" s="15"/>
      <c r="ANF48" s="15"/>
      <c r="ANG48" s="15"/>
      <c r="ANH48" s="15"/>
      <c r="ANI48" s="15"/>
      <c r="ANJ48" s="15"/>
      <c r="ANK48" s="15"/>
      <c r="ANL48" s="15"/>
      <c r="ANM48" s="15"/>
      <c r="ANN48" s="15"/>
      <c r="ANO48" s="15"/>
      <c r="ANP48" s="15"/>
      <c r="ANQ48" s="15"/>
      <c r="ANR48" s="15"/>
      <c r="ANS48" s="15"/>
      <c r="ANT48" s="15"/>
      <c r="ANU48" s="15"/>
      <c r="ANV48" s="15"/>
      <c r="ANW48" s="15"/>
      <c r="ANX48" s="15"/>
      <c r="ANY48" s="15"/>
      <c r="ANZ48" s="15"/>
      <c r="AOA48" s="15"/>
      <c r="AOB48" s="15"/>
      <c r="AOC48" s="15"/>
      <c r="AOD48" s="15"/>
      <c r="AOE48" s="15"/>
      <c r="AOF48" s="15"/>
      <c r="AOG48" s="15"/>
      <c r="AOH48" s="15"/>
      <c r="AOI48" s="15"/>
      <c r="AOJ48" s="15"/>
      <c r="AOK48" s="15"/>
      <c r="AOL48" s="15"/>
      <c r="AOM48" s="15"/>
      <c r="AON48" s="15"/>
      <c r="AOO48" s="15"/>
      <c r="AOP48" s="15"/>
      <c r="AOQ48" s="15"/>
      <c r="AOR48" s="15"/>
      <c r="AOS48" s="15"/>
      <c r="AOT48" s="15"/>
      <c r="AOU48" s="15"/>
      <c r="AOV48" s="15"/>
      <c r="AOW48" s="15"/>
      <c r="AOX48" s="15"/>
      <c r="AOY48" s="15"/>
      <c r="AOZ48" s="15"/>
      <c r="APA48" s="15"/>
      <c r="APB48" s="15"/>
      <c r="APC48" s="15"/>
      <c r="APD48" s="15"/>
      <c r="APE48" s="15"/>
      <c r="APF48" s="15"/>
      <c r="APG48" s="15"/>
      <c r="APH48" s="15"/>
      <c r="API48" s="15"/>
      <c r="APJ48" s="15"/>
      <c r="APK48" s="15"/>
      <c r="APL48" s="15"/>
      <c r="APM48" s="15"/>
      <c r="APN48" s="15"/>
      <c r="APO48" s="15"/>
      <c r="APP48" s="15"/>
      <c r="APQ48" s="15"/>
      <c r="APR48" s="15"/>
      <c r="APS48" s="15"/>
      <c r="APT48" s="15"/>
      <c r="APU48" s="15"/>
      <c r="APV48" s="15"/>
      <c r="APW48" s="15"/>
      <c r="APX48" s="15"/>
      <c r="APY48" s="15"/>
      <c r="APZ48" s="15"/>
      <c r="AQA48" s="15"/>
      <c r="AQB48" s="15"/>
    </row>
    <row r="49" spans="1:1120" s="17" customFormat="1" ht="15" customHeight="1" x14ac:dyDescent="0.25">
      <c r="A49" s="3" t="s">
        <v>2</v>
      </c>
      <c r="B49" s="6" t="s">
        <v>88</v>
      </c>
      <c r="C49" s="15"/>
      <c r="D49" s="15">
        <v>0</v>
      </c>
      <c r="E49" s="15">
        <v>0</v>
      </c>
      <c r="F49" s="15">
        <v>0</v>
      </c>
      <c r="G49" s="15">
        <v>0</v>
      </c>
      <c r="H49" s="15">
        <v>0</v>
      </c>
      <c r="I49" s="15">
        <v>0</v>
      </c>
      <c r="J49" s="15"/>
      <c r="K49" s="15">
        <v>0</v>
      </c>
      <c r="L49" s="15">
        <v>0</v>
      </c>
      <c r="M49" s="15">
        <v>0</v>
      </c>
      <c r="N49" s="15">
        <v>0</v>
      </c>
      <c r="O49" s="15">
        <v>0</v>
      </c>
      <c r="P49" s="15">
        <v>0</v>
      </c>
      <c r="Q49" s="15"/>
      <c r="R49" s="15">
        <v>0</v>
      </c>
      <c r="S49" s="15">
        <v>0</v>
      </c>
      <c r="T49" s="15">
        <v>0</v>
      </c>
      <c r="U49" s="15">
        <v>0</v>
      </c>
      <c r="V49" s="15">
        <v>0</v>
      </c>
      <c r="W49" s="15">
        <v>0</v>
      </c>
      <c r="X49" s="15"/>
      <c r="Y49" s="15">
        <v>0</v>
      </c>
      <c r="Z49" s="15">
        <v>0</v>
      </c>
      <c r="AA49" s="15">
        <v>0</v>
      </c>
      <c r="AB49" s="15">
        <v>0</v>
      </c>
      <c r="AC49" s="15">
        <v>0</v>
      </c>
      <c r="AD49" s="15">
        <v>0</v>
      </c>
      <c r="AE49" s="15"/>
      <c r="AF49" s="15">
        <v>0</v>
      </c>
      <c r="AG49" s="15">
        <v>0</v>
      </c>
      <c r="AH49" s="15">
        <v>0</v>
      </c>
      <c r="AI49" s="15">
        <v>0</v>
      </c>
      <c r="AJ49" s="15">
        <v>0</v>
      </c>
      <c r="AK49" s="15">
        <v>0</v>
      </c>
      <c r="AL49" s="15"/>
      <c r="AM49" s="15">
        <v>0</v>
      </c>
      <c r="AN49" s="15">
        <v>0</v>
      </c>
      <c r="AO49" s="15">
        <v>0</v>
      </c>
      <c r="AP49" s="15">
        <v>0</v>
      </c>
      <c r="AQ49" s="15">
        <v>0</v>
      </c>
      <c r="AR49" s="15">
        <v>0</v>
      </c>
      <c r="AS49" s="15">
        <v>0</v>
      </c>
      <c r="AT49" s="15">
        <v>0</v>
      </c>
      <c r="AU49" s="15">
        <v>0</v>
      </c>
      <c r="AV49" s="15">
        <v>0</v>
      </c>
      <c r="AW49" s="15">
        <v>0</v>
      </c>
      <c r="AX49" s="15">
        <v>0</v>
      </c>
      <c r="AY49" s="15">
        <v>0</v>
      </c>
      <c r="AZ49" s="15">
        <v>0</v>
      </c>
      <c r="BA49" s="15">
        <v>0</v>
      </c>
      <c r="BB49" s="15">
        <v>0</v>
      </c>
      <c r="BC49" s="15">
        <v>0</v>
      </c>
      <c r="BD49" s="15">
        <v>0</v>
      </c>
      <c r="BE49" s="15">
        <v>0</v>
      </c>
      <c r="BF49" s="15">
        <v>0</v>
      </c>
      <c r="BG49" s="15">
        <v>0</v>
      </c>
      <c r="BH49" s="15">
        <v>0</v>
      </c>
      <c r="BI49" s="15">
        <v>0</v>
      </c>
      <c r="BJ49" s="15">
        <v>0</v>
      </c>
      <c r="BK49" s="15">
        <v>0</v>
      </c>
      <c r="BL49" s="15">
        <v>0</v>
      </c>
      <c r="BM49" s="15">
        <v>0</v>
      </c>
      <c r="BN49" s="15">
        <v>0</v>
      </c>
      <c r="BO49" s="15">
        <v>0</v>
      </c>
      <c r="BP49" s="15">
        <v>0</v>
      </c>
      <c r="BQ49" s="15">
        <v>0</v>
      </c>
      <c r="BR49" s="15">
        <v>0</v>
      </c>
      <c r="BS49" s="15">
        <v>0</v>
      </c>
      <c r="BT49" s="15">
        <v>0</v>
      </c>
      <c r="BU49" s="15">
        <v>0</v>
      </c>
      <c r="BV49" s="15">
        <v>0</v>
      </c>
      <c r="BW49" s="15">
        <v>0</v>
      </c>
      <c r="BX49" s="15">
        <v>0</v>
      </c>
      <c r="BY49" s="15">
        <v>0</v>
      </c>
      <c r="BZ49" s="15">
        <v>0</v>
      </c>
      <c r="CA49" s="15">
        <v>0</v>
      </c>
      <c r="CB49" s="15">
        <v>0</v>
      </c>
      <c r="CC49" s="15">
        <v>0</v>
      </c>
      <c r="CD49" s="15">
        <v>0</v>
      </c>
      <c r="CE49" s="15">
        <v>0</v>
      </c>
      <c r="CF49" s="15">
        <v>0</v>
      </c>
      <c r="CG49" s="15">
        <v>0</v>
      </c>
      <c r="CH49" s="15">
        <v>0</v>
      </c>
      <c r="CI49" s="15">
        <v>0</v>
      </c>
      <c r="CJ49" s="15">
        <v>0</v>
      </c>
      <c r="CK49" s="15">
        <v>0</v>
      </c>
      <c r="CL49" s="15">
        <v>0</v>
      </c>
      <c r="CM49" s="15">
        <v>0</v>
      </c>
      <c r="CN49" s="15">
        <v>0</v>
      </c>
      <c r="CO49" s="15">
        <v>0</v>
      </c>
      <c r="CP49" s="15">
        <v>0</v>
      </c>
      <c r="CQ49" s="15">
        <v>0</v>
      </c>
      <c r="CR49" s="15">
        <v>0</v>
      </c>
      <c r="CS49" s="15">
        <v>0</v>
      </c>
      <c r="CT49" s="15">
        <v>0</v>
      </c>
      <c r="CU49" s="15">
        <v>0</v>
      </c>
      <c r="CV49" s="15">
        <v>0</v>
      </c>
      <c r="CW49" s="15">
        <v>0</v>
      </c>
      <c r="CX49" s="15">
        <v>0</v>
      </c>
      <c r="CY49" s="15">
        <v>0</v>
      </c>
      <c r="CZ49" s="15">
        <v>0</v>
      </c>
      <c r="DA49" s="15">
        <v>0</v>
      </c>
      <c r="DB49" s="15">
        <v>0</v>
      </c>
      <c r="DC49" s="15">
        <v>0</v>
      </c>
      <c r="DD49" s="15">
        <v>0</v>
      </c>
      <c r="DE49" s="15">
        <v>0</v>
      </c>
      <c r="DF49" s="15">
        <v>0</v>
      </c>
      <c r="DG49" s="15">
        <v>0</v>
      </c>
      <c r="DH49" s="15">
        <v>0</v>
      </c>
      <c r="DI49" s="15">
        <v>0</v>
      </c>
      <c r="DJ49" s="15">
        <v>0</v>
      </c>
      <c r="DK49" s="15">
        <v>0</v>
      </c>
      <c r="DL49" s="15">
        <v>0</v>
      </c>
      <c r="DM49" s="15">
        <v>0</v>
      </c>
      <c r="DN49" s="15">
        <v>0</v>
      </c>
      <c r="DO49" s="15">
        <v>0</v>
      </c>
      <c r="DP49" s="15">
        <v>0</v>
      </c>
      <c r="DQ49" s="15">
        <v>0</v>
      </c>
      <c r="DR49" s="15">
        <v>0</v>
      </c>
      <c r="DS49" s="15">
        <v>0</v>
      </c>
      <c r="DT49" s="15">
        <v>0</v>
      </c>
      <c r="DU49" s="15">
        <v>0</v>
      </c>
      <c r="DV49" s="15">
        <v>0</v>
      </c>
      <c r="DW49" s="15">
        <v>0</v>
      </c>
      <c r="DX49" s="15">
        <v>0</v>
      </c>
      <c r="DY49" s="15">
        <v>0</v>
      </c>
      <c r="DZ49" s="15">
        <v>0</v>
      </c>
      <c r="EA49" s="15">
        <v>0</v>
      </c>
      <c r="EB49" s="15">
        <v>0</v>
      </c>
      <c r="EC49" s="15">
        <v>0</v>
      </c>
      <c r="ED49" s="15">
        <v>0</v>
      </c>
      <c r="EE49" s="15">
        <v>0</v>
      </c>
      <c r="EF49" s="15">
        <v>0</v>
      </c>
      <c r="EG49" s="15">
        <v>0</v>
      </c>
      <c r="EH49" s="15">
        <v>0</v>
      </c>
      <c r="EI49" s="15">
        <v>0</v>
      </c>
      <c r="EJ49" s="15">
        <v>0</v>
      </c>
      <c r="EK49" s="15">
        <v>0</v>
      </c>
      <c r="EL49" s="15">
        <v>0</v>
      </c>
      <c r="EM49" s="15">
        <v>0</v>
      </c>
      <c r="EN49" s="15">
        <v>0</v>
      </c>
      <c r="EO49" s="15">
        <v>0</v>
      </c>
      <c r="EP49" s="15">
        <v>0</v>
      </c>
      <c r="EQ49" s="15">
        <v>0</v>
      </c>
      <c r="ER49" s="15">
        <v>0</v>
      </c>
      <c r="ES49" s="15">
        <v>0</v>
      </c>
      <c r="ET49" s="15">
        <v>0</v>
      </c>
      <c r="EU49" s="15">
        <v>0</v>
      </c>
      <c r="EV49" s="15">
        <v>0</v>
      </c>
      <c r="EW49" s="15">
        <v>0</v>
      </c>
      <c r="EX49" s="15">
        <v>0</v>
      </c>
      <c r="EY49" s="15">
        <v>0</v>
      </c>
      <c r="EZ49" s="15">
        <v>0</v>
      </c>
      <c r="FA49" s="15">
        <v>0</v>
      </c>
      <c r="FB49" s="15">
        <v>0</v>
      </c>
      <c r="FC49" s="15">
        <v>0</v>
      </c>
      <c r="FD49" s="15"/>
      <c r="FE49" s="15">
        <v>0</v>
      </c>
      <c r="FF49" s="15">
        <v>0</v>
      </c>
      <c r="FG49" s="15">
        <v>0</v>
      </c>
      <c r="FH49" s="15">
        <v>0</v>
      </c>
      <c r="FI49" s="15">
        <v>0</v>
      </c>
      <c r="FJ49" s="15">
        <v>0</v>
      </c>
      <c r="FK49" s="15">
        <v>0</v>
      </c>
      <c r="FL49" s="15">
        <v>0</v>
      </c>
      <c r="FM49" s="15">
        <v>0</v>
      </c>
      <c r="FN49" s="15">
        <v>0</v>
      </c>
      <c r="FO49" s="15">
        <v>0</v>
      </c>
      <c r="FP49" s="15">
        <v>0</v>
      </c>
      <c r="FQ49" s="15">
        <v>0</v>
      </c>
      <c r="FR49" s="15">
        <v>0</v>
      </c>
      <c r="FS49" s="15">
        <v>0</v>
      </c>
      <c r="FT49" s="15">
        <v>0</v>
      </c>
      <c r="FU49" s="15">
        <v>0</v>
      </c>
      <c r="FV49" s="15">
        <v>0</v>
      </c>
      <c r="FW49" s="15">
        <v>0</v>
      </c>
      <c r="FX49" s="15">
        <v>0</v>
      </c>
      <c r="FY49" s="15">
        <v>0</v>
      </c>
      <c r="FZ49" s="15">
        <v>1</v>
      </c>
      <c r="GA49" s="15">
        <v>0</v>
      </c>
      <c r="GB49" s="15">
        <v>0</v>
      </c>
      <c r="GC49" s="15">
        <v>0</v>
      </c>
      <c r="GD49" s="15">
        <v>0</v>
      </c>
      <c r="GE49" s="15">
        <v>0</v>
      </c>
      <c r="GF49" s="15">
        <v>0</v>
      </c>
      <c r="GG49" s="15">
        <v>1</v>
      </c>
      <c r="GH49" s="15">
        <v>0</v>
      </c>
      <c r="GI49" s="15">
        <v>0</v>
      </c>
      <c r="GJ49" s="15">
        <v>0</v>
      </c>
      <c r="GK49" s="15">
        <v>0</v>
      </c>
      <c r="GL49" s="15">
        <v>0</v>
      </c>
      <c r="GM49" s="15">
        <v>0</v>
      </c>
      <c r="GN49" s="15">
        <v>1</v>
      </c>
      <c r="GO49" s="15">
        <v>0</v>
      </c>
      <c r="GP49" s="15">
        <v>0</v>
      </c>
      <c r="GQ49" s="15">
        <v>0</v>
      </c>
      <c r="GR49" s="15">
        <v>0</v>
      </c>
      <c r="GS49" s="15">
        <v>0</v>
      </c>
      <c r="GT49" s="15">
        <v>0</v>
      </c>
      <c r="GU49" s="15">
        <v>1</v>
      </c>
      <c r="GV49" s="15">
        <v>0</v>
      </c>
      <c r="GW49" s="15">
        <v>0</v>
      </c>
      <c r="GX49" s="15">
        <v>0</v>
      </c>
      <c r="GY49" s="15">
        <v>0</v>
      </c>
      <c r="GZ49" s="15">
        <v>0</v>
      </c>
      <c r="HA49" s="15">
        <v>0</v>
      </c>
      <c r="HB49" s="15">
        <v>1</v>
      </c>
      <c r="HC49" s="15">
        <v>0</v>
      </c>
      <c r="HD49" s="15">
        <v>0</v>
      </c>
      <c r="HE49" s="15">
        <v>0</v>
      </c>
      <c r="HF49" s="15">
        <v>0</v>
      </c>
      <c r="HG49" s="15">
        <v>0</v>
      </c>
      <c r="HH49" s="15">
        <v>0</v>
      </c>
      <c r="HI49" s="15">
        <v>1</v>
      </c>
      <c r="HJ49" s="15">
        <v>0</v>
      </c>
      <c r="HK49" s="15">
        <v>0</v>
      </c>
      <c r="HL49" s="15">
        <v>0</v>
      </c>
      <c r="HM49" s="15">
        <v>0</v>
      </c>
      <c r="HN49" s="15">
        <v>0</v>
      </c>
      <c r="HO49" s="15">
        <v>0</v>
      </c>
      <c r="HP49" s="15">
        <v>1</v>
      </c>
      <c r="HQ49" s="15">
        <v>0</v>
      </c>
      <c r="HR49" s="15">
        <v>0</v>
      </c>
      <c r="HS49" s="15">
        <v>0</v>
      </c>
      <c r="HT49" s="15">
        <v>0</v>
      </c>
      <c r="HU49" s="15">
        <v>0</v>
      </c>
      <c r="HV49" s="15">
        <v>0</v>
      </c>
      <c r="HW49" s="15">
        <v>1</v>
      </c>
      <c r="HX49" s="15">
        <v>1</v>
      </c>
      <c r="HY49" s="15">
        <v>1</v>
      </c>
      <c r="HZ49" s="15">
        <v>1</v>
      </c>
      <c r="IA49" s="15">
        <v>1</v>
      </c>
      <c r="IB49" s="15"/>
      <c r="IC49" s="15">
        <v>0</v>
      </c>
      <c r="ID49" s="15">
        <v>0</v>
      </c>
      <c r="IE49" s="15">
        <v>0</v>
      </c>
      <c r="IF49" s="15">
        <v>0</v>
      </c>
      <c r="IG49" s="15">
        <v>0</v>
      </c>
      <c r="IH49" s="15">
        <v>0</v>
      </c>
      <c r="II49" s="15">
        <v>0</v>
      </c>
      <c r="IJ49" s="15">
        <v>0</v>
      </c>
      <c r="IK49" s="15"/>
      <c r="IL49" s="15">
        <v>0</v>
      </c>
      <c r="IM49" s="15">
        <v>0</v>
      </c>
      <c r="IN49" s="15">
        <v>0</v>
      </c>
      <c r="IO49" s="15">
        <v>0</v>
      </c>
      <c r="IP49" s="15">
        <v>0</v>
      </c>
      <c r="IQ49" s="15">
        <v>0</v>
      </c>
      <c r="IR49" s="15">
        <v>0</v>
      </c>
      <c r="IS49" s="20">
        <v>0</v>
      </c>
      <c r="IT49" s="20">
        <v>0</v>
      </c>
      <c r="IU49" s="20">
        <v>0</v>
      </c>
      <c r="IV49" s="20">
        <v>0</v>
      </c>
      <c r="IW49" s="20">
        <v>0</v>
      </c>
      <c r="IX49" s="20">
        <v>0</v>
      </c>
      <c r="IY49" s="20">
        <v>0</v>
      </c>
      <c r="IZ49" s="20">
        <v>0</v>
      </c>
      <c r="JA49" s="20">
        <v>0</v>
      </c>
      <c r="JB49" s="20">
        <v>0</v>
      </c>
      <c r="JC49" s="20">
        <v>0</v>
      </c>
      <c r="JD49" s="20">
        <v>0</v>
      </c>
      <c r="JE49" s="20">
        <v>0</v>
      </c>
      <c r="JF49" s="20">
        <v>0</v>
      </c>
      <c r="JG49" s="20">
        <v>0</v>
      </c>
      <c r="JH49" s="15">
        <v>0</v>
      </c>
      <c r="JI49" s="15">
        <v>0</v>
      </c>
      <c r="JJ49" s="15">
        <v>0</v>
      </c>
      <c r="JK49" s="15">
        <v>0</v>
      </c>
      <c r="JL49" s="15">
        <v>0</v>
      </c>
      <c r="JM49" s="15">
        <v>0</v>
      </c>
      <c r="JN49" s="15">
        <v>0</v>
      </c>
      <c r="JO49" s="15">
        <v>0</v>
      </c>
      <c r="JP49" s="15">
        <v>0</v>
      </c>
      <c r="JQ49" s="15">
        <v>0</v>
      </c>
      <c r="JR49" s="15">
        <v>0</v>
      </c>
      <c r="JS49" s="15">
        <v>0</v>
      </c>
      <c r="JT49" s="15">
        <v>0</v>
      </c>
      <c r="JU49" s="15">
        <v>0</v>
      </c>
      <c r="JV49" s="15">
        <v>0</v>
      </c>
      <c r="JW49" s="15">
        <v>0</v>
      </c>
      <c r="JX49" s="15">
        <v>0</v>
      </c>
      <c r="JY49" s="15">
        <v>0</v>
      </c>
      <c r="JZ49" s="15">
        <v>0</v>
      </c>
      <c r="KA49" s="15">
        <v>0</v>
      </c>
      <c r="KB49" s="15">
        <v>0</v>
      </c>
      <c r="KC49" s="15">
        <v>0</v>
      </c>
      <c r="KD49" s="15">
        <v>0</v>
      </c>
      <c r="KE49" s="15">
        <v>0</v>
      </c>
      <c r="KF49" s="15">
        <v>0</v>
      </c>
      <c r="KG49" s="15">
        <v>0</v>
      </c>
      <c r="KH49" s="15">
        <v>0</v>
      </c>
      <c r="KI49" s="15">
        <v>0</v>
      </c>
      <c r="KJ49" s="15">
        <v>0</v>
      </c>
      <c r="KK49" s="15">
        <v>0</v>
      </c>
      <c r="KL49" s="15">
        <v>0</v>
      </c>
      <c r="KM49" s="15">
        <v>0</v>
      </c>
      <c r="KN49" s="15">
        <v>0</v>
      </c>
      <c r="KO49" s="15">
        <v>0</v>
      </c>
      <c r="KP49" s="15">
        <v>0</v>
      </c>
      <c r="KQ49" s="15">
        <v>0</v>
      </c>
      <c r="KR49" s="15">
        <v>0</v>
      </c>
      <c r="KS49" s="15">
        <v>0</v>
      </c>
      <c r="KT49" s="15">
        <v>0</v>
      </c>
      <c r="KU49" s="15">
        <v>0</v>
      </c>
      <c r="KV49" s="15">
        <v>0</v>
      </c>
      <c r="KW49" s="15">
        <v>0</v>
      </c>
      <c r="KX49" s="15">
        <v>0</v>
      </c>
      <c r="KY49" s="15">
        <v>0</v>
      </c>
      <c r="KZ49" s="15">
        <v>0</v>
      </c>
      <c r="LA49" s="15">
        <v>0</v>
      </c>
      <c r="LB49" s="15">
        <v>0</v>
      </c>
      <c r="LC49" s="15">
        <v>0</v>
      </c>
      <c r="LD49" s="15">
        <v>0</v>
      </c>
      <c r="LE49" s="15">
        <v>0</v>
      </c>
      <c r="LF49" s="15">
        <v>0</v>
      </c>
      <c r="LG49" s="15">
        <v>0</v>
      </c>
      <c r="LH49" s="15">
        <v>0</v>
      </c>
      <c r="LI49" s="15">
        <v>0</v>
      </c>
      <c r="LJ49" s="15">
        <v>0</v>
      </c>
      <c r="LK49" s="15">
        <v>0</v>
      </c>
      <c r="LL49" s="15">
        <v>0</v>
      </c>
      <c r="LM49" s="15">
        <v>0</v>
      </c>
      <c r="LN49" s="15">
        <v>0</v>
      </c>
      <c r="LO49" s="15">
        <v>0</v>
      </c>
      <c r="LP49" s="15">
        <v>0</v>
      </c>
      <c r="LQ49" s="15">
        <v>0</v>
      </c>
      <c r="LR49" s="15">
        <v>0</v>
      </c>
      <c r="LS49" s="15">
        <v>0</v>
      </c>
      <c r="LT49" s="15">
        <v>0</v>
      </c>
      <c r="LU49" s="15">
        <v>0</v>
      </c>
      <c r="LV49" s="15">
        <v>0</v>
      </c>
      <c r="LW49" s="15">
        <v>0</v>
      </c>
      <c r="LX49" s="15">
        <v>0</v>
      </c>
      <c r="LY49" s="15">
        <v>0</v>
      </c>
      <c r="LZ49" s="15">
        <v>0</v>
      </c>
      <c r="MA49" s="15">
        <v>0</v>
      </c>
      <c r="MB49" s="15">
        <v>0</v>
      </c>
      <c r="MC49" s="15">
        <v>0</v>
      </c>
      <c r="MD49" s="15">
        <v>0</v>
      </c>
      <c r="ME49" s="15">
        <v>0</v>
      </c>
      <c r="MF49" s="15">
        <v>0</v>
      </c>
      <c r="MG49" s="15">
        <v>0</v>
      </c>
      <c r="MH49" s="15">
        <v>0</v>
      </c>
      <c r="MI49" s="15">
        <v>0</v>
      </c>
      <c r="MJ49" s="15">
        <v>0</v>
      </c>
      <c r="MK49" s="15">
        <v>0</v>
      </c>
      <c r="ML49" s="15">
        <v>0</v>
      </c>
      <c r="MM49" s="15">
        <v>0</v>
      </c>
      <c r="MN49" s="15">
        <v>0</v>
      </c>
      <c r="MO49" s="15">
        <v>0</v>
      </c>
      <c r="MP49" s="15">
        <v>0</v>
      </c>
      <c r="MQ49" s="15">
        <v>0</v>
      </c>
      <c r="MR49" s="15">
        <v>0</v>
      </c>
      <c r="MS49" s="15">
        <v>0</v>
      </c>
      <c r="MT49" s="15">
        <v>0</v>
      </c>
      <c r="MU49" s="15">
        <v>0</v>
      </c>
      <c r="MV49" s="15">
        <v>0</v>
      </c>
      <c r="MW49" s="15">
        <v>0</v>
      </c>
      <c r="MX49" s="15">
        <v>0</v>
      </c>
      <c r="MY49" s="15">
        <v>0</v>
      </c>
      <c r="MZ49" s="15">
        <v>0</v>
      </c>
      <c r="NA49" s="15">
        <v>0</v>
      </c>
      <c r="NB49" s="15">
        <v>0</v>
      </c>
      <c r="NC49" s="15">
        <v>0</v>
      </c>
      <c r="ND49" s="15">
        <v>0</v>
      </c>
      <c r="NE49" s="15">
        <v>0</v>
      </c>
      <c r="NF49" s="15">
        <v>0</v>
      </c>
      <c r="NG49" s="15">
        <v>0</v>
      </c>
      <c r="NH49" s="15">
        <v>0</v>
      </c>
      <c r="NI49" s="15">
        <v>0</v>
      </c>
      <c r="NJ49" s="15">
        <v>0</v>
      </c>
      <c r="NK49" s="15">
        <v>0</v>
      </c>
      <c r="NL49" s="15">
        <v>0</v>
      </c>
      <c r="NM49" s="15">
        <v>0</v>
      </c>
      <c r="NN49" s="15">
        <v>0</v>
      </c>
      <c r="NO49" s="20">
        <v>0</v>
      </c>
      <c r="NP49" s="15">
        <v>0</v>
      </c>
      <c r="NQ49" s="15">
        <v>0</v>
      </c>
      <c r="NR49" s="15">
        <v>0</v>
      </c>
      <c r="NS49" s="15">
        <v>0</v>
      </c>
      <c r="NT49" s="15">
        <v>0</v>
      </c>
      <c r="NU49" s="15">
        <v>0</v>
      </c>
      <c r="NV49" s="15">
        <v>0</v>
      </c>
      <c r="NW49" s="15">
        <v>0</v>
      </c>
      <c r="NX49" s="15">
        <v>0</v>
      </c>
      <c r="NY49" s="15">
        <v>0</v>
      </c>
      <c r="NZ49" s="15">
        <v>0</v>
      </c>
      <c r="OA49" s="15">
        <v>0</v>
      </c>
      <c r="OB49" s="15">
        <v>0</v>
      </c>
      <c r="OC49" s="15">
        <v>0</v>
      </c>
      <c r="OD49" s="15">
        <v>0</v>
      </c>
      <c r="OE49" s="15">
        <v>0</v>
      </c>
      <c r="OF49" s="15">
        <v>0</v>
      </c>
      <c r="OG49" s="15">
        <v>0</v>
      </c>
      <c r="OH49" s="15">
        <v>0</v>
      </c>
      <c r="OI49" s="15">
        <v>0</v>
      </c>
      <c r="OJ49" s="15">
        <v>0</v>
      </c>
      <c r="OK49" s="15">
        <v>0</v>
      </c>
      <c r="OL49" s="15">
        <v>0</v>
      </c>
      <c r="OM49" s="15">
        <v>0</v>
      </c>
      <c r="ON49" s="15">
        <v>0</v>
      </c>
      <c r="OO49" s="15">
        <v>0</v>
      </c>
      <c r="OP49" s="15">
        <v>0</v>
      </c>
      <c r="OQ49" s="15">
        <v>0</v>
      </c>
      <c r="OR49" s="15">
        <v>0</v>
      </c>
      <c r="OS49" s="15">
        <v>0</v>
      </c>
      <c r="OT49" s="15">
        <v>0</v>
      </c>
      <c r="OU49" s="15">
        <v>0</v>
      </c>
      <c r="OV49" s="15">
        <v>0</v>
      </c>
      <c r="OW49" s="15">
        <v>0</v>
      </c>
      <c r="OX49" s="15">
        <v>0</v>
      </c>
      <c r="OY49" s="15">
        <v>0</v>
      </c>
      <c r="OZ49" s="15">
        <v>0</v>
      </c>
      <c r="PA49" s="15">
        <v>0</v>
      </c>
      <c r="PB49" s="15">
        <v>0</v>
      </c>
      <c r="PC49" s="15">
        <v>0</v>
      </c>
      <c r="PD49" s="15">
        <v>0</v>
      </c>
      <c r="PE49" s="15">
        <v>0</v>
      </c>
      <c r="PF49" s="15">
        <v>0</v>
      </c>
      <c r="PG49" s="15">
        <v>0</v>
      </c>
      <c r="PH49" s="15">
        <v>1</v>
      </c>
      <c r="PI49" s="15">
        <v>0</v>
      </c>
      <c r="PJ49" s="15">
        <v>0</v>
      </c>
      <c r="PK49" s="15">
        <v>0</v>
      </c>
      <c r="PL49" s="15">
        <v>0</v>
      </c>
      <c r="PM49" s="15">
        <v>0</v>
      </c>
      <c r="PN49" s="15">
        <v>0</v>
      </c>
      <c r="PO49" s="15">
        <v>0</v>
      </c>
      <c r="PP49" s="15">
        <v>0</v>
      </c>
      <c r="PQ49" s="15">
        <v>0</v>
      </c>
      <c r="PR49" s="15">
        <v>1</v>
      </c>
      <c r="PS49" s="15">
        <v>0</v>
      </c>
      <c r="PT49" s="15">
        <v>0</v>
      </c>
      <c r="PU49" s="15">
        <v>0</v>
      </c>
      <c r="PV49" s="15">
        <v>0</v>
      </c>
      <c r="PW49" s="20">
        <v>0</v>
      </c>
      <c r="PX49" s="20">
        <v>1</v>
      </c>
      <c r="PY49" s="20">
        <v>0</v>
      </c>
      <c r="PZ49" s="15">
        <v>0</v>
      </c>
      <c r="QA49" s="20">
        <v>0</v>
      </c>
      <c r="QB49" s="20">
        <v>0</v>
      </c>
      <c r="QC49" s="20">
        <v>0</v>
      </c>
      <c r="QD49" s="15">
        <v>0</v>
      </c>
      <c r="QE49" s="15">
        <v>0</v>
      </c>
      <c r="QF49" s="15">
        <v>0</v>
      </c>
      <c r="QG49" s="15">
        <v>0</v>
      </c>
      <c r="QH49" s="15">
        <v>0</v>
      </c>
      <c r="QI49" s="15">
        <v>0</v>
      </c>
      <c r="QJ49" s="15">
        <v>0</v>
      </c>
      <c r="QK49" s="15">
        <v>0</v>
      </c>
      <c r="QL49" s="15">
        <v>0</v>
      </c>
      <c r="QM49" s="15">
        <v>0</v>
      </c>
      <c r="QN49" s="15">
        <v>0</v>
      </c>
      <c r="QO49" s="15">
        <v>0</v>
      </c>
      <c r="QP49" s="15">
        <v>0</v>
      </c>
      <c r="QQ49" s="15">
        <v>0</v>
      </c>
      <c r="QR49" s="15">
        <v>0</v>
      </c>
      <c r="QS49" s="15">
        <v>0</v>
      </c>
      <c r="QT49" s="15">
        <v>0</v>
      </c>
      <c r="QU49" s="15">
        <v>0</v>
      </c>
      <c r="QV49" s="15">
        <v>0</v>
      </c>
      <c r="QW49" s="15">
        <v>0</v>
      </c>
      <c r="QX49" s="15">
        <v>0</v>
      </c>
      <c r="QY49" s="15">
        <v>0</v>
      </c>
      <c r="QZ49" s="15">
        <v>0</v>
      </c>
      <c r="RA49" s="15">
        <v>0</v>
      </c>
      <c r="RB49" s="15">
        <v>0</v>
      </c>
      <c r="RC49" s="15">
        <v>0</v>
      </c>
      <c r="RD49" s="15">
        <v>0</v>
      </c>
      <c r="RE49" s="15">
        <v>0</v>
      </c>
      <c r="RF49" s="15">
        <v>0</v>
      </c>
      <c r="RG49" s="15">
        <v>0</v>
      </c>
      <c r="RH49" s="15">
        <v>0</v>
      </c>
      <c r="RI49" s="15">
        <v>0</v>
      </c>
      <c r="RJ49" s="15">
        <v>0</v>
      </c>
      <c r="RK49" s="15">
        <v>0</v>
      </c>
      <c r="RL49" s="15">
        <v>0</v>
      </c>
      <c r="RM49" s="15">
        <v>0</v>
      </c>
      <c r="RN49" s="15">
        <v>0</v>
      </c>
      <c r="RO49" s="15">
        <v>0</v>
      </c>
      <c r="RP49" s="15">
        <v>0</v>
      </c>
      <c r="RQ49" s="15">
        <v>0</v>
      </c>
      <c r="RR49" s="15">
        <v>0</v>
      </c>
      <c r="RS49" s="15"/>
      <c r="RT49" s="15">
        <v>0</v>
      </c>
      <c r="RU49" s="15">
        <v>0</v>
      </c>
      <c r="RV49" s="15">
        <v>0</v>
      </c>
      <c r="RW49" s="15">
        <v>0</v>
      </c>
      <c r="RX49" s="15">
        <v>0</v>
      </c>
      <c r="RY49" s="15">
        <v>0</v>
      </c>
      <c r="RZ49" s="15">
        <v>0</v>
      </c>
      <c r="SA49" s="15">
        <v>0</v>
      </c>
      <c r="SB49" s="15">
        <v>0</v>
      </c>
      <c r="SC49" s="15">
        <v>0</v>
      </c>
      <c r="SD49" s="15">
        <v>0</v>
      </c>
      <c r="SE49" s="15">
        <v>0</v>
      </c>
      <c r="SF49" s="15">
        <v>0</v>
      </c>
      <c r="SG49" s="15">
        <v>0</v>
      </c>
      <c r="SH49" s="15">
        <v>0</v>
      </c>
      <c r="SI49" s="15">
        <v>0</v>
      </c>
      <c r="SJ49" s="15">
        <v>0</v>
      </c>
      <c r="SK49" s="15">
        <v>0</v>
      </c>
      <c r="SL49" s="15">
        <v>0</v>
      </c>
      <c r="SM49" s="15">
        <v>0</v>
      </c>
      <c r="SN49" s="15">
        <v>0</v>
      </c>
      <c r="SO49" s="15">
        <v>0</v>
      </c>
      <c r="SP49" s="15">
        <v>0</v>
      </c>
      <c r="SQ49" s="15">
        <v>0</v>
      </c>
      <c r="SR49" s="15">
        <v>0</v>
      </c>
      <c r="SS49" s="15">
        <v>0</v>
      </c>
      <c r="ST49" s="15">
        <v>0</v>
      </c>
      <c r="SU49" s="15">
        <v>0</v>
      </c>
      <c r="SV49" s="15">
        <v>0</v>
      </c>
      <c r="SW49" s="15">
        <v>0</v>
      </c>
      <c r="SX49" s="15">
        <v>0</v>
      </c>
      <c r="SY49" s="15">
        <v>0</v>
      </c>
      <c r="SZ49" s="15">
        <v>0</v>
      </c>
      <c r="TA49" s="15">
        <v>0</v>
      </c>
      <c r="TB49" s="15">
        <v>0</v>
      </c>
      <c r="TC49" s="15">
        <v>0</v>
      </c>
      <c r="TD49" s="15">
        <v>0</v>
      </c>
      <c r="TE49" s="15">
        <v>0</v>
      </c>
      <c r="TF49" s="15">
        <v>0</v>
      </c>
      <c r="TG49" s="15">
        <v>0</v>
      </c>
      <c r="TH49" s="15">
        <v>0</v>
      </c>
      <c r="TI49" s="15">
        <v>0</v>
      </c>
      <c r="TJ49" s="15">
        <v>0</v>
      </c>
      <c r="TK49" s="15">
        <v>0</v>
      </c>
      <c r="TL49" s="15">
        <v>0</v>
      </c>
      <c r="TM49" s="15">
        <v>0</v>
      </c>
      <c r="TN49" s="15">
        <v>0</v>
      </c>
      <c r="TO49" s="15">
        <v>0</v>
      </c>
      <c r="TP49" s="15">
        <v>1</v>
      </c>
      <c r="TQ49" s="15">
        <v>0</v>
      </c>
      <c r="TR49" s="15">
        <v>0</v>
      </c>
      <c r="TS49" s="15">
        <v>0</v>
      </c>
      <c r="TT49" s="15">
        <v>0</v>
      </c>
      <c r="TU49" s="15">
        <v>0</v>
      </c>
      <c r="TV49" s="15">
        <v>0</v>
      </c>
      <c r="TW49" s="15">
        <v>0</v>
      </c>
      <c r="TX49" s="15">
        <v>0</v>
      </c>
      <c r="TY49" s="15">
        <v>0</v>
      </c>
      <c r="TZ49" s="15">
        <v>1</v>
      </c>
      <c r="UA49" s="15">
        <v>0</v>
      </c>
      <c r="UB49" s="15">
        <v>0</v>
      </c>
      <c r="UC49" s="15">
        <v>0</v>
      </c>
      <c r="UD49" s="15">
        <v>0</v>
      </c>
      <c r="UE49" s="20">
        <v>0</v>
      </c>
      <c r="UF49" s="20">
        <v>1</v>
      </c>
      <c r="UG49" s="20">
        <v>0</v>
      </c>
      <c r="UH49" s="15">
        <v>0</v>
      </c>
      <c r="UI49" s="20">
        <v>0</v>
      </c>
      <c r="UJ49" s="20">
        <v>0</v>
      </c>
      <c r="UK49" s="20">
        <v>0</v>
      </c>
      <c r="UL49" s="15">
        <v>0</v>
      </c>
      <c r="UM49" s="15">
        <v>0</v>
      </c>
      <c r="UN49" s="15">
        <v>0</v>
      </c>
      <c r="UO49" s="15">
        <v>0</v>
      </c>
      <c r="UP49" s="15">
        <v>0</v>
      </c>
      <c r="UQ49" s="15">
        <v>0</v>
      </c>
      <c r="UR49" s="15">
        <v>0</v>
      </c>
      <c r="US49" s="15">
        <v>0</v>
      </c>
      <c r="UT49" s="15">
        <v>0</v>
      </c>
      <c r="UU49" s="15">
        <v>0</v>
      </c>
      <c r="UV49" s="15">
        <v>0</v>
      </c>
      <c r="UW49" s="15">
        <v>0</v>
      </c>
      <c r="UX49" s="15">
        <v>0</v>
      </c>
      <c r="UY49" s="15">
        <v>0</v>
      </c>
      <c r="UZ49" s="15">
        <v>0</v>
      </c>
      <c r="VA49" s="15">
        <v>0</v>
      </c>
      <c r="VB49" s="15">
        <v>0</v>
      </c>
      <c r="VC49" s="15">
        <v>0</v>
      </c>
      <c r="VD49" s="15">
        <v>0</v>
      </c>
      <c r="VE49" s="15">
        <v>0</v>
      </c>
      <c r="VF49" s="15">
        <v>0</v>
      </c>
      <c r="VG49" s="15">
        <v>0</v>
      </c>
      <c r="VH49" s="15">
        <v>0</v>
      </c>
      <c r="VI49" s="15">
        <v>0</v>
      </c>
      <c r="VJ49" s="15">
        <v>0</v>
      </c>
      <c r="VK49" s="15">
        <v>0</v>
      </c>
      <c r="VL49" s="15">
        <v>0</v>
      </c>
      <c r="VM49" s="15">
        <v>0</v>
      </c>
      <c r="VN49" s="15">
        <v>0</v>
      </c>
      <c r="VO49" s="15">
        <v>0</v>
      </c>
      <c r="VP49" s="15">
        <v>0</v>
      </c>
      <c r="VQ49" s="15">
        <v>0</v>
      </c>
      <c r="VR49" s="15">
        <v>0</v>
      </c>
      <c r="VS49" s="15">
        <v>0</v>
      </c>
      <c r="VT49" s="15">
        <v>0</v>
      </c>
      <c r="VU49" s="15">
        <v>0</v>
      </c>
      <c r="VV49" s="15">
        <v>0</v>
      </c>
      <c r="VW49" s="15">
        <v>0</v>
      </c>
      <c r="VX49" s="15">
        <v>0</v>
      </c>
      <c r="VY49" s="15">
        <v>0</v>
      </c>
      <c r="VZ49" s="15">
        <v>0</v>
      </c>
      <c r="WA49" s="15">
        <v>0</v>
      </c>
      <c r="WB49" s="15">
        <v>0</v>
      </c>
      <c r="WC49" s="15">
        <v>0</v>
      </c>
      <c r="WD49" s="15">
        <v>0</v>
      </c>
      <c r="WE49" s="15">
        <v>0</v>
      </c>
      <c r="WF49" s="15">
        <v>0</v>
      </c>
      <c r="WG49" s="15">
        <v>0</v>
      </c>
      <c r="WH49" s="15">
        <v>0</v>
      </c>
      <c r="WI49" s="15">
        <v>0</v>
      </c>
      <c r="WJ49" s="15">
        <v>0</v>
      </c>
      <c r="WK49" s="15">
        <v>0</v>
      </c>
      <c r="WL49" s="15">
        <v>0</v>
      </c>
      <c r="WM49" s="15">
        <v>0</v>
      </c>
      <c r="WN49" s="15">
        <v>0</v>
      </c>
      <c r="WO49" s="15">
        <v>0</v>
      </c>
      <c r="WP49" s="15">
        <v>0</v>
      </c>
      <c r="WQ49" s="15">
        <v>0</v>
      </c>
      <c r="WR49" s="15">
        <v>0</v>
      </c>
      <c r="WS49" s="15">
        <v>0</v>
      </c>
      <c r="WT49" s="15">
        <v>0</v>
      </c>
      <c r="WU49" s="15">
        <v>0</v>
      </c>
      <c r="WV49" s="15">
        <v>0</v>
      </c>
      <c r="WW49" s="15">
        <v>0</v>
      </c>
      <c r="WX49" s="15">
        <v>0</v>
      </c>
      <c r="WY49" s="15">
        <v>0</v>
      </c>
      <c r="WZ49" s="15">
        <v>0</v>
      </c>
      <c r="XA49" s="15">
        <v>0</v>
      </c>
      <c r="XB49" s="15">
        <v>0</v>
      </c>
      <c r="XC49" s="15">
        <v>0</v>
      </c>
      <c r="XD49" s="15">
        <v>0</v>
      </c>
      <c r="XE49" s="15">
        <v>0</v>
      </c>
      <c r="XF49" s="15">
        <v>0</v>
      </c>
      <c r="XG49" s="15">
        <v>0</v>
      </c>
      <c r="XH49" s="15">
        <v>0</v>
      </c>
      <c r="XI49" s="15">
        <v>0</v>
      </c>
      <c r="XJ49" s="15">
        <v>0</v>
      </c>
      <c r="XK49" s="15">
        <v>0</v>
      </c>
      <c r="XL49" s="15">
        <v>0</v>
      </c>
      <c r="XM49" s="15">
        <v>0</v>
      </c>
      <c r="XN49" s="15">
        <v>0</v>
      </c>
      <c r="XO49" s="15">
        <v>0</v>
      </c>
      <c r="XP49" s="15">
        <v>0</v>
      </c>
      <c r="XQ49" s="15">
        <v>0</v>
      </c>
      <c r="XR49" s="15">
        <v>0</v>
      </c>
      <c r="XS49" s="15">
        <v>0</v>
      </c>
      <c r="XT49" s="15">
        <v>0</v>
      </c>
      <c r="XU49" s="15">
        <v>0</v>
      </c>
      <c r="XV49" s="15">
        <v>0</v>
      </c>
      <c r="XW49" s="15">
        <v>0</v>
      </c>
      <c r="XX49" s="15">
        <v>0</v>
      </c>
      <c r="XY49" s="15">
        <v>0</v>
      </c>
      <c r="XZ49" s="15">
        <v>0</v>
      </c>
      <c r="YA49" s="15">
        <v>0</v>
      </c>
      <c r="YB49" s="15">
        <v>0</v>
      </c>
      <c r="YC49" s="15">
        <v>0</v>
      </c>
      <c r="YD49" s="15">
        <v>0</v>
      </c>
      <c r="YE49" s="15">
        <v>0</v>
      </c>
      <c r="YF49" s="15">
        <v>0</v>
      </c>
      <c r="YG49" s="15">
        <v>0</v>
      </c>
      <c r="YH49" s="15">
        <v>0</v>
      </c>
      <c r="YI49" s="15">
        <v>0</v>
      </c>
      <c r="YJ49" s="15">
        <v>0</v>
      </c>
      <c r="YK49" s="15">
        <v>0</v>
      </c>
      <c r="YL49" s="15">
        <v>0</v>
      </c>
      <c r="YM49" s="15">
        <v>0</v>
      </c>
      <c r="YN49" s="15">
        <v>0</v>
      </c>
      <c r="YO49" s="15">
        <v>0</v>
      </c>
      <c r="YP49" s="15">
        <v>0</v>
      </c>
      <c r="YQ49" s="15">
        <v>0</v>
      </c>
      <c r="YR49" s="15">
        <v>0</v>
      </c>
      <c r="YS49" s="15">
        <v>0</v>
      </c>
      <c r="YT49" s="15">
        <v>0</v>
      </c>
      <c r="YU49" s="15">
        <v>0</v>
      </c>
      <c r="YV49" s="15">
        <v>0</v>
      </c>
      <c r="YW49" s="15">
        <v>0</v>
      </c>
      <c r="YX49" s="15">
        <v>0</v>
      </c>
      <c r="YY49" s="15">
        <v>0</v>
      </c>
      <c r="YZ49" s="15">
        <v>0</v>
      </c>
      <c r="ZA49" s="15">
        <v>0</v>
      </c>
      <c r="ZB49" s="15">
        <v>0</v>
      </c>
      <c r="ZC49" s="15">
        <v>0</v>
      </c>
      <c r="ZD49" s="15">
        <v>0</v>
      </c>
      <c r="ZE49" s="15">
        <v>0</v>
      </c>
      <c r="ZF49" s="15">
        <v>0</v>
      </c>
      <c r="ZG49" s="15">
        <v>0</v>
      </c>
      <c r="ZH49" s="15">
        <v>0</v>
      </c>
      <c r="ZI49" s="15">
        <v>0</v>
      </c>
      <c r="ZJ49" s="15">
        <v>0</v>
      </c>
      <c r="ZK49" s="15">
        <v>0</v>
      </c>
      <c r="ZL49" s="15">
        <v>0</v>
      </c>
      <c r="ZM49" s="15">
        <v>0</v>
      </c>
      <c r="ZN49" s="15">
        <v>0</v>
      </c>
      <c r="ZO49" s="15">
        <v>0</v>
      </c>
      <c r="ZP49" s="15">
        <v>0</v>
      </c>
      <c r="ZQ49" s="15">
        <v>0</v>
      </c>
      <c r="ZR49" s="15">
        <v>0</v>
      </c>
      <c r="ZS49" s="15">
        <v>0</v>
      </c>
      <c r="ZT49" s="15">
        <v>0</v>
      </c>
      <c r="ZU49" s="15">
        <v>0</v>
      </c>
      <c r="ZV49" s="15">
        <v>0</v>
      </c>
      <c r="ZW49" s="15">
        <v>0</v>
      </c>
      <c r="ZX49" s="15">
        <v>0</v>
      </c>
      <c r="ZY49" s="15">
        <v>0</v>
      </c>
      <c r="ZZ49" s="15">
        <v>0</v>
      </c>
      <c r="AAA49" s="15">
        <v>0</v>
      </c>
      <c r="AAB49" s="15">
        <v>0</v>
      </c>
      <c r="AAC49" s="15">
        <v>0</v>
      </c>
      <c r="AAD49" s="15">
        <v>0</v>
      </c>
      <c r="AAE49" s="15">
        <v>0</v>
      </c>
      <c r="AAF49" s="15">
        <v>0</v>
      </c>
      <c r="AAG49" s="15">
        <v>0</v>
      </c>
      <c r="AAH49" s="15">
        <v>0</v>
      </c>
      <c r="AAI49" s="15">
        <v>0</v>
      </c>
      <c r="AAJ49" s="15">
        <v>0</v>
      </c>
      <c r="AAK49" s="15">
        <v>0</v>
      </c>
      <c r="AAL49" s="15"/>
      <c r="AAM49" s="15">
        <v>0</v>
      </c>
      <c r="AAN49" s="15">
        <v>0</v>
      </c>
      <c r="AAO49" s="15">
        <v>0</v>
      </c>
      <c r="AAP49" s="15">
        <v>0</v>
      </c>
      <c r="AAQ49" s="15">
        <v>0</v>
      </c>
      <c r="AAR49" s="15">
        <v>0</v>
      </c>
      <c r="AAS49" s="15">
        <v>0</v>
      </c>
      <c r="AAT49" s="15">
        <v>0</v>
      </c>
      <c r="AAU49" s="15">
        <v>0</v>
      </c>
      <c r="AAV49" s="15">
        <v>0</v>
      </c>
      <c r="AAW49" s="15">
        <v>0</v>
      </c>
      <c r="AAX49" s="15"/>
      <c r="AAY49" s="15">
        <v>0</v>
      </c>
      <c r="AAZ49" s="15">
        <v>0</v>
      </c>
      <c r="ABA49" s="15">
        <v>0</v>
      </c>
      <c r="ABB49" s="15">
        <v>0</v>
      </c>
      <c r="ABC49" s="15">
        <v>0</v>
      </c>
      <c r="ABD49" s="15">
        <v>0</v>
      </c>
      <c r="ABE49" s="15">
        <v>0</v>
      </c>
      <c r="ABF49" s="15">
        <v>0</v>
      </c>
      <c r="ABG49" s="15">
        <v>0</v>
      </c>
      <c r="ABH49" s="15">
        <v>0</v>
      </c>
      <c r="ABI49" s="15">
        <v>0</v>
      </c>
      <c r="ABJ49" s="15">
        <v>0</v>
      </c>
      <c r="ABK49" s="15">
        <v>0</v>
      </c>
      <c r="ABL49" s="15">
        <v>0</v>
      </c>
      <c r="ABM49" s="15">
        <v>0</v>
      </c>
      <c r="ABN49" s="15">
        <v>0</v>
      </c>
      <c r="ABO49" s="15">
        <v>0</v>
      </c>
      <c r="ABP49" s="15">
        <v>0</v>
      </c>
      <c r="ABQ49" s="15">
        <v>0</v>
      </c>
      <c r="ABR49" s="15">
        <v>0</v>
      </c>
      <c r="ABS49" s="15">
        <v>0</v>
      </c>
      <c r="ABT49" s="15">
        <v>0</v>
      </c>
      <c r="ABU49" s="15">
        <v>0</v>
      </c>
      <c r="ABV49" s="15">
        <v>0</v>
      </c>
      <c r="ABW49" s="15">
        <v>0</v>
      </c>
      <c r="ABX49" s="15">
        <v>0</v>
      </c>
      <c r="ABY49" s="15">
        <v>0</v>
      </c>
      <c r="ABZ49" s="15">
        <v>0</v>
      </c>
      <c r="ACA49" s="15">
        <v>0</v>
      </c>
      <c r="ACB49" s="15">
        <v>0</v>
      </c>
      <c r="ACC49" s="15">
        <v>0</v>
      </c>
      <c r="ACD49" s="15">
        <v>0</v>
      </c>
      <c r="ACE49" s="15">
        <v>0</v>
      </c>
      <c r="ACF49" s="15">
        <v>0</v>
      </c>
      <c r="ACG49" s="15">
        <v>0</v>
      </c>
      <c r="ACH49" s="15">
        <v>0</v>
      </c>
      <c r="ACI49" s="15">
        <v>0</v>
      </c>
      <c r="ACJ49" s="15">
        <v>0</v>
      </c>
      <c r="ACK49" s="15">
        <v>0</v>
      </c>
      <c r="ACL49" s="15">
        <v>0</v>
      </c>
      <c r="ACM49" s="15">
        <v>0</v>
      </c>
      <c r="ACN49" s="15">
        <v>0</v>
      </c>
      <c r="ACO49" s="15">
        <v>0</v>
      </c>
      <c r="ACP49" s="15">
        <v>0</v>
      </c>
      <c r="ACQ49" s="15">
        <v>0</v>
      </c>
      <c r="ACR49" s="15">
        <v>0</v>
      </c>
      <c r="ACS49" s="15">
        <v>0</v>
      </c>
      <c r="ACT49" s="15">
        <v>0</v>
      </c>
      <c r="ACU49" s="15">
        <v>0</v>
      </c>
      <c r="ACV49" s="15">
        <v>0</v>
      </c>
      <c r="ACW49" s="15">
        <v>0</v>
      </c>
      <c r="ACX49" s="15">
        <v>0</v>
      </c>
      <c r="ACY49" s="15">
        <v>0</v>
      </c>
      <c r="ACZ49" s="15">
        <v>0</v>
      </c>
      <c r="ADA49" s="15">
        <v>0</v>
      </c>
      <c r="ADB49" s="15">
        <v>0</v>
      </c>
      <c r="ADC49" s="15">
        <v>0</v>
      </c>
      <c r="ADD49" s="15">
        <v>0</v>
      </c>
      <c r="ADE49" s="15">
        <v>0</v>
      </c>
      <c r="ADF49" s="15">
        <v>0</v>
      </c>
      <c r="ADG49" s="15">
        <v>0</v>
      </c>
      <c r="ADH49" s="15"/>
      <c r="ADI49" s="15">
        <v>0</v>
      </c>
      <c r="ADJ49" s="15">
        <v>0</v>
      </c>
      <c r="ADK49" s="15">
        <v>0</v>
      </c>
      <c r="ADL49" s="15">
        <v>0</v>
      </c>
      <c r="ADM49" s="15">
        <v>0</v>
      </c>
      <c r="ADN49" s="15">
        <v>0</v>
      </c>
      <c r="ADO49" s="15">
        <v>0</v>
      </c>
      <c r="ADP49" s="15">
        <v>0</v>
      </c>
      <c r="ADQ49" s="15">
        <v>0</v>
      </c>
      <c r="ADR49" s="15">
        <v>0</v>
      </c>
      <c r="ADS49" s="15">
        <v>0</v>
      </c>
      <c r="ADT49" s="15">
        <v>0</v>
      </c>
      <c r="ADU49" s="15">
        <v>0</v>
      </c>
      <c r="ADV49" s="15">
        <v>0</v>
      </c>
      <c r="ADW49" s="15">
        <v>0</v>
      </c>
      <c r="ADX49" s="15">
        <v>0</v>
      </c>
      <c r="ADY49" s="15">
        <v>0</v>
      </c>
      <c r="ADZ49" s="15">
        <v>0</v>
      </c>
      <c r="AEA49" s="15">
        <v>0</v>
      </c>
      <c r="AEB49" s="15">
        <v>0</v>
      </c>
      <c r="AEC49" s="15">
        <v>0</v>
      </c>
      <c r="AED49" s="15">
        <v>0</v>
      </c>
      <c r="AEE49" s="15">
        <v>0</v>
      </c>
      <c r="AEF49" s="15">
        <v>0</v>
      </c>
      <c r="AEG49" s="15">
        <v>0</v>
      </c>
      <c r="AEH49" s="15">
        <v>0</v>
      </c>
      <c r="AEI49" s="15">
        <v>0</v>
      </c>
      <c r="AEJ49" s="15">
        <v>0</v>
      </c>
      <c r="AEK49" s="15">
        <v>0</v>
      </c>
      <c r="AEL49" s="15">
        <v>0</v>
      </c>
      <c r="AEM49" s="15">
        <v>0</v>
      </c>
      <c r="AEN49" s="15">
        <v>0</v>
      </c>
      <c r="AEO49" s="15">
        <v>0</v>
      </c>
      <c r="AEP49" s="15">
        <v>0</v>
      </c>
      <c r="AEQ49" s="15">
        <v>0</v>
      </c>
      <c r="AER49" s="15">
        <v>0</v>
      </c>
      <c r="AES49" s="15">
        <v>0</v>
      </c>
      <c r="AET49" s="15">
        <v>0</v>
      </c>
      <c r="AEU49" s="15">
        <v>0</v>
      </c>
      <c r="AEV49" s="15">
        <v>0</v>
      </c>
      <c r="AEW49" s="15">
        <v>0</v>
      </c>
      <c r="AEX49" s="15">
        <v>0</v>
      </c>
      <c r="AEY49" s="15">
        <v>0</v>
      </c>
      <c r="AEZ49" s="15">
        <v>0</v>
      </c>
      <c r="AFA49" s="15">
        <v>0</v>
      </c>
      <c r="AFB49" s="15">
        <v>0</v>
      </c>
      <c r="AFC49" s="15">
        <v>0</v>
      </c>
      <c r="AFD49" s="15">
        <v>0</v>
      </c>
      <c r="AFE49" s="15">
        <v>0</v>
      </c>
      <c r="AFF49" s="15">
        <v>0</v>
      </c>
      <c r="AFG49" s="15">
        <v>0</v>
      </c>
      <c r="AFH49" s="15">
        <v>0</v>
      </c>
      <c r="AFI49" s="15">
        <v>0</v>
      </c>
      <c r="AFJ49" s="15">
        <v>0</v>
      </c>
      <c r="AFK49" s="15">
        <v>0</v>
      </c>
      <c r="AFL49" s="15">
        <v>0</v>
      </c>
      <c r="AFM49" s="15">
        <v>0</v>
      </c>
      <c r="AFN49" s="15">
        <v>0</v>
      </c>
      <c r="AFO49" s="15">
        <v>0</v>
      </c>
      <c r="AFP49" s="15">
        <v>0</v>
      </c>
      <c r="AFQ49" s="15">
        <v>0</v>
      </c>
      <c r="AFR49" s="15"/>
      <c r="AFS49" s="15">
        <v>0</v>
      </c>
      <c r="AFT49" s="15">
        <v>0</v>
      </c>
      <c r="AFU49" s="15">
        <v>0</v>
      </c>
      <c r="AFV49" s="15">
        <v>0</v>
      </c>
      <c r="AFW49" s="15">
        <v>0</v>
      </c>
      <c r="AFX49" s="15">
        <v>0</v>
      </c>
      <c r="AFY49" s="15">
        <v>0</v>
      </c>
      <c r="AFZ49" s="15">
        <v>0</v>
      </c>
      <c r="AGA49" s="15">
        <v>0</v>
      </c>
      <c r="AGB49" s="15">
        <v>0</v>
      </c>
      <c r="AGC49" s="15">
        <v>0</v>
      </c>
      <c r="AGD49" s="15">
        <v>0</v>
      </c>
      <c r="AGE49" s="15">
        <v>0</v>
      </c>
      <c r="AGF49" s="15">
        <v>0</v>
      </c>
      <c r="AGG49" s="15">
        <v>0</v>
      </c>
      <c r="AGH49" s="15">
        <v>0</v>
      </c>
      <c r="AGI49" s="15">
        <v>0</v>
      </c>
      <c r="AGJ49" s="15">
        <v>0</v>
      </c>
      <c r="AGK49" s="15">
        <v>0</v>
      </c>
      <c r="AGL49" s="15">
        <v>0</v>
      </c>
      <c r="AGM49" s="15">
        <v>0</v>
      </c>
      <c r="AGN49" s="15">
        <v>0</v>
      </c>
      <c r="AGO49" s="15">
        <v>0</v>
      </c>
      <c r="AGP49" s="15">
        <v>0</v>
      </c>
      <c r="AGQ49" s="15">
        <v>0</v>
      </c>
      <c r="AGR49" s="15">
        <v>0</v>
      </c>
      <c r="AGS49" s="15">
        <v>0</v>
      </c>
      <c r="AGT49" s="15">
        <v>0</v>
      </c>
      <c r="AGU49" s="15">
        <v>0</v>
      </c>
      <c r="AGV49" s="15">
        <v>0</v>
      </c>
      <c r="AGW49" s="15">
        <v>0</v>
      </c>
      <c r="AGX49" s="15">
        <v>0</v>
      </c>
      <c r="AGY49" s="15">
        <v>0</v>
      </c>
      <c r="AGZ49" s="15">
        <v>0</v>
      </c>
      <c r="AHA49" s="15">
        <v>0</v>
      </c>
      <c r="AHB49" s="15">
        <v>0</v>
      </c>
      <c r="AHC49" s="15">
        <v>0</v>
      </c>
      <c r="AHD49" s="15">
        <v>0</v>
      </c>
      <c r="AHE49" s="15">
        <v>0</v>
      </c>
      <c r="AHF49" s="15">
        <v>0</v>
      </c>
      <c r="AHG49" s="15">
        <v>0</v>
      </c>
      <c r="AHH49" s="15">
        <v>0</v>
      </c>
      <c r="AHI49" s="15">
        <v>0</v>
      </c>
      <c r="AHJ49" s="15">
        <v>0</v>
      </c>
      <c r="AHK49" s="15">
        <v>0</v>
      </c>
      <c r="AHL49" s="15">
        <v>0</v>
      </c>
      <c r="AHM49" s="15">
        <v>0</v>
      </c>
      <c r="AHN49" s="15">
        <v>0</v>
      </c>
      <c r="AHO49" s="15">
        <v>0</v>
      </c>
      <c r="AHP49" s="15">
        <v>0</v>
      </c>
      <c r="AHQ49" s="15">
        <v>0</v>
      </c>
      <c r="AHR49" s="15">
        <v>0</v>
      </c>
      <c r="AHS49" s="15">
        <v>0</v>
      </c>
      <c r="AHT49" s="15">
        <v>0</v>
      </c>
      <c r="AHU49" s="15">
        <v>0</v>
      </c>
      <c r="AHV49" s="15">
        <v>0</v>
      </c>
      <c r="AHW49" s="15">
        <v>0</v>
      </c>
      <c r="AHX49" s="15">
        <v>0</v>
      </c>
      <c r="AHY49" s="15">
        <v>0</v>
      </c>
      <c r="AHZ49" s="15">
        <v>0</v>
      </c>
      <c r="AIA49" s="15">
        <v>0</v>
      </c>
      <c r="AIB49" s="15">
        <v>0</v>
      </c>
      <c r="AIC49" s="15">
        <v>0</v>
      </c>
      <c r="AID49" s="15">
        <v>0</v>
      </c>
      <c r="AIE49" s="15">
        <v>0</v>
      </c>
      <c r="AIF49" s="15">
        <v>0</v>
      </c>
      <c r="AIG49" s="15">
        <v>0</v>
      </c>
      <c r="AIH49" s="15">
        <v>0</v>
      </c>
      <c r="AII49" s="15">
        <v>0</v>
      </c>
      <c r="AIJ49" s="15">
        <v>0</v>
      </c>
      <c r="AIK49" s="15">
        <v>0</v>
      </c>
      <c r="AIL49" s="15">
        <v>0</v>
      </c>
      <c r="AIM49" s="15">
        <v>0</v>
      </c>
      <c r="AIN49" s="15">
        <v>0</v>
      </c>
      <c r="AIO49" s="15">
        <v>0</v>
      </c>
      <c r="AIP49" s="15">
        <v>0</v>
      </c>
      <c r="AIQ49" s="15">
        <v>0</v>
      </c>
      <c r="AIR49" s="15">
        <v>0</v>
      </c>
      <c r="AIS49" s="15">
        <v>0</v>
      </c>
      <c r="AIT49" s="15">
        <v>0</v>
      </c>
      <c r="AIU49" s="15">
        <v>0</v>
      </c>
      <c r="AIV49" s="15">
        <v>0</v>
      </c>
      <c r="AIW49" s="15">
        <v>0</v>
      </c>
      <c r="AIX49" s="15">
        <v>0</v>
      </c>
      <c r="AIY49" s="15">
        <v>0</v>
      </c>
      <c r="AIZ49" s="15">
        <v>0</v>
      </c>
      <c r="AJA49" s="15">
        <v>0</v>
      </c>
      <c r="AJB49" s="15">
        <v>0</v>
      </c>
      <c r="AJC49" s="15">
        <v>0</v>
      </c>
      <c r="AJD49" s="15">
        <v>0</v>
      </c>
      <c r="AJE49" s="15">
        <v>0</v>
      </c>
      <c r="AJF49" s="15"/>
      <c r="AJG49" s="15">
        <v>0</v>
      </c>
      <c r="AJH49" s="15">
        <v>0</v>
      </c>
      <c r="AJI49" s="15">
        <v>0</v>
      </c>
      <c r="AJJ49" s="15">
        <v>0</v>
      </c>
      <c r="AJK49" s="15">
        <v>0</v>
      </c>
      <c r="AJL49" s="15">
        <v>0</v>
      </c>
      <c r="AJM49" s="15">
        <v>0</v>
      </c>
      <c r="AJN49" s="15"/>
      <c r="AJO49" s="15">
        <v>0</v>
      </c>
      <c r="AJP49" s="15">
        <v>0</v>
      </c>
      <c r="AJQ49" s="15">
        <v>0</v>
      </c>
      <c r="AJR49" s="15">
        <v>0</v>
      </c>
      <c r="AJS49" s="15">
        <v>0</v>
      </c>
      <c r="AJT49" s="15">
        <v>0</v>
      </c>
      <c r="AJU49" s="15">
        <v>0</v>
      </c>
      <c r="AJV49" s="15">
        <v>0</v>
      </c>
      <c r="AJW49" s="15">
        <v>0</v>
      </c>
      <c r="AJX49" s="15"/>
      <c r="AJY49" s="15">
        <v>0</v>
      </c>
      <c r="AJZ49" s="15">
        <v>0</v>
      </c>
      <c r="AKA49" s="15">
        <v>0</v>
      </c>
      <c r="AKB49" s="15">
        <v>0</v>
      </c>
      <c r="AKC49" s="15">
        <v>0</v>
      </c>
      <c r="AKD49" s="15">
        <v>0</v>
      </c>
      <c r="AKE49" s="15">
        <v>0</v>
      </c>
      <c r="AKF49" s="15">
        <v>0</v>
      </c>
      <c r="AKG49" s="15">
        <v>0</v>
      </c>
      <c r="AKH49" s="15">
        <v>0</v>
      </c>
      <c r="AKI49" s="15"/>
      <c r="AKJ49" s="15">
        <v>0</v>
      </c>
      <c r="AKK49" s="15">
        <v>0</v>
      </c>
      <c r="AKL49" s="15">
        <v>0</v>
      </c>
      <c r="AKM49" s="15">
        <v>0</v>
      </c>
      <c r="AKN49" s="15">
        <v>0</v>
      </c>
      <c r="AKO49" s="15">
        <v>0</v>
      </c>
      <c r="AKP49" s="15">
        <v>0</v>
      </c>
      <c r="AKQ49" s="15">
        <v>0</v>
      </c>
      <c r="AKR49" s="15">
        <v>0</v>
      </c>
      <c r="AKS49" s="15">
        <v>0</v>
      </c>
      <c r="AKT49" s="15">
        <v>0</v>
      </c>
      <c r="AKU49" s="15">
        <v>0</v>
      </c>
      <c r="AKV49" s="15">
        <v>0</v>
      </c>
      <c r="AKW49" s="15">
        <v>0</v>
      </c>
      <c r="AKX49" s="15"/>
      <c r="AKY49" s="15">
        <v>0</v>
      </c>
      <c r="AKZ49" s="15">
        <v>0</v>
      </c>
      <c r="ALA49" s="15">
        <v>0</v>
      </c>
      <c r="ALB49" s="15">
        <v>0</v>
      </c>
      <c r="ALC49" s="15">
        <v>0</v>
      </c>
      <c r="ALD49" s="15">
        <v>0</v>
      </c>
      <c r="ALE49" s="15">
        <v>0</v>
      </c>
      <c r="ALF49" s="15">
        <v>0</v>
      </c>
      <c r="ALG49" s="15">
        <v>0</v>
      </c>
      <c r="ALH49" s="15">
        <v>0</v>
      </c>
      <c r="ALI49" s="15">
        <v>0</v>
      </c>
      <c r="ALJ49" s="15">
        <v>0</v>
      </c>
      <c r="ALK49" s="15">
        <v>0</v>
      </c>
      <c r="ALL49" s="15">
        <v>0</v>
      </c>
      <c r="ALM49" s="15"/>
      <c r="ALN49" s="15">
        <v>0</v>
      </c>
      <c r="ALO49" s="15">
        <v>0</v>
      </c>
      <c r="ALP49" s="15">
        <v>0</v>
      </c>
      <c r="ALQ49" s="15">
        <v>0</v>
      </c>
      <c r="ALR49" s="15">
        <v>0</v>
      </c>
      <c r="ALS49" s="15">
        <v>0</v>
      </c>
      <c r="ALT49" s="15">
        <v>0</v>
      </c>
      <c r="ALU49" s="15">
        <v>0</v>
      </c>
      <c r="ALV49" s="15">
        <v>0</v>
      </c>
      <c r="ALW49" s="15">
        <v>0</v>
      </c>
      <c r="ALX49" s="15">
        <v>0</v>
      </c>
      <c r="ALY49" s="15">
        <v>0</v>
      </c>
      <c r="ALZ49" s="15">
        <v>0</v>
      </c>
      <c r="AMA49" s="15">
        <v>0</v>
      </c>
      <c r="AMB49" s="15">
        <v>0</v>
      </c>
      <c r="AMC49" s="15"/>
      <c r="AMD49" s="15">
        <v>0</v>
      </c>
      <c r="AME49" s="15">
        <v>0</v>
      </c>
      <c r="AMF49" s="15">
        <v>0</v>
      </c>
      <c r="AMG49" s="15">
        <v>0</v>
      </c>
      <c r="AMH49" s="15">
        <v>0</v>
      </c>
      <c r="AMI49" s="15">
        <v>0</v>
      </c>
      <c r="AMJ49" s="15">
        <v>0</v>
      </c>
      <c r="AMK49" s="15">
        <v>0</v>
      </c>
      <c r="AML49" s="15">
        <v>0</v>
      </c>
      <c r="AMM49" s="15">
        <v>0</v>
      </c>
      <c r="AMN49" s="15">
        <v>0</v>
      </c>
      <c r="AMO49" s="15">
        <v>0</v>
      </c>
      <c r="AMP49" s="15">
        <v>0</v>
      </c>
      <c r="AMQ49" s="15">
        <v>0</v>
      </c>
      <c r="AMR49" s="15">
        <v>0</v>
      </c>
      <c r="AMS49" s="15">
        <v>0</v>
      </c>
      <c r="AMT49" s="15">
        <v>0</v>
      </c>
      <c r="AMU49" s="15">
        <v>0</v>
      </c>
      <c r="AMV49" s="15">
        <v>0</v>
      </c>
      <c r="AMW49" s="15">
        <v>0</v>
      </c>
      <c r="AMX49" s="15">
        <v>0</v>
      </c>
      <c r="AMY49" s="15">
        <v>0</v>
      </c>
      <c r="AMZ49" s="15">
        <v>0</v>
      </c>
      <c r="ANA49" s="15">
        <v>0</v>
      </c>
      <c r="ANB49" s="15">
        <v>0</v>
      </c>
      <c r="ANC49" s="15">
        <v>0</v>
      </c>
      <c r="AND49" s="15">
        <v>0</v>
      </c>
      <c r="ANE49" s="15"/>
      <c r="ANF49" s="15"/>
      <c r="ANG49" s="15"/>
      <c r="ANH49" s="15"/>
      <c r="ANI49" s="15"/>
      <c r="ANJ49" s="15"/>
      <c r="ANK49" s="15"/>
      <c r="ANL49" s="15"/>
      <c r="ANM49" s="15"/>
      <c r="ANN49" s="15"/>
      <c r="ANO49" s="15"/>
      <c r="ANP49" s="15"/>
      <c r="ANQ49" s="15"/>
      <c r="ANR49" s="15"/>
      <c r="ANS49" s="15"/>
      <c r="ANT49" s="15"/>
      <c r="ANU49" s="15"/>
      <c r="ANV49" s="15"/>
      <c r="ANW49" s="15"/>
      <c r="ANX49" s="15"/>
      <c r="ANY49" s="15"/>
      <c r="ANZ49" s="15"/>
      <c r="AOA49" s="15"/>
      <c r="AOB49" s="15"/>
      <c r="AOC49" s="15"/>
      <c r="AOD49" s="15"/>
      <c r="AOE49" s="15"/>
      <c r="AOF49" s="15"/>
      <c r="AOG49" s="15"/>
      <c r="AOH49" s="15"/>
      <c r="AOI49" s="15"/>
      <c r="AOJ49" s="15"/>
      <c r="AOK49" s="15"/>
      <c r="AOL49" s="15"/>
      <c r="AOM49" s="15"/>
      <c r="AON49" s="15"/>
      <c r="AOO49" s="15"/>
      <c r="AOP49" s="15"/>
      <c r="AOQ49" s="15"/>
      <c r="AOR49" s="15"/>
      <c r="AOS49" s="15"/>
      <c r="AOT49" s="15"/>
      <c r="AOU49" s="15"/>
      <c r="AOV49" s="15"/>
      <c r="AOW49" s="15"/>
      <c r="AOX49" s="15"/>
      <c r="AOY49" s="15"/>
      <c r="AOZ49" s="15"/>
      <c r="APA49" s="15"/>
      <c r="APB49" s="15"/>
      <c r="APC49" s="15"/>
      <c r="APD49" s="15"/>
      <c r="APE49" s="15"/>
      <c r="APF49" s="15"/>
      <c r="APG49" s="15"/>
      <c r="APH49" s="15"/>
      <c r="API49" s="15"/>
      <c r="APJ49" s="15"/>
      <c r="APK49" s="15"/>
      <c r="APL49" s="15"/>
      <c r="APM49" s="15"/>
      <c r="APN49" s="15"/>
      <c r="APO49" s="15"/>
      <c r="APP49" s="15"/>
      <c r="APQ49" s="15"/>
      <c r="APR49" s="15"/>
      <c r="APS49" s="15"/>
      <c r="APT49" s="15"/>
      <c r="APU49" s="15"/>
      <c r="APV49" s="15"/>
      <c r="APW49" s="15"/>
      <c r="APX49" s="15"/>
      <c r="APY49" s="15"/>
      <c r="APZ49" s="15"/>
      <c r="AQA49" s="15"/>
      <c r="AQB49" s="15"/>
    </row>
    <row r="50" spans="1:1120" s="17" customFormat="1" ht="15" customHeight="1" x14ac:dyDescent="0.25">
      <c r="A50" s="3" t="s">
        <v>2</v>
      </c>
      <c r="B50" s="6" t="s">
        <v>89</v>
      </c>
      <c r="C50" s="15"/>
      <c r="D50" s="15">
        <v>0</v>
      </c>
      <c r="E50" s="15">
        <v>0</v>
      </c>
      <c r="F50" s="15">
        <v>0</v>
      </c>
      <c r="G50" s="15">
        <v>0</v>
      </c>
      <c r="H50" s="15">
        <v>0</v>
      </c>
      <c r="I50" s="15">
        <v>0</v>
      </c>
      <c r="J50" s="15"/>
      <c r="K50" s="15">
        <v>0</v>
      </c>
      <c r="L50" s="15">
        <v>0</v>
      </c>
      <c r="M50" s="15">
        <v>0</v>
      </c>
      <c r="N50" s="15">
        <v>0</v>
      </c>
      <c r="O50" s="15">
        <v>0</v>
      </c>
      <c r="P50" s="15">
        <v>0</v>
      </c>
      <c r="Q50" s="15"/>
      <c r="R50" s="15">
        <v>0</v>
      </c>
      <c r="S50" s="15">
        <v>0</v>
      </c>
      <c r="T50" s="15">
        <v>0</v>
      </c>
      <c r="U50" s="15">
        <v>0</v>
      </c>
      <c r="V50" s="15">
        <v>0</v>
      </c>
      <c r="W50" s="15">
        <v>0</v>
      </c>
      <c r="X50" s="15"/>
      <c r="Y50" s="15">
        <v>0</v>
      </c>
      <c r="Z50" s="15">
        <v>0</v>
      </c>
      <c r="AA50" s="15">
        <v>0</v>
      </c>
      <c r="AB50" s="15">
        <v>0</v>
      </c>
      <c r="AC50" s="15">
        <v>0</v>
      </c>
      <c r="AD50" s="15">
        <v>0</v>
      </c>
      <c r="AE50" s="15"/>
      <c r="AF50" s="15">
        <v>0</v>
      </c>
      <c r="AG50" s="15">
        <v>0</v>
      </c>
      <c r="AH50" s="15">
        <v>0</v>
      </c>
      <c r="AI50" s="15">
        <v>0</v>
      </c>
      <c r="AJ50" s="15">
        <v>0</v>
      </c>
      <c r="AK50" s="15">
        <v>0</v>
      </c>
      <c r="AL50" s="15"/>
      <c r="AM50" s="15">
        <v>0</v>
      </c>
      <c r="AN50" s="15">
        <v>0</v>
      </c>
      <c r="AO50" s="15">
        <v>0</v>
      </c>
      <c r="AP50" s="15">
        <v>0</v>
      </c>
      <c r="AQ50" s="15">
        <v>0</v>
      </c>
      <c r="AR50" s="15">
        <v>0</v>
      </c>
      <c r="AS50" s="15">
        <v>0</v>
      </c>
      <c r="AT50" s="15">
        <v>0</v>
      </c>
      <c r="AU50" s="15">
        <v>0</v>
      </c>
      <c r="AV50" s="15">
        <v>0</v>
      </c>
      <c r="AW50" s="15">
        <v>0</v>
      </c>
      <c r="AX50" s="15">
        <v>0</v>
      </c>
      <c r="AY50" s="15">
        <v>0</v>
      </c>
      <c r="AZ50" s="15">
        <v>0</v>
      </c>
      <c r="BA50" s="15">
        <v>0</v>
      </c>
      <c r="BB50" s="15">
        <v>0</v>
      </c>
      <c r="BC50" s="15">
        <v>0</v>
      </c>
      <c r="BD50" s="15">
        <v>0</v>
      </c>
      <c r="BE50" s="15">
        <v>0</v>
      </c>
      <c r="BF50" s="15">
        <v>0</v>
      </c>
      <c r="BG50" s="15">
        <v>0</v>
      </c>
      <c r="BH50" s="15">
        <v>0</v>
      </c>
      <c r="BI50" s="15">
        <v>0</v>
      </c>
      <c r="BJ50" s="15">
        <v>0</v>
      </c>
      <c r="BK50" s="15">
        <v>0</v>
      </c>
      <c r="BL50" s="15">
        <v>0</v>
      </c>
      <c r="BM50" s="15">
        <v>0</v>
      </c>
      <c r="BN50" s="15">
        <v>0</v>
      </c>
      <c r="BO50" s="15">
        <v>0</v>
      </c>
      <c r="BP50" s="15">
        <v>0</v>
      </c>
      <c r="BQ50" s="15">
        <v>0</v>
      </c>
      <c r="BR50" s="15">
        <v>0</v>
      </c>
      <c r="BS50" s="15">
        <v>0</v>
      </c>
      <c r="BT50" s="15">
        <v>0</v>
      </c>
      <c r="BU50" s="15">
        <v>0</v>
      </c>
      <c r="BV50" s="15">
        <v>0</v>
      </c>
      <c r="BW50" s="15">
        <v>0</v>
      </c>
      <c r="BX50" s="15">
        <v>0</v>
      </c>
      <c r="BY50" s="15">
        <v>0</v>
      </c>
      <c r="BZ50" s="15">
        <v>0</v>
      </c>
      <c r="CA50" s="15">
        <v>0</v>
      </c>
      <c r="CB50" s="15">
        <v>0</v>
      </c>
      <c r="CC50" s="15">
        <v>0</v>
      </c>
      <c r="CD50" s="15">
        <v>0</v>
      </c>
      <c r="CE50" s="15">
        <v>0</v>
      </c>
      <c r="CF50" s="15">
        <v>0</v>
      </c>
      <c r="CG50" s="15">
        <v>0</v>
      </c>
      <c r="CH50" s="15">
        <v>0</v>
      </c>
      <c r="CI50" s="15">
        <v>0</v>
      </c>
      <c r="CJ50" s="15">
        <v>0</v>
      </c>
      <c r="CK50" s="15">
        <v>0</v>
      </c>
      <c r="CL50" s="15">
        <v>0</v>
      </c>
      <c r="CM50" s="15">
        <v>0</v>
      </c>
      <c r="CN50" s="15">
        <v>0</v>
      </c>
      <c r="CO50" s="15">
        <v>0</v>
      </c>
      <c r="CP50" s="15">
        <v>0</v>
      </c>
      <c r="CQ50" s="15">
        <v>0</v>
      </c>
      <c r="CR50" s="15">
        <v>0</v>
      </c>
      <c r="CS50" s="15">
        <v>0</v>
      </c>
      <c r="CT50" s="15">
        <v>0</v>
      </c>
      <c r="CU50" s="15">
        <v>0</v>
      </c>
      <c r="CV50" s="15">
        <v>0</v>
      </c>
      <c r="CW50" s="15">
        <v>0</v>
      </c>
      <c r="CX50" s="15">
        <v>0</v>
      </c>
      <c r="CY50" s="15">
        <v>0</v>
      </c>
      <c r="CZ50" s="15">
        <v>0</v>
      </c>
      <c r="DA50" s="15">
        <v>0</v>
      </c>
      <c r="DB50" s="15">
        <v>0</v>
      </c>
      <c r="DC50" s="15">
        <v>0</v>
      </c>
      <c r="DD50" s="15">
        <v>0</v>
      </c>
      <c r="DE50" s="15">
        <v>0</v>
      </c>
      <c r="DF50" s="15">
        <v>0</v>
      </c>
      <c r="DG50" s="15">
        <v>0</v>
      </c>
      <c r="DH50" s="15">
        <v>0</v>
      </c>
      <c r="DI50" s="15">
        <v>0</v>
      </c>
      <c r="DJ50" s="15">
        <v>0</v>
      </c>
      <c r="DK50" s="15">
        <v>0</v>
      </c>
      <c r="DL50" s="15">
        <v>0</v>
      </c>
      <c r="DM50" s="15">
        <v>0</v>
      </c>
      <c r="DN50" s="15">
        <v>0</v>
      </c>
      <c r="DO50" s="15">
        <v>0</v>
      </c>
      <c r="DP50" s="15">
        <v>0</v>
      </c>
      <c r="DQ50" s="15">
        <v>0</v>
      </c>
      <c r="DR50" s="15">
        <v>0</v>
      </c>
      <c r="DS50" s="15">
        <v>0</v>
      </c>
      <c r="DT50" s="15">
        <v>0</v>
      </c>
      <c r="DU50" s="15">
        <v>0</v>
      </c>
      <c r="DV50" s="15">
        <v>0</v>
      </c>
      <c r="DW50" s="15">
        <v>0</v>
      </c>
      <c r="DX50" s="15">
        <v>0</v>
      </c>
      <c r="DY50" s="15">
        <v>0</v>
      </c>
      <c r="DZ50" s="15">
        <v>0</v>
      </c>
      <c r="EA50" s="15">
        <v>0</v>
      </c>
      <c r="EB50" s="15">
        <v>0</v>
      </c>
      <c r="EC50" s="15">
        <v>0</v>
      </c>
      <c r="ED50" s="15">
        <v>0</v>
      </c>
      <c r="EE50" s="15">
        <v>0</v>
      </c>
      <c r="EF50" s="15">
        <v>0</v>
      </c>
      <c r="EG50" s="15">
        <v>0</v>
      </c>
      <c r="EH50" s="15">
        <v>0</v>
      </c>
      <c r="EI50" s="15">
        <v>0</v>
      </c>
      <c r="EJ50" s="15">
        <v>0</v>
      </c>
      <c r="EK50" s="15">
        <v>0</v>
      </c>
      <c r="EL50" s="15">
        <v>0</v>
      </c>
      <c r="EM50" s="15">
        <v>0</v>
      </c>
      <c r="EN50" s="15">
        <v>0</v>
      </c>
      <c r="EO50" s="15">
        <v>0</v>
      </c>
      <c r="EP50" s="15">
        <v>0</v>
      </c>
      <c r="EQ50" s="15">
        <v>0</v>
      </c>
      <c r="ER50" s="15">
        <v>0</v>
      </c>
      <c r="ES50" s="15">
        <v>0</v>
      </c>
      <c r="ET50" s="15">
        <v>0</v>
      </c>
      <c r="EU50" s="15">
        <v>0</v>
      </c>
      <c r="EV50" s="15">
        <v>0</v>
      </c>
      <c r="EW50" s="15">
        <v>0</v>
      </c>
      <c r="EX50" s="15">
        <v>0</v>
      </c>
      <c r="EY50" s="15">
        <v>0</v>
      </c>
      <c r="EZ50" s="15">
        <v>0</v>
      </c>
      <c r="FA50" s="15">
        <v>0</v>
      </c>
      <c r="FB50" s="15">
        <v>0</v>
      </c>
      <c r="FC50" s="15">
        <v>0</v>
      </c>
      <c r="FD50" s="15"/>
      <c r="FE50" s="15">
        <v>0</v>
      </c>
      <c r="FF50" s="15">
        <v>0</v>
      </c>
      <c r="FG50" s="15">
        <v>0</v>
      </c>
      <c r="FH50" s="15">
        <v>0</v>
      </c>
      <c r="FI50" s="15">
        <v>0</v>
      </c>
      <c r="FJ50" s="15">
        <v>0</v>
      </c>
      <c r="FK50" s="15">
        <v>0</v>
      </c>
      <c r="FL50" s="15">
        <v>0</v>
      </c>
      <c r="FM50" s="15">
        <v>0</v>
      </c>
      <c r="FN50" s="15">
        <v>0</v>
      </c>
      <c r="FO50" s="15">
        <v>0</v>
      </c>
      <c r="FP50" s="15">
        <v>0</v>
      </c>
      <c r="FQ50" s="15">
        <v>0</v>
      </c>
      <c r="FR50" s="15">
        <v>0</v>
      </c>
      <c r="FS50" s="15">
        <v>0</v>
      </c>
      <c r="FT50" s="15">
        <v>0</v>
      </c>
      <c r="FU50" s="15">
        <v>0</v>
      </c>
      <c r="FV50" s="15">
        <v>0</v>
      </c>
      <c r="FW50" s="15">
        <v>0</v>
      </c>
      <c r="FX50" s="15">
        <v>0</v>
      </c>
      <c r="FY50" s="15">
        <v>0</v>
      </c>
      <c r="FZ50" s="15">
        <v>0.2</v>
      </c>
      <c r="GA50" s="15">
        <v>0</v>
      </c>
      <c r="GB50" s="15">
        <v>0</v>
      </c>
      <c r="GC50" s="15">
        <v>0</v>
      </c>
      <c r="GD50" s="15">
        <v>0</v>
      </c>
      <c r="GE50" s="15">
        <v>0</v>
      </c>
      <c r="GF50" s="15">
        <v>0</v>
      </c>
      <c r="GG50" s="15">
        <v>0.2</v>
      </c>
      <c r="GH50" s="15">
        <v>0</v>
      </c>
      <c r="GI50" s="15">
        <v>0</v>
      </c>
      <c r="GJ50" s="15">
        <v>0</v>
      </c>
      <c r="GK50" s="15">
        <v>0</v>
      </c>
      <c r="GL50" s="15">
        <v>0</v>
      </c>
      <c r="GM50" s="15">
        <v>0</v>
      </c>
      <c r="GN50" s="15">
        <v>0.2</v>
      </c>
      <c r="GO50" s="15">
        <v>0</v>
      </c>
      <c r="GP50" s="15">
        <v>0</v>
      </c>
      <c r="GQ50" s="15">
        <v>0</v>
      </c>
      <c r="GR50" s="15">
        <v>0</v>
      </c>
      <c r="GS50" s="15">
        <v>0</v>
      </c>
      <c r="GT50" s="15">
        <v>0</v>
      </c>
      <c r="GU50" s="15">
        <v>0.2</v>
      </c>
      <c r="GV50" s="15">
        <v>0</v>
      </c>
      <c r="GW50" s="15">
        <v>0</v>
      </c>
      <c r="GX50" s="15">
        <v>0</v>
      </c>
      <c r="GY50" s="15">
        <v>0</v>
      </c>
      <c r="GZ50" s="15">
        <v>0</v>
      </c>
      <c r="HA50" s="15">
        <v>0</v>
      </c>
      <c r="HB50" s="15">
        <v>0.2</v>
      </c>
      <c r="HC50" s="15">
        <v>0</v>
      </c>
      <c r="HD50" s="15">
        <v>0</v>
      </c>
      <c r="HE50" s="15">
        <v>0</v>
      </c>
      <c r="HF50" s="15">
        <v>0</v>
      </c>
      <c r="HG50" s="15">
        <v>0</v>
      </c>
      <c r="HH50" s="15">
        <v>0</v>
      </c>
      <c r="HI50" s="15">
        <v>0.2</v>
      </c>
      <c r="HJ50" s="15">
        <v>0</v>
      </c>
      <c r="HK50" s="15">
        <v>0</v>
      </c>
      <c r="HL50" s="15">
        <v>0</v>
      </c>
      <c r="HM50" s="15">
        <v>0</v>
      </c>
      <c r="HN50" s="15">
        <v>0</v>
      </c>
      <c r="HO50" s="15">
        <v>0</v>
      </c>
      <c r="HP50" s="15">
        <v>0.2</v>
      </c>
      <c r="HQ50" s="15">
        <v>0</v>
      </c>
      <c r="HR50" s="15">
        <v>0</v>
      </c>
      <c r="HS50" s="15">
        <v>0</v>
      </c>
      <c r="HT50" s="15">
        <v>0</v>
      </c>
      <c r="HU50" s="15">
        <v>0</v>
      </c>
      <c r="HV50" s="15">
        <v>0</v>
      </c>
      <c r="HW50" s="15">
        <v>0.2</v>
      </c>
      <c r="HX50" s="15">
        <v>0.2</v>
      </c>
      <c r="HY50" s="15">
        <v>0.2</v>
      </c>
      <c r="HZ50" s="15">
        <v>0.2</v>
      </c>
      <c r="IA50" s="15">
        <v>0.2</v>
      </c>
      <c r="IB50" s="15"/>
      <c r="IC50" s="15">
        <v>0</v>
      </c>
      <c r="ID50" s="15">
        <v>0</v>
      </c>
      <c r="IE50" s="15">
        <v>0</v>
      </c>
      <c r="IF50" s="15">
        <v>0</v>
      </c>
      <c r="IG50" s="15">
        <v>0</v>
      </c>
      <c r="IH50" s="15">
        <v>0</v>
      </c>
      <c r="II50" s="15">
        <v>0</v>
      </c>
      <c r="IJ50" s="15">
        <v>0</v>
      </c>
      <c r="IK50" s="15"/>
      <c r="IL50" s="15">
        <v>0</v>
      </c>
      <c r="IM50" s="15">
        <v>0</v>
      </c>
      <c r="IN50" s="15">
        <v>0</v>
      </c>
      <c r="IO50" s="15">
        <v>0</v>
      </c>
      <c r="IP50" s="15">
        <v>0</v>
      </c>
      <c r="IQ50" s="15">
        <v>0</v>
      </c>
      <c r="IR50" s="15">
        <v>0</v>
      </c>
      <c r="IS50" s="20">
        <v>0.4</v>
      </c>
      <c r="IT50" s="20">
        <v>0</v>
      </c>
      <c r="IU50" s="20">
        <v>0</v>
      </c>
      <c r="IV50" s="20">
        <v>0</v>
      </c>
      <c r="IW50" s="20">
        <v>0</v>
      </c>
      <c r="IX50" s="20">
        <v>0</v>
      </c>
      <c r="IY50" s="20">
        <v>0</v>
      </c>
      <c r="IZ50" s="20">
        <v>0</v>
      </c>
      <c r="JA50" s="20">
        <v>0</v>
      </c>
      <c r="JB50" s="20">
        <v>0</v>
      </c>
      <c r="JC50" s="20">
        <v>0</v>
      </c>
      <c r="JD50" s="20">
        <v>0</v>
      </c>
      <c r="JE50" s="20">
        <v>0</v>
      </c>
      <c r="JF50" s="20">
        <v>0</v>
      </c>
      <c r="JG50" s="20">
        <v>0</v>
      </c>
      <c r="JH50" s="15">
        <v>0</v>
      </c>
      <c r="JI50" s="15">
        <v>0</v>
      </c>
      <c r="JJ50" s="15">
        <v>0</v>
      </c>
      <c r="JK50" s="15">
        <v>0</v>
      </c>
      <c r="JL50" s="15">
        <v>0</v>
      </c>
      <c r="JM50" s="15">
        <v>0</v>
      </c>
      <c r="JN50" s="15">
        <v>0</v>
      </c>
      <c r="JO50" s="15">
        <v>0</v>
      </c>
      <c r="JP50" s="15">
        <v>0</v>
      </c>
      <c r="JQ50" s="15">
        <v>0</v>
      </c>
      <c r="JR50" s="15">
        <v>0</v>
      </c>
      <c r="JS50" s="15">
        <v>0</v>
      </c>
      <c r="JT50" s="15">
        <v>0</v>
      </c>
      <c r="JU50" s="15">
        <v>0</v>
      </c>
      <c r="JV50" s="15">
        <v>0</v>
      </c>
      <c r="JW50" s="15">
        <v>0</v>
      </c>
      <c r="JX50" s="15">
        <v>0</v>
      </c>
      <c r="JY50" s="15">
        <v>0</v>
      </c>
      <c r="JZ50" s="15">
        <v>0</v>
      </c>
      <c r="KA50" s="15">
        <v>0</v>
      </c>
      <c r="KB50" s="15">
        <v>0</v>
      </c>
      <c r="KC50" s="15">
        <v>0</v>
      </c>
      <c r="KD50" s="15">
        <v>0</v>
      </c>
      <c r="KE50" s="15">
        <v>0</v>
      </c>
      <c r="KF50" s="15">
        <v>0</v>
      </c>
      <c r="KG50" s="15">
        <v>0</v>
      </c>
      <c r="KH50" s="15">
        <v>0</v>
      </c>
      <c r="KI50" s="15">
        <v>0</v>
      </c>
      <c r="KJ50" s="15">
        <v>0</v>
      </c>
      <c r="KK50" s="15">
        <v>0</v>
      </c>
      <c r="KL50" s="15">
        <v>0</v>
      </c>
      <c r="KM50" s="15">
        <v>0</v>
      </c>
      <c r="KN50" s="15">
        <v>0</v>
      </c>
      <c r="KO50" s="15">
        <v>0</v>
      </c>
      <c r="KP50" s="15">
        <v>0</v>
      </c>
      <c r="KQ50" s="15">
        <v>0</v>
      </c>
      <c r="KR50" s="15">
        <v>0</v>
      </c>
      <c r="KS50" s="15">
        <v>0</v>
      </c>
      <c r="KT50" s="15">
        <v>0</v>
      </c>
      <c r="KU50" s="15">
        <v>0</v>
      </c>
      <c r="KV50" s="15">
        <v>0</v>
      </c>
      <c r="KW50" s="15">
        <v>0</v>
      </c>
      <c r="KX50" s="15">
        <v>0</v>
      </c>
      <c r="KY50" s="15">
        <v>0</v>
      </c>
      <c r="KZ50" s="15">
        <v>0</v>
      </c>
      <c r="LA50" s="15">
        <v>0</v>
      </c>
      <c r="LB50" s="15">
        <v>0</v>
      </c>
      <c r="LC50" s="15">
        <v>0</v>
      </c>
      <c r="LD50" s="15">
        <v>0</v>
      </c>
      <c r="LE50" s="15">
        <v>0</v>
      </c>
      <c r="LF50" s="15">
        <v>0</v>
      </c>
      <c r="LG50" s="15">
        <v>0</v>
      </c>
      <c r="LH50" s="15">
        <v>0</v>
      </c>
      <c r="LI50" s="15">
        <v>0</v>
      </c>
      <c r="LJ50" s="15">
        <v>0</v>
      </c>
      <c r="LK50" s="15">
        <v>0</v>
      </c>
      <c r="LL50" s="15">
        <v>0</v>
      </c>
      <c r="LM50" s="15">
        <v>0</v>
      </c>
      <c r="LN50" s="15">
        <v>0</v>
      </c>
      <c r="LO50" s="15">
        <v>0</v>
      </c>
      <c r="LP50" s="15">
        <v>0</v>
      </c>
      <c r="LQ50" s="15">
        <v>0</v>
      </c>
      <c r="LR50" s="15">
        <v>0</v>
      </c>
      <c r="LS50" s="15">
        <v>0</v>
      </c>
      <c r="LT50" s="15">
        <v>0</v>
      </c>
      <c r="LU50" s="15">
        <v>0</v>
      </c>
      <c r="LV50" s="15">
        <v>0</v>
      </c>
      <c r="LW50" s="15">
        <v>0</v>
      </c>
      <c r="LX50" s="15">
        <v>0</v>
      </c>
      <c r="LY50" s="15">
        <v>0</v>
      </c>
      <c r="LZ50" s="15">
        <v>0</v>
      </c>
      <c r="MA50" s="15">
        <v>0</v>
      </c>
      <c r="MB50" s="15">
        <v>0</v>
      </c>
      <c r="MC50" s="15">
        <v>0</v>
      </c>
      <c r="MD50" s="15">
        <v>0</v>
      </c>
      <c r="ME50" s="15">
        <v>0</v>
      </c>
      <c r="MF50" s="15">
        <v>0</v>
      </c>
      <c r="MG50" s="15">
        <v>0</v>
      </c>
      <c r="MH50" s="15">
        <v>0</v>
      </c>
      <c r="MI50" s="15">
        <v>0</v>
      </c>
      <c r="MJ50" s="15">
        <v>0</v>
      </c>
      <c r="MK50" s="15">
        <v>0</v>
      </c>
      <c r="ML50" s="15">
        <v>0</v>
      </c>
      <c r="MM50" s="15">
        <v>0</v>
      </c>
      <c r="MN50" s="15">
        <v>0</v>
      </c>
      <c r="MO50" s="15">
        <v>0</v>
      </c>
      <c r="MP50" s="15">
        <v>0</v>
      </c>
      <c r="MQ50" s="15">
        <v>0</v>
      </c>
      <c r="MR50" s="15">
        <v>0</v>
      </c>
      <c r="MS50" s="15">
        <v>0</v>
      </c>
      <c r="MT50" s="15">
        <v>0</v>
      </c>
      <c r="MU50" s="15">
        <v>0</v>
      </c>
      <c r="MV50" s="15">
        <v>0</v>
      </c>
      <c r="MW50" s="15">
        <v>0</v>
      </c>
      <c r="MX50" s="15">
        <v>0</v>
      </c>
      <c r="MY50" s="15">
        <v>0</v>
      </c>
      <c r="MZ50" s="15">
        <v>0</v>
      </c>
      <c r="NA50" s="15">
        <v>0</v>
      </c>
      <c r="NB50" s="15">
        <v>0</v>
      </c>
      <c r="NC50" s="15">
        <v>0</v>
      </c>
      <c r="ND50" s="15">
        <v>0</v>
      </c>
      <c r="NE50" s="15">
        <v>0</v>
      </c>
      <c r="NF50" s="15">
        <v>0</v>
      </c>
      <c r="NG50" s="15">
        <v>0</v>
      </c>
      <c r="NH50" s="15">
        <v>0</v>
      </c>
      <c r="NI50" s="15">
        <v>0</v>
      </c>
      <c r="NJ50" s="15">
        <v>0</v>
      </c>
      <c r="NK50" s="15">
        <v>0</v>
      </c>
      <c r="NL50" s="15">
        <v>0</v>
      </c>
      <c r="NM50" s="15">
        <v>0</v>
      </c>
      <c r="NN50" s="15">
        <v>0</v>
      </c>
      <c r="NO50" s="20">
        <v>0</v>
      </c>
      <c r="NP50" s="15">
        <v>0</v>
      </c>
      <c r="NQ50" s="15">
        <v>0</v>
      </c>
      <c r="NR50" s="15">
        <v>0</v>
      </c>
      <c r="NS50" s="15">
        <v>0</v>
      </c>
      <c r="NT50" s="15">
        <v>0</v>
      </c>
      <c r="NU50" s="15">
        <v>0</v>
      </c>
      <c r="NV50" s="15">
        <v>0</v>
      </c>
      <c r="NW50" s="15">
        <v>0</v>
      </c>
      <c r="NX50" s="15">
        <v>25</v>
      </c>
      <c r="NY50" s="15">
        <v>0</v>
      </c>
      <c r="NZ50" s="15">
        <v>0</v>
      </c>
      <c r="OA50" s="15">
        <v>0</v>
      </c>
      <c r="OB50" s="15">
        <v>0</v>
      </c>
      <c r="OC50" s="15">
        <v>-25</v>
      </c>
      <c r="OD50" s="15">
        <v>0</v>
      </c>
      <c r="OE50" s="15">
        <v>0</v>
      </c>
      <c r="OF50" s="15">
        <v>0</v>
      </c>
      <c r="OG50" s="15">
        <v>0</v>
      </c>
      <c r="OH50" s="15">
        <v>0</v>
      </c>
      <c r="OI50" s="15">
        <v>0</v>
      </c>
      <c r="OJ50" s="15">
        <v>0</v>
      </c>
      <c r="OK50" s="15">
        <v>0</v>
      </c>
      <c r="OL50" s="15">
        <v>0</v>
      </c>
      <c r="OM50" s="15">
        <v>0</v>
      </c>
      <c r="ON50" s="15">
        <v>0</v>
      </c>
      <c r="OO50" s="15">
        <v>0</v>
      </c>
      <c r="OP50" s="15">
        <v>0</v>
      </c>
      <c r="OQ50" s="15">
        <v>0</v>
      </c>
      <c r="OR50" s="15">
        <v>0</v>
      </c>
      <c r="OS50" s="15">
        <v>0</v>
      </c>
      <c r="OT50" s="15">
        <v>0</v>
      </c>
      <c r="OU50" s="15">
        <v>0</v>
      </c>
      <c r="OV50" s="15">
        <v>0</v>
      </c>
      <c r="OW50" s="15">
        <v>0</v>
      </c>
      <c r="OX50" s="15">
        <v>0</v>
      </c>
      <c r="OY50" s="15">
        <v>0</v>
      </c>
      <c r="OZ50" s="15">
        <v>0</v>
      </c>
      <c r="PA50" s="15">
        <v>0</v>
      </c>
      <c r="PB50" s="15">
        <v>0</v>
      </c>
      <c r="PC50" s="15">
        <v>0</v>
      </c>
      <c r="PD50" s="15">
        <v>0</v>
      </c>
      <c r="PE50" s="15">
        <v>0</v>
      </c>
      <c r="PF50" s="15">
        <v>0</v>
      </c>
      <c r="PG50" s="15">
        <v>0</v>
      </c>
      <c r="PH50" s="15">
        <v>5</v>
      </c>
      <c r="PI50" s="15">
        <v>0</v>
      </c>
      <c r="PJ50" s="15">
        <v>0</v>
      </c>
      <c r="PK50" s="15">
        <v>0</v>
      </c>
      <c r="PL50" s="15">
        <v>0</v>
      </c>
      <c r="PM50" s="15">
        <v>0</v>
      </c>
      <c r="PN50" s="15">
        <v>0</v>
      </c>
      <c r="PO50" s="15">
        <v>0</v>
      </c>
      <c r="PP50" s="15">
        <v>0</v>
      </c>
      <c r="PQ50" s="15">
        <v>0</v>
      </c>
      <c r="PR50" s="15">
        <v>10</v>
      </c>
      <c r="PS50" s="15">
        <v>0</v>
      </c>
      <c r="PT50" s="15">
        <v>0</v>
      </c>
      <c r="PU50" s="15">
        <v>0</v>
      </c>
      <c r="PV50" s="15">
        <v>0</v>
      </c>
      <c r="PW50" s="20">
        <v>0</v>
      </c>
      <c r="PX50" s="20">
        <v>10</v>
      </c>
      <c r="PY50" s="20">
        <v>0</v>
      </c>
      <c r="PZ50" s="15">
        <v>0</v>
      </c>
      <c r="QA50" s="20">
        <v>0</v>
      </c>
      <c r="QB50" s="20">
        <v>0</v>
      </c>
      <c r="QC50" s="20">
        <v>0</v>
      </c>
      <c r="QD50" s="15">
        <v>0</v>
      </c>
      <c r="QE50" s="15">
        <v>0</v>
      </c>
      <c r="QF50" s="15">
        <v>0</v>
      </c>
      <c r="QG50" s="15">
        <v>0</v>
      </c>
      <c r="QH50" s="15">
        <v>0</v>
      </c>
      <c r="QI50" s="15">
        <v>0</v>
      </c>
      <c r="QJ50" s="15">
        <v>0</v>
      </c>
      <c r="QK50" s="15">
        <v>0</v>
      </c>
      <c r="QL50" s="15">
        <v>0</v>
      </c>
      <c r="QM50" s="15">
        <v>0</v>
      </c>
      <c r="QN50" s="15">
        <v>0</v>
      </c>
      <c r="QO50" s="15">
        <v>0</v>
      </c>
      <c r="QP50" s="15">
        <v>0</v>
      </c>
      <c r="QQ50" s="15">
        <v>0</v>
      </c>
      <c r="QR50" s="15">
        <v>0</v>
      </c>
      <c r="QS50" s="15">
        <v>0</v>
      </c>
      <c r="QT50" s="15">
        <v>0</v>
      </c>
      <c r="QU50" s="15">
        <v>0</v>
      </c>
      <c r="QV50" s="15">
        <v>0</v>
      </c>
      <c r="QW50" s="15">
        <v>0</v>
      </c>
      <c r="QX50" s="15">
        <v>0</v>
      </c>
      <c r="QY50" s="15">
        <v>0</v>
      </c>
      <c r="QZ50" s="15">
        <v>0</v>
      </c>
      <c r="RA50" s="15">
        <v>0</v>
      </c>
      <c r="RB50" s="15">
        <v>0</v>
      </c>
      <c r="RC50" s="15">
        <v>0</v>
      </c>
      <c r="RD50" s="15">
        <v>0</v>
      </c>
      <c r="RE50" s="15">
        <v>0</v>
      </c>
      <c r="RF50" s="15">
        <v>0</v>
      </c>
      <c r="RG50" s="15">
        <v>0</v>
      </c>
      <c r="RH50" s="15">
        <v>0</v>
      </c>
      <c r="RI50" s="15">
        <v>0</v>
      </c>
      <c r="RJ50" s="15">
        <v>0</v>
      </c>
      <c r="RK50" s="15">
        <v>0</v>
      </c>
      <c r="RL50" s="15">
        <v>0</v>
      </c>
      <c r="RM50" s="15">
        <v>0</v>
      </c>
      <c r="RN50" s="15">
        <v>0</v>
      </c>
      <c r="RO50" s="15">
        <v>0</v>
      </c>
      <c r="RP50" s="15">
        <v>0</v>
      </c>
      <c r="RQ50" s="15">
        <v>0</v>
      </c>
      <c r="RR50" s="15">
        <v>0</v>
      </c>
      <c r="RS50" s="15"/>
      <c r="RT50" s="15">
        <v>0</v>
      </c>
      <c r="RU50" s="15">
        <v>0</v>
      </c>
      <c r="RV50" s="15">
        <v>0</v>
      </c>
      <c r="RW50" s="15">
        <v>0</v>
      </c>
      <c r="RX50" s="15">
        <v>0</v>
      </c>
      <c r="RY50" s="15">
        <v>0</v>
      </c>
      <c r="RZ50" s="15">
        <v>0</v>
      </c>
      <c r="SA50" s="15">
        <v>0</v>
      </c>
      <c r="SB50" s="15">
        <v>0</v>
      </c>
      <c r="SC50" s="15">
        <v>0</v>
      </c>
      <c r="SD50" s="15">
        <v>0</v>
      </c>
      <c r="SE50" s="15">
        <v>0</v>
      </c>
      <c r="SF50" s="15">
        <v>0</v>
      </c>
      <c r="SG50" s="15">
        <v>0</v>
      </c>
      <c r="SH50" s="15">
        <v>0</v>
      </c>
      <c r="SI50" s="15">
        <v>0</v>
      </c>
      <c r="SJ50" s="15">
        <v>0</v>
      </c>
      <c r="SK50" s="15">
        <v>0</v>
      </c>
      <c r="SL50" s="15">
        <v>0</v>
      </c>
      <c r="SM50" s="15">
        <v>0</v>
      </c>
      <c r="SN50" s="15">
        <v>0</v>
      </c>
      <c r="SO50" s="15">
        <v>0</v>
      </c>
      <c r="SP50" s="15">
        <v>0</v>
      </c>
      <c r="SQ50" s="15">
        <v>0</v>
      </c>
      <c r="SR50" s="15">
        <v>0</v>
      </c>
      <c r="SS50" s="15">
        <v>0</v>
      </c>
      <c r="ST50" s="15">
        <v>0</v>
      </c>
      <c r="SU50" s="15">
        <v>0</v>
      </c>
      <c r="SV50" s="15">
        <v>0</v>
      </c>
      <c r="SW50" s="15">
        <v>0</v>
      </c>
      <c r="SX50" s="15">
        <v>0</v>
      </c>
      <c r="SY50" s="15">
        <v>0</v>
      </c>
      <c r="SZ50" s="15">
        <v>0</v>
      </c>
      <c r="TA50" s="15">
        <v>0</v>
      </c>
      <c r="TB50" s="15">
        <v>0</v>
      </c>
      <c r="TC50" s="15">
        <v>0</v>
      </c>
      <c r="TD50" s="15">
        <v>0</v>
      </c>
      <c r="TE50" s="15">
        <v>0</v>
      </c>
      <c r="TF50" s="15">
        <v>0</v>
      </c>
      <c r="TG50" s="15">
        <v>0</v>
      </c>
      <c r="TH50" s="15">
        <v>0</v>
      </c>
      <c r="TI50" s="15">
        <v>0</v>
      </c>
      <c r="TJ50" s="15">
        <v>0</v>
      </c>
      <c r="TK50" s="15">
        <v>0</v>
      </c>
      <c r="TL50" s="15">
        <v>0</v>
      </c>
      <c r="TM50" s="15">
        <v>0</v>
      </c>
      <c r="TN50" s="15">
        <v>0</v>
      </c>
      <c r="TO50" s="15">
        <v>0</v>
      </c>
      <c r="TP50" s="15">
        <v>5</v>
      </c>
      <c r="TQ50" s="15">
        <v>0</v>
      </c>
      <c r="TR50" s="15">
        <v>0</v>
      </c>
      <c r="TS50" s="15">
        <v>0</v>
      </c>
      <c r="TT50" s="15">
        <v>0</v>
      </c>
      <c r="TU50" s="15">
        <v>0</v>
      </c>
      <c r="TV50" s="15">
        <v>0</v>
      </c>
      <c r="TW50" s="15">
        <v>0</v>
      </c>
      <c r="TX50" s="15">
        <v>0</v>
      </c>
      <c r="TY50" s="15">
        <v>0</v>
      </c>
      <c r="TZ50" s="15">
        <v>10</v>
      </c>
      <c r="UA50" s="15">
        <v>0</v>
      </c>
      <c r="UB50" s="15">
        <v>0</v>
      </c>
      <c r="UC50" s="15">
        <v>0</v>
      </c>
      <c r="UD50" s="15">
        <v>0</v>
      </c>
      <c r="UE50" s="20">
        <v>0</v>
      </c>
      <c r="UF50" s="20">
        <v>10</v>
      </c>
      <c r="UG50" s="20">
        <v>0</v>
      </c>
      <c r="UH50" s="15">
        <v>0</v>
      </c>
      <c r="UI50" s="20">
        <v>0</v>
      </c>
      <c r="UJ50" s="20">
        <v>0</v>
      </c>
      <c r="UK50" s="20">
        <v>0</v>
      </c>
      <c r="UL50" s="15">
        <v>0</v>
      </c>
      <c r="UM50" s="15">
        <v>0</v>
      </c>
      <c r="UN50" s="15">
        <v>0</v>
      </c>
      <c r="UO50" s="15">
        <v>0</v>
      </c>
      <c r="UP50" s="15">
        <v>0</v>
      </c>
      <c r="UQ50" s="15">
        <v>0</v>
      </c>
      <c r="UR50" s="15">
        <v>0</v>
      </c>
      <c r="US50" s="15">
        <v>0</v>
      </c>
      <c r="UT50" s="15">
        <v>0</v>
      </c>
      <c r="UU50" s="15">
        <v>0</v>
      </c>
      <c r="UV50" s="15">
        <v>0</v>
      </c>
      <c r="UW50" s="15">
        <v>0</v>
      </c>
      <c r="UX50" s="15">
        <v>0</v>
      </c>
      <c r="UY50" s="15">
        <v>0</v>
      </c>
      <c r="UZ50" s="15">
        <v>0</v>
      </c>
      <c r="VA50" s="15">
        <v>0</v>
      </c>
      <c r="VB50" s="15">
        <v>0</v>
      </c>
      <c r="VC50" s="15">
        <v>0</v>
      </c>
      <c r="VD50" s="15">
        <v>0</v>
      </c>
      <c r="VE50" s="15">
        <v>0</v>
      </c>
      <c r="VF50" s="15">
        <v>0</v>
      </c>
      <c r="VG50" s="15">
        <v>0</v>
      </c>
      <c r="VH50" s="15">
        <v>0</v>
      </c>
      <c r="VI50" s="15">
        <v>0</v>
      </c>
      <c r="VJ50" s="15">
        <v>0</v>
      </c>
      <c r="VK50" s="15">
        <v>0</v>
      </c>
      <c r="VL50" s="15">
        <v>0</v>
      </c>
      <c r="VM50" s="15">
        <v>0</v>
      </c>
      <c r="VN50" s="15">
        <v>0</v>
      </c>
      <c r="VO50" s="15">
        <v>0</v>
      </c>
      <c r="VP50" s="15">
        <v>0</v>
      </c>
      <c r="VQ50" s="15">
        <v>0</v>
      </c>
      <c r="VR50" s="15">
        <v>0</v>
      </c>
      <c r="VS50" s="15">
        <v>0</v>
      </c>
      <c r="VT50" s="15">
        <v>0</v>
      </c>
      <c r="VU50" s="15">
        <v>0</v>
      </c>
      <c r="VV50" s="15">
        <v>0</v>
      </c>
      <c r="VW50" s="15">
        <v>0</v>
      </c>
      <c r="VX50" s="15">
        <v>0</v>
      </c>
      <c r="VY50" s="15">
        <v>0</v>
      </c>
      <c r="VZ50" s="15">
        <v>0</v>
      </c>
      <c r="WA50" s="15">
        <v>0</v>
      </c>
      <c r="WB50" s="15">
        <v>0</v>
      </c>
      <c r="WC50" s="15">
        <v>0</v>
      </c>
      <c r="WD50" s="15">
        <v>0</v>
      </c>
      <c r="WE50" s="15">
        <v>0</v>
      </c>
      <c r="WF50" s="15">
        <v>0</v>
      </c>
      <c r="WG50" s="15">
        <v>0</v>
      </c>
      <c r="WH50" s="15">
        <v>0</v>
      </c>
      <c r="WI50" s="15">
        <v>0</v>
      </c>
      <c r="WJ50" s="15">
        <v>0</v>
      </c>
      <c r="WK50" s="15">
        <v>0</v>
      </c>
      <c r="WL50" s="15">
        <v>0</v>
      </c>
      <c r="WM50" s="15">
        <v>0</v>
      </c>
      <c r="WN50" s="15">
        <v>0</v>
      </c>
      <c r="WO50" s="15">
        <v>0</v>
      </c>
      <c r="WP50" s="15">
        <v>0</v>
      </c>
      <c r="WQ50" s="15">
        <v>0</v>
      </c>
      <c r="WR50" s="15">
        <v>0</v>
      </c>
      <c r="WS50" s="15">
        <v>0</v>
      </c>
      <c r="WT50" s="15">
        <v>0</v>
      </c>
      <c r="WU50" s="15">
        <v>0</v>
      </c>
      <c r="WV50" s="15">
        <v>0</v>
      </c>
      <c r="WW50" s="15">
        <v>0</v>
      </c>
      <c r="WX50" s="15">
        <v>0</v>
      </c>
      <c r="WY50" s="15">
        <v>0</v>
      </c>
      <c r="WZ50" s="15">
        <v>0</v>
      </c>
      <c r="XA50" s="15">
        <v>0</v>
      </c>
      <c r="XB50" s="15">
        <v>0</v>
      </c>
      <c r="XC50" s="15">
        <v>0</v>
      </c>
      <c r="XD50" s="15">
        <v>0</v>
      </c>
      <c r="XE50" s="15">
        <v>0</v>
      </c>
      <c r="XF50" s="15">
        <v>0</v>
      </c>
      <c r="XG50" s="15">
        <v>0</v>
      </c>
      <c r="XH50" s="15">
        <v>0</v>
      </c>
      <c r="XI50" s="15">
        <v>0</v>
      </c>
      <c r="XJ50" s="15">
        <v>0</v>
      </c>
      <c r="XK50" s="15">
        <v>0</v>
      </c>
      <c r="XL50" s="15">
        <v>0</v>
      </c>
      <c r="XM50" s="15">
        <v>0</v>
      </c>
      <c r="XN50" s="15">
        <v>0</v>
      </c>
      <c r="XO50" s="15">
        <v>0</v>
      </c>
      <c r="XP50" s="15">
        <v>0</v>
      </c>
      <c r="XQ50" s="15">
        <v>0</v>
      </c>
      <c r="XR50" s="15">
        <v>0</v>
      </c>
      <c r="XS50" s="15">
        <v>0</v>
      </c>
      <c r="XT50" s="15">
        <v>0</v>
      </c>
      <c r="XU50" s="15">
        <v>0</v>
      </c>
      <c r="XV50" s="15">
        <v>0</v>
      </c>
      <c r="XW50" s="15">
        <v>0</v>
      </c>
      <c r="XX50" s="15">
        <v>0</v>
      </c>
      <c r="XY50" s="15">
        <v>0</v>
      </c>
      <c r="XZ50" s="15">
        <v>0</v>
      </c>
      <c r="YA50" s="15">
        <v>0</v>
      </c>
      <c r="YB50" s="15">
        <v>0</v>
      </c>
      <c r="YC50" s="15">
        <v>0</v>
      </c>
      <c r="YD50" s="15">
        <v>0</v>
      </c>
      <c r="YE50" s="15">
        <v>0</v>
      </c>
      <c r="YF50" s="15">
        <v>0</v>
      </c>
      <c r="YG50" s="15">
        <v>0</v>
      </c>
      <c r="YH50" s="15">
        <v>0</v>
      </c>
      <c r="YI50" s="15">
        <v>0</v>
      </c>
      <c r="YJ50" s="15">
        <v>0</v>
      </c>
      <c r="YK50" s="15">
        <v>0</v>
      </c>
      <c r="YL50" s="15">
        <v>0</v>
      </c>
      <c r="YM50" s="15">
        <v>0</v>
      </c>
      <c r="YN50" s="15">
        <v>0</v>
      </c>
      <c r="YO50" s="15">
        <v>0</v>
      </c>
      <c r="YP50" s="15">
        <v>0</v>
      </c>
      <c r="YQ50" s="15">
        <v>0</v>
      </c>
      <c r="YR50" s="15">
        <v>0</v>
      </c>
      <c r="YS50" s="15">
        <v>0</v>
      </c>
      <c r="YT50" s="15">
        <v>0</v>
      </c>
      <c r="YU50" s="15">
        <v>0</v>
      </c>
      <c r="YV50" s="15">
        <v>0</v>
      </c>
      <c r="YW50" s="15">
        <v>0</v>
      </c>
      <c r="YX50" s="15">
        <v>0</v>
      </c>
      <c r="YY50" s="15">
        <v>0</v>
      </c>
      <c r="YZ50" s="15">
        <v>0</v>
      </c>
      <c r="ZA50" s="15">
        <v>0</v>
      </c>
      <c r="ZB50" s="15">
        <v>0</v>
      </c>
      <c r="ZC50" s="15">
        <v>0</v>
      </c>
      <c r="ZD50" s="15">
        <v>0</v>
      </c>
      <c r="ZE50" s="15">
        <v>0</v>
      </c>
      <c r="ZF50" s="15">
        <v>0</v>
      </c>
      <c r="ZG50" s="15">
        <v>0</v>
      </c>
      <c r="ZH50" s="15">
        <v>0</v>
      </c>
      <c r="ZI50" s="15">
        <v>0</v>
      </c>
      <c r="ZJ50" s="15">
        <v>0</v>
      </c>
      <c r="ZK50" s="15">
        <v>0</v>
      </c>
      <c r="ZL50" s="15">
        <v>0</v>
      </c>
      <c r="ZM50" s="15">
        <v>0</v>
      </c>
      <c r="ZN50" s="15">
        <v>0</v>
      </c>
      <c r="ZO50" s="15">
        <v>0</v>
      </c>
      <c r="ZP50" s="15">
        <v>0</v>
      </c>
      <c r="ZQ50" s="15">
        <v>0</v>
      </c>
      <c r="ZR50" s="15">
        <v>0</v>
      </c>
      <c r="ZS50" s="15">
        <v>0</v>
      </c>
      <c r="ZT50" s="15">
        <v>0</v>
      </c>
      <c r="ZU50" s="15">
        <v>0</v>
      </c>
      <c r="ZV50" s="15">
        <v>0</v>
      </c>
      <c r="ZW50" s="15">
        <v>0</v>
      </c>
      <c r="ZX50" s="15">
        <v>0</v>
      </c>
      <c r="ZY50" s="15">
        <v>0</v>
      </c>
      <c r="ZZ50" s="15">
        <v>0</v>
      </c>
      <c r="AAA50" s="15">
        <v>0</v>
      </c>
      <c r="AAB50" s="15">
        <v>0</v>
      </c>
      <c r="AAC50" s="15">
        <v>0</v>
      </c>
      <c r="AAD50" s="15">
        <v>0</v>
      </c>
      <c r="AAE50" s="15">
        <v>0</v>
      </c>
      <c r="AAF50" s="15">
        <v>0</v>
      </c>
      <c r="AAG50" s="15">
        <v>0</v>
      </c>
      <c r="AAH50" s="15">
        <v>0</v>
      </c>
      <c r="AAI50" s="15">
        <v>0</v>
      </c>
      <c r="AAJ50" s="15">
        <v>0</v>
      </c>
      <c r="AAK50" s="15">
        <v>0</v>
      </c>
      <c r="AAL50" s="15"/>
      <c r="AAM50" s="15">
        <v>0</v>
      </c>
      <c r="AAN50" s="15">
        <v>0</v>
      </c>
      <c r="AAO50" s="15">
        <v>0</v>
      </c>
      <c r="AAP50" s="15">
        <v>0</v>
      </c>
      <c r="AAQ50" s="15">
        <v>0</v>
      </c>
      <c r="AAR50" s="15">
        <v>0</v>
      </c>
      <c r="AAS50" s="15">
        <v>0</v>
      </c>
      <c r="AAT50" s="15">
        <v>0</v>
      </c>
      <c r="AAU50" s="15">
        <v>0</v>
      </c>
      <c r="AAV50" s="15">
        <v>0</v>
      </c>
      <c r="AAW50" s="15">
        <v>0</v>
      </c>
      <c r="AAX50" s="15"/>
      <c r="AAY50" s="15">
        <v>0</v>
      </c>
      <c r="AAZ50" s="15">
        <v>0</v>
      </c>
      <c r="ABA50" s="15">
        <v>0</v>
      </c>
      <c r="ABB50" s="15">
        <v>0</v>
      </c>
      <c r="ABC50" s="15">
        <v>0</v>
      </c>
      <c r="ABD50" s="15">
        <v>0</v>
      </c>
      <c r="ABE50" s="15">
        <v>0</v>
      </c>
      <c r="ABF50" s="15">
        <v>0</v>
      </c>
      <c r="ABG50" s="15">
        <v>0</v>
      </c>
      <c r="ABH50" s="15">
        <v>0</v>
      </c>
      <c r="ABI50" s="15">
        <v>0</v>
      </c>
      <c r="ABJ50" s="15">
        <v>0</v>
      </c>
      <c r="ABK50" s="15">
        <v>0</v>
      </c>
      <c r="ABL50" s="15">
        <v>0</v>
      </c>
      <c r="ABM50" s="15">
        <v>0</v>
      </c>
      <c r="ABN50" s="15">
        <v>0</v>
      </c>
      <c r="ABO50" s="15">
        <v>0</v>
      </c>
      <c r="ABP50" s="15">
        <v>0</v>
      </c>
      <c r="ABQ50" s="15">
        <v>0</v>
      </c>
      <c r="ABR50" s="15">
        <v>0</v>
      </c>
      <c r="ABS50" s="15">
        <v>0</v>
      </c>
      <c r="ABT50" s="15">
        <v>0</v>
      </c>
      <c r="ABU50" s="15">
        <v>0</v>
      </c>
      <c r="ABV50" s="15">
        <v>0</v>
      </c>
      <c r="ABW50" s="15">
        <v>0</v>
      </c>
      <c r="ABX50" s="15">
        <v>0</v>
      </c>
      <c r="ABY50" s="15">
        <v>0</v>
      </c>
      <c r="ABZ50" s="15">
        <v>0</v>
      </c>
      <c r="ACA50" s="15">
        <v>0</v>
      </c>
      <c r="ACB50" s="15">
        <v>0</v>
      </c>
      <c r="ACC50" s="15">
        <v>0</v>
      </c>
      <c r="ACD50" s="15">
        <v>0</v>
      </c>
      <c r="ACE50" s="15">
        <v>0</v>
      </c>
      <c r="ACF50" s="15">
        <v>0</v>
      </c>
      <c r="ACG50" s="15">
        <v>0</v>
      </c>
      <c r="ACH50" s="15">
        <v>0</v>
      </c>
      <c r="ACI50" s="15">
        <v>0</v>
      </c>
      <c r="ACJ50" s="15">
        <v>0</v>
      </c>
      <c r="ACK50" s="15">
        <v>0</v>
      </c>
      <c r="ACL50" s="15">
        <v>0</v>
      </c>
      <c r="ACM50" s="15">
        <v>0</v>
      </c>
      <c r="ACN50" s="15">
        <v>0</v>
      </c>
      <c r="ACO50" s="15">
        <v>0</v>
      </c>
      <c r="ACP50" s="15">
        <v>0</v>
      </c>
      <c r="ACQ50" s="15">
        <v>0</v>
      </c>
      <c r="ACR50" s="15">
        <v>0</v>
      </c>
      <c r="ACS50" s="15">
        <v>0</v>
      </c>
      <c r="ACT50" s="15">
        <v>0</v>
      </c>
      <c r="ACU50" s="15">
        <v>0</v>
      </c>
      <c r="ACV50" s="15">
        <v>0</v>
      </c>
      <c r="ACW50" s="15">
        <v>0</v>
      </c>
      <c r="ACX50" s="15">
        <v>0</v>
      </c>
      <c r="ACY50" s="15">
        <v>0</v>
      </c>
      <c r="ACZ50" s="15">
        <v>0</v>
      </c>
      <c r="ADA50" s="15">
        <v>0</v>
      </c>
      <c r="ADB50" s="15">
        <v>0</v>
      </c>
      <c r="ADC50" s="15">
        <v>0</v>
      </c>
      <c r="ADD50" s="15">
        <v>0</v>
      </c>
      <c r="ADE50" s="15">
        <v>0</v>
      </c>
      <c r="ADF50" s="15">
        <v>0</v>
      </c>
      <c r="ADG50" s="15">
        <v>0</v>
      </c>
      <c r="ADH50" s="15"/>
      <c r="ADI50" s="15">
        <v>0</v>
      </c>
      <c r="ADJ50" s="15">
        <v>0</v>
      </c>
      <c r="ADK50" s="15">
        <v>0</v>
      </c>
      <c r="ADL50" s="15">
        <v>0</v>
      </c>
      <c r="ADM50" s="15">
        <v>0</v>
      </c>
      <c r="ADN50" s="15">
        <v>0</v>
      </c>
      <c r="ADO50" s="15">
        <v>0</v>
      </c>
      <c r="ADP50" s="15">
        <v>0</v>
      </c>
      <c r="ADQ50" s="15">
        <v>0</v>
      </c>
      <c r="ADR50" s="15">
        <v>0</v>
      </c>
      <c r="ADS50" s="15">
        <v>0</v>
      </c>
      <c r="ADT50" s="15">
        <v>0</v>
      </c>
      <c r="ADU50" s="15">
        <v>0</v>
      </c>
      <c r="ADV50" s="15">
        <v>0</v>
      </c>
      <c r="ADW50" s="15">
        <v>0</v>
      </c>
      <c r="ADX50" s="15">
        <v>0</v>
      </c>
      <c r="ADY50" s="15">
        <v>0</v>
      </c>
      <c r="ADZ50" s="15">
        <v>0</v>
      </c>
      <c r="AEA50" s="15">
        <v>0</v>
      </c>
      <c r="AEB50" s="15">
        <v>0</v>
      </c>
      <c r="AEC50" s="15">
        <v>0</v>
      </c>
      <c r="AED50" s="15">
        <v>0</v>
      </c>
      <c r="AEE50" s="15">
        <v>0</v>
      </c>
      <c r="AEF50" s="15">
        <v>0</v>
      </c>
      <c r="AEG50" s="15">
        <v>0</v>
      </c>
      <c r="AEH50" s="15">
        <v>0</v>
      </c>
      <c r="AEI50" s="15">
        <v>0</v>
      </c>
      <c r="AEJ50" s="15">
        <v>0</v>
      </c>
      <c r="AEK50" s="15">
        <v>0</v>
      </c>
      <c r="AEL50" s="15">
        <v>0</v>
      </c>
      <c r="AEM50" s="15">
        <v>0</v>
      </c>
      <c r="AEN50" s="15">
        <v>0</v>
      </c>
      <c r="AEO50" s="15">
        <v>0</v>
      </c>
      <c r="AEP50" s="15">
        <v>0</v>
      </c>
      <c r="AEQ50" s="15">
        <v>0</v>
      </c>
      <c r="AER50" s="15">
        <v>0</v>
      </c>
      <c r="AES50" s="15">
        <v>0</v>
      </c>
      <c r="AET50" s="15">
        <v>0</v>
      </c>
      <c r="AEU50" s="15">
        <v>0</v>
      </c>
      <c r="AEV50" s="15">
        <v>0</v>
      </c>
      <c r="AEW50" s="15">
        <v>0</v>
      </c>
      <c r="AEX50" s="15">
        <v>0</v>
      </c>
      <c r="AEY50" s="15">
        <v>0</v>
      </c>
      <c r="AEZ50" s="15">
        <v>0</v>
      </c>
      <c r="AFA50" s="15">
        <v>0</v>
      </c>
      <c r="AFB50" s="15">
        <v>0</v>
      </c>
      <c r="AFC50" s="15">
        <v>0</v>
      </c>
      <c r="AFD50" s="15">
        <v>0</v>
      </c>
      <c r="AFE50" s="15">
        <v>0</v>
      </c>
      <c r="AFF50" s="15">
        <v>0</v>
      </c>
      <c r="AFG50" s="15">
        <v>0</v>
      </c>
      <c r="AFH50" s="15">
        <v>0</v>
      </c>
      <c r="AFI50" s="15">
        <v>0</v>
      </c>
      <c r="AFJ50" s="15">
        <v>0</v>
      </c>
      <c r="AFK50" s="15">
        <v>0</v>
      </c>
      <c r="AFL50" s="15">
        <v>0</v>
      </c>
      <c r="AFM50" s="15">
        <v>0</v>
      </c>
      <c r="AFN50" s="15">
        <v>0</v>
      </c>
      <c r="AFO50" s="15">
        <v>0</v>
      </c>
      <c r="AFP50" s="15">
        <v>0</v>
      </c>
      <c r="AFQ50" s="15">
        <v>0</v>
      </c>
      <c r="AFR50" s="15"/>
      <c r="AFS50" s="15">
        <v>0</v>
      </c>
      <c r="AFT50" s="15">
        <v>0</v>
      </c>
      <c r="AFU50" s="15">
        <v>0</v>
      </c>
      <c r="AFV50" s="15">
        <v>0</v>
      </c>
      <c r="AFW50" s="15">
        <v>0</v>
      </c>
      <c r="AFX50" s="15">
        <v>0</v>
      </c>
      <c r="AFY50" s="15">
        <v>0</v>
      </c>
      <c r="AFZ50" s="15">
        <v>0</v>
      </c>
      <c r="AGA50" s="15">
        <v>0</v>
      </c>
      <c r="AGB50" s="15">
        <v>0</v>
      </c>
      <c r="AGC50" s="15">
        <v>0</v>
      </c>
      <c r="AGD50" s="15">
        <v>0</v>
      </c>
      <c r="AGE50" s="15">
        <v>0</v>
      </c>
      <c r="AGF50" s="15">
        <v>0</v>
      </c>
      <c r="AGG50" s="15">
        <v>0</v>
      </c>
      <c r="AGH50" s="15">
        <v>0</v>
      </c>
      <c r="AGI50" s="15">
        <v>0</v>
      </c>
      <c r="AGJ50" s="15">
        <v>0</v>
      </c>
      <c r="AGK50" s="15">
        <v>0</v>
      </c>
      <c r="AGL50" s="15">
        <v>0</v>
      </c>
      <c r="AGM50" s="15">
        <v>0</v>
      </c>
      <c r="AGN50" s="15">
        <v>0</v>
      </c>
      <c r="AGO50" s="15">
        <v>0</v>
      </c>
      <c r="AGP50" s="15">
        <v>0</v>
      </c>
      <c r="AGQ50" s="15">
        <v>0</v>
      </c>
      <c r="AGR50" s="15">
        <v>0</v>
      </c>
      <c r="AGS50" s="15">
        <v>0</v>
      </c>
      <c r="AGT50" s="15">
        <v>0</v>
      </c>
      <c r="AGU50" s="15">
        <v>0</v>
      </c>
      <c r="AGV50" s="15">
        <v>0</v>
      </c>
      <c r="AGW50" s="15">
        <v>0</v>
      </c>
      <c r="AGX50" s="15">
        <v>0</v>
      </c>
      <c r="AGY50" s="15">
        <v>0</v>
      </c>
      <c r="AGZ50" s="15">
        <v>0</v>
      </c>
      <c r="AHA50" s="15">
        <v>0</v>
      </c>
      <c r="AHB50" s="15">
        <v>0</v>
      </c>
      <c r="AHC50" s="15">
        <v>0</v>
      </c>
      <c r="AHD50" s="15">
        <v>0</v>
      </c>
      <c r="AHE50" s="15">
        <v>0</v>
      </c>
      <c r="AHF50" s="15">
        <v>0</v>
      </c>
      <c r="AHG50" s="15">
        <v>0</v>
      </c>
      <c r="AHH50" s="15">
        <v>0</v>
      </c>
      <c r="AHI50" s="15">
        <v>0</v>
      </c>
      <c r="AHJ50" s="15">
        <v>0</v>
      </c>
      <c r="AHK50" s="15">
        <v>0</v>
      </c>
      <c r="AHL50" s="15">
        <v>0</v>
      </c>
      <c r="AHM50" s="15">
        <v>0</v>
      </c>
      <c r="AHN50" s="15">
        <v>0</v>
      </c>
      <c r="AHO50" s="15">
        <v>0</v>
      </c>
      <c r="AHP50" s="15">
        <v>0</v>
      </c>
      <c r="AHQ50" s="15">
        <v>0</v>
      </c>
      <c r="AHR50" s="15">
        <v>0</v>
      </c>
      <c r="AHS50" s="15">
        <v>0</v>
      </c>
      <c r="AHT50" s="15">
        <v>0</v>
      </c>
      <c r="AHU50" s="15">
        <v>0</v>
      </c>
      <c r="AHV50" s="15">
        <v>0</v>
      </c>
      <c r="AHW50" s="15">
        <v>0</v>
      </c>
      <c r="AHX50" s="15">
        <v>0</v>
      </c>
      <c r="AHY50" s="15">
        <v>0</v>
      </c>
      <c r="AHZ50" s="15">
        <v>0</v>
      </c>
      <c r="AIA50" s="15">
        <v>0</v>
      </c>
      <c r="AIB50" s="15">
        <v>0</v>
      </c>
      <c r="AIC50" s="15">
        <v>0</v>
      </c>
      <c r="AID50" s="15">
        <v>0</v>
      </c>
      <c r="AIE50" s="15">
        <v>0</v>
      </c>
      <c r="AIF50" s="15">
        <v>0</v>
      </c>
      <c r="AIG50" s="15">
        <v>0</v>
      </c>
      <c r="AIH50" s="15">
        <v>0</v>
      </c>
      <c r="AII50" s="15">
        <v>0</v>
      </c>
      <c r="AIJ50" s="15">
        <v>0</v>
      </c>
      <c r="AIK50" s="15">
        <v>0</v>
      </c>
      <c r="AIL50" s="15">
        <v>0</v>
      </c>
      <c r="AIM50" s="15">
        <v>0</v>
      </c>
      <c r="AIN50" s="15">
        <v>0</v>
      </c>
      <c r="AIO50" s="15">
        <v>0</v>
      </c>
      <c r="AIP50" s="15">
        <v>0</v>
      </c>
      <c r="AIQ50" s="15">
        <v>0</v>
      </c>
      <c r="AIR50" s="15">
        <v>0</v>
      </c>
      <c r="AIS50" s="15">
        <v>0</v>
      </c>
      <c r="AIT50" s="15">
        <v>0</v>
      </c>
      <c r="AIU50" s="15">
        <v>0</v>
      </c>
      <c r="AIV50" s="15">
        <v>0</v>
      </c>
      <c r="AIW50" s="15">
        <v>0</v>
      </c>
      <c r="AIX50" s="15">
        <v>0</v>
      </c>
      <c r="AIY50" s="15">
        <v>0</v>
      </c>
      <c r="AIZ50" s="15">
        <v>0</v>
      </c>
      <c r="AJA50" s="15">
        <v>0</v>
      </c>
      <c r="AJB50" s="15">
        <v>0</v>
      </c>
      <c r="AJC50" s="15">
        <v>0</v>
      </c>
      <c r="AJD50" s="15">
        <v>0</v>
      </c>
      <c r="AJE50" s="15">
        <v>0</v>
      </c>
      <c r="AJF50" s="15"/>
      <c r="AJG50" s="15">
        <v>0</v>
      </c>
      <c r="AJH50" s="15">
        <v>0</v>
      </c>
      <c r="AJI50" s="15">
        <v>0</v>
      </c>
      <c r="AJJ50" s="15">
        <v>0</v>
      </c>
      <c r="AJK50" s="15">
        <v>0</v>
      </c>
      <c r="AJL50" s="15">
        <v>0</v>
      </c>
      <c r="AJM50" s="15">
        <v>0</v>
      </c>
      <c r="AJN50" s="15"/>
      <c r="AJO50" s="15">
        <v>0</v>
      </c>
      <c r="AJP50" s="15">
        <v>0</v>
      </c>
      <c r="AJQ50" s="15">
        <v>0</v>
      </c>
      <c r="AJR50" s="15">
        <v>0</v>
      </c>
      <c r="AJS50" s="15">
        <v>0</v>
      </c>
      <c r="AJT50" s="15">
        <v>0</v>
      </c>
      <c r="AJU50" s="15">
        <v>0</v>
      </c>
      <c r="AJV50" s="15">
        <v>0</v>
      </c>
      <c r="AJW50" s="15">
        <v>0</v>
      </c>
      <c r="AJX50" s="15"/>
      <c r="AJY50" s="15">
        <v>0</v>
      </c>
      <c r="AJZ50" s="15">
        <v>0</v>
      </c>
      <c r="AKA50" s="15">
        <v>0</v>
      </c>
      <c r="AKB50" s="15">
        <v>0</v>
      </c>
      <c r="AKC50" s="15">
        <v>0</v>
      </c>
      <c r="AKD50" s="15">
        <v>0</v>
      </c>
      <c r="AKE50" s="15">
        <v>0</v>
      </c>
      <c r="AKF50" s="15">
        <v>0</v>
      </c>
      <c r="AKG50" s="15">
        <v>0</v>
      </c>
      <c r="AKH50" s="15">
        <v>0</v>
      </c>
      <c r="AKI50" s="15"/>
      <c r="AKJ50" s="15">
        <v>0</v>
      </c>
      <c r="AKK50" s="15">
        <v>0</v>
      </c>
      <c r="AKL50" s="15">
        <v>0</v>
      </c>
      <c r="AKM50" s="15">
        <v>0</v>
      </c>
      <c r="AKN50" s="15">
        <v>0</v>
      </c>
      <c r="AKO50" s="15">
        <v>0</v>
      </c>
      <c r="AKP50" s="15">
        <v>0</v>
      </c>
      <c r="AKQ50" s="15">
        <v>0</v>
      </c>
      <c r="AKR50" s="15">
        <v>0</v>
      </c>
      <c r="AKS50" s="15">
        <v>0</v>
      </c>
      <c r="AKT50" s="15">
        <v>0</v>
      </c>
      <c r="AKU50" s="15">
        <v>0</v>
      </c>
      <c r="AKV50" s="15">
        <v>0</v>
      </c>
      <c r="AKW50" s="15">
        <v>0</v>
      </c>
      <c r="AKX50" s="15"/>
      <c r="AKY50" s="15">
        <v>0</v>
      </c>
      <c r="AKZ50" s="15">
        <v>0</v>
      </c>
      <c r="ALA50" s="15">
        <v>0</v>
      </c>
      <c r="ALB50" s="15">
        <v>0</v>
      </c>
      <c r="ALC50" s="15">
        <v>0</v>
      </c>
      <c r="ALD50" s="15">
        <v>0</v>
      </c>
      <c r="ALE50" s="15">
        <v>0</v>
      </c>
      <c r="ALF50" s="15">
        <v>0</v>
      </c>
      <c r="ALG50" s="15">
        <v>0</v>
      </c>
      <c r="ALH50" s="15">
        <v>0</v>
      </c>
      <c r="ALI50" s="15">
        <v>0</v>
      </c>
      <c r="ALJ50" s="15">
        <v>0</v>
      </c>
      <c r="ALK50" s="15">
        <v>0</v>
      </c>
      <c r="ALL50" s="15">
        <v>0</v>
      </c>
      <c r="ALM50" s="15"/>
      <c r="ALN50" s="15">
        <v>0</v>
      </c>
      <c r="ALO50" s="15">
        <v>0</v>
      </c>
      <c r="ALP50" s="15">
        <v>0</v>
      </c>
      <c r="ALQ50" s="15">
        <v>0</v>
      </c>
      <c r="ALR50" s="15">
        <v>0</v>
      </c>
      <c r="ALS50" s="15">
        <v>0</v>
      </c>
      <c r="ALT50" s="15">
        <v>0</v>
      </c>
      <c r="ALU50" s="15">
        <v>0</v>
      </c>
      <c r="ALV50" s="15">
        <v>0</v>
      </c>
      <c r="ALW50" s="15">
        <v>0</v>
      </c>
      <c r="ALX50" s="15">
        <v>0</v>
      </c>
      <c r="ALY50" s="15">
        <v>0</v>
      </c>
      <c r="ALZ50" s="15">
        <v>0</v>
      </c>
      <c r="AMA50" s="15">
        <v>0</v>
      </c>
      <c r="AMB50" s="15">
        <v>0</v>
      </c>
      <c r="AMC50" s="15"/>
      <c r="AMD50" s="15">
        <v>0</v>
      </c>
      <c r="AME50" s="15">
        <v>0</v>
      </c>
      <c r="AMF50" s="15">
        <v>0</v>
      </c>
      <c r="AMG50" s="15">
        <v>0</v>
      </c>
      <c r="AMH50" s="15">
        <v>0</v>
      </c>
      <c r="AMI50" s="15">
        <v>0</v>
      </c>
      <c r="AMJ50" s="15">
        <v>0</v>
      </c>
      <c r="AMK50" s="15">
        <v>0</v>
      </c>
      <c r="AML50" s="15">
        <v>0</v>
      </c>
      <c r="AMM50" s="15">
        <v>0</v>
      </c>
      <c r="AMN50" s="15">
        <v>0</v>
      </c>
      <c r="AMO50" s="15">
        <v>0</v>
      </c>
      <c r="AMP50" s="15">
        <v>0</v>
      </c>
      <c r="AMQ50" s="15">
        <v>0</v>
      </c>
      <c r="AMR50" s="15">
        <v>0</v>
      </c>
      <c r="AMS50" s="15">
        <v>0</v>
      </c>
      <c r="AMT50" s="15">
        <v>0</v>
      </c>
      <c r="AMU50" s="15">
        <v>0</v>
      </c>
      <c r="AMV50" s="15">
        <v>0</v>
      </c>
      <c r="AMW50" s="15">
        <v>0</v>
      </c>
      <c r="AMX50" s="15">
        <v>0</v>
      </c>
      <c r="AMY50" s="15">
        <v>0</v>
      </c>
      <c r="AMZ50" s="15">
        <v>0</v>
      </c>
      <c r="ANA50" s="15">
        <v>0</v>
      </c>
      <c r="ANB50" s="15">
        <v>0</v>
      </c>
      <c r="ANC50" s="15">
        <v>0</v>
      </c>
      <c r="AND50" s="15">
        <v>0</v>
      </c>
      <c r="ANE50" s="15"/>
      <c r="ANF50" s="15"/>
      <c r="ANG50" s="15"/>
      <c r="ANH50" s="15"/>
      <c r="ANI50" s="15"/>
      <c r="ANJ50" s="15"/>
      <c r="ANK50" s="15"/>
      <c r="ANL50" s="15"/>
      <c r="ANM50" s="15"/>
      <c r="ANN50" s="15"/>
      <c r="ANO50" s="15"/>
      <c r="ANP50" s="15"/>
      <c r="ANQ50" s="15"/>
      <c r="ANR50" s="15"/>
      <c r="ANS50" s="15"/>
      <c r="ANT50" s="15"/>
      <c r="ANU50" s="15"/>
      <c r="ANV50" s="15"/>
      <c r="ANW50" s="15"/>
      <c r="ANX50" s="15"/>
      <c r="ANY50" s="15"/>
      <c r="ANZ50" s="15"/>
      <c r="AOA50" s="15"/>
      <c r="AOB50" s="15"/>
      <c r="AOC50" s="15"/>
      <c r="AOD50" s="15"/>
      <c r="AOE50" s="15"/>
      <c r="AOF50" s="15"/>
      <c r="AOG50" s="15"/>
      <c r="AOH50" s="15"/>
      <c r="AOI50" s="15"/>
      <c r="AOJ50" s="15"/>
      <c r="AOK50" s="15"/>
      <c r="AOL50" s="15"/>
      <c r="AOM50" s="15"/>
      <c r="AON50" s="15"/>
      <c r="AOO50" s="15"/>
      <c r="AOP50" s="15"/>
      <c r="AOQ50" s="15"/>
      <c r="AOR50" s="15"/>
      <c r="AOS50" s="15"/>
      <c r="AOT50" s="15"/>
      <c r="AOU50" s="15"/>
      <c r="AOV50" s="15"/>
      <c r="AOW50" s="15"/>
      <c r="AOX50" s="15"/>
      <c r="AOY50" s="15"/>
      <c r="AOZ50" s="15"/>
      <c r="APA50" s="15"/>
      <c r="APB50" s="15"/>
      <c r="APC50" s="15"/>
      <c r="APD50" s="15"/>
      <c r="APE50" s="15"/>
      <c r="APF50" s="15"/>
      <c r="APG50" s="15"/>
      <c r="APH50" s="15"/>
      <c r="API50" s="15"/>
      <c r="APJ50" s="15"/>
      <c r="APK50" s="15"/>
      <c r="APL50" s="15"/>
      <c r="APM50" s="15"/>
      <c r="APN50" s="15"/>
      <c r="APO50" s="15"/>
      <c r="APP50" s="15"/>
      <c r="APQ50" s="15"/>
      <c r="APR50" s="15"/>
      <c r="APS50" s="15"/>
      <c r="APT50" s="15"/>
      <c r="APU50" s="15"/>
      <c r="APV50" s="15"/>
      <c r="APW50" s="15"/>
      <c r="APX50" s="15"/>
      <c r="APY50" s="15"/>
      <c r="APZ50" s="15"/>
      <c r="AQA50" s="15"/>
      <c r="AQB50" s="15"/>
    </row>
    <row r="51" spans="1:1120" s="17" customFormat="1" ht="15" customHeight="1" x14ac:dyDescent="0.25">
      <c r="A51" s="3" t="s">
        <v>2</v>
      </c>
      <c r="B51" s="6" t="s">
        <v>637</v>
      </c>
      <c r="C51" s="15"/>
      <c r="D51" s="15" t="s">
        <v>71</v>
      </c>
      <c r="E51" s="15" t="s">
        <v>71</v>
      </c>
      <c r="F51" s="15" t="s">
        <v>71</v>
      </c>
      <c r="G51" s="15" t="s">
        <v>71</v>
      </c>
      <c r="H51" s="15" t="s">
        <v>71</v>
      </c>
      <c r="I51" s="15" t="s">
        <v>71</v>
      </c>
      <c r="J51" s="15"/>
      <c r="K51" s="15" t="s">
        <v>71</v>
      </c>
      <c r="L51" s="15" t="s">
        <v>71</v>
      </c>
      <c r="M51" s="15" t="s">
        <v>71</v>
      </c>
      <c r="N51" s="15" t="s">
        <v>71</v>
      </c>
      <c r="O51" s="15" t="s">
        <v>71</v>
      </c>
      <c r="P51" s="15" t="s">
        <v>71</v>
      </c>
      <c r="Q51" s="15"/>
      <c r="R51" s="15" t="s">
        <v>71</v>
      </c>
      <c r="S51" s="15" t="s">
        <v>71</v>
      </c>
      <c r="T51" s="15" t="s">
        <v>71</v>
      </c>
      <c r="U51" s="15" t="s">
        <v>71</v>
      </c>
      <c r="V51" s="15" t="s">
        <v>71</v>
      </c>
      <c r="W51" s="15" t="s">
        <v>71</v>
      </c>
      <c r="X51" s="15"/>
      <c r="Y51" s="15" t="s">
        <v>71</v>
      </c>
      <c r="Z51" s="15" t="s">
        <v>71</v>
      </c>
      <c r="AA51" s="15" t="s">
        <v>71</v>
      </c>
      <c r="AB51" s="15" t="s">
        <v>71</v>
      </c>
      <c r="AC51" s="15" t="s">
        <v>71</v>
      </c>
      <c r="AD51" s="15" t="s">
        <v>71</v>
      </c>
      <c r="AE51" s="15"/>
      <c r="AF51" s="15" t="s">
        <v>71</v>
      </c>
      <c r="AG51" s="15" t="s">
        <v>71</v>
      </c>
      <c r="AH51" s="15" t="s">
        <v>71</v>
      </c>
      <c r="AI51" s="15" t="s">
        <v>71</v>
      </c>
      <c r="AJ51" s="15" t="s">
        <v>71</v>
      </c>
      <c r="AK51" s="15" t="s">
        <v>71</v>
      </c>
      <c r="AL51" s="15"/>
      <c r="AM51" s="15" t="s">
        <v>71</v>
      </c>
      <c r="AN51" s="15" t="s">
        <v>71</v>
      </c>
      <c r="AO51" s="15" t="s">
        <v>71</v>
      </c>
      <c r="AP51" s="15" t="s">
        <v>71</v>
      </c>
      <c r="AQ51" s="15" t="s">
        <v>71</v>
      </c>
      <c r="AR51" s="15" t="s">
        <v>71</v>
      </c>
      <c r="AS51" s="15" t="s">
        <v>71</v>
      </c>
      <c r="AT51" s="15" t="s">
        <v>71</v>
      </c>
      <c r="AU51" s="15" t="s">
        <v>71</v>
      </c>
      <c r="AV51" s="15" t="s">
        <v>71</v>
      </c>
      <c r="AW51" s="15" t="s">
        <v>71</v>
      </c>
      <c r="AX51" s="15" t="s">
        <v>71</v>
      </c>
      <c r="AY51" s="15" t="s">
        <v>71</v>
      </c>
      <c r="AZ51" s="15" t="s">
        <v>71</v>
      </c>
      <c r="BA51" s="15" t="s">
        <v>71</v>
      </c>
      <c r="BB51" s="15" t="s">
        <v>71</v>
      </c>
      <c r="BC51" s="15" t="s">
        <v>71</v>
      </c>
      <c r="BD51" s="15" t="s">
        <v>71</v>
      </c>
      <c r="BE51" s="15" t="s">
        <v>71</v>
      </c>
      <c r="BF51" s="15" t="s">
        <v>71</v>
      </c>
      <c r="BG51" s="15" t="s">
        <v>71</v>
      </c>
      <c r="BH51" s="15" t="s">
        <v>71</v>
      </c>
      <c r="BI51" s="15" t="s">
        <v>71</v>
      </c>
      <c r="BJ51" s="15" t="s">
        <v>71</v>
      </c>
      <c r="BK51" s="15" t="s">
        <v>71</v>
      </c>
      <c r="BL51" s="15" t="s">
        <v>71</v>
      </c>
      <c r="BM51" s="15" t="s">
        <v>71</v>
      </c>
      <c r="BN51" s="15" t="s">
        <v>71</v>
      </c>
      <c r="BO51" s="15" t="s">
        <v>71</v>
      </c>
      <c r="BP51" s="15" t="s">
        <v>71</v>
      </c>
      <c r="BQ51" s="15" t="s">
        <v>71</v>
      </c>
      <c r="BR51" s="15" t="s">
        <v>71</v>
      </c>
      <c r="BS51" s="15" t="s">
        <v>71</v>
      </c>
      <c r="BT51" s="15" t="s">
        <v>71</v>
      </c>
      <c r="BU51" s="15" t="s">
        <v>71</v>
      </c>
      <c r="BV51" s="15" t="s">
        <v>71</v>
      </c>
      <c r="BW51" s="15" t="s">
        <v>71</v>
      </c>
      <c r="BX51" s="15" t="s">
        <v>71</v>
      </c>
      <c r="BY51" s="15" t="s">
        <v>71</v>
      </c>
      <c r="BZ51" s="15" t="s">
        <v>71</v>
      </c>
      <c r="CA51" s="15" t="s">
        <v>71</v>
      </c>
      <c r="CB51" s="15" t="s">
        <v>71</v>
      </c>
      <c r="CC51" s="15" t="s">
        <v>71</v>
      </c>
      <c r="CD51" s="15" t="s">
        <v>71</v>
      </c>
      <c r="CE51" s="15" t="s">
        <v>71</v>
      </c>
      <c r="CF51" s="15" t="s">
        <v>71</v>
      </c>
      <c r="CG51" s="15" t="s">
        <v>71</v>
      </c>
      <c r="CH51" s="15" t="s">
        <v>71</v>
      </c>
      <c r="CI51" s="15" t="s">
        <v>71</v>
      </c>
      <c r="CJ51" s="15" t="s">
        <v>71</v>
      </c>
      <c r="CK51" s="15" t="s">
        <v>71</v>
      </c>
      <c r="CL51" s="15" t="s">
        <v>71</v>
      </c>
      <c r="CM51" s="15" t="s">
        <v>71</v>
      </c>
      <c r="CN51" s="15" t="s">
        <v>71</v>
      </c>
      <c r="CO51" s="15" t="s">
        <v>71</v>
      </c>
      <c r="CP51" s="15" t="s">
        <v>71</v>
      </c>
      <c r="CQ51" s="15" t="s">
        <v>71</v>
      </c>
      <c r="CR51" s="15" t="s">
        <v>71</v>
      </c>
      <c r="CS51" s="15" t="s">
        <v>71</v>
      </c>
      <c r="CT51" s="15" t="s">
        <v>71</v>
      </c>
      <c r="CU51" s="15" t="s">
        <v>71</v>
      </c>
      <c r="CV51" s="15" t="s">
        <v>71</v>
      </c>
      <c r="CW51" s="15" t="s">
        <v>71</v>
      </c>
      <c r="CX51" s="15" t="s">
        <v>71</v>
      </c>
      <c r="CY51" s="15" t="s">
        <v>71</v>
      </c>
      <c r="CZ51" s="15" t="s">
        <v>71</v>
      </c>
      <c r="DA51" s="15" t="s">
        <v>71</v>
      </c>
      <c r="DB51" s="15" t="s">
        <v>71</v>
      </c>
      <c r="DC51" s="15" t="s">
        <v>71</v>
      </c>
      <c r="DD51" s="15" t="s">
        <v>71</v>
      </c>
      <c r="DE51" s="15" t="s">
        <v>71</v>
      </c>
      <c r="DF51" s="15" t="s">
        <v>71</v>
      </c>
      <c r="DG51" s="15" t="s">
        <v>71</v>
      </c>
      <c r="DH51" s="15" t="s">
        <v>71</v>
      </c>
      <c r="DI51" s="15" t="s">
        <v>71</v>
      </c>
      <c r="DJ51" s="15" t="s">
        <v>71</v>
      </c>
      <c r="DK51" s="15" t="s">
        <v>71</v>
      </c>
      <c r="DL51" s="15" t="s">
        <v>71</v>
      </c>
      <c r="DM51" s="15" t="s">
        <v>71</v>
      </c>
      <c r="DN51" s="15" t="s">
        <v>71</v>
      </c>
      <c r="DO51" s="15" t="s">
        <v>71</v>
      </c>
      <c r="DP51" s="15" t="s">
        <v>71</v>
      </c>
      <c r="DQ51" s="15" t="s">
        <v>71</v>
      </c>
      <c r="DR51" s="15" t="s">
        <v>71</v>
      </c>
      <c r="DS51" s="15" t="s">
        <v>71</v>
      </c>
      <c r="DT51" s="15" t="s">
        <v>71</v>
      </c>
      <c r="DU51" s="15" t="s">
        <v>71</v>
      </c>
      <c r="DV51" s="15" t="s">
        <v>71</v>
      </c>
      <c r="DW51" s="15" t="s">
        <v>71</v>
      </c>
      <c r="DX51" s="15" t="s">
        <v>71</v>
      </c>
      <c r="DY51" s="15" t="s">
        <v>71</v>
      </c>
      <c r="DZ51" s="15" t="s">
        <v>71</v>
      </c>
      <c r="EA51" s="15" t="s">
        <v>71</v>
      </c>
      <c r="EB51" s="15" t="s">
        <v>71</v>
      </c>
      <c r="EC51" s="15" t="s">
        <v>71</v>
      </c>
      <c r="ED51" s="15" t="s">
        <v>71</v>
      </c>
      <c r="EE51" s="15" t="s">
        <v>71</v>
      </c>
      <c r="EF51" s="15" t="s">
        <v>71</v>
      </c>
      <c r="EG51" s="15" t="s">
        <v>71</v>
      </c>
      <c r="EH51" s="15" t="s">
        <v>71</v>
      </c>
      <c r="EI51" s="15" t="s">
        <v>71</v>
      </c>
      <c r="EJ51" s="15" t="s">
        <v>71</v>
      </c>
      <c r="EK51" s="15" t="s">
        <v>71</v>
      </c>
      <c r="EL51" s="15" t="s">
        <v>71</v>
      </c>
      <c r="EM51" s="15" t="s">
        <v>71</v>
      </c>
      <c r="EN51" s="15" t="s">
        <v>71</v>
      </c>
      <c r="EO51" s="15" t="s">
        <v>71</v>
      </c>
      <c r="EP51" s="15" t="s">
        <v>71</v>
      </c>
      <c r="EQ51" s="15" t="s">
        <v>71</v>
      </c>
      <c r="ER51" s="15" t="s">
        <v>71</v>
      </c>
      <c r="ES51" s="15" t="s">
        <v>71</v>
      </c>
      <c r="ET51" s="15" t="s">
        <v>71</v>
      </c>
      <c r="EU51" s="15" t="s">
        <v>71</v>
      </c>
      <c r="EV51" s="15" t="s">
        <v>71</v>
      </c>
      <c r="EW51" s="15" t="s">
        <v>71</v>
      </c>
      <c r="EX51" s="15" t="s">
        <v>71</v>
      </c>
      <c r="EY51" s="15" t="s">
        <v>71</v>
      </c>
      <c r="EZ51" s="15" t="s">
        <v>71</v>
      </c>
      <c r="FA51" s="15" t="s">
        <v>71</v>
      </c>
      <c r="FB51" s="15" t="s">
        <v>71</v>
      </c>
      <c r="FC51" s="15" t="s">
        <v>71</v>
      </c>
      <c r="FD51" s="15" t="s">
        <v>71</v>
      </c>
      <c r="FE51" s="15" t="s">
        <v>71</v>
      </c>
      <c r="FF51" s="15" t="s">
        <v>71</v>
      </c>
      <c r="FG51" s="15" t="s">
        <v>71</v>
      </c>
      <c r="FH51" s="15" t="s">
        <v>71</v>
      </c>
      <c r="FI51" s="15" t="s">
        <v>71</v>
      </c>
      <c r="FJ51" s="15" t="s">
        <v>71</v>
      </c>
      <c r="FK51" s="15" t="s">
        <v>71</v>
      </c>
      <c r="FL51" s="15" t="s">
        <v>71</v>
      </c>
      <c r="FM51" s="15" t="s">
        <v>71</v>
      </c>
      <c r="FN51" s="15" t="s">
        <v>71</v>
      </c>
      <c r="FO51" s="15" t="s">
        <v>71</v>
      </c>
      <c r="FP51" s="15" t="s">
        <v>71</v>
      </c>
      <c r="FQ51" s="15" t="s">
        <v>71</v>
      </c>
      <c r="FR51" s="15" t="s">
        <v>71</v>
      </c>
      <c r="FS51" s="15" t="s">
        <v>71</v>
      </c>
      <c r="FT51" s="15" t="s">
        <v>71</v>
      </c>
      <c r="FU51" s="15" t="s">
        <v>71</v>
      </c>
      <c r="FV51" s="15" t="s">
        <v>71</v>
      </c>
      <c r="FW51" s="15" t="s">
        <v>71</v>
      </c>
      <c r="FX51" s="15" t="s">
        <v>71</v>
      </c>
      <c r="FY51" s="15" t="s">
        <v>71</v>
      </c>
      <c r="FZ51" s="15" t="s">
        <v>71</v>
      </c>
      <c r="GA51" s="15" t="s">
        <v>71</v>
      </c>
      <c r="GB51" s="15" t="s">
        <v>71</v>
      </c>
      <c r="GC51" s="15" t="s">
        <v>71</v>
      </c>
      <c r="GD51" s="15" t="s">
        <v>71</v>
      </c>
      <c r="GE51" s="15" t="s">
        <v>71</v>
      </c>
      <c r="GF51" s="15" t="s">
        <v>71</v>
      </c>
      <c r="GG51" s="15" t="s">
        <v>71</v>
      </c>
      <c r="GH51" s="15" t="s">
        <v>71</v>
      </c>
      <c r="GI51" s="15" t="s">
        <v>71</v>
      </c>
      <c r="GJ51" s="15" t="s">
        <v>71</v>
      </c>
      <c r="GK51" s="15" t="s">
        <v>71</v>
      </c>
      <c r="GL51" s="15" t="s">
        <v>71</v>
      </c>
      <c r="GM51" s="15" t="s">
        <v>71</v>
      </c>
      <c r="GN51" s="15" t="s">
        <v>71</v>
      </c>
      <c r="GO51" s="15" t="s">
        <v>71</v>
      </c>
      <c r="GP51" s="15" t="s">
        <v>71</v>
      </c>
      <c r="GQ51" s="15" t="s">
        <v>71</v>
      </c>
      <c r="GR51" s="15" t="s">
        <v>71</v>
      </c>
      <c r="GS51" s="15" t="s">
        <v>71</v>
      </c>
      <c r="GT51" s="15" t="s">
        <v>71</v>
      </c>
      <c r="GU51" s="15" t="s">
        <v>71</v>
      </c>
      <c r="GV51" s="15" t="s">
        <v>71</v>
      </c>
      <c r="GW51" s="15" t="s">
        <v>71</v>
      </c>
      <c r="GX51" s="15" t="s">
        <v>71</v>
      </c>
      <c r="GY51" s="15" t="s">
        <v>71</v>
      </c>
      <c r="GZ51" s="15" t="s">
        <v>71</v>
      </c>
      <c r="HA51" s="15" t="s">
        <v>71</v>
      </c>
      <c r="HB51" s="15" t="s">
        <v>71</v>
      </c>
      <c r="HC51" s="15" t="s">
        <v>71</v>
      </c>
      <c r="HD51" s="15" t="s">
        <v>71</v>
      </c>
      <c r="HE51" s="15" t="s">
        <v>71</v>
      </c>
      <c r="HF51" s="15" t="s">
        <v>71</v>
      </c>
      <c r="HG51" s="15" t="s">
        <v>71</v>
      </c>
      <c r="HH51" s="15" t="s">
        <v>71</v>
      </c>
      <c r="HI51" s="15" t="s">
        <v>71</v>
      </c>
      <c r="HJ51" s="15" t="s">
        <v>71</v>
      </c>
      <c r="HK51" s="15" t="s">
        <v>71</v>
      </c>
      <c r="HL51" s="15" t="s">
        <v>71</v>
      </c>
      <c r="HM51" s="15" t="s">
        <v>71</v>
      </c>
      <c r="HN51" s="15" t="s">
        <v>71</v>
      </c>
      <c r="HO51" s="15" t="s">
        <v>71</v>
      </c>
      <c r="HP51" s="15" t="s">
        <v>71</v>
      </c>
      <c r="HQ51" s="15" t="s">
        <v>71</v>
      </c>
      <c r="HR51" s="15" t="s">
        <v>71</v>
      </c>
      <c r="HS51" s="15" t="s">
        <v>71</v>
      </c>
      <c r="HT51" s="15" t="s">
        <v>71</v>
      </c>
      <c r="HU51" s="15" t="s">
        <v>71</v>
      </c>
      <c r="HV51" s="15" t="s">
        <v>71</v>
      </c>
      <c r="HW51" s="15" t="s">
        <v>71</v>
      </c>
      <c r="HX51" s="15" t="s">
        <v>71</v>
      </c>
      <c r="HY51" s="15" t="s">
        <v>71</v>
      </c>
      <c r="HZ51" s="15" t="s">
        <v>71</v>
      </c>
      <c r="IA51" s="15" t="s">
        <v>71</v>
      </c>
      <c r="IB51" s="15"/>
      <c r="IC51" s="15" t="s">
        <v>71</v>
      </c>
      <c r="ID51" s="15" t="s">
        <v>71</v>
      </c>
      <c r="IE51" s="15" t="s">
        <v>71</v>
      </c>
      <c r="IF51" s="15" t="s">
        <v>71</v>
      </c>
      <c r="IG51" s="15" t="s">
        <v>71</v>
      </c>
      <c r="IH51" s="15" t="s">
        <v>71</v>
      </c>
      <c r="II51" s="15" t="s">
        <v>71</v>
      </c>
      <c r="IJ51" s="15" t="s">
        <v>71</v>
      </c>
      <c r="IK51" s="15"/>
      <c r="IL51" s="15" t="s">
        <v>71</v>
      </c>
      <c r="IM51" s="15" t="s">
        <v>71</v>
      </c>
      <c r="IN51" s="15" t="s">
        <v>71</v>
      </c>
      <c r="IO51" s="15" t="s">
        <v>71</v>
      </c>
      <c r="IP51" s="15" t="s">
        <v>71</v>
      </c>
      <c r="IQ51" s="15" t="s">
        <v>71</v>
      </c>
      <c r="IR51" s="15" t="s">
        <v>71</v>
      </c>
      <c r="IS51" s="15" t="s">
        <v>71</v>
      </c>
      <c r="IT51" s="15" t="s">
        <v>71</v>
      </c>
      <c r="IU51" s="15" t="s">
        <v>71</v>
      </c>
      <c r="IV51" s="15" t="s">
        <v>71</v>
      </c>
      <c r="IW51" s="15" t="s">
        <v>71</v>
      </c>
      <c r="IX51" s="15" t="s">
        <v>71</v>
      </c>
      <c r="IY51" s="15" t="s">
        <v>71</v>
      </c>
      <c r="IZ51" s="15" t="s">
        <v>71</v>
      </c>
      <c r="JA51" s="15" t="s">
        <v>71</v>
      </c>
      <c r="JB51" s="15" t="s">
        <v>71</v>
      </c>
      <c r="JC51" s="15" t="s">
        <v>71</v>
      </c>
      <c r="JD51" s="15" t="s">
        <v>71</v>
      </c>
      <c r="JE51" s="15" t="s">
        <v>71</v>
      </c>
      <c r="JF51" s="15" t="s">
        <v>71</v>
      </c>
      <c r="JG51" s="15" t="s">
        <v>71</v>
      </c>
      <c r="JH51" s="15" t="s">
        <v>71</v>
      </c>
      <c r="JI51" s="15" t="s">
        <v>71</v>
      </c>
      <c r="JJ51" s="15" t="s">
        <v>71</v>
      </c>
      <c r="JK51" s="15" t="s">
        <v>71</v>
      </c>
      <c r="JL51" s="15" t="s">
        <v>71</v>
      </c>
      <c r="JM51" s="15" t="s">
        <v>71</v>
      </c>
      <c r="JN51" s="15" t="s">
        <v>71</v>
      </c>
      <c r="JO51" s="15" t="s">
        <v>71</v>
      </c>
      <c r="JP51" s="15" t="s">
        <v>71</v>
      </c>
      <c r="JQ51" s="15" t="s">
        <v>71</v>
      </c>
      <c r="JR51" s="15" t="s">
        <v>71</v>
      </c>
      <c r="JS51" s="15" t="s">
        <v>71</v>
      </c>
      <c r="JT51" s="15" t="s">
        <v>71</v>
      </c>
      <c r="JU51" s="15" t="s">
        <v>71</v>
      </c>
      <c r="JV51" s="15" t="s">
        <v>71</v>
      </c>
      <c r="JW51" s="15" t="s">
        <v>71</v>
      </c>
      <c r="JX51" s="15" t="s">
        <v>71</v>
      </c>
      <c r="JY51" s="15" t="s">
        <v>71</v>
      </c>
      <c r="JZ51" s="15" t="s">
        <v>71</v>
      </c>
      <c r="KA51" s="15" t="s">
        <v>71</v>
      </c>
      <c r="KB51" s="15" t="s">
        <v>71</v>
      </c>
      <c r="KC51" s="15" t="s">
        <v>71</v>
      </c>
      <c r="KD51" s="15" t="s">
        <v>71</v>
      </c>
      <c r="KE51" s="15" t="s">
        <v>71</v>
      </c>
      <c r="KF51" s="15" t="s">
        <v>71</v>
      </c>
      <c r="KG51" s="15" t="s">
        <v>71</v>
      </c>
      <c r="KH51" s="15" t="s">
        <v>71</v>
      </c>
      <c r="KI51" s="15" t="s">
        <v>71</v>
      </c>
      <c r="KJ51" s="15" t="s">
        <v>71</v>
      </c>
      <c r="KK51" s="15" t="s">
        <v>71</v>
      </c>
      <c r="KL51" s="15" t="s">
        <v>71</v>
      </c>
      <c r="KM51" s="15" t="s">
        <v>71</v>
      </c>
      <c r="KN51" s="15" t="s">
        <v>71</v>
      </c>
      <c r="KO51" s="15" t="s">
        <v>71</v>
      </c>
      <c r="KP51" s="15" t="s">
        <v>71</v>
      </c>
      <c r="KQ51" s="15" t="s">
        <v>71</v>
      </c>
      <c r="KR51" s="15" t="s">
        <v>71</v>
      </c>
      <c r="KS51" s="15" t="s">
        <v>71</v>
      </c>
      <c r="KT51" s="15" t="s">
        <v>71</v>
      </c>
      <c r="KU51" s="15" t="s">
        <v>71</v>
      </c>
      <c r="KV51" s="15" t="s">
        <v>71</v>
      </c>
      <c r="KW51" s="15" t="s">
        <v>71</v>
      </c>
      <c r="KX51" s="15" t="s">
        <v>71</v>
      </c>
      <c r="KY51" s="15" t="s">
        <v>71</v>
      </c>
      <c r="KZ51" s="15" t="s">
        <v>71</v>
      </c>
      <c r="LA51" s="15" t="s">
        <v>71</v>
      </c>
      <c r="LB51" s="15" t="s">
        <v>71</v>
      </c>
      <c r="LC51" s="15" t="s">
        <v>71</v>
      </c>
      <c r="LD51" s="15" t="s">
        <v>71</v>
      </c>
      <c r="LE51" s="15" t="s">
        <v>71</v>
      </c>
      <c r="LF51" s="15" t="s">
        <v>71</v>
      </c>
      <c r="LG51" s="15" t="s">
        <v>71</v>
      </c>
      <c r="LH51" s="15" t="s">
        <v>71</v>
      </c>
      <c r="LI51" s="15" t="s">
        <v>71</v>
      </c>
      <c r="LJ51" s="15" t="s">
        <v>71</v>
      </c>
      <c r="LK51" s="15" t="s">
        <v>71</v>
      </c>
      <c r="LL51" s="15" t="s">
        <v>71</v>
      </c>
      <c r="LM51" s="15" t="s">
        <v>71</v>
      </c>
      <c r="LN51" s="15" t="s">
        <v>71</v>
      </c>
      <c r="LO51" s="15" t="s">
        <v>71</v>
      </c>
      <c r="LP51" s="15" t="s">
        <v>71</v>
      </c>
      <c r="LQ51" s="15" t="s">
        <v>71</v>
      </c>
      <c r="LR51" s="15" t="s">
        <v>71</v>
      </c>
      <c r="LS51" s="15" t="s">
        <v>71</v>
      </c>
      <c r="LT51" s="15" t="s">
        <v>71</v>
      </c>
      <c r="LU51" s="15" t="s">
        <v>71</v>
      </c>
      <c r="LV51" s="15" t="s">
        <v>71</v>
      </c>
      <c r="LW51" s="15" t="s">
        <v>71</v>
      </c>
      <c r="LX51" s="15" t="s">
        <v>71</v>
      </c>
      <c r="LY51" s="15" t="s">
        <v>71</v>
      </c>
      <c r="LZ51" s="15" t="s">
        <v>71</v>
      </c>
      <c r="MA51" s="15" t="s">
        <v>71</v>
      </c>
      <c r="MB51" s="15" t="s">
        <v>71</v>
      </c>
      <c r="MC51" s="15" t="s">
        <v>71</v>
      </c>
      <c r="MD51" s="15" t="s">
        <v>71</v>
      </c>
      <c r="ME51" s="15" t="s">
        <v>71</v>
      </c>
      <c r="MF51" s="15" t="s">
        <v>71</v>
      </c>
      <c r="MG51" s="15" t="s">
        <v>71</v>
      </c>
      <c r="MH51" s="15" t="s">
        <v>71</v>
      </c>
      <c r="MI51" s="15" t="s">
        <v>71</v>
      </c>
      <c r="MJ51" s="15" t="s">
        <v>71</v>
      </c>
      <c r="MK51" s="15" t="s">
        <v>71</v>
      </c>
      <c r="ML51" s="15" t="s">
        <v>71</v>
      </c>
      <c r="MM51" s="15" t="s">
        <v>71</v>
      </c>
      <c r="MN51" s="15" t="s">
        <v>71</v>
      </c>
      <c r="MO51" s="15" t="s">
        <v>71</v>
      </c>
      <c r="MP51" s="15" t="s">
        <v>71</v>
      </c>
      <c r="MQ51" s="15" t="s">
        <v>71</v>
      </c>
      <c r="MR51" s="15" t="s">
        <v>71</v>
      </c>
      <c r="MS51" s="15" t="s">
        <v>71</v>
      </c>
      <c r="MT51" s="15" t="s">
        <v>71</v>
      </c>
      <c r="MU51" s="15" t="s">
        <v>71</v>
      </c>
      <c r="MV51" s="15" t="s">
        <v>71</v>
      </c>
      <c r="MW51" s="15" t="s">
        <v>71</v>
      </c>
      <c r="MX51" s="15" t="s">
        <v>71</v>
      </c>
      <c r="MY51" s="15" t="s">
        <v>71</v>
      </c>
      <c r="MZ51" s="15" t="s">
        <v>71</v>
      </c>
      <c r="NA51" s="15" t="s">
        <v>71</v>
      </c>
      <c r="NB51" s="15" t="s">
        <v>71</v>
      </c>
      <c r="NC51" s="15" t="s">
        <v>71</v>
      </c>
      <c r="ND51" s="15" t="s">
        <v>71</v>
      </c>
      <c r="NE51" s="15" t="s">
        <v>71</v>
      </c>
      <c r="NF51" s="15" t="s">
        <v>71</v>
      </c>
      <c r="NG51" s="15" t="s">
        <v>71</v>
      </c>
      <c r="NH51" s="15" t="s">
        <v>71</v>
      </c>
      <c r="NI51" s="15" t="s">
        <v>71</v>
      </c>
      <c r="NJ51" s="15" t="s">
        <v>71</v>
      </c>
      <c r="NK51" s="15" t="s">
        <v>71</v>
      </c>
      <c r="NL51" s="15" t="s">
        <v>71</v>
      </c>
      <c r="NM51" s="15" t="s">
        <v>71</v>
      </c>
      <c r="NN51" s="15" t="s">
        <v>71</v>
      </c>
      <c r="NO51" s="15" t="s">
        <v>71</v>
      </c>
      <c r="NP51" s="15" t="s">
        <v>71</v>
      </c>
      <c r="NQ51" s="15" t="s">
        <v>71</v>
      </c>
      <c r="NR51" s="15" t="s">
        <v>71</v>
      </c>
      <c r="NS51" s="15" t="s">
        <v>71</v>
      </c>
      <c r="NT51" s="15" t="s">
        <v>71</v>
      </c>
      <c r="NU51" s="15" t="s">
        <v>71</v>
      </c>
      <c r="NV51" s="15" t="s">
        <v>71</v>
      </c>
      <c r="NW51" s="15" t="s">
        <v>71</v>
      </c>
      <c r="NX51" s="15" t="s">
        <v>71</v>
      </c>
      <c r="NY51" s="15" t="s">
        <v>71</v>
      </c>
      <c r="NZ51" s="15" t="s">
        <v>71</v>
      </c>
      <c r="OA51" s="15" t="s">
        <v>71</v>
      </c>
      <c r="OB51" s="15" t="s">
        <v>71</v>
      </c>
      <c r="OC51" s="15" t="s">
        <v>71</v>
      </c>
      <c r="OD51" s="15" t="s">
        <v>71</v>
      </c>
      <c r="OE51" s="15" t="s">
        <v>71</v>
      </c>
      <c r="OF51" s="15" t="s">
        <v>71</v>
      </c>
      <c r="OG51" s="15" t="s">
        <v>71</v>
      </c>
      <c r="OH51" s="15" t="s">
        <v>71</v>
      </c>
      <c r="OI51" s="15" t="s">
        <v>71</v>
      </c>
      <c r="OJ51" s="15" t="s">
        <v>71</v>
      </c>
      <c r="OK51" s="15" t="s">
        <v>71</v>
      </c>
      <c r="OL51" s="15" t="s">
        <v>71</v>
      </c>
      <c r="OM51" s="15" t="s">
        <v>71</v>
      </c>
      <c r="ON51" s="15" t="s">
        <v>71</v>
      </c>
      <c r="OO51" s="15" t="s">
        <v>71</v>
      </c>
      <c r="OP51" s="15" t="s">
        <v>71</v>
      </c>
      <c r="OQ51" s="15" t="s">
        <v>71</v>
      </c>
      <c r="OR51" s="15" t="s">
        <v>71</v>
      </c>
      <c r="OS51" s="15" t="s">
        <v>71</v>
      </c>
      <c r="OT51" s="15" t="s">
        <v>71</v>
      </c>
      <c r="OU51" s="15" t="s">
        <v>71</v>
      </c>
      <c r="OV51" s="15" t="s">
        <v>71</v>
      </c>
      <c r="OW51" s="15" t="s">
        <v>71</v>
      </c>
      <c r="OX51" s="15" t="s">
        <v>71</v>
      </c>
      <c r="OY51" s="15" t="s">
        <v>71</v>
      </c>
      <c r="OZ51" s="15" t="s">
        <v>71</v>
      </c>
      <c r="PA51" s="15" t="s">
        <v>71</v>
      </c>
      <c r="PB51" s="15" t="s">
        <v>71</v>
      </c>
      <c r="PC51" s="15" t="s">
        <v>71</v>
      </c>
      <c r="PD51" s="15" t="s">
        <v>71</v>
      </c>
      <c r="PE51" s="15" t="s">
        <v>71</v>
      </c>
      <c r="PF51" s="15" t="s">
        <v>71</v>
      </c>
      <c r="PG51" s="15" t="s">
        <v>71</v>
      </c>
      <c r="PH51" s="15" t="s">
        <v>71</v>
      </c>
      <c r="PI51" s="15" t="s">
        <v>71</v>
      </c>
      <c r="PJ51" s="15" t="s">
        <v>71</v>
      </c>
      <c r="PK51" s="15" t="s">
        <v>71</v>
      </c>
      <c r="PL51" s="15" t="s">
        <v>71</v>
      </c>
      <c r="PM51" s="15" t="s">
        <v>71</v>
      </c>
      <c r="PN51" s="15" t="s">
        <v>71</v>
      </c>
      <c r="PO51" s="15" t="s">
        <v>71</v>
      </c>
      <c r="PP51" s="15" t="s">
        <v>71</v>
      </c>
      <c r="PQ51" s="15" t="s">
        <v>71</v>
      </c>
      <c r="PR51" s="15" t="s">
        <v>71</v>
      </c>
      <c r="PS51" s="15" t="s">
        <v>71</v>
      </c>
      <c r="PT51" s="15" t="s">
        <v>71</v>
      </c>
      <c r="PU51" s="15" t="s">
        <v>71</v>
      </c>
      <c r="PV51" s="15" t="s">
        <v>71</v>
      </c>
      <c r="PW51" s="15" t="s">
        <v>71</v>
      </c>
      <c r="PX51" s="15" t="s">
        <v>71</v>
      </c>
      <c r="PY51" s="15" t="s">
        <v>71</v>
      </c>
      <c r="PZ51" s="15" t="s">
        <v>71</v>
      </c>
      <c r="QA51" s="15" t="s">
        <v>71</v>
      </c>
      <c r="QB51" s="15" t="s">
        <v>71</v>
      </c>
      <c r="QC51" s="15" t="s">
        <v>71</v>
      </c>
      <c r="QD51" s="15" t="s">
        <v>71</v>
      </c>
      <c r="QE51" s="15" t="s">
        <v>71</v>
      </c>
      <c r="QF51" s="15" t="s">
        <v>71</v>
      </c>
      <c r="QG51" s="15" t="s">
        <v>71</v>
      </c>
      <c r="QH51" s="15" t="s">
        <v>71</v>
      </c>
      <c r="QI51" s="15" t="s">
        <v>71</v>
      </c>
      <c r="QJ51" s="15" t="s">
        <v>71</v>
      </c>
      <c r="QK51" s="15" t="s">
        <v>71</v>
      </c>
      <c r="QL51" s="15" t="s">
        <v>71</v>
      </c>
      <c r="QM51" s="15" t="s">
        <v>71</v>
      </c>
      <c r="QN51" s="15" t="s">
        <v>71</v>
      </c>
      <c r="QO51" s="15" t="s">
        <v>71</v>
      </c>
      <c r="QP51" s="15" t="s">
        <v>71</v>
      </c>
      <c r="QQ51" s="15" t="s">
        <v>71</v>
      </c>
      <c r="QR51" s="15" t="s">
        <v>71</v>
      </c>
      <c r="QS51" s="15" t="s">
        <v>71</v>
      </c>
      <c r="QT51" s="15" t="s">
        <v>71</v>
      </c>
      <c r="QU51" s="15" t="s">
        <v>71</v>
      </c>
      <c r="QV51" s="15" t="s">
        <v>71</v>
      </c>
      <c r="QW51" s="15" t="s">
        <v>71</v>
      </c>
      <c r="QX51" s="15" t="s">
        <v>71</v>
      </c>
      <c r="QY51" s="15" t="s">
        <v>71</v>
      </c>
      <c r="QZ51" s="15" t="s">
        <v>71</v>
      </c>
      <c r="RA51" s="15" t="s">
        <v>71</v>
      </c>
      <c r="RB51" s="15" t="s">
        <v>71</v>
      </c>
      <c r="RC51" s="15" t="s">
        <v>71</v>
      </c>
      <c r="RD51" s="15" t="s">
        <v>71</v>
      </c>
      <c r="RE51" s="15" t="s">
        <v>71</v>
      </c>
      <c r="RF51" s="15" t="s">
        <v>71</v>
      </c>
      <c r="RG51" s="15" t="s">
        <v>71</v>
      </c>
      <c r="RH51" s="15" t="s">
        <v>71</v>
      </c>
      <c r="RI51" s="15" t="s">
        <v>71</v>
      </c>
      <c r="RJ51" s="15" t="s">
        <v>71</v>
      </c>
      <c r="RK51" s="15" t="s">
        <v>71</v>
      </c>
      <c r="RL51" s="15" t="s">
        <v>71</v>
      </c>
      <c r="RM51" s="15" t="s">
        <v>71</v>
      </c>
      <c r="RN51" s="15" t="s">
        <v>71</v>
      </c>
      <c r="RO51" s="15" t="s">
        <v>71</v>
      </c>
      <c r="RP51" s="15" t="s">
        <v>71</v>
      </c>
      <c r="RQ51" s="15" t="s">
        <v>71</v>
      </c>
      <c r="RR51" s="15" t="s">
        <v>71</v>
      </c>
      <c r="RS51" s="15"/>
      <c r="RT51" s="15" t="s">
        <v>71</v>
      </c>
      <c r="RU51" s="15" t="s">
        <v>71</v>
      </c>
      <c r="RV51" s="15" t="s">
        <v>71</v>
      </c>
      <c r="RW51" s="15" t="s">
        <v>71</v>
      </c>
      <c r="RX51" s="15" t="s">
        <v>71</v>
      </c>
      <c r="RY51" s="15" t="s">
        <v>71</v>
      </c>
      <c r="RZ51" s="15" t="s">
        <v>71</v>
      </c>
      <c r="SA51" s="15" t="s">
        <v>71</v>
      </c>
      <c r="SB51" s="15" t="s">
        <v>71</v>
      </c>
      <c r="SC51" s="15" t="s">
        <v>71</v>
      </c>
      <c r="SD51" s="15" t="s">
        <v>71</v>
      </c>
      <c r="SE51" s="15" t="s">
        <v>71</v>
      </c>
      <c r="SF51" s="15" t="s">
        <v>71</v>
      </c>
      <c r="SG51" s="15" t="s">
        <v>71</v>
      </c>
      <c r="SH51" s="15" t="s">
        <v>71</v>
      </c>
      <c r="SI51" s="15" t="s">
        <v>71</v>
      </c>
      <c r="SJ51" s="15" t="s">
        <v>71</v>
      </c>
      <c r="SK51" s="15" t="s">
        <v>71</v>
      </c>
      <c r="SL51" s="15" t="s">
        <v>71</v>
      </c>
      <c r="SM51" s="15" t="s">
        <v>71</v>
      </c>
      <c r="SN51" s="15" t="s">
        <v>71</v>
      </c>
      <c r="SO51" s="15" t="s">
        <v>71</v>
      </c>
      <c r="SP51" s="15" t="s">
        <v>71</v>
      </c>
      <c r="SQ51" s="15" t="s">
        <v>71</v>
      </c>
      <c r="SR51" s="15" t="s">
        <v>71</v>
      </c>
      <c r="SS51" s="15" t="s">
        <v>71</v>
      </c>
      <c r="ST51" s="15" t="s">
        <v>71</v>
      </c>
      <c r="SU51" s="15" t="s">
        <v>71</v>
      </c>
      <c r="SV51" s="15" t="s">
        <v>71</v>
      </c>
      <c r="SW51" s="15" t="s">
        <v>71</v>
      </c>
      <c r="SX51" s="15" t="s">
        <v>71</v>
      </c>
      <c r="SY51" s="15" t="s">
        <v>71</v>
      </c>
      <c r="SZ51" s="15" t="s">
        <v>71</v>
      </c>
      <c r="TA51" s="15" t="s">
        <v>71</v>
      </c>
      <c r="TB51" s="15" t="s">
        <v>71</v>
      </c>
      <c r="TC51" s="15" t="s">
        <v>71</v>
      </c>
      <c r="TD51" s="15" t="s">
        <v>71</v>
      </c>
      <c r="TE51" s="15" t="s">
        <v>71</v>
      </c>
      <c r="TF51" s="15" t="s">
        <v>71</v>
      </c>
      <c r="TG51" s="15" t="s">
        <v>71</v>
      </c>
      <c r="TH51" s="15" t="s">
        <v>71</v>
      </c>
      <c r="TI51" s="15" t="s">
        <v>71</v>
      </c>
      <c r="TJ51" s="15" t="s">
        <v>71</v>
      </c>
      <c r="TK51" s="15" t="s">
        <v>71</v>
      </c>
      <c r="TL51" s="15" t="s">
        <v>71</v>
      </c>
      <c r="TM51" s="15" t="s">
        <v>71</v>
      </c>
      <c r="TN51" s="15" t="s">
        <v>71</v>
      </c>
      <c r="TO51" s="15" t="s">
        <v>71</v>
      </c>
      <c r="TP51" s="15" t="s">
        <v>71</v>
      </c>
      <c r="TQ51" s="15" t="s">
        <v>71</v>
      </c>
      <c r="TR51" s="15" t="s">
        <v>71</v>
      </c>
      <c r="TS51" s="15" t="s">
        <v>71</v>
      </c>
      <c r="TT51" s="15" t="s">
        <v>71</v>
      </c>
      <c r="TU51" s="15" t="s">
        <v>71</v>
      </c>
      <c r="TV51" s="15" t="s">
        <v>71</v>
      </c>
      <c r="TW51" s="15" t="s">
        <v>71</v>
      </c>
      <c r="TX51" s="15" t="s">
        <v>71</v>
      </c>
      <c r="TY51" s="15" t="s">
        <v>71</v>
      </c>
      <c r="TZ51" s="15" t="s">
        <v>71</v>
      </c>
      <c r="UA51" s="15" t="s">
        <v>71</v>
      </c>
      <c r="UB51" s="15" t="s">
        <v>71</v>
      </c>
      <c r="UC51" s="15" t="s">
        <v>71</v>
      </c>
      <c r="UD51" s="15" t="s">
        <v>71</v>
      </c>
      <c r="UE51" s="15" t="s">
        <v>71</v>
      </c>
      <c r="UF51" s="15" t="s">
        <v>71</v>
      </c>
      <c r="UG51" s="15" t="s">
        <v>71</v>
      </c>
      <c r="UH51" s="15" t="s">
        <v>71</v>
      </c>
      <c r="UI51" s="15" t="s">
        <v>71</v>
      </c>
      <c r="UJ51" s="15" t="s">
        <v>71</v>
      </c>
      <c r="UK51" s="15" t="s">
        <v>71</v>
      </c>
      <c r="UL51" s="15" t="s">
        <v>71</v>
      </c>
      <c r="UM51" s="15" t="s">
        <v>71</v>
      </c>
      <c r="UN51" s="15" t="s">
        <v>71</v>
      </c>
      <c r="UO51" s="15" t="s">
        <v>71</v>
      </c>
      <c r="UP51" s="15" t="s">
        <v>71</v>
      </c>
      <c r="UQ51" s="15" t="s">
        <v>71</v>
      </c>
      <c r="UR51" s="15" t="s">
        <v>71</v>
      </c>
      <c r="US51" s="15" t="s">
        <v>71</v>
      </c>
      <c r="UT51" s="15" t="s">
        <v>71</v>
      </c>
      <c r="UU51" s="15" t="s">
        <v>71</v>
      </c>
      <c r="UV51" s="15" t="s">
        <v>71</v>
      </c>
      <c r="UW51" s="15" t="s">
        <v>71</v>
      </c>
      <c r="UX51" s="15" t="s">
        <v>71</v>
      </c>
      <c r="UY51" s="15" t="s">
        <v>71</v>
      </c>
      <c r="UZ51" s="15" t="s">
        <v>71</v>
      </c>
      <c r="VA51" s="15" t="s">
        <v>71</v>
      </c>
      <c r="VB51" s="15" t="s">
        <v>71</v>
      </c>
      <c r="VC51" s="15" t="s">
        <v>71</v>
      </c>
      <c r="VD51" s="15" t="s">
        <v>71</v>
      </c>
      <c r="VE51" s="15" t="s">
        <v>71</v>
      </c>
      <c r="VF51" s="15" t="s">
        <v>71</v>
      </c>
      <c r="VG51" s="15" t="s">
        <v>71</v>
      </c>
      <c r="VH51" s="15" t="s">
        <v>71</v>
      </c>
      <c r="VI51" s="15" t="s">
        <v>71</v>
      </c>
      <c r="VJ51" s="15" t="s">
        <v>71</v>
      </c>
      <c r="VK51" s="15" t="s">
        <v>71</v>
      </c>
      <c r="VL51" s="15" t="s">
        <v>71</v>
      </c>
      <c r="VM51" s="15" t="s">
        <v>71</v>
      </c>
      <c r="VN51" s="15" t="s">
        <v>71</v>
      </c>
      <c r="VO51" s="15" t="s">
        <v>71</v>
      </c>
      <c r="VP51" s="15" t="s">
        <v>71</v>
      </c>
      <c r="VQ51" s="15" t="s">
        <v>71</v>
      </c>
      <c r="VR51" s="15" t="s">
        <v>71</v>
      </c>
      <c r="VS51" s="15" t="s">
        <v>71</v>
      </c>
      <c r="VT51" s="15" t="s">
        <v>71</v>
      </c>
      <c r="VU51" s="15" t="s">
        <v>71</v>
      </c>
      <c r="VV51" s="15" t="s">
        <v>71</v>
      </c>
      <c r="VW51" s="15" t="s">
        <v>71</v>
      </c>
      <c r="VX51" s="15" t="s">
        <v>71</v>
      </c>
      <c r="VY51" s="15" t="s">
        <v>71</v>
      </c>
      <c r="VZ51" s="15" t="s">
        <v>71</v>
      </c>
      <c r="WA51" s="15" t="s">
        <v>71</v>
      </c>
      <c r="WB51" s="15" t="s">
        <v>71</v>
      </c>
      <c r="WC51" s="15" t="s">
        <v>71</v>
      </c>
      <c r="WD51" s="15" t="s">
        <v>71</v>
      </c>
      <c r="WE51" s="15" t="s">
        <v>71</v>
      </c>
      <c r="WF51" s="15" t="s">
        <v>71</v>
      </c>
      <c r="WG51" s="15" t="s">
        <v>71</v>
      </c>
      <c r="WH51" s="15" t="s">
        <v>71</v>
      </c>
      <c r="WI51" s="15" t="s">
        <v>71</v>
      </c>
      <c r="WJ51" s="15" t="s">
        <v>71</v>
      </c>
      <c r="WK51" s="15" t="s">
        <v>71</v>
      </c>
      <c r="WL51" s="15" t="s">
        <v>71</v>
      </c>
      <c r="WM51" s="15" t="s">
        <v>71</v>
      </c>
      <c r="WN51" s="15" t="s">
        <v>71</v>
      </c>
      <c r="WO51" s="15" t="s">
        <v>71</v>
      </c>
      <c r="WP51" s="15" t="s">
        <v>71</v>
      </c>
      <c r="WQ51" s="15" t="s">
        <v>71</v>
      </c>
      <c r="WR51" s="15" t="s">
        <v>71</v>
      </c>
      <c r="WS51" s="15" t="s">
        <v>71</v>
      </c>
      <c r="WT51" s="15" t="s">
        <v>71</v>
      </c>
      <c r="WU51" s="15" t="s">
        <v>71</v>
      </c>
      <c r="WV51" s="15" t="s">
        <v>71</v>
      </c>
      <c r="WW51" s="15" t="s">
        <v>71</v>
      </c>
      <c r="WX51" s="15" t="s">
        <v>71</v>
      </c>
      <c r="WY51" s="15" t="s">
        <v>71</v>
      </c>
      <c r="WZ51" s="15" t="s">
        <v>71</v>
      </c>
      <c r="XA51" s="15" t="s">
        <v>71</v>
      </c>
      <c r="XB51" s="15" t="s">
        <v>71</v>
      </c>
      <c r="XC51" s="15" t="s">
        <v>71</v>
      </c>
      <c r="XD51" s="15" t="s">
        <v>71</v>
      </c>
      <c r="XE51" s="15" t="s">
        <v>71</v>
      </c>
      <c r="XF51" s="15" t="s">
        <v>71</v>
      </c>
      <c r="XG51" s="15" t="s">
        <v>71</v>
      </c>
      <c r="XH51" s="15" t="s">
        <v>71</v>
      </c>
      <c r="XI51" s="15" t="s">
        <v>71</v>
      </c>
      <c r="XJ51" s="15" t="s">
        <v>71</v>
      </c>
      <c r="XK51" s="15" t="s">
        <v>71</v>
      </c>
      <c r="XL51" s="15" t="s">
        <v>71</v>
      </c>
      <c r="XM51" s="15" t="s">
        <v>71</v>
      </c>
      <c r="XN51" s="15" t="s">
        <v>71</v>
      </c>
      <c r="XO51" s="15" t="s">
        <v>71</v>
      </c>
      <c r="XP51" s="15" t="s">
        <v>71</v>
      </c>
      <c r="XQ51" s="15" t="s">
        <v>71</v>
      </c>
      <c r="XR51" s="15" t="s">
        <v>71</v>
      </c>
      <c r="XS51" s="15" t="s">
        <v>71</v>
      </c>
      <c r="XT51" s="15" t="s">
        <v>71</v>
      </c>
      <c r="XU51" s="15" t="s">
        <v>71</v>
      </c>
      <c r="XV51" s="15" t="s">
        <v>71</v>
      </c>
      <c r="XW51" s="15" t="s">
        <v>71</v>
      </c>
      <c r="XX51" s="15" t="s">
        <v>71</v>
      </c>
      <c r="XY51" s="15" t="s">
        <v>71</v>
      </c>
      <c r="XZ51" s="15" t="s">
        <v>71</v>
      </c>
      <c r="YA51" s="15" t="s">
        <v>71</v>
      </c>
      <c r="YB51" s="15" t="s">
        <v>71</v>
      </c>
      <c r="YC51" s="15" t="s">
        <v>71</v>
      </c>
      <c r="YD51" s="15" t="s">
        <v>71</v>
      </c>
      <c r="YE51" s="15" t="s">
        <v>71</v>
      </c>
      <c r="YF51" s="15" t="s">
        <v>71</v>
      </c>
      <c r="YG51" s="15" t="s">
        <v>71</v>
      </c>
      <c r="YH51" s="15" t="s">
        <v>71</v>
      </c>
      <c r="YI51" s="15" t="s">
        <v>71</v>
      </c>
      <c r="YJ51" s="15" t="s">
        <v>71</v>
      </c>
      <c r="YK51" s="15" t="s">
        <v>71</v>
      </c>
      <c r="YL51" s="15" t="s">
        <v>71</v>
      </c>
      <c r="YM51" s="15" t="s">
        <v>71</v>
      </c>
      <c r="YN51" s="15" t="s">
        <v>71</v>
      </c>
      <c r="YO51" s="15" t="s">
        <v>71</v>
      </c>
      <c r="YP51" s="15" t="s">
        <v>71</v>
      </c>
      <c r="YQ51" s="15" t="s">
        <v>71</v>
      </c>
      <c r="YR51" s="15" t="s">
        <v>71</v>
      </c>
      <c r="YS51" s="15" t="s">
        <v>71</v>
      </c>
      <c r="YT51" s="15" t="s">
        <v>71</v>
      </c>
      <c r="YU51" s="15" t="s">
        <v>71</v>
      </c>
      <c r="YV51" s="15" t="s">
        <v>71</v>
      </c>
      <c r="YW51" s="15" t="s">
        <v>71</v>
      </c>
      <c r="YX51" s="15" t="s">
        <v>71</v>
      </c>
      <c r="YY51" s="15" t="s">
        <v>71</v>
      </c>
      <c r="YZ51" s="15" t="s">
        <v>71</v>
      </c>
      <c r="ZA51" s="15" t="s">
        <v>71</v>
      </c>
      <c r="ZB51" s="15" t="s">
        <v>71</v>
      </c>
      <c r="ZC51" s="15" t="s">
        <v>71</v>
      </c>
      <c r="ZD51" s="15" t="s">
        <v>71</v>
      </c>
      <c r="ZE51" s="15" t="s">
        <v>71</v>
      </c>
      <c r="ZF51" s="15" t="s">
        <v>71</v>
      </c>
      <c r="ZG51" s="15" t="s">
        <v>71</v>
      </c>
      <c r="ZH51" s="15" t="s">
        <v>71</v>
      </c>
      <c r="ZI51" s="15" t="s">
        <v>71</v>
      </c>
      <c r="ZJ51" s="15" t="s">
        <v>71</v>
      </c>
      <c r="ZK51" s="15" t="s">
        <v>71</v>
      </c>
      <c r="ZL51" s="15" t="s">
        <v>71</v>
      </c>
      <c r="ZM51" s="15" t="s">
        <v>71</v>
      </c>
      <c r="ZN51" s="15" t="s">
        <v>71</v>
      </c>
      <c r="ZO51" s="15" t="s">
        <v>71</v>
      </c>
      <c r="ZP51" s="15" t="s">
        <v>71</v>
      </c>
      <c r="ZQ51" s="15" t="s">
        <v>71</v>
      </c>
      <c r="ZR51" s="15" t="s">
        <v>71</v>
      </c>
      <c r="ZS51" s="15" t="s">
        <v>71</v>
      </c>
      <c r="ZT51" s="15" t="s">
        <v>71</v>
      </c>
      <c r="ZU51" s="15" t="s">
        <v>71</v>
      </c>
      <c r="ZV51" s="15" t="s">
        <v>71</v>
      </c>
      <c r="ZW51" s="15" t="s">
        <v>71</v>
      </c>
      <c r="ZX51" s="15" t="s">
        <v>71</v>
      </c>
      <c r="ZY51" s="15" t="s">
        <v>71</v>
      </c>
      <c r="ZZ51" s="15" t="s">
        <v>71</v>
      </c>
      <c r="AAA51" s="15" t="s">
        <v>71</v>
      </c>
      <c r="AAB51" s="15" t="s">
        <v>71</v>
      </c>
      <c r="AAC51" s="15" t="s">
        <v>71</v>
      </c>
      <c r="AAD51" s="15" t="s">
        <v>71</v>
      </c>
      <c r="AAE51" s="15" t="s">
        <v>71</v>
      </c>
      <c r="AAF51" s="15" t="s">
        <v>71</v>
      </c>
      <c r="AAG51" s="15" t="s">
        <v>71</v>
      </c>
      <c r="AAH51" s="15" t="s">
        <v>71</v>
      </c>
      <c r="AAI51" s="15" t="s">
        <v>71</v>
      </c>
      <c r="AAJ51" s="15" t="s">
        <v>71</v>
      </c>
      <c r="AAK51" s="15" t="s">
        <v>71</v>
      </c>
      <c r="AAL51" s="15"/>
      <c r="AAM51" s="15" t="s">
        <v>71</v>
      </c>
      <c r="AAN51" s="15" t="s">
        <v>71</v>
      </c>
      <c r="AAO51" s="15" t="s">
        <v>71</v>
      </c>
      <c r="AAP51" s="15" t="s">
        <v>71</v>
      </c>
      <c r="AAQ51" s="15" t="s">
        <v>71</v>
      </c>
      <c r="AAR51" s="15" t="s">
        <v>71</v>
      </c>
      <c r="AAS51" s="15" t="s">
        <v>71</v>
      </c>
      <c r="AAT51" s="15" t="s">
        <v>71</v>
      </c>
      <c r="AAU51" s="15" t="s">
        <v>71</v>
      </c>
      <c r="AAV51" s="15" t="s">
        <v>71</v>
      </c>
      <c r="AAW51" s="15" t="s">
        <v>71</v>
      </c>
      <c r="AAX51" s="15"/>
      <c r="AAY51" s="15" t="s">
        <v>71</v>
      </c>
      <c r="AAZ51" s="15" t="s">
        <v>71</v>
      </c>
      <c r="ABA51" s="15" t="s">
        <v>71</v>
      </c>
      <c r="ABB51" s="15" t="s">
        <v>71</v>
      </c>
      <c r="ABC51" s="15" t="s">
        <v>71</v>
      </c>
      <c r="ABD51" s="15" t="s">
        <v>71</v>
      </c>
      <c r="ABE51" s="15" t="s">
        <v>71</v>
      </c>
      <c r="ABF51" s="15" t="s">
        <v>71</v>
      </c>
      <c r="ABG51" s="15" t="s">
        <v>71</v>
      </c>
      <c r="ABH51" s="15" t="s">
        <v>71</v>
      </c>
      <c r="ABI51" s="15" t="s">
        <v>71</v>
      </c>
      <c r="ABJ51" s="15" t="s">
        <v>71</v>
      </c>
      <c r="ABK51" s="15" t="s">
        <v>71</v>
      </c>
      <c r="ABL51" s="15" t="s">
        <v>71</v>
      </c>
      <c r="ABM51" s="15" t="s">
        <v>71</v>
      </c>
      <c r="ABN51" s="15" t="s">
        <v>71</v>
      </c>
      <c r="ABO51" s="15" t="s">
        <v>71</v>
      </c>
      <c r="ABP51" s="15" t="s">
        <v>71</v>
      </c>
      <c r="ABQ51" s="15" t="s">
        <v>71</v>
      </c>
      <c r="ABR51" s="15" t="s">
        <v>71</v>
      </c>
      <c r="ABS51" s="15" t="s">
        <v>71</v>
      </c>
      <c r="ABT51" s="15" t="s">
        <v>71</v>
      </c>
      <c r="ABU51" s="15" t="s">
        <v>71</v>
      </c>
      <c r="ABV51" s="15" t="s">
        <v>71</v>
      </c>
      <c r="ABW51" s="15" t="s">
        <v>71</v>
      </c>
      <c r="ABX51" s="15" t="s">
        <v>71</v>
      </c>
      <c r="ABY51" s="15" t="s">
        <v>71</v>
      </c>
      <c r="ABZ51" s="15" t="s">
        <v>71</v>
      </c>
      <c r="ACA51" s="15" t="s">
        <v>71</v>
      </c>
      <c r="ACB51" s="15" t="s">
        <v>71</v>
      </c>
      <c r="ACC51" s="15" t="s">
        <v>71</v>
      </c>
      <c r="ACD51" s="15" t="s">
        <v>71</v>
      </c>
      <c r="ACE51" s="15" t="s">
        <v>71</v>
      </c>
      <c r="ACF51" s="15" t="s">
        <v>71</v>
      </c>
      <c r="ACG51" s="15" t="s">
        <v>71</v>
      </c>
      <c r="ACH51" s="15" t="s">
        <v>71</v>
      </c>
      <c r="ACI51" s="15" t="s">
        <v>71</v>
      </c>
      <c r="ACJ51" s="15" t="s">
        <v>71</v>
      </c>
      <c r="ACK51" s="15" t="s">
        <v>71</v>
      </c>
      <c r="ACL51" s="15" t="s">
        <v>71</v>
      </c>
      <c r="ACM51" s="15" t="s">
        <v>71</v>
      </c>
      <c r="ACN51" s="15" t="s">
        <v>71</v>
      </c>
      <c r="ACO51" s="15" t="s">
        <v>71</v>
      </c>
      <c r="ACP51" s="15" t="s">
        <v>71</v>
      </c>
      <c r="ACQ51" s="15" t="s">
        <v>71</v>
      </c>
      <c r="ACR51" s="15" t="s">
        <v>71</v>
      </c>
      <c r="ACS51" s="15" t="s">
        <v>71</v>
      </c>
      <c r="ACT51" s="15" t="s">
        <v>71</v>
      </c>
      <c r="ACU51" s="15" t="s">
        <v>71</v>
      </c>
      <c r="ACV51" s="15" t="s">
        <v>71</v>
      </c>
      <c r="ACW51" s="15" t="s">
        <v>71</v>
      </c>
      <c r="ACX51" s="15" t="s">
        <v>71</v>
      </c>
      <c r="ACY51" s="15" t="s">
        <v>71</v>
      </c>
      <c r="ACZ51" s="15" t="s">
        <v>71</v>
      </c>
      <c r="ADA51" s="15" t="s">
        <v>71</v>
      </c>
      <c r="ADB51" s="15" t="s">
        <v>71</v>
      </c>
      <c r="ADC51" s="15" t="s">
        <v>71</v>
      </c>
      <c r="ADD51" s="15" t="s">
        <v>71</v>
      </c>
      <c r="ADE51" s="15" t="s">
        <v>71</v>
      </c>
      <c r="ADF51" s="15" t="s">
        <v>71</v>
      </c>
      <c r="ADG51" s="15" t="s">
        <v>71</v>
      </c>
      <c r="ADH51" s="15"/>
      <c r="ADI51" s="15" t="s">
        <v>71</v>
      </c>
      <c r="ADJ51" s="15" t="s">
        <v>71</v>
      </c>
      <c r="ADK51" s="15" t="s">
        <v>71</v>
      </c>
      <c r="ADL51" s="15" t="s">
        <v>71</v>
      </c>
      <c r="ADM51" s="15" t="s">
        <v>71</v>
      </c>
      <c r="ADN51" s="15" t="s">
        <v>71</v>
      </c>
      <c r="ADO51" s="15" t="s">
        <v>71</v>
      </c>
      <c r="ADP51" s="15" t="s">
        <v>71</v>
      </c>
      <c r="ADQ51" s="15" t="s">
        <v>71</v>
      </c>
      <c r="ADR51" s="15" t="s">
        <v>71</v>
      </c>
      <c r="ADS51" s="15" t="s">
        <v>71</v>
      </c>
      <c r="ADT51" s="15" t="s">
        <v>71</v>
      </c>
      <c r="ADU51" s="15" t="s">
        <v>71</v>
      </c>
      <c r="ADV51" s="15" t="s">
        <v>71</v>
      </c>
      <c r="ADW51" s="15" t="s">
        <v>71</v>
      </c>
      <c r="ADX51" s="15" t="s">
        <v>71</v>
      </c>
      <c r="ADY51" s="15" t="s">
        <v>71</v>
      </c>
      <c r="ADZ51" s="15" t="s">
        <v>71</v>
      </c>
      <c r="AEA51" s="15" t="s">
        <v>71</v>
      </c>
      <c r="AEB51" s="15" t="s">
        <v>71</v>
      </c>
      <c r="AEC51" s="15" t="s">
        <v>71</v>
      </c>
      <c r="AED51" s="15" t="s">
        <v>71</v>
      </c>
      <c r="AEE51" s="15" t="s">
        <v>71</v>
      </c>
      <c r="AEF51" s="15" t="s">
        <v>71</v>
      </c>
      <c r="AEG51" s="15" t="s">
        <v>71</v>
      </c>
      <c r="AEH51" s="15" t="s">
        <v>71</v>
      </c>
      <c r="AEI51" s="15" t="s">
        <v>71</v>
      </c>
      <c r="AEJ51" s="15" t="s">
        <v>71</v>
      </c>
      <c r="AEK51" s="15" t="s">
        <v>71</v>
      </c>
      <c r="AEL51" s="15" t="s">
        <v>71</v>
      </c>
      <c r="AEM51" s="15" t="s">
        <v>71</v>
      </c>
      <c r="AEN51" s="15" t="s">
        <v>71</v>
      </c>
      <c r="AEO51" s="15" t="s">
        <v>71</v>
      </c>
      <c r="AEP51" s="15" t="s">
        <v>71</v>
      </c>
      <c r="AEQ51" s="15" t="s">
        <v>71</v>
      </c>
      <c r="AER51" s="15" t="s">
        <v>71</v>
      </c>
      <c r="AES51" s="15" t="s">
        <v>71</v>
      </c>
      <c r="AET51" s="15" t="s">
        <v>71</v>
      </c>
      <c r="AEU51" s="15" t="s">
        <v>71</v>
      </c>
      <c r="AEV51" s="15" t="s">
        <v>71</v>
      </c>
      <c r="AEW51" s="15" t="s">
        <v>71</v>
      </c>
      <c r="AEX51" s="15" t="s">
        <v>71</v>
      </c>
      <c r="AEY51" s="15" t="s">
        <v>71</v>
      </c>
      <c r="AEZ51" s="15" t="s">
        <v>71</v>
      </c>
      <c r="AFA51" s="15" t="s">
        <v>71</v>
      </c>
      <c r="AFB51" s="15" t="s">
        <v>71</v>
      </c>
      <c r="AFC51" s="15" t="s">
        <v>71</v>
      </c>
      <c r="AFD51" s="15" t="s">
        <v>71</v>
      </c>
      <c r="AFE51" s="15" t="s">
        <v>71</v>
      </c>
      <c r="AFF51" s="15" t="s">
        <v>71</v>
      </c>
      <c r="AFG51" s="15" t="s">
        <v>71</v>
      </c>
      <c r="AFH51" s="15" t="s">
        <v>71</v>
      </c>
      <c r="AFI51" s="15" t="s">
        <v>71</v>
      </c>
      <c r="AFJ51" s="15" t="s">
        <v>71</v>
      </c>
      <c r="AFK51" s="15" t="s">
        <v>71</v>
      </c>
      <c r="AFL51" s="15" t="s">
        <v>71</v>
      </c>
      <c r="AFM51" s="15" t="s">
        <v>71</v>
      </c>
      <c r="AFN51" s="15" t="s">
        <v>71</v>
      </c>
      <c r="AFO51" s="15" t="s">
        <v>71</v>
      </c>
      <c r="AFP51" s="15" t="s">
        <v>71</v>
      </c>
      <c r="AFQ51" s="15" t="s">
        <v>71</v>
      </c>
      <c r="AFR51" s="15"/>
      <c r="AFS51" s="15" t="s">
        <v>71</v>
      </c>
      <c r="AFT51" s="15" t="s">
        <v>71</v>
      </c>
      <c r="AFU51" s="15" t="s">
        <v>71</v>
      </c>
      <c r="AFV51" s="15" t="s">
        <v>71</v>
      </c>
      <c r="AFW51" s="15" t="s">
        <v>71</v>
      </c>
      <c r="AFX51" s="15" t="s">
        <v>71</v>
      </c>
      <c r="AFY51" s="15" t="s">
        <v>71</v>
      </c>
      <c r="AFZ51" s="15" t="s">
        <v>71</v>
      </c>
      <c r="AGA51" s="15" t="s">
        <v>71</v>
      </c>
      <c r="AGB51" s="15" t="s">
        <v>71</v>
      </c>
      <c r="AGC51" s="15" t="s">
        <v>71</v>
      </c>
      <c r="AGD51" s="15" t="s">
        <v>71</v>
      </c>
      <c r="AGE51" s="15" t="s">
        <v>71</v>
      </c>
      <c r="AGF51" s="15" t="s">
        <v>71</v>
      </c>
      <c r="AGG51" s="15" t="s">
        <v>71</v>
      </c>
      <c r="AGH51" s="15" t="s">
        <v>71</v>
      </c>
      <c r="AGI51" s="15" t="s">
        <v>71</v>
      </c>
      <c r="AGJ51" s="15" t="s">
        <v>71</v>
      </c>
      <c r="AGK51" s="15" t="s">
        <v>71</v>
      </c>
      <c r="AGL51" s="15" t="s">
        <v>71</v>
      </c>
      <c r="AGM51" s="15" t="s">
        <v>71</v>
      </c>
      <c r="AGN51" s="15" t="s">
        <v>71</v>
      </c>
      <c r="AGO51" s="15" t="s">
        <v>71</v>
      </c>
      <c r="AGP51" s="15" t="s">
        <v>71</v>
      </c>
      <c r="AGQ51" s="15" t="s">
        <v>71</v>
      </c>
      <c r="AGR51" s="15" t="s">
        <v>71</v>
      </c>
      <c r="AGS51" s="15" t="s">
        <v>71</v>
      </c>
      <c r="AGT51" s="15" t="s">
        <v>71</v>
      </c>
      <c r="AGU51" s="15" t="s">
        <v>71</v>
      </c>
      <c r="AGV51" s="15" t="s">
        <v>71</v>
      </c>
      <c r="AGW51" s="15" t="s">
        <v>71</v>
      </c>
      <c r="AGX51" s="15" t="s">
        <v>71</v>
      </c>
      <c r="AGY51" s="15" t="s">
        <v>71</v>
      </c>
      <c r="AGZ51" s="15" t="s">
        <v>71</v>
      </c>
      <c r="AHA51" s="15" t="s">
        <v>71</v>
      </c>
      <c r="AHB51" s="15" t="s">
        <v>71</v>
      </c>
      <c r="AHC51" s="15" t="s">
        <v>71</v>
      </c>
      <c r="AHD51" s="15" t="s">
        <v>71</v>
      </c>
      <c r="AHE51" s="15" t="s">
        <v>71</v>
      </c>
      <c r="AHF51" s="15" t="s">
        <v>71</v>
      </c>
      <c r="AHG51" s="15" t="s">
        <v>71</v>
      </c>
      <c r="AHH51" s="15" t="s">
        <v>71</v>
      </c>
      <c r="AHI51" s="15" t="s">
        <v>71</v>
      </c>
      <c r="AHJ51" s="15" t="s">
        <v>71</v>
      </c>
      <c r="AHK51" s="15" t="s">
        <v>71</v>
      </c>
      <c r="AHL51" s="15" t="s">
        <v>71</v>
      </c>
      <c r="AHM51" s="15" t="s">
        <v>71</v>
      </c>
      <c r="AHN51" s="15" t="s">
        <v>71</v>
      </c>
      <c r="AHO51" s="15" t="s">
        <v>71</v>
      </c>
      <c r="AHP51" s="15" t="s">
        <v>71</v>
      </c>
      <c r="AHQ51" s="15" t="s">
        <v>71</v>
      </c>
      <c r="AHR51" s="15" t="s">
        <v>71</v>
      </c>
      <c r="AHS51" s="15" t="s">
        <v>71</v>
      </c>
      <c r="AHT51" s="15" t="s">
        <v>71</v>
      </c>
      <c r="AHU51" s="15" t="s">
        <v>71</v>
      </c>
      <c r="AHV51" s="15" t="s">
        <v>71</v>
      </c>
      <c r="AHW51" s="15" t="s">
        <v>71</v>
      </c>
      <c r="AHX51" s="15" t="s">
        <v>71</v>
      </c>
      <c r="AHY51" s="15" t="s">
        <v>71</v>
      </c>
      <c r="AHZ51" s="15" t="s">
        <v>71</v>
      </c>
      <c r="AIA51" s="15" t="s">
        <v>71</v>
      </c>
      <c r="AIB51" s="15" t="s">
        <v>71</v>
      </c>
      <c r="AIC51" s="15" t="s">
        <v>71</v>
      </c>
      <c r="AID51" s="15" t="s">
        <v>71</v>
      </c>
      <c r="AIE51" s="15" t="s">
        <v>71</v>
      </c>
      <c r="AIF51" s="15" t="s">
        <v>71</v>
      </c>
      <c r="AIG51" s="15" t="s">
        <v>71</v>
      </c>
      <c r="AIH51" s="15" t="s">
        <v>71</v>
      </c>
      <c r="AII51" s="15" t="s">
        <v>71</v>
      </c>
      <c r="AIJ51" s="15" t="s">
        <v>71</v>
      </c>
      <c r="AIK51" s="15" t="s">
        <v>71</v>
      </c>
      <c r="AIL51" s="15" t="s">
        <v>71</v>
      </c>
      <c r="AIM51" s="15" t="s">
        <v>71</v>
      </c>
      <c r="AIN51" s="15" t="s">
        <v>71</v>
      </c>
      <c r="AIO51" s="15" t="s">
        <v>71</v>
      </c>
      <c r="AIP51" s="15" t="s">
        <v>71</v>
      </c>
      <c r="AIQ51" s="15" t="s">
        <v>71</v>
      </c>
      <c r="AIR51" s="15" t="s">
        <v>71</v>
      </c>
      <c r="AIS51" s="15" t="s">
        <v>71</v>
      </c>
      <c r="AIT51" s="15" t="s">
        <v>71</v>
      </c>
      <c r="AIU51" s="15" t="s">
        <v>71</v>
      </c>
      <c r="AIV51" s="15" t="s">
        <v>71</v>
      </c>
      <c r="AIW51" s="15" t="s">
        <v>71</v>
      </c>
      <c r="AIX51" s="15" t="s">
        <v>71</v>
      </c>
      <c r="AIY51" s="15" t="s">
        <v>71</v>
      </c>
      <c r="AIZ51" s="15" t="s">
        <v>71</v>
      </c>
      <c r="AJA51" s="15" t="s">
        <v>71</v>
      </c>
      <c r="AJB51" s="15" t="s">
        <v>71</v>
      </c>
      <c r="AJC51" s="15" t="s">
        <v>71</v>
      </c>
      <c r="AJD51" s="15" t="s">
        <v>71</v>
      </c>
      <c r="AJE51" s="15" t="s">
        <v>71</v>
      </c>
      <c r="AJF51" s="15"/>
      <c r="AJG51" s="15" t="s">
        <v>71</v>
      </c>
      <c r="AJH51" s="15" t="s">
        <v>71</v>
      </c>
      <c r="AJI51" s="15" t="s">
        <v>110</v>
      </c>
      <c r="AJJ51" s="15" t="s">
        <v>110</v>
      </c>
      <c r="AJK51" s="15" t="s">
        <v>110</v>
      </c>
      <c r="AJL51" s="15" t="s">
        <v>110</v>
      </c>
      <c r="AJM51" s="15" t="s">
        <v>110</v>
      </c>
      <c r="AJN51" s="15"/>
      <c r="AJO51" s="15" t="s">
        <v>71</v>
      </c>
      <c r="AJP51" s="15" t="s">
        <v>71</v>
      </c>
      <c r="AJQ51" s="15" t="s">
        <v>110</v>
      </c>
      <c r="AJR51" s="15" t="s">
        <v>110</v>
      </c>
      <c r="AJS51" s="15" t="s">
        <v>110</v>
      </c>
      <c r="AJT51" s="15" t="s">
        <v>110</v>
      </c>
      <c r="AJU51" s="15" t="s">
        <v>110</v>
      </c>
      <c r="AJV51" s="15" t="s">
        <v>110</v>
      </c>
      <c r="AJW51" s="15" t="s">
        <v>110</v>
      </c>
      <c r="AJX51" s="15"/>
      <c r="AJY51" s="15" t="s">
        <v>71</v>
      </c>
      <c r="AJZ51" s="15" t="s">
        <v>71</v>
      </c>
      <c r="AKA51" s="15" t="s">
        <v>110</v>
      </c>
      <c r="AKB51" s="15" t="s">
        <v>110</v>
      </c>
      <c r="AKC51" s="15" t="s">
        <v>110</v>
      </c>
      <c r="AKD51" s="15" t="s">
        <v>110</v>
      </c>
      <c r="AKE51" s="15" t="s">
        <v>110</v>
      </c>
      <c r="AKF51" s="15" t="s">
        <v>110</v>
      </c>
      <c r="AKG51" s="15" t="s">
        <v>110</v>
      </c>
      <c r="AKH51" s="15" t="s">
        <v>110</v>
      </c>
      <c r="AKI51" s="15"/>
      <c r="AKJ51" s="15" t="s">
        <v>71</v>
      </c>
      <c r="AKK51" s="15" t="s">
        <v>71</v>
      </c>
      <c r="AKL51" s="15" t="s">
        <v>71</v>
      </c>
      <c r="AKM51" s="15" t="s">
        <v>71</v>
      </c>
      <c r="AKN51" s="15" t="s">
        <v>71</v>
      </c>
      <c r="AKO51" s="15" t="s">
        <v>71</v>
      </c>
      <c r="AKP51" s="15" t="s">
        <v>71</v>
      </c>
      <c r="AKQ51" s="15" t="s">
        <v>110</v>
      </c>
      <c r="AKR51" s="15" t="s">
        <v>110</v>
      </c>
      <c r="AKS51" s="15" t="s">
        <v>71</v>
      </c>
      <c r="AKT51" s="15" t="s">
        <v>110</v>
      </c>
      <c r="AKU51" s="15" t="s">
        <v>110</v>
      </c>
      <c r="AKV51" s="15" t="s">
        <v>110</v>
      </c>
      <c r="AKW51" s="15" t="s">
        <v>110</v>
      </c>
      <c r="AKX51" s="15"/>
      <c r="AKY51" s="15" t="s">
        <v>71</v>
      </c>
      <c r="AKZ51" s="15" t="s">
        <v>71</v>
      </c>
      <c r="ALA51" s="15" t="s">
        <v>71</v>
      </c>
      <c r="ALB51" s="15" t="s">
        <v>71</v>
      </c>
      <c r="ALC51" s="15" t="s">
        <v>71</v>
      </c>
      <c r="ALD51" s="15" t="s">
        <v>71</v>
      </c>
      <c r="ALE51" s="15" t="s">
        <v>71</v>
      </c>
      <c r="ALF51" s="15" t="s">
        <v>71</v>
      </c>
      <c r="ALG51" s="15" t="s">
        <v>71</v>
      </c>
      <c r="ALH51" s="15" t="s">
        <v>110</v>
      </c>
      <c r="ALI51" s="15" t="s">
        <v>110</v>
      </c>
      <c r="ALJ51" s="15" t="s">
        <v>110</v>
      </c>
      <c r="ALK51" s="15" t="s">
        <v>110</v>
      </c>
      <c r="ALL51" s="15" t="s">
        <v>110</v>
      </c>
      <c r="ALM51" s="15"/>
      <c r="ALN51" s="15" t="s">
        <v>71</v>
      </c>
      <c r="ALO51" s="15" t="s">
        <v>71</v>
      </c>
      <c r="ALP51" s="15" t="s">
        <v>71</v>
      </c>
      <c r="ALQ51" s="15" t="s">
        <v>71</v>
      </c>
      <c r="ALR51" s="15" t="s">
        <v>71</v>
      </c>
      <c r="ALS51" s="15" t="s">
        <v>71</v>
      </c>
      <c r="ALT51" s="15" t="s">
        <v>71</v>
      </c>
      <c r="ALU51" s="15" t="s">
        <v>71</v>
      </c>
      <c r="ALV51" s="15" t="s">
        <v>71</v>
      </c>
      <c r="ALW51" s="15" t="s">
        <v>71</v>
      </c>
      <c r="ALX51" s="15" t="s">
        <v>110</v>
      </c>
      <c r="ALY51" s="15" t="s">
        <v>110</v>
      </c>
      <c r="ALZ51" s="15" t="s">
        <v>110</v>
      </c>
      <c r="AMA51" s="15" t="s">
        <v>110</v>
      </c>
      <c r="AMB51" s="15" t="s">
        <v>110</v>
      </c>
      <c r="AMC51" s="15"/>
      <c r="AMD51" s="15" t="s">
        <v>71</v>
      </c>
      <c r="AME51" s="15" t="s">
        <v>71</v>
      </c>
      <c r="AMF51" s="15" t="s">
        <v>71</v>
      </c>
      <c r="AMG51" s="15" t="s">
        <v>71</v>
      </c>
      <c r="AMH51" s="15" t="s">
        <v>71</v>
      </c>
      <c r="AMI51" s="15" t="s">
        <v>71</v>
      </c>
      <c r="AMJ51" s="15" t="s">
        <v>71</v>
      </c>
      <c r="AMK51" s="15" t="s">
        <v>71</v>
      </c>
      <c r="AML51" s="15" t="s">
        <v>71</v>
      </c>
      <c r="AMM51" s="15" t="s">
        <v>71</v>
      </c>
      <c r="AMN51" s="15" t="s">
        <v>71</v>
      </c>
      <c r="AMO51" s="15" t="s">
        <v>110</v>
      </c>
      <c r="AMP51" s="15" t="s">
        <v>110</v>
      </c>
      <c r="AMQ51" s="15" t="s">
        <v>110</v>
      </c>
      <c r="AMR51" s="15" t="s">
        <v>110</v>
      </c>
      <c r="AMS51" s="15" t="s">
        <v>110</v>
      </c>
      <c r="AMT51" s="15" t="s">
        <v>110</v>
      </c>
      <c r="AMU51" s="15" t="s">
        <v>110</v>
      </c>
      <c r="AMV51" s="15" t="s">
        <v>110</v>
      </c>
      <c r="AMW51" s="15" t="s">
        <v>110</v>
      </c>
      <c r="AMX51" s="15" t="s">
        <v>110</v>
      </c>
      <c r="AMY51" s="15" t="s">
        <v>110</v>
      </c>
      <c r="AMZ51" s="15" t="s">
        <v>110</v>
      </c>
      <c r="ANA51" s="15" t="s">
        <v>110</v>
      </c>
      <c r="ANB51" s="15" t="s">
        <v>110</v>
      </c>
      <c r="ANC51" s="15" t="s">
        <v>110</v>
      </c>
      <c r="AND51" s="15" t="s">
        <v>110</v>
      </c>
      <c r="ANE51" s="15"/>
      <c r="ANF51" s="15"/>
      <c r="ANG51" s="15"/>
      <c r="ANH51" s="15"/>
      <c r="ANI51" s="15"/>
      <c r="ANJ51" s="15"/>
      <c r="ANK51" s="15"/>
      <c r="ANL51" s="15"/>
      <c r="ANM51" s="15"/>
      <c r="ANN51" s="15"/>
      <c r="ANO51" s="15"/>
      <c r="ANP51" s="15"/>
      <c r="ANQ51" s="15"/>
      <c r="ANR51" s="15"/>
      <c r="ANS51" s="15"/>
      <c r="ANT51" s="15"/>
      <c r="ANU51" s="15"/>
      <c r="ANV51" s="15"/>
      <c r="ANW51" s="15"/>
      <c r="ANX51" s="15"/>
      <c r="ANY51" s="15"/>
      <c r="ANZ51" s="15"/>
      <c r="AOA51" s="15"/>
      <c r="AOB51" s="15"/>
      <c r="AOC51" s="15"/>
      <c r="AOD51" s="15"/>
      <c r="AOE51" s="15"/>
      <c r="AOF51" s="15"/>
      <c r="AOG51" s="15"/>
      <c r="AOH51" s="15"/>
      <c r="AOI51" s="15"/>
      <c r="AOJ51" s="15"/>
      <c r="AOK51" s="15"/>
      <c r="AOL51" s="15"/>
      <c r="AOM51" s="15"/>
      <c r="AON51" s="15"/>
      <c r="AOO51" s="15"/>
      <c r="AOP51" s="15"/>
      <c r="AOQ51" s="15"/>
      <c r="AOR51" s="15"/>
      <c r="AOS51" s="15"/>
      <c r="AOT51" s="15"/>
      <c r="AOU51" s="15"/>
      <c r="AOV51" s="15"/>
      <c r="AOW51" s="15"/>
      <c r="AOX51" s="15"/>
      <c r="AOY51" s="15"/>
      <c r="AOZ51" s="15"/>
      <c r="APA51" s="15"/>
      <c r="APB51" s="15"/>
      <c r="APC51" s="15"/>
      <c r="APD51" s="15"/>
      <c r="APE51" s="15"/>
      <c r="APF51" s="15"/>
      <c r="APG51" s="15"/>
      <c r="APH51" s="15"/>
      <c r="API51" s="15"/>
      <c r="APJ51" s="15"/>
      <c r="APK51" s="15"/>
      <c r="APL51" s="15"/>
      <c r="APM51" s="15"/>
      <c r="APN51" s="15"/>
      <c r="APO51" s="15"/>
      <c r="APP51" s="15"/>
      <c r="APQ51" s="15"/>
      <c r="APR51" s="15"/>
      <c r="APS51" s="15"/>
      <c r="APT51" s="15"/>
      <c r="APU51" s="15"/>
      <c r="APV51" s="15"/>
      <c r="APW51" s="15"/>
      <c r="APX51" s="15"/>
      <c r="APY51" s="15"/>
      <c r="APZ51" s="15"/>
      <c r="AQA51" s="15"/>
      <c r="AQB51" s="15"/>
    </row>
    <row r="52" spans="1:1120" s="17" customFormat="1" ht="15" customHeight="1" x14ac:dyDescent="0.25">
      <c r="A52" s="3" t="s">
        <v>2</v>
      </c>
      <c r="B52" s="6" t="s">
        <v>638</v>
      </c>
      <c r="C52" s="15"/>
      <c r="D52" s="15">
        <v>0</v>
      </c>
      <c r="E52" s="15">
        <v>0</v>
      </c>
      <c r="F52" s="15">
        <v>0</v>
      </c>
      <c r="G52" s="15">
        <v>0</v>
      </c>
      <c r="H52" s="15">
        <v>0</v>
      </c>
      <c r="I52" s="15">
        <v>0</v>
      </c>
      <c r="J52" s="15"/>
      <c r="K52" s="15">
        <v>0</v>
      </c>
      <c r="L52" s="15">
        <v>0</v>
      </c>
      <c r="M52" s="15">
        <v>0</v>
      </c>
      <c r="N52" s="15">
        <v>0</v>
      </c>
      <c r="O52" s="15">
        <v>0</v>
      </c>
      <c r="P52" s="15">
        <v>0</v>
      </c>
      <c r="Q52" s="15"/>
      <c r="R52" s="15">
        <v>0</v>
      </c>
      <c r="S52" s="15">
        <v>0</v>
      </c>
      <c r="T52" s="15">
        <v>0</v>
      </c>
      <c r="U52" s="15">
        <v>0</v>
      </c>
      <c r="V52" s="15">
        <v>0</v>
      </c>
      <c r="W52" s="15">
        <v>0</v>
      </c>
      <c r="X52" s="15"/>
      <c r="Y52" s="15">
        <v>0</v>
      </c>
      <c r="Z52" s="15">
        <v>0</v>
      </c>
      <c r="AA52" s="15">
        <v>0</v>
      </c>
      <c r="AB52" s="15">
        <v>0</v>
      </c>
      <c r="AC52" s="15">
        <v>0</v>
      </c>
      <c r="AD52" s="15">
        <v>0</v>
      </c>
      <c r="AE52" s="15"/>
      <c r="AF52" s="15">
        <v>0</v>
      </c>
      <c r="AG52" s="15">
        <v>0</v>
      </c>
      <c r="AH52" s="15">
        <v>0</v>
      </c>
      <c r="AI52" s="15">
        <v>0</v>
      </c>
      <c r="AJ52" s="15">
        <v>0</v>
      </c>
      <c r="AK52" s="15">
        <v>0</v>
      </c>
      <c r="AL52" s="15"/>
      <c r="AM52" s="15">
        <v>0</v>
      </c>
      <c r="AN52" s="15">
        <v>0</v>
      </c>
      <c r="AO52" s="15">
        <v>0</v>
      </c>
      <c r="AP52" s="15">
        <v>0</v>
      </c>
      <c r="AQ52" s="15">
        <v>0</v>
      </c>
      <c r="AR52" s="15">
        <v>0</v>
      </c>
      <c r="AS52" s="15">
        <v>0</v>
      </c>
      <c r="AT52" s="15">
        <v>0</v>
      </c>
      <c r="AU52" s="15">
        <v>0</v>
      </c>
      <c r="AV52" s="15">
        <v>0</v>
      </c>
      <c r="AW52" s="15">
        <v>0</v>
      </c>
      <c r="AX52" s="15">
        <v>0</v>
      </c>
      <c r="AY52" s="15">
        <v>0</v>
      </c>
      <c r="AZ52" s="15">
        <v>0</v>
      </c>
      <c r="BA52" s="15">
        <v>0</v>
      </c>
      <c r="BB52" s="15">
        <v>0</v>
      </c>
      <c r="BC52" s="15">
        <v>0</v>
      </c>
      <c r="BD52" s="15">
        <v>0</v>
      </c>
      <c r="BE52" s="15">
        <v>0</v>
      </c>
      <c r="BF52" s="15">
        <v>0</v>
      </c>
      <c r="BG52" s="15">
        <v>0</v>
      </c>
      <c r="BH52" s="15">
        <v>0</v>
      </c>
      <c r="BI52" s="15">
        <v>0</v>
      </c>
      <c r="BJ52" s="15">
        <v>0</v>
      </c>
      <c r="BK52" s="15">
        <v>0</v>
      </c>
      <c r="BL52" s="15">
        <v>0</v>
      </c>
      <c r="BM52" s="15">
        <v>0</v>
      </c>
      <c r="BN52" s="15">
        <v>0</v>
      </c>
      <c r="BO52" s="15">
        <v>0</v>
      </c>
      <c r="BP52" s="15">
        <v>0</v>
      </c>
      <c r="BQ52" s="15">
        <v>0</v>
      </c>
      <c r="BR52" s="15">
        <v>0</v>
      </c>
      <c r="BS52" s="15">
        <v>0</v>
      </c>
      <c r="BT52" s="15">
        <v>0</v>
      </c>
      <c r="BU52" s="15">
        <v>0</v>
      </c>
      <c r="BV52" s="15">
        <v>0</v>
      </c>
      <c r="BW52" s="15">
        <v>0</v>
      </c>
      <c r="BX52" s="15">
        <v>0</v>
      </c>
      <c r="BY52" s="15">
        <v>0</v>
      </c>
      <c r="BZ52" s="15">
        <v>0</v>
      </c>
      <c r="CA52" s="15">
        <v>0</v>
      </c>
      <c r="CB52" s="15">
        <v>0</v>
      </c>
      <c r="CC52" s="15">
        <v>0</v>
      </c>
      <c r="CD52" s="15">
        <v>0</v>
      </c>
      <c r="CE52" s="15">
        <v>0</v>
      </c>
      <c r="CF52" s="15">
        <v>0</v>
      </c>
      <c r="CG52" s="15">
        <v>0</v>
      </c>
      <c r="CH52" s="15">
        <v>0</v>
      </c>
      <c r="CI52" s="15">
        <v>0</v>
      </c>
      <c r="CJ52" s="15">
        <v>0</v>
      </c>
      <c r="CK52" s="15">
        <v>0</v>
      </c>
      <c r="CL52" s="15">
        <v>0</v>
      </c>
      <c r="CM52" s="15">
        <v>0</v>
      </c>
      <c r="CN52" s="15">
        <v>0</v>
      </c>
      <c r="CO52" s="15">
        <v>0</v>
      </c>
      <c r="CP52" s="15">
        <v>0</v>
      </c>
      <c r="CQ52" s="15">
        <v>0</v>
      </c>
      <c r="CR52" s="15">
        <v>0</v>
      </c>
      <c r="CS52" s="15">
        <v>0</v>
      </c>
      <c r="CT52" s="15">
        <v>0</v>
      </c>
      <c r="CU52" s="15">
        <v>0</v>
      </c>
      <c r="CV52" s="15">
        <v>0</v>
      </c>
      <c r="CW52" s="15">
        <v>0</v>
      </c>
      <c r="CX52" s="15">
        <v>0</v>
      </c>
      <c r="CY52" s="15">
        <v>0</v>
      </c>
      <c r="CZ52" s="15">
        <v>0</v>
      </c>
      <c r="DA52" s="15">
        <v>0</v>
      </c>
      <c r="DB52" s="15">
        <v>0</v>
      </c>
      <c r="DC52" s="15">
        <v>0</v>
      </c>
      <c r="DD52" s="15">
        <v>0</v>
      </c>
      <c r="DE52" s="15">
        <v>0</v>
      </c>
      <c r="DF52" s="15">
        <v>0</v>
      </c>
      <c r="DG52" s="15">
        <v>0</v>
      </c>
      <c r="DH52" s="15">
        <v>0</v>
      </c>
      <c r="DI52" s="15">
        <v>0</v>
      </c>
      <c r="DJ52" s="15">
        <v>0</v>
      </c>
      <c r="DK52" s="15">
        <v>0</v>
      </c>
      <c r="DL52" s="15">
        <v>0</v>
      </c>
      <c r="DM52" s="15">
        <v>0</v>
      </c>
      <c r="DN52" s="15">
        <v>0</v>
      </c>
      <c r="DO52" s="15">
        <v>0</v>
      </c>
      <c r="DP52" s="15">
        <v>0</v>
      </c>
      <c r="DQ52" s="15">
        <v>0</v>
      </c>
      <c r="DR52" s="15">
        <v>0</v>
      </c>
      <c r="DS52" s="15">
        <v>0</v>
      </c>
      <c r="DT52" s="15">
        <v>0</v>
      </c>
      <c r="DU52" s="15">
        <v>0</v>
      </c>
      <c r="DV52" s="15">
        <v>0</v>
      </c>
      <c r="DW52" s="15">
        <v>0</v>
      </c>
      <c r="DX52" s="15">
        <v>0</v>
      </c>
      <c r="DY52" s="15">
        <v>0</v>
      </c>
      <c r="DZ52" s="15">
        <v>0</v>
      </c>
      <c r="EA52" s="15">
        <v>0</v>
      </c>
      <c r="EB52" s="15">
        <v>0</v>
      </c>
      <c r="EC52" s="15">
        <v>0</v>
      </c>
      <c r="ED52" s="15">
        <v>0</v>
      </c>
      <c r="EE52" s="15">
        <v>0</v>
      </c>
      <c r="EF52" s="15">
        <v>0</v>
      </c>
      <c r="EG52" s="15">
        <v>0</v>
      </c>
      <c r="EH52" s="15">
        <v>0</v>
      </c>
      <c r="EI52" s="15">
        <v>0</v>
      </c>
      <c r="EJ52" s="15">
        <v>0</v>
      </c>
      <c r="EK52" s="15">
        <v>0</v>
      </c>
      <c r="EL52" s="15">
        <v>0</v>
      </c>
      <c r="EM52" s="15">
        <v>0</v>
      </c>
      <c r="EN52" s="15">
        <v>0</v>
      </c>
      <c r="EO52" s="15">
        <v>0</v>
      </c>
      <c r="EP52" s="15">
        <v>0</v>
      </c>
      <c r="EQ52" s="15">
        <v>0</v>
      </c>
      <c r="ER52" s="15">
        <v>0</v>
      </c>
      <c r="ES52" s="15">
        <v>0</v>
      </c>
      <c r="ET52" s="15">
        <v>0</v>
      </c>
      <c r="EU52" s="15">
        <v>0</v>
      </c>
      <c r="EV52" s="15">
        <v>0</v>
      </c>
      <c r="EW52" s="15">
        <v>0</v>
      </c>
      <c r="EX52" s="15">
        <v>0</v>
      </c>
      <c r="EY52" s="15">
        <v>0</v>
      </c>
      <c r="EZ52" s="15">
        <v>0</v>
      </c>
      <c r="FA52" s="15">
        <v>0</v>
      </c>
      <c r="FB52" s="15">
        <v>0</v>
      </c>
      <c r="FC52" s="15">
        <v>0</v>
      </c>
      <c r="FD52" s="15">
        <v>0</v>
      </c>
      <c r="FE52" s="15">
        <v>0</v>
      </c>
      <c r="FF52" s="15">
        <v>0</v>
      </c>
      <c r="FG52" s="15">
        <v>0</v>
      </c>
      <c r="FH52" s="15">
        <v>0</v>
      </c>
      <c r="FI52" s="15">
        <v>0</v>
      </c>
      <c r="FJ52" s="15">
        <v>0</v>
      </c>
      <c r="FK52" s="15">
        <v>0</v>
      </c>
      <c r="FL52" s="15">
        <v>0</v>
      </c>
      <c r="FM52" s="15">
        <v>0</v>
      </c>
      <c r="FN52" s="15">
        <v>0</v>
      </c>
      <c r="FO52" s="15">
        <v>0</v>
      </c>
      <c r="FP52" s="15">
        <v>0</v>
      </c>
      <c r="FQ52" s="15">
        <v>0</v>
      </c>
      <c r="FR52" s="15">
        <v>0</v>
      </c>
      <c r="FS52" s="15">
        <v>0</v>
      </c>
      <c r="FT52" s="15">
        <v>0</v>
      </c>
      <c r="FU52" s="15">
        <v>0</v>
      </c>
      <c r="FV52" s="15">
        <v>0</v>
      </c>
      <c r="FW52" s="15">
        <v>0</v>
      </c>
      <c r="FX52" s="15">
        <v>0</v>
      </c>
      <c r="FY52" s="15">
        <v>0</v>
      </c>
      <c r="FZ52" s="15">
        <v>0</v>
      </c>
      <c r="GA52" s="15">
        <v>0</v>
      </c>
      <c r="GB52" s="15">
        <v>0</v>
      </c>
      <c r="GC52" s="15">
        <v>0</v>
      </c>
      <c r="GD52" s="15">
        <v>0</v>
      </c>
      <c r="GE52" s="15">
        <v>0</v>
      </c>
      <c r="GF52" s="15">
        <v>0</v>
      </c>
      <c r="GG52" s="15">
        <v>0</v>
      </c>
      <c r="GH52" s="15">
        <v>0</v>
      </c>
      <c r="GI52" s="15">
        <v>0</v>
      </c>
      <c r="GJ52" s="15">
        <v>0</v>
      </c>
      <c r="GK52" s="15">
        <v>0</v>
      </c>
      <c r="GL52" s="15">
        <v>0</v>
      </c>
      <c r="GM52" s="15">
        <v>0</v>
      </c>
      <c r="GN52" s="15">
        <v>0</v>
      </c>
      <c r="GO52" s="15">
        <v>0</v>
      </c>
      <c r="GP52" s="15">
        <v>0</v>
      </c>
      <c r="GQ52" s="15">
        <v>0</v>
      </c>
      <c r="GR52" s="15">
        <v>0</v>
      </c>
      <c r="GS52" s="15">
        <v>0</v>
      </c>
      <c r="GT52" s="15">
        <v>0</v>
      </c>
      <c r="GU52" s="15">
        <v>0</v>
      </c>
      <c r="GV52" s="15">
        <v>0</v>
      </c>
      <c r="GW52" s="15">
        <v>0</v>
      </c>
      <c r="GX52" s="15">
        <v>0</v>
      </c>
      <c r="GY52" s="15">
        <v>0</v>
      </c>
      <c r="GZ52" s="15">
        <v>0</v>
      </c>
      <c r="HA52" s="15">
        <v>0</v>
      </c>
      <c r="HB52" s="15">
        <v>0</v>
      </c>
      <c r="HC52" s="15">
        <v>0</v>
      </c>
      <c r="HD52" s="15">
        <v>0</v>
      </c>
      <c r="HE52" s="15">
        <v>0</v>
      </c>
      <c r="HF52" s="15">
        <v>0</v>
      </c>
      <c r="HG52" s="15">
        <v>0</v>
      </c>
      <c r="HH52" s="15">
        <v>0</v>
      </c>
      <c r="HI52" s="15">
        <v>0</v>
      </c>
      <c r="HJ52" s="15">
        <v>0</v>
      </c>
      <c r="HK52" s="15">
        <v>0</v>
      </c>
      <c r="HL52" s="15">
        <v>0</v>
      </c>
      <c r="HM52" s="15">
        <v>0</v>
      </c>
      <c r="HN52" s="15">
        <v>0</v>
      </c>
      <c r="HO52" s="15">
        <v>0</v>
      </c>
      <c r="HP52" s="15">
        <v>0</v>
      </c>
      <c r="HQ52" s="15">
        <v>0</v>
      </c>
      <c r="HR52" s="15">
        <v>0</v>
      </c>
      <c r="HS52" s="15">
        <v>0</v>
      </c>
      <c r="HT52" s="15">
        <v>0</v>
      </c>
      <c r="HU52" s="15">
        <v>0</v>
      </c>
      <c r="HV52" s="15">
        <v>0</v>
      </c>
      <c r="HW52" s="15">
        <v>0</v>
      </c>
      <c r="HX52" s="15">
        <v>0</v>
      </c>
      <c r="HY52" s="15">
        <v>0</v>
      </c>
      <c r="HZ52" s="15">
        <v>0</v>
      </c>
      <c r="IA52" s="15">
        <v>0</v>
      </c>
      <c r="IB52" s="15"/>
      <c r="IC52" s="15">
        <v>0</v>
      </c>
      <c r="ID52" s="15">
        <v>0</v>
      </c>
      <c r="IE52" s="15">
        <v>0</v>
      </c>
      <c r="IF52" s="15">
        <v>0</v>
      </c>
      <c r="IG52" s="15">
        <v>0</v>
      </c>
      <c r="IH52" s="15">
        <v>0</v>
      </c>
      <c r="II52" s="15">
        <v>0</v>
      </c>
      <c r="IJ52" s="15">
        <v>0</v>
      </c>
      <c r="IK52" s="15"/>
      <c r="IL52" s="15">
        <v>0</v>
      </c>
      <c r="IM52" s="15">
        <v>0</v>
      </c>
      <c r="IN52" s="15">
        <v>0</v>
      </c>
      <c r="IO52" s="15">
        <v>0</v>
      </c>
      <c r="IP52" s="15">
        <v>0</v>
      </c>
      <c r="IQ52" s="15">
        <v>0</v>
      </c>
      <c r="IR52" s="15">
        <v>0</v>
      </c>
      <c r="IS52" s="15">
        <v>0</v>
      </c>
      <c r="IT52" s="15">
        <v>0</v>
      </c>
      <c r="IU52" s="15">
        <v>0</v>
      </c>
      <c r="IV52" s="15">
        <v>0</v>
      </c>
      <c r="IW52" s="15">
        <v>0</v>
      </c>
      <c r="IX52" s="15">
        <v>0</v>
      </c>
      <c r="IY52" s="15">
        <v>0</v>
      </c>
      <c r="IZ52" s="15">
        <v>0</v>
      </c>
      <c r="JA52" s="15">
        <v>0</v>
      </c>
      <c r="JB52" s="15">
        <v>0</v>
      </c>
      <c r="JC52" s="15">
        <v>0</v>
      </c>
      <c r="JD52" s="15">
        <v>0</v>
      </c>
      <c r="JE52" s="15">
        <v>0</v>
      </c>
      <c r="JF52" s="15">
        <v>0</v>
      </c>
      <c r="JG52" s="15">
        <v>0</v>
      </c>
      <c r="JH52" s="15">
        <v>0</v>
      </c>
      <c r="JI52" s="15">
        <v>0</v>
      </c>
      <c r="JJ52" s="15">
        <v>0</v>
      </c>
      <c r="JK52" s="15">
        <v>0</v>
      </c>
      <c r="JL52" s="15">
        <v>0</v>
      </c>
      <c r="JM52" s="15">
        <v>0</v>
      </c>
      <c r="JN52" s="15">
        <v>0</v>
      </c>
      <c r="JO52" s="15">
        <v>0</v>
      </c>
      <c r="JP52" s="15">
        <v>0</v>
      </c>
      <c r="JQ52" s="15">
        <v>0</v>
      </c>
      <c r="JR52" s="15">
        <v>0</v>
      </c>
      <c r="JS52" s="15">
        <v>0</v>
      </c>
      <c r="JT52" s="15">
        <v>0</v>
      </c>
      <c r="JU52" s="15">
        <v>0</v>
      </c>
      <c r="JV52" s="15">
        <v>0</v>
      </c>
      <c r="JW52" s="15">
        <v>0</v>
      </c>
      <c r="JX52" s="15">
        <v>0</v>
      </c>
      <c r="JY52" s="15">
        <v>0</v>
      </c>
      <c r="JZ52" s="15">
        <v>0</v>
      </c>
      <c r="KA52" s="15">
        <v>0</v>
      </c>
      <c r="KB52" s="15">
        <v>0</v>
      </c>
      <c r="KC52" s="15">
        <v>0</v>
      </c>
      <c r="KD52" s="15">
        <v>0</v>
      </c>
      <c r="KE52" s="15">
        <v>0</v>
      </c>
      <c r="KF52" s="15">
        <v>0</v>
      </c>
      <c r="KG52" s="15">
        <v>0</v>
      </c>
      <c r="KH52" s="15">
        <v>0</v>
      </c>
      <c r="KI52" s="15">
        <v>0</v>
      </c>
      <c r="KJ52" s="15">
        <v>0</v>
      </c>
      <c r="KK52" s="15">
        <v>0</v>
      </c>
      <c r="KL52" s="15">
        <v>0</v>
      </c>
      <c r="KM52" s="15">
        <v>0</v>
      </c>
      <c r="KN52" s="15">
        <v>0</v>
      </c>
      <c r="KO52" s="15">
        <v>0</v>
      </c>
      <c r="KP52" s="15">
        <v>0</v>
      </c>
      <c r="KQ52" s="15">
        <v>0</v>
      </c>
      <c r="KR52" s="15">
        <v>0</v>
      </c>
      <c r="KS52" s="15">
        <v>0</v>
      </c>
      <c r="KT52" s="15">
        <v>0</v>
      </c>
      <c r="KU52" s="15">
        <v>0</v>
      </c>
      <c r="KV52" s="15">
        <v>0</v>
      </c>
      <c r="KW52" s="15">
        <v>0</v>
      </c>
      <c r="KX52" s="15">
        <v>0</v>
      </c>
      <c r="KY52" s="15">
        <v>0</v>
      </c>
      <c r="KZ52" s="15">
        <v>0</v>
      </c>
      <c r="LA52" s="15">
        <v>0</v>
      </c>
      <c r="LB52" s="15">
        <v>0</v>
      </c>
      <c r="LC52" s="15">
        <v>0</v>
      </c>
      <c r="LD52" s="15">
        <v>0</v>
      </c>
      <c r="LE52" s="15">
        <v>0</v>
      </c>
      <c r="LF52" s="15">
        <v>0</v>
      </c>
      <c r="LG52" s="15">
        <v>0</v>
      </c>
      <c r="LH52" s="15">
        <v>0</v>
      </c>
      <c r="LI52" s="15">
        <v>0</v>
      </c>
      <c r="LJ52" s="15">
        <v>0</v>
      </c>
      <c r="LK52" s="15">
        <v>0</v>
      </c>
      <c r="LL52" s="15">
        <v>0</v>
      </c>
      <c r="LM52" s="15">
        <v>0</v>
      </c>
      <c r="LN52" s="15">
        <v>0</v>
      </c>
      <c r="LO52" s="15">
        <v>0</v>
      </c>
      <c r="LP52" s="15">
        <v>0</v>
      </c>
      <c r="LQ52" s="15">
        <v>0</v>
      </c>
      <c r="LR52" s="15">
        <v>0</v>
      </c>
      <c r="LS52" s="15">
        <v>0</v>
      </c>
      <c r="LT52" s="15">
        <v>0</v>
      </c>
      <c r="LU52" s="15">
        <v>0</v>
      </c>
      <c r="LV52" s="15">
        <v>0</v>
      </c>
      <c r="LW52" s="15">
        <v>0</v>
      </c>
      <c r="LX52" s="15">
        <v>0</v>
      </c>
      <c r="LY52" s="15">
        <v>0</v>
      </c>
      <c r="LZ52" s="15">
        <v>0</v>
      </c>
      <c r="MA52" s="15">
        <v>0</v>
      </c>
      <c r="MB52" s="15">
        <v>0</v>
      </c>
      <c r="MC52" s="15">
        <v>0</v>
      </c>
      <c r="MD52" s="15">
        <v>0</v>
      </c>
      <c r="ME52" s="15">
        <v>0</v>
      </c>
      <c r="MF52" s="15">
        <v>0</v>
      </c>
      <c r="MG52" s="15">
        <v>0</v>
      </c>
      <c r="MH52" s="15">
        <v>0</v>
      </c>
      <c r="MI52" s="15">
        <v>0</v>
      </c>
      <c r="MJ52" s="15">
        <v>0</v>
      </c>
      <c r="MK52" s="15">
        <v>0</v>
      </c>
      <c r="ML52" s="15">
        <v>0</v>
      </c>
      <c r="MM52" s="15">
        <v>0</v>
      </c>
      <c r="MN52" s="15">
        <v>0</v>
      </c>
      <c r="MO52" s="15">
        <v>0</v>
      </c>
      <c r="MP52" s="15">
        <v>0</v>
      </c>
      <c r="MQ52" s="15">
        <v>0</v>
      </c>
      <c r="MR52" s="15">
        <v>0</v>
      </c>
      <c r="MS52" s="15">
        <v>0</v>
      </c>
      <c r="MT52" s="15">
        <v>0</v>
      </c>
      <c r="MU52" s="15">
        <v>0</v>
      </c>
      <c r="MV52" s="15">
        <v>0</v>
      </c>
      <c r="MW52" s="15">
        <v>0</v>
      </c>
      <c r="MX52" s="15">
        <v>0</v>
      </c>
      <c r="MY52" s="15">
        <v>0</v>
      </c>
      <c r="MZ52" s="15">
        <v>0</v>
      </c>
      <c r="NA52" s="15">
        <v>0</v>
      </c>
      <c r="NB52" s="15">
        <v>0</v>
      </c>
      <c r="NC52" s="15">
        <v>0</v>
      </c>
      <c r="ND52" s="15">
        <v>0</v>
      </c>
      <c r="NE52" s="15">
        <v>0</v>
      </c>
      <c r="NF52" s="15">
        <v>0</v>
      </c>
      <c r="NG52" s="15">
        <v>0</v>
      </c>
      <c r="NH52" s="15">
        <v>0</v>
      </c>
      <c r="NI52" s="15">
        <v>0</v>
      </c>
      <c r="NJ52" s="15">
        <v>0</v>
      </c>
      <c r="NK52" s="15">
        <v>0</v>
      </c>
      <c r="NL52" s="15">
        <v>0</v>
      </c>
      <c r="NM52" s="15">
        <v>0</v>
      </c>
      <c r="NN52" s="15">
        <v>0</v>
      </c>
      <c r="NO52" s="15">
        <v>0</v>
      </c>
      <c r="NP52" s="15">
        <v>0</v>
      </c>
      <c r="NQ52" s="15">
        <v>0</v>
      </c>
      <c r="NR52" s="15">
        <v>0</v>
      </c>
      <c r="NS52" s="15">
        <v>0</v>
      </c>
      <c r="NT52" s="15">
        <v>0</v>
      </c>
      <c r="NU52" s="15">
        <v>0</v>
      </c>
      <c r="NV52" s="15">
        <v>0</v>
      </c>
      <c r="NW52" s="15">
        <v>0</v>
      </c>
      <c r="NX52" s="15">
        <v>0</v>
      </c>
      <c r="NY52" s="15">
        <v>0</v>
      </c>
      <c r="NZ52" s="15">
        <v>0</v>
      </c>
      <c r="OA52" s="15">
        <v>0</v>
      </c>
      <c r="OB52" s="15">
        <v>0</v>
      </c>
      <c r="OC52" s="15">
        <v>0</v>
      </c>
      <c r="OD52" s="15">
        <v>0</v>
      </c>
      <c r="OE52" s="15">
        <v>0</v>
      </c>
      <c r="OF52" s="15">
        <v>0</v>
      </c>
      <c r="OG52" s="15">
        <v>0</v>
      </c>
      <c r="OH52" s="15">
        <v>0</v>
      </c>
      <c r="OI52" s="15">
        <v>0</v>
      </c>
      <c r="OJ52" s="15">
        <v>0</v>
      </c>
      <c r="OK52" s="15">
        <v>0</v>
      </c>
      <c r="OL52" s="15">
        <v>0</v>
      </c>
      <c r="OM52" s="15">
        <v>0</v>
      </c>
      <c r="ON52" s="15">
        <v>0</v>
      </c>
      <c r="OO52" s="15">
        <v>0</v>
      </c>
      <c r="OP52" s="15">
        <v>0</v>
      </c>
      <c r="OQ52" s="15">
        <v>0</v>
      </c>
      <c r="OR52" s="15">
        <v>0</v>
      </c>
      <c r="OS52" s="15">
        <v>0</v>
      </c>
      <c r="OT52" s="15">
        <v>0</v>
      </c>
      <c r="OU52" s="15">
        <v>0</v>
      </c>
      <c r="OV52" s="15">
        <v>0</v>
      </c>
      <c r="OW52" s="15">
        <v>0</v>
      </c>
      <c r="OX52" s="15">
        <v>0</v>
      </c>
      <c r="OY52" s="15">
        <v>0</v>
      </c>
      <c r="OZ52" s="15">
        <v>0</v>
      </c>
      <c r="PA52" s="15">
        <v>0</v>
      </c>
      <c r="PB52" s="15">
        <v>0</v>
      </c>
      <c r="PC52" s="15">
        <v>0</v>
      </c>
      <c r="PD52" s="15">
        <v>0</v>
      </c>
      <c r="PE52" s="15">
        <v>0</v>
      </c>
      <c r="PF52" s="15">
        <v>0</v>
      </c>
      <c r="PG52" s="15">
        <v>0</v>
      </c>
      <c r="PH52" s="15">
        <v>0</v>
      </c>
      <c r="PI52" s="15">
        <v>0</v>
      </c>
      <c r="PJ52" s="15">
        <v>0</v>
      </c>
      <c r="PK52" s="15">
        <v>0</v>
      </c>
      <c r="PL52" s="15">
        <v>0</v>
      </c>
      <c r="PM52" s="15">
        <v>0</v>
      </c>
      <c r="PN52" s="15">
        <v>0</v>
      </c>
      <c r="PO52" s="15">
        <v>0</v>
      </c>
      <c r="PP52" s="15">
        <v>0</v>
      </c>
      <c r="PQ52" s="15">
        <v>0</v>
      </c>
      <c r="PR52" s="15">
        <v>0</v>
      </c>
      <c r="PS52" s="15">
        <v>0</v>
      </c>
      <c r="PT52" s="15">
        <v>0</v>
      </c>
      <c r="PU52" s="15">
        <v>0</v>
      </c>
      <c r="PV52" s="15">
        <v>0</v>
      </c>
      <c r="PW52" s="15">
        <v>0</v>
      </c>
      <c r="PX52" s="15">
        <v>0</v>
      </c>
      <c r="PY52" s="15">
        <v>0</v>
      </c>
      <c r="PZ52" s="15">
        <v>0</v>
      </c>
      <c r="QA52" s="15">
        <v>0</v>
      </c>
      <c r="QB52" s="15">
        <v>0</v>
      </c>
      <c r="QC52" s="15">
        <v>0</v>
      </c>
      <c r="QD52" s="15">
        <v>0</v>
      </c>
      <c r="QE52" s="15">
        <v>0</v>
      </c>
      <c r="QF52" s="15">
        <v>0</v>
      </c>
      <c r="QG52" s="15">
        <v>0</v>
      </c>
      <c r="QH52" s="15">
        <v>0</v>
      </c>
      <c r="QI52" s="15">
        <v>0</v>
      </c>
      <c r="QJ52" s="15">
        <v>0</v>
      </c>
      <c r="QK52" s="15">
        <v>0</v>
      </c>
      <c r="QL52" s="15">
        <v>0</v>
      </c>
      <c r="QM52" s="15">
        <v>0</v>
      </c>
      <c r="QN52" s="15">
        <v>0</v>
      </c>
      <c r="QO52" s="15">
        <v>0</v>
      </c>
      <c r="QP52" s="15">
        <v>0</v>
      </c>
      <c r="QQ52" s="15">
        <v>0</v>
      </c>
      <c r="QR52" s="15">
        <v>0</v>
      </c>
      <c r="QS52" s="15">
        <v>0</v>
      </c>
      <c r="QT52" s="15">
        <v>0</v>
      </c>
      <c r="QU52" s="15">
        <v>0</v>
      </c>
      <c r="QV52" s="15">
        <v>0</v>
      </c>
      <c r="QW52" s="15">
        <v>0</v>
      </c>
      <c r="QX52" s="15">
        <v>0</v>
      </c>
      <c r="QY52" s="15">
        <v>0</v>
      </c>
      <c r="QZ52" s="15">
        <v>0</v>
      </c>
      <c r="RA52" s="15">
        <v>0</v>
      </c>
      <c r="RB52" s="15">
        <v>0</v>
      </c>
      <c r="RC52" s="15">
        <v>0</v>
      </c>
      <c r="RD52" s="15">
        <v>0</v>
      </c>
      <c r="RE52" s="15">
        <v>0</v>
      </c>
      <c r="RF52" s="15">
        <v>0</v>
      </c>
      <c r="RG52" s="15">
        <v>0</v>
      </c>
      <c r="RH52" s="15">
        <v>0</v>
      </c>
      <c r="RI52" s="15">
        <v>0</v>
      </c>
      <c r="RJ52" s="15">
        <v>0</v>
      </c>
      <c r="RK52" s="15">
        <v>0</v>
      </c>
      <c r="RL52" s="15">
        <v>0</v>
      </c>
      <c r="RM52" s="15">
        <v>0</v>
      </c>
      <c r="RN52" s="15">
        <v>0</v>
      </c>
      <c r="RO52" s="15">
        <v>0</v>
      </c>
      <c r="RP52" s="15">
        <v>0</v>
      </c>
      <c r="RQ52" s="15">
        <v>0</v>
      </c>
      <c r="RR52" s="15">
        <v>0</v>
      </c>
      <c r="RS52" s="15"/>
      <c r="RT52" s="15">
        <v>0</v>
      </c>
      <c r="RU52" s="15">
        <v>0</v>
      </c>
      <c r="RV52" s="15">
        <v>0</v>
      </c>
      <c r="RW52" s="15">
        <v>0</v>
      </c>
      <c r="RX52" s="15">
        <v>0</v>
      </c>
      <c r="RY52" s="15">
        <v>0</v>
      </c>
      <c r="RZ52" s="15">
        <v>0</v>
      </c>
      <c r="SA52" s="15">
        <v>0</v>
      </c>
      <c r="SB52" s="15">
        <v>0</v>
      </c>
      <c r="SC52" s="15">
        <v>0</v>
      </c>
      <c r="SD52" s="15">
        <v>0</v>
      </c>
      <c r="SE52" s="15">
        <v>0</v>
      </c>
      <c r="SF52" s="15">
        <v>0</v>
      </c>
      <c r="SG52" s="15">
        <v>0</v>
      </c>
      <c r="SH52" s="15">
        <v>0</v>
      </c>
      <c r="SI52" s="15">
        <v>0</v>
      </c>
      <c r="SJ52" s="15">
        <v>0</v>
      </c>
      <c r="SK52" s="15">
        <v>0</v>
      </c>
      <c r="SL52" s="15">
        <v>0</v>
      </c>
      <c r="SM52" s="15">
        <v>0</v>
      </c>
      <c r="SN52" s="15">
        <v>0</v>
      </c>
      <c r="SO52" s="15">
        <v>0</v>
      </c>
      <c r="SP52" s="15">
        <v>0</v>
      </c>
      <c r="SQ52" s="15">
        <v>0</v>
      </c>
      <c r="SR52" s="15">
        <v>0</v>
      </c>
      <c r="SS52" s="15">
        <v>0</v>
      </c>
      <c r="ST52" s="15">
        <v>0</v>
      </c>
      <c r="SU52" s="15">
        <v>0</v>
      </c>
      <c r="SV52" s="15">
        <v>0</v>
      </c>
      <c r="SW52" s="15">
        <v>0</v>
      </c>
      <c r="SX52" s="15">
        <v>0</v>
      </c>
      <c r="SY52" s="15">
        <v>0</v>
      </c>
      <c r="SZ52" s="15">
        <v>0</v>
      </c>
      <c r="TA52" s="15">
        <v>0</v>
      </c>
      <c r="TB52" s="15">
        <v>0</v>
      </c>
      <c r="TC52" s="15">
        <v>0</v>
      </c>
      <c r="TD52" s="15">
        <v>0</v>
      </c>
      <c r="TE52" s="15">
        <v>0</v>
      </c>
      <c r="TF52" s="15">
        <v>0</v>
      </c>
      <c r="TG52" s="15">
        <v>0</v>
      </c>
      <c r="TH52" s="15">
        <v>0</v>
      </c>
      <c r="TI52" s="15">
        <v>0</v>
      </c>
      <c r="TJ52" s="15">
        <v>0</v>
      </c>
      <c r="TK52" s="15">
        <v>0</v>
      </c>
      <c r="TL52" s="15">
        <v>0</v>
      </c>
      <c r="TM52" s="15">
        <v>0</v>
      </c>
      <c r="TN52" s="15">
        <v>0</v>
      </c>
      <c r="TO52" s="15">
        <v>0</v>
      </c>
      <c r="TP52" s="15">
        <v>0</v>
      </c>
      <c r="TQ52" s="15">
        <v>0</v>
      </c>
      <c r="TR52" s="15">
        <v>0</v>
      </c>
      <c r="TS52" s="15">
        <v>0</v>
      </c>
      <c r="TT52" s="15">
        <v>0</v>
      </c>
      <c r="TU52" s="15">
        <v>0</v>
      </c>
      <c r="TV52" s="15">
        <v>0</v>
      </c>
      <c r="TW52" s="15">
        <v>0</v>
      </c>
      <c r="TX52" s="15">
        <v>0</v>
      </c>
      <c r="TY52" s="15">
        <v>0</v>
      </c>
      <c r="TZ52" s="15">
        <v>0</v>
      </c>
      <c r="UA52" s="15">
        <v>0</v>
      </c>
      <c r="UB52" s="15">
        <v>0</v>
      </c>
      <c r="UC52" s="15">
        <v>0</v>
      </c>
      <c r="UD52" s="15">
        <v>0</v>
      </c>
      <c r="UE52" s="15">
        <v>0</v>
      </c>
      <c r="UF52" s="15">
        <v>0</v>
      </c>
      <c r="UG52" s="15">
        <v>0</v>
      </c>
      <c r="UH52" s="15">
        <v>0</v>
      </c>
      <c r="UI52" s="15">
        <v>0</v>
      </c>
      <c r="UJ52" s="15">
        <v>0</v>
      </c>
      <c r="UK52" s="15">
        <v>0</v>
      </c>
      <c r="UL52" s="15">
        <v>0</v>
      </c>
      <c r="UM52" s="15">
        <v>0</v>
      </c>
      <c r="UN52" s="15">
        <v>0</v>
      </c>
      <c r="UO52" s="15">
        <v>0</v>
      </c>
      <c r="UP52" s="15">
        <v>0</v>
      </c>
      <c r="UQ52" s="15">
        <v>0</v>
      </c>
      <c r="UR52" s="15">
        <v>0</v>
      </c>
      <c r="US52" s="15">
        <v>0</v>
      </c>
      <c r="UT52" s="15">
        <v>0</v>
      </c>
      <c r="UU52" s="15">
        <v>0</v>
      </c>
      <c r="UV52" s="15">
        <v>0</v>
      </c>
      <c r="UW52" s="15">
        <v>0</v>
      </c>
      <c r="UX52" s="15">
        <v>0</v>
      </c>
      <c r="UY52" s="15">
        <v>0</v>
      </c>
      <c r="UZ52" s="15">
        <v>0</v>
      </c>
      <c r="VA52" s="15">
        <v>0</v>
      </c>
      <c r="VB52" s="15">
        <v>0</v>
      </c>
      <c r="VC52" s="15">
        <v>0</v>
      </c>
      <c r="VD52" s="15">
        <v>0</v>
      </c>
      <c r="VE52" s="15">
        <v>0</v>
      </c>
      <c r="VF52" s="15">
        <v>0</v>
      </c>
      <c r="VG52" s="15">
        <v>0</v>
      </c>
      <c r="VH52" s="15">
        <v>0</v>
      </c>
      <c r="VI52" s="15">
        <v>0</v>
      </c>
      <c r="VJ52" s="15">
        <v>0</v>
      </c>
      <c r="VK52" s="15">
        <v>0</v>
      </c>
      <c r="VL52" s="15">
        <v>0</v>
      </c>
      <c r="VM52" s="15">
        <v>0</v>
      </c>
      <c r="VN52" s="15">
        <v>0</v>
      </c>
      <c r="VO52" s="15">
        <v>0</v>
      </c>
      <c r="VP52" s="15">
        <v>0</v>
      </c>
      <c r="VQ52" s="15">
        <v>0</v>
      </c>
      <c r="VR52" s="15">
        <v>0</v>
      </c>
      <c r="VS52" s="15">
        <v>0</v>
      </c>
      <c r="VT52" s="15">
        <v>0</v>
      </c>
      <c r="VU52" s="15">
        <v>0</v>
      </c>
      <c r="VV52" s="15">
        <v>0</v>
      </c>
      <c r="VW52" s="15">
        <v>0</v>
      </c>
      <c r="VX52" s="15">
        <v>0</v>
      </c>
      <c r="VY52" s="15">
        <v>0</v>
      </c>
      <c r="VZ52" s="15">
        <v>0</v>
      </c>
      <c r="WA52" s="15">
        <v>0</v>
      </c>
      <c r="WB52" s="15">
        <v>0</v>
      </c>
      <c r="WC52" s="15">
        <v>0</v>
      </c>
      <c r="WD52" s="15">
        <v>0</v>
      </c>
      <c r="WE52" s="15">
        <v>0</v>
      </c>
      <c r="WF52" s="15">
        <v>0</v>
      </c>
      <c r="WG52" s="15">
        <v>0</v>
      </c>
      <c r="WH52" s="15">
        <v>0</v>
      </c>
      <c r="WI52" s="15">
        <v>0</v>
      </c>
      <c r="WJ52" s="15">
        <v>0</v>
      </c>
      <c r="WK52" s="15">
        <v>0</v>
      </c>
      <c r="WL52" s="15">
        <v>0</v>
      </c>
      <c r="WM52" s="15">
        <v>0</v>
      </c>
      <c r="WN52" s="15">
        <v>0</v>
      </c>
      <c r="WO52" s="15">
        <v>0</v>
      </c>
      <c r="WP52" s="15">
        <v>0</v>
      </c>
      <c r="WQ52" s="15">
        <v>0</v>
      </c>
      <c r="WR52" s="15">
        <v>0</v>
      </c>
      <c r="WS52" s="15">
        <v>0</v>
      </c>
      <c r="WT52" s="15">
        <v>0</v>
      </c>
      <c r="WU52" s="15">
        <v>0</v>
      </c>
      <c r="WV52" s="15">
        <v>0</v>
      </c>
      <c r="WW52" s="15">
        <v>0</v>
      </c>
      <c r="WX52" s="15">
        <v>0</v>
      </c>
      <c r="WY52" s="15">
        <v>0</v>
      </c>
      <c r="WZ52" s="15">
        <v>0</v>
      </c>
      <c r="XA52" s="15">
        <v>0</v>
      </c>
      <c r="XB52" s="15">
        <v>0</v>
      </c>
      <c r="XC52" s="15">
        <v>0</v>
      </c>
      <c r="XD52" s="15">
        <v>0</v>
      </c>
      <c r="XE52" s="15">
        <v>0</v>
      </c>
      <c r="XF52" s="15">
        <v>0</v>
      </c>
      <c r="XG52" s="15">
        <v>0</v>
      </c>
      <c r="XH52" s="15">
        <v>0</v>
      </c>
      <c r="XI52" s="15">
        <v>0</v>
      </c>
      <c r="XJ52" s="15">
        <v>0</v>
      </c>
      <c r="XK52" s="15">
        <v>0</v>
      </c>
      <c r="XL52" s="15">
        <v>0</v>
      </c>
      <c r="XM52" s="15">
        <v>0</v>
      </c>
      <c r="XN52" s="15">
        <v>0</v>
      </c>
      <c r="XO52" s="15">
        <v>0</v>
      </c>
      <c r="XP52" s="15">
        <v>0</v>
      </c>
      <c r="XQ52" s="15">
        <v>0</v>
      </c>
      <c r="XR52" s="15">
        <v>0</v>
      </c>
      <c r="XS52" s="15">
        <v>0</v>
      </c>
      <c r="XT52" s="15">
        <v>0</v>
      </c>
      <c r="XU52" s="15">
        <v>0</v>
      </c>
      <c r="XV52" s="15">
        <v>0</v>
      </c>
      <c r="XW52" s="15">
        <v>0</v>
      </c>
      <c r="XX52" s="15">
        <v>0</v>
      </c>
      <c r="XY52" s="15">
        <v>0</v>
      </c>
      <c r="XZ52" s="15">
        <v>0</v>
      </c>
      <c r="YA52" s="15">
        <v>0</v>
      </c>
      <c r="YB52" s="15">
        <v>0</v>
      </c>
      <c r="YC52" s="15">
        <v>0</v>
      </c>
      <c r="YD52" s="15">
        <v>0</v>
      </c>
      <c r="YE52" s="15">
        <v>0</v>
      </c>
      <c r="YF52" s="15">
        <v>0</v>
      </c>
      <c r="YG52" s="15">
        <v>0</v>
      </c>
      <c r="YH52" s="15">
        <v>0</v>
      </c>
      <c r="YI52" s="15">
        <v>0</v>
      </c>
      <c r="YJ52" s="15">
        <v>0</v>
      </c>
      <c r="YK52" s="15">
        <v>0</v>
      </c>
      <c r="YL52" s="15">
        <v>0</v>
      </c>
      <c r="YM52" s="15">
        <v>0</v>
      </c>
      <c r="YN52" s="15">
        <v>0</v>
      </c>
      <c r="YO52" s="15">
        <v>0</v>
      </c>
      <c r="YP52" s="15">
        <v>0</v>
      </c>
      <c r="YQ52" s="15">
        <v>0</v>
      </c>
      <c r="YR52" s="15">
        <v>0</v>
      </c>
      <c r="YS52" s="15">
        <v>0</v>
      </c>
      <c r="YT52" s="15">
        <v>0</v>
      </c>
      <c r="YU52" s="15">
        <v>0</v>
      </c>
      <c r="YV52" s="15">
        <v>0</v>
      </c>
      <c r="YW52" s="15">
        <v>0</v>
      </c>
      <c r="YX52" s="15">
        <v>0</v>
      </c>
      <c r="YY52" s="15">
        <v>0</v>
      </c>
      <c r="YZ52" s="15">
        <v>0</v>
      </c>
      <c r="ZA52" s="15">
        <v>0</v>
      </c>
      <c r="ZB52" s="15">
        <v>0</v>
      </c>
      <c r="ZC52" s="15">
        <v>0</v>
      </c>
      <c r="ZD52" s="15">
        <v>0</v>
      </c>
      <c r="ZE52" s="15">
        <v>0</v>
      </c>
      <c r="ZF52" s="15">
        <v>0</v>
      </c>
      <c r="ZG52" s="15">
        <v>0</v>
      </c>
      <c r="ZH52" s="15">
        <v>0</v>
      </c>
      <c r="ZI52" s="15">
        <v>0</v>
      </c>
      <c r="ZJ52" s="15">
        <v>0</v>
      </c>
      <c r="ZK52" s="15">
        <v>0</v>
      </c>
      <c r="ZL52" s="15">
        <v>0</v>
      </c>
      <c r="ZM52" s="15">
        <v>0</v>
      </c>
      <c r="ZN52" s="15">
        <v>0</v>
      </c>
      <c r="ZO52" s="15">
        <v>0</v>
      </c>
      <c r="ZP52" s="15">
        <v>0</v>
      </c>
      <c r="ZQ52" s="15">
        <v>0</v>
      </c>
      <c r="ZR52" s="15">
        <v>0</v>
      </c>
      <c r="ZS52" s="15">
        <v>0</v>
      </c>
      <c r="ZT52" s="15">
        <v>0</v>
      </c>
      <c r="ZU52" s="15">
        <v>0</v>
      </c>
      <c r="ZV52" s="15">
        <v>0</v>
      </c>
      <c r="ZW52" s="15">
        <v>0</v>
      </c>
      <c r="ZX52" s="15">
        <v>0</v>
      </c>
      <c r="ZY52" s="15">
        <v>0</v>
      </c>
      <c r="ZZ52" s="15">
        <v>0</v>
      </c>
      <c r="AAA52" s="15">
        <v>0</v>
      </c>
      <c r="AAB52" s="15">
        <v>0</v>
      </c>
      <c r="AAC52" s="15">
        <v>0</v>
      </c>
      <c r="AAD52" s="15">
        <v>0</v>
      </c>
      <c r="AAE52" s="15">
        <v>0</v>
      </c>
      <c r="AAF52" s="15">
        <v>0</v>
      </c>
      <c r="AAG52" s="15">
        <v>0</v>
      </c>
      <c r="AAH52" s="15">
        <v>0</v>
      </c>
      <c r="AAI52" s="15">
        <v>0</v>
      </c>
      <c r="AAJ52" s="15">
        <v>0</v>
      </c>
      <c r="AAK52" s="15">
        <v>0</v>
      </c>
      <c r="AAL52" s="15"/>
      <c r="AAM52" s="15">
        <v>0</v>
      </c>
      <c r="AAN52" s="15">
        <v>0</v>
      </c>
      <c r="AAO52" s="15">
        <v>0</v>
      </c>
      <c r="AAP52" s="15">
        <v>0</v>
      </c>
      <c r="AAQ52" s="15">
        <v>0</v>
      </c>
      <c r="AAR52" s="15">
        <v>0</v>
      </c>
      <c r="AAS52" s="15">
        <v>0</v>
      </c>
      <c r="AAT52" s="15">
        <v>0</v>
      </c>
      <c r="AAU52" s="15">
        <v>0</v>
      </c>
      <c r="AAV52" s="15">
        <v>0</v>
      </c>
      <c r="AAW52" s="15">
        <v>0</v>
      </c>
      <c r="AAX52" s="15"/>
      <c r="AAY52" s="15">
        <v>0</v>
      </c>
      <c r="AAZ52" s="15">
        <v>0</v>
      </c>
      <c r="ABA52" s="15">
        <v>0</v>
      </c>
      <c r="ABB52" s="15">
        <v>0</v>
      </c>
      <c r="ABC52" s="15">
        <v>0</v>
      </c>
      <c r="ABD52" s="15">
        <v>0</v>
      </c>
      <c r="ABE52" s="15">
        <v>0</v>
      </c>
      <c r="ABF52" s="15">
        <v>0</v>
      </c>
      <c r="ABG52" s="15">
        <v>0</v>
      </c>
      <c r="ABH52" s="15">
        <v>0</v>
      </c>
      <c r="ABI52" s="15">
        <v>0</v>
      </c>
      <c r="ABJ52" s="15">
        <v>0</v>
      </c>
      <c r="ABK52" s="15">
        <v>0</v>
      </c>
      <c r="ABL52" s="15">
        <v>0</v>
      </c>
      <c r="ABM52" s="15">
        <v>0</v>
      </c>
      <c r="ABN52" s="15">
        <v>0</v>
      </c>
      <c r="ABO52" s="15">
        <v>0</v>
      </c>
      <c r="ABP52" s="15">
        <v>0</v>
      </c>
      <c r="ABQ52" s="15">
        <v>0</v>
      </c>
      <c r="ABR52" s="15">
        <v>0</v>
      </c>
      <c r="ABS52" s="15">
        <v>0</v>
      </c>
      <c r="ABT52" s="15">
        <v>0</v>
      </c>
      <c r="ABU52" s="15">
        <v>0</v>
      </c>
      <c r="ABV52" s="15">
        <v>0</v>
      </c>
      <c r="ABW52" s="15">
        <v>0</v>
      </c>
      <c r="ABX52" s="15">
        <v>0</v>
      </c>
      <c r="ABY52" s="15">
        <v>0</v>
      </c>
      <c r="ABZ52" s="15">
        <v>0</v>
      </c>
      <c r="ACA52" s="15">
        <v>0</v>
      </c>
      <c r="ACB52" s="15">
        <v>0</v>
      </c>
      <c r="ACC52" s="15">
        <v>0</v>
      </c>
      <c r="ACD52" s="15">
        <v>0</v>
      </c>
      <c r="ACE52" s="15">
        <v>0</v>
      </c>
      <c r="ACF52" s="15">
        <v>0</v>
      </c>
      <c r="ACG52" s="15">
        <v>0</v>
      </c>
      <c r="ACH52" s="15">
        <v>0</v>
      </c>
      <c r="ACI52" s="15">
        <v>0</v>
      </c>
      <c r="ACJ52" s="15">
        <v>0</v>
      </c>
      <c r="ACK52" s="15">
        <v>0</v>
      </c>
      <c r="ACL52" s="15">
        <v>0</v>
      </c>
      <c r="ACM52" s="15">
        <v>0</v>
      </c>
      <c r="ACN52" s="15">
        <v>0</v>
      </c>
      <c r="ACO52" s="15">
        <v>0</v>
      </c>
      <c r="ACP52" s="15">
        <v>0</v>
      </c>
      <c r="ACQ52" s="15">
        <v>0</v>
      </c>
      <c r="ACR52" s="15">
        <v>0</v>
      </c>
      <c r="ACS52" s="15">
        <v>0</v>
      </c>
      <c r="ACT52" s="15">
        <v>0</v>
      </c>
      <c r="ACU52" s="15">
        <v>0</v>
      </c>
      <c r="ACV52" s="15">
        <v>0</v>
      </c>
      <c r="ACW52" s="15">
        <v>0</v>
      </c>
      <c r="ACX52" s="15">
        <v>0</v>
      </c>
      <c r="ACY52" s="15">
        <v>0</v>
      </c>
      <c r="ACZ52" s="15">
        <v>0</v>
      </c>
      <c r="ADA52" s="15">
        <v>0</v>
      </c>
      <c r="ADB52" s="15">
        <v>0</v>
      </c>
      <c r="ADC52" s="15">
        <v>0</v>
      </c>
      <c r="ADD52" s="15">
        <v>0</v>
      </c>
      <c r="ADE52" s="15">
        <v>0</v>
      </c>
      <c r="ADF52" s="15">
        <v>0</v>
      </c>
      <c r="ADG52" s="15">
        <v>0</v>
      </c>
      <c r="ADH52" s="15"/>
      <c r="ADI52" s="15">
        <v>0</v>
      </c>
      <c r="ADJ52" s="15">
        <v>0</v>
      </c>
      <c r="ADK52" s="15">
        <v>0</v>
      </c>
      <c r="ADL52" s="15">
        <v>0</v>
      </c>
      <c r="ADM52" s="15">
        <v>0</v>
      </c>
      <c r="ADN52" s="15">
        <v>0</v>
      </c>
      <c r="ADO52" s="15">
        <v>0</v>
      </c>
      <c r="ADP52" s="15">
        <v>0</v>
      </c>
      <c r="ADQ52" s="15">
        <v>0</v>
      </c>
      <c r="ADR52" s="15">
        <v>0</v>
      </c>
      <c r="ADS52" s="15">
        <v>0</v>
      </c>
      <c r="ADT52" s="15">
        <v>0</v>
      </c>
      <c r="ADU52" s="15">
        <v>0</v>
      </c>
      <c r="ADV52" s="15">
        <v>0</v>
      </c>
      <c r="ADW52" s="15">
        <v>0</v>
      </c>
      <c r="ADX52" s="15">
        <v>0</v>
      </c>
      <c r="ADY52" s="15">
        <v>0</v>
      </c>
      <c r="ADZ52" s="15">
        <v>0</v>
      </c>
      <c r="AEA52" s="15">
        <v>0</v>
      </c>
      <c r="AEB52" s="15">
        <v>0</v>
      </c>
      <c r="AEC52" s="15">
        <v>0</v>
      </c>
      <c r="AED52" s="15">
        <v>0</v>
      </c>
      <c r="AEE52" s="15">
        <v>0</v>
      </c>
      <c r="AEF52" s="15">
        <v>0</v>
      </c>
      <c r="AEG52" s="15">
        <v>0</v>
      </c>
      <c r="AEH52" s="15">
        <v>0</v>
      </c>
      <c r="AEI52" s="15">
        <v>0</v>
      </c>
      <c r="AEJ52" s="15">
        <v>0</v>
      </c>
      <c r="AEK52" s="15">
        <v>0</v>
      </c>
      <c r="AEL52" s="15">
        <v>0</v>
      </c>
      <c r="AEM52" s="15">
        <v>0</v>
      </c>
      <c r="AEN52" s="15">
        <v>0</v>
      </c>
      <c r="AEO52" s="15">
        <v>0</v>
      </c>
      <c r="AEP52" s="15">
        <v>0</v>
      </c>
      <c r="AEQ52" s="15">
        <v>0</v>
      </c>
      <c r="AER52" s="15">
        <v>0</v>
      </c>
      <c r="AES52" s="15">
        <v>0</v>
      </c>
      <c r="AET52" s="15">
        <v>0</v>
      </c>
      <c r="AEU52" s="15">
        <v>0</v>
      </c>
      <c r="AEV52" s="15">
        <v>0</v>
      </c>
      <c r="AEW52" s="15">
        <v>0</v>
      </c>
      <c r="AEX52" s="15">
        <v>0</v>
      </c>
      <c r="AEY52" s="15">
        <v>0</v>
      </c>
      <c r="AEZ52" s="15">
        <v>0</v>
      </c>
      <c r="AFA52" s="15">
        <v>0</v>
      </c>
      <c r="AFB52" s="15">
        <v>0</v>
      </c>
      <c r="AFC52" s="15">
        <v>0</v>
      </c>
      <c r="AFD52" s="15">
        <v>0</v>
      </c>
      <c r="AFE52" s="15">
        <v>0</v>
      </c>
      <c r="AFF52" s="15">
        <v>0</v>
      </c>
      <c r="AFG52" s="15">
        <v>0</v>
      </c>
      <c r="AFH52" s="15">
        <v>0</v>
      </c>
      <c r="AFI52" s="15">
        <v>0</v>
      </c>
      <c r="AFJ52" s="15">
        <v>0</v>
      </c>
      <c r="AFK52" s="15">
        <v>0</v>
      </c>
      <c r="AFL52" s="15">
        <v>0</v>
      </c>
      <c r="AFM52" s="15">
        <v>0</v>
      </c>
      <c r="AFN52" s="15">
        <v>0</v>
      </c>
      <c r="AFO52" s="15">
        <v>0</v>
      </c>
      <c r="AFP52" s="15">
        <v>0</v>
      </c>
      <c r="AFQ52" s="15">
        <v>0</v>
      </c>
      <c r="AFR52" s="15"/>
      <c r="AFS52" s="15">
        <v>0</v>
      </c>
      <c r="AFT52" s="15">
        <v>0</v>
      </c>
      <c r="AFU52" s="15">
        <v>0</v>
      </c>
      <c r="AFV52" s="15">
        <v>0</v>
      </c>
      <c r="AFW52" s="15">
        <v>0</v>
      </c>
      <c r="AFX52" s="15">
        <v>0</v>
      </c>
      <c r="AFY52" s="15">
        <v>0</v>
      </c>
      <c r="AFZ52" s="15">
        <v>0</v>
      </c>
      <c r="AGA52" s="15">
        <v>0</v>
      </c>
      <c r="AGB52" s="15">
        <v>0</v>
      </c>
      <c r="AGC52" s="15">
        <v>0</v>
      </c>
      <c r="AGD52" s="15">
        <v>0</v>
      </c>
      <c r="AGE52" s="15">
        <v>0</v>
      </c>
      <c r="AGF52" s="15">
        <v>0</v>
      </c>
      <c r="AGG52" s="15">
        <v>0</v>
      </c>
      <c r="AGH52" s="15">
        <v>0</v>
      </c>
      <c r="AGI52" s="15">
        <v>0</v>
      </c>
      <c r="AGJ52" s="15">
        <v>0</v>
      </c>
      <c r="AGK52" s="15">
        <v>0</v>
      </c>
      <c r="AGL52" s="15">
        <v>0</v>
      </c>
      <c r="AGM52" s="15">
        <v>0</v>
      </c>
      <c r="AGN52" s="15">
        <v>0</v>
      </c>
      <c r="AGO52" s="15">
        <v>0</v>
      </c>
      <c r="AGP52" s="15">
        <v>0</v>
      </c>
      <c r="AGQ52" s="15">
        <v>0</v>
      </c>
      <c r="AGR52" s="15">
        <v>0</v>
      </c>
      <c r="AGS52" s="15">
        <v>0</v>
      </c>
      <c r="AGT52" s="15">
        <v>0</v>
      </c>
      <c r="AGU52" s="15">
        <v>0</v>
      </c>
      <c r="AGV52" s="15">
        <v>0</v>
      </c>
      <c r="AGW52" s="15">
        <v>0</v>
      </c>
      <c r="AGX52" s="15">
        <v>0</v>
      </c>
      <c r="AGY52" s="15">
        <v>0</v>
      </c>
      <c r="AGZ52" s="15">
        <v>0</v>
      </c>
      <c r="AHA52" s="15">
        <v>0</v>
      </c>
      <c r="AHB52" s="15">
        <v>0</v>
      </c>
      <c r="AHC52" s="15">
        <v>0</v>
      </c>
      <c r="AHD52" s="15">
        <v>0</v>
      </c>
      <c r="AHE52" s="15">
        <v>0</v>
      </c>
      <c r="AHF52" s="15">
        <v>0</v>
      </c>
      <c r="AHG52" s="15">
        <v>0</v>
      </c>
      <c r="AHH52" s="15">
        <v>0</v>
      </c>
      <c r="AHI52" s="15">
        <v>0</v>
      </c>
      <c r="AHJ52" s="15">
        <v>0</v>
      </c>
      <c r="AHK52" s="15">
        <v>0</v>
      </c>
      <c r="AHL52" s="15">
        <v>0</v>
      </c>
      <c r="AHM52" s="15">
        <v>0</v>
      </c>
      <c r="AHN52" s="15">
        <v>0</v>
      </c>
      <c r="AHO52" s="15">
        <v>0</v>
      </c>
      <c r="AHP52" s="15">
        <v>0</v>
      </c>
      <c r="AHQ52" s="15">
        <v>0</v>
      </c>
      <c r="AHR52" s="15">
        <v>0</v>
      </c>
      <c r="AHS52" s="15">
        <v>0</v>
      </c>
      <c r="AHT52" s="15">
        <v>0</v>
      </c>
      <c r="AHU52" s="15">
        <v>0</v>
      </c>
      <c r="AHV52" s="15">
        <v>0</v>
      </c>
      <c r="AHW52" s="15">
        <v>0</v>
      </c>
      <c r="AHX52" s="15">
        <v>0</v>
      </c>
      <c r="AHY52" s="15">
        <v>0</v>
      </c>
      <c r="AHZ52" s="15">
        <v>0</v>
      </c>
      <c r="AIA52" s="15">
        <v>0</v>
      </c>
      <c r="AIB52" s="15">
        <v>0</v>
      </c>
      <c r="AIC52" s="15">
        <v>0</v>
      </c>
      <c r="AID52" s="15">
        <v>0</v>
      </c>
      <c r="AIE52" s="15">
        <v>0</v>
      </c>
      <c r="AIF52" s="15">
        <v>0</v>
      </c>
      <c r="AIG52" s="15">
        <v>0</v>
      </c>
      <c r="AIH52" s="15">
        <v>0</v>
      </c>
      <c r="AII52" s="15">
        <v>0</v>
      </c>
      <c r="AIJ52" s="15">
        <v>0</v>
      </c>
      <c r="AIK52" s="15">
        <v>0</v>
      </c>
      <c r="AIL52" s="15">
        <v>0</v>
      </c>
      <c r="AIM52" s="15">
        <v>0</v>
      </c>
      <c r="AIN52" s="15">
        <v>0</v>
      </c>
      <c r="AIO52" s="15">
        <v>0</v>
      </c>
      <c r="AIP52" s="15">
        <v>0</v>
      </c>
      <c r="AIQ52" s="15">
        <v>0</v>
      </c>
      <c r="AIR52" s="15">
        <v>0</v>
      </c>
      <c r="AIS52" s="15">
        <v>0</v>
      </c>
      <c r="AIT52" s="15">
        <v>0</v>
      </c>
      <c r="AIU52" s="15">
        <v>0</v>
      </c>
      <c r="AIV52" s="15">
        <v>0</v>
      </c>
      <c r="AIW52" s="15">
        <v>0</v>
      </c>
      <c r="AIX52" s="15">
        <v>0</v>
      </c>
      <c r="AIY52" s="15">
        <v>0</v>
      </c>
      <c r="AIZ52" s="15">
        <v>0</v>
      </c>
      <c r="AJA52" s="15">
        <v>0</v>
      </c>
      <c r="AJB52" s="15">
        <v>0</v>
      </c>
      <c r="AJC52" s="15">
        <v>0</v>
      </c>
      <c r="AJD52" s="15">
        <v>0</v>
      </c>
      <c r="AJE52" s="15">
        <v>0</v>
      </c>
      <c r="AJF52" s="15"/>
      <c r="AJG52" s="15">
        <v>0</v>
      </c>
      <c r="AJH52" s="15">
        <v>0</v>
      </c>
      <c r="AJI52" s="15">
        <v>0</v>
      </c>
      <c r="AJJ52" s="15">
        <v>0</v>
      </c>
      <c r="AJK52" s="15">
        <v>0</v>
      </c>
      <c r="AJL52" s="15">
        <v>0</v>
      </c>
      <c r="AJM52" s="15">
        <v>0</v>
      </c>
      <c r="AJN52" s="15"/>
      <c r="AJO52" s="15">
        <v>0</v>
      </c>
      <c r="AJP52" s="15">
        <v>0</v>
      </c>
      <c r="AJQ52" s="15">
        <v>0</v>
      </c>
      <c r="AJR52" s="15">
        <v>1</v>
      </c>
      <c r="AJS52" s="15">
        <v>1</v>
      </c>
      <c r="AJT52" s="15">
        <v>1</v>
      </c>
      <c r="AJU52" s="15">
        <v>1</v>
      </c>
      <c r="AJV52" s="15">
        <v>1</v>
      </c>
      <c r="AJW52" s="15">
        <v>1</v>
      </c>
      <c r="AJX52" s="15"/>
      <c r="AJY52" s="15">
        <v>0</v>
      </c>
      <c r="AJZ52" s="15">
        <v>0</v>
      </c>
      <c r="AKA52" s="15">
        <v>1</v>
      </c>
      <c r="AKB52" s="15">
        <v>1</v>
      </c>
      <c r="AKC52" s="15">
        <v>1</v>
      </c>
      <c r="AKD52" s="15">
        <v>0</v>
      </c>
      <c r="AKE52" s="15">
        <v>1</v>
      </c>
      <c r="AKF52" s="15">
        <v>1</v>
      </c>
      <c r="AKG52" s="15">
        <v>1</v>
      </c>
      <c r="AKH52" s="15">
        <v>1</v>
      </c>
      <c r="AKI52" s="15"/>
      <c r="AKJ52" s="15">
        <v>0</v>
      </c>
      <c r="AKK52" s="15">
        <v>0</v>
      </c>
      <c r="AKL52" s="15">
        <v>0</v>
      </c>
      <c r="AKM52" s="15">
        <v>0</v>
      </c>
      <c r="AKN52" s="15">
        <v>0</v>
      </c>
      <c r="AKO52" s="15">
        <v>0</v>
      </c>
      <c r="AKP52" s="15">
        <v>0</v>
      </c>
      <c r="AKQ52" s="15">
        <v>0</v>
      </c>
      <c r="AKR52" s="15">
        <v>0</v>
      </c>
      <c r="AKS52" s="15">
        <v>0</v>
      </c>
      <c r="AKT52" s="15">
        <v>0</v>
      </c>
      <c r="AKU52" s="15">
        <v>0</v>
      </c>
      <c r="AKV52" s="15">
        <v>0</v>
      </c>
      <c r="AKW52" s="15">
        <v>0</v>
      </c>
      <c r="AKX52" s="15"/>
      <c r="AKY52" s="15">
        <v>0</v>
      </c>
      <c r="AKZ52" s="15">
        <v>0</v>
      </c>
      <c r="ALA52" s="15">
        <v>0</v>
      </c>
      <c r="ALB52" s="15">
        <v>0</v>
      </c>
      <c r="ALC52" s="15">
        <v>0</v>
      </c>
      <c r="ALD52" s="15">
        <v>0</v>
      </c>
      <c r="ALE52" s="15">
        <v>0</v>
      </c>
      <c r="ALF52" s="15">
        <v>0</v>
      </c>
      <c r="ALG52" s="15">
        <v>0</v>
      </c>
      <c r="ALH52" s="15">
        <v>1</v>
      </c>
      <c r="ALI52" s="15">
        <v>1</v>
      </c>
      <c r="ALJ52" s="15">
        <v>1</v>
      </c>
      <c r="ALK52" s="15">
        <v>0</v>
      </c>
      <c r="ALL52" s="15">
        <v>0</v>
      </c>
      <c r="ALM52" s="15"/>
      <c r="ALN52" s="15">
        <v>0</v>
      </c>
      <c r="ALO52" s="15">
        <v>0</v>
      </c>
      <c r="ALP52" s="15">
        <v>0</v>
      </c>
      <c r="ALQ52" s="15">
        <v>0</v>
      </c>
      <c r="ALR52" s="15">
        <v>0</v>
      </c>
      <c r="ALS52" s="15">
        <v>0</v>
      </c>
      <c r="ALT52" s="15">
        <v>0</v>
      </c>
      <c r="ALU52" s="15">
        <v>0</v>
      </c>
      <c r="ALV52" s="15">
        <v>0</v>
      </c>
      <c r="ALW52" s="15">
        <v>0</v>
      </c>
      <c r="ALX52" s="15">
        <v>1</v>
      </c>
      <c r="ALY52" s="15">
        <v>1</v>
      </c>
      <c r="ALZ52" s="15">
        <v>1</v>
      </c>
      <c r="AMA52" s="15">
        <v>1</v>
      </c>
      <c r="AMB52" s="15">
        <v>1</v>
      </c>
      <c r="AMC52" s="15"/>
      <c r="AMD52" s="15">
        <v>0</v>
      </c>
      <c r="AME52" s="15">
        <v>0</v>
      </c>
      <c r="AMF52" s="15">
        <v>0</v>
      </c>
      <c r="AMG52" s="15">
        <v>0</v>
      </c>
      <c r="AMH52" s="15">
        <v>0</v>
      </c>
      <c r="AMI52" s="15">
        <v>0</v>
      </c>
      <c r="AMJ52" s="15">
        <v>0</v>
      </c>
      <c r="AMK52" s="15">
        <v>0</v>
      </c>
      <c r="AML52" s="15">
        <v>0</v>
      </c>
      <c r="AMM52" s="15">
        <v>0</v>
      </c>
      <c r="AMN52" s="15">
        <v>0</v>
      </c>
      <c r="AMO52" s="15">
        <v>1</v>
      </c>
      <c r="AMP52" s="15">
        <v>1</v>
      </c>
      <c r="AMQ52" s="15">
        <v>1</v>
      </c>
      <c r="AMR52" s="15">
        <v>1</v>
      </c>
      <c r="AMS52" s="15">
        <v>1</v>
      </c>
      <c r="AMT52" s="15">
        <v>1</v>
      </c>
      <c r="AMU52" s="15">
        <v>1</v>
      </c>
      <c r="AMV52" s="15">
        <v>1</v>
      </c>
      <c r="AMW52" s="15">
        <v>0</v>
      </c>
      <c r="AMX52" s="15">
        <v>0</v>
      </c>
      <c r="AMY52" s="15">
        <v>0</v>
      </c>
      <c r="AMZ52" s="15">
        <v>0</v>
      </c>
      <c r="ANA52" s="15">
        <v>0</v>
      </c>
      <c r="ANB52" s="15">
        <v>0</v>
      </c>
      <c r="ANC52" s="15">
        <v>0</v>
      </c>
      <c r="AND52" s="15">
        <v>0</v>
      </c>
      <c r="ANE52" s="15"/>
      <c r="ANF52" s="15"/>
      <c r="ANG52" s="15"/>
      <c r="ANH52" s="15"/>
      <c r="ANI52" s="15"/>
      <c r="ANJ52" s="15"/>
      <c r="ANK52" s="15"/>
      <c r="ANL52" s="15"/>
      <c r="ANM52" s="15"/>
      <c r="ANN52" s="15"/>
      <c r="ANO52" s="15"/>
      <c r="ANP52" s="15"/>
      <c r="ANQ52" s="15"/>
      <c r="ANR52" s="15"/>
      <c r="ANS52" s="15"/>
      <c r="ANT52" s="15"/>
      <c r="ANU52" s="15"/>
      <c r="ANV52" s="15"/>
      <c r="ANW52" s="15"/>
      <c r="ANX52" s="15"/>
      <c r="ANY52" s="15"/>
      <c r="ANZ52" s="15"/>
      <c r="AOA52" s="15"/>
      <c r="AOB52" s="15"/>
      <c r="AOC52" s="15"/>
      <c r="AOD52" s="15"/>
      <c r="AOE52" s="15"/>
      <c r="AOF52" s="15"/>
      <c r="AOG52" s="15"/>
      <c r="AOH52" s="15"/>
      <c r="AOI52" s="15"/>
      <c r="AOJ52" s="15"/>
      <c r="AOK52" s="15"/>
      <c r="AOL52" s="15"/>
      <c r="AOM52" s="15"/>
      <c r="AON52" s="15"/>
      <c r="AOO52" s="15"/>
      <c r="AOP52" s="15"/>
      <c r="AOQ52" s="15"/>
      <c r="AOR52" s="15"/>
      <c r="AOS52" s="15"/>
      <c r="AOT52" s="15"/>
      <c r="AOU52" s="15"/>
      <c r="AOV52" s="15"/>
      <c r="AOW52" s="15"/>
      <c r="AOX52" s="15"/>
      <c r="AOY52" s="15"/>
      <c r="AOZ52" s="15"/>
      <c r="APA52" s="15"/>
      <c r="APB52" s="15"/>
      <c r="APC52" s="15"/>
      <c r="APD52" s="15"/>
      <c r="APE52" s="15"/>
      <c r="APF52" s="15"/>
      <c r="APG52" s="15"/>
      <c r="APH52" s="15"/>
      <c r="API52" s="15"/>
      <c r="APJ52" s="15"/>
      <c r="APK52" s="15"/>
      <c r="APL52" s="15"/>
      <c r="APM52" s="15"/>
      <c r="APN52" s="15"/>
      <c r="APO52" s="15"/>
      <c r="APP52" s="15"/>
      <c r="APQ52" s="15"/>
      <c r="APR52" s="15"/>
      <c r="APS52" s="15"/>
      <c r="APT52" s="15"/>
      <c r="APU52" s="15"/>
      <c r="APV52" s="15"/>
      <c r="APW52" s="15"/>
      <c r="APX52" s="15"/>
      <c r="APY52" s="15"/>
      <c r="APZ52" s="15"/>
      <c r="AQA52" s="15"/>
      <c r="AQB52" s="15"/>
    </row>
    <row r="53" spans="1:1120" s="17" customFormat="1" ht="15" customHeight="1" x14ac:dyDescent="0.25">
      <c r="A53" s="3" t="s">
        <v>2</v>
      </c>
      <c r="B53" s="6" t="s">
        <v>639</v>
      </c>
      <c r="C53" s="15"/>
      <c r="D53" s="15">
        <v>0</v>
      </c>
      <c r="E53" s="15">
        <v>0</v>
      </c>
      <c r="F53" s="15">
        <v>0</v>
      </c>
      <c r="G53" s="15">
        <v>0</v>
      </c>
      <c r="H53" s="15">
        <v>0</v>
      </c>
      <c r="I53" s="15">
        <v>0</v>
      </c>
      <c r="J53" s="15"/>
      <c r="K53" s="15">
        <v>0</v>
      </c>
      <c r="L53" s="15">
        <v>0</v>
      </c>
      <c r="M53" s="15">
        <v>0</v>
      </c>
      <c r="N53" s="15">
        <v>0</v>
      </c>
      <c r="O53" s="15">
        <v>0</v>
      </c>
      <c r="P53" s="15">
        <v>0</v>
      </c>
      <c r="Q53" s="15"/>
      <c r="R53" s="15">
        <v>0</v>
      </c>
      <c r="S53" s="15">
        <v>0</v>
      </c>
      <c r="T53" s="15">
        <v>0</v>
      </c>
      <c r="U53" s="15">
        <v>0</v>
      </c>
      <c r="V53" s="15">
        <v>0</v>
      </c>
      <c r="W53" s="15">
        <v>0</v>
      </c>
      <c r="X53" s="15"/>
      <c r="Y53" s="15">
        <v>0</v>
      </c>
      <c r="Z53" s="15">
        <v>0</v>
      </c>
      <c r="AA53" s="15">
        <v>0</v>
      </c>
      <c r="AB53" s="15">
        <v>0</v>
      </c>
      <c r="AC53" s="15">
        <v>0</v>
      </c>
      <c r="AD53" s="15">
        <v>0</v>
      </c>
      <c r="AE53" s="15"/>
      <c r="AF53" s="15">
        <v>0</v>
      </c>
      <c r="AG53" s="15">
        <v>0</v>
      </c>
      <c r="AH53" s="15">
        <v>0</v>
      </c>
      <c r="AI53" s="15">
        <v>0</v>
      </c>
      <c r="AJ53" s="15">
        <v>0</v>
      </c>
      <c r="AK53" s="15">
        <v>0</v>
      </c>
      <c r="AL53" s="15"/>
      <c r="AM53" s="15">
        <v>0</v>
      </c>
      <c r="AN53" s="15">
        <v>0</v>
      </c>
      <c r="AO53" s="15">
        <v>0</v>
      </c>
      <c r="AP53" s="15">
        <v>0</v>
      </c>
      <c r="AQ53" s="15">
        <v>0</v>
      </c>
      <c r="AR53" s="15">
        <v>0</v>
      </c>
      <c r="AS53" s="15">
        <v>0</v>
      </c>
      <c r="AT53" s="15">
        <v>0</v>
      </c>
      <c r="AU53" s="15">
        <v>0</v>
      </c>
      <c r="AV53" s="15">
        <v>0</v>
      </c>
      <c r="AW53" s="15">
        <v>0</v>
      </c>
      <c r="AX53" s="15">
        <v>0</v>
      </c>
      <c r="AY53" s="15">
        <v>0</v>
      </c>
      <c r="AZ53" s="15">
        <v>0</v>
      </c>
      <c r="BA53" s="15">
        <v>0</v>
      </c>
      <c r="BB53" s="15">
        <v>0</v>
      </c>
      <c r="BC53" s="15">
        <v>0</v>
      </c>
      <c r="BD53" s="15">
        <v>0</v>
      </c>
      <c r="BE53" s="15">
        <v>0</v>
      </c>
      <c r="BF53" s="15">
        <v>0</v>
      </c>
      <c r="BG53" s="15">
        <v>0</v>
      </c>
      <c r="BH53" s="15">
        <v>0</v>
      </c>
      <c r="BI53" s="15">
        <v>0</v>
      </c>
      <c r="BJ53" s="15">
        <v>0</v>
      </c>
      <c r="BK53" s="15">
        <v>0</v>
      </c>
      <c r="BL53" s="15">
        <v>0</v>
      </c>
      <c r="BM53" s="15">
        <v>0</v>
      </c>
      <c r="BN53" s="15">
        <v>0</v>
      </c>
      <c r="BO53" s="15">
        <v>0</v>
      </c>
      <c r="BP53" s="15">
        <v>0</v>
      </c>
      <c r="BQ53" s="15">
        <v>0</v>
      </c>
      <c r="BR53" s="15">
        <v>0</v>
      </c>
      <c r="BS53" s="15">
        <v>0</v>
      </c>
      <c r="BT53" s="15">
        <v>0</v>
      </c>
      <c r="BU53" s="15">
        <v>0</v>
      </c>
      <c r="BV53" s="15">
        <v>0</v>
      </c>
      <c r="BW53" s="15">
        <v>0</v>
      </c>
      <c r="BX53" s="15">
        <v>0</v>
      </c>
      <c r="BY53" s="15">
        <v>0</v>
      </c>
      <c r="BZ53" s="15">
        <v>0</v>
      </c>
      <c r="CA53" s="15">
        <v>0</v>
      </c>
      <c r="CB53" s="15">
        <v>0</v>
      </c>
      <c r="CC53" s="15">
        <v>0</v>
      </c>
      <c r="CD53" s="15">
        <v>0</v>
      </c>
      <c r="CE53" s="15">
        <v>0</v>
      </c>
      <c r="CF53" s="15">
        <v>0</v>
      </c>
      <c r="CG53" s="15">
        <v>0</v>
      </c>
      <c r="CH53" s="15">
        <v>0</v>
      </c>
      <c r="CI53" s="15">
        <v>0</v>
      </c>
      <c r="CJ53" s="15">
        <v>0</v>
      </c>
      <c r="CK53" s="15">
        <v>0</v>
      </c>
      <c r="CL53" s="15">
        <v>0</v>
      </c>
      <c r="CM53" s="15">
        <v>0</v>
      </c>
      <c r="CN53" s="15">
        <v>0</v>
      </c>
      <c r="CO53" s="15">
        <v>0</v>
      </c>
      <c r="CP53" s="15">
        <v>0</v>
      </c>
      <c r="CQ53" s="15">
        <v>0</v>
      </c>
      <c r="CR53" s="15">
        <v>0</v>
      </c>
      <c r="CS53" s="15">
        <v>0</v>
      </c>
      <c r="CT53" s="15">
        <v>0</v>
      </c>
      <c r="CU53" s="15">
        <v>0</v>
      </c>
      <c r="CV53" s="15">
        <v>0</v>
      </c>
      <c r="CW53" s="15">
        <v>0</v>
      </c>
      <c r="CX53" s="15">
        <v>0</v>
      </c>
      <c r="CY53" s="15">
        <v>0</v>
      </c>
      <c r="CZ53" s="15">
        <v>0</v>
      </c>
      <c r="DA53" s="15">
        <v>0</v>
      </c>
      <c r="DB53" s="15">
        <v>0</v>
      </c>
      <c r="DC53" s="15">
        <v>0</v>
      </c>
      <c r="DD53" s="15">
        <v>0</v>
      </c>
      <c r="DE53" s="15">
        <v>0</v>
      </c>
      <c r="DF53" s="15">
        <v>0</v>
      </c>
      <c r="DG53" s="15">
        <v>0</v>
      </c>
      <c r="DH53" s="15">
        <v>0</v>
      </c>
      <c r="DI53" s="15">
        <v>0</v>
      </c>
      <c r="DJ53" s="15">
        <v>0</v>
      </c>
      <c r="DK53" s="15">
        <v>0</v>
      </c>
      <c r="DL53" s="15">
        <v>0</v>
      </c>
      <c r="DM53" s="15">
        <v>0</v>
      </c>
      <c r="DN53" s="15">
        <v>0</v>
      </c>
      <c r="DO53" s="15">
        <v>0</v>
      </c>
      <c r="DP53" s="15">
        <v>0</v>
      </c>
      <c r="DQ53" s="15">
        <v>0</v>
      </c>
      <c r="DR53" s="15">
        <v>0</v>
      </c>
      <c r="DS53" s="15">
        <v>0</v>
      </c>
      <c r="DT53" s="15">
        <v>0</v>
      </c>
      <c r="DU53" s="15">
        <v>0</v>
      </c>
      <c r="DV53" s="15">
        <v>0</v>
      </c>
      <c r="DW53" s="15">
        <v>0</v>
      </c>
      <c r="DX53" s="15">
        <v>0</v>
      </c>
      <c r="DY53" s="15">
        <v>0</v>
      </c>
      <c r="DZ53" s="15">
        <v>0</v>
      </c>
      <c r="EA53" s="15">
        <v>0</v>
      </c>
      <c r="EB53" s="15">
        <v>0</v>
      </c>
      <c r="EC53" s="15">
        <v>0</v>
      </c>
      <c r="ED53" s="15">
        <v>0</v>
      </c>
      <c r="EE53" s="15">
        <v>0</v>
      </c>
      <c r="EF53" s="15">
        <v>0</v>
      </c>
      <c r="EG53" s="15">
        <v>0</v>
      </c>
      <c r="EH53" s="15">
        <v>0</v>
      </c>
      <c r="EI53" s="15">
        <v>0</v>
      </c>
      <c r="EJ53" s="15">
        <v>0</v>
      </c>
      <c r="EK53" s="15">
        <v>0</v>
      </c>
      <c r="EL53" s="15">
        <v>0</v>
      </c>
      <c r="EM53" s="15">
        <v>0</v>
      </c>
      <c r="EN53" s="15">
        <v>0</v>
      </c>
      <c r="EO53" s="15">
        <v>0</v>
      </c>
      <c r="EP53" s="15">
        <v>0</v>
      </c>
      <c r="EQ53" s="15">
        <v>0</v>
      </c>
      <c r="ER53" s="15">
        <v>0</v>
      </c>
      <c r="ES53" s="15">
        <v>0</v>
      </c>
      <c r="ET53" s="15">
        <v>0</v>
      </c>
      <c r="EU53" s="15">
        <v>0</v>
      </c>
      <c r="EV53" s="15">
        <v>0</v>
      </c>
      <c r="EW53" s="15">
        <v>0</v>
      </c>
      <c r="EX53" s="15">
        <v>0</v>
      </c>
      <c r="EY53" s="15">
        <v>0</v>
      </c>
      <c r="EZ53" s="15">
        <v>0</v>
      </c>
      <c r="FA53" s="15">
        <v>0</v>
      </c>
      <c r="FB53" s="15">
        <v>0</v>
      </c>
      <c r="FC53" s="15">
        <v>0</v>
      </c>
      <c r="FD53" s="15">
        <v>0</v>
      </c>
      <c r="FE53" s="15">
        <v>0</v>
      </c>
      <c r="FF53" s="15">
        <v>0</v>
      </c>
      <c r="FG53" s="15">
        <v>0</v>
      </c>
      <c r="FH53" s="15">
        <v>0</v>
      </c>
      <c r="FI53" s="15">
        <v>0</v>
      </c>
      <c r="FJ53" s="15">
        <v>0</v>
      </c>
      <c r="FK53" s="15">
        <v>0</v>
      </c>
      <c r="FL53" s="15">
        <v>0</v>
      </c>
      <c r="FM53" s="15">
        <v>0</v>
      </c>
      <c r="FN53" s="15">
        <v>0</v>
      </c>
      <c r="FO53" s="15">
        <v>0</v>
      </c>
      <c r="FP53" s="15">
        <v>0</v>
      </c>
      <c r="FQ53" s="15">
        <v>0</v>
      </c>
      <c r="FR53" s="15">
        <v>0</v>
      </c>
      <c r="FS53" s="15">
        <v>0</v>
      </c>
      <c r="FT53" s="15">
        <v>0</v>
      </c>
      <c r="FU53" s="15">
        <v>0</v>
      </c>
      <c r="FV53" s="15">
        <v>0</v>
      </c>
      <c r="FW53" s="15">
        <v>0</v>
      </c>
      <c r="FX53" s="15">
        <v>0</v>
      </c>
      <c r="FY53" s="15">
        <v>0</v>
      </c>
      <c r="FZ53" s="15">
        <v>0</v>
      </c>
      <c r="GA53" s="15">
        <v>0</v>
      </c>
      <c r="GB53" s="15">
        <v>0</v>
      </c>
      <c r="GC53" s="15">
        <v>0</v>
      </c>
      <c r="GD53" s="15">
        <v>0</v>
      </c>
      <c r="GE53" s="15">
        <v>0</v>
      </c>
      <c r="GF53" s="15">
        <v>0</v>
      </c>
      <c r="GG53" s="15">
        <v>0</v>
      </c>
      <c r="GH53" s="15">
        <v>0</v>
      </c>
      <c r="GI53" s="15">
        <v>0</v>
      </c>
      <c r="GJ53" s="15">
        <v>0</v>
      </c>
      <c r="GK53" s="15">
        <v>0</v>
      </c>
      <c r="GL53" s="15">
        <v>0</v>
      </c>
      <c r="GM53" s="15">
        <v>0</v>
      </c>
      <c r="GN53" s="15">
        <v>0</v>
      </c>
      <c r="GO53" s="15">
        <v>0</v>
      </c>
      <c r="GP53" s="15">
        <v>0</v>
      </c>
      <c r="GQ53" s="15">
        <v>0</v>
      </c>
      <c r="GR53" s="15">
        <v>0</v>
      </c>
      <c r="GS53" s="15">
        <v>0</v>
      </c>
      <c r="GT53" s="15">
        <v>0</v>
      </c>
      <c r="GU53" s="15">
        <v>0</v>
      </c>
      <c r="GV53" s="15">
        <v>0</v>
      </c>
      <c r="GW53" s="15">
        <v>0</v>
      </c>
      <c r="GX53" s="15">
        <v>0</v>
      </c>
      <c r="GY53" s="15">
        <v>0</v>
      </c>
      <c r="GZ53" s="15">
        <v>0</v>
      </c>
      <c r="HA53" s="15">
        <v>0</v>
      </c>
      <c r="HB53" s="15">
        <v>0</v>
      </c>
      <c r="HC53" s="15">
        <v>0</v>
      </c>
      <c r="HD53" s="15">
        <v>0</v>
      </c>
      <c r="HE53" s="15">
        <v>0</v>
      </c>
      <c r="HF53" s="15">
        <v>0</v>
      </c>
      <c r="HG53" s="15">
        <v>0</v>
      </c>
      <c r="HH53" s="15">
        <v>0</v>
      </c>
      <c r="HI53" s="15">
        <v>0</v>
      </c>
      <c r="HJ53" s="15">
        <v>0</v>
      </c>
      <c r="HK53" s="15">
        <v>0</v>
      </c>
      <c r="HL53" s="15">
        <v>0</v>
      </c>
      <c r="HM53" s="15">
        <v>0</v>
      </c>
      <c r="HN53" s="15">
        <v>0</v>
      </c>
      <c r="HO53" s="15">
        <v>0</v>
      </c>
      <c r="HP53" s="15">
        <v>0</v>
      </c>
      <c r="HQ53" s="15">
        <v>0</v>
      </c>
      <c r="HR53" s="15">
        <v>0</v>
      </c>
      <c r="HS53" s="15">
        <v>0</v>
      </c>
      <c r="HT53" s="15">
        <v>0</v>
      </c>
      <c r="HU53" s="15">
        <v>0</v>
      </c>
      <c r="HV53" s="15">
        <v>0</v>
      </c>
      <c r="HW53" s="15">
        <v>0</v>
      </c>
      <c r="HX53" s="15">
        <v>0</v>
      </c>
      <c r="HY53" s="15">
        <v>0</v>
      </c>
      <c r="HZ53" s="15">
        <v>0</v>
      </c>
      <c r="IA53" s="15">
        <v>0</v>
      </c>
      <c r="IB53" s="15"/>
      <c r="IC53" s="15">
        <v>0</v>
      </c>
      <c r="ID53" s="15">
        <v>0</v>
      </c>
      <c r="IE53" s="15">
        <v>0</v>
      </c>
      <c r="IF53" s="15">
        <v>0</v>
      </c>
      <c r="IG53" s="15">
        <v>0</v>
      </c>
      <c r="IH53" s="15">
        <v>0</v>
      </c>
      <c r="II53" s="15">
        <v>0</v>
      </c>
      <c r="IJ53" s="15">
        <v>0</v>
      </c>
      <c r="IK53" s="15"/>
      <c r="IL53" s="15">
        <v>0</v>
      </c>
      <c r="IM53" s="15">
        <v>0</v>
      </c>
      <c r="IN53" s="15">
        <v>0</v>
      </c>
      <c r="IO53" s="15">
        <v>0</v>
      </c>
      <c r="IP53" s="15">
        <v>0</v>
      </c>
      <c r="IQ53" s="15">
        <v>0</v>
      </c>
      <c r="IR53" s="15">
        <v>0</v>
      </c>
      <c r="IS53" s="15">
        <v>0</v>
      </c>
      <c r="IT53" s="15">
        <v>0</v>
      </c>
      <c r="IU53" s="15">
        <v>0</v>
      </c>
      <c r="IV53" s="15">
        <v>0</v>
      </c>
      <c r="IW53" s="15">
        <v>0</v>
      </c>
      <c r="IX53" s="15">
        <v>0</v>
      </c>
      <c r="IY53" s="15">
        <v>0</v>
      </c>
      <c r="IZ53" s="15">
        <v>0</v>
      </c>
      <c r="JA53" s="15">
        <v>0</v>
      </c>
      <c r="JB53" s="15">
        <v>0</v>
      </c>
      <c r="JC53" s="15">
        <v>0</v>
      </c>
      <c r="JD53" s="15">
        <v>0</v>
      </c>
      <c r="JE53" s="15">
        <v>0</v>
      </c>
      <c r="JF53" s="15">
        <v>0</v>
      </c>
      <c r="JG53" s="15">
        <v>0</v>
      </c>
      <c r="JH53" s="15">
        <v>0</v>
      </c>
      <c r="JI53" s="15">
        <v>0</v>
      </c>
      <c r="JJ53" s="15">
        <v>0</v>
      </c>
      <c r="JK53" s="15">
        <v>0</v>
      </c>
      <c r="JL53" s="15">
        <v>0</v>
      </c>
      <c r="JM53" s="15">
        <v>0</v>
      </c>
      <c r="JN53" s="15">
        <v>0</v>
      </c>
      <c r="JO53" s="15">
        <v>0</v>
      </c>
      <c r="JP53" s="15">
        <v>0</v>
      </c>
      <c r="JQ53" s="15">
        <v>0</v>
      </c>
      <c r="JR53" s="15">
        <v>0</v>
      </c>
      <c r="JS53" s="15">
        <v>0</v>
      </c>
      <c r="JT53" s="15">
        <v>0</v>
      </c>
      <c r="JU53" s="15">
        <v>0</v>
      </c>
      <c r="JV53" s="15">
        <v>0</v>
      </c>
      <c r="JW53" s="15">
        <v>0</v>
      </c>
      <c r="JX53" s="15">
        <v>0</v>
      </c>
      <c r="JY53" s="15">
        <v>0</v>
      </c>
      <c r="JZ53" s="15">
        <v>0</v>
      </c>
      <c r="KA53" s="15">
        <v>0</v>
      </c>
      <c r="KB53" s="15">
        <v>0</v>
      </c>
      <c r="KC53" s="15">
        <v>0</v>
      </c>
      <c r="KD53" s="15">
        <v>0</v>
      </c>
      <c r="KE53" s="15">
        <v>0</v>
      </c>
      <c r="KF53" s="15">
        <v>0</v>
      </c>
      <c r="KG53" s="15">
        <v>0</v>
      </c>
      <c r="KH53" s="15">
        <v>0</v>
      </c>
      <c r="KI53" s="15">
        <v>0</v>
      </c>
      <c r="KJ53" s="15">
        <v>0</v>
      </c>
      <c r="KK53" s="15">
        <v>0</v>
      </c>
      <c r="KL53" s="15">
        <v>0</v>
      </c>
      <c r="KM53" s="15">
        <v>0</v>
      </c>
      <c r="KN53" s="15">
        <v>0</v>
      </c>
      <c r="KO53" s="15">
        <v>0</v>
      </c>
      <c r="KP53" s="15">
        <v>0</v>
      </c>
      <c r="KQ53" s="15">
        <v>0</v>
      </c>
      <c r="KR53" s="15">
        <v>0</v>
      </c>
      <c r="KS53" s="15">
        <v>0</v>
      </c>
      <c r="KT53" s="15">
        <v>0</v>
      </c>
      <c r="KU53" s="15">
        <v>0</v>
      </c>
      <c r="KV53" s="15">
        <v>0</v>
      </c>
      <c r="KW53" s="15">
        <v>0</v>
      </c>
      <c r="KX53" s="15">
        <v>0</v>
      </c>
      <c r="KY53" s="15">
        <v>0</v>
      </c>
      <c r="KZ53" s="15">
        <v>0</v>
      </c>
      <c r="LA53" s="15">
        <v>0</v>
      </c>
      <c r="LB53" s="15">
        <v>0</v>
      </c>
      <c r="LC53" s="15">
        <v>0</v>
      </c>
      <c r="LD53" s="15">
        <v>0</v>
      </c>
      <c r="LE53" s="15">
        <v>0</v>
      </c>
      <c r="LF53" s="15">
        <v>0</v>
      </c>
      <c r="LG53" s="15">
        <v>0</v>
      </c>
      <c r="LH53" s="15">
        <v>0</v>
      </c>
      <c r="LI53" s="15">
        <v>0</v>
      </c>
      <c r="LJ53" s="15">
        <v>0</v>
      </c>
      <c r="LK53" s="15">
        <v>0</v>
      </c>
      <c r="LL53" s="15">
        <v>0</v>
      </c>
      <c r="LM53" s="15">
        <v>0</v>
      </c>
      <c r="LN53" s="15">
        <v>0</v>
      </c>
      <c r="LO53" s="15">
        <v>0</v>
      </c>
      <c r="LP53" s="15">
        <v>0</v>
      </c>
      <c r="LQ53" s="15">
        <v>0</v>
      </c>
      <c r="LR53" s="15">
        <v>0</v>
      </c>
      <c r="LS53" s="15">
        <v>0</v>
      </c>
      <c r="LT53" s="15">
        <v>0</v>
      </c>
      <c r="LU53" s="15">
        <v>0</v>
      </c>
      <c r="LV53" s="15">
        <v>0</v>
      </c>
      <c r="LW53" s="15">
        <v>0</v>
      </c>
      <c r="LX53" s="15">
        <v>0</v>
      </c>
      <c r="LY53" s="15">
        <v>0</v>
      </c>
      <c r="LZ53" s="15">
        <v>0</v>
      </c>
      <c r="MA53" s="15">
        <v>0</v>
      </c>
      <c r="MB53" s="15">
        <v>0</v>
      </c>
      <c r="MC53" s="15">
        <v>0</v>
      </c>
      <c r="MD53" s="15">
        <v>0</v>
      </c>
      <c r="ME53" s="15">
        <v>0</v>
      </c>
      <c r="MF53" s="15">
        <v>0</v>
      </c>
      <c r="MG53" s="15">
        <v>0</v>
      </c>
      <c r="MH53" s="15">
        <v>0</v>
      </c>
      <c r="MI53" s="15">
        <v>0</v>
      </c>
      <c r="MJ53" s="15">
        <v>0</v>
      </c>
      <c r="MK53" s="15">
        <v>0</v>
      </c>
      <c r="ML53" s="15">
        <v>0</v>
      </c>
      <c r="MM53" s="15">
        <v>0</v>
      </c>
      <c r="MN53" s="15">
        <v>0</v>
      </c>
      <c r="MO53" s="15">
        <v>0</v>
      </c>
      <c r="MP53" s="15">
        <v>0</v>
      </c>
      <c r="MQ53" s="15">
        <v>0</v>
      </c>
      <c r="MR53" s="15">
        <v>0</v>
      </c>
      <c r="MS53" s="15">
        <v>0</v>
      </c>
      <c r="MT53" s="15">
        <v>0</v>
      </c>
      <c r="MU53" s="15">
        <v>0</v>
      </c>
      <c r="MV53" s="15">
        <v>0</v>
      </c>
      <c r="MW53" s="15">
        <v>0</v>
      </c>
      <c r="MX53" s="15">
        <v>0</v>
      </c>
      <c r="MY53" s="15">
        <v>0</v>
      </c>
      <c r="MZ53" s="15">
        <v>0</v>
      </c>
      <c r="NA53" s="15">
        <v>0</v>
      </c>
      <c r="NB53" s="15">
        <v>0</v>
      </c>
      <c r="NC53" s="15">
        <v>0</v>
      </c>
      <c r="ND53" s="15">
        <v>0</v>
      </c>
      <c r="NE53" s="15">
        <v>0</v>
      </c>
      <c r="NF53" s="15">
        <v>0</v>
      </c>
      <c r="NG53" s="15">
        <v>0</v>
      </c>
      <c r="NH53" s="15">
        <v>0</v>
      </c>
      <c r="NI53" s="15">
        <v>0</v>
      </c>
      <c r="NJ53" s="15">
        <v>0</v>
      </c>
      <c r="NK53" s="15">
        <v>0</v>
      </c>
      <c r="NL53" s="15">
        <v>0</v>
      </c>
      <c r="NM53" s="15">
        <v>0</v>
      </c>
      <c r="NN53" s="15">
        <v>0</v>
      </c>
      <c r="NO53" s="15">
        <v>0</v>
      </c>
      <c r="NP53" s="15">
        <v>0</v>
      </c>
      <c r="NQ53" s="15">
        <v>0</v>
      </c>
      <c r="NR53" s="15">
        <v>0</v>
      </c>
      <c r="NS53" s="15">
        <v>0</v>
      </c>
      <c r="NT53" s="15">
        <v>0</v>
      </c>
      <c r="NU53" s="15">
        <v>0</v>
      </c>
      <c r="NV53" s="15">
        <v>0</v>
      </c>
      <c r="NW53" s="15">
        <v>0</v>
      </c>
      <c r="NX53" s="15">
        <v>0</v>
      </c>
      <c r="NY53" s="15">
        <v>0</v>
      </c>
      <c r="NZ53" s="15">
        <v>0</v>
      </c>
      <c r="OA53" s="15">
        <v>0</v>
      </c>
      <c r="OB53" s="15">
        <v>0</v>
      </c>
      <c r="OC53" s="15">
        <v>0</v>
      </c>
      <c r="OD53" s="15">
        <v>0</v>
      </c>
      <c r="OE53" s="15">
        <v>0</v>
      </c>
      <c r="OF53" s="15">
        <v>0</v>
      </c>
      <c r="OG53" s="15">
        <v>0</v>
      </c>
      <c r="OH53" s="15">
        <v>0</v>
      </c>
      <c r="OI53" s="15">
        <v>0</v>
      </c>
      <c r="OJ53" s="15">
        <v>0</v>
      </c>
      <c r="OK53" s="15">
        <v>0</v>
      </c>
      <c r="OL53" s="15">
        <v>0</v>
      </c>
      <c r="OM53" s="15">
        <v>0</v>
      </c>
      <c r="ON53" s="15">
        <v>0</v>
      </c>
      <c r="OO53" s="15">
        <v>0</v>
      </c>
      <c r="OP53" s="15">
        <v>0</v>
      </c>
      <c r="OQ53" s="15">
        <v>0</v>
      </c>
      <c r="OR53" s="15">
        <v>0</v>
      </c>
      <c r="OS53" s="15">
        <v>0</v>
      </c>
      <c r="OT53" s="15">
        <v>0</v>
      </c>
      <c r="OU53" s="15">
        <v>0</v>
      </c>
      <c r="OV53" s="15">
        <v>0</v>
      </c>
      <c r="OW53" s="15">
        <v>0</v>
      </c>
      <c r="OX53" s="15">
        <v>0</v>
      </c>
      <c r="OY53" s="15">
        <v>0</v>
      </c>
      <c r="OZ53" s="15">
        <v>0</v>
      </c>
      <c r="PA53" s="15">
        <v>0</v>
      </c>
      <c r="PB53" s="15">
        <v>0</v>
      </c>
      <c r="PC53" s="15">
        <v>0</v>
      </c>
      <c r="PD53" s="15">
        <v>0</v>
      </c>
      <c r="PE53" s="15">
        <v>0</v>
      </c>
      <c r="PF53" s="15">
        <v>0</v>
      </c>
      <c r="PG53" s="15">
        <v>0</v>
      </c>
      <c r="PH53" s="15">
        <v>0</v>
      </c>
      <c r="PI53" s="15">
        <v>0</v>
      </c>
      <c r="PJ53" s="15">
        <v>0</v>
      </c>
      <c r="PK53" s="15">
        <v>0</v>
      </c>
      <c r="PL53" s="15">
        <v>0</v>
      </c>
      <c r="PM53" s="15">
        <v>0</v>
      </c>
      <c r="PN53" s="15">
        <v>0</v>
      </c>
      <c r="PO53" s="15">
        <v>0</v>
      </c>
      <c r="PP53" s="15">
        <v>0</v>
      </c>
      <c r="PQ53" s="15">
        <v>0</v>
      </c>
      <c r="PR53" s="15">
        <v>0</v>
      </c>
      <c r="PS53" s="15">
        <v>0</v>
      </c>
      <c r="PT53" s="15">
        <v>0</v>
      </c>
      <c r="PU53" s="15">
        <v>0</v>
      </c>
      <c r="PV53" s="15">
        <v>0</v>
      </c>
      <c r="PW53" s="15">
        <v>0</v>
      </c>
      <c r="PX53" s="15">
        <v>0</v>
      </c>
      <c r="PY53" s="15">
        <v>0</v>
      </c>
      <c r="PZ53" s="15">
        <v>0</v>
      </c>
      <c r="QA53" s="15">
        <v>0</v>
      </c>
      <c r="QB53" s="15">
        <v>0</v>
      </c>
      <c r="QC53" s="15">
        <v>0</v>
      </c>
      <c r="QD53" s="15">
        <v>0</v>
      </c>
      <c r="QE53" s="15">
        <v>0</v>
      </c>
      <c r="QF53" s="15">
        <v>0</v>
      </c>
      <c r="QG53" s="15">
        <v>0</v>
      </c>
      <c r="QH53" s="15">
        <v>0</v>
      </c>
      <c r="QI53" s="15">
        <v>0</v>
      </c>
      <c r="QJ53" s="15">
        <v>0</v>
      </c>
      <c r="QK53" s="15">
        <v>0</v>
      </c>
      <c r="QL53" s="15">
        <v>0</v>
      </c>
      <c r="QM53" s="15">
        <v>0</v>
      </c>
      <c r="QN53" s="15">
        <v>0</v>
      </c>
      <c r="QO53" s="15">
        <v>0</v>
      </c>
      <c r="QP53" s="15">
        <v>0</v>
      </c>
      <c r="QQ53" s="15">
        <v>0</v>
      </c>
      <c r="QR53" s="15">
        <v>0</v>
      </c>
      <c r="QS53" s="15">
        <v>0</v>
      </c>
      <c r="QT53" s="15">
        <v>0</v>
      </c>
      <c r="QU53" s="15">
        <v>0</v>
      </c>
      <c r="QV53" s="15">
        <v>0</v>
      </c>
      <c r="QW53" s="15">
        <v>0</v>
      </c>
      <c r="QX53" s="15">
        <v>0</v>
      </c>
      <c r="QY53" s="15">
        <v>0</v>
      </c>
      <c r="QZ53" s="15">
        <v>0</v>
      </c>
      <c r="RA53" s="15">
        <v>0</v>
      </c>
      <c r="RB53" s="15">
        <v>0</v>
      </c>
      <c r="RC53" s="15">
        <v>0</v>
      </c>
      <c r="RD53" s="15">
        <v>0</v>
      </c>
      <c r="RE53" s="15">
        <v>0</v>
      </c>
      <c r="RF53" s="15">
        <v>0</v>
      </c>
      <c r="RG53" s="15">
        <v>0</v>
      </c>
      <c r="RH53" s="15">
        <v>0</v>
      </c>
      <c r="RI53" s="15">
        <v>0</v>
      </c>
      <c r="RJ53" s="15">
        <v>0</v>
      </c>
      <c r="RK53" s="15">
        <v>0</v>
      </c>
      <c r="RL53" s="15">
        <v>0</v>
      </c>
      <c r="RM53" s="15">
        <v>0</v>
      </c>
      <c r="RN53" s="15">
        <v>0</v>
      </c>
      <c r="RO53" s="15">
        <v>0</v>
      </c>
      <c r="RP53" s="15">
        <v>0</v>
      </c>
      <c r="RQ53" s="15">
        <v>0</v>
      </c>
      <c r="RR53" s="15">
        <v>0</v>
      </c>
      <c r="RS53" s="15"/>
      <c r="RT53" s="15">
        <v>0</v>
      </c>
      <c r="RU53" s="15">
        <v>0</v>
      </c>
      <c r="RV53" s="15">
        <v>0</v>
      </c>
      <c r="RW53" s="15">
        <v>0</v>
      </c>
      <c r="RX53" s="15">
        <v>0</v>
      </c>
      <c r="RY53" s="15">
        <v>0</v>
      </c>
      <c r="RZ53" s="15">
        <v>0</v>
      </c>
      <c r="SA53" s="15">
        <v>0</v>
      </c>
      <c r="SB53" s="15">
        <v>0</v>
      </c>
      <c r="SC53" s="15">
        <v>0</v>
      </c>
      <c r="SD53" s="15">
        <v>0</v>
      </c>
      <c r="SE53" s="15">
        <v>0</v>
      </c>
      <c r="SF53" s="15">
        <v>0</v>
      </c>
      <c r="SG53" s="15">
        <v>0</v>
      </c>
      <c r="SH53" s="15">
        <v>0</v>
      </c>
      <c r="SI53" s="15">
        <v>0</v>
      </c>
      <c r="SJ53" s="15">
        <v>0</v>
      </c>
      <c r="SK53" s="15">
        <v>0</v>
      </c>
      <c r="SL53" s="15">
        <v>0</v>
      </c>
      <c r="SM53" s="15">
        <v>0</v>
      </c>
      <c r="SN53" s="15">
        <v>0</v>
      </c>
      <c r="SO53" s="15">
        <v>0</v>
      </c>
      <c r="SP53" s="15">
        <v>0</v>
      </c>
      <c r="SQ53" s="15">
        <v>0</v>
      </c>
      <c r="SR53" s="15">
        <v>0</v>
      </c>
      <c r="SS53" s="15">
        <v>0</v>
      </c>
      <c r="ST53" s="15">
        <v>0</v>
      </c>
      <c r="SU53" s="15">
        <v>0</v>
      </c>
      <c r="SV53" s="15">
        <v>0</v>
      </c>
      <c r="SW53" s="15">
        <v>0</v>
      </c>
      <c r="SX53" s="15">
        <v>0</v>
      </c>
      <c r="SY53" s="15">
        <v>0</v>
      </c>
      <c r="SZ53" s="15">
        <v>0</v>
      </c>
      <c r="TA53" s="15">
        <v>0</v>
      </c>
      <c r="TB53" s="15">
        <v>0</v>
      </c>
      <c r="TC53" s="15">
        <v>0</v>
      </c>
      <c r="TD53" s="15">
        <v>0</v>
      </c>
      <c r="TE53" s="15">
        <v>0</v>
      </c>
      <c r="TF53" s="15">
        <v>0</v>
      </c>
      <c r="TG53" s="15">
        <v>0</v>
      </c>
      <c r="TH53" s="15">
        <v>0</v>
      </c>
      <c r="TI53" s="15">
        <v>0</v>
      </c>
      <c r="TJ53" s="15">
        <v>0</v>
      </c>
      <c r="TK53" s="15">
        <v>0</v>
      </c>
      <c r="TL53" s="15">
        <v>0</v>
      </c>
      <c r="TM53" s="15">
        <v>0</v>
      </c>
      <c r="TN53" s="15">
        <v>0</v>
      </c>
      <c r="TO53" s="15">
        <v>0</v>
      </c>
      <c r="TP53" s="15">
        <v>0</v>
      </c>
      <c r="TQ53" s="15">
        <v>0</v>
      </c>
      <c r="TR53" s="15">
        <v>0</v>
      </c>
      <c r="TS53" s="15">
        <v>0</v>
      </c>
      <c r="TT53" s="15">
        <v>0</v>
      </c>
      <c r="TU53" s="15">
        <v>0</v>
      </c>
      <c r="TV53" s="15">
        <v>0</v>
      </c>
      <c r="TW53" s="15">
        <v>0</v>
      </c>
      <c r="TX53" s="15">
        <v>0</v>
      </c>
      <c r="TY53" s="15">
        <v>0</v>
      </c>
      <c r="TZ53" s="15">
        <v>0</v>
      </c>
      <c r="UA53" s="15">
        <v>0</v>
      </c>
      <c r="UB53" s="15">
        <v>0</v>
      </c>
      <c r="UC53" s="15">
        <v>0</v>
      </c>
      <c r="UD53" s="15">
        <v>0</v>
      </c>
      <c r="UE53" s="15">
        <v>0</v>
      </c>
      <c r="UF53" s="15">
        <v>0</v>
      </c>
      <c r="UG53" s="15">
        <v>0</v>
      </c>
      <c r="UH53" s="15">
        <v>0</v>
      </c>
      <c r="UI53" s="15">
        <v>0</v>
      </c>
      <c r="UJ53" s="15">
        <v>0</v>
      </c>
      <c r="UK53" s="15">
        <v>0</v>
      </c>
      <c r="UL53" s="15">
        <v>0</v>
      </c>
      <c r="UM53" s="15">
        <v>0</v>
      </c>
      <c r="UN53" s="15">
        <v>0</v>
      </c>
      <c r="UO53" s="15">
        <v>0</v>
      </c>
      <c r="UP53" s="15">
        <v>0</v>
      </c>
      <c r="UQ53" s="15">
        <v>0</v>
      </c>
      <c r="UR53" s="15">
        <v>0</v>
      </c>
      <c r="US53" s="15">
        <v>0</v>
      </c>
      <c r="UT53" s="15">
        <v>0</v>
      </c>
      <c r="UU53" s="15">
        <v>0</v>
      </c>
      <c r="UV53" s="15">
        <v>0</v>
      </c>
      <c r="UW53" s="15">
        <v>0</v>
      </c>
      <c r="UX53" s="15">
        <v>0</v>
      </c>
      <c r="UY53" s="15">
        <v>0</v>
      </c>
      <c r="UZ53" s="15">
        <v>0</v>
      </c>
      <c r="VA53" s="15">
        <v>0</v>
      </c>
      <c r="VB53" s="15">
        <v>0</v>
      </c>
      <c r="VC53" s="15">
        <v>0</v>
      </c>
      <c r="VD53" s="15">
        <v>0</v>
      </c>
      <c r="VE53" s="15">
        <v>0</v>
      </c>
      <c r="VF53" s="15">
        <v>0</v>
      </c>
      <c r="VG53" s="15">
        <v>0</v>
      </c>
      <c r="VH53" s="15">
        <v>0</v>
      </c>
      <c r="VI53" s="15">
        <v>0</v>
      </c>
      <c r="VJ53" s="15">
        <v>0</v>
      </c>
      <c r="VK53" s="15">
        <v>0</v>
      </c>
      <c r="VL53" s="15">
        <v>0</v>
      </c>
      <c r="VM53" s="15">
        <v>0</v>
      </c>
      <c r="VN53" s="15">
        <v>0</v>
      </c>
      <c r="VO53" s="15">
        <v>0</v>
      </c>
      <c r="VP53" s="15">
        <v>0</v>
      </c>
      <c r="VQ53" s="15">
        <v>0</v>
      </c>
      <c r="VR53" s="15">
        <v>0</v>
      </c>
      <c r="VS53" s="15">
        <v>0</v>
      </c>
      <c r="VT53" s="15">
        <v>0</v>
      </c>
      <c r="VU53" s="15">
        <v>0</v>
      </c>
      <c r="VV53" s="15">
        <v>0</v>
      </c>
      <c r="VW53" s="15">
        <v>0</v>
      </c>
      <c r="VX53" s="15">
        <v>0</v>
      </c>
      <c r="VY53" s="15">
        <v>0</v>
      </c>
      <c r="VZ53" s="15">
        <v>0</v>
      </c>
      <c r="WA53" s="15">
        <v>0</v>
      </c>
      <c r="WB53" s="15">
        <v>0</v>
      </c>
      <c r="WC53" s="15">
        <v>0</v>
      </c>
      <c r="WD53" s="15">
        <v>0</v>
      </c>
      <c r="WE53" s="15">
        <v>0</v>
      </c>
      <c r="WF53" s="15">
        <v>0</v>
      </c>
      <c r="WG53" s="15">
        <v>0</v>
      </c>
      <c r="WH53" s="15">
        <v>0</v>
      </c>
      <c r="WI53" s="15">
        <v>0</v>
      </c>
      <c r="WJ53" s="15">
        <v>0</v>
      </c>
      <c r="WK53" s="15">
        <v>0</v>
      </c>
      <c r="WL53" s="15">
        <v>0</v>
      </c>
      <c r="WM53" s="15">
        <v>0</v>
      </c>
      <c r="WN53" s="15">
        <v>0</v>
      </c>
      <c r="WO53" s="15">
        <v>0</v>
      </c>
      <c r="WP53" s="15">
        <v>0</v>
      </c>
      <c r="WQ53" s="15">
        <v>0</v>
      </c>
      <c r="WR53" s="15">
        <v>0</v>
      </c>
      <c r="WS53" s="15">
        <v>0</v>
      </c>
      <c r="WT53" s="15">
        <v>0</v>
      </c>
      <c r="WU53" s="15">
        <v>0</v>
      </c>
      <c r="WV53" s="15">
        <v>0</v>
      </c>
      <c r="WW53" s="15">
        <v>0</v>
      </c>
      <c r="WX53" s="15">
        <v>0</v>
      </c>
      <c r="WY53" s="15">
        <v>0</v>
      </c>
      <c r="WZ53" s="15">
        <v>0</v>
      </c>
      <c r="XA53" s="15">
        <v>0</v>
      </c>
      <c r="XB53" s="15">
        <v>0</v>
      </c>
      <c r="XC53" s="15">
        <v>0</v>
      </c>
      <c r="XD53" s="15">
        <v>0</v>
      </c>
      <c r="XE53" s="15">
        <v>0</v>
      </c>
      <c r="XF53" s="15">
        <v>0</v>
      </c>
      <c r="XG53" s="15">
        <v>0</v>
      </c>
      <c r="XH53" s="15">
        <v>0</v>
      </c>
      <c r="XI53" s="15">
        <v>0</v>
      </c>
      <c r="XJ53" s="15">
        <v>0</v>
      </c>
      <c r="XK53" s="15">
        <v>0</v>
      </c>
      <c r="XL53" s="15">
        <v>0</v>
      </c>
      <c r="XM53" s="15">
        <v>0</v>
      </c>
      <c r="XN53" s="15">
        <v>0</v>
      </c>
      <c r="XO53" s="15">
        <v>0</v>
      </c>
      <c r="XP53" s="15">
        <v>0</v>
      </c>
      <c r="XQ53" s="15">
        <v>0</v>
      </c>
      <c r="XR53" s="15">
        <v>0</v>
      </c>
      <c r="XS53" s="15">
        <v>0</v>
      </c>
      <c r="XT53" s="15">
        <v>0</v>
      </c>
      <c r="XU53" s="15">
        <v>0</v>
      </c>
      <c r="XV53" s="15">
        <v>0</v>
      </c>
      <c r="XW53" s="15">
        <v>0</v>
      </c>
      <c r="XX53" s="15">
        <v>0</v>
      </c>
      <c r="XY53" s="15">
        <v>0</v>
      </c>
      <c r="XZ53" s="15">
        <v>0</v>
      </c>
      <c r="YA53" s="15">
        <v>0</v>
      </c>
      <c r="YB53" s="15">
        <v>0</v>
      </c>
      <c r="YC53" s="15">
        <v>0</v>
      </c>
      <c r="YD53" s="15">
        <v>0</v>
      </c>
      <c r="YE53" s="15">
        <v>0</v>
      </c>
      <c r="YF53" s="15">
        <v>0</v>
      </c>
      <c r="YG53" s="15">
        <v>0</v>
      </c>
      <c r="YH53" s="15">
        <v>0</v>
      </c>
      <c r="YI53" s="15">
        <v>0</v>
      </c>
      <c r="YJ53" s="15">
        <v>0</v>
      </c>
      <c r="YK53" s="15">
        <v>0</v>
      </c>
      <c r="YL53" s="15">
        <v>0</v>
      </c>
      <c r="YM53" s="15">
        <v>0</v>
      </c>
      <c r="YN53" s="15">
        <v>0</v>
      </c>
      <c r="YO53" s="15">
        <v>0</v>
      </c>
      <c r="YP53" s="15">
        <v>0</v>
      </c>
      <c r="YQ53" s="15">
        <v>0</v>
      </c>
      <c r="YR53" s="15">
        <v>0</v>
      </c>
      <c r="YS53" s="15">
        <v>0</v>
      </c>
      <c r="YT53" s="15">
        <v>0</v>
      </c>
      <c r="YU53" s="15">
        <v>0</v>
      </c>
      <c r="YV53" s="15">
        <v>0</v>
      </c>
      <c r="YW53" s="15">
        <v>0</v>
      </c>
      <c r="YX53" s="15">
        <v>0</v>
      </c>
      <c r="YY53" s="15">
        <v>0</v>
      </c>
      <c r="YZ53" s="15">
        <v>0</v>
      </c>
      <c r="ZA53" s="15">
        <v>0</v>
      </c>
      <c r="ZB53" s="15">
        <v>0</v>
      </c>
      <c r="ZC53" s="15">
        <v>0</v>
      </c>
      <c r="ZD53" s="15">
        <v>0</v>
      </c>
      <c r="ZE53" s="15">
        <v>0</v>
      </c>
      <c r="ZF53" s="15">
        <v>0</v>
      </c>
      <c r="ZG53" s="15">
        <v>0</v>
      </c>
      <c r="ZH53" s="15">
        <v>0</v>
      </c>
      <c r="ZI53" s="15">
        <v>0</v>
      </c>
      <c r="ZJ53" s="15">
        <v>0</v>
      </c>
      <c r="ZK53" s="15">
        <v>0</v>
      </c>
      <c r="ZL53" s="15">
        <v>0</v>
      </c>
      <c r="ZM53" s="15">
        <v>0</v>
      </c>
      <c r="ZN53" s="15">
        <v>0</v>
      </c>
      <c r="ZO53" s="15">
        <v>0</v>
      </c>
      <c r="ZP53" s="15">
        <v>0</v>
      </c>
      <c r="ZQ53" s="15">
        <v>0</v>
      </c>
      <c r="ZR53" s="15">
        <v>0</v>
      </c>
      <c r="ZS53" s="15">
        <v>0</v>
      </c>
      <c r="ZT53" s="15">
        <v>0</v>
      </c>
      <c r="ZU53" s="15">
        <v>0</v>
      </c>
      <c r="ZV53" s="15">
        <v>0</v>
      </c>
      <c r="ZW53" s="15">
        <v>0</v>
      </c>
      <c r="ZX53" s="15">
        <v>0</v>
      </c>
      <c r="ZY53" s="15">
        <v>0</v>
      </c>
      <c r="ZZ53" s="15">
        <v>0</v>
      </c>
      <c r="AAA53" s="15">
        <v>0</v>
      </c>
      <c r="AAB53" s="15">
        <v>0</v>
      </c>
      <c r="AAC53" s="15">
        <v>0</v>
      </c>
      <c r="AAD53" s="15">
        <v>0</v>
      </c>
      <c r="AAE53" s="15">
        <v>0</v>
      </c>
      <c r="AAF53" s="15">
        <v>0</v>
      </c>
      <c r="AAG53" s="15">
        <v>0</v>
      </c>
      <c r="AAH53" s="15">
        <v>0</v>
      </c>
      <c r="AAI53" s="15">
        <v>0</v>
      </c>
      <c r="AAJ53" s="15">
        <v>0</v>
      </c>
      <c r="AAK53" s="15">
        <v>0</v>
      </c>
      <c r="AAL53" s="15"/>
      <c r="AAM53" s="15">
        <v>0</v>
      </c>
      <c r="AAN53" s="15">
        <v>0</v>
      </c>
      <c r="AAO53" s="15">
        <v>0</v>
      </c>
      <c r="AAP53" s="15">
        <v>0</v>
      </c>
      <c r="AAQ53" s="15">
        <v>0</v>
      </c>
      <c r="AAR53" s="15">
        <v>0</v>
      </c>
      <c r="AAS53" s="15">
        <v>0</v>
      </c>
      <c r="AAT53" s="15">
        <v>0</v>
      </c>
      <c r="AAU53" s="15">
        <v>0</v>
      </c>
      <c r="AAV53" s="15">
        <v>0</v>
      </c>
      <c r="AAW53" s="15">
        <v>0</v>
      </c>
      <c r="AAX53" s="15"/>
      <c r="AAY53" s="15">
        <v>0</v>
      </c>
      <c r="AAZ53" s="15">
        <v>0</v>
      </c>
      <c r="ABA53" s="15">
        <v>0</v>
      </c>
      <c r="ABB53" s="15">
        <v>0</v>
      </c>
      <c r="ABC53" s="15">
        <v>0</v>
      </c>
      <c r="ABD53" s="15">
        <v>0</v>
      </c>
      <c r="ABE53" s="15">
        <v>0</v>
      </c>
      <c r="ABF53" s="15">
        <v>0</v>
      </c>
      <c r="ABG53" s="15">
        <v>0</v>
      </c>
      <c r="ABH53" s="15">
        <v>0</v>
      </c>
      <c r="ABI53" s="15">
        <v>0</v>
      </c>
      <c r="ABJ53" s="15">
        <v>0</v>
      </c>
      <c r="ABK53" s="15">
        <v>0</v>
      </c>
      <c r="ABL53" s="15">
        <v>0</v>
      </c>
      <c r="ABM53" s="15">
        <v>0</v>
      </c>
      <c r="ABN53" s="15">
        <v>0</v>
      </c>
      <c r="ABO53" s="15">
        <v>0</v>
      </c>
      <c r="ABP53" s="15">
        <v>0</v>
      </c>
      <c r="ABQ53" s="15">
        <v>0</v>
      </c>
      <c r="ABR53" s="15">
        <v>0</v>
      </c>
      <c r="ABS53" s="15">
        <v>0</v>
      </c>
      <c r="ABT53" s="15">
        <v>0</v>
      </c>
      <c r="ABU53" s="15">
        <v>0</v>
      </c>
      <c r="ABV53" s="15">
        <v>0</v>
      </c>
      <c r="ABW53" s="15">
        <v>0</v>
      </c>
      <c r="ABX53" s="15">
        <v>0</v>
      </c>
      <c r="ABY53" s="15">
        <v>0</v>
      </c>
      <c r="ABZ53" s="15">
        <v>0</v>
      </c>
      <c r="ACA53" s="15">
        <v>0</v>
      </c>
      <c r="ACB53" s="15">
        <v>0</v>
      </c>
      <c r="ACC53" s="15">
        <v>0</v>
      </c>
      <c r="ACD53" s="15">
        <v>0</v>
      </c>
      <c r="ACE53" s="15">
        <v>0</v>
      </c>
      <c r="ACF53" s="15">
        <v>0</v>
      </c>
      <c r="ACG53" s="15">
        <v>0</v>
      </c>
      <c r="ACH53" s="15">
        <v>0</v>
      </c>
      <c r="ACI53" s="15">
        <v>0</v>
      </c>
      <c r="ACJ53" s="15">
        <v>0</v>
      </c>
      <c r="ACK53" s="15">
        <v>0</v>
      </c>
      <c r="ACL53" s="15">
        <v>0</v>
      </c>
      <c r="ACM53" s="15">
        <v>0</v>
      </c>
      <c r="ACN53" s="15">
        <v>0</v>
      </c>
      <c r="ACO53" s="15">
        <v>0</v>
      </c>
      <c r="ACP53" s="15">
        <v>0</v>
      </c>
      <c r="ACQ53" s="15">
        <v>0</v>
      </c>
      <c r="ACR53" s="15">
        <v>0</v>
      </c>
      <c r="ACS53" s="15">
        <v>0</v>
      </c>
      <c r="ACT53" s="15">
        <v>0</v>
      </c>
      <c r="ACU53" s="15">
        <v>0</v>
      </c>
      <c r="ACV53" s="15">
        <v>0</v>
      </c>
      <c r="ACW53" s="15">
        <v>0</v>
      </c>
      <c r="ACX53" s="15">
        <v>0</v>
      </c>
      <c r="ACY53" s="15">
        <v>0</v>
      </c>
      <c r="ACZ53" s="15">
        <v>0</v>
      </c>
      <c r="ADA53" s="15">
        <v>0</v>
      </c>
      <c r="ADB53" s="15">
        <v>0</v>
      </c>
      <c r="ADC53" s="15">
        <v>0</v>
      </c>
      <c r="ADD53" s="15">
        <v>0</v>
      </c>
      <c r="ADE53" s="15">
        <v>0</v>
      </c>
      <c r="ADF53" s="15">
        <v>0</v>
      </c>
      <c r="ADG53" s="15">
        <v>0</v>
      </c>
      <c r="ADH53" s="15"/>
      <c r="ADI53" s="15">
        <v>0</v>
      </c>
      <c r="ADJ53" s="15">
        <v>0</v>
      </c>
      <c r="ADK53" s="15">
        <v>0</v>
      </c>
      <c r="ADL53" s="15">
        <v>0</v>
      </c>
      <c r="ADM53" s="15">
        <v>0</v>
      </c>
      <c r="ADN53" s="15">
        <v>0</v>
      </c>
      <c r="ADO53" s="15">
        <v>0</v>
      </c>
      <c r="ADP53" s="15">
        <v>0</v>
      </c>
      <c r="ADQ53" s="15">
        <v>0</v>
      </c>
      <c r="ADR53" s="15">
        <v>0</v>
      </c>
      <c r="ADS53" s="15">
        <v>0</v>
      </c>
      <c r="ADT53" s="15">
        <v>0</v>
      </c>
      <c r="ADU53" s="15">
        <v>0</v>
      </c>
      <c r="ADV53" s="15">
        <v>0</v>
      </c>
      <c r="ADW53" s="15">
        <v>0</v>
      </c>
      <c r="ADX53" s="15">
        <v>0</v>
      </c>
      <c r="ADY53" s="15">
        <v>0</v>
      </c>
      <c r="ADZ53" s="15">
        <v>0</v>
      </c>
      <c r="AEA53" s="15">
        <v>0</v>
      </c>
      <c r="AEB53" s="15">
        <v>0</v>
      </c>
      <c r="AEC53" s="15">
        <v>0</v>
      </c>
      <c r="AED53" s="15">
        <v>0</v>
      </c>
      <c r="AEE53" s="15">
        <v>0</v>
      </c>
      <c r="AEF53" s="15">
        <v>0</v>
      </c>
      <c r="AEG53" s="15">
        <v>0</v>
      </c>
      <c r="AEH53" s="15">
        <v>0</v>
      </c>
      <c r="AEI53" s="15">
        <v>0</v>
      </c>
      <c r="AEJ53" s="15">
        <v>0</v>
      </c>
      <c r="AEK53" s="15">
        <v>0</v>
      </c>
      <c r="AEL53" s="15">
        <v>0</v>
      </c>
      <c r="AEM53" s="15">
        <v>0</v>
      </c>
      <c r="AEN53" s="15">
        <v>0</v>
      </c>
      <c r="AEO53" s="15">
        <v>0</v>
      </c>
      <c r="AEP53" s="15">
        <v>0</v>
      </c>
      <c r="AEQ53" s="15">
        <v>0</v>
      </c>
      <c r="AER53" s="15">
        <v>0</v>
      </c>
      <c r="AES53" s="15">
        <v>0</v>
      </c>
      <c r="AET53" s="15">
        <v>0</v>
      </c>
      <c r="AEU53" s="15">
        <v>0</v>
      </c>
      <c r="AEV53" s="15">
        <v>0</v>
      </c>
      <c r="AEW53" s="15">
        <v>0</v>
      </c>
      <c r="AEX53" s="15">
        <v>0</v>
      </c>
      <c r="AEY53" s="15">
        <v>0</v>
      </c>
      <c r="AEZ53" s="15">
        <v>0</v>
      </c>
      <c r="AFA53" s="15">
        <v>0</v>
      </c>
      <c r="AFB53" s="15">
        <v>0</v>
      </c>
      <c r="AFC53" s="15">
        <v>0</v>
      </c>
      <c r="AFD53" s="15">
        <v>0</v>
      </c>
      <c r="AFE53" s="15">
        <v>0</v>
      </c>
      <c r="AFF53" s="15">
        <v>0</v>
      </c>
      <c r="AFG53" s="15">
        <v>0</v>
      </c>
      <c r="AFH53" s="15">
        <v>0</v>
      </c>
      <c r="AFI53" s="15">
        <v>0</v>
      </c>
      <c r="AFJ53" s="15">
        <v>0</v>
      </c>
      <c r="AFK53" s="15">
        <v>0</v>
      </c>
      <c r="AFL53" s="15">
        <v>0</v>
      </c>
      <c r="AFM53" s="15">
        <v>0</v>
      </c>
      <c r="AFN53" s="15">
        <v>0</v>
      </c>
      <c r="AFO53" s="15">
        <v>0</v>
      </c>
      <c r="AFP53" s="15">
        <v>0</v>
      </c>
      <c r="AFQ53" s="15">
        <v>0</v>
      </c>
      <c r="AFR53" s="15"/>
      <c r="AFS53" s="15">
        <v>0</v>
      </c>
      <c r="AFT53" s="15">
        <v>0</v>
      </c>
      <c r="AFU53" s="15">
        <v>0</v>
      </c>
      <c r="AFV53" s="15">
        <v>0</v>
      </c>
      <c r="AFW53" s="15">
        <v>0</v>
      </c>
      <c r="AFX53" s="15">
        <v>0</v>
      </c>
      <c r="AFY53" s="15">
        <v>0</v>
      </c>
      <c r="AFZ53" s="15">
        <v>0</v>
      </c>
      <c r="AGA53" s="15">
        <v>0</v>
      </c>
      <c r="AGB53" s="15">
        <v>0</v>
      </c>
      <c r="AGC53" s="15">
        <v>0</v>
      </c>
      <c r="AGD53" s="15">
        <v>0</v>
      </c>
      <c r="AGE53" s="15">
        <v>0</v>
      </c>
      <c r="AGF53" s="15">
        <v>0</v>
      </c>
      <c r="AGG53" s="15">
        <v>0</v>
      </c>
      <c r="AGH53" s="15">
        <v>0</v>
      </c>
      <c r="AGI53" s="15">
        <v>0</v>
      </c>
      <c r="AGJ53" s="15">
        <v>0</v>
      </c>
      <c r="AGK53" s="15">
        <v>0</v>
      </c>
      <c r="AGL53" s="15">
        <v>0</v>
      </c>
      <c r="AGM53" s="15">
        <v>0</v>
      </c>
      <c r="AGN53" s="15">
        <v>0</v>
      </c>
      <c r="AGO53" s="15">
        <v>0</v>
      </c>
      <c r="AGP53" s="15">
        <v>0</v>
      </c>
      <c r="AGQ53" s="15">
        <v>0</v>
      </c>
      <c r="AGR53" s="15">
        <v>0</v>
      </c>
      <c r="AGS53" s="15">
        <v>0</v>
      </c>
      <c r="AGT53" s="15">
        <v>0</v>
      </c>
      <c r="AGU53" s="15">
        <v>0</v>
      </c>
      <c r="AGV53" s="15">
        <v>0</v>
      </c>
      <c r="AGW53" s="15">
        <v>0</v>
      </c>
      <c r="AGX53" s="15">
        <v>0</v>
      </c>
      <c r="AGY53" s="15">
        <v>0</v>
      </c>
      <c r="AGZ53" s="15">
        <v>0</v>
      </c>
      <c r="AHA53" s="15">
        <v>0</v>
      </c>
      <c r="AHB53" s="15">
        <v>0</v>
      </c>
      <c r="AHC53" s="15">
        <v>0</v>
      </c>
      <c r="AHD53" s="15">
        <v>0</v>
      </c>
      <c r="AHE53" s="15">
        <v>0</v>
      </c>
      <c r="AHF53" s="15">
        <v>0</v>
      </c>
      <c r="AHG53" s="15">
        <v>0</v>
      </c>
      <c r="AHH53" s="15">
        <v>0</v>
      </c>
      <c r="AHI53" s="15">
        <v>0</v>
      </c>
      <c r="AHJ53" s="15">
        <v>0</v>
      </c>
      <c r="AHK53" s="15">
        <v>0</v>
      </c>
      <c r="AHL53" s="15">
        <v>0</v>
      </c>
      <c r="AHM53" s="15">
        <v>0</v>
      </c>
      <c r="AHN53" s="15">
        <v>0</v>
      </c>
      <c r="AHO53" s="15">
        <v>0</v>
      </c>
      <c r="AHP53" s="15">
        <v>0</v>
      </c>
      <c r="AHQ53" s="15">
        <v>0</v>
      </c>
      <c r="AHR53" s="15">
        <v>0</v>
      </c>
      <c r="AHS53" s="15">
        <v>0</v>
      </c>
      <c r="AHT53" s="15">
        <v>0</v>
      </c>
      <c r="AHU53" s="15">
        <v>0</v>
      </c>
      <c r="AHV53" s="15">
        <v>0</v>
      </c>
      <c r="AHW53" s="15">
        <v>0</v>
      </c>
      <c r="AHX53" s="15">
        <v>0</v>
      </c>
      <c r="AHY53" s="15">
        <v>0</v>
      </c>
      <c r="AHZ53" s="15">
        <v>0</v>
      </c>
      <c r="AIA53" s="15">
        <v>0</v>
      </c>
      <c r="AIB53" s="15">
        <v>0</v>
      </c>
      <c r="AIC53" s="15">
        <v>0</v>
      </c>
      <c r="AID53" s="15">
        <v>0</v>
      </c>
      <c r="AIE53" s="15">
        <v>0</v>
      </c>
      <c r="AIF53" s="15">
        <v>0</v>
      </c>
      <c r="AIG53" s="15">
        <v>0</v>
      </c>
      <c r="AIH53" s="15">
        <v>0</v>
      </c>
      <c r="AII53" s="15">
        <v>0</v>
      </c>
      <c r="AIJ53" s="15">
        <v>0</v>
      </c>
      <c r="AIK53" s="15">
        <v>0</v>
      </c>
      <c r="AIL53" s="15">
        <v>0</v>
      </c>
      <c r="AIM53" s="15">
        <v>0</v>
      </c>
      <c r="AIN53" s="15">
        <v>0</v>
      </c>
      <c r="AIO53" s="15">
        <v>0</v>
      </c>
      <c r="AIP53" s="15">
        <v>0</v>
      </c>
      <c r="AIQ53" s="15">
        <v>0</v>
      </c>
      <c r="AIR53" s="15">
        <v>0</v>
      </c>
      <c r="AIS53" s="15">
        <v>0</v>
      </c>
      <c r="AIT53" s="15">
        <v>0</v>
      </c>
      <c r="AIU53" s="15">
        <v>0</v>
      </c>
      <c r="AIV53" s="15">
        <v>0</v>
      </c>
      <c r="AIW53" s="15">
        <v>0</v>
      </c>
      <c r="AIX53" s="15">
        <v>0</v>
      </c>
      <c r="AIY53" s="15">
        <v>0</v>
      </c>
      <c r="AIZ53" s="15">
        <v>0</v>
      </c>
      <c r="AJA53" s="15">
        <v>0</v>
      </c>
      <c r="AJB53" s="15">
        <v>0</v>
      </c>
      <c r="AJC53" s="15">
        <v>0</v>
      </c>
      <c r="AJD53" s="15">
        <v>0</v>
      </c>
      <c r="AJE53" s="15">
        <v>0</v>
      </c>
      <c r="AJF53" s="15"/>
      <c r="AJG53" s="15">
        <v>0</v>
      </c>
      <c r="AJH53" s="15">
        <v>0</v>
      </c>
      <c r="AJI53" s="15">
        <v>0</v>
      </c>
      <c r="AJJ53" s="15">
        <v>0</v>
      </c>
      <c r="AJK53" s="15">
        <v>0</v>
      </c>
      <c r="AJL53" s="15">
        <v>0</v>
      </c>
      <c r="AJM53" s="15">
        <v>0</v>
      </c>
      <c r="AJN53" s="15"/>
      <c r="AJO53" s="15">
        <v>0</v>
      </c>
      <c r="AJP53" s="15">
        <v>0</v>
      </c>
      <c r="AJQ53" s="15">
        <v>1</v>
      </c>
      <c r="AJR53" s="15">
        <v>1</v>
      </c>
      <c r="AJS53" s="15">
        <v>1</v>
      </c>
      <c r="AJT53" s="15">
        <v>1</v>
      </c>
      <c r="AJU53" s="15">
        <v>1</v>
      </c>
      <c r="AJV53" s="15">
        <v>1</v>
      </c>
      <c r="AJW53" s="15">
        <v>2</v>
      </c>
      <c r="AJX53" s="15"/>
      <c r="AJY53" s="15">
        <v>0</v>
      </c>
      <c r="AJZ53" s="15">
        <v>0</v>
      </c>
      <c r="AKA53" s="15">
        <v>1</v>
      </c>
      <c r="AKB53" s="15">
        <v>1</v>
      </c>
      <c r="AKC53" s="15">
        <v>1</v>
      </c>
      <c r="AKD53" s="15">
        <v>1</v>
      </c>
      <c r="AKE53" s="15">
        <v>1</v>
      </c>
      <c r="AKF53" s="15">
        <v>1</v>
      </c>
      <c r="AKG53" s="15">
        <v>1</v>
      </c>
      <c r="AKH53" s="15">
        <v>1</v>
      </c>
      <c r="AKI53" s="15"/>
      <c r="AKJ53" s="15">
        <v>0</v>
      </c>
      <c r="AKK53" s="15">
        <v>0</v>
      </c>
      <c r="AKL53" s="15">
        <v>0</v>
      </c>
      <c r="AKM53" s="15">
        <v>0</v>
      </c>
      <c r="AKN53" s="15">
        <v>0</v>
      </c>
      <c r="AKO53" s="15">
        <v>0</v>
      </c>
      <c r="AKP53" s="15">
        <v>0</v>
      </c>
      <c r="AKQ53" s="15">
        <v>0</v>
      </c>
      <c r="AKR53" s="15">
        <v>0</v>
      </c>
      <c r="AKS53" s="15">
        <v>0</v>
      </c>
      <c r="AKT53" s="15">
        <v>0</v>
      </c>
      <c r="AKU53" s="15">
        <v>0</v>
      </c>
      <c r="AKV53" s="15">
        <v>0</v>
      </c>
      <c r="AKW53" s="15">
        <v>0</v>
      </c>
      <c r="AKX53" s="15"/>
      <c r="AKY53" s="15">
        <v>0</v>
      </c>
      <c r="AKZ53" s="15">
        <v>0</v>
      </c>
      <c r="ALA53" s="15">
        <v>0</v>
      </c>
      <c r="ALB53" s="15">
        <v>0</v>
      </c>
      <c r="ALC53" s="15">
        <v>0</v>
      </c>
      <c r="ALD53" s="15">
        <v>0</v>
      </c>
      <c r="ALE53" s="15">
        <v>0</v>
      </c>
      <c r="ALF53" s="15">
        <v>0</v>
      </c>
      <c r="ALG53" s="15">
        <v>0</v>
      </c>
      <c r="ALH53" s="15">
        <v>1</v>
      </c>
      <c r="ALI53" s="15">
        <v>1</v>
      </c>
      <c r="ALJ53" s="15">
        <v>1</v>
      </c>
      <c r="ALK53" s="15">
        <v>1</v>
      </c>
      <c r="ALL53" s="15">
        <v>1</v>
      </c>
      <c r="ALM53" s="15"/>
      <c r="ALN53" s="15">
        <v>0</v>
      </c>
      <c r="ALO53" s="15">
        <v>0</v>
      </c>
      <c r="ALP53" s="15">
        <v>0</v>
      </c>
      <c r="ALQ53" s="15">
        <v>0</v>
      </c>
      <c r="ALR53" s="15">
        <v>0</v>
      </c>
      <c r="ALS53" s="15">
        <v>0</v>
      </c>
      <c r="ALT53" s="15">
        <v>0</v>
      </c>
      <c r="ALU53" s="15">
        <v>0</v>
      </c>
      <c r="ALV53" s="15">
        <v>0</v>
      </c>
      <c r="ALW53" s="15">
        <v>0</v>
      </c>
      <c r="ALX53" s="15">
        <v>1</v>
      </c>
      <c r="ALY53" s="15">
        <v>1</v>
      </c>
      <c r="ALZ53" s="15">
        <v>1</v>
      </c>
      <c r="AMA53" s="15">
        <v>1</v>
      </c>
      <c r="AMB53" s="15">
        <v>1</v>
      </c>
      <c r="AMC53" s="15"/>
      <c r="AMD53" s="15">
        <v>0</v>
      </c>
      <c r="AME53" s="15">
        <v>0</v>
      </c>
      <c r="AMF53" s="15">
        <v>0</v>
      </c>
      <c r="AMG53" s="15">
        <v>0</v>
      </c>
      <c r="AMH53" s="15">
        <v>0</v>
      </c>
      <c r="AMI53" s="15">
        <v>0</v>
      </c>
      <c r="AMJ53" s="15">
        <v>0</v>
      </c>
      <c r="AMK53" s="15">
        <v>0</v>
      </c>
      <c r="AML53" s="15">
        <v>0</v>
      </c>
      <c r="AMM53" s="15">
        <v>0</v>
      </c>
      <c r="AMN53" s="15">
        <v>0</v>
      </c>
      <c r="AMO53" s="32">
        <v>1</v>
      </c>
      <c r="AMP53" s="32">
        <v>1</v>
      </c>
      <c r="AMQ53" s="32">
        <v>1</v>
      </c>
      <c r="AMR53" s="32">
        <v>0</v>
      </c>
      <c r="AMS53" s="32">
        <v>0</v>
      </c>
      <c r="AMT53" s="32">
        <v>2</v>
      </c>
      <c r="AMU53" s="32">
        <v>2</v>
      </c>
      <c r="AMV53" s="32">
        <v>0</v>
      </c>
      <c r="AMW53" s="32">
        <v>0</v>
      </c>
      <c r="AMX53" s="32">
        <v>0</v>
      </c>
      <c r="AMY53" s="32">
        <v>0</v>
      </c>
      <c r="AMZ53" s="32">
        <v>0</v>
      </c>
      <c r="ANA53" s="32">
        <v>0</v>
      </c>
      <c r="ANB53" s="32">
        <v>0</v>
      </c>
      <c r="ANC53" s="32">
        <v>0</v>
      </c>
      <c r="AND53" s="32">
        <v>0</v>
      </c>
      <c r="ANE53" s="15"/>
      <c r="ANF53" s="15"/>
      <c r="ANG53" s="15"/>
      <c r="ANH53" s="15"/>
      <c r="ANI53" s="15"/>
      <c r="ANJ53" s="15"/>
      <c r="ANK53" s="15"/>
      <c r="ANL53" s="15"/>
      <c r="ANM53" s="15"/>
      <c r="ANN53" s="15"/>
      <c r="ANO53" s="15"/>
      <c r="ANP53" s="15"/>
      <c r="ANQ53" s="15"/>
      <c r="ANR53" s="15"/>
      <c r="ANS53" s="15"/>
      <c r="ANT53" s="15"/>
      <c r="ANU53" s="15"/>
      <c r="ANV53" s="15"/>
      <c r="ANW53" s="15"/>
      <c r="ANX53" s="15"/>
      <c r="ANY53" s="15"/>
      <c r="ANZ53" s="15"/>
      <c r="AOA53" s="15"/>
      <c r="AOB53" s="15"/>
      <c r="AOC53" s="15"/>
      <c r="AOD53" s="15"/>
      <c r="AOE53" s="15"/>
      <c r="AOF53" s="15"/>
      <c r="AOG53" s="15"/>
      <c r="AOH53" s="15"/>
      <c r="AOI53" s="15"/>
      <c r="AOJ53" s="15"/>
      <c r="AOK53" s="15"/>
      <c r="AOL53" s="15"/>
      <c r="AOM53" s="15"/>
      <c r="AON53" s="15"/>
      <c r="AOO53" s="15"/>
      <c r="AOP53" s="15"/>
      <c r="AOQ53" s="15"/>
      <c r="AOR53" s="15"/>
      <c r="AOS53" s="15"/>
      <c r="AOT53" s="15"/>
      <c r="AOU53" s="15"/>
      <c r="AOV53" s="15"/>
      <c r="AOW53" s="15"/>
      <c r="AOX53" s="15"/>
      <c r="AOY53" s="15"/>
      <c r="AOZ53" s="15"/>
      <c r="APA53" s="15"/>
      <c r="APB53" s="15"/>
      <c r="APC53" s="15"/>
      <c r="APD53" s="15"/>
      <c r="APE53" s="15"/>
      <c r="APF53" s="15"/>
      <c r="APG53" s="15"/>
      <c r="APH53" s="15"/>
      <c r="API53" s="15"/>
      <c r="APJ53" s="15"/>
      <c r="APK53" s="15"/>
      <c r="APL53" s="15"/>
      <c r="APM53" s="15"/>
      <c r="APN53" s="15"/>
      <c r="APO53" s="15"/>
      <c r="APP53" s="15"/>
      <c r="APQ53" s="15"/>
      <c r="APR53" s="15"/>
      <c r="APS53" s="15"/>
      <c r="APT53" s="15"/>
      <c r="APU53" s="15"/>
      <c r="APV53" s="15"/>
      <c r="APW53" s="15"/>
      <c r="APX53" s="15"/>
      <c r="APY53" s="15"/>
      <c r="APZ53" s="15"/>
      <c r="AQA53" s="15"/>
      <c r="AQB53" s="15"/>
    </row>
    <row r="54" spans="1:1120" s="17" customFormat="1" ht="15" customHeight="1" x14ac:dyDescent="0.25">
      <c r="A54" s="3" t="s">
        <v>2</v>
      </c>
      <c r="B54" s="6" t="s">
        <v>640</v>
      </c>
      <c r="C54" s="15"/>
      <c r="D54" s="15">
        <v>0</v>
      </c>
      <c r="E54" s="15">
        <v>0</v>
      </c>
      <c r="F54" s="15">
        <v>0</v>
      </c>
      <c r="G54" s="15">
        <v>0</v>
      </c>
      <c r="H54" s="15">
        <v>0</v>
      </c>
      <c r="I54" s="15">
        <v>0</v>
      </c>
      <c r="J54" s="15"/>
      <c r="K54" s="15">
        <v>0</v>
      </c>
      <c r="L54" s="15">
        <v>0</v>
      </c>
      <c r="M54" s="15">
        <v>0</v>
      </c>
      <c r="N54" s="15">
        <v>0</v>
      </c>
      <c r="O54" s="15">
        <v>0</v>
      </c>
      <c r="P54" s="15">
        <v>0</v>
      </c>
      <c r="Q54" s="15"/>
      <c r="R54" s="15">
        <v>0</v>
      </c>
      <c r="S54" s="15">
        <v>0</v>
      </c>
      <c r="T54" s="15">
        <v>0</v>
      </c>
      <c r="U54" s="15">
        <v>0</v>
      </c>
      <c r="V54" s="15">
        <v>0</v>
      </c>
      <c r="W54" s="15">
        <v>0</v>
      </c>
      <c r="X54" s="15"/>
      <c r="Y54" s="15">
        <v>0</v>
      </c>
      <c r="Z54" s="15">
        <v>0</v>
      </c>
      <c r="AA54" s="15">
        <v>0</v>
      </c>
      <c r="AB54" s="15">
        <v>0</v>
      </c>
      <c r="AC54" s="15">
        <v>0</v>
      </c>
      <c r="AD54" s="15">
        <v>0</v>
      </c>
      <c r="AE54" s="15"/>
      <c r="AF54" s="15">
        <v>0</v>
      </c>
      <c r="AG54" s="15">
        <v>0</v>
      </c>
      <c r="AH54" s="15">
        <v>0</v>
      </c>
      <c r="AI54" s="15">
        <v>0</v>
      </c>
      <c r="AJ54" s="15">
        <v>0</v>
      </c>
      <c r="AK54" s="15">
        <v>0</v>
      </c>
      <c r="AL54" s="15"/>
      <c r="AM54" s="15">
        <v>0</v>
      </c>
      <c r="AN54" s="15">
        <v>0</v>
      </c>
      <c r="AO54" s="15">
        <v>0</v>
      </c>
      <c r="AP54" s="15">
        <v>0</v>
      </c>
      <c r="AQ54" s="15">
        <v>0</v>
      </c>
      <c r="AR54" s="15">
        <v>0</v>
      </c>
      <c r="AS54" s="15">
        <v>0</v>
      </c>
      <c r="AT54" s="15">
        <v>0</v>
      </c>
      <c r="AU54" s="15">
        <v>0</v>
      </c>
      <c r="AV54" s="15">
        <v>0</v>
      </c>
      <c r="AW54" s="15">
        <v>0</v>
      </c>
      <c r="AX54" s="15">
        <v>0</v>
      </c>
      <c r="AY54" s="15">
        <v>0</v>
      </c>
      <c r="AZ54" s="15">
        <v>0</v>
      </c>
      <c r="BA54" s="15">
        <v>0</v>
      </c>
      <c r="BB54" s="15">
        <v>0</v>
      </c>
      <c r="BC54" s="15">
        <v>0</v>
      </c>
      <c r="BD54" s="15">
        <v>0</v>
      </c>
      <c r="BE54" s="15">
        <v>0</v>
      </c>
      <c r="BF54" s="15">
        <v>0</v>
      </c>
      <c r="BG54" s="15">
        <v>0</v>
      </c>
      <c r="BH54" s="15">
        <v>0</v>
      </c>
      <c r="BI54" s="15">
        <v>0</v>
      </c>
      <c r="BJ54" s="15">
        <v>0</v>
      </c>
      <c r="BK54" s="15">
        <v>0</v>
      </c>
      <c r="BL54" s="15">
        <v>0</v>
      </c>
      <c r="BM54" s="15">
        <v>0</v>
      </c>
      <c r="BN54" s="15">
        <v>0</v>
      </c>
      <c r="BO54" s="15">
        <v>0</v>
      </c>
      <c r="BP54" s="15">
        <v>0</v>
      </c>
      <c r="BQ54" s="15">
        <v>0</v>
      </c>
      <c r="BR54" s="15">
        <v>0</v>
      </c>
      <c r="BS54" s="15">
        <v>0</v>
      </c>
      <c r="BT54" s="15">
        <v>0</v>
      </c>
      <c r="BU54" s="15">
        <v>0</v>
      </c>
      <c r="BV54" s="15">
        <v>0</v>
      </c>
      <c r="BW54" s="15">
        <v>0</v>
      </c>
      <c r="BX54" s="15">
        <v>0</v>
      </c>
      <c r="BY54" s="15">
        <v>0</v>
      </c>
      <c r="BZ54" s="15">
        <v>0</v>
      </c>
      <c r="CA54" s="15">
        <v>0</v>
      </c>
      <c r="CB54" s="15">
        <v>0</v>
      </c>
      <c r="CC54" s="15">
        <v>0</v>
      </c>
      <c r="CD54" s="15">
        <v>0</v>
      </c>
      <c r="CE54" s="15">
        <v>0</v>
      </c>
      <c r="CF54" s="15">
        <v>0</v>
      </c>
      <c r="CG54" s="15">
        <v>0</v>
      </c>
      <c r="CH54" s="15">
        <v>0</v>
      </c>
      <c r="CI54" s="15">
        <v>0</v>
      </c>
      <c r="CJ54" s="15">
        <v>0</v>
      </c>
      <c r="CK54" s="15">
        <v>0</v>
      </c>
      <c r="CL54" s="15">
        <v>0</v>
      </c>
      <c r="CM54" s="15">
        <v>0</v>
      </c>
      <c r="CN54" s="15">
        <v>0</v>
      </c>
      <c r="CO54" s="15">
        <v>0</v>
      </c>
      <c r="CP54" s="15">
        <v>0</v>
      </c>
      <c r="CQ54" s="15">
        <v>0</v>
      </c>
      <c r="CR54" s="15">
        <v>0</v>
      </c>
      <c r="CS54" s="15">
        <v>0</v>
      </c>
      <c r="CT54" s="15">
        <v>0</v>
      </c>
      <c r="CU54" s="15">
        <v>0</v>
      </c>
      <c r="CV54" s="15">
        <v>0</v>
      </c>
      <c r="CW54" s="15">
        <v>0</v>
      </c>
      <c r="CX54" s="15">
        <v>0</v>
      </c>
      <c r="CY54" s="15">
        <v>0</v>
      </c>
      <c r="CZ54" s="15">
        <v>0</v>
      </c>
      <c r="DA54" s="15">
        <v>0</v>
      </c>
      <c r="DB54" s="15">
        <v>0</v>
      </c>
      <c r="DC54" s="15">
        <v>0</v>
      </c>
      <c r="DD54" s="15">
        <v>0</v>
      </c>
      <c r="DE54" s="15">
        <v>0</v>
      </c>
      <c r="DF54" s="15">
        <v>0</v>
      </c>
      <c r="DG54" s="15">
        <v>0</v>
      </c>
      <c r="DH54" s="15">
        <v>0</v>
      </c>
      <c r="DI54" s="15">
        <v>0</v>
      </c>
      <c r="DJ54" s="15">
        <v>0</v>
      </c>
      <c r="DK54" s="15">
        <v>0</v>
      </c>
      <c r="DL54" s="15">
        <v>0</v>
      </c>
      <c r="DM54" s="15">
        <v>0</v>
      </c>
      <c r="DN54" s="15">
        <v>0</v>
      </c>
      <c r="DO54" s="15">
        <v>0</v>
      </c>
      <c r="DP54" s="15">
        <v>0</v>
      </c>
      <c r="DQ54" s="15">
        <v>0</v>
      </c>
      <c r="DR54" s="15">
        <v>0</v>
      </c>
      <c r="DS54" s="15">
        <v>0</v>
      </c>
      <c r="DT54" s="15">
        <v>0</v>
      </c>
      <c r="DU54" s="15">
        <v>0</v>
      </c>
      <c r="DV54" s="15">
        <v>0</v>
      </c>
      <c r="DW54" s="15">
        <v>0</v>
      </c>
      <c r="DX54" s="15">
        <v>0</v>
      </c>
      <c r="DY54" s="15">
        <v>0</v>
      </c>
      <c r="DZ54" s="15">
        <v>0</v>
      </c>
      <c r="EA54" s="15">
        <v>0</v>
      </c>
      <c r="EB54" s="15">
        <v>0</v>
      </c>
      <c r="EC54" s="15">
        <v>0</v>
      </c>
      <c r="ED54" s="15">
        <v>0</v>
      </c>
      <c r="EE54" s="15">
        <v>0</v>
      </c>
      <c r="EF54" s="15">
        <v>0</v>
      </c>
      <c r="EG54" s="15">
        <v>0</v>
      </c>
      <c r="EH54" s="15">
        <v>0</v>
      </c>
      <c r="EI54" s="15">
        <v>0</v>
      </c>
      <c r="EJ54" s="15">
        <v>0</v>
      </c>
      <c r="EK54" s="15">
        <v>0</v>
      </c>
      <c r="EL54" s="15">
        <v>0</v>
      </c>
      <c r="EM54" s="15">
        <v>0</v>
      </c>
      <c r="EN54" s="15">
        <v>0</v>
      </c>
      <c r="EO54" s="15">
        <v>0</v>
      </c>
      <c r="EP54" s="15">
        <v>0</v>
      </c>
      <c r="EQ54" s="15">
        <v>0</v>
      </c>
      <c r="ER54" s="15">
        <v>0</v>
      </c>
      <c r="ES54" s="15">
        <v>0</v>
      </c>
      <c r="ET54" s="15">
        <v>0</v>
      </c>
      <c r="EU54" s="15">
        <v>0</v>
      </c>
      <c r="EV54" s="15">
        <v>0</v>
      </c>
      <c r="EW54" s="15">
        <v>0</v>
      </c>
      <c r="EX54" s="15">
        <v>0</v>
      </c>
      <c r="EY54" s="15">
        <v>0</v>
      </c>
      <c r="EZ54" s="15">
        <v>0</v>
      </c>
      <c r="FA54" s="15">
        <v>0</v>
      </c>
      <c r="FB54" s="15">
        <v>0</v>
      </c>
      <c r="FC54" s="15">
        <v>0</v>
      </c>
      <c r="FD54" s="15">
        <v>0</v>
      </c>
      <c r="FE54" s="15">
        <v>0</v>
      </c>
      <c r="FF54" s="15">
        <v>0</v>
      </c>
      <c r="FG54" s="15">
        <v>0</v>
      </c>
      <c r="FH54" s="15">
        <v>0</v>
      </c>
      <c r="FI54" s="15">
        <v>0</v>
      </c>
      <c r="FJ54" s="15">
        <v>0</v>
      </c>
      <c r="FK54" s="15">
        <v>0</v>
      </c>
      <c r="FL54" s="15">
        <v>0</v>
      </c>
      <c r="FM54" s="15">
        <v>0</v>
      </c>
      <c r="FN54" s="15">
        <v>0</v>
      </c>
      <c r="FO54" s="15">
        <v>0</v>
      </c>
      <c r="FP54" s="15">
        <v>0</v>
      </c>
      <c r="FQ54" s="15">
        <v>0</v>
      </c>
      <c r="FR54" s="15">
        <v>0</v>
      </c>
      <c r="FS54" s="15">
        <v>0</v>
      </c>
      <c r="FT54" s="15">
        <v>0</v>
      </c>
      <c r="FU54" s="15">
        <v>0</v>
      </c>
      <c r="FV54" s="15">
        <v>0</v>
      </c>
      <c r="FW54" s="15">
        <v>0</v>
      </c>
      <c r="FX54" s="15">
        <v>0</v>
      </c>
      <c r="FY54" s="15">
        <v>0</v>
      </c>
      <c r="FZ54" s="15">
        <v>0</v>
      </c>
      <c r="GA54" s="15">
        <v>0</v>
      </c>
      <c r="GB54" s="15">
        <v>0</v>
      </c>
      <c r="GC54" s="15">
        <v>0</v>
      </c>
      <c r="GD54" s="15">
        <v>0</v>
      </c>
      <c r="GE54" s="15">
        <v>0</v>
      </c>
      <c r="GF54" s="15">
        <v>0</v>
      </c>
      <c r="GG54" s="15">
        <v>0</v>
      </c>
      <c r="GH54" s="15">
        <v>0</v>
      </c>
      <c r="GI54" s="15">
        <v>0</v>
      </c>
      <c r="GJ54" s="15">
        <v>0</v>
      </c>
      <c r="GK54" s="15">
        <v>0</v>
      </c>
      <c r="GL54" s="15">
        <v>0</v>
      </c>
      <c r="GM54" s="15">
        <v>0</v>
      </c>
      <c r="GN54" s="15">
        <v>0</v>
      </c>
      <c r="GO54" s="15">
        <v>0</v>
      </c>
      <c r="GP54" s="15">
        <v>0</v>
      </c>
      <c r="GQ54" s="15">
        <v>0</v>
      </c>
      <c r="GR54" s="15">
        <v>0</v>
      </c>
      <c r="GS54" s="15">
        <v>0</v>
      </c>
      <c r="GT54" s="15">
        <v>0</v>
      </c>
      <c r="GU54" s="15">
        <v>0</v>
      </c>
      <c r="GV54" s="15">
        <v>0</v>
      </c>
      <c r="GW54" s="15">
        <v>0</v>
      </c>
      <c r="GX54" s="15">
        <v>0</v>
      </c>
      <c r="GY54" s="15">
        <v>0</v>
      </c>
      <c r="GZ54" s="15">
        <v>0</v>
      </c>
      <c r="HA54" s="15">
        <v>0</v>
      </c>
      <c r="HB54" s="15">
        <v>0</v>
      </c>
      <c r="HC54" s="15">
        <v>0</v>
      </c>
      <c r="HD54" s="15">
        <v>0</v>
      </c>
      <c r="HE54" s="15">
        <v>0</v>
      </c>
      <c r="HF54" s="15">
        <v>0</v>
      </c>
      <c r="HG54" s="15">
        <v>0</v>
      </c>
      <c r="HH54" s="15">
        <v>0</v>
      </c>
      <c r="HI54" s="15">
        <v>0</v>
      </c>
      <c r="HJ54" s="15">
        <v>0</v>
      </c>
      <c r="HK54" s="15">
        <v>0</v>
      </c>
      <c r="HL54" s="15">
        <v>0</v>
      </c>
      <c r="HM54" s="15">
        <v>0</v>
      </c>
      <c r="HN54" s="15">
        <v>0</v>
      </c>
      <c r="HO54" s="15">
        <v>0</v>
      </c>
      <c r="HP54" s="15">
        <v>0</v>
      </c>
      <c r="HQ54" s="15">
        <v>0</v>
      </c>
      <c r="HR54" s="15">
        <v>0</v>
      </c>
      <c r="HS54" s="15">
        <v>0</v>
      </c>
      <c r="HT54" s="15">
        <v>0</v>
      </c>
      <c r="HU54" s="15">
        <v>0</v>
      </c>
      <c r="HV54" s="15">
        <v>0</v>
      </c>
      <c r="HW54" s="15">
        <v>0</v>
      </c>
      <c r="HX54" s="15">
        <v>0</v>
      </c>
      <c r="HY54" s="15">
        <v>0</v>
      </c>
      <c r="HZ54" s="15">
        <v>0</v>
      </c>
      <c r="IA54" s="15">
        <v>0</v>
      </c>
      <c r="IB54" s="15"/>
      <c r="IC54" s="15">
        <v>0</v>
      </c>
      <c r="ID54" s="15">
        <v>0</v>
      </c>
      <c r="IE54" s="15">
        <v>0</v>
      </c>
      <c r="IF54" s="15">
        <v>0</v>
      </c>
      <c r="IG54" s="15">
        <v>0</v>
      </c>
      <c r="IH54" s="15">
        <v>0</v>
      </c>
      <c r="II54" s="15">
        <v>0</v>
      </c>
      <c r="IJ54" s="15">
        <v>0</v>
      </c>
      <c r="IK54" s="15"/>
      <c r="IL54" s="15">
        <v>0</v>
      </c>
      <c r="IM54" s="15">
        <v>0</v>
      </c>
      <c r="IN54" s="15">
        <v>0</v>
      </c>
      <c r="IO54" s="15">
        <v>0</v>
      </c>
      <c r="IP54" s="15">
        <v>0</v>
      </c>
      <c r="IQ54" s="15">
        <v>0</v>
      </c>
      <c r="IR54" s="15">
        <v>0</v>
      </c>
      <c r="IS54" s="15">
        <v>0</v>
      </c>
      <c r="IT54" s="15">
        <v>0</v>
      </c>
      <c r="IU54" s="15">
        <v>0</v>
      </c>
      <c r="IV54" s="15">
        <v>0</v>
      </c>
      <c r="IW54" s="15">
        <v>0</v>
      </c>
      <c r="IX54" s="15">
        <v>0</v>
      </c>
      <c r="IY54" s="15">
        <v>0</v>
      </c>
      <c r="IZ54" s="15">
        <v>0</v>
      </c>
      <c r="JA54" s="15">
        <v>0</v>
      </c>
      <c r="JB54" s="15">
        <v>0</v>
      </c>
      <c r="JC54" s="15">
        <v>0</v>
      </c>
      <c r="JD54" s="15">
        <v>0</v>
      </c>
      <c r="JE54" s="15">
        <v>0</v>
      </c>
      <c r="JF54" s="15">
        <v>0</v>
      </c>
      <c r="JG54" s="15">
        <v>0</v>
      </c>
      <c r="JH54" s="15">
        <v>0</v>
      </c>
      <c r="JI54" s="15">
        <v>0</v>
      </c>
      <c r="JJ54" s="15">
        <v>0</v>
      </c>
      <c r="JK54" s="15">
        <v>0</v>
      </c>
      <c r="JL54" s="15">
        <v>0</v>
      </c>
      <c r="JM54" s="15">
        <v>0</v>
      </c>
      <c r="JN54" s="15">
        <v>0</v>
      </c>
      <c r="JO54" s="15">
        <v>0</v>
      </c>
      <c r="JP54" s="15">
        <v>0</v>
      </c>
      <c r="JQ54" s="15">
        <v>0</v>
      </c>
      <c r="JR54" s="15">
        <v>0</v>
      </c>
      <c r="JS54" s="15">
        <v>0</v>
      </c>
      <c r="JT54" s="15">
        <v>0</v>
      </c>
      <c r="JU54" s="15">
        <v>0</v>
      </c>
      <c r="JV54" s="15">
        <v>0</v>
      </c>
      <c r="JW54" s="15">
        <v>0</v>
      </c>
      <c r="JX54" s="15">
        <v>0</v>
      </c>
      <c r="JY54" s="15">
        <v>0</v>
      </c>
      <c r="JZ54" s="15">
        <v>0</v>
      </c>
      <c r="KA54" s="15">
        <v>0</v>
      </c>
      <c r="KB54" s="15">
        <v>0</v>
      </c>
      <c r="KC54" s="15">
        <v>0</v>
      </c>
      <c r="KD54" s="15">
        <v>0</v>
      </c>
      <c r="KE54" s="15">
        <v>0</v>
      </c>
      <c r="KF54" s="15">
        <v>0</v>
      </c>
      <c r="KG54" s="15">
        <v>0</v>
      </c>
      <c r="KH54" s="15">
        <v>0</v>
      </c>
      <c r="KI54" s="15">
        <v>0</v>
      </c>
      <c r="KJ54" s="15">
        <v>0</v>
      </c>
      <c r="KK54" s="15">
        <v>0</v>
      </c>
      <c r="KL54" s="15">
        <v>0</v>
      </c>
      <c r="KM54" s="15">
        <v>0</v>
      </c>
      <c r="KN54" s="15">
        <v>0</v>
      </c>
      <c r="KO54" s="15">
        <v>0</v>
      </c>
      <c r="KP54" s="15">
        <v>0</v>
      </c>
      <c r="KQ54" s="15">
        <v>0</v>
      </c>
      <c r="KR54" s="15">
        <v>0</v>
      </c>
      <c r="KS54" s="15">
        <v>0</v>
      </c>
      <c r="KT54" s="15">
        <v>0</v>
      </c>
      <c r="KU54" s="15">
        <v>0</v>
      </c>
      <c r="KV54" s="15">
        <v>0</v>
      </c>
      <c r="KW54" s="15">
        <v>0</v>
      </c>
      <c r="KX54" s="15">
        <v>0</v>
      </c>
      <c r="KY54" s="15">
        <v>0</v>
      </c>
      <c r="KZ54" s="15">
        <v>0</v>
      </c>
      <c r="LA54" s="15">
        <v>0</v>
      </c>
      <c r="LB54" s="15">
        <v>0</v>
      </c>
      <c r="LC54" s="15">
        <v>0</v>
      </c>
      <c r="LD54" s="15">
        <v>0</v>
      </c>
      <c r="LE54" s="15">
        <v>0</v>
      </c>
      <c r="LF54" s="15">
        <v>0</v>
      </c>
      <c r="LG54" s="15">
        <v>0</v>
      </c>
      <c r="LH54" s="15">
        <v>0</v>
      </c>
      <c r="LI54" s="15">
        <v>0</v>
      </c>
      <c r="LJ54" s="15">
        <v>0</v>
      </c>
      <c r="LK54" s="15">
        <v>0</v>
      </c>
      <c r="LL54" s="15">
        <v>0</v>
      </c>
      <c r="LM54" s="15">
        <v>0</v>
      </c>
      <c r="LN54" s="15">
        <v>0</v>
      </c>
      <c r="LO54" s="15">
        <v>0</v>
      </c>
      <c r="LP54" s="15">
        <v>0</v>
      </c>
      <c r="LQ54" s="15">
        <v>0</v>
      </c>
      <c r="LR54" s="15">
        <v>0</v>
      </c>
      <c r="LS54" s="15">
        <v>0</v>
      </c>
      <c r="LT54" s="15">
        <v>0</v>
      </c>
      <c r="LU54" s="15">
        <v>0</v>
      </c>
      <c r="LV54" s="15">
        <v>0</v>
      </c>
      <c r="LW54" s="15">
        <v>0</v>
      </c>
      <c r="LX54" s="15">
        <v>0</v>
      </c>
      <c r="LY54" s="15">
        <v>0</v>
      </c>
      <c r="LZ54" s="15">
        <v>0</v>
      </c>
      <c r="MA54" s="15">
        <v>0</v>
      </c>
      <c r="MB54" s="15">
        <v>0</v>
      </c>
      <c r="MC54" s="15">
        <v>0</v>
      </c>
      <c r="MD54" s="15">
        <v>0</v>
      </c>
      <c r="ME54" s="15">
        <v>0</v>
      </c>
      <c r="MF54" s="15">
        <v>0</v>
      </c>
      <c r="MG54" s="15">
        <v>0</v>
      </c>
      <c r="MH54" s="15">
        <v>0</v>
      </c>
      <c r="MI54" s="15">
        <v>0</v>
      </c>
      <c r="MJ54" s="15">
        <v>0</v>
      </c>
      <c r="MK54" s="15">
        <v>0</v>
      </c>
      <c r="ML54" s="15">
        <v>0</v>
      </c>
      <c r="MM54" s="15">
        <v>0</v>
      </c>
      <c r="MN54" s="15">
        <v>0</v>
      </c>
      <c r="MO54" s="15">
        <v>0</v>
      </c>
      <c r="MP54" s="15">
        <v>0</v>
      </c>
      <c r="MQ54" s="15">
        <v>0</v>
      </c>
      <c r="MR54" s="15">
        <v>0</v>
      </c>
      <c r="MS54" s="15">
        <v>0</v>
      </c>
      <c r="MT54" s="15">
        <v>0</v>
      </c>
      <c r="MU54" s="15">
        <v>0</v>
      </c>
      <c r="MV54" s="15">
        <v>0</v>
      </c>
      <c r="MW54" s="15">
        <v>0</v>
      </c>
      <c r="MX54" s="15">
        <v>0</v>
      </c>
      <c r="MY54" s="15">
        <v>0</v>
      </c>
      <c r="MZ54" s="15">
        <v>0</v>
      </c>
      <c r="NA54" s="15">
        <v>0</v>
      </c>
      <c r="NB54" s="15">
        <v>0</v>
      </c>
      <c r="NC54" s="15">
        <v>0</v>
      </c>
      <c r="ND54" s="15">
        <v>0</v>
      </c>
      <c r="NE54" s="15">
        <v>0</v>
      </c>
      <c r="NF54" s="15">
        <v>0</v>
      </c>
      <c r="NG54" s="15">
        <v>0</v>
      </c>
      <c r="NH54" s="15">
        <v>0</v>
      </c>
      <c r="NI54" s="15">
        <v>0</v>
      </c>
      <c r="NJ54" s="15">
        <v>0</v>
      </c>
      <c r="NK54" s="15">
        <v>0</v>
      </c>
      <c r="NL54" s="15">
        <v>0</v>
      </c>
      <c r="NM54" s="15">
        <v>0</v>
      </c>
      <c r="NN54" s="15">
        <v>0</v>
      </c>
      <c r="NO54" s="15">
        <v>0</v>
      </c>
      <c r="NP54" s="15">
        <v>0</v>
      </c>
      <c r="NQ54" s="15">
        <v>0</v>
      </c>
      <c r="NR54" s="15">
        <v>0</v>
      </c>
      <c r="NS54" s="15">
        <v>0</v>
      </c>
      <c r="NT54" s="15">
        <v>0</v>
      </c>
      <c r="NU54" s="15">
        <v>0</v>
      </c>
      <c r="NV54" s="15">
        <v>0</v>
      </c>
      <c r="NW54" s="15">
        <v>0</v>
      </c>
      <c r="NX54" s="15">
        <v>0</v>
      </c>
      <c r="NY54" s="15">
        <v>0</v>
      </c>
      <c r="NZ54" s="15">
        <v>0</v>
      </c>
      <c r="OA54" s="15">
        <v>0</v>
      </c>
      <c r="OB54" s="15">
        <v>0</v>
      </c>
      <c r="OC54" s="15">
        <v>0</v>
      </c>
      <c r="OD54" s="15">
        <v>0</v>
      </c>
      <c r="OE54" s="15">
        <v>0</v>
      </c>
      <c r="OF54" s="15">
        <v>0</v>
      </c>
      <c r="OG54" s="15">
        <v>0</v>
      </c>
      <c r="OH54" s="15">
        <v>0</v>
      </c>
      <c r="OI54" s="15">
        <v>0</v>
      </c>
      <c r="OJ54" s="15">
        <v>0</v>
      </c>
      <c r="OK54" s="15">
        <v>0</v>
      </c>
      <c r="OL54" s="15">
        <v>0</v>
      </c>
      <c r="OM54" s="15">
        <v>0</v>
      </c>
      <c r="ON54" s="15">
        <v>0</v>
      </c>
      <c r="OO54" s="15">
        <v>0</v>
      </c>
      <c r="OP54" s="15">
        <v>0</v>
      </c>
      <c r="OQ54" s="15">
        <v>0</v>
      </c>
      <c r="OR54" s="15">
        <v>0</v>
      </c>
      <c r="OS54" s="15">
        <v>0</v>
      </c>
      <c r="OT54" s="15">
        <v>0</v>
      </c>
      <c r="OU54" s="15">
        <v>0</v>
      </c>
      <c r="OV54" s="15">
        <v>0</v>
      </c>
      <c r="OW54" s="15">
        <v>0</v>
      </c>
      <c r="OX54" s="15">
        <v>0</v>
      </c>
      <c r="OY54" s="15">
        <v>0</v>
      </c>
      <c r="OZ54" s="15">
        <v>0</v>
      </c>
      <c r="PA54" s="15">
        <v>0</v>
      </c>
      <c r="PB54" s="15">
        <v>0</v>
      </c>
      <c r="PC54" s="15">
        <v>0</v>
      </c>
      <c r="PD54" s="15">
        <v>0</v>
      </c>
      <c r="PE54" s="15">
        <v>0</v>
      </c>
      <c r="PF54" s="15">
        <v>0</v>
      </c>
      <c r="PG54" s="15">
        <v>0</v>
      </c>
      <c r="PH54" s="15">
        <v>0</v>
      </c>
      <c r="PI54" s="15">
        <v>0</v>
      </c>
      <c r="PJ54" s="15">
        <v>0</v>
      </c>
      <c r="PK54" s="15">
        <v>0</v>
      </c>
      <c r="PL54" s="15">
        <v>0</v>
      </c>
      <c r="PM54" s="15">
        <v>0</v>
      </c>
      <c r="PN54" s="15">
        <v>0</v>
      </c>
      <c r="PO54" s="15">
        <v>0</v>
      </c>
      <c r="PP54" s="15">
        <v>0</v>
      </c>
      <c r="PQ54" s="15">
        <v>0</v>
      </c>
      <c r="PR54" s="15">
        <v>0</v>
      </c>
      <c r="PS54" s="15">
        <v>0</v>
      </c>
      <c r="PT54" s="15">
        <v>0</v>
      </c>
      <c r="PU54" s="15">
        <v>0</v>
      </c>
      <c r="PV54" s="15">
        <v>0</v>
      </c>
      <c r="PW54" s="15">
        <v>0</v>
      </c>
      <c r="PX54" s="15">
        <v>0</v>
      </c>
      <c r="PY54" s="15">
        <v>0</v>
      </c>
      <c r="PZ54" s="15">
        <v>0</v>
      </c>
      <c r="QA54" s="15">
        <v>0</v>
      </c>
      <c r="QB54" s="15">
        <v>0</v>
      </c>
      <c r="QC54" s="15">
        <v>0</v>
      </c>
      <c r="QD54" s="15">
        <v>0</v>
      </c>
      <c r="QE54" s="15">
        <v>0</v>
      </c>
      <c r="QF54" s="15">
        <v>0</v>
      </c>
      <c r="QG54" s="15">
        <v>0</v>
      </c>
      <c r="QH54" s="15">
        <v>0</v>
      </c>
      <c r="QI54" s="15">
        <v>0</v>
      </c>
      <c r="QJ54" s="15">
        <v>0</v>
      </c>
      <c r="QK54" s="15">
        <v>0</v>
      </c>
      <c r="QL54" s="15">
        <v>0</v>
      </c>
      <c r="QM54" s="15">
        <v>0</v>
      </c>
      <c r="QN54" s="15">
        <v>0</v>
      </c>
      <c r="QO54" s="15">
        <v>0</v>
      </c>
      <c r="QP54" s="15">
        <v>0</v>
      </c>
      <c r="QQ54" s="15">
        <v>0</v>
      </c>
      <c r="QR54" s="15">
        <v>0</v>
      </c>
      <c r="QS54" s="15">
        <v>0</v>
      </c>
      <c r="QT54" s="15">
        <v>0</v>
      </c>
      <c r="QU54" s="15">
        <v>0</v>
      </c>
      <c r="QV54" s="15">
        <v>0</v>
      </c>
      <c r="QW54" s="15">
        <v>0</v>
      </c>
      <c r="QX54" s="15">
        <v>0</v>
      </c>
      <c r="QY54" s="15">
        <v>0</v>
      </c>
      <c r="QZ54" s="15">
        <v>0</v>
      </c>
      <c r="RA54" s="15">
        <v>0</v>
      </c>
      <c r="RB54" s="15">
        <v>0</v>
      </c>
      <c r="RC54" s="15">
        <v>0</v>
      </c>
      <c r="RD54" s="15">
        <v>0</v>
      </c>
      <c r="RE54" s="15">
        <v>0</v>
      </c>
      <c r="RF54" s="15">
        <v>0</v>
      </c>
      <c r="RG54" s="15">
        <v>0</v>
      </c>
      <c r="RH54" s="15">
        <v>0</v>
      </c>
      <c r="RI54" s="15">
        <v>0</v>
      </c>
      <c r="RJ54" s="15">
        <v>0</v>
      </c>
      <c r="RK54" s="15">
        <v>0</v>
      </c>
      <c r="RL54" s="15">
        <v>0</v>
      </c>
      <c r="RM54" s="15">
        <v>0</v>
      </c>
      <c r="RN54" s="15">
        <v>0</v>
      </c>
      <c r="RO54" s="15">
        <v>0</v>
      </c>
      <c r="RP54" s="15">
        <v>0</v>
      </c>
      <c r="RQ54" s="15">
        <v>0</v>
      </c>
      <c r="RR54" s="15">
        <v>0</v>
      </c>
      <c r="RS54" s="15"/>
      <c r="RT54" s="15">
        <v>0</v>
      </c>
      <c r="RU54" s="15">
        <v>0</v>
      </c>
      <c r="RV54" s="15">
        <v>0</v>
      </c>
      <c r="RW54" s="15">
        <v>0</v>
      </c>
      <c r="RX54" s="15">
        <v>0</v>
      </c>
      <c r="RY54" s="15">
        <v>0</v>
      </c>
      <c r="RZ54" s="15">
        <v>0</v>
      </c>
      <c r="SA54" s="15">
        <v>0</v>
      </c>
      <c r="SB54" s="15">
        <v>0</v>
      </c>
      <c r="SC54" s="15">
        <v>0</v>
      </c>
      <c r="SD54" s="15">
        <v>0</v>
      </c>
      <c r="SE54" s="15">
        <v>0</v>
      </c>
      <c r="SF54" s="15">
        <v>0</v>
      </c>
      <c r="SG54" s="15">
        <v>0</v>
      </c>
      <c r="SH54" s="15">
        <v>0</v>
      </c>
      <c r="SI54" s="15">
        <v>0</v>
      </c>
      <c r="SJ54" s="15">
        <v>0</v>
      </c>
      <c r="SK54" s="15">
        <v>0</v>
      </c>
      <c r="SL54" s="15">
        <v>0</v>
      </c>
      <c r="SM54" s="15">
        <v>0</v>
      </c>
      <c r="SN54" s="15">
        <v>0</v>
      </c>
      <c r="SO54" s="15">
        <v>0</v>
      </c>
      <c r="SP54" s="15">
        <v>0</v>
      </c>
      <c r="SQ54" s="15">
        <v>0</v>
      </c>
      <c r="SR54" s="15">
        <v>0</v>
      </c>
      <c r="SS54" s="15">
        <v>0</v>
      </c>
      <c r="ST54" s="15">
        <v>0</v>
      </c>
      <c r="SU54" s="15">
        <v>0</v>
      </c>
      <c r="SV54" s="15">
        <v>0</v>
      </c>
      <c r="SW54" s="15">
        <v>0</v>
      </c>
      <c r="SX54" s="15">
        <v>0</v>
      </c>
      <c r="SY54" s="15">
        <v>0</v>
      </c>
      <c r="SZ54" s="15">
        <v>0</v>
      </c>
      <c r="TA54" s="15">
        <v>0</v>
      </c>
      <c r="TB54" s="15">
        <v>0</v>
      </c>
      <c r="TC54" s="15">
        <v>0</v>
      </c>
      <c r="TD54" s="15">
        <v>0</v>
      </c>
      <c r="TE54" s="15">
        <v>0</v>
      </c>
      <c r="TF54" s="15">
        <v>0</v>
      </c>
      <c r="TG54" s="15">
        <v>0</v>
      </c>
      <c r="TH54" s="15">
        <v>0</v>
      </c>
      <c r="TI54" s="15">
        <v>0</v>
      </c>
      <c r="TJ54" s="15">
        <v>0</v>
      </c>
      <c r="TK54" s="15">
        <v>0</v>
      </c>
      <c r="TL54" s="15">
        <v>0</v>
      </c>
      <c r="TM54" s="15">
        <v>0</v>
      </c>
      <c r="TN54" s="15">
        <v>0</v>
      </c>
      <c r="TO54" s="15">
        <v>0</v>
      </c>
      <c r="TP54" s="15">
        <v>0</v>
      </c>
      <c r="TQ54" s="15">
        <v>0</v>
      </c>
      <c r="TR54" s="15">
        <v>0</v>
      </c>
      <c r="TS54" s="15">
        <v>0</v>
      </c>
      <c r="TT54" s="15">
        <v>0</v>
      </c>
      <c r="TU54" s="15">
        <v>0</v>
      </c>
      <c r="TV54" s="15">
        <v>0</v>
      </c>
      <c r="TW54" s="15">
        <v>0</v>
      </c>
      <c r="TX54" s="15">
        <v>0</v>
      </c>
      <c r="TY54" s="15">
        <v>0</v>
      </c>
      <c r="TZ54" s="15">
        <v>0</v>
      </c>
      <c r="UA54" s="15">
        <v>0</v>
      </c>
      <c r="UB54" s="15">
        <v>0</v>
      </c>
      <c r="UC54" s="15">
        <v>0</v>
      </c>
      <c r="UD54" s="15">
        <v>0</v>
      </c>
      <c r="UE54" s="15">
        <v>0</v>
      </c>
      <c r="UF54" s="15">
        <v>0</v>
      </c>
      <c r="UG54" s="15">
        <v>0</v>
      </c>
      <c r="UH54" s="15">
        <v>0</v>
      </c>
      <c r="UI54" s="15">
        <v>0</v>
      </c>
      <c r="UJ54" s="15">
        <v>0</v>
      </c>
      <c r="UK54" s="15">
        <v>0</v>
      </c>
      <c r="UL54" s="15">
        <v>0</v>
      </c>
      <c r="UM54" s="15">
        <v>0</v>
      </c>
      <c r="UN54" s="15">
        <v>0</v>
      </c>
      <c r="UO54" s="15">
        <v>0</v>
      </c>
      <c r="UP54" s="15">
        <v>0</v>
      </c>
      <c r="UQ54" s="15">
        <v>0</v>
      </c>
      <c r="UR54" s="15">
        <v>0</v>
      </c>
      <c r="US54" s="15">
        <v>0</v>
      </c>
      <c r="UT54" s="15">
        <v>0</v>
      </c>
      <c r="UU54" s="15">
        <v>0</v>
      </c>
      <c r="UV54" s="15">
        <v>0</v>
      </c>
      <c r="UW54" s="15">
        <v>0</v>
      </c>
      <c r="UX54" s="15">
        <v>0</v>
      </c>
      <c r="UY54" s="15">
        <v>0</v>
      </c>
      <c r="UZ54" s="15">
        <v>0</v>
      </c>
      <c r="VA54" s="15">
        <v>0</v>
      </c>
      <c r="VB54" s="15">
        <v>0</v>
      </c>
      <c r="VC54" s="15">
        <v>0</v>
      </c>
      <c r="VD54" s="15">
        <v>0</v>
      </c>
      <c r="VE54" s="15">
        <v>0</v>
      </c>
      <c r="VF54" s="15">
        <v>0</v>
      </c>
      <c r="VG54" s="15">
        <v>0</v>
      </c>
      <c r="VH54" s="15">
        <v>0</v>
      </c>
      <c r="VI54" s="15">
        <v>0</v>
      </c>
      <c r="VJ54" s="15">
        <v>0</v>
      </c>
      <c r="VK54" s="15">
        <v>0</v>
      </c>
      <c r="VL54" s="15">
        <v>0</v>
      </c>
      <c r="VM54" s="15">
        <v>0</v>
      </c>
      <c r="VN54" s="15">
        <v>0</v>
      </c>
      <c r="VO54" s="15">
        <v>0</v>
      </c>
      <c r="VP54" s="15">
        <v>0</v>
      </c>
      <c r="VQ54" s="15">
        <v>0</v>
      </c>
      <c r="VR54" s="15">
        <v>0</v>
      </c>
      <c r="VS54" s="15">
        <v>0</v>
      </c>
      <c r="VT54" s="15">
        <v>0</v>
      </c>
      <c r="VU54" s="15">
        <v>0</v>
      </c>
      <c r="VV54" s="15">
        <v>0</v>
      </c>
      <c r="VW54" s="15">
        <v>0</v>
      </c>
      <c r="VX54" s="15">
        <v>0</v>
      </c>
      <c r="VY54" s="15">
        <v>0</v>
      </c>
      <c r="VZ54" s="15">
        <v>0</v>
      </c>
      <c r="WA54" s="15">
        <v>0</v>
      </c>
      <c r="WB54" s="15">
        <v>0</v>
      </c>
      <c r="WC54" s="15">
        <v>0</v>
      </c>
      <c r="WD54" s="15">
        <v>0</v>
      </c>
      <c r="WE54" s="15">
        <v>0</v>
      </c>
      <c r="WF54" s="15">
        <v>0</v>
      </c>
      <c r="WG54" s="15">
        <v>0</v>
      </c>
      <c r="WH54" s="15">
        <v>0</v>
      </c>
      <c r="WI54" s="15">
        <v>0</v>
      </c>
      <c r="WJ54" s="15">
        <v>0</v>
      </c>
      <c r="WK54" s="15">
        <v>0</v>
      </c>
      <c r="WL54" s="15">
        <v>0</v>
      </c>
      <c r="WM54" s="15">
        <v>0</v>
      </c>
      <c r="WN54" s="15">
        <v>0</v>
      </c>
      <c r="WO54" s="15">
        <v>0</v>
      </c>
      <c r="WP54" s="15">
        <v>0</v>
      </c>
      <c r="WQ54" s="15">
        <v>0</v>
      </c>
      <c r="WR54" s="15">
        <v>0</v>
      </c>
      <c r="WS54" s="15">
        <v>0</v>
      </c>
      <c r="WT54" s="15">
        <v>0</v>
      </c>
      <c r="WU54" s="15">
        <v>0</v>
      </c>
      <c r="WV54" s="15">
        <v>0</v>
      </c>
      <c r="WW54" s="15">
        <v>0</v>
      </c>
      <c r="WX54" s="15">
        <v>0</v>
      </c>
      <c r="WY54" s="15">
        <v>0</v>
      </c>
      <c r="WZ54" s="15">
        <v>0</v>
      </c>
      <c r="XA54" s="15">
        <v>0</v>
      </c>
      <c r="XB54" s="15">
        <v>0</v>
      </c>
      <c r="XC54" s="15">
        <v>0</v>
      </c>
      <c r="XD54" s="15">
        <v>0</v>
      </c>
      <c r="XE54" s="15">
        <v>0</v>
      </c>
      <c r="XF54" s="15">
        <v>0</v>
      </c>
      <c r="XG54" s="15">
        <v>0</v>
      </c>
      <c r="XH54" s="15">
        <v>0</v>
      </c>
      <c r="XI54" s="15">
        <v>0</v>
      </c>
      <c r="XJ54" s="15">
        <v>0</v>
      </c>
      <c r="XK54" s="15">
        <v>0</v>
      </c>
      <c r="XL54" s="15">
        <v>0</v>
      </c>
      <c r="XM54" s="15">
        <v>0</v>
      </c>
      <c r="XN54" s="15">
        <v>0</v>
      </c>
      <c r="XO54" s="15">
        <v>0</v>
      </c>
      <c r="XP54" s="15">
        <v>0</v>
      </c>
      <c r="XQ54" s="15">
        <v>0</v>
      </c>
      <c r="XR54" s="15">
        <v>0</v>
      </c>
      <c r="XS54" s="15">
        <v>0</v>
      </c>
      <c r="XT54" s="15">
        <v>0</v>
      </c>
      <c r="XU54" s="15">
        <v>0</v>
      </c>
      <c r="XV54" s="15">
        <v>0</v>
      </c>
      <c r="XW54" s="15">
        <v>0</v>
      </c>
      <c r="XX54" s="15">
        <v>0</v>
      </c>
      <c r="XY54" s="15">
        <v>0</v>
      </c>
      <c r="XZ54" s="15">
        <v>0</v>
      </c>
      <c r="YA54" s="15">
        <v>0</v>
      </c>
      <c r="YB54" s="15">
        <v>0</v>
      </c>
      <c r="YC54" s="15">
        <v>0</v>
      </c>
      <c r="YD54" s="15">
        <v>0</v>
      </c>
      <c r="YE54" s="15">
        <v>0</v>
      </c>
      <c r="YF54" s="15">
        <v>0</v>
      </c>
      <c r="YG54" s="15">
        <v>0</v>
      </c>
      <c r="YH54" s="15">
        <v>0</v>
      </c>
      <c r="YI54" s="15">
        <v>0</v>
      </c>
      <c r="YJ54" s="15">
        <v>0</v>
      </c>
      <c r="YK54" s="15">
        <v>0</v>
      </c>
      <c r="YL54" s="15">
        <v>0</v>
      </c>
      <c r="YM54" s="15">
        <v>0</v>
      </c>
      <c r="YN54" s="15">
        <v>0</v>
      </c>
      <c r="YO54" s="15">
        <v>0</v>
      </c>
      <c r="YP54" s="15">
        <v>0</v>
      </c>
      <c r="YQ54" s="15">
        <v>0</v>
      </c>
      <c r="YR54" s="15">
        <v>0</v>
      </c>
      <c r="YS54" s="15">
        <v>0</v>
      </c>
      <c r="YT54" s="15">
        <v>0</v>
      </c>
      <c r="YU54" s="15">
        <v>0</v>
      </c>
      <c r="YV54" s="15">
        <v>0</v>
      </c>
      <c r="YW54" s="15">
        <v>0</v>
      </c>
      <c r="YX54" s="15">
        <v>0</v>
      </c>
      <c r="YY54" s="15">
        <v>0</v>
      </c>
      <c r="YZ54" s="15">
        <v>0</v>
      </c>
      <c r="ZA54" s="15">
        <v>0</v>
      </c>
      <c r="ZB54" s="15">
        <v>0</v>
      </c>
      <c r="ZC54" s="15">
        <v>0</v>
      </c>
      <c r="ZD54" s="15">
        <v>0</v>
      </c>
      <c r="ZE54" s="15">
        <v>0</v>
      </c>
      <c r="ZF54" s="15">
        <v>0</v>
      </c>
      <c r="ZG54" s="15">
        <v>0</v>
      </c>
      <c r="ZH54" s="15">
        <v>0</v>
      </c>
      <c r="ZI54" s="15">
        <v>0</v>
      </c>
      <c r="ZJ54" s="15">
        <v>0</v>
      </c>
      <c r="ZK54" s="15">
        <v>0</v>
      </c>
      <c r="ZL54" s="15">
        <v>0</v>
      </c>
      <c r="ZM54" s="15">
        <v>0</v>
      </c>
      <c r="ZN54" s="15">
        <v>0</v>
      </c>
      <c r="ZO54" s="15">
        <v>0</v>
      </c>
      <c r="ZP54" s="15">
        <v>0</v>
      </c>
      <c r="ZQ54" s="15">
        <v>0</v>
      </c>
      <c r="ZR54" s="15">
        <v>0</v>
      </c>
      <c r="ZS54" s="15">
        <v>0</v>
      </c>
      <c r="ZT54" s="15">
        <v>0</v>
      </c>
      <c r="ZU54" s="15">
        <v>0</v>
      </c>
      <c r="ZV54" s="15">
        <v>0</v>
      </c>
      <c r="ZW54" s="15">
        <v>0</v>
      </c>
      <c r="ZX54" s="15">
        <v>0</v>
      </c>
      <c r="ZY54" s="15">
        <v>0</v>
      </c>
      <c r="ZZ54" s="15">
        <v>0</v>
      </c>
      <c r="AAA54" s="15">
        <v>0</v>
      </c>
      <c r="AAB54" s="15">
        <v>0</v>
      </c>
      <c r="AAC54" s="15">
        <v>0</v>
      </c>
      <c r="AAD54" s="15">
        <v>0</v>
      </c>
      <c r="AAE54" s="15">
        <v>0</v>
      </c>
      <c r="AAF54" s="15">
        <v>0</v>
      </c>
      <c r="AAG54" s="15">
        <v>0</v>
      </c>
      <c r="AAH54" s="15">
        <v>0</v>
      </c>
      <c r="AAI54" s="15">
        <v>0</v>
      </c>
      <c r="AAJ54" s="15">
        <v>0</v>
      </c>
      <c r="AAK54" s="15">
        <v>0</v>
      </c>
      <c r="AAL54" s="15"/>
      <c r="AAM54" s="15">
        <v>0</v>
      </c>
      <c r="AAN54" s="15">
        <v>0</v>
      </c>
      <c r="AAO54" s="15">
        <v>0</v>
      </c>
      <c r="AAP54" s="15">
        <v>0</v>
      </c>
      <c r="AAQ54" s="15">
        <v>0</v>
      </c>
      <c r="AAR54" s="15">
        <v>0</v>
      </c>
      <c r="AAS54" s="15">
        <v>0</v>
      </c>
      <c r="AAT54" s="15">
        <v>0</v>
      </c>
      <c r="AAU54" s="15">
        <v>0</v>
      </c>
      <c r="AAV54" s="15">
        <v>0</v>
      </c>
      <c r="AAW54" s="15">
        <v>0</v>
      </c>
      <c r="AAX54" s="15"/>
      <c r="AAY54" s="15">
        <v>0</v>
      </c>
      <c r="AAZ54" s="15">
        <v>0</v>
      </c>
      <c r="ABA54" s="15">
        <v>0</v>
      </c>
      <c r="ABB54" s="15">
        <v>0</v>
      </c>
      <c r="ABC54" s="15">
        <v>0</v>
      </c>
      <c r="ABD54" s="15">
        <v>0</v>
      </c>
      <c r="ABE54" s="15">
        <v>0</v>
      </c>
      <c r="ABF54" s="15">
        <v>0</v>
      </c>
      <c r="ABG54" s="15">
        <v>0</v>
      </c>
      <c r="ABH54" s="15">
        <v>0</v>
      </c>
      <c r="ABI54" s="15">
        <v>0</v>
      </c>
      <c r="ABJ54" s="15">
        <v>0</v>
      </c>
      <c r="ABK54" s="15">
        <v>0</v>
      </c>
      <c r="ABL54" s="15">
        <v>0</v>
      </c>
      <c r="ABM54" s="15">
        <v>0</v>
      </c>
      <c r="ABN54" s="15">
        <v>0</v>
      </c>
      <c r="ABO54" s="15">
        <v>0</v>
      </c>
      <c r="ABP54" s="15">
        <v>0</v>
      </c>
      <c r="ABQ54" s="15">
        <v>0</v>
      </c>
      <c r="ABR54" s="15">
        <v>0</v>
      </c>
      <c r="ABS54" s="15">
        <v>0</v>
      </c>
      <c r="ABT54" s="15">
        <v>0</v>
      </c>
      <c r="ABU54" s="15">
        <v>0</v>
      </c>
      <c r="ABV54" s="15">
        <v>0</v>
      </c>
      <c r="ABW54" s="15">
        <v>0</v>
      </c>
      <c r="ABX54" s="15">
        <v>0</v>
      </c>
      <c r="ABY54" s="15">
        <v>0</v>
      </c>
      <c r="ABZ54" s="15">
        <v>0</v>
      </c>
      <c r="ACA54" s="15">
        <v>0</v>
      </c>
      <c r="ACB54" s="15">
        <v>0</v>
      </c>
      <c r="ACC54" s="15">
        <v>0</v>
      </c>
      <c r="ACD54" s="15">
        <v>0</v>
      </c>
      <c r="ACE54" s="15">
        <v>0</v>
      </c>
      <c r="ACF54" s="15">
        <v>0</v>
      </c>
      <c r="ACG54" s="15">
        <v>0</v>
      </c>
      <c r="ACH54" s="15">
        <v>0</v>
      </c>
      <c r="ACI54" s="15">
        <v>0</v>
      </c>
      <c r="ACJ54" s="15">
        <v>0</v>
      </c>
      <c r="ACK54" s="15">
        <v>0</v>
      </c>
      <c r="ACL54" s="15">
        <v>0</v>
      </c>
      <c r="ACM54" s="15">
        <v>0</v>
      </c>
      <c r="ACN54" s="15">
        <v>0</v>
      </c>
      <c r="ACO54" s="15">
        <v>0</v>
      </c>
      <c r="ACP54" s="15">
        <v>0</v>
      </c>
      <c r="ACQ54" s="15">
        <v>0</v>
      </c>
      <c r="ACR54" s="15">
        <v>0</v>
      </c>
      <c r="ACS54" s="15">
        <v>0</v>
      </c>
      <c r="ACT54" s="15">
        <v>0</v>
      </c>
      <c r="ACU54" s="15">
        <v>0</v>
      </c>
      <c r="ACV54" s="15">
        <v>0</v>
      </c>
      <c r="ACW54" s="15">
        <v>0</v>
      </c>
      <c r="ACX54" s="15">
        <v>0</v>
      </c>
      <c r="ACY54" s="15">
        <v>0</v>
      </c>
      <c r="ACZ54" s="15">
        <v>0</v>
      </c>
      <c r="ADA54" s="15">
        <v>0</v>
      </c>
      <c r="ADB54" s="15">
        <v>0</v>
      </c>
      <c r="ADC54" s="15">
        <v>0</v>
      </c>
      <c r="ADD54" s="15">
        <v>0</v>
      </c>
      <c r="ADE54" s="15">
        <v>0</v>
      </c>
      <c r="ADF54" s="15">
        <v>0</v>
      </c>
      <c r="ADG54" s="15">
        <v>0</v>
      </c>
      <c r="ADH54" s="15"/>
      <c r="ADI54" s="15">
        <v>0</v>
      </c>
      <c r="ADJ54" s="15">
        <v>0</v>
      </c>
      <c r="ADK54" s="15">
        <v>0</v>
      </c>
      <c r="ADL54" s="15">
        <v>0</v>
      </c>
      <c r="ADM54" s="15">
        <v>0</v>
      </c>
      <c r="ADN54" s="15">
        <v>0</v>
      </c>
      <c r="ADO54" s="15">
        <v>0</v>
      </c>
      <c r="ADP54" s="15">
        <v>0</v>
      </c>
      <c r="ADQ54" s="15">
        <v>0</v>
      </c>
      <c r="ADR54" s="15">
        <v>0</v>
      </c>
      <c r="ADS54" s="15">
        <v>0</v>
      </c>
      <c r="ADT54" s="15">
        <v>0</v>
      </c>
      <c r="ADU54" s="15">
        <v>0</v>
      </c>
      <c r="ADV54" s="15">
        <v>0</v>
      </c>
      <c r="ADW54" s="15">
        <v>0</v>
      </c>
      <c r="ADX54" s="15">
        <v>0</v>
      </c>
      <c r="ADY54" s="15">
        <v>0</v>
      </c>
      <c r="ADZ54" s="15">
        <v>0</v>
      </c>
      <c r="AEA54" s="15">
        <v>0</v>
      </c>
      <c r="AEB54" s="15">
        <v>0</v>
      </c>
      <c r="AEC54" s="15">
        <v>0</v>
      </c>
      <c r="AED54" s="15">
        <v>0</v>
      </c>
      <c r="AEE54" s="15">
        <v>0</v>
      </c>
      <c r="AEF54" s="15">
        <v>0</v>
      </c>
      <c r="AEG54" s="15">
        <v>0</v>
      </c>
      <c r="AEH54" s="15">
        <v>0</v>
      </c>
      <c r="AEI54" s="15">
        <v>0</v>
      </c>
      <c r="AEJ54" s="15">
        <v>0</v>
      </c>
      <c r="AEK54" s="15">
        <v>0</v>
      </c>
      <c r="AEL54" s="15">
        <v>0</v>
      </c>
      <c r="AEM54" s="15">
        <v>0</v>
      </c>
      <c r="AEN54" s="15">
        <v>0</v>
      </c>
      <c r="AEO54" s="15">
        <v>0</v>
      </c>
      <c r="AEP54" s="15">
        <v>0</v>
      </c>
      <c r="AEQ54" s="15">
        <v>0</v>
      </c>
      <c r="AER54" s="15">
        <v>0</v>
      </c>
      <c r="AES54" s="15">
        <v>0</v>
      </c>
      <c r="AET54" s="15">
        <v>0</v>
      </c>
      <c r="AEU54" s="15">
        <v>0</v>
      </c>
      <c r="AEV54" s="15">
        <v>0</v>
      </c>
      <c r="AEW54" s="15">
        <v>0</v>
      </c>
      <c r="AEX54" s="15">
        <v>0</v>
      </c>
      <c r="AEY54" s="15">
        <v>0</v>
      </c>
      <c r="AEZ54" s="15">
        <v>0</v>
      </c>
      <c r="AFA54" s="15">
        <v>0</v>
      </c>
      <c r="AFB54" s="15">
        <v>0</v>
      </c>
      <c r="AFC54" s="15">
        <v>0</v>
      </c>
      <c r="AFD54" s="15">
        <v>0</v>
      </c>
      <c r="AFE54" s="15">
        <v>0</v>
      </c>
      <c r="AFF54" s="15">
        <v>0</v>
      </c>
      <c r="AFG54" s="15">
        <v>0</v>
      </c>
      <c r="AFH54" s="15">
        <v>0</v>
      </c>
      <c r="AFI54" s="15">
        <v>0</v>
      </c>
      <c r="AFJ54" s="15">
        <v>0</v>
      </c>
      <c r="AFK54" s="15">
        <v>0</v>
      </c>
      <c r="AFL54" s="15">
        <v>0</v>
      </c>
      <c r="AFM54" s="15">
        <v>0</v>
      </c>
      <c r="AFN54" s="15">
        <v>0</v>
      </c>
      <c r="AFO54" s="15">
        <v>0</v>
      </c>
      <c r="AFP54" s="15">
        <v>0</v>
      </c>
      <c r="AFQ54" s="15">
        <v>0</v>
      </c>
      <c r="AFR54" s="15"/>
      <c r="AFS54" s="15">
        <v>0</v>
      </c>
      <c r="AFT54" s="15">
        <v>0</v>
      </c>
      <c r="AFU54" s="15">
        <v>0</v>
      </c>
      <c r="AFV54" s="15">
        <v>0</v>
      </c>
      <c r="AFW54" s="15">
        <v>0</v>
      </c>
      <c r="AFX54" s="15">
        <v>0</v>
      </c>
      <c r="AFY54" s="15">
        <v>0</v>
      </c>
      <c r="AFZ54" s="15">
        <v>0</v>
      </c>
      <c r="AGA54" s="15">
        <v>0</v>
      </c>
      <c r="AGB54" s="15">
        <v>0</v>
      </c>
      <c r="AGC54" s="15">
        <v>0</v>
      </c>
      <c r="AGD54" s="15">
        <v>0</v>
      </c>
      <c r="AGE54" s="15">
        <v>0</v>
      </c>
      <c r="AGF54" s="15">
        <v>0</v>
      </c>
      <c r="AGG54" s="15">
        <v>0</v>
      </c>
      <c r="AGH54" s="15">
        <v>0</v>
      </c>
      <c r="AGI54" s="15">
        <v>0</v>
      </c>
      <c r="AGJ54" s="15">
        <v>0</v>
      </c>
      <c r="AGK54" s="15">
        <v>0</v>
      </c>
      <c r="AGL54" s="15">
        <v>0</v>
      </c>
      <c r="AGM54" s="15">
        <v>0</v>
      </c>
      <c r="AGN54" s="15">
        <v>0</v>
      </c>
      <c r="AGO54" s="15">
        <v>0</v>
      </c>
      <c r="AGP54" s="15">
        <v>0</v>
      </c>
      <c r="AGQ54" s="15">
        <v>0</v>
      </c>
      <c r="AGR54" s="15">
        <v>0</v>
      </c>
      <c r="AGS54" s="15">
        <v>0</v>
      </c>
      <c r="AGT54" s="15">
        <v>0</v>
      </c>
      <c r="AGU54" s="15">
        <v>0</v>
      </c>
      <c r="AGV54" s="15">
        <v>0</v>
      </c>
      <c r="AGW54" s="15">
        <v>0</v>
      </c>
      <c r="AGX54" s="15">
        <v>0</v>
      </c>
      <c r="AGY54" s="15">
        <v>0</v>
      </c>
      <c r="AGZ54" s="15">
        <v>0</v>
      </c>
      <c r="AHA54" s="15">
        <v>0</v>
      </c>
      <c r="AHB54" s="15">
        <v>0</v>
      </c>
      <c r="AHC54" s="15">
        <v>0</v>
      </c>
      <c r="AHD54" s="15">
        <v>0</v>
      </c>
      <c r="AHE54" s="15">
        <v>0</v>
      </c>
      <c r="AHF54" s="15">
        <v>0</v>
      </c>
      <c r="AHG54" s="15">
        <v>0</v>
      </c>
      <c r="AHH54" s="15">
        <v>0</v>
      </c>
      <c r="AHI54" s="15">
        <v>0</v>
      </c>
      <c r="AHJ54" s="15">
        <v>0</v>
      </c>
      <c r="AHK54" s="15">
        <v>0</v>
      </c>
      <c r="AHL54" s="15">
        <v>0</v>
      </c>
      <c r="AHM54" s="15">
        <v>0</v>
      </c>
      <c r="AHN54" s="15">
        <v>0</v>
      </c>
      <c r="AHO54" s="15">
        <v>0</v>
      </c>
      <c r="AHP54" s="15">
        <v>0</v>
      </c>
      <c r="AHQ54" s="15">
        <v>0</v>
      </c>
      <c r="AHR54" s="15">
        <v>0</v>
      </c>
      <c r="AHS54" s="15">
        <v>0</v>
      </c>
      <c r="AHT54" s="15">
        <v>0</v>
      </c>
      <c r="AHU54" s="15">
        <v>0</v>
      </c>
      <c r="AHV54" s="15">
        <v>0</v>
      </c>
      <c r="AHW54" s="15">
        <v>0</v>
      </c>
      <c r="AHX54" s="15">
        <v>0</v>
      </c>
      <c r="AHY54" s="15">
        <v>0</v>
      </c>
      <c r="AHZ54" s="15">
        <v>0</v>
      </c>
      <c r="AIA54" s="15">
        <v>0</v>
      </c>
      <c r="AIB54" s="15">
        <v>0</v>
      </c>
      <c r="AIC54" s="15">
        <v>0</v>
      </c>
      <c r="AID54" s="15">
        <v>0</v>
      </c>
      <c r="AIE54" s="15">
        <v>0</v>
      </c>
      <c r="AIF54" s="15">
        <v>0</v>
      </c>
      <c r="AIG54" s="15">
        <v>0</v>
      </c>
      <c r="AIH54" s="15">
        <v>0</v>
      </c>
      <c r="AII54" s="15">
        <v>0</v>
      </c>
      <c r="AIJ54" s="15">
        <v>0</v>
      </c>
      <c r="AIK54" s="15">
        <v>0</v>
      </c>
      <c r="AIL54" s="15">
        <v>0</v>
      </c>
      <c r="AIM54" s="15">
        <v>0</v>
      </c>
      <c r="AIN54" s="15">
        <v>0</v>
      </c>
      <c r="AIO54" s="15">
        <v>0</v>
      </c>
      <c r="AIP54" s="15">
        <v>0</v>
      </c>
      <c r="AIQ54" s="15">
        <v>0</v>
      </c>
      <c r="AIR54" s="15">
        <v>0</v>
      </c>
      <c r="AIS54" s="15">
        <v>0</v>
      </c>
      <c r="AIT54" s="15">
        <v>0</v>
      </c>
      <c r="AIU54" s="15">
        <v>0</v>
      </c>
      <c r="AIV54" s="15">
        <v>0</v>
      </c>
      <c r="AIW54" s="15">
        <v>0</v>
      </c>
      <c r="AIX54" s="15">
        <v>0</v>
      </c>
      <c r="AIY54" s="15">
        <v>0</v>
      </c>
      <c r="AIZ54" s="15">
        <v>0</v>
      </c>
      <c r="AJA54" s="15">
        <v>0</v>
      </c>
      <c r="AJB54" s="15">
        <v>0</v>
      </c>
      <c r="AJC54" s="15">
        <v>0</v>
      </c>
      <c r="AJD54" s="15">
        <v>0</v>
      </c>
      <c r="AJE54" s="15">
        <v>0</v>
      </c>
      <c r="AJF54" s="15"/>
      <c r="AJG54" s="15">
        <v>0</v>
      </c>
      <c r="AJH54" s="15">
        <v>0</v>
      </c>
      <c r="AJI54" s="15">
        <v>0</v>
      </c>
      <c r="AJJ54" s="15">
        <v>0</v>
      </c>
      <c r="AJK54" s="15">
        <v>0</v>
      </c>
      <c r="AJL54" s="15">
        <v>0</v>
      </c>
      <c r="AJM54" s="15">
        <v>0</v>
      </c>
      <c r="AJN54" s="15"/>
      <c r="AJO54" s="15">
        <v>0</v>
      </c>
      <c r="AJP54" s="15">
        <v>0</v>
      </c>
      <c r="AJQ54" s="15">
        <v>0</v>
      </c>
      <c r="AJR54" s="15">
        <v>1</v>
      </c>
      <c r="AJS54" s="15">
        <v>1</v>
      </c>
      <c r="AJT54" s="15">
        <v>1</v>
      </c>
      <c r="AJU54" s="15">
        <v>1</v>
      </c>
      <c r="AJV54" s="15">
        <v>1</v>
      </c>
      <c r="AJW54" s="15">
        <v>1</v>
      </c>
      <c r="AJX54" s="15"/>
      <c r="AJY54" s="15">
        <v>0</v>
      </c>
      <c r="AJZ54" s="15">
        <v>0</v>
      </c>
      <c r="AKA54" s="15">
        <v>1</v>
      </c>
      <c r="AKB54" s="15">
        <v>1</v>
      </c>
      <c r="AKC54" s="15">
        <v>1</v>
      </c>
      <c r="AKD54" s="15">
        <v>0</v>
      </c>
      <c r="AKE54" s="15">
        <v>1</v>
      </c>
      <c r="AKF54" s="15">
        <v>1</v>
      </c>
      <c r="AKG54" s="15">
        <v>1</v>
      </c>
      <c r="AKH54" s="15">
        <v>1</v>
      </c>
      <c r="AKI54" s="15"/>
      <c r="AKJ54" s="15">
        <v>0</v>
      </c>
      <c r="AKK54" s="15">
        <v>0</v>
      </c>
      <c r="AKL54" s="15">
        <v>0</v>
      </c>
      <c r="AKM54" s="15">
        <v>0</v>
      </c>
      <c r="AKN54" s="15">
        <v>0</v>
      </c>
      <c r="AKO54" s="15">
        <v>0</v>
      </c>
      <c r="AKP54" s="15">
        <v>0</v>
      </c>
      <c r="AKQ54" s="15">
        <v>0</v>
      </c>
      <c r="AKR54" s="15">
        <v>0</v>
      </c>
      <c r="AKS54" s="15">
        <v>0</v>
      </c>
      <c r="AKT54" s="15">
        <v>0</v>
      </c>
      <c r="AKU54" s="15">
        <v>0</v>
      </c>
      <c r="AKV54" s="15">
        <v>0</v>
      </c>
      <c r="AKW54" s="15">
        <v>0</v>
      </c>
      <c r="AKX54" s="15"/>
      <c r="AKY54" s="15">
        <v>0</v>
      </c>
      <c r="AKZ54" s="15">
        <v>0</v>
      </c>
      <c r="ALA54" s="15">
        <v>0</v>
      </c>
      <c r="ALB54" s="15">
        <v>0</v>
      </c>
      <c r="ALC54" s="15">
        <v>0</v>
      </c>
      <c r="ALD54" s="15">
        <v>0</v>
      </c>
      <c r="ALE54" s="15">
        <v>0</v>
      </c>
      <c r="ALF54" s="15">
        <v>0</v>
      </c>
      <c r="ALG54" s="15">
        <v>0</v>
      </c>
      <c r="ALH54" s="15">
        <v>1</v>
      </c>
      <c r="ALI54" s="15">
        <v>1</v>
      </c>
      <c r="ALJ54" s="15">
        <v>1</v>
      </c>
      <c r="ALK54" s="15">
        <v>1</v>
      </c>
      <c r="ALL54" s="15">
        <v>1</v>
      </c>
      <c r="ALM54" s="15"/>
      <c r="ALN54" s="15">
        <v>0</v>
      </c>
      <c r="ALO54" s="15">
        <v>0</v>
      </c>
      <c r="ALP54" s="15">
        <v>0</v>
      </c>
      <c r="ALQ54" s="15">
        <v>0</v>
      </c>
      <c r="ALR54" s="15">
        <v>0</v>
      </c>
      <c r="ALS54" s="15">
        <v>0</v>
      </c>
      <c r="ALT54" s="15">
        <v>0</v>
      </c>
      <c r="ALU54" s="15">
        <v>0</v>
      </c>
      <c r="ALV54" s="15">
        <v>0</v>
      </c>
      <c r="ALW54" s="15">
        <v>0</v>
      </c>
      <c r="ALX54" s="15">
        <v>1</v>
      </c>
      <c r="ALY54" s="15">
        <v>1</v>
      </c>
      <c r="ALZ54" s="15">
        <v>1</v>
      </c>
      <c r="AMA54" s="15">
        <v>0</v>
      </c>
      <c r="AMB54" s="15">
        <v>0</v>
      </c>
      <c r="AMC54" s="15"/>
      <c r="AMD54" s="15">
        <v>0</v>
      </c>
      <c r="AME54" s="15">
        <v>0</v>
      </c>
      <c r="AMF54" s="15">
        <v>0</v>
      </c>
      <c r="AMG54" s="15">
        <v>0</v>
      </c>
      <c r="AMH54" s="15">
        <v>0</v>
      </c>
      <c r="AMI54" s="15">
        <v>0</v>
      </c>
      <c r="AMJ54" s="15">
        <v>0</v>
      </c>
      <c r="AMK54" s="15">
        <v>0</v>
      </c>
      <c r="AML54" s="15">
        <v>0</v>
      </c>
      <c r="AMM54" s="15">
        <v>0</v>
      </c>
      <c r="AMN54" s="15">
        <v>0</v>
      </c>
      <c r="AMO54" s="15">
        <v>1</v>
      </c>
      <c r="AMP54" s="15">
        <v>1</v>
      </c>
      <c r="AMQ54" s="15">
        <v>0</v>
      </c>
      <c r="AMR54" s="15">
        <v>1</v>
      </c>
      <c r="AMS54" s="15">
        <v>1</v>
      </c>
      <c r="AMT54" s="15">
        <v>1</v>
      </c>
      <c r="AMU54" s="15">
        <v>0</v>
      </c>
      <c r="AMV54" s="15">
        <v>1</v>
      </c>
      <c r="AMW54" s="15">
        <v>0</v>
      </c>
      <c r="AMX54" s="15">
        <v>1</v>
      </c>
      <c r="AMY54" s="15">
        <v>1</v>
      </c>
      <c r="AMZ54" s="15">
        <v>1</v>
      </c>
      <c r="ANA54" s="15">
        <v>1</v>
      </c>
      <c r="ANB54" s="15">
        <v>1</v>
      </c>
      <c r="ANC54" s="15">
        <v>1</v>
      </c>
      <c r="AND54" s="15">
        <v>1</v>
      </c>
      <c r="ANE54" s="15"/>
      <c r="ANF54" s="15"/>
      <c r="ANG54" s="15"/>
      <c r="ANH54" s="15"/>
      <c r="ANI54" s="15"/>
      <c r="ANJ54" s="15"/>
      <c r="ANK54" s="15"/>
      <c r="ANL54" s="15"/>
      <c r="ANM54" s="15"/>
      <c r="ANN54" s="15"/>
      <c r="ANO54" s="15"/>
      <c r="ANP54" s="15"/>
      <c r="ANQ54" s="15"/>
      <c r="ANR54" s="15"/>
      <c r="ANS54" s="15"/>
      <c r="ANT54" s="15"/>
      <c r="ANU54" s="15"/>
      <c r="ANV54" s="15"/>
      <c r="ANW54" s="15"/>
      <c r="ANX54" s="15"/>
      <c r="ANY54" s="15"/>
      <c r="ANZ54" s="15"/>
      <c r="AOA54" s="15"/>
      <c r="AOB54" s="15"/>
      <c r="AOC54" s="15"/>
      <c r="AOD54" s="15"/>
      <c r="AOE54" s="15"/>
      <c r="AOF54" s="15"/>
      <c r="AOG54" s="15"/>
      <c r="AOH54" s="15"/>
      <c r="AOI54" s="15"/>
      <c r="AOJ54" s="15"/>
      <c r="AOK54" s="15"/>
      <c r="AOL54" s="15"/>
      <c r="AOM54" s="15"/>
      <c r="AON54" s="15"/>
      <c r="AOO54" s="15"/>
      <c r="AOP54" s="15"/>
      <c r="AOQ54" s="15"/>
      <c r="AOR54" s="15"/>
      <c r="AOS54" s="15"/>
      <c r="AOT54" s="15"/>
      <c r="AOU54" s="15"/>
      <c r="AOV54" s="15"/>
      <c r="AOW54" s="15"/>
      <c r="AOX54" s="15"/>
      <c r="AOY54" s="15"/>
      <c r="AOZ54" s="15"/>
      <c r="APA54" s="15"/>
      <c r="APB54" s="15"/>
      <c r="APC54" s="15"/>
      <c r="APD54" s="15"/>
      <c r="APE54" s="15"/>
      <c r="APF54" s="15"/>
      <c r="APG54" s="15"/>
      <c r="APH54" s="15"/>
      <c r="API54" s="15"/>
      <c r="APJ54" s="15"/>
      <c r="APK54" s="15"/>
      <c r="APL54" s="15"/>
      <c r="APM54" s="15"/>
      <c r="APN54" s="15"/>
      <c r="APO54" s="15"/>
      <c r="APP54" s="15"/>
      <c r="APQ54" s="15"/>
      <c r="APR54" s="15"/>
      <c r="APS54" s="15"/>
      <c r="APT54" s="15"/>
      <c r="APU54" s="15"/>
      <c r="APV54" s="15"/>
      <c r="APW54" s="15"/>
      <c r="APX54" s="15"/>
      <c r="APY54" s="15"/>
      <c r="APZ54" s="15"/>
      <c r="AQA54" s="15"/>
      <c r="AQB54" s="15"/>
    </row>
    <row r="55" spans="1:1120" s="17" customFormat="1" ht="15" customHeight="1" x14ac:dyDescent="0.25">
      <c r="A55" s="3" t="s">
        <v>2</v>
      </c>
      <c r="B55" s="6" t="s">
        <v>641</v>
      </c>
      <c r="C55" s="15"/>
      <c r="D55" s="15">
        <v>0</v>
      </c>
      <c r="E55" s="15">
        <v>0</v>
      </c>
      <c r="F55" s="15">
        <v>0</v>
      </c>
      <c r="G55" s="15">
        <v>0</v>
      </c>
      <c r="H55" s="15">
        <v>0</v>
      </c>
      <c r="I55" s="15">
        <v>0</v>
      </c>
      <c r="J55" s="15"/>
      <c r="K55" s="15">
        <v>0</v>
      </c>
      <c r="L55" s="15">
        <v>0</v>
      </c>
      <c r="M55" s="15">
        <v>0</v>
      </c>
      <c r="N55" s="15">
        <v>0</v>
      </c>
      <c r="O55" s="15">
        <v>0</v>
      </c>
      <c r="P55" s="15">
        <v>0</v>
      </c>
      <c r="Q55" s="15"/>
      <c r="R55" s="15">
        <v>0</v>
      </c>
      <c r="S55" s="15">
        <v>0</v>
      </c>
      <c r="T55" s="15">
        <v>0</v>
      </c>
      <c r="U55" s="15">
        <v>0</v>
      </c>
      <c r="V55" s="15">
        <v>0</v>
      </c>
      <c r="W55" s="15">
        <v>0</v>
      </c>
      <c r="X55" s="15"/>
      <c r="Y55" s="15">
        <v>0</v>
      </c>
      <c r="Z55" s="15">
        <v>0</v>
      </c>
      <c r="AA55" s="15">
        <v>0</v>
      </c>
      <c r="AB55" s="15">
        <v>0</v>
      </c>
      <c r="AC55" s="15">
        <v>0</v>
      </c>
      <c r="AD55" s="15">
        <v>0</v>
      </c>
      <c r="AE55" s="15"/>
      <c r="AF55" s="15">
        <v>0</v>
      </c>
      <c r="AG55" s="15">
        <v>0</v>
      </c>
      <c r="AH55" s="15">
        <v>0</v>
      </c>
      <c r="AI55" s="15">
        <v>0</v>
      </c>
      <c r="AJ55" s="15">
        <v>0</v>
      </c>
      <c r="AK55" s="15">
        <v>0</v>
      </c>
      <c r="AL55" s="15"/>
      <c r="AM55" s="15">
        <v>0</v>
      </c>
      <c r="AN55" s="15">
        <v>0</v>
      </c>
      <c r="AO55" s="15">
        <v>0</v>
      </c>
      <c r="AP55" s="15">
        <v>0</v>
      </c>
      <c r="AQ55" s="15">
        <v>0</v>
      </c>
      <c r="AR55" s="15">
        <v>0</v>
      </c>
      <c r="AS55" s="15">
        <v>0</v>
      </c>
      <c r="AT55" s="15">
        <v>0</v>
      </c>
      <c r="AU55" s="15">
        <v>0</v>
      </c>
      <c r="AV55" s="15">
        <v>0</v>
      </c>
      <c r="AW55" s="15">
        <v>0</v>
      </c>
      <c r="AX55" s="15">
        <v>0</v>
      </c>
      <c r="AY55" s="15">
        <v>0</v>
      </c>
      <c r="AZ55" s="15">
        <v>0</v>
      </c>
      <c r="BA55" s="15">
        <v>0</v>
      </c>
      <c r="BB55" s="15">
        <v>0</v>
      </c>
      <c r="BC55" s="15">
        <v>0</v>
      </c>
      <c r="BD55" s="15">
        <v>0</v>
      </c>
      <c r="BE55" s="15">
        <v>0</v>
      </c>
      <c r="BF55" s="15">
        <v>0</v>
      </c>
      <c r="BG55" s="15">
        <v>0</v>
      </c>
      <c r="BH55" s="15">
        <v>0</v>
      </c>
      <c r="BI55" s="15">
        <v>0</v>
      </c>
      <c r="BJ55" s="15">
        <v>0</v>
      </c>
      <c r="BK55" s="15">
        <v>0</v>
      </c>
      <c r="BL55" s="15">
        <v>0</v>
      </c>
      <c r="BM55" s="15">
        <v>0</v>
      </c>
      <c r="BN55" s="15">
        <v>0</v>
      </c>
      <c r="BO55" s="15">
        <v>0</v>
      </c>
      <c r="BP55" s="15">
        <v>0</v>
      </c>
      <c r="BQ55" s="15">
        <v>0</v>
      </c>
      <c r="BR55" s="15">
        <v>0</v>
      </c>
      <c r="BS55" s="15">
        <v>0</v>
      </c>
      <c r="BT55" s="15">
        <v>0</v>
      </c>
      <c r="BU55" s="15">
        <v>0</v>
      </c>
      <c r="BV55" s="15">
        <v>0</v>
      </c>
      <c r="BW55" s="15">
        <v>0</v>
      </c>
      <c r="BX55" s="15">
        <v>0</v>
      </c>
      <c r="BY55" s="15">
        <v>0</v>
      </c>
      <c r="BZ55" s="15">
        <v>0</v>
      </c>
      <c r="CA55" s="15">
        <v>0</v>
      </c>
      <c r="CB55" s="15">
        <v>0</v>
      </c>
      <c r="CC55" s="15">
        <v>0</v>
      </c>
      <c r="CD55" s="15">
        <v>0</v>
      </c>
      <c r="CE55" s="15">
        <v>0</v>
      </c>
      <c r="CF55" s="15">
        <v>0</v>
      </c>
      <c r="CG55" s="15">
        <v>0</v>
      </c>
      <c r="CH55" s="15">
        <v>0</v>
      </c>
      <c r="CI55" s="15">
        <v>0</v>
      </c>
      <c r="CJ55" s="15">
        <v>0</v>
      </c>
      <c r="CK55" s="15">
        <v>0</v>
      </c>
      <c r="CL55" s="15">
        <v>0</v>
      </c>
      <c r="CM55" s="15">
        <v>0</v>
      </c>
      <c r="CN55" s="15">
        <v>0</v>
      </c>
      <c r="CO55" s="15">
        <v>0</v>
      </c>
      <c r="CP55" s="15">
        <v>0</v>
      </c>
      <c r="CQ55" s="15">
        <v>0</v>
      </c>
      <c r="CR55" s="15">
        <v>0</v>
      </c>
      <c r="CS55" s="15">
        <v>0</v>
      </c>
      <c r="CT55" s="15">
        <v>0</v>
      </c>
      <c r="CU55" s="15">
        <v>0</v>
      </c>
      <c r="CV55" s="15">
        <v>0</v>
      </c>
      <c r="CW55" s="15">
        <v>0</v>
      </c>
      <c r="CX55" s="15">
        <v>0</v>
      </c>
      <c r="CY55" s="15">
        <v>0</v>
      </c>
      <c r="CZ55" s="15">
        <v>0</v>
      </c>
      <c r="DA55" s="15">
        <v>0</v>
      </c>
      <c r="DB55" s="15">
        <v>0</v>
      </c>
      <c r="DC55" s="15">
        <v>0</v>
      </c>
      <c r="DD55" s="15">
        <v>0</v>
      </c>
      <c r="DE55" s="15">
        <v>0</v>
      </c>
      <c r="DF55" s="15">
        <v>0</v>
      </c>
      <c r="DG55" s="15">
        <v>0</v>
      </c>
      <c r="DH55" s="15">
        <v>0</v>
      </c>
      <c r="DI55" s="15">
        <v>0</v>
      </c>
      <c r="DJ55" s="15">
        <v>0</v>
      </c>
      <c r="DK55" s="15">
        <v>0</v>
      </c>
      <c r="DL55" s="15">
        <v>0</v>
      </c>
      <c r="DM55" s="15">
        <v>0</v>
      </c>
      <c r="DN55" s="15">
        <v>0</v>
      </c>
      <c r="DO55" s="15">
        <v>0</v>
      </c>
      <c r="DP55" s="15">
        <v>0</v>
      </c>
      <c r="DQ55" s="15">
        <v>0</v>
      </c>
      <c r="DR55" s="15">
        <v>0</v>
      </c>
      <c r="DS55" s="15">
        <v>0</v>
      </c>
      <c r="DT55" s="15">
        <v>0</v>
      </c>
      <c r="DU55" s="15">
        <v>0</v>
      </c>
      <c r="DV55" s="15">
        <v>0</v>
      </c>
      <c r="DW55" s="15">
        <v>0</v>
      </c>
      <c r="DX55" s="15">
        <v>0</v>
      </c>
      <c r="DY55" s="15">
        <v>0</v>
      </c>
      <c r="DZ55" s="15">
        <v>0</v>
      </c>
      <c r="EA55" s="15">
        <v>0</v>
      </c>
      <c r="EB55" s="15">
        <v>0</v>
      </c>
      <c r="EC55" s="15">
        <v>0</v>
      </c>
      <c r="ED55" s="15">
        <v>0</v>
      </c>
      <c r="EE55" s="15">
        <v>0</v>
      </c>
      <c r="EF55" s="15">
        <v>0</v>
      </c>
      <c r="EG55" s="15">
        <v>0</v>
      </c>
      <c r="EH55" s="15">
        <v>0</v>
      </c>
      <c r="EI55" s="15">
        <v>0</v>
      </c>
      <c r="EJ55" s="15">
        <v>0</v>
      </c>
      <c r="EK55" s="15">
        <v>0</v>
      </c>
      <c r="EL55" s="15">
        <v>0</v>
      </c>
      <c r="EM55" s="15">
        <v>0</v>
      </c>
      <c r="EN55" s="15">
        <v>0</v>
      </c>
      <c r="EO55" s="15">
        <v>0</v>
      </c>
      <c r="EP55" s="15">
        <v>0</v>
      </c>
      <c r="EQ55" s="15">
        <v>0</v>
      </c>
      <c r="ER55" s="15">
        <v>0</v>
      </c>
      <c r="ES55" s="15">
        <v>0</v>
      </c>
      <c r="ET55" s="15">
        <v>0</v>
      </c>
      <c r="EU55" s="15">
        <v>0</v>
      </c>
      <c r="EV55" s="15">
        <v>0</v>
      </c>
      <c r="EW55" s="15">
        <v>0</v>
      </c>
      <c r="EX55" s="15">
        <v>0</v>
      </c>
      <c r="EY55" s="15">
        <v>0</v>
      </c>
      <c r="EZ55" s="15">
        <v>0</v>
      </c>
      <c r="FA55" s="15">
        <v>0</v>
      </c>
      <c r="FB55" s="15">
        <v>0</v>
      </c>
      <c r="FC55" s="15">
        <v>0</v>
      </c>
      <c r="FD55" s="15">
        <v>0</v>
      </c>
      <c r="FE55" s="15">
        <v>0</v>
      </c>
      <c r="FF55" s="15">
        <v>0</v>
      </c>
      <c r="FG55" s="15">
        <v>0</v>
      </c>
      <c r="FH55" s="15">
        <v>0</v>
      </c>
      <c r="FI55" s="15">
        <v>0</v>
      </c>
      <c r="FJ55" s="15">
        <v>0</v>
      </c>
      <c r="FK55" s="15">
        <v>0</v>
      </c>
      <c r="FL55" s="15">
        <v>0</v>
      </c>
      <c r="FM55" s="15">
        <v>0</v>
      </c>
      <c r="FN55" s="15">
        <v>0</v>
      </c>
      <c r="FO55" s="15">
        <v>0</v>
      </c>
      <c r="FP55" s="15">
        <v>0</v>
      </c>
      <c r="FQ55" s="15">
        <v>0</v>
      </c>
      <c r="FR55" s="15">
        <v>0</v>
      </c>
      <c r="FS55" s="15">
        <v>0</v>
      </c>
      <c r="FT55" s="15">
        <v>0</v>
      </c>
      <c r="FU55" s="15">
        <v>0</v>
      </c>
      <c r="FV55" s="15">
        <v>0</v>
      </c>
      <c r="FW55" s="15">
        <v>0</v>
      </c>
      <c r="FX55" s="15">
        <v>0</v>
      </c>
      <c r="FY55" s="15">
        <v>0</v>
      </c>
      <c r="FZ55" s="15">
        <v>0</v>
      </c>
      <c r="GA55" s="15">
        <v>0</v>
      </c>
      <c r="GB55" s="15">
        <v>0</v>
      </c>
      <c r="GC55" s="15">
        <v>0</v>
      </c>
      <c r="GD55" s="15">
        <v>0</v>
      </c>
      <c r="GE55" s="15">
        <v>0</v>
      </c>
      <c r="GF55" s="15">
        <v>0</v>
      </c>
      <c r="GG55" s="15">
        <v>0</v>
      </c>
      <c r="GH55" s="15">
        <v>0</v>
      </c>
      <c r="GI55" s="15">
        <v>0</v>
      </c>
      <c r="GJ55" s="15">
        <v>0</v>
      </c>
      <c r="GK55" s="15">
        <v>0</v>
      </c>
      <c r="GL55" s="15">
        <v>0</v>
      </c>
      <c r="GM55" s="15">
        <v>0</v>
      </c>
      <c r="GN55" s="15">
        <v>0</v>
      </c>
      <c r="GO55" s="15">
        <v>0</v>
      </c>
      <c r="GP55" s="15">
        <v>0</v>
      </c>
      <c r="GQ55" s="15">
        <v>0</v>
      </c>
      <c r="GR55" s="15">
        <v>0</v>
      </c>
      <c r="GS55" s="15">
        <v>0</v>
      </c>
      <c r="GT55" s="15">
        <v>0</v>
      </c>
      <c r="GU55" s="15">
        <v>0</v>
      </c>
      <c r="GV55" s="15">
        <v>0</v>
      </c>
      <c r="GW55" s="15">
        <v>0</v>
      </c>
      <c r="GX55" s="15">
        <v>0</v>
      </c>
      <c r="GY55" s="15">
        <v>0</v>
      </c>
      <c r="GZ55" s="15">
        <v>0</v>
      </c>
      <c r="HA55" s="15">
        <v>0</v>
      </c>
      <c r="HB55" s="15">
        <v>0</v>
      </c>
      <c r="HC55" s="15">
        <v>0</v>
      </c>
      <c r="HD55" s="15">
        <v>0</v>
      </c>
      <c r="HE55" s="15">
        <v>0</v>
      </c>
      <c r="HF55" s="15">
        <v>0</v>
      </c>
      <c r="HG55" s="15">
        <v>0</v>
      </c>
      <c r="HH55" s="15">
        <v>0</v>
      </c>
      <c r="HI55" s="15">
        <v>0</v>
      </c>
      <c r="HJ55" s="15">
        <v>0</v>
      </c>
      <c r="HK55" s="15">
        <v>0</v>
      </c>
      <c r="HL55" s="15">
        <v>0</v>
      </c>
      <c r="HM55" s="15">
        <v>0</v>
      </c>
      <c r="HN55" s="15">
        <v>0</v>
      </c>
      <c r="HO55" s="15">
        <v>0</v>
      </c>
      <c r="HP55" s="15">
        <v>0</v>
      </c>
      <c r="HQ55" s="15">
        <v>0</v>
      </c>
      <c r="HR55" s="15">
        <v>0</v>
      </c>
      <c r="HS55" s="15">
        <v>0</v>
      </c>
      <c r="HT55" s="15">
        <v>0</v>
      </c>
      <c r="HU55" s="15">
        <v>0</v>
      </c>
      <c r="HV55" s="15">
        <v>0</v>
      </c>
      <c r="HW55" s="15">
        <v>0</v>
      </c>
      <c r="HX55" s="15">
        <v>0</v>
      </c>
      <c r="HY55" s="15">
        <v>0</v>
      </c>
      <c r="HZ55" s="15">
        <v>0</v>
      </c>
      <c r="IA55" s="15">
        <v>0</v>
      </c>
      <c r="IB55" s="15"/>
      <c r="IC55" s="15">
        <v>0</v>
      </c>
      <c r="ID55" s="15">
        <v>0</v>
      </c>
      <c r="IE55" s="15">
        <v>0</v>
      </c>
      <c r="IF55" s="15">
        <v>0</v>
      </c>
      <c r="IG55" s="15">
        <v>0</v>
      </c>
      <c r="IH55" s="15">
        <v>0</v>
      </c>
      <c r="II55" s="15">
        <v>0</v>
      </c>
      <c r="IJ55" s="15">
        <v>0</v>
      </c>
      <c r="IK55" s="15"/>
      <c r="IL55" s="15">
        <v>0</v>
      </c>
      <c r="IM55" s="15">
        <v>0</v>
      </c>
      <c r="IN55" s="15">
        <v>0</v>
      </c>
      <c r="IO55" s="15">
        <v>0</v>
      </c>
      <c r="IP55" s="15">
        <v>0</v>
      </c>
      <c r="IQ55" s="15">
        <v>0</v>
      </c>
      <c r="IR55" s="15">
        <v>0</v>
      </c>
      <c r="IS55" s="15">
        <v>0</v>
      </c>
      <c r="IT55" s="15">
        <v>0</v>
      </c>
      <c r="IU55" s="15">
        <v>0</v>
      </c>
      <c r="IV55" s="15">
        <v>0</v>
      </c>
      <c r="IW55" s="15">
        <v>0</v>
      </c>
      <c r="IX55" s="15">
        <v>0</v>
      </c>
      <c r="IY55" s="15">
        <v>0</v>
      </c>
      <c r="IZ55" s="15">
        <v>0</v>
      </c>
      <c r="JA55" s="15">
        <v>0</v>
      </c>
      <c r="JB55" s="15">
        <v>0</v>
      </c>
      <c r="JC55" s="15">
        <v>0</v>
      </c>
      <c r="JD55" s="15">
        <v>0</v>
      </c>
      <c r="JE55" s="15">
        <v>0</v>
      </c>
      <c r="JF55" s="15">
        <v>0</v>
      </c>
      <c r="JG55" s="15">
        <v>0</v>
      </c>
      <c r="JH55" s="15">
        <v>0</v>
      </c>
      <c r="JI55" s="15">
        <v>0</v>
      </c>
      <c r="JJ55" s="15">
        <v>0</v>
      </c>
      <c r="JK55" s="15">
        <v>0</v>
      </c>
      <c r="JL55" s="15">
        <v>0</v>
      </c>
      <c r="JM55" s="15">
        <v>0</v>
      </c>
      <c r="JN55" s="15">
        <v>0</v>
      </c>
      <c r="JO55" s="15">
        <v>0</v>
      </c>
      <c r="JP55" s="15">
        <v>0</v>
      </c>
      <c r="JQ55" s="15">
        <v>0</v>
      </c>
      <c r="JR55" s="15">
        <v>0</v>
      </c>
      <c r="JS55" s="15">
        <v>0</v>
      </c>
      <c r="JT55" s="15">
        <v>0</v>
      </c>
      <c r="JU55" s="15">
        <v>0</v>
      </c>
      <c r="JV55" s="15">
        <v>0</v>
      </c>
      <c r="JW55" s="15">
        <v>0</v>
      </c>
      <c r="JX55" s="15">
        <v>0</v>
      </c>
      <c r="JY55" s="15">
        <v>0</v>
      </c>
      <c r="JZ55" s="15">
        <v>0</v>
      </c>
      <c r="KA55" s="15">
        <v>0</v>
      </c>
      <c r="KB55" s="15">
        <v>0</v>
      </c>
      <c r="KC55" s="15">
        <v>0</v>
      </c>
      <c r="KD55" s="15">
        <v>0</v>
      </c>
      <c r="KE55" s="15">
        <v>0</v>
      </c>
      <c r="KF55" s="15">
        <v>0</v>
      </c>
      <c r="KG55" s="15">
        <v>0</v>
      </c>
      <c r="KH55" s="15">
        <v>0</v>
      </c>
      <c r="KI55" s="15">
        <v>0</v>
      </c>
      <c r="KJ55" s="15">
        <v>0</v>
      </c>
      <c r="KK55" s="15">
        <v>0</v>
      </c>
      <c r="KL55" s="15">
        <v>0</v>
      </c>
      <c r="KM55" s="15">
        <v>0</v>
      </c>
      <c r="KN55" s="15">
        <v>0</v>
      </c>
      <c r="KO55" s="15">
        <v>0</v>
      </c>
      <c r="KP55" s="15">
        <v>0</v>
      </c>
      <c r="KQ55" s="15">
        <v>0</v>
      </c>
      <c r="KR55" s="15">
        <v>0</v>
      </c>
      <c r="KS55" s="15">
        <v>0</v>
      </c>
      <c r="KT55" s="15">
        <v>0</v>
      </c>
      <c r="KU55" s="15">
        <v>0</v>
      </c>
      <c r="KV55" s="15">
        <v>0</v>
      </c>
      <c r="KW55" s="15">
        <v>0</v>
      </c>
      <c r="KX55" s="15">
        <v>0</v>
      </c>
      <c r="KY55" s="15">
        <v>0</v>
      </c>
      <c r="KZ55" s="15">
        <v>0</v>
      </c>
      <c r="LA55" s="15">
        <v>0</v>
      </c>
      <c r="LB55" s="15">
        <v>0</v>
      </c>
      <c r="LC55" s="15">
        <v>0</v>
      </c>
      <c r="LD55" s="15">
        <v>0</v>
      </c>
      <c r="LE55" s="15">
        <v>0</v>
      </c>
      <c r="LF55" s="15">
        <v>0</v>
      </c>
      <c r="LG55" s="15">
        <v>0</v>
      </c>
      <c r="LH55" s="15">
        <v>0</v>
      </c>
      <c r="LI55" s="15">
        <v>0</v>
      </c>
      <c r="LJ55" s="15">
        <v>0</v>
      </c>
      <c r="LK55" s="15">
        <v>0</v>
      </c>
      <c r="LL55" s="15">
        <v>0</v>
      </c>
      <c r="LM55" s="15">
        <v>0</v>
      </c>
      <c r="LN55" s="15">
        <v>0</v>
      </c>
      <c r="LO55" s="15">
        <v>0</v>
      </c>
      <c r="LP55" s="15">
        <v>0</v>
      </c>
      <c r="LQ55" s="15">
        <v>0</v>
      </c>
      <c r="LR55" s="15">
        <v>0</v>
      </c>
      <c r="LS55" s="15">
        <v>0</v>
      </c>
      <c r="LT55" s="15">
        <v>0</v>
      </c>
      <c r="LU55" s="15">
        <v>0</v>
      </c>
      <c r="LV55" s="15">
        <v>0</v>
      </c>
      <c r="LW55" s="15">
        <v>0</v>
      </c>
      <c r="LX55" s="15">
        <v>0</v>
      </c>
      <c r="LY55" s="15">
        <v>0</v>
      </c>
      <c r="LZ55" s="15">
        <v>0</v>
      </c>
      <c r="MA55" s="15">
        <v>0</v>
      </c>
      <c r="MB55" s="15">
        <v>0</v>
      </c>
      <c r="MC55" s="15">
        <v>0</v>
      </c>
      <c r="MD55" s="15">
        <v>0</v>
      </c>
      <c r="ME55" s="15">
        <v>0</v>
      </c>
      <c r="MF55" s="15">
        <v>0</v>
      </c>
      <c r="MG55" s="15">
        <v>0</v>
      </c>
      <c r="MH55" s="15">
        <v>0</v>
      </c>
      <c r="MI55" s="15">
        <v>0</v>
      </c>
      <c r="MJ55" s="15">
        <v>0</v>
      </c>
      <c r="MK55" s="15">
        <v>0</v>
      </c>
      <c r="ML55" s="15">
        <v>0</v>
      </c>
      <c r="MM55" s="15">
        <v>0</v>
      </c>
      <c r="MN55" s="15">
        <v>0</v>
      </c>
      <c r="MO55" s="15">
        <v>0</v>
      </c>
      <c r="MP55" s="15">
        <v>0</v>
      </c>
      <c r="MQ55" s="15">
        <v>0</v>
      </c>
      <c r="MR55" s="15">
        <v>0</v>
      </c>
      <c r="MS55" s="15">
        <v>0</v>
      </c>
      <c r="MT55" s="15">
        <v>0</v>
      </c>
      <c r="MU55" s="15">
        <v>0</v>
      </c>
      <c r="MV55" s="15">
        <v>0</v>
      </c>
      <c r="MW55" s="15">
        <v>0</v>
      </c>
      <c r="MX55" s="15">
        <v>0</v>
      </c>
      <c r="MY55" s="15">
        <v>0</v>
      </c>
      <c r="MZ55" s="15">
        <v>0</v>
      </c>
      <c r="NA55" s="15">
        <v>0</v>
      </c>
      <c r="NB55" s="15">
        <v>0</v>
      </c>
      <c r="NC55" s="15">
        <v>0</v>
      </c>
      <c r="ND55" s="15">
        <v>0</v>
      </c>
      <c r="NE55" s="15">
        <v>0</v>
      </c>
      <c r="NF55" s="15">
        <v>0</v>
      </c>
      <c r="NG55" s="15">
        <v>0</v>
      </c>
      <c r="NH55" s="15">
        <v>0</v>
      </c>
      <c r="NI55" s="15">
        <v>0</v>
      </c>
      <c r="NJ55" s="15">
        <v>0</v>
      </c>
      <c r="NK55" s="15">
        <v>0</v>
      </c>
      <c r="NL55" s="15">
        <v>0</v>
      </c>
      <c r="NM55" s="15">
        <v>0</v>
      </c>
      <c r="NN55" s="15">
        <v>0</v>
      </c>
      <c r="NO55" s="15">
        <v>0</v>
      </c>
      <c r="NP55" s="15">
        <v>0</v>
      </c>
      <c r="NQ55" s="15">
        <v>0</v>
      </c>
      <c r="NR55" s="15">
        <v>0</v>
      </c>
      <c r="NS55" s="15">
        <v>0</v>
      </c>
      <c r="NT55" s="15">
        <v>0</v>
      </c>
      <c r="NU55" s="15">
        <v>0</v>
      </c>
      <c r="NV55" s="15">
        <v>0</v>
      </c>
      <c r="NW55" s="15">
        <v>0</v>
      </c>
      <c r="NX55" s="15">
        <v>0</v>
      </c>
      <c r="NY55" s="15">
        <v>0</v>
      </c>
      <c r="NZ55" s="15">
        <v>0</v>
      </c>
      <c r="OA55" s="15">
        <v>0</v>
      </c>
      <c r="OB55" s="15">
        <v>0</v>
      </c>
      <c r="OC55" s="15">
        <v>0</v>
      </c>
      <c r="OD55" s="15">
        <v>0</v>
      </c>
      <c r="OE55" s="15">
        <v>0</v>
      </c>
      <c r="OF55" s="15">
        <v>0</v>
      </c>
      <c r="OG55" s="15">
        <v>0</v>
      </c>
      <c r="OH55" s="15">
        <v>0</v>
      </c>
      <c r="OI55" s="15">
        <v>0</v>
      </c>
      <c r="OJ55" s="15">
        <v>0</v>
      </c>
      <c r="OK55" s="15">
        <v>0</v>
      </c>
      <c r="OL55" s="15">
        <v>0</v>
      </c>
      <c r="OM55" s="15">
        <v>0</v>
      </c>
      <c r="ON55" s="15">
        <v>0</v>
      </c>
      <c r="OO55" s="15">
        <v>0</v>
      </c>
      <c r="OP55" s="15">
        <v>0</v>
      </c>
      <c r="OQ55" s="15">
        <v>0</v>
      </c>
      <c r="OR55" s="15">
        <v>0</v>
      </c>
      <c r="OS55" s="15">
        <v>0</v>
      </c>
      <c r="OT55" s="15">
        <v>0</v>
      </c>
      <c r="OU55" s="15">
        <v>0</v>
      </c>
      <c r="OV55" s="15">
        <v>0</v>
      </c>
      <c r="OW55" s="15">
        <v>0</v>
      </c>
      <c r="OX55" s="15">
        <v>0</v>
      </c>
      <c r="OY55" s="15">
        <v>0</v>
      </c>
      <c r="OZ55" s="15">
        <v>0</v>
      </c>
      <c r="PA55" s="15">
        <v>0</v>
      </c>
      <c r="PB55" s="15">
        <v>0</v>
      </c>
      <c r="PC55" s="15">
        <v>0</v>
      </c>
      <c r="PD55" s="15">
        <v>0</v>
      </c>
      <c r="PE55" s="15">
        <v>0</v>
      </c>
      <c r="PF55" s="15">
        <v>0</v>
      </c>
      <c r="PG55" s="15">
        <v>0</v>
      </c>
      <c r="PH55" s="15">
        <v>0</v>
      </c>
      <c r="PI55" s="15">
        <v>0</v>
      </c>
      <c r="PJ55" s="15">
        <v>0</v>
      </c>
      <c r="PK55" s="15">
        <v>0</v>
      </c>
      <c r="PL55" s="15">
        <v>0</v>
      </c>
      <c r="PM55" s="15">
        <v>0</v>
      </c>
      <c r="PN55" s="15">
        <v>0</v>
      </c>
      <c r="PO55" s="15">
        <v>0</v>
      </c>
      <c r="PP55" s="15">
        <v>0</v>
      </c>
      <c r="PQ55" s="15">
        <v>0</v>
      </c>
      <c r="PR55" s="15">
        <v>0</v>
      </c>
      <c r="PS55" s="15">
        <v>0</v>
      </c>
      <c r="PT55" s="15">
        <v>0</v>
      </c>
      <c r="PU55" s="15">
        <v>0</v>
      </c>
      <c r="PV55" s="15">
        <v>0</v>
      </c>
      <c r="PW55" s="15">
        <v>0</v>
      </c>
      <c r="PX55" s="15">
        <v>0</v>
      </c>
      <c r="PY55" s="15">
        <v>0</v>
      </c>
      <c r="PZ55" s="15">
        <v>0</v>
      </c>
      <c r="QA55" s="15">
        <v>0</v>
      </c>
      <c r="QB55" s="15">
        <v>0</v>
      </c>
      <c r="QC55" s="15">
        <v>0</v>
      </c>
      <c r="QD55" s="15">
        <v>0</v>
      </c>
      <c r="QE55" s="15">
        <v>0</v>
      </c>
      <c r="QF55" s="15">
        <v>0</v>
      </c>
      <c r="QG55" s="15">
        <v>0</v>
      </c>
      <c r="QH55" s="15">
        <v>0</v>
      </c>
      <c r="QI55" s="15">
        <v>0</v>
      </c>
      <c r="QJ55" s="15">
        <v>0</v>
      </c>
      <c r="QK55" s="15">
        <v>0</v>
      </c>
      <c r="QL55" s="15">
        <v>0</v>
      </c>
      <c r="QM55" s="15">
        <v>0</v>
      </c>
      <c r="QN55" s="15">
        <v>0</v>
      </c>
      <c r="QO55" s="15">
        <v>0</v>
      </c>
      <c r="QP55" s="15">
        <v>0</v>
      </c>
      <c r="QQ55" s="15">
        <v>0</v>
      </c>
      <c r="QR55" s="15">
        <v>0</v>
      </c>
      <c r="QS55" s="15">
        <v>0</v>
      </c>
      <c r="QT55" s="15">
        <v>0</v>
      </c>
      <c r="QU55" s="15">
        <v>0</v>
      </c>
      <c r="QV55" s="15">
        <v>0</v>
      </c>
      <c r="QW55" s="15">
        <v>0</v>
      </c>
      <c r="QX55" s="15">
        <v>0</v>
      </c>
      <c r="QY55" s="15">
        <v>0</v>
      </c>
      <c r="QZ55" s="15">
        <v>0</v>
      </c>
      <c r="RA55" s="15">
        <v>0</v>
      </c>
      <c r="RB55" s="15">
        <v>0</v>
      </c>
      <c r="RC55" s="15">
        <v>0</v>
      </c>
      <c r="RD55" s="15">
        <v>0</v>
      </c>
      <c r="RE55" s="15">
        <v>0</v>
      </c>
      <c r="RF55" s="15">
        <v>0</v>
      </c>
      <c r="RG55" s="15">
        <v>0</v>
      </c>
      <c r="RH55" s="15">
        <v>0</v>
      </c>
      <c r="RI55" s="15">
        <v>0</v>
      </c>
      <c r="RJ55" s="15">
        <v>0</v>
      </c>
      <c r="RK55" s="15">
        <v>0</v>
      </c>
      <c r="RL55" s="15">
        <v>0</v>
      </c>
      <c r="RM55" s="15">
        <v>0</v>
      </c>
      <c r="RN55" s="15">
        <v>0</v>
      </c>
      <c r="RO55" s="15">
        <v>0</v>
      </c>
      <c r="RP55" s="15">
        <v>0</v>
      </c>
      <c r="RQ55" s="15">
        <v>0</v>
      </c>
      <c r="RR55" s="15">
        <v>0</v>
      </c>
      <c r="RS55" s="15"/>
      <c r="RT55" s="15">
        <v>0</v>
      </c>
      <c r="RU55" s="15">
        <v>0</v>
      </c>
      <c r="RV55" s="15">
        <v>0</v>
      </c>
      <c r="RW55" s="15">
        <v>0</v>
      </c>
      <c r="RX55" s="15">
        <v>0</v>
      </c>
      <c r="RY55" s="15">
        <v>0</v>
      </c>
      <c r="RZ55" s="15">
        <v>0</v>
      </c>
      <c r="SA55" s="15">
        <v>0</v>
      </c>
      <c r="SB55" s="15">
        <v>0</v>
      </c>
      <c r="SC55" s="15">
        <v>0</v>
      </c>
      <c r="SD55" s="15">
        <v>0</v>
      </c>
      <c r="SE55" s="15">
        <v>0</v>
      </c>
      <c r="SF55" s="15">
        <v>0</v>
      </c>
      <c r="SG55" s="15">
        <v>0</v>
      </c>
      <c r="SH55" s="15">
        <v>0</v>
      </c>
      <c r="SI55" s="15">
        <v>0</v>
      </c>
      <c r="SJ55" s="15">
        <v>0</v>
      </c>
      <c r="SK55" s="15">
        <v>0</v>
      </c>
      <c r="SL55" s="15">
        <v>0</v>
      </c>
      <c r="SM55" s="15">
        <v>0</v>
      </c>
      <c r="SN55" s="15">
        <v>0</v>
      </c>
      <c r="SO55" s="15">
        <v>0</v>
      </c>
      <c r="SP55" s="15">
        <v>0</v>
      </c>
      <c r="SQ55" s="15">
        <v>0</v>
      </c>
      <c r="SR55" s="15">
        <v>0</v>
      </c>
      <c r="SS55" s="15">
        <v>0</v>
      </c>
      <c r="ST55" s="15">
        <v>0</v>
      </c>
      <c r="SU55" s="15">
        <v>0</v>
      </c>
      <c r="SV55" s="15">
        <v>0</v>
      </c>
      <c r="SW55" s="15">
        <v>0</v>
      </c>
      <c r="SX55" s="15">
        <v>0</v>
      </c>
      <c r="SY55" s="15">
        <v>0</v>
      </c>
      <c r="SZ55" s="15">
        <v>0</v>
      </c>
      <c r="TA55" s="15">
        <v>0</v>
      </c>
      <c r="TB55" s="15">
        <v>0</v>
      </c>
      <c r="TC55" s="15">
        <v>0</v>
      </c>
      <c r="TD55" s="15">
        <v>0</v>
      </c>
      <c r="TE55" s="15">
        <v>0</v>
      </c>
      <c r="TF55" s="15">
        <v>0</v>
      </c>
      <c r="TG55" s="15">
        <v>0</v>
      </c>
      <c r="TH55" s="15">
        <v>0</v>
      </c>
      <c r="TI55" s="15">
        <v>0</v>
      </c>
      <c r="TJ55" s="15">
        <v>0</v>
      </c>
      <c r="TK55" s="15">
        <v>0</v>
      </c>
      <c r="TL55" s="15">
        <v>0</v>
      </c>
      <c r="TM55" s="15">
        <v>0</v>
      </c>
      <c r="TN55" s="15">
        <v>0</v>
      </c>
      <c r="TO55" s="15">
        <v>0</v>
      </c>
      <c r="TP55" s="15">
        <v>0</v>
      </c>
      <c r="TQ55" s="15">
        <v>0</v>
      </c>
      <c r="TR55" s="15">
        <v>0</v>
      </c>
      <c r="TS55" s="15">
        <v>0</v>
      </c>
      <c r="TT55" s="15">
        <v>0</v>
      </c>
      <c r="TU55" s="15">
        <v>0</v>
      </c>
      <c r="TV55" s="15">
        <v>0</v>
      </c>
      <c r="TW55" s="15">
        <v>0</v>
      </c>
      <c r="TX55" s="15">
        <v>0</v>
      </c>
      <c r="TY55" s="15">
        <v>0</v>
      </c>
      <c r="TZ55" s="15">
        <v>0</v>
      </c>
      <c r="UA55" s="15">
        <v>0</v>
      </c>
      <c r="UB55" s="15">
        <v>0</v>
      </c>
      <c r="UC55" s="15">
        <v>0</v>
      </c>
      <c r="UD55" s="15">
        <v>0</v>
      </c>
      <c r="UE55" s="15">
        <v>0</v>
      </c>
      <c r="UF55" s="15">
        <v>0</v>
      </c>
      <c r="UG55" s="15">
        <v>0</v>
      </c>
      <c r="UH55" s="15">
        <v>0</v>
      </c>
      <c r="UI55" s="15">
        <v>0</v>
      </c>
      <c r="UJ55" s="15">
        <v>0</v>
      </c>
      <c r="UK55" s="15">
        <v>0</v>
      </c>
      <c r="UL55" s="15">
        <v>0</v>
      </c>
      <c r="UM55" s="15">
        <v>0</v>
      </c>
      <c r="UN55" s="15">
        <v>0</v>
      </c>
      <c r="UO55" s="15">
        <v>0</v>
      </c>
      <c r="UP55" s="15">
        <v>0</v>
      </c>
      <c r="UQ55" s="15">
        <v>0</v>
      </c>
      <c r="UR55" s="15">
        <v>0</v>
      </c>
      <c r="US55" s="15">
        <v>0</v>
      </c>
      <c r="UT55" s="15">
        <v>0</v>
      </c>
      <c r="UU55" s="15">
        <v>0</v>
      </c>
      <c r="UV55" s="15">
        <v>0</v>
      </c>
      <c r="UW55" s="15">
        <v>0</v>
      </c>
      <c r="UX55" s="15">
        <v>0</v>
      </c>
      <c r="UY55" s="15">
        <v>0</v>
      </c>
      <c r="UZ55" s="15">
        <v>0</v>
      </c>
      <c r="VA55" s="15">
        <v>0</v>
      </c>
      <c r="VB55" s="15">
        <v>0</v>
      </c>
      <c r="VC55" s="15">
        <v>0</v>
      </c>
      <c r="VD55" s="15">
        <v>0</v>
      </c>
      <c r="VE55" s="15">
        <v>0</v>
      </c>
      <c r="VF55" s="15">
        <v>0</v>
      </c>
      <c r="VG55" s="15">
        <v>0</v>
      </c>
      <c r="VH55" s="15">
        <v>0</v>
      </c>
      <c r="VI55" s="15">
        <v>0</v>
      </c>
      <c r="VJ55" s="15">
        <v>0</v>
      </c>
      <c r="VK55" s="15">
        <v>0</v>
      </c>
      <c r="VL55" s="15">
        <v>0</v>
      </c>
      <c r="VM55" s="15">
        <v>0</v>
      </c>
      <c r="VN55" s="15">
        <v>0</v>
      </c>
      <c r="VO55" s="15">
        <v>0</v>
      </c>
      <c r="VP55" s="15">
        <v>0</v>
      </c>
      <c r="VQ55" s="15">
        <v>0</v>
      </c>
      <c r="VR55" s="15">
        <v>0</v>
      </c>
      <c r="VS55" s="15">
        <v>0</v>
      </c>
      <c r="VT55" s="15">
        <v>0</v>
      </c>
      <c r="VU55" s="15">
        <v>0</v>
      </c>
      <c r="VV55" s="15">
        <v>0</v>
      </c>
      <c r="VW55" s="15">
        <v>0</v>
      </c>
      <c r="VX55" s="15">
        <v>0</v>
      </c>
      <c r="VY55" s="15">
        <v>0</v>
      </c>
      <c r="VZ55" s="15">
        <v>0</v>
      </c>
      <c r="WA55" s="15">
        <v>0</v>
      </c>
      <c r="WB55" s="15">
        <v>0</v>
      </c>
      <c r="WC55" s="15">
        <v>0</v>
      </c>
      <c r="WD55" s="15">
        <v>0</v>
      </c>
      <c r="WE55" s="15">
        <v>0</v>
      </c>
      <c r="WF55" s="15">
        <v>0</v>
      </c>
      <c r="WG55" s="15">
        <v>0</v>
      </c>
      <c r="WH55" s="15">
        <v>0</v>
      </c>
      <c r="WI55" s="15">
        <v>0</v>
      </c>
      <c r="WJ55" s="15">
        <v>0</v>
      </c>
      <c r="WK55" s="15">
        <v>0</v>
      </c>
      <c r="WL55" s="15">
        <v>0</v>
      </c>
      <c r="WM55" s="15">
        <v>0</v>
      </c>
      <c r="WN55" s="15">
        <v>0</v>
      </c>
      <c r="WO55" s="15">
        <v>0</v>
      </c>
      <c r="WP55" s="15">
        <v>0</v>
      </c>
      <c r="WQ55" s="15">
        <v>0</v>
      </c>
      <c r="WR55" s="15">
        <v>0</v>
      </c>
      <c r="WS55" s="15">
        <v>0</v>
      </c>
      <c r="WT55" s="15">
        <v>0</v>
      </c>
      <c r="WU55" s="15">
        <v>0</v>
      </c>
      <c r="WV55" s="15">
        <v>0</v>
      </c>
      <c r="WW55" s="15">
        <v>0</v>
      </c>
      <c r="WX55" s="15">
        <v>0</v>
      </c>
      <c r="WY55" s="15">
        <v>0</v>
      </c>
      <c r="WZ55" s="15">
        <v>0</v>
      </c>
      <c r="XA55" s="15">
        <v>0</v>
      </c>
      <c r="XB55" s="15">
        <v>0</v>
      </c>
      <c r="XC55" s="15">
        <v>0</v>
      </c>
      <c r="XD55" s="15">
        <v>0</v>
      </c>
      <c r="XE55" s="15">
        <v>0</v>
      </c>
      <c r="XF55" s="15">
        <v>0</v>
      </c>
      <c r="XG55" s="15">
        <v>0</v>
      </c>
      <c r="XH55" s="15">
        <v>0</v>
      </c>
      <c r="XI55" s="15">
        <v>0</v>
      </c>
      <c r="XJ55" s="15">
        <v>0</v>
      </c>
      <c r="XK55" s="15">
        <v>0</v>
      </c>
      <c r="XL55" s="15">
        <v>0</v>
      </c>
      <c r="XM55" s="15">
        <v>0</v>
      </c>
      <c r="XN55" s="15">
        <v>0</v>
      </c>
      <c r="XO55" s="15">
        <v>0</v>
      </c>
      <c r="XP55" s="15">
        <v>0</v>
      </c>
      <c r="XQ55" s="15">
        <v>0</v>
      </c>
      <c r="XR55" s="15">
        <v>0</v>
      </c>
      <c r="XS55" s="15">
        <v>0</v>
      </c>
      <c r="XT55" s="15">
        <v>0</v>
      </c>
      <c r="XU55" s="15">
        <v>0</v>
      </c>
      <c r="XV55" s="15">
        <v>0</v>
      </c>
      <c r="XW55" s="15">
        <v>0</v>
      </c>
      <c r="XX55" s="15">
        <v>0</v>
      </c>
      <c r="XY55" s="15">
        <v>0</v>
      </c>
      <c r="XZ55" s="15">
        <v>0</v>
      </c>
      <c r="YA55" s="15">
        <v>0</v>
      </c>
      <c r="YB55" s="15">
        <v>0</v>
      </c>
      <c r="YC55" s="15">
        <v>0</v>
      </c>
      <c r="YD55" s="15">
        <v>0</v>
      </c>
      <c r="YE55" s="15">
        <v>0</v>
      </c>
      <c r="YF55" s="15">
        <v>0</v>
      </c>
      <c r="YG55" s="15">
        <v>0</v>
      </c>
      <c r="YH55" s="15">
        <v>0</v>
      </c>
      <c r="YI55" s="15">
        <v>0</v>
      </c>
      <c r="YJ55" s="15">
        <v>0</v>
      </c>
      <c r="YK55" s="15">
        <v>0</v>
      </c>
      <c r="YL55" s="15">
        <v>0</v>
      </c>
      <c r="YM55" s="15">
        <v>0</v>
      </c>
      <c r="YN55" s="15">
        <v>0</v>
      </c>
      <c r="YO55" s="15">
        <v>0</v>
      </c>
      <c r="YP55" s="15">
        <v>0</v>
      </c>
      <c r="YQ55" s="15">
        <v>0</v>
      </c>
      <c r="YR55" s="15">
        <v>0</v>
      </c>
      <c r="YS55" s="15">
        <v>0</v>
      </c>
      <c r="YT55" s="15">
        <v>0</v>
      </c>
      <c r="YU55" s="15">
        <v>0</v>
      </c>
      <c r="YV55" s="15">
        <v>0</v>
      </c>
      <c r="YW55" s="15">
        <v>0</v>
      </c>
      <c r="YX55" s="15">
        <v>0</v>
      </c>
      <c r="YY55" s="15">
        <v>0</v>
      </c>
      <c r="YZ55" s="15">
        <v>0</v>
      </c>
      <c r="ZA55" s="15">
        <v>0</v>
      </c>
      <c r="ZB55" s="15">
        <v>0</v>
      </c>
      <c r="ZC55" s="15">
        <v>0</v>
      </c>
      <c r="ZD55" s="15">
        <v>0</v>
      </c>
      <c r="ZE55" s="15">
        <v>0</v>
      </c>
      <c r="ZF55" s="15">
        <v>0</v>
      </c>
      <c r="ZG55" s="15">
        <v>0</v>
      </c>
      <c r="ZH55" s="15">
        <v>0</v>
      </c>
      <c r="ZI55" s="15">
        <v>0</v>
      </c>
      <c r="ZJ55" s="15">
        <v>0</v>
      </c>
      <c r="ZK55" s="15">
        <v>0</v>
      </c>
      <c r="ZL55" s="15">
        <v>0</v>
      </c>
      <c r="ZM55" s="15">
        <v>0</v>
      </c>
      <c r="ZN55" s="15">
        <v>0</v>
      </c>
      <c r="ZO55" s="15">
        <v>0</v>
      </c>
      <c r="ZP55" s="15">
        <v>0</v>
      </c>
      <c r="ZQ55" s="15">
        <v>0</v>
      </c>
      <c r="ZR55" s="15">
        <v>0</v>
      </c>
      <c r="ZS55" s="15">
        <v>0</v>
      </c>
      <c r="ZT55" s="15">
        <v>0</v>
      </c>
      <c r="ZU55" s="15">
        <v>0</v>
      </c>
      <c r="ZV55" s="15">
        <v>0</v>
      </c>
      <c r="ZW55" s="15">
        <v>0</v>
      </c>
      <c r="ZX55" s="15">
        <v>0</v>
      </c>
      <c r="ZY55" s="15">
        <v>0</v>
      </c>
      <c r="ZZ55" s="15">
        <v>0</v>
      </c>
      <c r="AAA55" s="15">
        <v>0</v>
      </c>
      <c r="AAB55" s="15">
        <v>0</v>
      </c>
      <c r="AAC55" s="15">
        <v>0</v>
      </c>
      <c r="AAD55" s="15">
        <v>0</v>
      </c>
      <c r="AAE55" s="15">
        <v>0</v>
      </c>
      <c r="AAF55" s="15">
        <v>0</v>
      </c>
      <c r="AAG55" s="15">
        <v>0</v>
      </c>
      <c r="AAH55" s="15">
        <v>0</v>
      </c>
      <c r="AAI55" s="15">
        <v>0</v>
      </c>
      <c r="AAJ55" s="15">
        <v>0</v>
      </c>
      <c r="AAK55" s="15">
        <v>0</v>
      </c>
      <c r="AAL55" s="15"/>
      <c r="AAM55" s="15">
        <v>0</v>
      </c>
      <c r="AAN55" s="15">
        <v>0</v>
      </c>
      <c r="AAO55" s="15">
        <v>0</v>
      </c>
      <c r="AAP55" s="15">
        <v>0</v>
      </c>
      <c r="AAQ55" s="15">
        <v>0</v>
      </c>
      <c r="AAR55" s="15">
        <v>0</v>
      </c>
      <c r="AAS55" s="15">
        <v>0</v>
      </c>
      <c r="AAT55" s="15">
        <v>0</v>
      </c>
      <c r="AAU55" s="15">
        <v>0</v>
      </c>
      <c r="AAV55" s="15">
        <v>0</v>
      </c>
      <c r="AAW55" s="15">
        <v>0</v>
      </c>
      <c r="AAX55" s="15"/>
      <c r="AAY55" s="15">
        <v>0</v>
      </c>
      <c r="AAZ55" s="15">
        <v>0</v>
      </c>
      <c r="ABA55" s="15">
        <v>0</v>
      </c>
      <c r="ABB55" s="15">
        <v>0</v>
      </c>
      <c r="ABC55" s="15">
        <v>0</v>
      </c>
      <c r="ABD55" s="15">
        <v>0</v>
      </c>
      <c r="ABE55" s="15">
        <v>0</v>
      </c>
      <c r="ABF55" s="15">
        <v>0</v>
      </c>
      <c r="ABG55" s="15">
        <v>0</v>
      </c>
      <c r="ABH55" s="15">
        <v>0</v>
      </c>
      <c r="ABI55" s="15">
        <v>0</v>
      </c>
      <c r="ABJ55" s="15">
        <v>0</v>
      </c>
      <c r="ABK55" s="15">
        <v>0</v>
      </c>
      <c r="ABL55" s="15">
        <v>0</v>
      </c>
      <c r="ABM55" s="15">
        <v>0</v>
      </c>
      <c r="ABN55" s="15">
        <v>0</v>
      </c>
      <c r="ABO55" s="15">
        <v>0</v>
      </c>
      <c r="ABP55" s="15">
        <v>0</v>
      </c>
      <c r="ABQ55" s="15">
        <v>0</v>
      </c>
      <c r="ABR55" s="15">
        <v>0</v>
      </c>
      <c r="ABS55" s="15">
        <v>0</v>
      </c>
      <c r="ABT55" s="15">
        <v>0</v>
      </c>
      <c r="ABU55" s="15">
        <v>0</v>
      </c>
      <c r="ABV55" s="15">
        <v>0</v>
      </c>
      <c r="ABW55" s="15">
        <v>0</v>
      </c>
      <c r="ABX55" s="15">
        <v>0</v>
      </c>
      <c r="ABY55" s="15">
        <v>0</v>
      </c>
      <c r="ABZ55" s="15">
        <v>0</v>
      </c>
      <c r="ACA55" s="15">
        <v>0</v>
      </c>
      <c r="ACB55" s="15">
        <v>0</v>
      </c>
      <c r="ACC55" s="15">
        <v>0</v>
      </c>
      <c r="ACD55" s="15">
        <v>0</v>
      </c>
      <c r="ACE55" s="15">
        <v>0</v>
      </c>
      <c r="ACF55" s="15">
        <v>0</v>
      </c>
      <c r="ACG55" s="15">
        <v>0</v>
      </c>
      <c r="ACH55" s="15">
        <v>0</v>
      </c>
      <c r="ACI55" s="15">
        <v>0</v>
      </c>
      <c r="ACJ55" s="15">
        <v>0</v>
      </c>
      <c r="ACK55" s="15">
        <v>0</v>
      </c>
      <c r="ACL55" s="15">
        <v>0</v>
      </c>
      <c r="ACM55" s="15">
        <v>0</v>
      </c>
      <c r="ACN55" s="15">
        <v>0</v>
      </c>
      <c r="ACO55" s="15">
        <v>0</v>
      </c>
      <c r="ACP55" s="15">
        <v>0</v>
      </c>
      <c r="ACQ55" s="15">
        <v>0</v>
      </c>
      <c r="ACR55" s="15">
        <v>0</v>
      </c>
      <c r="ACS55" s="15">
        <v>0</v>
      </c>
      <c r="ACT55" s="15">
        <v>0</v>
      </c>
      <c r="ACU55" s="15">
        <v>0</v>
      </c>
      <c r="ACV55" s="15">
        <v>0</v>
      </c>
      <c r="ACW55" s="15">
        <v>0</v>
      </c>
      <c r="ACX55" s="15">
        <v>0</v>
      </c>
      <c r="ACY55" s="15">
        <v>0</v>
      </c>
      <c r="ACZ55" s="15">
        <v>0</v>
      </c>
      <c r="ADA55" s="15">
        <v>0</v>
      </c>
      <c r="ADB55" s="15">
        <v>0</v>
      </c>
      <c r="ADC55" s="15">
        <v>0</v>
      </c>
      <c r="ADD55" s="15">
        <v>0</v>
      </c>
      <c r="ADE55" s="15">
        <v>0</v>
      </c>
      <c r="ADF55" s="15">
        <v>0</v>
      </c>
      <c r="ADG55" s="15">
        <v>0</v>
      </c>
      <c r="ADH55" s="15"/>
      <c r="ADI55" s="15">
        <v>0</v>
      </c>
      <c r="ADJ55" s="15">
        <v>0</v>
      </c>
      <c r="ADK55" s="15">
        <v>0</v>
      </c>
      <c r="ADL55" s="15">
        <v>0</v>
      </c>
      <c r="ADM55" s="15">
        <v>0</v>
      </c>
      <c r="ADN55" s="15">
        <v>0</v>
      </c>
      <c r="ADO55" s="15">
        <v>0</v>
      </c>
      <c r="ADP55" s="15">
        <v>0</v>
      </c>
      <c r="ADQ55" s="15">
        <v>0</v>
      </c>
      <c r="ADR55" s="15">
        <v>0</v>
      </c>
      <c r="ADS55" s="15">
        <v>0</v>
      </c>
      <c r="ADT55" s="15">
        <v>0</v>
      </c>
      <c r="ADU55" s="15">
        <v>0</v>
      </c>
      <c r="ADV55" s="15">
        <v>0</v>
      </c>
      <c r="ADW55" s="15">
        <v>0</v>
      </c>
      <c r="ADX55" s="15">
        <v>0</v>
      </c>
      <c r="ADY55" s="15">
        <v>0</v>
      </c>
      <c r="ADZ55" s="15">
        <v>0</v>
      </c>
      <c r="AEA55" s="15">
        <v>0</v>
      </c>
      <c r="AEB55" s="15">
        <v>0</v>
      </c>
      <c r="AEC55" s="15">
        <v>0</v>
      </c>
      <c r="AED55" s="15">
        <v>0</v>
      </c>
      <c r="AEE55" s="15">
        <v>0</v>
      </c>
      <c r="AEF55" s="15">
        <v>0</v>
      </c>
      <c r="AEG55" s="15">
        <v>0</v>
      </c>
      <c r="AEH55" s="15">
        <v>0</v>
      </c>
      <c r="AEI55" s="15">
        <v>0</v>
      </c>
      <c r="AEJ55" s="15">
        <v>0</v>
      </c>
      <c r="AEK55" s="15">
        <v>0</v>
      </c>
      <c r="AEL55" s="15">
        <v>0</v>
      </c>
      <c r="AEM55" s="15">
        <v>0</v>
      </c>
      <c r="AEN55" s="15">
        <v>0</v>
      </c>
      <c r="AEO55" s="15">
        <v>0</v>
      </c>
      <c r="AEP55" s="15">
        <v>0</v>
      </c>
      <c r="AEQ55" s="15">
        <v>0</v>
      </c>
      <c r="AER55" s="15">
        <v>0</v>
      </c>
      <c r="AES55" s="15">
        <v>0</v>
      </c>
      <c r="AET55" s="15">
        <v>0</v>
      </c>
      <c r="AEU55" s="15">
        <v>0</v>
      </c>
      <c r="AEV55" s="15">
        <v>0</v>
      </c>
      <c r="AEW55" s="15">
        <v>0</v>
      </c>
      <c r="AEX55" s="15">
        <v>0</v>
      </c>
      <c r="AEY55" s="15">
        <v>0</v>
      </c>
      <c r="AEZ55" s="15">
        <v>0</v>
      </c>
      <c r="AFA55" s="15">
        <v>0</v>
      </c>
      <c r="AFB55" s="15">
        <v>0</v>
      </c>
      <c r="AFC55" s="15">
        <v>0</v>
      </c>
      <c r="AFD55" s="15">
        <v>0</v>
      </c>
      <c r="AFE55" s="15">
        <v>0</v>
      </c>
      <c r="AFF55" s="15">
        <v>0</v>
      </c>
      <c r="AFG55" s="15">
        <v>0</v>
      </c>
      <c r="AFH55" s="15">
        <v>0</v>
      </c>
      <c r="AFI55" s="15">
        <v>0</v>
      </c>
      <c r="AFJ55" s="15">
        <v>0</v>
      </c>
      <c r="AFK55" s="15">
        <v>0</v>
      </c>
      <c r="AFL55" s="15">
        <v>0</v>
      </c>
      <c r="AFM55" s="15">
        <v>0</v>
      </c>
      <c r="AFN55" s="15">
        <v>0</v>
      </c>
      <c r="AFO55" s="15">
        <v>0</v>
      </c>
      <c r="AFP55" s="15">
        <v>0</v>
      </c>
      <c r="AFQ55" s="15">
        <v>0</v>
      </c>
      <c r="AFR55" s="15"/>
      <c r="AFS55" s="15">
        <v>0</v>
      </c>
      <c r="AFT55" s="15">
        <v>0</v>
      </c>
      <c r="AFU55" s="15">
        <v>0</v>
      </c>
      <c r="AFV55" s="15">
        <v>0</v>
      </c>
      <c r="AFW55" s="15">
        <v>0</v>
      </c>
      <c r="AFX55" s="15">
        <v>0</v>
      </c>
      <c r="AFY55" s="15">
        <v>0</v>
      </c>
      <c r="AFZ55" s="15">
        <v>0</v>
      </c>
      <c r="AGA55" s="15">
        <v>0</v>
      </c>
      <c r="AGB55" s="15">
        <v>0</v>
      </c>
      <c r="AGC55" s="15">
        <v>0</v>
      </c>
      <c r="AGD55" s="15">
        <v>0</v>
      </c>
      <c r="AGE55" s="15">
        <v>0</v>
      </c>
      <c r="AGF55" s="15">
        <v>0</v>
      </c>
      <c r="AGG55" s="15">
        <v>0</v>
      </c>
      <c r="AGH55" s="15">
        <v>0</v>
      </c>
      <c r="AGI55" s="15">
        <v>0</v>
      </c>
      <c r="AGJ55" s="15">
        <v>0</v>
      </c>
      <c r="AGK55" s="15">
        <v>0</v>
      </c>
      <c r="AGL55" s="15">
        <v>0</v>
      </c>
      <c r="AGM55" s="15">
        <v>0</v>
      </c>
      <c r="AGN55" s="15">
        <v>0</v>
      </c>
      <c r="AGO55" s="15">
        <v>0</v>
      </c>
      <c r="AGP55" s="15">
        <v>0</v>
      </c>
      <c r="AGQ55" s="15">
        <v>0</v>
      </c>
      <c r="AGR55" s="15">
        <v>0</v>
      </c>
      <c r="AGS55" s="15">
        <v>0</v>
      </c>
      <c r="AGT55" s="15">
        <v>0</v>
      </c>
      <c r="AGU55" s="15">
        <v>0</v>
      </c>
      <c r="AGV55" s="15">
        <v>0</v>
      </c>
      <c r="AGW55" s="15">
        <v>0</v>
      </c>
      <c r="AGX55" s="15">
        <v>0</v>
      </c>
      <c r="AGY55" s="15">
        <v>0</v>
      </c>
      <c r="AGZ55" s="15">
        <v>0</v>
      </c>
      <c r="AHA55" s="15">
        <v>0</v>
      </c>
      <c r="AHB55" s="15">
        <v>0</v>
      </c>
      <c r="AHC55" s="15">
        <v>0</v>
      </c>
      <c r="AHD55" s="15">
        <v>0</v>
      </c>
      <c r="AHE55" s="15">
        <v>0</v>
      </c>
      <c r="AHF55" s="15">
        <v>0</v>
      </c>
      <c r="AHG55" s="15">
        <v>0</v>
      </c>
      <c r="AHH55" s="15">
        <v>0</v>
      </c>
      <c r="AHI55" s="15">
        <v>0</v>
      </c>
      <c r="AHJ55" s="15">
        <v>0</v>
      </c>
      <c r="AHK55" s="15">
        <v>0</v>
      </c>
      <c r="AHL55" s="15">
        <v>0</v>
      </c>
      <c r="AHM55" s="15">
        <v>0</v>
      </c>
      <c r="AHN55" s="15">
        <v>0</v>
      </c>
      <c r="AHO55" s="15">
        <v>0</v>
      </c>
      <c r="AHP55" s="15">
        <v>0</v>
      </c>
      <c r="AHQ55" s="15">
        <v>0</v>
      </c>
      <c r="AHR55" s="15">
        <v>0</v>
      </c>
      <c r="AHS55" s="15">
        <v>0</v>
      </c>
      <c r="AHT55" s="15">
        <v>0</v>
      </c>
      <c r="AHU55" s="15">
        <v>0</v>
      </c>
      <c r="AHV55" s="15">
        <v>0</v>
      </c>
      <c r="AHW55" s="15">
        <v>0</v>
      </c>
      <c r="AHX55" s="15">
        <v>0</v>
      </c>
      <c r="AHY55" s="15">
        <v>0</v>
      </c>
      <c r="AHZ55" s="15">
        <v>0</v>
      </c>
      <c r="AIA55" s="15">
        <v>0</v>
      </c>
      <c r="AIB55" s="15">
        <v>0</v>
      </c>
      <c r="AIC55" s="15">
        <v>0</v>
      </c>
      <c r="AID55" s="15">
        <v>0</v>
      </c>
      <c r="AIE55" s="15">
        <v>0</v>
      </c>
      <c r="AIF55" s="15">
        <v>0</v>
      </c>
      <c r="AIG55" s="15">
        <v>0</v>
      </c>
      <c r="AIH55" s="15">
        <v>0</v>
      </c>
      <c r="AII55" s="15">
        <v>0</v>
      </c>
      <c r="AIJ55" s="15">
        <v>0</v>
      </c>
      <c r="AIK55" s="15">
        <v>0</v>
      </c>
      <c r="AIL55" s="15">
        <v>0</v>
      </c>
      <c r="AIM55" s="15">
        <v>0</v>
      </c>
      <c r="AIN55" s="15">
        <v>0</v>
      </c>
      <c r="AIO55" s="15">
        <v>0</v>
      </c>
      <c r="AIP55" s="15">
        <v>0</v>
      </c>
      <c r="AIQ55" s="15">
        <v>0</v>
      </c>
      <c r="AIR55" s="15">
        <v>0</v>
      </c>
      <c r="AIS55" s="15">
        <v>0</v>
      </c>
      <c r="AIT55" s="15">
        <v>0</v>
      </c>
      <c r="AIU55" s="15">
        <v>0</v>
      </c>
      <c r="AIV55" s="15">
        <v>0</v>
      </c>
      <c r="AIW55" s="15">
        <v>0</v>
      </c>
      <c r="AIX55" s="15">
        <v>0</v>
      </c>
      <c r="AIY55" s="15">
        <v>0</v>
      </c>
      <c r="AIZ55" s="15">
        <v>0</v>
      </c>
      <c r="AJA55" s="15">
        <v>0</v>
      </c>
      <c r="AJB55" s="15">
        <v>0</v>
      </c>
      <c r="AJC55" s="15">
        <v>0</v>
      </c>
      <c r="AJD55" s="15">
        <v>0</v>
      </c>
      <c r="AJE55" s="15">
        <v>0</v>
      </c>
      <c r="AJF55" s="15"/>
      <c r="AJG55" s="15">
        <v>0</v>
      </c>
      <c r="AJH55" s="15">
        <v>0</v>
      </c>
      <c r="AJI55" s="15">
        <v>0</v>
      </c>
      <c r="AJJ55" s="15">
        <v>0</v>
      </c>
      <c r="AJK55" s="15">
        <v>0</v>
      </c>
      <c r="AJL55" s="15">
        <v>0</v>
      </c>
      <c r="AJM55" s="15">
        <v>0</v>
      </c>
      <c r="AJN55" s="15"/>
      <c r="AJO55" s="15">
        <v>0</v>
      </c>
      <c r="AJP55" s="15">
        <v>0</v>
      </c>
      <c r="AJQ55" s="15">
        <v>0.1</v>
      </c>
      <c r="AJR55" s="15">
        <v>0.1</v>
      </c>
      <c r="AJS55" s="15">
        <v>0.1</v>
      </c>
      <c r="AJT55" s="15">
        <v>0.1</v>
      </c>
      <c r="AJU55" s="15">
        <v>0.1</v>
      </c>
      <c r="AJV55" s="15">
        <v>0.1</v>
      </c>
      <c r="AJW55" s="15">
        <v>0.2</v>
      </c>
      <c r="AJX55" s="15"/>
      <c r="AJY55" s="15">
        <v>0</v>
      </c>
      <c r="AJZ55" s="15">
        <v>0</v>
      </c>
      <c r="AKA55" s="15">
        <v>0.1</v>
      </c>
      <c r="AKB55" s="15">
        <v>0.1</v>
      </c>
      <c r="AKC55" s="15">
        <v>0.1</v>
      </c>
      <c r="AKD55" s="15">
        <v>0.1</v>
      </c>
      <c r="AKE55" s="15">
        <v>0.1</v>
      </c>
      <c r="AKF55" s="15">
        <v>0.1</v>
      </c>
      <c r="AKG55" s="15">
        <v>0.1</v>
      </c>
      <c r="AKH55" s="15">
        <v>0.1</v>
      </c>
      <c r="AKI55" s="15"/>
      <c r="AKJ55" s="15">
        <v>0</v>
      </c>
      <c r="AKK55" s="15">
        <v>0</v>
      </c>
      <c r="AKL55" s="15">
        <v>0</v>
      </c>
      <c r="AKM55" s="15">
        <v>0</v>
      </c>
      <c r="AKN55" s="15">
        <v>0</v>
      </c>
      <c r="AKO55" s="15">
        <v>0</v>
      </c>
      <c r="AKP55" s="15">
        <v>0</v>
      </c>
      <c r="AKQ55" s="15">
        <v>0</v>
      </c>
      <c r="AKR55" s="15">
        <v>0</v>
      </c>
      <c r="AKS55" s="15">
        <v>0</v>
      </c>
      <c r="AKT55" s="15">
        <v>0</v>
      </c>
      <c r="AKU55" s="15">
        <v>0</v>
      </c>
      <c r="AKV55" s="15">
        <v>0</v>
      </c>
      <c r="AKW55" s="15">
        <v>0</v>
      </c>
      <c r="AKX55" s="15"/>
      <c r="AKY55" s="15">
        <v>0</v>
      </c>
      <c r="AKZ55" s="15">
        <v>0</v>
      </c>
      <c r="ALA55" s="15">
        <v>0</v>
      </c>
      <c r="ALB55" s="15">
        <v>0</v>
      </c>
      <c r="ALC55" s="15">
        <v>0</v>
      </c>
      <c r="ALD55" s="15">
        <v>0</v>
      </c>
      <c r="ALE55" s="15">
        <v>0</v>
      </c>
      <c r="ALF55" s="15">
        <v>0</v>
      </c>
      <c r="ALG55" s="15">
        <v>0</v>
      </c>
      <c r="ALH55" s="15">
        <v>0.1</v>
      </c>
      <c r="ALI55" s="15">
        <v>0.1</v>
      </c>
      <c r="ALJ55" s="15">
        <v>0.1</v>
      </c>
      <c r="ALK55" s="15">
        <v>0.1</v>
      </c>
      <c r="ALL55" s="15">
        <v>0.1</v>
      </c>
      <c r="ALM55" s="15"/>
      <c r="ALN55" s="15">
        <v>0</v>
      </c>
      <c r="ALO55" s="15">
        <v>0</v>
      </c>
      <c r="ALP55" s="15">
        <v>0</v>
      </c>
      <c r="ALQ55" s="15">
        <v>0</v>
      </c>
      <c r="ALR55" s="15">
        <v>0</v>
      </c>
      <c r="ALS55" s="15">
        <v>0</v>
      </c>
      <c r="ALT55" s="15">
        <v>0</v>
      </c>
      <c r="ALU55" s="15">
        <v>0</v>
      </c>
      <c r="ALV55" s="15">
        <v>0</v>
      </c>
      <c r="ALW55" s="15">
        <v>0</v>
      </c>
      <c r="ALX55" s="15">
        <v>-1000</v>
      </c>
      <c r="ALY55" s="15">
        <v>0.1</v>
      </c>
      <c r="ALZ55" s="15">
        <v>0.1</v>
      </c>
      <c r="AMA55" s="15">
        <v>0.1</v>
      </c>
      <c r="AMB55" s="15">
        <v>0.1</v>
      </c>
      <c r="AMC55" s="15"/>
      <c r="AMD55" s="15">
        <v>0</v>
      </c>
      <c r="AME55" s="15">
        <v>0</v>
      </c>
      <c r="AMF55" s="15">
        <v>0</v>
      </c>
      <c r="AMG55" s="15">
        <v>0</v>
      </c>
      <c r="AMH55" s="15">
        <v>0</v>
      </c>
      <c r="AMI55" s="15">
        <v>0</v>
      </c>
      <c r="AMJ55" s="15">
        <v>0</v>
      </c>
      <c r="AMK55" s="15">
        <v>0</v>
      </c>
      <c r="AML55" s="15">
        <v>0</v>
      </c>
      <c r="AMM55" s="15">
        <v>0</v>
      </c>
      <c r="AMN55" s="15">
        <v>0</v>
      </c>
      <c r="AMO55" s="32">
        <v>0.1</v>
      </c>
      <c r="AMP55" s="32">
        <v>0.1</v>
      </c>
      <c r="AMQ55" s="32">
        <v>500</v>
      </c>
      <c r="AMR55" s="32">
        <v>0.2</v>
      </c>
      <c r="AMS55" s="32">
        <v>2</v>
      </c>
      <c r="AMT55" s="32">
        <v>2</v>
      </c>
      <c r="AMU55" s="32">
        <v>0</v>
      </c>
      <c r="AMV55" s="32">
        <v>0</v>
      </c>
      <c r="AMW55" s="32">
        <v>100</v>
      </c>
      <c r="AMX55" s="32">
        <v>0</v>
      </c>
      <c r="AMY55" s="32">
        <v>0</v>
      </c>
      <c r="AMZ55" s="32">
        <v>0</v>
      </c>
      <c r="ANA55" s="32">
        <v>0</v>
      </c>
      <c r="ANB55" s="32">
        <v>0</v>
      </c>
      <c r="ANC55" s="32">
        <v>0</v>
      </c>
      <c r="AND55" s="32">
        <v>0</v>
      </c>
      <c r="ANE55" s="15"/>
      <c r="ANF55" s="15"/>
      <c r="ANG55" s="15"/>
      <c r="ANH55" s="15"/>
      <c r="ANI55" s="15"/>
      <c r="ANJ55" s="15"/>
      <c r="ANK55" s="15"/>
      <c r="ANL55" s="15"/>
      <c r="ANM55" s="15"/>
      <c r="ANN55" s="15"/>
      <c r="ANO55" s="15"/>
      <c r="ANP55" s="15"/>
      <c r="ANQ55" s="15"/>
      <c r="ANR55" s="15"/>
      <c r="ANS55" s="15"/>
      <c r="ANT55" s="15"/>
      <c r="ANU55" s="15"/>
      <c r="ANV55" s="15"/>
      <c r="ANW55" s="15"/>
      <c r="ANX55" s="15"/>
      <c r="ANY55" s="15"/>
      <c r="ANZ55" s="15"/>
      <c r="AOA55" s="15"/>
      <c r="AOB55" s="15"/>
      <c r="AOC55" s="15"/>
      <c r="AOD55" s="15"/>
      <c r="AOE55" s="15"/>
      <c r="AOF55" s="15"/>
      <c r="AOG55" s="15"/>
      <c r="AOH55" s="15"/>
      <c r="AOI55" s="15"/>
      <c r="AOJ55" s="15"/>
      <c r="AOK55" s="15"/>
      <c r="AOL55" s="15"/>
      <c r="AOM55" s="15"/>
      <c r="AON55" s="15"/>
      <c r="AOO55" s="15"/>
      <c r="AOP55" s="15"/>
      <c r="AOQ55" s="15"/>
      <c r="AOR55" s="15"/>
      <c r="AOS55" s="15"/>
      <c r="AOT55" s="15"/>
      <c r="AOU55" s="15"/>
      <c r="AOV55" s="15"/>
      <c r="AOW55" s="15"/>
      <c r="AOX55" s="15"/>
      <c r="AOY55" s="15"/>
      <c r="AOZ55" s="15"/>
      <c r="APA55" s="15"/>
      <c r="APB55" s="15"/>
      <c r="APC55" s="15"/>
      <c r="APD55" s="15"/>
      <c r="APE55" s="15"/>
      <c r="APF55" s="15"/>
      <c r="APG55" s="15"/>
      <c r="APH55" s="15"/>
      <c r="API55" s="15"/>
      <c r="APJ55" s="15"/>
      <c r="APK55" s="15"/>
      <c r="APL55" s="15"/>
      <c r="APM55" s="15"/>
      <c r="APN55" s="15"/>
      <c r="APO55" s="15"/>
      <c r="APP55" s="15"/>
      <c r="APQ55" s="15"/>
      <c r="APR55" s="15"/>
      <c r="APS55" s="15"/>
      <c r="APT55" s="15"/>
      <c r="APU55" s="15"/>
      <c r="APV55" s="15"/>
      <c r="APW55" s="15"/>
      <c r="APX55" s="15"/>
      <c r="APY55" s="15"/>
      <c r="APZ55" s="15"/>
      <c r="AQA55" s="15"/>
      <c r="AQB55" s="15"/>
    </row>
    <row r="56" spans="1:1120" s="17" customFormat="1" ht="15" customHeight="1" x14ac:dyDescent="0.25">
      <c r="A56" s="3" t="s">
        <v>740</v>
      </c>
      <c r="B56" s="15" t="s">
        <v>646</v>
      </c>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15"/>
      <c r="AK56" s="15"/>
      <c r="AL56" s="15"/>
      <c r="AM56" s="15"/>
      <c r="AN56" s="15"/>
      <c r="AO56" s="15"/>
      <c r="AP56" s="15"/>
      <c r="AQ56" s="15"/>
      <c r="AR56" s="15"/>
      <c r="AS56" s="15"/>
      <c r="AT56" s="15"/>
      <c r="AU56" s="15"/>
      <c r="AV56" s="15"/>
      <c r="AW56" s="15"/>
      <c r="AX56" s="15"/>
      <c r="AY56" s="15"/>
      <c r="AZ56" s="15"/>
      <c r="BA56" s="15"/>
      <c r="BB56" s="15"/>
      <c r="BC56" s="15"/>
      <c r="BD56" s="15"/>
      <c r="BE56" s="15"/>
      <c r="BF56" s="15"/>
      <c r="BG56" s="15"/>
      <c r="BH56" s="15"/>
      <c r="BI56" s="15"/>
      <c r="BJ56" s="15"/>
      <c r="BK56" s="15"/>
      <c r="BL56" s="15"/>
      <c r="BM56" s="15"/>
      <c r="BN56" s="15"/>
      <c r="BO56" s="15"/>
      <c r="BP56" s="15"/>
      <c r="BQ56" s="15"/>
      <c r="BR56" s="15"/>
      <c r="BS56" s="15"/>
      <c r="BT56" s="15"/>
      <c r="BU56" s="15"/>
      <c r="BV56" s="15"/>
      <c r="BW56" s="15"/>
      <c r="BX56" s="15"/>
      <c r="BY56" s="15"/>
      <c r="BZ56" s="15"/>
      <c r="CA56" s="15"/>
      <c r="CB56" s="15"/>
      <c r="CC56" s="15"/>
      <c r="CD56" s="15"/>
      <c r="CE56" s="15"/>
      <c r="CF56" s="15"/>
      <c r="CG56" s="15"/>
      <c r="CH56" s="15"/>
      <c r="CI56" s="15"/>
      <c r="CJ56" s="15"/>
      <c r="CK56" s="15"/>
      <c r="CL56" s="15"/>
      <c r="CM56" s="15"/>
      <c r="CN56" s="15"/>
      <c r="CO56" s="15"/>
      <c r="CP56" s="15"/>
      <c r="CQ56" s="15"/>
      <c r="CR56" s="15"/>
      <c r="CS56" s="15"/>
      <c r="CT56" s="15"/>
      <c r="CU56" s="15"/>
      <c r="CV56" s="15"/>
      <c r="CW56" s="15"/>
      <c r="CX56" s="15"/>
      <c r="CY56" s="15"/>
      <c r="CZ56" s="15"/>
      <c r="DA56" s="15"/>
      <c r="DB56" s="15"/>
      <c r="DC56" s="15"/>
      <c r="DD56" s="15"/>
      <c r="DE56" s="15"/>
      <c r="DF56" s="15"/>
      <c r="DG56" s="15"/>
      <c r="DH56" s="15"/>
      <c r="DI56" s="15"/>
      <c r="DJ56" s="15"/>
      <c r="DK56" s="15"/>
      <c r="DL56" s="15"/>
      <c r="DM56" s="15"/>
      <c r="DN56" s="15"/>
      <c r="DO56" s="15"/>
      <c r="DP56" s="15"/>
      <c r="DQ56" s="15"/>
      <c r="DR56" s="15"/>
      <c r="DS56" s="15"/>
      <c r="DT56" s="15"/>
      <c r="DU56" s="15"/>
      <c r="DV56" s="15"/>
      <c r="DW56" s="15"/>
      <c r="DX56" s="15"/>
      <c r="DY56" s="15"/>
      <c r="DZ56" s="15"/>
      <c r="EA56" s="15"/>
      <c r="EB56" s="15"/>
      <c r="EC56" s="15"/>
      <c r="ED56" s="15"/>
      <c r="EE56" s="15"/>
      <c r="EF56" s="15"/>
      <c r="EG56" s="15"/>
      <c r="EH56" s="15"/>
      <c r="EI56" s="15"/>
      <c r="EJ56" s="15"/>
      <c r="EK56" s="15"/>
      <c r="EL56" s="15"/>
      <c r="EM56" s="15"/>
      <c r="EN56" s="15"/>
      <c r="EO56" s="15"/>
      <c r="EP56" s="15"/>
      <c r="EQ56" s="15"/>
      <c r="ER56" s="15"/>
      <c r="ES56" s="15"/>
      <c r="ET56" s="15"/>
      <c r="EU56" s="15"/>
      <c r="EV56" s="15"/>
      <c r="EW56" s="15"/>
      <c r="EX56" s="15"/>
      <c r="EY56" s="15"/>
      <c r="EZ56" s="15"/>
      <c r="FA56" s="15"/>
      <c r="FB56" s="15"/>
      <c r="FC56" s="15"/>
      <c r="FD56" s="15"/>
      <c r="FE56" s="15"/>
      <c r="FF56" s="15"/>
      <c r="FG56" s="15"/>
      <c r="FH56" s="15"/>
      <c r="FI56" s="15"/>
      <c r="FJ56" s="15"/>
      <c r="FK56" s="15"/>
      <c r="FL56" s="15"/>
      <c r="FM56" s="15"/>
      <c r="FN56" s="15"/>
      <c r="FO56" s="15"/>
      <c r="FP56" s="15"/>
      <c r="FQ56" s="15"/>
      <c r="FR56" s="15"/>
      <c r="FS56" s="15"/>
      <c r="FT56" s="15"/>
      <c r="FU56" s="15"/>
      <c r="FV56" s="15"/>
      <c r="FW56" s="15"/>
      <c r="FX56" s="15"/>
      <c r="FY56" s="15"/>
      <c r="FZ56" s="15"/>
      <c r="GA56" s="15"/>
      <c r="GB56" s="15"/>
      <c r="GC56" s="15"/>
      <c r="GD56" s="15"/>
      <c r="GE56" s="15"/>
      <c r="GF56" s="15"/>
      <c r="GG56" s="15"/>
      <c r="GH56" s="15"/>
      <c r="GI56" s="15"/>
      <c r="GJ56" s="15"/>
      <c r="GK56" s="15"/>
      <c r="GL56" s="15"/>
      <c r="GM56" s="15"/>
      <c r="GN56" s="15"/>
      <c r="GO56" s="15"/>
      <c r="GP56" s="15"/>
      <c r="GQ56" s="15"/>
      <c r="GR56" s="15"/>
      <c r="GS56" s="15"/>
      <c r="GT56" s="15"/>
      <c r="GU56" s="15"/>
      <c r="GV56" s="15"/>
      <c r="GW56" s="15"/>
      <c r="GX56" s="15"/>
      <c r="GY56" s="15"/>
      <c r="GZ56" s="15"/>
      <c r="HA56" s="15"/>
      <c r="HB56" s="15"/>
      <c r="HC56" s="15"/>
      <c r="HD56" s="15"/>
      <c r="HE56" s="15"/>
      <c r="HF56" s="15"/>
      <c r="HG56" s="15"/>
      <c r="HH56" s="15"/>
      <c r="HI56" s="15"/>
      <c r="HJ56" s="15"/>
      <c r="HK56" s="15"/>
      <c r="HL56" s="15"/>
      <c r="HM56" s="15"/>
      <c r="HN56" s="15"/>
      <c r="HO56" s="15"/>
      <c r="HP56" s="15"/>
      <c r="HQ56" s="15"/>
      <c r="HR56" s="15"/>
      <c r="HS56" s="15"/>
      <c r="HT56" s="15"/>
      <c r="HU56" s="15"/>
      <c r="HV56" s="15"/>
      <c r="HW56" s="15"/>
      <c r="HX56" s="15"/>
      <c r="HY56" s="15"/>
      <c r="HZ56" s="15"/>
      <c r="IA56" s="15"/>
      <c r="IB56" s="15"/>
      <c r="IC56" s="15"/>
      <c r="ID56" s="15"/>
      <c r="IE56" s="15"/>
      <c r="IF56" s="15"/>
      <c r="IG56" s="15"/>
      <c r="IH56" s="15"/>
      <c r="II56" s="15"/>
      <c r="IJ56" s="15"/>
      <c r="IK56" s="15"/>
      <c r="IL56" s="15"/>
      <c r="IM56" s="15"/>
      <c r="IN56" s="15"/>
      <c r="IO56" s="15"/>
      <c r="IP56" s="15"/>
      <c r="IQ56" s="15"/>
      <c r="IR56" s="15"/>
      <c r="IS56" s="20"/>
      <c r="IT56" s="20"/>
      <c r="IU56" s="20"/>
      <c r="IV56" s="20"/>
      <c r="IW56" s="20"/>
      <c r="IX56" s="20"/>
      <c r="IY56" s="20"/>
      <c r="IZ56" s="20"/>
      <c r="JA56" s="20"/>
      <c r="JB56" s="20"/>
      <c r="JC56" s="20"/>
      <c r="JD56" s="20"/>
      <c r="JE56" s="20"/>
      <c r="JF56" s="20"/>
      <c r="JG56" s="20"/>
      <c r="JH56" s="15"/>
      <c r="JI56" s="15"/>
      <c r="JJ56" s="15"/>
      <c r="JK56" s="15"/>
      <c r="JL56" s="15"/>
      <c r="JM56" s="15"/>
      <c r="JN56" s="15"/>
      <c r="JO56" s="15"/>
      <c r="JP56" s="15"/>
      <c r="JQ56" s="15"/>
      <c r="JR56" s="15"/>
      <c r="JS56" s="15"/>
      <c r="JT56" s="15"/>
      <c r="JU56" s="15"/>
      <c r="JV56" s="15"/>
      <c r="JW56" s="15"/>
      <c r="JX56" s="15"/>
      <c r="JY56" s="15"/>
      <c r="JZ56" s="15"/>
      <c r="KA56" s="15"/>
      <c r="KB56" s="15"/>
      <c r="KC56" s="15"/>
      <c r="KD56" s="15"/>
      <c r="KE56" s="15"/>
      <c r="KF56" s="15"/>
      <c r="KG56" s="15"/>
      <c r="KH56" s="15"/>
      <c r="KI56" s="15"/>
      <c r="KJ56" s="15"/>
      <c r="KK56" s="15"/>
      <c r="KL56" s="15"/>
      <c r="KM56" s="15"/>
      <c r="KN56" s="15"/>
      <c r="KO56" s="15"/>
      <c r="KP56" s="15"/>
      <c r="KQ56" s="15"/>
      <c r="KR56" s="15"/>
      <c r="KS56" s="15"/>
      <c r="KT56" s="15"/>
      <c r="KU56" s="15"/>
      <c r="KV56" s="15"/>
      <c r="KW56" s="15"/>
      <c r="KX56" s="15"/>
      <c r="KY56" s="15"/>
      <c r="KZ56" s="15"/>
      <c r="LA56" s="15"/>
      <c r="LB56" s="15"/>
      <c r="LC56" s="15"/>
      <c r="LD56" s="15"/>
      <c r="LE56" s="15"/>
      <c r="LF56" s="15"/>
      <c r="LG56" s="15"/>
      <c r="LH56" s="15"/>
      <c r="LI56" s="15"/>
      <c r="LJ56" s="15"/>
      <c r="LK56" s="15"/>
      <c r="LL56" s="15"/>
      <c r="LM56" s="15"/>
      <c r="LN56" s="15"/>
      <c r="LO56" s="15"/>
      <c r="LP56" s="15"/>
      <c r="LQ56" s="15"/>
      <c r="LR56" s="15"/>
      <c r="LS56" s="15"/>
      <c r="LT56" s="15"/>
      <c r="LU56" s="15"/>
      <c r="LV56" s="15"/>
      <c r="LW56" s="15"/>
      <c r="LX56" s="15"/>
      <c r="LY56" s="15"/>
      <c r="LZ56" s="15"/>
      <c r="MA56" s="15"/>
      <c r="MB56" s="15"/>
      <c r="MC56" s="15"/>
      <c r="MD56" s="15"/>
      <c r="ME56" s="15"/>
      <c r="MF56" s="15"/>
      <c r="MG56" s="15"/>
      <c r="MH56" s="15"/>
      <c r="MI56" s="15"/>
      <c r="MJ56" s="15"/>
      <c r="MK56" s="15"/>
      <c r="ML56" s="15"/>
      <c r="MM56" s="15"/>
      <c r="MN56" s="15"/>
      <c r="MO56" s="15"/>
      <c r="MP56" s="15"/>
      <c r="MQ56" s="15"/>
      <c r="MR56" s="15"/>
      <c r="MS56" s="15"/>
      <c r="MT56" s="15"/>
      <c r="MU56" s="15"/>
      <c r="MV56" s="15"/>
      <c r="MW56" s="15"/>
      <c r="MX56" s="15"/>
      <c r="MY56" s="15"/>
      <c r="MZ56" s="15"/>
      <c r="NA56" s="15"/>
      <c r="NB56" s="15"/>
      <c r="NC56" s="15"/>
      <c r="ND56" s="15"/>
      <c r="NE56" s="15"/>
      <c r="NF56" s="15"/>
      <c r="NG56" s="15"/>
      <c r="NH56" s="15"/>
      <c r="NI56" s="15"/>
      <c r="NJ56" s="15"/>
      <c r="NK56" s="15"/>
      <c r="NL56" s="15"/>
      <c r="NM56" s="15"/>
      <c r="NN56" s="15"/>
      <c r="NO56" s="20"/>
      <c r="NP56" s="15"/>
      <c r="NQ56" s="15"/>
      <c r="NR56" s="15"/>
      <c r="NS56" s="15"/>
      <c r="NT56" s="15"/>
      <c r="NU56" s="15"/>
      <c r="NV56" s="15"/>
      <c r="NW56" s="15"/>
      <c r="NX56" s="15"/>
      <c r="NY56" s="15"/>
      <c r="NZ56" s="15"/>
      <c r="OA56" s="15"/>
      <c r="OB56" s="15"/>
      <c r="OC56" s="15"/>
      <c r="OD56" s="15"/>
      <c r="OE56" s="15"/>
      <c r="OF56" s="15"/>
      <c r="OG56" s="15"/>
      <c r="OH56" s="15"/>
      <c r="OI56" s="15"/>
      <c r="OJ56" s="15"/>
      <c r="OK56" s="15"/>
      <c r="OL56" s="15"/>
      <c r="OM56" s="15"/>
      <c r="ON56" s="15"/>
      <c r="OO56" s="15"/>
      <c r="OP56" s="15"/>
      <c r="OQ56" s="15"/>
      <c r="OR56" s="15"/>
      <c r="OS56" s="15"/>
      <c r="OT56" s="15"/>
      <c r="OU56" s="15"/>
      <c r="OV56" s="15"/>
      <c r="OW56" s="15"/>
      <c r="OX56" s="15"/>
      <c r="OY56" s="15"/>
      <c r="OZ56" s="15"/>
      <c r="PA56" s="15"/>
      <c r="PB56" s="15"/>
      <c r="PC56" s="15"/>
      <c r="PD56" s="15"/>
      <c r="PE56" s="15"/>
      <c r="PF56" s="15"/>
      <c r="PG56" s="15"/>
      <c r="PH56" s="15"/>
      <c r="PI56" s="15"/>
      <c r="PJ56" s="15"/>
      <c r="PK56" s="15"/>
      <c r="PL56" s="15"/>
      <c r="PM56" s="15"/>
      <c r="PN56" s="15"/>
      <c r="PO56" s="15"/>
      <c r="PP56" s="15"/>
      <c r="PQ56" s="15"/>
      <c r="PR56" s="15"/>
      <c r="PS56" s="15"/>
      <c r="PT56" s="15"/>
      <c r="PU56" s="15"/>
      <c r="PV56" s="15"/>
      <c r="PW56" s="20"/>
      <c r="PX56" s="20"/>
      <c r="PY56" s="20"/>
      <c r="PZ56" s="15"/>
      <c r="QA56" s="20"/>
      <c r="QB56" s="20"/>
      <c r="QC56" s="20"/>
      <c r="QD56" s="15"/>
      <c r="QE56" s="15"/>
      <c r="QF56" s="15"/>
      <c r="QG56" s="15"/>
      <c r="QH56" s="15"/>
      <c r="QI56" s="15"/>
      <c r="QJ56" s="15"/>
      <c r="QK56" s="15"/>
      <c r="QL56" s="15"/>
      <c r="QM56" s="15"/>
      <c r="QN56" s="15"/>
      <c r="QO56" s="15"/>
      <c r="QP56" s="15"/>
      <c r="QQ56" s="15"/>
      <c r="QR56" s="15"/>
      <c r="QS56" s="15"/>
      <c r="QT56" s="15"/>
      <c r="QU56" s="15"/>
      <c r="QV56" s="15"/>
      <c r="QW56" s="15"/>
      <c r="QX56" s="15"/>
      <c r="QY56" s="15"/>
      <c r="QZ56" s="15"/>
      <c r="RA56" s="15"/>
      <c r="RB56" s="15"/>
      <c r="RC56" s="15"/>
      <c r="RD56" s="15"/>
      <c r="RE56" s="15"/>
      <c r="RF56" s="15"/>
      <c r="RG56" s="15"/>
      <c r="RH56" s="15"/>
      <c r="RI56" s="15"/>
      <c r="RJ56" s="15"/>
      <c r="RK56" s="15"/>
      <c r="RL56" s="15"/>
      <c r="RM56" s="15"/>
      <c r="RN56" s="15"/>
      <c r="RO56" s="15"/>
      <c r="RP56" s="15"/>
      <c r="RQ56" s="15"/>
      <c r="RR56" s="15"/>
      <c r="RS56" s="15"/>
      <c r="RT56" s="15"/>
      <c r="RU56" s="15"/>
      <c r="RV56" s="15"/>
      <c r="RW56" s="15"/>
      <c r="RX56" s="15"/>
      <c r="RY56" s="15"/>
      <c r="RZ56" s="15"/>
      <c r="SA56" s="15"/>
      <c r="SB56" s="15"/>
      <c r="SC56" s="15"/>
      <c r="SD56" s="15"/>
      <c r="SE56" s="15"/>
      <c r="SF56" s="15"/>
      <c r="SG56" s="15"/>
      <c r="SH56" s="15"/>
      <c r="SI56" s="15"/>
      <c r="SJ56" s="15"/>
      <c r="SK56" s="15"/>
      <c r="SL56" s="15"/>
      <c r="SM56" s="15"/>
      <c r="SN56" s="15"/>
      <c r="SO56" s="15"/>
      <c r="SP56" s="15"/>
      <c r="SQ56" s="15"/>
      <c r="SR56" s="15"/>
      <c r="SS56" s="15"/>
      <c r="ST56" s="15"/>
      <c r="SU56" s="15"/>
      <c r="SV56" s="15"/>
      <c r="SW56" s="15"/>
      <c r="SX56" s="15"/>
      <c r="SY56" s="15"/>
      <c r="SZ56" s="15"/>
      <c r="TA56" s="15"/>
      <c r="TB56" s="15"/>
      <c r="TC56" s="15"/>
      <c r="TD56" s="15"/>
      <c r="TE56" s="15"/>
      <c r="TF56" s="15"/>
      <c r="TG56" s="15"/>
      <c r="TH56" s="15"/>
      <c r="TI56" s="15"/>
      <c r="TJ56" s="15"/>
      <c r="TK56" s="15"/>
      <c r="TL56" s="15"/>
      <c r="TM56" s="15"/>
      <c r="TN56" s="15"/>
      <c r="TO56" s="15"/>
      <c r="TP56" s="15"/>
      <c r="TQ56" s="15"/>
      <c r="TR56" s="15"/>
      <c r="TS56" s="15"/>
      <c r="TT56" s="15"/>
      <c r="TU56" s="15"/>
      <c r="TV56" s="15"/>
      <c r="TW56" s="15"/>
      <c r="TX56" s="15"/>
      <c r="TY56" s="15"/>
      <c r="TZ56" s="15"/>
      <c r="UA56" s="15"/>
      <c r="UB56" s="15"/>
      <c r="UC56" s="15"/>
      <c r="UD56" s="15"/>
      <c r="UE56" s="20"/>
      <c r="UF56" s="20"/>
      <c r="UG56" s="20"/>
      <c r="UH56" s="15"/>
      <c r="UI56" s="20"/>
      <c r="UJ56" s="20"/>
      <c r="UK56" s="20"/>
      <c r="UL56" s="15"/>
      <c r="UM56" s="15"/>
      <c r="UN56" s="15"/>
      <c r="UO56" s="15"/>
      <c r="UP56" s="15"/>
      <c r="UQ56" s="15"/>
      <c r="UR56" s="15"/>
      <c r="US56" s="15"/>
      <c r="UT56" s="15"/>
      <c r="UU56" s="15"/>
      <c r="UV56" s="15"/>
      <c r="UW56" s="15"/>
      <c r="UX56" s="15"/>
      <c r="UY56" s="15"/>
      <c r="UZ56" s="15"/>
      <c r="VA56" s="15"/>
      <c r="VB56" s="15"/>
      <c r="VC56" s="15"/>
      <c r="VD56" s="15"/>
      <c r="VE56" s="15"/>
      <c r="VF56" s="15"/>
      <c r="VG56" s="15"/>
      <c r="VH56" s="15"/>
      <c r="VI56" s="15"/>
      <c r="VJ56" s="15"/>
      <c r="VK56" s="15"/>
      <c r="VL56" s="15"/>
      <c r="VM56" s="15"/>
      <c r="VN56" s="15"/>
      <c r="VO56" s="15"/>
      <c r="VP56" s="15"/>
      <c r="VQ56" s="15"/>
      <c r="VR56" s="15"/>
      <c r="VS56" s="15"/>
      <c r="VT56" s="15"/>
      <c r="VU56" s="15"/>
      <c r="VV56" s="15"/>
      <c r="VW56" s="15"/>
      <c r="VX56" s="15"/>
      <c r="VY56" s="15"/>
      <c r="VZ56" s="15"/>
      <c r="WA56" s="15"/>
      <c r="WB56" s="15"/>
      <c r="WC56" s="15"/>
      <c r="WD56" s="15"/>
      <c r="WE56" s="15"/>
      <c r="WF56" s="15"/>
      <c r="WG56" s="15"/>
      <c r="WH56" s="15"/>
      <c r="WI56" s="15"/>
      <c r="WJ56" s="15"/>
      <c r="WK56" s="15"/>
      <c r="WL56" s="15"/>
      <c r="WM56" s="15"/>
      <c r="WN56" s="15"/>
      <c r="WO56" s="15"/>
      <c r="WP56" s="15"/>
      <c r="WQ56" s="15"/>
      <c r="WR56" s="15"/>
      <c r="WS56" s="15"/>
      <c r="WT56" s="15"/>
      <c r="WU56" s="15"/>
      <c r="WV56" s="15"/>
      <c r="WW56" s="15"/>
      <c r="WX56" s="15"/>
      <c r="WY56" s="15"/>
      <c r="WZ56" s="15"/>
      <c r="XA56" s="15"/>
      <c r="XB56" s="15"/>
      <c r="XC56" s="15"/>
      <c r="XD56" s="15"/>
      <c r="XE56" s="15"/>
      <c r="XF56" s="15"/>
      <c r="XG56" s="15"/>
      <c r="XH56" s="15"/>
      <c r="XI56" s="15"/>
      <c r="XJ56" s="15"/>
      <c r="XK56" s="15"/>
      <c r="XL56" s="15"/>
      <c r="XM56" s="15"/>
      <c r="XN56" s="15"/>
      <c r="XO56" s="15"/>
      <c r="XP56" s="15"/>
      <c r="XQ56" s="15"/>
      <c r="XR56" s="15"/>
      <c r="XS56" s="15"/>
      <c r="XT56" s="15"/>
      <c r="XU56" s="15"/>
      <c r="XV56" s="15"/>
      <c r="XW56" s="15"/>
      <c r="XX56" s="15"/>
      <c r="XY56" s="15"/>
      <c r="XZ56" s="15"/>
      <c r="YA56" s="15"/>
      <c r="YB56" s="15"/>
      <c r="YC56" s="15"/>
      <c r="YD56" s="15"/>
      <c r="YE56" s="15"/>
      <c r="YF56" s="15"/>
      <c r="YG56" s="15"/>
      <c r="YH56" s="15"/>
      <c r="YI56" s="15"/>
      <c r="YJ56" s="15"/>
      <c r="YK56" s="15"/>
      <c r="YL56" s="15"/>
      <c r="YM56" s="15"/>
      <c r="YN56" s="15"/>
      <c r="YO56" s="15"/>
      <c r="YP56" s="15"/>
      <c r="YQ56" s="15"/>
      <c r="YR56" s="15"/>
      <c r="YS56" s="15"/>
      <c r="YT56" s="15"/>
      <c r="YU56" s="15"/>
      <c r="YV56" s="15"/>
      <c r="YW56" s="15"/>
      <c r="YX56" s="15"/>
      <c r="YY56" s="15"/>
      <c r="YZ56" s="15"/>
      <c r="ZA56" s="15"/>
      <c r="ZB56" s="15"/>
      <c r="ZC56" s="15"/>
      <c r="ZD56" s="15"/>
      <c r="ZE56" s="15"/>
      <c r="ZF56" s="15"/>
      <c r="ZG56" s="15"/>
      <c r="ZH56" s="15"/>
      <c r="ZI56" s="15"/>
      <c r="ZJ56" s="15"/>
      <c r="ZK56" s="15"/>
      <c r="ZL56" s="15"/>
      <c r="ZM56" s="15"/>
      <c r="ZN56" s="15"/>
      <c r="ZO56" s="15"/>
      <c r="ZP56" s="15"/>
      <c r="ZQ56" s="15"/>
      <c r="ZR56" s="15"/>
      <c r="ZS56" s="15"/>
      <c r="ZT56" s="15"/>
      <c r="ZU56" s="15"/>
      <c r="ZV56" s="15"/>
      <c r="ZW56" s="15"/>
      <c r="ZX56" s="15"/>
      <c r="ZY56" s="15"/>
      <c r="ZZ56" s="15"/>
      <c r="AAA56" s="15"/>
      <c r="AAB56" s="15"/>
      <c r="AAC56" s="15"/>
      <c r="AAD56" s="15"/>
      <c r="AAE56" s="15"/>
      <c r="AAF56" s="15"/>
      <c r="AAG56" s="15"/>
      <c r="AAH56" s="15"/>
      <c r="AAI56" s="15"/>
      <c r="AAJ56" s="15"/>
      <c r="AAK56" s="15"/>
      <c r="AAL56" s="15"/>
      <c r="AAM56" s="15"/>
      <c r="AAN56" s="15"/>
      <c r="AAO56" s="15"/>
      <c r="AAP56" s="15"/>
      <c r="AAQ56" s="15"/>
      <c r="AAR56" s="15"/>
      <c r="AAS56" s="15"/>
      <c r="AAT56" s="15"/>
      <c r="AAU56" s="15"/>
      <c r="AAV56" s="15"/>
      <c r="AAW56" s="15"/>
      <c r="AAX56" s="15"/>
      <c r="AAY56" s="15"/>
      <c r="AAZ56" s="15"/>
      <c r="ABA56" s="15"/>
      <c r="ABB56" s="15"/>
      <c r="ABC56" s="15"/>
      <c r="ABD56" s="15"/>
      <c r="ABE56" s="15"/>
      <c r="ABF56" s="15"/>
      <c r="ABG56" s="15"/>
      <c r="ABH56" s="15"/>
      <c r="ABI56" s="15"/>
      <c r="ABJ56" s="15"/>
      <c r="ABK56" s="15"/>
      <c r="ABL56" s="15"/>
      <c r="ABM56" s="15"/>
      <c r="ABN56" s="15"/>
      <c r="ABO56" s="15"/>
      <c r="ABP56" s="15"/>
      <c r="ABQ56" s="15"/>
      <c r="ABR56" s="15"/>
      <c r="ABS56" s="15"/>
      <c r="ABT56" s="15"/>
      <c r="ABU56" s="15"/>
      <c r="ABV56" s="15"/>
      <c r="ABW56" s="15"/>
      <c r="ABX56" s="15"/>
      <c r="ABY56" s="15"/>
      <c r="ABZ56" s="15"/>
      <c r="ACA56" s="15"/>
      <c r="ACB56" s="15"/>
      <c r="ACC56" s="15"/>
      <c r="ACD56" s="15"/>
      <c r="ACE56" s="15"/>
      <c r="ACF56" s="15"/>
      <c r="ACG56" s="15"/>
      <c r="ACH56" s="15"/>
      <c r="ACI56" s="15"/>
      <c r="ACJ56" s="15"/>
      <c r="ACK56" s="15"/>
      <c r="ACL56" s="15"/>
      <c r="ACM56" s="15"/>
      <c r="ACN56" s="15"/>
      <c r="ACO56" s="15"/>
      <c r="ACP56" s="15"/>
      <c r="ACQ56" s="15"/>
      <c r="ACR56" s="15"/>
      <c r="ACS56" s="15"/>
      <c r="ACT56" s="15"/>
      <c r="ACU56" s="15"/>
      <c r="ACV56" s="15"/>
      <c r="ACW56" s="15"/>
      <c r="ACX56" s="15"/>
      <c r="ACY56" s="15"/>
      <c r="ACZ56" s="15"/>
      <c r="ADA56" s="15"/>
      <c r="ADB56" s="15"/>
      <c r="ADC56" s="15"/>
      <c r="ADD56" s="15"/>
      <c r="ADE56" s="15"/>
      <c r="ADF56" s="15"/>
      <c r="ADG56" s="15"/>
      <c r="ADH56" s="15"/>
      <c r="ADI56" s="15"/>
      <c r="ADJ56" s="15"/>
      <c r="ADK56" s="15"/>
      <c r="ADL56" s="15"/>
      <c r="ADM56" s="15"/>
      <c r="ADN56" s="15"/>
      <c r="ADO56" s="15"/>
      <c r="ADP56" s="15"/>
      <c r="ADQ56" s="15"/>
      <c r="ADR56" s="15"/>
      <c r="ADS56" s="15"/>
      <c r="ADT56" s="15"/>
      <c r="ADU56" s="15"/>
      <c r="ADV56" s="15"/>
      <c r="ADW56" s="15"/>
      <c r="ADX56" s="15"/>
      <c r="ADY56" s="15"/>
      <c r="ADZ56" s="15"/>
      <c r="AEA56" s="15"/>
      <c r="AEB56" s="15"/>
      <c r="AEC56" s="15"/>
      <c r="AED56" s="15"/>
      <c r="AEE56" s="15"/>
      <c r="AEF56" s="15"/>
      <c r="AEG56" s="15"/>
      <c r="AEH56" s="15"/>
      <c r="AEI56" s="15"/>
      <c r="AEJ56" s="15"/>
      <c r="AEK56" s="15"/>
      <c r="AEL56" s="15"/>
      <c r="AEM56" s="15"/>
      <c r="AEN56" s="15"/>
      <c r="AEO56" s="15"/>
      <c r="AEP56" s="15"/>
      <c r="AEQ56" s="15"/>
      <c r="AER56" s="15"/>
      <c r="AES56" s="15"/>
      <c r="AET56" s="15"/>
      <c r="AEU56" s="15"/>
      <c r="AEV56" s="15"/>
      <c r="AEW56" s="15"/>
      <c r="AEX56" s="15"/>
      <c r="AEY56" s="15"/>
      <c r="AEZ56" s="15"/>
      <c r="AFA56" s="15"/>
      <c r="AFB56" s="15"/>
      <c r="AFC56" s="15"/>
      <c r="AFD56" s="15"/>
      <c r="AFE56" s="15"/>
      <c r="AFF56" s="15"/>
      <c r="AFG56" s="15"/>
      <c r="AFH56" s="15"/>
      <c r="AFI56" s="15"/>
      <c r="AFJ56" s="15"/>
      <c r="AFK56" s="15"/>
      <c r="AFL56" s="15"/>
      <c r="AFM56" s="15"/>
      <c r="AFN56" s="15"/>
      <c r="AFO56" s="15"/>
      <c r="AFP56" s="15"/>
      <c r="AFQ56" s="15"/>
      <c r="AFR56" s="15"/>
      <c r="AFS56" s="15"/>
      <c r="AFT56" s="15"/>
      <c r="AFU56" s="15"/>
      <c r="AFV56" s="15"/>
      <c r="AFW56" s="15"/>
      <c r="AFX56" s="15"/>
      <c r="AFY56" s="15"/>
      <c r="AFZ56" s="15"/>
      <c r="AGA56" s="15"/>
      <c r="AGB56" s="15"/>
      <c r="AGC56" s="15"/>
      <c r="AGD56" s="15"/>
      <c r="AGE56" s="15"/>
      <c r="AGF56" s="15"/>
      <c r="AGG56" s="15"/>
      <c r="AGH56" s="15"/>
      <c r="AGI56" s="15"/>
      <c r="AGJ56" s="15"/>
      <c r="AGK56" s="15"/>
      <c r="AGL56" s="15"/>
      <c r="AGM56" s="15"/>
      <c r="AGN56" s="15"/>
      <c r="AGO56" s="15"/>
      <c r="AGP56" s="15"/>
      <c r="AGQ56" s="15"/>
      <c r="AGR56" s="15"/>
      <c r="AGS56" s="15"/>
      <c r="AGT56" s="15"/>
      <c r="AGU56" s="15"/>
      <c r="AGV56" s="15"/>
      <c r="AGW56" s="15"/>
      <c r="AGX56" s="15"/>
      <c r="AGY56" s="15"/>
      <c r="AGZ56" s="15"/>
      <c r="AHA56" s="15"/>
      <c r="AHB56" s="15"/>
      <c r="AHC56" s="15"/>
      <c r="AHD56" s="15"/>
      <c r="AHE56" s="15"/>
      <c r="AHF56" s="15"/>
      <c r="AHG56" s="15"/>
      <c r="AHH56" s="15"/>
      <c r="AHI56" s="15"/>
      <c r="AHJ56" s="15"/>
      <c r="AHK56" s="15"/>
      <c r="AHL56" s="15"/>
      <c r="AHM56" s="15"/>
      <c r="AHN56" s="15"/>
      <c r="AHO56" s="15"/>
      <c r="AHP56" s="15"/>
      <c r="AHQ56" s="15"/>
      <c r="AHR56" s="15"/>
      <c r="AHS56" s="15"/>
      <c r="AHT56" s="15"/>
      <c r="AHU56" s="15"/>
      <c r="AHV56" s="15"/>
      <c r="AHW56" s="15"/>
      <c r="AHX56" s="15"/>
      <c r="AHY56" s="15"/>
      <c r="AHZ56" s="15"/>
      <c r="AIA56" s="15"/>
      <c r="AIB56" s="15"/>
      <c r="AIC56" s="15"/>
      <c r="AID56" s="15"/>
      <c r="AIE56" s="15"/>
      <c r="AIF56" s="15"/>
      <c r="AIG56" s="15"/>
      <c r="AIH56" s="15"/>
      <c r="AII56" s="15"/>
      <c r="AIJ56" s="15"/>
      <c r="AIK56" s="15"/>
      <c r="AIL56" s="15"/>
      <c r="AIM56" s="15"/>
      <c r="AIN56" s="15"/>
      <c r="AIO56" s="15"/>
      <c r="AIP56" s="15"/>
      <c r="AIQ56" s="15"/>
      <c r="AIR56" s="15"/>
      <c r="AIS56" s="15"/>
      <c r="AIT56" s="15"/>
      <c r="AIU56" s="15"/>
      <c r="AIV56" s="15"/>
      <c r="AIW56" s="15"/>
      <c r="AIX56" s="15"/>
      <c r="AIY56" s="15"/>
      <c r="AIZ56" s="15"/>
      <c r="AJA56" s="15"/>
      <c r="AJB56" s="15"/>
      <c r="AJC56" s="15"/>
      <c r="AJD56" s="15"/>
      <c r="AJE56" s="15"/>
      <c r="AJF56" s="15"/>
      <c r="AJG56" s="15"/>
      <c r="AJH56" s="15"/>
      <c r="AJI56" s="15">
        <v>0</v>
      </c>
      <c r="AJJ56" s="15">
        <v>0</v>
      </c>
      <c r="AJK56" s="15">
        <v>0</v>
      </c>
      <c r="AJL56" s="15">
        <v>0</v>
      </c>
      <c r="AJM56" s="15">
        <v>0</v>
      </c>
      <c r="AJN56" s="15"/>
      <c r="AJO56" s="15">
        <v>0</v>
      </c>
      <c r="AJP56" s="15">
        <v>0</v>
      </c>
      <c r="AJQ56" s="15">
        <v>0</v>
      </c>
      <c r="AJR56" s="15">
        <v>0</v>
      </c>
      <c r="AJS56" s="15">
        <v>0</v>
      </c>
      <c r="AJT56" s="15">
        <v>0</v>
      </c>
      <c r="AJU56" s="15">
        <v>0</v>
      </c>
      <c r="AJV56" s="15">
        <v>1</v>
      </c>
      <c r="AJW56" s="15">
        <v>0</v>
      </c>
      <c r="AJX56" s="15"/>
      <c r="AJY56" s="15">
        <v>0</v>
      </c>
      <c r="AJZ56" s="15">
        <v>0</v>
      </c>
      <c r="AKA56" s="15">
        <v>0</v>
      </c>
      <c r="AKB56" s="15">
        <v>0</v>
      </c>
      <c r="AKC56" s="15">
        <v>0</v>
      </c>
      <c r="AKD56" s="15">
        <v>0</v>
      </c>
      <c r="AKE56" s="15">
        <v>0</v>
      </c>
      <c r="AKF56" s="15">
        <v>0</v>
      </c>
      <c r="AKG56" s="15">
        <v>0</v>
      </c>
      <c r="AKH56" s="15">
        <v>0</v>
      </c>
      <c r="AKI56" s="15"/>
      <c r="AKJ56" s="20"/>
      <c r="AKK56" s="20"/>
      <c r="AKL56" s="20"/>
      <c r="AKM56" s="20"/>
      <c r="AKN56" s="20"/>
      <c r="AKO56" s="20"/>
      <c r="AKP56" s="20"/>
      <c r="AKQ56" s="20">
        <v>0</v>
      </c>
      <c r="AKR56" s="20">
        <v>0</v>
      </c>
      <c r="AKS56" s="20">
        <v>0</v>
      </c>
      <c r="AKT56" s="20">
        <v>0</v>
      </c>
      <c r="AKU56" s="20">
        <v>0</v>
      </c>
      <c r="AKV56" s="20">
        <v>0</v>
      </c>
      <c r="AKW56" s="20">
        <v>0</v>
      </c>
      <c r="AKX56" s="15"/>
      <c r="AKY56" s="20"/>
      <c r="AKZ56" s="20"/>
      <c r="ALA56" s="20"/>
      <c r="ALB56" s="20"/>
      <c r="ALC56" s="20"/>
      <c r="ALD56" s="20"/>
      <c r="ALE56" s="20"/>
      <c r="ALF56" s="20"/>
      <c r="ALG56" s="20"/>
      <c r="ALH56" s="15"/>
      <c r="ALI56" s="15"/>
      <c r="ALJ56" s="15"/>
      <c r="ALK56" s="15"/>
      <c r="ALL56" s="15"/>
      <c r="ALM56" s="15"/>
      <c r="ALN56" s="20"/>
      <c r="ALO56" s="20"/>
      <c r="ALP56" s="20"/>
      <c r="ALQ56" s="20"/>
      <c r="ALR56" s="20"/>
      <c r="ALS56" s="20"/>
      <c r="ALT56" s="20"/>
      <c r="ALU56" s="20"/>
      <c r="ALV56" s="20"/>
      <c r="ALW56" s="20"/>
      <c r="ALX56" s="20">
        <v>0</v>
      </c>
      <c r="ALY56" s="20">
        <v>0</v>
      </c>
      <c r="ALZ56" s="20">
        <v>0</v>
      </c>
      <c r="AMA56" s="20">
        <v>0</v>
      </c>
      <c r="AMB56" s="20">
        <v>1</v>
      </c>
      <c r="AMC56" s="15"/>
      <c r="AMD56" s="15"/>
      <c r="AME56" s="15"/>
      <c r="AMF56" s="15"/>
      <c r="AMG56" s="15"/>
      <c r="AMH56" s="15"/>
      <c r="AMI56" s="15"/>
      <c r="AMJ56" s="15"/>
      <c r="AMK56" s="15"/>
      <c r="AML56" s="15"/>
      <c r="AMM56" s="15"/>
      <c r="AMN56" s="15"/>
      <c r="AMO56" s="15"/>
      <c r="AMP56" s="15"/>
      <c r="AMQ56" s="15"/>
      <c r="AMR56" s="15"/>
      <c r="AMS56" s="15"/>
      <c r="AMT56" s="15"/>
      <c r="AMU56" s="15"/>
      <c r="AMV56" s="15"/>
      <c r="AMW56" s="15"/>
      <c r="AMX56" s="15"/>
      <c r="AMY56" s="15"/>
      <c r="AMZ56" s="15"/>
      <c r="ANA56" s="15"/>
      <c r="ANB56" s="15"/>
      <c r="ANC56" s="15"/>
      <c r="AND56" s="15"/>
      <c r="ANE56" s="15"/>
      <c r="ANF56" s="15"/>
      <c r="ANG56" s="15"/>
      <c r="ANH56" s="15"/>
      <c r="ANI56" s="15"/>
      <c r="ANJ56" s="15"/>
      <c r="ANK56" s="15"/>
      <c r="ANL56" s="15"/>
      <c r="ANM56" s="15"/>
      <c r="ANN56" s="15"/>
      <c r="ANO56" s="15"/>
      <c r="ANP56" s="15"/>
      <c r="ANQ56" s="15"/>
      <c r="ANR56" s="15"/>
      <c r="ANS56" s="15"/>
      <c r="ANT56" s="15"/>
      <c r="ANU56" s="15"/>
      <c r="ANV56" s="15"/>
      <c r="ANW56" s="15"/>
      <c r="ANX56" s="15"/>
      <c r="ANY56" s="15"/>
      <c r="ANZ56" s="15"/>
      <c r="AOA56" s="15"/>
      <c r="AOB56" s="15"/>
      <c r="AOC56" s="15"/>
      <c r="AOD56" s="15"/>
      <c r="AOE56" s="15"/>
      <c r="AOF56" s="15"/>
      <c r="AOG56" s="15"/>
      <c r="AOH56" s="15"/>
      <c r="AOI56" s="15"/>
      <c r="AOJ56" s="15"/>
      <c r="AOK56" s="15"/>
      <c r="AOL56" s="15"/>
      <c r="AOM56" s="15"/>
      <c r="AON56" s="15"/>
      <c r="AOO56" s="15"/>
      <c r="AOP56" s="15"/>
      <c r="AOQ56" s="15"/>
      <c r="AOR56" s="15"/>
      <c r="AOS56" s="15"/>
      <c r="AOT56" s="15"/>
      <c r="AOU56" s="15"/>
      <c r="AOV56" s="15"/>
      <c r="AOW56" s="15"/>
      <c r="AOX56" s="15"/>
      <c r="AOY56" s="15"/>
      <c r="AOZ56" s="15"/>
      <c r="APA56" s="15"/>
      <c r="APB56" s="15"/>
      <c r="APC56" s="15"/>
      <c r="APD56" s="15"/>
      <c r="APE56" s="15"/>
      <c r="APF56" s="15"/>
      <c r="APG56" s="15"/>
      <c r="APH56" s="15"/>
      <c r="API56" s="15"/>
      <c r="APJ56" s="15"/>
      <c r="APK56" s="15"/>
      <c r="APL56" s="15"/>
      <c r="APM56" s="15"/>
      <c r="APN56" s="15"/>
      <c r="APO56" s="15"/>
      <c r="APP56" s="15"/>
      <c r="APQ56" s="15"/>
      <c r="APR56" s="15"/>
      <c r="APS56" s="15"/>
      <c r="APT56" s="15"/>
      <c r="APU56" s="15"/>
      <c r="APV56" s="15"/>
      <c r="APW56" s="15"/>
      <c r="APX56" s="15"/>
      <c r="APY56" s="15"/>
      <c r="APZ56" s="15"/>
      <c r="AQA56" s="15"/>
      <c r="AQB56" s="15"/>
    </row>
    <row r="57" spans="1:1120" s="15" customFormat="1" ht="15" customHeight="1" x14ac:dyDescent="0.25">
      <c r="A57" s="3" t="s">
        <v>740</v>
      </c>
      <c r="B57" s="15" t="s">
        <v>212</v>
      </c>
      <c r="D57" s="20">
        <f t="shared" ref="D57" si="204">IF( (AND(D43,ABS(D44)&gt;=D17)+AND(D45,ABS(D46)&gt;=D17)+AND(D47,ABS(D48)&gt;=D17)+AND(D49,ABS(D50)&gt;=D17))&gt;2,0,1)</f>
        <v>1</v>
      </c>
      <c r="E57" s="20">
        <f t="shared" ref="E57" si="205">IF( (AND(E43,ABS(E44)&gt;=E17)+AND(E45,ABS(E46)&gt;=E17)+AND(E47,ABS(E48)&gt;=E17)+AND(E49,ABS(E50)&gt;=E17))&gt;2,0,1)</f>
        <v>1</v>
      </c>
      <c r="F57" s="20">
        <f t="shared" ref="F57" si="206">IF( (AND(F43,ABS(F44)&gt;=F17)+AND(F45,ABS(F46)&gt;=F17)+AND(F47,ABS(F48)&gt;=F17)+AND(F49,ABS(F50)&gt;=F17))&gt;2,0,1)</f>
        <v>1</v>
      </c>
      <c r="G57" s="20">
        <f t="shared" ref="G57" si="207">IF( (AND(G43,ABS(G44)&gt;=G17)+AND(G45,ABS(G46)&gt;=G17)+AND(G47,ABS(G48)&gt;=G17)+AND(G49,ABS(G50)&gt;=G17))&gt;2,0,1)</f>
        <v>1</v>
      </c>
      <c r="H57" s="20">
        <f t="shared" ref="H57" si="208">IF( (AND(H43,ABS(H44)&gt;=H17)+AND(H45,ABS(H46)&gt;=H17)+AND(H47,ABS(H48)&gt;=H17)+AND(H49,ABS(H50)&gt;=H17))&gt;2,0,1)</f>
        <v>1</v>
      </c>
      <c r="I57" s="20">
        <f t="shared" ref="I57" si="209">IF( (AND(I43,ABS(I44)&gt;=I17)+AND(I45,ABS(I46)&gt;=I17)+AND(I47,ABS(I48)&gt;=I17)+AND(I49,ABS(I50)&gt;=I17))&gt;2,0,1)</f>
        <v>1</v>
      </c>
      <c r="K57" s="20">
        <f t="shared" ref="K57" si="210">IF( (AND(K43,ABS(K44)&gt;=K17)+AND(K45,ABS(K46)&gt;=K17)+AND(K47,ABS(K48)&gt;=K17)+AND(K49,ABS(K50)&gt;=K17))&gt;2,0,1)</f>
        <v>1</v>
      </c>
      <c r="L57" s="20">
        <f t="shared" ref="L57" si="211">IF( (AND(L43,ABS(L44)&gt;=L17)+AND(L45,ABS(L46)&gt;=L17)+AND(L47,ABS(L48)&gt;=L17)+AND(L49,ABS(L50)&gt;=L17))&gt;2,0,1)</f>
        <v>1</v>
      </c>
      <c r="M57" s="20">
        <f t="shared" ref="M57" si="212">IF( (AND(M43,ABS(M44)&gt;=M17)+AND(M45,ABS(M46)&gt;=M17)+AND(M47,ABS(M48)&gt;=M17)+AND(M49,ABS(M50)&gt;=M17))&gt;2,0,1)</f>
        <v>1</v>
      </c>
      <c r="N57" s="20">
        <f t="shared" ref="N57" si="213">IF( (AND(N43,ABS(N44)&gt;=N17)+AND(N45,ABS(N46)&gt;=N17)+AND(N47,ABS(N48)&gt;=N17)+AND(N49,ABS(N50)&gt;=N17))&gt;2,0,1)</f>
        <v>1</v>
      </c>
      <c r="O57" s="20">
        <f t="shared" ref="O57" si="214">IF( (AND(O43,ABS(O44)&gt;=O17)+AND(O45,ABS(O46)&gt;=O17)+AND(O47,ABS(O48)&gt;=O17)+AND(O49,ABS(O50)&gt;=O17))&gt;2,0,1)</f>
        <v>1</v>
      </c>
      <c r="P57" s="20">
        <f t="shared" ref="P57" si="215">IF( (AND(P43,ABS(P44)&gt;=P17)+AND(P45,ABS(P46)&gt;=P17)+AND(P47,ABS(P48)&gt;=P17)+AND(P49,ABS(P50)&gt;=P17))&gt;2,0,1)</f>
        <v>1</v>
      </c>
      <c r="R57" s="20">
        <f t="shared" ref="R57" si="216">IF( (AND(R43,ABS(R44)&gt;=R17)+AND(R45,ABS(R46)&gt;=R17)+AND(R47,ABS(R48)&gt;=R17)+AND(R49,ABS(R50)&gt;=R17))&gt;2,0,1)</f>
        <v>1</v>
      </c>
      <c r="S57" s="20">
        <f t="shared" ref="S57" si="217">IF( (AND(S43,ABS(S44)&gt;=S17)+AND(S45,ABS(S46)&gt;=S17)+AND(S47,ABS(S48)&gt;=S17)+AND(S49,ABS(S50)&gt;=S17))&gt;2,0,1)</f>
        <v>1</v>
      </c>
      <c r="T57" s="20">
        <f t="shared" ref="T57" si="218">IF( (AND(T43,ABS(T44)&gt;=T17)+AND(T45,ABS(T46)&gt;=T17)+AND(T47,ABS(T48)&gt;=T17)+AND(T49,ABS(T50)&gt;=T17))&gt;2,0,1)</f>
        <v>1</v>
      </c>
      <c r="U57" s="20">
        <f t="shared" ref="U57" si="219">IF( (AND(U43,ABS(U44)&gt;=U17)+AND(U45,ABS(U46)&gt;=U17)+AND(U47,ABS(U48)&gt;=U17)+AND(U49,ABS(U50)&gt;=U17))&gt;2,0,1)</f>
        <v>1</v>
      </c>
      <c r="V57" s="20">
        <f t="shared" ref="V57" si="220">IF( (AND(V43,ABS(V44)&gt;=V17)+AND(V45,ABS(V46)&gt;=V17)+AND(V47,ABS(V48)&gt;=V17)+AND(V49,ABS(V50)&gt;=V17))&gt;2,0,1)</f>
        <v>1</v>
      </c>
      <c r="W57" s="20">
        <f t="shared" ref="W57" si="221">IF( (AND(W43,ABS(W44)&gt;=W17)+AND(W45,ABS(W46)&gt;=W17)+AND(W47,ABS(W48)&gt;=W17)+AND(W49,ABS(W50)&gt;=W17))&gt;2,0,1)</f>
        <v>1</v>
      </c>
      <c r="Y57" s="20">
        <f t="shared" ref="Y57" si="222">IF( (AND(Y43,ABS(Y44)&gt;=Y17)+AND(Y45,ABS(Y46)&gt;=Y17)+AND(Y47,ABS(Y48)&gt;=Y17)+AND(Y49,ABS(Y50)&gt;=Y17))&gt;2,0,1)</f>
        <v>1</v>
      </c>
      <c r="Z57" s="20">
        <f t="shared" ref="Z57" si="223">IF( (AND(Z43,ABS(Z44)&gt;=Z17)+AND(Z45,ABS(Z46)&gt;=Z17)+AND(Z47,ABS(Z48)&gt;=Z17)+AND(Z49,ABS(Z50)&gt;=Z17))&gt;2,0,1)</f>
        <v>1</v>
      </c>
      <c r="AA57" s="20">
        <f t="shared" ref="AA57" si="224">IF( (AND(AA43,ABS(AA44)&gt;=AA17)+AND(AA45,ABS(AA46)&gt;=AA17)+AND(AA47,ABS(AA48)&gt;=AA17)+AND(AA49,ABS(AA50)&gt;=AA17))&gt;2,0,1)</f>
        <v>1</v>
      </c>
      <c r="AB57" s="20">
        <f t="shared" ref="AB57" si="225">IF( (AND(AB43,ABS(AB44)&gt;=AB17)+AND(AB45,ABS(AB46)&gt;=AB17)+AND(AB47,ABS(AB48)&gt;=AB17)+AND(AB49,ABS(AB50)&gt;=AB17))&gt;2,0,1)</f>
        <v>1</v>
      </c>
      <c r="AC57" s="20">
        <f t="shared" ref="AC57" si="226">IF( (AND(AC43,ABS(AC44)&gt;=AC17)+AND(AC45,ABS(AC46)&gt;=AC17)+AND(AC47,ABS(AC48)&gt;=AC17)+AND(AC49,ABS(AC50)&gt;=AC17))&gt;2,0,1)</f>
        <v>1</v>
      </c>
      <c r="AD57" s="20">
        <f t="shared" ref="AD57" si="227">IF( (AND(AD43,ABS(AD44)&gt;=AD17)+AND(AD45,ABS(AD46)&gt;=AD17)+AND(AD47,ABS(AD48)&gt;=AD17)+AND(AD49,ABS(AD50)&gt;=AD17))&gt;2,0,1)</f>
        <v>1</v>
      </c>
      <c r="AF57" s="20">
        <f t="shared" ref="AF57" si="228">IF( (AND(AF43,ABS(AF44)&gt;=AF17)+AND(AF45,ABS(AF46)&gt;=AF17)+AND(AF47,ABS(AF48)&gt;=AF17)+AND(AF49,ABS(AF50)&gt;=AF17))&gt;2,0,1)</f>
        <v>1</v>
      </c>
      <c r="AG57" s="20">
        <f t="shared" ref="AG57" si="229">IF( (AND(AG43,ABS(AG44)&gt;=AG17)+AND(AG45,ABS(AG46)&gt;=AG17)+AND(AG47,ABS(AG48)&gt;=AG17)+AND(AG49,ABS(AG50)&gt;=AG17))&gt;2,0,1)</f>
        <v>1</v>
      </c>
      <c r="AH57" s="20">
        <f t="shared" ref="AH57" si="230">IF( (AND(AH43,ABS(AH44)&gt;=AH17)+AND(AH45,ABS(AH46)&gt;=AH17)+AND(AH47,ABS(AH48)&gt;=AH17)+AND(AH49,ABS(AH50)&gt;=AH17))&gt;2,0,1)</f>
        <v>1</v>
      </c>
      <c r="AI57" s="20">
        <f t="shared" ref="AI57" si="231">IF( (AND(AI43,ABS(AI44)&gt;=AI17)+AND(AI45,ABS(AI46)&gt;=AI17)+AND(AI47,ABS(AI48)&gt;=AI17)+AND(AI49,ABS(AI50)&gt;=AI17))&gt;2,0,1)</f>
        <v>1</v>
      </c>
      <c r="AJ57" s="20">
        <f t="shared" ref="AJ57" si="232">IF( (AND(AJ43,ABS(AJ44)&gt;=AJ17)+AND(AJ45,ABS(AJ46)&gt;=AJ17)+AND(AJ47,ABS(AJ48)&gt;=AJ17)+AND(AJ49,ABS(AJ50)&gt;=AJ17))&gt;2,0,1)</f>
        <v>1</v>
      </c>
      <c r="AK57" s="20">
        <f t="shared" ref="AK57" si="233">IF( (AND(AK43,ABS(AK44)&gt;=AK17)+AND(AK45,ABS(AK46)&gt;=AK17)+AND(AK47,ABS(AK48)&gt;=AK17)+AND(AK49,ABS(AK50)&gt;=AK17))&gt;2,0,1)</f>
        <v>1</v>
      </c>
      <c r="AM57" s="20">
        <f t="shared" ref="AM57" si="234">IF( (AND(AM43,ABS(AM44)&gt;=AM17)+AND(AM45,ABS(AM46)&gt;=AM17)+AND(AM47,ABS(AM48)&gt;=AM17)+AND(AM49,ABS(AM50)&gt;=AM17))&gt;2,0,1)</f>
        <v>1</v>
      </c>
      <c r="AN57" s="20">
        <f t="shared" ref="AN57" si="235">IF( (AND(AN43,ABS(AN44)&gt;=AN17)+AND(AN45,ABS(AN46)&gt;=AN17)+AND(AN47,ABS(AN48)&gt;=AN17)+AND(AN49,ABS(AN50)&gt;=AN17))&gt;2,0,1)</f>
        <v>1</v>
      </c>
      <c r="AO57" s="20">
        <f t="shared" ref="AO57" si="236">IF( (AND(AO43,ABS(AO44)&gt;=AO17)+AND(AO45,ABS(AO46)&gt;=AO17)+AND(AO47,ABS(AO48)&gt;=AO17)+AND(AO49,ABS(AO50)&gt;=AO17))&gt;2,0,1)</f>
        <v>1</v>
      </c>
      <c r="AP57" s="20">
        <f t="shared" ref="AP57" si="237">IF( (AND(AP43,ABS(AP44)&gt;=AP17)+AND(AP45,ABS(AP46)&gt;=AP17)+AND(AP47,ABS(AP48)&gt;=AP17)+AND(AP49,ABS(AP50)&gt;=AP17))&gt;2,0,1)</f>
        <v>1</v>
      </c>
      <c r="AQ57" s="20">
        <f t="shared" ref="AQ57" si="238">IF( (AND(AQ43,ABS(AQ44)&gt;=AQ17)+AND(AQ45,ABS(AQ46)&gt;=AQ17)+AND(AQ47,ABS(AQ48)&gt;=AQ17)+AND(AQ49,ABS(AQ50)&gt;=AQ17))&gt;2,0,1)</f>
        <v>1</v>
      </c>
      <c r="AR57" s="20">
        <f t="shared" ref="AR57" si="239">IF( (AND(AR43,ABS(AR44)&gt;=AR17)+AND(AR45,ABS(AR46)&gt;=AR17)+AND(AR47,ABS(AR48)&gt;=AR17)+AND(AR49,ABS(AR50)&gt;=AR17))&gt;2,0,1)</f>
        <v>1</v>
      </c>
      <c r="AS57" s="20">
        <f t="shared" ref="AS57" si="240">IF( (AND(AS43,ABS(AS44)&gt;=AS17)+AND(AS45,ABS(AS46)&gt;=AS17)+AND(AS47,ABS(AS48)&gt;=AS17)+AND(AS49,ABS(AS50)&gt;=AS17))&gt;2,0,1)</f>
        <v>1</v>
      </c>
      <c r="AT57" s="20">
        <f t="shared" ref="AT57" si="241">IF( (AND(AT43,ABS(AT44)&gt;=AT17)+AND(AT45,ABS(AT46)&gt;=AT17)+AND(AT47,ABS(AT48)&gt;=AT17)+AND(AT49,ABS(AT50)&gt;=AT17))&gt;2,0,1)</f>
        <v>1</v>
      </c>
      <c r="AU57" s="20">
        <f t="shared" ref="AU57" si="242">IF( (AND(AU43,ABS(AU44)&gt;=AU17)+AND(AU45,ABS(AU46)&gt;=AU17)+AND(AU47,ABS(AU48)&gt;=AU17)+AND(AU49,ABS(AU50)&gt;=AU17))&gt;2,0,1)</f>
        <v>1</v>
      </c>
      <c r="AV57" s="20">
        <f t="shared" ref="AV57" si="243">IF( (AND(AV43,ABS(AV44)&gt;=AV17)+AND(AV45,ABS(AV46)&gt;=AV17)+AND(AV47,ABS(AV48)&gt;=AV17)+AND(AV49,ABS(AV50)&gt;=AV17))&gt;2,0,1)</f>
        <v>1</v>
      </c>
      <c r="AW57" s="20">
        <f t="shared" ref="AW57" si="244">IF( (AND(AW43,ABS(AW44)&gt;=AW17)+AND(AW45,ABS(AW46)&gt;=AW17)+AND(AW47,ABS(AW48)&gt;=AW17)+AND(AW49,ABS(AW50)&gt;=AW17))&gt;2,0,1)</f>
        <v>1</v>
      </c>
      <c r="AX57" s="20">
        <f t="shared" ref="AX57" si="245">IF( (AND(AX43,ABS(AX44)&gt;=AX17)+AND(AX45,ABS(AX46)&gt;=AX17)+AND(AX47,ABS(AX48)&gt;=AX17)+AND(AX49,ABS(AX50)&gt;=AX17))&gt;2,0,1)</f>
        <v>1</v>
      </c>
      <c r="AY57" s="20">
        <f t="shared" ref="AY57" si="246">IF( (AND(AY43,ABS(AY44)&gt;=AY17)+AND(AY45,ABS(AY46)&gt;=AY17)+AND(AY47,ABS(AY48)&gt;=AY17)+AND(AY49,ABS(AY50)&gt;=AY17))&gt;2,0,1)</f>
        <v>1</v>
      </c>
      <c r="AZ57" s="20">
        <f t="shared" ref="AZ57" si="247">IF( (AND(AZ43,ABS(AZ44)&gt;=AZ17)+AND(AZ45,ABS(AZ46)&gt;=AZ17)+AND(AZ47,ABS(AZ48)&gt;=AZ17)+AND(AZ49,ABS(AZ50)&gt;=AZ17))&gt;2,0,1)</f>
        <v>1</v>
      </c>
      <c r="BA57" s="20">
        <f t="shared" ref="BA57" si="248">IF( (AND(BA43,ABS(BA44)&gt;=BA17)+AND(BA45,ABS(BA46)&gt;=BA17)+AND(BA47,ABS(BA48)&gt;=BA17)+AND(BA49,ABS(BA50)&gt;=BA17))&gt;2,0,1)</f>
        <v>1</v>
      </c>
      <c r="BB57" s="20">
        <f t="shared" ref="BB57" si="249">IF( (AND(BB43,ABS(BB44)&gt;=BB17)+AND(BB45,ABS(BB46)&gt;=BB17)+AND(BB47,ABS(BB48)&gt;=BB17)+AND(BB49,ABS(BB50)&gt;=BB17))&gt;2,0,1)</f>
        <v>1</v>
      </c>
      <c r="BC57" s="20">
        <f t="shared" ref="BC57" si="250">IF( (AND(BC43,ABS(BC44)&gt;=BC17)+AND(BC45,ABS(BC46)&gt;=BC17)+AND(BC47,ABS(BC48)&gt;=BC17)+AND(BC49,ABS(BC50)&gt;=BC17))&gt;2,0,1)</f>
        <v>1</v>
      </c>
      <c r="BD57" s="20">
        <f t="shared" ref="BD57" si="251">IF( (AND(BD43,ABS(BD44)&gt;=BD17)+AND(BD45,ABS(BD46)&gt;=BD17)+AND(BD47,ABS(BD48)&gt;=BD17)+AND(BD49,ABS(BD50)&gt;=BD17))&gt;2,0,1)</f>
        <v>1</v>
      </c>
      <c r="BE57" s="20">
        <f t="shared" ref="BE57" si="252">IF( (AND(BE43,ABS(BE44)&gt;=BE17)+AND(BE45,ABS(BE46)&gt;=BE17)+AND(BE47,ABS(BE48)&gt;=BE17)+AND(BE49,ABS(BE50)&gt;=BE17))&gt;2,0,1)</f>
        <v>1</v>
      </c>
      <c r="BF57" s="20">
        <f t="shared" ref="BF57" si="253">IF( (AND(BF43,ABS(BF44)&gt;=BF17)+AND(BF45,ABS(BF46)&gt;=BF17)+AND(BF47,ABS(BF48)&gt;=BF17)+AND(BF49,ABS(BF50)&gt;=BF17))&gt;2,0,1)</f>
        <v>1</v>
      </c>
      <c r="BG57" s="20">
        <f t="shared" ref="BG57" si="254">IF( (AND(BG43,ABS(BG44)&gt;=BG17)+AND(BG45,ABS(BG46)&gt;=BG17)+AND(BG47,ABS(BG48)&gt;=BG17)+AND(BG49,ABS(BG50)&gt;=BG17))&gt;2,0,1)</f>
        <v>1</v>
      </c>
      <c r="BH57" s="20">
        <f t="shared" ref="BH57" si="255">IF( (AND(BH43,ABS(BH44)&gt;=BH17)+AND(BH45,ABS(BH46)&gt;=BH17)+AND(BH47,ABS(BH48)&gt;=BH17)+AND(BH49,ABS(BH50)&gt;=BH17))&gt;2,0,1)</f>
        <v>1</v>
      </c>
      <c r="BI57" s="20">
        <f t="shared" ref="BI57" si="256">IF( (AND(BI43,ABS(BI44)&gt;=BI17)+AND(BI45,ABS(BI46)&gt;=BI17)+AND(BI47,ABS(BI48)&gt;=BI17)+AND(BI49,ABS(BI50)&gt;=BI17))&gt;2,0,1)</f>
        <v>1</v>
      </c>
      <c r="BJ57" s="20">
        <f t="shared" ref="BJ57" si="257">IF( (AND(BJ43,ABS(BJ44)&gt;=BJ17)+AND(BJ45,ABS(BJ46)&gt;=BJ17)+AND(BJ47,ABS(BJ48)&gt;=BJ17)+AND(BJ49,ABS(BJ50)&gt;=BJ17))&gt;2,0,1)</f>
        <v>1</v>
      </c>
      <c r="BK57" s="20">
        <f t="shared" ref="BK57" si="258">IF( (AND(BK43,ABS(BK44)&gt;=BK17)+AND(BK45,ABS(BK46)&gt;=BK17)+AND(BK47,ABS(BK48)&gt;=BK17)+AND(BK49,ABS(BK50)&gt;=BK17))&gt;2,0,1)</f>
        <v>1</v>
      </c>
      <c r="BL57" s="20">
        <f t="shared" ref="BL57" si="259">IF( (AND(BL43,ABS(BL44)&gt;=BL17)+AND(BL45,ABS(BL46)&gt;=BL17)+AND(BL47,ABS(BL48)&gt;=BL17)+AND(BL49,ABS(BL50)&gt;=BL17))&gt;2,0,1)</f>
        <v>1</v>
      </c>
      <c r="BM57" s="20">
        <f t="shared" ref="BM57" si="260">IF( (AND(BM43,ABS(BM44)&gt;=BM17)+AND(BM45,ABS(BM46)&gt;=BM17)+AND(BM47,ABS(BM48)&gt;=BM17)+AND(BM49,ABS(BM50)&gt;=BM17))&gt;2,0,1)</f>
        <v>1</v>
      </c>
      <c r="BN57" s="20">
        <f t="shared" ref="BN57" si="261">IF( (AND(BN43,ABS(BN44)&gt;=BN17)+AND(BN45,ABS(BN46)&gt;=BN17)+AND(BN47,ABS(BN48)&gt;=BN17)+AND(BN49,ABS(BN50)&gt;=BN17))&gt;2,0,1)</f>
        <v>1</v>
      </c>
      <c r="BO57" s="20">
        <f t="shared" ref="BO57" si="262">IF( (AND(BO43,ABS(BO44)&gt;=BO17)+AND(BO45,ABS(BO46)&gt;=BO17)+AND(BO47,ABS(BO48)&gt;=BO17)+AND(BO49,ABS(BO50)&gt;=BO17))&gt;2,0,1)</f>
        <v>1</v>
      </c>
      <c r="BP57" s="20">
        <f t="shared" ref="BP57" si="263">IF( (AND(BP43,ABS(BP44)&gt;=BP17)+AND(BP45,ABS(BP46)&gt;=BP17)+AND(BP47,ABS(BP48)&gt;=BP17)+AND(BP49,ABS(BP50)&gt;=BP17))&gt;2,0,1)</f>
        <v>1</v>
      </c>
      <c r="BQ57" s="20">
        <f t="shared" ref="BQ57" si="264">IF( (AND(BQ43,ABS(BQ44)&gt;=BQ17)+AND(BQ45,ABS(BQ46)&gt;=BQ17)+AND(BQ47,ABS(BQ48)&gt;=BQ17)+AND(BQ49,ABS(BQ50)&gt;=BQ17))&gt;2,0,1)</f>
        <v>1</v>
      </c>
      <c r="BR57" s="20">
        <f t="shared" ref="BR57" si="265">IF( (AND(BR43,ABS(BR44)&gt;=BR17)+AND(BR45,ABS(BR46)&gt;=BR17)+AND(BR47,ABS(BR48)&gt;=BR17)+AND(BR49,ABS(BR50)&gt;=BR17))&gt;2,0,1)</f>
        <v>1</v>
      </c>
      <c r="BS57" s="20">
        <f t="shared" ref="BS57" si="266">IF( (AND(BS43,ABS(BS44)&gt;=BS17)+AND(BS45,ABS(BS46)&gt;=BS17)+AND(BS47,ABS(BS48)&gt;=BS17)+AND(BS49,ABS(BS50)&gt;=BS17))&gt;2,0,1)</f>
        <v>1</v>
      </c>
      <c r="BT57" s="20">
        <f t="shared" ref="BT57" si="267">IF( (AND(BT43,ABS(BT44)&gt;=BT17)+AND(BT45,ABS(BT46)&gt;=BT17)+AND(BT47,ABS(BT48)&gt;=BT17)+AND(BT49,ABS(BT50)&gt;=BT17))&gt;2,0,1)</f>
        <v>1</v>
      </c>
      <c r="BU57" s="20">
        <f t="shared" ref="BU57" si="268">IF( (AND(BU43,ABS(BU44)&gt;=BU17)+AND(BU45,ABS(BU46)&gt;=BU17)+AND(BU47,ABS(BU48)&gt;=BU17)+AND(BU49,ABS(BU50)&gt;=BU17))&gt;2,0,1)</f>
        <v>1</v>
      </c>
      <c r="BV57" s="20">
        <f t="shared" ref="BV57" si="269">IF( (AND(BV43,ABS(BV44)&gt;=BV17)+AND(BV45,ABS(BV46)&gt;=BV17)+AND(BV47,ABS(BV48)&gt;=BV17)+AND(BV49,ABS(BV50)&gt;=BV17))&gt;2,0,1)</f>
        <v>1</v>
      </c>
      <c r="BW57" s="20">
        <f t="shared" ref="BW57" si="270">IF( (AND(BW43,ABS(BW44)&gt;=BW17)+AND(BW45,ABS(BW46)&gt;=BW17)+AND(BW47,ABS(BW48)&gt;=BW17)+AND(BW49,ABS(BW50)&gt;=BW17))&gt;2,0,1)</f>
        <v>1</v>
      </c>
      <c r="BX57" s="20">
        <f t="shared" ref="BX57" si="271">IF( (AND(BX43,ABS(BX44)&gt;=BX17)+AND(BX45,ABS(BX46)&gt;=BX17)+AND(BX47,ABS(BX48)&gt;=BX17)+AND(BX49,ABS(BX50)&gt;=BX17))&gt;2,0,1)</f>
        <v>1</v>
      </c>
      <c r="BY57" s="20">
        <f t="shared" ref="BY57" si="272">IF( (AND(BY43,ABS(BY44)&gt;=BY17)+AND(BY45,ABS(BY46)&gt;=BY17)+AND(BY47,ABS(BY48)&gt;=BY17)+AND(BY49,ABS(BY50)&gt;=BY17))&gt;2,0,1)</f>
        <v>1</v>
      </c>
      <c r="BZ57" s="20">
        <f t="shared" ref="BZ57" si="273">IF( (AND(BZ43,ABS(BZ44)&gt;=BZ17)+AND(BZ45,ABS(BZ46)&gt;=BZ17)+AND(BZ47,ABS(BZ48)&gt;=BZ17)+AND(BZ49,ABS(BZ50)&gt;=BZ17))&gt;2,0,1)</f>
        <v>1</v>
      </c>
      <c r="CA57" s="20">
        <f t="shared" ref="CA57" si="274">IF( (AND(CA43,ABS(CA44)&gt;=CA17)+AND(CA45,ABS(CA46)&gt;=CA17)+AND(CA47,ABS(CA48)&gt;=CA17)+AND(CA49,ABS(CA50)&gt;=CA17))&gt;2,0,1)</f>
        <v>1</v>
      </c>
      <c r="CB57" s="20">
        <f t="shared" ref="CB57" si="275">IF( (AND(CB43,ABS(CB44)&gt;=CB17)+AND(CB45,ABS(CB46)&gt;=CB17)+AND(CB47,ABS(CB48)&gt;=CB17)+AND(CB49,ABS(CB50)&gt;=CB17))&gt;2,0,1)</f>
        <v>1</v>
      </c>
      <c r="CC57" s="20">
        <f t="shared" ref="CC57" si="276">IF( (AND(CC43,ABS(CC44)&gt;=CC17)+AND(CC45,ABS(CC46)&gt;=CC17)+AND(CC47,ABS(CC48)&gt;=CC17)+AND(CC49,ABS(CC50)&gt;=CC17))&gt;2,0,1)</f>
        <v>1</v>
      </c>
      <c r="CD57" s="20">
        <f t="shared" ref="CD57" si="277">IF( (AND(CD43,ABS(CD44)&gt;=CD17)+AND(CD45,ABS(CD46)&gt;=CD17)+AND(CD47,ABS(CD48)&gt;=CD17)+AND(CD49,ABS(CD50)&gt;=CD17))&gt;2,0,1)</f>
        <v>1</v>
      </c>
      <c r="CE57" s="20">
        <f t="shared" ref="CE57" si="278">IF( (AND(CE43,ABS(CE44)&gt;=CE17)+AND(CE45,ABS(CE46)&gt;=CE17)+AND(CE47,ABS(CE48)&gt;=CE17)+AND(CE49,ABS(CE50)&gt;=CE17))&gt;2,0,1)</f>
        <v>1</v>
      </c>
      <c r="CF57" s="20">
        <f t="shared" ref="CF57" si="279">IF( (AND(CF43,ABS(CF44)&gt;=CF17)+AND(CF45,ABS(CF46)&gt;=CF17)+AND(CF47,ABS(CF48)&gt;=CF17)+AND(CF49,ABS(CF50)&gt;=CF17))&gt;2,0,1)</f>
        <v>1</v>
      </c>
      <c r="CG57" s="20">
        <f t="shared" ref="CG57" si="280">IF( (AND(CG43,ABS(CG44)&gt;=CG17)+AND(CG45,ABS(CG46)&gt;=CG17)+AND(CG47,ABS(CG48)&gt;=CG17)+AND(CG49,ABS(CG50)&gt;=CG17))&gt;2,0,1)</f>
        <v>1</v>
      </c>
      <c r="CH57" s="20">
        <f t="shared" ref="CH57" si="281">IF( (AND(CH43,ABS(CH44)&gt;=CH17)+AND(CH45,ABS(CH46)&gt;=CH17)+AND(CH47,ABS(CH48)&gt;=CH17)+AND(CH49,ABS(CH50)&gt;=CH17))&gt;2,0,1)</f>
        <v>1</v>
      </c>
      <c r="CI57" s="20">
        <f t="shared" ref="CI57" si="282">IF( (AND(CI43,ABS(CI44)&gt;=CI17)+AND(CI45,ABS(CI46)&gt;=CI17)+AND(CI47,ABS(CI48)&gt;=CI17)+AND(CI49,ABS(CI50)&gt;=CI17))&gt;2,0,1)</f>
        <v>1</v>
      </c>
      <c r="CJ57" s="20">
        <f t="shared" ref="CJ57" si="283">IF( (AND(CJ43,ABS(CJ44)&gt;=CJ17)+AND(CJ45,ABS(CJ46)&gt;=CJ17)+AND(CJ47,ABS(CJ48)&gt;=CJ17)+AND(CJ49,ABS(CJ50)&gt;=CJ17))&gt;2,0,1)</f>
        <v>1</v>
      </c>
      <c r="CK57" s="20">
        <f t="shared" ref="CK57" si="284">IF( (AND(CK43,ABS(CK44)&gt;=CK17)+AND(CK45,ABS(CK46)&gt;=CK17)+AND(CK47,ABS(CK48)&gt;=CK17)+AND(CK49,ABS(CK50)&gt;=CK17))&gt;2,0,1)</f>
        <v>1</v>
      </c>
      <c r="CL57" s="20">
        <f t="shared" ref="CL57" si="285">IF( (AND(CL43,ABS(CL44)&gt;=CL17)+AND(CL45,ABS(CL46)&gt;=CL17)+AND(CL47,ABS(CL48)&gt;=CL17)+AND(CL49,ABS(CL50)&gt;=CL17))&gt;2,0,1)</f>
        <v>1</v>
      </c>
      <c r="CM57" s="20">
        <f t="shared" ref="CM57" si="286">IF( (AND(CM43,ABS(CM44)&gt;=CM17)+AND(CM45,ABS(CM46)&gt;=CM17)+AND(CM47,ABS(CM48)&gt;=CM17)+AND(CM49,ABS(CM50)&gt;=CM17))&gt;2,0,1)</f>
        <v>1</v>
      </c>
      <c r="CN57" s="20">
        <f t="shared" ref="CN57" si="287">IF( (AND(CN43,ABS(CN44)&gt;=CN17)+AND(CN45,ABS(CN46)&gt;=CN17)+AND(CN47,ABS(CN48)&gt;=CN17)+AND(CN49,ABS(CN50)&gt;=CN17))&gt;2,0,1)</f>
        <v>1</v>
      </c>
      <c r="CO57" s="20">
        <f t="shared" ref="CO57" si="288">IF( (AND(CO43,ABS(CO44)&gt;=CO17)+AND(CO45,ABS(CO46)&gt;=CO17)+AND(CO47,ABS(CO48)&gt;=CO17)+AND(CO49,ABS(CO50)&gt;=CO17))&gt;2,0,1)</f>
        <v>1</v>
      </c>
      <c r="CP57" s="20">
        <f t="shared" ref="CP57" si="289">IF( (AND(CP43,ABS(CP44)&gt;=CP17)+AND(CP45,ABS(CP46)&gt;=CP17)+AND(CP47,ABS(CP48)&gt;=CP17)+AND(CP49,ABS(CP50)&gt;=CP17))&gt;2,0,1)</f>
        <v>1</v>
      </c>
      <c r="CQ57" s="20">
        <f t="shared" ref="CQ57" si="290">IF( (AND(CQ43,ABS(CQ44)&gt;=CQ17)+AND(CQ45,ABS(CQ46)&gt;=CQ17)+AND(CQ47,ABS(CQ48)&gt;=CQ17)+AND(CQ49,ABS(CQ50)&gt;=CQ17))&gt;2,0,1)</f>
        <v>1</v>
      </c>
      <c r="CR57" s="20">
        <f t="shared" ref="CR57" si="291">IF( (AND(CR43,ABS(CR44)&gt;=CR17)+AND(CR45,ABS(CR46)&gt;=CR17)+AND(CR47,ABS(CR48)&gt;=CR17)+AND(CR49,ABS(CR50)&gt;=CR17))&gt;2,0,1)</f>
        <v>1</v>
      </c>
      <c r="CS57" s="20">
        <f t="shared" ref="CS57" si="292">IF( (AND(CS43,ABS(CS44)&gt;=CS17)+AND(CS45,ABS(CS46)&gt;=CS17)+AND(CS47,ABS(CS48)&gt;=CS17)+AND(CS49,ABS(CS50)&gt;=CS17))&gt;2,0,1)</f>
        <v>1</v>
      </c>
      <c r="CT57" s="20">
        <f t="shared" ref="CT57" si="293">IF( (AND(CT43,ABS(CT44)&gt;=CT17)+AND(CT45,ABS(CT46)&gt;=CT17)+AND(CT47,ABS(CT48)&gt;=CT17)+AND(CT49,ABS(CT50)&gt;=CT17))&gt;2,0,1)</f>
        <v>1</v>
      </c>
      <c r="CU57" s="20">
        <f t="shared" ref="CU57" si="294">IF( (AND(CU43,ABS(CU44)&gt;=CU17)+AND(CU45,ABS(CU46)&gt;=CU17)+AND(CU47,ABS(CU48)&gt;=CU17)+AND(CU49,ABS(CU50)&gt;=CU17))&gt;2,0,1)</f>
        <v>1</v>
      </c>
      <c r="CV57" s="20">
        <f t="shared" ref="CV57" si="295">IF( (AND(CV43,ABS(CV44)&gt;=CV17)+AND(CV45,ABS(CV46)&gt;=CV17)+AND(CV47,ABS(CV48)&gt;=CV17)+AND(CV49,ABS(CV50)&gt;=CV17))&gt;2,0,1)</f>
        <v>1</v>
      </c>
      <c r="CW57" s="20">
        <f t="shared" ref="CW57" si="296">IF( (AND(CW43,ABS(CW44)&gt;=CW17)+AND(CW45,ABS(CW46)&gt;=CW17)+AND(CW47,ABS(CW48)&gt;=CW17)+AND(CW49,ABS(CW50)&gt;=CW17))&gt;2,0,1)</f>
        <v>1</v>
      </c>
      <c r="CX57" s="20">
        <f t="shared" ref="CX57" si="297">IF( (AND(CX43,ABS(CX44)&gt;=CX17)+AND(CX45,ABS(CX46)&gt;=CX17)+AND(CX47,ABS(CX48)&gt;=CX17)+AND(CX49,ABS(CX50)&gt;=CX17))&gt;2,0,1)</f>
        <v>1</v>
      </c>
      <c r="CY57" s="20">
        <f t="shared" ref="CY57" si="298">IF( (AND(CY43,ABS(CY44)&gt;=CY17)+AND(CY45,ABS(CY46)&gt;=CY17)+AND(CY47,ABS(CY48)&gt;=CY17)+AND(CY49,ABS(CY50)&gt;=CY17))&gt;2,0,1)</f>
        <v>1</v>
      </c>
      <c r="CZ57" s="20">
        <f t="shared" ref="CZ57" si="299">IF( (AND(CZ43,ABS(CZ44)&gt;=CZ17)+AND(CZ45,ABS(CZ46)&gt;=CZ17)+AND(CZ47,ABS(CZ48)&gt;=CZ17)+AND(CZ49,ABS(CZ50)&gt;=CZ17))&gt;2,0,1)</f>
        <v>1</v>
      </c>
      <c r="DA57" s="20">
        <f t="shared" ref="DA57" si="300">IF( (AND(DA43,ABS(DA44)&gt;=DA17)+AND(DA45,ABS(DA46)&gt;=DA17)+AND(DA47,ABS(DA48)&gt;=DA17)+AND(DA49,ABS(DA50)&gt;=DA17))&gt;2,0,1)</f>
        <v>1</v>
      </c>
      <c r="DB57" s="20">
        <f t="shared" ref="DB57" si="301">IF( (AND(DB43,ABS(DB44)&gt;=DB17)+AND(DB45,ABS(DB46)&gt;=DB17)+AND(DB47,ABS(DB48)&gt;=DB17)+AND(DB49,ABS(DB50)&gt;=DB17))&gt;2,0,1)</f>
        <v>1</v>
      </c>
      <c r="DC57" s="20">
        <f t="shared" ref="DC57" si="302">IF( (AND(DC43,ABS(DC44)&gt;=DC17)+AND(DC45,ABS(DC46)&gt;=DC17)+AND(DC47,ABS(DC48)&gt;=DC17)+AND(DC49,ABS(DC50)&gt;=DC17))&gt;2,0,1)</f>
        <v>1</v>
      </c>
      <c r="DD57" s="20">
        <f t="shared" ref="DD57" si="303">IF( (AND(DD43,ABS(DD44)&gt;=DD17)+AND(DD45,ABS(DD46)&gt;=DD17)+AND(DD47,ABS(DD48)&gt;=DD17)+AND(DD49,ABS(DD50)&gt;=DD17))&gt;2,0,1)</f>
        <v>1</v>
      </c>
      <c r="DE57" s="20">
        <f t="shared" ref="DE57" si="304">IF( (AND(DE43,ABS(DE44)&gt;=DE17)+AND(DE45,ABS(DE46)&gt;=DE17)+AND(DE47,ABS(DE48)&gt;=DE17)+AND(DE49,ABS(DE50)&gt;=DE17))&gt;2,0,1)</f>
        <v>1</v>
      </c>
      <c r="DF57" s="20">
        <f t="shared" ref="DF57" si="305">IF( (AND(DF43,ABS(DF44)&gt;=DF17)+AND(DF45,ABS(DF46)&gt;=DF17)+AND(DF47,ABS(DF48)&gt;=DF17)+AND(DF49,ABS(DF50)&gt;=DF17))&gt;2,0,1)</f>
        <v>1</v>
      </c>
      <c r="DG57" s="20">
        <f t="shared" ref="DG57" si="306">IF( (AND(DG43,ABS(DG44)&gt;=DG17)+AND(DG45,ABS(DG46)&gt;=DG17)+AND(DG47,ABS(DG48)&gt;=DG17)+AND(DG49,ABS(DG50)&gt;=DG17))&gt;2,0,1)</f>
        <v>1</v>
      </c>
      <c r="DH57" s="20">
        <f t="shared" ref="DH57" si="307">IF( (AND(DH43,ABS(DH44)&gt;=DH17)+AND(DH45,ABS(DH46)&gt;=DH17)+AND(DH47,ABS(DH48)&gt;=DH17)+AND(DH49,ABS(DH50)&gt;=DH17))&gt;2,0,1)</f>
        <v>1</v>
      </c>
      <c r="DI57" s="20">
        <f t="shared" ref="DI57" si="308">IF( (AND(DI43,ABS(DI44)&gt;=DI17)+AND(DI45,ABS(DI46)&gt;=DI17)+AND(DI47,ABS(DI48)&gt;=DI17)+AND(DI49,ABS(DI50)&gt;=DI17))&gt;2,0,1)</f>
        <v>1</v>
      </c>
      <c r="DJ57" s="20">
        <f t="shared" ref="DJ57" si="309">IF( (AND(DJ43,ABS(DJ44)&gt;=DJ17)+AND(DJ45,ABS(DJ46)&gt;=DJ17)+AND(DJ47,ABS(DJ48)&gt;=DJ17)+AND(DJ49,ABS(DJ50)&gt;=DJ17))&gt;2,0,1)</f>
        <v>1</v>
      </c>
      <c r="DK57" s="20">
        <f t="shared" ref="DK57" si="310">IF( (AND(DK43,ABS(DK44)&gt;=DK17)+AND(DK45,ABS(DK46)&gt;=DK17)+AND(DK47,ABS(DK48)&gt;=DK17)+AND(DK49,ABS(DK50)&gt;=DK17))&gt;2,0,1)</f>
        <v>1</v>
      </c>
      <c r="DL57" s="20">
        <f t="shared" ref="DL57" si="311">IF( (AND(DL43,ABS(DL44)&gt;=DL17)+AND(DL45,ABS(DL46)&gt;=DL17)+AND(DL47,ABS(DL48)&gt;=DL17)+AND(DL49,ABS(DL50)&gt;=DL17))&gt;2,0,1)</f>
        <v>1</v>
      </c>
      <c r="DM57" s="20">
        <f t="shared" ref="DM57" si="312">IF( (AND(DM43,ABS(DM44)&gt;=DM17)+AND(DM45,ABS(DM46)&gt;=DM17)+AND(DM47,ABS(DM48)&gt;=DM17)+AND(DM49,ABS(DM50)&gt;=DM17))&gt;2,0,1)</f>
        <v>1</v>
      </c>
      <c r="DN57" s="20">
        <f t="shared" ref="DN57" si="313">IF( (AND(DN43,ABS(DN44)&gt;=DN17)+AND(DN45,ABS(DN46)&gt;=DN17)+AND(DN47,ABS(DN48)&gt;=DN17)+AND(DN49,ABS(DN50)&gt;=DN17))&gt;2,0,1)</f>
        <v>1</v>
      </c>
      <c r="DO57" s="20">
        <f t="shared" ref="DO57" si="314">IF( (AND(DO43,ABS(DO44)&gt;=DO17)+AND(DO45,ABS(DO46)&gt;=DO17)+AND(DO47,ABS(DO48)&gt;=DO17)+AND(DO49,ABS(DO50)&gt;=DO17))&gt;2,0,1)</f>
        <v>1</v>
      </c>
      <c r="DP57" s="20">
        <f t="shared" ref="DP57" si="315">IF( (AND(DP43,ABS(DP44)&gt;=DP17)+AND(DP45,ABS(DP46)&gt;=DP17)+AND(DP47,ABS(DP48)&gt;=DP17)+AND(DP49,ABS(DP50)&gt;=DP17))&gt;2,0,1)</f>
        <v>1</v>
      </c>
      <c r="DQ57" s="20">
        <f t="shared" ref="DQ57" si="316">IF( (AND(DQ43,ABS(DQ44)&gt;=DQ17)+AND(DQ45,ABS(DQ46)&gt;=DQ17)+AND(DQ47,ABS(DQ48)&gt;=DQ17)+AND(DQ49,ABS(DQ50)&gt;=DQ17))&gt;2,0,1)</f>
        <v>1</v>
      </c>
      <c r="DR57" s="20">
        <f t="shared" ref="DR57" si="317">IF( (AND(DR43,ABS(DR44)&gt;=DR17)+AND(DR45,ABS(DR46)&gt;=DR17)+AND(DR47,ABS(DR48)&gt;=DR17)+AND(DR49,ABS(DR50)&gt;=DR17))&gt;2,0,1)</f>
        <v>1</v>
      </c>
      <c r="DS57" s="20">
        <f t="shared" ref="DS57" si="318">IF( (AND(DS43,ABS(DS44)&gt;=DS17)+AND(DS45,ABS(DS46)&gt;=DS17)+AND(DS47,ABS(DS48)&gt;=DS17)+AND(DS49,ABS(DS50)&gt;=DS17))&gt;2,0,1)</f>
        <v>1</v>
      </c>
      <c r="DT57" s="20">
        <f t="shared" ref="DT57" si="319">IF( (AND(DT43,ABS(DT44)&gt;=DT17)+AND(DT45,ABS(DT46)&gt;=DT17)+AND(DT47,ABS(DT48)&gt;=DT17)+AND(DT49,ABS(DT50)&gt;=DT17))&gt;2,0,1)</f>
        <v>1</v>
      </c>
      <c r="DU57" s="20">
        <f t="shared" ref="DU57" si="320">IF( (AND(DU43,ABS(DU44)&gt;=DU17)+AND(DU45,ABS(DU46)&gt;=DU17)+AND(DU47,ABS(DU48)&gt;=DU17)+AND(DU49,ABS(DU50)&gt;=DU17))&gt;2,0,1)</f>
        <v>1</v>
      </c>
      <c r="DV57" s="20">
        <f t="shared" ref="DV57" si="321">IF( (AND(DV43,ABS(DV44)&gt;=DV17)+AND(DV45,ABS(DV46)&gt;=DV17)+AND(DV47,ABS(DV48)&gt;=DV17)+AND(DV49,ABS(DV50)&gt;=DV17))&gt;2,0,1)</f>
        <v>1</v>
      </c>
      <c r="DW57" s="20">
        <f t="shared" ref="DW57" si="322">IF( (AND(DW43,ABS(DW44)&gt;=DW17)+AND(DW45,ABS(DW46)&gt;=DW17)+AND(DW47,ABS(DW48)&gt;=DW17)+AND(DW49,ABS(DW50)&gt;=DW17))&gt;2,0,1)</f>
        <v>1</v>
      </c>
      <c r="DX57" s="20">
        <f t="shared" ref="DX57" si="323">IF( (AND(DX43,ABS(DX44)&gt;=DX17)+AND(DX45,ABS(DX46)&gt;=DX17)+AND(DX47,ABS(DX48)&gt;=DX17)+AND(DX49,ABS(DX50)&gt;=DX17))&gt;2,0,1)</f>
        <v>1</v>
      </c>
      <c r="DY57" s="20">
        <f t="shared" ref="DY57" si="324">IF( (AND(DY43,ABS(DY44)&gt;=DY17)+AND(DY45,ABS(DY46)&gt;=DY17)+AND(DY47,ABS(DY48)&gt;=DY17)+AND(DY49,ABS(DY50)&gt;=DY17))&gt;2,0,1)</f>
        <v>1</v>
      </c>
      <c r="DZ57" s="20">
        <f t="shared" ref="DZ57" si="325">IF( (AND(DZ43,ABS(DZ44)&gt;=DZ17)+AND(DZ45,ABS(DZ46)&gt;=DZ17)+AND(DZ47,ABS(DZ48)&gt;=DZ17)+AND(DZ49,ABS(DZ50)&gt;=DZ17))&gt;2,0,1)</f>
        <v>1</v>
      </c>
      <c r="EA57" s="20">
        <f t="shared" ref="EA57" si="326">IF( (AND(EA43,ABS(EA44)&gt;=EA17)+AND(EA45,ABS(EA46)&gt;=EA17)+AND(EA47,ABS(EA48)&gt;=EA17)+AND(EA49,ABS(EA50)&gt;=EA17))&gt;2,0,1)</f>
        <v>1</v>
      </c>
      <c r="EB57" s="20">
        <f t="shared" ref="EB57" si="327">IF( (AND(EB43,ABS(EB44)&gt;=EB17)+AND(EB45,ABS(EB46)&gt;=EB17)+AND(EB47,ABS(EB48)&gt;=EB17)+AND(EB49,ABS(EB50)&gt;=EB17))&gt;2,0,1)</f>
        <v>1</v>
      </c>
      <c r="EC57" s="20">
        <f t="shared" ref="EC57" si="328">IF( (AND(EC43,ABS(EC44)&gt;=EC17)+AND(EC45,ABS(EC46)&gt;=EC17)+AND(EC47,ABS(EC48)&gt;=EC17)+AND(EC49,ABS(EC50)&gt;=EC17))&gt;2,0,1)</f>
        <v>1</v>
      </c>
      <c r="ED57" s="20">
        <f t="shared" ref="ED57" si="329">IF( (AND(ED43,ABS(ED44)&gt;=ED17)+AND(ED45,ABS(ED46)&gt;=ED17)+AND(ED47,ABS(ED48)&gt;=ED17)+AND(ED49,ABS(ED50)&gt;=ED17))&gt;2,0,1)</f>
        <v>1</v>
      </c>
      <c r="EE57" s="20">
        <f t="shared" ref="EE57" si="330">IF( (AND(EE43,ABS(EE44)&gt;=EE17)+AND(EE45,ABS(EE46)&gt;=EE17)+AND(EE47,ABS(EE48)&gt;=EE17)+AND(EE49,ABS(EE50)&gt;=EE17))&gt;2,0,1)</f>
        <v>1</v>
      </c>
      <c r="EF57" s="20">
        <f t="shared" ref="EF57" si="331">IF( (AND(EF43,ABS(EF44)&gt;=EF17)+AND(EF45,ABS(EF46)&gt;=EF17)+AND(EF47,ABS(EF48)&gt;=EF17)+AND(EF49,ABS(EF50)&gt;=EF17))&gt;2,0,1)</f>
        <v>1</v>
      </c>
      <c r="EG57" s="20">
        <f t="shared" ref="EG57" si="332">IF( (AND(EG43,ABS(EG44)&gt;=EG17)+AND(EG45,ABS(EG46)&gt;=EG17)+AND(EG47,ABS(EG48)&gt;=EG17)+AND(EG49,ABS(EG50)&gt;=EG17))&gt;2,0,1)</f>
        <v>1</v>
      </c>
      <c r="EH57" s="20">
        <f t="shared" ref="EH57" si="333">IF( (AND(EH43,ABS(EH44)&gt;=EH17)+AND(EH45,ABS(EH46)&gt;=EH17)+AND(EH47,ABS(EH48)&gt;=EH17)+AND(EH49,ABS(EH50)&gt;=EH17))&gt;2,0,1)</f>
        <v>1</v>
      </c>
      <c r="EI57" s="20">
        <f t="shared" ref="EI57" si="334">IF( (AND(EI43,ABS(EI44)&gt;=EI17)+AND(EI45,ABS(EI46)&gt;=EI17)+AND(EI47,ABS(EI48)&gt;=EI17)+AND(EI49,ABS(EI50)&gt;=EI17))&gt;2,0,1)</f>
        <v>1</v>
      </c>
      <c r="EJ57" s="20">
        <f t="shared" ref="EJ57" si="335">IF( (AND(EJ43,ABS(EJ44)&gt;=EJ17)+AND(EJ45,ABS(EJ46)&gt;=EJ17)+AND(EJ47,ABS(EJ48)&gt;=EJ17)+AND(EJ49,ABS(EJ50)&gt;=EJ17))&gt;2,0,1)</f>
        <v>1</v>
      </c>
      <c r="EK57" s="20">
        <f t="shared" ref="EK57" si="336">IF( (AND(EK43,ABS(EK44)&gt;=EK17)+AND(EK45,ABS(EK46)&gt;=EK17)+AND(EK47,ABS(EK48)&gt;=EK17)+AND(EK49,ABS(EK50)&gt;=EK17))&gt;2,0,1)</f>
        <v>1</v>
      </c>
      <c r="EL57" s="20">
        <f t="shared" ref="EL57" si="337">IF( (AND(EL43,ABS(EL44)&gt;=EL17)+AND(EL45,ABS(EL46)&gt;=EL17)+AND(EL47,ABS(EL48)&gt;=EL17)+AND(EL49,ABS(EL50)&gt;=EL17))&gt;2,0,1)</f>
        <v>1</v>
      </c>
      <c r="EM57" s="20">
        <f t="shared" ref="EM57" si="338">IF( (AND(EM43,ABS(EM44)&gt;=EM17)+AND(EM45,ABS(EM46)&gt;=EM17)+AND(EM47,ABS(EM48)&gt;=EM17)+AND(EM49,ABS(EM50)&gt;=EM17))&gt;2,0,1)</f>
        <v>1</v>
      </c>
      <c r="EN57" s="20">
        <f t="shared" ref="EN57" si="339">IF( (AND(EN43,ABS(EN44)&gt;=EN17)+AND(EN45,ABS(EN46)&gt;=EN17)+AND(EN47,ABS(EN48)&gt;=EN17)+AND(EN49,ABS(EN50)&gt;=EN17))&gt;2,0,1)</f>
        <v>1</v>
      </c>
      <c r="EO57" s="20">
        <f t="shared" ref="EO57" si="340">IF( (AND(EO43,ABS(EO44)&gt;=EO17)+AND(EO45,ABS(EO46)&gt;=EO17)+AND(EO47,ABS(EO48)&gt;=EO17)+AND(EO49,ABS(EO50)&gt;=EO17))&gt;2,0,1)</f>
        <v>1</v>
      </c>
      <c r="EP57" s="20">
        <f t="shared" ref="EP57" si="341">IF( (AND(EP43,ABS(EP44)&gt;=EP17)+AND(EP45,ABS(EP46)&gt;=EP17)+AND(EP47,ABS(EP48)&gt;=EP17)+AND(EP49,ABS(EP50)&gt;=EP17))&gt;2,0,1)</f>
        <v>1</v>
      </c>
      <c r="EQ57" s="20">
        <f t="shared" ref="EQ57" si="342">IF( (AND(EQ43,ABS(EQ44)&gt;=EQ17)+AND(EQ45,ABS(EQ46)&gt;=EQ17)+AND(EQ47,ABS(EQ48)&gt;=EQ17)+AND(EQ49,ABS(EQ50)&gt;=EQ17))&gt;2,0,1)</f>
        <v>1</v>
      </c>
      <c r="ER57" s="20">
        <f t="shared" ref="ER57" si="343">IF( (AND(ER43,ABS(ER44)&gt;=ER17)+AND(ER45,ABS(ER46)&gt;=ER17)+AND(ER47,ABS(ER48)&gt;=ER17)+AND(ER49,ABS(ER50)&gt;=ER17))&gt;2,0,1)</f>
        <v>1</v>
      </c>
      <c r="ES57" s="20">
        <f t="shared" ref="ES57" si="344">IF( (AND(ES43,ABS(ES44)&gt;=ES17)+AND(ES45,ABS(ES46)&gt;=ES17)+AND(ES47,ABS(ES48)&gt;=ES17)+AND(ES49,ABS(ES50)&gt;=ES17))&gt;2,0,1)</f>
        <v>1</v>
      </c>
      <c r="ET57" s="20">
        <f t="shared" ref="ET57" si="345">IF( (AND(ET43,ABS(ET44)&gt;=ET17)+AND(ET45,ABS(ET46)&gt;=ET17)+AND(ET47,ABS(ET48)&gt;=ET17)+AND(ET49,ABS(ET50)&gt;=ET17))&gt;2,0,1)</f>
        <v>1</v>
      </c>
      <c r="EU57" s="20">
        <f t="shared" ref="EU57" si="346">IF( (AND(EU43,ABS(EU44)&gt;=EU17)+AND(EU45,ABS(EU46)&gt;=EU17)+AND(EU47,ABS(EU48)&gt;=EU17)+AND(EU49,ABS(EU50)&gt;=EU17))&gt;2,0,1)</f>
        <v>1</v>
      </c>
      <c r="EV57" s="20">
        <f t="shared" ref="EV57" si="347">IF( (AND(EV43,ABS(EV44)&gt;=EV17)+AND(EV45,ABS(EV46)&gt;=EV17)+AND(EV47,ABS(EV48)&gt;=EV17)+AND(EV49,ABS(EV50)&gt;=EV17))&gt;2,0,1)</f>
        <v>1</v>
      </c>
      <c r="EW57" s="20">
        <f t="shared" ref="EW57" si="348">IF( (AND(EW43,ABS(EW44)&gt;=EW17)+AND(EW45,ABS(EW46)&gt;=EW17)+AND(EW47,ABS(EW48)&gt;=EW17)+AND(EW49,ABS(EW50)&gt;=EW17))&gt;2,0,1)</f>
        <v>1</v>
      </c>
      <c r="EX57" s="20">
        <f t="shared" ref="EX57" si="349">IF( (AND(EX43,ABS(EX44)&gt;=EX17)+AND(EX45,ABS(EX46)&gt;=EX17)+AND(EX47,ABS(EX48)&gt;=EX17)+AND(EX49,ABS(EX50)&gt;=EX17))&gt;2,0,1)</f>
        <v>1</v>
      </c>
      <c r="EY57" s="20">
        <f t="shared" ref="EY57" si="350">IF( (AND(EY43,ABS(EY44)&gt;=EY17)+AND(EY45,ABS(EY46)&gt;=EY17)+AND(EY47,ABS(EY48)&gt;=EY17)+AND(EY49,ABS(EY50)&gt;=EY17))&gt;2,0,1)</f>
        <v>1</v>
      </c>
      <c r="EZ57" s="20">
        <f t="shared" ref="EZ57" si="351">IF( (AND(EZ43,ABS(EZ44)&gt;=EZ17)+AND(EZ45,ABS(EZ46)&gt;=EZ17)+AND(EZ47,ABS(EZ48)&gt;=EZ17)+AND(EZ49,ABS(EZ50)&gt;=EZ17))&gt;2,0,1)</f>
        <v>1</v>
      </c>
      <c r="FA57" s="20">
        <f t="shared" ref="FA57" si="352">IF( (AND(FA43,ABS(FA44)&gt;=FA17)+AND(FA45,ABS(FA46)&gt;=FA17)+AND(FA47,ABS(FA48)&gt;=FA17)+AND(FA49,ABS(FA50)&gt;=FA17))&gt;2,0,1)</f>
        <v>1</v>
      </c>
      <c r="FB57" s="20">
        <f t="shared" ref="FB57" si="353">IF( (AND(FB43,ABS(FB44)&gt;=FB17)+AND(FB45,ABS(FB46)&gt;=FB17)+AND(FB47,ABS(FB48)&gt;=FB17)+AND(FB49,ABS(FB50)&gt;=FB17))&gt;2,0,1)</f>
        <v>1</v>
      </c>
      <c r="FC57" s="20">
        <f t="shared" ref="FC57" si="354">IF( (AND(FC43,ABS(FC44)&gt;=FC17)+AND(FC45,ABS(FC46)&gt;=FC17)+AND(FC47,ABS(FC48)&gt;=FC17)+AND(FC49,ABS(FC50)&gt;=FC17))&gt;2,0,1)</f>
        <v>1</v>
      </c>
      <c r="FE57" s="20">
        <f t="shared" ref="FE57" si="355">IF( (AND(FE43,ABS(FE44)&gt;=FE17)+AND(FE45,ABS(FE46)&gt;=FE17)+AND(FE47,ABS(FE48)&gt;=FE17)+AND(FE49,ABS(FE50)&gt;=FE17))&gt;2,0,1)</f>
        <v>1</v>
      </c>
      <c r="FF57" s="20">
        <f t="shared" ref="FF57" si="356">IF( (AND(FF43,ABS(FF44)&gt;=FF17)+AND(FF45,ABS(FF46)&gt;=FF17)+AND(FF47,ABS(FF48)&gt;=FF17)+AND(FF49,ABS(FF50)&gt;=FF17))&gt;2,0,1)</f>
        <v>1</v>
      </c>
      <c r="FG57" s="20">
        <f t="shared" ref="FG57" si="357">IF( (AND(FG43,ABS(FG44)&gt;=FG17)+AND(FG45,ABS(FG46)&gt;=FG17)+AND(FG47,ABS(FG48)&gt;=FG17)+AND(FG49,ABS(FG50)&gt;=FG17))&gt;2,0,1)</f>
        <v>1</v>
      </c>
      <c r="FH57" s="20">
        <f t="shared" ref="FH57" si="358">IF( (AND(FH43,ABS(FH44)&gt;=FH17)+AND(FH45,ABS(FH46)&gt;=FH17)+AND(FH47,ABS(FH48)&gt;=FH17)+AND(FH49,ABS(FH50)&gt;=FH17))&gt;2,0,1)</f>
        <v>1</v>
      </c>
      <c r="FI57" s="20">
        <f t="shared" ref="FI57" si="359">IF( (AND(FI43,ABS(FI44)&gt;=FI17)+AND(FI45,ABS(FI46)&gt;=FI17)+AND(FI47,ABS(FI48)&gt;=FI17)+AND(FI49,ABS(FI50)&gt;=FI17))&gt;2,0,1)</f>
        <v>1</v>
      </c>
      <c r="FJ57" s="20">
        <f t="shared" ref="FJ57" si="360">IF( (AND(FJ43,ABS(FJ44)&gt;=FJ17)+AND(FJ45,ABS(FJ46)&gt;=FJ17)+AND(FJ47,ABS(FJ48)&gt;=FJ17)+AND(FJ49,ABS(FJ50)&gt;=FJ17))&gt;2,0,1)</f>
        <v>1</v>
      </c>
      <c r="FK57" s="20">
        <f t="shared" ref="FK57" si="361">IF( (AND(FK43,ABS(FK44)&gt;=FK17)+AND(FK45,ABS(FK46)&gt;=FK17)+AND(FK47,ABS(FK48)&gt;=FK17)+AND(FK49,ABS(FK50)&gt;=FK17))&gt;2,0,1)</f>
        <v>1</v>
      </c>
      <c r="FL57" s="20">
        <f t="shared" ref="FL57" si="362">IF( (AND(FL43,ABS(FL44)&gt;=FL17)+AND(FL45,ABS(FL46)&gt;=FL17)+AND(FL47,ABS(FL48)&gt;=FL17)+AND(FL49,ABS(FL50)&gt;=FL17))&gt;2,0,1)</f>
        <v>1</v>
      </c>
      <c r="FM57" s="20">
        <f t="shared" ref="FM57" si="363">IF( (AND(FM43,ABS(FM44)&gt;=FM17)+AND(FM45,ABS(FM46)&gt;=FM17)+AND(FM47,ABS(FM48)&gt;=FM17)+AND(FM49,ABS(FM50)&gt;=FM17))&gt;2,0,1)</f>
        <v>1</v>
      </c>
      <c r="FN57" s="20">
        <f t="shared" ref="FN57" si="364">IF( (AND(FN43,ABS(FN44)&gt;=FN17)+AND(FN45,ABS(FN46)&gt;=FN17)+AND(FN47,ABS(FN48)&gt;=FN17)+AND(FN49,ABS(FN50)&gt;=FN17))&gt;2,0,1)</f>
        <v>1</v>
      </c>
      <c r="FO57" s="20">
        <f t="shared" ref="FO57" si="365">IF( (AND(FO43,ABS(FO44)&gt;=FO17)+AND(FO45,ABS(FO46)&gt;=FO17)+AND(FO47,ABS(FO48)&gt;=FO17)+AND(FO49,ABS(FO50)&gt;=FO17))&gt;2,0,1)</f>
        <v>1</v>
      </c>
      <c r="FP57" s="20">
        <f t="shared" ref="FP57" si="366">IF( (AND(FP43,ABS(FP44)&gt;=FP17)+AND(FP45,ABS(FP46)&gt;=FP17)+AND(FP47,ABS(FP48)&gt;=FP17)+AND(FP49,ABS(FP50)&gt;=FP17))&gt;2,0,1)</f>
        <v>1</v>
      </c>
      <c r="FQ57" s="20">
        <f t="shared" ref="FQ57" si="367">IF( (AND(FQ43,ABS(FQ44)&gt;=FQ17)+AND(FQ45,ABS(FQ46)&gt;=FQ17)+AND(FQ47,ABS(FQ48)&gt;=FQ17)+AND(FQ49,ABS(FQ50)&gt;=FQ17))&gt;2,0,1)</f>
        <v>1</v>
      </c>
      <c r="FR57" s="20">
        <f t="shared" ref="FR57" si="368">IF( (AND(FR43,ABS(FR44)&gt;=FR17)+AND(FR45,ABS(FR46)&gt;=FR17)+AND(FR47,ABS(FR48)&gt;=FR17)+AND(FR49,ABS(FR50)&gt;=FR17))&gt;2,0,1)</f>
        <v>1</v>
      </c>
      <c r="FS57" s="20">
        <f t="shared" ref="FS57" si="369">IF( (AND(FS43,ABS(FS44)&gt;=FS17)+AND(FS45,ABS(FS46)&gt;=FS17)+AND(FS47,ABS(FS48)&gt;=FS17)+AND(FS49,ABS(FS50)&gt;=FS17))&gt;2,0,1)</f>
        <v>1</v>
      </c>
      <c r="FT57" s="20">
        <f t="shared" ref="FT57" si="370">IF( (AND(FT43,ABS(FT44)&gt;=FT17)+AND(FT45,ABS(FT46)&gt;=FT17)+AND(FT47,ABS(FT48)&gt;=FT17)+AND(FT49,ABS(FT50)&gt;=FT17))&gt;2,0,1)</f>
        <v>1</v>
      </c>
      <c r="FU57" s="20">
        <f t="shared" ref="FU57" si="371">IF( (AND(FU43,ABS(FU44)&gt;=FU17)+AND(FU45,ABS(FU46)&gt;=FU17)+AND(FU47,ABS(FU48)&gt;=FU17)+AND(FU49,ABS(FU50)&gt;=FU17))&gt;2,0,1)</f>
        <v>1</v>
      </c>
      <c r="FV57" s="20">
        <f t="shared" ref="FV57" si="372">IF( (AND(FV43,ABS(FV44)&gt;=FV17)+AND(FV45,ABS(FV46)&gt;=FV17)+AND(FV47,ABS(FV48)&gt;=FV17)+AND(FV49,ABS(FV50)&gt;=FV17))&gt;2,0,1)</f>
        <v>1</v>
      </c>
      <c r="FW57" s="20">
        <f t="shared" ref="FW57" si="373">IF( (AND(FW43,ABS(FW44)&gt;=FW17)+AND(FW45,ABS(FW46)&gt;=FW17)+AND(FW47,ABS(FW48)&gt;=FW17)+AND(FW49,ABS(FW50)&gt;=FW17))&gt;2,0,1)</f>
        <v>1</v>
      </c>
      <c r="FX57" s="20">
        <f t="shared" ref="FX57" si="374">IF( (AND(FX43,ABS(FX44)&gt;=FX17)+AND(FX45,ABS(FX46)&gt;=FX17)+AND(FX47,ABS(FX48)&gt;=FX17)+AND(FX49,ABS(FX50)&gt;=FX17))&gt;2,0,1)</f>
        <v>1</v>
      </c>
      <c r="FY57" s="20">
        <f t="shared" ref="FY57" si="375">IF( (AND(FY43,ABS(FY44)&gt;=FY17)+AND(FY45,ABS(FY46)&gt;=FY17)+AND(FY47,ABS(FY48)&gt;=FY17)+AND(FY49,ABS(FY50)&gt;=FY17))&gt;2,0,1)</f>
        <v>1</v>
      </c>
      <c r="FZ57" s="20">
        <f t="shared" ref="FZ57" si="376">IF( (AND(FZ43,ABS(FZ44)&gt;=FZ17)+AND(FZ45,ABS(FZ46)&gt;=FZ17)+AND(FZ47,ABS(FZ48)&gt;=FZ17)+AND(FZ49,ABS(FZ50)&gt;=FZ17))&gt;2,0,1)</f>
        <v>1</v>
      </c>
      <c r="GA57" s="20">
        <f t="shared" ref="GA57" si="377">IF( (AND(GA43,ABS(GA44)&gt;=GA17)+AND(GA45,ABS(GA46)&gt;=GA17)+AND(GA47,ABS(GA48)&gt;=GA17)+AND(GA49,ABS(GA50)&gt;=GA17))&gt;2,0,1)</f>
        <v>1</v>
      </c>
      <c r="GB57" s="20">
        <f t="shared" ref="GB57" si="378">IF( (AND(GB43,ABS(GB44)&gt;=GB17)+AND(GB45,ABS(GB46)&gt;=GB17)+AND(GB47,ABS(GB48)&gt;=GB17)+AND(GB49,ABS(GB50)&gt;=GB17))&gt;2,0,1)</f>
        <v>1</v>
      </c>
      <c r="GC57" s="20">
        <f t="shared" ref="GC57" si="379">IF( (AND(GC43,ABS(GC44)&gt;=GC17)+AND(GC45,ABS(GC46)&gt;=GC17)+AND(GC47,ABS(GC48)&gt;=GC17)+AND(GC49,ABS(GC50)&gt;=GC17))&gt;2,0,1)</f>
        <v>1</v>
      </c>
      <c r="GD57" s="20">
        <f t="shared" ref="GD57" si="380">IF( (AND(GD43,ABS(GD44)&gt;=GD17)+AND(GD45,ABS(GD46)&gt;=GD17)+AND(GD47,ABS(GD48)&gt;=GD17)+AND(GD49,ABS(GD50)&gt;=GD17))&gt;2,0,1)</f>
        <v>1</v>
      </c>
      <c r="GE57" s="20">
        <f t="shared" ref="GE57" si="381">IF( (AND(GE43,ABS(GE44)&gt;=GE17)+AND(GE45,ABS(GE46)&gt;=GE17)+AND(GE47,ABS(GE48)&gt;=GE17)+AND(GE49,ABS(GE50)&gt;=GE17))&gt;2,0,1)</f>
        <v>1</v>
      </c>
      <c r="GF57" s="20">
        <f t="shared" ref="GF57" si="382">IF( (AND(GF43,ABS(GF44)&gt;=GF17)+AND(GF45,ABS(GF46)&gt;=GF17)+AND(GF47,ABS(GF48)&gt;=GF17)+AND(GF49,ABS(GF50)&gt;=GF17))&gt;2,0,1)</f>
        <v>1</v>
      </c>
      <c r="GG57" s="20">
        <f t="shared" ref="GG57" si="383">IF( (AND(GG43,ABS(GG44)&gt;=GG17)+AND(GG45,ABS(GG46)&gt;=GG17)+AND(GG47,ABS(GG48)&gt;=GG17)+AND(GG49,ABS(GG50)&gt;=GG17))&gt;2,0,1)</f>
        <v>1</v>
      </c>
      <c r="GH57" s="20">
        <f t="shared" ref="GH57" si="384">IF( (AND(GH43,ABS(GH44)&gt;=GH17)+AND(GH45,ABS(GH46)&gt;=GH17)+AND(GH47,ABS(GH48)&gt;=GH17)+AND(GH49,ABS(GH50)&gt;=GH17))&gt;2,0,1)</f>
        <v>1</v>
      </c>
      <c r="GI57" s="20">
        <f t="shared" ref="GI57" si="385">IF( (AND(GI43,ABS(GI44)&gt;=GI17)+AND(GI45,ABS(GI46)&gt;=GI17)+AND(GI47,ABS(GI48)&gt;=GI17)+AND(GI49,ABS(GI50)&gt;=GI17))&gt;2,0,1)</f>
        <v>1</v>
      </c>
      <c r="GJ57" s="20">
        <f t="shared" ref="GJ57" si="386">IF( (AND(GJ43,ABS(GJ44)&gt;=GJ17)+AND(GJ45,ABS(GJ46)&gt;=GJ17)+AND(GJ47,ABS(GJ48)&gt;=GJ17)+AND(GJ49,ABS(GJ50)&gt;=GJ17))&gt;2,0,1)</f>
        <v>1</v>
      </c>
      <c r="GK57" s="20">
        <f t="shared" ref="GK57" si="387">IF( (AND(GK43,ABS(GK44)&gt;=GK17)+AND(GK45,ABS(GK46)&gt;=GK17)+AND(GK47,ABS(GK48)&gt;=GK17)+AND(GK49,ABS(GK50)&gt;=GK17))&gt;2,0,1)</f>
        <v>1</v>
      </c>
      <c r="GL57" s="20">
        <f t="shared" ref="GL57" si="388">IF( (AND(GL43,ABS(GL44)&gt;=GL17)+AND(GL45,ABS(GL46)&gt;=GL17)+AND(GL47,ABS(GL48)&gt;=GL17)+AND(GL49,ABS(GL50)&gt;=GL17))&gt;2,0,1)</f>
        <v>1</v>
      </c>
      <c r="GM57" s="20">
        <f t="shared" ref="GM57" si="389">IF( (AND(GM43,ABS(GM44)&gt;=GM17)+AND(GM45,ABS(GM46)&gt;=GM17)+AND(GM47,ABS(GM48)&gt;=GM17)+AND(GM49,ABS(GM50)&gt;=GM17))&gt;2,0,1)</f>
        <v>1</v>
      </c>
      <c r="GN57" s="20">
        <f t="shared" ref="GN57" si="390">IF( (AND(GN43,ABS(GN44)&gt;=GN17)+AND(GN45,ABS(GN46)&gt;=GN17)+AND(GN47,ABS(GN48)&gt;=GN17)+AND(GN49,ABS(GN50)&gt;=GN17))&gt;2,0,1)</f>
        <v>1</v>
      </c>
      <c r="GO57" s="20">
        <f t="shared" ref="GO57" si="391">IF( (AND(GO43,ABS(GO44)&gt;=GO17)+AND(GO45,ABS(GO46)&gt;=GO17)+AND(GO47,ABS(GO48)&gt;=GO17)+AND(GO49,ABS(GO50)&gt;=GO17))&gt;2,0,1)</f>
        <v>1</v>
      </c>
      <c r="GP57" s="20">
        <f t="shared" ref="GP57" si="392">IF( (AND(GP43,ABS(GP44)&gt;=GP17)+AND(GP45,ABS(GP46)&gt;=GP17)+AND(GP47,ABS(GP48)&gt;=GP17)+AND(GP49,ABS(GP50)&gt;=GP17))&gt;2,0,1)</f>
        <v>1</v>
      </c>
      <c r="GQ57" s="20">
        <f t="shared" ref="GQ57" si="393">IF( (AND(GQ43,ABS(GQ44)&gt;=GQ17)+AND(GQ45,ABS(GQ46)&gt;=GQ17)+AND(GQ47,ABS(GQ48)&gt;=GQ17)+AND(GQ49,ABS(GQ50)&gt;=GQ17))&gt;2,0,1)</f>
        <v>1</v>
      </c>
      <c r="GR57" s="20">
        <f t="shared" ref="GR57" si="394">IF( (AND(GR43,ABS(GR44)&gt;=GR17)+AND(GR45,ABS(GR46)&gt;=GR17)+AND(GR47,ABS(GR48)&gt;=GR17)+AND(GR49,ABS(GR50)&gt;=GR17))&gt;2,0,1)</f>
        <v>1</v>
      </c>
      <c r="GS57" s="20">
        <f t="shared" ref="GS57" si="395">IF( (AND(GS43,ABS(GS44)&gt;=GS17)+AND(GS45,ABS(GS46)&gt;=GS17)+AND(GS47,ABS(GS48)&gt;=GS17)+AND(GS49,ABS(GS50)&gt;=GS17))&gt;2,0,1)</f>
        <v>1</v>
      </c>
      <c r="GT57" s="20">
        <f t="shared" ref="GT57" si="396">IF( (AND(GT43,ABS(GT44)&gt;=GT17)+AND(GT45,ABS(GT46)&gt;=GT17)+AND(GT47,ABS(GT48)&gt;=GT17)+AND(GT49,ABS(GT50)&gt;=GT17))&gt;2,0,1)</f>
        <v>1</v>
      </c>
      <c r="GU57" s="20">
        <f t="shared" ref="GU57" si="397">IF( (AND(GU43,ABS(GU44)&gt;=GU17)+AND(GU45,ABS(GU46)&gt;=GU17)+AND(GU47,ABS(GU48)&gt;=GU17)+AND(GU49,ABS(GU50)&gt;=GU17))&gt;2,0,1)</f>
        <v>1</v>
      </c>
      <c r="GV57" s="20">
        <f t="shared" ref="GV57" si="398">IF( (AND(GV43,ABS(GV44)&gt;=GV17)+AND(GV45,ABS(GV46)&gt;=GV17)+AND(GV47,ABS(GV48)&gt;=GV17)+AND(GV49,ABS(GV50)&gt;=GV17))&gt;2,0,1)</f>
        <v>1</v>
      </c>
      <c r="GW57" s="20">
        <f t="shared" ref="GW57" si="399">IF( (AND(GW43,ABS(GW44)&gt;=GW17)+AND(GW45,ABS(GW46)&gt;=GW17)+AND(GW47,ABS(GW48)&gt;=GW17)+AND(GW49,ABS(GW50)&gt;=GW17))&gt;2,0,1)</f>
        <v>1</v>
      </c>
      <c r="GX57" s="20">
        <f t="shared" ref="GX57" si="400">IF( (AND(GX43,ABS(GX44)&gt;=GX17)+AND(GX45,ABS(GX46)&gt;=GX17)+AND(GX47,ABS(GX48)&gt;=GX17)+AND(GX49,ABS(GX50)&gt;=GX17))&gt;2,0,1)</f>
        <v>1</v>
      </c>
      <c r="GY57" s="20">
        <f t="shared" ref="GY57" si="401">IF( (AND(GY43,ABS(GY44)&gt;=GY17)+AND(GY45,ABS(GY46)&gt;=GY17)+AND(GY47,ABS(GY48)&gt;=GY17)+AND(GY49,ABS(GY50)&gt;=GY17))&gt;2,0,1)</f>
        <v>1</v>
      </c>
      <c r="GZ57" s="20">
        <f t="shared" ref="GZ57" si="402">IF( (AND(GZ43,ABS(GZ44)&gt;=GZ17)+AND(GZ45,ABS(GZ46)&gt;=GZ17)+AND(GZ47,ABS(GZ48)&gt;=GZ17)+AND(GZ49,ABS(GZ50)&gt;=GZ17))&gt;2,0,1)</f>
        <v>1</v>
      </c>
      <c r="HA57" s="20">
        <f t="shared" ref="HA57" si="403">IF( (AND(HA43,ABS(HA44)&gt;=HA17)+AND(HA45,ABS(HA46)&gt;=HA17)+AND(HA47,ABS(HA48)&gt;=HA17)+AND(HA49,ABS(HA50)&gt;=HA17))&gt;2,0,1)</f>
        <v>1</v>
      </c>
      <c r="HB57" s="20">
        <f t="shared" ref="HB57" si="404">IF( (AND(HB43,ABS(HB44)&gt;=HB17)+AND(HB45,ABS(HB46)&gt;=HB17)+AND(HB47,ABS(HB48)&gt;=HB17)+AND(HB49,ABS(HB50)&gt;=HB17))&gt;2,0,1)</f>
        <v>1</v>
      </c>
      <c r="HC57" s="20">
        <f t="shared" ref="HC57" si="405">IF( (AND(HC43,ABS(HC44)&gt;=HC17)+AND(HC45,ABS(HC46)&gt;=HC17)+AND(HC47,ABS(HC48)&gt;=HC17)+AND(HC49,ABS(HC50)&gt;=HC17))&gt;2,0,1)</f>
        <v>1</v>
      </c>
      <c r="HD57" s="20">
        <f t="shared" ref="HD57" si="406">IF( (AND(HD43,ABS(HD44)&gt;=HD17)+AND(HD45,ABS(HD46)&gt;=HD17)+AND(HD47,ABS(HD48)&gt;=HD17)+AND(HD49,ABS(HD50)&gt;=HD17))&gt;2,0,1)</f>
        <v>1</v>
      </c>
      <c r="HE57" s="20">
        <f t="shared" ref="HE57" si="407">IF( (AND(HE43,ABS(HE44)&gt;=HE17)+AND(HE45,ABS(HE46)&gt;=HE17)+AND(HE47,ABS(HE48)&gt;=HE17)+AND(HE49,ABS(HE50)&gt;=HE17))&gt;2,0,1)</f>
        <v>1</v>
      </c>
      <c r="HF57" s="20">
        <f t="shared" ref="HF57" si="408">IF( (AND(HF43,ABS(HF44)&gt;=HF17)+AND(HF45,ABS(HF46)&gt;=HF17)+AND(HF47,ABS(HF48)&gt;=HF17)+AND(HF49,ABS(HF50)&gt;=HF17))&gt;2,0,1)</f>
        <v>1</v>
      </c>
      <c r="HG57" s="20">
        <f t="shared" ref="HG57" si="409">IF( (AND(HG43,ABS(HG44)&gt;=HG17)+AND(HG45,ABS(HG46)&gt;=HG17)+AND(HG47,ABS(HG48)&gt;=HG17)+AND(HG49,ABS(HG50)&gt;=HG17))&gt;2,0,1)</f>
        <v>1</v>
      </c>
      <c r="HH57" s="20">
        <f t="shared" ref="HH57" si="410">IF( (AND(HH43,ABS(HH44)&gt;=HH17)+AND(HH45,ABS(HH46)&gt;=HH17)+AND(HH47,ABS(HH48)&gt;=HH17)+AND(HH49,ABS(HH50)&gt;=HH17))&gt;2,0,1)</f>
        <v>1</v>
      </c>
      <c r="HI57" s="20">
        <f t="shared" ref="HI57" si="411">IF( (AND(HI43,ABS(HI44)&gt;=HI17)+AND(HI45,ABS(HI46)&gt;=HI17)+AND(HI47,ABS(HI48)&gt;=HI17)+AND(HI49,ABS(HI50)&gt;=HI17))&gt;2,0,1)</f>
        <v>1</v>
      </c>
      <c r="HJ57" s="20">
        <f t="shared" ref="HJ57" si="412">IF( (AND(HJ43,ABS(HJ44)&gt;=HJ17)+AND(HJ45,ABS(HJ46)&gt;=HJ17)+AND(HJ47,ABS(HJ48)&gt;=HJ17)+AND(HJ49,ABS(HJ50)&gt;=HJ17))&gt;2,0,1)</f>
        <v>1</v>
      </c>
      <c r="HK57" s="20">
        <f t="shared" ref="HK57" si="413">IF( (AND(HK43,ABS(HK44)&gt;=HK17)+AND(HK45,ABS(HK46)&gt;=HK17)+AND(HK47,ABS(HK48)&gt;=HK17)+AND(HK49,ABS(HK50)&gt;=HK17))&gt;2,0,1)</f>
        <v>1</v>
      </c>
      <c r="HL57" s="20">
        <f t="shared" ref="HL57" si="414">IF( (AND(HL43,ABS(HL44)&gt;=HL17)+AND(HL45,ABS(HL46)&gt;=HL17)+AND(HL47,ABS(HL48)&gt;=HL17)+AND(HL49,ABS(HL50)&gt;=HL17))&gt;2,0,1)</f>
        <v>1</v>
      </c>
      <c r="HM57" s="20">
        <f t="shared" ref="HM57" si="415">IF( (AND(HM43,ABS(HM44)&gt;=HM17)+AND(HM45,ABS(HM46)&gt;=HM17)+AND(HM47,ABS(HM48)&gt;=HM17)+AND(HM49,ABS(HM50)&gt;=HM17))&gt;2,0,1)</f>
        <v>1</v>
      </c>
      <c r="HN57" s="20">
        <f t="shared" ref="HN57" si="416">IF( (AND(HN43,ABS(HN44)&gt;=HN17)+AND(HN45,ABS(HN46)&gt;=HN17)+AND(HN47,ABS(HN48)&gt;=HN17)+AND(HN49,ABS(HN50)&gt;=HN17))&gt;2,0,1)</f>
        <v>1</v>
      </c>
      <c r="HO57" s="20">
        <f t="shared" ref="HO57" si="417">IF( (AND(HO43,ABS(HO44)&gt;=HO17)+AND(HO45,ABS(HO46)&gt;=HO17)+AND(HO47,ABS(HO48)&gt;=HO17)+AND(HO49,ABS(HO50)&gt;=HO17))&gt;2,0,1)</f>
        <v>1</v>
      </c>
      <c r="HP57" s="20">
        <f t="shared" ref="HP57" si="418">IF( (AND(HP43,ABS(HP44)&gt;=HP17)+AND(HP45,ABS(HP46)&gt;=HP17)+AND(HP47,ABS(HP48)&gt;=HP17)+AND(HP49,ABS(HP50)&gt;=HP17))&gt;2,0,1)</f>
        <v>1</v>
      </c>
      <c r="HQ57" s="20">
        <f t="shared" ref="HQ57" si="419">IF( (AND(HQ43,ABS(HQ44)&gt;=HQ17)+AND(HQ45,ABS(HQ46)&gt;=HQ17)+AND(HQ47,ABS(HQ48)&gt;=HQ17)+AND(HQ49,ABS(HQ50)&gt;=HQ17))&gt;2,0,1)</f>
        <v>1</v>
      </c>
      <c r="HR57" s="20">
        <f t="shared" ref="HR57" si="420">IF( (AND(HR43,ABS(HR44)&gt;=HR17)+AND(HR45,ABS(HR46)&gt;=HR17)+AND(HR47,ABS(HR48)&gt;=HR17)+AND(HR49,ABS(HR50)&gt;=HR17))&gt;2,0,1)</f>
        <v>1</v>
      </c>
      <c r="HS57" s="20">
        <f t="shared" ref="HS57" si="421">IF( (AND(HS43,ABS(HS44)&gt;=HS17)+AND(HS45,ABS(HS46)&gt;=HS17)+AND(HS47,ABS(HS48)&gt;=HS17)+AND(HS49,ABS(HS50)&gt;=HS17))&gt;2,0,1)</f>
        <v>1</v>
      </c>
      <c r="HT57" s="20">
        <f t="shared" ref="HT57" si="422">IF( (AND(HT43,ABS(HT44)&gt;=HT17)+AND(HT45,ABS(HT46)&gt;=HT17)+AND(HT47,ABS(HT48)&gt;=HT17)+AND(HT49,ABS(HT50)&gt;=HT17))&gt;2,0,1)</f>
        <v>1</v>
      </c>
      <c r="HU57" s="20">
        <f t="shared" ref="HU57" si="423">IF( (AND(HU43,ABS(HU44)&gt;=HU17)+AND(HU45,ABS(HU46)&gt;=HU17)+AND(HU47,ABS(HU48)&gt;=HU17)+AND(HU49,ABS(HU50)&gt;=HU17))&gt;2,0,1)</f>
        <v>1</v>
      </c>
      <c r="HV57" s="20">
        <f t="shared" ref="HV57" si="424">IF( (AND(HV43,ABS(HV44)&gt;=HV17)+AND(HV45,ABS(HV46)&gt;=HV17)+AND(HV47,ABS(HV48)&gt;=HV17)+AND(HV49,ABS(HV50)&gt;=HV17))&gt;2,0,1)</f>
        <v>1</v>
      </c>
      <c r="HW57" s="20">
        <f t="shared" ref="HW57" si="425">IF( (AND(HW43,ABS(HW44)&gt;=HW17)+AND(HW45,ABS(HW46)&gt;=HW17)+AND(HW47,ABS(HW48)&gt;=HW17)+AND(HW49,ABS(HW50)&gt;=HW17))&gt;2,0,1)</f>
        <v>1</v>
      </c>
      <c r="HX57" s="20">
        <f t="shared" ref="HX57" si="426">IF( (AND(HX43,ABS(HX44)&gt;=HX17)+AND(HX45,ABS(HX46)&gt;=HX17)+AND(HX47,ABS(HX48)&gt;=HX17)+AND(HX49,ABS(HX50)&gt;=HX17))&gt;2,0,1)</f>
        <v>1</v>
      </c>
      <c r="HY57" s="20">
        <f t="shared" ref="HY57" si="427">IF( (AND(HY43,ABS(HY44)&gt;=HY17)+AND(HY45,ABS(HY46)&gt;=HY17)+AND(HY47,ABS(HY48)&gt;=HY17)+AND(HY49,ABS(HY50)&gt;=HY17))&gt;2,0,1)</f>
        <v>1</v>
      </c>
      <c r="HZ57" s="20">
        <f t="shared" ref="HZ57" si="428">IF( (AND(HZ43,ABS(HZ44)&gt;=HZ17)+AND(HZ45,ABS(HZ46)&gt;=HZ17)+AND(HZ47,ABS(HZ48)&gt;=HZ17)+AND(HZ49,ABS(HZ50)&gt;=HZ17))&gt;2,0,1)</f>
        <v>1</v>
      </c>
      <c r="IA57" s="20">
        <f t="shared" ref="IA57:IR57" si="429">IF( (AND(IA43,ABS(IA44)&gt;=IA17)+AND(IA45,ABS(IA46)&gt;=IA17)+AND(IA47,ABS(IA48)&gt;=IA17)+AND(IA49,ABS(IA50)&gt;=IA17))&gt;2,0,1)</f>
        <v>1</v>
      </c>
      <c r="IC57" s="20">
        <f t="shared" si="429"/>
        <v>1</v>
      </c>
      <c r="ID57" s="20">
        <f t="shared" si="429"/>
        <v>1</v>
      </c>
      <c r="IE57" s="20">
        <f t="shared" si="429"/>
        <v>1</v>
      </c>
      <c r="IF57" s="20">
        <f t="shared" si="429"/>
        <v>1</v>
      </c>
      <c r="IG57" s="20">
        <f t="shared" si="429"/>
        <v>1</v>
      </c>
      <c r="IH57" s="20">
        <f t="shared" si="429"/>
        <v>1</v>
      </c>
      <c r="II57" s="20">
        <f t="shared" si="429"/>
        <v>1</v>
      </c>
      <c r="IJ57" s="20">
        <f t="shared" si="429"/>
        <v>1</v>
      </c>
      <c r="IL57" s="20">
        <f t="shared" si="429"/>
        <v>1</v>
      </c>
      <c r="IM57" s="20">
        <f t="shared" si="429"/>
        <v>1</v>
      </c>
      <c r="IN57" s="20">
        <f t="shared" si="429"/>
        <v>1</v>
      </c>
      <c r="IO57" s="20">
        <f t="shared" si="429"/>
        <v>1</v>
      </c>
      <c r="IP57" s="20">
        <f t="shared" si="429"/>
        <v>1</v>
      </c>
      <c r="IQ57" s="20">
        <f t="shared" si="429"/>
        <v>1</v>
      </c>
      <c r="IR57" s="20">
        <f t="shared" si="429"/>
        <v>1</v>
      </c>
      <c r="IS57" s="20">
        <f>IF( (AND(IS43,ABS(IS44)&gt;=IS17)+AND(IS45,ABS(IS46)&gt;=IS17)+AND(IS47,ABS(IS48)&gt;=IS17)+AND(IS49,ABS(IS50)&gt;=IS17))&gt;2,0,1)</f>
        <v>0</v>
      </c>
      <c r="IT57" s="20">
        <f>IF( (AND(IT43,ABS(IT44)&gt;=IT17)+AND(IT45,ABS(IT46)&gt;=IT17)+AND(IT47,ABS(IT48)&gt;=IT17)+AND(IT49,ABS(IT50)&gt;=IT17))&gt;2,0,1)</f>
        <v>1</v>
      </c>
      <c r="IU57" s="20">
        <f t="shared" ref="IU57:JD57" si="430">IF( (AND(IU43,ABS(IU44)&gt;=IU17)+AND(IU45,ABS(IU46)&gt;=IU17)+AND(IU47,ABS(IU48)&gt;=IU17)+AND(IU49,ABS(IU50)&gt;=IU17))&gt;2,0,1)</f>
        <v>1</v>
      </c>
      <c r="IV57" s="20">
        <f t="shared" si="430"/>
        <v>1</v>
      </c>
      <c r="IW57" s="20">
        <f t="shared" si="430"/>
        <v>1</v>
      </c>
      <c r="IX57" s="20">
        <f t="shared" si="430"/>
        <v>1</v>
      </c>
      <c r="IY57" s="20">
        <f t="shared" si="430"/>
        <v>1</v>
      </c>
      <c r="IZ57" s="20">
        <f t="shared" si="430"/>
        <v>1</v>
      </c>
      <c r="JA57" s="20">
        <f t="shared" si="430"/>
        <v>1</v>
      </c>
      <c r="JB57" s="20">
        <f t="shared" si="430"/>
        <v>1</v>
      </c>
      <c r="JC57" s="20">
        <f t="shared" si="430"/>
        <v>1</v>
      </c>
      <c r="JD57" s="20">
        <f t="shared" si="430"/>
        <v>0</v>
      </c>
      <c r="JE57" s="20">
        <f t="shared" ref="JE57" si="431">IF( (AND(JE43,ABS(JE44)&gt;=JE17)+AND(JE45,ABS(JE46)&gt;=JE17)+AND(JE47,ABS(JE48)&gt;=JE17)+AND(JE49,ABS(JE50)&gt;=JE17))&gt;2,0,1)</f>
        <v>1</v>
      </c>
      <c r="JF57" s="20">
        <f t="shared" ref="JF57" si="432">IF( (AND(JF43,ABS(JF44)&gt;=JF17)+AND(JF45,ABS(JF46)&gt;=JF17)+AND(JF47,ABS(JF48)&gt;=JF17)+AND(JF49,ABS(JF50)&gt;=JF17))&gt;2,0,1)</f>
        <v>1</v>
      </c>
      <c r="JG57" s="20">
        <f t="shared" ref="JG57" si="433">IF( (AND(JG43,ABS(JG44)&gt;=JG17)+AND(JG45,ABS(JG46)&gt;=JG17)+AND(JG47,ABS(JG48)&gt;=JG17)+AND(JG49,ABS(JG50)&gt;=JG17))&gt;2,0,1)</f>
        <v>1</v>
      </c>
      <c r="JH57" s="20">
        <f t="shared" ref="JH57" si="434">IF( (AND(JH43,ABS(JH44)&gt;=JH17)+AND(JH45,ABS(JH46)&gt;=JH17)+AND(JH47,ABS(JH48)&gt;=JH17)+AND(JH49,ABS(JH50)&gt;=JH17))&gt;2,0,1)</f>
        <v>1</v>
      </c>
      <c r="JI57" s="20">
        <f t="shared" ref="JI57" si="435">IF( (AND(JI43,ABS(JI44)&gt;=JI17)+AND(JI45,ABS(JI46)&gt;=JI17)+AND(JI47,ABS(JI48)&gt;=JI17)+AND(JI49,ABS(JI50)&gt;=JI17))&gt;2,0,1)</f>
        <v>1</v>
      </c>
      <c r="JJ57" s="20">
        <f t="shared" ref="JJ57" si="436">IF( (AND(JJ43,ABS(JJ44)&gt;=JJ17)+AND(JJ45,ABS(JJ46)&gt;=JJ17)+AND(JJ47,ABS(JJ48)&gt;=JJ17)+AND(JJ49,ABS(JJ50)&gt;=JJ17))&gt;2,0,1)</f>
        <v>1</v>
      </c>
      <c r="JK57" s="20">
        <f t="shared" ref="JK57" si="437">IF( (AND(JK43,ABS(JK44)&gt;=JK17)+AND(JK45,ABS(JK46)&gt;=JK17)+AND(JK47,ABS(JK48)&gt;=JK17)+AND(JK49,ABS(JK50)&gt;=JK17))&gt;2,0,1)</f>
        <v>1</v>
      </c>
      <c r="JL57" s="20">
        <f t="shared" ref="JL57" si="438">IF( (AND(JL43,ABS(JL44)&gt;=JL17)+AND(JL45,ABS(JL46)&gt;=JL17)+AND(JL47,ABS(JL48)&gt;=JL17)+AND(JL49,ABS(JL50)&gt;=JL17))&gt;2,0,1)</f>
        <v>1</v>
      </c>
      <c r="JM57" s="20">
        <f t="shared" ref="JM57" si="439">IF( (AND(JM43,ABS(JM44)&gt;=JM17)+AND(JM45,ABS(JM46)&gt;=JM17)+AND(JM47,ABS(JM48)&gt;=JM17)+AND(JM49,ABS(JM50)&gt;=JM17))&gt;2,0,1)</f>
        <v>1</v>
      </c>
      <c r="JN57" s="20">
        <f t="shared" ref="JN57" si="440">IF( (AND(JN43,ABS(JN44)&gt;=JN17)+AND(JN45,ABS(JN46)&gt;=JN17)+AND(JN47,ABS(JN48)&gt;=JN17)+AND(JN49,ABS(JN50)&gt;=JN17))&gt;2,0,1)</f>
        <v>1</v>
      </c>
      <c r="JO57" s="20">
        <f t="shared" ref="JO57" si="441">IF( (AND(JO43,ABS(JO44)&gt;=JO17)+AND(JO45,ABS(JO46)&gt;=JO17)+AND(JO47,ABS(JO48)&gt;=JO17)+AND(JO49,ABS(JO50)&gt;=JO17))&gt;2,0,1)</f>
        <v>1</v>
      </c>
      <c r="JP57" s="20">
        <f t="shared" ref="JP57" si="442">IF( (AND(JP43,ABS(JP44)&gt;=JP17)+AND(JP45,ABS(JP46)&gt;=JP17)+AND(JP47,ABS(JP48)&gt;=JP17)+AND(JP49,ABS(JP50)&gt;=JP17))&gt;2,0,1)</f>
        <v>1</v>
      </c>
      <c r="JQ57" s="20">
        <f t="shared" ref="JQ57" si="443">IF( (AND(JQ43,ABS(JQ44)&gt;=JQ17)+AND(JQ45,ABS(JQ46)&gt;=JQ17)+AND(JQ47,ABS(JQ48)&gt;=JQ17)+AND(JQ49,ABS(JQ50)&gt;=JQ17))&gt;2,0,1)</f>
        <v>1</v>
      </c>
      <c r="JR57" s="20">
        <f t="shared" ref="JR57" si="444">IF( (AND(JR43,ABS(JR44)&gt;=JR17)+AND(JR45,ABS(JR46)&gt;=JR17)+AND(JR47,ABS(JR48)&gt;=JR17)+AND(JR49,ABS(JR50)&gt;=JR17))&gt;2,0,1)</f>
        <v>1</v>
      </c>
      <c r="JS57" s="20">
        <f t="shared" ref="JS57" si="445">IF( (AND(JS43,ABS(JS44)&gt;=JS17)+AND(JS45,ABS(JS46)&gt;=JS17)+AND(JS47,ABS(JS48)&gt;=JS17)+AND(JS49,ABS(JS50)&gt;=JS17))&gt;2,0,1)</f>
        <v>1</v>
      </c>
      <c r="JT57" s="20">
        <f t="shared" ref="JT57" si="446">IF( (AND(JT43,ABS(JT44)&gt;=JT17)+AND(JT45,ABS(JT46)&gt;=JT17)+AND(JT47,ABS(JT48)&gt;=JT17)+AND(JT49,ABS(JT50)&gt;=JT17))&gt;2,0,1)</f>
        <v>1</v>
      </c>
      <c r="JU57" s="20">
        <f t="shared" ref="JU57" si="447">IF( (AND(JU43,ABS(JU44)&gt;=JU17)+AND(JU45,ABS(JU46)&gt;=JU17)+AND(JU47,ABS(JU48)&gt;=JU17)+AND(JU49,ABS(JU50)&gt;=JU17))&gt;2,0,1)</f>
        <v>1</v>
      </c>
      <c r="JV57" s="20">
        <f t="shared" ref="JV57" si="448">IF( (AND(JV43,ABS(JV44)&gt;=JV17)+AND(JV45,ABS(JV46)&gt;=JV17)+AND(JV47,ABS(JV48)&gt;=JV17)+AND(JV49,ABS(JV50)&gt;=JV17))&gt;2,0,1)</f>
        <v>1</v>
      </c>
      <c r="JW57" s="20">
        <f t="shared" ref="JW57" si="449">IF( (AND(JW43,ABS(JW44)&gt;=JW17)+AND(JW45,ABS(JW46)&gt;=JW17)+AND(JW47,ABS(JW48)&gt;=JW17)+AND(JW49,ABS(JW50)&gt;=JW17))&gt;2,0,1)</f>
        <v>1</v>
      </c>
      <c r="JX57" s="20">
        <f t="shared" ref="JX57" si="450">IF( (AND(JX43,ABS(JX44)&gt;=JX17)+AND(JX45,ABS(JX46)&gt;=JX17)+AND(JX47,ABS(JX48)&gt;=JX17)+AND(JX49,ABS(JX50)&gt;=JX17))&gt;2,0,1)</f>
        <v>1</v>
      </c>
      <c r="JY57" s="20">
        <f t="shared" ref="JY57" si="451">IF( (AND(JY43,ABS(JY44)&gt;=JY17)+AND(JY45,ABS(JY46)&gt;=JY17)+AND(JY47,ABS(JY48)&gt;=JY17)+AND(JY49,ABS(JY50)&gt;=JY17))&gt;2,0,1)</f>
        <v>1</v>
      </c>
      <c r="JZ57" s="20">
        <f t="shared" ref="JZ57" si="452">IF( (AND(JZ43,ABS(JZ44)&gt;=JZ17)+AND(JZ45,ABS(JZ46)&gt;=JZ17)+AND(JZ47,ABS(JZ48)&gt;=JZ17)+AND(JZ49,ABS(JZ50)&gt;=JZ17))&gt;2,0,1)</f>
        <v>1</v>
      </c>
      <c r="KA57" s="20">
        <f t="shared" ref="KA57" si="453">IF( (AND(KA43,ABS(KA44)&gt;=KA17)+AND(KA45,ABS(KA46)&gt;=KA17)+AND(KA47,ABS(KA48)&gt;=KA17)+AND(KA49,ABS(KA50)&gt;=KA17))&gt;2,0,1)</f>
        <v>1</v>
      </c>
      <c r="KB57" s="20">
        <f t="shared" ref="KB57" si="454">IF( (AND(KB43,ABS(KB44)&gt;=KB17)+AND(KB45,ABS(KB46)&gt;=KB17)+AND(KB47,ABS(KB48)&gt;=KB17)+AND(KB49,ABS(KB50)&gt;=KB17))&gt;2,0,1)</f>
        <v>1</v>
      </c>
      <c r="KC57" s="20">
        <f t="shared" ref="KC57" si="455">IF( (AND(KC43,ABS(KC44)&gt;=KC17)+AND(KC45,ABS(KC46)&gt;=KC17)+AND(KC47,ABS(KC48)&gt;=KC17)+AND(KC49,ABS(KC50)&gt;=KC17))&gt;2,0,1)</f>
        <v>1</v>
      </c>
      <c r="KD57" s="20">
        <f t="shared" ref="KD57" si="456">IF( (AND(KD43,ABS(KD44)&gt;=KD17)+AND(KD45,ABS(KD46)&gt;=KD17)+AND(KD47,ABS(KD48)&gt;=KD17)+AND(KD49,ABS(KD50)&gt;=KD17))&gt;2,0,1)</f>
        <v>1</v>
      </c>
      <c r="KE57" s="20">
        <f t="shared" ref="KE57" si="457">IF( (AND(KE43,ABS(KE44)&gt;=KE17)+AND(KE45,ABS(KE46)&gt;=KE17)+AND(KE47,ABS(KE48)&gt;=KE17)+AND(KE49,ABS(KE50)&gt;=KE17))&gt;2,0,1)</f>
        <v>1</v>
      </c>
      <c r="KF57" s="20">
        <f t="shared" ref="KF57" si="458">IF( (AND(KF43,ABS(KF44)&gt;=KF17)+AND(KF45,ABS(KF46)&gt;=KF17)+AND(KF47,ABS(KF48)&gt;=KF17)+AND(KF49,ABS(KF50)&gt;=KF17))&gt;2,0,1)</f>
        <v>1</v>
      </c>
      <c r="KG57" s="20">
        <f t="shared" ref="KG57" si="459">IF( (AND(KG43,ABS(KG44)&gt;=KG17)+AND(KG45,ABS(KG46)&gt;=KG17)+AND(KG47,ABS(KG48)&gt;=KG17)+AND(KG49,ABS(KG50)&gt;=KG17))&gt;2,0,1)</f>
        <v>1</v>
      </c>
      <c r="KH57" s="20">
        <f t="shared" ref="KH57" si="460">IF( (AND(KH43,ABS(KH44)&gt;=KH17)+AND(KH45,ABS(KH46)&gt;=KH17)+AND(KH47,ABS(KH48)&gt;=KH17)+AND(KH49,ABS(KH50)&gt;=KH17))&gt;2,0,1)</f>
        <v>1</v>
      </c>
      <c r="KI57" s="20">
        <f t="shared" ref="KI57" si="461">IF( (AND(KI43,ABS(KI44)&gt;=KI17)+AND(KI45,ABS(KI46)&gt;=KI17)+AND(KI47,ABS(KI48)&gt;=KI17)+AND(KI49,ABS(KI50)&gt;=KI17))&gt;2,0,1)</f>
        <v>1</v>
      </c>
      <c r="KJ57" s="20">
        <f t="shared" ref="KJ57" si="462">IF( (AND(KJ43,ABS(KJ44)&gt;=KJ17)+AND(KJ45,ABS(KJ46)&gt;=KJ17)+AND(KJ47,ABS(KJ48)&gt;=KJ17)+AND(KJ49,ABS(KJ50)&gt;=KJ17))&gt;2,0,1)</f>
        <v>1</v>
      </c>
      <c r="KK57" s="20">
        <f t="shared" ref="KK57" si="463">IF( (AND(KK43,ABS(KK44)&gt;=KK17)+AND(KK45,ABS(KK46)&gt;=KK17)+AND(KK47,ABS(KK48)&gt;=KK17)+AND(KK49,ABS(KK50)&gt;=KK17))&gt;2,0,1)</f>
        <v>1</v>
      </c>
      <c r="KL57" s="20">
        <f t="shared" ref="KL57" si="464">IF( (AND(KL43,ABS(KL44)&gt;=KL17)+AND(KL45,ABS(KL46)&gt;=KL17)+AND(KL47,ABS(KL48)&gt;=KL17)+AND(KL49,ABS(KL50)&gt;=KL17))&gt;2,0,1)</f>
        <v>1</v>
      </c>
      <c r="KM57" s="20">
        <f t="shared" ref="KM57" si="465">IF( (AND(KM43,ABS(KM44)&gt;=KM17)+AND(KM45,ABS(KM46)&gt;=KM17)+AND(KM47,ABS(KM48)&gt;=KM17)+AND(KM49,ABS(KM50)&gt;=KM17))&gt;2,0,1)</f>
        <v>1</v>
      </c>
      <c r="KN57" s="20">
        <f t="shared" ref="KN57" si="466">IF( (AND(KN43,ABS(KN44)&gt;=KN17)+AND(KN45,ABS(KN46)&gt;=KN17)+AND(KN47,ABS(KN48)&gt;=KN17)+AND(KN49,ABS(KN50)&gt;=KN17))&gt;2,0,1)</f>
        <v>1</v>
      </c>
      <c r="KO57" s="20">
        <f t="shared" ref="KO57" si="467">IF( (AND(KO43,ABS(KO44)&gt;=KO17)+AND(KO45,ABS(KO46)&gt;=KO17)+AND(KO47,ABS(KO48)&gt;=KO17)+AND(KO49,ABS(KO50)&gt;=KO17))&gt;2,0,1)</f>
        <v>1</v>
      </c>
      <c r="KP57" s="20">
        <f t="shared" ref="KP57" si="468">IF( (AND(KP43,ABS(KP44)&gt;=KP17)+AND(KP45,ABS(KP46)&gt;=KP17)+AND(KP47,ABS(KP48)&gt;=KP17)+AND(KP49,ABS(KP50)&gt;=KP17))&gt;2,0,1)</f>
        <v>1</v>
      </c>
      <c r="KQ57" s="20">
        <f t="shared" ref="KQ57" si="469">IF( (AND(KQ43,ABS(KQ44)&gt;=KQ17)+AND(KQ45,ABS(KQ46)&gt;=KQ17)+AND(KQ47,ABS(KQ48)&gt;=KQ17)+AND(KQ49,ABS(KQ50)&gt;=KQ17))&gt;2,0,1)</f>
        <v>1</v>
      </c>
      <c r="KR57" s="20">
        <f t="shared" ref="KR57" si="470">IF( (AND(KR43,ABS(KR44)&gt;=KR17)+AND(KR45,ABS(KR46)&gt;=KR17)+AND(KR47,ABS(KR48)&gt;=KR17)+AND(KR49,ABS(KR50)&gt;=KR17))&gt;2,0,1)</f>
        <v>1</v>
      </c>
      <c r="KS57" s="20">
        <f t="shared" ref="KS57" si="471">IF( (AND(KS43,ABS(KS44)&gt;=KS17)+AND(KS45,ABS(KS46)&gt;=KS17)+AND(KS47,ABS(KS48)&gt;=KS17)+AND(KS49,ABS(KS50)&gt;=KS17))&gt;2,0,1)</f>
        <v>1</v>
      </c>
      <c r="KT57" s="20">
        <f t="shared" ref="KT57" si="472">IF( (AND(KT43,ABS(KT44)&gt;=KT17)+AND(KT45,ABS(KT46)&gt;=KT17)+AND(KT47,ABS(KT48)&gt;=KT17)+AND(KT49,ABS(KT50)&gt;=KT17))&gt;2,0,1)</f>
        <v>1</v>
      </c>
      <c r="KU57" s="20">
        <f t="shared" ref="KU57" si="473">IF( (AND(KU43,ABS(KU44)&gt;=KU17)+AND(KU45,ABS(KU46)&gt;=KU17)+AND(KU47,ABS(KU48)&gt;=KU17)+AND(KU49,ABS(KU50)&gt;=KU17))&gt;2,0,1)</f>
        <v>0</v>
      </c>
      <c r="KV57" s="20">
        <f t="shared" ref="KV57" si="474">IF( (AND(KV43,ABS(KV44)&gt;=KV17)+AND(KV45,ABS(KV46)&gt;=KV17)+AND(KV47,ABS(KV48)&gt;=KV17)+AND(KV49,ABS(KV50)&gt;=KV17))&gt;2,0,1)</f>
        <v>1</v>
      </c>
      <c r="KW57" s="20">
        <f t="shared" ref="KW57" si="475">IF( (AND(KW43,ABS(KW44)&gt;=KW17)+AND(KW45,ABS(KW46)&gt;=KW17)+AND(KW47,ABS(KW48)&gt;=KW17)+AND(KW49,ABS(KW50)&gt;=KW17))&gt;2,0,1)</f>
        <v>1</v>
      </c>
      <c r="KX57" s="20">
        <f t="shared" ref="KX57" si="476">IF( (AND(KX43,ABS(KX44)&gt;=KX17)+AND(KX45,ABS(KX46)&gt;=KX17)+AND(KX47,ABS(KX48)&gt;=KX17)+AND(KX49,ABS(KX50)&gt;=KX17))&gt;2,0,1)</f>
        <v>1</v>
      </c>
      <c r="KY57" s="20">
        <f t="shared" ref="KY57" si="477">IF( (AND(KY43,ABS(KY44)&gt;=KY17)+AND(KY45,ABS(KY46)&gt;=KY17)+AND(KY47,ABS(KY48)&gt;=KY17)+AND(KY49,ABS(KY50)&gt;=KY17))&gt;2,0,1)</f>
        <v>1</v>
      </c>
      <c r="KZ57" s="20">
        <f t="shared" ref="KZ57" si="478">IF( (AND(KZ43,ABS(KZ44)&gt;=KZ17)+AND(KZ45,ABS(KZ46)&gt;=KZ17)+AND(KZ47,ABS(KZ48)&gt;=KZ17)+AND(KZ49,ABS(KZ50)&gt;=KZ17))&gt;2,0,1)</f>
        <v>1</v>
      </c>
      <c r="LA57" s="20">
        <f t="shared" ref="LA57" si="479">IF( (AND(LA43,ABS(LA44)&gt;=LA17)+AND(LA45,ABS(LA46)&gt;=LA17)+AND(LA47,ABS(LA48)&gt;=LA17)+AND(LA49,ABS(LA50)&gt;=LA17))&gt;2,0,1)</f>
        <v>1</v>
      </c>
      <c r="LB57" s="20">
        <f t="shared" ref="LB57" si="480">IF( (AND(LB43,ABS(LB44)&gt;=LB17)+AND(LB45,ABS(LB46)&gt;=LB17)+AND(LB47,ABS(LB48)&gt;=LB17)+AND(LB49,ABS(LB50)&gt;=LB17))&gt;2,0,1)</f>
        <v>1</v>
      </c>
      <c r="LC57" s="20">
        <f t="shared" ref="LC57" si="481">IF( (AND(LC43,ABS(LC44)&gt;=LC17)+AND(LC45,ABS(LC46)&gt;=LC17)+AND(LC47,ABS(LC48)&gt;=LC17)+AND(LC49,ABS(LC50)&gt;=LC17))&gt;2,0,1)</f>
        <v>1</v>
      </c>
      <c r="LD57" s="20">
        <f t="shared" ref="LD57" si="482">IF( (AND(LD43,ABS(LD44)&gt;=LD17)+AND(LD45,ABS(LD46)&gt;=LD17)+AND(LD47,ABS(LD48)&gt;=LD17)+AND(LD49,ABS(LD50)&gt;=LD17))&gt;2,0,1)</f>
        <v>1</v>
      </c>
      <c r="LE57" s="20">
        <f t="shared" ref="LE57" si="483">IF( (AND(LE43,ABS(LE44)&gt;=LE17)+AND(LE45,ABS(LE46)&gt;=LE17)+AND(LE47,ABS(LE48)&gt;=LE17)+AND(LE49,ABS(LE50)&gt;=LE17))&gt;2,0,1)</f>
        <v>1</v>
      </c>
      <c r="LF57" s="20">
        <f t="shared" ref="LF57" si="484">IF( (AND(LF43,ABS(LF44)&gt;=LF17)+AND(LF45,ABS(LF46)&gt;=LF17)+AND(LF47,ABS(LF48)&gt;=LF17)+AND(LF49,ABS(LF50)&gt;=LF17))&gt;2,0,1)</f>
        <v>1</v>
      </c>
      <c r="LG57" s="20">
        <f t="shared" ref="LG57" si="485">IF( (AND(LG43,ABS(LG44)&gt;=LG17)+AND(LG45,ABS(LG46)&gt;=LG17)+AND(LG47,ABS(LG48)&gt;=LG17)+AND(LG49,ABS(LG50)&gt;=LG17))&gt;2,0,1)</f>
        <v>1</v>
      </c>
      <c r="LH57" s="20">
        <f t="shared" ref="LH57" si="486">IF( (AND(LH43,ABS(LH44)&gt;=LH17)+AND(LH45,ABS(LH46)&gt;=LH17)+AND(LH47,ABS(LH48)&gt;=LH17)+AND(LH49,ABS(LH50)&gt;=LH17))&gt;2,0,1)</f>
        <v>1</v>
      </c>
      <c r="LI57" s="20">
        <f t="shared" ref="LI57" si="487">IF( (AND(LI43,ABS(LI44)&gt;=LI17)+AND(LI45,ABS(LI46)&gt;=LI17)+AND(LI47,ABS(LI48)&gt;=LI17)+AND(LI49,ABS(LI50)&gt;=LI17))&gt;2,0,1)</f>
        <v>1</v>
      </c>
      <c r="LJ57" s="20">
        <f t="shared" ref="LJ57" si="488">IF( (AND(LJ43,ABS(LJ44)&gt;=LJ17)+AND(LJ45,ABS(LJ46)&gt;=LJ17)+AND(LJ47,ABS(LJ48)&gt;=LJ17)+AND(LJ49,ABS(LJ50)&gt;=LJ17))&gt;2,0,1)</f>
        <v>1</v>
      </c>
      <c r="LK57" s="20">
        <f t="shared" ref="LK57" si="489">IF( (AND(LK43,ABS(LK44)&gt;=LK17)+AND(LK45,ABS(LK46)&gt;=LK17)+AND(LK47,ABS(LK48)&gt;=LK17)+AND(LK49,ABS(LK50)&gt;=LK17))&gt;2,0,1)</f>
        <v>1</v>
      </c>
      <c r="LL57" s="20">
        <f t="shared" ref="LL57" si="490">IF( (AND(LL43,ABS(LL44)&gt;=LL17)+AND(LL45,ABS(LL46)&gt;=LL17)+AND(LL47,ABS(LL48)&gt;=LL17)+AND(LL49,ABS(LL50)&gt;=LL17))&gt;2,0,1)</f>
        <v>1</v>
      </c>
      <c r="LM57" s="20">
        <f t="shared" ref="LM57" si="491">IF( (AND(LM43,ABS(LM44)&gt;=LM17)+AND(LM45,ABS(LM46)&gt;=LM17)+AND(LM47,ABS(LM48)&gt;=LM17)+AND(LM49,ABS(LM50)&gt;=LM17))&gt;2,0,1)</f>
        <v>1</v>
      </c>
      <c r="LN57" s="20">
        <f t="shared" ref="LN57" si="492">IF( (AND(LN43,ABS(LN44)&gt;=LN17)+AND(LN45,ABS(LN46)&gt;=LN17)+AND(LN47,ABS(LN48)&gt;=LN17)+AND(LN49,ABS(LN50)&gt;=LN17))&gt;2,0,1)</f>
        <v>1</v>
      </c>
      <c r="LO57" s="20">
        <f t="shared" ref="LO57" si="493">IF( (AND(LO43,ABS(LO44)&gt;=LO17)+AND(LO45,ABS(LO46)&gt;=LO17)+AND(LO47,ABS(LO48)&gt;=LO17)+AND(LO49,ABS(LO50)&gt;=LO17))&gt;2,0,1)</f>
        <v>1</v>
      </c>
      <c r="LP57" s="20">
        <f t="shared" ref="LP57" si="494">IF( (AND(LP43,ABS(LP44)&gt;=LP17)+AND(LP45,ABS(LP46)&gt;=LP17)+AND(LP47,ABS(LP48)&gt;=LP17)+AND(LP49,ABS(LP50)&gt;=LP17))&gt;2,0,1)</f>
        <v>1</v>
      </c>
      <c r="LQ57" s="20">
        <f t="shared" ref="LQ57" si="495">IF( (AND(LQ43,ABS(LQ44)&gt;=LQ17)+AND(LQ45,ABS(LQ46)&gt;=LQ17)+AND(LQ47,ABS(LQ48)&gt;=LQ17)+AND(LQ49,ABS(LQ50)&gt;=LQ17))&gt;2,0,1)</f>
        <v>1</v>
      </c>
      <c r="LR57" s="20">
        <f t="shared" ref="LR57" si="496">IF( (AND(LR43,ABS(LR44)&gt;=LR17)+AND(LR45,ABS(LR46)&gt;=LR17)+AND(LR47,ABS(LR48)&gt;=LR17)+AND(LR49,ABS(LR50)&gt;=LR17))&gt;2,0,1)</f>
        <v>1</v>
      </c>
      <c r="LS57" s="20">
        <f t="shared" ref="LS57" si="497">IF( (AND(LS43,ABS(LS44)&gt;=LS17)+AND(LS45,ABS(LS46)&gt;=LS17)+AND(LS47,ABS(LS48)&gt;=LS17)+AND(LS49,ABS(LS50)&gt;=LS17))&gt;2,0,1)</f>
        <v>1</v>
      </c>
      <c r="LT57" s="20">
        <f t="shared" ref="LT57" si="498">IF( (AND(LT43,ABS(LT44)&gt;=LT17)+AND(LT45,ABS(LT46)&gt;=LT17)+AND(LT47,ABS(LT48)&gt;=LT17)+AND(LT49,ABS(LT50)&gt;=LT17))&gt;2,0,1)</f>
        <v>1</v>
      </c>
      <c r="LU57" s="20">
        <f t="shared" ref="LU57" si="499">IF( (AND(LU43,ABS(LU44)&gt;=LU17)+AND(LU45,ABS(LU46)&gt;=LU17)+AND(LU47,ABS(LU48)&gt;=LU17)+AND(LU49,ABS(LU50)&gt;=LU17))&gt;2,0,1)</f>
        <v>1</v>
      </c>
      <c r="LV57" s="20">
        <f t="shared" ref="LV57" si="500">IF( (AND(LV43,ABS(LV44)&gt;=LV17)+AND(LV45,ABS(LV46)&gt;=LV17)+AND(LV47,ABS(LV48)&gt;=LV17)+AND(LV49,ABS(LV50)&gt;=LV17))&gt;2,0,1)</f>
        <v>1</v>
      </c>
      <c r="LW57" s="20">
        <f t="shared" ref="LW57" si="501">IF( (AND(LW43,ABS(LW44)&gt;=LW17)+AND(LW45,ABS(LW46)&gt;=LW17)+AND(LW47,ABS(LW48)&gt;=LW17)+AND(LW49,ABS(LW50)&gt;=LW17))&gt;2,0,1)</f>
        <v>1</v>
      </c>
      <c r="LX57" s="20">
        <f t="shared" ref="LX57" si="502">IF( (AND(LX43,ABS(LX44)&gt;=LX17)+AND(LX45,ABS(LX46)&gt;=LX17)+AND(LX47,ABS(LX48)&gt;=LX17)+AND(LX49,ABS(LX50)&gt;=LX17))&gt;2,0,1)</f>
        <v>1</v>
      </c>
      <c r="LY57" s="20">
        <f t="shared" ref="LY57" si="503">IF( (AND(LY43,ABS(LY44)&gt;=LY17)+AND(LY45,ABS(LY46)&gt;=LY17)+AND(LY47,ABS(LY48)&gt;=LY17)+AND(LY49,ABS(LY50)&gt;=LY17))&gt;2,0,1)</f>
        <v>1</v>
      </c>
      <c r="LZ57" s="20">
        <f t="shared" ref="LZ57" si="504">IF( (AND(LZ43,ABS(LZ44)&gt;=LZ17)+AND(LZ45,ABS(LZ46)&gt;=LZ17)+AND(LZ47,ABS(LZ48)&gt;=LZ17)+AND(LZ49,ABS(LZ50)&gt;=LZ17))&gt;2,0,1)</f>
        <v>1</v>
      </c>
      <c r="MA57" s="20">
        <f t="shared" ref="MA57" si="505">IF( (AND(MA43,ABS(MA44)&gt;=MA17)+AND(MA45,ABS(MA46)&gt;=MA17)+AND(MA47,ABS(MA48)&gt;=MA17)+AND(MA49,ABS(MA50)&gt;=MA17))&gt;2,0,1)</f>
        <v>1</v>
      </c>
      <c r="MB57" s="20">
        <f t="shared" ref="MB57" si="506">IF( (AND(MB43,ABS(MB44)&gt;=MB17)+AND(MB45,ABS(MB46)&gt;=MB17)+AND(MB47,ABS(MB48)&gt;=MB17)+AND(MB49,ABS(MB50)&gt;=MB17))&gt;2,0,1)</f>
        <v>1</v>
      </c>
      <c r="MC57" s="20">
        <f t="shared" ref="MC57" si="507">IF( (AND(MC43,ABS(MC44)&gt;=MC17)+AND(MC45,ABS(MC46)&gt;=MC17)+AND(MC47,ABS(MC48)&gt;=MC17)+AND(MC49,ABS(MC50)&gt;=MC17))&gt;2,0,1)</f>
        <v>1</v>
      </c>
      <c r="MD57" s="20">
        <f t="shared" ref="MD57" si="508">IF( (AND(MD43,ABS(MD44)&gt;=MD17)+AND(MD45,ABS(MD46)&gt;=MD17)+AND(MD47,ABS(MD48)&gt;=MD17)+AND(MD49,ABS(MD50)&gt;=MD17))&gt;2,0,1)</f>
        <v>1</v>
      </c>
      <c r="ME57" s="20">
        <f t="shared" ref="ME57" si="509">IF( (AND(ME43,ABS(ME44)&gt;=ME17)+AND(ME45,ABS(ME46)&gt;=ME17)+AND(ME47,ABS(ME48)&gt;=ME17)+AND(ME49,ABS(ME50)&gt;=ME17))&gt;2,0,1)</f>
        <v>1</v>
      </c>
      <c r="MF57" s="20">
        <f t="shared" ref="MF57" si="510">IF( (AND(MF43,ABS(MF44)&gt;=MF17)+AND(MF45,ABS(MF46)&gt;=MF17)+AND(MF47,ABS(MF48)&gt;=MF17)+AND(MF49,ABS(MF50)&gt;=MF17))&gt;2,0,1)</f>
        <v>1</v>
      </c>
      <c r="MG57" s="20">
        <f t="shared" ref="MG57" si="511">IF( (AND(MG43,ABS(MG44)&gt;=MG17)+AND(MG45,ABS(MG46)&gt;=MG17)+AND(MG47,ABS(MG48)&gt;=MG17)+AND(MG49,ABS(MG50)&gt;=MG17))&gt;2,0,1)</f>
        <v>1</v>
      </c>
      <c r="MH57" s="20">
        <f t="shared" ref="MH57" si="512">IF( (AND(MH43,ABS(MH44)&gt;=MH17)+AND(MH45,ABS(MH46)&gt;=MH17)+AND(MH47,ABS(MH48)&gt;=MH17)+AND(MH49,ABS(MH50)&gt;=MH17))&gt;2,0,1)</f>
        <v>1</v>
      </c>
      <c r="MI57" s="20">
        <f t="shared" ref="MI57" si="513">IF( (AND(MI43,ABS(MI44)&gt;=MI17)+AND(MI45,ABS(MI46)&gt;=MI17)+AND(MI47,ABS(MI48)&gt;=MI17)+AND(MI49,ABS(MI50)&gt;=MI17))&gt;2,0,1)</f>
        <v>1</v>
      </c>
      <c r="MJ57" s="20">
        <f t="shared" ref="MJ57" si="514">IF( (AND(MJ43,ABS(MJ44)&gt;=MJ17)+AND(MJ45,ABS(MJ46)&gt;=MJ17)+AND(MJ47,ABS(MJ48)&gt;=MJ17)+AND(MJ49,ABS(MJ50)&gt;=MJ17))&gt;2,0,1)</f>
        <v>1</v>
      </c>
      <c r="MK57" s="20">
        <f t="shared" ref="MK57" si="515">IF( (AND(MK43,ABS(MK44)&gt;=MK17)+AND(MK45,ABS(MK46)&gt;=MK17)+AND(MK47,ABS(MK48)&gt;=MK17)+AND(MK49,ABS(MK50)&gt;=MK17))&gt;2,0,1)</f>
        <v>1</v>
      </c>
      <c r="ML57" s="20">
        <f t="shared" ref="ML57" si="516">IF( (AND(ML43,ABS(ML44)&gt;=ML17)+AND(ML45,ABS(ML46)&gt;=ML17)+AND(ML47,ABS(ML48)&gt;=ML17)+AND(ML49,ABS(ML50)&gt;=ML17))&gt;2,0,1)</f>
        <v>1</v>
      </c>
      <c r="MM57" s="20">
        <f t="shared" ref="MM57" si="517">IF( (AND(MM43,ABS(MM44)&gt;=MM17)+AND(MM45,ABS(MM46)&gt;=MM17)+AND(MM47,ABS(MM48)&gt;=MM17)+AND(MM49,ABS(MM50)&gt;=MM17))&gt;2,0,1)</f>
        <v>1</v>
      </c>
      <c r="MN57" s="20">
        <f t="shared" ref="MN57" si="518">IF( (AND(MN43,ABS(MN44)&gt;=MN17)+AND(MN45,ABS(MN46)&gt;=MN17)+AND(MN47,ABS(MN48)&gt;=MN17)+AND(MN49,ABS(MN50)&gt;=MN17))&gt;2,0,1)</f>
        <v>1</v>
      </c>
      <c r="MO57" s="20">
        <f t="shared" ref="MO57" si="519">IF( (AND(MO43,ABS(MO44)&gt;=MO17)+AND(MO45,ABS(MO46)&gt;=MO17)+AND(MO47,ABS(MO48)&gt;=MO17)+AND(MO49,ABS(MO50)&gt;=MO17))&gt;2,0,1)</f>
        <v>1</v>
      </c>
      <c r="MP57" s="20">
        <f t="shared" ref="MP57" si="520">IF( (AND(MP43,ABS(MP44)&gt;=MP17)+AND(MP45,ABS(MP46)&gt;=MP17)+AND(MP47,ABS(MP48)&gt;=MP17)+AND(MP49,ABS(MP50)&gt;=MP17))&gt;2,0,1)</f>
        <v>1</v>
      </c>
      <c r="MQ57" s="20">
        <f t="shared" ref="MQ57" si="521">IF( (AND(MQ43,ABS(MQ44)&gt;=MQ17)+AND(MQ45,ABS(MQ46)&gt;=MQ17)+AND(MQ47,ABS(MQ48)&gt;=MQ17)+AND(MQ49,ABS(MQ50)&gt;=MQ17))&gt;2,0,1)</f>
        <v>1</v>
      </c>
      <c r="MR57" s="20">
        <f t="shared" ref="MR57" si="522">IF( (AND(MR43,ABS(MR44)&gt;=MR17)+AND(MR45,ABS(MR46)&gt;=MR17)+AND(MR47,ABS(MR48)&gt;=MR17)+AND(MR49,ABS(MR50)&gt;=MR17))&gt;2,0,1)</f>
        <v>1</v>
      </c>
      <c r="MS57" s="20">
        <f t="shared" ref="MS57" si="523">IF( (AND(MS43,ABS(MS44)&gt;=MS17)+AND(MS45,ABS(MS46)&gt;=MS17)+AND(MS47,ABS(MS48)&gt;=MS17)+AND(MS49,ABS(MS50)&gt;=MS17))&gt;2,0,1)</f>
        <v>1</v>
      </c>
      <c r="MT57" s="20">
        <f t="shared" ref="MT57" si="524">IF( (AND(MT43,ABS(MT44)&gt;=MT17)+AND(MT45,ABS(MT46)&gt;=MT17)+AND(MT47,ABS(MT48)&gt;=MT17)+AND(MT49,ABS(MT50)&gt;=MT17))&gt;2,0,1)</f>
        <v>1</v>
      </c>
      <c r="MU57" s="20">
        <f t="shared" ref="MU57" si="525">IF( (AND(MU43,ABS(MU44)&gt;=MU17)+AND(MU45,ABS(MU46)&gt;=MU17)+AND(MU47,ABS(MU48)&gt;=MU17)+AND(MU49,ABS(MU50)&gt;=MU17))&gt;2,0,1)</f>
        <v>1</v>
      </c>
      <c r="MV57" s="20">
        <f t="shared" ref="MV57" si="526">IF( (AND(MV43,ABS(MV44)&gt;=MV17)+AND(MV45,ABS(MV46)&gt;=MV17)+AND(MV47,ABS(MV48)&gt;=MV17)+AND(MV49,ABS(MV50)&gt;=MV17))&gt;2,0,1)</f>
        <v>1</v>
      </c>
      <c r="MW57" s="20">
        <f t="shared" ref="MW57" si="527">IF( (AND(MW43,ABS(MW44)&gt;=MW17)+AND(MW45,ABS(MW46)&gt;=MW17)+AND(MW47,ABS(MW48)&gt;=MW17)+AND(MW49,ABS(MW50)&gt;=MW17))&gt;2,0,1)</f>
        <v>1</v>
      </c>
      <c r="MX57" s="20">
        <f t="shared" ref="MX57" si="528">IF( (AND(MX43,ABS(MX44)&gt;=MX17)+AND(MX45,ABS(MX46)&gt;=MX17)+AND(MX47,ABS(MX48)&gt;=MX17)+AND(MX49,ABS(MX50)&gt;=MX17))&gt;2,0,1)</f>
        <v>1</v>
      </c>
      <c r="MY57" s="20">
        <f t="shared" ref="MY57" si="529">IF( (AND(MY43,ABS(MY44)&gt;=MY17)+AND(MY45,ABS(MY46)&gt;=MY17)+AND(MY47,ABS(MY48)&gt;=MY17)+AND(MY49,ABS(MY50)&gt;=MY17))&gt;2,0,1)</f>
        <v>1</v>
      </c>
      <c r="MZ57" s="20">
        <f t="shared" ref="MZ57" si="530">IF( (AND(MZ43,ABS(MZ44)&gt;=MZ17)+AND(MZ45,ABS(MZ46)&gt;=MZ17)+AND(MZ47,ABS(MZ48)&gt;=MZ17)+AND(MZ49,ABS(MZ50)&gt;=MZ17))&gt;2,0,1)</f>
        <v>1</v>
      </c>
      <c r="NA57" s="20">
        <f t="shared" ref="NA57" si="531">IF( (AND(NA43,ABS(NA44)&gt;=NA17)+AND(NA45,ABS(NA46)&gt;=NA17)+AND(NA47,ABS(NA48)&gt;=NA17)+AND(NA49,ABS(NA50)&gt;=NA17))&gt;2,0,1)</f>
        <v>1</v>
      </c>
      <c r="NB57" s="20">
        <f t="shared" ref="NB57" si="532">IF( (AND(NB43,ABS(NB44)&gt;=NB17)+AND(NB45,ABS(NB46)&gt;=NB17)+AND(NB47,ABS(NB48)&gt;=NB17)+AND(NB49,ABS(NB50)&gt;=NB17))&gt;2,0,1)</f>
        <v>1</v>
      </c>
      <c r="NC57" s="20">
        <f t="shared" ref="NC57" si="533">IF( (AND(NC43,ABS(NC44)&gt;=NC17)+AND(NC45,ABS(NC46)&gt;=NC17)+AND(NC47,ABS(NC48)&gt;=NC17)+AND(NC49,ABS(NC50)&gt;=NC17))&gt;2,0,1)</f>
        <v>1</v>
      </c>
      <c r="ND57" s="20">
        <f t="shared" ref="ND57" si="534">IF( (AND(ND43,ABS(ND44)&gt;=ND17)+AND(ND45,ABS(ND46)&gt;=ND17)+AND(ND47,ABS(ND48)&gt;=ND17)+AND(ND49,ABS(ND50)&gt;=ND17))&gt;2,0,1)</f>
        <v>1</v>
      </c>
      <c r="NE57" s="20">
        <f t="shared" ref="NE57" si="535">IF( (AND(NE43,ABS(NE44)&gt;=NE17)+AND(NE45,ABS(NE46)&gt;=NE17)+AND(NE47,ABS(NE48)&gt;=NE17)+AND(NE49,ABS(NE50)&gt;=NE17))&gt;2,0,1)</f>
        <v>1</v>
      </c>
      <c r="NF57" s="20">
        <f t="shared" ref="NF57" si="536">IF( (AND(NF43,ABS(NF44)&gt;=NF17)+AND(NF45,ABS(NF46)&gt;=NF17)+AND(NF47,ABS(NF48)&gt;=NF17)+AND(NF49,ABS(NF50)&gt;=NF17))&gt;2,0,1)</f>
        <v>1</v>
      </c>
      <c r="NG57" s="20">
        <f t="shared" ref="NG57" si="537">IF( (AND(NG43,ABS(NG44)&gt;=NG17)+AND(NG45,ABS(NG46)&gt;=NG17)+AND(NG47,ABS(NG48)&gt;=NG17)+AND(NG49,ABS(NG50)&gt;=NG17))&gt;2,0,1)</f>
        <v>1</v>
      </c>
      <c r="NH57" s="20">
        <f t="shared" ref="NH57" si="538">IF( (AND(NH43,ABS(NH44)&gt;=NH17)+AND(NH45,ABS(NH46)&gt;=NH17)+AND(NH47,ABS(NH48)&gt;=NH17)+AND(NH49,ABS(NH50)&gt;=NH17))&gt;2,0,1)</f>
        <v>1</v>
      </c>
      <c r="NI57" s="20">
        <f t="shared" ref="NI57" si="539">IF( (AND(NI43,ABS(NI44)&gt;=NI17)+AND(NI45,ABS(NI46)&gt;=NI17)+AND(NI47,ABS(NI48)&gt;=NI17)+AND(NI49,ABS(NI50)&gt;=NI17))&gt;2,0,1)</f>
        <v>1</v>
      </c>
      <c r="NJ57" s="20">
        <f t="shared" ref="NJ57" si="540">IF( (AND(NJ43,ABS(NJ44)&gt;=NJ17)+AND(NJ45,ABS(NJ46)&gt;=NJ17)+AND(NJ47,ABS(NJ48)&gt;=NJ17)+AND(NJ49,ABS(NJ50)&gt;=NJ17))&gt;2,0,1)</f>
        <v>1</v>
      </c>
      <c r="NK57" s="20">
        <f t="shared" ref="NK57" si="541">IF( (AND(NK43,ABS(NK44)&gt;=NK17)+AND(NK45,ABS(NK46)&gt;=NK17)+AND(NK47,ABS(NK48)&gt;=NK17)+AND(NK49,ABS(NK50)&gt;=NK17))&gt;2,0,1)</f>
        <v>1</v>
      </c>
      <c r="NL57" s="20">
        <f t="shared" ref="NL57" si="542">IF( (AND(NL43,ABS(NL44)&gt;=NL17)+AND(NL45,ABS(NL46)&gt;=NL17)+AND(NL47,ABS(NL48)&gt;=NL17)+AND(NL49,ABS(NL50)&gt;=NL17))&gt;2,0,1)</f>
        <v>1</v>
      </c>
      <c r="NM57" s="20">
        <f t="shared" ref="NM57" si="543">IF( (AND(NM43,ABS(NM44)&gt;=NM17)+AND(NM45,ABS(NM46)&gt;=NM17)+AND(NM47,ABS(NM48)&gt;=NM17)+AND(NM49,ABS(NM50)&gt;=NM17))&gt;2,0,1)</f>
        <v>1</v>
      </c>
      <c r="NN57" s="20">
        <f t="shared" ref="NN57" si="544">IF( (AND(NN43,ABS(NN44)&gt;=NN17)+AND(NN45,ABS(NN46)&gt;=NN17)+AND(NN47,ABS(NN48)&gt;=NN17)+AND(NN49,ABS(NN50)&gt;=NN17))&gt;2,0,1)</f>
        <v>1</v>
      </c>
      <c r="NO57" s="20">
        <f t="shared" ref="NO57" si="545">IF( (AND(NO43,ABS(NO44)&gt;=NO17)+AND(NO45,ABS(NO46)&gt;=NO17)+AND(NO47,ABS(NO48)&gt;=NO17)+AND(NO49,ABS(NO50)&gt;=NO17))&gt;2,0,1)</f>
        <v>1</v>
      </c>
      <c r="NP57" s="20">
        <f t="shared" ref="NP57" si="546">IF( (AND(NP43,ABS(NP44)&gt;=NP17)+AND(NP45,ABS(NP46)&gt;=NP17)+AND(NP47,ABS(NP48)&gt;=NP17)+AND(NP49,ABS(NP50)&gt;=NP17))&gt;2,0,1)</f>
        <v>1</v>
      </c>
      <c r="NQ57" s="20">
        <f t="shared" ref="NQ57" si="547">IF( (AND(NQ43,ABS(NQ44)&gt;=NQ17)+AND(NQ45,ABS(NQ46)&gt;=NQ17)+AND(NQ47,ABS(NQ48)&gt;=NQ17)+AND(NQ49,ABS(NQ50)&gt;=NQ17))&gt;2,0,1)</f>
        <v>1</v>
      </c>
      <c r="NR57" s="20">
        <f t="shared" ref="NR57" si="548">IF( (AND(NR43,ABS(NR44)&gt;=NR17)+AND(NR45,ABS(NR46)&gt;=NR17)+AND(NR47,ABS(NR48)&gt;=NR17)+AND(NR49,ABS(NR50)&gt;=NR17))&gt;2,0,1)</f>
        <v>1</v>
      </c>
      <c r="NS57" s="20">
        <f t="shared" ref="NS57" si="549">IF( (AND(NS43,ABS(NS44)&gt;=NS17)+AND(NS45,ABS(NS46)&gt;=NS17)+AND(NS47,ABS(NS48)&gt;=NS17)+AND(NS49,ABS(NS50)&gt;=NS17))&gt;2,0,1)</f>
        <v>1</v>
      </c>
      <c r="NT57" s="20">
        <f t="shared" ref="NT57" si="550">IF( (AND(NT43,ABS(NT44)&gt;=NT17)+AND(NT45,ABS(NT46)&gt;=NT17)+AND(NT47,ABS(NT48)&gt;=NT17)+AND(NT49,ABS(NT50)&gt;=NT17))&gt;2,0,1)</f>
        <v>1</v>
      </c>
      <c r="NU57" s="20">
        <f t="shared" ref="NU57" si="551">IF( (AND(NU43,ABS(NU44)&gt;=NU17)+AND(NU45,ABS(NU46)&gt;=NU17)+AND(NU47,ABS(NU48)&gt;=NU17)+AND(NU49,ABS(NU50)&gt;=NU17))&gt;2,0,1)</f>
        <v>1</v>
      </c>
      <c r="NV57" s="20">
        <f t="shared" ref="NV57" si="552">IF( (AND(NV43,ABS(NV44)&gt;=NV17)+AND(NV45,ABS(NV46)&gt;=NV17)+AND(NV47,ABS(NV48)&gt;=NV17)+AND(NV49,ABS(NV50)&gt;=NV17))&gt;2,0,1)</f>
        <v>1</v>
      </c>
      <c r="NW57" s="20">
        <f t="shared" ref="NW57" si="553">IF( (AND(NW43,ABS(NW44)&gt;=NW17)+AND(NW45,ABS(NW46)&gt;=NW17)+AND(NW47,ABS(NW48)&gt;=NW17)+AND(NW49,ABS(NW50)&gt;=NW17))&gt;2,0,1)</f>
        <v>0</v>
      </c>
      <c r="NX57" s="20">
        <f t="shared" ref="NX57" si="554">IF( (AND(NX43,ABS(NX44)&gt;=NX17)+AND(NX45,ABS(NX46)&gt;=NX17)+AND(NX47,ABS(NX48)&gt;=NX17)+AND(NX49,ABS(NX50)&gt;=NX17))&gt;2,0,1)</f>
        <v>1</v>
      </c>
      <c r="NY57" s="20">
        <f t="shared" ref="NY57" si="555">IF( (AND(NY43,ABS(NY44)&gt;=NY17)+AND(NY45,ABS(NY46)&gt;=NY17)+AND(NY47,ABS(NY48)&gt;=NY17)+AND(NY49,ABS(NY50)&gt;=NY17))&gt;2,0,1)</f>
        <v>1</v>
      </c>
      <c r="NZ57" s="20">
        <f t="shared" ref="NZ57" si="556">IF( (AND(NZ43,ABS(NZ44)&gt;=NZ17)+AND(NZ45,ABS(NZ46)&gt;=NZ17)+AND(NZ47,ABS(NZ48)&gt;=NZ17)+AND(NZ49,ABS(NZ50)&gt;=NZ17))&gt;2,0,1)</f>
        <v>1</v>
      </c>
      <c r="OA57" s="20">
        <f t="shared" ref="OA57" si="557">IF( (AND(OA43,ABS(OA44)&gt;=OA17)+AND(OA45,ABS(OA46)&gt;=OA17)+AND(OA47,ABS(OA48)&gt;=OA17)+AND(OA49,ABS(OA50)&gt;=OA17))&gt;2,0,1)</f>
        <v>1</v>
      </c>
      <c r="OB57" s="20">
        <f t="shared" ref="OB57:PL57" si="558">IF( (AND(OB43,ABS(OB44)&gt;=OB17)+AND(OB45,ABS(OB46)&gt;=OB17)+AND(OB47,ABS(OB48)&gt;=OB17)+AND(OB49,ABS(OB50)&gt;=OB17))&gt;2,0,1)</f>
        <v>0</v>
      </c>
      <c r="OC57" s="20">
        <f t="shared" si="558"/>
        <v>1</v>
      </c>
      <c r="OD57" s="20">
        <f t="shared" si="558"/>
        <v>0</v>
      </c>
      <c r="OE57" s="20">
        <f t="shared" si="558"/>
        <v>1</v>
      </c>
      <c r="OF57" s="20">
        <f t="shared" si="558"/>
        <v>1</v>
      </c>
      <c r="OG57" s="20">
        <f t="shared" si="558"/>
        <v>1</v>
      </c>
      <c r="OH57" s="20">
        <f t="shared" si="558"/>
        <v>1</v>
      </c>
      <c r="OI57" s="20">
        <f t="shared" si="558"/>
        <v>1</v>
      </c>
      <c r="OJ57" s="20">
        <f t="shared" si="558"/>
        <v>1</v>
      </c>
      <c r="OK57" s="20">
        <f t="shared" si="558"/>
        <v>1</v>
      </c>
      <c r="OL57" s="20">
        <f t="shared" si="558"/>
        <v>1</v>
      </c>
      <c r="OM57" s="20">
        <f t="shared" si="558"/>
        <v>1</v>
      </c>
      <c r="ON57" s="20">
        <f t="shared" si="558"/>
        <v>1</v>
      </c>
      <c r="OO57" s="20">
        <f t="shared" si="558"/>
        <v>1</v>
      </c>
      <c r="OP57" s="20">
        <f t="shared" si="558"/>
        <v>1</v>
      </c>
      <c r="OQ57" s="20">
        <f t="shared" si="558"/>
        <v>1</v>
      </c>
      <c r="OR57" s="20">
        <f t="shared" si="558"/>
        <v>1</v>
      </c>
      <c r="OS57" s="20">
        <f t="shared" si="558"/>
        <v>1</v>
      </c>
      <c r="OT57" s="20">
        <f t="shared" si="558"/>
        <v>1</v>
      </c>
      <c r="OU57" s="20">
        <f t="shared" si="558"/>
        <v>1</v>
      </c>
      <c r="OV57" s="20">
        <f t="shared" si="558"/>
        <v>1</v>
      </c>
      <c r="OW57" s="20">
        <f t="shared" si="558"/>
        <v>1</v>
      </c>
      <c r="OX57" s="20">
        <f t="shared" si="558"/>
        <v>1</v>
      </c>
      <c r="OY57" s="20">
        <f t="shared" si="558"/>
        <v>1</v>
      </c>
      <c r="OZ57" s="20">
        <f t="shared" si="558"/>
        <v>1</v>
      </c>
      <c r="PA57" s="20">
        <f t="shared" si="558"/>
        <v>1</v>
      </c>
      <c r="PB57" s="20">
        <f t="shared" si="558"/>
        <v>1</v>
      </c>
      <c r="PC57" s="20">
        <f t="shared" si="558"/>
        <v>1</v>
      </c>
      <c r="PD57" s="20">
        <f t="shared" si="558"/>
        <v>1</v>
      </c>
      <c r="PE57" s="20">
        <f t="shared" si="558"/>
        <v>1</v>
      </c>
      <c r="PF57" s="20">
        <f t="shared" si="558"/>
        <v>1</v>
      </c>
      <c r="PG57" s="20">
        <f t="shared" si="558"/>
        <v>1</v>
      </c>
      <c r="PH57" s="20">
        <f t="shared" si="558"/>
        <v>0</v>
      </c>
      <c r="PI57" s="20">
        <f t="shared" si="558"/>
        <v>1</v>
      </c>
      <c r="PJ57" s="20">
        <f t="shared" si="558"/>
        <v>1</v>
      </c>
      <c r="PK57" s="20">
        <f t="shared" si="558"/>
        <v>1</v>
      </c>
      <c r="PL57" s="20">
        <f t="shared" si="558"/>
        <v>1</v>
      </c>
      <c r="PM57" s="20">
        <f t="shared" ref="PM57:PR57" si="559">IF( (AND(PM43,ABS(PM44)&gt;=PM17)+AND(PM45,ABS(PM46)&gt;=PM17)+AND(PM47,ABS(PM48)&gt;=PM17)+AND(PM49,ABS(PM50)&gt;=PM17))&gt;2,0,1)</f>
        <v>1</v>
      </c>
      <c r="PN57" s="20">
        <f t="shared" si="559"/>
        <v>1</v>
      </c>
      <c r="PO57" s="20">
        <f t="shared" si="559"/>
        <v>1</v>
      </c>
      <c r="PP57" s="20">
        <f t="shared" si="559"/>
        <v>1</v>
      </c>
      <c r="PQ57" s="20">
        <f t="shared" si="559"/>
        <v>1</v>
      </c>
      <c r="PR57" s="20">
        <f t="shared" si="559"/>
        <v>0</v>
      </c>
      <c r="PS57" s="20">
        <f t="shared" ref="PS57:PV57" si="560">IF( (AND(PS43,ABS(PS44)&gt;=PS17)+AND(PS45,ABS(PS46)&gt;=PS17)+AND(PS47,ABS(PS48)&gt;=PS17)+AND(PS49,ABS(PS50)&gt;=PS17))&gt;2,0,1)</f>
        <v>1</v>
      </c>
      <c r="PT57" s="20">
        <f t="shared" si="560"/>
        <v>1</v>
      </c>
      <c r="PU57" s="20">
        <f t="shared" si="560"/>
        <v>1</v>
      </c>
      <c r="PV57" s="20">
        <f t="shared" si="560"/>
        <v>1</v>
      </c>
      <c r="PW57" s="20">
        <f>IF( (AND(PW43,ABS(PW44)&gt;=PX17)+AND(PW45,ABS(PW46)&gt;=PX17)+AND(PW47,ABS(PW48)&gt;=PX17)+AND(PW49,ABS(PW50)&gt;=PX17))&gt;2,0,1)</f>
        <v>1</v>
      </c>
      <c r="PX57" s="20">
        <f>IF( (AND(PX43,ABS(PX44)&gt;=PY17)+AND(PX45,ABS(PX46)&gt;=PY17)+AND(PX47,ABS(PX48)&gt;=PY17)+AND(PX49,ABS(PX50)&gt;=PY17))&gt;2,0,1)</f>
        <v>0</v>
      </c>
      <c r="PY57" s="20">
        <f>IF( (AND(PY43,ABS(PY44)&gt;=PZ17)+AND(PY45,ABS(PY46)&gt;=PZ17)+AND(PY47,ABS(PY48)&gt;=PZ17)+AND(PY49,ABS(PY50)&gt;=PZ17))&gt;2,0,1)</f>
        <v>1</v>
      </c>
      <c r="PZ57" s="20">
        <f>IF( (AND(PZ43,ABS(PZ44)&gt;=QA17)+AND(PZ45,ABS(PZ46)&gt;=QA17)+AND(PZ47,ABS(PZ48)&gt;=QA17)+AND(PZ49,ABS(PZ50)&gt;=QA17))&gt;2,0,1)</f>
        <v>1</v>
      </c>
      <c r="QA57" s="20">
        <f>IF( (AND(QA43,ABS(QA44)&gt;=QB17)+AND(QA45,ABS(QA46)&gt;=QB17)+AND(QA47,ABS(QA48)&gt;=QB17)+AND(QA49,ABS(QA50)&gt;=QB17))&gt;2,0,1)</f>
        <v>1</v>
      </c>
      <c r="QB57" s="20">
        <f>IF( (AND(QB43,ABS(QB44)&gt;=QD17)+AND(QB45,ABS(QB46)&gt;=QD17)+AND(QB47,ABS(QB48)&gt;=QD17)+AND(QB49,ABS(QB50)&gt;=QD17))&gt;2,0,1)</f>
        <v>1</v>
      </c>
      <c r="QC57" s="20">
        <f>IF( (AND(QC43,ABS(QC44)&gt;=QE17)+AND(QC45,ABS(QC46)&gt;=QE17)+AND(QC47,ABS(QC48)&gt;=QE17)+AND(QC49,ABS(QC50)&gt;=QE17))&gt;2,0,1)</f>
        <v>1</v>
      </c>
      <c r="QD57" s="20">
        <f>IF( (AND(QD43,ABS(QD44)&gt;=QF17)+AND(QD45,ABS(QD46)&gt;=QF17)+AND(QD47,ABS(QD48)&gt;=QF17)+AND(QD49,ABS(QD50)&gt;=QF17))&gt;2,0,1)</f>
        <v>1</v>
      </c>
      <c r="QE57" s="20">
        <f>IF( (AND(QE43,ABS(QE44)&gt;=QG17)+AND(QE45,ABS(QE46)&gt;=QG17)+AND(QE47,ABS(QE48)&gt;=QG17)+AND(QE49,ABS(QE50)&gt;=QG17))&gt;2,0,1)</f>
        <v>1</v>
      </c>
      <c r="QF57" s="20">
        <f>IF( (AND(QF43,ABS(QF44)&gt;=QG17)+AND(QF45,ABS(QF46)&gt;=QG17)+AND(QF47,ABS(QF48)&gt;=QG17)+AND(QF49,ABS(QF50)&gt;=QG17))&gt;2,0,1)</f>
        <v>1</v>
      </c>
      <c r="QG57" s="20">
        <f>IF( (AND(QG43,ABS(QG44)&gt;=QH17)+AND(QG45,ABS(QG46)&gt;=QH17)+AND(QG47,ABS(QG48)&gt;=QH17)+AND(QG49,ABS(QG50)&gt;=QH17))&gt;2,0,1)</f>
        <v>1</v>
      </c>
      <c r="QH57" s="20">
        <f t="shared" ref="QH57:QI57" si="561">IF( (AND(QH43,ABS(QH44)&gt;=QH17)+AND(QH45,ABS(QH46)&gt;=QH17)+AND(QH47,ABS(QH48)&gt;=QH17)+AND(QH49,ABS(QH50)&gt;=QH17))&gt;2,0,1)</f>
        <v>1</v>
      </c>
      <c r="QI57" s="20">
        <f t="shared" si="561"/>
        <v>0</v>
      </c>
      <c r="QJ57" s="20">
        <f t="shared" ref="QJ57:QK57" si="562">IF( (AND(QJ43,ABS(QJ44)&gt;=QJ17)+AND(QJ45,ABS(QJ46)&gt;=QJ17)+AND(QJ47,ABS(QJ48)&gt;=QJ17)+AND(QJ49,ABS(QJ50)&gt;=QJ17))&gt;2,0,1)</f>
        <v>1</v>
      </c>
      <c r="QK57" s="20">
        <f t="shared" si="562"/>
        <v>1</v>
      </c>
      <c r="QL57" s="20">
        <f t="shared" ref="QL57:QN57" si="563">IF( (AND(QL43,ABS(QL44)&gt;=QL17)+AND(QL45,ABS(QL46)&gt;=QL17)+AND(QL47,ABS(QL48)&gt;=QL17)+AND(QL49,ABS(QL50)&gt;=QL17))&gt;2,0,1)</f>
        <v>1</v>
      </c>
      <c r="QM57" s="20">
        <f t="shared" si="563"/>
        <v>1</v>
      </c>
      <c r="QN57" s="20">
        <f t="shared" si="563"/>
        <v>1</v>
      </c>
      <c r="QO57" s="20">
        <f t="shared" ref="QO57:QP57" si="564">IF( (AND(QO43,ABS(QO44)&gt;=QO17)+AND(QO45,ABS(QO46)&gt;=QO17)+AND(QO47,ABS(QO48)&gt;=QO17)+AND(QO49,ABS(QO50)&gt;=QO17))&gt;2,0,1)</f>
        <v>0</v>
      </c>
      <c r="QP57" s="20">
        <f t="shared" si="564"/>
        <v>1</v>
      </c>
      <c r="QQ57" s="20">
        <f t="shared" ref="QQ57:QR57" si="565">IF( (AND(QQ43,ABS(QQ44)&gt;=QQ17)+AND(QQ45,ABS(QQ46)&gt;=QQ17)+AND(QQ47,ABS(QQ48)&gt;=QQ17)+AND(QQ49,ABS(QQ50)&gt;=QQ17))&gt;2,0,1)</f>
        <v>0</v>
      </c>
      <c r="QR57" s="20">
        <f t="shared" si="565"/>
        <v>1</v>
      </c>
      <c r="QS57" s="20">
        <f t="shared" ref="QS57" si="566">IF( (AND(QS43,ABS(QS44)&gt;=QS17)+AND(QS45,ABS(QS46)&gt;=QS17)+AND(QS47,ABS(QS48)&gt;=QS17)+AND(QS49,ABS(QS50)&gt;=QS17))&gt;2,0,1)</f>
        <v>1</v>
      </c>
      <c r="QT57" s="20">
        <f t="shared" ref="QT57:QV57" si="567">IF( (AND(QT43,ABS(QT44)&gt;=QT17)+AND(QT45,ABS(QT46)&gt;=QT17)+AND(QT47,ABS(QT48)&gt;=QT17)+AND(QT49,ABS(QT50)&gt;=QT17))&gt;2,0,1)</f>
        <v>1</v>
      </c>
      <c r="QU57" s="20">
        <f t="shared" ref="QU57" si="568">IF( (AND(QU43,ABS(QU44)&gt;=QU17)+AND(QU45,ABS(QU46)&gt;=QU17)+AND(QU47,ABS(QU48)&gt;=QU17)+AND(QU49,ABS(QU50)&gt;=QU17))&gt;2,0,1)</f>
        <v>1</v>
      </c>
      <c r="QV57" s="20">
        <f t="shared" si="567"/>
        <v>1</v>
      </c>
      <c r="QW57" s="20">
        <f t="shared" ref="QW57:RD57" si="569">IF( (AND(QW43,ABS(QW44)&gt;=QW17)+AND(QW45,ABS(QW46)&gt;=QW17)+AND(QW47,ABS(QW48)&gt;=QW17)+AND(QW49,ABS(QW50)&gt;=QW17))&gt;2,0,1)</f>
        <v>1</v>
      </c>
      <c r="QX57" s="20">
        <f t="shared" si="569"/>
        <v>1</v>
      </c>
      <c r="QY57" s="20">
        <f t="shared" si="569"/>
        <v>1</v>
      </c>
      <c r="QZ57" s="20">
        <f t="shared" si="569"/>
        <v>1</v>
      </c>
      <c r="RA57" s="20">
        <f t="shared" si="569"/>
        <v>1</v>
      </c>
      <c r="RB57" s="20">
        <f t="shared" si="569"/>
        <v>1</v>
      </c>
      <c r="RC57" s="20">
        <f t="shared" si="569"/>
        <v>1</v>
      </c>
      <c r="RD57" s="20">
        <f t="shared" si="569"/>
        <v>1</v>
      </c>
      <c r="RE57" s="20">
        <f t="shared" ref="RE57:RH57" si="570">IF( (AND(RE43,ABS(RE44)&gt;=RE17)+AND(RE45,ABS(RE46)&gt;=RE17)+AND(RE47,ABS(RE48)&gt;=RE17)+AND(RE49,ABS(RE50)&gt;=RE17))&gt;2,0,1)</f>
        <v>1</v>
      </c>
      <c r="RF57" s="20">
        <f t="shared" si="570"/>
        <v>1</v>
      </c>
      <c r="RG57" s="20">
        <f t="shared" si="570"/>
        <v>1</v>
      </c>
      <c r="RH57" s="20">
        <f t="shared" si="570"/>
        <v>1</v>
      </c>
      <c r="RI57" s="20">
        <f t="shared" ref="RI57:RQ57" si="571">IF( (AND(RI43,ABS(RI44)&gt;=RI17)+AND(RI45,ABS(RI46)&gt;=RI17)+AND(RI47,ABS(RI48)&gt;=RI17)+AND(RI49,ABS(RI50)&gt;=RI17))&gt;2,0,1)</f>
        <v>1</v>
      </c>
      <c r="RJ57" s="20">
        <f t="shared" si="571"/>
        <v>1</v>
      </c>
      <c r="RK57" s="20">
        <f t="shared" si="571"/>
        <v>1</v>
      </c>
      <c r="RL57" s="20">
        <f t="shared" si="571"/>
        <v>1</v>
      </c>
      <c r="RM57" s="20">
        <f t="shared" si="571"/>
        <v>1</v>
      </c>
      <c r="RN57" s="20">
        <f t="shared" si="571"/>
        <v>1</v>
      </c>
      <c r="RO57" s="20">
        <f t="shared" si="571"/>
        <v>1</v>
      </c>
      <c r="RP57" s="20">
        <f t="shared" si="571"/>
        <v>1</v>
      </c>
      <c r="RQ57" s="20">
        <f t="shared" si="571"/>
        <v>1</v>
      </c>
      <c r="RR57" s="20">
        <f t="shared" ref="RR57:RZ57" si="572">IF( (AND(RR43,ABS(RR44)&gt;=RR17)+AND(RR45,ABS(RR46)&gt;=RR17)+AND(RR47,ABS(RR48)&gt;=RR17)+AND(RR49,ABS(RR50)&gt;=RR17))&gt;2,0,1)</f>
        <v>1</v>
      </c>
      <c r="RT57" s="20">
        <f t="shared" si="572"/>
        <v>1</v>
      </c>
      <c r="RU57" s="20">
        <f t="shared" si="572"/>
        <v>1</v>
      </c>
      <c r="RV57" s="20">
        <f t="shared" si="572"/>
        <v>1</v>
      </c>
      <c r="RW57" s="20">
        <f t="shared" si="572"/>
        <v>1</v>
      </c>
      <c r="RX57" s="20">
        <f t="shared" si="572"/>
        <v>1</v>
      </c>
      <c r="RY57" s="20">
        <f t="shared" si="572"/>
        <v>1</v>
      </c>
      <c r="RZ57" s="20">
        <f t="shared" si="572"/>
        <v>1</v>
      </c>
      <c r="SA57" s="20">
        <f t="shared" ref="SA57" si="573">IF( (AND(SA43,ABS(SA44)&gt;=SA17)+AND(SA45,ABS(SA46)&gt;=SA17)+AND(SA47,ABS(SA48)&gt;=SA17)+AND(SA49,ABS(SA50)&gt;=SA17))&gt;2,0,1)</f>
        <v>1</v>
      </c>
      <c r="SB57" s="20">
        <f t="shared" ref="SB57:UD57" si="574">IF( (AND(SB43,ABS(SB44)&gt;=SB17)+AND(SB45,ABS(SB46)&gt;=SB17)+AND(SB47,ABS(SB48)&gt;=SB17)+AND(SB49,ABS(SB50)&gt;=SB17))&gt;2,0,1)</f>
        <v>1</v>
      </c>
      <c r="SC57" s="20">
        <f t="shared" si="574"/>
        <v>1</v>
      </c>
      <c r="SD57" s="20">
        <f t="shared" si="574"/>
        <v>1</v>
      </c>
      <c r="SE57" s="20">
        <f t="shared" si="574"/>
        <v>1</v>
      </c>
      <c r="SF57" s="20">
        <f t="shared" si="574"/>
        <v>0</v>
      </c>
      <c r="SG57" s="20">
        <f t="shared" si="574"/>
        <v>1</v>
      </c>
      <c r="SH57" s="20">
        <f t="shared" si="574"/>
        <v>1</v>
      </c>
      <c r="SI57" s="20">
        <f t="shared" si="574"/>
        <v>1</v>
      </c>
      <c r="SJ57" s="20">
        <f t="shared" si="574"/>
        <v>1</v>
      </c>
      <c r="SK57" s="20">
        <f t="shared" si="574"/>
        <v>0</v>
      </c>
      <c r="SL57" s="20">
        <f t="shared" si="574"/>
        <v>1</v>
      </c>
      <c r="SM57" s="20">
        <f t="shared" si="574"/>
        <v>0</v>
      </c>
      <c r="SN57" s="20">
        <f t="shared" si="574"/>
        <v>1</v>
      </c>
      <c r="SO57" s="20">
        <f t="shared" si="574"/>
        <v>1</v>
      </c>
      <c r="SP57" s="20">
        <f t="shared" si="574"/>
        <v>1</v>
      </c>
      <c r="SQ57" s="20">
        <f t="shared" si="574"/>
        <v>1</v>
      </c>
      <c r="SR57" s="20">
        <f t="shared" si="574"/>
        <v>1</v>
      </c>
      <c r="SS57" s="20">
        <f t="shared" si="574"/>
        <v>1</v>
      </c>
      <c r="ST57" s="20">
        <f t="shared" si="574"/>
        <v>1</v>
      </c>
      <c r="SU57" s="20">
        <f t="shared" si="574"/>
        <v>1</v>
      </c>
      <c r="SV57" s="20">
        <f t="shared" si="574"/>
        <v>1</v>
      </c>
      <c r="SW57" s="20">
        <f t="shared" si="574"/>
        <v>1</v>
      </c>
      <c r="SX57" s="20">
        <f t="shared" si="574"/>
        <v>1</v>
      </c>
      <c r="SY57" s="20">
        <f t="shared" si="574"/>
        <v>1</v>
      </c>
      <c r="SZ57" s="20">
        <f t="shared" si="574"/>
        <v>1</v>
      </c>
      <c r="TA57" s="20">
        <f t="shared" si="574"/>
        <v>1</v>
      </c>
      <c r="TB57" s="20">
        <f t="shared" si="574"/>
        <v>1</v>
      </c>
      <c r="TC57" s="20">
        <f t="shared" si="574"/>
        <v>1</v>
      </c>
      <c r="TD57" s="20">
        <f t="shared" si="574"/>
        <v>1</v>
      </c>
      <c r="TE57" s="20">
        <f t="shared" si="574"/>
        <v>1</v>
      </c>
      <c r="TF57" s="20">
        <f t="shared" si="574"/>
        <v>1</v>
      </c>
      <c r="TG57" s="20">
        <f t="shared" si="574"/>
        <v>1</v>
      </c>
      <c r="TH57" s="20">
        <f t="shared" si="574"/>
        <v>1</v>
      </c>
      <c r="TI57" s="20">
        <f t="shared" si="574"/>
        <v>1</v>
      </c>
      <c r="TJ57" s="20">
        <f t="shared" si="574"/>
        <v>1</v>
      </c>
      <c r="TK57" s="20">
        <f t="shared" si="574"/>
        <v>1</v>
      </c>
      <c r="TL57" s="20">
        <f t="shared" si="574"/>
        <v>1</v>
      </c>
      <c r="TM57" s="20">
        <f t="shared" si="574"/>
        <v>1</v>
      </c>
      <c r="TN57" s="20">
        <f t="shared" si="574"/>
        <v>1</v>
      </c>
      <c r="TO57" s="20">
        <f t="shared" si="574"/>
        <v>1</v>
      </c>
      <c r="TP57" s="20">
        <f t="shared" si="574"/>
        <v>0</v>
      </c>
      <c r="TQ57" s="20">
        <f t="shared" si="574"/>
        <v>1</v>
      </c>
      <c r="TR57" s="20">
        <f t="shared" si="574"/>
        <v>1</v>
      </c>
      <c r="TS57" s="20">
        <f t="shared" si="574"/>
        <v>1</v>
      </c>
      <c r="TT57" s="20">
        <f t="shared" si="574"/>
        <v>1</v>
      </c>
      <c r="TU57" s="20">
        <f t="shared" si="574"/>
        <v>1</v>
      </c>
      <c r="TV57" s="20">
        <f t="shared" si="574"/>
        <v>1</v>
      </c>
      <c r="TW57" s="20">
        <f t="shared" si="574"/>
        <v>1</v>
      </c>
      <c r="TX57" s="20">
        <f t="shared" si="574"/>
        <v>1</v>
      </c>
      <c r="TY57" s="20">
        <f t="shared" si="574"/>
        <v>1</v>
      </c>
      <c r="TZ57" s="20">
        <f t="shared" si="574"/>
        <v>0</v>
      </c>
      <c r="UA57" s="20">
        <f t="shared" si="574"/>
        <v>1</v>
      </c>
      <c r="UB57" s="20">
        <f t="shared" si="574"/>
        <v>1</v>
      </c>
      <c r="UC57" s="20">
        <f t="shared" si="574"/>
        <v>1</v>
      </c>
      <c r="UD57" s="20">
        <f t="shared" si="574"/>
        <v>1</v>
      </c>
      <c r="UE57" s="20">
        <f>IF( (AND(UE43,ABS(UE44)&gt;=UF17)+AND(UE45,ABS(UE46)&gt;=UF17)+AND(UE47,ABS(UE48)&gt;=UF17)+AND(UE49,ABS(UE50)&gt;=UF17))&gt;2,0,1)</f>
        <v>1</v>
      </c>
      <c r="UF57" s="20">
        <f>IF( (AND(UF43,ABS(UF44)&gt;=UG17)+AND(UF45,ABS(UF46)&gt;=UG17)+AND(UF47,ABS(UF48)&gt;=UG17)+AND(UF49,ABS(UF50)&gt;=UG17))&gt;2,0,1)</f>
        <v>0</v>
      </c>
      <c r="UG57" s="20">
        <f>IF( (AND(UG43,ABS(UG44)&gt;=UH17)+AND(UG45,ABS(UG46)&gt;=UH17)+AND(UG47,ABS(UG48)&gt;=UH17)+AND(UG49,ABS(UG50)&gt;=UH17))&gt;2,0,1)</f>
        <v>1</v>
      </c>
      <c r="UH57" s="20">
        <f>IF( (AND(UH43,ABS(UH44)&gt;=UI17)+AND(UH45,ABS(UH46)&gt;=UI17)+AND(UH47,ABS(UH48)&gt;=UI17)+AND(UH49,ABS(UH50)&gt;=UI17))&gt;2,0,1)</f>
        <v>1</v>
      </c>
      <c r="UI57" s="20">
        <f>IF( (AND(UI43,ABS(UI44)&gt;=UJ17)+AND(UI45,ABS(UI46)&gt;=UJ17)+AND(UI47,ABS(UI48)&gt;=UJ17)+AND(UI49,ABS(UI50)&gt;=UJ17))&gt;2,0,1)</f>
        <v>1</v>
      </c>
      <c r="UJ57" s="20">
        <f>IF( (AND(UJ43,ABS(UJ44)&gt;=UL17)+AND(UJ45,ABS(UJ46)&gt;=UL17)+AND(UJ47,ABS(UJ48)&gt;=UL17)+AND(UJ49,ABS(UJ50)&gt;=UL17))&gt;2,0,1)</f>
        <v>1</v>
      </c>
      <c r="UK57" s="20">
        <f>IF( (AND(UK43,ABS(UK44)&gt;=UM17)+AND(UK45,ABS(UK46)&gt;=UM17)+AND(UK47,ABS(UK48)&gt;=UM17)+AND(UK49,ABS(UK50)&gt;=UM17))&gt;2,0,1)</f>
        <v>1</v>
      </c>
      <c r="UL57" s="20">
        <f>IF( (AND(UL43,ABS(UL44)&gt;=UN17)+AND(UL45,ABS(UL46)&gt;=UN17)+AND(UL47,ABS(UL48)&gt;=UN17)+AND(UL49,ABS(UL50)&gt;=UN17))&gt;2,0,1)</f>
        <v>1</v>
      </c>
      <c r="UM57" s="20">
        <f>IF( (AND(UM43,ABS(UM44)&gt;=UO17)+AND(UM45,ABS(UM46)&gt;=UO17)+AND(UM47,ABS(UM48)&gt;=UO17)+AND(UM49,ABS(UM50)&gt;=UO17))&gt;2,0,1)</f>
        <v>1</v>
      </c>
      <c r="UN57" s="20">
        <f>IF( (AND(UN43,ABS(UN44)&gt;=UO17)+AND(UN45,ABS(UN46)&gt;=UO17)+AND(UN47,ABS(UN48)&gt;=UO17)+AND(UN49,ABS(UN50)&gt;=UO17))&gt;2,0,1)</f>
        <v>1</v>
      </c>
      <c r="UO57" s="20">
        <f>IF( (AND(UO43,ABS(UO44)&gt;=UP17)+AND(UO45,ABS(UO46)&gt;=UP17)+AND(UO47,ABS(UO48)&gt;=UP17)+AND(UO49,ABS(UO50)&gt;=UP17))&gt;2,0,1)</f>
        <v>1</v>
      </c>
      <c r="UP57" s="20">
        <f t="shared" ref="UP57:VZ57" si="575">IF( (AND(UP43,ABS(UP44)&gt;=UP17)+AND(UP45,ABS(UP46)&gt;=UP17)+AND(UP47,ABS(UP48)&gt;=UP17)+AND(UP49,ABS(UP50)&gt;=UP17))&gt;2,0,1)</f>
        <v>1</v>
      </c>
      <c r="UQ57" s="20">
        <f t="shared" si="575"/>
        <v>0</v>
      </c>
      <c r="UR57" s="20">
        <f t="shared" si="575"/>
        <v>1</v>
      </c>
      <c r="US57" s="20">
        <f t="shared" si="575"/>
        <v>1</v>
      </c>
      <c r="UT57" s="20">
        <f t="shared" si="575"/>
        <v>1</v>
      </c>
      <c r="UU57" s="20">
        <f t="shared" si="575"/>
        <v>1</v>
      </c>
      <c r="UV57" s="20">
        <f t="shared" si="575"/>
        <v>1</v>
      </c>
      <c r="UW57" s="20">
        <f t="shared" si="575"/>
        <v>0</v>
      </c>
      <c r="UX57" s="20">
        <f t="shared" si="575"/>
        <v>1</v>
      </c>
      <c r="UY57" s="20">
        <f t="shared" si="575"/>
        <v>0</v>
      </c>
      <c r="UZ57" s="20">
        <f t="shared" si="575"/>
        <v>1</v>
      </c>
      <c r="VA57" s="20">
        <f t="shared" si="575"/>
        <v>1</v>
      </c>
      <c r="VB57" s="20">
        <f t="shared" si="575"/>
        <v>1</v>
      </c>
      <c r="VC57" s="20">
        <f t="shared" si="575"/>
        <v>1</v>
      </c>
      <c r="VD57" s="20">
        <f t="shared" si="575"/>
        <v>1</v>
      </c>
      <c r="VE57" s="20">
        <f t="shared" si="575"/>
        <v>1</v>
      </c>
      <c r="VF57" s="20">
        <f t="shared" si="575"/>
        <v>1</v>
      </c>
      <c r="VG57" s="20">
        <f t="shared" si="575"/>
        <v>1</v>
      </c>
      <c r="VH57" s="20">
        <f t="shared" si="575"/>
        <v>1</v>
      </c>
      <c r="VI57" s="20">
        <f t="shared" si="575"/>
        <v>1</v>
      </c>
      <c r="VJ57" s="20">
        <f t="shared" si="575"/>
        <v>1</v>
      </c>
      <c r="VK57" s="20">
        <f t="shared" si="575"/>
        <v>1</v>
      </c>
      <c r="VL57" s="20">
        <f t="shared" si="575"/>
        <v>1</v>
      </c>
      <c r="VM57" s="20">
        <f t="shared" si="575"/>
        <v>1</v>
      </c>
      <c r="VN57" s="20">
        <f t="shared" si="575"/>
        <v>1</v>
      </c>
      <c r="VO57" s="20">
        <f t="shared" si="575"/>
        <v>1</v>
      </c>
      <c r="VP57" s="20">
        <f t="shared" si="575"/>
        <v>1</v>
      </c>
      <c r="VQ57" s="20">
        <f t="shared" si="575"/>
        <v>1</v>
      </c>
      <c r="VR57" s="20">
        <f t="shared" si="575"/>
        <v>1</v>
      </c>
      <c r="VS57" s="20">
        <f t="shared" si="575"/>
        <v>1</v>
      </c>
      <c r="VT57" s="20">
        <f t="shared" si="575"/>
        <v>1</v>
      </c>
      <c r="VU57" s="20">
        <f t="shared" si="575"/>
        <v>1</v>
      </c>
      <c r="VV57" s="20">
        <f t="shared" si="575"/>
        <v>1</v>
      </c>
      <c r="VW57" s="20">
        <f t="shared" si="575"/>
        <v>1</v>
      </c>
      <c r="VX57" s="20">
        <f t="shared" si="575"/>
        <v>1</v>
      </c>
      <c r="VY57" s="20">
        <f t="shared" si="575"/>
        <v>1</v>
      </c>
      <c r="VZ57" s="20">
        <f t="shared" si="575"/>
        <v>1</v>
      </c>
      <c r="WA57" s="20">
        <f t="shared" ref="WA57:WB57" si="576">IF( (AND(WA43,ABS(WA44)&gt;=WA17)+AND(WA45,ABS(WA46)&gt;=WA17)+AND(WA47,ABS(WA48)&gt;=WA17)+AND(WA49,ABS(WA50)&gt;=WA17))&gt;2,0,1)</f>
        <v>1</v>
      </c>
      <c r="WB57" s="15">
        <f t="shared" si="576"/>
        <v>1</v>
      </c>
      <c r="WC57" s="15">
        <f t="shared" ref="WC57:WD57" si="577">IF( (AND(WC43,ABS(WC44)&gt;=WC17)+AND(WC45,ABS(WC46)&gt;=WC17)+AND(WC47,ABS(WC48)&gt;=WC17)+AND(WC49,ABS(WC50)&gt;=WC17))&gt;2,0,1)</f>
        <v>1</v>
      </c>
      <c r="WD57" s="15">
        <f t="shared" si="577"/>
        <v>1</v>
      </c>
      <c r="WE57" s="20">
        <f t="shared" ref="WE57:WF57" si="578">IF( (AND(WE43,ABS(WE44)&gt;=WE17)+AND(WE45,ABS(WE46)&gt;=WE17)+AND(WE47,ABS(WE48)&gt;=WE17)+AND(WE49,ABS(WE50)&gt;=WE17))&gt;2,0,1)</f>
        <v>1</v>
      </c>
      <c r="WF57" s="20">
        <f t="shared" si="578"/>
        <v>1</v>
      </c>
      <c r="WG57" s="20">
        <f t="shared" ref="WG57:WH57" si="579">IF( (AND(WG43,ABS(WG44)&gt;=WG17)+AND(WG45,ABS(WG46)&gt;=WG17)+AND(WG47,ABS(WG48)&gt;=WG17)+AND(WG49,ABS(WG50)&gt;=WG17))&gt;2,0,1)</f>
        <v>1</v>
      </c>
      <c r="WH57" s="20">
        <f t="shared" si="579"/>
        <v>0</v>
      </c>
      <c r="WI57" s="20">
        <f t="shared" ref="WI57:WJ57" si="580">IF( (AND(WI43,ABS(WI44)&gt;=WI17)+AND(WI45,ABS(WI46)&gt;=WI17)+AND(WI47,ABS(WI48)&gt;=WI17)+AND(WI49,ABS(WI50)&gt;=WI17))&gt;2,0,1)</f>
        <v>1</v>
      </c>
      <c r="WJ57" s="20">
        <f t="shared" si="580"/>
        <v>1</v>
      </c>
      <c r="WK57" s="20">
        <f t="shared" ref="WK57:WQ57" si="581">IF( (AND(WK43,ABS(WK44)&gt;=WK17)+AND(WK45,ABS(WK46)&gt;=WK17)+AND(WK47,ABS(WK48)&gt;=WK17)+AND(WK49,ABS(WK50)&gt;=WK17))&gt;2,0,1)</f>
        <v>1</v>
      </c>
      <c r="WL57" s="20">
        <f t="shared" si="581"/>
        <v>1</v>
      </c>
      <c r="WM57" s="20">
        <f t="shared" si="581"/>
        <v>1</v>
      </c>
      <c r="WN57" s="20">
        <f t="shared" si="581"/>
        <v>1</v>
      </c>
      <c r="WO57" s="20">
        <f t="shared" si="581"/>
        <v>1</v>
      </c>
      <c r="WP57" s="20">
        <f t="shared" ref="WP57:WR57" si="582">IF( (AND(WP43,ABS(WP44)&gt;=WP17)+AND(WP45,ABS(WP46)&gt;=WP17)+AND(WP47,ABS(WP48)&gt;=WP17)+AND(WP49,ABS(WP50)&gt;=WP17))&gt;2,0,1)</f>
        <v>1</v>
      </c>
      <c r="WQ57" s="20">
        <f t="shared" si="581"/>
        <v>1</v>
      </c>
      <c r="WR57" s="20">
        <f t="shared" si="582"/>
        <v>1</v>
      </c>
      <c r="WS57" s="20">
        <f t="shared" ref="WS57:WU57" si="583">IF( (AND(WS43,ABS(WS44)&gt;=WS17)+AND(WS45,ABS(WS46)&gt;=WS17)+AND(WS47,ABS(WS48)&gt;=WS17)+AND(WS49,ABS(WS50)&gt;=WS17))&gt;2,0,1)</f>
        <v>1</v>
      </c>
      <c r="WT57" s="20">
        <f t="shared" si="583"/>
        <v>1</v>
      </c>
      <c r="WU57" s="20">
        <f t="shared" si="583"/>
        <v>0</v>
      </c>
      <c r="WV57" s="20">
        <f t="shared" ref="WV57:WW57" si="584">IF( (AND(WV43,ABS(WV44)&gt;=WV17)+AND(WV45,ABS(WV46)&gt;=WV17)+AND(WV47,ABS(WV48)&gt;=WV17)+AND(WV49,ABS(WV50)&gt;=WV17))&gt;2,0,1)</f>
        <v>1</v>
      </c>
      <c r="WW57" s="20">
        <f t="shared" si="584"/>
        <v>0</v>
      </c>
      <c r="WX57" s="20">
        <f t="shared" ref="WX57:WY57" si="585">IF( (AND(WX43,ABS(WX44)&gt;=WX17)+AND(WX45,ABS(WX46)&gt;=WX17)+AND(WX47,ABS(WX48)&gt;=WX17)+AND(WX49,ABS(WX50)&gt;=WX17))&gt;2,0,1)</f>
        <v>1</v>
      </c>
      <c r="WY57" s="20">
        <f t="shared" si="585"/>
        <v>0</v>
      </c>
      <c r="WZ57" s="20">
        <f t="shared" ref="WZ57:XA57" si="586">IF( (AND(WZ43,ABS(WZ44)&gt;=WZ17)+AND(WZ45,ABS(WZ46)&gt;=WZ17)+AND(WZ47,ABS(WZ48)&gt;=WZ17)+AND(WZ49,ABS(WZ50)&gt;=WZ17))&gt;2,0,1)</f>
        <v>0</v>
      </c>
      <c r="XA57" s="20">
        <f t="shared" si="586"/>
        <v>1</v>
      </c>
      <c r="XB57" s="20">
        <f t="shared" ref="XB57:XC57" si="587">IF( (AND(XB43,ABS(XB44)&gt;=XB17)+AND(XB45,ABS(XB46)&gt;=XB17)+AND(XB47,ABS(XB48)&gt;=XB17)+AND(XB49,ABS(XB50)&gt;=XB17))&gt;2,0,1)</f>
        <v>0</v>
      </c>
      <c r="XC57" s="20">
        <f t="shared" si="587"/>
        <v>1</v>
      </c>
      <c r="XD57" s="20">
        <f t="shared" ref="XD57:XF57" si="588">IF( (AND(XD43,ABS(XD44)&gt;=XD17)+AND(XD45,ABS(XD46)&gt;=XD17)+AND(XD47,ABS(XD48)&gt;=XD17)+AND(XD49,ABS(XD50)&gt;=XD17))&gt;2,0,1)</f>
        <v>0</v>
      </c>
      <c r="XE57" s="20">
        <f t="shared" si="588"/>
        <v>1</v>
      </c>
      <c r="XF57" s="20">
        <f t="shared" si="588"/>
        <v>0</v>
      </c>
      <c r="XG57" s="20">
        <f t="shared" ref="XG57:XH57" si="589">IF( (AND(XG43,ABS(XG44)&gt;=XG17)+AND(XG45,ABS(XG46)&gt;=XG17)+AND(XG47,ABS(XG48)&gt;=XG17)+AND(XG49,ABS(XG50)&gt;=XG17))&gt;2,0,1)</f>
        <v>1</v>
      </c>
      <c r="XH57" s="20">
        <f t="shared" si="589"/>
        <v>0</v>
      </c>
      <c r="XI57" s="20">
        <f t="shared" ref="XI57:YE57" si="590">IF( (AND(XI43,ABS(XI44)&gt;=XI17)+AND(XI45,ABS(XI46)&gt;=XI17)+AND(XI47,ABS(XI48)&gt;=XI17)+AND(XI49,ABS(XI50)&gt;=XI17))&gt;2,0,1)</f>
        <v>1</v>
      </c>
      <c r="XJ57" s="20">
        <f t="shared" si="590"/>
        <v>1</v>
      </c>
      <c r="XK57" s="20">
        <f t="shared" si="590"/>
        <v>1</v>
      </c>
      <c r="XL57" s="20">
        <f t="shared" si="590"/>
        <v>1</v>
      </c>
      <c r="XM57" s="20">
        <f t="shared" si="590"/>
        <v>1</v>
      </c>
      <c r="XN57" s="20">
        <f t="shared" si="590"/>
        <v>1</v>
      </c>
      <c r="XO57" s="20">
        <f t="shared" si="590"/>
        <v>1</v>
      </c>
      <c r="XP57" s="20">
        <f t="shared" si="590"/>
        <v>1</v>
      </c>
      <c r="XQ57" s="20">
        <f t="shared" si="590"/>
        <v>1</v>
      </c>
      <c r="XR57" s="20">
        <f t="shared" si="590"/>
        <v>1</v>
      </c>
      <c r="XS57" s="20">
        <f t="shared" si="590"/>
        <v>1</v>
      </c>
      <c r="XT57" s="20">
        <f t="shared" si="590"/>
        <v>1</v>
      </c>
      <c r="XU57" s="20">
        <f t="shared" si="590"/>
        <v>1</v>
      </c>
      <c r="XV57" s="20">
        <f t="shared" si="590"/>
        <v>1</v>
      </c>
      <c r="XW57" s="20">
        <f t="shared" si="590"/>
        <v>1</v>
      </c>
      <c r="XX57" s="20">
        <f t="shared" si="590"/>
        <v>1</v>
      </c>
      <c r="XY57" s="20">
        <f t="shared" si="590"/>
        <v>1</v>
      </c>
      <c r="XZ57" s="20">
        <f t="shared" si="590"/>
        <v>1</v>
      </c>
      <c r="YA57" s="20">
        <f t="shared" si="590"/>
        <v>1</v>
      </c>
      <c r="YB57" s="20">
        <f t="shared" si="590"/>
        <v>1</v>
      </c>
      <c r="YC57" s="20">
        <f t="shared" si="590"/>
        <v>1</v>
      </c>
      <c r="YD57" s="20">
        <f t="shared" si="590"/>
        <v>1</v>
      </c>
      <c r="YE57" s="20">
        <f t="shared" si="590"/>
        <v>1</v>
      </c>
      <c r="YF57" s="20">
        <f t="shared" ref="YF57" si="591">IF( (AND(YF43,ABS(YF44)&gt;=YF17)+AND(YF45,ABS(YF46)&gt;=YF17)+AND(YF47,ABS(YF48)&gt;=YF17)+AND(YF49,ABS(YF50)&gt;=YF17))&gt;2,0,1)</f>
        <v>1</v>
      </c>
      <c r="YG57" s="20">
        <f t="shared" ref="YG57:ZA57" si="592">IF( (AND(YG43,ABS(YG44)&gt;=YG17)+AND(YG45,ABS(YG46)&gt;=YG17)+AND(YG47,ABS(YG48)&gt;=YG17)+AND(YG49,ABS(YG50)&gt;=YG17))&gt;2,0,1)</f>
        <v>1</v>
      </c>
      <c r="YH57" s="20">
        <f t="shared" si="592"/>
        <v>1</v>
      </c>
      <c r="YI57" s="20">
        <f t="shared" si="592"/>
        <v>1</v>
      </c>
      <c r="YJ57" s="20">
        <f t="shared" si="592"/>
        <v>1</v>
      </c>
      <c r="YK57" s="20">
        <f t="shared" si="592"/>
        <v>1</v>
      </c>
      <c r="YL57" s="20">
        <f t="shared" si="592"/>
        <v>1</v>
      </c>
      <c r="YM57" s="20">
        <f t="shared" si="592"/>
        <v>1</v>
      </c>
      <c r="YN57" s="20">
        <f t="shared" si="592"/>
        <v>1</v>
      </c>
      <c r="YO57" s="20">
        <f t="shared" si="592"/>
        <v>1</v>
      </c>
      <c r="YP57" s="20">
        <f t="shared" si="592"/>
        <v>1</v>
      </c>
      <c r="YQ57" s="20">
        <f t="shared" si="592"/>
        <v>1</v>
      </c>
      <c r="YR57" s="20">
        <f t="shared" si="592"/>
        <v>1</v>
      </c>
      <c r="YS57" s="20">
        <f t="shared" si="592"/>
        <v>1</v>
      </c>
      <c r="YT57" s="20">
        <f t="shared" si="592"/>
        <v>1</v>
      </c>
      <c r="YU57" s="20">
        <f t="shared" si="592"/>
        <v>1</v>
      </c>
      <c r="YV57" s="20">
        <f t="shared" si="592"/>
        <v>1</v>
      </c>
      <c r="YW57" s="20">
        <f t="shared" si="592"/>
        <v>1</v>
      </c>
      <c r="YX57" s="20">
        <f t="shared" si="592"/>
        <v>1</v>
      </c>
      <c r="YY57" s="20">
        <f t="shared" si="592"/>
        <v>1</v>
      </c>
      <c r="YZ57" s="20">
        <f t="shared" si="592"/>
        <v>1</v>
      </c>
      <c r="ZA57" s="20">
        <f t="shared" si="592"/>
        <v>1</v>
      </c>
      <c r="ZB57" s="20">
        <f t="shared" ref="ZB57:ZJ57" si="593">IF( (AND(ZB43,ABS(ZB44)&gt;=ZB17)+AND(ZB45,ABS(ZB46)&gt;=ZB17)+AND(ZB47,ABS(ZB48)&gt;=ZB17)+AND(ZB49,ABS(ZB50)&gt;=ZB17))&gt;2,0,1)</f>
        <v>1</v>
      </c>
      <c r="ZC57" s="20">
        <f t="shared" si="593"/>
        <v>1</v>
      </c>
      <c r="ZD57" s="20">
        <f t="shared" si="593"/>
        <v>1</v>
      </c>
      <c r="ZE57" s="20">
        <f t="shared" si="593"/>
        <v>1</v>
      </c>
      <c r="ZF57" s="20">
        <f t="shared" si="593"/>
        <v>1</v>
      </c>
      <c r="ZG57" s="20">
        <f t="shared" si="593"/>
        <v>1</v>
      </c>
      <c r="ZH57" s="20">
        <f t="shared" si="593"/>
        <v>1</v>
      </c>
      <c r="ZI57" s="20">
        <f t="shared" si="593"/>
        <v>1</v>
      </c>
      <c r="ZJ57" s="20">
        <f t="shared" si="593"/>
        <v>1</v>
      </c>
      <c r="ZK57" s="20">
        <f t="shared" ref="ZK57" si="594">IF( (AND(ZK43,ABS(ZK44)&gt;=ZK17)+AND(ZK45,ABS(ZK46)&gt;=ZK17)+AND(ZK47,ABS(ZK48)&gt;=ZK17)+AND(ZK49,ABS(ZK50)&gt;=ZK17))&gt;2,0,1)</f>
        <v>1</v>
      </c>
      <c r="ZL57" s="15">
        <v>1</v>
      </c>
      <c r="ZM57" s="15">
        <v>1</v>
      </c>
      <c r="ZN57" s="15">
        <v>1</v>
      </c>
      <c r="ZO57" s="15">
        <v>1</v>
      </c>
      <c r="ZP57" s="15">
        <v>1</v>
      </c>
      <c r="ZQ57" s="15">
        <v>0</v>
      </c>
      <c r="ZR57" s="20">
        <f t="shared" ref="ZR57" si="595">IF( (AND(ZR43,ABS(ZR44)&gt;=ZR17)+AND(ZR45,ABS(ZR46)&gt;=ZR17)+AND(ZR47,ABS(ZR48)&gt;=ZR17)+AND(ZR49,ABS(ZR50)&gt;=ZR17))&gt;2,0,1)</f>
        <v>1</v>
      </c>
      <c r="ZS57" s="15">
        <v>1</v>
      </c>
      <c r="ZT57" s="15">
        <v>1</v>
      </c>
      <c r="ZU57" s="15">
        <v>1</v>
      </c>
      <c r="ZV57" s="15">
        <v>1</v>
      </c>
      <c r="ZW57" s="15">
        <v>1</v>
      </c>
      <c r="ZX57" s="15">
        <v>0</v>
      </c>
      <c r="ZY57" s="20">
        <f t="shared" ref="ZY57" si="596">IF( (AND(ZY43,ABS(ZY44)&gt;=ZY17)+AND(ZY45,ABS(ZY46)&gt;=ZY17)+AND(ZY47,ABS(ZY48)&gt;=ZY17)+AND(ZY49,ABS(ZY50)&gt;=ZY17))&gt;2,0,1)</f>
        <v>1</v>
      </c>
      <c r="ZZ57" s="15">
        <v>1</v>
      </c>
      <c r="AAA57" s="15">
        <v>1</v>
      </c>
      <c r="AAB57" s="15">
        <v>1</v>
      </c>
      <c r="AAC57" s="15">
        <v>1</v>
      </c>
      <c r="AAD57" s="15">
        <v>1</v>
      </c>
      <c r="AAE57" s="15">
        <v>1</v>
      </c>
      <c r="AAF57" s="15">
        <v>1</v>
      </c>
      <c r="AAG57" s="15">
        <v>1</v>
      </c>
      <c r="AAH57" s="15">
        <v>1</v>
      </c>
      <c r="AAI57" s="15">
        <v>1</v>
      </c>
      <c r="AAJ57" s="20">
        <v>1</v>
      </c>
      <c r="AAK57" s="20">
        <v>1</v>
      </c>
      <c r="AAM57" s="20">
        <f t="shared" ref="AAM57:AAS57" si="597">IF( (AND(AAM43,ABS(AAM44)&gt;=AAM17)+AND(AAM45,ABS(AAM46)&gt;=AAM17)+AND(AAM47,ABS(AAM48)&gt;=AAM17)+AND(AAM49,ABS(AAM50)&gt;=AAM17))&gt;2,0,1)</f>
        <v>1</v>
      </c>
      <c r="AAN57" s="20">
        <f t="shared" si="597"/>
        <v>1</v>
      </c>
      <c r="AAO57" s="20">
        <f t="shared" si="597"/>
        <v>1</v>
      </c>
      <c r="AAP57" s="20">
        <f t="shared" si="597"/>
        <v>1</v>
      </c>
      <c r="AAQ57" s="20">
        <f t="shared" si="597"/>
        <v>1</v>
      </c>
      <c r="AAR57" s="20">
        <f t="shared" si="597"/>
        <v>1</v>
      </c>
      <c r="AAS57" s="20">
        <f t="shared" si="597"/>
        <v>1</v>
      </c>
      <c r="AAT57" s="20">
        <f t="shared" ref="AAT57:AAU57" si="598">IF( (AND(AAT43,ABS(AAT44)&gt;=AAT17)+AND(AAT45,ABS(AAT46)&gt;=AAT17)+AND(AAT47,ABS(AAT48)&gt;=AAT17)+AND(AAT49,ABS(AAT50)&gt;=AAT17))&gt;2,0,1)</f>
        <v>1</v>
      </c>
      <c r="AAU57" s="20">
        <f t="shared" si="598"/>
        <v>1</v>
      </c>
      <c r="AAV57" s="20">
        <f t="shared" ref="AAV57:AAW57" si="599">IF( (AND(AAV43,ABS(AAV44)&gt;=AAV17)+AND(AAV45,ABS(AAV46)&gt;=AAV17)+AND(AAV47,ABS(AAV48)&gt;=AAV17)+AND(AAV49,ABS(AAV50)&gt;=AAV17))&gt;2,0,1)</f>
        <v>1</v>
      </c>
      <c r="AAW57" s="20">
        <f t="shared" si="599"/>
        <v>1</v>
      </c>
      <c r="AAY57" s="20">
        <f t="shared" ref="AAY57:ABG57" si="600">IF( (AND(AAY43,ABS(AAY44)&gt;=AAY17)+AND(AAY45,ABS(AAY46)&gt;=AAY17)+AND(AAY47,ABS(AAY48)&gt;=AAY17)+AND(AAY49,ABS(AAY50)&gt;=AAY17))&gt;2,0,1)</f>
        <v>1</v>
      </c>
      <c r="AAZ57" s="20">
        <f t="shared" si="600"/>
        <v>1</v>
      </c>
      <c r="ABA57" s="20">
        <f t="shared" si="600"/>
        <v>1</v>
      </c>
      <c r="ABB57" s="20">
        <f t="shared" si="600"/>
        <v>1</v>
      </c>
      <c r="ABC57" s="20">
        <f t="shared" si="600"/>
        <v>1</v>
      </c>
      <c r="ABD57" s="20">
        <f t="shared" si="600"/>
        <v>1</v>
      </c>
      <c r="ABE57" s="20">
        <f t="shared" si="600"/>
        <v>1</v>
      </c>
      <c r="ABF57" s="20">
        <f t="shared" si="600"/>
        <v>1</v>
      </c>
      <c r="ABG57" s="20">
        <f t="shared" si="600"/>
        <v>1</v>
      </c>
      <c r="ABH57" s="20">
        <f t="shared" ref="ABH57:ABK57" si="601">IF( (AND(ABH43,ABS(ABH44)&gt;=ABH17)+AND(ABH45,ABS(ABH46)&gt;=ABH17)+AND(ABH47,ABS(ABH48)&gt;=ABH17)+AND(ABH49,ABS(ABH50)&gt;=ABH17))&gt;2,0,1)</f>
        <v>1</v>
      </c>
      <c r="ABI57" s="20">
        <f t="shared" ref="ABI57:ABJ57" si="602">IF( (AND(ABI43,ABS(ABI44)&gt;=ABI17)+AND(ABI45,ABS(ABI46)&gt;=ABI17)+AND(ABI47,ABS(ABI48)&gt;=ABI17)+AND(ABI49,ABS(ABI50)&gt;=ABI17))&gt;2,0,1)</f>
        <v>1</v>
      </c>
      <c r="ABJ57" s="20">
        <f t="shared" si="602"/>
        <v>1</v>
      </c>
      <c r="ABK57" s="20">
        <f t="shared" si="601"/>
        <v>1</v>
      </c>
      <c r="ABL57" s="20">
        <f t="shared" ref="ABL57:ABM57" si="603">IF( (AND(ABL43,ABS(ABL44)&gt;=ABL17)+AND(ABL45,ABS(ABL46)&gt;=ABL17)+AND(ABL47,ABS(ABL48)&gt;=ABL17)+AND(ABL49,ABS(ABL50)&gt;=ABL17))&gt;2,0,1)</f>
        <v>1</v>
      </c>
      <c r="ABM57" s="20">
        <f t="shared" si="603"/>
        <v>1</v>
      </c>
      <c r="ABN57" s="20">
        <f t="shared" ref="ABN57:ABP57" si="604">IF( (AND(ABN43,ABS(ABN44)&gt;=ABN17)+AND(ABN45,ABS(ABN46)&gt;=ABN17)+AND(ABN47,ABS(ABN48)&gt;=ABN17)+AND(ABN49,ABS(ABN50)&gt;=ABN17))&gt;2,0,1)</f>
        <v>1</v>
      </c>
      <c r="ABO57" s="20">
        <f t="shared" si="604"/>
        <v>1</v>
      </c>
      <c r="ABP57" s="20">
        <f t="shared" si="604"/>
        <v>1</v>
      </c>
      <c r="ABQ57" s="20">
        <f t="shared" ref="ABQ57:ABS57" si="605">IF( (AND(ABQ43,ABS(ABQ44)&gt;=ABQ17)+AND(ABQ45,ABS(ABQ46)&gt;=ABQ17)+AND(ABQ47,ABS(ABQ48)&gt;=ABQ17)+AND(ABQ49,ABS(ABQ50)&gt;=ABQ17))&gt;2,0,1)</f>
        <v>0</v>
      </c>
      <c r="ABR57" s="20">
        <f t="shared" si="605"/>
        <v>1</v>
      </c>
      <c r="ABS57" s="20">
        <f t="shared" si="605"/>
        <v>1</v>
      </c>
      <c r="ABT57" s="20">
        <f t="shared" ref="ABT57:ABU57" si="606">IF( (AND(ABT43,ABS(ABT44)&gt;=ABT17)+AND(ABT45,ABS(ABT46)&gt;=ABT17)+AND(ABT47,ABS(ABT48)&gt;=ABT17)+AND(ABT49,ABS(ABT50)&gt;=ABT17))&gt;2,0,1)</f>
        <v>0</v>
      </c>
      <c r="ABU57" s="20">
        <f t="shared" si="606"/>
        <v>1</v>
      </c>
      <c r="ABV57" s="20">
        <f t="shared" ref="ABV57:ABW57" si="607">IF( (AND(ABV43,ABS(ABV44)&gt;=ABV17)+AND(ABV45,ABS(ABV46)&gt;=ABV17)+AND(ABV47,ABS(ABV48)&gt;=ABV17)+AND(ABV49,ABS(ABV50)&gt;=ABV17))&gt;2,0,1)</f>
        <v>0</v>
      </c>
      <c r="ABW57" s="20">
        <f t="shared" si="607"/>
        <v>1</v>
      </c>
      <c r="ABX57" s="20">
        <f t="shared" ref="ABX57:ABY57" si="608">IF( (AND(ABX43,ABS(ABX44)&gt;=ABX17)+AND(ABX45,ABS(ABX46)&gt;=ABX17)+AND(ABX47,ABS(ABX48)&gt;=ABX17)+AND(ABX49,ABS(ABX50)&gt;=ABX17))&gt;2,0,1)</f>
        <v>0</v>
      </c>
      <c r="ABY57" s="20">
        <f t="shared" si="608"/>
        <v>1</v>
      </c>
      <c r="ABZ57" s="20">
        <f t="shared" ref="ABZ57:ACB57" si="609">IF( (AND(ABZ43,ABS(ABZ44)&gt;=ABZ17)+AND(ABZ45,ABS(ABZ46)&gt;=ABZ17)+AND(ABZ47,ABS(ABZ48)&gt;=ABZ17)+AND(ABZ49,ABS(ABZ50)&gt;=ABZ17))&gt;2,0,1)</f>
        <v>0</v>
      </c>
      <c r="ACA57" s="20">
        <f t="shared" ref="ACA57" si="610">IF( (AND(ACA43,ABS(ACA44)&gt;=ACA17)+AND(ACA45,ABS(ACA46)&gt;=ACA17)+AND(ACA47,ABS(ACA48)&gt;=ACA17)+AND(ACA49,ABS(ACA50)&gt;=ACA17))&gt;2,0,1)</f>
        <v>0</v>
      </c>
      <c r="ACB57" s="20">
        <f t="shared" si="609"/>
        <v>1</v>
      </c>
      <c r="ACC57" s="20">
        <f t="shared" ref="ACC57" si="611">IF( (AND(ACC43,ABS(ACC44)&gt;=ACC17)+AND(ACC45,ABS(ACC46)&gt;=ACC17)+AND(ACC47,ABS(ACC48)&gt;=ACC17)+AND(ACC49,ABS(ACC50)&gt;=ACC17))&gt;2,0,1)</f>
        <v>0</v>
      </c>
      <c r="ACD57" s="20">
        <f t="shared" ref="ACD57" si="612">IF( (AND(ACD43,ABS(ACD44)&gt;=ACD17)+AND(ACD45,ABS(ACD46)&gt;=ACD17)+AND(ACD47,ABS(ACD48)&gt;=ACD17)+AND(ACD49,ABS(ACD50)&gt;=ACD17))&gt;2,0,1)</f>
        <v>0</v>
      </c>
      <c r="ACE57" s="20">
        <f t="shared" ref="ACE57:ACF57" si="613">IF( (AND(ACE43,ABS(ACE44)&gt;=ACE17)+AND(ACE45,ABS(ACE46)&gt;=ACE17)+AND(ACE47,ABS(ACE48)&gt;=ACE17)+AND(ACE49,ABS(ACE50)&gt;=ACE17))&gt;2,0,1)</f>
        <v>1</v>
      </c>
      <c r="ACF57" s="20">
        <f t="shared" si="613"/>
        <v>0</v>
      </c>
      <c r="ACG57" s="20">
        <f t="shared" ref="ACG57:ACP57" si="614">IF( (AND(ACG43,ABS(ACG44)&gt;=ACG17)+AND(ACG45,ABS(ACG46)&gt;=ACG17)+AND(ACG47,ABS(ACG48)&gt;=ACG17)+AND(ACG49,ABS(ACG50)&gt;=ACG17))&gt;2,0,1)</f>
        <v>1</v>
      </c>
      <c r="ACH57" s="15">
        <f t="shared" si="614"/>
        <v>1</v>
      </c>
      <c r="ACI57" s="15">
        <f t="shared" si="614"/>
        <v>1</v>
      </c>
      <c r="ACJ57" s="15">
        <f t="shared" si="614"/>
        <v>1</v>
      </c>
      <c r="ACK57" s="15">
        <f t="shared" si="614"/>
        <v>1</v>
      </c>
      <c r="ACL57" s="15">
        <f t="shared" si="614"/>
        <v>1</v>
      </c>
      <c r="ACM57" s="15">
        <f t="shared" si="614"/>
        <v>1</v>
      </c>
      <c r="ACN57" s="15">
        <f t="shared" si="614"/>
        <v>1</v>
      </c>
      <c r="ACO57" s="15">
        <f t="shared" si="614"/>
        <v>1</v>
      </c>
      <c r="ACP57" s="15">
        <f t="shared" si="614"/>
        <v>1</v>
      </c>
      <c r="ACQ57" s="15">
        <f t="shared" ref="ACQ57:ADC57" si="615">IF( (AND(ACQ43,ABS(ACQ44)&gt;=ACQ17)+AND(ACQ45,ABS(ACQ46)&gt;=ACQ17)+AND(ACQ47,ABS(ACQ48)&gt;=ACQ17)+AND(ACQ49,ABS(ACQ50)&gt;=ACQ17))&gt;2,0,1)</f>
        <v>1</v>
      </c>
      <c r="ACR57" s="15">
        <f t="shared" si="615"/>
        <v>1</v>
      </c>
      <c r="ACS57" s="15">
        <f t="shared" si="615"/>
        <v>1</v>
      </c>
      <c r="ACT57" s="15">
        <f t="shared" si="615"/>
        <v>1</v>
      </c>
      <c r="ACU57" s="15">
        <f t="shared" si="615"/>
        <v>1</v>
      </c>
      <c r="ACV57" s="15">
        <f t="shared" si="615"/>
        <v>1</v>
      </c>
      <c r="ACW57" s="15">
        <f t="shared" si="615"/>
        <v>1</v>
      </c>
      <c r="ACX57" s="15">
        <f t="shared" si="615"/>
        <v>1</v>
      </c>
      <c r="ACY57" s="15">
        <f t="shared" si="615"/>
        <v>1</v>
      </c>
      <c r="ACZ57" s="15">
        <f t="shared" si="615"/>
        <v>1</v>
      </c>
      <c r="ADA57" s="15">
        <f t="shared" si="615"/>
        <v>1</v>
      </c>
      <c r="ADB57" s="15">
        <f t="shared" si="615"/>
        <v>1</v>
      </c>
      <c r="ADC57" s="15">
        <f t="shared" si="615"/>
        <v>1</v>
      </c>
      <c r="ADD57" s="20">
        <f t="shared" ref="ADD57:ADE57" si="616">IF( (AND(ADD43,ABS(ADD44)&gt;=ADD17)+AND(ADD45,ABS(ADD46)&gt;=ADD17)+AND(ADD47,ABS(ADD48)&gt;=ADD17)+AND(ADD49,ABS(ADD50)&gt;=ADD17))&gt;2,0,1)</f>
        <v>1</v>
      </c>
      <c r="ADE57" s="20">
        <f t="shared" si="616"/>
        <v>1</v>
      </c>
      <c r="ADF57" s="20">
        <f t="shared" ref="ADF57:ADG57" si="617">IF( (AND(ADF43,ABS(ADF44)&gt;=ADF17)+AND(ADF45,ABS(ADF46)&gt;=ADF17)+AND(ADF47,ABS(ADF48)&gt;=ADF17)+AND(ADF49,ABS(ADF50)&gt;=ADF17))&gt;2,0,1)</f>
        <v>1</v>
      </c>
      <c r="ADG57" s="20">
        <f t="shared" si="617"/>
        <v>1</v>
      </c>
      <c r="ADI57" s="20">
        <f t="shared" ref="ADI57:AFQ57" si="618">IF( (AND(ADI43,ABS(ADI44)&gt;=ADI17)+AND(ADI45,ABS(ADI46)&gt;=ADI17)+AND(ADI47,ABS(ADI48)&gt;=ADI17)+AND(ADI49,ABS(ADI50)&gt;=ADI17))&gt;2,0,1)</f>
        <v>1</v>
      </c>
      <c r="ADJ57" s="20">
        <f t="shared" si="618"/>
        <v>1</v>
      </c>
      <c r="ADK57" s="20">
        <f t="shared" si="618"/>
        <v>1</v>
      </c>
      <c r="ADL57" s="20">
        <f t="shared" si="618"/>
        <v>1</v>
      </c>
      <c r="ADM57" s="20">
        <f t="shared" si="618"/>
        <v>1</v>
      </c>
      <c r="ADN57" s="20">
        <f t="shared" si="618"/>
        <v>1</v>
      </c>
      <c r="ADO57" s="20">
        <f t="shared" si="618"/>
        <v>1</v>
      </c>
      <c r="ADP57" s="20">
        <f t="shared" si="618"/>
        <v>1</v>
      </c>
      <c r="ADQ57" s="20">
        <f t="shared" si="618"/>
        <v>1</v>
      </c>
      <c r="ADR57" s="20">
        <f t="shared" si="618"/>
        <v>1</v>
      </c>
      <c r="ADS57" s="20">
        <f t="shared" si="618"/>
        <v>1</v>
      </c>
      <c r="ADT57" s="20">
        <f t="shared" si="618"/>
        <v>1</v>
      </c>
      <c r="ADU57" s="20">
        <f t="shared" si="618"/>
        <v>1</v>
      </c>
      <c r="ADV57" s="20">
        <f t="shared" si="618"/>
        <v>1</v>
      </c>
      <c r="ADW57" s="20">
        <f t="shared" si="618"/>
        <v>1</v>
      </c>
      <c r="ADX57" s="20">
        <f t="shared" si="618"/>
        <v>1</v>
      </c>
      <c r="ADY57" s="20">
        <f t="shared" si="618"/>
        <v>1</v>
      </c>
      <c r="ADZ57" s="20">
        <f t="shared" si="618"/>
        <v>1</v>
      </c>
      <c r="AEA57" s="20">
        <f t="shared" si="618"/>
        <v>0</v>
      </c>
      <c r="AEB57" s="20">
        <f t="shared" si="618"/>
        <v>1</v>
      </c>
      <c r="AEC57" s="20">
        <f t="shared" si="618"/>
        <v>1</v>
      </c>
      <c r="AED57" s="20">
        <f t="shared" si="618"/>
        <v>0</v>
      </c>
      <c r="AEE57" s="20">
        <f t="shared" si="618"/>
        <v>1</v>
      </c>
      <c r="AEF57" s="20">
        <f t="shared" si="618"/>
        <v>0</v>
      </c>
      <c r="AEG57" s="20">
        <f t="shared" si="618"/>
        <v>1</v>
      </c>
      <c r="AEH57" s="20">
        <f t="shared" si="618"/>
        <v>0</v>
      </c>
      <c r="AEI57" s="20">
        <f t="shared" si="618"/>
        <v>1</v>
      </c>
      <c r="AEJ57" s="20">
        <f t="shared" si="618"/>
        <v>0</v>
      </c>
      <c r="AEK57" s="20">
        <f t="shared" si="618"/>
        <v>0</v>
      </c>
      <c r="AEL57" s="20">
        <f t="shared" si="618"/>
        <v>1</v>
      </c>
      <c r="AEM57" s="20">
        <f t="shared" si="618"/>
        <v>0</v>
      </c>
      <c r="AEN57" s="20">
        <f t="shared" si="618"/>
        <v>0</v>
      </c>
      <c r="AEO57" s="20">
        <f t="shared" si="618"/>
        <v>1</v>
      </c>
      <c r="AEP57" s="20">
        <f t="shared" si="618"/>
        <v>0</v>
      </c>
      <c r="AEQ57" s="20">
        <f t="shared" si="618"/>
        <v>1</v>
      </c>
      <c r="AER57" s="15">
        <f t="shared" si="618"/>
        <v>1</v>
      </c>
      <c r="AES57" s="15">
        <f t="shared" si="618"/>
        <v>1</v>
      </c>
      <c r="AET57" s="15">
        <f t="shared" si="618"/>
        <v>1</v>
      </c>
      <c r="AEU57" s="15">
        <f t="shared" si="618"/>
        <v>1</v>
      </c>
      <c r="AEV57" s="15">
        <f t="shared" si="618"/>
        <v>1</v>
      </c>
      <c r="AEW57" s="15">
        <f t="shared" si="618"/>
        <v>1</v>
      </c>
      <c r="AEX57" s="15">
        <f t="shared" si="618"/>
        <v>1</v>
      </c>
      <c r="AEY57" s="15">
        <f t="shared" si="618"/>
        <v>1</v>
      </c>
      <c r="AEZ57" s="15">
        <f t="shared" si="618"/>
        <v>1</v>
      </c>
      <c r="AFA57" s="15">
        <f t="shared" si="618"/>
        <v>1</v>
      </c>
      <c r="AFB57" s="15">
        <f t="shared" si="618"/>
        <v>1</v>
      </c>
      <c r="AFC57" s="15">
        <f t="shared" si="618"/>
        <v>1</v>
      </c>
      <c r="AFD57" s="15">
        <f t="shared" si="618"/>
        <v>1</v>
      </c>
      <c r="AFE57" s="15">
        <f t="shared" si="618"/>
        <v>1</v>
      </c>
      <c r="AFF57" s="15">
        <f t="shared" si="618"/>
        <v>1</v>
      </c>
      <c r="AFG57" s="15">
        <f t="shared" si="618"/>
        <v>1</v>
      </c>
      <c r="AFH57" s="15">
        <f t="shared" si="618"/>
        <v>1</v>
      </c>
      <c r="AFI57" s="15">
        <f t="shared" si="618"/>
        <v>1</v>
      </c>
      <c r="AFJ57" s="15">
        <f t="shared" si="618"/>
        <v>1</v>
      </c>
      <c r="AFK57" s="15">
        <f t="shared" si="618"/>
        <v>1</v>
      </c>
      <c r="AFL57" s="15">
        <f t="shared" si="618"/>
        <v>1</v>
      </c>
      <c r="AFM57" s="15">
        <f t="shared" si="618"/>
        <v>1</v>
      </c>
      <c r="AFN57" s="20">
        <f t="shared" si="618"/>
        <v>1</v>
      </c>
      <c r="AFO57" s="20">
        <f t="shared" si="618"/>
        <v>1</v>
      </c>
      <c r="AFP57" s="20">
        <f t="shared" si="618"/>
        <v>1</v>
      </c>
      <c r="AFQ57" s="20">
        <f t="shared" si="618"/>
        <v>1</v>
      </c>
      <c r="AFS57" s="15">
        <v>1</v>
      </c>
      <c r="AFT57" s="15">
        <v>1</v>
      </c>
      <c r="AFU57" s="15">
        <v>1</v>
      </c>
      <c r="AFV57" s="15">
        <v>1</v>
      </c>
      <c r="AFW57" s="15">
        <v>1</v>
      </c>
      <c r="AFX57" s="15">
        <v>1</v>
      </c>
      <c r="AFY57" s="15">
        <v>1</v>
      </c>
      <c r="AFZ57" s="15">
        <v>1</v>
      </c>
      <c r="AGA57" s="15">
        <v>1</v>
      </c>
      <c r="AGB57" s="15">
        <v>1</v>
      </c>
      <c r="AGC57" s="15">
        <v>1</v>
      </c>
      <c r="AGD57" s="20">
        <f t="shared" ref="AGD57:AGE57" si="619">IF( (AND(AGD43,ABS(AGD44)&gt;=AGD17)+AND(AGD45,ABS(AGD46)&gt;=AGD17)+AND(AGD47,ABS(AGD48)&gt;=AGD17)+AND(AGD49,ABS(AGD50)&gt;=AGD17))&gt;2,0,1)</f>
        <v>0</v>
      </c>
      <c r="AGE57" s="20">
        <f t="shared" si="619"/>
        <v>1</v>
      </c>
      <c r="AGF57" s="20">
        <f t="shared" ref="AGF57:AGG57" si="620">IF( (AND(AGF43,ABS(AGF44)&gt;=AGF17)+AND(AGF45,ABS(AGF46)&gt;=AGF17)+AND(AGF47,ABS(AGF48)&gt;=AGF17)+AND(AGF49,ABS(AGF50)&gt;=AGF17))&gt;2,0,1)</f>
        <v>1</v>
      </c>
      <c r="AGG57" s="20">
        <f t="shared" si="620"/>
        <v>1</v>
      </c>
      <c r="AGH57" s="20">
        <f t="shared" ref="AGH57:AGI57" si="621">IF( (AND(AGH43,ABS(AGH44)&gt;=AGH17)+AND(AGH45,ABS(AGH46)&gt;=AGH17)+AND(AGH47,ABS(AGH48)&gt;=AGH17)+AND(AGH49,ABS(AGH50)&gt;=AGH17))&gt;2,0,1)</f>
        <v>1</v>
      </c>
      <c r="AGI57" s="20">
        <f t="shared" si="621"/>
        <v>1</v>
      </c>
      <c r="AGJ57" s="20">
        <f t="shared" ref="AGJ57:AGK57" si="622">IF( (AND(AGJ43,ABS(AGJ44)&gt;=AGJ17)+AND(AGJ45,ABS(AGJ46)&gt;=AGJ17)+AND(AGJ47,ABS(AGJ48)&gt;=AGJ17)+AND(AGJ49,ABS(AGJ50)&gt;=AGJ17))&gt;2,0,1)</f>
        <v>1</v>
      </c>
      <c r="AGK57" s="20">
        <f t="shared" si="622"/>
        <v>0</v>
      </c>
      <c r="AGL57" s="20">
        <f t="shared" ref="AGL57:AGO57" si="623">IF( (AND(AGL43,ABS(AGL44)&gt;=AGL17)+AND(AGL45,ABS(AGL46)&gt;=AGL17)+AND(AGL47,ABS(AGL48)&gt;=AGL17)+AND(AGL49,ABS(AGL50)&gt;=AGL17))&gt;2,0,1)</f>
        <v>1</v>
      </c>
      <c r="AGM57" s="20">
        <f t="shared" si="623"/>
        <v>1</v>
      </c>
      <c r="AGN57" s="20">
        <f t="shared" si="623"/>
        <v>1</v>
      </c>
      <c r="AGO57" s="20">
        <f t="shared" si="623"/>
        <v>1</v>
      </c>
      <c r="AGP57" s="20">
        <f t="shared" ref="AGP57:AGU57" si="624">IF( (AND(AGP43,ABS(AGP44)&gt;=AGP17)+AND(AGP45,ABS(AGP46)&gt;=AGP17)+AND(AGP47,ABS(AGP48)&gt;=AGP17)+AND(AGP49,ABS(AGP50)&gt;=AGP17))&gt;2,0,1)</f>
        <v>1</v>
      </c>
      <c r="AGQ57" s="20">
        <f t="shared" si="624"/>
        <v>1</v>
      </c>
      <c r="AGR57" s="20">
        <f t="shared" si="624"/>
        <v>1</v>
      </c>
      <c r="AGS57" s="20">
        <f t="shared" si="624"/>
        <v>1</v>
      </c>
      <c r="AGT57" s="20">
        <f t="shared" si="624"/>
        <v>0</v>
      </c>
      <c r="AGU57" s="20">
        <f t="shared" si="624"/>
        <v>1</v>
      </c>
      <c r="AGV57" s="20">
        <f t="shared" ref="AGV57:AHX57" si="625">IF( (AND(AGV43,ABS(AGV44)&gt;=AGV17)+AND(AGV45,ABS(AGV46)&gt;=AGV17)+AND(AGV47,ABS(AGV48)&gt;=AGV17)+AND(AGV49,ABS(AGV50)&gt;=AGV17))&gt;2,0,1)</f>
        <v>1</v>
      </c>
      <c r="AGW57" s="20">
        <f t="shared" si="625"/>
        <v>1</v>
      </c>
      <c r="AGX57" s="20">
        <f t="shared" si="625"/>
        <v>1</v>
      </c>
      <c r="AGY57" s="20">
        <f t="shared" si="625"/>
        <v>1</v>
      </c>
      <c r="AGZ57" s="20">
        <f t="shared" si="625"/>
        <v>1</v>
      </c>
      <c r="AHA57" s="20">
        <f t="shared" si="625"/>
        <v>1</v>
      </c>
      <c r="AHB57" s="20">
        <f t="shared" si="625"/>
        <v>1</v>
      </c>
      <c r="AHC57" s="20">
        <f t="shared" si="625"/>
        <v>1</v>
      </c>
      <c r="AHD57" s="20">
        <f t="shared" si="625"/>
        <v>1</v>
      </c>
      <c r="AHE57" s="20">
        <f t="shared" si="625"/>
        <v>1</v>
      </c>
      <c r="AHF57" s="20">
        <f t="shared" si="625"/>
        <v>1</v>
      </c>
      <c r="AHG57" s="20">
        <f t="shared" si="625"/>
        <v>1</v>
      </c>
      <c r="AHH57" s="20">
        <f t="shared" si="625"/>
        <v>1</v>
      </c>
      <c r="AHI57" s="20">
        <f t="shared" si="625"/>
        <v>1</v>
      </c>
      <c r="AHJ57" s="20">
        <f t="shared" si="625"/>
        <v>1</v>
      </c>
      <c r="AHK57" s="20">
        <f t="shared" si="625"/>
        <v>1</v>
      </c>
      <c r="AHL57" s="20">
        <f t="shared" si="625"/>
        <v>1</v>
      </c>
      <c r="AHM57" s="20">
        <f t="shared" si="625"/>
        <v>1</v>
      </c>
      <c r="AHN57" s="20">
        <f t="shared" si="625"/>
        <v>1</v>
      </c>
      <c r="AHO57" s="20">
        <f t="shared" si="625"/>
        <v>1</v>
      </c>
      <c r="AHP57" s="20">
        <f t="shared" si="625"/>
        <v>1</v>
      </c>
      <c r="AHQ57" s="20">
        <f t="shared" si="625"/>
        <v>1</v>
      </c>
      <c r="AHR57" s="20">
        <f t="shared" si="625"/>
        <v>1</v>
      </c>
      <c r="AHS57" s="20">
        <f t="shared" si="625"/>
        <v>1</v>
      </c>
      <c r="AHT57" s="20">
        <f t="shared" si="625"/>
        <v>1</v>
      </c>
      <c r="AHU57" s="20">
        <f t="shared" si="625"/>
        <v>1</v>
      </c>
      <c r="AHV57" s="20">
        <f t="shared" si="625"/>
        <v>1</v>
      </c>
      <c r="AHW57" s="20">
        <f t="shared" si="625"/>
        <v>1</v>
      </c>
      <c r="AHX57" s="20">
        <f t="shared" si="625"/>
        <v>1</v>
      </c>
      <c r="AHY57" s="20">
        <f t="shared" ref="AHY57:AIG57" si="626">IF( (AND(AHY43,ABS(AHY44)&gt;=AHY17)+AND(AHY45,ABS(AHY46)&gt;=AHY17)+AND(AHY47,ABS(AHY48)&gt;=AHY17)+AND(AHY49,ABS(AHY50)&gt;=AHY17))&gt;2,0,1)</f>
        <v>1</v>
      </c>
      <c r="AHZ57" s="20">
        <f t="shared" si="626"/>
        <v>1</v>
      </c>
      <c r="AIA57" s="20">
        <f t="shared" si="626"/>
        <v>1</v>
      </c>
      <c r="AIB57" s="20">
        <f t="shared" si="626"/>
        <v>1</v>
      </c>
      <c r="AIC57" s="20">
        <f t="shared" si="626"/>
        <v>1</v>
      </c>
      <c r="AID57" s="20">
        <f t="shared" si="626"/>
        <v>1</v>
      </c>
      <c r="AIE57" s="20">
        <f t="shared" si="626"/>
        <v>1</v>
      </c>
      <c r="AIF57" s="20">
        <f t="shared" si="626"/>
        <v>1</v>
      </c>
      <c r="AIG57" s="20">
        <f t="shared" si="626"/>
        <v>1</v>
      </c>
      <c r="AIH57" s="20">
        <f t="shared" ref="AIH57:AIP57" si="627">IF( (AND(AIH43,ABS(AIH44)&gt;=AIH17)+AND(AIH45,ABS(AIH46)&gt;=AIH17)+AND(AIH47,ABS(AIH48)&gt;=AIH17)+AND(AIH49,ABS(AIH50)&gt;=AIH17))&gt;2,0,1)</f>
        <v>1</v>
      </c>
      <c r="AII57" s="20">
        <f t="shared" si="627"/>
        <v>1</v>
      </c>
      <c r="AIJ57" s="20">
        <f t="shared" si="627"/>
        <v>1</v>
      </c>
      <c r="AIK57" s="20">
        <f t="shared" si="627"/>
        <v>1</v>
      </c>
      <c r="AIL57" s="20">
        <f t="shared" si="627"/>
        <v>1</v>
      </c>
      <c r="AIM57" s="20">
        <f t="shared" si="627"/>
        <v>1</v>
      </c>
      <c r="AIN57" s="20">
        <f t="shared" si="627"/>
        <v>1</v>
      </c>
      <c r="AIO57" s="20">
        <f t="shared" si="627"/>
        <v>1</v>
      </c>
      <c r="AIP57" s="20">
        <f t="shared" si="627"/>
        <v>1</v>
      </c>
      <c r="AIQ57" s="20">
        <f t="shared" ref="AIQ57:AIR57" si="628">IF( (AND(AIQ43,ABS(AIQ44)&gt;=AIQ17)+AND(AIQ45,ABS(AIQ46)&gt;=AIQ17)+AND(AIQ47,ABS(AIQ48)&gt;=AIQ17)+AND(AIQ49,ABS(AIQ50)&gt;=AIQ17))&gt;2,0,1)</f>
        <v>1</v>
      </c>
      <c r="AIR57" s="20">
        <f t="shared" si="628"/>
        <v>1</v>
      </c>
      <c r="AIS57" s="20">
        <f t="shared" ref="AIS57:AIU57" si="629">IF( (AND(AIS43,ABS(AIS44)&gt;=AIS17)+AND(AIS45,ABS(AIS46)&gt;=AIS17)+AND(AIS47,ABS(AIS48)&gt;=AIS17)+AND(AIS49,ABS(AIS50)&gt;=AIS17))&gt;2,0,1)</f>
        <v>1</v>
      </c>
      <c r="AIT57" s="20">
        <f t="shared" si="629"/>
        <v>1</v>
      </c>
      <c r="AIU57" s="15">
        <f t="shared" si="629"/>
        <v>1</v>
      </c>
      <c r="AIV57" s="15">
        <f t="shared" ref="AIV57:AJE57" si="630">IF( (AND(AIV43,ABS(AIV44)&gt;=AIV17)+AND(AIV45,ABS(AIV46)&gt;=AIV17)+AND(AIV47,ABS(AIV48)&gt;=AIV17)+AND(AIV49,ABS(AIV50)&gt;=AIV17))&gt;2,0,1)</f>
        <v>1</v>
      </c>
      <c r="AIW57" s="15">
        <f t="shared" si="630"/>
        <v>1</v>
      </c>
      <c r="AIX57" s="15">
        <f t="shared" si="630"/>
        <v>1</v>
      </c>
      <c r="AIY57" s="15">
        <f t="shared" si="630"/>
        <v>1</v>
      </c>
      <c r="AIZ57" s="15">
        <f t="shared" si="630"/>
        <v>1</v>
      </c>
      <c r="AJA57" s="20">
        <f t="shared" si="630"/>
        <v>1</v>
      </c>
      <c r="AJB57" s="20">
        <f t="shared" si="630"/>
        <v>1</v>
      </c>
      <c r="AJC57" s="20">
        <f t="shared" si="630"/>
        <v>1</v>
      </c>
      <c r="AJD57" s="15">
        <f t="shared" si="630"/>
        <v>1</v>
      </c>
      <c r="AJE57" s="15">
        <f t="shared" si="630"/>
        <v>1</v>
      </c>
      <c r="AJI57" s="15">
        <v>0</v>
      </c>
      <c r="AJJ57" s="15">
        <v>0</v>
      </c>
      <c r="AJK57" s="15">
        <v>0</v>
      </c>
      <c r="AJL57" s="15">
        <v>0</v>
      </c>
      <c r="AJM57" s="15">
        <v>0</v>
      </c>
      <c r="AJO57" s="15">
        <v>0</v>
      </c>
      <c r="AJP57" s="15">
        <v>0</v>
      </c>
      <c r="AJQ57" s="15">
        <v>0</v>
      </c>
      <c r="AJR57" s="15">
        <v>0</v>
      </c>
      <c r="AJS57" s="15">
        <v>0</v>
      </c>
      <c r="AJT57" s="15">
        <v>0</v>
      </c>
      <c r="AJU57" s="15">
        <v>0</v>
      </c>
      <c r="AJV57" s="15">
        <v>0</v>
      </c>
      <c r="AJW57" s="15">
        <v>0</v>
      </c>
      <c r="AKJ57" s="20">
        <f t="shared" ref="AKJ57:AKQ57" si="631">IF( (AND(AKJ43,ABS(AKJ44)&gt;=AKJ17)+AND(AKJ45,ABS(AKJ46)&gt;=AKJ17)+AND(AKJ47,ABS(AKJ48)&gt;=AKJ17)+AND(AKJ49,ABS(AKJ50)&gt;=AKJ17))&gt;2,0,1)</f>
        <v>1</v>
      </c>
      <c r="AKK57" s="20">
        <f t="shared" si="631"/>
        <v>1</v>
      </c>
      <c r="AKL57" s="20">
        <f t="shared" si="631"/>
        <v>1</v>
      </c>
      <c r="AKM57" s="20">
        <f t="shared" si="631"/>
        <v>1</v>
      </c>
      <c r="AKN57" s="20">
        <f t="shared" si="631"/>
        <v>1</v>
      </c>
      <c r="AKO57" s="20">
        <f t="shared" si="631"/>
        <v>1</v>
      </c>
      <c r="AKP57" s="20">
        <f t="shared" si="631"/>
        <v>1</v>
      </c>
      <c r="AKQ57" s="20">
        <f t="shared" si="631"/>
        <v>1</v>
      </c>
      <c r="AKY57" s="20">
        <f t="shared" ref="AKY57:ALG57" si="632">IF( (AND(AKY43,ABS(AKY44)&gt;=AKY17)+AND(AKY45,ABS(AKY46)&gt;=AKY17)+AND(AKY47,ABS(AKY48)&gt;=AKY17)+AND(AKY49,ABS(AKY50)&gt;=AKY17))&gt;2,0,1)</f>
        <v>1</v>
      </c>
      <c r="AKZ57" s="20">
        <f t="shared" si="632"/>
        <v>1</v>
      </c>
      <c r="ALA57" s="20">
        <f t="shared" si="632"/>
        <v>1</v>
      </c>
      <c r="ALB57" s="20">
        <f t="shared" si="632"/>
        <v>1</v>
      </c>
      <c r="ALC57" s="20">
        <f t="shared" si="632"/>
        <v>1</v>
      </c>
      <c r="ALD57" s="20">
        <f t="shared" si="632"/>
        <v>1</v>
      </c>
      <c r="ALE57" s="20">
        <f t="shared" si="632"/>
        <v>1</v>
      </c>
      <c r="ALF57" s="20">
        <f t="shared" si="632"/>
        <v>1</v>
      </c>
      <c r="ALG57" s="20">
        <f t="shared" si="632"/>
        <v>1</v>
      </c>
      <c r="ALN57" s="20">
        <f t="shared" ref="ALN57:ALW57" si="633">IF( (AND(ALN43,ABS(ALN44)&gt;=ALN17)+AND(ALN45,ABS(ALN46)&gt;=ALN17)+AND(ALN47,ABS(ALN48)&gt;=ALN17)+AND(ALN49,ABS(ALN50)&gt;=ALN17))&gt;2,0,1)</f>
        <v>1</v>
      </c>
      <c r="ALO57" s="20">
        <f t="shared" si="633"/>
        <v>1</v>
      </c>
      <c r="ALP57" s="20">
        <f t="shared" si="633"/>
        <v>1</v>
      </c>
      <c r="ALQ57" s="20">
        <f t="shared" si="633"/>
        <v>1</v>
      </c>
      <c r="ALR57" s="20">
        <f t="shared" si="633"/>
        <v>1</v>
      </c>
      <c r="ALS57" s="20">
        <f t="shared" si="633"/>
        <v>1</v>
      </c>
      <c r="ALT57" s="20">
        <f t="shared" si="633"/>
        <v>1</v>
      </c>
      <c r="ALU57" s="20">
        <f t="shared" si="633"/>
        <v>1</v>
      </c>
      <c r="ALV57" s="20">
        <f t="shared" si="633"/>
        <v>1</v>
      </c>
      <c r="ALW57" s="20">
        <f t="shared" si="633"/>
        <v>1</v>
      </c>
      <c r="ALX57" s="20"/>
      <c r="ALY57" s="20"/>
      <c r="ALZ57" s="20"/>
      <c r="AMA57" s="20"/>
      <c r="AMB57" s="20"/>
      <c r="AMD57" s="15">
        <v>1</v>
      </c>
      <c r="AME57" s="15">
        <v>1</v>
      </c>
      <c r="AMF57" s="15">
        <v>1</v>
      </c>
      <c r="AMG57" s="15">
        <v>1</v>
      </c>
      <c r="AMH57" s="15">
        <v>1</v>
      </c>
      <c r="AMI57" s="15">
        <v>1</v>
      </c>
      <c r="AMJ57" s="15">
        <v>1</v>
      </c>
      <c r="AMK57" s="15">
        <v>1</v>
      </c>
      <c r="AML57" s="15">
        <v>1</v>
      </c>
      <c r="AMM57" s="15">
        <v>1</v>
      </c>
      <c r="AMN57" s="15">
        <v>1</v>
      </c>
      <c r="AMO57" s="32">
        <v>0</v>
      </c>
      <c r="AMP57" s="32">
        <v>0</v>
      </c>
      <c r="AMQ57" s="32">
        <v>0</v>
      </c>
      <c r="AMR57" s="32">
        <v>0</v>
      </c>
      <c r="AMS57" s="32">
        <v>0</v>
      </c>
      <c r="AMT57" s="32">
        <v>0</v>
      </c>
      <c r="AMU57" s="32">
        <v>0</v>
      </c>
      <c r="AMV57" s="32">
        <v>0</v>
      </c>
      <c r="AMW57" s="32">
        <v>0</v>
      </c>
      <c r="AMX57" s="32">
        <v>0</v>
      </c>
      <c r="AMY57" s="32">
        <v>0</v>
      </c>
      <c r="AMZ57" s="32">
        <v>0</v>
      </c>
      <c r="ANA57" s="32">
        <v>0</v>
      </c>
      <c r="ANB57" s="32">
        <v>0</v>
      </c>
      <c r="ANC57" s="32">
        <v>1</v>
      </c>
      <c r="AND57" s="32">
        <v>0</v>
      </c>
    </row>
    <row r="58" spans="1:1120" s="17" customFormat="1" ht="15" customHeight="1" x14ac:dyDescent="0.25">
      <c r="A58" s="11" t="s">
        <v>3</v>
      </c>
      <c r="B58" s="6" t="s">
        <v>19</v>
      </c>
      <c r="C58" s="15" t="s">
        <v>91</v>
      </c>
      <c r="D58" s="15" t="s">
        <v>91</v>
      </c>
      <c r="E58" s="15" t="s">
        <v>91</v>
      </c>
      <c r="F58" s="15" t="s">
        <v>91</v>
      </c>
      <c r="G58" s="15" t="s">
        <v>91</v>
      </c>
      <c r="H58" s="15" t="s">
        <v>91</v>
      </c>
      <c r="I58" s="15" t="s">
        <v>99</v>
      </c>
      <c r="J58" s="15"/>
      <c r="K58" s="15" t="s">
        <v>91</v>
      </c>
      <c r="L58" s="15" t="s">
        <v>91</v>
      </c>
      <c r="M58" s="15" t="s">
        <v>91</v>
      </c>
      <c r="N58" s="15" t="s">
        <v>91</v>
      </c>
      <c r="O58" s="15" t="s">
        <v>91</v>
      </c>
      <c r="P58" s="15" t="s">
        <v>108</v>
      </c>
      <c r="Q58" s="15"/>
      <c r="R58" s="15" t="s">
        <v>91</v>
      </c>
      <c r="S58" s="15" t="s">
        <v>91</v>
      </c>
      <c r="T58" s="15" t="s">
        <v>91</v>
      </c>
      <c r="U58" s="15" t="s">
        <v>91</v>
      </c>
      <c r="V58" s="15" t="s">
        <v>91</v>
      </c>
      <c r="W58" s="15" t="s">
        <v>108</v>
      </c>
      <c r="X58" s="15"/>
      <c r="Y58" s="15" t="s">
        <v>91</v>
      </c>
      <c r="Z58" s="15" t="s">
        <v>91</v>
      </c>
      <c r="AA58" s="15" t="s">
        <v>91</v>
      </c>
      <c r="AB58" s="15" t="s">
        <v>91</v>
      </c>
      <c r="AC58" s="15" t="s">
        <v>91</v>
      </c>
      <c r="AD58" s="15" t="s">
        <v>91</v>
      </c>
      <c r="AE58" s="15"/>
      <c r="AF58" s="15" t="s">
        <v>91</v>
      </c>
      <c r="AG58" s="15" t="s">
        <v>91</v>
      </c>
      <c r="AH58" s="15" t="s">
        <v>91</v>
      </c>
      <c r="AI58" s="15" t="s">
        <v>91</v>
      </c>
      <c r="AJ58" s="15" t="s">
        <v>91</v>
      </c>
      <c r="AK58" s="15" t="s">
        <v>91</v>
      </c>
      <c r="AL58" s="15"/>
      <c r="AM58" s="15" t="s">
        <v>91</v>
      </c>
      <c r="AN58" s="15" t="s">
        <v>91</v>
      </c>
      <c r="AO58" s="15" t="s">
        <v>91</v>
      </c>
      <c r="AP58" s="15" t="s">
        <v>91</v>
      </c>
      <c r="AQ58" s="15" t="s">
        <v>91</v>
      </c>
      <c r="AR58" s="15" t="s">
        <v>108</v>
      </c>
      <c r="AS58" s="15" t="s">
        <v>108</v>
      </c>
      <c r="AT58" s="15" t="s">
        <v>108</v>
      </c>
      <c r="AU58" s="15" t="s">
        <v>108</v>
      </c>
      <c r="AV58" s="15" t="s">
        <v>108</v>
      </c>
      <c r="AW58" s="15" t="s">
        <v>108</v>
      </c>
      <c r="AX58" s="15" t="s">
        <v>108</v>
      </c>
      <c r="AY58" s="15" t="s">
        <v>108</v>
      </c>
      <c r="AZ58" s="15" t="s">
        <v>108</v>
      </c>
      <c r="BA58" s="15" t="s">
        <v>108</v>
      </c>
      <c r="BB58" s="15" t="s">
        <v>108</v>
      </c>
      <c r="BC58" s="15" t="s">
        <v>108</v>
      </c>
      <c r="BD58" s="15" t="s">
        <v>108</v>
      </c>
      <c r="BE58" s="15" t="s">
        <v>108</v>
      </c>
      <c r="BF58" s="15" t="s">
        <v>108</v>
      </c>
      <c r="BG58" s="15" t="s">
        <v>108</v>
      </c>
      <c r="BH58" s="15" t="s">
        <v>108</v>
      </c>
      <c r="BI58" s="15" t="s">
        <v>108</v>
      </c>
      <c r="BJ58" s="15" t="s">
        <v>108</v>
      </c>
      <c r="BK58" s="15" t="s">
        <v>108</v>
      </c>
      <c r="BL58" s="15" t="s">
        <v>108</v>
      </c>
      <c r="BM58" s="15" t="s">
        <v>108</v>
      </c>
      <c r="BN58" s="15" t="s">
        <v>108</v>
      </c>
      <c r="BO58" s="15" t="s">
        <v>108</v>
      </c>
      <c r="BP58" s="15" t="s">
        <v>108</v>
      </c>
      <c r="BQ58" s="15" t="s">
        <v>108</v>
      </c>
      <c r="BR58" s="15" t="s">
        <v>108</v>
      </c>
      <c r="BS58" s="15" t="s">
        <v>108</v>
      </c>
      <c r="BT58" s="15" t="s">
        <v>108</v>
      </c>
      <c r="BU58" s="15" t="s">
        <v>108</v>
      </c>
      <c r="BV58" s="15" t="s">
        <v>108</v>
      </c>
      <c r="BW58" s="15" t="s">
        <v>108</v>
      </c>
      <c r="BX58" s="15" t="s">
        <v>108</v>
      </c>
      <c r="BY58" s="15" t="s">
        <v>108</v>
      </c>
      <c r="BZ58" s="15" t="s">
        <v>108</v>
      </c>
      <c r="CA58" s="15" t="s">
        <v>108</v>
      </c>
      <c r="CB58" s="15" t="s">
        <v>108</v>
      </c>
      <c r="CC58" s="15" t="s">
        <v>108</v>
      </c>
      <c r="CD58" s="15" t="s">
        <v>108</v>
      </c>
      <c r="CE58" s="15" t="s">
        <v>108</v>
      </c>
      <c r="CF58" s="15" t="s">
        <v>108</v>
      </c>
      <c r="CG58" s="15" t="s">
        <v>108</v>
      </c>
      <c r="CH58" s="15" t="s">
        <v>108</v>
      </c>
      <c r="CI58" s="15" t="s">
        <v>108</v>
      </c>
      <c r="CJ58" s="15" t="s">
        <v>108</v>
      </c>
      <c r="CK58" s="15" t="s">
        <v>108</v>
      </c>
      <c r="CL58" s="15" t="s">
        <v>108</v>
      </c>
      <c r="CM58" s="15" t="s">
        <v>108</v>
      </c>
      <c r="CN58" s="15" t="s">
        <v>108</v>
      </c>
      <c r="CO58" s="15" t="s">
        <v>108</v>
      </c>
      <c r="CP58" s="15" t="s">
        <v>108</v>
      </c>
      <c r="CQ58" s="15" t="s">
        <v>108</v>
      </c>
      <c r="CR58" s="15" t="s">
        <v>108</v>
      </c>
      <c r="CS58" s="15" t="s">
        <v>108</v>
      </c>
      <c r="CT58" s="15" t="s">
        <v>108</v>
      </c>
      <c r="CU58" s="15" t="s">
        <v>108</v>
      </c>
      <c r="CV58" s="15" t="s">
        <v>108</v>
      </c>
      <c r="CW58" s="15" t="s">
        <v>108</v>
      </c>
      <c r="CX58" s="15" t="s">
        <v>108</v>
      </c>
      <c r="CY58" s="15" t="s">
        <v>108</v>
      </c>
      <c r="CZ58" s="15" t="s">
        <v>108</v>
      </c>
      <c r="DA58" s="15" t="s">
        <v>108</v>
      </c>
      <c r="DB58" s="15" t="s">
        <v>108</v>
      </c>
      <c r="DC58" s="15" t="s">
        <v>108</v>
      </c>
      <c r="DD58" s="15" t="s">
        <v>108</v>
      </c>
      <c r="DE58" s="15" t="s">
        <v>108</v>
      </c>
      <c r="DF58" s="15" t="s">
        <v>108</v>
      </c>
      <c r="DG58" s="15" t="s">
        <v>108</v>
      </c>
      <c r="DH58" s="15" t="s">
        <v>108</v>
      </c>
      <c r="DI58" s="15" t="s">
        <v>108</v>
      </c>
      <c r="DJ58" s="15" t="s">
        <v>108</v>
      </c>
      <c r="DK58" s="15" t="s">
        <v>108</v>
      </c>
      <c r="DL58" s="15" t="s">
        <v>108</v>
      </c>
      <c r="DM58" s="15" t="s">
        <v>108</v>
      </c>
      <c r="DN58" s="15" t="s">
        <v>108</v>
      </c>
      <c r="DO58" s="15" t="s">
        <v>108</v>
      </c>
      <c r="DP58" s="15" t="s">
        <v>108</v>
      </c>
      <c r="DQ58" s="15" t="s">
        <v>108</v>
      </c>
      <c r="DR58" s="15" t="s">
        <v>108</v>
      </c>
      <c r="DS58" s="15" t="s">
        <v>108</v>
      </c>
      <c r="DT58" s="15" t="s">
        <v>108</v>
      </c>
      <c r="DU58" s="15" t="s">
        <v>108</v>
      </c>
      <c r="DV58" s="15" t="s">
        <v>108</v>
      </c>
      <c r="DW58" s="15" t="s">
        <v>108</v>
      </c>
      <c r="DX58" s="15" t="s">
        <v>108</v>
      </c>
      <c r="DY58" s="15" t="s">
        <v>108</v>
      </c>
      <c r="DZ58" s="15" t="s">
        <v>108</v>
      </c>
      <c r="EA58" s="15" t="s">
        <v>108</v>
      </c>
      <c r="EB58" s="15" t="s">
        <v>108</v>
      </c>
      <c r="EC58" s="15" t="s">
        <v>108</v>
      </c>
      <c r="ED58" s="15" t="s">
        <v>108</v>
      </c>
      <c r="EE58" s="15" t="s">
        <v>108</v>
      </c>
      <c r="EF58" s="15" t="s">
        <v>108</v>
      </c>
      <c r="EG58" s="15" t="s">
        <v>108</v>
      </c>
      <c r="EH58" s="15" t="s">
        <v>108</v>
      </c>
      <c r="EI58" s="15" t="s">
        <v>108</v>
      </c>
      <c r="EJ58" s="15" t="s">
        <v>108</v>
      </c>
      <c r="EK58" s="15" t="s">
        <v>108</v>
      </c>
      <c r="EL58" s="15" t="s">
        <v>108</v>
      </c>
      <c r="EM58" s="15" t="s">
        <v>108</v>
      </c>
      <c r="EN58" s="15" t="s">
        <v>108</v>
      </c>
      <c r="EO58" s="15" t="s">
        <v>108</v>
      </c>
      <c r="EP58" s="15" t="s">
        <v>108</v>
      </c>
      <c r="EQ58" s="15" t="s">
        <v>108</v>
      </c>
      <c r="ER58" s="15" t="s">
        <v>108</v>
      </c>
      <c r="ES58" s="15" t="s">
        <v>108</v>
      </c>
      <c r="ET58" s="15" t="s">
        <v>108</v>
      </c>
      <c r="EU58" s="15" t="s">
        <v>108</v>
      </c>
      <c r="EV58" s="15" t="s">
        <v>108</v>
      </c>
      <c r="EW58" s="15" t="s">
        <v>108</v>
      </c>
      <c r="EX58" s="15" t="s">
        <v>108</v>
      </c>
      <c r="EY58" s="15" t="s">
        <v>108</v>
      </c>
      <c r="EZ58" s="15" t="s">
        <v>108</v>
      </c>
      <c r="FA58" s="15" t="s">
        <v>108</v>
      </c>
      <c r="FB58" s="15" t="s">
        <v>108</v>
      </c>
      <c r="FC58" s="15" t="s">
        <v>99</v>
      </c>
      <c r="FD58" s="15"/>
      <c r="FE58" s="15" t="s">
        <v>91</v>
      </c>
      <c r="FF58" s="15" t="s">
        <v>91</v>
      </c>
      <c r="FG58" s="15" t="s">
        <v>108</v>
      </c>
      <c r="FH58" s="15" t="s">
        <v>108</v>
      </c>
      <c r="FI58" s="15" t="s">
        <v>108</v>
      </c>
      <c r="FJ58" s="15" t="s">
        <v>108</v>
      </c>
      <c r="FK58" s="15" t="s">
        <v>146</v>
      </c>
      <c r="FL58" s="15" t="s">
        <v>108</v>
      </c>
      <c r="FM58" s="15" t="s">
        <v>108</v>
      </c>
      <c r="FN58" s="15" t="s">
        <v>108</v>
      </c>
      <c r="FO58" s="15" t="s">
        <v>108</v>
      </c>
      <c r="FP58" s="15" t="s">
        <v>108</v>
      </c>
      <c r="FQ58" s="15" t="s">
        <v>108</v>
      </c>
      <c r="FR58" s="15" t="s">
        <v>146</v>
      </c>
      <c r="FS58" s="15" t="s">
        <v>108</v>
      </c>
      <c r="FT58" s="15" t="s">
        <v>108</v>
      </c>
      <c r="FU58" s="15" t="s">
        <v>108</v>
      </c>
      <c r="FV58" s="15" t="s">
        <v>108</v>
      </c>
      <c r="FW58" s="15" t="s">
        <v>108</v>
      </c>
      <c r="FX58" s="15" t="s">
        <v>108</v>
      </c>
      <c r="FY58" s="15" t="s">
        <v>146</v>
      </c>
      <c r="FZ58" s="15" t="s">
        <v>108</v>
      </c>
      <c r="GA58" s="15" t="s">
        <v>108</v>
      </c>
      <c r="GB58" s="15" t="s">
        <v>108</v>
      </c>
      <c r="GC58" s="15" t="s">
        <v>108</v>
      </c>
      <c r="GD58" s="15" t="s">
        <v>108</v>
      </c>
      <c r="GE58" s="15" t="s">
        <v>108</v>
      </c>
      <c r="GF58" s="15" t="s">
        <v>146</v>
      </c>
      <c r="GG58" s="15" t="s">
        <v>108</v>
      </c>
      <c r="GH58" s="15" t="s">
        <v>108</v>
      </c>
      <c r="GI58" s="15" t="s">
        <v>108</v>
      </c>
      <c r="GJ58" s="15" t="s">
        <v>108</v>
      </c>
      <c r="GK58" s="15" t="s">
        <v>108</v>
      </c>
      <c r="GL58" s="15" t="s">
        <v>108</v>
      </c>
      <c r="GM58" s="15" t="s">
        <v>146</v>
      </c>
      <c r="GN58" s="15" t="s">
        <v>108</v>
      </c>
      <c r="GO58" s="15" t="s">
        <v>108</v>
      </c>
      <c r="GP58" s="15" t="s">
        <v>108</v>
      </c>
      <c r="GQ58" s="15" t="s">
        <v>108</v>
      </c>
      <c r="GR58" s="15" t="s">
        <v>108</v>
      </c>
      <c r="GS58" s="15" t="s">
        <v>108</v>
      </c>
      <c r="GT58" s="15" t="s">
        <v>146</v>
      </c>
      <c r="GU58" s="15" t="s">
        <v>108</v>
      </c>
      <c r="GV58" s="15" t="s">
        <v>108</v>
      </c>
      <c r="GW58" s="15" t="s">
        <v>108</v>
      </c>
      <c r="GX58" s="15" t="s">
        <v>108</v>
      </c>
      <c r="GY58" s="15" t="s">
        <v>108</v>
      </c>
      <c r="GZ58" s="15" t="s">
        <v>108</v>
      </c>
      <c r="HA58" s="15" t="s">
        <v>146</v>
      </c>
      <c r="HB58" s="15" t="s">
        <v>108</v>
      </c>
      <c r="HC58" s="15" t="s">
        <v>108</v>
      </c>
      <c r="HD58" s="15" t="s">
        <v>108</v>
      </c>
      <c r="HE58" s="15" t="s">
        <v>108</v>
      </c>
      <c r="HF58" s="15" t="s">
        <v>108</v>
      </c>
      <c r="HG58" s="15" t="s">
        <v>108</v>
      </c>
      <c r="HH58" s="15" t="s">
        <v>146</v>
      </c>
      <c r="HI58" s="15" t="s">
        <v>108</v>
      </c>
      <c r="HJ58" s="15" t="s">
        <v>108</v>
      </c>
      <c r="HK58" s="15" t="s">
        <v>108</v>
      </c>
      <c r="HL58" s="15" t="s">
        <v>108</v>
      </c>
      <c r="HM58" s="15" t="s">
        <v>108</v>
      </c>
      <c r="HN58" s="15" t="s">
        <v>108</v>
      </c>
      <c r="HO58" s="15" t="s">
        <v>146</v>
      </c>
      <c r="HP58" s="15" t="s">
        <v>108</v>
      </c>
      <c r="HQ58" s="15" t="s">
        <v>108</v>
      </c>
      <c r="HR58" s="15" t="s">
        <v>108</v>
      </c>
      <c r="HS58" s="15" t="s">
        <v>108</v>
      </c>
      <c r="HT58" s="15" t="s">
        <v>108</v>
      </c>
      <c r="HU58" s="15" t="s">
        <v>108</v>
      </c>
      <c r="HV58" s="15" t="s">
        <v>146</v>
      </c>
      <c r="HW58" s="15" t="s">
        <v>108</v>
      </c>
      <c r="HX58" s="15" t="s">
        <v>108</v>
      </c>
      <c r="HY58" s="15" t="s">
        <v>108</v>
      </c>
      <c r="HZ58" s="15" t="s">
        <v>108</v>
      </c>
      <c r="IA58" s="15" t="s">
        <v>146</v>
      </c>
      <c r="IB58" s="15"/>
      <c r="IC58" s="15" t="s">
        <v>91</v>
      </c>
      <c r="ID58" s="15" t="s">
        <v>91</v>
      </c>
      <c r="IE58" s="15" t="s">
        <v>108</v>
      </c>
      <c r="IF58" s="15" t="s">
        <v>108</v>
      </c>
      <c r="IG58" s="15" t="s">
        <v>108</v>
      </c>
      <c r="IH58" s="15" t="s">
        <v>108</v>
      </c>
      <c r="II58" s="15" t="s">
        <v>146</v>
      </c>
      <c r="IJ58" s="15" t="s">
        <v>99</v>
      </c>
      <c r="IK58" s="15"/>
      <c r="IL58" s="15" t="s">
        <v>91</v>
      </c>
      <c r="IM58" s="15" t="s">
        <v>91</v>
      </c>
      <c r="IN58" s="15" t="s">
        <v>108</v>
      </c>
      <c r="IO58" s="15" t="s">
        <v>108</v>
      </c>
      <c r="IP58" s="15" t="s">
        <v>108</v>
      </c>
      <c r="IQ58" s="15" t="s">
        <v>108</v>
      </c>
      <c r="IR58" s="15" t="s">
        <v>146</v>
      </c>
      <c r="IS58" s="15" t="s">
        <v>146</v>
      </c>
      <c r="IT58" s="15" t="s">
        <v>146</v>
      </c>
      <c r="IU58" s="15" t="s">
        <v>146</v>
      </c>
      <c r="IV58" s="15" t="s">
        <v>146</v>
      </c>
      <c r="IW58" s="15" t="s">
        <v>146</v>
      </c>
      <c r="IX58" s="15" t="s">
        <v>146</v>
      </c>
      <c r="IY58" s="15" t="s">
        <v>146</v>
      </c>
      <c r="IZ58" s="15" t="s">
        <v>146</v>
      </c>
      <c r="JA58" s="15" t="s">
        <v>146</v>
      </c>
      <c r="JB58" s="15" t="s">
        <v>146</v>
      </c>
      <c r="JC58" s="15" t="s">
        <v>146</v>
      </c>
      <c r="JD58" s="15" t="s">
        <v>146</v>
      </c>
      <c r="JE58" s="15" t="s">
        <v>146</v>
      </c>
      <c r="JF58" s="15" t="s">
        <v>146</v>
      </c>
      <c r="JG58" s="15" t="s">
        <v>146</v>
      </c>
      <c r="JH58" s="15" t="s">
        <v>146</v>
      </c>
      <c r="JI58" s="15" t="s">
        <v>146</v>
      </c>
      <c r="JJ58" s="15" t="s">
        <v>146</v>
      </c>
      <c r="JK58" s="15" t="s">
        <v>146</v>
      </c>
      <c r="JL58" s="15" t="s">
        <v>146</v>
      </c>
      <c r="JM58" s="15" t="s">
        <v>146</v>
      </c>
      <c r="JN58" s="15" t="s">
        <v>146</v>
      </c>
      <c r="JO58" s="15" t="s">
        <v>146</v>
      </c>
      <c r="JP58" s="15" t="s">
        <v>146</v>
      </c>
      <c r="JQ58" s="15" t="s">
        <v>146</v>
      </c>
      <c r="JR58" s="15" t="s">
        <v>146</v>
      </c>
      <c r="JS58" s="15" t="s">
        <v>146</v>
      </c>
      <c r="JT58" s="15" t="s">
        <v>146</v>
      </c>
      <c r="JU58" s="15" t="s">
        <v>146</v>
      </c>
      <c r="JV58" s="15" t="s">
        <v>146</v>
      </c>
      <c r="JW58" s="15" t="s">
        <v>146</v>
      </c>
      <c r="JX58" s="15" t="s">
        <v>146</v>
      </c>
      <c r="JY58" s="15" t="s">
        <v>146</v>
      </c>
      <c r="JZ58" s="15" t="s">
        <v>146</v>
      </c>
      <c r="KA58" s="15" t="s">
        <v>146</v>
      </c>
      <c r="KB58" s="15" t="s">
        <v>146</v>
      </c>
      <c r="KC58" s="15" t="s">
        <v>146</v>
      </c>
      <c r="KD58" s="15" t="s">
        <v>146</v>
      </c>
      <c r="KE58" s="15" t="s">
        <v>146</v>
      </c>
      <c r="KF58" s="15" t="s">
        <v>146</v>
      </c>
      <c r="KG58" s="15" t="s">
        <v>146</v>
      </c>
      <c r="KH58" s="15" t="s">
        <v>146</v>
      </c>
      <c r="KI58" s="15" t="s">
        <v>146</v>
      </c>
      <c r="KJ58" s="15" t="s">
        <v>146</v>
      </c>
      <c r="KK58" s="15" t="s">
        <v>146</v>
      </c>
      <c r="KL58" s="15" t="s">
        <v>146</v>
      </c>
      <c r="KM58" s="15" t="s">
        <v>146</v>
      </c>
      <c r="KN58" s="15" t="s">
        <v>146</v>
      </c>
      <c r="KO58" s="15" t="s">
        <v>146</v>
      </c>
      <c r="KP58" s="15" t="s">
        <v>146</v>
      </c>
      <c r="KQ58" s="15" t="s">
        <v>146</v>
      </c>
      <c r="KR58" s="15" t="s">
        <v>146</v>
      </c>
      <c r="KS58" s="15" t="s">
        <v>146</v>
      </c>
      <c r="KT58" s="15" t="s">
        <v>146</v>
      </c>
      <c r="KU58" s="15" t="s">
        <v>146</v>
      </c>
      <c r="KV58" s="15" t="s">
        <v>146</v>
      </c>
      <c r="KW58" s="15" t="s">
        <v>146</v>
      </c>
      <c r="KX58" s="15" t="s">
        <v>146</v>
      </c>
      <c r="KY58" s="15" t="s">
        <v>146</v>
      </c>
      <c r="KZ58" s="15" t="s">
        <v>146</v>
      </c>
      <c r="LA58" s="15" t="s">
        <v>146</v>
      </c>
      <c r="LB58" s="15" t="s">
        <v>146</v>
      </c>
      <c r="LC58" s="15" t="s">
        <v>146</v>
      </c>
      <c r="LD58" s="15" t="s">
        <v>146</v>
      </c>
      <c r="LE58" s="15" t="s">
        <v>146</v>
      </c>
      <c r="LF58" s="15" t="s">
        <v>146</v>
      </c>
      <c r="LG58" s="15" t="s">
        <v>146</v>
      </c>
      <c r="LH58" s="15" t="s">
        <v>146</v>
      </c>
      <c r="LI58" s="15" t="s">
        <v>146</v>
      </c>
      <c r="LJ58" s="15" t="s">
        <v>146</v>
      </c>
      <c r="LK58" s="15" t="s">
        <v>146</v>
      </c>
      <c r="LL58" s="15" t="s">
        <v>146</v>
      </c>
      <c r="LM58" s="15" t="s">
        <v>146</v>
      </c>
      <c r="LN58" s="15" t="s">
        <v>146</v>
      </c>
      <c r="LO58" s="15" t="s">
        <v>146</v>
      </c>
      <c r="LP58" s="15" t="s">
        <v>146</v>
      </c>
      <c r="LQ58" s="15" t="s">
        <v>146</v>
      </c>
      <c r="LR58" s="15" t="s">
        <v>146</v>
      </c>
      <c r="LS58" s="15" t="s">
        <v>146</v>
      </c>
      <c r="LT58" s="15" t="s">
        <v>146</v>
      </c>
      <c r="LU58" s="15" t="s">
        <v>146</v>
      </c>
      <c r="LV58" s="15" t="s">
        <v>146</v>
      </c>
      <c r="LW58" s="15" t="s">
        <v>146</v>
      </c>
      <c r="LX58" s="15" t="s">
        <v>146</v>
      </c>
      <c r="LY58" s="15" t="s">
        <v>146</v>
      </c>
      <c r="LZ58" s="15" t="s">
        <v>146</v>
      </c>
      <c r="MA58" s="15" t="s">
        <v>146</v>
      </c>
      <c r="MB58" s="15" t="s">
        <v>146</v>
      </c>
      <c r="MC58" s="15" t="s">
        <v>146</v>
      </c>
      <c r="MD58" s="15" t="s">
        <v>146</v>
      </c>
      <c r="ME58" s="15" t="s">
        <v>146</v>
      </c>
      <c r="MF58" s="15" t="s">
        <v>242</v>
      </c>
      <c r="MG58" s="15" t="s">
        <v>242</v>
      </c>
      <c r="MH58" s="15" t="s">
        <v>146</v>
      </c>
      <c r="MI58" s="15" t="s">
        <v>242</v>
      </c>
      <c r="MJ58" s="15" t="s">
        <v>242</v>
      </c>
      <c r="MK58" s="15" t="s">
        <v>242</v>
      </c>
      <c r="ML58" s="15" t="s">
        <v>242</v>
      </c>
      <c r="MM58" s="15" t="s">
        <v>242</v>
      </c>
      <c r="MN58" s="15" t="s">
        <v>146</v>
      </c>
      <c r="MO58" s="15" t="s">
        <v>146</v>
      </c>
      <c r="MP58" s="15" t="s">
        <v>146</v>
      </c>
      <c r="MQ58" s="15" t="s">
        <v>146</v>
      </c>
      <c r="MR58" s="15" t="s">
        <v>146</v>
      </c>
      <c r="MS58" s="15" t="s">
        <v>242</v>
      </c>
      <c r="MT58" s="15" t="s">
        <v>242</v>
      </c>
      <c r="MU58" s="15" t="s">
        <v>242</v>
      </c>
      <c r="MV58" s="15" t="s">
        <v>242</v>
      </c>
      <c r="MW58" s="15" t="s">
        <v>242</v>
      </c>
      <c r="MX58" s="15" t="s">
        <v>146</v>
      </c>
      <c r="MY58" s="15" t="s">
        <v>146</v>
      </c>
      <c r="MZ58" s="15" t="s">
        <v>146</v>
      </c>
      <c r="NA58" s="15" t="s">
        <v>146</v>
      </c>
      <c r="NB58" s="15" t="s">
        <v>146</v>
      </c>
      <c r="NC58" s="15" t="s">
        <v>242</v>
      </c>
      <c r="ND58" s="15" t="s">
        <v>242</v>
      </c>
      <c r="NE58" s="15" t="s">
        <v>242</v>
      </c>
      <c r="NF58" s="15" t="s">
        <v>242</v>
      </c>
      <c r="NG58" s="15" t="s">
        <v>242</v>
      </c>
      <c r="NH58" s="15" t="s">
        <v>146</v>
      </c>
      <c r="NI58" s="15" t="s">
        <v>146</v>
      </c>
      <c r="NJ58" s="15" t="s">
        <v>146</v>
      </c>
      <c r="NK58" s="15" t="s">
        <v>146</v>
      </c>
      <c r="NL58" s="15" t="s">
        <v>146</v>
      </c>
      <c r="NM58" s="15" t="s">
        <v>146</v>
      </c>
      <c r="NN58" s="15" t="s">
        <v>387</v>
      </c>
      <c r="NO58" s="15" t="s">
        <v>255</v>
      </c>
      <c r="NP58" s="15" t="s">
        <v>255</v>
      </c>
      <c r="NQ58" s="15" t="s">
        <v>146</v>
      </c>
      <c r="NR58" s="15" t="s">
        <v>146</v>
      </c>
      <c r="NS58" s="15" t="s">
        <v>176</v>
      </c>
      <c r="NT58" s="15" t="s">
        <v>176</v>
      </c>
      <c r="NU58" s="15" t="s">
        <v>176</v>
      </c>
      <c r="NV58" s="15" t="s">
        <v>176</v>
      </c>
      <c r="NW58" s="15" t="s">
        <v>176</v>
      </c>
      <c r="NX58" s="15" t="s">
        <v>176</v>
      </c>
      <c r="NY58" s="15" t="s">
        <v>176</v>
      </c>
      <c r="NZ58" s="15" t="s">
        <v>176</v>
      </c>
      <c r="OA58" s="15" t="s">
        <v>176</v>
      </c>
      <c r="OB58" s="15" t="s">
        <v>176</v>
      </c>
      <c r="OC58" s="15" t="s">
        <v>176</v>
      </c>
      <c r="OD58" s="15" t="s">
        <v>176</v>
      </c>
      <c r="OE58" s="15" t="s">
        <v>176</v>
      </c>
      <c r="OF58" s="15" t="s">
        <v>176</v>
      </c>
      <c r="OG58" s="15" t="s">
        <v>176</v>
      </c>
      <c r="OH58" s="15" t="s">
        <v>176</v>
      </c>
      <c r="OI58" s="15" t="s">
        <v>176</v>
      </c>
      <c r="OJ58" s="15" t="s">
        <v>176</v>
      </c>
      <c r="OK58" s="15" t="s">
        <v>176</v>
      </c>
      <c r="OL58" s="15" t="s">
        <v>176</v>
      </c>
      <c r="OM58" s="15" t="s">
        <v>176</v>
      </c>
      <c r="ON58" s="15" t="s">
        <v>176</v>
      </c>
      <c r="OO58" s="15" t="s">
        <v>176</v>
      </c>
      <c r="OP58" s="15" t="s">
        <v>176</v>
      </c>
      <c r="OQ58" s="15" t="s">
        <v>176</v>
      </c>
      <c r="OR58" s="15" t="s">
        <v>176</v>
      </c>
      <c r="OS58" s="15" t="s">
        <v>176</v>
      </c>
      <c r="OT58" s="15" t="s">
        <v>176</v>
      </c>
      <c r="OU58" s="15" t="s">
        <v>176</v>
      </c>
      <c r="OV58" s="15" t="s">
        <v>176</v>
      </c>
      <c r="OW58" s="15" t="s">
        <v>176</v>
      </c>
      <c r="OX58" s="15" t="s">
        <v>176</v>
      </c>
      <c r="OY58" s="15" t="s">
        <v>176</v>
      </c>
      <c r="OZ58" s="15" t="s">
        <v>176</v>
      </c>
      <c r="PA58" s="15" t="s">
        <v>176</v>
      </c>
      <c r="PB58" s="15" t="s">
        <v>176</v>
      </c>
      <c r="PC58" s="15" t="s">
        <v>176</v>
      </c>
      <c r="PD58" s="15" t="s">
        <v>176</v>
      </c>
      <c r="PE58" s="15" t="s">
        <v>176</v>
      </c>
      <c r="PF58" s="15" t="s">
        <v>176</v>
      </c>
      <c r="PG58" s="15" t="s">
        <v>176</v>
      </c>
      <c r="PH58" s="15" t="s">
        <v>176</v>
      </c>
      <c r="PI58" s="15" t="s">
        <v>176</v>
      </c>
      <c r="PJ58" s="15" t="s">
        <v>176</v>
      </c>
      <c r="PK58" s="15" t="s">
        <v>176</v>
      </c>
      <c r="PL58" s="15" t="s">
        <v>176</v>
      </c>
      <c r="PM58" s="15" t="s">
        <v>176</v>
      </c>
      <c r="PN58" s="15" t="s">
        <v>176</v>
      </c>
      <c r="PO58" s="15" t="s">
        <v>176</v>
      </c>
      <c r="PP58" s="15" t="s">
        <v>176</v>
      </c>
      <c r="PQ58" s="15" t="s">
        <v>176</v>
      </c>
      <c r="PR58" s="15" t="s">
        <v>176</v>
      </c>
      <c r="PS58" s="15" t="s">
        <v>176</v>
      </c>
      <c r="PT58" s="15" t="s">
        <v>176</v>
      </c>
      <c r="PU58" s="15" t="s">
        <v>176</v>
      </c>
      <c r="PV58" s="15" t="s">
        <v>176</v>
      </c>
      <c r="PW58" s="15" t="s">
        <v>176</v>
      </c>
      <c r="PX58" s="15" t="s">
        <v>176</v>
      </c>
      <c r="PY58" s="15" t="s">
        <v>176</v>
      </c>
      <c r="PZ58" s="15" t="s">
        <v>176</v>
      </c>
      <c r="QA58" s="15" t="s">
        <v>176</v>
      </c>
      <c r="QB58" s="15" t="s">
        <v>176</v>
      </c>
      <c r="QC58" s="15" t="s">
        <v>176</v>
      </c>
      <c r="QD58" s="15" t="s">
        <v>176</v>
      </c>
      <c r="QE58" s="15" t="s">
        <v>176</v>
      </c>
      <c r="QF58" s="15" t="s">
        <v>176</v>
      </c>
      <c r="QG58" s="15" t="s">
        <v>176</v>
      </c>
      <c r="QH58" s="15" t="s">
        <v>176</v>
      </c>
      <c r="QI58" s="15" t="s">
        <v>176</v>
      </c>
      <c r="QJ58" s="15" t="s">
        <v>176</v>
      </c>
      <c r="QK58" s="15" t="s">
        <v>176</v>
      </c>
      <c r="QL58" s="15" t="s">
        <v>176</v>
      </c>
      <c r="QM58" s="15" t="s">
        <v>176</v>
      </c>
      <c r="QN58" s="15" t="s">
        <v>176</v>
      </c>
      <c r="QO58" s="15" t="s">
        <v>176</v>
      </c>
      <c r="QP58" s="15" t="s">
        <v>176</v>
      </c>
      <c r="QQ58" s="15" t="s">
        <v>176</v>
      </c>
      <c r="QR58" s="15" t="s">
        <v>176</v>
      </c>
      <c r="QS58" s="15" t="s">
        <v>176</v>
      </c>
      <c r="QT58" s="15" t="s">
        <v>176</v>
      </c>
      <c r="QU58" s="15" t="s">
        <v>176</v>
      </c>
      <c r="QV58" s="15" t="s">
        <v>176</v>
      </c>
      <c r="QW58" s="15" t="s">
        <v>176</v>
      </c>
      <c r="QX58" s="15" t="s">
        <v>176</v>
      </c>
      <c r="QY58" s="15" t="s">
        <v>176</v>
      </c>
      <c r="QZ58" s="15" t="s">
        <v>176</v>
      </c>
      <c r="RA58" s="15" t="s">
        <v>176</v>
      </c>
      <c r="RB58" s="15" t="s">
        <v>176</v>
      </c>
      <c r="RC58" s="15" t="s">
        <v>176</v>
      </c>
      <c r="RD58" s="15" t="s">
        <v>176</v>
      </c>
      <c r="RE58" s="15" t="s">
        <v>176</v>
      </c>
      <c r="RF58" s="15" t="s">
        <v>176</v>
      </c>
      <c r="RG58" s="15" t="s">
        <v>176</v>
      </c>
      <c r="RH58" s="15" t="s">
        <v>176</v>
      </c>
      <c r="RI58" s="15" t="s">
        <v>176</v>
      </c>
      <c r="RJ58" s="15" t="s">
        <v>176</v>
      </c>
      <c r="RK58" s="15" t="s">
        <v>176</v>
      </c>
      <c r="RL58" s="15" t="s">
        <v>176</v>
      </c>
      <c r="RM58" s="15" t="s">
        <v>176</v>
      </c>
      <c r="RN58" s="15" t="s">
        <v>176</v>
      </c>
      <c r="RO58" s="15" t="s">
        <v>176</v>
      </c>
      <c r="RP58" s="15" t="s">
        <v>176</v>
      </c>
      <c r="RQ58" s="15" t="s">
        <v>176</v>
      </c>
      <c r="RR58" s="15" t="s">
        <v>99</v>
      </c>
      <c r="RS58" s="15"/>
      <c r="RT58" s="15" t="s">
        <v>91</v>
      </c>
      <c r="RU58" s="15" t="s">
        <v>91</v>
      </c>
      <c r="RV58" s="15" t="s">
        <v>108</v>
      </c>
      <c r="RW58" s="15" t="s">
        <v>108</v>
      </c>
      <c r="RX58" s="15" t="s">
        <v>108</v>
      </c>
      <c r="RY58" s="15" t="s">
        <v>108</v>
      </c>
      <c r="RZ58" s="15" t="s">
        <v>146</v>
      </c>
      <c r="SA58" s="15" t="s">
        <v>146</v>
      </c>
      <c r="SB58" s="15" t="s">
        <v>342</v>
      </c>
      <c r="SC58" s="15" t="s">
        <v>342</v>
      </c>
      <c r="SD58" s="15" t="s">
        <v>342</v>
      </c>
      <c r="SE58" s="15" t="s">
        <v>342</v>
      </c>
      <c r="SF58" s="15" t="s">
        <v>342</v>
      </c>
      <c r="SG58" s="15" t="s">
        <v>342</v>
      </c>
      <c r="SH58" s="15" t="s">
        <v>342</v>
      </c>
      <c r="SI58" s="15" t="s">
        <v>342</v>
      </c>
      <c r="SJ58" s="15" t="s">
        <v>342</v>
      </c>
      <c r="SK58" s="15" t="s">
        <v>342</v>
      </c>
      <c r="SL58" s="15" t="s">
        <v>342</v>
      </c>
      <c r="SM58" s="15" t="s">
        <v>342</v>
      </c>
      <c r="SN58" s="15" t="s">
        <v>342</v>
      </c>
      <c r="SO58" s="15" t="s">
        <v>342</v>
      </c>
      <c r="SP58" s="15" t="s">
        <v>342</v>
      </c>
      <c r="SQ58" s="15" t="s">
        <v>342</v>
      </c>
      <c r="SR58" s="15" t="s">
        <v>342</v>
      </c>
      <c r="SS58" s="15" t="s">
        <v>342</v>
      </c>
      <c r="ST58" s="15" t="s">
        <v>342</v>
      </c>
      <c r="SU58" s="15" t="s">
        <v>342</v>
      </c>
      <c r="SV58" s="15" t="s">
        <v>342</v>
      </c>
      <c r="SW58" s="15" t="s">
        <v>342</v>
      </c>
      <c r="SX58" s="15" t="s">
        <v>342</v>
      </c>
      <c r="SY58" s="15" t="s">
        <v>342</v>
      </c>
      <c r="SZ58" s="15" t="s">
        <v>342</v>
      </c>
      <c r="TA58" s="15" t="s">
        <v>342</v>
      </c>
      <c r="TB58" s="15" t="s">
        <v>342</v>
      </c>
      <c r="TC58" s="15" t="s">
        <v>342</v>
      </c>
      <c r="TD58" s="15" t="s">
        <v>342</v>
      </c>
      <c r="TE58" s="15" t="s">
        <v>342</v>
      </c>
      <c r="TF58" s="15" t="s">
        <v>342</v>
      </c>
      <c r="TG58" s="15" t="s">
        <v>342</v>
      </c>
      <c r="TH58" s="15" t="s">
        <v>342</v>
      </c>
      <c r="TI58" s="15" t="s">
        <v>342</v>
      </c>
      <c r="TJ58" s="15" t="s">
        <v>342</v>
      </c>
      <c r="TK58" s="15" t="s">
        <v>342</v>
      </c>
      <c r="TL58" s="15" t="s">
        <v>342</v>
      </c>
      <c r="TM58" s="15" t="s">
        <v>342</v>
      </c>
      <c r="TN58" s="15" t="s">
        <v>342</v>
      </c>
      <c r="TO58" s="15" t="s">
        <v>342</v>
      </c>
      <c r="TP58" s="15" t="s">
        <v>342</v>
      </c>
      <c r="TQ58" s="15" t="s">
        <v>342</v>
      </c>
      <c r="TR58" s="15" t="s">
        <v>342</v>
      </c>
      <c r="TS58" s="15" t="s">
        <v>342</v>
      </c>
      <c r="TT58" s="15" t="s">
        <v>342</v>
      </c>
      <c r="TU58" s="15" t="s">
        <v>342</v>
      </c>
      <c r="TV58" s="15" t="s">
        <v>342</v>
      </c>
      <c r="TW58" s="15" t="s">
        <v>342</v>
      </c>
      <c r="TX58" s="15" t="s">
        <v>342</v>
      </c>
      <c r="TY58" s="15" t="s">
        <v>342</v>
      </c>
      <c r="TZ58" s="15" t="s">
        <v>342</v>
      </c>
      <c r="UA58" s="15" t="s">
        <v>342</v>
      </c>
      <c r="UB58" s="15" t="s">
        <v>342</v>
      </c>
      <c r="UC58" s="15" t="s">
        <v>342</v>
      </c>
      <c r="UD58" s="15" t="s">
        <v>342</v>
      </c>
      <c r="UE58" s="15" t="s">
        <v>342</v>
      </c>
      <c r="UF58" s="15" t="s">
        <v>342</v>
      </c>
      <c r="UG58" s="15" t="s">
        <v>342</v>
      </c>
      <c r="UH58" s="15" t="s">
        <v>342</v>
      </c>
      <c r="UI58" s="15" t="s">
        <v>342</v>
      </c>
      <c r="UJ58" s="15" t="s">
        <v>342</v>
      </c>
      <c r="UK58" s="15" t="s">
        <v>342</v>
      </c>
      <c r="UL58" s="15" t="s">
        <v>342</v>
      </c>
      <c r="UM58" s="15" t="s">
        <v>342</v>
      </c>
      <c r="UN58" s="15" t="s">
        <v>342</v>
      </c>
      <c r="UO58" s="15" t="s">
        <v>342</v>
      </c>
      <c r="UP58" s="15" t="s">
        <v>342</v>
      </c>
      <c r="UQ58" s="15" t="s">
        <v>342</v>
      </c>
      <c r="UR58" s="15" t="s">
        <v>342</v>
      </c>
      <c r="US58" s="15" t="s">
        <v>342</v>
      </c>
      <c r="UT58" s="15" t="s">
        <v>342</v>
      </c>
      <c r="UU58" s="15" t="s">
        <v>342</v>
      </c>
      <c r="UV58" s="15" t="s">
        <v>342</v>
      </c>
      <c r="UW58" s="15" t="s">
        <v>342</v>
      </c>
      <c r="UX58" s="15" t="s">
        <v>342</v>
      </c>
      <c r="UY58" s="15" t="s">
        <v>342</v>
      </c>
      <c r="UZ58" s="15" t="s">
        <v>342</v>
      </c>
      <c r="VA58" s="15" t="s">
        <v>342</v>
      </c>
      <c r="VB58" s="15" t="s">
        <v>342</v>
      </c>
      <c r="VC58" s="15" t="s">
        <v>342</v>
      </c>
      <c r="VD58" s="15" t="s">
        <v>342</v>
      </c>
      <c r="VE58" s="15" t="s">
        <v>342</v>
      </c>
      <c r="VF58" s="15" t="s">
        <v>342</v>
      </c>
      <c r="VG58" s="15" t="s">
        <v>342</v>
      </c>
      <c r="VH58" s="15" t="s">
        <v>342</v>
      </c>
      <c r="VI58" s="15" t="s">
        <v>342</v>
      </c>
      <c r="VJ58" s="15" t="s">
        <v>342</v>
      </c>
      <c r="VK58" s="15" t="s">
        <v>342</v>
      </c>
      <c r="VL58" s="15" t="s">
        <v>342</v>
      </c>
      <c r="VM58" s="15" t="s">
        <v>342</v>
      </c>
      <c r="VN58" s="15" t="s">
        <v>342</v>
      </c>
      <c r="VO58" s="15" t="s">
        <v>342</v>
      </c>
      <c r="VP58" s="15" t="s">
        <v>342</v>
      </c>
      <c r="VQ58" s="15" t="s">
        <v>342</v>
      </c>
      <c r="VR58" s="15" t="s">
        <v>342</v>
      </c>
      <c r="VS58" s="15" t="s">
        <v>342</v>
      </c>
      <c r="VT58" s="15" t="s">
        <v>342</v>
      </c>
      <c r="VU58" s="15" t="s">
        <v>342</v>
      </c>
      <c r="VV58" s="15" t="s">
        <v>342</v>
      </c>
      <c r="VW58" s="15" t="s">
        <v>342</v>
      </c>
      <c r="VX58" s="15" t="s">
        <v>342</v>
      </c>
      <c r="VY58" s="15" t="s">
        <v>342</v>
      </c>
      <c r="VZ58" s="15" t="s">
        <v>342</v>
      </c>
      <c r="WA58" s="15" t="s">
        <v>255</v>
      </c>
      <c r="WB58" s="15" t="s">
        <v>146</v>
      </c>
      <c r="WC58" s="15" t="s">
        <v>146</v>
      </c>
      <c r="WD58" s="15" t="s">
        <v>387</v>
      </c>
      <c r="WE58" s="15" t="s">
        <v>387</v>
      </c>
      <c r="WF58" s="15" t="s">
        <v>387</v>
      </c>
      <c r="WG58" s="15" t="s">
        <v>387</v>
      </c>
      <c r="WH58" s="15" t="s">
        <v>387</v>
      </c>
      <c r="WI58" s="15" t="s">
        <v>387</v>
      </c>
      <c r="WJ58" s="15" t="s">
        <v>387</v>
      </c>
      <c r="WK58" s="15" t="s">
        <v>387</v>
      </c>
      <c r="WL58" s="15" t="s">
        <v>387</v>
      </c>
      <c r="WM58" s="15" t="s">
        <v>387</v>
      </c>
      <c r="WN58" s="15" t="s">
        <v>387</v>
      </c>
      <c r="WO58" s="15" t="s">
        <v>387</v>
      </c>
      <c r="WP58" s="15" t="s">
        <v>387</v>
      </c>
      <c r="WQ58" s="15" t="s">
        <v>387</v>
      </c>
      <c r="WR58" s="15" t="s">
        <v>387</v>
      </c>
      <c r="WS58" s="15" t="s">
        <v>387</v>
      </c>
      <c r="WT58" s="15" t="s">
        <v>387</v>
      </c>
      <c r="WU58" s="15" t="s">
        <v>387</v>
      </c>
      <c r="WV58" s="15" t="s">
        <v>387</v>
      </c>
      <c r="WW58" s="15" t="s">
        <v>387</v>
      </c>
      <c r="WX58" s="15" t="s">
        <v>387</v>
      </c>
      <c r="WY58" s="15" t="s">
        <v>387</v>
      </c>
      <c r="WZ58" s="15" t="s">
        <v>387</v>
      </c>
      <c r="XA58" s="15" t="s">
        <v>387</v>
      </c>
      <c r="XB58" s="15" t="s">
        <v>387</v>
      </c>
      <c r="XC58" s="15" t="s">
        <v>387</v>
      </c>
      <c r="XD58" s="15" t="s">
        <v>387</v>
      </c>
      <c r="XE58" s="15" t="s">
        <v>387</v>
      </c>
      <c r="XF58" s="15" t="s">
        <v>387</v>
      </c>
      <c r="XG58" s="15" t="s">
        <v>387</v>
      </c>
      <c r="XH58" s="15" t="s">
        <v>387</v>
      </c>
      <c r="XI58" s="15" t="s">
        <v>387</v>
      </c>
      <c r="XJ58" s="15" t="s">
        <v>387</v>
      </c>
      <c r="XK58" s="15" t="s">
        <v>387</v>
      </c>
      <c r="XL58" s="15" t="s">
        <v>387</v>
      </c>
      <c r="XM58" s="15" t="s">
        <v>387</v>
      </c>
      <c r="XN58" s="15" t="s">
        <v>387</v>
      </c>
      <c r="XO58" s="15" t="s">
        <v>387</v>
      </c>
      <c r="XP58" s="15" t="s">
        <v>387</v>
      </c>
      <c r="XQ58" s="15" t="s">
        <v>387</v>
      </c>
      <c r="XR58" s="15" t="s">
        <v>387</v>
      </c>
      <c r="XS58" s="15" t="s">
        <v>387</v>
      </c>
      <c r="XT58" s="15" t="s">
        <v>387</v>
      </c>
      <c r="XU58" s="15" t="s">
        <v>387</v>
      </c>
      <c r="XV58" s="15" t="s">
        <v>387</v>
      </c>
      <c r="XW58" s="15" t="s">
        <v>387</v>
      </c>
      <c r="XX58" s="15" t="s">
        <v>387</v>
      </c>
      <c r="XY58" s="15" t="s">
        <v>387</v>
      </c>
      <c r="XZ58" s="15" t="s">
        <v>387</v>
      </c>
      <c r="YA58" s="15" t="s">
        <v>387</v>
      </c>
      <c r="YB58" s="15" t="s">
        <v>387</v>
      </c>
      <c r="YC58" s="15" t="s">
        <v>387</v>
      </c>
      <c r="YD58" s="15" t="s">
        <v>387</v>
      </c>
      <c r="YE58" s="15" t="s">
        <v>387</v>
      </c>
      <c r="YF58" s="15" t="s">
        <v>387</v>
      </c>
      <c r="YG58" s="15" t="s">
        <v>387</v>
      </c>
      <c r="YH58" s="15" t="s">
        <v>387</v>
      </c>
      <c r="YI58" s="15" t="s">
        <v>387</v>
      </c>
      <c r="YJ58" s="15" t="s">
        <v>387</v>
      </c>
      <c r="YK58" s="15" t="s">
        <v>387</v>
      </c>
      <c r="YL58" s="15" t="s">
        <v>387</v>
      </c>
      <c r="YM58" s="15" t="s">
        <v>387</v>
      </c>
      <c r="YN58" s="15" t="s">
        <v>387</v>
      </c>
      <c r="YO58" s="15" t="s">
        <v>387</v>
      </c>
      <c r="YP58" s="15" t="s">
        <v>387</v>
      </c>
      <c r="YQ58" s="15" t="s">
        <v>387</v>
      </c>
      <c r="YR58" s="15" t="s">
        <v>387</v>
      </c>
      <c r="YS58" s="15" t="s">
        <v>387</v>
      </c>
      <c r="YT58" s="15" t="s">
        <v>387</v>
      </c>
      <c r="YU58" s="15" t="s">
        <v>387</v>
      </c>
      <c r="YV58" s="15" t="s">
        <v>387</v>
      </c>
      <c r="YW58" s="15" t="s">
        <v>387</v>
      </c>
      <c r="YX58" s="15" t="s">
        <v>387</v>
      </c>
      <c r="YY58" s="15" t="s">
        <v>387</v>
      </c>
      <c r="YZ58" s="15" t="s">
        <v>387</v>
      </c>
      <c r="ZA58" s="15" t="s">
        <v>387</v>
      </c>
      <c r="ZB58" s="15" t="s">
        <v>387</v>
      </c>
      <c r="ZC58" s="15" t="s">
        <v>387</v>
      </c>
      <c r="ZD58" s="15" t="s">
        <v>387</v>
      </c>
      <c r="ZE58" s="15" t="s">
        <v>387</v>
      </c>
      <c r="ZF58" s="15" t="s">
        <v>387</v>
      </c>
      <c r="ZG58" s="15" t="s">
        <v>387</v>
      </c>
      <c r="ZH58" s="15" t="s">
        <v>387</v>
      </c>
      <c r="ZI58" s="15" t="s">
        <v>387</v>
      </c>
      <c r="ZJ58" s="15" t="s">
        <v>387</v>
      </c>
      <c r="ZK58" s="15" t="s">
        <v>255</v>
      </c>
      <c r="ZL58" s="15" t="s">
        <v>255</v>
      </c>
      <c r="ZM58" s="15" t="s">
        <v>255</v>
      </c>
      <c r="ZN58" s="15" t="s">
        <v>255</v>
      </c>
      <c r="ZO58" s="15" t="s">
        <v>255</v>
      </c>
      <c r="ZP58" s="15" t="s">
        <v>387</v>
      </c>
      <c r="ZQ58" s="15" t="s">
        <v>387</v>
      </c>
      <c r="ZR58" s="15" t="s">
        <v>255</v>
      </c>
      <c r="ZS58" s="15" t="s">
        <v>255</v>
      </c>
      <c r="ZT58" s="15" t="s">
        <v>255</v>
      </c>
      <c r="ZU58" s="15" t="s">
        <v>255</v>
      </c>
      <c r="ZV58" s="15" t="s">
        <v>255</v>
      </c>
      <c r="ZW58" s="15" t="s">
        <v>387</v>
      </c>
      <c r="ZX58" s="15" t="s">
        <v>387</v>
      </c>
      <c r="ZY58" s="15" t="s">
        <v>255</v>
      </c>
      <c r="ZZ58" s="15" t="s">
        <v>255</v>
      </c>
      <c r="AAA58" s="15" t="s">
        <v>255</v>
      </c>
      <c r="AAB58" s="15" t="s">
        <v>255</v>
      </c>
      <c r="AAC58" s="15" t="s">
        <v>255</v>
      </c>
      <c r="AAD58" s="15" t="s">
        <v>176</v>
      </c>
      <c r="AAE58" s="15" t="s">
        <v>176</v>
      </c>
      <c r="AAF58" s="15" t="s">
        <v>176</v>
      </c>
      <c r="AAG58" s="15" t="s">
        <v>176</v>
      </c>
      <c r="AAH58" s="15" t="s">
        <v>176</v>
      </c>
      <c r="AAI58" s="15" t="s">
        <v>176</v>
      </c>
      <c r="AAJ58" s="15" t="s">
        <v>438</v>
      </c>
      <c r="AAK58" s="15" t="s">
        <v>99</v>
      </c>
      <c r="AAL58" s="15"/>
      <c r="AAM58" s="15" t="s">
        <v>91</v>
      </c>
      <c r="AAN58" s="15" t="s">
        <v>91</v>
      </c>
      <c r="AAO58" s="15" t="s">
        <v>108</v>
      </c>
      <c r="AAP58" s="15" t="s">
        <v>108</v>
      </c>
      <c r="AAQ58" s="15" t="s">
        <v>108</v>
      </c>
      <c r="AAR58" s="15" t="s">
        <v>108</v>
      </c>
      <c r="AAS58" s="15" t="s">
        <v>146</v>
      </c>
      <c r="AAT58" s="15" t="s">
        <v>146</v>
      </c>
      <c r="AAU58" s="15" t="s">
        <v>176</v>
      </c>
      <c r="AAV58" s="15" t="s">
        <v>450</v>
      </c>
      <c r="AAW58" s="15" t="s">
        <v>99</v>
      </c>
      <c r="AAX58" s="15"/>
      <c r="AAY58" s="15" t="s">
        <v>91</v>
      </c>
      <c r="AAZ58" s="15" t="s">
        <v>91</v>
      </c>
      <c r="ABA58" s="15" t="s">
        <v>108</v>
      </c>
      <c r="ABB58" s="15" t="s">
        <v>108</v>
      </c>
      <c r="ABC58" s="15" t="s">
        <v>108</v>
      </c>
      <c r="ABD58" s="15" t="s">
        <v>108</v>
      </c>
      <c r="ABE58" s="15" t="s">
        <v>146</v>
      </c>
      <c r="ABF58" s="15" t="s">
        <v>146</v>
      </c>
      <c r="ABG58" s="15" t="s">
        <v>342</v>
      </c>
      <c r="ABH58" s="15" t="s">
        <v>438</v>
      </c>
      <c r="ABI58" s="15" t="s">
        <v>438</v>
      </c>
      <c r="ABJ58" s="15" t="s">
        <v>438</v>
      </c>
      <c r="ABK58" s="15" t="s">
        <v>438</v>
      </c>
      <c r="ABL58" s="15" t="s">
        <v>438</v>
      </c>
      <c r="ABM58" s="15" t="s">
        <v>438</v>
      </c>
      <c r="ABN58" s="15" t="s">
        <v>438</v>
      </c>
      <c r="ABO58" s="15" t="s">
        <v>438</v>
      </c>
      <c r="ABP58" s="15" t="s">
        <v>438</v>
      </c>
      <c r="ABQ58" s="15" t="s">
        <v>438</v>
      </c>
      <c r="ABR58" s="15" t="s">
        <v>438</v>
      </c>
      <c r="ABS58" s="15" t="s">
        <v>438</v>
      </c>
      <c r="ABT58" s="15" t="s">
        <v>438</v>
      </c>
      <c r="ABU58" s="15" t="s">
        <v>438</v>
      </c>
      <c r="ABV58" s="15" t="s">
        <v>438</v>
      </c>
      <c r="ABW58" s="15" t="s">
        <v>438</v>
      </c>
      <c r="ABX58" s="15" t="s">
        <v>438</v>
      </c>
      <c r="ABY58" s="15" t="s">
        <v>438</v>
      </c>
      <c r="ABZ58" s="15" t="s">
        <v>438</v>
      </c>
      <c r="ACA58" s="15" t="s">
        <v>438</v>
      </c>
      <c r="ACB58" s="15" t="s">
        <v>438</v>
      </c>
      <c r="ACC58" s="15" t="s">
        <v>438</v>
      </c>
      <c r="ACD58" s="15" t="s">
        <v>438</v>
      </c>
      <c r="ACE58" s="15" t="s">
        <v>438</v>
      </c>
      <c r="ACF58" s="15" t="s">
        <v>438</v>
      </c>
      <c r="ACG58" s="15" t="s">
        <v>438</v>
      </c>
      <c r="ACH58" s="15" t="s">
        <v>438</v>
      </c>
      <c r="ACI58" s="15" t="s">
        <v>438</v>
      </c>
      <c r="ACJ58" s="15" t="s">
        <v>438</v>
      </c>
      <c r="ACK58" s="15" t="s">
        <v>438</v>
      </c>
      <c r="ACL58" s="15" t="s">
        <v>438</v>
      </c>
      <c r="ACM58" s="15" t="s">
        <v>438</v>
      </c>
      <c r="ACN58" s="15" t="s">
        <v>438</v>
      </c>
      <c r="ACO58" s="15" t="s">
        <v>438</v>
      </c>
      <c r="ACP58" s="15" t="s">
        <v>438</v>
      </c>
      <c r="ACQ58" s="15" t="s">
        <v>438</v>
      </c>
      <c r="ACR58" s="15" t="s">
        <v>438</v>
      </c>
      <c r="ACS58" s="15" t="s">
        <v>438</v>
      </c>
      <c r="ACT58" s="15" t="s">
        <v>438</v>
      </c>
      <c r="ACU58" s="15" t="s">
        <v>438</v>
      </c>
      <c r="ACV58" s="15" t="s">
        <v>438</v>
      </c>
      <c r="ACW58" s="15" t="s">
        <v>438</v>
      </c>
      <c r="ACX58" s="15" t="s">
        <v>438</v>
      </c>
      <c r="ACY58" s="15" t="s">
        <v>438</v>
      </c>
      <c r="ACZ58" s="15" t="s">
        <v>438</v>
      </c>
      <c r="ADA58" s="15" t="s">
        <v>438</v>
      </c>
      <c r="ADB58" s="15" t="s">
        <v>438</v>
      </c>
      <c r="ADC58" s="15" t="s">
        <v>438</v>
      </c>
      <c r="ADD58" s="15" t="s">
        <v>342</v>
      </c>
      <c r="ADE58" s="15" t="s">
        <v>438</v>
      </c>
      <c r="ADF58" s="15" t="s">
        <v>496</v>
      </c>
      <c r="ADG58" s="15" t="s">
        <v>99</v>
      </c>
      <c r="ADH58" s="15"/>
      <c r="ADI58" s="15" t="s">
        <v>91</v>
      </c>
      <c r="ADJ58" s="15" t="s">
        <v>91</v>
      </c>
      <c r="ADK58" s="15" t="s">
        <v>108</v>
      </c>
      <c r="ADL58" s="15" t="s">
        <v>108</v>
      </c>
      <c r="ADM58" s="15" t="s">
        <v>108</v>
      </c>
      <c r="ADN58" s="15" t="s">
        <v>108</v>
      </c>
      <c r="ADO58" s="15" t="s">
        <v>146</v>
      </c>
      <c r="ADP58" s="15" t="s">
        <v>146</v>
      </c>
      <c r="ADQ58" s="15" t="s">
        <v>342</v>
      </c>
      <c r="ADR58" s="15" t="s">
        <v>450</v>
      </c>
      <c r="ADS58" s="15" t="s">
        <v>450</v>
      </c>
      <c r="ADT58" s="15" t="s">
        <v>450</v>
      </c>
      <c r="ADU58" s="15" t="s">
        <v>450</v>
      </c>
      <c r="ADV58" s="15" t="s">
        <v>450</v>
      </c>
      <c r="ADW58" s="15" t="s">
        <v>450</v>
      </c>
      <c r="ADX58" s="15" t="s">
        <v>450</v>
      </c>
      <c r="ADY58" s="15" t="s">
        <v>450</v>
      </c>
      <c r="ADZ58" s="15" t="s">
        <v>450</v>
      </c>
      <c r="AEA58" s="15" t="s">
        <v>450</v>
      </c>
      <c r="AEB58" s="15" t="s">
        <v>450</v>
      </c>
      <c r="AEC58" s="15" t="s">
        <v>450</v>
      </c>
      <c r="AED58" s="15" t="s">
        <v>450</v>
      </c>
      <c r="AEE58" s="15" t="s">
        <v>450</v>
      </c>
      <c r="AEF58" s="15" t="s">
        <v>450</v>
      </c>
      <c r="AEG58" s="15" t="s">
        <v>450</v>
      </c>
      <c r="AEH58" s="15" t="s">
        <v>450</v>
      </c>
      <c r="AEI58" s="15" t="s">
        <v>450</v>
      </c>
      <c r="AEJ58" s="15" t="s">
        <v>450</v>
      </c>
      <c r="AEK58" s="15" t="s">
        <v>450</v>
      </c>
      <c r="AEL58" s="15" t="s">
        <v>450</v>
      </c>
      <c r="AEM58" s="15" t="s">
        <v>450</v>
      </c>
      <c r="AEN58" s="15" t="s">
        <v>450</v>
      </c>
      <c r="AEO58" s="15" t="s">
        <v>450</v>
      </c>
      <c r="AEP58" s="15" t="s">
        <v>450</v>
      </c>
      <c r="AEQ58" s="15" t="s">
        <v>450</v>
      </c>
      <c r="AER58" s="15" t="s">
        <v>450</v>
      </c>
      <c r="AES58" s="15" t="s">
        <v>450</v>
      </c>
      <c r="AET58" s="15" t="s">
        <v>450</v>
      </c>
      <c r="AEU58" s="15" t="s">
        <v>450</v>
      </c>
      <c r="AEV58" s="15" t="s">
        <v>450</v>
      </c>
      <c r="AEW58" s="15" t="s">
        <v>450</v>
      </c>
      <c r="AEX58" s="15" t="s">
        <v>450</v>
      </c>
      <c r="AEY58" s="15" t="s">
        <v>450</v>
      </c>
      <c r="AEZ58" s="15" t="s">
        <v>450</v>
      </c>
      <c r="AFA58" s="15" t="s">
        <v>450</v>
      </c>
      <c r="AFB58" s="15" t="s">
        <v>450</v>
      </c>
      <c r="AFC58" s="15" t="s">
        <v>450</v>
      </c>
      <c r="AFD58" s="15" t="s">
        <v>450</v>
      </c>
      <c r="AFE58" s="15" t="s">
        <v>450</v>
      </c>
      <c r="AFF58" s="15" t="s">
        <v>450</v>
      </c>
      <c r="AFG58" s="15" t="s">
        <v>450</v>
      </c>
      <c r="AFH58" s="15" t="s">
        <v>450</v>
      </c>
      <c r="AFI58" s="15" t="s">
        <v>450</v>
      </c>
      <c r="AFJ58" s="15" t="s">
        <v>450</v>
      </c>
      <c r="AFK58" s="15" t="s">
        <v>450</v>
      </c>
      <c r="AFL58" s="15" t="s">
        <v>450</v>
      </c>
      <c r="AFM58" s="15" t="s">
        <v>450</v>
      </c>
      <c r="AFN58" s="15" t="s">
        <v>342</v>
      </c>
      <c r="AFO58" s="15" t="s">
        <v>450</v>
      </c>
      <c r="AFP58" s="15" t="s">
        <v>496</v>
      </c>
      <c r="AFQ58" s="15" t="s">
        <v>99</v>
      </c>
      <c r="AFR58" s="15"/>
      <c r="AFS58" s="15" t="s">
        <v>91</v>
      </c>
      <c r="AFT58" s="15" t="s">
        <v>91</v>
      </c>
      <c r="AFU58" s="15" t="s">
        <v>108</v>
      </c>
      <c r="AFV58" s="15" t="s">
        <v>108</v>
      </c>
      <c r="AFW58" s="15" t="s">
        <v>108</v>
      </c>
      <c r="AFX58" s="15" t="s">
        <v>108</v>
      </c>
      <c r="AFY58" s="15" t="s">
        <v>146</v>
      </c>
      <c r="AFZ58" s="15" t="s">
        <v>146</v>
      </c>
      <c r="AGA58" s="15" t="s">
        <v>342</v>
      </c>
      <c r="AGB58" s="15" t="s">
        <v>450</v>
      </c>
      <c r="AGC58" s="15" t="s">
        <v>496</v>
      </c>
      <c r="AGD58" s="15" t="s">
        <v>496</v>
      </c>
      <c r="AGE58" s="15" t="s">
        <v>496</v>
      </c>
      <c r="AGF58" s="15" t="s">
        <v>496</v>
      </c>
      <c r="AGG58" s="15" t="s">
        <v>496</v>
      </c>
      <c r="AGH58" s="15" t="s">
        <v>496</v>
      </c>
      <c r="AGI58" s="15" t="s">
        <v>496</v>
      </c>
      <c r="AGJ58" s="15" t="s">
        <v>496</v>
      </c>
      <c r="AGK58" s="15" t="s">
        <v>496</v>
      </c>
      <c r="AGL58" s="15" t="s">
        <v>496</v>
      </c>
      <c r="AGM58" s="15" t="s">
        <v>496</v>
      </c>
      <c r="AGN58" s="15" t="s">
        <v>496</v>
      </c>
      <c r="AGO58" s="15" t="s">
        <v>496</v>
      </c>
      <c r="AGP58" s="15" t="s">
        <v>496</v>
      </c>
      <c r="AGQ58" s="15" t="s">
        <v>496</v>
      </c>
      <c r="AGR58" s="15" t="s">
        <v>496</v>
      </c>
      <c r="AGS58" s="15" t="s">
        <v>496</v>
      </c>
      <c r="AGT58" s="15" t="s">
        <v>496</v>
      </c>
      <c r="AGU58" s="15" t="s">
        <v>496</v>
      </c>
      <c r="AGV58" s="15" t="s">
        <v>496</v>
      </c>
      <c r="AGW58" s="15" t="s">
        <v>496</v>
      </c>
      <c r="AGX58" s="15" t="s">
        <v>496</v>
      </c>
      <c r="AGY58" s="15" t="s">
        <v>496</v>
      </c>
      <c r="AGZ58" s="15" t="s">
        <v>496</v>
      </c>
      <c r="AHA58" s="15" t="s">
        <v>496</v>
      </c>
      <c r="AHB58" s="15" t="s">
        <v>496</v>
      </c>
      <c r="AHC58" s="15" t="s">
        <v>496</v>
      </c>
      <c r="AHD58" s="15" t="s">
        <v>496</v>
      </c>
      <c r="AHE58" s="15" t="s">
        <v>496</v>
      </c>
      <c r="AHF58" s="15" t="s">
        <v>496</v>
      </c>
      <c r="AHG58" s="15" t="s">
        <v>496</v>
      </c>
      <c r="AHH58" s="15" t="s">
        <v>496</v>
      </c>
      <c r="AHI58" s="15" t="s">
        <v>496</v>
      </c>
      <c r="AHJ58" s="15" t="s">
        <v>496</v>
      </c>
      <c r="AHK58" s="15" t="s">
        <v>496</v>
      </c>
      <c r="AHL58" s="15" t="s">
        <v>496</v>
      </c>
      <c r="AHM58" s="15" t="s">
        <v>496</v>
      </c>
      <c r="AHN58" s="15" t="s">
        <v>496</v>
      </c>
      <c r="AHO58" s="15" t="s">
        <v>496</v>
      </c>
      <c r="AHP58" s="15" t="s">
        <v>496</v>
      </c>
      <c r="AHQ58" s="15" t="s">
        <v>496</v>
      </c>
      <c r="AHR58" s="15" t="s">
        <v>496</v>
      </c>
      <c r="AHS58" s="15" t="s">
        <v>496</v>
      </c>
      <c r="AHT58" s="15" t="s">
        <v>496</v>
      </c>
      <c r="AHU58" s="15" t="s">
        <v>496</v>
      </c>
      <c r="AHV58" s="15" t="s">
        <v>496</v>
      </c>
      <c r="AHW58" s="15" t="s">
        <v>496</v>
      </c>
      <c r="AHX58" s="15" t="s">
        <v>496</v>
      </c>
      <c r="AHY58" s="15" t="s">
        <v>496</v>
      </c>
      <c r="AHZ58" s="15" t="s">
        <v>496</v>
      </c>
      <c r="AIA58" s="15" t="s">
        <v>496</v>
      </c>
      <c r="AIB58" s="15" t="s">
        <v>496</v>
      </c>
      <c r="AIC58" s="15" t="s">
        <v>496</v>
      </c>
      <c r="AID58" s="15" t="s">
        <v>496</v>
      </c>
      <c r="AIE58" s="15" t="s">
        <v>496</v>
      </c>
      <c r="AIF58" s="15" t="s">
        <v>496</v>
      </c>
      <c r="AIG58" s="15" t="s">
        <v>496</v>
      </c>
      <c r="AIH58" s="15" t="s">
        <v>496</v>
      </c>
      <c r="AII58" s="15" t="s">
        <v>496</v>
      </c>
      <c r="AIJ58" s="15" t="s">
        <v>496</v>
      </c>
      <c r="AIK58" s="15" t="s">
        <v>496</v>
      </c>
      <c r="AIL58" s="15" t="s">
        <v>496</v>
      </c>
      <c r="AIM58" s="15" t="s">
        <v>496</v>
      </c>
      <c r="AIN58" s="15" t="s">
        <v>496</v>
      </c>
      <c r="AIO58" s="15" t="s">
        <v>496</v>
      </c>
      <c r="AIP58" s="15" t="s">
        <v>496</v>
      </c>
      <c r="AIQ58" s="15" t="s">
        <v>438</v>
      </c>
      <c r="AIR58" s="15" t="s">
        <v>496</v>
      </c>
      <c r="AIS58" s="15" t="s">
        <v>438</v>
      </c>
      <c r="AIT58" s="15" t="s">
        <v>496</v>
      </c>
      <c r="AIU58" s="15" t="s">
        <v>496</v>
      </c>
      <c r="AIV58" s="15" t="s">
        <v>496</v>
      </c>
      <c r="AIW58" s="15" t="s">
        <v>438</v>
      </c>
      <c r="AIX58" s="15" t="s">
        <v>438</v>
      </c>
      <c r="AIY58" s="15" t="s">
        <v>438</v>
      </c>
      <c r="AIZ58" s="15" t="s">
        <v>438</v>
      </c>
      <c r="AJA58" s="15" t="s">
        <v>387</v>
      </c>
      <c r="AJB58" s="15" t="s">
        <v>255</v>
      </c>
      <c r="AJC58" s="15" t="s">
        <v>146</v>
      </c>
      <c r="AJD58" s="15" t="s">
        <v>146</v>
      </c>
      <c r="AJE58" s="15" t="s">
        <v>387</v>
      </c>
      <c r="AJF58" s="15"/>
      <c r="AJG58" s="15" t="s">
        <v>91</v>
      </c>
      <c r="AJH58" s="15" t="s">
        <v>108</v>
      </c>
      <c r="AJI58" s="15" t="s">
        <v>108</v>
      </c>
      <c r="AJJ58" s="15" t="s">
        <v>108</v>
      </c>
      <c r="AJK58" s="15" t="s">
        <v>108</v>
      </c>
      <c r="AJL58" s="15" t="s">
        <v>108</v>
      </c>
      <c r="AJM58" s="15" t="s">
        <v>99</v>
      </c>
      <c r="AJN58" s="15"/>
      <c r="AJO58" s="15" t="s">
        <v>91</v>
      </c>
      <c r="AJP58" s="15" t="s">
        <v>108</v>
      </c>
      <c r="AJQ58" s="15" t="s">
        <v>108</v>
      </c>
      <c r="AJR58" s="15" t="s">
        <v>108</v>
      </c>
      <c r="AJS58" s="15" t="s">
        <v>108</v>
      </c>
      <c r="AJT58" s="15" t="s">
        <v>108</v>
      </c>
      <c r="AJU58" s="15" t="s">
        <v>108</v>
      </c>
      <c r="AJV58" s="15" t="s">
        <v>99</v>
      </c>
      <c r="AJW58" s="15" t="s">
        <v>99</v>
      </c>
      <c r="AJX58" s="15"/>
      <c r="AJY58" s="15" t="s">
        <v>91</v>
      </c>
      <c r="AJZ58" s="15" t="s">
        <v>108</v>
      </c>
      <c r="AKA58" s="15" t="s">
        <v>108</v>
      </c>
      <c r="AKB58" s="15" t="s">
        <v>108</v>
      </c>
      <c r="AKC58" s="15" t="s">
        <v>108</v>
      </c>
      <c r="AKD58" s="15" t="s">
        <v>108</v>
      </c>
      <c r="AKE58" s="15" t="s">
        <v>108</v>
      </c>
      <c r="AKF58" s="15" t="s">
        <v>108</v>
      </c>
      <c r="AKG58" s="15" t="s">
        <v>108</v>
      </c>
      <c r="AKH58" s="15" t="s">
        <v>99</v>
      </c>
      <c r="AKI58" s="15"/>
      <c r="AKJ58" s="15" t="s">
        <v>91</v>
      </c>
      <c r="AKK58" s="15" t="s">
        <v>91</v>
      </c>
      <c r="AKL58" s="15" t="s">
        <v>108</v>
      </c>
      <c r="AKM58" s="15" t="s">
        <v>108</v>
      </c>
      <c r="AKN58" s="15" t="s">
        <v>108</v>
      </c>
      <c r="AKO58" s="15" t="s">
        <v>108</v>
      </c>
      <c r="AKP58" s="15" t="s">
        <v>146</v>
      </c>
      <c r="AKQ58" s="15" t="s">
        <v>146</v>
      </c>
      <c r="AKR58" s="15" t="s">
        <v>146</v>
      </c>
      <c r="AKS58" s="15" t="s">
        <v>146</v>
      </c>
      <c r="AKT58" s="15" t="s">
        <v>146</v>
      </c>
      <c r="AKU58" s="15" t="s">
        <v>146</v>
      </c>
      <c r="AKV58" s="15" t="s">
        <v>99</v>
      </c>
      <c r="AKW58" s="15" t="s">
        <v>99</v>
      </c>
      <c r="AKX58" s="15"/>
      <c r="AKY58" s="15" t="s">
        <v>91</v>
      </c>
      <c r="AKZ58" s="15" t="s">
        <v>91</v>
      </c>
      <c r="ALA58" s="15" t="s">
        <v>108</v>
      </c>
      <c r="ALB58" s="15" t="s">
        <v>108</v>
      </c>
      <c r="ALC58" s="15" t="s">
        <v>108</v>
      </c>
      <c r="ALD58" s="15" t="s">
        <v>108</v>
      </c>
      <c r="ALE58" s="15" t="s">
        <v>146</v>
      </c>
      <c r="ALF58" s="15" t="s">
        <v>146</v>
      </c>
      <c r="ALG58" s="15" t="s">
        <v>342</v>
      </c>
      <c r="ALH58" s="15" t="s">
        <v>342</v>
      </c>
      <c r="ALI58" s="15" t="s">
        <v>342</v>
      </c>
      <c r="ALJ58" s="15" t="s">
        <v>342</v>
      </c>
      <c r="ALK58" s="15" t="s">
        <v>342</v>
      </c>
      <c r="ALL58" s="15" t="s">
        <v>99</v>
      </c>
      <c r="ALM58" s="15"/>
      <c r="ALN58" s="15" t="s">
        <v>91</v>
      </c>
      <c r="ALO58" s="15" t="s">
        <v>91</v>
      </c>
      <c r="ALP58" s="15" t="s">
        <v>108</v>
      </c>
      <c r="ALQ58" s="15" t="s">
        <v>108</v>
      </c>
      <c r="ALR58" s="15" t="s">
        <v>108</v>
      </c>
      <c r="ALS58" s="15" t="s">
        <v>108</v>
      </c>
      <c r="ALT58" s="15" t="s">
        <v>146</v>
      </c>
      <c r="ALU58" s="15" t="s">
        <v>146</v>
      </c>
      <c r="ALV58" s="15" t="s">
        <v>176</v>
      </c>
      <c r="ALW58" s="15" t="s">
        <v>450</v>
      </c>
      <c r="ALX58" s="15" t="s">
        <v>450</v>
      </c>
      <c r="ALY58" s="15" t="s">
        <v>450</v>
      </c>
      <c r="ALZ58" s="15" t="s">
        <v>450</v>
      </c>
      <c r="AMA58" s="15" t="s">
        <v>450</v>
      </c>
      <c r="AMB58" s="15" t="s">
        <v>99</v>
      </c>
      <c r="AMC58" s="15"/>
      <c r="AMD58" s="15" t="s">
        <v>91</v>
      </c>
      <c r="AME58" s="15" t="s">
        <v>91</v>
      </c>
      <c r="AMF58" s="15" t="s">
        <v>108</v>
      </c>
      <c r="AMG58" s="15" t="s">
        <v>108</v>
      </c>
      <c r="AMH58" s="15" t="s">
        <v>108</v>
      </c>
      <c r="AMI58" s="15" t="s">
        <v>108</v>
      </c>
      <c r="AMJ58" s="15" t="s">
        <v>146</v>
      </c>
      <c r="AMK58" s="15" t="s">
        <v>146</v>
      </c>
      <c r="AML58" s="15" t="s">
        <v>342</v>
      </c>
      <c r="AMM58" s="15" t="s">
        <v>450</v>
      </c>
      <c r="AMN58" s="15" t="s">
        <v>496</v>
      </c>
      <c r="AMO58" s="15" t="s">
        <v>496</v>
      </c>
      <c r="AMP58" s="15" t="s">
        <v>496</v>
      </c>
      <c r="AMQ58" s="15" t="s">
        <v>496</v>
      </c>
      <c r="AMR58" s="15" t="s">
        <v>496</v>
      </c>
      <c r="AMS58" s="15" t="s">
        <v>496</v>
      </c>
      <c r="AMT58" s="15" t="s">
        <v>496</v>
      </c>
      <c r="AMU58" s="15" t="s">
        <v>496</v>
      </c>
      <c r="AMV58" s="15" t="s">
        <v>496</v>
      </c>
      <c r="AMW58" s="15" t="s">
        <v>496</v>
      </c>
      <c r="AMX58" s="15" t="s">
        <v>496</v>
      </c>
      <c r="AMY58" s="15" t="s">
        <v>496</v>
      </c>
      <c r="AMZ58" s="15" t="s">
        <v>496</v>
      </c>
      <c r="ANA58" s="15" t="s">
        <v>496</v>
      </c>
      <c r="ANB58" s="15" t="s">
        <v>496</v>
      </c>
      <c r="ANC58" s="15" t="s">
        <v>99</v>
      </c>
      <c r="AND58" s="15" t="s">
        <v>99</v>
      </c>
      <c r="ANE58" s="15"/>
      <c r="ANF58" s="15"/>
      <c r="ANG58" s="15"/>
      <c r="ANH58" s="15"/>
      <c r="ANI58" s="15"/>
      <c r="ANJ58" s="15"/>
      <c r="ANK58" s="15"/>
      <c r="ANL58" s="15"/>
      <c r="ANM58" s="15"/>
      <c r="ANN58" s="15"/>
      <c r="ANO58" s="15"/>
      <c r="ANP58" s="15"/>
      <c r="ANQ58" s="15"/>
      <c r="ANR58" s="15"/>
      <c r="ANS58" s="15"/>
      <c r="ANT58" s="15"/>
      <c r="ANU58" s="15"/>
      <c r="ANV58" s="15"/>
      <c r="ANW58" s="15"/>
      <c r="ANX58" s="15"/>
      <c r="ANY58" s="15"/>
      <c r="ANZ58" s="15"/>
      <c r="AOA58" s="15"/>
      <c r="AOB58" s="15"/>
      <c r="AOC58" s="15"/>
      <c r="AOD58" s="15"/>
      <c r="AOE58" s="15"/>
      <c r="AOF58" s="15"/>
      <c r="AOG58" s="15"/>
      <c r="AOH58" s="15"/>
      <c r="AOI58" s="15"/>
      <c r="AOJ58" s="15"/>
      <c r="AOK58" s="15"/>
      <c r="AOL58" s="15"/>
      <c r="AOM58" s="15"/>
      <c r="AON58" s="15"/>
      <c r="AOO58" s="15"/>
      <c r="AOP58" s="15"/>
      <c r="AOQ58" s="15"/>
      <c r="AOR58" s="15"/>
      <c r="AOS58" s="15"/>
      <c r="AOT58" s="15"/>
      <c r="AOU58" s="15"/>
      <c r="AOV58" s="15"/>
      <c r="AOW58" s="15"/>
      <c r="AOX58" s="15"/>
      <c r="AOY58" s="15"/>
      <c r="AOZ58" s="15"/>
      <c r="APA58" s="15"/>
      <c r="APB58" s="15"/>
      <c r="APC58" s="15"/>
      <c r="APD58" s="15"/>
      <c r="APE58" s="15"/>
      <c r="APF58" s="15"/>
      <c r="APG58" s="15"/>
      <c r="APH58" s="15"/>
      <c r="API58" s="15"/>
      <c r="APJ58" s="15"/>
      <c r="APK58" s="15"/>
      <c r="APL58" s="15"/>
      <c r="APM58" s="15"/>
      <c r="APN58" s="15"/>
      <c r="APO58" s="15"/>
      <c r="APP58" s="15"/>
      <c r="APQ58" s="15"/>
      <c r="APR58" s="15"/>
      <c r="APS58" s="15"/>
      <c r="APT58" s="15"/>
      <c r="APU58" s="15"/>
      <c r="APV58" s="15"/>
      <c r="APW58" s="15"/>
      <c r="APX58" s="15"/>
      <c r="APY58" s="15"/>
      <c r="APZ58" s="15"/>
      <c r="AQA58" s="15"/>
      <c r="AQB58" s="15"/>
    </row>
    <row r="59" spans="1:1120" s="17" customFormat="1" ht="15" customHeight="1" x14ac:dyDescent="0.25">
      <c r="A59" s="11" t="s">
        <v>3</v>
      </c>
      <c r="B59" s="6" t="s">
        <v>47</v>
      </c>
      <c r="C59" s="15" t="s">
        <v>93</v>
      </c>
      <c r="D59" s="15" t="s">
        <v>93</v>
      </c>
      <c r="E59" s="15" t="s">
        <v>93</v>
      </c>
      <c r="F59" s="15" t="s">
        <v>93</v>
      </c>
      <c r="G59" s="15" t="s">
        <v>93</v>
      </c>
      <c r="H59" s="15" t="s">
        <v>93</v>
      </c>
      <c r="I59" s="15" t="s">
        <v>93</v>
      </c>
      <c r="J59" s="15"/>
      <c r="K59" s="15" t="s">
        <v>93</v>
      </c>
      <c r="L59" s="15" t="s">
        <v>93</v>
      </c>
      <c r="M59" s="15" t="s">
        <v>93</v>
      </c>
      <c r="N59" s="15" t="s">
        <v>93</v>
      </c>
      <c r="O59" s="15" t="s">
        <v>93</v>
      </c>
      <c r="P59" s="15" t="s">
        <v>93</v>
      </c>
      <c r="Q59" s="15"/>
      <c r="R59" s="15" t="s">
        <v>93</v>
      </c>
      <c r="S59" s="15" t="s">
        <v>93</v>
      </c>
      <c r="T59" s="15" t="s">
        <v>93</v>
      </c>
      <c r="U59" s="15" t="s">
        <v>93</v>
      </c>
      <c r="V59" s="15" t="s">
        <v>93</v>
      </c>
      <c r="W59" s="15" t="s">
        <v>93</v>
      </c>
      <c r="X59" s="15"/>
      <c r="Y59" s="15" t="s">
        <v>93</v>
      </c>
      <c r="Z59" s="15" t="s">
        <v>93</v>
      </c>
      <c r="AA59" s="15" t="s">
        <v>93</v>
      </c>
      <c r="AB59" s="15" t="s">
        <v>93</v>
      </c>
      <c r="AC59" s="15" t="s">
        <v>93</v>
      </c>
      <c r="AD59" s="15" t="s">
        <v>93</v>
      </c>
      <c r="AE59" s="15"/>
      <c r="AF59" s="15" t="s">
        <v>93</v>
      </c>
      <c r="AG59" s="15" t="s">
        <v>93</v>
      </c>
      <c r="AH59" s="15" t="s">
        <v>93</v>
      </c>
      <c r="AI59" s="15" t="s">
        <v>93</v>
      </c>
      <c r="AJ59" s="15" t="s">
        <v>93</v>
      </c>
      <c r="AK59" s="15" t="s">
        <v>93</v>
      </c>
      <c r="AL59" s="15"/>
      <c r="AM59" s="15" t="s">
        <v>93</v>
      </c>
      <c r="AN59" s="15" t="s">
        <v>93</v>
      </c>
      <c r="AO59" s="15" t="s">
        <v>93</v>
      </c>
      <c r="AP59" s="15" t="s">
        <v>93</v>
      </c>
      <c r="AQ59" s="15" t="s">
        <v>93</v>
      </c>
      <c r="AR59" s="15" t="s">
        <v>93</v>
      </c>
      <c r="AS59" s="15" t="s">
        <v>93</v>
      </c>
      <c r="AT59" s="15" t="s">
        <v>93</v>
      </c>
      <c r="AU59" s="15" t="s">
        <v>93</v>
      </c>
      <c r="AV59" s="15" t="s">
        <v>93</v>
      </c>
      <c r="AW59" s="15" t="s">
        <v>93</v>
      </c>
      <c r="AX59" s="15" t="s">
        <v>93</v>
      </c>
      <c r="AY59" s="15" t="s">
        <v>93</v>
      </c>
      <c r="AZ59" s="15" t="s">
        <v>93</v>
      </c>
      <c r="BA59" s="15" t="s">
        <v>93</v>
      </c>
      <c r="BB59" s="15" t="s">
        <v>93</v>
      </c>
      <c r="BC59" s="15" t="s">
        <v>93</v>
      </c>
      <c r="BD59" s="15" t="s">
        <v>93</v>
      </c>
      <c r="BE59" s="15" t="s">
        <v>93</v>
      </c>
      <c r="BF59" s="15" t="s">
        <v>93</v>
      </c>
      <c r="BG59" s="15" t="s">
        <v>93</v>
      </c>
      <c r="BH59" s="15" t="s">
        <v>93</v>
      </c>
      <c r="BI59" s="15" t="s">
        <v>93</v>
      </c>
      <c r="BJ59" s="15" t="s">
        <v>93</v>
      </c>
      <c r="BK59" s="15" t="s">
        <v>93</v>
      </c>
      <c r="BL59" s="15" t="s">
        <v>93</v>
      </c>
      <c r="BM59" s="15" t="s">
        <v>93</v>
      </c>
      <c r="BN59" s="15" t="s">
        <v>93</v>
      </c>
      <c r="BO59" s="15" t="s">
        <v>93</v>
      </c>
      <c r="BP59" s="15" t="s">
        <v>93</v>
      </c>
      <c r="BQ59" s="15" t="s">
        <v>93</v>
      </c>
      <c r="BR59" s="15" t="s">
        <v>93</v>
      </c>
      <c r="BS59" s="15" t="s">
        <v>93</v>
      </c>
      <c r="BT59" s="15" t="s">
        <v>93</v>
      </c>
      <c r="BU59" s="15" t="s">
        <v>93</v>
      </c>
      <c r="BV59" s="15" t="s">
        <v>93</v>
      </c>
      <c r="BW59" s="15" t="s">
        <v>93</v>
      </c>
      <c r="BX59" s="15" t="s">
        <v>93</v>
      </c>
      <c r="BY59" s="15" t="s">
        <v>93</v>
      </c>
      <c r="BZ59" s="15" t="s">
        <v>93</v>
      </c>
      <c r="CA59" s="15" t="s">
        <v>93</v>
      </c>
      <c r="CB59" s="15" t="s">
        <v>93</v>
      </c>
      <c r="CC59" s="15" t="s">
        <v>93</v>
      </c>
      <c r="CD59" s="15" t="s">
        <v>93</v>
      </c>
      <c r="CE59" s="15" t="s">
        <v>93</v>
      </c>
      <c r="CF59" s="15" t="s">
        <v>93</v>
      </c>
      <c r="CG59" s="15" t="s">
        <v>93</v>
      </c>
      <c r="CH59" s="15" t="s">
        <v>93</v>
      </c>
      <c r="CI59" s="15" t="s">
        <v>93</v>
      </c>
      <c r="CJ59" s="15" t="s">
        <v>93</v>
      </c>
      <c r="CK59" s="15" t="s">
        <v>93</v>
      </c>
      <c r="CL59" s="15" t="s">
        <v>93</v>
      </c>
      <c r="CM59" s="15" t="s">
        <v>93</v>
      </c>
      <c r="CN59" s="15" t="s">
        <v>93</v>
      </c>
      <c r="CO59" s="15" t="s">
        <v>93</v>
      </c>
      <c r="CP59" s="15" t="s">
        <v>93</v>
      </c>
      <c r="CQ59" s="15" t="s">
        <v>93</v>
      </c>
      <c r="CR59" s="15" t="s">
        <v>93</v>
      </c>
      <c r="CS59" s="15" t="s">
        <v>93</v>
      </c>
      <c r="CT59" s="15" t="s">
        <v>93</v>
      </c>
      <c r="CU59" s="15" t="s">
        <v>93</v>
      </c>
      <c r="CV59" s="15" t="s">
        <v>93</v>
      </c>
      <c r="CW59" s="15" t="s">
        <v>93</v>
      </c>
      <c r="CX59" s="15" t="s">
        <v>93</v>
      </c>
      <c r="CY59" s="15" t="s">
        <v>93</v>
      </c>
      <c r="CZ59" s="15" t="s">
        <v>93</v>
      </c>
      <c r="DA59" s="15" t="s">
        <v>93</v>
      </c>
      <c r="DB59" s="15" t="s">
        <v>93</v>
      </c>
      <c r="DC59" s="15" t="s">
        <v>93</v>
      </c>
      <c r="DD59" s="15" t="s">
        <v>93</v>
      </c>
      <c r="DE59" s="15" t="s">
        <v>93</v>
      </c>
      <c r="DF59" s="15" t="s">
        <v>93</v>
      </c>
      <c r="DG59" s="15" t="s">
        <v>93</v>
      </c>
      <c r="DH59" s="15" t="s">
        <v>93</v>
      </c>
      <c r="DI59" s="15" t="s">
        <v>93</v>
      </c>
      <c r="DJ59" s="15" t="s">
        <v>93</v>
      </c>
      <c r="DK59" s="15" t="s">
        <v>93</v>
      </c>
      <c r="DL59" s="15" t="s">
        <v>93</v>
      </c>
      <c r="DM59" s="15" t="s">
        <v>93</v>
      </c>
      <c r="DN59" s="15" t="s">
        <v>93</v>
      </c>
      <c r="DO59" s="15" t="s">
        <v>93</v>
      </c>
      <c r="DP59" s="15" t="s">
        <v>93</v>
      </c>
      <c r="DQ59" s="15" t="s">
        <v>93</v>
      </c>
      <c r="DR59" s="15" t="s">
        <v>93</v>
      </c>
      <c r="DS59" s="15" t="s">
        <v>93</v>
      </c>
      <c r="DT59" s="15" t="s">
        <v>93</v>
      </c>
      <c r="DU59" s="15" t="s">
        <v>93</v>
      </c>
      <c r="DV59" s="15" t="s">
        <v>93</v>
      </c>
      <c r="DW59" s="15" t="s">
        <v>93</v>
      </c>
      <c r="DX59" s="15" t="s">
        <v>93</v>
      </c>
      <c r="DY59" s="15" t="s">
        <v>93</v>
      </c>
      <c r="DZ59" s="15" t="s">
        <v>93</v>
      </c>
      <c r="EA59" s="15" t="s">
        <v>93</v>
      </c>
      <c r="EB59" s="15" t="s">
        <v>93</v>
      </c>
      <c r="EC59" s="15" t="s">
        <v>93</v>
      </c>
      <c r="ED59" s="15" t="s">
        <v>93</v>
      </c>
      <c r="EE59" s="15" t="s">
        <v>93</v>
      </c>
      <c r="EF59" s="15" t="s">
        <v>93</v>
      </c>
      <c r="EG59" s="15" t="s">
        <v>93</v>
      </c>
      <c r="EH59" s="15" t="s">
        <v>93</v>
      </c>
      <c r="EI59" s="15" t="s">
        <v>93</v>
      </c>
      <c r="EJ59" s="15" t="s">
        <v>93</v>
      </c>
      <c r="EK59" s="15" t="s">
        <v>93</v>
      </c>
      <c r="EL59" s="15" t="s">
        <v>93</v>
      </c>
      <c r="EM59" s="15" t="s">
        <v>93</v>
      </c>
      <c r="EN59" s="15" t="s">
        <v>93</v>
      </c>
      <c r="EO59" s="15" t="s">
        <v>93</v>
      </c>
      <c r="EP59" s="15" t="s">
        <v>93</v>
      </c>
      <c r="EQ59" s="15" t="s">
        <v>93</v>
      </c>
      <c r="ER59" s="15" t="s">
        <v>93</v>
      </c>
      <c r="ES59" s="15" t="s">
        <v>93</v>
      </c>
      <c r="ET59" s="15" t="s">
        <v>93</v>
      </c>
      <c r="EU59" s="15" t="s">
        <v>93</v>
      </c>
      <c r="EV59" s="15" t="s">
        <v>93</v>
      </c>
      <c r="EW59" s="15" t="s">
        <v>93</v>
      </c>
      <c r="EX59" s="15" t="s">
        <v>93</v>
      </c>
      <c r="EY59" s="15" t="s">
        <v>93</v>
      </c>
      <c r="EZ59" s="15" t="s">
        <v>93</v>
      </c>
      <c r="FA59" s="15" t="s">
        <v>93</v>
      </c>
      <c r="FB59" s="15" t="s">
        <v>93</v>
      </c>
      <c r="FC59" s="15" t="s">
        <v>93</v>
      </c>
      <c r="FD59" s="15"/>
      <c r="FE59" s="15" t="s">
        <v>93</v>
      </c>
      <c r="FF59" s="15" t="s">
        <v>93</v>
      </c>
      <c r="FG59" s="15" t="s">
        <v>93</v>
      </c>
      <c r="FH59" s="15" t="s">
        <v>93</v>
      </c>
      <c r="FI59" s="15" t="s">
        <v>93</v>
      </c>
      <c r="FJ59" s="15" t="s">
        <v>93</v>
      </c>
      <c r="FK59" s="15" t="s">
        <v>93</v>
      </c>
      <c r="FL59" s="15" t="s">
        <v>93</v>
      </c>
      <c r="FM59" s="15" t="s">
        <v>93</v>
      </c>
      <c r="FN59" s="15" t="s">
        <v>93</v>
      </c>
      <c r="FO59" s="15" t="s">
        <v>93</v>
      </c>
      <c r="FP59" s="15" t="s">
        <v>93</v>
      </c>
      <c r="FQ59" s="15" t="s">
        <v>93</v>
      </c>
      <c r="FR59" s="15" t="s">
        <v>93</v>
      </c>
      <c r="FS59" s="15" t="s">
        <v>93</v>
      </c>
      <c r="FT59" s="15" t="s">
        <v>93</v>
      </c>
      <c r="FU59" s="15" t="s">
        <v>93</v>
      </c>
      <c r="FV59" s="15" t="s">
        <v>93</v>
      </c>
      <c r="FW59" s="15" t="s">
        <v>93</v>
      </c>
      <c r="FX59" s="15" t="s">
        <v>93</v>
      </c>
      <c r="FY59" s="15" t="s">
        <v>93</v>
      </c>
      <c r="FZ59" s="15" t="s">
        <v>93</v>
      </c>
      <c r="GA59" s="15" t="s">
        <v>93</v>
      </c>
      <c r="GB59" s="15" t="s">
        <v>93</v>
      </c>
      <c r="GC59" s="15" t="s">
        <v>93</v>
      </c>
      <c r="GD59" s="15" t="s">
        <v>93</v>
      </c>
      <c r="GE59" s="15" t="s">
        <v>93</v>
      </c>
      <c r="GF59" s="15" t="s">
        <v>93</v>
      </c>
      <c r="GG59" s="15" t="s">
        <v>93</v>
      </c>
      <c r="GH59" s="15" t="s">
        <v>93</v>
      </c>
      <c r="GI59" s="15" t="s">
        <v>93</v>
      </c>
      <c r="GJ59" s="15" t="s">
        <v>93</v>
      </c>
      <c r="GK59" s="15" t="s">
        <v>93</v>
      </c>
      <c r="GL59" s="15" t="s">
        <v>93</v>
      </c>
      <c r="GM59" s="15" t="s">
        <v>93</v>
      </c>
      <c r="GN59" s="15" t="s">
        <v>93</v>
      </c>
      <c r="GO59" s="15" t="s">
        <v>93</v>
      </c>
      <c r="GP59" s="15" t="s">
        <v>93</v>
      </c>
      <c r="GQ59" s="15" t="s">
        <v>93</v>
      </c>
      <c r="GR59" s="15" t="s">
        <v>93</v>
      </c>
      <c r="GS59" s="15" t="s">
        <v>93</v>
      </c>
      <c r="GT59" s="15" t="s">
        <v>93</v>
      </c>
      <c r="GU59" s="15" t="s">
        <v>93</v>
      </c>
      <c r="GV59" s="15" t="s">
        <v>93</v>
      </c>
      <c r="GW59" s="15" t="s">
        <v>93</v>
      </c>
      <c r="GX59" s="15" t="s">
        <v>93</v>
      </c>
      <c r="GY59" s="15" t="s">
        <v>93</v>
      </c>
      <c r="GZ59" s="15" t="s">
        <v>93</v>
      </c>
      <c r="HA59" s="15" t="s">
        <v>93</v>
      </c>
      <c r="HB59" s="15" t="s">
        <v>93</v>
      </c>
      <c r="HC59" s="15" t="s">
        <v>93</v>
      </c>
      <c r="HD59" s="15" t="s">
        <v>93</v>
      </c>
      <c r="HE59" s="15" t="s">
        <v>93</v>
      </c>
      <c r="HF59" s="15" t="s">
        <v>93</v>
      </c>
      <c r="HG59" s="15" t="s">
        <v>93</v>
      </c>
      <c r="HH59" s="15" t="s">
        <v>93</v>
      </c>
      <c r="HI59" s="15" t="s">
        <v>93</v>
      </c>
      <c r="HJ59" s="15" t="s">
        <v>93</v>
      </c>
      <c r="HK59" s="15" t="s">
        <v>93</v>
      </c>
      <c r="HL59" s="15" t="s">
        <v>93</v>
      </c>
      <c r="HM59" s="15" t="s">
        <v>93</v>
      </c>
      <c r="HN59" s="15" t="s">
        <v>93</v>
      </c>
      <c r="HO59" s="15" t="s">
        <v>93</v>
      </c>
      <c r="HP59" s="15" t="s">
        <v>93</v>
      </c>
      <c r="HQ59" s="15" t="s">
        <v>93</v>
      </c>
      <c r="HR59" s="15" t="s">
        <v>93</v>
      </c>
      <c r="HS59" s="15" t="s">
        <v>93</v>
      </c>
      <c r="HT59" s="15" t="s">
        <v>93</v>
      </c>
      <c r="HU59" s="15" t="s">
        <v>93</v>
      </c>
      <c r="HV59" s="15" t="s">
        <v>93</v>
      </c>
      <c r="HW59" s="15" t="s">
        <v>93</v>
      </c>
      <c r="HX59" s="15" t="s">
        <v>93</v>
      </c>
      <c r="HY59" s="15" t="s">
        <v>93</v>
      </c>
      <c r="HZ59" s="15" t="s">
        <v>93</v>
      </c>
      <c r="IA59" s="15" t="s">
        <v>93</v>
      </c>
      <c r="IB59" s="15"/>
      <c r="IC59" s="15" t="s">
        <v>93</v>
      </c>
      <c r="ID59" s="15" t="s">
        <v>93</v>
      </c>
      <c r="IE59" s="15" t="s">
        <v>93</v>
      </c>
      <c r="IF59" s="15" t="s">
        <v>93</v>
      </c>
      <c r="IG59" s="15" t="s">
        <v>93</v>
      </c>
      <c r="IH59" s="15" t="s">
        <v>93</v>
      </c>
      <c r="II59" s="15" t="s">
        <v>93</v>
      </c>
      <c r="IJ59" s="15" t="s">
        <v>93</v>
      </c>
      <c r="IK59" s="15"/>
      <c r="IL59" s="15" t="s">
        <v>93</v>
      </c>
      <c r="IM59" s="15" t="s">
        <v>93</v>
      </c>
      <c r="IN59" s="15" t="s">
        <v>93</v>
      </c>
      <c r="IO59" s="15" t="s">
        <v>93</v>
      </c>
      <c r="IP59" s="15" t="s">
        <v>93</v>
      </c>
      <c r="IQ59" s="15" t="s">
        <v>93</v>
      </c>
      <c r="IR59" s="15" t="s">
        <v>93</v>
      </c>
      <c r="IS59" s="15" t="str">
        <f xml:space="preserve"> IF( OR(EXACT(IS58, "MM_SYSTEM_MODE_PUSHBACK_ATA_TAS_E"), EXACT(IS58, "MM_SYSTEM_MODE_MAINTENANCE_TOWING_E"), EXACT(IS58, "MM_SYSTEM_MODE_PUSHBACK_ATA_BW_E")), "MM_DCM_E", IF( OR(EXACT(IS58,"MM_SYSTEM_MODE_TURRET_STEER_E"), EXACT(IS58,"MM_SYSTEM_MODE_STEER_BY_WIRE_E")), "MM_PCM_E", "MM_NONE_E" ) )</f>
        <v>MM_NONE_E</v>
      </c>
      <c r="IT59" s="15" t="str">
        <f t="shared" ref="IT59:JX59" si="634" xml:space="preserve"> IF( OR(EXACT(IT58, "MM_SYSTEM_MODE_PUSHBACK_ATA_TAS_E"), EXACT(IT58, "MM_SYSTEM_MODE_MAINTENANCE_TOWING_E"), EXACT(IT58, "MM_SYSTEM_MODE_PUSHBACK_ATA_BW_E")), "MM_DCM_E", IF( OR(EXACT(IT58,"MM_SYSTEM_MODE_TURRET_STEER_E"), EXACT(IT58,"MM_SYSTEM_MODE_STEER_BY_WIRE_E")), "MM_PCM_E", "MM_NONE_E" ) )</f>
        <v>MM_NONE_E</v>
      </c>
      <c r="IU59" s="15" t="str">
        <f t="shared" si="634"/>
        <v>MM_NONE_E</v>
      </c>
      <c r="IV59" s="15" t="str">
        <f t="shared" si="634"/>
        <v>MM_NONE_E</v>
      </c>
      <c r="IW59" s="15" t="str">
        <f t="shared" si="634"/>
        <v>MM_NONE_E</v>
      </c>
      <c r="IX59" s="15" t="str">
        <f t="shared" si="634"/>
        <v>MM_NONE_E</v>
      </c>
      <c r="IY59" s="15" t="str">
        <f t="shared" si="634"/>
        <v>MM_NONE_E</v>
      </c>
      <c r="IZ59" s="15" t="str">
        <f t="shared" si="634"/>
        <v>MM_NONE_E</v>
      </c>
      <c r="JA59" s="15" t="str">
        <f t="shared" si="634"/>
        <v>MM_NONE_E</v>
      </c>
      <c r="JB59" s="15" t="str">
        <f t="shared" si="634"/>
        <v>MM_NONE_E</v>
      </c>
      <c r="JC59" s="15" t="str">
        <f t="shared" si="634"/>
        <v>MM_NONE_E</v>
      </c>
      <c r="JD59" s="15" t="str">
        <f t="shared" si="634"/>
        <v>MM_NONE_E</v>
      </c>
      <c r="JE59" s="15" t="str">
        <f t="shared" si="634"/>
        <v>MM_NONE_E</v>
      </c>
      <c r="JF59" s="15" t="str">
        <f t="shared" si="634"/>
        <v>MM_NONE_E</v>
      </c>
      <c r="JG59" s="15" t="str">
        <f t="shared" si="634"/>
        <v>MM_NONE_E</v>
      </c>
      <c r="JH59" s="15" t="str">
        <f t="shared" si="634"/>
        <v>MM_NONE_E</v>
      </c>
      <c r="JI59" s="15" t="str">
        <f t="shared" si="634"/>
        <v>MM_NONE_E</v>
      </c>
      <c r="JJ59" s="15" t="str">
        <f t="shared" si="634"/>
        <v>MM_NONE_E</v>
      </c>
      <c r="JK59" s="15" t="str">
        <f t="shared" si="634"/>
        <v>MM_NONE_E</v>
      </c>
      <c r="JL59" s="15" t="str">
        <f t="shared" si="634"/>
        <v>MM_NONE_E</v>
      </c>
      <c r="JM59" s="15" t="str">
        <f t="shared" si="634"/>
        <v>MM_NONE_E</v>
      </c>
      <c r="JN59" s="15" t="str">
        <f t="shared" si="634"/>
        <v>MM_NONE_E</v>
      </c>
      <c r="JO59" s="15" t="str">
        <f t="shared" si="634"/>
        <v>MM_NONE_E</v>
      </c>
      <c r="JP59" s="15" t="str">
        <f t="shared" si="634"/>
        <v>MM_NONE_E</v>
      </c>
      <c r="JQ59" s="15" t="str">
        <f t="shared" si="634"/>
        <v>MM_NONE_E</v>
      </c>
      <c r="JR59" s="15" t="str">
        <f t="shared" si="634"/>
        <v>MM_NONE_E</v>
      </c>
      <c r="JS59" s="15" t="str">
        <f t="shared" si="634"/>
        <v>MM_NONE_E</v>
      </c>
      <c r="JT59" s="15" t="str">
        <f t="shared" si="634"/>
        <v>MM_NONE_E</v>
      </c>
      <c r="JU59" s="15" t="str">
        <f t="shared" si="634"/>
        <v>MM_NONE_E</v>
      </c>
      <c r="JV59" s="15" t="str">
        <f t="shared" si="634"/>
        <v>MM_NONE_E</v>
      </c>
      <c r="JW59" s="15" t="str">
        <f t="shared" si="634"/>
        <v>MM_NONE_E</v>
      </c>
      <c r="JX59" s="15" t="str">
        <f t="shared" si="634"/>
        <v>MM_NONE_E</v>
      </c>
      <c r="JY59" s="15" t="str">
        <f t="shared" ref="JY59" si="635" xml:space="preserve"> IF( OR(EXACT(JY58, "MM_SYSTEM_MODE_PUSHBACK_ATA_TAS_E"), EXACT(JY58, "MM_SYSTEM_MODE_MAINTENANCE_TOWING_E"), EXACT(JY58, "MM_SYSTEM_MODE_PUSHBACK_ATA_BW_E")), "MM_DCM_E", IF( OR(EXACT(JY58,"MM_SYSTEM_MODE_TURRET_STEER_E"), EXACT(JY58,"MM_SYSTEM_MODE_STEER_BY_WIRE_E")), "MM_PCM_E", "MM_NONE_E" ) )</f>
        <v>MM_NONE_E</v>
      </c>
      <c r="JZ59" s="15" t="str">
        <f t="shared" ref="JZ59" si="636" xml:space="preserve"> IF( OR(EXACT(JZ58, "MM_SYSTEM_MODE_PUSHBACK_ATA_TAS_E"), EXACT(JZ58, "MM_SYSTEM_MODE_MAINTENANCE_TOWING_E"), EXACT(JZ58, "MM_SYSTEM_MODE_PUSHBACK_ATA_BW_E")), "MM_DCM_E", IF( OR(EXACT(JZ58,"MM_SYSTEM_MODE_TURRET_STEER_E"), EXACT(JZ58,"MM_SYSTEM_MODE_STEER_BY_WIRE_E")), "MM_PCM_E", "MM_NONE_E" ) )</f>
        <v>MM_NONE_E</v>
      </c>
      <c r="KA59" s="15" t="str">
        <f t="shared" ref="KA59" si="637" xml:space="preserve"> IF( OR(EXACT(KA58, "MM_SYSTEM_MODE_PUSHBACK_ATA_TAS_E"), EXACT(KA58, "MM_SYSTEM_MODE_MAINTENANCE_TOWING_E"), EXACT(KA58, "MM_SYSTEM_MODE_PUSHBACK_ATA_BW_E")), "MM_DCM_E", IF( OR(EXACT(KA58,"MM_SYSTEM_MODE_TURRET_STEER_E"), EXACT(KA58,"MM_SYSTEM_MODE_STEER_BY_WIRE_E")), "MM_PCM_E", "MM_NONE_E" ) )</f>
        <v>MM_NONE_E</v>
      </c>
      <c r="KB59" s="15" t="str">
        <f t="shared" ref="KB59" si="638" xml:space="preserve"> IF( OR(EXACT(KB58, "MM_SYSTEM_MODE_PUSHBACK_ATA_TAS_E"), EXACT(KB58, "MM_SYSTEM_MODE_MAINTENANCE_TOWING_E"), EXACT(KB58, "MM_SYSTEM_MODE_PUSHBACK_ATA_BW_E")), "MM_DCM_E", IF( OR(EXACT(KB58,"MM_SYSTEM_MODE_TURRET_STEER_E"), EXACT(KB58,"MM_SYSTEM_MODE_STEER_BY_WIRE_E")), "MM_PCM_E", "MM_NONE_E" ) )</f>
        <v>MM_NONE_E</v>
      </c>
      <c r="KC59" s="15" t="str">
        <f t="shared" ref="KC59" si="639" xml:space="preserve"> IF( OR(EXACT(KC58, "MM_SYSTEM_MODE_PUSHBACK_ATA_TAS_E"), EXACT(KC58, "MM_SYSTEM_MODE_MAINTENANCE_TOWING_E"), EXACT(KC58, "MM_SYSTEM_MODE_PUSHBACK_ATA_BW_E")), "MM_DCM_E", IF( OR(EXACT(KC58,"MM_SYSTEM_MODE_TURRET_STEER_E"), EXACT(KC58,"MM_SYSTEM_MODE_STEER_BY_WIRE_E")), "MM_PCM_E", "MM_NONE_E" ) )</f>
        <v>MM_NONE_E</v>
      </c>
      <c r="KD59" s="15" t="str">
        <f t="shared" ref="KD59" si="640" xml:space="preserve"> IF( OR(EXACT(KD58, "MM_SYSTEM_MODE_PUSHBACK_ATA_TAS_E"), EXACT(KD58, "MM_SYSTEM_MODE_MAINTENANCE_TOWING_E"), EXACT(KD58, "MM_SYSTEM_MODE_PUSHBACK_ATA_BW_E")), "MM_DCM_E", IF( OR(EXACT(KD58,"MM_SYSTEM_MODE_TURRET_STEER_E"), EXACT(KD58,"MM_SYSTEM_MODE_STEER_BY_WIRE_E")), "MM_PCM_E", "MM_NONE_E" ) )</f>
        <v>MM_NONE_E</v>
      </c>
      <c r="KE59" s="15" t="str">
        <f t="shared" ref="KE59" si="641" xml:space="preserve"> IF( OR(EXACT(KE58, "MM_SYSTEM_MODE_PUSHBACK_ATA_TAS_E"), EXACT(KE58, "MM_SYSTEM_MODE_MAINTENANCE_TOWING_E"), EXACT(KE58, "MM_SYSTEM_MODE_PUSHBACK_ATA_BW_E")), "MM_DCM_E", IF( OR(EXACT(KE58,"MM_SYSTEM_MODE_TURRET_STEER_E"), EXACT(KE58,"MM_SYSTEM_MODE_STEER_BY_WIRE_E")), "MM_PCM_E", "MM_NONE_E" ) )</f>
        <v>MM_NONE_E</v>
      </c>
      <c r="KF59" s="15" t="str">
        <f t="shared" ref="KF59" si="642" xml:space="preserve"> IF( OR(EXACT(KF58, "MM_SYSTEM_MODE_PUSHBACK_ATA_TAS_E"), EXACT(KF58, "MM_SYSTEM_MODE_MAINTENANCE_TOWING_E"), EXACT(KF58, "MM_SYSTEM_MODE_PUSHBACK_ATA_BW_E")), "MM_DCM_E", IF( OR(EXACT(KF58,"MM_SYSTEM_MODE_TURRET_STEER_E"), EXACT(KF58,"MM_SYSTEM_MODE_STEER_BY_WIRE_E")), "MM_PCM_E", "MM_NONE_E" ) )</f>
        <v>MM_NONE_E</v>
      </c>
      <c r="KG59" s="15" t="str">
        <f t="shared" ref="KG59" si="643" xml:space="preserve"> IF( OR(EXACT(KG58, "MM_SYSTEM_MODE_PUSHBACK_ATA_TAS_E"), EXACT(KG58, "MM_SYSTEM_MODE_MAINTENANCE_TOWING_E"), EXACT(KG58, "MM_SYSTEM_MODE_PUSHBACK_ATA_BW_E")), "MM_DCM_E", IF( OR(EXACT(KG58,"MM_SYSTEM_MODE_TURRET_STEER_E"), EXACT(KG58,"MM_SYSTEM_MODE_STEER_BY_WIRE_E")), "MM_PCM_E", "MM_NONE_E" ) )</f>
        <v>MM_NONE_E</v>
      </c>
      <c r="KH59" s="15" t="str">
        <f t="shared" ref="KH59" si="644" xml:space="preserve"> IF( OR(EXACT(KH58, "MM_SYSTEM_MODE_PUSHBACK_ATA_TAS_E"), EXACT(KH58, "MM_SYSTEM_MODE_MAINTENANCE_TOWING_E"), EXACT(KH58, "MM_SYSTEM_MODE_PUSHBACK_ATA_BW_E")), "MM_DCM_E", IF( OR(EXACT(KH58,"MM_SYSTEM_MODE_TURRET_STEER_E"), EXACT(KH58,"MM_SYSTEM_MODE_STEER_BY_WIRE_E")), "MM_PCM_E", "MM_NONE_E" ) )</f>
        <v>MM_NONE_E</v>
      </c>
      <c r="KI59" s="15" t="str">
        <f t="shared" ref="KI59" si="645" xml:space="preserve"> IF( OR(EXACT(KI58, "MM_SYSTEM_MODE_PUSHBACK_ATA_TAS_E"), EXACT(KI58, "MM_SYSTEM_MODE_MAINTENANCE_TOWING_E"), EXACT(KI58, "MM_SYSTEM_MODE_PUSHBACK_ATA_BW_E")), "MM_DCM_E", IF( OR(EXACT(KI58,"MM_SYSTEM_MODE_TURRET_STEER_E"), EXACT(KI58,"MM_SYSTEM_MODE_STEER_BY_WIRE_E")), "MM_PCM_E", "MM_NONE_E" ) )</f>
        <v>MM_NONE_E</v>
      </c>
      <c r="KJ59" s="15" t="str">
        <f t="shared" ref="KJ59" si="646" xml:space="preserve"> IF( OR(EXACT(KJ58, "MM_SYSTEM_MODE_PUSHBACK_ATA_TAS_E"), EXACT(KJ58, "MM_SYSTEM_MODE_MAINTENANCE_TOWING_E"), EXACT(KJ58, "MM_SYSTEM_MODE_PUSHBACK_ATA_BW_E")), "MM_DCM_E", IF( OR(EXACT(KJ58,"MM_SYSTEM_MODE_TURRET_STEER_E"), EXACT(KJ58,"MM_SYSTEM_MODE_STEER_BY_WIRE_E")), "MM_PCM_E", "MM_NONE_E" ) )</f>
        <v>MM_NONE_E</v>
      </c>
      <c r="KK59" s="15" t="str">
        <f t="shared" ref="KK59" si="647" xml:space="preserve"> IF( OR(EXACT(KK58, "MM_SYSTEM_MODE_PUSHBACK_ATA_TAS_E"), EXACT(KK58, "MM_SYSTEM_MODE_MAINTENANCE_TOWING_E"), EXACT(KK58, "MM_SYSTEM_MODE_PUSHBACK_ATA_BW_E")), "MM_DCM_E", IF( OR(EXACT(KK58,"MM_SYSTEM_MODE_TURRET_STEER_E"), EXACT(KK58,"MM_SYSTEM_MODE_STEER_BY_WIRE_E")), "MM_PCM_E", "MM_NONE_E" ) )</f>
        <v>MM_NONE_E</v>
      </c>
      <c r="KL59" s="15" t="str">
        <f t="shared" ref="KL59" si="648" xml:space="preserve"> IF( OR(EXACT(KL58, "MM_SYSTEM_MODE_PUSHBACK_ATA_TAS_E"), EXACT(KL58, "MM_SYSTEM_MODE_MAINTENANCE_TOWING_E"), EXACT(KL58, "MM_SYSTEM_MODE_PUSHBACK_ATA_BW_E")), "MM_DCM_E", IF( OR(EXACT(KL58,"MM_SYSTEM_MODE_TURRET_STEER_E"), EXACT(KL58,"MM_SYSTEM_MODE_STEER_BY_WIRE_E")), "MM_PCM_E", "MM_NONE_E" ) )</f>
        <v>MM_NONE_E</v>
      </c>
      <c r="KM59" s="15" t="str">
        <f t="shared" ref="KM59" si="649" xml:space="preserve"> IF( OR(EXACT(KM58, "MM_SYSTEM_MODE_PUSHBACK_ATA_TAS_E"), EXACT(KM58, "MM_SYSTEM_MODE_MAINTENANCE_TOWING_E"), EXACT(KM58, "MM_SYSTEM_MODE_PUSHBACK_ATA_BW_E")), "MM_DCM_E", IF( OR(EXACT(KM58,"MM_SYSTEM_MODE_TURRET_STEER_E"), EXACT(KM58,"MM_SYSTEM_MODE_STEER_BY_WIRE_E")), "MM_PCM_E", "MM_NONE_E" ) )</f>
        <v>MM_NONE_E</v>
      </c>
      <c r="KN59" s="15" t="str">
        <f t="shared" ref="KN59" si="650" xml:space="preserve"> IF( OR(EXACT(KN58, "MM_SYSTEM_MODE_PUSHBACK_ATA_TAS_E"), EXACT(KN58, "MM_SYSTEM_MODE_MAINTENANCE_TOWING_E"), EXACT(KN58, "MM_SYSTEM_MODE_PUSHBACK_ATA_BW_E")), "MM_DCM_E", IF( OR(EXACT(KN58,"MM_SYSTEM_MODE_TURRET_STEER_E"), EXACT(KN58,"MM_SYSTEM_MODE_STEER_BY_WIRE_E")), "MM_PCM_E", "MM_NONE_E" ) )</f>
        <v>MM_NONE_E</v>
      </c>
      <c r="KO59" s="15" t="str">
        <f t="shared" ref="KO59" si="651" xml:space="preserve"> IF( OR(EXACT(KO58, "MM_SYSTEM_MODE_PUSHBACK_ATA_TAS_E"), EXACT(KO58, "MM_SYSTEM_MODE_MAINTENANCE_TOWING_E"), EXACT(KO58, "MM_SYSTEM_MODE_PUSHBACK_ATA_BW_E")), "MM_DCM_E", IF( OR(EXACT(KO58,"MM_SYSTEM_MODE_TURRET_STEER_E"), EXACT(KO58,"MM_SYSTEM_MODE_STEER_BY_WIRE_E")), "MM_PCM_E", "MM_NONE_E" ) )</f>
        <v>MM_NONE_E</v>
      </c>
      <c r="KP59" s="15" t="str">
        <f t="shared" ref="KP59" si="652" xml:space="preserve"> IF( OR(EXACT(KP58, "MM_SYSTEM_MODE_PUSHBACK_ATA_TAS_E"), EXACT(KP58, "MM_SYSTEM_MODE_MAINTENANCE_TOWING_E"), EXACT(KP58, "MM_SYSTEM_MODE_PUSHBACK_ATA_BW_E")), "MM_DCM_E", IF( OR(EXACT(KP58,"MM_SYSTEM_MODE_TURRET_STEER_E"), EXACT(KP58,"MM_SYSTEM_MODE_STEER_BY_WIRE_E")), "MM_PCM_E", "MM_NONE_E" ) )</f>
        <v>MM_NONE_E</v>
      </c>
      <c r="KQ59" s="15" t="str">
        <f t="shared" ref="KQ59" si="653" xml:space="preserve"> IF( OR(EXACT(KQ58, "MM_SYSTEM_MODE_PUSHBACK_ATA_TAS_E"), EXACT(KQ58, "MM_SYSTEM_MODE_MAINTENANCE_TOWING_E"), EXACT(KQ58, "MM_SYSTEM_MODE_PUSHBACK_ATA_BW_E")), "MM_DCM_E", IF( OR(EXACT(KQ58,"MM_SYSTEM_MODE_TURRET_STEER_E"), EXACT(KQ58,"MM_SYSTEM_MODE_STEER_BY_WIRE_E")), "MM_PCM_E", "MM_NONE_E" ) )</f>
        <v>MM_NONE_E</v>
      </c>
      <c r="KR59" s="15" t="str">
        <f t="shared" ref="KR59" si="654" xml:space="preserve"> IF( OR(EXACT(KR58, "MM_SYSTEM_MODE_PUSHBACK_ATA_TAS_E"), EXACT(KR58, "MM_SYSTEM_MODE_MAINTENANCE_TOWING_E"), EXACT(KR58, "MM_SYSTEM_MODE_PUSHBACK_ATA_BW_E")), "MM_DCM_E", IF( OR(EXACT(KR58,"MM_SYSTEM_MODE_TURRET_STEER_E"), EXACT(KR58,"MM_SYSTEM_MODE_STEER_BY_WIRE_E")), "MM_PCM_E", "MM_NONE_E" ) )</f>
        <v>MM_NONE_E</v>
      </c>
      <c r="KS59" s="15" t="str">
        <f t="shared" ref="KS59" si="655" xml:space="preserve"> IF( OR(EXACT(KS58, "MM_SYSTEM_MODE_PUSHBACK_ATA_TAS_E"), EXACT(KS58, "MM_SYSTEM_MODE_MAINTENANCE_TOWING_E"), EXACT(KS58, "MM_SYSTEM_MODE_PUSHBACK_ATA_BW_E")), "MM_DCM_E", IF( OR(EXACT(KS58,"MM_SYSTEM_MODE_TURRET_STEER_E"), EXACT(KS58,"MM_SYSTEM_MODE_STEER_BY_WIRE_E")), "MM_PCM_E", "MM_NONE_E" ) )</f>
        <v>MM_NONE_E</v>
      </c>
      <c r="KT59" s="15" t="str">
        <f t="shared" ref="KT59" si="656" xml:space="preserve"> IF( OR(EXACT(KT58, "MM_SYSTEM_MODE_PUSHBACK_ATA_TAS_E"), EXACT(KT58, "MM_SYSTEM_MODE_MAINTENANCE_TOWING_E"), EXACT(KT58, "MM_SYSTEM_MODE_PUSHBACK_ATA_BW_E")), "MM_DCM_E", IF( OR(EXACT(KT58,"MM_SYSTEM_MODE_TURRET_STEER_E"), EXACT(KT58,"MM_SYSTEM_MODE_STEER_BY_WIRE_E")), "MM_PCM_E", "MM_NONE_E" ) )</f>
        <v>MM_NONE_E</v>
      </c>
      <c r="KU59" s="15" t="str">
        <f t="shared" ref="KU59" si="657" xml:space="preserve"> IF( OR(EXACT(KU58, "MM_SYSTEM_MODE_PUSHBACK_ATA_TAS_E"), EXACT(KU58, "MM_SYSTEM_MODE_MAINTENANCE_TOWING_E"), EXACT(KU58, "MM_SYSTEM_MODE_PUSHBACK_ATA_BW_E")), "MM_DCM_E", IF( OR(EXACT(KU58,"MM_SYSTEM_MODE_TURRET_STEER_E"), EXACT(KU58,"MM_SYSTEM_MODE_STEER_BY_WIRE_E")), "MM_PCM_E", "MM_NONE_E" ) )</f>
        <v>MM_NONE_E</v>
      </c>
      <c r="KV59" s="15" t="str">
        <f t="shared" ref="KV59" si="658" xml:space="preserve"> IF( OR(EXACT(KV58, "MM_SYSTEM_MODE_PUSHBACK_ATA_TAS_E"), EXACT(KV58, "MM_SYSTEM_MODE_MAINTENANCE_TOWING_E"), EXACT(KV58, "MM_SYSTEM_MODE_PUSHBACK_ATA_BW_E")), "MM_DCM_E", IF( OR(EXACT(KV58,"MM_SYSTEM_MODE_TURRET_STEER_E"), EXACT(KV58,"MM_SYSTEM_MODE_STEER_BY_WIRE_E")), "MM_PCM_E", "MM_NONE_E" ) )</f>
        <v>MM_NONE_E</v>
      </c>
      <c r="KW59" s="15" t="str">
        <f t="shared" ref="KW59" si="659" xml:space="preserve"> IF( OR(EXACT(KW58, "MM_SYSTEM_MODE_PUSHBACK_ATA_TAS_E"), EXACT(KW58, "MM_SYSTEM_MODE_MAINTENANCE_TOWING_E"), EXACT(KW58, "MM_SYSTEM_MODE_PUSHBACK_ATA_BW_E")), "MM_DCM_E", IF( OR(EXACT(KW58,"MM_SYSTEM_MODE_TURRET_STEER_E"), EXACT(KW58,"MM_SYSTEM_MODE_STEER_BY_WIRE_E")), "MM_PCM_E", "MM_NONE_E" ) )</f>
        <v>MM_NONE_E</v>
      </c>
      <c r="KX59" s="15" t="str">
        <f t="shared" ref="KX59" si="660" xml:space="preserve"> IF( OR(EXACT(KX58, "MM_SYSTEM_MODE_PUSHBACK_ATA_TAS_E"), EXACT(KX58, "MM_SYSTEM_MODE_MAINTENANCE_TOWING_E"), EXACT(KX58, "MM_SYSTEM_MODE_PUSHBACK_ATA_BW_E")), "MM_DCM_E", IF( OR(EXACT(KX58,"MM_SYSTEM_MODE_TURRET_STEER_E"), EXACT(KX58,"MM_SYSTEM_MODE_STEER_BY_WIRE_E")), "MM_PCM_E", "MM_NONE_E" ) )</f>
        <v>MM_NONE_E</v>
      </c>
      <c r="KY59" s="15" t="str">
        <f t="shared" ref="KY59" si="661" xml:space="preserve"> IF( OR(EXACT(KY58, "MM_SYSTEM_MODE_PUSHBACK_ATA_TAS_E"), EXACT(KY58, "MM_SYSTEM_MODE_MAINTENANCE_TOWING_E"), EXACT(KY58, "MM_SYSTEM_MODE_PUSHBACK_ATA_BW_E")), "MM_DCM_E", IF( OR(EXACT(KY58,"MM_SYSTEM_MODE_TURRET_STEER_E"), EXACT(KY58,"MM_SYSTEM_MODE_STEER_BY_WIRE_E")), "MM_PCM_E", "MM_NONE_E" ) )</f>
        <v>MM_NONE_E</v>
      </c>
      <c r="KZ59" s="15" t="str">
        <f t="shared" ref="KZ59" si="662" xml:space="preserve"> IF( OR(EXACT(KZ58, "MM_SYSTEM_MODE_PUSHBACK_ATA_TAS_E"), EXACT(KZ58, "MM_SYSTEM_MODE_MAINTENANCE_TOWING_E"), EXACT(KZ58, "MM_SYSTEM_MODE_PUSHBACK_ATA_BW_E")), "MM_DCM_E", IF( OR(EXACT(KZ58,"MM_SYSTEM_MODE_TURRET_STEER_E"), EXACT(KZ58,"MM_SYSTEM_MODE_STEER_BY_WIRE_E")), "MM_PCM_E", "MM_NONE_E" ) )</f>
        <v>MM_NONE_E</v>
      </c>
      <c r="LA59" s="15" t="str">
        <f t="shared" ref="LA59" si="663" xml:space="preserve"> IF( OR(EXACT(LA58, "MM_SYSTEM_MODE_PUSHBACK_ATA_TAS_E"), EXACT(LA58, "MM_SYSTEM_MODE_MAINTENANCE_TOWING_E"), EXACT(LA58, "MM_SYSTEM_MODE_PUSHBACK_ATA_BW_E")), "MM_DCM_E", IF( OR(EXACT(LA58,"MM_SYSTEM_MODE_TURRET_STEER_E"), EXACT(LA58,"MM_SYSTEM_MODE_STEER_BY_WIRE_E")), "MM_PCM_E", "MM_NONE_E" ) )</f>
        <v>MM_NONE_E</v>
      </c>
      <c r="LB59" s="15" t="str">
        <f t="shared" ref="LB59" si="664" xml:space="preserve"> IF( OR(EXACT(LB58, "MM_SYSTEM_MODE_PUSHBACK_ATA_TAS_E"), EXACT(LB58, "MM_SYSTEM_MODE_MAINTENANCE_TOWING_E"), EXACT(LB58, "MM_SYSTEM_MODE_PUSHBACK_ATA_BW_E")), "MM_DCM_E", IF( OR(EXACT(LB58,"MM_SYSTEM_MODE_TURRET_STEER_E"), EXACT(LB58,"MM_SYSTEM_MODE_STEER_BY_WIRE_E")), "MM_PCM_E", "MM_NONE_E" ) )</f>
        <v>MM_NONE_E</v>
      </c>
      <c r="LC59" s="15" t="str">
        <f t="shared" ref="LC59" si="665" xml:space="preserve"> IF( OR(EXACT(LC58, "MM_SYSTEM_MODE_PUSHBACK_ATA_TAS_E"), EXACT(LC58, "MM_SYSTEM_MODE_MAINTENANCE_TOWING_E"), EXACT(LC58, "MM_SYSTEM_MODE_PUSHBACK_ATA_BW_E")), "MM_DCM_E", IF( OR(EXACT(LC58,"MM_SYSTEM_MODE_TURRET_STEER_E"), EXACT(LC58,"MM_SYSTEM_MODE_STEER_BY_WIRE_E")), "MM_PCM_E", "MM_NONE_E" ) )</f>
        <v>MM_NONE_E</v>
      </c>
      <c r="LD59" s="15" t="str">
        <f t="shared" ref="LD59" si="666" xml:space="preserve"> IF( OR(EXACT(LD58, "MM_SYSTEM_MODE_PUSHBACK_ATA_TAS_E"), EXACT(LD58, "MM_SYSTEM_MODE_MAINTENANCE_TOWING_E"), EXACT(LD58, "MM_SYSTEM_MODE_PUSHBACK_ATA_BW_E")), "MM_DCM_E", IF( OR(EXACT(LD58,"MM_SYSTEM_MODE_TURRET_STEER_E"), EXACT(LD58,"MM_SYSTEM_MODE_STEER_BY_WIRE_E")), "MM_PCM_E", "MM_NONE_E" ) )</f>
        <v>MM_NONE_E</v>
      </c>
      <c r="LE59" s="15" t="str">
        <f t="shared" ref="LE59" si="667" xml:space="preserve"> IF( OR(EXACT(LE58, "MM_SYSTEM_MODE_PUSHBACK_ATA_TAS_E"), EXACT(LE58, "MM_SYSTEM_MODE_MAINTENANCE_TOWING_E"), EXACT(LE58, "MM_SYSTEM_MODE_PUSHBACK_ATA_BW_E")), "MM_DCM_E", IF( OR(EXACT(LE58,"MM_SYSTEM_MODE_TURRET_STEER_E"), EXACT(LE58,"MM_SYSTEM_MODE_STEER_BY_WIRE_E")), "MM_PCM_E", "MM_NONE_E" ) )</f>
        <v>MM_NONE_E</v>
      </c>
      <c r="LF59" s="15" t="str">
        <f t="shared" ref="LF59" si="668" xml:space="preserve"> IF( OR(EXACT(LF58, "MM_SYSTEM_MODE_PUSHBACK_ATA_TAS_E"), EXACT(LF58, "MM_SYSTEM_MODE_MAINTENANCE_TOWING_E"), EXACT(LF58, "MM_SYSTEM_MODE_PUSHBACK_ATA_BW_E")), "MM_DCM_E", IF( OR(EXACT(LF58,"MM_SYSTEM_MODE_TURRET_STEER_E"), EXACT(LF58,"MM_SYSTEM_MODE_STEER_BY_WIRE_E")), "MM_PCM_E", "MM_NONE_E" ) )</f>
        <v>MM_NONE_E</v>
      </c>
      <c r="LG59" s="15" t="str">
        <f t="shared" ref="LG59" si="669" xml:space="preserve"> IF( OR(EXACT(LG58, "MM_SYSTEM_MODE_PUSHBACK_ATA_TAS_E"), EXACT(LG58, "MM_SYSTEM_MODE_MAINTENANCE_TOWING_E"), EXACT(LG58, "MM_SYSTEM_MODE_PUSHBACK_ATA_BW_E")), "MM_DCM_E", IF( OR(EXACT(LG58,"MM_SYSTEM_MODE_TURRET_STEER_E"), EXACT(LG58,"MM_SYSTEM_MODE_STEER_BY_WIRE_E")), "MM_PCM_E", "MM_NONE_E" ) )</f>
        <v>MM_NONE_E</v>
      </c>
      <c r="LH59" s="15" t="str">
        <f t="shared" ref="LH59" si="670" xml:space="preserve"> IF( OR(EXACT(LH58, "MM_SYSTEM_MODE_PUSHBACK_ATA_TAS_E"), EXACT(LH58, "MM_SYSTEM_MODE_MAINTENANCE_TOWING_E"), EXACT(LH58, "MM_SYSTEM_MODE_PUSHBACK_ATA_BW_E")), "MM_DCM_E", IF( OR(EXACT(LH58,"MM_SYSTEM_MODE_TURRET_STEER_E"), EXACT(LH58,"MM_SYSTEM_MODE_STEER_BY_WIRE_E")), "MM_PCM_E", "MM_NONE_E" ) )</f>
        <v>MM_NONE_E</v>
      </c>
      <c r="LI59" s="15" t="str">
        <f t="shared" ref="LI59" si="671" xml:space="preserve"> IF( OR(EXACT(LI58, "MM_SYSTEM_MODE_PUSHBACK_ATA_TAS_E"), EXACT(LI58, "MM_SYSTEM_MODE_MAINTENANCE_TOWING_E"), EXACT(LI58, "MM_SYSTEM_MODE_PUSHBACK_ATA_BW_E")), "MM_DCM_E", IF( OR(EXACT(LI58,"MM_SYSTEM_MODE_TURRET_STEER_E"), EXACT(LI58,"MM_SYSTEM_MODE_STEER_BY_WIRE_E")), "MM_PCM_E", "MM_NONE_E" ) )</f>
        <v>MM_NONE_E</v>
      </c>
      <c r="LJ59" s="15" t="str">
        <f t="shared" ref="LJ59" si="672" xml:space="preserve"> IF( OR(EXACT(LJ58, "MM_SYSTEM_MODE_PUSHBACK_ATA_TAS_E"), EXACT(LJ58, "MM_SYSTEM_MODE_MAINTENANCE_TOWING_E"), EXACT(LJ58, "MM_SYSTEM_MODE_PUSHBACK_ATA_BW_E")), "MM_DCM_E", IF( OR(EXACT(LJ58,"MM_SYSTEM_MODE_TURRET_STEER_E"), EXACT(LJ58,"MM_SYSTEM_MODE_STEER_BY_WIRE_E")), "MM_PCM_E", "MM_NONE_E" ) )</f>
        <v>MM_NONE_E</v>
      </c>
      <c r="LK59" s="15" t="str">
        <f t="shared" ref="LK59" si="673" xml:space="preserve"> IF( OR(EXACT(LK58, "MM_SYSTEM_MODE_PUSHBACK_ATA_TAS_E"), EXACT(LK58, "MM_SYSTEM_MODE_MAINTENANCE_TOWING_E"), EXACT(LK58, "MM_SYSTEM_MODE_PUSHBACK_ATA_BW_E")), "MM_DCM_E", IF( OR(EXACT(LK58,"MM_SYSTEM_MODE_TURRET_STEER_E"), EXACT(LK58,"MM_SYSTEM_MODE_STEER_BY_WIRE_E")), "MM_PCM_E", "MM_NONE_E" ) )</f>
        <v>MM_NONE_E</v>
      </c>
      <c r="LL59" s="15" t="str">
        <f t="shared" ref="LL59" si="674" xml:space="preserve"> IF( OR(EXACT(LL58, "MM_SYSTEM_MODE_PUSHBACK_ATA_TAS_E"), EXACT(LL58, "MM_SYSTEM_MODE_MAINTENANCE_TOWING_E"), EXACT(LL58, "MM_SYSTEM_MODE_PUSHBACK_ATA_BW_E")), "MM_DCM_E", IF( OR(EXACT(LL58,"MM_SYSTEM_MODE_TURRET_STEER_E"), EXACT(LL58,"MM_SYSTEM_MODE_STEER_BY_WIRE_E")), "MM_PCM_E", "MM_NONE_E" ) )</f>
        <v>MM_NONE_E</v>
      </c>
      <c r="LM59" s="15" t="str">
        <f t="shared" ref="LM59" si="675" xml:space="preserve"> IF( OR(EXACT(LM58, "MM_SYSTEM_MODE_PUSHBACK_ATA_TAS_E"), EXACT(LM58, "MM_SYSTEM_MODE_MAINTENANCE_TOWING_E"), EXACT(LM58, "MM_SYSTEM_MODE_PUSHBACK_ATA_BW_E")), "MM_DCM_E", IF( OR(EXACT(LM58,"MM_SYSTEM_MODE_TURRET_STEER_E"), EXACT(LM58,"MM_SYSTEM_MODE_STEER_BY_WIRE_E")), "MM_PCM_E", "MM_NONE_E" ) )</f>
        <v>MM_NONE_E</v>
      </c>
      <c r="LN59" s="15" t="str">
        <f t="shared" ref="LN59" si="676" xml:space="preserve"> IF( OR(EXACT(LN58, "MM_SYSTEM_MODE_PUSHBACK_ATA_TAS_E"), EXACT(LN58, "MM_SYSTEM_MODE_MAINTENANCE_TOWING_E"), EXACT(LN58, "MM_SYSTEM_MODE_PUSHBACK_ATA_BW_E")), "MM_DCM_E", IF( OR(EXACT(LN58,"MM_SYSTEM_MODE_TURRET_STEER_E"), EXACT(LN58,"MM_SYSTEM_MODE_STEER_BY_WIRE_E")), "MM_PCM_E", "MM_NONE_E" ) )</f>
        <v>MM_NONE_E</v>
      </c>
      <c r="LO59" s="15" t="str">
        <f t="shared" ref="LO59" si="677" xml:space="preserve"> IF( OR(EXACT(LO58, "MM_SYSTEM_MODE_PUSHBACK_ATA_TAS_E"), EXACT(LO58, "MM_SYSTEM_MODE_MAINTENANCE_TOWING_E"), EXACT(LO58, "MM_SYSTEM_MODE_PUSHBACK_ATA_BW_E")), "MM_DCM_E", IF( OR(EXACT(LO58,"MM_SYSTEM_MODE_TURRET_STEER_E"), EXACT(LO58,"MM_SYSTEM_MODE_STEER_BY_WIRE_E")), "MM_PCM_E", "MM_NONE_E" ) )</f>
        <v>MM_NONE_E</v>
      </c>
      <c r="LP59" s="15" t="str">
        <f t="shared" ref="LP59:LQ59" si="678" xml:space="preserve"> IF( OR(EXACT(LP58, "MM_SYSTEM_MODE_PUSHBACK_ATA_TAS_E"), EXACT(LP58, "MM_SYSTEM_MODE_MAINTENANCE_TOWING_E"), EXACT(LP58, "MM_SYSTEM_MODE_PUSHBACK_ATA_BW_E")), "MM_DCM_E", IF( OR(EXACT(LP58,"MM_SYSTEM_MODE_TURRET_STEER_E"), EXACT(LP58,"MM_SYSTEM_MODE_STEER_BY_WIRE_E")), "MM_PCM_E", "MM_NONE_E" ) )</f>
        <v>MM_NONE_E</v>
      </c>
      <c r="LQ59" s="15" t="str">
        <f t="shared" si="678"/>
        <v>MM_NONE_E</v>
      </c>
      <c r="LR59" s="15" t="str">
        <f t="shared" ref="LR59" si="679" xml:space="preserve"> IF( OR(EXACT(LR58, "MM_SYSTEM_MODE_PUSHBACK_ATA_TAS_E"), EXACT(LR58, "MM_SYSTEM_MODE_MAINTENANCE_TOWING_E"), EXACT(LR58, "MM_SYSTEM_MODE_PUSHBACK_ATA_BW_E")), "MM_DCM_E", IF( OR(EXACT(LR58,"MM_SYSTEM_MODE_TURRET_STEER_E"), EXACT(LR58,"MM_SYSTEM_MODE_STEER_BY_WIRE_E")), "MM_PCM_E", "MM_NONE_E" ) )</f>
        <v>MM_NONE_E</v>
      </c>
      <c r="LS59" s="15" t="str">
        <f t="shared" ref="LS59:MA59" si="680" xml:space="preserve"> IF( OR(EXACT(LS58, "MM_SYSTEM_MODE_PUSHBACK_ATA_TAS_E"), EXACT(LS58, "MM_SYSTEM_MODE_MAINTENANCE_TOWING_E"), EXACT(LS58, "MM_SYSTEM_MODE_PUSHBACK_ATA_BW_E")), "MM_DCM_E", IF( OR(EXACT(LS58,"MM_SYSTEM_MODE_TURRET_STEER_E"), EXACT(LS58,"MM_SYSTEM_MODE_STEER_BY_WIRE_E")), "MM_PCM_E", "MM_NONE_E" ) )</f>
        <v>MM_NONE_E</v>
      </c>
      <c r="LT59" s="15" t="str">
        <f t="shared" si="680"/>
        <v>MM_NONE_E</v>
      </c>
      <c r="LU59" s="15" t="str">
        <f t="shared" si="680"/>
        <v>MM_NONE_E</v>
      </c>
      <c r="LV59" s="15" t="str">
        <f t="shared" si="680"/>
        <v>MM_NONE_E</v>
      </c>
      <c r="LW59" s="15" t="str">
        <f t="shared" si="680"/>
        <v>MM_NONE_E</v>
      </c>
      <c r="LX59" s="15" t="str">
        <f t="shared" si="680"/>
        <v>MM_NONE_E</v>
      </c>
      <c r="LY59" s="15" t="str">
        <f t="shared" si="680"/>
        <v>MM_NONE_E</v>
      </c>
      <c r="LZ59" s="15" t="str">
        <f t="shared" si="680"/>
        <v>MM_NONE_E</v>
      </c>
      <c r="MA59" s="15" t="str">
        <f t="shared" si="680"/>
        <v>MM_NONE_E</v>
      </c>
      <c r="MB59" s="15" t="str">
        <f t="shared" ref="MB59" si="681" xml:space="preserve"> IF( OR(EXACT(MB58, "MM_SYSTEM_MODE_PUSHBACK_ATA_TAS_E"), EXACT(MB58, "MM_SYSTEM_MODE_MAINTENANCE_TOWING_E"), EXACT(MB58, "MM_SYSTEM_MODE_PUSHBACK_ATA_BW_E")), "MM_DCM_E", IF( OR(EXACT(MB58,"MM_SYSTEM_MODE_TURRET_STEER_E"), EXACT(MB58,"MM_SYSTEM_MODE_STEER_BY_WIRE_E")), "MM_PCM_E", "MM_NONE_E" ) )</f>
        <v>MM_NONE_E</v>
      </c>
      <c r="MC59" s="15" t="str">
        <f t="shared" ref="MC59:MI59" si="682" xml:space="preserve"> IF( OR(EXACT(MC58, "MM_SYSTEM_MODE_PUSHBACK_ATA_TAS_E"), EXACT(MC58, "MM_SYSTEM_MODE_MAINTENANCE_TOWING_E"), EXACT(MC58, "MM_SYSTEM_MODE_PUSHBACK_ATA_BW_E")), "MM_DCM_E", IF( OR(EXACT(MC58,"MM_SYSTEM_MODE_TURRET_STEER_E"), EXACT(MC58,"MM_SYSTEM_MODE_STEER_BY_WIRE_E")), "MM_PCM_E", "MM_NONE_E" ) )</f>
        <v>MM_NONE_E</v>
      </c>
      <c r="MD59" s="15" t="str">
        <f t="shared" si="682"/>
        <v>MM_NONE_E</v>
      </c>
      <c r="ME59" s="15" t="str">
        <f t="shared" si="682"/>
        <v>MM_NONE_E</v>
      </c>
      <c r="MF59" s="15" t="str">
        <f t="shared" si="682"/>
        <v>MM_NONE_E</v>
      </c>
      <c r="MG59" s="15" t="str">
        <f t="shared" si="682"/>
        <v>MM_NONE_E</v>
      </c>
      <c r="MH59" s="15" t="str">
        <f t="shared" si="682"/>
        <v>MM_NONE_E</v>
      </c>
      <c r="MI59" s="15" t="str">
        <f t="shared" si="682"/>
        <v>MM_NONE_E</v>
      </c>
      <c r="MJ59" s="15" t="str">
        <f t="shared" ref="MJ59" si="683" xml:space="preserve"> IF( OR(EXACT(MJ58, "MM_SYSTEM_MODE_PUSHBACK_ATA_TAS_E"), EXACT(MJ58, "MM_SYSTEM_MODE_MAINTENANCE_TOWING_E"), EXACT(MJ58, "MM_SYSTEM_MODE_PUSHBACK_ATA_BW_E")), "MM_DCM_E", IF( OR(EXACT(MJ58,"MM_SYSTEM_MODE_TURRET_STEER_E"), EXACT(MJ58,"MM_SYSTEM_MODE_STEER_BY_WIRE_E")), "MM_PCM_E", "MM_NONE_E" ) )</f>
        <v>MM_NONE_E</v>
      </c>
      <c r="MK59" s="15" t="str">
        <f t="shared" ref="MK59" si="684" xml:space="preserve"> IF( OR(EXACT(MK58, "MM_SYSTEM_MODE_PUSHBACK_ATA_TAS_E"), EXACT(MK58, "MM_SYSTEM_MODE_MAINTENANCE_TOWING_E"), EXACT(MK58, "MM_SYSTEM_MODE_PUSHBACK_ATA_BW_E")), "MM_DCM_E", IF( OR(EXACT(MK58,"MM_SYSTEM_MODE_TURRET_STEER_E"), EXACT(MK58,"MM_SYSTEM_MODE_STEER_BY_WIRE_E")), "MM_PCM_E", "MM_NONE_E" ) )</f>
        <v>MM_NONE_E</v>
      </c>
      <c r="ML59" s="15" t="str">
        <f t="shared" ref="ML59" si="685" xml:space="preserve"> IF( OR(EXACT(ML58, "MM_SYSTEM_MODE_PUSHBACK_ATA_TAS_E"), EXACT(ML58, "MM_SYSTEM_MODE_MAINTENANCE_TOWING_E"), EXACT(ML58, "MM_SYSTEM_MODE_PUSHBACK_ATA_BW_E")), "MM_DCM_E", IF( OR(EXACT(ML58,"MM_SYSTEM_MODE_TURRET_STEER_E"), EXACT(ML58,"MM_SYSTEM_MODE_STEER_BY_WIRE_E")), "MM_PCM_E", "MM_NONE_E" ) )</f>
        <v>MM_NONE_E</v>
      </c>
      <c r="MM59" s="15" t="str">
        <f t="shared" ref="MM59:MN59" si="686" xml:space="preserve"> IF( OR(EXACT(MM58, "MM_SYSTEM_MODE_PUSHBACK_ATA_TAS_E"), EXACT(MM58, "MM_SYSTEM_MODE_MAINTENANCE_TOWING_E"), EXACT(MM58, "MM_SYSTEM_MODE_PUSHBACK_ATA_BW_E")), "MM_DCM_E", IF( OR(EXACT(MM58,"MM_SYSTEM_MODE_TURRET_STEER_E"), EXACT(MM58,"MM_SYSTEM_MODE_STEER_BY_WIRE_E")), "MM_PCM_E", "MM_NONE_E" ) )</f>
        <v>MM_NONE_E</v>
      </c>
      <c r="MN59" s="15" t="str">
        <f t="shared" si="686"/>
        <v>MM_NONE_E</v>
      </c>
      <c r="MO59" s="15" t="str">
        <f t="shared" ref="MO59" si="687" xml:space="preserve"> IF( OR(EXACT(MO58, "MM_SYSTEM_MODE_PUSHBACK_ATA_TAS_E"), EXACT(MO58, "MM_SYSTEM_MODE_MAINTENANCE_TOWING_E"), EXACT(MO58, "MM_SYSTEM_MODE_PUSHBACK_ATA_BW_E")), "MM_DCM_E", IF( OR(EXACT(MO58,"MM_SYSTEM_MODE_TURRET_STEER_E"), EXACT(MO58,"MM_SYSTEM_MODE_STEER_BY_WIRE_E")), "MM_PCM_E", "MM_NONE_E" ) )</f>
        <v>MM_NONE_E</v>
      </c>
      <c r="MP59" s="15" t="str">
        <f t="shared" ref="MP59" si="688" xml:space="preserve"> IF( OR(EXACT(MP58, "MM_SYSTEM_MODE_PUSHBACK_ATA_TAS_E"), EXACT(MP58, "MM_SYSTEM_MODE_MAINTENANCE_TOWING_E"), EXACT(MP58, "MM_SYSTEM_MODE_PUSHBACK_ATA_BW_E")), "MM_DCM_E", IF( OR(EXACT(MP58,"MM_SYSTEM_MODE_TURRET_STEER_E"), EXACT(MP58,"MM_SYSTEM_MODE_STEER_BY_WIRE_E")), "MM_PCM_E", "MM_NONE_E" ) )</f>
        <v>MM_NONE_E</v>
      </c>
      <c r="MQ59" s="15" t="str">
        <f t="shared" ref="MQ59:MR59" si="689" xml:space="preserve"> IF( OR(EXACT(MQ58, "MM_SYSTEM_MODE_PUSHBACK_ATA_TAS_E"), EXACT(MQ58, "MM_SYSTEM_MODE_MAINTENANCE_TOWING_E"), EXACT(MQ58, "MM_SYSTEM_MODE_PUSHBACK_ATA_BW_E")), "MM_DCM_E", IF( OR(EXACT(MQ58,"MM_SYSTEM_MODE_TURRET_STEER_E"), EXACT(MQ58,"MM_SYSTEM_MODE_STEER_BY_WIRE_E")), "MM_PCM_E", "MM_NONE_E" ) )</f>
        <v>MM_NONE_E</v>
      </c>
      <c r="MR59" s="15" t="str">
        <f t="shared" si="689"/>
        <v>MM_NONE_E</v>
      </c>
      <c r="MS59" s="15" t="str">
        <f t="shared" ref="MS59" si="690" xml:space="preserve"> IF( OR(EXACT(MS58, "MM_SYSTEM_MODE_PUSHBACK_ATA_TAS_E"), EXACT(MS58, "MM_SYSTEM_MODE_MAINTENANCE_TOWING_E"), EXACT(MS58, "MM_SYSTEM_MODE_PUSHBACK_ATA_BW_E")), "MM_DCM_E", IF( OR(EXACT(MS58,"MM_SYSTEM_MODE_TURRET_STEER_E"), EXACT(MS58,"MM_SYSTEM_MODE_STEER_BY_WIRE_E")), "MM_PCM_E", "MM_NONE_E" ) )</f>
        <v>MM_NONE_E</v>
      </c>
      <c r="MT59" s="15" t="str">
        <f t="shared" ref="MT59" si="691" xml:space="preserve"> IF( OR(EXACT(MT58, "MM_SYSTEM_MODE_PUSHBACK_ATA_TAS_E"), EXACT(MT58, "MM_SYSTEM_MODE_MAINTENANCE_TOWING_E"), EXACT(MT58, "MM_SYSTEM_MODE_PUSHBACK_ATA_BW_E")), "MM_DCM_E", IF( OR(EXACT(MT58,"MM_SYSTEM_MODE_TURRET_STEER_E"), EXACT(MT58,"MM_SYSTEM_MODE_STEER_BY_WIRE_E")), "MM_PCM_E", "MM_NONE_E" ) )</f>
        <v>MM_NONE_E</v>
      </c>
      <c r="MU59" s="15" t="str">
        <f t="shared" ref="MU59" si="692" xml:space="preserve"> IF( OR(EXACT(MU58, "MM_SYSTEM_MODE_PUSHBACK_ATA_TAS_E"), EXACT(MU58, "MM_SYSTEM_MODE_MAINTENANCE_TOWING_E"), EXACT(MU58, "MM_SYSTEM_MODE_PUSHBACK_ATA_BW_E")), "MM_DCM_E", IF( OR(EXACT(MU58,"MM_SYSTEM_MODE_TURRET_STEER_E"), EXACT(MU58,"MM_SYSTEM_MODE_STEER_BY_WIRE_E")), "MM_PCM_E", "MM_NONE_E" ) )</f>
        <v>MM_NONE_E</v>
      </c>
      <c r="MV59" s="15" t="str">
        <f t="shared" ref="MV59" si="693" xml:space="preserve"> IF( OR(EXACT(MV58, "MM_SYSTEM_MODE_PUSHBACK_ATA_TAS_E"), EXACT(MV58, "MM_SYSTEM_MODE_MAINTENANCE_TOWING_E"), EXACT(MV58, "MM_SYSTEM_MODE_PUSHBACK_ATA_BW_E")), "MM_DCM_E", IF( OR(EXACT(MV58,"MM_SYSTEM_MODE_TURRET_STEER_E"), EXACT(MV58,"MM_SYSTEM_MODE_STEER_BY_WIRE_E")), "MM_PCM_E", "MM_NONE_E" ) )</f>
        <v>MM_NONE_E</v>
      </c>
      <c r="MW59" s="15" t="str">
        <f t="shared" ref="MW59" si="694" xml:space="preserve"> IF( OR(EXACT(MW58, "MM_SYSTEM_MODE_PUSHBACK_ATA_TAS_E"), EXACT(MW58, "MM_SYSTEM_MODE_MAINTENANCE_TOWING_E"), EXACT(MW58, "MM_SYSTEM_MODE_PUSHBACK_ATA_BW_E")), "MM_DCM_E", IF( OR(EXACT(MW58,"MM_SYSTEM_MODE_TURRET_STEER_E"), EXACT(MW58,"MM_SYSTEM_MODE_STEER_BY_WIRE_E")), "MM_PCM_E", "MM_NONE_E" ) )</f>
        <v>MM_NONE_E</v>
      </c>
      <c r="MX59" s="15" t="str">
        <f t="shared" ref="MX59" si="695" xml:space="preserve"> IF( OR(EXACT(MX58, "MM_SYSTEM_MODE_PUSHBACK_ATA_TAS_E"), EXACT(MX58, "MM_SYSTEM_MODE_MAINTENANCE_TOWING_E"), EXACT(MX58, "MM_SYSTEM_MODE_PUSHBACK_ATA_BW_E")), "MM_DCM_E", IF( OR(EXACT(MX58,"MM_SYSTEM_MODE_TURRET_STEER_E"), EXACT(MX58,"MM_SYSTEM_MODE_STEER_BY_WIRE_E")), "MM_PCM_E", "MM_NONE_E" ) )</f>
        <v>MM_NONE_E</v>
      </c>
      <c r="MY59" s="15" t="str">
        <f t="shared" ref="MY59" si="696" xml:space="preserve"> IF( OR(EXACT(MY58, "MM_SYSTEM_MODE_PUSHBACK_ATA_TAS_E"), EXACT(MY58, "MM_SYSTEM_MODE_MAINTENANCE_TOWING_E"), EXACT(MY58, "MM_SYSTEM_MODE_PUSHBACK_ATA_BW_E")), "MM_DCM_E", IF( OR(EXACT(MY58,"MM_SYSTEM_MODE_TURRET_STEER_E"), EXACT(MY58,"MM_SYSTEM_MODE_STEER_BY_WIRE_E")), "MM_PCM_E", "MM_NONE_E" ) )</f>
        <v>MM_NONE_E</v>
      </c>
      <c r="MZ59" s="15" t="str">
        <f t="shared" ref="MZ59" si="697" xml:space="preserve"> IF( OR(EXACT(MZ58, "MM_SYSTEM_MODE_PUSHBACK_ATA_TAS_E"), EXACT(MZ58, "MM_SYSTEM_MODE_MAINTENANCE_TOWING_E"), EXACT(MZ58, "MM_SYSTEM_MODE_PUSHBACK_ATA_BW_E")), "MM_DCM_E", IF( OR(EXACT(MZ58,"MM_SYSTEM_MODE_TURRET_STEER_E"), EXACT(MZ58,"MM_SYSTEM_MODE_STEER_BY_WIRE_E")), "MM_PCM_E", "MM_NONE_E" ) )</f>
        <v>MM_NONE_E</v>
      </c>
      <c r="NA59" s="15" t="str">
        <f t="shared" ref="NA59" si="698" xml:space="preserve"> IF( OR(EXACT(NA58, "MM_SYSTEM_MODE_PUSHBACK_ATA_TAS_E"), EXACT(NA58, "MM_SYSTEM_MODE_MAINTENANCE_TOWING_E"), EXACT(NA58, "MM_SYSTEM_MODE_PUSHBACK_ATA_BW_E")), "MM_DCM_E", IF( OR(EXACT(NA58,"MM_SYSTEM_MODE_TURRET_STEER_E"), EXACT(NA58,"MM_SYSTEM_MODE_STEER_BY_WIRE_E")), "MM_PCM_E", "MM_NONE_E" ) )</f>
        <v>MM_NONE_E</v>
      </c>
      <c r="NB59" s="15" t="str">
        <f t="shared" ref="NB59" si="699" xml:space="preserve"> IF( OR(EXACT(NB58, "MM_SYSTEM_MODE_PUSHBACK_ATA_TAS_E"), EXACT(NB58, "MM_SYSTEM_MODE_MAINTENANCE_TOWING_E"), EXACT(NB58, "MM_SYSTEM_MODE_PUSHBACK_ATA_BW_E")), "MM_DCM_E", IF( OR(EXACT(NB58,"MM_SYSTEM_MODE_TURRET_STEER_E"), EXACT(NB58,"MM_SYSTEM_MODE_STEER_BY_WIRE_E")), "MM_PCM_E", "MM_NONE_E" ) )</f>
        <v>MM_NONE_E</v>
      </c>
      <c r="NC59" s="15" t="str">
        <f t="shared" ref="NC59" si="700" xml:space="preserve"> IF( OR(EXACT(NC58, "MM_SYSTEM_MODE_PUSHBACK_ATA_TAS_E"), EXACT(NC58, "MM_SYSTEM_MODE_MAINTENANCE_TOWING_E"), EXACT(NC58, "MM_SYSTEM_MODE_PUSHBACK_ATA_BW_E")), "MM_DCM_E", IF( OR(EXACT(NC58,"MM_SYSTEM_MODE_TURRET_STEER_E"), EXACT(NC58,"MM_SYSTEM_MODE_STEER_BY_WIRE_E")), "MM_PCM_E", "MM_NONE_E" ) )</f>
        <v>MM_NONE_E</v>
      </c>
      <c r="ND59" s="15" t="str">
        <f t="shared" ref="ND59" si="701" xml:space="preserve"> IF( OR(EXACT(ND58, "MM_SYSTEM_MODE_PUSHBACK_ATA_TAS_E"), EXACT(ND58, "MM_SYSTEM_MODE_MAINTENANCE_TOWING_E"), EXACT(ND58, "MM_SYSTEM_MODE_PUSHBACK_ATA_BW_E")), "MM_DCM_E", IF( OR(EXACT(ND58,"MM_SYSTEM_MODE_TURRET_STEER_E"), EXACT(ND58,"MM_SYSTEM_MODE_STEER_BY_WIRE_E")), "MM_PCM_E", "MM_NONE_E" ) )</f>
        <v>MM_NONE_E</v>
      </c>
      <c r="NE59" s="15" t="str">
        <f t="shared" ref="NE59" si="702" xml:space="preserve"> IF( OR(EXACT(NE58, "MM_SYSTEM_MODE_PUSHBACK_ATA_TAS_E"), EXACT(NE58, "MM_SYSTEM_MODE_MAINTENANCE_TOWING_E"), EXACT(NE58, "MM_SYSTEM_MODE_PUSHBACK_ATA_BW_E")), "MM_DCM_E", IF( OR(EXACT(NE58,"MM_SYSTEM_MODE_TURRET_STEER_E"), EXACT(NE58,"MM_SYSTEM_MODE_STEER_BY_WIRE_E")), "MM_PCM_E", "MM_NONE_E" ) )</f>
        <v>MM_NONE_E</v>
      </c>
      <c r="NF59" s="15" t="str">
        <f t="shared" ref="NF59" si="703" xml:space="preserve"> IF( OR(EXACT(NF58, "MM_SYSTEM_MODE_PUSHBACK_ATA_TAS_E"), EXACT(NF58, "MM_SYSTEM_MODE_MAINTENANCE_TOWING_E"), EXACT(NF58, "MM_SYSTEM_MODE_PUSHBACK_ATA_BW_E")), "MM_DCM_E", IF( OR(EXACT(NF58,"MM_SYSTEM_MODE_TURRET_STEER_E"), EXACT(NF58,"MM_SYSTEM_MODE_STEER_BY_WIRE_E")), "MM_PCM_E", "MM_NONE_E" ) )</f>
        <v>MM_NONE_E</v>
      </c>
      <c r="NG59" s="15" t="str">
        <f t="shared" ref="NG59" si="704" xml:space="preserve"> IF( OR(EXACT(NG58, "MM_SYSTEM_MODE_PUSHBACK_ATA_TAS_E"), EXACT(NG58, "MM_SYSTEM_MODE_MAINTENANCE_TOWING_E"), EXACT(NG58, "MM_SYSTEM_MODE_PUSHBACK_ATA_BW_E")), "MM_DCM_E", IF( OR(EXACT(NG58,"MM_SYSTEM_MODE_TURRET_STEER_E"), EXACT(NG58,"MM_SYSTEM_MODE_STEER_BY_WIRE_E")), "MM_PCM_E", "MM_NONE_E" ) )</f>
        <v>MM_NONE_E</v>
      </c>
      <c r="NH59" s="15" t="str">
        <f t="shared" ref="NH59" si="705" xml:space="preserve"> IF( OR(EXACT(NH58, "MM_SYSTEM_MODE_PUSHBACK_ATA_TAS_E"), EXACT(NH58, "MM_SYSTEM_MODE_MAINTENANCE_TOWING_E"), EXACT(NH58, "MM_SYSTEM_MODE_PUSHBACK_ATA_BW_E")), "MM_DCM_E", IF( OR(EXACT(NH58,"MM_SYSTEM_MODE_TURRET_STEER_E"), EXACT(NH58,"MM_SYSTEM_MODE_STEER_BY_WIRE_E")), "MM_PCM_E", "MM_NONE_E" ) )</f>
        <v>MM_NONE_E</v>
      </c>
      <c r="NI59" s="15" t="str">
        <f t="shared" ref="NI59" si="706" xml:space="preserve"> IF( OR(EXACT(NI58, "MM_SYSTEM_MODE_PUSHBACK_ATA_TAS_E"), EXACT(NI58, "MM_SYSTEM_MODE_MAINTENANCE_TOWING_E"), EXACT(NI58, "MM_SYSTEM_MODE_PUSHBACK_ATA_BW_E")), "MM_DCM_E", IF( OR(EXACT(NI58,"MM_SYSTEM_MODE_TURRET_STEER_E"), EXACT(NI58,"MM_SYSTEM_MODE_STEER_BY_WIRE_E")), "MM_PCM_E", "MM_NONE_E" ) )</f>
        <v>MM_NONE_E</v>
      </c>
      <c r="NJ59" s="15" t="str">
        <f t="shared" ref="NJ59" si="707" xml:space="preserve"> IF( OR(EXACT(NJ58, "MM_SYSTEM_MODE_PUSHBACK_ATA_TAS_E"), EXACT(NJ58, "MM_SYSTEM_MODE_MAINTENANCE_TOWING_E"), EXACT(NJ58, "MM_SYSTEM_MODE_PUSHBACK_ATA_BW_E")), "MM_DCM_E", IF( OR(EXACT(NJ58,"MM_SYSTEM_MODE_TURRET_STEER_E"), EXACT(NJ58,"MM_SYSTEM_MODE_STEER_BY_WIRE_E")), "MM_PCM_E", "MM_NONE_E" ) )</f>
        <v>MM_NONE_E</v>
      </c>
      <c r="NK59" s="15" t="str">
        <f t="shared" ref="NK59" si="708" xml:space="preserve"> IF( OR(EXACT(NK58, "MM_SYSTEM_MODE_PUSHBACK_ATA_TAS_E"), EXACT(NK58, "MM_SYSTEM_MODE_MAINTENANCE_TOWING_E"), EXACT(NK58, "MM_SYSTEM_MODE_PUSHBACK_ATA_BW_E")), "MM_DCM_E", IF( OR(EXACT(NK58,"MM_SYSTEM_MODE_TURRET_STEER_E"), EXACT(NK58,"MM_SYSTEM_MODE_STEER_BY_WIRE_E")), "MM_PCM_E", "MM_NONE_E" ) )</f>
        <v>MM_NONE_E</v>
      </c>
      <c r="NL59" s="15" t="str">
        <f t="shared" ref="NL59:NM59" si="709" xml:space="preserve"> IF( OR(EXACT(NL58, "MM_SYSTEM_MODE_PUSHBACK_ATA_TAS_E"), EXACT(NL58, "MM_SYSTEM_MODE_MAINTENANCE_TOWING_E"), EXACT(NL58, "MM_SYSTEM_MODE_PUSHBACK_ATA_BW_E")), "MM_DCM_E", IF( OR(EXACT(NL58,"MM_SYSTEM_MODE_TURRET_STEER_E"), EXACT(NL58,"MM_SYSTEM_MODE_STEER_BY_WIRE_E")), "MM_PCM_E", "MM_NONE_E" ) )</f>
        <v>MM_NONE_E</v>
      </c>
      <c r="NM59" s="15" t="str">
        <f t="shared" si="709"/>
        <v>MM_NONE_E</v>
      </c>
      <c r="NN59" s="15" t="s">
        <v>254</v>
      </c>
      <c r="NO59" s="15" t="s">
        <v>93</v>
      </c>
      <c r="NP59" s="15" t="s">
        <v>93</v>
      </c>
      <c r="NQ59" s="15" t="str">
        <f t="shared" ref="NQ59:NR59" si="710" xml:space="preserve"> IF( OR(EXACT(NQ58, "MM_SYSTEM_MODE_PUSHBACK_ATA_TAS_E"), EXACT(NQ58, "MM_SYSTEM_MODE_MAINTENANCE_TOWING_E"), EXACT(NQ58, "MM_SYSTEM_MODE_PUSHBACK_ATA_BW_E")), "MM_DCM_E", IF( OR(EXACT(NQ58,"MM_SYSTEM_MODE_TURRET_STEER_E"), EXACT(NQ58,"MM_SYSTEM_MODE_STEER_BY_WIRE_E")), "MM_PCM_E", "MM_NONE_E" ) )</f>
        <v>MM_NONE_E</v>
      </c>
      <c r="NR59" s="15" t="str">
        <f t="shared" si="710"/>
        <v>MM_NONE_E</v>
      </c>
      <c r="NS59" s="15" t="s">
        <v>254</v>
      </c>
      <c r="NT59" s="15" t="str">
        <f>IF( OR(EXACT(NT58,"MM_SYSTEM_MODE_PUSHBACK_ATA_TAS_E"),EXACT(NT58,"MM_SYSTEM_MODE_PUSHBACK_ATA_BW_E"),EXACT(NT58,"MM_SYSTEM_MODE_MAINTENANCE_TOWING_E")),"MM_DCM_E", IF(OR( EXACT(NT58,"MM_SYSTEM_MODE_TURRET_STEER_E"), EXACT(NT58,"MM_SYSTEM_MODE_STEER_BY_WIRE_E")), "MM_PCM_E", "MM_NONE_E"))</f>
        <v>MM_DCM_E</v>
      </c>
      <c r="NU59" s="15" t="str">
        <f t="shared" ref="NU59:QH59" si="711">IF( OR(EXACT(NU58,"MM_SYSTEM_MODE_PUSHBACK_ATA_TAS_E"),EXACT(NU58,"MM_SYSTEM_MODE_PUSHBACK_ATA_BW_E"),EXACT(NU58,"MM_SYSTEM_MODE_MAINTENANCE_TOWING_E")),"MM_DCM_E", IF(OR( EXACT(NU58,"MM_SYSTEM_MODE_TURRET_STEER_E"), EXACT(NU58,"MM_SYSTEM_MODE_STEER_BY_WIRE_E")), "MM_PCM_E", "MM_NONE_E"))</f>
        <v>MM_DCM_E</v>
      </c>
      <c r="NV59" s="15" t="str">
        <f t="shared" si="711"/>
        <v>MM_DCM_E</v>
      </c>
      <c r="NW59" s="15" t="str">
        <f t="shared" si="711"/>
        <v>MM_DCM_E</v>
      </c>
      <c r="NX59" s="15" t="str">
        <f t="shared" si="711"/>
        <v>MM_DCM_E</v>
      </c>
      <c r="NY59" s="15" t="str">
        <f t="shared" si="711"/>
        <v>MM_DCM_E</v>
      </c>
      <c r="NZ59" s="15" t="str">
        <f t="shared" si="711"/>
        <v>MM_DCM_E</v>
      </c>
      <c r="OA59" s="15" t="str">
        <f t="shared" si="711"/>
        <v>MM_DCM_E</v>
      </c>
      <c r="OB59" s="15" t="str">
        <f t="shared" si="711"/>
        <v>MM_DCM_E</v>
      </c>
      <c r="OC59" s="15" t="str">
        <f t="shared" si="711"/>
        <v>MM_DCM_E</v>
      </c>
      <c r="OD59" s="15" t="str">
        <f t="shared" si="711"/>
        <v>MM_DCM_E</v>
      </c>
      <c r="OE59" s="15" t="str">
        <f t="shared" si="711"/>
        <v>MM_DCM_E</v>
      </c>
      <c r="OF59" s="15" t="str">
        <f t="shared" si="711"/>
        <v>MM_DCM_E</v>
      </c>
      <c r="OG59" s="15" t="str">
        <f t="shared" si="711"/>
        <v>MM_DCM_E</v>
      </c>
      <c r="OH59" s="15" t="str">
        <f t="shared" si="711"/>
        <v>MM_DCM_E</v>
      </c>
      <c r="OI59" s="15" t="str">
        <f t="shared" si="711"/>
        <v>MM_DCM_E</v>
      </c>
      <c r="OJ59" s="15" t="str">
        <f t="shared" si="711"/>
        <v>MM_DCM_E</v>
      </c>
      <c r="OK59" s="15" t="str">
        <f t="shared" si="711"/>
        <v>MM_DCM_E</v>
      </c>
      <c r="OL59" s="15" t="str">
        <f t="shared" si="711"/>
        <v>MM_DCM_E</v>
      </c>
      <c r="OM59" s="15" t="str">
        <f t="shared" si="711"/>
        <v>MM_DCM_E</v>
      </c>
      <c r="ON59" s="15" t="str">
        <f t="shared" si="711"/>
        <v>MM_DCM_E</v>
      </c>
      <c r="OO59" s="15" t="str">
        <f t="shared" si="711"/>
        <v>MM_DCM_E</v>
      </c>
      <c r="OP59" s="15" t="str">
        <f t="shared" si="711"/>
        <v>MM_DCM_E</v>
      </c>
      <c r="OQ59" s="15" t="str">
        <f t="shared" si="711"/>
        <v>MM_DCM_E</v>
      </c>
      <c r="OR59" s="15" t="str">
        <f t="shared" si="711"/>
        <v>MM_DCM_E</v>
      </c>
      <c r="OS59" s="15" t="str">
        <f t="shared" si="711"/>
        <v>MM_DCM_E</v>
      </c>
      <c r="OT59" s="15" t="str">
        <f t="shared" si="711"/>
        <v>MM_DCM_E</v>
      </c>
      <c r="OU59" s="15" t="str">
        <f t="shared" si="711"/>
        <v>MM_DCM_E</v>
      </c>
      <c r="OV59" s="15" t="str">
        <f t="shared" si="711"/>
        <v>MM_DCM_E</v>
      </c>
      <c r="OW59" s="15" t="str">
        <f t="shared" si="711"/>
        <v>MM_DCM_E</v>
      </c>
      <c r="OX59" s="15" t="str">
        <f t="shared" si="711"/>
        <v>MM_DCM_E</v>
      </c>
      <c r="OY59" s="15" t="str">
        <f t="shared" si="711"/>
        <v>MM_DCM_E</v>
      </c>
      <c r="OZ59" s="15" t="str">
        <f t="shared" si="711"/>
        <v>MM_DCM_E</v>
      </c>
      <c r="PA59" s="15" t="str">
        <f t="shared" si="711"/>
        <v>MM_DCM_E</v>
      </c>
      <c r="PB59" s="15" t="str">
        <f t="shared" si="711"/>
        <v>MM_DCM_E</v>
      </c>
      <c r="PC59" s="15" t="str">
        <f t="shared" si="711"/>
        <v>MM_DCM_E</v>
      </c>
      <c r="PD59" s="15" t="str">
        <f t="shared" si="711"/>
        <v>MM_DCM_E</v>
      </c>
      <c r="PE59" s="15" t="str">
        <f t="shared" si="711"/>
        <v>MM_DCM_E</v>
      </c>
      <c r="PF59" s="15" t="str">
        <f t="shared" si="711"/>
        <v>MM_DCM_E</v>
      </c>
      <c r="PG59" s="15" t="str">
        <f t="shared" si="711"/>
        <v>MM_DCM_E</v>
      </c>
      <c r="PH59" s="15" t="str">
        <f t="shared" si="711"/>
        <v>MM_DCM_E</v>
      </c>
      <c r="PI59" s="15" t="str">
        <f t="shared" si="711"/>
        <v>MM_DCM_E</v>
      </c>
      <c r="PJ59" s="15" t="str">
        <f t="shared" si="711"/>
        <v>MM_DCM_E</v>
      </c>
      <c r="PK59" s="15" t="str">
        <f t="shared" si="711"/>
        <v>MM_DCM_E</v>
      </c>
      <c r="PL59" s="15" t="str">
        <f t="shared" si="711"/>
        <v>MM_DCM_E</v>
      </c>
      <c r="PM59" s="15" t="str">
        <f t="shared" si="711"/>
        <v>MM_DCM_E</v>
      </c>
      <c r="PN59" s="15" t="str">
        <f t="shared" si="711"/>
        <v>MM_DCM_E</v>
      </c>
      <c r="PO59" s="15" t="str">
        <f t="shared" si="711"/>
        <v>MM_DCM_E</v>
      </c>
      <c r="PP59" s="15" t="str">
        <f t="shared" si="711"/>
        <v>MM_DCM_E</v>
      </c>
      <c r="PQ59" s="15" t="str">
        <f t="shared" si="711"/>
        <v>MM_DCM_E</v>
      </c>
      <c r="PR59" s="15" t="str">
        <f t="shared" si="711"/>
        <v>MM_DCM_E</v>
      </c>
      <c r="PS59" s="15" t="str">
        <f t="shared" si="711"/>
        <v>MM_DCM_E</v>
      </c>
      <c r="PT59" s="15" t="str">
        <f t="shared" si="711"/>
        <v>MM_DCM_E</v>
      </c>
      <c r="PU59" s="15" t="str">
        <f t="shared" si="711"/>
        <v>MM_DCM_E</v>
      </c>
      <c r="PV59" s="15" t="str">
        <f t="shared" si="711"/>
        <v>MM_DCM_E</v>
      </c>
      <c r="PW59" s="15" t="str">
        <f t="shared" si="711"/>
        <v>MM_DCM_E</v>
      </c>
      <c r="PX59" s="15" t="str">
        <f t="shared" si="711"/>
        <v>MM_DCM_E</v>
      </c>
      <c r="PY59" s="15" t="str">
        <f t="shared" si="711"/>
        <v>MM_DCM_E</v>
      </c>
      <c r="PZ59" s="15" t="str">
        <f t="shared" si="711"/>
        <v>MM_DCM_E</v>
      </c>
      <c r="QA59" s="15" t="str">
        <f t="shared" si="711"/>
        <v>MM_DCM_E</v>
      </c>
      <c r="QB59" s="15" t="str">
        <f t="shared" si="711"/>
        <v>MM_DCM_E</v>
      </c>
      <c r="QC59" s="15" t="str">
        <f t="shared" ref="QC59" si="712">IF( OR(EXACT(QC58,"MM_SYSTEM_MODE_PUSHBACK_ATA_TAS_E"),EXACT(QC58,"MM_SYSTEM_MODE_PUSHBACK_ATA_BW_E"),EXACT(QC58,"MM_SYSTEM_MODE_MAINTENANCE_TOWING_E")),"MM_DCM_E", IF(OR( EXACT(QC58,"MM_SYSTEM_MODE_TURRET_STEER_E"), EXACT(QC58,"MM_SYSTEM_MODE_STEER_BY_WIRE_E")), "MM_PCM_E", "MM_NONE_E"))</f>
        <v>MM_DCM_E</v>
      </c>
      <c r="QD59" s="15" t="str">
        <f t="shared" si="711"/>
        <v>MM_DCM_E</v>
      </c>
      <c r="QE59" s="15" t="str">
        <f t="shared" ref="QE59" si="713">IF( OR(EXACT(QE58,"MM_SYSTEM_MODE_PUSHBACK_ATA_TAS_E"),EXACT(QE58,"MM_SYSTEM_MODE_PUSHBACK_ATA_BW_E"),EXACT(QE58,"MM_SYSTEM_MODE_MAINTENANCE_TOWING_E")),"MM_DCM_E", IF(OR( EXACT(QE58,"MM_SYSTEM_MODE_TURRET_STEER_E"), EXACT(QE58,"MM_SYSTEM_MODE_STEER_BY_WIRE_E")), "MM_PCM_E", "MM_NONE_E"))</f>
        <v>MM_DCM_E</v>
      </c>
      <c r="QF59" s="15" t="str">
        <f t="shared" si="711"/>
        <v>MM_DCM_E</v>
      </c>
      <c r="QG59" s="15" t="str">
        <f t="shared" si="711"/>
        <v>MM_DCM_E</v>
      </c>
      <c r="QH59" s="15" t="str">
        <f t="shared" si="711"/>
        <v>MM_DCM_E</v>
      </c>
      <c r="QI59" s="15" t="str">
        <f t="shared" ref="QI59:QK59" si="714">IF( OR(EXACT(QI58,"MM_SYSTEM_MODE_PUSHBACK_ATA_TAS_E"),EXACT(QI58,"MM_SYSTEM_MODE_PUSHBACK_ATA_BW_E"),EXACT(QI58,"MM_SYSTEM_MODE_MAINTENANCE_TOWING_E")),"MM_DCM_E", IF(OR( EXACT(QI58,"MM_SYSTEM_MODE_TURRET_STEER_E"), EXACT(QI58,"MM_SYSTEM_MODE_STEER_BY_WIRE_E")), "MM_PCM_E", "MM_NONE_E"))</f>
        <v>MM_DCM_E</v>
      </c>
      <c r="QJ59" s="15" t="str">
        <f t="shared" si="714"/>
        <v>MM_DCM_E</v>
      </c>
      <c r="QK59" s="15" t="str">
        <f t="shared" si="714"/>
        <v>MM_DCM_E</v>
      </c>
      <c r="QL59" s="15" t="str">
        <f t="shared" ref="QL59:QN59" si="715">IF( OR(EXACT(QL58,"MM_SYSTEM_MODE_PUSHBACK_ATA_TAS_E"),EXACT(QL58,"MM_SYSTEM_MODE_PUSHBACK_ATA_BW_E"),EXACT(QL58,"MM_SYSTEM_MODE_MAINTENANCE_TOWING_E")),"MM_DCM_E", IF(OR( EXACT(QL58,"MM_SYSTEM_MODE_TURRET_STEER_E"), EXACT(QL58,"MM_SYSTEM_MODE_STEER_BY_WIRE_E")), "MM_PCM_E", "MM_NONE_E"))</f>
        <v>MM_DCM_E</v>
      </c>
      <c r="QM59" s="15" t="str">
        <f t="shared" si="715"/>
        <v>MM_DCM_E</v>
      </c>
      <c r="QN59" s="15" t="str">
        <f t="shared" si="715"/>
        <v>MM_DCM_E</v>
      </c>
      <c r="QO59" s="15" t="str">
        <f t="shared" ref="QO59:QR59" si="716">IF( OR(EXACT(QO58,"MM_SYSTEM_MODE_PUSHBACK_ATA_TAS_E"),EXACT(QO58,"MM_SYSTEM_MODE_PUSHBACK_ATA_BW_E"),EXACT(QO58,"MM_SYSTEM_MODE_MAINTENANCE_TOWING_E")),"MM_DCM_E", IF(OR( EXACT(QO58,"MM_SYSTEM_MODE_TURRET_STEER_E"), EXACT(QO58,"MM_SYSTEM_MODE_STEER_BY_WIRE_E")), "MM_PCM_E", "MM_NONE_E"))</f>
        <v>MM_DCM_E</v>
      </c>
      <c r="QP59" s="15" t="str">
        <f t="shared" si="716"/>
        <v>MM_DCM_E</v>
      </c>
      <c r="QQ59" s="15" t="str">
        <f t="shared" si="716"/>
        <v>MM_DCM_E</v>
      </c>
      <c r="QR59" s="15" t="str">
        <f t="shared" si="716"/>
        <v>MM_DCM_E</v>
      </c>
      <c r="QS59" s="15" t="str">
        <f t="shared" ref="QS59" si="717">IF( OR(EXACT(QS58,"MM_SYSTEM_MODE_PUSHBACK_ATA_TAS_E"),EXACT(QS58,"MM_SYSTEM_MODE_PUSHBACK_ATA_BW_E"),EXACT(QS58,"MM_SYSTEM_MODE_MAINTENANCE_TOWING_E")),"MM_DCM_E", IF(OR( EXACT(QS58,"MM_SYSTEM_MODE_TURRET_STEER_E"), EXACT(QS58,"MM_SYSTEM_MODE_STEER_BY_WIRE_E")), "MM_PCM_E", "MM_NONE_E"))</f>
        <v>MM_DCM_E</v>
      </c>
      <c r="QT59" s="15" t="str">
        <f t="shared" ref="QT59:QV59" si="718">IF( OR(EXACT(QT58,"MM_SYSTEM_MODE_PUSHBACK_ATA_TAS_E"),EXACT(QT58,"MM_SYSTEM_MODE_PUSHBACK_ATA_BW_E"),EXACT(QT58,"MM_SYSTEM_MODE_MAINTENANCE_TOWING_E")),"MM_DCM_E", IF(OR( EXACT(QT58,"MM_SYSTEM_MODE_TURRET_STEER_E"), EXACT(QT58,"MM_SYSTEM_MODE_STEER_BY_WIRE_E")), "MM_PCM_E", "MM_NONE_E"))</f>
        <v>MM_DCM_E</v>
      </c>
      <c r="QU59" s="15" t="str">
        <f t="shared" ref="QU59" si="719">IF( OR(EXACT(QU58,"MM_SYSTEM_MODE_PUSHBACK_ATA_TAS_E"),EXACT(QU58,"MM_SYSTEM_MODE_PUSHBACK_ATA_BW_E"),EXACT(QU58,"MM_SYSTEM_MODE_MAINTENANCE_TOWING_E")),"MM_DCM_E", IF(OR( EXACT(QU58,"MM_SYSTEM_MODE_TURRET_STEER_E"), EXACT(QU58,"MM_SYSTEM_MODE_STEER_BY_WIRE_E")), "MM_PCM_E", "MM_NONE_E"))</f>
        <v>MM_DCM_E</v>
      </c>
      <c r="QV59" s="15" t="str">
        <f t="shared" si="718"/>
        <v>MM_DCM_E</v>
      </c>
      <c r="QW59" s="15" t="str">
        <f t="shared" ref="QW59:RD59" si="720">IF( OR(EXACT(QW58,"MM_SYSTEM_MODE_PUSHBACK_ATA_TAS_E"),EXACT(QW58,"MM_SYSTEM_MODE_PUSHBACK_ATA_BW_E"),EXACT(QW58,"MM_SYSTEM_MODE_MAINTENANCE_TOWING_E")),"MM_DCM_E", IF(OR( EXACT(QW58,"MM_SYSTEM_MODE_TURRET_STEER_E"), EXACT(QW58,"MM_SYSTEM_MODE_STEER_BY_WIRE_E")), "MM_PCM_E", "MM_NONE_E"))</f>
        <v>MM_DCM_E</v>
      </c>
      <c r="QX59" s="15" t="str">
        <f t="shared" si="720"/>
        <v>MM_DCM_E</v>
      </c>
      <c r="QY59" s="15" t="str">
        <f t="shared" si="720"/>
        <v>MM_DCM_E</v>
      </c>
      <c r="QZ59" s="15" t="str">
        <f t="shared" si="720"/>
        <v>MM_DCM_E</v>
      </c>
      <c r="RA59" s="15" t="str">
        <f t="shared" si="720"/>
        <v>MM_DCM_E</v>
      </c>
      <c r="RB59" s="15" t="str">
        <f t="shared" si="720"/>
        <v>MM_DCM_E</v>
      </c>
      <c r="RC59" s="15" t="str">
        <f t="shared" si="720"/>
        <v>MM_DCM_E</v>
      </c>
      <c r="RD59" s="15" t="str">
        <f t="shared" si="720"/>
        <v>MM_DCM_E</v>
      </c>
      <c r="RE59" s="15" t="str">
        <f t="shared" ref="RE59:RH59" si="721">IF( OR(EXACT(RE58,"MM_SYSTEM_MODE_PUSHBACK_ATA_TAS_E"),EXACT(RE58,"MM_SYSTEM_MODE_PUSHBACK_ATA_BW_E"),EXACT(RE58,"MM_SYSTEM_MODE_MAINTENANCE_TOWING_E")),"MM_DCM_E", IF(OR( EXACT(RE58,"MM_SYSTEM_MODE_TURRET_STEER_E"), EXACT(RE58,"MM_SYSTEM_MODE_STEER_BY_WIRE_E")), "MM_PCM_E", "MM_NONE_E"))</f>
        <v>MM_DCM_E</v>
      </c>
      <c r="RF59" s="15" t="str">
        <f t="shared" si="721"/>
        <v>MM_DCM_E</v>
      </c>
      <c r="RG59" s="15" t="str">
        <f t="shared" si="721"/>
        <v>MM_DCM_E</v>
      </c>
      <c r="RH59" s="15" t="str">
        <f t="shared" si="721"/>
        <v>MM_DCM_E</v>
      </c>
      <c r="RI59" s="15" t="str">
        <f t="shared" ref="RI59:RQ59" si="722">IF( OR(EXACT(RI58,"MM_SYSTEM_MODE_PUSHBACK_ATA_TAS_E"),EXACT(RI58,"MM_SYSTEM_MODE_PUSHBACK_ATA_BW_E"),EXACT(RI58,"MM_SYSTEM_MODE_MAINTENANCE_TOWING_E")),"MM_DCM_E", IF(OR( EXACT(RI58,"MM_SYSTEM_MODE_TURRET_STEER_E"), EXACT(RI58,"MM_SYSTEM_MODE_STEER_BY_WIRE_E")), "MM_PCM_E", "MM_NONE_E"))</f>
        <v>MM_DCM_E</v>
      </c>
      <c r="RJ59" s="15" t="str">
        <f t="shared" si="722"/>
        <v>MM_DCM_E</v>
      </c>
      <c r="RK59" s="15" t="str">
        <f t="shared" si="722"/>
        <v>MM_DCM_E</v>
      </c>
      <c r="RL59" s="15" t="str">
        <f t="shared" si="722"/>
        <v>MM_DCM_E</v>
      </c>
      <c r="RM59" s="15" t="str">
        <f t="shared" si="722"/>
        <v>MM_DCM_E</v>
      </c>
      <c r="RN59" s="15" t="str">
        <f t="shared" si="722"/>
        <v>MM_DCM_E</v>
      </c>
      <c r="RO59" s="15" t="str">
        <f t="shared" si="722"/>
        <v>MM_DCM_E</v>
      </c>
      <c r="RP59" s="15" t="str">
        <f t="shared" si="722"/>
        <v>MM_DCM_E</v>
      </c>
      <c r="RQ59" s="15" t="str">
        <f t="shared" si="722"/>
        <v>MM_DCM_E</v>
      </c>
      <c r="RR59" s="15" t="s">
        <v>93</v>
      </c>
      <c r="RS59" s="15"/>
      <c r="RT59" s="15" t="s">
        <v>93</v>
      </c>
      <c r="RU59" s="15" t="s">
        <v>93</v>
      </c>
      <c r="RV59" s="15" t="s">
        <v>93</v>
      </c>
      <c r="RW59" s="15" t="s">
        <v>93</v>
      </c>
      <c r="RX59" s="15" t="s">
        <v>93</v>
      </c>
      <c r="RY59" s="15" t="s">
        <v>93</v>
      </c>
      <c r="RZ59" s="15" t="s">
        <v>93</v>
      </c>
      <c r="SA59" s="15" t="str">
        <f t="shared" ref="SA59" si="723" xml:space="preserve"> IF( OR(EXACT(SA58, "MM_SYSTEM_MODE_PUSHBACK_ATA_TAS_E"), EXACT(SA58, "MM_SYSTEM_MODE_MAINTENANCE_TOWING_E"), EXACT(SA58, "MM_SYSTEM_MODE_PUSHBACK_ATA_BW_E")), "MM_DCM_E", IF( OR(EXACT(SA58,"MM_SYSTEM_MODE_TURRET_STEER_E"), EXACT(SA58,"MM_SYSTEM_MODE_STEER_BY_WIRE_E")), "MM_PCM_E", "MM_NONE_E" ) )</f>
        <v>MM_NONE_E</v>
      </c>
      <c r="SB59" s="15" t="s">
        <v>254</v>
      </c>
      <c r="SC59" s="15" t="str">
        <f>IF( OR(EXACT(SC58,"MM_SYSTEM_MODE_PUSHBACK_ATA_TAS_E"),EXACT(SC58,"MM_SYSTEM_MODE_PUSHBACK_ATA_BW_E"),EXACT(SC58,"MM_SYSTEM_MODE_MAINTENANCE_TOWING_E")),"MM_DCM_E", IF(OR( EXACT(SC58,"MM_SYSTEM_MODE_TURRET_STEER_E"), EXACT(SC58,"MM_SYSTEM_MODE_STEER_BY_WIRE_E")), "MM_PCM_E", "MM_NONE_E"))</f>
        <v>MM_DCM_E</v>
      </c>
      <c r="SD59" s="15" t="str">
        <f t="shared" ref="SD59:UP59" si="724">IF( OR(EXACT(SD58,"MM_SYSTEM_MODE_PUSHBACK_ATA_TAS_E"),EXACT(SD58,"MM_SYSTEM_MODE_PUSHBACK_ATA_BW_E"),EXACT(SD58,"MM_SYSTEM_MODE_MAINTENANCE_TOWING_E")),"MM_DCM_E", IF(OR( EXACT(SD58,"MM_SYSTEM_MODE_TURRET_STEER_E"), EXACT(SD58,"MM_SYSTEM_MODE_STEER_BY_WIRE_E")), "MM_PCM_E", "MM_NONE_E"))</f>
        <v>MM_DCM_E</v>
      </c>
      <c r="SE59" s="15" t="str">
        <f t="shared" si="724"/>
        <v>MM_DCM_E</v>
      </c>
      <c r="SF59" s="15" t="str">
        <f t="shared" si="724"/>
        <v>MM_DCM_E</v>
      </c>
      <c r="SG59" s="15" t="str">
        <f t="shared" si="724"/>
        <v>MM_DCM_E</v>
      </c>
      <c r="SH59" s="15" t="str">
        <f t="shared" si="724"/>
        <v>MM_DCM_E</v>
      </c>
      <c r="SI59" s="15" t="str">
        <f t="shared" si="724"/>
        <v>MM_DCM_E</v>
      </c>
      <c r="SJ59" s="15" t="str">
        <f t="shared" si="724"/>
        <v>MM_DCM_E</v>
      </c>
      <c r="SK59" s="15" t="str">
        <f t="shared" si="724"/>
        <v>MM_DCM_E</v>
      </c>
      <c r="SL59" s="15" t="str">
        <f t="shared" si="724"/>
        <v>MM_DCM_E</v>
      </c>
      <c r="SM59" s="15" t="str">
        <f t="shared" si="724"/>
        <v>MM_DCM_E</v>
      </c>
      <c r="SN59" s="15" t="str">
        <f t="shared" si="724"/>
        <v>MM_DCM_E</v>
      </c>
      <c r="SO59" s="15" t="str">
        <f t="shared" si="724"/>
        <v>MM_DCM_E</v>
      </c>
      <c r="SP59" s="15" t="str">
        <f t="shared" si="724"/>
        <v>MM_DCM_E</v>
      </c>
      <c r="SQ59" s="15" t="str">
        <f t="shared" si="724"/>
        <v>MM_DCM_E</v>
      </c>
      <c r="SR59" s="15" t="str">
        <f t="shared" si="724"/>
        <v>MM_DCM_E</v>
      </c>
      <c r="SS59" s="15" t="str">
        <f t="shared" si="724"/>
        <v>MM_DCM_E</v>
      </c>
      <c r="ST59" s="15" t="str">
        <f t="shared" si="724"/>
        <v>MM_DCM_E</v>
      </c>
      <c r="SU59" s="15" t="str">
        <f t="shared" si="724"/>
        <v>MM_DCM_E</v>
      </c>
      <c r="SV59" s="15" t="str">
        <f t="shared" si="724"/>
        <v>MM_DCM_E</v>
      </c>
      <c r="SW59" s="15" t="str">
        <f t="shared" si="724"/>
        <v>MM_DCM_E</v>
      </c>
      <c r="SX59" s="15" t="str">
        <f t="shared" si="724"/>
        <v>MM_DCM_E</v>
      </c>
      <c r="SY59" s="15" t="str">
        <f t="shared" si="724"/>
        <v>MM_DCM_E</v>
      </c>
      <c r="SZ59" s="15" t="str">
        <f t="shared" si="724"/>
        <v>MM_DCM_E</v>
      </c>
      <c r="TA59" s="15" t="str">
        <f t="shared" si="724"/>
        <v>MM_DCM_E</v>
      </c>
      <c r="TB59" s="15" t="str">
        <f t="shared" si="724"/>
        <v>MM_DCM_E</v>
      </c>
      <c r="TC59" s="15" t="str">
        <f t="shared" si="724"/>
        <v>MM_DCM_E</v>
      </c>
      <c r="TD59" s="15" t="str">
        <f t="shared" si="724"/>
        <v>MM_DCM_E</v>
      </c>
      <c r="TE59" s="15" t="str">
        <f t="shared" si="724"/>
        <v>MM_DCM_E</v>
      </c>
      <c r="TF59" s="15" t="str">
        <f t="shared" ref="TF59" si="725">IF( OR(EXACT(TF58,"MM_SYSTEM_MODE_PUSHBACK_ATA_TAS_E"),EXACT(TF58,"MM_SYSTEM_MODE_PUSHBACK_ATA_BW_E"),EXACT(TF58,"MM_SYSTEM_MODE_MAINTENANCE_TOWING_E")),"MM_DCM_E", IF(OR( EXACT(TF58,"MM_SYSTEM_MODE_TURRET_STEER_E"), EXACT(TF58,"MM_SYSTEM_MODE_STEER_BY_WIRE_E")), "MM_PCM_E", "MM_NONE_E"))</f>
        <v>MM_DCM_E</v>
      </c>
      <c r="TG59" s="15" t="str">
        <f t="shared" si="724"/>
        <v>MM_DCM_E</v>
      </c>
      <c r="TH59" s="15" t="str">
        <f t="shared" si="724"/>
        <v>MM_DCM_E</v>
      </c>
      <c r="TI59" s="15" t="str">
        <f t="shared" si="724"/>
        <v>MM_DCM_E</v>
      </c>
      <c r="TJ59" s="15" t="str">
        <f t="shared" si="724"/>
        <v>MM_DCM_E</v>
      </c>
      <c r="TK59" s="15" t="str">
        <f t="shared" si="724"/>
        <v>MM_DCM_E</v>
      </c>
      <c r="TL59" s="15" t="str">
        <f t="shared" si="724"/>
        <v>MM_DCM_E</v>
      </c>
      <c r="TM59" s="15" t="str">
        <f t="shared" si="724"/>
        <v>MM_DCM_E</v>
      </c>
      <c r="TN59" s="15" t="str">
        <f t="shared" si="724"/>
        <v>MM_DCM_E</v>
      </c>
      <c r="TO59" s="15" t="str">
        <f t="shared" si="724"/>
        <v>MM_DCM_E</v>
      </c>
      <c r="TP59" s="15" t="str">
        <f t="shared" si="724"/>
        <v>MM_DCM_E</v>
      </c>
      <c r="TQ59" s="15" t="str">
        <f t="shared" si="724"/>
        <v>MM_DCM_E</v>
      </c>
      <c r="TR59" s="15" t="str">
        <f t="shared" si="724"/>
        <v>MM_DCM_E</v>
      </c>
      <c r="TS59" s="15" t="str">
        <f t="shared" si="724"/>
        <v>MM_DCM_E</v>
      </c>
      <c r="TT59" s="15" t="str">
        <f t="shared" si="724"/>
        <v>MM_DCM_E</v>
      </c>
      <c r="TU59" s="15" t="str">
        <f t="shared" si="724"/>
        <v>MM_DCM_E</v>
      </c>
      <c r="TV59" s="15" t="str">
        <f t="shared" si="724"/>
        <v>MM_DCM_E</v>
      </c>
      <c r="TW59" s="15" t="str">
        <f t="shared" si="724"/>
        <v>MM_DCM_E</v>
      </c>
      <c r="TX59" s="15" t="str">
        <f t="shared" si="724"/>
        <v>MM_DCM_E</v>
      </c>
      <c r="TY59" s="15" t="str">
        <f t="shared" si="724"/>
        <v>MM_DCM_E</v>
      </c>
      <c r="TZ59" s="15" t="str">
        <f t="shared" si="724"/>
        <v>MM_DCM_E</v>
      </c>
      <c r="UA59" s="15" t="str">
        <f t="shared" si="724"/>
        <v>MM_DCM_E</v>
      </c>
      <c r="UB59" s="15" t="str">
        <f t="shared" si="724"/>
        <v>MM_DCM_E</v>
      </c>
      <c r="UC59" s="15" t="str">
        <f t="shared" si="724"/>
        <v>MM_DCM_E</v>
      </c>
      <c r="UD59" s="15" t="str">
        <f t="shared" si="724"/>
        <v>MM_DCM_E</v>
      </c>
      <c r="UE59" s="15" t="str">
        <f t="shared" si="724"/>
        <v>MM_DCM_E</v>
      </c>
      <c r="UF59" s="15" t="str">
        <f t="shared" si="724"/>
        <v>MM_DCM_E</v>
      </c>
      <c r="UG59" s="15" t="str">
        <f t="shared" si="724"/>
        <v>MM_DCM_E</v>
      </c>
      <c r="UH59" s="15" t="str">
        <f t="shared" si="724"/>
        <v>MM_DCM_E</v>
      </c>
      <c r="UI59" s="15" t="str">
        <f t="shared" si="724"/>
        <v>MM_DCM_E</v>
      </c>
      <c r="UJ59" s="15" t="str">
        <f t="shared" si="724"/>
        <v>MM_DCM_E</v>
      </c>
      <c r="UK59" s="15" t="str">
        <f t="shared" si="724"/>
        <v>MM_DCM_E</v>
      </c>
      <c r="UL59" s="15" t="str">
        <f t="shared" si="724"/>
        <v>MM_DCM_E</v>
      </c>
      <c r="UM59" s="15" t="str">
        <f t="shared" si="724"/>
        <v>MM_DCM_E</v>
      </c>
      <c r="UN59" s="15" t="str">
        <f t="shared" si="724"/>
        <v>MM_DCM_E</v>
      </c>
      <c r="UO59" s="15" t="str">
        <f t="shared" si="724"/>
        <v>MM_DCM_E</v>
      </c>
      <c r="UP59" s="15" t="str">
        <f t="shared" si="724"/>
        <v>MM_DCM_E</v>
      </c>
      <c r="UQ59" s="15" t="str">
        <f t="shared" ref="UQ59:VZ59" si="726">IF( OR(EXACT(UQ58,"MM_SYSTEM_MODE_PUSHBACK_ATA_TAS_E"),EXACT(UQ58,"MM_SYSTEM_MODE_PUSHBACK_ATA_BW_E"),EXACT(UQ58,"MM_SYSTEM_MODE_MAINTENANCE_TOWING_E")),"MM_DCM_E", IF(OR( EXACT(UQ58,"MM_SYSTEM_MODE_TURRET_STEER_E"), EXACT(UQ58,"MM_SYSTEM_MODE_STEER_BY_WIRE_E")), "MM_PCM_E", "MM_NONE_E"))</f>
        <v>MM_DCM_E</v>
      </c>
      <c r="UR59" s="15" t="str">
        <f t="shared" si="726"/>
        <v>MM_DCM_E</v>
      </c>
      <c r="US59" s="15" t="str">
        <f t="shared" si="726"/>
        <v>MM_DCM_E</v>
      </c>
      <c r="UT59" s="15" t="str">
        <f t="shared" si="726"/>
        <v>MM_DCM_E</v>
      </c>
      <c r="UU59" s="15" t="str">
        <f t="shared" si="726"/>
        <v>MM_DCM_E</v>
      </c>
      <c r="UV59" s="15" t="str">
        <f t="shared" si="726"/>
        <v>MM_DCM_E</v>
      </c>
      <c r="UW59" s="15" t="str">
        <f t="shared" si="726"/>
        <v>MM_DCM_E</v>
      </c>
      <c r="UX59" s="15" t="str">
        <f t="shared" si="726"/>
        <v>MM_DCM_E</v>
      </c>
      <c r="UY59" s="15" t="str">
        <f t="shared" si="726"/>
        <v>MM_DCM_E</v>
      </c>
      <c r="UZ59" s="15" t="str">
        <f t="shared" si="726"/>
        <v>MM_DCM_E</v>
      </c>
      <c r="VA59" s="15" t="str">
        <f t="shared" si="726"/>
        <v>MM_DCM_E</v>
      </c>
      <c r="VB59" s="15" t="str">
        <f t="shared" si="726"/>
        <v>MM_DCM_E</v>
      </c>
      <c r="VC59" s="15" t="str">
        <f t="shared" si="726"/>
        <v>MM_DCM_E</v>
      </c>
      <c r="VD59" s="15" t="str">
        <f t="shared" si="726"/>
        <v>MM_DCM_E</v>
      </c>
      <c r="VE59" s="15" t="str">
        <f t="shared" si="726"/>
        <v>MM_DCM_E</v>
      </c>
      <c r="VF59" s="15" t="str">
        <f t="shared" si="726"/>
        <v>MM_DCM_E</v>
      </c>
      <c r="VG59" s="15" t="str">
        <f t="shared" si="726"/>
        <v>MM_DCM_E</v>
      </c>
      <c r="VH59" s="15" t="str">
        <f t="shared" si="726"/>
        <v>MM_DCM_E</v>
      </c>
      <c r="VI59" s="15" t="str">
        <f t="shared" si="726"/>
        <v>MM_DCM_E</v>
      </c>
      <c r="VJ59" s="15" t="str">
        <f t="shared" si="726"/>
        <v>MM_DCM_E</v>
      </c>
      <c r="VK59" s="15" t="str">
        <f t="shared" si="726"/>
        <v>MM_DCM_E</v>
      </c>
      <c r="VL59" s="15" t="str">
        <f t="shared" si="726"/>
        <v>MM_DCM_E</v>
      </c>
      <c r="VM59" s="15" t="str">
        <f t="shared" si="726"/>
        <v>MM_DCM_E</v>
      </c>
      <c r="VN59" s="15" t="str">
        <f t="shared" si="726"/>
        <v>MM_DCM_E</v>
      </c>
      <c r="VO59" s="15" t="str">
        <f t="shared" si="726"/>
        <v>MM_DCM_E</v>
      </c>
      <c r="VP59" s="15" t="str">
        <f t="shared" si="726"/>
        <v>MM_DCM_E</v>
      </c>
      <c r="VQ59" s="15" t="str">
        <f t="shared" si="726"/>
        <v>MM_DCM_E</v>
      </c>
      <c r="VR59" s="15" t="str">
        <f t="shared" si="726"/>
        <v>MM_DCM_E</v>
      </c>
      <c r="VS59" s="15" t="str">
        <f t="shared" si="726"/>
        <v>MM_DCM_E</v>
      </c>
      <c r="VT59" s="15" t="str">
        <f t="shared" si="726"/>
        <v>MM_DCM_E</v>
      </c>
      <c r="VU59" s="15" t="str">
        <f t="shared" si="726"/>
        <v>MM_DCM_E</v>
      </c>
      <c r="VV59" s="15" t="str">
        <f t="shared" si="726"/>
        <v>MM_DCM_E</v>
      </c>
      <c r="VW59" s="15" t="str">
        <f t="shared" si="726"/>
        <v>MM_DCM_E</v>
      </c>
      <c r="VX59" s="15" t="str">
        <f t="shared" si="726"/>
        <v>MM_DCM_E</v>
      </c>
      <c r="VY59" s="15" t="str">
        <f t="shared" si="726"/>
        <v>MM_DCM_E</v>
      </c>
      <c r="VZ59" s="15" t="str">
        <f t="shared" si="726"/>
        <v>MM_DCM_E</v>
      </c>
      <c r="WA59" s="15" t="s">
        <v>93</v>
      </c>
      <c r="WB59" s="15" t="str">
        <f t="shared" ref="WB59:WD59" si="727" xml:space="preserve"> IF( OR(EXACT(WB58, "MM_SYSTEM_MODE_PUSHBACK_ATA_TAS_E"), EXACT(WB58, "MM_SYSTEM_MODE_MAINTENANCE_TOWING_E"), EXACT(WB58, "MM_SYSTEM_MODE_PUSHBACK_ATA_BW_E")), "MM_DCM_E", IF( OR(EXACT(WB58,"MM_SYSTEM_MODE_TURRET_STEER_E"), EXACT(WB58,"MM_SYSTEM_MODE_STEER_BY_WIRE_E")), "MM_PCM_E", "MM_NONE_E" ) )</f>
        <v>MM_NONE_E</v>
      </c>
      <c r="WC59" s="15" t="str">
        <f t="shared" si="727"/>
        <v>MM_NONE_E</v>
      </c>
      <c r="WD59" s="15" t="str">
        <f t="shared" si="727"/>
        <v>MM_DCM_E</v>
      </c>
      <c r="WE59" s="15" t="str">
        <f t="shared" ref="WE59:WV59" si="728" xml:space="preserve"> IF( OR(EXACT(WE58, "MM_SYSTEM_MODE_PUSHBACK_ATA_TAS_E"), EXACT(WE58, "MM_SYSTEM_MODE_MAINTENANCE_TOWING_E"), EXACT(WE58, "MM_SYSTEM_MODE_PUSHBACK_ATA_BW_E")), "MM_DCM_E", IF( OR(EXACT(WE58,"MM_SYSTEM_MODE_TURRET_STEER_E"), EXACT(WE58,"MM_SYSTEM_MODE_STEER_BY_WIRE_E")), "MM_PCM_E", "MM_NONE_E" ) )</f>
        <v>MM_DCM_E</v>
      </c>
      <c r="WF59" s="15" t="str">
        <f t="shared" si="728"/>
        <v>MM_DCM_E</v>
      </c>
      <c r="WG59" s="15" t="str">
        <f t="shared" si="728"/>
        <v>MM_DCM_E</v>
      </c>
      <c r="WH59" s="15" t="str">
        <f t="shared" si="728"/>
        <v>MM_DCM_E</v>
      </c>
      <c r="WI59" s="15" t="str">
        <f t="shared" si="728"/>
        <v>MM_DCM_E</v>
      </c>
      <c r="WJ59" s="15" t="str">
        <f t="shared" si="728"/>
        <v>MM_DCM_E</v>
      </c>
      <c r="WK59" s="15" t="str">
        <f t="shared" si="728"/>
        <v>MM_DCM_E</v>
      </c>
      <c r="WL59" s="15" t="str">
        <f t="shared" si="728"/>
        <v>MM_DCM_E</v>
      </c>
      <c r="WM59" s="15" t="str">
        <f t="shared" si="728"/>
        <v>MM_DCM_E</v>
      </c>
      <c r="WN59" s="15" t="str">
        <f t="shared" si="728"/>
        <v>MM_DCM_E</v>
      </c>
      <c r="WO59" s="15" t="str">
        <f t="shared" si="728"/>
        <v>MM_DCM_E</v>
      </c>
      <c r="WP59" s="15" t="str">
        <f t="shared" ref="WP59:WR59" si="729" xml:space="preserve"> IF( OR(EXACT(WP58, "MM_SYSTEM_MODE_PUSHBACK_ATA_TAS_E"), EXACT(WP58, "MM_SYSTEM_MODE_MAINTENANCE_TOWING_E"), EXACT(WP58, "MM_SYSTEM_MODE_PUSHBACK_ATA_BW_E")), "MM_DCM_E", IF( OR(EXACT(WP58,"MM_SYSTEM_MODE_TURRET_STEER_E"), EXACT(WP58,"MM_SYSTEM_MODE_STEER_BY_WIRE_E")), "MM_PCM_E", "MM_NONE_E" ) )</f>
        <v>MM_DCM_E</v>
      </c>
      <c r="WQ59" s="15" t="str">
        <f t="shared" si="728"/>
        <v>MM_DCM_E</v>
      </c>
      <c r="WR59" s="15" t="str">
        <f t="shared" si="729"/>
        <v>MM_DCM_E</v>
      </c>
      <c r="WS59" s="15" t="str">
        <f t="shared" si="728"/>
        <v>MM_DCM_E</v>
      </c>
      <c r="WT59" s="15" t="str">
        <f t="shared" si="728"/>
        <v>MM_DCM_E</v>
      </c>
      <c r="WU59" s="15" t="str">
        <f t="shared" si="728"/>
        <v>MM_DCM_E</v>
      </c>
      <c r="WV59" s="15" t="str">
        <f t="shared" si="728"/>
        <v>MM_DCM_E</v>
      </c>
      <c r="WW59" s="15" t="str">
        <f t="shared" ref="WW59:WX59" si="730" xml:space="preserve"> IF( OR(EXACT(WW58, "MM_SYSTEM_MODE_PUSHBACK_ATA_TAS_E"), EXACT(WW58, "MM_SYSTEM_MODE_MAINTENANCE_TOWING_E"), EXACT(WW58, "MM_SYSTEM_MODE_PUSHBACK_ATA_BW_E")), "MM_DCM_E", IF( OR(EXACT(WW58,"MM_SYSTEM_MODE_TURRET_STEER_E"), EXACT(WW58,"MM_SYSTEM_MODE_STEER_BY_WIRE_E")), "MM_PCM_E", "MM_NONE_E" ) )</f>
        <v>MM_DCM_E</v>
      </c>
      <c r="WX59" s="15" t="str">
        <f t="shared" si="730"/>
        <v>MM_DCM_E</v>
      </c>
      <c r="WY59" s="15" t="str">
        <f t="shared" ref="WY59:XC59" si="731" xml:space="preserve"> IF( OR(EXACT(WY58, "MM_SYSTEM_MODE_PUSHBACK_ATA_TAS_E"), EXACT(WY58, "MM_SYSTEM_MODE_MAINTENANCE_TOWING_E"), EXACT(WY58, "MM_SYSTEM_MODE_PUSHBACK_ATA_BW_E")), "MM_DCM_E", IF( OR(EXACT(WY58,"MM_SYSTEM_MODE_TURRET_STEER_E"), EXACT(WY58,"MM_SYSTEM_MODE_STEER_BY_WIRE_E")), "MM_PCM_E", "MM_NONE_E" ) )</f>
        <v>MM_DCM_E</v>
      </c>
      <c r="WZ59" s="15" t="str">
        <f t="shared" si="731"/>
        <v>MM_DCM_E</v>
      </c>
      <c r="XA59" s="15" t="str">
        <f t="shared" si="731"/>
        <v>MM_DCM_E</v>
      </c>
      <c r="XB59" s="15" t="str">
        <f t="shared" si="731"/>
        <v>MM_DCM_E</v>
      </c>
      <c r="XC59" s="15" t="str">
        <f t="shared" si="731"/>
        <v>MM_DCM_E</v>
      </c>
      <c r="XD59" s="15" t="str">
        <f t="shared" ref="XD59:XE59" si="732" xml:space="preserve"> IF( OR(EXACT(XD58, "MM_SYSTEM_MODE_PUSHBACK_ATA_TAS_E"), EXACT(XD58, "MM_SYSTEM_MODE_MAINTENANCE_TOWING_E"), EXACT(XD58, "MM_SYSTEM_MODE_PUSHBACK_ATA_BW_E")), "MM_DCM_E", IF( OR(EXACT(XD58,"MM_SYSTEM_MODE_TURRET_STEER_E"), EXACT(XD58,"MM_SYSTEM_MODE_STEER_BY_WIRE_E")), "MM_PCM_E", "MM_NONE_E" ) )</f>
        <v>MM_DCM_E</v>
      </c>
      <c r="XE59" s="15" t="str">
        <f t="shared" si="732"/>
        <v>MM_DCM_E</v>
      </c>
      <c r="XF59" s="15" t="str">
        <f t="shared" ref="XF59:XI59" si="733" xml:space="preserve"> IF( OR(EXACT(XF58, "MM_SYSTEM_MODE_PUSHBACK_ATA_TAS_E"), EXACT(XF58, "MM_SYSTEM_MODE_MAINTENANCE_TOWING_E"), EXACT(XF58, "MM_SYSTEM_MODE_PUSHBACK_ATA_BW_E")), "MM_DCM_E", IF( OR(EXACT(XF58,"MM_SYSTEM_MODE_TURRET_STEER_E"), EXACT(XF58,"MM_SYSTEM_MODE_STEER_BY_WIRE_E")), "MM_PCM_E", "MM_NONE_E" ) )</f>
        <v>MM_DCM_E</v>
      </c>
      <c r="XG59" s="15" t="str">
        <f t="shared" si="733"/>
        <v>MM_DCM_E</v>
      </c>
      <c r="XH59" s="15" t="str">
        <f t="shared" si="733"/>
        <v>MM_DCM_E</v>
      </c>
      <c r="XI59" s="15" t="str">
        <f t="shared" si="733"/>
        <v>MM_DCM_E</v>
      </c>
      <c r="XJ59" s="15" t="str">
        <f t="shared" ref="XJ59:YE59" si="734">IF( OR(EXACT(XJ58,"MM_SYSTEM_MODE_PUSHBACK_ATA_TAS_E"),EXACT(XJ58,"MM_SYSTEM_MODE_PUSHBACK_ATA_BW_E"),EXACT(XJ58,"MM_SYSTEM_MODE_MAINTENANCE_TOWING_E")),"MM_DCM_E", IF(OR( EXACT(XJ58,"MM_SYSTEM_MODE_TURRET_STEER_E"), EXACT(XJ58,"MM_SYSTEM_MODE_STEER_BY_WIRE_E")), "MM_PCM_E", "MM_NONE_E"))</f>
        <v>MM_DCM_E</v>
      </c>
      <c r="XK59" s="15" t="str">
        <f t="shared" si="734"/>
        <v>MM_DCM_E</v>
      </c>
      <c r="XL59" s="15" t="str">
        <f t="shared" si="734"/>
        <v>MM_DCM_E</v>
      </c>
      <c r="XM59" s="15" t="str">
        <f t="shared" si="734"/>
        <v>MM_DCM_E</v>
      </c>
      <c r="XN59" s="15" t="str">
        <f t="shared" si="734"/>
        <v>MM_DCM_E</v>
      </c>
      <c r="XO59" s="15" t="str">
        <f t="shared" si="734"/>
        <v>MM_DCM_E</v>
      </c>
      <c r="XP59" s="15" t="str">
        <f t="shared" si="734"/>
        <v>MM_DCM_E</v>
      </c>
      <c r="XQ59" s="15" t="str">
        <f t="shared" si="734"/>
        <v>MM_DCM_E</v>
      </c>
      <c r="XR59" s="15" t="str">
        <f t="shared" si="734"/>
        <v>MM_DCM_E</v>
      </c>
      <c r="XS59" s="15" t="str">
        <f t="shared" si="734"/>
        <v>MM_DCM_E</v>
      </c>
      <c r="XT59" s="15" t="str">
        <f t="shared" si="734"/>
        <v>MM_DCM_E</v>
      </c>
      <c r="XU59" s="15" t="str">
        <f t="shared" si="734"/>
        <v>MM_DCM_E</v>
      </c>
      <c r="XV59" s="15" t="str">
        <f t="shared" si="734"/>
        <v>MM_DCM_E</v>
      </c>
      <c r="XW59" s="15" t="str">
        <f t="shared" si="734"/>
        <v>MM_DCM_E</v>
      </c>
      <c r="XX59" s="15" t="str">
        <f t="shared" si="734"/>
        <v>MM_DCM_E</v>
      </c>
      <c r="XY59" s="15" t="str">
        <f t="shared" si="734"/>
        <v>MM_DCM_E</v>
      </c>
      <c r="XZ59" s="15" t="str">
        <f t="shared" si="734"/>
        <v>MM_DCM_E</v>
      </c>
      <c r="YA59" s="15" t="str">
        <f t="shared" si="734"/>
        <v>MM_DCM_E</v>
      </c>
      <c r="YB59" s="15" t="str">
        <f t="shared" si="734"/>
        <v>MM_DCM_E</v>
      </c>
      <c r="YC59" s="15" t="str">
        <f t="shared" si="734"/>
        <v>MM_DCM_E</v>
      </c>
      <c r="YD59" s="15" t="str">
        <f t="shared" si="734"/>
        <v>MM_DCM_E</v>
      </c>
      <c r="YE59" s="15" t="str">
        <f t="shared" si="734"/>
        <v>MM_DCM_E</v>
      </c>
      <c r="YF59" s="15" t="str">
        <f t="shared" ref="YF59:ZA59" si="735">IF( OR(EXACT(YF58,"MM_SYSTEM_MODE_PUSHBACK_ATA_TAS_E"),EXACT(YF58,"MM_SYSTEM_MODE_PUSHBACK_ATA_BW_E"),EXACT(YF58,"MM_SYSTEM_MODE_MAINTENANCE_TOWING_E")),"MM_DCM_E", IF(OR( EXACT(YF58,"MM_SYSTEM_MODE_TURRET_STEER_E"), EXACT(YF58,"MM_SYSTEM_MODE_STEER_BY_WIRE_E")), "MM_PCM_E", "MM_NONE_E"))</f>
        <v>MM_DCM_E</v>
      </c>
      <c r="YG59" s="15" t="str">
        <f t="shared" si="735"/>
        <v>MM_DCM_E</v>
      </c>
      <c r="YH59" s="15" t="str">
        <f t="shared" si="735"/>
        <v>MM_DCM_E</v>
      </c>
      <c r="YI59" s="15" t="str">
        <f t="shared" si="735"/>
        <v>MM_DCM_E</v>
      </c>
      <c r="YJ59" s="15" t="str">
        <f t="shared" si="735"/>
        <v>MM_DCM_E</v>
      </c>
      <c r="YK59" s="15" t="str">
        <f t="shared" si="735"/>
        <v>MM_DCM_E</v>
      </c>
      <c r="YL59" s="15" t="str">
        <f t="shared" si="735"/>
        <v>MM_DCM_E</v>
      </c>
      <c r="YM59" s="15" t="str">
        <f t="shared" si="735"/>
        <v>MM_DCM_E</v>
      </c>
      <c r="YN59" s="15" t="str">
        <f t="shared" si="735"/>
        <v>MM_DCM_E</v>
      </c>
      <c r="YO59" s="15" t="str">
        <f t="shared" si="735"/>
        <v>MM_DCM_E</v>
      </c>
      <c r="YP59" s="15" t="str">
        <f t="shared" si="735"/>
        <v>MM_DCM_E</v>
      </c>
      <c r="YQ59" s="15" t="str">
        <f t="shared" si="735"/>
        <v>MM_DCM_E</v>
      </c>
      <c r="YR59" s="15" t="str">
        <f t="shared" si="735"/>
        <v>MM_DCM_E</v>
      </c>
      <c r="YS59" s="15" t="str">
        <f t="shared" si="735"/>
        <v>MM_DCM_E</v>
      </c>
      <c r="YT59" s="15" t="str">
        <f t="shared" si="735"/>
        <v>MM_DCM_E</v>
      </c>
      <c r="YU59" s="15" t="str">
        <f t="shared" si="735"/>
        <v>MM_DCM_E</v>
      </c>
      <c r="YV59" s="15" t="str">
        <f t="shared" si="735"/>
        <v>MM_DCM_E</v>
      </c>
      <c r="YW59" s="15" t="str">
        <f t="shared" si="735"/>
        <v>MM_DCM_E</v>
      </c>
      <c r="YX59" s="15" t="str">
        <f t="shared" si="735"/>
        <v>MM_DCM_E</v>
      </c>
      <c r="YY59" s="15" t="str">
        <f t="shared" si="735"/>
        <v>MM_DCM_E</v>
      </c>
      <c r="YZ59" s="15" t="str">
        <f t="shared" si="735"/>
        <v>MM_DCM_E</v>
      </c>
      <c r="ZA59" s="15" t="str">
        <f t="shared" si="735"/>
        <v>MM_DCM_E</v>
      </c>
      <c r="ZB59" s="15" t="str">
        <f t="shared" ref="ZB59:ZJ59" si="736">IF( OR(EXACT(ZB58,"MM_SYSTEM_MODE_PUSHBACK_ATA_TAS_E"),EXACT(ZB58,"MM_SYSTEM_MODE_PUSHBACK_ATA_BW_E"),EXACT(ZB58,"MM_SYSTEM_MODE_MAINTENANCE_TOWING_E")),"MM_DCM_E", IF(OR( EXACT(ZB58,"MM_SYSTEM_MODE_TURRET_STEER_E"), EXACT(ZB58,"MM_SYSTEM_MODE_STEER_BY_WIRE_E")), "MM_PCM_E", "MM_NONE_E"))</f>
        <v>MM_DCM_E</v>
      </c>
      <c r="ZC59" s="15" t="str">
        <f t="shared" si="736"/>
        <v>MM_DCM_E</v>
      </c>
      <c r="ZD59" s="15" t="str">
        <f t="shared" si="736"/>
        <v>MM_DCM_E</v>
      </c>
      <c r="ZE59" s="15" t="str">
        <f t="shared" si="736"/>
        <v>MM_DCM_E</v>
      </c>
      <c r="ZF59" s="15" t="str">
        <f t="shared" si="736"/>
        <v>MM_DCM_E</v>
      </c>
      <c r="ZG59" s="15" t="str">
        <f t="shared" si="736"/>
        <v>MM_DCM_E</v>
      </c>
      <c r="ZH59" s="15" t="str">
        <f t="shared" si="736"/>
        <v>MM_DCM_E</v>
      </c>
      <c r="ZI59" s="15" t="str">
        <f t="shared" si="736"/>
        <v>MM_DCM_E</v>
      </c>
      <c r="ZJ59" s="15" t="str">
        <f t="shared" si="736"/>
        <v>MM_DCM_E</v>
      </c>
      <c r="ZK59" s="15" t="s">
        <v>93</v>
      </c>
      <c r="ZL59" s="15" t="s">
        <v>93</v>
      </c>
      <c r="ZM59" s="15" t="s">
        <v>93</v>
      </c>
      <c r="ZN59" s="15" t="s">
        <v>93</v>
      </c>
      <c r="ZO59" s="15" t="s">
        <v>93</v>
      </c>
      <c r="ZP59" s="15" t="s">
        <v>254</v>
      </c>
      <c r="ZQ59" s="15" t="s">
        <v>254</v>
      </c>
      <c r="ZR59" s="15" t="s">
        <v>93</v>
      </c>
      <c r="ZS59" s="15" t="s">
        <v>93</v>
      </c>
      <c r="ZT59" s="15" t="s">
        <v>93</v>
      </c>
      <c r="ZU59" s="15" t="s">
        <v>93</v>
      </c>
      <c r="ZV59" s="15" t="s">
        <v>93</v>
      </c>
      <c r="ZW59" s="15" t="s">
        <v>254</v>
      </c>
      <c r="ZX59" s="15" t="s">
        <v>254</v>
      </c>
      <c r="ZY59" s="15" t="s">
        <v>93</v>
      </c>
      <c r="ZZ59" s="15" t="s">
        <v>93</v>
      </c>
      <c r="AAA59" s="15" t="s">
        <v>93</v>
      </c>
      <c r="AAB59" s="15" t="s">
        <v>93</v>
      </c>
      <c r="AAC59" s="15" t="s">
        <v>93</v>
      </c>
      <c r="AAD59" s="15" t="s">
        <v>254</v>
      </c>
      <c r="AAE59" s="15" t="s">
        <v>254</v>
      </c>
      <c r="AAF59" s="15" t="s">
        <v>254</v>
      </c>
      <c r="AAG59" s="15" t="s">
        <v>254</v>
      </c>
      <c r="AAH59" s="15" t="s">
        <v>254</v>
      </c>
      <c r="AAI59" s="15" t="s">
        <v>254</v>
      </c>
      <c r="AAJ59" s="15" t="str">
        <f>IF(OR(EXACT(AAJ58,"MM_SYSTEM_MODE_STEER_BY_WIRE_E"),EXACT(AAJ58,"MM_SYSTEM_MODE_TURRET_STEER_E")),"MM_PCM_E","------------")</f>
        <v>MM_PCM_E</v>
      </c>
      <c r="AAK59" s="15" t="s">
        <v>93</v>
      </c>
      <c r="AAL59" s="15"/>
      <c r="AAM59" s="15" t="s">
        <v>93</v>
      </c>
      <c r="AAN59" s="15" t="s">
        <v>93</v>
      </c>
      <c r="AAO59" s="15" t="s">
        <v>93</v>
      </c>
      <c r="AAP59" s="15" t="s">
        <v>93</v>
      </c>
      <c r="AAQ59" s="15" t="s">
        <v>93</v>
      </c>
      <c r="AAR59" s="15" t="s">
        <v>93</v>
      </c>
      <c r="AAS59" s="15" t="s">
        <v>93</v>
      </c>
      <c r="AAT59" s="15" t="str">
        <f t="shared" ref="AAT59" si="737" xml:space="preserve"> IF( OR(EXACT(AAT58, "MM_SYSTEM_MODE_PUSHBACK_ATA_TAS_E"), EXACT(AAT58, "MM_SYSTEM_MODE_MAINTENANCE_TOWING_E"), EXACT(AAT58, "MM_SYSTEM_MODE_PUSHBACK_ATA_BW_E")), "MM_DCM_E", IF( OR(EXACT(AAT58,"MM_SYSTEM_MODE_TURRET_STEER_E"), EXACT(AAT58,"MM_SYSTEM_MODE_STEER_BY_WIRE_E")), "MM_PCM_E", "MM_NONE_E" ) )</f>
        <v>MM_NONE_E</v>
      </c>
      <c r="AAU59" s="15" t="s">
        <v>254</v>
      </c>
      <c r="AAV59" s="15" t="str">
        <f>IF(OR(EXACT(AAV58,"MM_SYSTEM_MODE_STEER_BY_WIRE_E"),EXACT(AAV58,"MM_SYSTEM_MODE_TURRET_STEER_E")),"MM_PCM_E","------------")</f>
        <v>MM_PCM_E</v>
      </c>
      <c r="AAW59" s="15" t="s">
        <v>93</v>
      </c>
      <c r="AAX59" s="15"/>
      <c r="AAY59" s="15" t="s">
        <v>93</v>
      </c>
      <c r="AAZ59" s="15" t="s">
        <v>93</v>
      </c>
      <c r="ABA59" s="15" t="s">
        <v>93</v>
      </c>
      <c r="ABB59" s="15" t="s">
        <v>93</v>
      </c>
      <c r="ABC59" s="15" t="s">
        <v>93</v>
      </c>
      <c r="ABD59" s="15" t="s">
        <v>93</v>
      </c>
      <c r="ABE59" s="15" t="s">
        <v>93</v>
      </c>
      <c r="ABF59" s="15" t="str">
        <f t="shared" ref="ABF59" si="738" xml:space="preserve"> IF( OR(EXACT(ABF58, "MM_SYSTEM_MODE_PUSHBACK_ATA_TAS_E"), EXACT(ABF58, "MM_SYSTEM_MODE_MAINTENANCE_TOWING_E"), EXACT(ABF58, "MM_SYSTEM_MODE_PUSHBACK_ATA_BW_E")), "MM_DCM_E", IF( OR(EXACT(ABF58,"MM_SYSTEM_MODE_TURRET_STEER_E"), EXACT(ABF58,"MM_SYSTEM_MODE_STEER_BY_WIRE_E")), "MM_PCM_E", "MM_NONE_E" ) )</f>
        <v>MM_NONE_E</v>
      </c>
      <c r="ABG59" s="15" t="s">
        <v>254</v>
      </c>
      <c r="ABH59" s="15" t="str">
        <f>IF(OR(EXACT(ABH58,"MM_SYSTEM_MODE_STEER_BY_WIRE_E"),EXACT(ABH58,"MM_SYSTEM_MODE_TURRET_STEER_E")),"MM_PCM_E","------------")</f>
        <v>MM_PCM_E</v>
      </c>
      <c r="ABI59" s="15" t="str">
        <f t="shared" ref="ABI59:ABJ59" si="739">IF(OR(EXACT(ABI58,"MM_SYSTEM_MODE_STEER_BY_WIRE_E"),EXACT(ABI58,"MM_SYSTEM_MODE_TURRET_STEER_E")),"MM_PCM_E","------------")</f>
        <v>MM_PCM_E</v>
      </c>
      <c r="ABJ59" s="15" t="str">
        <f t="shared" si="739"/>
        <v>MM_PCM_E</v>
      </c>
      <c r="ABK59" s="15" t="str">
        <f>IF(OR(EXACT(ABK58,"MM_SYSTEM_MODE_STEER_BY_WIRE_E"),EXACT(ABK58,"MM_SYSTEM_MODE_TURRET_STEER_E")),"MM_PCM_E","------------")</f>
        <v>MM_PCM_E</v>
      </c>
      <c r="ABL59" s="15" t="str">
        <f t="shared" ref="ABL59:ACH59" si="740">IF(OR(EXACT(ABL58,"MM_SYSTEM_MODE_STEER_BY_WIRE_E"),EXACT(ABL58,"MM_SYSTEM_MODE_TURRET_STEER_E")),"MM_PCM_E","------------")</f>
        <v>MM_PCM_E</v>
      </c>
      <c r="ABM59" s="15" t="str">
        <f t="shared" si="740"/>
        <v>MM_PCM_E</v>
      </c>
      <c r="ABN59" s="15" t="str">
        <f t="shared" si="740"/>
        <v>MM_PCM_E</v>
      </c>
      <c r="ABO59" s="15" t="str">
        <f t="shared" si="740"/>
        <v>MM_PCM_E</v>
      </c>
      <c r="ABP59" s="15" t="str">
        <f t="shared" si="740"/>
        <v>MM_PCM_E</v>
      </c>
      <c r="ABQ59" s="15" t="str">
        <f t="shared" si="740"/>
        <v>MM_PCM_E</v>
      </c>
      <c r="ABR59" s="15" t="str">
        <f t="shared" si="740"/>
        <v>MM_PCM_E</v>
      </c>
      <c r="ABS59" s="15" t="str">
        <f t="shared" si="740"/>
        <v>MM_PCM_E</v>
      </c>
      <c r="ABT59" s="15" t="str">
        <f t="shared" si="740"/>
        <v>MM_PCM_E</v>
      </c>
      <c r="ABU59" s="15" t="str">
        <f t="shared" si="740"/>
        <v>MM_PCM_E</v>
      </c>
      <c r="ABV59" s="15" t="str">
        <f t="shared" si="740"/>
        <v>MM_PCM_E</v>
      </c>
      <c r="ABW59" s="15" t="str">
        <f t="shared" si="740"/>
        <v>MM_PCM_E</v>
      </c>
      <c r="ABX59" s="15" t="str">
        <f t="shared" si="740"/>
        <v>MM_PCM_E</v>
      </c>
      <c r="ABY59" s="15" t="str">
        <f t="shared" si="740"/>
        <v>MM_PCM_E</v>
      </c>
      <c r="ABZ59" s="15" t="str">
        <f t="shared" si="740"/>
        <v>MM_PCM_E</v>
      </c>
      <c r="ACA59" s="15" t="str">
        <f t="shared" si="740"/>
        <v>MM_PCM_E</v>
      </c>
      <c r="ACB59" s="15" t="str">
        <f t="shared" si="740"/>
        <v>MM_PCM_E</v>
      </c>
      <c r="ACC59" s="15" t="str">
        <f t="shared" si="740"/>
        <v>MM_PCM_E</v>
      </c>
      <c r="ACD59" s="15" t="str">
        <f t="shared" si="740"/>
        <v>MM_PCM_E</v>
      </c>
      <c r="ACE59" s="15" t="str">
        <f t="shared" si="740"/>
        <v>MM_PCM_E</v>
      </c>
      <c r="ACF59" s="15" t="str">
        <f t="shared" si="740"/>
        <v>MM_PCM_E</v>
      </c>
      <c r="ACG59" s="15" t="str">
        <f t="shared" si="740"/>
        <v>MM_PCM_E</v>
      </c>
      <c r="ACH59" s="15" t="str">
        <f t="shared" si="740"/>
        <v>MM_PCM_E</v>
      </c>
      <c r="ACI59" s="15" t="str">
        <f t="shared" ref="ACI59" si="741">IF(OR(EXACT(ACI58,"MM_SYSTEM_MODE_STEER_BY_WIRE_E"),EXACT(ACI58,"MM_SYSTEM_MODE_TURRET_STEER_E")),"MM_PCM_E","------------")</f>
        <v>MM_PCM_E</v>
      </c>
      <c r="ACJ59" s="15" t="str">
        <f t="shared" ref="ACJ59" si="742">IF(OR(EXACT(ACJ58,"MM_SYSTEM_MODE_STEER_BY_WIRE_E"),EXACT(ACJ58,"MM_SYSTEM_MODE_TURRET_STEER_E")),"MM_PCM_E","------------")</f>
        <v>MM_PCM_E</v>
      </c>
      <c r="ACK59" s="15" t="str">
        <f t="shared" ref="ACK59" si="743">IF(OR(EXACT(ACK58,"MM_SYSTEM_MODE_STEER_BY_WIRE_E"),EXACT(ACK58,"MM_SYSTEM_MODE_TURRET_STEER_E")),"MM_PCM_E","------------")</f>
        <v>MM_PCM_E</v>
      </c>
      <c r="ACL59" s="15" t="str">
        <f t="shared" ref="ACL59" si="744">IF(OR(EXACT(ACL58,"MM_SYSTEM_MODE_STEER_BY_WIRE_E"),EXACT(ACL58,"MM_SYSTEM_MODE_TURRET_STEER_E")),"MM_PCM_E","------------")</f>
        <v>MM_PCM_E</v>
      </c>
      <c r="ACM59" s="15" t="str">
        <f t="shared" ref="ACM59" si="745">IF(OR(EXACT(ACM58,"MM_SYSTEM_MODE_STEER_BY_WIRE_E"),EXACT(ACM58,"MM_SYSTEM_MODE_TURRET_STEER_E")),"MM_PCM_E","------------")</f>
        <v>MM_PCM_E</v>
      </c>
      <c r="ACN59" s="15" t="str">
        <f t="shared" ref="ACN59" si="746">IF(OR(EXACT(ACN58,"MM_SYSTEM_MODE_STEER_BY_WIRE_E"),EXACT(ACN58,"MM_SYSTEM_MODE_TURRET_STEER_E")),"MM_PCM_E","------------")</f>
        <v>MM_PCM_E</v>
      </c>
      <c r="ACO59" s="15" t="str">
        <f t="shared" ref="ACO59" si="747">IF(OR(EXACT(ACO58,"MM_SYSTEM_MODE_STEER_BY_WIRE_E"),EXACT(ACO58,"MM_SYSTEM_MODE_TURRET_STEER_E")),"MM_PCM_E","------------")</f>
        <v>MM_PCM_E</v>
      </c>
      <c r="ACP59" s="15" t="str">
        <f t="shared" ref="ACP59" si="748">IF(OR(EXACT(ACP58,"MM_SYSTEM_MODE_STEER_BY_WIRE_E"),EXACT(ACP58,"MM_SYSTEM_MODE_TURRET_STEER_E")),"MM_PCM_E","------------")</f>
        <v>MM_PCM_E</v>
      </c>
      <c r="ACQ59" s="15" t="str">
        <f t="shared" ref="ACQ59" si="749">IF(OR(EXACT(ACQ58,"MM_SYSTEM_MODE_STEER_BY_WIRE_E"),EXACT(ACQ58,"MM_SYSTEM_MODE_TURRET_STEER_E")),"MM_PCM_E","------------")</f>
        <v>MM_PCM_E</v>
      </c>
      <c r="ACR59" s="15" t="str">
        <f t="shared" ref="ACR59" si="750">IF(OR(EXACT(ACR58,"MM_SYSTEM_MODE_STEER_BY_WIRE_E"),EXACT(ACR58,"MM_SYSTEM_MODE_TURRET_STEER_E")),"MM_PCM_E","------------")</f>
        <v>MM_PCM_E</v>
      </c>
      <c r="ACS59" s="15" t="str">
        <f t="shared" ref="ACS59" si="751">IF(OR(EXACT(ACS58,"MM_SYSTEM_MODE_STEER_BY_WIRE_E"),EXACT(ACS58,"MM_SYSTEM_MODE_TURRET_STEER_E")),"MM_PCM_E","------------")</f>
        <v>MM_PCM_E</v>
      </c>
      <c r="ACT59" s="15" t="str">
        <f t="shared" ref="ACT59" si="752">IF(OR(EXACT(ACT58,"MM_SYSTEM_MODE_STEER_BY_WIRE_E"),EXACT(ACT58,"MM_SYSTEM_MODE_TURRET_STEER_E")),"MM_PCM_E","------------")</f>
        <v>MM_PCM_E</v>
      </c>
      <c r="ACU59" s="15" t="str">
        <f t="shared" ref="ACU59" si="753">IF(OR(EXACT(ACU58,"MM_SYSTEM_MODE_STEER_BY_WIRE_E"),EXACT(ACU58,"MM_SYSTEM_MODE_TURRET_STEER_E")),"MM_PCM_E","------------")</f>
        <v>MM_PCM_E</v>
      </c>
      <c r="ACV59" s="15" t="str">
        <f t="shared" ref="ACV59" si="754">IF(OR(EXACT(ACV58,"MM_SYSTEM_MODE_STEER_BY_WIRE_E"),EXACT(ACV58,"MM_SYSTEM_MODE_TURRET_STEER_E")),"MM_PCM_E","------------")</f>
        <v>MM_PCM_E</v>
      </c>
      <c r="ACW59" s="15" t="str">
        <f t="shared" ref="ACW59" si="755">IF(OR(EXACT(ACW58,"MM_SYSTEM_MODE_STEER_BY_WIRE_E"),EXACT(ACW58,"MM_SYSTEM_MODE_TURRET_STEER_E")),"MM_PCM_E","------------")</f>
        <v>MM_PCM_E</v>
      </c>
      <c r="ACX59" s="15" t="str">
        <f t="shared" ref="ACX59" si="756">IF(OR(EXACT(ACX58,"MM_SYSTEM_MODE_STEER_BY_WIRE_E"),EXACT(ACX58,"MM_SYSTEM_MODE_TURRET_STEER_E")),"MM_PCM_E","------------")</f>
        <v>MM_PCM_E</v>
      </c>
      <c r="ACY59" s="15" t="str">
        <f t="shared" ref="ACY59" si="757">IF(OR(EXACT(ACY58,"MM_SYSTEM_MODE_STEER_BY_WIRE_E"),EXACT(ACY58,"MM_SYSTEM_MODE_TURRET_STEER_E")),"MM_PCM_E","------------")</f>
        <v>MM_PCM_E</v>
      </c>
      <c r="ACZ59" s="15" t="str">
        <f t="shared" ref="ACZ59" si="758">IF(OR(EXACT(ACZ58,"MM_SYSTEM_MODE_STEER_BY_WIRE_E"),EXACT(ACZ58,"MM_SYSTEM_MODE_TURRET_STEER_E")),"MM_PCM_E","------------")</f>
        <v>MM_PCM_E</v>
      </c>
      <c r="ADA59" s="15" t="str">
        <f t="shared" ref="ADA59" si="759">IF(OR(EXACT(ADA58,"MM_SYSTEM_MODE_STEER_BY_WIRE_E"),EXACT(ADA58,"MM_SYSTEM_MODE_TURRET_STEER_E")),"MM_PCM_E","------------")</f>
        <v>MM_PCM_E</v>
      </c>
      <c r="ADB59" s="15" t="str">
        <f t="shared" ref="ADB59" si="760">IF(OR(EXACT(ADB58,"MM_SYSTEM_MODE_STEER_BY_WIRE_E"),EXACT(ADB58,"MM_SYSTEM_MODE_TURRET_STEER_E")),"MM_PCM_E","------------")</f>
        <v>MM_PCM_E</v>
      </c>
      <c r="ADC59" s="15" t="str">
        <f t="shared" ref="ADC59:ADE59" si="761">IF(OR(EXACT(ADC58,"MM_SYSTEM_MODE_STEER_BY_WIRE_E"),EXACT(ADC58,"MM_SYSTEM_MODE_TURRET_STEER_E")),"MM_PCM_E","------------")</f>
        <v>MM_PCM_E</v>
      </c>
      <c r="ADD59" s="15" t="str">
        <f t="shared" ref="ADD59" si="762">IF( OR(EXACT(ADD58,"MM_SYSTEM_MODE_PUSHBACK_ATA_TAS_E"),EXACT(ADD58,"MM_SYSTEM_MODE_PUSHBACK_ATA_BW_E"),EXACT(ADD58,"MM_SYSTEM_MODE_MAINTENANCE_TOWING_E")),"MM_DCM_E", IF(OR( EXACT(ADD58,"MM_SYSTEM_MODE_TURRET_STEER_E"), EXACT(ADD58,"MM_SYSTEM_MODE_STEER_BY_WIRE_E")), "MM_PCM_E", "MM_NONE_E"))</f>
        <v>MM_DCM_E</v>
      </c>
      <c r="ADE59" s="15" t="str">
        <f t="shared" si="761"/>
        <v>MM_PCM_E</v>
      </c>
      <c r="ADF59" s="15" t="s">
        <v>491</v>
      </c>
      <c r="ADG59" s="15" t="s">
        <v>93</v>
      </c>
      <c r="ADH59" s="15"/>
      <c r="ADI59" s="15" t="s">
        <v>93</v>
      </c>
      <c r="ADJ59" s="15" t="s">
        <v>93</v>
      </c>
      <c r="ADK59" s="15" t="s">
        <v>93</v>
      </c>
      <c r="ADL59" s="15" t="s">
        <v>93</v>
      </c>
      <c r="ADM59" s="15" t="s">
        <v>93</v>
      </c>
      <c r="ADN59" s="15" t="s">
        <v>93</v>
      </c>
      <c r="ADO59" s="15" t="s">
        <v>93</v>
      </c>
      <c r="ADP59" s="15" t="str">
        <f t="shared" ref="ADP59" si="763" xml:space="preserve"> IF( OR(EXACT(ADP58, "MM_SYSTEM_MODE_PUSHBACK_ATA_TAS_E"), EXACT(ADP58, "MM_SYSTEM_MODE_MAINTENANCE_TOWING_E"), EXACT(ADP58, "MM_SYSTEM_MODE_PUSHBACK_ATA_BW_E")), "MM_DCM_E", IF( OR(EXACT(ADP58,"MM_SYSTEM_MODE_TURRET_STEER_E"), EXACT(ADP58,"MM_SYSTEM_MODE_STEER_BY_WIRE_E")), "MM_PCM_E", "MM_NONE_E" ) )</f>
        <v>MM_NONE_E</v>
      </c>
      <c r="ADQ59" s="15" t="s">
        <v>254</v>
      </c>
      <c r="ADR59" s="15" t="str">
        <f>IF(OR(EXACT(ADR58,"MM_SYSTEM_MODE_STEER_BY_WIRE_E"),EXACT(ADR58,"MM_SYSTEM_MODE_TURRET_STEER_E")),"MM_PCM_E","------------")</f>
        <v>MM_PCM_E</v>
      </c>
      <c r="ADS59" s="15" t="str">
        <f t="shared" ref="ADS59" si="764">IF(OR(EXACT(ADS58,"MM_SYSTEM_MODE_STEER_BY_WIRE_E"),EXACT(ADS58,"MM_SYSTEM_MODE_TURRET_STEER_E")),"MM_PCM_E","------------")</f>
        <v>MM_PCM_E</v>
      </c>
      <c r="ADT59" s="15" t="str">
        <f t="shared" ref="ADT59" si="765">IF(OR(EXACT(ADT58,"MM_SYSTEM_MODE_STEER_BY_WIRE_E"),EXACT(ADT58,"MM_SYSTEM_MODE_TURRET_STEER_E")),"MM_PCM_E","------------")</f>
        <v>MM_PCM_E</v>
      </c>
      <c r="ADU59" s="15" t="str">
        <f>IF(OR(EXACT(ADU58,"MM_SYSTEM_MODE_STEER_BY_WIRE_E"),EXACT(ADU58,"MM_SYSTEM_MODE_TURRET_STEER_E")),"MM_PCM_E","------------")</f>
        <v>MM_PCM_E</v>
      </c>
      <c r="ADV59" s="15" t="str">
        <f t="shared" ref="ADV59" si="766">IF(OR(EXACT(ADV58,"MM_SYSTEM_MODE_STEER_BY_WIRE_E"),EXACT(ADV58,"MM_SYSTEM_MODE_TURRET_STEER_E")),"MM_PCM_E","------------")</f>
        <v>MM_PCM_E</v>
      </c>
      <c r="ADW59" s="15" t="str">
        <f t="shared" ref="ADW59" si="767">IF(OR(EXACT(ADW58,"MM_SYSTEM_MODE_STEER_BY_WIRE_E"),EXACT(ADW58,"MM_SYSTEM_MODE_TURRET_STEER_E")),"MM_PCM_E","------------")</f>
        <v>MM_PCM_E</v>
      </c>
      <c r="ADX59" s="15" t="str">
        <f t="shared" ref="ADX59" si="768">IF(OR(EXACT(ADX58,"MM_SYSTEM_MODE_STEER_BY_WIRE_E"),EXACT(ADX58,"MM_SYSTEM_MODE_TURRET_STEER_E")),"MM_PCM_E","------------")</f>
        <v>MM_PCM_E</v>
      </c>
      <c r="ADY59" s="15" t="str">
        <f t="shared" ref="ADY59" si="769">IF(OR(EXACT(ADY58,"MM_SYSTEM_MODE_STEER_BY_WIRE_E"),EXACT(ADY58,"MM_SYSTEM_MODE_TURRET_STEER_E")),"MM_PCM_E","------------")</f>
        <v>MM_PCM_E</v>
      </c>
      <c r="ADZ59" s="15" t="str">
        <f t="shared" ref="ADZ59" si="770">IF(OR(EXACT(ADZ58,"MM_SYSTEM_MODE_STEER_BY_WIRE_E"),EXACT(ADZ58,"MM_SYSTEM_MODE_TURRET_STEER_E")),"MM_PCM_E","------------")</f>
        <v>MM_PCM_E</v>
      </c>
      <c r="AEA59" s="15" t="str">
        <f t="shared" ref="AEA59" si="771">IF(OR(EXACT(AEA58,"MM_SYSTEM_MODE_STEER_BY_WIRE_E"),EXACT(AEA58,"MM_SYSTEM_MODE_TURRET_STEER_E")),"MM_PCM_E","------------")</f>
        <v>MM_PCM_E</v>
      </c>
      <c r="AEB59" s="15" t="str">
        <f t="shared" ref="AEB59" si="772">IF(OR(EXACT(AEB58,"MM_SYSTEM_MODE_STEER_BY_WIRE_E"),EXACT(AEB58,"MM_SYSTEM_MODE_TURRET_STEER_E")),"MM_PCM_E","------------")</f>
        <v>MM_PCM_E</v>
      </c>
      <c r="AEC59" s="15" t="str">
        <f t="shared" ref="AEC59" si="773">IF(OR(EXACT(AEC58,"MM_SYSTEM_MODE_STEER_BY_WIRE_E"),EXACT(AEC58,"MM_SYSTEM_MODE_TURRET_STEER_E")),"MM_PCM_E","------------")</f>
        <v>MM_PCM_E</v>
      </c>
      <c r="AED59" s="15" t="str">
        <f t="shared" ref="AED59" si="774">IF(OR(EXACT(AED58,"MM_SYSTEM_MODE_STEER_BY_WIRE_E"),EXACT(AED58,"MM_SYSTEM_MODE_TURRET_STEER_E")),"MM_PCM_E","------------")</f>
        <v>MM_PCM_E</v>
      </c>
      <c r="AEE59" s="15" t="str">
        <f t="shared" ref="AEE59" si="775">IF(OR(EXACT(AEE58,"MM_SYSTEM_MODE_STEER_BY_WIRE_E"),EXACT(AEE58,"MM_SYSTEM_MODE_TURRET_STEER_E")),"MM_PCM_E","------------")</f>
        <v>MM_PCM_E</v>
      </c>
      <c r="AEF59" s="15" t="str">
        <f t="shared" ref="AEF59" si="776">IF(OR(EXACT(AEF58,"MM_SYSTEM_MODE_STEER_BY_WIRE_E"),EXACT(AEF58,"MM_SYSTEM_MODE_TURRET_STEER_E")),"MM_PCM_E","------------")</f>
        <v>MM_PCM_E</v>
      </c>
      <c r="AEG59" s="15" t="str">
        <f t="shared" ref="AEG59" si="777">IF(OR(EXACT(AEG58,"MM_SYSTEM_MODE_STEER_BY_WIRE_E"),EXACT(AEG58,"MM_SYSTEM_MODE_TURRET_STEER_E")),"MM_PCM_E","------------")</f>
        <v>MM_PCM_E</v>
      </c>
      <c r="AEH59" s="15" t="str">
        <f t="shared" ref="AEH59" si="778">IF(OR(EXACT(AEH58,"MM_SYSTEM_MODE_STEER_BY_WIRE_E"),EXACT(AEH58,"MM_SYSTEM_MODE_TURRET_STEER_E")),"MM_PCM_E","------------")</f>
        <v>MM_PCM_E</v>
      </c>
      <c r="AEI59" s="15" t="str">
        <f t="shared" ref="AEI59" si="779">IF(OR(EXACT(AEI58,"MM_SYSTEM_MODE_STEER_BY_WIRE_E"),EXACT(AEI58,"MM_SYSTEM_MODE_TURRET_STEER_E")),"MM_PCM_E","------------")</f>
        <v>MM_PCM_E</v>
      </c>
      <c r="AEJ59" s="15" t="str">
        <f t="shared" ref="AEJ59" si="780">IF(OR(EXACT(AEJ58,"MM_SYSTEM_MODE_STEER_BY_WIRE_E"),EXACT(AEJ58,"MM_SYSTEM_MODE_TURRET_STEER_E")),"MM_PCM_E","------------")</f>
        <v>MM_PCM_E</v>
      </c>
      <c r="AEK59" s="15" t="str">
        <f t="shared" ref="AEK59" si="781">IF(OR(EXACT(AEK58,"MM_SYSTEM_MODE_STEER_BY_WIRE_E"),EXACT(AEK58,"MM_SYSTEM_MODE_TURRET_STEER_E")),"MM_PCM_E","------------")</f>
        <v>MM_PCM_E</v>
      </c>
      <c r="AEL59" s="15" t="str">
        <f t="shared" ref="AEL59" si="782">IF(OR(EXACT(AEL58,"MM_SYSTEM_MODE_STEER_BY_WIRE_E"),EXACT(AEL58,"MM_SYSTEM_MODE_TURRET_STEER_E")),"MM_PCM_E","------------")</f>
        <v>MM_PCM_E</v>
      </c>
      <c r="AEM59" s="15" t="str">
        <f t="shared" ref="AEM59" si="783">IF(OR(EXACT(AEM58,"MM_SYSTEM_MODE_STEER_BY_WIRE_E"),EXACT(AEM58,"MM_SYSTEM_MODE_TURRET_STEER_E")),"MM_PCM_E","------------")</f>
        <v>MM_PCM_E</v>
      </c>
      <c r="AEN59" s="15" t="str">
        <f t="shared" ref="AEN59" si="784">IF(OR(EXACT(AEN58,"MM_SYSTEM_MODE_STEER_BY_WIRE_E"),EXACT(AEN58,"MM_SYSTEM_MODE_TURRET_STEER_E")),"MM_PCM_E","------------")</f>
        <v>MM_PCM_E</v>
      </c>
      <c r="AEO59" s="15" t="str">
        <f t="shared" ref="AEO59" si="785">IF(OR(EXACT(AEO58,"MM_SYSTEM_MODE_STEER_BY_WIRE_E"),EXACT(AEO58,"MM_SYSTEM_MODE_TURRET_STEER_E")),"MM_PCM_E","------------")</f>
        <v>MM_PCM_E</v>
      </c>
      <c r="AEP59" s="15" t="str">
        <f t="shared" ref="AEP59" si="786">IF(OR(EXACT(AEP58,"MM_SYSTEM_MODE_STEER_BY_WIRE_E"),EXACT(AEP58,"MM_SYSTEM_MODE_TURRET_STEER_E")),"MM_PCM_E","------------")</f>
        <v>MM_PCM_E</v>
      </c>
      <c r="AEQ59" s="15" t="str">
        <f t="shared" ref="AEQ59" si="787">IF(OR(EXACT(AEQ58,"MM_SYSTEM_MODE_STEER_BY_WIRE_E"),EXACT(AEQ58,"MM_SYSTEM_MODE_TURRET_STEER_E")),"MM_PCM_E","------------")</f>
        <v>MM_PCM_E</v>
      </c>
      <c r="AER59" s="15" t="str">
        <f t="shared" ref="AER59" si="788">IF(OR(EXACT(AER58,"MM_SYSTEM_MODE_STEER_BY_WIRE_E"),EXACT(AER58,"MM_SYSTEM_MODE_TURRET_STEER_E")),"MM_PCM_E","------------")</f>
        <v>MM_PCM_E</v>
      </c>
      <c r="AES59" s="15" t="str">
        <f t="shared" ref="AES59" si="789">IF(OR(EXACT(AES58,"MM_SYSTEM_MODE_STEER_BY_WIRE_E"),EXACT(AES58,"MM_SYSTEM_MODE_TURRET_STEER_E")),"MM_PCM_E","------------")</f>
        <v>MM_PCM_E</v>
      </c>
      <c r="AET59" s="15" t="str">
        <f t="shared" ref="AET59" si="790">IF(OR(EXACT(AET58,"MM_SYSTEM_MODE_STEER_BY_WIRE_E"),EXACT(AET58,"MM_SYSTEM_MODE_TURRET_STEER_E")),"MM_PCM_E","------------")</f>
        <v>MM_PCM_E</v>
      </c>
      <c r="AEU59" s="15" t="str">
        <f t="shared" ref="AEU59" si="791">IF(OR(EXACT(AEU58,"MM_SYSTEM_MODE_STEER_BY_WIRE_E"),EXACT(AEU58,"MM_SYSTEM_MODE_TURRET_STEER_E")),"MM_PCM_E","------------")</f>
        <v>MM_PCM_E</v>
      </c>
      <c r="AEV59" s="15" t="str">
        <f t="shared" ref="AEV59" si="792">IF(OR(EXACT(AEV58,"MM_SYSTEM_MODE_STEER_BY_WIRE_E"),EXACT(AEV58,"MM_SYSTEM_MODE_TURRET_STEER_E")),"MM_PCM_E","------------")</f>
        <v>MM_PCM_E</v>
      </c>
      <c r="AEW59" s="15" t="str">
        <f t="shared" ref="AEW59" si="793">IF(OR(EXACT(AEW58,"MM_SYSTEM_MODE_STEER_BY_WIRE_E"),EXACT(AEW58,"MM_SYSTEM_MODE_TURRET_STEER_E")),"MM_PCM_E","------------")</f>
        <v>MM_PCM_E</v>
      </c>
      <c r="AEX59" s="15" t="str">
        <f t="shared" ref="AEX59" si="794">IF(OR(EXACT(AEX58,"MM_SYSTEM_MODE_STEER_BY_WIRE_E"),EXACT(AEX58,"MM_SYSTEM_MODE_TURRET_STEER_E")),"MM_PCM_E","------------")</f>
        <v>MM_PCM_E</v>
      </c>
      <c r="AEY59" s="15" t="str">
        <f t="shared" ref="AEY59" si="795">IF(OR(EXACT(AEY58,"MM_SYSTEM_MODE_STEER_BY_WIRE_E"),EXACT(AEY58,"MM_SYSTEM_MODE_TURRET_STEER_E")),"MM_PCM_E","------------")</f>
        <v>MM_PCM_E</v>
      </c>
      <c r="AEZ59" s="15" t="str">
        <f t="shared" ref="AEZ59" si="796">IF(OR(EXACT(AEZ58,"MM_SYSTEM_MODE_STEER_BY_WIRE_E"),EXACT(AEZ58,"MM_SYSTEM_MODE_TURRET_STEER_E")),"MM_PCM_E","------------")</f>
        <v>MM_PCM_E</v>
      </c>
      <c r="AFA59" s="15" t="str">
        <f t="shared" ref="AFA59" si="797">IF(OR(EXACT(AFA58,"MM_SYSTEM_MODE_STEER_BY_WIRE_E"),EXACT(AFA58,"MM_SYSTEM_MODE_TURRET_STEER_E")),"MM_PCM_E","------------")</f>
        <v>MM_PCM_E</v>
      </c>
      <c r="AFB59" s="15" t="str">
        <f t="shared" ref="AFB59" si="798">IF(OR(EXACT(AFB58,"MM_SYSTEM_MODE_STEER_BY_WIRE_E"),EXACT(AFB58,"MM_SYSTEM_MODE_TURRET_STEER_E")),"MM_PCM_E","------------")</f>
        <v>MM_PCM_E</v>
      </c>
      <c r="AFC59" s="15" t="str">
        <f t="shared" ref="AFC59" si="799">IF(OR(EXACT(AFC58,"MM_SYSTEM_MODE_STEER_BY_WIRE_E"),EXACT(AFC58,"MM_SYSTEM_MODE_TURRET_STEER_E")),"MM_PCM_E","------------")</f>
        <v>MM_PCM_E</v>
      </c>
      <c r="AFD59" s="15" t="str">
        <f t="shared" ref="AFD59" si="800">IF(OR(EXACT(AFD58,"MM_SYSTEM_MODE_STEER_BY_WIRE_E"),EXACT(AFD58,"MM_SYSTEM_MODE_TURRET_STEER_E")),"MM_PCM_E","------------")</f>
        <v>MM_PCM_E</v>
      </c>
      <c r="AFE59" s="15" t="str">
        <f t="shared" ref="AFE59" si="801">IF(OR(EXACT(AFE58,"MM_SYSTEM_MODE_STEER_BY_WIRE_E"),EXACT(AFE58,"MM_SYSTEM_MODE_TURRET_STEER_E")),"MM_PCM_E","------------")</f>
        <v>MM_PCM_E</v>
      </c>
      <c r="AFF59" s="15" t="str">
        <f t="shared" ref="AFF59" si="802">IF(OR(EXACT(AFF58,"MM_SYSTEM_MODE_STEER_BY_WIRE_E"),EXACT(AFF58,"MM_SYSTEM_MODE_TURRET_STEER_E")),"MM_PCM_E","------------")</f>
        <v>MM_PCM_E</v>
      </c>
      <c r="AFG59" s="15" t="str">
        <f t="shared" ref="AFG59" si="803">IF(OR(EXACT(AFG58,"MM_SYSTEM_MODE_STEER_BY_WIRE_E"),EXACT(AFG58,"MM_SYSTEM_MODE_TURRET_STEER_E")),"MM_PCM_E","------------")</f>
        <v>MM_PCM_E</v>
      </c>
      <c r="AFH59" s="15" t="str">
        <f t="shared" ref="AFH59" si="804">IF(OR(EXACT(AFH58,"MM_SYSTEM_MODE_STEER_BY_WIRE_E"),EXACT(AFH58,"MM_SYSTEM_MODE_TURRET_STEER_E")),"MM_PCM_E","------------")</f>
        <v>MM_PCM_E</v>
      </c>
      <c r="AFI59" s="15" t="str">
        <f t="shared" ref="AFI59" si="805">IF(OR(EXACT(AFI58,"MM_SYSTEM_MODE_STEER_BY_WIRE_E"),EXACT(AFI58,"MM_SYSTEM_MODE_TURRET_STEER_E")),"MM_PCM_E","------------")</f>
        <v>MM_PCM_E</v>
      </c>
      <c r="AFJ59" s="15" t="str">
        <f t="shared" ref="AFJ59" si="806">IF(OR(EXACT(AFJ58,"MM_SYSTEM_MODE_STEER_BY_WIRE_E"),EXACT(AFJ58,"MM_SYSTEM_MODE_TURRET_STEER_E")),"MM_PCM_E","------------")</f>
        <v>MM_PCM_E</v>
      </c>
      <c r="AFK59" s="15" t="str">
        <f t="shared" ref="AFK59" si="807">IF(OR(EXACT(AFK58,"MM_SYSTEM_MODE_STEER_BY_WIRE_E"),EXACT(AFK58,"MM_SYSTEM_MODE_TURRET_STEER_E")),"MM_PCM_E","------------")</f>
        <v>MM_PCM_E</v>
      </c>
      <c r="AFL59" s="15" t="str">
        <f t="shared" ref="AFL59" si="808">IF(OR(EXACT(AFL58,"MM_SYSTEM_MODE_STEER_BY_WIRE_E"),EXACT(AFL58,"MM_SYSTEM_MODE_TURRET_STEER_E")),"MM_PCM_E","------------")</f>
        <v>MM_PCM_E</v>
      </c>
      <c r="AFM59" s="15" t="str">
        <f t="shared" ref="AFM59" si="809">IF(OR(EXACT(AFM58,"MM_SYSTEM_MODE_STEER_BY_WIRE_E"),EXACT(AFM58,"MM_SYSTEM_MODE_TURRET_STEER_E")),"MM_PCM_E","------------")</f>
        <v>MM_PCM_E</v>
      </c>
      <c r="AFN59" s="15" t="str">
        <f t="shared" ref="AFN59" si="810">IF( OR(EXACT(AFN58,"MM_SYSTEM_MODE_PUSHBACK_ATA_TAS_E"),EXACT(AFN58,"MM_SYSTEM_MODE_PUSHBACK_ATA_BW_E"),EXACT(AFN58,"MM_SYSTEM_MODE_MAINTENANCE_TOWING_E")),"MM_DCM_E", IF(OR( EXACT(AFN58,"MM_SYSTEM_MODE_TURRET_STEER_E"), EXACT(AFN58,"MM_SYSTEM_MODE_STEER_BY_WIRE_E")), "MM_PCM_E", "MM_NONE_E"))</f>
        <v>MM_DCM_E</v>
      </c>
      <c r="AFO59" s="15" t="str">
        <f t="shared" ref="AFO59" si="811">IF(OR(EXACT(AFO58,"MM_SYSTEM_MODE_STEER_BY_WIRE_E"),EXACT(AFO58,"MM_SYSTEM_MODE_TURRET_STEER_E")),"MM_PCM_E","------------")</f>
        <v>MM_PCM_E</v>
      </c>
      <c r="AFP59" s="15" t="s">
        <v>491</v>
      </c>
      <c r="AFQ59" s="15" t="s">
        <v>93</v>
      </c>
      <c r="AFR59" s="15"/>
      <c r="AFS59" s="15" t="s">
        <v>93</v>
      </c>
      <c r="AFT59" s="15" t="s">
        <v>93</v>
      </c>
      <c r="AFU59" s="15" t="s">
        <v>93</v>
      </c>
      <c r="AFV59" s="15" t="s">
        <v>93</v>
      </c>
      <c r="AFW59" s="15" t="s">
        <v>93</v>
      </c>
      <c r="AFX59" s="15" t="s">
        <v>93</v>
      </c>
      <c r="AFY59" s="15" t="s">
        <v>93</v>
      </c>
      <c r="AFZ59" s="15" t="s">
        <v>93</v>
      </c>
      <c r="AGA59" s="15" t="s">
        <v>254</v>
      </c>
      <c r="AGB59" s="15" t="s">
        <v>491</v>
      </c>
      <c r="AGC59" s="15" t="s">
        <v>491</v>
      </c>
      <c r="AGD59" s="15" t="s">
        <v>491</v>
      </c>
      <c r="AGE59" s="15" t="s">
        <v>491</v>
      </c>
      <c r="AGF59" s="15" t="s">
        <v>491</v>
      </c>
      <c r="AGG59" s="15" t="s">
        <v>491</v>
      </c>
      <c r="AGH59" s="15" t="s">
        <v>491</v>
      </c>
      <c r="AGI59" s="15" t="s">
        <v>491</v>
      </c>
      <c r="AGJ59" s="15" t="s">
        <v>491</v>
      </c>
      <c r="AGK59" s="15" t="s">
        <v>491</v>
      </c>
      <c r="AGL59" s="15" t="s">
        <v>491</v>
      </c>
      <c r="AGM59" s="15" t="s">
        <v>491</v>
      </c>
      <c r="AGN59" s="15" t="s">
        <v>491</v>
      </c>
      <c r="AGO59" s="15" t="s">
        <v>491</v>
      </c>
      <c r="AGP59" s="15" t="s">
        <v>491</v>
      </c>
      <c r="AGQ59" s="15" t="s">
        <v>491</v>
      </c>
      <c r="AGR59" s="15" t="s">
        <v>491</v>
      </c>
      <c r="AGS59" s="15" t="s">
        <v>491</v>
      </c>
      <c r="AGT59" s="15" t="s">
        <v>491</v>
      </c>
      <c r="AGU59" s="15" t="s">
        <v>491</v>
      </c>
      <c r="AGV59" s="15" t="s">
        <v>491</v>
      </c>
      <c r="AGW59" s="15" t="s">
        <v>491</v>
      </c>
      <c r="AGX59" s="15" t="s">
        <v>491</v>
      </c>
      <c r="AGY59" s="15" t="s">
        <v>491</v>
      </c>
      <c r="AGZ59" s="15" t="s">
        <v>491</v>
      </c>
      <c r="AHA59" s="15" t="s">
        <v>491</v>
      </c>
      <c r="AHB59" s="15" t="s">
        <v>491</v>
      </c>
      <c r="AHC59" s="15" t="s">
        <v>491</v>
      </c>
      <c r="AHD59" s="15" t="s">
        <v>491</v>
      </c>
      <c r="AHE59" s="15" t="s">
        <v>491</v>
      </c>
      <c r="AHF59" s="15" t="s">
        <v>491</v>
      </c>
      <c r="AHG59" s="15" t="s">
        <v>491</v>
      </c>
      <c r="AHH59" s="15" t="s">
        <v>491</v>
      </c>
      <c r="AHI59" s="15" t="s">
        <v>491</v>
      </c>
      <c r="AHJ59" s="15" t="s">
        <v>491</v>
      </c>
      <c r="AHK59" s="15" t="s">
        <v>491</v>
      </c>
      <c r="AHL59" s="15" t="s">
        <v>491</v>
      </c>
      <c r="AHM59" s="15" t="s">
        <v>491</v>
      </c>
      <c r="AHN59" s="15" t="s">
        <v>491</v>
      </c>
      <c r="AHO59" s="15" t="s">
        <v>491</v>
      </c>
      <c r="AHP59" s="15" t="s">
        <v>491</v>
      </c>
      <c r="AHQ59" s="15" t="s">
        <v>491</v>
      </c>
      <c r="AHR59" s="15" t="s">
        <v>491</v>
      </c>
      <c r="AHS59" s="15" t="s">
        <v>491</v>
      </c>
      <c r="AHT59" s="15" t="s">
        <v>491</v>
      </c>
      <c r="AHU59" s="15" t="s">
        <v>491</v>
      </c>
      <c r="AHV59" s="15" t="s">
        <v>491</v>
      </c>
      <c r="AHW59" s="15" t="s">
        <v>491</v>
      </c>
      <c r="AHX59" s="15" t="s">
        <v>491</v>
      </c>
      <c r="AHY59" s="15" t="s">
        <v>491</v>
      </c>
      <c r="AHZ59" s="15" t="s">
        <v>491</v>
      </c>
      <c r="AIA59" s="15" t="s">
        <v>491</v>
      </c>
      <c r="AIB59" s="15" t="s">
        <v>491</v>
      </c>
      <c r="AIC59" s="15" t="s">
        <v>491</v>
      </c>
      <c r="AID59" s="15" t="s">
        <v>491</v>
      </c>
      <c r="AIE59" s="15" t="s">
        <v>491</v>
      </c>
      <c r="AIF59" s="15" t="s">
        <v>491</v>
      </c>
      <c r="AIG59" s="15" t="s">
        <v>491</v>
      </c>
      <c r="AIH59" s="15" t="s">
        <v>491</v>
      </c>
      <c r="AII59" s="15" t="s">
        <v>491</v>
      </c>
      <c r="AIJ59" s="15" t="s">
        <v>491</v>
      </c>
      <c r="AIK59" s="15" t="s">
        <v>491</v>
      </c>
      <c r="AIL59" s="15" t="s">
        <v>491</v>
      </c>
      <c r="AIM59" s="15" t="s">
        <v>491</v>
      </c>
      <c r="AIN59" s="15" t="s">
        <v>491</v>
      </c>
      <c r="AIO59" s="15" t="s">
        <v>491</v>
      </c>
      <c r="AIP59" s="15" t="s">
        <v>491</v>
      </c>
      <c r="AIQ59" s="15" t="s">
        <v>491</v>
      </c>
      <c r="AIR59" s="15" t="s">
        <v>491</v>
      </c>
      <c r="AIS59" s="15" t="s">
        <v>491</v>
      </c>
      <c r="AIT59" s="15" t="s">
        <v>491</v>
      </c>
      <c r="AIU59" s="15" t="s">
        <v>491</v>
      </c>
      <c r="AIV59" s="15" t="s">
        <v>491</v>
      </c>
      <c r="AIW59" s="15" t="s">
        <v>491</v>
      </c>
      <c r="AIX59" s="15" t="s">
        <v>491</v>
      </c>
      <c r="AIY59" s="15" t="s">
        <v>491</v>
      </c>
      <c r="AIZ59" s="15" t="s">
        <v>491</v>
      </c>
      <c r="AJA59" s="15" t="str">
        <f t="shared" ref="AJA59" si="812">IF( OR(EXACT(AJA58,"MM_SYSTEM_MODE_PUSHBACK_ATA_TAS_E"),EXACT(AJA58,"MM_SYSTEM_MODE_PUSHBACK_ATA_BW_E"),EXACT(AJA58,"MM_SYSTEM_MODE_MAINTENANCE_TOWING_E")),"MM_DCM_E", IF(OR( EXACT(AJA58,"MM_SYSTEM_MODE_TURRET_STEER_E"), EXACT(AJA58,"MM_SYSTEM_MODE_STEER_BY_WIRE_E")), "MM_PCM_E", "MM_NONE_E"))</f>
        <v>MM_DCM_E</v>
      </c>
      <c r="AJB59" s="15" t="s">
        <v>93</v>
      </c>
      <c r="AJC59" s="15" t="str">
        <f t="shared" ref="AJC59:AJE59" si="813" xml:space="preserve"> IF( OR(EXACT(AJC58, "MM_SYSTEM_MODE_PUSHBACK_ATA_TAS_E"), EXACT(AJC58, "MM_SYSTEM_MODE_MAINTENANCE_TOWING_E"), EXACT(AJC58, "MM_SYSTEM_MODE_PUSHBACK_ATA_BW_E")), "MM_DCM_E", IF( OR(EXACT(AJC58,"MM_SYSTEM_MODE_TURRET_STEER_E"), EXACT(AJC58,"MM_SYSTEM_MODE_STEER_BY_WIRE_E")), "MM_PCM_E", "MM_NONE_E" ) )</f>
        <v>MM_NONE_E</v>
      </c>
      <c r="AJD59" s="15" t="str">
        <f t="shared" si="813"/>
        <v>MM_NONE_E</v>
      </c>
      <c r="AJE59" s="15" t="str">
        <f t="shared" si="813"/>
        <v>MM_DCM_E</v>
      </c>
      <c r="AJF59" s="15"/>
      <c r="AJG59" s="15" t="s">
        <v>93</v>
      </c>
      <c r="AJH59" s="15" t="s">
        <v>93</v>
      </c>
      <c r="AJI59" s="15" t="s">
        <v>93</v>
      </c>
      <c r="AJJ59" s="15" t="s">
        <v>93</v>
      </c>
      <c r="AJK59" s="15" t="s">
        <v>93</v>
      </c>
      <c r="AJL59" s="15" t="s">
        <v>93</v>
      </c>
      <c r="AJM59" s="15" t="str">
        <f>AJL59</f>
        <v>MM_NONE_E</v>
      </c>
      <c r="AJN59" s="15"/>
      <c r="AJO59" s="15" t="s">
        <v>93</v>
      </c>
      <c r="AJP59" s="15" t="s">
        <v>93</v>
      </c>
      <c r="AJQ59" s="15" t="s">
        <v>93</v>
      </c>
      <c r="AJR59" s="15" t="s">
        <v>93</v>
      </c>
      <c r="AJS59" s="15" t="s">
        <v>93</v>
      </c>
      <c r="AJT59" s="15" t="s">
        <v>93</v>
      </c>
      <c r="AJU59" s="15" t="s">
        <v>93</v>
      </c>
      <c r="AJV59" s="15" t="str">
        <f t="shared" ref="AJV59:AJW61" si="814">AJU59</f>
        <v>MM_NONE_E</v>
      </c>
      <c r="AJW59" s="15" t="str">
        <f t="shared" si="814"/>
        <v>MM_NONE_E</v>
      </c>
      <c r="AJX59" s="15"/>
      <c r="AJY59" s="15" t="s">
        <v>93</v>
      </c>
      <c r="AJZ59" s="15" t="s">
        <v>93</v>
      </c>
      <c r="AKA59" s="15" t="s">
        <v>93</v>
      </c>
      <c r="AKB59" s="15" t="s">
        <v>93</v>
      </c>
      <c r="AKC59" s="15" t="s">
        <v>93</v>
      </c>
      <c r="AKD59" s="15" t="s">
        <v>93</v>
      </c>
      <c r="AKE59" s="15" t="s">
        <v>93</v>
      </c>
      <c r="AKF59" s="15" t="s">
        <v>93</v>
      </c>
      <c r="AKG59" s="15" t="s">
        <v>93</v>
      </c>
      <c r="AKH59" s="15" t="str">
        <f>AKG59</f>
        <v>MM_NONE_E</v>
      </c>
      <c r="AKI59" s="15"/>
      <c r="AKJ59" s="15" t="s">
        <v>93</v>
      </c>
      <c r="AKK59" s="15" t="s">
        <v>93</v>
      </c>
      <c r="AKL59" s="15" t="s">
        <v>93</v>
      </c>
      <c r="AKM59" s="15" t="s">
        <v>93</v>
      </c>
      <c r="AKN59" s="15" t="s">
        <v>93</v>
      </c>
      <c r="AKO59" s="15" t="s">
        <v>93</v>
      </c>
      <c r="AKP59" s="15" t="s">
        <v>93</v>
      </c>
      <c r="AKQ59" s="15" t="s">
        <v>93</v>
      </c>
      <c r="AKR59" s="15" t="s">
        <v>93</v>
      </c>
      <c r="AKS59" s="15" t="s">
        <v>93</v>
      </c>
      <c r="AKT59" s="15" t="s">
        <v>93</v>
      </c>
      <c r="AKU59" s="15" t="s">
        <v>93</v>
      </c>
      <c r="AKV59" s="15" t="s">
        <v>93</v>
      </c>
      <c r="AKW59" s="15" t="s">
        <v>93</v>
      </c>
      <c r="AKX59" s="15"/>
      <c r="AKY59" s="15" t="s">
        <v>93</v>
      </c>
      <c r="AKZ59" s="15" t="s">
        <v>93</v>
      </c>
      <c r="ALA59" s="15" t="s">
        <v>93</v>
      </c>
      <c r="ALB59" s="15" t="s">
        <v>93</v>
      </c>
      <c r="ALC59" s="15" t="s">
        <v>93</v>
      </c>
      <c r="ALD59" s="15" t="s">
        <v>93</v>
      </c>
      <c r="ALE59" s="15" t="s">
        <v>93</v>
      </c>
      <c r="ALF59" s="15" t="str">
        <f t="shared" ref="ALF59" si="815" xml:space="preserve"> IF( OR(EXACT(ALF58, "MM_SYSTEM_MODE_PUSHBACK_ATA_TAS_E"), EXACT(ALF58, "MM_SYSTEM_MODE_MAINTENANCE_TOWING_E"), EXACT(ALF58, "MM_SYSTEM_MODE_PUSHBACK_ATA_BW_E")), "MM_DCM_E", IF( OR(EXACT(ALF58,"MM_SYSTEM_MODE_TURRET_STEER_E"), EXACT(ALF58,"MM_SYSTEM_MODE_STEER_BY_WIRE_E")), "MM_PCM_E", "MM_NONE_E" ) )</f>
        <v>MM_NONE_E</v>
      </c>
      <c r="ALG59" s="15" t="s">
        <v>254</v>
      </c>
      <c r="ALH59" s="15" t="s">
        <v>254</v>
      </c>
      <c r="ALI59" s="15" t="s">
        <v>254</v>
      </c>
      <c r="ALJ59" s="15" t="s">
        <v>254</v>
      </c>
      <c r="ALK59" s="15" t="s">
        <v>254</v>
      </c>
      <c r="ALL59" s="15" t="s">
        <v>93</v>
      </c>
      <c r="ALM59" s="15"/>
      <c r="ALN59" s="15" t="s">
        <v>93</v>
      </c>
      <c r="ALO59" s="15" t="s">
        <v>93</v>
      </c>
      <c r="ALP59" s="15" t="s">
        <v>93</v>
      </c>
      <c r="ALQ59" s="15" t="s">
        <v>93</v>
      </c>
      <c r="ALR59" s="15" t="s">
        <v>93</v>
      </c>
      <c r="ALS59" s="15" t="s">
        <v>93</v>
      </c>
      <c r="ALT59" s="15" t="s">
        <v>93</v>
      </c>
      <c r="ALU59" s="15" t="str">
        <f t="shared" ref="ALU59" si="816" xml:space="preserve"> IF( OR(EXACT(ALU58, "MM_SYSTEM_MODE_PUSHBACK_ATA_TAS_E"), EXACT(ALU58, "MM_SYSTEM_MODE_MAINTENANCE_TOWING_E"), EXACT(ALU58, "MM_SYSTEM_MODE_PUSHBACK_ATA_BW_E")), "MM_DCM_E", IF( OR(EXACT(ALU58,"MM_SYSTEM_MODE_TURRET_STEER_E"), EXACT(ALU58,"MM_SYSTEM_MODE_STEER_BY_WIRE_E")), "MM_PCM_E", "MM_NONE_E" ) )</f>
        <v>MM_NONE_E</v>
      </c>
      <c r="ALV59" s="15" t="s">
        <v>254</v>
      </c>
      <c r="ALW59" s="15" t="str">
        <f>IF(OR(EXACT(ALW58,"MM_SYSTEM_MODE_STEER_BY_WIRE_E"),EXACT(ALW58,"MM_SYSTEM_MODE_TURRET_STEER_E")),"MM_PCM_E","------------")</f>
        <v>MM_PCM_E</v>
      </c>
      <c r="ALX59" s="15" t="str">
        <f t="shared" ref="ALX59:AMA59" si="817">IF(OR(EXACT(ALX58,"MM_SYSTEM_MODE_STEER_BY_WIRE_E"),EXACT(ALX58,"MM_SYSTEM_MODE_TURRET_STEER_E")),"MM_PCM_E","------------")</f>
        <v>MM_PCM_E</v>
      </c>
      <c r="ALY59" s="15" t="str">
        <f t="shared" si="817"/>
        <v>MM_PCM_E</v>
      </c>
      <c r="ALZ59" s="15" t="str">
        <f t="shared" si="817"/>
        <v>MM_PCM_E</v>
      </c>
      <c r="AMA59" s="15" t="str">
        <f t="shared" si="817"/>
        <v>MM_PCM_E</v>
      </c>
      <c r="AMB59" s="15" t="s">
        <v>93</v>
      </c>
      <c r="AMC59" s="15"/>
      <c r="AMD59" s="15" t="s">
        <v>93</v>
      </c>
      <c r="AME59" s="15" t="s">
        <v>93</v>
      </c>
      <c r="AMF59" s="15" t="s">
        <v>93</v>
      </c>
      <c r="AMG59" s="15" t="s">
        <v>93</v>
      </c>
      <c r="AMH59" s="15" t="s">
        <v>93</v>
      </c>
      <c r="AMI59" s="15" t="s">
        <v>93</v>
      </c>
      <c r="AMJ59" s="15" t="s">
        <v>93</v>
      </c>
      <c r="AMK59" s="15" t="s">
        <v>93</v>
      </c>
      <c r="AML59" s="15" t="s">
        <v>254</v>
      </c>
      <c r="AMM59" s="15" t="s">
        <v>491</v>
      </c>
      <c r="AMN59" s="15" t="s">
        <v>491</v>
      </c>
      <c r="AMO59" s="15" t="s">
        <v>491</v>
      </c>
      <c r="AMP59" s="15" t="s">
        <v>491</v>
      </c>
      <c r="AMQ59" s="15" t="s">
        <v>491</v>
      </c>
      <c r="AMR59" s="15" t="s">
        <v>491</v>
      </c>
      <c r="AMS59" s="15" t="s">
        <v>491</v>
      </c>
      <c r="AMT59" s="15" t="s">
        <v>491</v>
      </c>
      <c r="AMU59" s="15" t="s">
        <v>491</v>
      </c>
      <c r="AMV59" s="15" t="s">
        <v>491</v>
      </c>
      <c r="AMW59" s="15" t="s">
        <v>491</v>
      </c>
      <c r="AMX59" s="15" t="s">
        <v>491</v>
      </c>
      <c r="AMY59" s="15" t="s">
        <v>491</v>
      </c>
      <c r="AMZ59" s="15" t="s">
        <v>491</v>
      </c>
      <c r="ANA59" s="15" t="s">
        <v>491</v>
      </c>
      <c r="ANB59" s="15" t="s">
        <v>491</v>
      </c>
      <c r="ANC59" s="15" t="s">
        <v>93</v>
      </c>
      <c r="AND59" s="15" t="s">
        <v>93</v>
      </c>
      <c r="ANE59" s="15"/>
      <c r="ANF59" s="15"/>
      <c r="ANG59" s="15"/>
      <c r="ANH59" s="15"/>
      <c r="ANI59" s="15"/>
      <c r="ANJ59" s="15"/>
      <c r="ANK59" s="15"/>
      <c r="ANL59" s="15"/>
      <c r="ANM59" s="15"/>
      <c r="ANN59" s="15"/>
      <c r="ANO59" s="15"/>
      <c r="ANP59" s="15"/>
      <c r="ANQ59" s="15"/>
      <c r="ANR59" s="15"/>
      <c r="ANS59" s="15"/>
      <c r="ANT59" s="15"/>
      <c r="ANU59" s="15"/>
      <c r="ANV59" s="15"/>
      <c r="ANW59" s="15"/>
      <c r="ANX59" s="15"/>
      <c r="ANY59" s="15"/>
      <c r="ANZ59" s="15"/>
      <c r="AOA59" s="15"/>
      <c r="AOB59" s="15"/>
      <c r="AOC59" s="15"/>
      <c r="AOD59" s="15"/>
      <c r="AOE59" s="15"/>
      <c r="AOF59" s="15"/>
      <c r="AOG59" s="15"/>
      <c r="AOH59" s="15"/>
      <c r="AOI59" s="15"/>
      <c r="AOJ59" s="15"/>
      <c r="AOK59" s="15"/>
      <c r="AOL59" s="15"/>
      <c r="AOM59" s="15"/>
      <c r="AON59" s="15"/>
      <c r="AOO59" s="15"/>
      <c r="AOP59" s="15"/>
      <c r="AOQ59" s="15"/>
      <c r="AOR59" s="15"/>
      <c r="AOS59" s="15"/>
      <c r="AOT59" s="15"/>
      <c r="AOU59" s="15"/>
      <c r="AOV59" s="15"/>
      <c r="AOW59" s="15"/>
      <c r="AOX59" s="15"/>
      <c r="AOY59" s="15"/>
      <c r="AOZ59" s="15"/>
      <c r="APA59" s="15"/>
      <c r="APB59" s="15"/>
      <c r="APC59" s="15"/>
      <c r="APD59" s="15"/>
      <c r="APE59" s="15"/>
      <c r="APF59" s="15"/>
      <c r="APG59" s="15"/>
      <c r="APH59" s="15"/>
      <c r="API59" s="15"/>
      <c r="APJ59" s="15"/>
      <c r="APK59" s="15"/>
      <c r="APL59" s="15"/>
      <c r="APM59" s="15"/>
      <c r="APN59" s="15"/>
      <c r="APO59" s="15"/>
      <c r="APP59" s="15"/>
      <c r="APQ59" s="15"/>
      <c r="APR59" s="15"/>
      <c r="APS59" s="15"/>
      <c r="APT59" s="15"/>
      <c r="APU59" s="15"/>
      <c r="APV59" s="15"/>
      <c r="APW59" s="15"/>
      <c r="APX59" s="15"/>
      <c r="APY59" s="15"/>
      <c r="APZ59" s="15"/>
      <c r="AQA59" s="15"/>
      <c r="AQB59" s="15"/>
    </row>
    <row r="60" spans="1:1120" s="17" customFormat="1" ht="15" customHeight="1" x14ac:dyDescent="0.25">
      <c r="A60" s="11" t="s">
        <v>3</v>
      </c>
      <c r="B60" s="6" t="s">
        <v>49</v>
      </c>
      <c r="C60" s="15" t="s">
        <v>94</v>
      </c>
      <c r="D60" s="15" t="s">
        <v>94</v>
      </c>
      <c r="E60" s="15" t="s">
        <v>94</v>
      </c>
      <c r="F60" s="15" t="s">
        <v>94</v>
      </c>
      <c r="G60" s="15" t="s">
        <v>94</v>
      </c>
      <c r="H60" s="15" t="s">
        <v>94</v>
      </c>
      <c r="I60" s="15" t="s">
        <v>94</v>
      </c>
      <c r="J60" s="15"/>
      <c r="K60" s="15" t="s">
        <v>94</v>
      </c>
      <c r="L60" s="15" t="s">
        <v>94</v>
      </c>
      <c r="M60" s="15" t="s">
        <v>94</v>
      </c>
      <c r="N60" s="15" t="s">
        <v>94</v>
      </c>
      <c r="O60" s="15" t="s">
        <v>94</v>
      </c>
      <c r="P60" s="15" t="s">
        <v>94</v>
      </c>
      <c r="Q60" s="15"/>
      <c r="R60" s="15" t="s">
        <v>94</v>
      </c>
      <c r="S60" s="15" t="s">
        <v>94</v>
      </c>
      <c r="T60" s="15" t="s">
        <v>94</v>
      </c>
      <c r="U60" s="15" t="s">
        <v>94</v>
      </c>
      <c r="V60" s="15" t="s">
        <v>94</v>
      </c>
      <c r="W60" s="15" t="s">
        <v>94</v>
      </c>
      <c r="X60" s="15"/>
      <c r="Y60" s="15" t="s">
        <v>94</v>
      </c>
      <c r="Z60" s="15" t="s">
        <v>94</v>
      </c>
      <c r="AA60" s="15" t="s">
        <v>94</v>
      </c>
      <c r="AB60" s="15" t="s">
        <v>94</v>
      </c>
      <c r="AC60" s="15" t="s">
        <v>94</v>
      </c>
      <c r="AD60" s="15" t="s">
        <v>94</v>
      </c>
      <c r="AE60" s="15"/>
      <c r="AF60" s="15" t="s">
        <v>94</v>
      </c>
      <c r="AG60" s="15" t="s">
        <v>94</v>
      </c>
      <c r="AH60" s="15" t="s">
        <v>94</v>
      </c>
      <c r="AI60" s="15" t="s">
        <v>94</v>
      </c>
      <c r="AJ60" s="15" t="s">
        <v>94</v>
      </c>
      <c r="AK60" s="15" t="s">
        <v>94</v>
      </c>
      <c r="AL60" s="15"/>
      <c r="AM60" s="15" t="s">
        <v>94</v>
      </c>
      <c r="AN60" s="15" t="s">
        <v>94</v>
      </c>
      <c r="AO60" s="15" t="s">
        <v>94</v>
      </c>
      <c r="AP60" s="15" t="s">
        <v>94</v>
      </c>
      <c r="AQ60" s="15" t="s">
        <v>94</v>
      </c>
      <c r="AR60" s="15" t="s">
        <v>94</v>
      </c>
      <c r="AS60" s="15" t="s">
        <v>94</v>
      </c>
      <c r="AT60" s="15" t="s">
        <v>94</v>
      </c>
      <c r="AU60" s="15" t="s">
        <v>94</v>
      </c>
      <c r="AV60" s="15" t="s">
        <v>94</v>
      </c>
      <c r="AW60" s="15" t="s">
        <v>94</v>
      </c>
      <c r="AX60" s="15" t="s">
        <v>94</v>
      </c>
      <c r="AY60" s="15" t="s">
        <v>94</v>
      </c>
      <c r="AZ60" s="15" t="s">
        <v>94</v>
      </c>
      <c r="BA60" s="15" t="s">
        <v>94</v>
      </c>
      <c r="BB60" s="15" t="s">
        <v>94</v>
      </c>
      <c r="BC60" s="15" t="s">
        <v>94</v>
      </c>
      <c r="BD60" s="15" t="s">
        <v>94</v>
      </c>
      <c r="BE60" s="15" t="s">
        <v>94</v>
      </c>
      <c r="BF60" s="15" t="s">
        <v>94</v>
      </c>
      <c r="BG60" s="15" t="s">
        <v>94</v>
      </c>
      <c r="BH60" s="15" t="s">
        <v>94</v>
      </c>
      <c r="BI60" s="15" t="s">
        <v>94</v>
      </c>
      <c r="BJ60" s="15" t="s">
        <v>94</v>
      </c>
      <c r="BK60" s="15" t="s">
        <v>94</v>
      </c>
      <c r="BL60" s="15" t="s">
        <v>94</v>
      </c>
      <c r="BM60" s="15" t="s">
        <v>94</v>
      </c>
      <c r="BN60" s="15" t="s">
        <v>94</v>
      </c>
      <c r="BO60" s="15" t="s">
        <v>94</v>
      </c>
      <c r="BP60" s="15" t="s">
        <v>94</v>
      </c>
      <c r="BQ60" s="15" t="s">
        <v>94</v>
      </c>
      <c r="BR60" s="15" t="s">
        <v>94</v>
      </c>
      <c r="BS60" s="15" t="s">
        <v>94</v>
      </c>
      <c r="BT60" s="15" t="s">
        <v>94</v>
      </c>
      <c r="BU60" s="15" t="s">
        <v>94</v>
      </c>
      <c r="BV60" s="15" t="s">
        <v>94</v>
      </c>
      <c r="BW60" s="15" t="s">
        <v>94</v>
      </c>
      <c r="BX60" s="15" t="s">
        <v>94</v>
      </c>
      <c r="BY60" s="15" t="s">
        <v>94</v>
      </c>
      <c r="BZ60" s="15" t="s">
        <v>94</v>
      </c>
      <c r="CA60" s="15" t="s">
        <v>94</v>
      </c>
      <c r="CB60" s="15" t="s">
        <v>94</v>
      </c>
      <c r="CC60" s="15" t="s">
        <v>94</v>
      </c>
      <c r="CD60" s="15" t="s">
        <v>94</v>
      </c>
      <c r="CE60" s="15" t="s">
        <v>94</v>
      </c>
      <c r="CF60" s="15" t="s">
        <v>94</v>
      </c>
      <c r="CG60" s="15" t="s">
        <v>94</v>
      </c>
      <c r="CH60" s="15" t="s">
        <v>94</v>
      </c>
      <c r="CI60" s="15" t="s">
        <v>94</v>
      </c>
      <c r="CJ60" s="15" t="s">
        <v>94</v>
      </c>
      <c r="CK60" s="15" t="s">
        <v>94</v>
      </c>
      <c r="CL60" s="15" t="s">
        <v>94</v>
      </c>
      <c r="CM60" s="15" t="s">
        <v>94</v>
      </c>
      <c r="CN60" s="15" t="s">
        <v>94</v>
      </c>
      <c r="CO60" s="15" t="s">
        <v>94</v>
      </c>
      <c r="CP60" s="15" t="s">
        <v>94</v>
      </c>
      <c r="CQ60" s="15" t="s">
        <v>94</v>
      </c>
      <c r="CR60" s="15" t="s">
        <v>94</v>
      </c>
      <c r="CS60" s="15" t="s">
        <v>94</v>
      </c>
      <c r="CT60" s="15" t="s">
        <v>94</v>
      </c>
      <c r="CU60" s="15" t="s">
        <v>94</v>
      </c>
      <c r="CV60" s="15" t="s">
        <v>94</v>
      </c>
      <c r="CW60" s="15" t="s">
        <v>94</v>
      </c>
      <c r="CX60" s="15" t="s">
        <v>94</v>
      </c>
      <c r="CY60" s="15" t="s">
        <v>94</v>
      </c>
      <c r="CZ60" s="15" t="s">
        <v>94</v>
      </c>
      <c r="DA60" s="15" t="s">
        <v>94</v>
      </c>
      <c r="DB60" s="15" t="s">
        <v>94</v>
      </c>
      <c r="DC60" s="15" t="s">
        <v>94</v>
      </c>
      <c r="DD60" s="15" t="s">
        <v>94</v>
      </c>
      <c r="DE60" s="15" t="s">
        <v>94</v>
      </c>
      <c r="DF60" s="15" t="s">
        <v>94</v>
      </c>
      <c r="DG60" s="15" t="s">
        <v>94</v>
      </c>
      <c r="DH60" s="15" t="s">
        <v>94</v>
      </c>
      <c r="DI60" s="15" t="s">
        <v>94</v>
      </c>
      <c r="DJ60" s="15" t="s">
        <v>94</v>
      </c>
      <c r="DK60" s="15" t="s">
        <v>94</v>
      </c>
      <c r="DL60" s="15" t="s">
        <v>94</v>
      </c>
      <c r="DM60" s="15" t="s">
        <v>94</v>
      </c>
      <c r="DN60" s="15" t="s">
        <v>94</v>
      </c>
      <c r="DO60" s="15" t="s">
        <v>94</v>
      </c>
      <c r="DP60" s="15" t="s">
        <v>94</v>
      </c>
      <c r="DQ60" s="15" t="s">
        <v>94</v>
      </c>
      <c r="DR60" s="15" t="s">
        <v>94</v>
      </c>
      <c r="DS60" s="15" t="s">
        <v>94</v>
      </c>
      <c r="DT60" s="15" t="s">
        <v>94</v>
      </c>
      <c r="DU60" s="15" t="s">
        <v>94</v>
      </c>
      <c r="DV60" s="15" t="s">
        <v>94</v>
      </c>
      <c r="DW60" s="15" t="s">
        <v>94</v>
      </c>
      <c r="DX60" s="15" t="s">
        <v>94</v>
      </c>
      <c r="DY60" s="15" t="s">
        <v>94</v>
      </c>
      <c r="DZ60" s="15" t="s">
        <v>94</v>
      </c>
      <c r="EA60" s="15" t="s">
        <v>94</v>
      </c>
      <c r="EB60" s="15" t="s">
        <v>94</v>
      </c>
      <c r="EC60" s="15" t="s">
        <v>94</v>
      </c>
      <c r="ED60" s="15" t="s">
        <v>94</v>
      </c>
      <c r="EE60" s="15" t="s">
        <v>94</v>
      </c>
      <c r="EF60" s="15" t="s">
        <v>94</v>
      </c>
      <c r="EG60" s="15" t="s">
        <v>94</v>
      </c>
      <c r="EH60" s="15" t="s">
        <v>94</v>
      </c>
      <c r="EI60" s="15" t="s">
        <v>94</v>
      </c>
      <c r="EJ60" s="15" t="s">
        <v>94</v>
      </c>
      <c r="EK60" s="15" t="s">
        <v>94</v>
      </c>
      <c r="EL60" s="15" t="s">
        <v>94</v>
      </c>
      <c r="EM60" s="15" t="s">
        <v>94</v>
      </c>
      <c r="EN60" s="15" t="s">
        <v>94</v>
      </c>
      <c r="EO60" s="15" t="s">
        <v>94</v>
      </c>
      <c r="EP60" s="15" t="s">
        <v>94</v>
      </c>
      <c r="EQ60" s="15" t="s">
        <v>94</v>
      </c>
      <c r="ER60" s="15" t="s">
        <v>94</v>
      </c>
      <c r="ES60" s="15" t="s">
        <v>94</v>
      </c>
      <c r="ET60" s="15" t="s">
        <v>94</v>
      </c>
      <c r="EU60" s="15" t="s">
        <v>94</v>
      </c>
      <c r="EV60" s="15" t="s">
        <v>94</v>
      </c>
      <c r="EW60" s="15" t="s">
        <v>94</v>
      </c>
      <c r="EX60" s="15" t="s">
        <v>94</v>
      </c>
      <c r="EY60" s="15" t="s">
        <v>94</v>
      </c>
      <c r="EZ60" s="15" t="s">
        <v>94</v>
      </c>
      <c r="FA60" s="15" t="s">
        <v>94</v>
      </c>
      <c r="FB60" s="15" t="s">
        <v>94</v>
      </c>
      <c r="FC60" s="15" t="s">
        <v>94</v>
      </c>
      <c r="FD60" s="15"/>
      <c r="FE60" s="15" t="s">
        <v>94</v>
      </c>
      <c r="FF60" s="15" t="s">
        <v>94</v>
      </c>
      <c r="FG60" s="15" t="s">
        <v>94</v>
      </c>
      <c r="FH60" s="15" t="s">
        <v>94</v>
      </c>
      <c r="FI60" s="15" t="s">
        <v>94</v>
      </c>
      <c r="FJ60" s="15" t="s">
        <v>94</v>
      </c>
      <c r="FK60" s="15" t="s">
        <v>148</v>
      </c>
      <c r="FL60" s="15" t="s">
        <v>94</v>
      </c>
      <c r="FM60" s="15" t="s">
        <v>94</v>
      </c>
      <c r="FN60" s="15" t="s">
        <v>94</v>
      </c>
      <c r="FO60" s="15" t="s">
        <v>94</v>
      </c>
      <c r="FP60" s="15" t="s">
        <v>94</v>
      </c>
      <c r="FQ60" s="15" t="s">
        <v>94</v>
      </c>
      <c r="FR60" s="15" t="s">
        <v>148</v>
      </c>
      <c r="FS60" s="15" t="s">
        <v>94</v>
      </c>
      <c r="FT60" s="15" t="s">
        <v>94</v>
      </c>
      <c r="FU60" s="15" t="s">
        <v>94</v>
      </c>
      <c r="FV60" s="15" t="s">
        <v>94</v>
      </c>
      <c r="FW60" s="15" t="s">
        <v>94</v>
      </c>
      <c r="FX60" s="15" t="s">
        <v>94</v>
      </c>
      <c r="FY60" s="15" t="s">
        <v>148</v>
      </c>
      <c r="FZ60" s="15" t="s">
        <v>94</v>
      </c>
      <c r="GA60" s="15" t="s">
        <v>94</v>
      </c>
      <c r="GB60" s="15" t="s">
        <v>94</v>
      </c>
      <c r="GC60" s="15" t="s">
        <v>94</v>
      </c>
      <c r="GD60" s="15" t="s">
        <v>94</v>
      </c>
      <c r="GE60" s="15" t="s">
        <v>94</v>
      </c>
      <c r="GF60" s="15" t="s">
        <v>148</v>
      </c>
      <c r="GG60" s="15" t="s">
        <v>94</v>
      </c>
      <c r="GH60" s="15" t="s">
        <v>94</v>
      </c>
      <c r="GI60" s="15" t="s">
        <v>94</v>
      </c>
      <c r="GJ60" s="15" t="s">
        <v>94</v>
      </c>
      <c r="GK60" s="15" t="s">
        <v>94</v>
      </c>
      <c r="GL60" s="15" t="s">
        <v>94</v>
      </c>
      <c r="GM60" s="15" t="s">
        <v>148</v>
      </c>
      <c r="GN60" s="15" t="s">
        <v>94</v>
      </c>
      <c r="GO60" s="15" t="s">
        <v>94</v>
      </c>
      <c r="GP60" s="15" t="s">
        <v>94</v>
      </c>
      <c r="GQ60" s="15" t="s">
        <v>94</v>
      </c>
      <c r="GR60" s="15" t="s">
        <v>94</v>
      </c>
      <c r="GS60" s="15" t="s">
        <v>94</v>
      </c>
      <c r="GT60" s="15" t="s">
        <v>148</v>
      </c>
      <c r="GU60" s="15" t="s">
        <v>94</v>
      </c>
      <c r="GV60" s="15" t="s">
        <v>94</v>
      </c>
      <c r="GW60" s="15" t="s">
        <v>94</v>
      </c>
      <c r="GX60" s="15" t="s">
        <v>94</v>
      </c>
      <c r="GY60" s="15" t="s">
        <v>94</v>
      </c>
      <c r="GZ60" s="15" t="s">
        <v>94</v>
      </c>
      <c r="HA60" s="15" t="s">
        <v>148</v>
      </c>
      <c r="HB60" s="15" t="s">
        <v>94</v>
      </c>
      <c r="HC60" s="15" t="s">
        <v>94</v>
      </c>
      <c r="HD60" s="15" t="s">
        <v>94</v>
      </c>
      <c r="HE60" s="15" t="s">
        <v>94</v>
      </c>
      <c r="HF60" s="15" t="s">
        <v>94</v>
      </c>
      <c r="HG60" s="15" t="s">
        <v>94</v>
      </c>
      <c r="HH60" s="15" t="s">
        <v>148</v>
      </c>
      <c r="HI60" s="15" t="s">
        <v>94</v>
      </c>
      <c r="HJ60" s="15" t="s">
        <v>94</v>
      </c>
      <c r="HK60" s="15" t="s">
        <v>94</v>
      </c>
      <c r="HL60" s="15" t="s">
        <v>94</v>
      </c>
      <c r="HM60" s="15" t="s">
        <v>94</v>
      </c>
      <c r="HN60" s="15" t="s">
        <v>94</v>
      </c>
      <c r="HO60" s="15" t="s">
        <v>148</v>
      </c>
      <c r="HP60" s="15" t="s">
        <v>94</v>
      </c>
      <c r="HQ60" s="15" t="s">
        <v>94</v>
      </c>
      <c r="HR60" s="15" t="s">
        <v>94</v>
      </c>
      <c r="HS60" s="15" t="s">
        <v>94</v>
      </c>
      <c r="HT60" s="15" t="s">
        <v>94</v>
      </c>
      <c r="HU60" s="15" t="s">
        <v>94</v>
      </c>
      <c r="HV60" s="15" t="s">
        <v>148</v>
      </c>
      <c r="HW60" s="15" t="s">
        <v>94</v>
      </c>
      <c r="HX60" s="15" t="s">
        <v>94</v>
      </c>
      <c r="HY60" s="15" t="s">
        <v>94</v>
      </c>
      <c r="HZ60" s="15" t="s">
        <v>94</v>
      </c>
      <c r="IA60" s="15" t="s">
        <v>148</v>
      </c>
      <c r="IB60" s="15"/>
      <c r="IC60" s="15" t="s">
        <v>94</v>
      </c>
      <c r="ID60" s="15" t="s">
        <v>94</v>
      </c>
      <c r="IE60" s="15" t="s">
        <v>94</v>
      </c>
      <c r="IF60" s="15" t="s">
        <v>94</v>
      </c>
      <c r="IG60" s="15" t="s">
        <v>94</v>
      </c>
      <c r="IH60" s="15" t="s">
        <v>94</v>
      </c>
      <c r="II60" s="15" t="s">
        <v>148</v>
      </c>
      <c r="IJ60" s="15" t="s">
        <v>148</v>
      </c>
      <c r="IK60" s="15"/>
      <c r="IL60" s="15" t="s">
        <v>94</v>
      </c>
      <c r="IM60" s="15" t="s">
        <v>94</v>
      </c>
      <c r="IN60" s="15" t="s">
        <v>94</v>
      </c>
      <c r="IO60" s="15" t="s">
        <v>94</v>
      </c>
      <c r="IP60" s="15" t="s">
        <v>94</v>
      </c>
      <c r="IQ60" s="15" t="s">
        <v>94</v>
      </c>
      <c r="IR60" s="15" t="s">
        <v>148</v>
      </c>
      <c r="IS60" s="15" t="str">
        <f t="shared" ref="IS60:JX60" si="818">IF( EXACT(IS23, "LVC_UNLOCKED_E"), "MM_TURRET_LOCK_UNLOCK_E", IF(EXACT(IS23, "LVC_LOCKED_E"), "MM_TURRET_LOCK_LOCK_E", IR60))</f>
        <v>MM_TURRET_LOCK_UNLOCK_E</v>
      </c>
      <c r="IT60" s="15" t="str">
        <f t="shared" si="818"/>
        <v>MM_TURRET_LOCK_UNLOCK_E</v>
      </c>
      <c r="IU60" s="15" t="str">
        <f t="shared" si="818"/>
        <v>MM_TURRET_LOCK_UNLOCK_E</v>
      </c>
      <c r="IV60" s="15" t="str">
        <f t="shared" si="818"/>
        <v>MM_TURRET_LOCK_UNLOCK_E</v>
      </c>
      <c r="IW60" s="15" t="str">
        <f t="shared" si="818"/>
        <v>MM_TURRET_LOCK_UNLOCK_E</v>
      </c>
      <c r="IX60" s="15" t="str">
        <f t="shared" si="818"/>
        <v>MM_TURRET_LOCK_UNLOCK_E</v>
      </c>
      <c r="IY60" s="15" t="str">
        <f t="shared" si="818"/>
        <v>MM_TURRET_LOCK_UNLOCK_E</v>
      </c>
      <c r="IZ60" s="15" t="str">
        <f t="shared" si="818"/>
        <v>MM_TURRET_LOCK_UNLOCK_E</v>
      </c>
      <c r="JA60" s="15" t="str">
        <f t="shared" si="818"/>
        <v>MM_TURRET_LOCK_UNLOCK_E</v>
      </c>
      <c r="JB60" s="15" t="str">
        <f t="shared" si="818"/>
        <v>MM_TURRET_LOCK_UNLOCK_E</v>
      </c>
      <c r="JC60" s="15" t="str">
        <f t="shared" si="818"/>
        <v>MM_TURRET_LOCK_UNLOCK_E</v>
      </c>
      <c r="JD60" s="15" t="str">
        <f t="shared" si="818"/>
        <v>MM_TURRET_LOCK_UNLOCK_E</v>
      </c>
      <c r="JE60" s="15" t="str">
        <f t="shared" si="818"/>
        <v>MM_TURRET_LOCK_UNLOCK_E</v>
      </c>
      <c r="JF60" s="15" t="str">
        <f t="shared" si="818"/>
        <v>MM_TURRET_LOCK_UNLOCK_E</v>
      </c>
      <c r="JG60" s="15" t="str">
        <f t="shared" si="818"/>
        <v>MM_TURRET_LOCK_UNLOCK_E</v>
      </c>
      <c r="JH60" s="15" t="str">
        <f t="shared" si="818"/>
        <v>MM_TURRET_LOCK_UNLOCK_E</v>
      </c>
      <c r="JI60" s="15" t="str">
        <f t="shared" si="818"/>
        <v>MM_TURRET_LOCK_UNLOCK_E</v>
      </c>
      <c r="JJ60" s="15" t="str">
        <f t="shared" si="818"/>
        <v>MM_TURRET_LOCK_UNLOCK_E</v>
      </c>
      <c r="JK60" s="15" t="str">
        <f t="shared" si="818"/>
        <v>MM_TURRET_LOCK_UNLOCK_E</v>
      </c>
      <c r="JL60" s="15" t="str">
        <f t="shared" si="818"/>
        <v>MM_TURRET_LOCK_UNLOCK_E</v>
      </c>
      <c r="JM60" s="15" t="str">
        <f t="shared" si="818"/>
        <v>MM_TURRET_LOCK_UNLOCK_E</v>
      </c>
      <c r="JN60" s="15" t="str">
        <f t="shared" si="818"/>
        <v>MM_TURRET_LOCK_UNLOCK_E</v>
      </c>
      <c r="JO60" s="15" t="str">
        <f t="shared" si="818"/>
        <v>MM_TURRET_LOCK_UNLOCK_E</v>
      </c>
      <c r="JP60" s="15" t="str">
        <f t="shared" si="818"/>
        <v>MM_TURRET_LOCK_UNLOCK_E</v>
      </c>
      <c r="JQ60" s="15" t="str">
        <f t="shared" si="818"/>
        <v>MM_TURRET_LOCK_UNLOCK_E</v>
      </c>
      <c r="JR60" s="15" t="str">
        <f t="shared" si="818"/>
        <v>MM_TURRET_LOCK_UNLOCK_E</v>
      </c>
      <c r="JS60" s="15" t="str">
        <f t="shared" si="818"/>
        <v>MM_TURRET_LOCK_UNLOCK_E</v>
      </c>
      <c r="JT60" s="15" t="str">
        <f t="shared" si="818"/>
        <v>MM_TURRET_LOCK_UNLOCK_E</v>
      </c>
      <c r="JU60" s="15" t="str">
        <f t="shared" si="818"/>
        <v>MM_TURRET_LOCK_UNLOCK_E</v>
      </c>
      <c r="JV60" s="15" t="str">
        <f t="shared" si="818"/>
        <v>MM_TURRET_LOCK_UNLOCK_E</v>
      </c>
      <c r="JW60" s="15" t="str">
        <f t="shared" si="818"/>
        <v>MM_TURRET_LOCK_LOCK_E</v>
      </c>
      <c r="JX60" s="15" t="str">
        <f t="shared" si="818"/>
        <v>MM_TURRET_LOCK_LOCK_E</v>
      </c>
      <c r="JY60" s="15" t="str">
        <f t="shared" ref="JY60:LD60" si="819">IF( EXACT(JY23, "LVC_UNLOCKED_E"), "MM_TURRET_LOCK_UNLOCK_E", IF(EXACT(JY23, "LVC_LOCKED_E"), "MM_TURRET_LOCK_LOCK_E", JX60))</f>
        <v>MM_TURRET_LOCK_LOCK_E</v>
      </c>
      <c r="JZ60" s="15" t="str">
        <f t="shared" si="819"/>
        <v>MM_TURRET_LOCK_LOCK_E</v>
      </c>
      <c r="KA60" s="15" t="str">
        <f t="shared" si="819"/>
        <v>MM_TURRET_LOCK_LOCK_E</v>
      </c>
      <c r="KB60" s="15" t="str">
        <f t="shared" si="819"/>
        <v>MM_TURRET_LOCK_LOCK_E</v>
      </c>
      <c r="KC60" s="15" t="str">
        <f t="shared" si="819"/>
        <v>MM_TURRET_LOCK_LOCK_E</v>
      </c>
      <c r="KD60" s="15" t="str">
        <f t="shared" si="819"/>
        <v>MM_TURRET_LOCK_LOCK_E</v>
      </c>
      <c r="KE60" s="15" t="str">
        <f t="shared" si="819"/>
        <v>MM_TURRET_LOCK_LOCK_E</v>
      </c>
      <c r="KF60" s="15" t="str">
        <f t="shared" si="819"/>
        <v>MM_TURRET_LOCK_LOCK_E</v>
      </c>
      <c r="KG60" s="15" t="str">
        <f t="shared" si="819"/>
        <v>MM_TURRET_LOCK_LOCK_E</v>
      </c>
      <c r="KH60" s="15" t="str">
        <f t="shared" si="819"/>
        <v>MM_TURRET_LOCK_LOCK_E</v>
      </c>
      <c r="KI60" s="15" t="str">
        <f t="shared" si="819"/>
        <v>MM_TURRET_LOCK_UNLOCK_E</v>
      </c>
      <c r="KJ60" s="15" t="str">
        <f t="shared" si="819"/>
        <v>MM_TURRET_LOCK_UNLOCK_E</v>
      </c>
      <c r="KK60" s="15" t="str">
        <f t="shared" si="819"/>
        <v>MM_TURRET_LOCK_UNLOCK_E</v>
      </c>
      <c r="KL60" s="15" t="str">
        <f t="shared" si="819"/>
        <v>MM_TURRET_LOCK_UNLOCK_E</v>
      </c>
      <c r="KM60" s="15" t="str">
        <f t="shared" si="819"/>
        <v>MM_TURRET_LOCK_UNLOCK_E</v>
      </c>
      <c r="KN60" s="15" t="str">
        <f t="shared" si="819"/>
        <v>MM_TURRET_LOCK_UNLOCK_E</v>
      </c>
      <c r="KO60" s="15" t="str">
        <f t="shared" si="819"/>
        <v>MM_TURRET_LOCK_UNLOCK_E</v>
      </c>
      <c r="KP60" s="15" t="str">
        <f t="shared" si="819"/>
        <v>MM_TURRET_LOCK_UNLOCK_E</v>
      </c>
      <c r="KQ60" s="15" t="str">
        <f t="shared" si="819"/>
        <v>MM_TURRET_LOCK_UNLOCK_E</v>
      </c>
      <c r="KR60" s="15" t="str">
        <f t="shared" si="819"/>
        <v>MM_TURRET_LOCK_UNLOCK_E</v>
      </c>
      <c r="KS60" s="15" t="str">
        <f t="shared" si="819"/>
        <v>MM_TURRET_LOCK_UNLOCK_E</v>
      </c>
      <c r="KT60" s="15" t="str">
        <f t="shared" si="819"/>
        <v>MM_TURRET_LOCK_UNLOCK_E</v>
      </c>
      <c r="KU60" s="15" t="str">
        <f t="shared" si="819"/>
        <v>MM_TURRET_LOCK_UNLOCK_E</v>
      </c>
      <c r="KV60" s="15" t="str">
        <f t="shared" si="819"/>
        <v>MM_TURRET_LOCK_UNLOCK_E</v>
      </c>
      <c r="KW60" s="15" t="str">
        <f t="shared" si="819"/>
        <v>MM_TURRET_LOCK_UNLOCK_E</v>
      </c>
      <c r="KX60" s="15" t="str">
        <f t="shared" si="819"/>
        <v>MM_TURRET_LOCK_UNLOCK_E</v>
      </c>
      <c r="KY60" s="15" t="str">
        <f t="shared" si="819"/>
        <v>MM_TURRET_LOCK_UNLOCK_E</v>
      </c>
      <c r="KZ60" s="15" t="str">
        <f t="shared" si="819"/>
        <v>MM_TURRET_LOCK_UNLOCK_E</v>
      </c>
      <c r="LA60" s="15" t="str">
        <f t="shared" si="819"/>
        <v>MM_TURRET_LOCK_UNLOCK_E</v>
      </c>
      <c r="LB60" s="15" t="str">
        <f t="shared" si="819"/>
        <v>MM_TURRET_LOCK_UNLOCK_E</v>
      </c>
      <c r="LC60" s="15" t="str">
        <f t="shared" si="819"/>
        <v>MM_TURRET_LOCK_UNLOCK_E</v>
      </c>
      <c r="LD60" s="15" t="str">
        <f t="shared" si="819"/>
        <v>MM_TURRET_LOCK_UNLOCK_E</v>
      </c>
      <c r="LE60" s="15" t="str">
        <f t="shared" ref="LE60:LX60" si="820">IF( EXACT(LE23, "LVC_UNLOCKED_E"), "MM_TURRET_LOCK_UNLOCK_E", IF(EXACT(LE23, "LVC_LOCKED_E"), "MM_TURRET_LOCK_LOCK_E", LD60))</f>
        <v>MM_TURRET_LOCK_UNLOCK_E</v>
      </c>
      <c r="LF60" s="15" t="str">
        <f t="shared" si="820"/>
        <v>MM_TURRET_LOCK_UNLOCK_E</v>
      </c>
      <c r="LG60" s="15" t="str">
        <f t="shared" si="820"/>
        <v>MM_TURRET_LOCK_UNLOCK_E</v>
      </c>
      <c r="LH60" s="15" t="str">
        <f t="shared" si="820"/>
        <v>MM_TURRET_LOCK_UNLOCK_E</v>
      </c>
      <c r="LI60" s="15" t="str">
        <f t="shared" si="820"/>
        <v>MM_TURRET_LOCK_UNLOCK_E</v>
      </c>
      <c r="LJ60" s="15" t="str">
        <f t="shared" si="820"/>
        <v>MM_TURRET_LOCK_UNLOCK_E</v>
      </c>
      <c r="LK60" s="15" t="str">
        <f t="shared" si="820"/>
        <v>MM_TURRET_LOCK_UNLOCK_E</v>
      </c>
      <c r="LL60" s="15" t="str">
        <f t="shared" si="820"/>
        <v>MM_TURRET_LOCK_UNLOCK_E</v>
      </c>
      <c r="LM60" s="15" t="str">
        <f t="shared" si="820"/>
        <v>MM_TURRET_LOCK_UNLOCK_E</v>
      </c>
      <c r="LN60" s="15" t="str">
        <f t="shared" si="820"/>
        <v>MM_TURRET_LOCK_UNLOCK_E</v>
      </c>
      <c r="LO60" s="15" t="str">
        <f t="shared" si="820"/>
        <v>MM_TURRET_LOCK_UNLOCK_E</v>
      </c>
      <c r="LP60" s="15" t="str">
        <f t="shared" si="820"/>
        <v>MM_TURRET_LOCK_UNLOCK_E</v>
      </c>
      <c r="LQ60" s="15" t="str">
        <f t="shared" si="820"/>
        <v>MM_TURRET_LOCK_UNLOCK_E</v>
      </c>
      <c r="LR60" s="15" t="str">
        <f t="shared" si="820"/>
        <v>MM_TURRET_LOCK_UNLOCK_E</v>
      </c>
      <c r="LS60" s="15" t="str">
        <f t="shared" si="820"/>
        <v>MM_TURRET_LOCK_UNLOCK_E</v>
      </c>
      <c r="LT60" s="15" t="str">
        <f t="shared" si="820"/>
        <v>MM_TURRET_LOCK_UNLOCK_E</v>
      </c>
      <c r="LU60" s="15" t="str">
        <f t="shared" si="820"/>
        <v>MM_TURRET_LOCK_UNLOCK_E</v>
      </c>
      <c r="LV60" s="15" t="str">
        <f t="shared" si="820"/>
        <v>MM_TURRET_LOCK_UNLOCK_E</v>
      </c>
      <c r="LW60" s="15" t="str">
        <f t="shared" si="820"/>
        <v>MM_TURRET_LOCK_UNLOCK_E</v>
      </c>
      <c r="LX60" s="15" t="str">
        <f t="shared" si="820"/>
        <v>MM_TURRET_LOCK_UNLOCK_E</v>
      </c>
      <c r="LY60" s="15" t="str">
        <f t="shared" ref="LY60:ME60" si="821">IF( EXACT(LY23, "LVC_UNLOCKED_E"), "MM_TURRET_LOCK_UNLOCK_E", IF(EXACT(LY23, "LVC_LOCKED_E"), "MM_TURRET_LOCK_LOCK_E", LW60))</f>
        <v>MM_TURRET_LOCK_UNLOCK_E</v>
      </c>
      <c r="LZ60" s="15" t="str">
        <f t="shared" si="821"/>
        <v>MM_TURRET_LOCK_UNLOCK_E</v>
      </c>
      <c r="MA60" s="15" t="str">
        <f t="shared" si="821"/>
        <v>MM_TURRET_LOCK_UNLOCK_E</v>
      </c>
      <c r="MB60" s="15" t="str">
        <f t="shared" si="821"/>
        <v>MM_TURRET_LOCK_UNLOCK_E</v>
      </c>
      <c r="MC60" s="15" t="str">
        <f t="shared" si="821"/>
        <v>MM_TURRET_LOCK_UNLOCK_E</v>
      </c>
      <c r="MD60" s="15" t="str">
        <f t="shared" si="821"/>
        <v>MM_TURRET_LOCK_UNLOCK_E</v>
      </c>
      <c r="ME60" s="15" t="str">
        <f t="shared" si="821"/>
        <v>MM_TURRET_LOCK_UNLOCK_E</v>
      </c>
      <c r="MF60" s="15" t="s">
        <v>148</v>
      </c>
      <c r="MG60" s="15" t="s">
        <v>148</v>
      </c>
      <c r="MH60" s="15" t="str">
        <f>IF( EXACT(MH23, "LVC_UNLOCKED_E"), "MM_TURRET_LOCK_UNLOCK_E", IF(EXACT(MH23, "LVC_LOCKED_E"), "MM_TURRET_LOCK_LOCK_E", MF60))</f>
        <v>MM_TURRET_LOCK_UNLOCK_E</v>
      </c>
      <c r="MI60" s="15" t="s">
        <v>148</v>
      </c>
      <c r="MJ60" s="15" t="s">
        <v>148</v>
      </c>
      <c r="MK60" s="15" t="s">
        <v>148</v>
      </c>
      <c r="ML60" s="15" t="s">
        <v>148</v>
      </c>
      <c r="MM60" s="15" t="s">
        <v>148</v>
      </c>
      <c r="MN60" s="15" t="str">
        <f>IF( EXACT(MN23, "LVC_UNLOCKED_E"), "MM_TURRET_LOCK_UNLOCK_E", IF(EXACT(MN23, "LVC_LOCKED_E"), "MM_TURRET_LOCK_LOCK_E", ML60))</f>
        <v>MM_TURRET_LOCK_LOCK_E</v>
      </c>
      <c r="MO60" s="15" t="str">
        <f>IF( EXACT(MO23, "LVC_UNLOCKED_E"), "MM_TURRET_LOCK_UNLOCK_E", IF(EXACT(MO23, "LVC_LOCKED_E"), "MM_TURRET_LOCK_LOCK_E", MM60))</f>
        <v>MM_TURRET_LOCK_LOCK_E</v>
      </c>
      <c r="MP60" s="15" t="str">
        <f>IF( EXACT(MP23, "LVC_UNLOCKED_E"), "MM_TURRET_LOCK_UNLOCK_E", IF(EXACT(MP23, "LVC_LOCKED_E"), "MM_TURRET_LOCK_LOCK_E", MN60))</f>
        <v>MM_TURRET_LOCK_LOCK_E</v>
      </c>
      <c r="MQ60" s="15" t="str">
        <f>IF( EXACT(MQ23, "LVC_UNLOCKED_E"), "MM_TURRET_LOCK_UNLOCK_E", IF(EXACT(MQ23, "LVC_LOCKED_E"), "MM_TURRET_LOCK_LOCK_E", MO60))</f>
        <v>MM_TURRET_LOCK_LOCK_E</v>
      </c>
      <c r="MR60" s="15" t="str">
        <f>IF( EXACT(MR23, "LVC_UNLOCKED_E"), "MM_TURRET_LOCK_UNLOCK_E", IF(EXACT(MR23, "LVC_LOCKED_E"), "MM_TURRET_LOCK_LOCK_E", MP60))</f>
        <v>MM_TURRET_LOCK_LOCK_E</v>
      </c>
      <c r="MS60" s="15" t="s">
        <v>148</v>
      </c>
      <c r="MT60" s="15" t="s">
        <v>148</v>
      </c>
      <c r="MU60" s="15" t="s">
        <v>148</v>
      </c>
      <c r="MV60" s="15" t="s">
        <v>148</v>
      </c>
      <c r="MW60" s="15" t="s">
        <v>148</v>
      </c>
      <c r="MX60" s="15" t="str">
        <f>IF( EXACT(MX23, "LVC_UNLOCKED_E"), "MM_TURRET_LOCK_UNLOCK_E", IF(EXACT(MX23, "LVC_LOCKED_E"), "MM_TURRET_LOCK_LOCK_E", MV60))</f>
        <v>MM_TURRET_LOCK_UNLOCK_E</v>
      </c>
      <c r="MY60" s="15" t="str">
        <f>IF( EXACT(MY23, "LVC_UNLOCKED_E"), "MM_TURRET_LOCK_UNLOCK_E", IF(EXACT(MY23, "LVC_LOCKED_E"), "MM_TURRET_LOCK_LOCK_E", MW60))</f>
        <v>MM_TURRET_LOCK_UNLOCK_E</v>
      </c>
      <c r="MZ60" s="15" t="str">
        <f>IF( EXACT(MZ23, "LVC_UNLOCKED_E"), "MM_TURRET_LOCK_UNLOCK_E", IF(EXACT(MZ23, "LVC_LOCKED_E"), "MM_TURRET_LOCK_LOCK_E", MX60))</f>
        <v>MM_TURRET_LOCK_UNLOCK_E</v>
      </c>
      <c r="NA60" s="15" t="str">
        <f>IF( EXACT(NA23, "LVC_UNLOCKED_E"), "MM_TURRET_LOCK_UNLOCK_E", IF(EXACT(NA23, "LVC_LOCKED_E"), "MM_TURRET_LOCK_LOCK_E", MY60))</f>
        <v>MM_TURRET_LOCK_UNLOCK_E</v>
      </c>
      <c r="NB60" s="15" t="str">
        <f>IF( EXACT(NB23, "LVC_UNLOCKED_E"), "MM_TURRET_LOCK_UNLOCK_E", IF(EXACT(NB23, "LVC_LOCKED_E"), "MM_TURRET_LOCK_LOCK_E", MZ60))</f>
        <v>MM_TURRET_LOCK_UNLOCK_E</v>
      </c>
      <c r="NC60" s="15" t="s">
        <v>148</v>
      </c>
      <c r="ND60" s="15" t="s">
        <v>148</v>
      </c>
      <c r="NE60" s="15" t="s">
        <v>148</v>
      </c>
      <c r="NF60" s="15" t="s">
        <v>148</v>
      </c>
      <c r="NG60" s="15" t="s">
        <v>148</v>
      </c>
      <c r="NH60" s="15" t="str">
        <f t="shared" ref="NH60:NM60" si="822">IF( EXACT(NH23, "LVC_UNLOCKED_E"), "MM_TURRET_LOCK_UNLOCK_E", IF(EXACT(NH23, "LVC_LOCKED_E"), "MM_TURRET_LOCK_LOCK_E", NF60))</f>
        <v>MM_TURRET_LOCK_UNLOCK_E</v>
      </c>
      <c r="NI60" s="15" t="str">
        <f t="shared" si="822"/>
        <v>MM_TURRET_LOCK_UNLOCK_E</v>
      </c>
      <c r="NJ60" s="15" t="str">
        <f t="shared" si="822"/>
        <v>MM_TURRET_LOCK_UNLOCK_E</v>
      </c>
      <c r="NK60" s="15" t="str">
        <f t="shared" si="822"/>
        <v>MM_TURRET_LOCK_UNLOCK_E</v>
      </c>
      <c r="NL60" s="15" t="str">
        <f t="shared" si="822"/>
        <v>MM_TURRET_LOCK_UNLOCK_E</v>
      </c>
      <c r="NM60" s="15" t="str">
        <f t="shared" si="822"/>
        <v>MM_TURRET_LOCK_UNLOCK_E</v>
      </c>
      <c r="NN60" s="15" t="s">
        <v>94</v>
      </c>
      <c r="NO60" s="15" t="s">
        <v>94</v>
      </c>
      <c r="NP60" s="15" t="s">
        <v>94</v>
      </c>
      <c r="NQ60" s="15" t="str">
        <f>IF( EXACT(NQ23, "LVC_UNLOCKED_E"), "MM_TURRET_LOCK_UNLOCK_E", IF(EXACT(NQ23, "LVC_LOCKED_E"), "MM_TURRET_LOCK_LOCK_E", NO60))</f>
        <v>MM_TURRET_LOCK_LOCK_E</v>
      </c>
      <c r="NR60" s="15" t="str">
        <f>IF( EXACT(NR23, "LVC_UNLOCKED_E"), "MM_TURRET_LOCK_UNLOCK_E", IF(EXACT(NR23, "LVC_LOCKED_E"), "MM_TURRET_LOCK_LOCK_E", NP60))</f>
        <v>MM_TURRET_LOCK_UNLOCK_E</v>
      </c>
      <c r="NS60" s="15" t="s">
        <v>148</v>
      </c>
      <c r="NT60" s="15" t="str">
        <f>IF( EXACT(NT58,"MM_SYSTEM_MODE_PUSHBACK_ATA_TAS_E"), "MM_TURRET_LOCK_UNLOCK_E", IF( EXACT(NT58,"MM_SYSTEM_MODE_PUSHBACK_ATA_BW_E"), "MM_TURRET_LOCK_LOCK_E", IF( EXACT(NT58,"MM_SYSTEM_MODE_MAINTENANCE_TOWING_E"), "MM_TURRET_LOCK_LOCK_E", "****")))</f>
        <v>MM_TURRET_LOCK_UNLOCK_E</v>
      </c>
      <c r="NU60" s="15" t="str">
        <f t="shared" ref="NU60:QH60" si="823">IF( EXACT(NU58,"MM_SYSTEM_MODE_PUSHBACK_ATA_TAS_E"), "MM_TURRET_LOCK_UNLOCK_E", IF( EXACT(NU58,"MM_SYSTEM_MODE_PUSHBACK_ATA_BW_E"), "MM_TURRET_LOCK_LOCK_E", IF( EXACT(NU58,"MM_SYSTEM_MODE_MAINTENANCE_TOWING_E"), "MM_TURRET_LOCK_LOCK_E", "****")))</f>
        <v>MM_TURRET_LOCK_UNLOCK_E</v>
      </c>
      <c r="NV60" s="15" t="str">
        <f t="shared" si="823"/>
        <v>MM_TURRET_LOCK_UNLOCK_E</v>
      </c>
      <c r="NW60" s="15" t="str">
        <f t="shared" si="823"/>
        <v>MM_TURRET_LOCK_UNLOCK_E</v>
      </c>
      <c r="NX60" s="15" t="str">
        <f t="shared" si="823"/>
        <v>MM_TURRET_LOCK_UNLOCK_E</v>
      </c>
      <c r="NY60" s="15" t="str">
        <f t="shared" si="823"/>
        <v>MM_TURRET_LOCK_UNLOCK_E</v>
      </c>
      <c r="NZ60" s="15" t="str">
        <f t="shared" si="823"/>
        <v>MM_TURRET_LOCK_UNLOCK_E</v>
      </c>
      <c r="OA60" s="15" t="str">
        <f t="shared" si="823"/>
        <v>MM_TURRET_LOCK_UNLOCK_E</v>
      </c>
      <c r="OB60" s="15" t="str">
        <f t="shared" si="823"/>
        <v>MM_TURRET_LOCK_UNLOCK_E</v>
      </c>
      <c r="OC60" s="15" t="str">
        <f t="shared" si="823"/>
        <v>MM_TURRET_LOCK_UNLOCK_E</v>
      </c>
      <c r="OD60" s="15" t="str">
        <f t="shared" si="823"/>
        <v>MM_TURRET_LOCK_UNLOCK_E</v>
      </c>
      <c r="OE60" s="15" t="str">
        <f t="shared" si="823"/>
        <v>MM_TURRET_LOCK_UNLOCK_E</v>
      </c>
      <c r="OF60" s="15" t="str">
        <f t="shared" si="823"/>
        <v>MM_TURRET_LOCK_UNLOCK_E</v>
      </c>
      <c r="OG60" s="15" t="str">
        <f t="shared" si="823"/>
        <v>MM_TURRET_LOCK_UNLOCK_E</v>
      </c>
      <c r="OH60" s="15" t="str">
        <f t="shared" si="823"/>
        <v>MM_TURRET_LOCK_UNLOCK_E</v>
      </c>
      <c r="OI60" s="15" t="str">
        <f t="shared" si="823"/>
        <v>MM_TURRET_LOCK_UNLOCK_E</v>
      </c>
      <c r="OJ60" s="15" t="str">
        <f t="shared" si="823"/>
        <v>MM_TURRET_LOCK_UNLOCK_E</v>
      </c>
      <c r="OK60" s="15" t="str">
        <f t="shared" si="823"/>
        <v>MM_TURRET_LOCK_UNLOCK_E</v>
      </c>
      <c r="OL60" s="15" t="str">
        <f t="shared" si="823"/>
        <v>MM_TURRET_LOCK_UNLOCK_E</v>
      </c>
      <c r="OM60" s="15" t="str">
        <f t="shared" si="823"/>
        <v>MM_TURRET_LOCK_UNLOCK_E</v>
      </c>
      <c r="ON60" s="15" t="str">
        <f t="shared" si="823"/>
        <v>MM_TURRET_LOCK_UNLOCK_E</v>
      </c>
      <c r="OO60" s="15" t="str">
        <f t="shared" si="823"/>
        <v>MM_TURRET_LOCK_UNLOCK_E</v>
      </c>
      <c r="OP60" s="15" t="str">
        <f t="shared" si="823"/>
        <v>MM_TURRET_LOCK_UNLOCK_E</v>
      </c>
      <c r="OQ60" s="15" t="str">
        <f t="shared" si="823"/>
        <v>MM_TURRET_LOCK_UNLOCK_E</v>
      </c>
      <c r="OR60" s="15" t="str">
        <f t="shared" si="823"/>
        <v>MM_TURRET_LOCK_UNLOCK_E</v>
      </c>
      <c r="OS60" s="15" t="str">
        <f t="shared" si="823"/>
        <v>MM_TURRET_LOCK_UNLOCK_E</v>
      </c>
      <c r="OT60" s="15" t="str">
        <f t="shared" si="823"/>
        <v>MM_TURRET_LOCK_UNLOCK_E</v>
      </c>
      <c r="OU60" s="15" t="str">
        <f t="shared" si="823"/>
        <v>MM_TURRET_LOCK_UNLOCK_E</v>
      </c>
      <c r="OV60" s="15" t="str">
        <f t="shared" si="823"/>
        <v>MM_TURRET_LOCK_UNLOCK_E</v>
      </c>
      <c r="OW60" s="15" t="str">
        <f t="shared" si="823"/>
        <v>MM_TURRET_LOCK_UNLOCK_E</v>
      </c>
      <c r="OX60" s="15" t="str">
        <f t="shared" si="823"/>
        <v>MM_TURRET_LOCK_UNLOCK_E</v>
      </c>
      <c r="OY60" s="15" t="str">
        <f t="shared" si="823"/>
        <v>MM_TURRET_LOCK_UNLOCK_E</v>
      </c>
      <c r="OZ60" s="15" t="str">
        <f t="shared" si="823"/>
        <v>MM_TURRET_LOCK_UNLOCK_E</v>
      </c>
      <c r="PA60" s="15" t="str">
        <f t="shared" si="823"/>
        <v>MM_TURRET_LOCK_UNLOCK_E</v>
      </c>
      <c r="PB60" s="15" t="str">
        <f t="shared" si="823"/>
        <v>MM_TURRET_LOCK_UNLOCK_E</v>
      </c>
      <c r="PC60" s="15" t="str">
        <f t="shared" si="823"/>
        <v>MM_TURRET_LOCK_UNLOCK_E</v>
      </c>
      <c r="PD60" s="15" t="str">
        <f t="shared" si="823"/>
        <v>MM_TURRET_LOCK_UNLOCK_E</v>
      </c>
      <c r="PE60" s="15" t="str">
        <f t="shared" si="823"/>
        <v>MM_TURRET_LOCK_UNLOCK_E</v>
      </c>
      <c r="PF60" s="15" t="str">
        <f t="shared" si="823"/>
        <v>MM_TURRET_LOCK_UNLOCK_E</v>
      </c>
      <c r="PG60" s="15" t="str">
        <f t="shared" si="823"/>
        <v>MM_TURRET_LOCK_UNLOCK_E</v>
      </c>
      <c r="PH60" s="15" t="str">
        <f t="shared" si="823"/>
        <v>MM_TURRET_LOCK_UNLOCK_E</v>
      </c>
      <c r="PI60" s="15" t="str">
        <f t="shared" si="823"/>
        <v>MM_TURRET_LOCK_UNLOCK_E</v>
      </c>
      <c r="PJ60" s="15" t="str">
        <f t="shared" si="823"/>
        <v>MM_TURRET_LOCK_UNLOCK_E</v>
      </c>
      <c r="PK60" s="15" t="str">
        <f t="shared" si="823"/>
        <v>MM_TURRET_LOCK_UNLOCK_E</v>
      </c>
      <c r="PL60" s="15" t="str">
        <f t="shared" si="823"/>
        <v>MM_TURRET_LOCK_UNLOCK_E</v>
      </c>
      <c r="PM60" s="15" t="str">
        <f t="shared" si="823"/>
        <v>MM_TURRET_LOCK_UNLOCK_E</v>
      </c>
      <c r="PN60" s="15" t="str">
        <f t="shared" si="823"/>
        <v>MM_TURRET_LOCK_UNLOCK_E</v>
      </c>
      <c r="PO60" s="15" t="str">
        <f t="shared" si="823"/>
        <v>MM_TURRET_LOCK_UNLOCK_E</v>
      </c>
      <c r="PP60" s="15" t="str">
        <f t="shared" si="823"/>
        <v>MM_TURRET_LOCK_UNLOCK_E</v>
      </c>
      <c r="PQ60" s="15" t="str">
        <f t="shared" si="823"/>
        <v>MM_TURRET_LOCK_UNLOCK_E</v>
      </c>
      <c r="PR60" s="15" t="str">
        <f t="shared" si="823"/>
        <v>MM_TURRET_LOCK_UNLOCK_E</v>
      </c>
      <c r="PS60" s="15" t="str">
        <f t="shared" si="823"/>
        <v>MM_TURRET_LOCK_UNLOCK_E</v>
      </c>
      <c r="PT60" s="15" t="str">
        <f t="shared" si="823"/>
        <v>MM_TURRET_LOCK_UNLOCK_E</v>
      </c>
      <c r="PU60" s="15" t="str">
        <f t="shared" si="823"/>
        <v>MM_TURRET_LOCK_UNLOCK_E</v>
      </c>
      <c r="PV60" s="15" t="str">
        <f t="shared" si="823"/>
        <v>MM_TURRET_LOCK_UNLOCK_E</v>
      </c>
      <c r="PW60" s="15" t="str">
        <f t="shared" si="823"/>
        <v>MM_TURRET_LOCK_UNLOCK_E</v>
      </c>
      <c r="PX60" s="15" t="str">
        <f t="shared" si="823"/>
        <v>MM_TURRET_LOCK_UNLOCK_E</v>
      </c>
      <c r="PY60" s="15" t="str">
        <f t="shared" si="823"/>
        <v>MM_TURRET_LOCK_UNLOCK_E</v>
      </c>
      <c r="PZ60" s="15" t="str">
        <f t="shared" si="823"/>
        <v>MM_TURRET_LOCK_UNLOCK_E</v>
      </c>
      <c r="QA60" s="15" t="str">
        <f t="shared" si="823"/>
        <v>MM_TURRET_LOCK_UNLOCK_E</v>
      </c>
      <c r="QB60" s="15" t="str">
        <f t="shared" si="823"/>
        <v>MM_TURRET_LOCK_UNLOCK_E</v>
      </c>
      <c r="QC60" s="15" t="str">
        <f t="shared" ref="QC60" si="824">IF( EXACT(QC58,"MM_SYSTEM_MODE_PUSHBACK_ATA_TAS_E"), "MM_TURRET_LOCK_UNLOCK_E", IF( EXACT(QC58,"MM_SYSTEM_MODE_PUSHBACK_ATA_BW_E"), "MM_TURRET_LOCK_LOCK_E", IF( EXACT(QC58,"MM_SYSTEM_MODE_MAINTENANCE_TOWING_E"), "MM_TURRET_LOCK_LOCK_E", "****")))</f>
        <v>MM_TURRET_LOCK_UNLOCK_E</v>
      </c>
      <c r="QD60" s="15" t="str">
        <f t="shared" si="823"/>
        <v>MM_TURRET_LOCK_UNLOCK_E</v>
      </c>
      <c r="QE60" s="15" t="str">
        <f t="shared" ref="QE60" si="825">IF( EXACT(QE58,"MM_SYSTEM_MODE_PUSHBACK_ATA_TAS_E"), "MM_TURRET_LOCK_UNLOCK_E", IF( EXACT(QE58,"MM_SYSTEM_MODE_PUSHBACK_ATA_BW_E"), "MM_TURRET_LOCK_LOCK_E", IF( EXACT(QE58,"MM_SYSTEM_MODE_MAINTENANCE_TOWING_E"), "MM_TURRET_LOCK_LOCK_E", "****")))</f>
        <v>MM_TURRET_LOCK_UNLOCK_E</v>
      </c>
      <c r="QF60" s="15" t="str">
        <f t="shared" si="823"/>
        <v>MM_TURRET_LOCK_UNLOCK_E</v>
      </c>
      <c r="QG60" s="15" t="str">
        <f t="shared" si="823"/>
        <v>MM_TURRET_LOCK_UNLOCK_E</v>
      </c>
      <c r="QH60" s="15" t="str">
        <f t="shared" si="823"/>
        <v>MM_TURRET_LOCK_UNLOCK_E</v>
      </c>
      <c r="QI60" s="15" t="str">
        <f t="shared" ref="QI60:QK60" si="826">IF( EXACT(QI58,"MM_SYSTEM_MODE_PUSHBACK_ATA_TAS_E"), "MM_TURRET_LOCK_UNLOCK_E", IF( EXACT(QI58,"MM_SYSTEM_MODE_PUSHBACK_ATA_BW_E"), "MM_TURRET_LOCK_LOCK_E", IF( EXACT(QI58,"MM_SYSTEM_MODE_MAINTENANCE_TOWING_E"), "MM_TURRET_LOCK_LOCK_E", "****")))</f>
        <v>MM_TURRET_LOCK_UNLOCK_E</v>
      </c>
      <c r="QJ60" s="15" t="str">
        <f t="shared" si="826"/>
        <v>MM_TURRET_LOCK_UNLOCK_E</v>
      </c>
      <c r="QK60" s="15" t="str">
        <f t="shared" si="826"/>
        <v>MM_TURRET_LOCK_UNLOCK_E</v>
      </c>
      <c r="QL60" s="15" t="str">
        <f t="shared" ref="QL60:QN60" si="827">IF( EXACT(QL58,"MM_SYSTEM_MODE_PUSHBACK_ATA_TAS_E"), "MM_TURRET_LOCK_UNLOCK_E", IF( EXACT(QL58,"MM_SYSTEM_MODE_PUSHBACK_ATA_BW_E"), "MM_TURRET_LOCK_LOCK_E", IF( EXACT(QL58,"MM_SYSTEM_MODE_MAINTENANCE_TOWING_E"), "MM_TURRET_LOCK_LOCK_E", "****")))</f>
        <v>MM_TURRET_LOCK_UNLOCK_E</v>
      </c>
      <c r="QM60" s="15" t="str">
        <f t="shared" si="827"/>
        <v>MM_TURRET_LOCK_UNLOCK_E</v>
      </c>
      <c r="QN60" s="15" t="str">
        <f t="shared" si="827"/>
        <v>MM_TURRET_LOCK_UNLOCK_E</v>
      </c>
      <c r="QO60" s="15" t="str">
        <f t="shared" ref="QO60:QR60" si="828">IF( EXACT(QO58,"MM_SYSTEM_MODE_PUSHBACK_ATA_TAS_E"), "MM_TURRET_LOCK_UNLOCK_E", IF( EXACT(QO58,"MM_SYSTEM_MODE_PUSHBACK_ATA_BW_E"), "MM_TURRET_LOCK_LOCK_E", IF( EXACT(QO58,"MM_SYSTEM_MODE_MAINTENANCE_TOWING_E"), "MM_TURRET_LOCK_LOCK_E", "****")))</f>
        <v>MM_TURRET_LOCK_UNLOCK_E</v>
      </c>
      <c r="QP60" s="15" t="str">
        <f t="shared" si="828"/>
        <v>MM_TURRET_LOCK_UNLOCK_E</v>
      </c>
      <c r="QQ60" s="15" t="str">
        <f t="shared" si="828"/>
        <v>MM_TURRET_LOCK_UNLOCK_E</v>
      </c>
      <c r="QR60" s="15" t="str">
        <f t="shared" si="828"/>
        <v>MM_TURRET_LOCK_UNLOCK_E</v>
      </c>
      <c r="QS60" s="15" t="str">
        <f t="shared" ref="QS60" si="829">IF( EXACT(QS58,"MM_SYSTEM_MODE_PUSHBACK_ATA_TAS_E"), "MM_TURRET_LOCK_UNLOCK_E", IF( EXACT(QS58,"MM_SYSTEM_MODE_PUSHBACK_ATA_BW_E"), "MM_TURRET_LOCK_LOCK_E", IF( EXACT(QS58,"MM_SYSTEM_MODE_MAINTENANCE_TOWING_E"), "MM_TURRET_LOCK_LOCK_E", "****")))</f>
        <v>MM_TURRET_LOCK_UNLOCK_E</v>
      </c>
      <c r="QT60" s="15" t="str">
        <f t="shared" ref="QT60:QV60" si="830">IF( EXACT(QT58,"MM_SYSTEM_MODE_PUSHBACK_ATA_TAS_E"), "MM_TURRET_LOCK_UNLOCK_E", IF( EXACT(QT58,"MM_SYSTEM_MODE_PUSHBACK_ATA_BW_E"), "MM_TURRET_LOCK_LOCK_E", IF( EXACT(QT58,"MM_SYSTEM_MODE_MAINTENANCE_TOWING_E"), "MM_TURRET_LOCK_LOCK_E", "****")))</f>
        <v>MM_TURRET_LOCK_UNLOCK_E</v>
      </c>
      <c r="QU60" s="15" t="str">
        <f t="shared" ref="QU60" si="831">IF( EXACT(QU58,"MM_SYSTEM_MODE_PUSHBACK_ATA_TAS_E"), "MM_TURRET_LOCK_UNLOCK_E", IF( EXACT(QU58,"MM_SYSTEM_MODE_PUSHBACK_ATA_BW_E"), "MM_TURRET_LOCK_LOCK_E", IF( EXACT(QU58,"MM_SYSTEM_MODE_MAINTENANCE_TOWING_E"), "MM_TURRET_LOCK_LOCK_E", "****")))</f>
        <v>MM_TURRET_LOCK_UNLOCK_E</v>
      </c>
      <c r="QV60" s="15" t="str">
        <f t="shared" si="830"/>
        <v>MM_TURRET_LOCK_UNLOCK_E</v>
      </c>
      <c r="QW60" s="15" t="str">
        <f t="shared" ref="QW60:RD60" si="832">IF( EXACT(QW58,"MM_SYSTEM_MODE_PUSHBACK_ATA_TAS_E"), "MM_TURRET_LOCK_UNLOCK_E", IF( EXACT(QW58,"MM_SYSTEM_MODE_PUSHBACK_ATA_BW_E"), "MM_TURRET_LOCK_LOCK_E", IF( EXACT(QW58,"MM_SYSTEM_MODE_MAINTENANCE_TOWING_E"), "MM_TURRET_LOCK_LOCK_E", "****")))</f>
        <v>MM_TURRET_LOCK_UNLOCK_E</v>
      </c>
      <c r="QX60" s="15" t="str">
        <f t="shared" si="832"/>
        <v>MM_TURRET_LOCK_UNLOCK_E</v>
      </c>
      <c r="QY60" s="15" t="str">
        <f t="shared" si="832"/>
        <v>MM_TURRET_LOCK_UNLOCK_E</v>
      </c>
      <c r="QZ60" s="15" t="str">
        <f t="shared" si="832"/>
        <v>MM_TURRET_LOCK_UNLOCK_E</v>
      </c>
      <c r="RA60" s="15" t="str">
        <f t="shared" si="832"/>
        <v>MM_TURRET_LOCK_UNLOCK_E</v>
      </c>
      <c r="RB60" s="15" t="str">
        <f t="shared" si="832"/>
        <v>MM_TURRET_LOCK_UNLOCK_E</v>
      </c>
      <c r="RC60" s="15" t="str">
        <f t="shared" si="832"/>
        <v>MM_TURRET_LOCK_UNLOCK_E</v>
      </c>
      <c r="RD60" s="15" t="str">
        <f t="shared" si="832"/>
        <v>MM_TURRET_LOCK_UNLOCK_E</v>
      </c>
      <c r="RE60" s="15" t="str">
        <f t="shared" ref="RE60:RH60" si="833">IF( EXACT(RE58,"MM_SYSTEM_MODE_PUSHBACK_ATA_TAS_E"), "MM_TURRET_LOCK_UNLOCK_E", IF( EXACT(RE58,"MM_SYSTEM_MODE_PUSHBACK_ATA_BW_E"), "MM_TURRET_LOCK_LOCK_E", IF( EXACT(RE58,"MM_SYSTEM_MODE_MAINTENANCE_TOWING_E"), "MM_TURRET_LOCK_LOCK_E", "****")))</f>
        <v>MM_TURRET_LOCK_UNLOCK_E</v>
      </c>
      <c r="RF60" s="15" t="str">
        <f t="shared" si="833"/>
        <v>MM_TURRET_LOCK_UNLOCK_E</v>
      </c>
      <c r="RG60" s="15" t="str">
        <f t="shared" si="833"/>
        <v>MM_TURRET_LOCK_UNLOCK_E</v>
      </c>
      <c r="RH60" s="15" t="str">
        <f t="shared" si="833"/>
        <v>MM_TURRET_LOCK_UNLOCK_E</v>
      </c>
      <c r="RI60" s="15" t="str">
        <f t="shared" ref="RI60:RQ60" si="834">IF( EXACT(RI58,"MM_SYSTEM_MODE_PUSHBACK_ATA_TAS_E"), "MM_TURRET_LOCK_UNLOCK_E", IF( EXACT(RI58,"MM_SYSTEM_MODE_PUSHBACK_ATA_BW_E"), "MM_TURRET_LOCK_LOCK_E", IF( EXACT(RI58,"MM_SYSTEM_MODE_MAINTENANCE_TOWING_E"), "MM_TURRET_LOCK_LOCK_E", "****")))</f>
        <v>MM_TURRET_LOCK_UNLOCK_E</v>
      </c>
      <c r="RJ60" s="15" t="str">
        <f t="shared" si="834"/>
        <v>MM_TURRET_LOCK_UNLOCK_E</v>
      </c>
      <c r="RK60" s="15" t="str">
        <f t="shared" si="834"/>
        <v>MM_TURRET_LOCK_UNLOCK_E</v>
      </c>
      <c r="RL60" s="15" t="str">
        <f t="shared" si="834"/>
        <v>MM_TURRET_LOCK_UNLOCK_E</v>
      </c>
      <c r="RM60" s="15" t="str">
        <f t="shared" si="834"/>
        <v>MM_TURRET_LOCK_UNLOCK_E</v>
      </c>
      <c r="RN60" s="15" t="str">
        <f t="shared" si="834"/>
        <v>MM_TURRET_LOCK_UNLOCK_E</v>
      </c>
      <c r="RO60" s="15" t="str">
        <f t="shared" si="834"/>
        <v>MM_TURRET_LOCK_UNLOCK_E</v>
      </c>
      <c r="RP60" s="15" t="str">
        <f t="shared" si="834"/>
        <v>MM_TURRET_LOCK_UNLOCK_E</v>
      </c>
      <c r="RQ60" s="15" t="str">
        <f t="shared" si="834"/>
        <v>MM_TURRET_LOCK_UNLOCK_E</v>
      </c>
      <c r="RR60" s="15" t="s">
        <v>148</v>
      </c>
      <c r="RS60" s="15"/>
      <c r="RT60" s="15" t="s">
        <v>94</v>
      </c>
      <c r="RU60" s="15" t="s">
        <v>94</v>
      </c>
      <c r="RV60" s="15" t="s">
        <v>94</v>
      </c>
      <c r="RW60" s="15" t="s">
        <v>94</v>
      </c>
      <c r="RX60" s="15" t="s">
        <v>94</v>
      </c>
      <c r="RY60" s="15" t="s">
        <v>94</v>
      </c>
      <c r="RZ60" s="15" t="s">
        <v>148</v>
      </c>
      <c r="SA60" s="15" t="str">
        <f>IF( EXACT(SA23, "LVC_UNLOCKED_E"), "MM_TURRET_LOCK_UNLOCK_E", IF(EXACT(SA23, "LVC_LOCKED_E"), "MM_TURRET_LOCK_LOCK_E", RY60))</f>
        <v>MM_TURRET_LOCK_LOCK_E</v>
      </c>
      <c r="SB60" s="15" t="str">
        <f>IF( EXACT(SB58,"MM_SYSTEM_MODE_PUSHBACK_ATA_TAS_E"), "MM_TURRET_LOCK_UNLOCK_E", IF( EXACT(SB58,"MM_SYSTEM_MODE_PUSHBACK_ATA_BW_E"), "MM_TURRET_LOCK_LOCK_E", IF( EXACT(SB58,"MM_SYSTEM_MODE_MAINTENANCE_TOWING_E"), "MM_TURRET_LOCK_LOCK_E", "****")))</f>
        <v>MM_TURRET_LOCK_LOCK_E</v>
      </c>
      <c r="SC60" s="15" t="str">
        <f>IF( EXACT(SC58,"MM_SYSTEM_MODE_PUSHBACK_ATA_TAS_E"), "MM_TURRET_LOCK_UNLOCK_E", IF( EXACT(SC58,"MM_SYSTEM_MODE_PUSHBACK_ATA_BW_E"), "MM_TURRET_LOCK_LOCK_E", IF( EXACT(SC58,"MM_SYSTEM_MODE_MAINTENANCE_TOWING_E"), "MM_TURRET_LOCK_LOCK_E", "****")))</f>
        <v>MM_TURRET_LOCK_LOCK_E</v>
      </c>
      <c r="SD60" s="15" t="str">
        <f t="shared" ref="SD60:UP60" si="835">IF( EXACT(SD58,"MM_SYSTEM_MODE_PUSHBACK_ATA_TAS_E"), "MM_TURRET_LOCK_UNLOCK_E", IF( EXACT(SD58,"MM_SYSTEM_MODE_PUSHBACK_ATA_BW_E"), "MM_TURRET_LOCK_LOCK_E", IF( EXACT(SD58,"MM_SYSTEM_MODE_MAINTENANCE_TOWING_E"), "MM_TURRET_LOCK_LOCK_E", "****")))</f>
        <v>MM_TURRET_LOCK_LOCK_E</v>
      </c>
      <c r="SE60" s="15" t="str">
        <f t="shared" si="835"/>
        <v>MM_TURRET_LOCK_LOCK_E</v>
      </c>
      <c r="SF60" s="15" t="str">
        <f t="shared" si="835"/>
        <v>MM_TURRET_LOCK_LOCK_E</v>
      </c>
      <c r="SG60" s="15" t="str">
        <f t="shared" si="835"/>
        <v>MM_TURRET_LOCK_LOCK_E</v>
      </c>
      <c r="SH60" s="15" t="str">
        <f t="shared" si="835"/>
        <v>MM_TURRET_LOCK_LOCK_E</v>
      </c>
      <c r="SI60" s="15" t="str">
        <f t="shared" si="835"/>
        <v>MM_TURRET_LOCK_LOCK_E</v>
      </c>
      <c r="SJ60" s="15" t="str">
        <f t="shared" si="835"/>
        <v>MM_TURRET_LOCK_LOCK_E</v>
      </c>
      <c r="SK60" s="15" t="str">
        <f t="shared" si="835"/>
        <v>MM_TURRET_LOCK_LOCK_E</v>
      </c>
      <c r="SL60" s="15" t="str">
        <f t="shared" si="835"/>
        <v>MM_TURRET_LOCK_LOCK_E</v>
      </c>
      <c r="SM60" s="15" t="str">
        <f t="shared" si="835"/>
        <v>MM_TURRET_LOCK_LOCK_E</v>
      </c>
      <c r="SN60" s="15" t="str">
        <f t="shared" si="835"/>
        <v>MM_TURRET_LOCK_LOCK_E</v>
      </c>
      <c r="SO60" s="15" t="str">
        <f t="shared" si="835"/>
        <v>MM_TURRET_LOCK_LOCK_E</v>
      </c>
      <c r="SP60" s="15" t="str">
        <f t="shared" si="835"/>
        <v>MM_TURRET_LOCK_LOCK_E</v>
      </c>
      <c r="SQ60" s="15" t="str">
        <f t="shared" si="835"/>
        <v>MM_TURRET_LOCK_LOCK_E</v>
      </c>
      <c r="SR60" s="15" t="str">
        <f t="shared" si="835"/>
        <v>MM_TURRET_LOCK_LOCK_E</v>
      </c>
      <c r="SS60" s="15" t="str">
        <f t="shared" si="835"/>
        <v>MM_TURRET_LOCK_LOCK_E</v>
      </c>
      <c r="ST60" s="15" t="str">
        <f t="shared" si="835"/>
        <v>MM_TURRET_LOCK_LOCK_E</v>
      </c>
      <c r="SU60" s="15" t="str">
        <f t="shared" si="835"/>
        <v>MM_TURRET_LOCK_LOCK_E</v>
      </c>
      <c r="SV60" s="15" t="str">
        <f t="shared" si="835"/>
        <v>MM_TURRET_LOCK_LOCK_E</v>
      </c>
      <c r="SW60" s="15" t="str">
        <f t="shared" si="835"/>
        <v>MM_TURRET_LOCK_LOCK_E</v>
      </c>
      <c r="SX60" s="15" t="str">
        <f t="shared" si="835"/>
        <v>MM_TURRET_LOCK_LOCK_E</v>
      </c>
      <c r="SY60" s="15" t="str">
        <f t="shared" si="835"/>
        <v>MM_TURRET_LOCK_LOCK_E</v>
      </c>
      <c r="SZ60" s="15" t="str">
        <f t="shared" si="835"/>
        <v>MM_TURRET_LOCK_LOCK_E</v>
      </c>
      <c r="TA60" s="15" t="str">
        <f t="shared" si="835"/>
        <v>MM_TURRET_LOCK_LOCK_E</v>
      </c>
      <c r="TB60" s="15" t="str">
        <f t="shared" si="835"/>
        <v>MM_TURRET_LOCK_LOCK_E</v>
      </c>
      <c r="TC60" s="15" t="str">
        <f t="shared" si="835"/>
        <v>MM_TURRET_LOCK_LOCK_E</v>
      </c>
      <c r="TD60" s="15" t="str">
        <f t="shared" si="835"/>
        <v>MM_TURRET_LOCK_LOCK_E</v>
      </c>
      <c r="TE60" s="15" t="str">
        <f t="shared" si="835"/>
        <v>MM_TURRET_LOCK_LOCK_E</v>
      </c>
      <c r="TF60" s="15" t="str">
        <f t="shared" ref="TF60" si="836">IF( EXACT(TF58,"MM_SYSTEM_MODE_PUSHBACK_ATA_TAS_E"), "MM_TURRET_LOCK_UNLOCK_E", IF( EXACT(TF58,"MM_SYSTEM_MODE_PUSHBACK_ATA_BW_E"), "MM_TURRET_LOCK_LOCK_E", IF( EXACT(TF58,"MM_SYSTEM_MODE_MAINTENANCE_TOWING_E"), "MM_TURRET_LOCK_LOCK_E", "****")))</f>
        <v>MM_TURRET_LOCK_LOCK_E</v>
      </c>
      <c r="TG60" s="15" t="str">
        <f t="shared" si="835"/>
        <v>MM_TURRET_LOCK_LOCK_E</v>
      </c>
      <c r="TH60" s="15" t="str">
        <f t="shared" si="835"/>
        <v>MM_TURRET_LOCK_LOCK_E</v>
      </c>
      <c r="TI60" s="15" t="str">
        <f t="shared" si="835"/>
        <v>MM_TURRET_LOCK_LOCK_E</v>
      </c>
      <c r="TJ60" s="15" t="str">
        <f t="shared" si="835"/>
        <v>MM_TURRET_LOCK_LOCK_E</v>
      </c>
      <c r="TK60" s="15" t="str">
        <f t="shared" si="835"/>
        <v>MM_TURRET_LOCK_LOCK_E</v>
      </c>
      <c r="TL60" s="15" t="str">
        <f t="shared" si="835"/>
        <v>MM_TURRET_LOCK_LOCK_E</v>
      </c>
      <c r="TM60" s="15" t="str">
        <f t="shared" si="835"/>
        <v>MM_TURRET_LOCK_LOCK_E</v>
      </c>
      <c r="TN60" s="15" t="str">
        <f t="shared" si="835"/>
        <v>MM_TURRET_LOCK_LOCK_E</v>
      </c>
      <c r="TO60" s="15" t="str">
        <f t="shared" si="835"/>
        <v>MM_TURRET_LOCK_LOCK_E</v>
      </c>
      <c r="TP60" s="15" t="str">
        <f t="shared" si="835"/>
        <v>MM_TURRET_LOCK_LOCK_E</v>
      </c>
      <c r="TQ60" s="15" t="str">
        <f t="shared" si="835"/>
        <v>MM_TURRET_LOCK_LOCK_E</v>
      </c>
      <c r="TR60" s="15" t="str">
        <f t="shared" si="835"/>
        <v>MM_TURRET_LOCK_LOCK_E</v>
      </c>
      <c r="TS60" s="15" t="str">
        <f t="shared" si="835"/>
        <v>MM_TURRET_LOCK_LOCK_E</v>
      </c>
      <c r="TT60" s="15" t="str">
        <f t="shared" si="835"/>
        <v>MM_TURRET_LOCK_LOCK_E</v>
      </c>
      <c r="TU60" s="15" t="str">
        <f t="shared" si="835"/>
        <v>MM_TURRET_LOCK_LOCK_E</v>
      </c>
      <c r="TV60" s="15" t="str">
        <f t="shared" si="835"/>
        <v>MM_TURRET_LOCK_LOCK_E</v>
      </c>
      <c r="TW60" s="15" t="str">
        <f t="shared" si="835"/>
        <v>MM_TURRET_LOCK_LOCK_E</v>
      </c>
      <c r="TX60" s="15" t="str">
        <f t="shared" si="835"/>
        <v>MM_TURRET_LOCK_LOCK_E</v>
      </c>
      <c r="TY60" s="15" t="str">
        <f t="shared" si="835"/>
        <v>MM_TURRET_LOCK_LOCK_E</v>
      </c>
      <c r="TZ60" s="15" t="str">
        <f t="shared" si="835"/>
        <v>MM_TURRET_LOCK_LOCK_E</v>
      </c>
      <c r="UA60" s="15" t="str">
        <f t="shared" si="835"/>
        <v>MM_TURRET_LOCK_LOCK_E</v>
      </c>
      <c r="UB60" s="15" t="str">
        <f t="shared" si="835"/>
        <v>MM_TURRET_LOCK_LOCK_E</v>
      </c>
      <c r="UC60" s="15" t="str">
        <f t="shared" si="835"/>
        <v>MM_TURRET_LOCK_LOCK_E</v>
      </c>
      <c r="UD60" s="15" t="str">
        <f t="shared" si="835"/>
        <v>MM_TURRET_LOCK_LOCK_E</v>
      </c>
      <c r="UE60" s="15" t="str">
        <f t="shared" si="835"/>
        <v>MM_TURRET_LOCK_LOCK_E</v>
      </c>
      <c r="UF60" s="15" t="str">
        <f t="shared" si="835"/>
        <v>MM_TURRET_LOCK_LOCK_E</v>
      </c>
      <c r="UG60" s="15" t="str">
        <f t="shared" si="835"/>
        <v>MM_TURRET_LOCK_LOCK_E</v>
      </c>
      <c r="UH60" s="15" t="str">
        <f t="shared" si="835"/>
        <v>MM_TURRET_LOCK_LOCK_E</v>
      </c>
      <c r="UI60" s="15" t="str">
        <f t="shared" si="835"/>
        <v>MM_TURRET_LOCK_LOCK_E</v>
      </c>
      <c r="UJ60" s="15" t="str">
        <f t="shared" si="835"/>
        <v>MM_TURRET_LOCK_LOCK_E</v>
      </c>
      <c r="UK60" s="15" t="str">
        <f t="shared" si="835"/>
        <v>MM_TURRET_LOCK_LOCK_E</v>
      </c>
      <c r="UL60" s="15" t="str">
        <f t="shared" si="835"/>
        <v>MM_TURRET_LOCK_LOCK_E</v>
      </c>
      <c r="UM60" s="15" t="str">
        <f t="shared" si="835"/>
        <v>MM_TURRET_LOCK_LOCK_E</v>
      </c>
      <c r="UN60" s="15" t="str">
        <f t="shared" si="835"/>
        <v>MM_TURRET_LOCK_LOCK_E</v>
      </c>
      <c r="UO60" s="15" t="str">
        <f t="shared" si="835"/>
        <v>MM_TURRET_LOCK_LOCK_E</v>
      </c>
      <c r="UP60" s="15" t="str">
        <f t="shared" si="835"/>
        <v>MM_TURRET_LOCK_LOCK_E</v>
      </c>
      <c r="UQ60" s="15" t="str">
        <f t="shared" ref="UQ60:VZ60" si="837">IF( EXACT(UQ58,"MM_SYSTEM_MODE_PUSHBACK_ATA_TAS_E"), "MM_TURRET_LOCK_UNLOCK_E", IF( EXACT(UQ58,"MM_SYSTEM_MODE_PUSHBACK_ATA_BW_E"), "MM_TURRET_LOCK_LOCK_E", IF( EXACT(UQ58,"MM_SYSTEM_MODE_MAINTENANCE_TOWING_E"), "MM_TURRET_LOCK_LOCK_E", "****")))</f>
        <v>MM_TURRET_LOCK_LOCK_E</v>
      </c>
      <c r="UR60" s="15" t="str">
        <f t="shared" si="837"/>
        <v>MM_TURRET_LOCK_LOCK_E</v>
      </c>
      <c r="US60" s="15" t="str">
        <f t="shared" si="837"/>
        <v>MM_TURRET_LOCK_LOCK_E</v>
      </c>
      <c r="UT60" s="15" t="str">
        <f t="shared" si="837"/>
        <v>MM_TURRET_LOCK_LOCK_E</v>
      </c>
      <c r="UU60" s="15" t="str">
        <f t="shared" si="837"/>
        <v>MM_TURRET_LOCK_LOCK_E</v>
      </c>
      <c r="UV60" s="15" t="str">
        <f t="shared" si="837"/>
        <v>MM_TURRET_LOCK_LOCK_E</v>
      </c>
      <c r="UW60" s="15" t="str">
        <f t="shared" si="837"/>
        <v>MM_TURRET_LOCK_LOCK_E</v>
      </c>
      <c r="UX60" s="15" t="str">
        <f t="shared" si="837"/>
        <v>MM_TURRET_LOCK_LOCK_E</v>
      </c>
      <c r="UY60" s="15" t="str">
        <f t="shared" si="837"/>
        <v>MM_TURRET_LOCK_LOCK_E</v>
      </c>
      <c r="UZ60" s="15" t="str">
        <f t="shared" si="837"/>
        <v>MM_TURRET_LOCK_LOCK_E</v>
      </c>
      <c r="VA60" s="15" t="str">
        <f t="shared" si="837"/>
        <v>MM_TURRET_LOCK_LOCK_E</v>
      </c>
      <c r="VB60" s="15" t="str">
        <f t="shared" si="837"/>
        <v>MM_TURRET_LOCK_LOCK_E</v>
      </c>
      <c r="VC60" s="15" t="str">
        <f t="shared" si="837"/>
        <v>MM_TURRET_LOCK_LOCK_E</v>
      </c>
      <c r="VD60" s="15" t="str">
        <f t="shared" si="837"/>
        <v>MM_TURRET_LOCK_LOCK_E</v>
      </c>
      <c r="VE60" s="15" t="str">
        <f t="shared" si="837"/>
        <v>MM_TURRET_LOCK_LOCK_E</v>
      </c>
      <c r="VF60" s="15" t="str">
        <f t="shared" si="837"/>
        <v>MM_TURRET_LOCK_LOCK_E</v>
      </c>
      <c r="VG60" s="15" t="str">
        <f t="shared" si="837"/>
        <v>MM_TURRET_LOCK_LOCK_E</v>
      </c>
      <c r="VH60" s="15" t="str">
        <f t="shared" si="837"/>
        <v>MM_TURRET_LOCK_LOCK_E</v>
      </c>
      <c r="VI60" s="15" t="str">
        <f t="shared" si="837"/>
        <v>MM_TURRET_LOCK_LOCK_E</v>
      </c>
      <c r="VJ60" s="15" t="str">
        <f t="shared" si="837"/>
        <v>MM_TURRET_LOCK_LOCK_E</v>
      </c>
      <c r="VK60" s="15" t="str">
        <f t="shared" si="837"/>
        <v>MM_TURRET_LOCK_LOCK_E</v>
      </c>
      <c r="VL60" s="15" t="str">
        <f t="shared" si="837"/>
        <v>MM_TURRET_LOCK_LOCK_E</v>
      </c>
      <c r="VM60" s="15" t="str">
        <f t="shared" si="837"/>
        <v>MM_TURRET_LOCK_LOCK_E</v>
      </c>
      <c r="VN60" s="15" t="str">
        <f t="shared" si="837"/>
        <v>MM_TURRET_LOCK_LOCK_E</v>
      </c>
      <c r="VO60" s="15" t="str">
        <f t="shared" si="837"/>
        <v>MM_TURRET_LOCK_LOCK_E</v>
      </c>
      <c r="VP60" s="15" t="str">
        <f t="shared" si="837"/>
        <v>MM_TURRET_LOCK_LOCK_E</v>
      </c>
      <c r="VQ60" s="15" t="str">
        <f t="shared" si="837"/>
        <v>MM_TURRET_LOCK_LOCK_E</v>
      </c>
      <c r="VR60" s="15" t="str">
        <f t="shared" si="837"/>
        <v>MM_TURRET_LOCK_LOCK_E</v>
      </c>
      <c r="VS60" s="15" t="str">
        <f t="shared" si="837"/>
        <v>MM_TURRET_LOCK_LOCK_E</v>
      </c>
      <c r="VT60" s="15" t="str">
        <f t="shared" si="837"/>
        <v>MM_TURRET_LOCK_LOCK_E</v>
      </c>
      <c r="VU60" s="15" t="str">
        <f t="shared" si="837"/>
        <v>MM_TURRET_LOCK_LOCK_E</v>
      </c>
      <c r="VV60" s="15" t="str">
        <f t="shared" si="837"/>
        <v>MM_TURRET_LOCK_LOCK_E</v>
      </c>
      <c r="VW60" s="15" t="str">
        <f t="shared" si="837"/>
        <v>MM_TURRET_LOCK_LOCK_E</v>
      </c>
      <c r="VX60" s="15" t="str">
        <f t="shared" si="837"/>
        <v>MM_TURRET_LOCK_LOCK_E</v>
      </c>
      <c r="VY60" s="15" t="str">
        <f t="shared" si="837"/>
        <v>MM_TURRET_LOCK_LOCK_E</v>
      </c>
      <c r="VZ60" s="15" t="str">
        <f t="shared" si="837"/>
        <v>MM_TURRET_LOCK_LOCK_E</v>
      </c>
      <c r="WA60" s="15" t="s">
        <v>94</v>
      </c>
      <c r="WB60" s="15" t="str">
        <f>IF( EXACT(WB23, "LVC_UNLOCKED_E"), "MM_TURRET_LOCK_UNLOCK_E", IF(EXACT(WB23, "LVC_LOCKED_E"), "MM_TURRET_LOCK_LOCK_E", VD60))</f>
        <v>MM_TURRET_LOCK_LOCK_E</v>
      </c>
      <c r="WC60" s="15" t="str">
        <f t="shared" ref="WC60:WR60" si="838">IF( EXACT(WC23, "LVC_UNLOCKED_E"), "MM_TURRET_LOCK_UNLOCK_E", IF(EXACT(WC23, "LVC_LOCKED_E"), "MM_TURRET_LOCK_LOCK_E", WA60))</f>
        <v>MM_TURRET_LOCK_LOCK_E</v>
      </c>
      <c r="WD60" s="15" t="str">
        <f t="shared" si="838"/>
        <v>MM_TURRET_LOCK_LOCK_E</v>
      </c>
      <c r="WE60" s="15" t="str">
        <f t="shared" si="838"/>
        <v>MM_TURRET_LOCK_LOCK_E</v>
      </c>
      <c r="WF60" s="15" t="str">
        <f t="shared" si="838"/>
        <v>MM_TURRET_LOCK_LOCK_E</v>
      </c>
      <c r="WG60" s="15" t="str">
        <f t="shared" si="838"/>
        <v>MM_TURRET_LOCK_LOCK_E</v>
      </c>
      <c r="WH60" s="15" t="str">
        <f t="shared" si="838"/>
        <v>MM_TURRET_LOCK_LOCK_E</v>
      </c>
      <c r="WI60" s="15" t="str">
        <f t="shared" si="838"/>
        <v>MM_TURRET_LOCK_LOCK_E</v>
      </c>
      <c r="WJ60" s="15" t="str">
        <f t="shared" si="838"/>
        <v>MM_TURRET_LOCK_LOCK_E</v>
      </c>
      <c r="WK60" s="15" t="str">
        <f t="shared" si="838"/>
        <v>MM_TURRET_LOCK_LOCK_E</v>
      </c>
      <c r="WL60" s="15" t="str">
        <f t="shared" si="838"/>
        <v>MM_TURRET_LOCK_LOCK_E</v>
      </c>
      <c r="WM60" s="15" t="str">
        <f t="shared" si="838"/>
        <v>MM_TURRET_LOCK_LOCK_E</v>
      </c>
      <c r="WN60" s="15" t="str">
        <f t="shared" si="838"/>
        <v>MM_TURRET_LOCK_LOCK_E</v>
      </c>
      <c r="WO60" s="15" t="str">
        <f t="shared" si="838"/>
        <v>MM_TURRET_LOCK_LOCK_E</v>
      </c>
      <c r="WP60" s="15" t="str">
        <f t="shared" si="838"/>
        <v>MM_TURRET_LOCK_LOCK_E</v>
      </c>
      <c r="WQ60" s="15" t="str">
        <f t="shared" si="838"/>
        <v>MM_TURRET_LOCK_LOCK_E</v>
      </c>
      <c r="WR60" s="15" t="str">
        <f t="shared" si="838"/>
        <v>MM_TURRET_LOCK_LOCK_E</v>
      </c>
      <c r="WS60" s="15" t="str">
        <f>IF( EXACT(WS23, "LVC_UNLOCKED_E"), "MM_TURRET_LOCK_UNLOCK_E", IF(EXACT(WS23, "LVC_LOCKED_E"), "MM_TURRET_LOCK_LOCK_E", WO60))</f>
        <v>MM_TURRET_LOCK_LOCK_E</v>
      </c>
      <c r="WT60" s="15" t="str">
        <f>IF( EXACT(WT23, "LVC_UNLOCKED_E"), "MM_TURRET_LOCK_UNLOCK_E", IF(EXACT(WT23, "LVC_LOCKED_E"), "MM_TURRET_LOCK_LOCK_E", WQ60))</f>
        <v>MM_TURRET_LOCK_LOCK_E</v>
      </c>
      <c r="WU60" s="15" t="str">
        <f>IF( EXACT(WU23, "LVC_UNLOCKED_E"), "MM_TURRET_LOCK_UNLOCK_E", IF(EXACT(WU23, "LVC_LOCKED_E"), "MM_TURRET_LOCK_LOCK_E", WS60))</f>
        <v>MM_TURRET_LOCK_LOCK_E</v>
      </c>
      <c r="WV60" s="15" t="str">
        <f>IF( EXACT(WV23, "LVC_UNLOCKED_E"), "MM_TURRET_LOCK_UNLOCK_E", IF(EXACT(WV23, "LVC_LOCKED_E"), "MM_TURRET_LOCK_LOCK_E", WT60))</f>
        <v>MM_TURRET_LOCK_LOCK_E</v>
      </c>
      <c r="WW60" s="15" t="s">
        <v>94</v>
      </c>
      <c r="WX60" s="15" t="str">
        <f t="shared" ref="WX60:XI60" si="839">IF( EXACT(WX23, "LVC_UNLOCKED_E"), "MM_TURRET_LOCK_UNLOCK_E", IF(EXACT(WX23, "LVC_LOCKED_E"), "MM_TURRET_LOCK_LOCK_E", WV60))</f>
        <v>MM_TURRET_LOCK_LOCK_E</v>
      </c>
      <c r="WY60" s="15" t="str">
        <f t="shared" si="839"/>
        <v>MM_TURRET_LOCK_LOCK_E</v>
      </c>
      <c r="WZ60" s="15" t="str">
        <f t="shared" si="839"/>
        <v>MM_TURRET_LOCK_LOCK_E</v>
      </c>
      <c r="XA60" s="15" t="str">
        <f t="shared" si="839"/>
        <v>MM_TURRET_LOCK_LOCK_E</v>
      </c>
      <c r="XB60" s="15" t="str">
        <f t="shared" si="839"/>
        <v>MM_TURRET_LOCK_LOCK_E</v>
      </c>
      <c r="XC60" s="15" t="str">
        <f t="shared" si="839"/>
        <v>MM_TURRET_LOCK_LOCK_E</v>
      </c>
      <c r="XD60" s="15" t="str">
        <f t="shared" si="839"/>
        <v>MM_TURRET_LOCK_LOCK_E</v>
      </c>
      <c r="XE60" s="15" t="str">
        <f t="shared" si="839"/>
        <v>MM_TURRET_LOCK_LOCK_E</v>
      </c>
      <c r="XF60" s="15" t="str">
        <f t="shared" si="839"/>
        <v>MM_TURRET_LOCK_LOCK_E</v>
      </c>
      <c r="XG60" s="15" t="str">
        <f t="shared" si="839"/>
        <v>MM_TURRET_LOCK_LOCK_E</v>
      </c>
      <c r="XH60" s="15" t="str">
        <f t="shared" si="839"/>
        <v>MM_TURRET_LOCK_LOCK_E</v>
      </c>
      <c r="XI60" s="15" t="str">
        <f t="shared" si="839"/>
        <v>MM_TURRET_LOCK_LOCK_E</v>
      </c>
      <c r="XJ60" s="15" t="str">
        <f t="shared" ref="XJ60:YE60" si="840">IF( EXACT(XJ58,"MM_SYSTEM_MODE_PUSHBACK_ATA_TAS_E"), "MM_TURRET_LOCK_UNLOCK_E", IF( EXACT(XJ58,"MM_SYSTEM_MODE_PUSHBACK_ATA_BW_E"), "MM_TURRET_LOCK_LOCK_E", IF( EXACT(XJ58,"MM_SYSTEM_MODE_MAINTENANCE_TOWING_E"), "MM_TURRET_LOCK_LOCK_E", "****")))</f>
        <v>MM_TURRET_LOCK_LOCK_E</v>
      </c>
      <c r="XK60" s="15" t="str">
        <f t="shared" si="840"/>
        <v>MM_TURRET_LOCK_LOCK_E</v>
      </c>
      <c r="XL60" s="15" t="str">
        <f t="shared" si="840"/>
        <v>MM_TURRET_LOCK_LOCK_E</v>
      </c>
      <c r="XM60" s="15" t="str">
        <f t="shared" si="840"/>
        <v>MM_TURRET_LOCK_LOCK_E</v>
      </c>
      <c r="XN60" s="15" t="str">
        <f t="shared" si="840"/>
        <v>MM_TURRET_LOCK_LOCK_E</v>
      </c>
      <c r="XO60" s="15" t="str">
        <f t="shared" si="840"/>
        <v>MM_TURRET_LOCK_LOCK_E</v>
      </c>
      <c r="XP60" s="15" t="str">
        <f t="shared" si="840"/>
        <v>MM_TURRET_LOCK_LOCK_E</v>
      </c>
      <c r="XQ60" s="15" t="str">
        <f t="shared" si="840"/>
        <v>MM_TURRET_LOCK_LOCK_E</v>
      </c>
      <c r="XR60" s="15" t="str">
        <f t="shared" si="840"/>
        <v>MM_TURRET_LOCK_LOCK_E</v>
      </c>
      <c r="XS60" s="15" t="str">
        <f t="shared" si="840"/>
        <v>MM_TURRET_LOCK_LOCK_E</v>
      </c>
      <c r="XT60" s="15" t="str">
        <f t="shared" si="840"/>
        <v>MM_TURRET_LOCK_LOCK_E</v>
      </c>
      <c r="XU60" s="15" t="str">
        <f t="shared" si="840"/>
        <v>MM_TURRET_LOCK_LOCK_E</v>
      </c>
      <c r="XV60" s="15" t="str">
        <f t="shared" si="840"/>
        <v>MM_TURRET_LOCK_LOCK_E</v>
      </c>
      <c r="XW60" s="15" t="str">
        <f t="shared" si="840"/>
        <v>MM_TURRET_LOCK_LOCK_E</v>
      </c>
      <c r="XX60" s="15" t="str">
        <f t="shared" si="840"/>
        <v>MM_TURRET_LOCK_LOCK_E</v>
      </c>
      <c r="XY60" s="15" t="str">
        <f t="shared" si="840"/>
        <v>MM_TURRET_LOCK_LOCK_E</v>
      </c>
      <c r="XZ60" s="15" t="str">
        <f t="shared" si="840"/>
        <v>MM_TURRET_LOCK_LOCK_E</v>
      </c>
      <c r="YA60" s="15" t="str">
        <f t="shared" si="840"/>
        <v>MM_TURRET_LOCK_LOCK_E</v>
      </c>
      <c r="YB60" s="15" t="str">
        <f t="shared" si="840"/>
        <v>MM_TURRET_LOCK_LOCK_E</v>
      </c>
      <c r="YC60" s="15" t="str">
        <f t="shared" si="840"/>
        <v>MM_TURRET_LOCK_LOCK_E</v>
      </c>
      <c r="YD60" s="15" t="str">
        <f t="shared" si="840"/>
        <v>MM_TURRET_LOCK_LOCK_E</v>
      </c>
      <c r="YE60" s="15" t="str">
        <f t="shared" si="840"/>
        <v>MM_TURRET_LOCK_LOCK_E</v>
      </c>
      <c r="YF60" s="15" t="str">
        <f t="shared" ref="YF60:ZA60" si="841">IF( EXACT(YF58,"MM_SYSTEM_MODE_PUSHBACK_ATA_TAS_E"), "MM_TURRET_LOCK_UNLOCK_E", IF( EXACT(YF58,"MM_SYSTEM_MODE_PUSHBACK_ATA_BW_E"), "MM_TURRET_LOCK_LOCK_E", IF( EXACT(YF58,"MM_SYSTEM_MODE_MAINTENANCE_TOWING_E"), "MM_TURRET_LOCK_LOCK_E", "****")))</f>
        <v>MM_TURRET_LOCK_LOCK_E</v>
      </c>
      <c r="YG60" s="15" t="str">
        <f t="shared" si="841"/>
        <v>MM_TURRET_LOCK_LOCK_E</v>
      </c>
      <c r="YH60" s="15" t="str">
        <f t="shared" si="841"/>
        <v>MM_TURRET_LOCK_LOCK_E</v>
      </c>
      <c r="YI60" s="15" t="str">
        <f t="shared" si="841"/>
        <v>MM_TURRET_LOCK_LOCK_E</v>
      </c>
      <c r="YJ60" s="15" t="str">
        <f t="shared" si="841"/>
        <v>MM_TURRET_LOCK_LOCK_E</v>
      </c>
      <c r="YK60" s="15" t="str">
        <f t="shared" si="841"/>
        <v>MM_TURRET_LOCK_LOCK_E</v>
      </c>
      <c r="YL60" s="15" t="str">
        <f t="shared" si="841"/>
        <v>MM_TURRET_LOCK_LOCK_E</v>
      </c>
      <c r="YM60" s="15" t="str">
        <f t="shared" si="841"/>
        <v>MM_TURRET_LOCK_LOCK_E</v>
      </c>
      <c r="YN60" s="15" t="str">
        <f t="shared" si="841"/>
        <v>MM_TURRET_LOCK_LOCK_E</v>
      </c>
      <c r="YO60" s="15" t="str">
        <f t="shared" si="841"/>
        <v>MM_TURRET_LOCK_LOCK_E</v>
      </c>
      <c r="YP60" s="15" t="str">
        <f t="shared" si="841"/>
        <v>MM_TURRET_LOCK_LOCK_E</v>
      </c>
      <c r="YQ60" s="15" t="str">
        <f t="shared" si="841"/>
        <v>MM_TURRET_LOCK_LOCK_E</v>
      </c>
      <c r="YR60" s="15" t="str">
        <f t="shared" si="841"/>
        <v>MM_TURRET_LOCK_LOCK_E</v>
      </c>
      <c r="YS60" s="15" t="str">
        <f t="shared" si="841"/>
        <v>MM_TURRET_LOCK_LOCK_E</v>
      </c>
      <c r="YT60" s="15" t="str">
        <f t="shared" si="841"/>
        <v>MM_TURRET_LOCK_LOCK_E</v>
      </c>
      <c r="YU60" s="15" t="str">
        <f t="shared" si="841"/>
        <v>MM_TURRET_LOCK_LOCK_E</v>
      </c>
      <c r="YV60" s="15" t="str">
        <f t="shared" si="841"/>
        <v>MM_TURRET_LOCK_LOCK_E</v>
      </c>
      <c r="YW60" s="15" t="str">
        <f t="shared" si="841"/>
        <v>MM_TURRET_LOCK_LOCK_E</v>
      </c>
      <c r="YX60" s="15" t="str">
        <f t="shared" si="841"/>
        <v>MM_TURRET_LOCK_LOCK_E</v>
      </c>
      <c r="YY60" s="15" t="str">
        <f t="shared" si="841"/>
        <v>MM_TURRET_LOCK_LOCK_E</v>
      </c>
      <c r="YZ60" s="15" t="str">
        <f t="shared" si="841"/>
        <v>MM_TURRET_LOCK_LOCK_E</v>
      </c>
      <c r="ZA60" s="15" t="str">
        <f t="shared" si="841"/>
        <v>MM_TURRET_LOCK_LOCK_E</v>
      </c>
      <c r="ZB60" s="15" t="str">
        <f t="shared" ref="ZB60:ZJ60" si="842">IF( EXACT(ZB58,"MM_SYSTEM_MODE_PUSHBACK_ATA_TAS_E"), "MM_TURRET_LOCK_UNLOCK_E", IF( EXACT(ZB58,"MM_SYSTEM_MODE_PUSHBACK_ATA_BW_E"), "MM_TURRET_LOCK_LOCK_E", IF( EXACT(ZB58,"MM_SYSTEM_MODE_MAINTENANCE_TOWING_E"), "MM_TURRET_LOCK_LOCK_E", "****")))</f>
        <v>MM_TURRET_LOCK_LOCK_E</v>
      </c>
      <c r="ZC60" s="15" t="str">
        <f t="shared" si="842"/>
        <v>MM_TURRET_LOCK_LOCK_E</v>
      </c>
      <c r="ZD60" s="15" t="str">
        <f t="shared" si="842"/>
        <v>MM_TURRET_LOCK_LOCK_E</v>
      </c>
      <c r="ZE60" s="15" t="str">
        <f t="shared" si="842"/>
        <v>MM_TURRET_LOCK_LOCK_E</v>
      </c>
      <c r="ZF60" s="15" t="str">
        <f t="shared" si="842"/>
        <v>MM_TURRET_LOCK_LOCK_E</v>
      </c>
      <c r="ZG60" s="15" t="str">
        <f t="shared" si="842"/>
        <v>MM_TURRET_LOCK_LOCK_E</v>
      </c>
      <c r="ZH60" s="15" t="str">
        <f t="shared" si="842"/>
        <v>MM_TURRET_LOCK_LOCK_E</v>
      </c>
      <c r="ZI60" s="15" t="str">
        <f t="shared" si="842"/>
        <v>MM_TURRET_LOCK_LOCK_E</v>
      </c>
      <c r="ZJ60" s="15" t="str">
        <f t="shared" si="842"/>
        <v>MM_TURRET_LOCK_LOCK_E</v>
      </c>
      <c r="ZK60" s="15" t="s">
        <v>94</v>
      </c>
      <c r="ZL60" s="15" t="s">
        <v>94</v>
      </c>
      <c r="ZM60" s="15" t="s">
        <v>94</v>
      </c>
      <c r="ZN60" s="15" t="s">
        <v>94</v>
      </c>
      <c r="ZO60" s="15" t="s">
        <v>94</v>
      </c>
      <c r="ZP60" s="15" t="s">
        <v>94</v>
      </c>
      <c r="ZQ60" s="15" t="s">
        <v>94</v>
      </c>
      <c r="ZR60" s="15" t="s">
        <v>94</v>
      </c>
      <c r="ZS60" s="15" t="s">
        <v>94</v>
      </c>
      <c r="ZT60" s="15" t="s">
        <v>94</v>
      </c>
      <c r="ZU60" s="15" t="s">
        <v>94</v>
      </c>
      <c r="ZV60" s="15" t="s">
        <v>94</v>
      </c>
      <c r="ZW60" s="15" t="s">
        <v>94</v>
      </c>
      <c r="ZX60" s="15" t="s">
        <v>94</v>
      </c>
      <c r="ZY60" s="15" t="s">
        <v>94</v>
      </c>
      <c r="ZZ60" s="15" t="s">
        <v>94</v>
      </c>
      <c r="AAA60" s="15" t="s">
        <v>94</v>
      </c>
      <c r="AAB60" s="15" t="s">
        <v>94</v>
      </c>
      <c r="AAC60" s="15" t="s">
        <v>94</v>
      </c>
      <c r="AAD60" s="15" t="s">
        <v>148</v>
      </c>
      <c r="AAE60" s="15" t="s">
        <v>148</v>
      </c>
      <c r="AAF60" s="15" t="s">
        <v>148</v>
      </c>
      <c r="AAG60" s="15" t="s">
        <v>148</v>
      </c>
      <c r="AAH60" s="15" t="s">
        <v>148</v>
      </c>
      <c r="AAI60" s="15" t="s">
        <v>148</v>
      </c>
      <c r="AAJ60" s="15" t="str">
        <f xml:space="preserve"> IF( EXACT(AAJ58,"MM_SYSTEM_MODE_STEER_BY_WIRE_E"), "MM_TURRET_LOCK_LOCK_E", IF(EXACT(AAJ58,"MM_SYSTEM_MODE_TURRET_STEER_E"),"MM_TURRET_LOCK_UNLOCK_E","-------"))</f>
        <v>MM_TURRET_LOCK_LOCK_E</v>
      </c>
      <c r="AAK60" s="15" t="s">
        <v>94</v>
      </c>
      <c r="AAL60" s="15"/>
      <c r="AAM60" s="15" t="s">
        <v>94</v>
      </c>
      <c r="AAN60" s="15" t="s">
        <v>94</v>
      </c>
      <c r="AAO60" s="15" t="s">
        <v>94</v>
      </c>
      <c r="AAP60" s="15" t="s">
        <v>94</v>
      </c>
      <c r="AAQ60" s="15" t="s">
        <v>94</v>
      </c>
      <c r="AAR60" s="15" t="s">
        <v>94</v>
      </c>
      <c r="AAS60" s="15" t="s">
        <v>148</v>
      </c>
      <c r="AAT60" s="15" t="str">
        <f>IF( EXACT(AAT23, "LVC_UNLOCKED_E"), "MM_TURRET_LOCK_UNLOCK_E", IF(EXACT(AAT23, "LVC_LOCKED_E"), "MM_TURRET_LOCK_LOCK_E", AAS60))</f>
        <v>MM_TURRET_LOCK_UNLOCK_E</v>
      </c>
      <c r="AAU60" s="15" t="s">
        <v>148</v>
      </c>
      <c r="AAV60" s="15" t="str">
        <f xml:space="preserve"> IF( EXACT(AAV58,"MM_SYSTEM_MODE_STEER_BY_WIRE_E"), "MM_TURRET_LOCK_LOCK_E", IF(EXACT(AAV58,"MM_SYSTEM_MODE_TURRET_STEER_E"),"MM_TURRET_LOCK_UNLOCK_E","-------"))</f>
        <v>MM_TURRET_LOCK_UNLOCK_E</v>
      </c>
      <c r="AAW60" s="15" t="s">
        <v>148</v>
      </c>
      <c r="AAX60" s="15"/>
      <c r="AAY60" s="15" t="s">
        <v>94</v>
      </c>
      <c r="AAZ60" s="15" t="s">
        <v>94</v>
      </c>
      <c r="ABA60" s="15" t="s">
        <v>94</v>
      </c>
      <c r="ABB60" s="15" t="s">
        <v>94</v>
      </c>
      <c r="ABC60" s="15" t="s">
        <v>94</v>
      </c>
      <c r="ABD60" s="15" t="s">
        <v>94</v>
      </c>
      <c r="ABE60" s="15" t="s">
        <v>148</v>
      </c>
      <c r="ABF60" s="15" t="str">
        <f>IF( EXACT(ABF23, "LVC_UNLOCKED_E"), "MM_TURRET_LOCK_UNLOCK_E", IF(EXACT(ABF23, "LVC_LOCKED_E"), "MM_TURRET_LOCK_LOCK_E", ABE60))</f>
        <v>MM_TURRET_LOCK_LOCK_E</v>
      </c>
      <c r="ABG60" s="15" t="s">
        <v>94</v>
      </c>
      <c r="ABH60" s="15" t="str">
        <f xml:space="preserve"> IF( EXACT(ABH58,"MM_SYSTEM_MODE_STEER_BY_WIRE_E"), "MM_TURRET_LOCK_LOCK_E", IF(EXACT(ABH58,"MM_SYSTEM_MODE_TURRET_STEER_E"),"MM_TURRET_LOCK_UNLOCK_E","-------"))</f>
        <v>MM_TURRET_LOCK_LOCK_E</v>
      </c>
      <c r="ABI60" s="15" t="str">
        <f t="shared" ref="ABI60:ABJ60" si="843" xml:space="preserve"> IF( EXACT(ABI58,"MM_SYSTEM_MODE_STEER_BY_WIRE_E"), "MM_TURRET_LOCK_LOCK_E", IF(EXACT(ABI58,"MM_SYSTEM_MODE_TURRET_STEER_E"),"MM_TURRET_LOCK_UNLOCK_E","-------"))</f>
        <v>MM_TURRET_LOCK_LOCK_E</v>
      </c>
      <c r="ABJ60" s="15" t="str">
        <f t="shared" si="843"/>
        <v>MM_TURRET_LOCK_LOCK_E</v>
      </c>
      <c r="ABK60" s="15" t="str">
        <f xml:space="preserve"> IF( EXACT(ABK58,"MM_SYSTEM_MODE_STEER_BY_WIRE_E"), "MM_TURRET_LOCK_LOCK_E", IF(EXACT(ABK58,"MM_SYSTEM_MODE_TURRET_STEER_E"),"MM_TURRET_LOCK_UNLOCK_E","-------"))</f>
        <v>MM_TURRET_LOCK_LOCK_E</v>
      </c>
      <c r="ABL60" s="15" t="str">
        <f t="shared" ref="ABL60:ACC60" si="844" xml:space="preserve"> IF( EXACT(ABL58,"MM_SYSTEM_MODE_STEER_BY_WIRE_E"), "MM_TURRET_LOCK_LOCK_E", IF(EXACT(ABL58,"MM_SYSTEM_MODE_TURRET_STEER_E"),"MM_TURRET_LOCK_UNLOCK_E","-------"))</f>
        <v>MM_TURRET_LOCK_LOCK_E</v>
      </c>
      <c r="ABM60" s="15" t="str">
        <f t="shared" si="844"/>
        <v>MM_TURRET_LOCK_LOCK_E</v>
      </c>
      <c r="ABN60" s="15" t="str">
        <f t="shared" si="844"/>
        <v>MM_TURRET_LOCK_LOCK_E</v>
      </c>
      <c r="ABO60" s="15" t="str">
        <f t="shared" si="844"/>
        <v>MM_TURRET_LOCK_LOCK_E</v>
      </c>
      <c r="ABP60" s="15" t="str">
        <f t="shared" si="844"/>
        <v>MM_TURRET_LOCK_LOCK_E</v>
      </c>
      <c r="ABQ60" s="15" t="str">
        <f t="shared" si="844"/>
        <v>MM_TURRET_LOCK_LOCK_E</v>
      </c>
      <c r="ABR60" s="15" t="str">
        <f t="shared" si="844"/>
        <v>MM_TURRET_LOCK_LOCK_E</v>
      </c>
      <c r="ABS60" s="15" t="str">
        <f t="shared" si="844"/>
        <v>MM_TURRET_LOCK_LOCK_E</v>
      </c>
      <c r="ABT60" s="15" t="str">
        <f t="shared" si="844"/>
        <v>MM_TURRET_LOCK_LOCK_E</v>
      </c>
      <c r="ABU60" s="15" t="str">
        <f t="shared" si="844"/>
        <v>MM_TURRET_LOCK_LOCK_E</v>
      </c>
      <c r="ABV60" s="15" t="str">
        <f t="shared" si="844"/>
        <v>MM_TURRET_LOCK_LOCK_E</v>
      </c>
      <c r="ABW60" s="15" t="str">
        <f t="shared" si="844"/>
        <v>MM_TURRET_LOCK_LOCK_E</v>
      </c>
      <c r="ABX60" s="15" t="str">
        <f t="shared" si="844"/>
        <v>MM_TURRET_LOCK_LOCK_E</v>
      </c>
      <c r="ABY60" s="15" t="str">
        <f t="shared" si="844"/>
        <v>MM_TURRET_LOCK_LOCK_E</v>
      </c>
      <c r="ABZ60" s="15" t="str">
        <f t="shared" si="844"/>
        <v>MM_TURRET_LOCK_LOCK_E</v>
      </c>
      <c r="ACA60" s="15" t="str">
        <f t="shared" ref="ACA60" si="845" xml:space="preserve"> IF( EXACT(ACA58,"MM_SYSTEM_MODE_STEER_BY_WIRE_E"), "MM_TURRET_LOCK_LOCK_E", IF(EXACT(ACA58,"MM_SYSTEM_MODE_TURRET_STEER_E"),"MM_TURRET_LOCK_UNLOCK_E","-------"))</f>
        <v>MM_TURRET_LOCK_LOCK_E</v>
      </c>
      <c r="ACB60" s="15" t="str">
        <f t="shared" si="844"/>
        <v>MM_TURRET_LOCK_LOCK_E</v>
      </c>
      <c r="ACC60" s="15" t="str">
        <f t="shared" si="844"/>
        <v>MM_TURRET_LOCK_LOCK_E</v>
      </c>
      <c r="ACD60" s="15" t="str">
        <f t="shared" ref="ACD60:ACE60" si="846" xml:space="preserve"> IF( EXACT(ACD58,"MM_SYSTEM_MODE_STEER_BY_WIRE_E"), "MM_TURRET_LOCK_LOCK_E", IF(EXACT(ACD58,"MM_SYSTEM_MODE_TURRET_STEER_E"),"MM_TURRET_LOCK_UNLOCK_E","-------"))</f>
        <v>MM_TURRET_LOCK_LOCK_E</v>
      </c>
      <c r="ACE60" s="15" t="str">
        <f t="shared" si="846"/>
        <v>MM_TURRET_LOCK_LOCK_E</v>
      </c>
      <c r="ACF60" s="15" t="str">
        <f t="shared" ref="ACF60:ACG60" si="847" xml:space="preserve"> IF( EXACT(ACF58,"MM_SYSTEM_MODE_STEER_BY_WIRE_E"), "MM_TURRET_LOCK_LOCK_E", IF(EXACT(ACF58,"MM_SYSTEM_MODE_TURRET_STEER_E"),"MM_TURRET_LOCK_UNLOCK_E","-------"))</f>
        <v>MM_TURRET_LOCK_LOCK_E</v>
      </c>
      <c r="ACG60" s="15" t="str">
        <f t="shared" si="847"/>
        <v>MM_TURRET_LOCK_LOCK_E</v>
      </c>
      <c r="ACH60" s="15" t="str">
        <f t="shared" ref="ACH60:ACP60" si="848" xml:space="preserve"> IF( EXACT(ACH58,"MM_SYSTEM_MODE_STEER_BY_WIRE_E"), "MM_TURRET_LOCK_LOCK_E", IF(EXACT(ACH58,"MM_SYSTEM_MODE_TURRET_STEER_E"),"MM_TURRET_LOCK_UNLOCK_E","-------"))</f>
        <v>MM_TURRET_LOCK_LOCK_E</v>
      </c>
      <c r="ACI60" s="15" t="str">
        <f t="shared" si="848"/>
        <v>MM_TURRET_LOCK_LOCK_E</v>
      </c>
      <c r="ACJ60" s="15" t="str">
        <f t="shared" si="848"/>
        <v>MM_TURRET_LOCK_LOCK_E</v>
      </c>
      <c r="ACK60" s="15" t="str">
        <f t="shared" si="848"/>
        <v>MM_TURRET_LOCK_LOCK_E</v>
      </c>
      <c r="ACL60" s="15" t="str">
        <f t="shared" si="848"/>
        <v>MM_TURRET_LOCK_LOCK_E</v>
      </c>
      <c r="ACM60" s="15" t="str">
        <f t="shared" si="848"/>
        <v>MM_TURRET_LOCK_LOCK_E</v>
      </c>
      <c r="ACN60" s="15" t="str">
        <f t="shared" si="848"/>
        <v>MM_TURRET_LOCK_LOCK_E</v>
      </c>
      <c r="ACO60" s="15" t="str">
        <f t="shared" si="848"/>
        <v>MM_TURRET_LOCK_LOCK_E</v>
      </c>
      <c r="ACP60" s="15" t="str">
        <f t="shared" si="848"/>
        <v>MM_TURRET_LOCK_LOCK_E</v>
      </c>
      <c r="ACQ60" s="15" t="str">
        <f t="shared" ref="ACQ60:ADC60" si="849" xml:space="preserve"> IF( EXACT(ACQ58,"MM_SYSTEM_MODE_STEER_BY_WIRE_E"), "MM_TURRET_LOCK_LOCK_E", IF(EXACT(ACQ58,"MM_SYSTEM_MODE_TURRET_STEER_E"),"MM_TURRET_LOCK_UNLOCK_E","-------"))</f>
        <v>MM_TURRET_LOCK_LOCK_E</v>
      </c>
      <c r="ACR60" s="15" t="str">
        <f t="shared" si="849"/>
        <v>MM_TURRET_LOCK_LOCK_E</v>
      </c>
      <c r="ACS60" s="15" t="str">
        <f t="shared" si="849"/>
        <v>MM_TURRET_LOCK_LOCK_E</v>
      </c>
      <c r="ACT60" s="15" t="str">
        <f t="shared" si="849"/>
        <v>MM_TURRET_LOCK_LOCK_E</v>
      </c>
      <c r="ACU60" s="15" t="str">
        <f t="shared" si="849"/>
        <v>MM_TURRET_LOCK_LOCK_E</v>
      </c>
      <c r="ACV60" s="15" t="str">
        <f t="shared" si="849"/>
        <v>MM_TURRET_LOCK_LOCK_E</v>
      </c>
      <c r="ACW60" s="15" t="str">
        <f t="shared" si="849"/>
        <v>MM_TURRET_LOCK_LOCK_E</v>
      </c>
      <c r="ACX60" s="15" t="str">
        <f t="shared" si="849"/>
        <v>MM_TURRET_LOCK_LOCK_E</v>
      </c>
      <c r="ACY60" s="15" t="str">
        <f t="shared" si="849"/>
        <v>MM_TURRET_LOCK_LOCK_E</v>
      </c>
      <c r="ACZ60" s="15" t="str">
        <f t="shared" si="849"/>
        <v>MM_TURRET_LOCK_LOCK_E</v>
      </c>
      <c r="ADA60" s="15" t="str">
        <f t="shared" si="849"/>
        <v>MM_TURRET_LOCK_LOCK_E</v>
      </c>
      <c r="ADB60" s="15" t="str">
        <f t="shared" si="849"/>
        <v>MM_TURRET_LOCK_LOCK_E</v>
      </c>
      <c r="ADC60" s="15" t="str">
        <f t="shared" si="849"/>
        <v>MM_TURRET_LOCK_LOCK_E</v>
      </c>
      <c r="ADD60" s="15" t="str">
        <f t="shared" ref="ADD60" si="850">IF( EXACT(ADD58,"MM_SYSTEM_MODE_PUSHBACK_ATA_TAS_E"), "MM_TURRET_LOCK_UNLOCK_E", IF( EXACT(ADD58,"MM_SYSTEM_MODE_PUSHBACK_ATA_BW_E"), "MM_TURRET_LOCK_LOCK_E", IF( EXACT(ADD58,"MM_SYSTEM_MODE_MAINTENANCE_TOWING_E"), "MM_TURRET_LOCK_LOCK_E", "****")))</f>
        <v>MM_TURRET_LOCK_LOCK_E</v>
      </c>
      <c r="ADE60" s="15" t="str">
        <f t="shared" ref="ADE60" si="851" xml:space="preserve"> IF( EXACT(ADE58,"MM_SYSTEM_MODE_STEER_BY_WIRE_E"), "MM_TURRET_LOCK_LOCK_E", IF(EXACT(ADE58,"MM_SYSTEM_MODE_TURRET_STEER_E"),"MM_TURRET_LOCK_UNLOCK_E","-------"))</f>
        <v>MM_TURRET_LOCK_LOCK_E</v>
      </c>
      <c r="ADF60" s="15" t="str">
        <f>IF(EXACT(ADF58,"MM_SYSTEM_MODE_NEUTRAL_E"),ADE60,"-----------")</f>
        <v>MM_TURRET_LOCK_LOCK_E</v>
      </c>
      <c r="ADG60" s="15" t="str">
        <f>ADF60</f>
        <v>MM_TURRET_LOCK_LOCK_E</v>
      </c>
      <c r="ADH60" s="15"/>
      <c r="ADI60" s="15" t="s">
        <v>94</v>
      </c>
      <c r="ADJ60" s="15" t="s">
        <v>94</v>
      </c>
      <c r="ADK60" s="15" t="s">
        <v>94</v>
      </c>
      <c r="ADL60" s="15" t="s">
        <v>94</v>
      </c>
      <c r="ADM60" s="15" t="s">
        <v>94</v>
      </c>
      <c r="ADN60" s="15" t="s">
        <v>94</v>
      </c>
      <c r="ADO60" s="15" t="s">
        <v>148</v>
      </c>
      <c r="ADP60" s="15" t="str">
        <f>IF( EXACT(ADP23, "LVC_UNLOCKED_E"), "MM_TURRET_LOCK_UNLOCK_E", IF(EXACT(ADP23, "LVC_LOCKED_E"), "MM_TURRET_LOCK_LOCK_E", ADO60))</f>
        <v>MM_TURRET_LOCK_LOCK_E</v>
      </c>
      <c r="ADQ60" s="15" t="s">
        <v>94</v>
      </c>
      <c r="ADR60" s="15" t="str">
        <f xml:space="preserve"> IF( EXACT(ADR58,"MM_SYSTEM_MODE_STEER_BY_WIRE_E"), "MM_TURRET_LOCK_LOCK_E", IF(EXACT(ADR58,"MM_SYSTEM_MODE_TURRET_STEER_E"),"MM_TURRET_LOCK_UNLOCK_E","-------"))</f>
        <v>MM_TURRET_LOCK_UNLOCK_E</v>
      </c>
      <c r="ADS60" s="15" t="str">
        <f t="shared" ref="ADS60:ADT60" si="852" xml:space="preserve"> IF( EXACT(ADS58,"MM_SYSTEM_MODE_STEER_BY_WIRE_E"), "MM_TURRET_LOCK_LOCK_E", IF(EXACT(ADS58,"MM_SYSTEM_MODE_TURRET_STEER_E"),"MM_TURRET_LOCK_UNLOCK_E","-------"))</f>
        <v>MM_TURRET_LOCK_UNLOCK_E</v>
      </c>
      <c r="ADT60" s="15" t="str">
        <f t="shared" si="852"/>
        <v>MM_TURRET_LOCK_UNLOCK_E</v>
      </c>
      <c r="ADU60" s="15" t="str">
        <f xml:space="preserve"> IF( EXACT(ADU58,"MM_SYSTEM_MODE_STEER_BY_WIRE_E"), "MM_TURRET_LOCK_LOCK_E", IF(EXACT(ADU58,"MM_SYSTEM_MODE_TURRET_STEER_E"),"MM_TURRET_LOCK_UNLOCK_E","-------"))</f>
        <v>MM_TURRET_LOCK_UNLOCK_E</v>
      </c>
      <c r="ADV60" s="15" t="str">
        <f t="shared" ref="ADV60:AFM60" si="853" xml:space="preserve"> IF( EXACT(ADV58,"MM_SYSTEM_MODE_STEER_BY_WIRE_E"), "MM_TURRET_LOCK_LOCK_E", IF(EXACT(ADV58,"MM_SYSTEM_MODE_TURRET_STEER_E"),"MM_TURRET_LOCK_UNLOCK_E","-------"))</f>
        <v>MM_TURRET_LOCK_UNLOCK_E</v>
      </c>
      <c r="ADW60" s="15" t="str">
        <f t="shared" si="853"/>
        <v>MM_TURRET_LOCK_UNLOCK_E</v>
      </c>
      <c r="ADX60" s="15" t="str">
        <f t="shared" si="853"/>
        <v>MM_TURRET_LOCK_UNLOCK_E</v>
      </c>
      <c r="ADY60" s="15" t="str">
        <f t="shared" si="853"/>
        <v>MM_TURRET_LOCK_UNLOCK_E</v>
      </c>
      <c r="ADZ60" s="15" t="str">
        <f t="shared" si="853"/>
        <v>MM_TURRET_LOCK_UNLOCK_E</v>
      </c>
      <c r="AEA60" s="15" t="str">
        <f t="shared" si="853"/>
        <v>MM_TURRET_LOCK_UNLOCK_E</v>
      </c>
      <c r="AEB60" s="15" t="str">
        <f t="shared" si="853"/>
        <v>MM_TURRET_LOCK_UNLOCK_E</v>
      </c>
      <c r="AEC60" s="15" t="str">
        <f t="shared" si="853"/>
        <v>MM_TURRET_LOCK_UNLOCK_E</v>
      </c>
      <c r="AED60" s="15" t="str">
        <f t="shared" si="853"/>
        <v>MM_TURRET_LOCK_UNLOCK_E</v>
      </c>
      <c r="AEE60" s="15" t="str">
        <f t="shared" si="853"/>
        <v>MM_TURRET_LOCK_UNLOCK_E</v>
      </c>
      <c r="AEF60" s="15" t="str">
        <f t="shared" si="853"/>
        <v>MM_TURRET_LOCK_UNLOCK_E</v>
      </c>
      <c r="AEG60" s="15" t="str">
        <f t="shared" si="853"/>
        <v>MM_TURRET_LOCK_UNLOCK_E</v>
      </c>
      <c r="AEH60" s="15" t="str">
        <f t="shared" si="853"/>
        <v>MM_TURRET_LOCK_UNLOCK_E</v>
      </c>
      <c r="AEI60" s="15" t="str">
        <f t="shared" si="853"/>
        <v>MM_TURRET_LOCK_UNLOCK_E</v>
      </c>
      <c r="AEJ60" s="15" t="str">
        <f t="shared" si="853"/>
        <v>MM_TURRET_LOCK_UNLOCK_E</v>
      </c>
      <c r="AEK60" s="15" t="str">
        <f t="shared" si="853"/>
        <v>MM_TURRET_LOCK_UNLOCK_E</v>
      </c>
      <c r="AEL60" s="15" t="str">
        <f t="shared" si="853"/>
        <v>MM_TURRET_LOCK_UNLOCK_E</v>
      </c>
      <c r="AEM60" s="15" t="str">
        <f t="shared" si="853"/>
        <v>MM_TURRET_LOCK_UNLOCK_E</v>
      </c>
      <c r="AEN60" s="15" t="str">
        <f t="shared" si="853"/>
        <v>MM_TURRET_LOCK_UNLOCK_E</v>
      </c>
      <c r="AEO60" s="15" t="str">
        <f t="shared" si="853"/>
        <v>MM_TURRET_LOCK_UNLOCK_E</v>
      </c>
      <c r="AEP60" s="15" t="str">
        <f t="shared" si="853"/>
        <v>MM_TURRET_LOCK_UNLOCK_E</v>
      </c>
      <c r="AEQ60" s="15" t="str">
        <f t="shared" si="853"/>
        <v>MM_TURRET_LOCK_UNLOCK_E</v>
      </c>
      <c r="AER60" s="15" t="str">
        <f t="shared" si="853"/>
        <v>MM_TURRET_LOCK_UNLOCK_E</v>
      </c>
      <c r="AES60" s="15" t="str">
        <f t="shared" si="853"/>
        <v>MM_TURRET_LOCK_UNLOCK_E</v>
      </c>
      <c r="AET60" s="15" t="str">
        <f t="shared" si="853"/>
        <v>MM_TURRET_LOCK_UNLOCK_E</v>
      </c>
      <c r="AEU60" s="15" t="str">
        <f t="shared" si="853"/>
        <v>MM_TURRET_LOCK_UNLOCK_E</v>
      </c>
      <c r="AEV60" s="15" t="str">
        <f t="shared" si="853"/>
        <v>MM_TURRET_LOCK_UNLOCK_E</v>
      </c>
      <c r="AEW60" s="15" t="str">
        <f t="shared" si="853"/>
        <v>MM_TURRET_LOCK_UNLOCK_E</v>
      </c>
      <c r="AEX60" s="15" t="str">
        <f t="shared" si="853"/>
        <v>MM_TURRET_LOCK_UNLOCK_E</v>
      </c>
      <c r="AEY60" s="15" t="str">
        <f t="shared" si="853"/>
        <v>MM_TURRET_LOCK_UNLOCK_E</v>
      </c>
      <c r="AEZ60" s="15" t="str">
        <f t="shared" si="853"/>
        <v>MM_TURRET_LOCK_UNLOCK_E</v>
      </c>
      <c r="AFA60" s="15" t="str">
        <f t="shared" si="853"/>
        <v>MM_TURRET_LOCK_UNLOCK_E</v>
      </c>
      <c r="AFB60" s="15" t="str">
        <f t="shared" si="853"/>
        <v>MM_TURRET_LOCK_UNLOCK_E</v>
      </c>
      <c r="AFC60" s="15" t="str">
        <f t="shared" si="853"/>
        <v>MM_TURRET_LOCK_UNLOCK_E</v>
      </c>
      <c r="AFD60" s="15" t="str">
        <f t="shared" si="853"/>
        <v>MM_TURRET_LOCK_UNLOCK_E</v>
      </c>
      <c r="AFE60" s="15" t="str">
        <f t="shared" si="853"/>
        <v>MM_TURRET_LOCK_UNLOCK_E</v>
      </c>
      <c r="AFF60" s="15" t="str">
        <f t="shared" si="853"/>
        <v>MM_TURRET_LOCK_UNLOCK_E</v>
      </c>
      <c r="AFG60" s="15" t="str">
        <f t="shared" si="853"/>
        <v>MM_TURRET_LOCK_UNLOCK_E</v>
      </c>
      <c r="AFH60" s="15" t="str">
        <f t="shared" si="853"/>
        <v>MM_TURRET_LOCK_UNLOCK_E</v>
      </c>
      <c r="AFI60" s="15" t="str">
        <f t="shared" si="853"/>
        <v>MM_TURRET_LOCK_UNLOCK_E</v>
      </c>
      <c r="AFJ60" s="15" t="str">
        <f t="shared" si="853"/>
        <v>MM_TURRET_LOCK_UNLOCK_E</v>
      </c>
      <c r="AFK60" s="15" t="str">
        <f t="shared" si="853"/>
        <v>MM_TURRET_LOCK_UNLOCK_E</v>
      </c>
      <c r="AFL60" s="15" t="str">
        <f t="shared" si="853"/>
        <v>MM_TURRET_LOCK_UNLOCK_E</v>
      </c>
      <c r="AFM60" s="15" t="str">
        <f t="shared" si="853"/>
        <v>MM_TURRET_LOCK_UNLOCK_E</v>
      </c>
      <c r="AFN60" s="15" t="str">
        <f t="shared" ref="AFN60" si="854">IF( EXACT(AFN58,"MM_SYSTEM_MODE_PUSHBACK_ATA_TAS_E"), "MM_TURRET_LOCK_UNLOCK_E", IF( EXACT(AFN58,"MM_SYSTEM_MODE_PUSHBACK_ATA_BW_E"), "MM_TURRET_LOCK_LOCK_E", IF( EXACT(AFN58,"MM_SYSTEM_MODE_MAINTENANCE_TOWING_E"), "MM_TURRET_LOCK_LOCK_E", "****")))</f>
        <v>MM_TURRET_LOCK_LOCK_E</v>
      </c>
      <c r="AFO60" s="15" t="str">
        <f t="shared" ref="AFO60" si="855" xml:space="preserve"> IF( EXACT(AFO58,"MM_SYSTEM_MODE_STEER_BY_WIRE_E"), "MM_TURRET_LOCK_LOCK_E", IF(EXACT(AFO58,"MM_SYSTEM_MODE_TURRET_STEER_E"),"MM_TURRET_LOCK_UNLOCK_E","-------"))</f>
        <v>MM_TURRET_LOCK_UNLOCK_E</v>
      </c>
      <c r="AFP60" s="15" t="str">
        <f>IF(EXACT(AFP58,"MM_SYSTEM_MODE_NEUTRAL_E"),AFO60,"-----------")</f>
        <v>MM_TURRET_LOCK_UNLOCK_E</v>
      </c>
      <c r="AFQ60" s="15" t="str">
        <f>AFP60</f>
        <v>MM_TURRET_LOCK_UNLOCK_E</v>
      </c>
      <c r="AFR60" s="15"/>
      <c r="AFS60" s="15" t="s">
        <v>94</v>
      </c>
      <c r="AFT60" s="15" t="s">
        <v>94</v>
      </c>
      <c r="AFU60" s="15" t="s">
        <v>94</v>
      </c>
      <c r="AFV60" s="15" t="s">
        <v>94</v>
      </c>
      <c r="AFW60" s="15" t="s">
        <v>94</v>
      </c>
      <c r="AFX60" s="15" t="s">
        <v>94</v>
      </c>
      <c r="AFY60" s="15" t="s">
        <v>148</v>
      </c>
      <c r="AFZ60" s="15" t="s">
        <v>94</v>
      </c>
      <c r="AGA60" s="15" t="s">
        <v>94</v>
      </c>
      <c r="AGB60" s="15" t="s">
        <v>148</v>
      </c>
      <c r="AGC60" s="15" t="s">
        <v>148</v>
      </c>
      <c r="AGD60" s="15" t="s">
        <v>148</v>
      </c>
      <c r="AGE60" s="15" t="s">
        <v>148</v>
      </c>
      <c r="AGF60" s="15" t="s">
        <v>148</v>
      </c>
      <c r="AGG60" s="15" t="s">
        <v>148</v>
      </c>
      <c r="AGH60" s="15" t="s">
        <v>148</v>
      </c>
      <c r="AGI60" s="15" t="s">
        <v>148</v>
      </c>
      <c r="AGJ60" s="15" t="s">
        <v>148</v>
      </c>
      <c r="AGK60" s="15" t="s">
        <v>148</v>
      </c>
      <c r="AGL60" s="15" t="s">
        <v>148</v>
      </c>
      <c r="AGM60" s="15" t="s">
        <v>148</v>
      </c>
      <c r="AGN60" s="15" t="s">
        <v>148</v>
      </c>
      <c r="AGO60" s="15" t="s">
        <v>148</v>
      </c>
      <c r="AGP60" s="15" t="s">
        <v>148</v>
      </c>
      <c r="AGQ60" s="15" t="s">
        <v>148</v>
      </c>
      <c r="AGR60" s="15" t="s">
        <v>148</v>
      </c>
      <c r="AGS60" s="15" t="s">
        <v>148</v>
      </c>
      <c r="AGT60" s="15" t="s">
        <v>148</v>
      </c>
      <c r="AGU60" s="15" t="s">
        <v>148</v>
      </c>
      <c r="AGV60" s="15" t="s">
        <v>148</v>
      </c>
      <c r="AGW60" s="15" t="s">
        <v>148</v>
      </c>
      <c r="AGX60" s="15" t="s">
        <v>148</v>
      </c>
      <c r="AGY60" s="15" t="s">
        <v>148</v>
      </c>
      <c r="AGZ60" s="15" t="s">
        <v>148</v>
      </c>
      <c r="AHA60" s="15" t="s">
        <v>148</v>
      </c>
      <c r="AHB60" s="15" t="s">
        <v>148</v>
      </c>
      <c r="AHC60" s="15" t="s">
        <v>148</v>
      </c>
      <c r="AHD60" s="15" t="s">
        <v>148</v>
      </c>
      <c r="AHE60" s="15" t="s">
        <v>148</v>
      </c>
      <c r="AHF60" s="15" t="s">
        <v>148</v>
      </c>
      <c r="AHG60" s="15" t="s">
        <v>148</v>
      </c>
      <c r="AHH60" s="15" t="s">
        <v>148</v>
      </c>
      <c r="AHI60" s="15" t="s">
        <v>148</v>
      </c>
      <c r="AHJ60" s="15" t="s">
        <v>148</v>
      </c>
      <c r="AHK60" s="15" t="s">
        <v>148</v>
      </c>
      <c r="AHL60" s="15" t="s">
        <v>148</v>
      </c>
      <c r="AHM60" s="15" t="s">
        <v>148</v>
      </c>
      <c r="AHN60" s="15" t="s">
        <v>148</v>
      </c>
      <c r="AHO60" s="15" t="s">
        <v>148</v>
      </c>
      <c r="AHP60" s="15" t="s">
        <v>148</v>
      </c>
      <c r="AHQ60" s="15" t="s">
        <v>148</v>
      </c>
      <c r="AHR60" s="15" t="s">
        <v>148</v>
      </c>
      <c r="AHS60" s="15" t="s">
        <v>148</v>
      </c>
      <c r="AHT60" s="15" t="s">
        <v>148</v>
      </c>
      <c r="AHU60" s="15" t="s">
        <v>148</v>
      </c>
      <c r="AHV60" s="15" t="s">
        <v>148</v>
      </c>
      <c r="AHW60" s="15" t="s">
        <v>148</v>
      </c>
      <c r="AHX60" s="15" t="s">
        <v>148</v>
      </c>
      <c r="AHY60" s="15" t="s">
        <v>148</v>
      </c>
      <c r="AHZ60" s="15" t="s">
        <v>148</v>
      </c>
      <c r="AIA60" s="15" t="s">
        <v>148</v>
      </c>
      <c r="AIB60" s="15" t="s">
        <v>148</v>
      </c>
      <c r="AIC60" s="15" t="s">
        <v>148</v>
      </c>
      <c r="AID60" s="15" t="s">
        <v>148</v>
      </c>
      <c r="AIE60" s="15" t="s">
        <v>148</v>
      </c>
      <c r="AIF60" s="15" t="s">
        <v>148</v>
      </c>
      <c r="AIG60" s="15" t="s">
        <v>148</v>
      </c>
      <c r="AIH60" s="15" t="s">
        <v>148</v>
      </c>
      <c r="AII60" s="15" t="s">
        <v>148</v>
      </c>
      <c r="AIJ60" s="15" t="s">
        <v>148</v>
      </c>
      <c r="AIK60" s="15" t="s">
        <v>148</v>
      </c>
      <c r="AIL60" s="15" t="s">
        <v>148</v>
      </c>
      <c r="AIM60" s="15" t="s">
        <v>148</v>
      </c>
      <c r="AIN60" s="15" t="s">
        <v>148</v>
      </c>
      <c r="AIO60" s="15" t="s">
        <v>148</v>
      </c>
      <c r="AIP60" s="15" t="s">
        <v>148</v>
      </c>
      <c r="AIQ60" s="15" t="s">
        <v>94</v>
      </c>
      <c r="AIR60" s="15" t="s">
        <v>94</v>
      </c>
      <c r="AIS60" s="15" t="s">
        <v>94</v>
      </c>
      <c r="AIT60" s="15" t="s">
        <v>94</v>
      </c>
      <c r="AIU60" s="15" t="s">
        <v>94</v>
      </c>
      <c r="AIV60" s="15" t="s">
        <v>94</v>
      </c>
      <c r="AIW60" s="15" t="s">
        <v>94</v>
      </c>
      <c r="AIX60" s="15" t="s">
        <v>94</v>
      </c>
      <c r="AIY60" s="15" t="s">
        <v>94</v>
      </c>
      <c r="AIZ60" s="15" t="s">
        <v>94</v>
      </c>
      <c r="AJA60" s="15" t="str">
        <f t="shared" ref="AJA60" si="856">IF( EXACT(AJA58,"MM_SYSTEM_MODE_PUSHBACK_ATA_TAS_E"), "MM_TURRET_LOCK_UNLOCK_E", IF( EXACT(AJA58,"MM_SYSTEM_MODE_PUSHBACK_ATA_BW_E"), "MM_TURRET_LOCK_LOCK_E", IF( EXACT(AJA58,"MM_SYSTEM_MODE_MAINTENANCE_TOWING_E"), "MM_TURRET_LOCK_LOCK_E", "****")))</f>
        <v>MM_TURRET_LOCK_LOCK_E</v>
      </c>
      <c r="AJB60" s="15" t="s">
        <v>94</v>
      </c>
      <c r="AJC60" s="15" t="str">
        <f>IF( EXACT(AJC23, "LVC_UNLOCKED_E"), "MM_TURRET_LOCK_UNLOCK_E", IF(EXACT(AJC23, "LVC_LOCKED_E"), "MM_TURRET_LOCK_LOCK_E", AJA60))</f>
        <v>MM_TURRET_LOCK_LOCK_E</v>
      </c>
      <c r="AJD60" s="15" t="str">
        <f>IF( EXACT(AJD23, "LVC_UNLOCKED_E"), "MM_TURRET_LOCK_UNLOCK_E", IF(EXACT(AJD23, "LVC_LOCKED_E"), "MM_TURRET_LOCK_LOCK_E", AJB60))</f>
        <v>MM_TURRET_LOCK_LOCK_E</v>
      </c>
      <c r="AJE60" s="15" t="str">
        <f>IF( EXACT(AJE23, "LVC_UNLOCKED_E"), "MM_TURRET_LOCK_UNLOCK_E", IF(EXACT(AJE23, "LVC_LOCKED_E"), "MM_TURRET_LOCK_LOCK_E", AJC60))</f>
        <v>MM_TURRET_LOCK_LOCK_E</v>
      </c>
      <c r="AJF60" s="15"/>
      <c r="AJG60" s="15" t="s">
        <v>94</v>
      </c>
      <c r="AJH60" s="15" t="s">
        <v>94</v>
      </c>
      <c r="AJI60" s="15" t="s">
        <v>94</v>
      </c>
      <c r="AJJ60" s="15" t="s">
        <v>94</v>
      </c>
      <c r="AJK60" s="15" t="s">
        <v>94</v>
      </c>
      <c r="AJL60" s="15" t="s">
        <v>94</v>
      </c>
      <c r="AJM60" s="15" t="str">
        <f>AJL60</f>
        <v>MM_TURRET_LOCK_LOCK_E</v>
      </c>
      <c r="AJN60" s="15"/>
      <c r="AJO60" s="15" t="s">
        <v>94</v>
      </c>
      <c r="AJP60" s="15" t="s">
        <v>94</v>
      </c>
      <c r="AJQ60" s="15" t="s">
        <v>94</v>
      </c>
      <c r="AJR60" s="15" t="s">
        <v>94</v>
      </c>
      <c r="AJS60" s="15" t="s">
        <v>94</v>
      </c>
      <c r="AJT60" s="15" t="s">
        <v>94</v>
      </c>
      <c r="AJU60" s="15" t="s">
        <v>94</v>
      </c>
      <c r="AJV60" s="15" t="str">
        <f t="shared" si="814"/>
        <v>MM_TURRET_LOCK_LOCK_E</v>
      </c>
      <c r="AJW60" s="15" t="str">
        <f t="shared" si="814"/>
        <v>MM_TURRET_LOCK_LOCK_E</v>
      </c>
      <c r="AJX60" s="15"/>
      <c r="AJY60" s="15" t="s">
        <v>94</v>
      </c>
      <c r="AJZ60" s="15" t="s">
        <v>94</v>
      </c>
      <c r="AKA60" s="15" t="s">
        <v>94</v>
      </c>
      <c r="AKB60" s="15" t="s">
        <v>94</v>
      </c>
      <c r="AKC60" s="15" t="s">
        <v>94</v>
      </c>
      <c r="AKD60" s="15" t="s">
        <v>94</v>
      </c>
      <c r="AKE60" s="15" t="s">
        <v>94</v>
      </c>
      <c r="AKF60" s="15" t="s">
        <v>94</v>
      </c>
      <c r="AKG60" s="15" t="s">
        <v>94</v>
      </c>
      <c r="AKH60" s="15" t="str">
        <f>AKG60</f>
        <v>MM_TURRET_LOCK_LOCK_E</v>
      </c>
      <c r="AKI60" s="15"/>
      <c r="AKJ60" s="15" t="s">
        <v>94</v>
      </c>
      <c r="AKK60" s="15" t="s">
        <v>94</v>
      </c>
      <c r="AKL60" s="15" t="s">
        <v>94</v>
      </c>
      <c r="AKM60" s="15" t="s">
        <v>94</v>
      </c>
      <c r="AKN60" s="15" t="s">
        <v>94</v>
      </c>
      <c r="AKO60" s="15" t="s">
        <v>94</v>
      </c>
      <c r="AKP60" s="15" t="s">
        <v>148</v>
      </c>
      <c r="AKQ60" s="15" t="s">
        <v>148</v>
      </c>
      <c r="AKR60" s="15" t="s">
        <v>148</v>
      </c>
      <c r="AKS60" s="15" t="s">
        <v>148</v>
      </c>
      <c r="AKT60" s="15" t="s">
        <v>148</v>
      </c>
      <c r="AKU60" s="15" t="s">
        <v>148</v>
      </c>
      <c r="AKV60" s="15" t="s">
        <v>148</v>
      </c>
      <c r="AKW60" s="15" t="s">
        <v>148</v>
      </c>
      <c r="AKX60" s="15"/>
      <c r="AKY60" s="15" t="s">
        <v>94</v>
      </c>
      <c r="AKZ60" s="15" t="s">
        <v>94</v>
      </c>
      <c r="ALA60" s="15" t="s">
        <v>94</v>
      </c>
      <c r="ALB60" s="15" t="s">
        <v>94</v>
      </c>
      <c r="ALC60" s="15" t="s">
        <v>94</v>
      </c>
      <c r="ALD60" s="15" t="s">
        <v>94</v>
      </c>
      <c r="ALE60" s="15" t="s">
        <v>148</v>
      </c>
      <c r="ALF60" s="15" t="str">
        <f>IF( EXACT(ALF23, "LVC_UNLOCKED_E"), "MM_TURRET_LOCK_UNLOCK_E", IF(EXACT(ALF23, "LVC_LOCKED_E"), "MM_TURRET_LOCK_LOCK_E", ALE60))</f>
        <v>MM_TURRET_LOCK_LOCK_E</v>
      </c>
      <c r="ALG60" s="15" t="s">
        <v>94</v>
      </c>
      <c r="ALH60" s="15" t="s">
        <v>94</v>
      </c>
      <c r="ALI60" s="15" t="s">
        <v>94</v>
      </c>
      <c r="ALJ60" s="15" t="s">
        <v>94</v>
      </c>
      <c r="ALK60" s="15" t="s">
        <v>94</v>
      </c>
      <c r="ALL60" s="15" t="str">
        <f>ALK60</f>
        <v>MM_TURRET_LOCK_LOCK_E</v>
      </c>
      <c r="ALM60" s="15"/>
      <c r="ALN60" s="15" t="s">
        <v>94</v>
      </c>
      <c r="ALO60" s="15" t="s">
        <v>94</v>
      </c>
      <c r="ALP60" s="15" t="s">
        <v>94</v>
      </c>
      <c r="ALQ60" s="15" t="s">
        <v>94</v>
      </c>
      <c r="ALR60" s="15" t="s">
        <v>94</v>
      </c>
      <c r="ALS60" s="15" t="s">
        <v>94</v>
      </c>
      <c r="ALT60" s="15" t="s">
        <v>148</v>
      </c>
      <c r="ALU60" s="15" t="str">
        <f>IF( EXACT(ALU23, "LVC_UNLOCKED_E"), "MM_TURRET_LOCK_UNLOCK_E", IF(EXACT(ALU23, "LVC_LOCKED_E"), "MM_TURRET_LOCK_LOCK_E", ALT60))</f>
        <v>MM_TURRET_LOCK_UNLOCK_E</v>
      </c>
      <c r="ALV60" s="15" t="s">
        <v>148</v>
      </c>
      <c r="ALW60" s="15" t="str">
        <f xml:space="preserve"> IF( EXACT(ALW58,"MM_SYSTEM_MODE_STEER_BY_WIRE_E"), "MM_TURRET_LOCK_LOCK_E", IF(EXACT(ALW58,"MM_SYSTEM_MODE_TURRET_STEER_E"),"MM_TURRET_LOCK_UNLOCK_E","-------"))</f>
        <v>MM_TURRET_LOCK_UNLOCK_E</v>
      </c>
      <c r="ALX60" s="15" t="str">
        <f t="shared" ref="ALX60:AMA60" si="857" xml:space="preserve"> IF( EXACT(ALX58,"MM_SYSTEM_MODE_STEER_BY_WIRE_E"), "MM_TURRET_LOCK_LOCK_E", IF(EXACT(ALX58,"MM_SYSTEM_MODE_TURRET_STEER_E"),"MM_TURRET_LOCK_UNLOCK_E","-------"))</f>
        <v>MM_TURRET_LOCK_UNLOCK_E</v>
      </c>
      <c r="ALY60" s="15" t="str">
        <f t="shared" si="857"/>
        <v>MM_TURRET_LOCK_UNLOCK_E</v>
      </c>
      <c r="ALZ60" s="15" t="str">
        <f t="shared" si="857"/>
        <v>MM_TURRET_LOCK_UNLOCK_E</v>
      </c>
      <c r="AMA60" s="15" t="str">
        <f t="shared" si="857"/>
        <v>MM_TURRET_LOCK_UNLOCK_E</v>
      </c>
      <c r="AMB60" s="15" t="str">
        <f>AMA60</f>
        <v>MM_TURRET_LOCK_UNLOCK_E</v>
      </c>
      <c r="AMC60" s="15"/>
      <c r="AMD60" s="15" t="s">
        <v>94</v>
      </c>
      <c r="AME60" s="15" t="s">
        <v>94</v>
      </c>
      <c r="AMF60" s="15" t="s">
        <v>94</v>
      </c>
      <c r="AMG60" s="15" t="s">
        <v>94</v>
      </c>
      <c r="AMH60" s="15" t="s">
        <v>94</v>
      </c>
      <c r="AMI60" s="15" t="s">
        <v>94</v>
      </c>
      <c r="AMJ60" s="15" t="s">
        <v>148</v>
      </c>
      <c r="AMK60" s="15" t="s">
        <v>94</v>
      </c>
      <c r="AML60" s="15" t="s">
        <v>94</v>
      </c>
      <c r="AMM60" s="15" t="s">
        <v>148</v>
      </c>
      <c r="AMN60" s="15" t="s">
        <v>148</v>
      </c>
      <c r="AMO60" s="15" t="s">
        <v>148</v>
      </c>
      <c r="AMP60" s="15" t="s">
        <v>148</v>
      </c>
      <c r="AMQ60" s="15" t="s">
        <v>148</v>
      </c>
      <c r="AMR60" s="15" t="s">
        <v>148</v>
      </c>
      <c r="AMS60" s="15" t="s">
        <v>148</v>
      </c>
      <c r="AMT60" s="15" t="s">
        <v>148</v>
      </c>
      <c r="AMU60" s="15" t="s">
        <v>148</v>
      </c>
      <c r="AMV60" s="15" t="s">
        <v>148</v>
      </c>
      <c r="AMW60" s="15" t="s">
        <v>148</v>
      </c>
      <c r="AMX60" s="15" t="s">
        <v>148</v>
      </c>
      <c r="AMY60" s="15" t="s">
        <v>148</v>
      </c>
      <c r="AMZ60" s="15" t="s">
        <v>148</v>
      </c>
      <c r="ANA60" s="15" t="s">
        <v>148</v>
      </c>
      <c r="ANB60" s="15" t="s">
        <v>148</v>
      </c>
      <c r="ANC60" s="15" t="str">
        <f>ANB60</f>
        <v>MM_TURRET_LOCK_UNLOCK_E</v>
      </c>
      <c r="AND60" s="15" t="str">
        <f>ANC60</f>
        <v>MM_TURRET_LOCK_UNLOCK_E</v>
      </c>
      <c r="ANE60" s="15"/>
      <c r="ANF60" s="15"/>
      <c r="ANG60" s="15"/>
      <c r="ANH60" s="15"/>
      <c r="ANI60" s="15"/>
      <c r="ANJ60" s="15"/>
      <c r="ANK60" s="15"/>
      <c r="ANL60" s="15"/>
      <c r="ANM60" s="15"/>
      <c r="ANN60" s="15"/>
      <c r="ANO60" s="15"/>
      <c r="ANP60" s="15"/>
      <c r="ANQ60" s="15"/>
      <c r="ANR60" s="15"/>
      <c r="ANS60" s="15"/>
      <c r="ANT60" s="15"/>
      <c r="ANU60" s="15"/>
      <c r="ANV60" s="15"/>
      <c r="ANW60" s="15"/>
      <c r="ANX60" s="15"/>
      <c r="ANY60" s="15"/>
      <c r="ANZ60" s="15"/>
      <c r="AOA60" s="15"/>
      <c r="AOB60" s="15"/>
      <c r="AOC60" s="15"/>
      <c r="AOD60" s="15"/>
      <c r="AOE60" s="15"/>
      <c r="AOF60" s="15"/>
      <c r="AOG60" s="15"/>
      <c r="AOH60" s="15"/>
      <c r="AOI60" s="15"/>
      <c r="AOJ60" s="15"/>
      <c r="AOK60" s="15"/>
      <c r="AOL60" s="15"/>
      <c r="AOM60" s="15"/>
      <c r="AON60" s="15"/>
      <c r="AOO60" s="15"/>
      <c r="AOP60" s="15"/>
      <c r="AOQ60" s="15"/>
      <c r="AOR60" s="15"/>
      <c r="AOS60" s="15"/>
      <c r="AOT60" s="15"/>
      <c r="AOU60" s="15"/>
      <c r="AOV60" s="15"/>
      <c r="AOW60" s="15"/>
      <c r="AOX60" s="15"/>
      <c r="AOY60" s="15"/>
      <c r="AOZ60" s="15"/>
      <c r="APA60" s="15"/>
      <c r="APB60" s="15"/>
      <c r="APC60" s="15"/>
      <c r="APD60" s="15"/>
      <c r="APE60" s="15"/>
      <c r="APF60" s="15"/>
      <c r="APG60" s="15"/>
      <c r="APH60" s="15"/>
      <c r="API60" s="15"/>
      <c r="APJ60" s="15"/>
      <c r="APK60" s="15"/>
      <c r="APL60" s="15"/>
      <c r="APM60" s="15"/>
      <c r="APN60" s="15"/>
      <c r="APO60" s="15"/>
      <c r="APP60" s="15"/>
      <c r="APQ60" s="15"/>
      <c r="APR60" s="15"/>
      <c r="APS60" s="15"/>
      <c r="APT60" s="15"/>
      <c r="APU60" s="15"/>
      <c r="APV60" s="15"/>
      <c r="APW60" s="15"/>
      <c r="APX60" s="15"/>
      <c r="APY60" s="15"/>
      <c r="APZ60" s="15"/>
      <c r="AQA60" s="15"/>
      <c r="AQB60" s="15"/>
    </row>
    <row r="61" spans="1:1120" s="17" customFormat="1" ht="15" customHeight="1" x14ac:dyDescent="0.25">
      <c r="A61" s="11" t="s">
        <v>3</v>
      </c>
      <c r="B61" s="6" t="s">
        <v>48</v>
      </c>
      <c r="C61" s="15" t="s">
        <v>92</v>
      </c>
      <c r="D61" s="15" t="s">
        <v>92</v>
      </c>
      <c r="E61" s="15" t="s">
        <v>92</v>
      </c>
      <c r="F61" s="15" t="s">
        <v>92</v>
      </c>
      <c r="G61" s="15" t="s">
        <v>92</v>
      </c>
      <c r="H61" s="15" t="s">
        <v>92</v>
      </c>
      <c r="I61" s="15" t="s">
        <v>92</v>
      </c>
      <c r="J61" s="15"/>
      <c r="K61" s="15" t="s">
        <v>92</v>
      </c>
      <c r="L61" s="15" t="s">
        <v>92</v>
      </c>
      <c r="M61" s="15" t="s">
        <v>92</v>
      </c>
      <c r="N61" s="15" t="s">
        <v>92</v>
      </c>
      <c r="O61" s="15" t="s">
        <v>92</v>
      </c>
      <c r="P61" s="15" t="s">
        <v>92</v>
      </c>
      <c r="Q61" s="15"/>
      <c r="R61" s="15" t="s">
        <v>92</v>
      </c>
      <c r="S61" s="15" t="s">
        <v>92</v>
      </c>
      <c r="T61" s="15" t="s">
        <v>92</v>
      </c>
      <c r="U61" s="15" t="s">
        <v>92</v>
      </c>
      <c r="V61" s="15" t="s">
        <v>92</v>
      </c>
      <c r="W61" s="15" t="s">
        <v>92</v>
      </c>
      <c r="X61" s="15"/>
      <c r="Y61" s="15" t="s">
        <v>92</v>
      </c>
      <c r="Z61" s="15" t="s">
        <v>92</v>
      </c>
      <c r="AA61" s="15" t="s">
        <v>92</v>
      </c>
      <c r="AB61" s="15" t="s">
        <v>92</v>
      </c>
      <c r="AC61" s="15" t="s">
        <v>92</v>
      </c>
      <c r="AD61" s="15" t="s">
        <v>92</v>
      </c>
      <c r="AE61" s="15"/>
      <c r="AF61" s="15" t="s">
        <v>92</v>
      </c>
      <c r="AG61" s="15" t="s">
        <v>92</v>
      </c>
      <c r="AH61" s="15" t="s">
        <v>92</v>
      </c>
      <c r="AI61" s="15" t="s">
        <v>92</v>
      </c>
      <c r="AJ61" s="15" t="s">
        <v>92</v>
      </c>
      <c r="AK61" s="15" t="s">
        <v>92</v>
      </c>
      <c r="AL61" s="15"/>
      <c r="AM61" s="15" t="s">
        <v>92</v>
      </c>
      <c r="AN61" s="15" t="s">
        <v>92</v>
      </c>
      <c r="AO61" s="15" t="s">
        <v>92</v>
      </c>
      <c r="AP61" s="15" t="s">
        <v>92</v>
      </c>
      <c r="AQ61" s="15" t="s">
        <v>92</v>
      </c>
      <c r="AR61" s="15" t="s">
        <v>92</v>
      </c>
      <c r="AS61" s="15" t="s">
        <v>92</v>
      </c>
      <c r="AT61" s="15" t="s">
        <v>92</v>
      </c>
      <c r="AU61" s="15" t="s">
        <v>92</v>
      </c>
      <c r="AV61" s="15" t="s">
        <v>92</v>
      </c>
      <c r="AW61" s="15" t="s">
        <v>92</v>
      </c>
      <c r="AX61" s="15" t="s">
        <v>92</v>
      </c>
      <c r="AY61" s="15" t="s">
        <v>92</v>
      </c>
      <c r="AZ61" s="15" t="s">
        <v>92</v>
      </c>
      <c r="BA61" s="15" t="s">
        <v>92</v>
      </c>
      <c r="BB61" s="15" t="s">
        <v>92</v>
      </c>
      <c r="BC61" s="15" t="s">
        <v>92</v>
      </c>
      <c r="BD61" s="15" t="s">
        <v>92</v>
      </c>
      <c r="BE61" s="15" t="s">
        <v>92</v>
      </c>
      <c r="BF61" s="15" t="s">
        <v>92</v>
      </c>
      <c r="BG61" s="15" t="s">
        <v>92</v>
      </c>
      <c r="BH61" s="15" t="s">
        <v>92</v>
      </c>
      <c r="BI61" s="15" t="s">
        <v>92</v>
      </c>
      <c r="BJ61" s="15" t="s">
        <v>92</v>
      </c>
      <c r="BK61" s="15" t="s">
        <v>92</v>
      </c>
      <c r="BL61" s="15" t="s">
        <v>92</v>
      </c>
      <c r="BM61" s="15" t="s">
        <v>92</v>
      </c>
      <c r="BN61" s="15" t="s">
        <v>92</v>
      </c>
      <c r="BO61" s="15" t="s">
        <v>92</v>
      </c>
      <c r="BP61" s="15" t="s">
        <v>92</v>
      </c>
      <c r="BQ61" s="15" t="s">
        <v>92</v>
      </c>
      <c r="BR61" s="15" t="s">
        <v>92</v>
      </c>
      <c r="BS61" s="15" t="s">
        <v>92</v>
      </c>
      <c r="BT61" s="15" t="s">
        <v>92</v>
      </c>
      <c r="BU61" s="15" t="s">
        <v>92</v>
      </c>
      <c r="BV61" s="15" t="s">
        <v>92</v>
      </c>
      <c r="BW61" s="15" t="s">
        <v>92</v>
      </c>
      <c r="BX61" s="15" t="s">
        <v>92</v>
      </c>
      <c r="BY61" s="15" t="s">
        <v>92</v>
      </c>
      <c r="BZ61" s="15" t="s">
        <v>92</v>
      </c>
      <c r="CA61" s="15" t="s">
        <v>92</v>
      </c>
      <c r="CB61" s="15" t="s">
        <v>92</v>
      </c>
      <c r="CC61" s="15" t="s">
        <v>92</v>
      </c>
      <c r="CD61" s="15" t="s">
        <v>92</v>
      </c>
      <c r="CE61" s="15" t="s">
        <v>92</v>
      </c>
      <c r="CF61" s="15" t="s">
        <v>92</v>
      </c>
      <c r="CG61" s="15" t="s">
        <v>92</v>
      </c>
      <c r="CH61" s="15" t="s">
        <v>92</v>
      </c>
      <c r="CI61" s="15" t="s">
        <v>92</v>
      </c>
      <c r="CJ61" s="15" t="s">
        <v>92</v>
      </c>
      <c r="CK61" s="15" t="s">
        <v>92</v>
      </c>
      <c r="CL61" s="15" t="s">
        <v>92</v>
      </c>
      <c r="CM61" s="15" t="s">
        <v>92</v>
      </c>
      <c r="CN61" s="15" t="s">
        <v>92</v>
      </c>
      <c r="CO61" s="15" t="s">
        <v>92</v>
      </c>
      <c r="CP61" s="15" t="s">
        <v>92</v>
      </c>
      <c r="CQ61" s="15" t="s">
        <v>92</v>
      </c>
      <c r="CR61" s="15" t="s">
        <v>92</v>
      </c>
      <c r="CS61" s="15" t="s">
        <v>92</v>
      </c>
      <c r="CT61" s="15" t="s">
        <v>92</v>
      </c>
      <c r="CU61" s="15" t="s">
        <v>92</v>
      </c>
      <c r="CV61" s="15" t="s">
        <v>92</v>
      </c>
      <c r="CW61" s="15" t="s">
        <v>92</v>
      </c>
      <c r="CX61" s="15" t="s">
        <v>92</v>
      </c>
      <c r="CY61" s="15" t="s">
        <v>92</v>
      </c>
      <c r="CZ61" s="15" t="s">
        <v>92</v>
      </c>
      <c r="DA61" s="15" t="s">
        <v>92</v>
      </c>
      <c r="DB61" s="15" t="s">
        <v>92</v>
      </c>
      <c r="DC61" s="15" t="s">
        <v>92</v>
      </c>
      <c r="DD61" s="15" t="s">
        <v>92</v>
      </c>
      <c r="DE61" s="15" t="s">
        <v>92</v>
      </c>
      <c r="DF61" s="15" t="s">
        <v>92</v>
      </c>
      <c r="DG61" s="15" t="s">
        <v>92</v>
      </c>
      <c r="DH61" s="15" t="s">
        <v>92</v>
      </c>
      <c r="DI61" s="15" t="s">
        <v>92</v>
      </c>
      <c r="DJ61" s="15" t="s">
        <v>92</v>
      </c>
      <c r="DK61" s="15" t="s">
        <v>92</v>
      </c>
      <c r="DL61" s="15" t="s">
        <v>92</v>
      </c>
      <c r="DM61" s="15" t="s">
        <v>92</v>
      </c>
      <c r="DN61" s="15" t="s">
        <v>92</v>
      </c>
      <c r="DO61" s="15" t="s">
        <v>92</v>
      </c>
      <c r="DP61" s="15" t="s">
        <v>92</v>
      </c>
      <c r="DQ61" s="15" t="s">
        <v>92</v>
      </c>
      <c r="DR61" s="15" t="s">
        <v>92</v>
      </c>
      <c r="DS61" s="15" t="s">
        <v>92</v>
      </c>
      <c r="DT61" s="15" t="s">
        <v>92</v>
      </c>
      <c r="DU61" s="15" t="s">
        <v>92</v>
      </c>
      <c r="DV61" s="15" t="s">
        <v>92</v>
      </c>
      <c r="DW61" s="15" t="s">
        <v>92</v>
      </c>
      <c r="DX61" s="15" t="s">
        <v>92</v>
      </c>
      <c r="DY61" s="15" t="s">
        <v>92</v>
      </c>
      <c r="DZ61" s="15" t="s">
        <v>92</v>
      </c>
      <c r="EA61" s="15" t="s">
        <v>92</v>
      </c>
      <c r="EB61" s="15" t="s">
        <v>92</v>
      </c>
      <c r="EC61" s="15" t="s">
        <v>92</v>
      </c>
      <c r="ED61" s="15" t="s">
        <v>92</v>
      </c>
      <c r="EE61" s="15" t="s">
        <v>92</v>
      </c>
      <c r="EF61" s="15" t="s">
        <v>92</v>
      </c>
      <c r="EG61" s="15" t="s">
        <v>92</v>
      </c>
      <c r="EH61" s="15" t="s">
        <v>92</v>
      </c>
      <c r="EI61" s="15" t="s">
        <v>92</v>
      </c>
      <c r="EJ61" s="15" t="s">
        <v>92</v>
      </c>
      <c r="EK61" s="15" t="s">
        <v>92</v>
      </c>
      <c r="EL61" s="15" t="s">
        <v>92</v>
      </c>
      <c r="EM61" s="15" t="s">
        <v>92</v>
      </c>
      <c r="EN61" s="15" t="s">
        <v>92</v>
      </c>
      <c r="EO61" s="15" t="s">
        <v>92</v>
      </c>
      <c r="EP61" s="15" t="s">
        <v>92</v>
      </c>
      <c r="EQ61" s="15" t="s">
        <v>92</v>
      </c>
      <c r="ER61" s="15" t="s">
        <v>92</v>
      </c>
      <c r="ES61" s="15" t="s">
        <v>92</v>
      </c>
      <c r="ET61" s="15" t="s">
        <v>92</v>
      </c>
      <c r="EU61" s="15" t="s">
        <v>92</v>
      </c>
      <c r="EV61" s="15" t="s">
        <v>92</v>
      </c>
      <c r="EW61" s="15" t="s">
        <v>92</v>
      </c>
      <c r="EX61" s="15" t="s">
        <v>92</v>
      </c>
      <c r="EY61" s="15" t="s">
        <v>92</v>
      </c>
      <c r="EZ61" s="15" t="s">
        <v>92</v>
      </c>
      <c r="FA61" s="15" t="s">
        <v>92</v>
      </c>
      <c r="FB61" s="15" t="s">
        <v>92</v>
      </c>
      <c r="FC61" s="15" t="s">
        <v>92</v>
      </c>
      <c r="FD61" s="15"/>
      <c r="FE61" s="15" t="s">
        <v>92</v>
      </c>
      <c r="FF61" s="15" t="s">
        <v>92</v>
      </c>
      <c r="FG61" s="15" t="s">
        <v>92</v>
      </c>
      <c r="FH61" s="15" t="s">
        <v>92</v>
      </c>
      <c r="FI61" s="15" t="s">
        <v>92</v>
      </c>
      <c r="FJ61" s="15" t="s">
        <v>92</v>
      </c>
      <c r="FK61" s="15" t="s">
        <v>147</v>
      </c>
      <c r="FL61" s="15" t="s">
        <v>92</v>
      </c>
      <c r="FM61" s="15" t="s">
        <v>92</v>
      </c>
      <c r="FN61" s="15" t="s">
        <v>92</v>
      </c>
      <c r="FO61" s="15" t="s">
        <v>92</v>
      </c>
      <c r="FP61" s="15" t="s">
        <v>92</v>
      </c>
      <c r="FQ61" s="15" t="s">
        <v>92</v>
      </c>
      <c r="FR61" s="15" t="s">
        <v>147</v>
      </c>
      <c r="FS61" s="15" t="s">
        <v>92</v>
      </c>
      <c r="FT61" s="15" t="s">
        <v>92</v>
      </c>
      <c r="FU61" s="15" t="s">
        <v>92</v>
      </c>
      <c r="FV61" s="15" t="s">
        <v>92</v>
      </c>
      <c r="FW61" s="15" t="s">
        <v>92</v>
      </c>
      <c r="FX61" s="15" t="s">
        <v>92</v>
      </c>
      <c r="FY61" s="15" t="s">
        <v>147</v>
      </c>
      <c r="FZ61" s="15" t="s">
        <v>92</v>
      </c>
      <c r="GA61" s="15" t="s">
        <v>92</v>
      </c>
      <c r="GB61" s="15" t="s">
        <v>92</v>
      </c>
      <c r="GC61" s="15" t="s">
        <v>92</v>
      </c>
      <c r="GD61" s="15" t="s">
        <v>92</v>
      </c>
      <c r="GE61" s="15" t="s">
        <v>92</v>
      </c>
      <c r="GF61" s="15" t="s">
        <v>147</v>
      </c>
      <c r="GG61" s="15" t="s">
        <v>92</v>
      </c>
      <c r="GH61" s="15" t="s">
        <v>92</v>
      </c>
      <c r="GI61" s="15" t="s">
        <v>92</v>
      </c>
      <c r="GJ61" s="15" t="s">
        <v>92</v>
      </c>
      <c r="GK61" s="15" t="s">
        <v>92</v>
      </c>
      <c r="GL61" s="15" t="s">
        <v>92</v>
      </c>
      <c r="GM61" s="15" t="s">
        <v>147</v>
      </c>
      <c r="GN61" s="15" t="s">
        <v>92</v>
      </c>
      <c r="GO61" s="15" t="s">
        <v>92</v>
      </c>
      <c r="GP61" s="15" t="s">
        <v>92</v>
      </c>
      <c r="GQ61" s="15" t="s">
        <v>92</v>
      </c>
      <c r="GR61" s="15" t="s">
        <v>92</v>
      </c>
      <c r="GS61" s="15" t="s">
        <v>92</v>
      </c>
      <c r="GT61" s="15" t="s">
        <v>147</v>
      </c>
      <c r="GU61" s="15" t="s">
        <v>92</v>
      </c>
      <c r="GV61" s="15" t="s">
        <v>92</v>
      </c>
      <c r="GW61" s="15" t="s">
        <v>92</v>
      </c>
      <c r="GX61" s="15" t="s">
        <v>92</v>
      </c>
      <c r="GY61" s="15" t="s">
        <v>92</v>
      </c>
      <c r="GZ61" s="15" t="s">
        <v>92</v>
      </c>
      <c r="HA61" s="15" t="s">
        <v>147</v>
      </c>
      <c r="HB61" s="15" t="s">
        <v>92</v>
      </c>
      <c r="HC61" s="15" t="s">
        <v>92</v>
      </c>
      <c r="HD61" s="15" t="s">
        <v>92</v>
      </c>
      <c r="HE61" s="15" t="s">
        <v>92</v>
      </c>
      <c r="HF61" s="15" t="s">
        <v>92</v>
      </c>
      <c r="HG61" s="15" t="s">
        <v>92</v>
      </c>
      <c r="HH61" s="15" t="s">
        <v>147</v>
      </c>
      <c r="HI61" s="15" t="s">
        <v>92</v>
      </c>
      <c r="HJ61" s="15" t="s">
        <v>92</v>
      </c>
      <c r="HK61" s="15" t="s">
        <v>92</v>
      </c>
      <c r="HL61" s="15" t="s">
        <v>92</v>
      </c>
      <c r="HM61" s="15" t="s">
        <v>92</v>
      </c>
      <c r="HN61" s="15" t="s">
        <v>92</v>
      </c>
      <c r="HO61" s="15" t="s">
        <v>147</v>
      </c>
      <c r="HP61" s="15" t="s">
        <v>92</v>
      </c>
      <c r="HQ61" s="15" t="s">
        <v>92</v>
      </c>
      <c r="HR61" s="15" t="s">
        <v>92</v>
      </c>
      <c r="HS61" s="15" t="s">
        <v>92</v>
      </c>
      <c r="HT61" s="15" t="s">
        <v>92</v>
      </c>
      <c r="HU61" s="15" t="s">
        <v>92</v>
      </c>
      <c r="HV61" s="15" t="s">
        <v>147</v>
      </c>
      <c r="HW61" s="15" t="s">
        <v>92</v>
      </c>
      <c r="HX61" s="15" t="s">
        <v>92</v>
      </c>
      <c r="HY61" s="15" t="s">
        <v>92</v>
      </c>
      <c r="HZ61" s="15" t="s">
        <v>92</v>
      </c>
      <c r="IA61" s="15" t="s">
        <v>147</v>
      </c>
      <c r="IB61" s="15"/>
      <c r="IC61" s="15" t="s">
        <v>92</v>
      </c>
      <c r="ID61" s="15" t="s">
        <v>92</v>
      </c>
      <c r="IE61" s="15" t="s">
        <v>92</v>
      </c>
      <c r="IF61" s="15" t="s">
        <v>92</v>
      </c>
      <c r="IG61" s="15" t="s">
        <v>92</v>
      </c>
      <c r="IH61" s="15" t="s">
        <v>92</v>
      </c>
      <c r="II61" s="15" t="s">
        <v>147</v>
      </c>
      <c r="IJ61" s="15" t="s">
        <v>147</v>
      </c>
      <c r="IK61" s="15"/>
      <c r="IL61" s="15" t="s">
        <v>92</v>
      </c>
      <c r="IM61" s="15" t="s">
        <v>92</v>
      </c>
      <c r="IN61" s="15" t="s">
        <v>92</v>
      </c>
      <c r="IO61" s="15" t="s">
        <v>92</v>
      </c>
      <c r="IP61" s="15" t="s">
        <v>92</v>
      </c>
      <c r="IQ61" s="15" t="s">
        <v>92</v>
      </c>
      <c r="IR61" s="15" t="s">
        <v>147</v>
      </c>
      <c r="IS61" s="15" t="str">
        <f xml:space="preserve"> IF( OR(EXACT(IS58, "MM_SYSTEM_MODE_INIT_E"), EXACT(IS58, "MM_SYSTEM_MODE_LVC_MODE_E")), "MM_LVC_E", "MM_HLC_E")</f>
        <v>MM_HLC_E</v>
      </c>
      <c r="IT61" s="15" t="str">
        <f t="shared" ref="IT61:JV61" si="858" xml:space="preserve"> IF( OR(EXACT(IT58, "MM_SYSTEM_MODE_INIT_E"), EXACT(IT58, "MM_SYSTEM_MODE_LVC_MODE_E")), "MM_LVC_E", "MM_HLC_E")</f>
        <v>MM_HLC_E</v>
      </c>
      <c r="IU61" s="15" t="str">
        <f t="shared" si="858"/>
        <v>MM_HLC_E</v>
      </c>
      <c r="IV61" s="15" t="str">
        <f t="shared" si="858"/>
        <v>MM_HLC_E</v>
      </c>
      <c r="IW61" s="15" t="str">
        <f t="shared" si="858"/>
        <v>MM_HLC_E</v>
      </c>
      <c r="IX61" s="15" t="str">
        <f t="shared" si="858"/>
        <v>MM_HLC_E</v>
      </c>
      <c r="IY61" s="15" t="str">
        <f t="shared" si="858"/>
        <v>MM_HLC_E</v>
      </c>
      <c r="IZ61" s="15" t="str">
        <f t="shared" si="858"/>
        <v>MM_HLC_E</v>
      </c>
      <c r="JA61" s="15" t="str">
        <f t="shared" si="858"/>
        <v>MM_HLC_E</v>
      </c>
      <c r="JB61" s="15" t="str">
        <f t="shared" si="858"/>
        <v>MM_HLC_E</v>
      </c>
      <c r="JC61" s="15" t="str">
        <f t="shared" si="858"/>
        <v>MM_HLC_E</v>
      </c>
      <c r="JD61" s="15" t="str">
        <f t="shared" si="858"/>
        <v>MM_HLC_E</v>
      </c>
      <c r="JE61" s="15" t="str">
        <f t="shared" si="858"/>
        <v>MM_HLC_E</v>
      </c>
      <c r="JF61" s="15" t="str">
        <f t="shared" si="858"/>
        <v>MM_HLC_E</v>
      </c>
      <c r="JG61" s="15" t="str">
        <f t="shared" si="858"/>
        <v>MM_HLC_E</v>
      </c>
      <c r="JH61" s="15" t="str">
        <f t="shared" si="858"/>
        <v>MM_HLC_E</v>
      </c>
      <c r="JI61" s="15" t="str">
        <f t="shared" si="858"/>
        <v>MM_HLC_E</v>
      </c>
      <c r="JJ61" s="15" t="str">
        <f t="shared" si="858"/>
        <v>MM_HLC_E</v>
      </c>
      <c r="JK61" s="15" t="str">
        <f t="shared" si="858"/>
        <v>MM_HLC_E</v>
      </c>
      <c r="JL61" s="15" t="str">
        <f t="shared" si="858"/>
        <v>MM_HLC_E</v>
      </c>
      <c r="JM61" s="15" t="str">
        <f t="shared" si="858"/>
        <v>MM_HLC_E</v>
      </c>
      <c r="JN61" s="15" t="str">
        <f t="shared" si="858"/>
        <v>MM_HLC_E</v>
      </c>
      <c r="JO61" s="15" t="str">
        <f t="shared" si="858"/>
        <v>MM_HLC_E</v>
      </c>
      <c r="JP61" s="15" t="str">
        <f t="shared" si="858"/>
        <v>MM_HLC_E</v>
      </c>
      <c r="JQ61" s="15" t="str">
        <f t="shared" si="858"/>
        <v>MM_HLC_E</v>
      </c>
      <c r="JR61" s="15" t="str">
        <f t="shared" si="858"/>
        <v>MM_HLC_E</v>
      </c>
      <c r="JS61" s="15" t="str">
        <f t="shared" si="858"/>
        <v>MM_HLC_E</v>
      </c>
      <c r="JT61" s="15" t="str">
        <f t="shared" si="858"/>
        <v>MM_HLC_E</v>
      </c>
      <c r="JU61" s="15" t="str">
        <f t="shared" si="858"/>
        <v>MM_HLC_E</v>
      </c>
      <c r="JV61" s="15" t="str">
        <f t="shared" si="858"/>
        <v>MM_HLC_E</v>
      </c>
      <c r="JW61" s="15" t="str">
        <f t="shared" ref="JW61:JX61" si="859" xml:space="preserve"> IF( OR(EXACT(JW58, "MM_SYSTEM_MODE_INIT_E"), EXACT(JW58, "MM_SYSTEM_MODE_LVC_MODE_E")), "MM_LVC_E", "MM_HLC_E")</f>
        <v>MM_HLC_E</v>
      </c>
      <c r="JX61" s="15" t="str">
        <f t="shared" si="859"/>
        <v>MM_HLC_E</v>
      </c>
      <c r="JY61" s="15" t="str">
        <f t="shared" ref="JY61:JZ61" si="860" xml:space="preserve"> IF( OR(EXACT(JY58, "MM_SYSTEM_MODE_INIT_E"), EXACT(JY58, "MM_SYSTEM_MODE_LVC_MODE_E")), "MM_LVC_E", "MM_HLC_E")</f>
        <v>MM_HLC_E</v>
      </c>
      <c r="JZ61" s="15" t="str">
        <f t="shared" si="860"/>
        <v>MM_HLC_E</v>
      </c>
      <c r="KA61" s="15" t="str">
        <f t="shared" ref="KA61:KB61" si="861" xml:space="preserve"> IF( OR(EXACT(KA58, "MM_SYSTEM_MODE_INIT_E"), EXACT(KA58, "MM_SYSTEM_MODE_LVC_MODE_E")), "MM_LVC_E", "MM_HLC_E")</f>
        <v>MM_HLC_E</v>
      </c>
      <c r="KB61" s="15" t="str">
        <f t="shared" si="861"/>
        <v>MM_HLC_E</v>
      </c>
      <c r="KC61" s="15" t="str">
        <f t="shared" ref="KC61:KD61" si="862" xml:space="preserve"> IF( OR(EXACT(KC58, "MM_SYSTEM_MODE_INIT_E"), EXACT(KC58, "MM_SYSTEM_MODE_LVC_MODE_E")), "MM_LVC_E", "MM_HLC_E")</f>
        <v>MM_HLC_E</v>
      </c>
      <c r="KD61" s="15" t="str">
        <f t="shared" si="862"/>
        <v>MM_HLC_E</v>
      </c>
      <c r="KE61" s="15" t="str">
        <f t="shared" ref="KE61:KF61" si="863" xml:space="preserve"> IF( OR(EXACT(KE58, "MM_SYSTEM_MODE_INIT_E"), EXACT(KE58, "MM_SYSTEM_MODE_LVC_MODE_E")), "MM_LVC_E", "MM_HLC_E")</f>
        <v>MM_HLC_E</v>
      </c>
      <c r="KF61" s="15" t="str">
        <f t="shared" si="863"/>
        <v>MM_HLC_E</v>
      </c>
      <c r="KG61" s="15" t="str">
        <f t="shared" ref="KG61:KH61" si="864" xml:space="preserve"> IF( OR(EXACT(KG58, "MM_SYSTEM_MODE_INIT_E"), EXACT(KG58, "MM_SYSTEM_MODE_LVC_MODE_E")), "MM_LVC_E", "MM_HLC_E")</f>
        <v>MM_HLC_E</v>
      </c>
      <c r="KH61" s="15" t="str">
        <f t="shared" si="864"/>
        <v>MM_HLC_E</v>
      </c>
      <c r="KI61" s="15" t="str">
        <f t="shared" ref="KI61:KJ61" si="865" xml:space="preserve"> IF( OR(EXACT(KI58, "MM_SYSTEM_MODE_INIT_E"), EXACT(KI58, "MM_SYSTEM_MODE_LVC_MODE_E")), "MM_LVC_E", "MM_HLC_E")</f>
        <v>MM_HLC_E</v>
      </c>
      <c r="KJ61" s="15" t="str">
        <f t="shared" si="865"/>
        <v>MM_HLC_E</v>
      </c>
      <c r="KK61" s="15" t="str">
        <f t="shared" ref="KK61:KL61" si="866" xml:space="preserve"> IF( OR(EXACT(KK58, "MM_SYSTEM_MODE_INIT_E"), EXACT(KK58, "MM_SYSTEM_MODE_LVC_MODE_E")), "MM_LVC_E", "MM_HLC_E")</f>
        <v>MM_HLC_E</v>
      </c>
      <c r="KL61" s="15" t="str">
        <f t="shared" si="866"/>
        <v>MM_HLC_E</v>
      </c>
      <c r="KM61" s="15" t="str">
        <f t="shared" ref="KM61:KN61" si="867" xml:space="preserve"> IF( OR(EXACT(KM58, "MM_SYSTEM_MODE_INIT_E"), EXACT(KM58, "MM_SYSTEM_MODE_LVC_MODE_E")), "MM_LVC_E", "MM_HLC_E")</f>
        <v>MM_HLC_E</v>
      </c>
      <c r="KN61" s="15" t="str">
        <f t="shared" si="867"/>
        <v>MM_HLC_E</v>
      </c>
      <c r="KO61" s="15" t="str">
        <f t="shared" ref="KO61:KP61" si="868" xml:space="preserve"> IF( OR(EXACT(KO58, "MM_SYSTEM_MODE_INIT_E"), EXACT(KO58, "MM_SYSTEM_MODE_LVC_MODE_E")), "MM_LVC_E", "MM_HLC_E")</f>
        <v>MM_HLC_E</v>
      </c>
      <c r="KP61" s="15" t="str">
        <f t="shared" si="868"/>
        <v>MM_HLC_E</v>
      </c>
      <c r="KQ61" s="15" t="str">
        <f t="shared" ref="KQ61:KR61" si="869" xml:space="preserve"> IF( OR(EXACT(KQ58, "MM_SYSTEM_MODE_INIT_E"), EXACT(KQ58, "MM_SYSTEM_MODE_LVC_MODE_E")), "MM_LVC_E", "MM_HLC_E")</f>
        <v>MM_HLC_E</v>
      </c>
      <c r="KR61" s="15" t="str">
        <f t="shared" si="869"/>
        <v>MM_HLC_E</v>
      </c>
      <c r="KS61" s="15" t="str">
        <f t="shared" ref="KS61:KT61" si="870" xml:space="preserve"> IF( OR(EXACT(KS58, "MM_SYSTEM_MODE_INIT_E"), EXACT(KS58, "MM_SYSTEM_MODE_LVC_MODE_E")), "MM_LVC_E", "MM_HLC_E")</f>
        <v>MM_HLC_E</v>
      </c>
      <c r="KT61" s="15" t="str">
        <f t="shared" si="870"/>
        <v>MM_HLC_E</v>
      </c>
      <c r="KU61" s="15" t="str">
        <f t="shared" ref="KU61:KX61" si="871" xml:space="preserve"> IF( OR(EXACT(KU58, "MM_SYSTEM_MODE_INIT_E"), EXACT(KU58, "MM_SYSTEM_MODE_LVC_MODE_E")), "MM_LVC_E", "MM_HLC_E")</f>
        <v>MM_HLC_E</v>
      </c>
      <c r="KV61" s="15" t="str">
        <f t="shared" si="871"/>
        <v>MM_HLC_E</v>
      </c>
      <c r="KW61" s="15" t="str">
        <f t="shared" si="871"/>
        <v>MM_HLC_E</v>
      </c>
      <c r="KX61" s="15" t="str">
        <f t="shared" si="871"/>
        <v>MM_HLC_E</v>
      </c>
      <c r="KY61" s="15" t="str">
        <f t="shared" ref="KY61:KZ61" si="872" xml:space="preserve"> IF( OR(EXACT(KY58, "MM_SYSTEM_MODE_INIT_E"), EXACT(KY58, "MM_SYSTEM_MODE_LVC_MODE_E")), "MM_LVC_E", "MM_HLC_E")</f>
        <v>MM_HLC_E</v>
      </c>
      <c r="KZ61" s="15" t="str">
        <f t="shared" si="872"/>
        <v>MM_HLC_E</v>
      </c>
      <c r="LA61" s="15" t="str">
        <f t="shared" ref="LA61:LB61" si="873" xml:space="preserve"> IF( OR(EXACT(LA58, "MM_SYSTEM_MODE_INIT_E"), EXACT(LA58, "MM_SYSTEM_MODE_LVC_MODE_E")), "MM_LVC_E", "MM_HLC_E")</f>
        <v>MM_HLC_E</v>
      </c>
      <c r="LB61" s="15" t="str">
        <f t="shared" si="873"/>
        <v>MM_HLC_E</v>
      </c>
      <c r="LC61" s="15" t="str">
        <f t="shared" ref="LC61:LD61" si="874" xml:space="preserve"> IF( OR(EXACT(LC58, "MM_SYSTEM_MODE_INIT_E"), EXACT(LC58, "MM_SYSTEM_MODE_LVC_MODE_E")), "MM_LVC_E", "MM_HLC_E")</f>
        <v>MM_HLC_E</v>
      </c>
      <c r="LD61" s="15" t="str">
        <f t="shared" si="874"/>
        <v>MM_HLC_E</v>
      </c>
      <c r="LE61" s="15" t="str">
        <f t="shared" ref="LE61:LF61" si="875" xml:space="preserve"> IF( OR(EXACT(LE58, "MM_SYSTEM_MODE_INIT_E"), EXACT(LE58, "MM_SYSTEM_MODE_LVC_MODE_E")), "MM_LVC_E", "MM_HLC_E")</f>
        <v>MM_HLC_E</v>
      </c>
      <c r="LF61" s="15" t="str">
        <f t="shared" si="875"/>
        <v>MM_HLC_E</v>
      </c>
      <c r="LG61" s="15" t="str">
        <f t="shared" ref="LG61:LJ61" si="876" xml:space="preserve"> IF( OR(EXACT(LG58, "MM_SYSTEM_MODE_INIT_E"), EXACT(LG58, "MM_SYSTEM_MODE_LVC_MODE_E")), "MM_LVC_E", "MM_HLC_E")</f>
        <v>MM_HLC_E</v>
      </c>
      <c r="LH61" s="15" t="str">
        <f t="shared" si="876"/>
        <v>MM_HLC_E</v>
      </c>
      <c r="LI61" s="15" t="str">
        <f t="shared" si="876"/>
        <v>MM_HLC_E</v>
      </c>
      <c r="LJ61" s="15" t="str">
        <f t="shared" si="876"/>
        <v>MM_HLC_E</v>
      </c>
      <c r="LK61" s="15" t="str">
        <f t="shared" ref="LK61:LL61" si="877" xml:space="preserve"> IF( OR(EXACT(LK58, "MM_SYSTEM_MODE_INIT_E"), EXACT(LK58, "MM_SYSTEM_MODE_LVC_MODE_E")), "MM_LVC_E", "MM_HLC_E")</f>
        <v>MM_HLC_E</v>
      </c>
      <c r="LL61" s="15" t="str">
        <f t="shared" si="877"/>
        <v>MM_HLC_E</v>
      </c>
      <c r="LM61" s="15" t="str">
        <f t="shared" ref="LM61:LP61" si="878" xml:space="preserve"> IF( OR(EXACT(LM58, "MM_SYSTEM_MODE_INIT_E"), EXACT(LM58, "MM_SYSTEM_MODE_LVC_MODE_E")), "MM_LVC_E", "MM_HLC_E")</f>
        <v>MM_HLC_E</v>
      </c>
      <c r="LN61" s="15" t="str">
        <f t="shared" si="878"/>
        <v>MM_HLC_E</v>
      </c>
      <c r="LO61" s="15" t="str">
        <f t="shared" si="878"/>
        <v>MM_HLC_E</v>
      </c>
      <c r="LP61" s="15" t="str">
        <f t="shared" si="878"/>
        <v>MM_HLC_E</v>
      </c>
      <c r="LQ61" s="15" t="str">
        <f t="shared" ref="LQ61:LS61" si="879" xml:space="preserve"> IF( OR(EXACT(LQ58, "MM_SYSTEM_MODE_INIT_E"), EXACT(LQ58, "MM_SYSTEM_MODE_LVC_MODE_E")), "MM_LVC_E", "MM_HLC_E")</f>
        <v>MM_HLC_E</v>
      </c>
      <c r="LR61" s="15" t="str">
        <f t="shared" si="879"/>
        <v>MM_HLC_E</v>
      </c>
      <c r="LS61" s="15" t="str">
        <f t="shared" si="879"/>
        <v>MM_HLC_E</v>
      </c>
      <c r="LT61" s="15" t="str">
        <f t="shared" ref="LT61:LU61" si="880" xml:space="preserve"> IF( OR(EXACT(LT58, "MM_SYSTEM_MODE_INIT_E"), EXACT(LT58, "MM_SYSTEM_MODE_LVC_MODE_E")), "MM_LVC_E", "MM_HLC_E")</f>
        <v>MM_HLC_E</v>
      </c>
      <c r="LU61" s="15" t="str">
        <f t="shared" si="880"/>
        <v>MM_HLC_E</v>
      </c>
      <c r="LV61" s="15" t="str">
        <f t="shared" ref="LV61:LW61" si="881" xml:space="preserve"> IF( OR(EXACT(LV58, "MM_SYSTEM_MODE_INIT_E"), EXACT(LV58, "MM_SYSTEM_MODE_LVC_MODE_E")), "MM_LVC_E", "MM_HLC_E")</f>
        <v>MM_HLC_E</v>
      </c>
      <c r="LW61" s="15" t="str">
        <f t="shared" si="881"/>
        <v>MM_HLC_E</v>
      </c>
      <c r="LX61" s="15" t="str">
        <f t="shared" ref="LX61" si="882" xml:space="preserve"> IF( OR(EXACT(LX58, "MM_SYSTEM_MODE_INIT_E"), EXACT(LX58, "MM_SYSTEM_MODE_LVC_MODE_E")), "MM_LVC_E", "MM_HLC_E")</f>
        <v>MM_HLC_E</v>
      </c>
      <c r="LY61" s="15" t="str">
        <f t="shared" ref="LY61:LZ61" si="883" xml:space="preserve"> IF( OR(EXACT(LY58, "MM_SYSTEM_MODE_INIT_E"), EXACT(LY58, "MM_SYSTEM_MODE_LVC_MODE_E")), "MM_LVC_E", "MM_HLC_E")</f>
        <v>MM_HLC_E</v>
      </c>
      <c r="LZ61" s="15" t="str">
        <f t="shared" si="883"/>
        <v>MM_HLC_E</v>
      </c>
      <c r="MA61" s="15" t="str">
        <f t="shared" ref="MA61:MC61" si="884" xml:space="preserve"> IF( OR(EXACT(MA58, "MM_SYSTEM_MODE_INIT_E"), EXACT(MA58, "MM_SYSTEM_MODE_LVC_MODE_E")), "MM_LVC_E", "MM_HLC_E")</f>
        <v>MM_HLC_E</v>
      </c>
      <c r="MB61" s="15" t="str">
        <f t="shared" si="884"/>
        <v>MM_HLC_E</v>
      </c>
      <c r="MC61" s="15" t="str">
        <f t="shared" si="884"/>
        <v>MM_HLC_E</v>
      </c>
      <c r="MD61" s="15" t="str">
        <f t="shared" ref="MD61:MF61" si="885" xml:space="preserve"> IF( OR(EXACT(MD58, "MM_SYSTEM_MODE_INIT_E"), EXACT(MD58, "MM_SYSTEM_MODE_LVC_MODE_E")), "MM_LVC_E", "MM_HLC_E")</f>
        <v>MM_HLC_E</v>
      </c>
      <c r="ME61" s="15" t="str">
        <f t="shared" si="885"/>
        <v>MM_HLC_E</v>
      </c>
      <c r="MF61" s="15" t="str">
        <f t="shared" si="885"/>
        <v>MM_HLC_E</v>
      </c>
      <c r="MG61" s="15" t="str">
        <f t="shared" ref="MG61" si="886" xml:space="preserve"> IF( OR(EXACT(MG58, "MM_SYSTEM_MODE_INIT_E"), EXACT(MG58, "MM_SYSTEM_MODE_LVC_MODE_E")), "MM_LVC_E", "MM_HLC_E")</f>
        <v>MM_HLC_E</v>
      </c>
      <c r="MH61" s="15" t="str">
        <f t="shared" ref="MH61:MI61" si="887" xml:space="preserve"> IF( OR(EXACT(MH58, "MM_SYSTEM_MODE_INIT_E"), EXACT(MH58, "MM_SYSTEM_MODE_LVC_MODE_E")), "MM_LVC_E", "MM_HLC_E")</f>
        <v>MM_HLC_E</v>
      </c>
      <c r="MI61" s="15" t="str">
        <f t="shared" si="887"/>
        <v>MM_HLC_E</v>
      </c>
      <c r="MJ61" s="15" t="str">
        <f t="shared" ref="MJ61:MN61" si="888" xml:space="preserve"> IF( OR(EXACT(MJ58, "MM_SYSTEM_MODE_INIT_E"), EXACT(MJ58, "MM_SYSTEM_MODE_LVC_MODE_E")), "MM_LVC_E", "MM_HLC_E")</f>
        <v>MM_HLC_E</v>
      </c>
      <c r="MK61" s="15" t="str">
        <f t="shared" si="888"/>
        <v>MM_HLC_E</v>
      </c>
      <c r="ML61" s="15" t="str">
        <f t="shared" si="888"/>
        <v>MM_HLC_E</v>
      </c>
      <c r="MM61" s="15" t="str">
        <f t="shared" si="888"/>
        <v>MM_HLC_E</v>
      </c>
      <c r="MN61" s="15" t="str">
        <f t="shared" si="888"/>
        <v>MM_HLC_E</v>
      </c>
      <c r="MO61" s="15" t="str">
        <f t="shared" ref="MO61:MX61" si="889" xml:space="preserve"> IF( OR(EXACT(MO58, "MM_SYSTEM_MODE_INIT_E"), EXACT(MO58, "MM_SYSTEM_MODE_LVC_MODE_E")), "MM_LVC_E", "MM_HLC_E")</f>
        <v>MM_HLC_E</v>
      </c>
      <c r="MP61" s="15" t="str">
        <f t="shared" si="889"/>
        <v>MM_HLC_E</v>
      </c>
      <c r="MQ61" s="15" t="str">
        <f t="shared" si="889"/>
        <v>MM_HLC_E</v>
      </c>
      <c r="MR61" s="15" t="str">
        <f t="shared" si="889"/>
        <v>MM_HLC_E</v>
      </c>
      <c r="MS61" s="15" t="str">
        <f t="shared" si="889"/>
        <v>MM_HLC_E</v>
      </c>
      <c r="MT61" s="15" t="str">
        <f t="shared" si="889"/>
        <v>MM_HLC_E</v>
      </c>
      <c r="MU61" s="15" t="str">
        <f t="shared" si="889"/>
        <v>MM_HLC_E</v>
      </c>
      <c r="MV61" s="15" t="str">
        <f t="shared" si="889"/>
        <v>MM_HLC_E</v>
      </c>
      <c r="MW61" s="15" t="str">
        <f t="shared" si="889"/>
        <v>MM_HLC_E</v>
      </c>
      <c r="MX61" s="15" t="str">
        <f t="shared" si="889"/>
        <v>MM_HLC_E</v>
      </c>
      <c r="MY61" s="15" t="str">
        <f t="shared" ref="MY61:NH61" si="890" xml:space="preserve"> IF( OR(EXACT(MY58, "MM_SYSTEM_MODE_INIT_E"), EXACT(MY58, "MM_SYSTEM_MODE_LVC_MODE_E")), "MM_LVC_E", "MM_HLC_E")</f>
        <v>MM_HLC_E</v>
      </c>
      <c r="MZ61" s="15" t="str">
        <f t="shared" si="890"/>
        <v>MM_HLC_E</v>
      </c>
      <c r="NA61" s="15" t="str">
        <f t="shared" si="890"/>
        <v>MM_HLC_E</v>
      </c>
      <c r="NB61" s="15" t="str">
        <f t="shared" si="890"/>
        <v>MM_HLC_E</v>
      </c>
      <c r="NC61" s="15" t="str">
        <f t="shared" si="890"/>
        <v>MM_HLC_E</v>
      </c>
      <c r="ND61" s="15" t="str">
        <f t="shared" si="890"/>
        <v>MM_HLC_E</v>
      </c>
      <c r="NE61" s="15" t="str">
        <f t="shared" si="890"/>
        <v>MM_HLC_E</v>
      </c>
      <c r="NF61" s="15" t="str">
        <f t="shared" si="890"/>
        <v>MM_HLC_E</v>
      </c>
      <c r="NG61" s="15" t="str">
        <f t="shared" si="890"/>
        <v>MM_HLC_E</v>
      </c>
      <c r="NH61" s="15" t="str">
        <f t="shared" si="890"/>
        <v>MM_HLC_E</v>
      </c>
      <c r="NI61" s="15" t="str">
        <f t="shared" ref="NI61:NL61" si="891" xml:space="preserve"> IF( OR(EXACT(NI58, "MM_SYSTEM_MODE_INIT_E"), EXACT(NI58, "MM_SYSTEM_MODE_LVC_MODE_E")), "MM_LVC_E", "MM_HLC_E")</f>
        <v>MM_HLC_E</v>
      </c>
      <c r="NJ61" s="15" t="str">
        <f t="shared" si="891"/>
        <v>MM_HLC_E</v>
      </c>
      <c r="NK61" s="15" t="str">
        <f t="shared" si="891"/>
        <v>MM_HLC_E</v>
      </c>
      <c r="NL61" s="15" t="str">
        <f t="shared" si="891"/>
        <v>MM_HLC_E</v>
      </c>
      <c r="NM61" s="15" t="str">
        <f t="shared" ref="NM61:NO61" si="892" xml:space="preserve"> IF( OR(EXACT(NM58, "MM_SYSTEM_MODE_INIT_E"), EXACT(NM58, "MM_SYSTEM_MODE_LVC_MODE_E")), "MM_LVC_E", "MM_HLC_E")</f>
        <v>MM_HLC_E</v>
      </c>
      <c r="NN61" s="15" t="str">
        <f t="shared" si="892"/>
        <v>MM_HLC_E</v>
      </c>
      <c r="NO61" s="15" t="str">
        <f t="shared" si="892"/>
        <v>MM_HLC_E</v>
      </c>
      <c r="NP61" s="15" t="str">
        <f t="shared" ref="NP61:NS61" si="893" xml:space="preserve"> IF( OR(EXACT(NP58, "MM_SYSTEM_MODE_INIT_E"), EXACT(NP58, "MM_SYSTEM_MODE_LVC_MODE_E")), "MM_LVC_E", "MM_HLC_E")</f>
        <v>MM_HLC_E</v>
      </c>
      <c r="NQ61" s="15" t="str">
        <f t="shared" si="893"/>
        <v>MM_HLC_E</v>
      </c>
      <c r="NR61" s="15" t="str">
        <f t="shared" si="893"/>
        <v>MM_HLC_E</v>
      </c>
      <c r="NS61" s="15" t="str">
        <f t="shared" si="893"/>
        <v>MM_HLC_E</v>
      </c>
      <c r="NT61" s="15" t="str">
        <f t="shared" ref="NT61:QG61" si="894" xml:space="preserve"> IF( OR(EXACT(NT58, "MM_SYSTEM_MODE_INIT_E"), EXACT(NT58, "MM_SYSTEM_MODE_LVC_MODE_E")), "MM_LVC_E", "MM_HLC_E")</f>
        <v>MM_HLC_E</v>
      </c>
      <c r="NU61" s="15" t="str">
        <f t="shared" si="894"/>
        <v>MM_HLC_E</v>
      </c>
      <c r="NV61" s="15" t="str">
        <f t="shared" si="894"/>
        <v>MM_HLC_E</v>
      </c>
      <c r="NW61" s="15" t="str">
        <f t="shared" si="894"/>
        <v>MM_HLC_E</v>
      </c>
      <c r="NX61" s="15" t="str">
        <f t="shared" si="894"/>
        <v>MM_HLC_E</v>
      </c>
      <c r="NY61" s="15" t="str">
        <f t="shared" si="894"/>
        <v>MM_HLC_E</v>
      </c>
      <c r="NZ61" s="15" t="str">
        <f t="shared" si="894"/>
        <v>MM_HLC_E</v>
      </c>
      <c r="OA61" s="15" t="str">
        <f t="shared" si="894"/>
        <v>MM_HLC_E</v>
      </c>
      <c r="OB61" s="15" t="str">
        <f t="shared" si="894"/>
        <v>MM_HLC_E</v>
      </c>
      <c r="OC61" s="15" t="str">
        <f t="shared" si="894"/>
        <v>MM_HLC_E</v>
      </c>
      <c r="OD61" s="15" t="str">
        <f t="shared" si="894"/>
        <v>MM_HLC_E</v>
      </c>
      <c r="OE61" s="15" t="str">
        <f t="shared" si="894"/>
        <v>MM_HLC_E</v>
      </c>
      <c r="OF61" s="15" t="str">
        <f t="shared" si="894"/>
        <v>MM_HLC_E</v>
      </c>
      <c r="OG61" s="15" t="str">
        <f t="shared" si="894"/>
        <v>MM_HLC_E</v>
      </c>
      <c r="OH61" s="15" t="str">
        <f t="shared" si="894"/>
        <v>MM_HLC_E</v>
      </c>
      <c r="OI61" s="15" t="str">
        <f t="shared" si="894"/>
        <v>MM_HLC_E</v>
      </c>
      <c r="OJ61" s="15" t="str">
        <f t="shared" si="894"/>
        <v>MM_HLC_E</v>
      </c>
      <c r="OK61" s="15" t="str">
        <f t="shared" si="894"/>
        <v>MM_HLC_E</v>
      </c>
      <c r="OL61" s="15" t="str">
        <f t="shared" si="894"/>
        <v>MM_HLC_E</v>
      </c>
      <c r="OM61" s="15" t="str">
        <f t="shared" si="894"/>
        <v>MM_HLC_E</v>
      </c>
      <c r="ON61" s="15" t="str">
        <f t="shared" si="894"/>
        <v>MM_HLC_E</v>
      </c>
      <c r="OO61" s="15" t="str">
        <f t="shared" si="894"/>
        <v>MM_HLC_E</v>
      </c>
      <c r="OP61" s="15" t="str">
        <f t="shared" si="894"/>
        <v>MM_HLC_E</v>
      </c>
      <c r="OQ61" s="15" t="str">
        <f t="shared" si="894"/>
        <v>MM_HLC_E</v>
      </c>
      <c r="OR61" s="15" t="str">
        <f t="shared" si="894"/>
        <v>MM_HLC_E</v>
      </c>
      <c r="OS61" s="15" t="str">
        <f t="shared" si="894"/>
        <v>MM_HLC_E</v>
      </c>
      <c r="OT61" s="15" t="str">
        <f t="shared" si="894"/>
        <v>MM_HLC_E</v>
      </c>
      <c r="OU61" s="15" t="str">
        <f t="shared" si="894"/>
        <v>MM_HLC_E</v>
      </c>
      <c r="OV61" s="15" t="str">
        <f t="shared" si="894"/>
        <v>MM_HLC_E</v>
      </c>
      <c r="OW61" s="15" t="str">
        <f t="shared" si="894"/>
        <v>MM_HLC_E</v>
      </c>
      <c r="OX61" s="15" t="str">
        <f t="shared" si="894"/>
        <v>MM_HLC_E</v>
      </c>
      <c r="OY61" s="15" t="str">
        <f t="shared" si="894"/>
        <v>MM_HLC_E</v>
      </c>
      <c r="OZ61" s="15" t="str">
        <f t="shared" si="894"/>
        <v>MM_HLC_E</v>
      </c>
      <c r="PA61" s="15" t="str">
        <f t="shared" si="894"/>
        <v>MM_HLC_E</v>
      </c>
      <c r="PB61" s="15" t="str">
        <f t="shared" si="894"/>
        <v>MM_HLC_E</v>
      </c>
      <c r="PC61" s="15" t="str">
        <f t="shared" si="894"/>
        <v>MM_HLC_E</v>
      </c>
      <c r="PD61" s="15" t="str">
        <f t="shared" si="894"/>
        <v>MM_HLC_E</v>
      </c>
      <c r="PE61" s="15" t="str">
        <f t="shared" si="894"/>
        <v>MM_HLC_E</v>
      </c>
      <c r="PF61" s="15" t="str">
        <f t="shared" si="894"/>
        <v>MM_HLC_E</v>
      </c>
      <c r="PG61" s="15" t="str">
        <f t="shared" si="894"/>
        <v>MM_HLC_E</v>
      </c>
      <c r="PH61" s="15" t="str">
        <f t="shared" si="894"/>
        <v>MM_HLC_E</v>
      </c>
      <c r="PI61" s="15" t="str">
        <f t="shared" si="894"/>
        <v>MM_HLC_E</v>
      </c>
      <c r="PJ61" s="15" t="str">
        <f t="shared" si="894"/>
        <v>MM_HLC_E</v>
      </c>
      <c r="PK61" s="15" t="str">
        <f t="shared" si="894"/>
        <v>MM_HLC_E</v>
      </c>
      <c r="PL61" s="15" t="str">
        <f t="shared" si="894"/>
        <v>MM_HLC_E</v>
      </c>
      <c r="PM61" s="15" t="str">
        <f t="shared" si="894"/>
        <v>MM_HLC_E</v>
      </c>
      <c r="PN61" s="15" t="str">
        <f t="shared" si="894"/>
        <v>MM_HLC_E</v>
      </c>
      <c r="PO61" s="15" t="str">
        <f t="shared" si="894"/>
        <v>MM_HLC_E</v>
      </c>
      <c r="PP61" s="15" t="str">
        <f t="shared" si="894"/>
        <v>MM_HLC_E</v>
      </c>
      <c r="PQ61" s="15" t="str">
        <f t="shared" si="894"/>
        <v>MM_HLC_E</v>
      </c>
      <c r="PR61" s="15" t="str">
        <f t="shared" si="894"/>
        <v>MM_HLC_E</v>
      </c>
      <c r="PS61" s="15" t="str">
        <f t="shared" si="894"/>
        <v>MM_HLC_E</v>
      </c>
      <c r="PT61" s="15" t="str">
        <f t="shared" si="894"/>
        <v>MM_HLC_E</v>
      </c>
      <c r="PU61" s="15" t="str">
        <f t="shared" si="894"/>
        <v>MM_HLC_E</v>
      </c>
      <c r="PV61" s="15" t="str">
        <f t="shared" si="894"/>
        <v>MM_HLC_E</v>
      </c>
      <c r="PW61" s="15" t="str">
        <f t="shared" si="894"/>
        <v>MM_HLC_E</v>
      </c>
      <c r="PX61" s="15" t="str">
        <f t="shared" si="894"/>
        <v>MM_HLC_E</v>
      </c>
      <c r="PY61" s="15" t="str">
        <f t="shared" si="894"/>
        <v>MM_HLC_E</v>
      </c>
      <c r="PZ61" s="15" t="str">
        <f t="shared" si="894"/>
        <v>MM_HLC_E</v>
      </c>
      <c r="QA61" s="15" t="str">
        <f t="shared" si="894"/>
        <v>MM_HLC_E</v>
      </c>
      <c r="QB61" s="15" t="str">
        <f t="shared" si="894"/>
        <v>MM_HLC_E</v>
      </c>
      <c r="QC61" s="15" t="str">
        <f t="shared" ref="QC61" si="895" xml:space="preserve"> IF( OR(EXACT(QC58, "MM_SYSTEM_MODE_INIT_E"), EXACT(QC58, "MM_SYSTEM_MODE_LVC_MODE_E")), "MM_LVC_E", "MM_HLC_E")</f>
        <v>MM_HLC_E</v>
      </c>
      <c r="QD61" s="15" t="str">
        <f t="shared" si="894"/>
        <v>MM_HLC_E</v>
      </c>
      <c r="QE61" s="15" t="str">
        <f t="shared" ref="QE61" si="896" xml:space="preserve"> IF( OR(EXACT(QE58, "MM_SYSTEM_MODE_INIT_E"), EXACT(QE58, "MM_SYSTEM_MODE_LVC_MODE_E")), "MM_LVC_E", "MM_HLC_E")</f>
        <v>MM_HLC_E</v>
      </c>
      <c r="QF61" s="15" t="str">
        <f t="shared" si="894"/>
        <v>MM_HLC_E</v>
      </c>
      <c r="QG61" s="15" t="str">
        <f t="shared" si="894"/>
        <v>MM_HLC_E</v>
      </c>
      <c r="QH61" s="15" t="str">
        <f t="shared" ref="QH61:QI61" si="897" xml:space="preserve"> IF( OR(EXACT(QH58, "MM_SYSTEM_MODE_INIT_E"), EXACT(QH58, "MM_SYSTEM_MODE_LVC_MODE_E")), "MM_LVC_E", "MM_HLC_E")</f>
        <v>MM_HLC_E</v>
      </c>
      <c r="QI61" s="15" t="str">
        <f t="shared" si="897"/>
        <v>MM_HLC_E</v>
      </c>
      <c r="QJ61" s="15" t="str">
        <f t="shared" ref="QJ61:QK61" si="898" xml:space="preserve"> IF( OR(EXACT(QJ58, "MM_SYSTEM_MODE_INIT_E"), EXACT(QJ58, "MM_SYSTEM_MODE_LVC_MODE_E")), "MM_LVC_E", "MM_HLC_E")</f>
        <v>MM_HLC_E</v>
      </c>
      <c r="QK61" s="15" t="str">
        <f t="shared" si="898"/>
        <v>MM_HLC_E</v>
      </c>
      <c r="QL61" s="15" t="str">
        <f t="shared" ref="QL61:QN61" si="899" xml:space="preserve"> IF( OR(EXACT(QL58, "MM_SYSTEM_MODE_INIT_E"), EXACT(QL58, "MM_SYSTEM_MODE_LVC_MODE_E")), "MM_LVC_E", "MM_HLC_E")</f>
        <v>MM_HLC_E</v>
      </c>
      <c r="QM61" s="15" t="str">
        <f t="shared" si="899"/>
        <v>MM_HLC_E</v>
      </c>
      <c r="QN61" s="15" t="str">
        <f t="shared" si="899"/>
        <v>MM_HLC_E</v>
      </c>
      <c r="QO61" s="15" t="str">
        <f t="shared" ref="QO61:QR61" si="900" xml:space="preserve"> IF( OR(EXACT(QO58, "MM_SYSTEM_MODE_INIT_E"), EXACT(QO58, "MM_SYSTEM_MODE_LVC_MODE_E")), "MM_LVC_E", "MM_HLC_E")</f>
        <v>MM_HLC_E</v>
      </c>
      <c r="QP61" s="15" t="str">
        <f t="shared" si="900"/>
        <v>MM_HLC_E</v>
      </c>
      <c r="QQ61" s="15" t="str">
        <f t="shared" si="900"/>
        <v>MM_HLC_E</v>
      </c>
      <c r="QR61" s="15" t="str">
        <f t="shared" si="900"/>
        <v>MM_HLC_E</v>
      </c>
      <c r="QS61" s="15" t="str">
        <f t="shared" ref="QS61" si="901" xml:space="preserve"> IF( OR(EXACT(QS58, "MM_SYSTEM_MODE_INIT_E"), EXACT(QS58, "MM_SYSTEM_MODE_LVC_MODE_E")), "MM_LVC_E", "MM_HLC_E")</f>
        <v>MM_HLC_E</v>
      </c>
      <c r="QT61" s="15" t="str">
        <f t="shared" ref="QT61:QV61" si="902" xml:space="preserve"> IF( OR(EXACT(QT58, "MM_SYSTEM_MODE_INIT_E"), EXACT(QT58, "MM_SYSTEM_MODE_LVC_MODE_E")), "MM_LVC_E", "MM_HLC_E")</f>
        <v>MM_HLC_E</v>
      </c>
      <c r="QU61" s="15" t="str">
        <f t="shared" ref="QU61" si="903" xml:space="preserve"> IF( OR(EXACT(QU58, "MM_SYSTEM_MODE_INIT_E"), EXACT(QU58, "MM_SYSTEM_MODE_LVC_MODE_E")), "MM_LVC_E", "MM_HLC_E")</f>
        <v>MM_HLC_E</v>
      </c>
      <c r="QV61" s="15" t="str">
        <f t="shared" si="902"/>
        <v>MM_HLC_E</v>
      </c>
      <c r="QW61" s="15" t="str">
        <f t="shared" ref="QW61:RD61" si="904" xml:space="preserve"> IF( OR(EXACT(QW58, "MM_SYSTEM_MODE_INIT_E"), EXACT(QW58, "MM_SYSTEM_MODE_LVC_MODE_E")), "MM_LVC_E", "MM_HLC_E")</f>
        <v>MM_HLC_E</v>
      </c>
      <c r="QX61" s="15" t="str">
        <f t="shared" si="904"/>
        <v>MM_HLC_E</v>
      </c>
      <c r="QY61" s="15" t="str">
        <f t="shared" si="904"/>
        <v>MM_HLC_E</v>
      </c>
      <c r="QZ61" s="15" t="str">
        <f t="shared" si="904"/>
        <v>MM_HLC_E</v>
      </c>
      <c r="RA61" s="15" t="str">
        <f t="shared" si="904"/>
        <v>MM_HLC_E</v>
      </c>
      <c r="RB61" s="15" t="str">
        <f t="shared" si="904"/>
        <v>MM_HLC_E</v>
      </c>
      <c r="RC61" s="15" t="str">
        <f t="shared" si="904"/>
        <v>MM_HLC_E</v>
      </c>
      <c r="RD61" s="15" t="str">
        <f t="shared" si="904"/>
        <v>MM_HLC_E</v>
      </c>
      <c r="RE61" s="15" t="str">
        <f t="shared" ref="RE61:RH61" si="905" xml:space="preserve"> IF( OR(EXACT(RE58, "MM_SYSTEM_MODE_INIT_E"), EXACT(RE58, "MM_SYSTEM_MODE_LVC_MODE_E")), "MM_LVC_E", "MM_HLC_E")</f>
        <v>MM_HLC_E</v>
      </c>
      <c r="RF61" s="15" t="str">
        <f t="shared" si="905"/>
        <v>MM_HLC_E</v>
      </c>
      <c r="RG61" s="15" t="str">
        <f t="shared" si="905"/>
        <v>MM_HLC_E</v>
      </c>
      <c r="RH61" s="15" t="str">
        <f t="shared" si="905"/>
        <v>MM_HLC_E</v>
      </c>
      <c r="RI61" s="15" t="str">
        <f t="shared" ref="RI61:RQ61" si="906" xml:space="preserve"> IF( OR(EXACT(RI58, "MM_SYSTEM_MODE_INIT_E"), EXACT(RI58, "MM_SYSTEM_MODE_LVC_MODE_E")), "MM_LVC_E", "MM_HLC_E")</f>
        <v>MM_HLC_E</v>
      </c>
      <c r="RJ61" s="15" t="str">
        <f t="shared" si="906"/>
        <v>MM_HLC_E</v>
      </c>
      <c r="RK61" s="15" t="str">
        <f t="shared" si="906"/>
        <v>MM_HLC_E</v>
      </c>
      <c r="RL61" s="15" t="str">
        <f t="shared" si="906"/>
        <v>MM_HLC_E</v>
      </c>
      <c r="RM61" s="15" t="str">
        <f t="shared" si="906"/>
        <v>MM_HLC_E</v>
      </c>
      <c r="RN61" s="15" t="str">
        <f t="shared" si="906"/>
        <v>MM_HLC_E</v>
      </c>
      <c r="RO61" s="15" t="str">
        <f t="shared" si="906"/>
        <v>MM_HLC_E</v>
      </c>
      <c r="RP61" s="15" t="str">
        <f t="shared" si="906"/>
        <v>MM_HLC_E</v>
      </c>
      <c r="RQ61" s="15" t="str">
        <f t="shared" si="906"/>
        <v>MM_HLC_E</v>
      </c>
      <c r="RR61" s="15" t="s">
        <v>147</v>
      </c>
      <c r="RS61" s="15"/>
      <c r="RT61" s="15" t="s">
        <v>92</v>
      </c>
      <c r="RU61" s="15" t="s">
        <v>92</v>
      </c>
      <c r="RV61" s="15" t="s">
        <v>92</v>
      </c>
      <c r="RW61" s="15" t="s">
        <v>92</v>
      </c>
      <c r="RX61" s="15" t="s">
        <v>92</v>
      </c>
      <c r="RY61" s="15" t="s">
        <v>92</v>
      </c>
      <c r="RZ61" s="15" t="s">
        <v>147</v>
      </c>
      <c r="SA61" s="15" t="str">
        <f t="shared" ref="SA61:UK61" si="907" xml:space="preserve"> IF( OR(EXACT(SA58, "MM_SYSTEM_MODE_INIT_E"), EXACT(SA58, "MM_SYSTEM_MODE_LVC_MODE_E")), "MM_LVC_E", "MM_HLC_E")</f>
        <v>MM_HLC_E</v>
      </c>
      <c r="SB61" s="15" t="str">
        <f t="shared" si="907"/>
        <v>MM_HLC_E</v>
      </c>
      <c r="SC61" s="15" t="str">
        <f t="shared" si="907"/>
        <v>MM_HLC_E</v>
      </c>
      <c r="SD61" s="15" t="str">
        <f t="shared" si="907"/>
        <v>MM_HLC_E</v>
      </c>
      <c r="SE61" s="15" t="str">
        <f t="shared" si="907"/>
        <v>MM_HLC_E</v>
      </c>
      <c r="SF61" s="15" t="str">
        <f t="shared" si="907"/>
        <v>MM_HLC_E</v>
      </c>
      <c r="SG61" s="15" t="str">
        <f t="shared" si="907"/>
        <v>MM_HLC_E</v>
      </c>
      <c r="SH61" s="15" t="str">
        <f t="shared" si="907"/>
        <v>MM_HLC_E</v>
      </c>
      <c r="SI61" s="15" t="str">
        <f t="shared" si="907"/>
        <v>MM_HLC_E</v>
      </c>
      <c r="SJ61" s="15" t="str">
        <f t="shared" si="907"/>
        <v>MM_HLC_E</v>
      </c>
      <c r="SK61" s="15" t="str">
        <f t="shared" si="907"/>
        <v>MM_HLC_E</v>
      </c>
      <c r="SL61" s="15" t="str">
        <f t="shared" si="907"/>
        <v>MM_HLC_E</v>
      </c>
      <c r="SM61" s="15" t="str">
        <f t="shared" si="907"/>
        <v>MM_HLC_E</v>
      </c>
      <c r="SN61" s="15" t="str">
        <f t="shared" si="907"/>
        <v>MM_HLC_E</v>
      </c>
      <c r="SO61" s="15" t="str">
        <f t="shared" si="907"/>
        <v>MM_HLC_E</v>
      </c>
      <c r="SP61" s="15" t="str">
        <f t="shared" si="907"/>
        <v>MM_HLC_E</v>
      </c>
      <c r="SQ61" s="15" t="str">
        <f t="shared" si="907"/>
        <v>MM_HLC_E</v>
      </c>
      <c r="SR61" s="15" t="str">
        <f t="shared" si="907"/>
        <v>MM_HLC_E</v>
      </c>
      <c r="SS61" s="15" t="str">
        <f t="shared" si="907"/>
        <v>MM_HLC_E</v>
      </c>
      <c r="ST61" s="15" t="str">
        <f t="shared" si="907"/>
        <v>MM_HLC_E</v>
      </c>
      <c r="SU61" s="15" t="str">
        <f t="shared" si="907"/>
        <v>MM_HLC_E</v>
      </c>
      <c r="SV61" s="15" t="str">
        <f t="shared" si="907"/>
        <v>MM_HLC_E</v>
      </c>
      <c r="SW61" s="15" t="str">
        <f t="shared" si="907"/>
        <v>MM_HLC_E</v>
      </c>
      <c r="SX61" s="15" t="str">
        <f t="shared" si="907"/>
        <v>MM_HLC_E</v>
      </c>
      <c r="SY61" s="15" t="str">
        <f t="shared" si="907"/>
        <v>MM_HLC_E</v>
      </c>
      <c r="SZ61" s="15" t="str">
        <f t="shared" si="907"/>
        <v>MM_HLC_E</v>
      </c>
      <c r="TA61" s="15" t="str">
        <f t="shared" si="907"/>
        <v>MM_HLC_E</v>
      </c>
      <c r="TB61" s="15" t="str">
        <f t="shared" si="907"/>
        <v>MM_HLC_E</v>
      </c>
      <c r="TC61" s="15" t="str">
        <f t="shared" si="907"/>
        <v>MM_HLC_E</v>
      </c>
      <c r="TD61" s="15" t="str">
        <f t="shared" si="907"/>
        <v>MM_HLC_E</v>
      </c>
      <c r="TE61" s="15" t="str">
        <f t="shared" si="907"/>
        <v>MM_HLC_E</v>
      </c>
      <c r="TF61" s="15" t="str">
        <f t="shared" ref="TF61" si="908" xml:space="preserve"> IF( OR(EXACT(TF58, "MM_SYSTEM_MODE_INIT_E"), EXACT(TF58, "MM_SYSTEM_MODE_LVC_MODE_E")), "MM_LVC_E", "MM_HLC_E")</f>
        <v>MM_HLC_E</v>
      </c>
      <c r="TG61" s="15" t="str">
        <f t="shared" si="907"/>
        <v>MM_HLC_E</v>
      </c>
      <c r="TH61" s="15" t="str">
        <f t="shared" si="907"/>
        <v>MM_HLC_E</v>
      </c>
      <c r="TI61" s="15" t="str">
        <f t="shared" si="907"/>
        <v>MM_HLC_E</v>
      </c>
      <c r="TJ61" s="15" t="str">
        <f t="shared" si="907"/>
        <v>MM_HLC_E</v>
      </c>
      <c r="TK61" s="15" t="str">
        <f t="shared" si="907"/>
        <v>MM_HLC_E</v>
      </c>
      <c r="TL61" s="15" t="str">
        <f t="shared" si="907"/>
        <v>MM_HLC_E</v>
      </c>
      <c r="TM61" s="15" t="str">
        <f t="shared" si="907"/>
        <v>MM_HLC_E</v>
      </c>
      <c r="TN61" s="15" t="str">
        <f t="shared" si="907"/>
        <v>MM_HLC_E</v>
      </c>
      <c r="TO61" s="15" t="str">
        <f t="shared" si="907"/>
        <v>MM_HLC_E</v>
      </c>
      <c r="TP61" s="15" t="str">
        <f t="shared" si="907"/>
        <v>MM_HLC_E</v>
      </c>
      <c r="TQ61" s="15" t="str">
        <f t="shared" si="907"/>
        <v>MM_HLC_E</v>
      </c>
      <c r="TR61" s="15" t="str">
        <f t="shared" si="907"/>
        <v>MM_HLC_E</v>
      </c>
      <c r="TS61" s="15" t="str">
        <f t="shared" si="907"/>
        <v>MM_HLC_E</v>
      </c>
      <c r="TT61" s="15" t="str">
        <f t="shared" si="907"/>
        <v>MM_HLC_E</v>
      </c>
      <c r="TU61" s="15" t="str">
        <f t="shared" si="907"/>
        <v>MM_HLC_E</v>
      </c>
      <c r="TV61" s="15" t="str">
        <f t="shared" si="907"/>
        <v>MM_HLC_E</v>
      </c>
      <c r="TW61" s="15" t="str">
        <f t="shared" si="907"/>
        <v>MM_HLC_E</v>
      </c>
      <c r="TX61" s="15" t="str">
        <f t="shared" si="907"/>
        <v>MM_HLC_E</v>
      </c>
      <c r="TY61" s="15" t="str">
        <f t="shared" si="907"/>
        <v>MM_HLC_E</v>
      </c>
      <c r="TZ61" s="15" t="str">
        <f t="shared" si="907"/>
        <v>MM_HLC_E</v>
      </c>
      <c r="UA61" s="15" t="str">
        <f t="shared" si="907"/>
        <v>MM_HLC_E</v>
      </c>
      <c r="UB61" s="15" t="str">
        <f t="shared" si="907"/>
        <v>MM_HLC_E</v>
      </c>
      <c r="UC61" s="15" t="str">
        <f t="shared" si="907"/>
        <v>MM_HLC_E</v>
      </c>
      <c r="UD61" s="15" t="str">
        <f t="shared" si="907"/>
        <v>MM_HLC_E</v>
      </c>
      <c r="UE61" s="15" t="str">
        <f t="shared" si="907"/>
        <v>MM_HLC_E</v>
      </c>
      <c r="UF61" s="15" t="str">
        <f t="shared" si="907"/>
        <v>MM_HLC_E</v>
      </c>
      <c r="UG61" s="15" t="str">
        <f t="shared" si="907"/>
        <v>MM_HLC_E</v>
      </c>
      <c r="UH61" s="15" t="str">
        <f t="shared" si="907"/>
        <v>MM_HLC_E</v>
      </c>
      <c r="UI61" s="15" t="str">
        <f t="shared" si="907"/>
        <v>MM_HLC_E</v>
      </c>
      <c r="UJ61" s="15" t="str">
        <f t="shared" si="907"/>
        <v>MM_HLC_E</v>
      </c>
      <c r="UK61" s="15" t="str">
        <f t="shared" si="907"/>
        <v>MM_HLC_E</v>
      </c>
      <c r="UL61" s="15" t="str">
        <f t="shared" ref="UL61:VZ61" si="909" xml:space="preserve"> IF( OR(EXACT(UL58, "MM_SYSTEM_MODE_INIT_E"), EXACT(UL58, "MM_SYSTEM_MODE_LVC_MODE_E")), "MM_LVC_E", "MM_HLC_E")</f>
        <v>MM_HLC_E</v>
      </c>
      <c r="UM61" s="15" t="str">
        <f t="shared" si="909"/>
        <v>MM_HLC_E</v>
      </c>
      <c r="UN61" s="15" t="str">
        <f t="shared" si="909"/>
        <v>MM_HLC_E</v>
      </c>
      <c r="UO61" s="15" t="str">
        <f t="shared" si="909"/>
        <v>MM_HLC_E</v>
      </c>
      <c r="UP61" s="15" t="str">
        <f t="shared" si="909"/>
        <v>MM_HLC_E</v>
      </c>
      <c r="UQ61" s="15" t="str">
        <f t="shared" si="909"/>
        <v>MM_HLC_E</v>
      </c>
      <c r="UR61" s="15" t="str">
        <f t="shared" si="909"/>
        <v>MM_HLC_E</v>
      </c>
      <c r="US61" s="15" t="str">
        <f t="shared" si="909"/>
        <v>MM_HLC_E</v>
      </c>
      <c r="UT61" s="15" t="str">
        <f t="shared" si="909"/>
        <v>MM_HLC_E</v>
      </c>
      <c r="UU61" s="15" t="str">
        <f t="shared" si="909"/>
        <v>MM_HLC_E</v>
      </c>
      <c r="UV61" s="15" t="str">
        <f t="shared" si="909"/>
        <v>MM_HLC_E</v>
      </c>
      <c r="UW61" s="15" t="str">
        <f t="shared" si="909"/>
        <v>MM_HLC_E</v>
      </c>
      <c r="UX61" s="15" t="str">
        <f t="shared" si="909"/>
        <v>MM_HLC_E</v>
      </c>
      <c r="UY61" s="15" t="str">
        <f t="shared" si="909"/>
        <v>MM_HLC_E</v>
      </c>
      <c r="UZ61" s="15" t="str">
        <f t="shared" si="909"/>
        <v>MM_HLC_E</v>
      </c>
      <c r="VA61" s="15" t="str">
        <f t="shared" si="909"/>
        <v>MM_HLC_E</v>
      </c>
      <c r="VB61" s="15" t="str">
        <f t="shared" si="909"/>
        <v>MM_HLC_E</v>
      </c>
      <c r="VC61" s="15" t="str">
        <f t="shared" si="909"/>
        <v>MM_HLC_E</v>
      </c>
      <c r="VD61" s="15" t="str">
        <f t="shared" si="909"/>
        <v>MM_HLC_E</v>
      </c>
      <c r="VE61" s="15" t="str">
        <f t="shared" si="909"/>
        <v>MM_HLC_E</v>
      </c>
      <c r="VF61" s="15" t="str">
        <f t="shared" si="909"/>
        <v>MM_HLC_E</v>
      </c>
      <c r="VG61" s="15" t="str">
        <f t="shared" si="909"/>
        <v>MM_HLC_E</v>
      </c>
      <c r="VH61" s="15" t="str">
        <f t="shared" si="909"/>
        <v>MM_HLC_E</v>
      </c>
      <c r="VI61" s="15" t="str">
        <f t="shared" si="909"/>
        <v>MM_HLC_E</v>
      </c>
      <c r="VJ61" s="15" t="str">
        <f t="shared" si="909"/>
        <v>MM_HLC_E</v>
      </c>
      <c r="VK61" s="15" t="str">
        <f t="shared" si="909"/>
        <v>MM_HLC_E</v>
      </c>
      <c r="VL61" s="15" t="str">
        <f t="shared" si="909"/>
        <v>MM_HLC_E</v>
      </c>
      <c r="VM61" s="15" t="str">
        <f t="shared" si="909"/>
        <v>MM_HLC_E</v>
      </c>
      <c r="VN61" s="15" t="str">
        <f t="shared" si="909"/>
        <v>MM_HLC_E</v>
      </c>
      <c r="VO61" s="15" t="str">
        <f t="shared" si="909"/>
        <v>MM_HLC_E</v>
      </c>
      <c r="VP61" s="15" t="str">
        <f t="shared" si="909"/>
        <v>MM_HLC_E</v>
      </c>
      <c r="VQ61" s="15" t="str">
        <f t="shared" si="909"/>
        <v>MM_HLC_E</v>
      </c>
      <c r="VR61" s="15" t="str">
        <f t="shared" si="909"/>
        <v>MM_HLC_E</v>
      </c>
      <c r="VS61" s="15" t="str">
        <f t="shared" si="909"/>
        <v>MM_HLC_E</v>
      </c>
      <c r="VT61" s="15" t="str">
        <f t="shared" si="909"/>
        <v>MM_HLC_E</v>
      </c>
      <c r="VU61" s="15" t="str">
        <f t="shared" si="909"/>
        <v>MM_HLC_E</v>
      </c>
      <c r="VV61" s="15" t="str">
        <f t="shared" si="909"/>
        <v>MM_HLC_E</v>
      </c>
      <c r="VW61" s="15" t="str">
        <f t="shared" si="909"/>
        <v>MM_HLC_E</v>
      </c>
      <c r="VX61" s="15" t="str">
        <f t="shared" si="909"/>
        <v>MM_HLC_E</v>
      </c>
      <c r="VY61" s="15" t="str">
        <f t="shared" si="909"/>
        <v>MM_HLC_E</v>
      </c>
      <c r="VZ61" s="15" t="str">
        <f t="shared" si="909"/>
        <v>MM_HLC_E</v>
      </c>
      <c r="WA61" s="15" t="s">
        <v>147</v>
      </c>
      <c r="WB61" s="15" t="str">
        <f t="shared" ref="WB61:WD61" si="910" xml:space="preserve"> IF( OR(EXACT(WB58, "MM_SYSTEM_MODE_INIT_E"), EXACT(WB58, "MM_SYSTEM_MODE_LVC_MODE_E")), "MM_LVC_E", "MM_HLC_E")</f>
        <v>MM_HLC_E</v>
      </c>
      <c r="WC61" s="15" t="str">
        <f t="shared" si="910"/>
        <v>MM_HLC_E</v>
      </c>
      <c r="WD61" s="15" t="str">
        <f t="shared" si="910"/>
        <v>MM_HLC_E</v>
      </c>
      <c r="WE61" s="15" t="str">
        <f t="shared" ref="WE61:WV61" si="911" xml:space="preserve"> IF( OR(EXACT(WE58, "MM_SYSTEM_MODE_INIT_E"), EXACT(WE58, "MM_SYSTEM_MODE_LVC_MODE_E")), "MM_LVC_E", "MM_HLC_E")</f>
        <v>MM_HLC_E</v>
      </c>
      <c r="WF61" s="15" t="str">
        <f t="shared" si="911"/>
        <v>MM_HLC_E</v>
      </c>
      <c r="WG61" s="15" t="str">
        <f t="shared" si="911"/>
        <v>MM_HLC_E</v>
      </c>
      <c r="WH61" s="15" t="str">
        <f t="shared" si="911"/>
        <v>MM_HLC_E</v>
      </c>
      <c r="WI61" s="15" t="str">
        <f t="shared" si="911"/>
        <v>MM_HLC_E</v>
      </c>
      <c r="WJ61" s="15" t="str">
        <f t="shared" si="911"/>
        <v>MM_HLC_E</v>
      </c>
      <c r="WK61" s="15" t="str">
        <f t="shared" si="911"/>
        <v>MM_HLC_E</v>
      </c>
      <c r="WL61" s="15" t="str">
        <f t="shared" si="911"/>
        <v>MM_HLC_E</v>
      </c>
      <c r="WM61" s="15" t="str">
        <f t="shared" si="911"/>
        <v>MM_HLC_E</v>
      </c>
      <c r="WN61" s="15" t="str">
        <f t="shared" si="911"/>
        <v>MM_HLC_E</v>
      </c>
      <c r="WO61" s="15" t="str">
        <f t="shared" si="911"/>
        <v>MM_HLC_E</v>
      </c>
      <c r="WP61" s="15" t="str">
        <f t="shared" ref="WP61:WR61" si="912" xml:space="preserve"> IF( OR(EXACT(WP58, "MM_SYSTEM_MODE_INIT_E"), EXACT(WP58, "MM_SYSTEM_MODE_LVC_MODE_E")), "MM_LVC_E", "MM_HLC_E")</f>
        <v>MM_HLC_E</v>
      </c>
      <c r="WQ61" s="15" t="str">
        <f t="shared" si="911"/>
        <v>MM_HLC_E</v>
      </c>
      <c r="WR61" s="15" t="str">
        <f t="shared" si="912"/>
        <v>MM_HLC_E</v>
      </c>
      <c r="WS61" s="15" t="str">
        <f t="shared" si="911"/>
        <v>MM_HLC_E</v>
      </c>
      <c r="WT61" s="15" t="str">
        <f t="shared" si="911"/>
        <v>MM_HLC_E</v>
      </c>
      <c r="WU61" s="15" t="str">
        <f t="shared" si="911"/>
        <v>MM_HLC_E</v>
      </c>
      <c r="WV61" s="15" t="str">
        <f t="shared" si="911"/>
        <v>MM_HLC_E</v>
      </c>
      <c r="WW61" s="15" t="str">
        <f t="shared" ref="WW61:WX61" si="913" xml:space="preserve"> IF( OR(EXACT(WW58, "MM_SYSTEM_MODE_INIT_E"), EXACT(WW58, "MM_SYSTEM_MODE_LVC_MODE_E")), "MM_LVC_E", "MM_HLC_E")</f>
        <v>MM_HLC_E</v>
      </c>
      <c r="WX61" s="15" t="str">
        <f t="shared" si="913"/>
        <v>MM_HLC_E</v>
      </c>
      <c r="WY61" s="15" t="str">
        <f t="shared" ref="WY61:XC61" si="914" xml:space="preserve"> IF( OR(EXACT(WY58, "MM_SYSTEM_MODE_INIT_E"), EXACT(WY58, "MM_SYSTEM_MODE_LVC_MODE_E")), "MM_LVC_E", "MM_HLC_E")</f>
        <v>MM_HLC_E</v>
      </c>
      <c r="WZ61" s="15" t="str">
        <f t="shared" si="914"/>
        <v>MM_HLC_E</v>
      </c>
      <c r="XA61" s="15" t="str">
        <f t="shared" si="914"/>
        <v>MM_HLC_E</v>
      </c>
      <c r="XB61" s="15" t="str">
        <f t="shared" si="914"/>
        <v>MM_HLC_E</v>
      </c>
      <c r="XC61" s="15" t="str">
        <f t="shared" si="914"/>
        <v>MM_HLC_E</v>
      </c>
      <c r="XD61" s="15" t="str">
        <f t="shared" ref="XD61:XE61" si="915" xml:space="preserve"> IF( OR(EXACT(XD58, "MM_SYSTEM_MODE_INIT_E"), EXACT(XD58, "MM_SYSTEM_MODE_LVC_MODE_E")), "MM_LVC_E", "MM_HLC_E")</f>
        <v>MM_HLC_E</v>
      </c>
      <c r="XE61" s="15" t="str">
        <f t="shared" si="915"/>
        <v>MM_HLC_E</v>
      </c>
      <c r="XF61" s="15" t="str">
        <f t="shared" ref="XF61:XI61" si="916" xml:space="preserve"> IF( OR(EXACT(XF58, "MM_SYSTEM_MODE_INIT_E"), EXACT(XF58, "MM_SYSTEM_MODE_LVC_MODE_E")), "MM_LVC_E", "MM_HLC_E")</f>
        <v>MM_HLC_E</v>
      </c>
      <c r="XG61" s="15" t="str">
        <f t="shared" si="916"/>
        <v>MM_HLC_E</v>
      </c>
      <c r="XH61" s="15" t="str">
        <f t="shared" si="916"/>
        <v>MM_HLC_E</v>
      </c>
      <c r="XI61" s="15" t="str">
        <f t="shared" si="916"/>
        <v>MM_HLC_E</v>
      </c>
      <c r="XJ61" s="15" t="str">
        <f t="shared" ref="XJ61:YE61" si="917" xml:space="preserve"> IF( OR(EXACT(XJ58, "MM_SYSTEM_MODE_INIT_E"), EXACT(XJ58, "MM_SYSTEM_MODE_LVC_MODE_E")), "MM_LVC_E", "MM_HLC_E")</f>
        <v>MM_HLC_E</v>
      </c>
      <c r="XK61" s="15" t="str">
        <f t="shared" si="917"/>
        <v>MM_HLC_E</v>
      </c>
      <c r="XL61" s="15" t="str">
        <f t="shared" si="917"/>
        <v>MM_HLC_E</v>
      </c>
      <c r="XM61" s="15" t="str">
        <f t="shared" si="917"/>
        <v>MM_HLC_E</v>
      </c>
      <c r="XN61" s="15" t="str">
        <f t="shared" si="917"/>
        <v>MM_HLC_E</v>
      </c>
      <c r="XO61" s="15" t="str">
        <f t="shared" si="917"/>
        <v>MM_HLC_E</v>
      </c>
      <c r="XP61" s="15" t="str">
        <f t="shared" si="917"/>
        <v>MM_HLC_E</v>
      </c>
      <c r="XQ61" s="15" t="str">
        <f t="shared" si="917"/>
        <v>MM_HLC_E</v>
      </c>
      <c r="XR61" s="15" t="str">
        <f t="shared" si="917"/>
        <v>MM_HLC_E</v>
      </c>
      <c r="XS61" s="15" t="str">
        <f t="shared" si="917"/>
        <v>MM_HLC_E</v>
      </c>
      <c r="XT61" s="15" t="str">
        <f t="shared" si="917"/>
        <v>MM_HLC_E</v>
      </c>
      <c r="XU61" s="15" t="str">
        <f t="shared" si="917"/>
        <v>MM_HLC_E</v>
      </c>
      <c r="XV61" s="15" t="str">
        <f t="shared" si="917"/>
        <v>MM_HLC_E</v>
      </c>
      <c r="XW61" s="15" t="str">
        <f t="shared" si="917"/>
        <v>MM_HLC_E</v>
      </c>
      <c r="XX61" s="15" t="str">
        <f t="shared" si="917"/>
        <v>MM_HLC_E</v>
      </c>
      <c r="XY61" s="15" t="str">
        <f t="shared" si="917"/>
        <v>MM_HLC_E</v>
      </c>
      <c r="XZ61" s="15" t="str">
        <f t="shared" si="917"/>
        <v>MM_HLC_E</v>
      </c>
      <c r="YA61" s="15" t="str">
        <f t="shared" si="917"/>
        <v>MM_HLC_E</v>
      </c>
      <c r="YB61" s="15" t="str">
        <f t="shared" si="917"/>
        <v>MM_HLC_E</v>
      </c>
      <c r="YC61" s="15" t="str">
        <f t="shared" si="917"/>
        <v>MM_HLC_E</v>
      </c>
      <c r="YD61" s="15" t="str">
        <f t="shared" si="917"/>
        <v>MM_HLC_E</v>
      </c>
      <c r="YE61" s="15" t="str">
        <f t="shared" si="917"/>
        <v>MM_HLC_E</v>
      </c>
      <c r="YF61" s="15" t="str">
        <f t="shared" ref="YF61:ZA61" si="918" xml:space="preserve"> IF( OR(EXACT(YF58, "MM_SYSTEM_MODE_INIT_E"), EXACT(YF58, "MM_SYSTEM_MODE_LVC_MODE_E")), "MM_LVC_E", "MM_HLC_E")</f>
        <v>MM_HLC_E</v>
      </c>
      <c r="YG61" s="15" t="str">
        <f t="shared" si="918"/>
        <v>MM_HLC_E</v>
      </c>
      <c r="YH61" s="15" t="str">
        <f t="shared" si="918"/>
        <v>MM_HLC_E</v>
      </c>
      <c r="YI61" s="15" t="str">
        <f t="shared" si="918"/>
        <v>MM_HLC_E</v>
      </c>
      <c r="YJ61" s="15" t="str">
        <f t="shared" si="918"/>
        <v>MM_HLC_E</v>
      </c>
      <c r="YK61" s="15" t="str">
        <f t="shared" si="918"/>
        <v>MM_HLC_E</v>
      </c>
      <c r="YL61" s="15" t="str">
        <f t="shared" si="918"/>
        <v>MM_HLC_E</v>
      </c>
      <c r="YM61" s="15" t="str">
        <f t="shared" si="918"/>
        <v>MM_HLC_E</v>
      </c>
      <c r="YN61" s="15" t="str">
        <f t="shared" si="918"/>
        <v>MM_HLC_E</v>
      </c>
      <c r="YO61" s="15" t="str">
        <f t="shared" si="918"/>
        <v>MM_HLC_E</v>
      </c>
      <c r="YP61" s="15" t="str">
        <f t="shared" si="918"/>
        <v>MM_HLC_E</v>
      </c>
      <c r="YQ61" s="15" t="str">
        <f t="shared" si="918"/>
        <v>MM_HLC_E</v>
      </c>
      <c r="YR61" s="15" t="str">
        <f t="shared" si="918"/>
        <v>MM_HLC_E</v>
      </c>
      <c r="YS61" s="15" t="str">
        <f t="shared" si="918"/>
        <v>MM_HLC_E</v>
      </c>
      <c r="YT61" s="15" t="str">
        <f t="shared" si="918"/>
        <v>MM_HLC_E</v>
      </c>
      <c r="YU61" s="15" t="str">
        <f t="shared" si="918"/>
        <v>MM_HLC_E</v>
      </c>
      <c r="YV61" s="15" t="str">
        <f t="shared" si="918"/>
        <v>MM_HLC_E</v>
      </c>
      <c r="YW61" s="15" t="str">
        <f t="shared" si="918"/>
        <v>MM_HLC_E</v>
      </c>
      <c r="YX61" s="15" t="str">
        <f t="shared" si="918"/>
        <v>MM_HLC_E</v>
      </c>
      <c r="YY61" s="15" t="str">
        <f t="shared" si="918"/>
        <v>MM_HLC_E</v>
      </c>
      <c r="YZ61" s="15" t="str">
        <f t="shared" si="918"/>
        <v>MM_HLC_E</v>
      </c>
      <c r="ZA61" s="15" t="str">
        <f t="shared" si="918"/>
        <v>MM_HLC_E</v>
      </c>
      <c r="ZB61" s="15" t="str">
        <f t="shared" ref="ZB61:ZK61" si="919" xml:space="preserve"> IF( OR(EXACT(ZB58, "MM_SYSTEM_MODE_INIT_E"), EXACT(ZB58, "MM_SYSTEM_MODE_LVC_MODE_E")), "MM_LVC_E", "MM_HLC_E")</f>
        <v>MM_HLC_E</v>
      </c>
      <c r="ZC61" s="15" t="str">
        <f t="shared" si="919"/>
        <v>MM_HLC_E</v>
      </c>
      <c r="ZD61" s="15" t="str">
        <f t="shared" si="919"/>
        <v>MM_HLC_E</v>
      </c>
      <c r="ZE61" s="15" t="str">
        <f t="shared" si="919"/>
        <v>MM_HLC_E</v>
      </c>
      <c r="ZF61" s="15" t="str">
        <f t="shared" si="919"/>
        <v>MM_HLC_E</v>
      </c>
      <c r="ZG61" s="15" t="str">
        <f t="shared" si="919"/>
        <v>MM_HLC_E</v>
      </c>
      <c r="ZH61" s="15" t="str">
        <f t="shared" si="919"/>
        <v>MM_HLC_E</v>
      </c>
      <c r="ZI61" s="15" t="str">
        <f t="shared" si="919"/>
        <v>MM_HLC_E</v>
      </c>
      <c r="ZJ61" s="15" t="str">
        <f t="shared" si="919"/>
        <v>MM_HLC_E</v>
      </c>
      <c r="ZK61" s="15" t="str">
        <f t="shared" si="919"/>
        <v>MM_HLC_E</v>
      </c>
      <c r="ZL61" s="15" t="str">
        <f t="shared" ref="ZL61:ZP61" si="920" xml:space="preserve"> IF( OR(EXACT(ZL58, "MM_SYSTEM_MODE_INIT_E"), EXACT(ZL58, "MM_SYSTEM_MODE_LVC_MODE_E")), "MM_LVC_E", "MM_HLC_E")</f>
        <v>MM_HLC_E</v>
      </c>
      <c r="ZM61" s="15" t="str">
        <f t="shared" si="920"/>
        <v>MM_HLC_E</v>
      </c>
      <c r="ZN61" s="15" t="str">
        <f t="shared" si="920"/>
        <v>MM_HLC_E</v>
      </c>
      <c r="ZO61" s="15" t="str">
        <f t="shared" si="920"/>
        <v>MM_HLC_E</v>
      </c>
      <c r="ZP61" s="15" t="str">
        <f t="shared" si="920"/>
        <v>MM_HLC_E</v>
      </c>
      <c r="ZQ61" s="15" t="s">
        <v>147</v>
      </c>
      <c r="ZR61" s="15" t="str">
        <f t="shared" ref="ZR61:ZW61" si="921" xml:space="preserve"> IF( OR(EXACT(ZR58, "MM_SYSTEM_MODE_INIT_E"), EXACT(ZR58, "MM_SYSTEM_MODE_LVC_MODE_E")), "MM_LVC_E", "MM_HLC_E")</f>
        <v>MM_HLC_E</v>
      </c>
      <c r="ZS61" s="15" t="str">
        <f t="shared" si="921"/>
        <v>MM_HLC_E</v>
      </c>
      <c r="ZT61" s="15" t="str">
        <f t="shared" si="921"/>
        <v>MM_HLC_E</v>
      </c>
      <c r="ZU61" s="15" t="str">
        <f t="shared" si="921"/>
        <v>MM_HLC_E</v>
      </c>
      <c r="ZV61" s="15" t="str">
        <f t="shared" si="921"/>
        <v>MM_HLC_E</v>
      </c>
      <c r="ZW61" s="15" t="str">
        <f t="shared" si="921"/>
        <v>MM_HLC_E</v>
      </c>
      <c r="ZX61" s="15" t="s">
        <v>147</v>
      </c>
      <c r="ZY61" s="15" t="str">
        <f t="shared" ref="ZY61:AAC61" si="922" xml:space="preserve"> IF( OR(EXACT(ZY58, "MM_SYSTEM_MODE_INIT_E"), EXACT(ZY58, "MM_SYSTEM_MODE_LVC_MODE_E")), "MM_LVC_E", "MM_HLC_E")</f>
        <v>MM_HLC_E</v>
      </c>
      <c r="ZZ61" s="15" t="str">
        <f t="shared" si="922"/>
        <v>MM_HLC_E</v>
      </c>
      <c r="AAA61" s="15" t="str">
        <f t="shared" si="922"/>
        <v>MM_HLC_E</v>
      </c>
      <c r="AAB61" s="15" t="str">
        <f t="shared" si="922"/>
        <v>MM_HLC_E</v>
      </c>
      <c r="AAC61" s="15" t="str">
        <f t="shared" si="922"/>
        <v>MM_HLC_E</v>
      </c>
      <c r="AAD61" s="15" t="s">
        <v>147</v>
      </c>
      <c r="AAE61" s="15" t="s">
        <v>147</v>
      </c>
      <c r="AAF61" s="15" t="s">
        <v>147</v>
      </c>
      <c r="AAG61" s="15" t="s">
        <v>147</v>
      </c>
      <c r="AAH61" s="15" t="s">
        <v>147</v>
      </c>
      <c r="AAI61" s="15" t="s">
        <v>147</v>
      </c>
      <c r="AAJ61" s="15" t="s">
        <v>147</v>
      </c>
      <c r="AAK61" s="15" t="s">
        <v>147</v>
      </c>
      <c r="AAL61" s="15"/>
      <c r="AAM61" s="15" t="s">
        <v>92</v>
      </c>
      <c r="AAN61" s="15" t="s">
        <v>92</v>
      </c>
      <c r="AAO61" s="15" t="s">
        <v>92</v>
      </c>
      <c r="AAP61" s="15" t="s">
        <v>92</v>
      </c>
      <c r="AAQ61" s="15" t="s">
        <v>92</v>
      </c>
      <c r="AAR61" s="15" t="s">
        <v>92</v>
      </c>
      <c r="AAS61" s="15" t="s">
        <v>147</v>
      </c>
      <c r="AAT61" s="15" t="str">
        <f t="shared" ref="AAT61:AAU61" si="923" xml:space="preserve"> IF( OR(EXACT(AAT58, "MM_SYSTEM_MODE_INIT_E"), EXACT(AAT58, "MM_SYSTEM_MODE_LVC_MODE_E")), "MM_LVC_E", "MM_HLC_E")</f>
        <v>MM_HLC_E</v>
      </c>
      <c r="AAU61" s="15" t="str">
        <f t="shared" si="923"/>
        <v>MM_HLC_E</v>
      </c>
      <c r="AAV61" s="15" t="s">
        <v>147</v>
      </c>
      <c r="AAW61" s="15" t="s">
        <v>147</v>
      </c>
      <c r="AAX61" s="15"/>
      <c r="AAY61" s="15" t="s">
        <v>92</v>
      </c>
      <c r="AAZ61" s="15" t="s">
        <v>92</v>
      </c>
      <c r="ABA61" s="15" t="s">
        <v>92</v>
      </c>
      <c r="ABB61" s="15" t="s">
        <v>92</v>
      </c>
      <c r="ABC61" s="15" t="s">
        <v>92</v>
      </c>
      <c r="ABD61" s="15" t="s">
        <v>92</v>
      </c>
      <c r="ABE61" s="15" t="s">
        <v>147</v>
      </c>
      <c r="ABF61" s="15" t="str">
        <f t="shared" ref="ABF61:ABG61" si="924" xml:space="preserve"> IF( OR(EXACT(ABF58, "MM_SYSTEM_MODE_INIT_E"), EXACT(ABF58, "MM_SYSTEM_MODE_LVC_MODE_E")), "MM_LVC_E", "MM_HLC_E")</f>
        <v>MM_HLC_E</v>
      </c>
      <c r="ABG61" s="15" t="str">
        <f t="shared" si="924"/>
        <v>MM_HLC_E</v>
      </c>
      <c r="ABH61" s="15" t="s">
        <v>147</v>
      </c>
      <c r="ABI61" s="15" t="s">
        <v>147</v>
      </c>
      <c r="ABJ61" s="15" t="s">
        <v>147</v>
      </c>
      <c r="ABK61" s="15" t="s">
        <v>147</v>
      </c>
      <c r="ABL61" s="15" t="s">
        <v>147</v>
      </c>
      <c r="ABM61" s="15" t="s">
        <v>147</v>
      </c>
      <c r="ABN61" s="15" t="s">
        <v>147</v>
      </c>
      <c r="ABO61" s="15" t="s">
        <v>147</v>
      </c>
      <c r="ABP61" s="15" t="s">
        <v>147</v>
      </c>
      <c r="ABQ61" s="15" t="s">
        <v>147</v>
      </c>
      <c r="ABR61" s="15" t="s">
        <v>147</v>
      </c>
      <c r="ABS61" s="15" t="s">
        <v>147</v>
      </c>
      <c r="ABT61" s="15" t="s">
        <v>147</v>
      </c>
      <c r="ABU61" s="15" t="s">
        <v>147</v>
      </c>
      <c r="ABV61" s="15" t="s">
        <v>147</v>
      </c>
      <c r="ABW61" s="15" t="s">
        <v>147</v>
      </c>
      <c r="ABX61" s="15" t="s">
        <v>147</v>
      </c>
      <c r="ABY61" s="15" t="s">
        <v>147</v>
      </c>
      <c r="ABZ61" s="15" t="s">
        <v>147</v>
      </c>
      <c r="ACA61" s="15" t="s">
        <v>147</v>
      </c>
      <c r="ACB61" s="15" t="s">
        <v>147</v>
      </c>
      <c r="ACC61" s="15" t="s">
        <v>147</v>
      </c>
      <c r="ACD61" s="15" t="s">
        <v>147</v>
      </c>
      <c r="ACE61" s="15" t="s">
        <v>147</v>
      </c>
      <c r="ACF61" s="15" t="s">
        <v>147</v>
      </c>
      <c r="ACG61" s="15" t="s">
        <v>147</v>
      </c>
      <c r="ACH61" s="15" t="s">
        <v>147</v>
      </c>
      <c r="ACI61" s="15" t="s">
        <v>147</v>
      </c>
      <c r="ACJ61" s="15" t="s">
        <v>147</v>
      </c>
      <c r="ACK61" s="15" t="s">
        <v>147</v>
      </c>
      <c r="ACL61" s="15" t="s">
        <v>147</v>
      </c>
      <c r="ACM61" s="15" t="s">
        <v>147</v>
      </c>
      <c r="ACN61" s="15" t="s">
        <v>147</v>
      </c>
      <c r="ACO61" s="15" t="s">
        <v>147</v>
      </c>
      <c r="ACP61" s="15" t="s">
        <v>147</v>
      </c>
      <c r="ACQ61" s="15" t="s">
        <v>147</v>
      </c>
      <c r="ACR61" s="15" t="s">
        <v>147</v>
      </c>
      <c r="ACS61" s="15" t="s">
        <v>147</v>
      </c>
      <c r="ACT61" s="15" t="s">
        <v>147</v>
      </c>
      <c r="ACU61" s="15" t="s">
        <v>147</v>
      </c>
      <c r="ACV61" s="15" t="s">
        <v>147</v>
      </c>
      <c r="ACW61" s="15" t="s">
        <v>147</v>
      </c>
      <c r="ACX61" s="15" t="s">
        <v>147</v>
      </c>
      <c r="ACY61" s="15" t="s">
        <v>147</v>
      </c>
      <c r="ACZ61" s="15" t="s">
        <v>147</v>
      </c>
      <c r="ADA61" s="15" t="s">
        <v>147</v>
      </c>
      <c r="ADB61" s="15" t="s">
        <v>147</v>
      </c>
      <c r="ADC61" s="15" t="s">
        <v>147</v>
      </c>
      <c r="ADD61" s="15" t="str">
        <f t="shared" ref="ADD61" si="925" xml:space="preserve"> IF( OR(EXACT(ADD58, "MM_SYSTEM_MODE_INIT_E"), EXACT(ADD58, "MM_SYSTEM_MODE_LVC_MODE_E")), "MM_LVC_E", "MM_HLC_E")</f>
        <v>MM_HLC_E</v>
      </c>
      <c r="ADE61" s="15" t="s">
        <v>147</v>
      </c>
      <c r="ADF61" s="15" t="s">
        <v>147</v>
      </c>
      <c r="ADG61" s="15" t="str">
        <f>ADF61</f>
        <v>MM_HLC_E</v>
      </c>
      <c r="ADH61" s="15"/>
      <c r="ADI61" s="15" t="s">
        <v>92</v>
      </c>
      <c r="ADJ61" s="15" t="s">
        <v>92</v>
      </c>
      <c r="ADK61" s="15" t="s">
        <v>92</v>
      </c>
      <c r="ADL61" s="15" t="s">
        <v>92</v>
      </c>
      <c r="ADM61" s="15" t="s">
        <v>92</v>
      </c>
      <c r="ADN61" s="15" t="s">
        <v>92</v>
      </c>
      <c r="ADO61" s="15" t="s">
        <v>147</v>
      </c>
      <c r="ADP61" s="15" t="str">
        <f t="shared" ref="ADP61:ADQ61" si="926" xml:space="preserve"> IF( OR(EXACT(ADP58, "MM_SYSTEM_MODE_INIT_E"), EXACT(ADP58, "MM_SYSTEM_MODE_LVC_MODE_E")), "MM_LVC_E", "MM_HLC_E")</f>
        <v>MM_HLC_E</v>
      </c>
      <c r="ADQ61" s="15" t="str">
        <f t="shared" si="926"/>
        <v>MM_HLC_E</v>
      </c>
      <c r="ADR61" s="15" t="s">
        <v>147</v>
      </c>
      <c r="ADS61" s="15" t="s">
        <v>147</v>
      </c>
      <c r="ADT61" s="15" t="s">
        <v>147</v>
      </c>
      <c r="ADU61" s="15" t="s">
        <v>147</v>
      </c>
      <c r="ADV61" s="15" t="s">
        <v>147</v>
      </c>
      <c r="ADW61" s="15" t="s">
        <v>147</v>
      </c>
      <c r="ADX61" s="15" t="s">
        <v>147</v>
      </c>
      <c r="ADY61" s="15" t="s">
        <v>147</v>
      </c>
      <c r="ADZ61" s="15" t="s">
        <v>147</v>
      </c>
      <c r="AEA61" s="15" t="s">
        <v>147</v>
      </c>
      <c r="AEB61" s="15" t="s">
        <v>147</v>
      </c>
      <c r="AEC61" s="15" t="s">
        <v>147</v>
      </c>
      <c r="AED61" s="15" t="s">
        <v>147</v>
      </c>
      <c r="AEE61" s="15" t="s">
        <v>147</v>
      </c>
      <c r="AEF61" s="15" t="s">
        <v>147</v>
      </c>
      <c r="AEG61" s="15" t="s">
        <v>147</v>
      </c>
      <c r="AEH61" s="15" t="s">
        <v>147</v>
      </c>
      <c r="AEI61" s="15" t="s">
        <v>147</v>
      </c>
      <c r="AEJ61" s="15" t="s">
        <v>147</v>
      </c>
      <c r="AEK61" s="15" t="s">
        <v>147</v>
      </c>
      <c r="AEL61" s="15" t="s">
        <v>147</v>
      </c>
      <c r="AEM61" s="15" t="s">
        <v>147</v>
      </c>
      <c r="AEN61" s="15" t="s">
        <v>147</v>
      </c>
      <c r="AEO61" s="15" t="s">
        <v>147</v>
      </c>
      <c r="AEP61" s="15" t="s">
        <v>147</v>
      </c>
      <c r="AEQ61" s="15" t="s">
        <v>147</v>
      </c>
      <c r="AER61" s="15" t="s">
        <v>147</v>
      </c>
      <c r="AES61" s="15" t="s">
        <v>147</v>
      </c>
      <c r="AET61" s="15" t="s">
        <v>147</v>
      </c>
      <c r="AEU61" s="15" t="s">
        <v>147</v>
      </c>
      <c r="AEV61" s="15" t="s">
        <v>147</v>
      </c>
      <c r="AEW61" s="15" t="s">
        <v>147</v>
      </c>
      <c r="AEX61" s="15" t="s">
        <v>147</v>
      </c>
      <c r="AEY61" s="15" t="s">
        <v>147</v>
      </c>
      <c r="AEZ61" s="15" t="s">
        <v>147</v>
      </c>
      <c r="AFA61" s="15" t="s">
        <v>147</v>
      </c>
      <c r="AFB61" s="15" t="s">
        <v>147</v>
      </c>
      <c r="AFC61" s="15" t="s">
        <v>147</v>
      </c>
      <c r="AFD61" s="15" t="s">
        <v>147</v>
      </c>
      <c r="AFE61" s="15" t="s">
        <v>147</v>
      </c>
      <c r="AFF61" s="15" t="s">
        <v>147</v>
      </c>
      <c r="AFG61" s="15" t="s">
        <v>147</v>
      </c>
      <c r="AFH61" s="15" t="s">
        <v>147</v>
      </c>
      <c r="AFI61" s="15" t="s">
        <v>147</v>
      </c>
      <c r="AFJ61" s="15" t="s">
        <v>147</v>
      </c>
      <c r="AFK61" s="15" t="s">
        <v>147</v>
      </c>
      <c r="AFL61" s="15" t="s">
        <v>147</v>
      </c>
      <c r="AFM61" s="15" t="s">
        <v>147</v>
      </c>
      <c r="AFN61" s="15" t="str">
        <f t="shared" ref="AFN61" si="927" xml:space="preserve"> IF( OR(EXACT(AFN58, "MM_SYSTEM_MODE_INIT_E"), EXACT(AFN58, "MM_SYSTEM_MODE_LVC_MODE_E")), "MM_LVC_E", "MM_HLC_E")</f>
        <v>MM_HLC_E</v>
      </c>
      <c r="AFO61" s="15" t="s">
        <v>147</v>
      </c>
      <c r="AFP61" s="15" t="s">
        <v>147</v>
      </c>
      <c r="AFQ61" s="15" t="str">
        <f>AFP61</f>
        <v>MM_HLC_E</v>
      </c>
      <c r="AFR61" s="15"/>
      <c r="AFS61" s="15" t="s">
        <v>92</v>
      </c>
      <c r="AFT61" s="15" t="s">
        <v>92</v>
      </c>
      <c r="AFU61" s="15" t="s">
        <v>92</v>
      </c>
      <c r="AFV61" s="15" t="s">
        <v>92</v>
      </c>
      <c r="AFW61" s="15" t="s">
        <v>92</v>
      </c>
      <c r="AFX61" s="15" t="s">
        <v>92</v>
      </c>
      <c r="AFY61" s="15" t="s">
        <v>147</v>
      </c>
      <c r="AFZ61" s="15" t="s">
        <v>147</v>
      </c>
      <c r="AGA61" s="15" t="s">
        <v>147</v>
      </c>
      <c r="AGB61" s="15" t="s">
        <v>147</v>
      </c>
      <c r="AGC61" s="15" t="s">
        <v>147</v>
      </c>
      <c r="AGD61" s="15" t="s">
        <v>147</v>
      </c>
      <c r="AGE61" s="15" t="s">
        <v>147</v>
      </c>
      <c r="AGF61" s="15" t="s">
        <v>147</v>
      </c>
      <c r="AGG61" s="15" t="s">
        <v>147</v>
      </c>
      <c r="AGH61" s="15" t="s">
        <v>147</v>
      </c>
      <c r="AGI61" s="15" t="s">
        <v>147</v>
      </c>
      <c r="AGJ61" s="15" t="s">
        <v>147</v>
      </c>
      <c r="AGK61" s="15" t="s">
        <v>147</v>
      </c>
      <c r="AGL61" s="15" t="s">
        <v>147</v>
      </c>
      <c r="AGM61" s="15" t="s">
        <v>147</v>
      </c>
      <c r="AGN61" s="15" t="s">
        <v>147</v>
      </c>
      <c r="AGO61" s="15" t="s">
        <v>147</v>
      </c>
      <c r="AGP61" s="15" t="s">
        <v>147</v>
      </c>
      <c r="AGQ61" s="15" t="s">
        <v>147</v>
      </c>
      <c r="AGR61" s="15" t="s">
        <v>147</v>
      </c>
      <c r="AGS61" s="15" t="s">
        <v>147</v>
      </c>
      <c r="AGT61" s="15" t="s">
        <v>147</v>
      </c>
      <c r="AGU61" s="15" t="s">
        <v>147</v>
      </c>
      <c r="AGV61" s="15" t="s">
        <v>147</v>
      </c>
      <c r="AGW61" s="15" t="s">
        <v>147</v>
      </c>
      <c r="AGX61" s="15" t="s">
        <v>147</v>
      </c>
      <c r="AGY61" s="15" t="s">
        <v>147</v>
      </c>
      <c r="AGZ61" s="15" t="s">
        <v>147</v>
      </c>
      <c r="AHA61" s="15" t="s">
        <v>147</v>
      </c>
      <c r="AHB61" s="15" t="s">
        <v>147</v>
      </c>
      <c r="AHC61" s="15" t="s">
        <v>147</v>
      </c>
      <c r="AHD61" s="15" t="s">
        <v>147</v>
      </c>
      <c r="AHE61" s="15" t="s">
        <v>147</v>
      </c>
      <c r="AHF61" s="15" t="s">
        <v>147</v>
      </c>
      <c r="AHG61" s="15" t="s">
        <v>147</v>
      </c>
      <c r="AHH61" s="15" t="s">
        <v>147</v>
      </c>
      <c r="AHI61" s="15" t="s">
        <v>147</v>
      </c>
      <c r="AHJ61" s="15" t="s">
        <v>147</v>
      </c>
      <c r="AHK61" s="15" t="s">
        <v>147</v>
      </c>
      <c r="AHL61" s="15" t="s">
        <v>147</v>
      </c>
      <c r="AHM61" s="15" t="s">
        <v>147</v>
      </c>
      <c r="AHN61" s="15" t="s">
        <v>147</v>
      </c>
      <c r="AHO61" s="15" t="s">
        <v>147</v>
      </c>
      <c r="AHP61" s="15" t="s">
        <v>147</v>
      </c>
      <c r="AHQ61" s="15" t="s">
        <v>147</v>
      </c>
      <c r="AHR61" s="15" t="s">
        <v>147</v>
      </c>
      <c r="AHS61" s="15" t="s">
        <v>147</v>
      </c>
      <c r="AHT61" s="15" t="s">
        <v>147</v>
      </c>
      <c r="AHU61" s="15" t="s">
        <v>147</v>
      </c>
      <c r="AHV61" s="15" t="s">
        <v>147</v>
      </c>
      <c r="AHW61" s="15" t="s">
        <v>147</v>
      </c>
      <c r="AHX61" s="15" t="s">
        <v>147</v>
      </c>
      <c r="AHY61" s="15" t="s">
        <v>147</v>
      </c>
      <c r="AHZ61" s="15" t="s">
        <v>147</v>
      </c>
      <c r="AIA61" s="15" t="s">
        <v>147</v>
      </c>
      <c r="AIB61" s="15" t="s">
        <v>147</v>
      </c>
      <c r="AIC61" s="15" t="s">
        <v>147</v>
      </c>
      <c r="AID61" s="15" t="s">
        <v>147</v>
      </c>
      <c r="AIE61" s="15" t="s">
        <v>147</v>
      </c>
      <c r="AIF61" s="15" t="s">
        <v>147</v>
      </c>
      <c r="AIG61" s="15" t="s">
        <v>147</v>
      </c>
      <c r="AIH61" s="15" t="s">
        <v>147</v>
      </c>
      <c r="AII61" s="15" t="s">
        <v>147</v>
      </c>
      <c r="AIJ61" s="15" t="s">
        <v>147</v>
      </c>
      <c r="AIK61" s="15" t="s">
        <v>147</v>
      </c>
      <c r="AIL61" s="15" t="s">
        <v>147</v>
      </c>
      <c r="AIM61" s="15" t="s">
        <v>147</v>
      </c>
      <c r="AIN61" s="15" t="s">
        <v>147</v>
      </c>
      <c r="AIO61" s="15" t="s">
        <v>147</v>
      </c>
      <c r="AIP61" s="15" t="s">
        <v>147</v>
      </c>
      <c r="AIQ61" s="15" t="s">
        <v>147</v>
      </c>
      <c r="AIR61" s="15" t="s">
        <v>147</v>
      </c>
      <c r="AIS61" s="15" t="s">
        <v>147</v>
      </c>
      <c r="AIT61" s="15" t="s">
        <v>147</v>
      </c>
      <c r="AIU61" s="15" t="s">
        <v>147</v>
      </c>
      <c r="AIV61" s="15" t="s">
        <v>147</v>
      </c>
      <c r="AIW61" s="15" t="s">
        <v>147</v>
      </c>
      <c r="AIX61" s="15" t="s">
        <v>147</v>
      </c>
      <c r="AIY61" s="15" t="s">
        <v>147</v>
      </c>
      <c r="AIZ61" s="15" t="s">
        <v>147</v>
      </c>
      <c r="AJA61" s="15" t="str">
        <f t="shared" ref="AJA61:AJE61" si="928" xml:space="preserve"> IF( OR(EXACT(AJA58, "MM_SYSTEM_MODE_INIT_E"), EXACT(AJA58, "MM_SYSTEM_MODE_LVC_MODE_E")), "MM_LVC_E", "MM_HLC_E")</f>
        <v>MM_HLC_E</v>
      </c>
      <c r="AJB61" s="15" t="str">
        <f t="shared" si="928"/>
        <v>MM_HLC_E</v>
      </c>
      <c r="AJC61" s="15" t="str">
        <f t="shared" si="928"/>
        <v>MM_HLC_E</v>
      </c>
      <c r="AJD61" s="15" t="str">
        <f t="shared" si="928"/>
        <v>MM_HLC_E</v>
      </c>
      <c r="AJE61" s="15" t="str">
        <f t="shared" si="928"/>
        <v>MM_HLC_E</v>
      </c>
      <c r="AJF61" s="15"/>
      <c r="AJG61" s="15" t="s">
        <v>92</v>
      </c>
      <c r="AJH61" s="15" t="s">
        <v>92</v>
      </c>
      <c r="AJI61" s="15" t="s">
        <v>92</v>
      </c>
      <c r="AJJ61" s="15" t="s">
        <v>92</v>
      </c>
      <c r="AJK61" s="15" t="s">
        <v>92</v>
      </c>
      <c r="AJL61" s="15" t="s">
        <v>92</v>
      </c>
      <c r="AJM61" s="15" t="str">
        <f>AJL61</f>
        <v>MM_LVC_E</v>
      </c>
      <c r="AJN61" s="15"/>
      <c r="AJO61" s="15" t="s">
        <v>92</v>
      </c>
      <c r="AJP61" s="15" t="s">
        <v>92</v>
      </c>
      <c r="AJQ61" s="15" t="s">
        <v>92</v>
      </c>
      <c r="AJR61" s="15" t="s">
        <v>92</v>
      </c>
      <c r="AJS61" s="15" t="s">
        <v>92</v>
      </c>
      <c r="AJT61" s="15" t="s">
        <v>92</v>
      </c>
      <c r="AJU61" s="15" t="s">
        <v>92</v>
      </c>
      <c r="AJV61" s="15" t="str">
        <f t="shared" si="814"/>
        <v>MM_LVC_E</v>
      </c>
      <c r="AJW61" s="15" t="str">
        <f t="shared" si="814"/>
        <v>MM_LVC_E</v>
      </c>
      <c r="AJX61" s="15"/>
      <c r="AJY61" s="15" t="s">
        <v>92</v>
      </c>
      <c r="AJZ61" s="15" t="s">
        <v>92</v>
      </c>
      <c r="AKA61" s="15" t="s">
        <v>92</v>
      </c>
      <c r="AKB61" s="15" t="s">
        <v>92</v>
      </c>
      <c r="AKC61" s="15" t="s">
        <v>92</v>
      </c>
      <c r="AKD61" s="15" t="s">
        <v>92</v>
      </c>
      <c r="AKE61" s="15" t="s">
        <v>92</v>
      </c>
      <c r="AKF61" s="15" t="s">
        <v>92</v>
      </c>
      <c r="AKG61" s="15" t="s">
        <v>92</v>
      </c>
      <c r="AKH61" s="15" t="str">
        <f>AKG61</f>
        <v>MM_LVC_E</v>
      </c>
      <c r="AKI61" s="15"/>
      <c r="AKJ61" s="15" t="s">
        <v>92</v>
      </c>
      <c r="AKK61" s="15" t="s">
        <v>92</v>
      </c>
      <c r="AKL61" s="15" t="s">
        <v>92</v>
      </c>
      <c r="AKM61" s="15" t="s">
        <v>92</v>
      </c>
      <c r="AKN61" s="15" t="s">
        <v>92</v>
      </c>
      <c r="AKO61" s="15" t="s">
        <v>92</v>
      </c>
      <c r="AKP61" s="15" t="s">
        <v>147</v>
      </c>
      <c r="AKQ61" s="15" t="s">
        <v>147</v>
      </c>
      <c r="AKR61" s="15" t="s">
        <v>147</v>
      </c>
      <c r="AKS61" s="15" t="s">
        <v>147</v>
      </c>
      <c r="AKT61" s="15" t="s">
        <v>147</v>
      </c>
      <c r="AKU61" s="15" t="s">
        <v>147</v>
      </c>
      <c r="AKV61" s="15" t="s">
        <v>147</v>
      </c>
      <c r="AKW61" s="15" t="s">
        <v>147</v>
      </c>
      <c r="AKX61" s="15"/>
      <c r="AKY61" s="15" t="s">
        <v>92</v>
      </c>
      <c r="AKZ61" s="15" t="s">
        <v>92</v>
      </c>
      <c r="ALA61" s="15" t="s">
        <v>92</v>
      </c>
      <c r="ALB61" s="15" t="s">
        <v>92</v>
      </c>
      <c r="ALC61" s="15" t="s">
        <v>92</v>
      </c>
      <c r="ALD61" s="15" t="s">
        <v>92</v>
      </c>
      <c r="ALE61" s="15" t="s">
        <v>147</v>
      </c>
      <c r="ALF61" s="15" t="str">
        <f t="shared" ref="ALF61:ALK61" si="929" xml:space="preserve"> IF( OR(EXACT(ALF58, "MM_SYSTEM_MODE_INIT_E"), EXACT(ALF58, "MM_SYSTEM_MODE_LVC_MODE_E")), "MM_LVC_E", "MM_HLC_E")</f>
        <v>MM_HLC_E</v>
      </c>
      <c r="ALG61" s="15" t="str">
        <f t="shared" si="929"/>
        <v>MM_HLC_E</v>
      </c>
      <c r="ALH61" s="15" t="str">
        <f t="shared" si="929"/>
        <v>MM_HLC_E</v>
      </c>
      <c r="ALI61" s="15" t="str">
        <f t="shared" si="929"/>
        <v>MM_HLC_E</v>
      </c>
      <c r="ALJ61" s="15" t="str">
        <f t="shared" si="929"/>
        <v>MM_HLC_E</v>
      </c>
      <c r="ALK61" s="15" t="str">
        <f t="shared" si="929"/>
        <v>MM_HLC_E</v>
      </c>
      <c r="ALL61" s="15" t="str">
        <f>ALK61</f>
        <v>MM_HLC_E</v>
      </c>
      <c r="ALM61" s="15"/>
      <c r="ALN61" s="15" t="s">
        <v>92</v>
      </c>
      <c r="ALO61" s="15" t="s">
        <v>92</v>
      </c>
      <c r="ALP61" s="15" t="s">
        <v>92</v>
      </c>
      <c r="ALQ61" s="15" t="s">
        <v>92</v>
      </c>
      <c r="ALR61" s="15" t="s">
        <v>92</v>
      </c>
      <c r="ALS61" s="15" t="s">
        <v>92</v>
      </c>
      <c r="ALT61" s="15" t="s">
        <v>147</v>
      </c>
      <c r="ALU61" s="15" t="str">
        <f t="shared" ref="ALU61:ALV61" si="930" xml:space="preserve"> IF( OR(EXACT(ALU58, "MM_SYSTEM_MODE_INIT_E"), EXACT(ALU58, "MM_SYSTEM_MODE_LVC_MODE_E")), "MM_LVC_E", "MM_HLC_E")</f>
        <v>MM_HLC_E</v>
      </c>
      <c r="ALV61" s="15" t="str">
        <f t="shared" si="930"/>
        <v>MM_HLC_E</v>
      </c>
      <c r="ALW61" s="15" t="s">
        <v>147</v>
      </c>
      <c r="ALX61" s="15" t="s">
        <v>147</v>
      </c>
      <c r="ALY61" s="15" t="s">
        <v>147</v>
      </c>
      <c r="ALZ61" s="15" t="s">
        <v>147</v>
      </c>
      <c r="AMA61" s="15" t="s">
        <v>147</v>
      </c>
      <c r="AMB61" s="15" t="str">
        <f>AMA61</f>
        <v>MM_HLC_E</v>
      </c>
      <c r="AMC61" s="15"/>
      <c r="AMD61" s="15" t="s">
        <v>92</v>
      </c>
      <c r="AME61" s="15" t="s">
        <v>92</v>
      </c>
      <c r="AMF61" s="15" t="s">
        <v>92</v>
      </c>
      <c r="AMG61" s="15" t="s">
        <v>92</v>
      </c>
      <c r="AMH61" s="15" t="s">
        <v>92</v>
      </c>
      <c r="AMI61" s="15" t="s">
        <v>92</v>
      </c>
      <c r="AMJ61" s="15" t="s">
        <v>147</v>
      </c>
      <c r="AMK61" s="15" t="s">
        <v>147</v>
      </c>
      <c r="AML61" s="15" t="s">
        <v>147</v>
      </c>
      <c r="AMM61" s="15" t="s">
        <v>147</v>
      </c>
      <c r="AMN61" s="15" t="s">
        <v>147</v>
      </c>
      <c r="AMO61" s="15" t="s">
        <v>147</v>
      </c>
      <c r="AMP61" s="15" t="s">
        <v>147</v>
      </c>
      <c r="AMQ61" s="15" t="s">
        <v>147</v>
      </c>
      <c r="AMR61" s="15" t="s">
        <v>147</v>
      </c>
      <c r="AMS61" s="15" t="s">
        <v>147</v>
      </c>
      <c r="AMT61" s="15" t="s">
        <v>147</v>
      </c>
      <c r="AMU61" s="15" t="s">
        <v>147</v>
      </c>
      <c r="AMV61" s="15" t="s">
        <v>147</v>
      </c>
      <c r="AMW61" s="15" t="s">
        <v>147</v>
      </c>
      <c r="AMX61" s="15" t="s">
        <v>147</v>
      </c>
      <c r="AMY61" s="15" t="s">
        <v>147</v>
      </c>
      <c r="AMZ61" s="15" t="s">
        <v>147</v>
      </c>
      <c r="ANA61" s="15" t="s">
        <v>147</v>
      </c>
      <c r="ANB61" s="15" t="s">
        <v>147</v>
      </c>
      <c r="ANC61" s="15" t="str">
        <f>ANB61</f>
        <v>MM_HLC_E</v>
      </c>
      <c r="AND61" s="15" t="str">
        <f>ANC61</f>
        <v>MM_HLC_E</v>
      </c>
      <c r="ANE61" s="15"/>
      <c r="ANF61" s="15"/>
      <c r="ANG61" s="15"/>
      <c r="ANH61" s="15"/>
      <c r="ANI61" s="15"/>
      <c r="ANJ61" s="15"/>
      <c r="ANK61" s="15"/>
      <c r="ANL61" s="15"/>
      <c r="ANM61" s="15"/>
      <c r="ANN61" s="15"/>
      <c r="ANO61" s="15"/>
      <c r="ANP61" s="15"/>
      <c r="ANQ61" s="15"/>
      <c r="ANR61" s="15"/>
      <c r="ANS61" s="15"/>
      <c r="ANT61" s="15"/>
      <c r="ANU61" s="15"/>
      <c r="ANV61" s="15"/>
      <c r="ANW61" s="15"/>
      <c r="ANX61" s="15"/>
      <c r="ANY61" s="15"/>
      <c r="ANZ61" s="15"/>
      <c r="AOA61" s="15"/>
      <c r="AOB61" s="15"/>
      <c r="AOC61" s="15"/>
      <c r="AOD61" s="15"/>
      <c r="AOE61" s="15"/>
      <c r="AOF61" s="15"/>
      <c r="AOG61" s="15"/>
      <c r="AOH61" s="15"/>
      <c r="AOI61" s="15"/>
      <c r="AOJ61" s="15"/>
      <c r="AOK61" s="15"/>
      <c r="AOL61" s="15"/>
      <c r="AOM61" s="15"/>
      <c r="AON61" s="15"/>
      <c r="AOO61" s="15"/>
      <c r="AOP61" s="15"/>
      <c r="AOQ61" s="15"/>
      <c r="AOR61" s="15"/>
      <c r="AOS61" s="15"/>
      <c r="AOT61" s="15"/>
      <c r="AOU61" s="15"/>
      <c r="AOV61" s="15"/>
      <c r="AOW61" s="15"/>
      <c r="AOX61" s="15"/>
      <c r="AOY61" s="15"/>
      <c r="AOZ61" s="15"/>
      <c r="APA61" s="15"/>
      <c r="APB61" s="15"/>
      <c r="APC61" s="15"/>
      <c r="APD61" s="15"/>
      <c r="APE61" s="15"/>
      <c r="APF61" s="15"/>
      <c r="APG61" s="15"/>
      <c r="APH61" s="15"/>
      <c r="API61" s="15"/>
      <c r="APJ61" s="15"/>
      <c r="APK61" s="15"/>
      <c r="APL61" s="15"/>
      <c r="APM61" s="15"/>
      <c r="APN61" s="15"/>
      <c r="APO61" s="15"/>
      <c r="APP61" s="15"/>
      <c r="APQ61" s="15"/>
      <c r="APR61" s="15"/>
      <c r="APS61" s="15"/>
      <c r="APT61" s="15"/>
      <c r="APU61" s="15"/>
      <c r="APV61" s="15"/>
      <c r="APW61" s="15"/>
      <c r="APX61" s="15"/>
      <c r="APY61" s="15"/>
      <c r="APZ61" s="15"/>
      <c r="AQA61" s="15"/>
      <c r="AQB61" s="15"/>
    </row>
    <row r="62" spans="1:1120" s="17" customFormat="1" ht="15" customHeight="1" x14ac:dyDescent="0.25">
      <c r="A62" s="11" t="s">
        <v>3</v>
      </c>
      <c r="B62" s="6" t="s">
        <v>50</v>
      </c>
      <c r="C62" s="15">
        <v>0</v>
      </c>
      <c r="D62" s="15">
        <v>0</v>
      </c>
      <c r="E62" s="15">
        <v>0</v>
      </c>
      <c r="F62" s="15">
        <v>0</v>
      </c>
      <c r="G62" s="15">
        <v>0</v>
      </c>
      <c r="H62" s="15">
        <v>0</v>
      </c>
      <c r="I62" s="15">
        <v>0</v>
      </c>
      <c r="J62" s="15"/>
      <c r="K62" s="15">
        <v>0</v>
      </c>
      <c r="L62" s="15">
        <v>0</v>
      </c>
      <c r="M62" s="15">
        <v>0</v>
      </c>
      <c r="N62" s="15">
        <v>0</v>
      </c>
      <c r="O62" s="15">
        <v>0</v>
      </c>
      <c r="P62" s="15">
        <v>0</v>
      </c>
      <c r="Q62" s="15"/>
      <c r="R62" s="15">
        <v>0</v>
      </c>
      <c r="S62" s="15">
        <v>0</v>
      </c>
      <c r="T62" s="15">
        <v>0</v>
      </c>
      <c r="U62" s="15">
        <v>0</v>
      </c>
      <c r="V62" s="15">
        <v>0</v>
      </c>
      <c r="W62" s="15">
        <v>0</v>
      </c>
      <c r="X62" s="15"/>
      <c r="Y62" s="15">
        <v>0</v>
      </c>
      <c r="Z62" s="15">
        <v>0</v>
      </c>
      <c r="AA62" s="15">
        <v>0</v>
      </c>
      <c r="AB62" s="15">
        <v>0</v>
      </c>
      <c r="AC62" s="15">
        <v>0</v>
      </c>
      <c r="AD62" s="15">
        <v>0</v>
      </c>
      <c r="AE62" s="15"/>
      <c r="AF62" s="15">
        <v>0</v>
      </c>
      <c r="AG62" s="15">
        <v>0</v>
      </c>
      <c r="AH62" s="15">
        <v>0</v>
      </c>
      <c r="AI62" s="15">
        <v>0</v>
      </c>
      <c r="AJ62" s="15">
        <v>0</v>
      </c>
      <c r="AK62" s="15">
        <v>0</v>
      </c>
      <c r="AL62" s="15"/>
      <c r="AM62" s="15">
        <v>0</v>
      </c>
      <c r="AN62" s="15">
        <v>0</v>
      </c>
      <c r="AO62" s="15">
        <v>0</v>
      </c>
      <c r="AP62" s="15">
        <v>0</v>
      </c>
      <c r="AQ62" s="15">
        <v>0</v>
      </c>
      <c r="AR62" s="15">
        <v>0</v>
      </c>
      <c r="AS62" s="15">
        <v>0</v>
      </c>
      <c r="AT62" s="15">
        <v>0</v>
      </c>
      <c r="AU62" s="15">
        <v>0</v>
      </c>
      <c r="AV62" s="15">
        <v>0</v>
      </c>
      <c r="AW62" s="15">
        <v>0</v>
      </c>
      <c r="AX62" s="15">
        <v>0</v>
      </c>
      <c r="AY62" s="15">
        <v>0</v>
      </c>
      <c r="AZ62" s="15">
        <v>0</v>
      </c>
      <c r="BA62" s="15">
        <v>0</v>
      </c>
      <c r="BB62" s="15">
        <v>0</v>
      </c>
      <c r="BC62" s="15">
        <v>0</v>
      </c>
      <c r="BD62" s="15">
        <v>0</v>
      </c>
      <c r="BE62" s="15">
        <v>0</v>
      </c>
      <c r="BF62" s="15">
        <v>0</v>
      </c>
      <c r="BG62" s="15">
        <v>0</v>
      </c>
      <c r="BH62" s="15">
        <v>0</v>
      </c>
      <c r="BI62" s="15">
        <v>0</v>
      </c>
      <c r="BJ62" s="15">
        <v>0</v>
      </c>
      <c r="BK62" s="15">
        <v>0</v>
      </c>
      <c r="BL62" s="15">
        <v>0</v>
      </c>
      <c r="BM62" s="15">
        <v>0</v>
      </c>
      <c r="BN62" s="15">
        <v>0</v>
      </c>
      <c r="BO62" s="15">
        <v>0</v>
      </c>
      <c r="BP62" s="15">
        <v>0</v>
      </c>
      <c r="BQ62" s="15">
        <v>0</v>
      </c>
      <c r="BR62" s="15">
        <v>0</v>
      </c>
      <c r="BS62" s="15">
        <v>0</v>
      </c>
      <c r="BT62" s="15">
        <v>0</v>
      </c>
      <c r="BU62" s="15">
        <v>0</v>
      </c>
      <c r="BV62" s="15">
        <v>0</v>
      </c>
      <c r="BW62" s="15">
        <v>0</v>
      </c>
      <c r="BX62" s="15">
        <v>0</v>
      </c>
      <c r="BY62" s="15">
        <v>0</v>
      </c>
      <c r="BZ62" s="15">
        <v>0</v>
      </c>
      <c r="CA62" s="15">
        <v>0</v>
      </c>
      <c r="CB62" s="15">
        <v>0</v>
      </c>
      <c r="CC62" s="15">
        <v>0</v>
      </c>
      <c r="CD62" s="15">
        <v>0</v>
      </c>
      <c r="CE62" s="15">
        <v>0</v>
      </c>
      <c r="CF62" s="15">
        <v>0</v>
      </c>
      <c r="CG62" s="15">
        <v>0</v>
      </c>
      <c r="CH62" s="15">
        <v>0</v>
      </c>
      <c r="CI62" s="15">
        <v>0</v>
      </c>
      <c r="CJ62" s="15">
        <v>0</v>
      </c>
      <c r="CK62" s="15">
        <v>0</v>
      </c>
      <c r="CL62" s="15">
        <v>0</v>
      </c>
      <c r="CM62" s="15">
        <v>0</v>
      </c>
      <c r="CN62" s="15">
        <v>0</v>
      </c>
      <c r="CO62" s="15">
        <v>0</v>
      </c>
      <c r="CP62" s="15">
        <v>0</v>
      </c>
      <c r="CQ62" s="15">
        <v>0</v>
      </c>
      <c r="CR62" s="15">
        <v>0</v>
      </c>
      <c r="CS62" s="15">
        <v>0</v>
      </c>
      <c r="CT62" s="15">
        <v>0</v>
      </c>
      <c r="CU62" s="15">
        <v>0</v>
      </c>
      <c r="CV62" s="15">
        <v>0</v>
      </c>
      <c r="CW62" s="15">
        <v>0</v>
      </c>
      <c r="CX62" s="15">
        <v>0</v>
      </c>
      <c r="CY62" s="15">
        <v>0</v>
      </c>
      <c r="CZ62" s="15">
        <v>0</v>
      </c>
      <c r="DA62" s="15">
        <v>0</v>
      </c>
      <c r="DB62" s="15">
        <v>0</v>
      </c>
      <c r="DC62" s="15">
        <v>0</v>
      </c>
      <c r="DD62" s="15">
        <v>0</v>
      </c>
      <c r="DE62" s="15">
        <v>0</v>
      </c>
      <c r="DF62" s="15">
        <v>0</v>
      </c>
      <c r="DG62" s="15">
        <v>0</v>
      </c>
      <c r="DH62" s="15">
        <v>0</v>
      </c>
      <c r="DI62" s="15">
        <v>0</v>
      </c>
      <c r="DJ62" s="15">
        <v>0</v>
      </c>
      <c r="DK62" s="15">
        <v>0</v>
      </c>
      <c r="DL62" s="15">
        <v>0</v>
      </c>
      <c r="DM62" s="15">
        <v>0</v>
      </c>
      <c r="DN62" s="15">
        <v>0</v>
      </c>
      <c r="DO62" s="15">
        <v>0</v>
      </c>
      <c r="DP62" s="15">
        <v>0</v>
      </c>
      <c r="DQ62" s="15">
        <v>0</v>
      </c>
      <c r="DR62" s="15">
        <v>0</v>
      </c>
      <c r="DS62" s="15">
        <v>0</v>
      </c>
      <c r="DT62" s="15">
        <v>0</v>
      </c>
      <c r="DU62" s="15">
        <v>0</v>
      </c>
      <c r="DV62" s="15">
        <v>0</v>
      </c>
      <c r="DW62" s="15">
        <v>0</v>
      </c>
      <c r="DX62" s="15">
        <v>0</v>
      </c>
      <c r="DY62" s="15">
        <v>0</v>
      </c>
      <c r="DZ62" s="15">
        <v>0</v>
      </c>
      <c r="EA62" s="15">
        <v>0</v>
      </c>
      <c r="EB62" s="15">
        <v>0</v>
      </c>
      <c r="EC62" s="15">
        <v>0</v>
      </c>
      <c r="ED62" s="15">
        <v>0</v>
      </c>
      <c r="EE62" s="15">
        <v>0</v>
      </c>
      <c r="EF62" s="15">
        <v>0</v>
      </c>
      <c r="EG62" s="15">
        <v>0</v>
      </c>
      <c r="EH62" s="15">
        <v>0</v>
      </c>
      <c r="EI62" s="15">
        <v>0</v>
      </c>
      <c r="EJ62" s="15">
        <v>0</v>
      </c>
      <c r="EK62" s="15">
        <v>0</v>
      </c>
      <c r="EL62" s="15">
        <v>0</v>
      </c>
      <c r="EM62" s="15">
        <v>0</v>
      </c>
      <c r="EN62" s="15">
        <v>0</v>
      </c>
      <c r="EO62" s="15">
        <v>0</v>
      </c>
      <c r="EP62" s="15">
        <v>0</v>
      </c>
      <c r="EQ62" s="15">
        <v>0</v>
      </c>
      <c r="ER62" s="15">
        <v>0</v>
      </c>
      <c r="ES62" s="15">
        <v>0</v>
      </c>
      <c r="ET62" s="15">
        <v>0</v>
      </c>
      <c r="EU62" s="15">
        <v>0</v>
      </c>
      <c r="EV62" s="15">
        <v>0</v>
      </c>
      <c r="EW62" s="15">
        <v>0</v>
      </c>
      <c r="EX62" s="15">
        <v>0</v>
      </c>
      <c r="EY62" s="15">
        <v>0</v>
      </c>
      <c r="EZ62" s="15">
        <v>0</v>
      </c>
      <c r="FA62" s="15">
        <v>0</v>
      </c>
      <c r="FB62" s="15">
        <v>0</v>
      </c>
      <c r="FC62" s="15">
        <v>0</v>
      </c>
      <c r="FD62" s="15"/>
      <c r="FE62" s="15">
        <v>0</v>
      </c>
      <c r="FF62" s="15">
        <v>0</v>
      </c>
      <c r="FG62" s="15">
        <v>0</v>
      </c>
      <c r="FH62" s="15">
        <v>0</v>
      </c>
      <c r="FI62" s="15">
        <v>0</v>
      </c>
      <c r="FJ62" s="15">
        <v>0</v>
      </c>
      <c r="FK62" s="15">
        <v>0</v>
      </c>
      <c r="FL62" s="15">
        <v>0</v>
      </c>
      <c r="FM62" s="15">
        <v>0</v>
      </c>
      <c r="FN62" s="15">
        <v>0</v>
      </c>
      <c r="FO62" s="15">
        <v>0</v>
      </c>
      <c r="FP62" s="15">
        <v>0</v>
      </c>
      <c r="FQ62" s="15">
        <v>0</v>
      </c>
      <c r="FR62" s="15">
        <v>0</v>
      </c>
      <c r="FS62" s="15">
        <v>0</v>
      </c>
      <c r="FT62" s="15">
        <v>0</v>
      </c>
      <c r="FU62" s="15">
        <v>0</v>
      </c>
      <c r="FV62" s="15">
        <v>0</v>
      </c>
      <c r="FW62" s="15">
        <v>0</v>
      </c>
      <c r="FX62" s="15">
        <v>0</v>
      </c>
      <c r="FY62" s="15">
        <v>0</v>
      </c>
      <c r="FZ62" s="15">
        <v>0</v>
      </c>
      <c r="GA62" s="15">
        <v>0</v>
      </c>
      <c r="GB62" s="15">
        <v>0</v>
      </c>
      <c r="GC62" s="15">
        <v>0</v>
      </c>
      <c r="GD62" s="15">
        <v>0</v>
      </c>
      <c r="GE62" s="15">
        <v>0</v>
      </c>
      <c r="GF62" s="15">
        <v>0</v>
      </c>
      <c r="GG62" s="15">
        <v>0</v>
      </c>
      <c r="GH62" s="15">
        <v>0</v>
      </c>
      <c r="GI62" s="15">
        <v>0</v>
      </c>
      <c r="GJ62" s="15">
        <v>0</v>
      </c>
      <c r="GK62" s="15">
        <v>0</v>
      </c>
      <c r="GL62" s="15">
        <v>0</v>
      </c>
      <c r="GM62" s="15">
        <v>0</v>
      </c>
      <c r="GN62" s="15">
        <v>0</v>
      </c>
      <c r="GO62" s="15">
        <v>0</v>
      </c>
      <c r="GP62" s="15">
        <v>0</v>
      </c>
      <c r="GQ62" s="15">
        <v>0</v>
      </c>
      <c r="GR62" s="15">
        <v>0</v>
      </c>
      <c r="GS62" s="15">
        <v>0</v>
      </c>
      <c r="GT62" s="15">
        <v>0</v>
      </c>
      <c r="GU62" s="15">
        <v>0</v>
      </c>
      <c r="GV62" s="15">
        <v>0</v>
      </c>
      <c r="GW62" s="15">
        <v>0</v>
      </c>
      <c r="GX62" s="15">
        <v>0</v>
      </c>
      <c r="GY62" s="15">
        <v>0</v>
      </c>
      <c r="GZ62" s="15">
        <v>0</v>
      </c>
      <c r="HA62" s="15">
        <v>0</v>
      </c>
      <c r="HB62" s="15">
        <v>0</v>
      </c>
      <c r="HC62" s="15">
        <v>0</v>
      </c>
      <c r="HD62" s="15">
        <v>0</v>
      </c>
      <c r="HE62" s="15">
        <v>0</v>
      </c>
      <c r="HF62" s="15">
        <v>0</v>
      </c>
      <c r="HG62" s="15">
        <v>0</v>
      </c>
      <c r="HH62" s="15">
        <v>0</v>
      </c>
      <c r="HI62" s="15">
        <v>0</v>
      </c>
      <c r="HJ62" s="15">
        <v>0</v>
      </c>
      <c r="HK62" s="15">
        <v>0</v>
      </c>
      <c r="HL62" s="15">
        <v>0</v>
      </c>
      <c r="HM62" s="15">
        <v>0</v>
      </c>
      <c r="HN62" s="15">
        <v>0</v>
      </c>
      <c r="HO62" s="15">
        <v>0</v>
      </c>
      <c r="HP62" s="15">
        <v>0</v>
      </c>
      <c r="HQ62" s="15">
        <v>0</v>
      </c>
      <c r="HR62" s="15">
        <v>0</v>
      </c>
      <c r="HS62" s="15">
        <v>0</v>
      </c>
      <c r="HT62" s="15">
        <v>0</v>
      </c>
      <c r="HU62" s="15">
        <v>0</v>
      </c>
      <c r="HV62" s="15">
        <v>0</v>
      </c>
      <c r="HW62" s="15">
        <v>0</v>
      </c>
      <c r="HX62" s="15">
        <v>0</v>
      </c>
      <c r="HY62" s="15">
        <v>0</v>
      </c>
      <c r="HZ62" s="15">
        <v>0</v>
      </c>
      <c r="IA62" s="15">
        <v>0</v>
      </c>
      <c r="IB62" s="15"/>
      <c r="IC62" s="15">
        <v>0</v>
      </c>
      <c r="ID62" s="15">
        <v>0</v>
      </c>
      <c r="IE62" s="15">
        <v>0</v>
      </c>
      <c r="IF62" s="15">
        <v>0</v>
      </c>
      <c r="IG62" s="15">
        <v>0</v>
      </c>
      <c r="IH62" s="15">
        <v>0</v>
      </c>
      <c r="II62" s="15">
        <v>0</v>
      </c>
      <c r="IJ62" s="15">
        <v>0</v>
      </c>
      <c r="IK62" s="15"/>
      <c r="IL62" s="15">
        <v>0</v>
      </c>
      <c r="IM62" s="15">
        <v>0</v>
      </c>
      <c r="IN62" s="15">
        <v>0</v>
      </c>
      <c r="IO62" s="15">
        <v>0</v>
      </c>
      <c r="IP62" s="15">
        <v>0</v>
      </c>
      <c r="IQ62" s="15">
        <v>0</v>
      </c>
      <c r="IR62" s="15">
        <v>0</v>
      </c>
      <c r="IS62" s="15">
        <v>0</v>
      </c>
      <c r="IT62" s="15">
        <v>0</v>
      </c>
      <c r="IU62" s="15">
        <v>0</v>
      </c>
      <c r="IV62" s="15">
        <v>0</v>
      </c>
      <c r="IW62" s="15">
        <v>0</v>
      </c>
      <c r="IX62" s="15">
        <v>0</v>
      </c>
      <c r="IY62" s="15">
        <v>0</v>
      </c>
      <c r="IZ62" s="15">
        <v>0</v>
      </c>
      <c r="JA62" s="15">
        <v>0</v>
      </c>
      <c r="JB62" s="15">
        <v>0</v>
      </c>
      <c r="JC62" s="15">
        <v>0</v>
      </c>
      <c r="JD62" s="15">
        <v>0</v>
      </c>
      <c r="JE62" s="15">
        <v>0</v>
      </c>
      <c r="JF62" s="15">
        <v>0</v>
      </c>
      <c r="JG62" s="15">
        <v>0</v>
      </c>
      <c r="JH62" s="15">
        <v>0</v>
      </c>
      <c r="JI62" s="15">
        <v>0</v>
      </c>
      <c r="JJ62" s="15">
        <v>0</v>
      </c>
      <c r="JK62" s="15">
        <v>0</v>
      </c>
      <c r="JL62" s="15">
        <v>0</v>
      </c>
      <c r="JM62" s="15">
        <v>0</v>
      </c>
      <c r="JN62" s="15">
        <v>0</v>
      </c>
      <c r="JO62" s="15">
        <v>0</v>
      </c>
      <c r="JP62" s="15">
        <v>0</v>
      </c>
      <c r="JQ62" s="15">
        <v>0</v>
      </c>
      <c r="JR62" s="15">
        <v>0</v>
      </c>
      <c r="JS62" s="15">
        <v>0</v>
      </c>
      <c r="JT62" s="15">
        <v>0</v>
      </c>
      <c r="JU62" s="15">
        <v>0</v>
      </c>
      <c r="JV62" s="15">
        <v>0</v>
      </c>
      <c r="JW62" s="15">
        <v>0</v>
      </c>
      <c r="JX62" s="15">
        <v>0</v>
      </c>
      <c r="JY62" s="15">
        <v>0</v>
      </c>
      <c r="JZ62" s="15">
        <v>0</v>
      </c>
      <c r="KA62" s="15">
        <v>0</v>
      </c>
      <c r="KB62" s="15">
        <v>0</v>
      </c>
      <c r="KC62" s="15">
        <v>0</v>
      </c>
      <c r="KD62" s="15">
        <v>0</v>
      </c>
      <c r="KE62" s="15">
        <v>0</v>
      </c>
      <c r="KF62" s="15">
        <v>0</v>
      </c>
      <c r="KG62" s="15">
        <v>0</v>
      </c>
      <c r="KH62" s="15">
        <v>0</v>
      </c>
      <c r="KI62" s="15">
        <v>0</v>
      </c>
      <c r="KJ62" s="15">
        <v>0</v>
      </c>
      <c r="KK62" s="15">
        <v>0</v>
      </c>
      <c r="KL62" s="15">
        <v>0</v>
      </c>
      <c r="KM62" s="15">
        <v>0</v>
      </c>
      <c r="KN62" s="15">
        <v>0</v>
      </c>
      <c r="KO62" s="15">
        <v>0</v>
      </c>
      <c r="KP62" s="15">
        <v>0</v>
      </c>
      <c r="KQ62" s="15">
        <v>0</v>
      </c>
      <c r="KR62" s="15">
        <v>0</v>
      </c>
      <c r="KS62" s="15">
        <v>0</v>
      </c>
      <c r="KT62" s="15">
        <v>0</v>
      </c>
      <c r="KU62" s="15">
        <v>0</v>
      </c>
      <c r="KV62" s="15">
        <v>0</v>
      </c>
      <c r="KW62" s="15">
        <v>0</v>
      </c>
      <c r="KX62" s="15">
        <v>0</v>
      </c>
      <c r="KY62" s="15">
        <v>0</v>
      </c>
      <c r="KZ62" s="15">
        <v>0</v>
      </c>
      <c r="LA62" s="15">
        <v>0</v>
      </c>
      <c r="LB62" s="15">
        <v>0</v>
      </c>
      <c r="LC62" s="15">
        <v>0</v>
      </c>
      <c r="LD62" s="15">
        <v>0</v>
      </c>
      <c r="LE62" s="15">
        <v>0</v>
      </c>
      <c r="LF62" s="15">
        <v>0</v>
      </c>
      <c r="LG62" s="15">
        <v>0</v>
      </c>
      <c r="LH62" s="15">
        <v>0</v>
      </c>
      <c r="LI62" s="15">
        <v>0</v>
      </c>
      <c r="LJ62" s="15">
        <v>0</v>
      </c>
      <c r="LK62" s="15">
        <v>0</v>
      </c>
      <c r="LL62" s="15">
        <v>0</v>
      </c>
      <c r="LM62" s="15">
        <v>0</v>
      </c>
      <c r="LN62" s="15">
        <v>0</v>
      </c>
      <c r="LO62" s="15">
        <v>0</v>
      </c>
      <c r="LP62" s="15">
        <v>0</v>
      </c>
      <c r="LQ62" s="15">
        <v>0</v>
      </c>
      <c r="LR62" s="15">
        <v>0</v>
      </c>
      <c r="LS62" s="15">
        <v>0</v>
      </c>
      <c r="LT62" s="15">
        <v>0</v>
      </c>
      <c r="LU62" s="15">
        <v>0</v>
      </c>
      <c r="LV62" s="15">
        <v>0</v>
      </c>
      <c r="LW62" s="15">
        <v>0</v>
      </c>
      <c r="LX62" s="15">
        <v>0</v>
      </c>
      <c r="LY62" s="15">
        <v>0</v>
      </c>
      <c r="LZ62" s="15">
        <v>0</v>
      </c>
      <c r="MA62" s="15">
        <v>0</v>
      </c>
      <c r="MB62" s="15">
        <v>0</v>
      </c>
      <c r="MC62" s="15">
        <v>0</v>
      </c>
      <c r="MD62" s="15">
        <v>0</v>
      </c>
      <c r="ME62" s="15">
        <v>0</v>
      </c>
      <c r="MF62" s="15">
        <v>0</v>
      </c>
      <c r="MG62" s="15">
        <v>0</v>
      </c>
      <c r="MH62" s="15">
        <v>0</v>
      </c>
      <c r="MI62" s="15">
        <v>0</v>
      </c>
      <c r="MJ62" s="15">
        <v>0</v>
      </c>
      <c r="MK62" s="15">
        <v>0</v>
      </c>
      <c r="ML62" s="15">
        <v>0</v>
      </c>
      <c r="MM62" s="15">
        <v>0</v>
      </c>
      <c r="MN62" s="15">
        <v>0</v>
      </c>
      <c r="MO62" s="15">
        <v>0</v>
      </c>
      <c r="MP62" s="15">
        <v>0</v>
      </c>
      <c r="MQ62" s="15">
        <v>0</v>
      </c>
      <c r="MR62" s="15">
        <v>0</v>
      </c>
      <c r="MS62" s="15">
        <v>0</v>
      </c>
      <c r="MT62" s="15">
        <v>0</v>
      </c>
      <c r="MU62" s="15">
        <v>0</v>
      </c>
      <c r="MV62" s="15">
        <v>0</v>
      </c>
      <c r="MW62" s="15">
        <v>0</v>
      </c>
      <c r="MX62" s="15">
        <v>0</v>
      </c>
      <c r="MY62" s="15">
        <v>0</v>
      </c>
      <c r="MZ62" s="15">
        <v>0</v>
      </c>
      <c r="NA62" s="15">
        <v>0</v>
      </c>
      <c r="NB62" s="15">
        <v>0</v>
      </c>
      <c r="NC62" s="15">
        <v>0</v>
      </c>
      <c r="ND62" s="15">
        <v>0</v>
      </c>
      <c r="NE62" s="15">
        <v>0</v>
      </c>
      <c r="NF62" s="15">
        <v>0</v>
      </c>
      <c r="NG62" s="15">
        <v>0</v>
      </c>
      <c r="NH62" s="15">
        <v>0</v>
      </c>
      <c r="NI62" s="15">
        <v>0</v>
      </c>
      <c r="NJ62" s="15">
        <v>0</v>
      </c>
      <c r="NK62" s="15">
        <v>0</v>
      </c>
      <c r="NL62" s="15">
        <v>0</v>
      </c>
      <c r="NM62" s="15">
        <v>0</v>
      </c>
      <c r="NN62" s="15">
        <v>0</v>
      </c>
      <c r="NO62" s="15">
        <v>0</v>
      </c>
      <c r="NP62" s="15">
        <v>0</v>
      </c>
      <c r="NQ62" s="15">
        <v>0</v>
      </c>
      <c r="NR62" s="15">
        <v>0</v>
      </c>
      <c r="NS62" s="20">
        <f t="shared" ref="NS62:OX62" si="931">IF(OR(EXACT(NS58,"MM_SYSTEM_MODE_PUSHBACK_ATA_TAS_E"),EXACT(NS58,"MM_SYSTEM_MODE_PUSHBACK_ATA_BW_E")),IF(EXACT(NS35,"CS_SWITCH_REQUESTED_E"),NS97,IF(OR(EXACT(NS34,"CS_SWITCH_REQUESTED_E"),EXACT(NS28,"LVC_UNLOAD_E")),0,IF(NR62,NS97,0))),0)</f>
        <v>0</v>
      </c>
      <c r="NT62" s="20">
        <f t="shared" si="931"/>
        <v>2056</v>
      </c>
      <c r="NU62" s="20">
        <f t="shared" si="931"/>
        <v>0</v>
      </c>
      <c r="NV62" s="20">
        <f t="shared" si="931"/>
        <v>0</v>
      </c>
      <c r="NW62" s="20">
        <f t="shared" si="931"/>
        <v>0</v>
      </c>
      <c r="NX62" s="20">
        <f t="shared" si="931"/>
        <v>0</v>
      </c>
      <c r="NY62" s="20">
        <f t="shared" si="931"/>
        <v>0</v>
      </c>
      <c r="NZ62" s="20">
        <f t="shared" si="931"/>
        <v>0</v>
      </c>
      <c r="OA62" s="20">
        <f t="shared" si="931"/>
        <v>0</v>
      </c>
      <c r="OB62" s="20">
        <f t="shared" si="931"/>
        <v>0</v>
      </c>
      <c r="OC62" s="20">
        <f t="shared" si="931"/>
        <v>0</v>
      </c>
      <c r="OD62" s="20">
        <f t="shared" si="931"/>
        <v>257</v>
      </c>
      <c r="OE62" s="20">
        <f t="shared" si="931"/>
        <v>256</v>
      </c>
      <c r="OF62" s="20">
        <f t="shared" si="931"/>
        <v>512</v>
      </c>
      <c r="OG62" s="20">
        <f t="shared" si="931"/>
        <v>256</v>
      </c>
      <c r="OH62" s="20">
        <f t="shared" si="931"/>
        <v>128</v>
      </c>
      <c r="OI62" s="20">
        <f t="shared" si="931"/>
        <v>128</v>
      </c>
      <c r="OJ62" s="20">
        <f t="shared" si="931"/>
        <v>128</v>
      </c>
      <c r="OK62" s="20">
        <f t="shared" si="931"/>
        <v>0</v>
      </c>
      <c r="OL62" s="20">
        <f t="shared" si="931"/>
        <v>32</v>
      </c>
      <c r="OM62" s="20">
        <f t="shared" si="931"/>
        <v>64</v>
      </c>
      <c r="ON62" s="20">
        <f t="shared" si="931"/>
        <v>0</v>
      </c>
      <c r="OO62" s="20">
        <f t="shared" si="931"/>
        <v>0</v>
      </c>
      <c r="OP62" s="20">
        <f t="shared" si="931"/>
        <v>0</v>
      </c>
      <c r="OQ62" s="20">
        <f t="shared" si="931"/>
        <v>32</v>
      </c>
      <c r="OR62" s="20">
        <f t="shared" si="931"/>
        <v>32</v>
      </c>
      <c r="OS62" s="20">
        <f t="shared" si="931"/>
        <v>32</v>
      </c>
      <c r="OT62" s="20">
        <f t="shared" si="931"/>
        <v>0</v>
      </c>
      <c r="OU62" s="20">
        <f t="shared" si="931"/>
        <v>384</v>
      </c>
      <c r="OV62" s="20">
        <f t="shared" si="931"/>
        <v>16</v>
      </c>
      <c r="OW62" s="20">
        <f t="shared" si="931"/>
        <v>16</v>
      </c>
      <c r="OX62" s="20">
        <f t="shared" si="931"/>
        <v>16</v>
      </c>
      <c r="OY62" s="20">
        <f t="shared" ref="OY62:QD62" si="932">IF(OR(EXACT(OY58,"MM_SYSTEM_MODE_PUSHBACK_ATA_TAS_E"),EXACT(OY58,"MM_SYSTEM_MODE_PUSHBACK_ATA_BW_E")),IF(EXACT(OY35,"CS_SWITCH_REQUESTED_E"),OY97,IF(OR(EXACT(OY34,"CS_SWITCH_REQUESTED_E"),EXACT(OY28,"LVC_UNLOAD_E")),0,IF(OX62,OY97,0))),0)</f>
        <v>8</v>
      </c>
      <c r="OZ62" s="20">
        <f t="shared" si="932"/>
        <v>0</v>
      </c>
      <c r="PA62" s="20">
        <f t="shared" si="932"/>
        <v>0</v>
      </c>
      <c r="PB62" s="20">
        <f t="shared" si="932"/>
        <v>4</v>
      </c>
      <c r="PC62" s="20">
        <f t="shared" si="932"/>
        <v>0</v>
      </c>
      <c r="PD62" s="20">
        <f t="shared" si="932"/>
        <v>0</v>
      </c>
      <c r="PE62" s="20">
        <f t="shared" si="932"/>
        <v>2</v>
      </c>
      <c r="PF62" s="20">
        <f t="shared" si="932"/>
        <v>2</v>
      </c>
      <c r="PG62" s="20">
        <f t="shared" si="932"/>
        <v>2</v>
      </c>
      <c r="PH62" s="20">
        <f t="shared" si="932"/>
        <v>1</v>
      </c>
      <c r="PI62" s="20">
        <f t="shared" si="932"/>
        <v>32768</v>
      </c>
      <c r="PJ62" s="20">
        <f t="shared" si="932"/>
        <v>32768</v>
      </c>
      <c r="PK62" s="20">
        <f t="shared" si="932"/>
        <v>2048</v>
      </c>
      <c r="PL62" s="20">
        <f t="shared" si="932"/>
        <v>2048</v>
      </c>
      <c r="PM62" s="20">
        <f t="shared" si="932"/>
        <v>126</v>
      </c>
      <c r="PN62" s="20">
        <f t="shared" si="932"/>
        <v>2048</v>
      </c>
      <c r="PO62" s="20">
        <f t="shared" si="932"/>
        <v>126</v>
      </c>
      <c r="PP62" s="20">
        <f t="shared" si="932"/>
        <v>2048</v>
      </c>
      <c r="PQ62" s="20">
        <f t="shared" si="932"/>
        <v>114</v>
      </c>
      <c r="PR62" s="20">
        <f t="shared" si="932"/>
        <v>2825</v>
      </c>
      <c r="PS62" s="20">
        <f t="shared" si="932"/>
        <v>2178</v>
      </c>
      <c r="PT62" s="20">
        <f t="shared" si="932"/>
        <v>2308</v>
      </c>
      <c r="PU62" s="20">
        <f t="shared" si="932"/>
        <v>2946</v>
      </c>
      <c r="PV62" s="20">
        <f t="shared" si="932"/>
        <v>2050</v>
      </c>
      <c r="PW62" s="20">
        <f t="shared" si="932"/>
        <v>2946</v>
      </c>
      <c r="PX62" s="20">
        <f t="shared" si="932"/>
        <v>1</v>
      </c>
      <c r="PY62" s="20">
        <f t="shared" si="932"/>
        <v>34830</v>
      </c>
      <c r="PZ62" s="20">
        <f t="shared" si="932"/>
        <v>34816</v>
      </c>
      <c r="QA62" s="20">
        <f t="shared" si="932"/>
        <v>2050</v>
      </c>
      <c r="QB62" s="20">
        <f t="shared" si="932"/>
        <v>34816</v>
      </c>
      <c r="QC62" s="20">
        <f t="shared" si="932"/>
        <v>34816</v>
      </c>
      <c r="QD62" s="20">
        <f t="shared" si="932"/>
        <v>32768</v>
      </c>
      <c r="QE62" s="20">
        <f t="shared" ref="QE62:QU62" si="933">IF(OR(EXACT(QE58,"MM_SYSTEM_MODE_PUSHBACK_ATA_TAS_E"),EXACT(QE58,"MM_SYSTEM_MODE_PUSHBACK_ATA_BW_E")),IF(EXACT(QE35,"CS_SWITCH_REQUESTED_E"),QE97,IF(OR(EXACT(QE34,"CS_SWITCH_REQUESTED_E"),EXACT(QE28,"LVC_UNLOAD_E")),0,IF(QD62,QE97,0))),0)</f>
        <v>0</v>
      </c>
      <c r="QF62" s="20">
        <f t="shared" si="933"/>
        <v>0</v>
      </c>
      <c r="QG62" s="20">
        <f t="shared" si="933"/>
        <v>0</v>
      </c>
      <c r="QH62" s="20">
        <f t="shared" si="933"/>
        <v>2058</v>
      </c>
      <c r="QI62" s="20">
        <f t="shared" si="933"/>
        <v>32895</v>
      </c>
      <c r="QJ62" s="20">
        <f t="shared" si="933"/>
        <v>34826</v>
      </c>
      <c r="QK62" s="20">
        <f t="shared" si="933"/>
        <v>32842</v>
      </c>
      <c r="QL62" s="20">
        <f t="shared" si="933"/>
        <v>33674</v>
      </c>
      <c r="QM62" s="20">
        <f t="shared" si="933"/>
        <v>32778</v>
      </c>
      <c r="QN62" s="20">
        <f t="shared" si="933"/>
        <v>42</v>
      </c>
      <c r="QO62" s="20">
        <f t="shared" si="933"/>
        <v>0</v>
      </c>
      <c r="QP62" s="20">
        <f t="shared" si="933"/>
        <v>0</v>
      </c>
      <c r="QQ62" s="20">
        <f t="shared" si="933"/>
        <v>0</v>
      </c>
      <c r="QR62" s="20">
        <f t="shared" si="933"/>
        <v>0</v>
      </c>
      <c r="QS62" s="20">
        <f t="shared" si="933"/>
        <v>0</v>
      </c>
      <c r="QT62" s="20">
        <f t="shared" si="933"/>
        <v>2082</v>
      </c>
      <c r="QU62" s="20">
        <f t="shared" si="933"/>
        <v>2080</v>
      </c>
      <c r="QV62" s="20">
        <f t="shared" ref="QV62:RQ62" si="934">IF(OR(EXACT(QV58,"MM_SYSTEM_MODE_PUSHBACK_ATA_TAS_E"),EXACT(QV58,"MM_SYSTEM_MODE_PUSHBACK_ATA_BW_E")),IF(EXACT(QV35,"CS_SWITCH_REQUESTED_E"),QV97,IF(OR(EXACT(QV34,"CS_SWITCH_REQUESTED_E"),EXACT(QV28,"LVC_UNLOAD_E")),0,IF(QT62,QV97,0))),0)</f>
        <v>34848</v>
      </c>
      <c r="QW62" s="20">
        <f t="shared" si="934"/>
        <v>34848</v>
      </c>
      <c r="QX62" s="20">
        <f t="shared" si="934"/>
        <v>34848</v>
      </c>
      <c r="QY62" s="20">
        <f t="shared" si="934"/>
        <v>34848</v>
      </c>
      <c r="QZ62" s="20">
        <f t="shared" si="934"/>
        <v>34848</v>
      </c>
      <c r="RA62" s="20">
        <f t="shared" si="934"/>
        <v>34848</v>
      </c>
      <c r="RB62" s="20">
        <f t="shared" si="934"/>
        <v>34848</v>
      </c>
      <c r="RC62" s="20">
        <f t="shared" si="934"/>
        <v>34848</v>
      </c>
      <c r="RD62" s="20">
        <f t="shared" si="934"/>
        <v>34848</v>
      </c>
      <c r="RE62" s="20">
        <f t="shared" si="934"/>
        <v>34848</v>
      </c>
      <c r="RF62" s="20">
        <f t="shared" si="934"/>
        <v>34848</v>
      </c>
      <c r="RG62" s="20">
        <f t="shared" si="934"/>
        <v>34848</v>
      </c>
      <c r="RH62" s="20">
        <f t="shared" si="934"/>
        <v>34848</v>
      </c>
      <c r="RI62" s="20">
        <f t="shared" si="934"/>
        <v>34848</v>
      </c>
      <c r="RJ62" s="20">
        <f t="shared" si="934"/>
        <v>34848</v>
      </c>
      <c r="RK62" s="20">
        <f t="shared" si="934"/>
        <v>34848</v>
      </c>
      <c r="RL62" s="20">
        <f t="shared" si="934"/>
        <v>34848</v>
      </c>
      <c r="RM62" s="20">
        <f t="shared" si="934"/>
        <v>34848</v>
      </c>
      <c r="RN62" s="20">
        <f t="shared" si="934"/>
        <v>34848</v>
      </c>
      <c r="RO62" s="20">
        <f t="shared" si="934"/>
        <v>34848</v>
      </c>
      <c r="RP62" s="20">
        <f t="shared" si="934"/>
        <v>34848</v>
      </c>
      <c r="RQ62" s="20">
        <f t="shared" si="934"/>
        <v>34848</v>
      </c>
      <c r="RR62" s="15">
        <v>0</v>
      </c>
      <c r="RS62" s="15"/>
      <c r="RT62" s="15">
        <v>0</v>
      </c>
      <c r="RU62" s="15">
        <v>0</v>
      </c>
      <c r="RV62" s="15">
        <v>0</v>
      </c>
      <c r="RW62" s="15">
        <v>0</v>
      </c>
      <c r="RX62" s="15">
        <v>0</v>
      </c>
      <c r="RY62" s="15">
        <v>0</v>
      </c>
      <c r="RZ62" s="15">
        <v>0</v>
      </c>
      <c r="SA62" s="15">
        <v>0</v>
      </c>
      <c r="SB62" s="20">
        <f t="shared" ref="SB62:TG62" si="935">IF(OR(EXACT(SB58,"MM_SYSTEM_MODE_PUSHBACK_ATA_TAS_E"),EXACT(SB58,"MM_SYSTEM_MODE_PUSHBACK_ATA_BW_E")),IF(EXACT(SB35,"CS_SWITCH_REQUESTED_E"),SB97,IF(OR(EXACT(SB34,"CS_SWITCH_REQUESTED_E"),EXACT(SB28,"LVC_UNLOAD_E")),0,IF(SA62,SB97,0))),0)</f>
        <v>0</v>
      </c>
      <c r="SC62" s="20">
        <f t="shared" si="935"/>
        <v>2056</v>
      </c>
      <c r="SD62" s="20">
        <f t="shared" si="935"/>
        <v>0</v>
      </c>
      <c r="SE62" s="20">
        <f t="shared" si="935"/>
        <v>0</v>
      </c>
      <c r="SF62" s="20">
        <f t="shared" si="935"/>
        <v>0</v>
      </c>
      <c r="SG62" s="20">
        <f t="shared" si="935"/>
        <v>0</v>
      </c>
      <c r="SH62" s="20">
        <f t="shared" si="935"/>
        <v>0</v>
      </c>
      <c r="SI62" s="20">
        <f t="shared" si="935"/>
        <v>0</v>
      </c>
      <c r="SJ62" s="20">
        <f t="shared" si="935"/>
        <v>0</v>
      </c>
      <c r="SK62" s="20">
        <f t="shared" si="935"/>
        <v>0</v>
      </c>
      <c r="SL62" s="20">
        <f t="shared" si="935"/>
        <v>0</v>
      </c>
      <c r="SM62" s="20">
        <f t="shared" si="935"/>
        <v>257</v>
      </c>
      <c r="SN62" s="20">
        <f t="shared" si="935"/>
        <v>256</v>
      </c>
      <c r="SO62" s="20">
        <f t="shared" si="935"/>
        <v>512</v>
      </c>
      <c r="SP62" s="20">
        <f t="shared" si="935"/>
        <v>256</v>
      </c>
      <c r="SQ62" s="20">
        <f t="shared" si="935"/>
        <v>128</v>
      </c>
      <c r="SR62" s="20">
        <f t="shared" si="935"/>
        <v>128</v>
      </c>
      <c r="SS62" s="20">
        <f t="shared" si="935"/>
        <v>128</v>
      </c>
      <c r="ST62" s="20">
        <f t="shared" si="935"/>
        <v>0</v>
      </c>
      <c r="SU62" s="20">
        <f t="shared" si="935"/>
        <v>32</v>
      </c>
      <c r="SV62" s="20">
        <f t="shared" si="935"/>
        <v>64</v>
      </c>
      <c r="SW62" s="20">
        <f t="shared" si="935"/>
        <v>0</v>
      </c>
      <c r="SX62" s="20">
        <f t="shared" si="935"/>
        <v>0</v>
      </c>
      <c r="SY62" s="20">
        <f t="shared" si="935"/>
        <v>0</v>
      </c>
      <c r="SZ62" s="20">
        <f t="shared" si="935"/>
        <v>32</v>
      </c>
      <c r="TA62" s="20">
        <f t="shared" si="935"/>
        <v>32</v>
      </c>
      <c r="TB62" s="20">
        <f t="shared" si="935"/>
        <v>32</v>
      </c>
      <c r="TC62" s="20">
        <f t="shared" si="935"/>
        <v>0</v>
      </c>
      <c r="TD62" s="20">
        <f t="shared" si="935"/>
        <v>384</v>
      </c>
      <c r="TE62" s="20">
        <f t="shared" si="935"/>
        <v>16</v>
      </c>
      <c r="TF62" s="20">
        <f t="shared" si="935"/>
        <v>16</v>
      </c>
      <c r="TG62" s="20">
        <f t="shared" si="935"/>
        <v>8</v>
      </c>
      <c r="TH62" s="20">
        <f t="shared" ref="TH62:UM62" si="936">IF(OR(EXACT(TH58,"MM_SYSTEM_MODE_PUSHBACK_ATA_TAS_E"),EXACT(TH58,"MM_SYSTEM_MODE_PUSHBACK_ATA_BW_E")),IF(EXACT(TH35,"CS_SWITCH_REQUESTED_E"),TH97,IF(OR(EXACT(TH34,"CS_SWITCH_REQUESTED_E"),EXACT(TH28,"LVC_UNLOAD_E")),0,IF(TG62,TH97,0))),0)</f>
        <v>0</v>
      </c>
      <c r="TI62" s="20">
        <f t="shared" si="936"/>
        <v>0</v>
      </c>
      <c r="TJ62" s="20">
        <f t="shared" si="936"/>
        <v>4</v>
      </c>
      <c r="TK62" s="20">
        <f t="shared" si="936"/>
        <v>0</v>
      </c>
      <c r="TL62" s="20">
        <f t="shared" si="936"/>
        <v>0</v>
      </c>
      <c r="TM62" s="20">
        <f t="shared" si="936"/>
        <v>2</v>
      </c>
      <c r="TN62" s="20">
        <f t="shared" si="936"/>
        <v>2</v>
      </c>
      <c r="TO62" s="20">
        <f t="shared" si="936"/>
        <v>2</v>
      </c>
      <c r="TP62" s="20">
        <f t="shared" si="936"/>
        <v>1</v>
      </c>
      <c r="TQ62" s="20">
        <f t="shared" si="936"/>
        <v>32768</v>
      </c>
      <c r="TR62" s="20">
        <f t="shared" si="936"/>
        <v>32768</v>
      </c>
      <c r="TS62" s="20">
        <f t="shared" si="936"/>
        <v>2048</v>
      </c>
      <c r="TT62" s="20">
        <f t="shared" si="936"/>
        <v>2048</v>
      </c>
      <c r="TU62" s="20">
        <f t="shared" si="936"/>
        <v>126</v>
      </c>
      <c r="TV62" s="20">
        <f t="shared" si="936"/>
        <v>2048</v>
      </c>
      <c r="TW62" s="20">
        <f t="shared" si="936"/>
        <v>126</v>
      </c>
      <c r="TX62" s="20">
        <f t="shared" si="936"/>
        <v>2048</v>
      </c>
      <c r="TY62" s="20">
        <f t="shared" si="936"/>
        <v>114</v>
      </c>
      <c r="TZ62" s="20">
        <f t="shared" si="936"/>
        <v>2825</v>
      </c>
      <c r="UA62" s="20">
        <f t="shared" si="936"/>
        <v>2178</v>
      </c>
      <c r="UB62" s="20">
        <f t="shared" si="936"/>
        <v>2308</v>
      </c>
      <c r="UC62" s="20">
        <f t="shared" si="936"/>
        <v>2946</v>
      </c>
      <c r="UD62" s="20">
        <f t="shared" si="936"/>
        <v>2050</v>
      </c>
      <c r="UE62" s="20">
        <f t="shared" si="936"/>
        <v>2946</v>
      </c>
      <c r="UF62" s="20">
        <f t="shared" si="936"/>
        <v>1</v>
      </c>
      <c r="UG62" s="20">
        <f t="shared" si="936"/>
        <v>34830</v>
      </c>
      <c r="UH62" s="20">
        <f t="shared" si="936"/>
        <v>34816</v>
      </c>
      <c r="UI62" s="20">
        <f t="shared" si="936"/>
        <v>2050</v>
      </c>
      <c r="UJ62" s="20">
        <f t="shared" si="936"/>
        <v>34816</v>
      </c>
      <c r="UK62" s="20">
        <f t="shared" si="936"/>
        <v>34816</v>
      </c>
      <c r="UL62" s="20">
        <f t="shared" si="936"/>
        <v>32768</v>
      </c>
      <c r="UM62" s="20">
        <f t="shared" si="936"/>
        <v>0</v>
      </c>
      <c r="UN62" s="20">
        <f t="shared" ref="UN62:VC62" si="937">IF(OR(EXACT(UN58,"MM_SYSTEM_MODE_PUSHBACK_ATA_TAS_E"),EXACT(UN58,"MM_SYSTEM_MODE_PUSHBACK_ATA_BW_E")),IF(EXACT(UN35,"CS_SWITCH_REQUESTED_E"),UN97,IF(OR(EXACT(UN34,"CS_SWITCH_REQUESTED_E"),EXACT(UN28,"LVC_UNLOAD_E")),0,IF(UM62,UN97,0))),0)</f>
        <v>0</v>
      </c>
      <c r="UO62" s="20">
        <f t="shared" si="937"/>
        <v>0</v>
      </c>
      <c r="UP62" s="20">
        <f t="shared" si="937"/>
        <v>2058</v>
      </c>
      <c r="UQ62" s="20">
        <f t="shared" si="937"/>
        <v>32895</v>
      </c>
      <c r="UR62" s="20">
        <f t="shared" si="937"/>
        <v>34826</v>
      </c>
      <c r="US62" s="20">
        <f t="shared" si="937"/>
        <v>32842</v>
      </c>
      <c r="UT62" s="20">
        <f t="shared" si="937"/>
        <v>33674</v>
      </c>
      <c r="UU62" s="20">
        <f t="shared" si="937"/>
        <v>32778</v>
      </c>
      <c r="UV62" s="20">
        <f t="shared" si="937"/>
        <v>42</v>
      </c>
      <c r="UW62" s="20">
        <f t="shared" si="937"/>
        <v>0</v>
      </c>
      <c r="UX62" s="20">
        <f t="shared" si="937"/>
        <v>0</v>
      </c>
      <c r="UY62" s="20">
        <f t="shared" si="937"/>
        <v>0</v>
      </c>
      <c r="UZ62" s="20">
        <f t="shared" si="937"/>
        <v>0</v>
      </c>
      <c r="VA62" s="20">
        <f t="shared" si="937"/>
        <v>0</v>
      </c>
      <c r="VB62" s="20">
        <f t="shared" si="937"/>
        <v>2082</v>
      </c>
      <c r="VC62" s="20">
        <f t="shared" si="937"/>
        <v>2080</v>
      </c>
      <c r="VD62" s="20">
        <f t="shared" ref="VD62:VZ62" si="938">IF(OR(EXACT(VD58,"MM_SYSTEM_MODE_PUSHBACK_ATA_TAS_E"),EXACT(VD58,"MM_SYSTEM_MODE_PUSHBACK_ATA_BW_E")),IF(EXACT(VD35,"CS_SWITCH_REQUESTED_E"),VD97,IF(OR(EXACT(VD34,"CS_SWITCH_REQUESTED_E"),EXACT(VD28,"LVC_UNLOAD_E")),0,IF(VB62,VD97,0))),0)</f>
        <v>34848</v>
      </c>
      <c r="VE62" s="20">
        <f t="shared" si="938"/>
        <v>34848</v>
      </c>
      <c r="VF62" s="20">
        <f t="shared" si="938"/>
        <v>34848</v>
      </c>
      <c r="VG62" s="20">
        <f t="shared" si="938"/>
        <v>34848</v>
      </c>
      <c r="VH62" s="20">
        <f t="shared" si="938"/>
        <v>34848</v>
      </c>
      <c r="VI62" s="20">
        <f t="shared" si="938"/>
        <v>34848</v>
      </c>
      <c r="VJ62" s="20">
        <f t="shared" si="938"/>
        <v>34848</v>
      </c>
      <c r="VK62" s="20">
        <f t="shared" si="938"/>
        <v>34848</v>
      </c>
      <c r="VL62" s="20">
        <f t="shared" si="938"/>
        <v>34848</v>
      </c>
      <c r="VM62" s="20">
        <f t="shared" si="938"/>
        <v>34848</v>
      </c>
      <c r="VN62" s="20">
        <f t="shared" si="938"/>
        <v>34848</v>
      </c>
      <c r="VO62" s="20">
        <f t="shared" si="938"/>
        <v>34848</v>
      </c>
      <c r="VP62" s="20">
        <f t="shared" si="938"/>
        <v>34848</v>
      </c>
      <c r="VQ62" s="20">
        <f t="shared" si="938"/>
        <v>34848</v>
      </c>
      <c r="VR62" s="20">
        <f t="shared" si="938"/>
        <v>34848</v>
      </c>
      <c r="VS62" s="20">
        <f t="shared" si="938"/>
        <v>34848</v>
      </c>
      <c r="VT62" s="20">
        <f t="shared" si="938"/>
        <v>34848</v>
      </c>
      <c r="VU62" s="20">
        <f t="shared" si="938"/>
        <v>34848</v>
      </c>
      <c r="VV62" s="20">
        <f t="shared" si="938"/>
        <v>34848</v>
      </c>
      <c r="VW62" s="20">
        <f t="shared" si="938"/>
        <v>34848</v>
      </c>
      <c r="VX62" s="20">
        <f t="shared" si="938"/>
        <v>34848</v>
      </c>
      <c r="VY62" s="20">
        <f t="shared" si="938"/>
        <v>34848</v>
      </c>
      <c r="VZ62" s="20">
        <f t="shared" si="938"/>
        <v>34848</v>
      </c>
      <c r="WA62" s="15">
        <v>0</v>
      </c>
      <c r="WB62" s="15">
        <v>0</v>
      </c>
      <c r="WC62" s="15">
        <v>0</v>
      </c>
      <c r="WD62" s="15">
        <v>0</v>
      </c>
      <c r="WE62" s="15">
        <v>0</v>
      </c>
      <c r="WF62" s="15">
        <v>0</v>
      </c>
      <c r="WG62" s="15">
        <v>0</v>
      </c>
      <c r="WH62" s="15">
        <v>0</v>
      </c>
      <c r="WI62" s="15">
        <v>0</v>
      </c>
      <c r="WJ62" s="15">
        <v>0</v>
      </c>
      <c r="WK62" s="15">
        <v>0</v>
      </c>
      <c r="WL62" s="15">
        <v>0</v>
      </c>
      <c r="WM62" s="15">
        <v>0</v>
      </c>
      <c r="WN62" s="15">
        <v>0</v>
      </c>
      <c r="WO62" s="15">
        <v>0</v>
      </c>
      <c r="WP62" s="15">
        <v>0</v>
      </c>
      <c r="WQ62" s="15">
        <v>0</v>
      </c>
      <c r="WR62" s="15">
        <v>0</v>
      </c>
      <c r="WS62" s="15">
        <v>0</v>
      </c>
      <c r="WT62" s="15">
        <v>0</v>
      </c>
      <c r="WU62" s="15">
        <v>0</v>
      </c>
      <c r="WV62" s="15">
        <v>0</v>
      </c>
      <c r="WW62" s="15">
        <v>0</v>
      </c>
      <c r="WX62" s="15">
        <v>0</v>
      </c>
      <c r="WY62" s="15">
        <v>0</v>
      </c>
      <c r="WZ62" s="15">
        <v>0</v>
      </c>
      <c r="XA62" s="15">
        <v>0</v>
      </c>
      <c r="XB62" s="15">
        <v>0</v>
      </c>
      <c r="XC62" s="15">
        <v>0</v>
      </c>
      <c r="XD62" s="15">
        <v>0</v>
      </c>
      <c r="XE62" s="15">
        <v>0</v>
      </c>
      <c r="XF62" s="15">
        <v>0</v>
      </c>
      <c r="XG62" s="15">
        <v>0</v>
      </c>
      <c r="XH62" s="15">
        <v>0</v>
      </c>
      <c r="XI62" s="15">
        <v>0</v>
      </c>
      <c r="XJ62" s="15">
        <v>0</v>
      </c>
      <c r="XK62" s="15">
        <v>0</v>
      </c>
      <c r="XL62" s="15">
        <v>0</v>
      </c>
      <c r="XM62" s="15">
        <v>0</v>
      </c>
      <c r="XN62" s="15">
        <v>0</v>
      </c>
      <c r="XO62" s="15">
        <v>0</v>
      </c>
      <c r="XP62" s="15">
        <v>0</v>
      </c>
      <c r="XQ62" s="15">
        <v>0</v>
      </c>
      <c r="XR62" s="15">
        <v>0</v>
      </c>
      <c r="XS62" s="15">
        <v>0</v>
      </c>
      <c r="XT62" s="15">
        <v>0</v>
      </c>
      <c r="XU62" s="15">
        <v>0</v>
      </c>
      <c r="XV62" s="15">
        <v>0</v>
      </c>
      <c r="XW62" s="15">
        <v>0</v>
      </c>
      <c r="XX62" s="15">
        <v>0</v>
      </c>
      <c r="XY62" s="15">
        <v>0</v>
      </c>
      <c r="XZ62" s="15">
        <v>0</v>
      </c>
      <c r="YA62" s="15">
        <v>0</v>
      </c>
      <c r="YB62" s="15">
        <v>0</v>
      </c>
      <c r="YC62" s="15">
        <v>0</v>
      </c>
      <c r="YD62" s="15">
        <v>0</v>
      </c>
      <c r="YE62" s="15">
        <v>0</v>
      </c>
      <c r="YF62" s="15">
        <v>0</v>
      </c>
      <c r="YG62" s="15">
        <v>0</v>
      </c>
      <c r="YH62" s="15">
        <v>0</v>
      </c>
      <c r="YI62" s="15">
        <v>0</v>
      </c>
      <c r="YJ62" s="15">
        <v>0</v>
      </c>
      <c r="YK62" s="15">
        <v>0</v>
      </c>
      <c r="YL62" s="15">
        <v>0</v>
      </c>
      <c r="YM62" s="15">
        <v>0</v>
      </c>
      <c r="YN62" s="15">
        <v>0</v>
      </c>
      <c r="YO62" s="15">
        <v>0</v>
      </c>
      <c r="YP62" s="15">
        <v>0</v>
      </c>
      <c r="YQ62" s="15">
        <v>0</v>
      </c>
      <c r="YR62" s="15">
        <v>0</v>
      </c>
      <c r="YS62" s="15">
        <v>0</v>
      </c>
      <c r="YT62" s="15">
        <v>0</v>
      </c>
      <c r="YU62" s="15">
        <v>0</v>
      </c>
      <c r="YV62" s="15">
        <v>0</v>
      </c>
      <c r="YW62" s="15">
        <v>0</v>
      </c>
      <c r="YX62" s="15">
        <v>0</v>
      </c>
      <c r="YY62" s="15">
        <v>0</v>
      </c>
      <c r="YZ62" s="15">
        <v>0</v>
      </c>
      <c r="ZA62" s="15">
        <v>0</v>
      </c>
      <c r="ZB62" s="15">
        <v>0</v>
      </c>
      <c r="ZC62" s="15">
        <v>0</v>
      </c>
      <c r="ZD62" s="15">
        <v>0</v>
      </c>
      <c r="ZE62" s="15">
        <v>0</v>
      </c>
      <c r="ZF62" s="15">
        <v>0</v>
      </c>
      <c r="ZG62" s="15">
        <v>0</v>
      </c>
      <c r="ZH62" s="15">
        <v>0</v>
      </c>
      <c r="ZI62" s="15">
        <v>0</v>
      </c>
      <c r="ZJ62" s="15">
        <v>0</v>
      </c>
      <c r="ZK62" s="15">
        <v>0</v>
      </c>
      <c r="ZL62" s="15">
        <v>0</v>
      </c>
      <c r="ZM62" s="15">
        <v>0</v>
      </c>
      <c r="ZN62" s="15">
        <v>0</v>
      </c>
      <c r="ZO62" s="15">
        <v>0</v>
      </c>
      <c r="ZP62" s="15">
        <v>0</v>
      </c>
      <c r="ZQ62" s="15">
        <v>0</v>
      </c>
      <c r="ZR62" s="15">
        <v>0</v>
      </c>
      <c r="ZS62" s="15">
        <v>0</v>
      </c>
      <c r="ZT62" s="15">
        <v>0</v>
      </c>
      <c r="ZU62" s="15">
        <v>0</v>
      </c>
      <c r="ZV62" s="15">
        <v>0</v>
      </c>
      <c r="ZW62" s="15">
        <v>0</v>
      </c>
      <c r="ZX62" s="15">
        <v>0</v>
      </c>
      <c r="ZY62" s="15">
        <v>0</v>
      </c>
      <c r="ZZ62" s="15">
        <v>0</v>
      </c>
      <c r="AAA62" s="15">
        <v>0</v>
      </c>
      <c r="AAB62" s="15">
        <v>0</v>
      </c>
      <c r="AAC62" s="15">
        <v>0</v>
      </c>
      <c r="AAD62" s="15">
        <v>0</v>
      </c>
      <c r="AAE62" s="15">
        <v>0</v>
      </c>
      <c r="AAF62" s="15">
        <v>0</v>
      </c>
      <c r="AAG62" s="15">
        <v>0</v>
      </c>
      <c r="AAH62" s="15">
        <v>0</v>
      </c>
      <c r="AAI62" s="15">
        <v>0</v>
      </c>
      <c r="AAJ62" s="15">
        <v>0</v>
      </c>
      <c r="AAK62" s="15">
        <v>0</v>
      </c>
      <c r="AAL62" s="15"/>
      <c r="AAM62" s="15">
        <v>0</v>
      </c>
      <c r="AAN62" s="15">
        <v>0</v>
      </c>
      <c r="AAO62" s="15">
        <v>0</v>
      </c>
      <c r="AAP62" s="15">
        <v>0</v>
      </c>
      <c r="AAQ62" s="15">
        <v>0</v>
      </c>
      <c r="AAR62" s="15">
        <v>0</v>
      </c>
      <c r="AAS62" s="15">
        <v>0</v>
      </c>
      <c r="AAT62" s="15">
        <v>0</v>
      </c>
      <c r="AAU62" s="15">
        <v>0</v>
      </c>
      <c r="AAV62" s="15">
        <v>0</v>
      </c>
      <c r="AAW62" s="15">
        <v>0</v>
      </c>
      <c r="AAX62" s="15"/>
      <c r="AAY62" s="15">
        <v>0</v>
      </c>
      <c r="AAZ62" s="15">
        <v>0</v>
      </c>
      <c r="ABA62" s="15">
        <v>0</v>
      </c>
      <c r="ABB62" s="15">
        <v>0</v>
      </c>
      <c r="ABC62" s="15">
        <v>0</v>
      </c>
      <c r="ABD62" s="15">
        <v>0</v>
      </c>
      <c r="ABE62" s="15">
        <v>0</v>
      </c>
      <c r="ABF62" s="15">
        <v>0</v>
      </c>
      <c r="ABG62" s="15">
        <v>0</v>
      </c>
      <c r="ABH62" s="15">
        <v>0</v>
      </c>
      <c r="ABI62" s="15">
        <v>0</v>
      </c>
      <c r="ABJ62" s="15">
        <v>0</v>
      </c>
      <c r="ABK62" s="15">
        <v>0</v>
      </c>
      <c r="ABL62" s="15">
        <v>0</v>
      </c>
      <c r="ABM62" s="15">
        <v>0</v>
      </c>
      <c r="ABN62" s="15">
        <v>0</v>
      </c>
      <c r="ABO62" s="15">
        <v>0</v>
      </c>
      <c r="ABP62" s="15">
        <v>0</v>
      </c>
      <c r="ABQ62" s="15">
        <v>0</v>
      </c>
      <c r="ABR62" s="15">
        <v>0</v>
      </c>
      <c r="ABS62" s="15">
        <v>0</v>
      </c>
      <c r="ABT62" s="15">
        <v>0</v>
      </c>
      <c r="ABU62" s="15">
        <v>0</v>
      </c>
      <c r="ABV62" s="15">
        <v>0</v>
      </c>
      <c r="ABW62" s="15">
        <v>0</v>
      </c>
      <c r="ABX62" s="15">
        <v>0</v>
      </c>
      <c r="ABY62" s="15">
        <v>0</v>
      </c>
      <c r="ABZ62" s="15">
        <v>0</v>
      </c>
      <c r="ACA62" s="15">
        <v>0</v>
      </c>
      <c r="ACB62" s="15">
        <v>0</v>
      </c>
      <c r="ACC62" s="15">
        <v>0</v>
      </c>
      <c r="ACD62" s="15">
        <v>0</v>
      </c>
      <c r="ACE62" s="15">
        <v>0</v>
      </c>
      <c r="ACF62" s="15">
        <v>0</v>
      </c>
      <c r="ACG62" s="15">
        <v>0</v>
      </c>
      <c r="ACH62" s="15">
        <v>0</v>
      </c>
      <c r="ACI62" s="15">
        <v>0</v>
      </c>
      <c r="ACJ62" s="15">
        <v>0</v>
      </c>
      <c r="ACK62" s="15">
        <v>0</v>
      </c>
      <c r="ACL62" s="15">
        <v>0</v>
      </c>
      <c r="ACM62" s="15">
        <v>0</v>
      </c>
      <c r="ACN62" s="15">
        <v>0</v>
      </c>
      <c r="ACO62" s="15">
        <v>0</v>
      </c>
      <c r="ACP62" s="15">
        <v>0</v>
      </c>
      <c r="ACQ62" s="15">
        <v>0</v>
      </c>
      <c r="ACR62" s="15">
        <v>0</v>
      </c>
      <c r="ACS62" s="15">
        <v>0</v>
      </c>
      <c r="ACT62" s="15">
        <v>0</v>
      </c>
      <c r="ACU62" s="15">
        <v>0</v>
      </c>
      <c r="ACV62" s="15">
        <v>0</v>
      </c>
      <c r="ACW62" s="15">
        <v>0</v>
      </c>
      <c r="ACX62" s="15">
        <v>0</v>
      </c>
      <c r="ACY62" s="15">
        <v>0</v>
      </c>
      <c r="ACZ62" s="15">
        <v>0</v>
      </c>
      <c r="ADA62" s="15">
        <v>0</v>
      </c>
      <c r="ADB62" s="15">
        <v>0</v>
      </c>
      <c r="ADC62" s="15">
        <v>0</v>
      </c>
      <c r="ADD62" s="15">
        <v>0</v>
      </c>
      <c r="ADE62" s="15">
        <v>0</v>
      </c>
      <c r="ADF62" s="15">
        <v>0</v>
      </c>
      <c r="ADG62" s="15">
        <v>0</v>
      </c>
      <c r="ADH62" s="15"/>
      <c r="ADI62" s="15">
        <v>0</v>
      </c>
      <c r="ADJ62" s="15">
        <v>0</v>
      </c>
      <c r="ADK62" s="15">
        <v>0</v>
      </c>
      <c r="ADL62" s="15">
        <v>0</v>
      </c>
      <c r="ADM62" s="15">
        <v>0</v>
      </c>
      <c r="ADN62" s="15">
        <v>0</v>
      </c>
      <c r="ADO62" s="15">
        <v>0</v>
      </c>
      <c r="ADP62" s="15">
        <v>0</v>
      </c>
      <c r="ADQ62" s="15">
        <v>0</v>
      </c>
      <c r="ADR62" s="15">
        <v>0</v>
      </c>
      <c r="ADS62" s="15">
        <v>0</v>
      </c>
      <c r="ADT62" s="15">
        <v>0</v>
      </c>
      <c r="ADU62" s="15">
        <v>0</v>
      </c>
      <c r="ADV62" s="15">
        <v>0</v>
      </c>
      <c r="ADW62" s="15">
        <v>0</v>
      </c>
      <c r="ADX62" s="15">
        <v>0</v>
      </c>
      <c r="ADY62" s="15">
        <v>0</v>
      </c>
      <c r="ADZ62" s="15">
        <v>0</v>
      </c>
      <c r="AEA62" s="15">
        <v>0</v>
      </c>
      <c r="AEB62" s="15">
        <v>0</v>
      </c>
      <c r="AEC62" s="15">
        <v>0</v>
      </c>
      <c r="AED62" s="15">
        <v>0</v>
      </c>
      <c r="AEE62" s="15">
        <v>0</v>
      </c>
      <c r="AEF62" s="15">
        <v>0</v>
      </c>
      <c r="AEG62" s="15">
        <v>0</v>
      </c>
      <c r="AEH62" s="15">
        <v>0</v>
      </c>
      <c r="AEI62" s="15">
        <v>0</v>
      </c>
      <c r="AEJ62" s="15">
        <v>0</v>
      </c>
      <c r="AEK62" s="15">
        <v>0</v>
      </c>
      <c r="AEL62" s="15">
        <v>0</v>
      </c>
      <c r="AEM62" s="15">
        <v>0</v>
      </c>
      <c r="AEN62" s="15">
        <v>0</v>
      </c>
      <c r="AEO62" s="15">
        <v>0</v>
      </c>
      <c r="AEP62" s="15">
        <v>0</v>
      </c>
      <c r="AEQ62" s="15">
        <v>0</v>
      </c>
      <c r="AER62" s="15">
        <v>0</v>
      </c>
      <c r="AES62" s="15">
        <v>0</v>
      </c>
      <c r="AET62" s="15">
        <v>0</v>
      </c>
      <c r="AEU62" s="15">
        <v>0</v>
      </c>
      <c r="AEV62" s="15">
        <v>0</v>
      </c>
      <c r="AEW62" s="15">
        <v>0</v>
      </c>
      <c r="AEX62" s="15">
        <v>0</v>
      </c>
      <c r="AEY62" s="15">
        <v>0</v>
      </c>
      <c r="AEZ62" s="15">
        <v>0</v>
      </c>
      <c r="AFA62" s="15">
        <v>0</v>
      </c>
      <c r="AFB62" s="15">
        <v>0</v>
      </c>
      <c r="AFC62" s="15">
        <v>0</v>
      </c>
      <c r="AFD62" s="15">
        <v>0</v>
      </c>
      <c r="AFE62" s="15">
        <v>0</v>
      </c>
      <c r="AFF62" s="15">
        <v>0</v>
      </c>
      <c r="AFG62" s="15">
        <v>0</v>
      </c>
      <c r="AFH62" s="15">
        <v>0</v>
      </c>
      <c r="AFI62" s="15">
        <v>0</v>
      </c>
      <c r="AFJ62" s="15">
        <v>0</v>
      </c>
      <c r="AFK62" s="15">
        <v>0</v>
      </c>
      <c r="AFL62" s="15">
        <v>0</v>
      </c>
      <c r="AFM62" s="15">
        <v>0</v>
      </c>
      <c r="AFN62" s="15">
        <v>0</v>
      </c>
      <c r="AFO62" s="15">
        <v>0</v>
      </c>
      <c r="AFP62" s="15">
        <v>0</v>
      </c>
      <c r="AFQ62" s="15">
        <v>0</v>
      </c>
      <c r="AFR62" s="15"/>
      <c r="AFS62" s="15">
        <v>0</v>
      </c>
      <c r="AFT62" s="15">
        <v>0</v>
      </c>
      <c r="AFU62" s="15">
        <v>0</v>
      </c>
      <c r="AFV62" s="15">
        <v>0</v>
      </c>
      <c r="AFW62" s="15">
        <v>0</v>
      </c>
      <c r="AFX62" s="15">
        <v>0</v>
      </c>
      <c r="AFY62" s="15">
        <v>0</v>
      </c>
      <c r="AFZ62" s="15">
        <v>0</v>
      </c>
      <c r="AGA62" s="15">
        <v>0</v>
      </c>
      <c r="AGB62" s="15">
        <v>0</v>
      </c>
      <c r="AGC62" s="15">
        <v>0</v>
      </c>
      <c r="AGD62" s="15">
        <v>0</v>
      </c>
      <c r="AGE62" s="15">
        <v>0</v>
      </c>
      <c r="AGF62" s="15">
        <v>0</v>
      </c>
      <c r="AGG62" s="15">
        <v>0</v>
      </c>
      <c r="AGH62" s="15">
        <v>0</v>
      </c>
      <c r="AGI62" s="15">
        <v>0</v>
      </c>
      <c r="AGJ62" s="15">
        <v>0</v>
      </c>
      <c r="AGK62" s="15">
        <v>0</v>
      </c>
      <c r="AGL62" s="15">
        <v>0</v>
      </c>
      <c r="AGM62" s="15">
        <v>0</v>
      </c>
      <c r="AGN62" s="15">
        <v>0</v>
      </c>
      <c r="AGO62" s="15">
        <v>0</v>
      </c>
      <c r="AGP62" s="15">
        <v>0</v>
      </c>
      <c r="AGQ62" s="15">
        <v>0</v>
      </c>
      <c r="AGR62" s="15">
        <v>0</v>
      </c>
      <c r="AGS62" s="15">
        <v>0</v>
      </c>
      <c r="AGT62" s="15">
        <v>0</v>
      </c>
      <c r="AGU62" s="15">
        <v>0</v>
      </c>
      <c r="AGV62" s="15">
        <v>0</v>
      </c>
      <c r="AGW62" s="15">
        <v>0</v>
      </c>
      <c r="AGX62" s="15">
        <v>0</v>
      </c>
      <c r="AGY62" s="15">
        <v>0</v>
      </c>
      <c r="AGZ62" s="15">
        <v>0</v>
      </c>
      <c r="AHA62" s="15">
        <v>0</v>
      </c>
      <c r="AHB62" s="15">
        <v>0</v>
      </c>
      <c r="AHC62" s="15">
        <v>0</v>
      </c>
      <c r="AHD62" s="15">
        <v>0</v>
      </c>
      <c r="AHE62" s="15">
        <v>0</v>
      </c>
      <c r="AHF62" s="15">
        <v>0</v>
      </c>
      <c r="AHG62" s="15">
        <v>0</v>
      </c>
      <c r="AHH62" s="15">
        <v>0</v>
      </c>
      <c r="AHI62" s="15">
        <v>0</v>
      </c>
      <c r="AHJ62" s="15">
        <v>0</v>
      </c>
      <c r="AHK62" s="15">
        <v>0</v>
      </c>
      <c r="AHL62" s="15">
        <v>0</v>
      </c>
      <c r="AHM62" s="15">
        <v>0</v>
      </c>
      <c r="AHN62" s="15">
        <v>0</v>
      </c>
      <c r="AHO62" s="15">
        <v>0</v>
      </c>
      <c r="AHP62" s="15">
        <v>0</v>
      </c>
      <c r="AHQ62" s="15">
        <v>0</v>
      </c>
      <c r="AHR62" s="15">
        <v>0</v>
      </c>
      <c r="AHS62" s="15">
        <v>0</v>
      </c>
      <c r="AHT62" s="15">
        <v>0</v>
      </c>
      <c r="AHU62" s="15">
        <v>0</v>
      </c>
      <c r="AHV62" s="15">
        <v>0</v>
      </c>
      <c r="AHW62" s="15">
        <v>0</v>
      </c>
      <c r="AHX62" s="15">
        <v>0</v>
      </c>
      <c r="AHY62" s="15">
        <v>0</v>
      </c>
      <c r="AHZ62" s="15">
        <v>0</v>
      </c>
      <c r="AIA62" s="15">
        <v>0</v>
      </c>
      <c r="AIB62" s="15">
        <v>0</v>
      </c>
      <c r="AIC62" s="15">
        <v>0</v>
      </c>
      <c r="AID62" s="15">
        <v>0</v>
      </c>
      <c r="AIE62" s="15">
        <v>0</v>
      </c>
      <c r="AIF62" s="15">
        <v>0</v>
      </c>
      <c r="AIG62" s="15">
        <v>0</v>
      </c>
      <c r="AIH62" s="15">
        <v>0</v>
      </c>
      <c r="AII62" s="15">
        <v>0</v>
      </c>
      <c r="AIJ62" s="15">
        <v>0</v>
      </c>
      <c r="AIK62" s="15">
        <v>0</v>
      </c>
      <c r="AIL62" s="15">
        <v>0</v>
      </c>
      <c r="AIM62" s="15">
        <v>0</v>
      </c>
      <c r="AIN62" s="15">
        <v>0</v>
      </c>
      <c r="AIO62" s="15">
        <v>0</v>
      </c>
      <c r="AIP62" s="15">
        <v>0</v>
      </c>
      <c r="AIQ62" s="15">
        <v>0</v>
      </c>
      <c r="AIR62" s="15">
        <v>0</v>
      </c>
      <c r="AIS62" s="15">
        <v>0</v>
      </c>
      <c r="AIT62" s="15">
        <v>0</v>
      </c>
      <c r="AIU62" s="15">
        <v>0</v>
      </c>
      <c r="AIV62" s="15">
        <v>0</v>
      </c>
      <c r="AIW62" s="15">
        <v>0</v>
      </c>
      <c r="AIX62" s="15">
        <v>0</v>
      </c>
      <c r="AIY62" s="15">
        <v>0</v>
      </c>
      <c r="AIZ62" s="15">
        <v>0</v>
      </c>
      <c r="AJA62" s="15">
        <v>0</v>
      </c>
      <c r="AJB62" s="15">
        <v>0</v>
      </c>
      <c r="AJC62" s="15">
        <v>0</v>
      </c>
      <c r="AJD62" s="15">
        <v>0</v>
      </c>
      <c r="AJE62" s="15">
        <v>0</v>
      </c>
      <c r="AJF62" s="15"/>
      <c r="AJG62" s="15">
        <v>0</v>
      </c>
      <c r="AJH62" s="15">
        <v>0</v>
      </c>
      <c r="AJI62" s="15">
        <v>0</v>
      </c>
      <c r="AJJ62" s="15">
        <v>0</v>
      </c>
      <c r="AJK62" s="15">
        <v>0</v>
      </c>
      <c r="AJL62" s="15">
        <v>0</v>
      </c>
      <c r="AJM62" s="15">
        <v>0</v>
      </c>
      <c r="AJN62" s="15"/>
      <c r="AJO62" s="15">
        <v>0</v>
      </c>
      <c r="AJP62" s="15">
        <v>0</v>
      </c>
      <c r="AJQ62" s="15">
        <v>0</v>
      </c>
      <c r="AJR62" s="15">
        <v>0</v>
      </c>
      <c r="AJS62" s="15">
        <v>0</v>
      </c>
      <c r="AJT62" s="15">
        <v>0</v>
      </c>
      <c r="AJU62" s="15">
        <v>0</v>
      </c>
      <c r="AJV62" s="15">
        <v>0</v>
      </c>
      <c r="AJW62" s="15">
        <v>0</v>
      </c>
      <c r="AJX62" s="15"/>
      <c r="AJY62" s="15">
        <v>0</v>
      </c>
      <c r="AJZ62" s="15">
        <v>0</v>
      </c>
      <c r="AKA62" s="15">
        <v>0</v>
      </c>
      <c r="AKB62" s="15">
        <v>0</v>
      </c>
      <c r="AKC62" s="15">
        <v>0</v>
      </c>
      <c r="AKD62" s="15">
        <v>0</v>
      </c>
      <c r="AKE62" s="15">
        <v>0</v>
      </c>
      <c r="AKF62" s="15">
        <v>0</v>
      </c>
      <c r="AKG62" s="15">
        <v>0</v>
      </c>
      <c r="AKH62" s="15">
        <v>0</v>
      </c>
      <c r="AKI62" s="15"/>
      <c r="AKJ62" s="15">
        <v>0</v>
      </c>
      <c r="AKK62" s="15">
        <v>0</v>
      </c>
      <c r="AKL62" s="15">
        <v>0</v>
      </c>
      <c r="AKM62" s="15">
        <v>0</v>
      </c>
      <c r="AKN62" s="15">
        <v>0</v>
      </c>
      <c r="AKO62" s="15">
        <v>0</v>
      </c>
      <c r="AKP62" s="15">
        <v>0</v>
      </c>
      <c r="AKQ62" s="15">
        <v>0</v>
      </c>
      <c r="AKR62" s="15">
        <v>0</v>
      </c>
      <c r="AKS62" s="15">
        <v>0</v>
      </c>
      <c r="AKT62" s="15">
        <v>0</v>
      </c>
      <c r="AKU62" s="15">
        <v>0</v>
      </c>
      <c r="AKV62" s="15">
        <v>0</v>
      </c>
      <c r="AKW62" s="15">
        <v>0</v>
      </c>
      <c r="AKX62" s="15"/>
      <c r="AKY62" s="15">
        <v>0</v>
      </c>
      <c r="AKZ62" s="15">
        <v>0</v>
      </c>
      <c r="ALA62" s="15">
        <v>0</v>
      </c>
      <c r="ALB62" s="15">
        <v>0</v>
      </c>
      <c r="ALC62" s="15">
        <v>0</v>
      </c>
      <c r="ALD62" s="15">
        <v>0</v>
      </c>
      <c r="ALE62" s="15">
        <v>0</v>
      </c>
      <c r="ALF62" s="15">
        <v>0</v>
      </c>
      <c r="ALG62" s="15">
        <v>0</v>
      </c>
      <c r="ALH62" s="15">
        <v>0</v>
      </c>
      <c r="ALI62" s="15">
        <v>0</v>
      </c>
      <c r="ALJ62" s="15">
        <v>0</v>
      </c>
      <c r="ALK62" s="15">
        <v>0</v>
      </c>
      <c r="ALL62" s="15">
        <v>0</v>
      </c>
      <c r="ALM62" s="15"/>
      <c r="ALN62" s="15">
        <v>0</v>
      </c>
      <c r="ALO62" s="15">
        <v>0</v>
      </c>
      <c r="ALP62" s="15">
        <v>0</v>
      </c>
      <c r="ALQ62" s="15">
        <v>0</v>
      </c>
      <c r="ALR62" s="15">
        <v>0</v>
      </c>
      <c r="ALS62" s="15">
        <v>0</v>
      </c>
      <c r="ALT62" s="15">
        <v>0</v>
      </c>
      <c r="ALU62" s="15">
        <v>0</v>
      </c>
      <c r="ALV62" s="15">
        <v>0</v>
      </c>
      <c r="ALW62" s="15">
        <v>0</v>
      </c>
      <c r="ALX62" s="15">
        <v>0</v>
      </c>
      <c r="ALY62" s="15">
        <v>0</v>
      </c>
      <c r="ALZ62" s="15">
        <v>0</v>
      </c>
      <c r="AMA62" s="15">
        <v>0</v>
      </c>
      <c r="AMB62" s="15">
        <v>0</v>
      </c>
      <c r="AMC62" s="15"/>
      <c r="AMD62" s="15">
        <v>0</v>
      </c>
      <c r="AME62" s="15">
        <v>0</v>
      </c>
      <c r="AMF62" s="15">
        <v>0</v>
      </c>
      <c r="AMG62" s="15">
        <v>0</v>
      </c>
      <c r="AMH62" s="15">
        <v>0</v>
      </c>
      <c r="AMI62" s="15">
        <v>0</v>
      </c>
      <c r="AMJ62" s="15">
        <v>0</v>
      </c>
      <c r="AMK62" s="15">
        <v>0</v>
      </c>
      <c r="AML62" s="15">
        <v>0</v>
      </c>
      <c r="AMM62" s="15">
        <v>0</v>
      </c>
      <c r="AMN62" s="15">
        <v>0</v>
      </c>
      <c r="AMO62" s="15">
        <v>0</v>
      </c>
      <c r="AMP62" s="15">
        <v>0</v>
      </c>
      <c r="AMQ62" s="15">
        <v>0</v>
      </c>
      <c r="AMR62" s="15">
        <v>0</v>
      </c>
      <c r="AMS62" s="15">
        <v>0</v>
      </c>
      <c r="AMT62" s="15">
        <v>0</v>
      </c>
      <c r="AMU62" s="15">
        <v>0</v>
      </c>
      <c r="AMV62" s="15">
        <v>0</v>
      </c>
      <c r="AMW62" s="15">
        <v>0</v>
      </c>
      <c r="AMX62" s="15">
        <v>0</v>
      </c>
      <c r="AMY62" s="15">
        <v>0</v>
      </c>
      <c r="AMZ62" s="15">
        <v>0</v>
      </c>
      <c r="ANA62" s="15">
        <v>0</v>
      </c>
      <c r="ANB62" s="15">
        <v>0</v>
      </c>
      <c r="ANC62" s="15">
        <v>0</v>
      </c>
      <c r="AND62" s="15">
        <v>0</v>
      </c>
      <c r="ANE62" s="15"/>
      <c r="ANF62" s="15"/>
      <c r="ANG62" s="15"/>
      <c r="ANH62" s="15"/>
      <c r="ANI62" s="15"/>
      <c r="ANJ62" s="15"/>
      <c r="ANK62" s="15"/>
      <c r="ANL62" s="15"/>
      <c r="ANM62" s="15"/>
      <c r="ANN62" s="15"/>
      <c r="ANO62" s="15"/>
      <c r="ANP62" s="15"/>
      <c r="ANQ62" s="15"/>
      <c r="ANR62" s="15"/>
      <c r="ANS62" s="15"/>
      <c r="ANT62" s="15"/>
      <c r="ANU62" s="15"/>
      <c r="ANV62" s="15"/>
      <c r="ANW62" s="15"/>
      <c r="ANX62" s="15"/>
      <c r="ANY62" s="15"/>
      <c r="ANZ62" s="15"/>
      <c r="AOA62" s="15"/>
      <c r="AOB62" s="15"/>
      <c r="AOC62" s="15"/>
      <c r="AOD62" s="15"/>
      <c r="AOE62" s="15"/>
      <c r="AOF62" s="15"/>
      <c r="AOG62" s="15"/>
      <c r="AOH62" s="15"/>
      <c r="AOI62" s="15"/>
      <c r="AOJ62" s="15"/>
      <c r="AOK62" s="15"/>
      <c r="AOL62" s="15"/>
      <c r="AOM62" s="15"/>
      <c r="AON62" s="15"/>
      <c r="AOO62" s="15"/>
      <c r="AOP62" s="15"/>
      <c r="AOQ62" s="15"/>
      <c r="AOR62" s="15"/>
      <c r="AOS62" s="15"/>
      <c r="AOT62" s="15"/>
      <c r="AOU62" s="15"/>
      <c r="AOV62" s="15"/>
      <c r="AOW62" s="15"/>
      <c r="AOX62" s="15"/>
      <c r="AOY62" s="15"/>
      <c r="AOZ62" s="15"/>
      <c r="APA62" s="15"/>
      <c r="APB62" s="15"/>
      <c r="APC62" s="15"/>
      <c r="APD62" s="15"/>
      <c r="APE62" s="15"/>
      <c r="APF62" s="15"/>
      <c r="APG62" s="15"/>
      <c r="APH62" s="15"/>
      <c r="API62" s="15"/>
      <c r="APJ62" s="15"/>
      <c r="APK62" s="15"/>
      <c r="APL62" s="15"/>
      <c r="APM62" s="15"/>
      <c r="APN62" s="15"/>
      <c r="APO62" s="15"/>
      <c r="APP62" s="15"/>
      <c r="APQ62" s="15"/>
      <c r="APR62" s="15"/>
      <c r="APS62" s="15"/>
      <c r="APT62" s="15"/>
      <c r="APU62" s="15"/>
      <c r="APV62" s="15"/>
      <c r="APW62" s="15"/>
      <c r="APX62" s="15"/>
      <c r="APY62" s="15"/>
      <c r="APZ62" s="15"/>
      <c r="AQA62" s="15"/>
      <c r="AQB62" s="15"/>
    </row>
    <row r="63" spans="1:1120" s="17" customFormat="1" ht="15" customHeight="1" x14ac:dyDescent="0.25">
      <c r="A63" s="11" t="s">
        <v>3</v>
      </c>
      <c r="B63" s="6" t="s">
        <v>51</v>
      </c>
      <c r="C63" s="15">
        <v>0</v>
      </c>
      <c r="D63" s="15">
        <v>0</v>
      </c>
      <c r="E63" s="15">
        <v>0</v>
      </c>
      <c r="F63" s="15">
        <v>0</v>
      </c>
      <c r="G63" s="15">
        <v>0</v>
      </c>
      <c r="H63" s="15">
        <v>0</v>
      </c>
      <c r="I63" s="15">
        <v>0</v>
      </c>
      <c r="J63" s="15"/>
      <c r="K63" s="15">
        <v>0</v>
      </c>
      <c r="L63" s="15">
        <v>0</v>
      </c>
      <c r="M63" s="15">
        <v>0</v>
      </c>
      <c r="N63" s="15">
        <v>0</v>
      </c>
      <c r="O63" s="15">
        <v>0</v>
      </c>
      <c r="P63" s="15">
        <v>0</v>
      </c>
      <c r="Q63" s="15"/>
      <c r="R63" s="15">
        <v>0</v>
      </c>
      <c r="S63" s="15">
        <v>0</v>
      </c>
      <c r="T63" s="15">
        <v>0</v>
      </c>
      <c r="U63" s="15">
        <v>0</v>
      </c>
      <c r="V63" s="15">
        <v>0</v>
      </c>
      <c r="W63" s="15">
        <v>0</v>
      </c>
      <c r="X63" s="15"/>
      <c r="Y63" s="15">
        <v>0</v>
      </c>
      <c r="Z63" s="15">
        <v>0</v>
      </c>
      <c r="AA63" s="15">
        <v>0</v>
      </c>
      <c r="AB63" s="15">
        <v>0</v>
      </c>
      <c r="AC63" s="15">
        <v>0</v>
      </c>
      <c r="AD63" s="15">
        <v>0</v>
      </c>
      <c r="AE63" s="15"/>
      <c r="AF63" s="15">
        <v>0</v>
      </c>
      <c r="AG63" s="15">
        <v>0</v>
      </c>
      <c r="AH63" s="15">
        <v>0</v>
      </c>
      <c r="AI63" s="15">
        <v>0</v>
      </c>
      <c r="AJ63" s="15">
        <v>0</v>
      </c>
      <c r="AK63" s="15">
        <v>0</v>
      </c>
      <c r="AL63" s="15"/>
      <c r="AM63" s="15">
        <v>0</v>
      </c>
      <c r="AN63" s="15">
        <v>0</v>
      </c>
      <c r="AO63" s="15">
        <v>0</v>
      </c>
      <c r="AP63" s="15">
        <v>0</v>
      </c>
      <c r="AQ63" s="15">
        <v>0</v>
      </c>
      <c r="AR63" s="15">
        <v>0</v>
      </c>
      <c r="AS63" s="15">
        <v>0</v>
      </c>
      <c r="AT63" s="15">
        <v>0</v>
      </c>
      <c r="AU63" s="15">
        <v>0</v>
      </c>
      <c r="AV63" s="15">
        <v>0</v>
      </c>
      <c r="AW63" s="15">
        <v>0</v>
      </c>
      <c r="AX63" s="15">
        <v>0</v>
      </c>
      <c r="AY63" s="15">
        <v>0</v>
      </c>
      <c r="AZ63" s="15">
        <v>0</v>
      </c>
      <c r="BA63" s="15">
        <v>0</v>
      </c>
      <c r="BB63" s="15">
        <v>0</v>
      </c>
      <c r="BC63" s="15">
        <v>0</v>
      </c>
      <c r="BD63" s="15">
        <v>0</v>
      </c>
      <c r="BE63" s="15">
        <v>0</v>
      </c>
      <c r="BF63" s="15">
        <v>0</v>
      </c>
      <c r="BG63" s="15">
        <v>0</v>
      </c>
      <c r="BH63" s="15">
        <v>0</v>
      </c>
      <c r="BI63" s="15">
        <v>0</v>
      </c>
      <c r="BJ63" s="15">
        <v>0</v>
      </c>
      <c r="BK63" s="15">
        <v>0</v>
      </c>
      <c r="BL63" s="15">
        <v>0</v>
      </c>
      <c r="BM63" s="15">
        <v>0</v>
      </c>
      <c r="BN63" s="15">
        <v>0</v>
      </c>
      <c r="BO63" s="15">
        <v>0</v>
      </c>
      <c r="BP63" s="15">
        <v>0</v>
      </c>
      <c r="BQ63" s="15">
        <v>0</v>
      </c>
      <c r="BR63" s="15">
        <v>0</v>
      </c>
      <c r="BS63" s="15">
        <v>0</v>
      </c>
      <c r="BT63" s="15">
        <v>0</v>
      </c>
      <c r="BU63" s="15">
        <v>0</v>
      </c>
      <c r="BV63" s="15">
        <v>0</v>
      </c>
      <c r="BW63" s="15">
        <v>0</v>
      </c>
      <c r="BX63" s="15">
        <v>0</v>
      </c>
      <c r="BY63" s="15">
        <v>0</v>
      </c>
      <c r="BZ63" s="15">
        <v>0</v>
      </c>
      <c r="CA63" s="15">
        <v>0</v>
      </c>
      <c r="CB63" s="15">
        <v>0</v>
      </c>
      <c r="CC63" s="15">
        <v>0</v>
      </c>
      <c r="CD63" s="15">
        <v>0</v>
      </c>
      <c r="CE63" s="15">
        <v>0</v>
      </c>
      <c r="CF63" s="15">
        <v>0</v>
      </c>
      <c r="CG63" s="15">
        <v>0</v>
      </c>
      <c r="CH63" s="15">
        <v>0</v>
      </c>
      <c r="CI63" s="15">
        <v>0</v>
      </c>
      <c r="CJ63" s="15">
        <v>0</v>
      </c>
      <c r="CK63" s="15">
        <v>0</v>
      </c>
      <c r="CL63" s="15">
        <v>0</v>
      </c>
      <c r="CM63" s="15">
        <v>0</v>
      </c>
      <c r="CN63" s="15">
        <v>0</v>
      </c>
      <c r="CO63" s="15">
        <v>0</v>
      </c>
      <c r="CP63" s="15">
        <v>0</v>
      </c>
      <c r="CQ63" s="15">
        <v>0</v>
      </c>
      <c r="CR63" s="15">
        <v>0</v>
      </c>
      <c r="CS63" s="15">
        <v>0</v>
      </c>
      <c r="CT63" s="15">
        <v>0</v>
      </c>
      <c r="CU63" s="15">
        <v>0</v>
      </c>
      <c r="CV63" s="15">
        <v>0</v>
      </c>
      <c r="CW63" s="15">
        <v>0</v>
      </c>
      <c r="CX63" s="15">
        <v>0</v>
      </c>
      <c r="CY63" s="15">
        <v>0</v>
      </c>
      <c r="CZ63" s="15">
        <v>0</v>
      </c>
      <c r="DA63" s="15">
        <v>0</v>
      </c>
      <c r="DB63" s="15">
        <v>0</v>
      </c>
      <c r="DC63" s="15">
        <v>0</v>
      </c>
      <c r="DD63" s="15">
        <v>0</v>
      </c>
      <c r="DE63" s="15">
        <v>0</v>
      </c>
      <c r="DF63" s="15">
        <v>0</v>
      </c>
      <c r="DG63" s="15">
        <v>0</v>
      </c>
      <c r="DH63" s="15">
        <v>0</v>
      </c>
      <c r="DI63" s="15">
        <v>0</v>
      </c>
      <c r="DJ63" s="15">
        <v>0</v>
      </c>
      <c r="DK63" s="15">
        <v>0</v>
      </c>
      <c r="DL63" s="15">
        <v>0</v>
      </c>
      <c r="DM63" s="15">
        <v>0</v>
      </c>
      <c r="DN63" s="15">
        <v>0</v>
      </c>
      <c r="DO63" s="15">
        <v>0</v>
      </c>
      <c r="DP63" s="15">
        <v>0</v>
      </c>
      <c r="DQ63" s="15">
        <v>0</v>
      </c>
      <c r="DR63" s="15">
        <v>0</v>
      </c>
      <c r="DS63" s="15">
        <v>0</v>
      </c>
      <c r="DT63" s="15">
        <v>0</v>
      </c>
      <c r="DU63" s="15">
        <v>0</v>
      </c>
      <c r="DV63" s="15">
        <v>0</v>
      </c>
      <c r="DW63" s="15">
        <v>0</v>
      </c>
      <c r="DX63" s="15">
        <v>0</v>
      </c>
      <c r="DY63" s="15">
        <v>0</v>
      </c>
      <c r="DZ63" s="15">
        <v>0</v>
      </c>
      <c r="EA63" s="15">
        <v>0</v>
      </c>
      <c r="EB63" s="15">
        <v>0</v>
      </c>
      <c r="EC63" s="15">
        <v>0</v>
      </c>
      <c r="ED63" s="15">
        <v>0</v>
      </c>
      <c r="EE63" s="15">
        <v>0</v>
      </c>
      <c r="EF63" s="15">
        <v>0</v>
      </c>
      <c r="EG63" s="15">
        <v>0</v>
      </c>
      <c r="EH63" s="15">
        <v>0</v>
      </c>
      <c r="EI63" s="15">
        <v>0</v>
      </c>
      <c r="EJ63" s="15">
        <v>0</v>
      </c>
      <c r="EK63" s="15">
        <v>0</v>
      </c>
      <c r="EL63" s="15">
        <v>0</v>
      </c>
      <c r="EM63" s="15">
        <v>0</v>
      </c>
      <c r="EN63" s="15">
        <v>0</v>
      </c>
      <c r="EO63" s="15">
        <v>0</v>
      </c>
      <c r="EP63" s="15">
        <v>0</v>
      </c>
      <c r="EQ63" s="15">
        <v>0</v>
      </c>
      <c r="ER63" s="15">
        <v>0</v>
      </c>
      <c r="ES63" s="15">
        <v>0</v>
      </c>
      <c r="ET63" s="15">
        <v>0</v>
      </c>
      <c r="EU63" s="15">
        <v>0</v>
      </c>
      <c r="EV63" s="15">
        <v>0</v>
      </c>
      <c r="EW63" s="15">
        <v>0</v>
      </c>
      <c r="EX63" s="15">
        <v>0</v>
      </c>
      <c r="EY63" s="15">
        <v>0</v>
      </c>
      <c r="EZ63" s="15">
        <v>0</v>
      </c>
      <c r="FA63" s="15">
        <v>0</v>
      </c>
      <c r="FB63" s="15">
        <v>0</v>
      </c>
      <c r="FC63" s="15">
        <v>0</v>
      </c>
      <c r="FD63" s="15"/>
      <c r="FE63" s="15">
        <v>0</v>
      </c>
      <c r="FF63" s="15">
        <v>0</v>
      </c>
      <c r="FG63" s="15">
        <v>0</v>
      </c>
      <c r="FH63" s="15">
        <v>0</v>
      </c>
      <c r="FI63" s="15">
        <v>0</v>
      </c>
      <c r="FJ63" s="15">
        <v>0</v>
      </c>
      <c r="FK63" s="15">
        <v>0</v>
      </c>
      <c r="FL63" s="15">
        <v>0</v>
      </c>
      <c r="FM63" s="15">
        <v>0</v>
      </c>
      <c r="FN63" s="15">
        <v>0</v>
      </c>
      <c r="FO63" s="15">
        <v>0</v>
      </c>
      <c r="FP63" s="15">
        <v>0</v>
      </c>
      <c r="FQ63" s="15">
        <v>0</v>
      </c>
      <c r="FR63" s="15">
        <v>0</v>
      </c>
      <c r="FS63" s="15">
        <v>0</v>
      </c>
      <c r="FT63" s="15">
        <v>0</v>
      </c>
      <c r="FU63" s="15">
        <v>0</v>
      </c>
      <c r="FV63" s="15">
        <v>0</v>
      </c>
      <c r="FW63" s="15">
        <v>0</v>
      </c>
      <c r="FX63" s="15">
        <v>0</v>
      </c>
      <c r="FY63" s="15">
        <v>0</v>
      </c>
      <c r="FZ63" s="15">
        <v>0</v>
      </c>
      <c r="GA63" s="15">
        <v>0</v>
      </c>
      <c r="GB63" s="15">
        <v>0</v>
      </c>
      <c r="GC63" s="15">
        <v>0</v>
      </c>
      <c r="GD63" s="15">
        <v>0</v>
      </c>
      <c r="GE63" s="15">
        <v>0</v>
      </c>
      <c r="GF63" s="15">
        <v>0</v>
      </c>
      <c r="GG63" s="15">
        <v>0</v>
      </c>
      <c r="GH63" s="15">
        <v>0</v>
      </c>
      <c r="GI63" s="15">
        <v>0</v>
      </c>
      <c r="GJ63" s="15">
        <v>0</v>
      </c>
      <c r="GK63" s="15">
        <v>0</v>
      </c>
      <c r="GL63" s="15">
        <v>0</v>
      </c>
      <c r="GM63" s="15">
        <v>0</v>
      </c>
      <c r="GN63" s="15">
        <v>0</v>
      </c>
      <c r="GO63" s="15">
        <v>0</v>
      </c>
      <c r="GP63" s="15">
        <v>0</v>
      </c>
      <c r="GQ63" s="15">
        <v>0</v>
      </c>
      <c r="GR63" s="15">
        <v>0</v>
      </c>
      <c r="GS63" s="15">
        <v>0</v>
      </c>
      <c r="GT63" s="15">
        <v>0</v>
      </c>
      <c r="GU63" s="15">
        <v>0</v>
      </c>
      <c r="GV63" s="15">
        <v>0</v>
      </c>
      <c r="GW63" s="15">
        <v>0</v>
      </c>
      <c r="GX63" s="15">
        <v>0</v>
      </c>
      <c r="GY63" s="15">
        <v>0</v>
      </c>
      <c r="GZ63" s="15">
        <v>0</v>
      </c>
      <c r="HA63" s="15">
        <v>0</v>
      </c>
      <c r="HB63" s="15">
        <v>0</v>
      </c>
      <c r="HC63" s="15">
        <v>0</v>
      </c>
      <c r="HD63" s="15">
        <v>0</v>
      </c>
      <c r="HE63" s="15">
        <v>0</v>
      </c>
      <c r="HF63" s="15">
        <v>0</v>
      </c>
      <c r="HG63" s="15">
        <v>0</v>
      </c>
      <c r="HH63" s="15">
        <v>0</v>
      </c>
      <c r="HI63" s="15">
        <v>0</v>
      </c>
      <c r="HJ63" s="15">
        <v>0</v>
      </c>
      <c r="HK63" s="15">
        <v>0</v>
      </c>
      <c r="HL63" s="15">
        <v>0</v>
      </c>
      <c r="HM63" s="15">
        <v>0</v>
      </c>
      <c r="HN63" s="15">
        <v>0</v>
      </c>
      <c r="HO63" s="15">
        <v>0</v>
      </c>
      <c r="HP63" s="15">
        <v>0</v>
      </c>
      <c r="HQ63" s="15">
        <v>0</v>
      </c>
      <c r="HR63" s="15">
        <v>0</v>
      </c>
      <c r="HS63" s="15">
        <v>0</v>
      </c>
      <c r="HT63" s="15">
        <v>0</v>
      </c>
      <c r="HU63" s="15">
        <v>0</v>
      </c>
      <c r="HV63" s="15">
        <v>0</v>
      </c>
      <c r="HW63" s="15">
        <v>0</v>
      </c>
      <c r="HX63" s="15">
        <v>0</v>
      </c>
      <c r="HY63" s="15">
        <v>0</v>
      </c>
      <c r="HZ63" s="15">
        <v>0</v>
      </c>
      <c r="IA63" s="15">
        <v>0</v>
      </c>
      <c r="IB63" s="15"/>
      <c r="IC63" s="15">
        <v>0</v>
      </c>
      <c r="ID63" s="15">
        <v>0</v>
      </c>
      <c r="IE63" s="15">
        <v>0</v>
      </c>
      <c r="IF63" s="15">
        <v>0</v>
      </c>
      <c r="IG63" s="15">
        <v>0</v>
      </c>
      <c r="IH63" s="15">
        <v>0</v>
      </c>
      <c r="II63" s="15">
        <v>0</v>
      </c>
      <c r="IJ63" s="15">
        <v>0</v>
      </c>
      <c r="IK63" s="15"/>
      <c r="IL63" s="15">
        <v>0</v>
      </c>
      <c r="IM63" s="15">
        <v>0</v>
      </c>
      <c r="IN63" s="15">
        <v>0</v>
      </c>
      <c r="IO63" s="15">
        <v>0</v>
      </c>
      <c r="IP63" s="15">
        <v>0</v>
      </c>
      <c r="IQ63" s="15">
        <v>0</v>
      </c>
      <c r="IR63" s="15">
        <v>0</v>
      </c>
      <c r="IS63" s="15">
        <v>0</v>
      </c>
      <c r="IT63" s="15">
        <v>0</v>
      </c>
      <c r="IU63" s="15">
        <v>0</v>
      </c>
      <c r="IV63" s="15">
        <v>0</v>
      </c>
      <c r="IW63" s="15">
        <v>0</v>
      </c>
      <c r="IX63" s="15">
        <v>0</v>
      </c>
      <c r="IY63" s="15">
        <v>0</v>
      </c>
      <c r="IZ63" s="15">
        <v>0</v>
      </c>
      <c r="JA63" s="15">
        <v>0</v>
      </c>
      <c r="JB63" s="15">
        <v>0</v>
      </c>
      <c r="JC63" s="15">
        <v>0</v>
      </c>
      <c r="JD63" s="15">
        <v>0</v>
      </c>
      <c r="JE63" s="15">
        <v>0</v>
      </c>
      <c r="JF63" s="15">
        <v>0</v>
      </c>
      <c r="JG63" s="15">
        <v>0</v>
      </c>
      <c r="JH63" s="15">
        <v>0</v>
      </c>
      <c r="JI63" s="15">
        <v>0</v>
      </c>
      <c r="JJ63" s="15">
        <v>0</v>
      </c>
      <c r="JK63" s="15">
        <v>0</v>
      </c>
      <c r="JL63" s="15">
        <v>0</v>
      </c>
      <c r="JM63" s="15">
        <v>0</v>
      </c>
      <c r="JN63" s="15">
        <v>0</v>
      </c>
      <c r="JO63" s="15">
        <v>0</v>
      </c>
      <c r="JP63" s="15">
        <v>0</v>
      </c>
      <c r="JQ63" s="15">
        <v>0</v>
      </c>
      <c r="JR63" s="15">
        <v>0</v>
      </c>
      <c r="JS63" s="15">
        <v>0</v>
      </c>
      <c r="JT63" s="15">
        <v>0</v>
      </c>
      <c r="JU63" s="15">
        <v>0</v>
      </c>
      <c r="JV63" s="15">
        <v>0</v>
      </c>
      <c r="JW63" s="15">
        <v>0</v>
      </c>
      <c r="JX63" s="15">
        <v>0</v>
      </c>
      <c r="JY63" s="15">
        <v>0</v>
      </c>
      <c r="JZ63" s="15">
        <v>0</v>
      </c>
      <c r="KA63" s="15">
        <v>0</v>
      </c>
      <c r="KB63" s="15">
        <v>0</v>
      </c>
      <c r="KC63" s="15">
        <v>0</v>
      </c>
      <c r="KD63" s="15">
        <v>0</v>
      </c>
      <c r="KE63" s="15">
        <v>0</v>
      </c>
      <c r="KF63" s="15">
        <v>0</v>
      </c>
      <c r="KG63" s="15">
        <v>0</v>
      </c>
      <c r="KH63" s="15">
        <v>0</v>
      </c>
      <c r="KI63" s="15">
        <v>0</v>
      </c>
      <c r="KJ63" s="15">
        <v>0</v>
      </c>
      <c r="KK63" s="15">
        <v>0</v>
      </c>
      <c r="KL63" s="15">
        <v>0</v>
      </c>
      <c r="KM63" s="15">
        <v>0</v>
      </c>
      <c r="KN63" s="15">
        <v>0</v>
      </c>
      <c r="KO63" s="15">
        <v>0</v>
      </c>
      <c r="KP63" s="15">
        <v>0</v>
      </c>
      <c r="KQ63" s="15">
        <v>0</v>
      </c>
      <c r="KR63" s="15">
        <v>0</v>
      </c>
      <c r="KS63" s="15">
        <v>0</v>
      </c>
      <c r="KT63" s="15">
        <v>0</v>
      </c>
      <c r="KU63" s="15">
        <v>0</v>
      </c>
      <c r="KV63" s="15">
        <v>0</v>
      </c>
      <c r="KW63" s="15">
        <v>0</v>
      </c>
      <c r="KX63" s="15">
        <v>0</v>
      </c>
      <c r="KY63" s="15">
        <v>0</v>
      </c>
      <c r="KZ63" s="15">
        <v>0</v>
      </c>
      <c r="LA63" s="15">
        <v>0</v>
      </c>
      <c r="LB63" s="15">
        <v>0</v>
      </c>
      <c r="LC63" s="15">
        <v>0</v>
      </c>
      <c r="LD63" s="15">
        <v>0</v>
      </c>
      <c r="LE63" s="15">
        <v>0</v>
      </c>
      <c r="LF63" s="15">
        <v>0</v>
      </c>
      <c r="LG63" s="15">
        <v>0</v>
      </c>
      <c r="LH63" s="15">
        <v>0</v>
      </c>
      <c r="LI63" s="15">
        <v>0</v>
      </c>
      <c r="LJ63" s="15">
        <v>0</v>
      </c>
      <c r="LK63" s="15">
        <v>0</v>
      </c>
      <c r="LL63" s="15">
        <v>0</v>
      </c>
      <c r="LM63" s="15">
        <v>0</v>
      </c>
      <c r="LN63" s="15">
        <v>0</v>
      </c>
      <c r="LO63" s="15">
        <v>0</v>
      </c>
      <c r="LP63" s="15">
        <v>0</v>
      </c>
      <c r="LQ63" s="15">
        <v>0</v>
      </c>
      <c r="LR63" s="15">
        <v>0</v>
      </c>
      <c r="LS63" s="15">
        <v>0</v>
      </c>
      <c r="LT63" s="15">
        <v>0</v>
      </c>
      <c r="LU63" s="15">
        <v>0</v>
      </c>
      <c r="LV63" s="15">
        <v>0</v>
      </c>
      <c r="LW63" s="15">
        <v>0</v>
      </c>
      <c r="LX63" s="15">
        <v>0</v>
      </c>
      <c r="LY63" s="15">
        <v>0</v>
      </c>
      <c r="LZ63" s="15">
        <v>0</v>
      </c>
      <c r="MA63" s="15">
        <v>0</v>
      </c>
      <c r="MB63" s="15">
        <v>0</v>
      </c>
      <c r="MC63" s="15">
        <v>0</v>
      </c>
      <c r="MD63" s="15">
        <v>0</v>
      </c>
      <c r="ME63" s="15">
        <v>0</v>
      </c>
      <c r="MF63" s="15">
        <v>0</v>
      </c>
      <c r="MG63" s="15">
        <v>0</v>
      </c>
      <c r="MH63" s="15">
        <v>0</v>
      </c>
      <c r="MI63" s="15">
        <v>0</v>
      </c>
      <c r="MJ63" s="15">
        <v>0</v>
      </c>
      <c r="MK63" s="15">
        <v>0</v>
      </c>
      <c r="ML63" s="15">
        <v>0</v>
      </c>
      <c r="MM63" s="15">
        <v>0</v>
      </c>
      <c r="MN63" s="15">
        <v>0</v>
      </c>
      <c r="MO63" s="15">
        <v>0</v>
      </c>
      <c r="MP63" s="15">
        <v>0</v>
      </c>
      <c r="MQ63" s="15">
        <v>0</v>
      </c>
      <c r="MR63" s="15">
        <v>0</v>
      </c>
      <c r="MS63" s="15">
        <v>0</v>
      </c>
      <c r="MT63" s="15">
        <v>0</v>
      </c>
      <c r="MU63" s="15">
        <v>0</v>
      </c>
      <c r="MV63" s="15">
        <v>0</v>
      </c>
      <c r="MW63" s="15">
        <v>0</v>
      </c>
      <c r="MX63" s="15">
        <v>0</v>
      </c>
      <c r="MY63" s="15">
        <v>0</v>
      </c>
      <c r="MZ63" s="15">
        <v>0</v>
      </c>
      <c r="NA63" s="15">
        <v>0</v>
      </c>
      <c r="NB63" s="15">
        <v>0</v>
      </c>
      <c r="NC63" s="15">
        <v>0</v>
      </c>
      <c r="ND63" s="15">
        <v>0</v>
      </c>
      <c r="NE63" s="15">
        <v>0</v>
      </c>
      <c r="NF63" s="15">
        <v>0</v>
      </c>
      <c r="NG63" s="15">
        <v>0</v>
      </c>
      <c r="NH63" s="15">
        <v>0</v>
      </c>
      <c r="NI63" s="15">
        <v>0</v>
      </c>
      <c r="NJ63" s="15">
        <v>0</v>
      </c>
      <c r="NK63" s="15">
        <v>0</v>
      </c>
      <c r="NL63" s="15">
        <v>0</v>
      </c>
      <c r="NM63" s="15">
        <v>0</v>
      </c>
      <c r="NN63" s="15">
        <v>0</v>
      </c>
      <c r="NO63" s="15">
        <v>0</v>
      </c>
      <c r="NP63" s="15">
        <v>0</v>
      </c>
      <c r="NQ63" s="15">
        <v>0</v>
      </c>
      <c r="NR63" s="15">
        <v>0</v>
      </c>
      <c r="NS63" s="15">
        <v>0</v>
      </c>
      <c r="NT63" s="15">
        <v>0</v>
      </c>
      <c r="NU63" s="15">
        <v>0</v>
      </c>
      <c r="NV63" s="15">
        <v>0</v>
      </c>
      <c r="NW63" s="15">
        <v>0</v>
      </c>
      <c r="NX63" s="15">
        <v>0</v>
      </c>
      <c r="NY63" s="15">
        <v>0</v>
      </c>
      <c r="NZ63" s="15">
        <v>0</v>
      </c>
      <c r="OA63" s="15">
        <v>0</v>
      </c>
      <c r="OB63" s="15">
        <v>0</v>
      </c>
      <c r="OC63" s="15">
        <v>0</v>
      </c>
      <c r="OD63" s="15">
        <v>0</v>
      </c>
      <c r="OE63" s="15">
        <v>0</v>
      </c>
      <c r="OF63" s="15">
        <v>0</v>
      </c>
      <c r="OG63" s="15">
        <v>0</v>
      </c>
      <c r="OH63" s="15">
        <v>0</v>
      </c>
      <c r="OI63" s="15">
        <v>0</v>
      </c>
      <c r="OJ63" s="15">
        <v>0</v>
      </c>
      <c r="OK63" s="15">
        <v>0</v>
      </c>
      <c r="OL63" s="15">
        <v>0</v>
      </c>
      <c r="OM63" s="15">
        <v>0</v>
      </c>
      <c r="ON63" s="15">
        <v>0</v>
      </c>
      <c r="OO63" s="15">
        <v>0</v>
      </c>
      <c r="OP63" s="15">
        <v>0</v>
      </c>
      <c r="OQ63" s="15">
        <v>0</v>
      </c>
      <c r="OR63" s="15">
        <v>0</v>
      </c>
      <c r="OS63" s="15">
        <v>0</v>
      </c>
      <c r="OT63" s="15">
        <v>0</v>
      </c>
      <c r="OU63" s="15">
        <v>0</v>
      </c>
      <c r="OV63" s="15">
        <v>0</v>
      </c>
      <c r="OW63" s="15">
        <v>0</v>
      </c>
      <c r="OX63" s="15">
        <v>0</v>
      </c>
      <c r="OY63" s="15">
        <v>0</v>
      </c>
      <c r="OZ63" s="15">
        <v>0</v>
      </c>
      <c r="PA63" s="15">
        <v>0</v>
      </c>
      <c r="PB63" s="15">
        <v>0</v>
      </c>
      <c r="PC63" s="15">
        <v>0</v>
      </c>
      <c r="PD63" s="15">
        <v>0</v>
      </c>
      <c r="PE63" s="15">
        <v>0</v>
      </c>
      <c r="PF63" s="15">
        <v>0</v>
      </c>
      <c r="PG63" s="15">
        <v>0</v>
      </c>
      <c r="PH63" s="15">
        <v>0</v>
      </c>
      <c r="PI63" s="15">
        <v>0</v>
      </c>
      <c r="PJ63" s="15">
        <v>0</v>
      </c>
      <c r="PK63" s="15">
        <v>0</v>
      </c>
      <c r="PL63" s="15">
        <v>0</v>
      </c>
      <c r="PM63" s="15">
        <v>0</v>
      </c>
      <c r="PN63" s="15">
        <v>0</v>
      </c>
      <c r="PO63" s="15">
        <v>0</v>
      </c>
      <c r="PP63" s="15">
        <v>0</v>
      </c>
      <c r="PQ63" s="15">
        <v>0</v>
      </c>
      <c r="PR63" s="15">
        <v>0</v>
      </c>
      <c r="PS63" s="15">
        <v>0</v>
      </c>
      <c r="PT63" s="15">
        <v>0</v>
      </c>
      <c r="PU63" s="15">
        <v>0</v>
      </c>
      <c r="PV63" s="15">
        <v>0</v>
      </c>
      <c r="PW63" s="15">
        <v>0</v>
      </c>
      <c r="PX63" s="15">
        <v>0</v>
      </c>
      <c r="PY63" s="15">
        <v>0</v>
      </c>
      <c r="PZ63" s="15">
        <v>0</v>
      </c>
      <c r="QA63" s="15">
        <v>0</v>
      </c>
      <c r="QB63" s="15">
        <v>0</v>
      </c>
      <c r="QC63" s="15">
        <v>0</v>
      </c>
      <c r="QD63" s="15">
        <v>0</v>
      </c>
      <c r="QE63" s="15">
        <v>0</v>
      </c>
      <c r="QF63" s="15">
        <v>0</v>
      </c>
      <c r="QG63" s="15">
        <v>0</v>
      </c>
      <c r="QH63" s="15">
        <v>0</v>
      </c>
      <c r="QI63" s="15">
        <v>0</v>
      </c>
      <c r="QJ63" s="15">
        <v>0</v>
      </c>
      <c r="QK63" s="15">
        <v>0</v>
      </c>
      <c r="QL63" s="15">
        <v>0</v>
      </c>
      <c r="QM63" s="15">
        <v>0</v>
      </c>
      <c r="QN63" s="15">
        <v>0</v>
      </c>
      <c r="QO63" s="15">
        <v>0</v>
      </c>
      <c r="QP63" s="15">
        <v>0</v>
      </c>
      <c r="QQ63" s="15">
        <v>0</v>
      </c>
      <c r="QR63" s="15">
        <v>0</v>
      </c>
      <c r="QS63" s="15">
        <v>0</v>
      </c>
      <c r="QT63" s="15">
        <v>0</v>
      </c>
      <c r="QU63" s="15">
        <v>0</v>
      </c>
      <c r="QV63" s="15">
        <v>0</v>
      </c>
      <c r="QW63" s="15">
        <v>0</v>
      </c>
      <c r="QX63" s="15">
        <v>0</v>
      </c>
      <c r="QY63" s="15">
        <v>0</v>
      </c>
      <c r="QZ63" s="15">
        <v>0</v>
      </c>
      <c r="RA63" s="15">
        <v>0</v>
      </c>
      <c r="RB63" s="15">
        <v>0</v>
      </c>
      <c r="RC63" s="15">
        <v>0</v>
      </c>
      <c r="RD63" s="15">
        <v>0</v>
      </c>
      <c r="RE63" s="15">
        <v>0</v>
      </c>
      <c r="RF63" s="15">
        <v>0</v>
      </c>
      <c r="RG63" s="15">
        <v>0</v>
      </c>
      <c r="RH63" s="15">
        <v>0</v>
      </c>
      <c r="RI63" s="15">
        <v>0</v>
      </c>
      <c r="RJ63" s="15">
        <v>0</v>
      </c>
      <c r="RK63" s="15">
        <v>0</v>
      </c>
      <c r="RL63" s="15">
        <v>0</v>
      </c>
      <c r="RM63" s="15">
        <v>0</v>
      </c>
      <c r="RN63" s="15">
        <v>0</v>
      </c>
      <c r="RO63" s="15">
        <v>0</v>
      </c>
      <c r="RP63" s="15">
        <v>0</v>
      </c>
      <c r="RQ63" s="15">
        <v>0</v>
      </c>
      <c r="RR63" s="15">
        <v>0</v>
      </c>
      <c r="RS63" s="15"/>
      <c r="RT63" s="15">
        <v>0</v>
      </c>
      <c r="RU63" s="15">
        <v>0</v>
      </c>
      <c r="RV63" s="15">
        <v>0</v>
      </c>
      <c r="RW63" s="15">
        <v>0</v>
      </c>
      <c r="RX63" s="15">
        <v>0</v>
      </c>
      <c r="RY63" s="15">
        <v>0</v>
      </c>
      <c r="RZ63" s="15">
        <v>0</v>
      </c>
      <c r="SA63" s="15">
        <v>0</v>
      </c>
      <c r="SB63" s="15">
        <v>0</v>
      </c>
      <c r="SC63" s="15">
        <v>0</v>
      </c>
      <c r="SD63" s="15">
        <v>0</v>
      </c>
      <c r="SE63" s="15">
        <v>0</v>
      </c>
      <c r="SF63" s="15">
        <v>0</v>
      </c>
      <c r="SG63" s="15">
        <v>0</v>
      </c>
      <c r="SH63" s="15">
        <v>0</v>
      </c>
      <c r="SI63" s="15">
        <v>0</v>
      </c>
      <c r="SJ63" s="15">
        <v>0</v>
      </c>
      <c r="SK63" s="15">
        <v>0</v>
      </c>
      <c r="SL63" s="15">
        <v>0</v>
      </c>
      <c r="SM63" s="15">
        <v>0</v>
      </c>
      <c r="SN63" s="15">
        <v>0</v>
      </c>
      <c r="SO63" s="15">
        <v>0</v>
      </c>
      <c r="SP63" s="15">
        <v>0</v>
      </c>
      <c r="SQ63" s="15">
        <v>0</v>
      </c>
      <c r="SR63" s="15">
        <v>0</v>
      </c>
      <c r="SS63" s="15">
        <v>0</v>
      </c>
      <c r="ST63" s="15">
        <v>0</v>
      </c>
      <c r="SU63" s="15">
        <v>0</v>
      </c>
      <c r="SV63" s="15">
        <v>0</v>
      </c>
      <c r="SW63" s="15">
        <v>0</v>
      </c>
      <c r="SX63" s="15">
        <v>0</v>
      </c>
      <c r="SY63" s="15">
        <v>0</v>
      </c>
      <c r="SZ63" s="15">
        <v>0</v>
      </c>
      <c r="TA63" s="15">
        <v>0</v>
      </c>
      <c r="TB63" s="15">
        <v>0</v>
      </c>
      <c r="TC63" s="15">
        <v>0</v>
      </c>
      <c r="TD63" s="15">
        <v>0</v>
      </c>
      <c r="TE63" s="15">
        <v>0</v>
      </c>
      <c r="TF63" s="15">
        <v>0</v>
      </c>
      <c r="TG63" s="15">
        <v>0</v>
      </c>
      <c r="TH63" s="15">
        <v>0</v>
      </c>
      <c r="TI63" s="15">
        <v>0</v>
      </c>
      <c r="TJ63" s="15">
        <v>0</v>
      </c>
      <c r="TK63" s="15">
        <v>0</v>
      </c>
      <c r="TL63" s="15">
        <v>0</v>
      </c>
      <c r="TM63" s="15">
        <v>0</v>
      </c>
      <c r="TN63" s="15">
        <v>0</v>
      </c>
      <c r="TO63" s="15">
        <v>0</v>
      </c>
      <c r="TP63" s="15">
        <v>0</v>
      </c>
      <c r="TQ63" s="15">
        <v>0</v>
      </c>
      <c r="TR63" s="15">
        <v>0</v>
      </c>
      <c r="TS63" s="15">
        <v>0</v>
      </c>
      <c r="TT63" s="15">
        <v>0</v>
      </c>
      <c r="TU63" s="15">
        <v>0</v>
      </c>
      <c r="TV63" s="15">
        <v>0</v>
      </c>
      <c r="TW63" s="15">
        <v>0</v>
      </c>
      <c r="TX63" s="15">
        <v>0</v>
      </c>
      <c r="TY63" s="15">
        <v>0</v>
      </c>
      <c r="TZ63" s="15">
        <v>0</v>
      </c>
      <c r="UA63" s="15">
        <v>0</v>
      </c>
      <c r="UB63" s="15">
        <v>0</v>
      </c>
      <c r="UC63" s="15">
        <v>0</v>
      </c>
      <c r="UD63" s="15">
        <v>0</v>
      </c>
      <c r="UE63" s="15">
        <v>0</v>
      </c>
      <c r="UF63" s="15">
        <v>0</v>
      </c>
      <c r="UG63" s="15">
        <v>0</v>
      </c>
      <c r="UH63" s="15">
        <v>0</v>
      </c>
      <c r="UI63" s="15">
        <v>0</v>
      </c>
      <c r="UJ63" s="15">
        <v>0</v>
      </c>
      <c r="UK63" s="15">
        <v>0</v>
      </c>
      <c r="UL63" s="15">
        <v>0</v>
      </c>
      <c r="UM63" s="15">
        <v>0</v>
      </c>
      <c r="UN63" s="15">
        <v>0</v>
      </c>
      <c r="UO63" s="15">
        <v>0</v>
      </c>
      <c r="UP63" s="15">
        <v>0</v>
      </c>
      <c r="UQ63" s="15">
        <v>0</v>
      </c>
      <c r="UR63" s="15">
        <v>0</v>
      </c>
      <c r="US63" s="15">
        <v>0</v>
      </c>
      <c r="UT63" s="15">
        <v>0</v>
      </c>
      <c r="UU63" s="15">
        <v>0</v>
      </c>
      <c r="UV63" s="15">
        <v>0</v>
      </c>
      <c r="UW63" s="15">
        <v>0</v>
      </c>
      <c r="UX63" s="15">
        <v>0</v>
      </c>
      <c r="UY63" s="15">
        <v>0</v>
      </c>
      <c r="UZ63" s="15">
        <v>0</v>
      </c>
      <c r="VA63" s="15">
        <v>0</v>
      </c>
      <c r="VB63" s="15">
        <v>0</v>
      </c>
      <c r="VC63" s="15">
        <v>0</v>
      </c>
      <c r="VD63" s="15">
        <v>0</v>
      </c>
      <c r="VE63" s="15">
        <v>0</v>
      </c>
      <c r="VF63" s="15">
        <v>0</v>
      </c>
      <c r="VG63" s="15">
        <v>0</v>
      </c>
      <c r="VH63" s="15">
        <v>0</v>
      </c>
      <c r="VI63" s="15">
        <v>0</v>
      </c>
      <c r="VJ63" s="15">
        <v>0</v>
      </c>
      <c r="VK63" s="15">
        <v>0</v>
      </c>
      <c r="VL63" s="15">
        <v>0</v>
      </c>
      <c r="VM63" s="15">
        <v>0</v>
      </c>
      <c r="VN63" s="15">
        <v>0</v>
      </c>
      <c r="VO63" s="15">
        <v>0</v>
      </c>
      <c r="VP63" s="15">
        <v>0</v>
      </c>
      <c r="VQ63" s="15">
        <v>0</v>
      </c>
      <c r="VR63" s="15">
        <v>0</v>
      </c>
      <c r="VS63" s="15">
        <v>0</v>
      </c>
      <c r="VT63" s="15">
        <v>0</v>
      </c>
      <c r="VU63" s="15">
        <v>0</v>
      </c>
      <c r="VV63" s="15">
        <v>0</v>
      </c>
      <c r="VW63" s="15">
        <v>0</v>
      </c>
      <c r="VX63" s="15">
        <v>0</v>
      </c>
      <c r="VY63" s="15">
        <v>0</v>
      </c>
      <c r="VZ63" s="15">
        <v>0</v>
      </c>
      <c r="WA63" s="15">
        <v>0</v>
      </c>
      <c r="WB63" s="15">
        <v>0</v>
      </c>
      <c r="WC63" s="15">
        <v>0</v>
      </c>
      <c r="WD63" s="15">
        <v>0</v>
      </c>
      <c r="WE63" s="15">
        <v>0</v>
      </c>
      <c r="WF63" s="15">
        <v>0</v>
      </c>
      <c r="WG63" s="15">
        <v>0</v>
      </c>
      <c r="WH63" s="15">
        <v>0</v>
      </c>
      <c r="WI63" s="15">
        <v>0</v>
      </c>
      <c r="WJ63" s="15">
        <v>0</v>
      </c>
      <c r="WK63" s="15">
        <v>0</v>
      </c>
      <c r="WL63" s="15">
        <v>0</v>
      </c>
      <c r="WM63" s="15">
        <v>0</v>
      </c>
      <c r="WN63" s="15">
        <v>0</v>
      </c>
      <c r="WO63" s="15">
        <v>0</v>
      </c>
      <c r="WP63" s="15">
        <v>0</v>
      </c>
      <c r="WQ63" s="15">
        <v>0</v>
      </c>
      <c r="WR63" s="15">
        <v>0</v>
      </c>
      <c r="WS63" s="15">
        <v>0</v>
      </c>
      <c r="WT63" s="15">
        <v>0</v>
      </c>
      <c r="WU63" s="15">
        <v>0</v>
      </c>
      <c r="WV63" s="15">
        <v>0</v>
      </c>
      <c r="WW63" s="15">
        <v>0</v>
      </c>
      <c r="WX63" s="15">
        <v>0</v>
      </c>
      <c r="WY63" s="15">
        <v>0</v>
      </c>
      <c r="WZ63" s="15">
        <v>0</v>
      </c>
      <c r="XA63" s="15">
        <v>0</v>
      </c>
      <c r="XB63" s="15">
        <v>0</v>
      </c>
      <c r="XC63" s="15">
        <v>0</v>
      </c>
      <c r="XD63" s="15">
        <v>0</v>
      </c>
      <c r="XE63" s="15">
        <v>0</v>
      </c>
      <c r="XF63" s="15">
        <v>0</v>
      </c>
      <c r="XG63" s="15">
        <v>0</v>
      </c>
      <c r="XH63" s="15">
        <v>0</v>
      </c>
      <c r="XI63" s="15">
        <v>0</v>
      </c>
      <c r="XJ63" s="15">
        <v>0</v>
      </c>
      <c r="XK63" s="15">
        <v>0</v>
      </c>
      <c r="XL63" s="15">
        <v>0</v>
      </c>
      <c r="XM63" s="15">
        <v>0</v>
      </c>
      <c r="XN63" s="15">
        <v>0</v>
      </c>
      <c r="XO63" s="15">
        <v>0</v>
      </c>
      <c r="XP63" s="15">
        <v>0</v>
      </c>
      <c r="XQ63" s="15">
        <v>0</v>
      </c>
      <c r="XR63" s="15">
        <v>0</v>
      </c>
      <c r="XS63" s="15">
        <v>0</v>
      </c>
      <c r="XT63" s="15">
        <v>0</v>
      </c>
      <c r="XU63" s="15">
        <v>0</v>
      </c>
      <c r="XV63" s="15">
        <v>0</v>
      </c>
      <c r="XW63" s="15">
        <v>0</v>
      </c>
      <c r="XX63" s="15">
        <v>0</v>
      </c>
      <c r="XY63" s="15">
        <v>0</v>
      </c>
      <c r="XZ63" s="15">
        <v>0</v>
      </c>
      <c r="YA63" s="15">
        <v>0</v>
      </c>
      <c r="YB63" s="15">
        <v>0</v>
      </c>
      <c r="YC63" s="15">
        <v>0</v>
      </c>
      <c r="YD63" s="15">
        <v>0</v>
      </c>
      <c r="YE63" s="15">
        <v>0</v>
      </c>
      <c r="YF63" s="15">
        <v>0</v>
      </c>
      <c r="YG63" s="15">
        <v>0</v>
      </c>
      <c r="YH63" s="15">
        <v>0</v>
      </c>
      <c r="YI63" s="15">
        <v>0</v>
      </c>
      <c r="YJ63" s="15">
        <v>0</v>
      </c>
      <c r="YK63" s="15">
        <v>0</v>
      </c>
      <c r="YL63" s="15">
        <v>0</v>
      </c>
      <c r="YM63" s="15">
        <v>0</v>
      </c>
      <c r="YN63" s="15">
        <v>0</v>
      </c>
      <c r="YO63" s="15">
        <v>0</v>
      </c>
      <c r="YP63" s="15">
        <v>0</v>
      </c>
      <c r="YQ63" s="15">
        <v>0</v>
      </c>
      <c r="YR63" s="15">
        <v>0</v>
      </c>
      <c r="YS63" s="15">
        <v>0</v>
      </c>
      <c r="YT63" s="15">
        <v>0</v>
      </c>
      <c r="YU63" s="15">
        <v>0</v>
      </c>
      <c r="YV63" s="15">
        <v>0</v>
      </c>
      <c r="YW63" s="15">
        <v>0</v>
      </c>
      <c r="YX63" s="15">
        <v>0</v>
      </c>
      <c r="YY63" s="15">
        <v>0</v>
      </c>
      <c r="YZ63" s="15">
        <v>0</v>
      </c>
      <c r="ZA63" s="15">
        <v>0</v>
      </c>
      <c r="ZB63" s="15">
        <v>0</v>
      </c>
      <c r="ZC63" s="15">
        <v>0</v>
      </c>
      <c r="ZD63" s="15">
        <v>0</v>
      </c>
      <c r="ZE63" s="15">
        <v>0</v>
      </c>
      <c r="ZF63" s="15">
        <v>0</v>
      </c>
      <c r="ZG63" s="15">
        <v>0</v>
      </c>
      <c r="ZH63" s="15">
        <v>0</v>
      </c>
      <c r="ZI63" s="15">
        <v>0</v>
      </c>
      <c r="ZJ63" s="15">
        <v>0</v>
      </c>
      <c r="ZK63" s="15">
        <v>0</v>
      </c>
      <c r="ZL63" s="15">
        <v>0</v>
      </c>
      <c r="ZM63" s="15">
        <v>0</v>
      </c>
      <c r="ZN63" s="15">
        <v>0</v>
      </c>
      <c r="ZO63" s="15">
        <v>0</v>
      </c>
      <c r="ZP63" s="15">
        <v>0</v>
      </c>
      <c r="ZQ63" s="15">
        <v>0</v>
      </c>
      <c r="ZR63" s="15">
        <v>0</v>
      </c>
      <c r="ZS63" s="15">
        <v>0</v>
      </c>
      <c r="ZT63" s="15">
        <v>0</v>
      </c>
      <c r="ZU63" s="15">
        <v>0</v>
      </c>
      <c r="ZV63" s="15">
        <v>0</v>
      </c>
      <c r="ZW63" s="15">
        <v>0</v>
      </c>
      <c r="ZX63" s="15">
        <v>0</v>
      </c>
      <c r="ZY63" s="15">
        <v>0</v>
      </c>
      <c r="ZZ63" s="15">
        <v>0</v>
      </c>
      <c r="AAA63" s="15">
        <v>0</v>
      </c>
      <c r="AAB63" s="15">
        <v>0</v>
      </c>
      <c r="AAC63" s="15">
        <v>0</v>
      </c>
      <c r="AAD63" s="15">
        <v>0</v>
      </c>
      <c r="AAE63" s="15">
        <v>0</v>
      </c>
      <c r="AAF63" s="15">
        <v>0</v>
      </c>
      <c r="AAG63" s="15">
        <v>0</v>
      </c>
      <c r="AAH63" s="15">
        <v>0</v>
      </c>
      <c r="AAI63" s="15">
        <v>0</v>
      </c>
      <c r="AAJ63" s="15">
        <v>0</v>
      </c>
      <c r="AAK63" s="15">
        <v>0</v>
      </c>
      <c r="AAL63" s="15"/>
      <c r="AAM63" s="15">
        <v>0</v>
      </c>
      <c r="AAN63" s="15">
        <v>0</v>
      </c>
      <c r="AAO63" s="15">
        <v>0</v>
      </c>
      <c r="AAP63" s="15">
        <v>0</v>
      </c>
      <c r="AAQ63" s="15">
        <v>0</v>
      </c>
      <c r="AAR63" s="15">
        <v>0</v>
      </c>
      <c r="AAS63" s="15">
        <v>0</v>
      </c>
      <c r="AAT63" s="15">
        <v>0</v>
      </c>
      <c r="AAU63" s="15">
        <v>0</v>
      </c>
      <c r="AAV63" s="15">
        <v>0</v>
      </c>
      <c r="AAW63" s="15">
        <v>0</v>
      </c>
      <c r="AAX63" s="15"/>
      <c r="AAY63" s="15">
        <v>0</v>
      </c>
      <c r="AAZ63" s="15">
        <v>0</v>
      </c>
      <c r="ABA63" s="15">
        <v>0</v>
      </c>
      <c r="ABB63" s="15">
        <v>0</v>
      </c>
      <c r="ABC63" s="15">
        <v>0</v>
      </c>
      <c r="ABD63" s="15">
        <v>0</v>
      </c>
      <c r="ABE63" s="15">
        <v>0</v>
      </c>
      <c r="ABF63" s="15">
        <v>0</v>
      </c>
      <c r="ABG63" s="15">
        <v>0</v>
      </c>
      <c r="ABH63" s="15">
        <v>0</v>
      </c>
      <c r="ABI63" s="15">
        <f t="shared" ref="ABI63:ACD63" si="939" xml:space="preserve"> IF(EXACT(ABI34,"CS_SWITCH_REQUESTED_E"), BIN2DEC(ABI163), IF(AND(NOT(EXACT(ABI36,"CS_SWITCH_REQUESTED_E")),ABH63&gt;0),BIN2DEC(ABI163),0))</f>
        <v>0</v>
      </c>
      <c r="ABJ63" s="15">
        <f t="shared" si="939"/>
        <v>0</v>
      </c>
      <c r="ABK63" s="15">
        <f t="shared" si="939"/>
        <v>4</v>
      </c>
      <c r="ABL63" s="15">
        <f t="shared" si="939"/>
        <v>4</v>
      </c>
      <c r="ABM63" s="15">
        <f t="shared" si="939"/>
        <v>4</v>
      </c>
      <c r="ABN63" s="15">
        <f t="shared" si="939"/>
        <v>2</v>
      </c>
      <c r="ABO63" s="15">
        <f t="shared" si="939"/>
        <v>2</v>
      </c>
      <c r="ABP63" s="15">
        <f t="shared" si="939"/>
        <v>2</v>
      </c>
      <c r="ABQ63" s="15">
        <f t="shared" si="939"/>
        <v>1</v>
      </c>
      <c r="ABR63" s="15">
        <f t="shared" si="939"/>
        <v>128</v>
      </c>
      <c r="ABS63" s="15">
        <f t="shared" si="939"/>
        <v>128</v>
      </c>
      <c r="ABT63" s="15">
        <f t="shared" si="939"/>
        <v>3</v>
      </c>
      <c r="ABU63" s="15">
        <f t="shared" si="939"/>
        <v>4</v>
      </c>
      <c r="ABV63" s="15">
        <f t="shared" si="939"/>
        <v>3</v>
      </c>
      <c r="ABW63" s="15">
        <f t="shared" si="939"/>
        <v>4</v>
      </c>
      <c r="ABX63" s="15">
        <f t="shared" si="939"/>
        <v>3</v>
      </c>
      <c r="ABY63" s="15">
        <f t="shared" si="939"/>
        <v>4</v>
      </c>
      <c r="ABZ63" s="15">
        <f t="shared" si="939"/>
        <v>131</v>
      </c>
      <c r="ACA63" s="15">
        <f t="shared" si="939"/>
        <v>3</v>
      </c>
      <c r="ACB63" s="15">
        <f t="shared" si="939"/>
        <v>132</v>
      </c>
      <c r="ACC63" s="15">
        <f t="shared" si="939"/>
        <v>0</v>
      </c>
      <c r="ACD63" s="15">
        <f t="shared" si="939"/>
        <v>0</v>
      </c>
      <c r="ACE63" s="15">
        <f t="shared" ref="ACE63:ADC63" si="940" xml:space="preserve"> IF(EXACT(ACE36,"CS_SWITCH_REQUESTED_E"),0, IF(OR(EXACT(ACE34,"CS_SWITCH_REQUESTED_E"),ACD63&gt;0), BIN2DEC(ACE163), 0))</f>
        <v>0</v>
      </c>
      <c r="ACF63" s="15">
        <f t="shared" si="940"/>
        <v>0</v>
      </c>
      <c r="ACG63" s="15">
        <f t="shared" si="940"/>
        <v>0</v>
      </c>
      <c r="ACH63" s="15">
        <f t="shared" si="940"/>
        <v>0</v>
      </c>
      <c r="ACI63" s="15">
        <f t="shared" si="940"/>
        <v>0</v>
      </c>
      <c r="ACJ63" s="15">
        <f t="shared" si="940"/>
        <v>0</v>
      </c>
      <c r="ACK63" s="15">
        <f t="shared" si="940"/>
        <v>0</v>
      </c>
      <c r="ACL63" s="15">
        <f t="shared" si="940"/>
        <v>0</v>
      </c>
      <c r="ACM63" s="15">
        <f t="shared" si="940"/>
        <v>0</v>
      </c>
      <c r="ACN63" s="15">
        <f t="shared" si="940"/>
        <v>0</v>
      </c>
      <c r="ACO63" s="15">
        <f t="shared" si="940"/>
        <v>0</v>
      </c>
      <c r="ACP63" s="15">
        <f t="shared" si="940"/>
        <v>0</v>
      </c>
      <c r="ACQ63" s="15">
        <f t="shared" si="940"/>
        <v>0</v>
      </c>
      <c r="ACR63" s="15">
        <f t="shared" si="940"/>
        <v>0</v>
      </c>
      <c r="ACS63" s="15">
        <f t="shared" si="940"/>
        <v>0</v>
      </c>
      <c r="ACT63" s="15">
        <f t="shared" si="940"/>
        <v>0</v>
      </c>
      <c r="ACU63" s="15">
        <f t="shared" si="940"/>
        <v>0</v>
      </c>
      <c r="ACV63" s="15">
        <f t="shared" si="940"/>
        <v>0</v>
      </c>
      <c r="ACW63" s="15">
        <f t="shared" si="940"/>
        <v>0</v>
      </c>
      <c r="ACX63" s="15">
        <f t="shared" si="940"/>
        <v>0</v>
      </c>
      <c r="ACY63" s="15">
        <f t="shared" si="940"/>
        <v>0</v>
      </c>
      <c r="ACZ63" s="15">
        <f t="shared" si="940"/>
        <v>0</v>
      </c>
      <c r="ADA63" s="15">
        <f t="shared" si="940"/>
        <v>0</v>
      </c>
      <c r="ADB63" s="15">
        <f t="shared" si="940"/>
        <v>0</v>
      </c>
      <c r="ADC63" s="15">
        <f t="shared" si="940"/>
        <v>0</v>
      </c>
      <c r="ADD63" s="15">
        <v>0</v>
      </c>
      <c r="ADE63" s="15">
        <f xml:space="preserve"> IF(EXACT(ADE36,"CS_SWITCH_REQUESTED_E"),0, IF(OR(EXACT(ADE34,"CS_SWITCH_REQUESTED_E"),ADD63&gt;0), BIN2DEC(ADE163), 0))</f>
        <v>0</v>
      </c>
      <c r="ADF63" s="15">
        <f xml:space="preserve"> IF(EXACT(ADF36,"CS_SWITCH_REQUESTED_E"),0, IF(OR(EXACT(ADF34,"CS_SWITCH_REQUESTED_E"),ADE63&gt;0), BIN2DEC(ADF163), 0))</f>
        <v>0</v>
      </c>
      <c r="ADG63" s="15">
        <f xml:space="preserve"> IF(EXACT(ADG36,"CS_SWITCH_REQUESTED_E"),0, IF(OR(EXACT(ADG34,"CS_SWITCH_REQUESTED_E"),ADF63&gt;0), BIN2DEC(ADG163), 0))</f>
        <v>0</v>
      </c>
      <c r="ADH63" s="15"/>
      <c r="ADI63" s="15">
        <v>0</v>
      </c>
      <c r="ADJ63" s="15">
        <v>0</v>
      </c>
      <c r="ADK63" s="15">
        <v>0</v>
      </c>
      <c r="ADL63" s="15">
        <v>0</v>
      </c>
      <c r="ADM63" s="15">
        <v>0</v>
      </c>
      <c r="ADN63" s="15">
        <v>0</v>
      </c>
      <c r="ADO63" s="15">
        <v>0</v>
      </c>
      <c r="ADP63" s="15">
        <v>0</v>
      </c>
      <c r="ADQ63" s="15">
        <v>0</v>
      </c>
      <c r="ADR63" s="15">
        <v>0</v>
      </c>
      <c r="ADS63" s="15">
        <f t="shared" ref="ADS63:AEN63" si="941" xml:space="preserve"> IF(EXACT(ADS34,"CS_SWITCH_REQUESTED_E"), BIN2DEC(ADS163), IF(AND(NOT(EXACT(ADS36,"CS_SWITCH_REQUESTED_E")),ADR63&gt;0),BIN2DEC(ADS163),0))</f>
        <v>0</v>
      </c>
      <c r="ADT63" s="15">
        <f t="shared" si="941"/>
        <v>0</v>
      </c>
      <c r="ADU63" s="15">
        <f t="shared" si="941"/>
        <v>4</v>
      </c>
      <c r="ADV63" s="15">
        <f t="shared" si="941"/>
        <v>4</v>
      </c>
      <c r="ADW63" s="15">
        <f t="shared" si="941"/>
        <v>4</v>
      </c>
      <c r="ADX63" s="15">
        <f t="shared" si="941"/>
        <v>2</v>
      </c>
      <c r="ADY63" s="15">
        <f t="shared" si="941"/>
        <v>2</v>
      </c>
      <c r="ADZ63" s="15">
        <f t="shared" si="941"/>
        <v>2</v>
      </c>
      <c r="AEA63" s="15">
        <f t="shared" si="941"/>
        <v>1</v>
      </c>
      <c r="AEB63" s="15">
        <f t="shared" si="941"/>
        <v>128</v>
      </c>
      <c r="AEC63" s="15">
        <f t="shared" si="941"/>
        <v>128</v>
      </c>
      <c r="AED63" s="15">
        <f t="shared" si="941"/>
        <v>3</v>
      </c>
      <c r="AEE63" s="15">
        <f t="shared" si="941"/>
        <v>4</v>
      </c>
      <c r="AEF63" s="15">
        <f t="shared" si="941"/>
        <v>3</v>
      </c>
      <c r="AEG63" s="15">
        <f t="shared" si="941"/>
        <v>4</v>
      </c>
      <c r="AEH63" s="15">
        <f t="shared" si="941"/>
        <v>3</v>
      </c>
      <c r="AEI63" s="15">
        <f t="shared" si="941"/>
        <v>4</v>
      </c>
      <c r="AEJ63" s="15">
        <f t="shared" si="941"/>
        <v>131</v>
      </c>
      <c r="AEK63" s="15">
        <f t="shared" si="941"/>
        <v>3</v>
      </c>
      <c r="AEL63" s="15">
        <f t="shared" si="941"/>
        <v>132</v>
      </c>
      <c r="AEM63" s="15">
        <f t="shared" si="941"/>
        <v>0</v>
      </c>
      <c r="AEN63" s="15">
        <f t="shared" si="941"/>
        <v>0</v>
      </c>
      <c r="AEO63" s="15">
        <f t="shared" ref="AEO63:AFM63" si="942" xml:space="preserve"> IF(EXACT(AEO36,"CS_SWITCH_REQUESTED_E"),0, IF(OR(EXACT(AEO34,"CS_SWITCH_REQUESTED_E"),AEN63&gt;0), BIN2DEC(AEO163), 0))</f>
        <v>0</v>
      </c>
      <c r="AEP63" s="15">
        <f t="shared" si="942"/>
        <v>0</v>
      </c>
      <c r="AEQ63" s="15">
        <f t="shared" si="942"/>
        <v>0</v>
      </c>
      <c r="AER63" s="15">
        <f t="shared" si="942"/>
        <v>0</v>
      </c>
      <c r="AES63" s="15">
        <f t="shared" si="942"/>
        <v>0</v>
      </c>
      <c r="AET63" s="15">
        <f t="shared" si="942"/>
        <v>0</v>
      </c>
      <c r="AEU63" s="15">
        <f t="shared" si="942"/>
        <v>0</v>
      </c>
      <c r="AEV63" s="15">
        <f t="shared" si="942"/>
        <v>0</v>
      </c>
      <c r="AEW63" s="15">
        <f t="shared" si="942"/>
        <v>0</v>
      </c>
      <c r="AEX63" s="15">
        <f t="shared" si="942"/>
        <v>0</v>
      </c>
      <c r="AEY63" s="15">
        <f t="shared" si="942"/>
        <v>0</v>
      </c>
      <c r="AEZ63" s="15">
        <f t="shared" si="942"/>
        <v>0</v>
      </c>
      <c r="AFA63" s="15">
        <f t="shared" si="942"/>
        <v>0</v>
      </c>
      <c r="AFB63" s="15">
        <f t="shared" si="942"/>
        <v>0</v>
      </c>
      <c r="AFC63" s="15">
        <f t="shared" si="942"/>
        <v>0</v>
      </c>
      <c r="AFD63" s="15">
        <f t="shared" si="942"/>
        <v>0</v>
      </c>
      <c r="AFE63" s="15">
        <f t="shared" si="942"/>
        <v>0</v>
      </c>
      <c r="AFF63" s="15">
        <f t="shared" si="942"/>
        <v>0</v>
      </c>
      <c r="AFG63" s="15">
        <f t="shared" si="942"/>
        <v>0</v>
      </c>
      <c r="AFH63" s="15">
        <f t="shared" si="942"/>
        <v>0</v>
      </c>
      <c r="AFI63" s="15">
        <f t="shared" si="942"/>
        <v>0</v>
      </c>
      <c r="AFJ63" s="15">
        <f t="shared" si="942"/>
        <v>0</v>
      </c>
      <c r="AFK63" s="15">
        <f t="shared" si="942"/>
        <v>0</v>
      </c>
      <c r="AFL63" s="15">
        <f t="shared" si="942"/>
        <v>0</v>
      </c>
      <c r="AFM63" s="15">
        <f t="shared" si="942"/>
        <v>0</v>
      </c>
      <c r="AFN63" s="15">
        <v>0</v>
      </c>
      <c r="AFO63" s="15">
        <f xml:space="preserve"> IF(EXACT(AFO36,"CS_SWITCH_REQUESTED_E"),0, IF(OR(EXACT(AFO34,"CS_SWITCH_REQUESTED_E"),AFN63&gt;0), BIN2DEC(AFO163), 0))</f>
        <v>0</v>
      </c>
      <c r="AFP63" s="15">
        <f xml:space="preserve"> IF(EXACT(AFP36,"CS_SWITCH_REQUESTED_E"),0, IF(OR(EXACT(AFP34,"CS_SWITCH_REQUESTED_E"),AFO63&gt;0), BIN2DEC(AFP163), 0))</f>
        <v>0</v>
      </c>
      <c r="AFQ63" s="15">
        <f xml:space="preserve"> IF(EXACT(AFQ36,"CS_SWITCH_REQUESTED_E"),0, IF(OR(EXACT(AFQ34,"CS_SWITCH_REQUESTED_E"),AFP63&gt;0), BIN2DEC(AFQ163), 0))</f>
        <v>0</v>
      </c>
      <c r="AFR63" s="15"/>
      <c r="AFS63" s="15">
        <v>0</v>
      </c>
      <c r="AFT63" s="15">
        <v>0</v>
      </c>
      <c r="AFU63" s="15">
        <v>0</v>
      </c>
      <c r="AFV63" s="15">
        <v>0</v>
      </c>
      <c r="AFW63" s="15">
        <v>0</v>
      </c>
      <c r="AFX63" s="15">
        <v>0</v>
      </c>
      <c r="AFY63" s="15">
        <v>0</v>
      </c>
      <c r="AFZ63" s="15">
        <v>0</v>
      </c>
      <c r="AGA63" s="15">
        <v>0</v>
      </c>
      <c r="AGB63" s="15">
        <v>0</v>
      </c>
      <c r="AGC63" s="15">
        <v>0</v>
      </c>
      <c r="AGD63" s="15">
        <v>0</v>
      </c>
      <c r="AGE63" s="15">
        <v>0</v>
      </c>
      <c r="AGF63" s="15">
        <v>0</v>
      </c>
      <c r="AGG63" s="15">
        <v>0</v>
      </c>
      <c r="AGH63" s="15">
        <v>0</v>
      </c>
      <c r="AGI63" s="15">
        <v>0</v>
      </c>
      <c r="AGJ63" s="15">
        <v>0</v>
      </c>
      <c r="AGK63" s="15">
        <v>0</v>
      </c>
      <c r="AGL63" s="15">
        <v>0</v>
      </c>
      <c r="AGM63" s="15">
        <v>0</v>
      </c>
      <c r="AGN63" s="15">
        <v>0</v>
      </c>
      <c r="AGO63" s="15">
        <v>0</v>
      </c>
      <c r="AGP63" s="15">
        <v>0</v>
      </c>
      <c r="AGQ63" s="15">
        <v>0</v>
      </c>
      <c r="AGR63" s="15">
        <v>0</v>
      </c>
      <c r="AGS63" s="15">
        <v>0</v>
      </c>
      <c r="AGT63" s="15">
        <v>0</v>
      </c>
      <c r="AGU63" s="15">
        <v>0</v>
      </c>
      <c r="AGV63" s="15">
        <v>0</v>
      </c>
      <c r="AGW63" s="15">
        <v>0</v>
      </c>
      <c r="AGX63" s="15">
        <v>0</v>
      </c>
      <c r="AGY63" s="15">
        <v>0</v>
      </c>
      <c r="AGZ63" s="15">
        <v>0</v>
      </c>
      <c r="AHA63" s="15">
        <v>0</v>
      </c>
      <c r="AHB63" s="15">
        <v>0</v>
      </c>
      <c r="AHC63" s="15">
        <v>0</v>
      </c>
      <c r="AHD63" s="15">
        <v>0</v>
      </c>
      <c r="AHE63" s="15">
        <v>0</v>
      </c>
      <c r="AHF63" s="15">
        <v>0</v>
      </c>
      <c r="AHG63" s="15">
        <v>0</v>
      </c>
      <c r="AHH63" s="15">
        <v>0</v>
      </c>
      <c r="AHI63" s="15">
        <v>0</v>
      </c>
      <c r="AHJ63" s="15">
        <v>0</v>
      </c>
      <c r="AHK63" s="15">
        <v>0</v>
      </c>
      <c r="AHL63" s="15">
        <v>0</v>
      </c>
      <c r="AHM63" s="15">
        <v>0</v>
      </c>
      <c r="AHN63" s="15">
        <v>0</v>
      </c>
      <c r="AHO63" s="15">
        <v>0</v>
      </c>
      <c r="AHP63" s="15">
        <v>0</v>
      </c>
      <c r="AHQ63" s="15">
        <v>0</v>
      </c>
      <c r="AHR63" s="15">
        <v>0</v>
      </c>
      <c r="AHS63" s="15">
        <v>0</v>
      </c>
      <c r="AHT63" s="15">
        <v>0</v>
      </c>
      <c r="AHU63" s="15">
        <v>0</v>
      </c>
      <c r="AHV63" s="15">
        <v>0</v>
      </c>
      <c r="AHW63" s="15">
        <v>0</v>
      </c>
      <c r="AHX63" s="15">
        <v>0</v>
      </c>
      <c r="AHY63" s="15">
        <v>0</v>
      </c>
      <c r="AHZ63" s="15">
        <v>0</v>
      </c>
      <c r="AIA63" s="15">
        <v>0</v>
      </c>
      <c r="AIB63" s="15">
        <v>0</v>
      </c>
      <c r="AIC63" s="15">
        <v>0</v>
      </c>
      <c r="AID63" s="15">
        <v>0</v>
      </c>
      <c r="AIE63" s="15">
        <v>0</v>
      </c>
      <c r="AIF63" s="15">
        <v>0</v>
      </c>
      <c r="AIG63" s="15">
        <v>0</v>
      </c>
      <c r="AIH63" s="15">
        <v>0</v>
      </c>
      <c r="AII63" s="15">
        <v>0</v>
      </c>
      <c r="AIJ63" s="15">
        <v>0</v>
      </c>
      <c r="AIK63" s="15">
        <v>0</v>
      </c>
      <c r="AIL63" s="15">
        <v>0</v>
      </c>
      <c r="AIM63" s="15">
        <v>0</v>
      </c>
      <c r="AIN63" s="15">
        <v>0</v>
      </c>
      <c r="AIO63" s="15">
        <v>0</v>
      </c>
      <c r="AIP63" s="15">
        <v>0</v>
      </c>
      <c r="AIQ63" s="15">
        <v>0</v>
      </c>
      <c r="AIR63" s="15">
        <v>0</v>
      </c>
      <c r="AIS63" s="15">
        <v>0</v>
      </c>
      <c r="AIT63" s="15">
        <v>0</v>
      </c>
      <c r="AIU63" s="15">
        <v>0</v>
      </c>
      <c r="AIV63" s="15">
        <v>0</v>
      </c>
      <c r="AIW63" s="15">
        <v>0</v>
      </c>
      <c r="AIX63" s="15">
        <v>0</v>
      </c>
      <c r="AIY63" s="15">
        <v>0</v>
      </c>
      <c r="AIZ63" s="15">
        <v>0</v>
      </c>
      <c r="AJA63" s="15">
        <v>0</v>
      </c>
      <c r="AJB63" s="15">
        <v>0</v>
      </c>
      <c r="AJC63" s="15">
        <v>0</v>
      </c>
      <c r="AJD63" s="15">
        <v>0</v>
      </c>
      <c r="AJE63" s="15">
        <v>0</v>
      </c>
      <c r="AJF63" s="15"/>
      <c r="AJG63" s="15">
        <v>0</v>
      </c>
      <c r="AJH63" s="15">
        <v>0</v>
      </c>
      <c r="AJI63" s="15">
        <v>0</v>
      </c>
      <c r="AJJ63" s="15">
        <v>0</v>
      </c>
      <c r="AJK63" s="15">
        <v>0</v>
      </c>
      <c r="AJL63" s="15">
        <v>0</v>
      </c>
      <c r="AJM63" s="15">
        <v>0</v>
      </c>
      <c r="AJN63" s="15"/>
      <c r="AJO63" s="15">
        <v>0</v>
      </c>
      <c r="AJP63" s="15">
        <v>0</v>
      </c>
      <c r="AJQ63" s="15">
        <v>0</v>
      </c>
      <c r="AJR63" s="15">
        <v>0</v>
      </c>
      <c r="AJS63" s="15">
        <v>0</v>
      </c>
      <c r="AJT63" s="15">
        <v>0</v>
      </c>
      <c r="AJU63" s="15">
        <v>0</v>
      </c>
      <c r="AJV63" s="15">
        <v>0</v>
      </c>
      <c r="AJW63" s="15">
        <v>0</v>
      </c>
      <c r="AJX63" s="15"/>
      <c r="AJY63" s="15">
        <v>0</v>
      </c>
      <c r="AJZ63" s="15">
        <v>0</v>
      </c>
      <c r="AKA63" s="15">
        <v>0</v>
      </c>
      <c r="AKB63" s="15">
        <v>0</v>
      </c>
      <c r="AKC63" s="15">
        <v>0</v>
      </c>
      <c r="AKD63" s="15">
        <v>0</v>
      </c>
      <c r="AKE63" s="15">
        <v>0</v>
      </c>
      <c r="AKF63" s="15">
        <v>0</v>
      </c>
      <c r="AKG63" s="15">
        <v>0</v>
      </c>
      <c r="AKH63" s="15">
        <v>0</v>
      </c>
      <c r="AKI63" s="15"/>
      <c r="AKJ63" s="15">
        <v>0</v>
      </c>
      <c r="AKK63" s="15">
        <v>0</v>
      </c>
      <c r="AKL63" s="15">
        <v>0</v>
      </c>
      <c r="AKM63" s="15">
        <v>0</v>
      </c>
      <c r="AKN63" s="15">
        <v>0</v>
      </c>
      <c r="AKO63" s="15">
        <v>0</v>
      </c>
      <c r="AKP63" s="15">
        <v>0</v>
      </c>
      <c r="AKQ63" s="15">
        <v>0</v>
      </c>
      <c r="AKR63" s="15">
        <v>0</v>
      </c>
      <c r="AKS63" s="15">
        <v>0</v>
      </c>
      <c r="AKT63" s="15">
        <v>0</v>
      </c>
      <c r="AKU63" s="15">
        <v>0</v>
      </c>
      <c r="AKV63" s="15">
        <v>0</v>
      </c>
      <c r="AKW63" s="15">
        <v>0</v>
      </c>
      <c r="AKX63" s="15"/>
      <c r="AKY63" s="15">
        <v>0</v>
      </c>
      <c r="AKZ63" s="15">
        <v>0</v>
      </c>
      <c r="ALA63" s="15">
        <v>0</v>
      </c>
      <c r="ALB63" s="15">
        <v>0</v>
      </c>
      <c r="ALC63" s="15">
        <v>0</v>
      </c>
      <c r="ALD63" s="15">
        <v>0</v>
      </c>
      <c r="ALE63" s="15">
        <v>0</v>
      </c>
      <c r="ALF63" s="15">
        <v>0</v>
      </c>
      <c r="ALG63" s="15">
        <v>0</v>
      </c>
      <c r="ALH63" s="15">
        <v>0</v>
      </c>
      <c r="ALI63" s="15">
        <v>0</v>
      </c>
      <c r="ALJ63" s="15">
        <v>0</v>
      </c>
      <c r="ALK63" s="15">
        <v>0</v>
      </c>
      <c r="ALL63" s="15">
        <v>0</v>
      </c>
      <c r="ALM63" s="15"/>
      <c r="ALN63" s="15">
        <v>0</v>
      </c>
      <c r="ALO63" s="15">
        <v>0</v>
      </c>
      <c r="ALP63" s="15">
        <v>0</v>
      </c>
      <c r="ALQ63" s="15">
        <v>0</v>
      </c>
      <c r="ALR63" s="15">
        <v>0</v>
      </c>
      <c r="ALS63" s="15">
        <v>0</v>
      </c>
      <c r="ALT63" s="15">
        <v>0</v>
      </c>
      <c r="ALU63" s="15">
        <v>0</v>
      </c>
      <c r="ALV63" s="15">
        <v>0</v>
      </c>
      <c r="ALW63" s="15">
        <v>0</v>
      </c>
      <c r="ALX63" s="15">
        <v>0</v>
      </c>
      <c r="ALY63" s="15">
        <v>0</v>
      </c>
      <c r="ALZ63" s="15">
        <v>0</v>
      </c>
      <c r="AMA63" s="15">
        <v>0</v>
      </c>
      <c r="AMB63" s="15">
        <v>0</v>
      </c>
      <c r="AMC63" s="15"/>
      <c r="AMD63" s="15">
        <v>0</v>
      </c>
      <c r="AME63" s="15">
        <v>0</v>
      </c>
      <c r="AMF63" s="15">
        <v>0</v>
      </c>
      <c r="AMG63" s="15">
        <v>0</v>
      </c>
      <c r="AMH63" s="15">
        <v>0</v>
      </c>
      <c r="AMI63" s="15">
        <v>0</v>
      </c>
      <c r="AMJ63" s="15">
        <v>0</v>
      </c>
      <c r="AMK63" s="15">
        <v>0</v>
      </c>
      <c r="AML63" s="15">
        <v>0</v>
      </c>
      <c r="AMM63" s="15">
        <v>0</v>
      </c>
      <c r="AMN63" s="15">
        <v>0</v>
      </c>
      <c r="AMO63" s="15">
        <v>0</v>
      </c>
      <c r="AMP63" s="15">
        <v>0</v>
      </c>
      <c r="AMQ63" s="15">
        <v>0</v>
      </c>
      <c r="AMR63" s="15">
        <v>0</v>
      </c>
      <c r="AMS63" s="15">
        <v>0</v>
      </c>
      <c r="AMT63" s="15">
        <v>0</v>
      </c>
      <c r="AMU63" s="15">
        <v>0</v>
      </c>
      <c r="AMV63" s="15">
        <v>0</v>
      </c>
      <c r="AMW63" s="15">
        <v>0</v>
      </c>
      <c r="AMX63" s="15">
        <v>0</v>
      </c>
      <c r="AMY63" s="15">
        <v>0</v>
      </c>
      <c r="AMZ63" s="15">
        <v>0</v>
      </c>
      <c r="ANA63" s="15">
        <v>0</v>
      </c>
      <c r="ANB63" s="15">
        <v>0</v>
      </c>
      <c r="ANC63" s="15">
        <v>0</v>
      </c>
      <c r="AND63" s="15">
        <v>0</v>
      </c>
      <c r="ANE63" s="15"/>
      <c r="ANF63" s="15"/>
      <c r="ANG63" s="15"/>
      <c r="ANH63" s="15"/>
      <c r="ANI63" s="15"/>
      <c r="ANJ63" s="15"/>
      <c r="ANK63" s="15"/>
      <c r="ANL63" s="15"/>
      <c r="ANM63" s="15"/>
      <c r="ANN63" s="15"/>
      <c r="ANO63" s="15"/>
      <c r="ANP63" s="15"/>
      <c r="ANQ63" s="15"/>
      <c r="ANR63" s="15"/>
      <c r="ANS63" s="15"/>
      <c r="ANT63" s="15"/>
      <c r="ANU63" s="15"/>
      <c r="ANV63" s="15"/>
      <c r="ANW63" s="15"/>
      <c r="ANX63" s="15"/>
      <c r="ANY63" s="15"/>
      <c r="ANZ63" s="15"/>
      <c r="AOA63" s="15"/>
      <c r="AOB63" s="15"/>
      <c r="AOC63" s="15"/>
      <c r="AOD63" s="15"/>
      <c r="AOE63" s="15"/>
      <c r="AOF63" s="15"/>
      <c r="AOG63" s="15"/>
      <c r="AOH63" s="15"/>
      <c r="AOI63" s="15"/>
      <c r="AOJ63" s="15"/>
      <c r="AOK63" s="15"/>
      <c r="AOL63" s="15"/>
      <c r="AOM63" s="15"/>
      <c r="AON63" s="15"/>
      <c r="AOO63" s="15"/>
      <c r="AOP63" s="15"/>
      <c r="AOQ63" s="15"/>
      <c r="AOR63" s="15"/>
      <c r="AOS63" s="15"/>
      <c r="AOT63" s="15"/>
      <c r="AOU63" s="15"/>
      <c r="AOV63" s="15"/>
      <c r="AOW63" s="15"/>
      <c r="AOX63" s="15"/>
      <c r="AOY63" s="15"/>
      <c r="AOZ63" s="15"/>
      <c r="APA63" s="15"/>
      <c r="APB63" s="15"/>
      <c r="APC63" s="15"/>
      <c r="APD63" s="15"/>
      <c r="APE63" s="15"/>
      <c r="APF63" s="15"/>
      <c r="APG63" s="15"/>
      <c r="APH63" s="15"/>
      <c r="API63" s="15"/>
      <c r="APJ63" s="15"/>
      <c r="APK63" s="15"/>
      <c r="APL63" s="15"/>
      <c r="APM63" s="15"/>
      <c r="APN63" s="15"/>
      <c r="APO63" s="15"/>
      <c r="APP63" s="15"/>
      <c r="APQ63" s="15"/>
      <c r="APR63" s="15"/>
      <c r="APS63" s="15"/>
      <c r="APT63" s="15"/>
      <c r="APU63" s="15"/>
      <c r="APV63" s="15"/>
      <c r="APW63" s="15"/>
      <c r="APX63" s="15"/>
      <c r="APY63" s="15"/>
      <c r="APZ63" s="15"/>
      <c r="AQA63" s="15"/>
      <c r="AQB63" s="15"/>
    </row>
    <row r="64" spans="1:1120" s="17" customFormat="1" ht="15" customHeight="1" x14ac:dyDescent="0.25">
      <c r="A64" s="11" t="s">
        <v>3</v>
      </c>
      <c r="B64" s="6" t="s">
        <v>52</v>
      </c>
      <c r="C64" s="15">
        <v>0</v>
      </c>
      <c r="D64" s="15">
        <v>0</v>
      </c>
      <c r="E64" s="15">
        <v>0</v>
      </c>
      <c r="F64" s="15">
        <v>0</v>
      </c>
      <c r="G64" s="15">
        <v>0</v>
      </c>
      <c r="H64" s="15">
        <v>0</v>
      </c>
      <c r="I64" s="15">
        <v>0</v>
      </c>
      <c r="J64" s="15"/>
      <c r="K64" s="15">
        <v>0</v>
      </c>
      <c r="L64" s="15">
        <v>0</v>
      </c>
      <c r="M64" s="15">
        <v>0</v>
      </c>
      <c r="N64" s="15">
        <v>0</v>
      </c>
      <c r="O64" s="15">
        <v>0</v>
      </c>
      <c r="P64" s="15">
        <v>0</v>
      </c>
      <c r="Q64" s="15"/>
      <c r="R64" s="15">
        <v>0</v>
      </c>
      <c r="S64" s="15">
        <v>0</v>
      </c>
      <c r="T64" s="15">
        <v>0</v>
      </c>
      <c r="U64" s="15">
        <v>0</v>
      </c>
      <c r="V64" s="15">
        <v>0</v>
      </c>
      <c r="W64" s="15">
        <v>0</v>
      </c>
      <c r="X64" s="15"/>
      <c r="Y64" s="15">
        <v>0</v>
      </c>
      <c r="Z64" s="15">
        <v>0</v>
      </c>
      <c r="AA64" s="15">
        <v>0</v>
      </c>
      <c r="AB64" s="15">
        <v>0</v>
      </c>
      <c r="AC64" s="15">
        <v>0</v>
      </c>
      <c r="AD64" s="15">
        <v>0</v>
      </c>
      <c r="AE64" s="15"/>
      <c r="AF64" s="15">
        <v>0</v>
      </c>
      <c r="AG64" s="15">
        <v>0</v>
      </c>
      <c r="AH64" s="15">
        <v>0</v>
      </c>
      <c r="AI64" s="15">
        <v>0</v>
      </c>
      <c r="AJ64" s="15">
        <v>0</v>
      </c>
      <c r="AK64" s="15">
        <v>0</v>
      </c>
      <c r="AL64" s="15"/>
      <c r="AM64" s="15">
        <v>0</v>
      </c>
      <c r="AN64" s="15">
        <v>0</v>
      </c>
      <c r="AO64" s="15">
        <v>0</v>
      </c>
      <c r="AP64" s="15">
        <v>0</v>
      </c>
      <c r="AQ64" s="15">
        <v>0</v>
      </c>
      <c r="AR64" s="15">
        <v>0</v>
      </c>
      <c r="AS64" s="15">
        <v>0</v>
      </c>
      <c r="AT64" s="15">
        <v>0</v>
      </c>
      <c r="AU64" s="15">
        <v>0</v>
      </c>
      <c r="AV64" s="15">
        <v>0</v>
      </c>
      <c r="AW64" s="15">
        <v>0</v>
      </c>
      <c r="AX64" s="15">
        <v>0</v>
      </c>
      <c r="AY64" s="15">
        <v>0</v>
      </c>
      <c r="AZ64" s="15">
        <v>0</v>
      </c>
      <c r="BA64" s="15">
        <v>0</v>
      </c>
      <c r="BB64" s="15">
        <v>0</v>
      </c>
      <c r="BC64" s="15">
        <v>0</v>
      </c>
      <c r="BD64" s="15">
        <v>0</v>
      </c>
      <c r="BE64" s="15">
        <v>0</v>
      </c>
      <c r="BF64" s="15">
        <v>0</v>
      </c>
      <c r="BG64" s="15">
        <v>0</v>
      </c>
      <c r="BH64" s="15">
        <v>0</v>
      </c>
      <c r="BI64" s="15">
        <v>0</v>
      </c>
      <c r="BJ64" s="15">
        <v>0</v>
      </c>
      <c r="BK64" s="15">
        <v>0</v>
      </c>
      <c r="BL64" s="15">
        <v>0</v>
      </c>
      <c r="BM64" s="15">
        <v>0</v>
      </c>
      <c r="BN64" s="15">
        <v>0</v>
      </c>
      <c r="BO64" s="15">
        <v>0</v>
      </c>
      <c r="BP64" s="15">
        <v>0</v>
      </c>
      <c r="BQ64" s="15">
        <v>0</v>
      </c>
      <c r="BR64" s="15">
        <v>0</v>
      </c>
      <c r="BS64" s="15">
        <v>0</v>
      </c>
      <c r="BT64" s="15">
        <v>0</v>
      </c>
      <c r="BU64" s="15">
        <v>0</v>
      </c>
      <c r="BV64" s="15">
        <v>0</v>
      </c>
      <c r="BW64" s="15">
        <v>0</v>
      </c>
      <c r="BX64" s="15">
        <v>0</v>
      </c>
      <c r="BY64" s="15">
        <v>0</v>
      </c>
      <c r="BZ64" s="15">
        <v>0</v>
      </c>
      <c r="CA64" s="15">
        <v>0</v>
      </c>
      <c r="CB64" s="15">
        <v>0</v>
      </c>
      <c r="CC64" s="15">
        <v>0</v>
      </c>
      <c r="CD64" s="15">
        <v>0</v>
      </c>
      <c r="CE64" s="15">
        <v>0</v>
      </c>
      <c r="CF64" s="15">
        <v>0</v>
      </c>
      <c r="CG64" s="15">
        <v>0</v>
      </c>
      <c r="CH64" s="15">
        <v>0</v>
      </c>
      <c r="CI64" s="15">
        <v>0</v>
      </c>
      <c r="CJ64" s="15">
        <v>0</v>
      </c>
      <c r="CK64" s="15">
        <v>0</v>
      </c>
      <c r="CL64" s="15">
        <v>0</v>
      </c>
      <c r="CM64" s="15">
        <v>0</v>
      </c>
      <c r="CN64" s="15">
        <v>0</v>
      </c>
      <c r="CO64" s="15">
        <v>0</v>
      </c>
      <c r="CP64" s="15">
        <v>0</v>
      </c>
      <c r="CQ64" s="15">
        <v>0</v>
      </c>
      <c r="CR64" s="15">
        <v>0</v>
      </c>
      <c r="CS64" s="15">
        <v>0</v>
      </c>
      <c r="CT64" s="15">
        <v>0</v>
      </c>
      <c r="CU64" s="15">
        <v>0</v>
      </c>
      <c r="CV64" s="15">
        <v>0</v>
      </c>
      <c r="CW64" s="15">
        <v>0</v>
      </c>
      <c r="CX64" s="15">
        <v>0</v>
      </c>
      <c r="CY64" s="15">
        <v>0</v>
      </c>
      <c r="CZ64" s="15">
        <v>0</v>
      </c>
      <c r="DA64" s="15">
        <v>0</v>
      </c>
      <c r="DB64" s="15">
        <v>0</v>
      </c>
      <c r="DC64" s="15">
        <v>0</v>
      </c>
      <c r="DD64" s="15">
        <v>0</v>
      </c>
      <c r="DE64" s="15">
        <v>0</v>
      </c>
      <c r="DF64" s="15">
        <v>0</v>
      </c>
      <c r="DG64" s="15">
        <v>0</v>
      </c>
      <c r="DH64" s="15">
        <v>0</v>
      </c>
      <c r="DI64" s="15">
        <v>0</v>
      </c>
      <c r="DJ64" s="15">
        <v>0</v>
      </c>
      <c r="DK64" s="15">
        <v>0</v>
      </c>
      <c r="DL64" s="15">
        <v>0</v>
      </c>
      <c r="DM64" s="15">
        <v>0</v>
      </c>
      <c r="DN64" s="15">
        <v>0</v>
      </c>
      <c r="DO64" s="15">
        <v>0</v>
      </c>
      <c r="DP64" s="15">
        <v>0</v>
      </c>
      <c r="DQ64" s="15">
        <v>0</v>
      </c>
      <c r="DR64" s="15">
        <v>0</v>
      </c>
      <c r="DS64" s="15">
        <v>0</v>
      </c>
      <c r="DT64" s="15">
        <v>0</v>
      </c>
      <c r="DU64" s="15">
        <v>0</v>
      </c>
      <c r="DV64" s="15">
        <v>0</v>
      </c>
      <c r="DW64" s="15">
        <v>0</v>
      </c>
      <c r="DX64" s="15">
        <v>0</v>
      </c>
      <c r="DY64" s="15">
        <v>0</v>
      </c>
      <c r="DZ64" s="15">
        <v>0</v>
      </c>
      <c r="EA64" s="15">
        <v>0</v>
      </c>
      <c r="EB64" s="15">
        <v>0</v>
      </c>
      <c r="EC64" s="15">
        <v>0</v>
      </c>
      <c r="ED64" s="15">
        <v>0</v>
      </c>
      <c r="EE64" s="15">
        <v>0</v>
      </c>
      <c r="EF64" s="15">
        <v>0</v>
      </c>
      <c r="EG64" s="15">
        <v>0</v>
      </c>
      <c r="EH64" s="15">
        <v>0</v>
      </c>
      <c r="EI64" s="15">
        <v>0</v>
      </c>
      <c r="EJ64" s="15">
        <v>0</v>
      </c>
      <c r="EK64" s="15">
        <v>0</v>
      </c>
      <c r="EL64" s="15">
        <v>0</v>
      </c>
      <c r="EM64" s="15">
        <v>0</v>
      </c>
      <c r="EN64" s="15">
        <v>0</v>
      </c>
      <c r="EO64" s="15">
        <v>0</v>
      </c>
      <c r="EP64" s="15">
        <v>0</v>
      </c>
      <c r="EQ64" s="15">
        <v>0</v>
      </c>
      <c r="ER64" s="15">
        <v>0</v>
      </c>
      <c r="ES64" s="15">
        <v>0</v>
      </c>
      <c r="ET64" s="15">
        <v>0</v>
      </c>
      <c r="EU64" s="15">
        <v>0</v>
      </c>
      <c r="EV64" s="15">
        <v>0</v>
      </c>
      <c r="EW64" s="15">
        <v>0</v>
      </c>
      <c r="EX64" s="15">
        <v>0</v>
      </c>
      <c r="EY64" s="15">
        <v>0</v>
      </c>
      <c r="EZ64" s="15">
        <v>0</v>
      </c>
      <c r="FA64" s="15">
        <v>0</v>
      </c>
      <c r="FB64" s="15">
        <v>0</v>
      </c>
      <c r="FC64" s="15">
        <v>0</v>
      </c>
      <c r="FD64" s="15"/>
      <c r="FE64" s="15">
        <v>0</v>
      </c>
      <c r="FF64" s="15">
        <v>0</v>
      </c>
      <c r="FG64" s="15">
        <v>0</v>
      </c>
      <c r="FH64" s="15">
        <v>0</v>
      </c>
      <c r="FI64" s="15">
        <v>0</v>
      </c>
      <c r="FJ64" s="15">
        <v>0</v>
      </c>
      <c r="FK64" s="15">
        <v>128</v>
      </c>
      <c r="FL64" s="15">
        <v>0</v>
      </c>
      <c r="FM64" s="15">
        <v>0</v>
      </c>
      <c r="FN64" s="15">
        <v>0</v>
      </c>
      <c r="FO64" s="15">
        <v>0</v>
      </c>
      <c r="FP64" s="15">
        <v>0</v>
      </c>
      <c r="FQ64" s="15">
        <v>0</v>
      </c>
      <c r="FR64" s="15">
        <v>128</v>
      </c>
      <c r="FS64" s="15">
        <v>0</v>
      </c>
      <c r="FT64" s="15">
        <v>0</v>
      </c>
      <c r="FU64" s="15">
        <v>0</v>
      </c>
      <c r="FV64" s="15">
        <v>0</v>
      </c>
      <c r="FW64" s="15">
        <v>0</v>
      </c>
      <c r="FX64" s="15">
        <v>0</v>
      </c>
      <c r="FY64" s="15">
        <v>128</v>
      </c>
      <c r="FZ64" s="15">
        <v>0</v>
      </c>
      <c r="GA64" s="15">
        <v>0</v>
      </c>
      <c r="GB64" s="15">
        <v>0</v>
      </c>
      <c r="GC64" s="15">
        <v>0</v>
      </c>
      <c r="GD64" s="15">
        <v>0</v>
      </c>
      <c r="GE64" s="15">
        <v>0</v>
      </c>
      <c r="GF64" s="15">
        <v>128</v>
      </c>
      <c r="GG64" s="15">
        <v>0</v>
      </c>
      <c r="GH64" s="15">
        <v>0</v>
      </c>
      <c r="GI64" s="15">
        <v>0</v>
      </c>
      <c r="GJ64" s="15">
        <v>0</v>
      </c>
      <c r="GK64" s="15">
        <v>0</v>
      </c>
      <c r="GL64" s="15">
        <v>0</v>
      </c>
      <c r="GM64" s="15">
        <v>128</v>
      </c>
      <c r="GN64" s="15">
        <v>0</v>
      </c>
      <c r="GO64" s="15">
        <v>0</v>
      </c>
      <c r="GP64" s="15">
        <v>0</v>
      </c>
      <c r="GQ64" s="15">
        <v>0</v>
      </c>
      <c r="GR64" s="15">
        <v>0</v>
      </c>
      <c r="GS64" s="15">
        <v>0</v>
      </c>
      <c r="GT64" s="15">
        <v>128</v>
      </c>
      <c r="GU64" s="15">
        <v>0</v>
      </c>
      <c r="GV64" s="15">
        <v>0</v>
      </c>
      <c r="GW64" s="15">
        <v>0</v>
      </c>
      <c r="GX64" s="15">
        <v>0</v>
      </c>
      <c r="GY64" s="15">
        <v>0</v>
      </c>
      <c r="GZ64" s="15">
        <v>0</v>
      </c>
      <c r="HA64" s="15">
        <v>128</v>
      </c>
      <c r="HB64" s="15">
        <v>0</v>
      </c>
      <c r="HC64" s="15">
        <v>0</v>
      </c>
      <c r="HD64" s="15">
        <v>0</v>
      </c>
      <c r="HE64" s="15">
        <v>0</v>
      </c>
      <c r="HF64" s="15">
        <v>0</v>
      </c>
      <c r="HG64" s="15">
        <v>0</v>
      </c>
      <c r="HH64" s="15">
        <v>128</v>
      </c>
      <c r="HI64" s="15">
        <v>0</v>
      </c>
      <c r="HJ64" s="15">
        <v>0</v>
      </c>
      <c r="HK64" s="15">
        <v>0</v>
      </c>
      <c r="HL64" s="15">
        <v>0</v>
      </c>
      <c r="HM64" s="15">
        <v>0</v>
      </c>
      <c r="HN64" s="15">
        <v>0</v>
      </c>
      <c r="HO64" s="15">
        <v>128</v>
      </c>
      <c r="HP64" s="15">
        <v>0</v>
      </c>
      <c r="HQ64" s="15">
        <v>0</v>
      </c>
      <c r="HR64" s="15">
        <v>0</v>
      </c>
      <c r="HS64" s="15">
        <v>0</v>
      </c>
      <c r="HT64" s="15">
        <v>0</v>
      </c>
      <c r="HU64" s="15">
        <v>0</v>
      </c>
      <c r="HV64" s="15">
        <v>128</v>
      </c>
      <c r="HW64" s="15">
        <v>0</v>
      </c>
      <c r="HX64" s="15">
        <v>0</v>
      </c>
      <c r="HY64" s="15">
        <v>0</v>
      </c>
      <c r="HZ64" s="15">
        <v>0</v>
      </c>
      <c r="IA64" s="15">
        <v>128</v>
      </c>
      <c r="IB64" s="15"/>
      <c r="IC64" s="15">
        <v>0</v>
      </c>
      <c r="ID64" s="15">
        <v>0</v>
      </c>
      <c r="IE64" s="15">
        <v>0</v>
      </c>
      <c r="IF64" s="15">
        <v>0</v>
      </c>
      <c r="IG64" s="15">
        <v>0</v>
      </c>
      <c r="IH64" s="15">
        <v>0</v>
      </c>
      <c r="II64" s="15">
        <v>128</v>
      </c>
      <c r="IJ64" s="15">
        <v>0</v>
      </c>
      <c r="IK64" s="15"/>
      <c r="IL64" s="15">
        <v>0</v>
      </c>
      <c r="IM64" s="15">
        <v>0</v>
      </c>
      <c r="IN64" s="15">
        <v>0</v>
      </c>
      <c r="IO64" s="15">
        <v>0</v>
      </c>
      <c r="IP64" s="15">
        <v>0</v>
      </c>
      <c r="IQ64" s="15">
        <v>0</v>
      </c>
      <c r="IR64" s="15">
        <v>128</v>
      </c>
      <c r="IS64" s="15">
        <f t="shared" ref="IS64:JX64" si="943">IF(EXACT(IS28,"LVC_LOAD_E"),BIN2DEC(IS87),IF(EXACT(IS28,"LVC_UNLOAD_E"),0,IF((IR64&lt;&gt;0),BIN2DEC(IS87),0)))</f>
        <v>0</v>
      </c>
      <c r="IT64" s="15">
        <f t="shared" si="943"/>
        <v>0</v>
      </c>
      <c r="IU64" s="15">
        <f t="shared" si="943"/>
        <v>0</v>
      </c>
      <c r="IV64" s="15">
        <f t="shared" si="943"/>
        <v>0</v>
      </c>
      <c r="IW64" s="15">
        <f t="shared" si="943"/>
        <v>0</v>
      </c>
      <c r="IX64" s="15">
        <f t="shared" si="943"/>
        <v>0</v>
      </c>
      <c r="IY64" s="15">
        <f t="shared" si="943"/>
        <v>0</v>
      </c>
      <c r="IZ64" s="15">
        <f t="shared" si="943"/>
        <v>0</v>
      </c>
      <c r="JA64" s="15">
        <f t="shared" si="943"/>
        <v>0</v>
      </c>
      <c r="JB64" s="15">
        <f t="shared" si="943"/>
        <v>0</v>
      </c>
      <c r="JC64" s="15">
        <f t="shared" si="943"/>
        <v>0</v>
      </c>
      <c r="JD64" s="15">
        <f t="shared" si="943"/>
        <v>0</v>
      </c>
      <c r="JE64" s="15">
        <f t="shared" si="943"/>
        <v>228</v>
      </c>
      <c r="JF64" s="15">
        <f t="shared" si="943"/>
        <v>157</v>
      </c>
      <c r="JG64" s="15">
        <f t="shared" si="943"/>
        <v>36</v>
      </c>
      <c r="JH64" s="15">
        <f t="shared" si="943"/>
        <v>128</v>
      </c>
      <c r="JI64" s="15">
        <f t="shared" si="943"/>
        <v>160</v>
      </c>
      <c r="JJ64" s="15">
        <f t="shared" si="943"/>
        <v>128</v>
      </c>
      <c r="JK64" s="15">
        <f t="shared" si="943"/>
        <v>161</v>
      </c>
      <c r="JL64" s="15">
        <f t="shared" si="943"/>
        <v>128</v>
      </c>
      <c r="JM64" s="15">
        <f t="shared" si="943"/>
        <v>145</v>
      </c>
      <c r="JN64" s="15">
        <f t="shared" si="943"/>
        <v>162</v>
      </c>
      <c r="JO64" s="15">
        <f t="shared" si="943"/>
        <v>162</v>
      </c>
      <c r="JP64" s="15">
        <f t="shared" si="943"/>
        <v>162</v>
      </c>
      <c r="JQ64" s="15">
        <f t="shared" si="943"/>
        <v>168</v>
      </c>
      <c r="JR64" s="15">
        <f t="shared" si="943"/>
        <v>168</v>
      </c>
      <c r="JS64" s="15">
        <f t="shared" si="943"/>
        <v>168</v>
      </c>
      <c r="JT64" s="15">
        <f t="shared" si="943"/>
        <v>164</v>
      </c>
      <c r="JU64" s="15">
        <f t="shared" si="943"/>
        <v>172</v>
      </c>
      <c r="JV64" s="15">
        <f t="shared" si="943"/>
        <v>172</v>
      </c>
      <c r="JW64" s="15">
        <f t="shared" si="943"/>
        <v>144</v>
      </c>
      <c r="JX64" s="15">
        <f t="shared" si="943"/>
        <v>144</v>
      </c>
      <c r="JY64" s="15">
        <f t="shared" ref="JY64:LD64" si="944">IF(EXACT(JY28,"LVC_LOAD_E"),BIN2DEC(JY87),IF(EXACT(JY28,"LVC_UNLOAD_E"),0,IF((JX64&lt;&gt;0),BIN2DEC(JY87),0)))</f>
        <v>128</v>
      </c>
      <c r="JZ64" s="15">
        <f t="shared" si="944"/>
        <v>128</v>
      </c>
      <c r="KA64" s="15">
        <f t="shared" si="944"/>
        <v>128</v>
      </c>
      <c r="KB64" s="15">
        <f t="shared" si="944"/>
        <v>128</v>
      </c>
      <c r="KC64" s="15">
        <f t="shared" si="944"/>
        <v>128</v>
      </c>
      <c r="KD64" s="15">
        <f t="shared" si="944"/>
        <v>128</v>
      </c>
      <c r="KE64" s="15">
        <f t="shared" si="944"/>
        <v>129</v>
      </c>
      <c r="KF64" s="15">
        <f t="shared" si="944"/>
        <v>129</v>
      </c>
      <c r="KG64" s="15">
        <f t="shared" si="944"/>
        <v>192</v>
      </c>
      <c r="KH64" s="15">
        <f t="shared" si="944"/>
        <v>128</v>
      </c>
      <c r="KI64" s="15">
        <f t="shared" si="944"/>
        <v>128</v>
      </c>
      <c r="KJ64" s="15">
        <f t="shared" si="944"/>
        <v>128</v>
      </c>
      <c r="KK64" s="15">
        <f t="shared" si="944"/>
        <v>224</v>
      </c>
      <c r="KL64" s="15">
        <f t="shared" si="944"/>
        <v>224</v>
      </c>
      <c r="KM64" s="15">
        <f t="shared" si="944"/>
        <v>128</v>
      </c>
      <c r="KN64" s="15">
        <f t="shared" si="944"/>
        <v>128</v>
      </c>
      <c r="KO64" s="15">
        <f t="shared" si="944"/>
        <v>128</v>
      </c>
      <c r="KP64" s="15">
        <f t="shared" si="944"/>
        <v>0</v>
      </c>
      <c r="KQ64" s="15">
        <f t="shared" si="944"/>
        <v>128</v>
      </c>
      <c r="KR64" s="15">
        <f t="shared" si="944"/>
        <v>0</v>
      </c>
      <c r="KS64" s="15">
        <f t="shared" si="944"/>
        <v>0</v>
      </c>
      <c r="KT64" s="15">
        <f t="shared" si="944"/>
        <v>0</v>
      </c>
      <c r="KU64" s="15">
        <f t="shared" si="944"/>
        <v>0</v>
      </c>
      <c r="KV64" s="15">
        <f t="shared" si="944"/>
        <v>0</v>
      </c>
      <c r="KW64" s="15">
        <f t="shared" si="944"/>
        <v>0</v>
      </c>
      <c r="KX64" s="15">
        <f t="shared" si="944"/>
        <v>0</v>
      </c>
      <c r="KY64" s="15">
        <f t="shared" si="944"/>
        <v>130</v>
      </c>
      <c r="KZ64" s="15">
        <f t="shared" si="944"/>
        <v>130</v>
      </c>
      <c r="LA64" s="15">
        <f t="shared" si="944"/>
        <v>130</v>
      </c>
      <c r="LB64" s="15">
        <f t="shared" si="944"/>
        <v>130</v>
      </c>
      <c r="LC64" s="15">
        <f t="shared" si="944"/>
        <v>130</v>
      </c>
      <c r="LD64" s="15">
        <f t="shared" si="944"/>
        <v>130</v>
      </c>
      <c r="LE64" s="15">
        <f t="shared" ref="LE64:MJ64" si="945">IF(EXACT(LE28,"LVC_LOAD_E"),BIN2DEC(LE87),IF(EXACT(LE28,"LVC_UNLOAD_E"),0,IF((LD64&lt;&gt;0),BIN2DEC(LE87),0)))</f>
        <v>136</v>
      </c>
      <c r="LF64" s="15">
        <f t="shared" si="945"/>
        <v>136</v>
      </c>
      <c r="LG64" s="15">
        <f t="shared" si="945"/>
        <v>136</v>
      </c>
      <c r="LH64" s="15">
        <f t="shared" si="945"/>
        <v>136</v>
      </c>
      <c r="LI64" s="15">
        <f t="shared" si="945"/>
        <v>136</v>
      </c>
      <c r="LJ64" s="15">
        <f t="shared" si="945"/>
        <v>136</v>
      </c>
      <c r="LK64" s="15">
        <f t="shared" si="945"/>
        <v>132</v>
      </c>
      <c r="LL64" s="15">
        <f t="shared" si="945"/>
        <v>132</v>
      </c>
      <c r="LM64" s="15">
        <f t="shared" si="945"/>
        <v>132</v>
      </c>
      <c r="LN64" s="15">
        <f t="shared" si="945"/>
        <v>132</v>
      </c>
      <c r="LO64" s="15">
        <f t="shared" si="945"/>
        <v>132</v>
      </c>
      <c r="LP64" s="15">
        <f t="shared" si="945"/>
        <v>132</v>
      </c>
      <c r="LQ64" s="15">
        <f t="shared" si="945"/>
        <v>0</v>
      </c>
      <c r="LR64" s="15">
        <f t="shared" si="945"/>
        <v>0</v>
      </c>
      <c r="LS64" s="15">
        <f t="shared" si="945"/>
        <v>0</v>
      </c>
      <c r="LT64" s="15">
        <f t="shared" si="945"/>
        <v>0</v>
      </c>
      <c r="LU64" s="15">
        <f t="shared" si="945"/>
        <v>159</v>
      </c>
      <c r="LV64" s="15">
        <f t="shared" si="945"/>
        <v>192</v>
      </c>
      <c r="LW64" s="15">
        <f t="shared" si="945"/>
        <v>143</v>
      </c>
      <c r="LX64" s="15">
        <f t="shared" si="945"/>
        <v>144</v>
      </c>
      <c r="LY64" s="15">
        <f t="shared" si="945"/>
        <v>239</v>
      </c>
      <c r="LZ64" s="15">
        <f t="shared" si="945"/>
        <v>159</v>
      </c>
      <c r="MA64" s="15">
        <f t="shared" si="945"/>
        <v>142</v>
      </c>
      <c r="MB64" s="15">
        <f t="shared" si="945"/>
        <v>238</v>
      </c>
      <c r="MC64" s="15">
        <f t="shared" si="945"/>
        <v>174</v>
      </c>
      <c r="MD64" s="15">
        <f t="shared" si="945"/>
        <v>143</v>
      </c>
      <c r="ME64" s="15">
        <f t="shared" si="945"/>
        <v>0</v>
      </c>
      <c r="MF64" s="15">
        <f t="shared" si="945"/>
        <v>0</v>
      </c>
      <c r="MG64" s="15">
        <f t="shared" si="945"/>
        <v>0</v>
      </c>
      <c r="MH64" s="15">
        <f t="shared" si="945"/>
        <v>0</v>
      </c>
      <c r="MI64" s="15">
        <f t="shared" si="945"/>
        <v>0</v>
      </c>
      <c r="MJ64" s="15">
        <f t="shared" si="945"/>
        <v>0</v>
      </c>
      <c r="MK64" s="15">
        <f t="shared" ref="MK64:NS64" si="946">IF(EXACT(MK28,"LVC_LOAD_E"),BIN2DEC(MK87),IF(EXACT(MK28,"LVC_UNLOAD_E"),0,IF((MJ64&lt;&gt;0),BIN2DEC(MK87),0)))</f>
        <v>0</v>
      </c>
      <c r="ML64" s="15">
        <f t="shared" si="946"/>
        <v>0</v>
      </c>
      <c r="MM64" s="15">
        <f t="shared" si="946"/>
        <v>0</v>
      </c>
      <c r="MN64" s="15">
        <f t="shared" si="946"/>
        <v>0</v>
      </c>
      <c r="MO64" s="15">
        <f t="shared" si="946"/>
        <v>0</v>
      </c>
      <c r="MP64" s="15">
        <f t="shared" si="946"/>
        <v>0</v>
      </c>
      <c r="MQ64" s="15">
        <f t="shared" si="946"/>
        <v>0</v>
      </c>
      <c r="MR64" s="15">
        <f t="shared" si="946"/>
        <v>0</v>
      </c>
      <c r="MS64" s="15">
        <f t="shared" si="946"/>
        <v>0</v>
      </c>
      <c r="MT64" s="15">
        <f t="shared" si="946"/>
        <v>0</v>
      </c>
      <c r="MU64" s="15">
        <f t="shared" si="946"/>
        <v>0</v>
      </c>
      <c r="MV64" s="15">
        <f t="shared" si="946"/>
        <v>0</v>
      </c>
      <c r="MW64" s="15">
        <f t="shared" si="946"/>
        <v>0</v>
      </c>
      <c r="MX64" s="15">
        <f t="shared" si="946"/>
        <v>0</v>
      </c>
      <c r="MY64" s="15">
        <f t="shared" si="946"/>
        <v>0</v>
      </c>
      <c r="MZ64" s="15">
        <f t="shared" si="946"/>
        <v>0</v>
      </c>
      <c r="NA64" s="15">
        <f t="shared" si="946"/>
        <v>0</v>
      </c>
      <c r="NB64" s="15">
        <f t="shared" si="946"/>
        <v>0</v>
      </c>
      <c r="NC64" s="15">
        <f t="shared" si="946"/>
        <v>0</v>
      </c>
      <c r="ND64" s="15">
        <f t="shared" si="946"/>
        <v>0</v>
      </c>
      <c r="NE64" s="15">
        <f t="shared" si="946"/>
        <v>0</v>
      </c>
      <c r="NF64" s="15">
        <f t="shared" si="946"/>
        <v>0</v>
      </c>
      <c r="NG64" s="15">
        <f t="shared" si="946"/>
        <v>0</v>
      </c>
      <c r="NH64" s="15">
        <f t="shared" si="946"/>
        <v>0</v>
      </c>
      <c r="NI64" s="15">
        <f t="shared" si="946"/>
        <v>0</v>
      </c>
      <c r="NJ64" s="15">
        <f t="shared" si="946"/>
        <v>0</v>
      </c>
      <c r="NK64" s="15">
        <f t="shared" si="946"/>
        <v>0</v>
      </c>
      <c r="NL64" s="15">
        <f t="shared" si="946"/>
        <v>0</v>
      </c>
      <c r="NM64" s="15">
        <f t="shared" si="946"/>
        <v>128</v>
      </c>
      <c r="NN64" s="15">
        <f t="shared" si="946"/>
        <v>0</v>
      </c>
      <c r="NO64" s="15">
        <f t="shared" si="946"/>
        <v>0</v>
      </c>
      <c r="NP64" s="15">
        <f t="shared" si="946"/>
        <v>0</v>
      </c>
      <c r="NQ64" s="15">
        <f t="shared" si="946"/>
        <v>0</v>
      </c>
      <c r="NR64" s="15">
        <f t="shared" si="946"/>
        <v>128</v>
      </c>
      <c r="NS64" s="15">
        <f t="shared" si="946"/>
        <v>0</v>
      </c>
      <c r="NT64" s="15">
        <v>0</v>
      </c>
      <c r="NU64" s="15">
        <v>0</v>
      </c>
      <c r="NV64" s="15">
        <v>0</v>
      </c>
      <c r="NW64" s="15">
        <v>0</v>
      </c>
      <c r="NX64" s="15">
        <v>0</v>
      </c>
      <c r="NY64" s="15">
        <v>0</v>
      </c>
      <c r="NZ64" s="15">
        <v>0</v>
      </c>
      <c r="OA64" s="15">
        <v>0</v>
      </c>
      <c r="OB64" s="15">
        <v>0</v>
      </c>
      <c r="OC64" s="15">
        <v>0</v>
      </c>
      <c r="OD64" s="15">
        <v>0</v>
      </c>
      <c r="OE64" s="15">
        <v>0</v>
      </c>
      <c r="OF64" s="15">
        <v>0</v>
      </c>
      <c r="OG64" s="15">
        <v>0</v>
      </c>
      <c r="OH64" s="15">
        <v>0</v>
      </c>
      <c r="OI64" s="15">
        <v>0</v>
      </c>
      <c r="OJ64" s="15">
        <v>0</v>
      </c>
      <c r="OK64" s="15">
        <v>0</v>
      </c>
      <c r="OL64" s="15">
        <v>0</v>
      </c>
      <c r="OM64" s="15">
        <v>0</v>
      </c>
      <c r="ON64" s="15">
        <v>0</v>
      </c>
      <c r="OO64" s="15">
        <v>0</v>
      </c>
      <c r="OP64" s="15">
        <v>0</v>
      </c>
      <c r="OQ64" s="15">
        <v>0</v>
      </c>
      <c r="OR64" s="15">
        <v>0</v>
      </c>
      <c r="OS64" s="15">
        <v>0</v>
      </c>
      <c r="OT64" s="15">
        <v>0</v>
      </c>
      <c r="OU64" s="15">
        <v>0</v>
      </c>
      <c r="OV64" s="15">
        <v>0</v>
      </c>
      <c r="OW64" s="15">
        <v>0</v>
      </c>
      <c r="OX64" s="15">
        <v>0</v>
      </c>
      <c r="OY64" s="15">
        <v>0</v>
      </c>
      <c r="OZ64" s="15">
        <v>0</v>
      </c>
      <c r="PA64" s="15">
        <v>0</v>
      </c>
      <c r="PB64" s="15">
        <v>0</v>
      </c>
      <c r="PC64" s="15">
        <v>0</v>
      </c>
      <c r="PD64" s="15">
        <v>0</v>
      </c>
      <c r="PE64" s="15">
        <v>0</v>
      </c>
      <c r="PF64" s="15">
        <v>0</v>
      </c>
      <c r="PG64" s="15">
        <v>0</v>
      </c>
      <c r="PH64" s="15">
        <v>0</v>
      </c>
      <c r="PI64" s="15">
        <v>0</v>
      </c>
      <c r="PJ64" s="15">
        <v>0</v>
      </c>
      <c r="PK64" s="15">
        <v>0</v>
      </c>
      <c r="PL64" s="15">
        <v>0</v>
      </c>
      <c r="PM64" s="15">
        <v>0</v>
      </c>
      <c r="PN64" s="15">
        <v>0</v>
      </c>
      <c r="PO64" s="15">
        <v>0</v>
      </c>
      <c r="PP64" s="15">
        <v>0</v>
      </c>
      <c r="PQ64" s="15">
        <v>0</v>
      </c>
      <c r="PR64" s="15">
        <v>0</v>
      </c>
      <c r="PS64" s="15">
        <v>0</v>
      </c>
      <c r="PT64" s="15">
        <v>0</v>
      </c>
      <c r="PU64" s="15">
        <v>0</v>
      </c>
      <c r="PV64" s="15">
        <v>0</v>
      </c>
      <c r="PW64" s="15">
        <v>0</v>
      </c>
      <c r="PX64" s="15">
        <v>0</v>
      </c>
      <c r="PY64" s="15">
        <v>0</v>
      </c>
      <c r="PZ64" s="15">
        <v>0</v>
      </c>
      <c r="QA64" s="15">
        <v>0</v>
      </c>
      <c r="QB64" s="15">
        <v>0</v>
      </c>
      <c r="QC64" s="15">
        <v>0</v>
      </c>
      <c r="QD64" s="15">
        <v>0</v>
      </c>
      <c r="QE64" s="15">
        <v>0</v>
      </c>
      <c r="QF64" s="15">
        <v>0</v>
      </c>
      <c r="QG64" s="15">
        <v>0</v>
      </c>
      <c r="QH64" s="15">
        <v>0</v>
      </c>
      <c r="QI64" s="15">
        <v>0</v>
      </c>
      <c r="QJ64" s="15">
        <v>0</v>
      </c>
      <c r="QK64" s="15">
        <v>0</v>
      </c>
      <c r="QL64" s="15">
        <v>0</v>
      </c>
      <c r="QM64" s="15">
        <v>0</v>
      </c>
      <c r="QN64" s="15">
        <v>0</v>
      </c>
      <c r="QO64" s="15">
        <v>0</v>
      </c>
      <c r="QP64" s="15">
        <v>0</v>
      </c>
      <c r="QQ64" s="15">
        <v>0</v>
      </c>
      <c r="QR64" s="15">
        <v>0</v>
      </c>
      <c r="QS64" s="15">
        <v>0</v>
      </c>
      <c r="QT64" s="15">
        <v>0</v>
      </c>
      <c r="QU64" s="15">
        <v>0</v>
      </c>
      <c r="QV64" s="15">
        <v>0</v>
      </c>
      <c r="QW64" s="15">
        <v>0</v>
      </c>
      <c r="QX64" s="15">
        <v>0</v>
      </c>
      <c r="QY64" s="15">
        <v>0</v>
      </c>
      <c r="QZ64" s="15">
        <v>0</v>
      </c>
      <c r="RA64" s="15">
        <v>0</v>
      </c>
      <c r="RB64" s="15">
        <v>0</v>
      </c>
      <c r="RC64" s="15">
        <v>0</v>
      </c>
      <c r="RD64" s="15">
        <v>0</v>
      </c>
      <c r="RE64" s="15">
        <v>0</v>
      </c>
      <c r="RF64" s="15">
        <v>0</v>
      </c>
      <c r="RG64" s="15">
        <v>0</v>
      </c>
      <c r="RH64" s="15">
        <v>0</v>
      </c>
      <c r="RI64" s="15">
        <v>0</v>
      </c>
      <c r="RJ64" s="15">
        <v>0</v>
      </c>
      <c r="RK64" s="15">
        <v>0</v>
      </c>
      <c r="RL64" s="15">
        <v>0</v>
      </c>
      <c r="RM64" s="15">
        <v>0</v>
      </c>
      <c r="RN64" s="15">
        <v>0</v>
      </c>
      <c r="RO64" s="15">
        <v>0</v>
      </c>
      <c r="RP64" s="15">
        <v>0</v>
      </c>
      <c r="RQ64" s="15">
        <v>0</v>
      </c>
      <c r="RR64" s="15">
        <v>0</v>
      </c>
      <c r="RS64" s="15"/>
      <c r="RT64" s="15">
        <v>0</v>
      </c>
      <c r="RU64" s="15">
        <v>0</v>
      </c>
      <c r="RV64" s="15">
        <v>0</v>
      </c>
      <c r="RW64" s="15">
        <v>0</v>
      </c>
      <c r="RX64" s="15">
        <v>0</v>
      </c>
      <c r="RY64" s="15">
        <v>0</v>
      </c>
      <c r="RZ64" s="15">
        <v>128</v>
      </c>
      <c r="SA64" s="15">
        <f>IF(EXACT(SA28,"LVC_LOAD_E"),BIN2DEC(SA87),IF(EXACT(SA28,"LVC_UNLOAD_E"),0,IF((RZ64&lt;&gt;0),BIN2DEC(SA87),0)))</f>
        <v>128</v>
      </c>
      <c r="SB64" s="15">
        <f>IF(EXACT(SB28,"LVC_LOAD_E"),BIN2DEC(SB87),IF(EXACT(SB28,"LVC_UNLOAD_E"),0,IF((SA64&lt;&gt;0),BIN2DEC(SB87),0)))</f>
        <v>0</v>
      </c>
      <c r="SC64" s="15">
        <v>0</v>
      </c>
      <c r="SD64" s="15">
        <v>0</v>
      </c>
      <c r="SE64" s="15">
        <v>0</v>
      </c>
      <c r="SF64" s="15">
        <v>0</v>
      </c>
      <c r="SG64" s="15">
        <v>0</v>
      </c>
      <c r="SH64" s="15">
        <v>0</v>
      </c>
      <c r="SI64" s="15">
        <v>0</v>
      </c>
      <c r="SJ64" s="15">
        <v>0</v>
      </c>
      <c r="SK64" s="15">
        <v>0</v>
      </c>
      <c r="SL64" s="15">
        <v>0</v>
      </c>
      <c r="SM64" s="15">
        <v>0</v>
      </c>
      <c r="SN64" s="15">
        <v>0</v>
      </c>
      <c r="SO64" s="15">
        <v>0</v>
      </c>
      <c r="SP64" s="15">
        <v>0</v>
      </c>
      <c r="SQ64" s="15">
        <v>0</v>
      </c>
      <c r="SR64" s="15">
        <v>0</v>
      </c>
      <c r="SS64" s="15">
        <v>0</v>
      </c>
      <c r="ST64" s="15">
        <v>0</v>
      </c>
      <c r="SU64" s="15">
        <v>0</v>
      </c>
      <c r="SV64" s="15">
        <v>0</v>
      </c>
      <c r="SW64" s="15">
        <v>0</v>
      </c>
      <c r="SX64" s="15">
        <v>0</v>
      </c>
      <c r="SY64" s="15">
        <v>0</v>
      </c>
      <c r="SZ64" s="15">
        <v>0</v>
      </c>
      <c r="TA64" s="15">
        <v>0</v>
      </c>
      <c r="TB64" s="15">
        <v>0</v>
      </c>
      <c r="TC64" s="15">
        <v>0</v>
      </c>
      <c r="TD64" s="15">
        <v>0</v>
      </c>
      <c r="TE64" s="15">
        <v>0</v>
      </c>
      <c r="TF64" s="15">
        <v>0</v>
      </c>
      <c r="TG64" s="15">
        <v>0</v>
      </c>
      <c r="TH64" s="15">
        <v>0</v>
      </c>
      <c r="TI64" s="15">
        <v>0</v>
      </c>
      <c r="TJ64" s="15">
        <v>0</v>
      </c>
      <c r="TK64" s="15">
        <v>0</v>
      </c>
      <c r="TL64" s="15">
        <v>0</v>
      </c>
      <c r="TM64" s="15">
        <v>0</v>
      </c>
      <c r="TN64" s="15">
        <v>0</v>
      </c>
      <c r="TO64" s="15">
        <v>0</v>
      </c>
      <c r="TP64" s="15">
        <v>0</v>
      </c>
      <c r="TQ64" s="15">
        <v>0</v>
      </c>
      <c r="TR64" s="15">
        <v>0</v>
      </c>
      <c r="TS64" s="15">
        <v>0</v>
      </c>
      <c r="TT64" s="15">
        <v>0</v>
      </c>
      <c r="TU64" s="15">
        <v>0</v>
      </c>
      <c r="TV64" s="15">
        <v>0</v>
      </c>
      <c r="TW64" s="15">
        <v>0</v>
      </c>
      <c r="TX64" s="15">
        <v>0</v>
      </c>
      <c r="TY64" s="15">
        <v>0</v>
      </c>
      <c r="TZ64" s="15">
        <v>0</v>
      </c>
      <c r="UA64" s="15">
        <v>0</v>
      </c>
      <c r="UB64" s="15">
        <v>0</v>
      </c>
      <c r="UC64" s="15">
        <v>0</v>
      </c>
      <c r="UD64" s="15">
        <v>0</v>
      </c>
      <c r="UE64" s="15">
        <v>0</v>
      </c>
      <c r="UF64" s="15">
        <v>0</v>
      </c>
      <c r="UG64" s="15">
        <v>0</v>
      </c>
      <c r="UH64" s="15">
        <v>0</v>
      </c>
      <c r="UI64" s="15">
        <v>0</v>
      </c>
      <c r="UJ64" s="15">
        <v>0</v>
      </c>
      <c r="UK64" s="15">
        <v>0</v>
      </c>
      <c r="UL64" s="15">
        <v>0</v>
      </c>
      <c r="UM64" s="15">
        <v>0</v>
      </c>
      <c r="UN64" s="15">
        <v>0</v>
      </c>
      <c r="UO64" s="15">
        <v>0</v>
      </c>
      <c r="UP64" s="15">
        <v>0</v>
      </c>
      <c r="UQ64" s="15">
        <v>0</v>
      </c>
      <c r="UR64" s="15">
        <v>0</v>
      </c>
      <c r="US64" s="15">
        <v>0</v>
      </c>
      <c r="UT64" s="15">
        <v>0</v>
      </c>
      <c r="UU64" s="15">
        <v>0</v>
      </c>
      <c r="UV64" s="15">
        <v>0</v>
      </c>
      <c r="UW64" s="15">
        <v>0</v>
      </c>
      <c r="UX64" s="15">
        <v>0</v>
      </c>
      <c r="UY64" s="15">
        <v>0</v>
      </c>
      <c r="UZ64" s="15">
        <v>0</v>
      </c>
      <c r="VA64" s="15">
        <v>0</v>
      </c>
      <c r="VB64" s="15">
        <v>0</v>
      </c>
      <c r="VC64" s="15">
        <v>0</v>
      </c>
      <c r="VD64" s="15">
        <v>0</v>
      </c>
      <c r="VE64" s="15">
        <v>0</v>
      </c>
      <c r="VF64" s="15">
        <v>0</v>
      </c>
      <c r="VG64" s="15">
        <v>0</v>
      </c>
      <c r="VH64" s="15">
        <v>0</v>
      </c>
      <c r="VI64" s="15">
        <v>0</v>
      </c>
      <c r="VJ64" s="15">
        <v>0</v>
      </c>
      <c r="VK64" s="15">
        <v>0</v>
      </c>
      <c r="VL64" s="15">
        <v>0</v>
      </c>
      <c r="VM64" s="15">
        <v>0</v>
      </c>
      <c r="VN64" s="15">
        <v>0</v>
      </c>
      <c r="VO64" s="15">
        <v>0</v>
      </c>
      <c r="VP64" s="15">
        <v>0</v>
      </c>
      <c r="VQ64" s="15">
        <v>0</v>
      </c>
      <c r="VR64" s="15">
        <v>0</v>
      </c>
      <c r="VS64" s="15">
        <v>0</v>
      </c>
      <c r="VT64" s="15">
        <v>0</v>
      </c>
      <c r="VU64" s="15">
        <v>0</v>
      </c>
      <c r="VV64" s="15">
        <v>0</v>
      </c>
      <c r="VW64" s="15">
        <v>0</v>
      </c>
      <c r="VX64" s="15">
        <v>0</v>
      </c>
      <c r="VY64" s="15">
        <v>0</v>
      </c>
      <c r="VZ64" s="15">
        <v>0</v>
      </c>
      <c r="WA64" s="15">
        <v>0</v>
      </c>
      <c r="WB64" s="15">
        <v>0</v>
      </c>
      <c r="WC64" s="15">
        <f>IF(EXACT(WC28,"LVC_LOAD_E"),BIN2DEC(WC87),IF(EXACT(WC28,"LVC_UNLOAD_E"),0,IF((WB64&lt;&gt;0),BIN2DEC(WC87),0)))</f>
        <v>160</v>
      </c>
      <c r="WD64" s="15">
        <v>0</v>
      </c>
      <c r="WE64" s="15">
        <v>0</v>
      </c>
      <c r="WF64" s="15">
        <v>0</v>
      </c>
      <c r="WG64" s="15">
        <v>0</v>
      </c>
      <c r="WH64" s="15">
        <v>0</v>
      </c>
      <c r="WI64" s="15">
        <v>0</v>
      </c>
      <c r="WJ64" s="15">
        <v>0</v>
      </c>
      <c r="WK64" s="15">
        <v>0</v>
      </c>
      <c r="WL64" s="15">
        <v>0</v>
      </c>
      <c r="WM64" s="15">
        <v>0</v>
      </c>
      <c r="WN64" s="15">
        <v>0</v>
      </c>
      <c r="WO64" s="15">
        <v>0</v>
      </c>
      <c r="WP64" s="15">
        <v>0</v>
      </c>
      <c r="WQ64" s="15">
        <v>0</v>
      </c>
      <c r="WR64" s="15">
        <v>0</v>
      </c>
      <c r="WS64" s="15">
        <v>0</v>
      </c>
      <c r="WT64" s="15">
        <v>0</v>
      </c>
      <c r="WU64" s="15">
        <v>0</v>
      </c>
      <c r="WV64" s="15">
        <v>0</v>
      </c>
      <c r="WW64" s="15">
        <v>0</v>
      </c>
      <c r="WX64" s="15">
        <v>0</v>
      </c>
      <c r="WY64" s="15">
        <v>0</v>
      </c>
      <c r="WZ64" s="15">
        <v>0</v>
      </c>
      <c r="XA64" s="15">
        <v>0</v>
      </c>
      <c r="XB64" s="15">
        <v>0</v>
      </c>
      <c r="XC64" s="15">
        <v>0</v>
      </c>
      <c r="XD64" s="15">
        <v>0</v>
      </c>
      <c r="XE64" s="15">
        <v>0</v>
      </c>
      <c r="XF64" s="15">
        <v>0</v>
      </c>
      <c r="XG64" s="15">
        <v>0</v>
      </c>
      <c r="XH64" s="15">
        <v>0</v>
      </c>
      <c r="XI64" s="15">
        <v>0</v>
      </c>
      <c r="XJ64" s="15">
        <v>0</v>
      </c>
      <c r="XK64" s="15">
        <v>0</v>
      </c>
      <c r="XL64" s="15">
        <v>0</v>
      </c>
      <c r="XM64" s="15">
        <v>0</v>
      </c>
      <c r="XN64" s="15">
        <v>0</v>
      </c>
      <c r="XO64" s="15">
        <v>0</v>
      </c>
      <c r="XP64" s="15">
        <v>0</v>
      </c>
      <c r="XQ64" s="15">
        <v>0</v>
      </c>
      <c r="XR64" s="15">
        <v>0</v>
      </c>
      <c r="XS64" s="15">
        <v>0</v>
      </c>
      <c r="XT64" s="15">
        <v>0</v>
      </c>
      <c r="XU64" s="15">
        <v>0</v>
      </c>
      <c r="XV64" s="15">
        <v>0</v>
      </c>
      <c r="XW64" s="15">
        <v>0</v>
      </c>
      <c r="XX64" s="15">
        <v>0</v>
      </c>
      <c r="XY64" s="15">
        <v>0</v>
      </c>
      <c r="XZ64" s="15">
        <v>0</v>
      </c>
      <c r="YA64" s="15">
        <v>0</v>
      </c>
      <c r="YB64" s="15">
        <v>0</v>
      </c>
      <c r="YC64" s="15">
        <v>0</v>
      </c>
      <c r="YD64" s="15">
        <v>0</v>
      </c>
      <c r="YE64" s="15">
        <v>0</v>
      </c>
      <c r="YF64" s="15">
        <v>0</v>
      </c>
      <c r="YG64" s="15">
        <v>0</v>
      </c>
      <c r="YH64" s="15">
        <v>0</v>
      </c>
      <c r="YI64" s="15">
        <v>0</v>
      </c>
      <c r="YJ64" s="15">
        <v>0</v>
      </c>
      <c r="YK64" s="15">
        <v>0</v>
      </c>
      <c r="YL64" s="15">
        <v>0</v>
      </c>
      <c r="YM64" s="15">
        <v>0</v>
      </c>
      <c r="YN64" s="15">
        <v>0</v>
      </c>
      <c r="YO64" s="15">
        <v>0</v>
      </c>
      <c r="YP64" s="15">
        <v>0</v>
      </c>
      <c r="YQ64" s="15">
        <v>0</v>
      </c>
      <c r="YR64" s="15">
        <v>0</v>
      </c>
      <c r="YS64" s="15">
        <v>0</v>
      </c>
      <c r="YT64" s="15">
        <v>0</v>
      </c>
      <c r="YU64" s="15">
        <v>0</v>
      </c>
      <c r="YV64" s="15">
        <v>0</v>
      </c>
      <c r="YW64" s="15">
        <v>0</v>
      </c>
      <c r="YX64" s="15">
        <v>0</v>
      </c>
      <c r="YY64" s="15">
        <v>0</v>
      </c>
      <c r="YZ64" s="15">
        <v>0</v>
      </c>
      <c r="ZA64" s="15">
        <v>0</v>
      </c>
      <c r="ZB64" s="15">
        <v>0</v>
      </c>
      <c r="ZC64" s="15">
        <v>0</v>
      </c>
      <c r="ZD64" s="15">
        <v>0</v>
      </c>
      <c r="ZE64" s="15">
        <v>0</v>
      </c>
      <c r="ZF64" s="15">
        <v>0</v>
      </c>
      <c r="ZG64" s="15">
        <v>0</v>
      </c>
      <c r="ZH64" s="15">
        <v>0</v>
      </c>
      <c r="ZI64" s="15">
        <v>0</v>
      </c>
      <c r="ZJ64" s="15">
        <v>0</v>
      </c>
      <c r="ZK64" s="15">
        <v>0</v>
      </c>
      <c r="ZL64" s="15">
        <v>0</v>
      </c>
      <c r="ZM64" s="15">
        <v>0</v>
      </c>
      <c r="ZN64" s="15">
        <v>0</v>
      </c>
      <c r="ZO64" s="15">
        <v>0</v>
      </c>
      <c r="ZP64" s="15">
        <v>0</v>
      </c>
      <c r="ZQ64" s="15">
        <v>0</v>
      </c>
      <c r="ZR64" s="15">
        <v>0</v>
      </c>
      <c r="ZS64" s="15">
        <v>0</v>
      </c>
      <c r="ZT64" s="15">
        <v>0</v>
      </c>
      <c r="ZU64" s="15">
        <v>0</v>
      </c>
      <c r="ZV64" s="15">
        <v>0</v>
      </c>
      <c r="ZW64" s="15">
        <v>0</v>
      </c>
      <c r="ZX64" s="15">
        <v>0</v>
      </c>
      <c r="ZY64" s="15">
        <v>0</v>
      </c>
      <c r="ZZ64" s="15">
        <v>0</v>
      </c>
      <c r="AAA64" s="15">
        <v>0</v>
      </c>
      <c r="AAB64" s="15">
        <v>0</v>
      </c>
      <c r="AAC64" s="15">
        <v>0</v>
      </c>
      <c r="AAD64" s="15">
        <v>0</v>
      </c>
      <c r="AAE64" s="15">
        <v>0</v>
      </c>
      <c r="AAF64" s="15">
        <v>0</v>
      </c>
      <c r="AAG64" s="15">
        <v>0</v>
      </c>
      <c r="AAH64" s="15">
        <v>0</v>
      </c>
      <c r="AAI64" s="15">
        <v>0</v>
      </c>
      <c r="AAJ64" s="15">
        <v>0</v>
      </c>
      <c r="AAK64" s="15">
        <v>0</v>
      </c>
      <c r="AAL64" s="15"/>
      <c r="AAM64" s="15">
        <v>0</v>
      </c>
      <c r="AAN64" s="15">
        <v>0</v>
      </c>
      <c r="AAO64" s="15">
        <v>0</v>
      </c>
      <c r="AAP64" s="15">
        <v>0</v>
      </c>
      <c r="AAQ64" s="15">
        <v>0</v>
      </c>
      <c r="AAR64" s="15">
        <v>0</v>
      </c>
      <c r="AAS64" s="15">
        <v>128</v>
      </c>
      <c r="AAT64" s="15">
        <f>IF(EXACT(AAT28,"LVC_LOAD_E"),BIN2DEC(AAT87),IF(EXACT(AAT28,"LVC_UNLOAD_E"),0,IF((AAS64&lt;&gt;0),BIN2DEC(AAT87),0)))</f>
        <v>193</v>
      </c>
      <c r="AAU64" s="15">
        <f>IF(EXACT(AAU28,"LVC_LOAD_E"),BIN2DEC(AAU87),IF(EXACT(AAU28,"LVC_UNLOAD_E"),0,IF((AAT64&lt;&gt;0),BIN2DEC(AAU87),0)))</f>
        <v>0</v>
      </c>
      <c r="AAV64" s="15">
        <v>0</v>
      </c>
      <c r="AAW64" s="15">
        <v>0</v>
      </c>
      <c r="AAX64" s="15"/>
      <c r="AAY64" s="15">
        <v>0</v>
      </c>
      <c r="AAZ64" s="15">
        <v>0</v>
      </c>
      <c r="ABA64" s="15">
        <v>0</v>
      </c>
      <c r="ABB64" s="15">
        <v>0</v>
      </c>
      <c r="ABC64" s="15">
        <v>0</v>
      </c>
      <c r="ABD64" s="15">
        <v>0</v>
      </c>
      <c r="ABE64" s="15">
        <v>128</v>
      </c>
      <c r="ABF64" s="15">
        <f t="shared" ref="ABF64:ACK64" si="947">IF(EXACT(ABF28,"LVC_LOAD_E"),BIN2DEC(ABF87),IF(EXACT(ABF28,"LVC_UNLOAD_E"),0,IF((ABE64&lt;&gt;0),BIN2DEC(ABF87),0)))</f>
        <v>128</v>
      </c>
      <c r="ABG64" s="15">
        <f t="shared" si="947"/>
        <v>0</v>
      </c>
      <c r="ABH64" s="15">
        <f t="shared" si="947"/>
        <v>0</v>
      </c>
      <c r="ABI64" s="15">
        <f t="shared" si="947"/>
        <v>0</v>
      </c>
      <c r="ABJ64" s="15">
        <f t="shared" si="947"/>
        <v>0</v>
      </c>
      <c r="ABK64" s="15">
        <f t="shared" si="947"/>
        <v>0</v>
      </c>
      <c r="ABL64" s="15">
        <f t="shared" si="947"/>
        <v>0</v>
      </c>
      <c r="ABM64" s="15">
        <f t="shared" si="947"/>
        <v>0</v>
      </c>
      <c r="ABN64" s="15">
        <f t="shared" si="947"/>
        <v>0</v>
      </c>
      <c r="ABO64" s="15">
        <f t="shared" si="947"/>
        <v>0</v>
      </c>
      <c r="ABP64" s="15">
        <f t="shared" si="947"/>
        <v>0</v>
      </c>
      <c r="ABQ64" s="15">
        <f t="shared" si="947"/>
        <v>0</v>
      </c>
      <c r="ABR64" s="15">
        <f t="shared" si="947"/>
        <v>0</v>
      </c>
      <c r="ABS64" s="15">
        <f t="shared" si="947"/>
        <v>0</v>
      </c>
      <c r="ABT64" s="15">
        <f t="shared" si="947"/>
        <v>0</v>
      </c>
      <c r="ABU64" s="15">
        <f t="shared" si="947"/>
        <v>0</v>
      </c>
      <c r="ABV64" s="15">
        <f t="shared" si="947"/>
        <v>0</v>
      </c>
      <c r="ABW64" s="15">
        <f t="shared" si="947"/>
        <v>0</v>
      </c>
      <c r="ABX64" s="15">
        <f t="shared" si="947"/>
        <v>0</v>
      </c>
      <c r="ABY64" s="15">
        <f t="shared" si="947"/>
        <v>0</v>
      </c>
      <c r="ABZ64" s="15">
        <f t="shared" si="947"/>
        <v>0</v>
      </c>
      <c r="ACA64" s="15">
        <f t="shared" si="947"/>
        <v>0</v>
      </c>
      <c r="ACB64" s="15">
        <f t="shared" si="947"/>
        <v>0</v>
      </c>
      <c r="ACC64" s="15">
        <f t="shared" si="947"/>
        <v>0</v>
      </c>
      <c r="ACD64" s="15">
        <f t="shared" si="947"/>
        <v>0</v>
      </c>
      <c r="ACE64" s="15">
        <f t="shared" si="947"/>
        <v>0</v>
      </c>
      <c r="ACF64" s="15">
        <f t="shared" si="947"/>
        <v>0</v>
      </c>
      <c r="ACG64" s="15">
        <f t="shared" si="947"/>
        <v>0</v>
      </c>
      <c r="ACH64" s="15">
        <f t="shared" si="947"/>
        <v>0</v>
      </c>
      <c r="ACI64" s="15">
        <f t="shared" si="947"/>
        <v>0</v>
      </c>
      <c r="ACJ64" s="15">
        <f t="shared" si="947"/>
        <v>0</v>
      </c>
      <c r="ACK64" s="15">
        <f t="shared" si="947"/>
        <v>0</v>
      </c>
      <c r="ACL64" s="15">
        <f t="shared" ref="ACL64:ADC64" si="948">IF(EXACT(ACL28,"LVC_LOAD_E"),BIN2DEC(ACL87),IF(EXACT(ACL28,"LVC_UNLOAD_E"),0,IF((ACK64&lt;&gt;0),BIN2DEC(ACL87),0)))</f>
        <v>0</v>
      </c>
      <c r="ACM64" s="15">
        <f t="shared" si="948"/>
        <v>0</v>
      </c>
      <c r="ACN64" s="15">
        <f t="shared" si="948"/>
        <v>0</v>
      </c>
      <c r="ACO64" s="15">
        <f t="shared" si="948"/>
        <v>0</v>
      </c>
      <c r="ACP64" s="15">
        <f t="shared" si="948"/>
        <v>0</v>
      </c>
      <c r="ACQ64" s="15">
        <f t="shared" si="948"/>
        <v>0</v>
      </c>
      <c r="ACR64" s="15">
        <f t="shared" si="948"/>
        <v>0</v>
      </c>
      <c r="ACS64" s="15">
        <f t="shared" si="948"/>
        <v>0</v>
      </c>
      <c r="ACT64" s="15">
        <f t="shared" si="948"/>
        <v>0</v>
      </c>
      <c r="ACU64" s="15">
        <f t="shared" si="948"/>
        <v>0</v>
      </c>
      <c r="ACV64" s="15">
        <f t="shared" si="948"/>
        <v>0</v>
      </c>
      <c r="ACW64" s="15">
        <f t="shared" si="948"/>
        <v>0</v>
      </c>
      <c r="ACX64" s="15">
        <f t="shared" si="948"/>
        <v>0</v>
      </c>
      <c r="ACY64" s="15">
        <f t="shared" si="948"/>
        <v>0</v>
      </c>
      <c r="ACZ64" s="15">
        <f t="shared" si="948"/>
        <v>0</v>
      </c>
      <c r="ADA64" s="15">
        <f t="shared" si="948"/>
        <v>0</v>
      </c>
      <c r="ADB64" s="15">
        <f t="shared" si="948"/>
        <v>0</v>
      </c>
      <c r="ADC64" s="15">
        <f t="shared" si="948"/>
        <v>0</v>
      </c>
      <c r="ADD64" s="15">
        <v>0</v>
      </c>
      <c r="ADE64" s="15">
        <f>IF(EXACT(ADE28,"LVC_LOAD_E"),BIN2DEC(ADE87),IF(EXACT(ADE28,"LVC_UNLOAD_E"),0,IF((ADD64&lt;&gt;0),BIN2DEC(ADE87),0)))</f>
        <v>0</v>
      </c>
      <c r="ADF64" s="15">
        <f>IF(EXACT(ADF28,"LVC_LOAD_E"),BIN2DEC(ADF87),IF(EXACT(ADF28,"LVC_UNLOAD_E"),0,IF((ADE64&lt;&gt;0),BIN2DEC(ADF87),0)))</f>
        <v>0</v>
      </c>
      <c r="ADG64" s="15">
        <f>IF(EXACT(ADG28,"LVC_LOAD_E"),BIN2DEC(ADG87),IF(EXACT(ADG28,"LVC_UNLOAD_E"),0,IF((ADF64&lt;&gt;0),BIN2DEC(ADG87),0)))</f>
        <v>0</v>
      </c>
      <c r="ADH64" s="15"/>
      <c r="ADI64" s="15">
        <v>0</v>
      </c>
      <c r="ADJ64" s="15">
        <v>0</v>
      </c>
      <c r="ADK64" s="15">
        <v>0</v>
      </c>
      <c r="ADL64" s="15">
        <v>0</v>
      </c>
      <c r="ADM64" s="15">
        <v>0</v>
      </c>
      <c r="ADN64" s="15">
        <v>0</v>
      </c>
      <c r="ADO64" s="15">
        <v>128</v>
      </c>
      <c r="ADP64" s="15">
        <f t="shared" ref="ADP64:AEU64" si="949">IF(EXACT(ADP28,"LVC_LOAD_E"),BIN2DEC(ADP87),IF(EXACT(ADP28,"LVC_UNLOAD_E"),0,IF((ADO64&lt;&gt;0),BIN2DEC(ADP87),0)))</f>
        <v>128</v>
      </c>
      <c r="ADQ64" s="15">
        <f t="shared" si="949"/>
        <v>0</v>
      </c>
      <c r="ADR64" s="15">
        <f t="shared" si="949"/>
        <v>0</v>
      </c>
      <c r="ADS64" s="15">
        <f t="shared" si="949"/>
        <v>0</v>
      </c>
      <c r="ADT64" s="15">
        <f t="shared" si="949"/>
        <v>0</v>
      </c>
      <c r="ADU64" s="15">
        <f t="shared" si="949"/>
        <v>0</v>
      </c>
      <c r="ADV64" s="15">
        <f t="shared" si="949"/>
        <v>0</v>
      </c>
      <c r="ADW64" s="15">
        <f t="shared" si="949"/>
        <v>0</v>
      </c>
      <c r="ADX64" s="15">
        <f t="shared" si="949"/>
        <v>0</v>
      </c>
      <c r="ADY64" s="15">
        <f t="shared" si="949"/>
        <v>0</v>
      </c>
      <c r="ADZ64" s="15">
        <f t="shared" si="949"/>
        <v>0</v>
      </c>
      <c r="AEA64" s="15">
        <f t="shared" si="949"/>
        <v>0</v>
      </c>
      <c r="AEB64" s="15">
        <f t="shared" si="949"/>
        <v>0</v>
      </c>
      <c r="AEC64" s="15">
        <f t="shared" si="949"/>
        <v>0</v>
      </c>
      <c r="AED64" s="15">
        <f t="shared" si="949"/>
        <v>0</v>
      </c>
      <c r="AEE64" s="15">
        <f t="shared" si="949"/>
        <v>0</v>
      </c>
      <c r="AEF64" s="15">
        <f t="shared" si="949"/>
        <v>0</v>
      </c>
      <c r="AEG64" s="15">
        <f t="shared" si="949"/>
        <v>0</v>
      </c>
      <c r="AEH64" s="15">
        <f t="shared" si="949"/>
        <v>0</v>
      </c>
      <c r="AEI64" s="15">
        <f t="shared" si="949"/>
        <v>0</v>
      </c>
      <c r="AEJ64" s="15">
        <f t="shared" si="949"/>
        <v>0</v>
      </c>
      <c r="AEK64" s="15">
        <f t="shared" si="949"/>
        <v>0</v>
      </c>
      <c r="AEL64" s="15">
        <f t="shared" si="949"/>
        <v>0</v>
      </c>
      <c r="AEM64" s="15">
        <f t="shared" si="949"/>
        <v>0</v>
      </c>
      <c r="AEN64" s="15">
        <f t="shared" si="949"/>
        <v>0</v>
      </c>
      <c r="AEO64" s="15">
        <f t="shared" si="949"/>
        <v>0</v>
      </c>
      <c r="AEP64" s="15">
        <f t="shared" si="949"/>
        <v>0</v>
      </c>
      <c r="AEQ64" s="15">
        <f t="shared" si="949"/>
        <v>0</v>
      </c>
      <c r="AER64" s="15">
        <f t="shared" si="949"/>
        <v>0</v>
      </c>
      <c r="AES64" s="15">
        <f t="shared" si="949"/>
        <v>0</v>
      </c>
      <c r="AET64" s="15">
        <f t="shared" si="949"/>
        <v>0</v>
      </c>
      <c r="AEU64" s="15">
        <f t="shared" si="949"/>
        <v>0</v>
      </c>
      <c r="AEV64" s="15">
        <f t="shared" ref="AEV64:AFM64" si="950">IF(EXACT(AEV28,"LVC_LOAD_E"),BIN2DEC(AEV87),IF(EXACT(AEV28,"LVC_UNLOAD_E"),0,IF((AEU64&lt;&gt;0),BIN2DEC(AEV87),0)))</f>
        <v>0</v>
      </c>
      <c r="AEW64" s="15">
        <f t="shared" si="950"/>
        <v>0</v>
      </c>
      <c r="AEX64" s="15">
        <f t="shared" si="950"/>
        <v>0</v>
      </c>
      <c r="AEY64" s="15">
        <f t="shared" si="950"/>
        <v>0</v>
      </c>
      <c r="AEZ64" s="15">
        <f t="shared" si="950"/>
        <v>0</v>
      </c>
      <c r="AFA64" s="15">
        <f t="shared" si="950"/>
        <v>0</v>
      </c>
      <c r="AFB64" s="15">
        <f t="shared" si="950"/>
        <v>0</v>
      </c>
      <c r="AFC64" s="15">
        <f t="shared" si="950"/>
        <v>0</v>
      </c>
      <c r="AFD64" s="15">
        <f t="shared" si="950"/>
        <v>0</v>
      </c>
      <c r="AFE64" s="15">
        <f t="shared" si="950"/>
        <v>0</v>
      </c>
      <c r="AFF64" s="15">
        <f t="shared" si="950"/>
        <v>0</v>
      </c>
      <c r="AFG64" s="15">
        <f t="shared" si="950"/>
        <v>0</v>
      </c>
      <c r="AFH64" s="15">
        <f t="shared" si="950"/>
        <v>0</v>
      </c>
      <c r="AFI64" s="15">
        <f t="shared" si="950"/>
        <v>0</v>
      </c>
      <c r="AFJ64" s="15">
        <f t="shared" si="950"/>
        <v>0</v>
      </c>
      <c r="AFK64" s="15">
        <f t="shared" si="950"/>
        <v>0</v>
      </c>
      <c r="AFL64" s="15">
        <f t="shared" si="950"/>
        <v>0</v>
      </c>
      <c r="AFM64" s="15">
        <f t="shared" si="950"/>
        <v>0</v>
      </c>
      <c r="AFN64" s="15">
        <v>0</v>
      </c>
      <c r="AFO64" s="15">
        <f>IF(EXACT(AFO28,"LVC_LOAD_E"),BIN2DEC(AFO87),IF(EXACT(AFO28,"LVC_UNLOAD_E"),0,IF((AFN64&lt;&gt;0),BIN2DEC(AFO87),0)))</f>
        <v>0</v>
      </c>
      <c r="AFP64" s="15">
        <f>IF(EXACT(AFP28,"LVC_LOAD_E"),BIN2DEC(AFP87),IF(EXACT(AFP28,"LVC_UNLOAD_E"),0,IF((AFO64&lt;&gt;0),BIN2DEC(AFP87),0)))</f>
        <v>0</v>
      </c>
      <c r="AFQ64" s="15">
        <f>IF(EXACT(AFQ28,"LVC_LOAD_E"),BIN2DEC(AFQ87),IF(EXACT(AFQ28,"LVC_UNLOAD_E"),0,IF((AFP64&lt;&gt;0),BIN2DEC(AFQ87),0)))</f>
        <v>0</v>
      </c>
      <c r="AFR64" s="15"/>
      <c r="AFS64" s="15">
        <v>0</v>
      </c>
      <c r="AFT64" s="15">
        <v>0</v>
      </c>
      <c r="AFU64" s="15">
        <v>0</v>
      </c>
      <c r="AFV64" s="15">
        <v>0</v>
      </c>
      <c r="AFW64" s="15">
        <v>0</v>
      </c>
      <c r="AFX64" s="15">
        <v>0</v>
      </c>
      <c r="AFY64" s="15">
        <v>128</v>
      </c>
      <c r="AFZ64" s="15">
        <v>128</v>
      </c>
      <c r="AGA64" s="15">
        <v>0</v>
      </c>
      <c r="AGB64" s="15">
        <v>0</v>
      </c>
      <c r="AGC64" s="15">
        <v>0</v>
      </c>
      <c r="AGD64" s="15">
        <v>0</v>
      </c>
      <c r="AGE64" s="15">
        <v>0</v>
      </c>
      <c r="AGF64" s="15">
        <v>0</v>
      </c>
      <c r="AGG64" s="15">
        <v>0</v>
      </c>
      <c r="AGH64" s="15">
        <v>0</v>
      </c>
      <c r="AGI64" s="15">
        <v>0</v>
      </c>
      <c r="AGJ64" s="15">
        <v>0</v>
      </c>
      <c r="AGK64" s="15">
        <v>0</v>
      </c>
      <c r="AGL64" s="15">
        <v>0</v>
      </c>
      <c r="AGM64" s="15">
        <v>0</v>
      </c>
      <c r="AGN64" s="15">
        <v>0</v>
      </c>
      <c r="AGO64" s="15">
        <v>0</v>
      </c>
      <c r="AGP64" s="15">
        <v>0</v>
      </c>
      <c r="AGQ64" s="15">
        <v>0</v>
      </c>
      <c r="AGR64" s="15">
        <v>0</v>
      </c>
      <c r="AGS64" s="15">
        <v>0</v>
      </c>
      <c r="AGT64" s="15">
        <v>0</v>
      </c>
      <c r="AGU64" s="15">
        <v>0</v>
      </c>
      <c r="AGV64" s="15">
        <v>0</v>
      </c>
      <c r="AGW64" s="15">
        <v>0</v>
      </c>
      <c r="AGX64" s="15">
        <v>0</v>
      </c>
      <c r="AGY64" s="15">
        <v>0</v>
      </c>
      <c r="AGZ64" s="15">
        <v>0</v>
      </c>
      <c r="AHA64" s="15">
        <v>0</v>
      </c>
      <c r="AHB64" s="15">
        <v>0</v>
      </c>
      <c r="AHC64" s="15">
        <v>0</v>
      </c>
      <c r="AHD64" s="15">
        <v>0</v>
      </c>
      <c r="AHE64" s="15">
        <v>0</v>
      </c>
      <c r="AHF64" s="15">
        <v>0</v>
      </c>
      <c r="AHG64" s="15">
        <v>0</v>
      </c>
      <c r="AHH64" s="15">
        <v>0</v>
      </c>
      <c r="AHI64" s="15">
        <v>0</v>
      </c>
      <c r="AHJ64" s="15">
        <v>0</v>
      </c>
      <c r="AHK64" s="15">
        <v>0</v>
      </c>
      <c r="AHL64" s="15">
        <v>0</v>
      </c>
      <c r="AHM64" s="15">
        <v>0</v>
      </c>
      <c r="AHN64" s="15">
        <v>0</v>
      </c>
      <c r="AHO64" s="15">
        <v>0</v>
      </c>
      <c r="AHP64" s="15">
        <v>0</v>
      </c>
      <c r="AHQ64" s="15">
        <v>0</v>
      </c>
      <c r="AHR64" s="15">
        <v>0</v>
      </c>
      <c r="AHS64" s="15">
        <v>0</v>
      </c>
      <c r="AHT64" s="15">
        <v>0</v>
      </c>
      <c r="AHU64" s="15">
        <v>0</v>
      </c>
      <c r="AHV64" s="15">
        <v>0</v>
      </c>
      <c r="AHW64" s="15">
        <v>0</v>
      </c>
      <c r="AHX64" s="15">
        <v>0</v>
      </c>
      <c r="AHY64" s="15">
        <v>0</v>
      </c>
      <c r="AHZ64" s="15">
        <v>0</v>
      </c>
      <c r="AIA64" s="15">
        <v>0</v>
      </c>
      <c r="AIB64" s="15">
        <v>0</v>
      </c>
      <c r="AIC64" s="15">
        <v>0</v>
      </c>
      <c r="AID64" s="15">
        <v>0</v>
      </c>
      <c r="AIE64" s="15">
        <v>0</v>
      </c>
      <c r="AIF64" s="15">
        <v>0</v>
      </c>
      <c r="AIG64" s="15">
        <v>0</v>
      </c>
      <c r="AIH64" s="15">
        <v>0</v>
      </c>
      <c r="AII64" s="15">
        <v>0</v>
      </c>
      <c r="AIJ64" s="15">
        <v>0</v>
      </c>
      <c r="AIK64" s="15">
        <v>0</v>
      </c>
      <c r="AIL64" s="15">
        <v>0</v>
      </c>
      <c r="AIM64" s="15">
        <v>0</v>
      </c>
      <c r="AIN64" s="15">
        <v>0</v>
      </c>
      <c r="AIO64" s="15">
        <v>0</v>
      </c>
      <c r="AIP64" s="15">
        <v>0</v>
      </c>
      <c r="AIQ64" s="15">
        <v>0</v>
      </c>
      <c r="AIR64" s="15">
        <v>0</v>
      </c>
      <c r="AIS64" s="15">
        <v>0</v>
      </c>
      <c r="AIT64" s="15">
        <v>0</v>
      </c>
      <c r="AIU64" s="15">
        <v>0</v>
      </c>
      <c r="AIV64" s="15">
        <v>0</v>
      </c>
      <c r="AIW64" s="15">
        <v>0</v>
      </c>
      <c r="AIX64" s="15">
        <v>0</v>
      </c>
      <c r="AIY64" s="15">
        <v>0</v>
      </c>
      <c r="AIZ64" s="15">
        <v>0</v>
      </c>
      <c r="AJA64" s="15">
        <v>0</v>
      </c>
      <c r="AJB64" s="15">
        <v>0</v>
      </c>
      <c r="AJC64" s="15">
        <f>IF(EXACT(AJC28,"LVC_LOAD_E"),BIN2DEC(AJC87),IF(EXACT(AJC28,"LVC_UNLOAD_E"),0,IF((AJB64&lt;&gt;0),BIN2DEC(AJC87),0)))</f>
        <v>0</v>
      </c>
      <c r="AJD64" s="15">
        <v>160</v>
      </c>
      <c r="AJE64" s="15">
        <v>0</v>
      </c>
      <c r="AJF64" s="15"/>
      <c r="AJG64" s="15">
        <v>0</v>
      </c>
      <c r="AJH64" s="15">
        <v>0</v>
      </c>
      <c r="AJI64" s="15">
        <v>0</v>
      </c>
      <c r="AJJ64" s="15">
        <v>0</v>
      </c>
      <c r="AJK64" s="15">
        <v>0</v>
      </c>
      <c r="AJL64" s="15">
        <v>0</v>
      </c>
      <c r="AJM64" s="15">
        <v>0</v>
      </c>
      <c r="AJN64" s="15"/>
      <c r="AJO64" s="15">
        <v>0</v>
      </c>
      <c r="AJP64" s="15">
        <v>0</v>
      </c>
      <c r="AJQ64" s="15">
        <v>0</v>
      </c>
      <c r="AJR64" s="15">
        <v>0</v>
      </c>
      <c r="AJS64" s="15">
        <v>0</v>
      </c>
      <c r="AJT64" s="15">
        <v>0</v>
      </c>
      <c r="AJU64" s="15">
        <v>0</v>
      </c>
      <c r="AJV64" s="15">
        <v>0</v>
      </c>
      <c r="AJW64" s="15">
        <v>0</v>
      </c>
      <c r="AJX64" s="15"/>
      <c r="AJY64" s="15">
        <v>0</v>
      </c>
      <c r="AJZ64" s="15">
        <v>0</v>
      </c>
      <c r="AKA64" s="15">
        <v>0</v>
      </c>
      <c r="AKB64" s="15">
        <v>0</v>
      </c>
      <c r="AKC64" s="15">
        <v>0</v>
      </c>
      <c r="AKD64" s="15">
        <v>0</v>
      </c>
      <c r="AKE64" s="15">
        <v>0</v>
      </c>
      <c r="AKF64" s="15">
        <v>0</v>
      </c>
      <c r="AKG64" s="15">
        <v>0</v>
      </c>
      <c r="AKH64" s="15">
        <v>0</v>
      </c>
      <c r="AKI64" s="15"/>
      <c r="AKJ64" s="15">
        <v>0</v>
      </c>
      <c r="AKK64" s="15">
        <v>0</v>
      </c>
      <c r="AKL64" s="15">
        <v>0</v>
      </c>
      <c r="AKM64" s="15">
        <v>0</v>
      </c>
      <c r="AKN64" s="15">
        <v>0</v>
      </c>
      <c r="AKO64" s="15">
        <v>0</v>
      </c>
      <c r="AKP64" s="15">
        <v>128</v>
      </c>
      <c r="AKQ64" s="15">
        <v>128</v>
      </c>
      <c r="AKR64" s="15">
        <v>128</v>
      </c>
      <c r="AKS64" s="15">
        <v>128</v>
      </c>
      <c r="AKT64" s="15">
        <v>128</v>
      </c>
      <c r="AKU64" s="15">
        <v>128</v>
      </c>
      <c r="AKV64" s="15">
        <v>0</v>
      </c>
      <c r="AKW64" s="15">
        <v>0</v>
      </c>
      <c r="AKX64" s="15"/>
      <c r="AKY64" s="15">
        <v>0</v>
      </c>
      <c r="AKZ64" s="15">
        <v>0</v>
      </c>
      <c r="ALA64" s="15">
        <v>0</v>
      </c>
      <c r="ALB64" s="15">
        <v>0</v>
      </c>
      <c r="ALC64" s="15">
        <v>0</v>
      </c>
      <c r="ALD64" s="15">
        <v>0</v>
      </c>
      <c r="ALE64" s="15">
        <v>128</v>
      </c>
      <c r="ALF64" s="15">
        <f t="shared" ref="ALF64:ALL64" si="951">IF(EXACT(ALF28,"LVC_LOAD_E"),BIN2DEC(ALF87),IF(EXACT(ALF28,"LVC_UNLOAD_E"),0,IF((ALE64&lt;&gt;0),BIN2DEC(ALF87),0)))</f>
        <v>128</v>
      </c>
      <c r="ALG64" s="15">
        <f t="shared" si="951"/>
        <v>0</v>
      </c>
      <c r="ALH64" s="15">
        <f t="shared" si="951"/>
        <v>0</v>
      </c>
      <c r="ALI64" s="15">
        <f t="shared" si="951"/>
        <v>0</v>
      </c>
      <c r="ALJ64" s="15">
        <f t="shared" si="951"/>
        <v>0</v>
      </c>
      <c r="ALK64" s="15">
        <f t="shared" si="951"/>
        <v>0</v>
      </c>
      <c r="ALL64" s="15">
        <f t="shared" si="951"/>
        <v>0</v>
      </c>
      <c r="ALM64" s="15"/>
      <c r="ALN64" s="15">
        <v>0</v>
      </c>
      <c r="ALO64" s="15">
        <v>0</v>
      </c>
      <c r="ALP64" s="15">
        <v>0</v>
      </c>
      <c r="ALQ64" s="15">
        <v>0</v>
      </c>
      <c r="ALR64" s="15">
        <v>0</v>
      </c>
      <c r="ALS64" s="15">
        <v>0</v>
      </c>
      <c r="ALT64" s="15">
        <v>128</v>
      </c>
      <c r="ALU64" s="15">
        <f>IF(EXACT(ALU28,"LVC_LOAD_E"),BIN2DEC(ALU87),IF(EXACT(ALU28,"LVC_UNLOAD_E"),0,IF((ALT64&lt;&gt;0),BIN2DEC(ALU87),0)))</f>
        <v>193</v>
      </c>
      <c r="ALV64" s="15">
        <f>IF(EXACT(ALV28,"LVC_LOAD_E"),BIN2DEC(ALV87),IF(EXACT(ALV28,"LVC_UNLOAD_E"),0,IF((ALU64&lt;&gt;0),BIN2DEC(ALV87),0)))</f>
        <v>0</v>
      </c>
      <c r="ALW64" s="15">
        <v>0</v>
      </c>
      <c r="ALX64" s="15">
        <v>0</v>
      </c>
      <c r="ALY64" s="15">
        <v>0</v>
      </c>
      <c r="ALZ64" s="15">
        <v>0</v>
      </c>
      <c r="AMA64" s="15">
        <v>0</v>
      </c>
      <c r="AMB64" s="15">
        <v>0</v>
      </c>
      <c r="AMC64" s="15"/>
      <c r="AMD64" s="15">
        <v>0</v>
      </c>
      <c r="AME64" s="15">
        <v>0</v>
      </c>
      <c r="AMF64" s="15">
        <v>0</v>
      </c>
      <c r="AMG64" s="15">
        <v>0</v>
      </c>
      <c r="AMH64" s="15">
        <v>0</v>
      </c>
      <c r="AMI64" s="15">
        <v>0</v>
      </c>
      <c r="AMJ64" s="15">
        <v>128</v>
      </c>
      <c r="AMK64" s="15">
        <v>128</v>
      </c>
      <c r="AML64" s="15">
        <v>0</v>
      </c>
      <c r="AMM64" s="15">
        <v>0</v>
      </c>
      <c r="AMN64" s="15">
        <v>0</v>
      </c>
      <c r="AMO64" s="15">
        <v>0</v>
      </c>
      <c r="AMP64" s="15">
        <v>0</v>
      </c>
      <c r="AMQ64" s="15">
        <v>0</v>
      </c>
      <c r="AMR64" s="15">
        <v>0</v>
      </c>
      <c r="AMS64" s="15">
        <v>0</v>
      </c>
      <c r="AMT64" s="15">
        <v>0</v>
      </c>
      <c r="AMU64" s="15">
        <v>0</v>
      </c>
      <c r="AMV64" s="15">
        <v>0</v>
      </c>
      <c r="AMW64" s="15">
        <v>0</v>
      </c>
      <c r="AMX64" s="15">
        <v>0</v>
      </c>
      <c r="AMY64" s="15">
        <v>0</v>
      </c>
      <c r="AMZ64" s="15">
        <v>0</v>
      </c>
      <c r="ANA64" s="15">
        <v>0</v>
      </c>
      <c r="ANB64" s="15">
        <v>0</v>
      </c>
      <c r="ANC64" s="15">
        <v>0</v>
      </c>
      <c r="AND64" s="15">
        <v>0</v>
      </c>
      <c r="ANE64" s="15"/>
      <c r="ANF64" s="15"/>
      <c r="ANG64" s="15"/>
      <c r="ANH64" s="15"/>
      <c r="ANI64" s="15"/>
      <c r="ANJ64" s="15"/>
      <c r="ANK64" s="15"/>
      <c r="ANL64" s="15"/>
      <c r="ANM64" s="15"/>
      <c r="ANN64" s="15"/>
      <c r="ANO64" s="15"/>
      <c r="ANP64" s="15"/>
      <c r="ANQ64" s="15"/>
      <c r="ANR64" s="15"/>
      <c r="ANS64" s="15"/>
      <c r="ANT64" s="15"/>
      <c r="ANU64" s="15"/>
      <c r="ANV64" s="15"/>
      <c r="ANW64" s="15"/>
      <c r="ANX64" s="15"/>
      <c r="ANY64" s="15"/>
      <c r="ANZ64" s="15"/>
      <c r="AOA64" s="15"/>
      <c r="AOB64" s="15"/>
      <c r="AOC64" s="15"/>
      <c r="AOD64" s="15"/>
      <c r="AOE64" s="15"/>
      <c r="AOF64" s="15"/>
      <c r="AOG64" s="15"/>
      <c r="AOH64" s="15"/>
      <c r="AOI64" s="15"/>
      <c r="AOJ64" s="15"/>
      <c r="AOK64" s="15"/>
      <c r="AOL64" s="15"/>
      <c r="AOM64" s="15"/>
      <c r="AON64" s="15"/>
      <c r="AOO64" s="15"/>
      <c r="AOP64" s="15"/>
      <c r="AOQ64" s="15"/>
      <c r="AOR64" s="15"/>
      <c r="AOS64" s="15"/>
      <c r="AOT64" s="15"/>
      <c r="AOU64" s="15"/>
      <c r="AOV64" s="15"/>
      <c r="AOW64" s="15"/>
      <c r="AOX64" s="15"/>
      <c r="AOY64" s="15"/>
      <c r="AOZ64" s="15"/>
      <c r="APA64" s="15"/>
      <c r="APB64" s="15"/>
      <c r="APC64" s="15"/>
      <c r="APD64" s="15"/>
      <c r="APE64" s="15"/>
      <c r="APF64" s="15"/>
      <c r="APG64" s="15"/>
      <c r="APH64" s="15"/>
      <c r="API64" s="15"/>
      <c r="APJ64" s="15"/>
      <c r="APK64" s="15"/>
      <c r="APL64" s="15"/>
      <c r="APM64" s="15"/>
      <c r="APN64" s="15"/>
      <c r="APO64" s="15"/>
      <c r="APP64" s="15"/>
      <c r="APQ64" s="15"/>
      <c r="APR64" s="15"/>
      <c r="APS64" s="15"/>
      <c r="APT64" s="15"/>
      <c r="APU64" s="15"/>
      <c r="APV64" s="15"/>
      <c r="APW64" s="15"/>
      <c r="APX64" s="15"/>
      <c r="APY64" s="15"/>
      <c r="APZ64" s="15"/>
      <c r="AQA64" s="15"/>
      <c r="AQB64" s="15"/>
    </row>
    <row r="65" spans="1:1120" s="17" customFormat="1" ht="15" customHeight="1" x14ac:dyDescent="0.25">
      <c r="A65" s="11" t="s">
        <v>3</v>
      </c>
      <c r="B65" s="6" t="s">
        <v>53</v>
      </c>
      <c r="C65" s="15">
        <v>0</v>
      </c>
      <c r="D65" s="15">
        <v>0</v>
      </c>
      <c r="E65" s="15">
        <v>0</v>
      </c>
      <c r="F65" s="15">
        <v>0</v>
      </c>
      <c r="G65" s="15">
        <v>0</v>
      </c>
      <c r="H65" s="15">
        <v>0</v>
      </c>
      <c r="I65" s="15">
        <v>0</v>
      </c>
      <c r="J65" s="15"/>
      <c r="K65" s="15">
        <v>0</v>
      </c>
      <c r="L65" s="15">
        <v>0</v>
      </c>
      <c r="M65" s="15">
        <v>0</v>
      </c>
      <c r="N65" s="15">
        <v>0</v>
      </c>
      <c r="O65" s="15">
        <v>0</v>
      </c>
      <c r="P65" s="15">
        <v>0</v>
      </c>
      <c r="Q65" s="15"/>
      <c r="R65" s="15">
        <v>0</v>
      </c>
      <c r="S65" s="15">
        <v>0</v>
      </c>
      <c r="T65" s="15">
        <v>0</v>
      </c>
      <c r="U65" s="15">
        <v>0</v>
      </c>
      <c r="V65" s="15">
        <v>0</v>
      </c>
      <c r="W65" s="15">
        <v>0</v>
      </c>
      <c r="X65" s="15"/>
      <c r="Y65" s="15">
        <v>0</v>
      </c>
      <c r="Z65" s="15">
        <v>0</v>
      </c>
      <c r="AA65" s="15">
        <v>0</v>
      </c>
      <c r="AB65" s="15">
        <v>0</v>
      </c>
      <c r="AC65" s="15">
        <v>0</v>
      </c>
      <c r="AD65" s="15">
        <v>0</v>
      </c>
      <c r="AE65" s="15"/>
      <c r="AF65" s="15">
        <v>0</v>
      </c>
      <c r="AG65" s="15">
        <v>0</v>
      </c>
      <c r="AH65" s="15">
        <v>0</v>
      </c>
      <c r="AI65" s="15">
        <v>0</v>
      </c>
      <c r="AJ65" s="15">
        <v>0</v>
      </c>
      <c r="AK65" s="15">
        <v>0</v>
      </c>
      <c r="AL65" s="15"/>
      <c r="AM65" s="15">
        <v>0</v>
      </c>
      <c r="AN65" s="15">
        <v>0</v>
      </c>
      <c r="AO65" s="15">
        <v>0</v>
      </c>
      <c r="AP65" s="15">
        <v>0</v>
      </c>
      <c r="AQ65" s="15">
        <v>0</v>
      </c>
      <c r="AR65" s="15">
        <v>0</v>
      </c>
      <c r="AS65" s="15">
        <v>0</v>
      </c>
      <c r="AT65" s="15">
        <v>0</v>
      </c>
      <c r="AU65" s="15">
        <v>0</v>
      </c>
      <c r="AV65" s="15">
        <v>0</v>
      </c>
      <c r="AW65" s="15">
        <v>0</v>
      </c>
      <c r="AX65" s="15">
        <v>0</v>
      </c>
      <c r="AY65" s="15">
        <v>0</v>
      </c>
      <c r="AZ65" s="15">
        <v>0</v>
      </c>
      <c r="BA65" s="15">
        <v>0</v>
      </c>
      <c r="BB65" s="15">
        <v>0</v>
      </c>
      <c r="BC65" s="15">
        <v>0</v>
      </c>
      <c r="BD65" s="15">
        <v>0</v>
      </c>
      <c r="BE65" s="15">
        <v>0</v>
      </c>
      <c r="BF65" s="15">
        <v>0</v>
      </c>
      <c r="BG65" s="15">
        <v>0</v>
      </c>
      <c r="BH65" s="15">
        <v>0</v>
      </c>
      <c r="BI65" s="15">
        <v>0</v>
      </c>
      <c r="BJ65" s="15">
        <v>0</v>
      </c>
      <c r="BK65" s="15">
        <v>0</v>
      </c>
      <c r="BL65" s="15">
        <v>0</v>
      </c>
      <c r="BM65" s="15">
        <v>0</v>
      </c>
      <c r="BN65" s="15">
        <v>0</v>
      </c>
      <c r="BO65" s="15">
        <v>0</v>
      </c>
      <c r="BP65" s="15">
        <v>0</v>
      </c>
      <c r="BQ65" s="15">
        <v>0</v>
      </c>
      <c r="BR65" s="15">
        <v>0</v>
      </c>
      <c r="BS65" s="15">
        <v>0</v>
      </c>
      <c r="BT65" s="15">
        <v>0</v>
      </c>
      <c r="BU65" s="15">
        <v>0</v>
      </c>
      <c r="BV65" s="15">
        <v>0</v>
      </c>
      <c r="BW65" s="15">
        <v>0</v>
      </c>
      <c r="BX65" s="15">
        <v>0</v>
      </c>
      <c r="BY65" s="15">
        <v>0</v>
      </c>
      <c r="BZ65" s="15">
        <v>0</v>
      </c>
      <c r="CA65" s="15">
        <v>0</v>
      </c>
      <c r="CB65" s="15">
        <v>0</v>
      </c>
      <c r="CC65" s="15">
        <v>0</v>
      </c>
      <c r="CD65" s="15">
        <v>0</v>
      </c>
      <c r="CE65" s="15">
        <v>0</v>
      </c>
      <c r="CF65" s="15">
        <v>0</v>
      </c>
      <c r="CG65" s="15">
        <v>0</v>
      </c>
      <c r="CH65" s="15">
        <v>0</v>
      </c>
      <c r="CI65" s="15">
        <v>0</v>
      </c>
      <c r="CJ65" s="15">
        <v>0</v>
      </c>
      <c r="CK65" s="15">
        <v>0</v>
      </c>
      <c r="CL65" s="15">
        <v>0</v>
      </c>
      <c r="CM65" s="15">
        <v>0</v>
      </c>
      <c r="CN65" s="15">
        <v>0</v>
      </c>
      <c r="CO65" s="15">
        <v>0</v>
      </c>
      <c r="CP65" s="15">
        <v>0</v>
      </c>
      <c r="CQ65" s="15">
        <v>0</v>
      </c>
      <c r="CR65" s="15">
        <v>0</v>
      </c>
      <c r="CS65" s="15">
        <v>0</v>
      </c>
      <c r="CT65" s="15">
        <v>0</v>
      </c>
      <c r="CU65" s="15">
        <v>0</v>
      </c>
      <c r="CV65" s="15">
        <v>0</v>
      </c>
      <c r="CW65" s="15">
        <v>0</v>
      </c>
      <c r="CX65" s="15">
        <v>0</v>
      </c>
      <c r="CY65" s="15">
        <v>0</v>
      </c>
      <c r="CZ65" s="15">
        <v>0</v>
      </c>
      <c r="DA65" s="15">
        <v>0</v>
      </c>
      <c r="DB65" s="15">
        <v>0</v>
      </c>
      <c r="DC65" s="15">
        <v>0</v>
      </c>
      <c r="DD65" s="15">
        <v>0</v>
      </c>
      <c r="DE65" s="15">
        <v>0</v>
      </c>
      <c r="DF65" s="15">
        <v>0</v>
      </c>
      <c r="DG65" s="15">
        <v>0</v>
      </c>
      <c r="DH65" s="15">
        <v>0</v>
      </c>
      <c r="DI65" s="15">
        <v>0</v>
      </c>
      <c r="DJ65" s="15">
        <v>0</v>
      </c>
      <c r="DK65" s="15">
        <v>0</v>
      </c>
      <c r="DL65" s="15">
        <v>0</v>
      </c>
      <c r="DM65" s="15">
        <v>0</v>
      </c>
      <c r="DN65" s="15">
        <v>0</v>
      </c>
      <c r="DO65" s="15">
        <v>0</v>
      </c>
      <c r="DP65" s="15">
        <v>0</v>
      </c>
      <c r="DQ65" s="15">
        <v>0</v>
      </c>
      <c r="DR65" s="15">
        <v>0</v>
      </c>
      <c r="DS65" s="15">
        <v>0</v>
      </c>
      <c r="DT65" s="15">
        <v>0</v>
      </c>
      <c r="DU65" s="15">
        <v>0</v>
      </c>
      <c r="DV65" s="15">
        <v>0</v>
      </c>
      <c r="DW65" s="15">
        <v>0</v>
      </c>
      <c r="DX65" s="15">
        <v>0</v>
      </c>
      <c r="DY65" s="15">
        <v>0</v>
      </c>
      <c r="DZ65" s="15">
        <v>0</v>
      </c>
      <c r="EA65" s="15">
        <v>0</v>
      </c>
      <c r="EB65" s="15">
        <v>0</v>
      </c>
      <c r="EC65" s="15">
        <v>0</v>
      </c>
      <c r="ED65" s="15">
        <v>0</v>
      </c>
      <c r="EE65" s="15">
        <v>0</v>
      </c>
      <c r="EF65" s="15">
        <v>0</v>
      </c>
      <c r="EG65" s="15">
        <v>0</v>
      </c>
      <c r="EH65" s="15">
        <v>0</v>
      </c>
      <c r="EI65" s="15">
        <v>0</v>
      </c>
      <c r="EJ65" s="15">
        <v>0</v>
      </c>
      <c r="EK65" s="15">
        <v>0</v>
      </c>
      <c r="EL65" s="15">
        <v>0</v>
      </c>
      <c r="EM65" s="15">
        <v>0</v>
      </c>
      <c r="EN65" s="15">
        <v>0</v>
      </c>
      <c r="EO65" s="15">
        <v>0</v>
      </c>
      <c r="EP65" s="15">
        <v>0</v>
      </c>
      <c r="EQ65" s="15">
        <v>0</v>
      </c>
      <c r="ER65" s="15">
        <v>0</v>
      </c>
      <c r="ES65" s="15">
        <v>0</v>
      </c>
      <c r="ET65" s="15">
        <v>0</v>
      </c>
      <c r="EU65" s="15">
        <v>0</v>
      </c>
      <c r="EV65" s="15">
        <v>0</v>
      </c>
      <c r="EW65" s="15">
        <v>0</v>
      </c>
      <c r="EX65" s="15">
        <v>0</v>
      </c>
      <c r="EY65" s="15">
        <v>0</v>
      </c>
      <c r="EZ65" s="15">
        <v>0</v>
      </c>
      <c r="FA65" s="15">
        <v>0</v>
      </c>
      <c r="FB65" s="15">
        <v>0</v>
      </c>
      <c r="FC65" s="15">
        <v>0</v>
      </c>
      <c r="FD65" s="15"/>
      <c r="FE65" s="15">
        <v>0</v>
      </c>
      <c r="FF65" s="15">
        <v>0</v>
      </c>
      <c r="FG65" s="15">
        <v>0</v>
      </c>
      <c r="FH65" s="15">
        <v>0</v>
      </c>
      <c r="FI65" s="15">
        <v>0</v>
      </c>
      <c r="FJ65" s="15">
        <v>0</v>
      </c>
      <c r="FK65" s="15">
        <v>0</v>
      </c>
      <c r="FL65" s="15">
        <v>0</v>
      </c>
      <c r="FM65" s="15">
        <v>0</v>
      </c>
      <c r="FN65" s="15">
        <v>0</v>
      </c>
      <c r="FO65" s="15">
        <v>0</v>
      </c>
      <c r="FP65" s="15">
        <v>0</v>
      </c>
      <c r="FQ65" s="15">
        <v>0</v>
      </c>
      <c r="FR65" s="15">
        <v>0</v>
      </c>
      <c r="FS65" s="15">
        <v>0</v>
      </c>
      <c r="FT65" s="15">
        <v>0</v>
      </c>
      <c r="FU65" s="15">
        <v>0</v>
      </c>
      <c r="FV65" s="15">
        <v>0</v>
      </c>
      <c r="FW65" s="15">
        <v>0</v>
      </c>
      <c r="FX65" s="15">
        <v>0</v>
      </c>
      <c r="FY65" s="15">
        <v>0</v>
      </c>
      <c r="FZ65" s="15">
        <v>0</v>
      </c>
      <c r="GA65" s="15">
        <v>0</v>
      </c>
      <c r="GB65" s="15">
        <v>0</v>
      </c>
      <c r="GC65" s="15">
        <v>0</v>
      </c>
      <c r="GD65" s="15">
        <v>0</v>
      </c>
      <c r="GE65" s="15">
        <v>0</v>
      </c>
      <c r="GF65" s="15">
        <v>0</v>
      </c>
      <c r="GG65" s="15">
        <v>0</v>
      </c>
      <c r="GH65" s="15">
        <v>0</v>
      </c>
      <c r="GI65" s="15">
        <v>0</v>
      </c>
      <c r="GJ65" s="15">
        <v>0</v>
      </c>
      <c r="GK65" s="15">
        <v>0</v>
      </c>
      <c r="GL65" s="15">
        <v>0</v>
      </c>
      <c r="GM65" s="15">
        <v>0</v>
      </c>
      <c r="GN65" s="15">
        <v>0</v>
      </c>
      <c r="GO65" s="15">
        <v>0</v>
      </c>
      <c r="GP65" s="15">
        <v>0</v>
      </c>
      <c r="GQ65" s="15">
        <v>0</v>
      </c>
      <c r="GR65" s="15">
        <v>0</v>
      </c>
      <c r="GS65" s="15">
        <v>0</v>
      </c>
      <c r="GT65" s="15">
        <v>0</v>
      </c>
      <c r="GU65" s="15">
        <v>0</v>
      </c>
      <c r="GV65" s="15">
        <v>0</v>
      </c>
      <c r="GW65" s="15">
        <v>0</v>
      </c>
      <c r="GX65" s="15">
        <v>0</v>
      </c>
      <c r="GY65" s="15">
        <v>0</v>
      </c>
      <c r="GZ65" s="15">
        <v>0</v>
      </c>
      <c r="HA65" s="15">
        <v>0</v>
      </c>
      <c r="HB65" s="15">
        <v>0</v>
      </c>
      <c r="HC65" s="15">
        <v>0</v>
      </c>
      <c r="HD65" s="15">
        <v>0</v>
      </c>
      <c r="HE65" s="15">
        <v>0</v>
      </c>
      <c r="HF65" s="15">
        <v>0</v>
      </c>
      <c r="HG65" s="15">
        <v>0</v>
      </c>
      <c r="HH65" s="15">
        <v>0</v>
      </c>
      <c r="HI65" s="15">
        <v>0</v>
      </c>
      <c r="HJ65" s="15">
        <v>0</v>
      </c>
      <c r="HK65" s="15">
        <v>0</v>
      </c>
      <c r="HL65" s="15">
        <v>0</v>
      </c>
      <c r="HM65" s="15">
        <v>0</v>
      </c>
      <c r="HN65" s="15">
        <v>0</v>
      </c>
      <c r="HO65" s="15">
        <v>0</v>
      </c>
      <c r="HP65" s="15">
        <v>0</v>
      </c>
      <c r="HQ65" s="15">
        <v>0</v>
      </c>
      <c r="HR65" s="15">
        <v>0</v>
      </c>
      <c r="HS65" s="15">
        <v>0</v>
      </c>
      <c r="HT65" s="15">
        <v>0</v>
      </c>
      <c r="HU65" s="15">
        <v>0</v>
      </c>
      <c r="HV65" s="15">
        <v>0</v>
      </c>
      <c r="HW65" s="15">
        <v>0</v>
      </c>
      <c r="HX65" s="15">
        <v>0</v>
      </c>
      <c r="HY65" s="15">
        <v>0</v>
      </c>
      <c r="HZ65" s="15">
        <v>0</v>
      </c>
      <c r="IA65" s="15">
        <v>0</v>
      </c>
      <c r="IB65" s="15"/>
      <c r="IC65" s="15">
        <v>0</v>
      </c>
      <c r="ID65" s="15">
        <v>0</v>
      </c>
      <c r="IE65" s="15">
        <v>0</v>
      </c>
      <c r="IF65" s="15">
        <v>0</v>
      </c>
      <c r="IG65" s="15">
        <v>0</v>
      </c>
      <c r="IH65" s="15">
        <v>0</v>
      </c>
      <c r="II65" s="15">
        <v>0</v>
      </c>
      <c r="IJ65" s="15">
        <v>0</v>
      </c>
      <c r="IK65" s="15"/>
      <c r="IL65" s="15">
        <v>0</v>
      </c>
      <c r="IM65" s="15">
        <v>0</v>
      </c>
      <c r="IN65" s="15">
        <v>0</v>
      </c>
      <c r="IO65" s="15">
        <v>0</v>
      </c>
      <c r="IP65" s="15">
        <v>0</v>
      </c>
      <c r="IQ65" s="15">
        <v>0</v>
      </c>
      <c r="IR65" s="15">
        <v>0</v>
      </c>
      <c r="IS65" s="15">
        <v>0</v>
      </c>
      <c r="IT65" s="15">
        <v>0</v>
      </c>
      <c r="IU65" s="15">
        <v>0</v>
      </c>
      <c r="IV65" s="15">
        <v>0</v>
      </c>
      <c r="IW65" s="15">
        <v>0</v>
      </c>
      <c r="IX65" s="15">
        <v>0</v>
      </c>
      <c r="IY65" s="15">
        <v>0</v>
      </c>
      <c r="IZ65" s="15">
        <v>0</v>
      </c>
      <c r="JA65" s="15">
        <v>0</v>
      </c>
      <c r="JB65" s="15">
        <v>0</v>
      </c>
      <c r="JC65" s="15">
        <v>0</v>
      </c>
      <c r="JD65" s="15">
        <v>0</v>
      </c>
      <c r="JE65" s="15">
        <v>0</v>
      </c>
      <c r="JF65" s="15">
        <v>0</v>
      </c>
      <c r="JG65" s="15">
        <v>0</v>
      </c>
      <c r="JH65" s="15">
        <v>0</v>
      </c>
      <c r="JI65" s="15">
        <v>0</v>
      </c>
      <c r="JJ65" s="15">
        <v>0</v>
      </c>
      <c r="JK65" s="15">
        <v>0</v>
      </c>
      <c r="JL65" s="15">
        <v>0</v>
      </c>
      <c r="JM65" s="15">
        <v>0</v>
      </c>
      <c r="JN65" s="15">
        <v>0</v>
      </c>
      <c r="JO65" s="15">
        <v>0</v>
      </c>
      <c r="JP65" s="15">
        <v>0</v>
      </c>
      <c r="JQ65" s="15">
        <v>0</v>
      </c>
      <c r="JR65" s="15">
        <v>0</v>
      </c>
      <c r="JS65" s="15">
        <v>0</v>
      </c>
      <c r="JT65" s="15">
        <v>0</v>
      </c>
      <c r="JU65" s="15">
        <v>0</v>
      </c>
      <c r="JV65" s="15">
        <v>0</v>
      </c>
      <c r="JW65" s="15">
        <v>0</v>
      </c>
      <c r="JX65" s="15">
        <v>0</v>
      </c>
      <c r="JY65" s="15">
        <v>0</v>
      </c>
      <c r="JZ65" s="15">
        <v>0</v>
      </c>
      <c r="KA65" s="15">
        <v>0</v>
      </c>
      <c r="KB65" s="15">
        <v>0</v>
      </c>
      <c r="KC65" s="15">
        <v>0</v>
      </c>
      <c r="KD65" s="15">
        <v>0</v>
      </c>
      <c r="KE65" s="15">
        <v>0</v>
      </c>
      <c r="KF65" s="15">
        <v>0</v>
      </c>
      <c r="KG65" s="15">
        <v>0</v>
      </c>
      <c r="KH65" s="15">
        <v>0</v>
      </c>
      <c r="KI65" s="15">
        <v>0</v>
      </c>
      <c r="KJ65" s="15">
        <v>0</v>
      </c>
      <c r="KK65" s="15">
        <v>0</v>
      </c>
      <c r="KL65" s="15">
        <v>0</v>
      </c>
      <c r="KM65" s="15">
        <v>0</v>
      </c>
      <c r="KN65" s="15">
        <v>0</v>
      </c>
      <c r="KO65" s="15">
        <v>0</v>
      </c>
      <c r="KP65" s="15">
        <v>0</v>
      </c>
      <c r="KQ65" s="15">
        <v>0</v>
      </c>
      <c r="KR65" s="15">
        <v>0</v>
      </c>
      <c r="KS65" s="15">
        <v>0</v>
      </c>
      <c r="KT65" s="15">
        <v>0</v>
      </c>
      <c r="KU65" s="15">
        <v>0</v>
      </c>
      <c r="KV65" s="15">
        <v>0</v>
      </c>
      <c r="KW65" s="15">
        <v>0</v>
      </c>
      <c r="KX65" s="15">
        <v>0</v>
      </c>
      <c r="KY65" s="15">
        <v>0</v>
      </c>
      <c r="KZ65" s="15">
        <v>0</v>
      </c>
      <c r="LA65" s="15">
        <v>0</v>
      </c>
      <c r="LB65" s="15">
        <v>0</v>
      </c>
      <c r="LC65" s="15">
        <v>0</v>
      </c>
      <c r="LD65" s="15">
        <v>0</v>
      </c>
      <c r="LE65" s="15">
        <v>0</v>
      </c>
      <c r="LF65" s="15">
        <v>0</v>
      </c>
      <c r="LG65" s="15">
        <v>0</v>
      </c>
      <c r="LH65" s="15">
        <v>0</v>
      </c>
      <c r="LI65" s="15">
        <v>0</v>
      </c>
      <c r="LJ65" s="15">
        <v>0</v>
      </c>
      <c r="LK65" s="15">
        <v>0</v>
      </c>
      <c r="LL65" s="15">
        <v>0</v>
      </c>
      <c r="LM65" s="15">
        <v>0</v>
      </c>
      <c r="LN65" s="15">
        <v>0</v>
      </c>
      <c r="LO65" s="15">
        <v>0</v>
      </c>
      <c r="LP65" s="15">
        <v>0</v>
      </c>
      <c r="LQ65" s="15">
        <v>0</v>
      </c>
      <c r="LR65" s="15">
        <v>0</v>
      </c>
      <c r="LS65" s="15">
        <v>0</v>
      </c>
      <c r="LT65" s="15">
        <v>0</v>
      </c>
      <c r="LU65" s="15">
        <v>0</v>
      </c>
      <c r="LV65" s="15">
        <v>0</v>
      </c>
      <c r="LW65" s="15">
        <v>0</v>
      </c>
      <c r="LX65" s="15">
        <v>0</v>
      </c>
      <c r="LY65" s="15">
        <v>0</v>
      </c>
      <c r="LZ65" s="15">
        <v>0</v>
      </c>
      <c r="MA65" s="15">
        <v>0</v>
      </c>
      <c r="MB65" s="15">
        <v>0</v>
      </c>
      <c r="MC65" s="15">
        <v>0</v>
      </c>
      <c r="MD65" s="15">
        <v>0</v>
      </c>
      <c r="ME65" s="15">
        <v>0</v>
      </c>
      <c r="MF65" s="15">
        <v>0</v>
      </c>
      <c r="MG65" s="15">
        <v>0</v>
      </c>
      <c r="MH65" s="15">
        <v>0</v>
      </c>
      <c r="MI65" s="15">
        <v>0</v>
      </c>
      <c r="MJ65" s="15">
        <v>0</v>
      </c>
      <c r="MK65" s="15">
        <v>0</v>
      </c>
      <c r="ML65" s="15">
        <v>0</v>
      </c>
      <c r="MM65" s="15">
        <v>0</v>
      </c>
      <c r="MN65" s="15">
        <v>0</v>
      </c>
      <c r="MO65" s="15">
        <v>0</v>
      </c>
      <c r="MP65" s="15">
        <v>0</v>
      </c>
      <c r="MQ65" s="15">
        <v>0</v>
      </c>
      <c r="MR65" s="15">
        <v>0</v>
      </c>
      <c r="MS65" s="15">
        <v>0</v>
      </c>
      <c r="MT65" s="15">
        <v>0</v>
      </c>
      <c r="MU65" s="15">
        <v>0</v>
      </c>
      <c r="MV65" s="15">
        <v>0</v>
      </c>
      <c r="MW65" s="15">
        <v>0</v>
      </c>
      <c r="MX65" s="15">
        <v>0</v>
      </c>
      <c r="MY65" s="15">
        <v>0</v>
      </c>
      <c r="MZ65" s="15">
        <v>0</v>
      </c>
      <c r="NA65" s="15">
        <v>0</v>
      </c>
      <c r="NB65" s="15">
        <v>0</v>
      </c>
      <c r="NC65" s="15">
        <v>0</v>
      </c>
      <c r="ND65" s="15">
        <v>0</v>
      </c>
      <c r="NE65" s="15">
        <v>0</v>
      </c>
      <c r="NF65" s="15">
        <v>0</v>
      </c>
      <c r="NG65" s="15">
        <v>0</v>
      </c>
      <c r="NH65" s="15">
        <v>0</v>
      </c>
      <c r="NI65" s="15">
        <v>0</v>
      </c>
      <c r="NJ65" s="15">
        <v>0</v>
      </c>
      <c r="NK65" s="15">
        <v>0</v>
      </c>
      <c r="NL65" s="15">
        <v>0</v>
      </c>
      <c r="NM65" s="15">
        <v>0</v>
      </c>
      <c r="NN65" s="15">
        <v>0</v>
      </c>
      <c r="NO65" s="15">
        <v>0</v>
      </c>
      <c r="NP65" s="15">
        <v>0</v>
      </c>
      <c r="NQ65" s="15">
        <v>0</v>
      </c>
      <c r="NR65" s="15">
        <v>0</v>
      </c>
      <c r="NS65" s="15">
        <v>0</v>
      </c>
      <c r="NT65" s="15">
        <v>0</v>
      </c>
      <c r="NU65" s="15">
        <v>0</v>
      </c>
      <c r="NV65" s="15">
        <v>0</v>
      </c>
      <c r="NW65" s="15">
        <v>0</v>
      </c>
      <c r="NX65" s="15">
        <v>0</v>
      </c>
      <c r="NY65" s="15">
        <v>0</v>
      </c>
      <c r="NZ65" s="15">
        <v>0</v>
      </c>
      <c r="OA65" s="15">
        <v>0</v>
      </c>
      <c r="OB65" s="15">
        <v>0</v>
      </c>
      <c r="OC65" s="15">
        <v>0</v>
      </c>
      <c r="OD65" s="15">
        <v>0</v>
      </c>
      <c r="OE65" s="15">
        <v>0</v>
      </c>
      <c r="OF65" s="15">
        <v>0</v>
      </c>
      <c r="OG65" s="15">
        <v>0</v>
      </c>
      <c r="OH65" s="15">
        <v>0</v>
      </c>
      <c r="OI65" s="15">
        <v>0</v>
      </c>
      <c r="OJ65" s="15">
        <v>0</v>
      </c>
      <c r="OK65" s="15">
        <v>0</v>
      </c>
      <c r="OL65" s="15">
        <v>0</v>
      </c>
      <c r="OM65" s="15">
        <v>0</v>
      </c>
      <c r="ON65" s="15">
        <v>0</v>
      </c>
      <c r="OO65" s="15">
        <v>0</v>
      </c>
      <c r="OP65" s="15">
        <v>0</v>
      </c>
      <c r="OQ65" s="15">
        <v>0</v>
      </c>
      <c r="OR65" s="15">
        <v>0</v>
      </c>
      <c r="OS65" s="15">
        <v>0</v>
      </c>
      <c r="OT65" s="15">
        <v>0</v>
      </c>
      <c r="OU65" s="15">
        <v>0</v>
      </c>
      <c r="OV65" s="15">
        <v>0</v>
      </c>
      <c r="OW65" s="15">
        <v>0</v>
      </c>
      <c r="OX65" s="15">
        <v>0</v>
      </c>
      <c r="OY65" s="15">
        <v>0</v>
      </c>
      <c r="OZ65" s="15">
        <v>0</v>
      </c>
      <c r="PA65" s="15">
        <v>0</v>
      </c>
      <c r="PB65" s="15">
        <v>0</v>
      </c>
      <c r="PC65" s="15">
        <v>0</v>
      </c>
      <c r="PD65" s="15">
        <v>0</v>
      </c>
      <c r="PE65" s="15">
        <v>0</v>
      </c>
      <c r="PF65" s="15">
        <v>0</v>
      </c>
      <c r="PG65" s="15">
        <v>0</v>
      </c>
      <c r="PH65" s="15">
        <v>0</v>
      </c>
      <c r="PI65" s="15">
        <v>0</v>
      </c>
      <c r="PJ65" s="15">
        <v>0</v>
      </c>
      <c r="PK65" s="15">
        <v>0</v>
      </c>
      <c r="PL65" s="15">
        <v>0</v>
      </c>
      <c r="PM65" s="15">
        <v>0</v>
      </c>
      <c r="PN65" s="15">
        <v>0</v>
      </c>
      <c r="PO65" s="15">
        <v>0</v>
      </c>
      <c r="PP65" s="15">
        <v>0</v>
      </c>
      <c r="PQ65" s="15">
        <v>0</v>
      </c>
      <c r="PR65" s="15">
        <v>0</v>
      </c>
      <c r="PS65" s="15">
        <v>0</v>
      </c>
      <c r="PT65" s="15">
        <v>0</v>
      </c>
      <c r="PU65" s="15">
        <v>0</v>
      </c>
      <c r="PV65" s="15">
        <v>0</v>
      </c>
      <c r="PW65" s="15">
        <v>0</v>
      </c>
      <c r="PX65" s="15">
        <v>0</v>
      </c>
      <c r="PY65" s="15">
        <v>0</v>
      </c>
      <c r="PZ65" s="15">
        <v>0</v>
      </c>
      <c r="QA65" s="15">
        <v>0</v>
      </c>
      <c r="QB65" s="15">
        <v>0</v>
      </c>
      <c r="QC65" s="15">
        <v>0</v>
      </c>
      <c r="QD65" s="15">
        <v>0</v>
      </c>
      <c r="QE65" s="15">
        <v>0</v>
      </c>
      <c r="QF65" s="15">
        <v>0</v>
      </c>
      <c r="QG65" s="15">
        <v>0</v>
      </c>
      <c r="QH65" s="15">
        <v>0</v>
      </c>
      <c r="QI65" s="15">
        <v>0</v>
      </c>
      <c r="QJ65" s="15">
        <v>0</v>
      </c>
      <c r="QK65" s="15">
        <v>0</v>
      </c>
      <c r="QL65" s="15">
        <v>0</v>
      </c>
      <c r="QM65" s="15">
        <v>0</v>
      </c>
      <c r="QN65" s="15">
        <v>0</v>
      </c>
      <c r="QO65" s="15">
        <v>0</v>
      </c>
      <c r="QP65" s="15">
        <v>0</v>
      </c>
      <c r="QQ65" s="15">
        <v>0</v>
      </c>
      <c r="QR65" s="15">
        <v>0</v>
      </c>
      <c r="QS65" s="15">
        <v>0</v>
      </c>
      <c r="QT65" s="15">
        <v>0</v>
      </c>
      <c r="QU65" s="15">
        <v>0</v>
      </c>
      <c r="QV65" s="15">
        <v>0</v>
      </c>
      <c r="QW65" s="15">
        <v>0</v>
      </c>
      <c r="QX65" s="15">
        <v>0</v>
      </c>
      <c r="QY65" s="15">
        <v>0</v>
      </c>
      <c r="QZ65" s="15">
        <v>0</v>
      </c>
      <c r="RA65" s="15">
        <v>0</v>
      </c>
      <c r="RB65" s="15">
        <v>0</v>
      </c>
      <c r="RC65" s="15">
        <v>0</v>
      </c>
      <c r="RD65" s="15">
        <v>0</v>
      </c>
      <c r="RE65" s="15">
        <v>0</v>
      </c>
      <c r="RF65" s="15">
        <v>0</v>
      </c>
      <c r="RG65" s="15">
        <v>0</v>
      </c>
      <c r="RH65" s="15">
        <v>0</v>
      </c>
      <c r="RI65" s="15">
        <v>0</v>
      </c>
      <c r="RJ65" s="15">
        <v>0</v>
      </c>
      <c r="RK65" s="15">
        <v>0</v>
      </c>
      <c r="RL65" s="15">
        <v>0</v>
      </c>
      <c r="RM65" s="15">
        <v>0</v>
      </c>
      <c r="RN65" s="15">
        <v>0</v>
      </c>
      <c r="RO65" s="15">
        <v>0</v>
      </c>
      <c r="RP65" s="15">
        <v>0</v>
      </c>
      <c r="RQ65" s="15">
        <v>0</v>
      </c>
      <c r="RR65" s="15">
        <v>0</v>
      </c>
      <c r="RS65" s="15"/>
      <c r="RT65" s="15">
        <v>0</v>
      </c>
      <c r="RU65" s="15">
        <v>0</v>
      </c>
      <c r="RV65" s="15">
        <v>0</v>
      </c>
      <c r="RW65" s="15">
        <v>0</v>
      </c>
      <c r="RX65" s="15">
        <v>0</v>
      </c>
      <c r="RY65" s="15">
        <v>0</v>
      </c>
      <c r="RZ65" s="15">
        <v>0</v>
      </c>
      <c r="SA65" s="15">
        <v>0</v>
      </c>
      <c r="SB65" s="15">
        <v>0</v>
      </c>
      <c r="SC65" s="15">
        <v>0</v>
      </c>
      <c r="SD65" s="15">
        <v>0</v>
      </c>
      <c r="SE65" s="15">
        <v>0</v>
      </c>
      <c r="SF65" s="15">
        <v>0</v>
      </c>
      <c r="SG65" s="15">
        <v>0</v>
      </c>
      <c r="SH65" s="15">
        <v>0</v>
      </c>
      <c r="SI65" s="15">
        <v>0</v>
      </c>
      <c r="SJ65" s="15">
        <v>0</v>
      </c>
      <c r="SK65" s="15">
        <v>0</v>
      </c>
      <c r="SL65" s="15">
        <v>0</v>
      </c>
      <c r="SM65" s="15">
        <v>0</v>
      </c>
      <c r="SN65" s="15">
        <v>0</v>
      </c>
      <c r="SO65" s="15">
        <v>0</v>
      </c>
      <c r="SP65" s="15">
        <v>0</v>
      </c>
      <c r="SQ65" s="15">
        <v>0</v>
      </c>
      <c r="SR65" s="15">
        <v>0</v>
      </c>
      <c r="SS65" s="15">
        <v>0</v>
      </c>
      <c r="ST65" s="15">
        <v>0</v>
      </c>
      <c r="SU65" s="15">
        <v>0</v>
      </c>
      <c r="SV65" s="15">
        <v>0</v>
      </c>
      <c r="SW65" s="15">
        <v>0</v>
      </c>
      <c r="SX65" s="15">
        <v>0</v>
      </c>
      <c r="SY65" s="15">
        <v>0</v>
      </c>
      <c r="SZ65" s="15">
        <v>0</v>
      </c>
      <c r="TA65" s="15">
        <v>0</v>
      </c>
      <c r="TB65" s="15">
        <v>0</v>
      </c>
      <c r="TC65" s="15">
        <v>0</v>
      </c>
      <c r="TD65" s="15">
        <v>0</v>
      </c>
      <c r="TE65" s="15">
        <v>0</v>
      </c>
      <c r="TF65" s="15">
        <v>0</v>
      </c>
      <c r="TG65" s="15">
        <v>0</v>
      </c>
      <c r="TH65" s="15">
        <v>0</v>
      </c>
      <c r="TI65" s="15">
        <v>0</v>
      </c>
      <c r="TJ65" s="15">
        <v>0</v>
      </c>
      <c r="TK65" s="15">
        <v>0</v>
      </c>
      <c r="TL65" s="15">
        <v>0</v>
      </c>
      <c r="TM65" s="15">
        <v>0</v>
      </c>
      <c r="TN65" s="15">
        <v>0</v>
      </c>
      <c r="TO65" s="15">
        <v>0</v>
      </c>
      <c r="TP65" s="15">
        <v>0</v>
      </c>
      <c r="TQ65" s="15">
        <v>0</v>
      </c>
      <c r="TR65" s="15">
        <v>0</v>
      </c>
      <c r="TS65" s="15">
        <v>0</v>
      </c>
      <c r="TT65" s="15">
        <v>0</v>
      </c>
      <c r="TU65" s="15">
        <v>0</v>
      </c>
      <c r="TV65" s="15">
        <v>0</v>
      </c>
      <c r="TW65" s="15">
        <v>0</v>
      </c>
      <c r="TX65" s="15">
        <v>0</v>
      </c>
      <c r="TY65" s="15">
        <v>0</v>
      </c>
      <c r="TZ65" s="15">
        <v>0</v>
      </c>
      <c r="UA65" s="15">
        <v>0</v>
      </c>
      <c r="UB65" s="15">
        <v>0</v>
      </c>
      <c r="UC65" s="15">
        <v>0</v>
      </c>
      <c r="UD65" s="15">
        <v>0</v>
      </c>
      <c r="UE65" s="15">
        <v>0</v>
      </c>
      <c r="UF65" s="15">
        <v>0</v>
      </c>
      <c r="UG65" s="15">
        <v>0</v>
      </c>
      <c r="UH65" s="15">
        <v>0</v>
      </c>
      <c r="UI65" s="15">
        <v>0</v>
      </c>
      <c r="UJ65" s="15">
        <v>0</v>
      </c>
      <c r="UK65" s="15">
        <v>0</v>
      </c>
      <c r="UL65" s="15">
        <v>0</v>
      </c>
      <c r="UM65" s="15">
        <v>0</v>
      </c>
      <c r="UN65" s="15">
        <v>0</v>
      </c>
      <c r="UO65" s="15">
        <v>0</v>
      </c>
      <c r="UP65" s="15">
        <v>0</v>
      </c>
      <c r="UQ65" s="15">
        <v>0</v>
      </c>
      <c r="UR65" s="15">
        <v>0</v>
      </c>
      <c r="US65" s="15">
        <v>0</v>
      </c>
      <c r="UT65" s="15">
        <v>0</v>
      </c>
      <c r="UU65" s="15">
        <v>0</v>
      </c>
      <c r="UV65" s="15">
        <v>0</v>
      </c>
      <c r="UW65" s="15">
        <v>0</v>
      </c>
      <c r="UX65" s="15">
        <v>0</v>
      </c>
      <c r="UY65" s="15">
        <v>0</v>
      </c>
      <c r="UZ65" s="15">
        <v>0</v>
      </c>
      <c r="VA65" s="15">
        <v>0</v>
      </c>
      <c r="VB65" s="15">
        <v>0</v>
      </c>
      <c r="VC65" s="15">
        <v>0</v>
      </c>
      <c r="VD65" s="15">
        <v>0</v>
      </c>
      <c r="VE65" s="15">
        <v>0</v>
      </c>
      <c r="VF65" s="15">
        <v>0</v>
      </c>
      <c r="VG65" s="15">
        <v>0</v>
      </c>
      <c r="VH65" s="15">
        <v>0</v>
      </c>
      <c r="VI65" s="15">
        <v>0</v>
      </c>
      <c r="VJ65" s="15">
        <v>0</v>
      </c>
      <c r="VK65" s="15">
        <v>0</v>
      </c>
      <c r="VL65" s="15">
        <v>0</v>
      </c>
      <c r="VM65" s="15">
        <v>0</v>
      </c>
      <c r="VN65" s="15">
        <v>0</v>
      </c>
      <c r="VO65" s="15">
        <v>0</v>
      </c>
      <c r="VP65" s="15">
        <v>0</v>
      </c>
      <c r="VQ65" s="15">
        <v>0</v>
      </c>
      <c r="VR65" s="15">
        <v>0</v>
      </c>
      <c r="VS65" s="15">
        <v>0</v>
      </c>
      <c r="VT65" s="15">
        <v>0</v>
      </c>
      <c r="VU65" s="15">
        <v>0</v>
      </c>
      <c r="VV65" s="15">
        <v>0</v>
      </c>
      <c r="VW65" s="15">
        <v>0</v>
      </c>
      <c r="VX65" s="15">
        <v>0</v>
      </c>
      <c r="VY65" s="15">
        <v>0</v>
      </c>
      <c r="VZ65" s="15">
        <v>0</v>
      </c>
      <c r="WA65" s="15">
        <v>0</v>
      </c>
      <c r="WB65" s="15">
        <v>0</v>
      </c>
      <c r="WC65" s="15">
        <v>0</v>
      </c>
      <c r="WD65" s="15">
        <v>0</v>
      </c>
      <c r="WE65" s="15">
        <v>0</v>
      </c>
      <c r="WF65" s="15">
        <v>0</v>
      </c>
      <c r="WG65" s="15">
        <v>0</v>
      </c>
      <c r="WH65" s="15">
        <v>0</v>
      </c>
      <c r="WI65" s="15">
        <v>0</v>
      </c>
      <c r="WJ65" s="15">
        <v>0</v>
      </c>
      <c r="WK65" s="15">
        <v>0</v>
      </c>
      <c r="WL65" s="15">
        <v>0</v>
      </c>
      <c r="WM65" s="15">
        <v>0</v>
      </c>
      <c r="WN65" s="15">
        <v>0</v>
      </c>
      <c r="WO65" s="15">
        <v>0</v>
      </c>
      <c r="WP65" s="15">
        <v>0</v>
      </c>
      <c r="WQ65" s="15">
        <v>0</v>
      </c>
      <c r="WR65" s="15">
        <v>0</v>
      </c>
      <c r="WS65" s="15">
        <v>0</v>
      </c>
      <c r="WT65" s="15">
        <v>0</v>
      </c>
      <c r="WU65" s="15">
        <v>0</v>
      </c>
      <c r="WV65" s="15">
        <v>0</v>
      </c>
      <c r="WW65" s="15">
        <v>0</v>
      </c>
      <c r="WX65" s="15">
        <v>0</v>
      </c>
      <c r="WY65" s="15">
        <v>0</v>
      </c>
      <c r="WZ65" s="15">
        <v>0</v>
      </c>
      <c r="XA65" s="15">
        <v>0</v>
      </c>
      <c r="XB65" s="15">
        <v>0</v>
      </c>
      <c r="XC65" s="15">
        <v>0</v>
      </c>
      <c r="XD65" s="15">
        <v>0</v>
      </c>
      <c r="XE65" s="15">
        <v>0</v>
      </c>
      <c r="XF65" s="15">
        <v>0</v>
      </c>
      <c r="XG65" s="15">
        <v>0</v>
      </c>
      <c r="XH65" s="15">
        <v>0</v>
      </c>
      <c r="XI65" s="15">
        <v>0</v>
      </c>
      <c r="XJ65" s="15">
        <v>0</v>
      </c>
      <c r="XK65" s="15">
        <v>0</v>
      </c>
      <c r="XL65" s="15">
        <v>0</v>
      </c>
      <c r="XM65" s="15">
        <v>0</v>
      </c>
      <c r="XN65" s="15">
        <v>0</v>
      </c>
      <c r="XO65" s="15">
        <v>0</v>
      </c>
      <c r="XP65" s="15">
        <v>0</v>
      </c>
      <c r="XQ65" s="15">
        <v>0</v>
      </c>
      <c r="XR65" s="15">
        <v>0</v>
      </c>
      <c r="XS65" s="15">
        <v>0</v>
      </c>
      <c r="XT65" s="15">
        <v>0</v>
      </c>
      <c r="XU65" s="15">
        <v>0</v>
      </c>
      <c r="XV65" s="15">
        <v>0</v>
      </c>
      <c r="XW65" s="15">
        <v>0</v>
      </c>
      <c r="XX65" s="15">
        <v>0</v>
      </c>
      <c r="XY65" s="15">
        <v>0</v>
      </c>
      <c r="XZ65" s="15">
        <v>0</v>
      </c>
      <c r="YA65" s="15">
        <v>0</v>
      </c>
      <c r="YB65" s="15">
        <v>0</v>
      </c>
      <c r="YC65" s="15">
        <v>0</v>
      </c>
      <c r="YD65" s="15">
        <v>0</v>
      </c>
      <c r="YE65" s="15">
        <v>0</v>
      </c>
      <c r="YF65" s="15">
        <v>0</v>
      </c>
      <c r="YG65" s="15">
        <v>0</v>
      </c>
      <c r="YH65" s="15">
        <v>0</v>
      </c>
      <c r="YI65" s="15">
        <v>0</v>
      </c>
      <c r="YJ65" s="15">
        <v>0</v>
      </c>
      <c r="YK65" s="15">
        <v>0</v>
      </c>
      <c r="YL65" s="15">
        <v>0</v>
      </c>
      <c r="YM65" s="15">
        <v>0</v>
      </c>
      <c r="YN65" s="15">
        <v>0</v>
      </c>
      <c r="YO65" s="15">
        <v>0</v>
      </c>
      <c r="YP65" s="15">
        <v>0</v>
      </c>
      <c r="YQ65" s="15">
        <v>0</v>
      </c>
      <c r="YR65" s="15">
        <v>0</v>
      </c>
      <c r="YS65" s="15">
        <v>0</v>
      </c>
      <c r="YT65" s="15">
        <v>0</v>
      </c>
      <c r="YU65" s="15">
        <v>0</v>
      </c>
      <c r="YV65" s="15">
        <v>0</v>
      </c>
      <c r="YW65" s="15">
        <v>0</v>
      </c>
      <c r="YX65" s="15">
        <v>0</v>
      </c>
      <c r="YY65" s="15">
        <v>0</v>
      </c>
      <c r="YZ65" s="15">
        <v>0</v>
      </c>
      <c r="ZA65" s="15">
        <v>0</v>
      </c>
      <c r="ZB65" s="15">
        <v>0</v>
      </c>
      <c r="ZC65" s="15">
        <v>0</v>
      </c>
      <c r="ZD65" s="15">
        <v>0</v>
      </c>
      <c r="ZE65" s="15">
        <v>0</v>
      </c>
      <c r="ZF65" s="15">
        <v>0</v>
      </c>
      <c r="ZG65" s="15">
        <v>0</v>
      </c>
      <c r="ZH65" s="15">
        <v>0</v>
      </c>
      <c r="ZI65" s="15">
        <v>0</v>
      </c>
      <c r="ZJ65" s="15">
        <v>0</v>
      </c>
      <c r="ZK65" s="15">
        <v>0</v>
      </c>
      <c r="ZL65" s="15">
        <v>0</v>
      </c>
      <c r="ZM65" s="15">
        <v>0</v>
      </c>
      <c r="ZN65" s="15">
        <v>0</v>
      </c>
      <c r="ZO65" s="15">
        <v>0</v>
      </c>
      <c r="ZP65" s="15">
        <v>0</v>
      </c>
      <c r="ZQ65" s="15">
        <v>0</v>
      </c>
      <c r="ZR65" s="15">
        <v>0</v>
      </c>
      <c r="ZS65" s="15">
        <v>0</v>
      </c>
      <c r="ZT65" s="15">
        <v>0</v>
      </c>
      <c r="ZU65" s="15">
        <v>0</v>
      </c>
      <c r="ZV65" s="15">
        <v>0</v>
      </c>
      <c r="ZW65" s="15">
        <v>0</v>
      </c>
      <c r="ZX65" s="15">
        <v>0</v>
      </c>
      <c r="ZY65" s="15">
        <v>0</v>
      </c>
      <c r="ZZ65" s="15">
        <v>0</v>
      </c>
      <c r="AAA65" s="15">
        <v>0</v>
      </c>
      <c r="AAB65" s="15">
        <v>0</v>
      </c>
      <c r="AAC65" s="15">
        <v>0</v>
      </c>
      <c r="AAD65" s="15">
        <v>0</v>
      </c>
      <c r="AAE65" s="15">
        <v>0</v>
      </c>
      <c r="AAF65" s="15">
        <v>0</v>
      </c>
      <c r="AAG65" s="15">
        <v>0</v>
      </c>
      <c r="AAH65" s="15">
        <v>0</v>
      </c>
      <c r="AAI65" s="15">
        <v>0</v>
      </c>
      <c r="AAJ65" s="15">
        <v>0</v>
      </c>
      <c r="AAK65" s="15">
        <v>0</v>
      </c>
      <c r="AAL65" s="15"/>
      <c r="AAM65" s="15">
        <v>0</v>
      </c>
      <c r="AAN65" s="15">
        <v>0</v>
      </c>
      <c r="AAO65" s="15">
        <v>0</v>
      </c>
      <c r="AAP65" s="15">
        <v>0</v>
      </c>
      <c r="AAQ65" s="15">
        <v>0</v>
      </c>
      <c r="AAR65" s="15">
        <v>0</v>
      </c>
      <c r="AAS65" s="15">
        <v>0</v>
      </c>
      <c r="AAT65" s="15">
        <v>0</v>
      </c>
      <c r="AAU65" s="15">
        <v>0</v>
      </c>
      <c r="AAV65" s="15">
        <v>0</v>
      </c>
      <c r="AAW65" s="15">
        <v>0</v>
      </c>
      <c r="AAX65" s="15"/>
      <c r="AAY65" s="15">
        <v>0</v>
      </c>
      <c r="AAZ65" s="15">
        <v>0</v>
      </c>
      <c r="ABA65" s="15">
        <v>0</v>
      </c>
      <c r="ABB65" s="15">
        <v>0</v>
      </c>
      <c r="ABC65" s="15">
        <v>0</v>
      </c>
      <c r="ABD65" s="15">
        <v>0</v>
      </c>
      <c r="ABE65" s="15">
        <v>0</v>
      </c>
      <c r="ABF65" s="15">
        <v>0</v>
      </c>
      <c r="ABG65" s="15">
        <v>0</v>
      </c>
      <c r="ABH65" s="15">
        <v>0</v>
      </c>
      <c r="ABI65" s="15">
        <f t="shared" ref="ABI65:ADC65" si="952" xml:space="preserve"> IF( NOT(EXACT(ABI34,"CS_SWITCH_REQUESTED_E")), IF(OR(EXACT(ABI36,"CS_SWITCH_REQUESTED_E"),ABH65&gt;0), BIN2DEC(ABI176), 0),0)</f>
        <v>0</v>
      </c>
      <c r="ABJ65" s="15">
        <f t="shared" si="952"/>
        <v>0</v>
      </c>
      <c r="ABK65" s="15">
        <f t="shared" si="952"/>
        <v>0</v>
      </c>
      <c r="ABL65" s="15">
        <f t="shared" si="952"/>
        <v>0</v>
      </c>
      <c r="ABM65" s="15">
        <f t="shared" si="952"/>
        <v>0</v>
      </c>
      <c r="ABN65" s="15">
        <f t="shared" si="952"/>
        <v>0</v>
      </c>
      <c r="ABO65" s="15">
        <f t="shared" si="952"/>
        <v>0</v>
      </c>
      <c r="ABP65" s="15">
        <f t="shared" si="952"/>
        <v>0</v>
      </c>
      <c r="ABQ65" s="15">
        <f t="shared" si="952"/>
        <v>0</v>
      </c>
      <c r="ABR65" s="15">
        <f t="shared" si="952"/>
        <v>0</v>
      </c>
      <c r="ABS65" s="15">
        <f t="shared" si="952"/>
        <v>0</v>
      </c>
      <c r="ABT65" s="15">
        <f t="shared" si="952"/>
        <v>0</v>
      </c>
      <c r="ABU65" s="15">
        <f t="shared" si="952"/>
        <v>0</v>
      </c>
      <c r="ABV65" s="15">
        <f t="shared" si="952"/>
        <v>0</v>
      </c>
      <c r="ABW65" s="15">
        <f t="shared" si="952"/>
        <v>0</v>
      </c>
      <c r="ABX65" s="15">
        <f t="shared" si="952"/>
        <v>0</v>
      </c>
      <c r="ABY65" s="15">
        <f t="shared" si="952"/>
        <v>0</v>
      </c>
      <c r="ABZ65" s="15">
        <f t="shared" si="952"/>
        <v>0</v>
      </c>
      <c r="ACA65" s="15">
        <f t="shared" si="952"/>
        <v>0</v>
      </c>
      <c r="ACB65" s="15">
        <f t="shared" si="952"/>
        <v>0</v>
      </c>
      <c r="ACC65" s="15">
        <f t="shared" si="952"/>
        <v>1</v>
      </c>
      <c r="ACD65" s="15">
        <f t="shared" si="952"/>
        <v>1</v>
      </c>
      <c r="ACE65" s="15">
        <f t="shared" si="952"/>
        <v>128</v>
      </c>
      <c r="ACF65" s="15">
        <f t="shared" si="952"/>
        <v>1</v>
      </c>
      <c r="ACG65" s="15">
        <f t="shared" si="952"/>
        <v>128</v>
      </c>
      <c r="ACH65" s="15">
        <f t="shared" si="952"/>
        <v>128</v>
      </c>
      <c r="ACI65" s="15">
        <f t="shared" si="952"/>
        <v>128</v>
      </c>
      <c r="ACJ65" s="15">
        <f t="shared" si="952"/>
        <v>128</v>
      </c>
      <c r="ACK65" s="15">
        <f t="shared" si="952"/>
        <v>128</v>
      </c>
      <c r="ACL65" s="15">
        <f t="shared" si="952"/>
        <v>128</v>
      </c>
      <c r="ACM65" s="15">
        <f t="shared" si="952"/>
        <v>128</v>
      </c>
      <c r="ACN65" s="15">
        <f t="shared" si="952"/>
        <v>128</v>
      </c>
      <c r="ACO65" s="15">
        <f t="shared" si="952"/>
        <v>128</v>
      </c>
      <c r="ACP65" s="15">
        <f t="shared" si="952"/>
        <v>128</v>
      </c>
      <c r="ACQ65" s="15">
        <f t="shared" si="952"/>
        <v>128</v>
      </c>
      <c r="ACR65" s="15">
        <f t="shared" si="952"/>
        <v>128</v>
      </c>
      <c r="ACS65" s="15">
        <f t="shared" si="952"/>
        <v>128</v>
      </c>
      <c r="ACT65" s="15">
        <f t="shared" si="952"/>
        <v>128</v>
      </c>
      <c r="ACU65" s="15">
        <f t="shared" si="952"/>
        <v>128</v>
      </c>
      <c r="ACV65" s="15">
        <f t="shared" si="952"/>
        <v>128</v>
      </c>
      <c r="ACW65" s="15">
        <f t="shared" si="952"/>
        <v>128</v>
      </c>
      <c r="ACX65" s="15">
        <f t="shared" si="952"/>
        <v>128</v>
      </c>
      <c r="ACY65" s="15">
        <f t="shared" si="952"/>
        <v>128</v>
      </c>
      <c r="ACZ65" s="15">
        <f t="shared" si="952"/>
        <v>128</v>
      </c>
      <c r="ADA65" s="15">
        <f t="shared" si="952"/>
        <v>128</v>
      </c>
      <c r="ADB65" s="15">
        <f t="shared" si="952"/>
        <v>128</v>
      </c>
      <c r="ADC65" s="15">
        <f t="shared" si="952"/>
        <v>128</v>
      </c>
      <c r="ADD65" s="15">
        <v>0</v>
      </c>
      <c r="ADE65" s="15">
        <f xml:space="preserve"> IF( NOT(EXACT(ADE34,"CS_SWITCH_REQUESTED_E")), IF(OR(EXACT(ADE36,"CS_SWITCH_REQUESTED_E"),ADD65&gt;0), BIN2DEC(ADE176), 0),0)</f>
        <v>0</v>
      </c>
      <c r="ADF65" s="15">
        <f xml:space="preserve"> IF( NOT(EXACT(ADF34,"CS_SWITCH_REQUESTED_E")), IF(OR(EXACT(ADF36,"CS_SWITCH_REQUESTED_E"),ADE65&gt;0), BIN2DEC(ADF176), 0),0)</f>
        <v>0</v>
      </c>
      <c r="ADG65" s="15">
        <f xml:space="preserve"> IF( NOT(EXACT(ADG34,"CS_SWITCH_REQUESTED_E")), IF(OR(EXACT(ADG36,"CS_SWITCH_REQUESTED_E"),ADF65&gt;0), BIN2DEC(ADG176), 0),0)</f>
        <v>0</v>
      </c>
      <c r="ADH65" s="15"/>
      <c r="ADI65" s="15">
        <v>0</v>
      </c>
      <c r="ADJ65" s="15">
        <v>0</v>
      </c>
      <c r="ADK65" s="15">
        <v>0</v>
      </c>
      <c r="ADL65" s="15">
        <v>0</v>
      </c>
      <c r="ADM65" s="15">
        <v>0</v>
      </c>
      <c r="ADN65" s="15">
        <v>0</v>
      </c>
      <c r="ADO65" s="15">
        <v>0</v>
      </c>
      <c r="ADP65" s="15">
        <v>0</v>
      </c>
      <c r="ADQ65" s="15">
        <v>0</v>
      </c>
      <c r="ADR65" s="15">
        <v>0</v>
      </c>
      <c r="ADS65" s="15">
        <f t="shared" ref="ADS65:AFM65" si="953" xml:space="preserve"> IF( NOT(EXACT(ADS34,"CS_SWITCH_REQUESTED_E")), IF(OR(EXACT(ADS36,"CS_SWITCH_REQUESTED_E"),ADR65&gt;0), BIN2DEC(ADS176), 0),0)</f>
        <v>0</v>
      </c>
      <c r="ADT65" s="15">
        <f t="shared" si="953"/>
        <v>0</v>
      </c>
      <c r="ADU65" s="15">
        <f t="shared" si="953"/>
        <v>0</v>
      </c>
      <c r="ADV65" s="15">
        <f t="shared" si="953"/>
        <v>0</v>
      </c>
      <c r="ADW65" s="15">
        <f t="shared" si="953"/>
        <v>0</v>
      </c>
      <c r="ADX65" s="15">
        <f t="shared" si="953"/>
        <v>0</v>
      </c>
      <c r="ADY65" s="15">
        <f t="shared" si="953"/>
        <v>0</v>
      </c>
      <c r="ADZ65" s="15">
        <f t="shared" si="953"/>
        <v>0</v>
      </c>
      <c r="AEA65" s="15">
        <f t="shared" si="953"/>
        <v>0</v>
      </c>
      <c r="AEB65" s="15">
        <f t="shared" si="953"/>
        <v>0</v>
      </c>
      <c r="AEC65" s="15">
        <f t="shared" si="953"/>
        <v>0</v>
      </c>
      <c r="AED65" s="15">
        <f t="shared" si="953"/>
        <v>0</v>
      </c>
      <c r="AEE65" s="15">
        <f t="shared" si="953"/>
        <v>0</v>
      </c>
      <c r="AEF65" s="15">
        <f t="shared" si="953"/>
        <v>0</v>
      </c>
      <c r="AEG65" s="15">
        <f t="shared" si="953"/>
        <v>0</v>
      </c>
      <c r="AEH65" s="15">
        <f t="shared" si="953"/>
        <v>0</v>
      </c>
      <c r="AEI65" s="15">
        <f t="shared" si="953"/>
        <v>0</v>
      </c>
      <c r="AEJ65" s="15">
        <f t="shared" si="953"/>
        <v>0</v>
      </c>
      <c r="AEK65" s="15">
        <f t="shared" si="953"/>
        <v>0</v>
      </c>
      <c r="AEL65" s="15">
        <f t="shared" si="953"/>
        <v>0</v>
      </c>
      <c r="AEM65" s="15">
        <f t="shared" si="953"/>
        <v>1</v>
      </c>
      <c r="AEN65" s="15">
        <f t="shared" si="953"/>
        <v>1</v>
      </c>
      <c r="AEO65" s="15">
        <f t="shared" si="953"/>
        <v>128</v>
      </c>
      <c r="AEP65" s="15">
        <f t="shared" si="953"/>
        <v>1</v>
      </c>
      <c r="AEQ65" s="15">
        <f t="shared" si="953"/>
        <v>128</v>
      </c>
      <c r="AER65" s="15">
        <f t="shared" si="953"/>
        <v>128</v>
      </c>
      <c r="AES65" s="15">
        <f t="shared" si="953"/>
        <v>128</v>
      </c>
      <c r="AET65" s="15">
        <f t="shared" si="953"/>
        <v>128</v>
      </c>
      <c r="AEU65" s="15">
        <f t="shared" si="953"/>
        <v>128</v>
      </c>
      <c r="AEV65" s="15">
        <f t="shared" si="953"/>
        <v>128</v>
      </c>
      <c r="AEW65" s="15">
        <f t="shared" si="953"/>
        <v>128</v>
      </c>
      <c r="AEX65" s="15">
        <f t="shared" si="953"/>
        <v>128</v>
      </c>
      <c r="AEY65" s="15">
        <f t="shared" si="953"/>
        <v>128</v>
      </c>
      <c r="AEZ65" s="15">
        <f t="shared" si="953"/>
        <v>128</v>
      </c>
      <c r="AFA65" s="15">
        <f t="shared" si="953"/>
        <v>128</v>
      </c>
      <c r="AFB65" s="15">
        <f t="shared" si="953"/>
        <v>128</v>
      </c>
      <c r="AFC65" s="15">
        <f t="shared" si="953"/>
        <v>128</v>
      </c>
      <c r="AFD65" s="15">
        <f t="shared" si="953"/>
        <v>128</v>
      </c>
      <c r="AFE65" s="15">
        <f t="shared" si="953"/>
        <v>128</v>
      </c>
      <c r="AFF65" s="15">
        <f t="shared" si="953"/>
        <v>128</v>
      </c>
      <c r="AFG65" s="15">
        <f t="shared" si="953"/>
        <v>128</v>
      </c>
      <c r="AFH65" s="15">
        <f t="shared" si="953"/>
        <v>128</v>
      </c>
      <c r="AFI65" s="15">
        <f t="shared" si="953"/>
        <v>128</v>
      </c>
      <c r="AFJ65" s="15">
        <f t="shared" si="953"/>
        <v>128</v>
      </c>
      <c r="AFK65" s="15">
        <f t="shared" si="953"/>
        <v>128</v>
      </c>
      <c r="AFL65" s="15">
        <f t="shared" si="953"/>
        <v>128</v>
      </c>
      <c r="AFM65" s="15">
        <f t="shared" si="953"/>
        <v>128</v>
      </c>
      <c r="AFN65" s="15">
        <v>0</v>
      </c>
      <c r="AFO65" s="15">
        <f xml:space="preserve"> IF( NOT(EXACT(AFO34,"CS_SWITCH_REQUESTED_E")), IF(OR(EXACT(AFO36,"CS_SWITCH_REQUESTED_E"),AFN65&gt;0), BIN2DEC(AFO176), 0),0)</f>
        <v>0</v>
      </c>
      <c r="AFP65" s="15">
        <f xml:space="preserve"> IF( NOT(EXACT(AFP34,"CS_SWITCH_REQUESTED_E")), IF(OR(EXACT(AFP36,"CS_SWITCH_REQUESTED_E"),AFO65&gt;0), BIN2DEC(AFP176), 0),0)</f>
        <v>0</v>
      </c>
      <c r="AFQ65" s="15">
        <f xml:space="preserve"> IF( NOT(EXACT(AFQ34,"CS_SWITCH_REQUESTED_E")), IF(OR(EXACT(AFQ36,"CS_SWITCH_REQUESTED_E"),AFP65&gt;0), BIN2DEC(AFQ176), 0),0)</f>
        <v>0</v>
      </c>
      <c r="AFR65" s="15"/>
      <c r="AFS65" s="15">
        <v>0</v>
      </c>
      <c r="AFT65" s="15">
        <v>0</v>
      </c>
      <c r="AFU65" s="15">
        <v>0</v>
      </c>
      <c r="AFV65" s="15">
        <v>0</v>
      </c>
      <c r="AFW65" s="15">
        <v>0</v>
      </c>
      <c r="AFX65" s="15">
        <v>0</v>
      </c>
      <c r="AFY65" s="15">
        <v>0</v>
      </c>
      <c r="AFZ65" s="15">
        <v>0</v>
      </c>
      <c r="AGA65" s="15">
        <v>0</v>
      </c>
      <c r="AGB65" s="15">
        <v>0</v>
      </c>
      <c r="AGC65" s="15">
        <v>0</v>
      </c>
      <c r="AGD65" s="15">
        <v>0</v>
      </c>
      <c r="AGE65" s="15">
        <v>0</v>
      </c>
      <c r="AGF65" s="15">
        <v>0</v>
      </c>
      <c r="AGG65" s="15">
        <v>0</v>
      </c>
      <c r="AGH65" s="15">
        <v>0</v>
      </c>
      <c r="AGI65" s="15">
        <v>0</v>
      </c>
      <c r="AGJ65" s="15">
        <v>0</v>
      </c>
      <c r="AGK65" s="15">
        <v>0</v>
      </c>
      <c r="AGL65" s="15">
        <v>0</v>
      </c>
      <c r="AGM65" s="15">
        <v>0</v>
      </c>
      <c r="AGN65" s="15">
        <v>0</v>
      </c>
      <c r="AGO65" s="15">
        <v>0</v>
      </c>
      <c r="AGP65" s="15">
        <v>0</v>
      </c>
      <c r="AGQ65" s="15">
        <v>0</v>
      </c>
      <c r="AGR65" s="15">
        <v>0</v>
      </c>
      <c r="AGS65" s="15">
        <v>0</v>
      </c>
      <c r="AGT65" s="15">
        <v>0</v>
      </c>
      <c r="AGU65" s="15">
        <v>0</v>
      </c>
      <c r="AGV65" s="15">
        <v>0</v>
      </c>
      <c r="AGW65" s="15">
        <v>0</v>
      </c>
      <c r="AGX65" s="15">
        <v>0</v>
      </c>
      <c r="AGY65" s="15">
        <v>0</v>
      </c>
      <c r="AGZ65" s="15">
        <v>0</v>
      </c>
      <c r="AHA65" s="15">
        <v>0</v>
      </c>
      <c r="AHB65" s="15">
        <v>0</v>
      </c>
      <c r="AHC65" s="15">
        <v>0</v>
      </c>
      <c r="AHD65" s="15">
        <v>0</v>
      </c>
      <c r="AHE65" s="15">
        <v>0</v>
      </c>
      <c r="AHF65" s="15">
        <v>0</v>
      </c>
      <c r="AHG65" s="15">
        <v>0</v>
      </c>
      <c r="AHH65" s="15">
        <v>0</v>
      </c>
      <c r="AHI65" s="15">
        <v>0</v>
      </c>
      <c r="AHJ65" s="15">
        <v>0</v>
      </c>
      <c r="AHK65" s="15">
        <v>0</v>
      </c>
      <c r="AHL65" s="15">
        <v>0</v>
      </c>
      <c r="AHM65" s="15">
        <v>0</v>
      </c>
      <c r="AHN65" s="15">
        <v>0</v>
      </c>
      <c r="AHO65" s="15">
        <v>0</v>
      </c>
      <c r="AHP65" s="15">
        <v>0</v>
      </c>
      <c r="AHQ65" s="15">
        <v>0</v>
      </c>
      <c r="AHR65" s="15">
        <v>0</v>
      </c>
      <c r="AHS65" s="15">
        <v>0</v>
      </c>
      <c r="AHT65" s="15">
        <v>0</v>
      </c>
      <c r="AHU65" s="15">
        <v>0</v>
      </c>
      <c r="AHV65" s="15">
        <v>0</v>
      </c>
      <c r="AHW65" s="15">
        <v>0</v>
      </c>
      <c r="AHX65" s="15">
        <v>0</v>
      </c>
      <c r="AHY65" s="15">
        <v>0</v>
      </c>
      <c r="AHZ65" s="15">
        <v>0</v>
      </c>
      <c r="AIA65" s="15">
        <v>0</v>
      </c>
      <c r="AIB65" s="15">
        <v>0</v>
      </c>
      <c r="AIC65" s="15">
        <v>0</v>
      </c>
      <c r="AID65" s="15">
        <v>0</v>
      </c>
      <c r="AIE65" s="15">
        <v>0</v>
      </c>
      <c r="AIF65" s="15">
        <v>0</v>
      </c>
      <c r="AIG65" s="15">
        <v>0</v>
      </c>
      <c r="AIH65" s="15">
        <v>0</v>
      </c>
      <c r="AII65" s="15">
        <v>0</v>
      </c>
      <c r="AIJ65" s="15">
        <v>0</v>
      </c>
      <c r="AIK65" s="15">
        <v>0</v>
      </c>
      <c r="AIL65" s="15">
        <v>0</v>
      </c>
      <c r="AIM65" s="15">
        <v>0</v>
      </c>
      <c r="AIN65" s="15">
        <v>0</v>
      </c>
      <c r="AIO65" s="15">
        <v>0</v>
      </c>
      <c r="AIP65" s="15">
        <v>0</v>
      </c>
      <c r="AIQ65" s="15">
        <v>0</v>
      </c>
      <c r="AIR65" s="15">
        <v>0</v>
      </c>
      <c r="AIS65" s="15">
        <v>0</v>
      </c>
      <c r="AIT65" s="15">
        <v>0</v>
      </c>
      <c r="AIU65" s="15">
        <v>0</v>
      </c>
      <c r="AIV65" s="15">
        <v>0</v>
      </c>
      <c r="AIW65" s="15">
        <v>0</v>
      </c>
      <c r="AIX65" s="15">
        <v>0</v>
      </c>
      <c r="AIY65" s="15">
        <v>0</v>
      </c>
      <c r="AIZ65" s="15">
        <v>0</v>
      </c>
      <c r="AJA65" s="15">
        <v>0</v>
      </c>
      <c r="AJB65" s="15">
        <v>0</v>
      </c>
      <c r="AJC65" s="15">
        <v>0</v>
      </c>
      <c r="AJD65" s="15">
        <v>0</v>
      </c>
      <c r="AJE65" s="15">
        <v>0</v>
      </c>
      <c r="AJF65" s="15"/>
      <c r="AJG65" s="15">
        <v>0</v>
      </c>
      <c r="AJH65" s="15">
        <v>0</v>
      </c>
      <c r="AJI65" s="15">
        <v>0</v>
      </c>
      <c r="AJJ65" s="15">
        <v>0</v>
      </c>
      <c r="AJK65" s="15">
        <v>0</v>
      </c>
      <c r="AJL65" s="15">
        <v>0</v>
      </c>
      <c r="AJM65" s="15">
        <v>0</v>
      </c>
      <c r="AJN65" s="15"/>
      <c r="AJO65" s="15">
        <v>0</v>
      </c>
      <c r="AJP65" s="15">
        <v>0</v>
      </c>
      <c r="AJQ65" s="15">
        <v>0</v>
      </c>
      <c r="AJR65" s="15">
        <v>0</v>
      </c>
      <c r="AJS65" s="15">
        <v>0</v>
      </c>
      <c r="AJT65" s="15">
        <v>0</v>
      </c>
      <c r="AJU65" s="15">
        <v>0</v>
      </c>
      <c r="AJV65" s="15">
        <v>0</v>
      </c>
      <c r="AJW65" s="15">
        <v>0</v>
      </c>
      <c r="AJX65" s="15"/>
      <c r="AJY65" s="15">
        <v>0</v>
      </c>
      <c r="AJZ65" s="15">
        <v>0</v>
      </c>
      <c r="AKA65" s="15">
        <v>0</v>
      </c>
      <c r="AKB65" s="15">
        <v>0</v>
      </c>
      <c r="AKC65" s="15">
        <v>0</v>
      </c>
      <c r="AKD65" s="15">
        <v>0</v>
      </c>
      <c r="AKE65" s="15">
        <v>0</v>
      </c>
      <c r="AKF65" s="15">
        <v>0</v>
      </c>
      <c r="AKG65" s="15">
        <v>0</v>
      </c>
      <c r="AKH65" s="15">
        <v>0</v>
      </c>
      <c r="AKI65" s="15"/>
      <c r="AKJ65" s="15">
        <v>0</v>
      </c>
      <c r="AKK65" s="15">
        <v>0</v>
      </c>
      <c r="AKL65" s="15">
        <v>0</v>
      </c>
      <c r="AKM65" s="15">
        <v>0</v>
      </c>
      <c r="AKN65" s="15">
        <v>0</v>
      </c>
      <c r="AKO65" s="15">
        <v>0</v>
      </c>
      <c r="AKP65" s="15">
        <v>0</v>
      </c>
      <c r="AKQ65" s="15">
        <v>0</v>
      </c>
      <c r="AKR65" s="15">
        <v>0</v>
      </c>
      <c r="AKS65" s="15">
        <v>0</v>
      </c>
      <c r="AKT65" s="15">
        <v>0</v>
      </c>
      <c r="AKU65" s="15">
        <v>0</v>
      </c>
      <c r="AKV65" s="15">
        <v>0</v>
      </c>
      <c r="AKW65" s="15">
        <v>0</v>
      </c>
      <c r="AKX65" s="15"/>
      <c r="AKY65" s="15">
        <v>0</v>
      </c>
      <c r="AKZ65" s="15">
        <v>0</v>
      </c>
      <c r="ALA65" s="15">
        <v>0</v>
      </c>
      <c r="ALB65" s="15">
        <v>0</v>
      </c>
      <c r="ALC65" s="15">
        <v>0</v>
      </c>
      <c r="ALD65" s="15">
        <v>0</v>
      </c>
      <c r="ALE65" s="15">
        <v>0</v>
      </c>
      <c r="ALF65" s="15">
        <v>0</v>
      </c>
      <c r="ALG65" s="15">
        <v>0</v>
      </c>
      <c r="ALH65" s="15">
        <v>0</v>
      </c>
      <c r="ALI65" s="15">
        <v>0</v>
      </c>
      <c r="ALJ65" s="15">
        <v>0</v>
      </c>
      <c r="ALK65" s="15">
        <v>0</v>
      </c>
      <c r="ALL65" s="15">
        <v>0</v>
      </c>
      <c r="ALM65" s="15"/>
      <c r="ALN65" s="15">
        <v>0</v>
      </c>
      <c r="ALO65" s="15">
        <v>0</v>
      </c>
      <c r="ALP65" s="15">
        <v>0</v>
      </c>
      <c r="ALQ65" s="15">
        <v>0</v>
      </c>
      <c r="ALR65" s="15">
        <v>0</v>
      </c>
      <c r="ALS65" s="15">
        <v>0</v>
      </c>
      <c r="ALT65" s="15">
        <v>0</v>
      </c>
      <c r="ALU65" s="15">
        <v>0</v>
      </c>
      <c r="ALV65" s="15">
        <v>0</v>
      </c>
      <c r="ALW65" s="15">
        <v>0</v>
      </c>
      <c r="ALX65" s="15">
        <v>0</v>
      </c>
      <c r="ALY65" s="15">
        <v>0</v>
      </c>
      <c r="ALZ65" s="15">
        <v>0</v>
      </c>
      <c r="AMA65" s="15">
        <v>0</v>
      </c>
      <c r="AMB65" s="15">
        <v>0</v>
      </c>
      <c r="AMC65" s="15"/>
      <c r="AMD65" s="15">
        <v>0</v>
      </c>
      <c r="AME65" s="15">
        <v>0</v>
      </c>
      <c r="AMF65" s="15">
        <v>0</v>
      </c>
      <c r="AMG65" s="15">
        <v>0</v>
      </c>
      <c r="AMH65" s="15">
        <v>0</v>
      </c>
      <c r="AMI65" s="15">
        <v>0</v>
      </c>
      <c r="AMJ65" s="15">
        <v>0</v>
      </c>
      <c r="AMK65" s="15">
        <v>0</v>
      </c>
      <c r="AML65" s="15">
        <v>0</v>
      </c>
      <c r="AMM65" s="15">
        <v>0</v>
      </c>
      <c r="AMN65" s="15">
        <v>0</v>
      </c>
      <c r="AMO65" s="15">
        <v>0</v>
      </c>
      <c r="AMP65" s="15">
        <v>0</v>
      </c>
      <c r="AMQ65" s="15">
        <v>0</v>
      </c>
      <c r="AMR65" s="15">
        <v>0</v>
      </c>
      <c r="AMS65" s="15">
        <v>0</v>
      </c>
      <c r="AMT65" s="15">
        <v>0</v>
      </c>
      <c r="AMU65" s="15">
        <v>0</v>
      </c>
      <c r="AMV65" s="15">
        <v>0</v>
      </c>
      <c r="AMW65" s="15">
        <v>0</v>
      </c>
      <c r="AMX65" s="15">
        <v>0</v>
      </c>
      <c r="AMY65" s="15">
        <v>0</v>
      </c>
      <c r="AMZ65" s="15">
        <v>0</v>
      </c>
      <c r="ANA65" s="15">
        <v>0</v>
      </c>
      <c r="ANB65" s="15">
        <v>0</v>
      </c>
      <c r="ANC65" s="15">
        <v>0</v>
      </c>
      <c r="AND65" s="15">
        <v>0</v>
      </c>
      <c r="ANE65" s="15"/>
      <c r="ANF65" s="15"/>
      <c r="ANG65" s="15"/>
      <c r="ANH65" s="15"/>
      <c r="ANI65" s="15"/>
      <c r="ANJ65" s="15"/>
      <c r="ANK65" s="15"/>
      <c r="ANL65" s="15"/>
      <c r="ANM65" s="15"/>
      <c r="ANN65" s="15"/>
      <c r="ANO65" s="15"/>
      <c r="ANP65" s="15"/>
      <c r="ANQ65" s="15"/>
      <c r="ANR65" s="15"/>
      <c r="ANS65" s="15"/>
      <c r="ANT65" s="15"/>
      <c r="ANU65" s="15"/>
      <c r="ANV65" s="15"/>
      <c r="ANW65" s="15"/>
      <c r="ANX65" s="15"/>
      <c r="ANY65" s="15"/>
      <c r="ANZ65" s="15"/>
      <c r="AOA65" s="15"/>
      <c r="AOB65" s="15"/>
      <c r="AOC65" s="15"/>
      <c r="AOD65" s="15"/>
      <c r="AOE65" s="15"/>
      <c r="AOF65" s="15"/>
      <c r="AOG65" s="15"/>
      <c r="AOH65" s="15"/>
      <c r="AOI65" s="15"/>
      <c r="AOJ65" s="15"/>
      <c r="AOK65" s="15"/>
      <c r="AOL65" s="15"/>
      <c r="AOM65" s="15"/>
      <c r="AON65" s="15"/>
      <c r="AOO65" s="15"/>
      <c r="AOP65" s="15"/>
      <c r="AOQ65" s="15"/>
      <c r="AOR65" s="15"/>
      <c r="AOS65" s="15"/>
      <c r="AOT65" s="15"/>
      <c r="AOU65" s="15"/>
      <c r="AOV65" s="15"/>
      <c r="AOW65" s="15"/>
      <c r="AOX65" s="15"/>
      <c r="AOY65" s="15"/>
      <c r="AOZ65" s="15"/>
      <c r="APA65" s="15"/>
      <c r="APB65" s="15"/>
      <c r="APC65" s="15"/>
      <c r="APD65" s="15"/>
      <c r="APE65" s="15"/>
      <c r="APF65" s="15"/>
      <c r="APG65" s="15"/>
      <c r="APH65" s="15"/>
      <c r="API65" s="15"/>
      <c r="APJ65" s="15"/>
      <c r="APK65" s="15"/>
      <c r="APL65" s="15"/>
      <c r="APM65" s="15"/>
      <c r="APN65" s="15"/>
      <c r="APO65" s="15"/>
      <c r="APP65" s="15"/>
      <c r="APQ65" s="15"/>
      <c r="APR65" s="15"/>
      <c r="APS65" s="15"/>
      <c r="APT65" s="15"/>
      <c r="APU65" s="15"/>
      <c r="APV65" s="15"/>
      <c r="APW65" s="15"/>
      <c r="APX65" s="15"/>
      <c r="APY65" s="15"/>
      <c r="APZ65" s="15"/>
      <c r="AQA65" s="15"/>
      <c r="AQB65" s="15"/>
    </row>
    <row r="66" spans="1:1120" s="17" customFormat="1" ht="15" customHeight="1" x14ac:dyDescent="0.25">
      <c r="A66" s="11" t="s">
        <v>3</v>
      </c>
      <c r="B66" s="6" t="s">
        <v>54</v>
      </c>
      <c r="C66" s="15">
        <v>0</v>
      </c>
      <c r="D66" s="15">
        <v>0</v>
      </c>
      <c r="E66" s="15">
        <v>0</v>
      </c>
      <c r="F66" s="15">
        <v>0</v>
      </c>
      <c r="G66" s="15">
        <v>0</v>
      </c>
      <c r="H66" s="15">
        <v>0</v>
      </c>
      <c r="I66" s="15">
        <v>0</v>
      </c>
      <c r="J66" s="15"/>
      <c r="K66" s="15">
        <v>0</v>
      </c>
      <c r="L66" s="15">
        <v>0</v>
      </c>
      <c r="M66" s="15">
        <v>0</v>
      </c>
      <c r="N66" s="15">
        <v>0</v>
      </c>
      <c r="O66" s="15">
        <v>0</v>
      </c>
      <c r="P66" s="15">
        <v>0</v>
      </c>
      <c r="Q66" s="15"/>
      <c r="R66" s="15">
        <v>0</v>
      </c>
      <c r="S66" s="15">
        <v>0</v>
      </c>
      <c r="T66" s="15">
        <v>0</v>
      </c>
      <c r="U66" s="15">
        <v>0</v>
      </c>
      <c r="V66" s="15">
        <v>0</v>
      </c>
      <c r="W66" s="15">
        <v>0</v>
      </c>
      <c r="X66" s="15"/>
      <c r="Y66" s="15">
        <v>0</v>
      </c>
      <c r="Z66" s="15">
        <v>0</v>
      </c>
      <c r="AA66" s="15">
        <v>0</v>
      </c>
      <c r="AB66" s="15">
        <v>0</v>
      </c>
      <c r="AC66" s="15">
        <v>0</v>
      </c>
      <c r="AD66" s="15">
        <v>0</v>
      </c>
      <c r="AE66" s="15"/>
      <c r="AF66" s="15">
        <v>0</v>
      </c>
      <c r="AG66" s="15">
        <v>0</v>
      </c>
      <c r="AH66" s="15">
        <v>0</v>
      </c>
      <c r="AI66" s="15">
        <v>0</v>
      </c>
      <c r="AJ66" s="15">
        <v>0</v>
      </c>
      <c r="AK66" s="15">
        <v>0</v>
      </c>
      <c r="AL66" s="15"/>
      <c r="AM66" s="15">
        <v>0</v>
      </c>
      <c r="AN66" s="15">
        <v>0</v>
      </c>
      <c r="AO66" s="15">
        <v>0</v>
      </c>
      <c r="AP66" s="15">
        <v>0</v>
      </c>
      <c r="AQ66" s="15">
        <v>0</v>
      </c>
      <c r="AR66" s="15">
        <v>0</v>
      </c>
      <c r="AS66" s="15">
        <v>0</v>
      </c>
      <c r="AT66" s="15">
        <v>0</v>
      </c>
      <c r="AU66" s="15">
        <v>0</v>
      </c>
      <c r="AV66" s="15">
        <v>0</v>
      </c>
      <c r="AW66" s="15">
        <v>0</v>
      </c>
      <c r="AX66" s="15">
        <v>0</v>
      </c>
      <c r="AY66" s="15">
        <v>0</v>
      </c>
      <c r="AZ66" s="15">
        <v>0</v>
      </c>
      <c r="BA66" s="15">
        <v>0</v>
      </c>
      <c r="BB66" s="15">
        <v>0</v>
      </c>
      <c r="BC66" s="15">
        <v>0</v>
      </c>
      <c r="BD66" s="15">
        <v>0</v>
      </c>
      <c r="BE66" s="15">
        <v>0</v>
      </c>
      <c r="BF66" s="15">
        <v>0</v>
      </c>
      <c r="BG66" s="15">
        <v>0</v>
      </c>
      <c r="BH66" s="15">
        <v>0</v>
      </c>
      <c r="BI66" s="15">
        <v>0</v>
      </c>
      <c r="BJ66" s="15">
        <v>0</v>
      </c>
      <c r="BK66" s="15">
        <v>0</v>
      </c>
      <c r="BL66" s="15">
        <v>0</v>
      </c>
      <c r="BM66" s="15">
        <v>0</v>
      </c>
      <c r="BN66" s="15">
        <v>0</v>
      </c>
      <c r="BO66" s="15">
        <v>0</v>
      </c>
      <c r="BP66" s="15">
        <v>0</v>
      </c>
      <c r="BQ66" s="15">
        <v>0</v>
      </c>
      <c r="BR66" s="15">
        <v>0</v>
      </c>
      <c r="BS66" s="15">
        <v>0</v>
      </c>
      <c r="BT66" s="15">
        <v>0</v>
      </c>
      <c r="BU66" s="15">
        <v>0</v>
      </c>
      <c r="BV66" s="15">
        <v>0</v>
      </c>
      <c r="BW66" s="15">
        <v>0</v>
      </c>
      <c r="BX66" s="15">
        <v>0</v>
      </c>
      <c r="BY66" s="15">
        <v>0</v>
      </c>
      <c r="BZ66" s="15">
        <v>0</v>
      </c>
      <c r="CA66" s="15">
        <v>0</v>
      </c>
      <c r="CB66" s="15">
        <v>0</v>
      </c>
      <c r="CC66" s="15">
        <v>0</v>
      </c>
      <c r="CD66" s="15">
        <v>0</v>
      </c>
      <c r="CE66" s="15">
        <v>0</v>
      </c>
      <c r="CF66" s="15">
        <v>0</v>
      </c>
      <c r="CG66" s="15">
        <v>0</v>
      </c>
      <c r="CH66" s="15">
        <v>0</v>
      </c>
      <c r="CI66" s="15">
        <v>0</v>
      </c>
      <c r="CJ66" s="15">
        <v>0</v>
      </c>
      <c r="CK66" s="15">
        <v>0</v>
      </c>
      <c r="CL66" s="15">
        <v>0</v>
      </c>
      <c r="CM66" s="15">
        <v>0</v>
      </c>
      <c r="CN66" s="15">
        <v>0</v>
      </c>
      <c r="CO66" s="15">
        <v>0</v>
      </c>
      <c r="CP66" s="15">
        <v>0</v>
      </c>
      <c r="CQ66" s="15">
        <v>0</v>
      </c>
      <c r="CR66" s="15">
        <v>0</v>
      </c>
      <c r="CS66" s="15">
        <v>0</v>
      </c>
      <c r="CT66" s="15">
        <v>0</v>
      </c>
      <c r="CU66" s="15">
        <v>0</v>
      </c>
      <c r="CV66" s="15">
        <v>0</v>
      </c>
      <c r="CW66" s="15">
        <v>0</v>
      </c>
      <c r="CX66" s="15">
        <v>0</v>
      </c>
      <c r="CY66" s="15">
        <v>0</v>
      </c>
      <c r="CZ66" s="15">
        <v>0</v>
      </c>
      <c r="DA66" s="15">
        <v>0</v>
      </c>
      <c r="DB66" s="15">
        <v>0</v>
      </c>
      <c r="DC66" s="15">
        <v>0</v>
      </c>
      <c r="DD66" s="15">
        <v>0</v>
      </c>
      <c r="DE66" s="15">
        <v>0</v>
      </c>
      <c r="DF66" s="15">
        <v>0</v>
      </c>
      <c r="DG66" s="15">
        <v>0</v>
      </c>
      <c r="DH66" s="15">
        <v>0</v>
      </c>
      <c r="DI66" s="15">
        <v>0</v>
      </c>
      <c r="DJ66" s="15">
        <v>0</v>
      </c>
      <c r="DK66" s="15">
        <v>0</v>
      </c>
      <c r="DL66" s="15">
        <v>0</v>
      </c>
      <c r="DM66" s="15">
        <v>0</v>
      </c>
      <c r="DN66" s="15">
        <v>0</v>
      </c>
      <c r="DO66" s="15">
        <v>0</v>
      </c>
      <c r="DP66" s="15">
        <v>0</v>
      </c>
      <c r="DQ66" s="15">
        <v>0</v>
      </c>
      <c r="DR66" s="15">
        <v>0</v>
      </c>
      <c r="DS66" s="15">
        <v>0</v>
      </c>
      <c r="DT66" s="15">
        <v>0</v>
      </c>
      <c r="DU66" s="15">
        <v>0</v>
      </c>
      <c r="DV66" s="15">
        <v>0</v>
      </c>
      <c r="DW66" s="15">
        <v>0</v>
      </c>
      <c r="DX66" s="15">
        <v>0</v>
      </c>
      <c r="DY66" s="15">
        <v>0</v>
      </c>
      <c r="DZ66" s="15">
        <v>0</v>
      </c>
      <c r="EA66" s="15">
        <v>0</v>
      </c>
      <c r="EB66" s="15">
        <v>0</v>
      </c>
      <c r="EC66" s="15">
        <v>0</v>
      </c>
      <c r="ED66" s="15">
        <v>0</v>
      </c>
      <c r="EE66" s="15">
        <v>0</v>
      </c>
      <c r="EF66" s="15">
        <v>0</v>
      </c>
      <c r="EG66" s="15">
        <v>0</v>
      </c>
      <c r="EH66" s="15">
        <v>0</v>
      </c>
      <c r="EI66" s="15">
        <v>0</v>
      </c>
      <c r="EJ66" s="15">
        <v>0</v>
      </c>
      <c r="EK66" s="15">
        <v>0</v>
      </c>
      <c r="EL66" s="15">
        <v>0</v>
      </c>
      <c r="EM66" s="15">
        <v>0</v>
      </c>
      <c r="EN66" s="15">
        <v>0</v>
      </c>
      <c r="EO66" s="15">
        <v>0</v>
      </c>
      <c r="EP66" s="15">
        <v>0</v>
      </c>
      <c r="EQ66" s="15">
        <v>0</v>
      </c>
      <c r="ER66" s="15">
        <v>0</v>
      </c>
      <c r="ES66" s="15">
        <v>0</v>
      </c>
      <c r="ET66" s="15">
        <v>0</v>
      </c>
      <c r="EU66" s="15">
        <v>0</v>
      </c>
      <c r="EV66" s="15">
        <v>0</v>
      </c>
      <c r="EW66" s="15">
        <v>0</v>
      </c>
      <c r="EX66" s="15">
        <v>0</v>
      </c>
      <c r="EY66" s="15">
        <v>0</v>
      </c>
      <c r="EZ66" s="15">
        <v>0</v>
      </c>
      <c r="FA66" s="15">
        <v>0</v>
      </c>
      <c r="FB66" s="15">
        <v>0</v>
      </c>
      <c r="FC66" s="15">
        <v>0</v>
      </c>
      <c r="FD66" s="15"/>
      <c r="FE66" s="15">
        <v>0</v>
      </c>
      <c r="FF66" s="15">
        <v>0</v>
      </c>
      <c r="FG66" s="15">
        <v>0</v>
      </c>
      <c r="FH66" s="15">
        <v>0</v>
      </c>
      <c r="FI66" s="15">
        <v>0</v>
      </c>
      <c r="FJ66" s="15">
        <v>0</v>
      </c>
      <c r="FK66" s="15">
        <v>0</v>
      </c>
      <c r="FL66" s="15">
        <v>0</v>
      </c>
      <c r="FM66" s="15">
        <v>0</v>
      </c>
      <c r="FN66" s="15">
        <v>0</v>
      </c>
      <c r="FO66" s="15">
        <v>0</v>
      </c>
      <c r="FP66" s="15">
        <v>0</v>
      </c>
      <c r="FQ66" s="15">
        <v>0</v>
      </c>
      <c r="FR66" s="15">
        <v>0</v>
      </c>
      <c r="FS66" s="15">
        <v>0</v>
      </c>
      <c r="FT66" s="15">
        <v>0</v>
      </c>
      <c r="FU66" s="15">
        <v>0</v>
      </c>
      <c r="FV66" s="15">
        <v>0</v>
      </c>
      <c r="FW66" s="15">
        <v>0</v>
      </c>
      <c r="FX66" s="15">
        <v>0</v>
      </c>
      <c r="FY66" s="15">
        <v>0</v>
      </c>
      <c r="FZ66" s="15">
        <v>0</v>
      </c>
      <c r="GA66" s="15">
        <v>0</v>
      </c>
      <c r="GB66" s="15">
        <v>0</v>
      </c>
      <c r="GC66" s="15">
        <v>0</v>
      </c>
      <c r="GD66" s="15">
        <v>0</v>
      </c>
      <c r="GE66" s="15">
        <v>0</v>
      </c>
      <c r="GF66" s="15">
        <v>0</v>
      </c>
      <c r="GG66" s="15">
        <v>0</v>
      </c>
      <c r="GH66" s="15">
        <v>0</v>
      </c>
      <c r="GI66" s="15">
        <v>0</v>
      </c>
      <c r="GJ66" s="15">
        <v>0</v>
      </c>
      <c r="GK66" s="15">
        <v>0</v>
      </c>
      <c r="GL66" s="15">
        <v>0</v>
      </c>
      <c r="GM66" s="15">
        <v>0</v>
      </c>
      <c r="GN66" s="15">
        <v>0</v>
      </c>
      <c r="GO66" s="15">
        <v>0</v>
      </c>
      <c r="GP66" s="15">
        <v>0</v>
      </c>
      <c r="GQ66" s="15">
        <v>0</v>
      </c>
      <c r="GR66" s="15">
        <v>0</v>
      </c>
      <c r="GS66" s="15">
        <v>0</v>
      </c>
      <c r="GT66" s="15">
        <v>0</v>
      </c>
      <c r="GU66" s="15">
        <v>0</v>
      </c>
      <c r="GV66" s="15">
        <v>0</v>
      </c>
      <c r="GW66" s="15">
        <v>0</v>
      </c>
      <c r="GX66" s="15">
        <v>0</v>
      </c>
      <c r="GY66" s="15">
        <v>0</v>
      </c>
      <c r="GZ66" s="15">
        <v>0</v>
      </c>
      <c r="HA66" s="15">
        <v>0</v>
      </c>
      <c r="HB66" s="15">
        <v>0</v>
      </c>
      <c r="HC66" s="15">
        <v>0</v>
      </c>
      <c r="HD66" s="15">
        <v>0</v>
      </c>
      <c r="HE66" s="15">
        <v>0</v>
      </c>
      <c r="HF66" s="15">
        <v>0</v>
      </c>
      <c r="HG66" s="15">
        <v>0</v>
      </c>
      <c r="HH66" s="15">
        <v>0</v>
      </c>
      <c r="HI66" s="15">
        <v>0</v>
      </c>
      <c r="HJ66" s="15">
        <v>0</v>
      </c>
      <c r="HK66" s="15">
        <v>0</v>
      </c>
      <c r="HL66" s="15">
        <v>0</v>
      </c>
      <c r="HM66" s="15">
        <v>0</v>
      </c>
      <c r="HN66" s="15">
        <v>0</v>
      </c>
      <c r="HO66" s="15">
        <v>0</v>
      </c>
      <c r="HP66" s="15">
        <v>0</v>
      </c>
      <c r="HQ66" s="15">
        <v>0</v>
      </c>
      <c r="HR66" s="15">
        <v>0</v>
      </c>
      <c r="HS66" s="15">
        <v>0</v>
      </c>
      <c r="HT66" s="15">
        <v>0</v>
      </c>
      <c r="HU66" s="15">
        <v>0</v>
      </c>
      <c r="HV66" s="15">
        <v>0</v>
      </c>
      <c r="HW66" s="15">
        <v>0</v>
      </c>
      <c r="HX66" s="15">
        <v>0</v>
      </c>
      <c r="HY66" s="15">
        <v>0</v>
      </c>
      <c r="HZ66" s="15">
        <v>0</v>
      </c>
      <c r="IA66" s="15">
        <v>0</v>
      </c>
      <c r="IB66" s="15"/>
      <c r="IC66" s="15">
        <v>0</v>
      </c>
      <c r="ID66" s="15">
        <v>0</v>
      </c>
      <c r="IE66" s="15">
        <v>0</v>
      </c>
      <c r="IF66" s="15">
        <v>0</v>
      </c>
      <c r="IG66" s="15">
        <v>0</v>
      </c>
      <c r="IH66" s="15">
        <v>0</v>
      </c>
      <c r="II66" s="15">
        <v>0</v>
      </c>
      <c r="IJ66" s="15">
        <v>0</v>
      </c>
      <c r="IK66" s="15"/>
      <c r="IL66" s="15">
        <v>0</v>
      </c>
      <c r="IM66" s="15">
        <v>0</v>
      </c>
      <c r="IN66" s="15">
        <v>0</v>
      </c>
      <c r="IO66" s="15">
        <v>0</v>
      </c>
      <c r="IP66" s="15">
        <v>0</v>
      </c>
      <c r="IQ66" s="15">
        <v>0</v>
      </c>
      <c r="IR66" s="15">
        <v>0</v>
      </c>
      <c r="IS66" s="15">
        <f t="shared" ref="IS66:JX66" si="954" xml:space="preserve"> IF( EXACT(IS28,"LVC_UNLOAD_E"), BIN2DEC(IS77), IF(EXACT(IS28,"LVC_LOAD_E"),0,IF((IR66&lt;&gt;0),BIN2DEC(IS77),0)))</f>
        <v>31</v>
      </c>
      <c r="IT66" s="15">
        <f t="shared" si="954"/>
        <v>8</v>
      </c>
      <c r="IU66" s="15">
        <f t="shared" si="954"/>
        <v>24</v>
      </c>
      <c r="IV66" s="15">
        <f t="shared" si="954"/>
        <v>24</v>
      </c>
      <c r="IW66" s="15">
        <f t="shared" si="954"/>
        <v>24</v>
      </c>
      <c r="IX66" s="15">
        <f t="shared" si="954"/>
        <v>12</v>
      </c>
      <c r="IY66" s="15">
        <f t="shared" si="954"/>
        <v>4</v>
      </c>
      <c r="IZ66" s="15">
        <f t="shared" si="954"/>
        <v>12</v>
      </c>
      <c r="JA66" s="15">
        <f t="shared" si="954"/>
        <v>6</v>
      </c>
      <c r="JB66" s="15">
        <f t="shared" si="954"/>
        <v>14</v>
      </c>
      <c r="JC66" s="15">
        <f t="shared" si="954"/>
        <v>14</v>
      </c>
      <c r="JD66" s="15">
        <f t="shared" si="954"/>
        <v>5</v>
      </c>
      <c r="JE66" s="15">
        <f t="shared" si="954"/>
        <v>0</v>
      </c>
      <c r="JF66" s="15">
        <f t="shared" si="954"/>
        <v>0</v>
      </c>
      <c r="JG66" s="15">
        <f t="shared" si="954"/>
        <v>0</v>
      </c>
      <c r="JH66" s="15">
        <f t="shared" si="954"/>
        <v>0</v>
      </c>
      <c r="JI66" s="15">
        <f t="shared" si="954"/>
        <v>0</v>
      </c>
      <c r="JJ66" s="15">
        <f t="shared" si="954"/>
        <v>0</v>
      </c>
      <c r="JK66" s="15">
        <f t="shared" si="954"/>
        <v>0</v>
      </c>
      <c r="JL66" s="15">
        <f t="shared" si="954"/>
        <v>0</v>
      </c>
      <c r="JM66" s="15">
        <f t="shared" si="954"/>
        <v>0</v>
      </c>
      <c r="JN66" s="15">
        <f t="shared" si="954"/>
        <v>0</v>
      </c>
      <c r="JO66" s="15">
        <f t="shared" si="954"/>
        <v>0</v>
      </c>
      <c r="JP66" s="15">
        <f t="shared" si="954"/>
        <v>0</v>
      </c>
      <c r="JQ66" s="15">
        <f t="shared" si="954"/>
        <v>0</v>
      </c>
      <c r="JR66" s="15">
        <f t="shared" si="954"/>
        <v>0</v>
      </c>
      <c r="JS66" s="15">
        <f t="shared" si="954"/>
        <v>0</v>
      </c>
      <c r="JT66" s="15">
        <f t="shared" si="954"/>
        <v>0</v>
      </c>
      <c r="JU66" s="15">
        <f t="shared" si="954"/>
        <v>0</v>
      </c>
      <c r="JV66" s="15">
        <f t="shared" si="954"/>
        <v>0</v>
      </c>
      <c r="JW66" s="15">
        <f t="shared" si="954"/>
        <v>0</v>
      </c>
      <c r="JX66" s="15">
        <f t="shared" si="954"/>
        <v>0</v>
      </c>
      <c r="JY66" s="15">
        <f t="shared" ref="JY66:LD66" si="955" xml:space="preserve"> IF( EXACT(JY28,"LVC_UNLOAD_E"), BIN2DEC(JY77), IF(EXACT(JY28,"LVC_LOAD_E"),0,IF((JX66&lt;&gt;0),BIN2DEC(JY77),0)))</f>
        <v>0</v>
      </c>
      <c r="JZ66" s="15">
        <f t="shared" si="955"/>
        <v>0</v>
      </c>
      <c r="KA66" s="15">
        <f t="shared" si="955"/>
        <v>0</v>
      </c>
      <c r="KB66" s="15">
        <f t="shared" si="955"/>
        <v>0</v>
      </c>
      <c r="KC66" s="15">
        <f t="shared" si="955"/>
        <v>0</v>
      </c>
      <c r="KD66" s="15">
        <f t="shared" si="955"/>
        <v>0</v>
      </c>
      <c r="KE66" s="15">
        <f t="shared" si="955"/>
        <v>0</v>
      </c>
      <c r="KF66" s="15">
        <f t="shared" si="955"/>
        <v>0</v>
      </c>
      <c r="KG66" s="15">
        <f t="shared" si="955"/>
        <v>0</v>
      </c>
      <c r="KH66" s="15">
        <f t="shared" si="955"/>
        <v>0</v>
      </c>
      <c r="KI66" s="15">
        <f t="shared" si="955"/>
        <v>0</v>
      </c>
      <c r="KJ66" s="15">
        <f t="shared" si="955"/>
        <v>0</v>
      </c>
      <c r="KK66" s="15">
        <f t="shared" si="955"/>
        <v>0</v>
      </c>
      <c r="KL66" s="15">
        <f t="shared" si="955"/>
        <v>0</v>
      </c>
      <c r="KM66" s="15">
        <f t="shared" si="955"/>
        <v>0</v>
      </c>
      <c r="KN66" s="15">
        <f t="shared" si="955"/>
        <v>0</v>
      </c>
      <c r="KO66" s="15">
        <f t="shared" si="955"/>
        <v>0</v>
      </c>
      <c r="KP66" s="15">
        <f t="shared" si="955"/>
        <v>16</v>
      </c>
      <c r="KQ66" s="15">
        <f t="shared" si="955"/>
        <v>0</v>
      </c>
      <c r="KR66" s="15">
        <f t="shared" si="955"/>
        <v>0</v>
      </c>
      <c r="KS66" s="15">
        <f t="shared" si="955"/>
        <v>16</v>
      </c>
      <c r="KT66" s="15">
        <f t="shared" si="955"/>
        <v>128</v>
      </c>
      <c r="KU66" s="15">
        <f t="shared" si="955"/>
        <v>145</v>
      </c>
      <c r="KV66" s="15">
        <f t="shared" si="955"/>
        <v>144</v>
      </c>
      <c r="KW66" s="15">
        <f t="shared" si="955"/>
        <v>144</v>
      </c>
      <c r="KX66" s="15">
        <f t="shared" si="955"/>
        <v>144</v>
      </c>
      <c r="KY66" s="15">
        <f t="shared" si="955"/>
        <v>0</v>
      </c>
      <c r="KZ66" s="15">
        <f t="shared" si="955"/>
        <v>0</v>
      </c>
      <c r="LA66" s="15">
        <f t="shared" si="955"/>
        <v>0</v>
      </c>
      <c r="LB66" s="15">
        <f t="shared" si="955"/>
        <v>0</v>
      </c>
      <c r="LC66" s="15">
        <f t="shared" si="955"/>
        <v>0</v>
      </c>
      <c r="LD66" s="15">
        <f t="shared" si="955"/>
        <v>0</v>
      </c>
      <c r="LE66" s="15">
        <f t="shared" ref="LE66:MJ66" si="956" xml:space="preserve"> IF( EXACT(LE28,"LVC_UNLOAD_E"), BIN2DEC(LE77), IF(EXACT(LE28,"LVC_LOAD_E"),0,IF((LD66&lt;&gt;0),BIN2DEC(LE77),0)))</f>
        <v>0</v>
      </c>
      <c r="LF66" s="15">
        <f t="shared" si="956"/>
        <v>0</v>
      </c>
      <c r="LG66" s="15">
        <f t="shared" si="956"/>
        <v>0</v>
      </c>
      <c r="LH66" s="15">
        <f t="shared" si="956"/>
        <v>0</v>
      </c>
      <c r="LI66" s="15">
        <f t="shared" si="956"/>
        <v>0</v>
      </c>
      <c r="LJ66" s="15">
        <f t="shared" si="956"/>
        <v>0</v>
      </c>
      <c r="LK66" s="15">
        <f t="shared" si="956"/>
        <v>0</v>
      </c>
      <c r="LL66" s="15">
        <f t="shared" si="956"/>
        <v>0</v>
      </c>
      <c r="LM66" s="15">
        <f t="shared" si="956"/>
        <v>0</v>
      </c>
      <c r="LN66" s="15">
        <f t="shared" si="956"/>
        <v>0</v>
      </c>
      <c r="LO66" s="15">
        <f t="shared" si="956"/>
        <v>0</v>
      </c>
      <c r="LP66" s="15">
        <f t="shared" si="956"/>
        <v>0</v>
      </c>
      <c r="LQ66" s="15">
        <f t="shared" si="956"/>
        <v>30</v>
      </c>
      <c r="LR66" s="15">
        <f t="shared" si="956"/>
        <v>28</v>
      </c>
      <c r="LS66" s="15">
        <f t="shared" si="956"/>
        <v>30</v>
      </c>
      <c r="LT66" s="15">
        <f t="shared" si="956"/>
        <v>158</v>
      </c>
      <c r="LU66" s="15">
        <f t="shared" si="956"/>
        <v>0</v>
      </c>
      <c r="LV66" s="15">
        <f t="shared" si="956"/>
        <v>0</v>
      </c>
      <c r="LW66" s="15">
        <f t="shared" si="956"/>
        <v>0</v>
      </c>
      <c r="LX66" s="15">
        <f t="shared" si="956"/>
        <v>0</v>
      </c>
      <c r="LY66" s="15">
        <f t="shared" si="956"/>
        <v>0</v>
      </c>
      <c r="LZ66" s="15">
        <f t="shared" si="956"/>
        <v>0</v>
      </c>
      <c r="MA66" s="15">
        <f t="shared" si="956"/>
        <v>0</v>
      </c>
      <c r="MB66" s="15">
        <f t="shared" si="956"/>
        <v>0</v>
      </c>
      <c r="MC66" s="15">
        <f t="shared" si="956"/>
        <v>0</v>
      </c>
      <c r="MD66" s="15">
        <f t="shared" si="956"/>
        <v>0</v>
      </c>
      <c r="ME66" s="15">
        <f t="shared" si="956"/>
        <v>0</v>
      </c>
      <c r="MF66" s="15">
        <f t="shared" si="956"/>
        <v>0</v>
      </c>
      <c r="MG66" s="15">
        <f t="shared" si="956"/>
        <v>0</v>
      </c>
      <c r="MH66" s="15">
        <f t="shared" si="956"/>
        <v>0</v>
      </c>
      <c r="MI66" s="15">
        <f t="shared" si="956"/>
        <v>0</v>
      </c>
      <c r="MJ66" s="15">
        <f t="shared" si="956"/>
        <v>0</v>
      </c>
      <c r="MK66" s="15">
        <f t="shared" ref="MK66:NR66" si="957" xml:space="preserve"> IF( EXACT(MK28,"LVC_UNLOAD_E"), BIN2DEC(MK77), IF(EXACT(MK28,"LVC_LOAD_E"),0,IF((MJ66&lt;&gt;0),BIN2DEC(MK77),0)))</f>
        <v>0</v>
      </c>
      <c r="ML66" s="15">
        <f t="shared" si="957"/>
        <v>0</v>
      </c>
      <c r="MM66" s="15">
        <f t="shared" si="957"/>
        <v>0</v>
      </c>
      <c r="MN66" s="15">
        <f t="shared" si="957"/>
        <v>0</v>
      </c>
      <c r="MO66" s="15">
        <f t="shared" si="957"/>
        <v>0</v>
      </c>
      <c r="MP66" s="15">
        <f t="shared" si="957"/>
        <v>0</v>
      </c>
      <c r="MQ66" s="15">
        <f t="shared" si="957"/>
        <v>0</v>
      </c>
      <c r="MR66" s="15">
        <f t="shared" si="957"/>
        <v>0</v>
      </c>
      <c r="MS66" s="15">
        <f t="shared" si="957"/>
        <v>0</v>
      </c>
      <c r="MT66" s="15">
        <f t="shared" si="957"/>
        <v>0</v>
      </c>
      <c r="MU66" s="15">
        <f t="shared" si="957"/>
        <v>0</v>
      </c>
      <c r="MV66" s="15">
        <f t="shared" si="957"/>
        <v>0</v>
      </c>
      <c r="MW66" s="15">
        <f t="shared" si="957"/>
        <v>0</v>
      </c>
      <c r="MX66" s="15">
        <f t="shared" si="957"/>
        <v>0</v>
      </c>
      <c r="MY66" s="15">
        <f t="shared" si="957"/>
        <v>16</v>
      </c>
      <c r="MZ66" s="15">
        <f t="shared" si="957"/>
        <v>144</v>
      </c>
      <c r="NA66" s="15">
        <f t="shared" si="957"/>
        <v>144</v>
      </c>
      <c r="NB66" s="15">
        <f t="shared" si="957"/>
        <v>144</v>
      </c>
      <c r="NC66" s="15">
        <f t="shared" si="957"/>
        <v>0</v>
      </c>
      <c r="ND66" s="15">
        <f t="shared" si="957"/>
        <v>0</v>
      </c>
      <c r="NE66" s="15">
        <f t="shared" si="957"/>
        <v>0</v>
      </c>
      <c r="NF66" s="15">
        <f t="shared" si="957"/>
        <v>0</v>
      </c>
      <c r="NG66" s="15">
        <f t="shared" si="957"/>
        <v>0</v>
      </c>
      <c r="NH66" s="15">
        <f t="shared" si="957"/>
        <v>0</v>
      </c>
      <c r="NI66" s="15">
        <f t="shared" si="957"/>
        <v>0</v>
      </c>
      <c r="NJ66" s="15">
        <f t="shared" si="957"/>
        <v>0</v>
      </c>
      <c r="NK66" s="15">
        <f t="shared" si="957"/>
        <v>0</v>
      </c>
      <c r="NL66" s="15">
        <f t="shared" si="957"/>
        <v>0</v>
      </c>
      <c r="NM66" s="15">
        <f t="shared" si="957"/>
        <v>0</v>
      </c>
      <c r="NN66" s="15">
        <f t="shared" si="957"/>
        <v>0</v>
      </c>
      <c r="NO66" s="15">
        <f t="shared" si="957"/>
        <v>0</v>
      </c>
      <c r="NP66" s="15">
        <f t="shared" si="957"/>
        <v>0</v>
      </c>
      <c r="NQ66" s="15">
        <f t="shared" si="957"/>
        <v>0</v>
      </c>
      <c r="NR66" s="15">
        <f t="shared" si="957"/>
        <v>0</v>
      </c>
      <c r="NS66" s="20">
        <f t="shared" ref="NS66:OX66" si="958" xml:space="preserve"> IF(OR(EXACT(NS58,"MM_SYSTEM_MODE_MAINTENANCE_TOWING_E"), EXACT(NS58,"MM_SYSTEM_MODE_PUSHBACK_ATA_TAS_E"), EXACT(NS58, "MM_SYSTEM_MODE_PUSHBACK_ATA_BW_E")), IF(EXACT(NS28,"LVC_UNLOAD_E"), BIN2DEC(NS117), IF( OR(EXACT(NS35,"CS_SWITCH_REQUESTED_E"),EXACT(NS34,"CS_SWITCH_REQUESTED_E")),0,IF(NR66,BIN2DEC(NS117),0))),0)</f>
        <v>0</v>
      </c>
      <c r="NT66" s="20">
        <f t="shared" si="958"/>
        <v>24</v>
      </c>
      <c r="NU66" s="20">
        <f t="shared" si="958"/>
        <v>24</v>
      </c>
      <c r="NV66" s="20">
        <f t="shared" si="958"/>
        <v>24</v>
      </c>
      <c r="NW66" s="20">
        <f t="shared" si="958"/>
        <v>17</v>
      </c>
      <c r="NX66" s="20">
        <f t="shared" si="958"/>
        <v>4</v>
      </c>
      <c r="NY66" s="20">
        <f t="shared" si="958"/>
        <v>20</v>
      </c>
      <c r="NZ66" s="20">
        <f t="shared" si="958"/>
        <v>20</v>
      </c>
      <c r="OA66" s="20">
        <f t="shared" si="958"/>
        <v>18</v>
      </c>
      <c r="OB66" s="20">
        <f t="shared" si="958"/>
        <v>19</v>
      </c>
      <c r="OC66" s="20">
        <f t="shared" si="958"/>
        <v>18</v>
      </c>
      <c r="OD66" s="20">
        <f t="shared" si="958"/>
        <v>0</v>
      </c>
      <c r="OE66" s="20">
        <f t="shared" si="958"/>
        <v>0</v>
      </c>
      <c r="OF66" s="20">
        <f t="shared" si="958"/>
        <v>0</v>
      </c>
      <c r="OG66" s="20">
        <f t="shared" si="958"/>
        <v>0</v>
      </c>
      <c r="OH66" s="20">
        <f t="shared" si="958"/>
        <v>0</v>
      </c>
      <c r="OI66" s="20">
        <f t="shared" si="958"/>
        <v>0</v>
      </c>
      <c r="OJ66" s="20">
        <f t="shared" si="958"/>
        <v>0</v>
      </c>
      <c r="OK66" s="20">
        <f t="shared" si="958"/>
        <v>0</v>
      </c>
      <c r="OL66" s="20">
        <f t="shared" si="958"/>
        <v>0</v>
      </c>
      <c r="OM66" s="20">
        <f t="shared" si="958"/>
        <v>0</v>
      </c>
      <c r="ON66" s="20">
        <f t="shared" si="958"/>
        <v>0</v>
      </c>
      <c r="OO66" s="20">
        <f t="shared" si="958"/>
        <v>0</v>
      </c>
      <c r="OP66" s="20">
        <f t="shared" si="958"/>
        <v>0</v>
      </c>
      <c r="OQ66" s="20">
        <f t="shared" si="958"/>
        <v>0</v>
      </c>
      <c r="OR66" s="20">
        <f t="shared" si="958"/>
        <v>0</v>
      </c>
      <c r="OS66" s="20">
        <f t="shared" si="958"/>
        <v>0</v>
      </c>
      <c r="OT66" s="20">
        <f t="shared" si="958"/>
        <v>0</v>
      </c>
      <c r="OU66" s="20">
        <f t="shared" si="958"/>
        <v>0</v>
      </c>
      <c r="OV66" s="20">
        <f t="shared" si="958"/>
        <v>0</v>
      </c>
      <c r="OW66" s="20">
        <f t="shared" si="958"/>
        <v>0</v>
      </c>
      <c r="OX66" s="20">
        <f t="shared" si="958"/>
        <v>0</v>
      </c>
      <c r="OY66" s="20">
        <f t="shared" ref="OY66:QD66" si="959" xml:space="preserve"> IF(OR(EXACT(OY58,"MM_SYSTEM_MODE_MAINTENANCE_TOWING_E"), EXACT(OY58,"MM_SYSTEM_MODE_PUSHBACK_ATA_TAS_E"), EXACT(OY58, "MM_SYSTEM_MODE_PUSHBACK_ATA_BW_E")), IF(EXACT(OY28,"LVC_UNLOAD_E"), BIN2DEC(OY117), IF( OR(EXACT(OY35,"CS_SWITCH_REQUESTED_E"),EXACT(OY34,"CS_SWITCH_REQUESTED_E")),0,IF(OX66,BIN2DEC(OY117),0))),0)</f>
        <v>0</v>
      </c>
      <c r="OZ66" s="20">
        <f t="shared" si="959"/>
        <v>0</v>
      </c>
      <c r="PA66" s="20">
        <f t="shared" si="959"/>
        <v>0</v>
      </c>
      <c r="PB66" s="20">
        <f t="shared" si="959"/>
        <v>0</v>
      </c>
      <c r="PC66" s="20">
        <f t="shared" si="959"/>
        <v>0</v>
      </c>
      <c r="PD66" s="20">
        <f t="shared" si="959"/>
        <v>0</v>
      </c>
      <c r="PE66" s="20">
        <f t="shared" si="959"/>
        <v>0</v>
      </c>
      <c r="PF66" s="20">
        <f t="shared" si="959"/>
        <v>0</v>
      </c>
      <c r="PG66" s="20">
        <f t="shared" si="959"/>
        <v>0</v>
      </c>
      <c r="PH66" s="20">
        <f t="shared" si="959"/>
        <v>0</v>
      </c>
      <c r="PI66" s="20">
        <f t="shared" si="959"/>
        <v>0</v>
      </c>
      <c r="PJ66" s="20">
        <f t="shared" si="959"/>
        <v>0</v>
      </c>
      <c r="PK66" s="20">
        <f t="shared" si="959"/>
        <v>0</v>
      </c>
      <c r="PL66" s="20">
        <f t="shared" si="959"/>
        <v>0</v>
      </c>
      <c r="PM66" s="20">
        <f t="shared" si="959"/>
        <v>0</v>
      </c>
      <c r="PN66" s="20">
        <f t="shared" si="959"/>
        <v>0</v>
      </c>
      <c r="PO66" s="20">
        <f t="shared" si="959"/>
        <v>0</v>
      </c>
      <c r="PP66" s="20">
        <f t="shared" si="959"/>
        <v>12</v>
      </c>
      <c r="PQ66" s="20">
        <f t="shared" si="959"/>
        <v>18</v>
      </c>
      <c r="PR66" s="20">
        <f t="shared" si="959"/>
        <v>13</v>
      </c>
      <c r="PS66" s="20">
        <f t="shared" si="959"/>
        <v>18</v>
      </c>
      <c r="PT66" s="20">
        <f t="shared" si="959"/>
        <v>12</v>
      </c>
      <c r="PU66" s="20">
        <f t="shared" si="959"/>
        <v>18</v>
      </c>
      <c r="PV66" s="20">
        <f t="shared" si="959"/>
        <v>26</v>
      </c>
      <c r="PW66" s="20">
        <f t="shared" si="959"/>
        <v>0</v>
      </c>
      <c r="PX66" s="20">
        <f t="shared" si="959"/>
        <v>0</v>
      </c>
      <c r="PY66" s="20">
        <f t="shared" si="959"/>
        <v>0</v>
      </c>
      <c r="PZ66" s="20">
        <f t="shared" si="959"/>
        <v>0</v>
      </c>
      <c r="QA66" s="20">
        <f t="shared" si="959"/>
        <v>2</v>
      </c>
      <c r="QB66" s="20">
        <f t="shared" si="959"/>
        <v>128</v>
      </c>
      <c r="QC66" s="20">
        <f t="shared" si="959"/>
        <v>128</v>
      </c>
      <c r="QD66" s="20">
        <f t="shared" si="959"/>
        <v>144</v>
      </c>
      <c r="QE66" s="20">
        <f t="shared" ref="QE66:RI66" si="960" xml:space="preserve"> IF(OR(EXACT(QE58,"MM_SYSTEM_MODE_MAINTENANCE_TOWING_E"), EXACT(QE58,"MM_SYSTEM_MODE_PUSHBACK_ATA_TAS_E"), EXACT(QE58, "MM_SYSTEM_MODE_PUSHBACK_ATA_BW_E")), IF(EXACT(QE28,"LVC_UNLOAD_E"), BIN2DEC(QE117), IF( OR(EXACT(QE35,"CS_SWITCH_REQUESTED_E"),EXACT(QE34,"CS_SWITCH_REQUESTED_E")),0,IF(QD66,BIN2DEC(QE117),0))),0)</f>
        <v>0</v>
      </c>
      <c r="QF66" s="20">
        <f t="shared" si="960"/>
        <v>0</v>
      </c>
      <c r="QG66" s="20">
        <f t="shared" si="960"/>
        <v>0</v>
      </c>
      <c r="QH66" s="20">
        <f t="shared" si="960"/>
        <v>0</v>
      </c>
      <c r="QI66" s="20">
        <f t="shared" si="960"/>
        <v>0</v>
      </c>
      <c r="QJ66" s="20">
        <f t="shared" si="960"/>
        <v>0</v>
      </c>
      <c r="QK66" s="20">
        <f t="shared" si="960"/>
        <v>0</v>
      </c>
      <c r="QL66" s="20">
        <f t="shared" si="960"/>
        <v>0</v>
      </c>
      <c r="QM66" s="20">
        <f t="shared" si="960"/>
        <v>0</v>
      </c>
      <c r="QN66" s="20">
        <f t="shared" si="960"/>
        <v>0</v>
      </c>
      <c r="QO66" s="20">
        <f t="shared" si="960"/>
        <v>7</v>
      </c>
      <c r="QP66" s="20">
        <f t="shared" si="960"/>
        <v>152</v>
      </c>
      <c r="QQ66" s="20">
        <f t="shared" si="960"/>
        <v>135</v>
      </c>
      <c r="QR66" s="20">
        <f t="shared" si="960"/>
        <v>128</v>
      </c>
      <c r="QS66" s="20">
        <f t="shared" si="960"/>
        <v>128</v>
      </c>
      <c r="QT66" s="20">
        <f t="shared" si="960"/>
        <v>2</v>
      </c>
      <c r="QU66" s="20">
        <f t="shared" si="960"/>
        <v>0</v>
      </c>
      <c r="QV66" s="20">
        <f t="shared" si="960"/>
        <v>0</v>
      </c>
      <c r="QW66" s="20">
        <f t="shared" si="960"/>
        <v>0</v>
      </c>
      <c r="QX66" s="20">
        <f t="shared" si="960"/>
        <v>0</v>
      </c>
      <c r="QY66" s="20">
        <f t="shared" si="960"/>
        <v>0</v>
      </c>
      <c r="QZ66" s="20">
        <f t="shared" si="960"/>
        <v>0</v>
      </c>
      <c r="RA66" s="20">
        <f t="shared" si="960"/>
        <v>0</v>
      </c>
      <c r="RB66" s="20">
        <f t="shared" si="960"/>
        <v>0</v>
      </c>
      <c r="RC66" s="20">
        <f t="shared" si="960"/>
        <v>0</v>
      </c>
      <c r="RD66" s="20">
        <f t="shared" si="960"/>
        <v>0</v>
      </c>
      <c r="RE66" s="20">
        <f t="shared" si="960"/>
        <v>0</v>
      </c>
      <c r="RF66" s="20">
        <f t="shared" si="960"/>
        <v>0</v>
      </c>
      <c r="RG66" s="20">
        <f t="shared" si="960"/>
        <v>0</v>
      </c>
      <c r="RH66" s="20">
        <f t="shared" si="960"/>
        <v>0</v>
      </c>
      <c r="RI66" s="20">
        <f t="shared" si="960"/>
        <v>0</v>
      </c>
      <c r="RJ66" s="20">
        <f t="shared" ref="RJ66:RQ66" si="961" xml:space="preserve"> IF(OR(EXACT(RJ58,"MM_SYSTEM_MODE_MAINTENANCE_TOWING_E"), EXACT(RJ58,"MM_SYSTEM_MODE_PUSHBACK_ATA_TAS_E"), EXACT(RJ58, "MM_SYSTEM_MODE_PUSHBACK_ATA_BW_E")), IF(EXACT(RJ28,"LVC_UNLOAD_E"), BIN2DEC(RJ117), IF( OR(EXACT(RJ35,"CS_SWITCH_REQUESTED_E"),EXACT(RJ34,"CS_SWITCH_REQUESTED_E")),0,IF(RI66,BIN2DEC(RJ117),0))),0)</f>
        <v>0</v>
      </c>
      <c r="RK66" s="20">
        <f t="shared" si="961"/>
        <v>0</v>
      </c>
      <c r="RL66" s="20">
        <f t="shared" si="961"/>
        <v>0</v>
      </c>
      <c r="RM66" s="20">
        <f t="shared" si="961"/>
        <v>0</v>
      </c>
      <c r="RN66" s="20">
        <f t="shared" si="961"/>
        <v>0</v>
      </c>
      <c r="RO66" s="20">
        <f t="shared" si="961"/>
        <v>0</v>
      </c>
      <c r="RP66" s="20">
        <f t="shared" si="961"/>
        <v>0</v>
      </c>
      <c r="RQ66" s="20">
        <f t="shared" si="961"/>
        <v>0</v>
      </c>
      <c r="RR66" s="15">
        <v>0</v>
      </c>
      <c r="RS66" s="15"/>
      <c r="RT66" s="15">
        <v>0</v>
      </c>
      <c r="RU66" s="15">
        <v>0</v>
      </c>
      <c r="RV66" s="15">
        <v>0</v>
      </c>
      <c r="RW66" s="15">
        <v>0</v>
      </c>
      <c r="RX66" s="15">
        <v>0</v>
      </c>
      <c r="RY66" s="15">
        <v>0</v>
      </c>
      <c r="RZ66" s="15">
        <v>0</v>
      </c>
      <c r="SA66" s="15">
        <f xml:space="preserve"> IF( EXACT(SA28,"LVC_UNLOAD_E"), BIN2DEC(SA77), IF(EXACT(SA28,"LVC_LOAD_E"),0,IF((RZ66&lt;&gt;0),BIN2DEC(SA77),0)))</f>
        <v>0</v>
      </c>
      <c r="SB66" s="20">
        <f t="shared" ref="SB66:TG66" si="962" xml:space="preserve"> IF(OR(EXACT(SB58,"MM_SYSTEM_MODE_MAINTENANCE_TOWING_E"), EXACT(SB58,"MM_SYSTEM_MODE_PUSHBACK_ATA_TAS_E"), EXACT(SB58, "MM_SYSTEM_MODE_PUSHBACK_ATA_BW_E")), IF(EXACT(SB28,"LVC_UNLOAD_E"), BIN2DEC(SB117), IF( OR(EXACT(SB35,"CS_SWITCH_REQUESTED_E"),EXACT(SB34,"CS_SWITCH_REQUESTED_E")),0,IF(SA66,BIN2DEC(SB117),0))),0)</f>
        <v>0</v>
      </c>
      <c r="SC66" s="20">
        <f t="shared" si="962"/>
        <v>24</v>
      </c>
      <c r="SD66" s="20">
        <f t="shared" si="962"/>
        <v>24</v>
      </c>
      <c r="SE66" s="20">
        <f t="shared" si="962"/>
        <v>24</v>
      </c>
      <c r="SF66" s="20">
        <f t="shared" si="962"/>
        <v>17</v>
      </c>
      <c r="SG66" s="20">
        <f t="shared" si="962"/>
        <v>4</v>
      </c>
      <c r="SH66" s="20">
        <f t="shared" si="962"/>
        <v>20</v>
      </c>
      <c r="SI66" s="20">
        <f t="shared" si="962"/>
        <v>20</v>
      </c>
      <c r="SJ66" s="20">
        <f t="shared" si="962"/>
        <v>18</v>
      </c>
      <c r="SK66" s="20">
        <f t="shared" si="962"/>
        <v>19</v>
      </c>
      <c r="SL66" s="20">
        <f t="shared" si="962"/>
        <v>18</v>
      </c>
      <c r="SM66" s="20">
        <f t="shared" si="962"/>
        <v>0</v>
      </c>
      <c r="SN66" s="20">
        <f t="shared" si="962"/>
        <v>0</v>
      </c>
      <c r="SO66" s="20">
        <f t="shared" si="962"/>
        <v>0</v>
      </c>
      <c r="SP66" s="20">
        <f t="shared" si="962"/>
        <v>0</v>
      </c>
      <c r="SQ66" s="20">
        <f t="shared" si="962"/>
        <v>0</v>
      </c>
      <c r="SR66" s="20">
        <f t="shared" si="962"/>
        <v>0</v>
      </c>
      <c r="SS66" s="20">
        <f t="shared" si="962"/>
        <v>0</v>
      </c>
      <c r="ST66" s="20">
        <f t="shared" si="962"/>
        <v>0</v>
      </c>
      <c r="SU66" s="20">
        <f t="shared" si="962"/>
        <v>0</v>
      </c>
      <c r="SV66" s="20">
        <f t="shared" si="962"/>
        <v>0</v>
      </c>
      <c r="SW66" s="20">
        <f t="shared" si="962"/>
        <v>0</v>
      </c>
      <c r="SX66" s="20">
        <f t="shared" si="962"/>
        <v>0</v>
      </c>
      <c r="SY66" s="20">
        <f t="shared" si="962"/>
        <v>0</v>
      </c>
      <c r="SZ66" s="20">
        <f t="shared" si="962"/>
        <v>0</v>
      </c>
      <c r="TA66" s="20">
        <f t="shared" si="962"/>
        <v>0</v>
      </c>
      <c r="TB66" s="20">
        <f t="shared" si="962"/>
        <v>0</v>
      </c>
      <c r="TC66" s="20">
        <f t="shared" si="962"/>
        <v>0</v>
      </c>
      <c r="TD66" s="20">
        <f t="shared" si="962"/>
        <v>0</v>
      </c>
      <c r="TE66" s="20">
        <f t="shared" si="962"/>
        <v>0</v>
      </c>
      <c r="TF66" s="20">
        <f t="shared" si="962"/>
        <v>0</v>
      </c>
      <c r="TG66" s="20">
        <f t="shared" si="962"/>
        <v>0</v>
      </c>
      <c r="TH66" s="20">
        <f t="shared" ref="TH66:UM66" si="963" xml:space="preserve"> IF(OR(EXACT(TH58,"MM_SYSTEM_MODE_MAINTENANCE_TOWING_E"), EXACT(TH58,"MM_SYSTEM_MODE_PUSHBACK_ATA_TAS_E"), EXACT(TH58, "MM_SYSTEM_MODE_PUSHBACK_ATA_BW_E")), IF(EXACT(TH28,"LVC_UNLOAD_E"), BIN2DEC(TH117), IF( OR(EXACT(TH35,"CS_SWITCH_REQUESTED_E"),EXACT(TH34,"CS_SWITCH_REQUESTED_E")),0,IF(TG66,BIN2DEC(TH117),0))),0)</f>
        <v>0</v>
      </c>
      <c r="TI66" s="20">
        <f t="shared" si="963"/>
        <v>0</v>
      </c>
      <c r="TJ66" s="20">
        <f t="shared" si="963"/>
        <v>0</v>
      </c>
      <c r="TK66" s="20">
        <f t="shared" si="963"/>
        <v>0</v>
      </c>
      <c r="TL66" s="20">
        <f t="shared" si="963"/>
        <v>0</v>
      </c>
      <c r="TM66" s="20">
        <f t="shared" si="963"/>
        <v>0</v>
      </c>
      <c r="TN66" s="20">
        <f t="shared" si="963"/>
        <v>0</v>
      </c>
      <c r="TO66" s="20">
        <f t="shared" si="963"/>
        <v>0</v>
      </c>
      <c r="TP66" s="20">
        <f t="shared" si="963"/>
        <v>0</v>
      </c>
      <c r="TQ66" s="20">
        <f t="shared" si="963"/>
        <v>0</v>
      </c>
      <c r="TR66" s="20">
        <f t="shared" si="963"/>
        <v>0</v>
      </c>
      <c r="TS66" s="20">
        <f t="shared" si="963"/>
        <v>0</v>
      </c>
      <c r="TT66" s="20">
        <f t="shared" si="963"/>
        <v>0</v>
      </c>
      <c r="TU66" s="20">
        <f t="shared" si="963"/>
        <v>0</v>
      </c>
      <c r="TV66" s="20">
        <f t="shared" si="963"/>
        <v>0</v>
      </c>
      <c r="TW66" s="20">
        <f t="shared" si="963"/>
        <v>0</v>
      </c>
      <c r="TX66" s="20">
        <f t="shared" si="963"/>
        <v>12</v>
      </c>
      <c r="TY66" s="20">
        <f t="shared" si="963"/>
        <v>18</v>
      </c>
      <c r="TZ66" s="20">
        <f t="shared" si="963"/>
        <v>13</v>
      </c>
      <c r="UA66" s="20">
        <f t="shared" si="963"/>
        <v>18</v>
      </c>
      <c r="UB66" s="20">
        <f t="shared" si="963"/>
        <v>12</v>
      </c>
      <c r="UC66" s="20">
        <f t="shared" si="963"/>
        <v>18</v>
      </c>
      <c r="UD66" s="20">
        <f t="shared" si="963"/>
        <v>26</v>
      </c>
      <c r="UE66" s="20">
        <f t="shared" si="963"/>
        <v>0</v>
      </c>
      <c r="UF66" s="20">
        <f t="shared" si="963"/>
        <v>0</v>
      </c>
      <c r="UG66" s="20">
        <f t="shared" si="963"/>
        <v>0</v>
      </c>
      <c r="UH66" s="20">
        <f t="shared" si="963"/>
        <v>0</v>
      </c>
      <c r="UI66" s="20">
        <f t="shared" si="963"/>
        <v>2</v>
      </c>
      <c r="UJ66" s="20">
        <f t="shared" si="963"/>
        <v>128</v>
      </c>
      <c r="UK66" s="20">
        <f t="shared" si="963"/>
        <v>128</v>
      </c>
      <c r="UL66" s="20">
        <f t="shared" si="963"/>
        <v>144</v>
      </c>
      <c r="UM66" s="20">
        <f t="shared" si="963"/>
        <v>0</v>
      </c>
      <c r="UN66" s="20">
        <f t="shared" ref="UN66:VS66" si="964" xml:space="preserve"> IF(OR(EXACT(UN58,"MM_SYSTEM_MODE_MAINTENANCE_TOWING_E"), EXACT(UN58,"MM_SYSTEM_MODE_PUSHBACK_ATA_TAS_E"), EXACT(UN58, "MM_SYSTEM_MODE_PUSHBACK_ATA_BW_E")), IF(EXACT(UN28,"LVC_UNLOAD_E"), BIN2DEC(UN117), IF( OR(EXACT(UN35,"CS_SWITCH_REQUESTED_E"),EXACT(UN34,"CS_SWITCH_REQUESTED_E")),0,IF(UM66,BIN2DEC(UN117),0))),0)</f>
        <v>0</v>
      </c>
      <c r="UO66" s="20">
        <f t="shared" si="964"/>
        <v>0</v>
      </c>
      <c r="UP66" s="20">
        <f t="shared" si="964"/>
        <v>0</v>
      </c>
      <c r="UQ66" s="20">
        <f t="shared" si="964"/>
        <v>0</v>
      </c>
      <c r="UR66" s="20">
        <f t="shared" si="964"/>
        <v>0</v>
      </c>
      <c r="US66" s="20">
        <f t="shared" si="964"/>
        <v>0</v>
      </c>
      <c r="UT66" s="20">
        <f t="shared" si="964"/>
        <v>0</v>
      </c>
      <c r="UU66" s="20">
        <f t="shared" si="964"/>
        <v>0</v>
      </c>
      <c r="UV66" s="20">
        <f t="shared" si="964"/>
        <v>0</v>
      </c>
      <c r="UW66" s="20">
        <f t="shared" si="964"/>
        <v>7</v>
      </c>
      <c r="UX66" s="20">
        <f t="shared" si="964"/>
        <v>152</v>
      </c>
      <c r="UY66" s="20">
        <f t="shared" si="964"/>
        <v>135</v>
      </c>
      <c r="UZ66" s="20">
        <f t="shared" si="964"/>
        <v>128</v>
      </c>
      <c r="VA66" s="20">
        <f t="shared" si="964"/>
        <v>128</v>
      </c>
      <c r="VB66" s="20">
        <f t="shared" si="964"/>
        <v>2</v>
      </c>
      <c r="VC66" s="20">
        <f t="shared" si="964"/>
        <v>0</v>
      </c>
      <c r="VD66" s="20">
        <f t="shared" si="964"/>
        <v>0</v>
      </c>
      <c r="VE66" s="20">
        <f t="shared" si="964"/>
        <v>0</v>
      </c>
      <c r="VF66" s="20">
        <f t="shared" si="964"/>
        <v>0</v>
      </c>
      <c r="VG66" s="20">
        <f t="shared" si="964"/>
        <v>0</v>
      </c>
      <c r="VH66" s="20">
        <f t="shared" si="964"/>
        <v>0</v>
      </c>
      <c r="VI66" s="20">
        <f t="shared" si="964"/>
        <v>0</v>
      </c>
      <c r="VJ66" s="20">
        <f t="shared" si="964"/>
        <v>0</v>
      </c>
      <c r="VK66" s="20">
        <f t="shared" si="964"/>
        <v>0</v>
      </c>
      <c r="VL66" s="20">
        <f t="shared" si="964"/>
        <v>0</v>
      </c>
      <c r="VM66" s="20">
        <f t="shared" si="964"/>
        <v>0</v>
      </c>
      <c r="VN66" s="20">
        <f t="shared" si="964"/>
        <v>0</v>
      </c>
      <c r="VO66" s="20">
        <f t="shared" si="964"/>
        <v>0</v>
      </c>
      <c r="VP66" s="20">
        <f t="shared" si="964"/>
        <v>0</v>
      </c>
      <c r="VQ66" s="20">
        <f t="shared" si="964"/>
        <v>0</v>
      </c>
      <c r="VR66" s="20">
        <f t="shared" si="964"/>
        <v>0</v>
      </c>
      <c r="VS66" s="20">
        <f t="shared" si="964"/>
        <v>0</v>
      </c>
      <c r="VT66" s="20">
        <f t="shared" ref="VT66:VZ66" si="965" xml:space="preserve"> IF(OR(EXACT(VT58,"MM_SYSTEM_MODE_MAINTENANCE_TOWING_E"), EXACT(VT58,"MM_SYSTEM_MODE_PUSHBACK_ATA_TAS_E"), EXACT(VT58, "MM_SYSTEM_MODE_PUSHBACK_ATA_BW_E")), IF(EXACT(VT28,"LVC_UNLOAD_E"), BIN2DEC(VT117), IF( OR(EXACT(VT35,"CS_SWITCH_REQUESTED_E"),EXACT(VT34,"CS_SWITCH_REQUESTED_E")),0,IF(VS66,BIN2DEC(VT117),0))),0)</f>
        <v>0</v>
      </c>
      <c r="VU66" s="20">
        <f t="shared" si="965"/>
        <v>0</v>
      </c>
      <c r="VV66" s="20">
        <f t="shared" si="965"/>
        <v>0</v>
      </c>
      <c r="VW66" s="20">
        <f t="shared" si="965"/>
        <v>0</v>
      </c>
      <c r="VX66" s="20">
        <f t="shared" si="965"/>
        <v>0</v>
      </c>
      <c r="VY66" s="20">
        <f t="shared" si="965"/>
        <v>0</v>
      </c>
      <c r="VZ66" s="20">
        <f t="shared" si="965"/>
        <v>0</v>
      </c>
      <c r="WA66" s="15">
        <v>0</v>
      </c>
      <c r="WB66" s="15">
        <v>0</v>
      </c>
      <c r="WC66" s="15">
        <f xml:space="preserve"> IF( EXACT(WC28,"LVC_UNLOAD_E"), BIN2DEC(WC77), IF(EXACT(WC28,"LVC_LOAD_E"),0,IF((WB66&lt;&gt;0),BIN2DEC(WC77),0)))</f>
        <v>0</v>
      </c>
      <c r="WD66" s="20">
        <f t="shared" ref="WD66:XI66" si="966" xml:space="preserve"> IF(OR(EXACT(WD58,"MM_SYSTEM_MODE_MAINTENANCE_TOWING_E"), EXACT(WD58,"MM_SYSTEM_MODE_PUSHBACK_ATA_TAS_E"), EXACT(WD58, "MM_SYSTEM_MODE_PUSHBACK_ATA_BW_E")), IF(EXACT(WD28,"LVC_UNLOAD_E"), BIN2DEC(WD117), IF( OR(EXACT(WD35,"CS_SWITCH_REQUESTED_E"),EXACT(WD34,"CS_SWITCH_REQUESTED_E")),0,IF(WC66,BIN2DEC(WD117),0))),0)</f>
        <v>0</v>
      </c>
      <c r="WE66" s="20">
        <f t="shared" si="966"/>
        <v>8</v>
      </c>
      <c r="WF66" s="20">
        <f t="shared" si="966"/>
        <v>8</v>
      </c>
      <c r="WG66" s="20">
        <f t="shared" si="966"/>
        <v>8</v>
      </c>
      <c r="WH66" s="20">
        <f t="shared" si="966"/>
        <v>1</v>
      </c>
      <c r="WI66" s="20">
        <f t="shared" si="966"/>
        <v>4</v>
      </c>
      <c r="WJ66" s="20">
        <f t="shared" si="966"/>
        <v>4</v>
      </c>
      <c r="WK66" s="20">
        <f t="shared" si="966"/>
        <v>4</v>
      </c>
      <c r="WL66" s="20">
        <f t="shared" si="966"/>
        <v>2</v>
      </c>
      <c r="WM66" s="20">
        <f t="shared" si="966"/>
        <v>2</v>
      </c>
      <c r="WN66" s="20">
        <f t="shared" si="966"/>
        <v>2</v>
      </c>
      <c r="WO66" s="20">
        <f t="shared" si="966"/>
        <v>128</v>
      </c>
      <c r="WP66" s="20">
        <f t="shared" si="966"/>
        <v>2</v>
      </c>
      <c r="WQ66" s="20">
        <f t="shared" si="966"/>
        <v>128</v>
      </c>
      <c r="WR66" s="20">
        <f t="shared" si="966"/>
        <v>2</v>
      </c>
      <c r="WS66" s="20">
        <f t="shared" si="966"/>
        <v>128</v>
      </c>
      <c r="WT66" s="20">
        <f t="shared" si="966"/>
        <v>14</v>
      </c>
      <c r="WU66" s="20">
        <f t="shared" si="966"/>
        <v>17</v>
      </c>
      <c r="WV66" s="20">
        <f t="shared" si="966"/>
        <v>14</v>
      </c>
      <c r="WW66" s="20">
        <f t="shared" si="966"/>
        <v>17</v>
      </c>
      <c r="WX66" s="20">
        <f t="shared" si="966"/>
        <v>10</v>
      </c>
      <c r="WY66" s="20">
        <f t="shared" si="966"/>
        <v>17</v>
      </c>
      <c r="WZ66" s="20">
        <f t="shared" si="966"/>
        <v>1</v>
      </c>
      <c r="XA66" s="20">
        <f t="shared" si="966"/>
        <v>128</v>
      </c>
      <c r="XB66" s="20">
        <f t="shared" si="966"/>
        <v>1</v>
      </c>
      <c r="XC66" s="20">
        <f t="shared" si="966"/>
        <v>128</v>
      </c>
      <c r="XD66" s="20">
        <f t="shared" si="966"/>
        <v>1</v>
      </c>
      <c r="XE66" s="20">
        <f t="shared" si="966"/>
        <v>128</v>
      </c>
      <c r="XF66" s="20">
        <f t="shared" si="966"/>
        <v>1</v>
      </c>
      <c r="XG66" s="20">
        <f t="shared" si="966"/>
        <v>156</v>
      </c>
      <c r="XH66" s="20">
        <f t="shared" si="966"/>
        <v>131</v>
      </c>
      <c r="XI66" s="20">
        <f t="shared" si="966"/>
        <v>132</v>
      </c>
      <c r="XJ66" s="20">
        <f t="shared" ref="XJ66:YO66" si="967" xml:space="preserve"> IF(OR(EXACT(XJ58,"MM_SYSTEM_MODE_MAINTENANCE_TOWING_E"), EXACT(XJ58,"MM_SYSTEM_MODE_PUSHBACK_ATA_TAS_E"), EXACT(XJ58, "MM_SYSTEM_MODE_PUSHBACK_ATA_BW_E")), IF(EXACT(XJ28,"LVC_UNLOAD_E"), BIN2DEC(XJ117), IF( OR(EXACT(XJ35,"CS_SWITCH_REQUESTED_E"),EXACT(XJ34,"CS_SWITCH_REQUESTED_E")),0,IF(XI66,BIN2DEC(XJ117),0))),0)</f>
        <v>128</v>
      </c>
      <c r="XK66" s="20">
        <f t="shared" si="967"/>
        <v>128</v>
      </c>
      <c r="XL66" s="20">
        <f t="shared" si="967"/>
        <v>128</v>
      </c>
      <c r="XM66" s="20">
        <f t="shared" si="967"/>
        <v>128</v>
      </c>
      <c r="XN66" s="20">
        <f t="shared" si="967"/>
        <v>128</v>
      </c>
      <c r="XO66" s="20">
        <f t="shared" si="967"/>
        <v>128</v>
      </c>
      <c r="XP66" s="20">
        <f t="shared" si="967"/>
        <v>128</v>
      </c>
      <c r="XQ66" s="20">
        <f t="shared" si="967"/>
        <v>128</v>
      </c>
      <c r="XR66" s="20">
        <f t="shared" si="967"/>
        <v>128</v>
      </c>
      <c r="XS66" s="20">
        <f t="shared" si="967"/>
        <v>128</v>
      </c>
      <c r="XT66" s="20">
        <f t="shared" si="967"/>
        <v>128</v>
      </c>
      <c r="XU66" s="20">
        <f t="shared" si="967"/>
        <v>128</v>
      </c>
      <c r="XV66" s="20">
        <f t="shared" si="967"/>
        <v>128</v>
      </c>
      <c r="XW66" s="20">
        <f t="shared" si="967"/>
        <v>128</v>
      </c>
      <c r="XX66" s="20">
        <f t="shared" si="967"/>
        <v>128</v>
      </c>
      <c r="XY66" s="20">
        <f t="shared" si="967"/>
        <v>128</v>
      </c>
      <c r="XZ66" s="20">
        <f t="shared" si="967"/>
        <v>128</v>
      </c>
      <c r="YA66" s="20">
        <f t="shared" si="967"/>
        <v>128</v>
      </c>
      <c r="YB66" s="20">
        <f t="shared" si="967"/>
        <v>128</v>
      </c>
      <c r="YC66" s="20">
        <f t="shared" si="967"/>
        <v>128</v>
      </c>
      <c r="YD66" s="20">
        <f t="shared" si="967"/>
        <v>128</v>
      </c>
      <c r="YE66" s="20">
        <f t="shared" si="967"/>
        <v>128</v>
      </c>
      <c r="YF66" s="20">
        <f t="shared" si="967"/>
        <v>0</v>
      </c>
      <c r="YG66" s="20">
        <f t="shared" si="967"/>
        <v>0</v>
      </c>
      <c r="YH66" s="20">
        <f t="shared" si="967"/>
        <v>0</v>
      </c>
      <c r="YI66" s="20">
        <f t="shared" si="967"/>
        <v>0</v>
      </c>
      <c r="YJ66" s="20">
        <f t="shared" si="967"/>
        <v>0</v>
      </c>
      <c r="YK66" s="20">
        <f t="shared" si="967"/>
        <v>0</v>
      </c>
      <c r="YL66" s="20">
        <f t="shared" si="967"/>
        <v>0</v>
      </c>
      <c r="YM66" s="20">
        <f t="shared" si="967"/>
        <v>0</v>
      </c>
      <c r="YN66" s="20">
        <f t="shared" si="967"/>
        <v>0</v>
      </c>
      <c r="YO66" s="20">
        <f t="shared" si="967"/>
        <v>0</v>
      </c>
      <c r="YP66" s="20">
        <f t="shared" ref="YP66:ZJ66" si="968" xml:space="preserve"> IF(OR(EXACT(YP58,"MM_SYSTEM_MODE_MAINTENANCE_TOWING_E"), EXACT(YP58,"MM_SYSTEM_MODE_PUSHBACK_ATA_TAS_E"), EXACT(YP58, "MM_SYSTEM_MODE_PUSHBACK_ATA_BW_E")), IF(EXACT(YP28,"LVC_UNLOAD_E"), BIN2DEC(YP117), IF( OR(EXACT(YP35,"CS_SWITCH_REQUESTED_E"),EXACT(YP34,"CS_SWITCH_REQUESTED_E")),0,IF(YO66,BIN2DEC(YP117),0))),0)</f>
        <v>0</v>
      </c>
      <c r="YQ66" s="20">
        <f t="shared" si="968"/>
        <v>0</v>
      </c>
      <c r="YR66" s="20">
        <f t="shared" si="968"/>
        <v>0</v>
      </c>
      <c r="YS66" s="20">
        <f t="shared" si="968"/>
        <v>0</v>
      </c>
      <c r="YT66" s="20">
        <f t="shared" si="968"/>
        <v>0</v>
      </c>
      <c r="YU66" s="20">
        <f t="shared" si="968"/>
        <v>0</v>
      </c>
      <c r="YV66" s="20">
        <f t="shared" si="968"/>
        <v>0</v>
      </c>
      <c r="YW66" s="20">
        <f t="shared" si="968"/>
        <v>0</v>
      </c>
      <c r="YX66" s="20">
        <f t="shared" si="968"/>
        <v>0</v>
      </c>
      <c r="YY66" s="20">
        <f t="shared" si="968"/>
        <v>0</v>
      </c>
      <c r="YZ66" s="20">
        <f t="shared" si="968"/>
        <v>0</v>
      </c>
      <c r="ZA66" s="20">
        <f t="shared" si="968"/>
        <v>0</v>
      </c>
      <c r="ZB66" s="20">
        <f t="shared" si="968"/>
        <v>0</v>
      </c>
      <c r="ZC66" s="20">
        <f t="shared" si="968"/>
        <v>0</v>
      </c>
      <c r="ZD66" s="20">
        <f t="shared" si="968"/>
        <v>0</v>
      </c>
      <c r="ZE66" s="20">
        <f t="shared" si="968"/>
        <v>0</v>
      </c>
      <c r="ZF66" s="20">
        <f t="shared" si="968"/>
        <v>0</v>
      </c>
      <c r="ZG66" s="20">
        <f t="shared" si="968"/>
        <v>0</v>
      </c>
      <c r="ZH66" s="20">
        <f t="shared" si="968"/>
        <v>0</v>
      </c>
      <c r="ZI66" s="20">
        <f t="shared" si="968"/>
        <v>0</v>
      </c>
      <c r="ZJ66" s="20">
        <f t="shared" si="968"/>
        <v>0</v>
      </c>
      <c r="ZK66" s="15">
        <v>0</v>
      </c>
      <c r="ZL66" s="15">
        <v>0</v>
      </c>
      <c r="ZM66" s="15">
        <v>0</v>
      </c>
      <c r="ZN66" s="15">
        <v>0</v>
      </c>
      <c r="ZO66" s="15">
        <v>0</v>
      </c>
      <c r="ZP66" s="15">
        <v>0</v>
      </c>
      <c r="ZQ66" s="15">
        <v>17</v>
      </c>
      <c r="ZR66" s="15">
        <v>0</v>
      </c>
      <c r="ZS66" s="15">
        <v>0</v>
      </c>
      <c r="ZT66" s="15">
        <v>0</v>
      </c>
      <c r="ZU66" s="15">
        <v>0</v>
      </c>
      <c r="ZV66" s="15">
        <v>0</v>
      </c>
      <c r="ZW66" s="15">
        <v>0</v>
      </c>
      <c r="ZX66" s="15">
        <v>17</v>
      </c>
      <c r="ZY66" s="15">
        <v>0</v>
      </c>
      <c r="ZZ66" s="15">
        <v>0</v>
      </c>
      <c r="AAA66" s="15">
        <v>0</v>
      </c>
      <c r="AAB66" s="15">
        <v>0</v>
      </c>
      <c r="AAC66" s="15">
        <v>0</v>
      </c>
      <c r="AAD66" s="15">
        <v>0</v>
      </c>
      <c r="AAE66" s="15">
        <v>2</v>
      </c>
      <c r="AAF66" s="15">
        <v>2</v>
      </c>
      <c r="AAG66" s="15">
        <v>2</v>
      </c>
      <c r="AAH66" s="15">
        <v>2</v>
      </c>
      <c r="AAI66" s="15">
        <v>2</v>
      </c>
      <c r="AAJ66" s="15">
        <v>0</v>
      </c>
      <c r="AAK66" s="15">
        <v>0</v>
      </c>
      <c r="AAL66" s="15"/>
      <c r="AAM66" s="15">
        <v>0</v>
      </c>
      <c r="AAN66" s="15">
        <v>0</v>
      </c>
      <c r="AAO66" s="15">
        <v>0</v>
      </c>
      <c r="AAP66" s="15">
        <v>0</v>
      </c>
      <c r="AAQ66" s="15">
        <v>0</v>
      </c>
      <c r="AAR66" s="15">
        <v>0</v>
      </c>
      <c r="AAS66" s="15">
        <v>0</v>
      </c>
      <c r="AAT66" s="15">
        <f xml:space="preserve"> IF( EXACT(AAT28,"LVC_UNLOAD_E"), BIN2DEC(AAT77), IF(EXACT(AAT28,"LVC_LOAD_E"),0,IF((AAS66&lt;&gt;0),BIN2DEC(AAT77),0)))</f>
        <v>0</v>
      </c>
      <c r="AAU66" s="15">
        <f xml:space="preserve"> IF( EXACT(AAU28,"LVC_UNLOAD_E"), BIN2DEC(AAU77), IF(EXACT(AAU28,"LVC_LOAD_E"),0,IF((AAT66&lt;&gt;0),BIN2DEC(AAU77),0)))</f>
        <v>0</v>
      </c>
      <c r="AAV66" s="15">
        <v>0</v>
      </c>
      <c r="AAW66" s="15">
        <v>0</v>
      </c>
      <c r="AAX66" s="15"/>
      <c r="AAY66" s="15">
        <v>0</v>
      </c>
      <c r="AAZ66" s="15">
        <v>0</v>
      </c>
      <c r="ABA66" s="15">
        <v>0</v>
      </c>
      <c r="ABB66" s="15">
        <v>0</v>
      </c>
      <c r="ABC66" s="15">
        <v>0</v>
      </c>
      <c r="ABD66" s="15">
        <v>0</v>
      </c>
      <c r="ABE66" s="15">
        <v>0</v>
      </c>
      <c r="ABF66" s="15">
        <f t="shared" ref="ABF66:ACK66" si="969" xml:space="preserve"> IF( EXACT(ABF28,"LVC_UNLOAD_E"), BIN2DEC(ABF77), IF(EXACT(ABF28,"LVC_LOAD_E"),0,IF((ABE66&lt;&gt;0),BIN2DEC(ABF77),0)))</f>
        <v>0</v>
      </c>
      <c r="ABG66" s="15">
        <f t="shared" si="969"/>
        <v>0</v>
      </c>
      <c r="ABH66" s="15">
        <f t="shared" si="969"/>
        <v>0</v>
      </c>
      <c r="ABI66" s="15">
        <f t="shared" si="969"/>
        <v>0</v>
      </c>
      <c r="ABJ66" s="15">
        <f t="shared" si="969"/>
        <v>0</v>
      </c>
      <c r="ABK66" s="15">
        <f t="shared" si="969"/>
        <v>0</v>
      </c>
      <c r="ABL66" s="15">
        <f t="shared" si="969"/>
        <v>0</v>
      </c>
      <c r="ABM66" s="15">
        <f t="shared" si="969"/>
        <v>0</v>
      </c>
      <c r="ABN66" s="15">
        <f t="shared" si="969"/>
        <v>0</v>
      </c>
      <c r="ABO66" s="15">
        <f t="shared" si="969"/>
        <v>0</v>
      </c>
      <c r="ABP66" s="15">
        <f t="shared" si="969"/>
        <v>0</v>
      </c>
      <c r="ABQ66" s="15">
        <f t="shared" si="969"/>
        <v>0</v>
      </c>
      <c r="ABR66" s="15">
        <f t="shared" si="969"/>
        <v>0</v>
      </c>
      <c r="ABS66" s="15">
        <f t="shared" si="969"/>
        <v>0</v>
      </c>
      <c r="ABT66" s="15">
        <f t="shared" si="969"/>
        <v>0</v>
      </c>
      <c r="ABU66" s="15">
        <f t="shared" si="969"/>
        <v>0</v>
      </c>
      <c r="ABV66" s="15">
        <f t="shared" si="969"/>
        <v>0</v>
      </c>
      <c r="ABW66" s="15">
        <f t="shared" si="969"/>
        <v>0</v>
      </c>
      <c r="ABX66" s="15">
        <f t="shared" si="969"/>
        <v>0</v>
      </c>
      <c r="ABY66" s="15">
        <f t="shared" si="969"/>
        <v>0</v>
      </c>
      <c r="ABZ66" s="15">
        <f t="shared" si="969"/>
        <v>0</v>
      </c>
      <c r="ACA66" s="15">
        <f t="shared" si="969"/>
        <v>0</v>
      </c>
      <c r="ACB66" s="15">
        <f t="shared" si="969"/>
        <v>0</v>
      </c>
      <c r="ACC66" s="15">
        <f t="shared" si="969"/>
        <v>0</v>
      </c>
      <c r="ACD66" s="15">
        <f t="shared" si="969"/>
        <v>0</v>
      </c>
      <c r="ACE66" s="15">
        <f t="shared" si="969"/>
        <v>0</v>
      </c>
      <c r="ACF66" s="15">
        <f t="shared" si="969"/>
        <v>0</v>
      </c>
      <c r="ACG66" s="15">
        <f t="shared" si="969"/>
        <v>0</v>
      </c>
      <c r="ACH66" s="15">
        <f t="shared" si="969"/>
        <v>0</v>
      </c>
      <c r="ACI66" s="15">
        <f t="shared" si="969"/>
        <v>0</v>
      </c>
      <c r="ACJ66" s="15">
        <f t="shared" si="969"/>
        <v>0</v>
      </c>
      <c r="ACK66" s="15">
        <f t="shared" si="969"/>
        <v>0</v>
      </c>
      <c r="ACL66" s="15">
        <f t="shared" ref="ACL66:ADC66" si="970" xml:space="preserve"> IF( EXACT(ACL28,"LVC_UNLOAD_E"), BIN2DEC(ACL77), IF(EXACT(ACL28,"LVC_LOAD_E"),0,IF((ACK66&lt;&gt;0),BIN2DEC(ACL77),0)))</f>
        <v>0</v>
      </c>
      <c r="ACM66" s="15">
        <f t="shared" si="970"/>
        <v>0</v>
      </c>
      <c r="ACN66" s="15">
        <f t="shared" si="970"/>
        <v>0</v>
      </c>
      <c r="ACO66" s="15">
        <f t="shared" si="970"/>
        <v>0</v>
      </c>
      <c r="ACP66" s="15">
        <f t="shared" si="970"/>
        <v>0</v>
      </c>
      <c r="ACQ66" s="15">
        <f t="shared" si="970"/>
        <v>0</v>
      </c>
      <c r="ACR66" s="15">
        <f t="shared" si="970"/>
        <v>0</v>
      </c>
      <c r="ACS66" s="15">
        <f t="shared" si="970"/>
        <v>0</v>
      </c>
      <c r="ACT66" s="15">
        <f t="shared" si="970"/>
        <v>0</v>
      </c>
      <c r="ACU66" s="15">
        <f t="shared" si="970"/>
        <v>0</v>
      </c>
      <c r="ACV66" s="15">
        <f t="shared" si="970"/>
        <v>0</v>
      </c>
      <c r="ACW66" s="15">
        <f t="shared" si="970"/>
        <v>0</v>
      </c>
      <c r="ACX66" s="15">
        <f t="shared" si="970"/>
        <v>0</v>
      </c>
      <c r="ACY66" s="15">
        <f t="shared" si="970"/>
        <v>0</v>
      </c>
      <c r="ACZ66" s="15">
        <f t="shared" si="970"/>
        <v>0</v>
      </c>
      <c r="ADA66" s="15">
        <f t="shared" si="970"/>
        <v>0</v>
      </c>
      <c r="ADB66" s="15">
        <f t="shared" si="970"/>
        <v>0</v>
      </c>
      <c r="ADC66" s="15">
        <f t="shared" si="970"/>
        <v>0</v>
      </c>
      <c r="ADD66" s="20">
        <f xml:space="preserve"> IF(OR(EXACT(ADD58,"MM_SYSTEM_MODE_MAINTENANCE_TOWING_E"), EXACT(ADD58,"MM_SYSTEM_MODE_PUSHBACK_ATA_TAS_E"), EXACT(ADD58, "MM_SYSTEM_MODE_PUSHBACK_ATA_BW_E")), IF(EXACT(ADD28,"LVC_UNLOAD_E"), BIN2DEC(ADD117), IF( OR(EXACT(ADD35,"CS_SWITCH_REQUESTED_E"),EXACT(ADD34,"CS_SWITCH_REQUESTED_E")),0,IF(ADC66,BIN2DEC(ADD117),0))),0)</f>
        <v>0</v>
      </c>
      <c r="ADE66" s="15">
        <f xml:space="preserve"> IF( EXACT(ADE28,"LVC_UNLOAD_E"), BIN2DEC(ADE77), IF(EXACT(ADE28,"LVC_LOAD_E"),0,IF((ADD66&lt;&gt;0),BIN2DEC(ADE77),0)))</f>
        <v>0</v>
      </c>
      <c r="ADF66" s="15">
        <f xml:space="preserve"> IF( EXACT(ADF28,"LVC_UNLOAD_E"), BIN2DEC(ADF77), IF(EXACT(ADF28,"LVC_LOAD_E"),0,IF((ADE66&lt;&gt;0),BIN2DEC(ADF77),0)))</f>
        <v>0</v>
      </c>
      <c r="ADG66" s="15">
        <f xml:space="preserve"> IF( EXACT(ADG28,"LVC_UNLOAD_E"), BIN2DEC(ADG77), IF(EXACT(ADG28,"LVC_LOAD_E"),0,IF((ADF66&lt;&gt;0),BIN2DEC(ADG77),0)))</f>
        <v>0</v>
      </c>
      <c r="ADH66" s="15"/>
      <c r="ADI66" s="15">
        <v>0</v>
      </c>
      <c r="ADJ66" s="15">
        <v>0</v>
      </c>
      <c r="ADK66" s="15">
        <v>0</v>
      </c>
      <c r="ADL66" s="15">
        <v>0</v>
      </c>
      <c r="ADM66" s="15">
        <v>0</v>
      </c>
      <c r="ADN66" s="15">
        <v>0</v>
      </c>
      <c r="ADO66" s="15">
        <v>0</v>
      </c>
      <c r="ADP66" s="15">
        <f t="shared" ref="ADP66:AEU66" si="971" xml:space="preserve"> IF( EXACT(ADP28,"LVC_UNLOAD_E"), BIN2DEC(ADP77), IF(EXACT(ADP28,"LVC_LOAD_E"),0,IF((ADO66&lt;&gt;0),BIN2DEC(ADP77),0)))</f>
        <v>0</v>
      </c>
      <c r="ADQ66" s="15">
        <f t="shared" si="971"/>
        <v>0</v>
      </c>
      <c r="ADR66" s="15">
        <f t="shared" si="971"/>
        <v>0</v>
      </c>
      <c r="ADS66" s="15">
        <f t="shared" si="971"/>
        <v>0</v>
      </c>
      <c r="ADT66" s="15">
        <f t="shared" si="971"/>
        <v>0</v>
      </c>
      <c r="ADU66" s="15">
        <f t="shared" si="971"/>
        <v>0</v>
      </c>
      <c r="ADV66" s="15">
        <f t="shared" si="971"/>
        <v>0</v>
      </c>
      <c r="ADW66" s="15">
        <f t="shared" si="971"/>
        <v>0</v>
      </c>
      <c r="ADX66" s="15">
        <f t="shared" si="971"/>
        <v>0</v>
      </c>
      <c r="ADY66" s="15">
        <f t="shared" si="971"/>
        <v>0</v>
      </c>
      <c r="ADZ66" s="15">
        <f t="shared" si="971"/>
        <v>0</v>
      </c>
      <c r="AEA66" s="15">
        <f t="shared" si="971"/>
        <v>0</v>
      </c>
      <c r="AEB66" s="15">
        <f t="shared" si="971"/>
        <v>0</v>
      </c>
      <c r="AEC66" s="15">
        <f t="shared" si="971"/>
        <v>0</v>
      </c>
      <c r="AED66" s="15">
        <f t="shared" si="971"/>
        <v>0</v>
      </c>
      <c r="AEE66" s="15">
        <f t="shared" si="971"/>
        <v>0</v>
      </c>
      <c r="AEF66" s="15">
        <f t="shared" si="971"/>
        <v>0</v>
      </c>
      <c r="AEG66" s="15">
        <f t="shared" si="971"/>
        <v>0</v>
      </c>
      <c r="AEH66" s="15">
        <f t="shared" si="971"/>
        <v>0</v>
      </c>
      <c r="AEI66" s="15">
        <f t="shared" si="971"/>
        <v>0</v>
      </c>
      <c r="AEJ66" s="15">
        <f t="shared" si="971"/>
        <v>0</v>
      </c>
      <c r="AEK66" s="15">
        <f t="shared" si="971"/>
        <v>0</v>
      </c>
      <c r="AEL66" s="15">
        <f t="shared" si="971"/>
        <v>0</v>
      </c>
      <c r="AEM66" s="15">
        <f t="shared" si="971"/>
        <v>0</v>
      </c>
      <c r="AEN66" s="15">
        <f t="shared" si="971"/>
        <v>0</v>
      </c>
      <c r="AEO66" s="15">
        <f t="shared" si="971"/>
        <v>0</v>
      </c>
      <c r="AEP66" s="15">
        <f t="shared" si="971"/>
        <v>0</v>
      </c>
      <c r="AEQ66" s="15">
        <f t="shared" si="971"/>
        <v>0</v>
      </c>
      <c r="AER66" s="15">
        <f t="shared" si="971"/>
        <v>0</v>
      </c>
      <c r="AES66" s="15">
        <f t="shared" si="971"/>
        <v>0</v>
      </c>
      <c r="AET66" s="15">
        <f t="shared" si="971"/>
        <v>0</v>
      </c>
      <c r="AEU66" s="15">
        <f t="shared" si="971"/>
        <v>0</v>
      </c>
      <c r="AEV66" s="15">
        <f t="shared" ref="AEV66:AFM66" si="972" xml:space="preserve"> IF( EXACT(AEV28,"LVC_UNLOAD_E"), BIN2DEC(AEV77), IF(EXACT(AEV28,"LVC_LOAD_E"),0,IF((AEU66&lt;&gt;0),BIN2DEC(AEV77),0)))</f>
        <v>0</v>
      </c>
      <c r="AEW66" s="15">
        <f t="shared" si="972"/>
        <v>0</v>
      </c>
      <c r="AEX66" s="15">
        <f t="shared" si="972"/>
        <v>0</v>
      </c>
      <c r="AEY66" s="15">
        <f t="shared" si="972"/>
        <v>0</v>
      </c>
      <c r="AEZ66" s="15">
        <f t="shared" si="972"/>
        <v>0</v>
      </c>
      <c r="AFA66" s="15">
        <f t="shared" si="972"/>
        <v>0</v>
      </c>
      <c r="AFB66" s="15">
        <f t="shared" si="972"/>
        <v>0</v>
      </c>
      <c r="AFC66" s="15">
        <f t="shared" si="972"/>
        <v>0</v>
      </c>
      <c r="AFD66" s="15">
        <f t="shared" si="972"/>
        <v>0</v>
      </c>
      <c r="AFE66" s="15">
        <f t="shared" si="972"/>
        <v>0</v>
      </c>
      <c r="AFF66" s="15">
        <f t="shared" si="972"/>
        <v>0</v>
      </c>
      <c r="AFG66" s="15">
        <f t="shared" si="972"/>
        <v>0</v>
      </c>
      <c r="AFH66" s="15">
        <f t="shared" si="972"/>
        <v>0</v>
      </c>
      <c r="AFI66" s="15">
        <f t="shared" si="972"/>
        <v>0</v>
      </c>
      <c r="AFJ66" s="15">
        <f t="shared" si="972"/>
        <v>0</v>
      </c>
      <c r="AFK66" s="15">
        <f t="shared" si="972"/>
        <v>0</v>
      </c>
      <c r="AFL66" s="15">
        <f t="shared" si="972"/>
        <v>0</v>
      </c>
      <c r="AFM66" s="15">
        <f t="shared" si="972"/>
        <v>0</v>
      </c>
      <c r="AFN66" s="20">
        <v>0</v>
      </c>
      <c r="AFO66" s="15">
        <f xml:space="preserve"> IF( EXACT(AFO28,"LVC_UNLOAD_E"), BIN2DEC(AFO77), IF(EXACT(AFO28,"LVC_LOAD_E"),0,IF((AFN66&lt;&gt;0),BIN2DEC(AFO77),0)))</f>
        <v>0</v>
      </c>
      <c r="AFP66" s="15">
        <f xml:space="preserve"> IF( EXACT(AFP28,"LVC_UNLOAD_E"), BIN2DEC(AFP77), IF(EXACT(AFP28,"LVC_LOAD_E"),0,IF((AFO66&lt;&gt;0),BIN2DEC(AFP77),0)))</f>
        <v>0</v>
      </c>
      <c r="AFQ66" s="15">
        <f xml:space="preserve"> IF( EXACT(AFQ28,"LVC_UNLOAD_E"), BIN2DEC(AFQ77), IF(EXACT(AFQ28,"LVC_LOAD_E"),0,IF((AFP66&lt;&gt;0),BIN2DEC(AFQ77),0)))</f>
        <v>0</v>
      </c>
      <c r="AFR66" s="15"/>
      <c r="AFS66" s="15">
        <v>0</v>
      </c>
      <c r="AFT66" s="15">
        <v>0</v>
      </c>
      <c r="AFU66" s="15">
        <v>0</v>
      </c>
      <c r="AFV66" s="15">
        <v>0</v>
      </c>
      <c r="AFW66" s="15">
        <v>0</v>
      </c>
      <c r="AFX66" s="15">
        <v>0</v>
      </c>
      <c r="AFY66" s="15">
        <v>0</v>
      </c>
      <c r="AFZ66" s="15">
        <v>0</v>
      </c>
      <c r="AGA66" s="15">
        <v>0</v>
      </c>
      <c r="AGB66" s="15">
        <v>0</v>
      </c>
      <c r="AGC66" s="15">
        <v>0</v>
      </c>
      <c r="AGD66" s="15">
        <v>0</v>
      </c>
      <c r="AGE66" s="15">
        <v>0</v>
      </c>
      <c r="AGF66" s="15">
        <v>0</v>
      </c>
      <c r="AGG66" s="15">
        <v>0</v>
      </c>
      <c r="AGH66" s="15">
        <v>0</v>
      </c>
      <c r="AGI66" s="15">
        <v>0</v>
      </c>
      <c r="AGJ66" s="15">
        <v>0</v>
      </c>
      <c r="AGK66" s="15">
        <v>0</v>
      </c>
      <c r="AGL66" s="15">
        <v>0</v>
      </c>
      <c r="AGM66" s="15">
        <v>0</v>
      </c>
      <c r="AGN66" s="15">
        <v>0</v>
      </c>
      <c r="AGO66" s="15">
        <v>0</v>
      </c>
      <c r="AGP66" s="15">
        <v>0</v>
      </c>
      <c r="AGQ66" s="15">
        <v>0</v>
      </c>
      <c r="AGR66" s="15">
        <v>0</v>
      </c>
      <c r="AGS66" s="15">
        <v>0</v>
      </c>
      <c r="AGT66" s="15">
        <v>0</v>
      </c>
      <c r="AGU66" s="15">
        <v>0</v>
      </c>
      <c r="AGV66" s="15">
        <v>0</v>
      </c>
      <c r="AGW66" s="15">
        <v>0</v>
      </c>
      <c r="AGX66" s="15">
        <v>0</v>
      </c>
      <c r="AGY66" s="15">
        <v>0</v>
      </c>
      <c r="AGZ66" s="15">
        <v>0</v>
      </c>
      <c r="AHA66" s="15">
        <v>0</v>
      </c>
      <c r="AHB66" s="15">
        <v>0</v>
      </c>
      <c r="AHC66" s="15">
        <v>0</v>
      </c>
      <c r="AHD66" s="15">
        <v>0</v>
      </c>
      <c r="AHE66" s="15">
        <v>0</v>
      </c>
      <c r="AHF66" s="15">
        <v>0</v>
      </c>
      <c r="AHG66" s="15">
        <v>0</v>
      </c>
      <c r="AHH66" s="15">
        <v>0</v>
      </c>
      <c r="AHI66" s="15">
        <v>0</v>
      </c>
      <c r="AHJ66" s="15">
        <v>0</v>
      </c>
      <c r="AHK66" s="15">
        <v>0</v>
      </c>
      <c r="AHL66" s="15">
        <v>0</v>
      </c>
      <c r="AHM66" s="15">
        <v>0</v>
      </c>
      <c r="AHN66" s="15">
        <v>0</v>
      </c>
      <c r="AHO66" s="15">
        <v>0</v>
      </c>
      <c r="AHP66" s="15">
        <v>0</v>
      </c>
      <c r="AHQ66" s="15">
        <v>0</v>
      </c>
      <c r="AHR66" s="15">
        <v>0</v>
      </c>
      <c r="AHS66" s="15">
        <v>0</v>
      </c>
      <c r="AHT66" s="15">
        <v>0</v>
      </c>
      <c r="AHU66" s="15">
        <v>0</v>
      </c>
      <c r="AHV66" s="15">
        <v>0</v>
      </c>
      <c r="AHW66" s="15">
        <v>0</v>
      </c>
      <c r="AHX66" s="15">
        <v>0</v>
      </c>
      <c r="AHY66" s="15">
        <v>0</v>
      </c>
      <c r="AHZ66" s="15">
        <v>0</v>
      </c>
      <c r="AIA66" s="15">
        <v>0</v>
      </c>
      <c r="AIB66" s="15">
        <v>0</v>
      </c>
      <c r="AIC66" s="15">
        <v>0</v>
      </c>
      <c r="AID66" s="15">
        <v>0</v>
      </c>
      <c r="AIE66" s="15">
        <v>0</v>
      </c>
      <c r="AIF66" s="15">
        <v>0</v>
      </c>
      <c r="AIG66" s="15">
        <v>0</v>
      </c>
      <c r="AIH66" s="15">
        <v>0</v>
      </c>
      <c r="AII66" s="15">
        <v>0</v>
      </c>
      <c r="AIJ66" s="15">
        <v>0</v>
      </c>
      <c r="AIK66" s="15">
        <v>0</v>
      </c>
      <c r="AIL66" s="15">
        <v>0</v>
      </c>
      <c r="AIM66" s="15">
        <v>0</v>
      </c>
      <c r="AIN66" s="15">
        <v>0</v>
      </c>
      <c r="AIO66" s="15">
        <v>0</v>
      </c>
      <c r="AIP66" s="15">
        <v>0</v>
      </c>
      <c r="AIQ66" s="15">
        <v>0</v>
      </c>
      <c r="AIR66" s="15">
        <v>0</v>
      </c>
      <c r="AIS66" s="15">
        <v>0</v>
      </c>
      <c r="AIT66" s="15">
        <v>0</v>
      </c>
      <c r="AIU66" s="15">
        <v>0</v>
      </c>
      <c r="AIV66" s="15">
        <v>0</v>
      </c>
      <c r="AIW66" s="15">
        <v>0</v>
      </c>
      <c r="AIX66" s="15">
        <v>0</v>
      </c>
      <c r="AIY66" s="15">
        <v>0</v>
      </c>
      <c r="AIZ66" s="15">
        <v>0</v>
      </c>
      <c r="AJA66" s="15">
        <v>0</v>
      </c>
      <c r="AJB66" s="15">
        <v>0</v>
      </c>
      <c r="AJC66" s="15">
        <f xml:space="preserve"> IF( EXACT(AJC28,"LVC_UNLOAD_E"), BIN2DEC(AJC77), IF(EXACT(AJC28,"LVC_LOAD_E"),0,IF((AJB66&lt;&gt;0),BIN2DEC(AJC77),0)))</f>
        <v>0</v>
      </c>
      <c r="AJD66" s="15">
        <f xml:space="preserve"> IF( EXACT(AJD28,"LVC_UNLOAD_E"), BIN2DEC(AJD77), IF(EXACT(AJD28,"LVC_LOAD_E"),0,IF((AJC66&lt;&gt;0),BIN2DEC(AJD77),0)))</f>
        <v>0</v>
      </c>
      <c r="AJE66" s="20">
        <f xml:space="preserve"> IF(OR(EXACT(AJE58,"MM_SYSTEM_MODE_MAINTENANCE_TOWING_E"), EXACT(AJE58,"MM_SYSTEM_MODE_PUSHBACK_ATA_TAS_E"), EXACT(AJE58, "MM_SYSTEM_MODE_PUSHBACK_ATA_BW_E")), IF(EXACT(AJE28,"LVC_UNLOAD_E"), BIN2DEC(AJE117), IF( OR(EXACT(AJE35,"CS_SWITCH_REQUESTED_E"),EXACT(AJE34,"CS_SWITCH_REQUESTED_E")),0,IF(AJD66,BIN2DEC(AJE117),0))),0)</f>
        <v>0</v>
      </c>
      <c r="AJF66" s="15"/>
      <c r="AJG66" s="15">
        <v>0</v>
      </c>
      <c r="AJH66" s="15">
        <v>0</v>
      </c>
      <c r="AJI66" s="15">
        <v>0</v>
      </c>
      <c r="AJJ66" s="15">
        <v>0</v>
      </c>
      <c r="AJK66" s="15">
        <v>0</v>
      </c>
      <c r="AJL66" s="15">
        <v>0</v>
      </c>
      <c r="AJM66" s="15">
        <v>0</v>
      </c>
      <c r="AJN66" s="15"/>
      <c r="AJO66" s="15">
        <v>0</v>
      </c>
      <c r="AJP66" s="15">
        <v>0</v>
      </c>
      <c r="AJQ66" s="15">
        <v>0</v>
      </c>
      <c r="AJR66" s="15">
        <v>0</v>
      </c>
      <c r="AJS66" s="15">
        <v>0</v>
      </c>
      <c r="AJT66" s="15">
        <v>0</v>
      </c>
      <c r="AJU66" s="15">
        <v>0</v>
      </c>
      <c r="AJV66" s="15">
        <v>0</v>
      </c>
      <c r="AJW66" s="15">
        <v>0</v>
      </c>
      <c r="AJX66" s="15"/>
      <c r="AJY66" s="15">
        <v>0</v>
      </c>
      <c r="AJZ66" s="15">
        <v>0</v>
      </c>
      <c r="AKA66" s="15">
        <v>0</v>
      </c>
      <c r="AKB66" s="15">
        <v>0</v>
      </c>
      <c r="AKC66" s="15">
        <v>0</v>
      </c>
      <c r="AKD66" s="15">
        <v>0</v>
      </c>
      <c r="AKE66" s="15">
        <v>0</v>
      </c>
      <c r="AKF66" s="15">
        <v>0</v>
      </c>
      <c r="AKG66" s="15">
        <v>0</v>
      </c>
      <c r="AKH66" s="15">
        <v>0</v>
      </c>
      <c r="AKI66" s="15"/>
      <c r="AKJ66" s="15">
        <v>0</v>
      </c>
      <c r="AKK66" s="15">
        <v>0</v>
      </c>
      <c r="AKL66" s="15">
        <v>0</v>
      </c>
      <c r="AKM66" s="15">
        <v>0</v>
      </c>
      <c r="AKN66" s="15">
        <v>0</v>
      </c>
      <c r="AKO66" s="15">
        <v>0</v>
      </c>
      <c r="AKP66" s="15">
        <v>0</v>
      </c>
      <c r="AKQ66" s="15">
        <v>0</v>
      </c>
      <c r="AKR66" s="15">
        <v>0</v>
      </c>
      <c r="AKS66" s="15">
        <v>0</v>
      </c>
      <c r="AKT66" s="15">
        <v>0</v>
      </c>
      <c r="AKU66" s="15">
        <v>0</v>
      </c>
      <c r="AKV66" s="15">
        <v>0</v>
      </c>
      <c r="AKW66" s="15">
        <v>0</v>
      </c>
      <c r="AKX66" s="15"/>
      <c r="AKY66" s="15">
        <v>0</v>
      </c>
      <c r="AKZ66" s="15">
        <v>0</v>
      </c>
      <c r="ALA66" s="15">
        <v>0</v>
      </c>
      <c r="ALB66" s="15">
        <v>0</v>
      </c>
      <c r="ALC66" s="15">
        <v>0</v>
      </c>
      <c r="ALD66" s="15">
        <v>0</v>
      </c>
      <c r="ALE66" s="15">
        <v>0</v>
      </c>
      <c r="ALF66" s="15">
        <f t="shared" ref="ALF66:ALL66" si="973" xml:space="preserve"> IF( EXACT(ALF28,"LVC_UNLOAD_E"), BIN2DEC(ALF77), IF(EXACT(ALF28,"LVC_LOAD_E"),0,IF((ALE66&lt;&gt;0),BIN2DEC(ALF77),0)))</f>
        <v>0</v>
      </c>
      <c r="ALG66" s="15">
        <f t="shared" si="973"/>
        <v>0</v>
      </c>
      <c r="ALH66" s="15">
        <f t="shared" si="973"/>
        <v>0</v>
      </c>
      <c r="ALI66" s="15">
        <f t="shared" si="973"/>
        <v>0</v>
      </c>
      <c r="ALJ66" s="15">
        <f t="shared" si="973"/>
        <v>0</v>
      </c>
      <c r="ALK66" s="15">
        <f t="shared" si="973"/>
        <v>0</v>
      </c>
      <c r="ALL66" s="15">
        <f t="shared" si="973"/>
        <v>0</v>
      </c>
      <c r="ALM66" s="15"/>
      <c r="ALN66" s="15">
        <v>0</v>
      </c>
      <c r="ALO66" s="15">
        <v>0</v>
      </c>
      <c r="ALP66" s="15">
        <v>0</v>
      </c>
      <c r="ALQ66" s="15">
        <v>0</v>
      </c>
      <c r="ALR66" s="15">
        <v>0</v>
      </c>
      <c r="ALS66" s="15">
        <v>0</v>
      </c>
      <c r="ALT66" s="15">
        <v>0</v>
      </c>
      <c r="ALU66" s="15">
        <f xml:space="preserve"> IF( EXACT(ALU28,"LVC_UNLOAD_E"), BIN2DEC(ALU77), IF(EXACT(ALU28,"LVC_LOAD_E"),0,IF((ALT66&lt;&gt;0),BIN2DEC(ALU77),0)))</f>
        <v>0</v>
      </c>
      <c r="ALV66" s="15">
        <f xml:space="preserve"> IF( EXACT(ALV28,"LVC_UNLOAD_E"), BIN2DEC(ALV77), IF(EXACT(ALV28,"LVC_LOAD_E"),0,IF((ALU66&lt;&gt;0),BIN2DEC(ALV77),0)))</f>
        <v>0</v>
      </c>
      <c r="ALW66" s="15">
        <v>0</v>
      </c>
      <c r="ALX66" s="15">
        <v>0</v>
      </c>
      <c r="ALY66" s="15">
        <v>0</v>
      </c>
      <c r="ALZ66" s="15">
        <v>0</v>
      </c>
      <c r="AMA66" s="15">
        <v>0</v>
      </c>
      <c r="AMB66" s="15">
        <v>0</v>
      </c>
      <c r="AMC66" s="15"/>
      <c r="AMD66" s="15">
        <v>0</v>
      </c>
      <c r="AME66" s="15">
        <v>0</v>
      </c>
      <c r="AMF66" s="15">
        <v>0</v>
      </c>
      <c r="AMG66" s="15">
        <v>0</v>
      </c>
      <c r="AMH66" s="15">
        <v>0</v>
      </c>
      <c r="AMI66" s="15">
        <v>0</v>
      </c>
      <c r="AMJ66" s="15">
        <v>0</v>
      </c>
      <c r="AMK66" s="15">
        <v>0</v>
      </c>
      <c r="AML66" s="15">
        <v>0</v>
      </c>
      <c r="AMM66" s="15">
        <v>0</v>
      </c>
      <c r="AMN66" s="15">
        <v>0</v>
      </c>
      <c r="AMO66" s="15">
        <v>0</v>
      </c>
      <c r="AMP66" s="15">
        <v>0</v>
      </c>
      <c r="AMQ66" s="15">
        <v>0</v>
      </c>
      <c r="AMR66" s="15">
        <v>0</v>
      </c>
      <c r="AMS66" s="15">
        <v>0</v>
      </c>
      <c r="AMT66" s="15">
        <v>0</v>
      </c>
      <c r="AMU66" s="15">
        <v>0</v>
      </c>
      <c r="AMV66" s="15">
        <v>0</v>
      </c>
      <c r="AMW66" s="15">
        <v>0</v>
      </c>
      <c r="AMX66" s="15">
        <v>0</v>
      </c>
      <c r="AMY66" s="15">
        <v>0</v>
      </c>
      <c r="AMZ66" s="15">
        <v>0</v>
      </c>
      <c r="ANA66" s="15">
        <v>0</v>
      </c>
      <c r="ANB66" s="15">
        <v>0</v>
      </c>
      <c r="ANC66" s="15">
        <v>0</v>
      </c>
      <c r="AND66" s="15">
        <v>0</v>
      </c>
      <c r="ANE66" s="15"/>
      <c r="ANF66" s="15"/>
      <c r="ANG66" s="15"/>
      <c r="ANH66" s="15"/>
      <c r="ANI66" s="15"/>
      <c r="ANJ66" s="15"/>
      <c r="ANK66" s="15"/>
      <c r="ANL66" s="15"/>
      <c r="ANM66" s="15"/>
      <c r="ANN66" s="15"/>
      <c r="ANO66" s="15"/>
      <c r="ANP66" s="15"/>
      <c r="ANQ66" s="15"/>
      <c r="ANR66" s="15"/>
      <c r="ANS66" s="15"/>
      <c r="ANT66" s="15"/>
      <c r="ANU66" s="15"/>
      <c r="ANV66" s="15"/>
      <c r="ANW66" s="15"/>
      <c r="ANX66" s="15"/>
      <c r="ANY66" s="15"/>
      <c r="ANZ66" s="15"/>
      <c r="AOA66" s="15"/>
      <c r="AOB66" s="15"/>
      <c r="AOC66" s="15"/>
      <c r="AOD66" s="15"/>
      <c r="AOE66" s="15"/>
      <c r="AOF66" s="15"/>
      <c r="AOG66" s="15"/>
      <c r="AOH66" s="15"/>
      <c r="AOI66" s="15"/>
      <c r="AOJ66" s="15"/>
      <c r="AOK66" s="15"/>
      <c r="AOL66" s="15"/>
      <c r="AOM66" s="15"/>
      <c r="AON66" s="15"/>
      <c r="AOO66" s="15"/>
      <c r="AOP66" s="15"/>
      <c r="AOQ66" s="15"/>
      <c r="AOR66" s="15"/>
      <c r="AOS66" s="15"/>
      <c r="AOT66" s="15"/>
      <c r="AOU66" s="15"/>
      <c r="AOV66" s="15"/>
      <c r="AOW66" s="15"/>
      <c r="AOX66" s="15"/>
      <c r="AOY66" s="15"/>
      <c r="AOZ66" s="15"/>
      <c r="APA66" s="15"/>
      <c r="APB66" s="15"/>
      <c r="APC66" s="15"/>
      <c r="APD66" s="15"/>
      <c r="APE66" s="15"/>
      <c r="APF66" s="15"/>
      <c r="APG66" s="15"/>
      <c r="APH66" s="15"/>
      <c r="API66" s="15"/>
      <c r="APJ66" s="15"/>
      <c r="APK66" s="15"/>
      <c r="APL66" s="15"/>
      <c r="APM66" s="15"/>
      <c r="APN66" s="15"/>
      <c r="APO66" s="15"/>
      <c r="APP66" s="15"/>
      <c r="APQ66" s="15"/>
      <c r="APR66" s="15"/>
      <c r="APS66" s="15"/>
      <c r="APT66" s="15"/>
      <c r="APU66" s="15"/>
      <c r="APV66" s="15"/>
      <c r="APW66" s="15"/>
      <c r="APX66" s="15"/>
      <c r="APY66" s="15"/>
      <c r="APZ66" s="15"/>
      <c r="AQA66" s="15"/>
      <c r="AQB66" s="15"/>
    </row>
    <row r="67" spans="1:1120" s="17" customFormat="1" ht="15" customHeight="1" x14ac:dyDescent="0.25">
      <c r="A67" s="11" t="s">
        <v>3</v>
      </c>
      <c r="B67" s="6" t="s">
        <v>56</v>
      </c>
      <c r="C67" s="15">
        <v>0</v>
      </c>
      <c r="D67" s="15">
        <v>0</v>
      </c>
      <c r="E67" s="15">
        <v>0</v>
      </c>
      <c r="F67" s="15">
        <v>0</v>
      </c>
      <c r="G67" s="15">
        <v>0</v>
      </c>
      <c r="H67" s="15">
        <v>0</v>
      </c>
      <c r="I67" s="15">
        <v>0</v>
      </c>
      <c r="J67" s="15"/>
      <c r="K67" s="15">
        <v>0</v>
      </c>
      <c r="L67" s="15">
        <v>0</v>
      </c>
      <c r="M67" s="15">
        <v>0</v>
      </c>
      <c r="N67" s="15">
        <v>0</v>
      </c>
      <c r="O67" s="15">
        <v>0</v>
      </c>
      <c r="P67" s="15">
        <v>0</v>
      </c>
      <c r="Q67" s="15"/>
      <c r="R67" s="15">
        <v>0</v>
      </c>
      <c r="S67" s="15">
        <v>0</v>
      </c>
      <c r="T67" s="15">
        <v>0</v>
      </c>
      <c r="U67" s="15">
        <v>0</v>
      </c>
      <c r="V67" s="15">
        <v>0</v>
      </c>
      <c r="W67" s="15">
        <v>0</v>
      </c>
      <c r="X67" s="15"/>
      <c r="Y67" s="15">
        <v>0</v>
      </c>
      <c r="Z67" s="15">
        <v>0</v>
      </c>
      <c r="AA67" s="15">
        <v>0</v>
      </c>
      <c r="AB67" s="15">
        <v>0</v>
      </c>
      <c r="AC67" s="15">
        <v>0</v>
      </c>
      <c r="AD67" s="15">
        <v>0</v>
      </c>
      <c r="AE67" s="15"/>
      <c r="AF67" s="15">
        <v>0</v>
      </c>
      <c r="AG67" s="15">
        <v>0</v>
      </c>
      <c r="AH67" s="15">
        <v>0</v>
      </c>
      <c r="AI67" s="15">
        <v>0</v>
      </c>
      <c r="AJ67" s="15">
        <v>0</v>
      </c>
      <c r="AK67" s="15">
        <v>0</v>
      </c>
      <c r="AL67" s="15"/>
      <c r="AM67" s="15">
        <v>0</v>
      </c>
      <c r="AN67" s="15">
        <v>0</v>
      </c>
      <c r="AO67" s="15">
        <v>0</v>
      </c>
      <c r="AP67" s="15">
        <v>0</v>
      </c>
      <c r="AQ67" s="15">
        <v>0</v>
      </c>
      <c r="AR67" s="15">
        <v>0</v>
      </c>
      <c r="AS67" s="15">
        <v>0</v>
      </c>
      <c r="AT67" s="15">
        <v>0</v>
      </c>
      <c r="AU67" s="15">
        <v>0</v>
      </c>
      <c r="AV67" s="15">
        <v>0</v>
      </c>
      <c r="AW67" s="15">
        <v>0</v>
      </c>
      <c r="AX67" s="15">
        <v>0</v>
      </c>
      <c r="AY67" s="15">
        <v>0</v>
      </c>
      <c r="AZ67" s="15">
        <v>0</v>
      </c>
      <c r="BA67" s="15">
        <v>0</v>
      </c>
      <c r="BB67" s="15">
        <v>0</v>
      </c>
      <c r="BC67" s="15">
        <v>0</v>
      </c>
      <c r="BD67" s="15">
        <v>0</v>
      </c>
      <c r="BE67" s="15">
        <v>0</v>
      </c>
      <c r="BF67" s="15">
        <v>0</v>
      </c>
      <c r="BG67" s="15">
        <v>0</v>
      </c>
      <c r="BH67" s="15">
        <v>0</v>
      </c>
      <c r="BI67" s="15">
        <v>0</v>
      </c>
      <c r="BJ67" s="15">
        <v>0</v>
      </c>
      <c r="BK67" s="15">
        <v>0</v>
      </c>
      <c r="BL67" s="15">
        <v>0</v>
      </c>
      <c r="BM67" s="15">
        <v>0</v>
      </c>
      <c r="BN67" s="15">
        <v>0</v>
      </c>
      <c r="BO67" s="15">
        <v>0</v>
      </c>
      <c r="BP67" s="15">
        <v>0</v>
      </c>
      <c r="BQ67" s="15">
        <v>0</v>
      </c>
      <c r="BR67" s="15">
        <v>0</v>
      </c>
      <c r="BS67" s="15">
        <v>0</v>
      </c>
      <c r="BT67" s="15">
        <v>0</v>
      </c>
      <c r="BU67" s="15">
        <v>0</v>
      </c>
      <c r="BV67" s="15">
        <v>0</v>
      </c>
      <c r="BW67" s="15">
        <v>0</v>
      </c>
      <c r="BX67" s="15">
        <v>0</v>
      </c>
      <c r="BY67" s="15">
        <v>0</v>
      </c>
      <c r="BZ67" s="15">
        <v>0</v>
      </c>
      <c r="CA67" s="15">
        <v>0</v>
      </c>
      <c r="CB67" s="15">
        <v>0</v>
      </c>
      <c r="CC67" s="15">
        <v>0</v>
      </c>
      <c r="CD67" s="15">
        <v>0</v>
      </c>
      <c r="CE67" s="15">
        <v>0</v>
      </c>
      <c r="CF67" s="15">
        <v>0</v>
      </c>
      <c r="CG67" s="15">
        <v>0</v>
      </c>
      <c r="CH67" s="15">
        <v>0</v>
      </c>
      <c r="CI67" s="15">
        <v>0</v>
      </c>
      <c r="CJ67" s="15">
        <v>0</v>
      </c>
      <c r="CK67" s="15">
        <v>0</v>
      </c>
      <c r="CL67" s="15">
        <v>0</v>
      </c>
      <c r="CM67" s="15">
        <v>0</v>
      </c>
      <c r="CN67" s="15">
        <v>0</v>
      </c>
      <c r="CO67" s="15">
        <v>0</v>
      </c>
      <c r="CP67" s="15">
        <v>0</v>
      </c>
      <c r="CQ67" s="15">
        <v>0</v>
      </c>
      <c r="CR67" s="15">
        <v>0</v>
      </c>
      <c r="CS67" s="15">
        <v>0</v>
      </c>
      <c r="CT67" s="15">
        <v>0</v>
      </c>
      <c r="CU67" s="15">
        <v>0</v>
      </c>
      <c r="CV67" s="15">
        <v>0</v>
      </c>
      <c r="CW67" s="15">
        <v>0</v>
      </c>
      <c r="CX67" s="15">
        <v>0</v>
      </c>
      <c r="CY67" s="15">
        <v>0</v>
      </c>
      <c r="CZ67" s="15">
        <v>0</v>
      </c>
      <c r="DA67" s="15">
        <v>0</v>
      </c>
      <c r="DB67" s="15">
        <v>0</v>
      </c>
      <c r="DC67" s="15">
        <v>0</v>
      </c>
      <c r="DD67" s="15">
        <v>0</v>
      </c>
      <c r="DE67" s="15">
        <v>0</v>
      </c>
      <c r="DF67" s="15">
        <v>0</v>
      </c>
      <c r="DG67" s="15">
        <v>0</v>
      </c>
      <c r="DH67" s="15">
        <v>0</v>
      </c>
      <c r="DI67" s="15">
        <v>0</v>
      </c>
      <c r="DJ67" s="15">
        <v>0</v>
      </c>
      <c r="DK67" s="15">
        <v>0</v>
      </c>
      <c r="DL67" s="15">
        <v>0</v>
      </c>
      <c r="DM67" s="15">
        <v>0</v>
      </c>
      <c r="DN67" s="15">
        <v>0</v>
      </c>
      <c r="DO67" s="15">
        <v>0</v>
      </c>
      <c r="DP67" s="15">
        <v>0</v>
      </c>
      <c r="DQ67" s="15">
        <v>0</v>
      </c>
      <c r="DR67" s="15">
        <v>0</v>
      </c>
      <c r="DS67" s="15">
        <v>0</v>
      </c>
      <c r="DT67" s="15">
        <v>0</v>
      </c>
      <c r="DU67" s="15">
        <v>0</v>
      </c>
      <c r="DV67" s="15">
        <v>0</v>
      </c>
      <c r="DW67" s="15">
        <v>0</v>
      </c>
      <c r="DX67" s="15">
        <v>0</v>
      </c>
      <c r="DY67" s="15">
        <v>0</v>
      </c>
      <c r="DZ67" s="15">
        <v>0</v>
      </c>
      <c r="EA67" s="15">
        <v>0</v>
      </c>
      <c r="EB67" s="15">
        <v>0</v>
      </c>
      <c r="EC67" s="15">
        <v>0</v>
      </c>
      <c r="ED67" s="15">
        <v>0</v>
      </c>
      <c r="EE67" s="15">
        <v>0</v>
      </c>
      <c r="EF67" s="15">
        <v>0</v>
      </c>
      <c r="EG67" s="15">
        <v>0</v>
      </c>
      <c r="EH67" s="15">
        <v>0</v>
      </c>
      <c r="EI67" s="15">
        <v>0</v>
      </c>
      <c r="EJ67" s="15">
        <v>0</v>
      </c>
      <c r="EK67" s="15">
        <v>0</v>
      </c>
      <c r="EL67" s="15">
        <v>0</v>
      </c>
      <c r="EM67" s="15">
        <v>0</v>
      </c>
      <c r="EN67" s="15">
        <v>0</v>
      </c>
      <c r="EO67" s="15">
        <v>0</v>
      </c>
      <c r="EP67" s="15">
        <v>0</v>
      </c>
      <c r="EQ67" s="15">
        <v>0</v>
      </c>
      <c r="ER67" s="15">
        <v>0</v>
      </c>
      <c r="ES67" s="15">
        <v>0</v>
      </c>
      <c r="ET67" s="15">
        <v>0</v>
      </c>
      <c r="EU67" s="15">
        <v>0</v>
      </c>
      <c r="EV67" s="15">
        <v>0</v>
      </c>
      <c r="EW67" s="15">
        <v>0</v>
      </c>
      <c r="EX67" s="15">
        <v>0</v>
      </c>
      <c r="EY67" s="15">
        <v>0</v>
      </c>
      <c r="EZ67" s="15">
        <v>0</v>
      </c>
      <c r="FA67" s="15">
        <v>0</v>
      </c>
      <c r="FB67" s="15">
        <v>0</v>
      </c>
      <c r="FC67" s="15">
        <v>0</v>
      </c>
      <c r="FD67" s="15"/>
      <c r="FE67" s="15">
        <v>0</v>
      </c>
      <c r="FF67" s="15">
        <v>0</v>
      </c>
      <c r="FG67" s="15">
        <v>0</v>
      </c>
      <c r="FH67" s="15">
        <v>0</v>
      </c>
      <c r="FI67" s="15">
        <v>0</v>
      </c>
      <c r="FJ67" s="15">
        <v>0</v>
      </c>
      <c r="FK67" s="15">
        <v>0</v>
      </c>
      <c r="FL67" s="15">
        <v>0</v>
      </c>
      <c r="FM67" s="15">
        <v>0</v>
      </c>
      <c r="FN67" s="15">
        <v>0</v>
      </c>
      <c r="FO67" s="15">
        <v>0</v>
      </c>
      <c r="FP67" s="15">
        <v>0</v>
      </c>
      <c r="FQ67" s="15">
        <v>0</v>
      </c>
      <c r="FR67" s="15">
        <v>0</v>
      </c>
      <c r="FS67" s="15">
        <v>0</v>
      </c>
      <c r="FT67" s="15">
        <v>0</v>
      </c>
      <c r="FU67" s="15">
        <v>0</v>
      </c>
      <c r="FV67" s="15">
        <v>0</v>
      </c>
      <c r="FW67" s="15">
        <v>0</v>
      </c>
      <c r="FX67" s="15">
        <v>0</v>
      </c>
      <c r="FY67" s="15">
        <v>0</v>
      </c>
      <c r="FZ67" s="15">
        <v>0</v>
      </c>
      <c r="GA67" s="15">
        <v>0</v>
      </c>
      <c r="GB67" s="15">
        <v>0</v>
      </c>
      <c r="GC67" s="15">
        <v>0</v>
      </c>
      <c r="GD67" s="15">
        <v>0</v>
      </c>
      <c r="GE67" s="15">
        <v>0</v>
      </c>
      <c r="GF67" s="15">
        <v>0</v>
      </c>
      <c r="GG67" s="15">
        <v>0</v>
      </c>
      <c r="GH67" s="15">
        <v>0</v>
      </c>
      <c r="GI67" s="15">
        <v>0</v>
      </c>
      <c r="GJ67" s="15">
        <v>0</v>
      </c>
      <c r="GK67" s="15">
        <v>0</v>
      </c>
      <c r="GL67" s="15">
        <v>0</v>
      </c>
      <c r="GM67" s="15">
        <v>0</v>
      </c>
      <c r="GN67" s="15">
        <v>0</v>
      </c>
      <c r="GO67" s="15">
        <v>0</v>
      </c>
      <c r="GP67" s="15">
        <v>0</v>
      </c>
      <c r="GQ67" s="15">
        <v>0</v>
      </c>
      <c r="GR67" s="15">
        <v>0</v>
      </c>
      <c r="GS67" s="15">
        <v>0</v>
      </c>
      <c r="GT67" s="15">
        <v>0</v>
      </c>
      <c r="GU67" s="15">
        <v>0</v>
      </c>
      <c r="GV67" s="15">
        <v>0</v>
      </c>
      <c r="GW67" s="15">
        <v>0</v>
      </c>
      <c r="GX67" s="15">
        <v>0</v>
      </c>
      <c r="GY67" s="15">
        <v>0</v>
      </c>
      <c r="GZ67" s="15">
        <v>0</v>
      </c>
      <c r="HA67" s="15">
        <v>0</v>
      </c>
      <c r="HB67" s="15">
        <v>0</v>
      </c>
      <c r="HC67" s="15">
        <v>0</v>
      </c>
      <c r="HD67" s="15">
        <v>0</v>
      </c>
      <c r="HE67" s="15">
        <v>0</v>
      </c>
      <c r="HF67" s="15">
        <v>0</v>
      </c>
      <c r="HG67" s="15">
        <v>0</v>
      </c>
      <c r="HH67" s="15">
        <v>0</v>
      </c>
      <c r="HI67" s="15">
        <v>0</v>
      </c>
      <c r="HJ67" s="15">
        <v>0</v>
      </c>
      <c r="HK67" s="15">
        <v>0</v>
      </c>
      <c r="HL67" s="15">
        <v>0</v>
      </c>
      <c r="HM67" s="15">
        <v>0</v>
      </c>
      <c r="HN67" s="15">
        <v>0</v>
      </c>
      <c r="HO67" s="15">
        <v>0</v>
      </c>
      <c r="HP67" s="15">
        <v>0</v>
      </c>
      <c r="HQ67" s="15">
        <v>0</v>
      </c>
      <c r="HR67" s="15">
        <v>0</v>
      </c>
      <c r="HS67" s="15">
        <v>0</v>
      </c>
      <c r="HT67" s="15">
        <v>0</v>
      </c>
      <c r="HU67" s="15">
        <v>0</v>
      </c>
      <c r="HV67" s="15">
        <v>0</v>
      </c>
      <c r="HW67" s="15">
        <v>0</v>
      </c>
      <c r="HX67" s="15">
        <v>0</v>
      </c>
      <c r="HY67" s="15">
        <v>0</v>
      </c>
      <c r="HZ67" s="15">
        <v>0</v>
      </c>
      <c r="IA67" s="15">
        <v>0</v>
      </c>
      <c r="IB67" s="15"/>
      <c r="IC67" s="15">
        <v>0</v>
      </c>
      <c r="ID67" s="15">
        <v>0</v>
      </c>
      <c r="IE67" s="15">
        <v>0</v>
      </c>
      <c r="IF67" s="15">
        <v>0</v>
      </c>
      <c r="IG67" s="15">
        <v>0</v>
      </c>
      <c r="IH67" s="15">
        <v>0</v>
      </c>
      <c r="II67" s="15">
        <v>0</v>
      </c>
      <c r="IJ67" s="15">
        <v>0</v>
      </c>
      <c r="IK67" s="15"/>
      <c r="IL67" s="15">
        <v>0</v>
      </c>
      <c r="IM67" s="15">
        <v>0</v>
      </c>
      <c r="IN67" s="15">
        <v>0</v>
      </c>
      <c r="IO67" s="15">
        <v>0</v>
      </c>
      <c r="IP67" s="15">
        <v>0</v>
      </c>
      <c r="IQ67" s="15">
        <v>0</v>
      </c>
      <c r="IR67" s="15">
        <v>0</v>
      </c>
      <c r="IS67" s="15">
        <v>0</v>
      </c>
      <c r="IT67" s="15">
        <v>0</v>
      </c>
      <c r="IU67" s="15">
        <v>0</v>
      </c>
      <c r="IV67" s="15">
        <v>0</v>
      </c>
      <c r="IW67" s="15">
        <v>0</v>
      </c>
      <c r="IX67" s="15">
        <v>0</v>
      </c>
      <c r="IY67" s="15">
        <v>0</v>
      </c>
      <c r="IZ67" s="15">
        <v>0</v>
      </c>
      <c r="JA67" s="15">
        <v>0</v>
      </c>
      <c r="JB67" s="15">
        <v>0</v>
      </c>
      <c r="JC67" s="15">
        <v>0</v>
      </c>
      <c r="JD67" s="15">
        <v>0</v>
      </c>
      <c r="JE67" s="15">
        <v>0</v>
      </c>
      <c r="JF67" s="15">
        <v>0</v>
      </c>
      <c r="JG67" s="15">
        <v>0</v>
      </c>
      <c r="JH67" s="15">
        <v>0</v>
      </c>
      <c r="JI67" s="15">
        <v>0</v>
      </c>
      <c r="JJ67" s="15">
        <v>0</v>
      </c>
      <c r="JK67" s="15">
        <v>0</v>
      </c>
      <c r="JL67" s="15">
        <v>0</v>
      </c>
      <c r="JM67" s="15">
        <v>0</v>
      </c>
      <c r="JN67" s="15">
        <v>0</v>
      </c>
      <c r="JO67" s="15">
        <v>0</v>
      </c>
      <c r="JP67" s="15">
        <v>0</v>
      </c>
      <c r="JQ67" s="15">
        <v>0</v>
      </c>
      <c r="JR67" s="15">
        <v>0</v>
      </c>
      <c r="JS67" s="15">
        <v>0</v>
      </c>
      <c r="JT67" s="15">
        <v>0</v>
      </c>
      <c r="JU67" s="15">
        <v>0</v>
      </c>
      <c r="JV67" s="15">
        <v>0</v>
      </c>
      <c r="JW67" s="15">
        <v>0</v>
      </c>
      <c r="JX67" s="15">
        <v>0</v>
      </c>
      <c r="JY67" s="15">
        <v>0</v>
      </c>
      <c r="JZ67" s="15">
        <v>0</v>
      </c>
      <c r="KA67" s="15">
        <v>0</v>
      </c>
      <c r="KB67" s="15">
        <v>0</v>
      </c>
      <c r="KC67" s="15">
        <v>0</v>
      </c>
      <c r="KD67" s="15">
        <v>0</v>
      </c>
      <c r="KE67" s="15">
        <v>0</v>
      </c>
      <c r="KF67" s="15">
        <v>0</v>
      </c>
      <c r="KG67" s="15">
        <v>0</v>
      </c>
      <c r="KH67" s="15">
        <v>0</v>
      </c>
      <c r="KI67" s="15">
        <v>0</v>
      </c>
      <c r="KJ67" s="15">
        <v>0</v>
      </c>
      <c r="KK67" s="15">
        <v>0</v>
      </c>
      <c r="KL67" s="15">
        <v>0</v>
      </c>
      <c r="KM67" s="15">
        <v>0</v>
      </c>
      <c r="KN67" s="15">
        <v>0</v>
      </c>
      <c r="KO67" s="15">
        <v>0</v>
      </c>
      <c r="KP67" s="15">
        <v>0</v>
      </c>
      <c r="KQ67" s="15">
        <v>0</v>
      </c>
      <c r="KR67" s="15">
        <v>0</v>
      </c>
      <c r="KS67" s="15">
        <v>0</v>
      </c>
      <c r="KT67" s="15">
        <v>0</v>
      </c>
      <c r="KU67" s="15">
        <v>0</v>
      </c>
      <c r="KV67" s="15">
        <v>0</v>
      </c>
      <c r="KW67" s="15">
        <v>0</v>
      </c>
      <c r="KX67" s="15">
        <v>0</v>
      </c>
      <c r="KY67" s="15">
        <v>0</v>
      </c>
      <c r="KZ67" s="15">
        <v>0</v>
      </c>
      <c r="LA67" s="15">
        <v>0</v>
      </c>
      <c r="LB67" s="15">
        <v>0</v>
      </c>
      <c r="LC67" s="15">
        <v>0</v>
      </c>
      <c r="LD67" s="15">
        <v>0</v>
      </c>
      <c r="LE67" s="15">
        <v>0</v>
      </c>
      <c r="LF67" s="15">
        <v>0</v>
      </c>
      <c r="LG67" s="15">
        <v>0</v>
      </c>
      <c r="LH67" s="15">
        <v>0</v>
      </c>
      <c r="LI67" s="15">
        <v>0</v>
      </c>
      <c r="LJ67" s="15">
        <v>0</v>
      </c>
      <c r="LK67" s="15">
        <v>0</v>
      </c>
      <c r="LL67" s="15">
        <v>0</v>
      </c>
      <c r="LM67" s="15">
        <v>0</v>
      </c>
      <c r="LN67" s="15">
        <v>0</v>
      </c>
      <c r="LO67" s="15">
        <v>0</v>
      </c>
      <c r="LP67" s="15">
        <v>0</v>
      </c>
      <c r="LQ67" s="15">
        <v>0</v>
      </c>
      <c r="LR67" s="15">
        <v>0</v>
      </c>
      <c r="LS67" s="15">
        <v>0</v>
      </c>
      <c r="LT67" s="15">
        <v>0</v>
      </c>
      <c r="LU67" s="15">
        <v>0</v>
      </c>
      <c r="LV67" s="15">
        <v>0</v>
      </c>
      <c r="LW67" s="15">
        <v>0</v>
      </c>
      <c r="LX67" s="15">
        <v>0</v>
      </c>
      <c r="LY67" s="15">
        <v>0</v>
      </c>
      <c r="LZ67" s="15">
        <v>0</v>
      </c>
      <c r="MA67" s="15">
        <v>0</v>
      </c>
      <c r="MB67" s="15">
        <v>0</v>
      </c>
      <c r="MC67" s="15">
        <v>0</v>
      </c>
      <c r="MD67" s="15">
        <v>0</v>
      </c>
      <c r="ME67" s="15">
        <v>0</v>
      </c>
      <c r="MF67" s="15">
        <v>0</v>
      </c>
      <c r="MG67" s="15">
        <v>0</v>
      </c>
      <c r="MH67" s="15">
        <v>0</v>
      </c>
      <c r="MI67" s="15">
        <v>0</v>
      </c>
      <c r="MJ67" s="15">
        <v>0</v>
      </c>
      <c r="MK67" s="15">
        <v>0</v>
      </c>
      <c r="ML67" s="15">
        <v>0</v>
      </c>
      <c r="MM67" s="15">
        <v>0</v>
      </c>
      <c r="MN67" s="15">
        <v>0</v>
      </c>
      <c r="MO67" s="15">
        <v>0</v>
      </c>
      <c r="MP67" s="15">
        <v>0</v>
      </c>
      <c r="MQ67" s="15">
        <v>0</v>
      </c>
      <c r="MR67" s="15">
        <v>0</v>
      </c>
      <c r="MS67" s="15">
        <v>0</v>
      </c>
      <c r="MT67" s="15">
        <v>0</v>
      </c>
      <c r="MU67" s="15">
        <v>0</v>
      </c>
      <c r="MV67" s="15">
        <v>0</v>
      </c>
      <c r="MW67" s="15">
        <v>0</v>
      </c>
      <c r="MX67" s="15">
        <v>0</v>
      </c>
      <c r="MY67" s="15">
        <v>0</v>
      </c>
      <c r="MZ67" s="15">
        <v>0</v>
      </c>
      <c r="NA67" s="15">
        <v>0</v>
      </c>
      <c r="NB67" s="15">
        <v>0</v>
      </c>
      <c r="NC67" s="15">
        <v>0</v>
      </c>
      <c r="ND67" s="15">
        <v>0</v>
      </c>
      <c r="NE67" s="15">
        <v>0</v>
      </c>
      <c r="NF67" s="15">
        <v>0</v>
      </c>
      <c r="NG67" s="15">
        <v>0</v>
      </c>
      <c r="NH67" s="15">
        <v>0</v>
      </c>
      <c r="NI67" s="15">
        <v>0</v>
      </c>
      <c r="NJ67" s="15">
        <v>0</v>
      </c>
      <c r="NK67" s="15">
        <v>0</v>
      </c>
      <c r="NL67" s="15">
        <v>0</v>
      </c>
      <c r="NM67" s="15">
        <v>0</v>
      </c>
      <c r="NN67" s="15">
        <v>0</v>
      </c>
      <c r="NO67" s="15">
        <v>0</v>
      </c>
      <c r="NP67" s="15">
        <v>0</v>
      </c>
      <c r="NQ67" s="15">
        <v>0</v>
      </c>
      <c r="NR67" s="15">
        <v>0</v>
      </c>
      <c r="NS67" s="15">
        <v>0</v>
      </c>
      <c r="NT67" s="15">
        <v>0</v>
      </c>
      <c r="NU67" s="15">
        <v>0</v>
      </c>
      <c r="NV67" s="15">
        <v>0</v>
      </c>
      <c r="NW67" s="15">
        <v>0</v>
      </c>
      <c r="NX67" s="15">
        <v>0</v>
      </c>
      <c r="NY67" s="15">
        <v>0</v>
      </c>
      <c r="NZ67" s="15">
        <v>0</v>
      </c>
      <c r="OA67" s="15">
        <v>0</v>
      </c>
      <c r="OB67" s="15">
        <v>0</v>
      </c>
      <c r="OC67" s="15">
        <v>0</v>
      </c>
      <c r="OD67" s="15">
        <v>0</v>
      </c>
      <c r="OE67" s="15">
        <v>0</v>
      </c>
      <c r="OF67" s="15">
        <v>0</v>
      </c>
      <c r="OG67" s="15">
        <v>0</v>
      </c>
      <c r="OH67" s="15">
        <v>0</v>
      </c>
      <c r="OI67" s="15">
        <v>0</v>
      </c>
      <c r="OJ67" s="15">
        <v>0</v>
      </c>
      <c r="OK67" s="15">
        <v>0</v>
      </c>
      <c r="OL67" s="15">
        <v>0</v>
      </c>
      <c r="OM67" s="15">
        <v>0</v>
      </c>
      <c r="ON67" s="15">
        <v>0</v>
      </c>
      <c r="OO67" s="15">
        <v>0</v>
      </c>
      <c r="OP67" s="15">
        <v>0</v>
      </c>
      <c r="OQ67" s="15">
        <v>0</v>
      </c>
      <c r="OR67" s="15">
        <v>0</v>
      </c>
      <c r="OS67" s="15">
        <v>0</v>
      </c>
      <c r="OT67" s="15">
        <v>0</v>
      </c>
      <c r="OU67" s="15">
        <v>0</v>
      </c>
      <c r="OV67" s="15">
        <v>0</v>
      </c>
      <c r="OW67" s="15">
        <v>0</v>
      </c>
      <c r="OX67" s="15">
        <v>0</v>
      </c>
      <c r="OY67" s="15">
        <v>0</v>
      </c>
      <c r="OZ67" s="15">
        <v>0</v>
      </c>
      <c r="PA67" s="15">
        <v>0</v>
      </c>
      <c r="PB67" s="15">
        <v>0</v>
      </c>
      <c r="PC67" s="15">
        <v>0</v>
      </c>
      <c r="PD67" s="15">
        <v>0</v>
      </c>
      <c r="PE67" s="15">
        <v>0</v>
      </c>
      <c r="PF67" s="15">
        <v>0</v>
      </c>
      <c r="PG67" s="15">
        <v>0</v>
      </c>
      <c r="PH67" s="15">
        <v>0</v>
      </c>
      <c r="PI67" s="15">
        <v>0</v>
      </c>
      <c r="PJ67" s="15">
        <v>0</v>
      </c>
      <c r="PK67" s="15">
        <v>0</v>
      </c>
      <c r="PL67" s="15">
        <v>0</v>
      </c>
      <c r="PM67" s="15">
        <v>0</v>
      </c>
      <c r="PN67" s="15">
        <v>0</v>
      </c>
      <c r="PO67" s="15">
        <v>0</v>
      </c>
      <c r="PP67" s="15">
        <v>0</v>
      </c>
      <c r="PQ67" s="15">
        <v>0</v>
      </c>
      <c r="PR67" s="15">
        <v>0</v>
      </c>
      <c r="PS67" s="15">
        <v>0</v>
      </c>
      <c r="PT67" s="15">
        <v>0</v>
      </c>
      <c r="PU67" s="15">
        <v>0</v>
      </c>
      <c r="PV67" s="15">
        <v>0</v>
      </c>
      <c r="PW67" s="15">
        <v>0</v>
      </c>
      <c r="PX67" s="15">
        <v>0</v>
      </c>
      <c r="PY67" s="15">
        <v>0</v>
      </c>
      <c r="PZ67" s="15">
        <v>0</v>
      </c>
      <c r="QA67" s="15">
        <v>0</v>
      </c>
      <c r="QB67" s="15">
        <v>0</v>
      </c>
      <c r="QC67" s="15">
        <v>0</v>
      </c>
      <c r="QD67" s="15">
        <v>0</v>
      </c>
      <c r="QE67" s="15">
        <v>0</v>
      </c>
      <c r="QF67" s="15">
        <v>0</v>
      </c>
      <c r="QG67" s="15">
        <v>0</v>
      </c>
      <c r="QH67" s="15">
        <v>0</v>
      </c>
      <c r="QI67" s="15">
        <v>0</v>
      </c>
      <c r="QJ67" s="15">
        <v>0</v>
      </c>
      <c r="QK67" s="15">
        <v>0</v>
      </c>
      <c r="QL67" s="15">
        <v>0</v>
      </c>
      <c r="QM67" s="15">
        <v>0</v>
      </c>
      <c r="QN67" s="15">
        <v>0</v>
      </c>
      <c r="QO67" s="15">
        <v>0</v>
      </c>
      <c r="QP67" s="15">
        <v>0</v>
      </c>
      <c r="QQ67" s="15">
        <v>0</v>
      </c>
      <c r="QR67" s="15">
        <v>0</v>
      </c>
      <c r="QS67" s="15">
        <v>0</v>
      </c>
      <c r="QT67" s="15">
        <v>0</v>
      </c>
      <c r="QU67" s="15">
        <v>0</v>
      </c>
      <c r="QV67" s="15">
        <v>0</v>
      </c>
      <c r="QW67" s="15">
        <v>0</v>
      </c>
      <c r="QX67" s="15">
        <v>0</v>
      </c>
      <c r="QY67" s="15">
        <v>0</v>
      </c>
      <c r="QZ67" s="15">
        <v>0</v>
      </c>
      <c r="RA67" s="15">
        <v>0</v>
      </c>
      <c r="RB67" s="15">
        <v>0</v>
      </c>
      <c r="RC67" s="15">
        <v>0</v>
      </c>
      <c r="RD67" s="15">
        <v>0</v>
      </c>
      <c r="RE67" s="15">
        <v>0</v>
      </c>
      <c r="RF67" s="15">
        <v>0</v>
      </c>
      <c r="RG67" s="15">
        <v>0</v>
      </c>
      <c r="RH67" s="15">
        <v>0</v>
      </c>
      <c r="RI67" s="15">
        <v>0</v>
      </c>
      <c r="RJ67" s="15">
        <v>0</v>
      </c>
      <c r="RK67" s="15">
        <v>0</v>
      </c>
      <c r="RL67" s="15">
        <v>0</v>
      </c>
      <c r="RM67" s="15">
        <v>0</v>
      </c>
      <c r="RN67" s="15">
        <v>0</v>
      </c>
      <c r="RO67" s="15">
        <v>0</v>
      </c>
      <c r="RP67" s="15">
        <v>0</v>
      </c>
      <c r="RQ67" s="15">
        <v>0</v>
      </c>
      <c r="RR67" s="15">
        <v>0</v>
      </c>
      <c r="RS67" s="15"/>
      <c r="RT67" s="15">
        <v>0</v>
      </c>
      <c r="RU67" s="15">
        <v>0</v>
      </c>
      <c r="RV67" s="15">
        <v>0</v>
      </c>
      <c r="RW67" s="15">
        <v>0</v>
      </c>
      <c r="RX67" s="15">
        <v>0</v>
      </c>
      <c r="RY67" s="15">
        <v>0</v>
      </c>
      <c r="RZ67" s="15">
        <v>0</v>
      </c>
      <c r="SA67" s="15">
        <v>0</v>
      </c>
      <c r="SB67" s="15">
        <v>0</v>
      </c>
      <c r="SC67" s="15">
        <v>0</v>
      </c>
      <c r="SD67" s="15">
        <v>0</v>
      </c>
      <c r="SE67" s="15">
        <v>0</v>
      </c>
      <c r="SF67" s="15">
        <v>0</v>
      </c>
      <c r="SG67" s="15">
        <v>0</v>
      </c>
      <c r="SH67" s="15">
        <v>0</v>
      </c>
      <c r="SI67" s="15">
        <v>0</v>
      </c>
      <c r="SJ67" s="15">
        <v>0</v>
      </c>
      <c r="SK67" s="15">
        <v>0</v>
      </c>
      <c r="SL67" s="15">
        <v>0</v>
      </c>
      <c r="SM67" s="15">
        <v>0</v>
      </c>
      <c r="SN67" s="15">
        <v>0</v>
      </c>
      <c r="SO67" s="15">
        <v>0</v>
      </c>
      <c r="SP67" s="15">
        <v>0</v>
      </c>
      <c r="SQ67" s="15">
        <v>0</v>
      </c>
      <c r="SR67" s="15">
        <v>0</v>
      </c>
      <c r="SS67" s="15">
        <v>0</v>
      </c>
      <c r="ST67" s="15">
        <v>0</v>
      </c>
      <c r="SU67" s="15">
        <v>0</v>
      </c>
      <c r="SV67" s="15">
        <v>0</v>
      </c>
      <c r="SW67" s="15">
        <v>0</v>
      </c>
      <c r="SX67" s="15">
        <v>0</v>
      </c>
      <c r="SY67" s="15">
        <v>0</v>
      </c>
      <c r="SZ67" s="15">
        <v>0</v>
      </c>
      <c r="TA67" s="15">
        <v>0</v>
      </c>
      <c r="TB67" s="15">
        <v>0</v>
      </c>
      <c r="TC67" s="15">
        <v>0</v>
      </c>
      <c r="TD67" s="15">
        <v>0</v>
      </c>
      <c r="TE67" s="15">
        <v>0</v>
      </c>
      <c r="TF67" s="15">
        <v>0</v>
      </c>
      <c r="TG67" s="15">
        <v>0</v>
      </c>
      <c r="TH67" s="15">
        <v>0</v>
      </c>
      <c r="TI67" s="15">
        <v>0</v>
      </c>
      <c r="TJ67" s="15">
        <v>0</v>
      </c>
      <c r="TK67" s="15">
        <v>0</v>
      </c>
      <c r="TL67" s="15">
        <v>0</v>
      </c>
      <c r="TM67" s="15">
        <v>0</v>
      </c>
      <c r="TN67" s="15">
        <v>0</v>
      </c>
      <c r="TO67" s="15">
        <v>0</v>
      </c>
      <c r="TP67" s="15">
        <v>0</v>
      </c>
      <c r="TQ67" s="15">
        <v>0</v>
      </c>
      <c r="TR67" s="15">
        <v>0</v>
      </c>
      <c r="TS67" s="15">
        <v>0</v>
      </c>
      <c r="TT67" s="15">
        <v>0</v>
      </c>
      <c r="TU67" s="15">
        <v>0</v>
      </c>
      <c r="TV67" s="15">
        <v>0</v>
      </c>
      <c r="TW67" s="15">
        <v>0</v>
      </c>
      <c r="TX67" s="15">
        <v>0</v>
      </c>
      <c r="TY67" s="15">
        <v>0</v>
      </c>
      <c r="TZ67" s="15">
        <v>0</v>
      </c>
      <c r="UA67" s="15">
        <v>0</v>
      </c>
      <c r="UB67" s="15">
        <v>0</v>
      </c>
      <c r="UC67" s="15">
        <v>0</v>
      </c>
      <c r="UD67" s="15">
        <v>0</v>
      </c>
      <c r="UE67" s="15">
        <v>0</v>
      </c>
      <c r="UF67" s="15">
        <v>0</v>
      </c>
      <c r="UG67" s="15">
        <v>0</v>
      </c>
      <c r="UH67" s="15">
        <v>0</v>
      </c>
      <c r="UI67" s="15">
        <v>0</v>
      </c>
      <c r="UJ67" s="15">
        <v>0</v>
      </c>
      <c r="UK67" s="15">
        <v>0</v>
      </c>
      <c r="UL67" s="15">
        <v>0</v>
      </c>
      <c r="UM67" s="15">
        <v>0</v>
      </c>
      <c r="UN67" s="15">
        <v>0</v>
      </c>
      <c r="UO67" s="15">
        <v>0</v>
      </c>
      <c r="UP67" s="15">
        <v>0</v>
      </c>
      <c r="UQ67" s="15">
        <v>0</v>
      </c>
      <c r="UR67" s="15">
        <v>0</v>
      </c>
      <c r="US67" s="15">
        <v>0</v>
      </c>
      <c r="UT67" s="15">
        <v>0</v>
      </c>
      <c r="UU67" s="15">
        <v>0</v>
      </c>
      <c r="UV67" s="15">
        <v>0</v>
      </c>
      <c r="UW67" s="15">
        <v>0</v>
      </c>
      <c r="UX67" s="15">
        <v>0</v>
      </c>
      <c r="UY67" s="15">
        <v>0</v>
      </c>
      <c r="UZ67" s="15">
        <v>0</v>
      </c>
      <c r="VA67" s="15">
        <v>0</v>
      </c>
      <c r="VB67" s="15">
        <v>0</v>
      </c>
      <c r="VC67" s="15">
        <v>0</v>
      </c>
      <c r="VD67" s="15">
        <v>0</v>
      </c>
      <c r="VE67" s="15">
        <v>0</v>
      </c>
      <c r="VF67" s="15">
        <v>0</v>
      </c>
      <c r="VG67" s="15">
        <v>0</v>
      </c>
      <c r="VH67" s="15">
        <v>0</v>
      </c>
      <c r="VI67" s="15">
        <v>0</v>
      </c>
      <c r="VJ67" s="15">
        <v>0</v>
      </c>
      <c r="VK67" s="15">
        <v>0</v>
      </c>
      <c r="VL67" s="15">
        <v>0</v>
      </c>
      <c r="VM67" s="15">
        <v>0</v>
      </c>
      <c r="VN67" s="15">
        <v>0</v>
      </c>
      <c r="VO67" s="15">
        <v>0</v>
      </c>
      <c r="VP67" s="15">
        <v>0</v>
      </c>
      <c r="VQ67" s="15">
        <v>0</v>
      </c>
      <c r="VR67" s="15">
        <v>0</v>
      </c>
      <c r="VS67" s="15">
        <v>0</v>
      </c>
      <c r="VT67" s="15">
        <v>0</v>
      </c>
      <c r="VU67" s="15">
        <v>0</v>
      </c>
      <c r="VV67" s="15">
        <v>0</v>
      </c>
      <c r="VW67" s="15">
        <v>0</v>
      </c>
      <c r="VX67" s="15">
        <v>0</v>
      </c>
      <c r="VY67" s="15">
        <v>0</v>
      </c>
      <c r="VZ67" s="15">
        <v>0</v>
      </c>
      <c r="WA67" s="15">
        <v>0</v>
      </c>
      <c r="WB67" s="15">
        <v>0</v>
      </c>
      <c r="WC67" s="15">
        <v>0</v>
      </c>
      <c r="WD67" s="15">
        <v>0</v>
      </c>
      <c r="WE67" s="15">
        <v>0</v>
      </c>
      <c r="WF67" s="15">
        <v>0</v>
      </c>
      <c r="WG67" s="15">
        <v>0</v>
      </c>
      <c r="WH67" s="15">
        <v>0</v>
      </c>
      <c r="WI67" s="15">
        <v>0</v>
      </c>
      <c r="WJ67" s="15">
        <v>0</v>
      </c>
      <c r="WK67" s="15">
        <v>0</v>
      </c>
      <c r="WL67" s="15">
        <v>0</v>
      </c>
      <c r="WM67" s="15">
        <v>0</v>
      </c>
      <c r="WN67" s="15">
        <v>0</v>
      </c>
      <c r="WO67" s="15">
        <v>0</v>
      </c>
      <c r="WP67" s="15">
        <v>0</v>
      </c>
      <c r="WQ67" s="15">
        <v>0</v>
      </c>
      <c r="WR67" s="15">
        <v>0</v>
      </c>
      <c r="WS67" s="15">
        <v>0</v>
      </c>
      <c r="WT67" s="15">
        <v>0</v>
      </c>
      <c r="WU67" s="15">
        <v>0</v>
      </c>
      <c r="WV67" s="15">
        <v>0</v>
      </c>
      <c r="WW67" s="15">
        <v>0</v>
      </c>
      <c r="WX67" s="15">
        <v>0</v>
      </c>
      <c r="WY67" s="15">
        <v>0</v>
      </c>
      <c r="WZ67" s="15">
        <v>0</v>
      </c>
      <c r="XA67" s="15">
        <v>0</v>
      </c>
      <c r="XB67" s="15">
        <v>0</v>
      </c>
      <c r="XC67" s="15">
        <v>0</v>
      </c>
      <c r="XD67" s="15">
        <v>0</v>
      </c>
      <c r="XE67" s="15">
        <v>0</v>
      </c>
      <c r="XF67" s="15">
        <v>0</v>
      </c>
      <c r="XG67" s="15">
        <v>0</v>
      </c>
      <c r="XH67" s="15">
        <v>0</v>
      </c>
      <c r="XI67" s="15">
        <v>0</v>
      </c>
      <c r="XJ67" s="15">
        <v>0</v>
      </c>
      <c r="XK67" s="15">
        <v>0</v>
      </c>
      <c r="XL67" s="15">
        <v>0</v>
      </c>
      <c r="XM67" s="15">
        <v>0</v>
      </c>
      <c r="XN67" s="15">
        <v>0</v>
      </c>
      <c r="XO67" s="15">
        <v>0</v>
      </c>
      <c r="XP67" s="15">
        <v>0</v>
      </c>
      <c r="XQ67" s="15">
        <v>0</v>
      </c>
      <c r="XR67" s="15">
        <v>0</v>
      </c>
      <c r="XS67" s="15">
        <v>0</v>
      </c>
      <c r="XT67" s="15">
        <v>0</v>
      </c>
      <c r="XU67" s="15">
        <v>0</v>
      </c>
      <c r="XV67" s="15">
        <v>0</v>
      </c>
      <c r="XW67" s="15">
        <v>0</v>
      </c>
      <c r="XX67" s="15">
        <v>0</v>
      </c>
      <c r="XY67" s="15">
        <v>0</v>
      </c>
      <c r="XZ67" s="15">
        <v>0</v>
      </c>
      <c r="YA67" s="15">
        <v>0</v>
      </c>
      <c r="YB67" s="15">
        <v>0</v>
      </c>
      <c r="YC67" s="15">
        <v>0</v>
      </c>
      <c r="YD67" s="15">
        <v>0</v>
      </c>
      <c r="YE67" s="15">
        <v>0</v>
      </c>
      <c r="YF67" s="15">
        <v>0</v>
      </c>
      <c r="YG67" s="15">
        <v>0</v>
      </c>
      <c r="YH67" s="15">
        <v>0</v>
      </c>
      <c r="YI67" s="15">
        <v>0</v>
      </c>
      <c r="YJ67" s="15">
        <v>0</v>
      </c>
      <c r="YK67" s="15">
        <v>0</v>
      </c>
      <c r="YL67" s="15">
        <v>0</v>
      </c>
      <c r="YM67" s="15">
        <v>0</v>
      </c>
      <c r="YN67" s="15">
        <v>0</v>
      </c>
      <c r="YO67" s="15">
        <v>0</v>
      </c>
      <c r="YP67" s="15">
        <v>0</v>
      </c>
      <c r="YQ67" s="15">
        <v>0</v>
      </c>
      <c r="YR67" s="15">
        <v>0</v>
      </c>
      <c r="YS67" s="15">
        <v>0</v>
      </c>
      <c r="YT67" s="15">
        <v>0</v>
      </c>
      <c r="YU67" s="15">
        <v>0</v>
      </c>
      <c r="YV67" s="15">
        <v>0</v>
      </c>
      <c r="YW67" s="15">
        <v>0</v>
      </c>
      <c r="YX67" s="15">
        <v>0</v>
      </c>
      <c r="YY67" s="15">
        <v>0</v>
      </c>
      <c r="YZ67" s="15">
        <v>0</v>
      </c>
      <c r="ZA67" s="15">
        <v>0</v>
      </c>
      <c r="ZB67" s="15">
        <v>0</v>
      </c>
      <c r="ZC67" s="15">
        <v>0</v>
      </c>
      <c r="ZD67" s="15">
        <v>0</v>
      </c>
      <c r="ZE67" s="15">
        <v>0</v>
      </c>
      <c r="ZF67" s="15">
        <v>0</v>
      </c>
      <c r="ZG67" s="15">
        <v>0</v>
      </c>
      <c r="ZH67" s="15">
        <v>0</v>
      </c>
      <c r="ZI67" s="15">
        <v>0</v>
      </c>
      <c r="ZJ67" s="15">
        <v>0</v>
      </c>
      <c r="ZK67" s="15">
        <v>0</v>
      </c>
      <c r="ZL67" s="15">
        <v>0</v>
      </c>
      <c r="ZM67" s="15">
        <v>0</v>
      </c>
      <c r="ZN67" s="15">
        <v>0</v>
      </c>
      <c r="ZO67" s="15">
        <v>0</v>
      </c>
      <c r="ZP67" s="15">
        <v>0</v>
      </c>
      <c r="ZQ67" s="15">
        <v>0</v>
      </c>
      <c r="ZR67" s="15">
        <v>0</v>
      </c>
      <c r="ZS67" s="15">
        <v>0</v>
      </c>
      <c r="ZT67" s="15">
        <v>0</v>
      </c>
      <c r="ZU67" s="15">
        <v>0</v>
      </c>
      <c r="ZV67" s="15">
        <v>0</v>
      </c>
      <c r="ZW67" s="15">
        <v>0</v>
      </c>
      <c r="ZX67" s="15">
        <v>0</v>
      </c>
      <c r="ZY67" s="15">
        <v>0</v>
      </c>
      <c r="ZZ67" s="15">
        <v>0</v>
      </c>
      <c r="AAA67" s="15">
        <v>0</v>
      </c>
      <c r="AAB67" s="15">
        <v>0</v>
      </c>
      <c r="AAC67" s="15">
        <v>0</v>
      </c>
      <c r="AAD67" s="15">
        <v>0</v>
      </c>
      <c r="AAE67" s="15">
        <v>0</v>
      </c>
      <c r="AAF67" s="15">
        <v>0</v>
      </c>
      <c r="AAG67" s="15">
        <v>0</v>
      </c>
      <c r="AAH67" s="15">
        <v>0</v>
      </c>
      <c r="AAI67" s="15">
        <v>0</v>
      </c>
      <c r="AAJ67" s="15">
        <v>0</v>
      </c>
      <c r="AAK67" s="15">
        <v>0</v>
      </c>
      <c r="AAL67" s="15"/>
      <c r="AAM67" s="15">
        <v>0</v>
      </c>
      <c r="AAN67" s="15">
        <v>0</v>
      </c>
      <c r="AAO67" s="15">
        <v>0</v>
      </c>
      <c r="AAP67" s="15">
        <v>0</v>
      </c>
      <c r="AAQ67" s="15">
        <v>0</v>
      </c>
      <c r="AAR67" s="15">
        <v>0</v>
      </c>
      <c r="AAS67" s="15">
        <v>0</v>
      </c>
      <c r="AAT67" s="15">
        <v>0</v>
      </c>
      <c r="AAU67" s="15">
        <v>0</v>
      </c>
      <c r="AAV67" s="15">
        <v>0</v>
      </c>
      <c r="AAW67" s="15">
        <v>0</v>
      </c>
      <c r="AAX67" s="15"/>
      <c r="AAY67" s="15">
        <v>0</v>
      </c>
      <c r="AAZ67" s="15">
        <v>0</v>
      </c>
      <c r="ABA67" s="15">
        <v>0</v>
      </c>
      <c r="ABB67" s="15">
        <v>0</v>
      </c>
      <c r="ABC67" s="15">
        <v>0</v>
      </c>
      <c r="ABD67" s="15">
        <v>0</v>
      </c>
      <c r="ABE67" s="15">
        <v>0</v>
      </c>
      <c r="ABF67" s="15">
        <v>0</v>
      </c>
      <c r="ABG67" s="15">
        <v>0</v>
      </c>
      <c r="ABH67" s="15">
        <v>0</v>
      </c>
      <c r="ABI67" s="15">
        <v>0</v>
      </c>
      <c r="ABJ67" s="15">
        <v>0</v>
      </c>
      <c r="ABK67" s="15">
        <v>0</v>
      </c>
      <c r="ABL67" s="15">
        <v>0</v>
      </c>
      <c r="ABM67" s="15">
        <v>0</v>
      </c>
      <c r="ABN67" s="15">
        <v>0</v>
      </c>
      <c r="ABO67" s="15">
        <v>0</v>
      </c>
      <c r="ABP67" s="15">
        <v>0</v>
      </c>
      <c r="ABQ67" s="15">
        <v>0</v>
      </c>
      <c r="ABR67" s="15">
        <v>0</v>
      </c>
      <c r="ABS67" s="15">
        <v>0</v>
      </c>
      <c r="ABT67" s="15">
        <v>0</v>
      </c>
      <c r="ABU67" s="15">
        <v>0</v>
      </c>
      <c r="ABV67" s="15">
        <v>0</v>
      </c>
      <c r="ABW67" s="15">
        <v>0</v>
      </c>
      <c r="ABX67" s="15">
        <v>0</v>
      </c>
      <c r="ABY67" s="15">
        <v>0</v>
      </c>
      <c r="ABZ67" s="15">
        <v>0</v>
      </c>
      <c r="ACA67" s="15">
        <v>0</v>
      </c>
      <c r="ACB67" s="15">
        <v>0</v>
      </c>
      <c r="ACC67" s="15">
        <v>0</v>
      </c>
      <c r="ACD67" s="15">
        <v>0</v>
      </c>
      <c r="ACE67" s="15">
        <v>0</v>
      </c>
      <c r="ACF67" s="15">
        <v>0</v>
      </c>
      <c r="ACG67" s="15">
        <v>0</v>
      </c>
      <c r="ACH67" s="15">
        <v>0</v>
      </c>
      <c r="ACI67" s="15">
        <v>0</v>
      </c>
      <c r="ACJ67" s="15">
        <v>0</v>
      </c>
      <c r="ACK67" s="15">
        <v>0</v>
      </c>
      <c r="ACL67" s="15">
        <v>0</v>
      </c>
      <c r="ACM67" s="15">
        <v>0</v>
      </c>
      <c r="ACN67" s="15">
        <v>0</v>
      </c>
      <c r="ACO67" s="15">
        <v>0</v>
      </c>
      <c r="ACP67" s="15">
        <v>0</v>
      </c>
      <c r="ACQ67" s="15">
        <v>0</v>
      </c>
      <c r="ACR67" s="15">
        <v>0</v>
      </c>
      <c r="ACS67" s="15">
        <v>0</v>
      </c>
      <c r="ACT67" s="15">
        <v>0</v>
      </c>
      <c r="ACU67" s="15">
        <v>0</v>
      </c>
      <c r="ACV67" s="15">
        <v>0</v>
      </c>
      <c r="ACW67" s="15">
        <v>0</v>
      </c>
      <c r="ACX67" s="15">
        <v>0</v>
      </c>
      <c r="ACY67" s="15">
        <v>0</v>
      </c>
      <c r="ACZ67" s="15">
        <v>0</v>
      </c>
      <c r="ADA67" s="15">
        <v>0</v>
      </c>
      <c r="ADB67" s="15">
        <v>0</v>
      </c>
      <c r="ADC67" s="15">
        <v>0</v>
      </c>
      <c r="ADD67" s="15">
        <v>0</v>
      </c>
      <c r="ADE67" s="15">
        <v>0</v>
      </c>
      <c r="ADF67" s="15">
        <v>0</v>
      </c>
      <c r="ADG67" s="15">
        <v>0</v>
      </c>
      <c r="ADH67" s="15"/>
      <c r="ADI67" s="15">
        <v>0</v>
      </c>
      <c r="ADJ67" s="15">
        <v>0</v>
      </c>
      <c r="ADK67" s="15">
        <v>0</v>
      </c>
      <c r="ADL67" s="15">
        <v>0</v>
      </c>
      <c r="ADM67" s="15">
        <v>0</v>
      </c>
      <c r="ADN67" s="15">
        <v>0</v>
      </c>
      <c r="ADO67" s="15">
        <v>0</v>
      </c>
      <c r="ADP67" s="15">
        <v>0</v>
      </c>
      <c r="ADQ67" s="15">
        <v>0</v>
      </c>
      <c r="ADR67" s="15">
        <v>0</v>
      </c>
      <c r="ADS67" s="15">
        <v>0</v>
      </c>
      <c r="ADT67" s="15">
        <v>0</v>
      </c>
      <c r="ADU67" s="15">
        <v>0</v>
      </c>
      <c r="ADV67" s="15">
        <v>0</v>
      </c>
      <c r="ADW67" s="15">
        <v>0</v>
      </c>
      <c r="ADX67" s="15">
        <v>0</v>
      </c>
      <c r="ADY67" s="15">
        <v>0</v>
      </c>
      <c r="ADZ67" s="15">
        <v>0</v>
      </c>
      <c r="AEA67" s="15">
        <v>0</v>
      </c>
      <c r="AEB67" s="15">
        <v>0</v>
      </c>
      <c r="AEC67" s="15">
        <v>0</v>
      </c>
      <c r="AED67" s="15">
        <v>0</v>
      </c>
      <c r="AEE67" s="15">
        <v>0</v>
      </c>
      <c r="AEF67" s="15">
        <v>0</v>
      </c>
      <c r="AEG67" s="15">
        <v>0</v>
      </c>
      <c r="AEH67" s="15">
        <v>0</v>
      </c>
      <c r="AEI67" s="15">
        <v>0</v>
      </c>
      <c r="AEJ67" s="15">
        <v>0</v>
      </c>
      <c r="AEK67" s="15">
        <v>0</v>
      </c>
      <c r="AEL67" s="15">
        <v>0</v>
      </c>
      <c r="AEM67" s="15">
        <v>0</v>
      </c>
      <c r="AEN67" s="15">
        <v>0</v>
      </c>
      <c r="AEO67" s="15">
        <v>0</v>
      </c>
      <c r="AEP67" s="15">
        <v>0</v>
      </c>
      <c r="AEQ67" s="15">
        <v>0</v>
      </c>
      <c r="AER67" s="15">
        <v>0</v>
      </c>
      <c r="AES67" s="15">
        <v>0</v>
      </c>
      <c r="AET67" s="15">
        <v>0</v>
      </c>
      <c r="AEU67" s="15">
        <v>0</v>
      </c>
      <c r="AEV67" s="15">
        <v>0</v>
      </c>
      <c r="AEW67" s="15">
        <v>0</v>
      </c>
      <c r="AEX67" s="15">
        <v>0</v>
      </c>
      <c r="AEY67" s="15">
        <v>0</v>
      </c>
      <c r="AEZ67" s="15">
        <v>0</v>
      </c>
      <c r="AFA67" s="15">
        <v>0</v>
      </c>
      <c r="AFB67" s="15">
        <v>0</v>
      </c>
      <c r="AFC67" s="15">
        <v>0</v>
      </c>
      <c r="AFD67" s="15">
        <v>0</v>
      </c>
      <c r="AFE67" s="15">
        <v>0</v>
      </c>
      <c r="AFF67" s="15">
        <v>0</v>
      </c>
      <c r="AFG67" s="15">
        <v>0</v>
      </c>
      <c r="AFH67" s="15">
        <v>0</v>
      </c>
      <c r="AFI67" s="15">
        <v>0</v>
      </c>
      <c r="AFJ67" s="15">
        <v>0</v>
      </c>
      <c r="AFK67" s="15">
        <v>0</v>
      </c>
      <c r="AFL67" s="15">
        <v>0</v>
      </c>
      <c r="AFM67" s="15">
        <v>0</v>
      </c>
      <c r="AFN67" s="15">
        <v>0</v>
      </c>
      <c r="AFO67" s="15">
        <v>0</v>
      </c>
      <c r="AFP67" s="15">
        <v>0</v>
      </c>
      <c r="AFQ67" s="15">
        <v>0</v>
      </c>
      <c r="AFR67" s="15"/>
      <c r="AFS67" s="15">
        <v>0</v>
      </c>
      <c r="AFT67" s="15">
        <v>0</v>
      </c>
      <c r="AFU67" s="15">
        <v>0</v>
      </c>
      <c r="AFV67" s="15">
        <v>0</v>
      </c>
      <c r="AFW67" s="15">
        <v>0</v>
      </c>
      <c r="AFX67" s="15">
        <v>0</v>
      </c>
      <c r="AFY67" s="15">
        <v>0</v>
      </c>
      <c r="AFZ67" s="15">
        <v>0</v>
      </c>
      <c r="AGA67" s="15">
        <v>0</v>
      </c>
      <c r="AGB67" s="15">
        <v>0</v>
      </c>
      <c r="AGC67" s="15">
        <v>0</v>
      </c>
      <c r="AGD67" s="15">
        <v>0</v>
      </c>
      <c r="AGE67" s="15">
        <v>0</v>
      </c>
      <c r="AGF67" s="15">
        <v>0</v>
      </c>
      <c r="AGG67" s="15">
        <v>0</v>
      </c>
      <c r="AGH67" s="15">
        <v>0</v>
      </c>
      <c r="AGI67" s="15">
        <v>0</v>
      </c>
      <c r="AGJ67" s="15">
        <v>0</v>
      </c>
      <c r="AGK67" s="15">
        <v>0</v>
      </c>
      <c r="AGL67" s="15">
        <v>0</v>
      </c>
      <c r="AGM67" s="15">
        <v>0</v>
      </c>
      <c r="AGN67" s="15">
        <v>0</v>
      </c>
      <c r="AGO67" s="15">
        <v>0</v>
      </c>
      <c r="AGP67" s="15">
        <v>0</v>
      </c>
      <c r="AGQ67" s="15">
        <v>0</v>
      </c>
      <c r="AGR67" s="15">
        <v>0</v>
      </c>
      <c r="AGS67" s="15">
        <v>0</v>
      </c>
      <c r="AGT67" s="15">
        <v>0</v>
      </c>
      <c r="AGU67" s="15">
        <v>0</v>
      </c>
      <c r="AGV67" s="15">
        <v>0</v>
      </c>
      <c r="AGW67" s="15">
        <v>0</v>
      </c>
      <c r="AGX67" s="15">
        <v>0</v>
      </c>
      <c r="AGY67" s="15">
        <v>0</v>
      </c>
      <c r="AGZ67" s="15">
        <v>0</v>
      </c>
      <c r="AHA67" s="15">
        <v>0</v>
      </c>
      <c r="AHB67" s="15">
        <v>0</v>
      </c>
      <c r="AHC67" s="15">
        <v>0</v>
      </c>
      <c r="AHD67" s="15">
        <v>0</v>
      </c>
      <c r="AHE67" s="15">
        <v>0</v>
      </c>
      <c r="AHF67" s="15">
        <v>0</v>
      </c>
      <c r="AHG67" s="15">
        <v>0</v>
      </c>
      <c r="AHH67" s="15">
        <v>0</v>
      </c>
      <c r="AHI67" s="15">
        <v>0</v>
      </c>
      <c r="AHJ67" s="15">
        <v>0</v>
      </c>
      <c r="AHK67" s="15">
        <v>0</v>
      </c>
      <c r="AHL67" s="15">
        <v>0</v>
      </c>
      <c r="AHM67" s="15">
        <v>0</v>
      </c>
      <c r="AHN67" s="15">
        <v>0</v>
      </c>
      <c r="AHO67" s="15">
        <v>0</v>
      </c>
      <c r="AHP67" s="15">
        <v>0</v>
      </c>
      <c r="AHQ67" s="15">
        <v>0</v>
      </c>
      <c r="AHR67" s="15">
        <v>0</v>
      </c>
      <c r="AHS67" s="15">
        <v>0</v>
      </c>
      <c r="AHT67" s="15">
        <v>0</v>
      </c>
      <c r="AHU67" s="15">
        <v>0</v>
      </c>
      <c r="AHV67" s="15">
        <v>0</v>
      </c>
      <c r="AHW67" s="15">
        <v>0</v>
      </c>
      <c r="AHX67" s="15">
        <v>0</v>
      </c>
      <c r="AHY67" s="15">
        <v>0</v>
      </c>
      <c r="AHZ67" s="15">
        <v>0</v>
      </c>
      <c r="AIA67" s="15">
        <v>0</v>
      </c>
      <c r="AIB67" s="15">
        <v>0</v>
      </c>
      <c r="AIC67" s="15">
        <v>0</v>
      </c>
      <c r="AID67" s="15">
        <v>0</v>
      </c>
      <c r="AIE67" s="15">
        <v>0</v>
      </c>
      <c r="AIF67" s="15">
        <v>0</v>
      </c>
      <c r="AIG67" s="15">
        <v>0</v>
      </c>
      <c r="AIH67" s="15">
        <v>0</v>
      </c>
      <c r="AII67" s="15">
        <v>0</v>
      </c>
      <c r="AIJ67" s="15">
        <v>0</v>
      </c>
      <c r="AIK67" s="15">
        <v>0</v>
      </c>
      <c r="AIL67" s="15">
        <v>0</v>
      </c>
      <c r="AIM67" s="15">
        <v>0</v>
      </c>
      <c r="AIN67" s="15">
        <v>0</v>
      </c>
      <c r="AIO67" s="15">
        <v>0</v>
      </c>
      <c r="AIP67" s="15">
        <v>0</v>
      </c>
      <c r="AIQ67" s="15">
        <v>0</v>
      </c>
      <c r="AIR67" s="15">
        <v>0</v>
      </c>
      <c r="AIS67" s="15">
        <v>0</v>
      </c>
      <c r="AIT67" s="15">
        <v>0</v>
      </c>
      <c r="AIU67" s="15">
        <v>0</v>
      </c>
      <c r="AIV67" s="15">
        <v>0</v>
      </c>
      <c r="AIW67" s="15">
        <v>1</v>
      </c>
      <c r="AIX67" s="15">
        <v>1</v>
      </c>
      <c r="AIY67" s="15">
        <v>1</v>
      </c>
      <c r="AIZ67" s="15">
        <v>0</v>
      </c>
      <c r="AJA67" s="15">
        <v>0</v>
      </c>
      <c r="AJB67" s="15">
        <v>0</v>
      </c>
      <c r="AJC67" s="15">
        <v>0</v>
      </c>
      <c r="AJD67" s="15">
        <v>0</v>
      </c>
      <c r="AJE67" s="15">
        <v>0</v>
      </c>
      <c r="AJF67" s="15"/>
      <c r="AJG67" s="15">
        <v>0</v>
      </c>
      <c r="AJH67" s="15">
        <v>0</v>
      </c>
      <c r="AJI67" s="15">
        <v>0</v>
      </c>
      <c r="AJJ67" s="15">
        <v>0</v>
      </c>
      <c r="AJK67" s="15">
        <v>0</v>
      </c>
      <c r="AJL67" s="15">
        <v>0</v>
      </c>
      <c r="AJM67" s="15">
        <v>0</v>
      </c>
      <c r="AJN67" s="15"/>
      <c r="AJO67" s="15">
        <v>0</v>
      </c>
      <c r="AJP67" s="15">
        <v>0</v>
      </c>
      <c r="AJQ67" s="15">
        <v>0</v>
      </c>
      <c r="AJR67" s="15">
        <v>0</v>
      </c>
      <c r="AJS67" s="15">
        <v>0</v>
      </c>
      <c r="AJT67" s="15">
        <v>0</v>
      </c>
      <c r="AJU67" s="15">
        <v>0</v>
      </c>
      <c r="AJV67" s="15">
        <v>0</v>
      </c>
      <c r="AJW67" s="15">
        <v>0</v>
      </c>
      <c r="AJX67" s="15"/>
      <c r="AJY67" s="15">
        <v>0</v>
      </c>
      <c r="AJZ67" s="15">
        <v>0</v>
      </c>
      <c r="AKA67" s="15">
        <v>0</v>
      </c>
      <c r="AKB67" s="15">
        <v>0</v>
      </c>
      <c r="AKC67" s="15">
        <v>0</v>
      </c>
      <c r="AKD67" s="15">
        <v>0</v>
      </c>
      <c r="AKE67" s="15">
        <v>0</v>
      </c>
      <c r="AKF67" s="15">
        <v>0</v>
      </c>
      <c r="AKG67" s="15">
        <v>0</v>
      </c>
      <c r="AKH67" s="15">
        <v>0</v>
      </c>
      <c r="AKI67" s="15"/>
      <c r="AKJ67" s="15">
        <v>0</v>
      </c>
      <c r="AKK67" s="15">
        <v>0</v>
      </c>
      <c r="AKL67" s="15">
        <v>0</v>
      </c>
      <c r="AKM67" s="15">
        <v>0</v>
      </c>
      <c r="AKN67" s="15">
        <v>0</v>
      </c>
      <c r="AKO67" s="15">
        <v>0</v>
      </c>
      <c r="AKP67" s="15">
        <v>0</v>
      </c>
      <c r="AKQ67" s="15">
        <v>0</v>
      </c>
      <c r="AKR67" s="15">
        <v>0</v>
      </c>
      <c r="AKS67" s="15">
        <v>0</v>
      </c>
      <c r="AKT67" s="15">
        <v>0</v>
      </c>
      <c r="AKU67" s="15">
        <v>0</v>
      </c>
      <c r="AKV67" s="15">
        <v>0</v>
      </c>
      <c r="AKW67" s="15">
        <v>0</v>
      </c>
      <c r="AKX67" s="15"/>
      <c r="AKY67" s="15">
        <v>0</v>
      </c>
      <c r="AKZ67" s="15">
        <v>0</v>
      </c>
      <c r="ALA67" s="15">
        <v>0</v>
      </c>
      <c r="ALB67" s="15">
        <v>0</v>
      </c>
      <c r="ALC67" s="15">
        <v>0</v>
      </c>
      <c r="ALD67" s="15">
        <v>0</v>
      </c>
      <c r="ALE67" s="15">
        <v>0</v>
      </c>
      <c r="ALF67" s="15">
        <v>0</v>
      </c>
      <c r="ALG67" s="15">
        <v>0</v>
      </c>
      <c r="ALH67" s="15">
        <v>0</v>
      </c>
      <c r="ALI67" s="15">
        <v>0</v>
      </c>
      <c r="ALJ67" s="15">
        <v>0</v>
      </c>
      <c r="ALK67" s="15">
        <v>0</v>
      </c>
      <c r="ALL67" s="15">
        <v>0</v>
      </c>
      <c r="ALM67" s="15"/>
      <c r="ALN67" s="15">
        <v>0</v>
      </c>
      <c r="ALO67" s="15">
        <v>0</v>
      </c>
      <c r="ALP67" s="15">
        <v>0</v>
      </c>
      <c r="ALQ67" s="15">
        <v>0</v>
      </c>
      <c r="ALR67" s="15">
        <v>0</v>
      </c>
      <c r="ALS67" s="15">
        <v>0</v>
      </c>
      <c r="ALT67" s="15">
        <v>0</v>
      </c>
      <c r="ALU67" s="15">
        <v>0</v>
      </c>
      <c r="ALV67" s="15">
        <v>0</v>
      </c>
      <c r="ALW67" s="15">
        <v>0</v>
      </c>
      <c r="ALX67" s="15">
        <v>0</v>
      </c>
      <c r="ALY67" s="15">
        <v>0</v>
      </c>
      <c r="ALZ67" s="15">
        <v>0</v>
      </c>
      <c r="AMA67" s="15">
        <v>0</v>
      </c>
      <c r="AMB67" s="15">
        <v>0</v>
      </c>
      <c r="AMC67" s="15"/>
      <c r="AMD67" s="15">
        <v>0</v>
      </c>
      <c r="AME67" s="15">
        <v>0</v>
      </c>
      <c r="AMF67" s="15">
        <v>0</v>
      </c>
      <c r="AMG67" s="15">
        <v>0</v>
      </c>
      <c r="AMH67" s="15">
        <v>0</v>
      </c>
      <c r="AMI67" s="15">
        <v>0</v>
      </c>
      <c r="AMJ67" s="15">
        <v>0</v>
      </c>
      <c r="AMK67" s="15">
        <v>0</v>
      </c>
      <c r="AML67" s="15">
        <v>0</v>
      </c>
      <c r="AMM67" s="15">
        <v>0</v>
      </c>
      <c r="AMN67" s="15">
        <v>0</v>
      </c>
      <c r="AMO67" s="15">
        <v>0</v>
      </c>
      <c r="AMP67" s="15">
        <v>0</v>
      </c>
      <c r="AMQ67" s="15">
        <v>0</v>
      </c>
      <c r="AMR67" s="15">
        <v>0</v>
      </c>
      <c r="AMS67" s="15">
        <v>0</v>
      </c>
      <c r="AMT67" s="15">
        <v>0</v>
      </c>
      <c r="AMU67" s="15">
        <v>0</v>
      </c>
      <c r="AMV67" s="15">
        <v>0</v>
      </c>
      <c r="AMW67" s="15">
        <v>0</v>
      </c>
      <c r="AMX67" s="15">
        <v>0</v>
      </c>
      <c r="AMY67" s="15">
        <v>0</v>
      </c>
      <c r="AMZ67" s="15">
        <v>0</v>
      </c>
      <c r="ANA67" s="15">
        <v>0</v>
      </c>
      <c r="ANB67" s="15">
        <v>0</v>
      </c>
      <c r="ANC67" s="15">
        <v>0</v>
      </c>
      <c r="AND67" s="15">
        <v>0</v>
      </c>
      <c r="ANE67" s="15"/>
      <c r="ANF67" s="15"/>
      <c r="ANG67" s="15"/>
      <c r="ANH67" s="15"/>
      <c r="ANI67" s="15"/>
      <c r="ANJ67" s="15"/>
      <c r="ANK67" s="15"/>
      <c r="ANL67" s="15"/>
      <c r="ANM67" s="15"/>
      <c r="ANN67" s="15"/>
      <c r="ANO67" s="15"/>
      <c r="ANP67" s="15"/>
      <c r="ANQ67" s="15"/>
      <c r="ANR67" s="15"/>
      <c r="ANS67" s="15"/>
      <c r="ANT67" s="15"/>
      <c r="ANU67" s="15"/>
      <c r="ANV67" s="15"/>
      <c r="ANW67" s="15"/>
      <c r="ANX67" s="15"/>
      <c r="ANY67" s="15"/>
      <c r="ANZ67" s="15"/>
      <c r="AOA67" s="15"/>
      <c r="AOB67" s="15"/>
      <c r="AOC67" s="15"/>
      <c r="AOD67" s="15"/>
      <c r="AOE67" s="15"/>
      <c r="AOF67" s="15"/>
      <c r="AOG67" s="15"/>
      <c r="AOH67" s="15"/>
      <c r="AOI67" s="15"/>
      <c r="AOJ67" s="15"/>
      <c r="AOK67" s="15"/>
      <c r="AOL67" s="15"/>
      <c r="AOM67" s="15"/>
      <c r="AON67" s="15"/>
      <c r="AOO67" s="15"/>
      <c r="AOP67" s="15"/>
      <c r="AOQ67" s="15"/>
      <c r="AOR67" s="15"/>
      <c r="AOS67" s="15"/>
      <c r="AOT67" s="15"/>
      <c r="AOU67" s="15"/>
      <c r="AOV67" s="15"/>
      <c r="AOW67" s="15"/>
      <c r="AOX67" s="15"/>
      <c r="AOY67" s="15"/>
      <c r="AOZ67" s="15"/>
      <c r="APA67" s="15"/>
      <c r="APB67" s="15"/>
      <c r="APC67" s="15"/>
      <c r="APD67" s="15"/>
      <c r="APE67" s="15"/>
      <c r="APF67" s="15"/>
      <c r="APG67" s="15"/>
      <c r="APH67" s="15"/>
      <c r="API67" s="15"/>
      <c r="APJ67" s="15"/>
      <c r="APK67" s="15"/>
      <c r="APL67" s="15"/>
      <c r="APM67" s="15"/>
      <c r="APN67" s="15"/>
      <c r="APO67" s="15"/>
      <c r="APP67" s="15"/>
      <c r="APQ67" s="15"/>
      <c r="APR67" s="15"/>
      <c r="APS67" s="15"/>
      <c r="APT67" s="15"/>
      <c r="APU67" s="15"/>
      <c r="APV67" s="15"/>
      <c r="APW67" s="15"/>
      <c r="APX67" s="15"/>
      <c r="APY67" s="15"/>
      <c r="APZ67" s="15"/>
      <c r="AQA67" s="15"/>
      <c r="AQB67" s="15"/>
    </row>
    <row r="68" spans="1:1120" s="17" customFormat="1" ht="15" customHeight="1" x14ac:dyDescent="0.25">
      <c r="A68" s="11" t="s">
        <v>3</v>
      </c>
      <c r="B68" s="6" t="s">
        <v>57</v>
      </c>
      <c r="C68" s="15">
        <v>0</v>
      </c>
      <c r="D68" s="15">
        <v>0</v>
      </c>
      <c r="E68" s="15">
        <v>0</v>
      </c>
      <c r="F68" s="15">
        <v>0</v>
      </c>
      <c r="G68" s="15">
        <v>0</v>
      </c>
      <c r="H68" s="15">
        <v>0</v>
      </c>
      <c r="I68" s="15">
        <v>0</v>
      </c>
      <c r="J68" s="15"/>
      <c r="K68" s="15">
        <v>0</v>
      </c>
      <c r="L68" s="15">
        <v>0</v>
      </c>
      <c r="M68" s="15">
        <v>0</v>
      </c>
      <c r="N68" s="15">
        <v>0</v>
      </c>
      <c r="O68" s="15">
        <v>0</v>
      </c>
      <c r="P68" s="15">
        <v>0</v>
      </c>
      <c r="Q68" s="15"/>
      <c r="R68" s="15">
        <v>0</v>
      </c>
      <c r="S68" s="15">
        <v>0</v>
      </c>
      <c r="T68" s="15">
        <v>0</v>
      </c>
      <c r="U68" s="15">
        <v>0</v>
      </c>
      <c r="V68" s="15">
        <v>0</v>
      </c>
      <c r="W68" s="15">
        <v>0</v>
      </c>
      <c r="X68" s="15"/>
      <c r="Y68" s="15">
        <v>0</v>
      </c>
      <c r="Z68" s="15">
        <v>0</v>
      </c>
      <c r="AA68" s="15">
        <v>0</v>
      </c>
      <c r="AB68" s="15">
        <v>0</v>
      </c>
      <c r="AC68" s="15">
        <v>0</v>
      </c>
      <c r="AD68" s="15">
        <v>0</v>
      </c>
      <c r="AE68" s="15"/>
      <c r="AF68" s="15">
        <v>0</v>
      </c>
      <c r="AG68" s="15">
        <v>0</v>
      </c>
      <c r="AH68" s="15">
        <v>0</v>
      </c>
      <c r="AI68" s="15">
        <v>0</v>
      </c>
      <c r="AJ68" s="15">
        <v>0</v>
      </c>
      <c r="AK68" s="15">
        <v>0</v>
      </c>
      <c r="AL68" s="15"/>
      <c r="AM68" s="15">
        <v>0</v>
      </c>
      <c r="AN68" s="15">
        <v>0</v>
      </c>
      <c r="AO68" s="15">
        <v>0</v>
      </c>
      <c r="AP68" s="15">
        <v>0</v>
      </c>
      <c r="AQ68" s="15">
        <v>0</v>
      </c>
      <c r="AR68" s="15">
        <v>0</v>
      </c>
      <c r="AS68" s="15">
        <v>0</v>
      </c>
      <c r="AT68" s="15">
        <v>0</v>
      </c>
      <c r="AU68" s="15">
        <v>0</v>
      </c>
      <c r="AV68" s="15">
        <v>0</v>
      </c>
      <c r="AW68" s="15">
        <v>0</v>
      </c>
      <c r="AX68" s="15">
        <v>0</v>
      </c>
      <c r="AY68" s="15">
        <v>0</v>
      </c>
      <c r="AZ68" s="15">
        <v>0</v>
      </c>
      <c r="BA68" s="15">
        <v>0</v>
      </c>
      <c r="BB68" s="15">
        <v>0</v>
      </c>
      <c r="BC68" s="15">
        <v>0</v>
      </c>
      <c r="BD68" s="15">
        <v>0</v>
      </c>
      <c r="BE68" s="15">
        <v>0</v>
      </c>
      <c r="BF68" s="15">
        <v>0</v>
      </c>
      <c r="BG68" s="15">
        <v>0</v>
      </c>
      <c r="BH68" s="15">
        <v>0</v>
      </c>
      <c r="BI68" s="15">
        <v>0</v>
      </c>
      <c r="BJ68" s="15">
        <v>0</v>
      </c>
      <c r="BK68" s="15">
        <v>0</v>
      </c>
      <c r="BL68" s="15">
        <v>0</v>
      </c>
      <c r="BM68" s="15">
        <v>0</v>
      </c>
      <c r="BN68" s="15">
        <v>0</v>
      </c>
      <c r="BO68" s="15">
        <v>0</v>
      </c>
      <c r="BP68" s="15">
        <v>0</v>
      </c>
      <c r="BQ68" s="15">
        <v>0</v>
      </c>
      <c r="BR68" s="15">
        <v>0</v>
      </c>
      <c r="BS68" s="15">
        <v>0</v>
      </c>
      <c r="BT68" s="15">
        <v>0</v>
      </c>
      <c r="BU68" s="15">
        <v>0</v>
      </c>
      <c r="BV68" s="15">
        <v>0</v>
      </c>
      <c r="BW68" s="15">
        <v>0</v>
      </c>
      <c r="BX68" s="15">
        <v>0</v>
      </c>
      <c r="BY68" s="15">
        <v>0</v>
      </c>
      <c r="BZ68" s="15">
        <v>0</v>
      </c>
      <c r="CA68" s="15">
        <v>0</v>
      </c>
      <c r="CB68" s="15">
        <v>0</v>
      </c>
      <c r="CC68" s="15">
        <v>0</v>
      </c>
      <c r="CD68" s="15">
        <v>0</v>
      </c>
      <c r="CE68" s="15">
        <v>0</v>
      </c>
      <c r="CF68" s="15">
        <v>0</v>
      </c>
      <c r="CG68" s="15">
        <v>0</v>
      </c>
      <c r="CH68" s="15">
        <v>0</v>
      </c>
      <c r="CI68" s="15">
        <v>0</v>
      </c>
      <c r="CJ68" s="15">
        <v>0</v>
      </c>
      <c r="CK68" s="15">
        <v>0</v>
      </c>
      <c r="CL68" s="15">
        <v>0</v>
      </c>
      <c r="CM68" s="15">
        <v>0</v>
      </c>
      <c r="CN68" s="15">
        <v>0</v>
      </c>
      <c r="CO68" s="15">
        <v>0</v>
      </c>
      <c r="CP68" s="15">
        <v>0</v>
      </c>
      <c r="CQ68" s="15">
        <v>0</v>
      </c>
      <c r="CR68" s="15">
        <v>0</v>
      </c>
      <c r="CS68" s="15">
        <v>0</v>
      </c>
      <c r="CT68" s="15">
        <v>0</v>
      </c>
      <c r="CU68" s="15">
        <v>0</v>
      </c>
      <c r="CV68" s="15">
        <v>0</v>
      </c>
      <c r="CW68" s="15">
        <v>0</v>
      </c>
      <c r="CX68" s="15">
        <v>0</v>
      </c>
      <c r="CY68" s="15">
        <v>0</v>
      </c>
      <c r="CZ68" s="15">
        <v>0</v>
      </c>
      <c r="DA68" s="15">
        <v>0</v>
      </c>
      <c r="DB68" s="15">
        <v>0</v>
      </c>
      <c r="DC68" s="15">
        <v>0</v>
      </c>
      <c r="DD68" s="15">
        <v>0</v>
      </c>
      <c r="DE68" s="15">
        <v>0</v>
      </c>
      <c r="DF68" s="15">
        <v>0</v>
      </c>
      <c r="DG68" s="15">
        <v>0</v>
      </c>
      <c r="DH68" s="15">
        <v>0</v>
      </c>
      <c r="DI68" s="15">
        <v>0</v>
      </c>
      <c r="DJ68" s="15">
        <v>0</v>
      </c>
      <c r="DK68" s="15">
        <v>0</v>
      </c>
      <c r="DL68" s="15">
        <v>0</v>
      </c>
      <c r="DM68" s="15">
        <v>0</v>
      </c>
      <c r="DN68" s="15">
        <v>0</v>
      </c>
      <c r="DO68" s="15">
        <v>0</v>
      </c>
      <c r="DP68" s="15">
        <v>0</v>
      </c>
      <c r="DQ68" s="15">
        <v>0</v>
      </c>
      <c r="DR68" s="15">
        <v>0</v>
      </c>
      <c r="DS68" s="15">
        <v>0</v>
      </c>
      <c r="DT68" s="15">
        <v>0</v>
      </c>
      <c r="DU68" s="15">
        <v>0</v>
      </c>
      <c r="DV68" s="15">
        <v>0</v>
      </c>
      <c r="DW68" s="15">
        <v>0</v>
      </c>
      <c r="DX68" s="15">
        <v>0</v>
      </c>
      <c r="DY68" s="15">
        <v>0</v>
      </c>
      <c r="DZ68" s="15">
        <v>0</v>
      </c>
      <c r="EA68" s="15">
        <v>0</v>
      </c>
      <c r="EB68" s="15">
        <v>0</v>
      </c>
      <c r="EC68" s="15">
        <v>0</v>
      </c>
      <c r="ED68" s="15">
        <v>0</v>
      </c>
      <c r="EE68" s="15">
        <v>0</v>
      </c>
      <c r="EF68" s="15">
        <v>0</v>
      </c>
      <c r="EG68" s="15">
        <v>0</v>
      </c>
      <c r="EH68" s="15">
        <v>0</v>
      </c>
      <c r="EI68" s="15">
        <v>0</v>
      </c>
      <c r="EJ68" s="15">
        <v>0</v>
      </c>
      <c r="EK68" s="15">
        <v>0</v>
      </c>
      <c r="EL68" s="15">
        <v>0</v>
      </c>
      <c r="EM68" s="15">
        <v>0</v>
      </c>
      <c r="EN68" s="15">
        <v>0</v>
      </c>
      <c r="EO68" s="15">
        <v>0</v>
      </c>
      <c r="EP68" s="15">
        <v>0</v>
      </c>
      <c r="EQ68" s="15">
        <v>0</v>
      </c>
      <c r="ER68" s="15">
        <v>0</v>
      </c>
      <c r="ES68" s="15">
        <v>0</v>
      </c>
      <c r="ET68" s="15">
        <v>0</v>
      </c>
      <c r="EU68" s="15">
        <v>0</v>
      </c>
      <c r="EV68" s="15">
        <v>0</v>
      </c>
      <c r="EW68" s="15">
        <v>0</v>
      </c>
      <c r="EX68" s="15">
        <v>0</v>
      </c>
      <c r="EY68" s="15">
        <v>0</v>
      </c>
      <c r="EZ68" s="15">
        <v>0</v>
      </c>
      <c r="FA68" s="15">
        <v>0</v>
      </c>
      <c r="FB68" s="15">
        <v>0</v>
      </c>
      <c r="FC68" s="15">
        <v>0</v>
      </c>
      <c r="FD68" s="15"/>
      <c r="FE68" s="15">
        <v>0</v>
      </c>
      <c r="FF68" s="15">
        <v>0</v>
      </c>
      <c r="FG68" s="15">
        <v>0</v>
      </c>
      <c r="FH68" s="15">
        <v>0</v>
      </c>
      <c r="FI68" s="15">
        <v>0</v>
      </c>
      <c r="FJ68" s="15">
        <v>0</v>
      </c>
      <c r="FK68" s="15">
        <v>0</v>
      </c>
      <c r="FL68" s="15">
        <v>0</v>
      </c>
      <c r="FM68" s="15">
        <v>0</v>
      </c>
      <c r="FN68" s="15">
        <v>0</v>
      </c>
      <c r="FO68" s="15">
        <v>0</v>
      </c>
      <c r="FP68" s="15">
        <v>0</v>
      </c>
      <c r="FQ68" s="15">
        <v>0</v>
      </c>
      <c r="FR68" s="15">
        <v>0</v>
      </c>
      <c r="FS68" s="15">
        <v>0</v>
      </c>
      <c r="FT68" s="15">
        <v>0</v>
      </c>
      <c r="FU68" s="15">
        <v>0</v>
      </c>
      <c r="FV68" s="15">
        <v>0</v>
      </c>
      <c r="FW68" s="15">
        <v>0</v>
      </c>
      <c r="FX68" s="15">
        <v>0</v>
      </c>
      <c r="FY68" s="15">
        <v>0</v>
      </c>
      <c r="FZ68" s="15">
        <v>0</v>
      </c>
      <c r="GA68" s="15">
        <v>0</v>
      </c>
      <c r="GB68" s="15">
        <v>0</v>
      </c>
      <c r="GC68" s="15">
        <v>0</v>
      </c>
      <c r="GD68" s="15">
        <v>0</v>
      </c>
      <c r="GE68" s="15">
        <v>0</v>
      </c>
      <c r="GF68" s="15">
        <v>0</v>
      </c>
      <c r="GG68" s="15">
        <v>0</v>
      </c>
      <c r="GH68" s="15">
        <v>0</v>
      </c>
      <c r="GI68" s="15">
        <v>0</v>
      </c>
      <c r="GJ68" s="15">
        <v>0</v>
      </c>
      <c r="GK68" s="15">
        <v>0</v>
      </c>
      <c r="GL68" s="15">
        <v>0</v>
      </c>
      <c r="GM68" s="15">
        <v>0</v>
      </c>
      <c r="GN68" s="15">
        <v>0</v>
      </c>
      <c r="GO68" s="15">
        <v>0</v>
      </c>
      <c r="GP68" s="15">
        <v>0</v>
      </c>
      <c r="GQ68" s="15">
        <v>0</v>
      </c>
      <c r="GR68" s="15">
        <v>0</v>
      </c>
      <c r="GS68" s="15">
        <v>0</v>
      </c>
      <c r="GT68" s="15">
        <v>0</v>
      </c>
      <c r="GU68" s="15">
        <v>0</v>
      </c>
      <c r="GV68" s="15">
        <v>0</v>
      </c>
      <c r="GW68" s="15">
        <v>0</v>
      </c>
      <c r="GX68" s="15">
        <v>0</v>
      </c>
      <c r="GY68" s="15">
        <v>0</v>
      </c>
      <c r="GZ68" s="15">
        <v>0</v>
      </c>
      <c r="HA68" s="15">
        <v>0</v>
      </c>
      <c r="HB68" s="15">
        <v>0</v>
      </c>
      <c r="HC68" s="15">
        <v>0</v>
      </c>
      <c r="HD68" s="15">
        <v>0</v>
      </c>
      <c r="HE68" s="15">
        <v>0</v>
      </c>
      <c r="HF68" s="15">
        <v>0</v>
      </c>
      <c r="HG68" s="15">
        <v>0</v>
      </c>
      <c r="HH68" s="15">
        <v>0</v>
      </c>
      <c r="HI68" s="15">
        <v>0</v>
      </c>
      <c r="HJ68" s="15">
        <v>0</v>
      </c>
      <c r="HK68" s="15">
        <v>0</v>
      </c>
      <c r="HL68" s="15">
        <v>0</v>
      </c>
      <c r="HM68" s="15">
        <v>0</v>
      </c>
      <c r="HN68" s="15">
        <v>0</v>
      </c>
      <c r="HO68" s="15">
        <v>0</v>
      </c>
      <c r="HP68" s="15">
        <v>0</v>
      </c>
      <c r="HQ68" s="15">
        <v>0</v>
      </c>
      <c r="HR68" s="15">
        <v>0</v>
      </c>
      <c r="HS68" s="15">
        <v>0</v>
      </c>
      <c r="HT68" s="15">
        <v>0</v>
      </c>
      <c r="HU68" s="15">
        <v>0</v>
      </c>
      <c r="HV68" s="15">
        <v>0</v>
      </c>
      <c r="HW68" s="15">
        <v>0</v>
      </c>
      <c r="HX68" s="15">
        <v>0</v>
      </c>
      <c r="HY68" s="15">
        <v>0</v>
      </c>
      <c r="HZ68" s="15">
        <v>0</v>
      </c>
      <c r="IA68" s="15">
        <v>0</v>
      </c>
      <c r="IB68" s="15"/>
      <c r="IC68" s="15">
        <v>0</v>
      </c>
      <c r="ID68" s="15">
        <v>0</v>
      </c>
      <c r="IE68" s="15">
        <v>0</v>
      </c>
      <c r="IF68" s="15">
        <v>0</v>
      </c>
      <c r="IG68" s="15">
        <v>0</v>
      </c>
      <c r="IH68" s="15">
        <v>0</v>
      </c>
      <c r="II68" s="15">
        <v>0</v>
      </c>
      <c r="IJ68" s="15">
        <v>0</v>
      </c>
      <c r="IK68" s="15"/>
      <c r="IL68" s="15">
        <v>0</v>
      </c>
      <c r="IM68" s="15">
        <v>0</v>
      </c>
      <c r="IN68" s="15">
        <v>0</v>
      </c>
      <c r="IO68" s="15">
        <v>0</v>
      </c>
      <c r="IP68" s="15">
        <v>0</v>
      </c>
      <c r="IQ68" s="15">
        <v>0</v>
      </c>
      <c r="IR68" s="15">
        <v>0</v>
      </c>
      <c r="IS68" s="15">
        <v>0</v>
      </c>
      <c r="IT68" s="15">
        <v>0</v>
      </c>
      <c r="IU68" s="15">
        <v>0</v>
      </c>
      <c r="IV68" s="15">
        <v>0</v>
      </c>
      <c r="IW68" s="15">
        <v>0</v>
      </c>
      <c r="IX68" s="15">
        <v>0</v>
      </c>
      <c r="IY68" s="15">
        <v>0</v>
      </c>
      <c r="IZ68" s="15">
        <v>0</v>
      </c>
      <c r="JA68" s="15">
        <v>0</v>
      </c>
      <c r="JB68" s="15">
        <v>0</v>
      </c>
      <c r="JC68" s="15">
        <v>0</v>
      </c>
      <c r="JD68" s="15">
        <v>0</v>
      </c>
      <c r="JE68" s="15">
        <v>0</v>
      </c>
      <c r="JF68" s="15">
        <v>0</v>
      </c>
      <c r="JG68" s="15">
        <v>0</v>
      </c>
      <c r="JH68" s="15">
        <v>0</v>
      </c>
      <c r="JI68" s="15">
        <v>0</v>
      </c>
      <c r="JJ68" s="15">
        <v>0</v>
      </c>
      <c r="JK68" s="15">
        <v>0</v>
      </c>
      <c r="JL68" s="15">
        <v>0</v>
      </c>
      <c r="JM68" s="15">
        <v>0</v>
      </c>
      <c r="JN68" s="15">
        <v>0</v>
      </c>
      <c r="JO68" s="15">
        <v>0</v>
      </c>
      <c r="JP68" s="15">
        <v>0</v>
      </c>
      <c r="JQ68" s="15">
        <v>0</v>
      </c>
      <c r="JR68" s="15">
        <v>0</v>
      </c>
      <c r="JS68" s="15">
        <v>0</v>
      </c>
      <c r="JT68" s="15">
        <v>0</v>
      </c>
      <c r="JU68" s="15">
        <v>0</v>
      </c>
      <c r="JV68" s="15">
        <v>0</v>
      </c>
      <c r="JW68" s="15">
        <v>0</v>
      </c>
      <c r="JX68" s="15">
        <v>0</v>
      </c>
      <c r="JY68" s="15">
        <v>0</v>
      </c>
      <c r="JZ68" s="15">
        <v>0</v>
      </c>
      <c r="KA68" s="15">
        <v>0</v>
      </c>
      <c r="KB68" s="15">
        <v>0</v>
      </c>
      <c r="KC68" s="15">
        <v>0</v>
      </c>
      <c r="KD68" s="15">
        <v>0</v>
      </c>
      <c r="KE68" s="15">
        <v>0</v>
      </c>
      <c r="KF68" s="15">
        <v>0</v>
      </c>
      <c r="KG68" s="15">
        <v>0</v>
      </c>
      <c r="KH68" s="15">
        <v>0</v>
      </c>
      <c r="KI68" s="15">
        <v>0</v>
      </c>
      <c r="KJ68" s="15">
        <v>0</v>
      </c>
      <c r="KK68" s="15">
        <v>0</v>
      </c>
      <c r="KL68" s="15">
        <v>0</v>
      </c>
      <c r="KM68" s="15">
        <v>0</v>
      </c>
      <c r="KN68" s="15">
        <v>0</v>
      </c>
      <c r="KO68" s="15">
        <v>0</v>
      </c>
      <c r="KP68" s="15">
        <v>0</v>
      </c>
      <c r="KQ68" s="15">
        <v>0</v>
      </c>
      <c r="KR68" s="15">
        <v>0</v>
      </c>
      <c r="KS68" s="15">
        <v>0</v>
      </c>
      <c r="KT68" s="15">
        <v>0</v>
      </c>
      <c r="KU68" s="15">
        <v>0</v>
      </c>
      <c r="KV68" s="15">
        <v>0</v>
      </c>
      <c r="KW68" s="15">
        <v>0</v>
      </c>
      <c r="KX68" s="15">
        <v>0</v>
      </c>
      <c r="KY68" s="15">
        <v>0</v>
      </c>
      <c r="KZ68" s="15">
        <v>0</v>
      </c>
      <c r="LA68" s="15">
        <v>0</v>
      </c>
      <c r="LB68" s="15">
        <v>0</v>
      </c>
      <c r="LC68" s="15">
        <v>0</v>
      </c>
      <c r="LD68" s="15">
        <v>0</v>
      </c>
      <c r="LE68" s="15">
        <v>0</v>
      </c>
      <c r="LF68" s="15">
        <v>0</v>
      </c>
      <c r="LG68" s="15">
        <v>0</v>
      </c>
      <c r="LH68" s="15">
        <v>0</v>
      </c>
      <c r="LI68" s="15">
        <v>0</v>
      </c>
      <c r="LJ68" s="15">
        <v>0</v>
      </c>
      <c r="LK68" s="15">
        <v>0</v>
      </c>
      <c r="LL68" s="15">
        <v>0</v>
      </c>
      <c r="LM68" s="15">
        <v>0</v>
      </c>
      <c r="LN68" s="15">
        <v>0</v>
      </c>
      <c r="LO68" s="15">
        <v>0</v>
      </c>
      <c r="LP68" s="15">
        <v>0</v>
      </c>
      <c r="LQ68" s="15">
        <v>0</v>
      </c>
      <c r="LR68" s="15">
        <v>0</v>
      </c>
      <c r="LS68" s="15">
        <v>0</v>
      </c>
      <c r="LT68" s="15">
        <v>0</v>
      </c>
      <c r="LU68" s="15">
        <v>0</v>
      </c>
      <c r="LV68" s="15">
        <v>0</v>
      </c>
      <c r="LW68" s="15">
        <v>0</v>
      </c>
      <c r="LX68" s="15">
        <v>0</v>
      </c>
      <c r="LY68" s="15">
        <v>0</v>
      </c>
      <c r="LZ68" s="15">
        <v>0</v>
      </c>
      <c r="MA68" s="15">
        <v>0</v>
      </c>
      <c r="MB68" s="15">
        <v>0</v>
      </c>
      <c r="MC68" s="15">
        <v>0</v>
      </c>
      <c r="MD68" s="15">
        <v>0</v>
      </c>
      <c r="ME68" s="15">
        <v>0</v>
      </c>
      <c r="MF68" s="15">
        <v>0</v>
      </c>
      <c r="MG68" s="15">
        <v>0</v>
      </c>
      <c r="MH68" s="15">
        <v>0</v>
      </c>
      <c r="MI68" s="15">
        <v>0</v>
      </c>
      <c r="MJ68" s="15">
        <v>0</v>
      </c>
      <c r="MK68" s="15">
        <v>0</v>
      </c>
      <c r="ML68" s="15">
        <v>0</v>
      </c>
      <c r="MM68" s="15">
        <v>0</v>
      </c>
      <c r="MN68" s="15">
        <v>0</v>
      </c>
      <c r="MO68" s="15">
        <v>0</v>
      </c>
      <c r="MP68" s="15">
        <v>0</v>
      </c>
      <c r="MQ68" s="15">
        <v>0</v>
      </c>
      <c r="MR68" s="15">
        <v>0</v>
      </c>
      <c r="MS68" s="15">
        <v>0</v>
      </c>
      <c r="MT68" s="15">
        <v>0</v>
      </c>
      <c r="MU68" s="15">
        <v>0</v>
      </c>
      <c r="MV68" s="15">
        <v>0</v>
      </c>
      <c r="MW68" s="15">
        <v>0</v>
      </c>
      <c r="MX68" s="15">
        <v>0</v>
      </c>
      <c r="MY68" s="15">
        <v>0</v>
      </c>
      <c r="MZ68" s="15">
        <v>0</v>
      </c>
      <c r="NA68" s="15">
        <v>0</v>
      </c>
      <c r="NB68" s="15">
        <v>0</v>
      </c>
      <c r="NC68" s="15">
        <v>0</v>
      </c>
      <c r="ND68" s="15">
        <v>0</v>
      </c>
      <c r="NE68" s="15">
        <v>0</v>
      </c>
      <c r="NF68" s="15">
        <v>0</v>
      </c>
      <c r="NG68" s="15">
        <v>0</v>
      </c>
      <c r="NH68" s="15">
        <v>0</v>
      </c>
      <c r="NI68" s="15">
        <v>0</v>
      </c>
      <c r="NJ68" s="15">
        <v>0</v>
      </c>
      <c r="NK68" s="15">
        <v>0</v>
      </c>
      <c r="NL68" s="15">
        <v>0</v>
      </c>
      <c r="NM68" s="15">
        <v>0</v>
      </c>
      <c r="NN68" s="15">
        <v>0</v>
      </c>
      <c r="NO68" s="15">
        <v>0</v>
      </c>
      <c r="NP68" s="15">
        <v>0</v>
      </c>
      <c r="NQ68" s="15">
        <v>0</v>
      </c>
      <c r="NR68" s="15">
        <v>0</v>
      </c>
      <c r="NS68" s="15">
        <v>0</v>
      </c>
      <c r="NT68" s="15">
        <v>0</v>
      </c>
      <c r="NU68" s="15">
        <v>0</v>
      </c>
      <c r="NV68" s="15">
        <v>0</v>
      </c>
      <c r="NW68" s="15">
        <v>0</v>
      </c>
      <c r="NX68" s="15">
        <v>0</v>
      </c>
      <c r="NY68" s="15">
        <v>0</v>
      </c>
      <c r="NZ68" s="15">
        <v>0</v>
      </c>
      <c r="OA68" s="15">
        <v>0</v>
      </c>
      <c r="OB68" s="15">
        <v>0</v>
      </c>
      <c r="OC68" s="15">
        <v>0</v>
      </c>
      <c r="OD68" s="15">
        <v>0</v>
      </c>
      <c r="OE68" s="15">
        <v>0</v>
      </c>
      <c r="OF68" s="15">
        <v>0</v>
      </c>
      <c r="OG68" s="15">
        <v>0</v>
      </c>
      <c r="OH68" s="15">
        <v>0</v>
      </c>
      <c r="OI68" s="15">
        <v>0</v>
      </c>
      <c r="OJ68" s="15">
        <v>0</v>
      </c>
      <c r="OK68" s="15">
        <v>0</v>
      </c>
      <c r="OL68" s="15">
        <v>0</v>
      </c>
      <c r="OM68" s="15">
        <v>0</v>
      </c>
      <c r="ON68" s="15">
        <v>0</v>
      </c>
      <c r="OO68" s="15">
        <v>0</v>
      </c>
      <c r="OP68" s="15">
        <v>0</v>
      </c>
      <c r="OQ68" s="15">
        <v>0</v>
      </c>
      <c r="OR68" s="15">
        <v>0</v>
      </c>
      <c r="OS68" s="15">
        <v>0</v>
      </c>
      <c r="OT68" s="15">
        <v>0</v>
      </c>
      <c r="OU68" s="15">
        <v>0</v>
      </c>
      <c r="OV68" s="15">
        <v>0</v>
      </c>
      <c r="OW68" s="15">
        <v>0</v>
      </c>
      <c r="OX68" s="15">
        <v>0</v>
      </c>
      <c r="OY68" s="15">
        <v>0</v>
      </c>
      <c r="OZ68" s="15">
        <v>0</v>
      </c>
      <c r="PA68" s="15">
        <v>0</v>
      </c>
      <c r="PB68" s="15">
        <v>0</v>
      </c>
      <c r="PC68" s="15">
        <v>0</v>
      </c>
      <c r="PD68" s="15">
        <v>0</v>
      </c>
      <c r="PE68" s="15">
        <v>0</v>
      </c>
      <c r="PF68" s="15">
        <v>0</v>
      </c>
      <c r="PG68" s="15">
        <v>0</v>
      </c>
      <c r="PH68" s="15">
        <v>0</v>
      </c>
      <c r="PI68" s="15">
        <v>0</v>
      </c>
      <c r="PJ68" s="15">
        <v>0</v>
      </c>
      <c r="PK68" s="15">
        <v>0</v>
      </c>
      <c r="PL68" s="15">
        <v>0</v>
      </c>
      <c r="PM68" s="15">
        <v>0</v>
      </c>
      <c r="PN68" s="15">
        <v>0</v>
      </c>
      <c r="PO68" s="15">
        <v>0</v>
      </c>
      <c r="PP68" s="15">
        <v>0</v>
      </c>
      <c r="PQ68" s="15">
        <v>0</v>
      </c>
      <c r="PR68" s="15">
        <v>0</v>
      </c>
      <c r="PS68" s="15">
        <v>0</v>
      </c>
      <c r="PT68" s="15">
        <v>0</v>
      </c>
      <c r="PU68" s="15">
        <v>0</v>
      </c>
      <c r="PV68" s="15">
        <v>0</v>
      </c>
      <c r="PW68" s="15">
        <v>0</v>
      </c>
      <c r="PX68" s="15">
        <v>0</v>
      </c>
      <c r="PY68" s="15">
        <v>0</v>
      </c>
      <c r="PZ68" s="15">
        <v>0</v>
      </c>
      <c r="QA68" s="15">
        <v>0</v>
      </c>
      <c r="QB68" s="15">
        <v>0</v>
      </c>
      <c r="QC68" s="15">
        <v>0</v>
      </c>
      <c r="QD68" s="15">
        <v>0</v>
      </c>
      <c r="QE68" s="15">
        <v>0</v>
      </c>
      <c r="QF68" s="15">
        <v>0</v>
      </c>
      <c r="QG68" s="15">
        <v>0</v>
      </c>
      <c r="QH68" s="15">
        <v>0</v>
      </c>
      <c r="QI68" s="15">
        <v>0</v>
      </c>
      <c r="QJ68" s="15">
        <v>0</v>
      </c>
      <c r="QK68" s="15">
        <v>0</v>
      </c>
      <c r="QL68" s="15">
        <v>0</v>
      </c>
      <c r="QM68" s="15">
        <v>0</v>
      </c>
      <c r="QN68" s="15">
        <v>0</v>
      </c>
      <c r="QO68" s="15">
        <v>0</v>
      </c>
      <c r="QP68" s="15">
        <v>0</v>
      </c>
      <c r="QQ68" s="15">
        <v>0</v>
      </c>
      <c r="QR68" s="15">
        <v>0</v>
      </c>
      <c r="QS68" s="15">
        <v>0</v>
      </c>
      <c r="QT68" s="15">
        <v>0</v>
      </c>
      <c r="QU68" s="15">
        <v>0</v>
      </c>
      <c r="QV68" s="15">
        <v>0</v>
      </c>
      <c r="QW68" s="15">
        <v>0</v>
      </c>
      <c r="QX68" s="15">
        <v>0</v>
      </c>
      <c r="QY68" s="15">
        <v>0</v>
      </c>
      <c r="QZ68" s="15">
        <v>0</v>
      </c>
      <c r="RA68" s="15">
        <v>0</v>
      </c>
      <c r="RB68" s="15">
        <v>0</v>
      </c>
      <c r="RC68" s="15">
        <v>0</v>
      </c>
      <c r="RD68" s="15">
        <v>0</v>
      </c>
      <c r="RE68" s="15">
        <v>0</v>
      </c>
      <c r="RF68" s="15">
        <v>0</v>
      </c>
      <c r="RG68" s="15">
        <v>0</v>
      </c>
      <c r="RH68" s="15">
        <v>0</v>
      </c>
      <c r="RI68" s="15">
        <v>0</v>
      </c>
      <c r="RJ68" s="15">
        <v>0</v>
      </c>
      <c r="RK68" s="15">
        <v>0</v>
      </c>
      <c r="RL68" s="15">
        <v>0</v>
      </c>
      <c r="RM68" s="15">
        <v>0</v>
      </c>
      <c r="RN68" s="15">
        <v>0</v>
      </c>
      <c r="RO68" s="15">
        <v>0</v>
      </c>
      <c r="RP68" s="15">
        <v>0</v>
      </c>
      <c r="RQ68" s="15">
        <v>0</v>
      </c>
      <c r="RR68" s="15">
        <v>0</v>
      </c>
      <c r="RS68" s="15"/>
      <c r="RT68" s="15">
        <v>0</v>
      </c>
      <c r="RU68" s="15">
        <v>0</v>
      </c>
      <c r="RV68" s="15">
        <v>0</v>
      </c>
      <c r="RW68" s="15">
        <v>0</v>
      </c>
      <c r="RX68" s="15">
        <v>0</v>
      </c>
      <c r="RY68" s="15">
        <v>0</v>
      </c>
      <c r="RZ68" s="15">
        <v>0</v>
      </c>
      <c r="SA68" s="15">
        <v>0</v>
      </c>
      <c r="SB68" s="15">
        <v>0</v>
      </c>
      <c r="SC68" s="15">
        <v>0</v>
      </c>
      <c r="SD68" s="15">
        <v>0</v>
      </c>
      <c r="SE68" s="15">
        <v>0</v>
      </c>
      <c r="SF68" s="15">
        <v>0</v>
      </c>
      <c r="SG68" s="15">
        <v>0</v>
      </c>
      <c r="SH68" s="15">
        <v>0</v>
      </c>
      <c r="SI68" s="15">
        <v>0</v>
      </c>
      <c r="SJ68" s="15">
        <v>0</v>
      </c>
      <c r="SK68" s="15">
        <v>0</v>
      </c>
      <c r="SL68" s="15">
        <v>0</v>
      </c>
      <c r="SM68" s="15">
        <v>0</v>
      </c>
      <c r="SN68" s="15">
        <v>0</v>
      </c>
      <c r="SO68" s="15">
        <v>0</v>
      </c>
      <c r="SP68" s="15">
        <v>0</v>
      </c>
      <c r="SQ68" s="15">
        <v>0</v>
      </c>
      <c r="SR68" s="15">
        <v>0</v>
      </c>
      <c r="SS68" s="15">
        <v>0</v>
      </c>
      <c r="ST68" s="15">
        <v>0</v>
      </c>
      <c r="SU68" s="15">
        <v>0</v>
      </c>
      <c r="SV68" s="15">
        <v>0</v>
      </c>
      <c r="SW68" s="15">
        <v>0</v>
      </c>
      <c r="SX68" s="15">
        <v>0</v>
      </c>
      <c r="SY68" s="15">
        <v>0</v>
      </c>
      <c r="SZ68" s="15">
        <v>0</v>
      </c>
      <c r="TA68" s="15">
        <v>0</v>
      </c>
      <c r="TB68" s="15">
        <v>0</v>
      </c>
      <c r="TC68" s="15">
        <v>0</v>
      </c>
      <c r="TD68" s="15">
        <v>0</v>
      </c>
      <c r="TE68" s="15">
        <v>0</v>
      </c>
      <c r="TF68" s="15">
        <v>0</v>
      </c>
      <c r="TG68" s="15">
        <v>0</v>
      </c>
      <c r="TH68" s="15">
        <v>0</v>
      </c>
      <c r="TI68" s="15">
        <v>0</v>
      </c>
      <c r="TJ68" s="15">
        <v>0</v>
      </c>
      <c r="TK68" s="15">
        <v>0</v>
      </c>
      <c r="TL68" s="15">
        <v>0</v>
      </c>
      <c r="TM68" s="15">
        <v>0</v>
      </c>
      <c r="TN68" s="15">
        <v>0</v>
      </c>
      <c r="TO68" s="15">
        <v>0</v>
      </c>
      <c r="TP68" s="15">
        <v>0</v>
      </c>
      <c r="TQ68" s="15">
        <v>0</v>
      </c>
      <c r="TR68" s="15">
        <v>0</v>
      </c>
      <c r="TS68" s="15">
        <v>0</v>
      </c>
      <c r="TT68" s="15">
        <v>0</v>
      </c>
      <c r="TU68" s="15">
        <v>0</v>
      </c>
      <c r="TV68" s="15">
        <v>0</v>
      </c>
      <c r="TW68" s="15">
        <v>0</v>
      </c>
      <c r="TX68" s="15">
        <v>0</v>
      </c>
      <c r="TY68" s="15">
        <v>0</v>
      </c>
      <c r="TZ68" s="15">
        <v>0</v>
      </c>
      <c r="UA68" s="15">
        <v>0</v>
      </c>
      <c r="UB68" s="15">
        <v>0</v>
      </c>
      <c r="UC68" s="15">
        <v>0</v>
      </c>
      <c r="UD68" s="15">
        <v>0</v>
      </c>
      <c r="UE68" s="15">
        <v>0</v>
      </c>
      <c r="UF68" s="15">
        <v>0</v>
      </c>
      <c r="UG68" s="15">
        <v>0</v>
      </c>
      <c r="UH68" s="15">
        <v>0</v>
      </c>
      <c r="UI68" s="15">
        <v>0</v>
      </c>
      <c r="UJ68" s="15">
        <v>0</v>
      </c>
      <c r="UK68" s="15">
        <v>0</v>
      </c>
      <c r="UL68" s="15">
        <v>0</v>
      </c>
      <c r="UM68" s="15">
        <v>0</v>
      </c>
      <c r="UN68" s="15">
        <v>0</v>
      </c>
      <c r="UO68" s="15">
        <v>0</v>
      </c>
      <c r="UP68" s="15">
        <v>0</v>
      </c>
      <c r="UQ68" s="15">
        <v>0</v>
      </c>
      <c r="UR68" s="15">
        <v>0</v>
      </c>
      <c r="US68" s="15">
        <v>0</v>
      </c>
      <c r="UT68" s="15">
        <v>0</v>
      </c>
      <c r="UU68" s="15">
        <v>0</v>
      </c>
      <c r="UV68" s="15">
        <v>0</v>
      </c>
      <c r="UW68" s="15">
        <v>0</v>
      </c>
      <c r="UX68" s="15">
        <v>0</v>
      </c>
      <c r="UY68" s="15">
        <v>0</v>
      </c>
      <c r="UZ68" s="15">
        <v>0</v>
      </c>
      <c r="VA68" s="15">
        <v>0</v>
      </c>
      <c r="VB68" s="15">
        <v>0</v>
      </c>
      <c r="VC68" s="15">
        <v>0</v>
      </c>
      <c r="VD68" s="15">
        <v>0</v>
      </c>
      <c r="VE68" s="15">
        <v>0</v>
      </c>
      <c r="VF68" s="15">
        <v>0</v>
      </c>
      <c r="VG68" s="15">
        <v>0</v>
      </c>
      <c r="VH68" s="15">
        <v>0</v>
      </c>
      <c r="VI68" s="15">
        <v>0</v>
      </c>
      <c r="VJ68" s="15">
        <v>0</v>
      </c>
      <c r="VK68" s="15">
        <v>0</v>
      </c>
      <c r="VL68" s="15">
        <v>0</v>
      </c>
      <c r="VM68" s="15">
        <v>0</v>
      </c>
      <c r="VN68" s="15">
        <v>0</v>
      </c>
      <c r="VO68" s="15">
        <v>0</v>
      </c>
      <c r="VP68" s="15">
        <v>0</v>
      </c>
      <c r="VQ68" s="15">
        <v>0</v>
      </c>
      <c r="VR68" s="15">
        <v>0</v>
      </c>
      <c r="VS68" s="15">
        <v>0</v>
      </c>
      <c r="VT68" s="15">
        <v>0</v>
      </c>
      <c r="VU68" s="15">
        <v>0</v>
      </c>
      <c r="VV68" s="15">
        <v>0</v>
      </c>
      <c r="VW68" s="15">
        <v>0</v>
      </c>
      <c r="VX68" s="15">
        <v>0</v>
      </c>
      <c r="VY68" s="15">
        <v>0</v>
      </c>
      <c r="VZ68" s="15">
        <v>0</v>
      </c>
      <c r="WA68" s="15">
        <v>0</v>
      </c>
      <c r="WB68" s="15">
        <v>0</v>
      </c>
      <c r="WC68" s="15">
        <v>0</v>
      </c>
      <c r="WD68" s="15">
        <v>0</v>
      </c>
      <c r="WE68" s="15">
        <v>0</v>
      </c>
      <c r="WF68" s="15">
        <v>0</v>
      </c>
      <c r="WG68" s="15">
        <v>0</v>
      </c>
      <c r="WH68" s="15">
        <v>0</v>
      </c>
      <c r="WI68" s="15">
        <v>0</v>
      </c>
      <c r="WJ68" s="15">
        <v>0</v>
      </c>
      <c r="WK68" s="15">
        <v>0</v>
      </c>
      <c r="WL68" s="15">
        <v>0</v>
      </c>
      <c r="WM68" s="15">
        <v>0</v>
      </c>
      <c r="WN68" s="15">
        <v>0</v>
      </c>
      <c r="WO68" s="15">
        <v>0</v>
      </c>
      <c r="WP68" s="15">
        <v>0</v>
      </c>
      <c r="WQ68" s="15">
        <v>0</v>
      </c>
      <c r="WR68" s="15">
        <v>0</v>
      </c>
      <c r="WS68" s="15">
        <v>0</v>
      </c>
      <c r="WT68" s="15">
        <v>0</v>
      </c>
      <c r="WU68" s="15">
        <v>0</v>
      </c>
      <c r="WV68" s="15">
        <v>0</v>
      </c>
      <c r="WW68" s="15">
        <v>0</v>
      </c>
      <c r="WX68" s="15">
        <v>0</v>
      </c>
      <c r="WY68" s="15">
        <v>0</v>
      </c>
      <c r="WZ68" s="15">
        <v>0</v>
      </c>
      <c r="XA68" s="15">
        <v>0</v>
      </c>
      <c r="XB68" s="15">
        <v>0</v>
      </c>
      <c r="XC68" s="15">
        <v>0</v>
      </c>
      <c r="XD68" s="15">
        <v>0</v>
      </c>
      <c r="XE68" s="15">
        <v>0</v>
      </c>
      <c r="XF68" s="15">
        <v>0</v>
      </c>
      <c r="XG68" s="15">
        <v>0</v>
      </c>
      <c r="XH68" s="15">
        <v>0</v>
      </c>
      <c r="XI68" s="15">
        <v>0</v>
      </c>
      <c r="XJ68" s="15">
        <v>0</v>
      </c>
      <c r="XK68" s="15">
        <v>0</v>
      </c>
      <c r="XL68" s="15">
        <v>0</v>
      </c>
      <c r="XM68" s="15">
        <v>0</v>
      </c>
      <c r="XN68" s="15">
        <v>0</v>
      </c>
      <c r="XO68" s="15">
        <v>0</v>
      </c>
      <c r="XP68" s="15">
        <v>0</v>
      </c>
      <c r="XQ68" s="15">
        <v>0</v>
      </c>
      <c r="XR68" s="15">
        <v>0</v>
      </c>
      <c r="XS68" s="15">
        <v>0</v>
      </c>
      <c r="XT68" s="15">
        <v>0</v>
      </c>
      <c r="XU68" s="15">
        <v>0</v>
      </c>
      <c r="XV68" s="15">
        <v>0</v>
      </c>
      <c r="XW68" s="15">
        <v>0</v>
      </c>
      <c r="XX68" s="15">
        <v>0</v>
      </c>
      <c r="XY68" s="15">
        <v>0</v>
      </c>
      <c r="XZ68" s="15">
        <v>0</v>
      </c>
      <c r="YA68" s="15">
        <v>0</v>
      </c>
      <c r="YB68" s="15">
        <v>0</v>
      </c>
      <c r="YC68" s="15">
        <v>0</v>
      </c>
      <c r="YD68" s="15">
        <v>0</v>
      </c>
      <c r="YE68" s="15">
        <v>0</v>
      </c>
      <c r="YF68" s="15">
        <v>0</v>
      </c>
      <c r="YG68" s="15">
        <v>0</v>
      </c>
      <c r="YH68" s="15">
        <v>0</v>
      </c>
      <c r="YI68" s="15">
        <v>0</v>
      </c>
      <c r="YJ68" s="15">
        <v>0</v>
      </c>
      <c r="YK68" s="15">
        <v>0</v>
      </c>
      <c r="YL68" s="15">
        <v>0</v>
      </c>
      <c r="YM68" s="15">
        <v>0</v>
      </c>
      <c r="YN68" s="15">
        <v>0</v>
      </c>
      <c r="YO68" s="15">
        <v>0</v>
      </c>
      <c r="YP68" s="15">
        <v>0</v>
      </c>
      <c r="YQ68" s="15">
        <v>0</v>
      </c>
      <c r="YR68" s="15">
        <v>0</v>
      </c>
      <c r="YS68" s="15">
        <v>0</v>
      </c>
      <c r="YT68" s="15">
        <v>0</v>
      </c>
      <c r="YU68" s="15">
        <v>0</v>
      </c>
      <c r="YV68" s="15">
        <v>0</v>
      </c>
      <c r="YW68" s="15">
        <v>0</v>
      </c>
      <c r="YX68" s="15">
        <v>0</v>
      </c>
      <c r="YY68" s="15">
        <v>0</v>
      </c>
      <c r="YZ68" s="15">
        <v>0</v>
      </c>
      <c r="ZA68" s="15">
        <v>0</v>
      </c>
      <c r="ZB68" s="15">
        <v>0</v>
      </c>
      <c r="ZC68" s="15">
        <v>0</v>
      </c>
      <c r="ZD68" s="15">
        <v>0</v>
      </c>
      <c r="ZE68" s="15">
        <v>0</v>
      </c>
      <c r="ZF68" s="15">
        <v>0</v>
      </c>
      <c r="ZG68" s="15">
        <v>0</v>
      </c>
      <c r="ZH68" s="15">
        <v>0</v>
      </c>
      <c r="ZI68" s="15">
        <v>0</v>
      </c>
      <c r="ZJ68" s="15">
        <v>0</v>
      </c>
      <c r="ZK68" s="15">
        <v>0</v>
      </c>
      <c r="ZL68" s="15">
        <v>0</v>
      </c>
      <c r="ZM68" s="15">
        <v>0</v>
      </c>
      <c r="ZN68" s="15">
        <v>0</v>
      </c>
      <c r="ZO68" s="15">
        <v>0</v>
      </c>
      <c r="ZP68" s="15">
        <v>1</v>
      </c>
      <c r="ZQ68" s="15">
        <v>1</v>
      </c>
      <c r="ZR68" s="15">
        <v>0</v>
      </c>
      <c r="ZS68" s="15">
        <v>0</v>
      </c>
      <c r="ZT68" s="15">
        <v>0</v>
      </c>
      <c r="ZU68" s="15">
        <v>0</v>
      </c>
      <c r="ZV68" s="15">
        <v>0</v>
      </c>
      <c r="ZW68" s="15">
        <v>1</v>
      </c>
      <c r="ZX68" s="15">
        <v>1</v>
      </c>
      <c r="ZY68" s="15">
        <v>0</v>
      </c>
      <c r="ZZ68" s="15">
        <v>0</v>
      </c>
      <c r="AAA68" s="15">
        <v>0</v>
      </c>
      <c r="AAB68" s="15">
        <v>0</v>
      </c>
      <c r="AAC68" s="15">
        <v>0</v>
      </c>
      <c r="AAD68" s="15">
        <v>1</v>
      </c>
      <c r="AAE68" s="15">
        <v>1</v>
      </c>
      <c r="AAF68" s="15">
        <v>1</v>
      </c>
      <c r="AAG68" s="15">
        <v>1</v>
      </c>
      <c r="AAH68" s="15">
        <v>1</v>
      </c>
      <c r="AAI68" s="15">
        <v>0</v>
      </c>
      <c r="AAJ68" s="15">
        <v>0</v>
      </c>
      <c r="AAK68" s="15">
        <v>0</v>
      </c>
      <c r="AAL68" s="15"/>
      <c r="AAM68" s="15">
        <v>0</v>
      </c>
      <c r="AAN68" s="15">
        <v>0</v>
      </c>
      <c r="AAO68" s="15">
        <v>0</v>
      </c>
      <c r="AAP68" s="15">
        <v>0</v>
      </c>
      <c r="AAQ68" s="15">
        <v>0</v>
      </c>
      <c r="AAR68" s="15">
        <v>0</v>
      </c>
      <c r="AAS68" s="15">
        <v>0</v>
      </c>
      <c r="AAT68" s="15">
        <v>0</v>
      </c>
      <c r="AAU68" s="15">
        <v>0</v>
      </c>
      <c r="AAV68" s="15">
        <v>0</v>
      </c>
      <c r="AAW68" s="15">
        <v>0</v>
      </c>
      <c r="AAX68" s="15"/>
      <c r="AAY68" s="15">
        <v>0</v>
      </c>
      <c r="AAZ68" s="15">
        <v>0</v>
      </c>
      <c r="ABA68" s="15">
        <v>0</v>
      </c>
      <c r="ABB68" s="15">
        <v>0</v>
      </c>
      <c r="ABC68" s="15">
        <v>0</v>
      </c>
      <c r="ABD68" s="15">
        <v>0</v>
      </c>
      <c r="ABE68" s="15">
        <v>0</v>
      </c>
      <c r="ABF68" s="15">
        <v>0</v>
      </c>
      <c r="ABG68" s="15">
        <v>0</v>
      </c>
      <c r="ABH68" s="15">
        <v>0</v>
      </c>
      <c r="ABI68" s="15">
        <v>0</v>
      </c>
      <c r="ABJ68" s="15">
        <v>0</v>
      </c>
      <c r="ABK68" s="15">
        <v>0</v>
      </c>
      <c r="ABL68" s="15">
        <v>0</v>
      </c>
      <c r="ABM68" s="15">
        <v>0</v>
      </c>
      <c r="ABN68" s="15">
        <v>0</v>
      </c>
      <c r="ABO68" s="15">
        <v>0</v>
      </c>
      <c r="ABP68" s="15">
        <v>0</v>
      </c>
      <c r="ABQ68" s="15">
        <v>0</v>
      </c>
      <c r="ABR68" s="15">
        <v>0</v>
      </c>
      <c r="ABS68" s="15">
        <v>0</v>
      </c>
      <c r="ABT68" s="15">
        <v>0</v>
      </c>
      <c r="ABU68" s="15">
        <v>0</v>
      </c>
      <c r="ABV68" s="15">
        <v>0</v>
      </c>
      <c r="ABW68" s="15">
        <v>0</v>
      </c>
      <c r="ABX68" s="15">
        <v>0</v>
      </c>
      <c r="ABY68" s="15">
        <v>0</v>
      </c>
      <c r="ABZ68" s="15">
        <v>0</v>
      </c>
      <c r="ACA68" s="15">
        <v>0</v>
      </c>
      <c r="ACB68" s="15">
        <v>0</v>
      </c>
      <c r="ACC68" s="15">
        <v>0</v>
      </c>
      <c r="ACD68" s="15">
        <v>0</v>
      </c>
      <c r="ACE68" s="15">
        <v>0</v>
      </c>
      <c r="ACF68" s="15">
        <v>0</v>
      </c>
      <c r="ACG68" s="15">
        <v>0</v>
      </c>
      <c r="ACH68" s="15">
        <v>0</v>
      </c>
      <c r="ACI68" s="15">
        <v>0</v>
      </c>
      <c r="ACJ68" s="15">
        <v>0</v>
      </c>
      <c r="ACK68" s="15">
        <v>0</v>
      </c>
      <c r="ACL68" s="15">
        <v>0</v>
      </c>
      <c r="ACM68" s="15">
        <v>0</v>
      </c>
      <c r="ACN68" s="15">
        <v>0</v>
      </c>
      <c r="ACO68" s="15">
        <v>0</v>
      </c>
      <c r="ACP68" s="15">
        <v>0</v>
      </c>
      <c r="ACQ68" s="15">
        <v>0</v>
      </c>
      <c r="ACR68" s="15">
        <v>0</v>
      </c>
      <c r="ACS68" s="15">
        <v>0</v>
      </c>
      <c r="ACT68" s="15">
        <v>0</v>
      </c>
      <c r="ACU68" s="15">
        <v>0</v>
      </c>
      <c r="ACV68" s="15">
        <v>0</v>
      </c>
      <c r="ACW68" s="15">
        <v>0</v>
      </c>
      <c r="ACX68" s="15">
        <v>0</v>
      </c>
      <c r="ACY68" s="15">
        <v>0</v>
      </c>
      <c r="ACZ68" s="15">
        <v>0</v>
      </c>
      <c r="ADA68" s="15">
        <v>0</v>
      </c>
      <c r="ADB68" s="15">
        <v>0</v>
      </c>
      <c r="ADC68" s="15">
        <v>0</v>
      </c>
      <c r="ADD68" s="15">
        <v>0</v>
      </c>
      <c r="ADE68" s="15">
        <v>0</v>
      </c>
      <c r="ADF68" s="15">
        <v>0</v>
      </c>
      <c r="ADG68" s="15">
        <v>0</v>
      </c>
      <c r="ADH68" s="15"/>
      <c r="ADI68" s="15">
        <v>0</v>
      </c>
      <c r="ADJ68" s="15">
        <v>0</v>
      </c>
      <c r="ADK68" s="15">
        <v>0</v>
      </c>
      <c r="ADL68" s="15">
        <v>0</v>
      </c>
      <c r="ADM68" s="15">
        <v>0</v>
      </c>
      <c r="ADN68" s="15">
        <v>0</v>
      </c>
      <c r="ADO68" s="15">
        <v>0</v>
      </c>
      <c r="ADP68" s="15">
        <v>0</v>
      </c>
      <c r="ADQ68" s="15">
        <v>0</v>
      </c>
      <c r="ADR68" s="15">
        <v>0</v>
      </c>
      <c r="ADS68" s="15">
        <v>0</v>
      </c>
      <c r="ADT68" s="15">
        <v>0</v>
      </c>
      <c r="ADU68" s="15">
        <v>0</v>
      </c>
      <c r="ADV68" s="15">
        <v>0</v>
      </c>
      <c r="ADW68" s="15">
        <v>0</v>
      </c>
      <c r="ADX68" s="15">
        <v>0</v>
      </c>
      <c r="ADY68" s="15">
        <v>0</v>
      </c>
      <c r="ADZ68" s="15">
        <v>0</v>
      </c>
      <c r="AEA68" s="15">
        <v>0</v>
      </c>
      <c r="AEB68" s="15">
        <v>0</v>
      </c>
      <c r="AEC68" s="15">
        <v>0</v>
      </c>
      <c r="AED68" s="15">
        <v>0</v>
      </c>
      <c r="AEE68" s="15">
        <v>0</v>
      </c>
      <c r="AEF68" s="15">
        <v>0</v>
      </c>
      <c r="AEG68" s="15">
        <v>0</v>
      </c>
      <c r="AEH68" s="15">
        <v>0</v>
      </c>
      <c r="AEI68" s="15">
        <v>0</v>
      </c>
      <c r="AEJ68" s="15">
        <v>0</v>
      </c>
      <c r="AEK68" s="15">
        <v>0</v>
      </c>
      <c r="AEL68" s="15">
        <v>0</v>
      </c>
      <c r="AEM68" s="15">
        <v>0</v>
      </c>
      <c r="AEN68" s="15">
        <v>0</v>
      </c>
      <c r="AEO68" s="15">
        <v>0</v>
      </c>
      <c r="AEP68" s="15">
        <v>0</v>
      </c>
      <c r="AEQ68" s="15">
        <v>0</v>
      </c>
      <c r="AER68" s="15">
        <v>0</v>
      </c>
      <c r="AES68" s="15">
        <v>0</v>
      </c>
      <c r="AET68" s="15">
        <v>0</v>
      </c>
      <c r="AEU68" s="15">
        <v>0</v>
      </c>
      <c r="AEV68" s="15">
        <v>0</v>
      </c>
      <c r="AEW68" s="15">
        <v>0</v>
      </c>
      <c r="AEX68" s="15">
        <v>0</v>
      </c>
      <c r="AEY68" s="15">
        <v>0</v>
      </c>
      <c r="AEZ68" s="15">
        <v>0</v>
      </c>
      <c r="AFA68" s="15">
        <v>0</v>
      </c>
      <c r="AFB68" s="15">
        <v>0</v>
      </c>
      <c r="AFC68" s="15">
        <v>0</v>
      </c>
      <c r="AFD68" s="15">
        <v>0</v>
      </c>
      <c r="AFE68" s="15">
        <v>0</v>
      </c>
      <c r="AFF68" s="15">
        <v>0</v>
      </c>
      <c r="AFG68" s="15">
        <v>0</v>
      </c>
      <c r="AFH68" s="15">
        <v>0</v>
      </c>
      <c r="AFI68" s="15">
        <v>0</v>
      </c>
      <c r="AFJ68" s="15">
        <v>0</v>
      </c>
      <c r="AFK68" s="15">
        <v>0</v>
      </c>
      <c r="AFL68" s="15">
        <v>0</v>
      </c>
      <c r="AFM68" s="15">
        <v>0</v>
      </c>
      <c r="AFN68" s="15">
        <v>0</v>
      </c>
      <c r="AFO68" s="15">
        <v>0</v>
      </c>
      <c r="AFP68" s="15">
        <v>0</v>
      </c>
      <c r="AFQ68" s="15">
        <v>0</v>
      </c>
      <c r="AFR68" s="15"/>
      <c r="AFS68" s="15">
        <v>0</v>
      </c>
      <c r="AFT68" s="15">
        <v>0</v>
      </c>
      <c r="AFU68" s="15">
        <v>0</v>
      </c>
      <c r="AFV68" s="15">
        <v>0</v>
      </c>
      <c r="AFW68" s="15">
        <v>0</v>
      </c>
      <c r="AFX68" s="15">
        <v>0</v>
      </c>
      <c r="AFY68" s="15">
        <v>0</v>
      </c>
      <c r="AFZ68" s="15">
        <v>0</v>
      </c>
      <c r="AGA68" s="15">
        <v>0</v>
      </c>
      <c r="AGB68" s="15">
        <v>0</v>
      </c>
      <c r="AGC68" s="15">
        <v>0</v>
      </c>
      <c r="AGD68" s="15">
        <v>0</v>
      </c>
      <c r="AGE68" s="15">
        <v>0</v>
      </c>
      <c r="AGF68" s="15">
        <v>0</v>
      </c>
      <c r="AGG68" s="15">
        <v>0</v>
      </c>
      <c r="AGH68" s="15">
        <v>0</v>
      </c>
      <c r="AGI68" s="15">
        <v>0</v>
      </c>
      <c r="AGJ68" s="15">
        <v>0</v>
      </c>
      <c r="AGK68" s="15">
        <v>0</v>
      </c>
      <c r="AGL68" s="15">
        <v>0</v>
      </c>
      <c r="AGM68" s="15">
        <v>0</v>
      </c>
      <c r="AGN68" s="15">
        <v>0</v>
      </c>
      <c r="AGO68" s="15">
        <v>0</v>
      </c>
      <c r="AGP68" s="15">
        <v>0</v>
      </c>
      <c r="AGQ68" s="15">
        <v>0</v>
      </c>
      <c r="AGR68" s="15">
        <v>0</v>
      </c>
      <c r="AGS68" s="15">
        <v>0</v>
      </c>
      <c r="AGT68" s="15">
        <v>0</v>
      </c>
      <c r="AGU68" s="15">
        <v>0</v>
      </c>
      <c r="AGV68" s="15">
        <v>0</v>
      </c>
      <c r="AGW68" s="15">
        <v>0</v>
      </c>
      <c r="AGX68" s="15">
        <v>0</v>
      </c>
      <c r="AGY68" s="15">
        <v>0</v>
      </c>
      <c r="AGZ68" s="15">
        <v>0</v>
      </c>
      <c r="AHA68" s="15">
        <v>0</v>
      </c>
      <c r="AHB68" s="15">
        <v>0</v>
      </c>
      <c r="AHC68" s="15">
        <v>0</v>
      </c>
      <c r="AHD68" s="15">
        <v>0</v>
      </c>
      <c r="AHE68" s="15">
        <v>0</v>
      </c>
      <c r="AHF68" s="15">
        <v>0</v>
      </c>
      <c r="AHG68" s="15">
        <v>0</v>
      </c>
      <c r="AHH68" s="15">
        <v>0</v>
      </c>
      <c r="AHI68" s="15">
        <v>0</v>
      </c>
      <c r="AHJ68" s="15">
        <v>0</v>
      </c>
      <c r="AHK68" s="15">
        <v>0</v>
      </c>
      <c r="AHL68" s="15">
        <v>0</v>
      </c>
      <c r="AHM68" s="15">
        <v>0</v>
      </c>
      <c r="AHN68" s="15">
        <v>0</v>
      </c>
      <c r="AHO68" s="15">
        <v>0</v>
      </c>
      <c r="AHP68" s="15">
        <v>0</v>
      </c>
      <c r="AHQ68" s="15">
        <v>0</v>
      </c>
      <c r="AHR68" s="15">
        <v>0</v>
      </c>
      <c r="AHS68" s="15">
        <v>0</v>
      </c>
      <c r="AHT68" s="15">
        <v>0</v>
      </c>
      <c r="AHU68" s="15">
        <v>0</v>
      </c>
      <c r="AHV68" s="15">
        <v>0</v>
      </c>
      <c r="AHW68" s="15">
        <v>0</v>
      </c>
      <c r="AHX68" s="15">
        <v>0</v>
      </c>
      <c r="AHY68" s="15">
        <v>0</v>
      </c>
      <c r="AHZ68" s="15">
        <v>0</v>
      </c>
      <c r="AIA68" s="15">
        <v>0</v>
      </c>
      <c r="AIB68" s="15">
        <v>0</v>
      </c>
      <c r="AIC68" s="15">
        <v>0</v>
      </c>
      <c r="AID68" s="15">
        <v>0</v>
      </c>
      <c r="AIE68" s="15">
        <v>0</v>
      </c>
      <c r="AIF68" s="15">
        <v>0</v>
      </c>
      <c r="AIG68" s="15">
        <v>0</v>
      </c>
      <c r="AIH68" s="15">
        <v>0</v>
      </c>
      <c r="AII68" s="15">
        <v>0</v>
      </c>
      <c r="AIJ68" s="15">
        <v>0</v>
      </c>
      <c r="AIK68" s="15">
        <v>0</v>
      </c>
      <c r="AIL68" s="15">
        <v>0</v>
      </c>
      <c r="AIM68" s="15">
        <v>0</v>
      </c>
      <c r="AIN68" s="15">
        <v>0</v>
      </c>
      <c r="AIO68" s="15">
        <v>0</v>
      </c>
      <c r="AIP68" s="15">
        <v>0</v>
      </c>
      <c r="AIQ68" s="15">
        <v>0</v>
      </c>
      <c r="AIR68" s="15">
        <v>0</v>
      </c>
      <c r="AIS68" s="15">
        <v>0</v>
      </c>
      <c r="AIT68" s="15">
        <v>0</v>
      </c>
      <c r="AIU68" s="15">
        <v>0</v>
      </c>
      <c r="AIV68" s="15">
        <v>0</v>
      </c>
      <c r="AIW68" s="15">
        <v>0</v>
      </c>
      <c r="AIX68" s="15">
        <v>0</v>
      </c>
      <c r="AIY68" s="15">
        <v>0</v>
      </c>
      <c r="AIZ68" s="15">
        <v>0</v>
      </c>
      <c r="AJA68" s="15">
        <v>0</v>
      </c>
      <c r="AJB68" s="15">
        <v>0</v>
      </c>
      <c r="AJC68" s="15">
        <v>0</v>
      </c>
      <c r="AJD68" s="15">
        <v>0</v>
      </c>
      <c r="AJE68" s="15">
        <v>0</v>
      </c>
      <c r="AJF68" s="15"/>
      <c r="AJG68" s="15">
        <v>0</v>
      </c>
      <c r="AJH68" s="15">
        <v>0</v>
      </c>
      <c r="AJI68" s="15">
        <v>0</v>
      </c>
      <c r="AJJ68" s="15">
        <v>0</v>
      </c>
      <c r="AJK68" s="15">
        <v>0</v>
      </c>
      <c r="AJL68" s="15">
        <v>0</v>
      </c>
      <c r="AJM68" s="15">
        <v>0</v>
      </c>
      <c r="AJN68" s="15"/>
      <c r="AJO68" s="15">
        <v>0</v>
      </c>
      <c r="AJP68" s="15">
        <v>0</v>
      </c>
      <c r="AJQ68" s="15">
        <v>0</v>
      </c>
      <c r="AJR68" s="15">
        <v>0</v>
      </c>
      <c r="AJS68" s="15">
        <v>0</v>
      </c>
      <c r="AJT68" s="15">
        <v>0</v>
      </c>
      <c r="AJU68" s="15">
        <v>0</v>
      </c>
      <c r="AJV68" s="15">
        <v>0</v>
      </c>
      <c r="AJW68" s="15">
        <v>0</v>
      </c>
      <c r="AJX68" s="15"/>
      <c r="AJY68" s="15">
        <v>0</v>
      </c>
      <c r="AJZ68" s="15">
        <v>0</v>
      </c>
      <c r="AKA68" s="15">
        <v>0</v>
      </c>
      <c r="AKB68" s="15">
        <v>0</v>
      </c>
      <c r="AKC68" s="15">
        <v>0</v>
      </c>
      <c r="AKD68" s="15">
        <v>0</v>
      </c>
      <c r="AKE68" s="15">
        <v>0</v>
      </c>
      <c r="AKF68" s="15">
        <v>0</v>
      </c>
      <c r="AKG68" s="15">
        <v>0</v>
      </c>
      <c r="AKH68" s="15">
        <v>0</v>
      </c>
      <c r="AKI68" s="15"/>
      <c r="AKJ68" s="15">
        <v>0</v>
      </c>
      <c r="AKK68" s="15">
        <v>0</v>
      </c>
      <c r="AKL68" s="15">
        <v>0</v>
      </c>
      <c r="AKM68" s="15">
        <v>0</v>
      </c>
      <c r="AKN68" s="15">
        <v>0</v>
      </c>
      <c r="AKO68" s="15">
        <v>0</v>
      </c>
      <c r="AKP68" s="15">
        <v>0</v>
      </c>
      <c r="AKQ68" s="15">
        <v>0</v>
      </c>
      <c r="AKR68" s="15">
        <v>0</v>
      </c>
      <c r="AKS68" s="15">
        <v>0</v>
      </c>
      <c r="AKT68" s="15">
        <v>0</v>
      </c>
      <c r="AKU68" s="15">
        <v>0</v>
      </c>
      <c r="AKV68" s="15">
        <v>0</v>
      </c>
      <c r="AKW68" s="15">
        <v>0</v>
      </c>
      <c r="AKX68" s="15"/>
      <c r="AKY68" s="15">
        <v>0</v>
      </c>
      <c r="AKZ68" s="15">
        <v>0</v>
      </c>
      <c r="ALA68" s="15">
        <v>0</v>
      </c>
      <c r="ALB68" s="15">
        <v>0</v>
      </c>
      <c r="ALC68" s="15">
        <v>0</v>
      </c>
      <c r="ALD68" s="15">
        <v>0</v>
      </c>
      <c r="ALE68" s="15">
        <v>0</v>
      </c>
      <c r="ALF68" s="15">
        <v>0</v>
      </c>
      <c r="ALG68" s="15">
        <v>0</v>
      </c>
      <c r="ALH68" s="15">
        <v>0</v>
      </c>
      <c r="ALI68" s="15">
        <v>0</v>
      </c>
      <c r="ALJ68" s="15">
        <v>0</v>
      </c>
      <c r="ALK68" s="15">
        <v>0</v>
      </c>
      <c r="ALL68" s="15">
        <v>0</v>
      </c>
      <c r="ALM68" s="15"/>
      <c r="ALN68" s="15">
        <v>0</v>
      </c>
      <c r="ALO68" s="15">
        <v>0</v>
      </c>
      <c r="ALP68" s="15">
        <v>0</v>
      </c>
      <c r="ALQ68" s="15">
        <v>0</v>
      </c>
      <c r="ALR68" s="15">
        <v>0</v>
      </c>
      <c r="ALS68" s="15">
        <v>0</v>
      </c>
      <c r="ALT68" s="15">
        <v>0</v>
      </c>
      <c r="ALU68" s="15">
        <v>0</v>
      </c>
      <c r="ALV68" s="15">
        <v>0</v>
      </c>
      <c r="ALW68" s="15">
        <v>0</v>
      </c>
      <c r="ALX68" s="15">
        <v>0</v>
      </c>
      <c r="ALY68" s="15">
        <v>0</v>
      </c>
      <c r="ALZ68" s="15">
        <v>0</v>
      </c>
      <c r="AMA68" s="15">
        <v>0</v>
      </c>
      <c r="AMB68" s="15">
        <v>0</v>
      </c>
      <c r="AMC68" s="15"/>
      <c r="AMD68" s="15">
        <v>0</v>
      </c>
      <c r="AME68" s="15">
        <v>0</v>
      </c>
      <c r="AMF68" s="15">
        <v>0</v>
      </c>
      <c r="AMG68" s="15">
        <v>0</v>
      </c>
      <c r="AMH68" s="15">
        <v>0</v>
      </c>
      <c r="AMI68" s="15">
        <v>0</v>
      </c>
      <c r="AMJ68" s="15">
        <v>0</v>
      </c>
      <c r="AMK68" s="15">
        <v>0</v>
      </c>
      <c r="AML68" s="15">
        <v>0</v>
      </c>
      <c r="AMM68" s="15">
        <v>0</v>
      </c>
      <c r="AMN68" s="15">
        <v>0</v>
      </c>
      <c r="AMO68" s="15">
        <v>0</v>
      </c>
      <c r="AMP68" s="15">
        <v>0</v>
      </c>
      <c r="AMQ68" s="15">
        <v>0</v>
      </c>
      <c r="AMR68" s="15">
        <v>0</v>
      </c>
      <c r="AMS68" s="15">
        <v>0</v>
      </c>
      <c r="AMT68" s="15">
        <v>0</v>
      </c>
      <c r="AMU68" s="15">
        <v>0</v>
      </c>
      <c r="AMV68" s="15">
        <v>0</v>
      </c>
      <c r="AMW68" s="15">
        <v>0</v>
      </c>
      <c r="AMX68" s="15">
        <v>0</v>
      </c>
      <c r="AMY68" s="15">
        <v>0</v>
      </c>
      <c r="AMZ68" s="15">
        <v>0</v>
      </c>
      <c r="ANA68" s="15">
        <v>0</v>
      </c>
      <c r="ANB68" s="15">
        <v>0</v>
      </c>
      <c r="ANC68" s="15">
        <v>0</v>
      </c>
      <c r="AND68" s="15">
        <v>0</v>
      </c>
      <c r="ANE68" s="15"/>
      <c r="ANF68" s="15"/>
      <c r="ANG68" s="15"/>
      <c r="ANH68" s="15"/>
      <c r="ANI68" s="15"/>
      <c r="ANJ68" s="15"/>
      <c r="ANK68" s="15"/>
      <c r="ANL68" s="15"/>
      <c r="ANM68" s="15"/>
      <c r="ANN68" s="15"/>
      <c r="ANO68" s="15"/>
      <c r="ANP68" s="15"/>
      <c r="ANQ68" s="15"/>
      <c r="ANR68" s="15"/>
      <c r="ANS68" s="15"/>
      <c r="ANT68" s="15"/>
      <c r="ANU68" s="15"/>
      <c r="ANV68" s="15"/>
      <c r="ANW68" s="15"/>
      <c r="ANX68" s="15"/>
      <c r="ANY68" s="15"/>
      <c r="ANZ68" s="15"/>
      <c r="AOA68" s="15"/>
      <c r="AOB68" s="15"/>
      <c r="AOC68" s="15"/>
      <c r="AOD68" s="15"/>
      <c r="AOE68" s="15"/>
      <c r="AOF68" s="15"/>
      <c r="AOG68" s="15"/>
      <c r="AOH68" s="15"/>
      <c r="AOI68" s="15"/>
      <c r="AOJ68" s="15"/>
      <c r="AOK68" s="15"/>
      <c r="AOL68" s="15"/>
      <c r="AOM68" s="15"/>
      <c r="AON68" s="15"/>
      <c r="AOO68" s="15"/>
      <c r="AOP68" s="15"/>
      <c r="AOQ68" s="15"/>
      <c r="AOR68" s="15"/>
      <c r="AOS68" s="15"/>
      <c r="AOT68" s="15"/>
      <c r="AOU68" s="15"/>
      <c r="AOV68" s="15"/>
      <c r="AOW68" s="15"/>
      <c r="AOX68" s="15"/>
      <c r="AOY68" s="15"/>
      <c r="AOZ68" s="15"/>
      <c r="APA68" s="15"/>
      <c r="APB68" s="15"/>
      <c r="APC68" s="15"/>
      <c r="APD68" s="15"/>
      <c r="APE68" s="15"/>
      <c r="APF68" s="15"/>
      <c r="APG68" s="15"/>
      <c r="APH68" s="15"/>
      <c r="API68" s="15"/>
      <c r="APJ68" s="15"/>
      <c r="APK68" s="15"/>
      <c r="APL68" s="15"/>
      <c r="APM68" s="15"/>
      <c r="APN68" s="15"/>
      <c r="APO68" s="15"/>
      <c r="APP68" s="15"/>
      <c r="APQ68" s="15"/>
      <c r="APR68" s="15"/>
      <c r="APS68" s="15"/>
      <c r="APT68" s="15"/>
      <c r="APU68" s="15"/>
      <c r="APV68" s="15"/>
      <c r="APW68" s="15"/>
      <c r="APX68" s="15"/>
      <c r="APY68" s="15"/>
      <c r="APZ68" s="15"/>
      <c r="AQA68" s="15"/>
      <c r="AQB68" s="15"/>
    </row>
    <row r="69" spans="1:1120" s="17" customFormat="1" ht="15" customHeight="1" x14ac:dyDescent="0.25">
      <c r="A69" s="11" t="s">
        <v>3</v>
      </c>
      <c r="B69" s="6" t="s">
        <v>58</v>
      </c>
      <c r="C69" s="15">
        <v>0</v>
      </c>
      <c r="D69" s="15">
        <v>0</v>
      </c>
      <c r="E69" s="15">
        <v>0</v>
      </c>
      <c r="F69" s="15">
        <v>0</v>
      </c>
      <c r="G69" s="15">
        <v>0</v>
      </c>
      <c r="H69" s="15">
        <v>0</v>
      </c>
      <c r="I69" s="15">
        <v>0</v>
      </c>
      <c r="J69" s="15"/>
      <c r="K69" s="15">
        <v>0</v>
      </c>
      <c r="L69" s="15">
        <v>0</v>
      </c>
      <c r="M69" s="15">
        <v>0</v>
      </c>
      <c r="N69" s="15">
        <v>0</v>
      </c>
      <c r="O69" s="15">
        <v>0</v>
      </c>
      <c r="P69" s="15">
        <v>0</v>
      </c>
      <c r="Q69" s="15"/>
      <c r="R69" s="15">
        <v>0</v>
      </c>
      <c r="S69" s="15">
        <v>0</v>
      </c>
      <c r="T69" s="15">
        <v>0</v>
      </c>
      <c r="U69" s="15">
        <v>0</v>
      </c>
      <c r="V69" s="15">
        <v>0</v>
      </c>
      <c r="W69" s="15">
        <v>0</v>
      </c>
      <c r="X69" s="15"/>
      <c r="Y69" s="15">
        <v>0</v>
      </c>
      <c r="Z69" s="15">
        <v>0</v>
      </c>
      <c r="AA69" s="15">
        <v>0</v>
      </c>
      <c r="AB69" s="15">
        <v>0</v>
      </c>
      <c r="AC69" s="15">
        <v>0</v>
      </c>
      <c r="AD69" s="15">
        <v>0</v>
      </c>
      <c r="AE69" s="15"/>
      <c r="AF69" s="15">
        <v>0</v>
      </c>
      <c r="AG69" s="15">
        <v>0</v>
      </c>
      <c r="AH69" s="15">
        <v>0</v>
      </c>
      <c r="AI69" s="15">
        <v>0</v>
      </c>
      <c r="AJ69" s="15">
        <v>0</v>
      </c>
      <c r="AK69" s="15">
        <v>0</v>
      </c>
      <c r="AL69" s="15"/>
      <c r="AM69" s="15">
        <v>0</v>
      </c>
      <c r="AN69" s="15">
        <v>0</v>
      </c>
      <c r="AO69" s="15">
        <v>0</v>
      </c>
      <c r="AP69" s="15">
        <v>0</v>
      </c>
      <c r="AQ69" s="15">
        <v>0</v>
      </c>
      <c r="AR69" s="15">
        <v>0</v>
      </c>
      <c r="AS69" s="15">
        <v>0</v>
      </c>
      <c r="AT69" s="15">
        <v>0</v>
      </c>
      <c r="AU69" s="15">
        <v>0</v>
      </c>
      <c r="AV69" s="15">
        <v>0</v>
      </c>
      <c r="AW69" s="15">
        <v>0</v>
      </c>
      <c r="AX69" s="15">
        <v>0</v>
      </c>
      <c r="AY69" s="15">
        <v>0</v>
      </c>
      <c r="AZ69" s="15">
        <v>0</v>
      </c>
      <c r="BA69" s="15">
        <v>0</v>
      </c>
      <c r="BB69" s="15">
        <v>0</v>
      </c>
      <c r="BC69" s="15">
        <v>0</v>
      </c>
      <c r="BD69" s="15">
        <v>0</v>
      </c>
      <c r="BE69" s="15">
        <v>0</v>
      </c>
      <c r="BF69" s="15">
        <v>0</v>
      </c>
      <c r="BG69" s="15">
        <v>0</v>
      </c>
      <c r="BH69" s="15">
        <v>0</v>
      </c>
      <c r="BI69" s="15">
        <v>0</v>
      </c>
      <c r="BJ69" s="15">
        <v>0</v>
      </c>
      <c r="BK69" s="15">
        <v>0</v>
      </c>
      <c r="BL69" s="15">
        <v>0</v>
      </c>
      <c r="BM69" s="15">
        <v>0</v>
      </c>
      <c r="BN69" s="15">
        <v>0</v>
      </c>
      <c r="BO69" s="15">
        <v>0</v>
      </c>
      <c r="BP69" s="15">
        <v>0</v>
      </c>
      <c r="BQ69" s="15">
        <v>0</v>
      </c>
      <c r="BR69" s="15">
        <v>0</v>
      </c>
      <c r="BS69" s="15">
        <v>0</v>
      </c>
      <c r="BT69" s="15">
        <v>0</v>
      </c>
      <c r="BU69" s="15">
        <v>0</v>
      </c>
      <c r="BV69" s="15">
        <v>0</v>
      </c>
      <c r="BW69" s="15">
        <v>0</v>
      </c>
      <c r="BX69" s="15">
        <v>0</v>
      </c>
      <c r="BY69" s="15">
        <v>0</v>
      </c>
      <c r="BZ69" s="15">
        <v>0</v>
      </c>
      <c r="CA69" s="15">
        <v>0</v>
      </c>
      <c r="CB69" s="15">
        <v>0</v>
      </c>
      <c r="CC69" s="15">
        <v>0</v>
      </c>
      <c r="CD69" s="15">
        <v>0</v>
      </c>
      <c r="CE69" s="15">
        <v>0</v>
      </c>
      <c r="CF69" s="15">
        <v>0</v>
      </c>
      <c r="CG69" s="15">
        <v>0</v>
      </c>
      <c r="CH69" s="15">
        <v>0</v>
      </c>
      <c r="CI69" s="15">
        <v>0</v>
      </c>
      <c r="CJ69" s="15">
        <v>0</v>
      </c>
      <c r="CK69" s="15">
        <v>0</v>
      </c>
      <c r="CL69" s="15">
        <v>0</v>
      </c>
      <c r="CM69" s="15">
        <v>0</v>
      </c>
      <c r="CN69" s="15">
        <v>0</v>
      </c>
      <c r="CO69" s="15">
        <v>0</v>
      </c>
      <c r="CP69" s="15">
        <v>0</v>
      </c>
      <c r="CQ69" s="15">
        <v>0</v>
      </c>
      <c r="CR69" s="15">
        <v>0</v>
      </c>
      <c r="CS69" s="15">
        <v>0</v>
      </c>
      <c r="CT69" s="15">
        <v>0</v>
      </c>
      <c r="CU69" s="15">
        <v>0</v>
      </c>
      <c r="CV69" s="15">
        <v>0</v>
      </c>
      <c r="CW69" s="15">
        <v>0</v>
      </c>
      <c r="CX69" s="15">
        <v>0</v>
      </c>
      <c r="CY69" s="15">
        <v>0</v>
      </c>
      <c r="CZ69" s="15">
        <v>0</v>
      </c>
      <c r="DA69" s="15">
        <v>0</v>
      </c>
      <c r="DB69" s="15">
        <v>0</v>
      </c>
      <c r="DC69" s="15">
        <v>0</v>
      </c>
      <c r="DD69" s="15">
        <v>0</v>
      </c>
      <c r="DE69" s="15">
        <v>0</v>
      </c>
      <c r="DF69" s="15">
        <v>0</v>
      </c>
      <c r="DG69" s="15">
        <v>0</v>
      </c>
      <c r="DH69" s="15">
        <v>0</v>
      </c>
      <c r="DI69" s="15">
        <v>0</v>
      </c>
      <c r="DJ69" s="15">
        <v>0</v>
      </c>
      <c r="DK69" s="15">
        <v>0</v>
      </c>
      <c r="DL69" s="15">
        <v>0</v>
      </c>
      <c r="DM69" s="15">
        <v>0</v>
      </c>
      <c r="DN69" s="15">
        <v>0</v>
      </c>
      <c r="DO69" s="15">
        <v>0</v>
      </c>
      <c r="DP69" s="15">
        <v>0</v>
      </c>
      <c r="DQ69" s="15">
        <v>0</v>
      </c>
      <c r="DR69" s="15">
        <v>0</v>
      </c>
      <c r="DS69" s="15">
        <v>0</v>
      </c>
      <c r="DT69" s="15">
        <v>0</v>
      </c>
      <c r="DU69" s="15">
        <v>0</v>
      </c>
      <c r="DV69" s="15">
        <v>0</v>
      </c>
      <c r="DW69" s="15">
        <v>0</v>
      </c>
      <c r="DX69" s="15">
        <v>0</v>
      </c>
      <c r="DY69" s="15">
        <v>0</v>
      </c>
      <c r="DZ69" s="15">
        <v>0</v>
      </c>
      <c r="EA69" s="15">
        <v>0</v>
      </c>
      <c r="EB69" s="15">
        <v>0</v>
      </c>
      <c r="EC69" s="15">
        <v>0</v>
      </c>
      <c r="ED69" s="15">
        <v>0</v>
      </c>
      <c r="EE69" s="15">
        <v>0</v>
      </c>
      <c r="EF69" s="15">
        <v>0</v>
      </c>
      <c r="EG69" s="15">
        <v>0</v>
      </c>
      <c r="EH69" s="15">
        <v>0</v>
      </c>
      <c r="EI69" s="15">
        <v>0</v>
      </c>
      <c r="EJ69" s="15">
        <v>0</v>
      </c>
      <c r="EK69" s="15">
        <v>0</v>
      </c>
      <c r="EL69" s="15">
        <v>0</v>
      </c>
      <c r="EM69" s="15">
        <v>0</v>
      </c>
      <c r="EN69" s="15">
        <v>0</v>
      </c>
      <c r="EO69" s="15">
        <v>0</v>
      </c>
      <c r="EP69" s="15">
        <v>0</v>
      </c>
      <c r="EQ69" s="15">
        <v>0</v>
      </c>
      <c r="ER69" s="15">
        <v>0</v>
      </c>
      <c r="ES69" s="15">
        <v>0</v>
      </c>
      <c r="ET69" s="15">
        <v>0</v>
      </c>
      <c r="EU69" s="15">
        <v>0</v>
      </c>
      <c r="EV69" s="15">
        <v>0</v>
      </c>
      <c r="EW69" s="15">
        <v>0</v>
      </c>
      <c r="EX69" s="15">
        <v>0</v>
      </c>
      <c r="EY69" s="15">
        <v>0</v>
      </c>
      <c r="EZ69" s="15">
        <v>0</v>
      </c>
      <c r="FA69" s="15">
        <v>0</v>
      </c>
      <c r="FB69" s="15">
        <v>0</v>
      </c>
      <c r="FC69" s="15">
        <v>0</v>
      </c>
      <c r="FD69" s="15"/>
      <c r="FE69" s="15">
        <v>0</v>
      </c>
      <c r="FF69" s="15">
        <v>0</v>
      </c>
      <c r="FG69" s="15">
        <v>0</v>
      </c>
      <c r="FH69" s="15">
        <v>0</v>
      </c>
      <c r="FI69" s="15">
        <v>0</v>
      </c>
      <c r="FJ69" s="15">
        <v>0</v>
      </c>
      <c r="FK69" s="15">
        <v>0</v>
      </c>
      <c r="FL69" s="15">
        <v>0</v>
      </c>
      <c r="FM69" s="15">
        <v>0</v>
      </c>
      <c r="FN69" s="15">
        <v>0</v>
      </c>
      <c r="FO69" s="15">
        <v>0</v>
      </c>
      <c r="FP69" s="15">
        <v>0</v>
      </c>
      <c r="FQ69" s="15">
        <v>0</v>
      </c>
      <c r="FR69" s="15">
        <v>0</v>
      </c>
      <c r="FS69" s="15">
        <v>0</v>
      </c>
      <c r="FT69" s="15">
        <v>0</v>
      </c>
      <c r="FU69" s="15">
        <v>0</v>
      </c>
      <c r="FV69" s="15">
        <v>0</v>
      </c>
      <c r="FW69" s="15">
        <v>0</v>
      </c>
      <c r="FX69" s="15">
        <v>0</v>
      </c>
      <c r="FY69" s="15">
        <v>0</v>
      </c>
      <c r="FZ69" s="15">
        <v>0</v>
      </c>
      <c r="GA69" s="15">
        <v>0</v>
      </c>
      <c r="GB69" s="15">
        <v>0</v>
      </c>
      <c r="GC69" s="15">
        <v>0</v>
      </c>
      <c r="GD69" s="15">
        <v>0</v>
      </c>
      <c r="GE69" s="15">
        <v>0</v>
      </c>
      <c r="GF69" s="15">
        <v>0</v>
      </c>
      <c r="GG69" s="15">
        <v>0</v>
      </c>
      <c r="GH69" s="15">
        <v>0</v>
      </c>
      <c r="GI69" s="15">
        <v>0</v>
      </c>
      <c r="GJ69" s="15">
        <v>0</v>
      </c>
      <c r="GK69" s="15">
        <v>0</v>
      </c>
      <c r="GL69" s="15">
        <v>0</v>
      </c>
      <c r="GM69" s="15">
        <v>0</v>
      </c>
      <c r="GN69" s="15">
        <v>0</v>
      </c>
      <c r="GO69" s="15">
        <v>0</v>
      </c>
      <c r="GP69" s="15">
        <v>0</v>
      </c>
      <c r="GQ69" s="15">
        <v>0</v>
      </c>
      <c r="GR69" s="15">
        <v>0</v>
      </c>
      <c r="GS69" s="15">
        <v>0</v>
      </c>
      <c r="GT69" s="15">
        <v>0</v>
      </c>
      <c r="GU69" s="15">
        <v>0</v>
      </c>
      <c r="GV69" s="15">
        <v>0</v>
      </c>
      <c r="GW69" s="15">
        <v>0</v>
      </c>
      <c r="GX69" s="15">
        <v>0</v>
      </c>
      <c r="GY69" s="15">
        <v>0</v>
      </c>
      <c r="GZ69" s="15">
        <v>0</v>
      </c>
      <c r="HA69" s="15">
        <v>0</v>
      </c>
      <c r="HB69" s="15">
        <v>0</v>
      </c>
      <c r="HC69" s="15">
        <v>0</v>
      </c>
      <c r="HD69" s="15">
        <v>0</v>
      </c>
      <c r="HE69" s="15">
        <v>0</v>
      </c>
      <c r="HF69" s="15">
        <v>0</v>
      </c>
      <c r="HG69" s="15">
        <v>0</v>
      </c>
      <c r="HH69" s="15">
        <v>0</v>
      </c>
      <c r="HI69" s="15">
        <v>0</v>
      </c>
      <c r="HJ69" s="15">
        <v>0</v>
      </c>
      <c r="HK69" s="15">
        <v>0</v>
      </c>
      <c r="HL69" s="15">
        <v>0</v>
      </c>
      <c r="HM69" s="15">
        <v>0</v>
      </c>
      <c r="HN69" s="15">
        <v>0</v>
      </c>
      <c r="HO69" s="15">
        <v>0</v>
      </c>
      <c r="HP69" s="15">
        <v>0</v>
      </c>
      <c r="HQ69" s="15">
        <v>0</v>
      </c>
      <c r="HR69" s="15">
        <v>0</v>
      </c>
      <c r="HS69" s="15">
        <v>0</v>
      </c>
      <c r="HT69" s="15">
        <v>0</v>
      </c>
      <c r="HU69" s="15">
        <v>0</v>
      </c>
      <c r="HV69" s="15">
        <v>0</v>
      </c>
      <c r="HW69" s="15">
        <v>0</v>
      </c>
      <c r="HX69" s="15">
        <v>0</v>
      </c>
      <c r="HY69" s="15">
        <v>0</v>
      </c>
      <c r="HZ69" s="15">
        <v>0</v>
      </c>
      <c r="IA69" s="15">
        <v>0</v>
      </c>
      <c r="IB69" s="15"/>
      <c r="IC69" s="15">
        <v>0</v>
      </c>
      <c r="ID69" s="15">
        <v>0</v>
      </c>
      <c r="IE69" s="15">
        <v>0</v>
      </c>
      <c r="IF69" s="15">
        <v>0</v>
      </c>
      <c r="IG69" s="15">
        <v>0</v>
      </c>
      <c r="IH69" s="15">
        <v>0</v>
      </c>
      <c r="II69" s="15">
        <v>0</v>
      </c>
      <c r="IJ69" s="15">
        <v>0</v>
      </c>
      <c r="IK69" s="15"/>
      <c r="IL69" s="15">
        <v>0</v>
      </c>
      <c r="IM69" s="15">
        <v>0</v>
      </c>
      <c r="IN69" s="15">
        <v>0</v>
      </c>
      <c r="IO69" s="15">
        <v>0</v>
      </c>
      <c r="IP69" s="15">
        <v>0</v>
      </c>
      <c r="IQ69" s="15">
        <v>0</v>
      </c>
      <c r="IR69" s="15">
        <v>0</v>
      </c>
      <c r="IS69" s="15">
        <v>0</v>
      </c>
      <c r="IT69" s="15">
        <v>0</v>
      </c>
      <c r="IU69" s="15">
        <v>0</v>
      </c>
      <c r="IV69" s="15">
        <v>0</v>
      </c>
      <c r="IW69" s="15">
        <v>0</v>
      </c>
      <c r="IX69" s="15">
        <v>0</v>
      </c>
      <c r="IY69" s="15">
        <v>0</v>
      </c>
      <c r="IZ69" s="15">
        <v>0</v>
      </c>
      <c r="JA69" s="15">
        <v>0</v>
      </c>
      <c r="JB69" s="15">
        <v>0</v>
      </c>
      <c r="JC69" s="15">
        <v>0</v>
      </c>
      <c r="JD69" s="15">
        <v>0</v>
      </c>
      <c r="JE69" s="15">
        <v>0</v>
      </c>
      <c r="JF69" s="15">
        <v>0</v>
      </c>
      <c r="JG69" s="15">
        <v>0</v>
      </c>
      <c r="JH69" s="15">
        <v>0</v>
      </c>
      <c r="JI69" s="15">
        <v>0</v>
      </c>
      <c r="JJ69" s="15">
        <v>0</v>
      </c>
      <c r="JK69" s="15">
        <v>0</v>
      </c>
      <c r="JL69" s="15">
        <v>0</v>
      </c>
      <c r="JM69" s="15">
        <v>0</v>
      </c>
      <c r="JN69" s="15">
        <v>0</v>
      </c>
      <c r="JO69" s="15">
        <v>0</v>
      </c>
      <c r="JP69" s="15">
        <v>0</v>
      </c>
      <c r="JQ69" s="15">
        <v>0</v>
      </c>
      <c r="JR69" s="15">
        <v>0</v>
      </c>
      <c r="JS69" s="15">
        <v>0</v>
      </c>
      <c r="JT69" s="15">
        <v>0</v>
      </c>
      <c r="JU69" s="15">
        <v>0</v>
      </c>
      <c r="JV69" s="15">
        <v>0</v>
      </c>
      <c r="JW69" s="15">
        <v>0</v>
      </c>
      <c r="JX69" s="15">
        <v>0</v>
      </c>
      <c r="JY69" s="15">
        <v>0</v>
      </c>
      <c r="JZ69" s="15">
        <v>0</v>
      </c>
      <c r="KA69" s="15">
        <v>0</v>
      </c>
      <c r="KB69" s="15">
        <v>0</v>
      </c>
      <c r="KC69" s="15">
        <v>0</v>
      </c>
      <c r="KD69" s="15">
        <v>0</v>
      </c>
      <c r="KE69" s="15">
        <v>0</v>
      </c>
      <c r="KF69" s="15">
        <v>0</v>
      </c>
      <c r="KG69" s="15">
        <v>0</v>
      </c>
      <c r="KH69" s="15">
        <v>0</v>
      </c>
      <c r="KI69" s="15">
        <v>0</v>
      </c>
      <c r="KJ69" s="15">
        <v>0</v>
      </c>
      <c r="KK69" s="15">
        <v>0</v>
      </c>
      <c r="KL69" s="15">
        <v>0</v>
      </c>
      <c r="KM69" s="15">
        <v>0</v>
      </c>
      <c r="KN69" s="15">
        <v>0</v>
      </c>
      <c r="KO69" s="15">
        <v>0</v>
      </c>
      <c r="KP69" s="15">
        <v>0</v>
      </c>
      <c r="KQ69" s="15">
        <v>0</v>
      </c>
      <c r="KR69" s="15">
        <v>0</v>
      </c>
      <c r="KS69" s="15">
        <v>0</v>
      </c>
      <c r="KT69" s="15">
        <v>0</v>
      </c>
      <c r="KU69" s="15">
        <v>0</v>
      </c>
      <c r="KV69" s="15">
        <v>0</v>
      </c>
      <c r="KW69" s="15">
        <v>0</v>
      </c>
      <c r="KX69" s="15">
        <v>0</v>
      </c>
      <c r="KY69" s="15">
        <v>0</v>
      </c>
      <c r="KZ69" s="15">
        <v>0</v>
      </c>
      <c r="LA69" s="15">
        <v>0</v>
      </c>
      <c r="LB69" s="15">
        <v>0</v>
      </c>
      <c r="LC69" s="15">
        <v>0</v>
      </c>
      <c r="LD69" s="15">
        <v>0</v>
      </c>
      <c r="LE69" s="15">
        <v>0</v>
      </c>
      <c r="LF69" s="15">
        <v>0</v>
      </c>
      <c r="LG69" s="15">
        <v>0</v>
      </c>
      <c r="LH69" s="15">
        <v>0</v>
      </c>
      <c r="LI69" s="15">
        <v>0</v>
      </c>
      <c r="LJ69" s="15">
        <v>0</v>
      </c>
      <c r="LK69" s="15">
        <v>0</v>
      </c>
      <c r="LL69" s="15">
        <v>0</v>
      </c>
      <c r="LM69" s="15">
        <v>0</v>
      </c>
      <c r="LN69" s="15">
        <v>0</v>
      </c>
      <c r="LO69" s="15">
        <v>0</v>
      </c>
      <c r="LP69" s="15">
        <v>0</v>
      </c>
      <c r="LQ69" s="15">
        <v>0</v>
      </c>
      <c r="LR69" s="15">
        <v>0</v>
      </c>
      <c r="LS69" s="15">
        <v>0</v>
      </c>
      <c r="LT69" s="15">
        <v>0</v>
      </c>
      <c r="LU69" s="15">
        <v>0</v>
      </c>
      <c r="LV69" s="15">
        <v>0</v>
      </c>
      <c r="LW69" s="15">
        <v>0</v>
      </c>
      <c r="LX69" s="15">
        <v>0</v>
      </c>
      <c r="LY69" s="15">
        <v>0</v>
      </c>
      <c r="LZ69" s="15">
        <v>0</v>
      </c>
      <c r="MA69" s="15">
        <v>0</v>
      </c>
      <c r="MB69" s="15">
        <v>0</v>
      </c>
      <c r="MC69" s="15">
        <v>0</v>
      </c>
      <c r="MD69" s="15">
        <v>0</v>
      </c>
      <c r="ME69" s="15">
        <v>0</v>
      </c>
      <c r="MF69" s="15">
        <v>0</v>
      </c>
      <c r="MG69" s="15">
        <v>0</v>
      </c>
      <c r="MH69" s="15">
        <v>0</v>
      </c>
      <c r="MI69" s="15">
        <v>0</v>
      </c>
      <c r="MJ69" s="15">
        <v>0</v>
      </c>
      <c r="MK69" s="15">
        <v>0</v>
      </c>
      <c r="ML69" s="15">
        <v>0</v>
      </c>
      <c r="MM69" s="15">
        <v>0</v>
      </c>
      <c r="MN69" s="23">
        <v>1</v>
      </c>
      <c r="MO69" s="23">
        <v>1</v>
      </c>
      <c r="MP69" s="23">
        <v>1</v>
      </c>
      <c r="MQ69" s="23">
        <v>1</v>
      </c>
      <c r="MR69" s="15">
        <v>0</v>
      </c>
      <c r="MS69" s="15">
        <v>0</v>
      </c>
      <c r="MT69" s="15">
        <v>0</v>
      </c>
      <c r="MU69" s="15">
        <v>0</v>
      </c>
      <c r="MV69" s="15">
        <v>0</v>
      </c>
      <c r="MW69" s="15">
        <v>0</v>
      </c>
      <c r="MX69" s="15">
        <v>1</v>
      </c>
      <c r="MY69" s="15">
        <v>1</v>
      </c>
      <c r="MZ69" s="15">
        <v>1</v>
      </c>
      <c r="NA69" s="15">
        <v>1</v>
      </c>
      <c r="NB69" s="15">
        <v>0</v>
      </c>
      <c r="NC69" s="15">
        <v>0</v>
      </c>
      <c r="ND69" s="15">
        <v>0</v>
      </c>
      <c r="NE69" s="15">
        <v>0</v>
      </c>
      <c r="NF69" s="15">
        <v>0</v>
      </c>
      <c r="NG69" s="15">
        <v>0</v>
      </c>
      <c r="NH69" s="23">
        <v>1</v>
      </c>
      <c r="NI69" s="23">
        <v>1</v>
      </c>
      <c r="NJ69" s="23">
        <v>1</v>
      </c>
      <c r="NK69" s="23">
        <v>1</v>
      </c>
      <c r="NL69" s="15">
        <v>0</v>
      </c>
      <c r="NM69" s="15">
        <v>0</v>
      </c>
      <c r="NN69" s="15">
        <v>0</v>
      </c>
      <c r="NO69" s="15">
        <v>0</v>
      </c>
      <c r="NP69" s="15">
        <v>0</v>
      </c>
      <c r="NQ69" s="15">
        <v>0</v>
      </c>
      <c r="NR69" s="15">
        <v>0</v>
      </c>
      <c r="NS69" s="15">
        <v>0</v>
      </c>
      <c r="NT69" s="15">
        <v>0</v>
      </c>
      <c r="NU69" s="15">
        <v>0</v>
      </c>
      <c r="NV69" s="15">
        <v>0</v>
      </c>
      <c r="NW69" s="15">
        <v>0</v>
      </c>
      <c r="NX69" s="15">
        <v>0</v>
      </c>
      <c r="NY69" s="15">
        <v>0</v>
      </c>
      <c r="NZ69" s="15">
        <v>0</v>
      </c>
      <c r="OA69" s="15">
        <v>0</v>
      </c>
      <c r="OB69" s="15">
        <v>0</v>
      </c>
      <c r="OC69" s="15">
        <v>0</v>
      </c>
      <c r="OD69" s="15">
        <v>0</v>
      </c>
      <c r="OE69" s="15">
        <v>0</v>
      </c>
      <c r="OF69" s="15">
        <v>0</v>
      </c>
      <c r="OG69" s="15">
        <v>0</v>
      </c>
      <c r="OH69" s="15">
        <v>0</v>
      </c>
      <c r="OI69" s="15">
        <v>0</v>
      </c>
      <c r="OJ69" s="15">
        <v>0</v>
      </c>
      <c r="OK69" s="15">
        <v>0</v>
      </c>
      <c r="OL69" s="15">
        <v>0</v>
      </c>
      <c r="OM69" s="15">
        <v>0</v>
      </c>
      <c r="ON69" s="15">
        <v>0</v>
      </c>
      <c r="OO69" s="15">
        <v>0</v>
      </c>
      <c r="OP69" s="15">
        <v>0</v>
      </c>
      <c r="OQ69" s="15">
        <v>0</v>
      </c>
      <c r="OR69" s="15">
        <v>0</v>
      </c>
      <c r="OS69" s="15">
        <v>0</v>
      </c>
      <c r="OT69" s="15">
        <v>0</v>
      </c>
      <c r="OU69" s="15">
        <v>0</v>
      </c>
      <c r="OV69" s="15">
        <v>0</v>
      </c>
      <c r="OW69" s="15">
        <v>0</v>
      </c>
      <c r="OX69" s="15">
        <v>0</v>
      </c>
      <c r="OY69" s="15">
        <v>0</v>
      </c>
      <c r="OZ69" s="15">
        <v>0</v>
      </c>
      <c r="PA69" s="15">
        <v>0</v>
      </c>
      <c r="PB69" s="15">
        <v>0</v>
      </c>
      <c r="PC69" s="15">
        <v>0</v>
      </c>
      <c r="PD69" s="15">
        <v>0</v>
      </c>
      <c r="PE69" s="15">
        <v>0</v>
      </c>
      <c r="PF69" s="15">
        <v>0</v>
      </c>
      <c r="PG69" s="15">
        <v>0</v>
      </c>
      <c r="PH69" s="15">
        <v>0</v>
      </c>
      <c r="PI69" s="15">
        <v>0</v>
      </c>
      <c r="PJ69" s="15">
        <v>0</v>
      </c>
      <c r="PK69" s="15">
        <v>0</v>
      </c>
      <c r="PL69" s="15">
        <v>0</v>
      </c>
      <c r="PM69" s="15">
        <v>0</v>
      </c>
      <c r="PN69" s="15">
        <v>0</v>
      </c>
      <c r="PO69" s="15">
        <v>0</v>
      </c>
      <c r="PP69" s="15">
        <v>0</v>
      </c>
      <c r="PQ69" s="15">
        <v>0</v>
      </c>
      <c r="PR69" s="15">
        <v>0</v>
      </c>
      <c r="PS69" s="15">
        <v>0</v>
      </c>
      <c r="PT69" s="15">
        <v>0</v>
      </c>
      <c r="PU69" s="15">
        <v>0</v>
      </c>
      <c r="PV69" s="15">
        <v>0</v>
      </c>
      <c r="PW69" s="15">
        <v>0</v>
      </c>
      <c r="PX69" s="15">
        <v>0</v>
      </c>
      <c r="PY69" s="15">
        <v>0</v>
      </c>
      <c r="PZ69" s="15">
        <v>0</v>
      </c>
      <c r="QA69" s="15">
        <v>0</v>
      </c>
      <c r="QB69" s="15">
        <v>0</v>
      </c>
      <c r="QC69" s="15">
        <v>0</v>
      </c>
      <c r="QD69" s="15">
        <v>0</v>
      </c>
      <c r="QE69" s="15">
        <v>0</v>
      </c>
      <c r="QF69" s="15">
        <v>0</v>
      </c>
      <c r="QG69" s="15">
        <v>0</v>
      </c>
      <c r="QH69" s="15">
        <v>0</v>
      </c>
      <c r="QI69" s="15">
        <v>0</v>
      </c>
      <c r="QJ69" s="15">
        <v>0</v>
      </c>
      <c r="QK69" s="15">
        <v>0</v>
      </c>
      <c r="QL69" s="15">
        <v>0</v>
      </c>
      <c r="QM69" s="15">
        <v>0</v>
      </c>
      <c r="QN69" s="15">
        <v>0</v>
      </c>
      <c r="QO69" s="15">
        <v>0</v>
      </c>
      <c r="QP69" s="15">
        <v>0</v>
      </c>
      <c r="QQ69" s="15">
        <v>0</v>
      </c>
      <c r="QR69" s="15">
        <v>0</v>
      </c>
      <c r="QS69" s="15">
        <v>0</v>
      </c>
      <c r="QT69" s="15">
        <v>0</v>
      </c>
      <c r="QU69" s="15">
        <v>0</v>
      </c>
      <c r="QV69" s="15">
        <v>0</v>
      </c>
      <c r="QW69" s="15">
        <v>0</v>
      </c>
      <c r="QX69" s="15">
        <v>0</v>
      </c>
      <c r="QY69" s="15">
        <v>0</v>
      </c>
      <c r="QZ69" s="15">
        <v>0</v>
      </c>
      <c r="RA69" s="15">
        <v>0</v>
      </c>
      <c r="RB69" s="15">
        <v>0</v>
      </c>
      <c r="RC69" s="15">
        <v>0</v>
      </c>
      <c r="RD69" s="15">
        <v>0</v>
      </c>
      <c r="RE69" s="15">
        <v>0</v>
      </c>
      <c r="RF69" s="15">
        <v>0</v>
      </c>
      <c r="RG69" s="15">
        <v>0</v>
      </c>
      <c r="RH69" s="15">
        <v>0</v>
      </c>
      <c r="RI69" s="15">
        <v>0</v>
      </c>
      <c r="RJ69" s="15">
        <v>0</v>
      </c>
      <c r="RK69" s="15">
        <v>0</v>
      </c>
      <c r="RL69" s="15">
        <v>0</v>
      </c>
      <c r="RM69" s="15">
        <v>0</v>
      </c>
      <c r="RN69" s="15">
        <v>0</v>
      </c>
      <c r="RO69" s="15">
        <v>0</v>
      </c>
      <c r="RP69" s="15">
        <v>0</v>
      </c>
      <c r="RQ69" s="15">
        <v>0</v>
      </c>
      <c r="RR69" s="15">
        <v>0</v>
      </c>
      <c r="RS69" s="15"/>
      <c r="RT69" s="15">
        <v>0</v>
      </c>
      <c r="RU69" s="15">
        <v>0</v>
      </c>
      <c r="RV69" s="15">
        <v>0</v>
      </c>
      <c r="RW69" s="15">
        <v>0</v>
      </c>
      <c r="RX69" s="15">
        <v>0</v>
      </c>
      <c r="RY69" s="15">
        <v>0</v>
      </c>
      <c r="RZ69" s="15">
        <v>0</v>
      </c>
      <c r="SA69" s="15">
        <v>0</v>
      </c>
      <c r="SB69" s="15">
        <v>0</v>
      </c>
      <c r="SC69" s="15">
        <v>0</v>
      </c>
      <c r="SD69" s="15">
        <v>0</v>
      </c>
      <c r="SE69" s="15">
        <v>0</v>
      </c>
      <c r="SF69" s="15">
        <v>0</v>
      </c>
      <c r="SG69" s="15">
        <v>0</v>
      </c>
      <c r="SH69" s="15">
        <v>0</v>
      </c>
      <c r="SI69" s="15">
        <v>0</v>
      </c>
      <c r="SJ69" s="15">
        <v>0</v>
      </c>
      <c r="SK69" s="15">
        <v>0</v>
      </c>
      <c r="SL69" s="15">
        <v>0</v>
      </c>
      <c r="SM69" s="15">
        <v>0</v>
      </c>
      <c r="SN69" s="15">
        <v>0</v>
      </c>
      <c r="SO69" s="15">
        <v>0</v>
      </c>
      <c r="SP69" s="15">
        <v>0</v>
      </c>
      <c r="SQ69" s="15">
        <v>0</v>
      </c>
      <c r="SR69" s="15">
        <v>0</v>
      </c>
      <c r="SS69" s="15">
        <v>0</v>
      </c>
      <c r="ST69" s="15">
        <v>0</v>
      </c>
      <c r="SU69" s="15">
        <v>0</v>
      </c>
      <c r="SV69" s="15">
        <v>0</v>
      </c>
      <c r="SW69" s="15">
        <v>0</v>
      </c>
      <c r="SX69" s="15">
        <v>0</v>
      </c>
      <c r="SY69" s="15">
        <v>0</v>
      </c>
      <c r="SZ69" s="15">
        <v>0</v>
      </c>
      <c r="TA69" s="15">
        <v>0</v>
      </c>
      <c r="TB69" s="15">
        <v>0</v>
      </c>
      <c r="TC69" s="15">
        <v>0</v>
      </c>
      <c r="TD69" s="15">
        <v>0</v>
      </c>
      <c r="TE69" s="15">
        <v>0</v>
      </c>
      <c r="TF69" s="15">
        <v>0</v>
      </c>
      <c r="TG69" s="15">
        <v>0</v>
      </c>
      <c r="TH69" s="15">
        <v>0</v>
      </c>
      <c r="TI69" s="15">
        <v>0</v>
      </c>
      <c r="TJ69" s="15">
        <v>0</v>
      </c>
      <c r="TK69" s="15">
        <v>0</v>
      </c>
      <c r="TL69" s="15">
        <v>0</v>
      </c>
      <c r="TM69" s="15">
        <v>0</v>
      </c>
      <c r="TN69" s="15">
        <v>0</v>
      </c>
      <c r="TO69" s="15">
        <v>0</v>
      </c>
      <c r="TP69" s="15">
        <v>0</v>
      </c>
      <c r="TQ69" s="15">
        <v>0</v>
      </c>
      <c r="TR69" s="15">
        <v>0</v>
      </c>
      <c r="TS69" s="15">
        <v>0</v>
      </c>
      <c r="TT69" s="15">
        <v>0</v>
      </c>
      <c r="TU69" s="15">
        <v>0</v>
      </c>
      <c r="TV69" s="15">
        <v>0</v>
      </c>
      <c r="TW69" s="15">
        <v>0</v>
      </c>
      <c r="TX69" s="15">
        <v>0</v>
      </c>
      <c r="TY69" s="15">
        <v>0</v>
      </c>
      <c r="TZ69" s="15">
        <v>0</v>
      </c>
      <c r="UA69" s="15">
        <v>0</v>
      </c>
      <c r="UB69" s="15">
        <v>0</v>
      </c>
      <c r="UC69" s="15">
        <v>0</v>
      </c>
      <c r="UD69" s="15">
        <v>0</v>
      </c>
      <c r="UE69" s="15">
        <v>0</v>
      </c>
      <c r="UF69" s="15">
        <v>0</v>
      </c>
      <c r="UG69" s="15">
        <v>0</v>
      </c>
      <c r="UH69" s="15">
        <v>0</v>
      </c>
      <c r="UI69" s="15">
        <v>0</v>
      </c>
      <c r="UJ69" s="15">
        <v>0</v>
      </c>
      <c r="UK69" s="15">
        <v>0</v>
      </c>
      <c r="UL69" s="15">
        <v>0</v>
      </c>
      <c r="UM69" s="15">
        <v>0</v>
      </c>
      <c r="UN69" s="15">
        <v>0</v>
      </c>
      <c r="UO69" s="15">
        <v>0</v>
      </c>
      <c r="UP69" s="15">
        <v>0</v>
      </c>
      <c r="UQ69" s="15">
        <v>0</v>
      </c>
      <c r="UR69" s="15">
        <v>0</v>
      </c>
      <c r="US69" s="15">
        <v>0</v>
      </c>
      <c r="UT69" s="15">
        <v>0</v>
      </c>
      <c r="UU69" s="15">
        <v>0</v>
      </c>
      <c r="UV69" s="15">
        <v>0</v>
      </c>
      <c r="UW69" s="15">
        <v>0</v>
      </c>
      <c r="UX69" s="15">
        <v>0</v>
      </c>
      <c r="UY69" s="15">
        <v>0</v>
      </c>
      <c r="UZ69" s="15">
        <v>0</v>
      </c>
      <c r="VA69" s="15">
        <v>0</v>
      </c>
      <c r="VB69" s="15">
        <v>0</v>
      </c>
      <c r="VC69" s="15">
        <v>0</v>
      </c>
      <c r="VD69" s="15">
        <v>0</v>
      </c>
      <c r="VE69" s="15">
        <v>0</v>
      </c>
      <c r="VF69" s="15">
        <v>0</v>
      </c>
      <c r="VG69" s="15">
        <v>0</v>
      </c>
      <c r="VH69" s="15">
        <v>0</v>
      </c>
      <c r="VI69" s="15">
        <v>0</v>
      </c>
      <c r="VJ69" s="15">
        <v>0</v>
      </c>
      <c r="VK69" s="15">
        <v>0</v>
      </c>
      <c r="VL69" s="15">
        <v>0</v>
      </c>
      <c r="VM69" s="15">
        <v>0</v>
      </c>
      <c r="VN69" s="15">
        <v>0</v>
      </c>
      <c r="VO69" s="15">
        <v>0</v>
      </c>
      <c r="VP69" s="15">
        <v>0</v>
      </c>
      <c r="VQ69" s="15">
        <v>0</v>
      </c>
      <c r="VR69" s="15">
        <v>0</v>
      </c>
      <c r="VS69" s="15">
        <v>0</v>
      </c>
      <c r="VT69" s="15">
        <v>0</v>
      </c>
      <c r="VU69" s="15">
        <v>0</v>
      </c>
      <c r="VV69" s="15">
        <v>0</v>
      </c>
      <c r="VW69" s="15">
        <v>0</v>
      </c>
      <c r="VX69" s="15">
        <v>0</v>
      </c>
      <c r="VY69" s="15">
        <v>0</v>
      </c>
      <c r="VZ69" s="15">
        <v>0</v>
      </c>
      <c r="WA69" s="15">
        <v>0</v>
      </c>
      <c r="WB69" s="15">
        <v>0</v>
      </c>
      <c r="WC69" s="15">
        <v>0</v>
      </c>
      <c r="WD69" s="15">
        <v>0</v>
      </c>
      <c r="WE69" s="15">
        <v>0</v>
      </c>
      <c r="WF69" s="15">
        <v>0</v>
      </c>
      <c r="WG69" s="15">
        <v>0</v>
      </c>
      <c r="WH69" s="15">
        <v>0</v>
      </c>
      <c r="WI69" s="15">
        <v>0</v>
      </c>
      <c r="WJ69" s="15">
        <v>0</v>
      </c>
      <c r="WK69" s="15">
        <v>0</v>
      </c>
      <c r="WL69" s="15">
        <v>0</v>
      </c>
      <c r="WM69" s="15">
        <v>0</v>
      </c>
      <c r="WN69" s="15">
        <v>0</v>
      </c>
      <c r="WO69" s="15">
        <v>0</v>
      </c>
      <c r="WP69" s="15">
        <v>0</v>
      </c>
      <c r="WQ69" s="15">
        <v>0</v>
      </c>
      <c r="WR69" s="15">
        <v>0</v>
      </c>
      <c r="WS69" s="15">
        <v>0</v>
      </c>
      <c r="WT69" s="15">
        <v>0</v>
      </c>
      <c r="WU69" s="15">
        <v>0</v>
      </c>
      <c r="WV69" s="15">
        <v>0</v>
      </c>
      <c r="WW69" s="15">
        <v>0</v>
      </c>
      <c r="WX69" s="15">
        <v>0</v>
      </c>
      <c r="WY69" s="15">
        <v>0</v>
      </c>
      <c r="WZ69" s="15">
        <v>0</v>
      </c>
      <c r="XA69" s="15">
        <v>0</v>
      </c>
      <c r="XB69" s="15">
        <v>0</v>
      </c>
      <c r="XC69" s="15">
        <v>0</v>
      </c>
      <c r="XD69" s="15">
        <v>0</v>
      </c>
      <c r="XE69" s="15">
        <v>0</v>
      </c>
      <c r="XF69" s="15">
        <v>0</v>
      </c>
      <c r="XG69" s="15">
        <v>0</v>
      </c>
      <c r="XH69" s="15">
        <v>0</v>
      </c>
      <c r="XI69" s="15">
        <v>0</v>
      </c>
      <c r="XJ69" s="15">
        <v>0</v>
      </c>
      <c r="XK69" s="15">
        <v>0</v>
      </c>
      <c r="XL69" s="15">
        <v>0</v>
      </c>
      <c r="XM69" s="15">
        <v>0</v>
      </c>
      <c r="XN69" s="15">
        <v>0</v>
      </c>
      <c r="XO69" s="15">
        <v>0</v>
      </c>
      <c r="XP69" s="15">
        <v>0</v>
      </c>
      <c r="XQ69" s="15">
        <v>0</v>
      </c>
      <c r="XR69" s="15">
        <v>0</v>
      </c>
      <c r="XS69" s="15">
        <v>0</v>
      </c>
      <c r="XT69" s="15">
        <v>0</v>
      </c>
      <c r="XU69" s="15">
        <v>0</v>
      </c>
      <c r="XV69" s="15">
        <v>0</v>
      </c>
      <c r="XW69" s="15">
        <v>0</v>
      </c>
      <c r="XX69" s="15">
        <v>0</v>
      </c>
      <c r="XY69" s="15">
        <v>0</v>
      </c>
      <c r="XZ69" s="15">
        <v>0</v>
      </c>
      <c r="YA69" s="15">
        <v>0</v>
      </c>
      <c r="YB69" s="15">
        <v>0</v>
      </c>
      <c r="YC69" s="15">
        <v>0</v>
      </c>
      <c r="YD69" s="15">
        <v>0</v>
      </c>
      <c r="YE69" s="15">
        <v>0</v>
      </c>
      <c r="YF69" s="15">
        <v>0</v>
      </c>
      <c r="YG69" s="15">
        <v>0</v>
      </c>
      <c r="YH69" s="15">
        <v>0</v>
      </c>
      <c r="YI69" s="15">
        <v>0</v>
      </c>
      <c r="YJ69" s="15">
        <v>0</v>
      </c>
      <c r="YK69" s="15">
        <v>0</v>
      </c>
      <c r="YL69" s="15">
        <v>0</v>
      </c>
      <c r="YM69" s="15">
        <v>0</v>
      </c>
      <c r="YN69" s="15">
        <v>0</v>
      </c>
      <c r="YO69" s="15">
        <v>0</v>
      </c>
      <c r="YP69" s="15">
        <v>0</v>
      </c>
      <c r="YQ69" s="15">
        <v>0</v>
      </c>
      <c r="YR69" s="15">
        <v>0</v>
      </c>
      <c r="YS69" s="15">
        <v>0</v>
      </c>
      <c r="YT69" s="15">
        <v>0</v>
      </c>
      <c r="YU69" s="15">
        <v>0</v>
      </c>
      <c r="YV69" s="15">
        <v>0</v>
      </c>
      <c r="YW69" s="15">
        <v>0</v>
      </c>
      <c r="YX69" s="15">
        <v>0</v>
      </c>
      <c r="YY69" s="15">
        <v>0</v>
      </c>
      <c r="YZ69" s="15">
        <v>0</v>
      </c>
      <c r="ZA69" s="15">
        <v>0</v>
      </c>
      <c r="ZB69" s="15">
        <v>0</v>
      </c>
      <c r="ZC69" s="15">
        <v>0</v>
      </c>
      <c r="ZD69" s="15">
        <v>0</v>
      </c>
      <c r="ZE69" s="15">
        <v>0</v>
      </c>
      <c r="ZF69" s="15">
        <v>0</v>
      </c>
      <c r="ZG69" s="15">
        <v>0</v>
      </c>
      <c r="ZH69" s="15">
        <v>0</v>
      </c>
      <c r="ZI69" s="15">
        <v>0</v>
      </c>
      <c r="ZJ69" s="15">
        <v>0</v>
      </c>
      <c r="ZK69" s="15">
        <v>0</v>
      </c>
      <c r="ZL69" s="15">
        <v>0</v>
      </c>
      <c r="ZM69" s="15">
        <v>0</v>
      </c>
      <c r="ZN69" s="15">
        <v>0</v>
      </c>
      <c r="ZO69" s="15">
        <v>0</v>
      </c>
      <c r="ZP69" s="15">
        <v>0</v>
      </c>
      <c r="ZQ69" s="15">
        <v>0</v>
      </c>
      <c r="ZR69" s="15">
        <v>0</v>
      </c>
      <c r="ZS69" s="15">
        <v>0</v>
      </c>
      <c r="ZT69" s="15">
        <v>0</v>
      </c>
      <c r="ZU69" s="15">
        <v>0</v>
      </c>
      <c r="ZV69" s="15">
        <v>0</v>
      </c>
      <c r="ZW69" s="15">
        <v>0</v>
      </c>
      <c r="ZX69" s="15">
        <v>0</v>
      </c>
      <c r="ZY69" s="15">
        <v>0</v>
      </c>
      <c r="ZZ69" s="15">
        <v>0</v>
      </c>
      <c r="AAA69" s="15">
        <v>0</v>
      </c>
      <c r="AAB69" s="15">
        <v>0</v>
      </c>
      <c r="AAC69" s="15">
        <v>0</v>
      </c>
      <c r="AAD69" s="15">
        <v>0</v>
      </c>
      <c r="AAE69" s="15">
        <v>0</v>
      </c>
      <c r="AAF69" s="15">
        <v>0</v>
      </c>
      <c r="AAG69" s="15">
        <v>0</v>
      </c>
      <c r="AAH69" s="15">
        <v>0</v>
      </c>
      <c r="AAI69" s="15">
        <v>0</v>
      </c>
      <c r="AAJ69" s="15">
        <v>0</v>
      </c>
      <c r="AAK69" s="15">
        <v>0</v>
      </c>
      <c r="AAL69" s="15"/>
      <c r="AAM69" s="15">
        <v>0</v>
      </c>
      <c r="AAN69" s="15">
        <v>0</v>
      </c>
      <c r="AAO69" s="15">
        <v>0</v>
      </c>
      <c r="AAP69" s="15">
        <v>0</v>
      </c>
      <c r="AAQ69" s="15">
        <v>0</v>
      </c>
      <c r="AAR69" s="15">
        <v>0</v>
      </c>
      <c r="AAS69" s="15">
        <v>0</v>
      </c>
      <c r="AAT69" s="15">
        <v>0</v>
      </c>
      <c r="AAU69" s="15">
        <v>0</v>
      </c>
      <c r="AAV69" s="15">
        <v>0</v>
      </c>
      <c r="AAW69" s="15">
        <v>0</v>
      </c>
      <c r="AAX69" s="15"/>
      <c r="AAY69" s="15">
        <v>0</v>
      </c>
      <c r="AAZ69" s="15">
        <v>0</v>
      </c>
      <c r="ABA69" s="15">
        <v>0</v>
      </c>
      <c r="ABB69" s="15">
        <v>0</v>
      </c>
      <c r="ABC69" s="15">
        <v>0</v>
      </c>
      <c r="ABD69" s="15">
        <v>0</v>
      </c>
      <c r="ABE69" s="15">
        <v>0</v>
      </c>
      <c r="ABF69" s="15">
        <v>0</v>
      </c>
      <c r="ABG69" s="15">
        <v>0</v>
      </c>
      <c r="ABH69" s="15">
        <v>0</v>
      </c>
      <c r="ABI69" s="15">
        <v>0</v>
      </c>
      <c r="ABJ69" s="15">
        <v>0</v>
      </c>
      <c r="ABK69" s="15">
        <v>0</v>
      </c>
      <c r="ABL69" s="15">
        <v>0</v>
      </c>
      <c r="ABM69" s="15">
        <v>0</v>
      </c>
      <c r="ABN69" s="15">
        <v>0</v>
      </c>
      <c r="ABO69" s="15">
        <v>0</v>
      </c>
      <c r="ABP69" s="15">
        <v>0</v>
      </c>
      <c r="ABQ69" s="15">
        <v>0</v>
      </c>
      <c r="ABR69" s="15">
        <v>0</v>
      </c>
      <c r="ABS69" s="15">
        <v>0</v>
      </c>
      <c r="ABT69" s="15">
        <v>0</v>
      </c>
      <c r="ABU69" s="15">
        <v>0</v>
      </c>
      <c r="ABV69" s="15">
        <v>0</v>
      </c>
      <c r="ABW69" s="15">
        <v>0</v>
      </c>
      <c r="ABX69" s="15">
        <v>0</v>
      </c>
      <c r="ABY69" s="15">
        <v>0</v>
      </c>
      <c r="ABZ69" s="15">
        <v>0</v>
      </c>
      <c r="ACA69" s="15">
        <v>0</v>
      </c>
      <c r="ACB69" s="15">
        <v>0</v>
      </c>
      <c r="ACC69" s="15">
        <v>0</v>
      </c>
      <c r="ACD69" s="15">
        <v>0</v>
      </c>
      <c r="ACE69" s="15">
        <v>0</v>
      </c>
      <c r="ACF69" s="15">
        <v>0</v>
      </c>
      <c r="ACG69" s="15">
        <v>0</v>
      </c>
      <c r="ACH69" s="15">
        <v>0</v>
      </c>
      <c r="ACI69" s="15">
        <v>0</v>
      </c>
      <c r="ACJ69" s="15">
        <v>0</v>
      </c>
      <c r="ACK69" s="15">
        <v>0</v>
      </c>
      <c r="ACL69" s="15">
        <v>0</v>
      </c>
      <c r="ACM69" s="15">
        <v>0</v>
      </c>
      <c r="ACN69" s="15">
        <v>0</v>
      </c>
      <c r="ACO69" s="15">
        <v>0</v>
      </c>
      <c r="ACP69" s="15">
        <v>0</v>
      </c>
      <c r="ACQ69" s="15">
        <v>0</v>
      </c>
      <c r="ACR69" s="15">
        <v>0</v>
      </c>
      <c r="ACS69" s="15">
        <v>0</v>
      </c>
      <c r="ACT69" s="15">
        <v>0</v>
      </c>
      <c r="ACU69" s="15">
        <v>0</v>
      </c>
      <c r="ACV69" s="15">
        <v>0</v>
      </c>
      <c r="ACW69" s="15">
        <v>0</v>
      </c>
      <c r="ACX69" s="15">
        <v>0</v>
      </c>
      <c r="ACY69" s="15">
        <v>0</v>
      </c>
      <c r="ACZ69" s="15">
        <v>0</v>
      </c>
      <c r="ADA69" s="15">
        <v>0</v>
      </c>
      <c r="ADB69" s="15">
        <v>0</v>
      </c>
      <c r="ADC69" s="15">
        <v>0</v>
      </c>
      <c r="ADD69" s="15">
        <v>0</v>
      </c>
      <c r="ADE69" s="15">
        <v>0</v>
      </c>
      <c r="ADF69" s="15">
        <v>0</v>
      </c>
      <c r="ADG69" s="15">
        <v>0</v>
      </c>
      <c r="ADH69" s="15"/>
      <c r="ADI69" s="15">
        <v>0</v>
      </c>
      <c r="ADJ69" s="15">
        <v>0</v>
      </c>
      <c r="ADK69" s="15">
        <v>0</v>
      </c>
      <c r="ADL69" s="15">
        <v>0</v>
      </c>
      <c r="ADM69" s="15">
        <v>0</v>
      </c>
      <c r="ADN69" s="15">
        <v>0</v>
      </c>
      <c r="ADO69" s="15">
        <v>0</v>
      </c>
      <c r="ADP69" s="15">
        <v>0</v>
      </c>
      <c r="ADQ69" s="15">
        <v>0</v>
      </c>
      <c r="ADR69" s="15">
        <v>0</v>
      </c>
      <c r="ADS69" s="15">
        <v>0</v>
      </c>
      <c r="ADT69" s="15">
        <v>0</v>
      </c>
      <c r="ADU69" s="15">
        <v>0</v>
      </c>
      <c r="ADV69" s="15">
        <v>0</v>
      </c>
      <c r="ADW69" s="15">
        <v>0</v>
      </c>
      <c r="ADX69" s="15">
        <v>0</v>
      </c>
      <c r="ADY69" s="15">
        <v>0</v>
      </c>
      <c r="ADZ69" s="15">
        <v>0</v>
      </c>
      <c r="AEA69" s="15">
        <v>0</v>
      </c>
      <c r="AEB69" s="15">
        <v>0</v>
      </c>
      <c r="AEC69" s="15">
        <v>0</v>
      </c>
      <c r="AED69" s="15">
        <v>0</v>
      </c>
      <c r="AEE69" s="15">
        <v>0</v>
      </c>
      <c r="AEF69" s="15">
        <v>0</v>
      </c>
      <c r="AEG69" s="15">
        <v>0</v>
      </c>
      <c r="AEH69" s="15">
        <v>0</v>
      </c>
      <c r="AEI69" s="15">
        <v>0</v>
      </c>
      <c r="AEJ69" s="15">
        <v>0</v>
      </c>
      <c r="AEK69" s="15">
        <v>0</v>
      </c>
      <c r="AEL69" s="15">
        <v>0</v>
      </c>
      <c r="AEM69" s="15">
        <v>0</v>
      </c>
      <c r="AEN69" s="15">
        <v>0</v>
      </c>
      <c r="AEO69" s="15">
        <v>0</v>
      </c>
      <c r="AEP69" s="15">
        <v>0</v>
      </c>
      <c r="AEQ69" s="15">
        <v>0</v>
      </c>
      <c r="AER69" s="15">
        <v>0</v>
      </c>
      <c r="AES69" s="15">
        <v>0</v>
      </c>
      <c r="AET69" s="15">
        <v>0</v>
      </c>
      <c r="AEU69" s="15">
        <v>0</v>
      </c>
      <c r="AEV69" s="15">
        <v>0</v>
      </c>
      <c r="AEW69" s="15">
        <v>0</v>
      </c>
      <c r="AEX69" s="15">
        <v>0</v>
      </c>
      <c r="AEY69" s="15">
        <v>0</v>
      </c>
      <c r="AEZ69" s="15">
        <v>0</v>
      </c>
      <c r="AFA69" s="15">
        <v>0</v>
      </c>
      <c r="AFB69" s="15">
        <v>0</v>
      </c>
      <c r="AFC69" s="15">
        <v>0</v>
      </c>
      <c r="AFD69" s="15">
        <v>0</v>
      </c>
      <c r="AFE69" s="15">
        <v>0</v>
      </c>
      <c r="AFF69" s="15">
        <v>0</v>
      </c>
      <c r="AFG69" s="15">
        <v>0</v>
      </c>
      <c r="AFH69" s="15">
        <v>0</v>
      </c>
      <c r="AFI69" s="15">
        <v>0</v>
      </c>
      <c r="AFJ69" s="15">
        <v>0</v>
      </c>
      <c r="AFK69" s="15">
        <v>0</v>
      </c>
      <c r="AFL69" s="15">
        <v>0</v>
      </c>
      <c r="AFM69" s="15">
        <v>0</v>
      </c>
      <c r="AFN69" s="15">
        <v>0</v>
      </c>
      <c r="AFO69" s="15">
        <v>0</v>
      </c>
      <c r="AFP69" s="15">
        <v>0</v>
      </c>
      <c r="AFQ69" s="15">
        <v>0</v>
      </c>
      <c r="AFR69" s="15"/>
      <c r="AFS69" s="15">
        <v>0</v>
      </c>
      <c r="AFT69" s="15">
        <v>0</v>
      </c>
      <c r="AFU69" s="15">
        <v>0</v>
      </c>
      <c r="AFV69" s="15">
        <v>0</v>
      </c>
      <c r="AFW69" s="15">
        <v>0</v>
      </c>
      <c r="AFX69" s="15">
        <v>0</v>
      </c>
      <c r="AFY69" s="15">
        <v>0</v>
      </c>
      <c r="AFZ69" s="15">
        <v>0</v>
      </c>
      <c r="AGA69" s="15">
        <v>0</v>
      </c>
      <c r="AGB69" s="15">
        <v>0</v>
      </c>
      <c r="AGC69" s="15">
        <v>0</v>
      </c>
      <c r="AGD69" s="15">
        <v>0</v>
      </c>
      <c r="AGE69" s="15">
        <v>0</v>
      </c>
      <c r="AGF69" s="15">
        <v>0</v>
      </c>
      <c r="AGG69" s="15">
        <v>0</v>
      </c>
      <c r="AGH69" s="15">
        <v>0</v>
      </c>
      <c r="AGI69" s="15">
        <v>0</v>
      </c>
      <c r="AGJ69" s="15">
        <v>0</v>
      </c>
      <c r="AGK69" s="15">
        <v>0</v>
      </c>
      <c r="AGL69" s="15">
        <v>0</v>
      </c>
      <c r="AGM69" s="15">
        <v>0</v>
      </c>
      <c r="AGN69" s="15">
        <v>0</v>
      </c>
      <c r="AGO69" s="15">
        <v>0</v>
      </c>
      <c r="AGP69" s="15">
        <v>0</v>
      </c>
      <c r="AGQ69" s="15">
        <v>0</v>
      </c>
      <c r="AGR69" s="15">
        <v>0</v>
      </c>
      <c r="AGS69" s="15">
        <v>0</v>
      </c>
      <c r="AGT69" s="15">
        <v>0</v>
      </c>
      <c r="AGU69" s="15">
        <v>0</v>
      </c>
      <c r="AGV69" s="15">
        <v>0</v>
      </c>
      <c r="AGW69" s="15">
        <v>0</v>
      </c>
      <c r="AGX69" s="15">
        <v>0</v>
      </c>
      <c r="AGY69" s="15">
        <v>0</v>
      </c>
      <c r="AGZ69" s="15">
        <v>0</v>
      </c>
      <c r="AHA69" s="15">
        <v>0</v>
      </c>
      <c r="AHB69" s="15">
        <v>0</v>
      </c>
      <c r="AHC69" s="15">
        <v>0</v>
      </c>
      <c r="AHD69" s="15">
        <v>0</v>
      </c>
      <c r="AHE69" s="15">
        <v>0</v>
      </c>
      <c r="AHF69" s="15">
        <v>0</v>
      </c>
      <c r="AHG69" s="15">
        <v>0</v>
      </c>
      <c r="AHH69" s="15">
        <v>0</v>
      </c>
      <c r="AHI69" s="15">
        <v>0</v>
      </c>
      <c r="AHJ69" s="15">
        <v>0</v>
      </c>
      <c r="AHK69" s="15">
        <v>0</v>
      </c>
      <c r="AHL69" s="15">
        <v>0</v>
      </c>
      <c r="AHM69" s="15">
        <v>0</v>
      </c>
      <c r="AHN69" s="15">
        <v>0</v>
      </c>
      <c r="AHO69" s="15">
        <v>0</v>
      </c>
      <c r="AHP69" s="15">
        <v>0</v>
      </c>
      <c r="AHQ69" s="15">
        <v>0</v>
      </c>
      <c r="AHR69" s="15">
        <v>0</v>
      </c>
      <c r="AHS69" s="15">
        <v>0</v>
      </c>
      <c r="AHT69" s="15">
        <v>0</v>
      </c>
      <c r="AHU69" s="15">
        <v>0</v>
      </c>
      <c r="AHV69" s="15">
        <v>0</v>
      </c>
      <c r="AHW69" s="15">
        <v>0</v>
      </c>
      <c r="AHX69" s="15">
        <v>0</v>
      </c>
      <c r="AHY69" s="15">
        <v>0</v>
      </c>
      <c r="AHZ69" s="15">
        <v>0</v>
      </c>
      <c r="AIA69" s="15">
        <v>0</v>
      </c>
      <c r="AIB69" s="15">
        <v>0</v>
      </c>
      <c r="AIC69" s="15">
        <v>0</v>
      </c>
      <c r="AID69" s="15">
        <v>0</v>
      </c>
      <c r="AIE69" s="15">
        <v>0</v>
      </c>
      <c r="AIF69" s="15">
        <v>0</v>
      </c>
      <c r="AIG69" s="15">
        <v>0</v>
      </c>
      <c r="AIH69" s="15">
        <v>0</v>
      </c>
      <c r="AII69" s="15">
        <v>0</v>
      </c>
      <c r="AIJ69" s="15">
        <v>0</v>
      </c>
      <c r="AIK69" s="15">
        <v>0</v>
      </c>
      <c r="AIL69" s="15">
        <v>0</v>
      </c>
      <c r="AIM69" s="15">
        <v>0</v>
      </c>
      <c r="AIN69" s="15">
        <v>0</v>
      </c>
      <c r="AIO69" s="15">
        <v>0</v>
      </c>
      <c r="AIP69" s="15">
        <v>0</v>
      </c>
      <c r="AIQ69" s="15">
        <v>0</v>
      </c>
      <c r="AIR69" s="15">
        <v>0</v>
      </c>
      <c r="AIS69" s="15">
        <v>0</v>
      </c>
      <c r="AIT69" s="15">
        <v>0</v>
      </c>
      <c r="AIU69" s="15">
        <v>0</v>
      </c>
      <c r="AIV69" s="15">
        <v>0</v>
      </c>
      <c r="AIW69" s="15">
        <v>0</v>
      </c>
      <c r="AIX69" s="15">
        <v>0</v>
      </c>
      <c r="AIY69" s="15">
        <v>0</v>
      </c>
      <c r="AIZ69" s="15">
        <v>0</v>
      </c>
      <c r="AJA69" s="15">
        <v>0</v>
      </c>
      <c r="AJB69" s="15">
        <v>0</v>
      </c>
      <c r="AJC69" s="15">
        <v>0</v>
      </c>
      <c r="AJD69" s="15">
        <v>0</v>
      </c>
      <c r="AJE69" s="15">
        <v>0</v>
      </c>
      <c r="AJF69" s="15"/>
      <c r="AJG69" s="15">
        <v>0</v>
      </c>
      <c r="AJH69" s="15">
        <v>0</v>
      </c>
      <c r="AJI69" s="15">
        <v>0</v>
      </c>
      <c r="AJJ69" s="15">
        <v>0</v>
      </c>
      <c r="AJK69" s="15">
        <v>0</v>
      </c>
      <c r="AJL69" s="15">
        <v>0</v>
      </c>
      <c r="AJM69" s="15">
        <v>0</v>
      </c>
      <c r="AJN69" s="15"/>
      <c r="AJO69" s="15">
        <v>0</v>
      </c>
      <c r="AJP69" s="15">
        <v>0</v>
      </c>
      <c r="AJQ69" s="15">
        <v>0</v>
      </c>
      <c r="AJR69" s="15">
        <v>0</v>
      </c>
      <c r="AJS69" s="15">
        <v>0</v>
      </c>
      <c r="AJT69" s="15">
        <v>0</v>
      </c>
      <c r="AJU69" s="15">
        <v>0</v>
      </c>
      <c r="AJV69" s="15">
        <v>0</v>
      </c>
      <c r="AJW69" s="15">
        <v>0</v>
      </c>
      <c r="AJX69" s="15"/>
      <c r="AJY69" s="15">
        <v>0</v>
      </c>
      <c r="AJZ69" s="15">
        <v>0</v>
      </c>
      <c r="AKA69" s="15">
        <v>0</v>
      </c>
      <c r="AKB69" s="15">
        <v>0</v>
      </c>
      <c r="AKC69" s="15">
        <v>0</v>
      </c>
      <c r="AKD69" s="15">
        <v>0</v>
      </c>
      <c r="AKE69" s="15">
        <v>0</v>
      </c>
      <c r="AKF69" s="15">
        <v>0</v>
      </c>
      <c r="AKG69" s="15">
        <v>0</v>
      </c>
      <c r="AKH69" s="15">
        <v>0</v>
      </c>
      <c r="AKI69" s="15"/>
      <c r="AKJ69" s="15">
        <v>0</v>
      </c>
      <c r="AKK69" s="15">
        <v>0</v>
      </c>
      <c r="AKL69" s="15">
        <v>0</v>
      </c>
      <c r="AKM69" s="15">
        <v>0</v>
      </c>
      <c r="AKN69" s="15">
        <v>0</v>
      </c>
      <c r="AKO69" s="15">
        <v>0</v>
      </c>
      <c r="AKP69" s="15">
        <v>0</v>
      </c>
      <c r="AKQ69" s="15">
        <v>0</v>
      </c>
      <c r="AKR69" s="15">
        <v>0</v>
      </c>
      <c r="AKS69" s="15">
        <v>0</v>
      </c>
      <c r="AKT69" s="15">
        <v>0</v>
      </c>
      <c r="AKU69" s="15">
        <v>0</v>
      </c>
      <c r="AKV69" s="15">
        <v>0</v>
      </c>
      <c r="AKW69" s="15">
        <v>0</v>
      </c>
      <c r="AKX69" s="15"/>
      <c r="AKY69" s="15">
        <v>0</v>
      </c>
      <c r="AKZ69" s="15">
        <v>0</v>
      </c>
      <c r="ALA69" s="15">
        <v>0</v>
      </c>
      <c r="ALB69" s="15">
        <v>0</v>
      </c>
      <c r="ALC69" s="15">
        <v>0</v>
      </c>
      <c r="ALD69" s="15">
        <v>0</v>
      </c>
      <c r="ALE69" s="15">
        <v>0</v>
      </c>
      <c r="ALF69" s="15">
        <v>0</v>
      </c>
      <c r="ALG69" s="15">
        <v>0</v>
      </c>
      <c r="ALH69" s="15">
        <v>0</v>
      </c>
      <c r="ALI69" s="15">
        <v>0</v>
      </c>
      <c r="ALJ69" s="15">
        <v>0</v>
      </c>
      <c r="ALK69" s="15">
        <v>0</v>
      </c>
      <c r="ALL69" s="15">
        <v>0</v>
      </c>
      <c r="ALM69" s="15"/>
      <c r="ALN69" s="15">
        <v>0</v>
      </c>
      <c r="ALO69" s="15">
        <v>0</v>
      </c>
      <c r="ALP69" s="15">
        <v>0</v>
      </c>
      <c r="ALQ69" s="15">
        <v>0</v>
      </c>
      <c r="ALR69" s="15">
        <v>0</v>
      </c>
      <c r="ALS69" s="15">
        <v>0</v>
      </c>
      <c r="ALT69" s="15">
        <v>0</v>
      </c>
      <c r="ALU69" s="15">
        <v>0</v>
      </c>
      <c r="ALV69" s="15">
        <v>0</v>
      </c>
      <c r="ALW69" s="15">
        <v>0</v>
      </c>
      <c r="ALX69" s="15">
        <v>0</v>
      </c>
      <c r="ALY69" s="15">
        <v>0</v>
      </c>
      <c r="ALZ69" s="15">
        <v>0</v>
      </c>
      <c r="AMA69" s="15">
        <v>0</v>
      </c>
      <c r="AMB69" s="15">
        <v>0</v>
      </c>
      <c r="AMC69" s="15"/>
      <c r="AMD69" s="15">
        <v>0</v>
      </c>
      <c r="AME69" s="15">
        <v>0</v>
      </c>
      <c r="AMF69" s="15">
        <v>0</v>
      </c>
      <c r="AMG69" s="15">
        <v>0</v>
      </c>
      <c r="AMH69" s="15">
        <v>0</v>
      </c>
      <c r="AMI69" s="15">
        <v>0</v>
      </c>
      <c r="AMJ69" s="15">
        <v>0</v>
      </c>
      <c r="AMK69" s="15">
        <v>0</v>
      </c>
      <c r="AML69" s="15">
        <v>0</v>
      </c>
      <c r="AMM69" s="15">
        <v>0</v>
      </c>
      <c r="AMN69" s="15">
        <v>0</v>
      </c>
      <c r="AMO69" s="15">
        <v>0</v>
      </c>
      <c r="AMP69" s="15">
        <v>0</v>
      </c>
      <c r="AMQ69" s="15">
        <v>0</v>
      </c>
      <c r="AMR69" s="15">
        <v>0</v>
      </c>
      <c r="AMS69" s="15">
        <v>0</v>
      </c>
      <c r="AMT69" s="15">
        <v>0</v>
      </c>
      <c r="AMU69" s="15">
        <v>0</v>
      </c>
      <c r="AMV69" s="15">
        <v>0</v>
      </c>
      <c r="AMW69" s="15">
        <v>0</v>
      </c>
      <c r="AMX69" s="15">
        <v>0</v>
      </c>
      <c r="AMY69" s="15">
        <v>0</v>
      </c>
      <c r="AMZ69" s="15">
        <v>0</v>
      </c>
      <c r="ANA69" s="15">
        <v>0</v>
      </c>
      <c r="ANB69" s="15">
        <v>0</v>
      </c>
      <c r="ANC69" s="15">
        <v>0</v>
      </c>
      <c r="AND69" s="15">
        <v>0</v>
      </c>
      <c r="ANE69" s="15"/>
      <c r="ANF69" s="15"/>
      <c r="ANG69" s="15"/>
      <c r="ANH69" s="15"/>
      <c r="ANI69" s="15"/>
      <c r="ANJ69" s="15"/>
      <c r="ANK69" s="15"/>
      <c r="ANL69" s="15"/>
      <c r="ANM69" s="15"/>
      <c r="ANN69" s="15"/>
      <c r="ANO69" s="15"/>
      <c r="ANP69" s="15"/>
      <c r="ANQ69" s="15"/>
      <c r="ANR69" s="15"/>
      <c r="ANS69" s="15"/>
      <c r="ANT69" s="15"/>
      <c r="ANU69" s="15"/>
      <c r="ANV69" s="15"/>
      <c r="ANW69" s="15"/>
      <c r="ANX69" s="15"/>
      <c r="ANY69" s="15"/>
      <c r="ANZ69" s="15"/>
      <c r="AOA69" s="15"/>
      <c r="AOB69" s="15"/>
      <c r="AOC69" s="15"/>
      <c r="AOD69" s="15"/>
      <c r="AOE69" s="15"/>
      <c r="AOF69" s="15"/>
      <c r="AOG69" s="15"/>
      <c r="AOH69" s="15"/>
      <c r="AOI69" s="15"/>
      <c r="AOJ69" s="15"/>
      <c r="AOK69" s="15"/>
      <c r="AOL69" s="15"/>
      <c r="AOM69" s="15"/>
      <c r="AON69" s="15"/>
      <c r="AOO69" s="15"/>
      <c r="AOP69" s="15"/>
      <c r="AOQ69" s="15"/>
      <c r="AOR69" s="15"/>
      <c r="AOS69" s="15"/>
      <c r="AOT69" s="15"/>
      <c r="AOU69" s="15"/>
      <c r="AOV69" s="15"/>
      <c r="AOW69" s="15"/>
      <c r="AOX69" s="15"/>
      <c r="AOY69" s="15"/>
      <c r="AOZ69" s="15"/>
      <c r="APA69" s="15"/>
      <c r="APB69" s="15"/>
      <c r="APC69" s="15"/>
      <c r="APD69" s="15"/>
      <c r="APE69" s="15"/>
      <c r="APF69" s="15"/>
      <c r="APG69" s="15"/>
      <c r="APH69" s="15"/>
      <c r="API69" s="15"/>
      <c r="APJ69" s="15"/>
      <c r="APK69" s="15"/>
      <c r="APL69" s="15"/>
      <c r="APM69" s="15"/>
      <c r="APN69" s="15"/>
      <c r="APO69" s="15"/>
      <c r="APP69" s="15"/>
      <c r="APQ69" s="15"/>
      <c r="APR69" s="15"/>
      <c r="APS69" s="15"/>
      <c r="APT69" s="15"/>
      <c r="APU69" s="15"/>
      <c r="APV69" s="15"/>
      <c r="APW69" s="15"/>
      <c r="APX69" s="15"/>
      <c r="APY69" s="15"/>
      <c r="APZ69" s="15"/>
      <c r="AQA69" s="15"/>
      <c r="AQB69" s="15"/>
    </row>
    <row r="70" spans="1:1120" s="17" customFormat="1" ht="15" customHeight="1" x14ac:dyDescent="0.25">
      <c r="A70" s="11" t="s">
        <v>3</v>
      </c>
      <c r="B70" s="6" t="s">
        <v>55</v>
      </c>
      <c r="C70" s="15">
        <v>0</v>
      </c>
      <c r="D70" s="15">
        <v>0</v>
      </c>
      <c r="E70" s="15">
        <v>0</v>
      </c>
      <c r="F70" s="15">
        <v>0</v>
      </c>
      <c r="G70" s="15">
        <v>0</v>
      </c>
      <c r="H70" s="15">
        <v>0</v>
      </c>
      <c r="I70" s="15">
        <v>0</v>
      </c>
      <c r="J70" s="15"/>
      <c r="K70" s="15">
        <v>0</v>
      </c>
      <c r="L70" s="15">
        <v>0</v>
      </c>
      <c r="M70" s="15">
        <v>0</v>
      </c>
      <c r="N70" s="15">
        <v>0</v>
      </c>
      <c r="O70" s="15">
        <v>0</v>
      </c>
      <c r="P70" s="15">
        <v>1</v>
      </c>
      <c r="Q70" s="15"/>
      <c r="R70" s="15">
        <v>0</v>
      </c>
      <c r="S70" s="15">
        <v>0</v>
      </c>
      <c r="T70" s="15">
        <v>0</v>
      </c>
      <c r="U70" s="15">
        <v>0</v>
      </c>
      <c r="V70" s="15">
        <v>0</v>
      </c>
      <c r="W70" s="15">
        <v>2</v>
      </c>
      <c r="X70" s="15"/>
      <c r="Y70" s="15">
        <v>0</v>
      </c>
      <c r="Z70" s="15">
        <v>0</v>
      </c>
      <c r="AA70" s="15">
        <v>0</v>
      </c>
      <c r="AB70" s="15">
        <v>0</v>
      </c>
      <c r="AC70" s="15">
        <v>0</v>
      </c>
      <c r="AD70" s="15">
        <v>0</v>
      </c>
      <c r="AE70" s="15"/>
      <c r="AF70" s="15">
        <v>0</v>
      </c>
      <c r="AG70" s="15">
        <v>0</v>
      </c>
      <c r="AH70" s="15">
        <v>0</v>
      </c>
      <c r="AI70" s="15">
        <v>0</v>
      </c>
      <c r="AJ70" s="15">
        <v>0</v>
      </c>
      <c r="AK70" s="15">
        <v>0</v>
      </c>
      <c r="AL70" s="15"/>
      <c r="AM70" s="15">
        <v>0</v>
      </c>
      <c r="AN70" s="15">
        <v>0</v>
      </c>
      <c r="AO70" s="15">
        <v>0</v>
      </c>
      <c r="AP70" s="15">
        <v>0</v>
      </c>
      <c r="AQ70" s="15">
        <v>0</v>
      </c>
      <c r="AR70" s="15">
        <v>0</v>
      </c>
      <c r="AS70" s="15">
        <v>0</v>
      </c>
      <c r="AT70" s="15">
        <v>1</v>
      </c>
      <c r="AU70" s="15">
        <v>1</v>
      </c>
      <c r="AV70" s="15">
        <v>1</v>
      </c>
      <c r="AW70" s="15">
        <v>1</v>
      </c>
      <c r="AX70" s="15">
        <v>1</v>
      </c>
      <c r="AY70" s="15">
        <v>1</v>
      </c>
      <c r="AZ70" s="15">
        <v>1</v>
      </c>
      <c r="BA70" s="15">
        <v>0</v>
      </c>
      <c r="BB70" s="15">
        <v>0</v>
      </c>
      <c r="BC70" s="15">
        <v>0</v>
      </c>
      <c r="BD70" s="15">
        <v>0</v>
      </c>
      <c r="BE70" s="15">
        <v>0</v>
      </c>
      <c r="BF70" s="15">
        <v>2</v>
      </c>
      <c r="BG70" s="15">
        <v>2</v>
      </c>
      <c r="BH70" s="15">
        <v>2</v>
      </c>
      <c r="BI70" s="15">
        <v>2</v>
      </c>
      <c r="BJ70" s="15">
        <v>2</v>
      </c>
      <c r="BK70" s="15">
        <v>2</v>
      </c>
      <c r="BL70" s="15">
        <v>0</v>
      </c>
      <c r="BM70" s="15">
        <v>0</v>
      </c>
      <c r="BN70" s="15">
        <v>0</v>
      </c>
      <c r="BO70" s="15">
        <v>0</v>
      </c>
      <c r="BP70" s="15">
        <v>4</v>
      </c>
      <c r="BQ70" s="15">
        <v>4</v>
      </c>
      <c r="BR70" s="15">
        <v>4</v>
      </c>
      <c r="BS70" s="15">
        <v>4</v>
      </c>
      <c r="BT70" s="15">
        <v>4</v>
      </c>
      <c r="BU70" s="15">
        <v>4</v>
      </c>
      <c r="BV70" s="15">
        <v>0</v>
      </c>
      <c r="BW70" s="15">
        <v>0</v>
      </c>
      <c r="BX70" s="15">
        <v>0</v>
      </c>
      <c r="BY70" s="15">
        <v>0</v>
      </c>
      <c r="BZ70" s="15">
        <v>1</v>
      </c>
      <c r="CA70" s="15">
        <v>1</v>
      </c>
      <c r="CB70" s="15">
        <v>1</v>
      </c>
      <c r="CC70" s="15">
        <v>1</v>
      </c>
      <c r="CD70" s="15">
        <v>1</v>
      </c>
      <c r="CE70" s="15">
        <v>1</v>
      </c>
      <c r="CF70" s="15">
        <v>1</v>
      </c>
      <c r="CG70" s="15">
        <v>1</v>
      </c>
      <c r="CH70" s="15">
        <v>1</v>
      </c>
      <c r="CI70" s="15">
        <v>1</v>
      </c>
      <c r="CJ70" s="15">
        <v>1</v>
      </c>
      <c r="CK70" s="15">
        <v>0</v>
      </c>
      <c r="CL70" s="15">
        <v>0</v>
      </c>
      <c r="CM70" s="15">
        <v>0</v>
      </c>
      <c r="CN70" s="15">
        <v>0</v>
      </c>
      <c r="CO70" s="15">
        <v>2</v>
      </c>
      <c r="CP70" s="15">
        <v>2</v>
      </c>
      <c r="CQ70" s="15">
        <v>2</v>
      </c>
      <c r="CR70" s="15">
        <v>2</v>
      </c>
      <c r="CS70" s="15">
        <v>2</v>
      </c>
      <c r="CT70" s="15">
        <v>2</v>
      </c>
      <c r="CU70" s="15">
        <v>2</v>
      </c>
      <c r="CV70" s="15">
        <v>2</v>
      </c>
      <c r="CW70" s="15">
        <v>2</v>
      </c>
      <c r="CX70" s="15">
        <v>2</v>
      </c>
      <c r="CY70" s="15">
        <v>2</v>
      </c>
      <c r="CZ70" s="15">
        <v>0</v>
      </c>
      <c r="DA70" s="15">
        <v>0</v>
      </c>
      <c r="DB70" s="15">
        <v>0</v>
      </c>
      <c r="DC70" s="15">
        <v>0</v>
      </c>
      <c r="DD70" s="15">
        <v>4</v>
      </c>
      <c r="DE70" s="15">
        <v>4</v>
      </c>
      <c r="DF70" s="15">
        <v>4</v>
      </c>
      <c r="DG70" s="15">
        <v>4</v>
      </c>
      <c r="DH70" s="15">
        <v>4</v>
      </c>
      <c r="DI70" s="15">
        <v>4</v>
      </c>
      <c r="DJ70" s="15">
        <v>4</v>
      </c>
      <c r="DK70" s="15">
        <v>4</v>
      </c>
      <c r="DL70" s="15">
        <v>4</v>
      </c>
      <c r="DM70" s="15">
        <v>4</v>
      </c>
      <c r="DN70" s="15">
        <v>4</v>
      </c>
      <c r="DO70" s="15">
        <v>0</v>
      </c>
      <c r="DP70" s="15">
        <v>0</v>
      </c>
      <c r="DQ70" s="15">
        <v>0</v>
      </c>
      <c r="DR70" s="15">
        <v>0</v>
      </c>
      <c r="DS70" s="15">
        <v>1</v>
      </c>
      <c r="DT70" s="15">
        <v>1</v>
      </c>
      <c r="DU70" s="15">
        <v>1</v>
      </c>
      <c r="DV70" s="15">
        <v>2</v>
      </c>
      <c r="DW70" s="15">
        <v>4</v>
      </c>
      <c r="DX70" s="15">
        <v>4</v>
      </c>
      <c r="DY70" s="15">
        <v>4</v>
      </c>
      <c r="DZ70" s="15">
        <v>4</v>
      </c>
      <c r="EA70" s="15">
        <v>0</v>
      </c>
      <c r="EB70" s="15">
        <v>0</v>
      </c>
      <c r="EC70" s="15">
        <v>0</v>
      </c>
      <c r="ED70" s="15">
        <v>0</v>
      </c>
      <c r="EE70" s="15">
        <v>2</v>
      </c>
      <c r="EF70" s="15">
        <v>2</v>
      </c>
      <c r="EG70" s="15">
        <v>2</v>
      </c>
      <c r="EH70" s="15">
        <v>2</v>
      </c>
      <c r="EI70" s="15">
        <v>4</v>
      </c>
      <c r="EJ70" s="15">
        <v>4</v>
      </c>
      <c r="EK70" s="15">
        <v>4</v>
      </c>
      <c r="EL70" s="15">
        <v>4</v>
      </c>
      <c r="EM70" s="15">
        <v>0</v>
      </c>
      <c r="EN70" s="15">
        <v>0</v>
      </c>
      <c r="EO70" s="15">
        <v>0</v>
      </c>
      <c r="EP70" s="15">
        <v>0</v>
      </c>
      <c r="EQ70" s="15">
        <v>4</v>
      </c>
      <c r="ER70" s="15">
        <v>4</v>
      </c>
      <c r="ES70" s="15">
        <v>4</v>
      </c>
      <c r="ET70" s="15">
        <v>4</v>
      </c>
      <c r="EU70" s="15">
        <v>4</v>
      </c>
      <c r="EV70" s="15">
        <v>4</v>
      </c>
      <c r="EW70" s="15">
        <v>4</v>
      </c>
      <c r="EX70" s="15">
        <v>4</v>
      </c>
      <c r="EY70" s="15">
        <v>0</v>
      </c>
      <c r="EZ70" s="15">
        <v>0</v>
      </c>
      <c r="FA70" s="15">
        <v>0</v>
      </c>
      <c r="FB70" s="15">
        <v>0</v>
      </c>
      <c r="FC70" s="15">
        <v>0</v>
      </c>
      <c r="FD70" s="15"/>
      <c r="FE70" s="15">
        <v>0</v>
      </c>
      <c r="FF70" s="15">
        <v>0</v>
      </c>
      <c r="FG70" s="15">
        <v>0</v>
      </c>
      <c r="FH70" s="15">
        <v>0</v>
      </c>
      <c r="FI70" s="15">
        <v>0</v>
      </c>
      <c r="FJ70" s="15">
        <v>4</v>
      </c>
      <c r="FK70" s="15">
        <v>0</v>
      </c>
      <c r="FL70" s="15">
        <v>0</v>
      </c>
      <c r="FM70" s="15">
        <v>0</v>
      </c>
      <c r="FN70" s="15">
        <v>0</v>
      </c>
      <c r="FO70" s="15">
        <v>0</v>
      </c>
      <c r="FP70" s="15">
        <v>0</v>
      </c>
      <c r="FQ70" s="15">
        <v>0</v>
      </c>
      <c r="FR70" s="15">
        <v>0</v>
      </c>
      <c r="FS70" s="15">
        <v>0</v>
      </c>
      <c r="FT70" s="15">
        <v>0</v>
      </c>
      <c r="FU70" s="15">
        <v>0</v>
      </c>
      <c r="FV70" s="15">
        <v>0</v>
      </c>
      <c r="FW70" s="15">
        <v>0</v>
      </c>
      <c r="FX70" s="15">
        <v>0</v>
      </c>
      <c r="FY70" s="15">
        <v>0</v>
      </c>
      <c r="FZ70" s="15">
        <v>0</v>
      </c>
      <c r="GA70" s="15">
        <v>0</v>
      </c>
      <c r="GB70" s="15">
        <v>0</v>
      </c>
      <c r="GC70" s="15">
        <v>0</v>
      </c>
      <c r="GD70" s="15">
        <v>0</v>
      </c>
      <c r="GE70" s="15">
        <v>0</v>
      </c>
      <c r="GF70" s="15">
        <v>0</v>
      </c>
      <c r="GG70" s="15">
        <v>0</v>
      </c>
      <c r="GH70" s="15">
        <v>0</v>
      </c>
      <c r="GI70" s="15">
        <v>0</v>
      </c>
      <c r="GJ70" s="15">
        <v>0</v>
      </c>
      <c r="GK70" s="15">
        <v>0</v>
      </c>
      <c r="GL70" s="15">
        <v>0</v>
      </c>
      <c r="GM70" s="15">
        <v>0</v>
      </c>
      <c r="GN70" s="15">
        <v>0</v>
      </c>
      <c r="GO70" s="15">
        <v>0</v>
      </c>
      <c r="GP70" s="15">
        <v>0</v>
      </c>
      <c r="GQ70" s="15">
        <v>0</v>
      </c>
      <c r="GR70" s="15">
        <v>0</v>
      </c>
      <c r="GS70" s="15">
        <v>0</v>
      </c>
      <c r="GT70" s="15">
        <v>0</v>
      </c>
      <c r="GU70" s="15">
        <v>0</v>
      </c>
      <c r="GV70" s="15">
        <v>0</v>
      </c>
      <c r="GW70" s="15">
        <v>0</v>
      </c>
      <c r="GX70" s="15">
        <v>0</v>
      </c>
      <c r="GY70" s="15">
        <v>0</v>
      </c>
      <c r="GZ70" s="15">
        <v>0</v>
      </c>
      <c r="HA70" s="15">
        <v>0</v>
      </c>
      <c r="HB70" s="15">
        <v>0</v>
      </c>
      <c r="HC70" s="15">
        <v>0</v>
      </c>
      <c r="HD70" s="15">
        <v>0</v>
      </c>
      <c r="HE70" s="15">
        <v>0</v>
      </c>
      <c r="HF70" s="15">
        <v>0</v>
      </c>
      <c r="HG70" s="15">
        <v>0</v>
      </c>
      <c r="HH70" s="15">
        <v>0</v>
      </c>
      <c r="HI70" s="15">
        <v>0</v>
      </c>
      <c r="HJ70" s="15">
        <v>0</v>
      </c>
      <c r="HK70" s="15">
        <v>0</v>
      </c>
      <c r="HL70" s="15">
        <v>0</v>
      </c>
      <c r="HM70" s="15">
        <v>0</v>
      </c>
      <c r="HN70" s="15">
        <v>0</v>
      </c>
      <c r="HO70" s="15">
        <v>0</v>
      </c>
      <c r="HP70" s="15">
        <v>0</v>
      </c>
      <c r="HQ70" s="15">
        <v>0</v>
      </c>
      <c r="HR70" s="15">
        <v>0</v>
      </c>
      <c r="HS70" s="15">
        <v>0</v>
      </c>
      <c r="HT70" s="15">
        <v>0</v>
      </c>
      <c r="HU70" s="15">
        <v>0</v>
      </c>
      <c r="HV70" s="15">
        <v>0</v>
      </c>
      <c r="HW70" s="15">
        <v>0</v>
      </c>
      <c r="HX70" s="15">
        <v>0</v>
      </c>
      <c r="HY70" s="15">
        <v>0</v>
      </c>
      <c r="HZ70" s="15">
        <v>0</v>
      </c>
      <c r="IA70" s="15">
        <v>0</v>
      </c>
      <c r="IB70" s="15"/>
      <c r="IC70" s="15">
        <v>0</v>
      </c>
      <c r="ID70" s="15">
        <v>0</v>
      </c>
      <c r="IE70" s="15">
        <v>0</v>
      </c>
      <c r="IF70" s="15">
        <v>0</v>
      </c>
      <c r="IG70" s="15">
        <v>0</v>
      </c>
      <c r="IH70" s="15">
        <v>0</v>
      </c>
      <c r="II70" s="15">
        <v>0</v>
      </c>
      <c r="IJ70" s="15">
        <v>0</v>
      </c>
      <c r="IK70" s="15"/>
      <c r="IL70" s="15">
        <v>0</v>
      </c>
      <c r="IM70" s="15">
        <v>0</v>
      </c>
      <c r="IN70" s="15">
        <v>0</v>
      </c>
      <c r="IO70" s="15">
        <v>0</v>
      </c>
      <c r="IP70" s="15">
        <v>0</v>
      </c>
      <c r="IQ70" s="15">
        <v>0</v>
      </c>
      <c r="IR70" s="15">
        <v>0</v>
      </c>
      <c r="IS70" s="15">
        <v>0</v>
      </c>
      <c r="IT70" s="15">
        <v>0</v>
      </c>
      <c r="IU70" s="15">
        <v>0</v>
      </c>
      <c r="IV70" s="15">
        <v>0</v>
      </c>
      <c r="IW70" s="15">
        <v>0</v>
      </c>
      <c r="IX70" s="15">
        <v>0</v>
      </c>
      <c r="IY70" s="15">
        <v>0</v>
      </c>
      <c r="IZ70" s="15">
        <v>0</v>
      </c>
      <c r="JA70" s="15">
        <v>0</v>
      </c>
      <c r="JB70" s="15">
        <v>0</v>
      </c>
      <c r="JC70" s="15">
        <v>0</v>
      </c>
      <c r="JD70" s="15">
        <v>0</v>
      </c>
      <c r="JE70" s="15">
        <v>0</v>
      </c>
      <c r="JF70" s="15">
        <v>0</v>
      </c>
      <c r="JG70" s="15">
        <v>0</v>
      </c>
      <c r="JH70" s="15">
        <v>0</v>
      </c>
      <c r="JI70" s="15">
        <v>0</v>
      </c>
      <c r="JJ70" s="15">
        <v>0</v>
      </c>
      <c r="JK70" s="15">
        <v>0</v>
      </c>
      <c r="JL70" s="15">
        <v>0</v>
      </c>
      <c r="JM70" s="15">
        <v>0</v>
      </c>
      <c r="JN70" s="15">
        <v>0</v>
      </c>
      <c r="JO70" s="15">
        <v>0</v>
      </c>
      <c r="JP70" s="15">
        <v>0</v>
      </c>
      <c r="JQ70" s="15">
        <v>0</v>
      </c>
      <c r="JR70" s="15">
        <v>0</v>
      </c>
      <c r="JS70" s="15">
        <v>0</v>
      </c>
      <c r="JT70" s="15">
        <v>0</v>
      </c>
      <c r="JU70" s="15">
        <v>0</v>
      </c>
      <c r="JV70" s="15">
        <v>0</v>
      </c>
      <c r="JW70" s="15">
        <v>0</v>
      </c>
      <c r="JX70" s="15">
        <v>0</v>
      </c>
      <c r="JY70" s="15">
        <v>0</v>
      </c>
      <c r="JZ70" s="15">
        <v>0</v>
      </c>
      <c r="KA70" s="15">
        <v>0</v>
      </c>
      <c r="KB70" s="15">
        <v>0</v>
      </c>
      <c r="KC70" s="15">
        <v>0</v>
      </c>
      <c r="KD70" s="15">
        <v>0</v>
      </c>
      <c r="KE70" s="15">
        <v>0</v>
      </c>
      <c r="KF70" s="15">
        <v>0</v>
      </c>
      <c r="KG70" s="15">
        <v>0</v>
      </c>
      <c r="KH70" s="15">
        <v>0</v>
      </c>
      <c r="KI70" s="15">
        <v>0</v>
      </c>
      <c r="KJ70" s="15">
        <v>0</v>
      </c>
      <c r="KK70" s="15">
        <v>0</v>
      </c>
      <c r="KL70" s="15">
        <v>0</v>
      </c>
      <c r="KM70" s="15">
        <v>0</v>
      </c>
      <c r="KN70" s="15">
        <v>0</v>
      </c>
      <c r="KO70" s="15">
        <v>0</v>
      </c>
      <c r="KP70" s="15">
        <v>0</v>
      </c>
      <c r="KQ70" s="15">
        <v>0</v>
      </c>
      <c r="KR70" s="15">
        <v>0</v>
      </c>
      <c r="KS70" s="15">
        <v>0</v>
      </c>
      <c r="KT70" s="15">
        <v>0</v>
      </c>
      <c r="KU70" s="15">
        <v>0</v>
      </c>
      <c r="KV70" s="15">
        <v>0</v>
      </c>
      <c r="KW70" s="15">
        <v>0</v>
      </c>
      <c r="KX70" s="15">
        <v>0</v>
      </c>
      <c r="KY70" s="15">
        <v>0</v>
      </c>
      <c r="KZ70" s="15">
        <v>0</v>
      </c>
      <c r="LA70" s="15">
        <v>0</v>
      </c>
      <c r="LB70" s="15">
        <v>0</v>
      </c>
      <c r="LC70" s="15">
        <v>0</v>
      </c>
      <c r="LD70" s="15">
        <v>0</v>
      </c>
      <c r="LE70" s="15">
        <v>0</v>
      </c>
      <c r="LF70" s="15">
        <v>0</v>
      </c>
      <c r="LG70" s="15">
        <v>0</v>
      </c>
      <c r="LH70" s="15">
        <v>0</v>
      </c>
      <c r="LI70" s="15">
        <v>0</v>
      </c>
      <c r="LJ70" s="15">
        <v>0</v>
      </c>
      <c r="LK70" s="15">
        <v>0</v>
      </c>
      <c r="LL70" s="15">
        <v>0</v>
      </c>
      <c r="LM70" s="15">
        <v>0</v>
      </c>
      <c r="LN70" s="15">
        <v>0</v>
      </c>
      <c r="LO70" s="15">
        <v>0</v>
      </c>
      <c r="LP70" s="15">
        <v>0</v>
      </c>
      <c r="LQ70" s="15">
        <v>0</v>
      </c>
      <c r="LR70" s="15">
        <v>0</v>
      </c>
      <c r="LS70" s="15">
        <v>0</v>
      </c>
      <c r="LT70" s="15">
        <v>0</v>
      </c>
      <c r="LU70" s="15">
        <v>0</v>
      </c>
      <c r="LV70" s="15">
        <v>0</v>
      </c>
      <c r="LW70" s="15">
        <v>0</v>
      </c>
      <c r="LX70" s="15">
        <v>0</v>
      </c>
      <c r="LY70" s="15">
        <v>0</v>
      </c>
      <c r="LZ70" s="15">
        <v>0</v>
      </c>
      <c r="MA70" s="15">
        <v>0</v>
      </c>
      <c r="MB70" s="15">
        <v>0</v>
      </c>
      <c r="MC70" s="15">
        <v>0</v>
      </c>
      <c r="MD70" s="15">
        <v>0</v>
      </c>
      <c r="ME70" s="15">
        <v>0</v>
      </c>
      <c r="MF70" s="15">
        <v>0</v>
      </c>
      <c r="MG70" s="15">
        <v>0</v>
      </c>
      <c r="MH70" s="15">
        <v>0</v>
      </c>
      <c r="MI70" s="15">
        <v>0</v>
      </c>
      <c r="MJ70" s="15">
        <v>0</v>
      </c>
      <c r="MK70" s="15">
        <v>0</v>
      </c>
      <c r="ML70" s="15">
        <v>0</v>
      </c>
      <c r="MM70" s="15">
        <v>0</v>
      </c>
      <c r="MN70" s="15">
        <v>0</v>
      </c>
      <c r="MO70" s="15">
        <v>0</v>
      </c>
      <c r="MP70" s="15">
        <v>0</v>
      </c>
      <c r="MQ70" s="15">
        <v>0</v>
      </c>
      <c r="MR70" s="15">
        <v>0</v>
      </c>
      <c r="MS70" s="15">
        <v>0</v>
      </c>
      <c r="MT70" s="15">
        <v>0</v>
      </c>
      <c r="MU70" s="15">
        <v>0</v>
      </c>
      <c r="MV70" s="15">
        <v>0</v>
      </c>
      <c r="MW70" s="15">
        <v>0</v>
      </c>
      <c r="MX70" s="15">
        <v>0</v>
      </c>
      <c r="MY70" s="15">
        <v>0</v>
      </c>
      <c r="MZ70" s="15">
        <v>0</v>
      </c>
      <c r="NA70" s="15">
        <v>0</v>
      </c>
      <c r="NB70" s="15">
        <v>0</v>
      </c>
      <c r="NC70" s="15">
        <v>0</v>
      </c>
      <c r="ND70" s="15">
        <v>0</v>
      </c>
      <c r="NE70" s="15">
        <v>0</v>
      </c>
      <c r="NF70" s="15">
        <v>0</v>
      </c>
      <c r="NG70" s="15">
        <v>0</v>
      </c>
      <c r="NH70" s="15">
        <v>0</v>
      </c>
      <c r="NI70" s="15">
        <v>0</v>
      </c>
      <c r="NJ70" s="15">
        <v>0</v>
      </c>
      <c r="NK70" s="15">
        <v>0</v>
      </c>
      <c r="NL70" s="15">
        <v>0</v>
      </c>
      <c r="NM70" s="15">
        <v>0</v>
      </c>
      <c r="NN70" s="15">
        <v>0</v>
      </c>
      <c r="NO70" s="15">
        <v>0</v>
      </c>
      <c r="NP70" s="15">
        <v>0</v>
      </c>
      <c r="NQ70" s="15">
        <v>0</v>
      </c>
      <c r="NR70" s="15">
        <v>0</v>
      </c>
      <c r="NS70" s="15">
        <v>0</v>
      </c>
      <c r="NT70" s="15">
        <v>0</v>
      </c>
      <c r="NU70" s="15">
        <v>0</v>
      </c>
      <c r="NV70" s="15">
        <v>0</v>
      </c>
      <c r="NW70" s="15">
        <v>0</v>
      </c>
      <c r="NX70" s="15">
        <v>0</v>
      </c>
      <c r="NY70" s="15">
        <v>0</v>
      </c>
      <c r="NZ70" s="15">
        <v>0</v>
      </c>
      <c r="OA70" s="15">
        <v>0</v>
      </c>
      <c r="OB70" s="15">
        <v>0</v>
      </c>
      <c r="OC70" s="15">
        <v>0</v>
      </c>
      <c r="OD70" s="15">
        <v>0</v>
      </c>
      <c r="OE70" s="15">
        <v>0</v>
      </c>
      <c r="OF70" s="15">
        <v>0</v>
      </c>
      <c r="OG70" s="15">
        <v>0</v>
      </c>
      <c r="OH70" s="15">
        <v>0</v>
      </c>
      <c r="OI70" s="15">
        <v>0</v>
      </c>
      <c r="OJ70" s="15">
        <v>0</v>
      </c>
      <c r="OK70" s="15">
        <v>0</v>
      </c>
      <c r="OL70" s="15">
        <v>0</v>
      </c>
      <c r="OM70" s="15">
        <v>0</v>
      </c>
      <c r="ON70" s="15">
        <v>0</v>
      </c>
      <c r="OO70" s="15">
        <v>0</v>
      </c>
      <c r="OP70" s="15">
        <v>0</v>
      </c>
      <c r="OQ70" s="15">
        <v>0</v>
      </c>
      <c r="OR70" s="15">
        <v>0</v>
      </c>
      <c r="OS70" s="15">
        <v>0</v>
      </c>
      <c r="OT70" s="15">
        <v>0</v>
      </c>
      <c r="OU70" s="15">
        <v>0</v>
      </c>
      <c r="OV70" s="15">
        <v>0</v>
      </c>
      <c r="OW70" s="15">
        <v>0</v>
      </c>
      <c r="OX70" s="15">
        <v>0</v>
      </c>
      <c r="OY70" s="15">
        <v>0</v>
      </c>
      <c r="OZ70" s="15">
        <v>0</v>
      </c>
      <c r="PA70" s="15">
        <v>0</v>
      </c>
      <c r="PB70" s="15">
        <v>0</v>
      </c>
      <c r="PC70" s="15">
        <v>0</v>
      </c>
      <c r="PD70" s="15">
        <v>0</v>
      </c>
      <c r="PE70" s="15">
        <v>0</v>
      </c>
      <c r="PF70" s="15">
        <v>0</v>
      </c>
      <c r="PG70" s="15">
        <v>0</v>
      </c>
      <c r="PH70" s="15">
        <v>0</v>
      </c>
      <c r="PI70" s="15">
        <v>0</v>
      </c>
      <c r="PJ70" s="15">
        <v>0</v>
      </c>
      <c r="PK70" s="15">
        <v>0</v>
      </c>
      <c r="PL70" s="15">
        <v>0</v>
      </c>
      <c r="PM70" s="15">
        <v>0</v>
      </c>
      <c r="PN70" s="15">
        <v>0</v>
      </c>
      <c r="PO70" s="15">
        <v>0</v>
      </c>
      <c r="PP70" s="15">
        <v>0</v>
      </c>
      <c r="PQ70" s="15">
        <v>0</v>
      </c>
      <c r="PR70" s="15">
        <v>0</v>
      </c>
      <c r="PS70" s="15">
        <v>0</v>
      </c>
      <c r="PT70" s="15">
        <v>0</v>
      </c>
      <c r="PU70" s="15">
        <v>0</v>
      </c>
      <c r="PV70" s="15">
        <v>0</v>
      </c>
      <c r="PW70" s="15">
        <v>0</v>
      </c>
      <c r="PX70" s="15">
        <v>0</v>
      </c>
      <c r="PY70" s="15">
        <v>0</v>
      </c>
      <c r="PZ70" s="15">
        <v>0</v>
      </c>
      <c r="QA70" s="15">
        <v>0</v>
      </c>
      <c r="QB70" s="15">
        <v>0</v>
      </c>
      <c r="QC70" s="15">
        <v>0</v>
      </c>
      <c r="QD70" s="15">
        <v>0</v>
      </c>
      <c r="QE70" s="15">
        <v>0</v>
      </c>
      <c r="QF70" s="15">
        <v>0</v>
      </c>
      <c r="QG70" s="15">
        <v>0</v>
      </c>
      <c r="QH70" s="15">
        <v>0</v>
      </c>
      <c r="QI70" s="15">
        <v>0</v>
      </c>
      <c r="QJ70" s="15">
        <v>0</v>
      </c>
      <c r="QK70" s="15">
        <v>0</v>
      </c>
      <c r="QL70" s="15">
        <v>0</v>
      </c>
      <c r="QM70" s="15">
        <v>0</v>
      </c>
      <c r="QN70" s="15">
        <v>0</v>
      </c>
      <c r="QO70" s="15">
        <v>0</v>
      </c>
      <c r="QP70" s="15">
        <v>0</v>
      </c>
      <c r="QQ70" s="15">
        <v>0</v>
      </c>
      <c r="QR70" s="15">
        <v>0</v>
      </c>
      <c r="QS70" s="15">
        <v>0</v>
      </c>
      <c r="QT70" s="15">
        <v>0</v>
      </c>
      <c r="QU70" s="15">
        <v>0</v>
      </c>
      <c r="QV70" s="15">
        <v>0</v>
      </c>
      <c r="QW70" s="20">
        <v>8</v>
      </c>
      <c r="QX70" s="20">
        <v>8</v>
      </c>
      <c r="QY70" s="20">
        <v>8</v>
      </c>
      <c r="QZ70" s="20">
        <v>8</v>
      </c>
      <c r="RA70" s="20">
        <v>8</v>
      </c>
      <c r="RB70" s="20">
        <v>8</v>
      </c>
      <c r="RC70" s="20">
        <v>8</v>
      </c>
      <c r="RD70" s="20">
        <v>8</v>
      </c>
      <c r="RE70" s="20">
        <v>8</v>
      </c>
      <c r="RF70" s="20">
        <v>8</v>
      </c>
      <c r="RG70" s="20">
        <v>8</v>
      </c>
      <c r="RH70" s="20">
        <v>8</v>
      </c>
      <c r="RI70" s="20">
        <v>8</v>
      </c>
      <c r="RJ70" s="20">
        <v>8</v>
      </c>
      <c r="RK70" s="20">
        <v>8</v>
      </c>
      <c r="RL70" s="20">
        <v>8</v>
      </c>
      <c r="RM70" s="20">
        <v>8</v>
      </c>
      <c r="RN70" s="20">
        <v>8</v>
      </c>
      <c r="RO70" s="20">
        <v>8</v>
      </c>
      <c r="RP70" s="20">
        <v>8</v>
      </c>
      <c r="RQ70" s="20">
        <f xml:space="preserve"> IF(OR(EXACT(RQ62,"MM_SYSTEM_MODE_MAINTENANCE_TOWING_E"), EXACT(RQ62,"MM_SYSTEM_MODE_PUSHBACK_ATA_TAS_E"), EXACT(RQ62, "MM_SYSTEM_MODE_PUSHBACK_ATA_BW_E")), IF(EXACT(RQ32,"LVC_UNLOAD_E"), BIN2DEC(RQ121), IF( OR(EXACT(RQ39,"CS_SWITCH_REQUESTED_E"),EXACT(RQ38,"CS_SWITCH_REQUESTED_E")),0,IF(RP70,BIN2DEC(RQ121),0))),0)</f>
        <v>0</v>
      </c>
      <c r="RR70" s="15">
        <v>0</v>
      </c>
      <c r="RS70" s="15"/>
      <c r="RT70" s="15">
        <v>0</v>
      </c>
      <c r="RU70" s="15">
        <v>0</v>
      </c>
      <c r="RV70" s="15">
        <v>0</v>
      </c>
      <c r="RW70" s="15">
        <v>0</v>
      </c>
      <c r="RX70" s="15">
        <v>0</v>
      </c>
      <c r="RY70" s="15">
        <v>0</v>
      </c>
      <c r="RZ70" s="15">
        <v>0</v>
      </c>
      <c r="SA70" s="15">
        <v>0</v>
      </c>
      <c r="SB70" s="15">
        <v>0</v>
      </c>
      <c r="SC70" s="15">
        <v>0</v>
      </c>
      <c r="SD70" s="15">
        <v>0</v>
      </c>
      <c r="SE70" s="15">
        <v>0</v>
      </c>
      <c r="SF70" s="15">
        <v>0</v>
      </c>
      <c r="SG70" s="15">
        <v>0</v>
      </c>
      <c r="SH70" s="15">
        <v>0</v>
      </c>
      <c r="SI70" s="15">
        <v>0</v>
      </c>
      <c r="SJ70" s="15">
        <v>0</v>
      </c>
      <c r="SK70" s="15">
        <v>0</v>
      </c>
      <c r="SL70" s="15">
        <v>0</v>
      </c>
      <c r="SM70" s="15">
        <v>0</v>
      </c>
      <c r="SN70" s="15">
        <v>0</v>
      </c>
      <c r="SO70" s="15">
        <v>0</v>
      </c>
      <c r="SP70" s="15">
        <v>0</v>
      </c>
      <c r="SQ70" s="15">
        <v>0</v>
      </c>
      <c r="SR70" s="15">
        <v>0</v>
      </c>
      <c r="SS70" s="15">
        <v>0</v>
      </c>
      <c r="ST70" s="15">
        <v>0</v>
      </c>
      <c r="SU70" s="15">
        <v>0</v>
      </c>
      <c r="SV70" s="15">
        <v>0</v>
      </c>
      <c r="SW70" s="15">
        <v>0</v>
      </c>
      <c r="SX70" s="15">
        <v>0</v>
      </c>
      <c r="SY70" s="15">
        <v>0</v>
      </c>
      <c r="SZ70" s="15">
        <v>0</v>
      </c>
      <c r="TA70" s="15">
        <v>0</v>
      </c>
      <c r="TB70" s="15">
        <v>0</v>
      </c>
      <c r="TC70" s="15">
        <v>0</v>
      </c>
      <c r="TD70" s="15">
        <v>0</v>
      </c>
      <c r="TE70" s="15">
        <v>0</v>
      </c>
      <c r="TF70" s="15">
        <v>0</v>
      </c>
      <c r="TG70" s="15">
        <v>0</v>
      </c>
      <c r="TH70" s="15">
        <v>0</v>
      </c>
      <c r="TI70" s="15">
        <v>0</v>
      </c>
      <c r="TJ70" s="15">
        <v>0</v>
      </c>
      <c r="TK70" s="15">
        <v>0</v>
      </c>
      <c r="TL70" s="15">
        <v>0</v>
      </c>
      <c r="TM70" s="15">
        <v>0</v>
      </c>
      <c r="TN70" s="15">
        <v>0</v>
      </c>
      <c r="TO70" s="15">
        <v>0</v>
      </c>
      <c r="TP70" s="15">
        <v>0</v>
      </c>
      <c r="TQ70" s="15">
        <v>0</v>
      </c>
      <c r="TR70" s="15">
        <v>0</v>
      </c>
      <c r="TS70" s="15">
        <v>0</v>
      </c>
      <c r="TT70" s="15">
        <v>0</v>
      </c>
      <c r="TU70" s="15">
        <v>0</v>
      </c>
      <c r="TV70" s="15">
        <v>0</v>
      </c>
      <c r="TW70" s="15">
        <v>0</v>
      </c>
      <c r="TX70" s="15">
        <v>0</v>
      </c>
      <c r="TY70" s="15">
        <v>0</v>
      </c>
      <c r="TZ70" s="15">
        <v>0</v>
      </c>
      <c r="UA70" s="15">
        <v>0</v>
      </c>
      <c r="UB70" s="15">
        <v>0</v>
      </c>
      <c r="UC70" s="15">
        <v>0</v>
      </c>
      <c r="UD70" s="15">
        <v>0</v>
      </c>
      <c r="UE70" s="15">
        <v>0</v>
      </c>
      <c r="UF70" s="15">
        <v>0</v>
      </c>
      <c r="UG70" s="15">
        <v>0</v>
      </c>
      <c r="UH70" s="15">
        <v>0</v>
      </c>
      <c r="UI70" s="15">
        <v>0</v>
      </c>
      <c r="UJ70" s="15">
        <v>0</v>
      </c>
      <c r="UK70" s="15">
        <v>0</v>
      </c>
      <c r="UL70" s="15">
        <v>0</v>
      </c>
      <c r="UM70" s="15">
        <v>0</v>
      </c>
      <c r="UN70" s="15">
        <v>0</v>
      </c>
      <c r="UO70" s="15">
        <v>0</v>
      </c>
      <c r="UP70" s="15">
        <v>0</v>
      </c>
      <c r="UQ70" s="15">
        <v>0</v>
      </c>
      <c r="UR70" s="15">
        <v>0</v>
      </c>
      <c r="US70" s="15">
        <v>0</v>
      </c>
      <c r="UT70" s="15">
        <v>0</v>
      </c>
      <c r="UU70" s="15">
        <v>0</v>
      </c>
      <c r="UV70" s="15">
        <v>0</v>
      </c>
      <c r="UW70" s="15">
        <v>0</v>
      </c>
      <c r="UX70" s="15">
        <v>0</v>
      </c>
      <c r="UY70" s="15">
        <v>0</v>
      </c>
      <c r="UZ70" s="15">
        <v>0</v>
      </c>
      <c r="VA70" s="15">
        <v>0</v>
      </c>
      <c r="VB70" s="15">
        <v>0</v>
      </c>
      <c r="VC70" s="15">
        <v>0</v>
      </c>
      <c r="VD70" s="15">
        <v>0</v>
      </c>
      <c r="VE70" s="20">
        <v>8</v>
      </c>
      <c r="VF70" s="20">
        <v>8</v>
      </c>
      <c r="VG70" s="20">
        <v>8</v>
      </c>
      <c r="VH70" s="20">
        <v>8</v>
      </c>
      <c r="VI70" s="20">
        <v>8</v>
      </c>
      <c r="VJ70" s="20">
        <v>8</v>
      </c>
      <c r="VK70" s="20">
        <v>8</v>
      </c>
      <c r="VL70" s="20">
        <v>0</v>
      </c>
      <c r="VM70" s="20">
        <v>0</v>
      </c>
      <c r="VN70" s="20">
        <v>8</v>
      </c>
      <c r="VO70" s="20">
        <v>8</v>
      </c>
      <c r="VP70" s="20">
        <v>8</v>
      </c>
      <c r="VQ70" s="20">
        <v>8</v>
      </c>
      <c r="VR70" s="20">
        <v>8</v>
      </c>
      <c r="VS70" s="20">
        <v>8</v>
      </c>
      <c r="VT70" s="20">
        <v>8</v>
      </c>
      <c r="VU70" s="20">
        <v>8</v>
      </c>
      <c r="VV70" s="20">
        <v>8</v>
      </c>
      <c r="VW70" s="20">
        <v>8</v>
      </c>
      <c r="VX70" s="20">
        <v>8</v>
      </c>
      <c r="VY70" s="20">
        <v>0</v>
      </c>
      <c r="VZ70" s="20">
        <f xml:space="preserve"> IF(OR(EXACT(VZ62,"MM_SYSTEM_MODE_MAINTENANCE_TOWING_E"), EXACT(VZ62,"MM_SYSTEM_MODE_PUSHBACK_ATA_TAS_E"), EXACT(VZ62, "MM_SYSTEM_MODE_PUSHBACK_ATA_BW_E")), IF(EXACT(VZ32,"LVC_UNLOAD_E"), BIN2DEC(VZ121), IF( OR(EXACT(VZ39,"CS_SWITCH_REQUESTED_E"),EXACT(VZ38,"CS_SWITCH_REQUESTED_E")),0,IF(VY70,BIN2DEC(VZ121),0))),0)</f>
        <v>0</v>
      </c>
      <c r="WA70" s="15">
        <v>0</v>
      </c>
      <c r="WB70" s="15">
        <v>0</v>
      </c>
      <c r="WC70" s="15">
        <v>0</v>
      </c>
      <c r="WD70" s="15">
        <v>0</v>
      </c>
      <c r="WE70" s="15">
        <v>0</v>
      </c>
      <c r="WF70" s="15">
        <v>0</v>
      </c>
      <c r="WG70" s="15">
        <v>0</v>
      </c>
      <c r="WH70" s="15">
        <v>0</v>
      </c>
      <c r="WI70" s="15">
        <v>0</v>
      </c>
      <c r="WJ70" s="15">
        <v>0</v>
      </c>
      <c r="WK70" s="15">
        <v>0</v>
      </c>
      <c r="WL70" s="15">
        <v>0</v>
      </c>
      <c r="WM70" s="15">
        <v>0</v>
      </c>
      <c r="WN70" s="15">
        <v>0</v>
      </c>
      <c r="WO70" s="15">
        <v>0</v>
      </c>
      <c r="WP70" s="15">
        <v>0</v>
      </c>
      <c r="WQ70" s="15">
        <v>0</v>
      </c>
      <c r="WR70" s="15">
        <v>0</v>
      </c>
      <c r="WS70" s="15">
        <v>0</v>
      </c>
      <c r="WT70" s="15">
        <v>0</v>
      </c>
      <c r="WU70" s="15">
        <v>0</v>
      </c>
      <c r="WV70" s="15">
        <v>0</v>
      </c>
      <c r="WW70" s="15">
        <v>0</v>
      </c>
      <c r="WX70" s="15">
        <v>0</v>
      </c>
      <c r="WY70" s="15">
        <v>0</v>
      </c>
      <c r="WZ70" s="15">
        <v>0</v>
      </c>
      <c r="XA70" s="15">
        <v>0</v>
      </c>
      <c r="XB70" s="15">
        <v>0</v>
      </c>
      <c r="XC70" s="15">
        <v>0</v>
      </c>
      <c r="XD70" s="15">
        <v>0</v>
      </c>
      <c r="XE70" s="15">
        <v>0</v>
      </c>
      <c r="XF70" s="15">
        <v>0</v>
      </c>
      <c r="XG70" s="15">
        <v>0</v>
      </c>
      <c r="XH70" s="15">
        <v>0</v>
      </c>
      <c r="XI70" s="15">
        <v>0</v>
      </c>
      <c r="XJ70" s="20">
        <v>8</v>
      </c>
      <c r="XK70" s="20">
        <v>8</v>
      </c>
      <c r="XL70" s="20">
        <v>8</v>
      </c>
      <c r="XM70" s="20">
        <v>8</v>
      </c>
      <c r="XN70" s="20">
        <v>8</v>
      </c>
      <c r="XO70" s="20">
        <v>8</v>
      </c>
      <c r="XP70" s="20">
        <v>8</v>
      </c>
      <c r="XQ70" s="20">
        <v>0</v>
      </c>
      <c r="XR70" s="20">
        <v>0</v>
      </c>
      <c r="XS70" s="20">
        <v>8</v>
      </c>
      <c r="XT70" s="20">
        <v>8</v>
      </c>
      <c r="XU70" s="20">
        <v>8</v>
      </c>
      <c r="XV70" s="20">
        <v>8</v>
      </c>
      <c r="XW70" s="20">
        <v>8</v>
      </c>
      <c r="XX70" s="20">
        <v>8</v>
      </c>
      <c r="XY70" s="20">
        <v>8</v>
      </c>
      <c r="XZ70" s="20">
        <v>8</v>
      </c>
      <c r="YA70" s="20">
        <v>8</v>
      </c>
      <c r="YB70" s="20">
        <v>8</v>
      </c>
      <c r="YC70" s="20">
        <v>8</v>
      </c>
      <c r="YD70" s="20">
        <v>0</v>
      </c>
      <c r="YE70" s="20">
        <f xml:space="preserve"> IF(OR(EXACT(YE62,"MM_SYSTEM_MODE_MAINTENANCE_TOWING_E"), EXACT(YE62,"MM_SYSTEM_MODE_PUSHBACK_ATA_TAS_E"), EXACT(YE62, "MM_SYSTEM_MODE_PUSHBACK_ATA_BW_E")), IF(EXACT(YE32,"LVC_UNLOAD_E"), BIN2DEC(YE121), IF( OR(EXACT(YE39,"CS_SWITCH_REQUESTED_E"),EXACT(YE38,"CS_SWITCH_REQUESTED_E")),0,IF(YD70,BIN2DEC(YE121),0))),0)</f>
        <v>0</v>
      </c>
      <c r="YF70" s="20">
        <v>256</v>
      </c>
      <c r="YG70" s="20">
        <v>256</v>
      </c>
      <c r="YH70" s="20">
        <v>256</v>
      </c>
      <c r="YI70" s="20">
        <v>256</v>
      </c>
      <c r="YJ70" s="20">
        <v>256</v>
      </c>
      <c r="YK70" s="20">
        <v>256</v>
      </c>
      <c r="YL70" s="20">
        <v>256</v>
      </c>
      <c r="YM70" s="20">
        <v>0</v>
      </c>
      <c r="YN70" s="20">
        <v>0</v>
      </c>
      <c r="YO70" s="20">
        <v>256</v>
      </c>
      <c r="YP70" s="20">
        <v>256</v>
      </c>
      <c r="YQ70" s="20">
        <v>256</v>
      </c>
      <c r="YR70" s="20">
        <v>256</v>
      </c>
      <c r="YS70" s="20">
        <v>256</v>
      </c>
      <c r="YT70" s="20">
        <v>256</v>
      </c>
      <c r="YU70" s="20">
        <v>256</v>
      </c>
      <c r="YV70" s="20">
        <v>256</v>
      </c>
      <c r="YW70" s="20">
        <v>256</v>
      </c>
      <c r="YX70" s="20">
        <v>256</v>
      </c>
      <c r="YY70" s="20">
        <v>256</v>
      </c>
      <c r="YZ70" s="20">
        <v>0</v>
      </c>
      <c r="ZA70" s="20">
        <v>0</v>
      </c>
      <c r="ZB70" s="20">
        <v>256</v>
      </c>
      <c r="ZC70" s="20">
        <v>256</v>
      </c>
      <c r="ZD70" s="20">
        <v>256</v>
      </c>
      <c r="ZE70" s="20">
        <v>8</v>
      </c>
      <c r="ZF70" s="20">
        <v>8</v>
      </c>
      <c r="ZG70" s="20">
        <v>8</v>
      </c>
      <c r="ZH70" s="20">
        <v>8</v>
      </c>
      <c r="ZI70" s="20">
        <v>0</v>
      </c>
      <c r="ZJ70" s="20">
        <v>0</v>
      </c>
      <c r="ZK70" s="15">
        <v>0</v>
      </c>
      <c r="ZL70" s="15">
        <v>0</v>
      </c>
      <c r="ZM70" s="15">
        <v>0</v>
      </c>
      <c r="ZN70" s="15">
        <v>0</v>
      </c>
      <c r="ZO70" s="15">
        <v>0</v>
      </c>
      <c r="ZP70" s="15">
        <v>0</v>
      </c>
      <c r="ZQ70" s="15">
        <v>0</v>
      </c>
      <c r="ZR70" s="15">
        <v>0</v>
      </c>
      <c r="ZS70" s="15">
        <v>0</v>
      </c>
      <c r="ZT70" s="15">
        <v>0</v>
      </c>
      <c r="ZU70" s="15">
        <v>0</v>
      </c>
      <c r="ZV70" s="15">
        <v>0</v>
      </c>
      <c r="ZW70" s="15">
        <v>0</v>
      </c>
      <c r="ZX70" s="15">
        <v>0</v>
      </c>
      <c r="ZY70" s="15">
        <v>0</v>
      </c>
      <c r="ZZ70" s="15">
        <v>0</v>
      </c>
      <c r="AAA70" s="15">
        <v>0</v>
      </c>
      <c r="AAB70" s="15">
        <v>0</v>
      </c>
      <c r="AAC70" s="15">
        <v>0</v>
      </c>
      <c r="AAD70" s="15">
        <v>0</v>
      </c>
      <c r="AAE70" s="15">
        <v>0</v>
      </c>
      <c r="AAF70" s="15">
        <v>0</v>
      </c>
      <c r="AAG70" s="15">
        <v>0</v>
      </c>
      <c r="AAH70" s="15">
        <v>0</v>
      </c>
      <c r="AAI70" s="15">
        <v>0</v>
      </c>
      <c r="AAJ70" s="15">
        <v>0</v>
      </c>
      <c r="AAK70" s="15">
        <v>0</v>
      </c>
      <c r="AAL70" s="15"/>
      <c r="AAM70" s="15">
        <v>0</v>
      </c>
      <c r="AAN70" s="15">
        <v>0</v>
      </c>
      <c r="AAO70" s="15">
        <v>0</v>
      </c>
      <c r="AAP70" s="15">
        <v>0</v>
      </c>
      <c r="AAQ70" s="15">
        <v>0</v>
      </c>
      <c r="AAR70" s="15">
        <v>0</v>
      </c>
      <c r="AAS70" s="15">
        <v>0</v>
      </c>
      <c r="AAT70" s="15">
        <v>0</v>
      </c>
      <c r="AAU70" s="15">
        <v>0</v>
      </c>
      <c r="AAV70" s="15">
        <v>0</v>
      </c>
      <c r="AAW70" s="15">
        <v>0</v>
      </c>
      <c r="AAX70" s="15"/>
      <c r="AAY70" s="15">
        <v>0</v>
      </c>
      <c r="AAZ70" s="15">
        <v>0</v>
      </c>
      <c r="ABA70" s="15">
        <v>0</v>
      </c>
      <c r="ABB70" s="15">
        <v>0</v>
      </c>
      <c r="ABC70" s="15">
        <v>0</v>
      </c>
      <c r="ABD70" s="15">
        <v>0</v>
      </c>
      <c r="ABE70" s="15">
        <v>0</v>
      </c>
      <c r="ABF70" s="15">
        <v>0</v>
      </c>
      <c r="ABG70" s="15">
        <v>0</v>
      </c>
      <c r="ABH70" s="15">
        <v>0</v>
      </c>
      <c r="ABI70" s="15">
        <v>0</v>
      </c>
      <c r="ABJ70" s="15">
        <v>0</v>
      </c>
      <c r="ABK70" s="15">
        <v>0</v>
      </c>
      <c r="ABL70" s="15">
        <v>0</v>
      </c>
      <c r="ABM70" s="15">
        <v>0</v>
      </c>
      <c r="ABN70" s="15">
        <v>0</v>
      </c>
      <c r="ABO70" s="15">
        <v>0</v>
      </c>
      <c r="ABP70" s="15">
        <v>0</v>
      </c>
      <c r="ABQ70" s="15">
        <v>0</v>
      </c>
      <c r="ABR70" s="15">
        <v>0</v>
      </c>
      <c r="ABS70" s="15">
        <v>0</v>
      </c>
      <c r="ABT70" s="15">
        <v>0</v>
      </c>
      <c r="ABU70" s="15">
        <v>0</v>
      </c>
      <c r="ABV70" s="15">
        <v>0</v>
      </c>
      <c r="ABW70" s="15">
        <v>0</v>
      </c>
      <c r="ABX70" s="15">
        <v>0</v>
      </c>
      <c r="ABY70" s="15">
        <v>0</v>
      </c>
      <c r="ABZ70" s="15">
        <v>0</v>
      </c>
      <c r="ACA70" s="15">
        <v>0</v>
      </c>
      <c r="ACB70" s="15">
        <v>0</v>
      </c>
      <c r="ACC70" s="15">
        <v>0</v>
      </c>
      <c r="ACD70" s="15">
        <v>0</v>
      </c>
      <c r="ACE70" s="15">
        <v>0</v>
      </c>
      <c r="ACF70" s="15">
        <v>0</v>
      </c>
      <c r="ACG70" s="15">
        <v>0</v>
      </c>
      <c r="ACH70" s="15">
        <v>32</v>
      </c>
      <c r="ACI70" s="15">
        <v>32</v>
      </c>
      <c r="ACJ70" s="15">
        <v>32</v>
      </c>
      <c r="ACK70" s="15">
        <v>32</v>
      </c>
      <c r="ACL70" s="15">
        <v>32</v>
      </c>
      <c r="ACM70" s="15">
        <v>32</v>
      </c>
      <c r="ACN70" s="15">
        <v>32</v>
      </c>
      <c r="ACO70" s="15">
        <v>0</v>
      </c>
      <c r="ACP70" s="15">
        <v>0</v>
      </c>
      <c r="ACQ70" s="15">
        <v>32</v>
      </c>
      <c r="ACR70" s="15">
        <v>32</v>
      </c>
      <c r="ACS70" s="15">
        <v>32</v>
      </c>
      <c r="ACT70" s="15">
        <v>32</v>
      </c>
      <c r="ACU70" s="15">
        <v>32</v>
      </c>
      <c r="ACV70" s="15">
        <v>32</v>
      </c>
      <c r="ACW70" s="15">
        <v>32</v>
      </c>
      <c r="ACX70" s="15">
        <v>32</v>
      </c>
      <c r="ACY70" s="15">
        <v>32</v>
      </c>
      <c r="ACZ70" s="15">
        <v>32</v>
      </c>
      <c r="ADA70" s="15">
        <v>32</v>
      </c>
      <c r="ADB70" s="15">
        <v>0</v>
      </c>
      <c r="ADC70" s="15">
        <v>0</v>
      </c>
      <c r="ADD70" s="20">
        <v>0</v>
      </c>
      <c r="ADE70" s="15">
        <v>0</v>
      </c>
      <c r="ADF70" s="15">
        <v>0</v>
      </c>
      <c r="ADG70" s="15">
        <v>0</v>
      </c>
      <c r="ADH70" s="15"/>
      <c r="ADI70" s="15">
        <v>0</v>
      </c>
      <c r="ADJ70" s="15">
        <v>0</v>
      </c>
      <c r="ADK70" s="15">
        <v>0</v>
      </c>
      <c r="ADL70" s="15">
        <v>0</v>
      </c>
      <c r="ADM70" s="15">
        <v>0</v>
      </c>
      <c r="ADN70" s="15">
        <v>0</v>
      </c>
      <c r="ADO70" s="15">
        <v>0</v>
      </c>
      <c r="ADP70" s="15">
        <v>0</v>
      </c>
      <c r="ADQ70" s="15">
        <v>0</v>
      </c>
      <c r="ADR70" s="15">
        <v>0</v>
      </c>
      <c r="ADS70" s="15">
        <v>0</v>
      </c>
      <c r="ADT70" s="15">
        <v>0</v>
      </c>
      <c r="ADU70" s="15">
        <v>0</v>
      </c>
      <c r="ADV70" s="15">
        <v>0</v>
      </c>
      <c r="ADW70" s="15">
        <v>0</v>
      </c>
      <c r="ADX70" s="15">
        <v>0</v>
      </c>
      <c r="ADY70" s="15">
        <v>0</v>
      </c>
      <c r="ADZ70" s="15">
        <v>0</v>
      </c>
      <c r="AEA70" s="15">
        <v>0</v>
      </c>
      <c r="AEB70" s="15">
        <v>0</v>
      </c>
      <c r="AEC70" s="15">
        <v>0</v>
      </c>
      <c r="AED70" s="15">
        <v>0</v>
      </c>
      <c r="AEE70" s="15">
        <v>0</v>
      </c>
      <c r="AEF70" s="15">
        <v>0</v>
      </c>
      <c r="AEG70" s="15">
        <v>0</v>
      </c>
      <c r="AEH70" s="15">
        <v>0</v>
      </c>
      <c r="AEI70" s="15">
        <v>0</v>
      </c>
      <c r="AEJ70" s="15">
        <v>0</v>
      </c>
      <c r="AEK70" s="15">
        <v>0</v>
      </c>
      <c r="AEL70" s="15">
        <v>0</v>
      </c>
      <c r="AEM70" s="15">
        <v>0</v>
      </c>
      <c r="AEN70" s="15">
        <v>0</v>
      </c>
      <c r="AEO70" s="15">
        <v>0</v>
      </c>
      <c r="AEP70" s="15">
        <v>0</v>
      </c>
      <c r="AEQ70" s="15">
        <v>0</v>
      </c>
      <c r="AER70" s="15">
        <v>32</v>
      </c>
      <c r="AES70" s="15">
        <v>32</v>
      </c>
      <c r="AET70" s="15">
        <v>32</v>
      </c>
      <c r="AEU70" s="15">
        <v>32</v>
      </c>
      <c r="AEV70" s="15">
        <v>32</v>
      </c>
      <c r="AEW70" s="15">
        <v>32</v>
      </c>
      <c r="AEX70" s="15">
        <v>32</v>
      </c>
      <c r="AEY70" s="15">
        <v>0</v>
      </c>
      <c r="AEZ70" s="15">
        <v>0</v>
      </c>
      <c r="AFA70" s="15">
        <v>32</v>
      </c>
      <c r="AFB70" s="15">
        <v>32</v>
      </c>
      <c r="AFC70" s="15">
        <v>32</v>
      </c>
      <c r="AFD70" s="15">
        <v>32</v>
      </c>
      <c r="AFE70" s="15">
        <v>32</v>
      </c>
      <c r="AFF70" s="15">
        <v>32</v>
      </c>
      <c r="AFG70" s="15">
        <v>32</v>
      </c>
      <c r="AFH70" s="15">
        <v>32</v>
      </c>
      <c r="AFI70" s="15">
        <v>32</v>
      </c>
      <c r="AFJ70" s="15">
        <v>32</v>
      </c>
      <c r="AFK70" s="15">
        <v>32</v>
      </c>
      <c r="AFL70" s="15">
        <v>0</v>
      </c>
      <c r="AFM70" s="15">
        <v>0</v>
      </c>
      <c r="AFN70" s="20">
        <v>0</v>
      </c>
      <c r="AFO70" s="15">
        <v>0</v>
      </c>
      <c r="AFP70" s="15">
        <v>0</v>
      </c>
      <c r="AFQ70" s="15">
        <v>0</v>
      </c>
      <c r="AFR70" s="15"/>
      <c r="AFS70" s="15">
        <v>0</v>
      </c>
      <c r="AFT70" s="15">
        <v>0</v>
      </c>
      <c r="AFU70" s="15">
        <v>0</v>
      </c>
      <c r="AFV70" s="15">
        <v>0</v>
      </c>
      <c r="AFW70" s="15">
        <v>0</v>
      </c>
      <c r="AFX70" s="15">
        <v>0</v>
      </c>
      <c r="AFY70" s="15">
        <v>0</v>
      </c>
      <c r="AFZ70" s="15">
        <v>0</v>
      </c>
      <c r="AGA70" s="15">
        <v>0</v>
      </c>
      <c r="AGB70" s="15">
        <v>0</v>
      </c>
      <c r="AGC70" s="15">
        <v>0</v>
      </c>
      <c r="AGD70" s="15">
        <v>0</v>
      </c>
      <c r="AGE70" s="15">
        <v>0</v>
      </c>
      <c r="AGF70" s="15">
        <v>0</v>
      </c>
      <c r="AGG70" s="15">
        <v>64</v>
      </c>
      <c r="AGH70" s="15">
        <v>64</v>
      </c>
      <c r="AGI70" s="15">
        <v>64</v>
      </c>
      <c r="AGJ70" s="15">
        <v>64</v>
      </c>
      <c r="AGK70" s="15">
        <v>64</v>
      </c>
      <c r="AGL70" s="15">
        <v>64</v>
      </c>
      <c r="AGM70" s="15">
        <v>64</v>
      </c>
      <c r="AGN70" s="15">
        <v>0</v>
      </c>
      <c r="AGO70" s="15">
        <v>0</v>
      </c>
      <c r="AGP70" s="15">
        <v>128</v>
      </c>
      <c r="AGQ70" s="15">
        <v>128</v>
      </c>
      <c r="AGR70" s="15">
        <v>128</v>
      </c>
      <c r="AGS70" s="15">
        <v>128</v>
      </c>
      <c r="AGT70" s="15">
        <v>128</v>
      </c>
      <c r="AGU70" s="15">
        <v>128</v>
      </c>
      <c r="AGV70" s="15">
        <v>128</v>
      </c>
      <c r="AGW70" s="15">
        <v>0</v>
      </c>
      <c r="AGX70" s="15">
        <v>0</v>
      </c>
      <c r="AGY70" s="15">
        <v>64</v>
      </c>
      <c r="AGZ70" s="15">
        <v>64</v>
      </c>
      <c r="AHA70" s="15">
        <v>64</v>
      </c>
      <c r="AHB70" s="15">
        <v>64</v>
      </c>
      <c r="AHC70" s="15">
        <v>64</v>
      </c>
      <c r="AHD70" s="15">
        <v>64</v>
      </c>
      <c r="AHE70" s="15">
        <v>64</v>
      </c>
      <c r="AHF70" s="15">
        <v>64</v>
      </c>
      <c r="AHG70" s="15">
        <v>64</v>
      </c>
      <c r="AHH70" s="15">
        <v>64</v>
      </c>
      <c r="AHI70" s="15">
        <v>64</v>
      </c>
      <c r="AHJ70" s="15">
        <v>0</v>
      </c>
      <c r="AHK70" s="15">
        <v>0</v>
      </c>
      <c r="AHL70" s="15">
        <v>128</v>
      </c>
      <c r="AHM70" s="15">
        <v>128</v>
      </c>
      <c r="AHN70" s="15">
        <v>128</v>
      </c>
      <c r="AHO70" s="15">
        <v>128</v>
      </c>
      <c r="AHP70" s="15">
        <v>128</v>
      </c>
      <c r="AHQ70" s="15">
        <v>128</v>
      </c>
      <c r="AHR70" s="15">
        <v>128</v>
      </c>
      <c r="AHS70" s="15">
        <v>128</v>
      </c>
      <c r="AHT70" s="15">
        <v>128</v>
      </c>
      <c r="AHU70" s="15">
        <v>128</v>
      </c>
      <c r="AHV70" s="15">
        <v>128</v>
      </c>
      <c r="AHW70" s="15">
        <v>0</v>
      </c>
      <c r="AHX70" s="15">
        <v>0</v>
      </c>
      <c r="AHY70" s="15">
        <v>64</v>
      </c>
      <c r="AHZ70" s="15">
        <v>64</v>
      </c>
      <c r="AIA70" s="15">
        <v>64</v>
      </c>
      <c r="AIB70" s="15">
        <v>64</v>
      </c>
      <c r="AIC70" s="15">
        <v>64</v>
      </c>
      <c r="AID70" s="15">
        <v>64</v>
      </c>
      <c r="AIE70" s="15">
        <v>64</v>
      </c>
      <c r="AIF70" s="15">
        <v>0</v>
      </c>
      <c r="AIG70" s="15">
        <v>0</v>
      </c>
      <c r="AIH70" s="15">
        <v>128</v>
      </c>
      <c r="AII70" s="15">
        <v>128</v>
      </c>
      <c r="AIJ70" s="15">
        <v>128</v>
      </c>
      <c r="AIK70" s="15">
        <v>64</v>
      </c>
      <c r="AIL70" s="15">
        <v>64</v>
      </c>
      <c r="AIM70" s="15">
        <v>64</v>
      </c>
      <c r="AIN70" s="15">
        <v>64</v>
      </c>
      <c r="AIO70" s="15">
        <v>0</v>
      </c>
      <c r="AIP70" s="15">
        <v>0</v>
      </c>
      <c r="AIQ70" s="15">
        <v>0</v>
      </c>
      <c r="AIR70" s="15">
        <v>64</v>
      </c>
      <c r="AIS70" s="15">
        <v>32</v>
      </c>
      <c r="AIT70" s="15">
        <v>128</v>
      </c>
      <c r="AIU70" s="15">
        <v>128</v>
      </c>
      <c r="AIV70" s="15">
        <v>128</v>
      </c>
      <c r="AIW70" s="15">
        <v>0</v>
      </c>
      <c r="AIX70" s="15">
        <v>0</v>
      </c>
      <c r="AIY70" s="15">
        <v>0</v>
      </c>
      <c r="AIZ70" s="15">
        <v>0</v>
      </c>
      <c r="AJA70" s="20">
        <v>256</v>
      </c>
      <c r="AJB70" s="15">
        <v>0</v>
      </c>
      <c r="AJC70" s="15">
        <v>0</v>
      </c>
      <c r="AJD70" s="15">
        <v>0</v>
      </c>
      <c r="AJE70" s="20">
        <v>8</v>
      </c>
      <c r="AJF70" s="15"/>
      <c r="AJG70" s="15">
        <v>0</v>
      </c>
      <c r="AJH70" s="15">
        <v>1</v>
      </c>
      <c r="AJI70" s="15">
        <v>1</v>
      </c>
      <c r="AJJ70" s="15">
        <v>1</v>
      </c>
      <c r="AJK70" s="15">
        <v>1</v>
      </c>
      <c r="AJL70" s="15">
        <v>1</v>
      </c>
      <c r="AJM70" s="15">
        <v>0</v>
      </c>
      <c r="AJN70" s="15"/>
      <c r="AJO70" s="15">
        <v>0</v>
      </c>
      <c r="AJP70" s="15">
        <v>1</v>
      </c>
      <c r="AJQ70" s="15">
        <v>1</v>
      </c>
      <c r="AJR70" s="15">
        <v>1</v>
      </c>
      <c r="AJS70" s="15">
        <v>1</v>
      </c>
      <c r="AJT70" s="15">
        <v>1</v>
      </c>
      <c r="AJU70" s="15">
        <v>1</v>
      </c>
      <c r="AJV70" s="15">
        <v>0</v>
      </c>
      <c r="AJW70" s="15">
        <v>0</v>
      </c>
      <c r="AJX70" s="15"/>
      <c r="AJY70" s="15">
        <v>0</v>
      </c>
      <c r="AJZ70" s="15">
        <v>1</v>
      </c>
      <c r="AKA70" s="15">
        <v>1</v>
      </c>
      <c r="AKB70" s="15">
        <v>1</v>
      </c>
      <c r="AKC70" s="15">
        <v>1</v>
      </c>
      <c r="AKD70" s="15">
        <v>1</v>
      </c>
      <c r="AKE70" s="15">
        <v>1</v>
      </c>
      <c r="AKF70" s="15">
        <v>1</v>
      </c>
      <c r="AKG70" s="15">
        <v>1</v>
      </c>
      <c r="AKH70" s="15">
        <v>0</v>
      </c>
      <c r="AKI70" s="15"/>
      <c r="AKJ70" s="15">
        <v>0</v>
      </c>
      <c r="AKK70" s="15">
        <v>0</v>
      </c>
      <c r="AKL70" s="15">
        <v>0</v>
      </c>
      <c r="AKM70" s="15">
        <v>0</v>
      </c>
      <c r="AKN70" s="15">
        <v>0</v>
      </c>
      <c r="AKO70" s="15">
        <v>0</v>
      </c>
      <c r="AKP70" s="15">
        <v>0</v>
      </c>
      <c r="AKQ70" s="15">
        <v>0</v>
      </c>
      <c r="AKR70" s="15">
        <v>0</v>
      </c>
      <c r="AKS70" s="15">
        <v>0</v>
      </c>
      <c r="AKT70" s="15">
        <v>0</v>
      </c>
      <c r="AKU70" s="15">
        <v>0</v>
      </c>
      <c r="AKV70" s="15">
        <v>0</v>
      </c>
      <c r="AKW70" s="15">
        <v>0</v>
      </c>
      <c r="AKX70" s="15"/>
      <c r="AKY70" s="15">
        <v>0</v>
      </c>
      <c r="AKZ70" s="15">
        <v>0</v>
      </c>
      <c r="ALA70" s="15">
        <v>0</v>
      </c>
      <c r="ALB70" s="15">
        <v>0</v>
      </c>
      <c r="ALC70" s="15">
        <v>0</v>
      </c>
      <c r="ALD70" s="15">
        <v>0</v>
      </c>
      <c r="ALE70" s="15">
        <v>0</v>
      </c>
      <c r="ALF70" s="15">
        <v>0</v>
      </c>
      <c r="ALG70" s="15">
        <v>0</v>
      </c>
      <c r="ALH70" s="15">
        <v>0</v>
      </c>
      <c r="ALI70" s="15">
        <v>0</v>
      </c>
      <c r="ALJ70" s="15">
        <v>0</v>
      </c>
      <c r="ALK70" s="15">
        <v>0</v>
      </c>
      <c r="ALL70" s="15">
        <v>0</v>
      </c>
      <c r="ALM70" s="15"/>
      <c r="ALN70" s="15">
        <v>0</v>
      </c>
      <c r="ALO70" s="15">
        <v>0</v>
      </c>
      <c r="ALP70" s="15">
        <v>0</v>
      </c>
      <c r="ALQ70" s="15">
        <v>0</v>
      </c>
      <c r="ALR70" s="15">
        <v>0</v>
      </c>
      <c r="ALS70" s="15">
        <v>0</v>
      </c>
      <c r="ALT70" s="15">
        <v>0</v>
      </c>
      <c r="ALU70" s="15">
        <v>0</v>
      </c>
      <c r="ALV70" s="15">
        <v>0</v>
      </c>
      <c r="ALW70" s="15">
        <v>0</v>
      </c>
      <c r="ALX70" s="15">
        <v>0</v>
      </c>
      <c r="ALY70" s="15">
        <v>0</v>
      </c>
      <c r="ALZ70" s="15">
        <v>0</v>
      </c>
      <c r="AMA70" s="15">
        <v>0</v>
      </c>
      <c r="AMB70" s="15">
        <v>0</v>
      </c>
      <c r="AMC70" s="15"/>
      <c r="AMD70" s="15">
        <v>0</v>
      </c>
      <c r="AME70" s="15">
        <v>0</v>
      </c>
      <c r="AMF70" s="15">
        <v>0</v>
      </c>
      <c r="AMG70" s="15">
        <v>0</v>
      </c>
      <c r="AMH70" s="15">
        <v>0</v>
      </c>
      <c r="AMI70" s="15">
        <v>0</v>
      </c>
      <c r="AMJ70" s="15">
        <v>0</v>
      </c>
      <c r="AMK70" s="15">
        <v>0</v>
      </c>
      <c r="AML70" s="15">
        <v>0</v>
      </c>
      <c r="AMM70" s="15">
        <v>0</v>
      </c>
      <c r="AMN70" s="15">
        <v>0</v>
      </c>
      <c r="AMO70" s="15">
        <v>0</v>
      </c>
      <c r="AMP70" s="15">
        <v>0</v>
      </c>
      <c r="AMQ70" s="15">
        <v>0</v>
      </c>
      <c r="AMR70" s="15">
        <v>0</v>
      </c>
      <c r="AMS70" s="15">
        <v>0</v>
      </c>
      <c r="AMT70" s="15">
        <v>0</v>
      </c>
      <c r="AMU70" s="15">
        <v>0</v>
      </c>
      <c r="AMV70" s="15">
        <v>0</v>
      </c>
      <c r="AMW70" s="15">
        <v>0</v>
      </c>
      <c r="AMX70" s="15">
        <v>0</v>
      </c>
      <c r="AMY70" s="15">
        <v>0</v>
      </c>
      <c r="AMZ70" s="15">
        <v>0</v>
      </c>
      <c r="ANA70" s="15">
        <v>0</v>
      </c>
      <c r="ANB70" s="15">
        <v>0</v>
      </c>
      <c r="ANC70" s="15">
        <v>0</v>
      </c>
      <c r="AND70" s="15">
        <v>0</v>
      </c>
      <c r="ANE70" s="15"/>
      <c r="ANF70" s="15"/>
      <c r="ANG70" s="15"/>
      <c r="ANH70" s="15"/>
      <c r="ANI70" s="15"/>
      <c r="ANJ70" s="15"/>
      <c r="ANK70" s="15"/>
      <c r="ANL70" s="15"/>
      <c r="ANM70" s="15"/>
      <c r="ANN70" s="15"/>
      <c r="ANO70" s="15"/>
      <c r="ANP70" s="15"/>
      <c r="ANQ70" s="15"/>
      <c r="ANR70" s="15"/>
      <c r="ANS70" s="15"/>
      <c r="ANT70" s="15"/>
      <c r="ANU70" s="15"/>
      <c r="ANV70" s="15"/>
      <c r="ANW70" s="15"/>
      <c r="ANX70" s="15"/>
      <c r="ANY70" s="15"/>
      <c r="ANZ70" s="15"/>
      <c r="AOA70" s="15"/>
      <c r="AOB70" s="15"/>
      <c r="AOC70" s="15"/>
      <c r="AOD70" s="15"/>
      <c r="AOE70" s="15"/>
      <c r="AOF70" s="15"/>
      <c r="AOG70" s="15"/>
      <c r="AOH70" s="15"/>
      <c r="AOI70" s="15"/>
      <c r="AOJ70" s="15"/>
      <c r="AOK70" s="15"/>
      <c r="AOL70" s="15"/>
      <c r="AOM70" s="15"/>
      <c r="AON70" s="15"/>
      <c r="AOO70" s="15"/>
      <c r="AOP70" s="15"/>
      <c r="AOQ70" s="15"/>
      <c r="AOR70" s="15"/>
      <c r="AOS70" s="15"/>
      <c r="AOT70" s="15"/>
      <c r="AOU70" s="15"/>
      <c r="AOV70" s="15"/>
      <c r="AOW70" s="15"/>
      <c r="AOX70" s="15"/>
      <c r="AOY70" s="15"/>
      <c r="AOZ70" s="15"/>
      <c r="APA70" s="15"/>
      <c r="APB70" s="15"/>
      <c r="APC70" s="15"/>
      <c r="APD70" s="15"/>
      <c r="APE70" s="15"/>
      <c r="APF70" s="15"/>
      <c r="APG70" s="15"/>
      <c r="APH70" s="15"/>
      <c r="API70" s="15"/>
      <c r="APJ70" s="15"/>
      <c r="APK70" s="15"/>
      <c r="APL70" s="15"/>
      <c r="APM70" s="15"/>
      <c r="APN70" s="15"/>
      <c r="APO70" s="15"/>
      <c r="APP70" s="15"/>
      <c r="APQ70" s="15"/>
      <c r="APR70" s="15"/>
      <c r="APS70" s="15"/>
      <c r="APT70" s="15"/>
      <c r="APU70" s="15"/>
      <c r="APV70" s="15"/>
      <c r="APW70" s="15"/>
      <c r="APX70" s="15"/>
      <c r="APY70" s="15"/>
      <c r="APZ70" s="15"/>
      <c r="AQA70" s="15"/>
      <c r="AQB70" s="15"/>
    </row>
    <row r="71" spans="1:1120" s="17" customFormat="1" ht="15" customHeight="1" x14ac:dyDescent="0.25">
      <c r="A71" s="11" t="s">
        <v>3</v>
      </c>
      <c r="B71" s="6" t="s">
        <v>59</v>
      </c>
      <c r="C71" s="15">
        <v>0</v>
      </c>
      <c r="D71" s="15">
        <v>0</v>
      </c>
      <c r="E71" s="15">
        <v>0</v>
      </c>
      <c r="F71" s="15">
        <v>0</v>
      </c>
      <c r="G71" s="15">
        <v>0</v>
      </c>
      <c r="H71" s="15">
        <v>0</v>
      </c>
      <c r="I71" s="15">
        <v>0</v>
      </c>
      <c r="J71" s="15"/>
      <c r="K71" s="15">
        <v>0</v>
      </c>
      <c r="L71" s="15">
        <v>0</v>
      </c>
      <c r="M71" s="15">
        <v>0</v>
      </c>
      <c r="N71" s="15">
        <v>0</v>
      </c>
      <c r="O71" s="15">
        <v>0</v>
      </c>
      <c r="P71" s="15">
        <v>0</v>
      </c>
      <c r="Q71" s="15"/>
      <c r="R71" s="15">
        <v>0</v>
      </c>
      <c r="S71" s="15">
        <v>0</v>
      </c>
      <c r="T71" s="15">
        <v>0</v>
      </c>
      <c r="U71" s="15">
        <v>0</v>
      </c>
      <c r="V71" s="15">
        <v>0</v>
      </c>
      <c r="W71" s="15">
        <v>0</v>
      </c>
      <c r="X71" s="15"/>
      <c r="Y71" s="15">
        <v>0</v>
      </c>
      <c r="Z71" s="15">
        <v>0</v>
      </c>
      <c r="AA71" s="15">
        <v>0</v>
      </c>
      <c r="AB71" s="15">
        <v>0</v>
      </c>
      <c r="AC71" s="15">
        <v>0</v>
      </c>
      <c r="AD71" s="15">
        <v>0</v>
      </c>
      <c r="AE71" s="15"/>
      <c r="AF71" s="15">
        <v>0</v>
      </c>
      <c r="AG71" s="15">
        <v>0</v>
      </c>
      <c r="AH71" s="15">
        <v>0</v>
      </c>
      <c r="AI71" s="15">
        <v>0</v>
      </c>
      <c r="AJ71" s="15">
        <v>0</v>
      </c>
      <c r="AK71" s="15">
        <v>0</v>
      </c>
      <c r="AL71" s="15"/>
      <c r="AM71" s="15">
        <v>0</v>
      </c>
      <c r="AN71" s="15">
        <v>0</v>
      </c>
      <c r="AO71" s="15">
        <v>0</v>
      </c>
      <c r="AP71" s="15">
        <v>0</v>
      </c>
      <c r="AQ71" s="15">
        <v>0</v>
      </c>
      <c r="AR71" s="15">
        <v>0</v>
      </c>
      <c r="AS71" s="15">
        <v>0</v>
      </c>
      <c r="AT71" s="15">
        <v>0</v>
      </c>
      <c r="AU71" s="15">
        <v>0</v>
      </c>
      <c r="AV71" s="15">
        <v>0</v>
      </c>
      <c r="AW71" s="15">
        <v>0</v>
      </c>
      <c r="AX71" s="15">
        <v>0</v>
      </c>
      <c r="AY71" s="15">
        <v>0</v>
      </c>
      <c r="AZ71" s="15">
        <v>0</v>
      </c>
      <c r="BA71" s="15">
        <v>0</v>
      </c>
      <c r="BB71" s="15">
        <v>0</v>
      </c>
      <c r="BC71" s="15">
        <v>0</v>
      </c>
      <c r="BD71" s="15">
        <v>0</v>
      </c>
      <c r="BE71" s="15">
        <v>0</v>
      </c>
      <c r="BF71" s="15">
        <v>0</v>
      </c>
      <c r="BG71" s="15">
        <v>0</v>
      </c>
      <c r="BH71" s="15">
        <v>0</v>
      </c>
      <c r="BI71" s="15">
        <v>0</v>
      </c>
      <c r="BJ71" s="15">
        <v>0</v>
      </c>
      <c r="BK71" s="15">
        <v>0</v>
      </c>
      <c r="BL71" s="15">
        <v>0</v>
      </c>
      <c r="BM71" s="15">
        <v>0</v>
      </c>
      <c r="BN71" s="15">
        <v>0</v>
      </c>
      <c r="BO71" s="15">
        <v>0</v>
      </c>
      <c r="BP71" s="15">
        <v>0</v>
      </c>
      <c r="BQ71" s="15">
        <v>0</v>
      </c>
      <c r="BR71" s="15">
        <v>0</v>
      </c>
      <c r="BS71" s="15">
        <v>0</v>
      </c>
      <c r="BT71" s="15">
        <v>0</v>
      </c>
      <c r="BU71" s="15">
        <v>0</v>
      </c>
      <c r="BV71" s="15">
        <v>0</v>
      </c>
      <c r="BW71" s="15">
        <v>0</v>
      </c>
      <c r="BX71" s="15">
        <v>0</v>
      </c>
      <c r="BY71" s="15">
        <v>0</v>
      </c>
      <c r="BZ71" s="15">
        <v>0</v>
      </c>
      <c r="CA71" s="15">
        <v>0</v>
      </c>
      <c r="CB71" s="15">
        <v>0</v>
      </c>
      <c r="CC71" s="15">
        <v>0</v>
      </c>
      <c r="CD71" s="15">
        <v>0</v>
      </c>
      <c r="CE71" s="15">
        <v>0</v>
      </c>
      <c r="CF71" s="15">
        <v>0</v>
      </c>
      <c r="CG71" s="15">
        <v>0</v>
      </c>
      <c r="CH71" s="15">
        <v>0</v>
      </c>
      <c r="CI71" s="15">
        <v>0</v>
      </c>
      <c r="CJ71" s="15">
        <v>0</v>
      </c>
      <c r="CK71" s="15">
        <v>0</v>
      </c>
      <c r="CL71" s="15">
        <v>0</v>
      </c>
      <c r="CM71" s="15">
        <v>0</v>
      </c>
      <c r="CN71" s="15">
        <v>0</v>
      </c>
      <c r="CO71" s="15">
        <v>0</v>
      </c>
      <c r="CP71" s="15">
        <v>0</v>
      </c>
      <c r="CQ71" s="15">
        <v>0</v>
      </c>
      <c r="CR71" s="15">
        <v>0</v>
      </c>
      <c r="CS71" s="15">
        <v>0</v>
      </c>
      <c r="CT71" s="15">
        <v>0</v>
      </c>
      <c r="CU71" s="15">
        <v>0</v>
      </c>
      <c r="CV71" s="15">
        <v>0</v>
      </c>
      <c r="CW71" s="15">
        <v>0</v>
      </c>
      <c r="CX71" s="15">
        <v>0</v>
      </c>
      <c r="CY71" s="15">
        <v>0</v>
      </c>
      <c r="CZ71" s="15">
        <v>0</v>
      </c>
      <c r="DA71" s="15">
        <v>0</v>
      </c>
      <c r="DB71" s="15">
        <v>0</v>
      </c>
      <c r="DC71" s="15">
        <v>0</v>
      </c>
      <c r="DD71" s="15">
        <v>0</v>
      </c>
      <c r="DE71" s="15">
        <v>0</v>
      </c>
      <c r="DF71" s="15">
        <v>0</v>
      </c>
      <c r="DG71" s="15">
        <v>0</v>
      </c>
      <c r="DH71" s="15">
        <v>0</v>
      </c>
      <c r="DI71" s="15">
        <v>0</v>
      </c>
      <c r="DJ71" s="15">
        <v>0</v>
      </c>
      <c r="DK71" s="15">
        <v>0</v>
      </c>
      <c r="DL71" s="15">
        <v>0</v>
      </c>
      <c r="DM71" s="15">
        <v>0</v>
      </c>
      <c r="DN71" s="15">
        <v>0</v>
      </c>
      <c r="DO71" s="15">
        <v>0</v>
      </c>
      <c r="DP71" s="15">
        <v>0</v>
      </c>
      <c r="DQ71" s="15">
        <v>0</v>
      </c>
      <c r="DR71" s="15">
        <v>0</v>
      </c>
      <c r="DS71" s="15">
        <v>0</v>
      </c>
      <c r="DT71" s="15">
        <v>0</v>
      </c>
      <c r="DU71" s="15">
        <v>0</v>
      </c>
      <c r="DV71" s="15">
        <v>0</v>
      </c>
      <c r="DW71" s="15">
        <v>0</v>
      </c>
      <c r="DX71" s="15">
        <v>0</v>
      </c>
      <c r="DY71" s="15">
        <v>0</v>
      </c>
      <c r="DZ71" s="15">
        <v>0</v>
      </c>
      <c r="EA71" s="15">
        <v>0</v>
      </c>
      <c r="EB71" s="15">
        <v>0</v>
      </c>
      <c r="EC71" s="15">
        <v>0</v>
      </c>
      <c r="ED71" s="15">
        <v>0</v>
      </c>
      <c r="EE71" s="15">
        <v>0</v>
      </c>
      <c r="EF71" s="15">
        <v>0</v>
      </c>
      <c r="EG71" s="15">
        <v>0</v>
      </c>
      <c r="EH71" s="15">
        <v>0</v>
      </c>
      <c r="EI71" s="15">
        <v>0</v>
      </c>
      <c r="EJ71" s="15">
        <v>0</v>
      </c>
      <c r="EK71" s="15">
        <v>0</v>
      </c>
      <c r="EL71" s="15">
        <v>0</v>
      </c>
      <c r="EM71" s="15">
        <v>0</v>
      </c>
      <c r="EN71" s="15">
        <v>0</v>
      </c>
      <c r="EO71" s="15">
        <v>0</v>
      </c>
      <c r="EP71" s="15">
        <v>0</v>
      </c>
      <c r="EQ71" s="15">
        <v>0</v>
      </c>
      <c r="ER71" s="15">
        <v>0</v>
      </c>
      <c r="ES71" s="15">
        <v>0</v>
      </c>
      <c r="ET71" s="15">
        <v>0</v>
      </c>
      <c r="EU71" s="15">
        <v>0</v>
      </c>
      <c r="EV71" s="15">
        <v>0</v>
      </c>
      <c r="EW71" s="15">
        <v>0</v>
      </c>
      <c r="EX71" s="15">
        <v>0</v>
      </c>
      <c r="EY71" s="15">
        <v>0</v>
      </c>
      <c r="EZ71" s="15">
        <v>0</v>
      </c>
      <c r="FA71" s="15">
        <v>0</v>
      </c>
      <c r="FB71" s="15">
        <v>0</v>
      </c>
      <c r="FC71" s="15">
        <v>0</v>
      </c>
      <c r="FD71" s="15"/>
      <c r="FE71" s="15">
        <v>0</v>
      </c>
      <c r="FF71" s="15">
        <v>0</v>
      </c>
      <c r="FG71" s="15">
        <v>0</v>
      </c>
      <c r="FH71" s="15">
        <v>0</v>
      </c>
      <c r="FI71" s="15">
        <v>0</v>
      </c>
      <c r="FJ71" s="15">
        <v>0</v>
      </c>
      <c r="FK71" s="15">
        <v>0</v>
      </c>
      <c r="FL71" s="15">
        <v>0</v>
      </c>
      <c r="FM71" s="15">
        <v>0</v>
      </c>
      <c r="FN71" s="15">
        <v>0</v>
      </c>
      <c r="FO71" s="15">
        <v>0</v>
      </c>
      <c r="FP71" s="15">
        <v>0</v>
      </c>
      <c r="FQ71" s="15">
        <v>0</v>
      </c>
      <c r="FR71" s="15">
        <v>0</v>
      </c>
      <c r="FS71" s="15">
        <v>0</v>
      </c>
      <c r="FT71" s="15">
        <v>0</v>
      </c>
      <c r="FU71" s="15">
        <v>0</v>
      </c>
      <c r="FV71" s="15">
        <v>0</v>
      </c>
      <c r="FW71" s="15">
        <v>0</v>
      </c>
      <c r="FX71" s="15">
        <v>0</v>
      </c>
      <c r="FY71" s="15">
        <v>0</v>
      </c>
      <c r="FZ71" s="15">
        <v>0</v>
      </c>
      <c r="GA71" s="15">
        <v>0</v>
      </c>
      <c r="GB71" s="15">
        <v>0</v>
      </c>
      <c r="GC71" s="15">
        <v>0</v>
      </c>
      <c r="GD71" s="15">
        <v>0</v>
      </c>
      <c r="GE71" s="15">
        <v>0</v>
      </c>
      <c r="GF71" s="15">
        <v>0</v>
      </c>
      <c r="GG71" s="15">
        <v>0</v>
      </c>
      <c r="GH71" s="15">
        <v>0</v>
      </c>
      <c r="GI71" s="15">
        <v>0</v>
      </c>
      <c r="GJ71" s="15">
        <v>0</v>
      </c>
      <c r="GK71" s="15">
        <v>0</v>
      </c>
      <c r="GL71" s="15">
        <v>0</v>
      </c>
      <c r="GM71" s="15">
        <v>0</v>
      </c>
      <c r="GN71" s="15">
        <v>0</v>
      </c>
      <c r="GO71" s="15">
        <v>0</v>
      </c>
      <c r="GP71" s="15">
        <v>0</v>
      </c>
      <c r="GQ71" s="15">
        <v>0</v>
      </c>
      <c r="GR71" s="15">
        <v>0</v>
      </c>
      <c r="GS71" s="15">
        <v>0</v>
      </c>
      <c r="GT71" s="15">
        <v>0</v>
      </c>
      <c r="GU71" s="15">
        <v>0</v>
      </c>
      <c r="GV71" s="15">
        <v>0</v>
      </c>
      <c r="GW71" s="15">
        <v>0</v>
      </c>
      <c r="GX71" s="15">
        <v>0</v>
      </c>
      <c r="GY71" s="15">
        <v>0</v>
      </c>
      <c r="GZ71" s="15">
        <v>0</v>
      </c>
      <c r="HA71" s="15">
        <v>0</v>
      </c>
      <c r="HB71" s="15">
        <v>0</v>
      </c>
      <c r="HC71" s="15">
        <v>0</v>
      </c>
      <c r="HD71" s="15">
        <v>0</v>
      </c>
      <c r="HE71" s="15">
        <v>0</v>
      </c>
      <c r="HF71" s="15">
        <v>0</v>
      </c>
      <c r="HG71" s="15">
        <v>0</v>
      </c>
      <c r="HH71" s="15">
        <v>0</v>
      </c>
      <c r="HI71" s="15">
        <v>0</v>
      </c>
      <c r="HJ71" s="15">
        <v>0</v>
      </c>
      <c r="HK71" s="15">
        <v>0</v>
      </c>
      <c r="HL71" s="15">
        <v>0</v>
      </c>
      <c r="HM71" s="15">
        <v>0</v>
      </c>
      <c r="HN71" s="15">
        <v>0</v>
      </c>
      <c r="HO71" s="15">
        <v>0</v>
      </c>
      <c r="HP71" s="15">
        <v>0</v>
      </c>
      <c r="HQ71" s="15">
        <v>0</v>
      </c>
      <c r="HR71" s="15">
        <v>0</v>
      </c>
      <c r="HS71" s="15">
        <v>0</v>
      </c>
      <c r="HT71" s="15">
        <v>0</v>
      </c>
      <c r="HU71" s="15">
        <v>0</v>
      </c>
      <c r="HV71" s="15">
        <v>0</v>
      </c>
      <c r="HW71" s="15">
        <v>0</v>
      </c>
      <c r="HX71" s="15">
        <v>0</v>
      </c>
      <c r="HY71" s="15">
        <v>0</v>
      </c>
      <c r="HZ71" s="15">
        <v>0</v>
      </c>
      <c r="IA71" s="15">
        <v>0</v>
      </c>
      <c r="IB71" s="15"/>
      <c r="IC71" s="15">
        <v>0</v>
      </c>
      <c r="ID71" s="15">
        <v>0</v>
      </c>
      <c r="IE71" s="15">
        <v>0</v>
      </c>
      <c r="IF71" s="15">
        <v>0</v>
      </c>
      <c r="IG71" s="15">
        <v>0</v>
      </c>
      <c r="IH71" s="15">
        <v>0</v>
      </c>
      <c r="II71" s="15">
        <v>0</v>
      </c>
      <c r="IJ71" s="15">
        <v>0</v>
      </c>
      <c r="IK71" s="15"/>
      <c r="IL71" s="15">
        <v>0</v>
      </c>
      <c r="IM71" s="15">
        <v>0</v>
      </c>
      <c r="IN71" s="15">
        <v>0</v>
      </c>
      <c r="IO71" s="15">
        <v>0</v>
      </c>
      <c r="IP71" s="15">
        <v>0</v>
      </c>
      <c r="IQ71" s="15">
        <v>0</v>
      </c>
      <c r="IR71" s="15">
        <v>0</v>
      </c>
      <c r="IS71" s="15">
        <v>0</v>
      </c>
      <c r="IT71" s="15">
        <v>0</v>
      </c>
      <c r="IU71" s="15">
        <v>0</v>
      </c>
      <c r="IV71" s="15">
        <v>0</v>
      </c>
      <c r="IW71" s="15">
        <v>0</v>
      </c>
      <c r="IX71" s="15">
        <v>0</v>
      </c>
      <c r="IY71" s="15">
        <v>0</v>
      </c>
      <c r="IZ71" s="15">
        <v>0</v>
      </c>
      <c r="JA71" s="15">
        <v>0</v>
      </c>
      <c r="JB71" s="15">
        <v>0</v>
      </c>
      <c r="JC71" s="15">
        <v>0</v>
      </c>
      <c r="JD71" s="15">
        <v>0</v>
      </c>
      <c r="JE71" s="15">
        <v>0</v>
      </c>
      <c r="JF71" s="15">
        <v>0</v>
      </c>
      <c r="JG71" s="15">
        <v>0</v>
      </c>
      <c r="JH71" s="15">
        <v>0</v>
      </c>
      <c r="JI71" s="15">
        <v>0</v>
      </c>
      <c r="JJ71" s="15">
        <v>0</v>
      </c>
      <c r="JK71" s="15">
        <v>0</v>
      </c>
      <c r="JL71" s="15">
        <v>0</v>
      </c>
      <c r="JM71" s="15">
        <v>0</v>
      </c>
      <c r="JN71" s="15">
        <v>0</v>
      </c>
      <c r="JO71" s="15">
        <v>0</v>
      </c>
      <c r="JP71" s="15">
        <v>0</v>
      </c>
      <c r="JQ71" s="15">
        <v>0</v>
      </c>
      <c r="JR71" s="15">
        <v>0</v>
      </c>
      <c r="JS71" s="15">
        <v>0</v>
      </c>
      <c r="JT71" s="15">
        <v>0</v>
      </c>
      <c r="JU71" s="15">
        <v>0</v>
      </c>
      <c r="JV71" s="15">
        <v>0</v>
      </c>
      <c r="JW71" s="15">
        <v>0</v>
      </c>
      <c r="JX71" s="15">
        <v>0</v>
      </c>
      <c r="JY71" s="15">
        <v>0</v>
      </c>
      <c r="JZ71" s="15">
        <v>0</v>
      </c>
      <c r="KA71" s="15">
        <v>0</v>
      </c>
      <c r="KB71" s="15">
        <v>0</v>
      </c>
      <c r="KC71" s="15">
        <v>0</v>
      </c>
      <c r="KD71" s="15">
        <v>0</v>
      </c>
      <c r="KE71" s="15">
        <v>0</v>
      </c>
      <c r="KF71" s="15">
        <v>0</v>
      </c>
      <c r="KG71" s="15">
        <v>0</v>
      </c>
      <c r="KH71" s="15">
        <v>0</v>
      </c>
      <c r="KI71" s="15">
        <v>0</v>
      </c>
      <c r="KJ71" s="15">
        <v>0</v>
      </c>
      <c r="KK71" s="15">
        <v>0</v>
      </c>
      <c r="KL71" s="15">
        <v>0</v>
      </c>
      <c r="KM71" s="15">
        <v>0</v>
      </c>
      <c r="KN71" s="15">
        <v>0</v>
      </c>
      <c r="KO71" s="15">
        <v>0</v>
      </c>
      <c r="KP71" s="15">
        <v>0</v>
      </c>
      <c r="KQ71" s="15">
        <v>0</v>
      </c>
      <c r="KR71" s="15">
        <v>0</v>
      </c>
      <c r="KS71" s="15">
        <v>0</v>
      </c>
      <c r="KT71" s="15">
        <v>0</v>
      </c>
      <c r="KU71" s="15">
        <v>0</v>
      </c>
      <c r="KV71" s="15">
        <v>0</v>
      </c>
      <c r="KW71" s="15">
        <v>0</v>
      </c>
      <c r="KX71" s="15">
        <v>0</v>
      </c>
      <c r="KY71" s="15">
        <v>0</v>
      </c>
      <c r="KZ71" s="15">
        <v>0</v>
      </c>
      <c r="LA71" s="15">
        <v>0</v>
      </c>
      <c r="LB71" s="15">
        <v>0</v>
      </c>
      <c r="LC71" s="15">
        <v>0</v>
      </c>
      <c r="LD71" s="15">
        <v>0</v>
      </c>
      <c r="LE71" s="15">
        <v>0</v>
      </c>
      <c r="LF71" s="15">
        <v>0</v>
      </c>
      <c r="LG71" s="15">
        <v>0</v>
      </c>
      <c r="LH71" s="15">
        <v>0</v>
      </c>
      <c r="LI71" s="15">
        <v>0</v>
      </c>
      <c r="LJ71" s="15">
        <v>0</v>
      </c>
      <c r="LK71" s="15">
        <v>0</v>
      </c>
      <c r="LL71" s="15">
        <v>0</v>
      </c>
      <c r="LM71" s="15">
        <v>0</v>
      </c>
      <c r="LN71" s="15">
        <v>0</v>
      </c>
      <c r="LO71" s="15">
        <v>0</v>
      </c>
      <c r="LP71" s="15">
        <v>0</v>
      </c>
      <c r="LQ71" s="15">
        <v>0</v>
      </c>
      <c r="LR71" s="15">
        <v>0</v>
      </c>
      <c r="LS71" s="15">
        <v>0</v>
      </c>
      <c r="LT71" s="15">
        <v>0</v>
      </c>
      <c r="LU71" s="15">
        <v>0</v>
      </c>
      <c r="LV71" s="15">
        <v>0</v>
      </c>
      <c r="LW71" s="15">
        <v>0</v>
      </c>
      <c r="LX71" s="15">
        <v>0</v>
      </c>
      <c r="LY71" s="15">
        <v>0</v>
      </c>
      <c r="LZ71" s="15">
        <v>0</v>
      </c>
      <c r="MA71" s="15">
        <v>0</v>
      </c>
      <c r="MB71" s="15">
        <v>0</v>
      </c>
      <c r="MC71" s="15">
        <v>0</v>
      </c>
      <c r="MD71" s="15">
        <v>0</v>
      </c>
      <c r="ME71" s="15">
        <v>0</v>
      </c>
      <c r="MF71" s="15">
        <v>0</v>
      </c>
      <c r="MG71" s="15">
        <v>0</v>
      </c>
      <c r="MH71" s="15">
        <v>0</v>
      </c>
      <c r="MI71" s="15">
        <v>0</v>
      </c>
      <c r="MJ71" s="15">
        <v>0</v>
      </c>
      <c r="MK71" s="15">
        <v>0</v>
      </c>
      <c r="ML71" s="15">
        <v>0</v>
      </c>
      <c r="MM71" s="15">
        <v>0</v>
      </c>
      <c r="MN71" s="15">
        <v>0</v>
      </c>
      <c r="MO71" s="15">
        <v>0</v>
      </c>
      <c r="MP71" s="15">
        <v>0</v>
      </c>
      <c r="MQ71" s="15">
        <v>0</v>
      </c>
      <c r="MR71" s="15">
        <v>0</v>
      </c>
      <c r="MS71" s="15">
        <v>0</v>
      </c>
      <c r="MT71" s="15">
        <v>0</v>
      </c>
      <c r="MU71" s="15">
        <v>0</v>
      </c>
      <c r="MV71" s="15">
        <v>0</v>
      </c>
      <c r="MW71" s="15">
        <v>0</v>
      </c>
      <c r="MX71" s="15">
        <v>0</v>
      </c>
      <c r="MY71" s="15">
        <v>0</v>
      </c>
      <c r="MZ71" s="15">
        <v>0</v>
      </c>
      <c r="NA71" s="15">
        <v>0</v>
      </c>
      <c r="NB71" s="15">
        <v>0</v>
      </c>
      <c r="NC71" s="15">
        <v>0</v>
      </c>
      <c r="ND71" s="15">
        <v>0</v>
      </c>
      <c r="NE71" s="15">
        <v>0</v>
      </c>
      <c r="NF71" s="15">
        <v>0</v>
      </c>
      <c r="NG71" s="15">
        <v>0</v>
      </c>
      <c r="NH71" s="15">
        <v>0</v>
      </c>
      <c r="NI71" s="15">
        <v>0</v>
      </c>
      <c r="NJ71" s="15">
        <v>0</v>
      </c>
      <c r="NK71" s="15">
        <v>0</v>
      </c>
      <c r="NL71" s="15">
        <v>0</v>
      </c>
      <c r="NM71" s="15">
        <v>0</v>
      </c>
      <c r="NN71" s="15">
        <v>0</v>
      </c>
      <c r="NO71" s="15">
        <v>0</v>
      </c>
      <c r="NP71" s="15">
        <v>0</v>
      </c>
      <c r="NQ71" s="15">
        <v>0</v>
      </c>
      <c r="NR71" s="15">
        <v>0</v>
      </c>
      <c r="NS71" s="15">
        <v>0</v>
      </c>
      <c r="NT71" s="15">
        <v>0</v>
      </c>
      <c r="NU71" s="15">
        <v>0</v>
      </c>
      <c r="NV71" s="15">
        <v>0</v>
      </c>
      <c r="NW71" s="15">
        <v>0</v>
      </c>
      <c r="NX71" s="15">
        <v>0</v>
      </c>
      <c r="NY71" s="15">
        <v>0</v>
      </c>
      <c r="NZ71" s="15">
        <v>0</v>
      </c>
      <c r="OA71" s="15">
        <v>0</v>
      </c>
      <c r="OB71" s="15">
        <v>0</v>
      </c>
      <c r="OC71" s="15">
        <v>0</v>
      </c>
      <c r="OD71" s="15">
        <v>0</v>
      </c>
      <c r="OE71" s="15">
        <v>0</v>
      </c>
      <c r="OF71" s="15">
        <v>0</v>
      </c>
      <c r="OG71" s="15">
        <v>0</v>
      </c>
      <c r="OH71" s="15">
        <v>0</v>
      </c>
      <c r="OI71" s="15">
        <v>0</v>
      </c>
      <c r="OJ71" s="15">
        <v>0</v>
      </c>
      <c r="OK71" s="15">
        <v>0</v>
      </c>
      <c r="OL71" s="15">
        <v>0</v>
      </c>
      <c r="OM71" s="15">
        <v>0</v>
      </c>
      <c r="ON71" s="15">
        <v>0</v>
      </c>
      <c r="OO71" s="15">
        <v>0</v>
      </c>
      <c r="OP71" s="15">
        <v>0</v>
      </c>
      <c r="OQ71" s="15">
        <v>0</v>
      </c>
      <c r="OR71" s="15">
        <v>0</v>
      </c>
      <c r="OS71" s="15">
        <v>0</v>
      </c>
      <c r="OT71" s="15">
        <v>0</v>
      </c>
      <c r="OU71" s="15">
        <v>0</v>
      </c>
      <c r="OV71" s="15">
        <v>0</v>
      </c>
      <c r="OW71" s="15">
        <v>0</v>
      </c>
      <c r="OX71" s="15">
        <v>0</v>
      </c>
      <c r="OY71" s="15">
        <v>0</v>
      </c>
      <c r="OZ71" s="15">
        <v>0</v>
      </c>
      <c r="PA71" s="15">
        <v>0</v>
      </c>
      <c r="PB71" s="15">
        <v>0</v>
      </c>
      <c r="PC71" s="15">
        <v>0</v>
      </c>
      <c r="PD71" s="15">
        <v>0</v>
      </c>
      <c r="PE71" s="15">
        <v>0</v>
      </c>
      <c r="PF71" s="15">
        <v>0</v>
      </c>
      <c r="PG71" s="15">
        <v>0</v>
      </c>
      <c r="PH71" s="15">
        <v>0</v>
      </c>
      <c r="PI71" s="15">
        <v>0</v>
      </c>
      <c r="PJ71" s="15">
        <v>0</v>
      </c>
      <c r="PK71" s="15">
        <v>0</v>
      </c>
      <c r="PL71" s="15">
        <v>0</v>
      </c>
      <c r="PM71" s="15">
        <v>0</v>
      </c>
      <c r="PN71" s="15">
        <v>0</v>
      </c>
      <c r="PO71" s="15">
        <v>0</v>
      </c>
      <c r="PP71" s="15">
        <v>0</v>
      </c>
      <c r="PQ71" s="15">
        <v>0</v>
      </c>
      <c r="PR71" s="15">
        <v>0</v>
      </c>
      <c r="PS71" s="15">
        <v>0</v>
      </c>
      <c r="PT71" s="15">
        <v>0</v>
      </c>
      <c r="PU71" s="15">
        <v>0</v>
      </c>
      <c r="PV71" s="15">
        <v>0</v>
      </c>
      <c r="PW71" s="15">
        <v>0</v>
      </c>
      <c r="PX71" s="15">
        <v>0</v>
      </c>
      <c r="PY71" s="15">
        <v>0</v>
      </c>
      <c r="PZ71" s="15">
        <v>0</v>
      </c>
      <c r="QA71" s="15">
        <v>0</v>
      </c>
      <c r="QB71" s="15">
        <v>0</v>
      </c>
      <c r="QC71" s="15">
        <v>0</v>
      </c>
      <c r="QD71" s="15">
        <v>0</v>
      </c>
      <c r="QE71" s="15">
        <v>0</v>
      </c>
      <c r="QF71" s="15">
        <v>0</v>
      </c>
      <c r="QG71" s="15">
        <v>0</v>
      </c>
      <c r="QH71" s="15">
        <v>0</v>
      </c>
      <c r="QI71" s="15">
        <v>0</v>
      </c>
      <c r="QJ71" s="15">
        <v>0</v>
      </c>
      <c r="QK71" s="15">
        <v>0</v>
      </c>
      <c r="QL71" s="15">
        <v>0</v>
      </c>
      <c r="QM71" s="15">
        <v>0</v>
      </c>
      <c r="QN71" s="15">
        <v>0</v>
      </c>
      <c r="QO71" s="15">
        <v>0</v>
      </c>
      <c r="QP71" s="15">
        <v>0</v>
      </c>
      <c r="QQ71" s="15">
        <v>0</v>
      </c>
      <c r="QR71" s="15">
        <v>0</v>
      </c>
      <c r="QS71" s="15">
        <v>0</v>
      </c>
      <c r="QT71" s="15">
        <v>0</v>
      </c>
      <c r="QU71" s="15">
        <v>0</v>
      </c>
      <c r="QV71" s="15">
        <v>0</v>
      </c>
      <c r="QW71" s="15">
        <v>0</v>
      </c>
      <c r="QX71" s="15">
        <v>0</v>
      </c>
      <c r="QY71" s="15">
        <v>0</v>
      </c>
      <c r="QZ71" s="15">
        <v>0</v>
      </c>
      <c r="RA71" s="15">
        <v>0</v>
      </c>
      <c r="RB71" s="15">
        <v>0</v>
      </c>
      <c r="RC71" s="15">
        <v>0</v>
      </c>
      <c r="RD71" s="15">
        <v>0</v>
      </c>
      <c r="RE71" s="15">
        <v>0</v>
      </c>
      <c r="RF71" s="15">
        <v>0</v>
      </c>
      <c r="RG71" s="15">
        <v>0</v>
      </c>
      <c r="RH71" s="15">
        <v>0</v>
      </c>
      <c r="RI71" s="15">
        <v>0</v>
      </c>
      <c r="RJ71" s="15">
        <v>0</v>
      </c>
      <c r="RK71" s="15">
        <v>0</v>
      </c>
      <c r="RL71" s="15">
        <v>0</v>
      </c>
      <c r="RM71" s="15">
        <v>0</v>
      </c>
      <c r="RN71" s="15">
        <v>0</v>
      </c>
      <c r="RO71" s="15">
        <v>0</v>
      </c>
      <c r="RP71" s="15">
        <v>0</v>
      </c>
      <c r="RQ71" s="15">
        <v>0</v>
      </c>
      <c r="RR71" s="15">
        <v>0</v>
      </c>
      <c r="RS71" s="15"/>
      <c r="RT71" s="15">
        <v>0</v>
      </c>
      <c r="RU71" s="15">
        <v>0</v>
      </c>
      <c r="RV71" s="15">
        <v>0</v>
      </c>
      <c r="RW71" s="15">
        <v>0</v>
      </c>
      <c r="RX71" s="15">
        <v>0</v>
      </c>
      <c r="RY71" s="15">
        <v>0</v>
      </c>
      <c r="RZ71" s="15">
        <v>0</v>
      </c>
      <c r="SA71" s="15">
        <v>0</v>
      </c>
      <c r="SB71" s="15">
        <v>0</v>
      </c>
      <c r="SC71" s="15">
        <v>0</v>
      </c>
      <c r="SD71" s="15">
        <v>0</v>
      </c>
      <c r="SE71" s="15">
        <v>0</v>
      </c>
      <c r="SF71" s="15">
        <v>0</v>
      </c>
      <c r="SG71" s="15">
        <v>0</v>
      </c>
      <c r="SH71" s="15">
        <v>0</v>
      </c>
      <c r="SI71" s="15">
        <v>0</v>
      </c>
      <c r="SJ71" s="15">
        <v>0</v>
      </c>
      <c r="SK71" s="15">
        <v>0</v>
      </c>
      <c r="SL71" s="15">
        <v>0</v>
      </c>
      <c r="SM71" s="15">
        <v>0</v>
      </c>
      <c r="SN71" s="15">
        <v>0</v>
      </c>
      <c r="SO71" s="15">
        <v>0</v>
      </c>
      <c r="SP71" s="15">
        <v>0</v>
      </c>
      <c r="SQ71" s="15">
        <v>0</v>
      </c>
      <c r="SR71" s="15">
        <v>0</v>
      </c>
      <c r="SS71" s="15">
        <v>0</v>
      </c>
      <c r="ST71" s="15">
        <v>0</v>
      </c>
      <c r="SU71" s="15">
        <v>0</v>
      </c>
      <c r="SV71" s="15">
        <v>0</v>
      </c>
      <c r="SW71" s="15">
        <v>0</v>
      </c>
      <c r="SX71" s="15">
        <v>0</v>
      </c>
      <c r="SY71" s="15">
        <v>0</v>
      </c>
      <c r="SZ71" s="15">
        <v>0</v>
      </c>
      <c r="TA71" s="15">
        <v>0</v>
      </c>
      <c r="TB71" s="15">
        <v>0</v>
      </c>
      <c r="TC71" s="15">
        <v>0</v>
      </c>
      <c r="TD71" s="15">
        <v>0</v>
      </c>
      <c r="TE71" s="15">
        <v>0</v>
      </c>
      <c r="TF71" s="15">
        <v>0</v>
      </c>
      <c r="TG71" s="15">
        <v>0</v>
      </c>
      <c r="TH71" s="15">
        <v>0</v>
      </c>
      <c r="TI71" s="15">
        <v>0</v>
      </c>
      <c r="TJ71" s="15">
        <v>0</v>
      </c>
      <c r="TK71" s="15">
        <v>0</v>
      </c>
      <c r="TL71" s="15">
        <v>0</v>
      </c>
      <c r="TM71" s="15">
        <v>0</v>
      </c>
      <c r="TN71" s="15">
        <v>0</v>
      </c>
      <c r="TO71" s="15">
        <v>0</v>
      </c>
      <c r="TP71" s="15">
        <v>0</v>
      </c>
      <c r="TQ71" s="15">
        <v>0</v>
      </c>
      <c r="TR71" s="15">
        <v>0</v>
      </c>
      <c r="TS71" s="15">
        <v>0</v>
      </c>
      <c r="TT71" s="15">
        <v>0</v>
      </c>
      <c r="TU71" s="15">
        <v>0</v>
      </c>
      <c r="TV71" s="15">
        <v>0</v>
      </c>
      <c r="TW71" s="15">
        <v>0</v>
      </c>
      <c r="TX71" s="15">
        <v>0</v>
      </c>
      <c r="TY71" s="15">
        <v>0</v>
      </c>
      <c r="TZ71" s="15">
        <v>0</v>
      </c>
      <c r="UA71" s="15">
        <v>0</v>
      </c>
      <c r="UB71" s="15">
        <v>0</v>
      </c>
      <c r="UC71" s="15">
        <v>0</v>
      </c>
      <c r="UD71" s="15">
        <v>0</v>
      </c>
      <c r="UE71" s="15">
        <v>0</v>
      </c>
      <c r="UF71" s="15">
        <v>0</v>
      </c>
      <c r="UG71" s="15">
        <v>0</v>
      </c>
      <c r="UH71" s="15">
        <v>0</v>
      </c>
      <c r="UI71" s="15">
        <v>0</v>
      </c>
      <c r="UJ71" s="15">
        <v>0</v>
      </c>
      <c r="UK71" s="15">
        <v>0</v>
      </c>
      <c r="UL71" s="15">
        <v>0</v>
      </c>
      <c r="UM71" s="15">
        <v>0</v>
      </c>
      <c r="UN71" s="15">
        <v>0</v>
      </c>
      <c r="UO71" s="15">
        <v>0</v>
      </c>
      <c r="UP71" s="15">
        <v>0</v>
      </c>
      <c r="UQ71" s="15">
        <v>0</v>
      </c>
      <c r="UR71" s="15">
        <v>0</v>
      </c>
      <c r="US71" s="15">
        <v>0</v>
      </c>
      <c r="UT71" s="15">
        <v>0</v>
      </c>
      <c r="UU71" s="15">
        <v>0</v>
      </c>
      <c r="UV71" s="15">
        <v>0</v>
      </c>
      <c r="UW71" s="15">
        <v>0</v>
      </c>
      <c r="UX71" s="15">
        <v>0</v>
      </c>
      <c r="UY71" s="15">
        <v>0</v>
      </c>
      <c r="UZ71" s="15">
        <v>0</v>
      </c>
      <c r="VA71" s="15">
        <v>0</v>
      </c>
      <c r="VB71" s="15">
        <v>0</v>
      </c>
      <c r="VC71" s="15">
        <v>0</v>
      </c>
      <c r="VD71" s="15">
        <v>0</v>
      </c>
      <c r="VE71" s="15">
        <v>0</v>
      </c>
      <c r="VF71" s="15">
        <v>0</v>
      </c>
      <c r="VG71" s="15">
        <v>0</v>
      </c>
      <c r="VH71" s="15">
        <v>0</v>
      </c>
      <c r="VI71" s="15">
        <v>0</v>
      </c>
      <c r="VJ71" s="15">
        <v>0</v>
      </c>
      <c r="VK71" s="15">
        <v>0</v>
      </c>
      <c r="VL71" s="15">
        <v>0</v>
      </c>
      <c r="VM71" s="15">
        <v>0</v>
      </c>
      <c r="VN71" s="15">
        <v>0</v>
      </c>
      <c r="VO71" s="15">
        <v>0</v>
      </c>
      <c r="VP71" s="15">
        <v>0</v>
      </c>
      <c r="VQ71" s="15">
        <v>0</v>
      </c>
      <c r="VR71" s="15">
        <v>0</v>
      </c>
      <c r="VS71" s="15">
        <v>0</v>
      </c>
      <c r="VT71" s="15">
        <v>0</v>
      </c>
      <c r="VU71" s="15">
        <v>0</v>
      </c>
      <c r="VV71" s="15">
        <v>0</v>
      </c>
      <c r="VW71" s="15">
        <v>0</v>
      </c>
      <c r="VX71" s="15">
        <v>0</v>
      </c>
      <c r="VY71" s="15">
        <v>0</v>
      </c>
      <c r="VZ71" s="15">
        <v>0</v>
      </c>
      <c r="WA71" s="15">
        <v>0</v>
      </c>
      <c r="WB71" s="15">
        <v>0</v>
      </c>
      <c r="WC71" s="15">
        <v>0</v>
      </c>
      <c r="WD71" s="15">
        <v>0</v>
      </c>
      <c r="WE71" s="15">
        <v>0</v>
      </c>
      <c r="WF71" s="15">
        <v>0</v>
      </c>
      <c r="WG71" s="15">
        <v>0</v>
      </c>
      <c r="WH71" s="15">
        <v>0</v>
      </c>
      <c r="WI71" s="15">
        <v>0</v>
      </c>
      <c r="WJ71" s="15">
        <v>0</v>
      </c>
      <c r="WK71" s="15">
        <v>0</v>
      </c>
      <c r="WL71" s="15">
        <v>0</v>
      </c>
      <c r="WM71" s="15">
        <v>0</v>
      </c>
      <c r="WN71" s="15">
        <v>0</v>
      </c>
      <c r="WO71" s="15">
        <v>0</v>
      </c>
      <c r="WP71" s="15">
        <v>0</v>
      </c>
      <c r="WQ71" s="15">
        <v>0</v>
      </c>
      <c r="WR71" s="15">
        <v>0</v>
      </c>
      <c r="WS71" s="15">
        <v>0</v>
      </c>
      <c r="WT71" s="15">
        <v>0</v>
      </c>
      <c r="WU71" s="15">
        <v>0</v>
      </c>
      <c r="WV71" s="15">
        <v>0</v>
      </c>
      <c r="WW71" s="15">
        <v>0</v>
      </c>
      <c r="WX71" s="15">
        <v>0</v>
      </c>
      <c r="WY71" s="15">
        <v>0</v>
      </c>
      <c r="WZ71" s="15">
        <v>0</v>
      </c>
      <c r="XA71" s="15">
        <v>0</v>
      </c>
      <c r="XB71" s="15">
        <v>0</v>
      </c>
      <c r="XC71" s="15">
        <v>0</v>
      </c>
      <c r="XD71" s="15">
        <v>0</v>
      </c>
      <c r="XE71" s="15">
        <v>0</v>
      </c>
      <c r="XF71" s="15">
        <v>0</v>
      </c>
      <c r="XG71" s="15">
        <v>0</v>
      </c>
      <c r="XH71" s="15">
        <v>0</v>
      </c>
      <c r="XI71" s="15">
        <v>0</v>
      </c>
      <c r="XJ71" s="15">
        <v>0</v>
      </c>
      <c r="XK71" s="15">
        <v>0</v>
      </c>
      <c r="XL71" s="15">
        <v>0</v>
      </c>
      <c r="XM71" s="15">
        <v>0</v>
      </c>
      <c r="XN71" s="15">
        <v>0</v>
      </c>
      <c r="XO71" s="15">
        <v>0</v>
      </c>
      <c r="XP71" s="15">
        <v>0</v>
      </c>
      <c r="XQ71" s="15">
        <v>0</v>
      </c>
      <c r="XR71" s="15">
        <v>0</v>
      </c>
      <c r="XS71" s="15">
        <v>0</v>
      </c>
      <c r="XT71" s="15">
        <v>0</v>
      </c>
      <c r="XU71" s="15">
        <v>0</v>
      </c>
      <c r="XV71" s="15">
        <v>0</v>
      </c>
      <c r="XW71" s="15">
        <v>0</v>
      </c>
      <c r="XX71" s="15">
        <v>0</v>
      </c>
      <c r="XY71" s="15">
        <v>0</v>
      </c>
      <c r="XZ71" s="15">
        <v>0</v>
      </c>
      <c r="YA71" s="15">
        <v>0</v>
      </c>
      <c r="YB71" s="15">
        <v>0</v>
      </c>
      <c r="YC71" s="15">
        <v>0</v>
      </c>
      <c r="YD71" s="15">
        <v>0</v>
      </c>
      <c r="YE71" s="15">
        <v>0</v>
      </c>
      <c r="YF71" s="15">
        <v>0</v>
      </c>
      <c r="YG71" s="15">
        <v>0</v>
      </c>
      <c r="YH71" s="15">
        <v>0</v>
      </c>
      <c r="YI71" s="15">
        <v>0</v>
      </c>
      <c r="YJ71" s="15">
        <v>0</v>
      </c>
      <c r="YK71" s="15">
        <v>0</v>
      </c>
      <c r="YL71" s="15">
        <v>0</v>
      </c>
      <c r="YM71" s="15">
        <v>0</v>
      </c>
      <c r="YN71" s="15">
        <v>0</v>
      </c>
      <c r="YO71" s="15">
        <v>0</v>
      </c>
      <c r="YP71" s="15">
        <v>0</v>
      </c>
      <c r="YQ71" s="15">
        <v>0</v>
      </c>
      <c r="YR71" s="15">
        <v>0</v>
      </c>
      <c r="YS71" s="15">
        <v>0</v>
      </c>
      <c r="YT71" s="15">
        <v>0</v>
      </c>
      <c r="YU71" s="15">
        <v>0</v>
      </c>
      <c r="YV71" s="15">
        <v>0</v>
      </c>
      <c r="YW71" s="15">
        <v>0</v>
      </c>
      <c r="YX71" s="15">
        <v>0</v>
      </c>
      <c r="YY71" s="15">
        <v>0</v>
      </c>
      <c r="YZ71" s="15">
        <v>0</v>
      </c>
      <c r="ZA71" s="15">
        <v>0</v>
      </c>
      <c r="ZB71" s="15">
        <v>0</v>
      </c>
      <c r="ZC71" s="15">
        <v>0</v>
      </c>
      <c r="ZD71" s="15">
        <v>0</v>
      </c>
      <c r="ZE71" s="15">
        <v>0</v>
      </c>
      <c r="ZF71" s="15">
        <v>0</v>
      </c>
      <c r="ZG71" s="15">
        <v>0</v>
      </c>
      <c r="ZH71" s="15">
        <v>0</v>
      </c>
      <c r="ZI71" s="15">
        <v>0</v>
      </c>
      <c r="ZJ71" s="15">
        <v>0</v>
      </c>
      <c r="ZK71" s="15">
        <v>0</v>
      </c>
      <c r="ZL71" s="15">
        <v>0</v>
      </c>
      <c r="ZM71" s="15">
        <v>0</v>
      </c>
      <c r="ZN71" s="15">
        <v>0</v>
      </c>
      <c r="ZO71" s="15">
        <v>0</v>
      </c>
      <c r="ZP71" s="15">
        <v>0</v>
      </c>
      <c r="ZQ71" s="15">
        <v>0</v>
      </c>
      <c r="ZR71" s="15">
        <v>0</v>
      </c>
      <c r="ZS71" s="15">
        <v>0</v>
      </c>
      <c r="ZT71" s="15">
        <v>0</v>
      </c>
      <c r="ZU71" s="15">
        <v>0</v>
      </c>
      <c r="ZV71" s="15">
        <v>0</v>
      </c>
      <c r="ZW71" s="15">
        <v>0</v>
      </c>
      <c r="ZX71" s="15">
        <v>0</v>
      </c>
      <c r="ZY71" s="15">
        <v>0</v>
      </c>
      <c r="ZZ71" s="15">
        <v>0</v>
      </c>
      <c r="AAA71" s="15">
        <v>0</v>
      </c>
      <c r="AAB71" s="15">
        <v>0</v>
      </c>
      <c r="AAC71" s="15">
        <v>0</v>
      </c>
      <c r="AAD71" s="15">
        <v>0</v>
      </c>
      <c r="AAE71" s="15">
        <v>0</v>
      </c>
      <c r="AAF71" s="15">
        <v>0</v>
      </c>
      <c r="AAG71" s="15">
        <v>0</v>
      </c>
      <c r="AAH71" s="15">
        <v>0</v>
      </c>
      <c r="AAI71" s="15">
        <v>0</v>
      </c>
      <c r="AAJ71" s="15">
        <v>0</v>
      </c>
      <c r="AAK71" s="15">
        <v>0</v>
      </c>
      <c r="AAL71" s="15"/>
      <c r="AAM71" s="15">
        <v>0</v>
      </c>
      <c r="AAN71" s="15">
        <v>0</v>
      </c>
      <c r="AAO71" s="15">
        <v>0</v>
      </c>
      <c r="AAP71" s="15">
        <v>0</v>
      </c>
      <c r="AAQ71" s="15">
        <v>0</v>
      </c>
      <c r="AAR71" s="15">
        <v>0</v>
      </c>
      <c r="AAS71" s="15">
        <v>0</v>
      </c>
      <c r="AAT71" s="15">
        <v>0</v>
      </c>
      <c r="AAU71" s="15">
        <v>0</v>
      </c>
      <c r="AAV71" s="15">
        <v>0</v>
      </c>
      <c r="AAW71" s="15">
        <v>0</v>
      </c>
      <c r="AAX71" s="15"/>
      <c r="AAY71" s="15">
        <v>0</v>
      </c>
      <c r="AAZ71" s="15">
        <v>0</v>
      </c>
      <c r="ABA71" s="15">
        <v>0</v>
      </c>
      <c r="ABB71" s="15">
        <v>0</v>
      </c>
      <c r="ABC71" s="15">
        <v>0</v>
      </c>
      <c r="ABD71" s="15">
        <v>0</v>
      </c>
      <c r="ABE71" s="15">
        <v>0</v>
      </c>
      <c r="ABF71" s="15">
        <v>0</v>
      </c>
      <c r="ABG71" s="15">
        <v>0</v>
      </c>
      <c r="ABH71" s="15">
        <v>0</v>
      </c>
      <c r="ABI71" s="15">
        <v>0</v>
      </c>
      <c r="ABJ71" s="15">
        <v>0</v>
      </c>
      <c r="ABK71" s="15">
        <v>0</v>
      </c>
      <c r="ABL71" s="15">
        <v>0</v>
      </c>
      <c r="ABM71" s="15">
        <v>0</v>
      </c>
      <c r="ABN71" s="15">
        <v>0</v>
      </c>
      <c r="ABO71" s="15">
        <v>0</v>
      </c>
      <c r="ABP71" s="15">
        <v>0</v>
      </c>
      <c r="ABQ71" s="15">
        <v>0</v>
      </c>
      <c r="ABR71" s="15">
        <v>0</v>
      </c>
      <c r="ABS71" s="15">
        <v>0</v>
      </c>
      <c r="ABT71" s="15">
        <v>0</v>
      </c>
      <c r="ABU71" s="15">
        <v>0</v>
      </c>
      <c r="ABV71" s="15">
        <v>0</v>
      </c>
      <c r="ABW71" s="15">
        <v>0</v>
      </c>
      <c r="ABX71" s="15">
        <v>0</v>
      </c>
      <c r="ABY71" s="15">
        <v>0</v>
      </c>
      <c r="ABZ71" s="15">
        <v>0</v>
      </c>
      <c r="ACA71" s="15">
        <v>0</v>
      </c>
      <c r="ACB71" s="15">
        <v>0</v>
      </c>
      <c r="ACC71" s="15">
        <v>0</v>
      </c>
      <c r="ACD71" s="15">
        <v>0</v>
      </c>
      <c r="ACE71" s="15">
        <v>0</v>
      </c>
      <c r="ACF71" s="15">
        <v>0</v>
      </c>
      <c r="ACG71" s="15">
        <v>0</v>
      </c>
      <c r="ACH71" s="15">
        <v>0</v>
      </c>
      <c r="ACI71" s="15">
        <v>0</v>
      </c>
      <c r="ACJ71" s="15">
        <v>0</v>
      </c>
      <c r="ACK71" s="15">
        <v>0</v>
      </c>
      <c r="ACL71" s="15">
        <v>0</v>
      </c>
      <c r="ACM71" s="15">
        <v>0</v>
      </c>
      <c r="ACN71" s="15">
        <v>0</v>
      </c>
      <c r="ACO71" s="15">
        <v>0</v>
      </c>
      <c r="ACP71" s="15">
        <v>0</v>
      </c>
      <c r="ACQ71" s="15">
        <v>0</v>
      </c>
      <c r="ACR71" s="15">
        <v>0</v>
      </c>
      <c r="ACS71" s="15">
        <v>0</v>
      </c>
      <c r="ACT71" s="15">
        <v>0</v>
      </c>
      <c r="ACU71" s="15">
        <v>0</v>
      </c>
      <c r="ACV71" s="15">
        <v>0</v>
      </c>
      <c r="ACW71" s="15">
        <v>0</v>
      </c>
      <c r="ACX71" s="15">
        <v>0</v>
      </c>
      <c r="ACY71" s="15">
        <v>0</v>
      </c>
      <c r="ACZ71" s="15">
        <v>0</v>
      </c>
      <c r="ADA71" s="15">
        <v>0</v>
      </c>
      <c r="ADB71" s="15">
        <v>0</v>
      </c>
      <c r="ADC71" s="15">
        <v>0</v>
      </c>
      <c r="ADD71" s="15">
        <v>0</v>
      </c>
      <c r="ADE71" s="15">
        <v>0</v>
      </c>
      <c r="ADF71" s="15">
        <v>0</v>
      </c>
      <c r="ADG71" s="15">
        <v>0</v>
      </c>
      <c r="ADH71" s="15"/>
      <c r="ADI71" s="15">
        <v>0</v>
      </c>
      <c r="ADJ71" s="15">
        <v>0</v>
      </c>
      <c r="ADK71" s="15">
        <v>0</v>
      </c>
      <c r="ADL71" s="15">
        <v>0</v>
      </c>
      <c r="ADM71" s="15">
        <v>0</v>
      </c>
      <c r="ADN71" s="15">
        <v>0</v>
      </c>
      <c r="ADO71" s="15">
        <v>0</v>
      </c>
      <c r="ADP71" s="15">
        <v>0</v>
      </c>
      <c r="ADQ71" s="15">
        <v>0</v>
      </c>
      <c r="ADR71" s="15">
        <v>0</v>
      </c>
      <c r="ADS71" s="15">
        <v>0</v>
      </c>
      <c r="ADT71" s="15">
        <v>0</v>
      </c>
      <c r="ADU71" s="15">
        <v>0</v>
      </c>
      <c r="ADV71" s="15">
        <v>0</v>
      </c>
      <c r="ADW71" s="15">
        <v>0</v>
      </c>
      <c r="ADX71" s="15">
        <v>0</v>
      </c>
      <c r="ADY71" s="15">
        <v>0</v>
      </c>
      <c r="ADZ71" s="15">
        <v>0</v>
      </c>
      <c r="AEA71" s="15">
        <v>0</v>
      </c>
      <c r="AEB71" s="15">
        <v>0</v>
      </c>
      <c r="AEC71" s="15">
        <v>0</v>
      </c>
      <c r="AED71" s="15">
        <v>0</v>
      </c>
      <c r="AEE71" s="15">
        <v>0</v>
      </c>
      <c r="AEF71" s="15">
        <v>0</v>
      </c>
      <c r="AEG71" s="15">
        <v>0</v>
      </c>
      <c r="AEH71" s="15">
        <v>0</v>
      </c>
      <c r="AEI71" s="15">
        <v>0</v>
      </c>
      <c r="AEJ71" s="15">
        <v>0</v>
      </c>
      <c r="AEK71" s="15">
        <v>0</v>
      </c>
      <c r="AEL71" s="15">
        <v>0</v>
      </c>
      <c r="AEM71" s="15">
        <v>0</v>
      </c>
      <c r="AEN71" s="15">
        <v>0</v>
      </c>
      <c r="AEO71" s="15">
        <v>0</v>
      </c>
      <c r="AEP71" s="15">
        <v>0</v>
      </c>
      <c r="AEQ71" s="15">
        <v>0</v>
      </c>
      <c r="AER71" s="15">
        <v>0</v>
      </c>
      <c r="AES71" s="15">
        <v>0</v>
      </c>
      <c r="AET71" s="15">
        <v>0</v>
      </c>
      <c r="AEU71" s="15">
        <v>0</v>
      </c>
      <c r="AEV71" s="15">
        <v>0</v>
      </c>
      <c r="AEW71" s="15">
        <v>0</v>
      </c>
      <c r="AEX71" s="15">
        <v>0</v>
      </c>
      <c r="AEY71" s="15">
        <v>0</v>
      </c>
      <c r="AEZ71" s="15">
        <v>0</v>
      </c>
      <c r="AFA71" s="15">
        <v>0</v>
      </c>
      <c r="AFB71" s="15">
        <v>0</v>
      </c>
      <c r="AFC71" s="15">
        <v>0</v>
      </c>
      <c r="AFD71" s="15">
        <v>0</v>
      </c>
      <c r="AFE71" s="15">
        <v>0</v>
      </c>
      <c r="AFF71" s="15">
        <v>0</v>
      </c>
      <c r="AFG71" s="15">
        <v>0</v>
      </c>
      <c r="AFH71" s="15">
        <v>0</v>
      </c>
      <c r="AFI71" s="15">
        <v>0</v>
      </c>
      <c r="AFJ71" s="15">
        <v>0</v>
      </c>
      <c r="AFK71" s="15">
        <v>0</v>
      </c>
      <c r="AFL71" s="15">
        <v>0</v>
      </c>
      <c r="AFM71" s="15">
        <v>0</v>
      </c>
      <c r="AFN71" s="15">
        <v>0</v>
      </c>
      <c r="AFO71" s="15">
        <v>0</v>
      </c>
      <c r="AFP71" s="15">
        <v>0</v>
      </c>
      <c r="AFQ71" s="15">
        <v>0</v>
      </c>
      <c r="AFR71" s="15"/>
      <c r="AFS71" s="15">
        <v>0</v>
      </c>
      <c r="AFT71" s="15">
        <v>0</v>
      </c>
      <c r="AFU71" s="15">
        <v>0</v>
      </c>
      <c r="AFV71" s="15">
        <v>0</v>
      </c>
      <c r="AFW71" s="15">
        <v>0</v>
      </c>
      <c r="AFX71" s="15">
        <v>0</v>
      </c>
      <c r="AFY71" s="15">
        <v>0</v>
      </c>
      <c r="AFZ71" s="15">
        <v>0</v>
      </c>
      <c r="AGA71" s="15">
        <v>0</v>
      </c>
      <c r="AGB71" s="15">
        <v>0</v>
      </c>
      <c r="AGC71" s="15">
        <v>0</v>
      </c>
      <c r="AGD71" s="15">
        <v>0</v>
      </c>
      <c r="AGE71" s="15">
        <v>0</v>
      </c>
      <c r="AGF71" s="15">
        <v>0</v>
      </c>
      <c r="AGG71" s="15">
        <v>0</v>
      </c>
      <c r="AGH71" s="15">
        <v>0</v>
      </c>
      <c r="AGI71" s="15">
        <v>0</v>
      </c>
      <c r="AGJ71" s="15">
        <v>0</v>
      </c>
      <c r="AGK71" s="15">
        <v>0</v>
      </c>
      <c r="AGL71" s="15">
        <v>0</v>
      </c>
      <c r="AGM71" s="15">
        <v>0</v>
      </c>
      <c r="AGN71" s="15">
        <v>0</v>
      </c>
      <c r="AGO71" s="15">
        <v>0</v>
      </c>
      <c r="AGP71" s="15">
        <v>0</v>
      </c>
      <c r="AGQ71" s="15">
        <v>0</v>
      </c>
      <c r="AGR71" s="15">
        <v>0</v>
      </c>
      <c r="AGS71" s="15">
        <v>0</v>
      </c>
      <c r="AGT71" s="15">
        <v>0</v>
      </c>
      <c r="AGU71" s="15">
        <v>0</v>
      </c>
      <c r="AGV71" s="15">
        <v>0</v>
      </c>
      <c r="AGW71" s="15">
        <v>0</v>
      </c>
      <c r="AGX71" s="15">
        <v>0</v>
      </c>
      <c r="AGY71" s="15">
        <v>0</v>
      </c>
      <c r="AGZ71" s="15">
        <v>0</v>
      </c>
      <c r="AHA71" s="15">
        <v>0</v>
      </c>
      <c r="AHB71" s="15">
        <v>0</v>
      </c>
      <c r="AHC71" s="15">
        <v>0</v>
      </c>
      <c r="AHD71" s="15">
        <v>0</v>
      </c>
      <c r="AHE71" s="15">
        <v>0</v>
      </c>
      <c r="AHF71" s="15">
        <v>0</v>
      </c>
      <c r="AHG71" s="15">
        <v>0</v>
      </c>
      <c r="AHH71" s="15">
        <v>0</v>
      </c>
      <c r="AHI71" s="15">
        <v>0</v>
      </c>
      <c r="AHJ71" s="15">
        <v>0</v>
      </c>
      <c r="AHK71" s="15">
        <v>0</v>
      </c>
      <c r="AHL71" s="15">
        <v>0</v>
      </c>
      <c r="AHM71" s="15">
        <v>0</v>
      </c>
      <c r="AHN71" s="15">
        <v>0</v>
      </c>
      <c r="AHO71" s="15">
        <v>0</v>
      </c>
      <c r="AHP71" s="15">
        <v>0</v>
      </c>
      <c r="AHQ71" s="15">
        <v>0</v>
      </c>
      <c r="AHR71" s="15">
        <v>0</v>
      </c>
      <c r="AHS71" s="15">
        <v>0</v>
      </c>
      <c r="AHT71" s="15">
        <v>0</v>
      </c>
      <c r="AHU71" s="15">
        <v>0</v>
      </c>
      <c r="AHV71" s="15">
        <v>0</v>
      </c>
      <c r="AHW71" s="15">
        <v>0</v>
      </c>
      <c r="AHX71" s="15">
        <v>0</v>
      </c>
      <c r="AHY71" s="15">
        <v>0</v>
      </c>
      <c r="AHZ71" s="15">
        <v>0</v>
      </c>
      <c r="AIA71" s="15">
        <v>0</v>
      </c>
      <c r="AIB71" s="15">
        <v>0</v>
      </c>
      <c r="AIC71" s="15">
        <v>0</v>
      </c>
      <c r="AID71" s="15">
        <v>0</v>
      </c>
      <c r="AIE71" s="15">
        <v>0</v>
      </c>
      <c r="AIF71" s="15">
        <v>0</v>
      </c>
      <c r="AIG71" s="15">
        <v>0</v>
      </c>
      <c r="AIH71" s="15">
        <v>0</v>
      </c>
      <c r="AII71" s="15">
        <v>0</v>
      </c>
      <c r="AIJ71" s="15">
        <v>0</v>
      </c>
      <c r="AIK71" s="15">
        <v>0</v>
      </c>
      <c r="AIL71" s="15">
        <v>0</v>
      </c>
      <c r="AIM71" s="15">
        <v>0</v>
      </c>
      <c r="AIN71" s="15">
        <v>0</v>
      </c>
      <c r="AIO71" s="15">
        <v>0</v>
      </c>
      <c r="AIP71" s="15">
        <v>0</v>
      </c>
      <c r="AIQ71" s="15">
        <v>0</v>
      </c>
      <c r="AIR71" s="15">
        <v>0</v>
      </c>
      <c r="AIS71" s="15">
        <v>0</v>
      </c>
      <c r="AIT71" s="15">
        <v>0</v>
      </c>
      <c r="AIU71" s="15">
        <v>0</v>
      </c>
      <c r="AIV71" s="15">
        <v>0</v>
      </c>
      <c r="AIW71" s="15">
        <v>0</v>
      </c>
      <c r="AIX71" s="15">
        <v>0</v>
      </c>
      <c r="AIY71" s="15">
        <v>0</v>
      </c>
      <c r="AIZ71" s="15">
        <v>0</v>
      </c>
      <c r="AJA71" s="15">
        <v>0</v>
      </c>
      <c r="AJB71" s="15">
        <v>0</v>
      </c>
      <c r="AJC71" s="15">
        <v>0</v>
      </c>
      <c r="AJD71" s="15">
        <v>0</v>
      </c>
      <c r="AJE71" s="15">
        <v>0</v>
      </c>
      <c r="AJF71" s="15"/>
      <c r="AJG71" s="15">
        <v>0</v>
      </c>
      <c r="AJH71" s="15">
        <v>0</v>
      </c>
      <c r="AJI71" s="15">
        <v>0</v>
      </c>
      <c r="AJJ71" s="15">
        <v>0</v>
      </c>
      <c r="AJK71" s="15">
        <v>0</v>
      </c>
      <c r="AJL71" s="15">
        <v>0</v>
      </c>
      <c r="AJM71" s="15">
        <v>0</v>
      </c>
      <c r="AJN71" s="15"/>
      <c r="AJO71" s="15">
        <v>0</v>
      </c>
      <c r="AJP71" s="15">
        <v>0</v>
      </c>
      <c r="AJQ71" s="15">
        <v>0</v>
      </c>
      <c r="AJR71" s="15">
        <v>0</v>
      </c>
      <c r="AJS71" s="15">
        <v>0</v>
      </c>
      <c r="AJT71" s="15">
        <v>0</v>
      </c>
      <c r="AJU71" s="15">
        <v>0</v>
      </c>
      <c r="AJV71" s="15">
        <v>0</v>
      </c>
      <c r="AJW71" s="15">
        <v>0</v>
      </c>
      <c r="AJX71" s="15"/>
      <c r="AJY71" s="15">
        <v>0</v>
      </c>
      <c r="AJZ71" s="15">
        <v>0</v>
      </c>
      <c r="AKA71" s="15">
        <v>0</v>
      </c>
      <c r="AKB71" s="15">
        <v>0</v>
      </c>
      <c r="AKC71" s="15">
        <v>0</v>
      </c>
      <c r="AKD71" s="15">
        <v>0</v>
      </c>
      <c r="AKE71" s="15">
        <v>0</v>
      </c>
      <c r="AKF71" s="15">
        <v>0</v>
      </c>
      <c r="AKG71" s="15">
        <v>0</v>
      </c>
      <c r="AKH71" s="15">
        <v>0</v>
      </c>
      <c r="AKI71" s="15"/>
      <c r="AKJ71" s="15">
        <v>0</v>
      </c>
      <c r="AKK71" s="15">
        <v>0</v>
      </c>
      <c r="AKL71" s="15">
        <v>0</v>
      </c>
      <c r="AKM71" s="15">
        <v>0</v>
      </c>
      <c r="AKN71" s="15">
        <v>0</v>
      </c>
      <c r="AKO71" s="15">
        <v>0</v>
      </c>
      <c r="AKP71" s="15">
        <v>0</v>
      </c>
      <c r="AKQ71" s="15">
        <v>0</v>
      </c>
      <c r="AKR71" s="15">
        <v>0</v>
      </c>
      <c r="AKS71" s="15">
        <v>0</v>
      </c>
      <c r="AKT71" s="15">
        <v>0</v>
      </c>
      <c r="AKU71" s="15">
        <v>0</v>
      </c>
      <c r="AKV71" s="15">
        <v>0</v>
      </c>
      <c r="AKW71" s="15">
        <v>0</v>
      </c>
      <c r="AKX71" s="15"/>
      <c r="AKY71" s="15">
        <v>0</v>
      </c>
      <c r="AKZ71" s="15">
        <v>0</v>
      </c>
      <c r="ALA71" s="15">
        <v>0</v>
      </c>
      <c r="ALB71" s="15">
        <v>0</v>
      </c>
      <c r="ALC71" s="15">
        <v>0</v>
      </c>
      <c r="ALD71" s="15">
        <v>0</v>
      </c>
      <c r="ALE71" s="15">
        <v>0</v>
      </c>
      <c r="ALF71" s="15">
        <v>0</v>
      </c>
      <c r="ALG71" s="15">
        <v>0</v>
      </c>
      <c r="ALH71" s="15">
        <v>0</v>
      </c>
      <c r="ALI71" s="15">
        <v>0</v>
      </c>
      <c r="ALJ71" s="15">
        <v>0</v>
      </c>
      <c r="ALK71" s="15">
        <v>0</v>
      </c>
      <c r="ALL71" s="15">
        <v>0</v>
      </c>
      <c r="ALM71" s="15"/>
      <c r="ALN71" s="15">
        <v>0</v>
      </c>
      <c r="ALO71" s="15">
        <v>0</v>
      </c>
      <c r="ALP71" s="15">
        <v>0</v>
      </c>
      <c r="ALQ71" s="15">
        <v>0</v>
      </c>
      <c r="ALR71" s="15">
        <v>0</v>
      </c>
      <c r="ALS71" s="15">
        <v>0</v>
      </c>
      <c r="ALT71" s="15">
        <v>0</v>
      </c>
      <c r="ALU71" s="15">
        <v>0</v>
      </c>
      <c r="ALV71" s="15">
        <v>0</v>
      </c>
      <c r="ALW71" s="15">
        <v>0</v>
      </c>
      <c r="ALX71" s="15">
        <v>0</v>
      </c>
      <c r="ALY71" s="15">
        <v>0</v>
      </c>
      <c r="ALZ71" s="15">
        <v>0</v>
      </c>
      <c r="AMA71" s="15">
        <v>0</v>
      </c>
      <c r="AMB71" s="15">
        <v>0</v>
      </c>
      <c r="AMC71" s="15"/>
      <c r="AMD71" s="15">
        <v>0</v>
      </c>
      <c r="AME71" s="15">
        <v>0</v>
      </c>
      <c r="AMF71" s="15">
        <v>0</v>
      </c>
      <c r="AMG71" s="15">
        <v>0</v>
      </c>
      <c r="AMH71" s="15">
        <v>0</v>
      </c>
      <c r="AMI71" s="15">
        <v>0</v>
      </c>
      <c r="AMJ71" s="15">
        <v>0</v>
      </c>
      <c r="AMK71" s="15">
        <v>0</v>
      </c>
      <c r="AML71" s="15">
        <v>0</v>
      </c>
      <c r="AMM71" s="15">
        <v>0</v>
      </c>
      <c r="AMN71" s="15">
        <v>0</v>
      </c>
      <c r="AMO71" s="15">
        <v>0</v>
      </c>
      <c r="AMP71" s="15">
        <v>0</v>
      </c>
      <c r="AMQ71" s="15">
        <v>0</v>
      </c>
      <c r="AMR71" s="15">
        <v>0</v>
      </c>
      <c r="AMS71" s="15">
        <v>0</v>
      </c>
      <c r="AMT71" s="15">
        <v>0</v>
      </c>
      <c r="AMU71" s="15">
        <v>0</v>
      </c>
      <c r="AMV71" s="15">
        <v>0</v>
      </c>
      <c r="AMW71" s="15">
        <v>0</v>
      </c>
      <c r="AMX71" s="15">
        <v>0</v>
      </c>
      <c r="AMY71" s="15">
        <v>0</v>
      </c>
      <c r="AMZ71" s="15">
        <v>0</v>
      </c>
      <c r="ANA71" s="15">
        <v>0</v>
      </c>
      <c r="ANB71" s="15">
        <v>0</v>
      </c>
      <c r="ANC71" s="15">
        <v>0</v>
      </c>
      <c r="AND71" s="15">
        <v>0</v>
      </c>
      <c r="ANE71" s="15"/>
      <c r="ANF71" s="15"/>
      <c r="ANG71" s="15"/>
      <c r="ANH71" s="15"/>
      <c r="ANI71" s="15"/>
      <c r="ANJ71" s="15"/>
      <c r="ANK71" s="15"/>
      <c r="ANL71" s="15"/>
      <c r="ANM71" s="15"/>
      <c r="ANN71" s="15"/>
      <c r="ANO71" s="15"/>
      <c r="ANP71" s="15"/>
      <c r="ANQ71" s="15"/>
      <c r="ANR71" s="15"/>
      <c r="ANS71" s="15"/>
      <c r="ANT71" s="15"/>
      <c r="ANU71" s="15"/>
      <c r="ANV71" s="15"/>
      <c r="ANW71" s="15"/>
      <c r="ANX71" s="15"/>
      <c r="ANY71" s="15"/>
      <c r="ANZ71" s="15"/>
      <c r="AOA71" s="15"/>
      <c r="AOB71" s="15"/>
      <c r="AOC71" s="15"/>
      <c r="AOD71" s="15"/>
      <c r="AOE71" s="15"/>
      <c r="AOF71" s="15"/>
      <c r="AOG71" s="15"/>
      <c r="AOH71" s="15"/>
      <c r="AOI71" s="15"/>
      <c r="AOJ71" s="15"/>
      <c r="AOK71" s="15"/>
      <c r="AOL71" s="15"/>
      <c r="AOM71" s="15"/>
      <c r="AON71" s="15"/>
      <c r="AOO71" s="15"/>
      <c r="AOP71" s="15"/>
      <c r="AOQ71" s="15"/>
      <c r="AOR71" s="15"/>
      <c r="AOS71" s="15"/>
      <c r="AOT71" s="15"/>
      <c r="AOU71" s="15"/>
      <c r="AOV71" s="15"/>
      <c r="AOW71" s="15"/>
      <c r="AOX71" s="15"/>
      <c r="AOY71" s="15"/>
      <c r="AOZ71" s="15"/>
      <c r="APA71" s="15"/>
      <c r="APB71" s="15"/>
      <c r="APC71" s="15"/>
      <c r="APD71" s="15"/>
      <c r="APE71" s="15"/>
      <c r="APF71" s="15"/>
      <c r="APG71" s="15"/>
      <c r="APH71" s="15"/>
      <c r="API71" s="15"/>
      <c r="APJ71" s="15"/>
      <c r="APK71" s="15"/>
      <c r="APL71" s="15"/>
      <c r="APM71" s="15"/>
      <c r="APN71" s="15"/>
      <c r="APO71" s="15"/>
      <c r="APP71" s="15"/>
      <c r="APQ71" s="15"/>
      <c r="APR71" s="15"/>
      <c r="APS71" s="15"/>
      <c r="APT71" s="15"/>
      <c r="APU71" s="15"/>
      <c r="APV71" s="15"/>
      <c r="APW71" s="15"/>
      <c r="APX71" s="15"/>
      <c r="APY71" s="15"/>
      <c r="APZ71" s="15"/>
      <c r="AQA71" s="15"/>
      <c r="AQB71" s="15"/>
    </row>
    <row r="72" spans="1:1120" ht="15" customHeight="1" x14ac:dyDescent="0.25">
      <c r="A72" s="7" t="s">
        <v>120</v>
      </c>
      <c r="BZ72" s="14" t="s">
        <v>124</v>
      </c>
      <c r="CO72" s="14" t="s">
        <v>125</v>
      </c>
      <c r="DD72" s="14" t="s">
        <v>126</v>
      </c>
      <c r="DS72" s="14" t="s">
        <v>135</v>
      </c>
      <c r="EE72" s="14" t="s">
        <v>138</v>
      </c>
      <c r="EK72" s="14"/>
      <c r="EL72" s="14"/>
      <c r="EM72" s="14"/>
      <c r="EN72" s="14"/>
      <c r="EO72" s="14"/>
      <c r="EP72" s="14"/>
      <c r="EQ72" s="14" t="s">
        <v>139</v>
      </c>
      <c r="ER72" s="14"/>
      <c r="ES72" s="14"/>
      <c r="ET72" s="14"/>
      <c r="EU72" s="14"/>
      <c r="EV72" s="14"/>
      <c r="EW72" s="14"/>
      <c r="EX72" s="14"/>
      <c r="EY72" s="14"/>
      <c r="EZ72" s="14"/>
      <c r="FA72" s="14"/>
      <c r="FB72" s="14"/>
      <c r="FG72" s="14" t="s">
        <v>144</v>
      </c>
      <c r="FK72" s="14" t="s">
        <v>704</v>
      </c>
      <c r="FL72" s="13" t="s">
        <v>688</v>
      </c>
      <c r="FS72" s="13" t="s">
        <v>689</v>
      </c>
      <c r="FZ72" s="13" t="s">
        <v>690</v>
      </c>
      <c r="GG72" s="13" t="s">
        <v>162</v>
      </c>
      <c r="GN72" s="13" t="s">
        <v>164</v>
      </c>
      <c r="GU72" s="13" t="s">
        <v>165</v>
      </c>
      <c r="GW72" s="14"/>
      <c r="GX72" s="14"/>
      <c r="GY72" s="14"/>
      <c r="GZ72" s="14"/>
      <c r="HA72" s="14"/>
      <c r="HB72" s="13" t="s">
        <v>168</v>
      </c>
      <c r="HC72" s="14"/>
      <c r="HD72" s="14"/>
      <c r="HE72" s="14"/>
      <c r="HF72" s="14"/>
      <c r="HG72" s="14"/>
      <c r="HH72" s="14"/>
      <c r="HI72" s="13" t="s">
        <v>170</v>
      </c>
      <c r="HJ72" s="14"/>
      <c r="HK72" s="14"/>
      <c r="HL72" s="14"/>
      <c r="HM72" s="14"/>
      <c r="HN72" s="14"/>
      <c r="HO72" s="14"/>
      <c r="HP72" s="13" t="s">
        <v>171</v>
      </c>
      <c r="HQ72" s="14"/>
      <c r="HR72" s="14"/>
      <c r="HS72" s="14"/>
      <c r="HT72" s="14"/>
      <c r="HU72" s="14"/>
      <c r="HW72" s="13"/>
      <c r="IJ72" s="14" t="s">
        <v>175</v>
      </c>
      <c r="MB72" t="s">
        <v>262</v>
      </c>
      <c r="ZK72" s="14" t="s">
        <v>419</v>
      </c>
      <c r="ZQ72" s="14" t="s">
        <v>428</v>
      </c>
      <c r="ZR72" s="14" t="s">
        <v>421</v>
      </c>
      <c r="ZY72" s="14" t="s">
        <v>424</v>
      </c>
      <c r="AAD72" s="13" t="s">
        <v>635</v>
      </c>
      <c r="AAJ72" s="13" t="s">
        <v>437</v>
      </c>
      <c r="AAK72" s="14" t="s">
        <v>440</v>
      </c>
      <c r="AAT72" s="14" t="s">
        <v>448</v>
      </c>
      <c r="AAV72" s="13" t="s">
        <v>457</v>
      </c>
      <c r="AAW72" s="14" t="s">
        <v>451</v>
      </c>
      <c r="ABH72" s="13" t="s">
        <v>456</v>
      </c>
      <c r="ABI72" s="13"/>
      <c r="ABJ72" s="13"/>
      <c r="ADR72" s="13" t="s">
        <v>456</v>
      </c>
      <c r="ADS72" s="13"/>
      <c r="ADT72" s="13"/>
      <c r="AJI72" s="25">
        <v>1</v>
      </c>
      <c r="AJJ72" s="25">
        <v>2</v>
      </c>
      <c r="ALW72" s="13"/>
      <c r="ALX72" s="13"/>
      <c r="ALY72" s="13"/>
      <c r="ALZ72" s="13"/>
      <c r="AMA72" s="13"/>
      <c r="AMB72" s="13"/>
    </row>
    <row r="73" spans="1:1120" ht="15" customHeight="1" x14ac:dyDescent="0.25">
      <c r="AT73" s="14"/>
      <c r="AU73" s="14"/>
      <c r="AV73" s="14"/>
      <c r="AW73" s="14"/>
      <c r="AX73" s="14"/>
      <c r="AY73" s="14"/>
      <c r="AZ73" s="14"/>
      <c r="BA73" s="14"/>
      <c r="BB73" s="14"/>
      <c r="BC73" s="14"/>
      <c r="BD73" s="14"/>
      <c r="BE73" s="14"/>
      <c r="BF73" s="14"/>
      <c r="BG73" s="14"/>
      <c r="BH73" s="14"/>
      <c r="BI73" s="14"/>
      <c r="BJ73" s="14"/>
      <c r="BK73" s="14"/>
      <c r="BL73" s="14"/>
      <c r="BM73" s="14"/>
      <c r="BN73" s="14"/>
      <c r="BO73" s="14"/>
      <c r="BP73" s="14"/>
      <c r="BQ73" s="14"/>
      <c r="BR73" s="14"/>
      <c r="BS73" s="14"/>
      <c r="BT73" s="14"/>
      <c r="BU73" s="14"/>
      <c r="CE73" s="14"/>
      <c r="CF73" s="14"/>
      <c r="CG73" s="14"/>
      <c r="CH73" s="14"/>
      <c r="CI73" s="14"/>
      <c r="CJ73" s="14"/>
      <c r="CK73" s="14"/>
      <c r="CL73" s="14"/>
      <c r="CO73" s="14"/>
      <c r="CP73" s="14"/>
      <c r="CQ73" s="14"/>
      <c r="CR73" s="14"/>
      <c r="CS73" s="14"/>
      <c r="EK73" s="14"/>
      <c r="EL73" s="14"/>
      <c r="EM73" s="14"/>
      <c r="EN73" s="14"/>
      <c r="EO73" s="14"/>
      <c r="EP73" s="14"/>
      <c r="EQ73" s="14"/>
      <c r="ER73" s="14"/>
      <c r="ES73" s="14"/>
      <c r="ET73" s="14"/>
      <c r="EU73" s="14"/>
      <c r="EV73" s="14"/>
      <c r="EW73" s="14"/>
      <c r="EX73" s="14"/>
      <c r="EY73" s="14"/>
      <c r="EZ73" s="14"/>
      <c r="FA73" s="14"/>
      <c r="FB73" s="14"/>
      <c r="FC73" s="14"/>
      <c r="FD73" s="14"/>
      <c r="FL73" s="14" t="s">
        <v>153</v>
      </c>
      <c r="FM73" s="14" t="s">
        <v>154</v>
      </c>
      <c r="FN73" s="14" t="s">
        <v>157</v>
      </c>
      <c r="FO73" s="14" t="s">
        <v>156</v>
      </c>
      <c r="FP73" s="14" t="s">
        <v>155</v>
      </c>
      <c r="FS73" s="14" t="s">
        <v>153</v>
      </c>
      <c r="FT73" s="14" t="s">
        <v>154</v>
      </c>
      <c r="FU73" s="14" t="s">
        <v>157</v>
      </c>
      <c r="FV73" s="14" t="s">
        <v>156</v>
      </c>
      <c r="FW73" s="14" t="s">
        <v>155</v>
      </c>
      <c r="FZ73" s="14" t="s">
        <v>153</v>
      </c>
      <c r="GA73" s="14" t="s">
        <v>154</v>
      </c>
      <c r="GB73" s="14" t="s">
        <v>157</v>
      </c>
      <c r="GC73" s="14" t="s">
        <v>156</v>
      </c>
      <c r="GD73" s="14" t="s">
        <v>155</v>
      </c>
      <c r="GG73" s="14" t="s">
        <v>153</v>
      </c>
      <c r="GH73" s="14" t="s">
        <v>154</v>
      </c>
      <c r="GI73" s="14" t="s">
        <v>157</v>
      </c>
      <c r="GJ73" s="14" t="s">
        <v>156</v>
      </c>
      <c r="GK73" s="14" t="s">
        <v>155</v>
      </c>
      <c r="GN73" s="14" t="s">
        <v>153</v>
      </c>
      <c r="GO73" s="14" t="s">
        <v>154</v>
      </c>
      <c r="GP73" s="14" t="s">
        <v>157</v>
      </c>
      <c r="GQ73" s="14" t="s">
        <v>156</v>
      </c>
      <c r="GR73" s="14" t="s">
        <v>155</v>
      </c>
      <c r="GU73" s="14" t="s">
        <v>153</v>
      </c>
      <c r="GV73" s="14" t="s">
        <v>154</v>
      </c>
      <c r="GW73" s="14" t="s">
        <v>157</v>
      </c>
      <c r="GX73" s="14" t="s">
        <v>156</v>
      </c>
      <c r="GY73" s="14" t="s">
        <v>155</v>
      </c>
      <c r="GZ73" s="14"/>
      <c r="HA73" s="14"/>
      <c r="HB73" s="14" t="s">
        <v>153</v>
      </c>
      <c r="HC73" s="14" t="s">
        <v>154</v>
      </c>
      <c r="HD73" s="14" t="s">
        <v>157</v>
      </c>
      <c r="HE73" s="14" t="s">
        <v>156</v>
      </c>
      <c r="HF73" s="14" t="s">
        <v>155</v>
      </c>
      <c r="HG73" s="14"/>
      <c r="HH73" s="14"/>
      <c r="HI73" s="14" t="s">
        <v>153</v>
      </c>
      <c r="HJ73" s="14" t="s">
        <v>154</v>
      </c>
      <c r="HK73" s="14" t="s">
        <v>157</v>
      </c>
      <c r="HL73" s="14" t="s">
        <v>156</v>
      </c>
      <c r="HM73" s="14" t="s">
        <v>155</v>
      </c>
      <c r="HN73" s="14"/>
      <c r="HO73" s="14"/>
      <c r="HP73" s="14" t="s">
        <v>153</v>
      </c>
      <c r="HQ73" s="14" t="s">
        <v>154</v>
      </c>
      <c r="HR73" s="14" t="s">
        <v>157</v>
      </c>
      <c r="HS73" s="14" t="s">
        <v>156</v>
      </c>
      <c r="HT73" s="14" t="s">
        <v>155</v>
      </c>
      <c r="HU73" s="14"/>
      <c r="HW73" s="14" t="s">
        <v>153</v>
      </c>
      <c r="HX73" s="14" t="s">
        <v>154</v>
      </c>
      <c r="HY73" s="14" t="s">
        <v>157</v>
      </c>
      <c r="HZ73" s="14" t="s">
        <v>156</v>
      </c>
      <c r="IA73" s="14" t="s">
        <v>155</v>
      </c>
      <c r="IS73" s="14"/>
      <c r="IT73" s="14"/>
      <c r="IU73" s="14"/>
      <c r="JH73" s="14"/>
      <c r="JI73" s="14"/>
      <c r="JW73" s="14"/>
      <c r="JX73" s="14"/>
      <c r="LQ73" s="14"/>
      <c r="LR73" s="14"/>
      <c r="LS73" s="14"/>
      <c r="LT73" s="14"/>
      <c r="LU73" s="14"/>
      <c r="LV73" s="14"/>
      <c r="LW73" s="14"/>
      <c r="LY73" s="14"/>
      <c r="LZ73" s="14"/>
      <c r="MA73" s="14"/>
      <c r="MB73" s="14"/>
      <c r="MC73" s="14"/>
      <c r="MD73" s="14"/>
      <c r="ME73" s="14"/>
      <c r="MF73" s="14"/>
      <c r="MG73" s="14"/>
      <c r="MH73" s="14"/>
      <c r="MI73" s="14"/>
      <c r="MJ73" s="14"/>
      <c r="MK73" s="14"/>
      <c r="ML73" s="14"/>
      <c r="MM73" s="14"/>
      <c r="MN73" s="14"/>
    </row>
    <row r="74" spans="1:1120" ht="15" customHeight="1" x14ac:dyDescent="0.25">
      <c r="A74" s="7" t="s">
        <v>118</v>
      </c>
      <c r="EK74" s="14"/>
      <c r="EL74" s="14"/>
      <c r="EM74" s="14"/>
      <c r="EN74" s="14"/>
      <c r="EO74" s="14"/>
      <c r="EP74" s="14"/>
      <c r="EQ74" s="14"/>
      <c r="ER74" s="14"/>
      <c r="ES74" s="14"/>
      <c r="ET74" s="14"/>
      <c r="EU74" s="14"/>
      <c r="EV74" s="14"/>
      <c r="EW74" s="14"/>
      <c r="EX74" s="14"/>
      <c r="EY74" s="14"/>
      <c r="EZ74" s="14"/>
      <c r="FA74" s="14"/>
      <c r="FB74" s="14"/>
      <c r="LY74" s="14"/>
      <c r="MA74" s="14"/>
    </row>
    <row r="75" spans="1:1120" ht="15" customHeight="1" x14ac:dyDescent="0.25">
      <c r="A75" s="7" t="s">
        <v>24</v>
      </c>
      <c r="AR75" s="7">
        <v>1</v>
      </c>
      <c r="AS75" s="14">
        <v>2</v>
      </c>
      <c r="AT75">
        <v>3</v>
      </c>
      <c r="AU75">
        <v>4</v>
      </c>
      <c r="AV75">
        <v>5</v>
      </c>
      <c r="AW75">
        <v>6</v>
      </c>
      <c r="AX75">
        <v>7</v>
      </c>
      <c r="AY75">
        <v>8</v>
      </c>
      <c r="BC75">
        <v>499</v>
      </c>
      <c r="BD75">
        <v>500</v>
      </c>
      <c r="BE75">
        <v>501</v>
      </c>
      <c r="EK75" s="14"/>
      <c r="EL75" s="14"/>
      <c r="EM75" s="14"/>
      <c r="EN75" s="14"/>
      <c r="EO75" s="14"/>
      <c r="EP75" s="14"/>
      <c r="EQ75" s="14"/>
      <c r="ER75" s="14"/>
      <c r="ES75" s="14"/>
      <c r="ET75" s="14"/>
      <c r="EU75" s="14"/>
      <c r="EV75" s="14"/>
      <c r="EW75" s="14"/>
      <c r="EX75" s="14"/>
      <c r="EY75" s="14"/>
      <c r="EZ75" s="14"/>
      <c r="FA75" s="14"/>
      <c r="FB75" s="14"/>
      <c r="LY75" s="14"/>
      <c r="MA75" s="14"/>
      <c r="WW75" s="14">
        <f t="shared" ref="WW75:YB75" si="974">IF( AND(EXACT(WW28,"LVC_UNLOAD_E"),EXACT(WW57,1),EXACT(WW25,"LVC_NEUTRAL_E"),EXACT(WW26,"LVC_REQ_ENGAGE_E"),EXACT(WW27,"LVC_APPLIED_E")),1,0)</f>
        <v>0</v>
      </c>
      <c r="WX75" s="14">
        <f t="shared" si="974"/>
        <v>0</v>
      </c>
      <c r="WY75" s="14">
        <f t="shared" si="974"/>
        <v>0</v>
      </c>
      <c r="WZ75" s="14">
        <f t="shared" si="974"/>
        <v>0</v>
      </c>
      <c r="XA75" s="14">
        <f t="shared" si="974"/>
        <v>0</v>
      </c>
      <c r="XB75" s="14">
        <f t="shared" si="974"/>
        <v>0</v>
      </c>
      <c r="XC75" s="14">
        <f t="shared" si="974"/>
        <v>0</v>
      </c>
      <c r="XD75" s="14">
        <f t="shared" si="974"/>
        <v>0</v>
      </c>
      <c r="XE75" s="14">
        <f t="shared" si="974"/>
        <v>0</v>
      </c>
      <c r="XF75" s="14">
        <f t="shared" si="974"/>
        <v>0</v>
      </c>
      <c r="XG75" s="14">
        <f t="shared" si="974"/>
        <v>0</v>
      </c>
      <c r="XH75" s="14">
        <f t="shared" si="974"/>
        <v>0</v>
      </c>
      <c r="XI75" s="14">
        <f t="shared" si="974"/>
        <v>0</v>
      </c>
      <c r="XJ75" s="14">
        <f t="shared" si="974"/>
        <v>0</v>
      </c>
      <c r="XK75" s="14">
        <f t="shared" si="974"/>
        <v>0</v>
      </c>
      <c r="XL75" s="14">
        <f t="shared" si="974"/>
        <v>0</v>
      </c>
      <c r="XM75" s="14">
        <f t="shared" si="974"/>
        <v>0</v>
      </c>
      <c r="XN75" s="14">
        <f t="shared" si="974"/>
        <v>0</v>
      </c>
      <c r="XO75" s="14">
        <f t="shared" si="974"/>
        <v>0</v>
      </c>
      <c r="XP75" s="14">
        <f t="shared" si="974"/>
        <v>0</v>
      </c>
      <c r="XQ75" s="14">
        <f t="shared" si="974"/>
        <v>0</v>
      </c>
      <c r="XR75" s="14">
        <f t="shared" si="974"/>
        <v>0</v>
      </c>
      <c r="XS75" s="14">
        <f t="shared" si="974"/>
        <v>0</v>
      </c>
      <c r="XT75" s="14">
        <f t="shared" si="974"/>
        <v>0</v>
      </c>
      <c r="XU75" s="14">
        <f t="shared" si="974"/>
        <v>0</v>
      </c>
      <c r="XV75" s="14">
        <f t="shared" si="974"/>
        <v>0</v>
      </c>
      <c r="XW75" s="14">
        <f t="shared" si="974"/>
        <v>0</v>
      </c>
      <c r="XX75" s="14">
        <f t="shared" si="974"/>
        <v>0</v>
      </c>
      <c r="XY75" s="14">
        <f t="shared" si="974"/>
        <v>0</v>
      </c>
      <c r="XZ75" s="14">
        <f t="shared" si="974"/>
        <v>0</v>
      </c>
      <c r="YA75" s="14">
        <f t="shared" si="974"/>
        <v>0</v>
      </c>
      <c r="YB75" s="14">
        <f t="shared" si="974"/>
        <v>0</v>
      </c>
      <c r="YC75" s="14">
        <f t="shared" ref="YC75:ZJ75" si="975">IF( AND(EXACT(YC28,"LVC_UNLOAD_E"),EXACT(YC57,1),EXACT(YC25,"LVC_NEUTRAL_E"),EXACT(YC26,"LVC_REQ_ENGAGE_E"),EXACT(YC27,"LVC_APPLIED_E")),1,0)</f>
        <v>0</v>
      </c>
      <c r="YD75" s="14">
        <f t="shared" si="975"/>
        <v>0</v>
      </c>
      <c r="YE75" s="14">
        <f t="shared" si="975"/>
        <v>0</v>
      </c>
      <c r="YF75" s="14">
        <f t="shared" si="975"/>
        <v>0</v>
      </c>
      <c r="YG75" s="14">
        <f t="shared" si="975"/>
        <v>0</v>
      </c>
      <c r="YH75" s="14">
        <f t="shared" si="975"/>
        <v>0</v>
      </c>
      <c r="YI75" s="14">
        <f t="shared" si="975"/>
        <v>0</v>
      </c>
      <c r="YJ75" s="14">
        <f t="shared" si="975"/>
        <v>0</v>
      </c>
      <c r="YK75" s="14">
        <f t="shared" si="975"/>
        <v>0</v>
      </c>
      <c r="YL75" s="14">
        <f t="shared" si="975"/>
        <v>0</v>
      </c>
      <c r="YM75" s="14">
        <f t="shared" si="975"/>
        <v>0</v>
      </c>
      <c r="YN75" s="14">
        <f t="shared" si="975"/>
        <v>0</v>
      </c>
      <c r="YO75" s="14">
        <f t="shared" si="975"/>
        <v>0</v>
      </c>
      <c r="YP75" s="14">
        <f t="shared" si="975"/>
        <v>0</v>
      </c>
      <c r="YQ75" s="14">
        <f t="shared" si="975"/>
        <v>0</v>
      </c>
      <c r="YR75" s="14">
        <f t="shared" si="975"/>
        <v>0</v>
      </c>
      <c r="YS75" s="14">
        <f t="shared" si="975"/>
        <v>0</v>
      </c>
      <c r="YT75" s="14">
        <f t="shared" si="975"/>
        <v>0</v>
      </c>
      <c r="YU75" s="14">
        <f t="shared" si="975"/>
        <v>0</v>
      </c>
      <c r="YV75" s="14">
        <f t="shared" si="975"/>
        <v>0</v>
      </c>
      <c r="YW75" s="14">
        <f t="shared" si="975"/>
        <v>0</v>
      </c>
      <c r="YX75" s="14">
        <f t="shared" si="975"/>
        <v>0</v>
      </c>
      <c r="YY75" s="14">
        <f t="shared" si="975"/>
        <v>0</v>
      </c>
      <c r="YZ75" s="14">
        <f t="shared" si="975"/>
        <v>0</v>
      </c>
      <c r="ZA75" s="14">
        <f t="shared" si="975"/>
        <v>0</v>
      </c>
      <c r="ZB75" s="14">
        <f t="shared" si="975"/>
        <v>0</v>
      </c>
      <c r="ZC75" s="14">
        <f t="shared" si="975"/>
        <v>0</v>
      </c>
      <c r="ZD75" s="14">
        <f t="shared" si="975"/>
        <v>0</v>
      </c>
      <c r="ZE75" s="14">
        <f t="shared" si="975"/>
        <v>0</v>
      </c>
      <c r="ZF75" s="14">
        <f t="shared" si="975"/>
        <v>0</v>
      </c>
      <c r="ZG75" s="14">
        <f t="shared" si="975"/>
        <v>0</v>
      </c>
      <c r="ZH75" s="14">
        <f t="shared" si="975"/>
        <v>0</v>
      </c>
      <c r="ZI75" s="14">
        <f t="shared" si="975"/>
        <v>0</v>
      </c>
      <c r="ZJ75" s="14">
        <f t="shared" si="975"/>
        <v>0</v>
      </c>
      <c r="ADD75" s="14">
        <f>IF( AND(EXACT(ADD28,"LVC_UNLOAD_E"),EXACT(ADD57,1),EXACT(ADD25,"LVC_NEUTRAL_E"),EXACT(ADD26,"LVC_REQ_ENGAGE_E"),EXACT(ADD27,"LVC_APPLIED_E")),1,0)</f>
        <v>0</v>
      </c>
      <c r="AFN75" s="14">
        <f>IF( AND(EXACT(AFN28,"LVC_UNLOAD_E"),EXACT(AFN57,1),EXACT(AFN25,"LVC_NEUTRAL_E"),EXACT(AFN26,"LVC_REQ_ENGAGE_E"),EXACT(AFN27,"LVC_APPLIED_E")),1,0)</f>
        <v>0</v>
      </c>
    </row>
    <row r="76" spans="1:1120" ht="15" customHeight="1" x14ac:dyDescent="0.25">
      <c r="A76" s="7" t="s">
        <v>25</v>
      </c>
      <c r="AT76">
        <v>0</v>
      </c>
      <c r="AU76">
        <v>0</v>
      </c>
      <c r="AV76">
        <v>0</v>
      </c>
      <c r="AW76">
        <v>0</v>
      </c>
      <c r="AX76">
        <v>1</v>
      </c>
      <c r="AY76">
        <v>2</v>
      </c>
      <c r="AZ76">
        <v>303</v>
      </c>
      <c r="BA76">
        <v>304</v>
      </c>
      <c r="BB76">
        <v>305</v>
      </c>
      <c r="BF76">
        <v>0</v>
      </c>
      <c r="BG76">
        <v>0</v>
      </c>
      <c r="BH76">
        <v>0</v>
      </c>
      <c r="BI76">
        <v>0</v>
      </c>
      <c r="BJ76">
        <v>1</v>
      </c>
      <c r="BK76">
        <v>299</v>
      </c>
      <c r="BL76">
        <v>300</v>
      </c>
      <c r="BM76">
        <v>301</v>
      </c>
      <c r="BP76">
        <v>0</v>
      </c>
      <c r="BQ76">
        <v>0</v>
      </c>
      <c r="BR76">
        <v>0</v>
      </c>
      <c r="BS76">
        <v>0</v>
      </c>
      <c r="BT76">
        <v>1</v>
      </c>
      <c r="BU76">
        <v>299</v>
      </c>
      <c r="BV76" s="14">
        <v>300</v>
      </c>
      <c r="BW76" s="14">
        <v>301</v>
      </c>
      <c r="BZ76" s="14">
        <v>0</v>
      </c>
      <c r="CA76" s="14">
        <v>0</v>
      </c>
      <c r="CB76" s="14">
        <v>0</v>
      </c>
      <c r="CC76" s="14">
        <v>0</v>
      </c>
      <c r="CD76" s="14">
        <v>1</v>
      </c>
      <c r="CE76">
        <v>2</v>
      </c>
      <c r="CF76">
        <v>298</v>
      </c>
      <c r="CG76">
        <v>0</v>
      </c>
      <c r="CH76">
        <v>1</v>
      </c>
      <c r="CI76">
        <v>2</v>
      </c>
      <c r="CJ76">
        <v>299</v>
      </c>
      <c r="CK76">
        <v>300</v>
      </c>
      <c r="CL76">
        <v>301</v>
      </c>
      <c r="CO76" s="14">
        <v>0</v>
      </c>
      <c r="CP76" s="14">
        <v>0</v>
      </c>
      <c r="CQ76" s="14">
        <v>0</v>
      </c>
      <c r="CR76" s="14">
        <v>0</v>
      </c>
      <c r="CS76" s="14">
        <v>1</v>
      </c>
      <c r="CT76" s="14">
        <v>2</v>
      </c>
      <c r="CU76" s="14">
        <v>298</v>
      </c>
      <c r="CV76" s="14">
        <v>0</v>
      </c>
      <c r="CW76" s="14">
        <v>1</v>
      </c>
      <c r="CX76" s="14">
        <v>2</v>
      </c>
      <c r="CY76" s="14">
        <v>299</v>
      </c>
      <c r="CZ76" s="14">
        <v>300</v>
      </c>
      <c r="DA76" s="14">
        <v>301</v>
      </c>
      <c r="DD76" s="14">
        <v>0</v>
      </c>
      <c r="DE76" s="14">
        <v>0</v>
      </c>
      <c r="DF76" s="14">
        <v>0</v>
      </c>
      <c r="DG76" s="14">
        <v>0</v>
      </c>
      <c r="DH76" s="14">
        <v>1</v>
      </c>
      <c r="DI76" s="14">
        <v>2</v>
      </c>
      <c r="DJ76" s="14">
        <v>298</v>
      </c>
      <c r="DK76" s="14">
        <v>0</v>
      </c>
      <c r="DL76" s="14">
        <v>1</v>
      </c>
      <c r="DM76" s="14">
        <v>2</v>
      </c>
      <c r="DN76" s="14">
        <v>299</v>
      </c>
      <c r="DO76" s="14">
        <v>300</v>
      </c>
      <c r="DP76" s="14">
        <v>301</v>
      </c>
      <c r="DS76" s="14">
        <v>0</v>
      </c>
      <c r="DT76" s="14">
        <v>0</v>
      </c>
      <c r="DU76" s="14">
        <v>0</v>
      </c>
      <c r="DV76" s="14">
        <v>0</v>
      </c>
      <c r="DW76" s="14">
        <v>0</v>
      </c>
      <c r="DX76" s="14">
        <v>1</v>
      </c>
      <c r="DY76" s="14">
        <v>2</v>
      </c>
      <c r="DZ76" s="14">
        <v>299</v>
      </c>
      <c r="EA76" s="14">
        <v>300</v>
      </c>
      <c r="EB76" s="14">
        <v>301</v>
      </c>
      <c r="EE76" s="14">
        <v>0</v>
      </c>
      <c r="EF76" s="14">
        <v>0</v>
      </c>
      <c r="EG76" s="14">
        <v>0</v>
      </c>
      <c r="EH76" s="14">
        <v>0</v>
      </c>
      <c r="EI76" s="14">
        <v>0</v>
      </c>
      <c r="EJ76" s="14">
        <v>1</v>
      </c>
      <c r="EK76" s="14">
        <v>2</v>
      </c>
      <c r="EL76" s="14">
        <v>299</v>
      </c>
      <c r="EM76" s="14">
        <v>300</v>
      </c>
      <c r="EN76" s="14">
        <v>301</v>
      </c>
      <c r="EO76" s="14"/>
      <c r="EP76" s="14"/>
      <c r="EQ76" s="14">
        <v>0</v>
      </c>
      <c r="ER76" s="14">
        <v>0</v>
      </c>
      <c r="ES76" s="14">
        <v>0</v>
      </c>
      <c r="ET76" s="14">
        <v>0</v>
      </c>
      <c r="EU76" s="14">
        <v>0</v>
      </c>
      <c r="EV76" s="14">
        <v>1</v>
      </c>
      <c r="EW76" s="14">
        <v>2</v>
      </c>
      <c r="EX76" s="14">
        <v>299</v>
      </c>
      <c r="EY76" s="14">
        <v>300</v>
      </c>
      <c r="EZ76" s="14">
        <v>301</v>
      </c>
      <c r="FA76" s="14"/>
      <c r="FB76" s="14"/>
      <c r="IR76" s="14" t="s">
        <v>211</v>
      </c>
      <c r="LY76" s="14"/>
      <c r="MA76" s="14"/>
      <c r="RZ76" s="14" t="s">
        <v>211</v>
      </c>
      <c r="AKP76" s="14" t="s">
        <v>211</v>
      </c>
    </row>
    <row r="77" spans="1:1120" ht="15" customHeight="1" x14ac:dyDescent="0.25">
      <c r="B77" s="14" t="s">
        <v>441</v>
      </c>
      <c r="IR77" s="14" t="s">
        <v>54</v>
      </c>
      <c r="IS77" t="str">
        <f>IS78&amp;IS79&amp;IS80&amp;IS81&amp;IS82&amp;IS83&amp;IS84&amp;IS85</f>
        <v>00011111</v>
      </c>
      <c r="IT77" s="14" t="str">
        <f>IT78&amp;IT79&amp;IT80&amp;IT81&amp;IT82&amp;IT83&amp;IT84&amp;IT85</f>
        <v>00001000</v>
      </c>
      <c r="IU77" s="14" t="str">
        <f t="shared" ref="IU77:LF77" si="976">IU78&amp;IU79&amp;IU80&amp;IU81&amp;IU82&amp;IU83&amp;IU84&amp;IU85</f>
        <v>00011000</v>
      </c>
      <c r="IV77" s="14" t="str">
        <f t="shared" si="976"/>
        <v>00011000</v>
      </c>
      <c r="IW77" s="14" t="str">
        <f t="shared" si="976"/>
        <v>00011000</v>
      </c>
      <c r="IX77" s="14" t="str">
        <f t="shared" si="976"/>
        <v>00001100</v>
      </c>
      <c r="IY77" s="14" t="str">
        <f t="shared" si="976"/>
        <v>00000100</v>
      </c>
      <c r="IZ77" s="14" t="str">
        <f t="shared" si="976"/>
        <v>00001100</v>
      </c>
      <c r="JA77" s="14" t="str">
        <f t="shared" si="976"/>
        <v>00000110</v>
      </c>
      <c r="JB77" s="14" t="str">
        <f t="shared" si="976"/>
        <v>00001110</v>
      </c>
      <c r="JC77" s="14" t="str">
        <f t="shared" si="976"/>
        <v>00001110</v>
      </c>
      <c r="JD77" s="14" t="str">
        <f t="shared" si="976"/>
        <v>00000101</v>
      </c>
      <c r="JE77" s="14" t="str">
        <f t="shared" si="976"/>
        <v>10000100</v>
      </c>
      <c r="JF77" s="14" t="str">
        <f t="shared" si="976"/>
        <v>10001100</v>
      </c>
      <c r="JG77" s="14" t="str">
        <f t="shared" si="976"/>
        <v>10000100</v>
      </c>
      <c r="JH77" s="14" t="str">
        <f t="shared" si="976"/>
        <v>10010000</v>
      </c>
      <c r="JI77" s="14" t="str">
        <f t="shared" si="976"/>
        <v>10010000</v>
      </c>
      <c r="JJ77" s="14" t="str">
        <f t="shared" si="976"/>
        <v>10010000</v>
      </c>
      <c r="JK77" s="14" t="str">
        <f t="shared" si="976"/>
        <v>10010000</v>
      </c>
      <c r="JL77" s="14" t="str">
        <f t="shared" si="976"/>
        <v>10010000</v>
      </c>
      <c r="JM77" s="14" t="str">
        <f t="shared" si="976"/>
        <v>10010000</v>
      </c>
      <c r="JN77" s="14" t="str">
        <f t="shared" si="976"/>
        <v>10010010</v>
      </c>
      <c r="JO77" s="14" t="str">
        <f t="shared" si="976"/>
        <v>10010010</v>
      </c>
      <c r="JP77" s="14" t="str">
        <f t="shared" si="976"/>
        <v>10010010</v>
      </c>
      <c r="JQ77" s="14" t="str">
        <f t="shared" si="976"/>
        <v>10011000</v>
      </c>
      <c r="JR77" s="14" t="str">
        <f t="shared" si="976"/>
        <v>10011000</v>
      </c>
      <c r="JS77" s="14" t="str">
        <f t="shared" si="976"/>
        <v>10011000</v>
      </c>
      <c r="JT77" s="14" t="str">
        <f t="shared" si="976"/>
        <v>10010100</v>
      </c>
      <c r="JU77" s="14" t="str">
        <f t="shared" si="976"/>
        <v>10011100</v>
      </c>
      <c r="JV77" s="14" t="str">
        <f t="shared" si="976"/>
        <v>10011100</v>
      </c>
      <c r="JW77" s="14" t="str">
        <f t="shared" si="976"/>
        <v>10010000</v>
      </c>
      <c r="JX77" s="14" t="str">
        <f t="shared" si="976"/>
        <v>10010000</v>
      </c>
      <c r="JY77" s="14" t="str">
        <f t="shared" si="976"/>
        <v>10010000</v>
      </c>
      <c r="JZ77" s="14" t="str">
        <f t="shared" si="976"/>
        <v>10010000</v>
      </c>
      <c r="KA77" s="14" t="str">
        <f t="shared" si="976"/>
        <v>10010000</v>
      </c>
      <c r="KB77" s="14" t="str">
        <f t="shared" si="976"/>
        <v>10010000</v>
      </c>
      <c r="KC77" s="14" t="str">
        <f t="shared" si="976"/>
        <v>10010000</v>
      </c>
      <c r="KD77" s="14" t="str">
        <f t="shared" si="976"/>
        <v>10010000</v>
      </c>
      <c r="KE77" s="14" t="str">
        <f t="shared" si="976"/>
        <v>10010000</v>
      </c>
      <c r="KF77" s="14" t="str">
        <f t="shared" si="976"/>
        <v>10010000</v>
      </c>
      <c r="KG77" s="14" t="str">
        <f t="shared" si="976"/>
        <v>10010000</v>
      </c>
      <c r="KH77" s="14" t="str">
        <f t="shared" si="976"/>
        <v>10010000</v>
      </c>
      <c r="KI77" s="14" t="str">
        <f t="shared" si="976"/>
        <v>10010000</v>
      </c>
      <c r="KJ77" s="14" t="str">
        <f t="shared" si="976"/>
        <v>10010000</v>
      </c>
      <c r="KK77" s="14" t="str">
        <f t="shared" si="976"/>
        <v>10010000</v>
      </c>
      <c r="KL77" s="14" t="str">
        <f t="shared" si="976"/>
        <v>10010000</v>
      </c>
      <c r="KM77" s="14" t="str">
        <f t="shared" si="976"/>
        <v>10010000</v>
      </c>
      <c r="KN77" s="14" t="str">
        <f t="shared" si="976"/>
        <v>10010000</v>
      </c>
      <c r="KO77" s="14" t="str">
        <f t="shared" si="976"/>
        <v>10010000</v>
      </c>
      <c r="KP77" s="14" t="str">
        <f t="shared" si="976"/>
        <v>00010000</v>
      </c>
      <c r="KQ77" s="14" t="str">
        <f t="shared" si="976"/>
        <v>10010000</v>
      </c>
      <c r="KR77" s="14" t="str">
        <f t="shared" si="976"/>
        <v>10010000</v>
      </c>
      <c r="KS77" s="14" t="str">
        <f t="shared" si="976"/>
        <v>00010000</v>
      </c>
      <c r="KT77" s="14" t="str">
        <f t="shared" si="976"/>
        <v>10000000</v>
      </c>
      <c r="KU77" s="14" t="str">
        <f t="shared" si="976"/>
        <v>10010001</v>
      </c>
      <c r="KV77" s="14" t="str">
        <f t="shared" si="976"/>
        <v>10010000</v>
      </c>
      <c r="KW77" s="14" t="str">
        <f t="shared" si="976"/>
        <v>10010000</v>
      </c>
      <c r="KX77" s="14" t="str">
        <f t="shared" si="976"/>
        <v>10010000</v>
      </c>
      <c r="KY77" s="14" t="str">
        <f t="shared" si="976"/>
        <v>10010010</v>
      </c>
      <c r="KZ77" s="14" t="str">
        <f t="shared" si="976"/>
        <v>10010010</v>
      </c>
      <c r="LA77" s="14" t="str">
        <f t="shared" si="976"/>
        <v>10010010</v>
      </c>
      <c r="LB77" s="14" t="str">
        <f t="shared" si="976"/>
        <v>10010010</v>
      </c>
      <c r="LC77" s="14" t="str">
        <f t="shared" si="976"/>
        <v>10010010</v>
      </c>
      <c r="LD77" s="14" t="str">
        <f t="shared" si="976"/>
        <v>10010010</v>
      </c>
      <c r="LE77" s="14" t="str">
        <f t="shared" si="976"/>
        <v>10011000</v>
      </c>
      <c r="LF77" s="14" t="str">
        <f t="shared" si="976"/>
        <v>10011000</v>
      </c>
      <c r="LG77" s="14" t="str">
        <f t="shared" ref="LG77:LP77" si="977">LG78&amp;LG79&amp;LG80&amp;LG81&amp;LG82&amp;LG83&amp;LG84&amp;LG85</f>
        <v>10011000</v>
      </c>
      <c r="LH77" s="14" t="str">
        <f t="shared" si="977"/>
        <v>10011000</v>
      </c>
      <c r="LI77" s="14" t="str">
        <f t="shared" si="977"/>
        <v>10011000</v>
      </c>
      <c r="LJ77" s="14" t="str">
        <f t="shared" si="977"/>
        <v>10011000</v>
      </c>
      <c r="LK77" s="14" t="str">
        <f t="shared" si="977"/>
        <v>10010100</v>
      </c>
      <c r="LL77" s="14" t="str">
        <f t="shared" si="977"/>
        <v>10010100</v>
      </c>
      <c r="LM77" s="14" t="str">
        <f t="shared" si="977"/>
        <v>10010100</v>
      </c>
      <c r="LN77" s="14" t="str">
        <f t="shared" si="977"/>
        <v>10010100</v>
      </c>
      <c r="LO77" s="14" t="str">
        <f t="shared" si="977"/>
        <v>10010100</v>
      </c>
      <c r="LP77" s="14" t="str">
        <f t="shared" si="977"/>
        <v>10010100</v>
      </c>
      <c r="LQ77" s="14" t="str">
        <f t="shared" ref="LQ77" si="978">LQ78&amp;LQ79&amp;LQ80&amp;LQ81&amp;LQ82&amp;LQ83&amp;LQ84&amp;LQ85</f>
        <v>00011110</v>
      </c>
      <c r="LR77" s="14" t="str">
        <f t="shared" ref="LR77" si="979">LR78&amp;LR79&amp;LR80&amp;LR81&amp;LR82&amp;LR83&amp;LR84&amp;LR85</f>
        <v>00011100</v>
      </c>
      <c r="LS77" s="14" t="str">
        <f t="shared" ref="LS77:MA77" si="980">LS78&amp;LS79&amp;LS80&amp;LS81&amp;LS82&amp;LS83&amp;LS84&amp;LS85</f>
        <v>00011110</v>
      </c>
      <c r="LT77" s="14" t="str">
        <f t="shared" si="980"/>
        <v>10011110</v>
      </c>
      <c r="LU77" s="14" t="str">
        <f t="shared" si="980"/>
        <v>10011110</v>
      </c>
      <c r="LV77" s="14" t="str">
        <f t="shared" si="980"/>
        <v>10010000</v>
      </c>
      <c r="LW77" s="14" t="str">
        <f t="shared" si="980"/>
        <v>10011110</v>
      </c>
      <c r="LX77" s="14" t="str">
        <f t="shared" si="980"/>
        <v>10010000</v>
      </c>
      <c r="LY77" s="14" t="str">
        <f t="shared" si="980"/>
        <v>10011110</v>
      </c>
      <c r="LZ77" s="14" t="str">
        <f t="shared" si="980"/>
        <v>10011110</v>
      </c>
      <c r="MA77" s="14" t="str">
        <f t="shared" si="980"/>
        <v>10011110</v>
      </c>
      <c r="MB77" s="14" t="str">
        <f t="shared" ref="MB77" si="981">MB78&amp;MB79&amp;MB80&amp;MB81&amp;MB82&amp;MB83&amp;MB84&amp;MB85</f>
        <v>10011110</v>
      </c>
      <c r="MC77" s="14" t="str">
        <f t="shared" ref="MC77:ME77" si="982">MC78&amp;MC79&amp;MC80&amp;MC81&amp;MC82&amp;MC83&amp;MC84&amp;MC85</f>
        <v>10011110</v>
      </c>
      <c r="MD77" s="14" t="str">
        <f t="shared" si="982"/>
        <v>10011110</v>
      </c>
      <c r="ME77" s="14" t="str">
        <f t="shared" si="982"/>
        <v>10010000</v>
      </c>
      <c r="MH77" s="14" t="str">
        <f t="shared" ref="MH77" si="983">MH78&amp;MH79&amp;MH80&amp;MH81&amp;MH82&amp;MH83&amp;MH84&amp;MH85</f>
        <v>10011110</v>
      </c>
      <c r="MN77" s="14" t="str">
        <f t="shared" ref="MN77" si="984">MN78&amp;MN79&amp;MN80&amp;MN81&amp;MN82&amp;MN83&amp;MN84&amp;MN85</f>
        <v>10010000</v>
      </c>
      <c r="MO77" s="14" t="str">
        <f t="shared" ref="MO77" si="985">MO78&amp;MO79&amp;MO80&amp;MO81&amp;MO82&amp;MO83&amp;MO84&amp;MO85</f>
        <v>10010000</v>
      </c>
      <c r="MP77" s="14" t="str">
        <f t="shared" ref="MP77" si="986">MP78&amp;MP79&amp;MP80&amp;MP81&amp;MP82&amp;MP83&amp;MP84&amp;MP85</f>
        <v>10010000</v>
      </c>
      <c r="MQ77" s="14" t="str">
        <f t="shared" ref="MQ77" si="987">MQ78&amp;MQ79&amp;MQ80&amp;MQ81&amp;MQ82&amp;MQ83&amp;MQ84&amp;MQ85</f>
        <v>10010000</v>
      </c>
      <c r="MR77" s="14" t="str">
        <f t="shared" ref="MR77" si="988">MR78&amp;MR79&amp;MR80&amp;MR81&amp;MR82&amp;MR83&amp;MR84&amp;MR85</f>
        <v>10010000</v>
      </c>
      <c r="MX77" s="14" t="str">
        <f t="shared" ref="MX77" si="989">MX78&amp;MX79&amp;MX80&amp;MX81&amp;MX82&amp;MX83&amp;MX84&amp;MX85</f>
        <v>10010000</v>
      </c>
      <c r="MY77" s="14" t="str">
        <f t="shared" ref="MY77" si="990">MY78&amp;MY79&amp;MY80&amp;MY81&amp;MY82&amp;MY83&amp;MY84&amp;MY85</f>
        <v>00010000</v>
      </c>
      <c r="MZ77" s="14" t="str">
        <f t="shared" ref="MZ77" si="991">MZ78&amp;MZ79&amp;MZ80&amp;MZ81&amp;MZ82&amp;MZ83&amp;MZ84&amp;MZ85</f>
        <v>10010000</v>
      </c>
      <c r="NA77" s="14" t="str">
        <f t="shared" ref="NA77" si="992">NA78&amp;NA79&amp;NA80&amp;NA81&amp;NA82&amp;NA83&amp;NA84&amp;NA85</f>
        <v>10010000</v>
      </c>
      <c r="NB77" s="14" t="str">
        <f t="shared" ref="NB77" si="993">NB78&amp;NB79&amp;NB80&amp;NB81&amp;NB82&amp;NB83&amp;NB84&amp;NB85</f>
        <v>10010000</v>
      </c>
      <c r="NH77" s="14" t="str">
        <f t="shared" ref="NH77" si="994">NH78&amp;NH79&amp;NH80&amp;NH81&amp;NH82&amp;NH83&amp;NH84&amp;NH85</f>
        <v>10010000</v>
      </c>
      <c r="NI77" s="14" t="str">
        <f t="shared" ref="NI77" si="995">NI78&amp;NI79&amp;NI80&amp;NI81&amp;NI82&amp;NI83&amp;NI84&amp;NI85</f>
        <v>10010000</v>
      </c>
      <c r="NJ77" s="14" t="str">
        <f t="shared" ref="NJ77" si="996">NJ78&amp;NJ79&amp;NJ80&amp;NJ81&amp;NJ82&amp;NJ83&amp;NJ84&amp;NJ85</f>
        <v>10010000</v>
      </c>
      <c r="NK77" s="14" t="str">
        <f t="shared" ref="NK77" si="997">NK78&amp;NK79&amp;NK80&amp;NK81&amp;NK82&amp;NK83&amp;NK84&amp;NK85</f>
        <v>10010000</v>
      </c>
      <c r="NL77" s="14" t="str">
        <f t="shared" ref="NL77:NM77" si="998">NL78&amp;NL79&amp;NL80&amp;NL81&amp;NL82&amp;NL83&amp;NL84&amp;NL85</f>
        <v>10010000</v>
      </c>
      <c r="NM77" s="14" t="str">
        <f t="shared" si="998"/>
        <v>10010000</v>
      </c>
      <c r="NQ77" s="14" t="str">
        <f t="shared" ref="NQ77:NR77" si="999">NQ78&amp;NQ79&amp;NQ80&amp;NQ81&amp;NQ82&amp;NQ83&amp;NQ84&amp;NQ85</f>
        <v>10010000</v>
      </c>
      <c r="NR77" s="14" t="str">
        <f t="shared" si="999"/>
        <v>10010000</v>
      </c>
      <c r="RZ77" s="14" t="s">
        <v>54</v>
      </c>
      <c r="SA77" s="14" t="str">
        <f t="shared" ref="SA77" si="1000">SA78&amp;SA79&amp;SA80&amp;SA81&amp;SA82&amp;SA83&amp;SA84&amp;SA85</f>
        <v>10010000</v>
      </c>
      <c r="WC77" s="14" t="str">
        <f t="shared" ref="WC77" si="1001">WC78&amp;WC79&amp;WC80&amp;WC81&amp;WC82&amp;WC83&amp;WC84&amp;WC85</f>
        <v>10000000</v>
      </c>
      <c r="AAT77" s="14" t="str">
        <f t="shared" ref="AAT77" si="1002">AAT78&amp;AAT79&amp;AAT80&amp;AAT81&amp;AAT82&amp;AAT83&amp;AAT84&amp;AAT85</f>
        <v>10010000</v>
      </c>
      <c r="ABF77" s="14" t="str">
        <f t="shared" ref="ABF77" si="1003">ABF78&amp;ABF79&amp;ABF80&amp;ABF81&amp;ABF82&amp;ABF83&amp;ABF84&amp;ABF85</f>
        <v>10010000</v>
      </c>
      <c r="ADP77" s="14" t="str">
        <f t="shared" ref="ADP77" si="1004">ADP78&amp;ADP79&amp;ADP80&amp;ADP81&amp;ADP82&amp;ADP83&amp;ADP84&amp;ADP85</f>
        <v>10010000</v>
      </c>
      <c r="AKP77" s="14" t="s">
        <v>54</v>
      </c>
      <c r="AKQ77" s="14" t="str">
        <f t="shared" ref="AKQ77" si="1005">AKQ78&amp;AKQ79&amp;AKQ80&amp;AKQ81&amp;AKQ82&amp;AKQ83&amp;AKQ84&amp;AKQ85</f>
        <v>10010000</v>
      </c>
      <c r="ALF77" s="14" t="str">
        <f t="shared" ref="ALF77" si="1006">ALF78&amp;ALF79&amp;ALF80&amp;ALF81&amp;ALF82&amp;ALF83&amp;ALF84&amp;ALF85</f>
        <v>10010000</v>
      </c>
      <c r="ALU77" s="14" t="str">
        <f t="shared" ref="ALU77" si="1007">ALU78&amp;ALU79&amp;ALU80&amp;ALU81&amp;ALU82&amp;ALU83&amp;ALU84&amp;ALU85</f>
        <v>10010000</v>
      </c>
    </row>
    <row r="78" spans="1:1120" ht="15" customHeight="1" x14ac:dyDescent="0.25">
      <c r="IR78">
        <v>128</v>
      </c>
      <c r="IS78" s="14">
        <f t="shared" ref="IS78:JX78" si="1008" xml:space="preserve"> IF( NOT(EXACT(IS28,"LVC_UNLOAD_E")), 1, 0)</f>
        <v>0</v>
      </c>
      <c r="IT78" s="14">
        <f t="shared" si="1008"/>
        <v>0</v>
      </c>
      <c r="IU78" s="14">
        <f t="shared" si="1008"/>
        <v>0</v>
      </c>
      <c r="IV78" s="14">
        <f t="shared" si="1008"/>
        <v>0</v>
      </c>
      <c r="IW78" s="14">
        <f t="shared" si="1008"/>
        <v>0</v>
      </c>
      <c r="IX78" s="14">
        <f t="shared" si="1008"/>
        <v>0</v>
      </c>
      <c r="IY78" s="14">
        <f t="shared" si="1008"/>
        <v>0</v>
      </c>
      <c r="IZ78" s="14">
        <f t="shared" si="1008"/>
        <v>0</v>
      </c>
      <c r="JA78" s="14">
        <f t="shared" si="1008"/>
        <v>0</v>
      </c>
      <c r="JB78" s="14">
        <f t="shared" si="1008"/>
        <v>0</v>
      </c>
      <c r="JC78" s="14">
        <f t="shared" si="1008"/>
        <v>0</v>
      </c>
      <c r="JD78" s="14">
        <f t="shared" si="1008"/>
        <v>0</v>
      </c>
      <c r="JE78" s="14">
        <f t="shared" si="1008"/>
        <v>1</v>
      </c>
      <c r="JF78" s="14">
        <f t="shared" si="1008"/>
        <v>1</v>
      </c>
      <c r="JG78" s="14">
        <f t="shared" si="1008"/>
        <v>1</v>
      </c>
      <c r="JH78" s="14">
        <f t="shared" si="1008"/>
        <v>1</v>
      </c>
      <c r="JI78" s="14">
        <f t="shared" si="1008"/>
        <v>1</v>
      </c>
      <c r="JJ78" s="14">
        <f t="shared" si="1008"/>
        <v>1</v>
      </c>
      <c r="JK78" s="14">
        <f t="shared" si="1008"/>
        <v>1</v>
      </c>
      <c r="JL78" s="14">
        <f t="shared" si="1008"/>
        <v>1</v>
      </c>
      <c r="JM78" s="14">
        <f t="shared" si="1008"/>
        <v>1</v>
      </c>
      <c r="JN78" s="14">
        <f t="shared" si="1008"/>
        <v>1</v>
      </c>
      <c r="JO78" s="14">
        <f t="shared" si="1008"/>
        <v>1</v>
      </c>
      <c r="JP78" s="14">
        <f t="shared" si="1008"/>
        <v>1</v>
      </c>
      <c r="JQ78" s="14">
        <f t="shared" si="1008"/>
        <v>1</v>
      </c>
      <c r="JR78" s="14">
        <f t="shared" si="1008"/>
        <v>1</v>
      </c>
      <c r="JS78" s="14">
        <f t="shared" si="1008"/>
        <v>1</v>
      </c>
      <c r="JT78" s="14">
        <f t="shared" si="1008"/>
        <v>1</v>
      </c>
      <c r="JU78" s="14">
        <f t="shared" si="1008"/>
        <v>1</v>
      </c>
      <c r="JV78" s="14">
        <f t="shared" si="1008"/>
        <v>1</v>
      </c>
      <c r="JW78" s="14">
        <f t="shared" si="1008"/>
        <v>1</v>
      </c>
      <c r="JX78" s="14">
        <f t="shared" si="1008"/>
        <v>1</v>
      </c>
      <c r="JY78" s="14">
        <f t="shared" ref="JY78:LD78" si="1009" xml:space="preserve"> IF( NOT(EXACT(JY28,"LVC_UNLOAD_E")), 1, 0)</f>
        <v>1</v>
      </c>
      <c r="JZ78" s="14">
        <f t="shared" si="1009"/>
        <v>1</v>
      </c>
      <c r="KA78" s="14">
        <f t="shared" si="1009"/>
        <v>1</v>
      </c>
      <c r="KB78" s="14">
        <f t="shared" si="1009"/>
        <v>1</v>
      </c>
      <c r="KC78" s="14">
        <f t="shared" si="1009"/>
        <v>1</v>
      </c>
      <c r="KD78" s="14">
        <f t="shared" si="1009"/>
        <v>1</v>
      </c>
      <c r="KE78" s="14">
        <f t="shared" si="1009"/>
        <v>1</v>
      </c>
      <c r="KF78" s="14">
        <f t="shared" si="1009"/>
        <v>1</v>
      </c>
      <c r="KG78" s="14">
        <f t="shared" si="1009"/>
        <v>1</v>
      </c>
      <c r="KH78" s="14">
        <f t="shared" si="1009"/>
        <v>1</v>
      </c>
      <c r="KI78" s="14">
        <f t="shared" si="1009"/>
        <v>1</v>
      </c>
      <c r="KJ78" s="14">
        <f t="shared" si="1009"/>
        <v>1</v>
      </c>
      <c r="KK78" s="14">
        <f t="shared" si="1009"/>
        <v>1</v>
      </c>
      <c r="KL78" s="14">
        <f t="shared" si="1009"/>
        <v>1</v>
      </c>
      <c r="KM78" s="14">
        <f t="shared" si="1009"/>
        <v>1</v>
      </c>
      <c r="KN78" s="14">
        <f t="shared" si="1009"/>
        <v>1</v>
      </c>
      <c r="KO78" s="14">
        <f t="shared" si="1009"/>
        <v>1</v>
      </c>
      <c r="KP78" s="14">
        <f t="shared" si="1009"/>
        <v>0</v>
      </c>
      <c r="KQ78" s="14">
        <f t="shared" si="1009"/>
        <v>1</v>
      </c>
      <c r="KR78" s="14">
        <f t="shared" si="1009"/>
        <v>1</v>
      </c>
      <c r="KS78" s="14">
        <f t="shared" si="1009"/>
        <v>0</v>
      </c>
      <c r="KT78" s="14">
        <f t="shared" si="1009"/>
        <v>1</v>
      </c>
      <c r="KU78" s="14">
        <f t="shared" si="1009"/>
        <v>1</v>
      </c>
      <c r="KV78" s="14">
        <f t="shared" si="1009"/>
        <v>1</v>
      </c>
      <c r="KW78" s="14">
        <f t="shared" si="1009"/>
        <v>1</v>
      </c>
      <c r="KX78" s="14">
        <f t="shared" si="1009"/>
        <v>1</v>
      </c>
      <c r="KY78" s="14">
        <f t="shared" si="1009"/>
        <v>1</v>
      </c>
      <c r="KZ78" s="14">
        <f t="shared" si="1009"/>
        <v>1</v>
      </c>
      <c r="LA78" s="14">
        <f t="shared" si="1009"/>
        <v>1</v>
      </c>
      <c r="LB78" s="14">
        <f t="shared" si="1009"/>
        <v>1</v>
      </c>
      <c r="LC78" s="14">
        <f t="shared" si="1009"/>
        <v>1</v>
      </c>
      <c r="LD78" s="14">
        <f t="shared" si="1009"/>
        <v>1</v>
      </c>
      <c r="LE78" s="14">
        <f t="shared" ref="LE78:ME78" si="1010" xml:space="preserve"> IF( NOT(EXACT(LE28,"LVC_UNLOAD_E")), 1, 0)</f>
        <v>1</v>
      </c>
      <c r="LF78" s="14">
        <f t="shared" si="1010"/>
        <v>1</v>
      </c>
      <c r="LG78" s="14">
        <f t="shared" si="1010"/>
        <v>1</v>
      </c>
      <c r="LH78" s="14">
        <f t="shared" si="1010"/>
        <v>1</v>
      </c>
      <c r="LI78" s="14">
        <f t="shared" si="1010"/>
        <v>1</v>
      </c>
      <c r="LJ78" s="14">
        <f t="shared" si="1010"/>
        <v>1</v>
      </c>
      <c r="LK78" s="14">
        <f t="shared" si="1010"/>
        <v>1</v>
      </c>
      <c r="LL78" s="14">
        <f t="shared" si="1010"/>
        <v>1</v>
      </c>
      <c r="LM78" s="14">
        <f t="shared" si="1010"/>
        <v>1</v>
      </c>
      <c r="LN78" s="14">
        <f t="shared" si="1010"/>
        <v>1</v>
      </c>
      <c r="LO78" s="14">
        <f t="shared" si="1010"/>
        <v>1</v>
      </c>
      <c r="LP78" s="14">
        <f t="shared" si="1010"/>
        <v>1</v>
      </c>
      <c r="LQ78" s="14">
        <f t="shared" si="1010"/>
        <v>0</v>
      </c>
      <c r="LR78" s="14">
        <f t="shared" si="1010"/>
        <v>0</v>
      </c>
      <c r="LS78" s="14">
        <f t="shared" si="1010"/>
        <v>0</v>
      </c>
      <c r="LT78" s="14">
        <f t="shared" si="1010"/>
        <v>1</v>
      </c>
      <c r="LU78" s="14">
        <f t="shared" si="1010"/>
        <v>1</v>
      </c>
      <c r="LV78" s="14">
        <f t="shared" si="1010"/>
        <v>1</v>
      </c>
      <c r="LW78" s="14">
        <f t="shared" si="1010"/>
        <v>1</v>
      </c>
      <c r="LX78" s="14">
        <f t="shared" si="1010"/>
        <v>1</v>
      </c>
      <c r="LY78" s="14">
        <f t="shared" si="1010"/>
        <v>1</v>
      </c>
      <c r="LZ78" s="14">
        <f t="shared" si="1010"/>
        <v>1</v>
      </c>
      <c r="MA78" s="14">
        <f t="shared" si="1010"/>
        <v>1</v>
      </c>
      <c r="MB78" s="14">
        <f t="shared" si="1010"/>
        <v>1</v>
      </c>
      <c r="MC78" s="14">
        <f t="shared" si="1010"/>
        <v>1</v>
      </c>
      <c r="MD78" s="14">
        <f t="shared" si="1010"/>
        <v>1</v>
      </c>
      <c r="ME78" s="14">
        <f t="shared" si="1010"/>
        <v>1</v>
      </c>
      <c r="MH78" s="14">
        <f xml:space="preserve"> IF( NOT(EXACT(MH28,"LVC_UNLOAD_E")), 1, 0)</f>
        <v>1</v>
      </c>
      <c r="MN78" s="14">
        <f xml:space="preserve"> IF( NOT(EXACT(MN28,"LVC_UNLOAD_E")), 1, 0)</f>
        <v>1</v>
      </c>
      <c r="MO78" s="14">
        <f xml:space="preserve"> IF( NOT(EXACT(MO28,"LVC_UNLOAD_E")), 1, 0)</f>
        <v>1</v>
      </c>
      <c r="MP78" s="14">
        <f xml:space="preserve"> IF( NOT(EXACT(MP28,"LVC_UNLOAD_E")), 1, 0)</f>
        <v>1</v>
      </c>
      <c r="MQ78" s="14">
        <f xml:space="preserve"> IF( NOT(EXACT(MQ28,"LVC_UNLOAD_E")), 1, 0)</f>
        <v>1</v>
      </c>
      <c r="MR78" s="14">
        <f xml:space="preserve"> IF( NOT(EXACT(MR28,"LVC_UNLOAD_E")), 1, 0)</f>
        <v>1</v>
      </c>
      <c r="MX78" s="14">
        <f xml:space="preserve"> IF( NOT(EXACT(MX28,"LVC_UNLOAD_E")), 1, 0)</f>
        <v>1</v>
      </c>
      <c r="MY78" s="14">
        <f xml:space="preserve"> IF( NOT(EXACT(MY28,"LVC_UNLOAD_E")), 1, 0)</f>
        <v>0</v>
      </c>
      <c r="MZ78" s="14">
        <f xml:space="preserve"> IF( NOT(EXACT(MZ28,"LVC_UNLOAD_E")), 1, 0)</f>
        <v>1</v>
      </c>
      <c r="NA78" s="14">
        <f xml:space="preserve"> IF( NOT(EXACT(NA28,"LVC_UNLOAD_E")), 1, 0)</f>
        <v>1</v>
      </c>
      <c r="NB78" s="14">
        <f xml:space="preserve"> IF( NOT(EXACT(NB28,"LVC_UNLOAD_E")), 1, 0)</f>
        <v>1</v>
      </c>
      <c r="NH78" s="14">
        <f t="shared" ref="NH78:NM78" si="1011" xml:space="preserve"> IF( NOT(EXACT(NH28,"LVC_UNLOAD_E")), 1, 0)</f>
        <v>1</v>
      </c>
      <c r="NI78" s="14">
        <f t="shared" si="1011"/>
        <v>1</v>
      </c>
      <c r="NJ78" s="14">
        <f t="shared" si="1011"/>
        <v>1</v>
      </c>
      <c r="NK78" s="14">
        <f t="shared" si="1011"/>
        <v>1</v>
      </c>
      <c r="NL78" s="14">
        <f t="shared" si="1011"/>
        <v>1</v>
      </c>
      <c r="NM78" s="14">
        <f t="shared" si="1011"/>
        <v>1</v>
      </c>
      <c r="NQ78" s="14">
        <f xml:space="preserve"> IF( NOT(EXACT(NQ28,"LVC_UNLOAD_E")), 1, 0)</f>
        <v>1</v>
      </c>
      <c r="NR78" s="14">
        <f xml:space="preserve"> IF( NOT(EXACT(NR28,"LVC_UNLOAD_E")), 1, 0)</f>
        <v>1</v>
      </c>
      <c r="RZ78" s="14">
        <v>128</v>
      </c>
      <c r="SA78" s="14">
        <f xml:space="preserve"> IF( NOT(EXACT(SA28,"LVC_UNLOAD_E")), 1, 0)</f>
        <v>1</v>
      </c>
      <c r="WC78" s="14">
        <f xml:space="preserve"> IF( NOT(EXACT(WC28,"LVC_UNLOAD_E")), 1, 0)</f>
        <v>1</v>
      </c>
      <c r="AAT78" s="14">
        <f xml:space="preserve"> IF( NOT(EXACT(AAT28,"LVC_UNLOAD_E")), 1, 0)</f>
        <v>1</v>
      </c>
      <c r="ABF78" s="14">
        <f xml:space="preserve"> IF( NOT(EXACT(ABF28,"LVC_UNLOAD_E")), 1, 0)</f>
        <v>1</v>
      </c>
      <c r="ADP78" s="14">
        <f xml:space="preserve"> IF( NOT(EXACT(ADP28,"LVC_UNLOAD_E")), 1, 0)</f>
        <v>1</v>
      </c>
      <c r="AKP78" s="14">
        <v>128</v>
      </c>
      <c r="AKQ78" s="14">
        <f xml:space="preserve"> IF( NOT(EXACT(AKQ28,"LVC_UNLOAD_E")), 1, 0)</f>
        <v>1</v>
      </c>
      <c r="ALF78" s="14">
        <f xml:space="preserve"> IF( NOT(EXACT(ALF28,"LVC_UNLOAD_E")), 1, 0)</f>
        <v>1</v>
      </c>
      <c r="ALU78" s="14">
        <f xml:space="preserve"> IF( NOT(EXACT(ALU28,"LVC_UNLOAD_E")), 1, 0)</f>
        <v>1</v>
      </c>
    </row>
    <row r="79" spans="1:1120" ht="15" customHeight="1" x14ac:dyDescent="0.25">
      <c r="IR79">
        <v>64</v>
      </c>
      <c r="IS79" s="14">
        <v>0</v>
      </c>
      <c r="IT79">
        <v>0</v>
      </c>
      <c r="IU79" s="14">
        <v>0</v>
      </c>
      <c r="IV79" s="14">
        <v>0</v>
      </c>
      <c r="IW79" s="14">
        <v>0</v>
      </c>
      <c r="IX79" s="14">
        <v>0</v>
      </c>
      <c r="IY79" s="14">
        <v>0</v>
      </c>
      <c r="IZ79" s="14">
        <v>0</v>
      </c>
      <c r="JA79" s="14">
        <v>0</v>
      </c>
      <c r="JB79" s="14">
        <v>0</v>
      </c>
      <c r="JC79" s="14">
        <v>0</v>
      </c>
      <c r="JD79" s="14">
        <v>0</v>
      </c>
      <c r="JE79" s="14">
        <v>0</v>
      </c>
      <c r="JF79" s="14">
        <v>0</v>
      </c>
      <c r="JG79" s="14">
        <v>0</v>
      </c>
      <c r="JH79" s="14">
        <v>0</v>
      </c>
      <c r="JI79" s="14">
        <v>0</v>
      </c>
      <c r="JJ79" s="14">
        <v>0</v>
      </c>
      <c r="JK79" s="14">
        <v>0</v>
      </c>
      <c r="JL79" s="14">
        <v>0</v>
      </c>
      <c r="JM79" s="14">
        <v>0</v>
      </c>
      <c r="JN79" s="14">
        <v>0</v>
      </c>
      <c r="JO79" s="14">
        <v>0</v>
      </c>
      <c r="JP79" s="14">
        <v>0</v>
      </c>
      <c r="JQ79" s="14">
        <v>0</v>
      </c>
      <c r="JR79" s="14">
        <v>0</v>
      </c>
      <c r="JS79" s="14">
        <v>0</v>
      </c>
      <c r="JT79" s="14">
        <v>0</v>
      </c>
      <c r="JU79" s="14">
        <v>0</v>
      </c>
      <c r="JV79" s="14">
        <v>0</v>
      </c>
      <c r="JW79" s="14">
        <v>0</v>
      </c>
      <c r="JX79" s="14">
        <v>0</v>
      </c>
      <c r="JY79" s="14">
        <v>0</v>
      </c>
      <c r="JZ79" s="14">
        <v>0</v>
      </c>
      <c r="KA79" s="14">
        <v>0</v>
      </c>
      <c r="KB79" s="14">
        <v>0</v>
      </c>
      <c r="KC79" s="14">
        <v>0</v>
      </c>
      <c r="KD79" s="14">
        <v>0</v>
      </c>
      <c r="KE79" s="14">
        <v>0</v>
      </c>
      <c r="KF79" s="14">
        <v>0</v>
      </c>
      <c r="KG79" s="14">
        <v>0</v>
      </c>
      <c r="KH79" s="14">
        <v>0</v>
      </c>
      <c r="KI79" s="14">
        <v>0</v>
      </c>
      <c r="KJ79" s="14">
        <v>0</v>
      </c>
      <c r="KK79" s="14">
        <v>0</v>
      </c>
      <c r="KL79" s="14">
        <v>0</v>
      </c>
      <c r="KM79" s="14">
        <v>0</v>
      </c>
      <c r="KN79" s="14">
        <v>0</v>
      </c>
      <c r="KO79" s="14">
        <v>0</v>
      </c>
      <c r="KP79" s="14">
        <v>0</v>
      </c>
      <c r="KQ79" s="14">
        <v>0</v>
      </c>
      <c r="KR79" s="14">
        <v>0</v>
      </c>
      <c r="KS79" s="14">
        <v>0</v>
      </c>
      <c r="KT79" s="14">
        <v>0</v>
      </c>
      <c r="KU79" s="14">
        <v>0</v>
      </c>
      <c r="KV79" s="14">
        <v>0</v>
      </c>
      <c r="KW79" s="14">
        <v>0</v>
      </c>
      <c r="KX79" s="14">
        <v>0</v>
      </c>
      <c r="KY79" s="14">
        <v>0</v>
      </c>
      <c r="KZ79" s="14">
        <v>0</v>
      </c>
      <c r="LA79" s="14">
        <v>0</v>
      </c>
      <c r="LB79" s="14">
        <v>0</v>
      </c>
      <c r="LC79" s="14">
        <v>0</v>
      </c>
      <c r="LD79" s="14">
        <v>0</v>
      </c>
      <c r="LE79" s="14">
        <v>0</v>
      </c>
      <c r="LF79" s="14">
        <v>0</v>
      </c>
      <c r="LG79" s="14">
        <v>0</v>
      </c>
      <c r="LH79" s="14">
        <v>0</v>
      </c>
      <c r="LI79" s="14">
        <v>0</v>
      </c>
      <c r="LJ79" s="14">
        <v>0</v>
      </c>
      <c r="LK79" s="14">
        <v>0</v>
      </c>
      <c r="LL79" s="14">
        <v>0</v>
      </c>
      <c r="LM79" s="14">
        <v>0</v>
      </c>
      <c r="LN79" s="14">
        <v>0</v>
      </c>
      <c r="LO79" s="14">
        <v>0</v>
      </c>
      <c r="LP79" s="14">
        <v>0</v>
      </c>
      <c r="LQ79" s="14">
        <v>0</v>
      </c>
      <c r="LR79" s="14">
        <v>0</v>
      </c>
      <c r="LS79" s="14">
        <v>0</v>
      </c>
      <c r="LT79" s="14">
        <v>0</v>
      </c>
      <c r="LU79" s="14">
        <v>0</v>
      </c>
      <c r="LV79" s="14">
        <v>0</v>
      </c>
      <c r="LW79" s="14">
        <v>0</v>
      </c>
      <c r="LX79" s="14">
        <v>0</v>
      </c>
      <c r="LY79" s="14">
        <v>0</v>
      </c>
      <c r="LZ79" s="14">
        <v>0</v>
      </c>
      <c r="MA79" s="14">
        <v>0</v>
      </c>
      <c r="MB79" s="14">
        <v>0</v>
      </c>
      <c r="MC79" s="14">
        <v>0</v>
      </c>
      <c r="MD79" s="14">
        <v>0</v>
      </c>
      <c r="ME79" s="14">
        <v>0</v>
      </c>
      <c r="MH79" s="14">
        <v>0</v>
      </c>
      <c r="MN79" s="14">
        <v>0</v>
      </c>
      <c r="MO79" s="14">
        <v>0</v>
      </c>
      <c r="MP79" s="14">
        <v>0</v>
      </c>
      <c r="MQ79" s="14">
        <v>0</v>
      </c>
      <c r="MR79" s="14">
        <v>0</v>
      </c>
      <c r="MX79" s="14">
        <v>0</v>
      </c>
      <c r="MY79" s="14">
        <v>0</v>
      </c>
      <c r="MZ79" s="14">
        <v>0</v>
      </c>
      <c r="NA79" s="14">
        <v>0</v>
      </c>
      <c r="NB79" s="14">
        <v>0</v>
      </c>
      <c r="NH79" s="14">
        <v>0</v>
      </c>
      <c r="NI79" s="14">
        <v>0</v>
      </c>
      <c r="NJ79" s="14">
        <v>0</v>
      </c>
      <c r="NK79" s="14">
        <v>0</v>
      </c>
      <c r="NL79" s="14">
        <v>0</v>
      </c>
      <c r="NM79" s="14">
        <v>0</v>
      </c>
      <c r="NQ79" s="14">
        <v>0</v>
      </c>
      <c r="NR79" s="14">
        <v>0</v>
      </c>
      <c r="RZ79" s="14">
        <v>64</v>
      </c>
      <c r="SA79" s="14">
        <v>0</v>
      </c>
      <c r="WC79" s="14">
        <v>0</v>
      </c>
      <c r="AAT79" s="14">
        <v>0</v>
      </c>
      <c r="ABF79" s="14">
        <v>0</v>
      </c>
      <c r="ADP79" s="14">
        <v>0</v>
      </c>
      <c r="AKP79" s="14">
        <v>64</v>
      </c>
      <c r="AKQ79" s="14">
        <v>0</v>
      </c>
      <c r="ALF79" s="14">
        <v>0</v>
      </c>
      <c r="ALU79" s="14">
        <v>0</v>
      </c>
    </row>
    <row r="80" spans="1:1120" ht="15" customHeight="1" x14ac:dyDescent="0.25">
      <c r="AS80" s="7"/>
      <c r="AT80" s="7"/>
      <c r="AU80" s="7"/>
      <c r="AV80" s="7"/>
      <c r="AW80" s="7"/>
      <c r="AX80" s="7"/>
      <c r="AY80" s="7"/>
      <c r="AZ80" s="7"/>
      <c r="BA80" s="7"/>
      <c r="BB80" s="7"/>
      <c r="BC80" s="7"/>
      <c r="BD80" s="7"/>
      <c r="BE80" s="7"/>
      <c r="BF80" s="7"/>
      <c r="BG80" s="7"/>
      <c r="BH80" s="7"/>
      <c r="BI80" s="7"/>
      <c r="BJ80" s="7"/>
      <c r="BK80" s="7"/>
      <c r="BL80" s="7"/>
      <c r="BM80" s="7"/>
      <c r="BN80" s="7"/>
      <c r="BO80" s="7"/>
      <c r="BP80" s="7"/>
      <c r="BQ80" s="7"/>
      <c r="BR80" s="7"/>
      <c r="BS80" s="7"/>
      <c r="BT80" s="7"/>
      <c r="BU80" s="7"/>
      <c r="BV80" s="7"/>
      <c r="BW80" s="7"/>
      <c r="BX80" s="7"/>
      <c r="BY80" s="7"/>
      <c r="BZ80" s="7"/>
      <c r="CA80" s="7"/>
      <c r="CB80" s="7"/>
      <c r="CC80" s="7"/>
      <c r="CD80" s="7"/>
      <c r="CE80" s="7"/>
      <c r="CF80" s="7"/>
      <c r="CG80" s="7"/>
      <c r="CH80" s="7"/>
      <c r="CI80" s="7"/>
      <c r="CJ80" s="7"/>
      <c r="CK80" s="7"/>
      <c r="CL80" s="7"/>
      <c r="CM80" s="7"/>
      <c r="CN80" s="7"/>
      <c r="CO80" s="7"/>
      <c r="CP80" s="7"/>
      <c r="CQ80" s="7"/>
      <c r="CR80" s="7"/>
      <c r="CS80" s="7"/>
      <c r="CT80" s="7"/>
      <c r="CU80" s="7"/>
      <c r="CV80" s="7"/>
      <c r="CW80" s="7"/>
      <c r="CX80" s="7"/>
      <c r="CY80" s="7"/>
      <c r="CZ80" s="7"/>
      <c r="DA80" s="7"/>
      <c r="DB80" s="7"/>
      <c r="DC80" s="7"/>
      <c r="DD80" s="7"/>
      <c r="DE80" s="7"/>
      <c r="DF80" s="7"/>
      <c r="DG80" s="7"/>
      <c r="DH80" s="7"/>
      <c r="DI80" s="7"/>
      <c r="DJ80" s="7"/>
      <c r="DK80" s="7"/>
      <c r="DL80" s="7"/>
      <c r="DM80" s="7"/>
      <c r="DN80" s="7"/>
      <c r="DO80" s="7"/>
      <c r="DP80" s="7"/>
      <c r="DQ80" s="7"/>
      <c r="DR80" s="7"/>
      <c r="DS80" s="7"/>
      <c r="DT80" s="7"/>
      <c r="DU80" s="7"/>
      <c r="DV80" s="7"/>
      <c r="DW80" s="7"/>
      <c r="DX80" s="7"/>
      <c r="DY80" s="7"/>
      <c r="DZ80" s="7"/>
      <c r="EA80" s="7"/>
      <c r="EB80" s="7"/>
      <c r="EC80" s="7"/>
      <c r="ED80" s="7"/>
      <c r="EE80" s="7"/>
      <c r="EF80" s="7"/>
      <c r="EG80" s="7"/>
      <c r="EH80" s="7"/>
      <c r="EI80" s="7"/>
      <c r="EJ80" s="7"/>
      <c r="EK80" s="7"/>
      <c r="EL80" s="7"/>
      <c r="EM80" s="7"/>
      <c r="EN80" s="7"/>
      <c r="EO80" s="7"/>
      <c r="EP80" s="7"/>
      <c r="EQ80" s="7"/>
      <c r="ER80" s="7"/>
      <c r="ES80" s="7"/>
      <c r="ET80" s="7"/>
      <c r="EU80" s="7"/>
      <c r="EV80" s="7"/>
      <c r="EW80" s="7"/>
      <c r="EX80" s="7"/>
      <c r="EY80" s="7"/>
      <c r="EZ80" s="7"/>
      <c r="FA80" s="7"/>
      <c r="FB80" s="7"/>
      <c r="FC80" s="7"/>
      <c r="FE80" s="7"/>
      <c r="FF80" s="7"/>
      <c r="FG80" s="7"/>
      <c r="FH80" s="7"/>
      <c r="FI80" s="7"/>
      <c r="FJ80" s="7"/>
      <c r="FK80" s="7"/>
      <c r="FL80" s="7"/>
      <c r="FM80" s="7"/>
      <c r="FN80" s="7"/>
      <c r="FO80" s="7"/>
      <c r="FP80" s="7"/>
      <c r="FQ80" s="7"/>
      <c r="FR80" s="7"/>
      <c r="FS80" s="7"/>
      <c r="FT80" s="7"/>
      <c r="FU80" s="7"/>
      <c r="FV80" s="7"/>
      <c r="FW80" s="7"/>
      <c r="FX80" s="7"/>
      <c r="FY80" s="7"/>
      <c r="FZ80" s="7"/>
      <c r="GA80" s="7"/>
      <c r="GB80" s="7"/>
      <c r="GC80" s="7"/>
      <c r="GD80" s="7"/>
      <c r="GE80" s="7"/>
      <c r="GF80" s="7"/>
      <c r="GG80" s="7"/>
      <c r="GH80" s="7"/>
      <c r="GI80" s="7"/>
      <c r="GJ80" s="7"/>
      <c r="GK80" s="7"/>
      <c r="GL80" s="7"/>
      <c r="GM80" s="7"/>
      <c r="GN80" s="7"/>
      <c r="GO80" s="7"/>
      <c r="GP80" s="7"/>
      <c r="GQ80" s="7"/>
      <c r="GR80" s="7"/>
      <c r="GS80" s="7"/>
      <c r="GT80" s="7"/>
      <c r="GU80" s="7"/>
      <c r="GV80" s="7"/>
      <c r="GW80" s="7"/>
      <c r="GX80" s="7"/>
      <c r="GY80" s="7"/>
      <c r="GZ80" s="7"/>
      <c r="HA80" s="7"/>
      <c r="HB80" s="7"/>
      <c r="HC80" s="7"/>
      <c r="HD80" s="7"/>
      <c r="HE80" s="7"/>
      <c r="HF80" s="7"/>
      <c r="HG80" s="7"/>
      <c r="HH80" s="7"/>
      <c r="HI80" s="7"/>
      <c r="HJ80" s="7"/>
      <c r="HK80" s="7"/>
      <c r="HL80" s="7"/>
      <c r="HM80" s="7"/>
      <c r="HN80" s="7"/>
      <c r="HO80" s="7"/>
      <c r="HP80" s="7"/>
      <c r="HQ80" s="7"/>
      <c r="HR80" s="7"/>
      <c r="HS80" s="7"/>
      <c r="HT80" s="7"/>
      <c r="HU80" s="7"/>
      <c r="HV80" s="7"/>
      <c r="HW80" s="7"/>
      <c r="HX80" s="7"/>
      <c r="HY80" s="7"/>
      <c r="HZ80" s="7"/>
      <c r="IA80" s="7"/>
      <c r="IC80" s="7"/>
      <c r="ID80" s="7"/>
      <c r="IE80" s="7"/>
      <c r="IF80" s="7"/>
      <c r="IG80" s="7"/>
      <c r="IH80" s="7"/>
      <c r="II80" s="7"/>
      <c r="IJ80" s="7"/>
      <c r="IL80" s="7"/>
      <c r="IM80" s="7"/>
      <c r="IN80" s="7"/>
      <c r="IO80" s="7"/>
      <c r="IP80" s="7"/>
      <c r="IQ80" s="7"/>
      <c r="IR80">
        <v>32</v>
      </c>
      <c r="IS80" s="14">
        <v>0</v>
      </c>
      <c r="IT80">
        <v>0</v>
      </c>
      <c r="IU80" s="14">
        <v>0</v>
      </c>
      <c r="IV80" s="14">
        <v>0</v>
      </c>
      <c r="IW80" s="14">
        <v>0</v>
      </c>
      <c r="IX80" s="14">
        <v>0</v>
      </c>
      <c r="IY80" s="14">
        <v>0</v>
      </c>
      <c r="IZ80" s="14">
        <v>0</v>
      </c>
      <c r="JA80" s="14">
        <v>0</v>
      </c>
      <c r="JB80" s="14">
        <v>0</v>
      </c>
      <c r="JC80" s="14">
        <v>0</v>
      </c>
      <c r="JD80" s="14">
        <v>0</v>
      </c>
      <c r="JE80" s="14">
        <v>0</v>
      </c>
      <c r="JF80" s="14">
        <v>0</v>
      </c>
      <c r="JG80" s="14">
        <v>0</v>
      </c>
      <c r="JH80" s="14">
        <v>0</v>
      </c>
      <c r="JI80" s="14">
        <v>0</v>
      </c>
      <c r="JJ80" s="14">
        <v>0</v>
      </c>
      <c r="JK80" s="14">
        <v>0</v>
      </c>
      <c r="JL80" s="14">
        <v>0</v>
      </c>
      <c r="JM80" s="14">
        <v>0</v>
      </c>
      <c r="JN80" s="14">
        <v>0</v>
      </c>
      <c r="JO80" s="14">
        <v>0</v>
      </c>
      <c r="JP80" s="14">
        <v>0</v>
      </c>
      <c r="JQ80" s="14">
        <v>0</v>
      </c>
      <c r="JR80" s="14">
        <v>0</v>
      </c>
      <c r="JS80" s="14">
        <v>0</v>
      </c>
      <c r="JT80" s="14">
        <v>0</v>
      </c>
      <c r="JU80" s="14">
        <v>0</v>
      </c>
      <c r="JV80" s="14">
        <v>0</v>
      </c>
      <c r="JW80" s="14">
        <v>0</v>
      </c>
      <c r="JX80" s="14">
        <v>0</v>
      </c>
      <c r="JY80" s="14">
        <v>0</v>
      </c>
      <c r="JZ80" s="14">
        <v>0</v>
      </c>
      <c r="KA80" s="14">
        <v>0</v>
      </c>
      <c r="KB80" s="14">
        <v>0</v>
      </c>
      <c r="KC80" s="14">
        <v>0</v>
      </c>
      <c r="KD80" s="14">
        <v>0</v>
      </c>
      <c r="KE80" s="14">
        <v>0</v>
      </c>
      <c r="KF80" s="14">
        <v>0</v>
      </c>
      <c r="KG80" s="14">
        <v>0</v>
      </c>
      <c r="KH80" s="14">
        <v>0</v>
      </c>
      <c r="KI80" s="14">
        <v>0</v>
      </c>
      <c r="KJ80" s="14">
        <v>0</v>
      </c>
      <c r="KK80" s="14">
        <v>0</v>
      </c>
      <c r="KL80" s="14">
        <v>0</v>
      </c>
      <c r="KM80" s="14">
        <v>0</v>
      </c>
      <c r="KN80" s="14">
        <v>0</v>
      </c>
      <c r="KO80" s="14">
        <v>0</v>
      </c>
      <c r="KP80" s="14">
        <v>0</v>
      </c>
      <c r="KQ80" s="14">
        <v>0</v>
      </c>
      <c r="KR80" s="14">
        <v>0</v>
      </c>
      <c r="KS80" s="14">
        <v>0</v>
      </c>
      <c r="KT80" s="14">
        <v>0</v>
      </c>
      <c r="KU80" s="14">
        <v>0</v>
      </c>
      <c r="KV80" s="14">
        <v>0</v>
      </c>
      <c r="KW80" s="14">
        <v>0</v>
      </c>
      <c r="KX80" s="14">
        <v>0</v>
      </c>
      <c r="KY80" s="14">
        <v>0</v>
      </c>
      <c r="KZ80" s="14">
        <v>0</v>
      </c>
      <c r="LA80" s="14">
        <v>0</v>
      </c>
      <c r="LB80" s="14">
        <v>0</v>
      </c>
      <c r="LC80" s="14">
        <v>0</v>
      </c>
      <c r="LD80" s="14">
        <v>0</v>
      </c>
      <c r="LE80" s="14">
        <v>0</v>
      </c>
      <c r="LF80" s="14">
        <v>0</v>
      </c>
      <c r="LG80" s="14">
        <v>0</v>
      </c>
      <c r="LH80" s="14">
        <v>0</v>
      </c>
      <c r="LI80" s="14">
        <v>0</v>
      </c>
      <c r="LJ80" s="14">
        <v>0</v>
      </c>
      <c r="LK80" s="14">
        <v>0</v>
      </c>
      <c r="LL80" s="14">
        <v>0</v>
      </c>
      <c r="LM80" s="14">
        <v>0</v>
      </c>
      <c r="LN80" s="14">
        <v>0</v>
      </c>
      <c r="LO80" s="14">
        <v>0</v>
      </c>
      <c r="LP80" s="14">
        <v>0</v>
      </c>
      <c r="LQ80" s="14">
        <v>0</v>
      </c>
      <c r="LR80" s="14">
        <v>0</v>
      </c>
      <c r="LS80" s="14">
        <v>0</v>
      </c>
      <c r="LT80" s="14">
        <v>0</v>
      </c>
      <c r="LU80" s="14">
        <v>0</v>
      </c>
      <c r="LV80" s="14">
        <v>0</v>
      </c>
      <c r="LW80" s="14">
        <v>0</v>
      </c>
      <c r="LX80" s="14">
        <v>0</v>
      </c>
      <c r="LY80" s="14">
        <v>0</v>
      </c>
      <c r="LZ80" s="14">
        <v>0</v>
      </c>
      <c r="MA80" s="14">
        <v>0</v>
      </c>
      <c r="MB80" s="14">
        <v>0</v>
      </c>
      <c r="MC80" s="14">
        <v>0</v>
      </c>
      <c r="MD80" s="14">
        <v>0</v>
      </c>
      <c r="ME80" s="14">
        <v>0</v>
      </c>
      <c r="MH80" s="14">
        <v>0</v>
      </c>
      <c r="MN80" s="14">
        <v>0</v>
      </c>
      <c r="MO80" s="14">
        <v>0</v>
      </c>
      <c r="MP80" s="14">
        <v>0</v>
      </c>
      <c r="MQ80" s="14">
        <v>0</v>
      </c>
      <c r="MR80" s="14">
        <v>0</v>
      </c>
      <c r="MX80" s="14">
        <v>0</v>
      </c>
      <c r="MY80" s="14">
        <v>0</v>
      </c>
      <c r="MZ80" s="14">
        <v>0</v>
      </c>
      <c r="NA80" s="14">
        <v>0</v>
      </c>
      <c r="NB80" s="14">
        <v>0</v>
      </c>
      <c r="NH80" s="14">
        <v>0</v>
      </c>
      <c r="NI80" s="14">
        <v>0</v>
      </c>
      <c r="NJ80" s="14">
        <v>0</v>
      </c>
      <c r="NK80" s="14">
        <v>0</v>
      </c>
      <c r="NL80" s="14">
        <v>0</v>
      </c>
      <c r="NM80" s="14">
        <v>0</v>
      </c>
      <c r="NQ80" s="14">
        <v>0</v>
      </c>
      <c r="NR80" s="14">
        <v>0</v>
      </c>
      <c r="RT80" s="7"/>
      <c r="RU80" s="7"/>
      <c r="RV80" s="7"/>
      <c r="RW80" s="7"/>
      <c r="RX80" s="7"/>
      <c r="RY80" s="7"/>
      <c r="RZ80" s="14">
        <v>32</v>
      </c>
      <c r="SA80" s="14">
        <v>0</v>
      </c>
      <c r="WC80" s="14">
        <v>0</v>
      </c>
      <c r="AAT80" s="14">
        <v>0</v>
      </c>
      <c r="ABF80" s="14">
        <v>0</v>
      </c>
      <c r="ADP80" s="14">
        <v>0</v>
      </c>
      <c r="AKJ80" s="7"/>
      <c r="AKK80" s="7"/>
      <c r="AKL80" s="7"/>
      <c r="AKM80" s="7"/>
      <c r="AKN80" s="7"/>
      <c r="AKO80" s="7"/>
      <c r="AKP80" s="14">
        <v>32</v>
      </c>
      <c r="AKQ80" s="14">
        <v>0</v>
      </c>
      <c r="ALF80" s="14">
        <v>0</v>
      </c>
      <c r="ALU80" s="14">
        <v>0</v>
      </c>
    </row>
    <row r="81" spans="1:1009" ht="15" customHeight="1" x14ac:dyDescent="0.25">
      <c r="IR81">
        <v>16</v>
      </c>
      <c r="IS81" s="14">
        <f t="shared" ref="IS81:JX81" si="1012" xml:space="preserve"> IF( NOT(EXACT(IS31,"LVC_REV_E")), 1, 0)</f>
        <v>1</v>
      </c>
      <c r="IT81">
        <f t="shared" si="1012"/>
        <v>0</v>
      </c>
      <c r="IU81" s="14">
        <f t="shared" si="1012"/>
        <v>1</v>
      </c>
      <c r="IV81" s="14">
        <f t="shared" si="1012"/>
        <v>1</v>
      </c>
      <c r="IW81" s="14">
        <f t="shared" si="1012"/>
        <v>1</v>
      </c>
      <c r="IX81" s="14">
        <f t="shared" si="1012"/>
        <v>0</v>
      </c>
      <c r="IY81" s="14">
        <f t="shared" si="1012"/>
        <v>0</v>
      </c>
      <c r="IZ81" s="14">
        <f t="shared" si="1012"/>
        <v>0</v>
      </c>
      <c r="JA81" s="14">
        <f t="shared" si="1012"/>
        <v>0</v>
      </c>
      <c r="JB81" s="14">
        <f t="shared" si="1012"/>
        <v>0</v>
      </c>
      <c r="JC81" s="14">
        <f t="shared" si="1012"/>
        <v>0</v>
      </c>
      <c r="JD81" s="14">
        <f t="shared" si="1012"/>
        <v>0</v>
      </c>
      <c r="JE81" s="14">
        <f t="shared" si="1012"/>
        <v>0</v>
      </c>
      <c r="JF81" s="14">
        <f t="shared" si="1012"/>
        <v>0</v>
      </c>
      <c r="JG81" s="14">
        <f t="shared" si="1012"/>
        <v>0</v>
      </c>
      <c r="JH81" s="14">
        <f t="shared" si="1012"/>
        <v>1</v>
      </c>
      <c r="JI81" s="14">
        <f t="shared" si="1012"/>
        <v>1</v>
      </c>
      <c r="JJ81" s="14">
        <f t="shared" si="1012"/>
        <v>1</v>
      </c>
      <c r="JK81" s="14">
        <f t="shared" si="1012"/>
        <v>1</v>
      </c>
      <c r="JL81" s="14">
        <f t="shared" si="1012"/>
        <v>1</v>
      </c>
      <c r="JM81" s="14">
        <f t="shared" si="1012"/>
        <v>1</v>
      </c>
      <c r="JN81" s="14">
        <f t="shared" si="1012"/>
        <v>1</v>
      </c>
      <c r="JO81" s="14">
        <f t="shared" si="1012"/>
        <v>1</v>
      </c>
      <c r="JP81" s="14">
        <f t="shared" si="1012"/>
        <v>1</v>
      </c>
      <c r="JQ81" s="14">
        <f t="shared" si="1012"/>
        <v>1</v>
      </c>
      <c r="JR81" s="14">
        <f t="shared" si="1012"/>
        <v>1</v>
      </c>
      <c r="JS81" s="14">
        <f t="shared" si="1012"/>
        <v>1</v>
      </c>
      <c r="JT81" s="14">
        <f t="shared" si="1012"/>
        <v>1</v>
      </c>
      <c r="JU81" s="14">
        <f t="shared" si="1012"/>
        <v>1</v>
      </c>
      <c r="JV81" s="14">
        <f t="shared" si="1012"/>
        <v>1</v>
      </c>
      <c r="JW81" s="14">
        <f t="shared" si="1012"/>
        <v>1</v>
      </c>
      <c r="JX81" s="14">
        <f t="shared" si="1012"/>
        <v>1</v>
      </c>
      <c r="JY81" s="14">
        <f t="shared" ref="JY81:LD81" si="1013" xml:space="preserve"> IF( NOT(EXACT(JY31,"LVC_REV_E")), 1, 0)</f>
        <v>1</v>
      </c>
      <c r="JZ81" s="14">
        <f t="shared" si="1013"/>
        <v>1</v>
      </c>
      <c r="KA81" s="14">
        <f t="shared" si="1013"/>
        <v>1</v>
      </c>
      <c r="KB81" s="14">
        <f t="shared" si="1013"/>
        <v>1</v>
      </c>
      <c r="KC81" s="14">
        <f t="shared" si="1013"/>
        <v>1</v>
      </c>
      <c r="KD81" s="14">
        <f t="shared" si="1013"/>
        <v>1</v>
      </c>
      <c r="KE81" s="14">
        <f t="shared" si="1013"/>
        <v>1</v>
      </c>
      <c r="KF81" s="14">
        <f t="shared" si="1013"/>
        <v>1</v>
      </c>
      <c r="KG81" s="14">
        <f t="shared" si="1013"/>
        <v>1</v>
      </c>
      <c r="KH81" s="14">
        <f t="shared" si="1013"/>
        <v>1</v>
      </c>
      <c r="KI81" s="14">
        <f t="shared" si="1013"/>
        <v>1</v>
      </c>
      <c r="KJ81" s="14">
        <f t="shared" si="1013"/>
        <v>1</v>
      </c>
      <c r="KK81" s="14">
        <f t="shared" si="1013"/>
        <v>1</v>
      </c>
      <c r="KL81" s="14">
        <f t="shared" si="1013"/>
        <v>1</v>
      </c>
      <c r="KM81" s="14">
        <f t="shared" si="1013"/>
        <v>1</v>
      </c>
      <c r="KN81" s="14">
        <f t="shared" si="1013"/>
        <v>1</v>
      </c>
      <c r="KO81" s="14">
        <f t="shared" si="1013"/>
        <v>1</v>
      </c>
      <c r="KP81" s="14">
        <f t="shared" si="1013"/>
        <v>1</v>
      </c>
      <c r="KQ81" s="14">
        <f t="shared" si="1013"/>
        <v>1</v>
      </c>
      <c r="KR81" s="14">
        <f t="shared" si="1013"/>
        <v>1</v>
      </c>
      <c r="KS81" s="14">
        <f t="shared" si="1013"/>
        <v>1</v>
      </c>
      <c r="KT81" s="14">
        <f t="shared" si="1013"/>
        <v>0</v>
      </c>
      <c r="KU81" s="14">
        <f t="shared" si="1013"/>
        <v>1</v>
      </c>
      <c r="KV81" s="14">
        <f t="shared" si="1013"/>
        <v>1</v>
      </c>
      <c r="KW81" s="14">
        <f t="shared" si="1013"/>
        <v>1</v>
      </c>
      <c r="KX81" s="14">
        <f t="shared" si="1013"/>
        <v>1</v>
      </c>
      <c r="KY81" s="14">
        <f t="shared" si="1013"/>
        <v>1</v>
      </c>
      <c r="KZ81" s="14">
        <f t="shared" si="1013"/>
        <v>1</v>
      </c>
      <c r="LA81" s="14">
        <f t="shared" si="1013"/>
        <v>1</v>
      </c>
      <c r="LB81" s="14">
        <f t="shared" si="1013"/>
        <v>1</v>
      </c>
      <c r="LC81" s="14">
        <f t="shared" si="1013"/>
        <v>1</v>
      </c>
      <c r="LD81" s="14">
        <f t="shared" si="1013"/>
        <v>1</v>
      </c>
      <c r="LE81" s="14">
        <f t="shared" ref="LE81:ME81" si="1014" xml:space="preserve"> IF( NOT(EXACT(LE31,"LVC_REV_E")), 1, 0)</f>
        <v>1</v>
      </c>
      <c r="LF81" s="14">
        <f t="shared" si="1014"/>
        <v>1</v>
      </c>
      <c r="LG81" s="14">
        <f t="shared" si="1014"/>
        <v>1</v>
      </c>
      <c r="LH81" s="14">
        <f t="shared" si="1014"/>
        <v>1</v>
      </c>
      <c r="LI81" s="14">
        <f t="shared" si="1014"/>
        <v>1</v>
      </c>
      <c r="LJ81" s="14">
        <f t="shared" si="1014"/>
        <v>1</v>
      </c>
      <c r="LK81" s="14">
        <f t="shared" si="1014"/>
        <v>1</v>
      </c>
      <c r="LL81" s="14">
        <f t="shared" si="1014"/>
        <v>1</v>
      </c>
      <c r="LM81" s="14">
        <f t="shared" si="1014"/>
        <v>1</v>
      </c>
      <c r="LN81" s="14">
        <f t="shared" si="1014"/>
        <v>1</v>
      </c>
      <c r="LO81" s="14">
        <f t="shared" si="1014"/>
        <v>1</v>
      </c>
      <c r="LP81" s="14">
        <f t="shared" si="1014"/>
        <v>1</v>
      </c>
      <c r="LQ81" s="14">
        <f t="shared" si="1014"/>
        <v>1</v>
      </c>
      <c r="LR81" s="14">
        <f t="shared" si="1014"/>
        <v>1</v>
      </c>
      <c r="LS81" s="14">
        <f t="shared" si="1014"/>
        <v>1</v>
      </c>
      <c r="LT81" s="14">
        <f t="shared" si="1014"/>
        <v>1</v>
      </c>
      <c r="LU81" s="14">
        <f t="shared" si="1014"/>
        <v>1</v>
      </c>
      <c r="LV81" s="14">
        <f t="shared" si="1014"/>
        <v>1</v>
      </c>
      <c r="LW81" s="14">
        <f t="shared" si="1014"/>
        <v>1</v>
      </c>
      <c r="LX81" s="14">
        <f t="shared" si="1014"/>
        <v>1</v>
      </c>
      <c r="LY81" s="14">
        <f t="shared" si="1014"/>
        <v>1</v>
      </c>
      <c r="LZ81" s="14">
        <f t="shared" si="1014"/>
        <v>1</v>
      </c>
      <c r="MA81" s="14">
        <f t="shared" si="1014"/>
        <v>1</v>
      </c>
      <c r="MB81" s="14">
        <f t="shared" si="1014"/>
        <v>1</v>
      </c>
      <c r="MC81" s="14">
        <f t="shared" si="1014"/>
        <v>1</v>
      </c>
      <c r="MD81" s="14">
        <f t="shared" si="1014"/>
        <v>1</v>
      </c>
      <c r="ME81" s="14">
        <f t="shared" si="1014"/>
        <v>1</v>
      </c>
      <c r="MH81" s="14">
        <f xml:space="preserve"> IF( NOT(EXACT(MH31,"LVC_REV_E")), 1, 0)</f>
        <v>1</v>
      </c>
      <c r="MN81" s="14">
        <f xml:space="preserve"> IF( NOT(EXACT(MN31,"LVC_REV_E")), 1, 0)</f>
        <v>1</v>
      </c>
      <c r="MO81" s="14">
        <f xml:space="preserve"> IF( NOT(EXACT(MO31,"LVC_REV_E")), 1, 0)</f>
        <v>1</v>
      </c>
      <c r="MP81" s="14">
        <f xml:space="preserve"> IF( NOT(EXACT(MP31,"LVC_REV_E")), 1, 0)</f>
        <v>1</v>
      </c>
      <c r="MQ81" s="14">
        <f xml:space="preserve"> IF( NOT(EXACT(MQ31,"LVC_REV_E")), 1, 0)</f>
        <v>1</v>
      </c>
      <c r="MR81" s="14">
        <f xml:space="preserve"> IF( NOT(EXACT(MR31,"LVC_REV_E")), 1, 0)</f>
        <v>1</v>
      </c>
      <c r="MX81" s="14">
        <f xml:space="preserve"> IF( NOT(EXACT(MX31,"LVC_REV_E")), 1, 0)</f>
        <v>1</v>
      </c>
      <c r="MY81" s="14">
        <f xml:space="preserve"> IF( NOT(EXACT(MY31,"LVC_REV_E")), 1, 0)</f>
        <v>1</v>
      </c>
      <c r="MZ81" s="14">
        <f xml:space="preserve"> IF( NOT(EXACT(MZ31,"LVC_REV_E")), 1, 0)</f>
        <v>1</v>
      </c>
      <c r="NA81" s="14">
        <f xml:space="preserve"> IF( NOT(EXACT(NA31,"LVC_REV_E")), 1, 0)</f>
        <v>1</v>
      </c>
      <c r="NB81" s="14">
        <f xml:space="preserve"> IF( NOT(EXACT(NB31,"LVC_REV_E")), 1, 0)</f>
        <v>1</v>
      </c>
      <c r="NH81" s="14">
        <f t="shared" ref="NH81:NM81" si="1015" xml:space="preserve"> IF( NOT(EXACT(NH31,"LVC_REV_E")), 1, 0)</f>
        <v>1</v>
      </c>
      <c r="NI81" s="14">
        <f t="shared" si="1015"/>
        <v>1</v>
      </c>
      <c r="NJ81" s="14">
        <f t="shared" si="1015"/>
        <v>1</v>
      </c>
      <c r="NK81" s="14">
        <f t="shared" si="1015"/>
        <v>1</v>
      </c>
      <c r="NL81" s="14">
        <f t="shared" si="1015"/>
        <v>1</v>
      </c>
      <c r="NM81" s="14">
        <f t="shared" si="1015"/>
        <v>1</v>
      </c>
      <c r="NQ81" s="14">
        <f xml:space="preserve"> IF( NOT(EXACT(NQ31,"LVC_REV_E")), 1, 0)</f>
        <v>1</v>
      </c>
      <c r="NR81" s="14">
        <f xml:space="preserve"> IF( NOT(EXACT(NR31,"LVC_REV_E")), 1, 0)</f>
        <v>1</v>
      </c>
      <c r="RZ81" s="14">
        <v>16</v>
      </c>
      <c r="SA81" s="14">
        <f xml:space="preserve"> IF( NOT(EXACT(SA31,"LVC_REV_E")), 1, 0)</f>
        <v>1</v>
      </c>
      <c r="WC81" s="14">
        <f xml:space="preserve"> IF( NOT(EXACT(WC31,"LVC_REV_E")), 1, 0)</f>
        <v>0</v>
      </c>
      <c r="AAT81" s="14">
        <f xml:space="preserve"> IF( NOT(EXACT(AAT31,"LVC_REV_E")), 1, 0)</f>
        <v>1</v>
      </c>
      <c r="ABF81" s="14">
        <f xml:space="preserve"> IF( NOT(EXACT(ABF31,"LVC_REV_E")), 1, 0)</f>
        <v>1</v>
      </c>
      <c r="ADP81" s="14">
        <f xml:space="preserve"> IF( NOT(EXACT(ADP31,"LVC_REV_E")), 1, 0)</f>
        <v>1</v>
      </c>
      <c r="AKP81" s="14">
        <v>16</v>
      </c>
      <c r="AKQ81" s="14">
        <f xml:space="preserve"> IF( NOT(EXACT(AKQ31,"LVC_REV_E")), 1, 0)</f>
        <v>1</v>
      </c>
      <c r="ALF81" s="14">
        <f xml:space="preserve"> IF( NOT(EXACT(ALF31,"LVC_REV_E")), 1, 0)</f>
        <v>1</v>
      </c>
      <c r="ALU81" s="14">
        <f xml:space="preserve"> IF( NOT(EXACT(ALU31,"LVC_REV_E")), 1, 0)</f>
        <v>1</v>
      </c>
    </row>
    <row r="82" spans="1:1009" ht="15" customHeight="1" x14ac:dyDescent="0.25">
      <c r="IR82">
        <v>8</v>
      </c>
      <c r="IS82" s="14">
        <f t="shared" ref="IS82:JX82" si="1016" xml:space="preserve"> IF( NOT(EXACT(IS27,"LVC_APPLIED_E")), 1, 0)</f>
        <v>1</v>
      </c>
      <c r="IT82">
        <f t="shared" si="1016"/>
        <v>1</v>
      </c>
      <c r="IU82" s="14">
        <f t="shared" si="1016"/>
        <v>1</v>
      </c>
      <c r="IV82" s="14">
        <f t="shared" si="1016"/>
        <v>1</v>
      </c>
      <c r="IW82" s="14">
        <f t="shared" si="1016"/>
        <v>1</v>
      </c>
      <c r="IX82" s="14">
        <f t="shared" si="1016"/>
        <v>1</v>
      </c>
      <c r="IY82" s="14">
        <f t="shared" si="1016"/>
        <v>0</v>
      </c>
      <c r="IZ82" s="14">
        <f t="shared" si="1016"/>
        <v>1</v>
      </c>
      <c r="JA82" s="14">
        <f t="shared" si="1016"/>
        <v>0</v>
      </c>
      <c r="JB82" s="14">
        <f t="shared" si="1016"/>
        <v>1</v>
      </c>
      <c r="JC82" s="14">
        <f t="shared" si="1016"/>
        <v>1</v>
      </c>
      <c r="JD82" s="14">
        <f t="shared" si="1016"/>
        <v>0</v>
      </c>
      <c r="JE82" s="14">
        <f t="shared" si="1016"/>
        <v>0</v>
      </c>
      <c r="JF82" s="14">
        <f t="shared" si="1016"/>
        <v>1</v>
      </c>
      <c r="JG82" s="14">
        <f t="shared" si="1016"/>
        <v>0</v>
      </c>
      <c r="JH82" s="14">
        <f t="shared" si="1016"/>
        <v>0</v>
      </c>
      <c r="JI82" s="14">
        <f t="shared" si="1016"/>
        <v>0</v>
      </c>
      <c r="JJ82" s="14">
        <f t="shared" si="1016"/>
        <v>0</v>
      </c>
      <c r="JK82" s="14">
        <f t="shared" si="1016"/>
        <v>0</v>
      </c>
      <c r="JL82" s="14">
        <f t="shared" si="1016"/>
        <v>0</v>
      </c>
      <c r="JM82" s="14">
        <f t="shared" si="1016"/>
        <v>0</v>
      </c>
      <c r="JN82" s="14">
        <f t="shared" si="1016"/>
        <v>0</v>
      </c>
      <c r="JO82" s="14">
        <f t="shared" si="1016"/>
        <v>0</v>
      </c>
      <c r="JP82" s="14">
        <f t="shared" si="1016"/>
        <v>0</v>
      </c>
      <c r="JQ82" s="14">
        <f t="shared" si="1016"/>
        <v>1</v>
      </c>
      <c r="JR82" s="14">
        <f t="shared" si="1016"/>
        <v>1</v>
      </c>
      <c r="JS82" s="14">
        <f t="shared" si="1016"/>
        <v>1</v>
      </c>
      <c r="JT82" s="14">
        <f t="shared" si="1016"/>
        <v>0</v>
      </c>
      <c r="JU82" s="14">
        <f t="shared" si="1016"/>
        <v>1</v>
      </c>
      <c r="JV82" s="14">
        <f t="shared" si="1016"/>
        <v>1</v>
      </c>
      <c r="JW82" s="14">
        <f t="shared" si="1016"/>
        <v>0</v>
      </c>
      <c r="JX82" s="14">
        <f t="shared" si="1016"/>
        <v>0</v>
      </c>
      <c r="JY82" s="14">
        <f t="shared" ref="JY82:LD82" si="1017" xml:space="preserve"> IF( NOT(EXACT(JY27,"LVC_APPLIED_E")), 1, 0)</f>
        <v>0</v>
      </c>
      <c r="JZ82" s="14">
        <f t="shared" si="1017"/>
        <v>0</v>
      </c>
      <c r="KA82" s="14">
        <f t="shared" si="1017"/>
        <v>0</v>
      </c>
      <c r="KB82" s="14">
        <f t="shared" si="1017"/>
        <v>0</v>
      </c>
      <c r="KC82" s="14">
        <f t="shared" si="1017"/>
        <v>0</v>
      </c>
      <c r="KD82" s="14">
        <f t="shared" si="1017"/>
        <v>0</v>
      </c>
      <c r="KE82" s="14">
        <f t="shared" si="1017"/>
        <v>0</v>
      </c>
      <c r="KF82" s="14">
        <f t="shared" si="1017"/>
        <v>0</v>
      </c>
      <c r="KG82" s="14">
        <f t="shared" si="1017"/>
        <v>0</v>
      </c>
      <c r="KH82" s="14">
        <f t="shared" si="1017"/>
        <v>0</v>
      </c>
      <c r="KI82" s="14">
        <f t="shared" si="1017"/>
        <v>0</v>
      </c>
      <c r="KJ82" s="14">
        <f t="shared" si="1017"/>
        <v>0</v>
      </c>
      <c r="KK82" s="14">
        <f t="shared" si="1017"/>
        <v>0</v>
      </c>
      <c r="KL82" s="14">
        <f t="shared" si="1017"/>
        <v>0</v>
      </c>
      <c r="KM82" s="14">
        <f t="shared" si="1017"/>
        <v>0</v>
      </c>
      <c r="KN82" s="14">
        <f t="shared" si="1017"/>
        <v>0</v>
      </c>
      <c r="KO82" s="14">
        <f t="shared" si="1017"/>
        <v>0</v>
      </c>
      <c r="KP82" s="14">
        <f t="shared" si="1017"/>
        <v>0</v>
      </c>
      <c r="KQ82" s="14">
        <f t="shared" si="1017"/>
        <v>0</v>
      </c>
      <c r="KR82" s="14">
        <f t="shared" si="1017"/>
        <v>0</v>
      </c>
      <c r="KS82" s="14">
        <f t="shared" si="1017"/>
        <v>0</v>
      </c>
      <c r="KT82" s="14">
        <f t="shared" si="1017"/>
        <v>0</v>
      </c>
      <c r="KU82" s="14">
        <f t="shared" si="1017"/>
        <v>0</v>
      </c>
      <c r="KV82" s="14">
        <f t="shared" si="1017"/>
        <v>0</v>
      </c>
      <c r="KW82" s="14">
        <f t="shared" si="1017"/>
        <v>0</v>
      </c>
      <c r="KX82" s="14">
        <f t="shared" si="1017"/>
        <v>0</v>
      </c>
      <c r="KY82" s="14">
        <f t="shared" si="1017"/>
        <v>0</v>
      </c>
      <c r="KZ82" s="14">
        <f t="shared" si="1017"/>
        <v>0</v>
      </c>
      <c r="LA82" s="14">
        <f t="shared" si="1017"/>
        <v>0</v>
      </c>
      <c r="LB82" s="14">
        <f t="shared" si="1017"/>
        <v>0</v>
      </c>
      <c r="LC82" s="14">
        <f t="shared" si="1017"/>
        <v>0</v>
      </c>
      <c r="LD82" s="14">
        <f t="shared" si="1017"/>
        <v>0</v>
      </c>
      <c r="LE82" s="14">
        <f t="shared" ref="LE82:ME82" si="1018" xml:space="preserve"> IF( NOT(EXACT(LE27,"LVC_APPLIED_E")), 1, 0)</f>
        <v>1</v>
      </c>
      <c r="LF82" s="14">
        <f t="shared" si="1018"/>
        <v>1</v>
      </c>
      <c r="LG82" s="14">
        <f t="shared" si="1018"/>
        <v>1</v>
      </c>
      <c r="LH82" s="14">
        <f t="shared" si="1018"/>
        <v>1</v>
      </c>
      <c r="LI82" s="14">
        <f t="shared" si="1018"/>
        <v>1</v>
      </c>
      <c r="LJ82" s="14">
        <f t="shared" si="1018"/>
        <v>1</v>
      </c>
      <c r="LK82" s="14">
        <f t="shared" si="1018"/>
        <v>0</v>
      </c>
      <c r="LL82" s="14">
        <f t="shared" si="1018"/>
        <v>0</v>
      </c>
      <c r="LM82" s="14">
        <f t="shared" si="1018"/>
        <v>0</v>
      </c>
      <c r="LN82" s="14">
        <f t="shared" si="1018"/>
        <v>0</v>
      </c>
      <c r="LO82" s="14">
        <f t="shared" si="1018"/>
        <v>0</v>
      </c>
      <c r="LP82" s="14">
        <f t="shared" si="1018"/>
        <v>0</v>
      </c>
      <c r="LQ82" s="14">
        <f t="shared" si="1018"/>
        <v>1</v>
      </c>
      <c r="LR82" s="14">
        <f t="shared" si="1018"/>
        <v>1</v>
      </c>
      <c r="LS82" s="14">
        <f t="shared" si="1018"/>
        <v>1</v>
      </c>
      <c r="LT82" s="14">
        <f t="shared" si="1018"/>
        <v>1</v>
      </c>
      <c r="LU82" s="14">
        <f t="shared" si="1018"/>
        <v>1</v>
      </c>
      <c r="LV82" s="14">
        <f t="shared" si="1018"/>
        <v>0</v>
      </c>
      <c r="LW82" s="14">
        <f t="shared" si="1018"/>
        <v>1</v>
      </c>
      <c r="LX82" s="14">
        <f t="shared" si="1018"/>
        <v>0</v>
      </c>
      <c r="LY82" s="14">
        <f t="shared" si="1018"/>
        <v>1</v>
      </c>
      <c r="LZ82" s="14">
        <f t="shared" si="1018"/>
        <v>1</v>
      </c>
      <c r="MA82" s="14">
        <f t="shared" si="1018"/>
        <v>1</v>
      </c>
      <c r="MB82" s="14">
        <f t="shared" si="1018"/>
        <v>1</v>
      </c>
      <c r="MC82" s="14">
        <f t="shared" si="1018"/>
        <v>1</v>
      </c>
      <c r="MD82" s="14">
        <f t="shared" si="1018"/>
        <v>1</v>
      </c>
      <c r="ME82" s="14">
        <f t="shared" si="1018"/>
        <v>0</v>
      </c>
      <c r="MH82" s="14">
        <f xml:space="preserve"> IF( NOT(EXACT(MH27,"LVC_APPLIED_E")), 1, 0)</f>
        <v>1</v>
      </c>
      <c r="MN82" s="14">
        <f xml:space="preserve"> IF( NOT(EXACT(MN27,"LVC_APPLIED_E")), 1, 0)</f>
        <v>0</v>
      </c>
      <c r="MO82" s="14">
        <f xml:space="preserve"> IF( NOT(EXACT(MO27,"LVC_APPLIED_E")), 1, 0)</f>
        <v>0</v>
      </c>
      <c r="MP82" s="14">
        <f xml:space="preserve"> IF( NOT(EXACT(MP27,"LVC_APPLIED_E")), 1, 0)</f>
        <v>0</v>
      </c>
      <c r="MQ82" s="14">
        <f xml:space="preserve"> IF( NOT(EXACT(MQ27,"LVC_APPLIED_E")), 1, 0)</f>
        <v>0</v>
      </c>
      <c r="MR82" s="14">
        <f xml:space="preserve"> IF( NOT(EXACT(MR27,"LVC_APPLIED_E")), 1, 0)</f>
        <v>0</v>
      </c>
      <c r="MX82" s="14">
        <f xml:space="preserve"> IF( NOT(EXACT(MX27,"LVC_APPLIED_E")), 1, 0)</f>
        <v>0</v>
      </c>
      <c r="MY82" s="14">
        <f xml:space="preserve"> IF( NOT(EXACT(MY27,"LVC_APPLIED_E")), 1, 0)</f>
        <v>0</v>
      </c>
      <c r="MZ82" s="14">
        <f xml:space="preserve"> IF( NOT(EXACT(MZ27,"LVC_APPLIED_E")), 1, 0)</f>
        <v>0</v>
      </c>
      <c r="NA82" s="14">
        <f xml:space="preserve"> IF( NOT(EXACT(NA27,"LVC_APPLIED_E")), 1, 0)</f>
        <v>0</v>
      </c>
      <c r="NB82" s="14">
        <f xml:space="preserve"> IF( NOT(EXACT(NB27,"LVC_APPLIED_E")), 1, 0)</f>
        <v>0</v>
      </c>
      <c r="NH82" s="14">
        <f t="shared" ref="NH82:NM82" si="1019" xml:space="preserve"> IF( NOT(EXACT(NH27,"LVC_APPLIED_E")), 1, 0)</f>
        <v>0</v>
      </c>
      <c r="NI82" s="14">
        <f t="shared" si="1019"/>
        <v>0</v>
      </c>
      <c r="NJ82" s="14">
        <f t="shared" si="1019"/>
        <v>0</v>
      </c>
      <c r="NK82" s="14">
        <f t="shared" si="1019"/>
        <v>0</v>
      </c>
      <c r="NL82" s="14">
        <f t="shared" si="1019"/>
        <v>0</v>
      </c>
      <c r="NM82" s="14">
        <f t="shared" si="1019"/>
        <v>0</v>
      </c>
      <c r="NQ82" s="14">
        <f xml:space="preserve"> IF( NOT(EXACT(NQ27,"LVC_APPLIED_E")), 1, 0)</f>
        <v>0</v>
      </c>
      <c r="NR82" s="14">
        <f xml:space="preserve"> IF( NOT(EXACT(NR27,"LVC_APPLIED_E")), 1, 0)</f>
        <v>0</v>
      </c>
      <c r="RZ82" s="14">
        <v>8</v>
      </c>
      <c r="SA82" s="14">
        <f xml:space="preserve"> IF( NOT(EXACT(SA27,"LVC_APPLIED_E")), 1, 0)</f>
        <v>0</v>
      </c>
      <c r="WC82" s="14">
        <f xml:space="preserve"> IF( NOT(EXACT(WC27,"LVC_APPLIED_E")), 1, 0)</f>
        <v>0</v>
      </c>
      <c r="AAT82" s="14">
        <f xml:space="preserve"> IF( NOT(EXACT(AAT27,"LVC_APPLIED_E")), 1, 0)</f>
        <v>0</v>
      </c>
      <c r="ABF82" s="14">
        <f xml:space="preserve"> IF( NOT(EXACT(ABF27,"LVC_APPLIED_E")), 1, 0)</f>
        <v>0</v>
      </c>
      <c r="ADP82" s="14">
        <f xml:space="preserve"> IF( NOT(EXACT(ADP27,"LVC_APPLIED_E")), 1, 0)</f>
        <v>0</v>
      </c>
      <c r="AKP82" s="14">
        <v>8</v>
      </c>
      <c r="AKQ82" s="14">
        <f xml:space="preserve"> IF( NOT(EXACT(AKQ27,"LVC_APPLIED_E")), 1, 0)</f>
        <v>0</v>
      </c>
      <c r="ALF82" s="14">
        <f xml:space="preserve"> IF( NOT(EXACT(ALF27,"LVC_APPLIED_E")), 1, 0)</f>
        <v>0</v>
      </c>
      <c r="ALU82" s="14">
        <f xml:space="preserve"> IF( NOT(EXACT(ALU27,"LVC_APPLIED_E")), 1, 0)</f>
        <v>0</v>
      </c>
    </row>
    <row r="83" spans="1:1009" ht="15" customHeight="1" x14ac:dyDescent="0.25">
      <c r="IR83">
        <v>4</v>
      </c>
      <c r="IS83" s="14">
        <f t="shared" ref="IS83:JX83" si="1020" xml:space="preserve"> IF( NOT(EXACT(IS26,"LVC_REQ_ENGAGE_E")), 1, 0)</f>
        <v>1</v>
      </c>
      <c r="IT83" s="14">
        <f t="shared" si="1020"/>
        <v>0</v>
      </c>
      <c r="IU83" s="14">
        <f t="shared" si="1020"/>
        <v>0</v>
      </c>
      <c r="IV83" s="14">
        <f t="shared" si="1020"/>
        <v>0</v>
      </c>
      <c r="IW83" s="14">
        <f t="shared" si="1020"/>
        <v>0</v>
      </c>
      <c r="IX83" s="14">
        <f t="shared" si="1020"/>
        <v>1</v>
      </c>
      <c r="IY83" s="14">
        <f t="shared" si="1020"/>
        <v>1</v>
      </c>
      <c r="IZ83" s="14">
        <f t="shared" si="1020"/>
        <v>1</v>
      </c>
      <c r="JA83" s="14">
        <f t="shared" si="1020"/>
        <v>1</v>
      </c>
      <c r="JB83" s="14">
        <f t="shared" si="1020"/>
        <v>1</v>
      </c>
      <c r="JC83" s="14">
        <f t="shared" si="1020"/>
        <v>1</v>
      </c>
      <c r="JD83" s="14">
        <f t="shared" si="1020"/>
        <v>1</v>
      </c>
      <c r="JE83" s="14">
        <f t="shared" si="1020"/>
        <v>1</v>
      </c>
      <c r="JF83" s="14">
        <f t="shared" si="1020"/>
        <v>1</v>
      </c>
      <c r="JG83" s="14">
        <f t="shared" si="1020"/>
        <v>1</v>
      </c>
      <c r="JH83" s="14">
        <f t="shared" si="1020"/>
        <v>0</v>
      </c>
      <c r="JI83" s="14">
        <f t="shared" si="1020"/>
        <v>0</v>
      </c>
      <c r="JJ83" s="14">
        <f t="shared" si="1020"/>
        <v>0</v>
      </c>
      <c r="JK83" s="14">
        <f t="shared" si="1020"/>
        <v>0</v>
      </c>
      <c r="JL83" s="14">
        <f t="shared" si="1020"/>
        <v>0</v>
      </c>
      <c r="JM83" s="14">
        <f t="shared" si="1020"/>
        <v>0</v>
      </c>
      <c r="JN83" s="14">
        <f t="shared" si="1020"/>
        <v>0</v>
      </c>
      <c r="JO83" s="14">
        <f t="shared" si="1020"/>
        <v>0</v>
      </c>
      <c r="JP83" s="14">
        <f t="shared" si="1020"/>
        <v>0</v>
      </c>
      <c r="JQ83" s="14">
        <f t="shared" si="1020"/>
        <v>0</v>
      </c>
      <c r="JR83" s="14">
        <f t="shared" si="1020"/>
        <v>0</v>
      </c>
      <c r="JS83" s="14">
        <f t="shared" si="1020"/>
        <v>0</v>
      </c>
      <c r="JT83" s="14">
        <f t="shared" si="1020"/>
        <v>1</v>
      </c>
      <c r="JU83" s="14">
        <f t="shared" si="1020"/>
        <v>1</v>
      </c>
      <c r="JV83" s="14">
        <f t="shared" si="1020"/>
        <v>1</v>
      </c>
      <c r="JW83" s="14">
        <f t="shared" si="1020"/>
        <v>0</v>
      </c>
      <c r="JX83" s="14">
        <f t="shared" si="1020"/>
        <v>0</v>
      </c>
      <c r="JY83" s="14">
        <f t="shared" ref="JY83:LD83" si="1021" xml:space="preserve"> IF( NOT(EXACT(JY26,"LVC_REQ_ENGAGE_E")), 1, 0)</f>
        <v>0</v>
      </c>
      <c r="JZ83" s="14">
        <f t="shared" si="1021"/>
        <v>0</v>
      </c>
      <c r="KA83" s="14">
        <f t="shared" si="1021"/>
        <v>0</v>
      </c>
      <c r="KB83" s="14">
        <f t="shared" si="1021"/>
        <v>0</v>
      </c>
      <c r="KC83" s="14">
        <f t="shared" si="1021"/>
        <v>0</v>
      </c>
      <c r="KD83" s="14">
        <f t="shared" si="1021"/>
        <v>0</v>
      </c>
      <c r="KE83" s="14">
        <f t="shared" si="1021"/>
        <v>0</v>
      </c>
      <c r="KF83" s="14">
        <f t="shared" si="1021"/>
        <v>0</v>
      </c>
      <c r="KG83" s="14">
        <f t="shared" si="1021"/>
        <v>0</v>
      </c>
      <c r="KH83" s="14">
        <f t="shared" si="1021"/>
        <v>0</v>
      </c>
      <c r="KI83" s="14">
        <f t="shared" si="1021"/>
        <v>0</v>
      </c>
      <c r="KJ83" s="14">
        <f t="shared" si="1021"/>
        <v>0</v>
      </c>
      <c r="KK83" s="14">
        <f t="shared" si="1021"/>
        <v>0</v>
      </c>
      <c r="KL83" s="14">
        <f t="shared" si="1021"/>
        <v>0</v>
      </c>
      <c r="KM83" s="14">
        <f t="shared" si="1021"/>
        <v>0</v>
      </c>
      <c r="KN83" s="14">
        <f t="shared" si="1021"/>
        <v>0</v>
      </c>
      <c r="KO83" s="14">
        <f t="shared" si="1021"/>
        <v>0</v>
      </c>
      <c r="KP83" s="14">
        <f t="shared" si="1021"/>
        <v>0</v>
      </c>
      <c r="KQ83" s="14">
        <f t="shared" si="1021"/>
        <v>0</v>
      </c>
      <c r="KR83" s="14">
        <f t="shared" si="1021"/>
        <v>0</v>
      </c>
      <c r="KS83" s="14">
        <f t="shared" si="1021"/>
        <v>0</v>
      </c>
      <c r="KT83" s="14">
        <f t="shared" si="1021"/>
        <v>0</v>
      </c>
      <c r="KU83" s="14">
        <f t="shared" si="1021"/>
        <v>0</v>
      </c>
      <c r="KV83" s="14">
        <f t="shared" si="1021"/>
        <v>0</v>
      </c>
      <c r="KW83" s="14">
        <f t="shared" si="1021"/>
        <v>0</v>
      </c>
      <c r="KX83" s="14">
        <f t="shared" si="1021"/>
        <v>0</v>
      </c>
      <c r="KY83" s="14">
        <f t="shared" si="1021"/>
        <v>0</v>
      </c>
      <c r="KZ83" s="14">
        <f t="shared" si="1021"/>
        <v>0</v>
      </c>
      <c r="LA83" s="14">
        <f t="shared" si="1021"/>
        <v>0</v>
      </c>
      <c r="LB83" s="14">
        <f t="shared" si="1021"/>
        <v>0</v>
      </c>
      <c r="LC83" s="14">
        <f t="shared" si="1021"/>
        <v>0</v>
      </c>
      <c r="LD83" s="14">
        <f t="shared" si="1021"/>
        <v>0</v>
      </c>
      <c r="LE83" s="14">
        <f t="shared" ref="LE83:ME83" si="1022" xml:space="preserve"> IF( NOT(EXACT(LE26,"LVC_REQ_ENGAGE_E")), 1, 0)</f>
        <v>0</v>
      </c>
      <c r="LF83" s="14">
        <f t="shared" si="1022"/>
        <v>0</v>
      </c>
      <c r="LG83" s="14">
        <f t="shared" si="1022"/>
        <v>0</v>
      </c>
      <c r="LH83" s="14">
        <f t="shared" si="1022"/>
        <v>0</v>
      </c>
      <c r="LI83" s="14">
        <f t="shared" si="1022"/>
        <v>0</v>
      </c>
      <c r="LJ83" s="14">
        <f t="shared" si="1022"/>
        <v>0</v>
      </c>
      <c r="LK83" s="14">
        <f t="shared" si="1022"/>
        <v>1</v>
      </c>
      <c r="LL83" s="14">
        <f t="shared" si="1022"/>
        <v>1</v>
      </c>
      <c r="LM83" s="14">
        <f t="shared" si="1022"/>
        <v>1</v>
      </c>
      <c r="LN83" s="14">
        <f t="shared" si="1022"/>
        <v>1</v>
      </c>
      <c r="LO83" s="14">
        <f t="shared" si="1022"/>
        <v>1</v>
      </c>
      <c r="LP83" s="14">
        <f t="shared" si="1022"/>
        <v>1</v>
      </c>
      <c r="LQ83" s="14">
        <f t="shared" si="1022"/>
        <v>1</v>
      </c>
      <c r="LR83" s="14">
        <f t="shared" si="1022"/>
        <v>1</v>
      </c>
      <c r="LS83" s="14">
        <f t="shared" si="1022"/>
        <v>1</v>
      </c>
      <c r="LT83" s="14">
        <f t="shared" si="1022"/>
        <v>1</v>
      </c>
      <c r="LU83" s="14">
        <f t="shared" si="1022"/>
        <v>1</v>
      </c>
      <c r="LV83" s="14">
        <f t="shared" si="1022"/>
        <v>0</v>
      </c>
      <c r="LW83" s="14">
        <f t="shared" si="1022"/>
        <v>1</v>
      </c>
      <c r="LX83" s="14">
        <f t="shared" si="1022"/>
        <v>0</v>
      </c>
      <c r="LY83" s="14">
        <f t="shared" si="1022"/>
        <v>1</v>
      </c>
      <c r="LZ83" s="14">
        <f t="shared" si="1022"/>
        <v>1</v>
      </c>
      <c r="MA83" s="14">
        <f t="shared" si="1022"/>
        <v>1</v>
      </c>
      <c r="MB83" s="14">
        <f t="shared" si="1022"/>
        <v>1</v>
      </c>
      <c r="MC83" s="14">
        <f t="shared" si="1022"/>
        <v>1</v>
      </c>
      <c r="MD83" s="14">
        <f t="shared" si="1022"/>
        <v>1</v>
      </c>
      <c r="ME83" s="14">
        <f t="shared" si="1022"/>
        <v>0</v>
      </c>
      <c r="MH83" s="14">
        <f xml:space="preserve"> IF( NOT(EXACT(MH26,"LVC_REQ_ENGAGE_E")), 1, 0)</f>
        <v>1</v>
      </c>
      <c r="MN83" s="14">
        <f xml:space="preserve"> IF( NOT(EXACT(MN26,"LVC_REQ_ENGAGE_E")), 1, 0)</f>
        <v>0</v>
      </c>
      <c r="MO83" s="14">
        <f xml:space="preserve"> IF( NOT(EXACT(MO26,"LVC_REQ_ENGAGE_E")), 1, 0)</f>
        <v>0</v>
      </c>
      <c r="MP83" s="14">
        <f xml:space="preserve"> IF( NOT(EXACT(MP26,"LVC_REQ_ENGAGE_E")), 1, 0)</f>
        <v>0</v>
      </c>
      <c r="MQ83" s="14">
        <f xml:space="preserve"> IF( NOT(EXACT(MQ26,"LVC_REQ_ENGAGE_E")), 1, 0)</f>
        <v>0</v>
      </c>
      <c r="MR83" s="14">
        <f xml:space="preserve"> IF( NOT(EXACT(MR26,"LVC_REQ_ENGAGE_E")), 1, 0)</f>
        <v>0</v>
      </c>
      <c r="MX83" s="14">
        <f xml:space="preserve"> IF( NOT(EXACT(MX26,"LVC_REQ_ENGAGE_E")), 1, 0)</f>
        <v>0</v>
      </c>
      <c r="MY83" s="14">
        <f xml:space="preserve"> IF( NOT(EXACT(MY26,"LVC_REQ_ENGAGE_E")), 1, 0)</f>
        <v>0</v>
      </c>
      <c r="MZ83" s="14">
        <f xml:space="preserve"> IF( NOT(EXACT(MZ26,"LVC_REQ_ENGAGE_E")), 1, 0)</f>
        <v>0</v>
      </c>
      <c r="NA83" s="14">
        <f xml:space="preserve"> IF( NOT(EXACT(NA26,"LVC_REQ_ENGAGE_E")), 1, 0)</f>
        <v>0</v>
      </c>
      <c r="NB83" s="14">
        <f xml:space="preserve"> IF( NOT(EXACT(NB26,"LVC_REQ_ENGAGE_E")), 1, 0)</f>
        <v>0</v>
      </c>
      <c r="NH83" s="14">
        <f t="shared" ref="NH83:NM83" si="1023" xml:space="preserve"> IF( NOT(EXACT(NH26,"LVC_REQ_ENGAGE_E")), 1, 0)</f>
        <v>0</v>
      </c>
      <c r="NI83" s="14">
        <f t="shared" si="1023"/>
        <v>0</v>
      </c>
      <c r="NJ83" s="14">
        <f t="shared" si="1023"/>
        <v>0</v>
      </c>
      <c r="NK83" s="14">
        <f t="shared" si="1023"/>
        <v>0</v>
      </c>
      <c r="NL83" s="14">
        <f t="shared" si="1023"/>
        <v>0</v>
      </c>
      <c r="NM83" s="14">
        <f t="shared" si="1023"/>
        <v>0</v>
      </c>
      <c r="NQ83" s="14">
        <f xml:space="preserve"> IF( NOT(EXACT(NQ26,"LVC_REQ_ENGAGE_E")), 1, 0)</f>
        <v>0</v>
      </c>
      <c r="NR83" s="14">
        <f xml:space="preserve"> IF( NOT(EXACT(NR26,"LVC_REQ_ENGAGE_E")), 1, 0)</f>
        <v>0</v>
      </c>
      <c r="RZ83" s="14">
        <v>4</v>
      </c>
      <c r="SA83" s="14">
        <f xml:space="preserve"> IF( NOT(EXACT(SA26,"LVC_REQ_ENGAGE_E")), 1, 0)</f>
        <v>0</v>
      </c>
      <c r="WC83" s="14">
        <f xml:space="preserve"> IF( NOT(EXACT(WC26,"LVC_REQ_ENGAGE_E")), 1, 0)</f>
        <v>0</v>
      </c>
      <c r="AAT83" s="14">
        <f xml:space="preserve"> IF( NOT(EXACT(AAT26,"LVC_REQ_ENGAGE_E")), 1, 0)</f>
        <v>0</v>
      </c>
      <c r="ABF83" s="14">
        <f xml:space="preserve"> IF( NOT(EXACT(ABF26,"LVC_REQ_ENGAGE_E")), 1, 0)</f>
        <v>0</v>
      </c>
      <c r="ADP83" s="14">
        <f xml:space="preserve"> IF( NOT(EXACT(ADP26,"LVC_REQ_ENGAGE_E")), 1, 0)</f>
        <v>0</v>
      </c>
      <c r="AKP83" s="14">
        <v>4</v>
      </c>
      <c r="AKQ83" s="14">
        <f xml:space="preserve"> IF( NOT(EXACT(AKQ26,"LVC_REQ_ENGAGE_E")), 1, 0)</f>
        <v>0</v>
      </c>
      <c r="ALF83" s="14">
        <f xml:space="preserve"> IF( NOT(EXACT(ALF26,"LVC_REQ_ENGAGE_E")), 1, 0)</f>
        <v>0</v>
      </c>
      <c r="ALU83" s="14">
        <f xml:space="preserve"> IF( NOT(EXACT(ALU26,"LVC_REQ_ENGAGE_E")), 1, 0)</f>
        <v>0</v>
      </c>
    </row>
    <row r="84" spans="1:1009" ht="15" customHeight="1" x14ac:dyDescent="0.25">
      <c r="IR84">
        <v>2</v>
      </c>
      <c r="IS84" s="14">
        <f t="shared" ref="IS84:JX84" si="1024" xml:space="preserve"> IF( NOT(EXACT(IS25,"LVC_NEUTRAL_E")), 1, 0)</f>
        <v>1</v>
      </c>
      <c r="IT84">
        <f t="shared" si="1024"/>
        <v>0</v>
      </c>
      <c r="IU84" s="14">
        <f t="shared" si="1024"/>
        <v>0</v>
      </c>
      <c r="IV84" s="14">
        <f t="shared" si="1024"/>
        <v>0</v>
      </c>
      <c r="IW84" s="14">
        <f t="shared" si="1024"/>
        <v>0</v>
      </c>
      <c r="IX84" s="14">
        <f t="shared" si="1024"/>
        <v>0</v>
      </c>
      <c r="IY84" s="14">
        <f t="shared" si="1024"/>
        <v>0</v>
      </c>
      <c r="IZ84" s="14">
        <f t="shared" si="1024"/>
        <v>0</v>
      </c>
      <c r="JA84" s="14">
        <f t="shared" si="1024"/>
        <v>1</v>
      </c>
      <c r="JB84" s="14">
        <f t="shared" si="1024"/>
        <v>1</v>
      </c>
      <c r="JC84" s="14">
        <f t="shared" si="1024"/>
        <v>1</v>
      </c>
      <c r="JD84" s="14">
        <f t="shared" si="1024"/>
        <v>0</v>
      </c>
      <c r="JE84" s="14">
        <f t="shared" si="1024"/>
        <v>0</v>
      </c>
      <c r="JF84" s="14">
        <f t="shared" si="1024"/>
        <v>0</v>
      </c>
      <c r="JG84" s="14">
        <f t="shared" si="1024"/>
        <v>0</v>
      </c>
      <c r="JH84" s="14">
        <f t="shared" si="1024"/>
        <v>0</v>
      </c>
      <c r="JI84" s="14">
        <f t="shared" si="1024"/>
        <v>0</v>
      </c>
      <c r="JJ84" s="14">
        <f t="shared" si="1024"/>
        <v>0</v>
      </c>
      <c r="JK84" s="14">
        <f t="shared" si="1024"/>
        <v>0</v>
      </c>
      <c r="JL84" s="14">
        <f t="shared" si="1024"/>
        <v>0</v>
      </c>
      <c r="JM84" s="14">
        <f t="shared" si="1024"/>
        <v>0</v>
      </c>
      <c r="JN84" s="14">
        <f t="shared" si="1024"/>
        <v>1</v>
      </c>
      <c r="JO84" s="14">
        <f t="shared" si="1024"/>
        <v>1</v>
      </c>
      <c r="JP84" s="14">
        <f t="shared" si="1024"/>
        <v>1</v>
      </c>
      <c r="JQ84" s="14">
        <f t="shared" si="1024"/>
        <v>0</v>
      </c>
      <c r="JR84" s="14">
        <f t="shared" si="1024"/>
        <v>0</v>
      </c>
      <c r="JS84" s="14">
        <f t="shared" si="1024"/>
        <v>0</v>
      </c>
      <c r="JT84" s="14">
        <f t="shared" si="1024"/>
        <v>0</v>
      </c>
      <c r="JU84" s="14">
        <f t="shared" si="1024"/>
        <v>0</v>
      </c>
      <c r="JV84" s="14">
        <f t="shared" si="1024"/>
        <v>0</v>
      </c>
      <c r="JW84" s="14">
        <f t="shared" si="1024"/>
        <v>0</v>
      </c>
      <c r="JX84" s="14">
        <f t="shared" si="1024"/>
        <v>0</v>
      </c>
      <c r="JY84" s="14">
        <f t="shared" ref="JY84:LD84" si="1025" xml:space="preserve"> IF( NOT(EXACT(JY25,"LVC_NEUTRAL_E")), 1, 0)</f>
        <v>0</v>
      </c>
      <c r="JZ84" s="14">
        <f t="shared" si="1025"/>
        <v>0</v>
      </c>
      <c r="KA84" s="14">
        <f t="shared" si="1025"/>
        <v>0</v>
      </c>
      <c r="KB84" s="14">
        <f t="shared" si="1025"/>
        <v>0</v>
      </c>
      <c r="KC84" s="14">
        <f t="shared" si="1025"/>
        <v>0</v>
      </c>
      <c r="KD84" s="14">
        <f t="shared" si="1025"/>
        <v>0</v>
      </c>
      <c r="KE84" s="14">
        <f t="shared" si="1025"/>
        <v>0</v>
      </c>
      <c r="KF84" s="14">
        <f t="shared" si="1025"/>
        <v>0</v>
      </c>
      <c r="KG84" s="14">
        <f t="shared" si="1025"/>
        <v>0</v>
      </c>
      <c r="KH84" s="14">
        <f t="shared" si="1025"/>
        <v>0</v>
      </c>
      <c r="KI84" s="14">
        <f t="shared" si="1025"/>
        <v>0</v>
      </c>
      <c r="KJ84" s="14">
        <f t="shared" si="1025"/>
        <v>0</v>
      </c>
      <c r="KK84" s="14">
        <f t="shared" si="1025"/>
        <v>0</v>
      </c>
      <c r="KL84" s="14">
        <f t="shared" si="1025"/>
        <v>0</v>
      </c>
      <c r="KM84" s="14">
        <f t="shared" si="1025"/>
        <v>0</v>
      </c>
      <c r="KN84" s="14">
        <f t="shared" si="1025"/>
        <v>0</v>
      </c>
      <c r="KO84" s="14">
        <f t="shared" si="1025"/>
        <v>0</v>
      </c>
      <c r="KP84" s="14">
        <f t="shared" si="1025"/>
        <v>0</v>
      </c>
      <c r="KQ84" s="14">
        <f t="shared" si="1025"/>
        <v>0</v>
      </c>
      <c r="KR84" s="14">
        <f t="shared" si="1025"/>
        <v>0</v>
      </c>
      <c r="KS84" s="14">
        <f t="shared" si="1025"/>
        <v>0</v>
      </c>
      <c r="KT84" s="14">
        <f t="shared" si="1025"/>
        <v>0</v>
      </c>
      <c r="KU84" s="14">
        <f t="shared" si="1025"/>
        <v>0</v>
      </c>
      <c r="KV84" s="14">
        <f t="shared" si="1025"/>
        <v>0</v>
      </c>
      <c r="KW84" s="14">
        <f t="shared" si="1025"/>
        <v>0</v>
      </c>
      <c r="KX84" s="14">
        <f t="shared" si="1025"/>
        <v>0</v>
      </c>
      <c r="KY84" s="14">
        <f t="shared" si="1025"/>
        <v>1</v>
      </c>
      <c r="KZ84" s="14">
        <f t="shared" si="1025"/>
        <v>1</v>
      </c>
      <c r="LA84" s="14">
        <f t="shared" si="1025"/>
        <v>1</v>
      </c>
      <c r="LB84" s="14">
        <f t="shared" si="1025"/>
        <v>1</v>
      </c>
      <c r="LC84" s="14">
        <f t="shared" si="1025"/>
        <v>1</v>
      </c>
      <c r="LD84" s="14">
        <f t="shared" si="1025"/>
        <v>1</v>
      </c>
      <c r="LE84" s="14">
        <f t="shared" ref="LE84:ME84" si="1026" xml:space="preserve"> IF( NOT(EXACT(LE25,"LVC_NEUTRAL_E")), 1, 0)</f>
        <v>0</v>
      </c>
      <c r="LF84" s="14">
        <f t="shared" si="1026"/>
        <v>0</v>
      </c>
      <c r="LG84" s="14">
        <f t="shared" si="1026"/>
        <v>0</v>
      </c>
      <c r="LH84" s="14">
        <f t="shared" si="1026"/>
        <v>0</v>
      </c>
      <c r="LI84" s="14">
        <f t="shared" si="1026"/>
        <v>0</v>
      </c>
      <c r="LJ84" s="14">
        <f t="shared" si="1026"/>
        <v>0</v>
      </c>
      <c r="LK84" s="14">
        <f t="shared" si="1026"/>
        <v>0</v>
      </c>
      <c r="LL84" s="14">
        <f t="shared" si="1026"/>
        <v>0</v>
      </c>
      <c r="LM84" s="14">
        <f t="shared" si="1026"/>
        <v>0</v>
      </c>
      <c r="LN84" s="14">
        <f t="shared" si="1026"/>
        <v>0</v>
      </c>
      <c r="LO84" s="14">
        <f t="shared" si="1026"/>
        <v>0</v>
      </c>
      <c r="LP84" s="14">
        <f t="shared" si="1026"/>
        <v>0</v>
      </c>
      <c r="LQ84" s="14">
        <f t="shared" si="1026"/>
        <v>1</v>
      </c>
      <c r="LR84" s="14">
        <f t="shared" si="1026"/>
        <v>0</v>
      </c>
      <c r="LS84" s="14">
        <f t="shared" si="1026"/>
        <v>1</v>
      </c>
      <c r="LT84" s="14">
        <f t="shared" si="1026"/>
        <v>1</v>
      </c>
      <c r="LU84" s="14">
        <f t="shared" si="1026"/>
        <v>1</v>
      </c>
      <c r="LV84" s="14">
        <f t="shared" si="1026"/>
        <v>0</v>
      </c>
      <c r="LW84" s="14">
        <f t="shared" si="1026"/>
        <v>1</v>
      </c>
      <c r="LX84" s="14">
        <f t="shared" si="1026"/>
        <v>0</v>
      </c>
      <c r="LY84" s="14">
        <f t="shared" si="1026"/>
        <v>1</v>
      </c>
      <c r="LZ84" s="14">
        <f t="shared" si="1026"/>
        <v>1</v>
      </c>
      <c r="MA84" s="14">
        <f t="shared" si="1026"/>
        <v>1</v>
      </c>
      <c r="MB84" s="14">
        <f t="shared" si="1026"/>
        <v>1</v>
      </c>
      <c r="MC84" s="14">
        <f t="shared" si="1026"/>
        <v>1</v>
      </c>
      <c r="MD84" s="14">
        <f t="shared" si="1026"/>
        <v>1</v>
      </c>
      <c r="ME84" s="14">
        <f t="shared" si="1026"/>
        <v>0</v>
      </c>
      <c r="MH84" s="14">
        <f xml:space="preserve"> IF( NOT(EXACT(MH25,"LVC_NEUTRAL_E")), 1, 0)</f>
        <v>1</v>
      </c>
      <c r="MN84" s="14">
        <f xml:space="preserve"> IF( NOT(EXACT(MN25,"LVC_NEUTRAL_E")), 1, 0)</f>
        <v>0</v>
      </c>
      <c r="MO84" s="14">
        <f xml:space="preserve"> IF( NOT(EXACT(MO25,"LVC_NEUTRAL_E")), 1, 0)</f>
        <v>0</v>
      </c>
      <c r="MP84" s="14">
        <f xml:space="preserve"> IF( NOT(EXACT(MP25,"LVC_NEUTRAL_E")), 1, 0)</f>
        <v>0</v>
      </c>
      <c r="MQ84" s="14">
        <f xml:space="preserve"> IF( NOT(EXACT(MQ25,"LVC_NEUTRAL_E")), 1, 0)</f>
        <v>0</v>
      </c>
      <c r="MR84" s="14">
        <f xml:space="preserve"> IF( NOT(EXACT(MR25,"LVC_NEUTRAL_E")), 1, 0)</f>
        <v>0</v>
      </c>
      <c r="MX84" s="14">
        <f xml:space="preserve"> IF( NOT(EXACT(MX25,"LVC_NEUTRAL_E")), 1, 0)</f>
        <v>0</v>
      </c>
      <c r="MY84" s="14">
        <f xml:space="preserve"> IF( NOT(EXACT(MY25,"LVC_NEUTRAL_E")), 1, 0)</f>
        <v>0</v>
      </c>
      <c r="MZ84" s="14">
        <f xml:space="preserve"> IF( NOT(EXACT(MZ25,"LVC_NEUTRAL_E")), 1, 0)</f>
        <v>0</v>
      </c>
      <c r="NA84" s="14">
        <f xml:space="preserve"> IF( NOT(EXACT(NA25,"LVC_NEUTRAL_E")), 1, 0)</f>
        <v>0</v>
      </c>
      <c r="NB84" s="14">
        <f xml:space="preserve"> IF( NOT(EXACT(NB25,"LVC_NEUTRAL_E")), 1, 0)</f>
        <v>0</v>
      </c>
      <c r="NH84" s="14">
        <f t="shared" ref="NH84:NM84" si="1027" xml:space="preserve"> IF( NOT(EXACT(NH25,"LVC_NEUTRAL_E")), 1, 0)</f>
        <v>0</v>
      </c>
      <c r="NI84" s="14">
        <f t="shared" si="1027"/>
        <v>0</v>
      </c>
      <c r="NJ84" s="14">
        <f t="shared" si="1027"/>
        <v>0</v>
      </c>
      <c r="NK84" s="14">
        <f t="shared" si="1027"/>
        <v>0</v>
      </c>
      <c r="NL84" s="14">
        <f t="shared" si="1027"/>
        <v>0</v>
      </c>
      <c r="NM84" s="14">
        <f t="shared" si="1027"/>
        <v>0</v>
      </c>
      <c r="NQ84" s="14">
        <f xml:space="preserve"> IF( NOT(EXACT(NQ25,"LVC_NEUTRAL_E")), 1, 0)</f>
        <v>0</v>
      </c>
      <c r="NR84" s="14">
        <f xml:space="preserve"> IF( NOT(EXACT(NR25,"LVC_NEUTRAL_E")), 1, 0)</f>
        <v>0</v>
      </c>
      <c r="RZ84" s="14">
        <v>2</v>
      </c>
      <c r="SA84" s="14">
        <f xml:space="preserve"> IF( NOT(EXACT(SA25,"LVC_NEUTRAL_E")), 1, 0)</f>
        <v>0</v>
      </c>
      <c r="WC84" s="14">
        <f xml:space="preserve"> IF( NOT(EXACT(WC25,"LVC_NEUTRAL_E")), 1, 0)</f>
        <v>0</v>
      </c>
      <c r="AAT84" s="14">
        <f xml:space="preserve"> IF( NOT(EXACT(AAT25,"LVC_NEUTRAL_E")), 1, 0)</f>
        <v>0</v>
      </c>
      <c r="ABF84" s="14">
        <f xml:space="preserve"> IF( NOT(EXACT(ABF25,"LVC_NEUTRAL_E")), 1, 0)</f>
        <v>0</v>
      </c>
      <c r="ADP84" s="14">
        <f xml:space="preserve"> IF( NOT(EXACT(ADP25,"LVC_NEUTRAL_E")), 1, 0)</f>
        <v>0</v>
      </c>
      <c r="AKP84" s="14">
        <v>2</v>
      </c>
      <c r="AKQ84" s="14">
        <f xml:space="preserve"> IF( NOT(EXACT(AKQ25,"LVC_NEUTRAL_E")), 1, 0)</f>
        <v>0</v>
      </c>
      <c r="ALF84" s="14">
        <f xml:space="preserve"> IF( NOT(EXACT(ALF25,"LVC_NEUTRAL_E")), 1, 0)</f>
        <v>0</v>
      </c>
      <c r="ALU84" s="14">
        <f xml:space="preserve"> IF( NOT(EXACT(ALU25,"LVC_NEUTRAL_E")), 1, 0)</f>
        <v>0</v>
      </c>
    </row>
    <row r="85" spans="1:1009" ht="15" customHeight="1" x14ac:dyDescent="0.25">
      <c r="IR85">
        <v>1</v>
      </c>
      <c r="IS85" s="14">
        <f t="shared" ref="IS85:JX85" si="1028">IF( (IS57=0), 1, 0)</f>
        <v>1</v>
      </c>
      <c r="IT85" s="14">
        <f t="shared" si="1028"/>
        <v>0</v>
      </c>
      <c r="IU85" s="14">
        <f t="shared" si="1028"/>
        <v>0</v>
      </c>
      <c r="IV85" s="14">
        <f t="shared" si="1028"/>
        <v>0</v>
      </c>
      <c r="IW85" s="14">
        <f t="shared" si="1028"/>
        <v>0</v>
      </c>
      <c r="IX85" s="14">
        <f t="shared" si="1028"/>
        <v>0</v>
      </c>
      <c r="IY85" s="14">
        <f t="shared" si="1028"/>
        <v>0</v>
      </c>
      <c r="IZ85" s="14">
        <f t="shared" si="1028"/>
        <v>0</v>
      </c>
      <c r="JA85" s="14">
        <f t="shared" si="1028"/>
        <v>0</v>
      </c>
      <c r="JB85" s="14">
        <f t="shared" si="1028"/>
        <v>0</v>
      </c>
      <c r="JC85" s="14">
        <f t="shared" si="1028"/>
        <v>0</v>
      </c>
      <c r="JD85" s="14">
        <f t="shared" si="1028"/>
        <v>1</v>
      </c>
      <c r="JE85" s="14">
        <f t="shared" si="1028"/>
        <v>0</v>
      </c>
      <c r="JF85" s="14">
        <f t="shared" si="1028"/>
        <v>0</v>
      </c>
      <c r="JG85" s="14">
        <f t="shared" si="1028"/>
        <v>0</v>
      </c>
      <c r="JH85" s="14">
        <f t="shared" si="1028"/>
        <v>0</v>
      </c>
      <c r="JI85" s="14">
        <f t="shared" si="1028"/>
        <v>0</v>
      </c>
      <c r="JJ85" s="14">
        <f t="shared" si="1028"/>
        <v>0</v>
      </c>
      <c r="JK85" s="14">
        <f t="shared" si="1028"/>
        <v>0</v>
      </c>
      <c r="JL85" s="14">
        <f t="shared" si="1028"/>
        <v>0</v>
      </c>
      <c r="JM85" s="14">
        <f t="shared" si="1028"/>
        <v>0</v>
      </c>
      <c r="JN85" s="14">
        <f t="shared" si="1028"/>
        <v>0</v>
      </c>
      <c r="JO85" s="14">
        <f t="shared" si="1028"/>
        <v>0</v>
      </c>
      <c r="JP85" s="14">
        <f t="shared" si="1028"/>
        <v>0</v>
      </c>
      <c r="JQ85" s="14">
        <f t="shared" si="1028"/>
        <v>0</v>
      </c>
      <c r="JR85" s="14">
        <f t="shared" si="1028"/>
        <v>0</v>
      </c>
      <c r="JS85" s="14">
        <f t="shared" si="1028"/>
        <v>0</v>
      </c>
      <c r="JT85" s="14">
        <f t="shared" si="1028"/>
        <v>0</v>
      </c>
      <c r="JU85" s="14">
        <f t="shared" si="1028"/>
        <v>0</v>
      </c>
      <c r="JV85" s="14">
        <f t="shared" si="1028"/>
        <v>0</v>
      </c>
      <c r="JW85" s="14">
        <f t="shared" si="1028"/>
        <v>0</v>
      </c>
      <c r="JX85" s="14">
        <f t="shared" si="1028"/>
        <v>0</v>
      </c>
      <c r="JY85" s="14">
        <f t="shared" ref="JY85:LD85" si="1029">IF( (JY57=0), 1, 0)</f>
        <v>0</v>
      </c>
      <c r="JZ85" s="14">
        <f t="shared" si="1029"/>
        <v>0</v>
      </c>
      <c r="KA85" s="14">
        <f t="shared" si="1029"/>
        <v>0</v>
      </c>
      <c r="KB85" s="14">
        <f t="shared" si="1029"/>
        <v>0</v>
      </c>
      <c r="KC85" s="14">
        <f t="shared" si="1029"/>
        <v>0</v>
      </c>
      <c r="KD85" s="14">
        <f t="shared" si="1029"/>
        <v>0</v>
      </c>
      <c r="KE85" s="14">
        <f t="shared" si="1029"/>
        <v>0</v>
      </c>
      <c r="KF85" s="14">
        <f t="shared" si="1029"/>
        <v>0</v>
      </c>
      <c r="KG85" s="14">
        <f t="shared" si="1029"/>
        <v>0</v>
      </c>
      <c r="KH85" s="14">
        <f t="shared" si="1029"/>
        <v>0</v>
      </c>
      <c r="KI85" s="14">
        <f t="shared" si="1029"/>
        <v>0</v>
      </c>
      <c r="KJ85" s="14">
        <f t="shared" si="1029"/>
        <v>0</v>
      </c>
      <c r="KK85" s="14">
        <f t="shared" si="1029"/>
        <v>0</v>
      </c>
      <c r="KL85" s="14">
        <f t="shared" si="1029"/>
        <v>0</v>
      </c>
      <c r="KM85" s="14">
        <f t="shared" si="1029"/>
        <v>0</v>
      </c>
      <c r="KN85" s="14">
        <f t="shared" si="1029"/>
        <v>0</v>
      </c>
      <c r="KO85" s="14">
        <f t="shared" si="1029"/>
        <v>0</v>
      </c>
      <c r="KP85" s="14">
        <f t="shared" si="1029"/>
        <v>0</v>
      </c>
      <c r="KQ85" s="14">
        <f t="shared" si="1029"/>
        <v>0</v>
      </c>
      <c r="KR85" s="14">
        <f t="shared" si="1029"/>
        <v>0</v>
      </c>
      <c r="KS85" s="14">
        <f t="shared" si="1029"/>
        <v>0</v>
      </c>
      <c r="KT85" s="14">
        <f t="shared" si="1029"/>
        <v>0</v>
      </c>
      <c r="KU85" s="14">
        <f t="shared" si="1029"/>
        <v>1</v>
      </c>
      <c r="KV85" s="14">
        <f t="shared" si="1029"/>
        <v>0</v>
      </c>
      <c r="KW85" s="14">
        <f t="shared" si="1029"/>
        <v>0</v>
      </c>
      <c r="KX85" s="14">
        <f t="shared" si="1029"/>
        <v>0</v>
      </c>
      <c r="KY85" s="14">
        <f t="shared" si="1029"/>
        <v>0</v>
      </c>
      <c r="KZ85" s="14">
        <f t="shared" si="1029"/>
        <v>0</v>
      </c>
      <c r="LA85" s="14">
        <f t="shared" si="1029"/>
        <v>0</v>
      </c>
      <c r="LB85" s="14">
        <f t="shared" si="1029"/>
        <v>0</v>
      </c>
      <c r="LC85" s="14">
        <f t="shared" si="1029"/>
        <v>0</v>
      </c>
      <c r="LD85" s="14">
        <f t="shared" si="1029"/>
        <v>0</v>
      </c>
      <c r="LE85" s="14">
        <f t="shared" ref="LE85:ME85" si="1030">IF( (LE57=0), 1, 0)</f>
        <v>0</v>
      </c>
      <c r="LF85" s="14">
        <f t="shared" si="1030"/>
        <v>0</v>
      </c>
      <c r="LG85" s="14">
        <f t="shared" si="1030"/>
        <v>0</v>
      </c>
      <c r="LH85" s="14">
        <f t="shared" si="1030"/>
        <v>0</v>
      </c>
      <c r="LI85" s="14">
        <f t="shared" si="1030"/>
        <v>0</v>
      </c>
      <c r="LJ85" s="14">
        <f t="shared" si="1030"/>
        <v>0</v>
      </c>
      <c r="LK85" s="14">
        <f t="shared" si="1030"/>
        <v>0</v>
      </c>
      <c r="LL85" s="14">
        <f t="shared" si="1030"/>
        <v>0</v>
      </c>
      <c r="LM85" s="14">
        <f t="shared" si="1030"/>
        <v>0</v>
      </c>
      <c r="LN85" s="14">
        <f t="shared" si="1030"/>
        <v>0</v>
      </c>
      <c r="LO85" s="14">
        <f t="shared" si="1030"/>
        <v>0</v>
      </c>
      <c r="LP85" s="14">
        <f t="shared" si="1030"/>
        <v>0</v>
      </c>
      <c r="LQ85" s="14">
        <f t="shared" si="1030"/>
        <v>0</v>
      </c>
      <c r="LR85" s="14">
        <f t="shared" si="1030"/>
        <v>0</v>
      </c>
      <c r="LS85" s="14">
        <f t="shared" si="1030"/>
        <v>0</v>
      </c>
      <c r="LT85" s="14">
        <f t="shared" si="1030"/>
        <v>0</v>
      </c>
      <c r="LU85" s="14">
        <f t="shared" si="1030"/>
        <v>0</v>
      </c>
      <c r="LV85" s="14">
        <f t="shared" si="1030"/>
        <v>0</v>
      </c>
      <c r="LW85" s="14">
        <f t="shared" si="1030"/>
        <v>0</v>
      </c>
      <c r="LX85" s="14">
        <f t="shared" si="1030"/>
        <v>0</v>
      </c>
      <c r="LY85" s="14">
        <f t="shared" si="1030"/>
        <v>0</v>
      </c>
      <c r="LZ85" s="14">
        <f t="shared" si="1030"/>
        <v>0</v>
      </c>
      <c r="MA85" s="14">
        <f t="shared" si="1030"/>
        <v>0</v>
      </c>
      <c r="MB85" s="14">
        <f t="shared" si="1030"/>
        <v>0</v>
      </c>
      <c r="MC85" s="14">
        <f t="shared" si="1030"/>
        <v>0</v>
      </c>
      <c r="MD85" s="14">
        <f t="shared" si="1030"/>
        <v>0</v>
      </c>
      <c r="ME85" s="14">
        <f t="shared" si="1030"/>
        <v>0</v>
      </c>
      <c r="MH85" s="14">
        <f>IF( (MH57=0), 1, 0)</f>
        <v>0</v>
      </c>
      <c r="MN85" s="14">
        <f>IF( (MN57=0), 1, 0)</f>
        <v>0</v>
      </c>
      <c r="MO85" s="14">
        <f>IF( (MO57=0), 1, 0)</f>
        <v>0</v>
      </c>
      <c r="MP85" s="14">
        <f>IF( (MP57=0), 1, 0)</f>
        <v>0</v>
      </c>
      <c r="MQ85" s="14">
        <f>IF( (MQ57=0), 1, 0)</f>
        <v>0</v>
      </c>
      <c r="MR85" s="14">
        <f>IF( (MR57=0), 1, 0)</f>
        <v>0</v>
      </c>
      <c r="MX85" s="14">
        <f>IF( (MX57=0), 1, 0)</f>
        <v>0</v>
      </c>
      <c r="MY85" s="14">
        <f>IF( (MY57=0), 1, 0)</f>
        <v>0</v>
      </c>
      <c r="MZ85" s="14">
        <f>IF( (MZ57=0), 1, 0)</f>
        <v>0</v>
      </c>
      <c r="NA85" s="14">
        <f>IF( (NA57=0), 1, 0)</f>
        <v>0</v>
      </c>
      <c r="NB85" s="14">
        <f>IF( (NB57=0), 1, 0)</f>
        <v>0</v>
      </c>
      <c r="NH85" s="14">
        <f t="shared" ref="NH85:NM85" si="1031">IF( (NH57=0), 1, 0)</f>
        <v>0</v>
      </c>
      <c r="NI85" s="14">
        <f t="shared" si="1031"/>
        <v>0</v>
      </c>
      <c r="NJ85" s="14">
        <f t="shared" si="1031"/>
        <v>0</v>
      </c>
      <c r="NK85" s="14">
        <f t="shared" si="1031"/>
        <v>0</v>
      </c>
      <c r="NL85" s="14">
        <f t="shared" si="1031"/>
        <v>0</v>
      </c>
      <c r="NM85" s="14">
        <f t="shared" si="1031"/>
        <v>0</v>
      </c>
      <c r="NQ85" s="14">
        <f>IF( (NQ57=0), 1, 0)</f>
        <v>0</v>
      </c>
      <c r="NR85" s="14">
        <f>IF( (NR57=0), 1, 0)</f>
        <v>0</v>
      </c>
      <c r="RZ85" s="14">
        <v>1</v>
      </c>
      <c r="SA85" s="14">
        <f>IF( (SA57=0), 1, 0)</f>
        <v>0</v>
      </c>
      <c r="WC85" s="14">
        <f>IF( (WC57=0), 1, 0)</f>
        <v>0</v>
      </c>
      <c r="AAT85" s="14">
        <f>IF( (AAT57=0), 1, 0)</f>
        <v>0</v>
      </c>
      <c r="ABF85" s="14">
        <f>IF( (ABF57=0), 1, 0)</f>
        <v>0</v>
      </c>
      <c r="ADP85" s="14">
        <f>IF( (ADP57=0), 1, 0)</f>
        <v>0</v>
      </c>
      <c r="AKP85" s="14">
        <v>1</v>
      </c>
      <c r="AKQ85" s="14">
        <f>IF( (AKQ57=0), 1, 0)</f>
        <v>0</v>
      </c>
      <c r="ALF85" s="14">
        <f>IF( (ALF57=0), 1, 0)</f>
        <v>0</v>
      </c>
      <c r="ALU85" s="14">
        <f>IF( (ALU57=0), 1, 0)</f>
        <v>0</v>
      </c>
    </row>
    <row r="86" spans="1:1009" ht="15" customHeight="1" x14ac:dyDescent="0.25">
      <c r="IU86" s="14"/>
      <c r="JH86" s="14"/>
      <c r="JI86" s="14"/>
      <c r="JW86" s="14"/>
      <c r="JX86" s="14"/>
      <c r="LQ86" s="14"/>
      <c r="LR86" s="14"/>
      <c r="LS86" s="14"/>
      <c r="LT86" s="14"/>
      <c r="LU86" s="14"/>
      <c r="LV86" s="14"/>
      <c r="LW86" s="14"/>
      <c r="LY86" s="14"/>
      <c r="LZ86" s="14"/>
      <c r="MA86" s="14"/>
      <c r="MB86" s="14"/>
      <c r="MC86" s="14"/>
      <c r="MD86" s="14"/>
      <c r="ME86" s="14"/>
      <c r="MH86" s="14"/>
      <c r="MN86" s="14"/>
    </row>
    <row r="87" spans="1:1009" ht="15" customHeight="1" x14ac:dyDescent="0.25">
      <c r="B87" s="14" t="s">
        <v>442</v>
      </c>
      <c r="IR87" s="14" t="s">
        <v>52</v>
      </c>
      <c r="IS87" t="str">
        <f>IS88&amp;IS89&amp;IS90&amp;IS91&amp;IS92&amp;IS93&amp;IS94&amp;IS95</f>
        <v>00001110</v>
      </c>
      <c r="IT87" s="14" t="str">
        <f>IT88&amp;IT89&amp;IT90&amp;IT91&amp;IT92&amp;IT93&amp;IT94&amp;IT95</f>
        <v>00001000</v>
      </c>
      <c r="IU87" s="14" t="str">
        <f t="shared" ref="IU87:LF87" si="1032">IU88&amp;IU89&amp;IU90&amp;IU91&amp;IU92&amp;IU93&amp;IU94&amp;IU95</f>
        <v>00001000</v>
      </c>
      <c r="IV87" s="14" t="str">
        <f t="shared" si="1032"/>
        <v>00001000</v>
      </c>
      <c r="IW87" s="14" t="str">
        <f t="shared" si="1032"/>
        <v>00001000</v>
      </c>
      <c r="IX87" s="14" t="str">
        <f t="shared" si="1032"/>
        <v>00001100</v>
      </c>
      <c r="IY87" s="14" t="str">
        <f t="shared" si="1032"/>
        <v>00000100</v>
      </c>
      <c r="IZ87" s="14" t="str">
        <f t="shared" si="1032"/>
        <v>00001100</v>
      </c>
      <c r="JA87" s="14" t="str">
        <f t="shared" si="1032"/>
        <v>00000110</v>
      </c>
      <c r="JB87" s="14" t="str">
        <f t="shared" si="1032"/>
        <v>00001110</v>
      </c>
      <c r="JC87" s="14" t="str">
        <f t="shared" si="1032"/>
        <v>00001110</v>
      </c>
      <c r="JD87" s="14" t="str">
        <f t="shared" si="1032"/>
        <v>00100100</v>
      </c>
      <c r="JE87" s="14" t="str">
        <f t="shared" si="1032"/>
        <v>11100100</v>
      </c>
      <c r="JF87" s="14" t="str">
        <f t="shared" si="1032"/>
        <v>10011101</v>
      </c>
      <c r="JG87" s="14" t="str">
        <f t="shared" si="1032"/>
        <v>00100100</v>
      </c>
      <c r="JH87" s="14" t="str">
        <f t="shared" si="1032"/>
        <v>10000000</v>
      </c>
      <c r="JI87" s="14" t="str">
        <f t="shared" si="1032"/>
        <v>10100000</v>
      </c>
      <c r="JJ87" s="14" t="str">
        <f t="shared" si="1032"/>
        <v>10000000</v>
      </c>
      <c r="JK87" s="14" t="str">
        <f t="shared" si="1032"/>
        <v>10100001</v>
      </c>
      <c r="JL87" s="14" t="str">
        <f t="shared" si="1032"/>
        <v>10000000</v>
      </c>
      <c r="JM87" s="14" t="str">
        <f t="shared" si="1032"/>
        <v>10010001</v>
      </c>
      <c r="JN87" s="14" t="str">
        <f t="shared" si="1032"/>
        <v>10100010</v>
      </c>
      <c r="JO87" s="14" t="str">
        <f t="shared" si="1032"/>
        <v>10100010</v>
      </c>
      <c r="JP87" s="14" t="str">
        <f t="shared" si="1032"/>
        <v>10100010</v>
      </c>
      <c r="JQ87" s="14" t="str">
        <f t="shared" si="1032"/>
        <v>10101000</v>
      </c>
      <c r="JR87" s="14" t="str">
        <f t="shared" si="1032"/>
        <v>10101000</v>
      </c>
      <c r="JS87" s="14" t="str">
        <f t="shared" si="1032"/>
        <v>10101000</v>
      </c>
      <c r="JT87" s="14" t="str">
        <f t="shared" si="1032"/>
        <v>10100100</v>
      </c>
      <c r="JU87" s="14" t="str">
        <f t="shared" si="1032"/>
        <v>10101100</v>
      </c>
      <c r="JV87" s="14" t="str">
        <f t="shared" si="1032"/>
        <v>10101100</v>
      </c>
      <c r="JW87" s="14" t="str">
        <f t="shared" si="1032"/>
        <v>10010000</v>
      </c>
      <c r="JX87" s="14" t="str">
        <f t="shared" si="1032"/>
        <v>10010000</v>
      </c>
      <c r="JY87" s="14" t="str">
        <f t="shared" si="1032"/>
        <v>10000000</v>
      </c>
      <c r="JZ87" s="14" t="str">
        <f t="shared" si="1032"/>
        <v>10000000</v>
      </c>
      <c r="KA87" s="14" t="str">
        <f t="shared" si="1032"/>
        <v>10000000</v>
      </c>
      <c r="KB87" s="14" t="str">
        <f t="shared" si="1032"/>
        <v>10000000</v>
      </c>
      <c r="KC87" s="14" t="str">
        <f t="shared" si="1032"/>
        <v>10000000</v>
      </c>
      <c r="KD87" s="14" t="str">
        <f t="shared" si="1032"/>
        <v>10000000</v>
      </c>
      <c r="KE87" s="14" t="str">
        <f t="shared" si="1032"/>
        <v>10000001</v>
      </c>
      <c r="KF87" s="14" t="str">
        <f t="shared" si="1032"/>
        <v>10000001</v>
      </c>
      <c r="KG87" s="14" t="str">
        <f t="shared" si="1032"/>
        <v>11000000</v>
      </c>
      <c r="KH87" s="14" t="str">
        <f t="shared" si="1032"/>
        <v>10000000</v>
      </c>
      <c r="KI87" s="14" t="str">
        <f t="shared" si="1032"/>
        <v>10000000</v>
      </c>
      <c r="KJ87" s="14" t="str">
        <f t="shared" si="1032"/>
        <v>10000000</v>
      </c>
      <c r="KK87" s="14" t="str">
        <f t="shared" si="1032"/>
        <v>11100000</v>
      </c>
      <c r="KL87" s="14" t="str">
        <f t="shared" si="1032"/>
        <v>11100000</v>
      </c>
      <c r="KM87" s="14" t="str">
        <f t="shared" si="1032"/>
        <v>10000000</v>
      </c>
      <c r="KN87" s="14" t="str">
        <f t="shared" si="1032"/>
        <v>10000000</v>
      </c>
      <c r="KO87" s="14" t="str">
        <f t="shared" si="1032"/>
        <v>10000000</v>
      </c>
      <c r="KP87" s="14" t="str">
        <f t="shared" si="1032"/>
        <v>00000000</v>
      </c>
      <c r="KQ87" s="14" t="str">
        <f t="shared" si="1032"/>
        <v>10000000</v>
      </c>
      <c r="KR87" s="14" t="str">
        <f t="shared" si="1032"/>
        <v>00000000</v>
      </c>
      <c r="KS87" s="14" t="str">
        <f t="shared" si="1032"/>
        <v>00000000</v>
      </c>
      <c r="KT87" s="14" t="str">
        <f t="shared" si="1032"/>
        <v>10000000</v>
      </c>
      <c r="KU87" s="14" t="str">
        <f t="shared" si="1032"/>
        <v>10000000</v>
      </c>
      <c r="KV87" s="14" t="str">
        <f t="shared" si="1032"/>
        <v>10000000</v>
      </c>
      <c r="KW87" s="14" t="str">
        <f t="shared" si="1032"/>
        <v>00000000</v>
      </c>
      <c r="KX87" s="14" t="str">
        <f t="shared" si="1032"/>
        <v>10000000</v>
      </c>
      <c r="KY87" s="14" t="str">
        <f t="shared" si="1032"/>
        <v>10000010</v>
      </c>
      <c r="KZ87" s="14" t="str">
        <f t="shared" si="1032"/>
        <v>10000010</v>
      </c>
      <c r="LA87" s="14" t="str">
        <f t="shared" si="1032"/>
        <v>10000010</v>
      </c>
      <c r="LB87" s="14" t="str">
        <f t="shared" si="1032"/>
        <v>10000010</v>
      </c>
      <c r="LC87" s="14" t="str">
        <f t="shared" si="1032"/>
        <v>10000010</v>
      </c>
      <c r="LD87" s="14" t="str">
        <f t="shared" si="1032"/>
        <v>10000010</v>
      </c>
      <c r="LE87" s="14" t="str">
        <f t="shared" si="1032"/>
        <v>10001000</v>
      </c>
      <c r="LF87" s="14" t="str">
        <f t="shared" si="1032"/>
        <v>10001000</v>
      </c>
      <c r="LG87" s="14" t="str">
        <f t="shared" ref="LG87:LP87" si="1033">LG88&amp;LG89&amp;LG90&amp;LG91&amp;LG92&amp;LG93&amp;LG94&amp;LG95</f>
        <v>10001000</v>
      </c>
      <c r="LH87" s="14" t="str">
        <f t="shared" si="1033"/>
        <v>10001000</v>
      </c>
      <c r="LI87" s="14" t="str">
        <f t="shared" si="1033"/>
        <v>10001000</v>
      </c>
      <c r="LJ87" s="14" t="str">
        <f t="shared" si="1033"/>
        <v>10001000</v>
      </c>
      <c r="LK87" s="14" t="str">
        <f t="shared" si="1033"/>
        <v>10000100</v>
      </c>
      <c r="LL87" s="14" t="str">
        <f t="shared" si="1033"/>
        <v>10000100</v>
      </c>
      <c r="LM87" s="14" t="str">
        <f t="shared" si="1033"/>
        <v>10000100</v>
      </c>
      <c r="LN87" s="14" t="str">
        <f t="shared" si="1033"/>
        <v>10000100</v>
      </c>
      <c r="LO87" s="14" t="str">
        <f t="shared" si="1033"/>
        <v>10000100</v>
      </c>
      <c r="LP87" s="14" t="str">
        <f t="shared" si="1033"/>
        <v>10000100</v>
      </c>
      <c r="LQ87" s="14" t="str">
        <f t="shared" ref="LQ87" si="1034">LQ88&amp;LQ89&amp;LQ90&amp;LQ91&amp;LQ92&amp;LQ93&amp;LQ94&amp;LQ95</f>
        <v>00001110</v>
      </c>
      <c r="LR87" s="14" t="str">
        <f t="shared" ref="LR87" si="1035">LR88&amp;LR89&amp;LR90&amp;LR91&amp;LR92&amp;LR93&amp;LR94&amp;LR95</f>
        <v>00001100</v>
      </c>
      <c r="LS87" s="14" t="str">
        <f t="shared" ref="LS87:MA87" si="1036">LS88&amp;LS89&amp;LS90&amp;LS91&amp;LS92&amp;LS93&amp;LS94&amp;LS95</f>
        <v>00001110</v>
      </c>
      <c r="LT87" s="14" t="str">
        <f t="shared" si="1036"/>
        <v>10001110</v>
      </c>
      <c r="LU87" s="14" t="str">
        <f t="shared" si="1036"/>
        <v>10011111</v>
      </c>
      <c r="LV87" s="14" t="str">
        <f t="shared" si="1036"/>
        <v>11000000</v>
      </c>
      <c r="LW87" s="14" t="str">
        <f t="shared" si="1036"/>
        <v>10001111</v>
      </c>
      <c r="LX87" s="14" t="str">
        <f t="shared" si="1036"/>
        <v>10010000</v>
      </c>
      <c r="LY87" s="14" t="str">
        <f t="shared" si="1036"/>
        <v>11101111</v>
      </c>
      <c r="LZ87" s="14" t="str">
        <f t="shared" si="1036"/>
        <v>10011111</v>
      </c>
      <c r="MA87" s="14" t="str">
        <f t="shared" si="1036"/>
        <v>10001110</v>
      </c>
      <c r="MB87" s="14" t="str">
        <f t="shared" ref="MB87" si="1037">MB88&amp;MB89&amp;MB90&amp;MB91&amp;MB92&amp;MB93&amp;MB94&amp;MB95</f>
        <v>11101110</v>
      </c>
      <c r="MC87" s="14" t="str">
        <f t="shared" ref="MC87:ME87" si="1038">MC88&amp;MC89&amp;MC90&amp;MC91&amp;MC92&amp;MC93&amp;MC94&amp;MC95</f>
        <v>10101110</v>
      </c>
      <c r="MD87" s="14" t="str">
        <f t="shared" si="1038"/>
        <v>10001111</v>
      </c>
      <c r="ME87" s="14" t="str">
        <f t="shared" si="1038"/>
        <v>00000000</v>
      </c>
      <c r="MH87" s="14" t="str">
        <f t="shared" ref="MH87" si="1039">MH88&amp;MH89&amp;MH90&amp;MH91&amp;MH92&amp;MH93&amp;MH94&amp;MH95</f>
        <v>10001110</v>
      </c>
      <c r="MN87" s="14" t="str">
        <f t="shared" ref="MN87" si="1040">MN88&amp;MN89&amp;MN90&amp;MN91&amp;MN92&amp;MN93&amp;MN94&amp;MN95</f>
        <v>10100000</v>
      </c>
      <c r="MO87" s="14" t="str">
        <f t="shared" ref="MO87" si="1041">MO88&amp;MO89&amp;MO90&amp;MO91&amp;MO92&amp;MO93&amp;MO94&amp;MO95</f>
        <v>10100000</v>
      </c>
      <c r="MP87" s="14" t="str">
        <f t="shared" ref="MP87" si="1042">MP88&amp;MP89&amp;MP90&amp;MP91&amp;MP92&amp;MP93&amp;MP94&amp;MP95</f>
        <v>10100000</v>
      </c>
      <c r="MQ87" s="14" t="str">
        <f t="shared" ref="MQ87" si="1043">MQ88&amp;MQ89&amp;MQ90&amp;MQ91&amp;MQ92&amp;MQ93&amp;MQ94&amp;MQ95</f>
        <v>10100000</v>
      </c>
      <c r="MR87" s="14" t="str">
        <f t="shared" ref="MR87" si="1044">MR88&amp;MR89&amp;MR90&amp;MR91&amp;MR92&amp;MR93&amp;MR94&amp;MR95</f>
        <v>10100000</v>
      </c>
      <c r="MX87" s="14" t="str">
        <f t="shared" ref="MX87" si="1045">MX88&amp;MX89&amp;MX90&amp;MX91&amp;MX92&amp;MX93&amp;MX94&amp;MX95</f>
        <v>10100000</v>
      </c>
      <c r="MY87" s="14" t="str">
        <f t="shared" ref="MY87" si="1046">MY88&amp;MY89&amp;MY90&amp;MY91&amp;MY92&amp;MY93&amp;MY94&amp;MY95</f>
        <v>00100000</v>
      </c>
      <c r="MZ87" s="14" t="str">
        <f t="shared" ref="MZ87" si="1047">MZ88&amp;MZ89&amp;MZ90&amp;MZ91&amp;MZ92&amp;MZ93&amp;MZ94&amp;MZ95</f>
        <v>10100000</v>
      </c>
      <c r="NA87" s="14" t="str">
        <f t="shared" ref="NA87" si="1048">NA88&amp;NA89&amp;NA90&amp;NA91&amp;NA92&amp;NA93&amp;NA94&amp;NA95</f>
        <v>10100000</v>
      </c>
      <c r="NB87" s="14" t="str">
        <f t="shared" ref="NB87" si="1049">NB88&amp;NB89&amp;NB90&amp;NB91&amp;NB92&amp;NB93&amp;NB94&amp;NB95</f>
        <v>10100000</v>
      </c>
      <c r="NH87" s="14" t="str">
        <f t="shared" ref="NH87" si="1050">NH88&amp;NH89&amp;NH90&amp;NH91&amp;NH92&amp;NH93&amp;NH94&amp;NH95</f>
        <v>10100000</v>
      </c>
      <c r="NI87" s="14" t="str">
        <f t="shared" ref="NI87" si="1051">NI88&amp;NI89&amp;NI90&amp;NI91&amp;NI92&amp;NI93&amp;NI94&amp;NI95</f>
        <v>10100000</v>
      </c>
      <c r="NJ87" s="14" t="str">
        <f t="shared" ref="NJ87" si="1052">NJ88&amp;NJ89&amp;NJ90&amp;NJ91&amp;NJ92&amp;NJ93&amp;NJ94&amp;NJ95</f>
        <v>10100000</v>
      </c>
      <c r="NK87" s="14" t="str">
        <f t="shared" ref="NK87" si="1053">NK88&amp;NK89&amp;NK90&amp;NK91&amp;NK92&amp;NK93&amp;NK94&amp;NK95</f>
        <v>10100000</v>
      </c>
      <c r="NL87" s="14" t="str">
        <f t="shared" ref="NL87:NM87" si="1054">NL88&amp;NL89&amp;NL90&amp;NL91&amp;NL92&amp;NL93&amp;NL94&amp;NL95</f>
        <v>10100000</v>
      </c>
      <c r="NM87" s="14" t="str">
        <f t="shared" si="1054"/>
        <v>10000000</v>
      </c>
      <c r="NQ87" s="14" t="str">
        <f t="shared" ref="NQ87:NR87" si="1055">NQ88&amp;NQ89&amp;NQ90&amp;NQ91&amp;NQ92&amp;NQ93&amp;NQ94&amp;NQ95</f>
        <v>10000000</v>
      </c>
      <c r="NR87" s="14" t="str">
        <f t="shared" si="1055"/>
        <v>10000000</v>
      </c>
      <c r="RZ87" s="14" t="s">
        <v>52</v>
      </c>
      <c r="SA87" s="14" t="str">
        <f t="shared" ref="SA87" si="1056">SA88&amp;SA89&amp;SA90&amp;SA91&amp;SA92&amp;SA93&amp;SA94&amp;SA95</f>
        <v>10000000</v>
      </c>
      <c r="WC87" s="14" t="str">
        <f t="shared" ref="WC87" si="1057">WC88&amp;WC89&amp;WC90&amp;WC91&amp;WC92&amp;WC93&amp;WC94&amp;WC95</f>
        <v>10100000</v>
      </c>
      <c r="AAT87" s="14" t="str">
        <f t="shared" ref="AAT87" si="1058">AAT88&amp;AAT89&amp;AAT90&amp;AAT91&amp;AAT92&amp;AAT93&amp;AAT94&amp;AAT95</f>
        <v>11000001</v>
      </c>
      <c r="ABF87" s="14" t="str">
        <f t="shared" ref="ABF87" si="1059">ABF88&amp;ABF89&amp;ABF90&amp;ABF91&amp;ABF92&amp;ABF93&amp;ABF94&amp;ABF95</f>
        <v>10000000</v>
      </c>
      <c r="ADP87" s="14" t="str">
        <f t="shared" ref="ADP87" si="1060">ADP88&amp;ADP89&amp;ADP90&amp;ADP91&amp;ADP92&amp;ADP93&amp;ADP94&amp;ADP95</f>
        <v>10000000</v>
      </c>
      <c r="AKP87" s="14" t="s">
        <v>52</v>
      </c>
      <c r="AKQ87" s="14" t="str">
        <f t="shared" ref="AKQ87" si="1061">AKQ88&amp;AKQ89&amp;AKQ90&amp;AKQ91&amp;AKQ92&amp;AKQ93&amp;AKQ94&amp;AKQ95</f>
        <v>10000000</v>
      </c>
      <c r="ALF87" s="14" t="str">
        <f t="shared" ref="ALF87" si="1062">ALF88&amp;ALF89&amp;ALF90&amp;ALF91&amp;ALF92&amp;ALF93&amp;ALF94&amp;ALF95</f>
        <v>10000000</v>
      </c>
      <c r="ALU87" s="14" t="str">
        <f t="shared" ref="ALU87" si="1063">ALU88&amp;ALU89&amp;ALU90&amp;ALU91&amp;ALU92&amp;ALU93&amp;ALU94&amp;ALU95</f>
        <v>11000001</v>
      </c>
    </row>
    <row r="88" spans="1:1009" ht="15" customHeight="1" x14ac:dyDescent="0.25">
      <c r="IR88" s="14">
        <v>128</v>
      </c>
      <c r="IS88">
        <f t="shared" ref="IS88:JX88" si="1064">IF( OR(EXACT(IS28,"LVC_LOAD_E"),EXACT(IS28,"LVC_LOAD_UNAVAILBLE_E")),1,0)</f>
        <v>0</v>
      </c>
      <c r="IT88" s="14">
        <f t="shared" si="1064"/>
        <v>0</v>
      </c>
      <c r="IU88" s="14">
        <f t="shared" si="1064"/>
        <v>0</v>
      </c>
      <c r="IV88" s="14">
        <f t="shared" si="1064"/>
        <v>0</v>
      </c>
      <c r="IW88" s="14">
        <f t="shared" si="1064"/>
        <v>0</v>
      </c>
      <c r="IX88" s="14">
        <f t="shared" si="1064"/>
        <v>0</v>
      </c>
      <c r="IY88" s="14">
        <f t="shared" si="1064"/>
        <v>0</v>
      </c>
      <c r="IZ88" s="14">
        <f t="shared" si="1064"/>
        <v>0</v>
      </c>
      <c r="JA88" s="14">
        <f t="shared" si="1064"/>
        <v>0</v>
      </c>
      <c r="JB88" s="14">
        <f t="shared" si="1064"/>
        <v>0</v>
      </c>
      <c r="JC88" s="14">
        <f t="shared" si="1064"/>
        <v>0</v>
      </c>
      <c r="JD88" s="14">
        <f t="shared" si="1064"/>
        <v>0</v>
      </c>
      <c r="JE88" s="14">
        <f t="shared" si="1064"/>
        <v>1</v>
      </c>
      <c r="JF88" s="14">
        <f t="shared" si="1064"/>
        <v>1</v>
      </c>
      <c r="JG88" s="14">
        <f t="shared" si="1064"/>
        <v>0</v>
      </c>
      <c r="JH88" s="14">
        <f t="shared" si="1064"/>
        <v>1</v>
      </c>
      <c r="JI88" s="14">
        <f t="shared" si="1064"/>
        <v>1</v>
      </c>
      <c r="JJ88" s="14">
        <f t="shared" si="1064"/>
        <v>1</v>
      </c>
      <c r="JK88" s="14">
        <f t="shared" si="1064"/>
        <v>1</v>
      </c>
      <c r="JL88" s="14">
        <f t="shared" si="1064"/>
        <v>1</v>
      </c>
      <c r="JM88" s="14">
        <f t="shared" si="1064"/>
        <v>1</v>
      </c>
      <c r="JN88" s="14">
        <f t="shared" si="1064"/>
        <v>1</v>
      </c>
      <c r="JO88" s="14">
        <f t="shared" si="1064"/>
        <v>1</v>
      </c>
      <c r="JP88" s="14">
        <f t="shared" si="1064"/>
        <v>1</v>
      </c>
      <c r="JQ88" s="14">
        <f t="shared" si="1064"/>
        <v>1</v>
      </c>
      <c r="JR88" s="14">
        <f t="shared" si="1064"/>
        <v>1</v>
      </c>
      <c r="JS88" s="14">
        <f t="shared" si="1064"/>
        <v>1</v>
      </c>
      <c r="JT88" s="14">
        <f t="shared" si="1064"/>
        <v>1</v>
      </c>
      <c r="JU88" s="14">
        <f t="shared" si="1064"/>
        <v>1</v>
      </c>
      <c r="JV88" s="14">
        <f t="shared" si="1064"/>
        <v>1</v>
      </c>
      <c r="JW88" s="14">
        <f t="shared" si="1064"/>
        <v>1</v>
      </c>
      <c r="JX88" s="14">
        <f t="shared" si="1064"/>
        <v>1</v>
      </c>
      <c r="JY88" s="14">
        <f t="shared" ref="JY88:LD88" si="1065">IF( OR(EXACT(JY28,"LVC_LOAD_E"),EXACT(JY28,"LVC_LOAD_UNAVAILBLE_E")),1,0)</f>
        <v>1</v>
      </c>
      <c r="JZ88" s="14">
        <f t="shared" si="1065"/>
        <v>1</v>
      </c>
      <c r="KA88" s="14">
        <f t="shared" si="1065"/>
        <v>1</v>
      </c>
      <c r="KB88" s="14">
        <f t="shared" si="1065"/>
        <v>1</v>
      </c>
      <c r="KC88" s="14">
        <f t="shared" si="1065"/>
        <v>1</v>
      </c>
      <c r="KD88" s="14">
        <f t="shared" si="1065"/>
        <v>1</v>
      </c>
      <c r="KE88" s="14">
        <f t="shared" si="1065"/>
        <v>1</v>
      </c>
      <c r="KF88" s="14">
        <f t="shared" si="1065"/>
        <v>1</v>
      </c>
      <c r="KG88" s="14">
        <f t="shared" si="1065"/>
        <v>1</v>
      </c>
      <c r="KH88" s="14">
        <f t="shared" si="1065"/>
        <v>1</v>
      </c>
      <c r="KI88" s="14">
        <f t="shared" si="1065"/>
        <v>1</v>
      </c>
      <c r="KJ88" s="14">
        <f t="shared" si="1065"/>
        <v>1</v>
      </c>
      <c r="KK88" s="14">
        <f t="shared" si="1065"/>
        <v>1</v>
      </c>
      <c r="KL88" s="14">
        <f t="shared" si="1065"/>
        <v>1</v>
      </c>
      <c r="KM88" s="14">
        <f t="shared" si="1065"/>
        <v>1</v>
      </c>
      <c r="KN88" s="14">
        <f t="shared" si="1065"/>
        <v>1</v>
      </c>
      <c r="KO88" s="14">
        <f t="shared" si="1065"/>
        <v>1</v>
      </c>
      <c r="KP88" s="14">
        <f t="shared" si="1065"/>
        <v>0</v>
      </c>
      <c r="KQ88" s="14">
        <f t="shared" si="1065"/>
        <v>1</v>
      </c>
      <c r="KR88" s="14">
        <f t="shared" si="1065"/>
        <v>0</v>
      </c>
      <c r="KS88" s="14">
        <f t="shared" si="1065"/>
        <v>0</v>
      </c>
      <c r="KT88" s="14">
        <f t="shared" si="1065"/>
        <v>1</v>
      </c>
      <c r="KU88" s="14">
        <f t="shared" si="1065"/>
        <v>1</v>
      </c>
      <c r="KV88" s="14">
        <f t="shared" si="1065"/>
        <v>1</v>
      </c>
      <c r="KW88" s="14">
        <f t="shared" si="1065"/>
        <v>0</v>
      </c>
      <c r="KX88" s="14">
        <f t="shared" si="1065"/>
        <v>1</v>
      </c>
      <c r="KY88" s="14">
        <f t="shared" si="1065"/>
        <v>1</v>
      </c>
      <c r="KZ88" s="14">
        <f t="shared" si="1065"/>
        <v>1</v>
      </c>
      <c r="LA88" s="14">
        <f t="shared" si="1065"/>
        <v>1</v>
      </c>
      <c r="LB88" s="14">
        <f t="shared" si="1065"/>
        <v>1</v>
      </c>
      <c r="LC88" s="14">
        <f t="shared" si="1065"/>
        <v>1</v>
      </c>
      <c r="LD88" s="14">
        <f t="shared" si="1065"/>
        <v>1</v>
      </c>
      <c r="LE88" s="14">
        <f t="shared" ref="LE88:ME88" si="1066">IF( OR(EXACT(LE28,"LVC_LOAD_E"),EXACT(LE28,"LVC_LOAD_UNAVAILBLE_E")),1,0)</f>
        <v>1</v>
      </c>
      <c r="LF88" s="14">
        <f t="shared" si="1066"/>
        <v>1</v>
      </c>
      <c r="LG88" s="14">
        <f t="shared" si="1066"/>
        <v>1</v>
      </c>
      <c r="LH88" s="14">
        <f t="shared" si="1066"/>
        <v>1</v>
      </c>
      <c r="LI88" s="14">
        <f t="shared" si="1066"/>
        <v>1</v>
      </c>
      <c r="LJ88" s="14">
        <f t="shared" si="1066"/>
        <v>1</v>
      </c>
      <c r="LK88" s="14">
        <f t="shared" si="1066"/>
        <v>1</v>
      </c>
      <c r="LL88" s="14">
        <f t="shared" si="1066"/>
        <v>1</v>
      </c>
      <c r="LM88" s="14">
        <f t="shared" si="1066"/>
        <v>1</v>
      </c>
      <c r="LN88" s="14">
        <f t="shared" si="1066"/>
        <v>1</v>
      </c>
      <c r="LO88" s="14">
        <f t="shared" si="1066"/>
        <v>1</v>
      </c>
      <c r="LP88" s="14">
        <f t="shared" si="1066"/>
        <v>1</v>
      </c>
      <c r="LQ88" s="14">
        <f t="shared" si="1066"/>
        <v>0</v>
      </c>
      <c r="LR88" s="14">
        <f t="shared" si="1066"/>
        <v>0</v>
      </c>
      <c r="LS88" s="14">
        <f t="shared" si="1066"/>
        <v>0</v>
      </c>
      <c r="LT88" s="14">
        <f t="shared" si="1066"/>
        <v>1</v>
      </c>
      <c r="LU88" s="14">
        <f t="shared" si="1066"/>
        <v>1</v>
      </c>
      <c r="LV88" s="14">
        <f t="shared" si="1066"/>
        <v>1</v>
      </c>
      <c r="LW88" s="14">
        <f t="shared" si="1066"/>
        <v>1</v>
      </c>
      <c r="LX88" s="14">
        <f t="shared" si="1066"/>
        <v>1</v>
      </c>
      <c r="LY88" s="14">
        <f t="shared" si="1066"/>
        <v>1</v>
      </c>
      <c r="LZ88" s="14">
        <f t="shared" si="1066"/>
        <v>1</v>
      </c>
      <c r="MA88" s="14">
        <f t="shared" si="1066"/>
        <v>1</v>
      </c>
      <c r="MB88" s="14">
        <f t="shared" si="1066"/>
        <v>1</v>
      </c>
      <c r="MC88" s="14">
        <f t="shared" si="1066"/>
        <v>1</v>
      </c>
      <c r="MD88" s="14">
        <f t="shared" si="1066"/>
        <v>1</v>
      </c>
      <c r="ME88" s="14">
        <f t="shared" si="1066"/>
        <v>0</v>
      </c>
      <c r="MH88" s="14">
        <f>IF( OR(EXACT(MH28,"LVC_LOAD_E"),EXACT(MH28,"LVC_LOAD_UNAVAILBLE_E")),1,0)</f>
        <v>1</v>
      </c>
      <c r="MN88" s="14">
        <f>IF( OR(EXACT(MN28,"LVC_LOAD_E"),EXACT(MN28,"LVC_LOAD_UNAVAILBLE_E")),1,0)</f>
        <v>1</v>
      </c>
      <c r="MO88" s="14">
        <f>IF( OR(EXACT(MO28,"LVC_LOAD_E"),EXACT(MO28,"LVC_LOAD_UNAVAILBLE_E")),1,0)</f>
        <v>1</v>
      </c>
      <c r="MP88" s="14">
        <f>IF( OR(EXACT(MP28,"LVC_LOAD_E"),EXACT(MP28,"LVC_LOAD_UNAVAILBLE_E")),1,0)</f>
        <v>1</v>
      </c>
      <c r="MQ88" s="14">
        <f>IF( OR(EXACT(MQ28,"LVC_LOAD_E"),EXACT(MQ28,"LVC_LOAD_UNAVAILBLE_E")),1,0)</f>
        <v>1</v>
      </c>
      <c r="MR88" s="14">
        <f>IF( OR(EXACT(MR28,"LVC_LOAD_E"),EXACT(MR28,"LVC_LOAD_UNAVAILBLE_E")),1,0)</f>
        <v>1</v>
      </c>
      <c r="MX88" s="14">
        <f>IF( OR(EXACT(MX28,"LVC_LOAD_E"),EXACT(MX28,"LVC_LOAD_UNAVAILBLE_E")),1,0)</f>
        <v>1</v>
      </c>
      <c r="MY88" s="14">
        <f>IF( OR(EXACT(MY28,"LVC_LOAD_E"),EXACT(MY28,"LVC_LOAD_UNAVAILBLE_E")),1,0)</f>
        <v>0</v>
      </c>
      <c r="MZ88" s="14">
        <f>IF( OR(EXACT(MZ28,"LVC_LOAD_E"),EXACT(MZ28,"LVC_LOAD_UNAVAILBLE_E")),1,0)</f>
        <v>1</v>
      </c>
      <c r="NA88" s="14">
        <f>IF( OR(EXACT(NA28,"LVC_LOAD_E"),EXACT(NA28,"LVC_LOAD_UNAVAILBLE_E")),1,0)</f>
        <v>1</v>
      </c>
      <c r="NB88" s="14">
        <f>IF( OR(EXACT(NB28,"LVC_LOAD_E"),EXACT(NB28,"LVC_LOAD_UNAVAILBLE_E")),1,0)</f>
        <v>1</v>
      </c>
      <c r="NH88" s="14">
        <f t="shared" ref="NH88:NM88" si="1067">IF( OR(EXACT(NH28,"LVC_LOAD_E"),EXACT(NH28,"LVC_LOAD_UNAVAILBLE_E")),1,0)</f>
        <v>1</v>
      </c>
      <c r="NI88" s="14">
        <f t="shared" si="1067"/>
        <v>1</v>
      </c>
      <c r="NJ88" s="14">
        <f t="shared" si="1067"/>
        <v>1</v>
      </c>
      <c r="NK88" s="14">
        <f t="shared" si="1067"/>
        <v>1</v>
      </c>
      <c r="NL88" s="14">
        <f t="shared" si="1067"/>
        <v>1</v>
      </c>
      <c r="NM88" s="14">
        <f t="shared" si="1067"/>
        <v>1</v>
      </c>
      <c r="NQ88" s="14">
        <f>IF( OR(EXACT(NQ28,"LVC_LOAD_E"),EXACT(NQ28,"LVC_LOAD_UNAVAILBLE_E")),1,0)</f>
        <v>1</v>
      </c>
      <c r="NR88" s="14">
        <f>IF( OR(EXACT(NR28,"LVC_LOAD_E"),EXACT(NR28,"LVC_LOAD_UNAVAILBLE_E")),1,0)</f>
        <v>1</v>
      </c>
      <c r="RZ88" s="14">
        <v>128</v>
      </c>
      <c r="SA88" s="14">
        <f>IF( OR(EXACT(SA28,"LVC_LOAD_E"),EXACT(SA28,"LVC_LOAD_UNAVAILBLE_E")),1,0)</f>
        <v>1</v>
      </c>
      <c r="WC88" s="14">
        <f>IF( OR(EXACT(WC28,"LVC_LOAD_E"),EXACT(WC28,"LVC_LOAD_UNAVAILBLE_E")),1,0)</f>
        <v>1</v>
      </c>
      <c r="AAT88" s="14">
        <f>IF( OR(EXACT(AAT28,"LVC_LOAD_E"),EXACT(AAT28,"LVC_LOAD_UNAVAILBLE_E")),1,0)</f>
        <v>1</v>
      </c>
      <c r="ABF88" s="14">
        <f>IF( OR(EXACT(ABF28,"LVC_LOAD_E"),EXACT(ABF28,"LVC_LOAD_UNAVAILBLE_E")),1,0)</f>
        <v>1</v>
      </c>
      <c r="ADP88" s="14">
        <f>IF( OR(EXACT(ADP28,"LVC_LOAD_E"),EXACT(ADP28,"LVC_LOAD_UNAVAILBLE_E")),1,0)</f>
        <v>1</v>
      </c>
      <c r="AKP88" s="14">
        <v>128</v>
      </c>
      <c r="AKQ88" s="14">
        <f>IF( OR(EXACT(AKQ28,"LVC_LOAD_E"),EXACT(AKQ28,"LVC_LOAD_UNAVAILBLE_E")),1,0)</f>
        <v>1</v>
      </c>
      <c r="ALF88" s="14">
        <f>IF( OR(EXACT(ALF28,"LVC_LOAD_E"),EXACT(ALF28,"LVC_LOAD_UNAVAILBLE_E")),1,0)</f>
        <v>1</v>
      </c>
      <c r="ALU88" s="14">
        <f>IF( OR(EXACT(ALU28,"LVC_LOAD_E"),EXACT(ALU28,"LVC_LOAD_UNAVAILBLE_E")),1,0)</f>
        <v>1</v>
      </c>
    </row>
    <row r="89" spans="1:1009" ht="15" customHeight="1" x14ac:dyDescent="0.25">
      <c r="IR89" s="14">
        <v>64</v>
      </c>
      <c r="IS89" s="14">
        <f t="shared" ref="IS89:JX89" si="1068" xml:space="preserve"> IF( AND(EXACT(IS40, "DB_STEER_METHOD_TURRET_E"), NOT(IS37)), 1, 0)</f>
        <v>0</v>
      </c>
      <c r="IT89" s="14">
        <f t="shared" si="1068"/>
        <v>0</v>
      </c>
      <c r="IU89" s="14">
        <f t="shared" si="1068"/>
        <v>0</v>
      </c>
      <c r="IV89" s="14">
        <f t="shared" si="1068"/>
        <v>0</v>
      </c>
      <c r="IW89" s="14">
        <f t="shared" si="1068"/>
        <v>0</v>
      </c>
      <c r="IX89" s="14">
        <f t="shared" si="1068"/>
        <v>0</v>
      </c>
      <c r="IY89" s="14">
        <f t="shared" si="1068"/>
        <v>0</v>
      </c>
      <c r="IZ89" s="14">
        <f t="shared" si="1068"/>
        <v>0</v>
      </c>
      <c r="JA89" s="14">
        <f t="shared" si="1068"/>
        <v>0</v>
      </c>
      <c r="JB89" s="14">
        <f t="shared" si="1068"/>
        <v>0</v>
      </c>
      <c r="JC89" s="14">
        <f t="shared" si="1068"/>
        <v>0</v>
      </c>
      <c r="JD89" s="14">
        <f t="shared" si="1068"/>
        <v>0</v>
      </c>
      <c r="JE89" s="14">
        <f t="shared" si="1068"/>
        <v>1</v>
      </c>
      <c r="JF89" s="14">
        <f t="shared" si="1068"/>
        <v>0</v>
      </c>
      <c r="JG89" s="14">
        <f t="shared" si="1068"/>
        <v>0</v>
      </c>
      <c r="JH89" s="14">
        <f t="shared" si="1068"/>
        <v>0</v>
      </c>
      <c r="JI89" s="14">
        <f t="shared" si="1068"/>
        <v>0</v>
      </c>
      <c r="JJ89" s="14">
        <f t="shared" si="1068"/>
        <v>0</v>
      </c>
      <c r="JK89" s="14">
        <f t="shared" si="1068"/>
        <v>0</v>
      </c>
      <c r="JL89" s="14">
        <f t="shared" si="1068"/>
        <v>0</v>
      </c>
      <c r="JM89" s="14">
        <f t="shared" si="1068"/>
        <v>0</v>
      </c>
      <c r="JN89" s="14">
        <f t="shared" si="1068"/>
        <v>0</v>
      </c>
      <c r="JO89" s="14">
        <f t="shared" si="1068"/>
        <v>0</v>
      </c>
      <c r="JP89" s="14">
        <f t="shared" si="1068"/>
        <v>0</v>
      </c>
      <c r="JQ89" s="14">
        <f t="shared" si="1068"/>
        <v>0</v>
      </c>
      <c r="JR89" s="14">
        <f t="shared" si="1068"/>
        <v>0</v>
      </c>
      <c r="JS89" s="14">
        <f t="shared" si="1068"/>
        <v>0</v>
      </c>
      <c r="JT89" s="14">
        <f t="shared" si="1068"/>
        <v>0</v>
      </c>
      <c r="JU89" s="14">
        <f t="shared" si="1068"/>
        <v>0</v>
      </c>
      <c r="JV89" s="14">
        <f t="shared" si="1068"/>
        <v>0</v>
      </c>
      <c r="JW89" s="14">
        <f t="shared" si="1068"/>
        <v>0</v>
      </c>
      <c r="JX89" s="14">
        <f t="shared" si="1068"/>
        <v>0</v>
      </c>
      <c r="JY89" s="14">
        <f t="shared" ref="JY89:LD89" si="1069" xml:space="preserve"> IF( AND(EXACT(JY40, "DB_STEER_METHOD_TURRET_E"), NOT(JY37)), 1, 0)</f>
        <v>0</v>
      </c>
      <c r="JZ89" s="14">
        <f t="shared" si="1069"/>
        <v>0</v>
      </c>
      <c r="KA89" s="14">
        <f t="shared" si="1069"/>
        <v>0</v>
      </c>
      <c r="KB89" s="14">
        <f t="shared" si="1069"/>
        <v>0</v>
      </c>
      <c r="KC89" s="14">
        <f t="shared" si="1069"/>
        <v>0</v>
      </c>
      <c r="KD89" s="14">
        <f t="shared" si="1069"/>
        <v>0</v>
      </c>
      <c r="KE89" s="14">
        <f t="shared" si="1069"/>
        <v>0</v>
      </c>
      <c r="KF89" s="14">
        <f t="shared" si="1069"/>
        <v>0</v>
      </c>
      <c r="KG89" s="14">
        <f t="shared" si="1069"/>
        <v>1</v>
      </c>
      <c r="KH89" s="14">
        <f t="shared" si="1069"/>
        <v>0</v>
      </c>
      <c r="KI89" s="14">
        <f t="shared" si="1069"/>
        <v>0</v>
      </c>
      <c r="KJ89" s="14">
        <f t="shared" si="1069"/>
        <v>0</v>
      </c>
      <c r="KK89" s="14">
        <f t="shared" si="1069"/>
        <v>1</v>
      </c>
      <c r="KL89" s="14">
        <f t="shared" si="1069"/>
        <v>1</v>
      </c>
      <c r="KM89" s="14">
        <f t="shared" si="1069"/>
        <v>0</v>
      </c>
      <c r="KN89" s="14">
        <f t="shared" si="1069"/>
        <v>0</v>
      </c>
      <c r="KO89" s="14">
        <f t="shared" si="1069"/>
        <v>0</v>
      </c>
      <c r="KP89" s="14">
        <f t="shared" si="1069"/>
        <v>0</v>
      </c>
      <c r="KQ89" s="14">
        <f t="shared" si="1069"/>
        <v>0</v>
      </c>
      <c r="KR89" s="14">
        <f t="shared" si="1069"/>
        <v>0</v>
      </c>
      <c r="KS89" s="14">
        <f t="shared" si="1069"/>
        <v>0</v>
      </c>
      <c r="KT89" s="14">
        <f t="shared" si="1069"/>
        <v>0</v>
      </c>
      <c r="KU89" s="14">
        <f t="shared" si="1069"/>
        <v>0</v>
      </c>
      <c r="KV89" s="14">
        <f t="shared" si="1069"/>
        <v>0</v>
      </c>
      <c r="KW89" s="14">
        <f t="shared" si="1069"/>
        <v>0</v>
      </c>
      <c r="KX89" s="14">
        <f t="shared" si="1069"/>
        <v>0</v>
      </c>
      <c r="KY89" s="14">
        <f t="shared" si="1069"/>
        <v>0</v>
      </c>
      <c r="KZ89" s="14">
        <f t="shared" si="1069"/>
        <v>0</v>
      </c>
      <c r="LA89" s="14">
        <f t="shared" si="1069"/>
        <v>0</v>
      </c>
      <c r="LB89" s="14">
        <f t="shared" si="1069"/>
        <v>0</v>
      </c>
      <c r="LC89" s="14">
        <f t="shared" si="1069"/>
        <v>0</v>
      </c>
      <c r="LD89" s="14">
        <f t="shared" si="1069"/>
        <v>0</v>
      </c>
      <c r="LE89" s="14">
        <f t="shared" ref="LE89:ME89" si="1070" xml:space="preserve"> IF( AND(EXACT(LE40, "DB_STEER_METHOD_TURRET_E"), NOT(LE37)), 1, 0)</f>
        <v>0</v>
      </c>
      <c r="LF89" s="14">
        <f t="shared" si="1070"/>
        <v>0</v>
      </c>
      <c r="LG89" s="14">
        <f t="shared" si="1070"/>
        <v>0</v>
      </c>
      <c r="LH89" s="14">
        <f t="shared" si="1070"/>
        <v>0</v>
      </c>
      <c r="LI89" s="14">
        <f t="shared" si="1070"/>
        <v>0</v>
      </c>
      <c r="LJ89" s="14">
        <f t="shared" si="1070"/>
        <v>0</v>
      </c>
      <c r="LK89" s="14">
        <f t="shared" si="1070"/>
        <v>0</v>
      </c>
      <c r="LL89" s="14">
        <f t="shared" si="1070"/>
        <v>0</v>
      </c>
      <c r="LM89" s="14">
        <f t="shared" si="1070"/>
        <v>0</v>
      </c>
      <c r="LN89" s="14">
        <f t="shared" si="1070"/>
        <v>0</v>
      </c>
      <c r="LO89" s="14">
        <f t="shared" si="1070"/>
        <v>0</v>
      </c>
      <c r="LP89" s="14">
        <f t="shared" si="1070"/>
        <v>0</v>
      </c>
      <c r="LQ89" s="14">
        <f t="shared" si="1070"/>
        <v>0</v>
      </c>
      <c r="LR89" s="14">
        <f t="shared" si="1070"/>
        <v>0</v>
      </c>
      <c r="LS89" s="14">
        <f t="shared" si="1070"/>
        <v>0</v>
      </c>
      <c r="LT89" s="14">
        <f t="shared" si="1070"/>
        <v>0</v>
      </c>
      <c r="LU89" s="14">
        <f t="shared" si="1070"/>
        <v>0</v>
      </c>
      <c r="LV89" s="14">
        <f t="shared" si="1070"/>
        <v>1</v>
      </c>
      <c r="LW89" s="14">
        <f t="shared" si="1070"/>
        <v>0</v>
      </c>
      <c r="LX89" s="14">
        <f t="shared" si="1070"/>
        <v>0</v>
      </c>
      <c r="LY89" s="14">
        <f t="shared" si="1070"/>
        <v>1</v>
      </c>
      <c r="LZ89" s="14">
        <f t="shared" si="1070"/>
        <v>0</v>
      </c>
      <c r="MA89" s="14">
        <f t="shared" si="1070"/>
        <v>0</v>
      </c>
      <c r="MB89" s="14">
        <f t="shared" si="1070"/>
        <v>1</v>
      </c>
      <c r="MC89" s="14">
        <f t="shared" si="1070"/>
        <v>0</v>
      </c>
      <c r="MD89" s="14">
        <f t="shared" si="1070"/>
        <v>0</v>
      </c>
      <c r="ME89" s="14">
        <f t="shared" si="1070"/>
        <v>0</v>
      </c>
      <c r="MH89" s="14">
        <f xml:space="preserve"> IF( AND(EXACT(MH40, "DB_STEER_METHOD_TURRET_E"), NOT(MH37)), 1, 0)</f>
        <v>0</v>
      </c>
      <c r="MN89" s="14">
        <f xml:space="preserve"> IF( AND(EXACT(MN40, "DB_STEER_METHOD_TURRET_E"), NOT(MN37)), 1, 0)</f>
        <v>0</v>
      </c>
      <c r="MO89" s="14">
        <f xml:space="preserve"> IF( AND(EXACT(MO40, "DB_STEER_METHOD_TURRET_E"), NOT(MO37)), 1, 0)</f>
        <v>0</v>
      </c>
      <c r="MP89" s="14">
        <f xml:space="preserve"> IF( AND(EXACT(MP40, "DB_STEER_METHOD_TURRET_E"), NOT(MP37)), 1, 0)</f>
        <v>0</v>
      </c>
      <c r="MQ89" s="14">
        <f xml:space="preserve"> IF( AND(EXACT(MQ40, "DB_STEER_METHOD_TURRET_E"), NOT(MQ37)), 1, 0)</f>
        <v>0</v>
      </c>
      <c r="MR89" s="14">
        <f xml:space="preserve"> IF( AND(EXACT(MR40, "DB_STEER_METHOD_TURRET_E"), NOT(MR37)), 1, 0)</f>
        <v>0</v>
      </c>
      <c r="MX89" s="14">
        <f xml:space="preserve"> IF( AND(EXACT(MX40, "DB_STEER_METHOD_TURRET_E"), NOT(MX37)), 1, 0)</f>
        <v>0</v>
      </c>
      <c r="MY89" s="14">
        <f xml:space="preserve"> IF( AND(EXACT(MY40, "DB_STEER_METHOD_TURRET_E"), NOT(MY37)), 1, 0)</f>
        <v>0</v>
      </c>
      <c r="MZ89" s="14">
        <f xml:space="preserve"> IF( AND(EXACT(MZ40, "DB_STEER_METHOD_TURRET_E"), NOT(MZ37)), 1, 0)</f>
        <v>0</v>
      </c>
      <c r="NA89" s="14">
        <f xml:space="preserve"> IF( AND(EXACT(NA40, "DB_STEER_METHOD_TURRET_E"), NOT(NA37)), 1, 0)</f>
        <v>0</v>
      </c>
      <c r="NB89" s="14">
        <f xml:space="preserve"> IF( AND(EXACT(NB40, "DB_STEER_METHOD_TURRET_E"), NOT(NB37)), 1, 0)</f>
        <v>0</v>
      </c>
      <c r="NH89" s="14">
        <f t="shared" ref="NH89:NM89" si="1071" xml:space="preserve"> IF( AND(EXACT(NH40, "DB_STEER_METHOD_TURRET_E"), NOT(NH37)), 1, 0)</f>
        <v>0</v>
      </c>
      <c r="NI89" s="14">
        <f t="shared" si="1071"/>
        <v>0</v>
      </c>
      <c r="NJ89" s="14">
        <f t="shared" si="1071"/>
        <v>0</v>
      </c>
      <c r="NK89" s="14">
        <f t="shared" si="1071"/>
        <v>0</v>
      </c>
      <c r="NL89" s="14">
        <f t="shared" si="1071"/>
        <v>0</v>
      </c>
      <c r="NM89" s="14">
        <f t="shared" si="1071"/>
        <v>0</v>
      </c>
      <c r="NQ89" s="14">
        <f xml:space="preserve"> IF( AND(EXACT(NQ40, "DB_STEER_METHOD_TURRET_E"), NOT(NQ37)), 1, 0)</f>
        <v>0</v>
      </c>
      <c r="NR89" s="14">
        <f xml:space="preserve"> IF( AND(EXACT(NR40, "DB_STEER_METHOD_TURRET_E"), NOT(NR37)), 1, 0)</f>
        <v>0</v>
      </c>
      <c r="RZ89" s="14">
        <v>64</v>
      </c>
      <c r="SA89" s="14">
        <f xml:space="preserve"> IF( AND(EXACT(SA40, "DB_STEER_METHOD_TURRET_E"), NOT(SA37)), 1, 0)</f>
        <v>0</v>
      </c>
      <c r="WC89" s="14">
        <f xml:space="preserve"> IF( AND(EXACT(WC40, "DB_STEER_METHOD_TURRET_E"), NOT(WC37)), 1, 0)</f>
        <v>0</v>
      </c>
      <c r="AAT89" s="14">
        <f xml:space="preserve"> IF( AND(EXACT(AAT40, "DB_STEER_METHOD_TURRET_E"), NOT(AAT37)), 1, 0)</f>
        <v>1</v>
      </c>
      <c r="ABF89" s="14">
        <f xml:space="preserve"> IF( AND(EXACT(ABF40, "DB_STEER_METHOD_TURRET_E"), NOT(ABF37)), 1, 0)</f>
        <v>0</v>
      </c>
      <c r="ADP89" s="14">
        <f xml:space="preserve"> IF( AND(EXACT(ADP40, "DB_STEER_METHOD_TURRET_E"), NOT(ADP37)), 1, 0)</f>
        <v>0</v>
      </c>
      <c r="AKP89" s="14">
        <v>64</v>
      </c>
      <c r="AKQ89" s="14">
        <f xml:space="preserve"> IF( AND(EXACT(AKQ40, "DB_STEER_METHOD_TURRET_E"), NOT(AKQ37)), 1, 0)</f>
        <v>0</v>
      </c>
      <c r="ALF89" s="14">
        <f xml:space="preserve"> IF( AND(EXACT(ALF40, "DB_STEER_METHOD_TURRET_E"), NOT(ALF37)), 1, 0)</f>
        <v>0</v>
      </c>
      <c r="ALU89" s="14">
        <f xml:space="preserve"> IF( AND(EXACT(ALU40, "DB_STEER_METHOD_TURRET_E"), NOT(ALU37)), 1, 0)</f>
        <v>1</v>
      </c>
    </row>
    <row r="90" spans="1:1009" ht="15" customHeight="1" x14ac:dyDescent="0.25">
      <c r="A90" s="14"/>
      <c r="IR90" s="14">
        <v>32</v>
      </c>
      <c r="IS90">
        <f t="shared" ref="IS90:JX90" si="1072">IF( AND(EXACT(IS40,"DB_STEER_METHOD_TURRET_E"), NOT(EXACT(IS30,"LVC_PIN_OUT_E"))), 1, 0 )</f>
        <v>0</v>
      </c>
      <c r="IT90" s="14">
        <f t="shared" si="1072"/>
        <v>0</v>
      </c>
      <c r="IU90" s="14">
        <f t="shared" si="1072"/>
        <v>0</v>
      </c>
      <c r="IV90" s="14">
        <f t="shared" si="1072"/>
        <v>0</v>
      </c>
      <c r="IW90" s="14">
        <f t="shared" si="1072"/>
        <v>0</v>
      </c>
      <c r="IX90" s="14">
        <f t="shared" si="1072"/>
        <v>0</v>
      </c>
      <c r="IY90" s="14">
        <f t="shared" si="1072"/>
        <v>0</v>
      </c>
      <c r="IZ90" s="14">
        <f t="shared" si="1072"/>
        <v>0</v>
      </c>
      <c r="JA90" s="14">
        <f t="shared" si="1072"/>
        <v>0</v>
      </c>
      <c r="JB90" s="14">
        <f t="shared" si="1072"/>
        <v>0</v>
      </c>
      <c r="JC90" s="14">
        <f t="shared" si="1072"/>
        <v>0</v>
      </c>
      <c r="JD90" s="14">
        <f t="shared" si="1072"/>
        <v>1</v>
      </c>
      <c r="JE90" s="14">
        <f t="shared" si="1072"/>
        <v>1</v>
      </c>
      <c r="JF90" s="14">
        <f t="shared" si="1072"/>
        <v>0</v>
      </c>
      <c r="JG90" s="14">
        <f t="shared" si="1072"/>
        <v>1</v>
      </c>
      <c r="JH90" s="14">
        <f t="shared" si="1072"/>
        <v>0</v>
      </c>
      <c r="JI90" s="14">
        <f t="shared" si="1072"/>
        <v>1</v>
      </c>
      <c r="JJ90" s="14">
        <f t="shared" si="1072"/>
        <v>0</v>
      </c>
      <c r="JK90" s="14">
        <f t="shared" si="1072"/>
        <v>1</v>
      </c>
      <c r="JL90" s="14">
        <f t="shared" si="1072"/>
        <v>0</v>
      </c>
      <c r="JM90" s="14">
        <f t="shared" si="1072"/>
        <v>0</v>
      </c>
      <c r="JN90" s="14">
        <f t="shared" si="1072"/>
        <v>1</v>
      </c>
      <c r="JO90" s="14">
        <f t="shared" si="1072"/>
        <v>1</v>
      </c>
      <c r="JP90" s="14">
        <f t="shared" si="1072"/>
        <v>1</v>
      </c>
      <c r="JQ90" s="14">
        <f t="shared" si="1072"/>
        <v>1</v>
      </c>
      <c r="JR90" s="14">
        <f t="shared" si="1072"/>
        <v>1</v>
      </c>
      <c r="JS90" s="14">
        <f t="shared" si="1072"/>
        <v>1</v>
      </c>
      <c r="JT90" s="14">
        <f t="shared" si="1072"/>
        <v>1</v>
      </c>
      <c r="JU90" s="14">
        <f t="shared" si="1072"/>
        <v>1</v>
      </c>
      <c r="JV90" s="14">
        <f t="shared" si="1072"/>
        <v>1</v>
      </c>
      <c r="JW90" s="14">
        <f t="shared" si="1072"/>
        <v>0</v>
      </c>
      <c r="JX90" s="14">
        <f t="shared" si="1072"/>
        <v>0</v>
      </c>
      <c r="JY90" s="14">
        <f t="shared" ref="JY90:LD90" si="1073">IF( AND(EXACT(JY40,"DB_STEER_METHOD_TURRET_E"), NOT(EXACT(JY30,"LVC_PIN_OUT_E"))), 1, 0 )</f>
        <v>0</v>
      </c>
      <c r="JZ90" s="14">
        <f t="shared" si="1073"/>
        <v>0</v>
      </c>
      <c r="KA90" s="14">
        <f t="shared" si="1073"/>
        <v>0</v>
      </c>
      <c r="KB90" s="14">
        <f t="shared" si="1073"/>
        <v>0</v>
      </c>
      <c r="KC90" s="14">
        <f t="shared" si="1073"/>
        <v>0</v>
      </c>
      <c r="KD90" s="14">
        <f t="shared" si="1073"/>
        <v>0</v>
      </c>
      <c r="KE90" s="14">
        <f t="shared" si="1073"/>
        <v>0</v>
      </c>
      <c r="KF90" s="14">
        <f t="shared" si="1073"/>
        <v>0</v>
      </c>
      <c r="KG90" s="14">
        <f t="shared" si="1073"/>
        <v>0</v>
      </c>
      <c r="KH90" s="14">
        <f t="shared" si="1073"/>
        <v>0</v>
      </c>
      <c r="KI90" s="14">
        <f t="shared" si="1073"/>
        <v>0</v>
      </c>
      <c r="KJ90" s="14">
        <f t="shared" si="1073"/>
        <v>0</v>
      </c>
      <c r="KK90" s="14">
        <f t="shared" si="1073"/>
        <v>1</v>
      </c>
      <c r="KL90" s="14">
        <f t="shared" si="1073"/>
        <v>1</v>
      </c>
      <c r="KM90" s="14">
        <f t="shared" si="1073"/>
        <v>0</v>
      </c>
      <c r="KN90" s="14">
        <f t="shared" si="1073"/>
        <v>0</v>
      </c>
      <c r="KO90" s="14">
        <f t="shared" si="1073"/>
        <v>0</v>
      </c>
      <c r="KP90" s="14">
        <f t="shared" si="1073"/>
        <v>0</v>
      </c>
      <c r="KQ90" s="14">
        <f t="shared" si="1073"/>
        <v>0</v>
      </c>
      <c r="KR90" s="14">
        <f t="shared" si="1073"/>
        <v>0</v>
      </c>
      <c r="KS90" s="14">
        <f t="shared" si="1073"/>
        <v>0</v>
      </c>
      <c r="KT90" s="14">
        <f t="shared" si="1073"/>
        <v>0</v>
      </c>
      <c r="KU90" s="14">
        <f t="shared" si="1073"/>
        <v>0</v>
      </c>
      <c r="KV90" s="14">
        <f t="shared" si="1073"/>
        <v>0</v>
      </c>
      <c r="KW90" s="14">
        <f t="shared" si="1073"/>
        <v>0</v>
      </c>
      <c r="KX90" s="14">
        <f t="shared" si="1073"/>
        <v>0</v>
      </c>
      <c r="KY90" s="14">
        <f t="shared" si="1073"/>
        <v>0</v>
      </c>
      <c r="KZ90" s="14">
        <f t="shared" si="1073"/>
        <v>0</v>
      </c>
      <c r="LA90" s="14">
        <f t="shared" si="1073"/>
        <v>0</v>
      </c>
      <c r="LB90" s="14">
        <f t="shared" si="1073"/>
        <v>0</v>
      </c>
      <c r="LC90" s="14">
        <f t="shared" si="1073"/>
        <v>0</v>
      </c>
      <c r="LD90" s="14">
        <f t="shared" si="1073"/>
        <v>0</v>
      </c>
      <c r="LE90" s="14">
        <f t="shared" ref="LE90:ME90" si="1074">IF( AND(EXACT(LE40,"DB_STEER_METHOD_TURRET_E"), NOT(EXACT(LE30,"LVC_PIN_OUT_E"))), 1, 0 )</f>
        <v>0</v>
      </c>
      <c r="LF90" s="14">
        <f t="shared" si="1074"/>
        <v>0</v>
      </c>
      <c r="LG90" s="14">
        <f t="shared" si="1074"/>
        <v>0</v>
      </c>
      <c r="LH90" s="14">
        <f t="shared" si="1074"/>
        <v>0</v>
      </c>
      <c r="LI90" s="14">
        <f t="shared" si="1074"/>
        <v>0</v>
      </c>
      <c r="LJ90" s="14">
        <f t="shared" si="1074"/>
        <v>0</v>
      </c>
      <c r="LK90" s="14">
        <f t="shared" si="1074"/>
        <v>0</v>
      </c>
      <c r="LL90" s="14">
        <f t="shared" si="1074"/>
        <v>0</v>
      </c>
      <c r="LM90" s="14">
        <f t="shared" si="1074"/>
        <v>0</v>
      </c>
      <c r="LN90" s="14">
        <f t="shared" si="1074"/>
        <v>0</v>
      </c>
      <c r="LO90" s="14">
        <f t="shared" si="1074"/>
        <v>0</v>
      </c>
      <c r="LP90" s="14">
        <f t="shared" si="1074"/>
        <v>0</v>
      </c>
      <c r="LQ90" s="14">
        <f t="shared" si="1074"/>
        <v>0</v>
      </c>
      <c r="LR90" s="14">
        <f t="shared" si="1074"/>
        <v>0</v>
      </c>
      <c r="LS90" s="14">
        <f t="shared" si="1074"/>
        <v>0</v>
      </c>
      <c r="LT90" s="14">
        <f t="shared" si="1074"/>
        <v>0</v>
      </c>
      <c r="LU90" s="14">
        <f t="shared" si="1074"/>
        <v>0</v>
      </c>
      <c r="LV90" s="14">
        <f t="shared" si="1074"/>
        <v>0</v>
      </c>
      <c r="LW90" s="14">
        <f t="shared" si="1074"/>
        <v>0</v>
      </c>
      <c r="LX90" s="14">
        <f t="shared" si="1074"/>
        <v>0</v>
      </c>
      <c r="LY90" s="14">
        <f t="shared" si="1074"/>
        <v>1</v>
      </c>
      <c r="LZ90" s="14">
        <f t="shared" si="1074"/>
        <v>0</v>
      </c>
      <c r="MA90" s="14">
        <f t="shared" si="1074"/>
        <v>0</v>
      </c>
      <c r="MB90" s="14">
        <f t="shared" si="1074"/>
        <v>1</v>
      </c>
      <c r="MC90" s="14">
        <f t="shared" si="1074"/>
        <v>1</v>
      </c>
      <c r="MD90" s="14">
        <f t="shared" si="1074"/>
        <v>0</v>
      </c>
      <c r="ME90" s="14">
        <f t="shared" si="1074"/>
        <v>0</v>
      </c>
      <c r="MH90" s="14">
        <f>IF( AND(EXACT(MH40,"DB_STEER_METHOD_TURRET_E"), NOT(EXACT(MH30,"LVC_PIN_OUT_E"))), 1, 0 )</f>
        <v>0</v>
      </c>
      <c r="MN90" s="14">
        <f>IF( AND(EXACT(MN40,"DB_STEER_METHOD_TURRET_E"), NOT(EXACT(MN30,"LVC_PIN_OUT_E"))), 1, 0 )</f>
        <v>1</v>
      </c>
      <c r="MO90" s="14">
        <f>IF( AND(EXACT(MO40,"DB_STEER_METHOD_TURRET_E"), NOT(EXACT(MO30,"LVC_PIN_OUT_E"))), 1, 0 )</f>
        <v>1</v>
      </c>
      <c r="MP90" s="14">
        <f>IF( AND(EXACT(MP40,"DB_STEER_METHOD_TURRET_E"), NOT(EXACT(MP30,"LVC_PIN_OUT_E"))), 1, 0 )</f>
        <v>1</v>
      </c>
      <c r="MQ90" s="14">
        <f>IF( AND(EXACT(MQ40,"DB_STEER_METHOD_TURRET_E"), NOT(EXACT(MQ30,"LVC_PIN_OUT_E"))), 1, 0 )</f>
        <v>1</v>
      </c>
      <c r="MR90" s="14">
        <f>IF( AND(EXACT(MR40,"DB_STEER_METHOD_TURRET_E"), NOT(EXACT(MR30,"LVC_PIN_OUT_E"))), 1, 0 )</f>
        <v>1</v>
      </c>
      <c r="MX90" s="14">
        <f>IF( AND(EXACT(MX40,"DB_STEER_METHOD_TURRET_E"), NOT(EXACT(MX30,"LVC_PIN_OUT_E"))), 1, 0 )</f>
        <v>1</v>
      </c>
      <c r="MY90" s="14">
        <f>IF( AND(EXACT(MY40,"DB_STEER_METHOD_TURRET_E"), NOT(EXACT(MY30,"LVC_PIN_OUT_E"))), 1, 0 )</f>
        <v>1</v>
      </c>
      <c r="MZ90" s="14">
        <f>IF( AND(EXACT(MZ40,"DB_STEER_METHOD_TURRET_E"), NOT(EXACT(MZ30,"LVC_PIN_OUT_E"))), 1, 0 )</f>
        <v>1</v>
      </c>
      <c r="NA90" s="14">
        <f>IF( AND(EXACT(NA40,"DB_STEER_METHOD_TURRET_E"), NOT(EXACT(NA30,"LVC_PIN_OUT_E"))), 1, 0 )</f>
        <v>1</v>
      </c>
      <c r="NB90" s="14">
        <f>IF( AND(EXACT(NB40,"DB_STEER_METHOD_TURRET_E"), NOT(EXACT(NB30,"LVC_PIN_OUT_E"))), 1, 0 )</f>
        <v>1</v>
      </c>
      <c r="NH90" s="14">
        <f t="shared" ref="NH90:NM90" si="1075">IF( AND(EXACT(NH40,"DB_STEER_METHOD_TURRET_E"), NOT(EXACT(NH30,"LVC_PIN_OUT_E"))), 1, 0 )</f>
        <v>1</v>
      </c>
      <c r="NI90" s="14">
        <f t="shared" si="1075"/>
        <v>1</v>
      </c>
      <c r="NJ90" s="14">
        <f t="shared" si="1075"/>
        <v>1</v>
      </c>
      <c r="NK90" s="14">
        <f t="shared" si="1075"/>
        <v>1</v>
      </c>
      <c r="NL90" s="14">
        <f t="shared" si="1075"/>
        <v>1</v>
      </c>
      <c r="NM90" s="14">
        <f t="shared" si="1075"/>
        <v>0</v>
      </c>
      <c r="NQ90" s="14">
        <f>IF( AND(EXACT(NQ40,"DB_STEER_METHOD_TURRET_E"), NOT(EXACT(NQ30,"LVC_PIN_OUT_E"))), 1, 0 )</f>
        <v>0</v>
      </c>
      <c r="NR90" s="14">
        <f>IF( AND(EXACT(NR40,"DB_STEER_METHOD_TURRET_E"), NOT(EXACT(NR30,"LVC_PIN_OUT_E"))), 1, 0 )</f>
        <v>0</v>
      </c>
      <c r="RZ90" s="14">
        <v>32</v>
      </c>
      <c r="SA90" s="14">
        <f>IF( AND(EXACT(SA40,"DB_STEER_METHOD_TURRET_E"), NOT(EXACT(SA30,"LVC_PIN_OUT_E"))), 1, 0 )</f>
        <v>0</v>
      </c>
      <c r="WC90" s="14">
        <f>IF( AND(EXACT(WC40,"DB_STEER_METHOD_TURRET_E"), NOT(EXACT(WC30,"LVC_PIN_OUT_E"))), 1, 0 )</f>
        <v>1</v>
      </c>
      <c r="AAT90" s="14">
        <f>IF( AND(EXACT(AAT40,"DB_STEER_METHOD_TURRET_E"), NOT(EXACT(AAT30,"LVC_PIN_OUT_E"))), 1, 0 )</f>
        <v>0</v>
      </c>
      <c r="ABF90" s="14">
        <f>IF( AND(EXACT(ABF40,"DB_STEER_METHOD_TURRET_E"), NOT(EXACT(ABF30,"LVC_PIN_OUT_E"))), 1, 0 )</f>
        <v>0</v>
      </c>
      <c r="ADP90" s="14">
        <f>IF( AND(EXACT(ADP40,"DB_STEER_METHOD_TURRET_E"), NOT(EXACT(ADP30,"LVC_PIN_OUT_E"))), 1, 0 )</f>
        <v>0</v>
      </c>
      <c r="AKP90" s="14">
        <v>32</v>
      </c>
      <c r="AKQ90" s="14">
        <f>IF( AND(EXACT(AKQ40,"DB_STEER_METHOD_TURRET_E"), NOT(EXACT(AKQ30,"LVC_PIN_OUT_E"))), 1, 0 )</f>
        <v>0</v>
      </c>
      <c r="ALF90" s="14">
        <f>IF( AND(EXACT(ALF40,"DB_STEER_METHOD_TURRET_E"), NOT(EXACT(ALF30,"LVC_PIN_OUT_E"))), 1, 0 )</f>
        <v>0</v>
      </c>
      <c r="ALU90" s="14">
        <f>IF( AND(EXACT(ALU40,"DB_STEER_METHOD_TURRET_E"), NOT(EXACT(ALU30,"LVC_PIN_OUT_E"))), 1, 0 )</f>
        <v>0</v>
      </c>
    </row>
    <row r="91" spans="1:1009" ht="15" customHeight="1" x14ac:dyDescent="0.25">
      <c r="A91" s="14"/>
      <c r="IR91" s="14">
        <v>16</v>
      </c>
      <c r="IS91" s="14">
        <f t="shared" ref="IS91:JX91" si="1076">IF( AND(EXACT(IS40,"DB_STEER_METHOD_SBW_E"), NOT(IS38)), 1, 0)</f>
        <v>0</v>
      </c>
      <c r="IT91" s="14">
        <f t="shared" si="1076"/>
        <v>0</v>
      </c>
      <c r="IU91" s="14">
        <f t="shared" si="1076"/>
        <v>0</v>
      </c>
      <c r="IV91" s="14">
        <f t="shared" si="1076"/>
        <v>0</v>
      </c>
      <c r="IW91" s="14">
        <f t="shared" si="1076"/>
        <v>0</v>
      </c>
      <c r="IX91" s="14">
        <f t="shared" si="1076"/>
        <v>0</v>
      </c>
      <c r="IY91" s="14">
        <f t="shared" si="1076"/>
        <v>0</v>
      </c>
      <c r="IZ91" s="14">
        <f t="shared" si="1076"/>
        <v>0</v>
      </c>
      <c r="JA91" s="14">
        <f t="shared" si="1076"/>
        <v>0</v>
      </c>
      <c r="JB91" s="14">
        <f t="shared" si="1076"/>
        <v>0</v>
      </c>
      <c r="JC91" s="14">
        <f t="shared" si="1076"/>
        <v>0</v>
      </c>
      <c r="JD91" s="14">
        <f t="shared" si="1076"/>
        <v>0</v>
      </c>
      <c r="JE91" s="14">
        <f t="shared" si="1076"/>
        <v>0</v>
      </c>
      <c r="JF91" s="14">
        <f t="shared" si="1076"/>
        <v>1</v>
      </c>
      <c r="JG91" s="14">
        <f t="shared" si="1076"/>
        <v>0</v>
      </c>
      <c r="JH91" s="14">
        <f t="shared" si="1076"/>
        <v>0</v>
      </c>
      <c r="JI91" s="14">
        <f t="shared" si="1076"/>
        <v>0</v>
      </c>
      <c r="JJ91" s="14">
        <f t="shared" si="1076"/>
        <v>0</v>
      </c>
      <c r="JK91" s="14">
        <f t="shared" si="1076"/>
        <v>0</v>
      </c>
      <c r="JL91" s="14">
        <f t="shared" si="1076"/>
        <v>0</v>
      </c>
      <c r="JM91" s="14">
        <f t="shared" si="1076"/>
        <v>1</v>
      </c>
      <c r="JN91" s="14">
        <f t="shared" si="1076"/>
        <v>0</v>
      </c>
      <c r="JO91" s="14">
        <f t="shared" si="1076"/>
        <v>0</v>
      </c>
      <c r="JP91" s="14">
        <f t="shared" si="1076"/>
        <v>0</v>
      </c>
      <c r="JQ91" s="14">
        <f t="shared" si="1076"/>
        <v>0</v>
      </c>
      <c r="JR91" s="14">
        <f t="shared" si="1076"/>
        <v>0</v>
      </c>
      <c r="JS91" s="14">
        <f t="shared" si="1076"/>
        <v>0</v>
      </c>
      <c r="JT91" s="14">
        <f t="shared" si="1076"/>
        <v>0</v>
      </c>
      <c r="JU91" s="14">
        <f t="shared" si="1076"/>
        <v>0</v>
      </c>
      <c r="JV91" s="14">
        <f t="shared" si="1076"/>
        <v>0</v>
      </c>
      <c r="JW91" s="14">
        <f t="shared" si="1076"/>
        <v>1</v>
      </c>
      <c r="JX91" s="14">
        <f t="shared" si="1076"/>
        <v>1</v>
      </c>
      <c r="JY91" s="14">
        <f t="shared" ref="JY91:LD91" si="1077">IF( AND(EXACT(JY40,"DB_STEER_METHOD_SBW_E"), NOT(JY38)), 1, 0)</f>
        <v>0</v>
      </c>
      <c r="JZ91" s="14">
        <f t="shared" si="1077"/>
        <v>0</v>
      </c>
      <c r="KA91" s="14">
        <f t="shared" si="1077"/>
        <v>0</v>
      </c>
      <c r="KB91" s="14">
        <f t="shared" si="1077"/>
        <v>0</v>
      </c>
      <c r="KC91" s="14">
        <f t="shared" si="1077"/>
        <v>0</v>
      </c>
      <c r="KD91" s="14">
        <f t="shared" si="1077"/>
        <v>0</v>
      </c>
      <c r="KE91" s="14">
        <f t="shared" si="1077"/>
        <v>0</v>
      </c>
      <c r="KF91" s="14">
        <f t="shared" si="1077"/>
        <v>0</v>
      </c>
      <c r="KG91" s="14">
        <f t="shared" si="1077"/>
        <v>0</v>
      </c>
      <c r="KH91" s="14">
        <f t="shared" si="1077"/>
        <v>0</v>
      </c>
      <c r="KI91" s="14">
        <f t="shared" si="1077"/>
        <v>0</v>
      </c>
      <c r="KJ91" s="14">
        <f t="shared" si="1077"/>
        <v>0</v>
      </c>
      <c r="KK91" s="14">
        <f t="shared" si="1077"/>
        <v>0</v>
      </c>
      <c r="KL91" s="14">
        <f t="shared" si="1077"/>
        <v>0</v>
      </c>
      <c r="KM91" s="14">
        <f t="shared" si="1077"/>
        <v>0</v>
      </c>
      <c r="KN91" s="14">
        <f t="shared" si="1077"/>
        <v>0</v>
      </c>
      <c r="KO91" s="14">
        <f t="shared" si="1077"/>
        <v>0</v>
      </c>
      <c r="KP91" s="14">
        <f t="shared" si="1077"/>
        <v>0</v>
      </c>
      <c r="KQ91" s="14">
        <f t="shared" si="1077"/>
        <v>0</v>
      </c>
      <c r="KR91" s="14">
        <f t="shared" si="1077"/>
        <v>0</v>
      </c>
      <c r="KS91" s="14">
        <f t="shared" si="1077"/>
        <v>0</v>
      </c>
      <c r="KT91" s="14">
        <f t="shared" si="1077"/>
        <v>0</v>
      </c>
      <c r="KU91" s="14">
        <f t="shared" si="1077"/>
        <v>0</v>
      </c>
      <c r="KV91" s="14">
        <f t="shared" si="1077"/>
        <v>0</v>
      </c>
      <c r="KW91" s="14">
        <f t="shared" si="1077"/>
        <v>0</v>
      </c>
      <c r="KX91" s="14">
        <f t="shared" si="1077"/>
        <v>0</v>
      </c>
      <c r="KY91" s="14">
        <f t="shared" si="1077"/>
        <v>0</v>
      </c>
      <c r="KZ91" s="14">
        <f t="shared" si="1077"/>
        <v>0</v>
      </c>
      <c r="LA91" s="14">
        <f t="shared" si="1077"/>
        <v>0</v>
      </c>
      <c r="LB91" s="14">
        <f t="shared" si="1077"/>
        <v>0</v>
      </c>
      <c r="LC91" s="14">
        <f t="shared" si="1077"/>
        <v>0</v>
      </c>
      <c r="LD91" s="14">
        <f t="shared" si="1077"/>
        <v>0</v>
      </c>
      <c r="LE91" s="14">
        <f t="shared" ref="LE91:ME91" si="1078">IF( AND(EXACT(LE40,"DB_STEER_METHOD_SBW_E"), NOT(LE38)), 1, 0)</f>
        <v>0</v>
      </c>
      <c r="LF91" s="14">
        <f t="shared" si="1078"/>
        <v>0</v>
      </c>
      <c r="LG91" s="14">
        <f t="shared" si="1078"/>
        <v>0</v>
      </c>
      <c r="LH91" s="14">
        <f t="shared" si="1078"/>
        <v>0</v>
      </c>
      <c r="LI91" s="14">
        <f t="shared" si="1078"/>
        <v>0</v>
      </c>
      <c r="LJ91" s="14">
        <f t="shared" si="1078"/>
        <v>0</v>
      </c>
      <c r="LK91" s="14">
        <f t="shared" si="1078"/>
        <v>0</v>
      </c>
      <c r="LL91" s="14">
        <f t="shared" si="1078"/>
        <v>0</v>
      </c>
      <c r="LM91" s="14">
        <f t="shared" si="1078"/>
        <v>0</v>
      </c>
      <c r="LN91" s="14">
        <f t="shared" si="1078"/>
        <v>0</v>
      </c>
      <c r="LO91" s="14">
        <f t="shared" si="1078"/>
        <v>0</v>
      </c>
      <c r="LP91" s="14">
        <f t="shared" si="1078"/>
        <v>0</v>
      </c>
      <c r="LQ91" s="14">
        <f t="shared" si="1078"/>
        <v>0</v>
      </c>
      <c r="LR91" s="14">
        <f t="shared" si="1078"/>
        <v>0</v>
      </c>
      <c r="LS91" s="14">
        <f t="shared" si="1078"/>
        <v>0</v>
      </c>
      <c r="LT91" s="14">
        <f t="shared" si="1078"/>
        <v>0</v>
      </c>
      <c r="LU91" s="14">
        <f t="shared" si="1078"/>
        <v>1</v>
      </c>
      <c r="LV91" s="14">
        <f t="shared" si="1078"/>
        <v>0</v>
      </c>
      <c r="LW91" s="14">
        <f t="shared" si="1078"/>
        <v>0</v>
      </c>
      <c r="LX91" s="14">
        <f t="shared" si="1078"/>
        <v>1</v>
      </c>
      <c r="LY91" s="14">
        <f t="shared" si="1078"/>
        <v>0</v>
      </c>
      <c r="LZ91" s="14">
        <f t="shared" si="1078"/>
        <v>1</v>
      </c>
      <c r="MA91" s="14">
        <f t="shared" si="1078"/>
        <v>0</v>
      </c>
      <c r="MB91" s="14">
        <f t="shared" si="1078"/>
        <v>0</v>
      </c>
      <c r="MC91" s="14">
        <f t="shared" si="1078"/>
        <v>0</v>
      </c>
      <c r="MD91" s="14">
        <f t="shared" si="1078"/>
        <v>0</v>
      </c>
      <c r="ME91" s="14">
        <f t="shared" si="1078"/>
        <v>0</v>
      </c>
      <c r="MH91" s="14">
        <f>IF( AND(EXACT(MH40,"DB_STEER_METHOD_SBW_E"), NOT(MH38)), 1, 0)</f>
        <v>0</v>
      </c>
      <c r="MN91" s="14">
        <f>IF( AND(EXACT(MN40,"DB_STEER_METHOD_SBW_E"), NOT(MN38)), 1, 0)</f>
        <v>0</v>
      </c>
      <c r="MO91" s="14">
        <f>IF( AND(EXACT(MO40,"DB_STEER_METHOD_SBW_E"), NOT(MO38)), 1, 0)</f>
        <v>0</v>
      </c>
      <c r="MP91" s="14">
        <f>IF( AND(EXACT(MP40,"DB_STEER_METHOD_SBW_E"), NOT(MP38)), 1, 0)</f>
        <v>0</v>
      </c>
      <c r="MQ91" s="14">
        <f>IF( AND(EXACT(MQ40,"DB_STEER_METHOD_SBW_E"), NOT(MQ38)), 1, 0)</f>
        <v>0</v>
      </c>
      <c r="MR91" s="14">
        <f>IF( AND(EXACT(MR40,"DB_STEER_METHOD_SBW_E"), NOT(MR38)), 1, 0)</f>
        <v>0</v>
      </c>
      <c r="MX91" s="14">
        <f>IF( AND(EXACT(MX40,"DB_STEER_METHOD_SBW_E"), NOT(MX38)), 1, 0)</f>
        <v>0</v>
      </c>
      <c r="MY91" s="14">
        <f>IF( AND(EXACT(MY40,"DB_STEER_METHOD_SBW_E"), NOT(MY38)), 1, 0)</f>
        <v>0</v>
      </c>
      <c r="MZ91" s="14">
        <f>IF( AND(EXACT(MZ40,"DB_STEER_METHOD_SBW_E"), NOT(MZ38)), 1, 0)</f>
        <v>0</v>
      </c>
      <c r="NA91" s="14">
        <f>IF( AND(EXACT(NA40,"DB_STEER_METHOD_SBW_E"), NOT(NA38)), 1, 0)</f>
        <v>0</v>
      </c>
      <c r="NB91" s="14">
        <f>IF( AND(EXACT(NB40,"DB_STEER_METHOD_SBW_E"), NOT(NB38)), 1, 0)</f>
        <v>0</v>
      </c>
      <c r="NH91" s="14">
        <f t="shared" ref="NH91:NM91" si="1079">IF( AND(EXACT(NH40,"DB_STEER_METHOD_SBW_E"), NOT(NH38)), 1, 0)</f>
        <v>0</v>
      </c>
      <c r="NI91" s="14">
        <f t="shared" si="1079"/>
        <v>0</v>
      </c>
      <c r="NJ91" s="14">
        <f t="shared" si="1079"/>
        <v>0</v>
      </c>
      <c r="NK91" s="14">
        <f t="shared" si="1079"/>
        <v>0</v>
      </c>
      <c r="NL91" s="14">
        <f t="shared" si="1079"/>
        <v>0</v>
      </c>
      <c r="NM91" s="14">
        <f t="shared" si="1079"/>
        <v>0</v>
      </c>
      <c r="NQ91" s="14">
        <f>IF( AND(EXACT(NQ40,"DB_STEER_METHOD_SBW_E"), NOT(NQ38)), 1, 0)</f>
        <v>0</v>
      </c>
      <c r="NR91" s="14">
        <f>IF( AND(EXACT(NR40,"DB_STEER_METHOD_SBW_E"), NOT(NR38)), 1, 0)</f>
        <v>0</v>
      </c>
      <c r="RZ91" s="14">
        <v>16</v>
      </c>
      <c r="SA91" s="14">
        <f>IF( AND(EXACT(SA40,"DB_STEER_METHOD_SBW_E"), NOT(SA38)), 1, 0)</f>
        <v>0</v>
      </c>
      <c r="WC91" s="14">
        <f>IF( AND(EXACT(WC40,"DB_STEER_METHOD_SBW_E"), NOT(WC38)), 1, 0)</f>
        <v>0</v>
      </c>
      <c r="AAT91" s="14">
        <f>IF( AND(EXACT(AAT40,"DB_STEER_METHOD_SBW_E"), NOT(AAT38)), 1, 0)</f>
        <v>0</v>
      </c>
      <c r="ABF91" s="14">
        <f>IF( AND(EXACT(ABF40,"DB_STEER_METHOD_SBW_E"), NOT(ABF38)), 1, 0)</f>
        <v>0</v>
      </c>
      <c r="ADP91" s="14">
        <f>IF( AND(EXACT(ADP40,"DB_STEER_METHOD_SBW_E"), NOT(ADP38)), 1, 0)</f>
        <v>0</v>
      </c>
      <c r="AKP91" s="14">
        <v>16</v>
      </c>
      <c r="AKQ91" s="14">
        <f>IF( AND(EXACT(AKQ40,"DB_STEER_METHOD_SBW_E"), NOT(AKQ38)), 1, 0)</f>
        <v>0</v>
      </c>
      <c r="ALF91" s="14">
        <f>IF( AND(EXACT(ALF40,"DB_STEER_METHOD_SBW_E"), NOT(ALF38)), 1, 0)</f>
        <v>0</v>
      </c>
      <c r="ALU91" s="14">
        <f>IF( AND(EXACT(ALU40,"DB_STEER_METHOD_SBW_E"), NOT(ALU38)), 1, 0)</f>
        <v>0</v>
      </c>
    </row>
    <row r="92" spans="1:1009" ht="15" customHeight="1" x14ac:dyDescent="0.25">
      <c r="A92" s="14"/>
      <c r="IR92" s="14">
        <v>8</v>
      </c>
      <c r="IS92" s="14">
        <f t="shared" ref="IS92:JX92" si="1080">IF( NOT(EXACT(IS27,"LVC_APPLIED_E")), 1, 0)</f>
        <v>1</v>
      </c>
      <c r="IT92" s="14">
        <f t="shared" si="1080"/>
        <v>1</v>
      </c>
      <c r="IU92" s="14">
        <f t="shared" si="1080"/>
        <v>1</v>
      </c>
      <c r="IV92" s="14">
        <f t="shared" si="1080"/>
        <v>1</v>
      </c>
      <c r="IW92" s="14">
        <f t="shared" si="1080"/>
        <v>1</v>
      </c>
      <c r="IX92" s="14">
        <f t="shared" si="1080"/>
        <v>1</v>
      </c>
      <c r="IY92" s="14">
        <f t="shared" si="1080"/>
        <v>0</v>
      </c>
      <c r="IZ92" s="14">
        <f t="shared" si="1080"/>
        <v>1</v>
      </c>
      <c r="JA92" s="14">
        <f t="shared" si="1080"/>
        <v>0</v>
      </c>
      <c r="JB92" s="14">
        <f t="shared" si="1080"/>
        <v>1</v>
      </c>
      <c r="JC92" s="14">
        <f t="shared" si="1080"/>
        <v>1</v>
      </c>
      <c r="JD92" s="14">
        <f t="shared" si="1080"/>
        <v>0</v>
      </c>
      <c r="JE92" s="14">
        <f t="shared" si="1080"/>
        <v>0</v>
      </c>
      <c r="JF92" s="14">
        <f t="shared" si="1080"/>
        <v>1</v>
      </c>
      <c r="JG92" s="14">
        <f t="shared" si="1080"/>
        <v>0</v>
      </c>
      <c r="JH92" s="14">
        <f t="shared" si="1080"/>
        <v>0</v>
      </c>
      <c r="JI92" s="14">
        <f t="shared" si="1080"/>
        <v>0</v>
      </c>
      <c r="JJ92" s="14">
        <f t="shared" si="1080"/>
        <v>0</v>
      </c>
      <c r="JK92" s="14">
        <f t="shared" si="1080"/>
        <v>0</v>
      </c>
      <c r="JL92" s="14">
        <f t="shared" si="1080"/>
        <v>0</v>
      </c>
      <c r="JM92" s="14">
        <f t="shared" si="1080"/>
        <v>0</v>
      </c>
      <c r="JN92" s="14">
        <f t="shared" si="1080"/>
        <v>0</v>
      </c>
      <c r="JO92" s="14">
        <f t="shared" si="1080"/>
        <v>0</v>
      </c>
      <c r="JP92" s="14">
        <f t="shared" si="1080"/>
        <v>0</v>
      </c>
      <c r="JQ92" s="14">
        <f t="shared" si="1080"/>
        <v>1</v>
      </c>
      <c r="JR92" s="14">
        <f t="shared" si="1080"/>
        <v>1</v>
      </c>
      <c r="JS92" s="14">
        <f t="shared" si="1080"/>
        <v>1</v>
      </c>
      <c r="JT92" s="14">
        <f t="shared" si="1080"/>
        <v>0</v>
      </c>
      <c r="JU92" s="14">
        <f t="shared" si="1080"/>
        <v>1</v>
      </c>
      <c r="JV92" s="14">
        <f t="shared" si="1080"/>
        <v>1</v>
      </c>
      <c r="JW92" s="14">
        <f t="shared" si="1080"/>
        <v>0</v>
      </c>
      <c r="JX92" s="14">
        <f t="shared" si="1080"/>
        <v>0</v>
      </c>
      <c r="JY92" s="14">
        <f t="shared" ref="JY92:LD92" si="1081">IF( NOT(EXACT(JY27,"LVC_APPLIED_E")), 1, 0)</f>
        <v>0</v>
      </c>
      <c r="JZ92" s="14">
        <f t="shared" si="1081"/>
        <v>0</v>
      </c>
      <c r="KA92" s="14">
        <f t="shared" si="1081"/>
        <v>0</v>
      </c>
      <c r="KB92" s="14">
        <f t="shared" si="1081"/>
        <v>0</v>
      </c>
      <c r="KC92" s="14">
        <f t="shared" si="1081"/>
        <v>0</v>
      </c>
      <c r="KD92" s="14">
        <f t="shared" si="1081"/>
        <v>0</v>
      </c>
      <c r="KE92" s="14">
        <f t="shared" si="1081"/>
        <v>0</v>
      </c>
      <c r="KF92" s="14">
        <f t="shared" si="1081"/>
        <v>0</v>
      </c>
      <c r="KG92" s="14">
        <f t="shared" si="1081"/>
        <v>0</v>
      </c>
      <c r="KH92" s="14">
        <f t="shared" si="1081"/>
        <v>0</v>
      </c>
      <c r="KI92" s="14">
        <f t="shared" si="1081"/>
        <v>0</v>
      </c>
      <c r="KJ92" s="14">
        <f t="shared" si="1081"/>
        <v>0</v>
      </c>
      <c r="KK92" s="14">
        <f t="shared" si="1081"/>
        <v>0</v>
      </c>
      <c r="KL92" s="14">
        <f t="shared" si="1081"/>
        <v>0</v>
      </c>
      <c r="KM92" s="14">
        <f t="shared" si="1081"/>
        <v>0</v>
      </c>
      <c r="KN92" s="14">
        <f t="shared" si="1081"/>
        <v>0</v>
      </c>
      <c r="KO92" s="14">
        <f t="shared" si="1081"/>
        <v>0</v>
      </c>
      <c r="KP92" s="14">
        <f t="shared" si="1081"/>
        <v>0</v>
      </c>
      <c r="KQ92" s="14">
        <f t="shared" si="1081"/>
        <v>0</v>
      </c>
      <c r="KR92" s="14">
        <f t="shared" si="1081"/>
        <v>0</v>
      </c>
      <c r="KS92" s="14">
        <f t="shared" si="1081"/>
        <v>0</v>
      </c>
      <c r="KT92" s="14">
        <f t="shared" si="1081"/>
        <v>0</v>
      </c>
      <c r="KU92" s="14">
        <f t="shared" si="1081"/>
        <v>0</v>
      </c>
      <c r="KV92" s="14">
        <f t="shared" si="1081"/>
        <v>0</v>
      </c>
      <c r="KW92" s="14">
        <f t="shared" si="1081"/>
        <v>0</v>
      </c>
      <c r="KX92" s="14">
        <f t="shared" si="1081"/>
        <v>0</v>
      </c>
      <c r="KY92" s="14">
        <f t="shared" si="1081"/>
        <v>0</v>
      </c>
      <c r="KZ92" s="14">
        <f t="shared" si="1081"/>
        <v>0</v>
      </c>
      <c r="LA92" s="14">
        <f t="shared" si="1081"/>
        <v>0</v>
      </c>
      <c r="LB92" s="14">
        <f t="shared" si="1081"/>
        <v>0</v>
      </c>
      <c r="LC92" s="14">
        <f t="shared" si="1081"/>
        <v>0</v>
      </c>
      <c r="LD92" s="14">
        <f t="shared" si="1081"/>
        <v>0</v>
      </c>
      <c r="LE92" s="14">
        <f t="shared" ref="LE92:ME92" si="1082">IF( NOT(EXACT(LE27,"LVC_APPLIED_E")), 1, 0)</f>
        <v>1</v>
      </c>
      <c r="LF92" s="14">
        <f t="shared" si="1082"/>
        <v>1</v>
      </c>
      <c r="LG92" s="14">
        <f t="shared" si="1082"/>
        <v>1</v>
      </c>
      <c r="LH92" s="14">
        <f t="shared" si="1082"/>
        <v>1</v>
      </c>
      <c r="LI92" s="14">
        <f t="shared" si="1082"/>
        <v>1</v>
      </c>
      <c r="LJ92" s="14">
        <f t="shared" si="1082"/>
        <v>1</v>
      </c>
      <c r="LK92" s="14">
        <f t="shared" si="1082"/>
        <v>0</v>
      </c>
      <c r="LL92" s="14">
        <f t="shared" si="1082"/>
        <v>0</v>
      </c>
      <c r="LM92" s="14">
        <f t="shared" si="1082"/>
        <v>0</v>
      </c>
      <c r="LN92" s="14">
        <f t="shared" si="1082"/>
        <v>0</v>
      </c>
      <c r="LO92" s="14">
        <f t="shared" si="1082"/>
        <v>0</v>
      </c>
      <c r="LP92" s="14">
        <f t="shared" si="1082"/>
        <v>0</v>
      </c>
      <c r="LQ92" s="14">
        <f t="shared" si="1082"/>
        <v>1</v>
      </c>
      <c r="LR92" s="14">
        <f t="shared" si="1082"/>
        <v>1</v>
      </c>
      <c r="LS92" s="14">
        <f t="shared" si="1082"/>
        <v>1</v>
      </c>
      <c r="LT92" s="14">
        <f t="shared" si="1082"/>
        <v>1</v>
      </c>
      <c r="LU92" s="14">
        <f t="shared" si="1082"/>
        <v>1</v>
      </c>
      <c r="LV92" s="14">
        <f t="shared" si="1082"/>
        <v>0</v>
      </c>
      <c r="LW92" s="14">
        <f t="shared" si="1082"/>
        <v>1</v>
      </c>
      <c r="LX92" s="14">
        <f t="shared" si="1082"/>
        <v>0</v>
      </c>
      <c r="LY92" s="14">
        <f t="shared" si="1082"/>
        <v>1</v>
      </c>
      <c r="LZ92" s="14">
        <f t="shared" si="1082"/>
        <v>1</v>
      </c>
      <c r="MA92" s="14">
        <f t="shared" si="1082"/>
        <v>1</v>
      </c>
      <c r="MB92" s="14">
        <f t="shared" si="1082"/>
        <v>1</v>
      </c>
      <c r="MC92" s="14">
        <f t="shared" si="1082"/>
        <v>1</v>
      </c>
      <c r="MD92" s="14">
        <f t="shared" si="1082"/>
        <v>1</v>
      </c>
      <c r="ME92" s="14">
        <f t="shared" si="1082"/>
        <v>0</v>
      </c>
      <c r="MH92" s="14">
        <f>IF( NOT(EXACT(MH27,"LVC_APPLIED_E")), 1, 0)</f>
        <v>1</v>
      </c>
      <c r="MN92" s="14">
        <f>IF( NOT(EXACT(MN27,"LVC_APPLIED_E")), 1, 0)</f>
        <v>0</v>
      </c>
      <c r="MO92" s="14">
        <f>IF( NOT(EXACT(MO27,"LVC_APPLIED_E")), 1, 0)</f>
        <v>0</v>
      </c>
      <c r="MP92" s="14">
        <f>IF( NOT(EXACT(MP27,"LVC_APPLIED_E")), 1, 0)</f>
        <v>0</v>
      </c>
      <c r="MQ92" s="14">
        <f>IF( NOT(EXACT(MQ27,"LVC_APPLIED_E")), 1, 0)</f>
        <v>0</v>
      </c>
      <c r="MR92" s="14">
        <f>IF( NOT(EXACT(MR27,"LVC_APPLIED_E")), 1, 0)</f>
        <v>0</v>
      </c>
      <c r="MX92" s="14">
        <f>IF( NOT(EXACT(MX27,"LVC_APPLIED_E")), 1, 0)</f>
        <v>0</v>
      </c>
      <c r="MY92" s="14">
        <f>IF( NOT(EXACT(MY27,"LVC_APPLIED_E")), 1, 0)</f>
        <v>0</v>
      </c>
      <c r="MZ92" s="14">
        <f>IF( NOT(EXACT(MZ27,"LVC_APPLIED_E")), 1, 0)</f>
        <v>0</v>
      </c>
      <c r="NA92" s="14">
        <f>IF( NOT(EXACT(NA27,"LVC_APPLIED_E")), 1, 0)</f>
        <v>0</v>
      </c>
      <c r="NB92" s="14">
        <f>IF( NOT(EXACT(NB27,"LVC_APPLIED_E")), 1, 0)</f>
        <v>0</v>
      </c>
      <c r="NH92" s="14">
        <f t="shared" ref="NH92:NM92" si="1083">IF( NOT(EXACT(NH27,"LVC_APPLIED_E")), 1, 0)</f>
        <v>0</v>
      </c>
      <c r="NI92" s="14">
        <f t="shared" si="1083"/>
        <v>0</v>
      </c>
      <c r="NJ92" s="14">
        <f t="shared" si="1083"/>
        <v>0</v>
      </c>
      <c r="NK92" s="14">
        <f t="shared" si="1083"/>
        <v>0</v>
      </c>
      <c r="NL92" s="14">
        <f t="shared" si="1083"/>
        <v>0</v>
      </c>
      <c r="NM92" s="14">
        <f t="shared" si="1083"/>
        <v>0</v>
      </c>
      <c r="NQ92" s="14">
        <f>IF( NOT(EXACT(NQ27,"LVC_APPLIED_E")), 1, 0)</f>
        <v>0</v>
      </c>
      <c r="NR92" s="14">
        <f>IF( NOT(EXACT(NR27,"LVC_APPLIED_E")), 1, 0)</f>
        <v>0</v>
      </c>
      <c r="RZ92" s="14">
        <v>8</v>
      </c>
      <c r="SA92" s="14">
        <f>IF( NOT(EXACT(SA27,"LVC_APPLIED_E")), 1, 0)</f>
        <v>0</v>
      </c>
      <c r="WC92" s="14">
        <f>IF( NOT(EXACT(WC27,"LVC_APPLIED_E")), 1, 0)</f>
        <v>0</v>
      </c>
      <c r="AAT92" s="14">
        <f>IF( NOT(EXACT(AAT27,"LVC_APPLIED_E")), 1, 0)</f>
        <v>0</v>
      </c>
      <c r="ABF92" s="14">
        <f>IF( NOT(EXACT(ABF27,"LVC_APPLIED_E")), 1, 0)</f>
        <v>0</v>
      </c>
      <c r="ADP92" s="14">
        <f>IF( NOT(EXACT(ADP27,"LVC_APPLIED_E")), 1, 0)</f>
        <v>0</v>
      </c>
      <c r="AKP92" s="14">
        <v>8</v>
      </c>
      <c r="AKQ92" s="14">
        <f>IF( NOT(EXACT(AKQ27,"LVC_APPLIED_E")), 1, 0)</f>
        <v>0</v>
      </c>
      <c r="ALF92" s="14">
        <f>IF( NOT(EXACT(ALF27,"LVC_APPLIED_E")), 1, 0)</f>
        <v>0</v>
      </c>
      <c r="ALU92" s="14">
        <f>IF( NOT(EXACT(ALU27,"LVC_APPLIED_E")), 1, 0)</f>
        <v>0</v>
      </c>
    </row>
    <row r="93" spans="1:1009" ht="15" customHeight="1" x14ac:dyDescent="0.25">
      <c r="A93" s="14"/>
      <c r="IR93" s="14">
        <v>4</v>
      </c>
      <c r="IS93" s="14">
        <f t="shared" ref="IS93:JX93" si="1084">IF( NOT(EXACT(IS26,"LVC_REQ_ENGAGE_E")), 1, 0)</f>
        <v>1</v>
      </c>
      <c r="IT93" s="14">
        <f t="shared" si="1084"/>
        <v>0</v>
      </c>
      <c r="IU93" s="14">
        <f t="shared" si="1084"/>
        <v>0</v>
      </c>
      <c r="IV93" s="14">
        <f t="shared" si="1084"/>
        <v>0</v>
      </c>
      <c r="IW93" s="14">
        <f t="shared" si="1084"/>
        <v>0</v>
      </c>
      <c r="IX93" s="14">
        <f t="shared" si="1084"/>
        <v>1</v>
      </c>
      <c r="IY93" s="14">
        <f t="shared" si="1084"/>
        <v>1</v>
      </c>
      <c r="IZ93" s="14">
        <f t="shared" si="1084"/>
        <v>1</v>
      </c>
      <c r="JA93" s="14">
        <f t="shared" si="1084"/>
        <v>1</v>
      </c>
      <c r="JB93" s="14">
        <f t="shared" si="1084"/>
        <v>1</v>
      </c>
      <c r="JC93" s="14">
        <f t="shared" si="1084"/>
        <v>1</v>
      </c>
      <c r="JD93" s="14">
        <f t="shared" si="1084"/>
        <v>1</v>
      </c>
      <c r="JE93" s="14">
        <f t="shared" si="1084"/>
        <v>1</v>
      </c>
      <c r="JF93" s="14">
        <f t="shared" si="1084"/>
        <v>1</v>
      </c>
      <c r="JG93" s="14">
        <f t="shared" si="1084"/>
        <v>1</v>
      </c>
      <c r="JH93" s="14">
        <f t="shared" si="1084"/>
        <v>0</v>
      </c>
      <c r="JI93" s="14">
        <f t="shared" si="1084"/>
        <v>0</v>
      </c>
      <c r="JJ93" s="14">
        <f t="shared" si="1084"/>
        <v>0</v>
      </c>
      <c r="JK93" s="14">
        <f t="shared" si="1084"/>
        <v>0</v>
      </c>
      <c r="JL93" s="14">
        <f t="shared" si="1084"/>
        <v>0</v>
      </c>
      <c r="JM93" s="14">
        <f t="shared" si="1084"/>
        <v>0</v>
      </c>
      <c r="JN93" s="14">
        <f t="shared" si="1084"/>
        <v>0</v>
      </c>
      <c r="JO93" s="14">
        <f t="shared" si="1084"/>
        <v>0</v>
      </c>
      <c r="JP93" s="14">
        <f t="shared" si="1084"/>
        <v>0</v>
      </c>
      <c r="JQ93" s="14">
        <f t="shared" si="1084"/>
        <v>0</v>
      </c>
      <c r="JR93" s="14">
        <f t="shared" si="1084"/>
        <v>0</v>
      </c>
      <c r="JS93" s="14">
        <f t="shared" si="1084"/>
        <v>0</v>
      </c>
      <c r="JT93" s="14">
        <f t="shared" si="1084"/>
        <v>1</v>
      </c>
      <c r="JU93" s="14">
        <f t="shared" si="1084"/>
        <v>1</v>
      </c>
      <c r="JV93" s="14">
        <f t="shared" si="1084"/>
        <v>1</v>
      </c>
      <c r="JW93" s="14">
        <f t="shared" si="1084"/>
        <v>0</v>
      </c>
      <c r="JX93" s="14">
        <f t="shared" si="1084"/>
        <v>0</v>
      </c>
      <c r="JY93" s="14">
        <f t="shared" ref="JY93:LD93" si="1085">IF( NOT(EXACT(JY26,"LVC_REQ_ENGAGE_E")), 1, 0)</f>
        <v>0</v>
      </c>
      <c r="JZ93" s="14">
        <f t="shared" si="1085"/>
        <v>0</v>
      </c>
      <c r="KA93" s="14">
        <f t="shared" si="1085"/>
        <v>0</v>
      </c>
      <c r="KB93" s="14">
        <f t="shared" si="1085"/>
        <v>0</v>
      </c>
      <c r="KC93" s="14">
        <f t="shared" si="1085"/>
        <v>0</v>
      </c>
      <c r="KD93" s="14">
        <f t="shared" si="1085"/>
        <v>0</v>
      </c>
      <c r="KE93" s="14">
        <f t="shared" si="1085"/>
        <v>0</v>
      </c>
      <c r="KF93" s="14">
        <f t="shared" si="1085"/>
        <v>0</v>
      </c>
      <c r="KG93" s="14">
        <f t="shared" si="1085"/>
        <v>0</v>
      </c>
      <c r="KH93" s="14">
        <f t="shared" si="1085"/>
        <v>0</v>
      </c>
      <c r="KI93" s="14">
        <f t="shared" si="1085"/>
        <v>0</v>
      </c>
      <c r="KJ93" s="14">
        <f t="shared" si="1085"/>
        <v>0</v>
      </c>
      <c r="KK93" s="14">
        <f t="shared" si="1085"/>
        <v>0</v>
      </c>
      <c r="KL93" s="14">
        <f t="shared" si="1085"/>
        <v>0</v>
      </c>
      <c r="KM93" s="14">
        <f t="shared" si="1085"/>
        <v>0</v>
      </c>
      <c r="KN93" s="14">
        <f t="shared" si="1085"/>
        <v>0</v>
      </c>
      <c r="KO93" s="14">
        <f t="shared" si="1085"/>
        <v>0</v>
      </c>
      <c r="KP93" s="14">
        <f t="shared" si="1085"/>
        <v>0</v>
      </c>
      <c r="KQ93" s="14">
        <f t="shared" si="1085"/>
        <v>0</v>
      </c>
      <c r="KR93" s="14">
        <f t="shared" si="1085"/>
        <v>0</v>
      </c>
      <c r="KS93" s="14">
        <f t="shared" si="1085"/>
        <v>0</v>
      </c>
      <c r="KT93" s="14">
        <f t="shared" si="1085"/>
        <v>0</v>
      </c>
      <c r="KU93" s="14">
        <f t="shared" si="1085"/>
        <v>0</v>
      </c>
      <c r="KV93" s="14">
        <f t="shared" si="1085"/>
        <v>0</v>
      </c>
      <c r="KW93" s="14">
        <f t="shared" si="1085"/>
        <v>0</v>
      </c>
      <c r="KX93" s="14">
        <f t="shared" si="1085"/>
        <v>0</v>
      </c>
      <c r="KY93" s="14">
        <f t="shared" si="1085"/>
        <v>0</v>
      </c>
      <c r="KZ93" s="14">
        <f t="shared" si="1085"/>
        <v>0</v>
      </c>
      <c r="LA93" s="14">
        <f t="shared" si="1085"/>
        <v>0</v>
      </c>
      <c r="LB93" s="14">
        <f t="shared" si="1085"/>
        <v>0</v>
      </c>
      <c r="LC93" s="14">
        <f t="shared" si="1085"/>
        <v>0</v>
      </c>
      <c r="LD93" s="14">
        <f t="shared" si="1085"/>
        <v>0</v>
      </c>
      <c r="LE93" s="14">
        <f t="shared" ref="LE93:ME93" si="1086">IF( NOT(EXACT(LE26,"LVC_REQ_ENGAGE_E")), 1, 0)</f>
        <v>0</v>
      </c>
      <c r="LF93" s="14">
        <f t="shared" si="1086"/>
        <v>0</v>
      </c>
      <c r="LG93" s="14">
        <f t="shared" si="1086"/>
        <v>0</v>
      </c>
      <c r="LH93" s="14">
        <f t="shared" si="1086"/>
        <v>0</v>
      </c>
      <c r="LI93" s="14">
        <f t="shared" si="1086"/>
        <v>0</v>
      </c>
      <c r="LJ93" s="14">
        <f t="shared" si="1086"/>
        <v>0</v>
      </c>
      <c r="LK93" s="14">
        <f t="shared" si="1086"/>
        <v>1</v>
      </c>
      <c r="LL93" s="14">
        <f t="shared" si="1086"/>
        <v>1</v>
      </c>
      <c r="LM93" s="14">
        <f t="shared" si="1086"/>
        <v>1</v>
      </c>
      <c r="LN93" s="14">
        <f t="shared" si="1086"/>
        <v>1</v>
      </c>
      <c r="LO93" s="14">
        <f t="shared" si="1086"/>
        <v>1</v>
      </c>
      <c r="LP93" s="14">
        <f t="shared" si="1086"/>
        <v>1</v>
      </c>
      <c r="LQ93" s="14">
        <f t="shared" si="1086"/>
        <v>1</v>
      </c>
      <c r="LR93" s="14">
        <f t="shared" si="1086"/>
        <v>1</v>
      </c>
      <c r="LS93" s="14">
        <f t="shared" si="1086"/>
        <v>1</v>
      </c>
      <c r="LT93" s="14">
        <f t="shared" si="1086"/>
        <v>1</v>
      </c>
      <c r="LU93" s="14">
        <f t="shared" si="1086"/>
        <v>1</v>
      </c>
      <c r="LV93" s="14">
        <f t="shared" si="1086"/>
        <v>0</v>
      </c>
      <c r="LW93" s="14">
        <f t="shared" si="1086"/>
        <v>1</v>
      </c>
      <c r="LX93" s="14">
        <f t="shared" si="1086"/>
        <v>0</v>
      </c>
      <c r="LY93" s="14">
        <f t="shared" si="1086"/>
        <v>1</v>
      </c>
      <c r="LZ93" s="14">
        <f t="shared" si="1086"/>
        <v>1</v>
      </c>
      <c r="MA93" s="14">
        <f t="shared" si="1086"/>
        <v>1</v>
      </c>
      <c r="MB93" s="14">
        <f t="shared" si="1086"/>
        <v>1</v>
      </c>
      <c r="MC93" s="14">
        <f t="shared" si="1086"/>
        <v>1</v>
      </c>
      <c r="MD93" s="14">
        <f t="shared" si="1086"/>
        <v>1</v>
      </c>
      <c r="ME93" s="14">
        <f t="shared" si="1086"/>
        <v>0</v>
      </c>
      <c r="MH93" s="14">
        <f>IF( NOT(EXACT(MH26,"LVC_REQ_ENGAGE_E")), 1, 0)</f>
        <v>1</v>
      </c>
      <c r="MN93" s="14">
        <f>IF( NOT(EXACT(MN26,"LVC_REQ_ENGAGE_E")), 1, 0)</f>
        <v>0</v>
      </c>
      <c r="MO93" s="14">
        <f>IF( NOT(EXACT(MO26,"LVC_REQ_ENGAGE_E")), 1, 0)</f>
        <v>0</v>
      </c>
      <c r="MP93" s="14">
        <f>IF( NOT(EXACT(MP26,"LVC_REQ_ENGAGE_E")), 1, 0)</f>
        <v>0</v>
      </c>
      <c r="MQ93" s="14">
        <f>IF( NOT(EXACT(MQ26,"LVC_REQ_ENGAGE_E")), 1, 0)</f>
        <v>0</v>
      </c>
      <c r="MR93" s="14">
        <f>IF( NOT(EXACT(MR26,"LVC_REQ_ENGAGE_E")), 1, 0)</f>
        <v>0</v>
      </c>
      <c r="MX93" s="14">
        <f>IF( NOT(EXACT(MX26,"LVC_REQ_ENGAGE_E")), 1, 0)</f>
        <v>0</v>
      </c>
      <c r="MY93" s="14">
        <f>IF( NOT(EXACT(MY26,"LVC_REQ_ENGAGE_E")), 1, 0)</f>
        <v>0</v>
      </c>
      <c r="MZ93" s="14">
        <f>IF( NOT(EXACT(MZ26,"LVC_REQ_ENGAGE_E")), 1, 0)</f>
        <v>0</v>
      </c>
      <c r="NA93" s="14">
        <f>IF( NOT(EXACT(NA26,"LVC_REQ_ENGAGE_E")), 1, 0)</f>
        <v>0</v>
      </c>
      <c r="NB93" s="14">
        <f>IF( NOT(EXACT(NB26,"LVC_REQ_ENGAGE_E")), 1, 0)</f>
        <v>0</v>
      </c>
      <c r="NH93" s="14">
        <f t="shared" ref="NH93:NM93" si="1087">IF( NOT(EXACT(NH26,"LVC_REQ_ENGAGE_E")), 1, 0)</f>
        <v>0</v>
      </c>
      <c r="NI93" s="14">
        <f t="shared" si="1087"/>
        <v>0</v>
      </c>
      <c r="NJ93" s="14">
        <f t="shared" si="1087"/>
        <v>0</v>
      </c>
      <c r="NK93" s="14">
        <f t="shared" si="1087"/>
        <v>0</v>
      </c>
      <c r="NL93" s="14">
        <f t="shared" si="1087"/>
        <v>0</v>
      </c>
      <c r="NM93" s="14">
        <f t="shared" si="1087"/>
        <v>0</v>
      </c>
      <c r="NQ93" s="14">
        <f>IF( NOT(EXACT(NQ26,"LVC_REQ_ENGAGE_E")), 1, 0)</f>
        <v>0</v>
      </c>
      <c r="NR93" s="14">
        <f>IF( NOT(EXACT(NR26,"LVC_REQ_ENGAGE_E")), 1, 0)</f>
        <v>0</v>
      </c>
      <c r="RZ93" s="14">
        <v>4</v>
      </c>
      <c r="SA93" s="14">
        <f>IF( NOT(EXACT(SA26,"LVC_REQ_ENGAGE_E")), 1, 0)</f>
        <v>0</v>
      </c>
      <c r="WC93" s="14">
        <f>IF( NOT(EXACT(WC26,"LVC_REQ_ENGAGE_E")), 1, 0)</f>
        <v>0</v>
      </c>
      <c r="AAT93" s="14">
        <f>IF( NOT(EXACT(AAT26,"LVC_REQ_ENGAGE_E")), 1, 0)</f>
        <v>0</v>
      </c>
      <c r="ABF93" s="14">
        <f>IF( NOT(EXACT(ABF26,"LVC_REQ_ENGAGE_E")), 1, 0)</f>
        <v>0</v>
      </c>
      <c r="ADP93" s="14">
        <f>IF( NOT(EXACT(ADP26,"LVC_REQ_ENGAGE_E")), 1, 0)</f>
        <v>0</v>
      </c>
      <c r="AKP93" s="14">
        <v>4</v>
      </c>
      <c r="AKQ93" s="14">
        <f>IF( NOT(EXACT(AKQ26,"LVC_REQ_ENGAGE_E")), 1, 0)</f>
        <v>0</v>
      </c>
      <c r="ALF93" s="14">
        <f>IF( NOT(EXACT(ALF26,"LVC_REQ_ENGAGE_E")), 1, 0)</f>
        <v>0</v>
      </c>
      <c r="ALU93" s="14">
        <f>IF( NOT(EXACT(ALU26,"LVC_REQ_ENGAGE_E")), 1, 0)</f>
        <v>0</v>
      </c>
    </row>
    <row r="94" spans="1:1009" ht="15" customHeight="1" x14ac:dyDescent="0.25">
      <c r="A94" s="14"/>
      <c r="IR94" s="14">
        <v>2</v>
      </c>
      <c r="IS94">
        <f t="shared" ref="IS94:JX94" si="1088">IF( NOT(EXACT(IS25,"LVC_NEUTRAL_E")), 1, 0)</f>
        <v>1</v>
      </c>
      <c r="IT94" s="14">
        <f t="shared" si="1088"/>
        <v>0</v>
      </c>
      <c r="IU94" s="14">
        <f t="shared" si="1088"/>
        <v>0</v>
      </c>
      <c r="IV94" s="14">
        <f t="shared" si="1088"/>
        <v>0</v>
      </c>
      <c r="IW94" s="14">
        <f t="shared" si="1088"/>
        <v>0</v>
      </c>
      <c r="IX94" s="14">
        <f t="shared" si="1088"/>
        <v>0</v>
      </c>
      <c r="IY94" s="14">
        <f t="shared" si="1088"/>
        <v>0</v>
      </c>
      <c r="IZ94" s="14">
        <f t="shared" si="1088"/>
        <v>0</v>
      </c>
      <c r="JA94" s="14">
        <f t="shared" si="1088"/>
        <v>1</v>
      </c>
      <c r="JB94" s="14">
        <f t="shared" si="1088"/>
        <v>1</v>
      </c>
      <c r="JC94" s="14">
        <f t="shared" si="1088"/>
        <v>1</v>
      </c>
      <c r="JD94" s="14">
        <f t="shared" si="1088"/>
        <v>0</v>
      </c>
      <c r="JE94" s="14">
        <f t="shared" si="1088"/>
        <v>0</v>
      </c>
      <c r="JF94" s="14">
        <f t="shared" si="1088"/>
        <v>0</v>
      </c>
      <c r="JG94" s="14">
        <f t="shared" si="1088"/>
        <v>0</v>
      </c>
      <c r="JH94" s="14">
        <f t="shared" si="1088"/>
        <v>0</v>
      </c>
      <c r="JI94" s="14">
        <f t="shared" si="1088"/>
        <v>0</v>
      </c>
      <c r="JJ94" s="14">
        <f t="shared" si="1088"/>
        <v>0</v>
      </c>
      <c r="JK94" s="14">
        <f t="shared" si="1088"/>
        <v>0</v>
      </c>
      <c r="JL94" s="14">
        <f t="shared" si="1088"/>
        <v>0</v>
      </c>
      <c r="JM94" s="14">
        <f t="shared" si="1088"/>
        <v>0</v>
      </c>
      <c r="JN94" s="14">
        <f t="shared" si="1088"/>
        <v>1</v>
      </c>
      <c r="JO94" s="14">
        <f t="shared" si="1088"/>
        <v>1</v>
      </c>
      <c r="JP94" s="14">
        <f t="shared" si="1088"/>
        <v>1</v>
      </c>
      <c r="JQ94" s="14">
        <f t="shared" si="1088"/>
        <v>0</v>
      </c>
      <c r="JR94" s="14">
        <f t="shared" si="1088"/>
        <v>0</v>
      </c>
      <c r="JS94" s="14">
        <f t="shared" si="1088"/>
        <v>0</v>
      </c>
      <c r="JT94" s="14">
        <f t="shared" si="1088"/>
        <v>0</v>
      </c>
      <c r="JU94" s="14">
        <f t="shared" si="1088"/>
        <v>0</v>
      </c>
      <c r="JV94" s="14">
        <f t="shared" si="1088"/>
        <v>0</v>
      </c>
      <c r="JW94" s="14">
        <f t="shared" si="1088"/>
        <v>0</v>
      </c>
      <c r="JX94" s="14">
        <f t="shared" si="1088"/>
        <v>0</v>
      </c>
      <c r="JY94" s="14">
        <f t="shared" ref="JY94:LD94" si="1089">IF( NOT(EXACT(JY25,"LVC_NEUTRAL_E")), 1, 0)</f>
        <v>0</v>
      </c>
      <c r="JZ94" s="14">
        <f t="shared" si="1089"/>
        <v>0</v>
      </c>
      <c r="KA94" s="14">
        <f t="shared" si="1089"/>
        <v>0</v>
      </c>
      <c r="KB94" s="14">
        <f t="shared" si="1089"/>
        <v>0</v>
      </c>
      <c r="KC94" s="14">
        <f t="shared" si="1089"/>
        <v>0</v>
      </c>
      <c r="KD94" s="14">
        <f t="shared" si="1089"/>
        <v>0</v>
      </c>
      <c r="KE94" s="14">
        <f t="shared" si="1089"/>
        <v>0</v>
      </c>
      <c r="KF94" s="14">
        <f t="shared" si="1089"/>
        <v>0</v>
      </c>
      <c r="KG94" s="14">
        <f t="shared" si="1089"/>
        <v>0</v>
      </c>
      <c r="KH94" s="14">
        <f t="shared" si="1089"/>
        <v>0</v>
      </c>
      <c r="KI94" s="14">
        <f t="shared" si="1089"/>
        <v>0</v>
      </c>
      <c r="KJ94" s="14">
        <f t="shared" si="1089"/>
        <v>0</v>
      </c>
      <c r="KK94" s="14">
        <f t="shared" si="1089"/>
        <v>0</v>
      </c>
      <c r="KL94" s="14">
        <f t="shared" si="1089"/>
        <v>0</v>
      </c>
      <c r="KM94" s="14">
        <f t="shared" si="1089"/>
        <v>0</v>
      </c>
      <c r="KN94" s="14">
        <f t="shared" si="1089"/>
        <v>0</v>
      </c>
      <c r="KO94" s="14">
        <f t="shared" si="1089"/>
        <v>0</v>
      </c>
      <c r="KP94" s="14">
        <f t="shared" si="1089"/>
        <v>0</v>
      </c>
      <c r="KQ94" s="14">
        <f t="shared" si="1089"/>
        <v>0</v>
      </c>
      <c r="KR94" s="14">
        <f t="shared" si="1089"/>
        <v>0</v>
      </c>
      <c r="KS94" s="14">
        <f t="shared" si="1089"/>
        <v>0</v>
      </c>
      <c r="KT94" s="14">
        <f t="shared" si="1089"/>
        <v>0</v>
      </c>
      <c r="KU94" s="14">
        <f t="shared" si="1089"/>
        <v>0</v>
      </c>
      <c r="KV94" s="14">
        <f t="shared" si="1089"/>
        <v>0</v>
      </c>
      <c r="KW94" s="14">
        <f t="shared" si="1089"/>
        <v>0</v>
      </c>
      <c r="KX94" s="14">
        <f t="shared" si="1089"/>
        <v>0</v>
      </c>
      <c r="KY94" s="14">
        <f t="shared" si="1089"/>
        <v>1</v>
      </c>
      <c r="KZ94" s="14">
        <f t="shared" si="1089"/>
        <v>1</v>
      </c>
      <c r="LA94" s="14">
        <f t="shared" si="1089"/>
        <v>1</v>
      </c>
      <c r="LB94" s="14">
        <f t="shared" si="1089"/>
        <v>1</v>
      </c>
      <c r="LC94" s="14">
        <f t="shared" si="1089"/>
        <v>1</v>
      </c>
      <c r="LD94" s="14">
        <f t="shared" si="1089"/>
        <v>1</v>
      </c>
      <c r="LE94" s="14">
        <f t="shared" ref="LE94:ME94" si="1090">IF( NOT(EXACT(LE25,"LVC_NEUTRAL_E")), 1, 0)</f>
        <v>0</v>
      </c>
      <c r="LF94" s="14">
        <f t="shared" si="1090"/>
        <v>0</v>
      </c>
      <c r="LG94" s="14">
        <f t="shared" si="1090"/>
        <v>0</v>
      </c>
      <c r="LH94" s="14">
        <f t="shared" si="1090"/>
        <v>0</v>
      </c>
      <c r="LI94" s="14">
        <f t="shared" si="1090"/>
        <v>0</v>
      </c>
      <c r="LJ94" s="14">
        <f t="shared" si="1090"/>
        <v>0</v>
      </c>
      <c r="LK94" s="14">
        <f t="shared" si="1090"/>
        <v>0</v>
      </c>
      <c r="LL94" s="14">
        <f t="shared" si="1090"/>
        <v>0</v>
      </c>
      <c r="LM94" s="14">
        <f t="shared" si="1090"/>
        <v>0</v>
      </c>
      <c r="LN94" s="14">
        <f t="shared" si="1090"/>
        <v>0</v>
      </c>
      <c r="LO94" s="14">
        <f t="shared" si="1090"/>
        <v>0</v>
      </c>
      <c r="LP94" s="14">
        <f t="shared" si="1090"/>
        <v>0</v>
      </c>
      <c r="LQ94" s="14">
        <f t="shared" si="1090"/>
        <v>1</v>
      </c>
      <c r="LR94" s="14">
        <f t="shared" si="1090"/>
        <v>0</v>
      </c>
      <c r="LS94" s="14">
        <f t="shared" si="1090"/>
        <v>1</v>
      </c>
      <c r="LT94" s="14">
        <f t="shared" si="1090"/>
        <v>1</v>
      </c>
      <c r="LU94" s="14">
        <f t="shared" si="1090"/>
        <v>1</v>
      </c>
      <c r="LV94" s="14">
        <f t="shared" si="1090"/>
        <v>0</v>
      </c>
      <c r="LW94" s="14">
        <f t="shared" si="1090"/>
        <v>1</v>
      </c>
      <c r="LX94" s="14">
        <f t="shared" si="1090"/>
        <v>0</v>
      </c>
      <c r="LY94" s="14">
        <f t="shared" si="1090"/>
        <v>1</v>
      </c>
      <c r="LZ94" s="14">
        <f t="shared" si="1090"/>
        <v>1</v>
      </c>
      <c r="MA94" s="14">
        <f t="shared" si="1090"/>
        <v>1</v>
      </c>
      <c r="MB94" s="14">
        <f t="shared" si="1090"/>
        <v>1</v>
      </c>
      <c r="MC94" s="14">
        <f t="shared" si="1090"/>
        <v>1</v>
      </c>
      <c r="MD94" s="14">
        <f t="shared" si="1090"/>
        <v>1</v>
      </c>
      <c r="ME94" s="14">
        <f t="shared" si="1090"/>
        <v>0</v>
      </c>
      <c r="MH94" s="14">
        <f>IF( NOT(EXACT(MH25,"LVC_NEUTRAL_E")), 1, 0)</f>
        <v>1</v>
      </c>
      <c r="MN94" s="14">
        <f>IF( NOT(EXACT(MN25,"LVC_NEUTRAL_E")), 1, 0)</f>
        <v>0</v>
      </c>
      <c r="MO94" s="14">
        <f>IF( NOT(EXACT(MO25,"LVC_NEUTRAL_E")), 1, 0)</f>
        <v>0</v>
      </c>
      <c r="MP94" s="14">
        <f>IF( NOT(EXACT(MP25,"LVC_NEUTRAL_E")), 1, 0)</f>
        <v>0</v>
      </c>
      <c r="MQ94" s="14">
        <f>IF( NOT(EXACT(MQ25,"LVC_NEUTRAL_E")), 1, 0)</f>
        <v>0</v>
      </c>
      <c r="MR94" s="14">
        <f>IF( NOT(EXACT(MR25,"LVC_NEUTRAL_E")), 1, 0)</f>
        <v>0</v>
      </c>
      <c r="MX94" s="14">
        <f>IF( NOT(EXACT(MX25,"LVC_NEUTRAL_E")), 1, 0)</f>
        <v>0</v>
      </c>
      <c r="MY94" s="14">
        <f>IF( NOT(EXACT(MY25,"LVC_NEUTRAL_E")), 1, 0)</f>
        <v>0</v>
      </c>
      <c r="MZ94" s="14">
        <f>IF( NOT(EXACT(MZ25,"LVC_NEUTRAL_E")), 1, 0)</f>
        <v>0</v>
      </c>
      <c r="NA94" s="14">
        <f>IF( NOT(EXACT(NA25,"LVC_NEUTRAL_E")), 1, 0)</f>
        <v>0</v>
      </c>
      <c r="NB94" s="14">
        <f>IF( NOT(EXACT(NB25,"LVC_NEUTRAL_E")), 1, 0)</f>
        <v>0</v>
      </c>
      <c r="NH94" s="14">
        <f t="shared" ref="NH94:NM94" si="1091">IF( NOT(EXACT(NH25,"LVC_NEUTRAL_E")), 1, 0)</f>
        <v>0</v>
      </c>
      <c r="NI94" s="14">
        <f t="shared" si="1091"/>
        <v>0</v>
      </c>
      <c r="NJ94" s="14">
        <f t="shared" si="1091"/>
        <v>0</v>
      </c>
      <c r="NK94" s="14">
        <f t="shared" si="1091"/>
        <v>0</v>
      </c>
      <c r="NL94" s="14">
        <f t="shared" si="1091"/>
        <v>0</v>
      </c>
      <c r="NM94" s="14">
        <f t="shared" si="1091"/>
        <v>0</v>
      </c>
      <c r="NQ94" s="14">
        <f>IF( NOT(EXACT(NQ25,"LVC_NEUTRAL_E")), 1, 0)</f>
        <v>0</v>
      </c>
      <c r="NR94" s="14">
        <f>IF( NOT(EXACT(NR25,"LVC_NEUTRAL_E")), 1, 0)</f>
        <v>0</v>
      </c>
      <c r="RZ94" s="14">
        <v>2</v>
      </c>
      <c r="SA94" s="14">
        <f>IF( NOT(EXACT(SA25,"LVC_NEUTRAL_E")), 1, 0)</f>
        <v>0</v>
      </c>
      <c r="WC94" s="14">
        <f>IF( NOT(EXACT(WC25,"LVC_NEUTRAL_E")), 1, 0)</f>
        <v>0</v>
      </c>
      <c r="AAT94" s="14">
        <f>IF( NOT(EXACT(AAT25,"LVC_NEUTRAL_E")), 1, 0)</f>
        <v>0</v>
      </c>
      <c r="ABF94" s="14">
        <f>IF( NOT(EXACT(ABF25,"LVC_NEUTRAL_E")), 1, 0)</f>
        <v>0</v>
      </c>
      <c r="ADP94" s="14">
        <f>IF( NOT(EXACT(ADP25,"LVC_NEUTRAL_E")), 1, 0)</f>
        <v>0</v>
      </c>
      <c r="AKP94" s="14">
        <v>2</v>
      </c>
      <c r="AKQ94" s="14">
        <f>IF( NOT(EXACT(AKQ25,"LVC_NEUTRAL_E")), 1, 0)</f>
        <v>0</v>
      </c>
      <c r="ALF94" s="14">
        <f>IF( NOT(EXACT(ALF25,"LVC_NEUTRAL_E")), 1, 0)</f>
        <v>0</v>
      </c>
      <c r="ALU94" s="14">
        <f>IF( NOT(EXACT(ALU25,"LVC_NEUTRAL_E")), 1, 0)</f>
        <v>0</v>
      </c>
    </row>
    <row r="95" spans="1:1009" ht="15" customHeight="1" x14ac:dyDescent="0.25">
      <c r="A95" s="14"/>
      <c r="IR95" s="14">
        <v>1</v>
      </c>
      <c r="IS95">
        <f t="shared" ref="IS95:JX95" si="1092">IF( AND(OR(EXACT(IS40,"DB_STEER_METHOD_SBW_E"),EXACT(IS33,"MD_MISSION_TYPE_MAINTEN_TOWING_E")), NOT(EXACT(IS30,"LVC_PIN_IN_E"))),1,0 )</f>
        <v>0</v>
      </c>
      <c r="IT95" s="14">
        <f t="shared" si="1092"/>
        <v>0</v>
      </c>
      <c r="IU95" s="14">
        <f t="shared" si="1092"/>
        <v>0</v>
      </c>
      <c r="IV95" s="14">
        <f t="shared" si="1092"/>
        <v>0</v>
      </c>
      <c r="IW95" s="14">
        <f t="shared" si="1092"/>
        <v>0</v>
      </c>
      <c r="IX95" s="14">
        <f t="shared" si="1092"/>
        <v>0</v>
      </c>
      <c r="IY95" s="14">
        <f t="shared" si="1092"/>
        <v>0</v>
      </c>
      <c r="IZ95" s="14">
        <f t="shared" si="1092"/>
        <v>0</v>
      </c>
      <c r="JA95" s="14">
        <f t="shared" si="1092"/>
        <v>0</v>
      </c>
      <c r="JB95" s="14">
        <f t="shared" si="1092"/>
        <v>0</v>
      </c>
      <c r="JC95" s="14">
        <f t="shared" si="1092"/>
        <v>0</v>
      </c>
      <c r="JD95" s="14">
        <f t="shared" si="1092"/>
        <v>0</v>
      </c>
      <c r="JE95" s="14">
        <f t="shared" si="1092"/>
        <v>0</v>
      </c>
      <c r="JF95" s="14">
        <f t="shared" si="1092"/>
        <v>1</v>
      </c>
      <c r="JG95" s="14">
        <f t="shared" si="1092"/>
        <v>0</v>
      </c>
      <c r="JH95" s="14">
        <f t="shared" si="1092"/>
        <v>0</v>
      </c>
      <c r="JI95" s="14">
        <f t="shared" si="1092"/>
        <v>0</v>
      </c>
      <c r="JJ95" s="14">
        <f t="shared" si="1092"/>
        <v>0</v>
      </c>
      <c r="JK95" s="14">
        <f t="shared" si="1092"/>
        <v>1</v>
      </c>
      <c r="JL95" s="14">
        <f t="shared" si="1092"/>
        <v>0</v>
      </c>
      <c r="JM95" s="14">
        <f t="shared" si="1092"/>
        <v>1</v>
      </c>
      <c r="JN95" s="14">
        <f t="shared" si="1092"/>
        <v>0</v>
      </c>
      <c r="JO95" s="14">
        <f t="shared" si="1092"/>
        <v>0</v>
      </c>
      <c r="JP95" s="14">
        <f t="shared" si="1092"/>
        <v>0</v>
      </c>
      <c r="JQ95" s="14">
        <f t="shared" si="1092"/>
        <v>0</v>
      </c>
      <c r="JR95" s="14">
        <f t="shared" si="1092"/>
        <v>0</v>
      </c>
      <c r="JS95" s="14">
        <f t="shared" si="1092"/>
        <v>0</v>
      </c>
      <c r="JT95" s="14">
        <f t="shared" si="1092"/>
        <v>0</v>
      </c>
      <c r="JU95" s="14">
        <f t="shared" si="1092"/>
        <v>0</v>
      </c>
      <c r="JV95" s="14">
        <f t="shared" si="1092"/>
        <v>0</v>
      </c>
      <c r="JW95" s="14">
        <f t="shared" si="1092"/>
        <v>0</v>
      </c>
      <c r="JX95" s="14">
        <f t="shared" si="1092"/>
        <v>0</v>
      </c>
      <c r="JY95" s="14">
        <f t="shared" ref="JY95:LD95" si="1093">IF( AND(OR(EXACT(JY40,"DB_STEER_METHOD_SBW_E"),EXACT(JY33,"MD_MISSION_TYPE_MAINTEN_TOWING_E")), NOT(EXACT(JY30,"LVC_PIN_IN_E"))),1,0 )</f>
        <v>0</v>
      </c>
      <c r="JZ95" s="14">
        <f t="shared" si="1093"/>
        <v>0</v>
      </c>
      <c r="KA95" s="14">
        <f t="shared" si="1093"/>
        <v>0</v>
      </c>
      <c r="KB95" s="14">
        <f t="shared" si="1093"/>
        <v>0</v>
      </c>
      <c r="KC95" s="14">
        <f t="shared" si="1093"/>
        <v>0</v>
      </c>
      <c r="KD95" s="14">
        <f t="shared" si="1093"/>
        <v>0</v>
      </c>
      <c r="KE95" s="14">
        <f t="shared" si="1093"/>
        <v>1</v>
      </c>
      <c r="KF95" s="14">
        <f t="shared" si="1093"/>
        <v>1</v>
      </c>
      <c r="KG95" s="14">
        <f t="shared" si="1093"/>
        <v>0</v>
      </c>
      <c r="KH95" s="14">
        <f t="shared" si="1093"/>
        <v>0</v>
      </c>
      <c r="KI95" s="14">
        <f t="shared" si="1093"/>
        <v>0</v>
      </c>
      <c r="KJ95" s="14">
        <f t="shared" si="1093"/>
        <v>0</v>
      </c>
      <c r="KK95" s="14">
        <f t="shared" si="1093"/>
        <v>0</v>
      </c>
      <c r="KL95" s="14">
        <f t="shared" si="1093"/>
        <v>0</v>
      </c>
      <c r="KM95" s="14">
        <f t="shared" si="1093"/>
        <v>0</v>
      </c>
      <c r="KN95" s="14">
        <f t="shared" si="1093"/>
        <v>0</v>
      </c>
      <c r="KO95" s="14">
        <f t="shared" si="1093"/>
        <v>0</v>
      </c>
      <c r="KP95" s="14">
        <f t="shared" si="1093"/>
        <v>0</v>
      </c>
      <c r="KQ95" s="14">
        <f t="shared" si="1093"/>
        <v>0</v>
      </c>
      <c r="KR95" s="14">
        <f t="shared" si="1093"/>
        <v>0</v>
      </c>
      <c r="KS95" s="14">
        <f t="shared" si="1093"/>
        <v>0</v>
      </c>
      <c r="KT95" s="14">
        <f t="shared" si="1093"/>
        <v>0</v>
      </c>
      <c r="KU95" s="14">
        <f t="shared" si="1093"/>
        <v>0</v>
      </c>
      <c r="KV95" s="14">
        <f t="shared" si="1093"/>
        <v>0</v>
      </c>
      <c r="KW95" s="14">
        <f t="shared" si="1093"/>
        <v>0</v>
      </c>
      <c r="KX95" s="14">
        <f t="shared" si="1093"/>
        <v>0</v>
      </c>
      <c r="KY95" s="14">
        <f t="shared" si="1093"/>
        <v>0</v>
      </c>
      <c r="KZ95" s="14">
        <f t="shared" si="1093"/>
        <v>0</v>
      </c>
      <c r="LA95" s="14">
        <f t="shared" si="1093"/>
        <v>0</v>
      </c>
      <c r="LB95" s="14">
        <f t="shared" si="1093"/>
        <v>0</v>
      </c>
      <c r="LC95" s="14">
        <f t="shared" si="1093"/>
        <v>0</v>
      </c>
      <c r="LD95" s="14">
        <f t="shared" si="1093"/>
        <v>0</v>
      </c>
      <c r="LE95" s="14">
        <f t="shared" ref="LE95:ME95" si="1094">IF( AND(OR(EXACT(LE40,"DB_STEER_METHOD_SBW_E"),EXACT(LE33,"MD_MISSION_TYPE_MAINTEN_TOWING_E")), NOT(EXACT(LE30,"LVC_PIN_IN_E"))),1,0 )</f>
        <v>0</v>
      </c>
      <c r="LF95" s="14">
        <f t="shared" si="1094"/>
        <v>0</v>
      </c>
      <c r="LG95" s="14">
        <f t="shared" si="1094"/>
        <v>0</v>
      </c>
      <c r="LH95" s="14">
        <f t="shared" si="1094"/>
        <v>0</v>
      </c>
      <c r="LI95" s="14">
        <f t="shared" si="1094"/>
        <v>0</v>
      </c>
      <c r="LJ95" s="14">
        <f t="shared" si="1094"/>
        <v>0</v>
      </c>
      <c r="LK95" s="14">
        <f t="shared" si="1094"/>
        <v>0</v>
      </c>
      <c r="LL95" s="14">
        <f t="shared" si="1094"/>
        <v>0</v>
      </c>
      <c r="LM95" s="14">
        <f t="shared" si="1094"/>
        <v>0</v>
      </c>
      <c r="LN95" s="14">
        <f t="shared" si="1094"/>
        <v>0</v>
      </c>
      <c r="LO95" s="14">
        <f t="shared" si="1094"/>
        <v>0</v>
      </c>
      <c r="LP95" s="14">
        <f t="shared" si="1094"/>
        <v>0</v>
      </c>
      <c r="LQ95" s="14">
        <f t="shared" si="1094"/>
        <v>0</v>
      </c>
      <c r="LR95" s="14">
        <f t="shared" si="1094"/>
        <v>0</v>
      </c>
      <c r="LS95" s="14">
        <f t="shared" si="1094"/>
        <v>0</v>
      </c>
      <c r="LT95" s="14">
        <f t="shared" si="1094"/>
        <v>0</v>
      </c>
      <c r="LU95" s="14">
        <f t="shared" si="1094"/>
        <v>1</v>
      </c>
      <c r="LV95" s="14">
        <f t="shared" si="1094"/>
        <v>0</v>
      </c>
      <c r="LW95" s="14">
        <f t="shared" si="1094"/>
        <v>1</v>
      </c>
      <c r="LX95" s="14">
        <f t="shared" si="1094"/>
        <v>0</v>
      </c>
      <c r="LY95" s="14">
        <f t="shared" si="1094"/>
        <v>1</v>
      </c>
      <c r="LZ95" s="14">
        <f t="shared" si="1094"/>
        <v>1</v>
      </c>
      <c r="MA95" s="14">
        <f t="shared" si="1094"/>
        <v>0</v>
      </c>
      <c r="MB95" s="14">
        <f t="shared" si="1094"/>
        <v>0</v>
      </c>
      <c r="MC95" s="14">
        <f t="shared" si="1094"/>
        <v>0</v>
      </c>
      <c r="MD95" s="14">
        <f t="shared" si="1094"/>
        <v>1</v>
      </c>
      <c r="ME95" s="14">
        <f t="shared" si="1094"/>
        <v>0</v>
      </c>
      <c r="MH95" s="14">
        <f>IF( AND(OR(EXACT(MH40,"DB_STEER_METHOD_SBW_E"),EXACT(MH33,"MD_MISSION_TYPE_MAINTEN_TOWING_E")), NOT(EXACT(MH30,"LVC_PIN_IN_E"))),1,0 )</f>
        <v>0</v>
      </c>
      <c r="MN95" s="14">
        <f>IF( AND(OR(EXACT(MN40,"DB_STEER_METHOD_SBW_E"),EXACT(MN33,"MD_MISSION_TYPE_MAINTEN_TOWING_E")), NOT(EXACT(MN30,"LVC_PIN_IN_E"))),1,0 )</f>
        <v>0</v>
      </c>
      <c r="MO95" s="14">
        <f>IF( AND(OR(EXACT(MO40,"DB_STEER_METHOD_SBW_E"),EXACT(MO33,"MD_MISSION_TYPE_MAINTEN_TOWING_E")), NOT(EXACT(MO30,"LVC_PIN_IN_E"))),1,0 )</f>
        <v>0</v>
      </c>
      <c r="MP95" s="14">
        <f>IF( AND(OR(EXACT(MP40,"DB_STEER_METHOD_SBW_E"),EXACT(MP33,"MD_MISSION_TYPE_MAINTEN_TOWING_E")), NOT(EXACT(MP30,"LVC_PIN_IN_E"))),1,0 )</f>
        <v>0</v>
      </c>
      <c r="MQ95" s="14">
        <f>IF( AND(OR(EXACT(MQ40,"DB_STEER_METHOD_SBW_E"),EXACT(MQ33,"MD_MISSION_TYPE_MAINTEN_TOWING_E")), NOT(EXACT(MQ30,"LVC_PIN_IN_E"))),1,0 )</f>
        <v>0</v>
      </c>
      <c r="MR95" s="14">
        <f>IF( AND(OR(EXACT(MR40,"DB_STEER_METHOD_SBW_E"),EXACT(MR33,"MD_MISSION_TYPE_MAINTEN_TOWING_E")), NOT(EXACT(MR30,"LVC_PIN_IN_E"))),1,0 )</f>
        <v>0</v>
      </c>
      <c r="MX95" s="14">
        <f>IF( AND(OR(EXACT(MX40,"DB_STEER_METHOD_SBW_E"),EXACT(MX33,"MD_MISSION_TYPE_MAINTEN_TOWING_E")), NOT(EXACT(MX30,"LVC_PIN_IN_E"))),1,0 )</f>
        <v>0</v>
      </c>
      <c r="MY95" s="14">
        <f>IF( AND(OR(EXACT(MY40,"DB_STEER_METHOD_SBW_E"),EXACT(MY33,"MD_MISSION_TYPE_MAINTEN_TOWING_E")), NOT(EXACT(MY30,"LVC_PIN_IN_E"))),1,0 )</f>
        <v>0</v>
      </c>
      <c r="MZ95" s="14">
        <f>IF( AND(OR(EXACT(MZ40,"DB_STEER_METHOD_SBW_E"),EXACT(MZ33,"MD_MISSION_TYPE_MAINTEN_TOWING_E")), NOT(EXACT(MZ30,"LVC_PIN_IN_E"))),1,0 )</f>
        <v>0</v>
      </c>
      <c r="NA95" s="14">
        <f>IF( AND(OR(EXACT(NA40,"DB_STEER_METHOD_SBW_E"),EXACT(NA33,"MD_MISSION_TYPE_MAINTEN_TOWING_E")), NOT(EXACT(NA30,"LVC_PIN_IN_E"))),1,0 )</f>
        <v>0</v>
      </c>
      <c r="NB95" s="14">
        <f>IF( AND(OR(EXACT(NB40,"DB_STEER_METHOD_SBW_E"),EXACT(NB33,"MD_MISSION_TYPE_MAINTEN_TOWING_E")), NOT(EXACT(NB30,"LVC_PIN_IN_E"))),1,0 )</f>
        <v>0</v>
      </c>
      <c r="NH95" s="14">
        <f t="shared" ref="NH95:NM95" si="1095">IF( AND(OR(EXACT(NH40,"DB_STEER_METHOD_SBW_E"),EXACT(NH33,"MD_MISSION_TYPE_MAINTEN_TOWING_E")), NOT(EXACT(NH30,"LVC_PIN_IN_E"))),1,0 )</f>
        <v>0</v>
      </c>
      <c r="NI95" s="14">
        <f t="shared" si="1095"/>
        <v>0</v>
      </c>
      <c r="NJ95" s="14">
        <f t="shared" si="1095"/>
        <v>0</v>
      </c>
      <c r="NK95" s="14">
        <f t="shared" si="1095"/>
        <v>0</v>
      </c>
      <c r="NL95" s="14">
        <f t="shared" si="1095"/>
        <v>0</v>
      </c>
      <c r="NM95" s="14">
        <f t="shared" si="1095"/>
        <v>0</v>
      </c>
      <c r="NQ95" s="14">
        <f>IF( AND(OR(EXACT(NQ40,"DB_STEER_METHOD_SBW_E"),EXACT(NQ33,"MD_MISSION_TYPE_MAINTEN_TOWING_E")), NOT(EXACT(NQ30,"LVC_PIN_IN_E"))),1,0 )</f>
        <v>0</v>
      </c>
      <c r="NR95" s="14">
        <f>IF( AND(OR(EXACT(NR40,"DB_STEER_METHOD_SBW_E"),EXACT(NR33,"MD_MISSION_TYPE_MAINTEN_TOWING_E")), NOT(EXACT(NR30,"LVC_PIN_IN_E"))),1,0 )</f>
        <v>0</v>
      </c>
      <c r="RZ95" s="14">
        <v>1</v>
      </c>
      <c r="SA95" s="14">
        <f>IF( AND(OR(EXACT(SA40,"DB_STEER_METHOD_SBW_E"),EXACT(SA33,"MD_MISSION_TYPE_MAINTEN_TOWING_E")), NOT(EXACT(SA30,"LVC_PIN_IN_E"))),1,0 )</f>
        <v>0</v>
      </c>
      <c r="WC95" s="14">
        <f>IF( AND(OR(EXACT(WC40,"DB_STEER_METHOD_SBW_E"),EXACT(WC33,"MD_MISSION_TYPE_MAINTEN_TOWING_E")), NOT(EXACT(WC30,"LVC_PIN_IN_E"))),1,0 )</f>
        <v>0</v>
      </c>
      <c r="AAT95" s="14">
        <f>IF( AND(OR(EXACT(AAT40,"DB_STEER_METHOD_SBW_E"),EXACT(AAT33,"MD_MISSION_TYPE_MAINTEN_TOWING_E")), NOT(EXACT(AAT30,"LVC_PIN_IN_E"))),1,0 )</f>
        <v>1</v>
      </c>
      <c r="ABF95" s="14">
        <f>IF( AND(OR(EXACT(ABF40,"DB_STEER_METHOD_SBW_E"),EXACT(ABF33,"MD_MISSION_TYPE_MAINTEN_TOWING_E")), NOT(EXACT(ABF30,"LVC_PIN_IN_E"))),1,0 )</f>
        <v>0</v>
      </c>
      <c r="ADP95" s="14">
        <f>IF( AND(OR(EXACT(ADP40,"DB_STEER_METHOD_SBW_E"),EXACT(ADP33,"MD_MISSION_TYPE_MAINTEN_TOWING_E")), NOT(EXACT(ADP30,"LVC_PIN_IN_E"))),1,0 )</f>
        <v>0</v>
      </c>
      <c r="AKP95" s="14">
        <v>1</v>
      </c>
      <c r="AKQ95" s="14">
        <f>IF( AND(OR(EXACT(AKQ40,"DB_STEER_METHOD_SBW_E"),EXACT(AKQ33,"MD_MISSION_TYPE_MAINTEN_TOWING_E")), NOT(EXACT(AKQ30,"LVC_PIN_IN_E"))),1,0 )</f>
        <v>0</v>
      </c>
      <c r="ALF95" s="14">
        <f>IF( AND(OR(EXACT(ALF40,"DB_STEER_METHOD_SBW_E"),EXACT(ALF33,"MD_MISSION_TYPE_MAINTEN_TOWING_E")), NOT(EXACT(ALF30,"LVC_PIN_IN_E"))),1,0 )</f>
        <v>0</v>
      </c>
      <c r="ALU95" s="14">
        <f>IF( AND(OR(EXACT(ALU40,"DB_STEER_METHOD_SBW_E"),EXACT(ALU33,"MD_MISSION_TYPE_MAINTEN_TOWING_E")), NOT(EXACT(ALU30,"LVC_PIN_IN_E"))),1,0 )</f>
        <v>1</v>
      </c>
    </row>
    <row r="96" spans="1:1009" ht="15" customHeight="1" x14ac:dyDescent="0.25">
      <c r="A96" s="14"/>
      <c r="ME96" s="14"/>
    </row>
    <row r="97" spans="1:979" ht="15" customHeight="1" x14ac:dyDescent="0.25">
      <c r="A97" s="14"/>
      <c r="NS97" s="14">
        <f xml:space="preserve"> IF(NS114=0,0,POWER(2,15)) + IF(NS113=0,0,POWER(2,14)) + IF(NS112=0,0,POWER(2,13)) + IF(NS111=0,0,POWER(2,12)) + IF(NS110=0,0,POWER(2,11)) + IF(NS109=0,0,POWER(2,10)) + IF(NS108=0,0,POWER(2,9)) + IF(NS107=0,0,POWER(2,8)) + IF(NS106=0,0,POWER(2,7)) + IF(NS105=0,0,POWER(2,6)) + IF(NS104=0,0,POWER(2,5)) + IF(NS103=0,0,POWER(2,4)) + IF(NS102=0,0,POWER(2,3)) + IF(NS101=0,0,POWER(2,2)) + IF(NS100=0,0,POWER(2,1)) + IF(NS99=0,0,POWER(2,0))</f>
        <v>34816</v>
      </c>
      <c r="NT97" s="14">
        <f xml:space="preserve"> IF(NT114=0,0,POWER(2,15)) + IF(NT113=0,0,POWER(2,14)) + IF(NT112=0,0,POWER(2,13)) + IF(NT111=0,0,POWER(2,12)) + IF(NT110=0,0,POWER(2,11)) + IF(NT109=0,0,POWER(2,10)) + IF(NT108=0,0,POWER(2,9)) + IF(NT107=0,0,POWER(2,8)) + IF(NT106=0,0,POWER(2,7)) + IF(NT105=0,0,POWER(2,6)) + IF(NT104=0,0,POWER(2,5)) + IF(NT103=0,0,POWER(2,4)) + IF(NT102=0,0,POWER(2,3)) + IF(NT101=0,0,POWER(2,2)) + IF(NT100=0,0,POWER(2,1)) + IF(NT99=0,0,POWER(2,0))</f>
        <v>2056</v>
      </c>
      <c r="NU97" s="14">
        <f t="shared" ref="NU97:PL97" si="1096" xml:space="preserve"> IF(NU114=0,0,POWER(2,15)) + IF(NU113=0,0,POWER(2,14)) + IF(NU112=0,0,POWER(2,13)) + IF(NU111=0,0,POWER(2,12)) + IF(NU110=0,0,POWER(2,11)) + IF(NU109=0,0,POWER(2,10)) + IF(NU108=0,0,POWER(2,9)) + IF(NU107=0,0,POWER(2,8)) + IF(NU106=0,0,POWER(2,7)) + IF(NU105=0,0,POWER(2,6)) + IF(NU104=0,0,POWER(2,5)) + IF(NU103=0,0,POWER(2,4)) + IF(NU102=0,0,POWER(2,3)) + IF(NU101=0,0,POWER(2,2)) + IF(NU100=0,0,POWER(2,1)) + IF(NU99=0,0,POWER(2,0))</f>
        <v>34816</v>
      </c>
      <c r="NV97" s="14">
        <f t="shared" si="1096"/>
        <v>34864</v>
      </c>
      <c r="NW97" s="14">
        <f t="shared" si="1096"/>
        <v>32769</v>
      </c>
      <c r="NX97" s="14">
        <f t="shared" si="1096"/>
        <v>35588</v>
      </c>
      <c r="NY97" s="14">
        <f t="shared" si="1096"/>
        <v>32864</v>
      </c>
      <c r="NZ97" s="14">
        <f t="shared" si="1096"/>
        <v>34944</v>
      </c>
      <c r="OA97" s="14">
        <f t="shared" si="1096"/>
        <v>35074</v>
      </c>
      <c r="OB97" s="14">
        <f t="shared" si="1096"/>
        <v>34819</v>
      </c>
      <c r="OC97" s="14">
        <f t="shared" si="1096"/>
        <v>34818</v>
      </c>
      <c r="OD97" s="14">
        <f t="shared" si="1096"/>
        <v>257</v>
      </c>
      <c r="OE97" s="14">
        <f t="shared" si="1096"/>
        <v>256</v>
      </c>
      <c r="OF97" s="14">
        <f t="shared" si="1096"/>
        <v>512</v>
      </c>
      <c r="OG97" s="14">
        <f t="shared" si="1096"/>
        <v>256</v>
      </c>
      <c r="OH97" s="14">
        <f t="shared" si="1096"/>
        <v>128</v>
      </c>
      <c r="OI97" s="14">
        <f t="shared" si="1096"/>
        <v>128</v>
      </c>
      <c r="OJ97" s="14">
        <f t="shared" si="1096"/>
        <v>128</v>
      </c>
      <c r="OK97" s="14">
        <f t="shared" si="1096"/>
        <v>0</v>
      </c>
      <c r="OL97" s="14">
        <f t="shared" si="1096"/>
        <v>32</v>
      </c>
      <c r="OM97" s="14">
        <f t="shared" si="1096"/>
        <v>64</v>
      </c>
      <c r="ON97" s="14">
        <f t="shared" si="1096"/>
        <v>0</v>
      </c>
      <c r="OO97" s="14">
        <f t="shared" si="1096"/>
        <v>0</v>
      </c>
      <c r="OP97" s="14">
        <f t="shared" si="1096"/>
        <v>0</v>
      </c>
      <c r="OQ97" s="14">
        <f t="shared" si="1096"/>
        <v>32</v>
      </c>
      <c r="OR97" s="14">
        <f t="shared" si="1096"/>
        <v>32</v>
      </c>
      <c r="OS97" s="14">
        <f t="shared" si="1096"/>
        <v>32</v>
      </c>
      <c r="OT97" s="14">
        <f t="shared" si="1096"/>
        <v>0</v>
      </c>
      <c r="OU97" s="14">
        <f t="shared" si="1096"/>
        <v>384</v>
      </c>
      <c r="OV97" s="14">
        <f t="shared" si="1096"/>
        <v>16</v>
      </c>
      <c r="OW97" s="14">
        <f t="shared" si="1096"/>
        <v>16</v>
      </c>
      <c r="OX97" s="14">
        <f t="shared" si="1096"/>
        <v>16</v>
      </c>
      <c r="OY97" s="14">
        <f t="shared" si="1096"/>
        <v>8</v>
      </c>
      <c r="OZ97" s="14">
        <f t="shared" si="1096"/>
        <v>0</v>
      </c>
      <c r="PA97" s="14">
        <f t="shared" si="1096"/>
        <v>0</v>
      </c>
      <c r="PB97" s="14">
        <f t="shared" si="1096"/>
        <v>4</v>
      </c>
      <c r="PC97" s="14">
        <f t="shared" si="1096"/>
        <v>0</v>
      </c>
      <c r="PD97" s="14">
        <f t="shared" si="1096"/>
        <v>0</v>
      </c>
      <c r="PE97" s="14">
        <f t="shared" si="1096"/>
        <v>2</v>
      </c>
      <c r="PF97" s="14">
        <f t="shared" si="1096"/>
        <v>2</v>
      </c>
      <c r="PG97" s="14">
        <f t="shared" si="1096"/>
        <v>2</v>
      </c>
      <c r="PH97" s="14">
        <f t="shared" si="1096"/>
        <v>1</v>
      </c>
      <c r="PI97" s="14">
        <f t="shared" si="1096"/>
        <v>32768</v>
      </c>
      <c r="PJ97" s="14">
        <f t="shared" si="1096"/>
        <v>32768</v>
      </c>
      <c r="PK97" s="14">
        <f t="shared" si="1096"/>
        <v>2048</v>
      </c>
      <c r="PL97" s="14">
        <f t="shared" si="1096"/>
        <v>2048</v>
      </c>
      <c r="PM97" s="14">
        <f t="shared" ref="PM97:PQ97" si="1097" xml:space="preserve"> IF(PM114=0,0,POWER(2,15)) + IF(PM113=0,0,POWER(2,14)) + IF(PM112=0,0,POWER(2,13)) + IF(PM111=0,0,POWER(2,12)) + IF(PM110=0,0,POWER(2,11)) + IF(PM109=0,0,POWER(2,10)) + IF(PM108=0,0,POWER(2,9)) + IF(PM107=0,0,POWER(2,8)) + IF(PM106=0,0,POWER(2,7)) + IF(PM105=0,0,POWER(2,6)) + IF(PM104=0,0,POWER(2,5)) + IF(PM103=0,0,POWER(2,4)) + IF(PM102=0,0,POWER(2,3)) + IF(PM101=0,0,POWER(2,2)) + IF(PM100=0,0,POWER(2,1)) + IF(PM99=0,0,POWER(2,0))</f>
        <v>126</v>
      </c>
      <c r="PN97" s="14">
        <f t="shared" si="1097"/>
        <v>2048</v>
      </c>
      <c r="PO97" s="14">
        <f t="shared" si="1097"/>
        <v>126</v>
      </c>
      <c r="PP97" s="14">
        <f t="shared" si="1097"/>
        <v>2048</v>
      </c>
      <c r="PQ97" s="14">
        <f t="shared" si="1097"/>
        <v>114</v>
      </c>
      <c r="PR97" s="14">
        <f t="shared" ref="PR97" si="1098" xml:space="preserve"> IF(PR114=0,0,POWER(2,15)) + IF(PR113=0,0,POWER(2,14)) + IF(PR112=0,0,POWER(2,13)) + IF(PR111=0,0,POWER(2,12)) + IF(PR110=0,0,POWER(2,11)) + IF(PR109=0,0,POWER(2,10)) + IF(PR108=0,0,POWER(2,9)) + IF(PR107=0,0,POWER(2,8)) + IF(PR106=0,0,POWER(2,7)) + IF(PR105=0,0,POWER(2,6)) + IF(PR104=0,0,POWER(2,5)) + IF(PR103=0,0,POWER(2,4)) + IF(PR102=0,0,POWER(2,3)) + IF(PR101=0,0,POWER(2,2)) + IF(PR100=0,0,POWER(2,1)) + IF(PR99=0,0,POWER(2,0))</f>
        <v>2825</v>
      </c>
      <c r="PS97" s="14">
        <f t="shared" ref="PS97:PX97" si="1099" xml:space="preserve"> IF(PS114=0,0,POWER(2,15)) + IF(PS113=0,0,POWER(2,14)) + IF(PS112=0,0,POWER(2,13)) + IF(PS111=0,0,POWER(2,12)) + IF(PS110=0,0,POWER(2,11)) + IF(PS109=0,0,POWER(2,10)) + IF(PS108=0,0,POWER(2,9)) + IF(PS107=0,0,POWER(2,8)) + IF(PS106=0,0,POWER(2,7)) + IF(PS105=0,0,POWER(2,6)) + IF(PS104=0,0,POWER(2,5)) + IF(PS103=0,0,POWER(2,4)) + IF(PS102=0,0,POWER(2,3)) + IF(PS101=0,0,POWER(2,2)) + IF(PS100=0,0,POWER(2,1)) + IF(PS99=0,0,POWER(2,0))</f>
        <v>2178</v>
      </c>
      <c r="PT97" s="14">
        <f t="shared" si="1099"/>
        <v>2308</v>
      </c>
      <c r="PU97" s="14">
        <f t="shared" si="1099"/>
        <v>2946</v>
      </c>
      <c r="PV97" s="14">
        <f t="shared" si="1099"/>
        <v>2050</v>
      </c>
      <c r="PW97" s="14">
        <f t="shared" si="1099"/>
        <v>2946</v>
      </c>
      <c r="PX97" s="14">
        <f t="shared" si="1099"/>
        <v>1</v>
      </c>
      <c r="PY97" s="14">
        <f t="shared" ref="PY97:PZ97" si="1100" xml:space="preserve"> IF(PY114=0,0,POWER(2,15)) + IF(PY113=0,0,POWER(2,14)) + IF(PY112=0,0,POWER(2,13)) + IF(PY111=0,0,POWER(2,12)) + IF(PY110=0,0,POWER(2,11)) + IF(PY109=0,0,POWER(2,10)) + IF(PY108=0,0,POWER(2,9)) + IF(PY107=0,0,POWER(2,8)) + IF(PY106=0,0,POWER(2,7)) + IF(PY105=0,0,POWER(2,6)) + IF(PY104=0,0,POWER(2,5)) + IF(PY103=0,0,POWER(2,4)) + IF(PY102=0,0,POWER(2,3)) + IF(PY101=0,0,POWER(2,2)) + IF(PY100=0,0,POWER(2,1)) + IF(PY99=0,0,POWER(2,0))</f>
        <v>34830</v>
      </c>
      <c r="PZ97" s="14">
        <f t="shared" si="1100"/>
        <v>34816</v>
      </c>
      <c r="QA97" s="14">
        <f t="shared" ref="QA97:QB97" si="1101" xml:space="preserve"> IF(QA114=0,0,POWER(2,15)) + IF(QA113=0,0,POWER(2,14)) + IF(QA112=0,0,POWER(2,13)) + IF(QA111=0,0,POWER(2,12)) + IF(QA110=0,0,POWER(2,11)) + IF(QA109=0,0,POWER(2,10)) + IF(QA108=0,0,POWER(2,9)) + IF(QA107=0,0,POWER(2,8)) + IF(QA106=0,0,POWER(2,7)) + IF(QA105=0,0,POWER(2,6)) + IF(QA104=0,0,POWER(2,5)) + IF(QA103=0,0,POWER(2,4)) + IF(QA102=0,0,POWER(2,3)) + IF(QA101=0,0,POWER(2,2)) + IF(QA100=0,0,POWER(2,1)) + IF(QA99=0,0,POWER(2,0))</f>
        <v>2050</v>
      </c>
      <c r="QB97" s="14">
        <f t="shared" si="1101"/>
        <v>34816</v>
      </c>
      <c r="QC97" s="14">
        <f t="shared" ref="QC97" si="1102" xml:space="preserve"> IF(QC114=0,0,POWER(2,15)) + IF(QC113=0,0,POWER(2,14)) + IF(QC112=0,0,POWER(2,13)) + IF(QC111=0,0,POWER(2,12)) + IF(QC110=0,0,POWER(2,11)) + IF(QC109=0,0,POWER(2,10)) + IF(QC108=0,0,POWER(2,9)) + IF(QC107=0,0,POWER(2,8)) + IF(QC106=0,0,POWER(2,7)) + IF(QC105=0,0,POWER(2,6)) + IF(QC104=0,0,POWER(2,5)) + IF(QC103=0,0,POWER(2,4)) + IF(QC102=0,0,POWER(2,3)) + IF(QC101=0,0,POWER(2,2)) + IF(QC100=0,0,POWER(2,1)) + IF(QC99=0,0,POWER(2,0))</f>
        <v>34816</v>
      </c>
      <c r="QD97" s="14">
        <f t="shared" ref="QD97:QF97" si="1103" xml:space="preserve"> IF(QD114=0,0,POWER(2,15)) + IF(QD113=0,0,POWER(2,14)) + IF(QD112=0,0,POWER(2,13)) + IF(QD111=0,0,POWER(2,12)) + IF(QD110=0,0,POWER(2,11)) + IF(QD109=0,0,POWER(2,10)) + IF(QD108=0,0,POWER(2,9)) + IF(QD107=0,0,POWER(2,8)) + IF(QD106=0,0,POWER(2,7)) + IF(QD105=0,0,POWER(2,6)) + IF(QD104=0,0,POWER(2,5)) + IF(QD103=0,0,POWER(2,4)) + IF(QD102=0,0,POWER(2,3)) + IF(QD101=0,0,POWER(2,2)) + IF(QD100=0,0,POWER(2,1)) + IF(QD99=0,0,POWER(2,0))</f>
        <v>32768</v>
      </c>
      <c r="QE97" s="14">
        <f t="shared" ref="QE97" si="1104" xml:space="preserve"> IF(QE114=0,0,POWER(2,15)) + IF(QE113=0,0,POWER(2,14)) + IF(QE112=0,0,POWER(2,13)) + IF(QE111=0,0,POWER(2,12)) + IF(QE110=0,0,POWER(2,11)) + IF(QE109=0,0,POWER(2,10)) + IF(QE108=0,0,POWER(2,9)) + IF(QE107=0,0,POWER(2,8)) + IF(QE106=0,0,POWER(2,7)) + IF(QE105=0,0,POWER(2,6)) + IF(QE104=0,0,POWER(2,5)) + IF(QE103=0,0,POWER(2,4)) + IF(QE102=0,0,POWER(2,3)) + IF(QE101=0,0,POWER(2,2)) + IF(QE100=0,0,POWER(2,1)) + IF(QE99=0,0,POWER(2,0))</f>
        <v>0</v>
      </c>
      <c r="QF97" s="14">
        <f t="shared" si="1103"/>
        <v>32768</v>
      </c>
      <c r="QG97" s="14">
        <f t="shared" ref="QG97:QH97" si="1105" xml:space="preserve"> IF(QG114=0,0,POWER(2,15)) + IF(QG113=0,0,POWER(2,14)) + IF(QG112=0,0,POWER(2,13)) + IF(QG111=0,0,POWER(2,12)) + IF(QG110=0,0,POWER(2,11)) + IF(QG109=0,0,POWER(2,10)) + IF(QG108=0,0,POWER(2,9)) + IF(QG107=0,0,POWER(2,8)) + IF(QG106=0,0,POWER(2,7)) + IF(QG105=0,0,POWER(2,6)) + IF(QG104=0,0,POWER(2,5)) + IF(QG103=0,0,POWER(2,4)) + IF(QG102=0,0,POWER(2,3)) + IF(QG101=0,0,POWER(2,2)) + IF(QG100=0,0,POWER(2,1)) + IF(QG99=0,0,POWER(2,0))</f>
        <v>32768</v>
      </c>
      <c r="QH97" s="14">
        <f t="shared" si="1105"/>
        <v>2058</v>
      </c>
      <c r="QI97" s="14">
        <f t="shared" ref="QI97:QK97" si="1106" xml:space="preserve"> IF(QI114=0,0,POWER(2,15)) + IF(QI113=0,0,POWER(2,14)) + IF(QI112=0,0,POWER(2,13)) + IF(QI111=0,0,POWER(2,12)) + IF(QI110=0,0,POWER(2,11)) + IF(QI109=0,0,POWER(2,10)) + IF(QI108=0,0,POWER(2,9)) + IF(QI107=0,0,POWER(2,8)) + IF(QI106=0,0,POWER(2,7)) + IF(QI105=0,0,POWER(2,6)) + IF(QI104=0,0,POWER(2,5)) + IF(QI103=0,0,POWER(2,4)) + IF(QI102=0,0,POWER(2,3)) + IF(QI101=0,0,POWER(2,2)) + IF(QI100=0,0,POWER(2,1)) + IF(QI99=0,0,POWER(2,0))</f>
        <v>32895</v>
      </c>
      <c r="QJ97" s="14">
        <f t="shared" si="1106"/>
        <v>34826</v>
      </c>
      <c r="QK97" s="14">
        <f t="shared" si="1106"/>
        <v>32842</v>
      </c>
      <c r="QL97" s="14">
        <f t="shared" ref="QL97:QN97" si="1107" xml:space="preserve"> IF(QL114=0,0,POWER(2,15)) + IF(QL113=0,0,POWER(2,14)) + IF(QL112=0,0,POWER(2,13)) + IF(QL111=0,0,POWER(2,12)) + IF(QL110=0,0,POWER(2,11)) + IF(QL109=0,0,POWER(2,10)) + IF(QL108=0,0,POWER(2,9)) + IF(QL107=0,0,POWER(2,8)) + IF(QL106=0,0,POWER(2,7)) + IF(QL105=0,0,POWER(2,6)) + IF(QL104=0,0,POWER(2,5)) + IF(QL103=0,0,POWER(2,4)) + IF(QL102=0,0,POWER(2,3)) + IF(QL101=0,0,POWER(2,2)) + IF(QL100=0,0,POWER(2,1)) + IF(QL99=0,0,POWER(2,0))</f>
        <v>33674</v>
      </c>
      <c r="QM97" s="14">
        <f t="shared" si="1107"/>
        <v>32778</v>
      </c>
      <c r="QN97" s="14">
        <f t="shared" si="1107"/>
        <v>42</v>
      </c>
      <c r="QO97" s="14">
        <f t="shared" ref="QO97:QR97" si="1108" xml:space="preserve"> IF(QO114=0,0,POWER(2,15)) + IF(QO113=0,0,POWER(2,14)) + IF(QO112=0,0,POWER(2,13)) + IF(QO111=0,0,POWER(2,12)) + IF(QO110=0,0,POWER(2,11)) + IF(QO109=0,0,POWER(2,10)) + IF(QO108=0,0,POWER(2,9)) + IF(QO107=0,0,POWER(2,8)) + IF(QO106=0,0,POWER(2,7)) + IF(QO105=0,0,POWER(2,6)) + IF(QO104=0,0,POWER(2,5)) + IF(QO103=0,0,POWER(2,4)) + IF(QO102=0,0,POWER(2,3)) + IF(QO101=0,0,POWER(2,2)) + IF(QO100=0,0,POWER(2,1)) + IF(QO99=0,0,POWER(2,0))</f>
        <v>34851</v>
      </c>
      <c r="QP97" s="14">
        <f t="shared" si="1108"/>
        <v>32808</v>
      </c>
      <c r="QQ97" s="14">
        <f t="shared" si="1108"/>
        <v>34855</v>
      </c>
      <c r="QR97" s="14">
        <f t="shared" si="1108"/>
        <v>34848</v>
      </c>
      <c r="QS97" s="14">
        <f t="shared" ref="QS97" si="1109" xml:space="preserve"> IF(QS114=0,0,POWER(2,15)) + IF(QS113=0,0,POWER(2,14)) + IF(QS112=0,0,POWER(2,13)) + IF(QS111=0,0,POWER(2,12)) + IF(QS110=0,0,POWER(2,11)) + IF(QS109=0,0,POWER(2,10)) + IF(QS108=0,0,POWER(2,9)) + IF(QS107=0,0,POWER(2,8)) + IF(QS106=0,0,POWER(2,7)) + IF(QS105=0,0,POWER(2,6)) + IF(QS104=0,0,POWER(2,5)) + IF(QS103=0,0,POWER(2,4)) + IF(QS102=0,0,POWER(2,3)) + IF(QS101=0,0,POWER(2,2)) + IF(QS100=0,0,POWER(2,1)) + IF(QS99=0,0,POWER(2,0))</f>
        <v>34848</v>
      </c>
      <c r="QT97" s="14">
        <f t="shared" ref="QT97:QV97" si="1110" xml:space="preserve"> IF(QT114=0,0,POWER(2,15)) + IF(QT113=0,0,POWER(2,14)) + IF(QT112=0,0,POWER(2,13)) + IF(QT111=0,0,POWER(2,12)) + IF(QT110=0,0,POWER(2,11)) + IF(QT109=0,0,POWER(2,10)) + IF(QT108=0,0,POWER(2,9)) + IF(QT107=0,0,POWER(2,8)) + IF(QT106=0,0,POWER(2,7)) + IF(QT105=0,0,POWER(2,6)) + IF(QT104=0,0,POWER(2,5)) + IF(QT103=0,0,POWER(2,4)) + IF(QT102=0,0,POWER(2,3)) + IF(QT101=0,0,POWER(2,2)) + IF(QT100=0,0,POWER(2,1)) + IF(QT99=0,0,POWER(2,0))</f>
        <v>2082</v>
      </c>
      <c r="QU97" s="14">
        <f t="shared" ref="QU97" si="1111" xml:space="preserve"> IF(QU114=0,0,POWER(2,15)) + IF(QU113=0,0,POWER(2,14)) + IF(QU112=0,0,POWER(2,13)) + IF(QU111=0,0,POWER(2,12)) + IF(QU110=0,0,POWER(2,11)) + IF(QU109=0,0,POWER(2,10)) + IF(QU108=0,0,POWER(2,9)) + IF(QU107=0,0,POWER(2,8)) + IF(QU106=0,0,POWER(2,7)) + IF(QU105=0,0,POWER(2,6)) + IF(QU104=0,0,POWER(2,5)) + IF(QU103=0,0,POWER(2,4)) + IF(QU102=0,0,POWER(2,3)) + IF(QU101=0,0,POWER(2,2)) + IF(QU100=0,0,POWER(2,1)) + IF(QU99=0,0,POWER(2,0))</f>
        <v>2080</v>
      </c>
      <c r="QV97" s="14">
        <f t="shared" si="1110"/>
        <v>34848</v>
      </c>
      <c r="QW97" s="14">
        <f t="shared" ref="QW97:RR97" si="1112" xml:space="preserve"> IF(QW114=0,0,POWER(2,15)) + IF(QW113=0,0,POWER(2,14)) + IF(QW112=0,0,POWER(2,13)) + IF(QW111=0,0,POWER(2,12)) + IF(QW110=0,0,POWER(2,11)) + IF(QW109=0,0,POWER(2,10)) + IF(QW108=0,0,POWER(2,9)) + IF(QW107=0,0,POWER(2,8)) + IF(QW106=0,0,POWER(2,7)) + IF(QW105=0,0,POWER(2,6)) + IF(QW104=0,0,POWER(2,5)) + IF(QW103=0,0,POWER(2,4)) + IF(QW102=0,0,POWER(2,3)) + IF(QW101=0,0,POWER(2,2)) + IF(QW100=0,0,POWER(2,1)) + IF(QW99=0,0,POWER(2,0))</f>
        <v>34848</v>
      </c>
      <c r="QX97" s="14">
        <f t="shared" si="1112"/>
        <v>34848</v>
      </c>
      <c r="QY97" s="14">
        <f t="shared" si="1112"/>
        <v>34848</v>
      </c>
      <c r="QZ97" s="14">
        <f t="shared" si="1112"/>
        <v>34848</v>
      </c>
      <c r="RA97" s="14">
        <f t="shared" si="1112"/>
        <v>34848</v>
      </c>
      <c r="RB97" s="14">
        <f t="shared" si="1112"/>
        <v>34848</v>
      </c>
      <c r="RC97" s="14">
        <f t="shared" si="1112"/>
        <v>34848</v>
      </c>
      <c r="RD97" s="14">
        <f t="shared" si="1112"/>
        <v>34848</v>
      </c>
      <c r="RE97" s="14">
        <f t="shared" ref="RE97:RH97" si="1113" xml:space="preserve"> IF(RE114=0,0,POWER(2,15)) + IF(RE113=0,0,POWER(2,14)) + IF(RE112=0,0,POWER(2,13)) + IF(RE111=0,0,POWER(2,12)) + IF(RE110=0,0,POWER(2,11)) + IF(RE109=0,0,POWER(2,10)) + IF(RE108=0,0,POWER(2,9)) + IF(RE107=0,0,POWER(2,8)) + IF(RE106=0,0,POWER(2,7)) + IF(RE105=0,0,POWER(2,6)) + IF(RE104=0,0,POWER(2,5)) + IF(RE103=0,0,POWER(2,4)) + IF(RE102=0,0,POWER(2,3)) + IF(RE101=0,0,POWER(2,2)) + IF(RE100=0,0,POWER(2,1)) + IF(RE99=0,0,POWER(2,0))</f>
        <v>34848</v>
      </c>
      <c r="RF97" s="14">
        <f t="shared" si="1113"/>
        <v>34848</v>
      </c>
      <c r="RG97" s="14">
        <f t="shared" si="1113"/>
        <v>34848</v>
      </c>
      <c r="RH97" s="14">
        <f t="shared" si="1113"/>
        <v>34848</v>
      </c>
      <c r="RI97" s="14">
        <f t="shared" ref="RI97:RQ97" si="1114" xml:space="preserve"> IF(RI114=0,0,POWER(2,15)) + IF(RI113=0,0,POWER(2,14)) + IF(RI112=0,0,POWER(2,13)) + IF(RI111=0,0,POWER(2,12)) + IF(RI110=0,0,POWER(2,11)) + IF(RI109=0,0,POWER(2,10)) + IF(RI108=0,0,POWER(2,9)) + IF(RI107=0,0,POWER(2,8)) + IF(RI106=0,0,POWER(2,7)) + IF(RI105=0,0,POWER(2,6)) + IF(RI104=0,0,POWER(2,5)) + IF(RI103=0,0,POWER(2,4)) + IF(RI102=0,0,POWER(2,3)) + IF(RI101=0,0,POWER(2,2)) + IF(RI100=0,0,POWER(2,1)) + IF(RI99=0,0,POWER(2,0))</f>
        <v>34848</v>
      </c>
      <c r="RJ97" s="14">
        <f t="shared" si="1114"/>
        <v>34848</v>
      </c>
      <c r="RK97" s="14">
        <f t="shared" si="1114"/>
        <v>34848</v>
      </c>
      <c r="RL97" s="14">
        <f t="shared" si="1114"/>
        <v>34848</v>
      </c>
      <c r="RM97" s="14">
        <f t="shared" si="1114"/>
        <v>34848</v>
      </c>
      <c r="RN97" s="14">
        <f t="shared" si="1114"/>
        <v>34848</v>
      </c>
      <c r="RO97" s="14">
        <f t="shared" si="1114"/>
        <v>34848</v>
      </c>
      <c r="RP97" s="14">
        <f t="shared" si="1114"/>
        <v>34848</v>
      </c>
      <c r="RQ97" s="14">
        <f t="shared" si="1114"/>
        <v>34848</v>
      </c>
      <c r="RR97" s="14">
        <f t="shared" si="1112"/>
        <v>34848</v>
      </c>
      <c r="SB97" s="14">
        <f xml:space="preserve"> IF(SB114=0,0,POWER(2,15)) + IF(SB113=0,0,POWER(2,14)) + IF(SB112=0,0,POWER(2,13)) + IF(SB111=0,0,POWER(2,12)) + IF(SB110=0,0,POWER(2,11)) + IF(SB109=0,0,POWER(2,10)) + IF(SB108=0,0,POWER(2,9)) + IF(SB107=0,0,POWER(2,8)) + IF(SB106=0,0,POWER(2,7)) + IF(SB105=0,0,POWER(2,6)) + IF(SB104=0,0,POWER(2,5)) + IF(SB103=0,0,POWER(2,4)) + IF(SB102=0,0,POWER(2,3)) + IF(SB101=0,0,POWER(2,2)) + IF(SB100=0,0,POWER(2,1)) + IF(SB99=0,0,POWER(2,0))</f>
        <v>34816</v>
      </c>
      <c r="SC97" s="14">
        <f xml:space="preserve"> IF(SC114=0,0,POWER(2,15)) + IF(SC113=0,0,POWER(2,14)) + IF(SC112=0,0,POWER(2,13)) + IF(SC111=0,0,POWER(2,12)) + IF(SC110=0,0,POWER(2,11)) + IF(SC109=0,0,POWER(2,10)) + IF(SC108=0,0,POWER(2,9)) + IF(SC107=0,0,POWER(2,8)) + IF(SC106=0,0,POWER(2,7)) + IF(SC105=0,0,POWER(2,6)) + IF(SC104=0,0,POWER(2,5)) + IF(SC103=0,0,POWER(2,4)) + IF(SC102=0,0,POWER(2,3)) + IF(SC101=0,0,POWER(2,2)) + IF(SC100=0,0,POWER(2,1)) + IF(SC99=0,0,POWER(2,0))</f>
        <v>2056</v>
      </c>
      <c r="SD97" s="14">
        <f t="shared" ref="SD97:UN97" si="1115" xml:space="preserve"> IF(SD114=0,0,POWER(2,15)) + IF(SD113=0,0,POWER(2,14)) + IF(SD112=0,0,POWER(2,13)) + IF(SD111=0,0,POWER(2,12)) + IF(SD110=0,0,POWER(2,11)) + IF(SD109=0,0,POWER(2,10)) + IF(SD108=0,0,POWER(2,9)) + IF(SD107=0,0,POWER(2,8)) + IF(SD106=0,0,POWER(2,7)) + IF(SD105=0,0,POWER(2,6)) + IF(SD104=0,0,POWER(2,5)) + IF(SD103=0,0,POWER(2,4)) + IF(SD102=0,0,POWER(2,3)) + IF(SD101=0,0,POWER(2,2)) + IF(SD100=0,0,POWER(2,1)) + IF(SD99=0,0,POWER(2,0))</f>
        <v>34816</v>
      </c>
      <c r="SE97" s="14">
        <f t="shared" si="1115"/>
        <v>34864</v>
      </c>
      <c r="SF97" s="14">
        <f t="shared" si="1115"/>
        <v>32769</v>
      </c>
      <c r="SG97" s="14">
        <f t="shared" si="1115"/>
        <v>35588</v>
      </c>
      <c r="SH97" s="14">
        <f t="shared" si="1115"/>
        <v>32864</v>
      </c>
      <c r="SI97" s="14">
        <f t="shared" si="1115"/>
        <v>34944</v>
      </c>
      <c r="SJ97" s="14">
        <f t="shared" si="1115"/>
        <v>35074</v>
      </c>
      <c r="SK97" s="14">
        <f t="shared" si="1115"/>
        <v>34819</v>
      </c>
      <c r="SL97" s="14">
        <f t="shared" si="1115"/>
        <v>34818</v>
      </c>
      <c r="SM97" s="14">
        <f t="shared" si="1115"/>
        <v>257</v>
      </c>
      <c r="SN97" s="14">
        <f t="shared" si="1115"/>
        <v>256</v>
      </c>
      <c r="SO97" s="14">
        <f t="shared" si="1115"/>
        <v>512</v>
      </c>
      <c r="SP97" s="14">
        <f t="shared" si="1115"/>
        <v>256</v>
      </c>
      <c r="SQ97" s="14">
        <f t="shared" si="1115"/>
        <v>128</v>
      </c>
      <c r="SR97" s="14">
        <f t="shared" si="1115"/>
        <v>128</v>
      </c>
      <c r="SS97" s="14">
        <f t="shared" si="1115"/>
        <v>128</v>
      </c>
      <c r="ST97" s="14">
        <f t="shared" si="1115"/>
        <v>0</v>
      </c>
      <c r="SU97" s="14">
        <f t="shared" si="1115"/>
        <v>32</v>
      </c>
      <c r="SV97" s="14">
        <f t="shared" si="1115"/>
        <v>64</v>
      </c>
      <c r="SW97" s="14">
        <f t="shared" si="1115"/>
        <v>0</v>
      </c>
      <c r="SX97" s="14">
        <f t="shared" si="1115"/>
        <v>0</v>
      </c>
      <c r="SY97" s="14">
        <f t="shared" si="1115"/>
        <v>0</v>
      </c>
      <c r="SZ97" s="14">
        <f t="shared" si="1115"/>
        <v>32</v>
      </c>
      <c r="TA97" s="14">
        <f t="shared" si="1115"/>
        <v>32</v>
      </c>
      <c r="TB97" s="14">
        <f t="shared" si="1115"/>
        <v>32</v>
      </c>
      <c r="TC97" s="14">
        <f t="shared" si="1115"/>
        <v>0</v>
      </c>
      <c r="TD97" s="14">
        <f t="shared" si="1115"/>
        <v>384</v>
      </c>
      <c r="TE97" s="14">
        <f t="shared" si="1115"/>
        <v>16</v>
      </c>
      <c r="TF97" s="14">
        <f t="shared" si="1115"/>
        <v>16</v>
      </c>
      <c r="TG97" s="14">
        <f t="shared" si="1115"/>
        <v>8</v>
      </c>
      <c r="TH97" s="14">
        <f t="shared" si="1115"/>
        <v>0</v>
      </c>
      <c r="TI97" s="14">
        <f t="shared" si="1115"/>
        <v>0</v>
      </c>
      <c r="TJ97" s="14">
        <f t="shared" si="1115"/>
        <v>4</v>
      </c>
      <c r="TK97" s="14">
        <f t="shared" si="1115"/>
        <v>0</v>
      </c>
      <c r="TL97" s="14">
        <f t="shared" si="1115"/>
        <v>0</v>
      </c>
      <c r="TM97" s="14">
        <f t="shared" si="1115"/>
        <v>2</v>
      </c>
      <c r="TN97" s="14">
        <f t="shared" si="1115"/>
        <v>2</v>
      </c>
      <c r="TO97" s="14">
        <f t="shared" si="1115"/>
        <v>2</v>
      </c>
      <c r="TP97" s="14">
        <f t="shared" si="1115"/>
        <v>1</v>
      </c>
      <c r="TQ97" s="14">
        <f t="shared" si="1115"/>
        <v>32768</v>
      </c>
      <c r="TR97" s="14">
        <f t="shared" si="1115"/>
        <v>32768</v>
      </c>
      <c r="TS97" s="14">
        <f t="shared" si="1115"/>
        <v>2048</v>
      </c>
      <c r="TT97" s="14">
        <f t="shared" si="1115"/>
        <v>2048</v>
      </c>
      <c r="TU97" s="14">
        <f t="shared" si="1115"/>
        <v>126</v>
      </c>
      <c r="TV97" s="14">
        <f t="shared" si="1115"/>
        <v>2048</v>
      </c>
      <c r="TW97" s="14">
        <f t="shared" si="1115"/>
        <v>126</v>
      </c>
      <c r="TX97" s="14">
        <f t="shared" si="1115"/>
        <v>2048</v>
      </c>
      <c r="TY97" s="14">
        <f t="shared" si="1115"/>
        <v>114</v>
      </c>
      <c r="TZ97" s="14">
        <f t="shared" si="1115"/>
        <v>2825</v>
      </c>
      <c r="UA97" s="14">
        <f t="shared" si="1115"/>
        <v>2178</v>
      </c>
      <c r="UB97" s="14">
        <f t="shared" si="1115"/>
        <v>2308</v>
      </c>
      <c r="UC97" s="14">
        <f t="shared" si="1115"/>
        <v>2946</v>
      </c>
      <c r="UD97" s="14">
        <f t="shared" si="1115"/>
        <v>2050</v>
      </c>
      <c r="UE97" s="14">
        <f t="shared" si="1115"/>
        <v>2946</v>
      </c>
      <c r="UF97" s="14">
        <f t="shared" si="1115"/>
        <v>1</v>
      </c>
      <c r="UG97" s="14">
        <f t="shared" si="1115"/>
        <v>34830</v>
      </c>
      <c r="UH97" s="14">
        <f t="shared" si="1115"/>
        <v>34816</v>
      </c>
      <c r="UI97" s="14">
        <f t="shared" si="1115"/>
        <v>2050</v>
      </c>
      <c r="UJ97" s="14">
        <f t="shared" si="1115"/>
        <v>34816</v>
      </c>
      <c r="UK97" s="14">
        <f t="shared" si="1115"/>
        <v>34816</v>
      </c>
      <c r="UL97" s="14">
        <f t="shared" si="1115"/>
        <v>32768</v>
      </c>
      <c r="UM97" s="14">
        <f t="shared" si="1115"/>
        <v>0</v>
      </c>
      <c r="UN97" s="14">
        <f t="shared" si="1115"/>
        <v>32768</v>
      </c>
      <c r="UO97" s="14">
        <f t="shared" ref="UO97:VZ97" si="1116" xml:space="preserve"> IF(UO114=0,0,POWER(2,15)) + IF(UO113=0,0,POWER(2,14)) + IF(UO112=0,0,POWER(2,13)) + IF(UO111=0,0,POWER(2,12)) + IF(UO110=0,0,POWER(2,11)) + IF(UO109=0,0,POWER(2,10)) + IF(UO108=0,0,POWER(2,9)) + IF(UO107=0,0,POWER(2,8)) + IF(UO106=0,0,POWER(2,7)) + IF(UO105=0,0,POWER(2,6)) + IF(UO104=0,0,POWER(2,5)) + IF(UO103=0,0,POWER(2,4)) + IF(UO102=0,0,POWER(2,3)) + IF(UO101=0,0,POWER(2,2)) + IF(UO100=0,0,POWER(2,1)) + IF(UO99=0,0,POWER(2,0))</f>
        <v>32768</v>
      </c>
      <c r="UP97" s="14">
        <f t="shared" si="1116"/>
        <v>2058</v>
      </c>
      <c r="UQ97" s="14">
        <f t="shared" si="1116"/>
        <v>32895</v>
      </c>
      <c r="UR97" s="14">
        <f t="shared" si="1116"/>
        <v>34826</v>
      </c>
      <c r="US97" s="14">
        <f t="shared" si="1116"/>
        <v>32842</v>
      </c>
      <c r="UT97" s="14">
        <f t="shared" si="1116"/>
        <v>33674</v>
      </c>
      <c r="UU97" s="14">
        <f t="shared" si="1116"/>
        <v>32778</v>
      </c>
      <c r="UV97" s="14">
        <f t="shared" si="1116"/>
        <v>42</v>
      </c>
      <c r="UW97" s="14">
        <f t="shared" si="1116"/>
        <v>34851</v>
      </c>
      <c r="UX97" s="14">
        <f t="shared" si="1116"/>
        <v>32808</v>
      </c>
      <c r="UY97" s="14">
        <f t="shared" si="1116"/>
        <v>34855</v>
      </c>
      <c r="UZ97" s="14">
        <f t="shared" si="1116"/>
        <v>34848</v>
      </c>
      <c r="VA97" s="14">
        <f t="shared" si="1116"/>
        <v>34848</v>
      </c>
      <c r="VB97" s="14">
        <f t="shared" si="1116"/>
        <v>2082</v>
      </c>
      <c r="VC97" s="14">
        <f t="shared" si="1116"/>
        <v>2080</v>
      </c>
      <c r="VD97" s="14">
        <f t="shared" si="1116"/>
        <v>34848</v>
      </c>
      <c r="VE97" s="14">
        <f t="shared" si="1116"/>
        <v>34848</v>
      </c>
      <c r="VF97" s="14">
        <f t="shared" si="1116"/>
        <v>34848</v>
      </c>
      <c r="VG97" s="14">
        <f t="shared" si="1116"/>
        <v>34848</v>
      </c>
      <c r="VH97" s="14">
        <f t="shared" si="1116"/>
        <v>34848</v>
      </c>
      <c r="VI97" s="14">
        <f t="shared" si="1116"/>
        <v>34848</v>
      </c>
      <c r="VJ97" s="14">
        <f t="shared" si="1116"/>
        <v>34848</v>
      </c>
      <c r="VK97" s="14">
        <f t="shared" si="1116"/>
        <v>34848</v>
      </c>
      <c r="VL97" s="14">
        <f t="shared" si="1116"/>
        <v>34848</v>
      </c>
      <c r="VM97" s="14">
        <f t="shared" si="1116"/>
        <v>34848</v>
      </c>
      <c r="VN97" s="14">
        <f t="shared" si="1116"/>
        <v>34848</v>
      </c>
      <c r="VO97" s="14">
        <f t="shared" si="1116"/>
        <v>34848</v>
      </c>
      <c r="VP97" s="14">
        <f t="shared" si="1116"/>
        <v>34848</v>
      </c>
      <c r="VQ97" s="14">
        <f t="shared" si="1116"/>
        <v>34848</v>
      </c>
      <c r="VR97" s="14">
        <f t="shared" si="1116"/>
        <v>34848</v>
      </c>
      <c r="VS97" s="14">
        <f t="shared" si="1116"/>
        <v>34848</v>
      </c>
      <c r="VT97" s="14">
        <f t="shared" si="1116"/>
        <v>34848</v>
      </c>
      <c r="VU97" s="14">
        <f t="shared" si="1116"/>
        <v>34848</v>
      </c>
      <c r="VV97" s="14">
        <f t="shared" si="1116"/>
        <v>34848</v>
      </c>
      <c r="VW97" s="14">
        <f t="shared" si="1116"/>
        <v>34848</v>
      </c>
      <c r="VX97" s="14">
        <f t="shared" si="1116"/>
        <v>34848</v>
      </c>
      <c r="VY97" s="14">
        <f t="shared" si="1116"/>
        <v>34848</v>
      </c>
      <c r="VZ97" s="14">
        <f t="shared" si="1116"/>
        <v>34848</v>
      </c>
    </row>
    <row r="98" spans="1:979" ht="15" customHeight="1" x14ac:dyDescent="0.25">
      <c r="A98" s="14"/>
      <c r="B98" s="7" t="s">
        <v>443</v>
      </c>
      <c r="NS98" s="14" t="str">
        <f>NS114&amp;NS113&amp;NS112&amp;NS111&amp;NS110&amp;NS109&amp;NS108&amp;NS107&amp;NS106&amp;NS105&amp;NS104&amp;NS103&amp;NS102&amp;NS101&amp;NS100&amp;NS99</f>
        <v>1000100000000000</v>
      </c>
      <c r="NT98" s="14" t="str">
        <f>NT114&amp;NT113&amp;NT112&amp;NT111&amp;NT110&amp;NT109&amp;NT108&amp;NT107&amp;NT106&amp;NT105&amp;NT104&amp;NT103&amp;NT102&amp;NT101&amp;NT100&amp;NT99</f>
        <v>0000100000001000</v>
      </c>
      <c r="NU98" s="14" t="str">
        <f t="shared" ref="NU98:PL98" si="1117">NU114&amp;NU113&amp;NU112&amp;NU111&amp;NU110&amp;NU109&amp;NU108&amp;NU107&amp;NU106&amp;NU105&amp;NU104&amp;NU103&amp;NU102&amp;NU101&amp;NU100&amp;NU99</f>
        <v>1000100000000000</v>
      </c>
      <c r="NV98" s="14" t="str">
        <f t="shared" si="1117"/>
        <v>1000100000110000</v>
      </c>
      <c r="NW98" s="14" t="str">
        <f t="shared" si="1117"/>
        <v>1000000000000001</v>
      </c>
      <c r="NX98" s="14" t="str">
        <f t="shared" si="1117"/>
        <v>1000101100000100</v>
      </c>
      <c r="NY98" s="14" t="str">
        <f t="shared" si="1117"/>
        <v>1000000001100000</v>
      </c>
      <c r="NZ98" s="14" t="str">
        <f t="shared" si="1117"/>
        <v>1000100010000000</v>
      </c>
      <c r="OA98" s="14" t="str">
        <f t="shared" si="1117"/>
        <v>1000100100000010</v>
      </c>
      <c r="OB98" s="14" t="str">
        <f t="shared" si="1117"/>
        <v>1000100000000011</v>
      </c>
      <c r="OC98" s="14" t="str">
        <f t="shared" si="1117"/>
        <v>1000100000000010</v>
      </c>
      <c r="OD98" s="14" t="str">
        <f t="shared" si="1117"/>
        <v>0000000100000001</v>
      </c>
      <c r="OE98" s="14" t="str">
        <f t="shared" si="1117"/>
        <v>0000000100000000</v>
      </c>
      <c r="OF98" s="14" t="str">
        <f t="shared" si="1117"/>
        <v>0000001000000000</v>
      </c>
      <c r="OG98" s="14" t="str">
        <f t="shared" si="1117"/>
        <v>0000000100000000</v>
      </c>
      <c r="OH98" s="14" t="str">
        <f t="shared" si="1117"/>
        <v>0000000010000000</v>
      </c>
      <c r="OI98" s="14" t="str">
        <f t="shared" si="1117"/>
        <v>0000000010000000</v>
      </c>
      <c r="OJ98" s="14" t="str">
        <f t="shared" si="1117"/>
        <v>0000000010000000</v>
      </c>
      <c r="OK98" s="14" t="str">
        <f t="shared" si="1117"/>
        <v>0000000000000000</v>
      </c>
      <c r="OL98" s="14" t="str">
        <f t="shared" si="1117"/>
        <v>0000000000100000</v>
      </c>
      <c r="OM98" s="14" t="str">
        <f t="shared" si="1117"/>
        <v>0000000001000000</v>
      </c>
      <c r="ON98" s="14" t="str">
        <f t="shared" si="1117"/>
        <v>0000000000000000</v>
      </c>
      <c r="OO98" s="14" t="str">
        <f t="shared" si="1117"/>
        <v>0000000000000000</v>
      </c>
      <c r="OP98" s="14" t="str">
        <f t="shared" si="1117"/>
        <v>0000000000000000</v>
      </c>
      <c r="OQ98" s="14" t="str">
        <f t="shared" si="1117"/>
        <v>0000000000100000</v>
      </c>
      <c r="OR98" s="14" t="str">
        <f t="shared" si="1117"/>
        <v>0000000000100000</v>
      </c>
      <c r="OS98" s="14" t="str">
        <f t="shared" si="1117"/>
        <v>0000000000100000</v>
      </c>
      <c r="OT98" s="14" t="str">
        <f t="shared" si="1117"/>
        <v>0000000000000000</v>
      </c>
      <c r="OU98" s="14" t="str">
        <f t="shared" si="1117"/>
        <v>0000000110000000</v>
      </c>
      <c r="OV98" s="14" t="str">
        <f t="shared" si="1117"/>
        <v>0000000000010000</v>
      </c>
      <c r="OW98" s="14" t="str">
        <f t="shared" si="1117"/>
        <v>0000000000010000</v>
      </c>
      <c r="OX98" s="14" t="str">
        <f t="shared" si="1117"/>
        <v>0000000000010000</v>
      </c>
      <c r="OY98" s="14" t="str">
        <f t="shared" si="1117"/>
        <v>0000000000001000</v>
      </c>
      <c r="OZ98" s="14" t="str">
        <f t="shared" si="1117"/>
        <v>0000000000000000</v>
      </c>
      <c r="PA98" s="14" t="str">
        <f t="shared" si="1117"/>
        <v>0000000000000000</v>
      </c>
      <c r="PB98" s="14" t="str">
        <f t="shared" si="1117"/>
        <v>0000000000000100</v>
      </c>
      <c r="PC98" s="14" t="str">
        <f t="shared" si="1117"/>
        <v>0000000000000000</v>
      </c>
      <c r="PD98" s="14" t="str">
        <f t="shared" si="1117"/>
        <v>0000000000000000</v>
      </c>
      <c r="PE98" s="14" t="str">
        <f t="shared" si="1117"/>
        <v>0000000000000010</v>
      </c>
      <c r="PF98" s="14" t="str">
        <f t="shared" si="1117"/>
        <v>0000000000000010</v>
      </c>
      <c r="PG98" s="14" t="str">
        <f t="shared" si="1117"/>
        <v>0000000000000010</v>
      </c>
      <c r="PH98" s="14" t="str">
        <f t="shared" si="1117"/>
        <v>0000000000000001</v>
      </c>
      <c r="PI98" s="14" t="str">
        <f t="shared" si="1117"/>
        <v>1000000000000000</v>
      </c>
      <c r="PJ98" s="14" t="str">
        <f t="shared" si="1117"/>
        <v>1000000000000000</v>
      </c>
      <c r="PK98" s="14" t="str">
        <f t="shared" si="1117"/>
        <v>0000100000000000</v>
      </c>
      <c r="PL98" s="14" t="str">
        <f t="shared" si="1117"/>
        <v>0000100000000000</v>
      </c>
      <c r="PM98" s="14" t="str">
        <f t="shared" ref="PM98" si="1118">PM114&amp;PM113&amp;PM112&amp;PM111&amp;PM110&amp;PM109&amp;PM108&amp;PM107&amp;PM106&amp;PM105&amp;PM104&amp;PM103&amp;PM102&amp;PM101&amp;PM100&amp;PM99</f>
        <v>0000000001111110</v>
      </c>
      <c r="PN98" s="14" t="str">
        <f t="shared" ref="PN98" si="1119">PN114&amp;PN113&amp;PN112&amp;PN111&amp;PN110&amp;PN109&amp;PN108&amp;PN107&amp;PN106&amp;PN105&amp;PN104&amp;PN103&amp;PN102&amp;PN101&amp;PN100&amp;PN99</f>
        <v>0000100000000000</v>
      </c>
      <c r="PO98" s="14" t="str">
        <f t="shared" ref="PO98" si="1120">PO114&amp;PO113&amp;PO112&amp;PO111&amp;PO110&amp;PO109&amp;PO108&amp;PO107&amp;PO106&amp;PO105&amp;PO104&amp;PO103&amp;PO102&amp;PO101&amp;PO100&amp;PO99</f>
        <v>0000000001111110</v>
      </c>
      <c r="PP98" s="14" t="str">
        <f t="shared" ref="PP98" si="1121">PP114&amp;PP113&amp;PP112&amp;PP111&amp;PP110&amp;PP109&amp;PP108&amp;PP107&amp;PP106&amp;PP105&amp;PP104&amp;PP103&amp;PP102&amp;PP101&amp;PP100&amp;PP99</f>
        <v>0000100000000000</v>
      </c>
      <c r="PQ98" s="14" t="str">
        <f t="shared" ref="PQ98:PR98" si="1122">PQ114&amp;PQ113&amp;PQ112&amp;PQ111&amp;PQ110&amp;PQ109&amp;PQ108&amp;PQ107&amp;PQ106&amp;PQ105&amp;PQ104&amp;PQ103&amp;PQ102&amp;PQ101&amp;PQ100&amp;PQ99</f>
        <v>0000000001110010</v>
      </c>
      <c r="PR98" s="14" t="str">
        <f t="shared" si="1122"/>
        <v>0000101100001001</v>
      </c>
      <c r="PS98" s="14" t="str">
        <f t="shared" ref="PS98" si="1123">PS114&amp;PS113&amp;PS112&amp;PS111&amp;PS110&amp;PS109&amp;PS108&amp;PS107&amp;PS106&amp;PS105&amp;PS104&amp;PS103&amp;PS102&amp;PS101&amp;PS100&amp;PS99</f>
        <v>0000100010000010</v>
      </c>
      <c r="PT98" s="14" t="str">
        <f t="shared" ref="PT98" si="1124">PT114&amp;PT113&amp;PT112&amp;PT111&amp;PT110&amp;PT109&amp;PT108&amp;PT107&amp;PT106&amp;PT105&amp;PT104&amp;PT103&amp;PT102&amp;PT101&amp;PT100&amp;PT99</f>
        <v>0000100100000100</v>
      </c>
      <c r="PU98" s="14" t="str">
        <f t="shared" ref="PU98" si="1125">PU114&amp;PU113&amp;PU112&amp;PU111&amp;PU110&amp;PU109&amp;PU108&amp;PU107&amp;PU106&amp;PU105&amp;PU104&amp;PU103&amp;PU102&amp;PU101&amp;PU100&amp;PU99</f>
        <v>0000101110000010</v>
      </c>
      <c r="PV98" s="14" t="str">
        <f t="shared" ref="PV98" si="1126">PV114&amp;PV113&amp;PV112&amp;PV111&amp;PV110&amp;PV109&amp;PV108&amp;PV107&amp;PV106&amp;PV105&amp;PV104&amp;PV103&amp;PV102&amp;PV101&amp;PV100&amp;PV99</f>
        <v>0000100000000010</v>
      </c>
      <c r="PW98" s="14" t="str">
        <f t="shared" ref="PW98" si="1127">PW114&amp;PW113&amp;PW112&amp;PW111&amp;PW110&amp;PW109&amp;PW108&amp;PW107&amp;PW106&amp;PW105&amp;PW104&amp;PW103&amp;PW102&amp;PW101&amp;PW100&amp;PW99</f>
        <v>0000101110000010</v>
      </c>
      <c r="PX98" s="14" t="str">
        <f t="shared" ref="PX98" si="1128">PX114&amp;PX113&amp;PX112&amp;PX111&amp;PX110&amp;PX109&amp;PX108&amp;PX107&amp;PX106&amp;PX105&amp;PX104&amp;PX103&amp;PX102&amp;PX101&amp;PX100&amp;PX99</f>
        <v>0000000000000001</v>
      </c>
      <c r="PY98" s="14" t="str">
        <f t="shared" ref="PY98" si="1129">PY114&amp;PY113&amp;PY112&amp;PY111&amp;PY110&amp;PY109&amp;PY108&amp;PY107&amp;PY106&amp;PY105&amp;PY104&amp;PY103&amp;PY102&amp;PY101&amp;PY100&amp;PY99</f>
        <v>1000100000001110</v>
      </c>
      <c r="PZ98" s="14" t="str">
        <f t="shared" ref="PZ98" si="1130">PZ114&amp;PZ113&amp;PZ112&amp;PZ111&amp;PZ110&amp;PZ109&amp;PZ108&amp;PZ107&amp;PZ106&amp;PZ105&amp;PZ104&amp;PZ103&amp;PZ102&amp;PZ101&amp;PZ100&amp;PZ99</f>
        <v>1000100000000000</v>
      </c>
      <c r="QA98" s="14" t="str">
        <f t="shared" ref="QA98" si="1131">QA114&amp;QA113&amp;QA112&amp;QA111&amp;QA110&amp;QA109&amp;QA108&amp;QA107&amp;QA106&amp;QA105&amp;QA104&amp;QA103&amp;QA102&amp;QA101&amp;QA100&amp;QA99</f>
        <v>0000100000000010</v>
      </c>
      <c r="QB98" s="14" t="str">
        <f t="shared" ref="QB98:QC98" si="1132">QB114&amp;QB113&amp;QB112&amp;QB111&amp;QB110&amp;QB109&amp;QB108&amp;QB107&amp;QB106&amp;QB105&amp;QB104&amp;QB103&amp;QB102&amp;QB101&amp;QB100&amp;QB99</f>
        <v>1000100000000000</v>
      </c>
      <c r="QC98" s="14" t="str">
        <f t="shared" si="1132"/>
        <v>1000100000000000</v>
      </c>
      <c r="QD98" s="14" t="str">
        <f t="shared" ref="QD98:QE98" si="1133">QD114&amp;QD113&amp;QD112&amp;QD111&amp;QD110&amp;QD109&amp;QD108&amp;QD107&amp;QD106&amp;QD105&amp;QD104&amp;QD103&amp;QD102&amp;QD101&amp;QD100&amp;QD99</f>
        <v>1000000000000000</v>
      </c>
      <c r="QE98" s="14" t="str">
        <f t="shared" si="1133"/>
        <v>0000000000000000</v>
      </c>
      <c r="QF98" s="14" t="str">
        <f t="shared" ref="QF98:QG98" si="1134">QF114&amp;QF113&amp;QF112&amp;QF111&amp;QF110&amp;QF109&amp;QF108&amp;QF107&amp;QF106&amp;QF105&amp;QF104&amp;QF103&amp;QF102&amp;QF101&amp;QF100&amp;QF99</f>
        <v>1000000000000000</v>
      </c>
      <c r="QG98" s="14" t="str">
        <f t="shared" si="1134"/>
        <v>1000000000000000</v>
      </c>
      <c r="QH98" s="14" t="str">
        <f t="shared" ref="QH98:QK98" si="1135">QH114&amp;QH113&amp;QH112&amp;QH111&amp;QH110&amp;QH109&amp;QH108&amp;QH107&amp;QH106&amp;QH105&amp;QH104&amp;QH103&amp;QH102&amp;QH101&amp;QH100&amp;QH99</f>
        <v>0000100000001010</v>
      </c>
      <c r="QI98" s="14" t="str">
        <f t="shared" si="1135"/>
        <v>1000000001111111</v>
      </c>
      <c r="QJ98" s="14" t="str">
        <f t="shared" si="1135"/>
        <v>1000100000001010</v>
      </c>
      <c r="QK98" s="14" t="str">
        <f t="shared" si="1135"/>
        <v>1000000001001010</v>
      </c>
      <c r="QL98" s="14" t="str">
        <f t="shared" ref="QL98:QN98" si="1136">QL114&amp;QL113&amp;QL112&amp;QL111&amp;QL110&amp;QL109&amp;QL108&amp;QL107&amp;QL106&amp;QL105&amp;QL104&amp;QL103&amp;QL102&amp;QL101&amp;QL100&amp;QL99</f>
        <v>1000001110001010</v>
      </c>
      <c r="QM98" s="14" t="str">
        <f t="shared" si="1136"/>
        <v>1000000000001010</v>
      </c>
      <c r="QN98" s="14" t="str">
        <f t="shared" si="1136"/>
        <v>0000000000101010</v>
      </c>
      <c r="QO98" s="14" t="str">
        <f t="shared" ref="QO98:QR98" si="1137">QO114&amp;QO113&amp;QO112&amp;QO111&amp;QO110&amp;QO109&amp;QO108&amp;QO107&amp;QO106&amp;QO105&amp;QO104&amp;QO103&amp;QO102&amp;QO101&amp;QO100&amp;QO99</f>
        <v>1000100000100011</v>
      </c>
      <c r="QP98" s="14" t="str">
        <f t="shared" si="1137"/>
        <v>1000000000101000</v>
      </c>
      <c r="QQ98" s="14" t="str">
        <f t="shared" si="1137"/>
        <v>1000100000100111</v>
      </c>
      <c r="QR98" s="14" t="str">
        <f t="shared" si="1137"/>
        <v>1000100000100000</v>
      </c>
      <c r="QS98" s="14" t="str">
        <f t="shared" ref="QS98" si="1138">QS114&amp;QS113&amp;QS112&amp;QS111&amp;QS110&amp;QS109&amp;QS108&amp;QS107&amp;QS106&amp;QS105&amp;QS104&amp;QS103&amp;QS102&amp;QS101&amp;QS100&amp;QS99</f>
        <v>1000100000100000</v>
      </c>
      <c r="QT98" s="14" t="str">
        <f t="shared" ref="QT98:QV98" si="1139">QT114&amp;QT113&amp;QT112&amp;QT111&amp;QT110&amp;QT109&amp;QT108&amp;QT107&amp;QT106&amp;QT105&amp;QT104&amp;QT103&amp;QT102&amp;QT101&amp;QT100&amp;QT99</f>
        <v>0000100000100010</v>
      </c>
      <c r="QU98" s="14" t="str">
        <f t="shared" ref="QU98" si="1140">QU114&amp;QU113&amp;QU112&amp;QU111&amp;QU110&amp;QU109&amp;QU108&amp;QU107&amp;QU106&amp;QU105&amp;QU104&amp;QU103&amp;QU102&amp;QU101&amp;QU100&amp;QU99</f>
        <v>0000100000100000</v>
      </c>
      <c r="QV98" s="14" t="str">
        <f t="shared" si="1139"/>
        <v>1000100000100000</v>
      </c>
      <c r="QW98" s="14" t="str">
        <f t="shared" ref="QW98:RR98" si="1141">QW114&amp;QW113&amp;QW112&amp;QW111&amp;QW110&amp;QW109&amp;QW108&amp;QW107&amp;QW106&amp;QW105&amp;QW104&amp;QW103&amp;QW102&amp;QW101&amp;QW100&amp;QW99</f>
        <v>1000100000100000</v>
      </c>
      <c r="QX98" s="14" t="str">
        <f t="shared" si="1141"/>
        <v>1000100000100000</v>
      </c>
      <c r="QY98" s="14" t="str">
        <f t="shared" si="1141"/>
        <v>1000100000100000</v>
      </c>
      <c r="QZ98" s="14" t="str">
        <f t="shared" si="1141"/>
        <v>1000100000100000</v>
      </c>
      <c r="RA98" s="14" t="str">
        <f t="shared" si="1141"/>
        <v>1000100000100000</v>
      </c>
      <c r="RB98" s="14" t="str">
        <f t="shared" si="1141"/>
        <v>1000100000100000</v>
      </c>
      <c r="RC98" s="14" t="str">
        <f t="shared" si="1141"/>
        <v>1000100000100000</v>
      </c>
      <c r="RD98" s="14" t="str">
        <f t="shared" si="1141"/>
        <v>1000100000100000</v>
      </c>
      <c r="RE98" s="14" t="str">
        <f t="shared" ref="RE98:RH98" si="1142">RE114&amp;RE113&amp;RE112&amp;RE111&amp;RE110&amp;RE109&amp;RE108&amp;RE107&amp;RE106&amp;RE105&amp;RE104&amp;RE103&amp;RE102&amp;RE101&amp;RE100&amp;RE99</f>
        <v>1000100000100000</v>
      </c>
      <c r="RF98" s="14" t="str">
        <f t="shared" si="1142"/>
        <v>1000100000100000</v>
      </c>
      <c r="RG98" s="14" t="str">
        <f t="shared" si="1142"/>
        <v>1000100000100000</v>
      </c>
      <c r="RH98" s="14" t="str">
        <f t="shared" si="1142"/>
        <v>1000100000100000</v>
      </c>
      <c r="RI98" s="14" t="str">
        <f t="shared" ref="RI98:RQ98" si="1143">RI114&amp;RI113&amp;RI112&amp;RI111&amp;RI110&amp;RI109&amp;RI108&amp;RI107&amp;RI106&amp;RI105&amp;RI104&amp;RI103&amp;RI102&amp;RI101&amp;RI100&amp;RI99</f>
        <v>1000100000100000</v>
      </c>
      <c r="RJ98" s="14" t="str">
        <f t="shared" si="1143"/>
        <v>1000100000100000</v>
      </c>
      <c r="RK98" s="14" t="str">
        <f t="shared" si="1143"/>
        <v>1000100000100000</v>
      </c>
      <c r="RL98" s="14" t="str">
        <f t="shared" si="1143"/>
        <v>1000100000100000</v>
      </c>
      <c r="RM98" s="14" t="str">
        <f t="shared" si="1143"/>
        <v>1000100000100000</v>
      </c>
      <c r="RN98" s="14" t="str">
        <f t="shared" si="1143"/>
        <v>1000100000100000</v>
      </c>
      <c r="RO98" s="14" t="str">
        <f t="shared" si="1143"/>
        <v>1000100000100000</v>
      </c>
      <c r="RP98" s="14" t="str">
        <f t="shared" si="1143"/>
        <v>1000100000100000</v>
      </c>
      <c r="RQ98" s="14" t="str">
        <f t="shared" si="1143"/>
        <v>1000100000100000</v>
      </c>
      <c r="RR98" s="14" t="str">
        <f t="shared" si="1141"/>
        <v>1000100000100000</v>
      </c>
      <c r="SB98" s="14" t="str">
        <f>SB114&amp;SB113&amp;SB112&amp;SB111&amp;SB110&amp;SB109&amp;SB108&amp;SB107&amp;SB106&amp;SB105&amp;SB104&amp;SB103&amp;SB102&amp;SB101&amp;SB100&amp;SB99</f>
        <v>1000100000000000</v>
      </c>
      <c r="SC98" s="14" t="str">
        <f>SC114&amp;SC113&amp;SC112&amp;SC111&amp;SC110&amp;SC109&amp;SC108&amp;SC107&amp;SC106&amp;SC105&amp;SC104&amp;SC103&amp;SC102&amp;SC101&amp;SC100&amp;SC99</f>
        <v>0000100000001000</v>
      </c>
      <c r="SD98" s="14" t="str">
        <f t="shared" ref="SD98:UN98" si="1144">SD114&amp;SD113&amp;SD112&amp;SD111&amp;SD110&amp;SD109&amp;SD108&amp;SD107&amp;SD106&amp;SD105&amp;SD104&amp;SD103&amp;SD102&amp;SD101&amp;SD100&amp;SD99</f>
        <v>1000100000000000</v>
      </c>
      <c r="SE98" s="14" t="str">
        <f t="shared" si="1144"/>
        <v>1000100000110000</v>
      </c>
      <c r="SF98" s="14" t="str">
        <f t="shared" si="1144"/>
        <v>1000000000000001</v>
      </c>
      <c r="SG98" s="14" t="str">
        <f t="shared" si="1144"/>
        <v>1000101100000100</v>
      </c>
      <c r="SH98" s="14" t="str">
        <f t="shared" si="1144"/>
        <v>1000000001100000</v>
      </c>
      <c r="SI98" s="14" t="str">
        <f t="shared" si="1144"/>
        <v>1000100010000000</v>
      </c>
      <c r="SJ98" s="14" t="str">
        <f t="shared" si="1144"/>
        <v>1000100100000010</v>
      </c>
      <c r="SK98" s="14" t="str">
        <f t="shared" si="1144"/>
        <v>1000100000000011</v>
      </c>
      <c r="SL98" s="14" t="str">
        <f t="shared" si="1144"/>
        <v>1000100000000010</v>
      </c>
      <c r="SM98" s="14" t="str">
        <f t="shared" si="1144"/>
        <v>0000000100000001</v>
      </c>
      <c r="SN98" s="14" t="str">
        <f t="shared" si="1144"/>
        <v>0000000100000000</v>
      </c>
      <c r="SO98" s="14" t="str">
        <f t="shared" si="1144"/>
        <v>0000001000000000</v>
      </c>
      <c r="SP98" s="14" t="str">
        <f t="shared" si="1144"/>
        <v>0000000100000000</v>
      </c>
      <c r="SQ98" s="14" t="str">
        <f t="shared" si="1144"/>
        <v>0000000010000000</v>
      </c>
      <c r="SR98" s="14" t="str">
        <f t="shared" si="1144"/>
        <v>0000000010000000</v>
      </c>
      <c r="SS98" s="14" t="str">
        <f t="shared" si="1144"/>
        <v>0000000010000000</v>
      </c>
      <c r="ST98" s="14" t="str">
        <f t="shared" si="1144"/>
        <v>0000000000000000</v>
      </c>
      <c r="SU98" s="14" t="str">
        <f t="shared" si="1144"/>
        <v>0000000000100000</v>
      </c>
      <c r="SV98" s="14" t="str">
        <f t="shared" si="1144"/>
        <v>0000000001000000</v>
      </c>
      <c r="SW98" s="14" t="str">
        <f t="shared" si="1144"/>
        <v>0000000000000000</v>
      </c>
      <c r="SX98" s="14" t="str">
        <f t="shared" si="1144"/>
        <v>0000000000000000</v>
      </c>
      <c r="SY98" s="14" t="str">
        <f t="shared" si="1144"/>
        <v>0000000000000000</v>
      </c>
      <c r="SZ98" s="14" t="str">
        <f t="shared" si="1144"/>
        <v>0000000000100000</v>
      </c>
      <c r="TA98" s="14" t="str">
        <f t="shared" si="1144"/>
        <v>0000000000100000</v>
      </c>
      <c r="TB98" s="14" t="str">
        <f t="shared" si="1144"/>
        <v>0000000000100000</v>
      </c>
      <c r="TC98" s="14" t="str">
        <f t="shared" si="1144"/>
        <v>0000000000000000</v>
      </c>
      <c r="TD98" s="14" t="str">
        <f t="shared" si="1144"/>
        <v>0000000110000000</v>
      </c>
      <c r="TE98" s="14" t="str">
        <f t="shared" si="1144"/>
        <v>0000000000010000</v>
      </c>
      <c r="TF98" s="14" t="str">
        <f t="shared" si="1144"/>
        <v>0000000000010000</v>
      </c>
      <c r="TG98" s="14" t="str">
        <f t="shared" si="1144"/>
        <v>0000000000001000</v>
      </c>
      <c r="TH98" s="14" t="str">
        <f t="shared" si="1144"/>
        <v>0000000000000000</v>
      </c>
      <c r="TI98" s="14" t="str">
        <f t="shared" si="1144"/>
        <v>0000000000000000</v>
      </c>
      <c r="TJ98" s="14" t="str">
        <f t="shared" si="1144"/>
        <v>0000000000000100</v>
      </c>
      <c r="TK98" s="14" t="str">
        <f t="shared" si="1144"/>
        <v>0000000000000000</v>
      </c>
      <c r="TL98" s="14" t="str">
        <f t="shared" si="1144"/>
        <v>0000000000000000</v>
      </c>
      <c r="TM98" s="14" t="str">
        <f t="shared" si="1144"/>
        <v>0000000000000010</v>
      </c>
      <c r="TN98" s="14" t="str">
        <f t="shared" si="1144"/>
        <v>0000000000000010</v>
      </c>
      <c r="TO98" s="14" t="str">
        <f t="shared" si="1144"/>
        <v>0000000000000010</v>
      </c>
      <c r="TP98" s="14" t="str">
        <f t="shared" si="1144"/>
        <v>0000000000000001</v>
      </c>
      <c r="TQ98" s="14" t="str">
        <f t="shared" si="1144"/>
        <v>1000000000000000</v>
      </c>
      <c r="TR98" s="14" t="str">
        <f t="shared" si="1144"/>
        <v>1000000000000000</v>
      </c>
      <c r="TS98" s="14" t="str">
        <f t="shared" si="1144"/>
        <v>0000100000000000</v>
      </c>
      <c r="TT98" s="14" t="str">
        <f t="shared" si="1144"/>
        <v>0000100000000000</v>
      </c>
      <c r="TU98" s="14" t="str">
        <f t="shared" si="1144"/>
        <v>0000000001111110</v>
      </c>
      <c r="TV98" s="14" t="str">
        <f t="shared" si="1144"/>
        <v>0000100000000000</v>
      </c>
      <c r="TW98" s="14" t="str">
        <f t="shared" si="1144"/>
        <v>0000000001111110</v>
      </c>
      <c r="TX98" s="14" t="str">
        <f t="shared" si="1144"/>
        <v>0000100000000000</v>
      </c>
      <c r="TY98" s="14" t="str">
        <f t="shared" si="1144"/>
        <v>0000000001110010</v>
      </c>
      <c r="TZ98" s="14" t="str">
        <f t="shared" si="1144"/>
        <v>0000101100001001</v>
      </c>
      <c r="UA98" s="14" t="str">
        <f t="shared" si="1144"/>
        <v>0000100010000010</v>
      </c>
      <c r="UB98" s="14" t="str">
        <f t="shared" si="1144"/>
        <v>0000100100000100</v>
      </c>
      <c r="UC98" s="14" t="str">
        <f t="shared" si="1144"/>
        <v>0000101110000010</v>
      </c>
      <c r="UD98" s="14" t="str">
        <f t="shared" si="1144"/>
        <v>0000100000000010</v>
      </c>
      <c r="UE98" s="14" t="str">
        <f t="shared" si="1144"/>
        <v>0000101110000010</v>
      </c>
      <c r="UF98" s="14" t="str">
        <f t="shared" si="1144"/>
        <v>0000000000000001</v>
      </c>
      <c r="UG98" s="14" t="str">
        <f t="shared" si="1144"/>
        <v>1000100000001110</v>
      </c>
      <c r="UH98" s="14" t="str">
        <f t="shared" si="1144"/>
        <v>1000100000000000</v>
      </c>
      <c r="UI98" s="14" t="str">
        <f t="shared" si="1144"/>
        <v>0000100000000010</v>
      </c>
      <c r="UJ98" s="14" t="str">
        <f t="shared" si="1144"/>
        <v>1000100000000000</v>
      </c>
      <c r="UK98" s="14" t="str">
        <f t="shared" si="1144"/>
        <v>1000100000000000</v>
      </c>
      <c r="UL98" s="14" t="str">
        <f t="shared" si="1144"/>
        <v>1000000000000000</v>
      </c>
      <c r="UM98" s="14" t="str">
        <f t="shared" si="1144"/>
        <v>0000000000000000</v>
      </c>
      <c r="UN98" s="14" t="str">
        <f t="shared" si="1144"/>
        <v>1000000000000000</v>
      </c>
      <c r="UO98" s="14" t="str">
        <f t="shared" ref="UO98:VZ98" si="1145">UO114&amp;UO113&amp;UO112&amp;UO111&amp;UO110&amp;UO109&amp;UO108&amp;UO107&amp;UO106&amp;UO105&amp;UO104&amp;UO103&amp;UO102&amp;UO101&amp;UO100&amp;UO99</f>
        <v>1000000000000000</v>
      </c>
      <c r="UP98" s="14" t="str">
        <f t="shared" si="1145"/>
        <v>0000100000001010</v>
      </c>
      <c r="UQ98" s="14" t="str">
        <f t="shared" si="1145"/>
        <v>1000000001111111</v>
      </c>
      <c r="UR98" s="14" t="str">
        <f t="shared" si="1145"/>
        <v>1000100000001010</v>
      </c>
      <c r="US98" s="14" t="str">
        <f t="shared" si="1145"/>
        <v>1000000001001010</v>
      </c>
      <c r="UT98" s="14" t="str">
        <f t="shared" si="1145"/>
        <v>1000001110001010</v>
      </c>
      <c r="UU98" s="14" t="str">
        <f t="shared" si="1145"/>
        <v>1000000000001010</v>
      </c>
      <c r="UV98" s="14" t="str">
        <f t="shared" si="1145"/>
        <v>0000000000101010</v>
      </c>
      <c r="UW98" s="14" t="str">
        <f t="shared" si="1145"/>
        <v>1000100000100011</v>
      </c>
      <c r="UX98" s="14" t="str">
        <f t="shared" si="1145"/>
        <v>1000000000101000</v>
      </c>
      <c r="UY98" s="14" t="str">
        <f t="shared" si="1145"/>
        <v>1000100000100111</v>
      </c>
      <c r="UZ98" s="14" t="str">
        <f t="shared" si="1145"/>
        <v>1000100000100000</v>
      </c>
      <c r="VA98" s="14" t="str">
        <f t="shared" si="1145"/>
        <v>1000100000100000</v>
      </c>
      <c r="VB98" s="14" t="str">
        <f t="shared" si="1145"/>
        <v>0000100000100010</v>
      </c>
      <c r="VC98" s="14" t="str">
        <f t="shared" si="1145"/>
        <v>0000100000100000</v>
      </c>
      <c r="VD98" s="14" t="str">
        <f t="shared" si="1145"/>
        <v>1000100000100000</v>
      </c>
      <c r="VE98" s="14" t="str">
        <f t="shared" si="1145"/>
        <v>1000100000100000</v>
      </c>
      <c r="VF98" s="14" t="str">
        <f t="shared" si="1145"/>
        <v>1000100000100000</v>
      </c>
      <c r="VG98" s="14" t="str">
        <f t="shared" si="1145"/>
        <v>1000100000100000</v>
      </c>
      <c r="VH98" s="14" t="str">
        <f t="shared" si="1145"/>
        <v>1000100000100000</v>
      </c>
      <c r="VI98" s="14" t="str">
        <f t="shared" si="1145"/>
        <v>1000100000100000</v>
      </c>
      <c r="VJ98" s="14" t="str">
        <f t="shared" si="1145"/>
        <v>1000100000100000</v>
      </c>
      <c r="VK98" s="14" t="str">
        <f t="shared" si="1145"/>
        <v>1000100000100000</v>
      </c>
      <c r="VL98" s="14" t="str">
        <f t="shared" si="1145"/>
        <v>1000100000100000</v>
      </c>
      <c r="VM98" s="14" t="str">
        <f t="shared" si="1145"/>
        <v>1000100000100000</v>
      </c>
      <c r="VN98" s="14" t="str">
        <f t="shared" si="1145"/>
        <v>1000100000100000</v>
      </c>
      <c r="VO98" s="14" t="str">
        <f t="shared" si="1145"/>
        <v>1000100000100000</v>
      </c>
      <c r="VP98" s="14" t="str">
        <f t="shared" si="1145"/>
        <v>1000100000100000</v>
      </c>
      <c r="VQ98" s="14" t="str">
        <f t="shared" si="1145"/>
        <v>1000100000100000</v>
      </c>
      <c r="VR98" s="14" t="str">
        <f t="shared" si="1145"/>
        <v>1000100000100000</v>
      </c>
      <c r="VS98" s="14" t="str">
        <f t="shared" si="1145"/>
        <v>1000100000100000</v>
      </c>
      <c r="VT98" s="14" t="str">
        <f t="shared" si="1145"/>
        <v>1000100000100000</v>
      </c>
      <c r="VU98" s="14" t="str">
        <f t="shared" si="1145"/>
        <v>1000100000100000</v>
      </c>
      <c r="VV98" s="14" t="str">
        <f t="shared" si="1145"/>
        <v>1000100000100000</v>
      </c>
      <c r="VW98" s="14" t="str">
        <f t="shared" si="1145"/>
        <v>1000100000100000</v>
      </c>
      <c r="VX98" s="14" t="str">
        <f t="shared" si="1145"/>
        <v>1000100000100000</v>
      </c>
      <c r="VY98" s="14" t="str">
        <f t="shared" si="1145"/>
        <v>1000100000100000</v>
      </c>
      <c r="VZ98" s="14" t="str">
        <f t="shared" si="1145"/>
        <v>1000100000100000</v>
      </c>
    </row>
    <row r="99" spans="1:979" ht="15" customHeight="1" x14ac:dyDescent="0.25">
      <c r="A99" s="14"/>
      <c r="NR99" s="14">
        <v>1</v>
      </c>
      <c r="NS99" s="14">
        <f t="shared" ref="NS99:OX99" si="1146" xml:space="preserve"> IF( NOT(NS57), 1,0)</f>
        <v>0</v>
      </c>
      <c r="NT99" s="14">
        <f t="shared" si="1146"/>
        <v>0</v>
      </c>
      <c r="NU99" s="14">
        <f t="shared" si="1146"/>
        <v>0</v>
      </c>
      <c r="NV99" s="14">
        <f t="shared" si="1146"/>
        <v>0</v>
      </c>
      <c r="NW99" s="14">
        <f t="shared" si="1146"/>
        <v>1</v>
      </c>
      <c r="NX99" s="14">
        <f t="shared" si="1146"/>
        <v>0</v>
      </c>
      <c r="NY99" s="14">
        <f t="shared" si="1146"/>
        <v>0</v>
      </c>
      <c r="NZ99" s="14">
        <f t="shared" si="1146"/>
        <v>0</v>
      </c>
      <c r="OA99" s="14">
        <f t="shared" si="1146"/>
        <v>0</v>
      </c>
      <c r="OB99" s="14">
        <f t="shared" si="1146"/>
        <v>1</v>
      </c>
      <c r="OC99" s="14">
        <f t="shared" si="1146"/>
        <v>0</v>
      </c>
      <c r="OD99" s="14">
        <f t="shared" si="1146"/>
        <v>1</v>
      </c>
      <c r="OE99" s="14">
        <f t="shared" si="1146"/>
        <v>0</v>
      </c>
      <c r="OF99" s="14">
        <f t="shared" si="1146"/>
        <v>0</v>
      </c>
      <c r="OG99" s="14">
        <f t="shared" si="1146"/>
        <v>0</v>
      </c>
      <c r="OH99" s="14">
        <f t="shared" si="1146"/>
        <v>0</v>
      </c>
      <c r="OI99" s="14">
        <f t="shared" si="1146"/>
        <v>0</v>
      </c>
      <c r="OJ99" s="14">
        <f t="shared" si="1146"/>
        <v>0</v>
      </c>
      <c r="OK99" s="14">
        <f t="shared" si="1146"/>
        <v>0</v>
      </c>
      <c r="OL99" s="14">
        <f t="shared" si="1146"/>
        <v>0</v>
      </c>
      <c r="OM99" s="14">
        <f t="shared" si="1146"/>
        <v>0</v>
      </c>
      <c r="ON99" s="14">
        <f t="shared" si="1146"/>
        <v>0</v>
      </c>
      <c r="OO99" s="14">
        <f t="shared" si="1146"/>
        <v>0</v>
      </c>
      <c r="OP99" s="14">
        <f t="shared" si="1146"/>
        <v>0</v>
      </c>
      <c r="OQ99" s="14">
        <f t="shared" si="1146"/>
        <v>0</v>
      </c>
      <c r="OR99" s="14">
        <f t="shared" si="1146"/>
        <v>0</v>
      </c>
      <c r="OS99" s="14">
        <f t="shared" si="1146"/>
        <v>0</v>
      </c>
      <c r="OT99" s="14">
        <f t="shared" si="1146"/>
        <v>0</v>
      </c>
      <c r="OU99" s="14">
        <f t="shared" si="1146"/>
        <v>0</v>
      </c>
      <c r="OV99" s="14">
        <f t="shared" si="1146"/>
        <v>0</v>
      </c>
      <c r="OW99" s="14">
        <f t="shared" si="1146"/>
        <v>0</v>
      </c>
      <c r="OX99" s="14">
        <f t="shared" si="1146"/>
        <v>0</v>
      </c>
      <c r="OY99" s="14">
        <f t="shared" ref="OY99:QD99" si="1147" xml:space="preserve"> IF( NOT(OY57), 1,0)</f>
        <v>0</v>
      </c>
      <c r="OZ99" s="14">
        <f t="shared" si="1147"/>
        <v>0</v>
      </c>
      <c r="PA99" s="14">
        <f t="shared" si="1147"/>
        <v>0</v>
      </c>
      <c r="PB99" s="14">
        <f t="shared" si="1147"/>
        <v>0</v>
      </c>
      <c r="PC99" s="14">
        <f t="shared" si="1147"/>
        <v>0</v>
      </c>
      <c r="PD99" s="14">
        <f t="shared" si="1147"/>
        <v>0</v>
      </c>
      <c r="PE99" s="14">
        <f t="shared" si="1147"/>
        <v>0</v>
      </c>
      <c r="PF99" s="14">
        <f t="shared" si="1147"/>
        <v>0</v>
      </c>
      <c r="PG99" s="14">
        <f t="shared" si="1147"/>
        <v>0</v>
      </c>
      <c r="PH99" s="14">
        <f t="shared" si="1147"/>
        <v>1</v>
      </c>
      <c r="PI99" s="14">
        <f t="shared" si="1147"/>
        <v>0</v>
      </c>
      <c r="PJ99" s="14">
        <f t="shared" si="1147"/>
        <v>0</v>
      </c>
      <c r="PK99" s="14">
        <f t="shared" si="1147"/>
        <v>0</v>
      </c>
      <c r="PL99" s="14">
        <f t="shared" si="1147"/>
        <v>0</v>
      </c>
      <c r="PM99" s="14">
        <f t="shared" si="1147"/>
        <v>0</v>
      </c>
      <c r="PN99" s="14">
        <f t="shared" si="1147"/>
        <v>0</v>
      </c>
      <c r="PO99" s="14">
        <f t="shared" si="1147"/>
        <v>0</v>
      </c>
      <c r="PP99" s="14">
        <f t="shared" si="1147"/>
        <v>0</v>
      </c>
      <c r="PQ99" s="14">
        <f t="shared" si="1147"/>
        <v>0</v>
      </c>
      <c r="PR99" s="14">
        <f t="shared" si="1147"/>
        <v>1</v>
      </c>
      <c r="PS99" s="14">
        <f t="shared" si="1147"/>
        <v>0</v>
      </c>
      <c r="PT99" s="14">
        <f t="shared" si="1147"/>
        <v>0</v>
      </c>
      <c r="PU99" s="14">
        <f t="shared" si="1147"/>
        <v>0</v>
      </c>
      <c r="PV99" s="14">
        <f t="shared" si="1147"/>
        <v>0</v>
      </c>
      <c r="PW99" s="14">
        <f t="shared" si="1147"/>
        <v>0</v>
      </c>
      <c r="PX99" s="14">
        <f t="shared" si="1147"/>
        <v>1</v>
      </c>
      <c r="PY99" s="14">
        <f t="shared" si="1147"/>
        <v>0</v>
      </c>
      <c r="PZ99" s="14">
        <f t="shared" si="1147"/>
        <v>0</v>
      </c>
      <c r="QA99" s="14">
        <f t="shared" si="1147"/>
        <v>0</v>
      </c>
      <c r="QB99" s="14">
        <f t="shared" si="1147"/>
        <v>0</v>
      </c>
      <c r="QC99" s="14">
        <f t="shared" si="1147"/>
        <v>0</v>
      </c>
      <c r="QD99" s="14">
        <f t="shared" si="1147"/>
        <v>0</v>
      </c>
      <c r="QE99" s="14">
        <f t="shared" ref="QE99:RI99" si="1148" xml:space="preserve"> IF( NOT(QE57), 1,0)</f>
        <v>0</v>
      </c>
      <c r="QF99" s="14">
        <f t="shared" si="1148"/>
        <v>0</v>
      </c>
      <c r="QG99" s="14">
        <f t="shared" si="1148"/>
        <v>0</v>
      </c>
      <c r="QH99" s="14">
        <f t="shared" si="1148"/>
        <v>0</v>
      </c>
      <c r="QI99" s="14">
        <f t="shared" si="1148"/>
        <v>1</v>
      </c>
      <c r="QJ99" s="14">
        <f t="shared" si="1148"/>
        <v>0</v>
      </c>
      <c r="QK99" s="14">
        <f t="shared" si="1148"/>
        <v>0</v>
      </c>
      <c r="QL99" s="14">
        <f t="shared" si="1148"/>
        <v>0</v>
      </c>
      <c r="QM99" s="14">
        <f t="shared" si="1148"/>
        <v>0</v>
      </c>
      <c r="QN99" s="14">
        <f t="shared" si="1148"/>
        <v>0</v>
      </c>
      <c r="QO99" s="14">
        <f t="shared" si="1148"/>
        <v>1</v>
      </c>
      <c r="QP99" s="14">
        <f t="shared" si="1148"/>
        <v>0</v>
      </c>
      <c r="QQ99" s="14">
        <f t="shared" si="1148"/>
        <v>1</v>
      </c>
      <c r="QR99" s="14">
        <f t="shared" si="1148"/>
        <v>0</v>
      </c>
      <c r="QS99" s="14">
        <f t="shared" si="1148"/>
        <v>0</v>
      </c>
      <c r="QT99" s="14">
        <f t="shared" si="1148"/>
        <v>0</v>
      </c>
      <c r="QU99" s="14">
        <f t="shared" si="1148"/>
        <v>0</v>
      </c>
      <c r="QV99" s="14">
        <f t="shared" si="1148"/>
        <v>0</v>
      </c>
      <c r="QW99" s="14">
        <f t="shared" si="1148"/>
        <v>0</v>
      </c>
      <c r="QX99" s="14">
        <f t="shared" si="1148"/>
        <v>0</v>
      </c>
      <c r="QY99" s="14">
        <f t="shared" si="1148"/>
        <v>0</v>
      </c>
      <c r="QZ99" s="14">
        <f t="shared" si="1148"/>
        <v>0</v>
      </c>
      <c r="RA99" s="14">
        <f t="shared" si="1148"/>
        <v>0</v>
      </c>
      <c r="RB99" s="14">
        <f t="shared" si="1148"/>
        <v>0</v>
      </c>
      <c r="RC99" s="14">
        <f t="shared" si="1148"/>
        <v>0</v>
      </c>
      <c r="RD99" s="14">
        <f t="shared" si="1148"/>
        <v>0</v>
      </c>
      <c r="RE99" s="14">
        <f t="shared" si="1148"/>
        <v>0</v>
      </c>
      <c r="RF99" s="14">
        <f t="shared" si="1148"/>
        <v>0</v>
      </c>
      <c r="RG99" s="14">
        <f t="shared" si="1148"/>
        <v>0</v>
      </c>
      <c r="RH99" s="14">
        <f t="shared" si="1148"/>
        <v>0</v>
      </c>
      <c r="RI99" s="14">
        <f t="shared" si="1148"/>
        <v>0</v>
      </c>
      <c r="RJ99" s="14">
        <f t="shared" ref="RJ99:RR99" si="1149" xml:space="preserve"> IF( NOT(RJ57), 1,0)</f>
        <v>0</v>
      </c>
      <c r="RK99" s="14">
        <f t="shared" si="1149"/>
        <v>0</v>
      </c>
      <c r="RL99" s="14">
        <f t="shared" si="1149"/>
        <v>0</v>
      </c>
      <c r="RM99" s="14">
        <f t="shared" si="1149"/>
        <v>0</v>
      </c>
      <c r="RN99" s="14">
        <f t="shared" si="1149"/>
        <v>0</v>
      </c>
      <c r="RO99" s="14">
        <f t="shared" si="1149"/>
        <v>0</v>
      </c>
      <c r="RP99" s="14">
        <f t="shared" si="1149"/>
        <v>0</v>
      </c>
      <c r="RQ99" s="14">
        <f t="shared" si="1149"/>
        <v>0</v>
      </c>
      <c r="RR99" s="14">
        <f t="shared" si="1149"/>
        <v>0</v>
      </c>
      <c r="SA99" s="14">
        <v>1</v>
      </c>
      <c r="SB99" s="14">
        <f t="shared" ref="SB99:TG99" si="1150" xml:space="preserve"> IF( NOT(SB57), 1,0)</f>
        <v>0</v>
      </c>
      <c r="SC99" s="14">
        <f t="shared" si="1150"/>
        <v>0</v>
      </c>
      <c r="SD99" s="14">
        <f t="shared" si="1150"/>
        <v>0</v>
      </c>
      <c r="SE99" s="14">
        <f t="shared" si="1150"/>
        <v>0</v>
      </c>
      <c r="SF99" s="14">
        <f t="shared" si="1150"/>
        <v>1</v>
      </c>
      <c r="SG99" s="14">
        <f t="shared" si="1150"/>
        <v>0</v>
      </c>
      <c r="SH99" s="14">
        <f t="shared" si="1150"/>
        <v>0</v>
      </c>
      <c r="SI99" s="14">
        <f t="shared" si="1150"/>
        <v>0</v>
      </c>
      <c r="SJ99" s="14">
        <f t="shared" si="1150"/>
        <v>0</v>
      </c>
      <c r="SK99" s="14">
        <f t="shared" si="1150"/>
        <v>1</v>
      </c>
      <c r="SL99" s="14">
        <f t="shared" si="1150"/>
        <v>0</v>
      </c>
      <c r="SM99" s="14">
        <f t="shared" si="1150"/>
        <v>1</v>
      </c>
      <c r="SN99" s="14">
        <f t="shared" si="1150"/>
        <v>0</v>
      </c>
      <c r="SO99" s="14">
        <f t="shared" si="1150"/>
        <v>0</v>
      </c>
      <c r="SP99" s="14">
        <f t="shared" si="1150"/>
        <v>0</v>
      </c>
      <c r="SQ99" s="14">
        <f t="shared" si="1150"/>
        <v>0</v>
      </c>
      <c r="SR99" s="14">
        <f t="shared" si="1150"/>
        <v>0</v>
      </c>
      <c r="SS99" s="14">
        <f t="shared" si="1150"/>
        <v>0</v>
      </c>
      <c r="ST99" s="14">
        <f t="shared" si="1150"/>
        <v>0</v>
      </c>
      <c r="SU99" s="14">
        <f t="shared" si="1150"/>
        <v>0</v>
      </c>
      <c r="SV99" s="14">
        <f t="shared" si="1150"/>
        <v>0</v>
      </c>
      <c r="SW99" s="14">
        <f t="shared" si="1150"/>
        <v>0</v>
      </c>
      <c r="SX99" s="14">
        <f t="shared" si="1150"/>
        <v>0</v>
      </c>
      <c r="SY99" s="14">
        <f t="shared" si="1150"/>
        <v>0</v>
      </c>
      <c r="SZ99" s="14">
        <f t="shared" si="1150"/>
        <v>0</v>
      </c>
      <c r="TA99" s="14">
        <f t="shared" si="1150"/>
        <v>0</v>
      </c>
      <c r="TB99" s="14">
        <f t="shared" si="1150"/>
        <v>0</v>
      </c>
      <c r="TC99" s="14">
        <f t="shared" si="1150"/>
        <v>0</v>
      </c>
      <c r="TD99" s="14">
        <f t="shared" si="1150"/>
        <v>0</v>
      </c>
      <c r="TE99" s="14">
        <f t="shared" si="1150"/>
        <v>0</v>
      </c>
      <c r="TF99" s="14">
        <f t="shared" si="1150"/>
        <v>0</v>
      </c>
      <c r="TG99" s="14">
        <f t="shared" si="1150"/>
        <v>0</v>
      </c>
      <c r="TH99" s="14">
        <f t="shared" ref="TH99:UM99" si="1151" xml:space="preserve"> IF( NOT(TH57), 1,0)</f>
        <v>0</v>
      </c>
      <c r="TI99" s="14">
        <f t="shared" si="1151"/>
        <v>0</v>
      </c>
      <c r="TJ99" s="14">
        <f t="shared" si="1151"/>
        <v>0</v>
      </c>
      <c r="TK99" s="14">
        <f t="shared" si="1151"/>
        <v>0</v>
      </c>
      <c r="TL99" s="14">
        <f t="shared" si="1151"/>
        <v>0</v>
      </c>
      <c r="TM99" s="14">
        <f t="shared" si="1151"/>
        <v>0</v>
      </c>
      <c r="TN99" s="14">
        <f t="shared" si="1151"/>
        <v>0</v>
      </c>
      <c r="TO99" s="14">
        <f t="shared" si="1151"/>
        <v>0</v>
      </c>
      <c r="TP99" s="14">
        <f t="shared" si="1151"/>
        <v>1</v>
      </c>
      <c r="TQ99" s="14">
        <f t="shared" si="1151"/>
        <v>0</v>
      </c>
      <c r="TR99" s="14">
        <f t="shared" si="1151"/>
        <v>0</v>
      </c>
      <c r="TS99" s="14">
        <f t="shared" si="1151"/>
        <v>0</v>
      </c>
      <c r="TT99" s="14">
        <f t="shared" si="1151"/>
        <v>0</v>
      </c>
      <c r="TU99" s="14">
        <f t="shared" si="1151"/>
        <v>0</v>
      </c>
      <c r="TV99" s="14">
        <f t="shared" si="1151"/>
        <v>0</v>
      </c>
      <c r="TW99" s="14">
        <f t="shared" si="1151"/>
        <v>0</v>
      </c>
      <c r="TX99" s="14">
        <f t="shared" si="1151"/>
        <v>0</v>
      </c>
      <c r="TY99" s="14">
        <f t="shared" si="1151"/>
        <v>0</v>
      </c>
      <c r="TZ99" s="14">
        <f t="shared" si="1151"/>
        <v>1</v>
      </c>
      <c r="UA99" s="14">
        <f t="shared" si="1151"/>
        <v>0</v>
      </c>
      <c r="UB99" s="14">
        <f t="shared" si="1151"/>
        <v>0</v>
      </c>
      <c r="UC99" s="14">
        <f t="shared" si="1151"/>
        <v>0</v>
      </c>
      <c r="UD99" s="14">
        <f t="shared" si="1151"/>
        <v>0</v>
      </c>
      <c r="UE99" s="14">
        <f t="shared" si="1151"/>
        <v>0</v>
      </c>
      <c r="UF99" s="14">
        <f t="shared" si="1151"/>
        <v>1</v>
      </c>
      <c r="UG99" s="14">
        <f t="shared" si="1151"/>
        <v>0</v>
      </c>
      <c r="UH99" s="14">
        <f t="shared" si="1151"/>
        <v>0</v>
      </c>
      <c r="UI99" s="14">
        <f t="shared" si="1151"/>
        <v>0</v>
      </c>
      <c r="UJ99" s="14">
        <f t="shared" si="1151"/>
        <v>0</v>
      </c>
      <c r="UK99" s="14">
        <f t="shared" si="1151"/>
        <v>0</v>
      </c>
      <c r="UL99" s="14">
        <f t="shared" si="1151"/>
        <v>0</v>
      </c>
      <c r="UM99" s="14">
        <f t="shared" si="1151"/>
        <v>0</v>
      </c>
      <c r="UN99" s="14">
        <f t="shared" ref="UN99:VS99" si="1152" xml:space="preserve"> IF( NOT(UN57), 1,0)</f>
        <v>0</v>
      </c>
      <c r="UO99" s="14">
        <f t="shared" si="1152"/>
        <v>0</v>
      </c>
      <c r="UP99" s="14">
        <f t="shared" si="1152"/>
        <v>0</v>
      </c>
      <c r="UQ99" s="14">
        <f t="shared" si="1152"/>
        <v>1</v>
      </c>
      <c r="UR99" s="14">
        <f t="shared" si="1152"/>
        <v>0</v>
      </c>
      <c r="US99" s="14">
        <f t="shared" si="1152"/>
        <v>0</v>
      </c>
      <c r="UT99" s="14">
        <f t="shared" si="1152"/>
        <v>0</v>
      </c>
      <c r="UU99" s="14">
        <f t="shared" si="1152"/>
        <v>0</v>
      </c>
      <c r="UV99" s="14">
        <f t="shared" si="1152"/>
        <v>0</v>
      </c>
      <c r="UW99" s="14">
        <f t="shared" si="1152"/>
        <v>1</v>
      </c>
      <c r="UX99" s="14">
        <f t="shared" si="1152"/>
        <v>0</v>
      </c>
      <c r="UY99" s="14">
        <f t="shared" si="1152"/>
        <v>1</v>
      </c>
      <c r="UZ99" s="14">
        <f t="shared" si="1152"/>
        <v>0</v>
      </c>
      <c r="VA99" s="14">
        <f t="shared" si="1152"/>
        <v>0</v>
      </c>
      <c r="VB99" s="14">
        <f t="shared" si="1152"/>
        <v>0</v>
      </c>
      <c r="VC99" s="14">
        <f t="shared" si="1152"/>
        <v>0</v>
      </c>
      <c r="VD99" s="14">
        <f t="shared" si="1152"/>
        <v>0</v>
      </c>
      <c r="VE99" s="14">
        <f t="shared" si="1152"/>
        <v>0</v>
      </c>
      <c r="VF99" s="14">
        <f t="shared" si="1152"/>
        <v>0</v>
      </c>
      <c r="VG99" s="14">
        <f t="shared" si="1152"/>
        <v>0</v>
      </c>
      <c r="VH99" s="14">
        <f t="shared" si="1152"/>
        <v>0</v>
      </c>
      <c r="VI99" s="14">
        <f t="shared" si="1152"/>
        <v>0</v>
      </c>
      <c r="VJ99" s="14">
        <f t="shared" si="1152"/>
        <v>0</v>
      </c>
      <c r="VK99" s="14">
        <f t="shared" si="1152"/>
        <v>0</v>
      </c>
      <c r="VL99" s="14">
        <f t="shared" si="1152"/>
        <v>0</v>
      </c>
      <c r="VM99" s="14">
        <f t="shared" si="1152"/>
        <v>0</v>
      </c>
      <c r="VN99" s="14">
        <f t="shared" si="1152"/>
        <v>0</v>
      </c>
      <c r="VO99" s="14">
        <f t="shared" si="1152"/>
        <v>0</v>
      </c>
      <c r="VP99" s="14">
        <f t="shared" si="1152"/>
        <v>0</v>
      </c>
      <c r="VQ99" s="14">
        <f t="shared" si="1152"/>
        <v>0</v>
      </c>
      <c r="VR99" s="14">
        <f t="shared" si="1152"/>
        <v>0</v>
      </c>
      <c r="VS99" s="14">
        <f t="shared" si="1152"/>
        <v>0</v>
      </c>
      <c r="VT99" s="14">
        <f t="shared" ref="VT99:VZ99" si="1153" xml:space="preserve"> IF( NOT(VT57), 1,0)</f>
        <v>0</v>
      </c>
      <c r="VU99" s="14">
        <f t="shared" si="1153"/>
        <v>0</v>
      </c>
      <c r="VV99" s="14">
        <f t="shared" si="1153"/>
        <v>0</v>
      </c>
      <c r="VW99" s="14">
        <f t="shared" si="1153"/>
        <v>0</v>
      </c>
      <c r="VX99" s="14">
        <f t="shared" si="1153"/>
        <v>0</v>
      </c>
      <c r="VY99" s="14">
        <f t="shared" si="1153"/>
        <v>0</v>
      </c>
      <c r="VZ99" s="14">
        <f t="shared" si="1153"/>
        <v>0</v>
      </c>
      <c r="AKQ99" s="14">
        <v>1</v>
      </c>
    </row>
    <row r="100" spans="1:979" ht="15" customHeight="1" x14ac:dyDescent="0.25">
      <c r="A100" s="14"/>
      <c r="NR100" s="14">
        <v>2</v>
      </c>
      <c r="NS100" s="14">
        <f t="shared" ref="NS100:OX100" si="1154" xml:space="preserve"> IF( NOT(EXACT(NS25,"LVC_NEUTRAL_E")),1,0)</f>
        <v>0</v>
      </c>
      <c r="NT100" s="14">
        <f t="shared" si="1154"/>
        <v>0</v>
      </c>
      <c r="NU100" s="14">
        <f t="shared" si="1154"/>
        <v>0</v>
      </c>
      <c r="NV100" s="14">
        <f t="shared" si="1154"/>
        <v>0</v>
      </c>
      <c r="NW100" s="14">
        <f t="shared" si="1154"/>
        <v>0</v>
      </c>
      <c r="NX100" s="14">
        <f t="shared" si="1154"/>
        <v>0</v>
      </c>
      <c r="NY100" s="14">
        <f t="shared" si="1154"/>
        <v>0</v>
      </c>
      <c r="NZ100" s="14">
        <f t="shared" si="1154"/>
        <v>0</v>
      </c>
      <c r="OA100" s="14">
        <f t="shared" si="1154"/>
        <v>1</v>
      </c>
      <c r="OB100" s="14">
        <f t="shared" si="1154"/>
        <v>1</v>
      </c>
      <c r="OC100" s="14">
        <f t="shared" si="1154"/>
        <v>1</v>
      </c>
      <c r="OD100" s="14">
        <f t="shared" si="1154"/>
        <v>0</v>
      </c>
      <c r="OE100" s="14">
        <f t="shared" si="1154"/>
        <v>0</v>
      </c>
      <c r="OF100" s="14">
        <f t="shared" si="1154"/>
        <v>0</v>
      </c>
      <c r="OG100" s="14">
        <f t="shared" si="1154"/>
        <v>0</v>
      </c>
      <c r="OH100" s="14">
        <f t="shared" si="1154"/>
        <v>0</v>
      </c>
      <c r="OI100" s="14">
        <f t="shared" si="1154"/>
        <v>0</v>
      </c>
      <c r="OJ100" s="14">
        <f t="shared" si="1154"/>
        <v>0</v>
      </c>
      <c r="OK100" s="14">
        <f t="shared" si="1154"/>
        <v>0</v>
      </c>
      <c r="OL100" s="14">
        <f t="shared" si="1154"/>
        <v>0</v>
      </c>
      <c r="OM100" s="14">
        <f t="shared" si="1154"/>
        <v>0</v>
      </c>
      <c r="ON100" s="14">
        <f t="shared" si="1154"/>
        <v>0</v>
      </c>
      <c r="OO100" s="14">
        <f t="shared" si="1154"/>
        <v>0</v>
      </c>
      <c r="OP100" s="14">
        <f t="shared" si="1154"/>
        <v>0</v>
      </c>
      <c r="OQ100" s="14">
        <f t="shared" si="1154"/>
        <v>0</v>
      </c>
      <c r="OR100" s="14">
        <f t="shared" si="1154"/>
        <v>0</v>
      </c>
      <c r="OS100" s="14">
        <f t="shared" si="1154"/>
        <v>0</v>
      </c>
      <c r="OT100" s="14">
        <f t="shared" si="1154"/>
        <v>0</v>
      </c>
      <c r="OU100" s="14">
        <f t="shared" si="1154"/>
        <v>0</v>
      </c>
      <c r="OV100" s="14">
        <f t="shared" si="1154"/>
        <v>0</v>
      </c>
      <c r="OW100" s="14">
        <f t="shared" si="1154"/>
        <v>0</v>
      </c>
      <c r="OX100" s="14">
        <f t="shared" si="1154"/>
        <v>0</v>
      </c>
      <c r="OY100" s="14">
        <f t="shared" ref="OY100:QD100" si="1155" xml:space="preserve"> IF( NOT(EXACT(OY25,"LVC_NEUTRAL_E")),1,0)</f>
        <v>0</v>
      </c>
      <c r="OZ100" s="14">
        <f t="shared" si="1155"/>
        <v>0</v>
      </c>
      <c r="PA100" s="14">
        <f t="shared" si="1155"/>
        <v>0</v>
      </c>
      <c r="PB100" s="14">
        <f t="shared" si="1155"/>
        <v>0</v>
      </c>
      <c r="PC100" s="14">
        <f t="shared" si="1155"/>
        <v>0</v>
      </c>
      <c r="PD100" s="14">
        <f t="shared" si="1155"/>
        <v>0</v>
      </c>
      <c r="PE100" s="14">
        <f t="shared" si="1155"/>
        <v>1</v>
      </c>
      <c r="PF100" s="14">
        <f t="shared" si="1155"/>
        <v>1</v>
      </c>
      <c r="PG100" s="14">
        <f t="shared" si="1155"/>
        <v>1</v>
      </c>
      <c r="PH100" s="14">
        <f t="shared" si="1155"/>
        <v>0</v>
      </c>
      <c r="PI100" s="14">
        <f t="shared" si="1155"/>
        <v>0</v>
      </c>
      <c r="PJ100" s="14">
        <f t="shared" si="1155"/>
        <v>0</v>
      </c>
      <c r="PK100" s="14">
        <f t="shared" si="1155"/>
        <v>0</v>
      </c>
      <c r="PL100" s="14">
        <f t="shared" si="1155"/>
        <v>0</v>
      </c>
      <c r="PM100" s="14">
        <f t="shared" si="1155"/>
        <v>1</v>
      </c>
      <c r="PN100" s="14">
        <f t="shared" si="1155"/>
        <v>0</v>
      </c>
      <c r="PO100" s="14">
        <f t="shared" si="1155"/>
        <v>1</v>
      </c>
      <c r="PP100" s="14">
        <f t="shared" si="1155"/>
        <v>0</v>
      </c>
      <c r="PQ100" s="14">
        <f t="shared" si="1155"/>
        <v>1</v>
      </c>
      <c r="PR100" s="14">
        <f t="shared" si="1155"/>
        <v>0</v>
      </c>
      <c r="PS100" s="14">
        <f t="shared" si="1155"/>
        <v>1</v>
      </c>
      <c r="PT100" s="14">
        <f t="shared" si="1155"/>
        <v>0</v>
      </c>
      <c r="PU100" s="14">
        <f t="shared" si="1155"/>
        <v>1</v>
      </c>
      <c r="PV100" s="14">
        <f t="shared" si="1155"/>
        <v>1</v>
      </c>
      <c r="PW100" s="14">
        <f t="shared" si="1155"/>
        <v>1</v>
      </c>
      <c r="PX100" s="14">
        <f t="shared" si="1155"/>
        <v>0</v>
      </c>
      <c r="PY100" s="14">
        <f t="shared" si="1155"/>
        <v>1</v>
      </c>
      <c r="PZ100" s="14">
        <f t="shared" si="1155"/>
        <v>0</v>
      </c>
      <c r="QA100" s="14">
        <f t="shared" si="1155"/>
        <v>1</v>
      </c>
      <c r="QB100" s="14">
        <f t="shared" si="1155"/>
        <v>0</v>
      </c>
      <c r="QC100" s="14">
        <f t="shared" si="1155"/>
        <v>0</v>
      </c>
      <c r="QD100" s="14">
        <f t="shared" si="1155"/>
        <v>0</v>
      </c>
      <c r="QE100" s="14">
        <f t="shared" ref="QE100:RI100" si="1156" xml:space="preserve"> IF( NOT(EXACT(QE25,"LVC_NEUTRAL_E")),1,0)</f>
        <v>0</v>
      </c>
      <c r="QF100" s="14">
        <f t="shared" si="1156"/>
        <v>0</v>
      </c>
      <c r="QG100" s="14">
        <f t="shared" si="1156"/>
        <v>0</v>
      </c>
      <c r="QH100" s="14">
        <f t="shared" si="1156"/>
        <v>1</v>
      </c>
      <c r="QI100" s="14">
        <f t="shared" si="1156"/>
        <v>1</v>
      </c>
      <c r="QJ100" s="14">
        <f t="shared" si="1156"/>
        <v>1</v>
      </c>
      <c r="QK100" s="14">
        <f t="shared" si="1156"/>
        <v>1</v>
      </c>
      <c r="QL100" s="14">
        <f t="shared" si="1156"/>
        <v>1</v>
      </c>
      <c r="QM100" s="14">
        <f t="shared" si="1156"/>
        <v>1</v>
      </c>
      <c r="QN100" s="14">
        <f t="shared" si="1156"/>
        <v>1</v>
      </c>
      <c r="QO100" s="14">
        <f t="shared" si="1156"/>
        <v>1</v>
      </c>
      <c r="QP100" s="14">
        <f t="shared" si="1156"/>
        <v>0</v>
      </c>
      <c r="QQ100" s="14">
        <f t="shared" si="1156"/>
        <v>1</v>
      </c>
      <c r="QR100" s="14">
        <f t="shared" si="1156"/>
        <v>0</v>
      </c>
      <c r="QS100" s="14">
        <f t="shared" si="1156"/>
        <v>0</v>
      </c>
      <c r="QT100" s="14">
        <f t="shared" si="1156"/>
        <v>1</v>
      </c>
      <c r="QU100" s="14">
        <f t="shared" si="1156"/>
        <v>0</v>
      </c>
      <c r="QV100" s="14">
        <f t="shared" si="1156"/>
        <v>0</v>
      </c>
      <c r="QW100" s="14">
        <f t="shared" si="1156"/>
        <v>0</v>
      </c>
      <c r="QX100" s="14">
        <f t="shared" si="1156"/>
        <v>0</v>
      </c>
      <c r="QY100" s="14">
        <f t="shared" si="1156"/>
        <v>0</v>
      </c>
      <c r="QZ100" s="14">
        <f t="shared" si="1156"/>
        <v>0</v>
      </c>
      <c r="RA100" s="14">
        <f t="shared" si="1156"/>
        <v>0</v>
      </c>
      <c r="RB100" s="14">
        <f t="shared" si="1156"/>
        <v>0</v>
      </c>
      <c r="RC100" s="14">
        <f t="shared" si="1156"/>
        <v>0</v>
      </c>
      <c r="RD100" s="14">
        <f t="shared" si="1156"/>
        <v>0</v>
      </c>
      <c r="RE100" s="14">
        <f t="shared" si="1156"/>
        <v>0</v>
      </c>
      <c r="RF100" s="14">
        <f t="shared" si="1156"/>
        <v>0</v>
      </c>
      <c r="RG100" s="14">
        <f t="shared" si="1156"/>
        <v>0</v>
      </c>
      <c r="RH100" s="14">
        <f t="shared" si="1156"/>
        <v>0</v>
      </c>
      <c r="RI100" s="14">
        <f t="shared" si="1156"/>
        <v>0</v>
      </c>
      <c r="RJ100" s="14">
        <f t="shared" ref="RJ100:RR100" si="1157" xml:space="preserve"> IF( NOT(EXACT(RJ25,"LVC_NEUTRAL_E")),1,0)</f>
        <v>0</v>
      </c>
      <c r="RK100" s="14">
        <f t="shared" si="1157"/>
        <v>0</v>
      </c>
      <c r="RL100" s="14">
        <f t="shared" si="1157"/>
        <v>0</v>
      </c>
      <c r="RM100" s="14">
        <f t="shared" si="1157"/>
        <v>0</v>
      </c>
      <c r="RN100" s="14">
        <f t="shared" si="1157"/>
        <v>0</v>
      </c>
      <c r="RO100" s="14">
        <f t="shared" si="1157"/>
        <v>0</v>
      </c>
      <c r="RP100" s="14">
        <f t="shared" si="1157"/>
        <v>0</v>
      </c>
      <c r="RQ100" s="14">
        <f t="shared" si="1157"/>
        <v>0</v>
      </c>
      <c r="RR100" s="14">
        <f t="shared" si="1157"/>
        <v>0</v>
      </c>
      <c r="SA100" s="14">
        <v>2</v>
      </c>
      <c r="SB100" s="14">
        <f t="shared" ref="SB100:TG100" si="1158" xml:space="preserve"> IF( NOT(EXACT(SB25,"LVC_NEUTRAL_E")),1,0)</f>
        <v>0</v>
      </c>
      <c r="SC100" s="14">
        <f t="shared" si="1158"/>
        <v>0</v>
      </c>
      <c r="SD100" s="14">
        <f t="shared" si="1158"/>
        <v>0</v>
      </c>
      <c r="SE100" s="14">
        <f t="shared" si="1158"/>
        <v>0</v>
      </c>
      <c r="SF100" s="14">
        <f t="shared" si="1158"/>
        <v>0</v>
      </c>
      <c r="SG100" s="14">
        <f t="shared" si="1158"/>
        <v>0</v>
      </c>
      <c r="SH100" s="14">
        <f t="shared" si="1158"/>
        <v>0</v>
      </c>
      <c r="SI100" s="14">
        <f t="shared" si="1158"/>
        <v>0</v>
      </c>
      <c r="SJ100" s="14">
        <f t="shared" si="1158"/>
        <v>1</v>
      </c>
      <c r="SK100" s="14">
        <f t="shared" si="1158"/>
        <v>1</v>
      </c>
      <c r="SL100" s="14">
        <f t="shared" si="1158"/>
        <v>1</v>
      </c>
      <c r="SM100" s="14">
        <f t="shared" si="1158"/>
        <v>0</v>
      </c>
      <c r="SN100" s="14">
        <f t="shared" si="1158"/>
        <v>0</v>
      </c>
      <c r="SO100" s="14">
        <f t="shared" si="1158"/>
        <v>0</v>
      </c>
      <c r="SP100" s="14">
        <f t="shared" si="1158"/>
        <v>0</v>
      </c>
      <c r="SQ100" s="14">
        <f t="shared" si="1158"/>
        <v>0</v>
      </c>
      <c r="SR100" s="14">
        <f t="shared" si="1158"/>
        <v>0</v>
      </c>
      <c r="SS100" s="14">
        <f t="shared" si="1158"/>
        <v>0</v>
      </c>
      <c r="ST100" s="14">
        <f t="shared" si="1158"/>
        <v>0</v>
      </c>
      <c r="SU100" s="14">
        <f t="shared" si="1158"/>
        <v>0</v>
      </c>
      <c r="SV100" s="14">
        <f t="shared" si="1158"/>
        <v>0</v>
      </c>
      <c r="SW100" s="14">
        <f t="shared" si="1158"/>
        <v>0</v>
      </c>
      <c r="SX100" s="14">
        <f t="shared" si="1158"/>
        <v>0</v>
      </c>
      <c r="SY100" s="14">
        <f t="shared" si="1158"/>
        <v>0</v>
      </c>
      <c r="SZ100" s="14">
        <f t="shared" si="1158"/>
        <v>0</v>
      </c>
      <c r="TA100" s="14">
        <f t="shared" si="1158"/>
        <v>0</v>
      </c>
      <c r="TB100" s="14">
        <f t="shared" si="1158"/>
        <v>0</v>
      </c>
      <c r="TC100" s="14">
        <f t="shared" si="1158"/>
        <v>0</v>
      </c>
      <c r="TD100" s="14">
        <f t="shared" si="1158"/>
        <v>0</v>
      </c>
      <c r="TE100" s="14">
        <f t="shared" si="1158"/>
        <v>0</v>
      </c>
      <c r="TF100" s="14">
        <f t="shared" si="1158"/>
        <v>0</v>
      </c>
      <c r="TG100" s="14">
        <f t="shared" si="1158"/>
        <v>0</v>
      </c>
      <c r="TH100" s="14">
        <f t="shared" ref="TH100:UM100" si="1159" xml:space="preserve"> IF( NOT(EXACT(TH25,"LVC_NEUTRAL_E")),1,0)</f>
        <v>0</v>
      </c>
      <c r="TI100" s="14">
        <f t="shared" si="1159"/>
        <v>0</v>
      </c>
      <c r="TJ100" s="14">
        <f t="shared" si="1159"/>
        <v>0</v>
      </c>
      <c r="TK100" s="14">
        <f t="shared" si="1159"/>
        <v>0</v>
      </c>
      <c r="TL100" s="14">
        <f t="shared" si="1159"/>
        <v>0</v>
      </c>
      <c r="TM100" s="14">
        <f t="shared" si="1159"/>
        <v>1</v>
      </c>
      <c r="TN100" s="14">
        <f t="shared" si="1159"/>
        <v>1</v>
      </c>
      <c r="TO100" s="14">
        <f t="shared" si="1159"/>
        <v>1</v>
      </c>
      <c r="TP100" s="14">
        <f t="shared" si="1159"/>
        <v>0</v>
      </c>
      <c r="TQ100" s="14">
        <f t="shared" si="1159"/>
        <v>0</v>
      </c>
      <c r="TR100" s="14">
        <f t="shared" si="1159"/>
        <v>0</v>
      </c>
      <c r="TS100" s="14">
        <f t="shared" si="1159"/>
        <v>0</v>
      </c>
      <c r="TT100" s="14">
        <f t="shared" si="1159"/>
        <v>0</v>
      </c>
      <c r="TU100" s="14">
        <f t="shared" si="1159"/>
        <v>1</v>
      </c>
      <c r="TV100" s="14">
        <f t="shared" si="1159"/>
        <v>0</v>
      </c>
      <c r="TW100" s="14">
        <f t="shared" si="1159"/>
        <v>1</v>
      </c>
      <c r="TX100" s="14">
        <f t="shared" si="1159"/>
        <v>0</v>
      </c>
      <c r="TY100" s="14">
        <f t="shared" si="1159"/>
        <v>1</v>
      </c>
      <c r="TZ100" s="14">
        <f t="shared" si="1159"/>
        <v>0</v>
      </c>
      <c r="UA100" s="14">
        <f t="shared" si="1159"/>
        <v>1</v>
      </c>
      <c r="UB100" s="14">
        <f t="shared" si="1159"/>
        <v>0</v>
      </c>
      <c r="UC100" s="14">
        <f t="shared" si="1159"/>
        <v>1</v>
      </c>
      <c r="UD100" s="14">
        <f t="shared" si="1159"/>
        <v>1</v>
      </c>
      <c r="UE100" s="14">
        <f t="shared" si="1159"/>
        <v>1</v>
      </c>
      <c r="UF100" s="14">
        <f t="shared" si="1159"/>
        <v>0</v>
      </c>
      <c r="UG100" s="14">
        <f t="shared" si="1159"/>
        <v>1</v>
      </c>
      <c r="UH100" s="14">
        <f t="shared" si="1159"/>
        <v>0</v>
      </c>
      <c r="UI100" s="14">
        <f t="shared" si="1159"/>
        <v>1</v>
      </c>
      <c r="UJ100" s="14">
        <f t="shared" si="1159"/>
        <v>0</v>
      </c>
      <c r="UK100" s="14">
        <f t="shared" si="1159"/>
        <v>0</v>
      </c>
      <c r="UL100" s="14">
        <f t="shared" si="1159"/>
        <v>0</v>
      </c>
      <c r="UM100" s="14">
        <f t="shared" si="1159"/>
        <v>0</v>
      </c>
      <c r="UN100" s="14">
        <f t="shared" ref="UN100:VS100" si="1160" xml:space="preserve"> IF( NOT(EXACT(UN25,"LVC_NEUTRAL_E")),1,0)</f>
        <v>0</v>
      </c>
      <c r="UO100" s="14">
        <f t="shared" si="1160"/>
        <v>0</v>
      </c>
      <c r="UP100" s="14">
        <f t="shared" si="1160"/>
        <v>1</v>
      </c>
      <c r="UQ100" s="14">
        <f t="shared" si="1160"/>
        <v>1</v>
      </c>
      <c r="UR100" s="14">
        <f t="shared" si="1160"/>
        <v>1</v>
      </c>
      <c r="US100" s="14">
        <f t="shared" si="1160"/>
        <v>1</v>
      </c>
      <c r="UT100" s="14">
        <f t="shared" si="1160"/>
        <v>1</v>
      </c>
      <c r="UU100" s="14">
        <f t="shared" si="1160"/>
        <v>1</v>
      </c>
      <c r="UV100" s="14">
        <f t="shared" si="1160"/>
        <v>1</v>
      </c>
      <c r="UW100" s="14">
        <f t="shared" si="1160"/>
        <v>1</v>
      </c>
      <c r="UX100" s="14">
        <f t="shared" si="1160"/>
        <v>0</v>
      </c>
      <c r="UY100" s="14">
        <f t="shared" si="1160"/>
        <v>1</v>
      </c>
      <c r="UZ100" s="14">
        <f t="shared" si="1160"/>
        <v>0</v>
      </c>
      <c r="VA100" s="14">
        <f t="shared" si="1160"/>
        <v>0</v>
      </c>
      <c r="VB100" s="14">
        <f t="shared" si="1160"/>
        <v>1</v>
      </c>
      <c r="VC100" s="14">
        <f t="shared" si="1160"/>
        <v>0</v>
      </c>
      <c r="VD100" s="14">
        <f t="shared" si="1160"/>
        <v>0</v>
      </c>
      <c r="VE100" s="14">
        <f t="shared" si="1160"/>
        <v>0</v>
      </c>
      <c r="VF100" s="14">
        <f t="shared" si="1160"/>
        <v>0</v>
      </c>
      <c r="VG100" s="14">
        <f t="shared" si="1160"/>
        <v>0</v>
      </c>
      <c r="VH100" s="14">
        <f t="shared" si="1160"/>
        <v>0</v>
      </c>
      <c r="VI100" s="14">
        <f t="shared" si="1160"/>
        <v>0</v>
      </c>
      <c r="VJ100" s="14">
        <f t="shared" si="1160"/>
        <v>0</v>
      </c>
      <c r="VK100" s="14">
        <f t="shared" si="1160"/>
        <v>0</v>
      </c>
      <c r="VL100" s="14">
        <f t="shared" si="1160"/>
        <v>0</v>
      </c>
      <c r="VM100" s="14">
        <f t="shared" si="1160"/>
        <v>0</v>
      </c>
      <c r="VN100" s="14">
        <f t="shared" si="1160"/>
        <v>0</v>
      </c>
      <c r="VO100" s="14">
        <f t="shared" si="1160"/>
        <v>0</v>
      </c>
      <c r="VP100" s="14">
        <f t="shared" si="1160"/>
        <v>0</v>
      </c>
      <c r="VQ100" s="14">
        <f t="shared" si="1160"/>
        <v>0</v>
      </c>
      <c r="VR100" s="14">
        <f t="shared" si="1160"/>
        <v>0</v>
      </c>
      <c r="VS100" s="14">
        <f t="shared" si="1160"/>
        <v>0</v>
      </c>
      <c r="VT100" s="14">
        <f t="shared" ref="VT100:VZ100" si="1161" xml:space="preserve"> IF( NOT(EXACT(VT25,"LVC_NEUTRAL_E")),1,0)</f>
        <v>0</v>
      </c>
      <c r="VU100" s="14">
        <f t="shared" si="1161"/>
        <v>0</v>
      </c>
      <c r="VV100" s="14">
        <f t="shared" si="1161"/>
        <v>0</v>
      </c>
      <c r="VW100" s="14">
        <f t="shared" si="1161"/>
        <v>0</v>
      </c>
      <c r="VX100" s="14">
        <f t="shared" si="1161"/>
        <v>0</v>
      </c>
      <c r="VY100" s="14">
        <f t="shared" si="1161"/>
        <v>0</v>
      </c>
      <c r="VZ100" s="14">
        <f t="shared" si="1161"/>
        <v>0</v>
      </c>
      <c r="AKQ100" s="14">
        <v>2</v>
      </c>
    </row>
    <row r="101" spans="1:979" ht="15" customHeight="1" x14ac:dyDescent="0.25">
      <c r="A101" s="14"/>
      <c r="IT101" s="14"/>
      <c r="IU101" s="14"/>
      <c r="JH101" s="14"/>
      <c r="JI101" s="14"/>
      <c r="JW101" s="14"/>
      <c r="JX101" s="14"/>
      <c r="LQ101" s="14"/>
      <c r="LR101" s="14"/>
      <c r="LS101" s="14"/>
      <c r="LT101" s="14"/>
      <c r="LU101" s="14"/>
      <c r="LV101" s="14"/>
      <c r="LW101" s="14"/>
      <c r="LY101" s="14"/>
      <c r="LZ101" s="14"/>
      <c r="MA101" s="14"/>
      <c r="MB101" s="14"/>
      <c r="MC101" s="14"/>
      <c r="MD101" s="14"/>
      <c r="ME101" s="14"/>
      <c r="MF101" s="14"/>
      <c r="MG101" s="14"/>
      <c r="MH101" s="14"/>
      <c r="MI101" s="14"/>
      <c r="MJ101" s="14"/>
      <c r="MK101" s="14"/>
      <c r="ML101" s="14"/>
      <c r="MM101" s="14"/>
      <c r="MN101" s="14"/>
      <c r="NR101" s="14">
        <f>NR100*NR100</f>
        <v>4</v>
      </c>
      <c r="NS101" s="14">
        <f t="shared" ref="NS101:OX101" si="1162">IF( EXACT(NS26,"LVC_REQ_DISENGAGE_E"),1,0)</f>
        <v>0</v>
      </c>
      <c r="NT101" s="14">
        <f t="shared" si="1162"/>
        <v>0</v>
      </c>
      <c r="NU101" s="14">
        <f t="shared" si="1162"/>
        <v>0</v>
      </c>
      <c r="NV101" s="14">
        <f t="shared" si="1162"/>
        <v>0</v>
      </c>
      <c r="NW101" s="14">
        <f t="shared" si="1162"/>
        <v>0</v>
      </c>
      <c r="NX101" s="14">
        <f t="shared" si="1162"/>
        <v>1</v>
      </c>
      <c r="NY101" s="14">
        <f t="shared" si="1162"/>
        <v>0</v>
      </c>
      <c r="NZ101" s="14">
        <f t="shared" si="1162"/>
        <v>0</v>
      </c>
      <c r="OA101" s="14">
        <f t="shared" si="1162"/>
        <v>0</v>
      </c>
      <c r="OB101" s="14">
        <f t="shared" si="1162"/>
        <v>0</v>
      </c>
      <c r="OC101" s="14">
        <f t="shared" si="1162"/>
        <v>0</v>
      </c>
      <c r="OD101" s="14">
        <f t="shared" si="1162"/>
        <v>0</v>
      </c>
      <c r="OE101" s="14">
        <f t="shared" si="1162"/>
        <v>0</v>
      </c>
      <c r="OF101" s="14">
        <f t="shared" si="1162"/>
        <v>0</v>
      </c>
      <c r="OG101" s="14">
        <f t="shared" si="1162"/>
        <v>0</v>
      </c>
      <c r="OH101" s="14">
        <f t="shared" si="1162"/>
        <v>0</v>
      </c>
      <c r="OI101" s="14">
        <f t="shared" si="1162"/>
        <v>0</v>
      </c>
      <c r="OJ101" s="14">
        <f t="shared" si="1162"/>
        <v>0</v>
      </c>
      <c r="OK101" s="14">
        <f t="shared" si="1162"/>
        <v>0</v>
      </c>
      <c r="OL101" s="14">
        <f t="shared" si="1162"/>
        <v>0</v>
      </c>
      <c r="OM101" s="14">
        <f t="shared" si="1162"/>
        <v>0</v>
      </c>
      <c r="ON101" s="14">
        <f t="shared" si="1162"/>
        <v>0</v>
      </c>
      <c r="OO101" s="14">
        <f t="shared" si="1162"/>
        <v>0</v>
      </c>
      <c r="OP101" s="14">
        <f t="shared" si="1162"/>
        <v>0</v>
      </c>
      <c r="OQ101" s="14">
        <f t="shared" si="1162"/>
        <v>0</v>
      </c>
      <c r="OR101" s="14">
        <f t="shared" si="1162"/>
        <v>0</v>
      </c>
      <c r="OS101" s="14">
        <f t="shared" si="1162"/>
        <v>0</v>
      </c>
      <c r="OT101" s="14">
        <f t="shared" si="1162"/>
        <v>0</v>
      </c>
      <c r="OU101" s="14">
        <f t="shared" si="1162"/>
        <v>0</v>
      </c>
      <c r="OV101" s="14">
        <f t="shared" si="1162"/>
        <v>0</v>
      </c>
      <c r="OW101" s="14">
        <f t="shared" si="1162"/>
        <v>0</v>
      </c>
      <c r="OX101" s="14">
        <f t="shared" si="1162"/>
        <v>0</v>
      </c>
      <c r="OY101" s="14">
        <f t="shared" ref="OY101:QD101" si="1163">IF( EXACT(OY26,"LVC_REQ_DISENGAGE_E"),1,0)</f>
        <v>0</v>
      </c>
      <c r="OZ101" s="14">
        <f t="shared" si="1163"/>
        <v>0</v>
      </c>
      <c r="PA101" s="14">
        <f t="shared" si="1163"/>
        <v>0</v>
      </c>
      <c r="PB101" s="14">
        <f t="shared" si="1163"/>
        <v>1</v>
      </c>
      <c r="PC101" s="14">
        <f t="shared" si="1163"/>
        <v>0</v>
      </c>
      <c r="PD101" s="14">
        <f t="shared" si="1163"/>
        <v>0</v>
      </c>
      <c r="PE101" s="14">
        <f t="shared" si="1163"/>
        <v>0</v>
      </c>
      <c r="PF101" s="14">
        <f t="shared" si="1163"/>
        <v>0</v>
      </c>
      <c r="PG101" s="14">
        <f t="shared" si="1163"/>
        <v>0</v>
      </c>
      <c r="PH101" s="14">
        <f t="shared" si="1163"/>
        <v>0</v>
      </c>
      <c r="PI101" s="14">
        <f t="shared" si="1163"/>
        <v>0</v>
      </c>
      <c r="PJ101" s="14">
        <f t="shared" si="1163"/>
        <v>0</v>
      </c>
      <c r="PK101" s="14">
        <f t="shared" si="1163"/>
        <v>0</v>
      </c>
      <c r="PL101" s="14">
        <f t="shared" si="1163"/>
        <v>0</v>
      </c>
      <c r="PM101" s="14">
        <f t="shared" si="1163"/>
        <v>1</v>
      </c>
      <c r="PN101" s="14">
        <f t="shared" si="1163"/>
        <v>0</v>
      </c>
      <c r="PO101" s="14">
        <f t="shared" si="1163"/>
        <v>1</v>
      </c>
      <c r="PP101" s="14">
        <f t="shared" si="1163"/>
        <v>0</v>
      </c>
      <c r="PQ101" s="14">
        <f t="shared" si="1163"/>
        <v>0</v>
      </c>
      <c r="PR101" s="14">
        <f t="shared" si="1163"/>
        <v>0</v>
      </c>
      <c r="PS101" s="14">
        <f t="shared" si="1163"/>
        <v>0</v>
      </c>
      <c r="PT101" s="14">
        <f t="shared" si="1163"/>
        <v>1</v>
      </c>
      <c r="PU101" s="14">
        <f t="shared" si="1163"/>
        <v>0</v>
      </c>
      <c r="PV101" s="14">
        <f t="shared" si="1163"/>
        <v>0</v>
      </c>
      <c r="PW101" s="14">
        <f t="shared" si="1163"/>
        <v>0</v>
      </c>
      <c r="PX101" s="14">
        <f t="shared" si="1163"/>
        <v>0</v>
      </c>
      <c r="PY101" s="14">
        <f t="shared" si="1163"/>
        <v>1</v>
      </c>
      <c r="PZ101" s="14">
        <f t="shared" si="1163"/>
        <v>0</v>
      </c>
      <c r="QA101" s="14">
        <f t="shared" si="1163"/>
        <v>0</v>
      </c>
      <c r="QB101" s="14">
        <f t="shared" si="1163"/>
        <v>0</v>
      </c>
      <c r="QC101" s="14">
        <f t="shared" si="1163"/>
        <v>0</v>
      </c>
      <c r="QD101" s="14">
        <f t="shared" si="1163"/>
        <v>0</v>
      </c>
      <c r="QE101" s="14">
        <f t="shared" ref="QE101:RI101" si="1164">IF( EXACT(QE26,"LVC_REQ_DISENGAGE_E"),1,0)</f>
        <v>0</v>
      </c>
      <c r="QF101" s="14">
        <f t="shared" si="1164"/>
        <v>0</v>
      </c>
      <c r="QG101" s="14">
        <f t="shared" si="1164"/>
        <v>0</v>
      </c>
      <c r="QH101" s="14">
        <f t="shared" si="1164"/>
        <v>0</v>
      </c>
      <c r="QI101" s="14">
        <f t="shared" si="1164"/>
        <v>1</v>
      </c>
      <c r="QJ101" s="14">
        <f t="shared" si="1164"/>
        <v>0</v>
      </c>
      <c r="QK101" s="14">
        <f t="shared" si="1164"/>
        <v>0</v>
      </c>
      <c r="QL101" s="14">
        <f t="shared" si="1164"/>
        <v>0</v>
      </c>
      <c r="QM101" s="14">
        <f t="shared" si="1164"/>
        <v>0</v>
      </c>
      <c r="QN101" s="14">
        <f t="shared" si="1164"/>
        <v>0</v>
      </c>
      <c r="QO101" s="14">
        <f t="shared" si="1164"/>
        <v>0</v>
      </c>
      <c r="QP101" s="14">
        <f t="shared" si="1164"/>
        <v>0</v>
      </c>
      <c r="QQ101" s="14">
        <f t="shared" si="1164"/>
        <v>1</v>
      </c>
      <c r="QR101" s="14">
        <f t="shared" si="1164"/>
        <v>0</v>
      </c>
      <c r="QS101" s="14">
        <f t="shared" si="1164"/>
        <v>0</v>
      </c>
      <c r="QT101" s="14">
        <f t="shared" si="1164"/>
        <v>0</v>
      </c>
      <c r="QU101" s="14">
        <f t="shared" si="1164"/>
        <v>0</v>
      </c>
      <c r="QV101" s="14">
        <f t="shared" si="1164"/>
        <v>0</v>
      </c>
      <c r="QW101" s="14">
        <f t="shared" si="1164"/>
        <v>0</v>
      </c>
      <c r="QX101" s="14">
        <f t="shared" si="1164"/>
        <v>0</v>
      </c>
      <c r="QY101" s="14">
        <f t="shared" si="1164"/>
        <v>0</v>
      </c>
      <c r="QZ101" s="14">
        <f t="shared" si="1164"/>
        <v>0</v>
      </c>
      <c r="RA101" s="14">
        <f t="shared" si="1164"/>
        <v>0</v>
      </c>
      <c r="RB101" s="14">
        <f t="shared" si="1164"/>
        <v>0</v>
      </c>
      <c r="RC101" s="14">
        <f t="shared" si="1164"/>
        <v>0</v>
      </c>
      <c r="RD101" s="14">
        <f t="shared" si="1164"/>
        <v>0</v>
      </c>
      <c r="RE101" s="14">
        <f t="shared" si="1164"/>
        <v>0</v>
      </c>
      <c r="RF101" s="14">
        <f t="shared" si="1164"/>
        <v>0</v>
      </c>
      <c r="RG101" s="14">
        <f t="shared" si="1164"/>
        <v>0</v>
      </c>
      <c r="RH101" s="14">
        <f t="shared" si="1164"/>
        <v>0</v>
      </c>
      <c r="RI101" s="14">
        <f t="shared" si="1164"/>
        <v>0</v>
      </c>
      <c r="RJ101" s="14">
        <f t="shared" ref="RJ101:RR101" si="1165">IF( EXACT(RJ26,"LVC_REQ_DISENGAGE_E"),1,0)</f>
        <v>0</v>
      </c>
      <c r="RK101" s="14">
        <f t="shared" si="1165"/>
        <v>0</v>
      </c>
      <c r="RL101" s="14">
        <f t="shared" si="1165"/>
        <v>0</v>
      </c>
      <c r="RM101" s="14">
        <f t="shared" si="1165"/>
        <v>0</v>
      </c>
      <c r="RN101" s="14">
        <f t="shared" si="1165"/>
        <v>0</v>
      </c>
      <c r="RO101" s="14">
        <f t="shared" si="1165"/>
        <v>0</v>
      </c>
      <c r="RP101" s="14">
        <f t="shared" si="1165"/>
        <v>0</v>
      </c>
      <c r="RQ101" s="14">
        <f t="shared" si="1165"/>
        <v>0</v>
      </c>
      <c r="RR101" s="14">
        <f t="shared" si="1165"/>
        <v>0</v>
      </c>
      <c r="SA101" s="14">
        <f>SA100*SA100</f>
        <v>4</v>
      </c>
      <c r="SB101" s="14">
        <f t="shared" ref="SB101:TG101" si="1166">IF( EXACT(SB26,"LVC_REQ_DISENGAGE_E"),1,0)</f>
        <v>0</v>
      </c>
      <c r="SC101" s="14">
        <f t="shared" si="1166"/>
        <v>0</v>
      </c>
      <c r="SD101" s="14">
        <f t="shared" si="1166"/>
        <v>0</v>
      </c>
      <c r="SE101" s="14">
        <f t="shared" si="1166"/>
        <v>0</v>
      </c>
      <c r="SF101" s="14">
        <f t="shared" si="1166"/>
        <v>0</v>
      </c>
      <c r="SG101" s="14">
        <f t="shared" si="1166"/>
        <v>1</v>
      </c>
      <c r="SH101" s="14">
        <f t="shared" si="1166"/>
        <v>0</v>
      </c>
      <c r="SI101" s="14">
        <f t="shared" si="1166"/>
        <v>0</v>
      </c>
      <c r="SJ101" s="14">
        <f t="shared" si="1166"/>
        <v>0</v>
      </c>
      <c r="SK101" s="14">
        <f t="shared" si="1166"/>
        <v>0</v>
      </c>
      <c r="SL101" s="14">
        <f t="shared" si="1166"/>
        <v>0</v>
      </c>
      <c r="SM101" s="14">
        <f t="shared" si="1166"/>
        <v>0</v>
      </c>
      <c r="SN101" s="14">
        <f t="shared" si="1166"/>
        <v>0</v>
      </c>
      <c r="SO101" s="14">
        <f t="shared" si="1166"/>
        <v>0</v>
      </c>
      <c r="SP101" s="14">
        <f t="shared" si="1166"/>
        <v>0</v>
      </c>
      <c r="SQ101" s="14">
        <f t="shared" si="1166"/>
        <v>0</v>
      </c>
      <c r="SR101" s="14">
        <f t="shared" si="1166"/>
        <v>0</v>
      </c>
      <c r="SS101" s="14">
        <f t="shared" si="1166"/>
        <v>0</v>
      </c>
      <c r="ST101" s="14">
        <f t="shared" si="1166"/>
        <v>0</v>
      </c>
      <c r="SU101" s="14">
        <f t="shared" si="1166"/>
        <v>0</v>
      </c>
      <c r="SV101" s="14">
        <f t="shared" si="1166"/>
        <v>0</v>
      </c>
      <c r="SW101" s="14">
        <f t="shared" si="1166"/>
        <v>0</v>
      </c>
      <c r="SX101" s="14">
        <f t="shared" si="1166"/>
        <v>0</v>
      </c>
      <c r="SY101" s="14">
        <f t="shared" si="1166"/>
        <v>0</v>
      </c>
      <c r="SZ101" s="14">
        <f t="shared" si="1166"/>
        <v>0</v>
      </c>
      <c r="TA101" s="14">
        <f t="shared" si="1166"/>
        <v>0</v>
      </c>
      <c r="TB101" s="14">
        <f t="shared" si="1166"/>
        <v>0</v>
      </c>
      <c r="TC101" s="14">
        <f t="shared" si="1166"/>
        <v>0</v>
      </c>
      <c r="TD101" s="14">
        <f t="shared" si="1166"/>
        <v>0</v>
      </c>
      <c r="TE101" s="14">
        <f t="shared" si="1166"/>
        <v>0</v>
      </c>
      <c r="TF101" s="14">
        <f t="shared" si="1166"/>
        <v>0</v>
      </c>
      <c r="TG101" s="14">
        <f t="shared" si="1166"/>
        <v>0</v>
      </c>
      <c r="TH101" s="14">
        <f t="shared" ref="TH101:UM101" si="1167">IF( EXACT(TH26,"LVC_REQ_DISENGAGE_E"),1,0)</f>
        <v>0</v>
      </c>
      <c r="TI101" s="14">
        <f t="shared" si="1167"/>
        <v>0</v>
      </c>
      <c r="TJ101" s="14">
        <f t="shared" si="1167"/>
        <v>1</v>
      </c>
      <c r="TK101" s="14">
        <f t="shared" si="1167"/>
        <v>0</v>
      </c>
      <c r="TL101" s="14">
        <f t="shared" si="1167"/>
        <v>0</v>
      </c>
      <c r="TM101" s="14">
        <f t="shared" si="1167"/>
        <v>0</v>
      </c>
      <c r="TN101" s="14">
        <f t="shared" si="1167"/>
        <v>0</v>
      </c>
      <c r="TO101" s="14">
        <f t="shared" si="1167"/>
        <v>0</v>
      </c>
      <c r="TP101" s="14">
        <f t="shared" si="1167"/>
        <v>0</v>
      </c>
      <c r="TQ101" s="14">
        <f t="shared" si="1167"/>
        <v>0</v>
      </c>
      <c r="TR101" s="14">
        <f t="shared" si="1167"/>
        <v>0</v>
      </c>
      <c r="TS101" s="14">
        <f t="shared" si="1167"/>
        <v>0</v>
      </c>
      <c r="TT101" s="14">
        <f t="shared" si="1167"/>
        <v>0</v>
      </c>
      <c r="TU101" s="14">
        <f t="shared" si="1167"/>
        <v>1</v>
      </c>
      <c r="TV101" s="14">
        <f t="shared" si="1167"/>
        <v>0</v>
      </c>
      <c r="TW101" s="14">
        <f t="shared" si="1167"/>
        <v>1</v>
      </c>
      <c r="TX101" s="14">
        <f t="shared" si="1167"/>
        <v>0</v>
      </c>
      <c r="TY101" s="14">
        <f t="shared" si="1167"/>
        <v>0</v>
      </c>
      <c r="TZ101" s="14">
        <f t="shared" si="1167"/>
        <v>0</v>
      </c>
      <c r="UA101" s="14">
        <f t="shared" si="1167"/>
        <v>0</v>
      </c>
      <c r="UB101" s="14">
        <f t="shared" si="1167"/>
        <v>1</v>
      </c>
      <c r="UC101" s="14">
        <f t="shared" si="1167"/>
        <v>0</v>
      </c>
      <c r="UD101" s="14">
        <f t="shared" si="1167"/>
        <v>0</v>
      </c>
      <c r="UE101" s="14">
        <f t="shared" si="1167"/>
        <v>0</v>
      </c>
      <c r="UF101" s="14">
        <f t="shared" si="1167"/>
        <v>0</v>
      </c>
      <c r="UG101" s="14">
        <f t="shared" si="1167"/>
        <v>1</v>
      </c>
      <c r="UH101" s="14">
        <f t="shared" si="1167"/>
        <v>0</v>
      </c>
      <c r="UI101" s="14">
        <f t="shared" si="1167"/>
        <v>0</v>
      </c>
      <c r="UJ101" s="14">
        <f t="shared" si="1167"/>
        <v>0</v>
      </c>
      <c r="UK101" s="14">
        <f t="shared" si="1167"/>
        <v>0</v>
      </c>
      <c r="UL101" s="14">
        <f t="shared" si="1167"/>
        <v>0</v>
      </c>
      <c r="UM101" s="14">
        <f t="shared" si="1167"/>
        <v>0</v>
      </c>
      <c r="UN101" s="14">
        <f t="shared" ref="UN101:VS101" si="1168">IF( EXACT(UN26,"LVC_REQ_DISENGAGE_E"),1,0)</f>
        <v>0</v>
      </c>
      <c r="UO101" s="14">
        <f t="shared" si="1168"/>
        <v>0</v>
      </c>
      <c r="UP101" s="14">
        <f t="shared" si="1168"/>
        <v>0</v>
      </c>
      <c r="UQ101" s="14">
        <f t="shared" si="1168"/>
        <v>1</v>
      </c>
      <c r="UR101" s="14">
        <f t="shared" si="1168"/>
        <v>0</v>
      </c>
      <c r="US101" s="14">
        <f t="shared" si="1168"/>
        <v>0</v>
      </c>
      <c r="UT101" s="14">
        <f t="shared" si="1168"/>
        <v>0</v>
      </c>
      <c r="UU101" s="14">
        <f t="shared" si="1168"/>
        <v>0</v>
      </c>
      <c r="UV101" s="14">
        <f t="shared" si="1168"/>
        <v>0</v>
      </c>
      <c r="UW101" s="14">
        <f t="shared" si="1168"/>
        <v>0</v>
      </c>
      <c r="UX101" s="14">
        <f t="shared" si="1168"/>
        <v>0</v>
      </c>
      <c r="UY101" s="14">
        <f t="shared" si="1168"/>
        <v>1</v>
      </c>
      <c r="UZ101" s="14">
        <f t="shared" si="1168"/>
        <v>0</v>
      </c>
      <c r="VA101" s="14">
        <f t="shared" si="1168"/>
        <v>0</v>
      </c>
      <c r="VB101" s="14">
        <f t="shared" si="1168"/>
        <v>0</v>
      </c>
      <c r="VC101" s="14">
        <f t="shared" si="1168"/>
        <v>0</v>
      </c>
      <c r="VD101" s="14">
        <f t="shared" si="1168"/>
        <v>0</v>
      </c>
      <c r="VE101" s="14">
        <f t="shared" si="1168"/>
        <v>0</v>
      </c>
      <c r="VF101" s="14">
        <f t="shared" si="1168"/>
        <v>0</v>
      </c>
      <c r="VG101" s="14">
        <f t="shared" si="1168"/>
        <v>0</v>
      </c>
      <c r="VH101" s="14">
        <f t="shared" si="1168"/>
        <v>0</v>
      </c>
      <c r="VI101" s="14">
        <f t="shared" si="1168"/>
        <v>0</v>
      </c>
      <c r="VJ101" s="14">
        <f t="shared" si="1168"/>
        <v>0</v>
      </c>
      <c r="VK101" s="14">
        <f t="shared" si="1168"/>
        <v>0</v>
      </c>
      <c r="VL101" s="14">
        <f t="shared" si="1168"/>
        <v>0</v>
      </c>
      <c r="VM101" s="14">
        <f t="shared" si="1168"/>
        <v>0</v>
      </c>
      <c r="VN101" s="14">
        <f t="shared" si="1168"/>
        <v>0</v>
      </c>
      <c r="VO101" s="14">
        <f t="shared" si="1168"/>
        <v>0</v>
      </c>
      <c r="VP101" s="14">
        <f t="shared" si="1168"/>
        <v>0</v>
      </c>
      <c r="VQ101" s="14">
        <f t="shared" si="1168"/>
        <v>0</v>
      </c>
      <c r="VR101" s="14">
        <f t="shared" si="1168"/>
        <v>0</v>
      </c>
      <c r="VS101" s="14">
        <f t="shared" si="1168"/>
        <v>0</v>
      </c>
      <c r="VT101" s="14">
        <f t="shared" ref="VT101:VZ101" si="1169">IF( EXACT(VT26,"LVC_REQ_DISENGAGE_E"),1,0)</f>
        <v>0</v>
      </c>
      <c r="VU101" s="14">
        <f t="shared" si="1169"/>
        <v>0</v>
      </c>
      <c r="VV101" s="14">
        <f t="shared" si="1169"/>
        <v>0</v>
      </c>
      <c r="VW101" s="14">
        <f t="shared" si="1169"/>
        <v>0</v>
      </c>
      <c r="VX101" s="14">
        <f t="shared" si="1169"/>
        <v>0</v>
      </c>
      <c r="VY101" s="14">
        <f t="shared" si="1169"/>
        <v>0</v>
      </c>
      <c r="VZ101" s="14">
        <f t="shared" si="1169"/>
        <v>0</v>
      </c>
      <c r="AKQ101" s="14">
        <f>AKQ100*AKQ100</f>
        <v>4</v>
      </c>
    </row>
    <row r="102" spans="1:979" ht="15" customHeight="1" x14ac:dyDescent="0.25">
      <c r="A102" s="14"/>
      <c r="NR102" s="14">
        <f t="shared" ref="NR102:NR114" si="1170">NR101*2</f>
        <v>8</v>
      </c>
      <c r="NS102" s="14">
        <f t="shared" ref="NS102:OX102" si="1171">IF( EXACT(NS27,"LVC_NOT_APPLIED_E"),1,0)</f>
        <v>0</v>
      </c>
      <c r="NT102" s="14">
        <f t="shared" si="1171"/>
        <v>1</v>
      </c>
      <c r="NU102" s="14">
        <f t="shared" si="1171"/>
        <v>0</v>
      </c>
      <c r="NV102" s="14">
        <f t="shared" si="1171"/>
        <v>0</v>
      </c>
      <c r="NW102" s="14">
        <f t="shared" si="1171"/>
        <v>0</v>
      </c>
      <c r="NX102" s="14">
        <f t="shared" si="1171"/>
        <v>0</v>
      </c>
      <c r="NY102" s="14">
        <f t="shared" si="1171"/>
        <v>0</v>
      </c>
      <c r="NZ102" s="14">
        <f t="shared" si="1171"/>
        <v>0</v>
      </c>
      <c r="OA102" s="14">
        <f t="shared" si="1171"/>
        <v>0</v>
      </c>
      <c r="OB102" s="14">
        <f t="shared" si="1171"/>
        <v>0</v>
      </c>
      <c r="OC102" s="14">
        <f t="shared" si="1171"/>
        <v>0</v>
      </c>
      <c r="OD102" s="14">
        <f t="shared" si="1171"/>
        <v>0</v>
      </c>
      <c r="OE102" s="14">
        <f t="shared" si="1171"/>
        <v>0</v>
      </c>
      <c r="OF102" s="14">
        <f t="shared" si="1171"/>
        <v>0</v>
      </c>
      <c r="OG102" s="14">
        <f t="shared" si="1171"/>
        <v>0</v>
      </c>
      <c r="OH102" s="14">
        <f t="shared" si="1171"/>
        <v>0</v>
      </c>
      <c r="OI102" s="14">
        <f t="shared" si="1171"/>
        <v>0</v>
      </c>
      <c r="OJ102" s="14">
        <f t="shared" si="1171"/>
        <v>0</v>
      </c>
      <c r="OK102" s="14">
        <f t="shared" si="1171"/>
        <v>0</v>
      </c>
      <c r="OL102" s="14">
        <f t="shared" si="1171"/>
        <v>0</v>
      </c>
      <c r="OM102" s="14">
        <f t="shared" si="1171"/>
        <v>0</v>
      </c>
      <c r="ON102" s="14">
        <f t="shared" si="1171"/>
        <v>0</v>
      </c>
      <c r="OO102" s="14">
        <f t="shared" si="1171"/>
        <v>0</v>
      </c>
      <c r="OP102" s="14">
        <f t="shared" si="1171"/>
        <v>0</v>
      </c>
      <c r="OQ102" s="14">
        <f t="shared" si="1171"/>
        <v>0</v>
      </c>
      <c r="OR102" s="14">
        <f t="shared" si="1171"/>
        <v>0</v>
      </c>
      <c r="OS102" s="14">
        <f t="shared" si="1171"/>
        <v>0</v>
      </c>
      <c r="OT102" s="14">
        <f t="shared" si="1171"/>
        <v>0</v>
      </c>
      <c r="OU102" s="14">
        <f t="shared" si="1171"/>
        <v>0</v>
      </c>
      <c r="OV102" s="14">
        <f t="shared" si="1171"/>
        <v>0</v>
      </c>
      <c r="OW102" s="14">
        <f t="shared" si="1171"/>
        <v>0</v>
      </c>
      <c r="OX102" s="14">
        <f t="shared" si="1171"/>
        <v>0</v>
      </c>
      <c r="OY102" s="14">
        <f t="shared" ref="OY102:QD102" si="1172">IF( EXACT(OY27,"LVC_NOT_APPLIED_E"),1,0)</f>
        <v>1</v>
      </c>
      <c r="OZ102" s="14">
        <f t="shared" si="1172"/>
        <v>0</v>
      </c>
      <c r="PA102" s="14">
        <f t="shared" si="1172"/>
        <v>0</v>
      </c>
      <c r="PB102" s="14">
        <f t="shared" si="1172"/>
        <v>0</v>
      </c>
      <c r="PC102" s="14">
        <f t="shared" si="1172"/>
        <v>0</v>
      </c>
      <c r="PD102" s="14">
        <f t="shared" si="1172"/>
        <v>0</v>
      </c>
      <c r="PE102" s="14">
        <f t="shared" si="1172"/>
        <v>0</v>
      </c>
      <c r="PF102" s="14">
        <f t="shared" si="1172"/>
        <v>0</v>
      </c>
      <c r="PG102" s="14">
        <f t="shared" si="1172"/>
        <v>0</v>
      </c>
      <c r="PH102" s="14">
        <f t="shared" si="1172"/>
        <v>0</v>
      </c>
      <c r="PI102" s="14">
        <f t="shared" si="1172"/>
        <v>0</v>
      </c>
      <c r="PJ102" s="14">
        <f t="shared" si="1172"/>
        <v>0</v>
      </c>
      <c r="PK102" s="14">
        <f t="shared" si="1172"/>
        <v>0</v>
      </c>
      <c r="PL102" s="14">
        <f t="shared" si="1172"/>
        <v>0</v>
      </c>
      <c r="PM102" s="14">
        <f t="shared" si="1172"/>
        <v>1</v>
      </c>
      <c r="PN102" s="14">
        <f t="shared" si="1172"/>
        <v>0</v>
      </c>
      <c r="PO102" s="14">
        <f t="shared" si="1172"/>
        <v>1</v>
      </c>
      <c r="PP102" s="14">
        <f t="shared" si="1172"/>
        <v>0</v>
      </c>
      <c r="PQ102" s="14">
        <f t="shared" si="1172"/>
        <v>0</v>
      </c>
      <c r="PR102" s="14">
        <f t="shared" si="1172"/>
        <v>1</v>
      </c>
      <c r="PS102" s="14">
        <f t="shared" si="1172"/>
        <v>0</v>
      </c>
      <c r="PT102" s="14">
        <f t="shared" si="1172"/>
        <v>0</v>
      </c>
      <c r="PU102" s="14">
        <f t="shared" si="1172"/>
        <v>0</v>
      </c>
      <c r="PV102" s="14">
        <f t="shared" si="1172"/>
        <v>0</v>
      </c>
      <c r="PW102" s="14">
        <f t="shared" si="1172"/>
        <v>0</v>
      </c>
      <c r="PX102" s="14">
        <f t="shared" si="1172"/>
        <v>0</v>
      </c>
      <c r="PY102" s="14">
        <f t="shared" si="1172"/>
        <v>1</v>
      </c>
      <c r="PZ102" s="14">
        <f t="shared" si="1172"/>
        <v>0</v>
      </c>
      <c r="QA102" s="14">
        <f t="shared" si="1172"/>
        <v>0</v>
      </c>
      <c r="QB102" s="14">
        <f t="shared" si="1172"/>
        <v>0</v>
      </c>
      <c r="QC102" s="14">
        <f t="shared" si="1172"/>
        <v>0</v>
      </c>
      <c r="QD102" s="14">
        <f t="shared" si="1172"/>
        <v>0</v>
      </c>
      <c r="QE102" s="14">
        <f t="shared" ref="QE102:RI102" si="1173">IF( EXACT(QE27,"LVC_NOT_APPLIED_E"),1,0)</f>
        <v>0</v>
      </c>
      <c r="QF102" s="14">
        <f t="shared" si="1173"/>
        <v>0</v>
      </c>
      <c r="QG102" s="14">
        <f t="shared" si="1173"/>
        <v>0</v>
      </c>
      <c r="QH102" s="14">
        <f t="shared" si="1173"/>
        <v>1</v>
      </c>
      <c r="QI102" s="14">
        <f t="shared" si="1173"/>
        <v>1</v>
      </c>
      <c r="QJ102" s="14">
        <f t="shared" si="1173"/>
        <v>1</v>
      </c>
      <c r="QK102" s="14">
        <f t="shared" si="1173"/>
        <v>1</v>
      </c>
      <c r="QL102" s="14">
        <f t="shared" si="1173"/>
        <v>1</v>
      </c>
      <c r="QM102" s="14">
        <f t="shared" si="1173"/>
        <v>1</v>
      </c>
      <c r="QN102" s="14">
        <f t="shared" si="1173"/>
        <v>1</v>
      </c>
      <c r="QO102" s="14">
        <f t="shared" si="1173"/>
        <v>0</v>
      </c>
      <c r="QP102" s="14">
        <f t="shared" si="1173"/>
        <v>1</v>
      </c>
      <c r="QQ102" s="14">
        <f t="shared" si="1173"/>
        <v>0</v>
      </c>
      <c r="QR102" s="14">
        <f t="shared" si="1173"/>
        <v>0</v>
      </c>
      <c r="QS102" s="14">
        <f t="shared" si="1173"/>
        <v>0</v>
      </c>
      <c r="QT102" s="14">
        <f t="shared" si="1173"/>
        <v>0</v>
      </c>
      <c r="QU102" s="14">
        <f t="shared" si="1173"/>
        <v>0</v>
      </c>
      <c r="QV102" s="14">
        <f t="shared" si="1173"/>
        <v>0</v>
      </c>
      <c r="QW102" s="14">
        <f t="shared" si="1173"/>
        <v>0</v>
      </c>
      <c r="QX102" s="14">
        <f t="shared" si="1173"/>
        <v>0</v>
      </c>
      <c r="QY102" s="14">
        <f t="shared" si="1173"/>
        <v>0</v>
      </c>
      <c r="QZ102" s="14">
        <f t="shared" si="1173"/>
        <v>0</v>
      </c>
      <c r="RA102" s="14">
        <f t="shared" si="1173"/>
        <v>0</v>
      </c>
      <c r="RB102" s="14">
        <f t="shared" si="1173"/>
        <v>0</v>
      </c>
      <c r="RC102" s="14">
        <f t="shared" si="1173"/>
        <v>0</v>
      </c>
      <c r="RD102" s="14">
        <f t="shared" si="1173"/>
        <v>0</v>
      </c>
      <c r="RE102" s="14">
        <f t="shared" si="1173"/>
        <v>0</v>
      </c>
      <c r="RF102" s="14">
        <f t="shared" si="1173"/>
        <v>0</v>
      </c>
      <c r="RG102" s="14">
        <f t="shared" si="1173"/>
        <v>0</v>
      </c>
      <c r="RH102" s="14">
        <f t="shared" si="1173"/>
        <v>0</v>
      </c>
      <c r="RI102" s="14">
        <f t="shared" si="1173"/>
        <v>0</v>
      </c>
      <c r="RJ102" s="14">
        <f t="shared" ref="RJ102:RR102" si="1174">IF( EXACT(RJ27,"LVC_NOT_APPLIED_E"),1,0)</f>
        <v>0</v>
      </c>
      <c r="RK102" s="14">
        <f t="shared" si="1174"/>
        <v>0</v>
      </c>
      <c r="RL102" s="14">
        <f t="shared" si="1174"/>
        <v>0</v>
      </c>
      <c r="RM102" s="14">
        <f t="shared" si="1174"/>
        <v>0</v>
      </c>
      <c r="RN102" s="14">
        <f t="shared" si="1174"/>
        <v>0</v>
      </c>
      <c r="RO102" s="14">
        <f t="shared" si="1174"/>
        <v>0</v>
      </c>
      <c r="RP102" s="14">
        <f t="shared" si="1174"/>
        <v>0</v>
      </c>
      <c r="RQ102" s="14">
        <f t="shared" si="1174"/>
        <v>0</v>
      </c>
      <c r="RR102" s="14">
        <f t="shared" si="1174"/>
        <v>0</v>
      </c>
      <c r="SA102" s="14">
        <f t="shared" ref="SA102:SA114" si="1175">SA101*2</f>
        <v>8</v>
      </c>
      <c r="SB102" s="14">
        <f t="shared" ref="SB102:TG102" si="1176">IF( EXACT(SB27,"LVC_NOT_APPLIED_E"),1,0)</f>
        <v>0</v>
      </c>
      <c r="SC102" s="14">
        <f t="shared" si="1176"/>
        <v>1</v>
      </c>
      <c r="SD102" s="14">
        <f t="shared" si="1176"/>
        <v>0</v>
      </c>
      <c r="SE102" s="14">
        <f t="shared" si="1176"/>
        <v>0</v>
      </c>
      <c r="SF102" s="14">
        <f t="shared" si="1176"/>
        <v>0</v>
      </c>
      <c r="SG102" s="14">
        <f t="shared" si="1176"/>
        <v>0</v>
      </c>
      <c r="SH102" s="14">
        <f t="shared" si="1176"/>
        <v>0</v>
      </c>
      <c r="SI102" s="14">
        <f t="shared" si="1176"/>
        <v>0</v>
      </c>
      <c r="SJ102" s="14">
        <f t="shared" si="1176"/>
        <v>0</v>
      </c>
      <c r="SK102" s="14">
        <f t="shared" si="1176"/>
        <v>0</v>
      </c>
      <c r="SL102" s="14">
        <f t="shared" si="1176"/>
        <v>0</v>
      </c>
      <c r="SM102" s="14">
        <f t="shared" si="1176"/>
        <v>0</v>
      </c>
      <c r="SN102" s="14">
        <f t="shared" si="1176"/>
        <v>0</v>
      </c>
      <c r="SO102" s="14">
        <f t="shared" si="1176"/>
        <v>0</v>
      </c>
      <c r="SP102" s="14">
        <f t="shared" si="1176"/>
        <v>0</v>
      </c>
      <c r="SQ102" s="14">
        <f t="shared" si="1176"/>
        <v>0</v>
      </c>
      <c r="SR102" s="14">
        <f t="shared" si="1176"/>
        <v>0</v>
      </c>
      <c r="SS102" s="14">
        <f t="shared" si="1176"/>
        <v>0</v>
      </c>
      <c r="ST102" s="14">
        <f t="shared" si="1176"/>
        <v>0</v>
      </c>
      <c r="SU102" s="14">
        <f t="shared" si="1176"/>
        <v>0</v>
      </c>
      <c r="SV102" s="14">
        <f t="shared" si="1176"/>
        <v>0</v>
      </c>
      <c r="SW102" s="14">
        <f t="shared" si="1176"/>
        <v>0</v>
      </c>
      <c r="SX102" s="14">
        <f t="shared" si="1176"/>
        <v>0</v>
      </c>
      <c r="SY102" s="14">
        <f t="shared" si="1176"/>
        <v>0</v>
      </c>
      <c r="SZ102" s="14">
        <f t="shared" si="1176"/>
        <v>0</v>
      </c>
      <c r="TA102" s="14">
        <f t="shared" si="1176"/>
        <v>0</v>
      </c>
      <c r="TB102" s="14">
        <f t="shared" si="1176"/>
        <v>0</v>
      </c>
      <c r="TC102" s="14">
        <f t="shared" si="1176"/>
        <v>0</v>
      </c>
      <c r="TD102" s="14">
        <f t="shared" si="1176"/>
        <v>0</v>
      </c>
      <c r="TE102" s="14">
        <f t="shared" si="1176"/>
        <v>0</v>
      </c>
      <c r="TF102" s="14">
        <f t="shared" si="1176"/>
        <v>0</v>
      </c>
      <c r="TG102" s="14">
        <f t="shared" si="1176"/>
        <v>1</v>
      </c>
      <c r="TH102" s="14">
        <f t="shared" ref="TH102:UM102" si="1177">IF( EXACT(TH27,"LVC_NOT_APPLIED_E"),1,0)</f>
        <v>0</v>
      </c>
      <c r="TI102" s="14">
        <f t="shared" si="1177"/>
        <v>0</v>
      </c>
      <c r="TJ102" s="14">
        <f t="shared" si="1177"/>
        <v>0</v>
      </c>
      <c r="TK102" s="14">
        <f t="shared" si="1177"/>
        <v>0</v>
      </c>
      <c r="TL102" s="14">
        <f t="shared" si="1177"/>
        <v>0</v>
      </c>
      <c r="TM102" s="14">
        <f t="shared" si="1177"/>
        <v>0</v>
      </c>
      <c r="TN102" s="14">
        <f t="shared" si="1177"/>
        <v>0</v>
      </c>
      <c r="TO102" s="14">
        <f t="shared" si="1177"/>
        <v>0</v>
      </c>
      <c r="TP102" s="14">
        <f t="shared" si="1177"/>
        <v>0</v>
      </c>
      <c r="TQ102" s="14">
        <f t="shared" si="1177"/>
        <v>0</v>
      </c>
      <c r="TR102" s="14">
        <f t="shared" si="1177"/>
        <v>0</v>
      </c>
      <c r="TS102" s="14">
        <f t="shared" si="1177"/>
        <v>0</v>
      </c>
      <c r="TT102" s="14">
        <f t="shared" si="1177"/>
        <v>0</v>
      </c>
      <c r="TU102" s="14">
        <f t="shared" si="1177"/>
        <v>1</v>
      </c>
      <c r="TV102" s="14">
        <f t="shared" si="1177"/>
        <v>0</v>
      </c>
      <c r="TW102" s="14">
        <f t="shared" si="1177"/>
        <v>1</v>
      </c>
      <c r="TX102" s="14">
        <f t="shared" si="1177"/>
        <v>0</v>
      </c>
      <c r="TY102" s="14">
        <f t="shared" si="1177"/>
        <v>0</v>
      </c>
      <c r="TZ102" s="14">
        <f t="shared" si="1177"/>
        <v>1</v>
      </c>
      <c r="UA102" s="14">
        <f t="shared" si="1177"/>
        <v>0</v>
      </c>
      <c r="UB102" s="14">
        <f t="shared" si="1177"/>
        <v>0</v>
      </c>
      <c r="UC102" s="14">
        <f t="shared" si="1177"/>
        <v>0</v>
      </c>
      <c r="UD102" s="14">
        <f t="shared" si="1177"/>
        <v>0</v>
      </c>
      <c r="UE102" s="14">
        <f t="shared" si="1177"/>
        <v>0</v>
      </c>
      <c r="UF102" s="14">
        <f t="shared" si="1177"/>
        <v>0</v>
      </c>
      <c r="UG102" s="14">
        <f t="shared" si="1177"/>
        <v>1</v>
      </c>
      <c r="UH102" s="14">
        <f t="shared" si="1177"/>
        <v>0</v>
      </c>
      <c r="UI102" s="14">
        <f t="shared" si="1177"/>
        <v>0</v>
      </c>
      <c r="UJ102" s="14">
        <f t="shared" si="1177"/>
        <v>0</v>
      </c>
      <c r="UK102" s="14">
        <f t="shared" si="1177"/>
        <v>0</v>
      </c>
      <c r="UL102" s="14">
        <f t="shared" si="1177"/>
        <v>0</v>
      </c>
      <c r="UM102" s="14">
        <f t="shared" si="1177"/>
        <v>0</v>
      </c>
      <c r="UN102" s="14">
        <f t="shared" ref="UN102:VS102" si="1178">IF( EXACT(UN27,"LVC_NOT_APPLIED_E"),1,0)</f>
        <v>0</v>
      </c>
      <c r="UO102" s="14">
        <f t="shared" si="1178"/>
        <v>0</v>
      </c>
      <c r="UP102" s="14">
        <f t="shared" si="1178"/>
        <v>1</v>
      </c>
      <c r="UQ102" s="14">
        <f t="shared" si="1178"/>
        <v>1</v>
      </c>
      <c r="UR102" s="14">
        <f t="shared" si="1178"/>
        <v>1</v>
      </c>
      <c r="US102" s="14">
        <f t="shared" si="1178"/>
        <v>1</v>
      </c>
      <c r="UT102" s="14">
        <f t="shared" si="1178"/>
        <v>1</v>
      </c>
      <c r="UU102" s="14">
        <f t="shared" si="1178"/>
        <v>1</v>
      </c>
      <c r="UV102" s="14">
        <f t="shared" si="1178"/>
        <v>1</v>
      </c>
      <c r="UW102" s="14">
        <f t="shared" si="1178"/>
        <v>0</v>
      </c>
      <c r="UX102" s="14">
        <f t="shared" si="1178"/>
        <v>1</v>
      </c>
      <c r="UY102" s="14">
        <f t="shared" si="1178"/>
        <v>0</v>
      </c>
      <c r="UZ102" s="14">
        <f t="shared" si="1178"/>
        <v>0</v>
      </c>
      <c r="VA102" s="14">
        <f t="shared" si="1178"/>
        <v>0</v>
      </c>
      <c r="VB102" s="14">
        <f t="shared" si="1178"/>
        <v>0</v>
      </c>
      <c r="VC102" s="14">
        <f t="shared" si="1178"/>
        <v>0</v>
      </c>
      <c r="VD102" s="14">
        <f t="shared" si="1178"/>
        <v>0</v>
      </c>
      <c r="VE102" s="14">
        <f t="shared" si="1178"/>
        <v>0</v>
      </c>
      <c r="VF102" s="14">
        <f t="shared" si="1178"/>
        <v>0</v>
      </c>
      <c r="VG102" s="14">
        <f t="shared" si="1178"/>
        <v>0</v>
      </c>
      <c r="VH102" s="14">
        <f t="shared" si="1178"/>
        <v>0</v>
      </c>
      <c r="VI102" s="14">
        <f t="shared" si="1178"/>
        <v>0</v>
      </c>
      <c r="VJ102" s="14">
        <f t="shared" si="1178"/>
        <v>0</v>
      </c>
      <c r="VK102" s="14">
        <f t="shared" si="1178"/>
        <v>0</v>
      </c>
      <c r="VL102" s="14">
        <f t="shared" si="1178"/>
        <v>0</v>
      </c>
      <c r="VM102" s="14">
        <f t="shared" si="1178"/>
        <v>0</v>
      </c>
      <c r="VN102" s="14">
        <f t="shared" si="1178"/>
        <v>0</v>
      </c>
      <c r="VO102" s="14">
        <f t="shared" si="1178"/>
        <v>0</v>
      </c>
      <c r="VP102" s="14">
        <f t="shared" si="1178"/>
        <v>0</v>
      </c>
      <c r="VQ102" s="14">
        <f t="shared" si="1178"/>
        <v>0</v>
      </c>
      <c r="VR102" s="14">
        <f t="shared" si="1178"/>
        <v>0</v>
      </c>
      <c r="VS102" s="14">
        <f t="shared" si="1178"/>
        <v>0</v>
      </c>
      <c r="VT102" s="14">
        <f t="shared" ref="VT102:VZ102" si="1179">IF( EXACT(VT27,"LVC_NOT_APPLIED_E"),1,0)</f>
        <v>0</v>
      </c>
      <c r="VU102" s="14">
        <f t="shared" si="1179"/>
        <v>0</v>
      </c>
      <c r="VV102" s="14">
        <f t="shared" si="1179"/>
        <v>0</v>
      </c>
      <c r="VW102" s="14">
        <f t="shared" si="1179"/>
        <v>0</v>
      </c>
      <c r="VX102" s="14">
        <f t="shared" si="1179"/>
        <v>0</v>
      </c>
      <c r="VY102" s="14">
        <f t="shared" si="1179"/>
        <v>0</v>
      </c>
      <c r="VZ102" s="14">
        <f t="shared" si="1179"/>
        <v>0</v>
      </c>
      <c r="AKQ102" s="14">
        <f t="shared" ref="AKQ102:AKQ114" si="1180">AKQ101*2</f>
        <v>8</v>
      </c>
    </row>
    <row r="103" spans="1:979" ht="15" customHeight="1" x14ac:dyDescent="0.25">
      <c r="A103" s="14"/>
      <c r="NR103" s="14">
        <f t="shared" si="1170"/>
        <v>16</v>
      </c>
      <c r="NS103" s="14">
        <f t="shared" ref="NS103:OX103" si="1181" xml:space="preserve"> IF( NOT(EXACT(NS39,"SM_NORMAL_E")),1,0)</f>
        <v>0</v>
      </c>
      <c r="NT103" s="14">
        <f t="shared" si="1181"/>
        <v>0</v>
      </c>
      <c r="NU103" s="14">
        <f t="shared" si="1181"/>
        <v>0</v>
      </c>
      <c r="NV103" s="14">
        <f t="shared" si="1181"/>
        <v>1</v>
      </c>
      <c r="NW103" s="14">
        <f t="shared" si="1181"/>
        <v>0</v>
      </c>
      <c r="NX103" s="14">
        <f t="shared" si="1181"/>
        <v>0</v>
      </c>
      <c r="NY103" s="14">
        <f t="shared" si="1181"/>
        <v>0</v>
      </c>
      <c r="NZ103" s="14">
        <f t="shared" si="1181"/>
        <v>0</v>
      </c>
      <c r="OA103" s="14">
        <f t="shared" si="1181"/>
        <v>0</v>
      </c>
      <c r="OB103" s="14">
        <f t="shared" si="1181"/>
        <v>0</v>
      </c>
      <c r="OC103" s="14">
        <f t="shared" si="1181"/>
        <v>0</v>
      </c>
      <c r="OD103" s="14">
        <f t="shared" si="1181"/>
        <v>0</v>
      </c>
      <c r="OE103" s="14">
        <f t="shared" si="1181"/>
        <v>0</v>
      </c>
      <c r="OF103" s="14">
        <f t="shared" si="1181"/>
        <v>0</v>
      </c>
      <c r="OG103" s="14">
        <f t="shared" si="1181"/>
        <v>0</v>
      </c>
      <c r="OH103" s="14">
        <f t="shared" si="1181"/>
        <v>0</v>
      </c>
      <c r="OI103" s="14">
        <f t="shared" si="1181"/>
        <v>0</v>
      </c>
      <c r="OJ103" s="14">
        <f t="shared" si="1181"/>
        <v>0</v>
      </c>
      <c r="OK103" s="14">
        <f t="shared" si="1181"/>
        <v>0</v>
      </c>
      <c r="OL103" s="14">
        <f t="shared" si="1181"/>
        <v>0</v>
      </c>
      <c r="OM103" s="14">
        <f t="shared" si="1181"/>
        <v>0</v>
      </c>
      <c r="ON103" s="14">
        <f t="shared" si="1181"/>
        <v>0</v>
      </c>
      <c r="OO103" s="14">
        <f t="shared" si="1181"/>
        <v>0</v>
      </c>
      <c r="OP103" s="14">
        <f t="shared" si="1181"/>
        <v>0</v>
      </c>
      <c r="OQ103" s="14">
        <f t="shared" si="1181"/>
        <v>0</v>
      </c>
      <c r="OR103" s="14">
        <f t="shared" si="1181"/>
        <v>0</v>
      </c>
      <c r="OS103" s="14">
        <f t="shared" si="1181"/>
        <v>0</v>
      </c>
      <c r="OT103" s="14">
        <f t="shared" si="1181"/>
        <v>0</v>
      </c>
      <c r="OU103" s="14">
        <f t="shared" si="1181"/>
        <v>0</v>
      </c>
      <c r="OV103" s="14">
        <f t="shared" si="1181"/>
        <v>1</v>
      </c>
      <c r="OW103" s="14">
        <f t="shared" si="1181"/>
        <v>1</v>
      </c>
      <c r="OX103" s="14">
        <f t="shared" si="1181"/>
        <v>1</v>
      </c>
      <c r="OY103" s="14">
        <f t="shared" ref="OY103:QD103" si="1182" xml:space="preserve"> IF( NOT(EXACT(OY39,"SM_NORMAL_E")),1,0)</f>
        <v>0</v>
      </c>
      <c r="OZ103" s="14">
        <f t="shared" si="1182"/>
        <v>0</v>
      </c>
      <c r="PA103" s="14">
        <f t="shared" si="1182"/>
        <v>0</v>
      </c>
      <c r="PB103" s="14">
        <f t="shared" si="1182"/>
        <v>0</v>
      </c>
      <c r="PC103" s="14">
        <f t="shared" si="1182"/>
        <v>0</v>
      </c>
      <c r="PD103" s="14">
        <f t="shared" si="1182"/>
        <v>0</v>
      </c>
      <c r="PE103" s="14">
        <f t="shared" si="1182"/>
        <v>0</v>
      </c>
      <c r="PF103" s="14">
        <f t="shared" si="1182"/>
        <v>0</v>
      </c>
      <c r="PG103" s="14">
        <f t="shared" si="1182"/>
        <v>0</v>
      </c>
      <c r="PH103" s="14">
        <f t="shared" si="1182"/>
        <v>0</v>
      </c>
      <c r="PI103" s="14">
        <f t="shared" si="1182"/>
        <v>0</v>
      </c>
      <c r="PJ103" s="14">
        <f t="shared" si="1182"/>
        <v>0</v>
      </c>
      <c r="PK103" s="14">
        <f t="shared" si="1182"/>
        <v>0</v>
      </c>
      <c r="PL103" s="14">
        <f t="shared" si="1182"/>
        <v>0</v>
      </c>
      <c r="PM103" s="14">
        <f t="shared" si="1182"/>
        <v>1</v>
      </c>
      <c r="PN103" s="14">
        <f t="shared" si="1182"/>
        <v>0</v>
      </c>
      <c r="PO103" s="14">
        <f t="shared" si="1182"/>
        <v>1</v>
      </c>
      <c r="PP103" s="14">
        <f t="shared" si="1182"/>
        <v>0</v>
      </c>
      <c r="PQ103" s="14">
        <f t="shared" si="1182"/>
        <v>1</v>
      </c>
      <c r="PR103" s="14">
        <f t="shared" si="1182"/>
        <v>0</v>
      </c>
      <c r="PS103" s="14">
        <f t="shared" si="1182"/>
        <v>0</v>
      </c>
      <c r="PT103" s="14">
        <f t="shared" si="1182"/>
        <v>0</v>
      </c>
      <c r="PU103" s="14">
        <f t="shared" si="1182"/>
        <v>0</v>
      </c>
      <c r="PV103" s="14">
        <f t="shared" si="1182"/>
        <v>0</v>
      </c>
      <c r="PW103" s="14">
        <f t="shared" si="1182"/>
        <v>0</v>
      </c>
      <c r="PX103" s="14">
        <f t="shared" si="1182"/>
        <v>0</v>
      </c>
      <c r="PY103" s="14">
        <f t="shared" si="1182"/>
        <v>0</v>
      </c>
      <c r="PZ103" s="14">
        <f t="shared" si="1182"/>
        <v>0</v>
      </c>
      <c r="QA103" s="14">
        <f t="shared" si="1182"/>
        <v>0</v>
      </c>
      <c r="QB103" s="14">
        <f t="shared" si="1182"/>
        <v>0</v>
      </c>
      <c r="QC103" s="14">
        <f t="shared" si="1182"/>
        <v>0</v>
      </c>
      <c r="QD103" s="14">
        <f t="shared" si="1182"/>
        <v>0</v>
      </c>
      <c r="QE103" s="14">
        <f t="shared" ref="QE103:RI103" si="1183" xml:space="preserve"> IF( NOT(EXACT(QE39,"SM_NORMAL_E")),1,0)</f>
        <v>0</v>
      </c>
      <c r="QF103" s="14">
        <f t="shared" si="1183"/>
        <v>0</v>
      </c>
      <c r="QG103" s="14">
        <f t="shared" si="1183"/>
        <v>0</v>
      </c>
      <c r="QH103" s="14">
        <f t="shared" si="1183"/>
        <v>0</v>
      </c>
      <c r="QI103" s="14">
        <f t="shared" si="1183"/>
        <v>1</v>
      </c>
      <c r="QJ103" s="14">
        <f t="shared" si="1183"/>
        <v>0</v>
      </c>
      <c r="QK103" s="14">
        <f t="shared" si="1183"/>
        <v>0</v>
      </c>
      <c r="QL103" s="14">
        <f t="shared" si="1183"/>
        <v>0</v>
      </c>
      <c r="QM103" s="14">
        <f t="shared" si="1183"/>
        <v>0</v>
      </c>
      <c r="QN103" s="14">
        <f t="shared" si="1183"/>
        <v>0</v>
      </c>
      <c r="QO103" s="14">
        <f t="shared" si="1183"/>
        <v>0</v>
      </c>
      <c r="QP103" s="14">
        <f t="shared" si="1183"/>
        <v>0</v>
      </c>
      <c r="QQ103" s="14">
        <f t="shared" si="1183"/>
        <v>0</v>
      </c>
      <c r="QR103" s="14">
        <f t="shared" si="1183"/>
        <v>0</v>
      </c>
      <c r="QS103" s="14">
        <f t="shared" si="1183"/>
        <v>0</v>
      </c>
      <c r="QT103" s="14">
        <f t="shared" si="1183"/>
        <v>0</v>
      </c>
      <c r="QU103" s="14">
        <f t="shared" si="1183"/>
        <v>0</v>
      </c>
      <c r="QV103" s="14">
        <f t="shared" si="1183"/>
        <v>0</v>
      </c>
      <c r="QW103" s="14">
        <f t="shared" si="1183"/>
        <v>0</v>
      </c>
      <c r="QX103" s="14">
        <f t="shared" si="1183"/>
        <v>0</v>
      </c>
      <c r="QY103" s="14">
        <f t="shared" si="1183"/>
        <v>0</v>
      </c>
      <c r="QZ103" s="14">
        <f t="shared" si="1183"/>
        <v>0</v>
      </c>
      <c r="RA103" s="14">
        <f t="shared" si="1183"/>
        <v>0</v>
      </c>
      <c r="RB103" s="14">
        <f t="shared" si="1183"/>
        <v>0</v>
      </c>
      <c r="RC103" s="14">
        <f t="shared" si="1183"/>
        <v>0</v>
      </c>
      <c r="RD103" s="14">
        <f t="shared" si="1183"/>
        <v>0</v>
      </c>
      <c r="RE103" s="14">
        <f t="shared" si="1183"/>
        <v>0</v>
      </c>
      <c r="RF103" s="14">
        <f t="shared" si="1183"/>
        <v>0</v>
      </c>
      <c r="RG103" s="14">
        <f t="shared" si="1183"/>
        <v>0</v>
      </c>
      <c r="RH103" s="14">
        <f t="shared" si="1183"/>
        <v>0</v>
      </c>
      <c r="RI103" s="14">
        <f t="shared" si="1183"/>
        <v>0</v>
      </c>
      <c r="RJ103" s="14">
        <f t="shared" ref="RJ103:RR103" si="1184" xml:space="preserve"> IF( NOT(EXACT(RJ39,"SM_NORMAL_E")),1,0)</f>
        <v>0</v>
      </c>
      <c r="RK103" s="14">
        <f t="shared" si="1184"/>
        <v>0</v>
      </c>
      <c r="RL103" s="14">
        <f t="shared" si="1184"/>
        <v>0</v>
      </c>
      <c r="RM103" s="14">
        <f t="shared" si="1184"/>
        <v>0</v>
      </c>
      <c r="RN103" s="14">
        <f t="shared" si="1184"/>
        <v>0</v>
      </c>
      <c r="RO103" s="14">
        <f t="shared" si="1184"/>
        <v>0</v>
      </c>
      <c r="RP103" s="14">
        <f t="shared" si="1184"/>
        <v>0</v>
      </c>
      <c r="RQ103" s="14">
        <f t="shared" si="1184"/>
        <v>0</v>
      </c>
      <c r="RR103" s="14">
        <f t="shared" si="1184"/>
        <v>0</v>
      </c>
      <c r="SA103" s="14">
        <f t="shared" si="1175"/>
        <v>16</v>
      </c>
      <c r="SB103" s="14">
        <f t="shared" ref="SB103:TG103" si="1185" xml:space="preserve"> IF( NOT(EXACT(SB39,"SM_NORMAL_E")),1,0)</f>
        <v>0</v>
      </c>
      <c r="SC103" s="14">
        <f t="shared" si="1185"/>
        <v>0</v>
      </c>
      <c r="SD103" s="14">
        <f t="shared" si="1185"/>
        <v>0</v>
      </c>
      <c r="SE103" s="14">
        <f t="shared" si="1185"/>
        <v>1</v>
      </c>
      <c r="SF103" s="14">
        <f t="shared" si="1185"/>
        <v>0</v>
      </c>
      <c r="SG103" s="14">
        <f t="shared" si="1185"/>
        <v>0</v>
      </c>
      <c r="SH103" s="14">
        <f t="shared" si="1185"/>
        <v>0</v>
      </c>
      <c r="SI103" s="14">
        <f t="shared" si="1185"/>
        <v>0</v>
      </c>
      <c r="SJ103" s="14">
        <f t="shared" si="1185"/>
        <v>0</v>
      </c>
      <c r="SK103" s="14">
        <f t="shared" si="1185"/>
        <v>0</v>
      </c>
      <c r="SL103" s="14">
        <f t="shared" si="1185"/>
        <v>0</v>
      </c>
      <c r="SM103" s="14">
        <f t="shared" si="1185"/>
        <v>0</v>
      </c>
      <c r="SN103" s="14">
        <f t="shared" si="1185"/>
        <v>0</v>
      </c>
      <c r="SO103" s="14">
        <f t="shared" si="1185"/>
        <v>0</v>
      </c>
      <c r="SP103" s="14">
        <f t="shared" si="1185"/>
        <v>0</v>
      </c>
      <c r="SQ103" s="14">
        <f t="shared" si="1185"/>
        <v>0</v>
      </c>
      <c r="SR103" s="14">
        <f t="shared" si="1185"/>
        <v>0</v>
      </c>
      <c r="SS103" s="14">
        <f t="shared" si="1185"/>
        <v>0</v>
      </c>
      <c r="ST103" s="14">
        <f t="shared" si="1185"/>
        <v>0</v>
      </c>
      <c r="SU103" s="14">
        <f t="shared" si="1185"/>
        <v>0</v>
      </c>
      <c r="SV103" s="14">
        <f t="shared" si="1185"/>
        <v>0</v>
      </c>
      <c r="SW103" s="14">
        <f t="shared" si="1185"/>
        <v>0</v>
      </c>
      <c r="SX103" s="14">
        <f t="shared" si="1185"/>
        <v>0</v>
      </c>
      <c r="SY103" s="14">
        <f t="shared" si="1185"/>
        <v>0</v>
      </c>
      <c r="SZ103" s="14">
        <f t="shared" si="1185"/>
        <v>0</v>
      </c>
      <c r="TA103" s="14">
        <f t="shared" si="1185"/>
        <v>0</v>
      </c>
      <c r="TB103" s="14">
        <f t="shared" si="1185"/>
        <v>0</v>
      </c>
      <c r="TC103" s="14">
        <f t="shared" si="1185"/>
        <v>0</v>
      </c>
      <c r="TD103" s="14">
        <f t="shared" si="1185"/>
        <v>0</v>
      </c>
      <c r="TE103" s="14">
        <f t="shared" si="1185"/>
        <v>1</v>
      </c>
      <c r="TF103" s="14">
        <f t="shared" si="1185"/>
        <v>1</v>
      </c>
      <c r="TG103" s="14">
        <f t="shared" si="1185"/>
        <v>0</v>
      </c>
      <c r="TH103" s="14">
        <f t="shared" ref="TH103:UM103" si="1186" xml:space="preserve"> IF( NOT(EXACT(TH39,"SM_NORMAL_E")),1,0)</f>
        <v>0</v>
      </c>
      <c r="TI103" s="14">
        <f t="shared" si="1186"/>
        <v>0</v>
      </c>
      <c r="TJ103" s="14">
        <f t="shared" si="1186"/>
        <v>0</v>
      </c>
      <c r="TK103" s="14">
        <f t="shared" si="1186"/>
        <v>0</v>
      </c>
      <c r="TL103" s="14">
        <f t="shared" si="1186"/>
        <v>0</v>
      </c>
      <c r="TM103" s="14">
        <f t="shared" si="1186"/>
        <v>0</v>
      </c>
      <c r="TN103" s="14">
        <f t="shared" si="1186"/>
        <v>0</v>
      </c>
      <c r="TO103" s="14">
        <f t="shared" si="1186"/>
        <v>0</v>
      </c>
      <c r="TP103" s="14">
        <f t="shared" si="1186"/>
        <v>0</v>
      </c>
      <c r="TQ103" s="14">
        <f t="shared" si="1186"/>
        <v>0</v>
      </c>
      <c r="TR103" s="14">
        <f t="shared" si="1186"/>
        <v>0</v>
      </c>
      <c r="TS103" s="14">
        <f t="shared" si="1186"/>
        <v>0</v>
      </c>
      <c r="TT103" s="14">
        <f t="shared" si="1186"/>
        <v>0</v>
      </c>
      <c r="TU103" s="14">
        <f t="shared" si="1186"/>
        <v>1</v>
      </c>
      <c r="TV103" s="14">
        <f t="shared" si="1186"/>
        <v>0</v>
      </c>
      <c r="TW103" s="14">
        <f t="shared" si="1186"/>
        <v>1</v>
      </c>
      <c r="TX103" s="14">
        <f t="shared" si="1186"/>
        <v>0</v>
      </c>
      <c r="TY103" s="14">
        <f t="shared" si="1186"/>
        <v>1</v>
      </c>
      <c r="TZ103" s="14">
        <f t="shared" si="1186"/>
        <v>0</v>
      </c>
      <c r="UA103" s="14">
        <f t="shared" si="1186"/>
        <v>0</v>
      </c>
      <c r="UB103" s="14">
        <f t="shared" si="1186"/>
        <v>0</v>
      </c>
      <c r="UC103" s="14">
        <f t="shared" si="1186"/>
        <v>0</v>
      </c>
      <c r="UD103" s="14">
        <f t="shared" si="1186"/>
        <v>0</v>
      </c>
      <c r="UE103" s="14">
        <f t="shared" si="1186"/>
        <v>0</v>
      </c>
      <c r="UF103" s="14">
        <f t="shared" si="1186"/>
        <v>0</v>
      </c>
      <c r="UG103" s="14">
        <f t="shared" si="1186"/>
        <v>0</v>
      </c>
      <c r="UH103" s="14">
        <f t="shared" si="1186"/>
        <v>0</v>
      </c>
      <c r="UI103" s="14">
        <f t="shared" si="1186"/>
        <v>0</v>
      </c>
      <c r="UJ103" s="14">
        <f t="shared" si="1186"/>
        <v>0</v>
      </c>
      <c r="UK103" s="14">
        <f t="shared" si="1186"/>
        <v>0</v>
      </c>
      <c r="UL103" s="14">
        <f t="shared" si="1186"/>
        <v>0</v>
      </c>
      <c r="UM103" s="14">
        <f t="shared" si="1186"/>
        <v>0</v>
      </c>
      <c r="UN103" s="14">
        <f t="shared" ref="UN103:VS103" si="1187" xml:space="preserve"> IF( NOT(EXACT(UN39,"SM_NORMAL_E")),1,0)</f>
        <v>0</v>
      </c>
      <c r="UO103" s="14">
        <f t="shared" si="1187"/>
        <v>0</v>
      </c>
      <c r="UP103" s="14">
        <f t="shared" si="1187"/>
        <v>0</v>
      </c>
      <c r="UQ103" s="14">
        <f t="shared" si="1187"/>
        <v>1</v>
      </c>
      <c r="UR103" s="14">
        <f t="shared" si="1187"/>
        <v>0</v>
      </c>
      <c r="US103" s="14">
        <f t="shared" si="1187"/>
        <v>0</v>
      </c>
      <c r="UT103" s="14">
        <f t="shared" si="1187"/>
        <v>0</v>
      </c>
      <c r="UU103" s="14">
        <f t="shared" si="1187"/>
        <v>0</v>
      </c>
      <c r="UV103" s="14">
        <f t="shared" si="1187"/>
        <v>0</v>
      </c>
      <c r="UW103" s="14">
        <f t="shared" si="1187"/>
        <v>0</v>
      </c>
      <c r="UX103" s="14">
        <f t="shared" si="1187"/>
        <v>0</v>
      </c>
      <c r="UY103" s="14">
        <f t="shared" si="1187"/>
        <v>0</v>
      </c>
      <c r="UZ103" s="14">
        <f t="shared" si="1187"/>
        <v>0</v>
      </c>
      <c r="VA103" s="14">
        <f t="shared" si="1187"/>
        <v>0</v>
      </c>
      <c r="VB103" s="14">
        <f t="shared" si="1187"/>
        <v>0</v>
      </c>
      <c r="VC103" s="14">
        <f t="shared" si="1187"/>
        <v>0</v>
      </c>
      <c r="VD103" s="14">
        <f t="shared" si="1187"/>
        <v>0</v>
      </c>
      <c r="VE103" s="14">
        <f t="shared" si="1187"/>
        <v>0</v>
      </c>
      <c r="VF103" s="14">
        <f t="shared" si="1187"/>
        <v>0</v>
      </c>
      <c r="VG103" s="14">
        <f t="shared" si="1187"/>
        <v>0</v>
      </c>
      <c r="VH103" s="14">
        <f t="shared" si="1187"/>
        <v>0</v>
      </c>
      <c r="VI103" s="14">
        <f t="shared" si="1187"/>
        <v>0</v>
      </c>
      <c r="VJ103" s="14">
        <f t="shared" si="1187"/>
        <v>0</v>
      </c>
      <c r="VK103" s="14">
        <f t="shared" si="1187"/>
        <v>0</v>
      </c>
      <c r="VL103" s="14">
        <f t="shared" si="1187"/>
        <v>0</v>
      </c>
      <c r="VM103" s="14">
        <f t="shared" si="1187"/>
        <v>0</v>
      </c>
      <c r="VN103" s="14">
        <f t="shared" si="1187"/>
        <v>0</v>
      </c>
      <c r="VO103" s="14">
        <f t="shared" si="1187"/>
        <v>0</v>
      </c>
      <c r="VP103" s="14">
        <f t="shared" si="1187"/>
        <v>0</v>
      </c>
      <c r="VQ103" s="14">
        <f t="shared" si="1187"/>
        <v>0</v>
      </c>
      <c r="VR103" s="14">
        <f t="shared" si="1187"/>
        <v>0</v>
      </c>
      <c r="VS103" s="14">
        <f t="shared" si="1187"/>
        <v>0</v>
      </c>
      <c r="VT103" s="14">
        <f t="shared" ref="VT103:VZ103" si="1188" xml:space="preserve"> IF( NOT(EXACT(VT39,"SM_NORMAL_E")),1,0)</f>
        <v>0</v>
      </c>
      <c r="VU103" s="14">
        <f t="shared" si="1188"/>
        <v>0</v>
      </c>
      <c r="VV103" s="14">
        <f t="shared" si="1188"/>
        <v>0</v>
      </c>
      <c r="VW103" s="14">
        <f t="shared" si="1188"/>
        <v>0</v>
      </c>
      <c r="VX103" s="14">
        <f t="shared" si="1188"/>
        <v>0</v>
      </c>
      <c r="VY103" s="14">
        <f t="shared" si="1188"/>
        <v>0</v>
      </c>
      <c r="VZ103" s="14">
        <f t="shared" si="1188"/>
        <v>0</v>
      </c>
      <c r="AKQ103" s="14">
        <f t="shared" si="1180"/>
        <v>16</v>
      </c>
    </row>
    <row r="104" spans="1:979" ht="15" customHeight="1" x14ac:dyDescent="0.25">
      <c r="A104" s="14"/>
      <c r="NR104" s="14">
        <f t="shared" si="1170"/>
        <v>32</v>
      </c>
      <c r="NS104" s="14">
        <f t="shared" ref="NS104:OX104" si="1189">IF(AND(EXACT(NS40,"DB_STEER_METHOD_TURRET_E"),NOT(EXACT(NS30,"LVC_PIN_OUT_E"))), 1, 0)</f>
        <v>0</v>
      </c>
      <c r="NT104" s="14">
        <f t="shared" si="1189"/>
        <v>0</v>
      </c>
      <c r="NU104" s="14">
        <f t="shared" si="1189"/>
        <v>0</v>
      </c>
      <c r="NV104" s="14">
        <f t="shared" si="1189"/>
        <v>1</v>
      </c>
      <c r="NW104" s="14">
        <f t="shared" si="1189"/>
        <v>0</v>
      </c>
      <c r="NX104" s="14">
        <f t="shared" si="1189"/>
        <v>0</v>
      </c>
      <c r="NY104" s="14">
        <f t="shared" si="1189"/>
        <v>1</v>
      </c>
      <c r="NZ104" s="14">
        <f t="shared" si="1189"/>
        <v>0</v>
      </c>
      <c r="OA104" s="14">
        <f t="shared" si="1189"/>
        <v>0</v>
      </c>
      <c r="OB104" s="14">
        <f t="shared" si="1189"/>
        <v>0</v>
      </c>
      <c r="OC104" s="14">
        <f t="shared" si="1189"/>
        <v>0</v>
      </c>
      <c r="OD104" s="14">
        <f t="shared" si="1189"/>
        <v>0</v>
      </c>
      <c r="OE104" s="14">
        <f t="shared" si="1189"/>
        <v>0</v>
      </c>
      <c r="OF104" s="14">
        <f t="shared" si="1189"/>
        <v>0</v>
      </c>
      <c r="OG104" s="14">
        <f t="shared" si="1189"/>
        <v>0</v>
      </c>
      <c r="OH104" s="14">
        <f t="shared" si="1189"/>
        <v>0</v>
      </c>
      <c r="OI104" s="14">
        <f t="shared" si="1189"/>
        <v>0</v>
      </c>
      <c r="OJ104" s="14">
        <f t="shared" si="1189"/>
        <v>0</v>
      </c>
      <c r="OK104" s="14">
        <f t="shared" si="1189"/>
        <v>0</v>
      </c>
      <c r="OL104" s="14">
        <f t="shared" si="1189"/>
        <v>1</v>
      </c>
      <c r="OM104" s="14">
        <f t="shared" si="1189"/>
        <v>0</v>
      </c>
      <c r="ON104" s="14">
        <f t="shared" si="1189"/>
        <v>0</v>
      </c>
      <c r="OO104" s="14">
        <f t="shared" si="1189"/>
        <v>0</v>
      </c>
      <c r="OP104" s="14">
        <f t="shared" si="1189"/>
        <v>0</v>
      </c>
      <c r="OQ104" s="14">
        <f t="shared" si="1189"/>
        <v>1</v>
      </c>
      <c r="OR104" s="14">
        <f t="shared" si="1189"/>
        <v>1</v>
      </c>
      <c r="OS104" s="14">
        <f t="shared" si="1189"/>
        <v>1</v>
      </c>
      <c r="OT104" s="14">
        <f t="shared" si="1189"/>
        <v>0</v>
      </c>
      <c r="OU104" s="14">
        <f t="shared" si="1189"/>
        <v>0</v>
      </c>
      <c r="OV104" s="14">
        <f t="shared" si="1189"/>
        <v>0</v>
      </c>
      <c r="OW104" s="14">
        <f t="shared" si="1189"/>
        <v>0</v>
      </c>
      <c r="OX104" s="14">
        <f t="shared" si="1189"/>
        <v>0</v>
      </c>
      <c r="OY104" s="14">
        <f t="shared" ref="OY104:QD104" si="1190">IF(AND(EXACT(OY40,"DB_STEER_METHOD_TURRET_E"),NOT(EXACT(OY30,"LVC_PIN_OUT_E"))), 1, 0)</f>
        <v>0</v>
      </c>
      <c r="OZ104" s="14">
        <f t="shared" si="1190"/>
        <v>0</v>
      </c>
      <c r="PA104" s="14">
        <f t="shared" si="1190"/>
        <v>0</v>
      </c>
      <c r="PB104" s="14">
        <f t="shared" si="1190"/>
        <v>0</v>
      </c>
      <c r="PC104" s="14">
        <f t="shared" si="1190"/>
        <v>0</v>
      </c>
      <c r="PD104" s="14">
        <f t="shared" si="1190"/>
        <v>0</v>
      </c>
      <c r="PE104" s="14">
        <f t="shared" si="1190"/>
        <v>0</v>
      </c>
      <c r="PF104" s="14">
        <f t="shared" si="1190"/>
        <v>0</v>
      </c>
      <c r="PG104" s="14">
        <f t="shared" si="1190"/>
        <v>0</v>
      </c>
      <c r="PH104" s="14">
        <f t="shared" si="1190"/>
        <v>0</v>
      </c>
      <c r="PI104" s="14">
        <f t="shared" si="1190"/>
        <v>0</v>
      </c>
      <c r="PJ104" s="14">
        <f t="shared" si="1190"/>
        <v>0</v>
      </c>
      <c r="PK104" s="14">
        <f t="shared" si="1190"/>
        <v>0</v>
      </c>
      <c r="PL104" s="14">
        <f t="shared" si="1190"/>
        <v>0</v>
      </c>
      <c r="PM104" s="14">
        <f t="shared" si="1190"/>
        <v>1</v>
      </c>
      <c r="PN104" s="14">
        <f t="shared" si="1190"/>
        <v>0</v>
      </c>
      <c r="PO104" s="14">
        <f t="shared" si="1190"/>
        <v>1</v>
      </c>
      <c r="PP104" s="14">
        <f t="shared" si="1190"/>
        <v>0</v>
      </c>
      <c r="PQ104" s="14">
        <f t="shared" si="1190"/>
        <v>1</v>
      </c>
      <c r="PR104" s="14">
        <f t="shared" si="1190"/>
        <v>0</v>
      </c>
      <c r="PS104" s="14">
        <f t="shared" si="1190"/>
        <v>0</v>
      </c>
      <c r="PT104" s="14">
        <f t="shared" si="1190"/>
        <v>0</v>
      </c>
      <c r="PU104" s="14">
        <f t="shared" si="1190"/>
        <v>0</v>
      </c>
      <c r="PV104" s="14">
        <f t="shared" si="1190"/>
        <v>0</v>
      </c>
      <c r="PW104" s="14">
        <f t="shared" si="1190"/>
        <v>0</v>
      </c>
      <c r="PX104" s="14">
        <f t="shared" si="1190"/>
        <v>0</v>
      </c>
      <c r="PY104" s="14">
        <f t="shared" si="1190"/>
        <v>0</v>
      </c>
      <c r="PZ104" s="14">
        <f t="shared" si="1190"/>
        <v>0</v>
      </c>
      <c r="QA104" s="14">
        <f t="shared" si="1190"/>
        <v>0</v>
      </c>
      <c r="QB104" s="14">
        <f t="shared" si="1190"/>
        <v>0</v>
      </c>
      <c r="QC104" s="14">
        <f t="shared" si="1190"/>
        <v>0</v>
      </c>
      <c r="QD104" s="14">
        <f t="shared" si="1190"/>
        <v>0</v>
      </c>
      <c r="QE104" s="14">
        <f t="shared" ref="QE104:RI104" si="1191">IF(AND(EXACT(QE40,"DB_STEER_METHOD_TURRET_E"),NOT(EXACT(QE30,"LVC_PIN_OUT_E"))), 1, 0)</f>
        <v>0</v>
      </c>
      <c r="QF104" s="14">
        <f t="shared" si="1191"/>
        <v>0</v>
      </c>
      <c r="QG104" s="14">
        <f t="shared" si="1191"/>
        <v>0</v>
      </c>
      <c r="QH104" s="14">
        <f t="shared" si="1191"/>
        <v>0</v>
      </c>
      <c r="QI104" s="14">
        <f t="shared" si="1191"/>
        <v>1</v>
      </c>
      <c r="QJ104" s="14">
        <f t="shared" si="1191"/>
        <v>0</v>
      </c>
      <c r="QK104" s="14">
        <f t="shared" si="1191"/>
        <v>0</v>
      </c>
      <c r="QL104" s="14">
        <f t="shared" si="1191"/>
        <v>0</v>
      </c>
      <c r="QM104" s="14">
        <f t="shared" si="1191"/>
        <v>0</v>
      </c>
      <c r="QN104" s="14">
        <f t="shared" si="1191"/>
        <v>1</v>
      </c>
      <c r="QO104" s="14">
        <f t="shared" si="1191"/>
        <v>1</v>
      </c>
      <c r="QP104" s="14">
        <f t="shared" si="1191"/>
        <v>1</v>
      </c>
      <c r="QQ104" s="14">
        <f t="shared" si="1191"/>
        <v>1</v>
      </c>
      <c r="QR104" s="14">
        <f t="shared" si="1191"/>
        <v>1</v>
      </c>
      <c r="QS104" s="14">
        <f t="shared" si="1191"/>
        <v>1</v>
      </c>
      <c r="QT104" s="14">
        <f t="shared" si="1191"/>
        <v>1</v>
      </c>
      <c r="QU104" s="14">
        <f t="shared" si="1191"/>
        <v>1</v>
      </c>
      <c r="QV104" s="14">
        <f t="shared" si="1191"/>
        <v>1</v>
      </c>
      <c r="QW104" s="14">
        <f t="shared" si="1191"/>
        <v>1</v>
      </c>
      <c r="QX104" s="14">
        <f t="shared" si="1191"/>
        <v>1</v>
      </c>
      <c r="QY104" s="14">
        <f t="shared" si="1191"/>
        <v>1</v>
      </c>
      <c r="QZ104" s="14">
        <f t="shared" si="1191"/>
        <v>1</v>
      </c>
      <c r="RA104" s="14">
        <f t="shared" si="1191"/>
        <v>1</v>
      </c>
      <c r="RB104" s="14">
        <f t="shared" si="1191"/>
        <v>1</v>
      </c>
      <c r="RC104" s="14">
        <f t="shared" si="1191"/>
        <v>1</v>
      </c>
      <c r="RD104" s="14">
        <f t="shared" si="1191"/>
        <v>1</v>
      </c>
      <c r="RE104" s="14">
        <f t="shared" si="1191"/>
        <v>1</v>
      </c>
      <c r="RF104" s="14">
        <f t="shared" si="1191"/>
        <v>1</v>
      </c>
      <c r="RG104" s="14">
        <f t="shared" si="1191"/>
        <v>1</v>
      </c>
      <c r="RH104" s="14">
        <f t="shared" si="1191"/>
        <v>1</v>
      </c>
      <c r="RI104" s="14">
        <f t="shared" si="1191"/>
        <v>1</v>
      </c>
      <c r="RJ104" s="14">
        <f t="shared" ref="RJ104:RR104" si="1192">IF(AND(EXACT(RJ40,"DB_STEER_METHOD_TURRET_E"),NOT(EXACT(RJ30,"LVC_PIN_OUT_E"))), 1, 0)</f>
        <v>1</v>
      </c>
      <c r="RK104" s="14">
        <f t="shared" si="1192"/>
        <v>1</v>
      </c>
      <c r="RL104" s="14">
        <f t="shared" si="1192"/>
        <v>1</v>
      </c>
      <c r="RM104" s="14">
        <f t="shared" si="1192"/>
        <v>1</v>
      </c>
      <c r="RN104" s="14">
        <f t="shared" si="1192"/>
        <v>1</v>
      </c>
      <c r="RO104" s="14">
        <f t="shared" si="1192"/>
        <v>1</v>
      </c>
      <c r="RP104" s="14">
        <f t="shared" si="1192"/>
        <v>1</v>
      </c>
      <c r="RQ104" s="14">
        <f t="shared" si="1192"/>
        <v>1</v>
      </c>
      <c r="RR104" s="14">
        <f t="shared" si="1192"/>
        <v>1</v>
      </c>
      <c r="SA104" s="14">
        <f t="shared" si="1175"/>
        <v>32</v>
      </c>
      <c r="SB104" s="14">
        <f t="shared" ref="SB104:TG104" si="1193">IF(AND(EXACT(SB40,"DB_STEER_METHOD_TURRET_E"),NOT(EXACT(SB30,"LVC_PIN_OUT_E"))), 1, 0)</f>
        <v>0</v>
      </c>
      <c r="SC104" s="14">
        <f t="shared" si="1193"/>
        <v>0</v>
      </c>
      <c r="SD104" s="14">
        <f t="shared" si="1193"/>
        <v>0</v>
      </c>
      <c r="SE104" s="14">
        <f t="shared" si="1193"/>
        <v>1</v>
      </c>
      <c r="SF104" s="14">
        <f t="shared" si="1193"/>
        <v>0</v>
      </c>
      <c r="SG104" s="14">
        <f t="shared" si="1193"/>
        <v>0</v>
      </c>
      <c r="SH104" s="14">
        <f t="shared" si="1193"/>
        <v>1</v>
      </c>
      <c r="SI104" s="14">
        <f t="shared" si="1193"/>
        <v>0</v>
      </c>
      <c r="SJ104" s="14">
        <f t="shared" si="1193"/>
        <v>0</v>
      </c>
      <c r="SK104" s="14">
        <f t="shared" si="1193"/>
        <v>0</v>
      </c>
      <c r="SL104" s="14">
        <f t="shared" si="1193"/>
        <v>0</v>
      </c>
      <c r="SM104" s="14">
        <f t="shared" si="1193"/>
        <v>0</v>
      </c>
      <c r="SN104" s="14">
        <f t="shared" si="1193"/>
        <v>0</v>
      </c>
      <c r="SO104" s="14">
        <f t="shared" si="1193"/>
        <v>0</v>
      </c>
      <c r="SP104" s="14">
        <f t="shared" si="1193"/>
        <v>0</v>
      </c>
      <c r="SQ104" s="14">
        <f t="shared" si="1193"/>
        <v>0</v>
      </c>
      <c r="SR104" s="14">
        <f t="shared" si="1193"/>
        <v>0</v>
      </c>
      <c r="SS104" s="14">
        <f t="shared" si="1193"/>
        <v>0</v>
      </c>
      <c r="ST104" s="14">
        <f t="shared" si="1193"/>
        <v>0</v>
      </c>
      <c r="SU104" s="14">
        <f t="shared" si="1193"/>
        <v>1</v>
      </c>
      <c r="SV104" s="14">
        <f t="shared" si="1193"/>
        <v>0</v>
      </c>
      <c r="SW104" s="14">
        <f t="shared" si="1193"/>
        <v>0</v>
      </c>
      <c r="SX104" s="14">
        <f t="shared" si="1193"/>
        <v>0</v>
      </c>
      <c r="SY104" s="14">
        <f t="shared" si="1193"/>
        <v>0</v>
      </c>
      <c r="SZ104" s="14">
        <f t="shared" si="1193"/>
        <v>1</v>
      </c>
      <c r="TA104" s="14">
        <f t="shared" si="1193"/>
        <v>1</v>
      </c>
      <c r="TB104" s="14">
        <f t="shared" si="1193"/>
        <v>1</v>
      </c>
      <c r="TC104" s="14">
        <f t="shared" si="1193"/>
        <v>0</v>
      </c>
      <c r="TD104" s="14">
        <f t="shared" si="1193"/>
        <v>0</v>
      </c>
      <c r="TE104" s="14">
        <f t="shared" si="1193"/>
        <v>0</v>
      </c>
      <c r="TF104" s="14">
        <f t="shared" si="1193"/>
        <v>0</v>
      </c>
      <c r="TG104" s="14">
        <f t="shared" si="1193"/>
        <v>0</v>
      </c>
      <c r="TH104" s="14">
        <f t="shared" ref="TH104:UM104" si="1194">IF(AND(EXACT(TH40,"DB_STEER_METHOD_TURRET_E"),NOT(EXACT(TH30,"LVC_PIN_OUT_E"))), 1, 0)</f>
        <v>0</v>
      </c>
      <c r="TI104" s="14">
        <f t="shared" si="1194"/>
        <v>0</v>
      </c>
      <c r="TJ104" s="14">
        <f t="shared" si="1194"/>
        <v>0</v>
      </c>
      <c r="TK104" s="14">
        <f t="shared" si="1194"/>
        <v>0</v>
      </c>
      <c r="TL104" s="14">
        <f t="shared" si="1194"/>
        <v>0</v>
      </c>
      <c r="TM104" s="14">
        <f t="shared" si="1194"/>
        <v>0</v>
      </c>
      <c r="TN104" s="14">
        <f t="shared" si="1194"/>
        <v>0</v>
      </c>
      <c r="TO104" s="14">
        <f t="shared" si="1194"/>
        <v>0</v>
      </c>
      <c r="TP104" s="14">
        <f t="shared" si="1194"/>
        <v>0</v>
      </c>
      <c r="TQ104" s="14">
        <f t="shared" si="1194"/>
        <v>0</v>
      </c>
      <c r="TR104" s="14">
        <f t="shared" si="1194"/>
        <v>0</v>
      </c>
      <c r="TS104" s="14">
        <f t="shared" si="1194"/>
        <v>0</v>
      </c>
      <c r="TT104" s="14">
        <f t="shared" si="1194"/>
        <v>0</v>
      </c>
      <c r="TU104" s="14">
        <f t="shared" si="1194"/>
        <v>1</v>
      </c>
      <c r="TV104" s="14">
        <f t="shared" si="1194"/>
        <v>0</v>
      </c>
      <c r="TW104" s="14">
        <f t="shared" si="1194"/>
        <v>1</v>
      </c>
      <c r="TX104" s="14">
        <f t="shared" si="1194"/>
        <v>0</v>
      </c>
      <c r="TY104" s="14">
        <f t="shared" si="1194"/>
        <v>1</v>
      </c>
      <c r="TZ104" s="14">
        <f t="shared" si="1194"/>
        <v>0</v>
      </c>
      <c r="UA104" s="14">
        <f t="shared" si="1194"/>
        <v>0</v>
      </c>
      <c r="UB104" s="14">
        <f t="shared" si="1194"/>
        <v>0</v>
      </c>
      <c r="UC104" s="14">
        <f t="shared" si="1194"/>
        <v>0</v>
      </c>
      <c r="UD104" s="14">
        <f t="shared" si="1194"/>
        <v>0</v>
      </c>
      <c r="UE104" s="14">
        <f t="shared" si="1194"/>
        <v>0</v>
      </c>
      <c r="UF104" s="14">
        <f t="shared" si="1194"/>
        <v>0</v>
      </c>
      <c r="UG104" s="14">
        <f t="shared" si="1194"/>
        <v>0</v>
      </c>
      <c r="UH104" s="14">
        <f t="shared" si="1194"/>
        <v>0</v>
      </c>
      <c r="UI104" s="14">
        <f t="shared" si="1194"/>
        <v>0</v>
      </c>
      <c r="UJ104" s="14">
        <f t="shared" si="1194"/>
        <v>0</v>
      </c>
      <c r="UK104" s="14">
        <f t="shared" si="1194"/>
        <v>0</v>
      </c>
      <c r="UL104" s="14">
        <f t="shared" si="1194"/>
        <v>0</v>
      </c>
      <c r="UM104" s="14">
        <f t="shared" si="1194"/>
        <v>0</v>
      </c>
      <c r="UN104" s="14">
        <f t="shared" ref="UN104:VS104" si="1195">IF(AND(EXACT(UN40,"DB_STEER_METHOD_TURRET_E"),NOT(EXACT(UN30,"LVC_PIN_OUT_E"))), 1, 0)</f>
        <v>0</v>
      </c>
      <c r="UO104" s="14">
        <f t="shared" si="1195"/>
        <v>0</v>
      </c>
      <c r="UP104" s="14">
        <f t="shared" si="1195"/>
        <v>0</v>
      </c>
      <c r="UQ104" s="14">
        <f t="shared" si="1195"/>
        <v>1</v>
      </c>
      <c r="UR104" s="14">
        <f t="shared" si="1195"/>
        <v>0</v>
      </c>
      <c r="US104" s="14">
        <f t="shared" si="1195"/>
        <v>0</v>
      </c>
      <c r="UT104" s="14">
        <f t="shared" si="1195"/>
        <v>0</v>
      </c>
      <c r="UU104" s="14">
        <f t="shared" si="1195"/>
        <v>0</v>
      </c>
      <c r="UV104" s="14">
        <f t="shared" si="1195"/>
        <v>1</v>
      </c>
      <c r="UW104" s="14">
        <f t="shared" si="1195"/>
        <v>1</v>
      </c>
      <c r="UX104" s="14">
        <f t="shared" si="1195"/>
        <v>1</v>
      </c>
      <c r="UY104" s="14">
        <f t="shared" si="1195"/>
        <v>1</v>
      </c>
      <c r="UZ104" s="14">
        <f t="shared" si="1195"/>
        <v>1</v>
      </c>
      <c r="VA104" s="14">
        <f t="shared" si="1195"/>
        <v>1</v>
      </c>
      <c r="VB104" s="14">
        <f t="shared" si="1195"/>
        <v>1</v>
      </c>
      <c r="VC104" s="14">
        <f t="shared" si="1195"/>
        <v>1</v>
      </c>
      <c r="VD104" s="14">
        <f t="shared" si="1195"/>
        <v>1</v>
      </c>
      <c r="VE104" s="14">
        <f t="shared" si="1195"/>
        <v>1</v>
      </c>
      <c r="VF104" s="14">
        <f t="shared" si="1195"/>
        <v>1</v>
      </c>
      <c r="VG104" s="14">
        <f t="shared" si="1195"/>
        <v>1</v>
      </c>
      <c r="VH104" s="14">
        <f t="shared" si="1195"/>
        <v>1</v>
      </c>
      <c r="VI104" s="14">
        <f t="shared" si="1195"/>
        <v>1</v>
      </c>
      <c r="VJ104" s="14">
        <f t="shared" si="1195"/>
        <v>1</v>
      </c>
      <c r="VK104" s="14">
        <f t="shared" si="1195"/>
        <v>1</v>
      </c>
      <c r="VL104" s="14">
        <f t="shared" si="1195"/>
        <v>1</v>
      </c>
      <c r="VM104" s="14">
        <f t="shared" si="1195"/>
        <v>1</v>
      </c>
      <c r="VN104" s="14">
        <f t="shared" si="1195"/>
        <v>1</v>
      </c>
      <c r="VO104" s="14">
        <f t="shared" si="1195"/>
        <v>1</v>
      </c>
      <c r="VP104" s="14">
        <f t="shared" si="1195"/>
        <v>1</v>
      </c>
      <c r="VQ104" s="14">
        <f t="shared" si="1195"/>
        <v>1</v>
      </c>
      <c r="VR104" s="14">
        <f t="shared" si="1195"/>
        <v>1</v>
      </c>
      <c r="VS104" s="14">
        <f t="shared" si="1195"/>
        <v>1</v>
      </c>
      <c r="VT104" s="14">
        <f t="shared" ref="VT104:VZ104" si="1196">IF(AND(EXACT(VT40,"DB_STEER_METHOD_TURRET_E"),NOT(EXACT(VT30,"LVC_PIN_OUT_E"))), 1, 0)</f>
        <v>1</v>
      </c>
      <c r="VU104" s="14">
        <f t="shared" si="1196"/>
        <v>1</v>
      </c>
      <c r="VV104" s="14">
        <f t="shared" si="1196"/>
        <v>1</v>
      </c>
      <c r="VW104" s="14">
        <f t="shared" si="1196"/>
        <v>1</v>
      </c>
      <c r="VX104" s="14">
        <f t="shared" si="1196"/>
        <v>1</v>
      </c>
      <c r="VY104" s="14">
        <f t="shared" si="1196"/>
        <v>1</v>
      </c>
      <c r="VZ104" s="14">
        <f t="shared" si="1196"/>
        <v>1</v>
      </c>
      <c r="AKQ104" s="14">
        <f t="shared" si="1180"/>
        <v>32</v>
      </c>
    </row>
    <row r="105" spans="1:979" ht="15" customHeight="1" x14ac:dyDescent="0.25">
      <c r="A105" s="14"/>
      <c r="NR105" s="14">
        <f t="shared" si="1170"/>
        <v>64</v>
      </c>
      <c r="NS105" s="14">
        <f t="shared" ref="NS105:OX105" si="1197">IF(AND(EXACT(NS40,"DB_STEER_METHOD_TURRET_E"),NOT(NS37)),1,0)</f>
        <v>0</v>
      </c>
      <c r="NT105" s="14">
        <f t="shared" si="1197"/>
        <v>0</v>
      </c>
      <c r="NU105" s="14">
        <f t="shared" si="1197"/>
        <v>0</v>
      </c>
      <c r="NV105" s="14">
        <f t="shared" si="1197"/>
        <v>0</v>
      </c>
      <c r="NW105" s="14">
        <f t="shared" si="1197"/>
        <v>0</v>
      </c>
      <c r="NX105" s="14">
        <f t="shared" si="1197"/>
        <v>0</v>
      </c>
      <c r="NY105" s="14">
        <f t="shared" si="1197"/>
        <v>1</v>
      </c>
      <c r="NZ105" s="14">
        <f t="shared" si="1197"/>
        <v>0</v>
      </c>
      <c r="OA105" s="14">
        <f t="shared" si="1197"/>
        <v>0</v>
      </c>
      <c r="OB105" s="14">
        <f t="shared" si="1197"/>
        <v>0</v>
      </c>
      <c r="OC105" s="14">
        <f t="shared" si="1197"/>
        <v>0</v>
      </c>
      <c r="OD105" s="14">
        <f t="shared" si="1197"/>
        <v>0</v>
      </c>
      <c r="OE105" s="14">
        <f t="shared" si="1197"/>
        <v>0</v>
      </c>
      <c r="OF105" s="14">
        <f t="shared" si="1197"/>
        <v>0</v>
      </c>
      <c r="OG105" s="14">
        <f t="shared" si="1197"/>
        <v>0</v>
      </c>
      <c r="OH105" s="14">
        <f t="shared" si="1197"/>
        <v>0</v>
      </c>
      <c r="OI105" s="14">
        <f t="shared" si="1197"/>
        <v>0</v>
      </c>
      <c r="OJ105" s="14">
        <f t="shared" si="1197"/>
        <v>0</v>
      </c>
      <c r="OK105" s="14">
        <f t="shared" si="1197"/>
        <v>0</v>
      </c>
      <c r="OL105" s="14">
        <f t="shared" si="1197"/>
        <v>0</v>
      </c>
      <c r="OM105" s="14">
        <f t="shared" si="1197"/>
        <v>1</v>
      </c>
      <c r="ON105" s="14">
        <f t="shared" si="1197"/>
        <v>0</v>
      </c>
      <c r="OO105" s="14">
        <f t="shared" si="1197"/>
        <v>0</v>
      </c>
      <c r="OP105" s="14">
        <f t="shared" si="1197"/>
        <v>0</v>
      </c>
      <c r="OQ105" s="14">
        <f t="shared" si="1197"/>
        <v>0</v>
      </c>
      <c r="OR105" s="14">
        <f t="shared" si="1197"/>
        <v>0</v>
      </c>
      <c r="OS105" s="14">
        <f t="shared" si="1197"/>
        <v>0</v>
      </c>
      <c r="OT105" s="14">
        <f t="shared" si="1197"/>
        <v>0</v>
      </c>
      <c r="OU105" s="14">
        <f t="shared" si="1197"/>
        <v>0</v>
      </c>
      <c r="OV105" s="14">
        <f t="shared" si="1197"/>
        <v>0</v>
      </c>
      <c r="OW105" s="14">
        <f t="shared" si="1197"/>
        <v>0</v>
      </c>
      <c r="OX105" s="14">
        <f t="shared" si="1197"/>
        <v>0</v>
      </c>
      <c r="OY105" s="14">
        <f t="shared" ref="OY105:QD105" si="1198">IF(AND(EXACT(OY40,"DB_STEER_METHOD_TURRET_E"),NOT(OY37)),1,0)</f>
        <v>0</v>
      </c>
      <c r="OZ105" s="14">
        <f t="shared" si="1198"/>
        <v>0</v>
      </c>
      <c r="PA105" s="14">
        <f t="shared" si="1198"/>
        <v>0</v>
      </c>
      <c r="PB105" s="14">
        <f t="shared" si="1198"/>
        <v>0</v>
      </c>
      <c r="PC105" s="14">
        <f t="shared" si="1198"/>
        <v>0</v>
      </c>
      <c r="PD105" s="14">
        <f t="shared" si="1198"/>
        <v>0</v>
      </c>
      <c r="PE105" s="14">
        <f t="shared" si="1198"/>
        <v>0</v>
      </c>
      <c r="PF105" s="14">
        <f t="shared" si="1198"/>
        <v>0</v>
      </c>
      <c r="PG105" s="14">
        <f t="shared" si="1198"/>
        <v>0</v>
      </c>
      <c r="PH105" s="14">
        <f t="shared" si="1198"/>
        <v>0</v>
      </c>
      <c r="PI105" s="14">
        <f t="shared" si="1198"/>
        <v>0</v>
      </c>
      <c r="PJ105" s="14">
        <f t="shared" si="1198"/>
        <v>0</v>
      </c>
      <c r="PK105" s="14">
        <f t="shared" si="1198"/>
        <v>0</v>
      </c>
      <c r="PL105" s="14">
        <f t="shared" si="1198"/>
        <v>0</v>
      </c>
      <c r="PM105" s="14">
        <f t="shared" si="1198"/>
        <v>1</v>
      </c>
      <c r="PN105" s="14">
        <f t="shared" si="1198"/>
        <v>0</v>
      </c>
      <c r="PO105" s="14">
        <f t="shared" si="1198"/>
        <v>1</v>
      </c>
      <c r="PP105" s="14">
        <f t="shared" si="1198"/>
        <v>0</v>
      </c>
      <c r="PQ105" s="14">
        <f t="shared" si="1198"/>
        <v>1</v>
      </c>
      <c r="PR105" s="14">
        <f t="shared" si="1198"/>
        <v>0</v>
      </c>
      <c r="PS105" s="14">
        <f t="shared" si="1198"/>
        <v>0</v>
      </c>
      <c r="PT105" s="14">
        <f t="shared" si="1198"/>
        <v>0</v>
      </c>
      <c r="PU105" s="14">
        <f t="shared" si="1198"/>
        <v>0</v>
      </c>
      <c r="PV105" s="14">
        <f t="shared" si="1198"/>
        <v>0</v>
      </c>
      <c r="PW105" s="14">
        <f t="shared" si="1198"/>
        <v>0</v>
      </c>
      <c r="PX105" s="14">
        <f t="shared" si="1198"/>
        <v>0</v>
      </c>
      <c r="PY105" s="14">
        <f t="shared" si="1198"/>
        <v>0</v>
      </c>
      <c r="PZ105" s="14">
        <f t="shared" si="1198"/>
        <v>0</v>
      </c>
      <c r="QA105" s="14">
        <f t="shared" si="1198"/>
        <v>0</v>
      </c>
      <c r="QB105" s="14">
        <f t="shared" si="1198"/>
        <v>0</v>
      </c>
      <c r="QC105" s="14">
        <f t="shared" si="1198"/>
        <v>0</v>
      </c>
      <c r="QD105" s="14">
        <f t="shared" si="1198"/>
        <v>0</v>
      </c>
      <c r="QE105" s="14">
        <f t="shared" ref="QE105:RI105" si="1199">IF(AND(EXACT(QE40,"DB_STEER_METHOD_TURRET_E"),NOT(QE37)),1,0)</f>
        <v>0</v>
      </c>
      <c r="QF105" s="14">
        <f t="shared" si="1199"/>
        <v>0</v>
      </c>
      <c r="QG105" s="14">
        <f t="shared" si="1199"/>
        <v>0</v>
      </c>
      <c r="QH105" s="14">
        <f t="shared" si="1199"/>
        <v>0</v>
      </c>
      <c r="QI105" s="14">
        <f t="shared" si="1199"/>
        <v>1</v>
      </c>
      <c r="QJ105" s="14">
        <f t="shared" si="1199"/>
        <v>0</v>
      </c>
      <c r="QK105" s="14">
        <f t="shared" si="1199"/>
        <v>1</v>
      </c>
      <c r="QL105" s="14">
        <f t="shared" si="1199"/>
        <v>0</v>
      </c>
      <c r="QM105" s="14">
        <f t="shared" si="1199"/>
        <v>0</v>
      </c>
      <c r="QN105" s="14">
        <f t="shared" si="1199"/>
        <v>0</v>
      </c>
      <c r="QO105" s="14">
        <f t="shared" si="1199"/>
        <v>0</v>
      </c>
      <c r="QP105" s="14">
        <f t="shared" si="1199"/>
        <v>0</v>
      </c>
      <c r="QQ105" s="14">
        <f t="shared" si="1199"/>
        <v>0</v>
      </c>
      <c r="QR105" s="14">
        <f t="shared" si="1199"/>
        <v>0</v>
      </c>
      <c r="QS105" s="14">
        <f t="shared" si="1199"/>
        <v>0</v>
      </c>
      <c r="QT105" s="14">
        <f t="shared" si="1199"/>
        <v>0</v>
      </c>
      <c r="QU105" s="14">
        <f t="shared" si="1199"/>
        <v>0</v>
      </c>
      <c r="QV105" s="14">
        <f t="shared" si="1199"/>
        <v>0</v>
      </c>
      <c r="QW105" s="14">
        <f t="shared" si="1199"/>
        <v>0</v>
      </c>
      <c r="QX105" s="14">
        <f t="shared" si="1199"/>
        <v>0</v>
      </c>
      <c r="QY105" s="14">
        <f t="shared" si="1199"/>
        <v>0</v>
      </c>
      <c r="QZ105" s="14">
        <f t="shared" si="1199"/>
        <v>0</v>
      </c>
      <c r="RA105" s="14">
        <f t="shared" si="1199"/>
        <v>0</v>
      </c>
      <c r="RB105" s="14">
        <f t="shared" si="1199"/>
        <v>0</v>
      </c>
      <c r="RC105" s="14">
        <f t="shared" si="1199"/>
        <v>0</v>
      </c>
      <c r="RD105" s="14">
        <f t="shared" si="1199"/>
        <v>0</v>
      </c>
      <c r="RE105" s="14">
        <f t="shared" si="1199"/>
        <v>0</v>
      </c>
      <c r="RF105" s="14">
        <f t="shared" si="1199"/>
        <v>0</v>
      </c>
      <c r="RG105" s="14">
        <f t="shared" si="1199"/>
        <v>0</v>
      </c>
      <c r="RH105" s="14">
        <f t="shared" si="1199"/>
        <v>0</v>
      </c>
      <c r="RI105" s="14">
        <f t="shared" si="1199"/>
        <v>0</v>
      </c>
      <c r="RJ105" s="14">
        <f t="shared" ref="RJ105:RR105" si="1200">IF(AND(EXACT(RJ40,"DB_STEER_METHOD_TURRET_E"),NOT(RJ37)),1,0)</f>
        <v>0</v>
      </c>
      <c r="RK105" s="14">
        <f t="shared" si="1200"/>
        <v>0</v>
      </c>
      <c r="RL105" s="14">
        <f t="shared" si="1200"/>
        <v>0</v>
      </c>
      <c r="RM105" s="14">
        <f t="shared" si="1200"/>
        <v>0</v>
      </c>
      <c r="RN105" s="14">
        <f t="shared" si="1200"/>
        <v>0</v>
      </c>
      <c r="RO105" s="14">
        <f t="shared" si="1200"/>
        <v>0</v>
      </c>
      <c r="RP105" s="14">
        <f t="shared" si="1200"/>
        <v>0</v>
      </c>
      <c r="RQ105" s="14">
        <f t="shared" si="1200"/>
        <v>0</v>
      </c>
      <c r="RR105" s="14">
        <f t="shared" si="1200"/>
        <v>0</v>
      </c>
      <c r="SA105" s="14">
        <f t="shared" si="1175"/>
        <v>64</v>
      </c>
      <c r="SB105" s="14">
        <f t="shared" ref="SB105:TG105" si="1201">IF(AND(EXACT(SB40,"DB_STEER_METHOD_TURRET_E"),NOT(SB37)),1,0)</f>
        <v>0</v>
      </c>
      <c r="SC105" s="14">
        <f t="shared" si="1201"/>
        <v>0</v>
      </c>
      <c r="SD105" s="14">
        <f t="shared" si="1201"/>
        <v>0</v>
      </c>
      <c r="SE105" s="14">
        <f t="shared" si="1201"/>
        <v>0</v>
      </c>
      <c r="SF105" s="14">
        <f t="shared" si="1201"/>
        <v>0</v>
      </c>
      <c r="SG105" s="14">
        <f t="shared" si="1201"/>
        <v>0</v>
      </c>
      <c r="SH105" s="14">
        <f t="shared" si="1201"/>
        <v>1</v>
      </c>
      <c r="SI105" s="14">
        <f t="shared" si="1201"/>
        <v>0</v>
      </c>
      <c r="SJ105" s="14">
        <f t="shared" si="1201"/>
        <v>0</v>
      </c>
      <c r="SK105" s="14">
        <f t="shared" si="1201"/>
        <v>0</v>
      </c>
      <c r="SL105" s="14">
        <f t="shared" si="1201"/>
        <v>0</v>
      </c>
      <c r="SM105" s="14">
        <f t="shared" si="1201"/>
        <v>0</v>
      </c>
      <c r="SN105" s="14">
        <f t="shared" si="1201"/>
        <v>0</v>
      </c>
      <c r="SO105" s="14">
        <f t="shared" si="1201"/>
        <v>0</v>
      </c>
      <c r="SP105" s="14">
        <f t="shared" si="1201"/>
        <v>0</v>
      </c>
      <c r="SQ105" s="14">
        <f t="shared" si="1201"/>
        <v>0</v>
      </c>
      <c r="SR105" s="14">
        <f t="shared" si="1201"/>
        <v>0</v>
      </c>
      <c r="SS105" s="14">
        <f t="shared" si="1201"/>
        <v>0</v>
      </c>
      <c r="ST105" s="14">
        <f t="shared" si="1201"/>
        <v>0</v>
      </c>
      <c r="SU105" s="14">
        <f t="shared" si="1201"/>
        <v>0</v>
      </c>
      <c r="SV105" s="14">
        <f t="shared" si="1201"/>
        <v>1</v>
      </c>
      <c r="SW105" s="14">
        <f t="shared" si="1201"/>
        <v>0</v>
      </c>
      <c r="SX105" s="14">
        <f t="shared" si="1201"/>
        <v>0</v>
      </c>
      <c r="SY105" s="14">
        <f t="shared" si="1201"/>
        <v>0</v>
      </c>
      <c r="SZ105" s="14">
        <f t="shared" si="1201"/>
        <v>0</v>
      </c>
      <c r="TA105" s="14">
        <f t="shared" si="1201"/>
        <v>0</v>
      </c>
      <c r="TB105" s="14">
        <f t="shared" si="1201"/>
        <v>0</v>
      </c>
      <c r="TC105" s="14">
        <f t="shared" si="1201"/>
        <v>0</v>
      </c>
      <c r="TD105" s="14">
        <f t="shared" si="1201"/>
        <v>0</v>
      </c>
      <c r="TE105" s="14">
        <f t="shared" si="1201"/>
        <v>0</v>
      </c>
      <c r="TF105" s="14">
        <f t="shared" si="1201"/>
        <v>0</v>
      </c>
      <c r="TG105" s="14">
        <f t="shared" si="1201"/>
        <v>0</v>
      </c>
      <c r="TH105" s="14">
        <f t="shared" ref="TH105:UM105" si="1202">IF(AND(EXACT(TH40,"DB_STEER_METHOD_TURRET_E"),NOT(TH37)),1,0)</f>
        <v>0</v>
      </c>
      <c r="TI105" s="14">
        <f t="shared" si="1202"/>
        <v>0</v>
      </c>
      <c r="TJ105" s="14">
        <f t="shared" si="1202"/>
        <v>0</v>
      </c>
      <c r="TK105" s="14">
        <f t="shared" si="1202"/>
        <v>0</v>
      </c>
      <c r="TL105" s="14">
        <f t="shared" si="1202"/>
        <v>0</v>
      </c>
      <c r="TM105" s="14">
        <f t="shared" si="1202"/>
        <v>0</v>
      </c>
      <c r="TN105" s="14">
        <f t="shared" si="1202"/>
        <v>0</v>
      </c>
      <c r="TO105" s="14">
        <f t="shared" si="1202"/>
        <v>0</v>
      </c>
      <c r="TP105" s="14">
        <f t="shared" si="1202"/>
        <v>0</v>
      </c>
      <c r="TQ105" s="14">
        <f t="shared" si="1202"/>
        <v>0</v>
      </c>
      <c r="TR105" s="14">
        <f t="shared" si="1202"/>
        <v>0</v>
      </c>
      <c r="TS105" s="14">
        <f t="shared" si="1202"/>
        <v>0</v>
      </c>
      <c r="TT105" s="14">
        <f t="shared" si="1202"/>
        <v>0</v>
      </c>
      <c r="TU105" s="14">
        <f t="shared" si="1202"/>
        <v>1</v>
      </c>
      <c r="TV105" s="14">
        <f t="shared" si="1202"/>
        <v>0</v>
      </c>
      <c r="TW105" s="14">
        <f t="shared" si="1202"/>
        <v>1</v>
      </c>
      <c r="TX105" s="14">
        <f t="shared" si="1202"/>
        <v>0</v>
      </c>
      <c r="TY105" s="14">
        <f t="shared" si="1202"/>
        <v>1</v>
      </c>
      <c r="TZ105" s="14">
        <f t="shared" si="1202"/>
        <v>0</v>
      </c>
      <c r="UA105" s="14">
        <f t="shared" si="1202"/>
        <v>0</v>
      </c>
      <c r="UB105" s="14">
        <f t="shared" si="1202"/>
        <v>0</v>
      </c>
      <c r="UC105" s="14">
        <f t="shared" si="1202"/>
        <v>0</v>
      </c>
      <c r="UD105" s="14">
        <f t="shared" si="1202"/>
        <v>0</v>
      </c>
      <c r="UE105" s="14">
        <f t="shared" si="1202"/>
        <v>0</v>
      </c>
      <c r="UF105" s="14">
        <f t="shared" si="1202"/>
        <v>0</v>
      </c>
      <c r="UG105" s="14">
        <f t="shared" si="1202"/>
        <v>0</v>
      </c>
      <c r="UH105" s="14">
        <f t="shared" si="1202"/>
        <v>0</v>
      </c>
      <c r="UI105" s="14">
        <f t="shared" si="1202"/>
        <v>0</v>
      </c>
      <c r="UJ105" s="14">
        <f t="shared" si="1202"/>
        <v>0</v>
      </c>
      <c r="UK105" s="14">
        <f t="shared" si="1202"/>
        <v>0</v>
      </c>
      <c r="UL105" s="14">
        <f t="shared" si="1202"/>
        <v>0</v>
      </c>
      <c r="UM105" s="14">
        <f t="shared" si="1202"/>
        <v>0</v>
      </c>
      <c r="UN105" s="14">
        <f t="shared" ref="UN105:VS105" si="1203">IF(AND(EXACT(UN40,"DB_STEER_METHOD_TURRET_E"),NOT(UN37)),1,0)</f>
        <v>0</v>
      </c>
      <c r="UO105" s="14">
        <f t="shared" si="1203"/>
        <v>0</v>
      </c>
      <c r="UP105" s="14">
        <f t="shared" si="1203"/>
        <v>0</v>
      </c>
      <c r="UQ105" s="14">
        <f t="shared" si="1203"/>
        <v>1</v>
      </c>
      <c r="UR105" s="14">
        <f t="shared" si="1203"/>
        <v>0</v>
      </c>
      <c r="US105" s="14">
        <f t="shared" si="1203"/>
        <v>1</v>
      </c>
      <c r="UT105" s="14">
        <f t="shared" si="1203"/>
        <v>0</v>
      </c>
      <c r="UU105" s="14">
        <f t="shared" si="1203"/>
        <v>0</v>
      </c>
      <c r="UV105" s="14">
        <f t="shared" si="1203"/>
        <v>0</v>
      </c>
      <c r="UW105" s="14">
        <f t="shared" si="1203"/>
        <v>0</v>
      </c>
      <c r="UX105" s="14">
        <f t="shared" si="1203"/>
        <v>0</v>
      </c>
      <c r="UY105" s="14">
        <f t="shared" si="1203"/>
        <v>0</v>
      </c>
      <c r="UZ105" s="14">
        <f t="shared" si="1203"/>
        <v>0</v>
      </c>
      <c r="VA105" s="14">
        <f t="shared" si="1203"/>
        <v>0</v>
      </c>
      <c r="VB105" s="14">
        <f t="shared" si="1203"/>
        <v>0</v>
      </c>
      <c r="VC105" s="14">
        <f t="shared" si="1203"/>
        <v>0</v>
      </c>
      <c r="VD105" s="14">
        <f t="shared" si="1203"/>
        <v>0</v>
      </c>
      <c r="VE105" s="14">
        <f t="shared" si="1203"/>
        <v>0</v>
      </c>
      <c r="VF105" s="14">
        <f t="shared" si="1203"/>
        <v>0</v>
      </c>
      <c r="VG105" s="14">
        <f t="shared" si="1203"/>
        <v>0</v>
      </c>
      <c r="VH105" s="14">
        <f t="shared" si="1203"/>
        <v>0</v>
      </c>
      <c r="VI105" s="14">
        <f t="shared" si="1203"/>
        <v>0</v>
      </c>
      <c r="VJ105" s="14">
        <f t="shared" si="1203"/>
        <v>0</v>
      </c>
      <c r="VK105" s="14">
        <f t="shared" si="1203"/>
        <v>0</v>
      </c>
      <c r="VL105" s="14">
        <f t="shared" si="1203"/>
        <v>0</v>
      </c>
      <c r="VM105" s="14">
        <f t="shared" si="1203"/>
        <v>0</v>
      </c>
      <c r="VN105" s="14">
        <f t="shared" si="1203"/>
        <v>0</v>
      </c>
      <c r="VO105" s="14">
        <f t="shared" si="1203"/>
        <v>0</v>
      </c>
      <c r="VP105" s="14">
        <f t="shared" si="1203"/>
        <v>0</v>
      </c>
      <c r="VQ105" s="14">
        <f t="shared" si="1203"/>
        <v>0</v>
      </c>
      <c r="VR105" s="14">
        <f t="shared" si="1203"/>
        <v>0</v>
      </c>
      <c r="VS105" s="14">
        <f t="shared" si="1203"/>
        <v>0</v>
      </c>
      <c r="VT105" s="14">
        <f t="shared" ref="VT105:VZ105" si="1204">IF(AND(EXACT(VT40,"DB_STEER_METHOD_TURRET_E"),NOT(VT37)),1,0)</f>
        <v>0</v>
      </c>
      <c r="VU105" s="14">
        <f t="shared" si="1204"/>
        <v>0</v>
      </c>
      <c r="VV105" s="14">
        <f t="shared" si="1204"/>
        <v>0</v>
      </c>
      <c r="VW105" s="14">
        <f t="shared" si="1204"/>
        <v>0</v>
      </c>
      <c r="VX105" s="14">
        <f t="shared" si="1204"/>
        <v>0</v>
      </c>
      <c r="VY105" s="14">
        <f t="shared" si="1204"/>
        <v>0</v>
      </c>
      <c r="VZ105" s="14">
        <f t="shared" si="1204"/>
        <v>0</v>
      </c>
      <c r="AKQ105" s="14">
        <f t="shared" si="1180"/>
        <v>64</v>
      </c>
    </row>
    <row r="106" spans="1:979" ht="15" customHeight="1" x14ac:dyDescent="0.25">
      <c r="A106" s="14"/>
      <c r="NR106" s="14">
        <f t="shared" si="1170"/>
        <v>128</v>
      </c>
      <c r="NS106" s="14">
        <f t="shared" ref="NS106:OX106" si="1205">IF( AND(EXACT(NS40, "DB_STEER_METHOD_SBW_E"),NOT( EXACT(NS30, "LVC_PIN_IN_E"))), 1, 0)</f>
        <v>0</v>
      </c>
      <c r="NT106" s="14">
        <f t="shared" si="1205"/>
        <v>0</v>
      </c>
      <c r="NU106" s="14">
        <f t="shared" si="1205"/>
        <v>0</v>
      </c>
      <c r="NV106" s="14">
        <f t="shared" si="1205"/>
        <v>0</v>
      </c>
      <c r="NW106" s="14">
        <f t="shared" si="1205"/>
        <v>0</v>
      </c>
      <c r="NX106" s="14">
        <f t="shared" si="1205"/>
        <v>0</v>
      </c>
      <c r="NY106" s="14">
        <f t="shared" si="1205"/>
        <v>0</v>
      </c>
      <c r="NZ106" s="14">
        <f t="shared" si="1205"/>
        <v>1</v>
      </c>
      <c r="OA106" s="14">
        <f t="shared" si="1205"/>
        <v>0</v>
      </c>
      <c r="OB106" s="14">
        <f t="shared" si="1205"/>
        <v>0</v>
      </c>
      <c r="OC106" s="14">
        <f t="shared" si="1205"/>
        <v>0</v>
      </c>
      <c r="OD106" s="14">
        <f t="shared" si="1205"/>
        <v>0</v>
      </c>
      <c r="OE106" s="14">
        <f t="shared" si="1205"/>
        <v>0</v>
      </c>
      <c r="OF106" s="14">
        <f t="shared" si="1205"/>
        <v>0</v>
      </c>
      <c r="OG106" s="14">
        <f t="shared" si="1205"/>
        <v>0</v>
      </c>
      <c r="OH106" s="14">
        <f t="shared" si="1205"/>
        <v>1</v>
      </c>
      <c r="OI106" s="14">
        <f t="shared" si="1205"/>
        <v>1</v>
      </c>
      <c r="OJ106" s="14">
        <f t="shared" si="1205"/>
        <v>1</v>
      </c>
      <c r="OK106" s="14">
        <f t="shared" si="1205"/>
        <v>0</v>
      </c>
      <c r="OL106" s="14">
        <f t="shared" si="1205"/>
        <v>0</v>
      </c>
      <c r="OM106" s="14">
        <f t="shared" si="1205"/>
        <v>0</v>
      </c>
      <c r="ON106" s="14">
        <f t="shared" si="1205"/>
        <v>0</v>
      </c>
      <c r="OO106" s="14">
        <f t="shared" si="1205"/>
        <v>0</v>
      </c>
      <c r="OP106" s="14">
        <f t="shared" si="1205"/>
        <v>0</v>
      </c>
      <c r="OQ106" s="14">
        <f t="shared" si="1205"/>
        <v>0</v>
      </c>
      <c r="OR106" s="14">
        <f t="shared" si="1205"/>
        <v>0</v>
      </c>
      <c r="OS106" s="14">
        <f t="shared" si="1205"/>
        <v>0</v>
      </c>
      <c r="OT106" s="14">
        <f t="shared" si="1205"/>
        <v>0</v>
      </c>
      <c r="OU106" s="14">
        <f t="shared" si="1205"/>
        <v>1</v>
      </c>
      <c r="OV106" s="14">
        <f t="shared" si="1205"/>
        <v>0</v>
      </c>
      <c r="OW106" s="14">
        <f t="shared" si="1205"/>
        <v>0</v>
      </c>
      <c r="OX106" s="14">
        <f t="shared" si="1205"/>
        <v>0</v>
      </c>
      <c r="OY106" s="14">
        <f t="shared" ref="OY106:QD106" si="1206">IF( AND(EXACT(OY40, "DB_STEER_METHOD_SBW_E"),NOT( EXACT(OY30, "LVC_PIN_IN_E"))), 1, 0)</f>
        <v>0</v>
      </c>
      <c r="OZ106" s="14">
        <f t="shared" si="1206"/>
        <v>0</v>
      </c>
      <c r="PA106" s="14">
        <f t="shared" si="1206"/>
        <v>0</v>
      </c>
      <c r="PB106" s="14">
        <f t="shared" si="1206"/>
        <v>0</v>
      </c>
      <c r="PC106" s="14">
        <f t="shared" si="1206"/>
        <v>0</v>
      </c>
      <c r="PD106" s="14">
        <f t="shared" si="1206"/>
        <v>0</v>
      </c>
      <c r="PE106" s="14">
        <f t="shared" si="1206"/>
        <v>0</v>
      </c>
      <c r="PF106" s="14">
        <f t="shared" si="1206"/>
        <v>0</v>
      </c>
      <c r="PG106" s="14">
        <f t="shared" si="1206"/>
        <v>0</v>
      </c>
      <c r="PH106" s="14">
        <f t="shared" si="1206"/>
        <v>0</v>
      </c>
      <c r="PI106" s="14">
        <f t="shared" si="1206"/>
        <v>0</v>
      </c>
      <c r="PJ106" s="14">
        <f t="shared" si="1206"/>
        <v>0</v>
      </c>
      <c r="PK106" s="14">
        <f t="shared" si="1206"/>
        <v>0</v>
      </c>
      <c r="PL106" s="14">
        <f t="shared" si="1206"/>
        <v>0</v>
      </c>
      <c r="PM106" s="14">
        <f t="shared" si="1206"/>
        <v>0</v>
      </c>
      <c r="PN106" s="14">
        <f t="shared" si="1206"/>
        <v>0</v>
      </c>
      <c r="PO106" s="14">
        <f t="shared" si="1206"/>
        <v>0</v>
      </c>
      <c r="PP106" s="14">
        <f t="shared" si="1206"/>
        <v>0</v>
      </c>
      <c r="PQ106" s="14">
        <f t="shared" si="1206"/>
        <v>0</v>
      </c>
      <c r="PR106" s="14">
        <f t="shared" si="1206"/>
        <v>0</v>
      </c>
      <c r="PS106" s="14">
        <f t="shared" si="1206"/>
        <v>1</v>
      </c>
      <c r="PT106" s="14">
        <f t="shared" si="1206"/>
        <v>0</v>
      </c>
      <c r="PU106" s="14">
        <f t="shared" si="1206"/>
        <v>1</v>
      </c>
      <c r="PV106" s="14">
        <f t="shared" si="1206"/>
        <v>0</v>
      </c>
      <c r="PW106" s="14">
        <f t="shared" si="1206"/>
        <v>1</v>
      </c>
      <c r="PX106" s="14">
        <f t="shared" si="1206"/>
        <v>0</v>
      </c>
      <c r="PY106" s="14">
        <f t="shared" si="1206"/>
        <v>0</v>
      </c>
      <c r="PZ106" s="14">
        <f t="shared" si="1206"/>
        <v>0</v>
      </c>
      <c r="QA106" s="14">
        <f t="shared" si="1206"/>
        <v>0</v>
      </c>
      <c r="QB106" s="14">
        <f t="shared" si="1206"/>
        <v>0</v>
      </c>
      <c r="QC106" s="14">
        <f t="shared" si="1206"/>
        <v>0</v>
      </c>
      <c r="QD106" s="14">
        <f t="shared" si="1206"/>
        <v>0</v>
      </c>
      <c r="QE106" s="14">
        <f t="shared" ref="QE106:RI106" si="1207">IF( AND(EXACT(QE40, "DB_STEER_METHOD_SBW_E"),NOT( EXACT(QE30, "LVC_PIN_IN_E"))), 1, 0)</f>
        <v>0</v>
      </c>
      <c r="QF106" s="14">
        <f t="shared" si="1207"/>
        <v>0</v>
      </c>
      <c r="QG106" s="14">
        <f t="shared" si="1207"/>
        <v>0</v>
      </c>
      <c r="QH106" s="14">
        <f t="shared" si="1207"/>
        <v>0</v>
      </c>
      <c r="QI106" s="14">
        <f t="shared" si="1207"/>
        <v>0</v>
      </c>
      <c r="QJ106" s="14">
        <f t="shared" si="1207"/>
        <v>0</v>
      </c>
      <c r="QK106" s="14">
        <f t="shared" si="1207"/>
        <v>0</v>
      </c>
      <c r="QL106" s="14">
        <f t="shared" si="1207"/>
        <v>1</v>
      </c>
      <c r="QM106" s="14">
        <f t="shared" si="1207"/>
        <v>0</v>
      </c>
      <c r="QN106" s="14">
        <f t="shared" si="1207"/>
        <v>0</v>
      </c>
      <c r="QO106" s="14">
        <f t="shared" si="1207"/>
        <v>0</v>
      </c>
      <c r="QP106" s="14">
        <f t="shared" si="1207"/>
        <v>0</v>
      </c>
      <c r="QQ106" s="14">
        <f t="shared" si="1207"/>
        <v>0</v>
      </c>
      <c r="QR106" s="14">
        <f t="shared" si="1207"/>
        <v>0</v>
      </c>
      <c r="QS106" s="14">
        <f t="shared" si="1207"/>
        <v>0</v>
      </c>
      <c r="QT106" s="14">
        <f t="shared" si="1207"/>
        <v>0</v>
      </c>
      <c r="QU106" s="14">
        <f t="shared" si="1207"/>
        <v>0</v>
      </c>
      <c r="QV106" s="14">
        <f t="shared" si="1207"/>
        <v>0</v>
      </c>
      <c r="QW106" s="14">
        <f t="shared" si="1207"/>
        <v>0</v>
      </c>
      <c r="QX106" s="14">
        <f t="shared" si="1207"/>
        <v>0</v>
      </c>
      <c r="QY106" s="14">
        <f t="shared" si="1207"/>
        <v>0</v>
      </c>
      <c r="QZ106" s="14">
        <f t="shared" si="1207"/>
        <v>0</v>
      </c>
      <c r="RA106" s="14">
        <f t="shared" si="1207"/>
        <v>0</v>
      </c>
      <c r="RB106" s="14">
        <f t="shared" si="1207"/>
        <v>0</v>
      </c>
      <c r="RC106" s="14">
        <f t="shared" si="1207"/>
        <v>0</v>
      </c>
      <c r="RD106" s="14">
        <f t="shared" si="1207"/>
        <v>0</v>
      </c>
      <c r="RE106" s="14">
        <f t="shared" si="1207"/>
        <v>0</v>
      </c>
      <c r="RF106" s="14">
        <f t="shared" si="1207"/>
        <v>0</v>
      </c>
      <c r="RG106" s="14">
        <f t="shared" si="1207"/>
        <v>0</v>
      </c>
      <c r="RH106" s="14">
        <f t="shared" si="1207"/>
        <v>0</v>
      </c>
      <c r="RI106" s="14">
        <f t="shared" si="1207"/>
        <v>0</v>
      </c>
      <c r="RJ106" s="14">
        <f t="shared" ref="RJ106:RR106" si="1208">IF( AND(EXACT(RJ40, "DB_STEER_METHOD_SBW_E"),NOT( EXACT(RJ30, "LVC_PIN_IN_E"))), 1, 0)</f>
        <v>0</v>
      </c>
      <c r="RK106" s="14">
        <f t="shared" si="1208"/>
        <v>0</v>
      </c>
      <c r="RL106" s="14">
        <f t="shared" si="1208"/>
        <v>0</v>
      </c>
      <c r="RM106" s="14">
        <f t="shared" si="1208"/>
        <v>0</v>
      </c>
      <c r="RN106" s="14">
        <f t="shared" si="1208"/>
        <v>0</v>
      </c>
      <c r="RO106" s="14">
        <f t="shared" si="1208"/>
        <v>0</v>
      </c>
      <c r="RP106" s="14">
        <f t="shared" si="1208"/>
        <v>0</v>
      </c>
      <c r="RQ106" s="14">
        <f t="shared" si="1208"/>
        <v>0</v>
      </c>
      <c r="RR106" s="14">
        <f t="shared" si="1208"/>
        <v>0</v>
      </c>
      <c r="SA106" s="14">
        <f t="shared" si="1175"/>
        <v>128</v>
      </c>
      <c r="SB106" s="14">
        <f t="shared" ref="SB106:TG106" si="1209">IF( AND(EXACT(SB40, "DB_STEER_METHOD_SBW_E"),NOT( EXACT(SB30, "LVC_PIN_IN_E"))), 1, 0)</f>
        <v>0</v>
      </c>
      <c r="SC106" s="14">
        <f t="shared" si="1209"/>
        <v>0</v>
      </c>
      <c r="SD106" s="14">
        <f t="shared" si="1209"/>
        <v>0</v>
      </c>
      <c r="SE106" s="14">
        <f t="shared" si="1209"/>
        <v>0</v>
      </c>
      <c r="SF106" s="14">
        <f t="shared" si="1209"/>
        <v>0</v>
      </c>
      <c r="SG106" s="14">
        <f t="shared" si="1209"/>
        <v>0</v>
      </c>
      <c r="SH106" s="14">
        <f t="shared" si="1209"/>
        <v>0</v>
      </c>
      <c r="SI106" s="14">
        <f t="shared" si="1209"/>
        <v>1</v>
      </c>
      <c r="SJ106" s="14">
        <f t="shared" si="1209"/>
        <v>0</v>
      </c>
      <c r="SK106" s="14">
        <f t="shared" si="1209"/>
        <v>0</v>
      </c>
      <c r="SL106" s="14">
        <f t="shared" si="1209"/>
        <v>0</v>
      </c>
      <c r="SM106" s="14">
        <f t="shared" si="1209"/>
        <v>0</v>
      </c>
      <c r="SN106" s="14">
        <f t="shared" si="1209"/>
        <v>0</v>
      </c>
      <c r="SO106" s="14">
        <f t="shared" si="1209"/>
        <v>0</v>
      </c>
      <c r="SP106" s="14">
        <f t="shared" si="1209"/>
        <v>0</v>
      </c>
      <c r="SQ106" s="14">
        <f t="shared" si="1209"/>
        <v>1</v>
      </c>
      <c r="SR106" s="14">
        <f t="shared" si="1209"/>
        <v>1</v>
      </c>
      <c r="SS106" s="14">
        <f t="shared" si="1209"/>
        <v>1</v>
      </c>
      <c r="ST106" s="14">
        <f t="shared" si="1209"/>
        <v>0</v>
      </c>
      <c r="SU106" s="14">
        <f t="shared" si="1209"/>
        <v>0</v>
      </c>
      <c r="SV106" s="14">
        <f t="shared" si="1209"/>
        <v>0</v>
      </c>
      <c r="SW106" s="14">
        <f t="shared" si="1209"/>
        <v>0</v>
      </c>
      <c r="SX106" s="14">
        <f t="shared" si="1209"/>
        <v>0</v>
      </c>
      <c r="SY106" s="14">
        <f t="shared" si="1209"/>
        <v>0</v>
      </c>
      <c r="SZ106" s="14">
        <f t="shared" si="1209"/>
        <v>0</v>
      </c>
      <c r="TA106" s="14">
        <f t="shared" si="1209"/>
        <v>0</v>
      </c>
      <c r="TB106" s="14">
        <f t="shared" si="1209"/>
        <v>0</v>
      </c>
      <c r="TC106" s="14">
        <f t="shared" si="1209"/>
        <v>0</v>
      </c>
      <c r="TD106" s="14">
        <f t="shared" si="1209"/>
        <v>1</v>
      </c>
      <c r="TE106" s="14">
        <f t="shared" si="1209"/>
        <v>0</v>
      </c>
      <c r="TF106" s="14">
        <f t="shared" si="1209"/>
        <v>0</v>
      </c>
      <c r="TG106" s="14">
        <f t="shared" si="1209"/>
        <v>0</v>
      </c>
      <c r="TH106" s="14">
        <f t="shared" ref="TH106:UM106" si="1210">IF( AND(EXACT(TH40, "DB_STEER_METHOD_SBW_E"),NOT( EXACT(TH30, "LVC_PIN_IN_E"))), 1, 0)</f>
        <v>0</v>
      </c>
      <c r="TI106" s="14">
        <f t="shared" si="1210"/>
        <v>0</v>
      </c>
      <c r="TJ106" s="14">
        <f t="shared" si="1210"/>
        <v>0</v>
      </c>
      <c r="TK106" s="14">
        <f t="shared" si="1210"/>
        <v>0</v>
      </c>
      <c r="TL106" s="14">
        <f t="shared" si="1210"/>
        <v>0</v>
      </c>
      <c r="TM106" s="14">
        <f t="shared" si="1210"/>
        <v>0</v>
      </c>
      <c r="TN106" s="14">
        <f t="shared" si="1210"/>
        <v>0</v>
      </c>
      <c r="TO106" s="14">
        <f t="shared" si="1210"/>
        <v>0</v>
      </c>
      <c r="TP106" s="14">
        <f t="shared" si="1210"/>
        <v>0</v>
      </c>
      <c r="TQ106" s="14">
        <f t="shared" si="1210"/>
        <v>0</v>
      </c>
      <c r="TR106" s="14">
        <f t="shared" si="1210"/>
        <v>0</v>
      </c>
      <c r="TS106" s="14">
        <f t="shared" si="1210"/>
        <v>0</v>
      </c>
      <c r="TT106" s="14">
        <f t="shared" si="1210"/>
        <v>0</v>
      </c>
      <c r="TU106" s="14">
        <f t="shared" si="1210"/>
        <v>0</v>
      </c>
      <c r="TV106" s="14">
        <f t="shared" si="1210"/>
        <v>0</v>
      </c>
      <c r="TW106" s="14">
        <f t="shared" si="1210"/>
        <v>0</v>
      </c>
      <c r="TX106" s="14">
        <f t="shared" si="1210"/>
        <v>0</v>
      </c>
      <c r="TY106" s="14">
        <f t="shared" si="1210"/>
        <v>0</v>
      </c>
      <c r="TZ106" s="14">
        <f t="shared" si="1210"/>
        <v>0</v>
      </c>
      <c r="UA106" s="14">
        <f t="shared" si="1210"/>
        <v>1</v>
      </c>
      <c r="UB106" s="14">
        <f t="shared" si="1210"/>
        <v>0</v>
      </c>
      <c r="UC106" s="14">
        <f t="shared" si="1210"/>
        <v>1</v>
      </c>
      <c r="UD106" s="14">
        <f t="shared" si="1210"/>
        <v>0</v>
      </c>
      <c r="UE106" s="14">
        <f t="shared" si="1210"/>
        <v>1</v>
      </c>
      <c r="UF106" s="14">
        <f t="shared" si="1210"/>
        <v>0</v>
      </c>
      <c r="UG106" s="14">
        <f t="shared" si="1210"/>
        <v>0</v>
      </c>
      <c r="UH106" s="14">
        <f t="shared" si="1210"/>
        <v>0</v>
      </c>
      <c r="UI106" s="14">
        <f t="shared" si="1210"/>
        <v>0</v>
      </c>
      <c r="UJ106" s="14">
        <f t="shared" si="1210"/>
        <v>0</v>
      </c>
      <c r="UK106" s="14">
        <f t="shared" si="1210"/>
        <v>0</v>
      </c>
      <c r="UL106" s="14">
        <f t="shared" si="1210"/>
        <v>0</v>
      </c>
      <c r="UM106" s="14">
        <f t="shared" si="1210"/>
        <v>0</v>
      </c>
      <c r="UN106" s="14">
        <f t="shared" ref="UN106:VS106" si="1211">IF( AND(EXACT(UN40, "DB_STEER_METHOD_SBW_E"),NOT( EXACT(UN30, "LVC_PIN_IN_E"))), 1, 0)</f>
        <v>0</v>
      </c>
      <c r="UO106" s="14">
        <f t="shared" si="1211"/>
        <v>0</v>
      </c>
      <c r="UP106" s="14">
        <f t="shared" si="1211"/>
        <v>0</v>
      </c>
      <c r="UQ106" s="14">
        <f t="shared" si="1211"/>
        <v>0</v>
      </c>
      <c r="UR106" s="14">
        <f t="shared" si="1211"/>
        <v>0</v>
      </c>
      <c r="US106" s="14">
        <f t="shared" si="1211"/>
        <v>0</v>
      </c>
      <c r="UT106" s="14">
        <f t="shared" si="1211"/>
        <v>1</v>
      </c>
      <c r="UU106" s="14">
        <f t="shared" si="1211"/>
        <v>0</v>
      </c>
      <c r="UV106" s="14">
        <f t="shared" si="1211"/>
        <v>0</v>
      </c>
      <c r="UW106" s="14">
        <f t="shared" si="1211"/>
        <v>0</v>
      </c>
      <c r="UX106" s="14">
        <f t="shared" si="1211"/>
        <v>0</v>
      </c>
      <c r="UY106" s="14">
        <f t="shared" si="1211"/>
        <v>0</v>
      </c>
      <c r="UZ106" s="14">
        <f t="shared" si="1211"/>
        <v>0</v>
      </c>
      <c r="VA106" s="14">
        <f t="shared" si="1211"/>
        <v>0</v>
      </c>
      <c r="VB106" s="14">
        <f t="shared" si="1211"/>
        <v>0</v>
      </c>
      <c r="VC106" s="14">
        <f t="shared" si="1211"/>
        <v>0</v>
      </c>
      <c r="VD106" s="14">
        <f t="shared" si="1211"/>
        <v>0</v>
      </c>
      <c r="VE106" s="14">
        <f t="shared" si="1211"/>
        <v>0</v>
      </c>
      <c r="VF106" s="14">
        <f t="shared" si="1211"/>
        <v>0</v>
      </c>
      <c r="VG106" s="14">
        <f t="shared" si="1211"/>
        <v>0</v>
      </c>
      <c r="VH106" s="14">
        <f t="shared" si="1211"/>
        <v>0</v>
      </c>
      <c r="VI106" s="14">
        <f t="shared" si="1211"/>
        <v>0</v>
      </c>
      <c r="VJ106" s="14">
        <f t="shared" si="1211"/>
        <v>0</v>
      </c>
      <c r="VK106" s="14">
        <f t="shared" si="1211"/>
        <v>0</v>
      </c>
      <c r="VL106" s="14">
        <f t="shared" si="1211"/>
        <v>0</v>
      </c>
      <c r="VM106" s="14">
        <f t="shared" si="1211"/>
        <v>0</v>
      </c>
      <c r="VN106" s="14">
        <f t="shared" si="1211"/>
        <v>0</v>
      </c>
      <c r="VO106" s="14">
        <f t="shared" si="1211"/>
        <v>0</v>
      </c>
      <c r="VP106" s="14">
        <f t="shared" si="1211"/>
        <v>0</v>
      </c>
      <c r="VQ106" s="14">
        <f t="shared" si="1211"/>
        <v>0</v>
      </c>
      <c r="VR106" s="14">
        <f t="shared" si="1211"/>
        <v>0</v>
      </c>
      <c r="VS106" s="14">
        <f t="shared" si="1211"/>
        <v>0</v>
      </c>
      <c r="VT106" s="14">
        <f t="shared" ref="VT106:VZ106" si="1212">IF( AND(EXACT(VT40, "DB_STEER_METHOD_SBW_E"),NOT( EXACT(VT30, "LVC_PIN_IN_E"))), 1, 0)</f>
        <v>0</v>
      </c>
      <c r="VU106" s="14">
        <f t="shared" si="1212"/>
        <v>0</v>
      </c>
      <c r="VV106" s="14">
        <f t="shared" si="1212"/>
        <v>0</v>
      </c>
      <c r="VW106" s="14">
        <f t="shared" si="1212"/>
        <v>0</v>
      </c>
      <c r="VX106" s="14">
        <f t="shared" si="1212"/>
        <v>0</v>
      </c>
      <c r="VY106" s="14">
        <f t="shared" si="1212"/>
        <v>0</v>
      </c>
      <c r="VZ106" s="14">
        <f t="shared" si="1212"/>
        <v>0</v>
      </c>
      <c r="AKQ106" s="14">
        <f t="shared" si="1180"/>
        <v>128</v>
      </c>
    </row>
    <row r="107" spans="1:979" ht="15" customHeight="1" x14ac:dyDescent="0.25">
      <c r="A107" s="14"/>
      <c r="NR107" s="14">
        <f t="shared" si="1170"/>
        <v>256</v>
      </c>
      <c r="NS107" s="14">
        <f t="shared" ref="NS107:OX107" si="1213">IF( AND(EXACT(NS40, "DB_STEER_METHOD_SBW_E"),NOT( EXACT(NS23, "LVC_LOCKED_E"))), 1, 0)</f>
        <v>0</v>
      </c>
      <c r="NT107" s="14">
        <f t="shared" si="1213"/>
        <v>0</v>
      </c>
      <c r="NU107" s="14">
        <f t="shared" si="1213"/>
        <v>0</v>
      </c>
      <c r="NV107" s="14">
        <f t="shared" si="1213"/>
        <v>0</v>
      </c>
      <c r="NW107" s="14">
        <f t="shared" si="1213"/>
        <v>0</v>
      </c>
      <c r="NX107" s="14">
        <f t="shared" si="1213"/>
        <v>1</v>
      </c>
      <c r="NY107" s="14">
        <f t="shared" si="1213"/>
        <v>0</v>
      </c>
      <c r="NZ107" s="14">
        <f t="shared" si="1213"/>
        <v>0</v>
      </c>
      <c r="OA107" s="14">
        <f t="shared" si="1213"/>
        <v>1</v>
      </c>
      <c r="OB107" s="14">
        <f t="shared" si="1213"/>
        <v>0</v>
      </c>
      <c r="OC107" s="14">
        <f t="shared" si="1213"/>
        <v>0</v>
      </c>
      <c r="OD107" s="14">
        <f t="shared" si="1213"/>
        <v>1</v>
      </c>
      <c r="OE107" s="14">
        <f t="shared" si="1213"/>
        <v>1</v>
      </c>
      <c r="OF107" s="14">
        <f t="shared" si="1213"/>
        <v>0</v>
      </c>
      <c r="OG107" s="14">
        <f t="shared" si="1213"/>
        <v>1</v>
      </c>
      <c r="OH107" s="14">
        <f t="shared" si="1213"/>
        <v>0</v>
      </c>
      <c r="OI107" s="14">
        <f t="shared" si="1213"/>
        <v>0</v>
      </c>
      <c r="OJ107" s="14">
        <f t="shared" si="1213"/>
        <v>0</v>
      </c>
      <c r="OK107" s="14">
        <f t="shared" si="1213"/>
        <v>0</v>
      </c>
      <c r="OL107" s="14">
        <f t="shared" si="1213"/>
        <v>0</v>
      </c>
      <c r="OM107" s="14">
        <f t="shared" si="1213"/>
        <v>0</v>
      </c>
      <c r="ON107" s="14">
        <f t="shared" si="1213"/>
        <v>0</v>
      </c>
      <c r="OO107" s="14">
        <f t="shared" si="1213"/>
        <v>0</v>
      </c>
      <c r="OP107" s="14">
        <f t="shared" si="1213"/>
        <v>0</v>
      </c>
      <c r="OQ107" s="14">
        <f t="shared" si="1213"/>
        <v>0</v>
      </c>
      <c r="OR107" s="14">
        <f t="shared" si="1213"/>
        <v>0</v>
      </c>
      <c r="OS107" s="14">
        <f t="shared" si="1213"/>
        <v>0</v>
      </c>
      <c r="OT107" s="14">
        <f t="shared" si="1213"/>
        <v>0</v>
      </c>
      <c r="OU107" s="14">
        <f t="shared" si="1213"/>
        <v>1</v>
      </c>
      <c r="OV107" s="14">
        <f t="shared" si="1213"/>
        <v>0</v>
      </c>
      <c r="OW107" s="14">
        <f t="shared" si="1213"/>
        <v>0</v>
      </c>
      <c r="OX107" s="14">
        <f t="shared" si="1213"/>
        <v>0</v>
      </c>
      <c r="OY107" s="14">
        <f t="shared" ref="OY107:QD107" si="1214">IF( AND(EXACT(OY40, "DB_STEER_METHOD_SBW_E"),NOT( EXACT(OY23, "LVC_LOCKED_E"))), 1, 0)</f>
        <v>0</v>
      </c>
      <c r="OZ107" s="14">
        <f t="shared" si="1214"/>
        <v>0</v>
      </c>
      <c r="PA107" s="14">
        <f t="shared" si="1214"/>
        <v>0</v>
      </c>
      <c r="PB107" s="14">
        <f t="shared" si="1214"/>
        <v>0</v>
      </c>
      <c r="PC107" s="14">
        <f t="shared" si="1214"/>
        <v>0</v>
      </c>
      <c r="PD107" s="14">
        <f t="shared" si="1214"/>
        <v>0</v>
      </c>
      <c r="PE107" s="14">
        <f t="shared" si="1214"/>
        <v>0</v>
      </c>
      <c r="PF107" s="14">
        <f t="shared" si="1214"/>
        <v>0</v>
      </c>
      <c r="PG107" s="14">
        <f t="shared" si="1214"/>
        <v>0</v>
      </c>
      <c r="PH107" s="14">
        <f t="shared" si="1214"/>
        <v>0</v>
      </c>
      <c r="PI107" s="14">
        <f t="shared" si="1214"/>
        <v>0</v>
      </c>
      <c r="PJ107" s="14">
        <f t="shared" si="1214"/>
        <v>0</v>
      </c>
      <c r="PK107" s="14">
        <f t="shared" si="1214"/>
        <v>0</v>
      </c>
      <c r="PL107" s="14">
        <f t="shared" si="1214"/>
        <v>0</v>
      </c>
      <c r="PM107" s="14">
        <f t="shared" si="1214"/>
        <v>0</v>
      </c>
      <c r="PN107" s="14">
        <f t="shared" si="1214"/>
        <v>0</v>
      </c>
      <c r="PO107" s="14">
        <f t="shared" si="1214"/>
        <v>0</v>
      </c>
      <c r="PP107" s="14">
        <f t="shared" si="1214"/>
        <v>0</v>
      </c>
      <c r="PQ107" s="14">
        <f t="shared" si="1214"/>
        <v>0</v>
      </c>
      <c r="PR107" s="14">
        <f t="shared" si="1214"/>
        <v>1</v>
      </c>
      <c r="PS107" s="14">
        <f t="shared" si="1214"/>
        <v>0</v>
      </c>
      <c r="PT107" s="14">
        <f t="shared" si="1214"/>
        <v>1</v>
      </c>
      <c r="PU107" s="14">
        <f t="shared" si="1214"/>
        <v>1</v>
      </c>
      <c r="PV107" s="14">
        <f t="shared" si="1214"/>
        <v>0</v>
      </c>
      <c r="PW107" s="14">
        <f t="shared" si="1214"/>
        <v>1</v>
      </c>
      <c r="PX107" s="14">
        <f t="shared" si="1214"/>
        <v>0</v>
      </c>
      <c r="PY107" s="14">
        <f t="shared" si="1214"/>
        <v>0</v>
      </c>
      <c r="PZ107" s="14">
        <f t="shared" si="1214"/>
        <v>0</v>
      </c>
      <c r="QA107" s="14">
        <f t="shared" si="1214"/>
        <v>0</v>
      </c>
      <c r="QB107" s="14">
        <f t="shared" si="1214"/>
        <v>0</v>
      </c>
      <c r="QC107" s="14">
        <f t="shared" si="1214"/>
        <v>0</v>
      </c>
      <c r="QD107" s="14">
        <f t="shared" si="1214"/>
        <v>0</v>
      </c>
      <c r="QE107" s="14">
        <f t="shared" ref="QE107:RI107" si="1215">IF( AND(EXACT(QE40, "DB_STEER_METHOD_SBW_E"),NOT( EXACT(QE23, "LVC_LOCKED_E"))), 1, 0)</f>
        <v>0</v>
      </c>
      <c r="QF107" s="14">
        <f t="shared" si="1215"/>
        <v>0</v>
      </c>
      <c r="QG107" s="14">
        <f t="shared" si="1215"/>
        <v>0</v>
      </c>
      <c r="QH107" s="14">
        <f t="shared" si="1215"/>
        <v>0</v>
      </c>
      <c r="QI107" s="14">
        <f t="shared" si="1215"/>
        <v>0</v>
      </c>
      <c r="QJ107" s="14">
        <f t="shared" si="1215"/>
        <v>0</v>
      </c>
      <c r="QK107" s="14">
        <f t="shared" si="1215"/>
        <v>0</v>
      </c>
      <c r="QL107" s="14">
        <f t="shared" si="1215"/>
        <v>1</v>
      </c>
      <c r="QM107" s="14">
        <f t="shared" si="1215"/>
        <v>0</v>
      </c>
      <c r="QN107" s="14">
        <f t="shared" si="1215"/>
        <v>0</v>
      </c>
      <c r="QO107" s="14">
        <f t="shared" si="1215"/>
        <v>0</v>
      </c>
      <c r="QP107" s="14">
        <f t="shared" si="1215"/>
        <v>0</v>
      </c>
      <c r="QQ107" s="14">
        <f t="shared" si="1215"/>
        <v>0</v>
      </c>
      <c r="QR107" s="14">
        <f t="shared" si="1215"/>
        <v>0</v>
      </c>
      <c r="QS107" s="14">
        <f t="shared" si="1215"/>
        <v>0</v>
      </c>
      <c r="QT107" s="14">
        <f t="shared" si="1215"/>
        <v>0</v>
      </c>
      <c r="QU107" s="14">
        <f t="shared" si="1215"/>
        <v>0</v>
      </c>
      <c r="QV107" s="14">
        <f t="shared" si="1215"/>
        <v>0</v>
      </c>
      <c r="QW107" s="14">
        <f t="shared" si="1215"/>
        <v>0</v>
      </c>
      <c r="QX107" s="14">
        <f t="shared" si="1215"/>
        <v>0</v>
      </c>
      <c r="QY107" s="14">
        <f t="shared" si="1215"/>
        <v>0</v>
      </c>
      <c r="QZ107" s="14">
        <f t="shared" si="1215"/>
        <v>0</v>
      </c>
      <c r="RA107" s="14">
        <f t="shared" si="1215"/>
        <v>0</v>
      </c>
      <c r="RB107" s="14">
        <f t="shared" si="1215"/>
        <v>0</v>
      </c>
      <c r="RC107" s="14">
        <f t="shared" si="1215"/>
        <v>0</v>
      </c>
      <c r="RD107" s="14">
        <f t="shared" si="1215"/>
        <v>0</v>
      </c>
      <c r="RE107" s="14">
        <f t="shared" si="1215"/>
        <v>0</v>
      </c>
      <c r="RF107" s="14">
        <f t="shared" si="1215"/>
        <v>0</v>
      </c>
      <c r="RG107" s="14">
        <f t="shared" si="1215"/>
        <v>0</v>
      </c>
      <c r="RH107" s="14">
        <f t="shared" si="1215"/>
        <v>0</v>
      </c>
      <c r="RI107" s="14">
        <f t="shared" si="1215"/>
        <v>0</v>
      </c>
      <c r="RJ107" s="14">
        <f t="shared" ref="RJ107:RR107" si="1216">IF( AND(EXACT(RJ40, "DB_STEER_METHOD_SBW_E"),NOT( EXACT(RJ23, "LVC_LOCKED_E"))), 1, 0)</f>
        <v>0</v>
      </c>
      <c r="RK107" s="14">
        <f t="shared" si="1216"/>
        <v>0</v>
      </c>
      <c r="RL107" s="14">
        <f t="shared" si="1216"/>
        <v>0</v>
      </c>
      <c r="RM107" s="14">
        <f t="shared" si="1216"/>
        <v>0</v>
      </c>
      <c r="RN107" s="14">
        <f t="shared" si="1216"/>
        <v>0</v>
      </c>
      <c r="RO107" s="14">
        <f t="shared" si="1216"/>
        <v>0</v>
      </c>
      <c r="RP107" s="14">
        <f t="shared" si="1216"/>
        <v>0</v>
      </c>
      <c r="RQ107" s="14">
        <f t="shared" si="1216"/>
        <v>0</v>
      </c>
      <c r="RR107" s="14">
        <f t="shared" si="1216"/>
        <v>0</v>
      </c>
      <c r="SA107" s="14">
        <f t="shared" si="1175"/>
        <v>256</v>
      </c>
      <c r="SB107" s="14">
        <f t="shared" ref="SB107:TG107" si="1217">IF( AND(EXACT(SB40, "DB_STEER_METHOD_SBW_E"),NOT( EXACT(SB23, "LVC_LOCKED_E"))), 1, 0)</f>
        <v>0</v>
      </c>
      <c r="SC107" s="14">
        <f t="shared" si="1217"/>
        <v>0</v>
      </c>
      <c r="SD107" s="14">
        <f t="shared" si="1217"/>
        <v>0</v>
      </c>
      <c r="SE107" s="14">
        <f t="shared" si="1217"/>
        <v>0</v>
      </c>
      <c r="SF107" s="14">
        <f t="shared" si="1217"/>
        <v>0</v>
      </c>
      <c r="SG107" s="14">
        <f t="shared" si="1217"/>
        <v>1</v>
      </c>
      <c r="SH107" s="14">
        <f t="shared" si="1217"/>
        <v>0</v>
      </c>
      <c r="SI107" s="14">
        <f t="shared" si="1217"/>
        <v>0</v>
      </c>
      <c r="SJ107" s="14">
        <f t="shared" si="1217"/>
        <v>1</v>
      </c>
      <c r="SK107" s="14">
        <f t="shared" si="1217"/>
        <v>0</v>
      </c>
      <c r="SL107" s="14">
        <f t="shared" si="1217"/>
        <v>0</v>
      </c>
      <c r="SM107" s="14">
        <f t="shared" si="1217"/>
        <v>1</v>
      </c>
      <c r="SN107" s="14">
        <f t="shared" si="1217"/>
        <v>1</v>
      </c>
      <c r="SO107" s="14">
        <f t="shared" si="1217"/>
        <v>0</v>
      </c>
      <c r="SP107" s="14">
        <f t="shared" si="1217"/>
        <v>1</v>
      </c>
      <c r="SQ107" s="14">
        <f t="shared" si="1217"/>
        <v>0</v>
      </c>
      <c r="SR107" s="14">
        <f t="shared" si="1217"/>
        <v>0</v>
      </c>
      <c r="SS107" s="14">
        <f t="shared" si="1217"/>
        <v>0</v>
      </c>
      <c r="ST107" s="14">
        <f t="shared" si="1217"/>
        <v>0</v>
      </c>
      <c r="SU107" s="14">
        <f t="shared" si="1217"/>
        <v>0</v>
      </c>
      <c r="SV107" s="14">
        <f t="shared" si="1217"/>
        <v>0</v>
      </c>
      <c r="SW107" s="14">
        <f t="shared" si="1217"/>
        <v>0</v>
      </c>
      <c r="SX107" s="14">
        <f t="shared" si="1217"/>
        <v>0</v>
      </c>
      <c r="SY107" s="14">
        <f t="shared" si="1217"/>
        <v>0</v>
      </c>
      <c r="SZ107" s="14">
        <f t="shared" si="1217"/>
        <v>0</v>
      </c>
      <c r="TA107" s="14">
        <f t="shared" si="1217"/>
        <v>0</v>
      </c>
      <c r="TB107" s="14">
        <f t="shared" si="1217"/>
        <v>0</v>
      </c>
      <c r="TC107" s="14">
        <f t="shared" si="1217"/>
        <v>0</v>
      </c>
      <c r="TD107" s="14">
        <f t="shared" si="1217"/>
        <v>1</v>
      </c>
      <c r="TE107" s="14">
        <f t="shared" si="1217"/>
        <v>0</v>
      </c>
      <c r="TF107" s="14">
        <f t="shared" si="1217"/>
        <v>0</v>
      </c>
      <c r="TG107" s="14">
        <f t="shared" si="1217"/>
        <v>0</v>
      </c>
      <c r="TH107" s="14">
        <f t="shared" ref="TH107:UM107" si="1218">IF( AND(EXACT(TH40, "DB_STEER_METHOD_SBW_E"),NOT( EXACT(TH23, "LVC_LOCKED_E"))), 1, 0)</f>
        <v>0</v>
      </c>
      <c r="TI107" s="14">
        <f t="shared" si="1218"/>
        <v>0</v>
      </c>
      <c r="TJ107" s="14">
        <f t="shared" si="1218"/>
        <v>0</v>
      </c>
      <c r="TK107" s="14">
        <f t="shared" si="1218"/>
        <v>0</v>
      </c>
      <c r="TL107" s="14">
        <f t="shared" si="1218"/>
        <v>0</v>
      </c>
      <c r="TM107" s="14">
        <f t="shared" si="1218"/>
        <v>0</v>
      </c>
      <c r="TN107" s="14">
        <f t="shared" si="1218"/>
        <v>0</v>
      </c>
      <c r="TO107" s="14">
        <f t="shared" si="1218"/>
        <v>0</v>
      </c>
      <c r="TP107" s="14">
        <f t="shared" si="1218"/>
        <v>0</v>
      </c>
      <c r="TQ107" s="14">
        <f t="shared" si="1218"/>
        <v>0</v>
      </c>
      <c r="TR107" s="14">
        <f t="shared" si="1218"/>
        <v>0</v>
      </c>
      <c r="TS107" s="14">
        <f t="shared" si="1218"/>
        <v>0</v>
      </c>
      <c r="TT107" s="14">
        <f t="shared" si="1218"/>
        <v>0</v>
      </c>
      <c r="TU107" s="14">
        <f t="shared" si="1218"/>
        <v>0</v>
      </c>
      <c r="TV107" s="14">
        <f t="shared" si="1218"/>
        <v>0</v>
      </c>
      <c r="TW107" s="14">
        <f t="shared" si="1218"/>
        <v>0</v>
      </c>
      <c r="TX107" s="14">
        <f t="shared" si="1218"/>
        <v>0</v>
      </c>
      <c r="TY107" s="14">
        <f t="shared" si="1218"/>
        <v>0</v>
      </c>
      <c r="TZ107" s="14">
        <f t="shared" si="1218"/>
        <v>1</v>
      </c>
      <c r="UA107" s="14">
        <f t="shared" si="1218"/>
        <v>0</v>
      </c>
      <c r="UB107" s="14">
        <f t="shared" si="1218"/>
        <v>1</v>
      </c>
      <c r="UC107" s="14">
        <f t="shared" si="1218"/>
        <v>1</v>
      </c>
      <c r="UD107" s="14">
        <f t="shared" si="1218"/>
        <v>0</v>
      </c>
      <c r="UE107" s="14">
        <f t="shared" si="1218"/>
        <v>1</v>
      </c>
      <c r="UF107" s="14">
        <f t="shared" si="1218"/>
        <v>0</v>
      </c>
      <c r="UG107" s="14">
        <f t="shared" si="1218"/>
        <v>0</v>
      </c>
      <c r="UH107" s="14">
        <f t="shared" si="1218"/>
        <v>0</v>
      </c>
      <c r="UI107" s="14">
        <f t="shared" si="1218"/>
        <v>0</v>
      </c>
      <c r="UJ107" s="14">
        <f t="shared" si="1218"/>
        <v>0</v>
      </c>
      <c r="UK107" s="14">
        <f t="shared" si="1218"/>
        <v>0</v>
      </c>
      <c r="UL107" s="14">
        <f t="shared" si="1218"/>
        <v>0</v>
      </c>
      <c r="UM107" s="14">
        <f t="shared" si="1218"/>
        <v>0</v>
      </c>
      <c r="UN107" s="14">
        <f t="shared" ref="UN107:VS107" si="1219">IF( AND(EXACT(UN40, "DB_STEER_METHOD_SBW_E"),NOT( EXACT(UN23, "LVC_LOCKED_E"))), 1, 0)</f>
        <v>0</v>
      </c>
      <c r="UO107" s="14">
        <f t="shared" si="1219"/>
        <v>0</v>
      </c>
      <c r="UP107" s="14">
        <f t="shared" si="1219"/>
        <v>0</v>
      </c>
      <c r="UQ107" s="14">
        <f t="shared" si="1219"/>
        <v>0</v>
      </c>
      <c r="UR107" s="14">
        <f t="shared" si="1219"/>
        <v>0</v>
      </c>
      <c r="US107" s="14">
        <f t="shared" si="1219"/>
        <v>0</v>
      </c>
      <c r="UT107" s="14">
        <f t="shared" si="1219"/>
        <v>1</v>
      </c>
      <c r="UU107" s="14">
        <f t="shared" si="1219"/>
        <v>0</v>
      </c>
      <c r="UV107" s="14">
        <f t="shared" si="1219"/>
        <v>0</v>
      </c>
      <c r="UW107" s="14">
        <f t="shared" si="1219"/>
        <v>0</v>
      </c>
      <c r="UX107" s="14">
        <f t="shared" si="1219"/>
        <v>0</v>
      </c>
      <c r="UY107" s="14">
        <f t="shared" si="1219"/>
        <v>0</v>
      </c>
      <c r="UZ107" s="14">
        <f t="shared" si="1219"/>
        <v>0</v>
      </c>
      <c r="VA107" s="14">
        <f t="shared" si="1219"/>
        <v>0</v>
      </c>
      <c r="VB107" s="14">
        <f t="shared" si="1219"/>
        <v>0</v>
      </c>
      <c r="VC107" s="14">
        <f t="shared" si="1219"/>
        <v>0</v>
      </c>
      <c r="VD107" s="14">
        <f t="shared" si="1219"/>
        <v>0</v>
      </c>
      <c r="VE107" s="14">
        <f t="shared" si="1219"/>
        <v>0</v>
      </c>
      <c r="VF107" s="14">
        <f t="shared" si="1219"/>
        <v>0</v>
      </c>
      <c r="VG107" s="14">
        <f t="shared" si="1219"/>
        <v>0</v>
      </c>
      <c r="VH107" s="14">
        <f t="shared" si="1219"/>
        <v>0</v>
      </c>
      <c r="VI107" s="14">
        <f t="shared" si="1219"/>
        <v>0</v>
      </c>
      <c r="VJ107" s="14">
        <f t="shared" si="1219"/>
        <v>0</v>
      </c>
      <c r="VK107" s="14">
        <f t="shared" si="1219"/>
        <v>0</v>
      </c>
      <c r="VL107" s="14">
        <f t="shared" si="1219"/>
        <v>0</v>
      </c>
      <c r="VM107" s="14">
        <f t="shared" si="1219"/>
        <v>0</v>
      </c>
      <c r="VN107" s="14">
        <f t="shared" si="1219"/>
        <v>0</v>
      </c>
      <c r="VO107" s="14">
        <f t="shared" si="1219"/>
        <v>0</v>
      </c>
      <c r="VP107" s="14">
        <f t="shared" si="1219"/>
        <v>0</v>
      </c>
      <c r="VQ107" s="14">
        <f t="shared" si="1219"/>
        <v>0</v>
      </c>
      <c r="VR107" s="14">
        <f t="shared" si="1219"/>
        <v>0</v>
      </c>
      <c r="VS107" s="14">
        <f t="shared" si="1219"/>
        <v>0</v>
      </c>
      <c r="VT107" s="14">
        <f t="shared" ref="VT107:VZ107" si="1220">IF( AND(EXACT(VT40, "DB_STEER_METHOD_SBW_E"),NOT( EXACT(VT23, "LVC_LOCKED_E"))), 1, 0)</f>
        <v>0</v>
      </c>
      <c r="VU107" s="14">
        <f t="shared" si="1220"/>
        <v>0</v>
      </c>
      <c r="VV107" s="14">
        <f t="shared" si="1220"/>
        <v>0</v>
      </c>
      <c r="VW107" s="14">
        <f t="shared" si="1220"/>
        <v>0</v>
      </c>
      <c r="VX107" s="14">
        <f t="shared" si="1220"/>
        <v>0</v>
      </c>
      <c r="VY107" s="14">
        <f t="shared" si="1220"/>
        <v>0</v>
      </c>
      <c r="VZ107" s="14">
        <f t="shared" si="1220"/>
        <v>0</v>
      </c>
      <c r="AKQ107" s="14">
        <f t="shared" si="1180"/>
        <v>256</v>
      </c>
    </row>
    <row r="108" spans="1:979" ht="15" customHeight="1" x14ac:dyDescent="0.25">
      <c r="A108" s="14"/>
      <c r="NR108" s="14">
        <f t="shared" si="1170"/>
        <v>512</v>
      </c>
      <c r="NS108" s="14">
        <f t="shared" ref="NS108:OX108" si="1221">IF( AND(EXACT(NS40, "DB_STEER_METHOD_SBW_E"),NOT(NS38)), 1, 0)</f>
        <v>0</v>
      </c>
      <c r="NT108" s="14">
        <f t="shared" si="1221"/>
        <v>0</v>
      </c>
      <c r="NU108" s="14">
        <f t="shared" si="1221"/>
        <v>0</v>
      </c>
      <c r="NV108" s="14">
        <f t="shared" si="1221"/>
        <v>0</v>
      </c>
      <c r="NW108" s="14">
        <f t="shared" si="1221"/>
        <v>0</v>
      </c>
      <c r="NX108" s="14">
        <f t="shared" si="1221"/>
        <v>1</v>
      </c>
      <c r="NY108" s="14">
        <f t="shared" si="1221"/>
        <v>0</v>
      </c>
      <c r="NZ108" s="14">
        <f t="shared" si="1221"/>
        <v>0</v>
      </c>
      <c r="OA108" s="14">
        <f t="shared" si="1221"/>
        <v>0</v>
      </c>
      <c r="OB108" s="14">
        <f t="shared" si="1221"/>
        <v>0</v>
      </c>
      <c r="OC108" s="14">
        <f t="shared" si="1221"/>
        <v>0</v>
      </c>
      <c r="OD108" s="14">
        <f t="shared" si="1221"/>
        <v>0</v>
      </c>
      <c r="OE108" s="14">
        <f t="shared" si="1221"/>
        <v>0</v>
      </c>
      <c r="OF108" s="14">
        <f t="shared" si="1221"/>
        <v>1</v>
      </c>
      <c r="OG108" s="14">
        <f t="shared" si="1221"/>
        <v>0</v>
      </c>
      <c r="OH108" s="14">
        <f t="shared" si="1221"/>
        <v>0</v>
      </c>
      <c r="OI108" s="14">
        <f t="shared" si="1221"/>
        <v>0</v>
      </c>
      <c r="OJ108" s="14">
        <f t="shared" si="1221"/>
        <v>0</v>
      </c>
      <c r="OK108" s="14">
        <f t="shared" si="1221"/>
        <v>0</v>
      </c>
      <c r="OL108" s="14">
        <f t="shared" si="1221"/>
        <v>0</v>
      </c>
      <c r="OM108" s="14">
        <f t="shared" si="1221"/>
        <v>0</v>
      </c>
      <c r="ON108" s="14">
        <f t="shared" si="1221"/>
        <v>0</v>
      </c>
      <c r="OO108" s="14">
        <f t="shared" si="1221"/>
        <v>0</v>
      </c>
      <c r="OP108" s="14">
        <f t="shared" si="1221"/>
        <v>0</v>
      </c>
      <c r="OQ108" s="14">
        <f t="shared" si="1221"/>
        <v>0</v>
      </c>
      <c r="OR108" s="14">
        <f t="shared" si="1221"/>
        <v>0</v>
      </c>
      <c r="OS108" s="14">
        <f t="shared" si="1221"/>
        <v>0</v>
      </c>
      <c r="OT108" s="14">
        <f t="shared" si="1221"/>
        <v>0</v>
      </c>
      <c r="OU108" s="14">
        <f t="shared" si="1221"/>
        <v>0</v>
      </c>
      <c r="OV108" s="14">
        <f t="shared" si="1221"/>
        <v>0</v>
      </c>
      <c r="OW108" s="14">
        <f t="shared" si="1221"/>
        <v>0</v>
      </c>
      <c r="OX108" s="14">
        <f t="shared" si="1221"/>
        <v>0</v>
      </c>
      <c r="OY108" s="14">
        <f t="shared" ref="OY108:QD108" si="1222">IF( AND(EXACT(OY40, "DB_STEER_METHOD_SBW_E"),NOT(OY38)), 1, 0)</f>
        <v>0</v>
      </c>
      <c r="OZ108" s="14">
        <f t="shared" si="1222"/>
        <v>0</v>
      </c>
      <c r="PA108" s="14">
        <f t="shared" si="1222"/>
        <v>0</v>
      </c>
      <c r="PB108" s="14">
        <f t="shared" si="1222"/>
        <v>0</v>
      </c>
      <c r="PC108" s="14">
        <f t="shared" si="1222"/>
        <v>0</v>
      </c>
      <c r="PD108" s="14">
        <f t="shared" si="1222"/>
        <v>0</v>
      </c>
      <c r="PE108" s="14">
        <f t="shared" si="1222"/>
        <v>0</v>
      </c>
      <c r="PF108" s="14">
        <f t="shared" si="1222"/>
        <v>0</v>
      </c>
      <c r="PG108" s="14">
        <f t="shared" si="1222"/>
        <v>0</v>
      </c>
      <c r="PH108" s="14">
        <f t="shared" si="1222"/>
        <v>0</v>
      </c>
      <c r="PI108" s="14">
        <f t="shared" si="1222"/>
        <v>0</v>
      </c>
      <c r="PJ108" s="14">
        <f t="shared" si="1222"/>
        <v>0</v>
      </c>
      <c r="PK108" s="14">
        <f t="shared" si="1222"/>
        <v>0</v>
      </c>
      <c r="PL108" s="14">
        <f t="shared" si="1222"/>
        <v>0</v>
      </c>
      <c r="PM108" s="14">
        <f t="shared" si="1222"/>
        <v>0</v>
      </c>
      <c r="PN108" s="14">
        <f t="shared" si="1222"/>
        <v>0</v>
      </c>
      <c r="PO108" s="14">
        <f t="shared" si="1222"/>
        <v>0</v>
      </c>
      <c r="PP108" s="14">
        <f t="shared" si="1222"/>
        <v>0</v>
      </c>
      <c r="PQ108" s="14">
        <f t="shared" si="1222"/>
        <v>0</v>
      </c>
      <c r="PR108" s="14">
        <f t="shared" si="1222"/>
        <v>1</v>
      </c>
      <c r="PS108" s="14">
        <f t="shared" si="1222"/>
        <v>0</v>
      </c>
      <c r="PT108" s="14">
        <f t="shared" si="1222"/>
        <v>0</v>
      </c>
      <c r="PU108" s="14">
        <f t="shared" si="1222"/>
        <v>1</v>
      </c>
      <c r="PV108" s="14">
        <f t="shared" si="1222"/>
        <v>0</v>
      </c>
      <c r="PW108" s="14">
        <f t="shared" si="1222"/>
        <v>1</v>
      </c>
      <c r="PX108" s="14">
        <f t="shared" si="1222"/>
        <v>0</v>
      </c>
      <c r="PY108" s="14">
        <f t="shared" si="1222"/>
        <v>0</v>
      </c>
      <c r="PZ108" s="14">
        <f t="shared" si="1222"/>
        <v>0</v>
      </c>
      <c r="QA108" s="14">
        <f t="shared" si="1222"/>
        <v>0</v>
      </c>
      <c r="QB108" s="14">
        <f t="shared" si="1222"/>
        <v>0</v>
      </c>
      <c r="QC108" s="14">
        <f t="shared" si="1222"/>
        <v>0</v>
      </c>
      <c r="QD108" s="14">
        <f t="shared" si="1222"/>
        <v>0</v>
      </c>
      <c r="QE108" s="14">
        <f t="shared" ref="QE108:RI108" si="1223">IF( AND(EXACT(QE40, "DB_STEER_METHOD_SBW_E"),NOT(QE38)), 1, 0)</f>
        <v>0</v>
      </c>
      <c r="QF108" s="14">
        <f t="shared" si="1223"/>
        <v>0</v>
      </c>
      <c r="QG108" s="14">
        <f t="shared" si="1223"/>
        <v>0</v>
      </c>
      <c r="QH108" s="14">
        <f t="shared" si="1223"/>
        <v>0</v>
      </c>
      <c r="QI108" s="14">
        <f t="shared" si="1223"/>
        <v>0</v>
      </c>
      <c r="QJ108" s="14">
        <f t="shared" si="1223"/>
        <v>0</v>
      </c>
      <c r="QK108" s="14">
        <f t="shared" si="1223"/>
        <v>0</v>
      </c>
      <c r="QL108" s="14">
        <f t="shared" si="1223"/>
        <v>1</v>
      </c>
      <c r="QM108" s="14">
        <f t="shared" si="1223"/>
        <v>0</v>
      </c>
      <c r="QN108" s="14">
        <f t="shared" si="1223"/>
        <v>0</v>
      </c>
      <c r="QO108" s="14">
        <f t="shared" si="1223"/>
        <v>0</v>
      </c>
      <c r="QP108" s="14">
        <f t="shared" si="1223"/>
        <v>0</v>
      </c>
      <c r="QQ108" s="14">
        <f t="shared" si="1223"/>
        <v>0</v>
      </c>
      <c r="QR108" s="14">
        <f t="shared" si="1223"/>
        <v>0</v>
      </c>
      <c r="QS108" s="14">
        <f t="shared" si="1223"/>
        <v>0</v>
      </c>
      <c r="QT108" s="14">
        <f t="shared" si="1223"/>
        <v>0</v>
      </c>
      <c r="QU108" s="14">
        <f t="shared" si="1223"/>
        <v>0</v>
      </c>
      <c r="QV108" s="14">
        <f t="shared" si="1223"/>
        <v>0</v>
      </c>
      <c r="QW108" s="14">
        <f t="shared" si="1223"/>
        <v>0</v>
      </c>
      <c r="QX108" s="14">
        <f t="shared" si="1223"/>
        <v>0</v>
      </c>
      <c r="QY108" s="14">
        <f t="shared" si="1223"/>
        <v>0</v>
      </c>
      <c r="QZ108" s="14">
        <f t="shared" si="1223"/>
        <v>0</v>
      </c>
      <c r="RA108" s="14">
        <f t="shared" si="1223"/>
        <v>0</v>
      </c>
      <c r="RB108" s="14">
        <f t="shared" si="1223"/>
        <v>0</v>
      </c>
      <c r="RC108" s="14">
        <f t="shared" si="1223"/>
        <v>0</v>
      </c>
      <c r="RD108" s="14">
        <f t="shared" si="1223"/>
        <v>0</v>
      </c>
      <c r="RE108" s="14">
        <f t="shared" si="1223"/>
        <v>0</v>
      </c>
      <c r="RF108" s="14">
        <f t="shared" si="1223"/>
        <v>0</v>
      </c>
      <c r="RG108" s="14">
        <f t="shared" si="1223"/>
        <v>0</v>
      </c>
      <c r="RH108" s="14">
        <f t="shared" si="1223"/>
        <v>0</v>
      </c>
      <c r="RI108" s="14">
        <f t="shared" si="1223"/>
        <v>0</v>
      </c>
      <c r="RJ108" s="14">
        <f t="shared" ref="RJ108:RR108" si="1224">IF( AND(EXACT(RJ40, "DB_STEER_METHOD_SBW_E"),NOT(RJ38)), 1, 0)</f>
        <v>0</v>
      </c>
      <c r="RK108" s="14">
        <f t="shared" si="1224"/>
        <v>0</v>
      </c>
      <c r="RL108" s="14">
        <f t="shared" si="1224"/>
        <v>0</v>
      </c>
      <c r="RM108" s="14">
        <f t="shared" si="1224"/>
        <v>0</v>
      </c>
      <c r="RN108" s="14">
        <f t="shared" si="1224"/>
        <v>0</v>
      </c>
      <c r="RO108" s="14">
        <f t="shared" si="1224"/>
        <v>0</v>
      </c>
      <c r="RP108" s="14">
        <f t="shared" si="1224"/>
        <v>0</v>
      </c>
      <c r="RQ108" s="14">
        <f t="shared" si="1224"/>
        <v>0</v>
      </c>
      <c r="RR108" s="14">
        <f t="shared" si="1224"/>
        <v>0</v>
      </c>
      <c r="SA108" s="14">
        <f t="shared" si="1175"/>
        <v>512</v>
      </c>
      <c r="SB108" s="14">
        <f t="shared" ref="SB108:TG108" si="1225">IF( AND(EXACT(SB40, "DB_STEER_METHOD_SBW_E"),NOT(SB38)), 1, 0)</f>
        <v>0</v>
      </c>
      <c r="SC108" s="14">
        <f t="shared" si="1225"/>
        <v>0</v>
      </c>
      <c r="SD108" s="14">
        <f t="shared" si="1225"/>
        <v>0</v>
      </c>
      <c r="SE108" s="14">
        <f t="shared" si="1225"/>
        <v>0</v>
      </c>
      <c r="SF108" s="14">
        <f t="shared" si="1225"/>
        <v>0</v>
      </c>
      <c r="SG108" s="14">
        <f t="shared" si="1225"/>
        <v>1</v>
      </c>
      <c r="SH108" s="14">
        <f t="shared" si="1225"/>
        <v>0</v>
      </c>
      <c r="SI108" s="14">
        <f t="shared" si="1225"/>
        <v>0</v>
      </c>
      <c r="SJ108" s="14">
        <f t="shared" si="1225"/>
        <v>0</v>
      </c>
      <c r="SK108" s="14">
        <f t="shared" si="1225"/>
        <v>0</v>
      </c>
      <c r="SL108" s="14">
        <f t="shared" si="1225"/>
        <v>0</v>
      </c>
      <c r="SM108" s="14">
        <f t="shared" si="1225"/>
        <v>0</v>
      </c>
      <c r="SN108" s="14">
        <f t="shared" si="1225"/>
        <v>0</v>
      </c>
      <c r="SO108" s="14">
        <f t="shared" si="1225"/>
        <v>1</v>
      </c>
      <c r="SP108" s="14">
        <f t="shared" si="1225"/>
        <v>0</v>
      </c>
      <c r="SQ108" s="14">
        <f t="shared" si="1225"/>
        <v>0</v>
      </c>
      <c r="SR108" s="14">
        <f t="shared" si="1225"/>
        <v>0</v>
      </c>
      <c r="SS108" s="14">
        <f t="shared" si="1225"/>
        <v>0</v>
      </c>
      <c r="ST108" s="14">
        <f t="shared" si="1225"/>
        <v>0</v>
      </c>
      <c r="SU108" s="14">
        <f t="shared" si="1225"/>
        <v>0</v>
      </c>
      <c r="SV108" s="14">
        <f t="shared" si="1225"/>
        <v>0</v>
      </c>
      <c r="SW108" s="14">
        <f t="shared" si="1225"/>
        <v>0</v>
      </c>
      <c r="SX108" s="14">
        <f t="shared" si="1225"/>
        <v>0</v>
      </c>
      <c r="SY108" s="14">
        <f t="shared" si="1225"/>
        <v>0</v>
      </c>
      <c r="SZ108" s="14">
        <f t="shared" si="1225"/>
        <v>0</v>
      </c>
      <c r="TA108" s="14">
        <f t="shared" si="1225"/>
        <v>0</v>
      </c>
      <c r="TB108" s="14">
        <f t="shared" si="1225"/>
        <v>0</v>
      </c>
      <c r="TC108" s="14">
        <f t="shared" si="1225"/>
        <v>0</v>
      </c>
      <c r="TD108" s="14">
        <f t="shared" si="1225"/>
        <v>0</v>
      </c>
      <c r="TE108" s="14">
        <f t="shared" si="1225"/>
        <v>0</v>
      </c>
      <c r="TF108" s="14">
        <f t="shared" si="1225"/>
        <v>0</v>
      </c>
      <c r="TG108" s="14">
        <f t="shared" si="1225"/>
        <v>0</v>
      </c>
      <c r="TH108" s="14">
        <f t="shared" ref="TH108:UM108" si="1226">IF( AND(EXACT(TH40, "DB_STEER_METHOD_SBW_E"),NOT(TH38)), 1, 0)</f>
        <v>0</v>
      </c>
      <c r="TI108" s="14">
        <f t="shared" si="1226"/>
        <v>0</v>
      </c>
      <c r="TJ108" s="14">
        <f t="shared" si="1226"/>
        <v>0</v>
      </c>
      <c r="TK108" s="14">
        <f t="shared" si="1226"/>
        <v>0</v>
      </c>
      <c r="TL108" s="14">
        <f t="shared" si="1226"/>
        <v>0</v>
      </c>
      <c r="TM108" s="14">
        <f t="shared" si="1226"/>
        <v>0</v>
      </c>
      <c r="TN108" s="14">
        <f t="shared" si="1226"/>
        <v>0</v>
      </c>
      <c r="TO108" s="14">
        <f t="shared" si="1226"/>
        <v>0</v>
      </c>
      <c r="TP108" s="14">
        <f t="shared" si="1226"/>
        <v>0</v>
      </c>
      <c r="TQ108" s="14">
        <f t="shared" si="1226"/>
        <v>0</v>
      </c>
      <c r="TR108" s="14">
        <f t="shared" si="1226"/>
        <v>0</v>
      </c>
      <c r="TS108" s="14">
        <f t="shared" si="1226"/>
        <v>0</v>
      </c>
      <c r="TT108" s="14">
        <f t="shared" si="1226"/>
        <v>0</v>
      </c>
      <c r="TU108" s="14">
        <f t="shared" si="1226"/>
        <v>0</v>
      </c>
      <c r="TV108" s="14">
        <f t="shared" si="1226"/>
        <v>0</v>
      </c>
      <c r="TW108" s="14">
        <f t="shared" si="1226"/>
        <v>0</v>
      </c>
      <c r="TX108" s="14">
        <f t="shared" si="1226"/>
        <v>0</v>
      </c>
      <c r="TY108" s="14">
        <f t="shared" si="1226"/>
        <v>0</v>
      </c>
      <c r="TZ108" s="14">
        <f t="shared" si="1226"/>
        <v>1</v>
      </c>
      <c r="UA108" s="14">
        <f t="shared" si="1226"/>
        <v>0</v>
      </c>
      <c r="UB108" s="14">
        <f t="shared" si="1226"/>
        <v>0</v>
      </c>
      <c r="UC108" s="14">
        <f t="shared" si="1226"/>
        <v>1</v>
      </c>
      <c r="UD108" s="14">
        <f t="shared" si="1226"/>
        <v>0</v>
      </c>
      <c r="UE108" s="14">
        <f t="shared" si="1226"/>
        <v>1</v>
      </c>
      <c r="UF108" s="14">
        <f t="shared" si="1226"/>
        <v>0</v>
      </c>
      <c r="UG108" s="14">
        <f t="shared" si="1226"/>
        <v>0</v>
      </c>
      <c r="UH108" s="14">
        <f t="shared" si="1226"/>
        <v>0</v>
      </c>
      <c r="UI108" s="14">
        <f t="shared" si="1226"/>
        <v>0</v>
      </c>
      <c r="UJ108" s="14">
        <f t="shared" si="1226"/>
        <v>0</v>
      </c>
      <c r="UK108" s="14">
        <f t="shared" si="1226"/>
        <v>0</v>
      </c>
      <c r="UL108" s="14">
        <f t="shared" si="1226"/>
        <v>0</v>
      </c>
      <c r="UM108" s="14">
        <f t="shared" si="1226"/>
        <v>0</v>
      </c>
      <c r="UN108" s="14">
        <f t="shared" ref="UN108:VS108" si="1227">IF( AND(EXACT(UN40, "DB_STEER_METHOD_SBW_E"),NOT(UN38)), 1, 0)</f>
        <v>0</v>
      </c>
      <c r="UO108" s="14">
        <f t="shared" si="1227"/>
        <v>0</v>
      </c>
      <c r="UP108" s="14">
        <f t="shared" si="1227"/>
        <v>0</v>
      </c>
      <c r="UQ108" s="14">
        <f t="shared" si="1227"/>
        <v>0</v>
      </c>
      <c r="UR108" s="14">
        <f t="shared" si="1227"/>
        <v>0</v>
      </c>
      <c r="US108" s="14">
        <f t="shared" si="1227"/>
        <v>0</v>
      </c>
      <c r="UT108" s="14">
        <f t="shared" si="1227"/>
        <v>1</v>
      </c>
      <c r="UU108" s="14">
        <f t="shared" si="1227"/>
        <v>0</v>
      </c>
      <c r="UV108" s="14">
        <f t="shared" si="1227"/>
        <v>0</v>
      </c>
      <c r="UW108" s="14">
        <f t="shared" si="1227"/>
        <v>0</v>
      </c>
      <c r="UX108" s="14">
        <f t="shared" si="1227"/>
        <v>0</v>
      </c>
      <c r="UY108" s="14">
        <f t="shared" si="1227"/>
        <v>0</v>
      </c>
      <c r="UZ108" s="14">
        <f t="shared" si="1227"/>
        <v>0</v>
      </c>
      <c r="VA108" s="14">
        <f t="shared" si="1227"/>
        <v>0</v>
      </c>
      <c r="VB108" s="14">
        <f t="shared" si="1227"/>
        <v>0</v>
      </c>
      <c r="VC108" s="14">
        <f t="shared" si="1227"/>
        <v>0</v>
      </c>
      <c r="VD108" s="14">
        <f t="shared" si="1227"/>
        <v>0</v>
      </c>
      <c r="VE108" s="14">
        <f t="shared" si="1227"/>
        <v>0</v>
      </c>
      <c r="VF108" s="14">
        <f t="shared" si="1227"/>
        <v>0</v>
      </c>
      <c r="VG108" s="14">
        <f t="shared" si="1227"/>
        <v>0</v>
      </c>
      <c r="VH108" s="14">
        <f t="shared" si="1227"/>
        <v>0</v>
      </c>
      <c r="VI108" s="14">
        <f t="shared" si="1227"/>
        <v>0</v>
      </c>
      <c r="VJ108" s="14">
        <f t="shared" si="1227"/>
        <v>0</v>
      </c>
      <c r="VK108" s="14">
        <f t="shared" si="1227"/>
        <v>0</v>
      </c>
      <c r="VL108" s="14">
        <f t="shared" si="1227"/>
        <v>0</v>
      </c>
      <c r="VM108" s="14">
        <f t="shared" si="1227"/>
        <v>0</v>
      </c>
      <c r="VN108" s="14">
        <f t="shared" si="1227"/>
        <v>0</v>
      </c>
      <c r="VO108" s="14">
        <f t="shared" si="1227"/>
        <v>0</v>
      </c>
      <c r="VP108" s="14">
        <f t="shared" si="1227"/>
        <v>0</v>
      </c>
      <c r="VQ108" s="14">
        <f t="shared" si="1227"/>
        <v>0</v>
      </c>
      <c r="VR108" s="14">
        <f t="shared" si="1227"/>
        <v>0</v>
      </c>
      <c r="VS108" s="14">
        <f t="shared" si="1227"/>
        <v>0</v>
      </c>
      <c r="VT108" s="14">
        <f t="shared" ref="VT108:VZ108" si="1228">IF( AND(EXACT(VT40, "DB_STEER_METHOD_SBW_E"),NOT(VT38)), 1, 0)</f>
        <v>0</v>
      </c>
      <c r="VU108" s="14">
        <f t="shared" si="1228"/>
        <v>0</v>
      </c>
      <c r="VV108" s="14">
        <f t="shared" si="1228"/>
        <v>0</v>
      </c>
      <c r="VW108" s="14">
        <f t="shared" si="1228"/>
        <v>0</v>
      </c>
      <c r="VX108" s="14">
        <f t="shared" si="1228"/>
        <v>0</v>
      </c>
      <c r="VY108" s="14">
        <f t="shared" si="1228"/>
        <v>0</v>
      </c>
      <c r="VZ108" s="14">
        <f t="shared" si="1228"/>
        <v>0</v>
      </c>
      <c r="AKQ108" s="14">
        <f t="shared" si="1180"/>
        <v>512</v>
      </c>
    </row>
    <row r="109" spans="1:979" ht="15" customHeight="1" x14ac:dyDescent="0.25">
      <c r="A109" s="14"/>
      <c r="NR109" s="14">
        <f t="shared" si="1170"/>
        <v>1024</v>
      </c>
      <c r="NS109" s="14">
        <v>0</v>
      </c>
      <c r="NT109" s="14">
        <v>0</v>
      </c>
      <c r="NU109" s="14">
        <v>0</v>
      </c>
      <c r="NV109" s="14">
        <v>0</v>
      </c>
      <c r="NW109" s="14">
        <v>0</v>
      </c>
      <c r="NX109" s="14">
        <v>0</v>
      </c>
      <c r="NY109" s="14">
        <v>0</v>
      </c>
      <c r="NZ109" s="14">
        <v>0</v>
      </c>
      <c r="OA109" s="14">
        <v>0</v>
      </c>
      <c r="OB109" s="14">
        <v>0</v>
      </c>
      <c r="OC109" s="14">
        <v>0</v>
      </c>
      <c r="OD109" s="14">
        <v>0</v>
      </c>
      <c r="OE109" s="14">
        <v>0</v>
      </c>
      <c r="OF109" s="14">
        <v>0</v>
      </c>
      <c r="OG109" s="14">
        <v>0</v>
      </c>
      <c r="OH109" s="14">
        <v>0</v>
      </c>
      <c r="OI109" s="14">
        <v>0</v>
      </c>
      <c r="OJ109" s="14">
        <v>0</v>
      </c>
      <c r="OK109" s="14">
        <v>0</v>
      </c>
      <c r="OL109" s="14">
        <v>0</v>
      </c>
      <c r="OM109" s="14">
        <v>0</v>
      </c>
      <c r="ON109" s="14">
        <v>0</v>
      </c>
      <c r="OO109" s="14">
        <v>0</v>
      </c>
      <c r="OP109" s="14">
        <v>0</v>
      </c>
      <c r="OQ109" s="14">
        <v>0</v>
      </c>
      <c r="OR109" s="14">
        <v>0</v>
      </c>
      <c r="OS109" s="14">
        <v>0</v>
      </c>
      <c r="OT109" s="14">
        <v>0</v>
      </c>
      <c r="OU109" s="14">
        <v>0</v>
      </c>
      <c r="OV109" s="14">
        <v>0</v>
      </c>
      <c r="OW109" s="14">
        <v>0</v>
      </c>
      <c r="OX109" s="14">
        <v>0</v>
      </c>
      <c r="OY109" s="14">
        <v>0</v>
      </c>
      <c r="OZ109" s="14">
        <v>0</v>
      </c>
      <c r="PA109" s="14">
        <v>0</v>
      </c>
      <c r="PB109" s="14">
        <v>0</v>
      </c>
      <c r="PC109" s="14">
        <v>0</v>
      </c>
      <c r="PD109" s="14">
        <v>0</v>
      </c>
      <c r="PE109" s="14">
        <v>0</v>
      </c>
      <c r="PF109" s="14">
        <v>0</v>
      </c>
      <c r="PG109" s="14">
        <v>0</v>
      </c>
      <c r="PH109" s="14">
        <v>0</v>
      </c>
      <c r="PI109" s="14">
        <v>0</v>
      </c>
      <c r="PJ109" s="14">
        <v>0</v>
      </c>
      <c r="PK109" s="14">
        <v>0</v>
      </c>
      <c r="PL109" s="14">
        <v>0</v>
      </c>
      <c r="PM109" s="14">
        <v>0</v>
      </c>
      <c r="PN109" s="14">
        <v>0</v>
      </c>
      <c r="PO109" s="14">
        <v>0</v>
      </c>
      <c r="PP109" s="14">
        <v>0</v>
      </c>
      <c r="PQ109" s="14">
        <v>0</v>
      </c>
      <c r="PR109" s="14">
        <v>0</v>
      </c>
      <c r="PS109" s="14">
        <v>0</v>
      </c>
      <c r="PT109" s="14">
        <v>0</v>
      </c>
      <c r="PU109" s="14">
        <v>0</v>
      </c>
      <c r="PV109" s="14">
        <v>0</v>
      </c>
      <c r="PW109" s="14">
        <v>0</v>
      </c>
      <c r="PX109" s="14">
        <v>0</v>
      </c>
      <c r="PY109" s="14">
        <v>0</v>
      </c>
      <c r="PZ109" s="14">
        <v>0</v>
      </c>
      <c r="QA109" s="14">
        <v>0</v>
      </c>
      <c r="QB109" s="14">
        <v>0</v>
      </c>
      <c r="QC109" s="14">
        <v>0</v>
      </c>
      <c r="QD109" s="14">
        <v>0</v>
      </c>
      <c r="QE109" s="14">
        <v>0</v>
      </c>
      <c r="QF109" s="14">
        <v>0</v>
      </c>
      <c r="QG109" s="14">
        <v>0</v>
      </c>
      <c r="QH109" s="14">
        <v>0</v>
      </c>
      <c r="QI109" s="14">
        <v>0</v>
      </c>
      <c r="QJ109" s="14">
        <v>0</v>
      </c>
      <c r="QK109" s="14">
        <v>0</v>
      </c>
      <c r="QL109" s="14">
        <v>0</v>
      </c>
      <c r="QM109" s="14">
        <v>0</v>
      </c>
      <c r="QN109" s="14">
        <v>0</v>
      </c>
      <c r="QO109" s="14">
        <v>0</v>
      </c>
      <c r="QP109" s="14">
        <v>0</v>
      </c>
      <c r="QQ109" s="14">
        <v>0</v>
      </c>
      <c r="QR109" s="14">
        <v>0</v>
      </c>
      <c r="QS109" s="14">
        <v>0</v>
      </c>
      <c r="QT109" s="14">
        <v>0</v>
      </c>
      <c r="QU109" s="14">
        <v>0</v>
      </c>
      <c r="QV109" s="14">
        <v>0</v>
      </c>
      <c r="QW109" s="14">
        <v>0</v>
      </c>
      <c r="QX109" s="14">
        <v>0</v>
      </c>
      <c r="QY109" s="14">
        <v>0</v>
      </c>
      <c r="QZ109" s="14">
        <v>0</v>
      </c>
      <c r="RA109" s="14">
        <v>0</v>
      </c>
      <c r="RB109" s="14">
        <v>0</v>
      </c>
      <c r="RC109" s="14">
        <v>0</v>
      </c>
      <c r="RD109" s="14">
        <v>0</v>
      </c>
      <c r="RE109" s="14">
        <v>0</v>
      </c>
      <c r="RF109" s="14">
        <v>0</v>
      </c>
      <c r="RG109" s="14">
        <v>0</v>
      </c>
      <c r="RH109" s="14">
        <v>0</v>
      </c>
      <c r="RI109" s="14">
        <v>0</v>
      </c>
      <c r="RJ109" s="14">
        <v>0</v>
      </c>
      <c r="RK109" s="14">
        <v>0</v>
      </c>
      <c r="RL109" s="14">
        <v>0</v>
      </c>
      <c r="RM109" s="14">
        <v>0</v>
      </c>
      <c r="RN109" s="14">
        <v>0</v>
      </c>
      <c r="RO109" s="14">
        <v>0</v>
      </c>
      <c r="RP109" s="14">
        <v>0</v>
      </c>
      <c r="RQ109" s="14">
        <v>0</v>
      </c>
      <c r="RR109" s="14">
        <v>0</v>
      </c>
      <c r="SA109" s="14">
        <f t="shared" si="1175"/>
        <v>1024</v>
      </c>
      <c r="SB109" s="14">
        <v>0</v>
      </c>
      <c r="SC109" s="14">
        <v>0</v>
      </c>
      <c r="SD109" s="14">
        <v>0</v>
      </c>
      <c r="SE109" s="14">
        <v>0</v>
      </c>
      <c r="SF109" s="14">
        <v>0</v>
      </c>
      <c r="SG109" s="14">
        <v>0</v>
      </c>
      <c r="SH109" s="14">
        <v>0</v>
      </c>
      <c r="SI109" s="14">
        <v>0</v>
      </c>
      <c r="SJ109" s="14">
        <v>0</v>
      </c>
      <c r="SK109" s="14">
        <v>0</v>
      </c>
      <c r="SL109" s="14">
        <v>0</v>
      </c>
      <c r="SM109" s="14">
        <v>0</v>
      </c>
      <c r="SN109" s="14">
        <v>0</v>
      </c>
      <c r="SO109" s="14">
        <v>0</v>
      </c>
      <c r="SP109" s="14">
        <v>0</v>
      </c>
      <c r="SQ109" s="14">
        <v>0</v>
      </c>
      <c r="SR109" s="14">
        <v>0</v>
      </c>
      <c r="SS109" s="14">
        <v>0</v>
      </c>
      <c r="ST109" s="14">
        <v>0</v>
      </c>
      <c r="SU109" s="14">
        <v>0</v>
      </c>
      <c r="SV109" s="14">
        <v>0</v>
      </c>
      <c r="SW109" s="14">
        <v>0</v>
      </c>
      <c r="SX109" s="14">
        <v>0</v>
      </c>
      <c r="SY109" s="14">
        <v>0</v>
      </c>
      <c r="SZ109" s="14">
        <v>0</v>
      </c>
      <c r="TA109" s="14">
        <v>0</v>
      </c>
      <c r="TB109" s="14">
        <v>0</v>
      </c>
      <c r="TC109" s="14">
        <v>0</v>
      </c>
      <c r="TD109" s="14">
        <v>0</v>
      </c>
      <c r="TE109" s="14">
        <v>0</v>
      </c>
      <c r="TF109" s="14">
        <v>0</v>
      </c>
      <c r="TG109" s="14">
        <v>0</v>
      </c>
      <c r="TH109" s="14">
        <v>0</v>
      </c>
      <c r="TI109" s="14">
        <v>0</v>
      </c>
      <c r="TJ109" s="14">
        <v>0</v>
      </c>
      <c r="TK109" s="14">
        <v>0</v>
      </c>
      <c r="TL109" s="14">
        <v>0</v>
      </c>
      <c r="TM109" s="14">
        <v>0</v>
      </c>
      <c r="TN109" s="14">
        <v>0</v>
      </c>
      <c r="TO109" s="14">
        <v>0</v>
      </c>
      <c r="TP109" s="14">
        <v>0</v>
      </c>
      <c r="TQ109" s="14">
        <v>0</v>
      </c>
      <c r="TR109" s="14">
        <v>0</v>
      </c>
      <c r="TS109" s="14">
        <v>0</v>
      </c>
      <c r="TT109" s="14">
        <v>0</v>
      </c>
      <c r="TU109" s="14">
        <v>0</v>
      </c>
      <c r="TV109" s="14">
        <v>0</v>
      </c>
      <c r="TW109" s="14">
        <v>0</v>
      </c>
      <c r="TX109" s="14">
        <v>0</v>
      </c>
      <c r="TY109" s="14">
        <v>0</v>
      </c>
      <c r="TZ109" s="14">
        <v>0</v>
      </c>
      <c r="UA109" s="14">
        <v>0</v>
      </c>
      <c r="UB109" s="14">
        <v>0</v>
      </c>
      <c r="UC109" s="14">
        <v>0</v>
      </c>
      <c r="UD109" s="14">
        <v>0</v>
      </c>
      <c r="UE109" s="14">
        <v>0</v>
      </c>
      <c r="UF109" s="14">
        <v>0</v>
      </c>
      <c r="UG109" s="14">
        <v>0</v>
      </c>
      <c r="UH109" s="14">
        <v>0</v>
      </c>
      <c r="UI109" s="14">
        <v>0</v>
      </c>
      <c r="UJ109" s="14">
        <v>0</v>
      </c>
      <c r="UK109" s="14">
        <v>0</v>
      </c>
      <c r="UL109" s="14">
        <v>0</v>
      </c>
      <c r="UM109" s="14">
        <v>0</v>
      </c>
      <c r="UN109" s="14">
        <v>0</v>
      </c>
      <c r="UO109" s="14">
        <v>0</v>
      </c>
      <c r="UP109" s="14">
        <v>0</v>
      </c>
      <c r="UQ109" s="14">
        <v>0</v>
      </c>
      <c r="UR109" s="14">
        <v>0</v>
      </c>
      <c r="US109" s="14">
        <v>0</v>
      </c>
      <c r="UT109" s="14">
        <v>0</v>
      </c>
      <c r="UU109" s="14">
        <v>0</v>
      </c>
      <c r="UV109" s="14">
        <v>0</v>
      </c>
      <c r="UW109" s="14">
        <v>0</v>
      </c>
      <c r="UX109" s="14">
        <v>0</v>
      </c>
      <c r="UY109" s="14">
        <v>0</v>
      </c>
      <c r="UZ109" s="14">
        <v>0</v>
      </c>
      <c r="VA109" s="14">
        <v>0</v>
      </c>
      <c r="VB109" s="14">
        <v>0</v>
      </c>
      <c r="VC109" s="14">
        <v>0</v>
      </c>
      <c r="VD109" s="14">
        <v>0</v>
      </c>
      <c r="VE109" s="14">
        <v>0</v>
      </c>
      <c r="VF109" s="14">
        <v>0</v>
      </c>
      <c r="VG109" s="14">
        <v>0</v>
      </c>
      <c r="VH109" s="14">
        <v>0</v>
      </c>
      <c r="VI109" s="14">
        <v>0</v>
      </c>
      <c r="VJ109" s="14">
        <v>0</v>
      </c>
      <c r="VK109" s="14">
        <v>0</v>
      </c>
      <c r="VL109" s="14">
        <v>0</v>
      </c>
      <c r="VM109" s="14">
        <v>0</v>
      </c>
      <c r="VN109" s="14">
        <v>0</v>
      </c>
      <c r="VO109" s="14">
        <v>0</v>
      </c>
      <c r="VP109" s="14">
        <v>0</v>
      </c>
      <c r="VQ109" s="14">
        <v>0</v>
      </c>
      <c r="VR109" s="14">
        <v>0</v>
      </c>
      <c r="VS109" s="14">
        <v>0</v>
      </c>
      <c r="VT109" s="14">
        <v>0</v>
      </c>
      <c r="VU109" s="14">
        <v>0</v>
      </c>
      <c r="VV109" s="14">
        <v>0</v>
      </c>
      <c r="VW109" s="14">
        <v>0</v>
      </c>
      <c r="VX109" s="14">
        <v>0</v>
      </c>
      <c r="VY109" s="14">
        <v>0</v>
      </c>
      <c r="VZ109" s="14">
        <v>0</v>
      </c>
      <c r="AKQ109" s="14">
        <f t="shared" si="1180"/>
        <v>1024</v>
      </c>
    </row>
    <row r="110" spans="1:979" ht="15" customHeight="1" x14ac:dyDescent="0.25">
      <c r="A110" s="14"/>
      <c r="NR110" s="14">
        <f t="shared" si="1170"/>
        <v>2048</v>
      </c>
      <c r="NS110" s="14">
        <f t="shared" ref="NS110:OX110" si="1229" xml:space="preserve"> IF( NOT(EXACT(NS31,"LVC_FWD_E")), 1, 0)</f>
        <v>1</v>
      </c>
      <c r="NT110" s="14">
        <f t="shared" si="1229"/>
        <v>1</v>
      </c>
      <c r="NU110" s="14">
        <f t="shared" si="1229"/>
        <v>1</v>
      </c>
      <c r="NV110" s="14">
        <f t="shared" si="1229"/>
        <v>1</v>
      </c>
      <c r="NW110" s="14">
        <f t="shared" si="1229"/>
        <v>0</v>
      </c>
      <c r="NX110" s="14">
        <f t="shared" si="1229"/>
        <v>1</v>
      </c>
      <c r="NY110" s="14">
        <f t="shared" si="1229"/>
        <v>0</v>
      </c>
      <c r="NZ110" s="14">
        <f t="shared" si="1229"/>
        <v>1</v>
      </c>
      <c r="OA110" s="14">
        <f t="shared" si="1229"/>
        <v>1</v>
      </c>
      <c r="OB110" s="14">
        <f t="shared" si="1229"/>
        <v>1</v>
      </c>
      <c r="OC110" s="14">
        <f t="shared" si="1229"/>
        <v>1</v>
      </c>
      <c r="OD110" s="14">
        <f t="shared" si="1229"/>
        <v>0</v>
      </c>
      <c r="OE110" s="14">
        <f t="shared" si="1229"/>
        <v>0</v>
      </c>
      <c r="OF110" s="14">
        <f t="shared" si="1229"/>
        <v>0</v>
      </c>
      <c r="OG110" s="14">
        <f t="shared" si="1229"/>
        <v>0</v>
      </c>
      <c r="OH110" s="14">
        <f t="shared" si="1229"/>
        <v>0</v>
      </c>
      <c r="OI110" s="14">
        <f t="shared" si="1229"/>
        <v>0</v>
      </c>
      <c r="OJ110" s="14">
        <f t="shared" si="1229"/>
        <v>0</v>
      </c>
      <c r="OK110" s="14">
        <f t="shared" si="1229"/>
        <v>0</v>
      </c>
      <c r="OL110" s="14">
        <f t="shared" si="1229"/>
        <v>0</v>
      </c>
      <c r="OM110" s="14">
        <f t="shared" si="1229"/>
        <v>0</v>
      </c>
      <c r="ON110" s="14">
        <f t="shared" si="1229"/>
        <v>0</v>
      </c>
      <c r="OO110" s="14">
        <f t="shared" si="1229"/>
        <v>0</v>
      </c>
      <c r="OP110" s="14">
        <f t="shared" si="1229"/>
        <v>0</v>
      </c>
      <c r="OQ110" s="14">
        <f t="shared" si="1229"/>
        <v>0</v>
      </c>
      <c r="OR110" s="14">
        <f t="shared" si="1229"/>
        <v>0</v>
      </c>
      <c r="OS110" s="14">
        <f t="shared" si="1229"/>
        <v>0</v>
      </c>
      <c r="OT110" s="14">
        <f t="shared" si="1229"/>
        <v>0</v>
      </c>
      <c r="OU110" s="14">
        <f t="shared" si="1229"/>
        <v>0</v>
      </c>
      <c r="OV110" s="14">
        <f t="shared" si="1229"/>
        <v>0</v>
      </c>
      <c r="OW110" s="14">
        <f t="shared" si="1229"/>
        <v>0</v>
      </c>
      <c r="OX110" s="14">
        <f t="shared" si="1229"/>
        <v>0</v>
      </c>
      <c r="OY110" s="14">
        <f t="shared" ref="OY110:QD110" si="1230" xml:space="preserve"> IF( NOT(EXACT(OY31,"LVC_FWD_E")), 1, 0)</f>
        <v>0</v>
      </c>
      <c r="OZ110" s="14">
        <f t="shared" si="1230"/>
        <v>0</v>
      </c>
      <c r="PA110" s="14">
        <f t="shared" si="1230"/>
        <v>0</v>
      </c>
      <c r="PB110" s="14">
        <f t="shared" si="1230"/>
        <v>0</v>
      </c>
      <c r="PC110" s="14">
        <f t="shared" si="1230"/>
        <v>0</v>
      </c>
      <c r="PD110" s="14">
        <f t="shared" si="1230"/>
        <v>0</v>
      </c>
      <c r="PE110" s="14">
        <f t="shared" si="1230"/>
        <v>0</v>
      </c>
      <c r="PF110" s="14">
        <f t="shared" si="1230"/>
        <v>0</v>
      </c>
      <c r="PG110" s="14">
        <f t="shared" si="1230"/>
        <v>0</v>
      </c>
      <c r="PH110" s="14">
        <f t="shared" si="1230"/>
        <v>0</v>
      </c>
      <c r="PI110" s="14">
        <f t="shared" si="1230"/>
        <v>0</v>
      </c>
      <c r="PJ110" s="14">
        <f t="shared" si="1230"/>
        <v>0</v>
      </c>
      <c r="PK110" s="14">
        <f t="shared" si="1230"/>
        <v>1</v>
      </c>
      <c r="PL110" s="14">
        <f t="shared" si="1230"/>
        <v>1</v>
      </c>
      <c r="PM110" s="14">
        <f t="shared" si="1230"/>
        <v>0</v>
      </c>
      <c r="PN110" s="14">
        <f t="shared" si="1230"/>
        <v>1</v>
      </c>
      <c r="PO110" s="14">
        <f t="shared" si="1230"/>
        <v>0</v>
      </c>
      <c r="PP110" s="14">
        <f t="shared" si="1230"/>
        <v>1</v>
      </c>
      <c r="PQ110" s="14">
        <f t="shared" si="1230"/>
        <v>0</v>
      </c>
      <c r="PR110" s="14">
        <f t="shared" si="1230"/>
        <v>1</v>
      </c>
      <c r="PS110" s="14">
        <f t="shared" si="1230"/>
        <v>1</v>
      </c>
      <c r="PT110" s="14">
        <f t="shared" si="1230"/>
        <v>1</v>
      </c>
      <c r="PU110" s="14">
        <f t="shared" si="1230"/>
        <v>1</v>
      </c>
      <c r="PV110" s="14">
        <f t="shared" si="1230"/>
        <v>1</v>
      </c>
      <c r="PW110" s="14">
        <f t="shared" si="1230"/>
        <v>1</v>
      </c>
      <c r="PX110" s="14">
        <f t="shared" si="1230"/>
        <v>0</v>
      </c>
      <c r="PY110" s="14">
        <f t="shared" si="1230"/>
        <v>1</v>
      </c>
      <c r="PZ110" s="14">
        <f t="shared" si="1230"/>
        <v>1</v>
      </c>
      <c r="QA110" s="14">
        <f t="shared" si="1230"/>
        <v>1</v>
      </c>
      <c r="QB110" s="14">
        <f t="shared" si="1230"/>
        <v>1</v>
      </c>
      <c r="QC110" s="14">
        <f t="shared" si="1230"/>
        <v>1</v>
      </c>
      <c r="QD110" s="14">
        <f t="shared" si="1230"/>
        <v>0</v>
      </c>
      <c r="QE110" s="14">
        <f t="shared" ref="QE110:RI110" si="1231" xml:space="preserve"> IF( NOT(EXACT(QE31,"LVC_FWD_E")), 1, 0)</f>
        <v>0</v>
      </c>
      <c r="QF110" s="14">
        <f t="shared" si="1231"/>
        <v>0</v>
      </c>
      <c r="QG110" s="14">
        <f t="shared" si="1231"/>
        <v>0</v>
      </c>
      <c r="QH110" s="14">
        <f t="shared" si="1231"/>
        <v>1</v>
      </c>
      <c r="QI110" s="14">
        <f t="shared" si="1231"/>
        <v>0</v>
      </c>
      <c r="QJ110" s="14">
        <f t="shared" si="1231"/>
        <v>1</v>
      </c>
      <c r="QK110" s="14">
        <f t="shared" si="1231"/>
        <v>0</v>
      </c>
      <c r="QL110" s="14">
        <f t="shared" si="1231"/>
        <v>0</v>
      </c>
      <c r="QM110" s="14">
        <f t="shared" si="1231"/>
        <v>0</v>
      </c>
      <c r="QN110" s="14">
        <f t="shared" si="1231"/>
        <v>0</v>
      </c>
      <c r="QO110" s="14">
        <f t="shared" si="1231"/>
        <v>1</v>
      </c>
      <c r="QP110" s="14">
        <f t="shared" si="1231"/>
        <v>0</v>
      </c>
      <c r="QQ110" s="14">
        <f t="shared" si="1231"/>
        <v>1</v>
      </c>
      <c r="QR110" s="14">
        <f t="shared" si="1231"/>
        <v>1</v>
      </c>
      <c r="QS110" s="14">
        <f t="shared" si="1231"/>
        <v>1</v>
      </c>
      <c r="QT110" s="14">
        <f t="shared" si="1231"/>
        <v>1</v>
      </c>
      <c r="QU110" s="14">
        <f t="shared" si="1231"/>
        <v>1</v>
      </c>
      <c r="QV110" s="14">
        <f t="shared" si="1231"/>
        <v>1</v>
      </c>
      <c r="QW110" s="14">
        <f t="shared" si="1231"/>
        <v>1</v>
      </c>
      <c r="QX110" s="14">
        <f t="shared" si="1231"/>
        <v>1</v>
      </c>
      <c r="QY110" s="14">
        <f t="shared" si="1231"/>
        <v>1</v>
      </c>
      <c r="QZ110" s="14">
        <f t="shared" si="1231"/>
        <v>1</v>
      </c>
      <c r="RA110" s="14">
        <f t="shared" si="1231"/>
        <v>1</v>
      </c>
      <c r="RB110" s="14">
        <f t="shared" si="1231"/>
        <v>1</v>
      </c>
      <c r="RC110" s="14">
        <f t="shared" si="1231"/>
        <v>1</v>
      </c>
      <c r="RD110" s="14">
        <f t="shared" si="1231"/>
        <v>1</v>
      </c>
      <c r="RE110" s="14">
        <f t="shared" si="1231"/>
        <v>1</v>
      </c>
      <c r="RF110" s="14">
        <f t="shared" si="1231"/>
        <v>1</v>
      </c>
      <c r="RG110" s="14">
        <f t="shared" si="1231"/>
        <v>1</v>
      </c>
      <c r="RH110" s="14">
        <f t="shared" si="1231"/>
        <v>1</v>
      </c>
      <c r="RI110" s="14">
        <f t="shared" si="1231"/>
        <v>1</v>
      </c>
      <c r="RJ110" s="14">
        <f t="shared" ref="RJ110:RR110" si="1232" xml:space="preserve"> IF( NOT(EXACT(RJ31,"LVC_FWD_E")), 1, 0)</f>
        <v>1</v>
      </c>
      <c r="RK110" s="14">
        <f t="shared" si="1232"/>
        <v>1</v>
      </c>
      <c r="RL110" s="14">
        <f t="shared" si="1232"/>
        <v>1</v>
      </c>
      <c r="RM110" s="14">
        <f t="shared" si="1232"/>
        <v>1</v>
      </c>
      <c r="RN110" s="14">
        <f t="shared" si="1232"/>
        <v>1</v>
      </c>
      <c r="RO110" s="14">
        <f t="shared" si="1232"/>
        <v>1</v>
      </c>
      <c r="RP110" s="14">
        <f t="shared" si="1232"/>
        <v>1</v>
      </c>
      <c r="RQ110" s="14">
        <f t="shared" si="1232"/>
        <v>1</v>
      </c>
      <c r="RR110" s="14">
        <f t="shared" si="1232"/>
        <v>1</v>
      </c>
      <c r="SA110" s="14">
        <f t="shared" si="1175"/>
        <v>2048</v>
      </c>
      <c r="SB110" s="14">
        <f t="shared" ref="SB110:TG110" si="1233" xml:space="preserve"> IF( NOT(EXACT(SB31,"LVC_FWD_E")), 1, 0)</f>
        <v>1</v>
      </c>
      <c r="SC110" s="14">
        <f t="shared" si="1233"/>
        <v>1</v>
      </c>
      <c r="SD110" s="14">
        <f t="shared" si="1233"/>
        <v>1</v>
      </c>
      <c r="SE110" s="14">
        <f t="shared" si="1233"/>
        <v>1</v>
      </c>
      <c r="SF110" s="14">
        <f t="shared" si="1233"/>
        <v>0</v>
      </c>
      <c r="SG110" s="14">
        <f t="shared" si="1233"/>
        <v>1</v>
      </c>
      <c r="SH110" s="14">
        <f t="shared" si="1233"/>
        <v>0</v>
      </c>
      <c r="SI110" s="14">
        <f t="shared" si="1233"/>
        <v>1</v>
      </c>
      <c r="SJ110" s="14">
        <f t="shared" si="1233"/>
        <v>1</v>
      </c>
      <c r="SK110" s="14">
        <f t="shared" si="1233"/>
        <v>1</v>
      </c>
      <c r="SL110" s="14">
        <f t="shared" si="1233"/>
        <v>1</v>
      </c>
      <c r="SM110" s="14">
        <f t="shared" si="1233"/>
        <v>0</v>
      </c>
      <c r="SN110" s="14">
        <f t="shared" si="1233"/>
        <v>0</v>
      </c>
      <c r="SO110" s="14">
        <f t="shared" si="1233"/>
        <v>0</v>
      </c>
      <c r="SP110" s="14">
        <f t="shared" si="1233"/>
        <v>0</v>
      </c>
      <c r="SQ110" s="14">
        <f t="shared" si="1233"/>
        <v>0</v>
      </c>
      <c r="SR110" s="14">
        <f t="shared" si="1233"/>
        <v>0</v>
      </c>
      <c r="SS110" s="14">
        <f t="shared" si="1233"/>
        <v>0</v>
      </c>
      <c r="ST110" s="14">
        <f t="shared" si="1233"/>
        <v>0</v>
      </c>
      <c r="SU110" s="14">
        <f t="shared" si="1233"/>
        <v>0</v>
      </c>
      <c r="SV110" s="14">
        <f t="shared" si="1233"/>
        <v>0</v>
      </c>
      <c r="SW110" s="14">
        <f t="shared" si="1233"/>
        <v>0</v>
      </c>
      <c r="SX110" s="14">
        <f t="shared" si="1233"/>
        <v>0</v>
      </c>
      <c r="SY110" s="14">
        <f t="shared" si="1233"/>
        <v>0</v>
      </c>
      <c r="SZ110" s="14">
        <f t="shared" si="1233"/>
        <v>0</v>
      </c>
      <c r="TA110" s="14">
        <f t="shared" si="1233"/>
        <v>0</v>
      </c>
      <c r="TB110" s="14">
        <f t="shared" si="1233"/>
        <v>0</v>
      </c>
      <c r="TC110" s="14">
        <f t="shared" si="1233"/>
        <v>0</v>
      </c>
      <c r="TD110" s="14">
        <f t="shared" si="1233"/>
        <v>0</v>
      </c>
      <c r="TE110" s="14">
        <f t="shared" si="1233"/>
        <v>0</v>
      </c>
      <c r="TF110" s="14">
        <f t="shared" si="1233"/>
        <v>0</v>
      </c>
      <c r="TG110" s="14">
        <f t="shared" si="1233"/>
        <v>0</v>
      </c>
      <c r="TH110" s="14">
        <f t="shared" ref="TH110:UM110" si="1234" xml:space="preserve"> IF( NOT(EXACT(TH31,"LVC_FWD_E")), 1, 0)</f>
        <v>0</v>
      </c>
      <c r="TI110" s="14">
        <f t="shared" si="1234"/>
        <v>0</v>
      </c>
      <c r="TJ110" s="14">
        <f t="shared" si="1234"/>
        <v>0</v>
      </c>
      <c r="TK110" s="14">
        <f t="shared" si="1234"/>
        <v>0</v>
      </c>
      <c r="TL110" s="14">
        <f t="shared" si="1234"/>
        <v>0</v>
      </c>
      <c r="TM110" s="14">
        <f t="shared" si="1234"/>
        <v>0</v>
      </c>
      <c r="TN110" s="14">
        <f t="shared" si="1234"/>
        <v>0</v>
      </c>
      <c r="TO110" s="14">
        <f t="shared" si="1234"/>
        <v>0</v>
      </c>
      <c r="TP110" s="14">
        <f t="shared" si="1234"/>
        <v>0</v>
      </c>
      <c r="TQ110" s="14">
        <f t="shared" si="1234"/>
        <v>0</v>
      </c>
      <c r="TR110" s="14">
        <f t="shared" si="1234"/>
        <v>0</v>
      </c>
      <c r="TS110" s="14">
        <f t="shared" si="1234"/>
        <v>1</v>
      </c>
      <c r="TT110" s="14">
        <f t="shared" si="1234"/>
        <v>1</v>
      </c>
      <c r="TU110" s="14">
        <f t="shared" si="1234"/>
        <v>0</v>
      </c>
      <c r="TV110" s="14">
        <f t="shared" si="1234"/>
        <v>1</v>
      </c>
      <c r="TW110" s="14">
        <f t="shared" si="1234"/>
        <v>0</v>
      </c>
      <c r="TX110" s="14">
        <f t="shared" si="1234"/>
        <v>1</v>
      </c>
      <c r="TY110" s="14">
        <f t="shared" si="1234"/>
        <v>0</v>
      </c>
      <c r="TZ110" s="14">
        <f t="shared" si="1234"/>
        <v>1</v>
      </c>
      <c r="UA110" s="14">
        <f t="shared" si="1234"/>
        <v>1</v>
      </c>
      <c r="UB110" s="14">
        <f t="shared" si="1234"/>
        <v>1</v>
      </c>
      <c r="UC110" s="14">
        <f t="shared" si="1234"/>
        <v>1</v>
      </c>
      <c r="UD110" s="14">
        <f t="shared" si="1234"/>
        <v>1</v>
      </c>
      <c r="UE110" s="14">
        <f t="shared" si="1234"/>
        <v>1</v>
      </c>
      <c r="UF110" s="14">
        <f t="shared" si="1234"/>
        <v>0</v>
      </c>
      <c r="UG110" s="14">
        <f t="shared" si="1234"/>
        <v>1</v>
      </c>
      <c r="UH110" s="14">
        <f t="shared" si="1234"/>
        <v>1</v>
      </c>
      <c r="UI110" s="14">
        <f t="shared" si="1234"/>
        <v>1</v>
      </c>
      <c r="UJ110" s="14">
        <f t="shared" si="1234"/>
        <v>1</v>
      </c>
      <c r="UK110" s="14">
        <f t="shared" si="1234"/>
        <v>1</v>
      </c>
      <c r="UL110" s="14">
        <f t="shared" si="1234"/>
        <v>0</v>
      </c>
      <c r="UM110" s="14">
        <f t="shared" si="1234"/>
        <v>0</v>
      </c>
      <c r="UN110" s="14">
        <f t="shared" ref="UN110:VS110" si="1235" xml:space="preserve"> IF( NOT(EXACT(UN31,"LVC_FWD_E")), 1, 0)</f>
        <v>0</v>
      </c>
      <c r="UO110" s="14">
        <f t="shared" si="1235"/>
        <v>0</v>
      </c>
      <c r="UP110" s="14">
        <f t="shared" si="1235"/>
        <v>1</v>
      </c>
      <c r="UQ110" s="14">
        <f t="shared" si="1235"/>
        <v>0</v>
      </c>
      <c r="UR110" s="14">
        <f t="shared" si="1235"/>
        <v>1</v>
      </c>
      <c r="US110" s="14">
        <f t="shared" si="1235"/>
        <v>0</v>
      </c>
      <c r="UT110" s="14">
        <f t="shared" si="1235"/>
        <v>0</v>
      </c>
      <c r="UU110" s="14">
        <f t="shared" si="1235"/>
        <v>0</v>
      </c>
      <c r="UV110" s="14">
        <f t="shared" si="1235"/>
        <v>0</v>
      </c>
      <c r="UW110" s="14">
        <f t="shared" si="1235"/>
        <v>1</v>
      </c>
      <c r="UX110" s="14">
        <f t="shared" si="1235"/>
        <v>0</v>
      </c>
      <c r="UY110" s="14">
        <f t="shared" si="1235"/>
        <v>1</v>
      </c>
      <c r="UZ110" s="14">
        <f t="shared" si="1235"/>
        <v>1</v>
      </c>
      <c r="VA110" s="14">
        <f t="shared" si="1235"/>
        <v>1</v>
      </c>
      <c r="VB110" s="14">
        <f t="shared" si="1235"/>
        <v>1</v>
      </c>
      <c r="VC110" s="14">
        <f t="shared" si="1235"/>
        <v>1</v>
      </c>
      <c r="VD110" s="14">
        <f t="shared" si="1235"/>
        <v>1</v>
      </c>
      <c r="VE110" s="14">
        <f t="shared" si="1235"/>
        <v>1</v>
      </c>
      <c r="VF110" s="14">
        <f t="shared" si="1235"/>
        <v>1</v>
      </c>
      <c r="VG110" s="14">
        <f t="shared" si="1235"/>
        <v>1</v>
      </c>
      <c r="VH110" s="14">
        <f t="shared" si="1235"/>
        <v>1</v>
      </c>
      <c r="VI110" s="14">
        <f t="shared" si="1235"/>
        <v>1</v>
      </c>
      <c r="VJ110" s="14">
        <f t="shared" si="1235"/>
        <v>1</v>
      </c>
      <c r="VK110" s="14">
        <f t="shared" si="1235"/>
        <v>1</v>
      </c>
      <c r="VL110" s="14">
        <f t="shared" si="1235"/>
        <v>1</v>
      </c>
      <c r="VM110" s="14">
        <f t="shared" si="1235"/>
        <v>1</v>
      </c>
      <c r="VN110" s="14">
        <f t="shared" si="1235"/>
        <v>1</v>
      </c>
      <c r="VO110" s="14">
        <f t="shared" si="1235"/>
        <v>1</v>
      </c>
      <c r="VP110" s="14">
        <f t="shared" si="1235"/>
        <v>1</v>
      </c>
      <c r="VQ110" s="14">
        <f t="shared" si="1235"/>
        <v>1</v>
      </c>
      <c r="VR110" s="14">
        <f t="shared" si="1235"/>
        <v>1</v>
      </c>
      <c r="VS110" s="14">
        <f t="shared" si="1235"/>
        <v>1</v>
      </c>
      <c r="VT110" s="14">
        <f t="shared" ref="VT110:VZ110" si="1236" xml:space="preserve"> IF( NOT(EXACT(VT31,"LVC_FWD_E")), 1, 0)</f>
        <v>1</v>
      </c>
      <c r="VU110" s="14">
        <f t="shared" si="1236"/>
        <v>1</v>
      </c>
      <c r="VV110" s="14">
        <f t="shared" si="1236"/>
        <v>1</v>
      </c>
      <c r="VW110" s="14">
        <f t="shared" si="1236"/>
        <v>1</v>
      </c>
      <c r="VX110" s="14">
        <f t="shared" si="1236"/>
        <v>1</v>
      </c>
      <c r="VY110" s="14">
        <f t="shared" si="1236"/>
        <v>1</v>
      </c>
      <c r="VZ110" s="14">
        <f t="shared" si="1236"/>
        <v>1</v>
      </c>
      <c r="AKQ110" s="14">
        <f t="shared" si="1180"/>
        <v>2048</v>
      </c>
    </row>
    <row r="111" spans="1:979" ht="15" customHeight="1" x14ac:dyDescent="0.25">
      <c r="A111" s="14"/>
      <c r="NR111" s="14">
        <f t="shared" si="1170"/>
        <v>4096</v>
      </c>
      <c r="NS111" s="14">
        <v>0</v>
      </c>
      <c r="NT111" s="14">
        <v>0</v>
      </c>
      <c r="NU111" s="14">
        <v>0</v>
      </c>
      <c r="NV111" s="14">
        <v>0</v>
      </c>
      <c r="NW111" s="14">
        <v>0</v>
      </c>
      <c r="NX111" s="14">
        <v>0</v>
      </c>
      <c r="NY111" s="14">
        <v>0</v>
      </c>
      <c r="NZ111" s="14">
        <v>0</v>
      </c>
      <c r="OA111" s="14">
        <v>0</v>
      </c>
      <c r="OB111" s="14">
        <v>0</v>
      </c>
      <c r="OC111" s="14">
        <v>0</v>
      </c>
      <c r="OD111" s="14">
        <v>0</v>
      </c>
      <c r="OE111" s="14">
        <v>0</v>
      </c>
      <c r="OF111" s="14">
        <v>0</v>
      </c>
      <c r="OG111" s="14">
        <v>0</v>
      </c>
      <c r="OH111" s="14">
        <v>0</v>
      </c>
      <c r="OI111" s="14">
        <v>0</v>
      </c>
      <c r="OJ111" s="14">
        <v>0</v>
      </c>
      <c r="OK111" s="14">
        <v>0</v>
      </c>
      <c r="OL111" s="14">
        <v>0</v>
      </c>
      <c r="OM111" s="14">
        <v>0</v>
      </c>
      <c r="ON111" s="14">
        <v>0</v>
      </c>
      <c r="OO111" s="14">
        <v>0</v>
      </c>
      <c r="OP111" s="14">
        <v>0</v>
      </c>
      <c r="OQ111" s="14">
        <v>0</v>
      </c>
      <c r="OR111" s="14">
        <v>0</v>
      </c>
      <c r="OS111" s="14">
        <v>0</v>
      </c>
      <c r="OT111" s="14">
        <v>0</v>
      </c>
      <c r="OU111" s="14">
        <v>0</v>
      </c>
      <c r="OV111" s="14">
        <v>0</v>
      </c>
      <c r="OW111" s="14">
        <v>0</v>
      </c>
      <c r="OX111" s="14">
        <v>0</v>
      </c>
      <c r="OY111" s="14">
        <v>0</v>
      </c>
      <c r="OZ111" s="14">
        <v>0</v>
      </c>
      <c r="PA111" s="14">
        <v>0</v>
      </c>
      <c r="PB111" s="14">
        <v>0</v>
      </c>
      <c r="PC111" s="14">
        <v>0</v>
      </c>
      <c r="PD111" s="14">
        <v>0</v>
      </c>
      <c r="PE111" s="14">
        <v>0</v>
      </c>
      <c r="PF111" s="14">
        <v>0</v>
      </c>
      <c r="PG111" s="14">
        <v>0</v>
      </c>
      <c r="PH111" s="14">
        <v>0</v>
      </c>
      <c r="PI111" s="14">
        <v>0</v>
      </c>
      <c r="PJ111" s="14">
        <v>0</v>
      </c>
      <c r="PK111" s="14">
        <v>0</v>
      </c>
      <c r="PL111" s="14">
        <v>0</v>
      </c>
      <c r="PM111" s="14">
        <v>0</v>
      </c>
      <c r="PN111" s="14">
        <v>0</v>
      </c>
      <c r="PO111" s="14">
        <v>0</v>
      </c>
      <c r="PP111" s="14">
        <v>0</v>
      </c>
      <c r="PQ111" s="14">
        <v>0</v>
      </c>
      <c r="PR111" s="14">
        <v>0</v>
      </c>
      <c r="PS111" s="14">
        <v>0</v>
      </c>
      <c r="PT111" s="14">
        <v>0</v>
      </c>
      <c r="PU111" s="14">
        <v>0</v>
      </c>
      <c r="PV111" s="14">
        <v>0</v>
      </c>
      <c r="PW111" s="14">
        <v>0</v>
      </c>
      <c r="PX111" s="14">
        <v>0</v>
      </c>
      <c r="PY111" s="14">
        <v>0</v>
      </c>
      <c r="PZ111" s="14">
        <v>0</v>
      </c>
      <c r="QA111" s="14">
        <v>0</v>
      </c>
      <c r="QB111" s="14">
        <v>0</v>
      </c>
      <c r="QC111" s="14">
        <v>0</v>
      </c>
      <c r="QD111" s="14">
        <v>0</v>
      </c>
      <c r="QE111" s="14">
        <v>0</v>
      </c>
      <c r="QF111" s="14">
        <v>0</v>
      </c>
      <c r="QG111" s="14">
        <v>0</v>
      </c>
      <c r="QH111" s="14">
        <v>0</v>
      </c>
      <c r="QI111" s="14">
        <v>0</v>
      </c>
      <c r="QJ111" s="14">
        <v>0</v>
      </c>
      <c r="QK111" s="14">
        <v>0</v>
      </c>
      <c r="QL111" s="14">
        <v>0</v>
      </c>
      <c r="QM111" s="14">
        <v>0</v>
      </c>
      <c r="QN111" s="14">
        <v>0</v>
      </c>
      <c r="QO111" s="14">
        <v>0</v>
      </c>
      <c r="QP111" s="14">
        <v>0</v>
      </c>
      <c r="QQ111" s="14">
        <v>0</v>
      </c>
      <c r="QR111" s="14">
        <v>0</v>
      </c>
      <c r="QS111" s="14">
        <v>0</v>
      </c>
      <c r="QT111" s="14">
        <v>0</v>
      </c>
      <c r="QU111" s="14">
        <v>0</v>
      </c>
      <c r="QV111" s="14">
        <v>0</v>
      </c>
      <c r="QW111" s="14">
        <v>0</v>
      </c>
      <c r="QX111" s="14">
        <v>0</v>
      </c>
      <c r="QY111" s="14">
        <v>0</v>
      </c>
      <c r="QZ111" s="14">
        <v>0</v>
      </c>
      <c r="RA111" s="14">
        <v>0</v>
      </c>
      <c r="RB111" s="14">
        <v>0</v>
      </c>
      <c r="RC111" s="14">
        <v>0</v>
      </c>
      <c r="RD111" s="14">
        <v>0</v>
      </c>
      <c r="RE111" s="14">
        <v>0</v>
      </c>
      <c r="RF111" s="14">
        <v>0</v>
      </c>
      <c r="RG111" s="14">
        <v>0</v>
      </c>
      <c r="RH111" s="14">
        <v>0</v>
      </c>
      <c r="RI111" s="14">
        <v>0</v>
      </c>
      <c r="RJ111" s="14">
        <v>0</v>
      </c>
      <c r="RK111" s="14">
        <v>0</v>
      </c>
      <c r="RL111" s="14">
        <v>0</v>
      </c>
      <c r="RM111" s="14">
        <v>0</v>
      </c>
      <c r="RN111" s="14">
        <v>0</v>
      </c>
      <c r="RO111" s="14">
        <v>0</v>
      </c>
      <c r="RP111" s="14">
        <v>0</v>
      </c>
      <c r="RQ111" s="14">
        <v>0</v>
      </c>
      <c r="RR111" s="14">
        <v>0</v>
      </c>
      <c r="SA111" s="14">
        <f t="shared" si="1175"/>
        <v>4096</v>
      </c>
      <c r="SB111" s="14">
        <v>0</v>
      </c>
      <c r="SC111" s="14">
        <v>0</v>
      </c>
      <c r="SD111" s="14">
        <v>0</v>
      </c>
      <c r="SE111" s="14">
        <v>0</v>
      </c>
      <c r="SF111" s="14">
        <v>0</v>
      </c>
      <c r="SG111" s="14">
        <v>0</v>
      </c>
      <c r="SH111" s="14">
        <v>0</v>
      </c>
      <c r="SI111" s="14">
        <v>0</v>
      </c>
      <c r="SJ111" s="14">
        <v>0</v>
      </c>
      <c r="SK111" s="14">
        <v>0</v>
      </c>
      <c r="SL111" s="14">
        <v>0</v>
      </c>
      <c r="SM111" s="14">
        <v>0</v>
      </c>
      <c r="SN111" s="14">
        <v>0</v>
      </c>
      <c r="SO111" s="14">
        <v>0</v>
      </c>
      <c r="SP111" s="14">
        <v>0</v>
      </c>
      <c r="SQ111" s="14">
        <v>0</v>
      </c>
      <c r="SR111" s="14">
        <v>0</v>
      </c>
      <c r="SS111" s="14">
        <v>0</v>
      </c>
      <c r="ST111" s="14">
        <v>0</v>
      </c>
      <c r="SU111" s="14">
        <v>0</v>
      </c>
      <c r="SV111" s="14">
        <v>0</v>
      </c>
      <c r="SW111" s="14">
        <v>0</v>
      </c>
      <c r="SX111" s="14">
        <v>0</v>
      </c>
      <c r="SY111" s="14">
        <v>0</v>
      </c>
      <c r="SZ111" s="14">
        <v>0</v>
      </c>
      <c r="TA111" s="14">
        <v>0</v>
      </c>
      <c r="TB111" s="14">
        <v>0</v>
      </c>
      <c r="TC111" s="14">
        <v>0</v>
      </c>
      <c r="TD111" s="14">
        <v>0</v>
      </c>
      <c r="TE111" s="14">
        <v>0</v>
      </c>
      <c r="TF111" s="14">
        <v>0</v>
      </c>
      <c r="TG111" s="14">
        <v>0</v>
      </c>
      <c r="TH111" s="14">
        <v>0</v>
      </c>
      <c r="TI111" s="14">
        <v>0</v>
      </c>
      <c r="TJ111" s="14">
        <v>0</v>
      </c>
      <c r="TK111" s="14">
        <v>0</v>
      </c>
      <c r="TL111" s="14">
        <v>0</v>
      </c>
      <c r="TM111" s="14">
        <v>0</v>
      </c>
      <c r="TN111" s="14">
        <v>0</v>
      </c>
      <c r="TO111" s="14">
        <v>0</v>
      </c>
      <c r="TP111" s="14">
        <v>0</v>
      </c>
      <c r="TQ111" s="14">
        <v>0</v>
      </c>
      <c r="TR111" s="14">
        <v>0</v>
      </c>
      <c r="TS111" s="14">
        <v>0</v>
      </c>
      <c r="TT111" s="14">
        <v>0</v>
      </c>
      <c r="TU111" s="14">
        <v>0</v>
      </c>
      <c r="TV111" s="14">
        <v>0</v>
      </c>
      <c r="TW111" s="14">
        <v>0</v>
      </c>
      <c r="TX111" s="14">
        <v>0</v>
      </c>
      <c r="TY111" s="14">
        <v>0</v>
      </c>
      <c r="TZ111" s="14">
        <v>0</v>
      </c>
      <c r="UA111" s="14">
        <v>0</v>
      </c>
      <c r="UB111" s="14">
        <v>0</v>
      </c>
      <c r="UC111" s="14">
        <v>0</v>
      </c>
      <c r="UD111" s="14">
        <v>0</v>
      </c>
      <c r="UE111" s="14">
        <v>0</v>
      </c>
      <c r="UF111" s="14">
        <v>0</v>
      </c>
      <c r="UG111" s="14">
        <v>0</v>
      </c>
      <c r="UH111" s="14">
        <v>0</v>
      </c>
      <c r="UI111" s="14">
        <v>0</v>
      </c>
      <c r="UJ111" s="14">
        <v>0</v>
      </c>
      <c r="UK111" s="14">
        <v>0</v>
      </c>
      <c r="UL111" s="14">
        <v>0</v>
      </c>
      <c r="UM111" s="14">
        <v>0</v>
      </c>
      <c r="UN111" s="14">
        <v>0</v>
      </c>
      <c r="UO111" s="14">
        <v>0</v>
      </c>
      <c r="UP111" s="14">
        <v>0</v>
      </c>
      <c r="UQ111" s="14">
        <v>0</v>
      </c>
      <c r="UR111" s="14">
        <v>0</v>
      </c>
      <c r="US111" s="14">
        <v>0</v>
      </c>
      <c r="UT111" s="14">
        <v>0</v>
      </c>
      <c r="UU111" s="14">
        <v>0</v>
      </c>
      <c r="UV111" s="14">
        <v>0</v>
      </c>
      <c r="UW111" s="14">
        <v>0</v>
      </c>
      <c r="UX111" s="14">
        <v>0</v>
      </c>
      <c r="UY111" s="14">
        <v>0</v>
      </c>
      <c r="UZ111" s="14">
        <v>0</v>
      </c>
      <c r="VA111" s="14">
        <v>0</v>
      </c>
      <c r="VB111" s="14">
        <v>0</v>
      </c>
      <c r="VC111" s="14">
        <v>0</v>
      </c>
      <c r="VD111" s="14">
        <v>0</v>
      </c>
      <c r="VE111" s="14">
        <v>0</v>
      </c>
      <c r="VF111" s="14">
        <v>0</v>
      </c>
      <c r="VG111" s="14">
        <v>0</v>
      </c>
      <c r="VH111" s="14">
        <v>0</v>
      </c>
      <c r="VI111" s="14">
        <v>0</v>
      </c>
      <c r="VJ111" s="14">
        <v>0</v>
      </c>
      <c r="VK111" s="14">
        <v>0</v>
      </c>
      <c r="VL111" s="14">
        <v>0</v>
      </c>
      <c r="VM111" s="14">
        <v>0</v>
      </c>
      <c r="VN111" s="14">
        <v>0</v>
      </c>
      <c r="VO111" s="14">
        <v>0</v>
      </c>
      <c r="VP111" s="14">
        <v>0</v>
      </c>
      <c r="VQ111" s="14">
        <v>0</v>
      </c>
      <c r="VR111" s="14">
        <v>0</v>
      </c>
      <c r="VS111" s="14">
        <v>0</v>
      </c>
      <c r="VT111" s="14">
        <v>0</v>
      </c>
      <c r="VU111" s="14">
        <v>0</v>
      </c>
      <c r="VV111" s="14">
        <v>0</v>
      </c>
      <c r="VW111" s="14">
        <v>0</v>
      </c>
      <c r="VX111" s="14">
        <v>0</v>
      </c>
      <c r="VY111" s="14">
        <v>0</v>
      </c>
      <c r="VZ111" s="14">
        <v>0</v>
      </c>
      <c r="AKQ111" s="14">
        <f t="shared" si="1180"/>
        <v>4096</v>
      </c>
    </row>
    <row r="112" spans="1:979" ht="15" customHeight="1" x14ac:dyDescent="0.25">
      <c r="A112" s="14"/>
      <c r="NR112" s="14">
        <f t="shared" si="1170"/>
        <v>8192</v>
      </c>
      <c r="NS112" s="14">
        <v>0</v>
      </c>
      <c r="NT112" s="14">
        <v>0</v>
      </c>
      <c r="NU112" s="14">
        <v>0</v>
      </c>
      <c r="NV112" s="14">
        <v>0</v>
      </c>
      <c r="NW112" s="14">
        <v>0</v>
      </c>
      <c r="NX112" s="14">
        <v>0</v>
      </c>
      <c r="NY112" s="14">
        <v>0</v>
      </c>
      <c r="NZ112" s="14">
        <v>0</v>
      </c>
      <c r="OA112" s="14">
        <v>0</v>
      </c>
      <c r="OB112" s="14">
        <v>0</v>
      </c>
      <c r="OC112" s="14">
        <v>0</v>
      </c>
      <c r="OD112" s="14">
        <v>0</v>
      </c>
      <c r="OE112" s="14">
        <v>0</v>
      </c>
      <c r="OF112" s="14">
        <v>0</v>
      </c>
      <c r="OG112" s="14">
        <v>0</v>
      </c>
      <c r="OH112" s="14">
        <v>0</v>
      </c>
      <c r="OI112" s="14">
        <v>0</v>
      </c>
      <c r="OJ112" s="14">
        <v>0</v>
      </c>
      <c r="OK112" s="14">
        <v>0</v>
      </c>
      <c r="OL112" s="14">
        <v>0</v>
      </c>
      <c r="OM112" s="14">
        <v>0</v>
      </c>
      <c r="ON112" s="14">
        <v>0</v>
      </c>
      <c r="OO112" s="14">
        <v>0</v>
      </c>
      <c r="OP112" s="14">
        <v>0</v>
      </c>
      <c r="OQ112" s="14">
        <v>0</v>
      </c>
      <c r="OR112" s="14">
        <v>0</v>
      </c>
      <c r="OS112" s="14">
        <v>0</v>
      </c>
      <c r="OT112" s="14">
        <v>0</v>
      </c>
      <c r="OU112" s="14">
        <v>0</v>
      </c>
      <c r="OV112" s="14">
        <v>0</v>
      </c>
      <c r="OW112" s="14">
        <v>0</v>
      </c>
      <c r="OX112" s="14">
        <v>0</v>
      </c>
      <c r="OY112" s="14">
        <v>0</v>
      </c>
      <c r="OZ112" s="14">
        <v>0</v>
      </c>
      <c r="PA112" s="14">
        <v>0</v>
      </c>
      <c r="PB112" s="14">
        <v>0</v>
      </c>
      <c r="PC112" s="14">
        <v>0</v>
      </c>
      <c r="PD112" s="14">
        <v>0</v>
      </c>
      <c r="PE112" s="14">
        <v>0</v>
      </c>
      <c r="PF112" s="14">
        <v>0</v>
      </c>
      <c r="PG112" s="14">
        <v>0</v>
      </c>
      <c r="PH112" s="14">
        <v>0</v>
      </c>
      <c r="PI112" s="14">
        <v>0</v>
      </c>
      <c r="PJ112" s="14">
        <v>0</v>
      </c>
      <c r="PK112" s="14">
        <v>0</v>
      </c>
      <c r="PL112" s="14">
        <v>0</v>
      </c>
      <c r="PM112" s="14">
        <v>0</v>
      </c>
      <c r="PN112" s="14">
        <v>0</v>
      </c>
      <c r="PO112" s="14">
        <v>0</v>
      </c>
      <c r="PP112" s="14">
        <v>0</v>
      </c>
      <c r="PQ112" s="14">
        <v>0</v>
      </c>
      <c r="PR112" s="14">
        <v>0</v>
      </c>
      <c r="PS112" s="14">
        <v>0</v>
      </c>
      <c r="PT112" s="14">
        <v>0</v>
      </c>
      <c r="PU112" s="14">
        <v>0</v>
      </c>
      <c r="PV112" s="14">
        <v>0</v>
      </c>
      <c r="PW112" s="14">
        <v>0</v>
      </c>
      <c r="PX112" s="14">
        <v>0</v>
      </c>
      <c r="PY112" s="14">
        <v>0</v>
      </c>
      <c r="PZ112" s="14">
        <v>0</v>
      </c>
      <c r="QA112" s="14">
        <v>0</v>
      </c>
      <c r="QB112" s="14">
        <v>0</v>
      </c>
      <c r="QC112" s="14">
        <v>0</v>
      </c>
      <c r="QD112" s="14">
        <v>0</v>
      </c>
      <c r="QE112" s="14">
        <v>0</v>
      </c>
      <c r="QF112" s="14">
        <v>0</v>
      </c>
      <c r="QG112" s="14">
        <v>0</v>
      </c>
      <c r="QH112" s="14">
        <v>0</v>
      </c>
      <c r="QI112" s="14">
        <v>0</v>
      </c>
      <c r="QJ112" s="14">
        <v>0</v>
      </c>
      <c r="QK112" s="14">
        <v>0</v>
      </c>
      <c r="QL112" s="14">
        <v>0</v>
      </c>
      <c r="QM112" s="14">
        <v>0</v>
      </c>
      <c r="QN112" s="14">
        <v>0</v>
      </c>
      <c r="QO112" s="14">
        <v>0</v>
      </c>
      <c r="QP112" s="14">
        <v>0</v>
      </c>
      <c r="QQ112" s="14">
        <v>0</v>
      </c>
      <c r="QR112" s="14">
        <v>0</v>
      </c>
      <c r="QS112" s="14">
        <v>0</v>
      </c>
      <c r="QT112" s="14">
        <v>0</v>
      </c>
      <c r="QU112" s="14">
        <v>0</v>
      </c>
      <c r="QV112" s="14">
        <v>0</v>
      </c>
      <c r="QW112" s="14">
        <v>0</v>
      </c>
      <c r="QX112" s="14">
        <v>0</v>
      </c>
      <c r="QY112" s="14">
        <v>0</v>
      </c>
      <c r="QZ112" s="14">
        <v>0</v>
      </c>
      <c r="RA112" s="14">
        <v>0</v>
      </c>
      <c r="RB112" s="14">
        <v>0</v>
      </c>
      <c r="RC112" s="14">
        <v>0</v>
      </c>
      <c r="RD112" s="14">
        <v>0</v>
      </c>
      <c r="RE112" s="14">
        <v>0</v>
      </c>
      <c r="RF112" s="14">
        <v>0</v>
      </c>
      <c r="RG112" s="14">
        <v>0</v>
      </c>
      <c r="RH112" s="14">
        <v>0</v>
      </c>
      <c r="RI112" s="14">
        <v>0</v>
      </c>
      <c r="RJ112" s="14">
        <v>0</v>
      </c>
      <c r="RK112" s="14">
        <v>0</v>
      </c>
      <c r="RL112" s="14">
        <v>0</v>
      </c>
      <c r="RM112" s="14">
        <v>0</v>
      </c>
      <c r="RN112" s="14">
        <v>0</v>
      </c>
      <c r="RO112" s="14">
        <v>0</v>
      </c>
      <c r="RP112" s="14">
        <v>0</v>
      </c>
      <c r="RQ112" s="14">
        <v>0</v>
      </c>
      <c r="RR112" s="14">
        <v>0</v>
      </c>
      <c r="SA112" s="14">
        <f t="shared" si="1175"/>
        <v>8192</v>
      </c>
      <c r="SB112" s="14">
        <v>0</v>
      </c>
      <c r="SC112" s="14">
        <v>0</v>
      </c>
      <c r="SD112" s="14">
        <v>0</v>
      </c>
      <c r="SE112" s="14">
        <v>0</v>
      </c>
      <c r="SF112" s="14">
        <v>0</v>
      </c>
      <c r="SG112" s="14">
        <v>0</v>
      </c>
      <c r="SH112" s="14">
        <v>0</v>
      </c>
      <c r="SI112" s="14">
        <v>0</v>
      </c>
      <c r="SJ112" s="14">
        <v>0</v>
      </c>
      <c r="SK112" s="14">
        <v>0</v>
      </c>
      <c r="SL112" s="14">
        <v>0</v>
      </c>
      <c r="SM112" s="14">
        <v>0</v>
      </c>
      <c r="SN112" s="14">
        <v>0</v>
      </c>
      <c r="SO112" s="14">
        <v>0</v>
      </c>
      <c r="SP112" s="14">
        <v>0</v>
      </c>
      <c r="SQ112" s="14">
        <v>0</v>
      </c>
      <c r="SR112" s="14">
        <v>0</v>
      </c>
      <c r="SS112" s="14">
        <v>0</v>
      </c>
      <c r="ST112" s="14">
        <v>0</v>
      </c>
      <c r="SU112" s="14">
        <v>0</v>
      </c>
      <c r="SV112" s="14">
        <v>0</v>
      </c>
      <c r="SW112" s="14">
        <v>0</v>
      </c>
      <c r="SX112" s="14">
        <v>0</v>
      </c>
      <c r="SY112" s="14">
        <v>0</v>
      </c>
      <c r="SZ112" s="14">
        <v>0</v>
      </c>
      <c r="TA112" s="14">
        <v>0</v>
      </c>
      <c r="TB112" s="14">
        <v>0</v>
      </c>
      <c r="TC112" s="14">
        <v>0</v>
      </c>
      <c r="TD112" s="14">
        <v>0</v>
      </c>
      <c r="TE112" s="14">
        <v>0</v>
      </c>
      <c r="TF112" s="14">
        <v>0</v>
      </c>
      <c r="TG112" s="14">
        <v>0</v>
      </c>
      <c r="TH112" s="14">
        <v>0</v>
      </c>
      <c r="TI112" s="14">
        <v>0</v>
      </c>
      <c r="TJ112" s="14">
        <v>0</v>
      </c>
      <c r="TK112" s="14">
        <v>0</v>
      </c>
      <c r="TL112" s="14">
        <v>0</v>
      </c>
      <c r="TM112" s="14">
        <v>0</v>
      </c>
      <c r="TN112" s="14">
        <v>0</v>
      </c>
      <c r="TO112" s="14">
        <v>0</v>
      </c>
      <c r="TP112" s="14">
        <v>0</v>
      </c>
      <c r="TQ112" s="14">
        <v>0</v>
      </c>
      <c r="TR112" s="14">
        <v>0</v>
      </c>
      <c r="TS112" s="14">
        <v>0</v>
      </c>
      <c r="TT112" s="14">
        <v>0</v>
      </c>
      <c r="TU112" s="14">
        <v>0</v>
      </c>
      <c r="TV112" s="14">
        <v>0</v>
      </c>
      <c r="TW112" s="14">
        <v>0</v>
      </c>
      <c r="TX112" s="14">
        <v>0</v>
      </c>
      <c r="TY112" s="14">
        <v>0</v>
      </c>
      <c r="TZ112" s="14">
        <v>0</v>
      </c>
      <c r="UA112" s="14">
        <v>0</v>
      </c>
      <c r="UB112" s="14">
        <v>0</v>
      </c>
      <c r="UC112" s="14">
        <v>0</v>
      </c>
      <c r="UD112" s="14">
        <v>0</v>
      </c>
      <c r="UE112" s="14">
        <v>0</v>
      </c>
      <c r="UF112" s="14">
        <v>0</v>
      </c>
      <c r="UG112" s="14">
        <v>0</v>
      </c>
      <c r="UH112" s="14">
        <v>0</v>
      </c>
      <c r="UI112" s="14">
        <v>0</v>
      </c>
      <c r="UJ112" s="14">
        <v>0</v>
      </c>
      <c r="UK112" s="14">
        <v>0</v>
      </c>
      <c r="UL112" s="14">
        <v>0</v>
      </c>
      <c r="UM112" s="14">
        <v>0</v>
      </c>
      <c r="UN112" s="14">
        <v>0</v>
      </c>
      <c r="UO112" s="14">
        <v>0</v>
      </c>
      <c r="UP112" s="14">
        <v>0</v>
      </c>
      <c r="UQ112" s="14">
        <v>0</v>
      </c>
      <c r="UR112" s="14">
        <v>0</v>
      </c>
      <c r="US112" s="14">
        <v>0</v>
      </c>
      <c r="UT112" s="14">
        <v>0</v>
      </c>
      <c r="UU112" s="14">
        <v>0</v>
      </c>
      <c r="UV112" s="14">
        <v>0</v>
      </c>
      <c r="UW112" s="14">
        <v>0</v>
      </c>
      <c r="UX112" s="14">
        <v>0</v>
      </c>
      <c r="UY112" s="14">
        <v>0</v>
      </c>
      <c r="UZ112" s="14">
        <v>0</v>
      </c>
      <c r="VA112" s="14">
        <v>0</v>
      </c>
      <c r="VB112" s="14">
        <v>0</v>
      </c>
      <c r="VC112" s="14">
        <v>0</v>
      </c>
      <c r="VD112" s="14">
        <v>0</v>
      </c>
      <c r="VE112" s="14">
        <v>0</v>
      </c>
      <c r="VF112" s="14">
        <v>0</v>
      </c>
      <c r="VG112" s="14">
        <v>0</v>
      </c>
      <c r="VH112" s="14">
        <v>0</v>
      </c>
      <c r="VI112" s="14">
        <v>0</v>
      </c>
      <c r="VJ112" s="14">
        <v>0</v>
      </c>
      <c r="VK112" s="14">
        <v>0</v>
      </c>
      <c r="VL112" s="14">
        <v>0</v>
      </c>
      <c r="VM112" s="14">
        <v>0</v>
      </c>
      <c r="VN112" s="14">
        <v>0</v>
      </c>
      <c r="VO112" s="14">
        <v>0</v>
      </c>
      <c r="VP112" s="14">
        <v>0</v>
      </c>
      <c r="VQ112" s="14">
        <v>0</v>
      </c>
      <c r="VR112" s="14">
        <v>0</v>
      </c>
      <c r="VS112" s="14">
        <v>0</v>
      </c>
      <c r="VT112" s="14">
        <v>0</v>
      </c>
      <c r="VU112" s="14">
        <v>0</v>
      </c>
      <c r="VV112" s="14">
        <v>0</v>
      </c>
      <c r="VW112" s="14">
        <v>0</v>
      </c>
      <c r="VX112" s="14">
        <v>0</v>
      </c>
      <c r="VY112" s="14">
        <v>0</v>
      </c>
      <c r="VZ112" s="14">
        <v>0</v>
      </c>
      <c r="AKQ112" s="14">
        <f t="shared" si="1180"/>
        <v>8192</v>
      </c>
    </row>
    <row r="113" spans="1:979" ht="15" customHeight="1" x14ac:dyDescent="0.25">
      <c r="A113" s="14"/>
      <c r="NR113" s="14">
        <f t="shared" si="1170"/>
        <v>16384</v>
      </c>
      <c r="NS113" s="14">
        <v>0</v>
      </c>
      <c r="NT113" s="14">
        <v>0</v>
      </c>
      <c r="NU113" s="14">
        <v>0</v>
      </c>
      <c r="NV113" s="14">
        <v>0</v>
      </c>
      <c r="NW113" s="14">
        <v>0</v>
      </c>
      <c r="NX113" s="14">
        <v>0</v>
      </c>
      <c r="NY113" s="14">
        <v>0</v>
      </c>
      <c r="NZ113" s="14">
        <v>0</v>
      </c>
      <c r="OA113" s="14">
        <v>0</v>
      </c>
      <c r="OB113" s="14">
        <v>0</v>
      </c>
      <c r="OC113" s="14">
        <v>0</v>
      </c>
      <c r="OD113" s="14">
        <v>0</v>
      </c>
      <c r="OE113" s="14">
        <v>0</v>
      </c>
      <c r="OF113" s="14">
        <v>0</v>
      </c>
      <c r="OG113" s="14">
        <v>0</v>
      </c>
      <c r="OH113" s="14">
        <v>0</v>
      </c>
      <c r="OI113" s="14">
        <v>0</v>
      </c>
      <c r="OJ113" s="14">
        <v>0</v>
      </c>
      <c r="OK113" s="14">
        <v>0</v>
      </c>
      <c r="OL113" s="14">
        <v>0</v>
      </c>
      <c r="OM113" s="14">
        <v>0</v>
      </c>
      <c r="ON113" s="14">
        <v>0</v>
      </c>
      <c r="OO113" s="14">
        <v>0</v>
      </c>
      <c r="OP113" s="14">
        <v>0</v>
      </c>
      <c r="OQ113" s="14">
        <v>0</v>
      </c>
      <c r="OR113" s="14">
        <v>0</v>
      </c>
      <c r="OS113" s="14">
        <v>0</v>
      </c>
      <c r="OT113" s="14">
        <v>0</v>
      </c>
      <c r="OU113" s="14">
        <v>0</v>
      </c>
      <c r="OV113" s="14">
        <v>0</v>
      </c>
      <c r="OW113" s="14">
        <v>0</v>
      </c>
      <c r="OX113" s="14">
        <v>0</v>
      </c>
      <c r="OY113" s="14">
        <v>0</v>
      </c>
      <c r="OZ113" s="14">
        <v>0</v>
      </c>
      <c r="PA113" s="14">
        <v>0</v>
      </c>
      <c r="PB113" s="14">
        <v>0</v>
      </c>
      <c r="PC113" s="14">
        <v>0</v>
      </c>
      <c r="PD113" s="14">
        <v>0</v>
      </c>
      <c r="PE113" s="14">
        <v>0</v>
      </c>
      <c r="PF113" s="14">
        <v>0</v>
      </c>
      <c r="PG113" s="14">
        <v>0</v>
      </c>
      <c r="PH113" s="14">
        <v>0</v>
      </c>
      <c r="PI113" s="14">
        <v>0</v>
      </c>
      <c r="PJ113" s="14">
        <v>0</v>
      </c>
      <c r="PK113" s="14">
        <v>0</v>
      </c>
      <c r="PL113" s="14">
        <v>0</v>
      </c>
      <c r="PM113" s="14">
        <v>0</v>
      </c>
      <c r="PN113" s="14">
        <v>0</v>
      </c>
      <c r="PO113" s="14">
        <v>0</v>
      </c>
      <c r="PP113" s="14">
        <v>0</v>
      </c>
      <c r="PQ113" s="14">
        <v>0</v>
      </c>
      <c r="PR113" s="14">
        <v>0</v>
      </c>
      <c r="PS113" s="14">
        <v>0</v>
      </c>
      <c r="PT113" s="14">
        <v>0</v>
      </c>
      <c r="PU113" s="14">
        <v>0</v>
      </c>
      <c r="PV113" s="14">
        <v>0</v>
      </c>
      <c r="PW113" s="14">
        <v>0</v>
      </c>
      <c r="PX113" s="14">
        <v>0</v>
      </c>
      <c r="PY113" s="14">
        <v>0</v>
      </c>
      <c r="PZ113" s="14">
        <v>0</v>
      </c>
      <c r="QA113" s="14">
        <v>0</v>
      </c>
      <c r="QB113" s="14">
        <v>0</v>
      </c>
      <c r="QC113" s="14">
        <v>0</v>
      </c>
      <c r="QD113" s="14">
        <v>0</v>
      </c>
      <c r="QE113" s="14">
        <v>0</v>
      </c>
      <c r="QF113" s="14">
        <v>0</v>
      </c>
      <c r="QG113" s="14">
        <v>0</v>
      </c>
      <c r="QH113" s="14">
        <v>0</v>
      </c>
      <c r="QI113" s="14">
        <v>0</v>
      </c>
      <c r="QJ113" s="14">
        <v>0</v>
      </c>
      <c r="QK113" s="14">
        <v>0</v>
      </c>
      <c r="QL113" s="14">
        <v>0</v>
      </c>
      <c r="QM113" s="14">
        <v>0</v>
      </c>
      <c r="QN113" s="14">
        <v>0</v>
      </c>
      <c r="QO113" s="14">
        <v>0</v>
      </c>
      <c r="QP113" s="14">
        <v>0</v>
      </c>
      <c r="QQ113" s="14">
        <v>0</v>
      </c>
      <c r="QR113" s="14">
        <v>0</v>
      </c>
      <c r="QS113" s="14">
        <v>0</v>
      </c>
      <c r="QT113" s="14">
        <v>0</v>
      </c>
      <c r="QU113" s="14">
        <v>0</v>
      </c>
      <c r="QV113" s="14">
        <v>0</v>
      </c>
      <c r="QW113" s="14">
        <v>0</v>
      </c>
      <c r="QX113" s="14">
        <v>0</v>
      </c>
      <c r="QY113" s="14">
        <v>0</v>
      </c>
      <c r="QZ113" s="14">
        <v>0</v>
      </c>
      <c r="RA113" s="14">
        <v>0</v>
      </c>
      <c r="RB113" s="14">
        <v>0</v>
      </c>
      <c r="RC113" s="14">
        <v>0</v>
      </c>
      <c r="RD113" s="14">
        <v>0</v>
      </c>
      <c r="RE113" s="14">
        <v>0</v>
      </c>
      <c r="RF113" s="14">
        <v>0</v>
      </c>
      <c r="RG113" s="14">
        <v>0</v>
      </c>
      <c r="RH113" s="14">
        <v>0</v>
      </c>
      <c r="RI113" s="14">
        <v>0</v>
      </c>
      <c r="RJ113" s="14">
        <v>0</v>
      </c>
      <c r="RK113" s="14">
        <v>0</v>
      </c>
      <c r="RL113" s="14">
        <v>0</v>
      </c>
      <c r="RM113" s="14">
        <v>0</v>
      </c>
      <c r="RN113" s="14">
        <v>0</v>
      </c>
      <c r="RO113" s="14">
        <v>0</v>
      </c>
      <c r="RP113" s="14">
        <v>0</v>
      </c>
      <c r="RQ113" s="14">
        <v>0</v>
      </c>
      <c r="RR113" s="14">
        <v>0</v>
      </c>
      <c r="SA113" s="14">
        <f t="shared" si="1175"/>
        <v>16384</v>
      </c>
      <c r="SB113" s="14">
        <v>0</v>
      </c>
      <c r="SC113" s="14">
        <v>0</v>
      </c>
      <c r="SD113" s="14">
        <v>0</v>
      </c>
      <c r="SE113" s="14">
        <v>0</v>
      </c>
      <c r="SF113" s="14">
        <v>0</v>
      </c>
      <c r="SG113" s="14">
        <v>0</v>
      </c>
      <c r="SH113" s="14">
        <v>0</v>
      </c>
      <c r="SI113" s="14">
        <v>0</v>
      </c>
      <c r="SJ113" s="14">
        <v>0</v>
      </c>
      <c r="SK113" s="14">
        <v>0</v>
      </c>
      <c r="SL113" s="14">
        <v>0</v>
      </c>
      <c r="SM113" s="14">
        <v>0</v>
      </c>
      <c r="SN113" s="14">
        <v>0</v>
      </c>
      <c r="SO113" s="14">
        <v>0</v>
      </c>
      <c r="SP113" s="14">
        <v>0</v>
      </c>
      <c r="SQ113" s="14">
        <v>0</v>
      </c>
      <c r="SR113" s="14">
        <v>0</v>
      </c>
      <c r="SS113" s="14">
        <v>0</v>
      </c>
      <c r="ST113" s="14">
        <v>0</v>
      </c>
      <c r="SU113" s="14">
        <v>0</v>
      </c>
      <c r="SV113" s="14">
        <v>0</v>
      </c>
      <c r="SW113" s="14">
        <v>0</v>
      </c>
      <c r="SX113" s="14">
        <v>0</v>
      </c>
      <c r="SY113" s="14">
        <v>0</v>
      </c>
      <c r="SZ113" s="14">
        <v>0</v>
      </c>
      <c r="TA113" s="14">
        <v>0</v>
      </c>
      <c r="TB113" s="14">
        <v>0</v>
      </c>
      <c r="TC113" s="14">
        <v>0</v>
      </c>
      <c r="TD113" s="14">
        <v>0</v>
      </c>
      <c r="TE113" s="14">
        <v>0</v>
      </c>
      <c r="TF113" s="14">
        <v>0</v>
      </c>
      <c r="TG113" s="14">
        <v>0</v>
      </c>
      <c r="TH113" s="14">
        <v>0</v>
      </c>
      <c r="TI113" s="14">
        <v>0</v>
      </c>
      <c r="TJ113" s="14">
        <v>0</v>
      </c>
      <c r="TK113" s="14">
        <v>0</v>
      </c>
      <c r="TL113" s="14">
        <v>0</v>
      </c>
      <c r="TM113" s="14">
        <v>0</v>
      </c>
      <c r="TN113" s="14">
        <v>0</v>
      </c>
      <c r="TO113" s="14">
        <v>0</v>
      </c>
      <c r="TP113" s="14">
        <v>0</v>
      </c>
      <c r="TQ113" s="14">
        <v>0</v>
      </c>
      <c r="TR113" s="14">
        <v>0</v>
      </c>
      <c r="TS113" s="14">
        <v>0</v>
      </c>
      <c r="TT113" s="14">
        <v>0</v>
      </c>
      <c r="TU113" s="14">
        <v>0</v>
      </c>
      <c r="TV113" s="14">
        <v>0</v>
      </c>
      <c r="TW113" s="14">
        <v>0</v>
      </c>
      <c r="TX113" s="14">
        <v>0</v>
      </c>
      <c r="TY113" s="14">
        <v>0</v>
      </c>
      <c r="TZ113" s="14">
        <v>0</v>
      </c>
      <c r="UA113" s="14">
        <v>0</v>
      </c>
      <c r="UB113" s="14">
        <v>0</v>
      </c>
      <c r="UC113" s="14">
        <v>0</v>
      </c>
      <c r="UD113" s="14">
        <v>0</v>
      </c>
      <c r="UE113" s="14">
        <v>0</v>
      </c>
      <c r="UF113" s="14">
        <v>0</v>
      </c>
      <c r="UG113" s="14">
        <v>0</v>
      </c>
      <c r="UH113" s="14">
        <v>0</v>
      </c>
      <c r="UI113" s="14">
        <v>0</v>
      </c>
      <c r="UJ113" s="14">
        <v>0</v>
      </c>
      <c r="UK113" s="14">
        <v>0</v>
      </c>
      <c r="UL113" s="14">
        <v>0</v>
      </c>
      <c r="UM113" s="14">
        <v>0</v>
      </c>
      <c r="UN113" s="14">
        <v>0</v>
      </c>
      <c r="UO113" s="14">
        <v>0</v>
      </c>
      <c r="UP113" s="14">
        <v>0</v>
      </c>
      <c r="UQ113" s="14">
        <v>0</v>
      </c>
      <c r="UR113" s="14">
        <v>0</v>
      </c>
      <c r="US113" s="14">
        <v>0</v>
      </c>
      <c r="UT113" s="14">
        <v>0</v>
      </c>
      <c r="UU113" s="14">
        <v>0</v>
      </c>
      <c r="UV113" s="14">
        <v>0</v>
      </c>
      <c r="UW113" s="14">
        <v>0</v>
      </c>
      <c r="UX113" s="14">
        <v>0</v>
      </c>
      <c r="UY113" s="14">
        <v>0</v>
      </c>
      <c r="UZ113" s="14">
        <v>0</v>
      </c>
      <c r="VA113" s="14">
        <v>0</v>
      </c>
      <c r="VB113" s="14">
        <v>0</v>
      </c>
      <c r="VC113" s="14">
        <v>0</v>
      </c>
      <c r="VD113" s="14">
        <v>0</v>
      </c>
      <c r="VE113" s="14">
        <v>0</v>
      </c>
      <c r="VF113" s="14">
        <v>0</v>
      </c>
      <c r="VG113" s="14">
        <v>0</v>
      </c>
      <c r="VH113" s="14">
        <v>0</v>
      </c>
      <c r="VI113" s="14">
        <v>0</v>
      </c>
      <c r="VJ113" s="14">
        <v>0</v>
      </c>
      <c r="VK113" s="14">
        <v>0</v>
      </c>
      <c r="VL113" s="14">
        <v>0</v>
      </c>
      <c r="VM113" s="14">
        <v>0</v>
      </c>
      <c r="VN113" s="14">
        <v>0</v>
      </c>
      <c r="VO113" s="14">
        <v>0</v>
      </c>
      <c r="VP113" s="14">
        <v>0</v>
      </c>
      <c r="VQ113" s="14">
        <v>0</v>
      </c>
      <c r="VR113" s="14">
        <v>0</v>
      </c>
      <c r="VS113" s="14">
        <v>0</v>
      </c>
      <c r="VT113" s="14">
        <v>0</v>
      </c>
      <c r="VU113" s="14">
        <v>0</v>
      </c>
      <c r="VV113" s="14">
        <v>0</v>
      </c>
      <c r="VW113" s="14">
        <v>0</v>
      </c>
      <c r="VX113" s="14">
        <v>0</v>
      </c>
      <c r="VY113" s="14">
        <v>0</v>
      </c>
      <c r="VZ113" s="14">
        <v>0</v>
      </c>
      <c r="AKQ113" s="14">
        <f t="shared" si="1180"/>
        <v>16384</v>
      </c>
    </row>
    <row r="114" spans="1:979" ht="15" customHeight="1" x14ac:dyDescent="0.25">
      <c r="A114" s="14"/>
      <c r="NR114" s="14">
        <f t="shared" si="1170"/>
        <v>32768</v>
      </c>
      <c r="NS114" s="14">
        <f t="shared" ref="NS114:OX114" si="1237" xml:space="preserve"> IF( NOT(EXACT(NS35, "CS_SWITCH_REQUESTED_E")), 1, 0)</f>
        <v>1</v>
      </c>
      <c r="NT114" s="14">
        <f t="shared" si="1237"/>
        <v>0</v>
      </c>
      <c r="NU114" s="14">
        <f t="shared" si="1237"/>
        <v>1</v>
      </c>
      <c r="NV114" s="14">
        <f t="shared" si="1237"/>
        <v>1</v>
      </c>
      <c r="NW114" s="14">
        <f t="shared" si="1237"/>
        <v>1</v>
      </c>
      <c r="NX114" s="14">
        <f t="shared" si="1237"/>
        <v>1</v>
      </c>
      <c r="NY114" s="14">
        <f t="shared" si="1237"/>
        <v>1</v>
      </c>
      <c r="NZ114" s="14">
        <f t="shared" si="1237"/>
        <v>1</v>
      </c>
      <c r="OA114" s="14">
        <f t="shared" si="1237"/>
        <v>1</v>
      </c>
      <c r="OB114" s="14">
        <f t="shared" si="1237"/>
        <v>1</v>
      </c>
      <c r="OC114" s="14">
        <f t="shared" si="1237"/>
        <v>1</v>
      </c>
      <c r="OD114" s="14">
        <f t="shared" si="1237"/>
        <v>0</v>
      </c>
      <c r="OE114" s="14">
        <f t="shared" si="1237"/>
        <v>0</v>
      </c>
      <c r="OF114" s="14">
        <f t="shared" si="1237"/>
        <v>0</v>
      </c>
      <c r="OG114" s="14">
        <f t="shared" si="1237"/>
        <v>0</v>
      </c>
      <c r="OH114" s="14">
        <f t="shared" si="1237"/>
        <v>0</v>
      </c>
      <c r="OI114" s="14">
        <f t="shared" si="1237"/>
        <v>0</v>
      </c>
      <c r="OJ114" s="14">
        <f t="shared" si="1237"/>
        <v>0</v>
      </c>
      <c r="OK114" s="14">
        <f t="shared" si="1237"/>
        <v>0</v>
      </c>
      <c r="OL114" s="14">
        <f t="shared" si="1237"/>
        <v>0</v>
      </c>
      <c r="OM114" s="14">
        <f t="shared" si="1237"/>
        <v>0</v>
      </c>
      <c r="ON114" s="14">
        <f t="shared" si="1237"/>
        <v>0</v>
      </c>
      <c r="OO114" s="14">
        <f t="shared" si="1237"/>
        <v>0</v>
      </c>
      <c r="OP114" s="14">
        <f t="shared" si="1237"/>
        <v>0</v>
      </c>
      <c r="OQ114" s="14">
        <f t="shared" si="1237"/>
        <v>0</v>
      </c>
      <c r="OR114" s="14">
        <f t="shared" si="1237"/>
        <v>0</v>
      </c>
      <c r="OS114" s="14">
        <f t="shared" si="1237"/>
        <v>0</v>
      </c>
      <c r="OT114" s="14">
        <f t="shared" si="1237"/>
        <v>0</v>
      </c>
      <c r="OU114" s="14">
        <f t="shared" si="1237"/>
        <v>0</v>
      </c>
      <c r="OV114" s="14">
        <f t="shared" si="1237"/>
        <v>0</v>
      </c>
      <c r="OW114" s="14">
        <f t="shared" si="1237"/>
        <v>0</v>
      </c>
      <c r="OX114" s="14">
        <f t="shared" si="1237"/>
        <v>0</v>
      </c>
      <c r="OY114" s="14">
        <f t="shared" ref="OY114:QD114" si="1238" xml:space="preserve"> IF( NOT(EXACT(OY35, "CS_SWITCH_REQUESTED_E")), 1, 0)</f>
        <v>0</v>
      </c>
      <c r="OZ114" s="14">
        <f t="shared" si="1238"/>
        <v>0</v>
      </c>
      <c r="PA114" s="14">
        <f t="shared" si="1238"/>
        <v>0</v>
      </c>
      <c r="PB114" s="14">
        <f t="shared" si="1238"/>
        <v>0</v>
      </c>
      <c r="PC114" s="14">
        <f t="shared" si="1238"/>
        <v>0</v>
      </c>
      <c r="PD114" s="14">
        <f t="shared" si="1238"/>
        <v>0</v>
      </c>
      <c r="PE114" s="14">
        <f t="shared" si="1238"/>
        <v>0</v>
      </c>
      <c r="PF114" s="14">
        <f t="shared" si="1238"/>
        <v>0</v>
      </c>
      <c r="PG114" s="14">
        <f t="shared" si="1238"/>
        <v>0</v>
      </c>
      <c r="PH114" s="14">
        <f t="shared" si="1238"/>
        <v>0</v>
      </c>
      <c r="PI114" s="14">
        <f t="shared" si="1238"/>
        <v>1</v>
      </c>
      <c r="PJ114" s="14">
        <f t="shared" si="1238"/>
        <v>1</v>
      </c>
      <c r="PK114" s="14">
        <f t="shared" si="1238"/>
        <v>0</v>
      </c>
      <c r="PL114" s="14">
        <f t="shared" si="1238"/>
        <v>0</v>
      </c>
      <c r="PM114" s="14">
        <f t="shared" si="1238"/>
        <v>0</v>
      </c>
      <c r="PN114" s="14">
        <f t="shared" si="1238"/>
        <v>0</v>
      </c>
      <c r="PO114" s="14">
        <f t="shared" si="1238"/>
        <v>0</v>
      </c>
      <c r="PP114" s="14">
        <f t="shared" si="1238"/>
        <v>0</v>
      </c>
      <c r="PQ114" s="14">
        <f t="shared" si="1238"/>
        <v>0</v>
      </c>
      <c r="PR114" s="14">
        <f t="shared" si="1238"/>
        <v>0</v>
      </c>
      <c r="PS114" s="14">
        <f t="shared" si="1238"/>
        <v>0</v>
      </c>
      <c r="PT114" s="14">
        <f t="shared" si="1238"/>
        <v>0</v>
      </c>
      <c r="PU114" s="14">
        <f t="shared" si="1238"/>
        <v>0</v>
      </c>
      <c r="PV114" s="14">
        <f t="shared" si="1238"/>
        <v>0</v>
      </c>
      <c r="PW114" s="14">
        <f t="shared" si="1238"/>
        <v>0</v>
      </c>
      <c r="PX114" s="14">
        <f t="shared" si="1238"/>
        <v>0</v>
      </c>
      <c r="PY114" s="14">
        <f t="shared" si="1238"/>
        <v>1</v>
      </c>
      <c r="PZ114" s="14">
        <f t="shared" si="1238"/>
        <v>1</v>
      </c>
      <c r="QA114" s="14">
        <f t="shared" si="1238"/>
        <v>0</v>
      </c>
      <c r="QB114" s="14">
        <f t="shared" si="1238"/>
        <v>1</v>
      </c>
      <c r="QC114" s="14">
        <f t="shared" si="1238"/>
        <v>1</v>
      </c>
      <c r="QD114" s="14">
        <f t="shared" si="1238"/>
        <v>1</v>
      </c>
      <c r="QE114" s="14">
        <f t="shared" ref="QE114:RI114" si="1239" xml:space="preserve"> IF( NOT(EXACT(QE35, "CS_SWITCH_REQUESTED_E")), 1, 0)</f>
        <v>0</v>
      </c>
      <c r="QF114" s="14">
        <f t="shared" si="1239"/>
        <v>1</v>
      </c>
      <c r="QG114" s="14">
        <f t="shared" si="1239"/>
        <v>1</v>
      </c>
      <c r="QH114" s="14">
        <f t="shared" si="1239"/>
        <v>0</v>
      </c>
      <c r="QI114" s="14">
        <f t="shared" si="1239"/>
        <v>1</v>
      </c>
      <c r="QJ114" s="14">
        <f t="shared" si="1239"/>
        <v>1</v>
      </c>
      <c r="QK114" s="14">
        <f t="shared" si="1239"/>
        <v>1</v>
      </c>
      <c r="QL114" s="14">
        <f t="shared" si="1239"/>
        <v>1</v>
      </c>
      <c r="QM114" s="14">
        <f t="shared" si="1239"/>
        <v>1</v>
      </c>
      <c r="QN114" s="14">
        <f t="shared" si="1239"/>
        <v>0</v>
      </c>
      <c r="QO114" s="14">
        <f t="shared" si="1239"/>
        <v>1</v>
      </c>
      <c r="QP114" s="14">
        <f t="shared" si="1239"/>
        <v>1</v>
      </c>
      <c r="QQ114" s="14">
        <f t="shared" si="1239"/>
        <v>1</v>
      </c>
      <c r="QR114" s="14">
        <f t="shared" si="1239"/>
        <v>1</v>
      </c>
      <c r="QS114" s="14">
        <f t="shared" si="1239"/>
        <v>1</v>
      </c>
      <c r="QT114" s="14">
        <f t="shared" si="1239"/>
        <v>0</v>
      </c>
      <c r="QU114" s="14">
        <f t="shared" si="1239"/>
        <v>0</v>
      </c>
      <c r="QV114" s="14">
        <f t="shared" si="1239"/>
        <v>1</v>
      </c>
      <c r="QW114" s="14">
        <f t="shared" si="1239"/>
        <v>1</v>
      </c>
      <c r="QX114" s="14">
        <f t="shared" si="1239"/>
        <v>1</v>
      </c>
      <c r="QY114" s="14">
        <f t="shared" si="1239"/>
        <v>1</v>
      </c>
      <c r="QZ114" s="14">
        <f t="shared" si="1239"/>
        <v>1</v>
      </c>
      <c r="RA114" s="14">
        <f t="shared" si="1239"/>
        <v>1</v>
      </c>
      <c r="RB114" s="14">
        <f t="shared" si="1239"/>
        <v>1</v>
      </c>
      <c r="RC114" s="14">
        <f t="shared" si="1239"/>
        <v>1</v>
      </c>
      <c r="RD114" s="14">
        <f t="shared" si="1239"/>
        <v>1</v>
      </c>
      <c r="RE114" s="14">
        <f t="shared" si="1239"/>
        <v>1</v>
      </c>
      <c r="RF114" s="14">
        <f t="shared" si="1239"/>
        <v>1</v>
      </c>
      <c r="RG114" s="14">
        <f t="shared" si="1239"/>
        <v>1</v>
      </c>
      <c r="RH114" s="14">
        <f t="shared" si="1239"/>
        <v>1</v>
      </c>
      <c r="RI114" s="14">
        <f t="shared" si="1239"/>
        <v>1</v>
      </c>
      <c r="RJ114" s="14">
        <f t="shared" ref="RJ114:RR114" si="1240" xml:space="preserve"> IF( NOT(EXACT(RJ35, "CS_SWITCH_REQUESTED_E")), 1, 0)</f>
        <v>1</v>
      </c>
      <c r="RK114" s="14">
        <f t="shared" si="1240"/>
        <v>1</v>
      </c>
      <c r="RL114" s="14">
        <f t="shared" si="1240"/>
        <v>1</v>
      </c>
      <c r="RM114" s="14">
        <f t="shared" si="1240"/>
        <v>1</v>
      </c>
      <c r="RN114" s="14">
        <f t="shared" si="1240"/>
        <v>1</v>
      </c>
      <c r="RO114" s="14">
        <f t="shared" si="1240"/>
        <v>1</v>
      </c>
      <c r="RP114" s="14">
        <f t="shared" si="1240"/>
        <v>1</v>
      </c>
      <c r="RQ114" s="14">
        <f t="shared" si="1240"/>
        <v>1</v>
      </c>
      <c r="RR114" s="14">
        <f t="shared" si="1240"/>
        <v>1</v>
      </c>
      <c r="SA114" s="14">
        <f t="shared" si="1175"/>
        <v>32768</v>
      </c>
      <c r="SB114" s="14">
        <f t="shared" ref="SB114:TG114" si="1241" xml:space="preserve"> IF( NOT(EXACT(SB35, "CS_SWITCH_REQUESTED_E")), 1, 0)</f>
        <v>1</v>
      </c>
      <c r="SC114" s="14">
        <f t="shared" si="1241"/>
        <v>0</v>
      </c>
      <c r="SD114" s="14">
        <f t="shared" si="1241"/>
        <v>1</v>
      </c>
      <c r="SE114" s="14">
        <f t="shared" si="1241"/>
        <v>1</v>
      </c>
      <c r="SF114" s="14">
        <f t="shared" si="1241"/>
        <v>1</v>
      </c>
      <c r="SG114" s="14">
        <f t="shared" si="1241"/>
        <v>1</v>
      </c>
      <c r="SH114" s="14">
        <f t="shared" si="1241"/>
        <v>1</v>
      </c>
      <c r="SI114" s="14">
        <f t="shared" si="1241"/>
        <v>1</v>
      </c>
      <c r="SJ114" s="14">
        <f t="shared" si="1241"/>
        <v>1</v>
      </c>
      <c r="SK114" s="14">
        <f t="shared" si="1241"/>
        <v>1</v>
      </c>
      <c r="SL114" s="14">
        <f t="shared" si="1241"/>
        <v>1</v>
      </c>
      <c r="SM114" s="14">
        <f t="shared" si="1241"/>
        <v>0</v>
      </c>
      <c r="SN114" s="14">
        <f t="shared" si="1241"/>
        <v>0</v>
      </c>
      <c r="SO114" s="14">
        <f t="shared" si="1241"/>
        <v>0</v>
      </c>
      <c r="SP114" s="14">
        <f t="shared" si="1241"/>
        <v>0</v>
      </c>
      <c r="SQ114" s="14">
        <f t="shared" si="1241"/>
        <v>0</v>
      </c>
      <c r="SR114" s="14">
        <f t="shared" si="1241"/>
        <v>0</v>
      </c>
      <c r="SS114" s="14">
        <f t="shared" si="1241"/>
        <v>0</v>
      </c>
      <c r="ST114" s="14">
        <f t="shared" si="1241"/>
        <v>0</v>
      </c>
      <c r="SU114" s="14">
        <f t="shared" si="1241"/>
        <v>0</v>
      </c>
      <c r="SV114" s="14">
        <f t="shared" si="1241"/>
        <v>0</v>
      </c>
      <c r="SW114" s="14">
        <f t="shared" si="1241"/>
        <v>0</v>
      </c>
      <c r="SX114" s="14">
        <f t="shared" si="1241"/>
        <v>0</v>
      </c>
      <c r="SY114" s="14">
        <f t="shared" si="1241"/>
        <v>0</v>
      </c>
      <c r="SZ114" s="14">
        <f t="shared" si="1241"/>
        <v>0</v>
      </c>
      <c r="TA114" s="14">
        <f t="shared" si="1241"/>
        <v>0</v>
      </c>
      <c r="TB114" s="14">
        <f t="shared" si="1241"/>
        <v>0</v>
      </c>
      <c r="TC114" s="14">
        <f t="shared" si="1241"/>
        <v>0</v>
      </c>
      <c r="TD114" s="14">
        <f t="shared" si="1241"/>
        <v>0</v>
      </c>
      <c r="TE114" s="14">
        <f t="shared" si="1241"/>
        <v>0</v>
      </c>
      <c r="TF114" s="14">
        <f t="shared" si="1241"/>
        <v>0</v>
      </c>
      <c r="TG114" s="14">
        <f t="shared" si="1241"/>
        <v>0</v>
      </c>
      <c r="TH114" s="14">
        <f t="shared" ref="TH114:UM114" si="1242" xml:space="preserve"> IF( NOT(EXACT(TH35, "CS_SWITCH_REQUESTED_E")), 1, 0)</f>
        <v>0</v>
      </c>
      <c r="TI114" s="14">
        <f t="shared" si="1242"/>
        <v>0</v>
      </c>
      <c r="TJ114" s="14">
        <f t="shared" si="1242"/>
        <v>0</v>
      </c>
      <c r="TK114" s="14">
        <f t="shared" si="1242"/>
        <v>0</v>
      </c>
      <c r="TL114" s="14">
        <f t="shared" si="1242"/>
        <v>0</v>
      </c>
      <c r="TM114" s="14">
        <f t="shared" si="1242"/>
        <v>0</v>
      </c>
      <c r="TN114" s="14">
        <f t="shared" si="1242"/>
        <v>0</v>
      </c>
      <c r="TO114" s="14">
        <f t="shared" si="1242"/>
        <v>0</v>
      </c>
      <c r="TP114" s="14">
        <f t="shared" si="1242"/>
        <v>0</v>
      </c>
      <c r="TQ114" s="14">
        <f t="shared" si="1242"/>
        <v>1</v>
      </c>
      <c r="TR114" s="14">
        <f t="shared" si="1242"/>
        <v>1</v>
      </c>
      <c r="TS114" s="14">
        <f t="shared" si="1242"/>
        <v>0</v>
      </c>
      <c r="TT114" s="14">
        <f t="shared" si="1242"/>
        <v>0</v>
      </c>
      <c r="TU114" s="14">
        <f t="shared" si="1242"/>
        <v>0</v>
      </c>
      <c r="TV114" s="14">
        <f t="shared" si="1242"/>
        <v>0</v>
      </c>
      <c r="TW114" s="14">
        <f t="shared" si="1242"/>
        <v>0</v>
      </c>
      <c r="TX114" s="14">
        <f t="shared" si="1242"/>
        <v>0</v>
      </c>
      <c r="TY114" s="14">
        <f t="shared" si="1242"/>
        <v>0</v>
      </c>
      <c r="TZ114" s="14">
        <f t="shared" si="1242"/>
        <v>0</v>
      </c>
      <c r="UA114" s="14">
        <f t="shared" si="1242"/>
        <v>0</v>
      </c>
      <c r="UB114" s="14">
        <f t="shared" si="1242"/>
        <v>0</v>
      </c>
      <c r="UC114" s="14">
        <f t="shared" si="1242"/>
        <v>0</v>
      </c>
      <c r="UD114" s="14">
        <f t="shared" si="1242"/>
        <v>0</v>
      </c>
      <c r="UE114" s="14">
        <f t="shared" si="1242"/>
        <v>0</v>
      </c>
      <c r="UF114" s="14">
        <f t="shared" si="1242"/>
        <v>0</v>
      </c>
      <c r="UG114" s="14">
        <f t="shared" si="1242"/>
        <v>1</v>
      </c>
      <c r="UH114" s="14">
        <f t="shared" si="1242"/>
        <v>1</v>
      </c>
      <c r="UI114" s="14">
        <f t="shared" si="1242"/>
        <v>0</v>
      </c>
      <c r="UJ114" s="14">
        <f t="shared" si="1242"/>
        <v>1</v>
      </c>
      <c r="UK114" s="14">
        <f t="shared" si="1242"/>
        <v>1</v>
      </c>
      <c r="UL114" s="14">
        <f t="shared" si="1242"/>
        <v>1</v>
      </c>
      <c r="UM114" s="14">
        <f t="shared" si="1242"/>
        <v>0</v>
      </c>
      <c r="UN114" s="14">
        <f t="shared" ref="UN114:VS114" si="1243" xml:space="preserve"> IF( NOT(EXACT(UN35, "CS_SWITCH_REQUESTED_E")), 1, 0)</f>
        <v>1</v>
      </c>
      <c r="UO114" s="14">
        <f t="shared" si="1243"/>
        <v>1</v>
      </c>
      <c r="UP114" s="14">
        <f t="shared" si="1243"/>
        <v>0</v>
      </c>
      <c r="UQ114" s="14">
        <f t="shared" si="1243"/>
        <v>1</v>
      </c>
      <c r="UR114" s="14">
        <f t="shared" si="1243"/>
        <v>1</v>
      </c>
      <c r="US114" s="14">
        <f t="shared" si="1243"/>
        <v>1</v>
      </c>
      <c r="UT114" s="14">
        <f t="shared" si="1243"/>
        <v>1</v>
      </c>
      <c r="UU114" s="14">
        <f t="shared" si="1243"/>
        <v>1</v>
      </c>
      <c r="UV114" s="14">
        <f t="shared" si="1243"/>
        <v>0</v>
      </c>
      <c r="UW114" s="14">
        <f t="shared" si="1243"/>
        <v>1</v>
      </c>
      <c r="UX114" s="14">
        <f t="shared" si="1243"/>
        <v>1</v>
      </c>
      <c r="UY114" s="14">
        <f t="shared" si="1243"/>
        <v>1</v>
      </c>
      <c r="UZ114" s="14">
        <f t="shared" si="1243"/>
        <v>1</v>
      </c>
      <c r="VA114" s="14">
        <f t="shared" si="1243"/>
        <v>1</v>
      </c>
      <c r="VB114" s="14">
        <f t="shared" si="1243"/>
        <v>0</v>
      </c>
      <c r="VC114" s="14">
        <f t="shared" si="1243"/>
        <v>0</v>
      </c>
      <c r="VD114" s="14">
        <f t="shared" si="1243"/>
        <v>1</v>
      </c>
      <c r="VE114" s="14">
        <f t="shared" si="1243"/>
        <v>1</v>
      </c>
      <c r="VF114" s="14">
        <f t="shared" si="1243"/>
        <v>1</v>
      </c>
      <c r="VG114" s="14">
        <f t="shared" si="1243"/>
        <v>1</v>
      </c>
      <c r="VH114" s="14">
        <f t="shared" si="1243"/>
        <v>1</v>
      </c>
      <c r="VI114" s="14">
        <f t="shared" si="1243"/>
        <v>1</v>
      </c>
      <c r="VJ114" s="14">
        <f t="shared" si="1243"/>
        <v>1</v>
      </c>
      <c r="VK114" s="14">
        <f t="shared" si="1243"/>
        <v>1</v>
      </c>
      <c r="VL114" s="14">
        <f t="shared" si="1243"/>
        <v>1</v>
      </c>
      <c r="VM114" s="14">
        <f t="shared" si="1243"/>
        <v>1</v>
      </c>
      <c r="VN114" s="14">
        <f t="shared" si="1243"/>
        <v>1</v>
      </c>
      <c r="VO114" s="14">
        <f t="shared" si="1243"/>
        <v>1</v>
      </c>
      <c r="VP114" s="14">
        <f t="shared" si="1243"/>
        <v>1</v>
      </c>
      <c r="VQ114" s="14">
        <f t="shared" si="1243"/>
        <v>1</v>
      </c>
      <c r="VR114" s="14">
        <f t="shared" si="1243"/>
        <v>1</v>
      </c>
      <c r="VS114" s="14">
        <f t="shared" si="1243"/>
        <v>1</v>
      </c>
      <c r="VT114" s="14">
        <f t="shared" ref="VT114:VZ114" si="1244" xml:space="preserve"> IF( NOT(EXACT(VT35, "CS_SWITCH_REQUESTED_E")), 1, 0)</f>
        <v>1</v>
      </c>
      <c r="VU114" s="14">
        <f t="shared" si="1244"/>
        <v>1</v>
      </c>
      <c r="VV114" s="14">
        <f t="shared" si="1244"/>
        <v>1</v>
      </c>
      <c r="VW114" s="14">
        <f t="shared" si="1244"/>
        <v>1</v>
      </c>
      <c r="VX114" s="14">
        <f t="shared" si="1244"/>
        <v>1</v>
      </c>
      <c r="VY114" s="14">
        <f t="shared" si="1244"/>
        <v>1</v>
      </c>
      <c r="VZ114" s="14">
        <f t="shared" si="1244"/>
        <v>1</v>
      </c>
      <c r="AKQ114" s="14">
        <f t="shared" si="1180"/>
        <v>32768</v>
      </c>
    </row>
    <row r="115" spans="1:979" ht="15" customHeight="1" x14ac:dyDescent="0.25">
      <c r="A115" s="14"/>
    </row>
    <row r="116" spans="1:979" ht="15" customHeight="1" x14ac:dyDescent="0.25">
      <c r="A116" s="14"/>
    </row>
    <row r="117" spans="1:979" ht="15" customHeight="1" x14ac:dyDescent="0.25">
      <c r="A117" s="14"/>
      <c r="B117" s="7" t="s">
        <v>444</v>
      </c>
      <c r="NS117" s="14" t="str">
        <f>NS126&amp;NS125&amp;NS124&amp;NS123&amp;NS122&amp;NS121&amp;NS120&amp;NS119&amp;NS118</f>
        <v>010010000</v>
      </c>
      <c r="NT117" s="14" t="str">
        <f>NT126&amp;NT125&amp;NT124&amp;NT123&amp;NT122&amp;NT121&amp;NT120&amp;NT119&amp;NT118</f>
        <v>000011000</v>
      </c>
      <c r="NU117" s="14" t="str">
        <f t="shared" ref="NU117:PX117" si="1245">NU126&amp;NU125&amp;NU124&amp;NU123&amp;NU122&amp;NU121&amp;NU120&amp;NU119&amp;NU118</f>
        <v>000011000</v>
      </c>
      <c r="NV117" s="14" t="str">
        <f t="shared" si="1245"/>
        <v>000011000</v>
      </c>
      <c r="NW117" s="14" t="str">
        <f t="shared" si="1245"/>
        <v>000010001</v>
      </c>
      <c r="NX117" s="14" t="str">
        <f t="shared" si="1245"/>
        <v>000000100</v>
      </c>
      <c r="NY117" s="14" t="str">
        <f t="shared" si="1245"/>
        <v>000010100</v>
      </c>
      <c r="NZ117" s="14" t="str">
        <f t="shared" si="1245"/>
        <v>000010100</v>
      </c>
      <c r="OA117" s="14" t="str">
        <f t="shared" si="1245"/>
        <v>000010010</v>
      </c>
      <c r="OB117" s="14" t="str">
        <f t="shared" si="1245"/>
        <v>000010011</v>
      </c>
      <c r="OC117" s="14" t="str">
        <f t="shared" si="1245"/>
        <v>000010010</v>
      </c>
      <c r="OD117" s="14" t="str">
        <f t="shared" si="1245"/>
        <v>010010001</v>
      </c>
      <c r="OE117" s="14" t="str">
        <f t="shared" si="1245"/>
        <v>010010000</v>
      </c>
      <c r="OF117" s="14" t="str">
        <f t="shared" si="1245"/>
        <v>010010000</v>
      </c>
      <c r="OG117" s="14" t="str">
        <f t="shared" si="1245"/>
        <v>010010000</v>
      </c>
      <c r="OH117" s="14" t="str">
        <f t="shared" si="1245"/>
        <v>010010000</v>
      </c>
      <c r="OI117" s="14" t="str">
        <f t="shared" si="1245"/>
        <v>010010000</v>
      </c>
      <c r="OJ117" s="14" t="str">
        <f t="shared" si="1245"/>
        <v>010010000</v>
      </c>
      <c r="OK117" s="14" t="str">
        <f t="shared" si="1245"/>
        <v>010010000</v>
      </c>
      <c r="OL117" s="14" t="str">
        <f t="shared" si="1245"/>
        <v>010010000</v>
      </c>
      <c r="OM117" s="14" t="str">
        <f t="shared" si="1245"/>
        <v>010010000</v>
      </c>
      <c r="ON117" s="14" t="str">
        <f t="shared" si="1245"/>
        <v>010010000</v>
      </c>
      <c r="OO117" s="14" t="str">
        <f t="shared" si="1245"/>
        <v>010010000</v>
      </c>
      <c r="OP117" s="14" t="str">
        <f t="shared" si="1245"/>
        <v>010010000</v>
      </c>
      <c r="OQ117" s="14" t="str">
        <f t="shared" si="1245"/>
        <v>010010000</v>
      </c>
      <c r="OR117" s="14" t="str">
        <f t="shared" si="1245"/>
        <v>010010000</v>
      </c>
      <c r="OS117" s="14" t="str">
        <f t="shared" si="1245"/>
        <v>010010000</v>
      </c>
      <c r="OT117" s="14" t="str">
        <f t="shared" si="1245"/>
        <v>010010000</v>
      </c>
      <c r="OU117" s="14" t="str">
        <f t="shared" si="1245"/>
        <v>010010000</v>
      </c>
      <c r="OV117" s="14" t="str">
        <f t="shared" si="1245"/>
        <v>010010000</v>
      </c>
      <c r="OW117" s="14" t="str">
        <f t="shared" si="1245"/>
        <v>010010000</v>
      </c>
      <c r="OX117" s="14" t="str">
        <f t="shared" si="1245"/>
        <v>010010000</v>
      </c>
      <c r="OY117" s="14" t="str">
        <f t="shared" si="1245"/>
        <v>010011000</v>
      </c>
      <c r="OZ117" s="14" t="str">
        <f t="shared" si="1245"/>
        <v>010011000</v>
      </c>
      <c r="PA117" s="14" t="str">
        <f t="shared" si="1245"/>
        <v>010011000</v>
      </c>
      <c r="PB117" s="14" t="str">
        <f t="shared" si="1245"/>
        <v>010010100</v>
      </c>
      <c r="PC117" s="14" t="str">
        <f t="shared" si="1245"/>
        <v>010010100</v>
      </c>
      <c r="PD117" s="14" t="str">
        <f t="shared" si="1245"/>
        <v>010010100</v>
      </c>
      <c r="PE117" s="14" t="str">
        <f t="shared" si="1245"/>
        <v>010010010</v>
      </c>
      <c r="PF117" s="14" t="str">
        <f t="shared" si="1245"/>
        <v>010010010</v>
      </c>
      <c r="PG117" s="14" t="str">
        <f t="shared" si="1245"/>
        <v>010010010</v>
      </c>
      <c r="PH117" s="14" t="str">
        <f t="shared" si="1245"/>
        <v>010010001</v>
      </c>
      <c r="PI117" s="14" t="str">
        <f t="shared" si="1245"/>
        <v>010010000</v>
      </c>
      <c r="PJ117" s="14" t="str">
        <f t="shared" si="1245"/>
        <v>010010000</v>
      </c>
      <c r="PK117" s="14" t="str">
        <f t="shared" si="1245"/>
        <v>010000000</v>
      </c>
      <c r="PL117" s="14" t="str">
        <f t="shared" si="1245"/>
        <v>010010000</v>
      </c>
      <c r="PM117" s="14" t="str">
        <f t="shared" si="1245"/>
        <v>000011110</v>
      </c>
      <c r="PN117" s="14" t="str">
        <f t="shared" si="1245"/>
        <v>010010000</v>
      </c>
      <c r="PO117" s="14" t="str">
        <f t="shared" si="1245"/>
        <v>010011110</v>
      </c>
      <c r="PP117" s="14" t="str">
        <f t="shared" si="1245"/>
        <v>000001100</v>
      </c>
      <c r="PQ117" s="14" t="str">
        <f t="shared" si="1245"/>
        <v>000010010</v>
      </c>
      <c r="PR117" s="14" t="str">
        <f t="shared" si="1245"/>
        <v>000001101</v>
      </c>
      <c r="PS117" s="14" t="str">
        <f t="shared" si="1245"/>
        <v>000010010</v>
      </c>
      <c r="PT117" s="14" t="str">
        <f t="shared" si="1245"/>
        <v>000001100</v>
      </c>
      <c r="PU117" s="14" t="str">
        <f t="shared" si="1245"/>
        <v>000010010</v>
      </c>
      <c r="PV117" s="14" t="str">
        <f t="shared" si="1245"/>
        <v>000011010</v>
      </c>
      <c r="PW117" s="14" t="str">
        <f t="shared" si="1245"/>
        <v>010000010</v>
      </c>
      <c r="PX117" s="14" t="str">
        <f t="shared" si="1245"/>
        <v>010010001</v>
      </c>
      <c r="PY117" s="14" t="str">
        <f t="shared" ref="PY117" si="1246">PY126&amp;PY125&amp;PY124&amp;PY123&amp;PY122&amp;PY121&amp;PY120&amp;PY119&amp;PY118</f>
        <v>010001110</v>
      </c>
      <c r="PZ117" s="14" t="str">
        <f t="shared" ref="PZ117" si="1247">PZ126&amp;PZ125&amp;PZ124&amp;PZ123&amp;PZ122&amp;PZ121&amp;PZ120&amp;PZ119&amp;PZ118</f>
        <v>010010000</v>
      </c>
      <c r="QA117" s="14" t="str">
        <f t="shared" ref="QA117" si="1248">QA126&amp;QA125&amp;QA124&amp;QA123&amp;QA122&amp;QA121&amp;QA120&amp;QA119&amp;QA118</f>
        <v>000000010</v>
      </c>
      <c r="QB117" s="14" t="str">
        <f t="shared" ref="QB117:QC117" si="1249">QB126&amp;QB125&amp;QB124&amp;QB123&amp;QB122&amp;QB121&amp;QB120&amp;QB119&amp;QB118</f>
        <v>010000000</v>
      </c>
      <c r="QC117" s="14" t="str">
        <f t="shared" si="1249"/>
        <v>010000000</v>
      </c>
      <c r="QD117" s="14" t="str">
        <f t="shared" ref="QD117:QE117" si="1250">QD126&amp;QD125&amp;QD124&amp;QD123&amp;QD122&amp;QD121&amp;QD120&amp;QD119&amp;QD118</f>
        <v>010010000</v>
      </c>
      <c r="QE117" s="14" t="str">
        <f t="shared" si="1250"/>
        <v>010010000</v>
      </c>
      <c r="QF117" s="14" t="str">
        <f t="shared" ref="QF117:QG117" si="1251">QF126&amp;QF125&amp;QF124&amp;QF123&amp;QF122&amp;QF121&amp;QF120&amp;QF119&amp;QF118</f>
        <v>010010000</v>
      </c>
      <c r="QG117" s="14" t="str">
        <f t="shared" si="1251"/>
        <v>010010000</v>
      </c>
      <c r="QH117" s="14" t="str">
        <f t="shared" ref="QH117:QK117" si="1252">QH126&amp;QH125&amp;QH124&amp;QH123&amp;QH122&amp;QH121&amp;QH120&amp;QH119&amp;QH118</f>
        <v>010011010</v>
      </c>
      <c r="QI117" s="14" t="str">
        <f t="shared" si="1252"/>
        <v>010011111</v>
      </c>
      <c r="QJ117" s="14" t="str">
        <f t="shared" si="1252"/>
        <v>010001010</v>
      </c>
      <c r="QK117" s="14" t="str">
        <f t="shared" si="1252"/>
        <v>010011010</v>
      </c>
      <c r="QL117" s="14" t="str">
        <f t="shared" ref="QL117:QN117" si="1253">QL126&amp;QL125&amp;QL124&amp;QL123&amp;QL122&amp;QL121&amp;QL120&amp;QL119&amp;QL118</f>
        <v>010011010</v>
      </c>
      <c r="QM117" s="14" t="str">
        <f t="shared" si="1253"/>
        <v>010011010</v>
      </c>
      <c r="QN117" s="14" t="str">
        <f t="shared" si="1253"/>
        <v>010011010</v>
      </c>
      <c r="QO117" s="14" t="str">
        <f t="shared" ref="QO117:QR117" si="1254">QO126&amp;QO125&amp;QO124&amp;QO123&amp;QO122&amp;QO121&amp;QO120&amp;QO119&amp;QO118</f>
        <v>000000111</v>
      </c>
      <c r="QP117" s="14" t="str">
        <f t="shared" si="1254"/>
        <v>010011000</v>
      </c>
      <c r="QQ117" s="14" t="str">
        <f t="shared" si="1254"/>
        <v>010000111</v>
      </c>
      <c r="QR117" s="14" t="str">
        <f t="shared" si="1254"/>
        <v>010000000</v>
      </c>
      <c r="QS117" s="14" t="str">
        <f t="shared" ref="QS117" si="1255">QS126&amp;QS125&amp;QS124&amp;QS123&amp;QS122&amp;QS121&amp;QS120&amp;QS119&amp;QS118</f>
        <v>010000000</v>
      </c>
      <c r="QT117" s="14" t="str">
        <f t="shared" ref="QT117:QV117" si="1256">QT126&amp;QT125&amp;QT124&amp;QT123&amp;QT122&amp;QT121&amp;QT120&amp;QT119&amp;QT118</f>
        <v>000000010</v>
      </c>
      <c r="QU117" s="14" t="str">
        <f t="shared" ref="QU117" si="1257">QU126&amp;QU125&amp;QU124&amp;QU123&amp;QU122&amp;QU121&amp;QU120&amp;QU119&amp;QU118</f>
        <v>010000000</v>
      </c>
      <c r="QV117" s="14" t="str">
        <f t="shared" si="1256"/>
        <v>010000000</v>
      </c>
      <c r="QW117" s="14" t="str">
        <f t="shared" ref="QW117:RR117" si="1258">QW126&amp;QW125&amp;QW124&amp;QW123&amp;QW122&amp;QW121&amp;QW120&amp;QW119&amp;QW118</f>
        <v>010000000</v>
      </c>
      <c r="QX117" s="14" t="str">
        <f t="shared" si="1258"/>
        <v>010000000</v>
      </c>
      <c r="QY117" s="14" t="str">
        <f t="shared" si="1258"/>
        <v>010000000</v>
      </c>
      <c r="QZ117" s="14" t="str">
        <f t="shared" si="1258"/>
        <v>010000000</v>
      </c>
      <c r="RA117" s="14" t="str">
        <f t="shared" si="1258"/>
        <v>010000000</v>
      </c>
      <c r="RB117" s="14" t="str">
        <f t="shared" si="1258"/>
        <v>010000000</v>
      </c>
      <c r="RC117" s="14" t="str">
        <f t="shared" si="1258"/>
        <v>010000000</v>
      </c>
      <c r="RD117" s="14" t="str">
        <f t="shared" si="1258"/>
        <v>010000000</v>
      </c>
      <c r="RE117" s="14" t="str">
        <f t="shared" ref="RE117:RH117" si="1259">RE126&amp;RE125&amp;RE124&amp;RE123&amp;RE122&amp;RE121&amp;RE120&amp;RE119&amp;RE118</f>
        <v>010000000</v>
      </c>
      <c r="RF117" s="14" t="str">
        <f t="shared" si="1259"/>
        <v>010000000</v>
      </c>
      <c r="RG117" s="14" t="str">
        <f t="shared" si="1259"/>
        <v>010000000</v>
      </c>
      <c r="RH117" s="14" t="str">
        <f t="shared" si="1259"/>
        <v>010000000</v>
      </c>
      <c r="RI117" s="14" t="str">
        <f t="shared" ref="RI117:RQ117" si="1260">RI126&amp;RI125&amp;RI124&amp;RI123&amp;RI122&amp;RI121&amp;RI120&amp;RI119&amp;RI118</f>
        <v>010000000</v>
      </c>
      <c r="RJ117" s="14" t="str">
        <f t="shared" si="1260"/>
        <v>010000000</v>
      </c>
      <c r="RK117" s="14" t="str">
        <f t="shared" si="1260"/>
        <v>010000000</v>
      </c>
      <c r="RL117" s="14" t="str">
        <f t="shared" si="1260"/>
        <v>010000000</v>
      </c>
      <c r="RM117" s="14" t="str">
        <f t="shared" si="1260"/>
        <v>010000000</v>
      </c>
      <c r="RN117" s="14" t="str">
        <f t="shared" si="1260"/>
        <v>010000000</v>
      </c>
      <c r="RO117" s="14" t="str">
        <f t="shared" si="1260"/>
        <v>010000000</v>
      </c>
      <c r="RP117" s="14" t="str">
        <f t="shared" si="1260"/>
        <v>010000000</v>
      </c>
      <c r="RQ117" s="14" t="str">
        <f t="shared" si="1260"/>
        <v>010000000</v>
      </c>
      <c r="RR117" s="14" t="str">
        <f t="shared" si="1258"/>
        <v>010000000</v>
      </c>
      <c r="SB117" s="14" t="str">
        <f>SB126&amp;SB125&amp;SB124&amp;SB123&amp;SB122&amp;SB121&amp;SB120&amp;SB119&amp;SB118</f>
        <v>010010000</v>
      </c>
      <c r="SC117" s="14" t="str">
        <f>SC126&amp;SC125&amp;SC124&amp;SC123&amp;SC122&amp;SC121&amp;SC120&amp;SC119&amp;SC118</f>
        <v>000011000</v>
      </c>
      <c r="SD117" s="14" t="str">
        <f t="shared" ref="SD117:UN117" si="1261">SD126&amp;SD125&amp;SD124&amp;SD123&amp;SD122&amp;SD121&amp;SD120&amp;SD119&amp;SD118</f>
        <v>000011000</v>
      </c>
      <c r="SE117" s="14" t="str">
        <f t="shared" si="1261"/>
        <v>000011000</v>
      </c>
      <c r="SF117" s="14" t="str">
        <f t="shared" si="1261"/>
        <v>000010001</v>
      </c>
      <c r="SG117" s="14" t="str">
        <f t="shared" si="1261"/>
        <v>000000100</v>
      </c>
      <c r="SH117" s="14" t="str">
        <f t="shared" si="1261"/>
        <v>000010100</v>
      </c>
      <c r="SI117" s="14" t="str">
        <f t="shared" si="1261"/>
        <v>000010100</v>
      </c>
      <c r="SJ117" s="14" t="str">
        <f t="shared" si="1261"/>
        <v>000010010</v>
      </c>
      <c r="SK117" s="14" t="str">
        <f t="shared" si="1261"/>
        <v>000010011</v>
      </c>
      <c r="SL117" s="14" t="str">
        <f t="shared" si="1261"/>
        <v>000010010</v>
      </c>
      <c r="SM117" s="14" t="str">
        <f t="shared" si="1261"/>
        <v>010010001</v>
      </c>
      <c r="SN117" s="14" t="str">
        <f t="shared" si="1261"/>
        <v>010010000</v>
      </c>
      <c r="SO117" s="14" t="str">
        <f t="shared" si="1261"/>
        <v>010010000</v>
      </c>
      <c r="SP117" s="14" t="str">
        <f t="shared" si="1261"/>
        <v>010010000</v>
      </c>
      <c r="SQ117" s="14" t="str">
        <f t="shared" si="1261"/>
        <v>010010000</v>
      </c>
      <c r="SR117" s="14" t="str">
        <f t="shared" si="1261"/>
        <v>010010000</v>
      </c>
      <c r="SS117" s="14" t="str">
        <f t="shared" si="1261"/>
        <v>010010000</v>
      </c>
      <c r="ST117" s="14" t="str">
        <f t="shared" si="1261"/>
        <v>010010000</v>
      </c>
      <c r="SU117" s="14" t="str">
        <f t="shared" si="1261"/>
        <v>010010000</v>
      </c>
      <c r="SV117" s="14" t="str">
        <f t="shared" si="1261"/>
        <v>010010000</v>
      </c>
      <c r="SW117" s="14" t="str">
        <f t="shared" si="1261"/>
        <v>010010000</v>
      </c>
      <c r="SX117" s="14" t="str">
        <f t="shared" si="1261"/>
        <v>010010000</v>
      </c>
      <c r="SY117" s="14" t="str">
        <f t="shared" si="1261"/>
        <v>010010000</v>
      </c>
      <c r="SZ117" s="14" t="str">
        <f t="shared" si="1261"/>
        <v>010010000</v>
      </c>
      <c r="TA117" s="14" t="str">
        <f t="shared" si="1261"/>
        <v>010010000</v>
      </c>
      <c r="TB117" s="14" t="str">
        <f t="shared" si="1261"/>
        <v>010010000</v>
      </c>
      <c r="TC117" s="14" t="str">
        <f t="shared" si="1261"/>
        <v>010010000</v>
      </c>
      <c r="TD117" s="14" t="str">
        <f t="shared" si="1261"/>
        <v>010010000</v>
      </c>
      <c r="TE117" s="14" t="str">
        <f t="shared" si="1261"/>
        <v>010010000</v>
      </c>
      <c r="TF117" s="14" t="str">
        <f t="shared" si="1261"/>
        <v>010010000</v>
      </c>
      <c r="TG117" s="14" t="str">
        <f t="shared" si="1261"/>
        <v>010011000</v>
      </c>
      <c r="TH117" s="14" t="str">
        <f t="shared" si="1261"/>
        <v>010011000</v>
      </c>
      <c r="TI117" s="14" t="str">
        <f t="shared" si="1261"/>
        <v>010011000</v>
      </c>
      <c r="TJ117" s="14" t="str">
        <f t="shared" si="1261"/>
        <v>010010100</v>
      </c>
      <c r="TK117" s="14" t="str">
        <f t="shared" si="1261"/>
        <v>010010100</v>
      </c>
      <c r="TL117" s="14" t="str">
        <f t="shared" si="1261"/>
        <v>010010100</v>
      </c>
      <c r="TM117" s="14" t="str">
        <f t="shared" si="1261"/>
        <v>010010010</v>
      </c>
      <c r="TN117" s="14" t="str">
        <f t="shared" si="1261"/>
        <v>010010010</v>
      </c>
      <c r="TO117" s="14" t="str">
        <f t="shared" si="1261"/>
        <v>010010010</v>
      </c>
      <c r="TP117" s="14" t="str">
        <f t="shared" si="1261"/>
        <v>010010001</v>
      </c>
      <c r="TQ117" s="14" t="str">
        <f t="shared" si="1261"/>
        <v>010010000</v>
      </c>
      <c r="TR117" s="14" t="str">
        <f t="shared" si="1261"/>
        <v>010010000</v>
      </c>
      <c r="TS117" s="14" t="str">
        <f t="shared" si="1261"/>
        <v>010000000</v>
      </c>
      <c r="TT117" s="14" t="str">
        <f t="shared" si="1261"/>
        <v>010010000</v>
      </c>
      <c r="TU117" s="14" t="str">
        <f t="shared" si="1261"/>
        <v>000011110</v>
      </c>
      <c r="TV117" s="14" t="str">
        <f t="shared" si="1261"/>
        <v>010010000</v>
      </c>
      <c r="TW117" s="14" t="str">
        <f t="shared" si="1261"/>
        <v>010011110</v>
      </c>
      <c r="TX117" s="14" t="str">
        <f t="shared" si="1261"/>
        <v>000001100</v>
      </c>
      <c r="TY117" s="14" t="str">
        <f t="shared" si="1261"/>
        <v>000010010</v>
      </c>
      <c r="TZ117" s="14" t="str">
        <f t="shared" si="1261"/>
        <v>000001101</v>
      </c>
      <c r="UA117" s="14" t="str">
        <f t="shared" si="1261"/>
        <v>000010010</v>
      </c>
      <c r="UB117" s="14" t="str">
        <f t="shared" si="1261"/>
        <v>000001100</v>
      </c>
      <c r="UC117" s="14" t="str">
        <f t="shared" si="1261"/>
        <v>000010010</v>
      </c>
      <c r="UD117" s="14" t="str">
        <f t="shared" si="1261"/>
        <v>000011010</v>
      </c>
      <c r="UE117" s="14" t="str">
        <f t="shared" si="1261"/>
        <v>010000010</v>
      </c>
      <c r="UF117" s="14" t="str">
        <f t="shared" si="1261"/>
        <v>010010001</v>
      </c>
      <c r="UG117" s="14" t="str">
        <f t="shared" si="1261"/>
        <v>010001110</v>
      </c>
      <c r="UH117" s="14" t="str">
        <f t="shared" si="1261"/>
        <v>010010000</v>
      </c>
      <c r="UI117" s="14" t="str">
        <f t="shared" si="1261"/>
        <v>000000010</v>
      </c>
      <c r="UJ117" s="14" t="str">
        <f t="shared" si="1261"/>
        <v>010000000</v>
      </c>
      <c r="UK117" s="14" t="str">
        <f t="shared" si="1261"/>
        <v>010000000</v>
      </c>
      <c r="UL117" s="14" t="str">
        <f t="shared" si="1261"/>
        <v>010010000</v>
      </c>
      <c r="UM117" s="14" t="str">
        <f t="shared" si="1261"/>
        <v>010010000</v>
      </c>
      <c r="UN117" s="14" t="str">
        <f t="shared" si="1261"/>
        <v>010010000</v>
      </c>
      <c r="UO117" s="14" t="str">
        <f t="shared" ref="UO117:VZ117" si="1262">UO126&amp;UO125&amp;UO124&amp;UO123&amp;UO122&amp;UO121&amp;UO120&amp;UO119&amp;UO118</f>
        <v>010010000</v>
      </c>
      <c r="UP117" s="14" t="str">
        <f t="shared" si="1262"/>
        <v>010011010</v>
      </c>
      <c r="UQ117" s="14" t="str">
        <f t="shared" si="1262"/>
        <v>010011111</v>
      </c>
      <c r="UR117" s="14" t="str">
        <f t="shared" si="1262"/>
        <v>010001010</v>
      </c>
      <c r="US117" s="14" t="str">
        <f t="shared" si="1262"/>
        <v>010011010</v>
      </c>
      <c r="UT117" s="14" t="str">
        <f t="shared" si="1262"/>
        <v>010011010</v>
      </c>
      <c r="UU117" s="14" t="str">
        <f t="shared" si="1262"/>
        <v>010011010</v>
      </c>
      <c r="UV117" s="14" t="str">
        <f t="shared" si="1262"/>
        <v>010011010</v>
      </c>
      <c r="UW117" s="14" t="str">
        <f t="shared" si="1262"/>
        <v>000000111</v>
      </c>
      <c r="UX117" s="14" t="str">
        <f t="shared" si="1262"/>
        <v>010011000</v>
      </c>
      <c r="UY117" s="14" t="str">
        <f t="shared" si="1262"/>
        <v>010000111</v>
      </c>
      <c r="UZ117" s="14" t="str">
        <f t="shared" si="1262"/>
        <v>010000000</v>
      </c>
      <c r="VA117" s="14" t="str">
        <f t="shared" si="1262"/>
        <v>010000000</v>
      </c>
      <c r="VB117" s="14" t="str">
        <f t="shared" si="1262"/>
        <v>000000010</v>
      </c>
      <c r="VC117" s="14" t="str">
        <f t="shared" si="1262"/>
        <v>010000000</v>
      </c>
      <c r="VD117" s="14" t="str">
        <f t="shared" si="1262"/>
        <v>010000000</v>
      </c>
      <c r="VE117" s="14" t="str">
        <f t="shared" si="1262"/>
        <v>010000000</v>
      </c>
      <c r="VF117" s="14" t="str">
        <f t="shared" si="1262"/>
        <v>010000000</v>
      </c>
      <c r="VG117" s="14" t="str">
        <f t="shared" si="1262"/>
        <v>010000000</v>
      </c>
      <c r="VH117" s="14" t="str">
        <f t="shared" si="1262"/>
        <v>010000000</v>
      </c>
      <c r="VI117" s="14" t="str">
        <f t="shared" si="1262"/>
        <v>010000000</v>
      </c>
      <c r="VJ117" s="14" t="str">
        <f t="shared" si="1262"/>
        <v>010000000</v>
      </c>
      <c r="VK117" s="14" t="str">
        <f t="shared" si="1262"/>
        <v>010000000</v>
      </c>
      <c r="VL117" s="14" t="str">
        <f t="shared" si="1262"/>
        <v>010000000</v>
      </c>
      <c r="VM117" s="14" t="str">
        <f t="shared" si="1262"/>
        <v>010000000</v>
      </c>
      <c r="VN117" s="14" t="str">
        <f t="shared" si="1262"/>
        <v>010000000</v>
      </c>
      <c r="VO117" s="14" t="str">
        <f t="shared" si="1262"/>
        <v>010000000</v>
      </c>
      <c r="VP117" s="14" t="str">
        <f t="shared" si="1262"/>
        <v>010000000</v>
      </c>
      <c r="VQ117" s="14" t="str">
        <f t="shared" si="1262"/>
        <v>010000000</v>
      </c>
      <c r="VR117" s="14" t="str">
        <f t="shared" si="1262"/>
        <v>010000000</v>
      </c>
      <c r="VS117" s="14" t="str">
        <f t="shared" si="1262"/>
        <v>010000000</v>
      </c>
      <c r="VT117" s="14" t="str">
        <f t="shared" si="1262"/>
        <v>010000000</v>
      </c>
      <c r="VU117" s="14" t="str">
        <f t="shared" si="1262"/>
        <v>010000000</v>
      </c>
      <c r="VV117" s="14" t="str">
        <f t="shared" si="1262"/>
        <v>010000000</v>
      </c>
      <c r="VW117" s="14" t="str">
        <f t="shared" si="1262"/>
        <v>010000000</v>
      </c>
      <c r="VX117" s="14" t="str">
        <f t="shared" si="1262"/>
        <v>010000000</v>
      </c>
      <c r="VY117" s="14" t="str">
        <f t="shared" si="1262"/>
        <v>010000000</v>
      </c>
      <c r="VZ117" s="14" t="str">
        <f t="shared" si="1262"/>
        <v>010000000</v>
      </c>
      <c r="WD117" s="14" t="str">
        <f t="shared" ref="WD117:WS117" si="1263">WD126&amp;WD125&amp;WD124&amp;WD123&amp;WD122&amp;WD121&amp;WD120&amp;WD119&amp;WD118</f>
        <v>010000000</v>
      </c>
      <c r="WE117" s="14" t="str">
        <f t="shared" si="1263"/>
        <v>000001000</v>
      </c>
      <c r="WF117" s="14" t="str">
        <f t="shared" si="1263"/>
        <v>000001000</v>
      </c>
      <c r="WG117" s="14" t="str">
        <f t="shared" si="1263"/>
        <v>000001000</v>
      </c>
      <c r="WH117" s="14" t="str">
        <f t="shared" si="1263"/>
        <v>000000001</v>
      </c>
      <c r="WI117" s="14" t="str">
        <f t="shared" si="1263"/>
        <v>000000100</v>
      </c>
      <c r="WJ117" s="14" t="str">
        <f t="shared" si="1263"/>
        <v>000000100</v>
      </c>
      <c r="WK117" s="14" t="str">
        <f t="shared" si="1263"/>
        <v>000000100</v>
      </c>
      <c r="WL117" s="14" t="str">
        <f t="shared" si="1263"/>
        <v>000000010</v>
      </c>
      <c r="WM117" s="14" t="str">
        <f t="shared" si="1263"/>
        <v>000000010</v>
      </c>
      <c r="WN117" s="14" t="str">
        <f t="shared" si="1263"/>
        <v>000000010</v>
      </c>
      <c r="WO117" s="14" t="str">
        <f t="shared" si="1263"/>
        <v>010000000</v>
      </c>
      <c r="WP117" s="14" t="str">
        <f t="shared" ref="WP117:WR117" si="1264">WP126&amp;WP125&amp;WP124&amp;WP123&amp;WP122&amp;WP121&amp;WP120&amp;WP119&amp;WP118</f>
        <v>000000010</v>
      </c>
      <c r="WQ117" s="14" t="str">
        <f t="shared" si="1263"/>
        <v>010000000</v>
      </c>
      <c r="WR117" s="14" t="str">
        <f t="shared" si="1264"/>
        <v>000000010</v>
      </c>
      <c r="WS117" s="14" t="str">
        <f t="shared" si="1263"/>
        <v>010000000</v>
      </c>
      <c r="WT117" s="14" t="str">
        <f t="shared" ref="WT117:WV117" si="1265">WT126&amp;WT125&amp;WT124&amp;WT123&amp;WT122&amp;WT121&amp;WT120&amp;WT119&amp;WT118</f>
        <v>000001110</v>
      </c>
      <c r="WU117" s="14" t="str">
        <f t="shared" si="1265"/>
        <v>000010001</v>
      </c>
      <c r="WV117" s="14" t="str">
        <f t="shared" si="1265"/>
        <v>000001110</v>
      </c>
      <c r="WW117" s="14" t="str">
        <f t="shared" ref="WW117:WX117" si="1266">WW126&amp;WW125&amp;WW124&amp;WW123&amp;WW122&amp;WW121&amp;WW120&amp;WW119&amp;WW118</f>
        <v>000010001</v>
      </c>
      <c r="WX117" s="14" t="str">
        <f t="shared" si="1266"/>
        <v>000001010</v>
      </c>
      <c r="WY117" s="14" t="str">
        <f t="shared" ref="WY117:XC117" si="1267">WY126&amp;WY125&amp;WY124&amp;WY123&amp;WY122&amp;WY121&amp;WY120&amp;WY119&amp;WY118</f>
        <v>000010001</v>
      </c>
      <c r="WZ117" s="14" t="str">
        <f t="shared" si="1267"/>
        <v>000000001</v>
      </c>
      <c r="XA117" s="14" t="str">
        <f t="shared" si="1267"/>
        <v>010000000</v>
      </c>
      <c r="XB117" s="14" t="str">
        <f t="shared" si="1267"/>
        <v>000000001</v>
      </c>
      <c r="XC117" s="14" t="str">
        <f t="shared" si="1267"/>
        <v>010000000</v>
      </c>
      <c r="XD117" s="14" t="str">
        <f t="shared" ref="XD117:XE117" si="1268">XD126&amp;XD125&amp;XD124&amp;XD123&amp;XD122&amp;XD121&amp;XD120&amp;XD119&amp;XD118</f>
        <v>000000001</v>
      </c>
      <c r="XE117" s="14" t="str">
        <f t="shared" si="1268"/>
        <v>010000000</v>
      </c>
      <c r="XF117" s="14" t="str">
        <f t="shared" ref="XF117:XI117" si="1269">XF126&amp;XF125&amp;XF124&amp;XF123&amp;XF122&amp;XF121&amp;XF120&amp;XF119&amp;XF118</f>
        <v>000000001</v>
      </c>
      <c r="XG117" s="14" t="str">
        <f t="shared" si="1269"/>
        <v>010011100</v>
      </c>
      <c r="XH117" s="14" t="str">
        <f t="shared" si="1269"/>
        <v>010000011</v>
      </c>
      <c r="XI117" s="14" t="str">
        <f t="shared" si="1269"/>
        <v>010000100</v>
      </c>
      <c r="XJ117" s="14" t="str">
        <f t="shared" ref="XJ117:YE117" si="1270">XJ126&amp;XJ125&amp;XJ124&amp;XJ123&amp;XJ122&amp;XJ121&amp;XJ120&amp;XJ119&amp;XJ118</f>
        <v>010000000</v>
      </c>
      <c r="XK117" s="14" t="str">
        <f t="shared" si="1270"/>
        <v>010000000</v>
      </c>
      <c r="XL117" s="14" t="str">
        <f t="shared" si="1270"/>
        <v>010000000</v>
      </c>
      <c r="XM117" s="14" t="str">
        <f t="shared" si="1270"/>
        <v>010000000</v>
      </c>
      <c r="XN117" s="14" t="str">
        <f t="shared" si="1270"/>
        <v>010000000</v>
      </c>
      <c r="XO117" s="14" t="str">
        <f t="shared" si="1270"/>
        <v>010000000</v>
      </c>
      <c r="XP117" s="14" t="str">
        <f t="shared" si="1270"/>
        <v>010000000</v>
      </c>
      <c r="XQ117" s="14" t="str">
        <f t="shared" si="1270"/>
        <v>010000000</v>
      </c>
      <c r="XR117" s="14" t="str">
        <f t="shared" si="1270"/>
        <v>010000000</v>
      </c>
      <c r="XS117" s="14" t="str">
        <f t="shared" si="1270"/>
        <v>010000000</v>
      </c>
      <c r="XT117" s="14" t="str">
        <f t="shared" si="1270"/>
        <v>010000000</v>
      </c>
      <c r="XU117" s="14" t="str">
        <f t="shared" si="1270"/>
        <v>010000000</v>
      </c>
      <c r="XV117" s="14" t="str">
        <f t="shared" si="1270"/>
        <v>010000000</v>
      </c>
      <c r="XW117" s="14" t="str">
        <f t="shared" si="1270"/>
        <v>010000000</v>
      </c>
      <c r="XX117" s="14" t="str">
        <f t="shared" si="1270"/>
        <v>010000000</v>
      </c>
      <c r="XY117" s="14" t="str">
        <f t="shared" si="1270"/>
        <v>010000000</v>
      </c>
      <c r="XZ117" s="14" t="str">
        <f t="shared" si="1270"/>
        <v>010000000</v>
      </c>
      <c r="YA117" s="14" t="str">
        <f t="shared" si="1270"/>
        <v>010000000</v>
      </c>
      <c r="YB117" s="14" t="str">
        <f t="shared" si="1270"/>
        <v>010000000</v>
      </c>
      <c r="YC117" s="14" t="str">
        <f t="shared" si="1270"/>
        <v>010000000</v>
      </c>
      <c r="YD117" s="14" t="str">
        <f t="shared" si="1270"/>
        <v>010000000</v>
      </c>
      <c r="YE117" s="14" t="str">
        <f t="shared" si="1270"/>
        <v>010000000</v>
      </c>
      <c r="YF117" s="14" t="str">
        <f t="shared" ref="YF117:ZA117" si="1271">YF126&amp;YF125&amp;YF124&amp;YF123&amp;YF122&amp;YF121&amp;YF120&amp;YF119&amp;YF118</f>
        <v>010010000</v>
      </c>
      <c r="YG117" s="14" t="str">
        <f t="shared" si="1271"/>
        <v>010000000</v>
      </c>
      <c r="YH117" s="14" t="str">
        <f t="shared" si="1271"/>
        <v>010000000</v>
      </c>
      <c r="YI117" s="14" t="str">
        <f t="shared" si="1271"/>
        <v>010000000</v>
      </c>
      <c r="YJ117" s="14" t="str">
        <f t="shared" si="1271"/>
        <v>010000000</v>
      </c>
      <c r="YK117" s="14" t="str">
        <f t="shared" si="1271"/>
        <v>010000000</v>
      </c>
      <c r="YL117" s="14" t="str">
        <f t="shared" si="1271"/>
        <v>010000000</v>
      </c>
      <c r="YM117" s="14" t="str">
        <f t="shared" si="1271"/>
        <v>010000000</v>
      </c>
      <c r="YN117" s="14" t="str">
        <f t="shared" si="1271"/>
        <v>010000000</v>
      </c>
      <c r="YO117" s="14" t="str">
        <f t="shared" si="1271"/>
        <v>010000000</v>
      </c>
      <c r="YP117" s="14" t="str">
        <f t="shared" si="1271"/>
        <v>010000000</v>
      </c>
      <c r="YQ117" s="14" t="str">
        <f t="shared" si="1271"/>
        <v>010000000</v>
      </c>
      <c r="YR117" s="14" t="str">
        <f t="shared" si="1271"/>
        <v>010000000</v>
      </c>
      <c r="YS117" s="14" t="str">
        <f t="shared" si="1271"/>
        <v>010000000</v>
      </c>
      <c r="YT117" s="14" t="str">
        <f t="shared" si="1271"/>
        <v>010000000</v>
      </c>
      <c r="YU117" s="14" t="str">
        <f t="shared" si="1271"/>
        <v>010000000</v>
      </c>
      <c r="YV117" s="14" t="str">
        <f t="shared" si="1271"/>
        <v>010000000</v>
      </c>
      <c r="YW117" s="14" t="str">
        <f t="shared" si="1271"/>
        <v>010000000</v>
      </c>
      <c r="YX117" s="14" t="str">
        <f t="shared" si="1271"/>
        <v>010000000</v>
      </c>
      <c r="YY117" s="14" t="str">
        <f t="shared" si="1271"/>
        <v>010000000</v>
      </c>
      <c r="YZ117" s="14" t="str">
        <f t="shared" si="1271"/>
        <v>010000000</v>
      </c>
      <c r="ZA117" s="14" t="str">
        <f t="shared" si="1271"/>
        <v>010000000</v>
      </c>
      <c r="ZB117" s="14" t="str">
        <f t="shared" ref="ZB117:ZJ117" si="1272">ZB126&amp;ZB125&amp;ZB124&amp;ZB123&amp;ZB122&amp;ZB121&amp;ZB120&amp;ZB119&amp;ZB118</f>
        <v>010000000</v>
      </c>
      <c r="ZC117" s="14" t="str">
        <f t="shared" si="1272"/>
        <v>010000000</v>
      </c>
      <c r="ZD117" s="14" t="str">
        <f t="shared" si="1272"/>
        <v>010000000</v>
      </c>
      <c r="ZE117" s="14" t="str">
        <f t="shared" si="1272"/>
        <v>010000000</v>
      </c>
      <c r="ZF117" s="14" t="str">
        <f t="shared" si="1272"/>
        <v>010000000</v>
      </c>
      <c r="ZG117" s="14" t="str">
        <f t="shared" si="1272"/>
        <v>010000000</v>
      </c>
      <c r="ZH117" s="14" t="str">
        <f t="shared" si="1272"/>
        <v>010000000</v>
      </c>
      <c r="ZI117" s="14" t="str">
        <f t="shared" si="1272"/>
        <v>010000000</v>
      </c>
      <c r="ZJ117" s="14" t="str">
        <f t="shared" si="1272"/>
        <v>010000000</v>
      </c>
      <c r="ADD117" s="14" t="str">
        <f t="shared" ref="ADD117" si="1273">ADD126&amp;ADD125&amp;ADD124&amp;ADD123&amp;ADD122&amp;ADD121&amp;ADD120&amp;ADD119&amp;ADD118</f>
        <v>010010000</v>
      </c>
      <c r="AFN117" s="14" t="str">
        <f t="shared" ref="AFN117" si="1274">AFN126&amp;AFN125&amp;AFN124&amp;AFN123&amp;AFN122&amp;AFN121&amp;AFN120&amp;AFN119&amp;AFN118</f>
        <v>010010000</v>
      </c>
    </row>
    <row r="118" spans="1:979" ht="15" customHeight="1" x14ac:dyDescent="0.25">
      <c r="A118" s="14"/>
      <c r="NR118" s="14">
        <v>1</v>
      </c>
      <c r="NS118" s="14">
        <f t="shared" ref="NS118:OX118" si="1275">IF(NOT(NS57),1,0)</f>
        <v>0</v>
      </c>
      <c r="NT118" s="14">
        <f t="shared" si="1275"/>
        <v>0</v>
      </c>
      <c r="NU118" s="14">
        <f t="shared" si="1275"/>
        <v>0</v>
      </c>
      <c r="NV118" s="14">
        <f t="shared" si="1275"/>
        <v>0</v>
      </c>
      <c r="NW118" s="14">
        <f t="shared" si="1275"/>
        <v>1</v>
      </c>
      <c r="NX118" s="14">
        <f t="shared" si="1275"/>
        <v>0</v>
      </c>
      <c r="NY118" s="14">
        <f t="shared" si="1275"/>
        <v>0</v>
      </c>
      <c r="NZ118" s="14">
        <f t="shared" si="1275"/>
        <v>0</v>
      </c>
      <c r="OA118" s="14">
        <f t="shared" si="1275"/>
        <v>0</v>
      </c>
      <c r="OB118" s="14">
        <f t="shared" si="1275"/>
        <v>1</v>
      </c>
      <c r="OC118" s="14">
        <f t="shared" si="1275"/>
        <v>0</v>
      </c>
      <c r="OD118" s="14">
        <f t="shared" si="1275"/>
        <v>1</v>
      </c>
      <c r="OE118" s="14">
        <f t="shared" si="1275"/>
        <v>0</v>
      </c>
      <c r="OF118" s="14">
        <f t="shared" si="1275"/>
        <v>0</v>
      </c>
      <c r="OG118" s="14">
        <f t="shared" si="1275"/>
        <v>0</v>
      </c>
      <c r="OH118" s="14">
        <f t="shared" si="1275"/>
        <v>0</v>
      </c>
      <c r="OI118" s="14">
        <f t="shared" si="1275"/>
        <v>0</v>
      </c>
      <c r="OJ118" s="14">
        <f t="shared" si="1275"/>
        <v>0</v>
      </c>
      <c r="OK118" s="14">
        <f t="shared" si="1275"/>
        <v>0</v>
      </c>
      <c r="OL118" s="14">
        <f t="shared" si="1275"/>
        <v>0</v>
      </c>
      <c r="OM118" s="14">
        <f t="shared" si="1275"/>
        <v>0</v>
      </c>
      <c r="ON118" s="14">
        <f t="shared" si="1275"/>
        <v>0</v>
      </c>
      <c r="OO118" s="14">
        <f t="shared" si="1275"/>
        <v>0</v>
      </c>
      <c r="OP118" s="14">
        <f t="shared" si="1275"/>
        <v>0</v>
      </c>
      <c r="OQ118" s="14">
        <f t="shared" si="1275"/>
        <v>0</v>
      </c>
      <c r="OR118" s="14">
        <f t="shared" si="1275"/>
        <v>0</v>
      </c>
      <c r="OS118" s="14">
        <f t="shared" si="1275"/>
        <v>0</v>
      </c>
      <c r="OT118" s="14">
        <f t="shared" si="1275"/>
        <v>0</v>
      </c>
      <c r="OU118" s="14">
        <f t="shared" si="1275"/>
        <v>0</v>
      </c>
      <c r="OV118" s="14">
        <f t="shared" si="1275"/>
        <v>0</v>
      </c>
      <c r="OW118" s="14">
        <f t="shared" si="1275"/>
        <v>0</v>
      </c>
      <c r="OX118" s="14">
        <f t="shared" si="1275"/>
        <v>0</v>
      </c>
      <c r="OY118" s="14">
        <f t="shared" ref="OY118:QD118" si="1276">IF(NOT(OY57),1,0)</f>
        <v>0</v>
      </c>
      <c r="OZ118" s="14">
        <f t="shared" si="1276"/>
        <v>0</v>
      </c>
      <c r="PA118" s="14">
        <f t="shared" si="1276"/>
        <v>0</v>
      </c>
      <c r="PB118" s="14">
        <f t="shared" si="1276"/>
        <v>0</v>
      </c>
      <c r="PC118" s="14">
        <f t="shared" si="1276"/>
        <v>0</v>
      </c>
      <c r="PD118" s="14">
        <f t="shared" si="1276"/>
        <v>0</v>
      </c>
      <c r="PE118" s="14">
        <f t="shared" si="1276"/>
        <v>0</v>
      </c>
      <c r="PF118" s="14">
        <f t="shared" si="1276"/>
        <v>0</v>
      </c>
      <c r="PG118" s="14">
        <f t="shared" si="1276"/>
        <v>0</v>
      </c>
      <c r="PH118" s="14">
        <f t="shared" si="1276"/>
        <v>1</v>
      </c>
      <c r="PI118" s="14">
        <f t="shared" si="1276"/>
        <v>0</v>
      </c>
      <c r="PJ118" s="14">
        <f t="shared" si="1276"/>
        <v>0</v>
      </c>
      <c r="PK118" s="14">
        <f t="shared" si="1276"/>
        <v>0</v>
      </c>
      <c r="PL118" s="14">
        <f t="shared" si="1276"/>
        <v>0</v>
      </c>
      <c r="PM118" s="14">
        <f t="shared" si="1276"/>
        <v>0</v>
      </c>
      <c r="PN118" s="14">
        <f t="shared" si="1276"/>
        <v>0</v>
      </c>
      <c r="PO118" s="14">
        <f t="shared" si="1276"/>
        <v>0</v>
      </c>
      <c r="PP118" s="14">
        <f t="shared" si="1276"/>
        <v>0</v>
      </c>
      <c r="PQ118" s="14">
        <f t="shared" si="1276"/>
        <v>0</v>
      </c>
      <c r="PR118" s="14">
        <f t="shared" si="1276"/>
        <v>1</v>
      </c>
      <c r="PS118" s="14">
        <f t="shared" si="1276"/>
        <v>0</v>
      </c>
      <c r="PT118" s="14">
        <f t="shared" si="1276"/>
        <v>0</v>
      </c>
      <c r="PU118" s="14">
        <f t="shared" si="1276"/>
        <v>0</v>
      </c>
      <c r="PV118" s="14">
        <f t="shared" si="1276"/>
        <v>0</v>
      </c>
      <c r="PW118" s="14">
        <f t="shared" si="1276"/>
        <v>0</v>
      </c>
      <c r="PX118" s="14">
        <f t="shared" si="1276"/>
        <v>1</v>
      </c>
      <c r="PY118" s="14">
        <f t="shared" si="1276"/>
        <v>0</v>
      </c>
      <c r="PZ118" s="14">
        <f t="shared" si="1276"/>
        <v>0</v>
      </c>
      <c r="QA118" s="14">
        <f t="shared" si="1276"/>
        <v>0</v>
      </c>
      <c r="QB118" s="14">
        <f t="shared" si="1276"/>
        <v>0</v>
      </c>
      <c r="QC118" s="14">
        <f t="shared" si="1276"/>
        <v>0</v>
      </c>
      <c r="QD118" s="14">
        <f t="shared" si="1276"/>
        <v>0</v>
      </c>
      <c r="QE118" s="14">
        <f t="shared" ref="QE118:RI118" si="1277">IF(NOT(QE57),1,0)</f>
        <v>0</v>
      </c>
      <c r="QF118" s="14">
        <f t="shared" si="1277"/>
        <v>0</v>
      </c>
      <c r="QG118" s="14">
        <f t="shared" si="1277"/>
        <v>0</v>
      </c>
      <c r="QH118" s="14">
        <f t="shared" si="1277"/>
        <v>0</v>
      </c>
      <c r="QI118" s="14">
        <f t="shared" si="1277"/>
        <v>1</v>
      </c>
      <c r="QJ118" s="14">
        <f t="shared" si="1277"/>
        <v>0</v>
      </c>
      <c r="QK118" s="14">
        <f t="shared" si="1277"/>
        <v>0</v>
      </c>
      <c r="QL118" s="14">
        <f t="shared" si="1277"/>
        <v>0</v>
      </c>
      <c r="QM118" s="14">
        <f t="shared" si="1277"/>
        <v>0</v>
      </c>
      <c r="QN118" s="14">
        <f t="shared" si="1277"/>
        <v>0</v>
      </c>
      <c r="QO118" s="14">
        <f t="shared" si="1277"/>
        <v>1</v>
      </c>
      <c r="QP118" s="14">
        <f t="shared" si="1277"/>
        <v>0</v>
      </c>
      <c r="QQ118" s="14">
        <f t="shared" si="1277"/>
        <v>1</v>
      </c>
      <c r="QR118" s="14">
        <f t="shared" si="1277"/>
        <v>0</v>
      </c>
      <c r="QS118" s="14">
        <f t="shared" si="1277"/>
        <v>0</v>
      </c>
      <c r="QT118" s="14">
        <f t="shared" si="1277"/>
        <v>0</v>
      </c>
      <c r="QU118" s="14">
        <f t="shared" si="1277"/>
        <v>0</v>
      </c>
      <c r="QV118" s="14">
        <f t="shared" si="1277"/>
        <v>0</v>
      </c>
      <c r="QW118" s="14">
        <f t="shared" si="1277"/>
        <v>0</v>
      </c>
      <c r="QX118" s="14">
        <f t="shared" si="1277"/>
        <v>0</v>
      </c>
      <c r="QY118" s="14">
        <f t="shared" si="1277"/>
        <v>0</v>
      </c>
      <c r="QZ118" s="14">
        <f t="shared" si="1277"/>
        <v>0</v>
      </c>
      <c r="RA118" s="14">
        <f t="shared" si="1277"/>
        <v>0</v>
      </c>
      <c r="RB118" s="14">
        <f t="shared" si="1277"/>
        <v>0</v>
      </c>
      <c r="RC118" s="14">
        <f t="shared" si="1277"/>
        <v>0</v>
      </c>
      <c r="RD118" s="14">
        <f t="shared" si="1277"/>
        <v>0</v>
      </c>
      <c r="RE118" s="14">
        <f t="shared" si="1277"/>
        <v>0</v>
      </c>
      <c r="RF118" s="14">
        <f t="shared" si="1277"/>
        <v>0</v>
      </c>
      <c r="RG118" s="14">
        <f t="shared" si="1277"/>
        <v>0</v>
      </c>
      <c r="RH118" s="14">
        <f t="shared" si="1277"/>
        <v>0</v>
      </c>
      <c r="RI118" s="14">
        <f t="shared" si="1277"/>
        <v>0</v>
      </c>
      <c r="RJ118" s="14">
        <f t="shared" ref="RJ118:RR118" si="1278">IF(NOT(RJ57),1,0)</f>
        <v>0</v>
      </c>
      <c r="RK118" s="14">
        <f t="shared" si="1278"/>
        <v>0</v>
      </c>
      <c r="RL118" s="14">
        <f t="shared" si="1278"/>
        <v>0</v>
      </c>
      <c r="RM118" s="14">
        <f t="shared" si="1278"/>
        <v>0</v>
      </c>
      <c r="RN118" s="14">
        <f t="shared" si="1278"/>
        <v>0</v>
      </c>
      <c r="RO118" s="14">
        <f t="shared" si="1278"/>
        <v>0</v>
      </c>
      <c r="RP118" s="14">
        <f t="shared" si="1278"/>
        <v>0</v>
      </c>
      <c r="RQ118" s="14">
        <f t="shared" si="1278"/>
        <v>0</v>
      </c>
      <c r="RR118" s="14">
        <f t="shared" si="1278"/>
        <v>0</v>
      </c>
      <c r="SA118" s="14">
        <v>1</v>
      </c>
      <c r="SB118" s="14">
        <f t="shared" ref="SB118:TG118" si="1279">IF(NOT(SB57),1,0)</f>
        <v>0</v>
      </c>
      <c r="SC118" s="14">
        <f t="shared" si="1279"/>
        <v>0</v>
      </c>
      <c r="SD118" s="14">
        <f t="shared" si="1279"/>
        <v>0</v>
      </c>
      <c r="SE118" s="14">
        <f t="shared" si="1279"/>
        <v>0</v>
      </c>
      <c r="SF118" s="14">
        <f t="shared" si="1279"/>
        <v>1</v>
      </c>
      <c r="SG118" s="14">
        <f t="shared" si="1279"/>
        <v>0</v>
      </c>
      <c r="SH118" s="14">
        <f t="shared" si="1279"/>
        <v>0</v>
      </c>
      <c r="SI118" s="14">
        <f t="shared" si="1279"/>
        <v>0</v>
      </c>
      <c r="SJ118" s="14">
        <f t="shared" si="1279"/>
        <v>0</v>
      </c>
      <c r="SK118" s="14">
        <f t="shared" si="1279"/>
        <v>1</v>
      </c>
      <c r="SL118" s="14">
        <f t="shared" si="1279"/>
        <v>0</v>
      </c>
      <c r="SM118" s="14">
        <f t="shared" si="1279"/>
        <v>1</v>
      </c>
      <c r="SN118" s="14">
        <f t="shared" si="1279"/>
        <v>0</v>
      </c>
      <c r="SO118" s="14">
        <f t="shared" si="1279"/>
        <v>0</v>
      </c>
      <c r="SP118" s="14">
        <f t="shared" si="1279"/>
        <v>0</v>
      </c>
      <c r="SQ118" s="14">
        <f t="shared" si="1279"/>
        <v>0</v>
      </c>
      <c r="SR118" s="14">
        <f t="shared" si="1279"/>
        <v>0</v>
      </c>
      <c r="SS118" s="14">
        <f t="shared" si="1279"/>
        <v>0</v>
      </c>
      <c r="ST118" s="14">
        <f t="shared" si="1279"/>
        <v>0</v>
      </c>
      <c r="SU118" s="14">
        <f t="shared" si="1279"/>
        <v>0</v>
      </c>
      <c r="SV118" s="14">
        <f t="shared" si="1279"/>
        <v>0</v>
      </c>
      <c r="SW118" s="14">
        <f t="shared" si="1279"/>
        <v>0</v>
      </c>
      <c r="SX118" s="14">
        <f t="shared" si="1279"/>
        <v>0</v>
      </c>
      <c r="SY118" s="14">
        <f t="shared" si="1279"/>
        <v>0</v>
      </c>
      <c r="SZ118" s="14">
        <f t="shared" si="1279"/>
        <v>0</v>
      </c>
      <c r="TA118" s="14">
        <f t="shared" si="1279"/>
        <v>0</v>
      </c>
      <c r="TB118" s="14">
        <f t="shared" si="1279"/>
        <v>0</v>
      </c>
      <c r="TC118" s="14">
        <f t="shared" si="1279"/>
        <v>0</v>
      </c>
      <c r="TD118" s="14">
        <f t="shared" si="1279"/>
        <v>0</v>
      </c>
      <c r="TE118" s="14">
        <f t="shared" si="1279"/>
        <v>0</v>
      </c>
      <c r="TF118" s="14">
        <f t="shared" si="1279"/>
        <v>0</v>
      </c>
      <c r="TG118" s="14">
        <f t="shared" si="1279"/>
        <v>0</v>
      </c>
      <c r="TH118" s="14">
        <f t="shared" ref="TH118:UM118" si="1280">IF(NOT(TH57),1,0)</f>
        <v>0</v>
      </c>
      <c r="TI118" s="14">
        <f t="shared" si="1280"/>
        <v>0</v>
      </c>
      <c r="TJ118" s="14">
        <f t="shared" si="1280"/>
        <v>0</v>
      </c>
      <c r="TK118" s="14">
        <f t="shared" si="1280"/>
        <v>0</v>
      </c>
      <c r="TL118" s="14">
        <f t="shared" si="1280"/>
        <v>0</v>
      </c>
      <c r="TM118" s="14">
        <f t="shared" si="1280"/>
        <v>0</v>
      </c>
      <c r="TN118" s="14">
        <f t="shared" si="1280"/>
        <v>0</v>
      </c>
      <c r="TO118" s="14">
        <f t="shared" si="1280"/>
        <v>0</v>
      </c>
      <c r="TP118" s="14">
        <f t="shared" si="1280"/>
        <v>1</v>
      </c>
      <c r="TQ118" s="14">
        <f t="shared" si="1280"/>
        <v>0</v>
      </c>
      <c r="TR118" s="14">
        <f t="shared" si="1280"/>
        <v>0</v>
      </c>
      <c r="TS118" s="14">
        <f t="shared" si="1280"/>
        <v>0</v>
      </c>
      <c r="TT118" s="14">
        <f t="shared" si="1280"/>
        <v>0</v>
      </c>
      <c r="TU118" s="14">
        <f t="shared" si="1280"/>
        <v>0</v>
      </c>
      <c r="TV118" s="14">
        <f t="shared" si="1280"/>
        <v>0</v>
      </c>
      <c r="TW118" s="14">
        <f t="shared" si="1280"/>
        <v>0</v>
      </c>
      <c r="TX118" s="14">
        <f t="shared" si="1280"/>
        <v>0</v>
      </c>
      <c r="TY118" s="14">
        <f t="shared" si="1280"/>
        <v>0</v>
      </c>
      <c r="TZ118" s="14">
        <f t="shared" si="1280"/>
        <v>1</v>
      </c>
      <c r="UA118" s="14">
        <f t="shared" si="1280"/>
        <v>0</v>
      </c>
      <c r="UB118" s="14">
        <f t="shared" si="1280"/>
        <v>0</v>
      </c>
      <c r="UC118" s="14">
        <f t="shared" si="1280"/>
        <v>0</v>
      </c>
      <c r="UD118" s="14">
        <f t="shared" si="1280"/>
        <v>0</v>
      </c>
      <c r="UE118" s="14">
        <f t="shared" si="1280"/>
        <v>0</v>
      </c>
      <c r="UF118" s="14">
        <f t="shared" si="1280"/>
        <v>1</v>
      </c>
      <c r="UG118" s="14">
        <f t="shared" si="1280"/>
        <v>0</v>
      </c>
      <c r="UH118" s="14">
        <f t="shared" si="1280"/>
        <v>0</v>
      </c>
      <c r="UI118" s="14">
        <f t="shared" si="1280"/>
        <v>0</v>
      </c>
      <c r="UJ118" s="14">
        <f t="shared" si="1280"/>
        <v>0</v>
      </c>
      <c r="UK118" s="14">
        <f t="shared" si="1280"/>
        <v>0</v>
      </c>
      <c r="UL118" s="14">
        <f t="shared" si="1280"/>
        <v>0</v>
      </c>
      <c r="UM118" s="14">
        <f t="shared" si="1280"/>
        <v>0</v>
      </c>
      <c r="UN118" s="14">
        <f t="shared" ref="UN118:VS118" si="1281">IF(NOT(UN57),1,0)</f>
        <v>0</v>
      </c>
      <c r="UO118" s="14">
        <f t="shared" si="1281"/>
        <v>0</v>
      </c>
      <c r="UP118" s="14">
        <f t="shared" si="1281"/>
        <v>0</v>
      </c>
      <c r="UQ118" s="14">
        <f t="shared" si="1281"/>
        <v>1</v>
      </c>
      <c r="UR118" s="14">
        <f t="shared" si="1281"/>
        <v>0</v>
      </c>
      <c r="US118" s="14">
        <f t="shared" si="1281"/>
        <v>0</v>
      </c>
      <c r="UT118" s="14">
        <f t="shared" si="1281"/>
        <v>0</v>
      </c>
      <c r="UU118" s="14">
        <f t="shared" si="1281"/>
        <v>0</v>
      </c>
      <c r="UV118" s="14">
        <f t="shared" si="1281"/>
        <v>0</v>
      </c>
      <c r="UW118" s="14">
        <f t="shared" si="1281"/>
        <v>1</v>
      </c>
      <c r="UX118" s="14">
        <f t="shared" si="1281"/>
        <v>0</v>
      </c>
      <c r="UY118" s="14">
        <f t="shared" si="1281"/>
        <v>1</v>
      </c>
      <c r="UZ118" s="14">
        <f t="shared" si="1281"/>
        <v>0</v>
      </c>
      <c r="VA118" s="14">
        <f t="shared" si="1281"/>
        <v>0</v>
      </c>
      <c r="VB118" s="14">
        <f t="shared" si="1281"/>
        <v>0</v>
      </c>
      <c r="VC118" s="14">
        <f t="shared" si="1281"/>
        <v>0</v>
      </c>
      <c r="VD118" s="14">
        <f t="shared" si="1281"/>
        <v>0</v>
      </c>
      <c r="VE118" s="14">
        <f t="shared" si="1281"/>
        <v>0</v>
      </c>
      <c r="VF118" s="14">
        <f t="shared" si="1281"/>
        <v>0</v>
      </c>
      <c r="VG118" s="14">
        <f t="shared" si="1281"/>
        <v>0</v>
      </c>
      <c r="VH118" s="14">
        <f t="shared" si="1281"/>
        <v>0</v>
      </c>
      <c r="VI118" s="14">
        <f t="shared" si="1281"/>
        <v>0</v>
      </c>
      <c r="VJ118" s="14">
        <f t="shared" si="1281"/>
        <v>0</v>
      </c>
      <c r="VK118" s="14">
        <f t="shared" si="1281"/>
        <v>0</v>
      </c>
      <c r="VL118" s="14">
        <f t="shared" si="1281"/>
        <v>0</v>
      </c>
      <c r="VM118" s="14">
        <f t="shared" si="1281"/>
        <v>0</v>
      </c>
      <c r="VN118" s="14">
        <f t="shared" si="1281"/>
        <v>0</v>
      </c>
      <c r="VO118" s="14">
        <f t="shared" si="1281"/>
        <v>0</v>
      </c>
      <c r="VP118" s="14">
        <f t="shared" si="1281"/>
        <v>0</v>
      </c>
      <c r="VQ118" s="14">
        <f t="shared" si="1281"/>
        <v>0</v>
      </c>
      <c r="VR118" s="14">
        <f t="shared" si="1281"/>
        <v>0</v>
      </c>
      <c r="VS118" s="14">
        <f t="shared" si="1281"/>
        <v>0</v>
      </c>
      <c r="VT118" s="14">
        <f t="shared" ref="VT118:VZ118" si="1282">IF(NOT(VT57),1,0)</f>
        <v>0</v>
      </c>
      <c r="VU118" s="14">
        <f t="shared" si="1282"/>
        <v>0</v>
      </c>
      <c r="VV118" s="14">
        <f t="shared" si="1282"/>
        <v>0</v>
      </c>
      <c r="VW118" s="14">
        <f t="shared" si="1282"/>
        <v>0</v>
      </c>
      <c r="VX118" s="14">
        <f t="shared" si="1282"/>
        <v>0</v>
      </c>
      <c r="VY118" s="14">
        <f t="shared" si="1282"/>
        <v>0</v>
      </c>
      <c r="VZ118" s="14">
        <f t="shared" si="1282"/>
        <v>0</v>
      </c>
      <c r="WD118" s="14">
        <f t="shared" ref="WD118:XI118" si="1283">IF(NOT(WD57),1,0)</f>
        <v>0</v>
      </c>
      <c r="WE118" s="14">
        <f t="shared" si="1283"/>
        <v>0</v>
      </c>
      <c r="WF118" s="14">
        <f t="shared" si="1283"/>
        <v>0</v>
      </c>
      <c r="WG118" s="14">
        <f t="shared" si="1283"/>
        <v>0</v>
      </c>
      <c r="WH118" s="14">
        <f t="shared" si="1283"/>
        <v>1</v>
      </c>
      <c r="WI118" s="14">
        <f t="shared" si="1283"/>
        <v>0</v>
      </c>
      <c r="WJ118" s="14">
        <f t="shared" si="1283"/>
        <v>0</v>
      </c>
      <c r="WK118" s="14">
        <f t="shared" si="1283"/>
        <v>0</v>
      </c>
      <c r="WL118" s="14">
        <f t="shared" si="1283"/>
        <v>0</v>
      </c>
      <c r="WM118" s="14">
        <f t="shared" si="1283"/>
        <v>0</v>
      </c>
      <c r="WN118" s="14">
        <f t="shared" si="1283"/>
        <v>0</v>
      </c>
      <c r="WO118" s="14">
        <f t="shared" si="1283"/>
        <v>0</v>
      </c>
      <c r="WP118" s="14">
        <f t="shared" si="1283"/>
        <v>0</v>
      </c>
      <c r="WQ118" s="14">
        <f t="shared" si="1283"/>
        <v>0</v>
      </c>
      <c r="WR118" s="14">
        <f t="shared" si="1283"/>
        <v>0</v>
      </c>
      <c r="WS118" s="14">
        <f t="shared" si="1283"/>
        <v>0</v>
      </c>
      <c r="WT118" s="14">
        <f t="shared" si="1283"/>
        <v>0</v>
      </c>
      <c r="WU118" s="14">
        <f t="shared" si="1283"/>
        <v>1</v>
      </c>
      <c r="WV118" s="14">
        <f t="shared" si="1283"/>
        <v>0</v>
      </c>
      <c r="WW118" s="14">
        <f t="shared" si="1283"/>
        <v>1</v>
      </c>
      <c r="WX118" s="14">
        <f t="shared" si="1283"/>
        <v>0</v>
      </c>
      <c r="WY118" s="14">
        <f t="shared" si="1283"/>
        <v>1</v>
      </c>
      <c r="WZ118" s="14">
        <f t="shared" si="1283"/>
        <v>1</v>
      </c>
      <c r="XA118" s="14">
        <f t="shared" si="1283"/>
        <v>0</v>
      </c>
      <c r="XB118" s="14">
        <f t="shared" si="1283"/>
        <v>1</v>
      </c>
      <c r="XC118" s="14">
        <f t="shared" si="1283"/>
        <v>0</v>
      </c>
      <c r="XD118" s="14">
        <f t="shared" si="1283"/>
        <v>1</v>
      </c>
      <c r="XE118" s="14">
        <f t="shared" si="1283"/>
        <v>0</v>
      </c>
      <c r="XF118" s="14">
        <f t="shared" si="1283"/>
        <v>1</v>
      </c>
      <c r="XG118" s="14">
        <f t="shared" si="1283"/>
        <v>0</v>
      </c>
      <c r="XH118" s="14">
        <f t="shared" si="1283"/>
        <v>1</v>
      </c>
      <c r="XI118" s="14">
        <f t="shared" si="1283"/>
        <v>0</v>
      </c>
      <c r="XJ118" s="14">
        <f t="shared" ref="XJ118:YO118" si="1284">IF(NOT(XJ57),1,0)</f>
        <v>0</v>
      </c>
      <c r="XK118" s="14">
        <f t="shared" si="1284"/>
        <v>0</v>
      </c>
      <c r="XL118" s="14">
        <f t="shared" si="1284"/>
        <v>0</v>
      </c>
      <c r="XM118" s="14">
        <f t="shared" si="1284"/>
        <v>0</v>
      </c>
      <c r="XN118" s="14">
        <f t="shared" si="1284"/>
        <v>0</v>
      </c>
      <c r="XO118" s="14">
        <f t="shared" si="1284"/>
        <v>0</v>
      </c>
      <c r="XP118" s="14">
        <f t="shared" si="1284"/>
        <v>0</v>
      </c>
      <c r="XQ118" s="14">
        <f t="shared" si="1284"/>
        <v>0</v>
      </c>
      <c r="XR118" s="14">
        <f t="shared" si="1284"/>
        <v>0</v>
      </c>
      <c r="XS118" s="14">
        <f t="shared" si="1284"/>
        <v>0</v>
      </c>
      <c r="XT118" s="14">
        <f t="shared" si="1284"/>
        <v>0</v>
      </c>
      <c r="XU118" s="14">
        <f t="shared" si="1284"/>
        <v>0</v>
      </c>
      <c r="XV118" s="14">
        <f t="shared" si="1284"/>
        <v>0</v>
      </c>
      <c r="XW118" s="14">
        <f t="shared" si="1284"/>
        <v>0</v>
      </c>
      <c r="XX118" s="14">
        <f t="shared" si="1284"/>
        <v>0</v>
      </c>
      <c r="XY118" s="14">
        <f t="shared" si="1284"/>
        <v>0</v>
      </c>
      <c r="XZ118" s="14">
        <f t="shared" si="1284"/>
        <v>0</v>
      </c>
      <c r="YA118" s="14">
        <f t="shared" si="1284"/>
        <v>0</v>
      </c>
      <c r="YB118" s="14">
        <f t="shared" si="1284"/>
        <v>0</v>
      </c>
      <c r="YC118" s="14">
        <f t="shared" si="1284"/>
        <v>0</v>
      </c>
      <c r="YD118" s="14">
        <f t="shared" si="1284"/>
        <v>0</v>
      </c>
      <c r="YE118" s="14">
        <f t="shared" si="1284"/>
        <v>0</v>
      </c>
      <c r="YF118" s="14">
        <f t="shared" si="1284"/>
        <v>0</v>
      </c>
      <c r="YG118" s="14">
        <f t="shared" si="1284"/>
        <v>0</v>
      </c>
      <c r="YH118" s="14">
        <f t="shared" si="1284"/>
        <v>0</v>
      </c>
      <c r="YI118" s="14">
        <f t="shared" si="1284"/>
        <v>0</v>
      </c>
      <c r="YJ118" s="14">
        <f t="shared" si="1284"/>
        <v>0</v>
      </c>
      <c r="YK118" s="14">
        <f t="shared" si="1284"/>
        <v>0</v>
      </c>
      <c r="YL118" s="14">
        <f t="shared" si="1284"/>
        <v>0</v>
      </c>
      <c r="YM118" s="14">
        <f t="shared" si="1284"/>
        <v>0</v>
      </c>
      <c r="YN118" s="14">
        <f t="shared" si="1284"/>
        <v>0</v>
      </c>
      <c r="YO118" s="14">
        <f t="shared" si="1284"/>
        <v>0</v>
      </c>
      <c r="YP118" s="14">
        <f t="shared" ref="YP118:ZJ118" si="1285">IF(NOT(YP57),1,0)</f>
        <v>0</v>
      </c>
      <c r="YQ118" s="14">
        <f t="shared" si="1285"/>
        <v>0</v>
      </c>
      <c r="YR118" s="14">
        <f t="shared" si="1285"/>
        <v>0</v>
      </c>
      <c r="YS118" s="14">
        <f t="shared" si="1285"/>
        <v>0</v>
      </c>
      <c r="YT118" s="14">
        <f t="shared" si="1285"/>
        <v>0</v>
      </c>
      <c r="YU118" s="14">
        <f t="shared" si="1285"/>
        <v>0</v>
      </c>
      <c r="YV118" s="14">
        <f t="shared" si="1285"/>
        <v>0</v>
      </c>
      <c r="YW118" s="14">
        <f t="shared" si="1285"/>
        <v>0</v>
      </c>
      <c r="YX118" s="14">
        <f t="shared" si="1285"/>
        <v>0</v>
      </c>
      <c r="YY118" s="14">
        <f t="shared" si="1285"/>
        <v>0</v>
      </c>
      <c r="YZ118" s="14">
        <f t="shared" si="1285"/>
        <v>0</v>
      </c>
      <c r="ZA118" s="14">
        <f t="shared" si="1285"/>
        <v>0</v>
      </c>
      <c r="ZB118" s="14">
        <f t="shared" si="1285"/>
        <v>0</v>
      </c>
      <c r="ZC118" s="14">
        <f t="shared" si="1285"/>
        <v>0</v>
      </c>
      <c r="ZD118" s="14">
        <f t="shared" si="1285"/>
        <v>0</v>
      </c>
      <c r="ZE118" s="14">
        <f t="shared" si="1285"/>
        <v>0</v>
      </c>
      <c r="ZF118" s="14">
        <f t="shared" si="1285"/>
        <v>0</v>
      </c>
      <c r="ZG118" s="14">
        <f t="shared" si="1285"/>
        <v>0</v>
      </c>
      <c r="ZH118" s="14">
        <f t="shared" si="1285"/>
        <v>0</v>
      </c>
      <c r="ZI118" s="14">
        <f t="shared" si="1285"/>
        <v>0</v>
      </c>
      <c r="ZJ118" s="14">
        <f t="shared" si="1285"/>
        <v>0</v>
      </c>
      <c r="ADD118" s="14">
        <f>IF(NOT(ADD57),1,0)</f>
        <v>0</v>
      </c>
      <c r="AFN118" s="14">
        <f>IF(NOT(AFN57),1,0)</f>
        <v>0</v>
      </c>
      <c r="AKQ118" s="14">
        <v>1</v>
      </c>
    </row>
    <row r="119" spans="1:979" ht="15" customHeight="1" x14ac:dyDescent="0.25">
      <c r="A119" s="14"/>
      <c r="NR119" s="14">
        <v>2</v>
      </c>
      <c r="NS119" s="14">
        <f t="shared" ref="NS119:OX119" si="1286" xml:space="preserve"> IF( NOT(EXACT(NS25, "LVC_NEUTRAL_E")), 1, 0)</f>
        <v>0</v>
      </c>
      <c r="NT119" s="14">
        <f t="shared" si="1286"/>
        <v>0</v>
      </c>
      <c r="NU119" s="14">
        <f t="shared" si="1286"/>
        <v>0</v>
      </c>
      <c r="NV119" s="14">
        <f t="shared" si="1286"/>
        <v>0</v>
      </c>
      <c r="NW119" s="14">
        <f t="shared" si="1286"/>
        <v>0</v>
      </c>
      <c r="NX119" s="14">
        <f t="shared" si="1286"/>
        <v>0</v>
      </c>
      <c r="NY119" s="14">
        <f t="shared" si="1286"/>
        <v>0</v>
      </c>
      <c r="NZ119" s="14">
        <f t="shared" si="1286"/>
        <v>0</v>
      </c>
      <c r="OA119" s="14">
        <f t="shared" si="1286"/>
        <v>1</v>
      </c>
      <c r="OB119" s="14">
        <f t="shared" si="1286"/>
        <v>1</v>
      </c>
      <c r="OC119" s="14">
        <f t="shared" si="1286"/>
        <v>1</v>
      </c>
      <c r="OD119" s="14">
        <f t="shared" si="1286"/>
        <v>0</v>
      </c>
      <c r="OE119" s="14">
        <f t="shared" si="1286"/>
        <v>0</v>
      </c>
      <c r="OF119" s="14">
        <f t="shared" si="1286"/>
        <v>0</v>
      </c>
      <c r="OG119" s="14">
        <f t="shared" si="1286"/>
        <v>0</v>
      </c>
      <c r="OH119" s="14">
        <f t="shared" si="1286"/>
        <v>0</v>
      </c>
      <c r="OI119" s="14">
        <f t="shared" si="1286"/>
        <v>0</v>
      </c>
      <c r="OJ119" s="14">
        <f t="shared" si="1286"/>
        <v>0</v>
      </c>
      <c r="OK119" s="14">
        <f t="shared" si="1286"/>
        <v>0</v>
      </c>
      <c r="OL119" s="14">
        <f t="shared" si="1286"/>
        <v>0</v>
      </c>
      <c r="OM119" s="14">
        <f t="shared" si="1286"/>
        <v>0</v>
      </c>
      <c r="ON119" s="14">
        <f t="shared" si="1286"/>
        <v>0</v>
      </c>
      <c r="OO119" s="14">
        <f t="shared" si="1286"/>
        <v>0</v>
      </c>
      <c r="OP119" s="14">
        <f t="shared" si="1286"/>
        <v>0</v>
      </c>
      <c r="OQ119" s="14">
        <f t="shared" si="1286"/>
        <v>0</v>
      </c>
      <c r="OR119" s="14">
        <f t="shared" si="1286"/>
        <v>0</v>
      </c>
      <c r="OS119" s="14">
        <f t="shared" si="1286"/>
        <v>0</v>
      </c>
      <c r="OT119" s="14">
        <f t="shared" si="1286"/>
        <v>0</v>
      </c>
      <c r="OU119" s="14">
        <f t="shared" si="1286"/>
        <v>0</v>
      </c>
      <c r="OV119" s="14">
        <f t="shared" si="1286"/>
        <v>0</v>
      </c>
      <c r="OW119" s="14">
        <f t="shared" si="1286"/>
        <v>0</v>
      </c>
      <c r="OX119" s="14">
        <f t="shared" si="1286"/>
        <v>0</v>
      </c>
      <c r="OY119" s="14">
        <f t="shared" ref="OY119:QD119" si="1287" xml:space="preserve"> IF( NOT(EXACT(OY25, "LVC_NEUTRAL_E")), 1, 0)</f>
        <v>0</v>
      </c>
      <c r="OZ119" s="14">
        <f t="shared" si="1287"/>
        <v>0</v>
      </c>
      <c r="PA119" s="14">
        <f t="shared" si="1287"/>
        <v>0</v>
      </c>
      <c r="PB119" s="14">
        <f t="shared" si="1287"/>
        <v>0</v>
      </c>
      <c r="PC119" s="14">
        <f t="shared" si="1287"/>
        <v>0</v>
      </c>
      <c r="PD119" s="14">
        <f t="shared" si="1287"/>
        <v>0</v>
      </c>
      <c r="PE119" s="14">
        <f t="shared" si="1287"/>
        <v>1</v>
      </c>
      <c r="PF119" s="14">
        <f t="shared" si="1287"/>
        <v>1</v>
      </c>
      <c r="PG119" s="14">
        <f t="shared" si="1287"/>
        <v>1</v>
      </c>
      <c r="PH119" s="14">
        <f t="shared" si="1287"/>
        <v>0</v>
      </c>
      <c r="PI119" s="14">
        <f t="shared" si="1287"/>
        <v>0</v>
      </c>
      <c r="PJ119" s="14">
        <f t="shared" si="1287"/>
        <v>0</v>
      </c>
      <c r="PK119" s="14">
        <f t="shared" si="1287"/>
        <v>0</v>
      </c>
      <c r="PL119" s="14">
        <f t="shared" si="1287"/>
        <v>0</v>
      </c>
      <c r="PM119" s="14">
        <f t="shared" si="1287"/>
        <v>1</v>
      </c>
      <c r="PN119" s="14">
        <f t="shared" si="1287"/>
        <v>0</v>
      </c>
      <c r="PO119" s="14">
        <f t="shared" si="1287"/>
        <v>1</v>
      </c>
      <c r="PP119" s="14">
        <f t="shared" si="1287"/>
        <v>0</v>
      </c>
      <c r="PQ119" s="14">
        <f t="shared" si="1287"/>
        <v>1</v>
      </c>
      <c r="PR119" s="14">
        <f t="shared" si="1287"/>
        <v>0</v>
      </c>
      <c r="PS119" s="14">
        <f t="shared" si="1287"/>
        <v>1</v>
      </c>
      <c r="PT119" s="14">
        <f t="shared" si="1287"/>
        <v>0</v>
      </c>
      <c r="PU119" s="14">
        <f t="shared" si="1287"/>
        <v>1</v>
      </c>
      <c r="PV119" s="14">
        <f t="shared" si="1287"/>
        <v>1</v>
      </c>
      <c r="PW119" s="14">
        <f t="shared" si="1287"/>
        <v>1</v>
      </c>
      <c r="PX119" s="14">
        <f t="shared" si="1287"/>
        <v>0</v>
      </c>
      <c r="PY119" s="14">
        <f t="shared" si="1287"/>
        <v>1</v>
      </c>
      <c r="PZ119" s="14">
        <f t="shared" si="1287"/>
        <v>0</v>
      </c>
      <c r="QA119" s="14">
        <f t="shared" si="1287"/>
        <v>1</v>
      </c>
      <c r="QB119" s="14">
        <f t="shared" si="1287"/>
        <v>0</v>
      </c>
      <c r="QC119" s="14">
        <f t="shared" si="1287"/>
        <v>0</v>
      </c>
      <c r="QD119" s="14">
        <f t="shared" si="1287"/>
        <v>0</v>
      </c>
      <c r="QE119" s="14">
        <f t="shared" ref="QE119:RI119" si="1288" xml:space="preserve"> IF( NOT(EXACT(QE25, "LVC_NEUTRAL_E")), 1, 0)</f>
        <v>0</v>
      </c>
      <c r="QF119" s="14">
        <f t="shared" si="1288"/>
        <v>0</v>
      </c>
      <c r="QG119" s="14">
        <f t="shared" si="1288"/>
        <v>0</v>
      </c>
      <c r="QH119" s="14">
        <f t="shared" si="1288"/>
        <v>1</v>
      </c>
      <c r="QI119" s="14">
        <f t="shared" si="1288"/>
        <v>1</v>
      </c>
      <c r="QJ119" s="14">
        <f t="shared" si="1288"/>
        <v>1</v>
      </c>
      <c r="QK119" s="14">
        <f t="shared" si="1288"/>
        <v>1</v>
      </c>
      <c r="QL119" s="14">
        <f t="shared" si="1288"/>
        <v>1</v>
      </c>
      <c r="QM119" s="14">
        <f t="shared" si="1288"/>
        <v>1</v>
      </c>
      <c r="QN119" s="14">
        <f t="shared" si="1288"/>
        <v>1</v>
      </c>
      <c r="QO119" s="14">
        <f t="shared" si="1288"/>
        <v>1</v>
      </c>
      <c r="QP119" s="14">
        <f t="shared" si="1288"/>
        <v>0</v>
      </c>
      <c r="QQ119" s="14">
        <f t="shared" si="1288"/>
        <v>1</v>
      </c>
      <c r="QR119" s="14">
        <f t="shared" si="1288"/>
        <v>0</v>
      </c>
      <c r="QS119" s="14">
        <f t="shared" si="1288"/>
        <v>0</v>
      </c>
      <c r="QT119" s="14">
        <f t="shared" si="1288"/>
        <v>1</v>
      </c>
      <c r="QU119" s="14">
        <f t="shared" si="1288"/>
        <v>0</v>
      </c>
      <c r="QV119" s="14">
        <f t="shared" si="1288"/>
        <v>0</v>
      </c>
      <c r="QW119" s="14">
        <f t="shared" si="1288"/>
        <v>0</v>
      </c>
      <c r="QX119" s="14">
        <f t="shared" si="1288"/>
        <v>0</v>
      </c>
      <c r="QY119" s="14">
        <f t="shared" si="1288"/>
        <v>0</v>
      </c>
      <c r="QZ119" s="14">
        <f t="shared" si="1288"/>
        <v>0</v>
      </c>
      <c r="RA119" s="14">
        <f t="shared" si="1288"/>
        <v>0</v>
      </c>
      <c r="RB119" s="14">
        <f t="shared" si="1288"/>
        <v>0</v>
      </c>
      <c r="RC119" s="14">
        <f t="shared" si="1288"/>
        <v>0</v>
      </c>
      <c r="RD119" s="14">
        <f t="shared" si="1288"/>
        <v>0</v>
      </c>
      <c r="RE119" s="14">
        <f t="shared" si="1288"/>
        <v>0</v>
      </c>
      <c r="RF119" s="14">
        <f t="shared" si="1288"/>
        <v>0</v>
      </c>
      <c r="RG119" s="14">
        <f t="shared" si="1288"/>
        <v>0</v>
      </c>
      <c r="RH119" s="14">
        <f t="shared" si="1288"/>
        <v>0</v>
      </c>
      <c r="RI119" s="14">
        <f t="shared" si="1288"/>
        <v>0</v>
      </c>
      <c r="RJ119" s="14">
        <f t="shared" ref="RJ119:RR119" si="1289" xml:space="preserve"> IF( NOT(EXACT(RJ25, "LVC_NEUTRAL_E")), 1, 0)</f>
        <v>0</v>
      </c>
      <c r="RK119" s="14">
        <f t="shared" si="1289"/>
        <v>0</v>
      </c>
      <c r="RL119" s="14">
        <f t="shared" si="1289"/>
        <v>0</v>
      </c>
      <c r="RM119" s="14">
        <f t="shared" si="1289"/>
        <v>0</v>
      </c>
      <c r="RN119" s="14">
        <f t="shared" si="1289"/>
        <v>0</v>
      </c>
      <c r="RO119" s="14">
        <f t="shared" si="1289"/>
        <v>0</v>
      </c>
      <c r="RP119" s="14">
        <f t="shared" si="1289"/>
        <v>0</v>
      </c>
      <c r="RQ119" s="14">
        <f t="shared" si="1289"/>
        <v>0</v>
      </c>
      <c r="RR119" s="14">
        <f t="shared" si="1289"/>
        <v>0</v>
      </c>
      <c r="SA119" s="14">
        <v>2</v>
      </c>
      <c r="SB119" s="14">
        <f t="shared" ref="SB119:TG119" si="1290" xml:space="preserve"> IF( NOT(EXACT(SB25, "LVC_NEUTRAL_E")), 1, 0)</f>
        <v>0</v>
      </c>
      <c r="SC119" s="14">
        <f t="shared" si="1290"/>
        <v>0</v>
      </c>
      <c r="SD119" s="14">
        <f t="shared" si="1290"/>
        <v>0</v>
      </c>
      <c r="SE119" s="14">
        <f t="shared" si="1290"/>
        <v>0</v>
      </c>
      <c r="SF119" s="14">
        <f t="shared" si="1290"/>
        <v>0</v>
      </c>
      <c r="SG119" s="14">
        <f t="shared" si="1290"/>
        <v>0</v>
      </c>
      <c r="SH119" s="14">
        <f t="shared" si="1290"/>
        <v>0</v>
      </c>
      <c r="SI119" s="14">
        <f t="shared" si="1290"/>
        <v>0</v>
      </c>
      <c r="SJ119" s="14">
        <f t="shared" si="1290"/>
        <v>1</v>
      </c>
      <c r="SK119" s="14">
        <f t="shared" si="1290"/>
        <v>1</v>
      </c>
      <c r="SL119" s="14">
        <f t="shared" si="1290"/>
        <v>1</v>
      </c>
      <c r="SM119" s="14">
        <f t="shared" si="1290"/>
        <v>0</v>
      </c>
      <c r="SN119" s="14">
        <f t="shared" si="1290"/>
        <v>0</v>
      </c>
      <c r="SO119" s="14">
        <f t="shared" si="1290"/>
        <v>0</v>
      </c>
      <c r="SP119" s="14">
        <f t="shared" si="1290"/>
        <v>0</v>
      </c>
      <c r="SQ119" s="14">
        <f t="shared" si="1290"/>
        <v>0</v>
      </c>
      <c r="SR119" s="14">
        <f t="shared" si="1290"/>
        <v>0</v>
      </c>
      <c r="SS119" s="14">
        <f t="shared" si="1290"/>
        <v>0</v>
      </c>
      <c r="ST119" s="14">
        <f t="shared" si="1290"/>
        <v>0</v>
      </c>
      <c r="SU119" s="14">
        <f t="shared" si="1290"/>
        <v>0</v>
      </c>
      <c r="SV119" s="14">
        <f t="shared" si="1290"/>
        <v>0</v>
      </c>
      <c r="SW119" s="14">
        <f t="shared" si="1290"/>
        <v>0</v>
      </c>
      <c r="SX119" s="14">
        <f t="shared" si="1290"/>
        <v>0</v>
      </c>
      <c r="SY119" s="14">
        <f t="shared" si="1290"/>
        <v>0</v>
      </c>
      <c r="SZ119" s="14">
        <f t="shared" si="1290"/>
        <v>0</v>
      </c>
      <c r="TA119" s="14">
        <f t="shared" si="1290"/>
        <v>0</v>
      </c>
      <c r="TB119" s="14">
        <f t="shared" si="1290"/>
        <v>0</v>
      </c>
      <c r="TC119" s="14">
        <f t="shared" si="1290"/>
        <v>0</v>
      </c>
      <c r="TD119" s="14">
        <f t="shared" si="1290"/>
        <v>0</v>
      </c>
      <c r="TE119" s="14">
        <f t="shared" si="1290"/>
        <v>0</v>
      </c>
      <c r="TF119" s="14">
        <f t="shared" si="1290"/>
        <v>0</v>
      </c>
      <c r="TG119" s="14">
        <f t="shared" si="1290"/>
        <v>0</v>
      </c>
      <c r="TH119" s="14">
        <f t="shared" ref="TH119:UM119" si="1291" xml:space="preserve"> IF( NOT(EXACT(TH25, "LVC_NEUTRAL_E")), 1, 0)</f>
        <v>0</v>
      </c>
      <c r="TI119" s="14">
        <f t="shared" si="1291"/>
        <v>0</v>
      </c>
      <c r="TJ119" s="14">
        <f t="shared" si="1291"/>
        <v>0</v>
      </c>
      <c r="TK119" s="14">
        <f t="shared" si="1291"/>
        <v>0</v>
      </c>
      <c r="TL119" s="14">
        <f t="shared" si="1291"/>
        <v>0</v>
      </c>
      <c r="TM119" s="14">
        <f t="shared" si="1291"/>
        <v>1</v>
      </c>
      <c r="TN119" s="14">
        <f t="shared" si="1291"/>
        <v>1</v>
      </c>
      <c r="TO119" s="14">
        <f t="shared" si="1291"/>
        <v>1</v>
      </c>
      <c r="TP119" s="14">
        <f t="shared" si="1291"/>
        <v>0</v>
      </c>
      <c r="TQ119" s="14">
        <f t="shared" si="1291"/>
        <v>0</v>
      </c>
      <c r="TR119" s="14">
        <f t="shared" si="1291"/>
        <v>0</v>
      </c>
      <c r="TS119" s="14">
        <f t="shared" si="1291"/>
        <v>0</v>
      </c>
      <c r="TT119" s="14">
        <f t="shared" si="1291"/>
        <v>0</v>
      </c>
      <c r="TU119" s="14">
        <f t="shared" si="1291"/>
        <v>1</v>
      </c>
      <c r="TV119" s="14">
        <f t="shared" si="1291"/>
        <v>0</v>
      </c>
      <c r="TW119" s="14">
        <f t="shared" si="1291"/>
        <v>1</v>
      </c>
      <c r="TX119" s="14">
        <f t="shared" si="1291"/>
        <v>0</v>
      </c>
      <c r="TY119" s="14">
        <f t="shared" si="1291"/>
        <v>1</v>
      </c>
      <c r="TZ119" s="14">
        <f t="shared" si="1291"/>
        <v>0</v>
      </c>
      <c r="UA119" s="14">
        <f t="shared" si="1291"/>
        <v>1</v>
      </c>
      <c r="UB119" s="14">
        <f t="shared" si="1291"/>
        <v>0</v>
      </c>
      <c r="UC119" s="14">
        <f t="shared" si="1291"/>
        <v>1</v>
      </c>
      <c r="UD119" s="14">
        <f t="shared" si="1291"/>
        <v>1</v>
      </c>
      <c r="UE119" s="14">
        <f t="shared" si="1291"/>
        <v>1</v>
      </c>
      <c r="UF119" s="14">
        <f t="shared" si="1291"/>
        <v>0</v>
      </c>
      <c r="UG119" s="14">
        <f t="shared" si="1291"/>
        <v>1</v>
      </c>
      <c r="UH119" s="14">
        <f t="shared" si="1291"/>
        <v>0</v>
      </c>
      <c r="UI119" s="14">
        <f t="shared" si="1291"/>
        <v>1</v>
      </c>
      <c r="UJ119" s="14">
        <f t="shared" si="1291"/>
        <v>0</v>
      </c>
      <c r="UK119" s="14">
        <f t="shared" si="1291"/>
        <v>0</v>
      </c>
      <c r="UL119" s="14">
        <f t="shared" si="1291"/>
        <v>0</v>
      </c>
      <c r="UM119" s="14">
        <f t="shared" si="1291"/>
        <v>0</v>
      </c>
      <c r="UN119" s="14">
        <f t="shared" ref="UN119:VS119" si="1292" xml:space="preserve"> IF( NOT(EXACT(UN25, "LVC_NEUTRAL_E")), 1, 0)</f>
        <v>0</v>
      </c>
      <c r="UO119" s="14">
        <f t="shared" si="1292"/>
        <v>0</v>
      </c>
      <c r="UP119" s="14">
        <f t="shared" si="1292"/>
        <v>1</v>
      </c>
      <c r="UQ119" s="14">
        <f t="shared" si="1292"/>
        <v>1</v>
      </c>
      <c r="UR119" s="14">
        <f t="shared" si="1292"/>
        <v>1</v>
      </c>
      <c r="US119" s="14">
        <f t="shared" si="1292"/>
        <v>1</v>
      </c>
      <c r="UT119" s="14">
        <f t="shared" si="1292"/>
        <v>1</v>
      </c>
      <c r="UU119" s="14">
        <f t="shared" si="1292"/>
        <v>1</v>
      </c>
      <c r="UV119" s="14">
        <f t="shared" si="1292"/>
        <v>1</v>
      </c>
      <c r="UW119" s="14">
        <f t="shared" si="1292"/>
        <v>1</v>
      </c>
      <c r="UX119" s="14">
        <f t="shared" si="1292"/>
        <v>0</v>
      </c>
      <c r="UY119" s="14">
        <f t="shared" si="1292"/>
        <v>1</v>
      </c>
      <c r="UZ119" s="14">
        <f t="shared" si="1292"/>
        <v>0</v>
      </c>
      <c r="VA119" s="14">
        <f t="shared" si="1292"/>
        <v>0</v>
      </c>
      <c r="VB119" s="14">
        <f t="shared" si="1292"/>
        <v>1</v>
      </c>
      <c r="VC119" s="14">
        <f t="shared" si="1292"/>
        <v>0</v>
      </c>
      <c r="VD119" s="14">
        <f t="shared" si="1292"/>
        <v>0</v>
      </c>
      <c r="VE119" s="14">
        <f t="shared" si="1292"/>
        <v>0</v>
      </c>
      <c r="VF119" s="14">
        <f t="shared" si="1292"/>
        <v>0</v>
      </c>
      <c r="VG119" s="14">
        <f t="shared" si="1292"/>
        <v>0</v>
      </c>
      <c r="VH119" s="14">
        <f t="shared" si="1292"/>
        <v>0</v>
      </c>
      <c r="VI119" s="14">
        <f t="shared" si="1292"/>
        <v>0</v>
      </c>
      <c r="VJ119" s="14">
        <f t="shared" si="1292"/>
        <v>0</v>
      </c>
      <c r="VK119" s="14">
        <f t="shared" si="1292"/>
        <v>0</v>
      </c>
      <c r="VL119" s="14">
        <f t="shared" si="1292"/>
        <v>0</v>
      </c>
      <c r="VM119" s="14">
        <f t="shared" si="1292"/>
        <v>0</v>
      </c>
      <c r="VN119" s="14">
        <f t="shared" si="1292"/>
        <v>0</v>
      </c>
      <c r="VO119" s="14">
        <f t="shared" si="1292"/>
        <v>0</v>
      </c>
      <c r="VP119" s="14">
        <f t="shared" si="1292"/>
        <v>0</v>
      </c>
      <c r="VQ119" s="14">
        <f t="shared" si="1292"/>
        <v>0</v>
      </c>
      <c r="VR119" s="14">
        <f t="shared" si="1292"/>
        <v>0</v>
      </c>
      <c r="VS119" s="14">
        <f t="shared" si="1292"/>
        <v>0</v>
      </c>
      <c r="VT119" s="14">
        <f t="shared" ref="VT119:VZ119" si="1293" xml:space="preserve"> IF( NOT(EXACT(VT25, "LVC_NEUTRAL_E")), 1, 0)</f>
        <v>0</v>
      </c>
      <c r="VU119" s="14">
        <f t="shared" si="1293"/>
        <v>0</v>
      </c>
      <c r="VV119" s="14">
        <f t="shared" si="1293"/>
        <v>0</v>
      </c>
      <c r="VW119" s="14">
        <f t="shared" si="1293"/>
        <v>0</v>
      </c>
      <c r="VX119" s="14">
        <f t="shared" si="1293"/>
        <v>0</v>
      </c>
      <c r="VY119" s="14">
        <f t="shared" si="1293"/>
        <v>0</v>
      </c>
      <c r="VZ119" s="14">
        <f t="shared" si="1293"/>
        <v>0</v>
      </c>
      <c r="WD119" s="14">
        <f t="shared" ref="WD119:XI119" si="1294" xml:space="preserve"> IF( NOT(EXACT(WD25, "LVC_NEUTRAL_E")), 1, 0)</f>
        <v>0</v>
      </c>
      <c r="WE119" s="14">
        <f t="shared" si="1294"/>
        <v>0</v>
      </c>
      <c r="WF119" s="14">
        <f t="shared" si="1294"/>
        <v>0</v>
      </c>
      <c r="WG119" s="14">
        <f t="shared" si="1294"/>
        <v>0</v>
      </c>
      <c r="WH119" s="14">
        <f t="shared" si="1294"/>
        <v>0</v>
      </c>
      <c r="WI119" s="14">
        <f t="shared" si="1294"/>
        <v>0</v>
      </c>
      <c r="WJ119" s="14">
        <f t="shared" si="1294"/>
        <v>0</v>
      </c>
      <c r="WK119" s="14">
        <f t="shared" si="1294"/>
        <v>0</v>
      </c>
      <c r="WL119" s="14">
        <f t="shared" si="1294"/>
        <v>1</v>
      </c>
      <c r="WM119" s="14">
        <f t="shared" si="1294"/>
        <v>1</v>
      </c>
      <c r="WN119" s="14">
        <f t="shared" si="1294"/>
        <v>1</v>
      </c>
      <c r="WO119" s="14">
        <f t="shared" si="1294"/>
        <v>0</v>
      </c>
      <c r="WP119" s="14">
        <f t="shared" si="1294"/>
        <v>1</v>
      </c>
      <c r="WQ119" s="14">
        <f t="shared" si="1294"/>
        <v>0</v>
      </c>
      <c r="WR119" s="14">
        <f t="shared" si="1294"/>
        <v>1</v>
      </c>
      <c r="WS119" s="14">
        <f t="shared" si="1294"/>
        <v>0</v>
      </c>
      <c r="WT119" s="14">
        <f t="shared" si="1294"/>
        <v>1</v>
      </c>
      <c r="WU119" s="14">
        <f t="shared" si="1294"/>
        <v>0</v>
      </c>
      <c r="WV119" s="14">
        <f t="shared" si="1294"/>
        <v>1</v>
      </c>
      <c r="WW119" s="14">
        <f t="shared" si="1294"/>
        <v>0</v>
      </c>
      <c r="WX119" s="14">
        <f t="shared" si="1294"/>
        <v>1</v>
      </c>
      <c r="WY119" s="14">
        <f t="shared" si="1294"/>
        <v>0</v>
      </c>
      <c r="WZ119" s="14">
        <f t="shared" si="1294"/>
        <v>0</v>
      </c>
      <c r="XA119" s="14">
        <f t="shared" si="1294"/>
        <v>0</v>
      </c>
      <c r="XB119" s="14">
        <f t="shared" si="1294"/>
        <v>0</v>
      </c>
      <c r="XC119" s="14">
        <f t="shared" si="1294"/>
        <v>0</v>
      </c>
      <c r="XD119" s="14">
        <f t="shared" si="1294"/>
        <v>0</v>
      </c>
      <c r="XE119" s="14">
        <f t="shared" si="1294"/>
        <v>0</v>
      </c>
      <c r="XF119" s="14">
        <f t="shared" si="1294"/>
        <v>0</v>
      </c>
      <c r="XG119" s="14">
        <f t="shared" si="1294"/>
        <v>0</v>
      </c>
      <c r="XH119" s="14">
        <f t="shared" si="1294"/>
        <v>1</v>
      </c>
      <c r="XI119" s="14">
        <f t="shared" si="1294"/>
        <v>0</v>
      </c>
      <c r="XJ119" s="14">
        <f t="shared" ref="XJ119:YO119" si="1295" xml:space="preserve"> IF( NOT(EXACT(XJ25, "LVC_NEUTRAL_E")), 1, 0)</f>
        <v>0</v>
      </c>
      <c r="XK119" s="14">
        <f t="shared" si="1295"/>
        <v>0</v>
      </c>
      <c r="XL119" s="14">
        <f t="shared" si="1295"/>
        <v>0</v>
      </c>
      <c r="XM119" s="14">
        <f t="shared" si="1295"/>
        <v>0</v>
      </c>
      <c r="XN119" s="14">
        <f t="shared" si="1295"/>
        <v>0</v>
      </c>
      <c r="XO119" s="14">
        <f t="shared" si="1295"/>
        <v>0</v>
      </c>
      <c r="XP119" s="14">
        <f t="shared" si="1295"/>
        <v>0</v>
      </c>
      <c r="XQ119" s="14">
        <f t="shared" si="1295"/>
        <v>0</v>
      </c>
      <c r="XR119" s="14">
        <f t="shared" si="1295"/>
        <v>0</v>
      </c>
      <c r="XS119" s="14">
        <f t="shared" si="1295"/>
        <v>0</v>
      </c>
      <c r="XT119" s="14">
        <f t="shared" si="1295"/>
        <v>0</v>
      </c>
      <c r="XU119" s="14">
        <f t="shared" si="1295"/>
        <v>0</v>
      </c>
      <c r="XV119" s="14">
        <f t="shared" si="1295"/>
        <v>0</v>
      </c>
      <c r="XW119" s="14">
        <f t="shared" si="1295"/>
        <v>0</v>
      </c>
      <c r="XX119" s="14">
        <f t="shared" si="1295"/>
        <v>0</v>
      </c>
      <c r="XY119" s="14">
        <f t="shared" si="1295"/>
        <v>0</v>
      </c>
      <c r="XZ119" s="14">
        <f t="shared" si="1295"/>
        <v>0</v>
      </c>
      <c r="YA119" s="14">
        <f t="shared" si="1295"/>
        <v>0</v>
      </c>
      <c r="YB119" s="14">
        <f t="shared" si="1295"/>
        <v>0</v>
      </c>
      <c r="YC119" s="14">
        <f t="shared" si="1295"/>
        <v>0</v>
      </c>
      <c r="YD119" s="14">
        <f t="shared" si="1295"/>
        <v>0</v>
      </c>
      <c r="YE119" s="14">
        <f t="shared" si="1295"/>
        <v>0</v>
      </c>
      <c r="YF119" s="14">
        <f t="shared" si="1295"/>
        <v>0</v>
      </c>
      <c r="YG119" s="14">
        <f t="shared" si="1295"/>
        <v>0</v>
      </c>
      <c r="YH119" s="14">
        <f t="shared" si="1295"/>
        <v>0</v>
      </c>
      <c r="YI119" s="14">
        <f t="shared" si="1295"/>
        <v>0</v>
      </c>
      <c r="YJ119" s="14">
        <f t="shared" si="1295"/>
        <v>0</v>
      </c>
      <c r="YK119" s="14">
        <f t="shared" si="1295"/>
        <v>0</v>
      </c>
      <c r="YL119" s="14">
        <f t="shared" si="1295"/>
        <v>0</v>
      </c>
      <c r="YM119" s="14">
        <f t="shared" si="1295"/>
        <v>0</v>
      </c>
      <c r="YN119" s="14">
        <f t="shared" si="1295"/>
        <v>0</v>
      </c>
      <c r="YO119" s="14">
        <f t="shared" si="1295"/>
        <v>0</v>
      </c>
      <c r="YP119" s="14">
        <f t="shared" ref="YP119:ZJ119" si="1296" xml:space="preserve"> IF( NOT(EXACT(YP25, "LVC_NEUTRAL_E")), 1, 0)</f>
        <v>0</v>
      </c>
      <c r="YQ119" s="14">
        <f t="shared" si="1296"/>
        <v>0</v>
      </c>
      <c r="YR119" s="14">
        <f t="shared" si="1296"/>
        <v>0</v>
      </c>
      <c r="YS119" s="14">
        <f t="shared" si="1296"/>
        <v>0</v>
      </c>
      <c r="YT119" s="14">
        <f t="shared" si="1296"/>
        <v>0</v>
      </c>
      <c r="YU119" s="14">
        <f t="shared" si="1296"/>
        <v>0</v>
      </c>
      <c r="YV119" s="14">
        <f t="shared" si="1296"/>
        <v>0</v>
      </c>
      <c r="YW119" s="14">
        <f t="shared" si="1296"/>
        <v>0</v>
      </c>
      <c r="YX119" s="14">
        <f t="shared" si="1296"/>
        <v>0</v>
      </c>
      <c r="YY119" s="14">
        <f t="shared" si="1296"/>
        <v>0</v>
      </c>
      <c r="YZ119" s="14">
        <f t="shared" si="1296"/>
        <v>0</v>
      </c>
      <c r="ZA119" s="14">
        <f t="shared" si="1296"/>
        <v>0</v>
      </c>
      <c r="ZB119" s="14">
        <f t="shared" si="1296"/>
        <v>0</v>
      </c>
      <c r="ZC119" s="14">
        <f t="shared" si="1296"/>
        <v>0</v>
      </c>
      <c r="ZD119" s="14">
        <f t="shared" si="1296"/>
        <v>0</v>
      </c>
      <c r="ZE119" s="14">
        <f t="shared" si="1296"/>
        <v>0</v>
      </c>
      <c r="ZF119" s="14">
        <f t="shared" si="1296"/>
        <v>0</v>
      </c>
      <c r="ZG119" s="14">
        <f t="shared" si="1296"/>
        <v>0</v>
      </c>
      <c r="ZH119" s="14">
        <f t="shared" si="1296"/>
        <v>0</v>
      </c>
      <c r="ZI119" s="14">
        <f t="shared" si="1296"/>
        <v>0</v>
      </c>
      <c r="ZJ119" s="14">
        <f t="shared" si="1296"/>
        <v>0</v>
      </c>
      <c r="ADD119" s="14">
        <f xml:space="preserve"> IF( NOT(EXACT(ADD25, "LVC_NEUTRAL_E")), 1, 0)</f>
        <v>0</v>
      </c>
      <c r="AFN119" s="14">
        <f xml:space="preserve"> IF( NOT(EXACT(AFN25, "LVC_NEUTRAL_E")), 1, 0)</f>
        <v>0</v>
      </c>
      <c r="AKQ119" s="14">
        <v>2</v>
      </c>
    </row>
    <row r="120" spans="1:979" ht="15" customHeight="1" x14ac:dyDescent="0.25">
      <c r="A120" s="14"/>
      <c r="NR120" s="14">
        <v>4</v>
      </c>
      <c r="NS120" s="14">
        <f t="shared" ref="NS120:OX120" si="1297" xml:space="preserve"> IF( NOT(EXACT(NS26,"LVC_REQ_ENGAGE_E")), 1, 0)</f>
        <v>0</v>
      </c>
      <c r="NT120" s="14">
        <f t="shared" si="1297"/>
        <v>0</v>
      </c>
      <c r="NU120" s="14">
        <f t="shared" si="1297"/>
        <v>0</v>
      </c>
      <c r="NV120" s="14">
        <f t="shared" si="1297"/>
        <v>0</v>
      </c>
      <c r="NW120" s="14">
        <f t="shared" si="1297"/>
        <v>0</v>
      </c>
      <c r="NX120" s="14">
        <f t="shared" si="1297"/>
        <v>1</v>
      </c>
      <c r="NY120" s="14">
        <f t="shared" si="1297"/>
        <v>1</v>
      </c>
      <c r="NZ120" s="14">
        <f t="shared" si="1297"/>
        <v>1</v>
      </c>
      <c r="OA120" s="14">
        <f t="shared" si="1297"/>
        <v>0</v>
      </c>
      <c r="OB120" s="14">
        <f t="shared" si="1297"/>
        <v>0</v>
      </c>
      <c r="OC120" s="14">
        <f t="shared" si="1297"/>
        <v>0</v>
      </c>
      <c r="OD120" s="14">
        <f t="shared" si="1297"/>
        <v>0</v>
      </c>
      <c r="OE120" s="14">
        <f t="shared" si="1297"/>
        <v>0</v>
      </c>
      <c r="OF120" s="14">
        <f t="shared" si="1297"/>
        <v>0</v>
      </c>
      <c r="OG120" s="14">
        <f t="shared" si="1297"/>
        <v>0</v>
      </c>
      <c r="OH120" s="14">
        <f t="shared" si="1297"/>
        <v>0</v>
      </c>
      <c r="OI120" s="14">
        <f t="shared" si="1297"/>
        <v>0</v>
      </c>
      <c r="OJ120" s="14">
        <f t="shared" si="1297"/>
        <v>0</v>
      </c>
      <c r="OK120" s="14">
        <f t="shared" si="1297"/>
        <v>0</v>
      </c>
      <c r="OL120" s="14">
        <f t="shared" si="1297"/>
        <v>0</v>
      </c>
      <c r="OM120" s="14">
        <f t="shared" si="1297"/>
        <v>0</v>
      </c>
      <c r="ON120" s="14">
        <f t="shared" si="1297"/>
        <v>0</v>
      </c>
      <c r="OO120" s="14">
        <f t="shared" si="1297"/>
        <v>0</v>
      </c>
      <c r="OP120" s="14">
        <f t="shared" si="1297"/>
        <v>0</v>
      </c>
      <c r="OQ120" s="14">
        <f t="shared" si="1297"/>
        <v>0</v>
      </c>
      <c r="OR120" s="14">
        <f t="shared" si="1297"/>
        <v>0</v>
      </c>
      <c r="OS120" s="14">
        <f t="shared" si="1297"/>
        <v>0</v>
      </c>
      <c r="OT120" s="14">
        <f t="shared" si="1297"/>
        <v>0</v>
      </c>
      <c r="OU120" s="14">
        <f t="shared" si="1297"/>
        <v>0</v>
      </c>
      <c r="OV120" s="14">
        <f t="shared" si="1297"/>
        <v>0</v>
      </c>
      <c r="OW120" s="14">
        <f t="shared" si="1297"/>
        <v>0</v>
      </c>
      <c r="OX120" s="14">
        <f t="shared" si="1297"/>
        <v>0</v>
      </c>
      <c r="OY120" s="14">
        <f t="shared" ref="OY120:QD120" si="1298" xml:space="preserve"> IF( NOT(EXACT(OY26,"LVC_REQ_ENGAGE_E")), 1, 0)</f>
        <v>0</v>
      </c>
      <c r="OZ120" s="14">
        <f t="shared" si="1298"/>
        <v>0</v>
      </c>
      <c r="PA120" s="14">
        <f t="shared" si="1298"/>
        <v>0</v>
      </c>
      <c r="PB120" s="14">
        <f t="shared" si="1298"/>
        <v>1</v>
      </c>
      <c r="PC120" s="14">
        <f t="shared" si="1298"/>
        <v>1</v>
      </c>
      <c r="PD120" s="14">
        <f t="shared" si="1298"/>
        <v>1</v>
      </c>
      <c r="PE120" s="14">
        <f t="shared" si="1298"/>
        <v>0</v>
      </c>
      <c r="PF120" s="14">
        <f t="shared" si="1298"/>
        <v>0</v>
      </c>
      <c r="PG120" s="14">
        <f t="shared" si="1298"/>
        <v>0</v>
      </c>
      <c r="PH120" s="14">
        <f t="shared" si="1298"/>
        <v>0</v>
      </c>
      <c r="PI120" s="14">
        <f t="shared" si="1298"/>
        <v>0</v>
      </c>
      <c r="PJ120" s="14">
        <f t="shared" si="1298"/>
        <v>0</v>
      </c>
      <c r="PK120" s="14">
        <f t="shared" si="1298"/>
        <v>0</v>
      </c>
      <c r="PL120" s="14">
        <f t="shared" si="1298"/>
        <v>0</v>
      </c>
      <c r="PM120" s="14">
        <f t="shared" si="1298"/>
        <v>1</v>
      </c>
      <c r="PN120" s="14">
        <f t="shared" si="1298"/>
        <v>0</v>
      </c>
      <c r="PO120" s="14">
        <f t="shared" si="1298"/>
        <v>1</v>
      </c>
      <c r="PP120" s="14">
        <f t="shared" si="1298"/>
        <v>1</v>
      </c>
      <c r="PQ120" s="14">
        <f t="shared" si="1298"/>
        <v>0</v>
      </c>
      <c r="PR120" s="14">
        <f t="shared" si="1298"/>
        <v>1</v>
      </c>
      <c r="PS120" s="14">
        <f t="shared" si="1298"/>
        <v>0</v>
      </c>
      <c r="PT120" s="14">
        <f t="shared" si="1298"/>
        <v>1</v>
      </c>
      <c r="PU120" s="14">
        <f t="shared" si="1298"/>
        <v>0</v>
      </c>
      <c r="PV120" s="14">
        <f t="shared" si="1298"/>
        <v>0</v>
      </c>
      <c r="PW120" s="14">
        <f t="shared" si="1298"/>
        <v>0</v>
      </c>
      <c r="PX120" s="14">
        <f t="shared" si="1298"/>
        <v>0</v>
      </c>
      <c r="PY120" s="14">
        <f t="shared" si="1298"/>
        <v>1</v>
      </c>
      <c r="PZ120" s="14">
        <f t="shared" si="1298"/>
        <v>0</v>
      </c>
      <c r="QA120" s="14">
        <f t="shared" si="1298"/>
        <v>0</v>
      </c>
      <c r="QB120" s="14">
        <f t="shared" si="1298"/>
        <v>0</v>
      </c>
      <c r="QC120" s="14">
        <f t="shared" si="1298"/>
        <v>0</v>
      </c>
      <c r="QD120" s="14">
        <f t="shared" si="1298"/>
        <v>0</v>
      </c>
      <c r="QE120" s="14">
        <f t="shared" ref="QE120:RI120" si="1299" xml:space="preserve"> IF( NOT(EXACT(QE26,"LVC_REQ_ENGAGE_E")), 1, 0)</f>
        <v>0</v>
      </c>
      <c r="QF120" s="14">
        <f t="shared" si="1299"/>
        <v>0</v>
      </c>
      <c r="QG120" s="14">
        <f t="shared" si="1299"/>
        <v>0</v>
      </c>
      <c r="QH120" s="14">
        <f t="shared" si="1299"/>
        <v>0</v>
      </c>
      <c r="QI120" s="14">
        <f t="shared" si="1299"/>
        <v>1</v>
      </c>
      <c r="QJ120" s="14">
        <f t="shared" si="1299"/>
        <v>0</v>
      </c>
      <c r="QK120" s="14">
        <f t="shared" si="1299"/>
        <v>0</v>
      </c>
      <c r="QL120" s="14">
        <f t="shared" si="1299"/>
        <v>0</v>
      </c>
      <c r="QM120" s="14">
        <f t="shared" si="1299"/>
        <v>0</v>
      </c>
      <c r="QN120" s="14">
        <f t="shared" si="1299"/>
        <v>0</v>
      </c>
      <c r="QO120" s="14">
        <f t="shared" si="1299"/>
        <v>1</v>
      </c>
      <c r="QP120" s="14">
        <f t="shared" si="1299"/>
        <v>0</v>
      </c>
      <c r="QQ120" s="14">
        <f t="shared" si="1299"/>
        <v>1</v>
      </c>
      <c r="QR120" s="14">
        <f t="shared" si="1299"/>
        <v>0</v>
      </c>
      <c r="QS120" s="14">
        <f t="shared" si="1299"/>
        <v>0</v>
      </c>
      <c r="QT120" s="14">
        <f t="shared" si="1299"/>
        <v>0</v>
      </c>
      <c r="QU120" s="14">
        <f t="shared" si="1299"/>
        <v>0</v>
      </c>
      <c r="QV120" s="14">
        <f t="shared" si="1299"/>
        <v>0</v>
      </c>
      <c r="QW120" s="14">
        <f t="shared" si="1299"/>
        <v>0</v>
      </c>
      <c r="QX120" s="14">
        <f t="shared" si="1299"/>
        <v>0</v>
      </c>
      <c r="QY120" s="14">
        <f t="shared" si="1299"/>
        <v>0</v>
      </c>
      <c r="QZ120" s="14">
        <f t="shared" si="1299"/>
        <v>0</v>
      </c>
      <c r="RA120" s="14">
        <f t="shared" si="1299"/>
        <v>0</v>
      </c>
      <c r="RB120" s="14">
        <f t="shared" si="1299"/>
        <v>0</v>
      </c>
      <c r="RC120" s="14">
        <f t="shared" si="1299"/>
        <v>0</v>
      </c>
      <c r="RD120" s="14">
        <f t="shared" si="1299"/>
        <v>0</v>
      </c>
      <c r="RE120" s="14">
        <f t="shared" si="1299"/>
        <v>0</v>
      </c>
      <c r="RF120" s="14">
        <f t="shared" si="1299"/>
        <v>0</v>
      </c>
      <c r="RG120" s="14">
        <f t="shared" si="1299"/>
        <v>0</v>
      </c>
      <c r="RH120" s="14">
        <f t="shared" si="1299"/>
        <v>0</v>
      </c>
      <c r="RI120" s="14">
        <f t="shared" si="1299"/>
        <v>0</v>
      </c>
      <c r="RJ120" s="14">
        <f t="shared" ref="RJ120:RR120" si="1300" xml:space="preserve"> IF( NOT(EXACT(RJ26,"LVC_REQ_ENGAGE_E")), 1, 0)</f>
        <v>0</v>
      </c>
      <c r="RK120" s="14">
        <f t="shared" si="1300"/>
        <v>0</v>
      </c>
      <c r="RL120" s="14">
        <f t="shared" si="1300"/>
        <v>0</v>
      </c>
      <c r="RM120" s="14">
        <f t="shared" si="1300"/>
        <v>0</v>
      </c>
      <c r="RN120" s="14">
        <f t="shared" si="1300"/>
        <v>0</v>
      </c>
      <c r="RO120" s="14">
        <f t="shared" si="1300"/>
        <v>0</v>
      </c>
      <c r="RP120" s="14">
        <f t="shared" si="1300"/>
        <v>0</v>
      </c>
      <c r="RQ120" s="14">
        <f t="shared" si="1300"/>
        <v>0</v>
      </c>
      <c r="RR120" s="14">
        <f t="shared" si="1300"/>
        <v>0</v>
      </c>
      <c r="SA120" s="14">
        <v>4</v>
      </c>
      <c r="SB120" s="14">
        <f t="shared" ref="SB120:TG120" si="1301" xml:space="preserve"> IF( NOT(EXACT(SB26,"LVC_REQ_ENGAGE_E")), 1, 0)</f>
        <v>0</v>
      </c>
      <c r="SC120" s="14">
        <f t="shared" si="1301"/>
        <v>0</v>
      </c>
      <c r="SD120" s="14">
        <f t="shared" si="1301"/>
        <v>0</v>
      </c>
      <c r="SE120" s="14">
        <f t="shared" si="1301"/>
        <v>0</v>
      </c>
      <c r="SF120" s="14">
        <f t="shared" si="1301"/>
        <v>0</v>
      </c>
      <c r="SG120" s="14">
        <f t="shared" si="1301"/>
        <v>1</v>
      </c>
      <c r="SH120" s="14">
        <f t="shared" si="1301"/>
        <v>1</v>
      </c>
      <c r="SI120" s="14">
        <f t="shared" si="1301"/>
        <v>1</v>
      </c>
      <c r="SJ120" s="14">
        <f t="shared" si="1301"/>
        <v>0</v>
      </c>
      <c r="SK120" s="14">
        <f t="shared" si="1301"/>
        <v>0</v>
      </c>
      <c r="SL120" s="14">
        <f t="shared" si="1301"/>
        <v>0</v>
      </c>
      <c r="SM120" s="14">
        <f t="shared" si="1301"/>
        <v>0</v>
      </c>
      <c r="SN120" s="14">
        <f t="shared" si="1301"/>
        <v>0</v>
      </c>
      <c r="SO120" s="14">
        <f t="shared" si="1301"/>
        <v>0</v>
      </c>
      <c r="SP120" s="14">
        <f t="shared" si="1301"/>
        <v>0</v>
      </c>
      <c r="SQ120" s="14">
        <f t="shared" si="1301"/>
        <v>0</v>
      </c>
      <c r="SR120" s="14">
        <f t="shared" si="1301"/>
        <v>0</v>
      </c>
      <c r="SS120" s="14">
        <f t="shared" si="1301"/>
        <v>0</v>
      </c>
      <c r="ST120" s="14">
        <f t="shared" si="1301"/>
        <v>0</v>
      </c>
      <c r="SU120" s="14">
        <f t="shared" si="1301"/>
        <v>0</v>
      </c>
      <c r="SV120" s="14">
        <f t="shared" si="1301"/>
        <v>0</v>
      </c>
      <c r="SW120" s="14">
        <f t="shared" si="1301"/>
        <v>0</v>
      </c>
      <c r="SX120" s="14">
        <f t="shared" si="1301"/>
        <v>0</v>
      </c>
      <c r="SY120" s="14">
        <f t="shared" si="1301"/>
        <v>0</v>
      </c>
      <c r="SZ120" s="14">
        <f t="shared" si="1301"/>
        <v>0</v>
      </c>
      <c r="TA120" s="14">
        <f t="shared" si="1301"/>
        <v>0</v>
      </c>
      <c r="TB120" s="14">
        <f t="shared" si="1301"/>
        <v>0</v>
      </c>
      <c r="TC120" s="14">
        <f t="shared" si="1301"/>
        <v>0</v>
      </c>
      <c r="TD120" s="14">
        <f t="shared" si="1301"/>
        <v>0</v>
      </c>
      <c r="TE120" s="14">
        <f t="shared" si="1301"/>
        <v>0</v>
      </c>
      <c r="TF120" s="14">
        <f t="shared" si="1301"/>
        <v>0</v>
      </c>
      <c r="TG120" s="14">
        <f t="shared" si="1301"/>
        <v>0</v>
      </c>
      <c r="TH120" s="14">
        <f t="shared" ref="TH120:UM120" si="1302" xml:space="preserve"> IF( NOT(EXACT(TH26,"LVC_REQ_ENGAGE_E")), 1, 0)</f>
        <v>0</v>
      </c>
      <c r="TI120" s="14">
        <f t="shared" si="1302"/>
        <v>0</v>
      </c>
      <c r="TJ120" s="14">
        <f t="shared" si="1302"/>
        <v>1</v>
      </c>
      <c r="TK120" s="14">
        <f t="shared" si="1302"/>
        <v>1</v>
      </c>
      <c r="TL120" s="14">
        <f t="shared" si="1302"/>
        <v>1</v>
      </c>
      <c r="TM120" s="14">
        <f t="shared" si="1302"/>
        <v>0</v>
      </c>
      <c r="TN120" s="14">
        <f t="shared" si="1302"/>
        <v>0</v>
      </c>
      <c r="TO120" s="14">
        <f t="shared" si="1302"/>
        <v>0</v>
      </c>
      <c r="TP120" s="14">
        <f t="shared" si="1302"/>
        <v>0</v>
      </c>
      <c r="TQ120" s="14">
        <f t="shared" si="1302"/>
        <v>0</v>
      </c>
      <c r="TR120" s="14">
        <f t="shared" si="1302"/>
        <v>0</v>
      </c>
      <c r="TS120" s="14">
        <f t="shared" si="1302"/>
        <v>0</v>
      </c>
      <c r="TT120" s="14">
        <f t="shared" si="1302"/>
        <v>0</v>
      </c>
      <c r="TU120" s="14">
        <f t="shared" si="1302"/>
        <v>1</v>
      </c>
      <c r="TV120" s="14">
        <f t="shared" si="1302"/>
        <v>0</v>
      </c>
      <c r="TW120" s="14">
        <f t="shared" si="1302"/>
        <v>1</v>
      </c>
      <c r="TX120" s="14">
        <f t="shared" si="1302"/>
        <v>1</v>
      </c>
      <c r="TY120" s="14">
        <f t="shared" si="1302"/>
        <v>0</v>
      </c>
      <c r="TZ120" s="14">
        <f t="shared" si="1302"/>
        <v>1</v>
      </c>
      <c r="UA120" s="14">
        <f t="shared" si="1302"/>
        <v>0</v>
      </c>
      <c r="UB120" s="14">
        <f t="shared" si="1302"/>
        <v>1</v>
      </c>
      <c r="UC120" s="14">
        <f t="shared" si="1302"/>
        <v>0</v>
      </c>
      <c r="UD120" s="14">
        <f t="shared" si="1302"/>
        <v>0</v>
      </c>
      <c r="UE120" s="14">
        <f t="shared" si="1302"/>
        <v>0</v>
      </c>
      <c r="UF120" s="14">
        <f t="shared" si="1302"/>
        <v>0</v>
      </c>
      <c r="UG120" s="14">
        <f t="shared" si="1302"/>
        <v>1</v>
      </c>
      <c r="UH120" s="14">
        <f t="shared" si="1302"/>
        <v>0</v>
      </c>
      <c r="UI120" s="14">
        <f t="shared" si="1302"/>
        <v>0</v>
      </c>
      <c r="UJ120" s="14">
        <f t="shared" si="1302"/>
        <v>0</v>
      </c>
      <c r="UK120" s="14">
        <f t="shared" si="1302"/>
        <v>0</v>
      </c>
      <c r="UL120" s="14">
        <f t="shared" si="1302"/>
        <v>0</v>
      </c>
      <c r="UM120" s="14">
        <f t="shared" si="1302"/>
        <v>0</v>
      </c>
      <c r="UN120" s="14">
        <f t="shared" ref="UN120:VS120" si="1303" xml:space="preserve"> IF( NOT(EXACT(UN26,"LVC_REQ_ENGAGE_E")), 1, 0)</f>
        <v>0</v>
      </c>
      <c r="UO120" s="14">
        <f t="shared" si="1303"/>
        <v>0</v>
      </c>
      <c r="UP120" s="14">
        <f t="shared" si="1303"/>
        <v>0</v>
      </c>
      <c r="UQ120" s="14">
        <f t="shared" si="1303"/>
        <v>1</v>
      </c>
      <c r="UR120" s="14">
        <f t="shared" si="1303"/>
        <v>0</v>
      </c>
      <c r="US120" s="14">
        <f t="shared" si="1303"/>
        <v>0</v>
      </c>
      <c r="UT120" s="14">
        <f t="shared" si="1303"/>
        <v>0</v>
      </c>
      <c r="UU120" s="14">
        <f t="shared" si="1303"/>
        <v>0</v>
      </c>
      <c r="UV120" s="14">
        <f t="shared" si="1303"/>
        <v>0</v>
      </c>
      <c r="UW120" s="14">
        <f t="shared" si="1303"/>
        <v>1</v>
      </c>
      <c r="UX120" s="14">
        <f t="shared" si="1303"/>
        <v>0</v>
      </c>
      <c r="UY120" s="14">
        <f t="shared" si="1303"/>
        <v>1</v>
      </c>
      <c r="UZ120" s="14">
        <f t="shared" si="1303"/>
        <v>0</v>
      </c>
      <c r="VA120" s="14">
        <f t="shared" si="1303"/>
        <v>0</v>
      </c>
      <c r="VB120" s="14">
        <f t="shared" si="1303"/>
        <v>0</v>
      </c>
      <c r="VC120" s="14">
        <f t="shared" si="1303"/>
        <v>0</v>
      </c>
      <c r="VD120" s="14">
        <f t="shared" si="1303"/>
        <v>0</v>
      </c>
      <c r="VE120" s="14">
        <f t="shared" si="1303"/>
        <v>0</v>
      </c>
      <c r="VF120" s="14">
        <f t="shared" si="1303"/>
        <v>0</v>
      </c>
      <c r="VG120" s="14">
        <f t="shared" si="1303"/>
        <v>0</v>
      </c>
      <c r="VH120" s="14">
        <f t="shared" si="1303"/>
        <v>0</v>
      </c>
      <c r="VI120" s="14">
        <f t="shared" si="1303"/>
        <v>0</v>
      </c>
      <c r="VJ120" s="14">
        <f t="shared" si="1303"/>
        <v>0</v>
      </c>
      <c r="VK120" s="14">
        <f t="shared" si="1303"/>
        <v>0</v>
      </c>
      <c r="VL120" s="14">
        <f t="shared" si="1303"/>
        <v>0</v>
      </c>
      <c r="VM120" s="14">
        <f t="shared" si="1303"/>
        <v>0</v>
      </c>
      <c r="VN120" s="14">
        <f t="shared" si="1303"/>
        <v>0</v>
      </c>
      <c r="VO120" s="14">
        <f t="shared" si="1303"/>
        <v>0</v>
      </c>
      <c r="VP120" s="14">
        <f t="shared" si="1303"/>
        <v>0</v>
      </c>
      <c r="VQ120" s="14">
        <f t="shared" si="1303"/>
        <v>0</v>
      </c>
      <c r="VR120" s="14">
        <f t="shared" si="1303"/>
        <v>0</v>
      </c>
      <c r="VS120" s="14">
        <f t="shared" si="1303"/>
        <v>0</v>
      </c>
      <c r="VT120" s="14">
        <f t="shared" ref="VT120:VZ120" si="1304" xml:space="preserve"> IF( NOT(EXACT(VT26,"LVC_REQ_ENGAGE_E")), 1, 0)</f>
        <v>0</v>
      </c>
      <c r="VU120" s="14">
        <f t="shared" si="1304"/>
        <v>0</v>
      </c>
      <c r="VV120" s="14">
        <f t="shared" si="1304"/>
        <v>0</v>
      </c>
      <c r="VW120" s="14">
        <f t="shared" si="1304"/>
        <v>0</v>
      </c>
      <c r="VX120" s="14">
        <f t="shared" si="1304"/>
        <v>0</v>
      </c>
      <c r="VY120" s="14">
        <f t="shared" si="1304"/>
        <v>0</v>
      </c>
      <c r="VZ120" s="14">
        <f t="shared" si="1304"/>
        <v>0</v>
      </c>
      <c r="WD120" s="14">
        <f t="shared" ref="WD120:XI120" si="1305" xml:space="preserve"> IF( NOT(EXACT(WD26,"LVC_REQ_ENGAGE_E")), 1, 0)</f>
        <v>0</v>
      </c>
      <c r="WE120" s="14">
        <f t="shared" si="1305"/>
        <v>0</v>
      </c>
      <c r="WF120" s="14">
        <f t="shared" si="1305"/>
        <v>0</v>
      </c>
      <c r="WG120" s="14">
        <f t="shared" si="1305"/>
        <v>0</v>
      </c>
      <c r="WH120" s="14">
        <f t="shared" si="1305"/>
        <v>0</v>
      </c>
      <c r="WI120" s="14">
        <f t="shared" si="1305"/>
        <v>1</v>
      </c>
      <c r="WJ120" s="14">
        <f t="shared" si="1305"/>
        <v>1</v>
      </c>
      <c r="WK120" s="14">
        <f t="shared" si="1305"/>
        <v>1</v>
      </c>
      <c r="WL120" s="14">
        <f t="shared" si="1305"/>
        <v>0</v>
      </c>
      <c r="WM120" s="14">
        <f t="shared" si="1305"/>
        <v>0</v>
      </c>
      <c r="WN120" s="14">
        <f t="shared" si="1305"/>
        <v>0</v>
      </c>
      <c r="WO120" s="14">
        <f t="shared" si="1305"/>
        <v>0</v>
      </c>
      <c r="WP120" s="14">
        <f t="shared" si="1305"/>
        <v>0</v>
      </c>
      <c r="WQ120" s="14">
        <f t="shared" si="1305"/>
        <v>0</v>
      </c>
      <c r="WR120" s="14">
        <f t="shared" si="1305"/>
        <v>0</v>
      </c>
      <c r="WS120" s="14">
        <f t="shared" si="1305"/>
        <v>0</v>
      </c>
      <c r="WT120" s="14">
        <f t="shared" si="1305"/>
        <v>1</v>
      </c>
      <c r="WU120" s="14">
        <f t="shared" si="1305"/>
        <v>0</v>
      </c>
      <c r="WV120" s="14">
        <f t="shared" si="1305"/>
        <v>1</v>
      </c>
      <c r="WW120" s="14">
        <f t="shared" si="1305"/>
        <v>0</v>
      </c>
      <c r="WX120" s="14">
        <f t="shared" si="1305"/>
        <v>0</v>
      </c>
      <c r="WY120" s="14">
        <f t="shared" si="1305"/>
        <v>0</v>
      </c>
      <c r="WZ120" s="14">
        <f t="shared" si="1305"/>
        <v>0</v>
      </c>
      <c r="XA120" s="14">
        <f t="shared" si="1305"/>
        <v>0</v>
      </c>
      <c r="XB120" s="14">
        <f t="shared" si="1305"/>
        <v>0</v>
      </c>
      <c r="XC120" s="14">
        <f t="shared" si="1305"/>
        <v>0</v>
      </c>
      <c r="XD120" s="14">
        <f t="shared" si="1305"/>
        <v>0</v>
      </c>
      <c r="XE120" s="14">
        <f t="shared" si="1305"/>
        <v>0</v>
      </c>
      <c r="XF120" s="14">
        <f t="shared" si="1305"/>
        <v>0</v>
      </c>
      <c r="XG120" s="14">
        <f t="shared" si="1305"/>
        <v>1</v>
      </c>
      <c r="XH120" s="14">
        <f t="shared" si="1305"/>
        <v>0</v>
      </c>
      <c r="XI120" s="14">
        <f t="shared" si="1305"/>
        <v>1</v>
      </c>
      <c r="XJ120" s="14">
        <f t="shared" ref="XJ120:YO120" si="1306" xml:space="preserve"> IF( NOT(EXACT(XJ26,"LVC_REQ_ENGAGE_E")), 1, 0)</f>
        <v>0</v>
      </c>
      <c r="XK120" s="14">
        <f t="shared" si="1306"/>
        <v>0</v>
      </c>
      <c r="XL120" s="14">
        <f t="shared" si="1306"/>
        <v>0</v>
      </c>
      <c r="XM120" s="14">
        <f t="shared" si="1306"/>
        <v>0</v>
      </c>
      <c r="XN120" s="14">
        <f t="shared" si="1306"/>
        <v>0</v>
      </c>
      <c r="XO120" s="14">
        <f t="shared" si="1306"/>
        <v>0</v>
      </c>
      <c r="XP120" s="14">
        <f t="shared" si="1306"/>
        <v>0</v>
      </c>
      <c r="XQ120" s="14">
        <f t="shared" si="1306"/>
        <v>0</v>
      </c>
      <c r="XR120" s="14">
        <f t="shared" si="1306"/>
        <v>0</v>
      </c>
      <c r="XS120" s="14">
        <f t="shared" si="1306"/>
        <v>0</v>
      </c>
      <c r="XT120" s="14">
        <f t="shared" si="1306"/>
        <v>0</v>
      </c>
      <c r="XU120" s="14">
        <f t="shared" si="1306"/>
        <v>0</v>
      </c>
      <c r="XV120" s="14">
        <f t="shared" si="1306"/>
        <v>0</v>
      </c>
      <c r="XW120" s="14">
        <f t="shared" si="1306"/>
        <v>0</v>
      </c>
      <c r="XX120" s="14">
        <f t="shared" si="1306"/>
        <v>0</v>
      </c>
      <c r="XY120" s="14">
        <f t="shared" si="1306"/>
        <v>0</v>
      </c>
      <c r="XZ120" s="14">
        <f t="shared" si="1306"/>
        <v>0</v>
      </c>
      <c r="YA120" s="14">
        <f t="shared" si="1306"/>
        <v>0</v>
      </c>
      <c r="YB120" s="14">
        <f t="shared" si="1306"/>
        <v>0</v>
      </c>
      <c r="YC120" s="14">
        <f t="shared" si="1306"/>
        <v>0</v>
      </c>
      <c r="YD120" s="14">
        <f t="shared" si="1306"/>
        <v>0</v>
      </c>
      <c r="YE120" s="14">
        <f t="shared" si="1306"/>
        <v>0</v>
      </c>
      <c r="YF120" s="14">
        <f t="shared" si="1306"/>
        <v>0</v>
      </c>
      <c r="YG120" s="14">
        <f t="shared" si="1306"/>
        <v>0</v>
      </c>
      <c r="YH120" s="14">
        <f t="shared" si="1306"/>
        <v>0</v>
      </c>
      <c r="YI120" s="14">
        <f t="shared" si="1306"/>
        <v>0</v>
      </c>
      <c r="YJ120" s="14">
        <f t="shared" si="1306"/>
        <v>0</v>
      </c>
      <c r="YK120" s="14">
        <f t="shared" si="1306"/>
        <v>0</v>
      </c>
      <c r="YL120" s="14">
        <f t="shared" si="1306"/>
        <v>0</v>
      </c>
      <c r="YM120" s="14">
        <f t="shared" si="1306"/>
        <v>0</v>
      </c>
      <c r="YN120" s="14">
        <f t="shared" si="1306"/>
        <v>0</v>
      </c>
      <c r="YO120" s="14">
        <f t="shared" si="1306"/>
        <v>0</v>
      </c>
      <c r="YP120" s="14">
        <f t="shared" ref="YP120:ZJ120" si="1307" xml:space="preserve"> IF( NOT(EXACT(YP26,"LVC_REQ_ENGAGE_E")), 1, 0)</f>
        <v>0</v>
      </c>
      <c r="YQ120" s="14">
        <f t="shared" si="1307"/>
        <v>0</v>
      </c>
      <c r="YR120" s="14">
        <f t="shared" si="1307"/>
        <v>0</v>
      </c>
      <c r="YS120" s="14">
        <f t="shared" si="1307"/>
        <v>0</v>
      </c>
      <c r="YT120" s="14">
        <f t="shared" si="1307"/>
        <v>0</v>
      </c>
      <c r="YU120" s="14">
        <f t="shared" si="1307"/>
        <v>0</v>
      </c>
      <c r="YV120" s="14">
        <f t="shared" si="1307"/>
        <v>0</v>
      </c>
      <c r="YW120" s="14">
        <f t="shared" si="1307"/>
        <v>0</v>
      </c>
      <c r="YX120" s="14">
        <f t="shared" si="1307"/>
        <v>0</v>
      </c>
      <c r="YY120" s="14">
        <f t="shared" si="1307"/>
        <v>0</v>
      </c>
      <c r="YZ120" s="14">
        <f t="shared" si="1307"/>
        <v>0</v>
      </c>
      <c r="ZA120" s="14">
        <f t="shared" si="1307"/>
        <v>0</v>
      </c>
      <c r="ZB120" s="14">
        <f t="shared" si="1307"/>
        <v>0</v>
      </c>
      <c r="ZC120" s="14">
        <f t="shared" si="1307"/>
        <v>0</v>
      </c>
      <c r="ZD120" s="14">
        <f t="shared" si="1307"/>
        <v>0</v>
      </c>
      <c r="ZE120" s="14">
        <f t="shared" si="1307"/>
        <v>0</v>
      </c>
      <c r="ZF120" s="14">
        <f t="shared" si="1307"/>
        <v>0</v>
      </c>
      <c r="ZG120" s="14">
        <f t="shared" si="1307"/>
        <v>0</v>
      </c>
      <c r="ZH120" s="14">
        <f t="shared" si="1307"/>
        <v>0</v>
      </c>
      <c r="ZI120" s="14">
        <f t="shared" si="1307"/>
        <v>0</v>
      </c>
      <c r="ZJ120" s="14">
        <f t="shared" si="1307"/>
        <v>0</v>
      </c>
      <c r="ADD120" s="14">
        <f xml:space="preserve"> IF( NOT(EXACT(ADD26,"LVC_REQ_ENGAGE_E")), 1, 0)</f>
        <v>0</v>
      </c>
      <c r="AFN120" s="14">
        <f xml:space="preserve"> IF( NOT(EXACT(AFN26,"LVC_REQ_ENGAGE_E")), 1, 0)</f>
        <v>0</v>
      </c>
      <c r="AKQ120" s="14">
        <v>4</v>
      </c>
    </row>
    <row r="121" spans="1:979" ht="15" customHeight="1" x14ac:dyDescent="0.25">
      <c r="A121" s="14"/>
      <c r="NR121" s="14">
        <v>8</v>
      </c>
      <c r="NS121" s="14">
        <f t="shared" ref="NS121:OX121" si="1308" xml:space="preserve"> IF( NOT( EXACT(NS27,"LVC_APPLIED_E")), 1, 0)</f>
        <v>0</v>
      </c>
      <c r="NT121" s="14">
        <f t="shared" si="1308"/>
        <v>1</v>
      </c>
      <c r="NU121" s="14">
        <f t="shared" si="1308"/>
        <v>1</v>
      </c>
      <c r="NV121" s="14">
        <f t="shared" si="1308"/>
        <v>1</v>
      </c>
      <c r="NW121" s="14">
        <f t="shared" si="1308"/>
        <v>0</v>
      </c>
      <c r="NX121" s="14">
        <f t="shared" si="1308"/>
        <v>0</v>
      </c>
      <c r="NY121" s="14">
        <f t="shared" si="1308"/>
        <v>0</v>
      </c>
      <c r="NZ121" s="14">
        <f t="shared" si="1308"/>
        <v>0</v>
      </c>
      <c r="OA121" s="14">
        <f t="shared" si="1308"/>
        <v>0</v>
      </c>
      <c r="OB121" s="14">
        <f t="shared" si="1308"/>
        <v>0</v>
      </c>
      <c r="OC121" s="14">
        <f t="shared" si="1308"/>
        <v>0</v>
      </c>
      <c r="OD121" s="14">
        <f t="shared" si="1308"/>
        <v>0</v>
      </c>
      <c r="OE121" s="14">
        <f t="shared" si="1308"/>
        <v>0</v>
      </c>
      <c r="OF121" s="14">
        <f t="shared" si="1308"/>
        <v>0</v>
      </c>
      <c r="OG121" s="14">
        <f t="shared" si="1308"/>
        <v>0</v>
      </c>
      <c r="OH121" s="14">
        <f t="shared" si="1308"/>
        <v>0</v>
      </c>
      <c r="OI121" s="14">
        <f t="shared" si="1308"/>
        <v>0</v>
      </c>
      <c r="OJ121" s="14">
        <f t="shared" si="1308"/>
        <v>0</v>
      </c>
      <c r="OK121" s="14">
        <f t="shared" si="1308"/>
        <v>0</v>
      </c>
      <c r="OL121" s="14">
        <f t="shared" si="1308"/>
        <v>0</v>
      </c>
      <c r="OM121" s="14">
        <f t="shared" si="1308"/>
        <v>0</v>
      </c>
      <c r="ON121" s="14">
        <f t="shared" si="1308"/>
        <v>0</v>
      </c>
      <c r="OO121" s="14">
        <f t="shared" si="1308"/>
        <v>0</v>
      </c>
      <c r="OP121" s="14">
        <f t="shared" si="1308"/>
        <v>0</v>
      </c>
      <c r="OQ121" s="14">
        <f t="shared" si="1308"/>
        <v>0</v>
      </c>
      <c r="OR121" s="14">
        <f t="shared" si="1308"/>
        <v>0</v>
      </c>
      <c r="OS121" s="14">
        <f t="shared" si="1308"/>
        <v>0</v>
      </c>
      <c r="OT121" s="14">
        <f t="shared" si="1308"/>
        <v>0</v>
      </c>
      <c r="OU121" s="14">
        <f t="shared" si="1308"/>
        <v>0</v>
      </c>
      <c r="OV121" s="14">
        <f t="shared" si="1308"/>
        <v>0</v>
      </c>
      <c r="OW121" s="14">
        <f t="shared" si="1308"/>
        <v>0</v>
      </c>
      <c r="OX121" s="14">
        <f t="shared" si="1308"/>
        <v>0</v>
      </c>
      <c r="OY121" s="14">
        <f t="shared" ref="OY121:QD121" si="1309" xml:space="preserve"> IF( NOT( EXACT(OY27,"LVC_APPLIED_E")), 1, 0)</f>
        <v>1</v>
      </c>
      <c r="OZ121" s="14">
        <f t="shared" si="1309"/>
        <v>1</v>
      </c>
      <c r="PA121" s="14">
        <f t="shared" si="1309"/>
        <v>1</v>
      </c>
      <c r="PB121" s="14">
        <f t="shared" si="1309"/>
        <v>0</v>
      </c>
      <c r="PC121" s="14">
        <f t="shared" si="1309"/>
        <v>0</v>
      </c>
      <c r="PD121" s="14">
        <f t="shared" si="1309"/>
        <v>0</v>
      </c>
      <c r="PE121" s="14">
        <f t="shared" si="1309"/>
        <v>0</v>
      </c>
      <c r="PF121" s="14">
        <f t="shared" si="1309"/>
        <v>0</v>
      </c>
      <c r="PG121" s="14">
        <f t="shared" si="1309"/>
        <v>0</v>
      </c>
      <c r="PH121" s="14">
        <f t="shared" si="1309"/>
        <v>0</v>
      </c>
      <c r="PI121" s="14">
        <f t="shared" si="1309"/>
        <v>0</v>
      </c>
      <c r="PJ121" s="14">
        <f t="shared" si="1309"/>
        <v>0</v>
      </c>
      <c r="PK121" s="14">
        <f t="shared" si="1309"/>
        <v>0</v>
      </c>
      <c r="PL121" s="14">
        <f t="shared" si="1309"/>
        <v>0</v>
      </c>
      <c r="PM121" s="14">
        <f t="shared" si="1309"/>
        <v>1</v>
      </c>
      <c r="PN121" s="14">
        <f t="shared" si="1309"/>
        <v>0</v>
      </c>
      <c r="PO121" s="14">
        <f t="shared" si="1309"/>
        <v>1</v>
      </c>
      <c r="PP121" s="14">
        <f t="shared" si="1309"/>
        <v>1</v>
      </c>
      <c r="PQ121" s="14">
        <f t="shared" si="1309"/>
        <v>0</v>
      </c>
      <c r="PR121" s="14">
        <f t="shared" si="1309"/>
        <v>1</v>
      </c>
      <c r="PS121" s="14">
        <f t="shared" si="1309"/>
        <v>0</v>
      </c>
      <c r="PT121" s="14">
        <f t="shared" si="1309"/>
        <v>1</v>
      </c>
      <c r="PU121" s="14">
        <f t="shared" si="1309"/>
        <v>0</v>
      </c>
      <c r="PV121" s="14">
        <f t="shared" si="1309"/>
        <v>1</v>
      </c>
      <c r="PW121" s="14">
        <f t="shared" si="1309"/>
        <v>0</v>
      </c>
      <c r="PX121" s="14">
        <f t="shared" si="1309"/>
        <v>0</v>
      </c>
      <c r="PY121" s="14">
        <f t="shared" si="1309"/>
        <v>1</v>
      </c>
      <c r="PZ121" s="14">
        <f t="shared" si="1309"/>
        <v>0</v>
      </c>
      <c r="QA121" s="14">
        <f t="shared" si="1309"/>
        <v>0</v>
      </c>
      <c r="QB121" s="14">
        <f t="shared" si="1309"/>
        <v>0</v>
      </c>
      <c r="QC121" s="14">
        <f t="shared" si="1309"/>
        <v>0</v>
      </c>
      <c r="QD121" s="14">
        <f t="shared" si="1309"/>
        <v>0</v>
      </c>
      <c r="QE121" s="14">
        <f t="shared" ref="QE121:RI121" si="1310" xml:space="preserve"> IF( NOT( EXACT(QE27,"LVC_APPLIED_E")), 1, 0)</f>
        <v>0</v>
      </c>
      <c r="QF121" s="14">
        <f t="shared" si="1310"/>
        <v>0</v>
      </c>
      <c r="QG121" s="14">
        <f t="shared" si="1310"/>
        <v>0</v>
      </c>
      <c r="QH121" s="14">
        <f t="shared" si="1310"/>
        <v>1</v>
      </c>
      <c r="QI121" s="14">
        <f t="shared" si="1310"/>
        <v>1</v>
      </c>
      <c r="QJ121" s="14">
        <f t="shared" si="1310"/>
        <v>1</v>
      </c>
      <c r="QK121" s="14">
        <f t="shared" si="1310"/>
        <v>1</v>
      </c>
      <c r="QL121" s="14">
        <f t="shared" si="1310"/>
        <v>1</v>
      </c>
      <c r="QM121" s="14">
        <f t="shared" si="1310"/>
        <v>1</v>
      </c>
      <c r="QN121" s="14">
        <f t="shared" si="1310"/>
        <v>1</v>
      </c>
      <c r="QO121" s="14">
        <f t="shared" si="1310"/>
        <v>0</v>
      </c>
      <c r="QP121" s="14">
        <f t="shared" si="1310"/>
        <v>1</v>
      </c>
      <c r="QQ121" s="14">
        <f t="shared" si="1310"/>
        <v>0</v>
      </c>
      <c r="QR121" s="14">
        <f t="shared" si="1310"/>
        <v>0</v>
      </c>
      <c r="QS121" s="14">
        <f t="shared" si="1310"/>
        <v>0</v>
      </c>
      <c r="QT121" s="14">
        <f t="shared" si="1310"/>
        <v>0</v>
      </c>
      <c r="QU121" s="14">
        <f t="shared" si="1310"/>
        <v>0</v>
      </c>
      <c r="QV121" s="14">
        <f t="shared" si="1310"/>
        <v>0</v>
      </c>
      <c r="QW121" s="14">
        <f t="shared" si="1310"/>
        <v>0</v>
      </c>
      <c r="QX121" s="14">
        <f t="shared" si="1310"/>
        <v>0</v>
      </c>
      <c r="QY121" s="14">
        <f t="shared" si="1310"/>
        <v>0</v>
      </c>
      <c r="QZ121" s="14">
        <f t="shared" si="1310"/>
        <v>0</v>
      </c>
      <c r="RA121" s="14">
        <f t="shared" si="1310"/>
        <v>0</v>
      </c>
      <c r="RB121" s="14">
        <f t="shared" si="1310"/>
        <v>0</v>
      </c>
      <c r="RC121" s="14">
        <f t="shared" si="1310"/>
        <v>0</v>
      </c>
      <c r="RD121" s="14">
        <f t="shared" si="1310"/>
        <v>0</v>
      </c>
      <c r="RE121" s="14">
        <f t="shared" si="1310"/>
        <v>0</v>
      </c>
      <c r="RF121" s="14">
        <f t="shared" si="1310"/>
        <v>0</v>
      </c>
      <c r="RG121" s="14">
        <f t="shared" si="1310"/>
        <v>0</v>
      </c>
      <c r="RH121" s="14">
        <f t="shared" si="1310"/>
        <v>0</v>
      </c>
      <c r="RI121" s="14">
        <f t="shared" si="1310"/>
        <v>0</v>
      </c>
      <c r="RJ121" s="14">
        <f t="shared" ref="RJ121:RR121" si="1311" xml:space="preserve"> IF( NOT( EXACT(RJ27,"LVC_APPLIED_E")), 1, 0)</f>
        <v>0</v>
      </c>
      <c r="RK121" s="14">
        <f t="shared" si="1311"/>
        <v>0</v>
      </c>
      <c r="RL121" s="14">
        <f t="shared" si="1311"/>
        <v>0</v>
      </c>
      <c r="RM121" s="14">
        <f t="shared" si="1311"/>
        <v>0</v>
      </c>
      <c r="RN121" s="14">
        <f t="shared" si="1311"/>
        <v>0</v>
      </c>
      <c r="RO121" s="14">
        <f t="shared" si="1311"/>
        <v>0</v>
      </c>
      <c r="RP121" s="14">
        <f t="shared" si="1311"/>
        <v>0</v>
      </c>
      <c r="RQ121" s="14">
        <f t="shared" si="1311"/>
        <v>0</v>
      </c>
      <c r="RR121" s="14">
        <f t="shared" si="1311"/>
        <v>0</v>
      </c>
      <c r="SA121" s="14">
        <v>8</v>
      </c>
      <c r="SB121" s="14">
        <f t="shared" ref="SB121:TG121" si="1312" xml:space="preserve"> IF( NOT( EXACT(SB27,"LVC_APPLIED_E")), 1, 0)</f>
        <v>0</v>
      </c>
      <c r="SC121" s="14">
        <f t="shared" si="1312"/>
        <v>1</v>
      </c>
      <c r="SD121" s="14">
        <f t="shared" si="1312"/>
        <v>1</v>
      </c>
      <c r="SE121" s="14">
        <f t="shared" si="1312"/>
        <v>1</v>
      </c>
      <c r="SF121" s="14">
        <f t="shared" si="1312"/>
        <v>0</v>
      </c>
      <c r="SG121" s="14">
        <f t="shared" si="1312"/>
        <v>0</v>
      </c>
      <c r="SH121" s="14">
        <f t="shared" si="1312"/>
        <v>0</v>
      </c>
      <c r="SI121" s="14">
        <f t="shared" si="1312"/>
        <v>0</v>
      </c>
      <c r="SJ121" s="14">
        <f t="shared" si="1312"/>
        <v>0</v>
      </c>
      <c r="SK121" s="14">
        <f t="shared" si="1312"/>
        <v>0</v>
      </c>
      <c r="SL121" s="14">
        <f t="shared" si="1312"/>
        <v>0</v>
      </c>
      <c r="SM121" s="14">
        <f t="shared" si="1312"/>
        <v>0</v>
      </c>
      <c r="SN121" s="14">
        <f t="shared" si="1312"/>
        <v>0</v>
      </c>
      <c r="SO121" s="14">
        <f t="shared" si="1312"/>
        <v>0</v>
      </c>
      <c r="SP121" s="14">
        <f t="shared" si="1312"/>
        <v>0</v>
      </c>
      <c r="SQ121" s="14">
        <f t="shared" si="1312"/>
        <v>0</v>
      </c>
      <c r="SR121" s="14">
        <f t="shared" si="1312"/>
        <v>0</v>
      </c>
      <c r="SS121" s="14">
        <f t="shared" si="1312"/>
        <v>0</v>
      </c>
      <c r="ST121" s="14">
        <f t="shared" si="1312"/>
        <v>0</v>
      </c>
      <c r="SU121" s="14">
        <f t="shared" si="1312"/>
        <v>0</v>
      </c>
      <c r="SV121" s="14">
        <f t="shared" si="1312"/>
        <v>0</v>
      </c>
      <c r="SW121" s="14">
        <f t="shared" si="1312"/>
        <v>0</v>
      </c>
      <c r="SX121" s="14">
        <f t="shared" si="1312"/>
        <v>0</v>
      </c>
      <c r="SY121" s="14">
        <f t="shared" si="1312"/>
        <v>0</v>
      </c>
      <c r="SZ121" s="14">
        <f t="shared" si="1312"/>
        <v>0</v>
      </c>
      <c r="TA121" s="14">
        <f t="shared" si="1312"/>
        <v>0</v>
      </c>
      <c r="TB121" s="14">
        <f t="shared" si="1312"/>
        <v>0</v>
      </c>
      <c r="TC121" s="14">
        <f t="shared" si="1312"/>
        <v>0</v>
      </c>
      <c r="TD121" s="14">
        <f t="shared" si="1312"/>
        <v>0</v>
      </c>
      <c r="TE121" s="14">
        <f t="shared" si="1312"/>
        <v>0</v>
      </c>
      <c r="TF121" s="14">
        <f t="shared" si="1312"/>
        <v>0</v>
      </c>
      <c r="TG121" s="14">
        <f t="shared" si="1312"/>
        <v>1</v>
      </c>
      <c r="TH121" s="14">
        <f t="shared" ref="TH121:UM121" si="1313" xml:space="preserve"> IF( NOT( EXACT(TH27,"LVC_APPLIED_E")), 1, 0)</f>
        <v>1</v>
      </c>
      <c r="TI121" s="14">
        <f t="shared" si="1313"/>
        <v>1</v>
      </c>
      <c r="TJ121" s="14">
        <f t="shared" si="1313"/>
        <v>0</v>
      </c>
      <c r="TK121" s="14">
        <f t="shared" si="1313"/>
        <v>0</v>
      </c>
      <c r="TL121" s="14">
        <f t="shared" si="1313"/>
        <v>0</v>
      </c>
      <c r="TM121" s="14">
        <f t="shared" si="1313"/>
        <v>0</v>
      </c>
      <c r="TN121" s="14">
        <f t="shared" si="1313"/>
        <v>0</v>
      </c>
      <c r="TO121" s="14">
        <f t="shared" si="1313"/>
        <v>0</v>
      </c>
      <c r="TP121" s="14">
        <f t="shared" si="1313"/>
        <v>0</v>
      </c>
      <c r="TQ121" s="14">
        <f t="shared" si="1313"/>
        <v>0</v>
      </c>
      <c r="TR121" s="14">
        <f t="shared" si="1313"/>
        <v>0</v>
      </c>
      <c r="TS121" s="14">
        <f t="shared" si="1313"/>
        <v>0</v>
      </c>
      <c r="TT121" s="14">
        <f t="shared" si="1313"/>
        <v>0</v>
      </c>
      <c r="TU121" s="14">
        <f t="shared" si="1313"/>
        <v>1</v>
      </c>
      <c r="TV121" s="14">
        <f t="shared" si="1313"/>
        <v>0</v>
      </c>
      <c r="TW121" s="14">
        <f t="shared" si="1313"/>
        <v>1</v>
      </c>
      <c r="TX121" s="14">
        <f t="shared" si="1313"/>
        <v>1</v>
      </c>
      <c r="TY121" s="14">
        <f t="shared" si="1313"/>
        <v>0</v>
      </c>
      <c r="TZ121" s="14">
        <f t="shared" si="1313"/>
        <v>1</v>
      </c>
      <c r="UA121" s="14">
        <f t="shared" si="1313"/>
        <v>0</v>
      </c>
      <c r="UB121" s="14">
        <f t="shared" si="1313"/>
        <v>1</v>
      </c>
      <c r="UC121" s="14">
        <f t="shared" si="1313"/>
        <v>0</v>
      </c>
      <c r="UD121" s="14">
        <f t="shared" si="1313"/>
        <v>1</v>
      </c>
      <c r="UE121" s="14">
        <f t="shared" si="1313"/>
        <v>0</v>
      </c>
      <c r="UF121" s="14">
        <f t="shared" si="1313"/>
        <v>0</v>
      </c>
      <c r="UG121" s="14">
        <f t="shared" si="1313"/>
        <v>1</v>
      </c>
      <c r="UH121" s="14">
        <f t="shared" si="1313"/>
        <v>0</v>
      </c>
      <c r="UI121" s="14">
        <f t="shared" si="1313"/>
        <v>0</v>
      </c>
      <c r="UJ121" s="14">
        <f t="shared" si="1313"/>
        <v>0</v>
      </c>
      <c r="UK121" s="14">
        <f t="shared" si="1313"/>
        <v>0</v>
      </c>
      <c r="UL121" s="14">
        <f t="shared" si="1313"/>
        <v>0</v>
      </c>
      <c r="UM121" s="14">
        <f t="shared" si="1313"/>
        <v>0</v>
      </c>
      <c r="UN121" s="14">
        <f t="shared" ref="UN121:VS121" si="1314" xml:space="preserve"> IF( NOT( EXACT(UN27,"LVC_APPLIED_E")), 1, 0)</f>
        <v>0</v>
      </c>
      <c r="UO121" s="14">
        <f t="shared" si="1314"/>
        <v>0</v>
      </c>
      <c r="UP121" s="14">
        <f t="shared" si="1314"/>
        <v>1</v>
      </c>
      <c r="UQ121" s="14">
        <f t="shared" si="1314"/>
        <v>1</v>
      </c>
      <c r="UR121" s="14">
        <f t="shared" si="1314"/>
        <v>1</v>
      </c>
      <c r="US121" s="14">
        <f t="shared" si="1314"/>
        <v>1</v>
      </c>
      <c r="UT121" s="14">
        <f t="shared" si="1314"/>
        <v>1</v>
      </c>
      <c r="UU121" s="14">
        <f t="shared" si="1314"/>
        <v>1</v>
      </c>
      <c r="UV121" s="14">
        <f t="shared" si="1314"/>
        <v>1</v>
      </c>
      <c r="UW121" s="14">
        <f t="shared" si="1314"/>
        <v>0</v>
      </c>
      <c r="UX121" s="14">
        <f t="shared" si="1314"/>
        <v>1</v>
      </c>
      <c r="UY121" s="14">
        <f t="shared" si="1314"/>
        <v>0</v>
      </c>
      <c r="UZ121" s="14">
        <f t="shared" si="1314"/>
        <v>0</v>
      </c>
      <c r="VA121" s="14">
        <f t="shared" si="1314"/>
        <v>0</v>
      </c>
      <c r="VB121" s="14">
        <f t="shared" si="1314"/>
        <v>0</v>
      </c>
      <c r="VC121" s="14">
        <f t="shared" si="1314"/>
        <v>0</v>
      </c>
      <c r="VD121" s="14">
        <f t="shared" si="1314"/>
        <v>0</v>
      </c>
      <c r="VE121" s="14">
        <f t="shared" si="1314"/>
        <v>0</v>
      </c>
      <c r="VF121" s="14">
        <f t="shared" si="1314"/>
        <v>0</v>
      </c>
      <c r="VG121" s="14">
        <f t="shared" si="1314"/>
        <v>0</v>
      </c>
      <c r="VH121" s="14">
        <f t="shared" si="1314"/>
        <v>0</v>
      </c>
      <c r="VI121" s="14">
        <f t="shared" si="1314"/>
        <v>0</v>
      </c>
      <c r="VJ121" s="14">
        <f t="shared" si="1314"/>
        <v>0</v>
      </c>
      <c r="VK121" s="14">
        <f t="shared" si="1314"/>
        <v>0</v>
      </c>
      <c r="VL121" s="14">
        <f t="shared" si="1314"/>
        <v>0</v>
      </c>
      <c r="VM121" s="14">
        <f t="shared" si="1314"/>
        <v>0</v>
      </c>
      <c r="VN121" s="14">
        <f t="shared" si="1314"/>
        <v>0</v>
      </c>
      <c r="VO121" s="14">
        <f t="shared" si="1314"/>
        <v>0</v>
      </c>
      <c r="VP121" s="14">
        <f t="shared" si="1314"/>
        <v>0</v>
      </c>
      <c r="VQ121" s="14">
        <f t="shared" si="1314"/>
        <v>0</v>
      </c>
      <c r="VR121" s="14">
        <f t="shared" si="1314"/>
        <v>0</v>
      </c>
      <c r="VS121" s="14">
        <f t="shared" si="1314"/>
        <v>0</v>
      </c>
      <c r="VT121" s="14">
        <f t="shared" ref="VT121:VZ121" si="1315" xml:space="preserve"> IF( NOT( EXACT(VT27,"LVC_APPLIED_E")), 1, 0)</f>
        <v>0</v>
      </c>
      <c r="VU121" s="14">
        <f t="shared" si="1315"/>
        <v>0</v>
      </c>
      <c r="VV121" s="14">
        <f t="shared" si="1315"/>
        <v>0</v>
      </c>
      <c r="VW121" s="14">
        <f t="shared" si="1315"/>
        <v>0</v>
      </c>
      <c r="VX121" s="14">
        <f t="shared" si="1315"/>
        <v>0</v>
      </c>
      <c r="VY121" s="14">
        <f t="shared" si="1315"/>
        <v>0</v>
      </c>
      <c r="VZ121" s="14">
        <f t="shared" si="1315"/>
        <v>0</v>
      </c>
      <c r="WD121" s="14">
        <f t="shared" ref="WD121:XI121" si="1316" xml:space="preserve"> IF( NOT( EXACT(WD27,"LVC_APPLIED_E")), 1, 0)</f>
        <v>0</v>
      </c>
      <c r="WE121" s="14">
        <f t="shared" si="1316"/>
        <v>1</v>
      </c>
      <c r="WF121" s="14">
        <f t="shared" si="1316"/>
        <v>1</v>
      </c>
      <c r="WG121" s="14">
        <f t="shared" si="1316"/>
        <v>1</v>
      </c>
      <c r="WH121" s="14">
        <f t="shared" si="1316"/>
        <v>0</v>
      </c>
      <c r="WI121" s="14">
        <f t="shared" si="1316"/>
        <v>0</v>
      </c>
      <c r="WJ121" s="14">
        <f t="shared" si="1316"/>
        <v>0</v>
      </c>
      <c r="WK121" s="14">
        <f t="shared" si="1316"/>
        <v>0</v>
      </c>
      <c r="WL121" s="14">
        <f t="shared" si="1316"/>
        <v>0</v>
      </c>
      <c r="WM121" s="14">
        <f t="shared" si="1316"/>
        <v>0</v>
      </c>
      <c r="WN121" s="14">
        <f t="shared" si="1316"/>
        <v>0</v>
      </c>
      <c r="WO121" s="14">
        <f t="shared" si="1316"/>
        <v>0</v>
      </c>
      <c r="WP121" s="14">
        <f t="shared" si="1316"/>
        <v>0</v>
      </c>
      <c r="WQ121" s="14">
        <f t="shared" si="1316"/>
        <v>0</v>
      </c>
      <c r="WR121" s="14">
        <f t="shared" si="1316"/>
        <v>0</v>
      </c>
      <c r="WS121" s="14">
        <f t="shared" si="1316"/>
        <v>0</v>
      </c>
      <c r="WT121" s="14">
        <f t="shared" si="1316"/>
        <v>1</v>
      </c>
      <c r="WU121" s="14">
        <f t="shared" si="1316"/>
        <v>0</v>
      </c>
      <c r="WV121" s="14">
        <f t="shared" si="1316"/>
        <v>1</v>
      </c>
      <c r="WW121" s="14">
        <f t="shared" si="1316"/>
        <v>0</v>
      </c>
      <c r="WX121" s="14">
        <f t="shared" si="1316"/>
        <v>1</v>
      </c>
      <c r="WY121" s="14">
        <f t="shared" si="1316"/>
        <v>0</v>
      </c>
      <c r="WZ121" s="14">
        <f t="shared" si="1316"/>
        <v>0</v>
      </c>
      <c r="XA121" s="14">
        <f t="shared" si="1316"/>
        <v>0</v>
      </c>
      <c r="XB121" s="14">
        <f t="shared" si="1316"/>
        <v>0</v>
      </c>
      <c r="XC121" s="14">
        <f t="shared" si="1316"/>
        <v>0</v>
      </c>
      <c r="XD121" s="14">
        <f t="shared" si="1316"/>
        <v>0</v>
      </c>
      <c r="XE121" s="14">
        <f t="shared" si="1316"/>
        <v>0</v>
      </c>
      <c r="XF121" s="14">
        <f t="shared" si="1316"/>
        <v>0</v>
      </c>
      <c r="XG121" s="14">
        <f t="shared" si="1316"/>
        <v>1</v>
      </c>
      <c r="XH121" s="14">
        <f t="shared" si="1316"/>
        <v>0</v>
      </c>
      <c r="XI121" s="14">
        <f t="shared" si="1316"/>
        <v>0</v>
      </c>
      <c r="XJ121" s="14">
        <f t="shared" ref="XJ121:YO121" si="1317" xml:space="preserve"> IF( NOT( EXACT(XJ27,"LVC_APPLIED_E")), 1, 0)</f>
        <v>0</v>
      </c>
      <c r="XK121" s="14">
        <f t="shared" si="1317"/>
        <v>0</v>
      </c>
      <c r="XL121" s="14">
        <f t="shared" si="1317"/>
        <v>0</v>
      </c>
      <c r="XM121" s="14">
        <f t="shared" si="1317"/>
        <v>0</v>
      </c>
      <c r="XN121" s="14">
        <f t="shared" si="1317"/>
        <v>0</v>
      </c>
      <c r="XO121" s="14">
        <f t="shared" si="1317"/>
        <v>0</v>
      </c>
      <c r="XP121" s="14">
        <f t="shared" si="1317"/>
        <v>0</v>
      </c>
      <c r="XQ121" s="14">
        <f t="shared" si="1317"/>
        <v>0</v>
      </c>
      <c r="XR121" s="14">
        <f t="shared" si="1317"/>
        <v>0</v>
      </c>
      <c r="XS121" s="14">
        <f t="shared" si="1317"/>
        <v>0</v>
      </c>
      <c r="XT121" s="14">
        <f t="shared" si="1317"/>
        <v>0</v>
      </c>
      <c r="XU121" s="14">
        <f t="shared" si="1317"/>
        <v>0</v>
      </c>
      <c r="XV121" s="14">
        <f t="shared" si="1317"/>
        <v>0</v>
      </c>
      <c r="XW121" s="14">
        <f t="shared" si="1317"/>
        <v>0</v>
      </c>
      <c r="XX121" s="14">
        <f t="shared" si="1317"/>
        <v>0</v>
      </c>
      <c r="XY121" s="14">
        <f t="shared" si="1317"/>
        <v>0</v>
      </c>
      <c r="XZ121" s="14">
        <f t="shared" si="1317"/>
        <v>0</v>
      </c>
      <c r="YA121" s="14">
        <f t="shared" si="1317"/>
        <v>0</v>
      </c>
      <c r="YB121" s="14">
        <f t="shared" si="1317"/>
        <v>0</v>
      </c>
      <c r="YC121" s="14">
        <f t="shared" si="1317"/>
        <v>0</v>
      </c>
      <c r="YD121" s="14">
        <f t="shared" si="1317"/>
        <v>0</v>
      </c>
      <c r="YE121" s="14">
        <f t="shared" si="1317"/>
        <v>0</v>
      </c>
      <c r="YF121" s="14">
        <f t="shared" si="1317"/>
        <v>0</v>
      </c>
      <c r="YG121" s="14">
        <f t="shared" si="1317"/>
        <v>0</v>
      </c>
      <c r="YH121" s="14">
        <f t="shared" si="1317"/>
        <v>0</v>
      </c>
      <c r="YI121" s="14">
        <f t="shared" si="1317"/>
        <v>0</v>
      </c>
      <c r="YJ121" s="14">
        <f t="shared" si="1317"/>
        <v>0</v>
      </c>
      <c r="YK121" s="14">
        <f t="shared" si="1317"/>
        <v>0</v>
      </c>
      <c r="YL121" s="14">
        <f t="shared" si="1317"/>
        <v>0</v>
      </c>
      <c r="YM121" s="14">
        <f t="shared" si="1317"/>
        <v>0</v>
      </c>
      <c r="YN121" s="14">
        <f t="shared" si="1317"/>
        <v>0</v>
      </c>
      <c r="YO121" s="14">
        <f t="shared" si="1317"/>
        <v>0</v>
      </c>
      <c r="YP121" s="14">
        <f t="shared" ref="YP121:ZJ121" si="1318" xml:space="preserve"> IF( NOT( EXACT(YP27,"LVC_APPLIED_E")), 1, 0)</f>
        <v>0</v>
      </c>
      <c r="YQ121" s="14">
        <f t="shared" si="1318"/>
        <v>0</v>
      </c>
      <c r="YR121" s="14">
        <f t="shared" si="1318"/>
        <v>0</v>
      </c>
      <c r="YS121" s="14">
        <f t="shared" si="1318"/>
        <v>0</v>
      </c>
      <c r="YT121" s="14">
        <f t="shared" si="1318"/>
        <v>0</v>
      </c>
      <c r="YU121" s="14">
        <f t="shared" si="1318"/>
        <v>0</v>
      </c>
      <c r="YV121" s="14">
        <f t="shared" si="1318"/>
        <v>0</v>
      </c>
      <c r="YW121" s="14">
        <f t="shared" si="1318"/>
        <v>0</v>
      </c>
      <c r="YX121" s="14">
        <f t="shared" si="1318"/>
        <v>0</v>
      </c>
      <c r="YY121" s="14">
        <f t="shared" si="1318"/>
        <v>0</v>
      </c>
      <c r="YZ121" s="14">
        <f t="shared" si="1318"/>
        <v>0</v>
      </c>
      <c r="ZA121" s="14">
        <f t="shared" si="1318"/>
        <v>0</v>
      </c>
      <c r="ZB121" s="14">
        <f t="shared" si="1318"/>
        <v>0</v>
      </c>
      <c r="ZC121" s="14">
        <f t="shared" si="1318"/>
        <v>0</v>
      </c>
      <c r="ZD121" s="14">
        <f t="shared" si="1318"/>
        <v>0</v>
      </c>
      <c r="ZE121" s="14">
        <f t="shared" si="1318"/>
        <v>0</v>
      </c>
      <c r="ZF121" s="14">
        <f t="shared" si="1318"/>
        <v>0</v>
      </c>
      <c r="ZG121" s="14">
        <f t="shared" si="1318"/>
        <v>0</v>
      </c>
      <c r="ZH121" s="14">
        <f t="shared" si="1318"/>
        <v>0</v>
      </c>
      <c r="ZI121" s="14">
        <f t="shared" si="1318"/>
        <v>0</v>
      </c>
      <c r="ZJ121" s="14">
        <f t="shared" si="1318"/>
        <v>0</v>
      </c>
      <c r="ADD121" s="14">
        <f xml:space="preserve"> IF( NOT( EXACT(ADD27,"LVC_APPLIED_E")), 1, 0)</f>
        <v>0</v>
      </c>
      <c r="AFN121" s="14">
        <f xml:space="preserve"> IF( NOT( EXACT(AFN27,"LVC_APPLIED_E")), 1, 0)</f>
        <v>0</v>
      </c>
      <c r="AKQ121" s="14">
        <v>8</v>
      </c>
    </row>
    <row r="122" spans="1:979" ht="15" customHeight="1" x14ac:dyDescent="0.25">
      <c r="A122" s="14"/>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c r="AA122" s="14"/>
      <c r="AB122" s="14"/>
      <c r="AC122" s="14"/>
      <c r="AD122" s="14"/>
      <c r="AE122" s="14"/>
      <c r="AF122" s="14"/>
      <c r="AG122" s="14"/>
      <c r="AH122" s="14"/>
      <c r="AI122" s="14"/>
      <c r="AJ122" s="14"/>
      <c r="AK122" s="14"/>
      <c r="AL122" s="14"/>
      <c r="AM122" s="14"/>
      <c r="AN122" s="14"/>
      <c r="AO122" s="14"/>
      <c r="AP122" s="14"/>
      <c r="AQ122" s="14"/>
      <c r="AR122" s="14"/>
      <c r="AT122" s="14"/>
      <c r="AU122" s="14"/>
      <c r="AV122" s="14"/>
      <c r="AW122" s="14"/>
      <c r="AX122" s="14"/>
      <c r="AY122" s="14"/>
      <c r="AZ122" s="14"/>
      <c r="BA122" s="14"/>
      <c r="BB122" s="14"/>
      <c r="BC122" s="14"/>
      <c r="BD122" s="14"/>
      <c r="BE122" s="14"/>
      <c r="BF122" s="14"/>
      <c r="BG122" s="14"/>
      <c r="BH122" s="14"/>
      <c r="BI122" s="14"/>
      <c r="BJ122" s="14"/>
      <c r="BK122" s="14"/>
      <c r="BL122" s="14"/>
      <c r="BM122" s="14"/>
      <c r="BN122" s="14"/>
      <c r="BO122" s="14"/>
      <c r="BP122" s="14"/>
      <c r="BQ122" s="14"/>
      <c r="BR122" s="14"/>
      <c r="BS122" s="14"/>
      <c r="BT122" s="14"/>
      <c r="BU122" s="14"/>
      <c r="CE122" s="14"/>
      <c r="CF122" s="14"/>
      <c r="CG122" s="14"/>
      <c r="CH122" s="14"/>
      <c r="CI122" s="14"/>
      <c r="CJ122" s="14"/>
      <c r="CK122" s="14"/>
      <c r="CL122" s="14"/>
      <c r="CO122" s="14"/>
      <c r="CP122" s="14"/>
      <c r="CQ122" s="14"/>
      <c r="CR122" s="14"/>
      <c r="CS122" s="14"/>
      <c r="EK122" s="14"/>
      <c r="EL122" s="14"/>
      <c r="EM122" s="14"/>
      <c r="EN122" s="14"/>
      <c r="EO122" s="14"/>
      <c r="EP122" s="14"/>
      <c r="EQ122" s="14"/>
      <c r="ER122" s="14"/>
      <c r="ES122" s="14"/>
      <c r="ET122" s="14"/>
      <c r="EU122" s="14"/>
      <c r="EV122" s="14"/>
      <c r="EW122" s="14"/>
      <c r="EX122" s="14"/>
      <c r="EY122" s="14"/>
      <c r="EZ122" s="14"/>
      <c r="FA122" s="14"/>
      <c r="FB122" s="14"/>
      <c r="FC122" s="14"/>
      <c r="FD122" s="14"/>
      <c r="GW122" s="14"/>
      <c r="GX122" s="14"/>
      <c r="GY122" s="14"/>
      <c r="GZ122" s="14"/>
      <c r="HA122" s="14"/>
      <c r="HB122" s="14"/>
      <c r="HC122" s="14"/>
      <c r="HD122" s="14"/>
      <c r="HE122" s="14"/>
      <c r="HF122" s="14"/>
      <c r="HG122" s="14"/>
      <c r="HH122" s="14"/>
      <c r="HI122" s="14"/>
      <c r="HJ122" s="14"/>
      <c r="HK122" s="14"/>
      <c r="HL122" s="14"/>
      <c r="HM122" s="14"/>
      <c r="HN122" s="14"/>
      <c r="HO122" s="14"/>
      <c r="HP122" s="14"/>
      <c r="HQ122" s="14"/>
      <c r="HR122" s="14"/>
      <c r="HS122" s="14"/>
      <c r="HT122" s="14"/>
      <c r="HU122" s="14"/>
      <c r="HX122" s="14"/>
      <c r="HY122" s="14"/>
      <c r="HZ122" s="14"/>
      <c r="IA122" s="14"/>
      <c r="IS122" s="14"/>
      <c r="IT122" s="14"/>
      <c r="IU122" s="14"/>
      <c r="JH122" s="14"/>
      <c r="JI122" s="14"/>
      <c r="JW122" s="14"/>
      <c r="JX122" s="14"/>
      <c r="LQ122" s="14"/>
      <c r="LR122" s="14"/>
      <c r="LS122" s="14"/>
      <c r="LT122" s="14"/>
      <c r="LU122" s="14"/>
      <c r="LV122" s="14"/>
      <c r="LW122" s="14"/>
      <c r="LY122" s="14"/>
      <c r="LZ122" s="14"/>
      <c r="MA122" s="14"/>
      <c r="MB122" s="14"/>
      <c r="MC122" s="14"/>
      <c r="MD122" s="14"/>
      <c r="ME122" s="14"/>
      <c r="MF122" s="14"/>
      <c r="MG122" s="14"/>
      <c r="MH122" s="14"/>
      <c r="MI122" s="14"/>
      <c r="MJ122" s="14"/>
      <c r="MK122" s="14"/>
      <c r="ML122" s="14"/>
      <c r="MM122" s="14"/>
      <c r="MN122" s="14"/>
      <c r="NR122" s="14">
        <v>16</v>
      </c>
      <c r="NS122" s="14">
        <f t="shared" ref="NS122:OX122" si="1319" xml:space="preserve"> IF( NOT(EXACT( NS31, "LVC_REV_E")), 1, 0)</f>
        <v>1</v>
      </c>
      <c r="NT122" s="14">
        <f t="shared" si="1319"/>
        <v>1</v>
      </c>
      <c r="NU122" s="14">
        <f t="shared" si="1319"/>
        <v>1</v>
      </c>
      <c r="NV122" s="14">
        <f t="shared" si="1319"/>
        <v>1</v>
      </c>
      <c r="NW122" s="14">
        <f t="shared" si="1319"/>
        <v>1</v>
      </c>
      <c r="NX122" s="14">
        <f t="shared" si="1319"/>
        <v>0</v>
      </c>
      <c r="NY122" s="14">
        <f t="shared" si="1319"/>
        <v>1</v>
      </c>
      <c r="NZ122" s="14">
        <f t="shared" si="1319"/>
        <v>1</v>
      </c>
      <c r="OA122" s="14">
        <f t="shared" si="1319"/>
        <v>1</v>
      </c>
      <c r="OB122" s="14">
        <f t="shared" si="1319"/>
        <v>1</v>
      </c>
      <c r="OC122" s="14">
        <f t="shared" si="1319"/>
        <v>1</v>
      </c>
      <c r="OD122" s="14">
        <f t="shared" si="1319"/>
        <v>1</v>
      </c>
      <c r="OE122" s="14">
        <f t="shared" si="1319"/>
        <v>1</v>
      </c>
      <c r="OF122" s="14">
        <f t="shared" si="1319"/>
        <v>1</v>
      </c>
      <c r="OG122" s="14">
        <f t="shared" si="1319"/>
        <v>1</v>
      </c>
      <c r="OH122" s="14">
        <f t="shared" si="1319"/>
        <v>1</v>
      </c>
      <c r="OI122" s="14">
        <f t="shared" si="1319"/>
        <v>1</v>
      </c>
      <c r="OJ122" s="14">
        <f t="shared" si="1319"/>
        <v>1</v>
      </c>
      <c r="OK122" s="14">
        <f t="shared" si="1319"/>
        <v>1</v>
      </c>
      <c r="OL122" s="14">
        <f t="shared" si="1319"/>
        <v>1</v>
      </c>
      <c r="OM122" s="14">
        <f t="shared" si="1319"/>
        <v>1</v>
      </c>
      <c r="ON122" s="14">
        <f t="shared" si="1319"/>
        <v>1</v>
      </c>
      <c r="OO122" s="14">
        <f t="shared" si="1319"/>
        <v>1</v>
      </c>
      <c r="OP122" s="14">
        <f t="shared" si="1319"/>
        <v>1</v>
      </c>
      <c r="OQ122" s="14">
        <f t="shared" si="1319"/>
        <v>1</v>
      </c>
      <c r="OR122" s="14">
        <f t="shared" si="1319"/>
        <v>1</v>
      </c>
      <c r="OS122" s="14">
        <f t="shared" si="1319"/>
        <v>1</v>
      </c>
      <c r="OT122" s="14">
        <f t="shared" si="1319"/>
        <v>1</v>
      </c>
      <c r="OU122" s="14">
        <f t="shared" si="1319"/>
        <v>1</v>
      </c>
      <c r="OV122" s="14">
        <f t="shared" si="1319"/>
        <v>1</v>
      </c>
      <c r="OW122" s="14">
        <f t="shared" si="1319"/>
        <v>1</v>
      </c>
      <c r="OX122" s="14">
        <f t="shared" si="1319"/>
        <v>1</v>
      </c>
      <c r="OY122" s="14">
        <f t="shared" ref="OY122:QD122" si="1320" xml:space="preserve"> IF( NOT(EXACT( OY31, "LVC_REV_E")), 1, 0)</f>
        <v>1</v>
      </c>
      <c r="OZ122" s="14">
        <f t="shared" si="1320"/>
        <v>1</v>
      </c>
      <c r="PA122" s="14">
        <f t="shared" si="1320"/>
        <v>1</v>
      </c>
      <c r="PB122" s="14">
        <f t="shared" si="1320"/>
        <v>1</v>
      </c>
      <c r="PC122" s="14">
        <f t="shared" si="1320"/>
        <v>1</v>
      </c>
      <c r="PD122" s="14">
        <f t="shared" si="1320"/>
        <v>1</v>
      </c>
      <c r="PE122" s="14">
        <f t="shared" si="1320"/>
        <v>1</v>
      </c>
      <c r="PF122" s="14">
        <f t="shared" si="1320"/>
        <v>1</v>
      </c>
      <c r="PG122" s="14">
        <f t="shared" si="1320"/>
        <v>1</v>
      </c>
      <c r="PH122" s="14">
        <f t="shared" si="1320"/>
        <v>1</v>
      </c>
      <c r="PI122" s="14">
        <f t="shared" si="1320"/>
        <v>1</v>
      </c>
      <c r="PJ122" s="14">
        <f t="shared" si="1320"/>
        <v>1</v>
      </c>
      <c r="PK122" s="14">
        <f t="shared" si="1320"/>
        <v>0</v>
      </c>
      <c r="PL122" s="14">
        <f t="shared" si="1320"/>
        <v>1</v>
      </c>
      <c r="PM122" s="14">
        <f t="shared" si="1320"/>
        <v>1</v>
      </c>
      <c r="PN122" s="14">
        <f t="shared" si="1320"/>
        <v>1</v>
      </c>
      <c r="PO122" s="14">
        <f t="shared" si="1320"/>
        <v>1</v>
      </c>
      <c r="PP122" s="14">
        <f t="shared" si="1320"/>
        <v>0</v>
      </c>
      <c r="PQ122" s="14">
        <f t="shared" si="1320"/>
        <v>1</v>
      </c>
      <c r="PR122" s="14">
        <f t="shared" si="1320"/>
        <v>0</v>
      </c>
      <c r="PS122" s="14">
        <f t="shared" si="1320"/>
        <v>1</v>
      </c>
      <c r="PT122" s="14">
        <f t="shared" si="1320"/>
        <v>0</v>
      </c>
      <c r="PU122" s="14">
        <f t="shared" si="1320"/>
        <v>1</v>
      </c>
      <c r="PV122" s="14">
        <f t="shared" si="1320"/>
        <v>1</v>
      </c>
      <c r="PW122" s="14">
        <f t="shared" si="1320"/>
        <v>0</v>
      </c>
      <c r="PX122" s="14">
        <f t="shared" si="1320"/>
        <v>1</v>
      </c>
      <c r="PY122" s="14">
        <f t="shared" si="1320"/>
        <v>0</v>
      </c>
      <c r="PZ122" s="14">
        <f t="shared" si="1320"/>
        <v>1</v>
      </c>
      <c r="QA122" s="14">
        <f t="shared" si="1320"/>
        <v>0</v>
      </c>
      <c r="QB122" s="14">
        <f t="shared" si="1320"/>
        <v>0</v>
      </c>
      <c r="QC122" s="14">
        <f t="shared" si="1320"/>
        <v>0</v>
      </c>
      <c r="QD122" s="14">
        <f t="shared" si="1320"/>
        <v>1</v>
      </c>
      <c r="QE122" s="14">
        <f t="shared" ref="QE122:RI122" si="1321" xml:space="preserve"> IF( NOT(EXACT( QE31, "LVC_REV_E")), 1, 0)</f>
        <v>1</v>
      </c>
      <c r="QF122" s="14">
        <f t="shared" si="1321"/>
        <v>1</v>
      </c>
      <c r="QG122" s="14">
        <f t="shared" si="1321"/>
        <v>1</v>
      </c>
      <c r="QH122" s="14">
        <f t="shared" si="1321"/>
        <v>1</v>
      </c>
      <c r="QI122" s="14">
        <f t="shared" si="1321"/>
        <v>1</v>
      </c>
      <c r="QJ122" s="14">
        <f t="shared" si="1321"/>
        <v>0</v>
      </c>
      <c r="QK122" s="14">
        <f t="shared" si="1321"/>
        <v>1</v>
      </c>
      <c r="QL122" s="14">
        <f t="shared" si="1321"/>
        <v>1</v>
      </c>
      <c r="QM122" s="14">
        <f t="shared" si="1321"/>
        <v>1</v>
      </c>
      <c r="QN122" s="14">
        <f t="shared" si="1321"/>
        <v>1</v>
      </c>
      <c r="QO122" s="14">
        <f t="shared" si="1321"/>
        <v>0</v>
      </c>
      <c r="QP122" s="14">
        <f t="shared" si="1321"/>
        <v>1</v>
      </c>
      <c r="QQ122" s="14">
        <f t="shared" si="1321"/>
        <v>0</v>
      </c>
      <c r="QR122" s="14">
        <f t="shared" si="1321"/>
        <v>0</v>
      </c>
      <c r="QS122" s="14">
        <f t="shared" si="1321"/>
        <v>0</v>
      </c>
      <c r="QT122" s="14">
        <f t="shared" si="1321"/>
        <v>0</v>
      </c>
      <c r="QU122" s="14">
        <f t="shared" si="1321"/>
        <v>0</v>
      </c>
      <c r="QV122" s="14">
        <f t="shared" si="1321"/>
        <v>0</v>
      </c>
      <c r="QW122" s="14">
        <f t="shared" si="1321"/>
        <v>0</v>
      </c>
      <c r="QX122" s="14">
        <f t="shared" si="1321"/>
        <v>0</v>
      </c>
      <c r="QY122" s="14">
        <f t="shared" si="1321"/>
        <v>0</v>
      </c>
      <c r="QZ122" s="14">
        <f t="shared" si="1321"/>
        <v>0</v>
      </c>
      <c r="RA122" s="14">
        <f t="shared" si="1321"/>
        <v>0</v>
      </c>
      <c r="RB122" s="14">
        <f t="shared" si="1321"/>
        <v>0</v>
      </c>
      <c r="RC122" s="14">
        <f t="shared" si="1321"/>
        <v>0</v>
      </c>
      <c r="RD122" s="14">
        <f t="shared" si="1321"/>
        <v>0</v>
      </c>
      <c r="RE122" s="14">
        <f t="shared" si="1321"/>
        <v>0</v>
      </c>
      <c r="RF122" s="14">
        <f t="shared" si="1321"/>
        <v>0</v>
      </c>
      <c r="RG122" s="14">
        <f t="shared" si="1321"/>
        <v>0</v>
      </c>
      <c r="RH122" s="14">
        <f t="shared" si="1321"/>
        <v>0</v>
      </c>
      <c r="RI122" s="14">
        <f t="shared" si="1321"/>
        <v>0</v>
      </c>
      <c r="RJ122" s="14">
        <f t="shared" ref="RJ122:RR122" si="1322" xml:space="preserve"> IF( NOT(EXACT( RJ31, "LVC_REV_E")), 1, 0)</f>
        <v>0</v>
      </c>
      <c r="RK122" s="14">
        <f t="shared" si="1322"/>
        <v>0</v>
      </c>
      <c r="RL122" s="14">
        <f t="shared" si="1322"/>
        <v>0</v>
      </c>
      <c r="RM122" s="14">
        <f t="shared" si="1322"/>
        <v>0</v>
      </c>
      <c r="RN122" s="14">
        <f t="shared" si="1322"/>
        <v>0</v>
      </c>
      <c r="RO122" s="14">
        <f t="shared" si="1322"/>
        <v>0</v>
      </c>
      <c r="RP122" s="14">
        <f t="shared" si="1322"/>
        <v>0</v>
      </c>
      <c r="RQ122" s="14">
        <f t="shared" si="1322"/>
        <v>0</v>
      </c>
      <c r="RR122" s="14">
        <f t="shared" si="1322"/>
        <v>0</v>
      </c>
      <c r="SA122" s="14">
        <v>16</v>
      </c>
      <c r="SB122" s="14">
        <f t="shared" ref="SB122:TG122" si="1323" xml:space="preserve"> IF( NOT(EXACT( SB31, "LVC_REV_E")), 1, 0)</f>
        <v>1</v>
      </c>
      <c r="SC122" s="14">
        <f t="shared" si="1323"/>
        <v>1</v>
      </c>
      <c r="SD122" s="14">
        <f t="shared" si="1323"/>
        <v>1</v>
      </c>
      <c r="SE122" s="14">
        <f t="shared" si="1323"/>
        <v>1</v>
      </c>
      <c r="SF122" s="14">
        <f t="shared" si="1323"/>
        <v>1</v>
      </c>
      <c r="SG122" s="14">
        <f t="shared" si="1323"/>
        <v>0</v>
      </c>
      <c r="SH122" s="14">
        <f t="shared" si="1323"/>
        <v>1</v>
      </c>
      <c r="SI122" s="14">
        <f t="shared" si="1323"/>
        <v>1</v>
      </c>
      <c r="SJ122" s="14">
        <f t="shared" si="1323"/>
        <v>1</v>
      </c>
      <c r="SK122" s="14">
        <f t="shared" si="1323"/>
        <v>1</v>
      </c>
      <c r="SL122" s="14">
        <f t="shared" si="1323"/>
        <v>1</v>
      </c>
      <c r="SM122" s="14">
        <f t="shared" si="1323"/>
        <v>1</v>
      </c>
      <c r="SN122" s="14">
        <f t="shared" si="1323"/>
        <v>1</v>
      </c>
      <c r="SO122" s="14">
        <f t="shared" si="1323"/>
        <v>1</v>
      </c>
      <c r="SP122" s="14">
        <f t="shared" si="1323"/>
        <v>1</v>
      </c>
      <c r="SQ122" s="14">
        <f t="shared" si="1323"/>
        <v>1</v>
      </c>
      <c r="SR122" s="14">
        <f t="shared" si="1323"/>
        <v>1</v>
      </c>
      <c r="SS122" s="14">
        <f t="shared" si="1323"/>
        <v>1</v>
      </c>
      <c r="ST122" s="14">
        <f t="shared" si="1323"/>
        <v>1</v>
      </c>
      <c r="SU122" s="14">
        <f t="shared" si="1323"/>
        <v>1</v>
      </c>
      <c r="SV122" s="14">
        <f t="shared" si="1323"/>
        <v>1</v>
      </c>
      <c r="SW122" s="14">
        <f t="shared" si="1323"/>
        <v>1</v>
      </c>
      <c r="SX122" s="14">
        <f t="shared" si="1323"/>
        <v>1</v>
      </c>
      <c r="SY122" s="14">
        <f t="shared" si="1323"/>
        <v>1</v>
      </c>
      <c r="SZ122" s="14">
        <f t="shared" si="1323"/>
        <v>1</v>
      </c>
      <c r="TA122" s="14">
        <f t="shared" si="1323"/>
        <v>1</v>
      </c>
      <c r="TB122" s="14">
        <f t="shared" si="1323"/>
        <v>1</v>
      </c>
      <c r="TC122" s="14">
        <f t="shared" si="1323"/>
        <v>1</v>
      </c>
      <c r="TD122" s="14">
        <f t="shared" si="1323"/>
        <v>1</v>
      </c>
      <c r="TE122" s="14">
        <f t="shared" si="1323"/>
        <v>1</v>
      </c>
      <c r="TF122" s="14">
        <f t="shared" si="1323"/>
        <v>1</v>
      </c>
      <c r="TG122" s="14">
        <f t="shared" si="1323"/>
        <v>1</v>
      </c>
      <c r="TH122" s="14">
        <f t="shared" ref="TH122:UM122" si="1324" xml:space="preserve"> IF( NOT(EXACT( TH31, "LVC_REV_E")), 1, 0)</f>
        <v>1</v>
      </c>
      <c r="TI122" s="14">
        <f t="shared" si="1324"/>
        <v>1</v>
      </c>
      <c r="TJ122" s="14">
        <f t="shared" si="1324"/>
        <v>1</v>
      </c>
      <c r="TK122" s="14">
        <f t="shared" si="1324"/>
        <v>1</v>
      </c>
      <c r="TL122" s="14">
        <f t="shared" si="1324"/>
        <v>1</v>
      </c>
      <c r="TM122" s="14">
        <f t="shared" si="1324"/>
        <v>1</v>
      </c>
      <c r="TN122" s="14">
        <f t="shared" si="1324"/>
        <v>1</v>
      </c>
      <c r="TO122" s="14">
        <f t="shared" si="1324"/>
        <v>1</v>
      </c>
      <c r="TP122" s="14">
        <f t="shared" si="1324"/>
        <v>1</v>
      </c>
      <c r="TQ122" s="14">
        <f t="shared" si="1324"/>
        <v>1</v>
      </c>
      <c r="TR122" s="14">
        <f t="shared" si="1324"/>
        <v>1</v>
      </c>
      <c r="TS122" s="14">
        <f t="shared" si="1324"/>
        <v>0</v>
      </c>
      <c r="TT122" s="14">
        <f t="shared" si="1324"/>
        <v>1</v>
      </c>
      <c r="TU122" s="14">
        <f t="shared" si="1324"/>
        <v>1</v>
      </c>
      <c r="TV122" s="14">
        <f t="shared" si="1324"/>
        <v>1</v>
      </c>
      <c r="TW122" s="14">
        <f t="shared" si="1324"/>
        <v>1</v>
      </c>
      <c r="TX122" s="14">
        <f t="shared" si="1324"/>
        <v>0</v>
      </c>
      <c r="TY122" s="14">
        <f t="shared" si="1324"/>
        <v>1</v>
      </c>
      <c r="TZ122" s="14">
        <f t="shared" si="1324"/>
        <v>0</v>
      </c>
      <c r="UA122" s="14">
        <f t="shared" si="1324"/>
        <v>1</v>
      </c>
      <c r="UB122" s="14">
        <f t="shared" si="1324"/>
        <v>0</v>
      </c>
      <c r="UC122" s="14">
        <f t="shared" si="1324"/>
        <v>1</v>
      </c>
      <c r="UD122" s="14">
        <f t="shared" si="1324"/>
        <v>1</v>
      </c>
      <c r="UE122" s="14">
        <f t="shared" si="1324"/>
        <v>0</v>
      </c>
      <c r="UF122" s="14">
        <f t="shared" si="1324"/>
        <v>1</v>
      </c>
      <c r="UG122" s="14">
        <f t="shared" si="1324"/>
        <v>0</v>
      </c>
      <c r="UH122" s="14">
        <f t="shared" si="1324"/>
        <v>1</v>
      </c>
      <c r="UI122" s="14">
        <f t="shared" si="1324"/>
        <v>0</v>
      </c>
      <c r="UJ122" s="14">
        <f t="shared" si="1324"/>
        <v>0</v>
      </c>
      <c r="UK122" s="14">
        <f t="shared" si="1324"/>
        <v>0</v>
      </c>
      <c r="UL122" s="14">
        <f t="shared" si="1324"/>
        <v>1</v>
      </c>
      <c r="UM122" s="14">
        <f t="shared" si="1324"/>
        <v>1</v>
      </c>
      <c r="UN122" s="14">
        <f t="shared" ref="UN122:VS122" si="1325" xml:space="preserve"> IF( NOT(EXACT( UN31, "LVC_REV_E")), 1, 0)</f>
        <v>1</v>
      </c>
      <c r="UO122" s="14">
        <f t="shared" si="1325"/>
        <v>1</v>
      </c>
      <c r="UP122" s="14">
        <f t="shared" si="1325"/>
        <v>1</v>
      </c>
      <c r="UQ122" s="14">
        <f t="shared" si="1325"/>
        <v>1</v>
      </c>
      <c r="UR122" s="14">
        <f t="shared" si="1325"/>
        <v>0</v>
      </c>
      <c r="US122" s="14">
        <f t="shared" si="1325"/>
        <v>1</v>
      </c>
      <c r="UT122" s="14">
        <f t="shared" si="1325"/>
        <v>1</v>
      </c>
      <c r="UU122" s="14">
        <f t="shared" si="1325"/>
        <v>1</v>
      </c>
      <c r="UV122" s="14">
        <f t="shared" si="1325"/>
        <v>1</v>
      </c>
      <c r="UW122" s="14">
        <f t="shared" si="1325"/>
        <v>0</v>
      </c>
      <c r="UX122" s="14">
        <f t="shared" si="1325"/>
        <v>1</v>
      </c>
      <c r="UY122" s="14">
        <f t="shared" si="1325"/>
        <v>0</v>
      </c>
      <c r="UZ122" s="14">
        <f t="shared" si="1325"/>
        <v>0</v>
      </c>
      <c r="VA122" s="14">
        <f t="shared" si="1325"/>
        <v>0</v>
      </c>
      <c r="VB122" s="14">
        <f t="shared" si="1325"/>
        <v>0</v>
      </c>
      <c r="VC122" s="14">
        <f t="shared" si="1325"/>
        <v>0</v>
      </c>
      <c r="VD122" s="14">
        <f t="shared" si="1325"/>
        <v>0</v>
      </c>
      <c r="VE122" s="14">
        <f t="shared" si="1325"/>
        <v>0</v>
      </c>
      <c r="VF122" s="14">
        <f t="shared" si="1325"/>
        <v>0</v>
      </c>
      <c r="VG122" s="14">
        <f t="shared" si="1325"/>
        <v>0</v>
      </c>
      <c r="VH122" s="14">
        <f t="shared" si="1325"/>
        <v>0</v>
      </c>
      <c r="VI122" s="14">
        <f t="shared" si="1325"/>
        <v>0</v>
      </c>
      <c r="VJ122" s="14">
        <f t="shared" si="1325"/>
        <v>0</v>
      </c>
      <c r="VK122" s="14">
        <f t="shared" si="1325"/>
        <v>0</v>
      </c>
      <c r="VL122" s="14">
        <f t="shared" si="1325"/>
        <v>0</v>
      </c>
      <c r="VM122" s="14">
        <f t="shared" si="1325"/>
        <v>0</v>
      </c>
      <c r="VN122" s="14">
        <f t="shared" si="1325"/>
        <v>0</v>
      </c>
      <c r="VO122" s="14">
        <f t="shared" si="1325"/>
        <v>0</v>
      </c>
      <c r="VP122" s="14">
        <f t="shared" si="1325"/>
        <v>0</v>
      </c>
      <c r="VQ122" s="14">
        <f t="shared" si="1325"/>
        <v>0</v>
      </c>
      <c r="VR122" s="14">
        <f t="shared" si="1325"/>
        <v>0</v>
      </c>
      <c r="VS122" s="14">
        <f t="shared" si="1325"/>
        <v>0</v>
      </c>
      <c r="VT122" s="14">
        <f t="shared" ref="VT122:VZ122" si="1326" xml:space="preserve"> IF( NOT(EXACT( VT31, "LVC_REV_E")), 1, 0)</f>
        <v>0</v>
      </c>
      <c r="VU122" s="14">
        <f t="shared" si="1326"/>
        <v>0</v>
      </c>
      <c r="VV122" s="14">
        <f t="shared" si="1326"/>
        <v>0</v>
      </c>
      <c r="VW122" s="14">
        <f t="shared" si="1326"/>
        <v>0</v>
      </c>
      <c r="VX122" s="14">
        <f t="shared" si="1326"/>
        <v>0</v>
      </c>
      <c r="VY122" s="14">
        <f t="shared" si="1326"/>
        <v>0</v>
      </c>
      <c r="VZ122" s="14">
        <f t="shared" si="1326"/>
        <v>0</v>
      </c>
      <c r="WD122" s="14">
        <f t="shared" ref="WD122:XI122" si="1327" xml:space="preserve"> IF( NOT(EXACT( WD31, "LVC_REV_E")), 1, 0)</f>
        <v>0</v>
      </c>
      <c r="WE122" s="14">
        <f t="shared" si="1327"/>
        <v>0</v>
      </c>
      <c r="WF122" s="14">
        <f t="shared" si="1327"/>
        <v>0</v>
      </c>
      <c r="WG122" s="14">
        <f t="shared" si="1327"/>
        <v>0</v>
      </c>
      <c r="WH122" s="14">
        <f t="shared" si="1327"/>
        <v>0</v>
      </c>
      <c r="WI122" s="14">
        <f t="shared" si="1327"/>
        <v>0</v>
      </c>
      <c r="WJ122" s="14">
        <f t="shared" si="1327"/>
        <v>0</v>
      </c>
      <c r="WK122" s="14">
        <f t="shared" si="1327"/>
        <v>0</v>
      </c>
      <c r="WL122" s="14">
        <f t="shared" si="1327"/>
        <v>0</v>
      </c>
      <c r="WM122" s="14">
        <f t="shared" si="1327"/>
        <v>0</v>
      </c>
      <c r="WN122" s="14">
        <f t="shared" si="1327"/>
        <v>0</v>
      </c>
      <c r="WO122" s="14">
        <f t="shared" si="1327"/>
        <v>0</v>
      </c>
      <c r="WP122" s="14">
        <f t="shared" si="1327"/>
        <v>0</v>
      </c>
      <c r="WQ122" s="14">
        <f t="shared" si="1327"/>
        <v>0</v>
      </c>
      <c r="WR122" s="14">
        <f t="shared" si="1327"/>
        <v>0</v>
      </c>
      <c r="WS122" s="14">
        <f t="shared" si="1327"/>
        <v>0</v>
      </c>
      <c r="WT122" s="14">
        <f t="shared" si="1327"/>
        <v>0</v>
      </c>
      <c r="WU122" s="14">
        <f t="shared" si="1327"/>
        <v>1</v>
      </c>
      <c r="WV122" s="14">
        <f t="shared" si="1327"/>
        <v>0</v>
      </c>
      <c r="WW122" s="14">
        <f t="shared" si="1327"/>
        <v>1</v>
      </c>
      <c r="WX122" s="14">
        <f t="shared" si="1327"/>
        <v>0</v>
      </c>
      <c r="WY122" s="14">
        <f t="shared" si="1327"/>
        <v>1</v>
      </c>
      <c r="WZ122" s="14">
        <f t="shared" si="1327"/>
        <v>0</v>
      </c>
      <c r="XA122" s="14">
        <f t="shared" si="1327"/>
        <v>0</v>
      </c>
      <c r="XB122" s="14">
        <f t="shared" si="1327"/>
        <v>0</v>
      </c>
      <c r="XC122" s="14">
        <f t="shared" si="1327"/>
        <v>0</v>
      </c>
      <c r="XD122" s="14">
        <f t="shared" si="1327"/>
        <v>0</v>
      </c>
      <c r="XE122" s="14">
        <f t="shared" si="1327"/>
        <v>0</v>
      </c>
      <c r="XF122" s="14">
        <f t="shared" si="1327"/>
        <v>0</v>
      </c>
      <c r="XG122" s="14">
        <f t="shared" si="1327"/>
        <v>1</v>
      </c>
      <c r="XH122" s="14">
        <f t="shared" si="1327"/>
        <v>0</v>
      </c>
      <c r="XI122" s="14">
        <f t="shared" si="1327"/>
        <v>0</v>
      </c>
      <c r="XJ122" s="14">
        <f t="shared" ref="XJ122:YO122" si="1328" xml:space="preserve"> IF( NOT(EXACT( XJ31, "LVC_REV_E")), 1, 0)</f>
        <v>0</v>
      </c>
      <c r="XK122" s="14">
        <f t="shared" si="1328"/>
        <v>0</v>
      </c>
      <c r="XL122" s="14">
        <f t="shared" si="1328"/>
        <v>0</v>
      </c>
      <c r="XM122" s="14">
        <f t="shared" si="1328"/>
        <v>0</v>
      </c>
      <c r="XN122" s="14">
        <f t="shared" si="1328"/>
        <v>0</v>
      </c>
      <c r="XO122" s="14">
        <f t="shared" si="1328"/>
        <v>0</v>
      </c>
      <c r="XP122" s="14">
        <f t="shared" si="1328"/>
        <v>0</v>
      </c>
      <c r="XQ122" s="14">
        <f t="shared" si="1328"/>
        <v>0</v>
      </c>
      <c r="XR122" s="14">
        <f t="shared" si="1328"/>
        <v>0</v>
      </c>
      <c r="XS122" s="14">
        <f t="shared" si="1328"/>
        <v>0</v>
      </c>
      <c r="XT122" s="14">
        <f t="shared" si="1328"/>
        <v>0</v>
      </c>
      <c r="XU122" s="14">
        <f t="shared" si="1328"/>
        <v>0</v>
      </c>
      <c r="XV122" s="14">
        <f t="shared" si="1328"/>
        <v>0</v>
      </c>
      <c r="XW122" s="14">
        <f t="shared" si="1328"/>
        <v>0</v>
      </c>
      <c r="XX122" s="14">
        <f t="shared" si="1328"/>
        <v>0</v>
      </c>
      <c r="XY122" s="14">
        <f t="shared" si="1328"/>
        <v>0</v>
      </c>
      <c r="XZ122" s="14">
        <f t="shared" si="1328"/>
        <v>0</v>
      </c>
      <c r="YA122" s="14">
        <f t="shared" si="1328"/>
        <v>0</v>
      </c>
      <c r="YB122" s="14">
        <f t="shared" si="1328"/>
        <v>0</v>
      </c>
      <c r="YC122" s="14">
        <f t="shared" si="1328"/>
        <v>0</v>
      </c>
      <c r="YD122" s="14">
        <f t="shared" si="1328"/>
        <v>0</v>
      </c>
      <c r="YE122" s="14">
        <f t="shared" si="1328"/>
        <v>0</v>
      </c>
      <c r="YF122" s="14">
        <f t="shared" si="1328"/>
        <v>1</v>
      </c>
      <c r="YG122" s="14">
        <f t="shared" si="1328"/>
        <v>0</v>
      </c>
      <c r="YH122" s="14">
        <f t="shared" si="1328"/>
        <v>0</v>
      </c>
      <c r="YI122" s="14">
        <f t="shared" si="1328"/>
        <v>0</v>
      </c>
      <c r="YJ122" s="14">
        <f t="shared" si="1328"/>
        <v>0</v>
      </c>
      <c r="YK122" s="14">
        <f t="shared" si="1328"/>
        <v>0</v>
      </c>
      <c r="YL122" s="14">
        <f t="shared" si="1328"/>
        <v>0</v>
      </c>
      <c r="YM122" s="14">
        <f t="shared" si="1328"/>
        <v>0</v>
      </c>
      <c r="YN122" s="14">
        <f t="shared" si="1328"/>
        <v>0</v>
      </c>
      <c r="YO122" s="14">
        <f t="shared" si="1328"/>
        <v>0</v>
      </c>
      <c r="YP122" s="14">
        <f t="shared" ref="YP122:ZJ122" si="1329" xml:space="preserve"> IF( NOT(EXACT( YP31, "LVC_REV_E")), 1, 0)</f>
        <v>0</v>
      </c>
      <c r="YQ122" s="14">
        <f t="shared" si="1329"/>
        <v>0</v>
      </c>
      <c r="YR122" s="14">
        <f t="shared" si="1329"/>
        <v>0</v>
      </c>
      <c r="YS122" s="14">
        <f t="shared" si="1329"/>
        <v>0</v>
      </c>
      <c r="YT122" s="14">
        <f t="shared" si="1329"/>
        <v>0</v>
      </c>
      <c r="YU122" s="14">
        <f t="shared" si="1329"/>
        <v>0</v>
      </c>
      <c r="YV122" s="14">
        <f t="shared" si="1329"/>
        <v>0</v>
      </c>
      <c r="YW122" s="14">
        <f t="shared" si="1329"/>
        <v>0</v>
      </c>
      <c r="YX122" s="14">
        <f t="shared" si="1329"/>
        <v>0</v>
      </c>
      <c r="YY122" s="14">
        <f t="shared" si="1329"/>
        <v>0</v>
      </c>
      <c r="YZ122" s="14">
        <f t="shared" si="1329"/>
        <v>0</v>
      </c>
      <c r="ZA122" s="14">
        <f t="shared" si="1329"/>
        <v>0</v>
      </c>
      <c r="ZB122" s="14">
        <f t="shared" si="1329"/>
        <v>0</v>
      </c>
      <c r="ZC122" s="14">
        <f t="shared" si="1329"/>
        <v>0</v>
      </c>
      <c r="ZD122" s="14">
        <f t="shared" si="1329"/>
        <v>0</v>
      </c>
      <c r="ZE122" s="14">
        <f t="shared" si="1329"/>
        <v>0</v>
      </c>
      <c r="ZF122" s="14">
        <f t="shared" si="1329"/>
        <v>0</v>
      </c>
      <c r="ZG122" s="14">
        <f t="shared" si="1329"/>
        <v>0</v>
      </c>
      <c r="ZH122" s="14">
        <f t="shared" si="1329"/>
        <v>0</v>
      </c>
      <c r="ZI122" s="14">
        <f t="shared" si="1329"/>
        <v>0</v>
      </c>
      <c r="ZJ122" s="14">
        <f t="shared" si="1329"/>
        <v>0</v>
      </c>
      <c r="ADD122" s="14">
        <f xml:space="preserve"> IF( NOT(EXACT( ADD31, "LVC_REV_E")), 1, 0)</f>
        <v>1</v>
      </c>
      <c r="AFN122" s="14">
        <f xml:space="preserve"> IF( NOT(EXACT( AFN31, "LVC_REV_E")), 1, 0)</f>
        <v>1</v>
      </c>
      <c r="AJG122" s="14"/>
      <c r="AJO122" s="14"/>
      <c r="AJY122" s="14"/>
      <c r="AKQ122" s="14">
        <v>16</v>
      </c>
    </row>
    <row r="123" spans="1:979" ht="15" customHeight="1" x14ac:dyDescent="0.25">
      <c r="A123" s="14"/>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c r="AA123" s="14"/>
      <c r="AB123" s="14"/>
      <c r="AC123" s="14"/>
      <c r="AD123" s="14"/>
      <c r="AE123" s="14"/>
      <c r="AF123" s="14"/>
      <c r="AG123" s="14"/>
      <c r="AH123" s="14"/>
      <c r="AI123" s="14"/>
      <c r="AJ123" s="14"/>
      <c r="AK123" s="14"/>
      <c r="AL123" s="14"/>
      <c r="AM123" s="14"/>
      <c r="AN123" s="14"/>
      <c r="AO123" s="14"/>
      <c r="AP123" s="14"/>
      <c r="AQ123" s="14"/>
      <c r="AR123" s="14"/>
      <c r="AT123" s="14"/>
      <c r="AU123" s="14"/>
      <c r="AV123" s="14"/>
      <c r="AW123" s="14"/>
      <c r="AX123" s="14"/>
      <c r="AY123" s="14"/>
      <c r="AZ123" s="14"/>
      <c r="BA123" s="14"/>
      <c r="BB123" s="14"/>
      <c r="BC123" s="14"/>
      <c r="BD123" s="14"/>
      <c r="BE123" s="14"/>
      <c r="BF123" s="14"/>
      <c r="BG123" s="14"/>
      <c r="BH123" s="14"/>
      <c r="BI123" s="14"/>
      <c r="BJ123" s="14"/>
      <c r="BK123" s="14"/>
      <c r="BL123" s="14"/>
      <c r="BM123" s="14"/>
      <c r="BN123" s="14"/>
      <c r="BO123" s="14"/>
      <c r="BP123" s="14"/>
      <c r="BQ123" s="14"/>
      <c r="BR123" s="14"/>
      <c r="BS123" s="14"/>
      <c r="BT123" s="14"/>
      <c r="BU123" s="14"/>
      <c r="CE123" s="14"/>
      <c r="CF123" s="14"/>
      <c r="CG123" s="14"/>
      <c r="CH123" s="14"/>
      <c r="CI123" s="14"/>
      <c r="CJ123" s="14"/>
      <c r="CK123" s="14"/>
      <c r="CL123" s="14"/>
      <c r="CO123" s="14"/>
      <c r="CP123" s="14"/>
      <c r="CQ123" s="14"/>
      <c r="CR123" s="14"/>
      <c r="CS123" s="14"/>
      <c r="EK123" s="14"/>
      <c r="EL123" s="14"/>
      <c r="EM123" s="14"/>
      <c r="EN123" s="14"/>
      <c r="EO123" s="14"/>
      <c r="EP123" s="14"/>
      <c r="EQ123" s="14"/>
      <c r="ER123" s="14"/>
      <c r="ES123" s="14"/>
      <c r="ET123" s="14"/>
      <c r="EU123" s="14"/>
      <c r="EV123" s="14"/>
      <c r="EW123" s="14"/>
      <c r="EX123" s="14"/>
      <c r="EY123" s="14"/>
      <c r="EZ123" s="14"/>
      <c r="FA123" s="14"/>
      <c r="FB123" s="14"/>
      <c r="FC123" s="14"/>
      <c r="FD123" s="14"/>
      <c r="GW123" s="14"/>
      <c r="GX123" s="14"/>
      <c r="GY123" s="14"/>
      <c r="GZ123" s="14"/>
      <c r="HA123" s="14"/>
      <c r="HB123" s="14"/>
      <c r="HC123" s="14"/>
      <c r="HD123" s="14"/>
      <c r="HE123" s="14"/>
      <c r="HF123" s="14"/>
      <c r="HG123" s="14"/>
      <c r="HH123" s="14"/>
      <c r="HI123" s="14"/>
      <c r="HJ123" s="14"/>
      <c r="HK123" s="14"/>
      <c r="HL123" s="14"/>
      <c r="HM123" s="14"/>
      <c r="HN123" s="14"/>
      <c r="HO123" s="14"/>
      <c r="HP123" s="14"/>
      <c r="HQ123" s="14"/>
      <c r="HR123" s="14"/>
      <c r="HS123" s="14"/>
      <c r="HT123" s="14"/>
      <c r="HU123" s="14"/>
      <c r="HX123" s="14"/>
      <c r="HY123" s="14"/>
      <c r="HZ123" s="14"/>
      <c r="IA123" s="14"/>
      <c r="IS123" s="14"/>
      <c r="IT123" s="14"/>
      <c r="IU123" s="14"/>
      <c r="JH123" s="14"/>
      <c r="JI123" s="14"/>
      <c r="JW123" s="14"/>
      <c r="JX123" s="14"/>
      <c r="LQ123" s="14"/>
      <c r="LR123" s="14"/>
      <c r="LS123" s="14"/>
      <c r="LT123" s="14"/>
      <c r="LU123" s="14"/>
      <c r="LV123" s="14"/>
      <c r="LW123" s="14"/>
      <c r="LY123" s="14"/>
      <c r="LZ123" s="14"/>
      <c r="MA123" s="14"/>
      <c r="MB123" s="14"/>
      <c r="MC123" s="14"/>
      <c r="MD123" s="14"/>
      <c r="ME123" s="14"/>
      <c r="MF123" s="14"/>
      <c r="MG123" s="14"/>
      <c r="MH123" s="14"/>
      <c r="MI123" s="14"/>
      <c r="MJ123" s="14"/>
      <c r="MK123" s="14"/>
      <c r="ML123" s="14"/>
      <c r="MM123" s="14"/>
      <c r="MN123" s="14"/>
      <c r="NR123" s="14">
        <v>32</v>
      </c>
      <c r="NS123" s="14">
        <v>0</v>
      </c>
      <c r="NT123" s="14">
        <v>0</v>
      </c>
      <c r="NU123" s="14">
        <v>0</v>
      </c>
      <c r="NV123" s="14">
        <v>0</v>
      </c>
      <c r="NW123" s="14">
        <v>0</v>
      </c>
      <c r="NX123" s="14">
        <v>0</v>
      </c>
      <c r="NY123" s="14">
        <v>0</v>
      </c>
      <c r="NZ123" s="14">
        <v>0</v>
      </c>
      <c r="OA123" s="14">
        <v>0</v>
      </c>
      <c r="OB123" s="14">
        <v>0</v>
      </c>
      <c r="OC123" s="14">
        <v>0</v>
      </c>
      <c r="OD123" s="14">
        <v>0</v>
      </c>
      <c r="OE123" s="14">
        <v>0</v>
      </c>
      <c r="OF123" s="14">
        <v>0</v>
      </c>
      <c r="OG123" s="14">
        <v>0</v>
      </c>
      <c r="OH123" s="14">
        <v>0</v>
      </c>
      <c r="OI123" s="14">
        <v>0</v>
      </c>
      <c r="OJ123" s="14">
        <v>0</v>
      </c>
      <c r="OK123" s="14">
        <v>0</v>
      </c>
      <c r="OL123" s="14">
        <v>0</v>
      </c>
      <c r="OM123" s="14">
        <v>0</v>
      </c>
      <c r="ON123" s="14">
        <v>0</v>
      </c>
      <c r="OO123" s="14">
        <v>0</v>
      </c>
      <c r="OP123" s="14">
        <v>0</v>
      </c>
      <c r="OQ123" s="14">
        <v>0</v>
      </c>
      <c r="OR123" s="14">
        <v>0</v>
      </c>
      <c r="OS123" s="14">
        <v>0</v>
      </c>
      <c r="OT123" s="14">
        <v>0</v>
      </c>
      <c r="OU123" s="14">
        <v>0</v>
      </c>
      <c r="OV123" s="14">
        <v>0</v>
      </c>
      <c r="OW123" s="14">
        <v>0</v>
      </c>
      <c r="OX123" s="14">
        <v>0</v>
      </c>
      <c r="OY123" s="14">
        <v>0</v>
      </c>
      <c r="OZ123" s="14">
        <v>0</v>
      </c>
      <c r="PA123" s="14">
        <v>0</v>
      </c>
      <c r="PB123" s="14">
        <v>0</v>
      </c>
      <c r="PC123" s="14">
        <v>0</v>
      </c>
      <c r="PD123" s="14">
        <v>0</v>
      </c>
      <c r="PE123" s="14">
        <v>0</v>
      </c>
      <c r="PF123" s="14">
        <v>0</v>
      </c>
      <c r="PG123" s="14">
        <v>0</v>
      </c>
      <c r="PH123" s="14">
        <v>0</v>
      </c>
      <c r="PI123" s="14">
        <v>0</v>
      </c>
      <c r="PJ123" s="14">
        <v>0</v>
      </c>
      <c r="PK123" s="14">
        <v>0</v>
      </c>
      <c r="PL123" s="14">
        <v>0</v>
      </c>
      <c r="PM123" s="14">
        <v>0</v>
      </c>
      <c r="PN123" s="14">
        <v>0</v>
      </c>
      <c r="PO123" s="14">
        <v>0</v>
      </c>
      <c r="PP123" s="14">
        <v>0</v>
      </c>
      <c r="PQ123" s="14">
        <v>0</v>
      </c>
      <c r="PR123" s="14">
        <v>0</v>
      </c>
      <c r="PS123" s="14">
        <v>0</v>
      </c>
      <c r="PT123" s="14">
        <v>0</v>
      </c>
      <c r="PU123" s="14">
        <v>0</v>
      </c>
      <c r="PV123" s="14">
        <v>0</v>
      </c>
      <c r="PW123" s="14">
        <v>0</v>
      </c>
      <c r="PX123" s="14">
        <v>0</v>
      </c>
      <c r="PY123" s="14">
        <v>0</v>
      </c>
      <c r="PZ123" s="14">
        <v>0</v>
      </c>
      <c r="QA123" s="14">
        <v>0</v>
      </c>
      <c r="QB123" s="14">
        <v>0</v>
      </c>
      <c r="QC123" s="14">
        <v>0</v>
      </c>
      <c r="QD123" s="14">
        <v>0</v>
      </c>
      <c r="QE123" s="14">
        <v>0</v>
      </c>
      <c r="QF123" s="14">
        <v>0</v>
      </c>
      <c r="QG123" s="14">
        <v>0</v>
      </c>
      <c r="QH123" s="14">
        <v>0</v>
      </c>
      <c r="QI123" s="14">
        <v>0</v>
      </c>
      <c r="QJ123" s="14">
        <v>0</v>
      </c>
      <c r="QK123" s="14">
        <v>0</v>
      </c>
      <c r="QL123" s="14">
        <v>0</v>
      </c>
      <c r="QM123" s="14">
        <v>0</v>
      </c>
      <c r="QN123" s="14">
        <v>0</v>
      </c>
      <c r="QO123" s="14">
        <v>0</v>
      </c>
      <c r="QP123" s="14">
        <v>0</v>
      </c>
      <c r="QQ123" s="14">
        <v>0</v>
      </c>
      <c r="QR123" s="14">
        <v>0</v>
      </c>
      <c r="QS123" s="14">
        <v>0</v>
      </c>
      <c r="QT123" s="14">
        <v>0</v>
      </c>
      <c r="QU123" s="14">
        <v>0</v>
      </c>
      <c r="QV123" s="14">
        <v>0</v>
      </c>
      <c r="QW123" s="14">
        <v>0</v>
      </c>
      <c r="QX123" s="14">
        <v>0</v>
      </c>
      <c r="QY123" s="14">
        <v>0</v>
      </c>
      <c r="QZ123" s="14">
        <v>0</v>
      </c>
      <c r="RA123" s="14">
        <v>0</v>
      </c>
      <c r="RB123" s="14">
        <v>0</v>
      </c>
      <c r="RC123" s="14">
        <v>0</v>
      </c>
      <c r="RD123" s="14">
        <v>0</v>
      </c>
      <c r="RE123" s="14">
        <v>0</v>
      </c>
      <c r="RF123" s="14">
        <v>0</v>
      </c>
      <c r="RG123" s="14">
        <v>0</v>
      </c>
      <c r="RH123" s="14">
        <v>0</v>
      </c>
      <c r="RI123" s="14">
        <v>0</v>
      </c>
      <c r="RJ123" s="14">
        <v>0</v>
      </c>
      <c r="RK123" s="14">
        <v>0</v>
      </c>
      <c r="RL123" s="14">
        <v>0</v>
      </c>
      <c r="RM123" s="14">
        <v>0</v>
      </c>
      <c r="RN123" s="14">
        <v>0</v>
      </c>
      <c r="RO123" s="14">
        <v>0</v>
      </c>
      <c r="RP123" s="14">
        <v>0</v>
      </c>
      <c r="RQ123" s="14">
        <v>0</v>
      </c>
      <c r="RR123" s="14">
        <v>0</v>
      </c>
      <c r="SA123" s="14">
        <v>32</v>
      </c>
      <c r="SB123" s="14">
        <v>0</v>
      </c>
      <c r="SC123" s="14">
        <v>0</v>
      </c>
      <c r="SD123" s="14">
        <v>0</v>
      </c>
      <c r="SE123" s="14">
        <v>0</v>
      </c>
      <c r="SF123" s="14">
        <v>0</v>
      </c>
      <c r="SG123" s="14">
        <v>0</v>
      </c>
      <c r="SH123" s="14">
        <v>0</v>
      </c>
      <c r="SI123" s="14">
        <v>0</v>
      </c>
      <c r="SJ123" s="14">
        <v>0</v>
      </c>
      <c r="SK123" s="14">
        <v>0</v>
      </c>
      <c r="SL123" s="14">
        <v>0</v>
      </c>
      <c r="SM123" s="14">
        <v>0</v>
      </c>
      <c r="SN123" s="14">
        <v>0</v>
      </c>
      <c r="SO123" s="14">
        <v>0</v>
      </c>
      <c r="SP123" s="14">
        <v>0</v>
      </c>
      <c r="SQ123" s="14">
        <v>0</v>
      </c>
      <c r="SR123" s="14">
        <v>0</v>
      </c>
      <c r="SS123" s="14">
        <v>0</v>
      </c>
      <c r="ST123" s="14">
        <v>0</v>
      </c>
      <c r="SU123" s="14">
        <v>0</v>
      </c>
      <c r="SV123" s="14">
        <v>0</v>
      </c>
      <c r="SW123" s="14">
        <v>0</v>
      </c>
      <c r="SX123" s="14">
        <v>0</v>
      </c>
      <c r="SY123" s="14">
        <v>0</v>
      </c>
      <c r="SZ123" s="14">
        <v>0</v>
      </c>
      <c r="TA123" s="14">
        <v>0</v>
      </c>
      <c r="TB123" s="14">
        <v>0</v>
      </c>
      <c r="TC123" s="14">
        <v>0</v>
      </c>
      <c r="TD123" s="14">
        <v>0</v>
      </c>
      <c r="TE123" s="14">
        <v>0</v>
      </c>
      <c r="TF123" s="14">
        <v>0</v>
      </c>
      <c r="TG123" s="14">
        <v>0</v>
      </c>
      <c r="TH123" s="14">
        <v>0</v>
      </c>
      <c r="TI123" s="14">
        <v>0</v>
      </c>
      <c r="TJ123" s="14">
        <v>0</v>
      </c>
      <c r="TK123" s="14">
        <v>0</v>
      </c>
      <c r="TL123" s="14">
        <v>0</v>
      </c>
      <c r="TM123" s="14">
        <v>0</v>
      </c>
      <c r="TN123" s="14">
        <v>0</v>
      </c>
      <c r="TO123" s="14">
        <v>0</v>
      </c>
      <c r="TP123" s="14">
        <v>0</v>
      </c>
      <c r="TQ123" s="14">
        <v>0</v>
      </c>
      <c r="TR123" s="14">
        <v>0</v>
      </c>
      <c r="TS123" s="14">
        <v>0</v>
      </c>
      <c r="TT123" s="14">
        <v>0</v>
      </c>
      <c r="TU123" s="14">
        <v>0</v>
      </c>
      <c r="TV123" s="14">
        <v>0</v>
      </c>
      <c r="TW123" s="14">
        <v>0</v>
      </c>
      <c r="TX123" s="14">
        <v>0</v>
      </c>
      <c r="TY123" s="14">
        <v>0</v>
      </c>
      <c r="TZ123" s="14">
        <v>0</v>
      </c>
      <c r="UA123" s="14">
        <v>0</v>
      </c>
      <c r="UB123" s="14">
        <v>0</v>
      </c>
      <c r="UC123" s="14">
        <v>0</v>
      </c>
      <c r="UD123" s="14">
        <v>0</v>
      </c>
      <c r="UE123" s="14">
        <v>0</v>
      </c>
      <c r="UF123" s="14">
        <v>0</v>
      </c>
      <c r="UG123" s="14">
        <v>0</v>
      </c>
      <c r="UH123" s="14">
        <v>0</v>
      </c>
      <c r="UI123" s="14">
        <v>0</v>
      </c>
      <c r="UJ123" s="14">
        <v>0</v>
      </c>
      <c r="UK123" s="14">
        <v>0</v>
      </c>
      <c r="UL123" s="14">
        <v>0</v>
      </c>
      <c r="UM123" s="14">
        <v>0</v>
      </c>
      <c r="UN123" s="14">
        <v>0</v>
      </c>
      <c r="UO123" s="14">
        <v>0</v>
      </c>
      <c r="UP123" s="14">
        <v>0</v>
      </c>
      <c r="UQ123" s="14">
        <v>0</v>
      </c>
      <c r="UR123" s="14">
        <v>0</v>
      </c>
      <c r="US123" s="14">
        <v>0</v>
      </c>
      <c r="UT123" s="14">
        <v>0</v>
      </c>
      <c r="UU123" s="14">
        <v>0</v>
      </c>
      <c r="UV123" s="14">
        <v>0</v>
      </c>
      <c r="UW123" s="14">
        <v>0</v>
      </c>
      <c r="UX123" s="14">
        <v>0</v>
      </c>
      <c r="UY123" s="14">
        <v>0</v>
      </c>
      <c r="UZ123" s="14">
        <v>0</v>
      </c>
      <c r="VA123" s="14">
        <v>0</v>
      </c>
      <c r="VB123" s="14">
        <v>0</v>
      </c>
      <c r="VC123" s="14">
        <v>0</v>
      </c>
      <c r="VD123" s="14">
        <v>0</v>
      </c>
      <c r="VE123" s="14">
        <v>0</v>
      </c>
      <c r="VF123" s="14">
        <v>0</v>
      </c>
      <c r="VG123" s="14">
        <v>0</v>
      </c>
      <c r="VH123" s="14">
        <v>0</v>
      </c>
      <c r="VI123" s="14">
        <v>0</v>
      </c>
      <c r="VJ123" s="14">
        <v>0</v>
      </c>
      <c r="VK123" s="14">
        <v>0</v>
      </c>
      <c r="VL123" s="14">
        <v>0</v>
      </c>
      <c r="VM123" s="14">
        <v>0</v>
      </c>
      <c r="VN123" s="14">
        <v>0</v>
      </c>
      <c r="VO123" s="14">
        <v>0</v>
      </c>
      <c r="VP123" s="14">
        <v>0</v>
      </c>
      <c r="VQ123" s="14">
        <v>0</v>
      </c>
      <c r="VR123" s="14">
        <v>0</v>
      </c>
      <c r="VS123" s="14">
        <v>0</v>
      </c>
      <c r="VT123" s="14">
        <v>0</v>
      </c>
      <c r="VU123" s="14">
        <v>0</v>
      </c>
      <c r="VV123" s="14">
        <v>0</v>
      </c>
      <c r="VW123" s="14">
        <v>0</v>
      </c>
      <c r="VX123" s="14">
        <v>0</v>
      </c>
      <c r="VY123" s="14">
        <v>0</v>
      </c>
      <c r="VZ123" s="14">
        <v>0</v>
      </c>
      <c r="WD123" s="14">
        <v>0</v>
      </c>
      <c r="WE123" s="14">
        <v>0</v>
      </c>
      <c r="WF123" s="14">
        <v>0</v>
      </c>
      <c r="WG123" s="14">
        <v>0</v>
      </c>
      <c r="WH123" s="14">
        <v>0</v>
      </c>
      <c r="WI123" s="14">
        <v>0</v>
      </c>
      <c r="WJ123" s="14">
        <v>0</v>
      </c>
      <c r="WK123" s="14">
        <v>0</v>
      </c>
      <c r="WL123" s="14">
        <v>0</v>
      </c>
      <c r="WM123" s="14">
        <v>0</v>
      </c>
      <c r="WN123" s="14">
        <v>0</v>
      </c>
      <c r="WO123" s="14">
        <v>0</v>
      </c>
      <c r="WP123" s="14">
        <v>0</v>
      </c>
      <c r="WQ123" s="14">
        <v>0</v>
      </c>
      <c r="WR123" s="14">
        <v>0</v>
      </c>
      <c r="WS123" s="14">
        <v>0</v>
      </c>
      <c r="WT123" s="14">
        <v>0</v>
      </c>
      <c r="WU123" s="14">
        <v>0</v>
      </c>
      <c r="WV123" s="14">
        <v>0</v>
      </c>
      <c r="WW123" s="14">
        <v>0</v>
      </c>
      <c r="WX123" s="14">
        <v>0</v>
      </c>
      <c r="WY123" s="14">
        <v>0</v>
      </c>
      <c r="WZ123" s="14">
        <v>0</v>
      </c>
      <c r="XA123" s="14">
        <v>0</v>
      </c>
      <c r="XB123" s="14">
        <v>0</v>
      </c>
      <c r="XC123" s="14">
        <v>0</v>
      </c>
      <c r="XD123" s="14">
        <v>0</v>
      </c>
      <c r="XE123" s="14">
        <v>0</v>
      </c>
      <c r="XF123" s="14">
        <v>0</v>
      </c>
      <c r="XG123" s="14">
        <v>0</v>
      </c>
      <c r="XH123" s="14">
        <v>0</v>
      </c>
      <c r="XI123" s="14">
        <v>0</v>
      </c>
      <c r="XJ123" s="14">
        <v>0</v>
      </c>
      <c r="XK123" s="14">
        <v>0</v>
      </c>
      <c r="XL123" s="14">
        <v>0</v>
      </c>
      <c r="XM123" s="14">
        <v>0</v>
      </c>
      <c r="XN123" s="14">
        <v>0</v>
      </c>
      <c r="XO123" s="14">
        <v>0</v>
      </c>
      <c r="XP123" s="14">
        <v>0</v>
      </c>
      <c r="XQ123" s="14">
        <v>0</v>
      </c>
      <c r="XR123" s="14">
        <v>0</v>
      </c>
      <c r="XS123" s="14">
        <v>0</v>
      </c>
      <c r="XT123" s="14">
        <v>0</v>
      </c>
      <c r="XU123" s="14">
        <v>0</v>
      </c>
      <c r="XV123" s="14">
        <v>0</v>
      </c>
      <c r="XW123" s="14">
        <v>0</v>
      </c>
      <c r="XX123" s="14">
        <v>0</v>
      </c>
      <c r="XY123" s="14">
        <v>0</v>
      </c>
      <c r="XZ123" s="14">
        <v>0</v>
      </c>
      <c r="YA123" s="14">
        <v>0</v>
      </c>
      <c r="YB123" s="14">
        <v>0</v>
      </c>
      <c r="YC123" s="14">
        <v>0</v>
      </c>
      <c r="YD123" s="14">
        <v>0</v>
      </c>
      <c r="YE123" s="14">
        <v>0</v>
      </c>
      <c r="YF123" s="14">
        <v>0</v>
      </c>
      <c r="YG123" s="14">
        <v>0</v>
      </c>
      <c r="YH123" s="14">
        <v>0</v>
      </c>
      <c r="YI123" s="14">
        <v>0</v>
      </c>
      <c r="YJ123" s="14">
        <v>0</v>
      </c>
      <c r="YK123" s="14">
        <v>0</v>
      </c>
      <c r="YL123" s="14">
        <v>0</v>
      </c>
      <c r="YM123" s="14">
        <v>0</v>
      </c>
      <c r="YN123" s="14">
        <v>0</v>
      </c>
      <c r="YO123" s="14">
        <v>0</v>
      </c>
      <c r="YP123" s="14">
        <v>0</v>
      </c>
      <c r="YQ123" s="14">
        <v>0</v>
      </c>
      <c r="YR123" s="14">
        <v>0</v>
      </c>
      <c r="YS123" s="14">
        <v>0</v>
      </c>
      <c r="YT123" s="14">
        <v>0</v>
      </c>
      <c r="YU123" s="14">
        <v>0</v>
      </c>
      <c r="YV123" s="14">
        <v>0</v>
      </c>
      <c r="YW123" s="14">
        <v>0</v>
      </c>
      <c r="YX123" s="14">
        <v>0</v>
      </c>
      <c r="YY123" s="14">
        <v>0</v>
      </c>
      <c r="YZ123" s="14">
        <v>0</v>
      </c>
      <c r="ZA123" s="14">
        <v>0</v>
      </c>
      <c r="ZB123" s="14">
        <v>0</v>
      </c>
      <c r="ZC123" s="14">
        <v>0</v>
      </c>
      <c r="ZD123" s="14">
        <v>0</v>
      </c>
      <c r="ZE123" s="14">
        <v>0</v>
      </c>
      <c r="ZF123" s="14">
        <v>0</v>
      </c>
      <c r="ZG123" s="14">
        <v>0</v>
      </c>
      <c r="ZH123" s="14">
        <v>0</v>
      </c>
      <c r="ZI123" s="14">
        <v>0</v>
      </c>
      <c r="ZJ123" s="14">
        <v>0</v>
      </c>
      <c r="ADD123" s="14">
        <v>0</v>
      </c>
      <c r="AFN123" s="14">
        <v>0</v>
      </c>
      <c r="AJG123" s="14"/>
      <c r="AJO123" s="14"/>
      <c r="AJY123" s="14"/>
      <c r="AKQ123" s="14">
        <v>32</v>
      </c>
    </row>
    <row r="124" spans="1:979" ht="15" customHeight="1" x14ac:dyDescent="0.25">
      <c r="A124" s="14"/>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c r="AA124" s="14"/>
      <c r="AB124" s="14"/>
      <c r="AC124" s="14"/>
      <c r="AD124" s="14"/>
      <c r="AE124" s="14"/>
      <c r="AF124" s="14"/>
      <c r="AG124" s="14"/>
      <c r="AH124" s="14"/>
      <c r="AI124" s="14"/>
      <c r="AJ124" s="14"/>
      <c r="AK124" s="14"/>
      <c r="AL124" s="14"/>
      <c r="AM124" s="14"/>
      <c r="AN124" s="14"/>
      <c r="AO124" s="14"/>
      <c r="AP124" s="14"/>
      <c r="AQ124" s="14"/>
      <c r="AR124" s="14"/>
      <c r="AT124" s="14"/>
      <c r="AU124" s="14"/>
      <c r="AV124" s="14"/>
      <c r="AW124" s="14"/>
      <c r="AX124" s="14"/>
      <c r="AY124" s="14"/>
      <c r="AZ124" s="14"/>
      <c r="BA124" s="14"/>
      <c r="BB124" s="14"/>
      <c r="BC124" s="14"/>
      <c r="BD124" s="14"/>
      <c r="BE124" s="14"/>
      <c r="BF124" s="14"/>
      <c r="BG124" s="14"/>
      <c r="BH124" s="14"/>
      <c r="BI124" s="14"/>
      <c r="BJ124" s="14"/>
      <c r="BK124" s="14"/>
      <c r="BL124" s="14"/>
      <c r="BM124" s="14"/>
      <c r="BN124" s="14"/>
      <c r="BO124" s="14"/>
      <c r="BP124" s="14"/>
      <c r="BQ124" s="14"/>
      <c r="BR124" s="14"/>
      <c r="BS124" s="14"/>
      <c r="BT124" s="14"/>
      <c r="BU124" s="14"/>
      <c r="CE124" s="14"/>
      <c r="CF124" s="14"/>
      <c r="CG124" s="14"/>
      <c r="CH124" s="14"/>
      <c r="CI124" s="14"/>
      <c r="CJ124" s="14"/>
      <c r="CK124" s="14"/>
      <c r="CL124" s="14"/>
      <c r="CO124" s="14"/>
      <c r="CP124" s="14"/>
      <c r="CQ124" s="14"/>
      <c r="CR124" s="14"/>
      <c r="CS124" s="14"/>
      <c r="EK124" s="14"/>
      <c r="EL124" s="14"/>
      <c r="EM124" s="14"/>
      <c r="EN124" s="14"/>
      <c r="EO124" s="14"/>
      <c r="EP124" s="14"/>
      <c r="EQ124" s="14"/>
      <c r="ER124" s="14"/>
      <c r="ES124" s="14"/>
      <c r="ET124" s="14"/>
      <c r="EU124" s="14"/>
      <c r="EV124" s="14"/>
      <c r="EW124" s="14"/>
      <c r="EX124" s="14"/>
      <c r="EY124" s="14"/>
      <c r="EZ124" s="14"/>
      <c r="FA124" s="14"/>
      <c r="FB124" s="14"/>
      <c r="FC124" s="14"/>
      <c r="FD124" s="14"/>
      <c r="GW124" s="14"/>
      <c r="GX124" s="14"/>
      <c r="GY124" s="14"/>
      <c r="GZ124" s="14"/>
      <c r="HA124" s="14"/>
      <c r="HB124" s="14"/>
      <c r="HC124" s="14"/>
      <c r="HD124" s="14"/>
      <c r="HE124" s="14"/>
      <c r="HF124" s="14"/>
      <c r="HG124" s="14"/>
      <c r="HH124" s="14"/>
      <c r="HI124" s="14"/>
      <c r="HJ124" s="14"/>
      <c r="HK124" s="14"/>
      <c r="HL124" s="14"/>
      <c r="HM124" s="14"/>
      <c r="HN124" s="14"/>
      <c r="HO124" s="14"/>
      <c r="HP124" s="14"/>
      <c r="HQ124" s="14"/>
      <c r="HR124" s="14"/>
      <c r="HS124" s="14"/>
      <c r="HT124" s="14"/>
      <c r="HU124" s="14"/>
      <c r="HX124" s="14"/>
      <c r="HY124" s="14"/>
      <c r="HZ124" s="14"/>
      <c r="IA124" s="14"/>
      <c r="IS124" s="14"/>
      <c r="IT124" s="14"/>
      <c r="IU124" s="14"/>
      <c r="JH124" s="14"/>
      <c r="JI124" s="14"/>
      <c r="JW124" s="14"/>
      <c r="JX124" s="14"/>
      <c r="LQ124" s="14"/>
      <c r="LR124" s="14"/>
      <c r="LS124" s="14"/>
      <c r="LT124" s="14"/>
      <c r="LU124" s="14"/>
      <c r="LV124" s="14"/>
      <c r="LW124" s="14"/>
      <c r="LY124" s="14"/>
      <c r="LZ124" s="14"/>
      <c r="MA124" s="14"/>
      <c r="MB124" s="14"/>
      <c r="MC124" s="14"/>
      <c r="MD124" s="14"/>
      <c r="ME124" s="14"/>
      <c r="MF124" s="14"/>
      <c r="MG124" s="14"/>
      <c r="MH124" s="14"/>
      <c r="MI124" s="14"/>
      <c r="MJ124" s="14"/>
      <c r="MK124" s="14"/>
      <c r="ML124" s="14"/>
      <c r="MM124" s="14"/>
      <c r="MN124" s="14"/>
      <c r="NR124" s="14">
        <v>64</v>
      </c>
      <c r="NS124" s="14">
        <v>0</v>
      </c>
      <c r="NT124" s="14">
        <v>0</v>
      </c>
      <c r="NU124" s="14">
        <v>0</v>
      </c>
      <c r="NV124" s="14">
        <v>0</v>
      </c>
      <c r="NW124" s="14">
        <v>0</v>
      </c>
      <c r="NX124" s="14">
        <v>0</v>
      </c>
      <c r="NY124" s="14">
        <v>0</v>
      </c>
      <c r="NZ124" s="14">
        <v>0</v>
      </c>
      <c r="OA124" s="14">
        <v>0</v>
      </c>
      <c r="OB124" s="14">
        <v>0</v>
      </c>
      <c r="OC124" s="14">
        <v>0</v>
      </c>
      <c r="OD124" s="14">
        <v>0</v>
      </c>
      <c r="OE124" s="14">
        <v>0</v>
      </c>
      <c r="OF124" s="14">
        <v>0</v>
      </c>
      <c r="OG124" s="14">
        <v>0</v>
      </c>
      <c r="OH124" s="14">
        <v>0</v>
      </c>
      <c r="OI124" s="14">
        <v>0</v>
      </c>
      <c r="OJ124" s="14">
        <v>0</v>
      </c>
      <c r="OK124" s="14">
        <v>0</v>
      </c>
      <c r="OL124" s="14">
        <v>0</v>
      </c>
      <c r="OM124" s="14">
        <v>0</v>
      </c>
      <c r="ON124" s="14">
        <v>0</v>
      </c>
      <c r="OO124" s="14">
        <v>0</v>
      </c>
      <c r="OP124" s="14">
        <v>0</v>
      </c>
      <c r="OQ124" s="14">
        <v>0</v>
      </c>
      <c r="OR124" s="14">
        <v>0</v>
      </c>
      <c r="OS124" s="14">
        <v>0</v>
      </c>
      <c r="OT124" s="14">
        <v>0</v>
      </c>
      <c r="OU124" s="14">
        <v>0</v>
      </c>
      <c r="OV124" s="14">
        <v>0</v>
      </c>
      <c r="OW124" s="14">
        <v>0</v>
      </c>
      <c r="OX124" s="14">
        <v>0</v>
      </c>
      <c r="OY124" s="14">
        <v>0</v>
      </c>
      <c r="OZ124" s="14">
        <v>0</v>
      </c>
      <c r="PA124" s="14">
        <v>0</v>
      </c>
      <c r="PB124" s="14">
        <v>0</v>
      </c>
      <c r="PC124" s="14">
        <v>0</v>
      </c>
      <c r="PD124" s="14">
        <v>0</v>
      </c>
      <c r="PE124" s="14">
        <v>0</v>
      </c>
      <c r="PF124" s="14">
        <v>0</v>
      </c>
      <c r="PG124" s="14">
        <v>0</v>
      </c>
      <c r="PH124" s="14">
        <v>0</v>
      </c>
      <c r="PI124" s="14">
        <v>0</v>
      </c>
      <c r="PJ124" s="14">
        <v>0</v>
      </c>
      <c r="PK124" s="14">
        <v>0</v>
      </c>
      <c r="PL124" s="14">
        <v>0</v>
      </c>
      <c r="PM124" s="14">
        <v>0</v>
      </c>
      <c r="PN124" s="14">
        <v>0</v>
      </c>
      <c r="PO124" s="14">
        <v>0</v>
      </c>
      <c r="PP124" s="14">
        <v>0</v>
      </c>
      <c r="PQ124" s="14">
        <v>0</v>
      </c>
      <c r="PR124" s="14">
        <v>0</v>
      </c>
      <c r="PS124" s="14">
        <v>0</v>
      </c>
      <c r="PT124" s="14">
        <v>0</v>
      </c>
      <c r="PU124" s="14">
        <v>0</v>
      </c>
      <c r="PV124" s="14">
        <v>0</v>
      </c>
      <c r="PW124" s="14">
        <v>0</v>
      </c>
      <c r="PX124" s="14">
        <v>0</v>
      </c>
      <c r="PY124" s="14">
        <v>0</v>
      </c>
      <c r="PZ124" s="14">
        <v>0</v>
      </c>
      <c r="QA124" s="14">
        <v>0</v>
      </c>
      <c r="QB124" s="14">
        <v>0</v>
      </c>
      <c r="QC124" s="14">
        <v>0</v>
      </c>
      <c r="QD124" s="14">
        <v>0</v>
      </c>
      <c r="QE124" s="14">
        <v>0</v>
      </c>
      <c r="QF124" s="14">
        <v>0</v>
      </c>
      <c r="QG124" s="14">
        <v>0</v>
      </c>
      <c r="QH124" s="14">
        <v>0</v>
      </c>
      <c r="QI124" s="14">
        <v>0</v>
      </c>
      <c r="QJ124" s="14">
        <v>0</v>
      </c>
      <c r="QK124" s="14">
        <v>0</v>
      </c>
      <c r="QL124" s="14">
        <v>0</v>
      </c>
      <c r="QM124" s="14">
        <v>0</v>
      </c>
      <c r="QN124" s="14">
        <v>0</v>
      </c>
      <c r="QO124" s="14">
        <v>0</v>
      </c>
      <c r="QP124" s="14">
        <v>0</v>
      </c>
      <c r="QQ124" s="14">
        <v>0</v>
      </c>
      <c r="QR124" s="14">
        <v>0</v>
      </c>
      <c r="QS124" s="14">
        <v>0</v>
      </c>
      <c r="QT124" s="14">
        <v>0</v>
      </c>
      <c r="QU124" s="14">
        <v>0</v>
      </c>
      <c r="QV124" s="14">
        <v>0</v>
      </c>
      <c r="QW124" s="14">
        <v>0</v>
      </c>
      <c r="QX124" s="14">
        <v>0</v>
      </c>
      <c r="QY124" s="14">
        <v>0</v>
      </c>
      <c r="QZ124" s="14">
        <v>0</v>
      </c>
      <c r="RA124" s="14">
        <v>0</v>
      </c>
      <c r="RB124" s="14">
        <v>0</v>
      </c>
      <c r="RC124" s="14">
        <v>0</v>
      </c>
      <c r="RD124" s="14">
        <v>0</v>
      </c>
      <c r="RE124" s="14">
        <v>0</v>
      </c>
      <c r="RF124" s="14">
        <v>0</v>
      </c>
      <c r="RG124" s="14">
        <v>0</v>
      </c>
      <c r="RH124" s="14">
        <v>0</v>
      </c>
      <c r="RI124" s="14">
        <v>0</v>
      </c>
      <c r="RJ124" s="14">
        <v>0</v>
      </c>
      <c r="RK124" s="14">
        <v>0</v>
      </c>
      <c r="RL124" s="14">
        <v>0</v>
      </c>
      <c r="RM124" s="14">
        <v>0</v>
      </c>
      <c r="RN124" s="14">
        <v>0</v>
      </c>
      <c r="RO124" s="14">
        <v>0</v>
      </c>
      <c r="RP124" s="14">
        <v>0</v>
      </c>
      <c r="RQ124" s="14">
        <v>0</v>
      </c>
      <c r="RR124" s="14">
        <v>0</v>
      </c>
      <c r="SA124" s="14">
        <v>64</v>
      </c>
      <c r="SB124" s="14">
        <v>0</v>
      </c>
      <c r="SC124" s="14">
        <v>0</v>
      </c>
      <c r="SD124" s="14">
        <v>0</v>
      </c>
      <c r="SE124" s="14">
        <v>0</v>
      </c>
      <c r="SF124" s="14">
        <v>0</v>
      </c>
      <c r="SG124" s="14">
        <v>0</v>
      </c>
      <c r="SH124" s="14">
        <v>0</v>
      </c>
      <c r="SI124" s="14">
        <v>0</v>
      </c>
      <c r="SJ124" s="14">
        <v>0</v>
      </c>
      <c r="SK124" s="14">
        <v>0</v>
      </c>
      <c r="SL124" s="14">
        <v>0</v>
      </c>
      <c r="SM124" s="14">
        <v>0</v>
      </c>
      <c r="SN124" s="14">
        <v>0</v>
      </c>
      <c r="SO124" s="14">
        <v>0</v>
      </c>
      <c r="SP124" s="14">
        <v>0</v>
      </c>
      <c r="SQ124" s="14">
        <v>0</v>
      </c>
      <c r="SR124" s="14">
        <v>0</v>
      </c>
      <c r="SS124" s="14">
        <v>0</v>
      </c>
      <c r="ST124" s="14">
        <v>0</v>
      </c>
      <c r="SU124" s="14">
        <v>0</v>
      </c>
      <c r="SV124" s="14">
        <v>0</v>
      </c>
      <c r="SW124" s="14">
        <v>0</v>
      </c>
      <c r="SX124" s="14">
        <v>0</v>
      </c>
      <c r="SY124" s="14">
        <v>0</v>
      </c>
      <c r="SZ124" s="14">
        <v>0</v>
      </c>
      <c r="TA124" s="14">
        <v>0</v>
      </c>
      <c r="TB124" s="14">
        <v>0</v>
      </c>
      <c r="TC124" s="14">
        <v>0</v>
      </c>
      <c r="TD124" s="14">
        <v>0</v>
      </c>
      <c r="TE124" s="14">
        <v>0</v>
      </c>
      <c r="TF124" s="14">
        <v>0</v>
      </c>
      <c r="TG124" s="14">
        <v>0</v>
      </c>
      <c r="TH124" s="14">
        <v>0</v>
      </c>
      <c r="TI124" s="14">
        <v>0</v>
      </c>
      <c r="TJ124" s="14">
        <v>0</v>
      </c>
      <c r="TK124" s="14">
        <v>0</v>
      </c>
      <c r="TL124" s="14">
        <v>0</v>
      </c>
      <c r="TM124" s="14">
        <v>0</v>
      </c>
      <c r="TN124" s="14">
        <v>0</v>
      </c>
      <c r="TO124" s="14">
        <v>0</v>
      </c>
      <c r="TP124" s="14">
        <v>0</v>
      </c>
      <c r="TQ124" s="14">
        <v>0</v>
      </c>
      <c r="TR124" s="14">
        <v>0</v>
      </c>
      <c r="TS124" s="14">
        <v>0</v>
      </c>
      <c r="TT124" s="14">
        <v>0</v>
      </c>
      <c r="TU124" s="14">
        <v>0</v>
      </c>
      <c r="TV124" s="14">
        <v>0</v>
      </c>
      <c r="TW124" s="14">
        <v>0</v>
      </c>
      <c r="TX124" s="14">
        <v>0</v>
      </c>
      <c r="TY124" s="14">
        <v>0</v>
      </c>
      <c r="TZ124" s="14">
        <v>0</v>
      </c>
      <c r="UA124" s="14">
        <v>0</v>
      </c>
      <c r="UB124" s="14">
        <v>0</v>
      </c>
      <c r="UC124" s="14">
        <v>0</v>
      </c>
      <c r="UD124" s="14">
        <v>0</v>
      </c>
      <c r="UE124" s="14">
        <v>0</v>
      </c>
      <c r="UF124" s="14">
        <v>0</v>
      </c>
      <c r="UG124" s="14">
        <v>0</v>
      </c>
      <c r="UH124" s="14">
        <v>0</v>
      </c>
      <c r="UI124" s="14">
        <v>0</v>
      </c>
      <c r="UJ124" s="14">
        <v>0</v>
      </c>
      <c r="UK124" s="14">
        <v>0</v>
      </c>
      <c r="UL124" s="14">
        <v>0</v>
      </c>
      <c r="UM124" s="14">
        <v>0</v>
      </c>
      <c r="UN124" s="14">
        <v>0</v>
      </c>
      <c r="UO124" s="14">
        <v>0</v>
      </c>
      <c r="UP124" s="14">
        <v>0</v>
      </c>
      <c r="UQ124" s="14">
        <v>0</v>
      </c>
      <c r="UR124" s="14">
        <v>0</v>
      </c>
      <c r="US124" s="14">
        <v>0</v>
      </c>
      <c r="UT124" s="14">
        <v>0</v>
      </c>
      <c r="UU124" s="14">
        <v>0</v>
      </c>
      <c r="UV124" s="14">
        <v>0</v>
      </c>
      <c r="UW124" s="14">
        <v>0</v>
      </c>
      <c r="UX124" s="14">
        <v>0</v>
      </c>
      <c r="UY124" s="14">
        <v>0</v>
      </c>
      <c r="UZ124" s="14">
        <v>0</v>
      </c>
      <c r="VA124" s="14">
        <v>0</v>
      </c>
      <c r="VB124" s="14">
        <v>0</v>
      </c>
      <c r="VC124" s="14">
        <v>0</v>
      </c>
      <c r="VD124" s="14">
        <v>0</v>
      </c>
      <c r="VE124" s="14">
        <v>0</v>
      </c>
      <c r="VF124" s="14">
        <v>0</v>
      </c>
      <c r="VG124" s="14">
        <v>0</v>
      </c>
      <c r="VH124" s="14">
        <v>0</v>
      </c>
      <c r="VI124" s="14">
        <v>0</v>
      </c>
      <c r="VJ124" s="14">
        <v>0</v>
      </c>
      <c r="VK124" s="14">
        <v>0</v>
      </c>
      <c r="VL124" s="14">
        <v>0</v>
      </c>
      <c r="VM124" s="14">
        <v>0</v>
      </c>
      <c r="VN124" s="14">
        <v>0</v>
      </c>
      <c r="VO124" s="14">
        <v>0</v>
      </c>
      <c r="VP124" s="14">
        <v>0</v>
      </c>
      <c r="VQ124" s="14">
        <v>0</v>
      </c>
      <c r="VR124" s="14">
        <v>0</v>
      </c>
      <c r="VS124" s="14">
        <v>0</v>
      </c>
      <c r="VT124" s="14">
        <v>0</v>
      </c>
      <c r="VU124" s="14">
        <v>0</v>
      </c>
      <c r="VV124" s="14">
        <v>0</v>
      </c>
      <c r="VW124" s="14">
        <v>0</v>
      </c>
      <c r="VX124" s="14">
        <v>0</v>
      </c>
      <c r="VY124" s="14">
        <v>0</v>
      </c>
      <c r="VZ124" s="14">
        <v>0</v>
      </c>
      <c r="WD124" s="14">
        <v>0</v>
      </c>
      <c r="WE124" s="14">
        <v>0</v>
      </c>
      <c r="WF124" s="14">
        <v>0</v>
      </c>
      <c r="WG124" s="14">
        <v>0</v>
      </c>
      <c r="WH124" s="14">
        <v>0</v>
      </c>
      <c r="WI124" s="14">
        <v>0</v>
      </c>
      <c r="WJ124" s="14">
        <v>0</v>
      </c>
      <c r="WK124" s="14">
        <v>0</v>
      </c>
      <c r="WL124" s="14">
        <v>0</v>
      </c>
      <c r="WM124" s="14">
        <v>0</v>
      </c>
      <c r="WN124" s="14">
        <v>0</v>
      </c>
      <c r="WO124" s="14">
        <v>0</v>
      </c>
      <c r="WP124" s="14">
        <v>0</v>
      </c>
      <c r="WQ124" s="14">
        <v>0</v>
      </c>
      <c r="WR124" s="14">
        <v>0</v>
      </c>
      <c r="WS124" s="14">
        <v>0</v>
      </c>
      <c r="WT124" s="14">
        <v>0</v>
      </c>
      <c r="WU124" s="14">
        <v>0</v>
      </c>
      <c r="WV124" s="14">
        <v>0</v>
      </c>
      <c r="WW124" s="14">
        <v>0</v>
      </c>
      <c r="WX124" s="14">
        <v>0</v>
      </c>
      <c r="WY124" s="14">
        <v>0</v>
      </c>
      <c r="WZ124" s="14">
        <v>0</v>
      </c>
      <c r="XA124" s="14">
        <v>0</v>
      </c>
      <c r="XB124" s="14">
        <v>0</v>
      </c>
      <c r="XC124" s="14">
        <v>0</v>
      </c>
      <c r="XD124" s="14">
        <v>0</v>
      </c>
      <c r="XE124" s="14">
        <v>0</v>
      </c>
      <c r="XF124" s="14">
        <v>0</v>
      </c>
      <c r="XG124" s="14">
        <v>0</v>
      </c>
      <c r="XH124" s="14">
        <v>0</v>
      </c>
      <c r="XI124" s="14">
        <v>0</v>
      </c>
      <c r="XJ124" s="14">
        <v>0</v>
      </c>
      <c r="XK124" s="14">
        <v>0</v>
      </c>
      <c r="XL124" s="14">
        <v>0</v>
      </c>
      <c r="XM124" s="14">
        <v>0</v>
      </c>
      <c r="XN124" s="14">
        <v>0</v>
      </c>
      <c r="XO124" s="14">
        <v>0</v>
      </c>
      <c r="XP124" s="14">
        <v>0</v>
      </c>
      <c r="XQ124" s="14">
        <v>0</v>
      </c>
      <c r="XR124" s="14">
        <v>0</v>
      </c>
      <c r="XS124" s="14">
        <v>0</v>
      </c>
      <c r="XT124" s="14">
        <v>0</v>
      </c>
      <c r="XU124" s="14">
        <v>0</v>
      </c>
      <c r="XV124" s="14">
        <v>0</v>
      </c>
      <c r="XW124" s="14">
        <v>0</v>
      </c>
      <c r="XX124" s="14">
        <v>0</v>
      </c>
      <c r="XY124" s="14">
        <v>0</v>
      </c>
      <c r="XZ124" s="14">
        <v>0</v>
      </c>
      <c r="YA124" s="14">
        <v>0</v>
      </c>
      <c r="YB124" s="14">
        <v>0</v>
      </c>
      <c r="YC124" s="14">
        <v>0</v>
      </c>
      <c r="YD124" s="14">
        <v>0</v>
      </c>
      <c r="YE124" s="14">
        <v>0</v>
      </c>
      <c r="YF124" s="14">
        <v>0</v>
      </c>
      <c r="YG124" s="14">
        <v>0</v>
      </c>
      <c r="YH124" s="14">
        <v>0</v>
      </c>
      <c r="YI124" s="14">
        <v>0</v>
      </c>
      <c r="YJ124" s="14">
        <v>0</v>
      </c>
      <c r="YK124" s="14">
        <v>0</v>
      </c>
      <c r="YL124" s="14">
        <v>0</v>
      </c>
      <c r="YM124" s="14">
        <v>0</v>
      </c>
      <c r="YN124" s="14">
        <v>0</v>
      </c>
      <c r="YO124" s="14">
        <v>0</v>
      </c>
      <c r="YP124" s="14">
        <v>0</v>
      </c>
      <c r="YQ124" s="14">
        <v>0</v>
      </c>
      <c r="YR124" s="14">
        <v>0</v>
      </c>
      <c r="YS124" s="14">
        <v>0</v>
      </c>
      <c r="YT124" s="14">
        <v>0</v>
      </c>
      <c r="YU124" s="14">
        <v>0</v>
      </c>
      <c r="YV124" s="14">
        <v>0</v>
      </c>
      <c r="YW124" s="14">
        <v>0</v>
      </c>
      <c r="YX124" s="14">
        <v>0</v>
      </c>
      <c r="YY124" s="14">
        <v>0</v>
      </c>
      <c r="YZ124" s="14">
        <v>0</v>
      </c>
      <c r="ZA124" s="14">
        <v>0</v>
      </c>
      <c r="ZB124" s="14">
        <v>0</v>
      </c>
      <c r="ZC124" s="14">
        <v>0</v>
      </c>
      <c r="ZD124" s="14">
        <v>0</v>
      </c>
      <c r="ZE124" s="14">
        <v>0</v>
      </c>
      <c r="ZF124" s="14">
        <v>0</v>
      </c>
      <c r="ZG124" s="14">
        <v>0</v>
      </c>
      <c r="ZH124" s="14">
        <v>0</v>
      </c>
      <c r="ZI124" s="14">
        <v>0</v>
      </c>
      <c r="ZJ124" s="14">
        <v>0</v>
      </c>
      <c r="ADD124" s="14">
        <v>0</v>
      </c>
      <c r="AFN124" s="14">
        <v>0</v>
      </c>
      <c r="AJG124" s="14"/>
      <c r="AJO124" s="14"/>
      <c r="AJY124" s="14"/>
      <c r="AKQ124" s="14">
        <v>64</v>
      </c>
    </row>
    <row r="125" spans="1:979" ht="15" customHeight="1" x14ac:dyDescent="0.25">
      <c r="A125" s="14"/>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c r="AA125" s="14"/>
      <c r="AB125" s="14"/>
      <c r="AC125" s="14"/>
      <c r="AD125" s="14"/>
      <c r="AE125" s="14"/>
      <c r="AF125" s="14"/>
      <c r="AG125" s="14"/>
      <c r="AH125" s="14"/>
      <c r="AI125" s="14"/>
      <c r="AJ125" s="14"/>
      <c r="AK125" s="14"/>
      <c r="AL125" s="14"/>
      <c r="AM125" s="14"/>
      <c r="AN125" s="14"/>
      <c r="AO125" s="14"/>
      <c r="AP125" s="14"/>
      <c r="AQ125" s="14"/>
      <c r="AR125" s="14"/>
      <c r="AT125" s="14"/>
      <c r="AU125" s="14"/>
      <c r="AV125" s="14"/>
      <c r="AW125" s="14"/>
      <c r="AX125" s="14"/>
      <c r="AY125" s="14"/>
      <c r="AZ125" s="14"/>
      <c r="BA125" s="14"/>
      <c r="BB125" s="14"/>
      <c r="BC125" s="14"/>
      <c r="BD125" s="14"/>
      <c r="BE125" s="14"/>
      <c r="BF125" s="14"/>
      <c r="BG125" s="14"/>
      <c r="BH125" s="14"/>
      <c r="BI125" s="14"/>
      <c r="BJ125" s="14"/>
      <c r="BK125" s="14"/>
      <c r="BL125" s="14"/>
      <c r="BM125" s="14"/>
      <c r="BN125" s="14"/>
      <c r="BO125" s="14"/>
      <c r="BP125" s="14"/>
      <c r="BQ125" s="14"/>
      <c r="BR125" s="14"/>
      <c r="BS125" s="14"/>
      <c r="BT125" s="14"/>
      <c r="BU125" s="14"/>
      <c r="CE125" s="14"/>
      <c r="CF125" s="14"/>
      <c r="CG125" s="14"/>
      <c r="CH125" s="14"/>
      <c r="CI125" s="14"/>
      <c r="CJ125" s="14"/>
      <c r="CK125" s="14"/>
      <c r="CL125" s="14"/>
      <c r="CO125" s="14"/>
      <c r="CP125" s="14"/>
      <c r="CQ125" s="14"/>
      <c r="CR125" s="14"/>
      <c r="CS125" s="14"/>
      <c r="EK125" s="14"/>
      <c r="EL125" s="14"/>
      <c r="EM125" s="14"/>
      <c r="EN125" s="14"/>
      <c r="EO125" s="14"/>
      <c r="EP125" s="14"/>
      <c r="EQ125" s="14"/>
      <c r="ER125" s="14"/>
      <c r="ES125" s="14"/>
      <c r="ET125" s="14"/>
      <c r="EU125" s="14"/>
      <c r="EV125" s="14"/>
      <c r="EW125" s="14"/>
      <c r="EX125" s="14"/>
      <c r="EY125" s="14"/>
      <c r="EZ125" s="14"/>
      <c r="FA125" s="14"/>
      <c r="FB125" s="14"/>
      <c r="FC125" s="14"/>
      <c r="FD125" s="14"/>
      <c r="GW125" s="14"/>
      <c r="GX125" s="14"/>
      <c r="GY125" s="14"/>
      <c r="GZ125" s="14"/>
      <c r="HA125" s="14"/>
      <c r="HB125" s="14"/>
      <c r="HC125" s="14"/>
      <c r="HD125" s="14"/>
      <c r="HE125" s="14"/>
      <c r="HF125" s="14"/>
      <c r="HG125" s="14"/>
      <c r="HH125" s="14"/>
      <c r="HI125" s="14"/>
      <c r="HJ125" s="14"/>
      <c r="HK125" s="14"/>
      <c r="HL125" s="14"/>
      <c r="HM125" s="14"/>
      <c r="HN125" s="14"/>
      <c r="HO125" s="14"/>
      <c r="HP125" s="14"/>
      <c r="HQ125" s="14"/>
      <c r="HR125" s="14"/>
      <c r="HS125" s="14"/>
      <c r="HT125" s="14"/>
      <c r="HU125" s="14"/>
      <c r="HX125" s="14"/>
      <c r="HY125" s="14"/>
      <c r="HZ125" s="14"/>
      <c r="IA125" s="14"/>
      <c r="IS125" s="14"/>
      <c r="IT125" s="14"/>
      <c r="IU125" s="14"/>
      <c r="JH125" s="14"/>
      <c r="JI125" s="14"/>
      <c r="JW125" s="14"/>
      <c r="JX125" s="14"/>
      <c r="LQ125" s="14"/>
      <c r="LR125" s="14"/>
      <c r="LS125" s="14"/>
      <c r="LT125" s="14"/>
      <c r="LU125" s="14"/>
      <c r="LV125" s="14"/>
      <c r="LW125" s="14"/>
      <c r="LY125" s="14"/>
      <c r="LZ125" s="14"/>
      <c r="MA125" s="14"/>
      <c r="MB125" s="14"/>
      <c r="MC125" s="14"/>
      <c r="MD125" s="14"/>
      <c r="ME125" s="14"/>
      <c r="MF125" s="14"/>
      <c r="MG125" s="14"/>
      <c r="MH125" s="14"/>
      <c r="MI125" s="14"/>
      <c r="MJ125" s="14"/>
      <c r="MK125" s="14"/>
      <c r="ML125" s="14"/>
      <c r="MM125" s="14"/>
      <c r="MN125" s="14"/>
      <c r="NR125" s="14">
        <v>128</v>
      </c>
      <c r="NS125" s="14">
        <f t="shared" ref="NS125:PL125" si="1330" xml:space="preserve"> IF( NOT(EXACT(NS28,"LVC_UNLOAD_E")), 1, 0)</f>
        <v>1</v>
      </c>
      <c r="NT125" s="14">
        <f t="shared" si="1330"/>
        <v>0</v>
      </c>
      <c r="NU125" s="14">
        <f t="shared" si="1330"/>
        <v>0</v>
      </c>
      <c r="NV125" s="14">
        <f t="shared" si="1330"/>
        <v>0</v>
      </c>
      <c r="NW125" s="14">
        <f t="shared" si="1330"/>
        <v>0</v>
      </c>
      <c r="NX125" s="14">
        <f t="shared" si="1330"/>
        <v>0</v>
      </c>
      <c r="NY125" s="14">
        <f t="shared" si="1330"/>
        <v>0</v>
      </c>
      <c r="NZ125" s="14">
        <f t="shared" si="1330"/>
        <v>0</v>
      </c>
      <c r="OA125" s="14">
        <f t="shared" si="1330"/>
        <v>0</v>
      </c>
      <c r="OB125" s="14">
        <f t="shared" si="1330"/>
        <v>0</v>
      </c>
      <c r="OC125" s="14">
        <f t="shared" si="1330"/>
        <v>0</v>
      </c>
      <c r="OD125" s="14">
        <f t="shared" si="1330"/>
        <v>1</v>
      </c>
      <c r="OE125" s="14">
        <f t="shared" si="1330"/>
        <v>1</v>
      </c>
      <c r="OF125" s="14">
        <f t="shared" si="1330"/>
        <v>1</v>
      </c>
      <c r="OG125" s="14">
        <f t="shared" si="1330"/>
        <v>1</v>
      </c>
      <c r="OH125" s="14">
        <f t="shared" si="1330"/>
        <v>1</v>
      </c>
      <c r="OI125" s="14">
        <f t="shared" si="1330"/>
        <v>1</v>
      </c>
      <c r="OJ125" s="14">
        <f t="shared" si="1330"/>
        <v>1</v>
      </c>
      <c r="OK125" s="14">
        <f t="shared" si="1330"/>
        <v>1</v>
      </c>
      <c r="OL125" s="14">
        <f t="shared" si="1330"/>
        <v>1</v>
      </c>
      <c r="OM125" s="14">
        <f t="shared" si="1330"/>
        <v>1</v>
      </c>
      <c r="ON125" s="14">
        <f t="shared" si="1330"/>
        <v>1</v>
      </c>
      <c r="OO125" s="14">
        <f t="shared" si="1330"/>
        <v>1</v>
      </c>
      <c r="OP125" s="14">
        <f t="shared" si="1330"/>
        <v>1</v>
      </c>
      <c r="OQ125" s="14">
        <f t="shared" si="1330"/>
        <v>1</v>
      </c>
      <c r="OR125" s="14">
        <f t="shared" si="1330"/>
        <v>1</v>
      </c>
      <c r="OS125" s="14">
        <f t="shared" si="1330"/>
        <v>1</v>
      </c>
      <c r="OT125" s="14">
        <f t="shared" si="1330"/>
        <v>1</v>
      </c>
      <c r="OU125" s="14">
        <f t="shared" si="1330"/>
        <v>1</v>
      </c>
      <c r="OV125" s="14">
        <f t="shared" si="1330"/>
        <v>1</v>
      </c>
      <c r="OW125" s="14">
        <f t="shared" si="1330"/>
        <v>1</v>
      </c>
      <c r="OX125" s="14">
        <f t="shared" si="1330"/>
        <v>1</v>
      </c>
      <c r="OY125" s="14">
        <f t="shared" si="1330"/>
        <v>1</v>
      </c>
      <c r="OZ125" s="14">
        <f t="shared" si="1330"/>
        <v>1</v>
      </c>
      <c r="PA125" s="14">
        <f t="shared" si="1330"/>
        <v>1</v>
      </c>
      <c r="PB125" s="14">
        <f t="shared" si="1330"/>
        <v>1</v>
      </c>
      <c r="PC125" s="14">
        <f t="shared" si="1330"/>
        <v>1</v>
      </c>
      <c r="PD125" s="14">
        <f t="shared" si="1330"/>
        <v>1</v>
      </c>
      <c r="PE125" s="14">
        <f t="shared" si="1330"/>
        <v>1</v>
      </c>
      <c r="PF125" s="14">
        <f t="shared" si="1330"/>
        <v>1</v>
      </c>
      <c r="PG125" s="14">
        <f t="shared" si="1330"/>
        <v>1</v>
      </c>
      <c r="PH125" s="14">
        <f t="shared" si="1330"/>
        <v>1</v>
      </c>
      <c r="PI125" s="14">
        <f t="shared" si="1330"/>
        <v>1</v>
      </c>
      <c r="PJ125" s="14">
        <f t="shared" si="1330"/>
        <v>1</v>
      </c>
      <c r="PK125" s="14">
        <f t="shared" si="1330"/>
        <v>1</v>
      </c>
      <c r="PL125" s="14">
        <f t="shared" si="1330"/>
        <v>1</v>
      </c>
      <c r="PM125" s="14">
        <f xml:space="preserve"> IF( NOT(EXACT(PR28,"LVC_UNLOAD_E")), 1, 0)</f>
        <v>0</v>
      </c>
      <c r="PN125" s="14">
        <f t="shared" ref="PN125:QS125" si="1331" xml:space="preserve"> IF( NOT(EXACT(PN28,"LVC_UNLOAD_E")), 1, 0)</f>
        <v>1</v>
      </c>
      <c r="PO125" s="14">
        <f t="shared" si="1331"/>
        <v>1</v>
      </c>
      <c r="PP125" s="14">
        <f t="shared" si="1331"/>
        <v>0</v>
      </c>
      <c r="PQ125" s="14">
        <f t="shared" si="1331"/>
        <v>0</v>
      </c>
      <c r="PR125" s="14">
        <f t="shared" si="1331"/>
        <v>0</v>
      </c>
      <c r="PS125" s="14">
        <f t="shared" si="1331"/>
        <v>0</v>
      </c>
      <c r="PT125" s="14">
        <f t="shared" si="1331"/>
        <v>0</v>
      </c>
      <c r="PU125" s="14">
        <f t="shared" si="1331"/>
        <v>0</v>
      </c>
      <c r="PV125" s="14">
        <f t="shared" si="1331"/>
        <v>0</v>
      </c>
      <c r="PW125" s="14">
        <f t="shared" si="1331"/>
        <v>1</v>
      </c>
      <c r="PX125" s="14">
        <f t="shared" si="1331"/>
        <v>1</v>
      </c>
      <c r="PY125" s="14">
        <f t="shared" si="1331"/>
        <v>1</v>
      </c>
      <c r="PZ125" s="14">
        <f t="shared" si="1331"/>
        <v>1</v>
      </c>
      <c r="QA125" s="14">
        <f t="shared" si="1331"/>
        <v>0</v>
      </c>
      <c r="QB125" s="14">
        <f t="shared" si="1331"/>
        <v>1</v>
      </c>
      <c r="QC125" s="14">
        <f t="shared" si="1331"/>
        <v>1</v>
      </c>
      <c r="QD125" s="14">
        <f t="shared" si="1331"/>
        <v>1</v>
      </c>
      <c r="QE125" s="14">
        <f t="shared" si="1331"/>
        <v>1</v>
      </c>
      <c r="QF125" s="14">
        <f t="shared" si="1331"/>
        <v>1</v>
      </c>
      <c r="QG125" s="14">
        <f t="shared" si="1331"/>
        <v>1</v>
      </c>
      <c r="QH125" s="14">
        <f t="shared" si="1331"/>
        <v>1</v>
      </c>
      <c r="QI125" s="14">
        <f t="shared" si="1331"/>
        <v>1</v>
      </c>
      <c r="QJ125" s="14">
        <f t="shared" si="1331"/>
        <v>1</v>
      </c>
      <c r="QK125" s="14">
        <f t="shared" si="1331"/>
        <v>1</v>
      </c>
      <c r="QL125" s="14">
        <f t="shared" si="1331"/>
        <v>1</v>
      </c>
      <c r="QM125" s="14">
        <f t="shared" si="1331"/>
        <v>1</v>
      </c>
      <c r="QN125" s="14">
        <f t="shared" si="1331"/>
        <v>1</v>
      </c>
      <c r="QO125" s="14">
        <f t="shared" si="1331"/>
        <v>0</v>
      </c>
      <c r="QP125" s="14">
        <f t="shared" si="1331"/>
        <v>1</v>
      </c>
      <c r="QQ125" s="14">
        <f t="shared" si="1331"/>
        <v>1</v>
      </c>
      <c r="QR125" s="14">
        <f t="shared" si="1331"/>
        <v>1</v>
      </c>
      <c r="QS125" s="14">
        <f t="shared" si="1331"/>
        <v>1</v>
      </c>
      <c r="QT125" s="14">
        <f t="shared" ref="QT125:RR125" si="1332" xml:space="preserve"> IF( NOT(EXACT(QT28,"LVC_UNLOAD_E")), 1, 0)</f>
        <v>0</v>
      </c>
      <c r="QU125" s="14">
        <f t="shared" si="1332"/>
        <v>1</v>
      </c>
      <c r="QV125" s="14">
        <f t="shared" si="1332"/>
        <v>1</v>
      </c>
      <c r="QW125" s="14">
        <f t="shared" si="1332"/>
        <v>1</v>
      </c>
      <c r="QX125" s="14">
        <f t="shared" si="1332"/>
        <v>1</v>
      </c>
      <c r="QY125" s="14">
        <f t="shared" si="1332"/>
        <v>1</v>
      </c>
      <c r="QZ125" s="14">
        <f t="shared" si="1332"/>
        <v>1</v>
      </c>
      <c r="RA125" s="14">
        <f t="shared" si="1332"/>
        <v>1</v>
      </c>
      <c r="RB125" s="14">
        <f t="shared" si="1332"/>
        <v>1</v>
      </c>
      <c r="RC125" s="14">
        <f t="shared" si="1332"/>
        <v>1</v>
      </c>
      <c r="RD125" s="14">
        <f t="shared" si="1332"/>
        <v>1</v>
      </c>
      <c r="RE125" s="14">
        <f t="shared" si="1332"/>
        <v>1</v>
      </c>
      <c r="RF125" s="14">
        <f t="shared" si="1332"/>
        <v>1</v>
      </c>
      <c r="RG125" s="14">
        <f t="shared" si="1332"/>
        <v>1</v>
      </c>
      <c r="RH125" s="14">
        <f t="shared" si="1332"/>
        <v>1</v>
      </c>
      <c r="RI125" s="14">
        <f t="shared" si="1332"/>
        <v>1</v>
      </c>
      <c r="RJ125" s="14">
        <f t="shared" si="1332"/>
        <v>1</v>
      </c>
      <c r="RK125" s="14">
        <f t="shared" si="1332"/>
        <v>1</v>
      </c>
      <c r="RL125" s="14">
        <f t="shared" si="1332"/>
        <v>1</v>
      </c>
      <c r="RM125" s="14">
        <f t="shared" si="1332"/>
        <v>1</v>
      </c>
      <c r="RN125" s="14">
        <f t="shared" si="1332"/>
        <v>1</v>
      </c>
      <c r="RO125" s="14">
        <f t="shared" si="1332"/>
        <v>1</v>
      </c>
      <c r="RP125" s="14">
        <f t="shared" si="1332"/>
        <v>1</v>
      </c>
      <c r="RQ125" s="14">
        <f t="shared" si="1332"/>
        <v>1</v>
      </c>
      <c r="RR125" s="14">
        <f t="shared" si="1332"/>
        <v>1</v>
      </c>
      <c r="SA125" s="14">
        <v>128</v>
      </c>
      <c r="SB125" s="14">
        <f t="shared" ref="SB125:TT125" si="1333" xml:space="preserve"> IF( NOT(EXACT(SB28,"LVC_UNLOAD_E")), 1, 0)</f>
        <v>1</v>
      </c>
      <c r="SC125" s="14">
        <f t="shared" si="1333"/>
        <v>0</v>
      </c>
      <c r="SD125" s="14">
        <f t="shared" si="1333"/>
        <v>0</v>
      </c>
      <c r="SE125" s="14">
        <f t="shared" si="1333"/>
        <v>0</v>
      </c>
      <c r="SF125" s="14">
        <f t="shared" si="1333"/>
        <v>0</v>
      </c>
      <c r="SG125" s="14">
        <f t="shared" si="1333"/>
        <v>0</v>
      </c>
      <c r="SH125" s="14">
        <f t="shared" si="1333"/>
        <v>0</v>
      </c>
      <c r="SI125" s="14">
        <f t="shared" si="1333"/>
        <v>0</v>
      </c>
      <c r="SJ125" s="14">
        <f t="shared" si="1333"/>
        <v>0</v>
      </c>
      <c r="SK125" s="14">
        <f t="shared" si="1333"/>
        <v>0</v>
      </c>
      <c r="SL125" s="14">
        <f t="shared" si="1333"/>
        <v>0</v>
      </c>
      <c r="SM125" s="14">
        <f t="shared" si="1333"/>
        <v>1</v>
      </c>
      <c r="SN125" s="14">
        <f t="shared" si="1333"/>
        <v>1</v>
      </c>
      <c r="SO125" s="14">
        <f t="shared" si="1333"/>
        <v>1</v>
      </c>
      <c r="SP125" s="14">
        <f t="shared" si="1333"/>
        <v>1</v>
      </c>
      <c r="SQ125" s="14">
        <f t="shared" si="1333"/>
        <v>1</v>
      </c>
      <c r="SR125" s="14">
        <f t="shared" si="1333"/>
        <v>1</v>
      </c>
      <c r="SS125" s="14">
        <f t="shared" si="1333"/>
        <v>1</v>
      </c>
      <c r="ST125" s="14">
        <f t="shared" si="1333"/>
        <v>1</v>
      </c>
      <c r="SU125" s="14">
        <f t="shared" si="1333"/>
        <v>1</v>
      </c>
      <c r="SV125" s="14">
        <f t="shared" si="1333"/>
        <v>1</v>
      </c>
      <c r="SW125" s="14">
        <f t="shared" si="1333"/>
        <v>1</v>
      </c>
      <c r="SX125" s="14">
        <f t="shared" si="1333"/>
        <v>1</v>
      </c>
      <c r="SY125" s="14">
        <f t="shared" si="1333"/>
        <v>1</v>
      </c>
      <c r="SZ125" s="14">
        <f t="shared" si="1333"/>
        <v>1</v>
      </c>
      <c r="TA125" s="14">
        <f t="shared" si="1333"/>
        <v>1</v>
      </c>
      <c r="TB125" s="14">
        <f t="shared" si="1333"/>
        <v>1</v>
      </c>
      <c r="TC125" s="14">
        <f t="shared" si="1333"/>
        <v>1</v>
      </c>
      <c r="TD125" s="14">
        <f t="shared" si="1333"/>
        <v>1</v>
      </c>
      <c r="TE125" s="14">
        <f t="shared" si="1333"/>
        <v>1</v>
      </c>
      <c r="TF125" s="14">
        <f t="shared" si="1333"/>
        <v>1</v>
      </c>
      <c r="TG125" s="14">
        <f t="shared" si="1333"/>
        <v>1</v>
      </c>
      <c r="TH125" s="14">
        <f t="shared" si="1333"/>
        <v>1</v>
      </c>
      <c r="TI125" s="14">
        <f t="shared" si="1333"/>
        <v>1</v>
      </c>
      <c r="TJ125" s="14">
        <f t="shared" si="1333"/>
        <v>1</v>
      </c>
      <c r="TK125" s="14">
        <f t="shared" si="1333"/>
        <v>1</v>
      </c>
      <c r="TL125" s="14">
        <f t="shared" si="1333"/>
        <v>1</v>
      </c>
      <c r="TM125" s="14">
        <f t="shared" si="1333"/>
        <v>1</v>
      </c>
      <c r="TN125" s="14">
        <f t="shared" si="1333"/>
        <v>1</v>
      </c>
      <c r="TO125" s="14">
        <f t="shared" si="1333"/>
        <v>1</v>
      </c>
      <c r="TP125" s="14">
        <f t="shared" si="1333"/>
        <v>1</v>
      </c>
      <c r="TQ125" s="14">
        <f t="shared" si="1333"/>
        <v>1</v>
      </c>
      <c r="TR125" s="14">
        <f t="shared" si="1333"/>
        <v>1</v>
      </c>
      <c r="TS125" s="14">
        <f t="shared" si="1333"/>
        <v>1</v>
      </c>
      <c r="TT125" s="14">
        <f t="shared" si="1333"/>
        <v>1</v>
      </c>
      <c r="TU125" s="14">
        <f xml:space="preserve"> IF( NOT(EXACT(TZ28,"LVC_UNLOAD_E")), 1, 0)</f>
        <v>0</v>
      </c>
      <c r="TV125" s="14">
        <f t="shared" ref="TV125:VA125" si="1334" xml:space="preserve"> IF( NOT(EXACT(TV28,"LVC_UNLOAD_E")), 1, 0)</f>
        <v>1</v>
      </c>
      <c r="TW125" s="14">
        <f t="shared" si="1334"/>
        <v>1</v>
      </c>
      <c r="TX125" s="14">
        <f t="shared" si="1334"/>
        <v>0</v>
      </c>
      <c r="TY125" s="14">
        <f t="shared" si="1334"/>
        <v>0</v>
      </c>
      <c r="TZ125" s="14">
        <f t="shared" si="1334"/>
        <v>0</v>
      </c>
      <c r="UA125" s="14">
        <f t="shared" si="1334"/>
        <v>0</v>
      </c>
      <c r="UB125" s="14">
        <f t="shared" si="1334"/>
        <v>0</v>
      </c>
      <c r="UC125" s="14">
        <f t="shared" si="1334"/>
        <v>0</v>
      </c>
      <c r="UD125" s="14">
        <f t="shared" si="1334"/>
        <v>0</v>
      </c>
      <c r="UE125" s="14">
        <f t="shared" si="1334"/>
        <v>1</v>
      </c>
      <c r="UF125" s="14">
        <f t="shared" si="1334"/>
        <v>1</v>
      </c>
      <c r="UG125" s="14">
        <f t="shared" si="1334"/>
        <v>1</v>
      </c>
      <c r="UH125" s="14">
        <f t="shared" si="1334"/>
        <v>1</v>
      </c>
      <c r="UI125" s="14">
        <f t="shared" si="1334"/>
        <v>0</v>
      </c>
      <c r="UJ125" s="14">
        <f t="shared" si="1334"/>
        <v>1</v>
      </c>
      <c r="UK125" s="14">
        <f t="shared" si="1334"/>
        <v>1</v>
      </c>
      <c r="UL125" s="14">
        <f t="shared" si="1334"/>
        <v>1</v>
      </c>
      <c r="UM125" s="14">
        <f t="shared" si="1334"/>
        <v>1</v>
      </c>
      <c r="UN125" s="14">
        <f t="shared" si="1334"/>
        <v>1</v>
      </c>
      <c r="UO125" s="14">
        <f t="shared" si="1334"/>
        <v>1</v>
      </c>
      <c r="UP125" s="14">
        <f t="shared" si="1334"/>
        <v>1</v>
      </c>
      <c r="UQ125" s="14">
        <f t="shared" si="1334"/>
        <v>1</v>
      </c>
      <c r="UR125" s="14">
        <f t="shared" si="1334"/>
        <v>1</v>
      </c>
      <c r="US125" s="14">
        <f t="shared" si="1334"/>
        <v>1</v>
      </c>
      <c r="UT125" s="14">
        <f t="shared" si="1334"/>
        <v>1</v>
      </c>
      <c r="UU125" s="14">
        <f t="shared" si="1334"/>
        <v>1</v>
      </c>
      <c r="UV125" s="14">
        <f t="shared" si="1334"/>
        <v>1</v>
      </c>
      <c r="UW125" s="14">
        <f t="shared" si="1334"/>
        <v>0</v>
      </c>
      <c r="UX125" s="14">
        <f t="shared" si="1334"/>
        <v>1</v>
      </c>
      <c r="UY125" s="14">
        <f t="shared" si="1334"/>
        <v>1</v>
      </c>
      <c r="UZ125" s="14">
        <f t="shared" si="1334"/>
        <v>1</v>
      </c>
      <c r="VA125" s="14">
        <f t="shared" si="1334"/>
        <v>1</v>
      </c>
      <c r="VB125" s="14">
        <f t="shared" ref="VB125:VZ125" si="1335" xml:space="preserve"> IF( NOT(EXACT(VB28,"LVC_UNLOAD_E")), 1, 0)</f>
        <v>0</v>
      </c>
      <c r="VC125" s="14">
        <f t="shared" si="1335"/>
        <v>1</v>
      </c>
      <c r="VD125" s="14">
        <f t="shared" si="1335"/>
        <v>1</v>
      </c>
      <c r="VE125" s="14">
        <f t="shared" si="1335"/>
        <v>1</v>
      </c>
      <c r="VF125" s="14">
        <f t="shared" si="1335"/>
        <v>1</v>
      </c>
      <c r="VG125" s="14">
        <f t="shared" si="1335"/>
        <v>1</v>
      </c>
      <c r="VH125" s="14">
        <f t="shared" si="1335"/>
        <v>1</v>
      </c>
      <c r="VI125" s="14">
        <f t="shared" si="1335"/>
        <v>1</v>
      </c>
      <c r="VJ125" s="14">
        <f t="shared" si="1335"/>
        <v>1</v>
      </c>
      <c r="VK125" s="14">
        <f t="shared" si="1335"/>
        <v>1</v>
      </c>
      <c r="VL125" s="14">
        <f t="shared" si="1335"/>
        <v>1</v>
      </c>
      <c r="VM125" s="14">
        <f t="shared" si="1335"/>
        <v>1</v>
      </c>
      <c r="VN125" s="14">
        <f t="shared" si="1335"/>
        <v>1</v>
      </c>
      <c r="VO125" s="14">
        <f t="shared" si="1335"/>
        <v>1</v>
      </c>
      <c r="VP125" s="14">
        <f t="shared" si="1335"/>
        <v>1</v>
      </c>
      <c r="VQ125" s="14">
        <f t="shared" si="1335"/>
        <v>1</v>
      </c>
      <c r="VR125" s="14">
        <f t="shared" si="1335"/>
        <v>1</v>
      </c>
      <c r="VS125" s="14">
        <f t="shared" si="1335"/>
        <v>1</v>
      </c>
      <c r="VT125" s="14">
        <f t="shared" si="1335"/>
        <v>1</v>
      </c>
      <c r="VU125" s="14">
        <f t="shared" si="1335"/>
        <v>1</v>
      </c>
      <c r="VV125" s="14">
        <f t="shared" si="1335"/>
        <v>1</v>
      </c>
      <c r="VW125" s="14">
        <f t="shared" si="1335"/>
        <v>1</v>
      </c>
      <c r="VX125" s="14">
        <f t="shared" si="1335"/>
        <v>1</v>
      </c>
      <c r="VY125" s="14">
        <f t="shared" si="1335"/>
        <v>1</v>
      </c>
      <c r="VZ125" s="14">
        <f t="shared" si="1335"/>
        <v>1</v>
      </c>
      <c r="WD125" s="14">
        <f t="shared" ref="WD125:XI125" si="1336" xml:space="preserve"> IF( NOT(EXACT(WD28,"LVC_UNLOAD_E")), 1, 0)</f>
        <v>1</v>
      </c>
      <c r="WE125" s="14">
        <f t="shared" si="1336"/>
        <v>0</v>
      </c>
      <c r="WF125" s="14">
        <f t="shared" si="1336"/>
        <v>0</v>
      </c>
      <c r="WG125" s="14">
        <f t="shared" si="1336"/>
        <v>0</v>
      </c>
      <c r="WH125" s="14">
        <f t="shared" si="1336"/>
        <v>0</v>
      </c>
      <c r="WI125" s="14">
        <f t="shared" si="1336"/>
        <v>0</v>
      </c>
      <c r="WJ125" s="14">
        <f t="shared" si="1336"/>
        <v>0</v>
      </c>
      <c r="WK125" s="14">
        <f t="shared" si="1336"/>
        <v>0</v>
      </c>
      <c r="WL125" s="14">
        <f t="shared" si="1336"/>
        <v>0</v>
      </c>
      <c r="WM125" s="14">
        <f t="shared" si="1336"/>
        <v>0</v>
      </c>
      <c r="WN125" s="14">
        <f t="shared" si="1336"/>
        <v>0</v>
      </c>
      <c r="WO125" s="14">
        <f t="shared" si="1336"/>
        <v>1</v>
      </c>
      <c r="WP125" s="14">
        <f t="shared" si="1336"/>
        <v>0</v>
      </c>
      <c r="WQ125" s="14">
        <f t="shared" si="1336"/>
        <v>1</v>
      </c>
      <c r="WR125" s="14">
        <f t="shared" si="1336"/>
        <v>0</v>
      </c>
      <c r="WS125" s="14">
        <f t="shared" si="1336"/>
        <v>1</v>
      </c>
      <c r="WT125" s="14">
        <f t="shared" si="1336"/>
        <v>0</v>
      </c>
      <c r="WU125" s="14">
        <f t="shared" si="1336"/>
        <v>0</v>
      </c>
      <c r="WV125" s="14">
        <f t="shared" si="1336"/>
        <v>0</v>
      </c>
      <c r="WW125" s="14">
        <f t="shared" si="1336"/>
        <v>0</v>
      </c>
      <c r="WX125" s="14">
        <f t="shared" si="1336"/>
        <v>0</v>
      </c>
      <c r="WY125" s="14">
        <f t="shared" si="1336"/>
        <v>0</v>
      </c>
      <c r="WZ125" s="14">
        <f t="shared" si="1336"/>
        <v>0</v>
      </c>
      <c r="XA125" s="14">
        <f t="shared" si="1336"/>
        <v>1</v>
      </c>
      <c r="XB125" s="14">
        <f t="shared" si="1336"/>
        <v>0</v>
      </c>
      <c r="XC125" s="14">
        <f t="shared" si="1336"/>
        <v>1</v>
      </c>
      <c r="XD125" s="14">
        <f t="shared" si="1336"/>
        <v>0</v>
      </c>
      <c r="XE125" s="14">
        <f t="shared" si="1336"/>
        <v>1</v>
      </c>
      <c r="XF125" s="14">
        <f t="shared" si="1336"/>
        <v>0</v>
      </c>
      <c r="XG125" s="14">
        <f t="shared" si="1336"/>
        <v>1</v>
      </c>
      <c r="XH125" s="14">
        <f t="shared" si="1336"/>
        <v>1</v>
      </c>
      <c r="XI125" s="14">
        <f t="shared" si="1336"/>
        <v>1</v>
      </c>
      <c r="XJ125" s="14">
        <f t="shared" ref="XJ125:YO125" si="1337" xml:space="preserve"> IF( NOT(EXACT(XJ28,"LVC_UNLOAD_E")), 1, 0)</f>
        <v>1</v>
      </c>
      <c r="XK125" s="14">
        <f t="shared" si="1337"/>
        <v>1</v>
      </c>
      <c r="XL125" s="14">
        <f t="shared" si="1337"/>
        <v>1</v>
      </c>
      <c r="XM125" s="14">
        <f t="shared" si="1337"/>
        <v>1</v>
      </c>
      <c r="XN125" s="14">
        <f t="shared" si="1337"/>
        <v>1</v>
      </c>
      <c r="XO125" s="14">
        <f t="shared" si="1337"/>
        <v>1</v>
      </c>
      <c r="XP125" s="14">
        <f t="shared" si="1337"/>
        <v>1</v>
      </c>
      <c r="XQ125" s="14">
        <f t="shared" si="1337"/>
        <v>1</v>
      </c>
      <c r="XR125" s="14">
        <f t="shared" si="1337"/>
        <v>1</v>
      </c>
      <c r="XS125" s="14">
        <f t="shared" si="1337"/>
        <v>1</v>
      </c>
      <c r="XT125" s="14">
        <f t="shared" si="1337"/>
        <v>1</v>
      </c>
      <c r="XU125" s="14">
        <f t="shared" si="1337"/>
        <v>1</v>
      </c>
      <c r="XV125" s="14">
        <f t="shared" si="1337"/>
        <v>1</v>
      </c>
      <c r="XW125" s="14">
        <f t="shared" si="1337"/>
        <v>1</v>
      </c>
      <c r="XX125" s="14">
        <f t="shared" si="1337"/>
        <v>1</v>
      </c>
      <c r="XY125" s="14">
        <f t="shared" si="1337"/>
        <v>1</v>
      </c>
      <c r="XZ125" s="14">
        <f t="shared" si="1337"/>
        <v>1</v>
      </c>
      <c r="YA125" s="14">
        <f t="shared" si="1337"/>
        <v>1</v>
      </c>
      <c r="YB125" s="14">
        <f t="shared" si="1337"/>
        <v>1</v>
      </c>
      <c r="YC125" s="14">
        <f t="shared" si="1337"/>
        <v>1</v>
      </c>
      <c r="YD125" s="14">
        <f t="shared" si="1337"/>
        <v>1</v>
      </c>
      <c r="YE125" s="14">
        <f t="shared" si="1337"/>
        <v>1</v>
      </c>
      <c r="YF125" s="14">
        <f t="shared" si="1337"/>
        <v>1</v>
      </c>
      <c r="YG125" s="14">
        <f t="shared" si="1337"/>
        <v>1</v>
      </c>
      <c r="YH125" s="14">
        <f t="shared" si="1337"/>
        <v>1</v>
      </c>
      <c r="YI125" s="14">
        <f t="shared" si="1337"/>
        <v>1</v>
      </c>
      <c r="YJ125" s="14">
        <f t="shared" si="1337"/>
        <v>1</v>
      </c>
      <c r="YK125" s="14">
        <f t="shared" si="1337"/>
        <v>1</v>
      </c>
      <c r="YL125" s="14">
        <f t="shared" si="1337"/>
        <v>1</v>
      </c>
      <c r="YM125" s="14">
        <f t="shared" si="1337"/>
        <v>1</v>
      </c>
      <c r="YN125" s="14">
        <f t="shared" si="1337"/>
        <v>1</v>
      </c>
      <c r="YO125" s="14">
        <f t="shared" si="1337"/>
        <v>1</v>
      </c>
      <c r="YP125" s="14">
        <f t="shared" ref="YP125:ZJ125" si="1338" xml:space="preserve"> IF( NOT(EXACT(YP28,"LVC_UNLOAD_E")), 1, 0)</f>
        <v>1</v>
      </c>
      <c r="YQ125" s="14">
        <f t="shared" si="1338"/>
        <v>1</v>
      </c>
      <c r="YR125" s="14">
        <f t="shared" si="1338"/>
        <v>1</v>
      </c>
      <c r="YS125" s="14">
        <f t="shared" si="1338"/>
        <v>1</v>
      </c>
      <c r="YT125" s="14">
        <f t="shared" si="1338"/>
        <v>1</v>
      </c>
      <c r="YU125" s="14">
        <f t="shared" si="1338"/>
        <v>1</v>
      </c>
      <c r="YV125" s="14">
        <f t="shared" si="1338"/>
        <v>1</v>
      </c>
      <c r="YW125" s="14">
        <f t="shared" si="1338"/>
        <v>1</v>
      </c>
      <c r="YX125" s="14">
        <f t="shared" si="1338"/>
        <v>1</v>
      </c>
      <c r="YY125" s="14">
        <f t="shared" si="1338"/>
        <v>1</v>
      </c>
      <c r="YZ125" s="14">
        <f t="shared" si="1338"/>
        <v>1</v>
      </c>
      <c r="ZA125" s="14">
        <f t="shared" si="1338"/>
        <v>1</v>
      </c>
      <c r="ZB125" s="14">
        <f t="shared" si="1338"/>
        <v>1</v>
      </c>
      <c r="ZC125" s="14">
        <f t="shared" si="1338"/>
        <v>1</v>
      </c>
      <c r="ZD125" s="14">
        <f t="shared" si="1338"/>
        <v>1</v>
      </c>
      <c r="ZE125" s="14">
        <f t="shared" si="1338"/>
        <v>1</v>
      </c>
      <c r="ZF125" s="14">
        <f t="shared" si="1338"/>
        <v>1</v>
      </c>
      <c r="ZG125" s="14">
        <f t="shared" si="1338"/>
        <v>1</v>
      </c>
      <c r="ZH125" s="14">
        <f t="shared" si="1338"/>
        <v>1</v>
      </c>
      <c r="ZI125" s="14">
        <f t="shared" si="1338"/>
        <v>1</v>
      </c>
      <c r="ZJ125" s="14">
        <f t="shared" si="1338"/>
        <v>1</v>
      </c>
      <c r="ADD125" s="14">
        <f xml:space="preserve"> IF( NOT(EXACT(ADD28,"LVC_UNLOAD_E")), 1, 0)</f>
        <v>1</v>
      </c>
      <c r="AFN125" s="14">
        <f xml:space="preserve"> IF( NOT(EXACT(AFN28,"LVC_UNLOAD_E")), 1, 0)</f>
        <v>1</v>
      </c>
      <c r="AJG125" s="14"/>
      <c r="AJO125" s="14"/>
      <c r="AJY125" s="14"/>
      <c r="AKQ125" s="14">
        <v>128</v>
      </c>
    </row>
    <row r="126" spans="1:979" ht="15" customHeight="1" x14ac:dyDescent="0.25">
      <c r="A126" s="14"/>
      <c r="B126" s="14"/>
      <c r="C126" s="14"/>
      <c r="D126" s="14"/>
      <c r="E126" s="14"/>
      <c r="F126" s="14"/>
      <c r="G126" s="14"/>
      <c r="H126" s="14"/>
      <c r="I126" s="14"/>
      <c r="J126" s="14"/>
      <c r="K126" s="14"/>
      <c r="L126" s="14"/>
      <c r="M126" s="14"/>
      <c r="N126" s="14"/>
      <c r="O126" s="14"/>
      <c r="P126" s="14"/>
      <c r="Q126" s="14"/>
      <c r="R126" s="14"/>
      <c r="S126" s="14"/>
      <c r="T126" s="14"/>
      <c r="U126" s="14"/>
      <c r="V126" s="14"/>
      <c r="W126" s="14"/>
      <c r="X126" s="14"/>
      <c r="Y126" s="14"/>
      <c r="Z126" s="14"/>
      <c r="AA126" s="14"/>
      <c r="AB126" s="14"/>
      <c r="AC126" s="14"/>
      <c r="AD126" s="14"/>
      <c r="AE126" s="14"/>
      <c r="AF126" s="14"/>
      <c r="AG126" s="14"/>
      <c r="AH126" s="14"/>
      <c r="AI126" s="14"/>
      <c r="AJ126" s="14"/>
      <c r="AK126" s="14"/>
      <c r="AL126" s="14"/>
      <c r="AM126" s="14"/>
      <c r="AN126" s="14"/>
      <c r="AO126" s="14"/>
      <c r="AP126" s="14"/>
      <c r="AQ126" s="14"/>
      <c r="AR126" s="14"/>
      <c r="AT126" s="14"/>
      <c r="AU126" s="14"/>
      <c r="AV126" s="14"/>
      <c r="AW126" s="14"/>
      <c r="AX126" s="14"/>
      <c r="AY126" s="14"/>
      <c r="AZ126" s="14"/>
      <c r="BA126" s="14"/>
      <c r="BB126" s="14"/>
      <c r="BC126" s="14"/>
      <c r="BD126" s="14"/>
      <c r="BE126" s="14"/>
      <c r="BF126" s="14"/>
      <c r="BG126" s="14"/>
      <c r="BH126" s="14"/>
      <c r="BI126" s="14"/>
      <c r="BJ126" s="14"/>
      <c r="BK126" s="14"/>
      <c r="BL126" s="14"/>
      <c r="BM126" s="14"/>
      <c r="BN126" s="14"/>
      <c r="BO126" s="14"/>
      <c r="BP126" s="14"/>
      <c r="BQ126" s="14"/>
      <c r="BR126" s="14"/>
      <c r="BS126" s="14"/>
      <c r="BT126" s="14"/>
      <c r="BU126" s="14"/>
      <c r="CE126" s="14"/>
      <c r="CF126" s="14"/>
      <c r="CG126" s="14"/>
      <c r="CH126" s="14"/>
      <c r="CI126" s="14"/>
      <c r="CJ126" s="14"/>
      <c r="CK126" s="14"/>
      <c r="CL126" s="14"/>
      <c r="CO126" s="14"/>
      <c r="CP126" s="14"/>
      <c r="CQ126" s="14"/>
      <c r="CR126" s="14"/>
      <c r="CS126" s="14"/>
      <c r="EK126" s="14"/>
      <c r="EL126" s="14"/>
      <c r="EM126" s="14"/>
      <c r="EN126" s="14"/>
      <c r="EO126" s="14"/>
      <c r="EP126" s="14"/>
      <c r="EQ126" s="14"/>
      <c r="ER126" s="14"/>
      <c r="ES126" s="14"/>
      <c r="ET126" s="14"/>
      <c r="EU126" s="14"/>
      <c r="EV126" s="14"/>
      <c r="EW126" s="14"/>
      <c r="EX126" s="14"/>
      <c r="EY126" s="14"/>
      <c r="EZ126" s="14"/>
      <c r="FA126" s="14"/>
      <c r="FB126" s="14"/>
      <c r="FC126" s="14"/>
      <c r="FD126" s="14"/>
      <c r="GW126" s="14"/>
      <c r="GX126" s="14"/>
      <c r="GY126" s="14"/>
      <c r="GZ126" s="14"/>
      <c r="HA126" s="14"/>
      <c r="HB126" s="14"/>
      <c r="HC126" s="14"/>
      <c r="HD126" s="14"/>
      <c r="HE126" s="14"/>
      <c r="HF126" s="14"/>
      <c r="HG126" s="14"/>
      <c r="HH126" s="14"/>
      <c r="HI126" s="14"/>
      <c r="HJ126" s="14"/>
      <c r="HK126" s="14"/>
      <c r="HL126" s="14"/>
      <c r="HM126" s="14"/>
      <c r="HN126" s="14"/>
      <c r="HO126" s="14"/>
      <c r="HP126" s="14"/>
      <c r="HQ126" s="14"/>
      <c r="HR126" s="14"/>
      <c r="HS126" s="14"/>
      <c r="HT126" s="14"/>
      <c r="HU126" s="14"/>
      <c r="HX126" s="14"/>
      <c r="HY126" s="14"/>
      <c r="HZ126" s="14"/>
      <c r="IA126" s="14"/>
      <c r="IS126" s="14"/>
      <c r="IT126" s="14"/>
      <c r="IU126" s="14"/>
      <c r="JH126" s="14"/>
      <c r="JI126" s="14"/>
      <c r="JW126" s="14"/>
      <c r="JX126" s="14"/>
      <c r="LQ126" s="14"/>
      <c r="LR126" s="14"/>
      <c r="LS126" s="14"/>
      <c r="LT126" s="14"/>
      <c r="LU126" s="14"/>
      <c r="LV126" s="14"/>
      <c r="LW126" s="14"/>
      <c r="LY126" s="14"/>
      <c r="LZ126" s="14"/>
      <c r="MA126" s="14"/>
      <c r="MB126" s="14"/>
      <c r="MC126" s="14"/>
      <c r="MD126" s="14"/>
      <c r="ME126" s="14"/>
      <c r="MF126" s="14"/>
      <c r="MG126" s="14"/>
      <c r="MH126" s="14"/>
      <c r="MI126" s="14"/>
      <c r="MJ126" s="14"/>
      <c r="MK126" s="14"/>
      <c r="ML126" s="14"/>
      <c r="MM126" s="14"/>
      <c r="MN126" s="14"/>
      <c r="NR126" s="14">
        <v>256</v>
      </c>
      <c r="NS126" s="14">
        <v>0</v>
      </c>
      <c r="NT126" s="14">
        <v>0</v>
      </c>
      <c r="NU126" s="14">
        <v>0</v>
      </c>
      <c r="NV126" s="14">
        <v>0</v>
      </c>
      <c r="NW126" s="14">
        <v>0</v>
      </c>
      <c r="NX126" s="14">
        <v>0</v>
      </c>
      <c r="NY126" s="14">
        <v>0</v>
      </c>
      <c r="NZ126" s="14">
        <v>0</v>
      </c>
      <c r="OA126" s="14">
        <v>0</v>
      </c>
      <c r="OB126" s="14">
        <v>0</v>
      </c>
      <c r="OC126" s="14">
        <v>0</v>
      </c>
      <c r="OD126" s="14">
        <v>0</v>
      </c>
      <c r="OE126" s="14">
        <v>0</v>
      </c>
      <c r="OF126" s="14">
        <v>0</v>
      </c>
      <c r="OG126" s="14">
        <v>0</v>
      </c>
      <c r="OH126" s="14">
        <v>0</v>
      </c>
      <c r="OI126" s="14">
        <v>0</v>
      </c>
      <c r="OJ126" s="14">
        <v>0</v>
      </c>
      <c r="OK126" s="14">
        <v>0</v>
      </c>
      <c r="OL126" s="14">
        <v>0</v>
      </c>
      <c r="OM126" s="14">
        <v>0</v>
      </c>
      <c r="ON126" s="14">
        <v>0</v>
      </c>
      <c r="OO126" s="14">
        <v>0</v>
      </c>
      <c r="OP126" s="14">
        <v>0</v>
      </c>
      <c r="OQ126" s="14">
        <v>0</v>
      </c>
      <c r="OR126" s="14">
        <v>0</v>
      </c>
      <c r="OS126" s="14">
        <v>0</v>
      </c>
      <c r="OT126" s="14">
        <v>0</v>
      </c>
      <c r="OU126" s="14">
        <v>0</v>
      </c>
      <c r="OV126" s="14">
        <v>0</v>
      </c>
      <c r="OW126" s="14">
        <v>0</v>
      </c>
      <c r="OX126" s="14">
        <v>0</v>
      </c>
      <c r="OY126" s="14">
        <v>0</v>
      </c>
      <c r="OZ126" s="14">
        <v>0</v>
      </c>
      <c r="PA126" s="14">
        <v>0</v>
      </c>
      <c r="PB126" s="14">
        <v>0</v>
      </c>
      <c r="PC126" s="14">
        <v>0</v>
      </c>
      <c r="PD126" s="14">
        <v>0</v>
      </c>
      <c r="PE126" s="14">
        <v>0</v>
      </c>
      <c r="PF126" s="14">
        <v>0</v>
      </c>
      <c r="PG126" s="14">
        <v>0</v>
      </c>
      <c r="PH126" s="14">
        <v>0</v>
      </c>
      <c r="PI126" s="14">
        <v>0</v>
      </c>
      <c r="PJ126" s="14">
        <v>0</v>
      </c>
      <c r="PK126" s="14">
        <v>0</v>
      </c>
      <c r="PL126" s="14">
        <v>0</v>
      </c>
      <c r="PM126" s="14">
        <v>0</v>
      </c>
      <c r="PN126" s="14">
        <v>0</v>
      </c>
      <c r="PO126" s="14">
        <v>0</v>
      </c>
      <c r="PP126" s="14">
        <v>0</v>
      </c>
      <c r="PQ126" s="14">
        <v>0</v>
      </c>
      <c r="PR126" s="14">
        <v>0</v>
      </c>
      <c r="PS126" s="14">
        <v>0</v>
      </c>
      <c r="PT126" s="14">
        <v>0</v>
      </c>
      <c r="PU126" s="14">
        <v>0</v>
      </c>
      <c r="PV126" s="14">
        <v>0</v>
      </c>
      <c r="PW126" s="14">
        <v>0</v>
      </c>
      <c r="PX126" s="14">
        <v>0</v>
      </c>
      <c r="PY126" s="14">
        <v>0</v>
      </c>
      <c r="PZ126" s="14">
        <v>0</v>
      </c>
      <c r="QA126" s="14">
        <v>0</v>
      </c>
      <c r="QB126" s="14">
        <v>0</v>
      </c>
      <c r="QC126" s="14">
        <v>0</v>
      </c>
      <c r="QD126" s="14">
        <v>0</v>
      </c>
      <c r="QE126" s="14">
        <v>0</v>
      </c>
      <c r="QF126" s="14">
        <v>0</v>
      </c>
      <c r="QG126" s="14">
        <v>0</v>
      </c>
      <c r="QH126" s="14">
        <v>0</v>
      </c>
      <c r="QI126" s="14">
        <v>0</v>
      </c>
      <c r="QJ126" s="14">
        <v>0</v>
      </c>
      <c r="QK126" s="14">
        <v>0</v>
      </c>
      <c r="QL126" s="14">
        <v>0</v>
      </c>
      <c r="QM126" s="14">
        <v>0</v>
      </c>
      <c r="QN126" s="14">
        <v>0</v>
      </c>
      <c r="QO126" s="14">
        <v>0</v>
      </c>
      <c r="QP126" s="14">
        <v>0</v>
      </c>
      <c r="QQ126" s="14">
        <v>0</v>
      </c>
      <c r="QR126" s="14">
        <v>0</v>
      </c>
      <c r="QS126" s="14">
        <v>0</v>
      </c>
      <c r="QT126" s="14">
        <v>0</v>
      </c>
      <c r="QU126" s="14">
        <v>0</v>
      </c>
      <c r="QV126" s="14">
        <v>0</v>
      </c>
      <c r="QW126" s="14">
        <v>0</v>
      </c>
      <c r="QX126" s="14">
        <v>0</v>
      </c>
      <c r="QY126" s="14">
        <v>0</v>
      </c>
      <c r="QZ126" s="14">
        <v>0</v>
      </c>
      <c r="RA126" s="14">
        <v>0</v>
      </c>
      <c r="RB126" s="14">
        <v>0</v>
      </c>
      <c r="RC126" s="14">
        <v>0</v>
      </c>
      <c r="RD126" s="14">
        <v>0</v>
      </c>
      <c r="RE126" s="14">
        <v>0</v>
      </c>
      <c r="RF126" s="14">
        <v>0</v>
      </c>
      <c r="RG126" s="14">
        <v>0</v>
      </c>
      <c r="RH126" s="14">
        <v>0</v>
      </c>
      <c r="RI126" s="14">
        <v>0</v>
      </c>
      <c r="RJ126" s="14">
        <v>0</v>
      </c>
      <c r="RK126" s="14">
        <v>0</v>
      </c>
      <c r="RL126" s="14">
        <v>0</v>
      </c>
      <c r="RM126" s="14">
        <v>0</v>
      </c>
      <c r="RN126" s="14">
        <v>0</v>
      </c>
      <c r="RO126" s="14">
        <v>0</v>
      </c>
      <c r="RP126" s="14">
        <v>0</v>
      </c>
      <c r="RQ126" s="14">
        <v>0</v>
      </c>
      <c r="RR126" s="14">
        <v>0</v>
      </c>
      <c r="SA126" s="14">
        <v>256</v>
      </c>
      <c r="SB126" s="14">
        <v>0</v>
      </c>
      <c r="SC126" s="14">
        <v>0</v>
      </c>
      <c r="SD126" s="14">
        <v>0</v>
      </c>
      <c r="SE126" s="14">
        <v>0</v>
      </c>
      <c r="SF126" s="14">
        <v>0</v>
      </c>
      <c r="SG126" s="14">
        <v>0</v>
      </c>
      <c r="SH126" s="14">
        <v>0</v>
      </c>
      <c r="SI126" s="14">
        <v>0</v>
      </c>
      <c r="SJ126" s="14">
        <v>0</v>
      </c>
      <c r="SK126" s="14">
        <v>0</v>
      </c>
      <c r="SL126" s="14">
        <v>0</v>
      </c>
      <c r="SM126" s="14">
        <v>0</v>
      </c>
      <c r="SN126" s="14">
        <v>0</v>
      </c>
      <c r="SO126" s="14">
        <v>0</v>
      </c>
      <c r="SP126" s="14">
        <v>0</v>
      </c>
      <c r="SQ126" s="14">
        <v>0</v>
      </c>
      <c r="SR126" s="14">
        <v>0</v>
      </c>
      <c r="SS126" s="14">
        <v>0</v>
      </c>
      <c r="ST126" s="14">
        <v>0</v>
      </c>
      <c r="SU126" s="14">
        <v>0</v>
      </c>
      <c r="SV126" s="14">
        <v>0</v>
      </c>
      <c r="SW126" s="14">
        <v>0</v>
      </c>
      <c r="SX126" s="14">
        <v>0</v>
      </c>
      <c r="SY126" s="14">
        <v>0</v>
      </c>
      <c r="SZ126" s="14">
        <v>0</v>
      </c>
      <c r="TA126" s="14">
        <v>0</v>
      </c>
      <c r="TB126" s="14">
        <v>0</v>
      </c>
      <c r="TC126" s="14">
        <v>0</v>
      </c>
      <c r="TD126" s="14">
        <v>0</v>
      </c>
      <c r="TE126" s="14">
        <v>0</v>
      </c>
      <c r="TF126" s="14">
        <v>0</v>
      </c>
      <c r="TG126" s="14">
        <v>0</v>
      </c>
      <c r="TH126" s="14">
        <v>0</v>
      </c>
      <c r="TI126" s="14">
        <v>0</v>
      </c>
      <c r="TJ126" s="14">
        <v>0</v>
      </c>
      <c r="TK126" s="14">
        <v>0</v>
      </c>
      <c r="TL126" s="14">
        <v>0</v>
      </c>
      <c r="TM126" s="14">
        <v>0</v>
      </c>
      <c r="TN126" s="14">
        <v>0</v>
      </c>
      <c r="TO126" s="14">
        <v>0</v>
      </c>
      <c r="TP126" s="14">
        <v>0</v>
      </c>
      <c r="TQ126" s="14">
        <v>0</v>
      </c>
      <c r="TR126" s="14">
        <v>0</v>
      </c>
      <c r="TS126" s="14">
        <v>0</v>
      </c>
      <c r="TT126" s="14">
        <v>0</v>
      </c>
      <c r="TU126" s="14">
        <v>0</v>
      </c>
      <c r="TV126" s="14">
        <v>0</v>
      </c>
      <c r="TW126" s="14">
        <v>0</v>
      </c>
      <c r="TX126" s="14">
        <v>0</v>
      </c>
      <c r="TY126" s="14">
        <v>0</v>
      </c>
      <c r="TZ126" s="14">
        <v>0</v>
      </c>
      <c r="UA126" s="14">
        <v>0</v>
      </c>
      <c r="UB126" s="14">
        <v>0</v>
      </c>
      <c r="UC126" s="14">
        <v>0</v>
      </c>
      <c r="UD126" s="14">
        <v>0</v>
      </c>
      <c r="UE126" s="14">
        <v>0</v>
      </c>
      <c r="UF126" s="14">
        <v>0</v>
      </c>
      <c r="UG126" s="14">
        <v>0</v>
      </c>
      <c r="UH126" s="14">
        <v>0</v>
      </c>
      <c r="UI126" s="14">
        <v>0</v>
      </c>
      <c r="UJ126" s="14">
        <v>0</v>
      </c>
      <c r="UK126" s="14">
        <v>0</v>
      </c>
      <c r="UL126" s="14">
        <v>0</v>
      </c>
      <c r="UM126" s="14">
        <v>0</v>
      </c>
      <c r="UN126" s="14">
        <v>0</v>
      </c>
      <c r="UO126" s="14">
        <v>0</v>
      </c>
      <c r="UP126" s="14">
        <v>0</v>
      </c>
      <c r="UQ126" s="14">
        <v>0</v>
      </c>
      <c r="UR126" s="14">
        <v>0</v>
      </c>
      <c r="US126" s="14">
        <v>0</v>
      </c>
      <c r="UT126" s="14">
        <v>0</v>
      </c>
      <c r="UU126" s="14">
        <v>0</v>
      </c>
      <c r="UV126" s="14">
        <v>0</v>
      </c>
      <c r="UW126" s="14">
        <v>0</v>
      </c>
      <c r="UX126" s="14">
        <v>0</v>
      </c>
      <c r="UY126" s="14">
        <v>0</v>
      </c>
      <c r="UZ126" s="14">
        <v>0</v>
      </c>
      <c r="VA126" s="14">
        <v>0</v>
      </c>
      <c r="VB126" s="14">
        <v>0</v>
      </c>
      <c r="VC126" s="14">
        <v>0</v>
      </c>
      <c r="VD126" s="14">
        <v>0</v>
      </c>
      <c r="VE126" s="14">
        <v>0</v>
      </c>
      <c r="VF126" s="14">
        <v>0</v>
      </c>
      <c r="VG126" s="14">
        <v>0</v>
      </c>
      <c r="VH126" s="14">
        <v>0</v>
      </c>
      <c r="VI126" s="14">
        <v>0</v>
      </c>
      <c r="VJ126" s="14">
        <v>0</v>
      </c>
      <c r="VK126" s="14">
        <v>0</v>
      </c>
      <c r="VL126" s="14">
        <v>0</v>
      </c>
      <c r="VM126" s="14">
        <v>0</v>
      </c>
      <c r="VN126" s="14">
        <v>0</v>
      </c>
      <c r="VO126" s="14">
        <v>0</v>
      </c>
      <c r="VP126" s="14">
        <v>0</v>
      </c>
      <c r="VQ126" s="14">
        <v>0</v>
      </c>
      <c r="VR126" s="14">
        <v>0</v>
      </c>
      <c r="VS126" s="14">
        <v>0</v>
      </c>
      <c r="VT126" s="14">
        <v>0</v>
      </c>
      <c r="VU126" s="14">
        <v>0</v>
      </c>
      <c r="VV126" s="14">
        <v>0</v>
      </c>
      <c r="VW126" s="14">
        <v>0</v>
      </c>
      <c r="VX126" s="14">
        <v>0</v>
      </c>
      <c r="VY126" s="14">
        <v>0</v>
      </c>
      <c r="VZ126" s="14">
        <v>0</v>
      </c>
      <c r="WD126" s="14">
        <v>0</v>
      </c>
      <c r="WE126" s="14">
        <v>0</v>
      </c>
      <c r="WF126" s="14">
        <v>0</v>
      </c>
      <c r="WG126" s="14">
        <v>0</v>
      </c>
      <c r="WH126" s="14">
        <v>0</v>
      </c>
      <c r="WI126" s="14">
        <v>0</v>
      </c>
      <c r="WJ126" s="14">
        <v>0</v>
      </c>
      <c r="WK126" s="14">
        <v>0</v>
      </c>
      <c r="WL126" s="14">
        <v>0</v>
      </c>
      <c r="WM126" s="14">
        <v>0</v>
      </c>
      <c r="WN126" s="14">
        <v>0</v>
      </c>
      <c r="WO126" s="14">
        <v>0</v>
      </c>
      <c r="WP126" s="14">
        <v>0</v>
      </c>
      <c r="WQ126" s="14">
        <v>0</v>
      </c>
      <c r="WR126" s="14">
        <v>0</v>
      </c>
      <c r="WS126" s="14">
        <v>0</v>
      </c>
      <c r="WT126" s="14">
        <v>0</v>
      </c>
      <c r="WU126" s="14">
        <v>0</v>
      </c>
      <c r="WV126" s="14">
        <v>0</v>
      </c>
      <c r="WW126" s="14">
        <v>0</v>
      </c>
      <c r="WX126" s="14">
        <v>0</v>
      </c>
      <c r="WY126" s="14">
        <v>0</v>
      </c>
      <c r="WZ126" s="14">
        <v>0</v>
      </c>
      <c r="XA126" s="14">
        <v>0</v>
      </c>
      <c r="XB126" s="14">
        <v>0</v>
      </c>
      <c r="XC126" s="14">
        <v>0</v>
      </c>
      <c r="XD126" s="14">
        <v>0</v>
      </c>
      <c r="XE126" s="14">
        <v>0</v>
      </c>
      <c r="XF126" s="14">
        <v>0</v>
      </c>
      <c r="XG126" s="14">
        <v>0</v>
      </c>
      <c r="XH126" s="14">
        <v>0</v>
      </c>
      <c r="XI126" s="14">
        <v>0</v>
      </c>
      <c r="XJ126" s="14">
        <v>0</v>
      </c>
      <c r="XK126" s="14">
        <v>0</v>
      </c>
      <c r="XL126" s="14">
        <v>0</v>
      </c>
      <c r="XM126" s="14">
        <v>0</v>
      </c>
      <c r="XN126" s="14">
        <v>0</v>
      </c>
      <c r="XO126" s="14">
        <v>0</v>
      </c>
      <c r="XP126" s="14">
        <v>0</v>
      </c>
      <c r="XQ126" s="14">
        <v>0</v>
      </c>
      <c r="XR126" s="14">
        <v>0</v>
      </c>
      <c r="XS126" s="14">
        <v>0</v>
      </c>
      <c r="XT126" s="14">
        <v>0</v>
      </c>
      <c r="XU126" s="14">
        <v>0</v>
      </c>
      <c r="XV126" s="14">
        <v>0</v>
      </c>
      <c r="XW126" s="14">
        <v>0</v>
      </c>
      <c r="XX126" s="14">
        <v>0</v>
      </c>
      <c r="XY126" s="14">
        <v>0</v>
      </c>
      <c r="XZ126" s="14">
        <v>0</v>
      </c>
      <c r="YA126" s="14">
        <v>0</v>
      </c>
      <c r="YB126" s="14">
        <v>0</v>
      </c>
      <c r="YC126" s="14">
        <v>0</v>
      </c>
      <c r="YD126" s="14">
        <v>0</v>
      </c>
      <c r="YE126" s="14">
        <v>0</v>
      </c>
      <c r="YF126" s="14">
        <v>0</v>
      </c>
      <c r="YG126" s="14">
        <v>0</v>
      </c>
      <c r="YH126" s="14">
        <v>0</v>
      </c>
      <c r="YI126" s="14">
        <v>0</v>
      </c>
      <c r="YJ126" s="14">
        <v>0</v>
      </c>
      <c r="YK126" s="14">
        <v>0</v>
      </c>
      <c r="YL126" s="14">
        <v>0</v>
      </c>
      <c r="YM126" s="14">
        <v>0</v>
      </c>
      <c r="YN126" s="14">
        <v>0</v>
      </c>
      <c r="YO126" s="14">
        <v>0</v>
      </c>
      <c r="YP126" s="14">
        <v>0</v>
      </c>
      <c r="YQ126" s="14">
        <v>0</v>
      </c>
      <c r="YR126" s="14">
        <v>0</v>
      </c>
      <c r="YS126" s="14">
        <v>0</v>
      </c>
      <c r="YT126" s="14">
        <v>0</v>
      </c>
      <c r="YU126" s="14">
        <v>0</v>
      </c>
      <c r="YV126" s="14">
        <v>0</v>
      </c>
      <c r="YW126" s="14">
        <v>0</v>
      </c>
      <c r="YX126" s="14">
        <v>0</v>
      </c>
      <c r="YY126" s="14">
        <v>0</v>
      </c>
      <c r="YZ126" s="14">
        <v>0</v>
      </c>
      <c r="ZA126" s="14">
        <v>0</v>
      </c>
      <c r="ZB126" s="14">
        <v>0</v>
      </c>
      <c r="ZC126" s="14">
        <v>0</v>
      </c>
      <c r="ZD126" s="14">
        <v>0</v>
      </c>
      <c r="ZE126" s="14">
        <v>0</v>
      </c>
      <c r="ZF126" s="14">
        <v>0</v>
      </c>
      <c r="ZG126" s="14">
        <v>0</v>
      </c>
      <c r="ZH126" s="14">
        <v>0</v>
      </c>
      <c r="ZI126" s="14">
        <v>0</v>
      </c>
      <c r="ZJ126" s="14">
        <v>0</v>
      </c>
      <c r="ADD126" s="14">
        <v>0</v>
      </c>
      <c r="AFN126" s="14">
        <v>0</v>
      </c>
      <c r="AJG126" s="14"/>
      <c r="AJO126" s="14"/>
      <c r="AJY126" s="14"/>
      <c r="AKQ126" s="14">
        <v>256</v>
      </c>
    </row>
    <row r="127" spans="1:979" ht="15" customHeight="1" x14ac:dyDescent="0.25">
      <c r="A127" s="14"/>
      <c r="B127" s="14"/>
      <c r="C127" s="14"/>
      <c r="D127" s="14"/>
      <c r="E127" s="14"/>
      <c r="F127" s="14"/>
      <c r="G127" s="14"/>
      <c r="H127" s="14"/>
      <c r="I127" s="14"/>
      <c r="J127" s="14"/>
      <c r="K127" s="14"/>
      <c r="L127" s="14"/>
      <c r="M127" s="14"/>
      <c r="N127" s="14"/>
      <c r="O127" s="14"/>
      <c r="P127" s="14"/>
      <c r="Q127" s="14"/>
      <c r="R127" s="14"/>
      <c r="S127" s="14"/>
      <c r="T127" s="14"/>
      <c r="U127" s="14"/>
      <c r="V127" s="14"/>
      <c r="W127" s="14"/>
      <c r="X127" s="14"/>
      <c r="Y127" s="14"/>
      <c r="Z127" s="14"/>
      <c r="AA127" s="14"/>
      <c r="AB127" s="14"/>
      <c r="AC127" s="14"/>
      <c r="AD127" s="14"/>
      <c r="AE127" s="14"/>
      <c r="AF127" s="14"/>
      <c r="AG127" s="14"/>
      <c r="AH127" s="14"/>
      <c r="AI127" s="14"/>
      <c r="AJ127" s="14"/>
      <c r="AK127" s="14"/>
      <c r="AL127" s="14"/>
      <c r="AM127" s="14"/>
      <c r="AN127" s="14"/>
      <c r="AO127" s="14"/>
      <c r="AP127" s="14"/>
      <c r="AQ127" s="14"/>
      <c r="AR127" s="14"/>
      <c r="AT127" s="14"/>
      <c r="AU127" s="14"/>
      <c r="AV127" s="14"/>
      <c r="AW127" s="14"/>
      <c r="AX127" s="14"/>
      <c r="AY127" s="14"/>
      <c r="AZ127" s="14"/>
      <c r="BA127" s="14"/>
      <c r="BB127" s="14"/>
      <c r="BC127" s="14"/>
      <c r="BD127" s="14"/>
      <c r="BE127" s="14"/>
      <c r="BF127" s="14"/>
      <c r="BG127" s="14"/>
      <c r="BH127" s="14"/>
      <c r="BI127" s="14"/>
      <c r="BJ127" s="14"/>
      <c r="BK127" s="14"/>
      <c r="BL127" s="14"/>
      <c r="BM127" s="14"/>
      <c r="BN127" s="14"/>
      <c r="BO127" s="14"/>
      <c r="BP127" s="14"/>
      <c r="BQ127" s="14"/>
      <c r="BR127" s="14"/>
      <c r="BS127" s="14"/>
      <c r="BT127" s="14"/>
      <c r="BU127" s="14"/>
      <c r="CE127" s="14"/>
      <c r="CF127" s="14"/>
      <c r="CG127" s="14"/>
      <c r="CH127" s="14"/>
      <c r="CI127" s="14"/>
      <c r="CJ127" s="14"/>
      <c r="CK127" s="14"/>
      <c r="CL127" s="14"/>
      <c r="CO127" s="14"/>
      <c r="CP127" s="14"/>
      <c r="CQ127" s="14"/>
      <c r="CR127" s="14"/>
      <c r="CS127" s="14"/>
      <c r="EK127" s="14"/>
      <c r="EL127" s="14"/>
      <c r="EM127" s="14"/>
      <c r="EN127" s="14"/>
      <c r="EO127" s="14"/>
      <c r="EP127" s="14"/>
      <c r="EQ127" s="14"/>
      <c r="ER127" s="14"/>
      <c r="ES127" s="14"/>
      <c r="ET127" s="14"/>
      <c r="EU127" s="14"/>
      <c r="EV127" s="14"/>
      <c r="EW127" s="14"/>
      <c r="EX127" s="14"/>
      <c r="EY127" s="14"/>
      <c r="EZ127" s="14"/>
      <c r="FA127" s="14"/>
      <c r="FB127" s="14"/>
      <c r="FC127" s="14"/>
      <c r="FD127" s="14"/>
      <c r="GW127" s="14"/>
      <c r="GX127" s="14"/>
      <c r="GY127" s="14"/>
      <c r="GZ127" s="14"/>
      <c r="HA127" s="14"/>
      <c r="HB127" s="14"/>
      <c r="HC127" s="14"/>
      <c r="HD127" s="14"/>
      <c r="HE127" s="14"/>
      <c r="HF127" s="14"/>
      <c r="HG127" s="14"/>
      <c r="HH127" s="14"/>
      <c r="HI127" s="14"/>
      <c r="HJ127" s="14"/>
      <c r="HK127" s="14"/>
      <c r="HL127" s="14"/>
      <c r="HM127" s="14"/>
      <c r="HN127" s="14"/>
      <c r="HO127" s="14"/>
      <c r="HP127" s="14"/>
      <c r="HQ127" s="14"/>
      <c r="HR127" s="14"/>
      <c r="HS127" s="14"/>
      <c r="HT127" s="14"/>
      <c r="HU127" s="14"/>
      <c r="HX127" s="14"/>
      <c r="HY127" s="14"/>
      <c r="HZ127" s="14"/>
      <c r="IA127" s="14"/>
      <c r="IS127" s="14"/>
      <c r="IT127" s="14"/>
      <c r="IU127" s="14"/>
      <c r="JH127" s="14"/>
      <c r="JI127" s="14"/>
      <c r="JW127" s="14"/>
      <c r="JX127" s="14"/>
      <c r="LQ127" s="14"/>
      <c r="LR127" s="14"/>
      <c r="LS127" s="14"/>
      <c r="LT127" s="14"/>
      <c r="LU127" s="14"/>
      <c r="LV127" s="14"/>
      <c r="LW127" s="14"/>
      <c r="LY127" s="14"/>
      <c r="LZ127" s="14"/>
      <c r="MA127" s="14"/>
      <c r="MB127" s="14"/>
      <c r="MC127" s="14"/>
      <c r="MD127" s="14"/>
      <c r="ME127" s="14"/>
      <c r="MF127" s="14"/>
      <c r="MG127" s="14"/>
      <c r="MH127" s="14"/>
      <c r="MI127" s="14"/>
      <c r="MJ127" s="14"/>
      <c r="MK127" s="14"/>
      <c r="ML127" s="14"/>
      <c r="MM127" s="14"/>
      <c r="MN127" s="14"/>
      <c r="AJG127" s="14"/>
      <c r="AJO127" s="14"/>
      <c r="AJY127" s="14"/>
    </row>
    <row r="128" spans="1:979" ht="15" customHeight="1" x14ac:dyDescent="0.25">
      <c r="A128" s="14"/>
      <c r="B128" s="14"/>
      <c r="C128" s="14"/>
      <c r="D128" s="14"/>
      <c r="E128" s="14"/>
      <c r="F128" s="14"/>
      <c r="G128" s="14"/>
      <c r="H128" s="14"/>
      <c r="I128" s="14"/>
      <c r="J128" s="14"/>
      <c r="K128" s="14"/>
      <c r="L128" s="14"/>
      <c r="M128" s="14"/>
      <c r="N128" s="14"/>
      <c r="O128" s="14"/>
      <c r="P128" s="14"/>
      <c r="Q128" s="14"/>
      <c r="R128" s="14"/>
      <c r="S128" s="14"/>
      <c r="T128" s="14"/>
      <c r="U128" s="14"/>
      <c r="V128" s="14"/>
      <c r="W128" s="14"/>
      <c r="X128" s="14"/>
      <c r="Y128" s="14"/>
      <c r="Z128" s="14"/>
      <c r="AA128" s="14"/>
      <c r="AB128" s="14"/>
      <c r="AC128" s="14"/>
      <c r="AD128" s="14"/>
      <c r="AE128" s="14"/>
      <c r="AF128" s="14"/>
      <c r="AG128" s="14"/>
      <c r="AH128" s="14"/>
      <c r="AI128" s="14"/>
      <c r="AJ128" s="14"/>
      <c r="AK128" s="14"/>
      <c r="AL128" s="14"/>
      <c r="AM128" s="14"/>
      <c r="AN128" s="14"/>
      <c r="AO128" s="14"/>
      <c r="AP128" s="14"/>
      <c r="AQ128" s="14"/>
      <c r="AR128" s="14"/>
      <c r="AT128" s="14"/>
      <c r="AU128" s="14"/>
      <c r="AV128" s="14"/>
      <c r="AW128" s="14"/>
      <c r="AX128" s="14"/>
      <c r="AY128" s="14"/>
      <c r="AZ128" s="14"/>
      <c r="BA128" s="14"/>
      <c r="BB128" s="14"/>
      <c r="BC128" s="14"/>
      <c r="BD128" s="14"/>
      <c r="BE128" s="14"/>
      <c r="BF128" s="14"/>
      <c r="BG128" s="14"/>
      <c r="BH128" s="14"/>
      <c r="BI128" s="14"/>
      <c r="BJ128" s="14"/>
      <c r="BK128" s="14"/>
      <c r="BL128" s="14"/>
      <c r="BM128" s="14"/>
      <c r="BN128" s="14"/>
      <c r="BO128" s="14"/>
      <c r="BP128" s="14"/>
      <c r="BQ128" s="14"/>
      <c r="BR128" s="14"/>
      <c r="BS128" s="14"/>
      <c r="BT128" s="14"/>
      <c r="BU128" s="14"/>
      <c r="CE128" s="14"/>
      <c r="CF128" s="14"/>
      <c r="CG128" s="14"/>
      <c r="CH128" s="14"/>
      <c r="CI128" s="14"/>
      <c r="CJ128" s="14"/>
      <c r="CK128" s="14"/>
      <c r="CL128" s="14"/>
      <c r="CO128" s="14"/>
      <c r="CP128" s="14"/>
      <c r="CQ128" s="14"/>
      <c r="CR128" s="14"/>
      <c r="CS128" s="14"/>
      <c r="EK128" s="14"/>
      <c r="EL128" s="14"/>
      <c r="EM128" s="14"/>
      <c r="EN128" s="14"/>
      <c r="EO128" s="14"/>
      <c r="EP128" s="14"/>
      <c r="EQ128" s="14"/>
      <c r="ER128" s="14"/>
      <c r="ES128" s="14"/>
      <c r="ET128" s="14"/>
      <c r="EU128" s="14"/>
      <c r="EV128" s="14"/>
      <c r="EW128" s="14"/>
      <c r="EX128" s="14"/>
      <c r="EY128" s="14"/>
      <c r="EZ128" s="14"/>
      <c r="FA128" s="14"/>
      <c r="FB128" s="14"/>
      <c r="FC128" s="14"/>
      <c r="FD128" s="14"/>
      <c r="GW128" s="14"/>
      <c r="GX128" s="14"/>
      <c r="GY128" s="14"/>
      <c r="GZ128" s="14"/>
      <c r="HA128" s="14"/>
      <c r="HB128" s="14"/>
      <c r="HC128" s="14"/>
      <c r="HD128" s="14"/>
      <c r="HE128" s="14"/>
      <c r="HF128" s="14"/>
      <c r="HG128" s="14"/>
      <c r="HH128" s="14"/>
      <c r="HI128" s="14"/>
      <c r="HJ128" s="14"/>
      <c r="HK128" s="14"/>
      <c r="HL128" s="14"/>
      <c r="HM128" s="14"/>
      <c r="HN128" s="14"/>
      <c r="HO128" s="14"/>
      <c r="HP128" s="14"/>
      <c r="HQ128" s="14"/>
      <c r="HR128" s="14"/>
      <c r="HS128" s="14"/>
      <c r="HT128" s="14"/>
      <c r="HU128" s="14"/>
      <c r="HX128" s="14"/>
      <c r="HY128" s="14"/>
      <c r="HZ128" s="14"/>
      <c r="IA128" s="14"/>
      <c r="IS128" s="14"/>
      <c r="IT128" s="14"/>
      <c r="IU128" s="14"/>
      <c r="JH128" s="14"/>
      <c r="JI128" s="14"/>
      <c r="JW128" s="14"/>
      <c r="JX128" s="14"/>
      <c r="LQ128" s="14"/>
      <c r="LR128" s="14"/>
      <c r="LS128" s="14"/>
      <c r="LT128" s="14"/>
      <c r="LU128" s="14"/>
      <c r="LV128" s="14"/>
      <c r="LW128" s="14"/>
      <c r="LY128" s="14"/>
      <c r="LZ128" s="14"/>
      <c r="MA128" s="14"/>
      <c r="MB128" s="14"/>
      <c r="MC128" s="14"/>
      <c r="MD128" s="14"/>
      <c r="ME128" s="14"/>
      <c r="MF128" s="14"/>
      <c r="MG128" s="14"/>
      <c r="MH128" s="14"/>
      <c r="MI128" s="14"/>
      <c r="MJ128" s="14"/>
      <c r="MK128" s="14"/>
      <c r="ML128" s="14"/>
      <c r="MM128" s="14"/>
      <c r="MN128" s="14"/>
      <c r="AJG128" s="14"/>
      <c r="AJO128" s="14"/>
      <c r="AJY128" s="14"/>
    </row>
    <row r="129" spans="1:961" ht="15" customHeight="1" x14ac:dyDescent="0.25">
      <c r="A129" s="14"/>
      <c r="B129" s="14"/>
      <c r="C129" s="14"/>
      <c r="D129" s="14"/>
      <c r="E129" s="14"/>
      <c r="F129" s="14"/>
      <c r="G129" s="14"/>
      <c r="H129" s="14"/>
      <c r="I129" s="14"/>
      <c r="J129" s="14"/>
      <c r="K129" s="14"/>
      <c r="L129" s="14"/>
      <c r="M129" s="14"/>
      <c r="N129" s="14"/>
      <c r="O129" s="14"/>
      <c r="P129" s="14"/>
      <c r="Q129" s="14"/>
      <c r="R129" s="14"/>
      <c r="S129" s="14"/>
      <c r="T129" s="14"/>
      <c r="U129" s="14"/>
      <c r="V129" s="14"/>
      <c r="W129" s="14"/>
      <c r="X129" s="14"/>
      <c r="Y129" s="14"/>
      <c r="Z129" s="14"/>
      <c r="AA129" s="14"/>
      <c r="AB129" s="14"/>
      <c r="AC129" s="14"/>
      <c r="AD129" s="14"/>
      <c r="AE129" s="14"/>
      <c r="AF129" s="14"/>
      <c r="AG129" s="14"/>
      <c r="AH129" s="14"/>
      <c r="AI129" s="14"/>
      <c r="AJ129" s="14"/>
      <c r="AK129" s="14"/>
      <c r="AL129" s="14"/>
      <c r="AM129" s="14"/>
      <c r="AN129" s="14"/>
      <c r="AO129" s="14"/>
      <c r="AP129" s="14"/>
      <c r="AQ129" s="14"/>
      <c r="AR129" s="14"/>
      <c r="AT129" s="14"/>
      <c r="AU129" s="14"/>
      <c r="AV129" s="14"/>
      <c r="AW129" s="14"/>
      <c r="AX129" s="14"/>
      <c r="AY129" s="14"/>
      <c r="AZ129" s="14"/>
      <c r="BA129" s="14"/>
      <c r="BB129" s="14"/>
      <c r="BC129" s="14"/>
      <c r="BD129" s="14"/>
      <c r="BE129" s="14"/>
      <c r="BF129" s="14"/>
      <c r="BG129" s="14"/>
      <c r="BH129" s="14"/>
      <c r="BI129" s="14"/>
      <c r="BJ129" s="14"/>
      <c r="BK129" s="14"/>
      <c r="BL129" s="14"/>
      <c r="BM129" s="14"/>
      <c r="BN129" s="14"/>
      <c r="BO129" s="14"/>
      <c r="BP129" s="14"/>
      <c r="BQ129" s="14"/>
      <c r="BR129" s="14"/>
      <c r="BS129" s="14"/>
      <c r="BT129" s="14"/>
      <c r="BU129" s="14"/>
      <c r="CE129" s="14"/>
      <c r="CF129" s="14"/>
      <c r="CG129" s="14"/>
      <c r="CH129" s="14"/>
      <c r="CI129" s="14"/>
      <c r="CJ129" s="14"/>
      <c r="CK129" s="14"/>
      <c r="CL129" s="14"/>
      <c r="CO129" s="14"/>
      <c r="CP129" s="14"/>
      <c r="CQ129" s="14"/>
      <c r="CR129" s="14"/>
      <c r="CS129" s="14"/>
      <c r="EK129" s="14"/>
      <c r="EL129" s="14"/>
      <c r="EM129" s="14"/>
      <c r="EN129" s="14"/>
      <c r="EO129" s="14"/>
      <c r="EP129" s="14"/>
      <c r="EQ129" s="14"/>
      <c r="ER129" s="14"/>
      <c r="ES129" s="14"/>
      <c r="ET129" s="14"/>
      <c r="EU129" s="14"/>
      <c r="EV129" s="14"/>
      <c r="EW129" s="14"/>
      <c r="EX129" s="14"/>
      <c r="EY129" s="14"/>
      <c r="EZ129" s="14"/>
      <c r="FA129" s="14"/>
      <c r="FB129" s="14"/>
      <c r="FC129" s="14"/>
      <c r="FD129" s="14"/>
      <c r="GW129" s="14"/>
      <c r="GX129" s="14"/>
      <c r="GY129" s="14"/>
      <c r="GZ129" s="14"/>
      <c r="HA129" s="14"/>
      <c r="HB129" s="14"/>
      <c r="HC129" s="14"/>
      <c r="HD129" s="14"/>
      <c r="HE129" s="14"/>
      <c r="HF129" s="14"/>
      <c r="HG129" s="14"/>
      <c r="HH129" s="14"/>
      <c r="HI129" s="14"/>
      <c r="HJ129" s="14"/>
      <c r="HK129" s="14"/>
      <c r="HL129" s="14"/>
      <c r="HM129" s="14"/>
      <c r="HN129" s="14"/>
      <c r="HO129" s="14"/>
      <c r="HP129" s="14"/>
      <c r="HQ129" s="14"/>
      <c r="HR129" s="14"/>
      <c r="HS129" s="14"/>
      <c r="HT129" s="14"/>
      <c r="HU129" s="14"/>
      <c r="HX129" s="14"/>
      <c r="HY129" s="14"/>
      <c r="HZ129" s="14"/>
      <c r="IA129" s="14"/>
      <c r="IS129" s="14"/>
      <c r="IT129" s="14"/>
      <c r="IU129" s="14"/>
      <c r="JH129" s="14"/>
      <c r="JI129" s="14"/>
      <c r="JW129" s="14"/>
      <c r="JX129" s="14"/>
      <c r="LQ129" s="14"/>
      <c r="LR129" s="14"/>
      <c r="LS129" s="14"/>
      <c r="LT129" s="14"/>
      <c r="LU129" s="14"/>
      <c r="LV129" s="14"/>
      <c r="LW129" s="14"/>
      <c r="LY129" s="14"/>
      <c r="LZ129" s="14"/>
      <c r="MA129" s="14"/>
      <c r="MB129" s="14"/>
      <c r="MC129" s="14"/>
      <c r="MD129" s="14"/>
      <c r="ME129" s="14"/>
      <c r="MF129" s="14"/>
      <c r="MG129" s="14"/>
      <c r="MH129" s="14"/>
      <c r="MI129" s="14"/>
      <c r="MJ129" s="14"/>
      <c r="MK129" s="14"/>
      <c r="ML129" s="14"/>
      <c r="MM129" s="14"/>
      <c r="MN129" s="14"/>
      <c r="AJG129" s="14"/>
      <c r="AJO129" s="14"/>
      <c r="AJY129" s="14"/>
    </row>
    <row r="130" spans="1:961" ht="15" customHeight="1" x14ac:dyDescent="0.25">
      <c r="A130" s="14"/>
      <c r="B130" s="14"/>
      <c r="C130" s="14"/>
      <c r="D130" s="14"/>
      <c r="E130" s="14"/>
      <c r="F130" s="14"/>
      <c r="G130" s="14"/>
      <c r="H130" s="14"/>
      <c r="I130" s="14"/>
      <c r="J130" s="14"/>
      <c r="K130" s="14"/>
      <c r="L130" s="14"/>
      <c r="M130" s="14"/>
      <c r="N130" s="14"/>
      <c r="O130" s="14"/>
      <c r="P130" s="14"/>
      <c r="Q130" s="14"/>
      <c r="R130" s="14"/>
      <c r="S130" s="14"/>
      <c r="T130" s="14"/>
      <c r="U130" s="14"/>
      <c r="V130" s="14"/>
      <c r="W130" s="14"/>
      <c r="X130" s="14"/>
      <c r="Y130" s="14"/>
      <c r="Z130" s="14"/>
      <c r="AA130" s="14"/>
      <c r="AB130" s="14"/>
      <c r="AC130" s="14"/>
      <c r="AD130" s="14"/>
      <c r="AE130" s="14"/>
      <c r="AF130" s="14"/>
      <c r="AG130" s="14"/>
      <c r="AH130" s="14"/>
      <c r="AI130" s="14"/>
      <c r="AJ130" s="14"/>
      <c r="AK130" s="14"/>
      <c r="AL130" s="14"/>
      <c r="AM130" s="14"/>
      <c r="AN130" s="14"/>
      <c r="AO130" s="14"/>
      <c r="AP130" s="14"/>
      <c r="AQ130" s="14"/>
      <c r="AR130" s="14"/>
      <c r="AT130" s="14"/>
      <c r="AU130" s="14"/>
      <c r="AV130" s="14"/>
      <c r="AW130" s="14"/>
      <c r="AX130" s="14"/>
      <c r="AY130" s="14"/>
      <c r="AZ130" s="14"/>
      <c r="BA130" s="14"/>
      <c r="BB130" s="14"/>
      <c r="BC130" s="14"/>
      <c r="BD130" s="14"/>
      <c r="BE130" s="14"/>
      <c r="BF130" s="14"/>
      <c r="BG130" s="14"/>
      <c r="BH130" s="14"/>
      <c r="BI130" s="14"/>
      <c r="BJ130" s="14"/>
      <c r="BK130" s="14"/>
      <c r="BL130" s="14"/>
      <c r="BM130" s="14"/>
      <c r="BN130" s="14"/>
      <c r="BO130" s="14"/>
      <c r="BP130" s="14"/>
      <c r="BQ130" s="14"/>
      <c r="BR130" s="14"/>
      <c r="BS130" s="14"/>
      <c r="BT130" s="14"/>
      <c r="BU130" s="14"/>
      <c r="CE130" s="14"/>
      <c r="CF130" s="14"/>
      <c r="CG130" s="14"/>
      <c r="CH130" s="14"/>
      <c r="CI130" s="14"/>
      <c r="CJ130" s="14"/>
      <c r="CK130" s="14"/>
      <c r="CL130" s="14"/>
      <c r="CO130" s="14"/>
      <c r="CP130" s="14"/>
      <c r="CQ130" s="14"/>
      <c r="CR130" s="14"/>
      <c r="CS130" s="14"/>
      <c r="EK130" s="14"/>
      <c r="EL130" s="14"/>
      <c r="EM130" s="14"/>
      <c r="EN130" s="14"/>
      <c r="EO130" s="14"/>
      <c r="EP130" s="14"/>
      <c r="EQ130" s="14"/>
      <c r="ER130" s="14"/>
      <c r="ES130" s="14"/>
      <c r="ET130" s="14"/>
      <c r="EU130" s="14"/>
      <c r="EV130" s="14"/>
      <c r="EW130" s="14"/>
      <c r="EX130" s="14"/>
      <c r="EY130" s="14"/>
      <c r="EZ130" s="14"/>
      <c r="FA130" s="14"/>
      <c r="FB130" s="14"/>
      <c r="FC130" s="14"/>
      <c r="FD130" s="14"/>
      <c r="GW130" s="14"/>
      <c r="GX130" s="14"/>
      <c r="GY130" s="14"/>
      <c r="GZ130" s="14"/>
      <c r="HA130" s="14"/>
      <c r="HB130" s="14"/>
      <c r="HC130" s="14"/>
      <c r="HD130" s="14"/>
      <c r="HE130" s="14"/>
      <c r="HF130" s="14"/>
      <c r="HG130" s="14"/>
      <c r="HH130" s="14"/>
      <c r="HI130" s="14"/>
      <c r="HJ130" s="14"/>
      <c r="HK130" s="14"/>
      <c r="HL130" s="14"/>
      <c r="HM130" s="14"/>
      <c r="HN130" s="14"/>
      <c r="HO130" s="14"/>
      <c r="HP130" s="14"/>
      <c r="HQ130" s="14"/>
      <c r="HR130" s="14"/>
      <c r="HS130" s="14"/>
      <c r="HT130" s="14"/>
      <c r="HU130" s="14"/>
      <c r="HX130" s="14"/>
      <c r="HY130" s="14"/>
      <c r="HZ130" s="14"/>
      <c r="IA130" s="14"/>
      <c r="IS130" s="14"/>
      <c r="IT130" s="14"/>
      <c r="IU130" s="14"/>
      <c r="JH130" s="14"/>
      <c r="JI130" s="14"/>
      <c r="JW130" s="14"/>
      <c r="JX130" s="14"/>
      <c r="LQ130" s="14"/>
      <c r="LR130" s="14"/>
      <c r="LS130" s="14"/>
      <c r="LT130" s="14"/>
      <c r="LU130" s="14"/>
      <c r="LV130" s="14"/>
      <c r="LW130" s="14"/>
      <c r="LY130" s="14"/>
      <c r="LZ130" s="14"/>
      <c r="MA130" s="14"/>
      <c r="MB130" s="14"/>
      <c r="MC130" s="14"/>
      <c r="MD130" s="14"/>
      <c r="ME130" s="14"/>
      <c r="MF130" s="14"/>
      <c r="MG130" s="14"/>
      <c r="MH130" s="14"/>
      <c r="MI130" s="14"/>
      <c r="MJ130" s="14"/>
      <c r="MK130" s="14"/>
      <c r="ML130" s="14"/>
      <c r="MM130" s="14"/>
      <c r="MN130" s="14"/>
      <c r="AJG130" s="14"/>
      <c r="AJO130" s="14"/>
      <c r="AJY130" s="14"/>
    </row>
    <row r="131" spans="1:961" ht="15" customHeight="1" x14ac:dyDescent="0.25">
      <c r="A131" s="14"/>
      <c r="B131" s="14"/>
      <c r="C131" s="14"/>
      <c r="D131" s="14"/>
      <c r="E131" s="14"/>
      <c r="F131" s="14"/>
      <c r="G131" s="14"/>
      <c r="H131" s="14"/>
      <c r="I131" s="14"/>
      <c r="J131" s="14"/>
      <c r="K131" s="14"/>
      <c r="L131" s="14"/>
      <c r="M131" s="14"/>
      <c r="N131" s="14"/>
      <c r="O131" s="14"/>
      <c r="P131" s="14"/>
      <c r="Q131" s="14"/>
      <c r="R131" s="14"/>
      <c r="S131" s="14"/>
      <c r="T131" s="14"/>
      <c r="U131" s="14"/>
      <c r="V131" s="14"/>
      <c r="W131" s="14"/>
      <c r="X131" s="14"/>
      <c r="Y131" s="14"/>
      <c r="Z131" s="14"/>
      <c r="AA131" s="14"/>
      <c r="AB131" s="14"/>
      <c r="AC131" s="14"/>
      <c r="AD131" s="14"/>
      <c r="AE131" s="14"/>
      <c r="AF131" s="14"/>
      <c r="AG131" s="14"/>
      <c r="AH131" s="14"/>
      <c r="AI131" s="14"/>
      <c r="AJ131" s="14"/>
      <c r="AK131" s="14"/>
      <c r="AL131" s="14"/>
      <c r="AM131" s="14"/>
      <c r="AN131" s="14"/>
      <c r="AO131" s="14"/>
      <c r="AP131" s="14"/>
      <c r="AQ131" s="14"/>
      <c r="AR131" s="14"/>
      <c r="AT131" s="14"/>
      <c r="AU131" s="14"/>
      <c r="AV131" s="14"/>
      <c r="AW131" s="14"/>
      <c r="AX131" s="14"/>
      <c r="AY131" s="14"/>
      <c r="AZ131" s="14"/>
      <c r="BA131" s="14"/>
      <c r="BB131" s="14"/>
      <c r="BC131" s="14"/>
      <c r="BD131" s="14"/>
      <c r="BE131" s="14"/>
      <c r="BF131" s="14"/>
      <c r="BG131" s="14"/>
      <c r="BH131" s="14"/>
      <c r="BI131" s="14"/>
      <c r="BJ131" s="14"/>
      <c r="BK131" s="14"/>
      <c r="BL131" s="14"/>
      <c r="BM131" s="14"/>
      <c r="BN131" s="14"/>
      <c r="BO131" s="14"/>
      <c r="BP131" s="14"/>
      <c r="BQ131" s="14"/>
      <c r="BR131" s="14"/>
      <c r="BS131" s="14"/>
      <c r="BT131" s="14"/>
      <c r="BU131" s="14"/>
      <c r="CE131" s="14"/>
      <c r="CF131" s="14"/>
      <c r="CG131" s="14"/>
      <c r="CH131" s="14"/>
      <c r="CI131" s="14"/>
      <c r="CJ131" s="14"/>
      <c r="CK131" s="14"/>
      <c r="CL131" s="14"/>
      <c r="CO131" s="14"/>
      <c r="CP131" s="14"/>
      <c r="CQ131" s="14"/>
      <c r="CR131" s="14"/>
      <c r="CS131" s="14"/>
      <c r="EK131" s="14"/>
      <c r="EL131" s="14"/>
      <c r="EM131" s="14"/>
      <c r="EN131" s="14"/>
      <c r="EO131" s="14"/>
      <c r="EP131" s="14"/>
      <c r="EQ131" s="14"/>
      <c r="ER131" s="14"/>
      <c r="ES131" s="14"/>
      <c r="ET131" s="14"/>
      <c r="EU131" s="14"/>
      <c r="EV131" s="14"/>
      <c r="EW131" s="14"/>
      <c r="EX131" s="14"/>
      <c r="EY131" s="14"/>
      <c r="EZ131" s="14"/>
      <c r="FA131" s="14"/>
      <c r="FB131" s="14"/>
      <c r="FC131" s="14"/>
      <c r="FD131" s="14"/>
      <c r="GW131" s="14"/>
      <c r="GX131" s="14"/>
      <c r="GY131" s="14"/>
      <c r="GZ131" s="14"/>
      <c r="HA131" s="14"/>
      <c r="HB131" s="14"/>
      <c r="HC131" s="14"/>
      <c r="HD131" s="14"/>
      <c r="HE131" s="14"/>
      <c r="HF131" s="14"/>
      <c r="HG131" s="14"/>
      <c r="HH131" s="14"/>
      <c r="HI131" s="14"/>
      <c r="HJ131" s="14"/>
      <c r="HK131" s="14"/>
      <c r="HL131" s="14"/>
      <c r="HM131" s="14"/>
      <c r="HN131" s="14"/>
      <c r="HO131" s="14"/>
      <c r="HP131" s="14"/>
      <c r="HQ131" s="14"/>
      <c r="HR131" s="14"/>
      <c r="HS131" s="14"/>
      <c r="HT131" s="14"/>
      <c r="HU131" s="14"/>
      <c r="HX131" s="14"/>
      <c r="HY131" s="14"/>
      <c r="HZ131" s="14"/>
      <c r="IA131" s="14"/>
      <c r="IS131" s="14"/>
      <c r="IT131" s="14"/>
      <c r="IU131" s="14"/>
      <c r="JH131" s="14"/>
      <c r="JI131" s="14"/>
      <c r="JW131" s="14"/>
      <c r="JX131" s="14"/>
      <c r="LQ131" s="14"/>
      <c r="LR131" s="14"/>
      <c r="LS131" s="14"/>
      <c r="LT131" s="14"/>
      <c r="LU131" s="14"/>
      <c r="LV131" s="14"/>
      <c r="LW131" s="14"/>
      <c r="LY131" s="14"/>
      <c r="LZ131" s="14"/>
      <c r="MA131" s="14"/>
      <c r="MB131" s="14"/>
      <c r="MC131" s="14"/>
      <c r="MD131" s="14"/>
      <c r="ME131" s="14"/>
      <c r="MF131" s="14"/>
      <c r="MG131" s="14"/>
      <c r="MH131" s="14"/>
      <c r="MI131" s="14"/>
      <c r="MJ131" s="14"/>
      <c r="MK131" s="14"/>
      <c r="ML131" s="14"/>
      <c r="MM131" s="14"/>
      <c r="MN131" s="14"/>
      <c r="AJG131" s="14"/>
      <c r="AJO131" s="14"/>
      <c r="AJY131" s="14"/>
    </row>
    <row r="132" spans="1:961" ht="15" customHeight="1" x14ac:dyDescent="0.25">
      <c r="A132" s="14"/>
      <c r="B132" s="14"/>
      <c r="C132" s="14"/>
      <c r="D132" s="14"/>
      <c r="E132" s="14"/>
      <c r="F132" s="14"/>
      <c r="G132" s="14"/>
      <c r="H132" s="14"/>
      <c r="I132" s="14"/>
      <c r="J132" s="14"/>
      <c r="K132" s="14"/>
      <c r="L132" s="14"/>
      <c r="M132" s="14"/>
      <c r="N132" s="14"/>
      <c r="O132" s="14"/>
      <c r="P132" s="14"/>
      <c r="Q132" s="14"/>
      <c r="R132" s="14"/>
      <c r="S132" s="14"/>
      <c r="T132" s="14"/>
      <c r="U132" s="14"/>
      <c r="V132" s="14"/>
      <c r="W132" s="14"/>
      <c r="X132" s="14"/>
      <c r="Y132" s="14"/>
      <c r="Z132" s="14"/>
      <c r="AA132" s="14"/>
      <c r="AB132" s="14"/>
      <c r="AC132" s="14"/>
      <c r="AD132" s="14"/>
      <c r="AE132" s="14"/>
      <c r="AF132" s="14"/>
      <c r="AG132" s="14"/>
      <c r="AH132" s="14"/>
      <c r="AI132" s="14"/>
      <c r="AJ132" s="14"/>
      <c r="AK132" s="14"/>
      <c r="AL132" s="14"/>
      <c r="AM132" s="14"/>
      <c r="AN132" s="14"/>
      <c r="AO132" s="14"/>
      <c r="AP132" s="14"/>
      <c r="AQ132" s="14"/>
      <c r="AR132" s="14"/>
      <c r="AT132" s="14"/>
      <c r="AU132" s="14"/>
      <c r="AV132" s="14"/>
      <c r="AW132" s="14"/>
      <c r="AX132" s="14"/>
      <c r="AY132" s="14"/>
      <c r="AZ132" s="14"/>
      <c r="BA132" s="14"/>
      <c r="BB132" s="14"/>
      <c r="BC132" s="14"/>
      <c r="BD132" s="14"/>
      <c r="BE132" s="14"/>
      <c r="BF132" s="14"/>
      <c r="BG132" s="14"/>
      <c r="BH132" s="14"/>
      <c r="BI132" s="14"/>
      <c r="BJ132" s="14"/>
      <c r="BK132" s="14"/>
      <c r="BL132" s="14"/>
      <c r="BM132" s="14"/>
      <c r="BN132" s="14"/>
      <c r="BO132" s="14"/>
      <c r="BP132" s="14"/>
      <c r="BQ132" s="14"/>
      <c r="BR132" s="14"/>
      <c r="BS132" s="14"/>
      <c r="BT132" s="14"/>
      <c r="BU132" s="14"/>
      <c r="CE132" s="14"/>
      <c r="CF132" s="14"/>
      <c r="CG132" s="14"/>
      <c r="CH132" s="14"/>
      <c r="CI132" s="14"/>
      <c r="CJ132" s="14"/>
      <c r="CK132" s="14"/>
      <c r="CL132" s="14"/>
      <c r="CO132" s="14"/>
      <c r="CP132" s="14"/>
      <c r="CQ132" s="14"/>
      <c r="CR132" s="14"/>
      <c r="CS132" s="14"/>
      <c r="EK132" s="14"/>
      <c r="EL132" s="14"/>
      <c r="EM132" s="14"/>
      <c r="EN132" s="14"/>
      <c r="EO132" s="14"/>
      <c r="EP132" s="14"/>
      <c r="EQ132" s="14"/>
      <c r="ER132" s="14"/>
      <c r="ES132" s="14"/>
      <c r="ET132" s="14"/>
      <c r="EU132" s="14"/>
      <c r="EV132" s="14"/>
      <c r="EW132" s="14"/>
      <c r="EX132" s="14"/>
      <c r="EY132" s="14"/>
      <c r="EZ132" s="14"/>
      <c r="FA132" s="14"/>
      <c r="FB132" s="14"/>
      <c r="FC132" s="14"/>
      <c r="FD132" s="14"/>
      <c r="GW132" s="14"/>
      <c r="GX132" s="14"/>
      <c r="GY132" s="14"/>
      <c r="GZ132" s="14"/>
      <c r="HA132" s="14"/>
      <c r="HB132" s="14"/>
      <c r="HC132" s="14"/>
      <c r="HD132" s="14"/>
      <c r="HE132" s="14"/>
      <c r="HF132" s="14"/>
      <c r="HG132" s="14"/>
      <c r="HH132" s="14"/>
      <c r="HI132" s="14"/>
      <c r="HJ132" s="14"/>
      <c r="HK132" s="14"/>
      <c r="HL132" s="14"/>
      <c r="HM132" s="14"/>
      <c r="HN132" s="14"/>
      <c r="HO132" s="14"/>
      <c r="HP132" s="14"/>
      <c r="HQ132" s="14"/>
      <c r="HR132" s="14"/>
      <c r="HS132" s="14"/>
      <c r="HT132" s="14"/>
      <c r="HU132" s="14"/>
      <c r="HX132" s="14"/>
      <c r="HY132" s="14"/>
      <c r="HZ132" s="14"/>
      <c r="IA132" s="14"/>
      <c r="IS132" s="14"/>
      <c r="IT132" s="14"/>
      <c r="IU132" s="14"/>
      <c r="JH132" s="14"/>
      <c r="JI132" s="14"/>
      <c r="JW132" s="14"/>
      <c r="JX132" s="14"/>
      <c r="LQ132" s="14"/>
      <c r="LR132" s="14"/>
      <c r="LS132" s="14"/>
      <c r="LT132" s="14"/>
      <c r="LU132" s="14"/>
      <c r="LV132" s="14"/>
      <c r="LW132" s="14"/>
      <c r="LY132" s="14"/>
      <c r="LZ132" s="14"/>
      <c r="MA132" s="14"/>
      <c r="MB132" s="14"/>
      <c r="MC132" s="14"/>
      <c r="MD132" s="14"/>
      <c r="ME132" s="14"/>
      <c r="MF132" s="14"/>
      <c r="MG132" s="14"/>
      <c r="MH132" s="14"/>
      <c r="MI132" s="14"/>
      <c r="MJ132" s="14"/>
      <c r="MK132" s="14"/>
      <c r="ML132" s="14"/>
      <c r="MM132" s="14"/>
      <c r="MN132" s="14"/>
      <c r="AJG132" s="14"/>
      <c r="AJO132" s="14"/>
      <c r="AJY132" s="14"/>
    </row>
    <row r="133" spans="1:961" ht="15" customHeight="1" x14ac:dyDescent="0.25">
      <c r="A133" s="14"/>
      <c r="B133" s="14"/>
      <c r="C133" s="14"/>
      <c r="D133" s="14"/>
      <c r="E133" s="14"/>
      <c r="F133" s="14"/>
      <c r="G133" s="14"/>
      <c r="H133" s="14"/>
      <c r="I133" s="14"/>
      <c r="J133" s="14"/>
      <c r="K133" s="14"/>
      <c r="L133" s="14"/>
      <c r="M133" s="14"/>
      <c r="N133" s="14"/>
      <c r="O133" s="14"/>
      <c r="P133" s="14"/>
      <c r="Q133" s="14"/>
      <c r="R133" s="14"/>
      <c r="S133" s="14"/>
      <c r="T133" s="14"/>
      <c r="U133" s="14"/>
      <c r="V133" s="14"/>
      <c r="W133" s="14"/>
      <c r="X133" s="14"/>
      <c r="Y133" s="14"/>
      <c r="Z133" s="14"/>
      <c r="AA133" s="14"/>
      <c r="AB133" s="14"/>
      <c r="AC133" s="14"/>
      <c r="AD133" s="14"/>
      <c r="AE133" s="14"/>
      <c r="AF133" s="14"/>
      <c r="AG133" s="14"/>
      <c r="AH133" s="14"/>
      <c r="AI133" s="14"/>
      <c r="AJ133" s="14"/>
      <c r="AK133" s="14"/>
      <c r="AL133" s="14"/>
      <c r="AM133" s="14"/>
      <c r="AN133" s="14"/>
      <c r="AO133" s="14"/>
      <c r="AP133" s="14"/>
      <c r="AQ133" s="14"/>
      <c r="AR133" s="14"/>
      <c r="AT133" s="14"/>
      <c r="AU133" s="14"/>
      <c r="AV133" s="14"/>
      <c r="AW133" s="14"/>
      <c r="AX133" s="14"/>
      <c r="AY133" s="14"/>
      <c r="AZ133" s="14"/>
      <c r="BA133" s="14"/>
      <c r="BB133" s="14"/>
      <c r="BC133" s="14"/>
      <c r="BD133" s="14"/>
      <c r="BE133" s="14"/>
      <c r="BF133" s="14"/>
      <c r="BG133" s="14"/>
      <c r="BH133" s="14"/>
      <c r="BI133" s="14"/>
      <c r="BJ133" s="14"/>
      <c r="BK133" s="14"/>
      <c r="BL133" s="14"/>
      <c r="BM133" s="14"/>
      <c r="BN133" s="14"/>
      <c r="BO133" s="14"/>
      <c r="BP133" s="14"/>
      <c r="BQ133" s="14"/>
      <c r="BR133" s="14"/>
      <c r="BS133" s="14"/>
      <c r="BT133" s="14"/>
      <c r="BU133" s="14"/>
      <c r="CE133" s="14"/>
      <c r="CF133" s="14"/>
      <c r="CG133" s="14"/>
      <c r="CH133" s="14"/>
      <c r="CI133" s="14"/>
      <c r="CJ133" s="14"/>
      <c r="CK133" s="14"/>
      <c r="CL133" s="14"/>
      <c r="CO133" s="14"/>
      <c r="CP133" s="14"/>
      <c r="CQ133" s="14"/>
      <c r="CR133" s="14"/>
      <c r="CS133" s="14"/>
      <c r="EK133" s="14"/>
      <c r="EL133" s="14"/>
      <c r="EM133" s="14"/>
      <c r="EN133" s="14"/>
      <c r="EO133" s="14"/>
      <c r="EP133" s="14"/>
      <c r="EQ133" s="14"/>
      <c r="ER133" s="14"/>
      <c r="ES133" s="14"/>
      <c r="ET133" s="14"/>
      <c r="EU133" s="14"/>
      <c r="EV133" s="14"/>
      <c r="EW133" s="14"/>
      <c r="EX133" s="14"/>
      <c r="EY133" s="14"/>
      <c r="EZ133" s="14"/>
      <c r="FA133" s="14"/>
      <c r="FB133" s="14"/>
      <c r="FC133" s="14"/>
      <c r="FD133" s="14"/>
      <c r="GW133" s="14"/>
      <c r="GX133" s="14"/>
      <c r="GY133" s="14"/>
      <c r="GZ133" s="14"/>
      <c r="HA133" s="14"/>
      <c r="HB133" s="14"/>
      <c r="HC133" s="14"/>
      <c r="HD133" s="14"/>
      <c r="HE133" s="14"/>
      <c r="HF133" s="14"/>
      <c r="HG133" s="14"/>
      <c r="HH133" s="14"/>
      <c r="HI133" s="14"/>
      <c r="HJ133" s="14"/>
      <c r="HK133" s="14"/>
      <c r="HL133" s="14"/>
      <c r="HM133" s="14"/>
      <c r="HN133" s="14"/>
      <c r="HO133" s="14"/>
      <c r="HP133" s="14"/>
      <c r="HQ133" s="14"/>
      <c r="HR133" s="14"/>
      <c r="HS133" s="14"/>
      <c r="HT133" s="14"/>
      <c r="HU133" s="14"/>
      <c r="HX133" s="14"/>
      <c r="HY133" s="14"/>
      <c r="HZ133" s="14"/>
      <c r="IA133" s="14"/>
      <c r="IS133" s="14"/>
      <c r="IT133" s="14"/>
      <c r="IU133" s="14"/>
      <c r="JH133" s="14"/>
      <c r="JI133" s="14"/>
      <c r="JW133" s="14"/>
      <c r="JX133" s="14"/>
      <c r="LQ133" s="14"/>
      <c r="LR133" s="14"/>
      <c r="LS133" s="14"/>
      <c r="LT133" s="14"/>
      <c r="LU133" s="14"/>
      <c r="LV133" s="14"/>
      <c r="LW133" s="14"/>
      <c r="LY133" s="14"/>
      <c r="LZ133" s="14"/>
      <c r="MA133" s="14"/>
      <c r="MB133" s="14"/>
      <c r="MC133" s="14"/>
      <c r="MD133" s="14"/>
      <c r="ME133" s="14"/>
      <c r="MF133" s="14"/>
      <c r="MG133" s="14"/>
      <c r="MH133" s="14"/>
      <c r="MI133" s="14"/>
      <c r="MJ133" s="14"/>
      <c r="MK133" s="14"/>
      <c r="ML133" s="14"/>
      <c r="MM133" s="14"/>
      <c r="MN133" s="14"/>
      <c r="AJG133" s="14"/>
      <c r="AJO133" s="14"/>
      <c r="AJY133" s="14"/>
    </row>
    <row r="134" spans="1:961" ht="15" customHeight="1" x14ac:dyDescent="0.25">
      <c r="A134" s="14"/>
      <c r="B134" s="14"/>
      <c r="C134" s="14"/>
      <c r="D134" s="14"/>
      <c r="E134" s="14"/>
      <c r="F134" s="14"/>
      <c r="G134" s="14"/>
      <c r="H134" s="14"/>
      <c r="I134" s="14"/>
      <c r="J134" s="14"/>
      <c r="K134" s="14"/>
      <c r="L134" s="14"/>
      <c r="M134" s="14"/>
      <c r="N134" s="14"/>
      <c r="O134" s="14"/>
      <c r="P134" s="14"/>
      <c r="Q134" s="14"/>
      <c r="R134" s="14"/>
      <c r="S134" s="14"/>
      <c r="T134" s="14"/>
      <c r="U134" s="14"/>
      <c r="V134" s="14"/>
      <c r="W134" s="14"/>
      <c r="X134" s="14"/>
      <c r="Y134" s="14"/>
      <c r="Z134" s="14"/>
      <c r="AA134" s="14"/>
      <c r="AB134" s="14"/>
      <c r="AC134" s="14"/>
      <c r="AD134" s="14"/>
      <c r="AE134" s="14"/>
      <c r="AF134" s="14"/>
      <c r="AG134" s="14"/>
      <c r="AH134" s="14"/>
      <c r="AI134" s="14"/>
      <c r="AJ134" s="14"/>
      <c r="AK134" s="14"/>
      <c r="AL134" s="14"/>
      <c r="AM134" s="14"/>
      <c r="AN134" s="14"/>
      <c r="AO134" s="14"/>
      <c r="AP134" s="14"/>
      <c r="AQ134" s="14"/>
      <c r="AR134" s="14"/>
      <c r="AT134" s="14"/>
      <c r="AU134" s="14"/>
      <c r="AV134" s="14"/>
      <c r="AW134" s="14"/>
      <c r="AX134" s="14"/>
      <c r="AY134" s="14"/>
      <c r="AZ134" s="14"/>
      <c r="BA134" s="14"/>
      <c r="BB134" s="14"/>
      <c r="BC134" s="14"/>
      <c r="BD134" s="14"/>
      <c r="BE134" s="14"/>
      <c r="BF134" s="14"/>
      <c r="BG134" s="14"/>
      <c r="BH134" s="14"/>
      <c r="BI134" s="14"/>
      <c r="BJ134" s="14"/>
      <c r="BK134" s="14"/>
      <c r="BL134" s="14"/>
      <c r="BM134" s="14"/>
      <c r="BN134" s="14"/>
      <c r="BO134" s="14"/>
      <c r="BP134" s="14"/>
      <c r="BQ134" s="14"/>
      <c r="BR134" s="14"/>
      <c r="BS134" s="14"/>
      <c r="BT134" s="14"/>
      <c r="BU134" s="14"/>
      <c r="CE134" s="14"/>
      <c r="CF134" s="14"/>
      <c r="CG134" s="14"/>
      <c r="CH134" s="14"/>
      <c r="CI134" s="14"/>
      <c r="CJ134" s="14"/>
      <c r="CK134" s="14"/>
      <c r="CL134" s="14"/>
      <c r="CO134" s="14"/>
      <c r="CP134" s="14"/>
      <c r="CQ134" s="14"/>
      <c r="CR134" s="14"/>
      <c r="CS134" s="14"/>
      <c r="EK134" s="14"/>
      <c r="EL134" s="14"/>
      <c r="EM134" s="14"/>
      <c r="EN134" s="14"/>
      <c r="EO134" s="14"/>
      <c r="EP134" s="14"/>
      <c r="EQ134" s="14"/>
      <c r="ER134" s="14"/>
      <c r="ES134" s="14"/>
      <c r="ET134" s="14"/>
      <c r="EU134" s="14"/>
      <c r="EV134" s="14"/>
      <c r="EW134" s="14"/>
      <c r="EX134" s="14"/>
      <c r="EY134" s="14"/>
      <c r="EZ134" s="14"/>
      <c r="FA134" s="14"/>
      <c r="FB134" s="14"/>
      <c r="FC134" s="14"/>
      <c r="FD134" s="14"/>
      <c r="GW134" s="14"/>
      <c r="GX134" s="14"/>
      <c r="GY134" s="14"/>
      <c r="GZ134" s="14"/>
      <c r="HA134" s="14"/>
      <c r="HB134" s="14"/>
      <c r="HC134" s="14"/>
      <c r="HD134" s="14"/>
      <c r="HE134" s="14"/>
      <c r="HF134" s="14"/>
      <c r="HG134" s="14"/>
      <c r="HH134" s="14"/>
      <c r="HI134" s="14"/>
      <c r="HJ134" s="14"/>
      <c r="HK134" s="14"/>
      <c r="HL134" s="14"/>
      <c r="HM134" s="14"/>
      <c r="HN134" s="14"/>
      <c r="HO134" s="14"/>
      <c r="HP134" s="14"/>
      <c r="HQ134" s="14"/>
      <c r="HR134" s="14"/>
      <c r="HS134" s="14"/>
      <c r="HT134" s="14"/>
      <c r="HU134" s="14"/>
      <c r="HX134" s="14"/>
      <c r="HY134" s="14"/>
      <c r="HZ134" s="14"/>
      <c r="IA134" s="14"/>
      <c r="IS134" s="14"/>
      <c r="IT134" s="14"/>
      <c r="IU134" s="14"/>
      <c r="JH134" s="14"/>
      <c r="JI134" s="14"/>
      <c r="JW134" s="14"/>
      <c r="JX134" s="14"/>
      <c r="LQ134" s="14"/>
      <c r="LR134" s="14"/>
      <c r="LS134" s="14"/>
      <c r="LT134" s="14"/>
      <c r="LU134" s="14"/>
      <c r="LV134" s="14"/>
      <c r="LW134" s="14"/>
      <c r="LY134" s="14"/>
      <c r="LZ134" s="14"/>
      <c r="MA134" s="14"/>
      <c r="MB134" s="14"/>
      <c r="MC134" s="14"/>
      <c r="MD134" s="14"/>
      <c r="ME134" s="14"/>
      <c r="MF134" s="14"/>
      <c r="MG134" s="14"/>
      <c r="MH134" s="14"/>
      <c r="MI134" s="14"/>
      <c r="MJ134" s="14"/>
      <c r="MK134" s="14"/>
      <c r="ML134" s="14"/>
      <c r="MM134" s="14"/>
      <c r="MN134" s="14"/>
      <c r="AJG134" s="14"/>
      <c r="AJO134" s="14"/>
      <c r="AJY134" s="14"/>
    </row>
    <row r="135" spans="1:961" ht="15" customHeight="1" x14ac:dyDescent="0.25">
      <c r="A135" s="14"/>
      <c r="B135" s="14"/>
      <c r="C135" s="14"/>
      <c r="D135" s="14"/>
      <c r="E135" s="14"/>
      <c r="F135" s="14"/>
      <c r="G135" s="14"/>
      <c r="H135" s="14"/>
      <c r="I135" s="14"/>
      <c r="J135" s="14"/>
      <c r="K135" s="14"/>
      <c r="L135" s="14"/>
      <c r="M135" s="14"/>
      <c r="N135" s="14"/>
      <c r="O135" s="14"/>
      <c r="P135" s="14"/>
      <c r="Q135" s="14"/>
      <c r="R135" s="14"/>
      <c r="S135" s="14"/>
      <c r="T135" s="14"/>
      <c r="U135" s="14"/>
      <c r="V135" s="14"/>
      <c r="W135" s="14"/>
      <c r="X135" s="14"/>
      <c r="Y135" s="14"/>
      <c r="Z135" s="14"/>
      <c r="AA135" s="14"/>
      <c r="AB135" s="14"/>
      <c r="AC135" s="14"/>
      <c r="AD135" s="14"/>
      <c r="AE135" s="14"/>
      <c r="AF135" s="14"/>
      <c r="AG135" s="14"/>
      <c r="AH135" s="14"/>
      <c r="AI135" s="14"/>
      <c r="AJ135" s="14"/>
      <c r="AK135" s="14"/>
      <c r="AL135" s="14"/>
      <c r="AM135" s="14"/>
      <c r="AN135" s="14"/>
      <c r="AO135" s="14"/>
      <c r="AP135" s="14"/>
      <c r="AQ135" s="14"/>
      <c r="AR135" s="14"/>
      <c r="AT135" s="14"/>
      <c r="AU135" s="14"/>
      <c r="AV135" s="14"/>
      <c r="AW135" s="14"/>
      <c r="AX135" s="14"/>
      <c r="AY135" s="14"/>
      <c r="AZ135" s="14"/>
      <c r="BA135" s="14"/>
      <c r="BB135" s="14"/>
      <c r="BC135" s="14"/>
      <c r="BD135" s="14"/>
      <c r="BE135" s="14"/>
      <c r="BF135" s="14"/>
      <c r="BG135" s="14"/>
      <c r="BH135" s="14"/>
      <c r="BI135" s="14"/>
      <c r="BJ135" s="14"/>
      <c r="BK135" s="14"/>
      <c r="BL135" s="14"/>
      <c r="BM135" s="14"/>
      <c r="BN135" s="14"/>
      <c r="BO135" s="14"/>
      <c r="BP135" s="14"/>
      <c r="BQ135" s="14"/>
      <c r="BR135" s="14"/>
      <c r="BS135" s="14"/>
      <c r="BT135" s="14"/>
      <c r="BU135" s="14"/>
      <c r="CE135" s="14"/>
      <c r="CF135" s="14"/>
      <c r="CG135" s="14"/>
      <c r="CH135" s="14"/>
      <c r="CI135" s="14"/>
      <c r="CJ135" s="14"/>
      <c r="CK135" s="14"/>
      <c r="CL135" s="14"/>
      <c r="CO135" s="14"/>
      <c r="CP135" s="14"/>
      <c r="CQ135" s="14"/>
      <c r="CR135" s="14"/>
      <c r="CS135" s="14"/>
      <c r="EK135" s="14"/>
      <c r="EL135" s="14"/>
      <c r="EM135" s="14"/>
      <c r="EN135" s="14"/>
      <c r="EO135" s="14"/>
      <c r="EP135" s="14"/>
      <c r="EQ135" s="14"/>
      <c r="ER135" s="14"/>
      <c r="ES135" s="14"/>
      <c r="ET135" s="14"/>
      <c r="EU135" s="14"/>
      <c r="EV135" s="14"/>
      <c r="EW135" s="14"/>
      <c r="EX135" s="14"/>
      <c r="EY135" s="14"/>
      <c r="EZ135" s="14"/>
      <c r="FA135" s="14"/>
      <c r="FB135" s="14"/>
      <c r="FC135" s="14"/>
      <c r="FD135" s="14"/>
      <c r="GW135" s="14"/>
      <c r="GX135" s="14"/>
      <c r="GY135" s="14"/>
      <c r="GZ135" s="14"/>
      <c r="HA135" s="14"/>
      <c r="HB135" s="14"/>
      <c r="HC135" s="14"/>
      <c r="HD135" s="14"/>
      <c r="HE135" s="14"/>
      <c r="HF135" s="14"/>
      <c r="HG135" s="14"/>
      <c r="HH135" s="14"/>
      <c r="HI135" s="14"/>
      <c r="HJ135" s="14"/>
      <c r="HK135" s="14"/>
      <c r="HL135" s="14"/>
      <c r="HM135" s="14"/>
      <c r="HN135" s="14"/>
      <c r="HO135" s="14"/>
      <c r="HP135" s="14"/>
      <c r="HQ135" s="14"/>
      <c r="HR135" s="14"/>
      <c r="HS135" s="14"/>
      <c r="HT135" s="14"/>
      <c r="HU135" s="14"/>
      <c r="HX135" s="14"/>
      <c r="HY135" s="14"/>
      <c r="HZ135" s="14"/>
      <c r="IA135" s="14"/>
      <c r="IS135" s="14"/>
      <c r="IT135" s="14"/>
      <c r="IU135" s="14"/>
      <c r="JH135" s="14"/>
      <c r="JI135" s="14"/>
      <c r="JW135" s="14"/>
      <c r="JX135" s="14"/>
      <c r="LQ135" s="14"/>
      <c r="LR135" s="14"/>
      <c r="LS135" s="14"/>
      <c r="LT135" s="14"/>
      <c r="LU135" s="14"/>
      <c r="LV135" s="14"/>
      <c r="LW135" s="14"/>
      <c r="LY135" s="14"/>
      <c r="LZ135" s="14"/>
      <c r="MA135" s="14"/>
      <c r="MB135" s="14"/>
      <c r="MC135" s="14"/>
      <c r="MD135" s="14"/>
      <c r="ME135" s="14"/>
      <c r="MF135" s="14"/>
      <c r="MG135" s="14"/>
      <c r="MH135" s="14"/>
      <c r="MI135" s="14"/>
      <c r="MJ135" s="14"/>
      <c r="MK135" s="14"/>
      <c r="ML135" s="14"/>
      <c r="MM135" s="14"/>
      <c r="MN135" s="14"/>
      <c r="AJG135" s="14"/>
      <c r="AJO135" s="14"/>
      <c r="AJY135" s="14"/>
    </row>
    <row r="136" spans="1:961" ht="15" customHeight="1" x14ac:dyDescent="0.25">
      <c r="A136" s="14"/>
      <c r="B136" s="14"/>
      <c r="C136" s="14"/>
      <c r="D136" s="14"/>
      <c r="E136" s="14"/>
      <c r="F136" s="14"/>
      <c r="G136" s="14"/>
      <c r="H136" s="14"/>
      <c r="I136" s="14"/>
      <c r="J136" s="14"/>
      <c r="K136" s="14"/>
      <c r="L136" s="14"/>
      <c r="M136" s="14"/>
      <c r="N136" s="14"/>
      <c r="O136" s="14"/>
      <c r="P136" s="14"/>
      <c r="Q136" s="14"/>
      <c r="R136" s="14"/>
      <c r="S136" s="14"/>
      <c r="T136" s="14"/>
      <c r="U136" s="14"/>
      <c r="V136" s="14"/>
      <c r="W136" s="14"/>
      <c r="X136" s="14"/>
      <c r="Y136" s="14"/>
      <c r="Z136" s="14"/>
      <c r="AA136" s="14"/>
      <c r="AB136" s="14"/>
      <c r="AC136" s="14"/>
      <c r="AD136" s="14"/>
      <c r="AE136" s="14"/>
      <c r="AF136" s="14"/>
      <c r="AG136" s="14"/>
      <c r="AH136" s="14"/>
      <c r="AI136" s="14"/>
      <c r="AJ136" s="14"/>
      <c r="AK136" s="14"/>
      <c r="AL136" s="14"/>
      <c r="AM136" s="14"/>
      <c r="AN136" s="14"/>
      <c r="AO136" s="14"/>
      <c r="AP136" s="14"/>
      <c r="AQ136" s="14"/>
      <c r="AR136" s="14"/>
      <c r="AT136" s="14"/>
      <c r="AU136" s="14"/>
      <c r="AV136" s="14"/>
      <c r="AW136" s="14"/>
      <c r="AX136" s="14"/>
      <c r="AY136" s="14"/>
      <c r="AZ136" s="14"/>
      <c r="BA136" s="14"/>
      <c r="BB136" s="14"/>
      <c r="BC136" s="14"/>
      <c r="BD136" s="14"/>
      <c r="BE136" s="14"/>
      <c r="BF136" s="14"/>
      <c r="BG136" s="14"/>
      <c r="BH136" s="14"/>
      <c r="BI136" s="14"/>
      <c r="BJ136" s="14"/>
      <c r="BK136" s="14"/>
      <c r="BL136" s="14"/>
      <c r="BM136" s="14"/>
      <c r="BN136" s="14"/>
      <c r="BO136" s="14"/>
      <c r="BP136" s="14"/>
      <c r="BQ136" s="14"/>
      <c r="BR136" s="14"/>
      <c r="BS136" s="14"/>
      <c r="BT136" s="14"/>
      <c r="BU136" s="14"/>
      <c r="CE136" s="14"/>
      <c r="CF136" s="14"/>
      <c r="CG136" s="14"/>
      <c r="CH136" s="14"/>
      <c r="CI136" s="14"/>
      <c r="CJ136" s="14"/>
      <c r="CK136" s="14"/>
      <c r="CL136" s="14"/>
      <c r="CO136" s="14"/>
      <c r="CP136" s="14"/>
      <c r="CQ136" s="14"/>
      <c r="CR136" s="14"/>
      <c r="CS136" s="14"/>
      <c r="EK136" s="14"/>
      <c r="EL136" s="14"/>
      <c r="EM136" s="14"/>
      <c r="EN136" s="14"/>
      <c r="EO136" s="14"/>
      <c r="EP136" s="14"/>
      <c r="EQ136" s="14"/>
      <c r="ER136" s="14"/>
      <c r="ES136" s="14"/>
      <c r="ET136" s="14"/>
      <c r="EU136" s="14"/>
      <c r="EV136" s="14"/>
      <c r="EW136" s="14"/>
      <c r="EX136" s="14"/>
      <c r="EY136" s="14"/>
      <c r="EZ136" s="14"/>
      <c r="FA136" s="14"/>
      <c r="FB136" s="14"/>
      <c r="FC136" s="14"/>
      <c r="FD136" s="14"/>
      <c r="GW136" s="14"/>
      <c r="GX136" s="14"/>
      <c r="GY136" s="14"/>
      <c r="GZ136" s="14"/>
      <c r="HA136" s="14"/>
      <c r="HB136" s="14"/>
      <c r="HC136" s="14"/>
      <c r="HD136" s="14"/>
      <c r="HE136" s="14"/>
      <c r="HF136" s="14"/>
      <c r="HG136" s="14"/>
      <c r="HH136" s="14"/>
      <c r="HI136" s="14"/>
      <c r="HJ136" s="14"/>
      <c r="HK136" s="14"/>
      <c r="HL136" s="14"/>
      <c r="HM136" s="14"/>
      <c r="HN136" s="14"/>
      <c r="HO136" s="14"/>
      <c r="HP136" s="14"/>
      <c r="HQ136" s="14"/>
      <c r="HR136" s="14"/>
      <c r="HS136" s="14"/>
      <c r="HT136" s="14"/>
      <c r="HU136" s="14"/>
      <c r="HX136" s="14"/>
      <c r="HY136" s="14"/>
      <c r="HZ136" s="14"/>
      <c r="IA136" s="14"/>
      <c r="IS136" s="14"/>
      <c r="IT136" s="14"/>
      <c r="IU136" s="14"/>
      <c r="JH136" s="14"/>
      <c r="JI136" s="14"/>
      <c r="JW136" s="14"/>
      <c r="JX136" s="14"/>
      <c r="LQ136" s="14"/>
      <c r="LR136" s="14"/>
      <c r="LS136" s="14"/>
      <c r="LT136" s="14"/>
      <c r="LU136" s="14"/>
      <c r="LV136" s="14"/>
      <c r="LW136" s="14"/>
      <c r="LY136" s="14"/>
      <c r="LZ136" s="14"/>
      <c r="MA136" s="14"/>
      <c r="MB136" s="14"/>
      <c r="MC136" s="14"/>
      <c r="MD136" s="14"/>
      <c r="ME136" s="14"/>
      <c r="MF136" s="14"/>
      <c r="MG136" s="14"/>
      <c r="MH136" s="14"/>
      <c r="MI136" s="14"/>
      <c r="MJ136" s="14"/>
      <c r="MK136" s="14"/>
      <c r="ML136" s="14"/>
      <c r="MM136" s="14"/>
      <c r="MN136" s="14"/>
      <c r="AJG136" s="14"/>
      <c r="AJO136" s="14"/>
      <c r="AJY136" s="14"/>
    </row>
    <row r="137" spans="1:961" ht="15" customHeight="1" x14ac:dyDescent="0.25">
      <c r="A137" s="14"/>
      <c r="B137" s="14"/>
      <c r="C137" s="14"/>
      <c r="D137" s="14"/>
      <c r="E137" s="14"/>
      <c r="F137" s="14"/>
      <c r="G137" s="14"/>
      <c r="H137" s="14"/>
      <c r="I137" s="14"/>
      <c r="J137" s="14"/>
      <c r="K137" s="14"/>
      <c r="L137" s="14"/>
      <c r="M137" s="14"/>
      <c r="N137" s="14"/>
      <c r="O137" s="14"/>
      <c r="P137" s="14"/>
      <c r="Q137" s="14"/>
      <c r="R137" s="14"/>
      <c r="S137" s="14"/>
      <c r="T137" s="14"/>
      <c r="U137" s="14"/>
      <c r="V137" s="14"/>
      <c r="W137" s="14"/>
      <c r="X137" s="14"/>
      <c r="Y137" s="14"/>
      <c r="Z137" s="14"/>
      <c r="AA137" s="14"/>
      <c r="AB137" s="14"/>
      <c r="AC137" s="14"/>
      <c r="AD137" s="14"/>
      <c r="AE137" s="14"/>
      <c r="AF137" s="14"/>
      <c r="AG137" s="14"/>
      <c r="AH137" s="14"/>
      <c r="AI137" s="14"/>
      <c r="AJ137" s="14"/>
      <c r="AK137" s="14"/>
      <c r="AL137" s="14"/>
      <c r="AM137" s="14"/>
      <c r="AN137" s="14"/>
      <c r="AO137" s="14"/>
      <c r="AP137" s="14"/>
      <c r="AQ137" s="14"/>
      <c r="AR137" s="14"/>
      <c r="AT137" s="14"/>
      <c r="AU137" s="14"/>
      <c r="AV137" s="14"/>
      <c r="AW137" s="14"/>
      <c r="AX137" s="14"/>
      <c r="AY137" s="14"/>
      <c r="AZ137" s="14"/>
      <c r="BA137" s="14"/>
      <c r="BB137" s="14"/>
      <c r="BC137" s="14"/>
      <c r="BD137" s="14"/>
      <c r="BE137" s="14"/>
      <c r="BF137" s="14"/>
      <c r="BG137" s="14"/>
      <c r="BH137" s="14"/>
      <c r="BI137" s="14"/>
      <c r="BJ137" s="14"/>
      <c r="BK137" s="14"/>
      <c r="BL137" s="14"/>
      <c r="BM137" s="14"/>
      <c r="BN137" s="14"/>
      <c r="BO137" s="14"/>
      <c r="BP137" s="14"/>
      <c r="BQ137" s="14"/>
      <c r="BR137" s="14"/>
      <c r="BS137" s="14"/>
      <c r="BT137" s="14"/>
      <c r="BU137" s="14"/>
      <c r="CE137" s="14"/>
      <c r="CF137" s="14"/>
      <c r="CG137" s="14"/>
      <c r="CH137" s="14"/>
      <c r="CI137" s="14"/>
      <c r="CJ137" s="14"/>
      <c r="CK137" s="14"/>
      <c r="CL137" s="14"/>
      <c r="CO137" s="14"/>
      <c r="CP137" s="14"/>
      <c r="CQ137" s="14"/>
      <c r="CR137" s="14"/>
      <c r="CS137" s="14"/>
      <c r="EK137" s="14"/>
      <c r="EL137" s="14"/>
      <c r="EM137" s="14"/>
      <c r="EN137" s="14"/>
      <c r="EO137" s="14"/>
      <c r="EP137" s="14"/>
      <c r="EQ137" s="14"/>
      <c r="ER137" s="14"/>
      <c r="ES137" s="14"/>
      <c r="ET137" s="14"/>
      <c r="EU137" s="14"/>
      <c r="EV137" s="14"/>
      <c r="EW137" s="14"/>
      <c r="EX137" s="14"/>
      <c r="EY137" s="14"/>
      <c r="EZ137" s="14"/>
      <c r="FA137" s="14"/>
      <c r="FB137" s="14"/>
      <c r="FC137" s="14"/>
      <c r="FD137" s="14"/>
      <c r="GW137" s="14"/>
      <c r="GX137" s="14"/>
      <c r="GY137" s="14"/>
      <c r="GZ137" s="14"/>
      <c r="HA137" s="14"/>
      <c r="HB137" s="14"/>
      <c r="HC137" s="14"/>
      <c r="HD137" s="14"/>
      <c r="HE137" s="14"/>
      <c r="HF137" s="14"/>
      <c r="HG137" s="14"/>
      <c r="HH137" s="14"/>
      <c r="HI137" s="14"/>
      <c r="HJ137" s="14"/>
      <c r="HK137" s="14"/>
      <c r="HL137" s="14"/>
      <c r="HM137" s="14"/>
      <c r="HN137" s="14"/>
      <c r="HO137" s="14"/>
      <c r="HP137" s="14"/>
      <c r="HQ137" s="14"/>
      <c r="HR137" s="14"/>
      <c r="HS137" s="14"/>
      <c r="HT137" s="14"/>
      <c r="HU137" s="14"/>
      <c r="HX137" s="14"/>
      <c r="HY137" s="14"/>
      <c r="HZ137" s="14"/>
      <c r="IA137" s="14"/>
      <c r="IS137" s="14"/>
      <c r="IT137" s="14"/>
      <c r="IU137" s="14"/>
      <c r="JH137" s="14"/>
      <c r="JI137" s="14"/>
      <c r="JW137" s="14"/>
      <c r="JX137" s="14"/>
      <c r="LQ137" s="14"/>
      <c r="LR137" s="14"/>
      <c r="LS137" s="14"/>
      <c r="LT137" s="14"/>
      <c r="LU137" s="14"/>
      <c r="LV137" s="14"/>
      <c r="LW137" s="14"/>
      <c r="LY137" s="14"/>
      <c r="LZ137" s="14"/>
      <c r="MA137" s="14"/>
      <c r="MB137" s="14"/>
      <c r="MC137" s="14"/>
      <c r="MD137" s="14"/>
      <c r="ME137" s="14"/>
      <c r="MF137" s="14"/>
      <c r="MG137" s="14"/>
      <c r="MH137" s="14"/>
      <c r="MI137" s="14"/>
      <c r="MJ137" s="14"/>
      <c r="MK137" s="14"/>
      <c r="ML137" s="14"/>
      <c r="MM137" s="14"/>
      <c r="MN137" s="14"/>
      <c r="AJG137" s="14"/>
      <c r="AJO137" s="14"/>
      <c r="AJY137" s="14"/>
    </row>
    <row r="138" spans="1:961" ht="15" customHeight="1" x14ac:dyDescent="0.25">
      <c r="A138" s="14"/>
      <c r="B138" s="14"/>
      <c r="C138" s="14"/>
      <c r="D138" s="14"/>
      <c r="E138" s="14"/>
      <c r="F138" s="14"/>
      <c r="G138" s="14"/>
      <c r="H138" s="14"/>
      <c r="I138" s="14"/>
      <c r="J138" s="14"/>
      <c r="K138" s="14"/>
      <c r="L138" s="14"/>
      <c r="M138" s="14"/>
      <c r="N138" s="14"/>
      <c r="O138" s="14"/>
      <c r="P138" s="14"/>
      <c r="Q138" s="14"/>
      <c r="R138" s="14"/>
      <c r="S138" s="14"/>
      <c r="T138" s="14"/>
      <c r="U138" s="14"/>
      <c r="V138" s="14"/>
      <c r="W138" s="14"/>
      <c r="X138" s="14"/>
      <c r="Y138" s="14"/>
      <c r="Z138" s="14"/>
      <c r="AA138" s="14"/>
      <c r="AB138" s="14"/>
      <c r="AC138" s="14"/>
      <c r="AD138" s="14"/>
      <c r="AE138" s="14"/>
      <c r="AF138" s="14"/>
      <c r="AG138" s="14"/>
      <c r="AH138" s="14"/>
      <c r="AI138" s="14"/>
      <c r="AJ138" s="14"/>
      <c r="AK138" s="14"/>
      <c r="AL138" s="14"/>
      <c r="AM138" s="14"/>
      <c r="AN138" s="14"/>
      <c r="AO138" s="14"/>
      <c r="AP138" s="14"/>
      <c r="AQ138" s="14"/>
      <c r="AR138" s="14"/>
      <c r="AT138" s="14"/>
      <c r="AU138" s="14"/>
      <c r="AV138" s="14"/>
      <c r="AW138" s="14"/>
      <c r="AX138" s="14"/>
      <c r="AY138" s="14"/>
      <c r="AZ138" s="14"/>
      <c r="BA138" s="14"/>
      <c r="BB138" s="14"/>
      <c r="BC138" s="14"/>
      <c r="BD138" s="14"/>
      <c r="BE138" s="14"/>
      <c r="BF138" s="14"/>
      <c r="BG138" s="14"/>
      <c r="BH138" s="14"/>
      <c r="BI138" s="14"/>
      <c r="BJ138" s="14"/>
      <c r="BK138" s="14"/>
      <c r="BL138" s="14"/>
      <c r="BM138" s="14"/>
      <c r="BN138" s="14"/>
      <c r="BO138" s="14"/>
      <c r="BP138" s="14"/>
      <c r="BQ138" s="14"/>
      <c r="BR138" s="14"/>
      <c r="BS138" s="14"/>
      <c r="BT138" s="14"/>
      <c r="BU138" s="14"/>
      <c r="CE138" s="14"/>
      <c r="CF138" s="14"/>
      <c r="CG138" s="14"/>
      <c r="CH138" s="14"/>
      <c r="CI138" s="14"/>
      <c r="CJ138" s="14"/>
      <c r="CK138" s="14"/>
      <c r="CL138" s="14"/>
      <c r="CO138" s="14"/>
      <c r="CP138" s="14"/>
      <c r="CQ138" s="14"/>
      <c r="CR138" s="14"/>
      <c r="CS138" s="14"/>
      <c r="EK138" s="14"/>
      <c r="EL138" s="14"/>
      <c r="EM138" s="14"/>
      <c r="EN138" s="14"/>
      <c r="EO138" s="14"/>
      <c r="EP138" s="14"/>
      <c r="EQ138" s="14"/>
      <c r="ER138" s="14"/>
      <c r="ES138" s="14"/>
      <c r="ET138" s="14"/>
      <c r="EU138" s="14"/>
      <c r="EV138" s="14"/>
      <c r="EW138" s="14"/>
      <c r="EX138" s="14"/>
      <c r="EY138" s="14"/>
      <c r="EZ138" s="14"/>
      <c r="FA138" s="14"/>
      <c r="FB138" s="14"/>
      <c r="FC138" s="14"/>
      <c r="FD138" s="14"/>
      <c r="GW138" s="14"/>
      <c r="GX138" s="14"/>
      <c r="GY138" s="14"/>
      <c r="GZ138" s="14"/>
      <c r="HA138" s="14"/>
      <c r="HB138" s="14"/>
      <c r="HC138" s="14"/>
      <c r="HD138" s="14"/>
      <c r="HE138" s="14"/>
      <c r="HF138" s="14"/>
      <c r="HG138" s="14"/>
      <c r="HH138" s="14"/>
      <c r="HI138" s="14"/>
      <c r="HJ138" s="14"/>
      <c r="HK138" s="14"/>
      <c r="HL138" s="14"/>
      <c r="HM138" s="14"/>
      <c r="HN138" s="14"/>
      <c r="HO138" s="14"/>
      <c r="HP138" s="14"/>
      <c r="HQ138" s="14"/>
      <c r="HR138" s="14"/>
      <c r="HS138" s="14"/>
      <c r="HT138" s="14"/>
      <c r="HU138" s="14"/>
      <c r="HX138" s="14"/>
      <c r="HY138" s="14"/>
      <c r="HZ138" s="14"/>
      <c r="IA138" s="14"/>
      <c r="IS138" s="14"/>
      <c r="IT138" s="14"/>
      <c r="IU138" s="14"/>
      <c r="JH138" s="14"/>
      <c r="JI138" s="14"/>
      <c r="JW138" s="14"/>
      <c r="JX138" s="14"/>
      <c r="LQ138" s="14"/>
      <c r="LR138" s="14"/>
      <c r="LS138" s="14"/>
      <c r="LT138" s="14"/>
      <c r="LU138" s="14"/>
      <c r="LV138" s="14"/>
      <c r="LW138" s="14"/>
      <c r="LY138" s="14"/>
      <c r="LZ138" s="14"/>
      <c r="MA138" s="14"/>
      <c r="MB138" s="14"/>
      <c r="MC138" s="14"/>
      <c r="MD138" s="14"/>
      <c r="ME138" s="14"/>
      <c r="MF138" s="14"/>
      <c r="MG138" s="14"/>
      <c r="MH138" s="14"/>
      <c r="MI138" s="14"/>
      <c r="MJ138" s="14"/>
      <c r="MK138" s="14"/>
      <c r="ML138" s="14"/>
      <c r="MM138" s="14"/>
      <c r="MN138" s="14"/>
      <c r="AJG138" s="14"/>
      <c r="AJO138" s="14"/>
      <c r="AJY138" s="14"/>
    </row>
    <row r="139" spans="1:961" ht="15" customHeight="1" x14ac:dyDescent="0.25">
      <c r="A139" s="14"/>
      <c r="B139" s="14"/>
      <c r="C139" s="14"/>
      <c r="D139" s="14"/>
      <c r="E139" s="14"/>
      <c r="F139" s="14"/>
      <c r="G139" s="14"/>
      <c r="H139" s="14"/>
      <c r="I139" s="14"/>
      <c r="J139" s="14"/>
      <c r="K139" s="14"/>
      <c r="L139" s="14"/>
      <c r="M139" s="14"/>
      <c r="N139" s="14"/>
      <c r="O139" s="14"/>
      <c r="P139" s="14"/>
      <c r="Q139" s="14"/>
      <c r="R139" s="14"/>
      <c r="S139" s="14"/>
      <c r="T139" s="14"/>
      <c r="U139" s="14"/>
      <c r="V139" s="14"/>
      <c r="W139" s="14"/>
      <c r="X139" s="14"/>
      <c r="Y139" s="14"/>
      <c r="Z139" s="14"/>
      <c r="AA139" s="14"/>
      <c r="AB139" s="14"/>
      <c r="AC139" s="14"/>
      <c r="AD139" s="14"/>
      <c r="AE139" s="14"/>
      <c r="AF139" s="14"/>
      <c r="AG139" s="14"/>
      <c r="AH139" s="14"/>
      <c r="AI139" s="14"/>
      <c r="AJ139" s="14"/>
      <c r="AK139" s="14"/>
      <c r="AL139" s="14"/>
      <c r="AM139" s="14"/>
      <c r="AN139" s="14"/>
      <c r="AO139" s="14"/>
      <c r="AP139" s="14"/>
      <c r="AQ139" s="14"/>
      <c r="AR139" s="14"/>
      <c r="AT139" s="14"/>
      <c r="AU139" s="14"/>
      <c r="AV139" s="14"/>
      <c r="AW139" s="14"/>
      <c r="AX139" s="14"/>
      <c r="AY139" s="14"/>
      <c r="AZ139" s="14"/>
      <c r="BA139" s="14"/>
      <c r="BB139" s="14"/>
      <c r="BC139" s="14"/>
      <c r="BD139" s="14"/>
      <c r="BE139" s="14"/>
      <c r="BF139" s="14"/>
      <c r="BG139" s="14"/>
      <c r="BH139" s="14"/>
      <c r="BI139" s="14"/>
      <c r="BJ139" s="14"/>
      <c r="BK139" s="14"/>
      <c r="BL139" s="14"/>
      <c r="BM139" s="14"/>
      <c r="BN139" s="14"/>
      <c r="BO139" s="14"/>
      <c r="BP139" s="14"/>
      <c r="BQ139" s="14"/>
      <c r="BR139" s="14"/>
      <c r="BS139" s="14"/>
      <c r="BT139" s="14"/>
      <c r="BU139" s="14"/>
      <c r="CE139" s="14"/>
      <c r="CF139" s="14"/>
      <c r="CG139" s="14"/>
      <c r="CH139" s="14"/>
      <c r="CI139" s="14"/>
      <c r="CJ139" s="14"/>
      <c r="CK139" s="14"/>
      <c r="CL139" s="14"/>
      <c r="CO139" s="14"/>
      <c r="CP139" s="14"/>
      <c r="CQ139" s="14"/>
      <c r="CR139" s="14"/>
      <c r="CS139" s="14"/>
      <c r="EK139" s="14"/>
      <c r="EL139" s="14"/>
      <c r="EM139" s="14"/>
      <c r="EN139" s="14"/>
      <c r="EO139" s="14"/>
      <c r="EP139" s="14"/>
      <c r="EQ139" s="14"/>
      <c r="ER139" s="14"/>
      <c r="ES139" s="14"/>
      <c r="ET139" s="14"/>
      <c r="EU139" s="14"/>
      <c r="EV139" s="14"/>
      <c r="EW139" s="14"/>
      <c r="EX139" s="14"/>
      <c r="EY139" s="14"/>
      <c r="EZ139" s="14"/>
      <c r="FA139" s="14"/>
      <c r="FB139" s="14"/>
      <c r="FC139" s="14"/>
      <c r="FD139" s="14"/>
      <c r="GW139" s="14"/>
      <c r="GX139" s="14"/>
      <c r="GY139" s="14"/>
      <c r="GZ139" s="14"/>
      <c r="HA139" s="14"/>
      <c r="HB139" s="14"/>
      <c r="HC139" s="14"/>
      <c r="HD139" s="14"/>
      <c r="HE139" s="14"/>
      <c r="HF139" s="14"/>
      <c r="HG139" s="14"/>
      <c r="HH139" s="14"/>
      <c r="HI139" s="14"/>
      <c r="HJ139" s="14"/>
      <c r="HK139" s="14"/>
      <c r="HL139" s="14"/>
      <c r="HM139" s="14"/>
      <c r="HN139" s="14"/>
      <c r="HO139" s="14"/>
      <c r="HP139" s="14"/>
      <c r="HQ139" s="14"/>
      <c r="HR139" s="14"/>
      <c r="HS139" s="14"/>
      <c r="HT139" s="14"/>
      <c r="HU139" s="14"/>
      <c r="HX139" s="14"/>
      <c r="HY139" s="14"/>
      <c r="HZ139" s="14"/>
      <c r="IA139" s="14"/>
      <c r="IS139" s="14"/>
      <c r="IT139" s="14"/>
      <c r="IU139" s="14"/>
      <c r="JH139" s="14"/>
      <c r="JI139" s="14"/>
      <c r="JW139" s="14"/>
      <c r="JX139" s="14"/>
      <c r="LQ139" s="14"/>
      <c r="LR139" s="14"/>
      <c r="LS139" s="14"/>
      <c r="LT139" s="14"/>
      <c r="LU139" s="14"/>
      <c r="LV139" s="14"/>
      <c r="LW139" s="14"/>
      <c r="LY139" s="14"/>
      <c r="LZ139" s="14"/>
      <c r="MA139" s="14"/>
      <c r="MB139" s="14"/>
      <c r="MC139" s="14"/>
      <c r="MD139" s="14"/>
      <c r="ME139" s="14"/>
      <c r="MF139" s="14"/>
      <c r="MG139" s="14"/>
      <c r="MH139" s="14"/>
      <c r="MI139" s="14"/>
      <c r="MJ139" s="14"/>
      <c r="MK139" s="14"/>
      <c r="ML139" s="14"/>
      <c r="MM139" s="14"/>
      <c r="MN139" s="14"/>
      <c r="AJG139" s="14"/>
      <c r="AJO139" s="14"/>
      <c r="AJY139" s="14"/>
    </row>
    <row r="140" spans="1:961" ht="15" customHeight="1" x14ac:dyDescent="0.25">
      <c r="A140" s="14"/>
      <c r="B140" s="14"/>
      <c r="C140" s="14"/>
      <c r="D140" s="14"/>
      <c r="E140" s="14"/>
      <c r="F140" s="14"/>
      <c r="G140" s="14"/>
      <c r="H140" s="14"/>
      <c r="I140" s="14"/>
      <c r="J140" s="14"/>
      <c r="K140" s="14"/>
      <c r="L140" s="14"/>
      <c r="M140" s="14"/>
      <c r="N140" s="14"/>
      <c r="O140" s="14"/>
      <c r="P140" s="14"/>
      <c r="Q140" s="14"/>
      <c r="R140" s="14"/>
      <c r="S140" s="14"/>
      <c r="T140" s="14"/>
      <c r="U140" s="14"/>
      <c r="V140" s="14"/>
      <c r="W140" s="14"/>
      <c r="X140" s="14"/>
      <c r="Y140" s="14"/>
      <c r="Z140" s="14"/>
      <c r="AA140" s="14"/>
      <c r="AB140" s="14"/>
      <c r="AC140" s="14"/>
      <c r="AD140" s="14"/>
      <c r="AE140" s="14"/>
      <c r="AF140" s="14"/>
      <c r="AG140" s="14"/>
      <c r="AH140" s="14"/>
      <c r="AI140" s="14"/>
      <c r="AJ140" s="14"/>
      <c r="AK140" s="14"/>
      <c r="AL140" s="14"/>
      <c r="AM140" s="14"/>
      <c r="AN140" s="14"/>
      <c r="AO140" s="14"/>
      <c r="AP140" s="14"/>
      <c r="AQ140" s="14"/>
      <c r="AR140" s="14"/>
      <c r="AT140" s="14"/>
      <c r="AU140" s="14"/>
      <c r="AV140" s="14"/>
      <c r="AW140" s="14"/>
      <c r="AX140" s="14"/>
      <c r="AY140" s="14"/>
      <c r="AZ140" s="14"/>
      <c r="BA140" s="14"/>
      <c r="BB140" s="14"/>
      <c r="BC140" s="14"/>
      <c r="BD140" s="14"/>
      <c r="BE140" s="14"/>
      <c r="BF140" s="14"/>
      <c r="BG140" s="14"/>
      <c r="BH140" s="14"/>
      <c r="BI140" s="14"/>
      <c r="BJ140" s="14"/>
      <c r="BK140" s="14"/>
      <c r="BL140" s="14"/>
      <c r="BM140" s="14"/>
      <c r="BN140" s="14"/>
      <c r="BO140" s="14"/>
      <c r="BP140" s="14"/>
      <c r="BQ140" s="14"/>
      <c r="BR140" s="14"/>
      <c r="BS140" s="14"/>
      <c r="BT140" s="14"/>
      <c r="BU140" s="14"/>
      <c r="CE140" s="14"/>
      <c r="CF140" s="14"/>
      <c r="CG140" s="14"/>
      <c r="CH140" s="14"/>
      <c r="CI140" s="14"/>
      <c r="CJ140" s="14"/>
      <c r="CK140" s="14"/>
      <c r="CL140" s="14"/>
      <c r="CO140" s="14"/>
      <c r="CP140" s="14"/>
      <c r="CQ140" s="14"/>
      <c r="CR140" s="14"/>
      <c r="CS140" s="14"/>
      <c r="EK140" s="14"/>
      <c r="EL140" s="14"/>
      <c r="EM140" s="14"/>
      <c r="EN140" s="14"/>
      <c r="EO140" s="14"/>
      <c r="EP140" s="14"/>
      <c r="EQ140" s="14"/>
      <c r="ER140" s="14"/>
      <c r="ES140" s="14"/>
      <c r="ET140" s="14"/>
      <c r="EU140" s="14"/>
      <c r="EV140" s="14"/>
      <c r="EW140" s="14"/>
      <c r="EX140" s="14"/>
      <c r="EY140" s="14"/>
      <c r="EZ140" s="14"/>
      <c r="FA140" s="14"/>
      <c r="FB140" s="14"/>
      <c r="FC140" s="14"/>
      <c r="FD140" s="14"/>
      <c r="GW140" s="14"/>
      <c r="GX140" s="14"/>
      <c r="GY140" s="14"/>
      <c r="GZ140" s="14"/>
      <c r="HA140" s="14"/>
      <c r="HB140" s="14"/>
      <c r="HC140" s="14"/>
      <c r="HD140" s="14"/>
      <c r="HE140" s="14"/>
      <c r="HF140" s="14"/>
      <c r="HG140" s="14"/>
      <c r="HH140" s="14"/>
      <c r="HI140" s="14"/>
      <c r="HJ140" s="14"/>
      <c r="HK140" s="14"/>
      <c r="HL140" s="14"/>
      <c r="HM140" s="14"/>
      <c r="HN140" s="14"/>
      <c r="HO140" s="14"/>
      <c r="HP140" s="14"/>
      <c r="HQ140" s="14"/>
      <c r="HR140" s="14"/>
      <c r="HS140" s="14"/>
      <c r="HT140" s="14"/>
      <c r="HU140" s="14"/>
      <c r="HX140" s="14"/>
      <c r="HY140" s="14"/>
      <c r="HZ140" s="14"/>
      <c r="IA140" s="14"/>
      <c r="IS140" s="14"/>
      <c r="IT140" s="14"/>
      <c r="IU140" s="14"/>
      <c r="JH140" s="14"/>
      <c r="JI140" s="14"/>
      <c r="JW140" s="14"/>
      <c r="JX140" s="14"/>
      <c r="LQ140" s="14"/>
      <c r="LR140" s="14"/>
      <c r="LS140" s="14"/>
      <c r="LT140" s="14"/>
      <c r="LU140" s="14"/>
      <c r="LV140" s="14"/>
      <c r="LW140" s="14"/>
      <c r="LY140" s="14"/>
      <c r="LZ140" s="14"/>
      <c r="MA140" s="14"/>
      <c r="MB140" s="14"/>
      <c r="MC140" s="14"/>
      <c r="MD140" s="14"/>
      <c r="ME140" s="14"/>
      <c r="MF140" s="14"/>
      <c r="MG140" s="14"/>
      <c r="MH140" s="14"/>
      <c r="MI140" s="14"/>
      <c r="MJ140" s="14"/>
      <c r="MK140" s="14"/>
      <c r="ML140" s="14"/>
      <c r="MM140" s="14"/>
      <c r="MN140" s="14"/>
      <c r="AJG140" s="14"/>
      <c r="AJO140" s="14"/>
      <c r="AJY140" s="14"/>
    </row>
    <row r="141" spans="1:961" ht="15" customHeight="1" x14ac:dyDescent="0.25">
      <c r="A141" s="14"/>
      <c r="B141" s="14"/>
      <c r="C141" s="14"/>
      <c r="D141" s="14"/>
      <c r="E141" s="14"/>
      <c r="F141" s="14"/>
      <c r="G141" s="14"/>
      <c r="H141" s="14"/>
      <c r="I141" s="14"/>
      <c r="J141" s="14"/>
      <c r="K141" s="14"/>
      <c r="L141" s="14"/>
      <c r="M141" s="14"/>
      <c r="N141" s="14"/>
      <c r="O141" s="14"/>
      <c r="P141" s="14"/>
      <c r="Q141" s="14"/>
      <c r="R141" s="14"/>
      <c r="S141" s="14"/>
      <c r="T141" s="14"/>
      <c r="U141" s="14"/>
      <c r="V141" s="14"/>
      <c r="W141" s="14"/>
      <c r="X141" s="14"/>
      <c r="Y141" s="14"/>
      <c r="Z141" s="14"/>
      <c r="AA141" s="14"/>
      <c r="AB141" s="14"/>
      <c r="AC141" s="14"/>
      <c r="AD141" s="14"/>
      <c r="AE141" s="14"/>
      <c r="AF141" s="14"/>
      <c r="AG141" s="14"/>
      <c r="AH141" s="14"/>
      <c r="AI141" s="14"/>
      <c r="AJ141" s="14"/>
      <c r="AK141" s="14"/>
      <c r="AL141" s="14"/>
      <c r="AM141" s="14"/>
      <c r="AN141" s="14"/>
      <c r="AO141" s="14"/>
      <c r="AP141" s="14"/>
      <c r="AQ141" s="14"/>
      <c r="AR141" s="14"/>
      <c r="AT141" s="14"/>
      <c r="AU141" s="14"/>
      <c r="AV141" s="14"/>
      <c r="AW141" s="14"/>
      <c r="AX141" s="14"/>
      <c r="AY141" s="14"/>
      <c r="AZ141" s="14"/>
      <c r="BA141" s="14"/>
      <c r="BB141" s="14"/>
      <c r="BC141" s="14"/>
      <c r="BD141" s="14"/>
      <c r="BE141" s="14"/>
      <c r="BF141" s="14"/>
      <c r="BG141" s="14"/>
      <c r="BH141" s="14"/>
      <c r="BI141" s="14"/>
      <c r="BJ141" s="14"/>
      <c r="BK141" s="14"/>
      <c r="BL141" s="14"/>
      <c r="BM141" s="14"/>
      <c r="BN141" s="14"/>
      <c r="BO141" s="14"/>
      <c r="BP141" s="14"/>
      <c r="BQ141" s="14"/>
      <c r="BR141" s="14"/>
      <c r="BS141" s="14"/>
      <c r="BT141" s="14"/>
      <c r="BU141" s="14"/>
      <c r="CE141" s="14"/>
      <c r="CF141" s="14"/>
      <c r="CG141" s="14"/>
      <c r="CH141" s="14"/>
      <c r="CI141" s="14"/>
      <c r="CJ141" s="14"/>
      <c r="CK141" s="14"/>
      <c r="CL141" s="14"/>
      <c r="CO141" s="14"/>
      <c r="CP141" s="14"/>
      <c r="CQ141" s="14"/>
      <c r="CR141" s="14"/>
      <c r="CS141" s="14"/>
      <c r="EK141" s="14"/>
      <c r="EL141" s="14"/>
      <c r="EM141" s="14"/>
      <c r="EN141" s="14"/>
      <c r="EO141" s="14"/>
      <c r="EP141" s="14"/>
      <c r="EQ141" s="14"/>
      <c r="ER141" s="14"/>
      <c r="ES141" s="14"/>
      <c r="ET141" s="14"/>
      <c r="EU141" s="14"/>
      <c r="EV141" s="14"/>
      <c r="EW141" s="14"/>
      <c r="EX141" s="14"/>
      <c r="EY141" s="14"/>
      <c r="EZ141" s="14"/>
      <c r="FA141" s="14"/>
      <c r="FB141" s="14"/>
      <c r="FC141" s="14"/>
      <c r="FD141" s="14"/>
      <c r="GW141" s="14"/>
      <c r="GX141" s="14"/>
      <c r="GY141" s="14"/>
      <c r="GZ141" s="14"/>
      <c r="HA141" s="14"/>
      <c r="HB141" s="14"/>
      <c r="HC141" s="14"/>
      <c r="HD141" s="14"/>
      <c r="HE141" s="14"/>
      <c r="HF141" s="14"/>
      <c r="HG141" s="14"/>
      <c r="HH141" s="14"/>
      <c r="HI141" s="14"/>
      <c r="HJ141" s="14"/>
      <c r="HK141" s="14"/>
      <c r="HL141" s="14"/>
      <c r="HM141" s="14"/>
      <c r="HN141" s="14"/>
      <c r="HO141" s="14"/>
      <c r="HP141" s="14"/>
      <c r="HQ141" s="14"/>
      <c r="HR141" s="14"/>
      <c r="HS141" s="14"/>
      <c r="HT141" s="14"/>
      <c r="HU141" s="14"/>
      <c r="HX141" s="14"/>
      <c r="HY141" s="14"/>
      <c r="HZ141" s="14"/>
      <c r="IA141" s="14"/>
      <c r="IS141" s="14"/>
      <c r="IT141" s="14"/>
      <c r="IU141" s="14"/>
      <c r="JH141" s="14"/>
      <c r="JI141" s="14"/>
      <c r="JW141" s="14"/>
      <c r="JX141" s="14"/>
      <c r="LQ141" s="14"/>
      <c r="LR141" s="14"/>
      <c r="LS141" s="14"/>
      <c r="LT141" s="14"/>
      <c r="LU141" s="14"/>
      <c r="LV141" s="14"/>
      <c r="LW141" s="14"/>
      <c r="LY141" s="14"/>
      <c r="LZ141" s="14"/>
      <c r="MA141" s="14"/>
      <c r="MB141" s="14"/>
      <c r="MC141" s="14"/>
      <c r="MD141" s="14"/>
      <c r="ME141" s="14"/>
      <c r="MF141" s="14"/>
      <c r="MG141" s="14"/>
      <c r="MH141" s="14"/>
      <c r="MI141" s="14"/>
      <c r="MJ141" s="14"/>
      <c r="MK141" s="14"/>
      <c r="ML141" s="14"/>
      <c r="MM141" s="14"/>
      <c r="MN141" s="14"/>
      <c r="AJG141" s="14"/>
      <c r="AJO141" s="14"/>
      <c r="AJY141" s="14"/>
    </row>
    <row r="142" spans="1:961" ht="15" customHeight="1" x14ac:dyDescent="0.25">
      <c r="A142" s="14"/>
      <c r="B142" s="14"/>
      <c r="C142" s="14"/>
      <c r="D142" s="14"/>
      <c r="E142" s="14"/>
      <c r="F142" s="14"/>
      <c r="G142" s="14"/>
      <c r="H142" s="14"/>
      <c r="I142" s="14"/>
      <c r="J142" s="14"/>
      <c r="K142" s="14"/>
      <c r="L142" s="14"/>
      <c r="M142" s="14"/>
      <c r="N142" s="14"/>
      <c r="O142" s="14"/>
      <c r="P142" s="14"/>
      <c r="Q142" s="14"/>
      <c r="R142" s="14"/>
      <c r="S142" s="14"/>
      <c r="T142" s="14"/>
      <c r="U142" s="14"/>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c r="AT142" s="14"/>
      <c r="AU142" s="14"/>
      <c r="AV142" s="14"/>
      <c r="AW142" s="14"/>
      <c r="AX142" s="14"/>
      <c r="AY142" s="14"/>
      <c r="AZ142" s="14"/>
      <c r="BA142" s="14"/>
      <c r="BB142" s="14"/>
      <c r="BC142" s="14"/>
      <c r="BD142" s="14"/>
      <c r="BE142" s="14"/>
      <c r="BF142" s="14"/>
      <c r="BG142" s="14"/>
      <c r="BH142" s="14"/>
      <c r="BI142" s="14"/>
      <c r="BJ142" s="14"/>
      <c r="BK142" s="14"/>
      <c r="BL142" s="14"/>
      <c r="BM142" s="14"/>
      <c r="BN142" s="14"/>
      <c r="BO142" s="14"/>
      <c r="BP142" s="14"/>
      <c r="BQ142" s="14"/>
      <c r="BR142" s="14"/>
      <c r="BS142" s="14"/>
      <c r="BT142" s="14"/>
      <c r="BU142" s="14"/>
      <c r="CE142" s="14"/>
      <c r="CF142" s="14"/>
      <c r="CG142" s="14"/>
      <c r="CH142" s="14"/>
      <c r="CI142" s="14"/>
      <c r="CJ142" s="14"/>
      <c r="CK142" s="14"/>
      <c r="CL142" s="14"/>
      <c r="CO142" s="14"/>
      <c r="CP142" s="14"/>
      <c r="CQ142" s="14"/>
      <c r="CR142" s="14"/>
      <c r="CS142" s="14"/>
      <c r="EK142" s="14"/>
      <c r="EL142" s="14"/>
      <c r="EM142" s="14"/>
      <c r="EN142" s="14"/>
      <c r="EO142" s="14"/>
      <c r="EP142" s="14"/>
      <c r="EQ142" s="14"/>
      <c r="ER142" s="14"/>
      <c r="ES142" s="14"/>
      <c r="ET142" s="14"/>
      <c r="EU142" s="14"/>
      <c r="EV142" s="14"/>
      <c r="EW142" s="14"/>
      <c r="EX142" s="14"/>
      <c r="EY142" s="14"/>
      <c r="EZ142" s="14"/>
      <c r="FA142" s="14"/>
      <c r="FB142" s="14"/>
      <c r="FC142" s="14"/>
      <c r="FD142" s="14"/>
      <c r="GW142" s="14"/>
      <c r="GX142" s="14"/>
      <c r="GY142" s="14"/>
      <c r="GZ142" s="14"/>
      <c r="HA142" s="14"/>
      <c r="HB142" s="14"/>
      <c r="HC142" s="14"/>
      <c r="HD142" s="14"/>
      <c r="HE142" s="14"/>
      <c r="HF142" s="14"/>
      <c r="HG142" s="14"/>
      <c r="HH142" s="14"/>
      <c r="HI142" s="14"/>
      <c r="HJ142" s="14"/>
      <c r="HK142" s="14"/>
      <c r="HL142" s="14"/>
      <c r="HM142" s="14"/>
      <c r="HN142" s="14"/>
      <c r="HO142" s="14"/>
      <c r="HP142" s="14"/>
      <c r="HQ142" s="14"/>
      <c r="HR142" s="14"/>
      <c r="HS142" s="14"/>
      <c r="HT142" s="14"/>
      <c r="HU142" s="14"/>
      <c r="HX142" s="14"/>
      <c r="HY142" s="14"/>
      <c r="HZ142" s="14"/>
      <c r="IA142" s="14"/>
      <c r="IS142" s="14"/>
      <c r="IT142" s="14"/>
      <c r="IU142" s="14"/>
      <c r="JH142" s="14"/>
      <c r="JI142" s="14"/>
      <c r="JW142" s="14"/>
      <c r="JX142" s="14"/>
      <c r="LQ142" s="14"/>
      <c r="LR142" s="14"/>
      <c r="LS142" s="14"/>
      <c r="LT142" s="14"/>
      <c r="LU142" s="14"/>
      <c r="LV142" s="14"/>
      <c r="LW142" s="14"/>
      <c r="LY142" s="14"/>
      <c r="LZ142" s="14"/>
      <c r="MA142" s="14"/>
      <c r="MB142" s="14"/>
      <c r="MC142" s="14"/>
      <c r="MD142" s="14"/>
      <c r="ME142" s="14"/>
      <c r="MF142" s="14"/>
      <c r="MG142" s="14"/>
      <c r="MH142" s="14"/>
      <c r="MI142" s="14"/>
      <c r="MJ142" s="14"/>
      <c r="MK142" s="14"/>
      <c r="ML142" s="14"/>
      <c r="MM142" s="14"/>
      <c r="MN142" s="14"/>
      <c r="AJG142" s="14"/>
      <c r="AJO142" s="14"/>
      <c r="AJY142" s="14"/>
    </row>
    <row r="143" spans="1:961" ht="15" customHeight="1" x14ac:dyDescent="0.25">
      <c r="A143" s="14"/>
      <c r="B143" s="14"/>
      <c r="C143" s="14"/>
      <c r="D143" s="14"/>
      <c r="E143" s="14"/>
      <c r="F143" s="14"/>
      <c r="G143" s="14"/>
      <c r="H143" s="14"/>
      <c r="I143" s="14"/>
      <c r="J143" s="14"/>
      <c r="K143" s="14"/>
      <c r="L143" s="14"/>
      <c r="M143" s="14"/>
      <c r="N143" s="14"/>
      <c r="O143" s="14"/>
      <c r="P143" s="14"/>
      <c r="Q143" s="14"/>
      <c r="R143" s="14"/>
      <c r="S143" s="14"/>
      <c r="T143" s="14"/>
      <c r="U143" s="14"/>
      <c r="V143" s="14"/>
      <c r="W143" s="14"/>
      <c r="X143" s="14"/>
      <c r="Y143" s="14"/>
      <c r="Z143" s="14"/>
      <c r="AA143" s="14"/>
      <c r="AB143" s="14"/>
      <c r="AC143" s="14"/>
      <c r="AD143" s="14"/>
      <c r="AE143" s="14"/>
      <c r="AF143" s="14"/>
      <c r="AG143" s="14"/>
      <c r="AH143" s="14"/>
      <c r="AI143" s="14"/>
      <c r="AJ143" s="14"/>
      <c r="AK143" s="14"/>
      <c r="AL143" s="14"/>
      <c r="AM143" s="14"/>
      <c r="AN143" s="14"/>
      <c r="AO143" s="14"/>
      <c r="AP143" s="14"/>
      <c r="AQ143" s="14"/>
      <c r="AR143" s="14"/>
      <c r="AT143" s="14"/>
      <c r="AU143" s="14"/>
      <c r="AV143" s="14"/>
      <c r="AW143" s="14"/>
      <c r="AX143" s="14"/>
      <c r="AY143" s="14"/>
      <c r="AZ143" s="14"/>
      <c r="BA143" s="14"/>
      <c r="BB143" s="14"/>
      <c r="BC143" s="14"/>
      <c r="BD143" s="14"/>
      <c r="BE143" s="14"/>
      <c r="BF143" s="14"/>
      <c r="BG143" s="14"/>
      <c r="BH143" s="14"/>
      <c r="BI143" s="14"/>
      <c r="BJ143" s="14"/>
      <c r="BK143" s="14"/>
      <c r="BL143" s="14"/>
      <c r="BM143" s="14"/>
      <c r="BN143" s="14"/>
      <c r="BO143" s="14"/>
      <c r="BP143" s="14"/>
      <c r="BQ143" s="14"/>
      <c r="BR143" s="14"/>
      <c r="BS143" s="14"/>
      <c r="BT143" s="14"/>
      <c r="BU143" s="14"/>
      <c r="CE143" s="14"/>
      <c r="CF143" s="14"/>
      <c r="CG143" s="14"/>
      <c r="CH143" s="14"/>
      <c r="CI143" s="14"/>
      <c r="CJ143" s="14"/>
      <c r="CK143" s="14"/>
      <c r="CL143" s="14"/>
      <c r="CO143" s="14"/>
      <c r="CP143" s="14"/>
      <c r="CQ143" s="14"/>
      <c r="CR143" s="14"/>
      <c r="CS143" s="14"/>
      <c r="EK143" s="14"/>
      <c r="EL143" s="14"/>
      <c r="EM143" s="14"/>
      <c r="EN143" s="14"/>
      <c r="EO143" s="14"/>
      <c r="EP143" s="14"/>
      <c r="EQ143" s="14"/>
      <c r="ER143" s="14"/>
      <c r="ES143" s="14"/>
      <c r="ET143" s="14"/>
      <c r="EU143" s="14"/>
      <c r="EV143" s="14"/>
      <c r="EW143" s="14"/>
      <c r="EX143" s="14"/>
      <c r="EY143" s="14"/>
      <c r="EZ143" s="14"/>
      <c r="FA143" s="14"/>
      <c r="FB143" s="14"/>
      <c r="FC143" s="14"/>
      <c r="FD143" s="14"/>
      <c r="GW143" s="14"/>
      <c r="GX143" s="14"/>
      <c r="GY143" s="14"/>
      <c r="GZ143" s="14"/>
      <c r="HA143" s="14"/>
      <c r="HB143" s="14"/>
      <c r="HC143" s="14"/>
      <c r="HD143" s="14"/>
      <c r="HE143" s="14"/>
      <c r="HF143" s="14"/>
      <c r="HG143" s="14"/>
      <c r="HH143" s="14"/>
      <c r="HI143" s="14"/>
      <c r="HJ143" s="14"/>
      <c r="HK143" s="14"/>
      <c r="HL143" s="14"/>
      <c r="HM143" s="14"/>
      <c r="HN143" s="14"/>
      <c r="HO143" s="14"/>
      <c r="HP143" s="14"/>
      <c r="HQ143" s="14"/>
      <c r="HR143" s="14"/>
      <c r="HS143" s="14"/>
      <c r="HT143" s="14"/>
      <c r="HU143" s="14"/>
      <c r="HX143" s="14"/>
      <c r="HY143" s="14"/>
      <c r="HZ143" s="14"/>
      <c r="IA143" s="14"/>
      <c r="IS143" s="14"/>
      <c r="IT143" s="14"/>
      <c r="IU143" s="14"/>
      <c r="JH143" s="14"/>
      <c r="JI143" s="14"/>
      <c r="JW143" s="14"/>
      <c r="JX143" s="14"/>
      <c r="LQ143" s="14"/>
      <c r="LR143" s="14"/>
      <c r="LS143" s="14"/>
      <c r="LT143" s="14"/>
      <c r="LU143" s="14"/>
      <c r="LV143" s="14"/>
      <c r="LW143" s="14"/>
      <c r="LY143" s="14"/>
      <c r="LZ143" s="14"/>
      <c r="MA143" s="14"/>
      <c r="MB143" s="14"/>
      <c r="MC143" s="14"/>
      <c r="MD143" s="14"/>
      <c r="ME143" s="14"/>
      <c r="MF143" s="14"/>
      <c r="MG143" s="14"/>
      <c r="MH143" s="14"/>
      <c r="MI143" s="14"/>
      <c r="MJ143" s="14"/>
      <c r="MK143" s="14"/>
      <c r="ML143" s="14"/>
      <c r="MM143" s="14"/>
      <c r="MN143" s="14"/>
      <c r="AJG143" s="14"/>
      <c r="AJO143" s="14"/>
      <c r="AJY143" s="14"/>
    </row>
    <row r="144" spans="1:961" ht="15" customHeight="1" x14ac:dyDescent="0.25">
      <c r="A144" s="14"/>
      <c r="B144" s="14"/>
      <c r="C144" s="14"/>
      <c r="D144" s="14"/>
      <c r="E144" s="14"/>
      <c r="F144" s="14"/>
      <c r="G144" s="14"/>
      <c r="H144" s="14"/>
      <c r="I144" s="14"/>
      <c r="J144" s="14"/>
      <c r="K144" s="14"/>
      <c r="L144" s="14"/>
      <c r="M144" s="14"/>
      <c r="N144" s="14"/>
      <c r="O144" s="14"/>
      <c r="P144" s="14"/>
      <c r="Q144" s="14"/>
      <c r="R144" s="14"/>
      <c r="S144" s="14"/>
      <c r="T144" s="14"/>
      <c r="U144" s="14"/>
      <c r="V144" s="14"/>
      <c r="W144" s="14"/>
      <c r="X144" s="14"/>
      <c r="Y144" s="14"/>
      <c r="Z144" s="14"/>
      <c r="AA144" s="14"/>
      <c r="AB144" s="14"/>
      <c r="AC144" s="14"/>
      <c r="AD144" s="14"/>
      <c r="AE144" s="14"/>
      <c r="AF144" s="14"/>
      <c r="AG144" s="14"/>
      <c r="AH144" s="14"/>
      <c r="AI144" s="14"/>
      <c r="AJ144" s="14"/>
      <c r="AK144" s="14"/>
      <c r="AL144" s="14"/>
      <c r="AM144" s="14"/>
      <c r="AN144" s="14"/>
      <c r="AO144" s="14"/>
      <c r="AP144" s="14"/>
      <c r="AQ144" s="14"/>
      <c r="AR144" s="14"/>
      <c r="AT144" s="14"/>
      <c r="AU144" s="14"/>
      <c r="AV144" s="14"/>
      <c r="AW144" s="14"/>
      <c r="AX144" s="14"/>
      <c r="AY144" s="14"/>
      <c r="AZ144" s="14"/>
      <c r="BA144" s="14"/>
      <c r="BB144" s="14"/>
      <c r="BC144" s="14"/>
      <c r="BD144" s="14"/>
      <c r="BE144" s="14"/>
      <c r="BF144" s="14"/>
      <c r="BG144" s="14"/>
      <c r="BH144" s="14"/>
      <c r="BI144" s="14"/>
      <c r="BJ144" s="14"/>
      <c r="BK144" s="14"/>
      <c r="BL144" s="14"/>
      <c r="BM144" s="14"/>
      <c r="BN144" s="14"/>
      <c r="BO144" s="14"/>
      <c r="BP144" s="14"/>
      <c r="BQ144" s="14"/>
      <c r="BR144" s="14"/>
      <c r="BS144" s="14"/>
      <c r="BT144" s="14"/>
      <c r="BU144" s="14"/>
      <c r="CE144" s="14"/>
      <c r="CF144" s="14"/>
      <c r="CG144" s="14"/>
      <c r="CH144" s="14"/>
      <c r="CI144" s="14"/>
      <c r="CJ144" s="14"/>
      <c r="CK144" s="14"/>
      <c r="CL144" s="14"/>
      <c r="CO144" s="14"/>
      <c r="CP144" s="14"/>
      <c r="CQ144" s="14"/>
      <c r="CR144" s="14"/>
      <c r="CS144" s="14"/>
      <c r="EK144" s="14"/>
      <c r="EL144" s="14"/>
      <c r="EM144" s="14"/>
      <c r="EN144" s="14"/>
      <c r="EO144" s="14"/>
      <c r="EP144" s="14"/>
      <c r="EQ144" s="14"/>
      <c r="ER144" s="14"/>
      <c r="ES144" s="14"/>
      <c r="ET144" s="14"/>
      <c r="EU144" s="14"/>
      <c r="EV144" s="14"/>
      <c r="EW144" s="14"/>
      <c r="EX144" s="14"/>
      <c r="EY144" s="14"/>
      <c r="EZ144" s="14"/>
      <c r="FA144" s="14"/>
      <c r="FB144" s="14"/>
      <c r="FC144" s="14"/>
      <c r="FD144" s="14"/>
      <c r="GW144" s="14"/>
      <c r="GX144" s="14"/>
      <c r="GY144" s="14"/>
      <c r="GZ144" s="14"/>
      <c r="HA144" s="14"/>
      <c r="HB144" s="14"/>
      <c r="HC144" s="14"/>
      <c r="HD144" s="14"/>
      <c r="HE144" s="14"/>
      <c r="HF144" s="14"/>
      <c r="HG144" s="14"/>
      <c r="HH144" s="14"/>
      <c r="HI144" s="14"/>
      <c r="HJ144" s="14"/>
      <c r="HK144" s="14"/>
      <c r="HL144" s="14"/>
      <c r="HM144" s="14"/>
      <c r="HN144" s="14"/>
      <c r="HO144" s="14"/>
      <c r="HP144" s="14"/>
      <c r="HQ144" s="14"/>
      <c r="HR144" s="14"/>
      <c r="HS144" s="14"/>
      <c r="HT144" s="14"/>
      <c r="HU144" s="14"/>
      <c r="HX144" s="14"/>
      <c r="HY144" s="14"/>
      <c r="HZ144" s="14"/>
      <c r="IA144" s="14"/>
      <c r="IS144" s="14"/>
      <c r="IT144" s="14"/>
      <c r="IU144" s="14"/>
      <c r="JH144" s="14"/>
      <c r="JI144" s="14"/>
      <c r="JW144" s="14"/>
      <c r="JX144" s="14"/>
      <c r="LQ144" s="14"/>
      <c r="LR144" s="14"/>
      <c r="LS144" s="14"/>
      <c r="LT144" s="14"/>
      <c r="LU144" s="14"/>
      <c r="LV144" s="14"/>
      <c r="LW144" s="14"/>
      <c r="LY144" s="14"/>
      <c r="LZ144" s="14"/>
      <c r="MA144" s="14"/>
      <c r="MB144" s="14"/>
      <c r="MC144" s="14"/>
      <c r="MD144" s="14"/>
      <c r="ME144" s="14"/>
      <c r="MF144" s="14"/>
      <c r="MG144" s="14"/>
      <c r="MH144" s="14"/>
      <c r="MI144" s="14"/>
      <c r="MJ144" s="14"/>
      <c r="MK144" s="14"/>
      <c r="ML144" s="14"/>
      <c r="MM144" s="14"/>
      <c r="MN144" s="14"/>
      <c r="AJG144" s="14"/>
      <c r="AJO144" s="14"/>
      <c r="AJY144" s="14"/>
    </row>
    <row r="145" spans="1:961" ht="15" customHeight="1" x14ac:dyDescent="0.25">
      <c r="A145" s="14"/>
      <c r="B145" s="14"/>
      <c r="C145" s="14"/>
      <c r="D145" s="14"/>
      <c r="E145" s="14"/>
      <c r="F145" s="14"/>
      <c r="G145" s="14"/>
      <c r="H145" s="14"/>
      <c r="I145" s="14"/>
      <c r="J145" s="14"/>
      <c r="K145" s="14"/>
      <c r="L145" s="14"/>
      <c r="M145" s="14"/>
      <c r="N145" s="14"/>
      <c r="O145" s="14"/>
      <c r="P145" s="14"/>
      <c r="Q145" s="14"/>
      <c r="R145" s="14"/>
      <c r="S145" s="14"/>
      <c r="T145" s="14"/>
      <c r="U145" s="14"/>
      <c r="V145" s="14"/>
      <c r="W145" s="14"/>
      <c r="X145" s="14"/>
      <c r="Y145" s="14"/>
      <c r="Z145" s="14"/>
      <c r="AA145" s="14"/>
      <c r="AB145" s="14"/>
      <c r="AC145" s="14"/>
      <c r="AD145" s="14"/>
      <c r="AE145" s="14"/>
      <c r="AF145" s="14"/>
      <c r="AG145" s="14"/>
      <c r="AH145" s="14"/>
      <c r="AI145" s="14"/>
      <c r="AJ145" s="14"/>
      <c r="AK145" s="14"/>
      <c r="AL145" s="14"/>
      <c r="AM145" s="14"/>
      <c r="AN145" s="14"/>
      <c r="AO145" s="14"/>
      <c r="AP145" s="14"/>
      <c r="AQ145" s="14"/>
      <c r="AR145" s="14"/>
      <c r="AT145" s="14"/>
      <c r="AU145" s="14"/>
      <c r="AV145" s="14"/>
      <c r="AW145" s="14"/>
      <c r="AX145" s="14"/>
      <c r="AY145" s="14"/>
      <c r="AZ145" s="14"/>
      <c r="BA145" s="14"/>
      <c r="BB145" s="14"/>
      <c r="BC145" s="14"/>
      <c r="BD145" s="14"/>
      <c r="BE145" s="14"/>
      <c r="BF145" s="14"/>
      <c r="BG145" s="14"/>
      <c r="BH145" s="14"/>
      <c r="BI145" s="14"/>
      <c r="BJ145" s="14"/>
      <c r="BK145" s="14"/>
      <c r="BL145" s="14"/>
      <c r="BM145" s="14"/>
      <c r="BN145" s="14"/>
      <c r="BO145" s="14"/>
      <c r="BP145" s="14"/>
      <c r="BQ145" s="14"/>
      <c r="BR145" s="14"/>
      <c r="BS145" s="14"/>
      <c r="BT145" s="14"/>
      <c r="BU145" s="14"/>
      <c r="CE145" s="14"/>
      <c r="CF145" s="14"/>
      <c r="CG145" s="14"/>
      <c r="CH145" s="14"/>
      <c r="CI145" s="14"/>
      <c r="CJ145" s="14"/>
      <c r="CK145" s="14"/>
      <c r="CL145" s="14"/>
      <c r="CO145" s="14"/>
      <c r="CP145" s="14"/>
      <c r="CQ145" s="14"/>
      <c r="CR145" s="14"/>
      <c r="CS145" s="14"/>
      <c r="EK145" s="14"/>
      <c r="EL145" s="14"/>
      <c r="EM145" s="14"/>
      <c r="EN145" s="14"/>
      <c r="EO145" s="14"/>
      <c r="EP145" s="14"/>
      <c r="EQ145" s="14"/>
      <c r="ER145" s="14"/>
      <c r="ES145" s="14"/>
      <c r="ET145" s="14"/>
      <c r="EU145" s="14"/>
      <c r="EV145" s="14"/>
      <c r="EW145" s="14"/>
      <c r="EX145" s="14"/>
      <c r="EY145" s="14"/>
      <c r="EZ145" s="14"/>
      <c r="FA145" s="14"/>
      <c r="FB145" s="14"/>
      <c r="FC145" s="14"/>
      <c r="FD145" s="14"/>
      <c r="GW145" s="14"/>
      <c r="GX145" s="14"/>
      <c r="GY145" s="14"/>
      <c r="GZ145" s="14"/>
      <c r="HA145" s="14"/>
      <c r="HB145" s="14"/>
      <c r="HC145" s="14"/>
      <c r="HD145" s="14"/>
      <c r="HE145" s="14"/>
      <c r="HF145" s="14"/>
      <c r="HG145" s="14"/>
      <c r="HH145" s="14"/>
      <c r="HI145" s="14"/>
      <c r="HJ145" s="14"/>
      <c r="HK145" s="14"/>
      <c r="HL145" s="14"/>
      <c r="HM145" s="14"/>
      <c r="HN145" s="14"/>
      <c r="HO145" s="14"/>
      <c r="HP145" s="14"/>
      <c r="HQ145" s="14"/>
      <c r="HR145" s="14"/>
      <c r="HS145" s="14"/>
      <c r="HT145" s="14"/>
      <c r="HU145" s="14"/>
      <c r="HX145" s="14"/>
      <c r="HY145" s="14"/>
      <c r="HZ145" s="14"/>
      <c r="IA145" s="14"/>
      <c r="IS145" s="14"/>
      <c r="IT145" s="14"/>
      <c r="IU145" s="14"/>
      <c r="JH145" s="14"/>
      <c r="JI145" s="14"/>
      <c r="JW145" s="14"/>
      <c r="JX145" s="14"/>
      <c r="LQ145" s="14"/>
      <c r="LR145" s="14"/>
      <c r="LS145" s="14"/>
      <c r="LT145" s="14"/>
      <c r="LU145" s="14"/>
      <c r="LV145" s="14"/>
      <c r="LW145" s="14"/>
      <c r="LY145" s="14"/>
      <c r="LZ145" s="14"/>
      <c r="MA145" s="14"/>
      <c r="MB145" s="14"/>
      <c r="MC145" s="14"/>
      <c r="MD145" s="14"/>
      <c r="ME145" s="14"/>
      <c r="MF145" s="14"/>
      <c r="MG145" s="14"/>
      <c r="MH145" s="14"/>
      <c r="MI145" s="14"/>
      <c r="MJ145" s="14"/>
      <c r="MK145" s="14"/>
      <c r="ML145" s="14"/>
      <c r="MM145" s="14"/>
      <c r="MN145" s="14"/>
      <c r="AJG145" s="14"/>
      <c r="AJO145" s="14"/>
      <c r="AJY145" s="14"/>
    </row>
    <row r="146" spans="1:961" ht="15" customHeight="1" x14ac:dyDescent="0.25">
      <c r="A146" s="14"/>
      <c r="B146" s="14"/>
      <c r="C146" s="14"/>
      <c r="D146" s="14"/>
      <c r="E146" s="14"/>
      <c r="F146" s="14"/>
      <c r="G146" s="14"/>
      <c r="H146" s="14"/>
      <c r="I146" s="14"/>
      <c r="J146" s="14"/>
      <c r="K146" s="14"/>
      <c r="L146" s="14"/>
      <c r="M146" s="14"/>
      <c r="N146" s="14"/>
      <c r="O146" s="14"/>
      <c r="P146" s="14"/>
      <c r="Q146" s="14"/>
      <c r="R146" s="14"/>
      <c r="S146" s="14"/>
      <c r="T146" s="14"/>
      <c r="U146" s="14"/>
      <c r="V146" s="14"/>
      <c r="W146" s="14"/>
      <c r="X146" s="14"/>
      <c r="Y146" s="14"/>
      <c r="Z146" s="14"/>
      <c r="AA146" s="14"/>
      <c r="AB146" s="14"/>
      <c r="AC146" s="14"/>
      <c r="AD146" s="14"/>
      <c r="AE146" s="14"/>
      <c r="AF146" s="14"/>
      <c r="AG146" s="14"/>
      <c r="AH146" s="14"/>
      <c r="AI146" s="14"/>
      <c r="AJ146" s="14"/>
      <c r="AK146" s="14"/>
      <c r="AL146" s="14"/>
      <c r="AM146" s="14"/>
      <c r="AN146" s="14"/>
      <c r="AO146" s="14"/>
      <c r="AP146" s="14"/>
      <c r="AQ146" s="14"/>
      <c r="AR146" s="14"/>
      <c r="AT146" s="14"/>
      <c r="AU146" s="14"/>
      <c r="AV146" s="14"/>
      <c r="AW146" s="14"/>
      <c r="AX146" s="14"/>
      <c r="AY146" s="14"/>
      <c r="AZ146" s="14"/>
      <c r="BA146" s="14"/>
      <c r="BB146" s="14"/>
      <c r="BC146" s="14"/>
      <c r="BD146" s="14"/>
      <c r="BE146" s="14"/>
      <c r="BF146" s="14"/>
      <c r="BG146" s="14"/>
      <c r="BH146" s="14"/>
      <c r="BI146" s="14"/>
      <c r="BJ146" s="14"/>
      <c r="BK146" s="14"/>
      <c r="BL146" s="14"/>
      <c r="BM146" s="14"/>
      <c r="BN146" s="14"/>
      <c r="BO146" s="14"/>
      <c r="BP146" s="14"/>
      <c r="BQ146" s="14"/>
      <c r="BR146" s="14"/>
      <c r="BS146" s="14"/>
      <c r="BT146" s="14"/>
      <c r="BU146" s="14"/>
      <c r="CE146" s="14"/>
      <c r="CF146" s="14"/>
      <c r="CG146" s="14"/>
      <c r="CH146" s="14"/>
      <c r="CI146" s="14"/>
      <c r="CJ146" s="14"/>
      <c r="CK146" s="14"/>
      <c r="CL146" s="14"/>
      <c r="CO146" s="14"/>
      <c r="CP146" s="14"/>
      <c r="CQ146" s="14"/>
      <c r="CR146" s="14"/>
      <c r="CS146" s="14"/>
      <c r="EK146" s="14"/>
      <c r="EL146" s="14"/>
      <c r="EM146" s="14"/>
      <c r="EN146" s="14"/>
      <c r="EO146" s="14"/>
      <c r="EP146" s="14"/>
      <c r="EQ146" s="14"/>
      <c r="ER146" s="14"/>
      <c r="ES146" s="14"/>
      <c r="ET146" s="14"/>
      <c r="EU146" s="14"/>
      <c r="EV146" s="14"/>
      <c r="EW146" s="14"/>
      <c r="EX146" s="14"/>
      <c r="EY146" s="14"/>
      <c r="EZ146" s="14"/>
      <c r="FA146" s="14"/>
      <c r="FB146" s="14"/>
      <c r="FC146" s="14"/>
      <c r="FD146" s="14"/>
      <c r="GW146" s="14"/>
      <c r="GX146" s="14"/>
      <c r="GY146" s="14"/>
      <c r="GZ146" s="14"/>
      <c r="HA146" s="14"/>
      <c r="HB146" s="14"/>
      <c r="HC146" s="14"/>
      <c r="HD146" s="14"/>
      <c r="HE146" s="14"/>
      <c r="HF146" s="14"/>
      <c r="HG146" s="14"/>
      <c r="HH146" s="14"/>
      <c r="HI146" s="14"/>
      <c r="HJ146" s="14"/>
      <c r="HK146" s="14"/>
      <c r="HL146" s="14"/>
      <c r="HM146" s="14"/>
      <c r="HN146" s="14"/>
      <c r="HO146" s="14"/>
      <c r="HP146" s="14"/>
      <c r="HQ146" s="14"/>
      <c r="HR146" s="14"/>
      <c r="HS146" s="14"/>
      <c r="HT146" s="14"/>
      <c r="HU146" s="14"/>
      <c r="HX146" s="14"/>
      <c r="HY146" s="14"/>
      <c r="HZ146" s="14"/>
      <c r="IA146" s="14"/>
      <c r="IS146" s="14"/>
      <c r="IT146" s="14"/>
      <c r="IU146" s="14"/>
      <c r="JH146" s="14"/>
      <c r="JI146" s="14"/>
      <c r="JW146" s="14"/>
      <c r="JX146" s="14"/>
      <c r="LQ146" s="14"/>
      <c r="LR146" s="14"/>
      <c r="LS146" s="14"/>
      <c r="LT146" s="14"/>
      <c r="LU146" s="14"/>
      <c r="LV146" s="14"/>
      <c r="LW146" s="14"/>
      <c r="LY146" s="14"/>
      <c r="LZ146" s="14"/>
      <c r="MA146" s="14"/>
      <c r="MB146" s="14"/>
      <c r="MC146" s="14"/>
      <c r="MD146" s="14"/>
      <c r="ME146" s="14"/>
      <c r="MF146" s="14"/>
      <c r="MG146" s="14"/>
      <c r="MH146" s="14"/>
      <c r="MI146" s="14"/>
      <c r="MJ146" s="14"/>
      <c r="MK146" s="14"/>
      <c r="ML146" s="14"/>
      <c r="MM146" s="14"/>
      <c r="MN146" s="14"/>
      <c r="AJG146" s="14"/>
      <c r="AJO146" s="14"/>
      <c r="AJY146" s="14"/>
    </row>
    <row r="147" spans="1:961" ht="15" customHeight="1" x14ac:dyDescent="0.25">
      <c r="A147" s="14"/>
      <c r="B147" s="14"/>
      <c r="C147" s="14"/>
      <c r="D147" s="14"/>
      <c r="E147" s="14"/>
      <c r="F147" s="14"/>
      <c r="G147" s="14"/>
      <c r="H147" s="14"/>
      <c r="I147" s="14"/>
      <c r="J147" s="14"/>
      <c r="K147" s="14"/>
      <c r="L147" s="14"/>
      <c r="M147" s="14"/>
      <c r="N147" s="14"/>
      <c r="O147" s="14"/>
      <c r="P147" s="14"/>
      <c r="Q147" s="14"/>
      <c r="R147" s="14"/>
      <c r="S147" s="14"/>
      <c r="T147" s="14"/>
      <c r="U147" s="14"/>
      <c r="V147" s="14"/>
      <c r="W147" s="14"/>
      <c r="X147" s="14"/>
      <c r="Y147" s="14"/>
      <c r="Z147" s="14"/>
      <c r="AA147" s="14"/>
      <c r="AB147" s="14"/>
      <c r="AC147" s="14"/>
      <c r="AD147" s="14"/>
      <c r="AE147" s="14"/>
      <c r="AF147" s="14"/>
      <c r="AG147" s="14"/>
      <c r="AH147" s="14"/>
      <c r="AI147" s="14"/>
      <c r="AJ147" s="14"/>
      <c r="AK147" s="14"/>
      <c r="AL147" s="14"/>
      <c r="AM147" s="14"/>
      <c r="AN147" s="14"/>
      <c r="AO147" s="14"/>
      <c r="AP147" s="14"/>
      <c r="AQ147" s="14"/>
      <c r="AR147" s="14"/>
      <c r="AT147" s="14"/>
      <c r="AU147" s="14"/>
      <c r="AV147" s="14"/>
      <c r="AW147" s="14"/>
      <c r="AX147" s="14"/>
      <c r="AY147" s="14"/>
      <c r="AZ147" s="14"/>
      <c r="BA147" s="14"/>
      <c r="BB147" s="14"/>
      <c r="BC147" s="14"/>
      <c r="BD147" s="14"/>
      <c r="BE147" s="14"/>
      <c r="BF147" s="14"/>
      <c r="BG147" s="14"/>
      <c r="BH147" s="14"/>
      <c r="BI147" s="14"/>
      <c r="BJ147" s="14"/>
      <c r="BK147" s="14"/>
      <c r="BL147" s="14"/>
      <c r="BM147" s="14"/>
      <c r="BN147" s="14"/>
      <c r="BO147" s="14"/>
      <c r="BP147" s="14"/>
      <c r="BQ147" s="14"/>
      <c r="BR147" s="14"/>
      <c r="BS147" s="14"/>
      <c r="BT147" s="14"/>
      <c r="BU147" s="14"/>
      <c r="CE147" s="14"/>
      <c r="CF147" s="14"/>
      <c r="CG147" s="14"/>
      <c r="CH147" s="14"/>
      <c r="CI147" s="14"/>
      <c r="CJ147" s="14"/>
      <c r="CK147" s="14"/>
      <c r="CL147" s="14"/>
      <c r="CO147" s="14"/>
      <c r="CP147" s="14"/>
      <c r="CQ147" s="14"/>
      <c r="CR147" s="14"/>
      <c r="CS147" s="14"/>
      <c r="EK147" s="14"/>
      <c r="EL147" s="14"/>
      <c r="EM147" s="14"/>
      <c r="EN147" s="14"/>
      <c r="EO147" s="14"/>
      <c r="EP147" s="14"/>
      <c r="EQ147" s="14"/>
      <c r="ER147" s="14"/>
      <c r="ES147" s="14"/>
      <c r="ET147" s="14"/>
      <c r="EU147" s="14"/>
      <c r="EV147" s="14"/>
      <c r="EW147" s="14"/>
      <c r="EX147" s="14"/>
      <c r="EY147" s="14"/>
      <c r="EZ147" s="14"/>
      <c r="FA147" s="14"/>
      <c r="FB147" s="14"/>
      <c r="FC147" s="14"/>
      <c r="FD147" s="14"/>
      <c r="GW147" s="14"/>
      <c r="GX147" s="14"/>
      <c r="GY147" s="14"/>
      <c r="GZ147" s="14"/>
      <c r="HA147" s="14"/>
      <c r="HB147" s="14"/>
      <c r="HC147" s="14"/>
      <c r="HD147" s="14"/>
      <c r="HE147" s="14"/>
      <c r="HF147" s="14"/>
      <c r="HG147" s="14"/>
      <c r="HH147" s="14"/>
      <c r="HI147" s="14"/>
      <c r="HJ147" s="14"/>
      <c r="HK147" s="14"/>
      <c r="HL147" s="14"/>
      <c r="HM147" s="14"/>
      <c r="HN147" s="14"/>
      <c r="HO147" s="14"/>
      <c r="HP147" s="14"/>
      <c r="HQ147" s="14"/>
      <c r="HR147" s="14"/>
      <c r="HS147" s="14"/>
      <c r="HT147" s="14"/>
      <c r="HU147" s="14"/>
      <c r="HX147" s="14"/>
      <c r="HY147" s="14"/>
      <c r="HZ147" s="14"/>
      <c r="IA147" s="14"/>
      <c r="IS147" s="14"/>
      <c r="IT147" s="14"/>
      <c r="IU147" s="14"/>
      <c r="JH147" s="14"/>
      <c r="JI147" s="14"/>
      <c r="JW147" s="14"/>
      <c r="JX147" s="14"/>
      <c r="LQ147" s="14"/>
      <c r="LR147" s="14"/>
      <c r="LS147" s="14"/>
      <c r="LT147" s="14"/>
      <c r="LU147" s="14"/>
      <c r="LV147" s="14"/>
      <c r="LW147" s="14"/>
      <c r="LY147" s="14"/>
      <c r="LZ147" s="14"/>
      <c r="MA147" s="14"/>
      <c r="MB147" s="14"/>
      <c r="MC147" s="14"/>
      <c r="MD147" s="14"/>
      <c r="ME147" s="14"/>
      <c r="MF147" s="14"/>
      <c r="MG147" s="14"/>
      <c r="MH147" s="14"/>
      <c r="MI147" s="14"/>
      <c r="MJ147" s="14"/>
      <c r="MK147" s="14"/>
      <c r="ML147" s="14"/>
      <c r="MM147" s="14"/>
      <c r="MN147" s="14"/>
      <c r="AJG147" s="14"/>
      <c r="AJO147" s="14"/>
      <c r="AJY147" s="14"/>
    </row>
    <row r="148" spans="1:961" ht="15" customHeight="1" x14ac:dyDescent="0.25">
      <c r="A148" s="14"/>
      <c r="B148" s="14"/>
      <c r="C148" s="14"/>
      <c r="D148" s="14"/>
      <c r="E148" s="14"/>
      <c r="F148" s="14"/>
      <c r="G148" s="14"/>
      <c r="H148" s="14"/>
      <c r="I148" s="14"/>
      <c r="J148" s="14"/>
      <c r="K148" s="14"/>
      <c r="L148" s="14"/>
      <c r="M148" s="14"/>
      <c r="N148" s="14"/>
      <c r="O148" s="14"/>
      <c r="P148" s="14"/>
      <c r="Q148" s="14"/>
      <c r="R148" s="14"/>
      <c r="S148" s="14"/>
      <c r="T148" s="14"/>
      <c r="U148" s="14"/>
      <c r="V148" s="14"/>
      <c r="W148" s="14"/>
      <c r="X148" s="14"/>
      <c r="Y148" s="14"/>
      <c r="Z148" s="14"/>
      <c r="AA148" s="14"/>
      <c r="AB148" s="14"/>
      <c r="AC148" s="14"/>
      <c r="AD148" s="14"/>
      <c r="AE148" s="14"/>
      <c r="AF148" s="14"/>
      <c r="AG148" s="14"/>
      <c r="AH148" s="14"/>
      <c r="AI148" s="14"/>
      <c r="AJ148" s="14"/>
      <c r="AK148" s="14"/>
      <c r="AL148" s="14"/>
      <c r="AM148" s="14"/>
      <c r="AN148" s="14"/>
      <c r="AO148" s="14"/>
      <c r="AP148" s="14"/>
      <c r="AQ148" s="14"/>
      <c r="AR148" s="14"/>
      <c r="AT148" s="14"/>
      <c r="AU148" s="14"/>
      <c r="AV148" s="14"/>
      <c r="AW148" s="14"/>
      <c r="AX148" s="14"/>
      <c r="AY148" s="14"/>
      <c r="AZ148" s="14"/>
      <c r="BA148" s="14"/>
      <c r="BB148" s="14"/>
      <c r="BC148" s="14"/>
      <c r="BD148" s="14"/>
      <c r="BE148" s="14"/>
      <c r="BF148" s="14"/>
      <c r="BG148" s="14"/>
      <c r="BH148" s="14"/>
      <c r="BI148" s="14"/>
      <c r="BJ148" s="14"/>
      <c r="BK148" s="14"/>
      <c r="BL148" s="14"/>
      <c r="BM148" s="14"/>
      <c r="BN148" s="14"/>
      <c r="BO148" s="14"/>
      <c r="BP148" s="14"/>
      <c r="BQ148" s="14"/>
      <c r="BR148" s="14"/>
      <c r="BS148" s="14"/>
      <c r="BT148" s="14"/>
      <c r="BU148" s="14"/>
      <c r="CE148" s="14"/>
      <c r="CF148" s="14"/>
      <c r="CG148" s="14"/>
      <c r="CH148" s="14"/>
      <c r="CI148" s="14"/>
      <c r="CJ148" s="14"/>
      <c r="CK148" s="14"/>
      <c r="CL148" s="14"/>
      <c r="CO148" s="14"/>
      <c r="CP148" s="14"/>
      <c r="CQ148" s="14"/>
      <c r="CR148" s="14"/>
      <c r="CS148" s="14"/>
      <c r="EK148" s="14"/>
      <c r="EL148" s="14"/>
      <c r="EM148" s="14"/>
      <c r="EN148" s="14"/>
      <c r="EO148" s="14"/>
      <c r="EP148" s="14"/>
      <c r="EQ148" s="14"/>
      <c r="ER148" s="14"/>
      <c r="ES148" s="14"/>
      <c r="ET148" s="14"/>
      <c r="EU148" s="14"/>
      <c r="EV148" s="14"/>
      <c r="EW148" s="14"/>
      <c r="EX148" s="14"/>
      <c r="EY148" s="14"/>
      <c r="EZ148" s="14"/>
      <c r="FA148" s="14"/>
      <c r="FB148" s="14"/>
      <c r="FC148" s="14"/>
      <c r="FD148" s="14"/>
      <c r="GW148" s="14"/>
      <c r="GX148" s="14"/>
      <c r="GY148" s="14"/>
      <c r="GZ148" s="14"/>
      <c r="HA148" s="14"/>
      <c r="HB148" s="14"/>
      <c r="HC148" s="14"/>
      <c r="HD148" s="14"/>
      <c r="HE148" s="14"/>
      <c r="HF148" s="14"/>
      <c r="HG148" s="14"/>
      <c r="HH148" s="14"/>
      <c r="HI148" s="14"/>
      <c r="HJ148" s="14"/>
      <c r="HK148" s="14"/>
      <c r="HL148" s="14"/>
      <c r="HM148" s="14"/>
      <c r="HN148" s="14"/>
      <c r="HO148" s="14"/>
      <c r="HP148" s="14"/>
      <c r="HQ148" s="14"/>
      <c r="HR148" s="14"/>
      <c r="HS148" s="14"/>
      <c r="HT148" s="14"/>
      <c r="HU148" s="14"/>
      <c r="HX148" s="14"/>
      <c r="HY148" s="14"/>
      <c r="HZ148" s="14"/>
      <c r="IA148" s="14"/>
      <c r="IS148" s="14"/>
      <c r="IT148" s="14"/>
      <c r="IU148" s="14"/>
      <c r="JH148" s="14"/>
      <c r="JI148" s="14"/>
      <c r="JW148" s="14"/>
      <c r="JX148" s="14"/>
      <c r="LQ148" s="14"/>
      <c r="LR148" s="14"/>
      <c r="LS148" s="14"/>
      <c r="LT148" s="14"/>
      <c r="LU148" s="14"/>
      <c r="LV148" s="14"/>
      <c r="LW148" s="14"/>
      <c r="LY148" s="14"/>
      <c r="LZ148" s="14"/>
      <c r="MA148" s="14"/>
      <c r="MB148" s="14"/>
      <c r="MC148" s="14"/>
      <c r="MD148" s="14"/>
      <c r="ME148" s="14"/>
      <c r="MF148" s="14"/>
      <c r="MG148" s="14"/>
      <c r="MH148" s="14"/>
      <c r="MI148" s="14"/>
      <c r="MJ148" s="14"/>
      <c r="MK148" s="14"/>
      <c r="ML148" s="14"/>
      <c r="MM148" s="14"/>
      <c r="MN148" s="14"/>
      <c r="AJG148" s="14"/>
      <c r="AJO148" s="14"/>
      <c r="AJY148" s="14"/>
    </row>
    <row r="149" spans="1:961" ht="15" customHeight="1" x14ac:dyDescent="0.25">
      <c r="A149" s="14"/>
      <c r="B149" s="14"/>
      <c r="C149" s="14"/>
      <c r="D149" s="14"/>
      <c r="E149" s="14"/>
      <c r="F149" s="14"/>
      <c r="G149" s="14"/>
      <c r="H149" s="14"/>
      <c r="I149" s="14"/>
      <c r="J149" s="14"/>
      <c r="K149" s="14"/>
      <c r="L149" s="14"/>
      <c r="M149" s="14"/>
      <c r="N149" s="14"/>
      <c r="O149" s="14"/>
      <c r="P149" s="14"/>
      <c r="Q149" s="14"/>
      <c r="R149" s="14"/>
      <c r="S149" s="14"/>
      <c r="T149" s="14"/>
      <c r="U149" s="14"/>
      <c r="V149" s="14"/>
      <c r="W149" s="14"/>
      <c r="X149" s="14"/>
      <c r="Y149" s="14"/>
      <c r="Z149" s="14"/>
      <c r="AA149" s="14"/>
      <c r="AB149" s="14"/>
      <c r="AC149" s="14"/>
      <c r="AD149" s="14"/>
      <c r="AE149" s="14"/>
      <c r="AF149" s="14"/>
      <c r="AG149" s="14"/>
      <c r="AH149" s="14"/>
      <c r="AI149" s="14"/>
      <c r="AJ149" s="14"/>
      <c r="AK149" s="14"/>
      <c r="AL149" s="14"/>
      <c r="AM149" s="14"/>
      <c r="AN149" s="14"/>
      <c r="AO149" s="14"/>
      <c r="AP149" s="14"/>
      <c r="AQ149" s="14"/>
      <c r="AR149" s="14"/>
      <c r="AT149" s="14"/>
      <c r="AU149" s="14"/>
      <c r="AV149" s="14"/>
      <c r="AW149" s="14"/>
      <c r="AX149" s="14"/>
      <c r="AY149" s="14"/>
      <c r="AZ149" s="14"/>
      <c r="BA149" s="14"/>
      <c r="BB149" s="14"/>
      <c r="BC149" s="14"/>
      <c r="BD149" s="14"/>
      <c r="BE149" s="14"/>
      <c r="BF149" s="14"/>
      <c r="BG149" s="14"/>
      <c r="BH149" s="14"/>
      <c r="BI149" s="14"/>
      <c r="BJ149" s="14"/>
      <c r="BK149" s="14"/>
      <c r="BL149" s="14"/>
      <c r="BM149" s="14"/>
      <c r="BN149" s="14"/>
      <c r="BO149" s="14"/>
      <c r="BP149" s="14"/>
      <c r="BQ149" s="14"/>
      <c r="BR149" s="14"/>
      <c r="BS149" s="14"/>
      <c r="BT149" s="14"/>
      <c r="BU149" s="14"/>
      <c r="CE149" s="14"/>
      <c r="CF149" s="14"/>
      <c r="CG149" s="14"/>
      <c r="CH149" s="14"/>
      <c r="CI149" s="14"/>
      <c r="CJ149" s="14"/>
      <c r="CK149" s="14"/>
      <c r="CL149" s="14"/>
      <c r="CO149" s="14"/>
      <c r="CP149" s="14"/>
      <c r="CQ149" s="14"/>
      <c r="CR149" s="14"/>
      <c r="CS149" s="14"/>
      <c r="EK149" s="14"/>
      <c r="EL149" s="14"/>
      <c r="EM149" s="14"/>
      <c r="EN149" s="14"/>
      <c r="EO149" s="14"/>
      <c r="EP149" s="14"/>
      <c r="EQ149" s="14"/>
      <c r="ER149" s="14"/>
      <c r="ES149" s="14"/>
      <c r="ET149" s="14"/>
      <c r="EU149" s="14"/>
      <c r="EV149" s="14"/>
      <c r="EW149" s="14"/>
      <c r="EX149" s="14"/>
      <c r="EY149" s="14"/>
      <c r="EZ149" s="14"/>
      <c r="FA149" s="14"/>
      <c r="FB149" s="14"/>
      <c r="FC149" s="14"/>
      <c r="FD149" s="14"/>
      <c r="GW149" s="14"/>
      <c r="GX149" s="14"/>
      <c r="GY149" s="14"/>
      <c r="GZ149" s="14"/>
      <c r="HA149" s="14"/>
      <c r="HB149" s="14"/>
      <c r="HC149" s="14"/>
      <c r="HD149" s="14"/>
      <c r="HE149" s="14"/>
      <c r="HF149" s="14"/>
      <c r="HG149" s="14"/>
      <c r="HH149" s="14"/>
      <c r="HI149" s="14"/>
      <c r="HJ149" s="14"/>
      <c r="HK149" s="14"/>
      <c r="HL149" s="14"/>
      <c r="HM149" s="14"/>
      <c r="HN149" s="14"/>
      <c r="HO149" s="14"/>
      <c r="HP149" s="14"/>
      <c r="HQ149" s="14"/>
      <c r="HR149" s="14"/>
      <c r="HS149" s="14"/>
      <c r="HT149" s="14"/>
      <c r="HU149" s="14"/>
      <c r="HX149" s="14"/>
      <c r="HY149" s="14"/>
      <c r="HZ149" s="14"/>
      <c r="IA149" s="14"/>
      <c r="IS149" s="14"/>
      <c r="IT149" s="14"/>
      <c r="IU149" s="14"/>
      <c r="JH149" s="14"/>
      <c r="JI149" s="14"/>
      <c r="JW149" s="14"/>
      <c r="JX149" s="14"/>
      <c r="LQ149" s="14"/>
      <c r="LR149" s="14"/>
      <c r="LS149" s="14"/>
      <c r="LT149" s="14"/>
      <c r="LU149" s="14"/>
      <c r="LV149" s="14"/>
      <c r="LW149" s="14"/>
      <c r="LY149" s="14"/>
      <c r="LZ149" s="14"/>
      <c r="MA149" s="14"/>
      <c r="MB149" s="14"/>
      <c r="MC149" s="14"/>
      <c r="MD149" s="14"/>
      <c r="ME149" s="14"/>
      <c r="MF149" s="14"/>
      <c r="MG149" s="14"/>
      <c r="MH149" s="14"/>
      <c r="MI149" s="14"/>
      <c r="MJ149" s="14"/>
      <c r="MK149" s="14"/>
      <c r="ML149" s="14"/>
      <c r="MM149" s="14"/>
      <c r="MN149" s="14"/>
      <c r="AJG149" s="14"/>
      <c r="AJO149" s="14"/>
      <c r="AJY149" s="14"/>
    </row>
    <row r="150" spans="1:961" ht="15" customHeight="1" x14ac:dyDescent="0.25">
      <c r="A150" s="14"/>
      <c r="B150" s="14"/>
      <c r="C150" s="14"/>
      <c r="D150" s="14"/>
      <c r="E150" s="14"/>
      <c r="F150" s="14"/>
      <c r="G150" s="14"/>
      <c r="H150" s="14"/>
      <c r="I150" s="14"/>
      <c r="J150" s="14"/>
      <c r="K150" s="14"/>
      <c r="L150" s="14"/>
      <c r="M150" s="14"/>
      <c r="N150" s="14"/>
      <c r="O150" s="14"/>
      <c r="P150" s="14"/>
      <c r="Q150" s="14"/>
      <c r="R150" s="14"/>
      <c r="S150" s="14"/>
      <c r="T150" s="14"/>
      <c r="U150" s="14"/>
      <c r="V150" s="14"/>
      <c r="W150" s="14"/>
      <c r="X150" s="14"/>
      <c r="Y150" s="14"/>
      <c r="Z150" s="14"/>
      <c r="AA150" s="14"/>
      <c r="AB150" s="14"/>
      <c r="AC150" s="14"/>
      <c r="AD150" s="14"/>
      <c r="AE150" s="14"/>
      <c r="AF150" s="14"/>
      <c r="AG150" s="14"/>
      <c r="AH150" s="14"/>
      <c r="AI150" s="14"/>
      <c r="AJ150" s="14"/>
      <c r="AK150" s="14"/>
      <c r="AL150" s="14"/>
      <c r="AM150" s="14"/>
      <c r="AN150" s="14"/>
      <c r="AO150" s="14"/>
      <c r="AP150" s="14"/>
      <c r="AQ150" s="14"/>
      <c r="AR150" s="14"/>
      <c r="AT150" s="14"/>
      <c r="AU150" s="14"/>
      <c r="AV150" s="14"/>
      <c r="AW150" s="14"/>
      <c r="AX150" s="14"/>
      <c r="AY150" s="14"/>
      <c r="AZ150" s="14"/>
      <c r="BA150" s="14"/>
      <c r="BB150" s="14"/>
      <c r="BC150" s="14"/>
      <c r="BD150" s="14"/>
      <c r="BE150" s="14"/>
      <c r="BF150" s="14"/>
      <c r="BG150" s="14"/>
      <c r="BH150" s="14"/>
      <c r="BI150" s="14"/>
      <c r="BJ150" s="14"/>
      <c r="BK150" s="14"/>
      <c r="BL150" s="14"/>
      <c r="BM150" s="14"/>
      <c r="BN150" s="14"/>
      <c r="BO150" s="14"/>
      <c r="BP150" s="14"/>
      <c r="BQ150" s="14"/>
      <c r="BR150" s="14"/>
      <c r="BS150" s="14"/>
      <c r="BT150" s="14"/>
      <c r="BU150" s="14"/>
      <c r="CE150" s="14"/>
      <c r="CF150" s="14"/>
      <c r="CG150" s="14"/>
      <c r="CH150" s="14"/>
      <c r="CI150" s="14"/>
      <c r="CJ150" s="14"/>
      <c r="CK150" s="14"/>
      <c r="CL150" s="14"/>
      <c r="CO150" s="14"/>
      <c r="CP150" s="14"/>
      <c r="CQ150" s="14"/>
      <c r="CR150" s="14"/>
      <c r="CS150" s="14"/>
      <c r="EK150" s="14"/>
      <c r="EL150" s="14"/>
      <c r="EM150" s="14"/>
      <c r="EN150" s="14"/>
      <c r="EO150" s="14"/>
      <c r="EP150" s="14"/>
      <c r="EQ150" s="14"/>
      <c r="ER150" s="14"/>
      <c r="ES150" s="14"/>
      <c r="ET150" s="14"/>
      <c r="EU150" s="14"/>
      <c r="EV150" s="14"/>
      <c r="EW150" s="14"/>
      <c r="EX150" s="14"/>
      <c r="EY150" s="14"/>
      <c r="EZ150" s="14"/>
      <c r="FA150" s="14"/>
      <c r="FB150" s="14"/>
      <c r="FC150" s="14"/>
      <c r="FD150" s="14"/>
      <c r="GW150" s="14"/>
      <c r="GX150" s="14"/>
      <c r="GY150" s="14"/>
      <c r="GZ150" s="14"/>
      <c r="HA150" s="14"/>
      <c r="HB150" s="14"/>
      <c r="HC150" s="14"/>
      <c r="HD150" s="14"/>
      <c r="HE150" s="14"/>
      <c r="HF150" s="14"/>
      <c r="HG150" s="14"/>
      <c r="HH150" s="14"/>
      <c r="HI150" s="14"/>
      <c r="HJ150" s="14"/>
      <c r="HK150" s="14"/>
      <c r="HL150" s="14"/>
      <c r="HM150" s="14"/>
      <c r="HN150" s="14"/>
      <c r="HO150" s="14"/>
      <c r="HP150" s="14"/>
      <c r="HQ150" s="14"/>
      <c r="HR150" s="14"/>
      <c r="HS150" s="14"/>
      <c r="HT150" s="14"/>
      <c r="HU150" s="14"/>
      <c r="HX150" s="14"/>
      <c r="HY150" s="14"/>
      <c r="HZ150" s="14"/>
      <c r="IA150" s="14"/>
      <c r="IS150" s="14"/>
      <c r="IT150" s="14"/>
      <c r="IU150" s="14"/>
      <c r="JH150" s="14"/>
      <c r="JI150" s="14"/>
      <c r="JW150" s="14"/>
      <c r="JX150" s="14"/>
      <c r="LQ150" s="14"/>
      <c r="LR150" s="14"/>
      <c r="LS150" s="14"/>
      <c r="LT150" s="14"/>
      <c r="LU150" s="14"/>
      <c r="LV150" s="14"/>
      <c r="LW150" s="14"/>
      <c r="LY150" s="14"/>
      <c r="LZ150" s="14"/>
      <c r="MA150" s="14"/>
      <c r="MB150" s="14"/>
      <c r="MC150" s="14"/>
      <c r="MD150" s="14"/>
      <c r="ME150" s="14"/>
      <c r="MF150" s="14"/>
      <c r="MG150" s="14"/>
      <c r="MH150" s="14"/>
      <c r="MI150" s="14"/>
      <c r="MJ150" s="14"/>
      <c r="MK150" s="14"/>
      <c r="ML150" s="14"/>
      <c r="MM150" s="14"/>
      <c r="MN150" s="14"/>
      <c r="AJG150" s="14"/>
      <c r="AJO150" s="14"/>
      <c r="AJY150" s="14"/>
    </row>
    <row r="151" spans="1:961" ht="15" customHeight="1" x14ac:dyDescent="0.25">
      <c r="A151" s="14"/>
      <c r="B151" s="14"/>
      <c r="C151" s="14"/>
      <c r="D151" s="14"/>
      <c r="E151" s="14"/>
      <c r="F151" s="14"/>
      <c r="G151" s="14"/>
      <c r="H151" s="14"/>
      <c r="I151" s="14"/>
      <c r="J151" s="14"/>
      <c r="K151" s="14"/>
      <c r="L151" s="14"/>
      <c r="M151" s="14"/>
      <c r="N151" s="14"/>
      <c r="O151" s="14"/>
      <c r="P151" s="14"/>
      <c r="Q151" s="14"/>
      <c r="R151" s="14"/>
      <c r="S151" s="14"/>
      <c r="T151" s="14"/>
      <c r="U151" s="14"/>
      <c r="V151" s="14"/>
      <c r="W151" s="14"/>
      <c r="X151" s="14"/>
      <c r="Y151" s="14"/>
      <c r="Z151" s="14"/>
      <c r="AA151" s="14"/>
      <c r="AB151" s="14"/>
      <c r="AC151" s="14"/>
      <c r="AD151" s="14"/>
      <c r="AE151" s="14"/>
      <c r="AF151" s="14"/>
      <c r="AG151" s="14"/>
      <c r="AH151" s="14"/>
      <c r="AI151" s="14"/>
      <c r="AJ151" s="14"/>
      <c r="AK151" s="14"/>
      <c r="AL151" s="14"/>
      <c r="AM151" s="14"/>
      <c r="AN151" s="14"/>
      <c r="AO151" s="14"/>
      <c r="AP151" s="14"/>
      <c r="AQ151" s="14"/>
      <c r="AR151" s="14"/>
      <c r="AT151" s="14"/>
      <c r="AU151" s="14"/>
      <c r="AV151" s="14"/>
      <c r="AW151" s="14"/>
      <c r="AX151" s="14"/>
      <c r="AY151" s="14"/>
      <c r="AZ151" s="14"/>
      <c r="BA151" s="14"/>
      <c r="BB151" s="14"/>
      <c r="BC151" s="14"/>
      <c r="BD151" s="14"/>
      <c r="BE151" s="14"/>
      <c r="BF151" s="14"/>
      <c r="BG151" s="14"/>
      <c r="BH151" s="14"/>
      <c r="BI151" s="14"/>
      <c r="BJ151" s="14"/>
      <c r="BK151" s="14"/>
      <c r="BL151" s="14"/>
      <c r="BM151" s="14"/>
      <c r="BN151" s="14"/>
      <c r="BO151" s="14"/>
      <c r="BP151" s="14"/>
      <c r="BQ151" s="14"/>
      <c r="BR151" s="14"/>
      <c r="BS151" s="14"/>
      <c r="BT151" s="14"/>
      <c r="BU151" s="14"/>
      <c r="CE151" s="14"/>
      <c r="CF151" s="14"/>
      <c r="CG151" s="14"/>
      <c r="CH151" s="14"/>
      <c r="CI151" s="14"/>
      <c r="CJ151" s="14"/>
      <c r="CK151" s="14"/>
      <c r="CL151" s="14"/>
      <c r="CO151" s="14"/>
      <c r="CP151" s="14"/>
      <c r="CQ151" s="14"/>
      <c r="CR151" s="14"/>
      <c r="CS151" s="14"/>
      <c r="EK151" s="14"/>
      <c r="EL151" s="14"/>
      <c r="EM151" s="14"/>
      <c r="EN151" s="14"/>
      <c r="EO151" s="14"/>
      <c r="EP151" s="14"/>
      <c r="EQ151" s="14"/>
      <c r="ER151" s="14"/>
      <c r="ES151" s="14"/>
      <c r="ET151" s="14"/>
      <c r="EU151" s="14"/>
      <c r="EV151" s="14"/>
      <c r="EW151" s="14"/>
      <c r="EX151" s="14"/>
      <c r="EY151" s="14"/>
      <c r="EZ151" s="14"/>
      <c r="FA151" s="14"/>
      <c r="FB151" s="14"/>
      <c r="FC151" s="14"/>
      <c r="FD151" s="14"/>
      <c r="GW151" s="14"/>
      <c r="GX151" s="14"/>
      <c r="GY151" s="14"/>
      <c r="GZ151" s="14"/>
      <c r="HA151" s="14"/>
      <c r="HB151" s="14"/>
      <c r="HC151" s="14"/>
      <c r="HD151" s="14"/>
      <c r="HE151" s="14"/>
      <c r="HF151" s="14"/>
      <c r="HG151" s="14"/>
      <c r="HH151" s="14"/>
      <c r="HI151" s="14"/>
      <c r="HJ151" s="14"/>
      <c r="HK151" s="14"/>
      <c r="HL151" s="14"/>
      <c r="HM151" s="14"/>
      <c r="HN151" s="14"/>
      <c r="HO151" s="14"/>
      <c r="HP151" s="14"/>
      <c r="HQ151" s="14"/>
      <c r="HR151" s="14"/>
      <c r="HS151" s="14"/>
      <c r="HT151" s="14"/>
      <c r="HU151" s="14"/>
      <c r="HX151" s="14"/>
      <c r="HY151" s="14"/>
      <c r="HZ151" s="14"/>
      <c r="IA151" s="14"/>
      <c r="IS151" s="14"/>
      <c r="IT151" s="14"/>
      <c r="IU151" s="14"/>
      <c r="JH151" s="14"/>
      <c r="JI151" s="14"/>
      <c r="JW151" s="14"/>
      <c r="JX151" s="14"/>
      <c r="LQ151" s="14"/>
      <c r="LR151" s="14"/>
      <c r="LS151" s="14"/>
      <c r="LT151" s="14"/>
      <c r="LU151" s="14"/>
      <c r="LV151" s="14"/>
      <c r="LW151" s="14"/>
      <c r="LY151" s="14"/>
      <c r="LZ151" s="14"/>
      <c r="MA151" s="14"/>
      <c r="MB151" s="14"/>
      <c r="MC151" s="14"/>
      <c r="MD151" s="14"/>
      <c r="ME151" s="14"/>
      <c r="MF151" s="14"/>
      <c r="MG151" s="14"/>
      <c r="MH151" s="14"/>
      <c r="MI151" s="14"/>
      <c r="MJ151" s="14"/>
      <c r="MK151" s="14"/>
      <c r="ML151" s="14"/>
      <c r="MM151" s="14"/>
      <c r="MN151" s="14"/>
      <c r="AJG151" s="14"/>
      <c r="AJO151" s="14"/>
      <c r="AJY151" s="14"/>
    </row>
    <row r="152" spans="1:961" ht="15" customHeight="1" x14ac:dyDescent="0.25">
      <c r="A152" s="14"/>
      <c r="B152" s="14"/>
      <c r="C152" s="14"/>
      <c r="D152" s="14"/>
      <c r="E152" s="14"/>
      <c r="F152" s="14"/>
      <c r="G152" s="14"/>
      <c r="H152" s="14"/>
      <c r="I152" s="14"/>
      <c r="J152" s="14"/>
      <c r="K152" s="14"/>
      <c r="L152" s="14"/>
      <c r="M152" s="14"/>
      <c r="N152" s="14"/>
      <c r="O152" s="14"/>
      <c r="P152" s="14"/>
      <c r="Q152" s="14"/>
      <c r="R152" s="14"/>
      <c r="S152" s="14"/>
      <c r="T152" s="14"/>
      <c r="U152" s="14"/>
      <c r="V152" s="14"/>
      <c r="W152" s="14"/>
      <c r="X152" s="14"/>
      <c r="Y152" s="14"/>
      <c r="Z152" s="14"/>
      <c r="AA152" s="14"/>
      <c r="AB152" s="14"/>
      <c r="AC152" s="14"/>
      <c r="AD152" s="14"/>
      <c r="AE152" s="14"/>
      <c r="AF152" s="14"/>
      <c r="AG152" s="14"/>
      <c r="AH152" s="14"/>
      <c r="AI152" s="14"/>
      <c r="AJ152" s="14"/>
      <c r="AK152" s="14"/>
      <c r="AL152" s="14"/>
      <c r="AM152" s="14"/>
      <c r="AN152" s="14"/>
      <c r="AO152" s="14"/>
      <c r="AP152" s="14"/>
      <c r="AQ152" s="14"/>
      <c r="AR152" s="14"/>
      <c r="AT152" s="14"/>
      <c r="AU152" s="14"/>
      <c r="AV152" s="14"/>
      <c r="AW152" s="14"/>
      <c r="AX152" s="14"/>
      <c r="AY152" s="14"/>
      <c r="AZ152" s="14"/>
      <c r="BA152" s="14"/>
      <c r="BB152" s="14"/>
      <c r="BC152" s="14"/>
      <c r="BD152" s="14"/>
      <c r="BE152" s="14"/>
      <c r="BF152" s="14"/>
      <c r="BG152" s="14"/>
      <c r="BH152" s="14"/>
      <c r="BI152" s="14"/>
      <c r="BJ152" s="14"/>
      <c r="BK152" s="14"/>
      <c r="BL152" s="14"/>
      <c r="BM152" s="14"/>
      <c r="BN152" s="14"/>
      <c r="BO152" s="14"/>
      <c r="BP152" s="14"/>
      <c r="BQ152" s="14"/>
      <c r="BR152" s="14"/>
      <c r="BS152" s="14"/>
      <c r="BT152" s="14"/>
      <c r="BU152" s="14"/>
      <c r="CE152" s="14"/>
      <c r="CF152" s="14"/>
      <c r="CG152" s="14"/>
      <c r="CH152" s="14"/>
      <c r="CI152" s="14"/>
      <c r="CJ152" s="14"/>
      <c r="CK152" s="14"/>
      <c r="CL152" s="14"/>
      <c r="CO152" s="14"/>
      <c r="CP152" s="14"/>
      <c r="CQ152" s="14"/>
      <c r="CR152" s="14"/>
      <c r="CS152" s="14"/>
      <c r="EK152" s="14"/>
      <c r="EL152" s="14"/>
      <c r="EM152" s="14"/>
      <c r="EN152" s="14"/>
      <c r="EO152" s="14"/>
      <c r="EP152" s="14"/>
      <c r="EQ152" s="14"/>
      <c r="ER152" s="14"/>
      <c r="ES152" s="14"/>
      <c r="ET152" s="14"/>
      <c r="EU152" s="14"/>
      <c r="EV152" s="14"/>
      <c r="EW152" s="14"/>
      <c r="EX152" s="14"/>
      <c r="EY152" s="14"/>
      <c r="EZ152" s="14"/>
      <c r="FA152" s="14"/>
      <c r="FB152" s="14"/>
      <c r="FC152" s="14"/>
      <c r="FD152" s="14"/>
      <c r="GW152" s="14"/>
      <c r="GX152" s="14"/>
      <c r="GY152" s="14"/>
      <c r="GZ152" s="14"/>
      <c r="HA152" s="14"/>
      <c r="HB152" s="14"/>
      <c r="HC152" s="14"/>
      <c r="HD152" s="14"/>
      <c r="HE152" s="14"/>
      <c r="HF152" s="14"/>
      <c r="HG152" s="14"/>
      <c r="HH152" s="14"/>
      <c r="HI152" s="14"/>
      <c r="HJ152" s="14"/>
      <c r="HK152" s="14"/>
      <c r="HL152" s="14"/>
      <c r="HM152" s="14"/>
      <c r="HN152" s="14"/>
      <c r="HO152" s="14"/>
      <c r="HP152" s="14"/>
      <c r="HQ152" s="14"/>
      <c r="HR152" s="14"/>
      <c r="HS152" s="14"/>
      <c r="HT152" s="14"/>
      <c r="HU152" s="14"/>
      <c r="HX152" s="14"/>
      <c r="HY152" s="14"/>
      <c r="HZ152" s="14"/>
      <c r="IA152" s="14"/>
      <c r="IS152" s="14"/>
      <c r="IT152" s="14"/>
      <c r="IU152" s="14"/>
      <c r="JH152" s="14"/>
      <c r="JI152" s="14"/>
      <c r="JW152" s="14"/>
      <c r="JX152" s="14"/>
      <c r="LQ152" s="14"/>
      <c r="LR152" s="14"/>
      <c r="LS152" s="14"/>
      <c r="LT152" s="14"/>
      <c r="LU152" s="14"/>
      <c r="LV152" s="14"/>
      <c r="LW152" s="14"/>
      <c r="LY152" s="14"/>
      <c r="LZ152" s="14"/>
      <c r="MA152" s="14"/>
      <c r="MB152" s="14"/>
      <c r="MC152" s="14"/>
      <c r="MD152" s="14"/>
      <c r="ME152" s="14"/>
      <c r="MF152" s="14"/>
      <c r="MG152" s="14"/>
      <c r="MH152" s="14"/>
      <c r="MI152" s="14"/>
      <c r="MJ152" s="14"/>
      <c r="MK152" s="14"/>
      <c r="ML152" s="14"/>
      <c r="MM152" s="14"/>
      <c r="MN152" s="14"/>
      <c r="AJG152" s="14"/>
      <c r="AJO152" s="14"/>
      <c r="AJY152" s="14"/>
    </row>
    <row r="153" spans="1:961" ht="15" customHeight="1" x14ac:dyDescent="0.25">
      <c r="A153" s="14"/>
      <c r="B153" s="14"/>
      <c r="C153" s="14"/>
      <c r="D153" s="14"/>
      <c r="E153" s="14"/>
      <c r="F153" s="14"/>
      <c r="G153" s="14"/>
      <c r="H153" s="14"/>
      <c r="I153" s="14"/>
      <c r="J153" s="14"/>
      <c r="K153" s="14"/>
      <c r="L153" s="14"/>
      <c r="M153" s="14"/>
      <c r="N153" s="14"/>
      <c r="O153" s="14"/>
      <c r="P153" s="14"/>
      <c r="Q153" s="14"/>
      <c r="R153" s="14"/>
      <c r="S153" s="14"/>
      <c r="T153" s="14"/>
      <c r="U153" s="14"/>
      <c r="V153" s="14"/>
      <c r="W153" s="14"/>
      <c r="X153" s="14"/>
      <c r="Y153" s="14"/>
      <c r="Z153" s="14"/>
      <c r="AA153" s="14"/>
      <c r="AB153" s="14"/>
      <c r="AC153" s="14"/>
      <c r="AD153" s="14"/>
      <c r="AE153" s="14"/>
      <c r="AF153" s="14"/>
      <c r="AG153" s="14"/>
      <c r="AH153" s="14"/>
      <c r="AI153" s="14"/>
      <c r="AJ153" s="14"/>
      <c r="AK153" s="14"/>
      <c r="AL153" s="14"/>
      <c r="AM153" s="14"/>
      <c r="AN153" s="14"/>
      <c r="AO153" s="14"/>
      <c r="AP153" s="14"/>
      <c r="AQ153" s="14"/>
      <c r="AR153" s="14"/>
      <c r="AT153" s="14"/>
      <c r="AU153" s="14"/>
      <c r="AV153" s="14"/>
      <c r="AW153" s="14"/>
      <c r="AX153" s="14"/>
      <c r="AY153" s="14"/>
      <c r="AZ153" s="14"/>
      <c r="BA153" s="14"/>
      <c r="BB153" s="14"/>
      <c r="BC153" s="14"/>
      <c r="BD153" s="14"/>
      <c r="BE153" s="14"/>
      <c r="BF153" s="14"/>
      <c r="BG153" s="14"/>
      <c r="BH153" s="14"/>
      <c r="BI153" s="14"/>
      <c r="BJ153" s="14"/>
      <c r="BK153" s="14"/>
      <c r="BL153" s="14"/>
      <c r="BM153" s="14"/>
      <c r="BN153" s="14"/>
      <c r="BO153" s="14"/>
      <c r="BP153" s="14"/>
      <c r="BQ153" s="14"/>
      <c r="BR153" s="14"/>
      <c r="BS153" s="14"/>
      <c r="BT153" s="14"/>
      <c r="BU153" s="14"/>
      <c r="CE153" s="14"/>
      <c r="CF153" s="14"/>
      <c r="CG153" s="14"/>
      <c r="CH153" s="14"/>
      <c r="CI153" s="14"/>
      <c r="CJ153" s="14"/>
      <c r="CK153" s="14"/>
      <c r="CL153" s="14"/>
      <c r="CO153" s="14"/>
      <c r="CP153" s="14"/>
      <c r="CQ153" s="14"/>
      <c r="CR153" s="14"/>
      <c r="CS153" s="14"/>
      <c r="EK153" s="14"/>
      <c r="EL153" s="14"/>
      <c r="EM153" s="14"/>
      <c r="EN153" s="14"/>
      <c r="EO153" s="14"/>
      <c r="EP153" s="14"/>
      <c r="EQ153" s="14"/>
      <c r="ER153" s="14"/>
      <c r="ES153" s="14"/>
      <c r="ET153" s="14"/>
      <c r="EU153" s="14"/>
      <c r="EV153" s="14"/>
      <c r="EW153" s="14"/>
      <c r="EX153" s="14"/>
      <c r="EY153" s="14"/>
      <c r="EZ153" s="14"/>
      <c r="FA153" s="14"/>
      <c r="FB153" s="14"/>
      <c r="FC153" s="14"/>
      <c r="FD153" s="14"/>
      <c r="GW153" s="14"/>
      <c r="GX153" s="14"/>
      <c r="GY153" s="14"/>
      <c r="GZ153" s="14"/>
      <c r="HA153" s="14"/>
      <c r="HB153" s="14"/>
      <c r="HC153" s="14"/>
      <c r="HD153" s="14"/>
      <c r="HE153" s="14"/>
      <c r="HF153" s="14"/>
      <c r="HG153" s="14"/>
      <c r="HH153" s="14"/>
      <c r="HI153" s="14"/>
      <c r="HJ153" s="14"/>
      <c r="HK153" s="14"/>
      <c r="HL153" s="14"/>
      <c r="HM153" s="14"/>
      <c r="HN153" s="14"/>
      <c r="HO153" s="14"/>
      <c r="HP153" s="14"/>
      <c r="HQ153" s="14"/>
      <c r="HR153" s="14"/>
      <c r="HS153" s="14"/>
      <c r="HT153" s="14"/>
      <c r="HU153" s="14"/>
      <c r="HX153" s="14"/>
      <c r="HY153" s="14"/>
      <c r="HZ153" s="14"/>
      <c r="IA153" s="14"/>
      <c r="IS153" s="14"/>
      <c r="IT153" s="14"/>
      <c r="IU153" s="14"/>
      <c r="JH153" s="14"/>
      <c r="JI153" s="14"/>
      <c r="JW153" s="14"/>
      <c r="JX153" s="14"/>
      <c r="LQ153" s="14"/>
      <c r="LR153" s="14"/>
      <c r="LS153" s="14"/>
      <c r="LT153" s="14"/>
      <c r="LU153" s="14"/>
      <c r="LV153" s="14"/>
      <c r="LW153" s="14"/>
      <c r="LY153" s="14"/>
      <c r="LZ153" s="14"/>
      <c r="MA153" s="14"/>
      <c r="MB153" s="14"/>
      <c r="MC153" s="14"/>
      <c r="MD153" s="14"/>
      <c r="ME153" s="14"/>
      <c r="MF153" s="14"/>
      <c r="MG153" s="14"/>
      <c r="MH153" s="14"/>
      <c r="MI153" s="14"/>
      <c r="MJ153" s="14"/>
      <c r="MK153" s="14"/>
      <c r="ML153" s="14"/>
      <c r="MM153" s="14"/>
      <c r="MN153" s="14"/>
      <c r="AJG153" s="14"/>
      <c r="AJO153" s="14"/>
      <c r="AJY153" s="14"/>
    </row>
    <row r="163" spans="1:1002" ht="15" customHeight="1" x14ac:dyDescent="0.25">
      <c r="A163" s="7" t="s">
        <v>445</v>
      </c>
      <c r="B163" s="14"/>
      <c r="AAM163" s="14" t="str">
        <f>AAM171&amp;AAM170&amp;AAM169&amp;AAM168&amp;AAM167&amp;AAM166&amp;AAM165&amp;AAM164</f>
        <v>10000010</v>
      </c>
      <c r="AAY163" s="14" t="str">
        <f>AAY171&amp;AAY170&amp;AAY169&amp;AAY168&amp;AAY167&amp;AAY166&amp;AAY165&amp;AAY164</f>
        <v>10000010</v>
      </c>
      <c r="ABI163" s="14" t="str">
        <f t="shared" ref="ABI163" si="1339">ABI171&amp;ABI170&amp;ABI169&amp;ABI168&amp;ABI167&amp;ABI166&amp;ABI165&amp;ABI164</f>
        <v>10000000</v>
      </c>
      <c r="ABJ163" s="14" t="str">
        <f t="shared" ref="ABJ163" si="1340">ABJ171&amp;ABJ170&amp;ABJ169&amp;ABJ168&amp;ABJ167&amp;ABJ166&amp;ABJ165&amp;ABJ164</f>
        <v>10000000</v>
      </c>
      <c r="ABK163" s="14" t="str">
        <f t="shared" ref="ABK163:ACD163" si="1341">ABK171&amp;ABK170&amp;ABK169&amp;ABK168&amp;ABK167&amp;ABK166&amp;ABK165&amp;ABK164</f>
        <v>00000100</v>
      </c>
      <c r="ABL163" s="14" t="str">
        <f t="shared" si="1341"/>
        <v>00000100</v>
      </c>
      <c r="ABM163" s="14" t="str">
        <f t="shared" si="1341"/>
        <v>00000100</v>
      </c>
      <c r="ABN163" s="14" t="str">
        <f t="shared" si="1341"/>
        <v>00000010</v>
      </c>
      <c r="ABO163" s="14" t="str">
        <f t="shared" si="1341"/>
        <v>00000010</v>
      </c>
      <c r="ABP163" s="14" t="str">
        <f t="shared" si="1341"/>
        <v>00000010</v>
      </c>
      <c r="ABQ163" s="14" t="str">
        <f t="shared" si="1341"/>
        <v>00000001</v>
      </c>
      <c r="ABR163" s="14" t="str">
        <f t="shared" si="1341"/>
        <v>10000000</v>
      </c>
      <c r="ABS163" s="14" t="str">
        <f t="shared" si="1341"/>
        <v>10000000</v>
      </c>
      <c r="ABT163" s="14" t="str">
        <f t="shared" si="1341"/>
        <v>00000011</v>
      </c>
      <c r="ABU163" s="14" t="str">
        <f t="shared" si="1341"/>
        <v>00000100</v>
      </c>
      <c r="ABV163" s="14" t="str">
        <f t="shared" si="1341"/>
        <v>00000011</v>
      </c>
      <c r="ABW163" s="14" t="str">
        <f t="shared" si="1341"/>
        <v>00000100</v>
      </c>
      <c r="ABX163" s="14" t="str">
        <f t="shared" si="1341"/>
        <v>00000011</v>
      </c>
      <c r="ABY163" s="14" t="str">
        <f t="shared" si="1341"/>
        <v>00000100</v>
      </c>
      <c r="ABZ163" s="14" t="str">
        <f t="shared" si="1341"/>
        <v>10000011</v>
      </c>
      <c r="ACA163" s="14" t="str">
        <f t="shared" si="1341"/>
        <v>00000011</v>
      </c>
      <c r="ACB163" s="14" t="str">
        <f t="shared" si="1341"/>
        <v>10000100</v>
      </c>
      <c r="ACC163" s="14" t="str">
        <f t="shared" si="1341"/>
        <v>10000101</v>
      </c>
      <c r="ACD163" s="14" t="str">
        <f t="shared" si="1341"/>
        <v>10000101</v>
      </c>
      <c r="ACE163" s="14" t="str">
        <f t="shared" ref="ACE163" si="1342">ACE171&amp;ACE170&amp;ACE169&amp;ACE168&amp;ACE167&amp;ACE166&amp;ACE165&amp;ACE164</f>
        <v>10000100</v>
      </c>
      <c r="ACF163" s="14" t="str">
        <f t="shared" ref="ACF163" si="1343">ACF171&amp;ACF170&amp;ACF169&amp;ACF168&amp;ACF167&amp;ACF166&amp;ACF165&amp;ACF164</f>
        <v>10000101</v>
      </c>
      <c r="ACG163" s="14" t="str">
        <f t="shared" ref="ACG163:ACH163" si="1344">ACG171&amp;ACG170&amp;ACG169&amp;ACG168&amp;ACG167&amp;ACG166&amp;ACG165&amp;ACG164</f>
        <v>10000100</v>
      </c>
      <c r="ACH163" s="14" t="str">
        <f t="shared" si="1344"/>
        <v>10000110</v>
      </c>
      <c r="ACI163" s="14" t="str">
        <f t="shared" ref="ACI163" si="1345">ACI171&amp;ACI170&amp;ACI169&amp;ACI168&amp;ACI167&amp;ACI166&amp;ACI165&amp;ACI164</f>
        <v>10000110</v>
      </c>
      <c r="ACJ163" s="14" t="str">
        <f t="shared" ref="ACJ163" si="1346">ACJ171&amp;ACJ170&amp;ACJ169&amp;ACJ168&amp;ACJ167&amp;ACJ166&amp;ACJ165&amp;ACJ164</f>
        <v>10000110</v>
      </c>
      <c r="ACK163" s="14" t="str">
        <f t="shared" ref="ACK163" si="1347">ACK171&amp;ACK170&amp;ACK169&amp;ACK168&amp;ACK167&amp;ACK166&amp;ACK165&amp;ACK164</f>
        <v>10000110</v>
      </c>
      <c r="ACL163" s="14" t="str">
        <f t="shared" ref="ACL163" si="1348">ACL171&amp;ACL170&amp;ACL169&amp;ACL168&amp;ACL167&amp;ACL166&amp;ACL165&amp;ACL164</f>
        <v>10000110</v>
      </c>
      <c r="ACM163" s="14" t="str">
        <f t="shared" ref="ACM163" si="1349">ACM171&amp;ACM170&amp;ACM169&amp;ACM168&amp;ACM167&amp;ACM166&amp;ACM165&amp;ACM164</f>
        <v>10000110</v>
      </c>
      <c r="ACN163" s="14" t="str">
        <f t="shared" ref="ACN163" si="1350">ACN171&amp;ACN170&amp;ACN169&amp;ACN168&amp;ACN167&amp;ACN166&amp;ACN165&amp;ACN164</f>
        <v>10000110</v>
      </c>
      <c r="ACO163" s="14" t="str">
        <f t="shared" ref="ACO163" si="1351">ACO171&amp;ACO170&amp;ACO169&amp;ACO168&amp;ACO167&amp;ACO166&amp;ACO165&amp;ACO164</f>
        <v>10000110</v>
      </c>
      <c r="ACP163" s="14" t="str">
        <f t="shared" ref="ACP163" si="1352">ACP171&amp;ACP170&amp;ACP169&amp;ACP168&amp;ACP167&amp;ACP166&amp;ACP165&amp;ACP164</f>
        <v>10000110</v>
      </c>
      <c r="ACQ163" s="14" t="str">
        <f t="shared" ref="ACQ163" si="1353">ACQ171&amp;ACQ170&amp;ACQ169&amp;ACQ168&amp;ACQ167&amp;ACQ166&amp;ACQ165&amp;ACQ164</f>
        <v>10000110</v>
      </c>
      <c r="ACR163" s="14" t="str">
        <f t="shared" ref="ACR163" si="1354">ACR171&amp;ACR170&amp;ACR169&amp;ACR168&amp;ACR167&amp;ACR166&amp;ACR165&amp;ACR164</f>
        <v>10000110</v>
      </c>
      <c r="ACS163" s="14" t="str">
        <f t="shared" ref="ACS163" si="1355">ACS171&amp;ACS170&amp;ACS169&amp;ACS168&amp;ACS167&amp;ACS166&amp;ACS165&amp;ACS164</f>
        <v>10000110</v>
      </c>
      <c r="ACT163" s="14" t="str">
        <f t="shared" ref="ACT163" si="1356">ACT171&amp;ACT170&amp;ACT169&amp;ACT168&amp;ACT167&amp;ACT166&amp;ACT165&amp;ACT164</f>
        <v>10000110</v>
      </c>
      <c r="ACU163" s="14" t="str">
        <f t="shared" ref="ACU163" si="1357">ACU171&amp;ACU170&amp;ACU169&amp;ACU168&amp;ACU167&amp;ACU166&amp;ACU165&amp;ACU164</f>
        <v>10000110</v>
      </c>
      <c r="ACV163" s="14" t="str">
        <f t="shared" ref="ACV163" si="1358">ACV171&amp;ACV170&amp;ACV169&amp;ACV168&amp;ACV167&amp;ACV166&amp;ACV165&amp;ACV164</f>
        <v>10000110</v>
      </c>
      <c r="ACW163" s="14" t="str">
        <f t="shared" ref="ACW163" si="1359">ACW171&amp;ACW170&amp;ACW169&amp;ACW168&amp;ACW167&amp;ACW166&amp;ACW165&amp;ACW164</f>
        <v>10000110</v>
      </c>
      <c r="ACX163" s="14" t="str">
        <f t="shared" ref="ACX163" si="1360">ACX171&amp;ACX170&amp;ACX169&amp;ACX168&amp;ACX167&amp;ACX166&amp;ACX165&amp;ACX164</f>
        <v>10000110</v>
      </c>
      <c r="ACY163" s="14" t="str">
        <f t="shared" ref="ACY163" si="1361">ACY171&amp;ACY170&amp;ACY169&amp;ACY168&amp;ACY167&amp;ACY166&amp;ACY165&amp;ACY164</f>
        <v>10000110</v>
      </c>
      <c r="ACZ163" s="14" t="str">
        <f t="shared" ref="ACZ163" si="1362">ACZ171&amp;ACZ170&amp;ACZ169&amp;ACZ168&amp;ACZ167&amp;ACZ166&amp;ACZ165&amp;ACZ164</f>
        <v>10000110</v>
      </c>
      <c r="ADA163" s="14" t="str">
        <f t="shared" ref="ADA163" si="1363">ADA171&amp;ADA170&amp;ADA169&amp;ADA168&amp;ADA167&amp;ADA166&amp;ADA165&amp;ADA164</f>
        <v>10000110</v>
      </c>
      <c r="ADB163" s="14" t="str">
        <f t="shared" ref="ADB163" si="1364">ADB171&amp;ADB170&amp;ADB169&amp;ADB168&amp;ADB167&amp;ADB166&amp;ADB165&amp;ADB164</f>
        <v>10000110</v>
      </c>
      <c r="ADC163" s="14" t="str">
        <f t="shared" ref="ADC163:ADE163" si="1365">ADC171&amp;ADC170&amp;ADC169&amp;ADC168&amp;ADC167&amp;ADC166&amp;ADC165&amp;ADC164</f>
        <v>10000110</v>
      </c>
      <c r="ADE163" s="14" t="str">
        <f t="shared" si="1365"/>
        <v>10000000</v>
      </c>
      <c r="ADI163" s="14" t="str">
        <f>ADI171&amp;ADI170&amp;ADI169&amp;ADI168&amp;ADI167&amp;ADI166&amp;ADI165&amp;ADI164</f>
        <v>10000010</v>
      </c>
      <c r="ADS163" s="14" t="str">
        <f t="shared" ref="ADS163" si="1366">ADS171&amp;ADS170&amp;ADS169&amp;ADS168&amp;ADS167&amp;ADS166&amp;ADS165&amp;ADS164</f>
        <v>10000000</v>
      </c>
      <c r="ADT163" s="14" t="str">
        <f t="shared" ref="ADT163" si="1367">ADT171&amp;ADT170&amp;ADT169&amp;ADT168&amp;ADT167&amp;ADT166&amp;ADT165&amp;ADT164</f>
        <v>10000000</v>
      </c>
      <c r="ADU163" s="14" t="str">
        <f t="shared" ref="ADU163" si="1368">ADU171&amp;ADU170&amp;ADU169&amp;ADU168&amp;ADU167&amp;ADU166&amp;ADU165&amp;ADU164</f>
        <v>00000100</v>
      </c>
      <c r="ADV163" s="14" t="str">
        <f t="shared" ref="ADV163" si="1369">ADV171&amp;ADV170&amp;ADV169&amp;ADV168&amp;ADV167&amp;ADV166&amp;ADV165&amp;ADV164</f>
        <v>00000100</v>
      </c>
      <c r="ADW163" s="14" t="str">
        <f t="shared" ref="ADW163" si="1370">ADW171&amp;ADW170&amp;ADW169&amp;ADW168&amp;ADW167&amp;ADW166&amp;ADW165&amp;ADW164</f>
        <v>00000100</v>
      </c>
      <c r="ADX163" s="14" t="str">
        <f t="shared" ref="ADX163" si="1371">ADX171&amp;ADX170&amp;ADX169&amp;ADX168&amp;ADX167&amp;ADX166&amp;ADX165&amp;ADX164</f>
        <v>00000010</v>
      </c>
      <c r="ADY163" s="14" t="str">
        <f t="shared" ref="ADY163" si="1372">ADY171&amp;ADY170&amp;ADY169&amp;ADY168&amp;ADY167&amp;ADY166&amp;ADY165&amp;ADY164</f>
        <v>00000010</v>
      </c>
      <c r="ADZ163" s="14" t="str">
        <f t="shared" ref="ADZ163" si="1373">ADZ171&amp;ADZ170&amp;ADZ169&amp;ADZ168&amp;ADZ167&amp;ADZ166&amp;ADZ165&amp;ADZ164</f>
        <v>00000010</v>
      </c>
      <c r="AEA163" s="14" t="str">
        <f t="shared" ref="AEA163" si="1374">AEA171&amp;AEA170&amp;AEA169&amp;AEA168&amp;AEA167&amp;AEA166&amp;AEA165&amp;AEA164</f>
        <v>00000001</v>
      </c>
      <c r="AEB163" s="14" t="str">
        <f t="shared" ref="AEB163" si="1375">AEB171&amp;AEB170&amp;AEB169&amp;AEB168&amp;AEB167&amp;AEB166&amp;AEB165&amp;AEB164</f>
        <v>10000000</v>
      </c>
      <c r="AEC163" s="14" t="str">
        <f t="shared" ref="AEC163" si="1376">AEC171&amp;AEC170&amp;AEC169&amp;AEC168&amp;AEC167&amp;AEC166&amp;AEC165&amp;AEC164</f>
        <v>10000000</v>
      </c>
      <c r="AED163" s="14" t="str">
        <f t="shared" ref="AED163" si="1377">AED171&amp;AED170&amp;AED169&amp;AED168&amp;AED167&amp;AED166&amp;AED165&amp;AED164</f>
        <v>00000011</v>
      </c>
      <c r="AEE163" s="14" t="str">
        <f t="shared" ref="AEE163" si="1378">AEE171&amp;AEE170&amp;AEE169&amp;AEE168&amp;AEE167&amp;AEE166&amp;AEE165&amp;AEE164</f>
        <v>00000100</v>
      </c>
      <c r="AEF163" s="14" t="str">
        <f t="shared" ref="AEF163" si="1379">AEF171&amp;AEF170&amp;AEF169&amp;AEF168&amp;AEF167&amp;AEF166&amp;AEF165&amp;AEF164</f>
        <v>00000011</v>
      </c>
      <c r="AEG163" s="14" t="str">
        <f t="shared" ref="AEG163" si="1380">AEG171&amp;AEG170&amp;AEG169&amp;AEG168&amp;AEG167&amp;AEG166&amp;AEG165&amp;AEG164</f>
        <v>00000100</v>
      </c>
      <c r="AEH163" s="14" t="str">
        <f t="shared" ref="AEH163" si="1381">AEH171&amp;AEH170&amp;AEH169&amp;AEH168&amp;AEH167&amp;AEH166&amp;AEH165&amp;AEH164</f>
        <v>00000011</v>
      </c>
      <c r="AEI163" s="14" t="str">
        <f t="shared" ref="AEI163" si="1382">AEI171&amp;AEI170&amp;AEI169&amp;AEI168&amp;AEI167&amp;AEI166&amp;AEI165&amp;AEI164</f>
        <v>00000100</v>
      </c>
      <c r="AEJ163" s="14" t="str">
        <f t="shared" ref="AEJ163" si="1383">AEJ171&amp;AEJ170&amp;AEJ169&amp;AEJ168&amp;AEJ167&amp;AEJ166&amp;AEJ165&amp;AEJ164</f>
        <v>10000011</v>
      </c>
      <c r="AEK163" s="14" t="str">
        <f t="shared" ref="AEK163" si="1384">AEK171&amp;AEK170&amp;AEK169&amp;AEK168&amp;AEK167&amp;AEK166&amp;AEK165&amp;AEK164</f>
        <v>00000011</v>
      </c>
      <c r="AEL163" s="14" t="str">
        <f t="shared" ref="AEL163" si="1385">AEL171&amp;AEL170&amp;AEL169&amp;AEL168&amp;AEL167&amp;AEL166&amp;AEL165&amp;AEL164</f>
        <v>10000100</v>
      </c>
      <c r="AEM163" s="14" t="str">
        <f t="shared" ref="AEM163" si="1386">AEM171&amp;AEM170&amp;AEM169&amp;AEM168&amp;AEM167&amp;AEM166&amp;AEM165&amp;AEM164</f>
        <v>10000101</v>
      </c>
      <c r="AEN163" s="14" t="str">
        <f t="shared" ref="AEN163" si="1387">AEN171&amp;AEN170&amp;AEN169&amp;AEN168&amp;AEN167&amp;AEN166&amp;AEN165&amp;AEN164</f>
        <v>10000101</v>
      </c>
      <c r="AEO163" s="14" t="str">
        <f t="shared" ref="AEO163" si="1388">AEO171&amp;AEO170&amp;AEO169&amp;AEO168&amp;AEO167&amp;AEO166&amp;AEO165&amp;AEO164</f>
        <v>10000100</v>
      </c>
      <c r="AEP163" s="14" t="str">
        <f t="shared" ref="AEP163" si="1389">AEP171&amp;AEP170&amp;AEP169&amp;AEP168&amp;AEP167&amp;AEP166&amp;AEP165&amp;AEP164</f>
        <v>10000101</v>
      </c>
      <c r="AEQ163" s="14" t="str">
        <f t="shared" ref="AEQ163" si="1390">AEQ171&amp;AEQ170&amp;AEQ169&amp;AEQ168&amp;AEQ167&amp;AEQ166&amp;AEQ165&amp;AEQ164</f>
        <v>10000100</v>
      </c>
      <c r="AER163" s="14" t="str">
        <f t="shared" ref="AER163" si="1391">AER171&amp;AER170&amp;AER169&amp;AER168&amp;AER167&amp;AER166&amp;AER165&amp;AER164</f>
        <v>10000110</v>
      </c>
      <c r="AES163" s="14" t="str">
        <f t="shared" ref="AES163" si="1392">AES171&amp;AES170&amp;AES169&amp;AES168&amp;AES167&amp;AES166&amp;AES165&amp;AES164</f>
        <v>10000110</v>
      </c>
      <c r="AET163" s="14" t="str">
        <f t="shared" ref="AET163" si="1393">AET171&amp;AET170&amp;AET169&amp;AET168&amp;AET167&amp;AET166&amp;AET165&amp;AET164</f>
        <v>10000110</v>
      </c>
      <c r="AEU163" s="14" t="str">
        <f t="shared" ref="AEU163" si="1394">AEU171&amp;AEU170&amp;AEU169&amp;AEU168&amp;AEU167&amp;AEU166&amp;AEU165&amp;AEU164</f>
        <v>10000110</v>
      </c>
      <c r="AEV163" s="14" t="str">
        <f t="shared" ref="AEV163" si="1395">AEV171&amp;AEV170&amp;AEV169&amp;AEV168&amp;AEV167&amp;AEV166&amp;AEV165&amp;AEV164</f>
        <v>10000110</v>
      </c>
      <c r="AEW163" s="14" t="str">
        <f t="shared" ref="AEW163" si="1396">AEW171&amp;AEW170&amp;AEW169&amp;AEW168&amp;AEW167&amp;AEW166&amp;AEW165&amp;AEW164</f>
        <v>10000110</v>
      </c>
      <c r="AEX163" s="14" t="str">
        <f t="shared" ref="AEX163" si="1397">AEX171&amp;AEX170&amp;AEX169&amp;AEX168&amp;AEX167&amp;AEX166&amp;AEX165&amp;AEX164</f>
        <v>10000110</v>
      </c>
      <c r="AEY163" s="14" t="str">
        <f t="shared" ref="AEY163" si="1398">AEY171&amp;AEY170&amp;AEY169&amp;AEY168&amp;AEY167&amp;AEY166&amp;AEY165&amp;AEY164</f>
        <v>10000110</v>
      </c>
      <c r="AEZ163" s="14" t="str">
        <f t="shared" ref="AEZ163" si="1399">AEZ171&amp;AEZ170&amp;AEZ169&amp;AEZ168&amp;AEZ167&amp;AEZ166&amp;AEZ165&amp;AEZ164</f>
        <v>10000110</v>
      </c>
      <c r="AFA163" s="14" t="str">
        <f t="shared" ref="AFA163" si="1400">AFA171&amp;AFA170&amp;AFA169&amp;AFA168&amp;AFA167&amp;AFA166&amp;AFA165&amp;AFA164</f>
        <v>10000110</v>
      </c>
      <c r="AFB163" s="14" t="str">
        <f t="shared" ref="AFB163" si="1401">AFB171&amp;AFB170&amp;AFB169&amp;AFB168&amp;AFB167&amp;AFB166&amp;AFB165&amp;AFB164</f>
        <v>10000110</v>
      </c>
      <c r="AFC163" s="14" t="str">
        <f t="shared" ref="AFC163" si="1402">AFC171&amp;AFC170&amp;AFC169&amp;AFC168&amp;AFC167&amp;AFC166&amp;AFC165&amp;AFC164</f>
        <v>10000110</v>
      </c>
      <c r="AFD163" s="14" t="str">
        <f t="shared" ref="AFD163" si="1403">AFD171&amp;AFD170&amp;AFD169&amp;AFD168&amp;AFD167&amp;AFD166&amp;AFD165&amp;AFD164</f>
        <v>10000110</v>
      </c>
      <c r="AFE163" s="14" t="str">
        <f t="shared" ref="AFE163" si="1404">AFE171&amp;AFE170&amp;AFE169&amp;AFE168&amp;AFE167&amp;AFE166&amp;AFE165&amp;AFE164</f>
        <v>10000110</v>
      </c>
      <c r="AFF163" s="14" t="str">
        <f t="shared" ref="AFF163" si="1405">AFF171&amp;AFF170&amp;AFF169&amp;AFF168&amp;AFF167&amp;AFF166&amp;AFF165&amp;AFF164</f>
        <v>10000110</v>
      </c>
      <c r="AFG163" s="14" t="str">
        <f t="shared" ref="AFG163" si="1406">AFG171&amp;AFG170&amp;AFG169&amp;AFG168&amp;AFG167&amp;AFG166&amp;AFG165&amp;AFG164</f>
        <v>10000110</v>
      </c>
      <c r="AFH163" s="14" t="str">
        <f t="shared" ref="AFH163" si="1407">AFH171&amp;AFH170&amp;AFH169&amp;AFH168&amp;AFH167&amp;AFH166&amp;AFH165&amp;AFH164</f>
        <v>10000110</v>
      </c>
      <c r="AFI163" s="14" t="str">
        <f t="shared" ref="AFI163" si="1408">AFI171&amp;AFI170&amp;AFI169&amp;AFI168&amp;AFI167&amp;AFI166&amp;AFI165&amp;AFI164</f>
        <v>10000110</v>
      </c>
      <c r="AFJ163" s="14" t="str">
        <f t="shared" ref="AFJ163" si="1409">AFJ171&amp;AFJ170&amp;AFJ169&amp;AFJ168&amp;AFJ167&amp;AFJ166&amp;AFJ165&amp;AFJ164</f>
        <v>10000110</v>
      </c>
      <c r="AFK163" s="14" t="str">
        <f t="shared" ref="AFK163" si="1410">AFK171&amp;AFK170&amp;AFK169&amp;AFK168&amp;AFK167&amp;AFK166&amp;AFK165&amp;AFK164</f>
        <v>10000110</v>
      </c>
      <c r="AFL163" s="14" t="str">
        <f t="shared" ref="AFL163" si="1411">AFL171&amp;AFL170&amp;AFL169&amp;AFL168&amp;AFL167&amp;AFL166&amp;AFL165&amp;AFL164</f>
        <v>10000110</v>
      </c>
      <c r="AFM163" s="14" t="str">
        <f t="shared" ref="AFM163" si="1412">AFM171&amp;AFM170&amp;AFM169&amp;AFM168&amp;AFM167&amp;AFM166&amp;AFM165&amp;AFM164</f>
        <v>10000110</v>
      </c>
      <c r="AFO163" s="14" t="str">
        <f t="shared" ref="AFO163" si="1413">AFO171&amp;AFO170&amp;AFO169&amp;AFO168&amp;AFO167&amp;AFO166&amp;AFO165&amp;AFO164</f>
        <v>10000000</v>
      </c>
      <c r="AKY163" s="14" t="str">
        <f>AKY171&amp;AKY170&amp;AKY169&amp;AKY168&amp;AKY167&amp;AKY166&amp;AKY165&amp;AKY164</f>
        <v>10000010</v>
      </c>
      <c r="ALN163" s="14" t="str">
        <f>ALN171&amp;ALN170&amp;ALN169&amp;ALN168&amp;ALN167&amp;ALN166&amp;ALN165&amp;ALN164</f>
        <v>10000010</v>
      </c>
    </row>
    <row r="164" spans="1:1002" ht="15" customHeight="1" x14ac:dyDescent="0.25">
      <c r="B164" s="27">
        <v>1</v>
      </c>
      <c r="AAM164" s="14">
        <f xml:space="preserve"> IF( AAM57 = 0, 1, 0)</f>
        <v>0</v>
      </c>
      <c r="AAY164" s="14">
        <f xml:space="preserve"> IF( AAY57 = 0, 1, 0)</f>
        <v>0</v>
      </c>
      <c r="ABI164" s="14">
        <f t="shared" ref="ABI164:ADC164" si="1414" xml:space="preserve"> IF( ABI57 = 0, 1, 0)</f>
        <v>0</v>
      </c>
      <c r="ABJ164" s="14">
        <f t="shared" si="1414"/>
        <v>0</v>
      </c>
      <c r="ABK164" s="14">
        <f t="shared" si="1414"/>
        <v>0</v>
      </c>
      <c r="ABL164" s="14">
        <f t="shared" si="1414"/>
        <v>0</v>
      </c>
      <c r="ABM164" s="14">
        <f t="shared" si="1414"/>
        <v>0</v>
      </c>
      <c r="ABN164" s="14">
        <f t="shared" si="1414"/>
        <v>0</v>
      </c>
      <c r="ABO164" s="14">
        <f t="shared" si="1414"/>
        <v>0</v>
      </c>
      <c r="ABP164" s="14">
        <f t="shared" si="1414"/>
        <v>0</v>
      </c>
      <c r="ABQ164" s="14">
        <f t="shared" si="1414"/>
        <v>1</v>
      </c>
      <c r="ABR164" s="14">
        <f t="shared" si="1414"/>
        <v>0</v>
      </c>
      <c r="ABS164" s="14">
        <f t="shared" si="1414"/>
        <v>0</v>
      </c>
      <c r="ABT164" s="14">
        <f t="shared" si="1414"/>
        <v>1</v>
      </c>
      <c r="ABU164" s="14">
        <f t="shared" si="1414"/>
        <v>0</v>
      </c>
      <c r="ABV164" s="14">
        <f t="shared" si="1414"/>
        <v>1</v>
      </c>
      <c r="ABW164" s="14">
        <f t="shared" si="1414"/>
        <v>0</v>
      </c>
      <c r="ABX164" s="14">
        <f t="shared" si="1414"/>
        <v>1</v>
      </c>
      <c r="ABY164" s="14">
        <f t="shared" si="1414"/>
        <v>0</v>
      </c>
      <c r="ABZ164" s="14">
        <f t="shared" si="1414"/>
        <v>1</v>
      </c>
      <c r="ACA164" s="14">
        <f t="shared" si="1414"/>
        <v>1</v>
      </c>
      <c r="ACB164" s="14">
        <f t="shared" si="1414"/>
        <v>0</v>
      </c>
      <c r="ACC164" s="14">
        <f t="shared" si="1414"/>
        <v>1</v>
      </c>
      <c r="ACD164" s="14">
        <f t="shared" si="1414"/>
        <v>1</v>
      </c>
      <c r="ACE164" s="14">
        <f t="shared" si="1414"/>
        <v>0</v>
      </c>
      <c r="ACF164" s="14">
        <f t="shared" si="1414"/>
        <v>1</v>
      </c>
      <c r="ACG164" s="14">
        <f t="shared" si="1414"/>
        <v>0</v>
      </c>
      <c r="ACH164" s="14">
        <f t="shared" si="1414"/>
        <v>0</v>
      </c>
      <c r="ACI164" s="14">
        <f t="shared" si="1414"/>
        <v>0</v>
      </c>
      <c r="ACJ164" s="14">
        <f t="shared" si="1414"/>
        <v>0</v>
      </c>
      <c r="ACK164" s="14">
        <f t="shared" si="1414"/>
        <v>0</v>
      </c>
      <c r="ACL164" s="14">
        <f t="shared" si="1414"/>
        <v>0</v>
      </c>
      <c r="ACM164" s="14">
        <f t="shared" si="1414"/>
        <v>0</v>
      </c>
      <c r="ACN164" s="14">
        <f t="shared" si="1414"/>
        <v>0</v>
      </c>
      <c r="ACO164" s="14">
        <f t="shared" si="1414"/>
        <v>0</v>
      </c>
      <c r="ACP164" s="14">
        <f t="shared" si="1414"/>
        <v>0</v>
      </c>
      <c r="ACQ164" s="14">
        <f t="shared" si="1414"/>
        <v>0</v>
      </c>
      <c r="ACR164" s="14">
        <f t="shared" si="1414"/>
        <v>0</v>
      </c>
      <c r="ACS164" s="14">
        <f t="shared" si="1414"/>
        <v>0</v>
      </c>
      <c r="ACT164" s="14">
        <f t="shared" si="1414"/>
        <v>0</v>
      </c>
      <c r="ACU164" s="14">
        <f t="shared" si="1414"/>
        <v>0</v>
      </c>
      <c r="ACV164" s="14">
        <f t="shared" si="1414"/>
        <v>0</v>
      </c>
      <c r="ACW164" s="14">
        <f t="shared" si="1414"/>
        <v>0</v>
      </c>
      <c r="ACX164" s="14">
        <f t="shared" si="1414"/>
        <v>0</v>
      </c>
      <c r="ACY164" s="14">
        <f t="shared" si="1414"/>
        <v>0</v>
      </c>
      <c r="ACZ164" s="14">
        <f t="shared" si="1414"/>
        <v>0</v>
      </c>
      <c r="ADA164" s="14">
        <f t="shared" si="1414"/>
        <v>0</v>
      </c>
      <c r="ADB164" s="14">
        <f t="shared" si="1414"/>
        <v>0</v>
      </c>
      <c r="ADC164" s="14">
        <f t="shared" si="1414"/>
        <v>0</v>
      </c>
      <c r="ADE164" s="14">
        <f xml:space="preserve"> IF( ADE57 = 0, 1, 0)</f>
        <v>0</v>
      </c>
      <c r="ADI164" s="14">
        <f xml:space="preserve"> IF( ADI57 = 0, 1, 0)</f>
        <v>0</v>
      </c>
      <c r="ADS164" s="14">
        <f t="shared" ref="ADS164:AFM164" si="1415" xml:space="preserve"> IF( ADS57 = 0, 1, 0)</f>
        <v>0</v>
      </c>
      <c r="ADT164" s="14">
        <f t="shared" si="1415"/>
        <v>0</v>
      </c>
      <c r="ADU164" s="14">
        <f t="shared" si="1415"/>
        <v>0</v>
      </c>
      <c r="ADV164" s="14">
        <f t="shared" si="1415"/>
        <v>0</v>
      </c>
      <c r="ADW164" s="14">
        <f t="shared" si="1415"/>
        <v>0</v>
      </c>
      <c r="ADX164" s="14">
        <f t="shared" si="1415"/>
        <v>0</v>
      </c>
      <c r="ADY164" s="14">
        <f t="shared" si="1415"/>
        <v>0</v>
      </c>
      <c r="ADZ164" s="14">
        <f t="shared" si="1415"/>
        <v>0</v>
      </c>
      <c r="AEA164" s="14">
        <f t="shared" si="1415"/>
        <v>1</v>
      </c>
      <c r="AEB164" s="14">
        <f t="shared" si="1415"/>
        <v>0</v>
      </c>
      <c r="AEC164" s="14">
        <f t="shared" si="1415"/>
        <v>0</v>
      </c>
      <c r="AED164" s="14">
        <f t="shared" si="1415"/>
        <v>1</v>
      </c>
      <c r="AEE164" s="14">
        <f t="shared" si="1415"/>
        <v>0</v>
      </c>
      <c r="AEF164" s="14">
        <f t="shared" si="1415"/>
        <v>1</v>
      </c>
      <c r="AEG164" s="14">
        <f t="shared" si="1415"/>
        <v>0</v>
      </c>
      <c r="AEH164" s="14">
        <f t="shared" si="1415"/>
        <v>1</v>
      </c>
      <c r="AEI164" s="14">
        <f t="shared" si="1415"/>
        <v>0</v>
      </c>
      <c r="AEJ164" s="14">
        <f t="shared" si="1415"/>
        <v>1</v>
      </c>
      <c r="AEK164" s="14">
        <f t="shared" si="1415"/>
        <v>1</v>
      </c>
      <c r="AEL164" s="14">
        <f t="shared" si="1415"/>
        <v>0</v>
      </c>
      <c r="AEM164" s="14">
        <f t="shared" si="1415"/>
        <v>1</v>
      </c>
      <c r="AEN164" s="14">
        <f t="shared" si="1415"/>
        <v>1</v>
      </c>
      <c r="AEO164" s="14">
        <f t="shared" si="1415"/>
        <v>0</v>
      </c>
      <c r="AEP164" s="14">
        <f t="shared" si="1415"/>
        <v>1</v>
      </c>
      <c r="AEQ164" s="14">
        <f t="shared" si="1415"/>
        <v>0</v>
      </c>
      <c r="AER164" s="14">
        <f t="shared" si="1415"/>
        <v>0</v>
      </c>
      <c r="AES164" s="14">
        <f t="shared" si="1415"/>
        <v>0</v>
      </c>
      <c r="AET164" s="14">
        <f t="shared" si="1415"/>
        <v>0</v>
      </c>
      <c r="AEU164" s="14">
        <f t="shared" si="1415"/>
        <v>0</v>
      </c>
      <c r="AEV164" s="14">
        <f t="shared" si="1415"/>
        <v>0</v>
      </c>
      <c r="AEW164" s="14">
        <f t="shared" si="1415"/>
        <v>0</v>
      </c>
      <c r="AEX164" s="14">
        <f t="shared" si="1415"/>
        <v>0</v>
      </c>
      <c r="AEY164" s="14">
        <f t="shared" si="1415"/>
        <v>0</v>
      </c>
      <c r="AEZ164" s="14">
        <f t="shared" si="1415"/>
        <v>0</v>
      </c>
      <c r="AFA164" s="14">
        <f t="shared" si="1415"/>
        <v>0</v>
      </c>
      <c r="AFB164" s="14">
        <f t="shared" si="1415"/>
        <v>0</v>
      </c>
      <c r="AFC164" s="14">
        <f t="shared" si="1415"/>
        <v>0</v>
      </c>
      <c r="AFD164" s="14">
        <f t="shared" si="1415"/>
        <v>0</v>
      </c>
      <c r="AFE164" s="14">
        <f t="shared" si="1415"/>
        <v>0</v>
      </c>
      <c r="AFF164" s="14">
        <f t="shared" si="1415"/>
        <v>0</v>
      </c>
      <c r="AFG164" s="14">
        <f t="shared" si="1415"/>
        <v>0</v>
      </c>
      <c r="AFH164" s="14">
        <f t="shared" si="1415"/>
        <v>0</v>
      </c>
      <c r="AFI164" s="14">
        <f t="shared" si="1415"/>
        <v>0</v>
      </c>
      <c r="AFJ164" s="14">
        <f t="shared" si="1415"/>
        <v>0</v>
      </c>
      <c r="AFK164" s="14">
        <f t="shared" si="1415"/>
        <v>0</v>
      </c>
      <c r="AFL164" s="14">
        <f t="shared" si="1415"/>
        <v>0</v>
      </c>
      <c r="AFM164" s="14">
        <f t="shared" si="1415"/>
        <v>0</v>
      </c>
      <c r="AFO164" s="14">
        <f xml:space="preserve"> IF( AFO57 = 0, 1, 0)</f>
        <v>0</v>
      </c>
      <c r="AKY164" s="14">
        <f xml:space="preserve"> IF( AKY57 = 0, 1, 0)</f>
        <v>0</v>
      </c>
      <c r="ALN164" s="14">
        <f xml:space="preserve"> IF( ALN57 = 0, 1, 0)</f>
        <v>0</v>
      </c>
    </row>
    <row r="165" spans="1:1002" ht="15" customHeight="1" x14ac:dyDescent="0.25">
      <c r="B165" s="27">
        <v>2</v>
      </c>
      <c r="AAM165" s="14">
        <f xml:space="preserve"> IF( NOT(EXACT(AAM25,"LVC_NEUTRAL_E")),1,0)</f>
        <v>1</v>
      </c>
      <c r="AAY165" s="14">
        <f xml:space="preserve"> IF( NOT(EXACT(AAY25,"LVC_NEUTRAL_E")),1,0)</f>
        <v>1</v>
      </c>
      <c r="ABI165" s="14">
        <f t="shared" ref="ABI165:ADC165" si="1416" xml:space="preserve"> IF( NOT(EXACT(ABI25,"LVC_NEUTRAL_E")),1,0)</f>
        <v>0</v>
      </c>
      <c r="ABJ165" s="14">
        <f t="shared" si="1416"/>
        <v>0</v>
      </c>
      <c r="ABK165" s="14">
        <f t="shared" si="1416"/>
        <v>0</v>
      </c>
      <c r="ABL165" s="14">
        <f t="shared" si="1416"/>
        <v>0</v>
      </c>
      <c r="ABM165" s="14">
        <f t="shared" si="1416"/>
        <v>0</v>
      </c>
      <c r="ABN165" s="14">
        <f t="shared" si="1416"/>
        <v>1</v>
      </c>
      <c r="ABO165" s="14">
        <f t="shared" si="1416"/>
        <v>1</v>
      </c>
      <c r="ABP165" s="14">
        <f t="shared" si="1416"/>
        <v>1</v>
      </c>
      <c r="ABQ165" s="14">
        <f t="shared" si="1416"/>
        <v>0</v>
      </c>
      <c r="ABR165" s="14">
        <f t="shared" si="1416"/>
        <v>0</v>
      </c>
      <c r="ABS165" s="14">
        <f t="shared" si="1416"/>
        <v>0</v>
      </c>
      <c r="ABT165" s="14">
        <f t="shared" si="1416"/>
        <v>1</v>
      </c>
      <c r="ABU165" s="14">
        <f t="shared" si="1416"/>
        <v>0</v>
      </c>
      <c r="ABV165" s="14">
        <f t="shared" si="1416"/>
        <v>1</v>
      </c>
      <c r="ABW165" s="14">
        <f t="shared" si="1416"/>
        <v>0</v>
      </c>
      <c r="ABX165" s="14">
        <f t="shared" si="1416"/>
        <v>1</v>
      </c>
      <c r="ABY165" s="14">
        <f t="shared" si="1416"/>
        <v>0</v>
      </c>
      <c r="ABZ165" s="14">
        <f t="shared" si="1416"/>
        <v>1</v>
      </c>
      <c r="ACA165" s="14">
        <f t="shared" si="1416"/>
        <v>1</v>
      </c>
      <c r="ACB165" s="14">
        <f t="shared" si="1416"/>
        <v>0</v>
      </c>
      <c r="ACC165" s="14">
        <f t="shared" si="1416"/>
        <v>0</v>
      </c>
      <c r="ACD165" s="14">
        <f t="shared" si="1416"/>
        <v>0</v>
      </c>
      <c r="ACE165" s="14">
        <f t="shared" si="1416"/>
        <v>0</v>
      </c>
      <c r="ACF165" s="14">
        <f t="shared" si="1416"/>
        <v>0</v>
      </c>
      <c r="ACG165" s="14">
        <f t="shared" si="1416"/>
        <v>0</v>
      </c>
      <c r="ACH165" s="14">
        <f t="shared" si="1416"/>
        <v>1</v>
      </c>
      <c r="ACI165" s="14">
        <f t="shared" si="1416"/>
        <v>1</v>
      </c>
      <c r="ACJ165" s="14">
        <f t="shared" si="1416"/>
        <v>1</v>
      </c>
      <c r="ACK165" s="14">
        <f t="shared" si="1416"/>
        <v>1</v>
      </c>
      <c r="ACL165" s="14">
        <f t="shared" si="1416"/>
        <v>1</v>
      </c>
      <c r="ACM165" s="14">
        <f t="shared" si="1416"/>
        <v>1</v>
      </c>
      <c r="ACN165" s="14">
        <f t="shared" si="1416"/>
        <v>1</v>
      </c>
      <c r="ACO165" s="14">
        <f t="shared" si="1416"/>
        <v>1</v>
      </c>
      <c r="ACP165" s="14">
        <f t="shared" si="1416"/>
        <v>1</v>
      </c>
      <c r="ACQ165" s="14">
        <f t="shared" si="1416"/>
        <v>1</v>
      </c>
      <c r="ACR165" s="14">
        <f t="shared" si="1416"/>
        <v>1</v>
      </c>
      <c r="ACS165" s="14">
        <f t="shared" si="1416"/>
        <v>1</v>
      </c>
      <c r="ACT165" s="14">
        <f t="shared" si="1416"/>
        <v>1</v>
      </c>
      <c r="ACU165" s="14">
        <f t="shared" si="1416"/>
        <v>1</v>
      </c>
      <c r="ACV165" s="14">
        <f t="shared" si="1416"/>
        <v>1</v>
      </c>
      <c r="ACW165" s="14">
        <f t="shared" si="1416"/>
        <v>1</v>
      </c>
      <c r="ACX165" s="14">
        <f t="shared" si="1416"/>
        <v>1</v>
      </c>
      <c r="ACY165" s="14">
        <f t="shared" si="1416"/>
        <v>1</v>
      </c>
      <c r="ACZ165" s="14">
        <f t="shared" si="1416"/>
        <v>1</v>
      </c>
      <c r="ADA165" s="14">
        <f t="shared" si="1416"/>
        <v>1</v>
      </c>
      <c r="ADB165" s="14">
        <f t="shared" si="1416"/>
        <v>1</v>
      </c>
      <c r="ADC165" s="14">
        <f t="shared" si="1416"/>
        <v>1</v>
      </c>
      <c r="ADE165" s="14">
        <f xml:space="preserve"> IF( NOT(EXACT(ADE25,"LVC_NEUTRAL_E")),1,0)</f>
        <v>0</v>
      </c>
      <c r="ADI165" s="14">
        <f xml:space="preserve"> IF( NOT(EXACT(ADI25,"LVC_NEUTRAL_E")),1,0)</f>
        <v>1</v>
      </c>
      <c r="ADS165" s="14">
        <f t="shared" ref="ADS165:AFM165" si="1417" xml:space="preserve"> IF( NOT(EXACT(ADS25,"LVC_NEUTRAL_E")),1,0)</f>
        <v>0</v>
      </c>
      <c r="ADT165" s="14">
        <f t="shared" si="1417"/>
        <v>0</v>
      </c>
      <c r="ADU165" s="14">
        <f t="shared" si="1417"/>
        <v>0</v>
      </c>
      <c r="ADV165" s="14">
        <f t="shared" si="1417"/>
        <v>0</v>
      </c>
      <c r="ADW165" s="14">
        <f t="shared" si="1417"/>
        <v>0</v>
      </c>
      <c r="ADX165" s="14">
        <f t="shared" si="1417"/>
        <v>1</v>
      </c>
      <c r="ADY165" s="14">
        <f t="shared" si="1417"/>
        <v>1</v>
      </c>
      <c r="ADZ165" s="14">
        <f t="shared" si="1417"/>
        <v>1</v>
      </c>
      <c r="AEA165" s="14">
        <f t="shared" si="1417"/>
        <v>0</v>
      </c>
      <c r="AEB165" s="14">
        <f t="shared" si="1417"/>
        <v>0</v>
      </c>
      <c r="AEC165" s="14">
        <f t="shared" si="1417"/>
        <v>0</v>
      </c>
      <c r="AED165" s="14">
        <f t="shared" si="1417"/>
        <v>1</v>
      </c>
      <c r="AEE165" s="14">
        <f t="shared" si="1417"/>
        <v>0</v>
      </c>
      <c r="AEF165" s="14">
        <f t="shared" si="1417"/>
        <v>1</v>
      </c>
      <c r="AEG165" s="14">
        <f t="shared" si="1417"/>
        <v>0</v>
      </c>
      <c r="AEH165" s="14">
        <f t="shared" si="1417"/>
        <v>1</v>
      </c>
      <c r="AEI165" s="14">
        <f t="shared" si="1417"/>
        <v>0</v>
      </c>
      <c r="AEJ165" s="14">
        <f t="shared" si="1417"/>
        <v>1</v>
      </c>
      <c r="AEK165" s="14">
        <f t="shared" si="1417"/>
        <v>1</v>
      </c>
      <c r="AEL165" s="14">
        <f t="shared" si="1417"/>
        <v>0</v>
      </c>
      <c r="AEM165" s="14">
        <f t="shared" si="1417"/>
        <v>0</v>
      </c>
      <c r="AEN165" s="14">
        <f t="shared" si="1417"/>
        <v>0</v>
      </c>
      <c r="AEO165" s="14">
        <f t="shared" si="1417"/>
        <v>0</v>
      </c>
      <c r="AEP165" s="14">
        <f t="shared" si="1417"/>
        <v>0</v>
      </c>
      <c r="AEQ165" s="14">
        <f t="shared" si="1417"/>
        <v>0</v>
      </c>
      <c r="AER165" s="14">
        <f t="shared" si="1417"/>
        <v>1</v>
      </c>
      <c r="AES165" s="14">
        <f t="shared" si="1417"/>
        <v>1</v>
      </c>
      <c r="AET165" s="14">
        <f t="shared" si="1417"/>
        <v>1</v>
      </c>
      <c r="AEU165" s="14">
        <f t="shared" si="1417"/>
        <v>1</v>
      </c>
      <c r="AEV165" s="14">
        <f t="shared" si="1417"/>
        <v>1</v>
      </c>
      <c r="AEW165" s="14">
        <f t="shared" si="1417"/>
        <v>1</v>
      </c>
      <c r="AEX165" s="14">
        <f t="shared" si="1417"/>
        <v>1</v>
      </c>
      <c r="AEY165" s="14">
        <f t="shared" si="1417"/>
        <v>1</v>
      </c>
      <c r="AEZ165" s="14">
        <f t="shared" si="1417"/>
        <v>1</v>
      </c>
      <c r="AFA165" s="14">
        <f t="shared" si="1417"/>
        <v>1</v>
      </c>
      <c r="AFB165" s="14">
        <f t="shared" si="1417"/>
        <v>1</v>
      </c>
      <c r="AFC165" s="14">
        <f t="shared" si="1417"/>
        <v>1</v>
      </c>
      <c r="AFD165" s="14">
        <f t="shared" si="1417"/>
        <v>1</v>
      </c>
      <c r="AFE165" s="14">
        <f t="shared" si="1417"/>
        <v>1</v>
      </c>
      <c r="AFF165" s="14">
        <f t="shared" si="1417"/>
        <v>1</v>
      </c>
      <c r="AFG165" s="14">
        <f t="shared" si="1417"/>
        <v>1</v>
      </c>
      <c r="AFH165" s="14">
        <f t="shared" si="1417"/>
        <v>1</v>
      </c>
      <c r="AFI165" s="14">
        <f t="shared" si="1417"/>
        <v>1</v>
      </c>
      <c r="AFJ165" s="14">
        <f t="shared" si="1417"/>
        <v>1</v>
      </c>
      <c r="AFK165" s="14">
        <f t="shared" si="1417"/>
        <v>1</v>
      </c>
      <c r="AFL165" s="14">
        <f t="shared" si="1417"/>
        <v>1</v>
      </c>
      <c r="AFM165" s="14">
        <f t="shared" si="1417"/>
        <v>1</v>
      </c>
      <c r="AFO165" s="14">
        <f xml:space="preserve"> IF( NOT(EXACT(AFO25,"LVC_NEUTRAL_E")),1,0)</f>
        <v>0</v>
      </c>
      <c r="AKY165" s="14">
        <f xml:space="preserve"> IF( NOT(EXACT(AKY25,"LVC_NEUTRAL_E")),1,0)</f>
        <v>1</v>
      </c>
      <c r="ALN165" s="14">
        <f xml:space="preserve"> IF( NOT(EXACT(ALN25,"LVC_NEUTRAL_E")),1,0)</f>
        <v>1</v>
      </c>
    </row>
    <row r="166" spans="1:1002" ht="15" customHeight="1" x14ac:dyDescent="0.25">
      <c r="B166" s="27">
        <v>4</v>
      </c>
      <c r="AAM166" s="14">
        <f xml:space="preserve"> IF( NOT(EXACT(AAM26,"LVC_REQ_ENGAGE_E")), 1,0)</f>
        <v>0</v>
      </c>
      <c r="AAY166" s="14">
        <f xml:space="preserve"> IF( NOT(EXACT(AAY26,"LVC_REQ_ENGAGE_E")), 1,0)</f>
        <v>0</v>
      </c>
      <c r="ABI166" s="14">
        <f t="shared" ref="ABI166:ADC166" si="1418" xml:space="preserve"> IF( NOT(EXACT(ABI26,"LVC_REQ_ENGAGE_E")), 1,0)</f>
        <v>0</v>
      </c>
      <c r="ABJ166" s="14">
        <f t="shared" si="1418"/>
        <v>0</v>
      </c>
      <c r="ABK166" s="14">
        <f t="shared" si="1418"/>
        <v>1</v>
      </c>
      <c r="ABL166" s="14">
        <f t="shared" si="1418"/>
        <v>1</v>
      </c>
      <c r="ABM166" s="14">
        <f t="shared" si="1418"/>
        <v>1</v>
      </c>
      <c r="ABN166" s="14">
        <f t="shared" si="1418"/>
        <v>0</v>
      </c>
      <c r="ABO166" s="14">
        <f t="shared" si="1418"/>
        <v>0</v>
      </c>
      <c r="ABP166" s="14">
        <f t="shared" si="1418"/>
        <v>0</v>
      </c>
      <c r="ABQ166" s="14">
        <f t="shared" si="1418"/>
        <v>0</v>
      </c>
      <c r="ABR166" s="14">
        <f t="shared" si="1418"/>
        <v>0</v>
      </c>
      <c r="ABS166" s="14">
        <f t="shared" si="1418"/>
        <v>0</v>
      </c>
      <c r="ABT166" s="14">
        <f t="shared" si="1418"/>
        <v>0</v>
      </c>
      <c r="ABU166" s="14">
        <f t="shared" si="1418"/>
        <v>1</v>
      </c>
      <c r="ABV166" s="14">
        <f t="shared" si="1418"/>
        <v>0</v>
      </c>
      <c r="ABW166" s="14">
        <f t="shared" si="1418"/>
        <v>1</v>
      </c>
      <c r="ABX166" s="14">
        <f t="shared" si="1418"/>
        <v>0</v>
      </c>
      <c r="ABY166" s="14">
        <f t="shared" si="1418"/>
        <v>1</v>
      </c>
      <c r="ABZ166" s="14">
        <f t="shared" si="1418"/>
        <v>0</v>
      </c>
      <c r="ACA166" s="14">
        <f t="shared" si="1418"/>
        <v>0</v>
      </c>
      <c r="ACB166" s="14">
        <f t="shared" si="1418"/>
        <v>1</v>
      </c>
      <c r="ACC166" s="14">
        <f t="shared" si="1418"/>
        <v>1</v>
      </c>
      <c r="ACD166" s="14">
        <f t="shared" si="1418"/>
        <v>1</v>
      </c>
      <c r="ACE166" s="14">
        <f t="shared" si="1418"/>
        <v>1</v>
      </c>
      <c r="ACF166" s="14">
        <f t="shared" si="1418"/>
        <v>1</v>
      </c>
      <c r="ACG166" s="14">
        <f t="shared" si="1418"/>
        <v>1</v>
      </c>
      <c r="ACH166" s="14">
        <f t="shared" si="1418"/>
        <v>1</v>
      </c>
      <c r="ACI166" s="14">
        <f t="shared" si="1418"/>
        <v>1</v>
      </c>
      <c r="ACJ166" s="14">
        <f t="shared" si="1418"/>
        <v>1</v>
      </c>
      <c r="ACK166" s="14">
        <f t="shared" si="1418"/>
        <v>1</v>
      </c>
      <c r="ACL166" s="14">
        <f t="shared" si="1418"/>
        <v>1</v>
      </c>
      <c r="ACM166" s="14">
        <f t="shared" si="1418"/>
        <v>1</v>
      </c>
      <c r="ACN166" s="14">
        <f t="shared" si="1418"/>
        <v>1</v>
      </c>
      <c r="ACO166" s="14">
        <f t="shared" si="1418"/>
        <v>1</v>
      </c>
      <c r="ACP166" s="14">
        <f t="shared" si="1418"/>
        <v>1</v>
      </c>
      <c r="ACQ166" s="14">
        <f t="shared" si="1418"/>
        <v>1</v>
      </c>
      <c r="ACR166" s="14">
        <f t="shared" si="1418"/>
        <v>1</v>
      </c>
      <c r="ACS166" s="14">
        <f t="shared" si="1418"/>
        <v>1</v>
      </c>
      <c r="ACT166" s="14">
        <f t="shared" si="1418"/>
        <v>1</v>
      </c>
      <c r="ACU166" s="14">
        <f t="shared" si="1418"/>
        <v>1</v>
      </c>
      <c r="ACV166" s="14">
        <f t="shared" si="1418"/>
        <v>1</v>
      </c>
      <c r="ACW166" s="14">
        <f t="shared" si="1418"/>
        <v>1</v>
      </c>
      <c r="ACX166" s="14">
        <f t="shared" si="1418"/>
        <v>1</v>
      </c>
      <c r="ACY166" s="14">
        <f t="shared" si="1418"/>
        <v>1</v>
      </c>
      <c r="ACZ166" s="14">
        <f t="shared" si="1418"/>
        <v>1</v>
      </c>
      <c r="ADA166" s="14">
        <f t="shared" si="1418"/>
        <v>1</v>
      </c>
      <c r="ADB166" s="14">
        <f t="shared" si="1418"/>
        <v>1</v>
      </c>
      <c r="ADC166" s="14">
        <f t="shared" si="1418"/>
        <v>1</v>
      </c>
      <c r="ADE166" s="14">
        <f xml:space="preserve"> IF( NOT(EXACT(ADE26,"LVC_REQ_ENGAGE_E")), 1,0)</f>
        <v>0</v>
      </c>
      <c r="ADI166" s="14">
        <f xml:space="preserve"> IF( NOT(EXACT(ADI26,"LVC_REQ_ENGAGE_E")), 1,0)</f>
        <v>0</v>
      </c>
      <c r="ADS166" s="14">
        <f t="shared" ref="ADS166:AFM166" si="1419" xml:space="preserve"> IF( NOT(EXACT(ADS26,"LVC_REQ_ENGAGE_E")), 1,0)</f>
        <v>0</v>
      </c>
      <c r="ADT166" s="14">
        <f t="shared" si="1419"/>
        <v>0</v>
      </c>
      <c r="ADU166" s="14">
        <f t="shared" si="1419"/>
        <v>1</v>
      </c>
      <c r="ADV166" s="14">
        <f t="shared" si="1419"/>
        <v>1</v>
      </c>
      <c r="ADW166" s="14">
        <f t="shared" si="1419"/>
        <v>1</v>
      </c>
      <c r="ADX166" s="14">
        <f t="shared" si="1419"/>
        <v>0</v>
      </c>
      <c r="ADY166" s="14">
        <f t="shared" si="1419"/>
        <v>0</v>
      </c>
      <c r="ADZ166" s="14">
        <f t="shared" si="1419"/>
        <v>0</v>
      </c>
      <c r="AEA166" s="14">
        <f t="shared" si="1419"/>
        <v>0</v>
      </c>
      <c r="AEB166" s="14">
        <f t="shared" si="1419"/>
        <v>0</v>
      </c>
      <c r="AEC166" s="14">
        <f t="shared" si="1419"/>
        <v>0</v>
      </c>
      <c r="AED166" s="14">
        <f t="shared" si="1419"/>
        <v>0</v>
      </c>
      <c r="AEE166" s="14">
        <f t="shared" si="1419"/>
        <v>1</v>
      </c>
      <c r="AEF166" s="14">
        <f t="shared" si="1419"/>
        <v>0</v>
      </c>
      <c r="AEG166" s="14">
        <f t="shared" si="1419"/>
        <v>1</v>
      </c>
      <c r="AEH166" s="14">
        <f t="shared" si="1419"/>
        <v>0</v>
      </c>
      <c r="AEI166" s="14">
        <f t="shared" si="1419"/>
        <v>1</v>
      </c>
      <c r="AEJ166" s="14">
        <f t="shared" si="1419"/>
        <v>0</v>
      </c>
      <c r="AEK166" s="14">
        <f t="shared" si="1419"/>
        <v>0</v>
      </c>
      <c r="AEL166" s="14">
        <f t="shared" si="1419"/>
        <v>1</v>
      </c>
      <c r="AEM166" s="14">
        <f t="shared" si="1419"/>
        <v>1</v>
      </c>
      <c r="AEN166" s="14">
        <f t="shared" si="1419"/>
        <v>1</v>
      </c>
      <c r="AEO166" s="14">
        <f t="shared" si="1419"/>
        <v>1</v>
      </c>
      <c r="AEP166" s="14">
        <f t="shared" si="1419"/>
        <v>1</v>
      </c>
      <c r="AEQ166" s="14">
        <f t="shared" si="1419"/>
        <v>1</v>
      </c>
      <c r="AER166" s="14">
        <f t="shared" si="1419"/>
        <v>1</v>
      </c>
      <c r="AES166" s="14">
        <f t="shared" si="1419"/>
        <v>1</v>
      </c>
      <c r="AET166" s="14">
        <f t="shared" si="1419"/>
        <v>1</v>
      </c>
      <c r="AEU166" s="14">
        <f t="shared" si="1419"/>
        <v>1</v>
      </c>
      <c r="AEV166" s="14">
        <f t="shared" si="1419"/>
        <v>1</v>
      </c>
      <c r="AEW166" s="14">
        <f t="shared" si="1419"/>
        <v>1</v>
      </c>
      <c r="AEX166" s="14">
        <f t="shared" si="1419"/>
        <v>1</v>
      </c>
      <c r="AEY166" s="14">
        <f t="shared" si="1419"/>
        <v>1</v>
      </c>
      <c r="AEZ166" s="14">
        <f t="shared" si="1419"/>
        <v>1</v>
      </c>
      <c r="AFA166" s="14">
        <f t="shared" si="1419"/>
        <v>1</v>
      </c>
      <c r="AFB166" s="14">
        <f t="shared" si="1419"/>
        <v>1</v>
      </c>
      <c r="AFC166" s="14">
        <f t="shared" si="1419"/>
        <v>1</v>
      </c>
      <c r="AFD166" s="14">
        <f t="shared" si="1419"/>
        <v>1</v>
      </c>
      <c r="AFE166" s="14">
        <f t="shared" si="1419"/>
        <v>1</v>
      </c>
      <c r="AFF166" s="14">
        <f t="shared" si="1419"/>
        <v>1</v>
      </c>
      <c r="AFG166" s="14">
        <f t="shared" si="1419"/>
        <v>1</v>
      </c>
      <c r="AFH166" s="14">
        <f t="shared" si="1419"/>
        <v>1</v>
      </c>
      <c r="AFI166" s="14">
        <f t="shared" si="1419"/>
        <v>1</v>
      </c>
      <c r="AFJ166" s="14">
        <f t="shared" si="1419"/>
        <v>1</v>
      </c>
      <c r="AFK166" s="14">
        <f t="shared" si="1419"/>
        <v>1</v>
      </c>
      <c r="AFL166" s="14">
        <f t="shared" si="1419"/>
        <v>1</v>
      </c>
      <c r="AFM166" s="14">
        <f t="shared" si="1419"/>
        <v>1</v>
      </c>
      <c r="AFO166" s="14">
        <f xml:space="preserve"> IF( NOT(EXACT(AFO26,"LVC_REQ_ENGAGE_E")), 1,0)</f>
        <v>0</v>
      </c>
      <c r="AKY166" s="14">
        <f xml:space="preserve"> IF( NOT(EXACT(AKY26,"LVC_REQ_ENGAGE_E")), 1,0)</f>
        <v>0</v>
      </c>
      <c r="ALN166" s="14">
        <f xml:space="preserve"> IF( NOT(EXACT(ALN26,"LVC_REQ_ENGAGE_E")), 1,0)</f>
        <v>0</v>
      </c>
    </row>
    <row r="167" spans="1:1002" ht="15" customHeight="1" x14ac:dyDescent="0.25">
      <c r="B167" s="14">
        <v>8</v>
      </c>
      <c r="AAM167" s="14">
        <v>0</v>
      </c>
      <c r="AAY167" s="14">
        <v>0</v>
      </c>
      <c r="ABI167" s="14">
        <v>0</v>
      </c>
      <c r="ABJ167" s="14">
        <v>0</v>
      </c>
      <c r="ABK167" s="14">
        <v>0</v>
      </c>
      <c r="ABL167" s="14">
        <v>0</v>
      </c>
      <c r="ABM167" s="14">
        <v>0</v>
      </c>
      <c r="ABN167" s="14">
        <v>0</v>
      </c>
      <c r="ABO167" s="14">
        <v>0</v>
      </c>
      <c r="ABP167" s="14">
        <v>0</v>
      </c>
      <c r="ABQ167" s="14">
        <v>0</v>
      </c>
      <c r="ABR167" s="14">
        <v>0</v>
      </c>
      <c r="ABS167" s="14">
        <v>0</v>
      </c>
      <c r="ABT167" s="14">
        <v>0</v>
      </c>
      <c r="ABU167" s="14">
        <v>0</v>
      </c>
      <c r="ABV167" s="14">
        <v>0</v>
      </c>
      <c r="ABW167" s="14">
        <v>0</v>
      </c>
      <c r="ABX167" s="14">
        <v>0</v>
      </c>
      <c r="ABY167" s="14">
        <v>0</v>
      </c>
      <c r="ABZ167" s="14">
        <v>0</v>
      </c>
      <c r="ACA167" s="14">
        <v>0</v>
      </c>
      <c r="ACB167" s="14">
        <v>0</v>
      </c>
      <c r="ACC167" s="14">
        <v>0</v>
      </c>
      <c r="ACD167" s="14">
        <v>0</v>
      </c>
      <c r="ACE167" s="14">
        <v>0</v>
      </c>
      <c r="ACF167" s="14">
        <v>0</v>
      </c>
      <c r="ACG167" s="14">
        <v>0</v>
      </c>
      <c r="ACH167" s="14">
        <v>0</v>
      </c>
      <c r="ACI167" s="14">
        <v>0</v>
      </c>
      <c r="ACJ167" s="14">
        <v>0</v>
      </c>
      <c r="ACK167" s="14">
        <v>0</v>
      </c>
      <c r="ACL167" s="14">
        <v>0</v>
      </c>
      <c r="ACM167" s="14">
        <v>0</v>
      </c>
      <c r="ACN167" s="14">
        <v>0</v>
      </c>
      <c r="ACO167" s="14">
        <v>0</v>
      </c>
      <c r="ACP167" s="14">
        <v>0</v>
      </c>
      <c r="ACQ167" s="14">
        <v>0</v>
      </c>
      <c r="ACR167" s="14">
        <v>0</v>
      </c>
      <c r="ACS167" s="14">
        <v>0</v>
      </c>
      <c r="ACT167" s="14">
        <v>0</v>
      </c>
      <c r="ACU167" s="14">
        <v>0</v>
      </c>
      <c r="ACV167" s="14">
        <v>0</v>
      </c>
      <c r="ACW167" s="14">
        <v>0</v>
      </c>
      <c r="ACX167" s="14">
        <v>0</v>
      </c>
      <c r="ACY167" s="14">
        <v>0</v>
      </c>
      <c r="ACZ167" s="14">
        <v>0</v>
      </c>
      <c r="ADA167" s="14">
        <v>0</v>
      </c>
      <c r="ADB167" s="14">
        <v>0</v>
      </c>
      <c r="ADC167" s="14">
        <v>0</v>
      </c>
      <c r="ADE167" s="14">
        <v>0</v>
      </c>
      <c r="ADI167" s="14">
        <v>0</v>
      </c>
      <c r="ADS167" s="14">
        <v>0</v>
      </c>
      <c r="ADT167" s="14">
        <v>0</v>
      </c>
      <c r="ADU167" s="14">
        <v>0</v>
      </c>
      <c r="ADV167" s="14">
        <v>0</v>
      </c>
      <c r="ADW167" s="14">
        <v>0</v>
      </c>
      <c r="ADX167" s="14">
        <v>0</v>
      </c>
      <c r="ADY167" s="14">
        <v>0</v>
      </c>
      <c r="ADZ167" s="14">
        <v>0</v>
      </c>
      <c r="AEA167" s="14">
        <v>0</v>
      </c>
      <c r="AEB167" s="14">
        <v>0</v>
      </c>
      <c r="AEC167" s="14">
        <v>0</v>
      </c>
      <c r="AED167" s="14">
        <v>0</v>
      </c>
      <c r="AEE167" s="14">
        <v>0</v>
      </c>
      <c r="AEF167" s="14">
        <v>0</v>
      </c>
      <c r="AEG167" s="14">
        <v>0</v>
      </c>
      <c r="AEH167" s="14">
        <v>0</v>
      </c>
      <c r="AEI167" s="14">
        <v>0</v>
      </c>
      <c r="AEJ167" s="14">
        <v>0</v>
      </c>
      <c r="AEK167" s="14">
        <v>0</v>
      </c>
      <c r="AEL167" s="14">
        <v>0</v>
      </c>
      <c r="AEM167" s="14">
        <v>0</v>
      </c>
      <c r="AEN167" s="14">
        <v>0</v>
      </c>
      <c r="AEO167" s="14">
        <v>0</v>
      </c>
      <c r="AEP167" s="14">
        <v>0</v>
      </c>
      <c r="AEQ167" s="14">
        <v>0</v>
      </c>
      <c r="AER167" s="14">
        <v>0</v>
      </c>
      <c r="AES167" s="14">
        <v>0</v>
      </c>
      <c r="AET167" s="14">
        <v>0</v>
      </c>
      <c r="AEU167" s="14">
        <v>0</v>
      </c>
      <c r="AEV167" s="14">
        <v>0</v>
      </c>
      <c r="AEW167" s="14">
        <v>0</v>
      </c>
      <c r="AEX167" s="14">
        <v>0</v>
      </c>
      <c r="AEY167" s="14">
        <v>0</v>
      </c>
      <c r="AEZ167" s="14">
        <v>0</v>
      </c>
      <c r="AFA167" s="14">
        <v>0</v>
      </c>
      <c r="AFB167" s="14">
        <v>0</v>
      </c>
      <c r="AFC167" s="14">
        <v>0</v>
      </c>
      <c r="AFD167" s="14">
        <v>0</v>
      </c>
      <c r="AFE167" s="14">
        <v>0</v>
      </c>
      <c r="AFF167" s="14">
        <v>0</v>
      </c>
      <c r="AFG167" s="14">
        <v>0</v>
      </c>
      <c r="AFH167" s="14">
        <v>0</v>
      </c>
      <c r="AFI167" s="14">
        <v>0</v>
      </c>
      <c r="AFJ167" s="14">
        <v>0</v>
      </c>
      <c r="AFK167" s="14">
        <v>0</v>
      </c>
      <c r="AFL167" s="14">
        <v>0</v>
      </c>
      <c r="AFM167" s="14">
        <v>0</v>
      </c>
      <c r="AFO167" s="14">
        <v>0</v>
      </c>
      <c r="AKY167" s="14">
        <v>0</v>
      </c>
      <c r="ALN167" s="14">
        <v>0</v>
      </c>
    </row>
    <row r="168" spans="1:1002" ht="15" customHeight="1" x14ac:dyDescent="0.25">
      <c r="B168" s="14">
        <v>16</v>
      </c>
      <c r="AAM168" s="14">
        <v>0</v>
      </c>
      <c r="AAY168" s="14">
        <v>0</v>
      </c>
      <c r="ABI168" s="14">
        <v>0</v>
      </c>
      <c r="ABJ168" s="14">
        <v>0</v>
      </c>
      <c r="ABK168" s="14">
        <v>0</v>
      </c>
      <c r="ABL168" s="14">
        <v>0</v>
      </c>
      <c r="ABM168" s="14">
        <v>0</v>
      </c>
      <c r="ABN168" s="14">
        <v>0</v>
      </c>
      <c r="ABO168" s="14">
        <v>0</v>
      </c>
      <c r="ABP168" s="14">
        <v>0</v>
      </c>
      <c r="ABQ168" s="14">
        <v>0</v>
      </c>
      <c r="ABR168" s="14">
        <v>0</v>
      </c>
      <c r="ABS168" s="14">
        <v>0</v>
      </c>
      <c r="ABT168" s="14">
        <v>0</v>
      </c>
      <c r="ABU168" s="14">
        <v>0</v>
      </c>
      <c r="ABV168" s="14">
        <v>0</v>
      </c>
      <c r="ABW168" s="14">
        <v>0</v>
      </c>
      <c r="ABX168" s="14">
        <v>0</v>
      </c>
      <c r="ABY168" s="14">
        <v>0</v>
      </c>
      <c r="ABZ168" s="14">
        <v>0</v>
      </c>
      <c r="ACA168" s="14">
        <v>0</v>
      </c>
      <c r="ACB168" s="14">
        <v>0</v>
      </c>
      <c r="ACC168" s="14">
        <v>0</v>
      </c>
      <c r="ACD168" s="14">
        <v>0</v>
      </c>
      <c r="ACE168" s="14">
        <v>0</v>
      </c>
      <c r="ACF168" s="14">
        <v>0</v>
      </c>
      <c r="ACG168" s="14">
        <v>0</v>
      </c>
      <c r="ACH168" s="14">
        <v>0</v>
      </c>
      <c r="ACI168" s="14">
        <v>0</v>
      </c>
      <c r="ACJ168" s="14">
        <v>0</v>
      </c>
      <c r="ACK168" s="14">
        <v>0</v>
      </c>
      <c r="ACL168" s="14">
        <v>0</v>
      </c>
      <c r="ACM168" s="14">
        <v>0</v>
      </c>
      <c r="ACN168" s="14">
        <v>0</v>
      </c>
      <c r="ACO168" s="14">
        <v>0</v>
      </c>
      <c r="ACP168" s="14">
        <v>0</v>
      </c>
      <c r="ACQ168" s="14">
        <v>0</v>
      </c>
      <c r="ACR168" s="14">
        <v>0</v>
      </c>
      <c r="ACS168" s="14">
        <v>0</v>
      </c>
      <c r="ACT168" s="14">
        <v>0</v>
      </c>
      <c r="ACU168" s="14">
        <v>0</v>
      </c>
      <c r="ACV168" s="14">
        <v>0</v>
      </c>
      <c r="ACW168" s="14">
        <v>0</v>
      </c>
      <c r="ACX168" s="14">
        <v>0</v>
      </c>
      <c r="ACY168" s="14">
        <v>0</v>
      </c>
      <c r="ACZ168" s="14">
        <v>0</v>
      </c>
      <c r="ADA168" s="14">
        <v>0</v>
      </c>
      <c r="ADB168" s="14">
        <v>0</v>
      </c>
      <c r="ADC168" s="14">
        <v>0</v>
      </c>
      <c r="ADE168" s="14">
        <v>0</v>
      </c>
      <c r="ADI168" s="14">
        <v>0</v>
      </c>
      <c r="ADS168" s="14">
        <v>0</v>
      </c>
      <c r="ADT168" s="14">
        <v>0</v>
      </c>
      <c r="ADU168" s="14">
        <v>0</v>
      </c>
      <c r="ADV168" s="14">
        <v>0</v>
      </c>
      <c r="ADW168" s="14">
        <v>0</v>
      </c>
      <c r="ADX168" s="14">
        <v>0</v>
      </c>
      <c r="ADY168" s="14">
        <v>0</v>
      </c>
      <c r="ADZ168" s="14">
        <v>0</v>
      </c>
      <c r="AEA168" s="14">
        <v>0</v>
      </c>
      <c r="AEB168" s="14">
        <v>0</v>
      </c>
      <c r="AEC168" s="14">
        <v>0</v>
      </c>
      <c r="AED168" s="14">
        <v>0</v>
      </c>
      <c r="AEE168" s="14">
        <v>0</v>
      </c>
      <c r="AEF168" s="14">
        <v>0</v>
      </c>
      <c r="AEG168" s="14">
        <v>0</v>
      </c>
      <c r="AEH168" s="14">
        <v>0</v>
      </c>
      <c r="AEI168" s="14">
        <v>0</v>
      </c>
      <c r="AEJ168" s="14">
        <v>0</v>
      </c>
      <c r="AEK168" s="14">
        <v>0</v>
      </c>
      <c r="AEL168" s="14">
        <v>0</v>
      </c>
      <c r="AEM168" s="14">
        <v>0</v>
      </c>
      <c r="AEN168" s="14">
        <v>0</v>
      </c>
      <c r="AEO168" s="14">
        <v>0</v>
      </c>
      <c r="AEP168" s="14">
        <v>0</v>
      </c>
      <c r="AEQ168" s="14">
        <v>0</v>
      </c>
      <c r="AER168" s="14">
        <v>0</v>
      </c>
      <c r="AES168" s="14">
        <v>0</v>
      </c>
      <c r="AET168" s="14">
        <v>0</v>
      </c>
      <c r="AEU168" s="14">
        <v>0</v>
      </c>
      <c r="AEV168" s="14">
        <v>0</v>
      </c>
      <c r="AEW168" s="14">
        <v>0</v>
      </c>
      <c r="AEX168" s="14">
        <v>0</v>
      </c>
      <c r="AEY168" s="14">
        <v>0</v>
      </c>
      <c r="AEZ168" s="14">
        <v>0</v>
      </c>
      <c r="AFA168" s="14">
        <v>0</v>
      </c>
      <c r="AFB168" s="14">
        <v>0</v>
      </c>
      <c r="AFC168" s="14">
        <v>0</v>
      </c>
      <c r="AFD168" s="14">
        <v>0</v>
      </c>
      <c r="AFE168" s="14">
        <v>0</v>
      </c>
      <c r="AFF168" s="14">
        <v>0</v>
      </c>
      <c r="AFG168" s="14">
        <v>0</v>
      </c>
      <c r="AFH168" s="14">
        <v>0</v>
      </c>
      <c r="AFI168" s="14">
        <v>0</v>
      </c>
      <c r="AFJ168" s="14">
        <v>0</v>
      </c>
      <c r="AFK168" s="14">
        <v>0</v>
      </c>
      <c r="AFL168" s="14">
        <v>0</v>
      </c>
      <c r="AFM168" s="14">
        <v>0</v>
      </c>
      <c r="AFO168" s="14">
        <v>0</v>
      </c>
      <c r="AKY168" s="14">
        <v>0</v>
      </c>
      <c r="ALN168" s="14">
        <v>0</v>
      </c>
    </row>
    <row r="169" spans="1:1002" ht="15" customHeight="1" x14ac:dyDescent="0.25">
      <c r="B169" s="14">
        <v>32</v>
      </c>
      <c r="AAM169" s="14">
        <v>0</v>
      </c>
      <c r="AAY169" s="14">
        <v>0</v>
      </c>
      <c r="ABI169" s="14">
        <v>0</v>
      </c>
      <c r="ABJ169" s="14">
        <v>0</v>
      </c>
      <c r="ABK169" s="14">
        <v>0</v>
      </c>
      <c r="ABL169" s="14">
        <v>0</v>
      </c>
      <c r="ABM169" s="14">
        <v>0</v>
      </c>
      <c r="ABN169" s="14">
        <v>0</v>
      </c>
      <c r="ABO169" s="14">
        <v>0</v>
      </c>
      <c r="ABP169" s="14">
        <v>0</v>
      </c>
      <c r="ABQ169" s="14">
        <v>0</v>
      </c>
      <c r="ABR169" s="14">
        <v>0</v>
      </c>
      <c r="ABS169" s="14">
        <v>0</v>
      </c>
      <c r="ABT169" s="14">
        <v>0</v>
      </c>
      <c r="ABU169" s="14">
        <v>0</v>
      </c>
      <c r="ABV169" s="14">
        <v>0</v>
      </c>
      <c r="ABW169" s="14">
        <v>0</v>
      </c>
      <c r="ABX169" s="14">
        <v>0</v>
      </c>
      <c r="ABY169" s="14">
        <v>0</v>
      </c>
      <c r="ABZ169" s="14">
        <v>0</v>
      </c>
      <c r="ACA169" s="14">
        <v>0</v>
      </c>
      <c r="ACB169" s="14">
        <v>0</v>
      </c>
      <c r="ACC169" s="14">
        <v>0</v>
      </c>
      <c r="ACD169" s="14">
        <v>0</v>
      </c>
      <c r="ACE169" s="14">
        <v>0</v>
      </c>
      <c r="ACF169" s="14">
        <v>0</v>
      </c>
      <c r="ACG169" s="14">
        <v>0</v>
      </c>
      <c r="ACH169" s="14">
        <v>0</v>
      </c>
      <c r="ACI169" s="14">
        <v>0</v>
      </c>
      <c r="ACJ169" s="14">
        <v>0</v>
      </c>
      <c r="ACK169" s="14">
        <v>0</v>
      </c>
      <c r="ACL169" s="14">
        <v>0</v>
      </c>
      <c r="ACM169" s="14">
        <v>0</v>
      </c>
      <c r="ACN169" s="14">
        <v>0</v>
      </c>
      <c r="ACO169" s="14">
        <v>0</v>
      </c>
      <c r="ACP169" s="14">
        <v>0</v>
      </c>
      <c r="ACQ169" s="14">
        <v>0</v>
      </c>
      <c r="ACR169" s="14">
        <v>0</v>
      </c>
      <c r="ACS169" s="14">
        <v>0</v>
      </c>
      <c r="ACT169" s="14">
        <v>0</v>
      </c>
      <c r="ACU169" s="14">
        <v>0</v>
      </c>
      <c r="ACV169" s="14">
        <v>0</v>
      </c>
      <c r="ACW169" s="14">
        <v>0</v>
      </c>
      <c r="ACX169" s="14">
        <v>0</v>
      </c>
      <c r="ACY169" s="14">
        <v>0</v>
      </c>
      <c r="ACZ169" s="14">
        <v>0</v>
      </c>
      <c r="ADA169" s="14">
        <v>0</v>
      </c>
      <c r="ADB169" s="14">
        <v>0</v>
      </c>
      <c r="ADC169" s="14">
        <v>0</v>
      </c>
      <c r="ADE169" s="14">
        <v>0</v>
      </c>
      <c r="ADI169" s="14">
        <v>0</v>
      </c>
      <c r="ADS169" s="14">
        <v>0</v>
      </c>
      <c r="ADT169" s="14">
        <v>0</v>
      </c>
      <c r="ADU169" s="14">
        <v>0</v>
      </c>
      <c r="ADV169" s="14">
        <v>0</v>
      </c>
      <c r="ADW169" s="14">
        <v>0</v>
      </c>
      <c r="ADX169" s="14">
        <v>0</v>
      </c>
      <c r="ADY169" s="14">
        <v>0</v>
      </c>
      <c r="ADZ169" s="14">
        <v>0</v>
      </c>
      <c r="AEA169" s="14">
        <v>0</v>
      </c>
      <c r="AEB169" s="14">
        <v>0</v>
      </c>
      <c r="AEC169" s="14">
        <v>0</v>
      </c>
      <c r="AED169" s="14">
        <v>0</v>
      </c>
      <c r="AEE169" s="14">
        <v>0</v>
      </c>
      <c r="AEF169" s="14">
        <v>0</v>
      </c>
      <c r="AEG169" s="14">
        <v>0</v>
      </c>
      <c r="AEH169" s="14">
        <v>0</v>
      </c>
      <c r="AEI169" s="14">
        <v>0</v>
      </c>
      <c r="AEJ169" s="14">
        <v>0</v>
      </c>
      <c r="AEK169" s="14">
        <v>0</v>
      </c>
      <c r="AEL169" s="14">
        <v>0</v>
      </c>
      <c r="AEM169" s="14">
        <v>0</v>
      </c>
      <c r="AEN169" s="14">
        <v>0</v>
      </c>
      <c r="AEO169" s="14">
        <v>0</v>
      </c>
      <c r="AEP169" s="14">
        <v>0</v>
      </c>
      <c r="AEQ169" s="14">
        <v>0</v>
      </c>
      <c r="AER169" s="14">
        <v>0</v>
      </c>
      <c r="AES169" s="14">
        <v>0</v>
      </c>
      <c r="AET169" s="14">
        <v>0</v>
      </c>
      <c r="AEU169" s="14">
        <v>0</v>
      </c>
      <c r="AEV169" s="14">
        <v>0</v>
      </c>
      <c r="AEW169" s="14">
        <v>0</v>
      </c>
      <c r="AEX169" s="14">
        <v>0</v>
      </c>
      <c r="AEY169" s="14">
        <v>0</v>
      </c>
      <c r="AEZ169" s="14">
        <v>0</v>
      </c>
      <c r="AFA169" s="14">
        <v>0</v>
      </c>
      <c r="AFB169" s="14">
        <v>0</v>
      </c>
      <c r="AFC169" s="14">
        <v>0</v>
      </c>
      <c r="AFD169" s="14">
        <v>0</v>
      </c>
      <c r="AFE169" s="14">
        <v>0</v>
      </c>
      <c r="AFF169" s="14">
        <v>0</v>
      </c>
      <c r="AFG169" s="14">
        <v>0</v>
      </c>
      <c r="AFH169" s="14">
        <v>0</v>
      </c>
      <c r="AFI169" s="14">
        <v>0</v>
      </c>
      <c r="AFJ169" s="14">
        <v>0</v>
      </c>
      <c r="AFK169" s="14">
        <v>0</v>
      </c>
      <c r="AFL169" s="14">
        <v>0</v>
      </c>
      <c r="AFM169" s="14">
        <v>0</v>
      </c>
      <c r="AFO169" s="14">
        <v>0</v>
      </c>
      <c r="AKY169" s="14">
        <v>0</v>
      </c>
      <c r="ALN169" s="14">
        <v>0</v>
      </c>
    </row>
    <row r="170" spans="1:1002" ht="15" customHeight="1" x14ac:dyDescent="0.25">
      <c r="B170" s="14">
        <v>64</v>
      </c>
      <c r="AAM170" s="14">
        <v>0</v>
      </c>
      <c r="AAY170" s="14">
        <v>0</v>
      </c>
      <c r="ABI170" s="14">
        <v>0</v>
      </c>
      <c r="ABJ170" s="14">
        <v>0</v>
      </c>
      <c r="ABK170" s="14">
        <v>0</v>
      </c>
      <c r="ABL170" s="14">
        <v>0</v>
      </c>
      <c r="ABM170" s="14">
        <v>0</v>
      </c>
      <c r="ABN170" s="14">
        <v>0</v>
      </c>
      <c r="ABO170" s="14">
        <v>0</v>
      </c>
      <c r="ABP170" s="14">
        <v>0</v>
      </c>
      <c r="ABQ170" s="14">
        <v>0</v>
      </c>
      <c r="ABR170" s="14">
        <v>0</v>
      </c>
      <c r="ABS170" s="14">
        <v>0</v>
      </c>
      <c r="ABT170" s="14">
        <v>0</v>
      </c>
      <c r="ABU170" s="14">
        <v>0</v>
      </c>
      <c r="ABV170" s="14">
        <v>0</v>
      </c>
      <c r="ABW170" s="14">
        <v>0</v>
      </c>
      <c r="ABX170" s="14">
        <v>0</v>
      </c>
      <c r="ABY170" s="14">
        <v>0</v>
      </c>
      <c r="ABZ170" s="14">
        <v>0</v>
      </c>
      <c r="ACA170" s="14">
        <v>0</v>
      </c>
      <c r="ACB170" s="14">
        <v>0</v>
      </c>
      <c r="ACC170" s="14">
        <v>0</v>
      </c>
      <c r="ACD170" s="14">
        <v>0</v>
      </c>
      <c r="ACE170" s="14">
        <v>0</v>
      </c>
      <c r="ACF170" s="14">
        <v>0</v>
      </c>
      <c r="ACG170" s="14">
        <v>0</v>
      </c>
      <c r="ACH170" s="14">
        <v>0</v>
      </c>
      <c r="ACI170" s="14">
        <v>0</v>
      </c>
      <c r="ACJ170" s="14">
        <v>0</v>
      </c>
      <c r="ACK170" s="14">
        <v>0</v>
      </c>
      <c r="ACL170" s="14">
        <v>0</v>
      </c>
      <c r="ACM170" s="14">
        <v>0</v>
      </c>
      <c r="ACN170" s="14">
        <v>0</v>
      </c>
      <c r="ACO170" s="14">
        <v>0</v>
      </c>
      <c r="ACP170" s="14">
        <v>0</v>
      </c>
      <c r="ACQ170" s="14">
        <v>0</v>
      </c>
      <c r="ACR170" s="14">
        <v>0</v>
      </c>
      <c r="ACS170" s="14">
        <v>0</v>
      </c>
      <c r="ACT170" s="14">
        <v>0</v>
      </c>
      <c r="ACU170" s="14">
        <v>0</v>
      </c>
      <c r="ACV170" s="14">
        <v>0</v>
      </c>
      <c r="ACW170" s="14">
        <v>0</v>
      </c>
      <c r="ACX170" s="14">
        <v>0</v>
      </c>
      <c r="ACY170" s="14">
        <v>0</v>
      </c>
      <c r="ACZ170" s="14">
        <v>0</v>
      </c>
      <c r="ADA170" s="14">
        <v>0</v>
      </c>
      <c r="ADB170" s="14">
        <v>0</v>
      </c>
      <c r="ADC170" s="14">
        <v>0</v>
      </c>
      <c r="ADE170" s="14">
        <v>0</v>
      </c>
      <c r="ADI170" s="14">
        <v>0</v>
      </c>
      <c r="ADS170" s="14">
        <v>0</v>
      </c>
      <c r="ADT170" s="14">
        <v>0</v>
      </c>
      <c r="ADU170" s="14">
        <v>0</v>
      </c>
      <c r="ADV170" s="14">
        <v>0</v>
      </c>
      <c r="ADW170" s="14">
        <v>0</v>
      </c>
      <c r="ADX170" s="14">
        <v>0</v>
      </c>
      <c r="ADY170" s="14">
        <v>0</v>
      </c>
      <c r="ADZ170" s="14">
        <v>0</v>
      </c>
      <c r="AEA170" s="14">
        <v>0</v>
      </c>
      <c r="AEB170" s="14">
        <v>0</v>
      </c>
      <c r="AEC170" s="14">
        <v>0</v>
      </c>
      <c r="AED170" s="14">
        <v>0</v>
      </c>
      <c r="AEE170" s="14">
        <v>0</v>
      </c>
      <c r="AEF170" s="14">
        <v>0</v>
      </c>
      <c r="AEG170" s="14">
        <v>0</v>
      </c>
      <c r="AEH170" s="14">
        <v>0</v>
      </c>
      <c r="AEI170" s="14">
        <v>0</v>
      </c>
      <c r="AEJ170" s="14">
        <v>0</v>
      </c>
      <c r="AEK170" s="14">
        <v>0</v>
      </c>
      <c r="AEL170" s="14">
        <v>0</v>
      </c>
      <c r="AEM170" s="14">
        <v>0</v>
      </c>
      <c r="AEN170" s="14">
        <v>0</v>
      </c>
      <c r="AEO170" s="14">
        <v>0</v>
      </c>
      <c r="AEP170" s="14">
        <v>0</v>
      </c>
      <c r="AEQ170" s="14">
        <v>0</v>
      </c>
      <c r="AER170" s="14">
        <v>0</v>
      </c>
      <c r="AES170" s="14">
        <v>0</v>
      </c>
      <c r="AET170" s="14">
        <v>0</v>
      </c>
      <c r="AEU170" s="14">
        <v>0</v>
      </c>
      <c r="AEV170" s="14">
        <v>0</v>
      </c>
      <c r="AEW170" s="14">
        <v>0</v>
      </c>
      <c r="AEX170" s="14">
        <v>0</v>
      </c>
      <c r="AEY170" s="14">
        <v>0</v>
      </c>
      <c r="AEZ170" s="14">
        <v>0</v>
      </c>
      <c r="AFA170" s="14">
        <v>0</v>
      </c>
      <c r="AFB170" s="14">
        <v>0</v>
      </c>
      <c r="AFC170" s="14">
        <v>0</v>
      </c>
      <c r="AFD170" s="14">
        <v>0</v>
      </c>
      <c r="AFE170" s="14">
        <v>0</v>
      </c>
      <c r="AFF170" s="14">
        <v>0</v>
      </c>
      <c r="AFG170" s="14">
        <v>0</v>
      </c>
      <c r="AFH170" s="14">
        <v>0</v>
      </c>
      <c r="AFI170" s="14">
        <v>0</v>
      </c>
      <c r="AFJ170" s="14">
        <v>0</v>
      </c>
      <c r="AFK170" s="14">
        <v>0</v>
      </c>
      <c r="AFL170" s="14">
        <v>0</v>
      </c>
      <c r="AFM170" s="14">
        <v>0</v>
      </c>
      <c r="AFO170" s="14">
        <v>0</v>
      </c>
      <c r="AKY170" s="14">
        <v>0</v>
      </c>
      <c r="ALN170" s="14">
        <v>0</v>
      </c>
    </row>
    <row r="171" spans="1:1002" ht="15" customHeight="1" x14ac:dyDescent="0.25">
      <c r="B171" s="27">
        <v>128</v>
      </c>
      <c r="AAM171" s="14">
        <f>IF( NOT(EXACT(AAM34,"CS_SWITCH_REQUESTED_E")),1,0)</f>
        <v>1</v>
      </c>
      <c r="AAY171" s="14">
        <f>IF( NOT(EXACT(AAY34,"CS_SWITCH_REQUESTED_E")),1,0)</f>
        <v>1</v>
      </c>
      <c r="ABI171" s="14">
        <f t="shared" ref="ABI171:ADC171" si="1420">IF( NOT(EXACT(ABI34,"CS_SWITCH_REQUESTED_E")),1,0)</f>
        <v>1</v>
      </c>
      <c r="ABJ171" s="14">
        <f t="shared" si="1420"/>
        <v>1</v>
      </c>
      <c r="ABK171" s="14">
        <f t="shared" si="1420"/>
        <v>0</v>
      </c>
      <c r="ABL171" s="14">
        <f t="shared" si="1420"/>
        <v>0</v>
      </c>
      <c r="ABM171" s="14">
        <f t="shared" si="1420"/>
        <v>0</v>
      </c>
      <c r="ABN171" s="14">
        <f t="shared" si="1420"/>
        <v>0</v>
      </c>
      <c r="ABO171" s="14">
        <f t="shared" si="1420"/>
        <v>0</v>
      </c>
      <c r="ABP171" s="14">
        <f t="shared" si="1420"/>
        <v>0</v>
      </c>
      <c r="ABQ171" s="14">
        <f t="shared" si="1420"/>
        <v>0</v>
      </c>
      <c r="ABR171" s="14">
        <f t="shared" si="1420"/>
        <v>1</v>
      </c>
      <c r="ABS171" s="14">
        <f t="shared" si="1420"/>
        <v>1</v>
      </c>
      <c r="ABT171" s="14">
        <f t="shared" si="1420"/>
        <v>0</v>
      </c>
      <c r="ABU171" s="14">
        <f t="shared" si="1420"/>
        <v>0</v>
      </c>
      <c r="ABV171" s="14">
        <f t="shared" si="1420"/>
        <v>0</v>
      </c>
      <c r="ABW171" s="14">
        <f t="shared" si="1420"/>
        <v>0</v>
      </c>
      <c r="ABX171" s="14">
        <f t="shared" si="1420"/>
        <v>0</v>
      </c>
      <c r="ABY171" s="14">
        <f t="shared" si="1420"/>
        <v>0</v>
      </c>
      <c r="ABZ171" s="14">
        <f t="shared" si="1420"/>
        <v>1</v>
      </c>
      <c r="ACA171" s="14">
        <f t="shared" si="1420"/>
        <v>0</v>
      </c>
      <c r="ACB171" s="14">
        <f t="shared" si="1420"/>
        <v>1</v>
      </c>
      <c r="ACC171" s="14">
        <f t="shared" si="1420"/>
        <v>1</v>
      </c>
      <c r="ACD171" s="14">
        <f t="shared" si="1420"/>
        <v>1</v>
      </c>
      <c r="ACE171" s="14">
        <f t="shared" si="1420"/>
        <v>1</v>
      </c>
      <c r="ACF171" s="14">
        <f t="shared" si="1420"/>
        <v>1</v>
      </c>
      <c r="ACG171" s="14">
        <f t="shared" si="1420"/>
        <v>1</v>
      </c>
      <c r="ACH171" s="14">
        <f t="shared" si="1420"/>
        <v>1</v>
      </c>
      <c r="ACI171" s="14">
        <f t="shared" si="1420"/>
        <v>1</v>
      </c>
      <c r="ACJ171" s="14">
        <f t="shared" si="1420"/>
        <v>1</v>
      </c>
      <c r="ACK171" s="14">
        <f t="shared" si="1420"/>
        <v>1</v>
      </c>
      <c r="ACL171" s="14">
        <f t="shared" si="1420"/>
        <v>1</v>
      </c>
      <c r="ACM171" s="14">
        <f t="shared" si="1420"/>
        <v>1</v>
      </c>
      <c r="ACN171" s="14">
        <f t="shared" si="1420"/>
        <v>1</v>
      </c>
      <c r="ACO171" s="14">
        <f t="shared" si="1420"/>
        <v>1</v>
      </c>
      <c r="ACP171" s="14">
        <f t="shared" si="1420"/>
        <v>1</v>
      </c>
      <c r="ACQ171" s="14">
        <f t="shared" si="1420"/>
        <v>1</v>
      </c>
      <c r="ACR171" s="14">
        <f t="shared" si="1420"/>
        <v>1</v>
      </c>
      <c r="ACS171" s="14">
        <f t="shared" si="1420"/>
        <v>1</v>
      </c>
      <c r="ACT171" s="14">
        <f t="shared" si="1420"/>
        <v>1</v>
      </c>
      <c r="ACU171" s="14">
        <f t="shared" si="1420"/>
        <v>1</v>
      </c>
      <c r="ACV171" s="14">
        <f t="shared" si="1420"/>
        <v>1</v>
      </c>
      <c r="ACW171" s="14">
        <f t="shared" si="1420"/>
        <v>1</v>
      </c>
      <c r="ACX171" s="14">
        <f t="shared" si="1420"/>
        <v>1</v>
      </c>
      <c r="ACY171" s="14">
        <f t="shared" si="1420"/>
        <v>1</v>
      </c>
      <c r="ACZ171" s="14">
        <f t="shared" si="1420"/>
        <v>1</v>
      </c>
      <c r="ADA171" s="14">
        <f t="shared" si="1420"/>
        <v>1</v>
      </c>
      <c r="ADB171" s="14">
        <f t="shared" si="1420"/>
        <v>1</v>
      </c>
      <c r="ADC171" s="14">
        <f t="shared" si="1420"/>
        <v>1</v>
      </c>
      <c r="ADE171" s="14">
        <f>IF( NOT(EXACT(ADE34,"CS_SWITCH_REQUESTED_E")),1,0)</f>
        <v>1</v>
      </c>
      <c r="ADI171" s="14">
        <f>IF( NOT(EXACT(ADI34,"CS_SWITCH_REQUESTED_E")),1,0)</f>
        <v>1</v>
      </c>
      <c r="ADS171" s="14">
        <f t="shared" ref="ADS171:AFM171" si="1421">IF( NOT(EXACT(ADS34,"CS_SWITCH_REQUESTED_E")),1,0)</f>
        <v>1</v>
      </c>
      <c r="ADT171" s="14">
        <f t="shared" si="1421"/>
        <v>1</v>
      </c>
      <c r="ADU171" s="14">
        <f t="shared" si="1421"/>
        <v>0</v>
      </c>
      <c r="ADV171" s="14">
        <f t="shared" si="1421"/>
        <v>0</v>
      </c>
      <c r="ADW171" s="14">
        <f t="shared" si="1421"/>
        <v>0</v>
      </c>
      <c r="ADX171" s="14">
        <f t="shared" si="1421"/>
        <v>0</v>
      </c>
      <c r="ADY171" s="14">
        <f t="shared" si="1421"/>
        <v>0</v>
      </c>
      <c r="ADZ171" s="14">
        <f t="shared" si="1421"/>
        <v>0</v>
      </c>
      <c r="AEA171" s="14">
        <f t="shared" si="1421"/>
        <v>0</v>
      </c>
      <c r="AEB171" s="14">
        <f t="shared" si="1421"/>
        <v>1</v>
      </c>
      <c r="AEC171" s="14">
        <f t="shared" si="1421"/>
        <v>1</v>
      </c>
      <c r="AED171" s="14">
        <f t="shared" si="1421"/>
        <v>0</v>
      </c>
      <c r="AEE171" s="14">
        <f t="shared" si="1421"/>
        <v>0</v>
      </c>
      <c r="AEF171" s="14">
        <f t="shared" si="1421"/>
        <v>0</v>
      </c>
      <c r="AEG171" s="14">
        <f t="shared" si="1421"/>
        <v>0</v>
      </c>
      <c r="AEH171" s="14">
        <f t="shared" si="1421"/>
        <v>0</v>
      </c>
      <c r="AEI171" s="14">
        <f t="shared" si="1421"/>
        <v>0</v>
      </c>
      <c r="AEJ171" s="14">
        <f t="shared" si="1421"/>
        <v>1</v>
      </c>
      <c r="AEK171" s="14">
        <f t="shared" si="1421"/>
        <v>0</v>
      </c>
      <c r="AEL171" s="14">
        <f t="shared" si="1421"/>
        <v>1</v>
      </c>
      <c r="AEM171" s="14">
        <f t="shared" si="1421"/>
        <v>1</v>
      </c>
      <c r="AEN171" s="14">
        <f t="shared" si="1421"/>
        <v>1</v>
      </c>
      <c r="AEO171" s="14">
        <f t="shared" si="1421"/>
        <v>1</v>
      </c>
      <c r="AEP171" s="14">
        <f t="shared" si="1421"/>
        <v>1</v>
      </c>
      <c r="AEQ171" s="14">
        <f t="shared" si="1421"/>
        <v>1</v>
      </c>
      <c r="AER171" s="14">
        <f t="shared" si="1421"/>
        <v>1</v>
      </c>
      <c r="AES171" s="14">
        <f t="shared" si="1421"/>
        <v>1</v>
      </c>
      <c r="AET171" s="14">
        <f t="shared" si="1421"/>
        <v>1</v>
      </c>
      <c r="AEU171" s="14">
        <f t="shared" si="1421"/>
        <v>1</v>
      </c>
      <c r="AEV171" s="14">
        <f t="shared" si="1421"/>
        <v>1</v>
      </c>
      <c r="AEW171" s="14">
        <f t="shared" si="1421"/>
        <v>1</v>
      </c>
      <c r="AEX171" s="14">
        <f t="shared" si="1421"/>
        <v>1</v>
      </c>
      <c r="AEY171" s="14">
        <f t="shared" si="1421"/>
        <v>1</v>
      </c>
      <c r="AEZ171" s="14">
        <f t="shared" si="1421"/>
        <v>1</v>
      </c>
      <c r="AFA171" s="14">
        <f t="shared" si="1421"/>
        <v>1</v>
      </c>
      <c r="AFB171" s="14">
        <f t="shared" si="1421"/>
        <v>1</v>
      </c>
      <c r="AFC171" s="14">
        <f t="shared" si="1421"/>
        <v>1</v>
      </c>
      <c r="AFD171" s="14">
        <f t="shared" si="1421"/>
        <v>1</v>
      </c>
      <c r="AFE171" s="14">
        <f t="shared" si="1421"/>
        <v>1</v>
      </c>
      <c r="AFF171" s="14">
        <f t="shared" si="1421"/>
        <v>1</v>
      </c>
      <c r="AFG171" s="14">
        <f t="shared" si="1421"/>
        <v>1</v>
      </c>
      <c r="AFH171" s="14">
        <f t="shared" si="1421"/>
        <v>1</v>
      </c>
      <c r="AFI171" s="14">
        <f t="shared" si="1421"/>
        <v>1</v>
      </c>
      <c r="AFJ171" s="14">
        <f t="shared" si="1421"/>
        <v>1</v>
      </c>
      <c r="AFK171" s="14">
        <f t="shared" si="1421"/>
        <v>1</v>
      </c>
      <c r="AFL171" s="14">
        <f t="shared" si="1421"/>
        <v>1</v>
      </c>
      <c r="AFM171" s="14">
        <f t="shared" si="1421"/>
        <v>1</v>
      </c>
      <c r="AFO171" s="14">
        <f>IF( NOT(EXACT(AFO34,"CS_SWITCH_REQUESTED_E")),1,0)</f>
        <v>1</v>
      </c>
      <c r="AKY171" s="14">
        <f>IF( NOT(EXACT(AKY34,"CS_SWITCH_REQUESTED_E")),1,0)</f>
        <v>1</v>
      </c>
      <c r="ALN171" s="14">
        <f>IF( NOT(EXACT(ALN34,"CS_SWITCH_REQUESTED_E")),1,0)</f>
        <v>1</v>
      </c>
    </row>
    <row r="172" spans="1:1002" ht="15" customHeight="1" x14ac:dyDescent="0.25">
      <c r="B172" s="14"/>
    </row>
    <row r="173" spans="1:1002" ht="15" customHeight="1" x14ac:dyDescent="0.25">
      <c r="B173" s="14"/>
    </row>
    <row r="174" spans="1:1002" ht="15" customHeight="1" x14ac:dyDescent="0.25">
      <c r="B174" s="14"/>
    </row>
    <row r="175" spans="1:1002" ht="15" customHeight="1" x14ac:dyDescent="0.25">
      <c r="B175" s="14"/>
    </row>
    <row r="176" spans="1:1002" ht="15" customHeight="1" x14ac:dyDescent="0.25">
      <c r="A176" s="7" t="s">
        <v>446</v>
      </c>
      <c r="B176" s="14"/>
      <c r="AAM176" s="14" t="str">
        <f>AAM185&amp;AAM184&amp;AAM183&amp;AAM182&amp;AAM181&amp;AAM180&amp;AAM179&amp;AAM178</f>
        <v>10000000</v>
      </c>
      <c r="AAY176" s="14" t="str">
        <f>AAY185&amp;AAY184&amp;AAY183&amp;AAY182&amp;AAY181&amp;AAY180&amp;AAY179&amp;AAY178</f>
        <v>10000000</v>
      </c>
      <c r="ABI176" s="14" t="str">
        <f t="shared" ref="ABI176:ABK176" si="1422">ABI185&amp;ABI184&amp;ABI183&amp;ABI182&amp;ABI181&amp;ABI180&amp;ABI179&amp;ABI178</f>
        <v>10000000</v>
      </c>
      <c r="ABJ176" s="14" t="str">
        <f t="shared" si="1422"/>
        <v>10000000</v>
      </c>
      <c r="ABK176" s="14" t="str">
        <f t="shared" si="1422"/>
        <v>10000000</v>
      </c>
      <c r="ABL176" s="14" t="str">
        <f t="shared" ref="ABL176:ABZ176" si="1423">ABL185&amp;ABL184&amp;ABL183&amp;ABL182&amp;ABL181&amp;ABL180&amp;ABL179&amp;ABL178</f>
        <v>10000000</v>
      </c>
      <c r="ABM176" s="14" t="str">
        <f t="shared" si="1423"/>
        <v>10000000</v>
      </c>
      <c r="ABN176" s="14" t="str">
        <f t="shared" si="1423"/>
        <v>10000000</v>
      </c>
      <c r="ABO176" s="14" t="str">
        <f t="shared" si="1423"/>
        <v>10000000</v>
      </c>
      <c r="ABP176" s="14" t="str">
        <f t="shared" si="1423"/>
        <v>10000000</v>
      </c>
      <c r="ABQ176" s="14" t="str">
        <f t="shared" si="1423"/>
        <v>00000001</v>
      </c>
      <c r="ABR176" s="14" t="str">
        <f t="shared" si="1423"/>
        <v>10000000</v>
      </c>
      <c r="ABS176" s="14" t="str">
        <f t="shared" si="1423"/>
        <v>10000000</v>
      </c>
      <c r="ABT176" s="14" t="str">
        <f t="shared" si="1423"/>
        <v>10000001</v>
      </c>
      <c r="ABU176" s="14" t="str">
        <f t="shared" si="1423"/>
        <v>10000000</v>
      </c>
      <c r="ABV176" s="14" t="str">
        <f t="shared" si="1423"/>
        <v>10000001</v>
      </c>
      <c r="ABW176" s="14" t="str">
        <f t="shared" si="1423"/>
        <v>10000000</v>
      </c>
      <c r="ABX176" s="14" t="str">
        <f t="shared" si="1423"/>
        <v>10000001</v>
      </c>
      <c r="ABY176" s="14" t="str">
        <f t="shared" si="1423"/>
        <v>10000000</v>
      </c>
      <c r="ABZ176" s="14" t="str">
        <f t="shared" si="1423"/>
        <v>10000001</v>
      </c>
      <c r="ACA176" s="14" t="str">
        <f t="shared" ref="ACA176:ACB176" si="1424">ACA185&amp;ACA184&amp;ACA183&amp;ACA182&amp;ACA181&amp;ACA180&amp;ACA179&amp;ACA178</f>
        <v>10000001</v>
      </c>
      <c r="ACB176" s="14" t="str">
        <f t="shared" si="1424"/>
        <v>10000000</v>
      </c>
      <c r="ACC176" s="14" t="str">
        <f t="shared" ref="ACC176:ACD176" si="1425">ACC185&amp;ACC184&amp;ACC183&amp;ACC182&amp;ACC181&amp;ACC180&amp;ACC179&amp;ACC178</f>
        <v>00000001</v>
      </c>
      <c r="ACD176" s="14" t="str">
        <f t="shared" si="1425"/>
        <v>00000001</v>
      </c>
      <c r="ACE176" s="14" t="str">
        <f t="shared" ref="ACE176" si="1426">ACE185&amp;ACE184&amp;ACE183&amp;ACE182&amp;ACE181&amp;ACE180&amp;ACE179&amp;ACE178</f>
        <v>10000000</v>
      </c>
      <c r="ACF176" s="14" t="str">
        <f t="shared" ref="ACF176:ACG176" si="1427">ACF185&amp;ACF184&amp;ACF183&amp;ACF182&amp;ACF181&amp;ACF180&amp;ACF179&amp;ACF178</f>
        <v>00000001</v>
      </c>
      <c r="ACG176" s="14" t="str">
        <f t="shared" si="1427"/>
        <v>10000000</v>
      </c>
      <c r="ACH176" s="14" t="str">
        <f t="shared" ref="ACH176:ACP176" si="1428">ACH185&amp;ACH184&amp;ACH183&amp;ACH182&amp;ACH181&amp;ACH180&amp;ACH179&amp;ACH178</f>
        <v>10000000</v>
      </c>
      <c r="ACI176" s="14" t="str">
        <f t="shared" si="1428"/>
        <v>10000000</v>
      </c>
      <c r="ACJ176" s="14" t="str">
        <f t="shared" si="1428"/>
        <v>10000000</v>
      </c>
      <c r="ACK176" s="14" t="str">
        <f t="shared" si="1428"/>
        <v>10000000</v>
      </c>
      <c r="ACL176" s="14" t="str">
        <f t="shared" si="1428"/>
        <v>10000000</v>
      </c>
      <c r="ACM176" s="14" t="str">
        <f t="shared" si="1428"/>
        <v>10000000</v>
      </c>
      <c r="ACN176" s="14" t="str">
        <f t="shared" si="1428"/>
        <v>10000000</v>
      </c>
      <c r="ACO176" s="14" t="str">
        <f t="shared" si="1428"/>
        <v>10000000</v>
      </c>
      <c r="ACP176" s="14" t="str">
        <f t="shared" si="1428"/>
        <v>10000000</v>
      </c>
      <c r="ACQ176" s="14" t="str">
        <f t="shared" ref="ACQ176:ADC176" si="1429">ACQ185&amp;ACQ184&amp;ACQ183&amp;ACQ182&amp;ACQ181&amp;ACQ180&amp;ACQ179&amp;ACQ178</f>
        <v>10000000</v>
      </c>
      <c r="ACR176" s="14" t="str">
        <f t="shared" si="1429"/>
        <v>10000000</v>
      </c>
      <c r="ACS176" s="14" t="str">
        <f t="shared" si="1429"/>
        <v>10000000</v>
      </c>
      <c r="ACT176" s="14" t="str">
        <f t="shared" si="1429"/>
        <v>10000000</v>
      </c>
      <c r="ACU176" s="14" t="str">
        <f t="shared" si="1429"/>
        <v>10000000</v>
      </c>
      <c r="ACV176" s="14" t="str">
        <f t="shared" si="1429"/>
        <v>10000000</v>
      </c>
      <c r="ACW176" s="14" t="str">
        <f t="shared" si="1429"/>
        <v>10000000</v>
      </c>
      <c r="ACX176" s="14" t="str">
        <f t="shared" si="1429"/>
        <v>10000000</v>
      </c>
      <c r="ACY176" s="14" t="str">
        <f t="shared" si="1429"/>
        <v>10000000</v>
      </c>
      <c r="ACZ176" s="14" t="str">
        <f t="shared" si="1429"/>
        <v>10000000</v>
      </c>
      <c r="ADA176" s="14" t="str">
        <f t="shared" si="1429"/>
        <v>10000000</v>
      </c>
      <c r="ADB176" s="14" t="str">
        <f t="shared" si="1429"/>
        <v>10000000</v>
      </c>
      <c r="ADC176" s="14" t="str">
        <f t="shared" si="1429"/>
        <v>10000000</v>
      </c>
      <c r="ADE176" s="14" t="str">
        <f t="shared" ref="ADE176" si="1430">ADE185&amp;ADE184&amp;ADE183&amp;ADE182&amp;ADE181&amp;ADE180&amp;ADE179&amp;ADE178</f>
        <v>10000000</v>
      </c>
      <c r="ADI176" s="14" t="str">
        <f>ADI185&amp;ADI184&amp;ADI183&amp;ADI182&amp;ADI181&amp;ADI180&amp;ADI179&amp;ADI178</f>
        <v>10000000</v>
      </c>
      <c r="ADS176" s="14" t="str">
        <f t="shared" ref="ADS176:AFM176" si="1431">ADS185&amp;ADS184&amp;ADS183&amp;ADS182&amp;ADS181&amp;ADS180&amp;ADS179&amp;ADS178</f>
        <v>10000000</v>
      </c>
      <c r="ADT176" s="14" t="str">
        <f t="shared" si="1431"/>
        <v>10000000</v>
      </c>
      <c r="ADU176" s="14" t="str">
        <f t="shared" si="1431"/>
        <v>10000000</v>
      </c>
      <c r="ADV176" s="14" t="str">
        <f t="shared" si="1431"/>
        <v>10000000</v>
      </c>
      <c r="ADW176" s="14" t="str">
        <f t="shared" si="1431"/>
        <v>10000000</v>
      </c>
      <c r="ADX176" s="14" t="str">
        <f t="shared" si="1431"/>
        <v>10000000</v>
      </c>
      <c r="ADY176" s="14" t="str">
        <f t="shared" si="1431"/>
        <v>10000000</v>
      </c>
      <c r="ADZ176" s="14" t="str">
        <f t="shared" si="1431"/>
        <v>10000000</v>
      </c>
      <c r="AEA176" s="14" t="str">
        <f t="shared" si="1431"/>
        <v>00000001</v>
      </c>
      <c r="AEB176" s="14" t="str">
        <f t="shared" si="1431"/>
        <v>10000000</v>
      </c>
      <c r="AEC176" s="14" t="str">
        <f t="shared" si="1431"/>
        <v>10000000</v>
      </c>
      <c r="AED176" s="14" t="str">
        <f t="shared" si="1431"/>
        <v>10000001</v>
      </c>
      <c r="AEE176" s="14" t="str">
        <f t="shared" si="1431"/>
        <v>10000000</v>
      </c>
      <c r="AEF176" s="14" t="str">
        <f t="shared" si="1431"/>
        <v>10000001</v>
      </c>
      <c r="AEG176" s="14" t="str">
        <f t="shared" si="1431"/>
        <v>10000000</v>
      </c>
      <c r="AEH176" s="14" t="str">
        <f t="shared" si="1431"/>
        <v>10000001</v>
      </c>
      <c r="AEI176" s="14" t="str">
        <f t="shared" si="1431"/>
        <v>10000000</v>
      </c>
      <c r="AEJ176" s="14" t="str">
        <f t="shared" si="1431"/>
        <v>10000001</v>
      </c>
      <c r="AEK176" s="14" t="str">
        <f t="shared" si="1431"/>
        <v>10000001</v>
      </c>
      <c r="AEL176" s="14" t="str">
        <f t="shared" si="1431"/>
        <v>10000000</v>
      </c>
      <c r="AEM176" s="14" t="str">
        <f t="shared" si="1431"/>
        <v>00000001</v>
      </c>
      <c r="AEN176" s="14" t="str">
        <f t="shared" si="1431"/>
        <v>00000001</v>
      </c>
      <c r="AEO176" s="14" t="str">
        <f t="shared" si="1431"/>
        <v>10000000</v>
      </c>
      <c r="AEP176" s="14" t="str">
        <f t="shared" si="1431"/>
        <v>00000001</v>
      </c>
      <c r="AEQ176" s="14" t="str">
        <f t="shared" si="1431"/>
        <v>10000000</v>
      </c>
      <c r="AER176" s="14" t="str">
        <f t="shared" si="1431"/>
        <v>10000000</v>
      </c>
      <c r="AES176" s="14" t="str">
        <f t="shared" si="1431"/>
        <v>10000000</v>
      </c>
      <c r="AET176" s="14" t="str">
        <f t="shared" si="1431"/>
        <v>10000000</v>
      </c>
      <c r="AEU176" s="14" t="str">
        <f t="shared" si="1431"/>
        <v>10000000</v>
      </c>
      <c r="AEV176" s="14" t="str">
        <f t="shared" si="1431"/>
        <v>10000000</v>
      </c>
      <c r="AEW176" s="14" t="str">
        <f t="shared" si="1431"/>
        <v>10000000</v>
      </c>
      <c r="AEX176" s="14" t="str">
        <f t="shared" si="1431"/>
        <v>10000000</v>
      </c>
      <c r="AEY176" s="14" t="str">
        <f t="shared" si="1431"/>
        <v>10000000</v>
      </c>
      <c r="AEZ176" s="14" t="str">
        <f t="shared" si="1431"/>
        <v>10000000</v>
      </c>
      <c r="AFA176" s="14" t="str">
        <f t="shared" si="1431"/>
        <v>10000000</v>
      </c>
      <c r="AFB176" s="14" t="str">
        <f t="shared" si="1431"/>
        <v>10000000</v>
      </c>
      <c r="AFC176" s="14" t="str">
        <f t="shared" si="1431"/>
        <v>10000000</v>
      </c>
      <c r="AFD176" s="14" t="str">
        <f t="shared" si="1431"/>
        <v>10000000</v>
      </c>
      <c r="AFE176" s="14" t="str">
        <f t="shared" si="1431"/>
        <v>10000000</v>
      </c>
      <c r="AFF176" s="14" t="str">
        <f t="shared" si="1431"/>
        <v>10000000</v>
      </c>
      <c r="AFG176" s="14" t="str">
        <f t="shared" si="1431"/>
        <v>10000000</v>
      </c>
      <c r="AFH176" s="14" t="str">
        <f t="shared" si="1431"/>
        <v>10000000</v>
      </c>
      <c r="AFI176" s="14" t="str">
        <f t="shared" si="1431"/>
        <v>10000000</v>
      </c>
      <c r="AFJ176" s="14" t="str">
        <f t="shared" si="1431"/>
        <v>10000000</v>
      </c>
      <c r="AFK176" s="14" t="str">
        <f t="shared" si="1431"/>
        <v>10000000</v>
      </c>
      <c r="AFL176" s="14" t="str">
        <f t="shared" si="1431"/>
        <v>10000000</v>
      </c>
      <c r="AFM176" s="14" t="str">
        <f t="shared" si="1431"/>
        <v>10000000</v>
      </c>
      <c r="AFO176" s="14" t="str">
        <f t="shared" ref="AFO176" si="1432">AFO185&amp;AFO184&amp;AFO183&amp;AFO182&amp;AFO181&amp;AFO180&amp;AFO179&amp;AFO178</f>
        <v>10000000</v>
      </c>
      <c r="AKY176" s="14" t="str">
        <f>AKY185&amp;AKY184&amp;AKY183&amp;AKY182&amp;AKY181&amp;AKY180&amp;AKY179&amp;AKY178</f>
        <v>10000000</v>
      </c>
      <c r="ALN176" s="14" t="str">
        <f>ALN185&amp;ALN184&amp;ALN183&amp;ALN182&amp;ALN181&amp;ALN180&amp;ALN179&amp;ALN178</f>
        <v>10000000</v>
      </c>
    </row>
    <row r="177" spans="2:1002" ht="15" customHeight="1" x14ac:dyDescent="0.25">
      <c r="B177" s="14"/>
    </row>
    <row r="178" spans="2:1002" ht="15" customHeight="1" x14ac:dyDescent="0.25">
      <c r="B178" s="27">
        <v>1</v>
      </c>
      <c r="AAM178" s="14">
        <f xml:space="preserve"> IF( AAM57 = 0, 1, 0)</f>
        <v>0</v>
      </c>
      <c r="AAY178" s="14">
        <f xml:space="preserve"> IF( AAY57 = 0, 1, 0)</f>
        <v>0</v>
      </c>
      <c r="ABI178" s="14">
        <f t="shared" ref="ABI178:ADC178" si="1433" xml:space="preserve"> IF( ABI57 = 0, 1, 0)</f>
        <v>0</v>
      </c>
      <c r="ABJ178" s="14">
        <f t="shared" si="1433"/>
        <v>0</v>
      </c>
      <c r="ABK178" s="14">
        <f t="shared" si="1433"/>
        <v>0</v>
      </c>
      <c r="ABL178" s="14">
        <f t="shared" si="1433"/>
        <v>0</v>
      </c>
      <c r="ABM178" s="14">
        <f t="shared" si="1433"/>
        <v>0</v>
      </c>
      <c r="ABN178" s="14">
        <f t="shared" si="1433"/>
        <v>0</v>
      </c>
      <c r="ABO178" s="14">
        <f t="shared" si="1433"/>
        <v>0</v>
      </c>
      <c r="ABP178" s="14">
        <f t="shared" si="1433"/>
        <v>0</v>
      </c>
      <c r="ABQ178" s="14">
        <f t="shared" si="1433"/>
        <v>1</v>
      </c>
      <c r="ABR178" s="14">
        <f t="shared" si="1433"/>
        <v>0</v>
      </c>
      <c r="ABS178" s="14">
        <f t="shared" si="1433"/>
        <v>0</v>
      </c>
      <c r="ABT178" s="14">
        <f t="shared" si="1433"/>
        <v>1</v>
      </c>
      <c r="ABU178" s="14">
        <f t="shared" si="1433"/>
        <v>0</v>
      </c>
      <c r="ABV178" s="14">
        <f t="shared" si="1433"/>
        <v>1</v>
      </c>
      <c r="ABW178" s="14">
        <f t="shared" si="1433"/>
        <v>0</v>
      </c>
      <c r="ABX178" s="14">
        <f t="shared" si="1433"/>
        <v>1</v>
      </c>
      <c r="ABY178" s="14">
        <f t="shared" si="1433"/>
        <v>0</v>
      </c>
      <c r="ABZ178" s="14">
        <f t="shared" si="1433"/>
        <v>1</v>
      </c>
      <c r="ACA178" s="14">
        <f t="shared" si="1433"/>
        <v>1</v>
      </c>
      <c r="ACB178" s="14">
        <f t="shared" si="1433"/>
        <v>0</v>
      </c>
      <c r="ACC178" s="14">
        <f t="shared" si="1433"/>
        <v>1</v>
      </c>
      <c r="ACD178" s="14">
        <f t="shared" si="1433"/>
        <v>1</v>
      </c>
      <c r="ACE178" s="14">
        <f t="shared" si="1433"/>
        <v>0</v>
      </c>
      <c r="ACF178" s="14">
        <f t="shared" si="1433"/>
        <v>1</v>
      </c>
      <c r="ACG178" s="14">
        <f t="shared" si="1433"/>
        <v>0</v>
      </c>
      <c r="ACH178" s="14">
        <f t="shared" si="1433"/>
        <v>0</v>
      </c>
      <c r="ACI178" s="14">
        <f t="shared" si="1433"/>
        <v>0</v>
      </c>
      <c r="ACJ178" s="14">
        <f t="shared" si="1433"/>
        <v>0</v>
      </c>
      <c r="ACK178" s="14">
        <f t="shared" si="1433"/>
        <v>0</v>
      </c>
      <c r="ACL178" s="14">
        <f t="shared" si="1433"/>
        <v>0</v>
      </c>
      <c r="ACM178" s="14">
        <f t="shared" si="1433"/>
        <v>0</v>
      </c>
      <c r="ACN178" s="14">
        <f t="shared" si="1433"/>
        <v>0</v>
      </c>
      <c r="ACO178" s="14">
        <f t="shared" si="1433"/>
        <v>0</v>
      </c>
      <c r="ACP178" s="14">
        <f t="shared" si="1433"/>
        <v>0</v>
      </c>
      <c r="ACQ178" s="14">
        <f t="shared" si="1433"/>
        <v>0</v>
      </c>
      <c r="ACR178" s="14">
        <f t="shared" si="1433"/>
        <v>0</v>
      </c>
      <c r="ACS178" s="14">
        <f t="shared" si="1433"/>
        <v>0</v>
      </c>
      <c r="ACT178" s="14">
        <f t="shared" si="1433"/>
        <v>0</v>
      </c>
      <c r="ACU178" s="14">
        <f t="shared" si="1433"/>
        <v>0</v>
      </c>
      <c r="ACV178" s="14">
        <f t="shared" si="1433"/>
        <v>0</v>
      </c>
      <c r="ACW178" s="14">
        <f t="shared" si="1433"/>
        <v>0</v>
      </c>
      <c r="ACX178" s="14">
        <f t="shared" si="1433"/>
        <v>0</v>
      </c>
      <c r="ACY178" s="14">
        <f t="shared" si="1433"/>
        <v>0</v>
      </c>
      <c r="ACZ178" s="14">
        <f t="shared" si="1433"/>
        <v>0</v>
      </c>
      <c r="ADA178" s="14">
        <f t="shared" si="1433"/>
        <v>0</v>
      </c>
      <c r="ADB178" s="14">
        <f t="shared" si="1433"/>
        <v>0</v>
      </c>
      <c r="ADC178" s="14">
        <f t="shared" si="1433"/>
        <v>0</v>
      </c>
      <c r="ADE178" s="14">
        <f xml:space="preserve"> IF( ADE57 = 0, 1, 0)</f>
        <v>0</v>
      </c>
      <c r="ADI178" s="14">
        <f xml:space="preserve"> IF( ADI57 = 0, 1, 0)</f>
        <v>0</v>
      </c>
      <c r="ADS178" s="14">
        <f t="shared" ref="ADS178:AFM178" si="1434" xml:space="preserve"> IF( ADS57 = 0, 1, 0)</f>
        <v>0</v>
      </c>
      <c r="ADT178" s="14">
        <f t="shared" si="1434"/>
        <v>0</v>
      </c>
      <c r="ADU178" s="14">
        <f t="shared" si="1434"/>
        <v>0</v>
      </c>
      <c r="ADV178" s="14">
        <f t="shared" si="1434"/>
        <v>0</v>
      </c>
      <c r="ADW178" s="14">
        <f t="shared" si="1434"/>
        <v>0</v>
      </c>
      <c r="ADX178" s="14">
        <f t="shared" si="1434"/>
        <v>0</v>
      </c>
      <c r="ADY178" s="14">
        <f t="shared" si="1434"/>
        <v>0</v>
      </c>
      <c r="ADZ178" s="14">
        <f t="shared" si="1434"/>
        <v>0</v>
      </c>
      <c r="AEA178" s="14">
        <f t="shared" si="1434"/>
        <v>1</v>
      </c>
      <c r="AEB178" s="14">
        <f t="shared" si="1434"/>
        <v>0</v>
      </c>
      <c r="AEC178" s="14">
        <f t="shared" si="1434"/>
        <v>0</v>
      </c>
      <c r="AED178" s="14">
        <f t="shared" si="1434"/>
        <v>1</v>
      </c>
      <c r="AEE178" s="14">
        <f t="shared" si="1434"/>
        <v>0</v>
      </c>
      <c r="AEF178" s="14">
        <f t="shared" si="1434"/>
        <v>1</v>
      </c>
      <c r="AEG178" s="14">
        <f t="shared" si="1434"/>
        <v>0</v>
      </c>
      <c r="AEH178" s="14">
        <f t="shared" si="1434"/>
        <v>1</v>
      </c>
      <c r="AEI178" s="14">
        <f t="shared" si="1434"/>
        <v>0</v>
      </c>
      <c r="AEJ178" s="14">
        <f t="shared" si="1434"/>
        <v>1</v>
      </c>
      <c r="AEK178" s="14">
        <f t="shared" si="1434"/>
        <v>1</v>
      </c>
      <c r="AEL178" s="14">
        <f t="shared" si="1434"/>
        <v>0</v>
      </c>
      <c r="AEM178" s="14">
        <f t="shared" si="1434"/>
        <v>1</v>
      </c>
      <c r="AEN178" s="14">
        <f t="shared" si="1434"/>
        <v>1</v>
      </c>
      <c r="AEO178" s="14">
        <f t="shared" si="1434"/>
        <v>0</v>
      </c>
      <c r="AEP178" s="14">
        <f t="shared" si="1434"/>
        <v>1</v>
      </c>
      <c r="AEQ178" s="14">
        <f t="shared" si="1434"/>
        <v>0</v>
      </c>
      <c r="AER178" s="14">
        <f t="shared" si="1434"/>
        <v>0</v>
      </c>
      <c r="AES178" s="14">
        <f t="shared" si="1434"/>
        <v>0</v>
      </c>
      <c r="AET178" s="14">
        <f t="shared" si="1434"/>
        <v>0</v>
      </c>
      <c r="AEU178" s="14">
        <f t="shared" si="1434"/>
        <v>0</v>
      </c>
      <c r="AEV178" s="14">
        <f t="shared" si="1434"/>
        <v>0</v>
      </c>
      <c r="AEW178" s="14">
        <f t="shared" si="1434"/>
        <v>0</v>
      </c>
      <c r="AEX178" s="14">
        <f t="shared" si="1434"/>
        <v>0</v>
      </c>
      <c r="AEY178" s="14">
        <f t="shared" si="1434"/>
        <v>0</v>
      </c>
      <c r="AEZ178" s="14">
        <f t="shared" si="1434"/>
        <v>0</v>
      </c>
      <c r="AFA178" s="14">
        <f t="shared" si="1434"/>
        <v>0</v>
      </c>
      <c r="AFB178" s="14">
        <f t="shared" si="1434"/>
        <v>0</v>
      </c>
      <c r="AFC178" s="14">
        <f t="shared" si="1434"/>
        <v>0</v>
      </c>
      <c r="AFD178" s="14">
        <f t="shared" si="1434"/>
        <v>0</v>
      </c>
      <c r="AFE178" s="14">
        <f t="shared" si="1434"/>
        <v>0</v>
      </c>
      <c r="AFF178" s="14">
        <f t="shared" si="1434"/>
        <v>0</v>
      </c>
      <c r="AFG178" s="14">
        <f t="shared" si="1434"/>
        <v>0</v>
      </c>
      <c r="AFH178" s="14">
        <f t="shared" si="1434"/>
        <v>0</v>
      </c>
      <c r="AFI178" s="14">
        <f t="shared" si="1434"/>
        <v>0</v>
      </c>
      <c r="AFJ178" s="14">
        <f t="shared" si="1434"/>
        <v>0</v>
      </c>
      <c r="AFK178" s="14">
        <f t="shared" si="1434"/>
        <v>0</v>
      </c>
      <c r="AFL178" s="14">
        <f t="shared" si="1434"/>
        <v>0</v>
      </c>
      <c r="AFM178" s="14">
        <f t="shared" si="1434"/>
        <v>0</v>
      </c>
      <c r="AFO178" s="14">
        <f xml:space="preserve"> IF( AFO57 = 0, 1, 0)</f>
        <v>0</v>
      </c>
      <c r="AKY178" s="14">
        <f xml:space="preserve"> IF( AKY57 = 0, 1, 0)</f>
        <v>0</v>
      </c>
      <c r="ALN178" s="14">
        <f xml:space="preserve"> IF( ALN57 = 0, 1, 0)</f>
        <v>0</v>
      </c>
    </row>
    <row r="179" spans="2:1002" ht="15" customHeight="1" x14ac:dyDescent="0.25">
      <c r="B179" s="7">
        <v>2</v>
      </c>
      <c r="AAM179" s="14">
        <v>0</v>
      </c>
      <c r="AAY179" s="14">
        <v>0</v>
      </c>
      <c r="ABI179" s="14">
        <v>0</v>
      </c>
      <c r="ABJ179" s="14">
        <v>0</v>
      </c>
      <c r="ABK179" s="14">
        <v>0</v>
      </c>
      <c r="ABL179" s="14">
        <v>0</v>
      </c>
      <c r="ABM179" s="14">
        <v>0</v>
      </c>
      <c r="ABN179" s="14">
        <v>0</v>
      </c>
      <c r="ABO179" s="14">
        <v>0</v>
      </c>
      <c r="ABP179" s="14">
        <v>0</v>
      </c>
      <c r="ABQ179" s="14">
        <v>0</v>
      </c>
      <c r="ABR179" s="14">
        <v>0</v>
      </c>
      <c r="ABS179" s="14">
        <v>0</v>
      </c>
      <c r="ABT179" s="14">
        <v>0</v>
      </c>
      <c r="ABU179" s="14">
        <v>0</v>
      </c>
      <c r="ABV179" s="14">
        <v>0</v>
      </c>
      <c r="ABW179" s="14">
        <v>0</v>
      </c>
      <c r="ABX179" s="14">
        <v>0</v>
      </c>
      <c r="ABY179" s="14">
        <v>0</v>
      </c>
      <c r="ABZ179" s="14">
        <v>0</v>
      </c>
      <c r="ACA179" s="14">
        <v>0</v>
      </c>
      <c r="ACB179" s="14">
        <v>0</v>
      </c>
      <c r="ACC179" s="14">
        <v>0</v>
      </c>
      <c r="ACD179" s="14">
        <v>0</v>
      </c>
      <c r="ACE179" s="14">
        <v>0</v>
      </c>
      <c r="ACF179" s="14">
        <v>0</v>
      </c>
      <c r="ACG179" s="14">
        <v>0</v>
      </c>
      <c r="ACH179" s="14">
        <v>0</v>
      </c>
      <c r="ACI179" s="14">
        <v>0</v>
      </c>
      <c r="ACJ179" s="14">
        <v>0</v>
      </c>
      <c r="ACK179" s="14">
        <v>0</v>
      </c>
      <c r="ACL179" s="14">
        <v>0</v>
      </c>
      <c r="ACM179" s="14">
        <v>0</v>
      </c>
      <c r="ACN179" s="14">
        <v>0</v>
      </c>
      <c r="ACO179" s="14">
        <v>0</v>
      </c>
      <c r="ACP179" s="14">
        <v>0</v>
      </c>
      <c r="ACQ179" s="14">
        <v>0</v>
      </c>
      <c r="ACR179" s="14">
        <v>0</v>
      </c>
      <c r="ACS179" s="14">
        <v>0</v>
      </c>
      <c r="ACT179" s="14">
        <v>0</v>
      </c>
      <c r="ACU179" s="14">
        <v>0</v>
      </c>
      <c r="ACV179" s="14">
        <v>0</v>
      </c>
      <c r="ACW179" s="14">
        <v>0</v>
      </c>
      <c r="ACX179" s="14">
        <v>0</v>
      </c>
      <c r="ACY179" s="14">
        <v>0</v>
      </c>
      <c r="ACZ179" s="14">
        <v>0</v>
      </c>
      <c r="ADA179" s="14">
        <v>0</v>
      </c>
      <c r="ADB179" s="14">
        <v>0</v>
      </c>
      <c r="ADC179" s="14">
        <v>0</v>
      </c>
      <c r="ADE179" s="14">
        <v>0</v>
      </c>
      <c r="ADI179" s="14">
        <v>0</v>
      </c>
      <c r="ADS179" s="14">
        <v>0</v>
      </c>
      <c r="ADT179" s="14">
        <v>0</v>
      </c>
      <c r="ADU179" s="14">
        <v>0</v>
      </c>
      <c r="ADV179" s="14">
        <v>0</v>
      </c>
      <c r="ADW179" s="14">
        <v>0</v>
      </c>
      <c r="ADX179" s="14">
        <v>0</v>
      </c>
      <c r="ADY179" s="14">
        <v>0</v>
      </c>
      <c r="ADZ179" s="14">
        <v>0</v>
      </c>
      <c r="AEA179" s="14">
        <v>0</v>
      </c>
      <c r="AEB179" s="14">
        <v>0</v>
      </c>
      <c r="AEC179" s="14">
        <v>0</v>
      </c>
      <c r="AED179" s="14">
        <v>0</v>
      </c>
      <c r="AEE179" s="14">
        <v>0</v>
      </c>
      <c r="AEF179" s="14">
        <v>0</v>
      </c>
      <c r="AEG179" s="14">
        <v>0</v>
      </c>
      <c r="AEH179" s="14">
        <v>0</v>
      </c>
      <c r="AEI179" s="14">
        <v>0</v>
      </c>
      <c r="AEJ179" s="14">
        <v>0</v>
      </c>
      <c r="AEK179" s="14">
        <v>0</v>
      </c>
      <c r="AEL179" s="14">
        <v>0</v>
      </c>
      <c r="AEM179" s="14">
        <v>0</v>
      </c>
      <c r="AEN179" s="14">
        <v>0</v>
      </c>
      <c r="AEO179" s="14">
        <v>0</v>
      </c>
      <c r="AEP179" s="14">
        <v>0</v>
      </c>
      <c r="AEQ179" s="14">
        <v>0</v>
      </c>
      <c r="AER179" s="14">
        <v>0</v>
      </c>
      <c r="AES179" s="14">
        <v>0</v>
      </c>
      <c r="AET179" s="14">
        <v>0</v>
      </c>
      <c r="AEU179" s="14">
        <v>0</v>
      </c>
      <c r="AEV179" s="14">
        <v>0</v>
      </c>
      <c r="AEW179" s="14">
        <v>0</v>
      </c>
      <c r="AEX179" s="14">
        <v>0</v>
      </c>
      <c r="AEY179" s="14">
        <v>0</v>
      </c>
      <c r="AEZ179" s="14">
        <v>0</v>
      </c>
      <c r="AFA179" s="14">
        <v>0</v>
      </c>
      <c r="AFB179" s="14">
        <v>0</v>
      </c>
      <c r="AFC179" s="14">
        <v>0</v>
      </c>
      <c r="AFD179" s="14">
        <v>0</v>
      </c>
      <c r="AFE179" s="14">
        <v>0</v>
      </c>
      <c r="AFF179" s="14">
        <v>0</v>
      </c>
      <c r="AFG179" s="14">
        <v>0</v>
      </c>
      <c r="AFH179" s="14">
        <v>0</v>
      </c>
      <c r="AFI179" s="14">
        <v>0</v>
      </c>
      <c r="AFJ179" s="14">
        <v>0</v>
      </c>
      <c r="AFK179" s="14">
        <v>0</v>
      </c>
      <c r="AFL179" s="14">
        <v>0</v>
      </c>
      <c r="AFM179" s="14">
        <v>0</v>
      </c>
      <c r="AFO179" s="14">
        <v>0</v>
      </c>
      <c r="AKY179" s="14">
        <v>0</v>
      </c>
      <c r="ALN179" s="14">
        <v>0</v>
      </c>
    </row>
    <row r="180" spans="2:1002" ht="15" customHeight="1" x14ac:dyDescent="0.25">
      <c r="B180" s="7">
        <v>4</v>
      </c>
      <c r="AAM180" s="14">
        <v>0</v>
      </c>
      <c r="AAY180" s="14">
        <v>0</v>
      </c>
      <c r="ABI180" s="14">
        <v>0</v>
      </c>
      <c r="ABJ180" s="14">
        <v>0</v>
      </c>
      <c r="ABK180" s="14">
        <v>0</v>
      </c>
      <c r="ABL180" s="14">
        <v>0</v>
      </c>
      <c r="ABM180" s="14">
        <v>0</v>
      </c>
      <c r="ABN180" s="14">
        <v>0</v>
      </c>
      <c r="ABO180" s="14">
        <v>0</v>
      </c>
      <c r="ABP180" s="14">
        <v>0</v>
      </c>
      <c r="ABQ180" s="14">
        <v>0</v>
      </c>
      <c r="ABR180" s="14">
        <v>0</v>
      </c>
      <c r="ABS180" s="14">
        <v>0</v>
      </c>
      <c r="ABT180" s="14">
        <v>0</v>
      </c>
      <c r="ABU180" s="14">
        <v>0</v>
      </c>
      <c r="ABV180" s="14">
        <v>0</v>
      </c>
      <c r="ABW180" s="14">
        <v>0</v>
      </c>
      <c r="ABX180" s="14">
        <v>0</v>
      </c>
      <c r="ABY180" s="14">
        <v>0</v>
      </c>
      <c r="ABZ180" s="14">
        <v>0</v>
      </c>
      <c r="ACA180" s="14">
        <v>0</v>
      </c>
      <c r="ACB180" s="14">
        <v>0</v>
      </c>
      <c r="ACC180" s="14">
        <v>0</v>
      </c>
      <c r="ACD180" s="14">
        <v>0</v>
      </c>
      <c r="ACE180" s="14">
        <v>0</v>
      </c>
      <c r="ACF180" s="14">
        <v>0</v>
      </c>
      <c r="ACG180" s="14">
        <v>0</v>
      </c>
      <c r="ACH180" s="14">
        <v>0</v>
      </c>
      <c r="ACI180" s="14">
        <v>0</v>
      </c>
      <c r="ACJ180" s="14">
        <v>0</v>
      </c>
      <c r="ACK180" s="14">
        <v>0</v>
      </c>
      <c r="ACL180" s="14">
        <v>0</v>
      </c>
      <c r="ACM180" s="14">
        <v>0</v>
      </c>
      <c r="ACN180" s="14">
        <v>0</v>
      </c>
      <c r="ACO180" s="14">
        <v>0</v>
      </c>
      <c r="ACP180" s="14">
        <v>0</v>
      </c>
      <c r="ACQ180" s="14">
        <v>0</v>
      </c>
      <c r="ACR180" s="14">
        <v>0</v>
      </c>
      <c r="ACS180" s="14">
        <v>0</v>
      </c>
      <c r="ACT180" s="14">
        <v>0</v>
      </c>
      <c r="ACU180" s="14">
        <v>0</v>
      </c>
      <c r="ACV180" s="14">
        <v>0</v>
      </c>
      <c r="ACW180" s="14">
        <v>0</v>
      </c>
      <c r="ACX180" s="14">
        <v>0</v>
      </c>
      <c r="ACY180" s="14">
        <v>0</v>
      </c>
      <c r="ACZ180" s="14">
        <v>0</v>
      </c>
      <c r="ADA180" s="14">
        <v>0</v>
      </c>
      <c r="ADB180" s="14">
        <v>0</v>
      </c>
      <c r="ADC180" s="14">
        <v>0</v>
      </c>
      <c r="ADE180" s="14">
        <v>0</v>
      </c>
      <c r="ADI180" s="14">
        <v>0</v>
      </c>
      <c r="ADS180" s="14">
        <v>0</v>
      </c>
      <c r="ADT180" s="14">
        <v>0</v>
      </c>
      <c r="ADU180" s="14">
        <v>0</v>
      </c>
      <c r="ADV180" s="14">
        <v>0</v>
      </c>
      <c r="ADW180" s="14">
        <v>0</v>
      </c>
      <c r="ADX180" s="14">
        <v>0</v>
      </c>
      <c r="ADY180" s="14">
        <v>0</v>
      </c>
      <c r="ADZ180" s="14">
        <v>0</v>
      </c>
      <c r="AEA180" s="14">
        <v>0</v>
      </c>
      <c r="AEB180" s="14">
        <v>0</v>
      </c>
      <c r="AEC180" s="14">
        <v>0</v>
      </c>
      <c r="AED180" s="14">
        <v>0</v>
      </c>
      <c r="AEE180" s="14">
        <v>0</v>
      </c>
      <c r="AEF180" s="14">
        <v>0</v>
      </c>
      <c r="AEG180" s="14">
        <v>0</v>
      </c>
      <c r="AEH180" s="14">
        <v>0</v>
      </c>
      <c r="AEI180" s="14">
        <v>0</v>
      </c>
      <c r="AEJ180" s="14">
        <v>0</v>
      </c>
      <c r="AEK180" s="14">
        <v>0</v>
      </c>
      <c r="AEL180" s="14">
        <v>0</v>
      </c>
      <c r="AEM180" s="14">
        <v>0</v>
      </c>
      <c r="AEN180" s="14">
        <v>0</v>
      </c>
      <c r="AEO180" s="14">
        <v>0</v>
      </c>
      <c r="AEP180" s="14">
        <v>0</v>
      </c>
      <c r="AEQ180" s="14">
        <v>0</v>
      </c>
      <c r="AER180" s="14">
        <v>0</v>
      </c>
      <c r="AES180" s="14">
        <v>0</v>
      </c>
      <c r="AET180" s="14">
        <v>0</v>
      </c>
      <c r="AEU180" s="14">
        <v>0</v>
      </c>
      <c r="AEV180" s="14">
        <v>0</v>
      </c>
      <c r="AEW180" s="14">
        <v>0</v>
      </c>
      <c r="AEX180" s="14">
        <v>0</v>
      </c>
      <c r="AEY180" s="14">
        <v>0</v>
      </c>
      <c r="AEZ180" s="14">
        <v>0</v>
      </c>
      <c r="AFA180" s="14">
        <v>0</v>
      </c>
      <c r="AFB180" s="14">
        <v>0</v>
      </c>
      <c r="AFC180" s="14">
        <v>0</v>
      </c>
      <c r="AFD180" s="14">
        <v>0</v>
      </c>
      <c r="AFE180" s="14">
        <v>0</v>
      </c>
      <c r="AFF180" s="14">
        <v>0</v>
      </c>
      <c r="AFG180" s="14">
        <v>0</v>
      </c>
      <c r="AFH180" s="14">
        <v>0</v>
      </c>
      <c r="AFI180" s="14">
        <v>0</v>
      </c>
      <c r="AFJ180" s="14">
        <v>0</v>
      </c>
      <c r="AFK180" s="14">
        <v>0</v>
      </c>
      <c r="AFL180" s="14">
        <v>0</v>
      </c>
      <c r="AFM180" s="14">
        <v>0</v>
      </c>
      <c r="AFO180" s="14">
        <v>0</v>
      </c>
      <c r="AKY180" s="14">
        <v>0</v>
      </c>
      <c r="ALN180" s="14">
        <v>0</v>
      </c>
    </row>
    <row r="181" spans="2:1002" ht="15" customHeight="1" x14ac:dyDescent="0.25">
      <c r="B181" s="14">
        <v>8</v>
      </c>
      <c r="AAM181" s="14">
        <v>0</v>
      </c>
      <c r="AAY181" s="14">
        <v>0</v>
      </c>
      <c r="ABI181" s="14">
        <v>0</v>
      </c>
      <c r="ABJ181" s="14">
        <v>0</v>
      </c>
      <c r="ABK181" s="14">
        <v>0</v>
      </c>
      <c r="ABL181" s="14">
        <v>0</v>
      </c>
      <c r="ABM181" s="14">
        <v>0</v>
      </c>
      <c r="ABN181" s="14">
        <v>0</v>
      </c>
      <c r="ABO181" s="14">
        <v>0</v>
      </c>
      <c r="ABP181" s="14">
        <v>0</v>
      </c>
      <c r="ABQ181" s="14">
        <v>0</v>
      </c>
      <c r="ABR181" s="14">
        <v>0</v>
      </c>
      <c r="ABS181" s="14">
        <v>0</v>
      </c>
      <c r="ABT181" s="14">
        <v>0</v>
      </c>
      <c r="ABU181" s="14">
        <v>0</v>
      </c>
      <c r="ABV181" s="14">
        <v>0</v>
      </c>
      <c r="ABW181" s="14">
        <v>0</v>
      </c>
      <c r="ABX181" s="14">
        <v>0</v>
      </c>
      <c r="ABY181" s="14">
        <v>0</v>
      </c>
      <c r="ABZ181" s="14">
        <v>0</v>
      </c>
      <c r="ACA181" s="14">
        <v>0</v>
      </c>
      <c r="ACB181" s="14">
        <v>0</v>
      </c>
      <c r="ACC181" s="14">
        <v>0</v>
      </c>
      <c r="ACD181" s="14">
        <v>0</v>
      </c>
      <c r="ACE181" s="14">
        <v>0</v>
      </c>
      <c r="ACF181" s="14">
        <v>0</v>
      </c>
      <c r="ACG181" s="14">
        <v>0</v>
      </c>
      <c r="ACH181" s="14">
        <v>0</v>
      </c>
      <c r="ACI181" s="14">
        <v>0</v>
      </c>
      <c r="ACJ181" s="14">
        <v>0</v>
      </c>
      <c r="ACK181" s="14">
        <v>0</v>
      </c>
      <c r="ACL181" s="14">
        <v>0</v>
      </c>
      <c r="ACM181" s="14">
        <v>0</v>
      </c>
      <c r="ACN181" s="14">
        <v>0</v>
      </c>
      <c r="ACO181" s="14">
        <v>0</v>
      </c>
      <c r="ACP181" s="14">
        <v>0</v>
      </c>
      <c r="ACQ181" s="14">
        <v>0</v>
      </c>
      <c r="ACR181" s="14">
        <v>0</v>
      </c>
      <c r="ACS181" s="14">
        <v>0</v>
      </c>
      <c r="ACT181" s="14">
        <v>0</v>
      </c>
      <c r="ACU181" s="14">
        <v>0</v>
      </c>
      <c r="ACV181" s="14">
        <v>0</v>
      </c>
      <c r="ACW181" s="14">
        <v>0</v>
      </c>
      <c r="ACX181" s="14">
        <v>0</v>
      </c>
      <c r="ACY181" s="14">
        <v>0</v>
      </c>
      <c r="ACZ181" s="14">
        <v>0</v>
      </c>
      <c r="ADA181" s="14">
        <v>0</v>
      </c>
      <c r="ADB181" s="14">
        <v>0</v>
      </c>
      <c r="ADC181" s="14">
        <v>0</v>
      </c>
      <c r="ADE181" s="14">
        <v>0</v>
      </c>
      <c r="ADI181" s="14">
        <v>0</v>
      </c>
      <c r="ADS181" s="14">
        <v>0</v>
      </c>
      <c r="ADT181" s="14">
        <v>0</v>
      </c>
      <c r="ADU181" s="14">
        <v>0</v>
      </c>
      <c r="ADV181" s="14">
        <v>0</v>
      </c>
      <c r="ADW181" s="14">
        <v>0</v>
      </c>
      <c r="ADX181" s="14">
        <v>0</v>
      </c>
      <c r="ADY181" s="14">
        <v>0</v>
      </c>
      <c r="ADZ181" s="14">
        <v>0</v>
      </c>
      <c r="AEA181" s="14">
        <v>0</v>
      </c>
      <c r="AEB181" s="14">
        <v>0</v>
      </c>
      <c r="AEC181" s="14">
        <v>0</v>
      </c>
      <c r="AED181" s="14">
        <v>0</v>
      </c>
      <c r="AEE181" s="14">
        <v>0</v>
      </c>
      <c r="AEF181" s="14">
        <v>0</v>
      </c>
      <c r="AEG181" s="14">
        <v>0</v>
      </c>
      <c r="AEH181" s="14">
        <v>0</v>
      </c>
      <c r="AEI181" s="14">
        <v>0</v>
      </c>
      <c r="AEJ181" s="14">
        <v>0</v>
      </c>
      <c r="AEK181" s="14">
        <v>0</v>
      </c>
      <c r="AEL181" s="14">
        <v>0</v>
      </c>
      <c r="AEM181" s="14">
        <v>0</v>
      </c>
      <c r="AEN181" s="14">
        <v>0</v>
      </c>
      <c r="AEO181" s="14">
        <v>0</v>
      </c>
      <c r="AEP181" s="14">
        <v>0</v>
      </c>
      <c r="AEQ181" s="14">
        <v>0</v>
      </c>
      <c r="AER181" s="14">
        <v>0</v>
      </c>
      <c r="AES181" s="14">
        <v>0</v>
      </c>
      <c r="AET181" s="14">
        <v>0</v>
      </c>
      <c r="AEU181" s="14">
        <v>0</v>
      </c>
      <c r="AEV181" s="14">
        <v>0</v>
      </c>
      <c r="AEW181" s="14">
        <v>0</v>
      </c>
      <c r="AEX181" s="14">
        <v>0</v>
      </c>
      <c r="AEY181" s="14">
        <v>0</v>
      </c>
      <c r="AEZ181" s="14">
        <v>0</v>
      </c>
      <c r="AFA181" s="14">
        <v>0</v>
      </c>
      <c r="AFB181" s="14">
        <v>0</v>
      </c>
      <c r="AFC181" s="14">
        <v>0</v>
      </c>
      <c r="AFD181" s="14">
        <v>0</v>
      </c>
      <c r="AFE181" s="14">
        <v>0</v>
      </c>
      <c r="AFF181" s="14">
        <v>0</v>
      </c>
      <c r="AFG181" s="14">
        <v>0</v>
      </c>
      <c r="AFH181" s="14">
        <v>0</v>
      </c>
      <c r="AFI181" s="14">
        <v>0</v>
      </c>
      <c r="AFJ181" s="14">
        <v>0</v>
      </c>
      <c r="AFK181" s="14">
        <v>0</v>
      </c>
      <c r="AFL181" s="14">
        <v>0</v>
      </c>
      <c r="AFM181" s="14">
        <v>0</v>
      </c>
      <c r="AFO181" s="14">
        <v>0</v>
      </c>
      <c r="AKY181" s="14">
        <v>0</v>
      </c>
      <c r="ALN181" s="14">
        <v>0</v>
      </c>
    </row>
    <row r="182" spans="2:1002" ht="15" customHeight="1" x14ac:dyDescent="0.25">
      <c r="B182" s="14">
        <v>16</v>
      </c>
      <c r="AAM182" s="14">
        <v>0</v>
      </c>
      <c r="AAY182" s="14">
        <v>0</v>
      </c>
      <c r="ABI182" s="14">
        <v>0</v>
      </c>
      <c r="ABJ182" s="14">
        <v>0</v>
      </c>
      <c r="ABK182" s="14">
        <v>0</v>
      </c>
      <c r="ABL182" s="14">
        <v>0</v>
      </c>
      <c r="ABM182" s="14">
        <v>0</v>
      </c>
      <c r="ABN182" s="14">
        <v>0</v>
      </c>
      <c r="ABO182" s="14">
        <v>0</v>
      </c>
      <c r="ABP182" s="14">
        <v>0</v>
      </c>
      <c r="ABQ182" s="14">
        <v>0</v>
      </c>
      <c r="ABR182" s="14">
        <v>0</v>
      </c>
      <c r="ABS182" s="14">
        <v>0</v>
      </c>
      <c r="ABT182" s="14">
        <v>0</v>
      </c>
      <c r="ABU182" s="14">
        <v>0</v>
      </c>
      <c r="ABV182" s="14">
        <v>0</v>
      </c>
      <c r="ABW182" s="14">
        <v>0</v>
      </c>
      <c r="ABX182" s="14">
        <v>0</v>
      </c>
      <c r="ABY182" s="14">
        <v>0</v>
      </c>
      <c r="ABZ182" s="14">
        <v>0</v>
      </c>
      <c r="ACA182" s="14">
        <v>0</v>
      </c>
      <c r="ACB182" s="14">
        <v>0</v>
      </c>
      <c r="ACC182" s="14">
        <v>0</v>
      </c>
      <c r="ACD182" s="14">
        <v>0</v>
      </c>
      <c r="ACE182" s="14">
        <v>0</v>
      </c>
      <c r="ACF182" s="14">
        <v>0</v>
      </c>
      <c r="ACG182" s="14">
        <v>0</v>
      </c>
      <c r="ACH182" s="14">
        <v>0</v>
      </c>
      <c r="ACI182" s="14">
        <v>0</v>
      </c>
      <c r="ACJ182" s="14">
        <v>0</v>
      </c>
      <c r="ACK182" s="14">
        <v>0</v>
      </c>
      <c r="ACL182" s="14">
        <v>0</v>
      </c>
      <c r="ACM182" s="14">
        <v>0</v>
      </c>
      <c r="ACN182" s="14">
        <v>0</v>
      </c>
      <c r="ACO182" s="14">
        <v>0</v>
      </c>
      <c r="ACP182" s="14">
        <v>0</v>
      </c>
      <c r="ACQ182" s="14">
        <v>0</v>
      </c>
      <c r="ACR182" s="14">
        <v>0</v>
      </c>
      <c r="ACS182" s="14">
        <v>0</v>
      </c>
      <c r="ACT182" s="14">
        <v>0</v>
      </c>
      <c r="ACU182" s="14">
        <v>0</v>
      </c>
      <c r="ACV182" s="14">
        <v>0</v>
      </c>
      <c r="ACW182" s="14">
        <v>0</v>
      </c>
      <c r="ACX182" s="14">
        <v>0</v>
      </c>
      <c r="ACY182" s="14">
        <v>0</v>
      </c>
      <c r="ACZ182" s="14">
        <v>0</v>
      </c>
      <c r="ADA182" s="14">
        <v>0</v>
      </c>
      <c r="ADB182" s="14">
        <v>0</v>
      </c>
      <c r="ADC182" s="14">
        <v>0</v>
      </c>
      <c r="ADE182" s="14">
        <v>0</v>
      </c>
      <c r="ADI182" s="14">
        <v>0</v>
      </c>
      <c r="ADS182" s="14">
        <v>0</v>
      </c>
      <c r="ADT182" s="14">
        <v>0</v>
      </c>
      <c r="ADU182" s="14">
        <v>0</v>
      </c>
      <c r="ADV182" s="14">
        <v>0</v>
      </c>
      <c r="ADW182" s="14">
        <v>0</v>
      </c>
      <c r="ADX182" s="14">
        <v>0</v>
      </c>
      <c r="ADY182" s="14">
        <v>0</v>
      </c>
      <c r="ADZ182" s="14">
        <v>0</v>
      </c>
      <c r="AEA182" s="14">
        <v>0</v>
      </c>
      <c r="AEB182" s="14">
        <v>0</v>
      </c>
      <c r="AEC182" s="14">
        <v>0</v>
      </c>
      <c r="AED182" s="14">
        <v>0</v>
      </c>
      <c r="AEE182" s="14">
        <v>0</v>
      </c>
      <c r="AEF182" s="14">
        <v>0</v>
      </c>
      <c r="AEG182" s="14">
        <v>0</v>
      </c>
      <c r="AEH182" s="14">
        <v>0</v>
      </c>
      <c r="AEI182" s="14">
        <v>0</v>
      </c>
      <c r="AEJ182" s="14">
        <v>0</v>
      </c>
      <c r="AEK182" s="14">
        <v>0</v>
      </c>
      <c r="AEL182" s="14">
        <v>0</v>
      </c>
      <c r="AEM182" s="14">
        <v>0</v>
      </c>
      <c r="AEN182" s="14">
        <v>0</v>
      </c>
      <c r="AEO182" s="14">
        <v>0</v>
      </c>
      <c r="AEP182" s="14">
        <v>0</v>
      </c>
      <c r="AEQ182" s="14">
        <v>0</v>
      </c>
      <c r="AER182" s="14">
        <v>0</v>
      </c>
      <c r="AES182" s="14">
        <v>0</v>
      </c>
      <c r="AET182" s="14">
        <v>0</v>
      </c>
      <c r="AEU182" s="14">
        <v>0</v>
      </c>
      <c r="AEV182" s="14">
        <v>0</v>
      </c>
      <c r="AEW182" s="14">
        <v>0</v>
      </c>
      <c r="AEX182" s="14">
        <v>0</v>
      </c>
      <c r="AEY182" s="14">
        <v>0</v>
      </c>
      <c r="AEZ182" s="14">
        <v>0</v>
      </c>
      <c r="AFA182" s="14">
        <v>0</v>
      </c>
      <c r="AFB182" s="14">
        <v>0</v>
      </c>
      <c r="AFC182" s="14">
        <v>0</v>
      </c>
      <c r="AFD182" s="14">
        <v>0</v>
      </c>
      <c r="AFE182" s="14">
        <v>0</v>
      </c>
      <c r="AFF182" s="14">
        <v>0</v>
      </c>
      <c r="AFG182" s="14">
        <v>0</v>
      </c>
      <c r="AFH182" s="14">
        <v>0</v>
      </c>
      <c r="AFI182" s="14">
        <v>0</v>
      </c>
      <c r="AFJ182" s="14">
        <v>0</v>
      </c>
      <c r="AFK182" s="14">
        <v>0</v>
      </c>
      <c r="AFL182" s="14">
        <v>0</v>
      </c>
      <c r="AFM182" s="14">
        <v>0</v>
      </c>
      <c r="AFO182" s="14">
        <v>0</v>
      </c>
      <c r="AKY182" s="14">
        <v>0</v>
      </c>
      <c r="ALN182" s="14">
        <v>0</v>
      </c>
    </row>
    <row r="183" spans="2:1002" ht="15" customHeight="1" x14ac:dyDescent="0.25">
      <c r="B183" s="14">
        <v>32</v>
      </c>
      <c r="AAM183" s="14">
        <v>0</v>
      </c>
      <c r="AAY183" s="14">
        <v>0</v>
      </c>
      <c r="ABI183" s="14">
        <v>0</v>
      </c>
      <c r="ABJ183" s="14">
        <v>0</v>
      </c>
      <c r="ABK183" s="14">
        <v>0</v>
      </c>
      <c r="ABL183" s="14">
        <v>0</v>
      </c>
      <c r="ABM183" s="14">
        <v>0</v>
      </c>
      <c r="ABN183" s="14">
        <v>0</v>
      </c>
      <c r="ABO183" s="14">
        <v>0</v>
      </c>
      <c r="ABP183" s="14">
        <v>0</v>
      </c>
      <c r="ABQ183" s="14">
        <v>0</v>
      </c>
      <c r="ABR183" s="14">
        <v>0</v>
      </c>
      <c r="ABS183" s="14">
        <v>0</v>
      </c>
      <c r="ABT183" s="14">
        <v>0</v>
      </c>
      <c r="ABU183" s="14">
        <v>0</v>
      </c>
      <c r="ABV183" s="14">
        <v>0</v>
      </c>
      <c r="ABW183" s="14">
        <v>0</v>
      </c>
      <c r="ABX183" s="14">
        <v>0</v>
      </c>
      <c r="ABY183" s="14">
        <v>0</v>
      </c>
      <c r="ABZ183" s="14">
        <v>0</v>
      </c>
      <c r="ACA183" s="14">
        <v>0</v>
      </c>
      <c r="ACB183" s="14">
        <v>0</v>
      </c>
      <c r="ACC183" s="14">
        <v>0</v>
      </c>
      <c r="ACD183" s="14">
        <v>0</v>
      </c>
      <c r="ACE183" s="14">
        <v>0</v>
      </c>
      <c r="ACF183" s="14">
        <v>0</v>
      </c>
      <c r="ACG183" s="14">
        <v>0</v>
      </c>
      <c r="ACH183" s="14">
        <v>0</v>
      </c>
      <c r="ACI183" s="14">
        <v>0</v>
      </c>
      <c r="ACJ183" s="14">
        <v>0</v>
      </c>
      <c r="ACK183" s="14">
        <v>0</v>
      </c>
      <c r="ACL183" s="14">
        <v>0</v>
      </c>
      <c r="ACM183" s="14">
        <v>0</v>
      </c>
      <c r="ACN183" s="14">
        <v>0</v>
      </c>
      <c r="ACO183" s="14">
        <v>0</v>
      </c>
      <c r="ACP183" s="14">
        <v>0</v>
      </c>
      <c r="ACQ183" s="14">
        <v>0</v>
      </c>
      <c r="ACR183" s="14">
        <v>0</v>
      </c>
      <c r="ACS183" s="14">
        <v>0</v>
      </c>
      <c r="ACT183" s="14">
        <v>0</v>
      </c>
      <c r="ACU183" s="14">
        <v>0</v>
      </c>
      <c r="ACV183" s="14">
        <v>0</v>
      </c>
      <c r="ACW183" s="14">
        <v>0</v>
      </c>
      <c r="ACX183" s="14">
        <v>0</v>
      </c>
      <c r="ACY183" s="14">
        <v>0</v>
      </c>
      <c r="ACZ183" s="14">
        <v>0</v>
      </c>
      <c r="ADA183" s="14">
        <v>0</v>
      </c>
      <c r="ADB183" s="14">
        <v>0</v>
      </c>
      <c r="ADC183" s="14">
        <v>0</v>
      </c>
      <c r="ADE183" s="14">
        <v>0</v>
      </c>
      <c r="ADI183" s="14">
        <v>0</v>
      </c>
      <c r="ADS183" s="14">
        <v>0</v>
      </c>
      <c r="ADT183" s="14">
        <v>0</v>
      </c>
      <c r="ADU183" s="14">
        <v>0</v>
      </c>
      <c r="ADV183" s="14">
        <v>0</v>
      </c>
      <c r="ADW183" s="14">
        <v>0</v>
      </c>
      <c r="ADX183" s="14">
        <v>0</v>
      </c>
      <c r="ADY183" s="14">
        <v>0</v>
      </c>
      <c r="ADZ183" s="14">
        <v>0</v>
      </c>
      <c r="AEA183" s="14">
        <v>0</v>
      </c>
      <c r="AEB183" s="14">
        <v>0</v>
      </c>
      <c r="AEC183" s="14">
        <v>0</v>
      </c>
      <c r="AED183" s="14">
        <v>0</v>
      </c>
      <c r="AEE183" s="14">
        <v>0</v>
      </c>
      <c r="AEF183" s="14">
        <v>0</v>
      </c>
      <c r="AEG183" s="14">
        <v>0</v>
      </c>
      <c r="AEH183" s="14">
        <v>0</v>
      </c>
      <c r="AEI183" s="14">
        <v>0</v>
      </c>
      <c r="AEJ183" s="14">
        <v>0</v>
      </c>
      <c r="AEK183" s="14">
        <v>0</v>
      </c>
      <c r="AEL183" s="14">
        <v>0</v>
      </c>
      <c r="AEM183" s="14">
        <v>0</v>
      </c>
      <c r="AEN183" s="14">
        <v>0</v>
      </c>
      <c r="AEO183" s="14">
        <v>0</v>
      </c>
      <c r="AEP183" s="14">
        <v>0</v>
      </c>
      <c r="AEQ183" s="14">
        <v>0</v>
      </c>
      <c r="AER183" s="14">
        <v>0</v>
      </c>
      <c r="AES183" s="14">
        <v>0</v>
      </c>
      <c r="AET183" s="14">
        <v>0</v>
      </c>
      <c r="AEU183" s="14">
        <v>0</v>
      </c>
      <c r="AEV183" s="14">
        <v>0</v>
      </c>
      <c r="AEW183" s="14">
        <v>0</v>
      </c>
      <c r="AEX183" s="14">
        <v>0</v>
      </c>
      <c r="AEY183" s="14">
        <v>0</v>
      </c>
      <c r="AEZ183" s="14">
        <v>0</v>
      </c>
      <c r="AFA183" s="14">
        <v>0</v>
      </c>
      <c r="AFB183" s="14">
        <v>0</v>
      </c>
      <c r="AFC183" s="14">
        <v>0</v>
      </c>
      <c r="AFD183" s="14">
        <v>0</v>
      </c>
      <c r="AFE183" s="14">
        <v>0</v>
      </c>
      <c r="AFF183" s="14">
        <v>0</v>
      </c>
      <c r="AFG183" s="14">
        <v>0</v>
      </c>
      <c r="AFH183" s="14">
        <v>0</v>
      </c>
      <c r="AFI183" s="14">
        <v>0</v>
      </c>
      <c r="AFJ183" s="14">
        <v>0</v>
      </c>
      <c r="AFK183" s="14">
        <v>0</v>
      </c>
      <c r="AFL183" s="14">
        <v>0</v>
      </c>
      <c r="AFM183" s="14">
        <v>0</v>
      </c>
      <c r="AFO183" s="14">
        <v>0</v>
      </c>
      <c r="AKY183" s="14">
        <v>0</v>
      </c>
      <c r="ALN183" s="14">
        <v>0</v>
      </c>
    </row>
    <row r="184" spans="2:1002" ht="15" customHeight="1" x14ac:dyDescent="0.25">
      <c r="B184" s="14">
        <v>64</v>
      </c>
      <c r="AAM184" s="14">
        <v>0</v>
      </c>
      <c r="AAY184" s="14">
        <v>0</v>
      </c>
      <c r="ABI184" s="14">
        <v>0</v>
      </c>
      <c r="ABJ184" s="14">
        <v>0</v>
      </c>
      <c r="ABK184" s="14">
        <v>0</v>
      </c>
      <c r="ABL184" s="14">
        <v>0</v>
      </c>
      <c r="ABM184" s="14">
        <v>0</v>
      </c>
      <c r="ABN184" s="14">
        <v>0</v>
      </c>
      <c r="ABO184" s="14">
        <v>0</v>
      </c>
      <c r="ABP184" s="14">
        <v>0</v>
      </c>
      <c r="ABQ184" s="14">
        <v>0</v>
      </c>
      <c r="ABR184" s="14">
        <v>0</v>
      </c>
      <c r="ABS184" s="14">
        <v>0</v>
      </c>
      <c r="ABT184" s="14">
        <v>0</v>
      </c>
      <c r="ABU184" s="14">
        <v>0</v>
      </c>
      <c r="ABV184" s="14">
        <v>0</v>
      </c>
      <c r="ABW184" s="14">
        <v>0</v>
      </c>
      <c r="ABX184" s="14">
        <v>0</v>
      </c>
      <c r="ABY184" s="14">
        <v>0</v>
      </c>
      <c r="ABZ184" s="14">
        <v>0</v>
      </c>
      <c r="ACA184" s="14">
        <v>0</v>
      </c>
      <c r="ACB184" s="14">
        <v>0</v>
      </c>
      <c r="ACC184" s="14">
        <v>0</v>
      </c>
      <c r="ACD184" s="14">
        <v>0</v>
      </c>
      <c r="ACE184" s="14">
        <v>0</v>
      </c>
      <c r="ACF184" s="14">
        <v>0</v>
      </c>
      <c r="ACG184" s="14">
        <v>0</v>
      </c>
      <c r="ACH184" s="14">
        <v>0</v>
      </c>
      <c r="ACI184" s="14">
        <v>0</v>
      </c>
      <c r="ACJ184" s="14">
        <v>0</v>
      </c>
      <c r="ACK184" s="14">
        <v>0</v>
      </c>
      <c r="ACL184" s="14">
        <v>0</v>
      </c>
      <c r="ACM184" s="14">
        <v>0</v>
      </c>
      <c r="ACN184" s="14">
        <v>0</v>
      </c>
      <c r="ACO184" s="14">
        <v>0</v>
      </c>
      <c r="ACP184" s="14">
        <v>0</v>
      </c>
      <c r="ACQ184" s="14">
        <v>0</v>
      </c>
      <c r="ACR184" s="14">
        <v>0</v>
      </c>
      <c r="ACS184" s="14">
        <v>0</v>
      </c>
      <c r="ACT184" s="14">
        <v>0</v>
      </c>
      <c r="ACU184" s="14">
        <v>0</v>
      </c>
      <c r="ACV184" s="14">
        <v>0</v>
      </c>
      <c r="ACW184" s="14">
        <v>0</v>
      </c>
      <c r="ACX184" s="14">
        <v>0</v>
      </c>
      <c r="ACY184" s="14">
        <v>0</v>
      </c>
      <c r="ACZ184" s="14">
        <v>0</v>
      </c>
      <c r="ADA184" s="14">
        <v>0</v>
      </c>
      <c r="ADB184" s="14">
        <v>0</v>
      </c>
      <c r="ADC184" s="14">
        <v>0</v>
      </c>
      <c r="ADE184" s="14">
        <v>0</v>
      </c>
      <c r="ADI184" s="14">
        <v>0</v>
      </c>
      <c r="ADS184" s="14">
        <v>0</v>
      </c>
      <c r="ADT184" s="14">
        <v>0</v>
      </c>
      <c r="ADU184" s="14">
        <v>0</v>
      </c>
      <c r="ADV184" s="14">
        <v>0</v>
      </c>
      <c r="ADW184" s="14">
        <v>0</v>
      </c>
      <c r="ADX184" s="14">
        <v>0</v>
      </c>
      <c r="ADY184" s="14">
        <v>0</v>
      </c>
      <c r="ADZ184" s="14">
        <v>0</v>
      </c>
      <c r="AEA184" s="14">
        <v>0</v>
      </c>
      <c r="AEB184" s="14">
        <v>0</v>
      </c>
      <c r="AEC184" s="14">
        <v>0</v>
      </c>
      <c r="AED184" s="14">
        <v>0</v>
      </c>
      <c r="AEE184" s="14">
        <v>0</v>
      </c>
      <c r="AEF184" s="14">
        <v>0</v>
      </c>
      <c r="AEG184" s="14">
        <v>0</v>
      </c>
      <c r="AEH184" s="14">
        <v>0</v>
      </c>
      <c r="AEI184" s="14">
        <v>0</v>
      </c>
      <c r="AEJ184" s="14">
        <v>0</v>
      </c>
      <c r="AEK184" s="14">
        <v>0</v>
      </c>
      <c r="AEL184" s="14">
        <v>0</v>
      </c>
      <c r="AEM184" s="14">
        <v>0</v>
      </c>
      <c r="AEN184" s="14">
        <v>0</v>
      </c>
      <c r="AEO184" s="14">
        <v>0</v>
      </c>
      <c r="AEP184" s="14">
        <v>0</v>
      </c>
      <c r="AEQ184" s="14">
        <v>0</v>
      </c>
      <c r="AER184" s="14">
        <v>0</v>
      </c>
      <c r="AES184" s="14">
        <v>0</v>
      </c>
      <c r="AET184" s="14">
        <v>0</v>
      </c>
      <c r="AEU184" s="14">
        <v>0</v>
      </c>
      <c r="AEV184" s="14">
        <v>0</v>
      </c>
      <c r="AEW184" s="14">
        <v>0</v>
      </c>
      <c r="AEX184" s="14">
        <v>0</v>
      </c>
      <c r="AEY184" s="14">
        <v>0</v>
      </c>
      <c r="AEZ184" s="14">
        <v>0</v>
      </c>
      <c r="AFA184" s="14">
        <v>0</v>
      </c>
      <c r="AFB184" s="14">
        <v>0</v>
      </c>
      <c r="AFC184" s="14">
        <v>0</v>
      </c>
      <c r="AFD184" s="14">
        <v>0</v>
      </c>
      <c r="AFE184" s="14">
        <v>0</v>
      </c>
      <c r="AFF184" s="14">
        <v>0</v>
      </c>
      <c r="AFG184" s="14">
        <v>0</v>
      </c>
      <c r="AFH184" s="14">
        <v>0</v>
      </c>
      <c r="AFI184" s="14">
        <v>0</v>
      </c>
      <c r="AFJ184" s="14">
        <v>0</v>
      </c>
      <c r="AFK184" s="14">
        <v>0</v>
      </c>
      <c r="AFL184" s="14">
        <v>0</v>
      </c>
      <c r="AFM184" s="14">
        <v>0</v>
      </c>
      <c r="AFO184" s="14">
        <v>0</v>
      </c>
      <c r="AKY184" s="14">
        <v>0</v>
      </c>
      <c r="ALN184" s="14">
        <v>0</v>
      </c>
    </row>
    <row r="185" spans="2:1002" ht="15" customHeight="1" x14ac:dyDescent="0.25">
      <c r="B185" s="27">
        <v>128</v>
      </c>
      <c r="AAM185" s="14">
        <f>IF( NOT(EXACT(AAM36,"CS_SWITCH_REQUESTED_E")),1,0)</f>
        <v>1</v>
      </c>
      <c r="AAY185" s="14">
        <f>IF( NOT(EXACT(AAY36,"CS_SWITCH_REQUESTED_E")),1,0)</f>
        <v>1</v>
      </c>
      <c r="ABI185" s="14">
        <f t="shared" ref="ABI185:ADC185" si="1435">IF( NOT(EXACT(ABI36,"CS_SWITCH_REQUESTED_E")),1,0)</f>
        <v>1</v>
      </c>
      <c r="ABJ185" s="14">
        <f t="shared" si="1435"/>
        <v>1</v>
      </c>
      <c r="ABK185" s="14">
        <f t="shared" si="1435"/>
        <v>1</v>
      </c>
      <c r="ABL185" s="14">
        <f t="shared" si="1435"/>
        <v>1</v>
      </c>
      <c r="ABM185" s="14">
        <f t="shared" si="1435"/>
        <v>1</v>
      </c>
      <c r="ABN185" s="14">
        <f t="shared" si="1435"/>
        <v>1</v>
      </c>
      <c r="ABO185" s="14">
        <f t="shared" si="1435"/>
        <v>1</v>
      </c>
      <c r="ABP185" s="14">
        <f t="shared" si="1435"/>
        <v>1</v>
      </c>
      <c r="ABQ185" s="14">
        <f t="shared" si="1435"/>
        <v>0</v>
      </c>
      <c r="ABR185" s="14">
        <f t="shared" si="1435"/>
        <v>1</v>
      </c>
      <c r="ABS185" s="14">
        <f t="shared" si="1435"/>
        <v>1</v>
      </c>
      <c r="ABT185" s="14">
        <f t="shared" si="1435"/>
        <v>1</v>
      </c>
      <c r="ABU185" s="14">
        <f t="shared" si="1435"/>
        <v>1</v>
      </c>
      <c r="ABV185" s="14">
        <f t="shared" si="1435"/>
        <v>1</v>
      </c>
      <c r="ABW185" s="14">
        <f t="shared" si="1435"/>
        <v>1</v>
      </c>
      <c r="ABX185" s="14">
        <f t="shared" si="1435"/>
        <v>1</v>
      </c>
      <c r="ABY185" s="14">
        <f t="shared" si="1435"/>
        <v>1</v>
      </c>
      <c r="ABZ185" s="14">
        <f t="shared" si="1435"/>
        <v>1</v>
      </c>
      <c r="ACA185" s="14">
        <f t="shared" si="1435"/>
        <v>1</v>
      </c>
      <c r="ACB185" s="14">
        <f t="shared" si="1435"/>
        <v>1</v>
      </c>
      <c r="ACC185" s="14">
        <f t="shared" si="1435"/>
        <v>0</v>
      </c>
      <c r="ACD185" s="14">
        <f t="shared" si="1435"/>
        <v>0</v>
      </c>
      <c r="ACE185" s="14">
        <f t="shared" si="1435"/>
        <v>1</v>
      </c>
      <c r="ACF185" s="14">
        <f t="shared" si="1435"/>
        <v>0</v>
      </c>
      <c r="ACG185" s="14">
        <f t="shared" si="1435"/>
        <v>1</v>
      </c>
      <c r="ACH185" s="14">
        <f t="shared" si="1435"/>
        <v>1</v>
      </c>
      <c r="ACI185" s="14">
        <f t="shared" si="1435"/>
        <v>1</v>
      </c>
      <c r="ACJ185" s="14">
        <f t="shared" si="1435"/>
        <v>1</v>
      </c>
      <c r="ACK185" s="14">
        <f t="shared" si="1435"/>
        <v>1</v>
      </c>
      <c r="ACL185" s="14">
        <f t="shared" si="1435"/>
        <v>1</v>
      </c>
      <c r="ACM185" s="14">
        <f t="shared" si="1435"/>
        <v>1</v>
      </c>
      <c r="ACN185" s="14">
        <f t="shared" si="1435"/>
        <v>1</v>
      </c>
      <c r="ACO185" s="14">
        <f t="shared" si="1435"/>
        <v>1</v>
      </c>
      <c r="ACP185" s="14">
        <f t="shared" si="1435"/>
        <v>1</v>
      </c>
      <c r="ACQ185" s="14">
        <f t="shared" si="1435"/>
        <v>1</v>
      </c>
      <c r="ACR185" s="14">
        <f t="shared" si="1435"/>
        <v>1</v>
      </c>
      <c r="ACS185" s="14">
        <f t="shared" si="1435"/>
        <v>1</v>
      </c>
      <c r="ACT185" s="14">
        <f t="shared" si="1435"/>
        <v>1</v>
      </c>
      <c r="ACU185" s="14">
        <f t="shared" si="1435"/>
        <v>1</v>
      </c>
      <c r="ACV185" s="14">
        <f t="shared" si="1435"/>
        <v>1</v>
      </c>
      <c r="ACW185" s="14">
        <f t="shared" si="1435"/>
        <v>1</v>
      </c>
      <c r="ACX185" s="14">
        <f t="shared" si="1435"/>
        <v>1</v>
      </c>
      <c r="ACY185" s="14">
        <f t="shared" si="1435"/>
        <v>1</v>
      </c>
      <c r="ACZ185" s="14">
        <f t="shared" si="1435"/>
        <v>1</v>
      </c>
      <c r="ADA185" s="14">
        <f t="shared" si="1435"/>
        <v>1</v>
      </c>
      <c r="ADB185" s="14">
        <f t="shared" si="1435"/>
        <v>1</v>
      </c>
      <c r="ADC185" s="14">
        <f t="shared" si="1435"/>
        <v>1</v>
      </c>
      <c r="ADE185" s="14">
        <f>IF( NOT(EXACT(ADE36,"CS_SWITCH_REQUESTED_E")),1,0)</f>
        <v>1</v>
      </c>
      <c r="ADI185" s="14">
        <f>IF( NOT(EXACT(ADI36,"CS_SWITCH_REQUESTED_E")),1,0)</f>
        <v>1</v>
      </c>
      <c r="ADS185" s="14">
        <f t="shared" ref="ADS185:AFM185" si="1436">IF( NOT(EXACT(ADS36,"CS_SWITCH_REQUESTED_E")),1,0)</f>
        <v>1</v>
      </c>
      <c r="ADT185" s="14">
        <f t="shared" si="1436"/>
        <v>1</v>
      </c>
      <c r="ADU185" s="14">
        <f t="shared" si="1436"/>
        <v>1</v>
      </c>
      <c r="ADV185" s="14">
        <f t="shared" si="1436"/>
        <v>1</v>
      </c>
      <c r="ADW185" s="14">
        <f t="shared" si="1436"/>
        <v>1</v>
      </c>
      <c r="ADX185" s="14">
        <f t="shared" si="1436"/>
        <v>1</v>
      </c>
      <c r="ADY185" s="14">
        <f t="shared" si="1436"/>
        <v>1</v>
      </c>
      <c r="ADZ185" s="14">
        <f t="shared" si="1436"/>
        <v>1</v>
      </c>
      <c r="AEA185" s="14">
        <f t="shared" si="1436"/>
        <v>0</v>
      </c>
      <c r="AEB185" s="14">
        <f t="shared" si="1436"/>
        <v>1</v>
      </c>
      <c r="AEC185" s="14">
        <f t="shared" si="1436"/>
        <v>1</v>
      </c>
      <c r="AED185" s="14">
        <f t="shared" si="1436"/>
        <v>1</v>
      </c>
      <c r="AEE185" s="14">
        <f t="shared" si="1436"/>
        <v>1</v>
      </c>
      <c r="AEF185" s="14">
        <f t="shared" si="1436"/>
        <v>1</v>
      </c>
      <c r="AEG185" s="14">
        <f t="shared" si="1436"/>
        <v>1</v>
      </c>
      <c r="AEH185" s="14">
        <f t="shared" si="1436"/>
        <v>1</v>
      </c>
      <c r="AEI185" s="14">
        <f t="shared" si="1436"/>
        <v>1</v>
      </c>
      <c r="AEJ185" s="14">
        <f t="shared" si="1436"/>
        <v>1</v>
      </c>
      <c r="AEK185" s="14">
        <f t="shared" si="1436"/>
        <v>1</v>
      </c>
      <c r="AEL185" s="14">
        <f t="shared" si="1436"/>
        <v>1</v>
      </c>
      <c r="AEM185" s="14">
        <f t="shared" si="1436"/>
        <v>0</v>
      </c>
      <c r="AEN185" s="14">
        <f t="shared" si="1436"/>
        <v>0</v>
      </c>
      <c r="AEO185" s="14">
        <f t="shared" si="1436"/>
        <v>1</v>
      </c>
      <c r="AEP185" s="14">
        <f t="shared" si="1436"/>
        <v>0</v>
      </c>
      <c r="AEQ185" s="14">
        <f t="shared" si="1436"/>
        <v>1</v>
      </c>
      <c r="AER185" s="14">
        <f t="shared" si="1436"/>
        <v>1</v>
      </c>
      <c r="AES185" s="14">
        <f t="shared" si="1436"/>
        <v>1</v>
      </c>
      <c r="AET185" s="14">
        <f t="shared" si="1436"/>
        <v>1</v>
      </c>
      <c r="AEU185" s="14">
        <f t="shared" si="1436"/>
        <v>1</v>
      </c>
      <c r="AEV185" s="14">
        <f t="shared" si="1436"/>
        <v>1</v>
      </c>
      <c r="AEW185" s="14">
        <f t="shared" si="1436"/>
        <v>1</v>
      </c>
      <c r="AEX185" s="14">
        <f t="shared" si="1436"/>
        <v>1</v>
      </c>
      <c r="AEY185" s="14">
        <f t="shared" si="1436"/>
        <v>1</v>
      </c>
      <c r="AEZ185" s="14">
        <f t="shared" si="1436"/>
        <v>1</v>
      </c>
      <c r="AFA185" s="14">
        <f t="shared" si="1436"/>
        <v>1</v>
      </c>
      <c r="AFB185" s="14">
        <f t="shared" si="1436"/>
        <v>1</v>
      </c>
      <c r="AFC185" s="14">
        <f t="shared" si="1436"/>
        <v>1</v>
      </c>
      <c r="AFD185" s="14">
        <f t="shared" si="1436"/>
        <v>1</v>
      </c>
      <c r="AFE185" s="14">
        <f t="shared" si="1436"/>
        <v>1</v>
      </c>
      <c r="AFF185" s="14">
        <f t="shared" si="1436"/>
        <v>1</v>
      </c>
      <c r="AFG185" s="14">
        <f t="shared" si="1436"/>
        <v>1</v>
      </c>
      <c r="AFH185" s="14">
        <f t="shared" si="1436"/>
        <v>1</v>
      </c>
      <c r="AFI185" s="14">
        <f t="shared" si="1436"/>
        <v>1</v>
      </c>
      <c r="AFJ185" s="14">
        <f t="shared" si="1436"/>
        <v>1</v>
      </c>
      <c r="AFK185" s="14">
        <f t="shared" si="1436"/>
        <v>1</v>
      </c>
      <c r="AFL185" s="14">
        <f t="shared" si="1436"/>
        <v>1</v>
      </c>
      <c r="AFM185" s="14">
        <f t="shared" si="1436"/>
        <v>1</v>
      </c>
      <c r="AFO185" s="14">
        <f>IF( NOT(EXACT(AFO36,"CS_SWITCH_REQUESTED_E")),1,0)</f>
        <v>1</v>
      </c>
      <c r="AKY185" s="14">
        <f>IF( NOT(EXACT(AKY36,"CS_SWITCH_REQUESTED_E")),1,0)</f>
        <v>1</v>
      </c>
      <c r="ALN185" s="14">
        <f>IF( NOT(EXACT(ALN36,"CS_SWITCH_REQUESTED_E")),1,0)</f>
        <v>1</v>
      </c>
    </row>
    <row r="197" spans="1:1120" ht="15" customHeight="1" x14ac:dyDescent="0.25">
      <c r="D197" s="7" t="str">
        <f t="shared" ref="D197:BO197" si="1437">IF(AND(OR(EXACT(D58,"MM_SYSTEM_MODE_PUSHBACK_ATA_TAS_E"),EXACT(D58,"MM_SYSTEM_MODE_MAINTENANCE_TOWING_E"),EXACT(D58,"MM_SYSTEM_MODE_PUSHBACK_ATA_BW_E")),D58&lt;&gt;C58),"TRUE","FALSE")</f>
        <v>FALSE</v>
      </c>
      <c r="E197" s="7" t="str">
        <f t="shared" si="1437"/>
        <v>FALSE</v>
      </c>
      <c r="F197" s="7" t="str">
        <f t="shared" si="1437"/>
        <v>FALSE</v>
      </c>
      <c r="G197" s="7" t="str">
        <f t="shared" si="1437"/>
        <v>FALSE</v>
      </c>
      <c r="H197" s="7" t="str">
        <f t="shared" si="1437"/>
        <v>FALSE</v>
      </c>
      <c r="I197" s="7" t="str">
        <f t="shared" si="1437"/>
        <v>FALSE</v>
      </c>
      <c r="J197" s="7" t="str">
        <f t="shared" si="1437"/>
        <v>FALSE</v>
      </c>
      <c r="K197" s="7" t="str">
        <f t="shared" si="1437"/>
        <v>FALSE</v>
      </c>
      <c r="L197" s="7" t="str">
        <f t="shared" si="1437"/>
        <v>FALSE</v>
      </c>
      <c r="M197" s="7" t="str">
        <f t="shared" si="1437"/>
        <v>FALSE</v>
      </c>
      <c r="N197" s="7" t="str">
        <f t="shared" si="1437"/>
        <v>FALSE</v>
      </c>
      <c r="O197" s="7" t="str">
        <f t="shared" si="1437"/>
        <v>FALSE</v>
      </c>
      <c r="P197" s="7" t="str">
        <f t="shared" si="1437"/>
        <v>FALSE</v>
      </c>
      <c r="Q197" s="7" t="str">
        <f t="shared" si="1437"/>
        <v>FALSE</v>
      </c>
      <c r="R197" s="7" t="str">
        <f t="shared" si="1437"/>
        <v>FALSE</v>
      </c>
      <c r="S197" s="7" t="str">
        <f t="shared" si="1437"/>
        <v>FALSE</v>
      </c>
      <c r="T197" s="7" t="str">
        <f t="shared" si="1437"/>
        <v>FALSE</v>
      </c>
      <c r="U197" s="7" t="str">
        <f t="shared" si="1437"/>
        <v>FALSE</v>
      </c>
      <c r="V197" s="7" t="str">
        <f t="shared" si="1437"/>
        <v>FALSE</v>
      </c>
      <c r="W197" s="7" t="str">
        <f t="shared" si="1437"/>
        <v>FALSE</v>
      </c>
      <c r="X197" s="7" t="str">
        <f t="shared" si="1437"/>
        <v>FALSE</v>
      </c>
      <c r="Y197" s="7" t="str">
        <f t="shared" si="1437"/>
        <v>FALSE</v>
      </c>
      <c r="Z197" s="7" t="str">
        <f t="shared" si="1437"/>
        <v>FALSE</v>
      </c>
      <c r="AA197" s="7" t="str">
        <f t="shared" si="1437"/>
        <v>FALSE</v>
      </c>
      <c r="AB197" s="7" t="str">
        <f t="shared" si="1437"/>
        <v>FALSE</v>
      </c>
      <c r="AC197" s="7" t="str">
        <f t="shared" si="1437"/>
        <v>FALSE</v>
      </c>
      <c r="AD197" s="7" t="str">
        <f t="shared" si="1437"/>
        <v>FALSE</v>
      </c>
      <c r="AE197" s="7" t="str">
        <f t="shared" si="1437"/>
        <v>FALSE</v>
      </c>
      <c r="AF197" s="7" t="str">
        <f t="shared" si="1437"/>
        <v>FALSE</v>
      </c>
      <c r="AG197" s="7" t="str">
        <f t="shared" si="1437"/>
        <v>FALSE</v>
      </c>
      <c r="AH197" s="7" t="str">
        <f t="shared" si="1437"/>
        <v>FALSE</v>
      </c>
      <c r="AI197" s="7" t="str">
        <f t="shared" si="1437"/>
        <v>FALSE</v>
      </c>
      <c r="AJ197" s="7" t="str">
        <f t="shared" si="1437"/>
        <v>FALSE</v>
      </c>
      <c r="AK197" s="7" t="str">
        <f t="shared" si="1437"/>
        <v>FALSE</v>
      </c>
      <c r="AL197" s="7" t="str">
        <f t="shared" si="1437"/>
        <v>FALSE</v>
      </c>
      <c r="AM197" s="7" t="str">
        <f t="shared" si="1437"/>
        <v>FALSE</v>
      </c>
      <c r="AN197" s="7" t="str">
        <f t="shared" si="1437"/>
        <v>FALSE</v>
      </c>
      <c r="AO197" s="7" t="str">
        <f t="shared" si="1437"/>
        <v>FALSE</v>
      </c>
      <c r="AP197" s="7" t="str">
        <f t="shared" si="1437"/>
        <v>FALSE</v>
      </c>
      <c r="AQ197" s="7" t="str">
        <f t="shared" si="1437"/>
        <v>FALSE</v>
      </c>
      <c r="AR197" s="7" t="str">
        <f t="shared" si="1437"/>
        <v>FALSE</v>
      </c>
      <c r="AS197" s="7" t="str">
        <f t="shared" si="1437"/>
        <v>FALSE</v>
      </c>
      <c r="AT197" s="7" t="str">
        <f t="shared" si="1437"/>
        <v>FALSE</v>
      </c>
      <c r="AU197" s="7" t="str">
        <f t="shared" si="1437"/>
        <v>FALSE</v>
      </c>
      <c r="AV197" s="7" t="str">
        <f t="shared" si="1437"/>
        <v>FALSE</v>
      </c>
      <c r="AW197" s="7" t="str">
        <f t="shared" si="1437"/>
        <v>FALSE</v>
      </c>
      <c r="AX197" s="7" t="str">
        <f t="shared" si="1437"/>
        <v>FALSE</v>
      </c>
      <c r="AY197" s="7" t="str">
        <f t="shared" si="1437"/>
        <v>FALSE</v>
      </c>
      <c r="AZ197" s="7" t="str">
        <f t="shared" si="1437"/>
        <v>FALSE</v>
      </c>
      <c r="BA197" s="7" t="str">
        <f t="shared" si="1437"/>
        <v>FALSE</v>
      </c>
      <c r="BB197" s="7" t="str">
        <f t="shared" si="1437"/>
        <v>FALSE</v>
      </c>
      <c r="BC197" s="7" t="str">
        <f t="shared" si="1437"/>
        <v>FALSE</v>
      </c>
      <c r="BD197" s="7" t="str">
        <f t="shared" si="1437"/>
        <v>FALSE</v>
      </c>
      <c r="BE197" s="7" t="str">
        <f t="shared" si="1437"/>
        <v>FALSE</v>
      </c>
      <c r="BF197" s="7" t="str">
        <f t="shared" si="1437"/>
        <v>FALSE</v>
      </c>
      <c r="BG197" s="7" t="str">
        <f t="shared" si="1437"/>
        <v>FALSE</v>
      </c>
      <c r="BH197" s="7" t="str">
        <f t="shared" si="1437"/>
        <v>FALSE</v>
      </c>
      <c r="BI197" s="7" t="str">
        <f t="shared" si="1437"/>
        <v>FALSE</v>
      </c>
      <c r="BJ197" s="7" t="str">
        <f t="shared" si="1437"/>
        <v>FALSE</v>
      </c>
      <c r="BK197" s="7" t="str">
        <f t="shared" si="1437"/>
        <v>FALSE</v>
      </c>
      <c r="BL197" s="7" t="str">
        <f t="shared" si="1437"/>
        <v>FALSE</v>
      </c>
      <c r="BM197" s="7" t="str">
        <f t="shared" si="1437"/>
        <v>FALSE</v>
      </c>
      <c r="BN197" s="7" t="str">
        <f t="shared" si="1437"/>
        <v>FALSE</v>
      </c>
      <c r="BO197" s="7" t="str">
        <f t="shared" si="1437"/>
        <v>FALSE</v>
      </c>
      <c r="BP197" s="7" t="str">
        <f t="shared" ref="BP197:EA197" si="1438">IF(AND(OR(EXACT(BP58,"MM_SYSTEM_MODE_PUSHBACK_ATA_TAS_E"),EXACT(BP58,"MM_SYSTEM_MODE_MAINTENANCE_TOWING_E"),EXACT(BP58,"MM_SYSTEM_MODE_PUSHBACK_ATA_BW_E")),BP58&lt;&gt;BO58),"TRUE","FALSE")</f>
        <v>FALSE</v>
      </c>
      <c r="BQ197" s="7" t="str">
        <f t="shared" si="1438"/>
        <v>FALSE</v>
      </c>
      <c r="BR197" s="7" t="str">
        <f t="shared" si="1438"/>
        <v>FALSE</v>
      </c>
      <c r="BS197" s="7" t="str">
        <f t="shared" si="1438"/>
        <v>FALSE</v>
      </c>
      <c r="BT197" s="7" t="str">
        <f t="shared" si="1438"/>
        <v>FALSE</v>
      </c>
      <c r="BU197" s="7" t="str">
        <f t="shared" si="1438"/>
        <v>FALSE</v>
      </c>
      <c r="BV197" s="7" t="str">
        <f t="shared" si="1438"/>
        <v>FALSE</v>
      </c>
      <c r="BW197" s="7" t="str">
        <f t="shared" si="1438"/>
        <v>FALSE</v>
      </c>
      <c r="BX197" s="7" t="str">
        <f t="shared" si="1438"/>
        <v>FALSE</v>
      </c>
      <c r="BY197" s="7" t="str">
        <f t="shared" si="1438"/>
        <v>FALSE</v>
      </c>
      <c r="BZ197" s="7" t="str">
        <f t="shared" si="1438"/>
        <v>FALSE</v>
      </c>
      <c r="CA197" s="7" t="str">
        <f t="shared" si="1438"/>
        <v>FALSE</v>
      </c>
      <c r="CB197" s="7" t="str">
        <f t="shared" si="1438"/>
        <v>FALSE</v>
      </c>
      <c r="CC197" s="7" t="str">
        <f t="shared" si="1438"/>
        <v>FALSE</v>
      </c>
      <c r="CD197" s="7" t="str">
        <f t="shared" si="1438"/>
        <v>FALSE</v>
      </c>
      <c r="CE197" s="7" t="str">
        <f t="shared" si="1438"/>
        <v>FALSE</v>
      </c>
      <c r="CF197" s="7" t="str">
        <f t="shared" si="1438"/>
        <v>FALSE</v>
      </c>
      <c r="CG197" s="7" t="str">
        <f t="shared" si="1438"/>
        <v>FALSE</v>
      </c>
      <c r="CH197" s="7" t="str">
        <f t="shared" si="1438"/>
        <v>FALSE</v>
      </c>
      <c r="CI197" s="7" t="str">
        <f t="shared" si="1438"/>
        <v>FALSE</v>
      </c>
      <c r="CJ197" s="7" t="str">
        <f t="shared" si="1438"/>
        <v>FALSE</v>
      </c>
      <c r="CK197" s="7" t="str">
        <f t="shared" si="1438"/>
        <v>FALSE</v>
      </c>
      <c r="CL197" s="7" t="str">
        <f t="shared" si="1438"/>
        <v>FALSE</v>
      </c>
      <c r="CM197" s="7" t="str">
        <f t="shared" si="1438"/>
        <v>FALSE</v>
      </c>
      <c r="CN197" s="7" t="str">
        <f t="shared" si="1438"/>
        <v>FALSE</v>
      </c>
      <c r="CO197" s="7" t="str">
        <f t="shared" si="1438"/>
        <v>FALSE</v>
      </c>
      <c r="CP197" s="7" t="str">
        <f t="shared" si="1438"/>
        <v>FALSE</v>
      </c>
      <c r="CQ197" s="7" t="str">
        <f t="shared" si="1438"/>
        <v>FALSE</v>
      </c>
      <c r="CR197" s="7" t="str">
        <f t="shared" si="1438"/>
        <v>FALSE</v>
      </c>
      <c r="CS197" s="7" t="str">
        <f t="shared" si="1438"/>
        <v>FALSE</v>
      </c>
      <c r="CT197" s="7" t="str">
        <f t="shared" si="1438"/>
        <v>FALSE</v>
      </c>
      <c r="CU197" s="7" t="str">
        <f t="shared" si="1438"/>
        <v>FALSE</v>
      </c>
      <c r="CV197" s="7" t="str">
        <f t="shared" si="1438"/>
        <v>FALSE</v>
      </c>
      <c r="CW197" s="7" t="str">
        <f t="shared" si="1438"/>
        <v>FALSE</v>
      </c>
      <c r="CX197" s="7" t="str">
        <f t="shared" si="1438"/>
        <v>FALSE</v>
      </c>
      <c r="CY197" s="7" t="str">
        <f t="shared" si="1438"/>
        <v>FALSE</v>
      </c>
      <c r="CZ197" s="7" t="str">
        <f t="shared" si="1438"/>
        <v>FALSE</v>
      </c>
      <c r="DA197" s="7" t="str">
        <f t="shared" si="1438"/>
        <v>FALSE</v>
      </c>
      <c r="DB197" s="7" t="str">
        <f t="shared" si="1438"/>
        <v>FALSE</v>
      </c>
      <c r="DC197" s="7" t="str">
        <f t="shared" si="1438"/>
        <v>FALSE</v>
      </c>
      <c r="DD197" s="7" t="str">
        <f t="shared" si="1438"/>
        <v>FALSE</v>
      </c>
      <c r="DE197" s="7" t="str">
        <f t="shared" si="1438"/>
        <v>FALSE</v>
      </c>
      <c r="DF197" s="7" t="str">
        <f t="shared" si="1438"/>
        <v>FALSE</v>
      </c>
      <c r="DG197" s="7" t="str">
        <f t="shared" si="1438"/>
        <v>FALSE</v>
      </c>
      <c r="DH197" s="7" t="str">
        <f t="shared" si="1438"/>
        <v>FALSE</v>
      </c>
      <c r="DI197" s="7" t="str">
        <f t="shared" si="1438"/>
        <v>FALSE</v>
      </c>
      <c r="DJ197" s="7" t="str">
        <f t="shared" si="1438"/>
        <v>FALSE</v>
      </c>
      <c r="DK197" s="7" t="str">
        <f t="shared" si="1438"/>
        <v>FALSE</v>
      </c>
      <c r="DL197" s="7" t="str">
        <f t="shared" si="1438"/>
        <v>FALSE</v>
      </c>
      <c r="DM197" s="7" t="str">
        <f t="shared" si="1438"/>
        <v>FALSE</v>
      </c>
      <c r="DN197" s="7" t="str">
        <f t="shared" si="1438"/>
        <v>FALSE</v>
      </c>
      <c r="DO197" s="7" t="str">
        <f t="shared" si="1438"/>
        <v>FALSE</v>
      </c>
      <c r="DP197" s="7" t="str">
        <f t="shared" si="1438"/>
        <v>FALSE</v>
      </c>
      <c r="DQ197" s="7" t="str">
        <f t="shared" si="1438"/>
        <v>FALSE</v>
      </c>
      <c r="DR197" s="7" t="str">
        <f t="shared" si="1438"/>
        <v>FALSE</v>
      </c>
      <c r="DS197" s="7" t="str">
        <f t="shared" si="1438"/>
        <v>FALSE</v>
      </c>
      <c r="DT197" s="7" t="str">
        <f t="shared" si="1438"/>
        <v>FALSE</v>
      </c>
      <c r="DU197" s="7" t="str">
        <f t="shared" si="1438"/>
        <v>FALSE</v>
      </c>
      <c r="DV197" s="7" t="str">
        <f t="shared" si="1438"/>
        <v>FALSE</v>
      </c>
      <c r="DW197" s="7" t="str">
        <f t="shared" si="1438"/>
        <v>FALSE</v>
      </c>
      <c r="DX197" s="7" t="str">
        <f t="shared" si="1438"/>
        <v>FALSE</v>
      </c>
      <c r="DY197" s="7" t="str">
        <f t="shared" si="1438"/>
        <v>FALSE</v>
      </c>
      <c r="DZ197" s="7" t="str">
        <f t="shared" si="1438"/>
        <v>FALSE</v>
      </c>
      <c r="EA197" s="7" t="str">
        <f t="shared" si="1438"/>
        <v>FALSE</v>
      </c>
      <c r="EB197" s="7" t="str">
        <f t="shared" ref="EB197:GM197" si="1439">IF(AND(OR(EXACT(EB58,"MM_SYSTEM_MODE_PUSHBACK_ATA_TAS_E"),EXACT(EB58,"MM_SYSTEM_MODE_MAINTENANCE_TOWING_E"),EXACT(EB58,"MM_SYSTEM_MODE_PUSHBACK_ATA_BW_E")),EB58&lt;&gt;EA58),"TRUE","FALSE")</f>
        <v>FALSE</v>
      </c>
      <c r="EC197" s="7" t="str">
        <f t="shared" si="1439"/>
        <v>FALSE</v>
      </c>
      <c r="ED197" s="7" t="str">
        <f t="shared" si="1439"/>
        <v>FALSE</v>
      </c>
      <c r="EE197" s="7" t="str">
        <f t="shared" si="1439"/>
        <v>FALSE</v>
      </c>
      <c r="EF197" s="7" t="str">
        <f t="shared" si="1439"/>
        <v>FALSE</v>
      </c>
      <c r="EG197" s="7" t="str">
        <f t="shared" si="1439"/>
        <v>FALSE</v>
      </c>
      <c r="EH197" s="7" t="str">
        <f t="shared" si="1439"/>
        <v>FALSE</v>
      </c>
      <c r="EI197" s="7" t="str">
        <f t="shared" si="1439"/>
        <v>FALSE</v>
      </c>
      <c r="EJ197" s="7" t="str">
        <f t="shared" si="1439"/>
        <v>FALSE</v>
      </c>
      <c r="EK197" s="7" t="str">
        <f t="shared" si="1439"/>
        <v>FALSE</v>
      </c>
      <c r="EL197" s="7" t="str">
        <f t="shared" si="1439"/>
        <v>FALSE</v>
      </c>
      <c r="EM197" s="7" t="str">
        <f t="shared" si="1439"/>
        <v>FALSE</v>
      </c>
      <c r="EN197" s="7" t="str">
        <f t="shared" si="1439"/>
        <v>FALSE</v>
      </c>
      <c r="EO197" s="7" t="str">
        <f t="shared" si="1439"/>
        <v>FALSE</v>
      </c>
      <c r="EP197" s="7" t="str">
        <f t="shared" si="1439"/>
        <v>FALSE</v>
      </c>
      <c r="EQ197" s="7" t="str">
        <f t="shared" si="1439"/>
        <v>FALSE</v>
      </c>
      <c r="ER197" s="7" t="str">
        <f t="shared" si="1439"/>
        <v>FALSE</v>
      </c>
      <c r="ES197" s="7" t="str">
        <f t="shared" si="1439"/>
        <v>FALSE</v>
      </c>
      <c r="ET197" s="7" t="str">
        <f t="shared" si="1439"/>
        <v>FALSE</v>
      </c>
      <c r="EU197" s="7" t="str">
        <f t="shared" si="1439"/>
        <v>FALSE</v>
      </c>
      <c r="EV197" s="7" t="str">
        <f t="shared" si="1439"/>
        <v>FALSE</v>
      </c>
      <c r="EW197" s="7" t="str">
        <f t="shared" si="1439"/>
        <v>FALSE</v>
      </c>
      <c r="EX197" s="7" t="str">
        <f t="shared" si="1439"/>
        <v>FALSE</v>
      </c>
      <c r="EY197" s="7" t="str">
        <f t="shared" si="1439"/>
        <v>FALSE</v>
      </c>
      <c r="EZ197" s="7" t="str">
        <f t="shared" si="1439"/>
        <v>FALSE</v>
      </c>
      <c r="FA197" s="7" t="str">
        <f t="shared" si="1439"/>
        <v>FALSE</v>
      </c>
      <c r="FB197" s="7" t="str">
        <f t="shared" si="1439"/>
        <v>FALSE</v>
      </c>
      <c r="FC197" s="7" t="str">
        <f t="shared" si="1439"/>
        <v>FALSE</v>
      </c>
      <c r="FD197" s="7" t="str">
        <f t="shared" si="1439"/>
        <v>FALSE</v>
      </c>
      <c r="FE197" s="7" t="str">
        <f t="shared" si="1439"/>
        <v>FALSE</v>
      </c>
      <c r="FF197" s="7" t="str">
        <f t="shared" si="1439"/>
        <v>FALSE</v>
      </c>
      <c r="FG197" s="7" t="str">
        <f t="shared" si="1439"/>
        <v>FALSE</v>
      </c>
      <c r="FH197" s="7" t="str">
        <f t="shared" si="1439"/>
        <v>FALSE</v>
      </c>
      <c r="FI197" s="7" t="str">
        <f t="shared" si="1439"/>
        <v>FALSE</v>
      </c>
      <c r="FJ197" s="7" t="str">
        <f t="shared" si="1439"/>
        <v>FALSE</v>
      </c>
      <c r="FK197" s="7" t="str">
        <f t="shared" si="1439"/>
        <v>FALSE</v>
      </c>
      <c r="FL197" s="7" t="str">
        <f t="shared" si="1439"/>
        <v>FALSE</v>
      </c>
      <c r="FM197" s="7" t="str">
        <f t="shared" si="1439"/>
        <v>FALSE</v>
      </c>
      <c r="FN197" s="7" t="str">
        <f t="shared" si="1439"/>
        <v>FALSE</v>
      </c>
      <c r="FO197" s="7" t="str">
        <f t="shared" si="1439"/>
        <v>FALSE</v>
      </c>
      <c r="FP197" s="7" t="str">
        <f t="shared" si="1439"/>
        <v>FALSE</v>
      </c>
      <c r="FQ197" s="7" t="str">
        <f t="shared" si="1439"/>
        <v>FALSE</v>
      </c>
      <c r="FR197" s="7" t="str">
        <f t="shared" si="1439"/>
        <v>FALSE</v>
      </c>
      <c r="FS197" s="7" t="str">
        <f t="shared" si="1439"/>
        <v>FALSE</v>
      </c>
      <c r="FT197" s="7" t="str">
        <f t="shared" si="1439"/>
        <v>FALSE</v>
      </c>
      <c r="FU197" s="7" t="str">
        <f t="shared" si="1439"/>
        <v>FALSE</v>
      </c>
      <c r="FV197" s="7" t="str">
        <f t="shared" si="1439"/>
        <v>FALSE</v>
      </c>
      <c r="FW197" s="7" t="str">
        <f t="shared" si="1439"/>
        <v>FALSE</v>
      </c>
      <c r="FX197" s="7" t="str">
        <f t="shared" si="1439"/>
        <v>FALSE</v>
      </c>
      <c r="FY197" s="7" t="str">
        <f t="shared" si="1439"/>
        <v>FALSE</v>
      </c>
      <c r="FZ197" s="7" t="str">
        <f t="shared" si="1439"/>
        <v>FALSE</v>
      </c>
      <c r="GA197" s="7" t="str">
        <f t="shared" si="1439"/>
        <v>FALSE</v>
      </c>
      <c r="GB197" s="7" t="str">
        <f t="shared" si="1439"/>
        <v>FALSE</v>
      </c>
      <c r="GC197" s="7" t="str">
        <f t="shared" si="1439"/>
        <v>FALSE</v>
      </c>
      <c r="GD197" s="7" t="str">
        <f t="shared" si="1439"/>
        <v>FALSE</v>
      </c>
      <c r="GE197" s="7" t="str">
        <f t="shared" si="1439"/>
        <v>FALSE</v>
      </c>
      <c r="GF197" s="7" t="str">
        <f t="shared" si="1439"/>
        <v>FALSE</v>
      </c>
      <c r="GG197" s="7" t="str">
        <f t="shared" si="1439"/>
        <v>FALSE</v>
      </c>
      <c r="GH197" s="7" t="str">
        <f t="shared" si="1439"/>
        <v>FALSE</v>
      </c>
      <c r="GI197" s="7" t="str">
        <f t="shared" si="1439"/>
        <v>FALSE</v>
      </c>
      <c r="GJ197" s="7" t="str">
        <f t="shared" si="1439"/>
        <v>FALSE</v>
      </c>
      <c r="GK197" s="7" t="str">
        <f t="shared" si="1439"/>
        <v>FALSE</v>
      </c>
      <c r="GL197" s="7" t="str">
        <f t="shared" si="1439"/>
        <v>FALSE</v>
      </c>
      <c r="GM197" s="7" t="str">
        <f t="shared" si="1439"/>
        <v>FALSE</v>
      </c>
      <c r="GN197" s="7" t="str">
        <f t="shared" ref="GN197:IY197" si="1440">IF(AND(OR(EXACT(GN58,"MM_SYSTEM_MODE_PUSHBACK_ATA_TAS_E"),EXACT(GN58,"MM_SYSTEM_MODE_MAINTENANCE_TOWING_E"),EXACT(GN58,"MM_SYSTEM_MODE_PUSHBACK_ATA_BW_E")),GN58&lt;&gt;GM58),"TRUE","FALSE")</f>
        <v>FALSE</v>
      </c>
      <c r="GO197" s="7" t="str">
        <f t="shared" si="1440"/>
        <v>FALSE</v>
      </c>
      <c r="GP197" s="7" t="str">
        <f t="shared" si="1440"/>
        <v>FALSE</v>
      </c>
      <c r="GQ197" s="7" t="str">
        <f t="shared" si="1440"/>
        <v>FALSE</v>
      </c>
      <c r="GR197" s="7" t="str">
        <f t="shared" si="1440"/>
        <v>FALSE</v>
      </c>
      <c r="GS197" s="7" t="str">
        <f t="shared" si="1440"/>
        <v>FALSE</v>
      </c>
      <c r="GT197" s="7" t="str">
        <f t="shared" si="1440"/>
        <v>FALSE</v>
      </c>
      <c r="GU197" s="7" t="str">
        <f t="shared" si="1440"/>
        <v>FALSE</v>
      </c>
      <c r="GV197" s="7" t="str">
        <f t="shared" si="1440"/>
        <v>FALSE</v>
      </c>
      <c r="GW197" s="7" t="str">
        <f t="shared" si="1440"/>
        <v>FALSE</v>
      </c>
      <c r="GX197" s="7" t="str">
        <f t="shared" si="1440"/>
        <v>FALSE</v>
      </c>
      <c r="GY197" s="7" t="str">
        <f t="shared" si="1440"/>
        <v>FALSE</v>
      </c>
      <c r="GZ197" s="7" t="str">
        <f t="shared" si="1440"/>
        <v>FALSE</v>
      </c>
      <c r="HA197" s="7" t="str">
        <f t="shared" si="1440"/>
        <v>FALSE</v>
      </c>
      <c r="HB197" s="7" t="str">
        <f t="shared" si="1440"/>
        <v>FALSE</v>
      </c>
      <c r="HC197" s="7" t="str">
        <f t="shared" si="1440"/>
        <v>FALSE</v>
      </c>
      <c r="HD197" s="7" t="str">
        <f t="shared" si="1440"/>
        <v>FALSE</v>
      </c>
      <c r="HE197" s="7" t="str">
        <f t="shared" si="1440"/>
        <v>FALSE</v>
      </c>
      <c r="HF197" s="7" t="str">
        <f t="shared" si="1440"/>
        <v>FALSE</v>
      </c>
      <c r="HG197" s="7" t="str">
        <f t="shared" si="1440"/>
        <v>FALSE</v>
      </c>
      <c r="HH197" s="7" t="str">
        <f t="shared" si="1440"/>
        <v>FALSE</v>
      </c>
      <c r="HI197" s="7" t="str">
        <f t="shared" si="1440"/>
        <v>FALSE</v>
      </c>
      <c r="HJ197" s="7" t="str">
        <f t="shared" si="1440"/>
        <v>FALSE</v>
      </c>
      <c r="HK197" s="7" t="str">
        <f t="shared" si="1440"/>
        <v>FALSE</v>
      </c>
      <c r="HL197" s="7" t="str">
        <f t="shared" si="1440"/>
        <v>FALSE</v>
      </c>
      <c r="HM197" s="7" t="str">
        <f t="shared" si="1440"/>
        <v>FALSE</v>
      </c>
      <c r="HN197" s="7" t="str">
        <f t="shared" si="1440"/>
        <v>FALSE</v>
      </c>
      <c r="HO197" s="7" t="str">
        <f t="shared" si="1440"/>
        <v>FALSE</v>
      </c>
      <c r="HP197" s="7" t="str">
        <f t="shared" si="1440"/>
        <v>FALSE</v>
      </c>
      <c r="HQ197" s="7" t="str">
        <f t="shared" si="1440"/>
        <v>FALSE</v>
      </c>
      <c r="HR197" s="7" t="str">
        <f t="shared" si="1440"/>
        <v>FALSE</v>
      </c>
      <c r="HS197" s="7" t="str">
        <f t="shared" si="1440"/>
        <v>FALSE</v>
      </c>
      <c r="HT197" s="7" t="str">
        <f t="shared" si="1440"/>
        <v>FALSE</v>
      </c>
      <c r="HU197" s="7" t="str">
        <f t="shared" si="1440"/>
        <v>FALSE</v>
      </c>
      <c r="HV197" s="7" t="str">
        <f t="shared" si="1440"/>
        <v>FALSE</v>
      </c>
      <c r="HW197" s="7" t="str">
        <f t="shared" si="1440"/>
        <v>FALSE</v>
      </c>
      <c r="HX197" s="7" t="str">
        <f t="shared" si="1440"/>
        <v>FALSE</v>
      </c>
      <c r="HY197" s="7" t="str">
        <f t="shared" si="1440"/>
        <v>FALSE</v>
      </c>
      <c r="HZ197" s="7" t="str">
        <f t="shared" si="1440"/>
        <v>FALSE</v>
      </c>
      <c r="IA197" s="7" t="str">
        <f t="shared" si="1440"/>
        <v>FALSE</v>
      </c>
      <c r="IB197" s="7" t="str">
        <f t="shared" si="1440"/>
        <v>FALSE</v>
      </c>
      <c r="IC197" s="7" t="str">
        <f t="shared" si="1440"/>
        <v>FALSE</v>
      </c>
      <c r="ID197" s="7" t="str">
        <f t="shared" si="1440"/>
        <v>FALSE</v>
      </c>
      <c r="IE197" s="7" t="str">
        <f t="shared" si="1440"/>
        <v>FALSE</v>
      </c>
      <c r="IF197" s="7" t="str">
        <f t="shared" si="1440"/>
        <v>FALSE</v>
      </c>
      <c r="IG197" s="7" t="str">
        <f t="shared" si="1440"/>
        <v>FALSE</v>
      </c>
      <c r="IH197" s="7" t="str">
        <f t="shared" si="1440"/>
        <v>FALSE</v>
      </c>
      <c r="II197" s="7" t="str">
        <f t="shared" si="1440"/>
        <v>FALSE</v>
      </c>
      <c r="IJ197" s="7" t="str">
        <f t="shared" si="1440"/>
        <v>FALSE</v>
      </c>
      <c r="IK197" s="7" t="str">
        <f t="shared" si="1440"/>
        <v>FALSE</v>
      </c>
      <c r="IL197" s="7" t="str">
        <f t="shared" si="1440"/>
        <v>FALSE</v>
      </c>
      <c r="IM197" s="7" t="str">
        <f t="shared" si="1440"/>
        <v>FALSE</v>
      </c>
      <c r="IN197" s="7" t="str">
        <f t="shared" si="1440"/>
        <v>FALSE</v>
      </c>
      <c r="IO197" s="7" t="str">
        <f t="shared" si="1440"/>
        <v>FALSE</v>
      </c>
      <c r="IP197" s="7" t="str">
        <f t="shared" si="1440"/>
        <v>FALSE</v>
      </c>
      <c r="IQ197" s="7" t="str">
        <f t="shared" si="1440"/>
        <v>FALSE</v>
      </c>
      <c r="IR197" s="7" t="str">
        <f t="shared" si="1440"/>
        <v>FALSE</v>
      </c>
      <c r="IS197" s="7" t="str">
        <f t="shared" si="1440"/>
        <v>FALSE</v>
      </c>
      <c r="IT197" s="7" t="str">
        <f t="shared" si="1440"/>
        <v>FALSE</v>
      </c>
      <c r="IU197" s="7" t="str">
        <f t="shared" si="1440"/>
        <v>FALSE</v>
      </c>
      <c r="IV197" s="7" t="str">
        <f t="shared" si="1440"/>
        <v>FALSE</v>
      </c>
      <c r="IW197" s="7" t="str">
        <f t="shared" si="1440"/>
        <v>FALSE</v>
      </c>
      <c r="IX197" s="7" t="str">
        <f t="shared" si="1440"/>
        <v>FALSE</v>
      </c>
      <c r="IY197" s="7" t="str">
        <f t="shared" si="1440"/>
        <v>FALSE</v>
      </c>
      <c r="IZ197" s="7" t="str">
        <f t="shared" ref="IZ197:LK197" si="1441">IF(AND(OR(EXACT(IZ58,"MM_SYSTEM_MODE_PUSHBACK_ATA_TAS_E"),EXACT(IZ58,"MM_SYSTEM_MODE_MAINTENANCE_TOWING_E"),EXACT(IZ58,"MM_SYSTEM_MODE_PUSHBACK_ATA_BW_E")),IZ58&lt;&gt;IY58),"TRUE","FALSE")</f>
        <v>FALSE</v>
      </c>
      <c r="JA197" s="7" t="str">
        <f t="shared" si="1441"/>
        <v>FALSE</v>
      </c>
      <c r="JB197" s="7" t="str">
        <f t="shared" si="1441"/>
        <v>FALSE</v>
      </c>
      <c r="JC197" s="7" t="str">
        <f t="shared" si="1441"/>
        <v>FALSE</v>
      </c>
      <c r="JD197" s="7" t="str">
        <f t="shared" si="1441"/>
        <v>FALSE</v>
      </c>
      <c r="JE197" s="7" t="str">
        <f t="shared" si="1441"/>
        <v>FALSE</v>
      </c>
      <c r="JF197" s="7" t="str">
        <f t="shared" si="1441"/>
        <v>FALSE</v>
      </c>
      <c r="JG197" s="7" t="str">
        <f t="shared" si="1441"/>
        <v>FALSE</v>
      </c>
      <c r="JH197" s="7" t="str">
        <f t="shared" si="1441"/>
        <v>FALSE</v>
      </c>
      <c r="JI197" s="7" t="str">
        <f t="shared" si="1441"/>
        <v>FALSE</v>
      </c>
      <c r="JJ197" s="7" t="str">
        <f t="shared" si="1441"/>
        <v>FALSE</v>
      </c>
      <c r="JK197" s="7" t="str">
        <f t="shared" si="1441"/>
        <v>FALSE</v>
      </c>
      <c r="JL197" s="7" t="str">
        <f t="shared" si="1441"/>
        <v>FALSE</v>
      </c>
      <c r="JM197" s="7" t="str">
        <f t="shared" si="1441"/>
        <v>FALSE</v>
      </c>
      <c r="JN197" s="7" t="str">
        <f t="shared" si="1441"/>
        <v>FALSE</v>
      </c>
      <c r="JO197" s="7" t="str">
        <f t="shared" si="1441"/>
        <v>FALSE</v>
      </c>
      <c r="JP197" s="7" t="str">
        <f t="shared" si="1441"/>
        <v>FALSE</v>
      </c>
      <c r="JQ197" s="7" t="str">
        <f t="shared" si="1441"/>
        <v>FALSE</v>
      </c>
      <c r="JR197" s="7" t="str">
        <f t="shared" si="1441"/>
        <v>FALSE</v>
      </c>
      <c r="JS197" s="7" t="str">
        <f t="shared" si="1441"/>
        <v>FALSE</v>
      </c>
      <c r="JT197" s="7" t="str">
        <f t="shared" si="1441"/>
        <v>FALSE</v>
      </c>
      <c r="JU197" s="7" t="str">
        <f t="shared" si="1441"/>
        <v>FALSE</v>
      </c>
      <c r="JV197" s="7" t="str">
        <f t="shared" si="1441"/>
        <v>FALSE</v>
      </c>
      <c r="JW197" s="7" t="str">
        <f t="shared" si="1441"/>
        <v>FALSE</v>
      </c>
      <c r="JX197" s="7" t="str">
        <f t="shared" si="1441"/>
        <v>FALSE</v>
      </c>
      <c r="JY197" s="7" t="str">
        <f t="shared" si="1441"/>
        <v>FALSE</v>
      </c>
      <c r="JZ197" s="7" t="str">
        <f t="shared" si="1441"/>
        <v>FALSE</v>
      </c>
      <c r="KA197" s="7" t="str">
        <f t="shared" si="1441"/>
        <v>FALSE</v>
      </c>
      <c r="KB197" s="7" t="str">
        <f t="shared" si="1441"/>
        <v>FALSE</v>
      </c>
      <c r="KC197" s="7" t="str">
        <f t="shared" si="1441"/>
        <v>FALSE</v>
      </c>
      <c r="KD197" s="7" t="str">
        <f t="shared" si="1441"/>
        <v>FALSE</v>
      </c>
      <c r="KE197" s="7" t="str">
        <f t="shared" si="1441"/>
        <v>FALSE</v>
      </c>
      <c r="KF197" s="7" t="str">
        <f t="shared" si="1441"/>
        <v>FALSE</v>
      </c>
      <c r="KG197" s="7" t="str">
        <f t="shared" si="1441"/>
        <v>FALSE</v>
      </c>
      <c r="KH197" s="7" t="str">
        <f t="shared" si="1441"/>
        <v>FALSE</v>
      </c>
      <c r="KI197" s="7" t="str">
        <f t="shared" si="1441"/>
        <v>FALSE</v>
      </c>
      <c r="KJ197" s="7" t="str">
        <f t="shared" si="1441"/>
        <v>FALSE</v>
      </c>
      <c r="KK197" s="7" t="str">
        <f t="shared" si="1441"/>
        <v>FALSE</v>
      </c>
      <c r="KL197" s="7" t="str">
        <f t="shared" si="1441"/>
        <v>FALSE</v>
      </c>
      <c r="KM197" s="7" t="str">
        <f t="shared" si="1441"/>
        <v>FALSE</v>
      </c>
      <c r="KN197" s="7" t="str">
        <f t="shared" si="1441"/>
        <v>FALSE</v>
      </c>
      <c r="KO197" s="7" t="str">
        <f t="shared" si="1441"/>
        <v>FALSE</v>
      </c>
      <c r="KP197" s="7" t="str">
        <f t="shared" si="1441"/>
        <v>FALSE</v>
      </c>
      <c r="KQ197" s="7" t="str">
        <f t="shared" si="1441"/>
        <v>FALSE</v>
      </c>
      <c r="KR197" s="7" t="str">
        <f t="shared" si="1441"/>
        <v>FALSE</v>
      </c>
      <c r="KS197" s="7" t="str">
        <f t="shared" si="1441"/>
        <v>FALSE</v>
      </c>
      <c r="KT197" s="7" t="str">
        <f t="shared" si="1441"/>
        <v>FALSE</v>
      </c>
      <c r="KU197" s="7" t="str">
        <f t="shared" si="1441"/>
        <v>FALSE</v>
      </c>
      <c r="KV197" s="7" t="str">
        <f t="shared" si="1441"/>
        <v>FALSE</v>
      </c>
      <c r="KW197" s="7" t="str">
        <f t="shared" si="1441"/>
        <v>FALSE</v>
      </c>
      <c r="KX197" s="7" t="str">
        <f t="shared" si="1441"/>
        <v>FALSE</v>
      </c>
      <c r="KY197" s="7" t="str">
        <f t="shared" si="1441"/>
        <v>FALSE</v>
      </c>
      <c r="KZ197" s="7" t="str">
        <f t="shared" si="1441"/>
        <v>FALSE</v>
      </c>
      <c r="LA197" s="7" t="str">
        <f t="shared" si="1441"/>
        <v>FALSE</v>
      </c>
      <c r="LB197" s="7" t="str">
        <f t="shared" si="1441"/>
        <v>FALSE</v>
      </c>
      <c r="LC197" s="7" t="str">
        <f t="shared" si="1441"/>
        <v>FALSE</v>
      </c>
      <c r="LD197" s="7" t="str">
        <f t="shared" si="1441"/>
        <v>FALSE</v>
      </c>
      <c r="LE197" s="7" t="str">
        <f t="shared" si="1441"/>
        <v>FALSE</v>
      </c>
      <c r="LF197" s="7" t="str">
        <f t="shared" si="1441"/>
        <v>FALSE</v>
      </c>
      <c r="LG197" s="7" t="str">
        <f t="shared" si="1441"/>
        <v>FALSE</v>
      </c>
      <c r="LH197" s="7" t="str">
        <f t="shared" si="1441"/>
        <v>FALSE</v>
      </c>
      <c r="LI197" s="7" t="str">
        <f t="shared" si="1441"/>
        <v>FALSE</v>
      </c>
      <c r="LJ197" s="7" t="str">
        <f t="shared" si="1441"/>
        <v>FALSE</v>
      </c>
      <c r="LK197" s="7" t="str">
        <f t="shared" si="1441"/>
        <v>FALSE</v>
      </c>
      <c r="LL197" s="7" t="str">
        <f t="shared" ref="LL197:NW197" si="1442">IF(AND(OR(EXACT(LL58,"MM_SYSTEM_MODE_PUSHBACK_ATA_TAS_E"),EXACT(LL58,"MM_SYSTEM_MODE_MAINTENANCE_TOWING_E"),EXACT(LL58,"MM_SYSTEM_MODE_PUSHBACK_ATA_BW_E")),LL58&lt;&gt;LK58),"TRUE","FALSE")</f>
        <v>FALSE</v>
      </c>
      <c r="LM197" s="7" t="str">
        <f t="shared" si="1442"/>
        <v>FALSE</v>
      </c>
      <c r="LN197" s="7" t="str">
        <f t="shared" si="1442"/>
        <v>FALSE</v>
      </c>
      <c r="LO197" s="7" t="str">
        <f t="shared" si="1442"/>
        <v>FALSE</v>
      </c>
      <c r="LP197" s="7" t="str">
        <f t="shared" si="1442"/>
        <v>FALSE</v>
      </c>
      <c r="LQ197" s="7" t="str">
        <f t="shared" si="1442"/>
        <v>FALSE</v>
      </c>
      <c r="LR197" s="7" t="str">
        <f t="shared" si="1442"/>
        <v>FALSE</v>
      </c>
      <c r="LS197" s="7" t="str">
        <f t="shared" si="1442"/>
        <v>FALSE</v>
      </c>
      <c r="LT197" s="7" t="str">
        <f t="shared" si="1442"/>
        <v>FALSE</v>
      </c>
      <c r="LU197" s="7" t="str">
        <f t="shared" si="1442"/>
        <v>FALSE</v>
      </c>
      <c r="LV197" s="7" t="str">
        <f t="shared" si="1442"/>
        <v>FALSE</v>
      </c>
      <c r="LW197" s="7" t="str">
        <f t="shared" si="1442"/>
        <v>FALSE</v>
      </c>
      <c r="LX197" s="7" t="str">
        <f t="shared" si="1442"/>
        <v>FALSE</v>
      </c>
      <c r="LY197" s="7" t="str">
        <f t="shared" si="1442"/>
        <v>FALSE</v>
      </c>
      <c r="LZ197" s="7" t="str">
        <f t="shared" si="1442"/>
        <v>FALSE</v>
      </c>
      <c r="MA197" s="7" t="str">
        <f t="shared" si="1442"/>
        <v>FALSE</v>
      </c>
      <c r="MB197" s="7" t="str">
        <f t="shared" si="1442"/>
        <v>FALSE</v>
      </c>
      <c r="MC197" s="7" t="str">
        <f t="shared" si="1442"/>
        <v>FALSE</v>
      </c>
      <c r="MD197" s="7" t="str">
        <f t="shared" si="1442"/>
        <v>FALSE</v>
      </c>
      <c r="ME197" s="7" t="str">
        <f t="shared" si="1442"/>
        <v>FALSE</v>
      </c>
      <c r="MF197" s="7" t="str">
        <f t="shared" si="1442"/>
        <v>FALSE</v>
      </c>
      <c r="MG197" s="7" t="str">
        <f t="shared" si="1442"/>
        <v>FALSE</v>
      </c>
      <c r="MH197" s="7" t="str">
        <f t="shared" si="1442"/>
        <v>FALSE</v>
      </c>
      <c r="MI197" s="7" t="str">
        <f t="shared" si="1442"/>
        <v>FALSE</v>
      </c>
      <c r="MJ197" s="7" t="str">
        <f t="shared" si="1442"/>
        <v>FALSE</v>
      </c>
      <c r="MK197" s="7" t="str">
        <f t="shared" si="1442"/>
        <v>FALSE</v>
      </c>
      <c r="ML197" s="7" t="str">
        <f t="shared" si="1442"/>
        <v>FALSE</v>
      </c>
      <c r="MM197" s="7" t="str">
        <f t="shared" si="1442"/>
        <v>FALSE</v>
      </c>
      <c r="MN197" s="7" t="str">
        <f t="shared" si="1442"/>
        <v>FALSE</v>
      </c>
      <c r="MO197" s="7" t="str">
        <f t="shared" si="1442"/>
        <v>FALSE</v>
      </c>
      <c r="MP197" s="7" t="str">
        <f t="shared" si="1442"/>
        <v>FALSE</v>
      </c>
      <c r="MQ197" s="7" t="str">
        <f t="shared" si="1442"/>
        <v>FALSE</v>
      </c>
      <c r="MR197" s="7" t="str">
        <f t="shared" si="1442"/>
        <v>FALSE</v>
      </c>
      <c r="MS197" s="7" t="str">
        <f t="shared" si="1442"/>
        <v>FALSE</v>
      </c>
      <c r="MT197" s="7" t="str">
        <f t="shared" si="1442"/>
        <v>FALSE</v>
      </c>
      <c r="MU197" s="7" t="str">
        <f t="shared" si="1442"/>
        <v>FALSE</v>
      </c>
      <c r="MV197" s="7" t="str">
        <f t="shared" si="1442"/>
        <v>FALSE</v>
      </c>
      <c r="MW197" s="7" t="str">
        <f t="shared" si="1442"/>
        <v>FALSE</v>
      </c>
      <c r="MX197" s="7" t="str">
        <f t="shared" si="1442"/>
        <v>FALSE</v>
      </c>
      <c r="MY197" s="7" t="str">
        <f t="shared" si="1442"/>
        <v>FALSE</v>
      </c>
      <c r="MZ197" s="7" t="str">
        <f t="shared" si="1442"/>
        <v>FALSE</v>
      </c>
      <c r="NA197" s="7" t="str">
        <f t="shared" si="1442"/>
        <v>FALSE</v>
      </c>
      <c r="NB197" s="7" t="str">
        <f t="shared" si="1442"/>
        <v>FALSE</v>
      </c>
      <c r="NC197" s="7" t="str">
        <f t="shared" si="1442"/>
        <v>FALSE</v>
      </c>
      <c r="ND197" s="7" t="str">
        <f t="shared" si="1442"/>
        <v>FALSE</v>
      </c>
      <c r="NE197" s="7" t="str">
        <f t="shared" si="1442"/>
        <v>FALSE</v>
      </c>
      <c r="NF197" s="7" t="str">
        <f t="shared" si="1442"/>
        <v>FALSE</v>
      </c>
      <c r="NG197" s="7" t="str">
        <f t="shared" si="1442"/>
        <v>FALSE</v>
      </c>
      <c r="NH197" s="7" t="str">
        <f t="shared" si="1442"/>
        <v>FALSE</v>
      </c>
      <c r="NI197" s="7" t="str">
        <f t="shared" si="1442"/>
        <v>FALSE</v>
      </c>
      <c r="NJ197" s="7" t="str">
        <f t="shared" si="1442"/>
        <v>FALSE</v>
      </c>
      <c r="NK197" s="7" t="str">
        <f t="shared" si="1442"/>
        <v>FALSE</v>
      </c>
      <c r="NL197" s="7" t="str">
        <f t="shared" si="1442"/>
        <v>FALSE</v>
      </c>
      <c r="NM197" s="7" t="str">
        <f t="shared" si="1442"/>
        <v>FALSE</v>
      </c>
      <c r="NN197" s="7" t="str">
        <f t="shared" si="1442"/>
        <v>TRUE</v>
      </c>
      <c r="NO197" s="7" t="str">
        <f t="shared" si="1442"/>
        <v>FALSE</v>
      </c>
      <c r="NP197" s="7" t="str">
        <f t="shared" si="1442"/>
        <v>FALSE</v>
      </c>
      <c r="NQ197" s="7" t="str">
        <f t="shared" si="1442"/>
        <v>FALSE</v>
      </c>
      <c r="NR197" s="7" t="str">
        <f t="shared" si="1442"/>
        <v>FALSE</v>
      </c>
      <c r="NS197" s="7" t="str">
        <f t="shared" si="1442"/>
        <v>TRUE</v>
      </c>
      <c r="NT197" s="7" t="str">
        <f t="shared" si="1442"/>
        <v>FALSE</v>
      </c>
      <c r="NU197" s="7" t="str">
        <f t="shared" si="1442"/>
        <v>FALSE</v>
      </c>
      <c r="NV197" s="7" t="str">
        <f t="shared" si="1442"/>
        <v>FALSE</v>
      </c>
      <c r="NW197" s="7" t="str">
        <f t="shared" si="1442"/>
        <v>FALSE</v>
      </c>
      <c r="NX197" s="7" t="str">
        <f t="shared" ref="NX197:QI197" si="1443">IF(AND(OR(EXACT(NX58,"MM_SYSTEM_MODE_PUSHBACK_ATA_TAS_E"),EXACT(NX58,"MM_SYSTEM_MODE_MAINTENANCE_TOWING_E"),EXACT(NX58,"MM_SYSTEM_MODE_PUSHBACK_ATA_BW_E")),NX58&lt;&gt;NW58),"TRUE","FALSE")</f>
        <v>FALSE</v>
      </c>
      <c r="NY197" s="7" t="str">
        <f t="shared" si="1443"/>
        <v>FALSE</v>
      </c>
      <c r="NZ197" s="7" t="str">
        <f t="shared" si="1443"/>
        <v>FALSE</v>
      </c>
      <c r="OA197" s="7" t="str">
        <f t="shared" si="1443"/>
        <v>FALSE</v>
      </c>
      <c r="OB197" s="7" t="str">
        <f t="shared" si="1443"/>
        <v>FALSE</v>
      </c>
      <c r="OC197" s="7" t="str">
        <f t="shared" si="1443"/>
        <v>FALSE</v>
      </c>
      <c r="OD197" s="7" t="str">
        <f t="shared" si="1443"/>
        <v>FALSE</v>
      </c>
      <c r="OE197" s="7" t="str">
        <f t="shared" si="1443"/>
        <v>FALSE</v>
      </c>
      <c r="OF197" s="7" t="str">
        <f t="shared" si="1443"/>
        <v>FALSE</v>
      </c>
      <c r="OG197" s="7" t="str">
        <f t="shared" si="1443"/>
        <v>FALSE</v>
      </c>
      <c r="OH197" s="7" t="str">
        <f t="shared" si="1443"/>
        <v>FALSE</v>
      </c>
      <c r="OI197" s="7" t="str">
        <f t="shared" si="1443"/>
        <v>FALSE</v>
      </c>
      <c r="OJ197" s="7" t="str">
        <f t="shared" si="1443"/>
        <v>FALSE</v>
      </c>
      <c r="OK197" s="7" t="str">
        <f t="shared" si="1443"/>
        <v>FALSE</v>
      </c>
      <c r="OL197" s="7" t="str">
        <f t="shared" si="1443"/>
        <v>FALSE</v>
      </c>
      <c r="OM197" s="7" t="str">
        <f t="shared" si="1443"/>
        <v>FALSE</v>
      </c>
      <c r="ON197" s="7" t="str">
        <f t="shared" si="1443"/>
        <v>FALSE</v>
      </c>
      <c r="OO197" s="7" t="str">
        <f t="shared" si="1443"/>
        <v>FALSE</v>
      </c>
      <c r="OP197" s="7" t="str">
        <f t="shared" si="1443"/>
        <v>FALSE</v>
      </c>
      <c r="OQ197" s="7" t="str">
        <f t="shared" si="1443"/>
        <v>FALSE</v>
      </c>
      <c r="OR197" s="7" t="str">
        <f t="shared" si="1443"/>
        <v>FALSE</v>
      </c>
      <c r="OS197" s="7" t="str">
        <f t="shared" si="1443"/>
        <v>FALSE</v>
      </c>
      <c r="OT197" s="7" t="str">
        <f t="shared" si="1443"/>
        <v>FALSE</v>
      </c>
      <c r="OU197" s="7" t="str">
        <f t="shared" si="1443"/>
        <v>FALSE</v>
      </c>
      <c r="OV197" s="7" t="str">
        <f t="shared" si="1443"/>
        <v>FALSE</v>
      </c>
      <c r="OW197" s="7" t="str">
        <f t="shared" si="1443"/>
        <v>FALSE</v>
      </c>
      <c r="OX197" s="7" t="str">
        <f t="shared" si="1443"/>
        <v>FALSE</v>
      </c>
      <c r="OY197" s="7" t="str">
        <f t="shared" si="1443"/>
        <v>FALSE</v>
      </c>
      <c r="OZ197" s="7" t="str">
        <f t="shared" si="1443"/>
        <v>FALSE</v>
      </c>
      <c r="PA197" s="7" t="str">
        <f t="shared" si="1443"/>
        <v>FALSE</v>
      </c>
      <c r="PB197" s="7" t="str">
        <f t="shared" si="1443"/>
        <v>FALSE</v>
      </c>
      <c r="PC197" s="7" t="str">
        <f t="shared" si="1443"/>
        <v>FALSE</v>
      </c>
      <c r="PD197" s="7" t="str">
        <f t="shared" si="1443"/>
        <v>FALSE</v>
      </c>
      <c r="PE197" s="7" t="str">
        <f t="shared" si="1443"/>
        <v>FALSE</v>
      </c>
      <c r="PF197" s="7" t="str">
        <f t="shared" si="1443"/>
        <v>FALSE</v>
      </c>
      <c r="PG197" s="7" t="str">
        <f t="shared" si="1443"/>
        <v>FALSE</v>
      </c>
      <c r="PH197" s="7" t="str">
        <f t="shared" si="1443"/>
        <v>FALSE</v>
      </c>
      <c r="PI197" s="7" t="str">
        <f t="shared" si="1443"/>
        <v>FALSE</v>
      </c>
      <c r="PJ197" s="7" t="str">
        <f t="shared" si="1443"/>
        <v>FALSE</v>
      </c>
      <c r="PK197" s="7" t="str">
        <f t="shared" si="1443"/>
        <v>FALSE</v>
      </c>
      <c r="PL197" s="7" t="str">
        <f t="shared" si="1443"/>
        <v>FALSE</v>
      </c>
      <c r="PM197" s="7" t="str">
        <f t="shared" si="1443"/>
        <v>FALSE</v>
      </c>
      <c r="PN197" s="7" t="str">
        <f t="shared" si="1443"/>
        <v>FALSE</v>
      </c>
      <c r="PO197" s="7" t="str">
        <f t="shared" si="1443"/>
        <v>FALSE</v>
      </c>
      <c r="PP197" s="7" t="str">
        <f t="shared" si="1443"/>
        <v>FALSE</v>
      </c>
      <c r="PQ197" s="7" t="str">
        <f t="shared" si="1443"/>
        <v>FALSE</v>
      </c>
      <c r="PR197" s="7" t="str">
        <f t="shared" si="1443"/>
        <v>FALSE</v>
      </c>
      <c r="PS197" s="7" t="str">
        <f t="shared" si="1443"/>
        <v>FALSE</v>
      </c>
      <c r="PT197" s="7" t="str">
        <f t="shared" si="1443"/>
        <v>FALSE</v>
      </c>
      <c r="PU197" s="7" t="str">
        <f t="shared" si="1443"/>
        <v>FALSE</v>
      </c>
      <c r="PV197" s="7" t="str">
        <f t="shared" si="1443"/>
        <v>FALSE</v>
      </c>
      <c r="PW197" s="7" t="str">
        <f t="shared" si="1443"/>
        <v>FALSE</v>
      </c>
      <c r="PX197" s="7" t="str">
        <f t="shared" si="1443"/>
        <v>FALSE</v>
      </c>
      <c r="PY197" s="7" t="str">
        <f t="shared" si="1443"/>
        <v>FALSE</v>
      </c>
      <c r="PZ197" s="7" t="str">
        <f t="shared" si="1443"/>
        <v>FALSE</v>
      </c>
      <c r="QA197" s="7" t="str">
        <f t="shared" si="1443"/>
        <v>FALSE</v>
      </c>
      <c r="QB197" s="7" t="str">
        <f t="shared" si="1443"/>
        <v>FALSE</v>
      </c>
      <c r="QC197" s="7" t="str">
        <f t="shared" si="1443"/>
        <v>FALSE</v>
      </c>
      <c r="QD197" s="7" t="str">
        <f t="shared" si="1443"/>
        <v>FALSE</v>
      </c>
      <c r="QE197" s="7" t="str">
        <f t="shared" si="1443"/>
        <v>FALSE</v>
      </c>
      <c r="QF197" s="7" t="str">
        <f t="shared" si="1443"/>
        <v>FALSE</v>
      </c>
      <c r="QG197" s="7" t="str">
        <f t="shared" si="1443"/>
        <v>FALSE</v>
      </c>
      <c r="QH197" s="7" t="str">
        <f t="shared" si="1443"/>
        <v>FALSE</v>
      </c>
      <c r="QI197" s="7" t="str">
        <f t="shared" si="1443"/>
        <v>FALSE</v>
      </c>
      <c r="QJ197" s="7" t="str">
        <f t="shared" ref="QJ197:ST197" si="1444">IF(AND(OR(EXACT(QJ58,"MM_SYSTEM_MODE_PUSHBACK_ATA_TAS_E"),EXACT(QJ58,"MM_SYSTEM_MODE_MAINTENANCE_TOWING_E"),EXACT(QJ58,"MM_SYSTEM_MODE_PUSHBACK_ATA_BW_E")),QJ58&lt;&gt;QI58),"TRUE","FALSE")</f>
        <v>FALSE</v>
      </c>
      <c r="QK197" s="7" t="str">
        <f t="shared" si="1444"/>
        <v>FALSE</v>
      </c>
      <c r="QL197" s="7" t="str">
        <f t="shared" si="1444"/>
        <v>FALSE</v>
      </c>
      <c r="QM197" s="7" t="str">
        <f t="shared" si="1444"/>
        <v>FALSE</v>
      </c>
      <c r="QN197" s="7" t="str">
        <f t="shared" si="1444"/>
        <v>FALSE</v>
      </c>
      <c r="QO197" s="7" t="str">
        <f t="shared" si="1444"/>
        <v>FALSE</v>
      </c>
      <c r="QP197" s="7" t="str">
        <f t="shared" si="1444"/>
        <v>FALSE</v>
      </c>
      <c r="QQ197" s="7" t="str">
        <f t="shared" si="1444"/>
        <v>FALSE</v>
      </c>
      <c r="QR197" s="7" t="str">
        <f t="shared" si="1444"/>
        <v>FALSE</v>
      </c>
      <c r="QS197" s="7" t="str">
        <f t="shared" si="1444"/>
        <v>FALSE</v>
      </c>
      <c r="QT197" s="7" t="str">
        <f t="shared" si="1444"/>
        <v>FALSE</v>
      </c>
      <c r="QU197" s="7" t="str">
        <f t="shared" si="1444"/>
        <v>FALSE</v>
      </c>
      <c r="QV197" s="7" t="str">
        <f t="shared" si="1444"/>
        <v>FALSE</v>
      </c>
      <c r="QW197" s="7" t="str">
        <f t="shared" si="1444"/>
        <v>FALSE</v>
      </c>
      <c r="QX197" s="7" t="str">
        <f t="shared" si="1444"/>
        <v>FALSE</v>
      </c>
      <c r="QY197" s="7" t="str">
        <f t="shared" si="1444"/>
        <v>FALSE</v>
      </c>
      <c r="QZ197" s="7" t="str">
        <f t="shared" si="1444"/>
        <v>FALSE</v>
      </c>
      <c r="RA197" s="7" t="str">
        <f t="shared" si="1444"/>
        <v>FALSE</v>
      </c>
      <c r="RB197" s="7" t="str">
        <f t="shared" si="1444"/>
        <v>FALSE</v>
      </c>
      <c r="RC197" s="7" t="str">
        <f t="shared" si="1444"/>
        <v>FALSE</v>
      </c>
      <c r="RD197" s="7" t="str">
        <f t="shared" si="1444"/>
        <v>FALSE</v>
      </c>
      <c r="RE197" s="7" t="e">
        <f>IF(AND(OR(EXACT(RE58,"MM_SYSTEM_MODE_PUSHBACK_ATA_TAS_E"),EXACT(RE58,"MM_SYSTEM_MODE_MAINTENANCE_TOWING_E"),EXACT(RE58,"MM_SYSTEM_MODE_PUSHBACK_ATA_BW_E")),RE58&lt;&gt;#REF!),"TRUE","FALSE")</f>
        <v>#REF!</v>
      </c>
      <c r="RF197" s="7" t="str">
        <f t="shared" si="1444"/>
        <v>FALSE</v>
      </c>
      <c r="RG197" s="7" t="str">
        <f t="shared" si="1444"/>
        <v>FALSE</v>
      </c>
      <c r="RH197" s="7" t="str">
        <f t="shared" si="1444"/>
        <v>FALSE</v>
      </c>
      <c r="RI197" s="7" t="str">
        <f t="shared" si="1444"/>
        <v>FALSE</v>
      </c>
      <c r="RJ197" s="7" t="str">
        <f t="shared" si="1444"/>
        <v>FALSE</v>
      </c>
      <c r="RK197" s="7" t="str">
        <f t="shared" si="1444"/>
        <v>FALSE</v>
      </c>
      <c r="RL197" s="7" t="str">
        <f t="shared" si="1444"/>
        <v>FALSE</v>
      </c>
      <c r="RM197" s="7" t="str">
        <f t="shared" si="1444"/>
        <v>FALSE</v>
      </c>
      <c r="RN197" s="7" t="str">
        <f t="shared" si="1444"/>
        <v>FALSE</v>
      </c>
      <c r="RO197" s="7" t="str">
        <f t="shared" si="1444"/>
        <v>FALSE</v>
      </c>
      <c r="RP197" s="7" t="str">
        <f t="shared" si="1444"/>
        <v>FALSE</v>
      </c>
      <c r="RQ197" s="7" t="str">
        <f t="shared" si="1444"/>
        <v>FALSE</v>
      </c>
      <c r="RR197" s="7" t="str">
        <f t="shared" si="1444"/>
        <v>FALSE</v>
      </c>
      <c r="RS197" s="7" t="str">
        <f t="shared" si="1444"/>
        <v>FALSE</v>
      </c>
      <c r="RT197" s="7" t="str">
        <f t="shared" si="1444"/>
        <v>FALSE</v>
      </c>
      <c r="RU197" s="7" t="str">
        <f t="shared" si="1444"/>
        <v>FALSE</v>
      </c>
      <c r="RV197" s="7" t="str">
        <f t="shared" si="1444"/>
        <v>FALSE</v>
      </c>
      <c r="RW197" s="7" t="str">
        <f t="shared" si="1444"/>
        <v>FALSE</v>
      </c>
      <c r="RX197" s="7" t="str">
        <f t="shared" si="1444"/>
        <v>FALSE</v>
      </c>
      <c r="RY197" s="7" t="str">
        <f t="shared" si="1444"/>
        <v>FALSE</v>
      </c>
      <c r="RZ197" s="7" t="str">
        <f t="shared" si="1444"/>
        <v>FALSE</v>
      </c>
      <c r="SA197" s="7" t="str">
        <f t="shared" si="1444"/>
        <v>FALSE</v>
      </c>
      <c r="SB197" s="7" t="str">
        <f t="shared" si="1444"/>
        <v>TRUE</v>
      </c>
      <c r="SC197" s="7" t="str">
        <f t="shared" si="1444"/>
        <v>FALSE</v>
      </c>
      <c r="SD197" s="7" t="str">
        <f t="shared" si="1444"/>
        <v>FALSE</v>
      </c>
      <c r="SE197" s="7" t="str">
        <f t="shared" si="1444"/>
        <v>FALSE</v>
      </c>
      <c r="SF197" s="7" t="str">
        <f t="shared" si="1444"/>
        <v>FALSE</v>
      </c>
      <c r="SG197" s="7" t="str">
        <f t="shared" si="1444"/>
        <v>FALSE</v>
      </c>
      <c r="SH197" s="7" t="str">
        <f t="shared" si="1444"/>
        <v>FALSE</v>
      </c>
      <c r="SI197" s="7" t="str">
        <f t="shared" si="1444"/>
        <v>FALSE</v>
      </c>
      <c r="SJ197" s="7" t="str">
        <f t="shared" si="1444"/>
        <v>FALSE</v>
      </c>
      <c r="SK197" s="7" t="str">
        <f t="shared" si="1444"/>
        <v>FALSE</v>
      </c>
      <c r="SL197" s="7" t="str">
        <f t="shared" si="1444"/>
        <v>FALSE</v>
      </c>
      <c r="SM197" s="7" t="str">
        <f t="shared" si="1444"/>
        <v>FALSE</v>
      </c>
      <c r="SN197" s="7" t="str">
        <f t="shared" si="1444"/>
        <v>FALSE</v>
      </c>
      <c r="SO197" s="7" t="str">
        <f t="shared" si="1444"/>
        <v>FALSE</v>
      </c>
      <c r="SP197" s="7" t="str">
        <f t="shared" si="1444"/>
        <v>FALSE</v>
      </c>
      <c r="SQ197" s="7" t="str">
        <f t="shared" si="1444"/>
        <v>FALSE</v>
      </c>
      <c r="SR197" s="7" t="str">
        <f t="shared" si="1444"/>
        <v>FALSE</v>
      </c>
      <c r="SS197" s="7" t="str">
        <f t="shared" si="1444"/>
        <v>FALSE</v>
      </c>
      <c r="ST197" s="7" t="str">
        <f t="shared" si="1444"/>
        <v>FALSE</v>
      </c>
      <c r="SU197" s="7" t="str">
        <f t="shared" ref="SU197:VF197" si="1445">IF(AND(OR(EXACT(SU58,"MM_SYSTEM_MODE_PUSHBACK_ATA_TAS_E"),EXACT(SU58,"MM_SYSTEM_MODE_MAINTENANCE_TOWING_E"),EXACT(SU58,"MM_SYSTEM_MODE_PUSHBACK_ATA_BW_E")),SU58&lt;&gt;ST58),"TRUE","FALSE")</f>
        <v>FALSE</v>
      </c>
      <c r="SV197" s="7" t="str">
        <f t="shared" si="1445"/>
        <v>FALSE</v>
      </c>
      <c r="SW197" s="7" t="str">
        <f t="shared" si="1445"/>
        <v>FALSE</v>
      </c>
      <c r="SX197" s="7" t="str">
        <f t="shared" si="1445"/>
        <v>FALSE</v>
      </c>
      <c r="SY197" s="7" t="str">
        <f t="shared" si="1445"/>
        <v>FALSE</v>
      </c>
      <c r="SZ197" s="7" t="str">
        <f t="shared" si="1445"/>
        <v>FALSE</v>
      </c>
      <c r="TA197" s="7" t="str">
        <f t="shared" si="1445"/>
        <v>FALSE</v>
      </c>
      <c r="TB197" s="7" t="str">
        <f t="shared" si="1445"/>
        <v>FALSE</v>
      </c>
      <c r="TC197" s="7" t="str">
        <f t="shared" si="1445"/>
        <v>FALSE</v>
      </c>
      <c r="TD197" s="7" t="str">
        <f t="shared" si="1445"/>
        <v>FALSE</v>
      </c>
      <c r="TE197" s="7" t="str">
        <f t="shared" si="1445"/>
        <v>FALSE</v>
      </c>
      <c r="TF197" s="7" t="str">
        <f t="shared" si="1445"/>
        <v>FALSE</v>
      </c>
      <c r="TG197" s="7" t="str">
        <f t="shared" si="1445"/>
        <v>FALSE</v>
      </c>
      <c r="TH197" s="7" t="str">
        <f t="shared" si="1445"/>
        <v>FALSE</v>
      </c>
      <c r="TI197" s="7" t="str">
        <f t="shared" si="1445"/>
        <v>FALSE</v>
      </c>
      <c r="TJ197" s="7" t="str">
        <f t="shared" si="1445"/>
        <v>FALSE</v>
      </c>
      <c r="TK197" s="7" t="str">
        <f t="shared" si="1445"/>
        <v>FALSE</v>
      </c>
      <c r="TL197" s="7" t="str">
        <f t="shared" si="1445"/>
        <v>FALSE</v>
      </c>
      <c r="TM197" s="7" t="str">
        <f t="shared" si="1445"/>
        <v>FALSE</v>
      </c>
      <c r="TN197" s="7" t="str">
        <f t="shared" si="1445"/>
        <v>FALSE</v>
      </c>
      <c r="TO197" s="7" t="str">
        <f t="shared" si="1445"/>
        <v>FALSE</v>
      </c>
      <c r="TP197" s="7" t="str">
        <f t="shared" si="1445"/>
        <v>FALSE</v>
      </c>
      <c r="TQ197" s="7" t="str">
        <f t="shared" si="1445"/>
        <v>FALSE</v>
      </c>
      <c r="TR197" s="7" t="str">
        <f t="shared" si="1445"/>
        <v>FALSE</v>
      </c>
      <c r="TS197" s="7" t="str">
        <f t="shared" si="1445"/>
        <v>FALSE</v>
      </c>
      <c r="TT197" s="7" t="str">
        <f t="shared" si="1445"/>
        <v>FALSE</v>
      </c>
      <c r="TU197" s="7" t="str">
        <f t="shared" si="1445"/>
        <v>FALSE</v>
      </c>
      <c r="TV197" s="7" t="str">
        <f t="shared" si="1445"/>
        <v>FALSE</v>
      </c>
      <c r="TW197" s="7" t="str">
        <f t="shared" si="1445"/>
        <v>FALSE</v>
      </c>
      <c r="TX197" s="7" t="str">
        <f t="shared" si="1445"/>
        <v>FALSE</v>
      </c>
      <c r="TY197" s="7" t="str">
        <f t="shared" si="1445"/>
        <v>FALSE</v>
      </c>
      <c r="TZ197" s="7" t="str">
        <f t="shared" si="1445"/>
        <v>FALSE</v>
      </c>
      <c r="UA197" s="7" t="str">
        <f t="shared" si="1445"/>
        <v>FALSE</v>
      </c>
      <c r="UB197" s="7" t="str">
        <f t="shared" si="1445"/>
        <v>FALSE</v>
      </c>
      <c r="UC197" s="7" t="str">
        <f t="shared" si="1445"/>
        <v>FALSE</v>
      </c>
      <c r="UD197" s="7" t="str">
        <f t="shared" si="1445"/>
        <v>FALSE</v>
      </c>
      <c r="UE197" s="7" t="str">
        <f t="shared" si="1445"/>
        <v>FALSE</v>
      </c>
      <c r="UF197" s="7" t="str">
        <f t="shared" si="1445"/>
        <v>FALSE</v>
      </c>
      <c r="UG197" s="7" t="str">
        <f t="shared" si="1445"/>
        <v>FALSE</v>
      </c>
      <c r="UH197" s="7" t="str">
        <f t="shared" si="1445"/>
        <v>FALSE</v>
      </c>
      <c r="UI197" s="7" t="str">
        <f t="shared" si="1445"/>
        <v>FALSE</v>
      </c>
      <c r="UJ197" s="7" t="str">
        <f t="shared" si="1445"/>
        <v>FALSE</v>
      </c>
      <c r="UK197" s="7" t="str">
        <f t="shared" si="1445"/>
        <v>FALSE</v>
      </c>
      <c r="UL197" s="7" t="str">
        <f t="shared" si="1445"/>
        <v>FALSE</v>
      </c>
      <c r="UM197" s="7" t="str">
        <f t="shared" si="1445"/>
        <v>FALSE</v>
      </c>
      <c r="UN197" s="7" t="str">
        <f t="shared" si="1445"/>
        <v>FALSE</v>
      </c>
      <c r="UO197" s="7" t="str">
        <f t="shared" si="1445"/>
        <v>FALSE</v>
      </c>
      <c r="UP197" s="7" t="str">
        <f t="shared" si="1445"/>
        <v>FALSE</v>
      </c>
      <c r="UQ197" s="7" t="str">
        <f t="shared" si="1445"/>
        <v>FALSE</v>
      </c>
      <c r="UR197" s="7" t="str">
        <f t="shared" si="1445"/>
        <v>FALSE</v>
      </c>
      <c r="US197" s="7" t="str">
        <f t="shared" si="1445"/>
        <v>FALSE</v>
      </c>
      <c r="UT197" s="7" t="str">
        <f t="shared" si="1445"/>
        <v>FALSE</v>
      </c>
      <c r="UU197" s="7" t="str">
        <f t="shared" si="1445"/>
        <v>FALSE</v>
      </c>
      <c r="UV197" s="7" t="str">
        <f t="shared" si="1445"/>
        <v>FALSE</v>
      </c>
      <c r="UW197" s="7" t="str">
        <f t="shared" si="1445"/>
        <v>FALSE</v>
      </c>
      <c r="UX197" s="7" t="str">
        <f t="shared" si="1445"/>
        <v>FALSE</v>
      </c>
      <c r="UY197" s="7" t="str">
        <f t="shared" si="1445"/>
        <v>FALSE</v>
      </c>
      <c r="UZ197" s="7" t="str">
        <f t="shared" si="1445"/>
        <v>FALSE</v>
      </c>
      <c r="VA197" s="7" t="str">
        <f t="shared" si="1445"/>
        <v>FALSE</v>
      </c>
      <c r="VB197" s="7" t="str">
        <f t="shared" si="1445"/>
        <v>FALSE</v>
      </c>
      <c r="VC197" s="7" t="str">
        <f t="shared" si="1445"/>
        <v>FALSE</v>
      </c>
      <c r="VD197" s="7" t="str">
        <f t="shared" si="1445"/>
        <v>FALSE</v>
      </c>
      <c r="VE197" s="7" t="str">
        <f t="shared" si="1445"/>
        <v>FALSE</v>
      </c>
      <c r="VF197" s="7" t="str">
        <f t="shared" si="1445"/>
        <v>FALSE</v>
      </c>
      <c r="VG197" s="7" t="str">
        <f t="shared" ref="VG197:XR197" si="1446">IF(AND(OR(EXACT(VG58,"MM_SYSTEM_MODE_PUSHBACK_ATA_TAS_E"),EXACT(VG58,"MM_SYSTEM_MODE_MAINTENANCE_TOWING_E"),EXACT(VG58,"MM_SYSTEM_MODE_PUSHBACK_ATA_BW_E")),VG58&lt;&gt;VF58),"TRUE","FALSE")</f>
        <v>FALSE</v>
      </c>
      <c r="VH197" s="7" t="str">
        <f t="shared" si="1446"/>
        <v>FALSE</v>
      </c>
      <c r="VI197" s="7" t="str">
        <f t="shared" si="1446"/>
        <v>FALSE</v>
      </c>
      <c r="VJ197" s="7" t="str">
        <f t="shared" si="1446"/>
        <v>FALSE</v>
      </c>
      <c r="VK197" s="7" t="str">
        <f t="shared" si="1446"/>
        <v>FALSE</v>
      </c>
      <c r="VL197" s="7" t="str">
        <f t="shared" si="1446"/>
        <v>FALSE</v>
      </c>
      <c r="VM197" s="7" t="str">
        <f t="shared" si="1446"/>
        <v>FALSE</v>
      </c>
      <c r="VN197" s="7" t="str">
        <f t="shared" si="1446"/>
        <v>FALSE</v>
      </c>
      <c r="VO197" s="7" t="str">
        <f t="shared" si="1446"/>
        <v>FALSE</v>
      </c>
      <c r="VP197" s="7" t="str">
        <f t="shared" si="1446"/>
        <v>FALSE</v>
      </c>
      <c r="VQ197" s="7" t="str">
        <f t="shared" si="1446"/>
        <v>FALSE</v>
      </c>
      <c r="VR197" s="7" t="str">
        <f t="shared" si="1446"/>
        <v>FALSE</v>
      </c>
      <c r="VS197" s="7" t="str">
        <f t="shared" si="1446"/>
        <v>FALSE</v>
      </c>
      <c r="VT197" s="7" t="str">
        <f t="shared" si="1446"/>
        <v>FALSE</v>
      </c>
      <c r="VU197" s="7" t="str">
        <f t="shared" si="1446"/>
        <v>FALSE</v>
      </c>
      <c r="VV197" s="7" t="str">
        <f t="shared" si="1446"/>
        <v>FALSE</v>
      </c>
      <c r="VW197" s="7" t="str">
        <f t="shared" si="1446"/>
        <v>FALSE</v>
      </c>
      <c r="VX197" s="7" t="str">
        <f t="shared" si="1446"/>
        <v>FALSE</v>
      </c>
      <c r="VY197" s="7" t="str">
        <f t="shared" si="1446"/>
        <v>FALSE</v>
      </c>
      <c r="VZ197" s="7" t="str">
        <f t="shared" si="1446"/>
        <v>FALSE</v>
      </c>
      <c r="WA197" s="7" t="str">
        <f t="shared" si="1446"/>
        <v>FALSE</v>
      </c>
      <c r="WB197" s="7" t="str">
        <f t="shared" si="1446"/>
        <v>FALSE</v>
      </c>
      <c r="WC197" s="7" t="str">
        <f t="shared" si="1446"/>
        <v>FALSE</v>
      </c>
      <c r="WD197" s="7" t="str">
        <f t="shared" si="1446"/>
        <v>TRUE</v>
      </c>
      <c r="WE197" s="7" t="str">
        <f t="shared" si="1446"/>
        <v>FALSE</v>
      </c>
      <c r="WF197" s="7" t="str">
        <f t="shared" si="1446"/>
        <v>FALSE</v>
      </c>
      <c r="WG197" s="7" t="str">
        <f t="shared" si="1446"/>
        <v>FALSE</v>
      </c>
      <c r="WH197" s="7" t="str">
        <f t="shared" si="1446"/>
        <v>FALSE</v>
      </c>
      <c r="WI197" s="7" t="str">
        <f t="shared" si="1446"/>
        <v>FALSE</v>
      </c>
      <c r="WJ197" s="7" t="str">
        <f t="shared" si="1446"/>
        <v>FALSE</v>
      </c>
      <c r="WK197" s="7" t="str">
        <f t="shared" si="1446"/>
        <v>FALSE</v>
      </c>
      <c r="WL197" s="7" t="str">
        <f t="shared" si="1446"/>
        <v>FALSE</v>
      </c>
      <c r="WM197" s="7" t="str">
        <f t="shared" si="1446"/>
        <v>FALSE</v>
      </c>
      <c r="WN197" s="7" t="str">
        <f t="shared" si="1446"/>
        <v>FALSE</v>
      </c>
      <c r="WO197" s="7" t="str">
        <f t="shared" si="1446"/>
        <v>FALSE</v>
      </c>
      <c r="WP197" s="7" t="str">
        <f t="shared" si="1446"/>
        <v>FALSE</v>
      </c>
      <c r="WQ197" s="7" t="str">
        <f t="shared" si="1446"/>
        <v>FALSE</v>
      </c>
      <c r="WR197" s="7" t="str">
        <f t="shared" si="1446"/>
        <v>FALSE</v>
      </c>
      <c r="WS197" s="7" t="str">
        <f t="shared" si="1446"/>
        <v>FALSE</v>
      </c>
      <c r="WT197" s="7" t="str">
        <f t="shared" si="1446"/>
        <v>FALSE</v>
      </c>
      <c r="WU197" s="7" t="str">
        <f t="shared" si="1446"/>
        <v>FALSE</v>
      </c>
      <c r="WV197" s="7" t="str">
        <f t="shared" si="1446"/>
        <v>FALSE</v>
      </c>
      <c r="WW197" s="7" t="str">
        <f t="shared" si="1446"/>
        <v>FALSE</v>
      </c>
      <c r="WX197" s="7" t="str">
        <f t="shared" si="1446"/>
        <v>FALSE</v>
      </c>
      <c r="WY197" s="7" t="str">
        <f t="shared" si="1446"/>
        <v>FALSE</v>
      </c>
      <c r="WZ197" s="7" t="str">
        <f t="shared" si="1446"/>
        <v>FALSE</v>
      </c>
      <c r="XA197" s="7" t="str">
        <f t="shared" si="1446"/>
        <v>FALSE</v>
      </c>
      <c r="XB197" s="7" t="str">
        <f t="shared" si="1446"/>
        <v>FALSE</v>
      </c>
      <c r="XC197" s="7" t="str">
        <f t="shared" si="1446"/>
        <v>FALSE</v>
      </c>
      <c r="XD197" s="7" t="str">
        <f t="shared" si="1446"/>
        <v>FALSE</v>
      </c>
      <c r="XE197" s="7" t="str">
        <f t="shared" si="1446"/>
        <v>FALSE</v>
      </c>
      <c r="XF197" s="7" t="str">
        <f t="shared" si="1446"/>
        <v>FALSE</v>
      </c>
      <c r="XG197" s="7" t="str">
        <f t="shared" si="1446"/>
        <v>FALSE</v>
      </c>
      <c r="XH197" s="7" t="str">
        <f t="shared" si="1446"/>
        <v>FALSE</v>
      </c>
      <c r="XI197" s="7" t="str">
        <f t="shared" si="1446"/>
        <v>FALSE</v>
      </c>
      <c r="XJ197" s="7" t="str">
        <f t="shared" si="1446"/>
        <v>FALSE</v>
      </c>
      <c r="XK197" s="7" t="str">
        <f t="shared" si="1446"/>
        <v>FALSE</v>
      </c>
      <c r="XL197" s="7" t="str">
        <f t="shared" si="1446"/>
        <v>FALSE</v>
      </c>
      <c r="XM197" s="7" t="str">
        <f t="shared" si="1446"/>
        <v>FALSE</v>
      </c>
      <c r="XN197" s="7" t="str">
        <f t="shared" si="1446"/>
        <v>FALSE</v>
      </c>
      <c r="XO197" s="7" t="str">
        <f t="shared" si="1446"/>
        <v>FALSE</v>
      </c>
      <c r="XP197" s="7" t="str">
        <f t="shared" si="1446"/>
        <v>FALSE</v>
      </c>
      <c r="XQ197" s="7" t="str">
        <f t="shared" si="1446"/>
        <v>FALSE</v>
      </c>
      <c r="XR197" s="7" t="str">
        <f t="shared" si="1446"/>
        <v>FALSE</v>
      </c>
      <c r="XS197" s="7" t="str">
        <f t="shared" ref="XS197:AAD197" si="1447">IF(AND(OR(EXACT(XS58,"MM_SYSTEM_MODE_PUSHBACK_ATA_TAS_E"),EXACT(XS58,"MM_SYSTEM_MODE_MAINTENANCE_TOWING_E"),EXACT(XS58,"MM_SYSTEM_MODE_PUSHBACK_ATA_BW_E")),XS58&lt;&gt;XR58),"TRUE","FALSE")</f>
        <v>FALSE</v>
      </c>
      <c r="XT197" s="7" t="str">
        <f t="shared" si="1447"/>
        <v>FALSE</v>
      </c>
      <c r="XU197" s="7" t="str">
        <f t="shared" si="1447"/>
        <v>FALSE</v>
      </c>
      <c r="XV197" s="7" t="str">
        <f t="shared" si="1447"/>
        <v>FALSE</v>
      </c>
      <c r="XW197" s="7" t="str">
        <f t="shared" si="1447"/>
        <v>FALSE</v>
      </c>
      <c r="XX197" s="7" t="str">
        <f t="shared" si="1447"/>
        <v>FALSE</v>
      </c>
      <c r="XY197" s="7" t="str">
        <f t="shared" si="1447"/>
        <v>FALSE</v>
      </c>
      <c r="XZ197" s="7" t="str">
        <f t="shared" si="1447"/>
        <v>FALSE</v>
      </c>
      <c r="YA197" s="7" t="str">
        <f t="shared" si="1447"/>
        <v>FALSE</v>
      </c>
      <c r="YB197" s="7" t="str">
        <f t="shared" si="1447"/>
        <v>FALSE</v>
      </c>
      <c r="YC197" s="7" t="str">
        <f t="shared" si="1447"/>
        <v>FALSE</v>
      </c>
      <c r="YD197" s="7" t="str">
        <f t="shared" si="1447"/>
        <v>FALSE</v>
      </c>
      <c r="YE197" s="7" t="str">
        <f t="shared" si="1447"/>
        <v>FALSE</v>
      </c>
      <c r="YF197" s="7" t="str">
        <f t="shared" si="1447"/>
        <v>FALSE</v>
      </c>
      <c r="YG197" s="7" t="str">
        <f t="shared" si="1447"/>
        <v>FALSE</v>
      </c>
      <c r="YH197" s="7" t="str">
        <f t="shared" si="1447"/>
        <v>FALSE</v>
      </c>
      <c r="YI197" s="7" t="str">
        <f t="shared" si="1447"/>
        <v>FALSE</v>
      </c>
      <c r="YJ197" s="7" t="str">
        <f t="shared" si="1447"/>
        <v>FALSE</v>
      </c>
      <c r="YK197" s="7" t="str">
        <f t="shared" si="1447"/>
        <v>FALSE</v>
      </c>
      <c r="YL197" s="7" t="str">
        <f t="shared" si="1447"/>
        <v>FALSE</v>
      </c>
      <c r="YM197" s="7" t="str">
        <f t="shared" si="1447"/>
        <v>FALSE</v>
      </c>
      <c r="YN197" s="7" t="str">
        <f t="shared" si="1447"/>
        <v>FALSE</v>
      </c>
      <c r="YO197" s="7" t="str">
        <f t="shared" si="1447"/>
        <v>FALSE</v>
      </c>
      <c r="YP197" s="7" t="str">
        <f t="shared" si="1447"/>
        <v>FALSE</v>
      </c>
      <c r="YQ197" s="7" t="str">
        <f t="shared" si="1447"/>
        <v>FALSE</v>
      </c>
      <c r="YR197" s="7" t="str">
        <f t="shared" si="1447"/>
        <v>FALSE</v>
      </c>
      <c r="YS197" s="7" t="str">
        <f t="shared" si="1447"/>
        <v>FALSE</v>
      </c>
      <c r="YT197" s="7" t="str">
        <f t="shared" si="1447"/>
        <v>FALSE</v>
      </c>
      <c r="YU197" s="7" t="str">
        <f t="shared" si="1447"/>
        <v>FALSE</v>
      </c>
      <c r="YV197" s="7" t="str">
        <f t="shared" si="1447"/>
        <v>FALSE</v>
      </c>
      <c r="YW197" s="7" t="str">
        <f t="shared" si="1447"/>
        <v>FALSE</v>
      </c>
      <c r="YX197" s="7" t="str">
        <f t="shared" si="1447"/>
        <v>FALSE</v>
      </c>
      <c r="YY197" s="7" t="str">
        <f t="shared" si="1447"/>
        <v>FALSE</v>
      </c>
      <c r="YZ197" s="7" t="str">
        <f t="shared" si="1447"/>
        <v>FALSE</v>
      </c>
      <c r="ZA197" s="7" t="str">
        <f t="shared" si="1447"/>
        <v>FALSE</v>
      </c>
      <c r="ZB197" s="7" t="str">
        <f t="shared" si="1447"/>
        <v>FALSE</v>
      </c>
      <c r="ZC197" s="7" t="str">
        <f t="shared" si="1447"/>
        <v>FALSE</v>
      </c>
      <c r="ZD197" s="7" t="str">
        <f t="shared" si="1447"/>
        <v>FALSE</v>
      </c>
      <c r="ZE197" s="7" t="str">
        <f t="shared" si="1447"/>
        <v>FALSE</v>
      </c>
      <c r="ZF197" s="7" t="str">
        <f t="shared" si="1447"/>
        <v>FALSE</v>
      </c>
      <c r="ZG197" s="7" t="str">
        <f t="shared" si="1447"/>
        <v>FALSE</v>
      </c>
      <c r="ZH197" s="7" t="str">
        <f t="shared" si="1447"/>
        <v>FALSE</v>
      </c>
      <c r="ZI197" s="7" t="str">
        <f t="shared" si="1447"/>
        <v>FALSE</v>
      </c>
      <c r="ZJ197" s="7" t="str">
        <f t="shared" si="1447"/>
        <v>FALSE</v>
      </c>
      <c r="ZK197" s="7" t="str">
        <f t="shared" si="1447"/>
        <v>FALSE</v>
      </c>
      <c r="ZL197" s="7" t="str">
        <f t="shared" si="1447"/>
        <v>FALSE</v>
      </c>
      <c r="ZM197" s="7" t="str">
        <f t="shared" si="1447"/>
        <v>FALSE</v>
      </c>
      <c r="ZN197" s="7" t="str">
        <f t="shared" si="1447"/>
        <v>FALSE</v>
      </c>
      <c r="ZO197" s="7" t="str">
        <f t="shared" si="1447"/>
        <v>FALSE</v>
      </c>
      <c r="ZP197" s="7" t="str">
        <f t="shared" si="1447"/>
        <v>TRUE</v>
      </c>
      <c r="ZQ197" s="7" t="str">
        <f t="shared" si="1447"/>
        <v>FALSE</v>
      </c>
      <c r="ZR197" s="7" t="str">
        <f t="shared" si="1447"/>
        <v>FALSE</v>
      </c>
      <c r="ZS197" s="7" t="str">
        <f t="shared" si="1447"/>
        <v>FALSE</v>
      </c>
      <c r="ZT197" s="7" t="str">
        <f t="shared" si="1447"/>
        <v>FALSE</v>
      </c>
      <c r="ZU197" s="7" t="str">
        <f t="shared" si="1447"/>
        <v>FALSE</v>
      </c>
      <c r="ZV197" s="7" t="str">
        <f t="shared" si="1447"/>
        <v>FALSE</v>
      </c>
      <c r="ZW197" s="7" t="str">
        <f t="shared" si="1447"/>
        <v>TRUE</v>
      </c>
      <c r="ZX197" s="7" t="str">
        <f t="shared" si="1447"/>
        <v>FALSE</v>
      </c>
      <c r="ZY197" s="7" t="str">
        <f t="shared" si="1447"/>
        <v>FALSE</v>
      </c>
      <c r="ZZ197" s="7" t="str">
        <f t="shared" si="1447"/>
        <v>FALSE</v>
      </c>
      <c r="AAA197" s="7" t="str">
        <f t="shared" si="1447"/>
        <v>FALSE</v>
      </c>
      <c r="AAB197" s="7" t="str">
        <f t="shared" si="1447"/>
        <v>FALSE</v>
      </c>
      <c r="AAC197" s="7" t="str">
        <f t="shared" si="1447"/>
        <v>FALSE</v>
      </c>
      <c r="AAD197" s="7" t="str">
        <f t="shared" si="1447"/>
        <v>TRUE</v>
      </c>
      <c r="AAE197" s="7" t="str">
        <f t="shared" ref="AAE197:ACP197" si="1448">IF(AND(OR(EXACT(AAE58,"MM_SYSTEM_MODE_PUSHBACK_ATA_TAS_E"),EXACT(AAE58,"MM_SYSTEM_MODE_MAINTENANCE_TOWING_E"),EXACT(AAE58,"MM_SYSTEM_MODE_PUSHBACK_ATA_BW_E")),AAE58&lt;&gt;AAD58),"TRUE","FALSE")</f>
        <v>FALSE</v>
      </c>
      <c r="AAF197" s="7" t="str">
        <f t="shared" si="1448"/>
        <v>FALSE</v>
      </c>
      <c r="AAG197" s="7" t="str">
        <f t="shared" si="1448"/>
        <v>FALSE</v>
      </c>
      <c r="AAH197" s="7" t="str">
        <f t="shared" si="1448"/>
        <v>FALSE</v>
      </c>
      <c r="AAI197" s="7" t="str">
        <f t="shared" si="1448"/>
        <v>FALSE</v>
      </c>
      <c r="AAJ197" s="7" t="str">
        <f t="shared" si="1448"/>
        <v>FALSE</v>
      </c>
      <c r="AAK197" s="7" t="str">
        <f t="shared" si="1448"/>
        <v>FALSE</v>
      </c>
      <c r="AAL197" s="7" t="str">
        <f t="shared" si="1448"/>
        <v>FALSE</v>
      </c>
      <c r="AAM197" s="7" t="str">
        <f t="shared" si="1448"/>
        <v>FALSE</v>
      </c>
      <c r="AAN197" s="7" t="str">
        <f t="shared" si="1448"/>
        <v>FALSE</v>
      </c>
      <c r="AAO197" s="7" t="str">
        <f t="shared" si="1448"/>
        <v>FALSE</v>
      </c>
      <c r="AAP197" s="7" t="str">
        <f t="shared" si="1448"/>
        <v>FALSE</v>
      </c>
      <c r="AAQ197" s="7" t="str">
        <f t="shared" si="1448"/>
        <v>FALSE</v>
      </c>
      <c r="AAR197" s="7" t="str">
        <f t="shared" si="1448"/>
        <v>FALSE</v>
      </c>
      <c r="AAS197" s="7" t="str">
        <f t="shared" si="1448"/>
        <v>FALSE</v>
      </c>
      <c r="AAT197" s="7" t="str">
        <f t="shared" si="1448"/>
        <v>FALSE</v>
      </c>
      <c r="AAU197" s="7" t="str">
        <f t="shared" si="1448"/>
        <v>TRUE</v>
      </c>
      <c r="AAV197" s="7" t="str">
        <f t="shared" si="1448"/>
        <v>FALSE</v>
      </c>
      <c r="AAW197" s="7" t="str">
        <f t="shared" si="1448"/>
        <v>FALSE</v>
      </c>
      <c r="AAX197" s="7" t="str">
        <f t="shared" si="1448"/>
        <v>FALSE</v>
      </c>
      <c r="AAY197" s="7" t="str">
        <f t="shared" si="1448"/>
        <v>FALSE</v>
      </c>
      <c r="AAZ197" s="7" t="str">
        <f t="shared" si="1448"/>
        <v>FALSE</v>
      </c>
      <c r="ABA197" s="7" t="str">
        <f t="shared" si="1448"/>
        <v>FALSE</v>
      </c>
      <c r="ABB197" s="7" t="str">
        <f t="shared" si="1448"/>
        <v>FALSE</v>
      </c>
      <c r="ABC197" s="7" t="str">
        <f t="shared" si="1448"/>
        <v>FALSE</v>
      </c>
      <c r="ABD197" s="7" t="str">
        <f t="shared" si="1448"/>
        <v>FALSE</v>
      </c>
      <c r="ABE197" s="7" t="str">
        <f t="shared" si="1448"/>
        <v>FALSE</v>
      </c>
      <c r="ABF197" s="7" t="str">
        <f t="shared" si="1448"/>
        <v>FALSE</v>
      </c>
      <c r="ABG197" s="7" t="str">
        <f t="shared" si="1448"/>
        <v>TRUE</v>
      </c>
      <c r="ABH197" s="7" t="str">
        <f t="shared" si="1448"/>
        <v>FALSE</v>
      </c>
      <c r="ABI197" s="7" t="str">
        <f t="shared" si="1448"/>
        <v>FALSE</v>
      </c>
      <c r="ABJ197" s="7" t="str">
        <f t="shared" si="1448"/>
        <v>FALSE</v>
      </c>
      <c r="ABK197" s="7" t="str">
        <f t="shared" si="1448"/>
        <v>FALSE</v>
      </c>
      <c r="ABL197" s="7" t="str">
        <f t="shared" si="1448"/>
        <v>FALSE</v>
      </c>
      <c r="ABM197" s="7" t="str">
        <f t="shared" si="1448"/>
        <v>FALSE</v>
      </c>
      <c r="ABN197" s="7" t="str">
        <f t="shared" si="1448"/>
        <v>FALSE</v>
      </c>
      <c r="ABO197" s="7" t="str">
        <f t="shared" si="1448"/>
        <v>FALSE</v>
      </c>
      <c r="ABP197" s="7" t="str">
        <f t="shared" si="1448"/>
        <v>FALSE</v>
      </c>
      <c r="ABQ197" s="7" t="str">
        <f t="shared" si="1448"/>
        <v>FALSE</v>
      </c>
      <c r="ABR197" s="7" t="str">
        <f t="shared" si="1448"/>
        <v>FALSE</v>
      </c>
      <c r="ABS197" s="7" t="str">
        <f t="shared" si="1448"/>
        <v>FALSE</v>
      </c>
      <c r="ABT197" s="7" t="str">
        <f t="shared" si="1448"/>
        <v>FALSE</v>
      </c>
      <c r="ABU197" s="7" t="str">
        <f t="shared" si="1448"/>
        <v>FALSE</v>
      </c>
      <c r="ABV197" s="7" t="str">
        <f t="shared" si="1448"/>
        <v>FALSE</v>
      </c>
      <c r="ABW197" s="7" t="str">
        <f t="shared" si="1448"/>
        <v>FALSE</v>
      </c>
      <c r="ABX197" s="7" t="str">
        <f t="shared" si="1448"/>
        <v>FALSE</v>
      </c>
      <c r="ABY197" s="7" t="str">
        <f t="shared" si="1448"/>
        <v>FALSE</v>
      </c>
      <c r="ABZ197" s="7" t="str">
        <f t="shared" si="1448"/>
        <v>FALSE</v>
      </c>
      <c r="ACA197" s="7" t="str">
        <f t="shared" si="1448"/>
        <v>FALSE</v>
      </c>
      <c r="ACB197" s="7" t="str">
        <f t="shared" si="1448"/>
        <v>FALSE</v>
      </c>
      <c r="ACC197" s="7" t="str">
        <f t="shared" si="1448"/>
        <v>FALSE</v>
      </c>
      <c r="ACD197" s="7" t="str">
        <f t="shared" si="1448"/>
        <v>FALSE</v>
      </c>
      <c r="ACE197" s="7" t="str">
        <f t="shared" si="1448"/>
        <v>FALSE</v>
      </c>
      <c r="ACF197" s="7" t="str">
        <f t="shared" si="1448"/>
        <v>FALSE</v>
      </c>
      <c r="ACG197" s="7" t="str">
        <f t="shared" si="1448"/>
        <v>FALSE</v>
      </c>
      <c r="ACH197" s="7" t="str">
        <f t="shared" si="1448"/>
        <v>FALSE</v>
      </c>
      <c r="ACI197" s="7" t="str">
        <f t="shared" si="1448"/>
        <v>FALSE</v>
      </c>
      <c r="ACJ197" s="7" t="str">
        <f t="shared" si="1448"/>
        <v>FALSE</v>
      </c>
      <c r="ACK197" s="7" t="str">
        <f t="shared" si="1448"/>
        <v>FALSE</v>
      </c>
      <c r="ACL197" s="7" t="str">
        <f t="shared" si="1448"/>
        <v>FALSE</v>
      </c>
      <c r="ACM197" s="7" t="str">
        <f t="shared" si="1448"/>
        <v>FALSE</v>
      </c>
      <c r="ACN197" s="7" t="str">
        <f t="shared" si="1448"/>
        <v>FALSE</v>
      </c>
      <c r="ACO197" s="7" t="str">
        <f t="shared" si="1448"/>
        <v>FALSE</v>
      </c>
      <c r="ACP197" s="7" t="str">
        <f t="shared" si="1448"/>
        <v>FALSE</v>
      </c>
      <c r="ACQ197" s="7" t="str">
        <f t="shared" ref="ACQ197:AFB197" si="1449">IF(AND(OR(EXACT(ACQ58,"MM_SYSTEM_MODE_PUSHBACK_ATA_TAS_E"),EXACT(ACQ58,"MM_SYSTEM_MODE_MAINTENANCE_TOWING_E"),EXACT(ACQ58,"MM_SYSTEM_MODE_PUSHBACK_ATA_BW_E")),ACQ58&lt;&gt;ACP58),"TRUE","FALSE")</f>
        <v>FALSE</v>
      </c>
      <c r="ACR197" s="7" t="str">
        <f t="shared" si="1449"/>
        <v>FALSE</v>
      </c>
      <c r="ACS197" s="7" t="str">
        <f t="shared" si="1449"/>
        <v>FALSE</v>
      </c>
      <c r="ACT197" s="7" t="str">
        <f t="shared" si="1449"/>
        <v>FALSE</v>
      </c>
      <c r="ACU197" s="7" t="str">
        <f t="shared" si="1449"/>
        <v>FALSE</v>
      </c>
      <c r="ACV197" s="7" t="str">
        <f t="shared" si="1449"/>
        <v>FALSE</v>
      </c>
      <c r="ACW197" s="7" t="str">
        <f t="shared" si="1449"/>
        <v>FALSE</v>
      </c>
      <c r="ACX197" s="7" t="str">
        <f t="shared" si="1449"/>
        <v>FALSE</v>
      </c>
      <c r="ACY197" s="7" t="str">
        <f t="shared" si="1449"/>
        <v>FALSE</v>
      </c>
      <c r="ACZ197" s="7" t="str">
        <f t="shared" si="1449"/>
        <v>FALSE</v>
      </c>
      <c r="ADA197" s="7" t="str">
        <f t="shared" si="1449"/>
        <v>FALSE</v>
      </c>
      <c r="ADB197" s="7" t="str">
        <f t="shared" si="1449"/>
        <v>FALSE</v>
      </c>
      <c r="ADC197" s="7" t="str">
        <f t="shared" si="1449"/>
        <v>FALSE</v>
      </c>
      <c r="ADD197" s="7" t="str">
        <f t="shared" si="1449"/>
        <v>TRUE</v>
      </c>
      <c r="ADE197" s="7" t="str">
        <f t="shared" si="1449"/>
        <v>FALSE</v>
      </c>
      <c r="ADF197" s="7" t="str">
        <f t="shared" si="1449"/>
        <v>FALSE</v>
      </c>
      <c r="ADG197" s="7" t="str">
        <f t="shared" si="1449"/>
        <v>FALSE</v>
      </c>
      <c r="ADH197" s="7" t="str">
        <f t="shared" si="1449"/>
        <v>FALSE</v>
      </c>
      <c r="ADI197" s="7" t="str">
        <f t="shared" si="1449"/>
        <v>FALSE</v>
      </c>
      <c r="ADJ197" s="7" t="str">
        <f t="shared" si="1449"/>
        <v>FALSE</v>
      </c>
      <c r="ADK197" s="7" t="str">
        <f t="shared" si="1449"/>
        <v>FALSE</v>
      </c>
      <c r="ADL197" s="7" t="str">
        <f t="shared" si="1449"/>
        <v>FALSE</v>
      </c>
      <c r="ADM197" s="7" t="str">
        <f t="shared" si="1449"/>
        <v>FALSE</v>
      </c>
      <c r="ADN197" s="7" t="str">
        <f t="shared" si="1449"/>
        <v>FALSE</v>
      </c>
      <c r="ADO197" s="7" t="str">
        <f t="shared" si="1449"/>
        <v>FALSE</v>
      </c>
      <c r="ADP197" s="7" t="str">
        <f t="shared" si="1449"/>
        <v>FALSE</v>
      </c>
      <c r="ADQ197" s="7" t="str">
        <f t="shared" si="1449"/>
        <v>TRUE</v>
      </c>
      <c r="ADR197" s="7" t="str">
        <f t="shared" si="1449"/>
        <v>FALSE</v>
      </c>
      <c r="ADS197" s="7" t="str">
        <f t="shared" si="1449"/>
        <v>FALSE</v>
      </c>
      <c r="ADT197" s="7" t="str">
        <f t="shared" si="1449"/>
        <v>FALSE</v>
      </c>
      <c r="ADU197" s="7" t="str">
        <f t="shared" si="1449"/>
        <v>FALSE</v>
      </c>
      <c r="ADV197" s="7" t="str">
        <f t="shared" si="1449"/>
        <v>FALSE</v>
      </c>
      <c r="ADW197" s="7" t="str">
        <f t="shared" si="1449"/>
        <v>FALSE</v>
      </c>
      <c r="ADX197" s="7" t="str">
        <f t="shared" si="1449"/>
        <v>FALSE</v>
      </c>
      <c r="ADY197" s="7" t="str">
        <f t="shared" si="1449"/>
        <v>FALSE</v>
      </c>
      <c r="ADZ197" s="7" t="str">
        <f t="shared" si="1449"/>
        <v>FALSE</v>
      </c>
      <c r="AEA197" s="7" t="str">
        <f t="shared" si="1449"/>
        <v>FALSE</v>
      </c>
      <c r="AEB197" s="7" t="str">
        <f t="shared" si="1449"/>
        <v>FALSE</v>
      </c>
      <c r="AEC197" s="7" t="str">
        <f t="shared" si="1449"/>
        <v>FALSE</v>
      </c>
      <c r="AED197" s="7" t="str">
        <f t="shared" si="1449"/>
        <v>FALSE</v>
      </c>
      <c r="AEE197" s="7" t="str">
        <f t="shared" si="1449"/>
        <v>FALSE</v>
      </c>
      <c r="AEF197" s="7" t="str">
        <f t="shared" si="1449"/>
        <v>FALSE</v>
      </c>
      <c r="AEG197" s="7" t="str">
        <f t="shared" si="1449"/>
        <v>FALSE</v>
      </c>
      <c r="AEH197" s="7" t="str">
        <f t="shared" si="1449"/>
        <v>FALSE</v>
      </c>
      <c r="AEI197" s="7" t="str">
        <f t="shared" si="1449"/>
        <v>FALSE</v>
      </c>
      <c r="AEJ197" s="7" t="str">
        <f t="shared" si="1449"/>
        <v>FALSE</v>
      </c>
      <c r="AEK197" s="7" t="str">
        <f t="shared" si="1449"/>
        <v>FALSE</v>
      </c>
      <c r="AEL197" s="7" t="str">
        <f t="shared" si="1449"/>
        <v>FALSE</v>
      </c>
      <c r="AEM197" s="7" t="str">
        <f t="shared" si="1449"/>
        <v>FALSE</v>
      </c>
      <c r="AEN197" s="7" t="str">
        <f t="shared" si="1449"/>
        <v>FALSE</v>
      </c>
      <c r="AEO197" s="7" t="str">
        <f t="shared" si="1449"/>
        <v>FALSE</v>
      </c>
      <c r="AEP197" s="7" t="str">
        <f t="shared" si="1449"/>
        <v>FALSE</v>
      </c>
      <c r="AEQ197" s="7" t="str">
        <f t="shared" si="1449"/>
        <v>FALSE</v>
      </c>
      <c r="AER197" s="7" t="str">
        <f t="shared" si="1449"/>
        <v>FALSE</v>
      </c>
      <c r="AES197" s="7" t="str">
        <f t="shared" si="1449"/>
        <v>FALSE</v>
      </c>
      <c r="AET197" s="7" t="str">
        <f t="shared" si="1449"/>
        <v>FALSE</v>
      </c>
      <c r="AEU197" s="7" t="str">
        <f t="shared" si="1449"/>
        <v>FALSE</v>
      </c>
      <c r="AEV197" s="7" t="str">
        <f t="shared" si="1449"/>
        <v>FALSE</v>
      </c>
      <c r="AEW197" s="7" t="str">
        <f t="shared" si="1449"/>
        <v>FALSE</v>
      </c>
      <c r="AEX197" s="7" t="str">
        <f t="shared" si="1449"/>
        <v>FALSE</v>
      </c>
      <c r="AEY197" s="7" t="str">
        <f t="shared" si="1449"/>
        <v>FALSE</v>
      </c>
      <c r="AEZ197" s="7" t="str">
        <f t="shared" si="1449"/>
        <v>FALSE</v>
      </c>
      <c r="AFA197" s="7" t="str">
        <f t="shared" si="1449"/>
        <v>FALSE</v>
      </c>
      <c r="AFB197" s="7" t="str">
        <f t="shared" si="1449"/>
        <v>FALSE</v>
      </c>
      <c r="AFC197" s="7" t="str">
        <f t="shared" ref="AFC197:AHN197" si="1450">IF(AND(OR(EXACT(AFC58,"MM_SYSTEM_MODE_PUSHBACK_ATA_TAS_E"),EXACT(AFC58,"MM_SYSTEM_MODE_MAINTENANCE_TOWING_E"),EXACT(AFC58,"MM_SYSTEM_MODE_PUSHBACK_ATA_BW_E")),AFC58&lt;&gt;AFB58),"TRUE","FALSE")</f>
        <v>FALSE</v>
      </c>
      <c r="AFD197" s="7" t="str">
        <f t="shared" si="1450"/>
        <v>FALSE</v>
      </c>
      <c r="AFE197" s="7" t="str">
        <f t="shared" si="1450"/>
        <v>FALSE</v>
      </c>
      <c r="AFF197" s="7" t="str">
        <f t="shared" si="1450"/>
        <v>FALSE</v>
      </c>
      <c r="AFG197" s="7" t="str">
        <f t="shared" si="1450"/>
        <v>FALSE</v>
      </c>
      <c r="AFH197" s="7" t="str">
        <f t="shared" si="1450"/>
        <v>FALSE</v>
      </c>
      <c r="AFI197" s="7" t="str">
        <f t="shared" si="1450"/>
        <v>FALSE</v>
      </c>
      <c r="AFJ197" s="7" t="str">
        <f t="shared" si="1450"/>
        <v>FALSE</v>
      </c>
      <c r="AFK197" s="7" t="str">
        <f t="shared" si="1450"/>
        <v>FALSE</v>
      </c>
      <c r="AFL197" s="7" t="str">
        <f t="shared" si="1450"/>
        <v>FALSE</v>
      </c>
      <c r="AFM197" s="7" t="str">
        <f t="shared" si="1450"/>
        <v>FALSE</v>
      </c>
      <c r="AFN197" s="7" t="str">
        <f t="shared" si="1450"/>
        <v>TRUE</v>
      </c>
      <c r="AFO197" s="7" t="str">
        <f t="shared" si="1450"/>
        <v>FALSE</v>
      </c>
      <c r="AFP197" s="7" t="str">
        <f t="shared" si="1450"/>
        <v>FALSE</v>
      </c>
      <c r="AFQ197" s="7" t="str">
        <f t="shared" si="1450"/>
        <v>FALSE</v>
      </c>
      <c r="AFR197" s="7" t="str">
        <f t="shared" si="1450"/>
        <v>FALSE</v>
      </c>
      <c r="AFS197" s="7" t="str">
        <f t="shared" si="1450"/>
        <v>FALSE</v>
      </c>
      <c r="AFT197" s="7" t="str">
        <f t="shared" si="1450"/>
        <v>FALSE</v>
      </c>
      <c r="AFU197" s="7" t="str">
        <f t="shared" si="1450"/>
        <v>FALSE</v>
      </c>
      <c r="AFV197" s="7" t="str">
        <f t="shared" si="1450"/>
        <v>FALSE</v>
      </c>
      <c r="AFW197" s="7" t="str">
        <f t="shared" si="1450"/>
        <v>FALSE</v>
      </c>
      <c r="AFX197" s="7" t="str">
        <f t="shared" si="1450"/>
        <v>FALSE</v>
      </c>
      <c r="AFY197" s="7" t="str">
        <f t="shared" si="1450"/>
        <v>FALSE</v>
      </c>
      <c r="AFZ197" s="7" t="str">
        <f t="shared" si="1450"/>
        <v>FALSE</v>
      </c>
      <c r="AGA197" s="7" t="str">
        <f t="shared" si="1450"/>
        <v>TRUE</v>
      </c>
      <c r="AGB197" s="7" t="str">
        <f t="shared" si="1450"/>
        <v>FALSE</v>
      </c>
      <c r="AGC197" s="7" t="str">
        <f t="shared" si="1450"/>
        <v>FALSE</v>
      </c>
      <c r="AGD197" s="7" t="str">
        <f t="shared" si="1450"/>
        <v>FALSE</v>
      </c>
      <c r="AGE197" s="7" t="str">
        <f t="shared" si="1450"/>
        <v>FALSE</v>
      </c>
      <c r="AGF197" s="7" t="str">
        <f t="shared" si="1450"/>
        <v>FALSE</v>
      </c>
      <c r="AGG197" s="7" t="str">
        <f t="shared" si="1450"/>
        <v>FALSE</v>
      </c>
      <c r="AGH197" s="7" t="str">
        <f t="shared" si="1450"/>
        <v>FALSE</v>
      </c>
      <c r="AGI197" s="7" t="str">
        <f t="shared" si="1450"/>
        <v>FALSE</v>
      </c>
      <c r="AGJ197" s="7" t="str">
        <f t="shared" si="1450"/>
        <v>FALSE</v>
      </c>
      <c r="AGK197" s="7" t="str">
        <f t="shared" si="1450"/>
        <v>FALSE</v>
      </c>
      <c r="AGL197" s="7" t="str">
        <f t="shared" si="1450"/>
        <v>FALSE</v>
      </c>
      <c r="AGM197" s="7" t="str">
        <f t="shared" si="1450"/>
        <v>FALSE</v>
      </c>
      <c r="AGN197" s="7" t="str">
        <f t="shared" si="1450"/>
        <v>FALSE</v>
      </c>
      <c r="AGO197" s="7" t="str">
        <f t="shared" si="1450"/>
        <v>FALSE</v>
      </c>
      <c r="AGP197" s="7" t="str">
        <f t="shared" si="1450"/>
        <v>FALSE</v>
      </c>
      <c r="AGQ197" s="7" t="str">
        <f t="shared" si="1450"/>
        <v>FALSE</v>
      </c>
      <c r="AGR197" s="7" t="str">
        <f t="shared" si="1450"/>
        <v>FALSE</v>
      </c>
      <c r="AGS197" s="7" t="str">
        <f t="shared" si="1450"/>
        <v>FALSE</v>
      </c>
      <c r="AGT197" s="7" t="str">
        <f t="shared" si="1450"/>
        <v>FALSE</v>
      </c>
      <c r="AGU197" s="7" t="str">
        <f t="shared" si="1450"/>
        <v>FALSE</v>
      </c>
      <c r="AGV197" s="7" t="str">
        <f t="shared" si="1450"/>
        <v>FALSE</v>
      </c>
      <c r="AGW197" s="7" t="str">
        <f t="shared" si="1450"/>
        <v>FALSE</v>
      </c>
      <c r="AGX197" s="7" t="str">
        <f t="shared" si="1450"/>
        <v>FALSE</v>
      </c>
      <c r="AGY197" s="7" t="str">
        <f t="shared" si="1450"/>
        <v>FALSE</v>
      </c>
      <c r="AGZ197" s="7" t="str">
        <f t="shared" si="1450"/>
        <v>FALSE</v>
      </c>
      <c r="AHA197" s="7" t="str">
        <f t="shared" si="1450"/>
        <v>FALSE</v>
      </c>
      <c r="AHB197" s="7" t="str">
        <f t="shared" si="1450"/>
        <v>FALSE</v>
      </c>
      <c r="AHC197" s="7" t="str">
        <f t="shared" si="1450"/>
        <v>FALSE</v>
      </c>
      <c r="AHD197" s="7" t="str">
        <f t="shared" si="1450"/>
        <v>FALSE</v>
      </c>
      <c r="AHE197" s="7" t="str">
        <f t="shared" si="1450"/>
        <v>FALSE</v>
      </c>
      <c r="AHF197" s="7" t="str">
        <f t="shared" si="1450"/>
        <v>FALSE</v>
      </c>
      <c r="AHG197" s="7" t="str">
        <f t="shared" si="1450"/>
        <v>FALSE</v>
      </c>
      <c r="AHH197" s="7" t="str">
        <f t="shared" si="1450"/>
        <v>FALSE</v>
      </c>
      <c r="AHI197" s="7" t="str">
        <f t="shared" si="1450"/>
        <v>FALSE</v>
      </c>
      <c r="AHJ197" s="7" t="str">
        <f t="shared" si="1450"/>
        <v>FALSE</v>
      </c>
      <c r="AHK197" s="7" t="str">
        <f t="shared" si="1450"/>
        <v>FALSE</v>
      </c>
      <c r="AHL197" s="7" t="str">
        <f t="shared" si="1450"/>
        <v>FALSE</v>
      </c>
      <c r="AHM197" s="7" t="str">
        <f t="shared" si="1450"/>
        <v>FALSE</v>
      </c>
      <c r="AHN197" s="7" t="str">
        <f t="shared" si="1450"/>
        <v>FALSE</v>
      </c>
      <c r="AHO197" s="7" t="str">
        <f t="shared" ref="AHO197:AJF197" si="1451">IF(AND(OR(EXACT(AHO58,"MM_SYSTEM_MODE_PUSHBACK_ATA_TAS_E"),EXACT(AHO58,"MM_SYSTEM_MODE_MAINTENANCE_TOWING_E"),EXACT(AHO58,"MM_SYSTEM_MODE_PUSHBACK_ATA_BW_E")),AHO58&lt;&gt;AHN58),"TRUE","FALSE")</f>
        <v>FALSE</v>
      </c>
      <c r="AHP197" s="7" t="str">
        <f t="shared" si="1451"/>
        <v>FALSE</v>
      </c>
      <c r="AHQ197" s="7" t="str">
        <f t="shared" si="1451"/>
        <v>FALSE</v>
      </c>
      <c r="AHR197" s="7" t="str">
        <f t="shared" si="1451"/>
        <v>FALSE</v>
      </c>
      <c r="AHS197" s="7" t="str">
        <f t="shared" si="1451"/>
        <v>FALSE</v>
      </c>
      <c r="AHT197" s="7" t="str">
        <f t="shared" si="1451"/>
        <v>FALSE</v>
      </c>
      <c r="AHU197" s="7" t="str">
        <f t="shared" si="1451"/>
        <v>FALSE</v>
      </c>
      <c r="AHV197" s="7" t="str">
        <f t="shared" si="1451"/>
        <v>FALSE</v>
      </c>
      <c r="AHW197" s="7" t="str">
        <f t="shared" si="1451"/>
        <v>FALSE</v>
      </c>
      <c r="AHX197" s="7" t="str">
        <f t="shared" si="1451"/>
        <v>FALSE</v>
      </c>
      <c r="AHY197" s="7" t="str">
        <f t="shared" si="1451"/>
        <v>FALSE</v>
      </c>
      <c r="AHZ197" s="7" t="str">
        <f t="shared" si="1451"/>
        <v>FALSE</v>
      </c>
      <c r="AIA197" s="7" t="str">
        <f t="shared" si="1451"/>
        <v>FALSE</v>
      </c>
      <c r="AIB197" s="7" t="str">
        <f t="shared" si="1451"/>
        <v>FALSE</v>
      </c>
      <c r="AIC197" s="7" t="str">
        <f t="shared" si="1451"/>
        <v>FALSE</v>
      </c>
      <c r="AID197" s="7" t="str">
        <f t="shared" si="1451"/>
        <v>FALSE</v>
      </c>
      <c r="AIE197" s="7" t="str">
        <f t="shared" si="1451"/>
        <v>FALSE</v>
      </c>
      <c r="AIF197" s="7" t="str">
        <f t="shared" si="1451"/>
        <v>FALSE</v>
      </c>
      <c r="AIG197" s="7" t="str">
        <f t="shared" si="1451"/>
        <v>FALSE</v>
      </c>
      <c r="AIH197" s="7" t="str">
        <f t="shared" si="1451"/>
        <v>FALSE</v>
      </c>
      <c r="AII197" s="7" t="str">
        <f t="shared" si="1451"/>
        <v>FALSE</v>
      </c>
      <c r="AIJ197" s="7" t="str">
        <f t="shared" si="1451"/>
        <v>FALSE</v>
      </c>
      <c r="AIK197" s="7" t="str">
        <f t="shared" si="1451"/>
        <v>FALSE</v>
      </c>
      <c r="AIL197" s="7" t="str">
        <f t="shared" si="1451"/>
        <v>FALSE</v>
      </c>
      <c r="AIM197" s="7" t="str">
        <f t="shared" si="1451"/>
        <v>FALSE</v>
      </c>
      <c r="AIN197" s="7" t="str">
        <f t="shared" si="1451"/>
        <v>FALSE</v>
      </c>
      <c r="AIO197" s="7" t="str">
        <f t="shared" si="1451"/>
        <v>FALSE</v>
      </c>
      <c r="AIP197" s="7" t="str">
        <f t="shared" si="1451"/>
        <v>FALSE</v>
      </c>
      <c r="AIQ197" s="7" t="str">
        <f t="shared" si="1451"/>
        <v>FALSE</v>
      </c>
      <c r="AIR197" s="7" t="str">
        <f t="shared" si="1451"/>
        <v>FALSE</v>
      </c>
      <c r="AIS197" s="7" t="str">
        <f t="shared" si="1451"/>
        <v>FALSE</v>
      </c>
      <c r="AIT197" s="7" t="str">
        <f t="shared" si="1451"/>
        <v>FALSE</v>
      </c>
      <c r="AIU197" s="7" t="str">
        <f t="shared" si="1451"/>
        <v>FALSE</v>
      </c>
      <c r="AIV197" s="7" t="str">
        <f t="shared" si="1451"/>
        <v>FALSE</v>
      </c>
      <c r="AIW197" s="7" t="str">
        <f t="shared" si="1451"/>
        <v>FALSE</v>
      </c>
      <c r="AIX197" s="7" t="str">
        <f>IF(AND(OR(EXACT(AIX58,"MM_SYSTEM_MODE_PUSHBACK_ATA_TAS_E"),EXACT(AIX58,"MM_SYSTEM_MODE_MAINTENANCE_TOWING_E"),EXACT(AIX58,"MM_SYSTEM_MODE_PUSHBACK_ATA_BW_E")),AIX58&lt;&gt;AIW58),"TRUE","FALSE")</f>
        <v>FALSE</v>
      </c>
      <c r="AIY197" s="7" t="str">
        <f t="shared" si="1451"/>
        <v>FALSE</v>
      </c>
      <c r="AIZ197" s="7" t="str">
        <f t="shared" si="1451"/>
        <v>FALSE</v>
      </c>
      <c r="AJA197" s="7" t="str">
        <f t="shared" si="1451"/>
        <v>TRUE</v>
      </c>
      <c r="AJB197" s="7" t="str">
        <f t="shared" si="1451"/>
        <v>FALSE</v>
      </c>
      <c r="AJC197" s="7" t="str">
        <f t="shared" si="1451"/>
        <v>FALSE</v>
      </c>
      <c r="AJD197" s="7" t="str">
        <f t="shared" si="1451"/>
        <v>FALSE</v>
      </c>
      <c r="AJE197" s="7" t="str">
        <f t="shared" si="1451"/>
        <v>TRUE</v>
      </c>
      <c r="AJF197" s="7" t="str">
        <f t="shared" si="1451"/>
        <v>FALSE</v>
      </c>
      <c r="AKJ197" s="7" t="str">
        <f>IF(AND(OR(EXACT(AKJ58,"MM_SYSTEM_MODE_PUSHBACK_ATA_TAS_E"),EXACT(AKJ58,"MM_SYSTEM_MODE_MAINTENANCE_TOWING_E"),EXACT(AKJ58,"MM_SYSTEM_MODE_PUSHBACK_ATA_BW_E")),AKJ58&lt;&gt;AJX58),"TRUE","FALSE")</f>
        <v>FALSE</v>
      </c>
      <c r="AKK197" s="7" t="str">
        <f t="shared" ref="AKK197:AKQ197" si="1452">IF(AND(OR(EXACT(AKK58,"MM_SYSTEM_MODE_PUSHBACK_ATA_TAS_E"),EXACT(AKK58,"MM_SYSTEM_MODE_MAINTENANCE_TOWING_E"),EXACT(AKK58,"MM_SYSTEM_MODE_PUSHBACK_ATA_BW_E")),AKK58&lt;&gt;AKJ58),"TRUE","FALSE")</f>
        <v>FALSE</v>
      </c>
      <c r="AKL197" s="7" t="str">
        <f t="shared" si="1452"/>
        <v>FALSE</v>
      </c>
      <c r="AKM197" s="7" t="str">
        <f t="shared" si="1452"/>
        <v>FALSE</v>
      </c>
      <c r="AKN197" s="7" t="str">
        <f t="shared" si="1452"/>
        <v>FALSE</v>
      </c>
      <c r="AKO197" s="7" t="str">
        <f t="shared" si="1452"/>
        <v>FALSE</v>
      </c>
      <c r="AKP197" s="7" t="str">
        <f t="shared" si="1452"/>
        <v>FALSE</v>
      </c>
      <c r="AKQ197" s="7" t="str">
        <f t="shared" si="1452"/>
        <v>FALSE</v>
      </c>
      <c r="AKY197" s="7" t="str">
        <f t="shared" ref="AKY197:ALG197" si="1453">IF(AND(OR(EXACT(AKY58,"MM_SYSTEM_MODE_PUSHBACK_ATA_TAS_E"),EXACT(AKY58,"MM_SYSTEM_MODE_MAINTENANCE_TOWING_E"),EXACT(AKY58,"MM_SYSTEM_MODE_PUSHBACK_ATA_BW_E")),AKY58&lt;&gt;AKX58),"TRUE","FALSE")</f>
        <v>FALSE</v>
      </c>
      <c r="AKZ197" s="7" t="str">
        <f t="shared" si="1453"/>
        <v>FALSE</v>
      </c>
      <c r="ALA197" s="7" t="str">
        <f t="shared" si="1453"/>
        <v>FALSE</v>
      </c>
      <c r="ALB197" s="7" t="str">
        <f t="shared" si="1453"/>
        <v>FALSE</v>
      </c>
      <c r="ALC197" s="7" t="str">
        <f t="shared" si="1453"/>
        <v>FALSE</v>
      </c>
      <c r="ALD197" s="7" t="str">
        <f t="shared" si="1453"/>
        <v>FALSE</v>
      </c>
      <c r="ALE197" s="7" t="str">
        <f t="shared" si="1453"/>
        <v>FALSE</v>
      </c>
      <c r="ALF197" s="7" t="str">
        <f t="shared" si="1453"/>
        <v>FALSE</v>
      </c>
      <c r="ALG197" s="7" t="str">
        <f t="shared" si="1453"/>
        <v>TRUE</v>
      </c>
      <c r="ALM197" s="7" t="str">
        <f t="shared" ref="ALM197:ALW197" si="1454">IF(AND(OR(EXACT(ALM58,"MM_SYSTEM_MODE_PUSHBACK_ATA_TAS_E"),EXACT(ALM58,"MM_SYSTEM_MODE_MAINTENANCE_TOWING_E"),EXACT(ALM58,"MM_SYSTEM_MODE_PUSHBACK_ATA_BW_E")),ALM58&lt;&gt;ALL58),"TRUE","FALSE")</f>
        <v>FALSE</v>
      </c>
      <c r="ALN197" s="7" t="str">
        <f t="shared" si="1454"/>
        <v>FALSE</v>
      </c>
      <c r="ALO197" s="7" t="str">
        <f t="shared" si="1454"/>
        <v>FALSE</v>
      </c>
      <c r="ALP197" s="7" t="str">
        <f t="shared" si="1454"/>
        <v>FALSE</v>
      </c>
      <c r="ALQ197" s="7" t="str">
        <f t="shared" si="1454"/>
        <v>FALSE</v>
      </c>
      <c r="ALR197" s="7" t="str">
        <f t="shared" si="1454"/>
        <v>FALSE</v>
      </c>
      <c r="ALS197" s="7" t="str">
        <f t="shared" si="1454"/>
        <v>FALSE</v>
      </c>
      <c r="ALT197" s="7" t="str">
        <f t="shared" si="1454"/>
        <v>FALSE</v>
      </c>
      <c r="ALU197" s="7" t="str">
        <f t="shared" si="1454"/>
        <v>FALSE</v>
      </c>
      <c r="ALV197" s="7" t="str">
        <f t="shared" si="1454"/>
        <v>TRUE</v>
      </c>
      <c r="ALW197" s="7" t="str">
        <f t="shared" si="1454"/>
        <v>FALSE</v>
      </c>
      <c r="ALX197" s="7"/>
      <c r="ALY197" s="7"/>
      <c r="ALZ197" s="7"/>
      <c r="AMA197" s="7"/>
      <c r="AMB197" s="7"/>
      <c r="AMC197" s="7" t="str">
        <f t="shared" ref="AMC197:AMN197" si="1455">IF(AND(OR(EXACT(AMC58,"MM_SYSTEM_MODE_PUSHBACK_ATA_TAS_E"),EXACT(AMC58,"MM_SYSTEM_MODE_MAINTENANCE_TOWING_E"),EXACT(AMC58,"MM_SYSTEM_MODE_PUSHBACK_ATA_BW_E")),AMC58&lt;&gt;AMB58),"TRUE","FALSE")</f>
        <v>FALSE</v>
      </c>
      <c r="AMD197" s="7" t="str">
        <f t="shared" si="1455"/>
        <v>FALSE</v>
      </c>
      <c r="AME197" s="7" t="str">
        <f t="shared" si="1455"/>
        <v>FALSE</v>
      </c>
      <c r="AMF197" s="7" t="str">
        <f t="shared" si="1455"/>
        <v>FALSE</v>
      </c>
      <c r="AMG197" s="7" t="str">
        <f t="shared" si="1455"/>
        <v>FALSE</v>
      </c>
      <c r="AMH197" s="7" t="str">
        <f t="shared" si="1455"/>
        <v>FALSE</v>
      </c>
      <c r="AMI197" s="7" t="str">
        <f t="shared" si="1455"/>
        <v>FALSE</v>
      </c>
      <c r="AMJ197" s="7" t="str">
        <f t="shared" si="1455"/>
        <v>FALSE</v>
      </c>
      <c r="AMK197" s="7" t="str">
        <f t="shared" si="1455"/>
        <v>FALSE</v>
      </c>
      <c r="AML197" s="7" t="str">
        <f t="shared" si="1455"/>
        <v>TRUE</v>
      </c>
      <c r="AMM197" s="7" t="str">
        <f t="shared" si="1455"/>
        <v>FALSE</v>
      </c>
      <c r="AMN197" s="7" t="str">
        <f t="shared" si="1455"/>
        <v>FALSE</v>
      </c>
      <c r="AMO197" s="7"/>
      <c r="AMP197" s="7"/>
      <c r="AMQ197" s="7"/>
      <c r="AMR197" s="7"/>
      <c r="AMS197" s="7"/>
      <c r="AMT197" s="7"/>
      <c r="AMU197" s="7"/>
      <c r="AMV197" s="7"/>
      <c r="AMW197" s="7"/>
      <c r="AMX197" s="7"/>
      <c r="AMY197" s="7"/>
      <c r="AMZ197" s="7"/>
      <c r="ANA197" s="7"/>
      <c r="ANB197" s="7"/>
      <c r="ANC197" s="7"/>
      <c r="AND197" s="7"/>
    </row>
    <row r="198" spans="1:1120" ht="15" customHeight="1" x14ac:dyDescent="0.25">
      <c r="D198" s="7">
        <f t="shared" ref="D198:BO198" si="1456" xml:space="preserve"> IF( EXACT(D197,"TRUE"), D58, )</f>
        <v>0</v>
      </c>
      <c r="E198" s="7">
        <f t="shared" si="1456"/>
        <v>0</v>
      </c>
      <c r="F198" s="7">
        <f t="shared" si="1456"/>
        <v>0</v>
      </c>
      <c r="G198" s="7">
        <f t="shared" si="1456"/>
        <v>0</v>
      </c>
      <c r="H198" s="7">
        <f t="shared" si="1456"/>
        <v>0</v>
      </c>
      <c r="I198" s="7">
        <f t="shared" si="1456"/>
        <v>0</v>
      </c>
      <c r="J198" s="7">
        <f t="shared" si="1456"/>
        <v>0</v>
      </c>
      <c r="K198" s="7">
        <f t="shared" si="1456"/>
        <v>0</v>
      </c>
      <c r="L198" s="7">
        <f t="shared" si="1456"/>
        <v>0</v>
      </c>
      <c r="M198" s="7">
        <f t="shared" si="1456"/>
        <v>0</v>
      </c>
      <c r="N198" s="7">
        <f t="shared" si="1456"/>
        <v>0</v>
      </c>
      <c r="O198" s="7">
        <f t="shared" si="1456"/>
        <v>0</v>
      </c>
      <c r="P198" s="7">
        <f t="shared" si="1456"/>
        <v>0</v>
      </c>
      <c r="Q198" s="7">
        <f t="shared" si="1456"/>
        <v>0</v>
      </c>
      <c r="R198" s="7">
        <f t="shared" si="1456"/>
        <v>0</v>
      </c>
      <c r="S198" s="7">
        <f t="shared" si="1456"/>
        <v>0</v>
      </c>
      <c r="T198" s="7">
        <f t="shared" si="1456"/>
        <v>0</v>
      </c>
      <c r="U198" s="7">
        <f t="shared" si="1456"/>
        <v>0</v>
      </c>
      <c r="V198" s="7">
        <f t="shared" si="1456"/>
        <v>0</v>
      </c>
      <c r="W198" s="7">
        <f t="shared" si="1456"/>
        <v>0</v>
      </c>
      <c r="X198" s="7">
        <f t="shared" si="1456"/>
        <v>0</v>
      </c>
      <c r="Y198" s="7">
        <f t="shared" si="1456"/>
        <v>0</v>
      </c>
      <c r="Z198" s="7">
        <f t="shared" si="1456"/>
        <v>0</v>
      </c>
      <c r="AA198" s="7">
        <f t="shared" si="1456"/>
        <v>0</v>
      </c>
      <c r="AB198" s="7">
        <f t="shared" si="1456"/>
        <v>0</v>
      </c>
      <c r="AC198" s="7">
        <f t="shared" si="1456"/>
        <v>0</v>
      </c>
      <c r="AD198" s="7">
        <f t="shared" si="1456"/>
        <v>0</v>
      </c>
      <c r="AE198" s="7">
        <f t="shared" si="1456"/>
        <v>0</v>
      </c>
      <c r="AF198" s="7">
        <f t="shared" si="1456"/>
        <v>0</v>
      </c>
      <c r="AG198" s="7">
        <f t="shared" si="1456"/>
        <v>0</v>
      </c>
      <c r="AH198" s="7">
        <f t="shared" si="1456"/>
        <v>0</v>
      </c>
      <c r="AI198" s="7">
        <f t="shared" si="1456"/>
        <v>0</v>
      </c>
      <c r="AJ198" s="7">
        <f t="shared" si="1456"/>
        <v>0</v>
      </c>
      <c r="AK198" s="7">
        <f t="shared" si="1456"/>
        <v>0</v>
      </c>
      <c r="AL198" s="7">
        <f t="shared" si="1456"/>
        <v>0</v>
      </c>
      <c r="AM198" s="7">
        <f t="shared" si="1456"/>
        <v>0</v>
      </c>
      <c r="AN198" s="7">
        <f t="shared" si="1456"/>
        <v>0</v>
      </c>
      <c r="AO198" s="7">
        <f t="shared" si="1456"/>
        <v>0</v>
      </c>
      <c r="AP198" s="7">
        <f t="shared" si="1456"/>
        <v>0</v>
      </c>
      <c r="AQ198" s="7">
        <f t="shared" si="1456"/>
        <v>0</v>
      </c>
      <c r="AR198" s="7">
        <f t="shared" si="1456"/>
        <v>0</v>
      </c>
      <c r="AS198" s="7">
        <f t="shared" si="1456"/>
        <v>0</v>
      </c>
      <c r="AT198" s="7">
        <f t="shared" si="1456"/>
        <v>0</v>
      </c>
      <c r="AU198" s="7">
        <f t="shared" si="1456"/>
        <v>0</v>
      </c>
      <c r="AV198" s="7">
        <f t="shared" si="1456"/>
        <v>0</v>
      </c>
      <c r="AW198" s="7">
        <f t="shared" si="1456"/>
        <v>0</v>
      </c>
      <c r="AX198" s="7">
        <f t="shared" si="1456"/>
        <v>0</v>
      </c>
      <c r="AY198" s="7">
        <f t="shared" si="1456"/>
        <v>0</v>
      </c>
      <c r="AZ198" s="7">
        <f t="shared" si="1456"/>
        <v>0</v>
      </c>
      <c r="BA198" s="7">
        <f t="shared" si="1456"/>
        <v>0</v>
      </c>
      <c r="BB198" s="7">
        <f t="shared" si="1456"/>
        <v>0</v>
      </c>
      <c r="BC198" s="7">
        <f t="shared" si="1456"/>
        <v>0</v>
      </c>
      <c r="BD198" s="7">
        <f t="shared" si="1456"/>
        <v>0</v>
      </c>
      <c r="BE198" s="7">
        <f t="shared" si="1456"/>
        <v>0</v>
      </c>
      <c r="BF198" s="7">
        <f t="shared" si="1456"/>
        <v>0</v>
      </c>
      <c r="BG198" s="7">
        <f t="shared" si="1456"/>
        <v>0</v>
      </c>
      <c r="BH198" s="7">
        <f t="shared" si="1456"/>
        <v>0</v>
      </c>
      <c r="BI198" s="7">
        <f t="shared" si="1456"/>
        <v>0</v>
      </c>
      <c r="BJ198" s="7">
        <f t="shared" si="1456"/>
        <v>0</v>
      </c>
      <c r="BK198" s="7">
        <f t="shared" si="1456"/>
        <v>0</v>
      </c>
      <c r="BL198" s="7">
        <f t="shared" si="1456"/>
        <v>0</v>
      </c>
      <c r="BM198" s="7">
        <f t="shared" si="1456"/>
        <v>0</v>
      </c>
      <c r="BN198" s="7">
        <f t="shared" si="1456"/>
        <v>0</v>
      </c>
      <c r="BO198" s="7">
        <f t="shared" si="1456"/>
        <v>0</v>
      </c>
      <c r="BP198" s="7">
        <f t="shared" ref="BP198:EA198" si="1457" xml:space="preserve"> IF( EXACT(BP197,"TRUE"), BP58, )</f>
        <v>0</v>
      </c>
      <c r="BQ198" s="7">
        <f t="shared" si="1457"/>
        <v>0</v>
      </c>
      <c r="BR198" s="7">
        <f t="shared" si="1457"/>
        <v>0</v>
      </c>
      <c r="BS198" s="7">
        <f t="shared" si="1457"/>
        <v>0</v>
      </c>
      <c r="BT198" s="7">
        <f t="shared" si="1457"/>
        <v>0</v>
      </c>
      <c r="BU198" s="7">
        <f t="shared" si="1457"/>
        <v>0</v>
      </c>
      <c r="BV198" s="7">
        <f t="shared" si="1457"/>
        <v>0</v>
      </c>
      <c r="BW198" s="7">
        <f t="shared" si="1457"/>
        <v>0</v>
      </c>
      <c r="BX198" s="7">
        <f t="shared" si="1457"/>
        <v>0</v>
      </c>
      <c r="BY198" s="7">
        <f t="shared" si="1457"/>
        <v>0</v>
      </c>
      <c r="BZ198" s="7">
        <f t="shared" si="1457"/>
        <v>0</v>
      </c>
      <c r="CA198" s="7">
        <f t="shared" si="1457"/>
        <v>0</v>
      </c>
      <c r="CB198" s="7">
        <f t="shared" si="1457"/>
        <v>0</v>
      </c>
      <c r="CC198" s="7">
        <f t="shared" si="1457"/>
        <v>0</v>
      </c>
      <c r="CD198" s="7">
        <f t="shared" si="1457"/>
        <v>0</v>
      </c>
      <c r="CE198" s="7">
        <f t="shared" si="1457"/>
        <v>0</v>
      </c>
      <c r="CF198" s="7">
        <f t="shared" si="1457"/>
        <v>0</v>
      </c>
      <c r="CG198" s="7">
        <f t="shared" si="1457"/>
        <v>0</v>
      </c>
      <c r="CH198" s="7">
        <f t="shared" si="1457"/>
        <v>0</v>
      </c>
      <c r="CI198" s="7">
        <f t="shared" si="1457"/>
        <v>0</v>
      </c>
      <c r="CJ198" s="7">
        <f t="shared" si="1457"/>
        <v>0</v>
      </c>
      <c r="CK198" s="7">
        <f t="shared" si="1457"/>
        <v>0</v>
      </c>
      <c r="CL198" s="7">
        <f t="shared" si="1457"/>
        <v>0</v>
      </c>
      <c r="CM198" s="7">
        <f t="shared" si="1457"/>
        <v>0</v>
      </c>
      <c r="CN198" s="7">
        <f t="shared" si="1457"/>
        <v>0</v>
      </c>
      <c r="CO198" s="7">
        <f t="shared" si="1457"/>
        <v>0</v>
      </c>
      <c r="CP198" s="7">
        <f t="shared" si="1457"/>
        <v>0</v>
      </c>
      <c r="CQ198" s="7">
        <f t="shared" si="1457"/>
        <v>0</v>
      </c>
      <c r="CR198" s="7">
        <f t="shared" si="1457"/>
        <v>0</v>
      </c>
      <c r="CS198" s="7">
        <f t="shared" si="1457"/>
        <v>0</v>
      </c>
      <c r="CT198" s="7">
        <f t="shared" si="1457"/>
        <v>0</v>
      </c>
      <c r="CU198" s="7">
        <f t="shared" si="1457"/>
        <v>0</v>
      </c>
      <c r="CV198" s="7">
        <f t="shared" si="1457"/>
        <v>0</v>
      </c>
      <c r="CW198" s="7">
        <f t="shared" si="1457"/>
        <v>0</v>
      </c>
      <c r="CX198" s="7">
        <f t="shared" si="1457"/>
        <v>0</v>
      </c>
      <c r="CY198" s="7">
        <f t="shared" si="1457"/>
        <v>0</v>
      </c>
      <c r="CZ198" s="7">
        <f t="shared" si="1457"/>
        <v>0</v>
      </c>
      <c r="DA198" s="7">
        <f t="shared" si="1457"/>
        <v>0</v>
      </c>
      <c r="DB198" s="7">
        <f t="shared" si="1457"/>
        <v>0</v>
      </c>
      <c r="DC198" s="7">
        <f t="shared" si="1457"/>
        <v>0</v>
      </c>
      <c r="DD198" s="7">
        <f t="shared" si="1457"/>
        <v>0</v>
      </c>
      <c r="DE198" s="7">
        <f t="shared" si="1457"/>
        <v>0</v>
      </c>
      <c r="DF198" s="7">
        <f t="shared" si="1457"/>
        <v>0</v>
      </c>
      <c r="DG198" s="7">
        <f t="shared" si="1457"/>
        <v>0</v>
      </c>
      <c r="DH198" s="7">
        <f t="shared" si="1457"/>
        <v>0</v>
      </c>
      <c r="DI198" s="7">
        <f t="shared" si="1457"/>
        <v>0</v>
      </c>
      <c r="DJ198" s="7">
        <f t="shared" si="1457"/>
        <v>0</v>
      </c>
      <c r="DK198" s="7">
        <f t="shared" si="1457"/>
        <v>0</v>
      </c>
      <c r="DL198" s="7">
        <f t="shared" si="1457"/>
        <v>0</v>
      </c>
      <c r="DM198" s="7">
        <f t="shared" si="1457"/>
        <v>0</v>
      </c>
      <c r="DN198" s="7">
        <f t="shared" si="1457"/>
        <v>0</v>
      </c>
      <c r="DO198" s="7">
        <f t="shared" si="1457"/>
        <v>0</v>
      </c>
      <c r="DP198" s="7">
        <f t="shared" si="1457"/>
        <v>0</v>
      </c>
      <c r="DQ198" s="7">
        <f t="shared" si="1457"/>
        <v>0</v>
      </c>
      <c r="DR198" s="7">
        <f t="shared" si="1457"/>
        <v>0</v>
      </c>
      <c r="DS198" s="7">
        <f t="shared" si="1457"/>
        <v>0</v>
      </c>
      <c r="DT198" s="7">
        <f t="shared" si="1457"/>
        <v>0</v>
      </c>
      <c r="DU198" s="7">
        <f t="shared" si="1457"/>
        <v>0</v>
      </c>
      <c r="DV198" s="7">
        <f t="shared" si="1457"/>
        <v>0</v>
      </c>
      <c r="DW198" s="7">
        <f t="shared" si="1457"/>
        <v>0</v>
      </c>
      <c r="DX198" s="7">
        <f t="shared" si="1457"/>
        <v>0</v>
      </c>
      <c r="DY198" s="7">
        <f t="shared" si="1457"/>
        <v>0</v>
      </c>
      <c r="DZ198" s="7">
        <f t="shared" si="1457"/>
        <v>0</v>
      </c>
      <c r="EA198" s="7">
        <f t="shared" si="1457"/>
        <v>0</v>
      </c>
      <c r="EB198" s="7">
        <f t="shared" ref="EB198:GM198" si="1458" xml:space="preserve"> IF( EXACT(EB197,"TRUE"), EB58, )</f>
        <v>0</v>
      </c>
      <c r="EC198" s="7">
        <f t="shared" si="1458"/>
        <v>0</v>
      </c>
      <c r="ED198" s="7">
        <f t="shared" si="1458"/>
        <v>0</v>
      </c>
      <c r="EE198" s="7">
        <f t="shared" si="1458"/>
        <v>0</v>
      </c>
      <c r="EF198" s="7">
        <f t="shared" si="1458"/>
        <v>0</v>
      </c>
      <c r="EG198" s="7">
        <f t="shared" si="1458"/>
        <v>0</v>
      </c>
      <c r="EH198" s="7">
        <f t="shared" si="1458"/>
        <v>0</v>
      </c>
      <c r="EI198" s="7">
        <f t="shared" si="1458"/>
        <v>0</v>
      </c>
      <c r="EJ198" s="7">
        <f t="shared" si="1458"/>
        <v>0</v>
      </c>
      <c r="EK198" s="7">
        <f t="shared" si="1458"/>
        <v>0</v>
      </c>
      <c r="EL198" s="7">
        <f t="shared" si="1458"/>
        <v>0</v>
      </c>
      <c r="EM198" s="7">
        <f t="shared" si="1458"/>
        <v>0</v>
      </c>
      <c r="EN198" s="7">
        <f t="shared" si="1458"/>
        <v>0</v>
      </c>
      <c r="EO198" s="7">
        <f t="shared" si="1458"/>
        <v>0</v>
      </c>
      <c r="EP198" s="7">
        <f t="shared" si="1458"/>
        <v>0</v>
      </c>
      <c r="EQ198" s="7">
        <f t="shared" si="1458"/>
        <v>0</v>
      </c>
      <c r="ER198" s="7">
        <f t="shared" si="1458"/>
        <v>0</v>
      </c>
      <c r="ES198" s="7">
        <f t="shared" si="1458"/>
        <v>0</v>
      </c>
      <c r="ET198" s="7">
        <f t="shared" si="1458"/>
        <v>0</v>
      </c>
      <c r="EU198" s="7">
        <f t="shared" si="1458"/>
        <v>0</v>
      </c>
      <c r="EV198" s="7">
        <f t="shared" si="1458"/>
        <v>0</v>
      </c>
      <c r="EW198" s="7">
        <f t="shared" si="1458"/>
        <v>0</v>
      </c>
      <c r="EX198" s="7">
        <f t="shared" si="1458"/>
        <v>0</v>
      </c>
      <c r="EY198" s="7">
        <f t="shared" si="1458"/>
        <v>0</v>
      </c>
      <c r="EZ198" s="7">
        <f t="shared" si="1458"/>
        <v>0</v>
      </c>
      <c r="FA198" s="7">
        <f t="shared" si="1458"/>
        <v>0</v>
      </c>
      <c r="FB198" s="7">
        <f t="shared" si="1458"/>
        <v>0</v>
      </c>
      <c r="FC198" s="7">
        <f t="shared" si="1458"/>
        <v>0</v>
      </c>
      <c r="FD198" s="7">
        <f t="shared" si="1458"/>
        <v>0</v>
      </c>
      <c r="FE198" s="7">
        <f t="shared" si="1458"/>
        <v>0</v>
      </c>
      <c r="FF198" s="7">
        <f t="shared" si="1458"/>
        <v>0</v>
      </c>
      <c r="FG198" s="7">
        <f t="shared" si="1458"/>
        <v>0</v>
      </c>
      <c r="FH198" s="7">
        <f t="shared" si="1458"/>
        <v>0</v>
      </c>
      <c r="FI198" s="7">
        <f t="shared" si="1458"/>
        <v>0</v>
      </c>
      <c r="FJ198" s="7">
        <f t="shared" si="1458"/>
        <v>0</v>
      </c>
      <c r="FK198" s="7">
        <f t="shared" si="1458"/>
        <v>0</v>
      </c>
      <c r="FL198" s="7">
        <f t="shared" si="1458"/>
        <v>0</v>
      </c>
      <c r="FM198" s="7">
        <f t="shared" si="1458"/>
        <v>0</v>
      </c>
      <c r="FN198" s="7">
        <f t="shared" si="1458"/>
        <v>0</v>
      </c>
      <c r="FO198" s="7">
        <f t="shared" si="1458"/>
        <v>0</v>
      </c>
      <c r="FP198" s="7">
        <f t="shared" si="1458"/>
        <v>0</v>
      </c>
      <c r="FQ198" s="7">
        <f t="shared" si="1458"/>
        <v>0</v>
      </c>
      <c r="FR198" s="7">
        <f t="shared" si="1458"/>
        <v>0</v>
      </c>
      <c r="FS198" s="7">
        <f t="shared" si="1458"/>
        <v>0</v>
      </c>
      <c r="FT198" s="7">
        <f t="shared" si="1458"/>
        <v>0</v>
      </c>
      <c r="FU198" s="7">
        <f t="shared" si="1458"/>
        <v>0</v>
      </c>
      <c r="FV198" s="7">
        <f t="shared" si="1458"/>
        <v>0</v>
      </c>
      <c r="FW198" s="7">
        <f t="shared" si="1458"/>
        <v>0</v>
      </c>
      <c r="FX198" s="7">
        <f t="shared" si="1458"/>
        <v>0</v>
      </c>
      <c r="FY198" s="7">
        <f t="shared" si="1458"/>
        <v>0</v>
      </c>
      <c r="FZ198" s="7">
        <f t="shared" si="1458"/>
        <v>0</v>
      </c>
      <c r="GA198" s="7">
        <f t="shared" si="1458"/>
        <v>0</v>
      </c>
      <c r="GB198" s="7">
        <f t="shared" si="1458"/>
        <v>0</v>
      </c>
      <c r="GC198" s="7">
        <f t="shared" si="1458"/>
        <v>0</v>
      </c>
      <c r="GD198" s="7">
        <f t="shared" si="1458"/>
        <v>0</v>
      </c>
      <c r="GE198" s="7">
        <f t="shared" si="1458"/>
        <v>0</v>
      </c>
      <c r="GF198" s="7">
        <f t="shared" si="1458"/>
        <v>0</v>
      </c>
      <c r="GG198" s="7">
        <f t="shared" si="1458"/>
        <v>0</v>
      </c>
      <c r="GH198" s="7">
        <f t="shared" si="1458"/>
        <v>0</v>
      </c>
      <c r="GI198" s="7">
        <f t="shared" si="1458"/>
        <v>0</v>
      </c>
      <c r="GJ198" s="7">
        <f t="shared" si="1458"/>
        <v>0</v>
      </c>
      <c r="GK198" s="7">
        <f t="shared" si="1458"/>
        <v>0</v>
      </c>
      <c r="GL198" s="7">
        <f t="shared" si="1458"/>
        <v>0</v>
      </c>
      <c r="GM198" s="7">
        <f t="shared" si="1458"/>
        <v>0</v>
      </c>
      <c r="GN198" s="7">
        <f t="shared" ref="GN198:IY198" si="1459" xml:space="preserve"> IF( EXACT(GN197,"TRUE"), GN58, )</f>
        <v>0</v>
      </c>
      <c r="GO198" s="7">
        <f t="shared" si="1459"/>
        <v>0</v>
      </c>
      <c r="GP198" s="7">
        <f t="shared" si="1459"/>
        <v>0</v>
      </c>
      <c r="GQ198" s="7">
        <f t="shared" si="1459"/>
        <v>0</v>
      </c>
      <c r="GR198" s="7">
        <f t="shared" si="1459"/>
        <v>0</v>
      </c>
      <c r="GS198" s="7">
        <f t="shared" si="1459"/>
        <v>0</v>
      </c>
      <c r="GT198" s="7">
        <f t="shared" si="1459"/>
        <v>0</v>
      </c>
      <c r="GU198" s="7">
        <f t="shared" si="1459"/>
        <v>0</v>
      </c>
      <c r="GV198" s="7">
        <f t="shared" si="1459"/>
        <v>0</v>
      </c>
      <c r="GW198" s="7">
        <f t="shared" si="1459"/>
        <v>0</v>
      </c>
      <c r="GX198" s="7">
        <f t="shared" si="1459"/>
        <v>0</v>
      </c>
      <c r="GY198" s="7">
        <f t="shared" si="1459"/>
        <v>0</v>
      </c>
      <c r="GZ198" s="7">
        <f t="shared" si="1459"/>
        <v>0</v>
      </c>
      <c r="HA198" s="7">
        <f t="shared" si="1459"/>
        <v>0</v>
      </c>
      <c r="HB198" s="7">
        <f t="shared" si="1459"/>
        <v>0</v>
      </c>
      <c r="HC198" s="7">
        <f t="shared" si="1459"/>
        <v>0</v>
      </c>
      <c r="HD198" s="7">
        <f t="shared" si="1459"/>
        <v>0</v>
      </c>
      <c r="HE198" s="7">
        <f t="shared" si="1459"/>
        <v>0</v>
      </c>
      <c r="HF198" s="7">
        <f t="shared" si="1459"/>
        <v>0</v>
      </c>
      <c r="HG198" s="7">
        <f t="shared" si="1459"/>
        <v>0</v>
      </c>
      <c r="HH198" s="7">
        <f t="shared" si="1459"/>
        <v>0</v>
      </c>
      <c r="HI198" s="7">
        <f t="shared" si="1459"/>
        <v>0</v>
      </c>
      <c r="HJ198" s="7">
        <f t="shared" si="1459"/>
        <v>0</v>
      </c>
      <c r="HK198" s="7">
        <f t="shared" si="1459"/>
        <v>0</v>
      </c>
      <c r="HL198" s="7">
        <f t="shared" si="1459"/>
        <v>0</v>
      </c>
      <c r="HM198" s="7">
        <f t="shared" si="1459"/>
        <v>0</v>
      </c>
      <c r="HN198" s="7">
        <f t="shared" si="1459"/>
        <v>0</v>
      </c>
      <c r="HO198" s="7">
        <f t="shared" si="1459"/>
        <v>0</v>
      </c>
      <c r="HP198" s="7">
        <f t="shared" si="1459"/>
        <v>0</v>
      </c>
      <c r="HQ198" s="7">
        <f t="shared" si="1459"/>
        <v>0</v>
      </c>
      <c r="HR198" s="7">
        <f t="shared" si="1459"/>
        <v>0</v>
      </c>
      <c r="HS198" s="7">
        <f t="shared" si="1459"/>
        <v>0</v>
      </c>
      <c r="HT198" s="7">
        <f t="shared" si="1459"/>
        <v>0</v>
      </c>
      <c r="HU198" s="7">
        <f t="shared" si="1459"/>
        <v>0</v>
      </c>
      <c r="HV198" s="7">
        <f t="shared" si="1459"/>
        <v>0</v>
      </c>
      <c r="HW198" s="7">
        <f t="shared" si="1459"/>
        <v>0</v>
      </c>
      <c r="HX198" s="7">
        <f t="shared" si="1459"/>
        <v>0</v>
      </c>
      <c r="HY198" s="7">
        <f t="shared" si="1459"/>
        <v>0</v>
      </c>
      <c r="HZ198" s="7">
        <f t="shared" si="1459"/>
        <v>0</v>
      </c>
      <c r="IA198" s="7">
        <f t="shared" si="1459"/>
        <v>0</v>
      </c>
      <c r="IB198" s="7">
        <f t="shared" si="1459"/>
        <v>0</v>
      </c>
      <c r="IC198" s="7">
        <f t="shared" si="1459"/>
        <v>0</v>
      </c>
      <c r="ID198" s="7">
        <f t="shared" si="1459"/>
        <v>0</v>
      </c>
      <c r="IE198" s="7">
        <f t="shared" si="1459"/>
        <v>0</v>
      </c>
      <c r="IF198" s="7">
        <f t="shared" si="1459"/>
        <v>0</v>
      </c>
      <c r="IG198" s="7">
        <f t="shared" si="1459"/>
        <v>0</v>
      </c>
      <c r="IH198" s="7">
        <f t="shared" si="1459"/>
        <v>0</v>
      </c>
      <c r="II198" s="7">
        <f t="shared" si="1459"/>
        <v>0</v>
      </c>
      <c r="IJ198" s="7">
        <f t="shared" si="1459"/>
        <v>0</v>
      </c>
      <c r="IK198" s="7">
        <f t="shared" si="1459"/>
        <v>0</v>
      </c>
      <c r="IL198" s="7">
        <f t="shared" si="1459"/>
        <v>0</v>
      </c>
      <c r="IM198" s="7">
        <f t="shared" si="1459"/>
        <v>0</v>
      </c>
      <c r="IN198" s="7">
        <f t="shared" si="1459"/>
        <v>0</v>
      </c>
      <c r="IO198" s="7">
        <f t="shared" si="1459"/>
        <v>0</v>
      </c>
      <c r="IP198" s="7">
        <f t="shared" si="1459"/>
        <v>0</v>
      </c>
      <c r="IQ198" s="7">
        <f t="shared" si="1459"/>
        <v>0</v>
      </c>
      <c r="IR198" s="7">
        <f t="shared" si="1459"/>
        <v>0</v>
      </c>
      <c r="IS198" s="7">
        <f t="shared" si="1459"/>
        <v>0</v>
      </c>
      <c r="IT198" s="7">
        <f t="shared" si="1459"/>
        <v>0</v>
      </c>
      <c r="IU198" s="7">
        <f t="shared" si="1459"/>
        <v>0</v>
      </c>
      <c r="IV198" s="7">
        <f t="shared" si="1459"/>
        <v>0</v>
      </c>
      <c r="IW198" s="7">
        <f t="shared" si="1459"/>
        <v>0</v>
      </c>
      <c r="IX198" s="7">
        <f t="shared" si="1459"/>
        <v>0</v>
      </c>
      <c r="IY198" s="7">
        <f t="shared" si="1459"/>
        <v>0</v>
      </c>
      <c r="IZ198" s="7">
        <f t="shared" ref="IZ198:LK198" si="1460" xml:space="preserve"> IF( EXACT(IZ197,"TRUE"), IZ58, )</f>
        <v>0</v>
      </c>
      <c r="JA198" s="7">
        <f t="shared" si="1460"/>
        <v>0</v>
      </c>
      <c r="JB198" s="7">
        <f t="shared" si="1460"/>
        <v>0</v>
      </c>
      <c r="JC198" s="7">
        <f t="shared" si="1460"/>
        <v>0</v>
      </c>
      <c r="JD198" s="7">
        <f t="shared" si="1460"/>
        <v>0</v>
      </c>
      <c r="JE198" s="7">
        <f t="shared" si="1460"/>
        <v>0</v>
      </c>
      <c r="JF198" s="7">
        <f t="shared" si="1460"/>
        <v>0</v>
      </c>
      <c r="JG198" s="7">
        <f t="shared" si="1460"/>
        <v>0</v>
      </c>
      <c r="JH198" s="7">
        <f t="shared" si="1460"/>
        <v>0</v>
      </c>
      <c r="JI198" s="7">
        <f t="shared" si="1460"/>
        <v>0</v>
      </c>
      <c r="JJ198" s="7">
        <f t="shared" si="1460"/>
        <v>0</v>
      </c>
      <c r="JK198" s="7">
        <f t="shared" si="1460"/>
        <v>0</v>
      </c>
      <c r="JL198" s="7">
        <f t="shared" si="1460"/>
        <v>0</v>
      </c>
      <c r="JM198" s="7">
        <f t="shared" si="1460"/>
        <v>0</v>
      </c>
      <c r="JN198" s="7">
        <f t="shared" si="1460"/>
        <v>0</v>
      </c>
      <c r="JO198" s="7">
        <f t="shared" si="1460"/>
        <v>0</v>
      </c>
      <c r="JP198" s="7">
        <f t="shared" si="1460"/>
        <v>0</v>
      </c>
      <c r="JQ198" s="7">
        <f t="shared" si="1460"/>
        <v>0</v>
      </c>
      <c r="JR198" s="7">
        <f t="shared" si="1460"/>
        <v>0</v>
      </c>
      <c r="JS198" s="7">
        <f t="shared" si="1460"/>
        <v>0</v>
      </c>
      <c r="JT198" s="7">
        <f t="shared" si="1460"/>
        <v>0</v>
      </c>
      <c r="JU198" s="7">
        <f t="shared" si="1460"/>
        <v>0</v>
      </c>
      <c r="JV198" s="7">
        <f t="shared" si="1460"/>
        <v>0</v>
      </c>
      <c r="JW198" s="7">
        <f t="shared" si="1460"/>
        <v>0</v>
      </c>
      <c r="JX198" s="7">
        <f t="shared" si="1460"/>
        <v>0</v>
      </c>
      <c r="JY198" s="7">
        <f t="shared" si="1460"/>
        <v>0</v>
      </c>
      <c r="JZ198" s="7">
        <f t="shared" si="1460"/>
        <v>0</v>
      </c>
      <c r="KA198" s="7">
        <f t="shared" si="1460"/>
        <v>0</v>
      </c>
      <c r="KB198" s="7">
        <f t="shared" si="1460"/>
        <v>0</v>
      </c>
      <c r="KC198" s="7">
        <f t="shared" si="1460"/>
        <v>0</v>
      </c>
      <c r="KD198" s="7">
        <f t="shared" si="1460"/>
        <v>0</v>
      </c>
      <c r="KE198" s="7">
        <f t="shared" si="1460"/>
        <v>0</v>
      </c>
      <c r="KF198" s="7">
        <f t="shared" si="1460"/>
        <v>0</v>
      </c>
      <c r="KG198" s="7">
        <f t="shared" si="1460"/>
        <v>0</v>
      </c>
      <c r="KH198" s="7">
        <f t="shared" si="1460"/>
        <v>0</v>
      </c>
      <c r="KI198" s="7">
        <f t="shared" si="1460"/>
        <v>0</v>
      </c>
      <c r="KJ198" s="7">
        <f t="shared" si="1460"/>
        <v>0</v>
      </c>
      <c r="KK198" s="7">
        <f t="shared" si="1460"/>
        <v>0</v>
      </c>
      <c r="KL198" s="7">
        <f t="shared" si="1460"/>
        <v>0</v>
      </c>
      <c r="KM198" s="7">
        <f t="shared" si="1460"/>
        <v>0</v>
      </c>
      <c r="KN198" s="7">
        <f t="shared" si="1460"/>
        <v>0</v>
      </c>
      <c r="KO198" s="7">
        <f t="shared" si="1460"/>
        <v>0</v>
      </c>
      <c r="KP198" s="7">
        <f t="shared" si="1460"/>
        <v>0</v>
      </c>
      <c r="KQ198" s="7">
        <f t="shared" si="1460"/>
        <v>0</v>
      </c>
      <c r="KR198" s="7">
        <f t="shared" si="1460"/>
        <v>0</v>
      </c>
      <c r="KS198" s="7">
        <f t="shared" si="1460"/>
        <v>0</v>
      </c>
      <c r="KT198" s="7">
        <f t="shared" si="1460"/>
        <v>0</v>
      </c>
      <c r="KU198" s="7">
        <f t="shared" si="1460"/>
        <v>0</v>
      </c>
      <c r="KV198" s="7">
        <f t="shared" si="1460"/>
        <v>0</v>
      </c>
      <c r="KW198" s="7">
        <f t="shared" si="1460"/>
        <v>0</v>
      </c>
      <c r="KX198" s="7">
        <f t="shared" si="1460"/>
        <v>0</v>
      </c>
      <c r="KY198" s="7">
        <f t="shared" si="1460"/>
        <v>0</v>
      </c>
      <c r="KZ198" s="7">
        <f t="shared" si="1460"/>
        <v>0</v>
      </c>
      <c r="LA198" s="7">
        <f t="shared" si="1460"/>
        <v>0</v>
      </c>
      <c r="LB198" s="7">
        <f t="shared" si="1460"/>
        <v>0</v>
      </c>
      <c r="LC198" s="7">
        <f t="shared" si="1460"/>
        <v>0</v>
      </c>
      <c r="LD198" s="7">
        <f t="shared" si="1460"/>
        <v>0</v>
      </c>
      <c r="LE198" s="7">
        <f t="shared" si="1460"/>
        <v>0</v>
      </c>
      <c r="LF198" s="7">
        <f t="shared" si="1460"/>
        <v>0</v>
      </c>
      <c r="LG198" s="7">
        <f t="shared" si="1460"/>
        <v>0</v>
      </c>
      <c r="LH198" s="7">
        <f t="shared" si="1460"/>
        <v>0</v>
      </c>
      <c r="LI198" s="7">
        <f t="shared" si="1460"/>
        <v>0</v>
      </c>
      <c r="LJ198" s="7">
        <f t="shared" si="1460"/>
        <v>0</v>
      </c>
      <c r="LK198" s="7">
        <f t="shared" si="1460"/>
        <v>0</v>
      </c>
      <c r="LL198" s="7">
        <f t="shared" ref="LL198:NW198" si="1461" xml:space="preserve"> IF( EXACT(LL197,"TRUE"), LL58, )</f>
        <v>0</v>
      </c>
      <c r="LM198" s="7">
        <f t="shared" si="1461"/>
        <v>0</v>
      </c>
      <c r="LN198" s="7">
        <f t="shared" si="1461"/>
        <v>0</v>
      </c>
      <c r="LO198" s="7">
        <f t="shared" si="1461"/>
        <v>0</v>
      </c>
      <c r="LP198" s="7">
        <f t="shared" si="1461"/>
        <v>0</v>
      </c>
      <c r="LQ198" s="7">
        <f t="shared" si="1461"/>
        <v>0</v>
      </c>
      <c r="LR198" s="7">
        <f t="shared" si="1461"/>
        <v>0</v>
      </c>
      <c r="LS198" s="7">
        <f t="shared" si="1461"/>
        <v>0</v>
      </c>
      <c r="LT198" s="7">
        <f t="shared" si="1461"/>
        <v>0</v>
      </c>
      <c r="LU198" s="7">
        <f t="shared" si="1461"/>
        <v>0</v>
      </c>
      <c r="LV198" s="7">
        <f t="shared" si="1461"/>
        <v>0</v>
      </c>
      <c r="LW198" s="7">
        <f t="shared" si="1461"/>
        <v>0</v>
      </c>
      <c r="LX198" s="7">
        <f t="shared" si="1461"/>
        <v>0</v>
      </c>
      <c r="LY198" s="7">
        <f t="shared" si="1461"/>
        <v>0</v>
      </c>
      <c r="LZ198" s="7">
        <f t="shared" si="1461"/>
        <v>0</v>
      </c>
      <c r="MA198" s="7">
        <f t="shared" si="1461"/>
        <v>0</v>
      </c>
      <c r="MB198" s="7">
        <f t="shared" si="1461"/>
        <v>0</v>
      </c>
      <c r="MC198" s="7">
        <f t="shared" si="1461"/>
        <v>0</v>
      </c>
      <c r="MD198" s="7">
        <f t="shared" si="1461"/>
        <v>0</v>
      </c>
      <c r="ME198" s="7">
        <f t="shared" si="1461"/>
        <v>0</v>
      </c>
      <c r="MF198" s="7">
        <f t="shared" si="1461"/>
        <v>0</v>
      </c>
      <c r="MG198" s="7">
        <f t="shared" si="1461"/>
        <v>0</v>
      </c>
      <c r="MH198" s="7">
        <f t="shared" si="1461"/>
        <v>0</v>
      </c>
      <c r="MI198" s="7">
        <f t="shared" si="1461"/>
        <v>0</v>
      </c>
      <c r="MJ198" s="7">
        <f t="shared" si="1461"/>
        <v>0</v>
      </c>
      <c r="MK198" s="7">
        <f t="shared" si="1461"/>
        <v>0</v>
      </c>
      <c r="ML198" s="7">
        <f t="shared" si="1461"/>
        <v>0</v>
      </c>
      <c r="MM198" s="7">
        <f t="shared" si="1461"/>
        <v>0</v>
      </c>
      <c r="MN198" s="7">
        <f t="shared" si="1461"/>
        <v>0</v>
      </c>
      <c r="MO198" s="7">
        <f t="shared" si="1461"/>
        <v>0</v>
      </c>
      <c r="MP198" s="7">
        <f t="shared" si="1461"/>
        <v>0</v>
      </c>
      <c r="MQ198" s="7">
        <f t="shared" si="1461"/>
        <v>0</v>
      </c>
      <c r="MR198" s="7">
        <f t="shared" si="1461"/>
        <v>0</v>
      </c>
      <c r="MS198" s="7">
        <f t="shared" si="1461"/>
        <v>0</v>
      </c>
      <c r="MT198" s="7">
        <f t="shared" si="1461"/>
        <v>0</v>
      </c>
      <c r="MU198" s="7">
        <f t="shared" si="1461"/>
        <v>0</v>
      </c>
      <c r="MV198" s="7">
        <f t="shared" si="1461"/>
        <v>0</v>
      </c>
      <c r="MW198" s="7">
        <f t="shared" si="1461"/>
        <v>0</v>
      </c>
      <c r="MX198" s="7">
        <f t="shared" si="1461"/>
        <v>0</v>
      </c>
      <c r="MY198" s="7">
        <f t="shared" si="1461"/>
        <v>0</v>
      </c>
      <c r="MZ198" s="7">
        <f t="shared" si="1461"/>
        <v>0</v>
      </c>
      <c r="NA198" s="7">
        <f t="shared" si="1461"/>
        <v>0</v>
      </c>
      <c r="NB198" s="7">
        <f t="shared" si="1461"/>
        <v>0</v>
      </c>
      <c r="NC198" s="7">
        <f t="shared" si="1461"/>
        <v>0</v>
      </c>
      <c r="ND198" s="7">
        <f t="shared" si="1461"/>
        <v>0</v>
      </c>
      <c r="NE198" s="7">
        <f t="shared" si="1461"/>
        <v>0</v>
      </c>
      <c r="NF198" s="7">
        <f t="shared" si="1461"/>
        <v>0</v>
      </c>
      <c r="NG198" s="7">
        <f t="shared" si="1461"/>
        <v>0</v>
      </c>
      <c r="NH198" s="7">
        <f t="shared" si="1461"/>
        <v>0</v>
      </c>
      <c r="NI198" s="7">
        <f t="shared" si="1461"/>
        <v>0</v>
      </c>
      <c r="NJ198" s="7">
        <f t="shared" si="1461"/>
        <v>0</v>
      </c>
      <c r="NK198" s="7">
        <f t="shared" si="1461"/>
        <v>0</v>
      </c>
      <c r="NL198" s="7">
        <f t="shared" si="1461"/>
        <v>0</v>
      </c>
      <c r="NM198" s="7">
        <f t="shared" si="1461"/>
        <v>0</v>
      </c>
      <c r="NN198" s="31" t="str">
        <f t="shared" si="1461"/>
        <v>MM_SYSTEM_MODE_MAINTENANCE_TOWING_E</v>
      </c>
      <c r="NO198" s="7">
        <f t="shared" si="1461"/>
        <v>0</v>
      </c>
      <c r="NP198" s="7">
        <f t="shared" si="1461"/>
        <v>0</v>
      </c>
      <c r="NQ198" s="7">
        <f t="shared" si="1461"/>
        <v>0</v>
      </c>
      <c r="NR198" s="7">
        <f t="shared" si="1461"/>
        <v>0</v>
      </c>
      <c r="NS198" s="31" t="str">
        <f t="shared" si="1461"/>
        <v>MM_SYSTEM_MODE_PUSHBACK_ATA_TAS_E</v>
      </c>
      <c r="NT198" s="7">
        <f t="shared" si="1461"/>
        <v>0</v>
      </c>
      <c r="NU198" s="7">
        <f t="shared" si="1461"/>
        <v>0</v>
      </c>
      <c r="NV198" s="7">
        <f t="shared" si="1461"/>
        <v>0</v>
      </c>
      <c r="NW198" s="7">
        <f t="shared" si="1461"/>
        <v>0</v>
      </c>
      <c r="NX198" s="7">
        <f t="shared" ref="NX198:QI198" si="1462" xml:space="preserve"> IF( EXACT(NX197,"TRUE"), NX58, )</f>
        <v>0</v>
      </c>
      <c r="NY198" s="7">
        <f t="shared" si="1462"/>
        <v>0</v>
      </c>
      <c r="NZ198" s="7">
        <f t="shared" si="1462"/>
        <v>0</v>
      </c>
      <c r="OA198" s="7">
        <f t="shared" si="1462"/>
        <v>0</v>
      </c>
      <c r="OB198" s="7">
        <f t="shared" si="1462"/>
        <v>0</v>
      </c>
      <c r="OC198" s="7">
        <f t="shared" si="1462"/>
        <v>0</v>
      </c>
      <c r="OD198" s="7">
        <f t="shared" si="1462"/>
        <v>0</v>
      </c>
      <c r="OE198" s="7">
        <f t="shared" si="1462"/>
        <v>0</v>
      </c>
      <c r="OF198" s="7">
        <f t="shared" si="1462"/>
        <v>0</v>
      </c>
      <c r="OG198" s="7">
        <f t="shared" si="1462"/>
        <v>0</v>
      </c>
      <c r="OH198" s="7">
        <f t="shared" si="1462"/>
        <v>0</v>
      </c>
      <c r="OI198" s="7">
        <f t="shared" si="1462"/>
        <v>0</v>
      </c>
      <c r="OJ198" s="7">
        <f t="shared" si="1462"/>
        <v>0</v>
      </c>
      <c r="OK198" s="7">
        <f t="shared" si="1462"/>
        <v>0</v>
      </c>
      <c r="OL198" s="7">
        <f t="shared" si="1462"/>
        <v>0</v>
      </c>
      <c r="OM198" s="7">
        <f t="shared" si="1462"/>
        <v>0</v>
      </c>
      <c r="ON198" s="7">
        <f t="shared" si="1462"/>
        <v>0</v>
      </c>
      <c r="OO198" s="7">
        <f t="shared" si="1462"/>
        <v>0</v>
      </c>
      <c r="OP198" s="7">
        <f t="shared" si="1462"/>
        <v>0</v>
      </c>
      <c r="OQ198" s="7">
        <f t="shared" si="1462"/>
        <v>0</v>
      </c>
      <c r="OR198" s="7">
        <f t="shared" si="1462"/>
        <v>0</v>
      </c>
      <c r="OS198" s="7">
        <f t="shared" si="1462"/>
        <v>0</v>
      </c>
      <c r="OT198" s="7">
        <f t="shared" si="1462"/>
        <v>0</v>
      </c>
      <c r="OU198" s="7">
        <f t="shared" si="1462"/>
        <v>0</v>
      </c>
      <c r="OV198" s="7">
        <f t="shared" si="1462"/>
        <v>0</v>
      </c>
      <c r="OW198" s="7">
        <f t="shared" si="1462"/>
        <v>0</v>
      </c>
      <c r="OX198" s="7">
        <f t="shared" si="1462"/>
        <v>0</v>
      </c>
      <c r="OY198" s="7">
        <f t="shared" si="1462"/>
        <v>0</v>
      </c>
      <c r="OZ198" s="7">
        <f t="shared" si="1462"/>
        <v>0</v>
      </c>
      <c r="PA198" s="7">
        <f t="shared" si="1462"/>
        <v>0</v>
      </c>
      <c r="PB198" s="7">
        <f t="shared" si="1462"/>
        <v>0</v>
      </c>
      <c r="PC198" s="7">
        <f t="shared" si="1462"/>
        <v>0</v>
      </c>
      <c r="PD198" s="7">
        <f t="shared" si="1462"/>
        <v>0</v>
      </c>
      <c r="PE198" s="7">
        <f t="shared" si="1462"/>
        <v>0</v>
      </c>
      <c r="PF198" s="7">
        <f t="shared" si="1462"/>
        <v>0</v>
      </c>
      <c r="PG198" s="7">
        <f t="shared" si="1462"/>
        <v>0</v>
      </c>
      <c r="PH198" s="7">
        <f t="shared" si="1462"/>
        <v>0</v>
      </c>
      <c r="PI198" s="7">
        <f t="shared" si="1462"/>
        <v>0</v>
      </c>
      <c r="PJ198" s="7">
        <f t="shared" si="1462"/>
        <v>0</v>
      </c>
      <c r="PK198" s="7">
        <f t="shared" si="1462"/>
        <v>0</v>
      </c>
      <c r="PL198" s="7">
        <f t="shared" si="1462"/>
        <v>0</v>
      </c>
      <c r="PM198" s="7">
        <f t="shared" si="1462"/>
        <v>0</v>
      </c>
      <c r="PN198" s="7">
        <f t="shared" si="1462"/>
        <v>0</v>
      </c>
      <c r="PO198" s="7">
        <f t="shared" si="1462"/>
        <v>0</v>
      </c>
      <c r="PP198" s="7">
        <f t="shared" si="1462"/>
        <v>0</v>
      </c>
      <c r="PQ198" s="7">
        <f t="shared" si="1462"/>
        <v>0</v>
      </c>
      <c r="PR198" s="7">
        <f t="shared" si="1462"/>
        <v>0</v>
      </c>
      <c r="PS198" s="7">
        <f t="shared" si="1462"/>
        <v>0</v>
      </c>
      <c r="PT198" s="7">
        <f t="shared" si="1462"/>
        <v>0</v>
      </c>
      <c r="PU198" s="7">
        <f t="shared" si="1462"/>
        <v>0</v>
      </c>
      <c r="PV198" s="7">
        <f t="shared" si="1462"/>
        <v>0</v>
      </c>
      <c r="PW198" s="7">
        <f t="shared" si="1462"/>
        <v>0</v>
      </c>
      <c r="PX198" s="7">
        <f t="shared" si="1462"/>
        <v>0</v>
      </c>
      <c r="PY198" s="7">
        <f t="shared" si="1462"/>
        <v>0</v>
      </c>
      <c r="PZ198" s="7">
        <f t="shared" si="1462"/>
        <v>0</v>
      </c>
      <c r="QA198" s="7">
        <f t="shared" si="1462"/>
        <v>0</v>
      </c>
      <c r="QB198" s="7">
        <f t="shared" si="1462"/>
        <v>0</v>
      </c>
      <c r="QC198" s="7">
        <f t="shared" si="1462"/>
        <v>0</v>
      </c>
      <c r="QD198" s="7">
        <f t="shared" si="1462"/>
        <v>0</v>
      </c>
      <c r="QE198" s="7">
        <f t="shared" si="1462"/>
        <v>0</v>
      </c>
      <c r="QF198" s="7">
        <f t="shared" si="1462"/>
        <v>0</v>
      </c>
      <c r="QG198" s="7">
        <f t="shared" si="1462"/>
        <v>0</v>
      </c>
      <c r="QH198" s="7">
        <f t="shared" si="1462"/>
        <v>0</v>
      </c>
      <c r="QI198" s="7">
        <f t="shared" si="1462"/>
        <v>0</v>
      </c>
      <c r="QJ198" s="7">
        <f t="shared" ref="QJ198:ST198" si="1463" xml:space="preserve"> IF( EXACT(QJ197,"TRUE"), QJ58, )</f>
        <v>0</v>
      </c>
      <c r="QK198" s="7">
        <f t="shared" si="1463"/>
        <v>0</v>
      </c>
      <c r="QL198" s="7">
        <f t="shared" si="1463"/>
        <v>0</v>
      </c>
      <c r="QM198" s="7">
        <f t="shared" si="1463"/>
        <v>0</v>
      </c>
      <c r="QN198" s="7">
        <f t="shared" si="1463"/>
        <v>0</v>
      </c>
      <c r="QO198" s="7">
        <f t="shared" si="1463"/>
        <v>0</v>
      </c>
      <c r="QP198" s="7">
        <f t="shared" si="1463"/>
        <v>0</v>
      </c>
      <c r="QQ198" s="7">
        <f t="shared" si="1463"/>
        <v>0</v>
      </c>
      <c r="QR198" s="7">
        <f t="shared" si="1463"/>
        <v>0</v>
      </c>
      <c r="QS198" s="7">
        <f t="shared" si="1463"/>
        <v>0</v>
      </c>
      <c r="QT198" s="7">
        <f t="shared" si="1463"/>
        <v>0</v>
      </c>
      <c r="QU198" s="7">
        <f t="shared" si="1463"/>
        <v>0</v>
      </c>
      <c r="QV198" s="7">
        <f t="shared" si="1463"/>
        <v>0</v>
      </c>
      <c r="QW198" s="7">
        <f t="shared" si="1463"/>
        <v>0</v>
      </c>
      <c r="QX198" s="7">
        <f t="shared" si="1463"/>
        <v>0</v>
      </c>
      <c r="QY198" s="7">
        <f t="shared" si="1463"/>
        <v>0</v>
      </c>
      <c r="QZ198" s="7">
        <f t="shared" si="1463"/>
        <v>0</v>
      </c>
      <c r="RA198" s="7">
        <f t="shared" si="1463"/>
        <v>0</v>
      </c>
      <c r="RB198" s="7">
        <f t="shared" si="1463"/>
        <v>0</v>
      </c>
      <c r="RC198" s="7">
        <f t="shared" si="1463"/>
        <v>0</v>
      </c>
      <c r="RD198" s="7">
        <f t="shared" si="1463"/>
        <v>0</v>
      </c>
      <c r="RE198" s="7" t="e">
        <f t="shared" si="1463"/>
        <v>#REF!</v>
      </c>
      <c r="RF198" s="7">
        <f t="shared" si="1463"/>
        <v>0</v>
      </c>
      <c r="RG198" s="7">
        <f t="shared" si="1463"/>
        <v>0</v>
      </c>
      <c r="RH198" s="7">
        <f t="shared" si="1463"/>
        <v>0</v>
      </c>
      <c r="RI198" s="7">
        <f t="shared" si="1463"/>
        <v>0</v>
      </c>
      <c r="RJ198" s="7">
        <f t="shared" si="1463"/>
        <v>0</v>
      </c>
      <c r="RK198" s="7">
        <f t="shared" si="1463"/>
        <v>0</v>
      </c>
      <c r="RL198" s="7">
        <f t="shared" si="1463"/>
        <v>0</v>
      </c>
      <c r="RM198" s="7">
        <f t="shared" si="1463"/>
        <v>0</v>
      </c>
      <c r="RN198" s="7">
        <f t="shared" si="1463"/>
        <v>0</v>
      </c>
      <c r="RO198" s="7">
        <f t="shared" si="1463"/>
        <v>0</v>
      </c>
      <c r="RP198" s="7">
        <f t="shared" si="1463"/>
        <v>0</v>
      </c>
      <c r="RQ198" s="7">
        <f t="shared" si="1463"/>
        <v>0</v>
      </c>
      <c r="RR198" s="7">
        <f t="shared" si="1463"/>
        <v>0</v>
      </c>
      <c r="RS198" s="7">
        <f t="shared" si="1463"/>
        <v>0</v>
      </c>
      <c r="RT198" s="7">
        <f t="shared" si="1463"/>
        <v>0</v>
      </c>
      <c r="RU198" s="7">
        <f t="shared" si="1463"/>
        <v>0</v>
      </c>
      <c r="RV198" s="7">
        <f t="shared" si="1463"/>
        <v>0</v>
      </c>
      <c r="RW198" s="7">
        <f t="shared" si="1463"/>
        <v>0</v>
      </c>
      <c r="RX198" s="7">
        <f t="shared" si="1463"/>
        <v>0</v>
      </c>
      <c r="RY198" s="7">
        <f t="shared" si="1463"/>
        <v>0</v>
      </c>
      <c r="RZ198" s="7">
        <f t="shared" si="1463"/>
        <v>0</v>
      </c>
      <c r="SA198" s="7">
        <f t="shared" si="1463"/>
        <v>0</v>
      </c>
      <c r="SB198" s="31" t="str">
        <f t="shared" si="1463"/>
        <v>MM_SYSTEM_MODE_PUSHBACK_ATA_BW_E</v>
      </c>
      <c r="SC198" s="7">
        <f t="shared" si="1463"/>
        <v>0</v>
      </c>
      <c r="SD198" s="7">
        <f t="shared" si="1463"/>
        <v>0</v>
      </c>
      <c r="SE198" s="7">
        <f t="shared" si="1463"/>
        <v>0</v>
      </c>
      <c r="SF198" s="7">
        <f t="shared" si="1463"/>
        <v>0</v>
      </c>
      <c r="SG198" s="7">
        <f t="shared" si="1463"/>
        <v>0</v>
      </c>
      <c r="SH198" s="7">
        <f t="shared" si="1463"/>
        <v>0</v>
      </c>
      <c r="SI198" s="7">
        <f t="shared" si="1463"/>
        <v>0</v>
      </c>
      <c r="SJ198" s="7">
        <f t="shared" si="1463"/>
        <v>0</v>
      </c>
      <c r="SK198" s="7">
        <f t="shared" si="1463"/>
        <v>0</v>
      </c>
      <c r="SL198" s="7">
        <f t="shared" si="1463"/>
        <v>0</v>
      </c>
      <c r="SM198" s="7">
        <f t="shared" si="1463"/>
        <v>0</v>
      </c>
      <c r="SN198" s="7">
        <f t="shared" si="1463"/>
        <v>0</v>
      </c>
      <c r="SO198" s="7">
        <f t="shared" si="1463"/>
        <v>0</v>
      </c>
      <c r="SP198" s="7">
        <f t="shared" si="1463"/>
        <v>0</v>
      </c>
      <c r="SQ198" s="7">
        <f t="shared" si="1463"/>
        <v>0</v>
      </c>
      <c r="SR198" s="7">
        <f t="shared" si="1463"/>
        <v>0</v>
      </c>
      <c r="SS198" s="7">
        <f t="shared" si="1463"/>
        <v>0</v>
      </c>
      <c r="ST198" s="7">
        <f t="shared" si="1463"/>
        <v>0</v>
      </c>
      <c r="SU198" s="7">
        <f t="shared" ref="SU198:VF198" si="1464" xml:space="preserve"> IF( EXACT(SU197,"TRUE"), SU58, )</f>
        <v>0</v>
      </c>
      <c r="SV198" s="7">
        <f t="shared" si="1464"/>
        <v>0</v>
      </c>
      <c r="SW198" s="7">
        <f t="shared" si="1464"/>
        <v>0</v>
      </c>
      <c r="SX198" s="7">
        <f t="shared" si="1464"/>
        <v>0</v>
      </c>
      <c r="SY198" s="7">
        <f t="shared" si="1464"/>
        <v>0</v>
      </c>
      <c r="SZ198" s="7">
        <f t="shared" si="1464"/>
        <v>0</v>
      </c>
      <c r="TA198" s="7">
        <f t="shared" si="1464"/>
        <v>0</v>
      </c>
      <c r="TB198" s="7">
        <f t="shared" si="1464"/>
        <v>0</v>
      </c>
      <c r="TC198" s="7">
        <f t="shared" si="1464"/>
        <v>0</v>
      </c>
      <c r="TD198" s="7">
        <f t="shared" si="1464"/>
        <v>0</v>
      </c>
      <c r="TE198" s="7">
        <f t="shared" si="1464"/>
        <v>0</v>
      </c>
      <c r="TF198" s="7">
        <f t="shared" si="1464"/>
        <v>0</v>
      </c>
      <c r="TG198" s="7">
        <f t="shared" si="1464"/>
        <v>0</v>
      </c>
      <c r="TH198" s="7">
        <f t="shared" si="1464"/>
        <v>0</v>
      </c>
      <c r="TI198" s="7">
        <f t="shared" si="1464"/>
        <v>0</v>
      </c>
      <c r="TJ198" s="7">
        <f t="shared" si="1464"/>
        <v>0</v>
      </c>
      <c r="TK198" s="7">
        <f t="shared" si="1464"/>
        <v>0</v>
      </c>
      <c r="TL198" s="7">
        <f t="shared" si="1464"/>
        <v>0</v>
      </c>
      <c r="TM198" s="7">
        <f t="shared" si="1464"/>
        <v>0</v>
      </c>
      <c r="TN198" s="7">
        <f t="shared" si="1464"/>
        <v>0</v>
      </c>
      <c r="TO198" s="7">
        <f t="shared" si="1464"/>
        <v>0</v>
      </c>
      <c r="TP198" s="7">
        <f t="shared" si="1464"/>
        <v>0</v>
      </c>
      <c r="TQ198" s="7">
        <f t="shared" si="1464"/>
        <v>0</v>
      </c>
      <c r="TR198" s="7">
        <f t="shared" si="1464"/>
        <v>0</v>
      </c>
      <c r="TS198" s="7">
        <f t="shared" si="1464"/>
        <v>0</v>
      </c>
      <c r="TT198" s="7">
        <f t="shared" si="1464"/>
        <v>0</v>
      </c>
      <c r="TU198" s="7">
        <f t="shared" si="1464"/>
        <v>0</v>
      </c>
      <c r="TV198" s="7">
        <f t="shared" si="1464"/>
        <v>0</v>
      </c>
      <c r="TW198" s="7">
        <f t="shared" si="1464"/>
        <v>0</v>
      </c>
      <c r="TX198" s="7">
        <f t="shared" si="1464"/>
        <v>0</v>
      </c>
      <c r="TY198" s="7">
        <f t="shared" si="1464"/>
        <v>0</v>
      </c>
      <c r="TZ198" s="7">
        <f t="shared" si="1464"/>
        <v>0</v>
      </c>
      <c r="UA198" s="7">
        <f t="shared" si="1464"/>
        <v>0</v>
      </c>
      <c r="UB198" s="7">
        <f t="shared" si="1464"/>
        <v>0</v>
      </c>
      <c r="UC198" s="7">
        <f t="shared" si="1464"/>
        <v>0</v>
      </c>
      <c r="UD198" s="7">
        <f t="shared" si="1464"/>
        <v>0</v>
      </c>
      <c r="UE198" s="7">
        <f t="shared" si="1464"/>
        <v>0</v>
      </c>
      <c r="UF198" s="7">
        <f t="shared" si="1464"/>
        <v>0</v>
      </c>
      <c r="UG198" s="7">
        <f t="shared" si="1464"/>
        <v>0</v>
      </c>
      <c r="UH198" s="7">
        <f t="shared" si="1464"/>
        <v>0</v>
      </c>
      <c r="UI198" s="7">
        <f t="shared" si="1464"/>
        <v>0</v>
      </c>
      <c r="UJ198" s="7">
        <f t="shared" si="1464"/>
        <v>0</v>
      </c>
      <c r="UK198" s="7">
        <f t="shared" si="1464"/>
        <v>0</v>
      </c>
      <c r="UL198" s="7">
        <f t="shared" si="1464"/>
        <v>0</v>
      </c>
      <c r="UM198" s="7">
        <f t="shared" si="1464"/>
        <v>0</v>
      </c>
      <c r="UN198" s="7">
        <f t="shared" si="1464"/>
        <v>0</v>
      </c>
      <c r="UO198" s="7">
        <f t="shared" si="1464"/>
        <v>0</v>
      </c>
      <c r="UP198" s="7">
        <f t="shared" si="1464"/>
        <v>0</v>
      </c>
      <c r="UQ198" s="7">
        <f t="shared" si="1464"/>
        <v>0</v>
      </c>
      <c r="UR198" s="7">
        <f t="shared" si="1464"/>
        <v>0</v>
      </c>
      <c r="US198" s="7">
        <f t="shared" si="1464"/>
        <v>0</v>
      </c>
      <c r="UT198" s="7">
        <f t="shared" si="1464"/>
        <v>0</v>
      </c>
      <c r="UU198" s="7">
        <f t="shared" si="1464"/>
        <v>0</v>
      </c>
      <c r="UV198" s="7">
        <f t="shared" si="1464"/>
        <v>0</v>
      </c>
      <c r="UW198" s="7">
        <f t="shared" si="1464"/>
        <v>0</v>
      </c>
      <c r="UX198" s="7">
        <f t="shared" si="1464"/>
        <v>0</v>
      </c>
      <c r="UY198" s="7">
        <f t="shared" si="1464"/>
        <v>0</v>
      </c>
      <c r="UZ198" s="7">
        <f t="shared" si="1464"/>
        <v>0</v>
      </c>
      <c r="VA198" s="7">
        <f t="shared" si="1464"/>
        <v>0</v>
      </c>
      <c r="VB198" s="7">
        <f t="shared" si="1464"/>
        <v>0</v>
      </c>
      <c r="VC198" s="7">
        <f t="shared" si="1464"/>
        <v>0</v>
      </c>
      <c r="VD198" s="7">
        <f t="shared" si="1464"/>
        <v>0</v>
      </c>
      <c r="VE198" s="7">
        <f t="shared" si="1464"/>
        <v>0</v>
      </c>
      <c r="VF198" s="7">
        <f t="shared" si="1464"/>
        <v>0</v>
      </c>
      <c r="VG198" s="7">
        <f t="shared" ref="VG198:XR198" si="1465" xml:space="preserve"> IF( EXACT(VG197,"TRUE"), VG58, )</f>
        <v>0</v>
      </c>
      <c r="VH198" s="7">
        <f t="shared" si="1465"/>
        <v>0</v>
      </c>
      <c r="VI198" s="7">
        <f t="shared" si="1465"/>
        <v>0</v>
      </c>
      <c r="VJ198" s="7">
        <f t="shared" si="1465"/>
        <v>0</v>
      </c>
      <c r="VK198" s="7">
        <f t="shared" si="1465"/>
        <v>0</v>
      </c>
      <c r="VL198" s="7">
        <f t="shared" si="1465"/>
        <v>0</v>
      </c>
      <c r="VM198" s="7">
        <f t="shared" si="1465"/>
        <v>0</v>
      </c>
      <c r="VN198" s="7">
        <f t="shared" si="1465"/>
        <v>0</v>
      </c>
      <c r="VO198" s="7">
        <f t="shared" si="1465"/>
        <v>0</v>
      </c>
      <c r="VP198" s="7">
        <f t="shared" si="1465"/>
        <v>0</v>
      </c>
      <c r="VQ198" s="7">
        <f t="shared" si="1465"/>
        <v>0</v>
      </c>
      <c r="VR198" s="7">
        <f t="shared" si="1465"/>
        <v>0</v>
      </c>
      <c r="VS198" s="7">
        <f t="shared" si="1465"/>
        <v>0</v>
      </c>
      <c r="VT198" s="7">
        <f t="shared" si="1465"/>
        <v>0</v>
      </c>
      <c r="VU198" s="7">
        <f t="shared" si="1465"/>
        <v>0</v>
      </c>
      <c r="VV198" s="7">
        <f t="shared" si="1465"/>
        <v>0</v>
      </c>
      <c r="VW198" s="7">
        <f t="shared" si="1465"/>
        <v>0</v>
      </c>
      <c r="VX198" s="7">
        <f t="shared" si="1465"/>
        <v>0</v>
      </c>
      <c r="VY198" s="7">
        <f t="shared" si="1465"/>
        <v>0</v>
      </c>
      <c r="VZ198" s="7">
        <f t="shared" si="1465"/>
        <v>0</v>
      </c>
      <c r="WA198" s="7">
        <f t="shared" si="1465"/>
        <v>0</v>
      </c>
      <c r="WB198" s="7">
        <f t="shared" si="1465"/>
        <v>0</v>
      </c>
      <c r="WC198" s="7">
        <f t="shared" si="1465"/>
        <v>0</v>
      </c>
      <c r="WD198" s="31" t="str">
        <f t="shared" si="1465"/>
        <v>MM_SYSTEM_MODE_MAINTENANCE_TOWING_E</v>
      </c>
      <c r="WE198" s="7">
        <f t="shared" si="1465"/>
        <v>0</v>
      </c>
      <c r="WF198" s="7">
        <f t="shared" si="1465"/>
        <v>0</v>
      </c>
      <c r="WG198" s="7">
        <f t="shared" si="1465"/>
        <v>0</v>
      </c>
      <c r="WH198" s="7">
        <f t="shared" si="1465"/>
        <v>0</v>
      </c>
      <c r="WI198" s="7">
        <f t="shared" si="1465"/>
        <v>0</v>
      </c>
      <c r="WJ198" s="7">
        <f t="shared" si="1465"/>
        <v>0</v>
      </c>
      <c r="WK198" s="7">
        <f t="shared" si="1465"/>
        <v>0</v>
      </c>
      <c r="WL198" s="7">
        <f t="shared" si="1465"/>
        <v>0</v>
      </c>
      <c r="WM198" s="7">
        <f t="shared" si="1465"/>
        <v>0</v>
      </c>
      <c r="WN198" s="7">
        <f t="shared" si="1465"/>
        <v>0</v>
      </c>
      <c r="WO198" s="7">
        <f t="shared" si="1465"/>
        <v>0</v>
      </c>
      <c r="WP198" s="7">
        <f t="shared" si="1465"/>
        <v>0</v>
      </c>
      <c r="WQ198" s="7">
        <f t="shared" si="1465"/>
        <v>0</v>
      </c>
      <c r="WR198" s="7">
        <f t="shared" si="1465"/>
        <v>0</v>
      </c>
      <c r="WS198" s="7">
        <f t="shared" si="1465"/>
        <v>0</v>
      </c>
      <c r="WT198" s="7">
        <f t="shared" si="1465"/>
        <v>0</v>
      </c>
      <c r="WU198" s="7">
        <f t="shared" si="1465"/>
        <v>0</v>
      </c>
      <c r="WV198" s="7">
        <f t="shared" si="1465"/>
        <v>0</v>
      </c>
      <c r="WW198" s="7">
        <f t="shared" si="1465"/>
        <v>0</v>
      </c>
      <c r="WX198" s="7">
        <f t="shared" si="1465"/>
        <v>0</v>
      </c>
      <c r="WY198" s="7">
        <f t="shared" si="1465"/>
        <v>0</v>
      </c>
      <c r="WZ198" s="7">
        <f t="shared" si="1465"/>
        <v>0</v>
      </c>
      <c r="XA198" s="7">
        <f t="shared" si="1465"/>
        <v>0</v>
      </c>
      <c r="XB198" s="7">
        <f t="shared" si="1465"/>
        <v>0</v>
      </c>
      <c r="XC198" s="7">
        <f t="shared" si="1465"/>
        <v>0</v>
      </c>
      <c r="XD198" s="7">
        <f t="shared" si="1465"/>
        <v>0</v>
      </c>
      <c r="XE198" s="7">
        <f t="shared" si="1465"/>
        <v>0</v>
      </c>
      <c r="XF198" s="7">
        <f t="shared" si="1465"/>
        <v>0</v>
      </c>
      <c r="XG198" s="7">
        <f t="shared" si="1465"/>
        <v>0</v>
      </c>
      <c r="XH198" s="7">
        <f t="shared" si="1465"/>
        <v>0</v>
      </c>
      <c r="XI198" s="7">
        <f t="shared" si="1465"/>
        <v>0</v>
      </c>
      <c r="XJ198" s="7">
        <f t="shared" si="1465"/>
        <v>0</v>
      </c>
      <c r="XK198" s="7">
        <f t="shared" si="1465"/>
        <v>0</v>
      </c>
      <c r="XL198" s="7">
        <f t="shared" si="1465"/>
        <v>0</v>
      </c>
      <c r="XM198" s="7">
        <f t="shared" si="1465"/>
        <v>0</v>
      </c>
      <c r="XN198" s="7">
        <f t="shared" si="1465"/>
        <v>0</v>
      </c>
      <c r="XO198" s="7">
        <f t="shared" si="1465"/>
        <v>0</v>
      </c>
      <c r="XP198" s="7">
        <f t="shared" si="1465"/>
        <v>0</v>
      </c>
      <c r="XQ198" s="7">
        <f t="shared" si="1465"/>
        <v>0</v>
      </c>
      <c r="XR198" s="7">
        <f t="shared" si="1465"/>
        <v>0</v>
      </c>
      <c r="XS198" s="7">
        <f t="shared" ref="XS198:AAD198" si="1466" xml:space="preserve"> IF( EXACT(XS197,"TRUE"), XS58, )</f>
        <v>0</v>
      </c>
      <c r="XT198" s="7">
        <f t="shared" si="1466"/>
        <v>0</v>
      </c>
      <c r="XU198" s="7">
        <f t="shared" si="1466"/>
        <v>0</v>
      </c>
      <c r="XV198" s="7">
        <f t="shared" si="1466"/>
        <v>0</v>
      </c>
      <c r="XW198" s="7">
        <f t="shared" si="1466"/>
        <v>0</v>
      </c>
      <c r="XX198" s="7">
        <f t="shared" si="1466"/>
        <v>0</v>
      </c>
      <c r="XY198" s="7">
        <f t="shared" si="1466"/>
        <v>0</v>
      </c>
      <c r="XZ198" s="7">
        <f t="shared" si="1466"/>
        <v>0</v>
      </c>
      <c r="YA198" s="7">
        <f t="shared" si="1466"/>
        <v>0</v>
      </c>
      <c r="YB198" s="7">
        <f t="shared" si="1466"/>
        <v>0</v>
      </c>
      <c r="YC198" s="7">
        <f t="shared" si="1466"/>
        <v>0</v>
      </c>
      <c r="YD198" s="7">
        <f t="shared" si="1466"/>
        <v>0</v>
      </c>
      <c r="YE198" s="7">
        <f t="shared" si="1466"/>
        <v>0</v>
      </c>
      <c r="YF198" s="7">
        <f t="shared" si="1466"/>
        <v>0</v>
      </c>
      <c r="YG198" s="7">
        <f t="shared" si="1466"/>
        <v>0</v>
      </c>
      <c r="YH198" s="7">
        <f t="shared" si="1466"/>
        <v>0</v>
      </c>
      <c r="YI198" s="7">
        <f t="shared" si="1466"/>
        <v>0</v>
      </c>
      <c r="YJ198" s="7">
        <f t="shared" si="1466"/>
        <v>0</v>
      </c>
      <c r="YK198" s="7">
        <f t="shared" si="1466"/>
        <v>0</v>
      </c>
      <c r="YL198" s="7">
        <f t="shared" si="1466"/>
        <v>0</v>
      </c>
      <c r="YM198" s="7">
        <f t="shared" si="1466"/>
        <v>0</v>
      </c>
      <c r="YN198" s="7">
        <f t="shared" si="1466"/>
        <v>0</v>
      </c>
      <c r="YO198" s="7">
        <f t="shared" si="1466"/>
        <v>0</v>
      </c>
      <c r="YP198" s="7">
        <f t="shared" si="1466"/>
        <v>0</v>
      </c>
      <c r="YQ198" s="7">
        <f t="shared" si="1466"/>
        <v>0</v>
      </c>
      <c r="YR198" s="7">
        <f t="shared" si="1466"/>
        <v>0</v>
      </c>
      <c r="YS198" s="7">
        <f t="shared" si="1466"/>
        <v>0</v>
      </c>
      <c r="YT198" s="7">
        <f t="shared" si="1466"/>
        <v>0</v>
      </c>
      <c r="YU198" s="7">
        <f t="shared" si="1466"/>
        <v>0</v>
      </c>
      <c r="YV198" s="7">
        <f t="shared" si="1466"/>
        <v>0</v>
      </c>
      <c r="YW198" s="7">
        <f t="shared" si="1466"/>
        <v>0</v>
      </c>
      <c r="YX198" s="7">
        <f t="shared" si="1466"/>
        <v>0</v>
      </c>
      <c r="YY198" s="7">
        <f t="shared" si="1466"/>
        <v>0</v>
      </c>
      <c r="YZ198" s="7">
        <f t="shared" si="1466"/>
        <v>0</v>
      </c>
      <c r="ZA198" s="7">
        <f t="shared" si="1466"/>
        <v>0</v>
      </c>
      <c r="ZB198" s="7">
        <f t="shared" si="1466"/>
        <v>0</v>
      </c>
      <c r="ZC198" s="7">
        <f t="shared" si="1466"/>
        <v>0</v>
      </c>
      <c r="ZD198" s="7">
        <f t="shared" si="1466"/>
        <v>0</v>
      </c>
      <c r="ZE198" s="7">
        <f t="shared" si="1466"/>
        <v>0</v>
      </c>
      <c r="ZF198" s="7">
        <f t="shared" si="1466"/>
        <v>0</v>
      </c>
      <c r="ZG198" s="7">
        <f t="shared" si="1466"/>
        <v>0</v>
      </c>
      <c r="ZH198" s="7">
        <f t="shared" si="1466"/>
        <v>0</v>
      </c>
      <c r="ZI198" s="7">
        <f t="shared" si="1466"/>
        <v>0</v>
      </c>
      <c r="ZJ198" s="7">
        <f t="shared" si="1466"/>
        <v>0</v>
      </c>
      <c r="ZK198" s="7">
        <f t="shared" si="1466"/>
        <v>0</v>
      </c>
      <c r="ZL198" s="7">
        <f t="shared" si="1466"/>
        <v>0</v>
      </c>
      <c r="ZM198" s="7">
        <f t="shared" si="1466"/>
        <v>0</v>
      </c>
      <c r="ZN198" s="7">
        <f t="shared" si="1466"/>
        <v>0</v>
      </c>
      <c r="ZO198" s="7">
        <f t="shared" si="1466"/>
        <v>0</v>
      </c>
      <c r="ZP198" s="7" t="str">
        <f t="shared" si="1466"/>
        <v>MM_SYSTEM_MODE_MAINTENANCE_TOWING_E</v>
      </c>
      <c r="ZQ198" s="31">
        <f t="shared" si="1466"/>
        <v>0</v>
      </c>
      <c r="ZR198" s="7">
        <f t="shared" si="1466"/>
        <v>0</v>
      </c>
      <c r="ZS198" s="7">
        <f t="shared" si="1466"/>
        <v>0</v>
      </c>
      <c r="ZT198" s="7">
        <f t="shared" si="1466"/>
        <v>0</v>
      </c>
      <c r="ZU198" s="7">
        <f t="shared" si="1466"/>
        <v>0</v>
      </c>
      <c r="ZV198" s="7">
        <f t="shared" si="1466"/>
        <v>0</v>
      </c>
      <c r="ZW198" s="7" t="str">
        <f t="shared" si="1466"/>
        <v>MM_SYSTEM_MODE_MAINTENANCE_TOWING_E</v>
      </c>
      <c r="ZX198" s="31">
        <f t="shared" si="1466"/>
        <v>0</v>
      </c>
      <c r="ZY198" s="7">
        <f t="shared" si="1466"/>
        <v>0</v>
      </c>
      <c r="ZZ198" s="7">
        <f t="shared" si="1466"/>
        <v>0</v>
      </c>
      <c r="AAA198" s="7">
        <f t="shared" si="1466"/>
        <v>0</v>
      </c>
      <c r="AAB198" s="7">
        <f t="shared" si="1466"/>
        <v>0</v>
      </c>
      <c r="AAC198" s="7">
        <f t="shared" si="1466"/>
        <v>0</v>
      </c>
      <c r="AAD198" s="31" t="str">
        <f t="shared" si="1466"/>
        <v>MM_SYSTEM_MODE_PUSHBACK_ATA_TAS_E</v>
      </c>
      <c r="AAE198" s="7">
        <f t="shared" ref="AAE198:ACP198" si="1467" xml:space="preserve"> IF( EXACT(AAE197,"TRUE"), AAE58, )</f>
        <v>0</v>
      </c>
      <c r="AAF198" s="7">
        <f t="shared" si="1467"/>
        <v>0</v>
      </c>
      <c r="AAG198" s="7">
        <f t="shared" si="1467"/>
        <v>0</v>
      </c>
      <c r="AAH198" s="7">
        <f t="shared" si="1467"/>
        <v>0</v>
      </c>
      <c r="AAI198" s="7">
        <f t="shared" si="1467"/>
        <v>0</v>
      </c>
      <c r="AAJ198" s="7">
        <f t="shared" si="1467"/>
        <v>0</v>
      </c>
      <c r="AAK198" s="7">
        <f t="shared" si="1467"/>
        <v>0</v>
      </c>
      <c r="AAL198" s="7">
        <f t="shared" si="1467"/>
        <v>0</v>
      </c>
      <c r="AAM198" s="7">
        <f t="shared" si="1467"/>
        <v>0</v>
      </c>
      <c r="AAN198" s="7">
        <f t="shared" si="1467"/>
        <v>0</v>
      </c>
      <c r="AAO198" s="7">
        <f t="shared" si="1467"/>
        <v>0</v>
      </c>
      <c r="AAP198" s="7">
        <f t="shared" si="1467"/>
        <v>0</v>
      </c>
      <c r="AAQ198" s="7">
        <f t="shared" si="1467"/>
        <v>0</v>
      </c>
      <c r="AAR198" s="7">
        <f t="shared" si="1467"/>
        <v>0</v>
      </c>
      <c r="AAS198" s="7">
        <f t="shared" si="1467"/>
        <v>0</v>
      </c>
      <c r="AAT198" s="7">
        <f t="shared" si="1467"/>
        <v>0</v>
      </c>
      <c r="AAU198" s="31" t="str">
        <f t="shared" si="1467"/>
        <v>MM_SYSTEM_MODE_PUSHBACK_ATA_TAS_E</v>
      </c>
      <c r="AAV198" s="7">
        <f t="shared" si="1467"/>
        <v>0</v>
      </c>
      <c r="AAW198" s="7">
        <f t="shared" si="1467"/>
        <v>0</v>
      </c>
      <c r="AAX198" s="7">
        <f t="shared" si="1467"/>
        <v>0</v>
      </c>
      <c r="AAY198" s="7">
        <f t="shared" si="1467"/>
        <v>0</v>
      </c>
      <c r="AAZ198" s="7">
        <f t="shared" si="1467"/>
        <v>0</v>
      </c>
      <c r="ABA198" s="7">
        <f t="shared" si="1467"/>
        <v>0</v>
      </c>
      <c r="ABB198" s="7">
        <f t="shared" si="1467"/>
        <v>0</v>
      </c>
      <c r="ABC198" s="7">
        <f t="shared" si="1467"/>
        <v>0</v>
      </c>
      <c r="ABD198" s="7">
        <f t="shared" si="1467"/>
        <v>0</v>
      </c>
      <c r="ABE198" s="7">
        <f t="shared" si="1467"/>
        <v>0</v>
      </c>
      <c r="ABF198" s="7">
        <f t="shared" si="1467"/>
        <v>0</v>
      </c>
      <c r="ABG198" s="31" t="str">
        <f t="shared" si="1467"/>
        <v>MM_SYSTEM_MODE_PUSHBACK_ATA_BW_E</v>
      </c>
      <c r="ABH198" s="7">
        <f t="shared" si="1467"/>
        <v>0</v>
      </c>
      <c r="ABI198" s="7">
        <f t="shared" si="1467"/>
        <v>0</v>
      </c>
      <c r="ABJ198" s="7">
        <f t="shared" si="1467"/>
        <v>0</v>
      </c>
      <c r="ABK198" s="7">
        <f t="shared" si="1467"/>
        <v>0</v>
      </c>
      <c r="ABL198" s="7">
        <f t="shared" si="1467"/>
        <v>0</v>
      </c>
      <c r="ABM198" s="7">
        <f t="shared" si="1467"/>
        <v>0</v>
      </c>
      <c r="ABN198" s="7">
        <f t="shared" si="1467"/>
        <v>0</v>
      </c>
      <c r="ABO198" s="7">
        <f t="shared" si="1467"/>
        <v>0</v>
      </c>
      <c r="ABP198" s="7">
        <f t="shared" si="1467"/>
        <v>0</v>
      </c>
      <c r="ABQ198" s="7">
        <f t="shared" si="1467"/>
        <v>0</v>
      </c>
      <c r="ABR198" s="7">
        <f t="shared" si="1467"/>
        <v>0</v>
      </c>
      <c r="ABS198" s="7">
        <f t="shared" si="1467"/>
        <v>0</v>
      </c>
      <c r="ABT198" s="7">
        <f t="shared" si="1467"/>
        <v>0</v>
      </c>
      <c r="ABU198" s="7">
        <f t="shared" si="1467"/>
        <v>0</v>
      </c>
      <c r="ABV198" s="7">
        <f t="shared" si="1467"/>
        <v>0</v>
      </c>
      <c r="ABW198" s="7">
        <f t="shared" si="1467"/>
        <v>0</v>
      </c>
      <c r="ABX198" s="7">
        <f t="shared" si="1467"/>
        <v>0</v>
      </c>
      <c r="ABY198" s="7">
        <f t="shared" si="1467"/>
        <v>0</v>
      </c>
      <c r="ABZ198" s="7">
        <f t="shared" si="1467"/>
        <v>0</v>
      </c>
      <c r="ACA198" s="7">
        <f t="shared" si="1467"/>
        <v>0</v>
      </c>
      <c r="ACB198" s="7">
        <f t="shared" si="1467"/>
        <v>0</v>
      </c>
      <c r="ACC198" s="7">
        <f t="shared" si="1467"/>
        <v>0</v>
      </c>
      <c r="ACD198" s="7">
        <f t="shared" si="1467"/>
        <v>0</v>
      </c>
      <c r="ACE198" s="7">
        <f t="shared" si="1467"/>
        <v>0</v>
      </c>
      <c r="ACF198" s="7">
        <f t="shared" si="1467"/>
        <v>0</v>
      </c>
      <c r="ACG198" s="7">
        <f t="shared" si="1467"/>
        <v>0</v>
      </c>
      <c r="ACH198" s="7">
        <f t="shared" si="1467"/>
        <v>0</v>
      </c>
      <c r="ACI198" s="7">
        <f t="shared" si="1467"/>
        <v>0</v>
      </c>
      <c r="ACJ198" s="7">
        <f t="shared" si="1467"/>
        <v>0</v>
      </c>
      <c r="ACK198" s="7">
        <f t="shared" si="1467"/>
        <v>0</v>
      </c>
      <c r="ACL198" s="7">
        <f t="shared" si="1467"/>
        <v>0</v>
      </c>
      <c r="ACM198" s="7">
        <f t="shared" si="1467"/>
        <v>0</v>
      </c>
      <c r="ACN198" s="7">
        <f t="shared" si="1467"/>
        <v>0</v>
      </c>
      <c r="ACO198" s="7">
        <f t="shared" si="1467"/>
        <v>0</v>
      </c>
      <c r="ACP198" s="7">
        <f t="shared" si="1467"/>
        <v>0</v>
      </c>
      <c r="ACQ198" s="7">
        <f t="shared" ref="ACQ198:AFB198" si="1468" xml:space="preserve"> IF( EXACT(ACQ197,"TRUE"), ACQ58, )</f>
        <v>0</v>
      </c>
      <c r="ACR198" s="7">
        <f t="shared" si="1468"/>
        <v>0</v>
      </c>
      <c r="ACS198" s="7">
        <f t="shared" si="1468"/>
        <v>0</v>
      </c>
      <c r="ACT198" s="7">
        <f t="shared" si="1468"/>
        <v>0</v>
      </c>
      <c r="ACU198" s="7">
        <f t="shared" si="1468"/>
        <v>0</v>
      </c>
      <c r="ACV198" s="7">
        <f t="shared" si="1468"/>
        <v>0</v>
      </c>
      <c r="ACW198" s="7">
        <f t="shared" si="1468"/>
        <v>0</v>
      </c>
      <c r="ACX198" s="7">
        <f t="shared" si="1468"/>
        <v>0</v>
      </c>
      <c r="ACY198" s="7">
        <f t="shared" si="1468"/>
        <v>0</v>
      </c>
      <c r="ACZ198" s="7">
        <f t="shared" si="1468"/>
        <v>0</v>
      </c>
      <c r="ADA198" s="7">
        <f t="shared" si="1468"/>
        <v>0</v>
      </c>
      <c r="ADB198" s="7">
        <f t="shared" si="1468"/>
        <v>0</v>
      </c>
      <c r="ADC198" s="7">
        <f t="shared" si="1468"/>
        <v>0</v>
      </c>
      <c r="ADD198" s="31" t="str">
        <f t="shared" si="1468"/>
        <v>MM_SYSTEM_MODE_PUSHBACK_ATA_BW_E</v>
      </c>
      <c r="ADE198" s="7">
        <f t="shared" si="1468"/>
        <v>0</v>
      </c>
      <c r="ADF198" s="7">
        <f t="shared" si="1468"/>
        <v>0</v>
      </c>
      <c r="ADG198" s="7">
        <f t="shared" si="1468"/>
        <v>0</v>
      </c>
      <c r="ADH198" s="7">
        <f t="shared" si="1468"/>
        <v>0</v>
      </c>
      <c r="ADI198" s="7">
        <f t="shared" si="1468"/>
        <v>0</v>
      </c>
      <c r="ADJ198" s="7">
        <f t="shared" si="1468"/>
        <v>0</v>
      </c>
      <c r="ADK198" s="7">
        <f t="shared" si="1468"/>
        <v>0</v>
      </c>
      <c r="ADL198" s="7">
        <f t="shared" si="1468"/>
        <v>0</v>
      </c>
      <c r="ADM198" s="7">
        <f t="shared" si="1468"/>
        <v>0</v>
      </c>
      <c r="ADN198" s="7">
        <f t="shared" si="1468"/>
        <v>0</v>
      </c>
      <c r="ADO198" s="7">
        <f t="shared" si="1468"/>
        <v>0</v>
      </c>
      <c r="ADP198" s="7">
        <f t="shared" si="1468"/>
        <v>0</v>
      </c>
      <c r="ADQ198" s="31" t="str">
        <f t="shared" si="1468"/>
        <v>MM_SYSTEM_MODE_PUSHBACK_ATA_BW_E</v>
      </c>
      <c r="ADR198" s="7">
        <f t="shared" si="1468"/>
        <v>0</v>
      </c>
      <c r="ADS198" s="7">
        <f t="shared" si="1468"/>
        <v>0</v>
      </c>
      <c r="ADT198" s="7">
        <f t="shared" si="1468"/>
        <v>0</v>
      </c>
      <c r="ADU198" s="7">
        <f t="shared" si="1468"/>
        <v>0</v>
      </c>
      <c r="ADV198" s="7">
        <f t="shared" si="1468"/>
        <v>0</v>
      </c>
      <c r="ADW198" s="7">
        <f t="shared" si="1468"/>
        <v>0</v>
      </c>
      <c r="ADX198" s="7">
        <f t="shared" si="1468"/>
        <v>0</v>
      </c>
      <c r="ADY198" s="7">
        <f t="shared" si="1468"/>
        <v>0</v>
      </c>
      <c r="ADZ198" s="7">
        <f t="shared" si="1468"/>
        <v>0</v>
      </c>
      <c r="AEA198" s="7">
        <f t="shared" si="1468"/>
        <v>0</v>
      </c>
      <c r="AEB198" s="7">
        <f t="shared" si="1468"/>
        <v>0</v>
      </c>
      <c r="AEC198" s="7">
        <f t="shared" si="1468"/>
        <v>0</v>
      </c>
      <c r="AED198" s="7">
        <f t="shared" si="1468"/>
        <v>0</v>
      </c>
      <c r="AEE198" s="7">
        <f t="shared" si="1468"/>
        <v>0</v>
      </c>
      <c r="AEF198" s="7">
        <f t="shared" si="1468"/>
        <v>0</v>
      </c>
      <c r="AEG198" s="7">
        <f t="shared" si="1468"/>
        <v>0</v>
      </c>
      <c r="AEH198" s="7">
        <f t="shared" si="1468"/>
        <v>0</v>
      </c>
      <c r="AEI198" s="7">
        <f t="shared" si="1468"/>
        <v>0</v>
      </c>
      <c r="AEJ198" s="7">
        <f t="shared" si="1468"/>
        <v>0</v>
      </c>
      <c r="AEK198" s="7">
        <f t="shared" si="1468"/>
        <v>0</v>
      </c>
      <c r="AEL198" s="7">
        <f t="shared" si="1468"/>
        <v>0</v>
      </c>
      <c r="AEM198" s="7">
        <f t="shared" si="1468"/>
        <v>0</v>
      </c>
      <c r="AEN198" s="7">
        <f t="shared" si="1468"/>
        <v>0</v>
      </c>
      <c r="AEO198" s="7">
        <f t="shared" si="1468"/>
        <v>0</v>
      </c>
      <c r="AEP198" s="7">
        <f t="shared" si="1468"/>
        <v>0</v>
      </c>
      <c r="AEQ198" s="7">
        <f t="shared" si="1468"/>
        <v>0</v>
      </c>
      <c r="AER198" s="7">
        <f t="shared" si="1468"/>
        <v>0</v>
      </c>
      <c r="AES198" s="7">
        <f t="shared" si="1468"/>
        <v>0</v>
      </c>
      <c r="AET198" s="7">
        <f t="shared" si="1468"/>
        <v>0</v>
      </c>
      <c r="AEU198" s="7">
        <f t="shared" si="1468"/>
        <v>0</v>
      </c>
      <c r="AEV198" s="7">
        <f t="shared" si="1468"/>
        <v>0</v>
      </c>
      <c r="AEW198" s="7">
        <f t="shared" si="1468"/>
        <v>0</v>
      </c>
      <c r="AEX198" s="7">
        <f t="shared" si="1468"/>
        <v>0</v>
      </c>
      <c r="AEY198" s="7">
        <f t="shared" si="1468"/>
        <v>0</v>
      </c>
      <c r="AEZ198" s="7">
        <f t="shared" si="1468"/>
        <v>0</v>
      </c>
      <c r="AFA198" s="7">
        <f t="shared" si="1468"/>
        <v>0</v>
      </c>
      <c r="AFB198" s="7">
        <f t="shared" si="1468"/>
        <v>0</v>
      </c>
      <c r="AFC198" s="7">
        <f t="shared" ref="AFC198:AHN198" si="1469" xml:space="preserve"> IF( EXACT(AFC197,"TRUE"), AFC58, )</f>
        <v>0</v>
      </c>
      <c r="AFD198" s="7">
        <f t="shared" si="1469"/>
        <v>0</v>
      </c>
      <c r="AFE198" s="7">
        <f t="shared" si="1469"/>
        <v>0</v>
      </c>
      <c r="AFF198" s="7">
        <f t="shared" si="1469"/>
        <v>0</v>
      </c>
      <c r="AFG198" s="7">
        <f t="shared" si="1469"/>
        <v>0</v>
      </c>
      <c r="AFH198" s="7">
        <f t="shared" si="1469"/>
        <v>0</v>
      </c>
      <c r="AFI198" s="7">
        <f t="shared" si="1469"/>
        <v>0</v>
      </c>
      <c r="AFJ198" s="7">
        <f t="shared" si="1469"/>
        <v>0</v>
      </c>
      <c r="AFK198" s="7">
        <f t="shared" si="1469"/>
        <v>0</v>
      </c>
      <c r="AFL198" s="7">
        <f t="shared" si="1469"/>
        <v>0</v>
      </c>
      <c r="AFM198" s="7">
        <f t="shared" si="1469"/>
        <v>0</v>
      </c>
      <c r="AFN198" s="31" t="str">
        <f t="shared" si="1469"/>
        <v>MM_SYSTEM_MODE_PUSHBACK_ATA_BW_E</v>
      </c>
      <c r="AFO198" s="7">
        <f t="shared" si="1469"/>
        <v>0</v>
      </c>
      <c r="AFP198" s="7">
        <f t="shared" si="1469"/>
        <v>0</v>
      </c>
      <c r="AFQ198" s="7">
        <f t="shared" si="1469"/>
        <v>0</v>
      </c>
      <c r="AFR198" s="7">
        <f t="shared" si="1469"/>
        <v>0</v>
      </c>
      <c r="AFS198" s="7">
        <f t="shared" si="1469"/>
        <v>0</v>
      </c>
      <c r="AFT198" s="7">
        <f t="shared" si="1469"/>
        <v>0</v>
      </c>
      <c r="AFU198" s="7">
        <f t="shared" si="1469"/>
        <v>0</v>
      </c>
      <c r="AFV198" s="7">
        <f t="shared" si="1469"/>
        <v>0</v>
      </c>
      <c r="AFW198" s="7">
        <f t="shared" si="1469"/>
        <v>0</v>
      </c>
      <c r="AFX198" s="7">
        <f t="shared" si="1469"/>
        <v>0</v>
      </c>
      <c r="AFY198" s="7">
        <f t="shared" si="1469"/>
        <v>0</v>
      </c>
      <c r="AFZ198" s="7">
        <f t="shared" si="1469"/>
        <v>0</v>
      </c>
      <c r="AGA198" s="31" t="str">
        <f t="shared" si="1469"/>
        <v>MM_SYSTEM_MODE_PUSHBACK_ATA_BW_E</v>
      </c>
      <c r="AGB198" s="7">
        <f t="shared" si="1469"/>
        <v>0</v>
      </c>
      <c r="AGC198" s="7">
        <f t="shared" si="1469"/>
        <v>0</v>
      </c>
      <c r="AGD198" s="7">
        <f t="shared" si="1469"/>
        <v>0</v>
      </c>
      <c r="AGE198" s="7">
        <f t="shared" si="1469"/>
        <v>0</v>
      </c>
      <c r="AGF198" s="7">
        <f t="shared" si="1469"/>
        <v>0</v>
      </c>
      <c r="AGG198" s="7">
        <f t="shared" si="1469"/>
        <v>0</v>
      </c>
      <c r="AGH198" s="7">
        <f t="shared" si="1469"/>
        <v>0</v>
      </c>
      <c r="AGI198" s="7">
        <f t="shared" si="1469"/>
        <v>0</v>
      </c>
      <c r="AGJ198" s="7">
        <f t="shared" si="1469"/>
        <v>0</v>
      </c>
      <c r="AGK198" s="7">
        <f t="shared" si="1469"/>
        <v>0</v>
      </c>
      <c r="AGL198" s="7">
        <f t="shared" si="1469"/>
        <v>0</v>
      </c>
      <c r="AGM198" s="7">
        <f t="shared" si="1469"/>
        <v>0</v>
      </c>
      <c r="AGN198" s="7">
        <f t="shared" si="1469"/>
        <v>0</v>
      </c>
      <c r="AGO198" s="7">
        <f t="shared" si="1469"/>
        <v>0</v>
      </c>
      <c r="AGP198" s="7">
        <f t="shared" si="1469"/>
        <v>0</v>
      </c>
      <c r="AGQ198" s="7">
        <f t="shared" si="1469"/>
        <v>0</v>
      </c>
      <c r="AGR198" s="7">
        <f t="shared" si="1469"/>
        <v>0</v>
      </c>
      <c r="AGS198" s="7">
        <f t="shared" si="1469"/>
        <v>0</v>
      </c>
      <c r="AGT198" s="7">
        <f t="shared" si="1469"/>
        <v>0</v>
      </c>
      <c r="AGU198" s="7">
        <f t="shared" si="1469"/>
        <v>0</v>
      </c>
      <c r="AGV198" s="7">
        <f t="shared" si="1469"/>
        <v>0</v>
      </c>
      <c r="AGW198" s="7">
        <f t="shared" si="1469"/>
        <v>0</v>
      </c>
      <c r="AGX198" s="7">
        <f t="shared" si="1469"/>
        <v>0</v>
      </c>
      <c r="AGY198" s="7">
        <f t="shared" si="1469"/>
        <v>0</v>
      </c>
      <c r="AGZ198" s="7">
        <f t="shared" si="1469"/>
        <v>0</v>
      </c>
      <c r="AHA198" s="7">
        <f t="shared" si="1469"/>
        <v>0</v>
      </c>
      <c r="AHB198" s="7">
        <f t="shared" si="1469"/>
        <v>0</v>
      </c>
      <c r="AHC198" s="7">
        <f t="shared" si="1469"/>
        <v>0</v>
      </c>
      <c r="AHD198" s="7">
        <f t="shared" si="1469"/>
        <v>0</v>
      </c>
      <c r="AHE198" s="7">
        <f t="shared" si="1469"/>
        <v>0</v>
      </c>
      <c r="AHF198" s="7">
        <f t="shared" si="1469"/>
        <v>0</v>
      </c>
      <c r="AHG198" s="7">
        <f t="shared" si="1469"/>
        <v>0</v>
      </c>
      <c r="AHH198" s="7">
        <f t="shared" si="1469"/>
        <v>0</v>
      </c>
      <c r="AHI198" s="7">
        <f t="shared" si="1469"/>
        <v>0</v>
      </c>
      <c r="AHJ198" s="7">
        <f t="shared" si="1469"/>
        <v>0</v>
      </c>
      <c r="AHK198" s="7">
        <f t="shared" si="1469"/>
        <v>0</v>
      </c>
      <c r="AHL198" s="7">
        <f t="shared" si="1469"/>
        <v>0</v>
      </c>
      <c r="AHM198" s="7">
        <f t="shared" si="1469"/>
        <v>0</v>
      </c>
      <c r="AHN198" s="7">
        <f t="shared" si="1469"/>
        <v>0</v>
      </c>
      <c r="AHO198" s="7">
        <f t="shared" ref="AHO198:AJF198" si="1470" xml:space="preserve"> IF( EXACT(AHO197,"TRUE"), AHO58, )</f>
        <v>0</v>
      </c>
      <c r="AHP198" s="7">
        <f t="shared" si="1470"/>
        <v>0</v>
      </c>
      <c r="AHQ198" s="7">
        <f t="shared" si="1470"/>
        <v>0</v>
      </c>
      <c r="AHR198" s="7">
        <f t="shared" si="1470"/>
        <v>0</v>
      </c>
      <c r="AHS198" s="7">
        <f t="shared" si="1470"/>
        <v>0</v>
      </c>
      <c r="AHT198" s="7">
        <f t="shared" si="1470"/>
        <v>0</v>
      </c>
      <c r="AHU198" s="7">
        <f t="shared" si="1470"/>
        <v>0</v>
      </c>
      <c r="AHV198" s="7">
        <f t="shared" si="1470"/>
        <v>0</v>
      </c>
      <c r="AHW198" s="7">
        <f t="shared" si="1470"/>
        <v>0</v>
      </c>
      <c r="AHX198" s="7">
        <f t="shared" si="1470"/>
        <v>0</v>
      </c>
      <c r="AHY198" s="7">
        <f t="shared" si="1470"/>
        <v>0</v>
      </c>
      <c r="AHZ198" s="7">
        <f t="shared" si="1470"/>
        <v>0</v>
      </c>
      <c r="AIA198" s="7">
        <f t="shared" si="1470"/>
        <v>0</v>
      </c>
      <c r="AIB198" s="7">
        <f t="shared" si="1470"/>
        <v>0</v>
      </c>
      <c r="AIC198" s="7">
        <f t="shared" si="1470"/>
        <v>0</v>
      </c>
      <c r="AID198" s="7">
        <f t="shared" si="1470"/>
        <v>0</v>
      </c>
      <c r="AIE198" s="7">
        <f t="shared" si="1470"/>
        <v>0</v>
      </c>
      <c r="AIF198" s="7">
        <f t="shared" si="1470"/>
        <v>0</v>
      </c>
      <c r="AIG198" s="7">
        <f t="shared" si="1470"/>
        <v>0</v>
      </c>
      <c r="AIH198" s="7">
        <f t="shared" si="1470"/>
        <v>0</v>
      </c>
      <c r="AII198" s="7">
        <f t="shared" si="1470"/>
        <v>0</v>
      </c>
      <c r="AIJ198" s="7">
        <f t="shared" si="1470"/>
        <v>0</v>
      </c>
      <c r="AIK198" s="7">
        <f t="shared" si="1470"/>
        <v>0</v>
      </c>
      <c r="AIL198" s="7">
        <f t="shared" si="1470"/>
        <v>0</v>
      </c>
      <c r="AIM198" s="7">
        <f t="shared" si="1470"/>
        <v>0</v>
      </c>
      <c r="AIN198" s="7">
        <f t="shared" si="1470"/>
        <v>0</v>
      </c>
      <c r="AIO198" s="7">
        <f t="shared" si="1470"/>
        <v>0</v>
      </c>
      <c r="AIP198" s="7">
        <f t="shared" si="1470"/>
        <v>0</v>
      </c>
      <c r="AIQ198" s="7">
        <f t="shared" si="1470"/>
        <v>0</v>
      </c>
      <c r="AIR198" s="7">
        <f t="shared" si="1470"/>
        <v>0</v>
      </c>
      <c r="AIS198" s="7">
        <f t="shared" si="1470"/>
        <v>0</v>
      </c>
      <c r="AIT198" s="7">
        <f t="shared" si="1470"/>
        <v>0</v>
      </c>
      <c r="AIU198" s="7">
        <f t="shared" si="1470"/>
        <v>0</v>
      </c>
      <c r="AIV198" s="7">
        <f t="shared" si="1470"/>
        <v>0</v>
      </c>
      <c r="AIW198" s="7">
        <f t="shared" si="1470"/>
        <v>0</v>
      </c>
      <c r="AIX198" s="7">
        <f t="shared" si="1470"/>
        <v>0</v>
      </c>
      <c r="AIY198" s="7">
        <f t="shared" si="1470"/>
        <v>0</v>
      </c>
      <c r="AIZ198" s="7">
        <f t="shared" si="1470"/>
        <v>0</v>
      </c>
      <c r="AJA198" s="31" t="str">
        <f t="shared" si="1470"/>
        <v>MM_SYSTEM_MODE_MAINTENANCE_TOWING_E</v>
      </c>
      <c r="AJB198" s="7">
        <f t="shared" si="1470"/>
        <v>0</v>
      </c>
      <c r="AJC198" s="7">
        <f t="shared" si="1470"/>
        <v>0</v>
      </c>
      <c r="AJD198" s="7">
        <f t="shared" si="1470"/>
        <v>0</v>
      </c>
      <c r="AJE198" s="31" t="str">
        <f t="shared" si="1470"/>
        <v>MM_SYSTEM_MODE_MAINTENANCE_TOWING_E</v>
      </c>
      <c r="AJF198" s="7">
        <f t="shared" si="1470"/>
        <v>0</v>
      </c>
      <c r="AKJ198" s="7">
        <f t="shared" ref="AKJ198:AKQ198" si="1471" xml:space="preserve"> IF( EXACT(AKJ197,"TRUE"), AKJ58, )</f>
        <v>0</v>
      </c>
      <c r="AKK198" s="7">
        <f t="shared" si="1471"/>
        <v>0</v>
      </c>
      <c r="AKL198" s="7">
        <f t="shared" si="1471"/>
        <v>0</v>
      </c>
      <c r="AKM198" s="7">
        <f t="shared" si="1471"/>
        <v>0</v>
      </c>
      <c r="AKN198" s="7">
        <f t="shared" si="1471"/>
        <v>0</v>
      </c>
      <c r="AKO198" s="7">
        <f t="shared" si="1471"/>
        <v>0</v>
      </c>
      <c r="AKP198" s="7">
        <f t="shared" si="1471"/>
        <v>0</v>
      </c>
      <c r="AKQ198" s="7">
        <f t="shared" si="1471"/>
        <v>0</v>
      </c>
      <c r="AKY198" s="7">
        <f t="shared" ref="AKY198:ALG198" si="1472" xml:space="preserve"> IF( EXACT(AKY197,"TRUE"), AKY58, )</f>
        <v>0</v>
      </c>
      <c r="AKZ198" s="7">
        <f t="shared" si="1472"/>
        <v>0</v>
      </c>
      <c r="ALA198" s="7">
        <f t="shared" si="1472"/>
        <v>0</v>
      </c>
      <c r="ALB198" s="7">
        <f t="shared" si="1472"/>
        <v>0</v>
      </c>
      <c r="ALC198" s="7">
        <f t="shared" si="1472"/>
        <v>0</v>
      </c>
      <c r="ALD198" s="7">
        <f t="shared" si="1472"/>
        <v>0</v>
      </c>
      <c r="ALE198" s="7">
        <f t="shared" si="1472"/>
        <v>0</v>
      </c>
      <c r="ALF198" s="7">
        <f t="shared" si="1472"/>
        <v>0</v>
      </c>
      <c r="ALG198" s="31" t="str">
        <f t="shared" si="1472"/>
        <v>MM_SYSTEM_MODE_PUSHBACK_ATA_BW_E</v>
      </c>
      <c r="ALM198" s="7">
        <f t="shared" ref="ALM198:ALW198" si="1473" xml:space="preserve"> IF( EXACT(ALM197,"TRUE"), ALM58, )</f>
        <v>0</v>
      </c>
      <c r="ALN198" s="7">
        <f t="shared" si="1473"/>
        <v>0</v>
      </c>
      <c r="ALO198" s="7">
        <f t="shared" si="1473"/>
        <v>0</v>
      </c>
      <c r="ALP198" s="7">
        <f t="shared" si="1473"/>
        <v>0</v>
      </c>
      <c r="ALQ198" s="7">
        <f t="shared" si="1473"/>
        <v>0</v>
      </c>
      <c r="ALR198" s="7">
        <f t="shared" si="1473"/>
        <v>0</v>
      </c>
      <c r="ALS198" s="7">
        <f t="shared" si="1473"/>
        <v>0</v>
      </c>
      <c r="ALT198" s="7">
        <f t="shared" si="1473"/>
        <v>0</v>
      </c>
      <c r="ALU198" s="7">
        <f t="shared" si="1473"/>
        <v>0</v>
      </c>
      <c r="ALV198" s="31" t="str">
        <f t="shared" si="1473"/>
        <v>MM_SYSTEM_MODE_PUSHBACK_ATA_TAS_E</v>
      </c>
      <c r="ALW198" s="7">
        <f t="shared" si="1473"/>
        <v>0</v>
      </c>
      <c r="ALX198" s="7"/>
      <c r="ALY198" s="7"/>
      <c r="ALZ198" s="7"/>
      <c r="AMA198" s="7"/>
      <c r="AMB198" s="7"/>
      <c r="AMC198" s="7">
        <f t="shared" ref="AMC198:AMN198" si="1474" xml:space="preserve"> IF( EXACT(AMC197,"TRUE"), AMC58, )</f>
        <v>0</v>
      </c>
      <c r="AMD198" s="7">
        <f t="shared" si="1474"/>
        <v>0</v>
      </c>
      <c r="AME198" s="7">
        <f t="shared" si="1474"/>
        <v>0</v>
      </c>
      <c r="AMF198" s="7">
        <f t="shared" si="1474"/>
        <v>0</v>
      </c>
      <c r="AMG198" s="7">
        <f t="shared" si="1474"/>
        <v>0</v>
      </c>
      <c r="AMH198" s="7">
        <f t="shared" si="1474"/>
        <v>0</v>
      </c>
      <c r="AMI198" s="7">
        <f t="shared" si="1474"/>
        <v>0</v>
      </c>
      <c r="AMJ198" s="7">
        <f t="shared" si="1474"/>
        <v>0</v>
      </c>
      <c r="AMK198" s="7">
        <f t="shared" si="1474"/>
        <v>0</v>
      </c>
      <c r="AML198" s="31" t="str">
        <f t="shared" si="1474"/>
        <v>MM_SYSTEM_MODE_PUSHBACK_ATA_BW_E</v>
      </c>
      <c r="AMM198" s="7">
        <f t="shared" si="1474"/>
        <v>0</v>
      </c>
      <c r="AMN198" s="7">
        <f t="shared" si="1474"/>
        <v>0</v>
      </c>
      <c r="AMO198" s="7"/>
      <c r="AMP198" s="7"/>
      <c r="AMQ198" s="7"/>
      <c r="AMR198" s="7"/>
      <c r="AMS198" s="7"/>
      <c r="AMT198" s="7"/>
      <c r="AMU198" s="7"/>
      <c r="AMV198" s="7"/>
      <c r="AMW198" s="7"/>
      <c r="AMX198" s="7"/>
      <c r="AMY198" s="7"/>
      <c r="AMZ198" s="7"/>
      <c r="ANA198" s="7"/>
      <c r="ANB198" s="7"/>
      <c r="ANC198" s="7"/>
      <c r="AND198" s="7"/>
    </row>
    <row r="199" spans="1:1120" ht="15" customHeight="1" x14ac:dyDescent="0.25">
      <c r="A199" s="7">
        <v>1</v>
      </c>
      <c r="B199" s="7">
        <v>2</v>
      </c>
      <c r="C199" s="7">
        <v>3</v>
      </c>
      <c r="D199" s="7">
        <v>4</v>
      </c>
      <c r="E199" s="7">
        <v>5</v>
      </c>
      <c r="F199" s="7">
        <v>6</v>
      </c>
      <c r="G199" s="7">
        <v>7</v>
      </c>
      <c r="H199" s="7">
        <v>8</v>
      </c>
      <c r="I199" s="7">
        <v>9</v>
      </c>
      <c r="J199" s="7">
        <v>10</v>
      </c>
      <c r="K199" s="7">
        <v>11</v>
      </c>
      <c r="L199" s="7">
        <v>12</v>
      </c>
      <c r="M199" s="7">
        <v>13</v>
      </c>
      <c r="N199" s="7">
        <v>14</v>
      </c>
      <c r="O199" s="7">
        <v>15</v>
      </c>
      <c r="P199" s="7">
        <v>16</v>
      </c>
      <c r="Q199" s="7">
        <v>17</v>
      </c>
      <c r="R199" s="7">
        <v>18</v>
      </c>
      <c r="S199" s="7">
        <v>19</v>
      </c>
      <c r="T199" s="7">
        <v>20</v>
      </c>
      <c r="U199" s="7">
        <v>21</v>
      </c>
      <c r="V199" s="7">
        <v>22</v>
      </c>
      <c r="W199" s="7">
        <v>23</v>
      </c>
      <c r="X199" s="7">
        <v>24</v>
      </c>
      <c r="Y199" s="7">
        <v>25</v>
      </c>
      <c r="Z199" s="7">
        <v>26</v>
      </c>
      <c r="AA199" s="7">
        <v>27</v>
      </c>
      <c r="AB199" s="7">
        <v>28</v>
      </c>
      <c r="AC199" s="7">
        <v>29</v>
      </c>
      <c r="AD199" s="7">
        <v>30</v>
      </c>
      <c r="AE199" s="7">
        <v>31</v>
      </c>
      <c r="AF199" s="7">
        <v>32</v>
      </c>
      <c r="AG199" s="7">
        <v>33</v>
      </c>
      <c r="AH199" s="7">
        <v>34</v>
      </c>
      <c r="AI199" s="7">
        <v>35</v>
      </c>
      <c r="AJ199" s="7">
        <v>36</v>
      </c>
      <c r="AK199" s="7">
        <v>37</v>
      </c>
      <c r="AL199" s="7">
        <v>38</v>
      </c>
      <c r="AM199" s="7">
        <v>39</v>
      </c>
      <c r="AN199" s="7">
        <v>40</v>
      </c>
      <c r="AO199" s="7">
        <v>41</v>
      </c>
      <c r="AP199" s="7">
        <v>42</v>
      </c>
      <c r="AQ199" s="7">
        <v>43</v>
      </c>
      <c r="AR199" s="7">
        <v>44</v>
      </c>
      <c r="AS199" s="7">
        <v>45</v>
      </c>
      <c r="AT199" s="7">
        <v>46</v>
      </c>
      <c r="AU199" s="7">
        <v>47</v>
      </c>
      <c r="AV199" s="7">
        <v>48</v>
      </c>
      <c r="AW199" s="7">
        <v>49</v>
      </c>
      <c r="AX199" s="7">
        <v>50</v>
      </c>
      <c r="AY199" s="7">
        <v>51</v>
      </c>
      <c r="AZ199" s="7">
        <v>52</v>
      </c>
      <c r="BA199" s="7">
        <v>53</v>
      </c>
      <c r="BB199" s="7">
        <v>54</v>
      </c>
      <c r="BC199" s="7">
        <v>55</v>
      </c>
      <c r="BD199" s="7">
        <v>56</v>
      </c>
      <c r="BE199" s="7">
        <v>57</v>
      </c>
      <c r="BF199" s="7">
        <v>58</v>
      </c>
      <c r="BG199" s="7">
        <v>59</v>
      </c>
      <c r="BH199" s="7">
        <v>60</v>
      </c>
      <c r="BI199" s="7">
        <v>61</v>
      </c>
      <c r="BJ199" s="7">
        <v>62</v>
      </c>
      <c r="BK199" s="7">
        <v>63</v>
      </c>
      <c r="BL199" s="7">
        <v>64</v>
      </c>
      <c r="BM199" s="7">
        <v>65</v>
      </c>
      <c r="BN199" s="7">
        <v>66</v>
      </c>
      <c r="BO199" s="7">
        <v>67</v>
      </c>
      <c r="BP199" s="7">
        <v>68</v>
      </c>
      <c r="BQ199" s="7">
        <v>69</v>
      </c>
      <c r="BR199" s="7">
        <v>70</v>
      </c>
      <c r="BS199" s="7">
        <v>71</v>
      </c>
      <c r="BT199" s="7">
        <v>72</v>
      </c>
      <c r="BU199" s="7">
        <v>73</v>
      </c>
      <c r="BV199" s="7">
        <v>74</v>
      </c>
      <c r="BW199" s="7">
        <v>75</v>
      </c>
      <c r="BX199" s="7">
        <v>76</v>
      </c>
      <c r="BY199" s="7">
        <v>77</v>
      </c>
      <c r="BZ199" s="7">
        <v>78</v>
      </c>
      <c r="CA199" s="7">
        <v>79</v>
      </c>
      <c r="CB199" s="7">
        <v>80</v>
      </c>
      <c r="CC199" s="7">
        <v>81</v>
      </c>
      <c r="CD199" s="7">
        <v>82</v>
      </c>
      <c r="CE199" s="7">
        <v>83</v>
      </c>
      <c r="CF199" s="7">
        <v>84</v>
      </c>
      <c r="CG199" s="7">
        <v>85</v>
      </c>
      <c r="CH199" s="7">
        <v>86</v>
      </c>
      <c r="CI199" s="7">
        <v>87</v>
      </c>
      <c r="CJ199" s="7">
        <v>88</v>
      </c>
      <c r="CK199" s="7">
        <v>89</v>
      </c>
      <c r="CL199" s="7">
        <v>90</v>
      </c>
      <c r="CM199" s="7">
        <v>91</v>
      </c>
      <c r="CN199" s="7">
        <v>92</v>
      </c>
      <c r="CO199" s="7">
        <v>93</v>
      </c>
      <c r="CP199" s="7">
        <v>94</v>
      </c>
      <c r="CQ199" s="7">
        <v>95</v>
      </c>
      <c r="CR199" s="7">
        <v>96</v>
      </c>
      <c r="CS199" s="7">
        <v>97</v>
      </c>
      <c r="CT199" s="7">
        <v>98</v>
      </c>
      <c r="CU199" s="7">
        <v>99</v>
      </c>
      <c r="CV199" s="7">
        <v>100</v>
      </c>
      <c r="CW199" s="7">
        <v>101</v>
      </c>
      <c r="CX199" s="7">
        <v>102</v>
      </c>
      <c r="CY199" s="7">
        <v>103</v>
      </c>
      <c r="CZ199" s="7">
        <v>104</v>
      </c>
      <c r="DA199" s="7">
        <v>105</v>
      </c>
      <c r="DB199" s="7">
        <v>106</v>
      </c>
      <c r="DC199" s="7">
        <v>107</v>
      </c>
      <c r="DD199" s="7">
        <v>108</v>
      </c>
      <c r="DE199" s="7">
        <v>109</v>
      </c>
      <c r="DF199" s="7">
        <v>110</v>
      </c>
      <c r="DG199" s="7">
        <v>111</v>
      </c>
      <c r="DH199" s="7">
        <v>112</v>
      </c>
      <c r="DI199" s="7">
        <v>113</v>
      </c>
      <c r="DJ199" s="7">
        <v>114</v>
      </c>
      <c r="DK199" s="7">
        <v>115</v>
      </c>
      <c r="DL199" s="7">
        <v>116</v>
      </c>
      <c r="DM199" s="7">
        <v>117</v>
      </c>
      <c r="DN199" s="7">
        <v>118</v>
      </c>
      <c r="DO199" s="7">
        <v>119</v>
      </c>
      <c r="DP199" s="7">
        <v>120</v>
      </c>
      <c r="DQ199" s="7">
        <v>121</v>
      </c>
      <c r="DR199" s="7">
        <v>122</v>
      </c>
      <c r="DS199" s="7">
        <v>123</v>
      </c>
      <c r="DT199" s="7">
        <v>124</v>
      </c>
      <c r="DU199" s="7">
        <v>125</v>
      </c>
      <c r="DV199" s="7">
        <v>126</v>
      </c>
      <c r="DW199" s="7">
        <v>127</v>
      </c>
      <c r="DX199" s="7">
        <v>128</v>
      </c>
      <c r="DY199" s="7">
        <v>129</v>
      </c>
      <c r="DZ199" s="7">
        <v>130</v>
      </c>
      <c r="EA199" s="7">
        <v>131</v>
      </c>
      <c r="EB199" s="7">
        <v>132</v>
      </c>
      <c r="EC199" s="7">
        <v>133</v>
      </c>
      <c r="ED199" s="7">
        <v>134</v>
      </c>
      <c r="EE199" s="7">
        <v>135</v>
      </c>
      <c r="EF199" s="7">
        <v>136</v>
      </c>
      <c r="EG199" s="7">
        <v>137</v>
      </c>
      <c r="EH199" s="7">
        <v>138</v>
      </c>
      <c r="EI199" s="7">
        <v>139</v>
      </c>
      <c r="EJ199" s="7">
        <v>140</v>
      </c>
      <c r="EK199" s="7">
        <v>141</v>
      </c>
      <c r="EL199" s="7">
        <v>142</v>
      </c>
      <c r="EM199" s="7">
        <v>143</v>
      </c>
      <c r="EN199" s="7">
        <v>144</v>
      </c>
      <c r="EO199" s="7">
        <v>145</v>
      </c>
      <c r="EP199" s="7">
        <v>146</v>
      </c>
      <c r="EQ199" s="7">
        <v>147</v>
      </c>
      <c r="ER199" s="7">
        <v>148</v>
      </c>
      <c r="ES199" s="7">
        <v>149</v>
      </c>
      <c r="ET199" s="7">
        <v>150</v>
      </c>
      <c r="EU199" s="7">
        <v>151</v>
      </c>
      <c r="EV199" s="7">
        <v>152</v>
      </c>
      <c r="EW199" s="7">
        <v>153</v>
      </c>
      <c r="EX199" s="7">
        <v>154</v>
      </c>
      <c r="EY199" s="7">
        <v>155</v>
      </c>
      <c r="EZ199" s="7">
        <v>156</v>
      </c>
      <c r="FA199" s="7">
        <v>157</v>
      </c>
      <c r="FB199" s="7">
        <v>158</v>
      </c>
      <c r="FC199" s="7">
        <v>159</v>
      </c>
      <c r="FD199" s="7">
        <v>160</v>
      </c>
      <c r="FE199" s="7">
        <v>161</v>
      </c>
      <c r="FF199" s="7">
        <v>162</v>
      </c>
      <c r="FG199" s="7">
        <v>163</v>
      </c>
      <c r="FH199" s="7">
        <v>164</v>
      </c>
      <c r="FI199" s="7">
        <v>165</v>
      </c>
      <c r="FJ199" s="7">
        <v>166</v>
      </c>
      <c r="FK199" s="7">
        <v>167</v>
      </c>
      <c r="FL199" s="7">
        <v>168</v>
      </c>
      <c r="FM199" s="7">
        <v>169</v>
      </c>
      <c r="FN199" s="7">
        <v>170</v>
      </c>
      <c r="FO199" s="7">
        <v>171</v>
      </c>
      <c r="FP199" s="7">
        <v>172</v>
      </c>
      <c r="FQ199" s="7">
        <v>173</v>
      </c>
      <c r="FR199" s="7">
        <v>174</v>
      </c>
      <c r="FS199" s="7">
        <v>175</v>
      </c>
      <c r="FT199" s="7">
        <v>176</v>
      </c>
      <c r="FU199" s="7">
        <v>177</v>
      </c>
      <c r="FV199" s="7">
        <v>178</v>
      </c>
      <c r="FW199" s="7">
        <v>179</v>
      </c>
      <c r="FX199" s="7">
        <v>180</v>
      </c>
      <c r="FY199" s="7">
        <v>181</v>
      </c>
      <c r="FZ199" s="7">
        <v>182</v>
      </c>
      <c r="GA199" s="7">
        <v>183</v>
      </c>
      <c r="GB199" s="7">
        <v>184</v>
      </c>
      <c r="GC199" s="7">
        <v>185</v>
      </c>
      <c r="GD199" s="7">
        <v>186</v>
      </c>
      <c r="GE199" s="7">
        <v>187</v>
      </c>
      <c r="GF199" s="7">
        <v>188</v>
      </c>
      <c r="GG199" s="7">
        <v>189</v>
      </c>
      <c r="GH199" s="7">
        <v>190</v>
      </c>
      <c r="GI199" s="7">
        <v>191</v>
      </c>
      <c r="GJ199" s="7">
        <v>192</v>
      </c>
      <c r="GK199" s="7">
        <v>193</v>
      </c>
      <c r="GL199" s="7">
        <v>194</v>
      </c>
      <c r="GM199" s="7">
        <v>195</v>
      </c>
      <c r="GN199" s="7">
        <v>196</v>
      </c>
      <c r="GO199" s="7">
        <v>197</v>
      </c>
      <c r="GP199" s="7">
        <v>198</v>
      </c>
      <c r="GQ199" s="7">
        <v>199</v>
      </c>
      <c r="GR199" s="7">
        <v>200</v>
      </c>
      <c r="GS199" s="7">
        <v>201</v>
      </c>
      <c r="GT199" s="7">
        <v>202</v>
      </c>
      <c r="GU199" s="7">
        <v>203</v>
      </c>
      <c r="GV199" s="7">
        <v>204</v>
      </c>
      <c r="GW199" s="7">
        <v>205</v>
      </c>
      <c r="GX199" s="7">
        <v>206</v>
      </c>
      <c r="GY199" s="7">
        <v>207</v>
      </c>
      <c r="GZ199" s="7">
        <v>208</v>
      </c>
      <c r="HA199" s="7">
        <v>209</v>
      </c>
      <c r="HB199" s="7">
        <v>210</v>
      </c>
      <c r="HC199" s="7">
        <v>211</v>
      </c>
      <c r="HD199" s="7">
        <v>212</v>
      </c>
      <c r="HE199" s="7">
        <v>213</v>
      </c>
      <c r="HF199" s="7">
        <v>214</v>
      </c>
      <c r="HG199" s="7">
        <v>215</v>
      </c>
      <c r="HH199" s="7">
        <v>216</v>
      </c>
      <c r="HI199" s="7">
        <v>217</v>
      </c>
      <c r="HJ199" s="7">
        <v>218</v>
      </c>
      <c r="HK199" s="7">
        <v>219</v>
      </c>
      <c r="HL199" s="7">
        <v>220</v>
      </c>
      <c r="HM199" s="7">
        <v>221</v>
      </c>
      <c r="HN199" s="7">
        <v>222</v>
      </c>
      <c r="HO199" s="7">
        <v>223</v>
      </c>
      <c r="HP199" s="7">
        <v>224</v>
      </c>
      <c r="HQ199" s="7">
        <v>225</v>
      </c>
      <c r="HR199" s="7">
        <v>226</v>
      </c>
      <c r="HS199" s="7">
        <v>227</v>
      </c>
      <c r="HT199" s="7">
        <v>228</v>
      </c>
      <c r="HU199" s="7">
        <v>229</v>
      </c>
      <c r="HV199" s="7">
        <v>230</v>
      </c>
      <c r="HW199" s="7">
        <v>231</v>
      </c>
      <c r="HX199" s="7">
        <v>232</v>
      </c>
      <c r="HY199" s="7">
        <v>233</v>
      </c>
      <c r="HZ199" s="7">
        <v>234</v>
      </c>
      <c r="IA199" s="7">
        <v>235</v>
      </c>
      <c r="IB199" s="7">
        <v>236</v>
      </c>
      <c r="IC199" s="7">
        <v>237</v>
      </c>
      <c r="ID199" s="7">
        <v>238</v>
      </c>
      <c r="IE199" s="7">
        <v>239</v>
      </c>
      <c r="IF199" s="7">
        <v>240</v>
      </c>
      <c r="IG199" s="7">
        <v>241</v>
      </c>
      <c r="IH199" s="7">
        <v>242</v>
      </c>
      <c r="II199" s="7">
        <v>243</v>
      </c>
      <c r="IJ199" s="7">
        <v>244</v>
      </c>
      <c r="IK199" s="7">
        <v>245</v>
      </c>
      <c r="IL199" s="7">
        <v>246</v>
      </c>
      <c r="IM199" s="7">
        <v>247</v>
      </c>
      <c r="IN199" s="7">
        <v>248</v>
      </c>
      <c r="IO199" s="7">
        <v>249</v>
      </c>
      <c r="IP199" s="7">
        <v>250</v>
      </c>
      <c r="IQ199" s="7">
        <v>251</v>
      </c>
      <c r="IR199" s="7">
        <v>252</v>
      </c>
      <c r="IS199" s="7">
        <v>253</v>
      </c>
      <c r="IT199" s="7">
        <v>254</v>
      </c>
      <c r="IU199" s="7">
        <v>255</v>
      </c>
      <c r="IV199" s="7">
        <v>256</v>
      </c>
      <c r="IW199" s="7">
        <v>257</v>
      </c>
      <c r="IX199" s="7">
        <v>258</v>
      </c>
      <c r="IY199" s="7">
        <v>259</v>
      </c>
      <c r="IZ199" s="7">
        <v>260</v>
      </c>
      <c r="JA199" s="7">
        <v>261</v>
      </c>
      <c r="JB199" s="7">
        <v>262</v>
      </c>
      <c r="JC199" s="7">
        <v>263</v>
      </c>
      <c r="JD199" s="7">
        <v>264</v>
      </c>
      <c r="JE199" s="7">
        <v>265</v>
      </c>
      <c r="JF199" s="7">
        <v>266</v>
      </c>
      <c r="JG199" s="7">
        <v>267</v>
      </c>
      <c r="JH199" s="7">
        <v>268</v>
      </c>
      <c r="JI199" s="7">
        <v>269</v>
      </c>
      <c r="JJ199" s="7">
        <v>270</v>
      </c>
      <c r="JK199" s="7">
        <v>271</v>
      </c>
      <c r="JL199" s="7">
        <v>272</v>
      </c>
      <c r="JM199" s="7">
        <v>273</v>
      </c>
      <c r="JN199" s="7">
        <v>274</v>
      </c>
      <c r="JO199" s="7">
        <v>275</v>
      </c>
      <c r="JP199" s="7">
        <v>276</v>
      </c>
      <c r="JQ199" s="7">
        <v>277</v>
      </c>
      <c r="JR199" s="7">
        <v>278</v>
      </c>
      <c r="JS199" s="7">
        <v>279</v>
      </c>
      <c r="JT199" s="7">
        <v>280</v>
      </c>
      <c r="JU199" s="7">
        <v>281</v>
      </c>
      <c r="JV199" s="7">
        <v>282</v>
      </c>
      <c r="JW199" s="7">
        <v>283</v>
      </c>
      <c r="JX199" s="7">
        <v>284</v>
      </c>
      <c r="JY199" s="7">
        <v>285</v>
      </c>
      <c r="JZ199" s="7">
        <v>286</v>
      </c>
      <c r="KA199" s="7">
        <v>287</v>
      </c>
      <c r="KB199" s="7">
        <v>288</v>
      </c>
      <c r="KC199" s="7">
        <v>289</v>
      </c>
      <c r="KD199" s="7">
        <v>290</v>
      </c>
      <c r="KE199" s="7">
        <v>291</v>
      </c>
      <c r="KF199" s="7">
        <v>292</v>
      </c>
      <c r="KG199" s="7">
        <v>293</v>
      </c>
      <c r="KH199" s="7">
        <v>294</v>
      </c>
      <c r="KI199" s="7">
        <v>295</v>
      </c>
      <c r="KJ199" s="7">
        <v>296</v>
      </c>
      <c r="KK199" s="7">
        <v>297</v>
      </c>
      <c r="KL199" s="7">
        <v>298</v>
      </c>
      <c r="KM199" s="7">
        <v>299</v>
      </c>
      <c r="KN199" s="7">
        <v>300</v>
      </c>
      <c r="KO199" s="7">
        <v>301</v>
      </c>
      <c r="KP199" s="7">
        <v>302</v>
      </c>
      <c r="KQ199" s="7">
        <v>303</v>
      </c>
      <c r="KR199" s="7">
        <v>304</v>
      </c>
      <c r="KS199" s="7">
        <v>305</v>
      </c>
      <c r="KT199" s="7">
        <v>306</v>
      </c>
      <c r="KU199" s="7">
        <v>307</v>
      </c>
      <c r="KV199" s="7">
        <v>308</v>
      </c>
      <c r="KW199" s="7">
        <v>309</v>
      </c>
      <c r="KX199" s="7">
        <v>310</v>
      </c>
      <c r="KY199" s="7">
        <v>311</v>
      </c>
      <c r="KZ199" s="7">
        <v>312</v>
      </c>
      <c r="LA199" s="7">
        <v>313</v>
      </c>
      <c r="LB199" s="7">
        <v>314</v>
      </c>
      <c r="LC199" s="7">
        <v>315</v>
      </c>
      <c r="LD199" s="7">
        <v>316</v>
      </c>
      <c r="LE199" s="7">
        <v>317</v>
      </c>
      <c r="LF199" s="7">
        <v>318</v>
      </c>
      <c r="LG199" s="7">
        <v>319</v>
      </c>
      <c r="LH199" s="7">
        <v>320</v>
      </c>
      <c r="LI199" s="7">
        <v>321</v>
      </c>
      <c r="LJ199" s="7">
        <v>322</v>
      </c>
      <c r="LK199" s="7">
        <v>323</v>
      </c>
      <c r="LL199" s="7">
        <v>324</v>
      </c>
      <c r="LM199" s="7">
        <v>325</v>
      </c>
      <c r="LN199" s="7">
        <v>326</v>
      </c>
      <c r="LO199" s="7">
        <v>327</v>
      </c>
      <c r="LP199" s="7">
        <v>328</v>
      </c>
      <c r="LQ199" s="7">
        <v>329</v>
      </c>
      <c r="LR199" s="7">
        <v>330</v>
      </c>
      <c r="LS199" s="7">
        <v>331</v>
      </c>
      <c r="LT199" s="7">
        <v>332</v>
      </c>
      <c r="LU199" s="7">
        <v>333</v>
      </c>
      <c r="LV199" s="7">
        <v>334</v>
      </c>
      <c r="LW199" s="7">
        <v>335</v>
      </c>
      <c r="LX199" s="7">
        <v>336</v>
      </c>
      <c r="LY199" s="7">
        <v>337</v>
      </c>
      <c r="LZ199" s="7">
        <v>338</v>
      </c>
      <c r="MA199" s="7">
        <v>339</v>
      </c>
      <c r="MB199" s="7">
        <v>340</v>
      </c>
      <c r="MC199" s="7">
        <v>341</v>
      </c>
      <c r="MD199" s="7">
        <v>342</v>
      </c>
      <c r="ME199" s="7">
        <v>343</v>
      </c>
      <c r="MF199" s="7">
        <v>344</v>
      </c>
      <c r="MG199" s="7">
        <v>345</v>
      </c>
      <c r="MH199" s="7">
        <v>346</v>
      </c>
      <c r="MI199" s="7">
        <v>347</v>
      </c>
      <c r="MJ199" s="7">
        <v>348</v>
      </c>
      <c r="MK199" s="7">
        <v>349</v>
      </c>
      <c r="ML199" s="7">
        <v>350</v>
      </c>
      <c r="MM199" s="7">
        <v>351</v>
      </c>
      <c r="MN199" s="7">
        <v>352</v>
      </c>
      <c r="MO199" s="7">
        <v>353</v>
      </c>
      <c r="MP199" s="7">
        <v>354</v>
      </c>
      <c r="MQ199" s="7">
        <v>355</v>
      </c>
      <c r="MR199" s="7">
        <v>356</v>
      </c>
      <c r="MS199" s="7">
        <v>357</v>
      </c>
      <c r="MT199" s="7">
        <v>358</v>
      </c>
      <c r="MU199" s="7">
        <v>359</v>
      </c>
      <c r="MV199" s="7">
        <v>360</v>
      </c>
      <c r="MW199" s="7">
        <v>361</v>
      </c>
      <c r="MX199" s="7">
        <v>362</v>
      </c>
      <c r="MY199" s="7">
        <v>363</v>
      </c>
      <c r="MZ199" s="7">
        <v>364</v>
      </c>
      <c r="NA199" s="7">
        <v>365</v>
      </c>
      <c r="NB199" s="7">
        <v>366</v>
      </c>
      <c r="NC199" s="7">
        <v>367</v>
      </c>
      <c r="ND199" s="7">
        <v>368</v>
      </c>
      <c r="NE199" s="7">
        <v>369</v>
      </c>
      <c r="NF199" s="7">
        <v>370</v>
      </c>
      <c r="NG199" s="7">
        <v>371</v>
      </c>
      <c r="NH199" s="7">
        <v>372</v>
      </c>
      <c r="NI199" s="7">
        <v>373</v>
      </c>
      <c r="NJ199" s="7">
        <v>374</v>
      </c>
      <c r="NK199" s="7">
        <v>375</v>
      </c>
      <c r="NL199" s="7">
        <v>376</v>
      </c>
      <c r="NM199" s="7">
        <v>377</v>
      </c>
      <c r="NN199" s="7">
        <v>378</v>
      </c>
      <c r="NO199" s="7">
        <v>379</v>
      </c>
      <c r="NP199" s="7">
        <v>380</v>
      </c>
      <c r="NQ199" s="7">
        <v>381</v>
      </c>
      <c r="NR199" s="7">
        <v>382</v>
      </c>
      <c r="NS199" s="7">
        <v>383</v>
      </c>
      <c r="NT199" s="7">
        <v>384</v>
      </c>
      <c r="NU199" s="7">
        <v>385</v>
      </c>
      <c r="NV199" s="7">
        <v>386</v>
      </c>
      <c r="NW199" s="7">
        <v>387</v>
      </c>
      <c r="NX199" s="7">
        <v>388</v>
      </c>
      <c r="NY199" s="7">
        <v>389</v>
      </c>
      <c r="NZ199" s="7">
        <v>390</v>
      </c>
      <c r="OA199" s="7">
        <v>391</v>
      </c>
      <c r="OB199" s="7">
        <v>392</v>
      </c>
      <c r="OC199" s="7">
        <v>393</v>
      </c>
      <c r="OD199" s="7">
        <v>394</v>
      </c>
      <c r="OE199" s="7">
        <v>395</v>
      </c>
      <c r="OF199" s="7">
        <v>396</v>
      </c>
      <c r="OG199" s="7">
        <v>397</v>
      </c>
      <c r="OH199" s="7">
        <v>398</v>
      </c>
      <c r="OI199" s="7">
        <v>399</v>
      </c>
      <c r="OJ199" s="7">
        <v>400</v>
      </c>
      <c r="OK199" s="7">
        <v>401</v>
      </c>
      <c r="OL199" s="7">
        <v>402</v>
      </c>
      <c r="OM199" s="7">
        <v>403</v>
      </c>
      <c r="ON199" s="7">
        <v>404</v>
      </c>
      <c r="OO199" s="7">
        <v>405</v>
      </c>
      <c r="OP199" s="7">
        <v>406</v>
      </c>
      <c r="OQ199" s="7">
        <v>407</v>
      </c>
      <c r="OR199" s="7">
        <v>408</v>
      </c>
      <c r="OS199" s="7">
        <v>409</v>
      </c>
      <c r="OT199" s="7">
        <v>410</v>
      </c>
      <c r="OU199" s="7">
        <v>411</v>
      </c>
      <c r="OV199" s="7">
        <v>412</v>
      </c>
      <c r="OW199" s="7">
        <v>413</v>
      </c>
      <c r="OX199" s="7">
        <v>414</v>
      </c>
      <c r="OY199" s="7">
        <v>415</v>
      </c>
      <c r="OZ199" s="7">
        <v>416</v>
      </c>
      <c r="PA199" s="7">
        <v>417</v>
      </c>
      <c r="PB199" s="7">
        <v>418</v>
      </c>
      <c r="PC199" s="7">
        <v>419</v>
      </c>
      <c r="PD199" s="7">
        <v>420</v>
      </c>
      <c r="PE199" s="7">
        <v>421</v>
      </c>
      <c r="PF199" s="7">
        <v>422</v>
      </c>
      <c r="PG199" s="7">
        <v>423</v>
      </c>
      <c r="PH199" s="7">
        <v>424</v>
      </c>
      <c r="PI199" s="7">
        <v>425</v>
      </c>
      <c r="PJ199" s="7">
        <v>426</v>
      </c>
      <c r="PK199" s="7">
        <v>427</v>
      </c>
      <c r="PL199" s="7">
        <v>428</v>
      </c>
      <c r="PM199" s="7">
        <v>429</v>
      </c>
      <c r="PN199" s="7">
        <v>430</v>
      </c>
      <c r="PO199" s="7">
        <v>431</v>
      </c>
      <c r="PP199" s="7">
        <v>432</v>
      </c>
      <c r="PQ199" s="7">
        <v>433</v>
      </c>
      <c r="PR199" s="7">
        <v>434</v>
      </c>
      <c r="PS199" s="7">
        <v>435</v>
      </c>
      <c r="PT199" s="7">
        <v>436</v>
      </c>
      <c r="PU199" s="7">
        <v>437</v>
      </c>
      <c r="PV199" s="7">
        <v>438</v>
      </c>
      <c r="PW199" s="7">
        <v>439</v>
      </c>
      <c r="PX199" s="7">
        <v>440</v>
      </c>
      <c r="PY199" s="7">
        <v>441</v>
      </c>
      <c r="PZ199" s="7">
        <v>442</v>
      </c>
      <c r="QA199" s="7">
        <v>443</v>
      </c>
      <c r="QB199" s="7">
        <v>444</v>
      </c>
      <c r="QC199" s="7">
        <v>445</v>
      </c>
      <c r="QD199" s="7">
        <v>446</v>
      </c>
      <c r="QE199" s="7">
        <v>447</v>
      </c>
      <c r="QF199" s="7">
        <v>448</v>
      </c>
      <c r="QG199" s="7">
        <v>449</v>
      </c>
      <c r="QH199" s="7">
        <v>450</v>
      </c>
      <c r="QI199" s="7">
        <v>451</v>
      </c>
      <c r="QJ199" s="7">
        <v>452</v>
      </c>
      <c r="QK199" s="7">
        <v>453</v>
      </c>
      <c r="QL199" s="7">
        <v>454</v>
      </c>
      <c r="QM199" s="7">
        <v>455</v>
      </c>
      <c r="QN199" s="7">
        <v>456</v>
      </c>
      <c r="QO199" s="7">
        <v>457</v>
      </c>
      <c r="QP199" s="7">
        <v>458</v>
      </c>
      <c r="QQ199" s="7">
        <v>459</v>
      </c>
      <c r="QR199" s="7">
        <v>460</v>
      </c>
      <c r="QS199" s="7">
        <v>461</v>
      </c>
      <c r="QT199" s="7">
        <v>462</v>
      </c>
      <c r="QU199" s="7">
        <v>463</v>
      </c>
      <c r="QV199" s="7">
        <v>464</v>
      </c>
      <c r="QW199" s="7">
        <v>465</v>
      </c>
      <c r="QX199" s="7">
        <v>466</v>
      </c>
      <c r="QY199" s="7">
        <v>467</v>
      </c>
      <c r="QZ199" s="7">
        <v>468</v>
      </c>
      <c r="RA199" s="7">
        <v>469</v>
      </c>
      <c r="RB199" s="7">
        <v>470</v>
      </c>
      <c r="RC199" s="7">
        <v>471</v>
      </c>
      <c r="RD199" s="7">
        <v>472</v>
      </c>
      <c r="RE199" s="7">
        <v>474</v>
      </c>
      <c r="RF199" s="7">
        <v>475</v>
      </c>
      <c r="RG199" s="7">
        <v>476</v>
      </c>
      <c r="RH199" s="7">
        <v>477</v>
      </c>
      <c r="RI199" s="7">
        <v>478</v>
      </c>
      <c r="RJ199" s="7">
        <v>479</v>
      </c>
      <c r="RK199" s="7">
        <v>480</v>
      </c>
      <c r="RL199" s="7">
        <v>481</v>
      </c>
      <c r="RM199" s="7">
        <v>482</v>
      </c>
      <c r="RN199" s="7">
        <v>483</v>
      </c>
      <c r="RO199" s="7">
        <v>484</v>
      </c>
      <c r="RP199" s="7">
        <v>485</v>
      </c>
      <c r="RQ199" s="7">
        <v>486</v>
      </c>
      <c r="RR199" s="7">
        <v>487</v>
      </c>
      <c r="RS199" s="7">
        <v>488</v>
      </c>
      <c r="RT199" s="7">
        <v>489</v>
      </c>
      <c r="RU199" s="7">
        <v>490</v>
      </c>
      <c r="RV199" s="7">
        <v>491</v>
      </c>
      <c r="RW199" s="7">
        <v>492</v>
      </c>
      <c r="RX199" s="7">
        <v>493</v>
      </c>
      <c r="RY199" s="7">
        <v>494</v>
      </c>
      <c r="RZ199" s="7">
        <v>495</v>
      </c>
      <c r="SA199" s="7">
        <v>496</v>
      </c>
      <c r="SB199" s="7">
        <v>497</v>
      </c>
      <c r="SC199" s="7">
        <v>498</v>
      </c>
      <c r="SD199" s="7">
        <v>499</v>
      </c>
      <c r="SE199" s="7">
        <v>500</v>
      </c>
      <c r="SF199" s="7">
        <v>501</v>
      </c>
      <c r="SG199" s="7">
        <v>502</v>
      </c>
      <c r="SH199" s="7">
        <v>503</v>
      </c>
      <c r="SI199" s="7">
        <v>504</v>
      </c>
      <c r="SJ199" s="7">
        <v>505</v>
      </c>
      <c r="SK199" s="7">
        <v>506</v>
      </c>
      <c r="SL199" s="7">
        <v>507</v>
      </c>
      <c r="SM199" s="7">
        <v>508</v>
      </c>
      <c r="SN199" s="7">
        <v>509</v>
      </c>
      <c r="SO199" s="7">
        <v>510</v>
      </c>
      <c r="SP199" s="7">
        <v>511</v>
      </c>
      <c r="SQ199" s="7">
        <v>512</v>
      </c>
      <c r="SR199" s="7">
        <v>513</v>
      </c>
      <c r="SS199" s="7">
        <v>514</v>
      </c>
      <c r="ST199" s="7">
        <v>515</v>
      </c>
      <c r="SU199" s="7">
        <v>516</v>
      </c>
      <c r="SV199" s="7">
        <v>517</v>
      </c>
      <c r="SW199" s="7">
        <v>518</v>
      </c>
      <c r="SX199" s="7">
        <v>519</v>
      </c>
      <c r="SY199" s="7">
        <v>520</v>
      </c>
      <c r="SZ199" s="7">
        <v>521</v>
      </c>
      <c r="TA199" s="7">
        <v>522</v>
      </c>
      <c r="TB199" s="7">
        <v>523</v>
      </c>
      <c r="TC199" s="7">
        <v>524</v>
      </c>
      <c r="TD199" s="7">
        <v>525</v>
      </c>
      <c r="TE199" s="7">
        <v>526</v>
      </c>
      <c r="TF199" s="7">
        <v>527</v>
      </c>
      <c r="TG199" s="7">
        <v>528</v>
      </c>
      <c r="TH199" s="7">
        <v>529</v>
      </c>
      <c r="TI199" s="7">
        <v>530</v>
      </c>
      <c r="TJ199" s="7">
        <v>531</v>
      </c>
      <c r="TK199" s="7">
        <v>532</v>
      </c>
      <c r="TL199" s="7">
        <v>533</v>
      </c>
      <c r="TM199" s="7">
        <v>534</v>
      </c>
      <c r="TN199" s="7">
        <v>535</v>
      </c>
      <c r="TO199" s="7">
        <v>536</v>
      </c>
      <c r="TP199" s="7">
        <v>537</v>
      </c>
      <c r="TQ199" s="7">
        <v>538</v>
      </c>
      <c r="TR199" s="7">
        <v>539</v>
      </c>
      <c r="TS199" s="7">
        <v>540</v>
      </c>
      <c r="TT199" s="7">
        <v>541</v>
      </c>
      <c r="TU199" s="7">
        <v>542</v>
      </c>
      <c r="TV199" s="7">
        <v>543</v>
      </c>
      <c r="TW199" s="7">
        <v>544</v>
      </c>
      <c r="TX199" s="7">
        <v>545</v>
      </c>
      <c r="TY199" s="7">
        <v>546</v>
      </c>
      <c r="TZ199" s="7">
        <v>547</v>
      </c>
      <c r="UA199" s="7">
        <v>548</v>
      </c>
      <c r="UB199" s="7">
        <v>549</v>
      </c>
      <c r="UC199" s="7">
        <v>550</v>
      </c>
      <c r="UD199" s="7">
        <v>551</v>
      </c>
      <c r="UE199" s="7">
        <v>552</v>
      </c>
      <c r="UF199" s="7">
        <v>553</v>
      </c>
      <c r="UG199" s="7">
        <v>554</v>
      </c>
      <c r="UH199" s="7">
        <v>555</v>
      </c>
      <c r="UI199" s="7">
        <v>556</v>
      </c>
      <c r="UJ199" s="7">
        <v>557</v>
      </c>
      <c r="UK199" s="7">
        <v>558</v>
      </c>
      <c r="UL199" s="7">
        <v>559</v>
      </c>
      <c r="UM199" s="7">
        <v>560</v>
      </c>
      <c r="UN199" s="7">
        <v>561</v>
      </c>
      <c r="UO199" s="7">
        <v>562</v>
      </c>
      <c r="UP199" s="7">
        <v>563</v>
      </c>
      <c r="UQ199" s="7">
        <v>564</v>
      </c>
      <c r="UR199" s="7">
        <v>565</v>
      </c>
      <c r="US199" s="7">
        <v>566</v>
      </c>
      <c r="UT199" s="7">
        <v>567</v>
      </c>
      <c r="UU199" s="7">
        <v>568</v>
      </c>
      <c r="UV199" s="7">
        <v>569</v>
      </c>
      <c r="UW199" s="7">
        <v>570</v>
      </c>
      <c r="UX199" s="7">
        <v>571</v>
      </c>
      <c r="UY199" s="7">
        <v>572</v>
      </c>
      <c r="UZ199" s="7">
        <v>573</v>
      </c>
      <c r="VA199" s="7">
        <v>574</v>
      </c>
      <c r="VB199" s="7">
        <v>575</v>
      </c>
      <c r="VC199" s="7">
        <v>576</v>
      </c>
      <c r="VD199" s="7">
        <v>577</v>
      </c>
      <c r="VE199" s="7">
        <v>578</v>
      </c>
      <c r="VF199" s="7">
        <v>579</v>
      </c>
      <c r="VG199" s="7">
        <v>580</v>
      </c>
      <c r="VH199" s="7">
        <v>581</v>
      </c>
      <c r="VI199" s="7">
        <v>582</v>
      </c>
      <c r="VJ199" s="7">
        <v>583</v>
      </c>
      <c r="VK199" s="7">
        <v>584</v>
      </c>
      <c r="VL199" s="7">
        <v>585</v>
      </c>
      <c r="VM199" s="7">
        <v>586</v>
      </c>
      <c r="VN199" s="7">
        <v>587</v>
      </c>
      <c r="VO199" s="7">
        <v>588</v>
      </c>
      <c r="VP199" s="7">
        <v>589</v>
      </c>
      <c r="VQ199" s="7">
        <v>590</v>
      </c>
      <c r="VR199" s="7">
        <v>591</v>
      </c>
      <c r="VS199" s="7">
        <v>592</v>
      </c>
      <c r="VT199" s="7">
        <v>593</v>
      </c>
      <c r="VU199" s="7">
        <v>594</v>
      </c>
      <c r="VV199" s="7">
        <v>595</v>
      </c>
      <c r="VW199" s="7">
        <v>596</v>
      </c>
      <c r="VX199" s="7">
        <v>597</v>
      </c>
      <c r="VY199" s="7">
        <v>598</v>
      </c>
      <c r="VZ199" s="7">
        <v>599</v>
      </c>
      <c r="WA199" s="7">
        <v>600</v>
      </c>
      <c r="WB199" s="7">
        <v>601</v>
      </c>
      <c r="WC199" s="7">
        <v>602</v>
      </c>
      <c r="WD199" s="7">
        <v>603</v>
      </c>
      <c r="WE199" s="7">
        <v>604</v>
      </c>
      <c r="WF199" s="7">
        <v>605</v>
      </c>
      <c r="WG199" s="7">
        <v>606</v>
      </c>
      <c r="WH199" s="7">
        <v>607</v>
      </c>
      <c r="WI199" s="7">
        <v>608</v>
      </c>
      <c r="WJ199" s="7">
        <v>609</v>
      </c>
      <c r="WK199" s="7">
        <v>610</v>
      </c>
      <c r="WL199" s="7">
        <v>611</v>
      </c>
      <c r="WM199" s="7">
        <v>612</v>
      </c>
      <c r="WN199" s="7">
        <v>613</v>
      </c>
      <c r="WO199" s="7">
        <v>614</v>
      </c>
      <c r="WP199" s="7">
        <v>615</v>
      </c>
      <c r="WQ199" s="7">
        <v>616</v>
      </c>
      <c r="WR199" s="7">
        <v>617</v>
      </c>
      <c r="WS199" s="7">
        <v>618</v>
      </c>
      <c r="WT199" s="7">
        <v>619</v>
      </c>
      <c r="WU199" s="7">
        <v>620</v>
      </c>
      <c r="WV199" s="7">
        <v>621</v>
      </c>
      <c r="WW199" s="7">
        <v>622</v>
      </c>
      <c r="WX199" s="7">
        <v>623</v>
      </c>
      <c r="WY199" s="7">
        <v>624</v>
      </c>
      <c r="WZ199" s="7">
        <v>625</v>
      </c>
      <c r="XA199" s="7">
        <v>626</v>
      </c>
      <c r="XB199" s="7">
        <v>627</v>
      </c>
      <c r="XC199" s="7">
        <v>628</v>
      </c>
      <c r="XD199" s="7">
        <v>629</v>
      </c>
      <c r="XE199" s="7">
        <v>630</v>
      </c>
      <c r="XF199" s="7">
        <v>631</v>
      </c>
      <c r="XG199" s="7">
        <v>632</v>
      </c>
      <c r="XH199" s="7">
        <v>633</v>
      </c>
      <c r="XI199" s="7">
        <v>634</v>
      </c>
      <c r="XJ199" s="7">
        <v>635</v>
      </c>
      <c r="XK199" s="7">
        <v>636</v>
      </c>
      <c r="XL199" s="7">
        <v>637</v>
      </c>
      <c r="XM199" s="7">
        <v>638</v>
      </c>
      <c r="XN199" s="7">
        <v>639</v>
      </c>
      <c r="XO199" s="7">
        <v>640</v>
      </c>
      <c r="XP199" s="7">
        <v>641</v>
      </c>
      <c r="XQ199" s="7">
        <v>642</v>
      </c>
      <c r="XR199" s="7">
        <v>643</v>
      </c>
      <c r="XS199" s="7">
        <v>644</v>
      </c>
      <c r="XT199" s="7">
        <v>645</v>
      </c>
      <c r="XU199" s="7">
        <v>646</v>
      </c>
      <c r="XV199" s="7">
        <v>647</v>
      </c>
      <c r="XW199" s="7">
        <v>648</v>
      </c>
      <c r="XX199" s="7">
        <v>649</v>
      </c>
      <c r="XY199" s="7">
        <v>650</v>
      </c>
      <c r="XZ199" s="7">
        <v>651</v>
      </c>
      <c r="YA199" s="7">
        <v>652</v>
      </c>
      <c r="YB199" s="7">
        <v>653</v>
      </c>
      <c r="YC199" s="7">
        <v>654</v>
      </c>
      <c r="YD199" s="7">
        <v>655</v>
      </c>
      <c r="YE199" s="7">
        <v>656</v>
      </c>
      <c r="YF199" s="7">
        <v>657</v>
      </c>
      <c r="YG199" s="7">
        <v>658</v>
      </c>
      <c r="YH199" s="7">
        <v>659</v>
      </c>
      <c r="YI199" s="7">
        <v>660</v>
      </c>
      <c r="YJ199" s="7">
        <v>661</v>
      </c>
      <c r="YK199" s="7">
        <v>662</v>
      </c>
      <c r="YL199" s="7">
        <v>663</v>
      </c>
      <c r="YM199" s="7">
        <v>664</v>
      </c>
      <c r="YN199" s="7">
        <v>665</v>
      </c>
      <c r="YO199" s="7">
        <v>666</v>
      </c>
      <c r="YP199" s="7">
        <v>667</v>
      </c>
      <c r="YQ199" s="7">
        <v>668</v>
      </c>
      <c r="YR199" s="7">
        <v>669</v>
      </c>
      <c r="YS199" s="7">
        <v>670</v>
      </c>
      <c r="YT199" s="7">
        <v>671</v>
      </c>
      <c r="YU199" s="7">
        <v>672</v>
      </c>
      <c r="YV199" s="7">
        <v>673</v>
      </c>
      <c r="YW199" s="7">
        <v>674</v>
      </c>
      <c r="YX199" s="7">
        <v>675</v>
      </c>
      <c r="YY199" s="7">
        <v>676</v>
      </c>
      <c r="YZ199" s="7">
        <v>677</v>
      </c>
      <c r="ZA199" s="7">
        <v>678</v>
      </c>
      <c r="ZB199" s="7">
        <v>679</v>
      </c>
      <c r="ZC199" s="7">
        <v>680</v>
      </c>
      <c r="ZD199" s="7">
        <v>681</v>
      </c>
      <c r="ZE199" s="7">
        <v>682</v>
      </c>
      <c r="ZF199" s="7">
        <v>683</v>
      </c>
      <c r="ZG199" s="7">
        <v>684</v>
      </c>
      <c r="ZH199" s="7">
        <v>685</v>
      </c>
      <c r="ZI199" s="7">
        <v>686</v>
      </c>
      <c r="ZJ199" s="7">
        <v>687</v>
      </c>
      <c r="ZK199" s="7">
        <v>688</v>
      </c>
      <c r="ZL199" s="7">
        <v>689</v>
      </c>
      <c r="ZM199" s="7">
        <v>690</v>
      </c>
      <c r="ZN199" s="7">
        <v>691</v>
      </c>
      <c r="ZO199" s="7">
        <v>692</v>
      </c>
      <c r="ZP199" s="7">
        <v>693</v>
      </c>
      <c r="ZQ199" s="7">
        <v>694</v>
      </c>
      <c r="ZR199" s="7">
        <v>695</v>
      </c>
      <c r="ZS199" s="7">
        <v>696</v>
      </c>
      <c r="ZT199" s="7">
        <v>697</v>
      </c>
      <c r="ZU199" s="7">
        <v>698</v>
      </c>
      <c r="ZV199" s="7">
        <v>699</v>
      </c>
      <c r="ZW199" s="7">
        <v>700</v>
      </c>
      <c r="ZX199" s="7">
        <v>701</v>
      </c>
      <c r="ZY199" s="7">
        <v>702</v>
      </c>
      <c r="ZZ199" s="7">
        <v>703</v>
      </c>
      <c r="AAA199" s="7">
        <v>704</v>
      </c>
      <c r="AAB199" s="7">
        <v>705</v>
      </c>
      <c r="AAC199" s="7">
        <v>706</v>
      </c>
      <c r="AAD199" s="7">
        <v>707</v>
      </c>
      <c r="AAE199" s="7">
        <v>708</v>
      </c>
      <c r="AAF199" s="7">
        <v>709</v>
      </c>
      <c r="AAG199" s="7">
        <v>710</v>
      </c>
      <c r="AAH199" s="7">
        <v>711</v>
      </c>
      <c r="AAI199" s="7">
        <v>712</v>
      </c>
      <c r="AAJ199" s="7">
        <v>713</v>
      </c>
      <c r="AAK199" s="7">
        <v>714</v>
      </c>
      <c r="AAL199" s="7">
        <v>715</v>
      </c>
      <c r="AAM199" s="7">
        <v>716</v>
      </c>
      <c r="AAN199" s="7">
        <v>717</v>
      </c>
      <c r="AAO199" s="7">
        <v>718</v>
      </c>
      <c r="AAP199" s="7">
        <v>719</v>
      </c>
      <c r="AAQ199" s="7">
        <v>720</v>
      </c>
      <c r="AAR199" s="7">
        <v>721</v>
      </c>
      <c r="AAS199" s="7">
        <v>722</v>
      </c>
      <c r="AAT199" s="7">
        <v>723</v>
      </c>
      <c r="AAU199" s="7">
        <v>724</v>
      </c>
      <c r="AAV199" s="7">
        <v>725</v>
      </c>
      <c r="AAW199" s="7">
        <v>726</v>
      </c>
      <c r="AAX199" s="7">
        <v>727</v>
      </c>
      <c r="AAY199" s="7">
        <v>728</v>
      </c>
      <c r="AAZ199" s="7">
        <v>729</v>
      </c>
      <c r="ABA199" s="7">
        <v>730</v>
      </c>
      <c r="ABB199" s="7">
        <v>731</v>
      </c>
      <c r="ABC199" s="7">
        <v>732</v>
      </c>
      <c r="ABD199" s="7">
        <v>733</v>
      </c>
      <c r="ABE199" s="7">
        <v>734</v>
      </c>
      <c r="ABF199" s="7">
        <v>735</v>
      </c>
      <c r="ABG199" s="7">
        <v>736</v>
      </c>
      <c r="ABH199" s="7">
        <v>737</v>
      </c>
      <c r="ABI199" s="7">
        <v>738</v>
      </c>
      <c r="ABJ199" s="7">
        <v>739</v>
      </c>
      <c r="ABK199" s="7">
        <v>740</v>
      </c>
      <c r="ABL199" s="7">
        <v>741</v>
      </c>
      <c r="ABM199" s="7">
        <v>742</v>
      </c>
      <c r="ABN199" s="7">
        <v>743</v>
      </c>
      <c r="ABO199" s="7">
        <v>744</v>
      </c>
      <c r="ABP199" s="7">
        <v>745</v>
      </c>
      <c r="ABQ199" s="7">
        <v>746</v>
      </c>
      <c r="ABR199" s="7">
        <v>747</v>
      </c>
      <c r="ABS199" s="7">
        <v>748</v>
      </c>
      <c r="ABT199" s="7">
        <v>749</v>
      </c>
      <c r="ABU199" s="7">
        <v>750</v>
      </c>
      <c r="ABV199" s="7">
        <v>751</v>
      </c>
      <c r="ABW199" s="7">
        <v>752</v>
      </c>
      <c r="ABX199" s="7">
        <v>753</v>
      </c>
      <c r="ABY199" s="7">
        <v>754</v>
      </c>
      <c r="ABZ199" s="7">
        <v>755</v>
      </c>
      <c r="ACA199" s="7">
        <v>756</v>
      </c>
      <c r="ACB199" s="7">
        <v>757</v>
      </c>
      <c r="ACC199" s="7">
        <v>758</v>
      </c>
      <c r="ACD199" s="7">
        <v>759</v>
      </c>
      <c r="ACE199" s="7">
        <v>760</v>
      </c>
      <c r="ACF199" s="7">
        <v>761</v>
      </c>
      <c r="ACG199" s="7">
        <v>762</v>
      </c>
      <c r="ACH199" s="7">
        <v>763</v>
      </c>
      <c r="ACI199" s="7">
        <v>764</v>
      </c>
      <c r="ACJ199" s="7">
        <v>765</v>
      </c>
      <c r="ACK199" s="7">
        <v>766</v>
      </c>
      <c r="ACL199" s="7">
        <v>767</v>
      </c>
      <c r="ACM199" s="7">
        <v>768</v>
      </c>
      <c r="ACN199" s="7">
        <v>769</v>
      </c>
      <c r="ACO199" s="7">
        <v>770</v>
      </c>
      <c r="ACP199" s="7">
        <v>771</v>
      </c>
      <c r="ACQ199" s="7">
        <v>772</v>
      </c>
      <c r="ACR199" s="7">
        <v>773</v>
      </c>
      <c r="ACS199" s="7">
        <v>774</v>
      </c>
      <c r="ACT199" s="7">
        <v>775</v>
      </c>
      <c r="ACU199" s="7">
        <v>776</v>
      </c>
      <c r="ACV199" s="7">
        <v>777</v>
      </c>
      <c r="ACW199" s="7">
        <v>778</v>
      </c>
      <c r="ACX199" s="7">
        <v>779</v>
      </c>
      <c r="ACY199" s="7">
        <v>780</v>
      </c>
      <c r="ACZ199" s="7">
        <v>781</v>
      </c>
      <c r="ADA199" s="7">
        <v>782</v>
      </c>
      <c r="ADB199" s="7">
        <v>783</v>
      </c>
      <c r="ADC199" s="7">
        <v>784</v>
      </c>
      <c r="ADD199" s="7">
        <v>785</v>
      </c>
      <c r="ADE199" s="7">
        <v>786</v>
      </c>
      <c r="ADF199" s="7">
        <v>787</v>
      </c>
      <c r="ADG199" s="7">
        <v>788</v>
      </c>
      <c r="ADH199" s="7">
        <v>789</v>
      </c>
      <c r="ADI199" s="7">
        <v>790</v>
      </c>
      <c r="ADJ199" s="7">
        <v>791</v>
      </c>
      <c r="ADK199" s="7">
        <v>792</v>
      </c>
      <c r="ADL199" s="7">
        <v>793</v>
      </c>
      <c r="ADM199" s="7">
        <v>794</v>
      </c>
      <c r="ADN199" s="7">
        <v>795</v>
      </c>
      <c r="ADO199" s="7">
        <v>796</v>
      </c>
      <c r="ADP199" s="7">
        <v>797</v>
      </c>
      <c r="ADQ199" s="7">
        <v>798</v>
      </c>
      <c r="ADR199" s="7">
        <v>799</v>
      </c>
      <c r="ADS199" s="7">
        <v>800</v>
      </c>
      <c r="ADT199" s="7">
        <v>801</v>
      </c>
      <c r="ADU199" s="7">
        <v>802</v>
      </c>
      <c r="ADV199" s="7">
        <v>803</v>
      </c>
      <c r="ADW199" s="7">
        <v>804</v>
      </c>
      <c r="ADX199" s="7">
        <v>805</v>
      </c>
      <c r="ADY199" s="7">
        <v>806</v>
      </c>
      <c r="ADZ199" s="7">
        <v>807</v>
      </c>
      <c r="AEA199" s="7">
        <v>808</v>
      </c>
      <c r="AEB199" s="7">
        <v>809</v>
      </c>
      <c r="AEC199" s="7">
        <v>810</v>
      </c>
      <c r="AED199" s="7">
        <v>811</v>
      </c>
      <c r="AEE199" s="7">
        <v>812</v>
      </c>
      <c r="AEF199" s="7">
        <v>813</v>
      </c>
      <c r="AEG199" s="7">
        <v>814</v>
      </c>
      <c r="AEH199" s="7">
        <v>815</v>
      </c>
      <c r="AEI199" s="7">
        <v>816</v>
      </c>
      <c r="AEJ199" s="7">
        <v>817</v>
      </c>
      <c r="AEK199" s="7">
        <v>818</v>
      </c>
      <c r="AEL199" s="7">
        <v>819</v>
      </c>
      <c r="AEM199" s="7">
        <v>820</v>
      </c>
      <c r="AEN199" s="7">
        <v>821</v>
      </c>
      <c r="AEO199" s="7">
        <v>822</v>
      </c>
      <c r="AEP199" s="7">
        <v>823</v>
      </c>
      <c r="AEQ199" s="7">
        <v>824</v>
      </c>
      <c r="AER199" s="7">
        <v>825</v>
      </c>
      <c r="AES199" s="7">
        <v>826</v>
      </c>
      <c r="AET199" s="7">
        <v>827</v>
      </c>
      <c r="AEU199" s="7">
        <v>828</v>
      </c>
      <c r="AEV199" s="7">
        <v>829</v>
      </c>
      <c r="AEW199" s="7">
        <v>830</v>
      </c>
      <c r="AEX199" s="7">
        <v>831</v>
      </c>
      <c r="AEY199" s="7">
        <v>832</v>
      </c>
      <c r="AEZ199" s="7">
        <v>833</v>
      </c>
      <c r="AFA199" s="7">
        <v>834</v>
      </c>
      <c r="AFB199" s="7">
        <v>835</v>
      </c>
      <c r="AFC199" s="7">
        <v>836</v>
      </c>
      <c r="AFD199" s="7">
        <v>837</v>
      </c>
      <c r="AFE199" s="7">
        <v>838</v>
      </c>
      <c r="AFF199" s="7">
        <v>839</v>
      </c>
      <c r="AFG199" s="7">
        <v>840</v>
      </c>
      <c r="AFH199" s="7">
        <v>841</v>
      </c>
      <c r="AFI199" s="7">
        <v>842</v>
      </c>
      <c r="AFJ199" s="7">
        <v>843</v>
      </c>
      <c r="AFK199" s="7">
        <v>844</v>
      </c>
      <c r="AFL199" s="7">
        <v>845</v>
      </c>
      <c r="AFM199" s="7">
        <v>846</v>
      </c>
      <c r="AFN199" s="7">
        <v>847</v>
      </c>
      <c r="AFO199" s="7">
        <v>848</v>
      </c>
      <c r="AFP199" s="7">
        <v>849</v>
      </c>
      <c r="AFQ199" s="7">
        <v>850</v>
      </c>
      <c r="AFR199" s="7">
        <v>851</v>
      </c>
      <c r="AFS199" s="7">
        <v>852</v>
      </c>
      <c r="AFT199" s="7">
        <v>853</v>
      </c>
      <c r="AFU199" s="7">
        <v>854</v>
      </c>
      <c r="AFV199" s="7">
        <v>855</v>
      </c>
      <c r="AFW199" s="7">
        <v>856</v>
      </c>
      <c r="AFX199" s="7">
        <v>857</v>
      </c>
      <c r="AFY199" s="7">
        <v>858</v>
      </c>
      <c r="AFZ199" s="7">
        <v>859</v>
      </c>
      <c r="AGA199" s="7">
        <v>860</v>
      </c>
      <c r="AGB199" s="7">
        <v>861</v>
      </c>
      <c r="AGC199" s="7">
        <v>862</v>
      </c>
      <c r="AGD199" s="7">
        <v>863</v>
      </c>
      <c r="AGE199" s="7">
        <v>864</v>
      </c>
      <c r="AGF199" s="7">
        <v>865</v>
      </c>
      <c r="AGG199" s="7">
        <v>866</v>
      </c>
      <c r="AGH199" s="7">
        <v>867</v>
      </c>
      <c r="AGI199" s="7">
        <v>868</v>
      </c>
      <c r="AGJ199" s="7">
        <v>869</v>
      </c>
      <c r="AGK199" s="7">
        <v>870</v>
      </c>
      <c r="AGL199" s="7">
        <v>871</v>
      </c>
      <c r="AGM199" s="7">
        <v>872</v>
      </c>
      <c r="AGN199" s="7">
        <v>873</v>
      </c>
      <c r="AGO199" s="7">
        <v>874</v>
      </c>
      <c r="AGP199" s="7">
        <v>875</v>
      </c>
      <c r="AGQ199" s="7">
        <v>876</v>
      </c>
      <c r="AGR199" s="7">
        <v>877</v>
      </c>
      <c r="AGS199" s="7">
        <v>878</v>
      </c>
      <c r="AGT199" s="7">
        <v>879</v>
      </c>
      <c r="AGU199" s="7">
        <v>880</v>
      </c>
      <c r="AGV199" s="7">
        <v>881</v>
      </c>
      <c r="AGW199" s="7">
        <v>882</v>
      </c>
      <c r="AGX199" s="7">
        <v>883</v>
      </c>
      <c r="AGY199" s="7">
        <v>884</v>
      </c>
      <c r="AGZ199" s="7">
        <v>885</v>
      </c>
      <c r="AHA199" s="7">
        <v>886</v>
      </c>
      <c r="AHB199" s="7">
        <v>887</v>
      </c>
      <c r="AHC199" s="7">
        <v>888</v>
      </c>
      <c r="AHD199" s="7">
        <v>889</v>
      </c>
      <c r="AHE199" s="7">
        <v>890</v>
      </c>
      <c r="AHF199" s="7">
        <v>891</v>
      </c>
      <c r="AHG199" s="7">
        <v>892</v>
      </c>
      <c r="AHH199" s="7">
        <v>893</v>
      </c>
      <c r="AHI199" s="7">
        <v>894</v>
      </c>
      <c r="AHJ199" s="7">
        <v>895</v>
      </c>
      <c r="AHK199" s="7">
        <v>896</v>
      </c>
      <c r="AHL199" s="7">
        <v>897</v>
      </c>
      <c r="AHM199" s="7">
        <v>898</v>
      </c>
      <c r="AHN199" s="7">
        <v>899</v>
      </c>
      <c r="AHO199" s="7">
        <v>900</v>
      </c>
      <c r="AHP199" s="7">
        <v>901</v>
      </c>
      <c r="AHQ199" s="7">
        <v>902</v>
      </c>
      <c r="AHR199" s="7">
        <v>903</v>
      </c>
      <c r="AHS199" s="7">
        <v>904</v>
      </c>
      <c r="AHT199" s="7">
        <v>905</v>
      </c>
      <c r="AHU199" s="7">
        <v>906</v>
      </c>
      <c r="AHV199" s="7">
        <v>907</v>
      </c>
      <c r="AHW199" s="7">
        <v>908</v>
      </c>
      <c r="AHX199" s="7">
        <v>909</v>
      </c>
      <c r="AHY199" s="7">
        <v>910</v>
      </c>
      <c r="AHZ199" s="7">
        <v>911</v>
      </c>
      <c r="AIA199" s="7">
        <v>912</v>
      </c>
      <c r="AIB199" s="7">
        <v>913</v>
      </c>
      <c r="AIC199" s="7">
        <v>914</v>
      </c>
      <c r="AID199" s="7">
        <v>915</v>
      </c>
      <c r="AIE199" s="7">
        <v>916</v>
      </c>
      <c r="AIF199" s="7">
        <v>917</v>
      </c>
      <c r="AIG199" s="7">
        <v>918</v>
      </c>
      <c r="AIH199" s="7">
        <v>919</v>
      </c>
      <c r="AII199" s="7">
        <v>920</v>
      </c>
      <c r="AIJ199" s="7">
        <v>921</v>
      </c>
      <c r="AIK199" s="7">
        <v>922</v>
      </c>
      <c r="AIL199" s="7">
        <v>923</v>
      </c>
      <c r="AIM199" s="7">
        <v>924</v>
      </c>
      <c r="AIN199" s="7">
        <v>925</v>
      </c>
      <c r="AIO199" s="7">
        <v>926</v>
      </c>
      <c r="AIP199" s="7">
        <v>927</v>
      </c>
      <c r="AIQ199" s="7">
        <v>928</v>
      </c>
      <c r="AIR199" s="7">
        <v>929</v>
      </c>
      <c r="AIS199" s="7">
        <v>930</v>
      </c>
      <c r="AIT199" s="7">
        <v>931</v>
      </c>
      <c r="AIU199" s="7">
        <v>932</v>
      </c>
      <c r="AIV199" s="7">
        <v>933</v>
      </c>
      <c r="AIW199" s="7">
        <v>934</v>
      </c>
      <c r="AIX199" s="7">
        <v>935</v>
      </c>
      <c r="AIY199" s="7">
        <v>936</v>
      </c>
      <c r="AIZ199" s="7">
        <v>937</v>
      </c>
      <c r="AJA199" s="7">
        <v>938</v>
      </c>
      <c r="AJB199" s="7">
        <v>939</v>
      </c>
      <c r="AJC199" s="7">
        <v>940</v>
      </c>
      <c r="AJD199" s="7">
        <v>941</v>
      </c>
      <c r="AJE199" s="7">
        <v>942</v>
      </c>
      <c r="AJF199" s="7">
        <v>851</v>
      </c>
      <c r="AJG199" s="7">
        <v>3</v>
      </c>
      <c r="AJO199" s="7">
        <v>3</v>
      </c>
      <c r="AJY199" s="7">
        <v>3</v>
      </c>
      <c r="AKJ199" s="7">
        <v>489</v>
      </c>
      <c r="AKK199" s="7">
        <v>490</v>
      </c>
      <c r="AKL199" s="7">
        <v>491</v>
      </c>
      <c r="AKM199" s="7">
        <v>492</v>
      </c>
      <c r="AKN199" s="7">
        <v>493</v>
      </c>
      <c r="AKO199" s="7">
        <v>494</v>
      </c>
      <c r="AKP199" s="7">
        <v>495</v>
      </c>
      <c r="AKQ199" s="7">
        <v>496</v>
      </c>
      <c r="AKY199" s="7">
        <v>728</v>
      </c>
      <c r="AKZ199" s="7">
        <v>729</v>
      </c>
      <c r="ALA199" s="7">
        <v>730</v>
      </c>
      <c r="ALB199" s="7">
        <v>731</v>
      </c>
      <c r="ALC199" s="7">
        <v>732</v>
      </c>
      <c r="ALD199" s="7">
        <v>733</v>
      </c>
      <c r="ALE199" s="7">
        <v>734</v>
      </c>
      <c r="ALF199" s="7">
        <v>735</v>
      </c>
      <c r="ALG199" s="7">
        <v>736</v>
      </c>
      <c r="ALM199" s="7">
        <v>715</v>
      </c>
      <c r="ALN199" s="7">
        <v>716</v>
      </c>
      <c r="ALO199" s="7">
        <v>717</v>
      </c>
      <c r="ALP199" s="7">
        <v>718</v>
      </c>
      <c r="ALQ199" s="7">
        <v>719</v>
      </c>
      <c r="ALR199" s="7">
        <v>720</v>
      </c>
      <c r="ALS199" s="7">
        <v>721</v>
      </c>
      <c r="ALT199" s="7">
        <v>722</v>
      </c>
      <c r="ALU199" s="7">
        <v>723</v>
      </c>
      <c r="ALV199" s="7">
        <v>724</v>
      </c>
      <c r="ALW199" s="7">
        <v>725</v>
      </c>
      <c r="ALX199" s="7"/>
      <c r="ALY199" s="7"/>
      <c r="ALZ199" s="7"/>
      <c r="AMA199" s="7"/>
      <c r="AMB199" s="7"/>
      <c r="AMC199" s="7">
        <v>715</v>
      </c>
      <c r="AMD199" s="7">
        <v>852</v>
      </c>
      <c r="AME199" s="7">
        <v>853</v>
      </c>
      <c r="AMF199" s="7">
        <v>854</v>
      </c>
      <c r="AMG199" s="7">
        <v>855</v>
      </c>
      <c r="AMH199" s="7">
        <v>856</v>
      </c>
      <c r="AMI199" s="7">
        <v>857</v>
      </c>
      <c r="AMJ199" s="7">
        <v>858</v>
      </c>
      <c r="AMK199" s="7">
        <v>859</v>
      </c>
      <c r="AML199" s="7">
        <v>860</v>
      </c>
      <c r="AMM199" s="7">
        <v>861</v>
      </c>
      <c r="AMN199" s="7">
        <v>862</v>
      </c>
      <c r="AMO199" s="7"/>
      <c r="AMP199" s="7"/>
      <c r="AMQ199" s="7"/>
      <c r="AMR199" s="7"/>
      <c r="AMS199" s="7"/>
      <c r="AMT199" s="7"/>
      <c r="AMU199" s="7"/>
      <c r="AMV199" s="7"/>
      <c r="AMW199" s="7"/>
      <c r="AMX199" s="7"/>
      <c r="AMY199" s="7"/>
      <c r="AMZ199" s="7"/>
      <c r="ANA199" s="7"/>
      <c r="ANB199" s="7"/>
      <c r="ANC199" s="7"/>
      <c r="AND199" s="7"/>
    </row>
    <row r="206" spans="1:1120" ht="15" customHeight="1" x14ac:dyDescent="0.25">
      <c r="A206" s="7" t="s">
        <v>744</v>
      </c>
      <c r="C206" s="3">
        <v>1</v>
      </c>
      <c r="D206" s="3">
        <v>2</v>
      </c>
      <c r="E206" s="3">
        <v>2</v>
      </c>
      <c r="F206" s="3">
        <v>2</v>
      </c>
      <c r="G206" s="3">
        <v>2</v>
      </c>
      <c r="H206" s="3">
        <v>2</v>
      </c>
      <c r="I206" s="3">
        <v>2</v>
      </c>
      <c r="J206" s="3">
        <v>1</v>
      </c>
      <c r="K206" s="3">
        <v>3</v>
      </c>
      <c r="L206" s="3">
        <v>3</v>
      </c>
      <c r="M206" s="3">
        <v>3</v>
      </c>
      <c r="N206" s="3">
        <v>3</v>
      </c>
      <c r="O206" s="3">
        <v>3</v>
      </c>
      <c r="P206" s="3">
        <v>3</v>
      </c>
      <c r="Q206" s="3">
        <v>1</v>
      </c>
      <c r="R206" s="3">
        <v>4</v>
      </c>
      <c r="S206" s="3">
        <v>4</v>
      </c>
      <c r="T206" s="3">
        <v>4</v>
      </c>
      <c r="U206" s="3">
        <v>4</v>
      </c>
      <c r="V206" s="3">
        <v>4</v>
      </c>
      <c r="W206" s="3">
        <v>4</v>
      </c>
      <c r="X206" s="3">
        <v>1</v>
      </c>
      <c r="Y206" s="3">
        <v>5</v>
      </c>
      <c r="Z206" s="3">
        <v>5</v>
      </c>
      <c r="AA206" s="3">
        <v>5</v>
      </c>
      <c r="AB206" s="3">
        <v>5</v>
      </c>
      <c r="AC206" s="3">
        <v>5</v>
      </c>
      <c r="AD206" s="3">
        <v>5</v>
      </c>
      <c r="AE206" s="3">
        <v>1</v>
      </c>
      <c r="AF206" s="3">
        <v>6</v>
      </c>
      <c r="AG206" s="3">
        <v>6</v>
      </c>
      <c r="AH206" s="3">
        <v>6</v>
      </c>
      <c r="AI206" s="3">
        <v>6</v>
      </c>
      <c r="AJ206" s="3">
        <v>6</v>
      </c>
      <c r="AK206" s="3">
        <v>6</v>
      </c>
      <c r="AL206" s="3">
        <v>1</v>
      </c>
      <c r="AM206" s="3">
        <v>7</v>
      </c>
      <c r="AN206" s="3">
        <v>7</v>
      </c>
      <c r="AO206" s="3">
        <v>7</v>
      </c>
      <c r="AP206" s="3">
        <v>7</v>
      </c>
      <c r="AQ206" s="3">
        <v>7</v>
      </c>
      <c r="AR206" s="3">
        <v>7</v>
      </c>
      <c r="AS206" s="3">
        <v>7</v>
      </c>
      <c r="AT206" s="3">
        <v>7</v>
      </c>
      <c r="AU206" s="3">
        <v>7</v>
      </c>
      <c r="AV206" s="3">
        <v>7</v>
      </c>
      <c r="AW206" s="3">
        <v>7</v>
      </c>
      <c r="AX206" s="3">
        <v>7</v>
      </c>
      <c r="AY206" s="3">
        <v>7</v>
      </c>
      <c r="AZ206" s="3">
        <v>7</v>
      </c>
      <c r="BA206" s="3">
        <v>7</v>
      </c>
      <c r="BB206" s="3">
        <v>7</v>
      </c>
      <c r="BC206" s="3">
        <v>7</v>
      </c>
      <c r="BD206" s="3">
        <v>7</v>
      </c>
      <c r="BE206" s="3">
        <v>7</v>
      </c>
      <c r="BF206" s="3">
        <v>7</v>
      </c>
      <c r="BG206" s="3">
        <v>7</v>
      </c>
      <c r="BH206" s="3">
        <v>7</v>
      </c>
      <c r="BI206" s="3">
        <v>7</v>
      </c>
      <c r="BJ206" s="3">
        <v>7</v>
      </c>
      <c r="BK206" s="3">
        <v>7</v>
      </c>
      <c r="BL206" s="3">
        <v>7</v>
      </c>
      <c r="BM206" s="3">
        <v>7</v>
      </c>
      <c r="BN206" s="3">
        <v>7</v>
      </c>
      <c r="BO206" s="3">
        <v>7</v>
      </c>
      <c r="BP206" s="3">
        <v>7</v>
      </c>
      <c r="BQ206" s="3">
        <v>7</v>
      </c>
      <c r="BR206" s="3">
        <v>7</v>
      </c>
      <c r="BS206" s="3">
        <v>7</v>
      </c>
      <c r="BT206" s="3">
        <v>7</v>
      </c>
      <c r="BU206" s="3">
        <v>7</v>
      </c>
      <c r="BV206" s="3">
        <v>7</v>
      </c>
      <c r="BW206" s="3">
        <v>7</v>
      </c>
      <c r="BX206" s="3">
        <v>7</v>
      </c>
      <c r="BY206" s="3">
        <v>7</v>
      </c>
      <c r="BZ206" s="3">
        <v>7</v>
      </c>
      <c r="CA206" s="3">
        <v>7</v>
      </c>
      <c r="CB206" s="3">
        <v>7</v>
      </c>
      <c r="CC206" s="3">
        <v>7</v>
      </c>
      <c r="CD206" s="3">
        <v>7</v>
      </c>
      <c r="CE206" s="3">
        <v>7</v>
      </c>
      <c r="CF206" s="3">
        <v>7</v>
      </c>
      <c r="CG206" s="3">
        <v>7</v>
      </c>
      <c r="CH206" s="3">
        <v>7</v>
      </c>
      <c r="CI206" s="3">
        <v>7</v>
      </c>
      <c r="CJ206" s="3">
        <v>7</v>
      </c>
      <c r="CK206" s="3">
        <v>7</v>
      </c>
      <c r="CL206" s="3">
        <v>7</v>
      </c>
      <c r="CM206" s="3">
        <v>7</v>
      </c>
      <c r="CN206" s="3">
        <v>7</v>
      </c>
      <c r="CO206" s="3">
        <v>7</v>
      </c>
      <c r="CP206" s="3">
        <v>7</v>
      </c>
      <c r="CQ206" s="3">
        <v>7</v>
      </c>
      <c r="CR206" s="3">
        <v>7</v>
      </c>
      <c r="CS206" s="3">
        <v>7</v>
      </c>
      <c r="CT206" s="3">
        <v>7</v>
      </c>
      <c r="CU206" s="3">
        <v>7</v>
      </c>
      <c r="CV206" s="3">
        <v>7</v>
      </c>
      <c r="CW206" s="3">
        <v>7</v>
      </c>
      <c r="CX206" s="3">
        <v>7</v>
      </c>
      <c r="CY206" s="3">
        <v>7</v>
      </c>
      <c r="CZ206" s="3">
        <v>7</v>
      </c>
      <c r="DA206" s="3">
        <v>7</v>
      </c>
      <c r="DB206" s="3">
        <v>7</v>
      </c>
      <c r="DC206" s="3">
        <v>7</v>
      </c>
      <c r="DD206" s="3">
        <v>7</v>
      </c>
      <c r="DE206" s="3">
        <v>7</v>
      </c>
      <c r="DF206" s="3">
        <v>7</v>
      </c>
      <c r="DG206" s="3">
        <v>7</v>
      </c>
      <c r="DH206" s="3">
        <v>7</v>
      </c>
      <c r="DI206" s="3">
        <v>7</v>
      </c>
      <c r="DJ206" s="3">
        <v>7</v>
      </c>
      <c r="DK206" s="3">
        <v>7</v>
      </c>
      <c r="DL206" s="3">
        <v>7</v>
      </c>
      <c r="DM206" s="3">
        <v>7</v>
      </c>
      <c r="DN206" s="3">
        <v>7</v>
      </c>
      <c r="DO206" s="3">
        <v>7</v>
      </c>
      <c r="DP206" s="3">
        <v>7</v>
      </c>
      <c r="DQ206" s="3">
        <v>7</v>
      </c>
      <c r="DR206" s="3">
        <v>7</v>
      </c>
      <c r="DS206" s="3">
        <v>7</v>
      </c>
      <c r="DT206" s="3">
        <v>7</v>
      </c>
      <c r="DU206" s="3">
        <v>7</v>
      </c>
      <c r="DV206" s="3">
        <v>7</v>
      </c>
      <c r="DW206" s="3">
        <v>7</v>
      </c>
      <c r="DX206" s="3">
        <v>7</v>
      </c>
      <c r="DY206" s="3">
        <v>7</v>
      </c>
      <c r="DZ206" s="3">
        <v>7</v>
      </c>
      <c r="EA206" s="3">
        <v>7</v>
      </c>
      <c r="EB206" s="3">
        <v>7</v>
      </c>
      <c r="EC206" s="3">
        <v>7</v>
      </c>
      <c r="ED206" s="3">
        <v>7</v>
      </c>
      <c r="EE206" s="3">
        <v>7</v>
      </c>
      <c r="EF206" s="3">
        <v>7</v>
      </c>
      <c r="EG206" s="3">
        <v>7</v>
      </c>
      <c r="EH206" s="3">
        <v>7</v>
      </c>
      <c r="EI206" s="3">
        <v>7</v>
      </c>
      <c r="EJ206" s="3">
        <v>7</v>
      </c>
      <c r="EK206" s="3">
        <v>7</v>
      </c>
      <c r="EL206" s="3">
        <v>7</v>
      </c>
      <c r="EM206" s="3">
        <v>7</v>
      </c>
      <c r="EN206" s="3">
        <v>7</v>
      </c>
      <c r="EO206" s="3">
        <v>7</v>
      </c>
      <c r="EP206" s="3">
        <v>7</v>
      </c>
      <c r="EQ206" s="3">
        <v>7</v>
      </c>
      <c r="ER206" s="3">
        <v>7</v>
      </c>
      <c r="ES206" s="3">
        <v>7</v>
      </c>
      <c r="ET206" s="3">
        <v>7</v>
      </c>
      <c r="EU206" s="3">
        <v>7</v>
      </c>
      <c r="EV206" s="3">
        <v>7</v>
      </c>
      <c r="EW206" s="3">
        <v>7</v>
      </c>
      <c r="EX206" s="3">
        <v>7</v>
      </c>
      <c r="EY206" s="3">
        <v>7</v>
      </c>
      <c r="EZ206" s="3">
        <v>7</v>
      </c>
      <c r="FA206" s="3">
        <v>7</v>
      </c>
      <c r="FB206" s="3">
        <v>7</v>
      </c>
      <c r="FC206" s="3">
        <v>7</v>
      </c>
      <c r="FD206" s="3">
        <v>1</v>
      </c>
      <c r="FE206" s="3">
        <v>8</v>
      </c>
      <c r="FF206" s="3">
        <v>8</v>
      </c>
      <c r="FG206" s="3">
        <v>8</v>
      </c>
      <c r="FH206" s="3">
        <v>8</v>
      </c>
      <c r="FI206" s="3">
        <v>8</v>
      </c>
      <c r="FJ206" s="3">
        <v>8</v>
      </c>
      <c r="FK206" s="3">
        <v>8</v>
      </c>
      <c r="FL206" s="3">
        <v>8</v>
      </c>
      <c r="FM206" s="3">
        <v>8</v>
      </c>
      <c r="FN206" s="3">
        <v>8</v>
      </c>
      <c r="FO206" s="3">
        <v>8</v>
      </c>
      <c r="FP206" s="3">
        <v>8</v>
      </c>
      <c r="FQ206" s="3">
        <v>8</v>
      </c>
      <c r="FR206" s="3">
        <v>8</v>
      </c>
      <c r="FS206" s="3">
        <v>8</v>
      </c>
      <c r="FT206" s="3">
        <v>8</v>
      </c>
      <c r="FU206" s="3">
        <v>8</v>
      </c>
      <c r="FV206" s="3">
        <v>8</v>
      </c>
      <c r="FW206" s="3">
        <v>8</v>
      </c>
      <c r="FX206" s="3">
        <v>8</v>
      </c>
      <c r="FY206" s="3">
        <v>8</v>
      </c>
      <c r="FZ206" s="3">
        <v>8</v>
      </c>
      <c r="GA206" s="3">
        <v>8</v>
      </c>
      <c r="GB206" s="3">
        <v>8</v>
      </c>
      <c r="GC206" s="3">
        <v>8</v>
      </c>
      <c r="GD206" s="3">
        <v>8</v>
      </c>
      <c r="GE206" s="3">
        <v>8</v>
      </c>
      <c r="GF206" s="3">
        <v>8</v>
      </c>
      <c r="GG206" s="3">
        <v>8</v>
      </c>
      <c r="GH206" s="3">
        <v>8</v>
      </c>
      <c r="GI206" s="3">
        <v>8</v>
      </c>
      <c r="GJ206" s="3">
        <v>8</v>
      </c>
      <c r="GK206" s="3">
        <v>8</v>
      </c>
      <c r="GL206" s="3">
        <v>8</v>
      </c>
      <c r="GM206" s="3">
        <v>8</v>
      </c>
      <c r="GN206" s="3">
        <v>8</v>
      </c>
      <c r="GO206" s="3">
        <v>8</v>
      </c>
      <c r="GP206" s="3">
        <v>8</v>
      </c>
      <c r="GQ206" s="3">
        <v>8</v>
      </c>
      <c r="GR206" s="3">
        <v>8</v>
      </c>
      <c r="GS206" s="3">
        <v>8</v>
      </c>
      <c r="GT206" s="3">
        <v>8</v>
      </c>
      <c r="GU206" s="3">
        <v>8</v>
      </c>
      <c r="GV206" s="3">
        <v>8</v>
      </c>
      <c r="GW206" s="3">
        <v>8</v>
      </c>
      <c r="GX206" s="3">
        <v>8</v>
      </c>
      <c r="GY206" s="3">
        <v>8</v>
      </c>
      <c r="GZ206" s="3">
        <v>8</v>
      </c>
      <c r="HA206" s="3">
        <v>8</v>
      </c>
      <c r="HB206" s="3">
        <v>8</v>
      </c>
      <c r="HC206" s="3">
        <v>8</v>
      </c>
      <c r="HD206" s="3">
        <v>8</v>
      </c>
      <c r="HE206" s="3">
        <v>8</v>
      </c>
      <c r="HF206" s="3">
        <v>8</v>
      </c>
      <c r="HG206" s="3">
        <v>8</v>
      </c>
      <c r="HH206" s="3">
        <v>8</v>
      </c>
      <c r="HI206" s="3">
        <v>8</v>
      </c>
      <c r="HJ206" s="3">
        <v>8</v>
      </c>
      <c r="HK206" s="3">
        <v>8</v>
      </c>
      <c r="HL206" s="3">
        <v>8</v>
      </c>
      <c r="HM206" s="3">
        <v>8</v>
      </c>
      <c r="HN206" s="3">
        <v>8</v>
      </c>
      <c r="HO206" s="3">
        <v>8</v>
      </c>
      <c r="HP206" s="3">
        <v>8</v>
      </c>
      <c r="HQ206" s="3">
        <v>8</v>
      </c>
      <c r="HR206" s="3">
        <v>8</v>
      </c>
      <c r="HS206" s="3">
        <v>8</v>
      </c>
      <c r="HT206" s="3">
        <v>8</v>
      </c>
      <c r="HU206" s="3">
        <v>8</v>
      </c>
      <c r="HV206" s="3">
        <v>8</v>
      </c>
      <c r="HW206" s="3">
        <v>8</v>
      </c>
      <c r="HX206" s="3">
        <v>8</v>
      </c>
      <c r="HY206" s="3">
        <v>8</v>
      </c>
      <c r="HZ206" s="3">
        <v>8</v>
      </c>
      <c r="IA206" s="3">
        <v>8</v>
      </c>
      <c r="IB206" s="3">
        <v>1</v>
      </c>
      <c r="IC206" s="3">
        <v>9</v>
      </c>
      <c r="ID206" s="3">
        <v>9</v>
      </c>
      <c r="IE206" s="3">
        <v>9</v>
      </c>
      <c r="IF206" s="3">
        <v>9</v>
      </c>
      <c r="IG206" s="3">
        <v>9</v>
      </c>
      <c r="IH206" s="3">
        <v>9</v>
      </c>
      <c r="II206" s="3">
        <v>9</v>
      </c>
      <c r="IJ206" s="3">
        <v>9</v>
      </c>
      <c r="IK206" s="3">
        <v>1</v>
      </c>
      <c r="IL206" s="3">
        <v>10</v>
      </c>
      <c r="IM206" s="3">
        <v>10</v>
      </c>
      <c r="IN206" s="3">
        <v>10</v>
      </c>
      <c r="IO206" s="3">
        <v>10</v>
      </c>
      <c r="IP206" s="3">
        <v>10</v>
      </c>
      <c r="IQ206" s="3">
        <v>10</v>
      </c>
      <c r="IR206" s="3">
        <v>10</v>
      </c>
      <c r="IS206" s="3">
        <v>11</v>
      </c>
      <c r="IT206" s="3">
        <v>12</v>
      </c>
      <c r="IU206" s="3">
        <v>13</v>
      </c>
      <c r="IV206" s="3">
        <v>14</v>
      </c>
      <c r="IW206" s="3">
        <v>14</v>
      </c>
      <c r="IX206" s="3">
        <v>15</v>
      </c>
      <c r="IY206" s="3">
        <v>16</v>
      </c>
      <c r="IZ206" s="3">
        <v>17</v>
      </c>
      <c r="JA206" s="3">
        <v>18</v>
      </c>
      <c r="JB206" s="3">
        <v>19</v>
      </c>
      <c r="JC206" s="3">
        <v>20</v>
      </c>
      <c r="JD206" s="3">
        <v>22</v>
      </c>
      <c r="JE206" s="3">
        <v>22</v>
      </c>
      <c r="JF206" s="3">
        <v>22</v>
      </c>
      <c r="JG206" s="3">
        <v>23</v>
      </c>
      <c r="JH206" s="3">
        <v>24</v>
      </c>
      <c r="JI206" s="3">
        <v>25</v>
      </c>
      <c r="JJ206" s="3">
        <v>26</v>
      </c>
      <c r="JK206" s="3">
        <v>27</v>
      </c>
      <c r="JL206" s="3">
        <v>28</v>
      </c>
      <c r="JM206" s="3">
        <v>29</v>
      </c>
      <c r="JN206" s="3">
        <v>30</v>
      </c>
      <c r="JO206" s="3">
        <v>31</v>
      </c>
      <c r="JP206" s="3">
        <v>32</v>
      </c>
      <c r="JQ206" s="3">
        <v>33</v>
      </c>
      <c r="JR206" s="3">
        <v>34</v>
      </c>
      <c r="JS206" s="3">
        <v>35</v>
      </c>
      <c r="JT206" s="3">
        <v>36</v>
      </c>
      <c r="JU206" s="3">
        <v>37</v>
      </c>
      <c r="JV206" s="3">
        <v>39</v>
      </c>
      <c r="JW206" s="3">
        <v>39</v>
      </c>
      <c r="JX206" s="3">
        <v>39</v>
      </c>
      <c r="JY206" s="3">
        <v>40</v>
      </c>
      <c r="JZ206" s="3">
        <v>40</v>
      </c>
      <c r="KA206" s="3">
        <v>41</v>
      </c>
      <c r="KB206" s="3">
        <v>41</v>
      </c>
      <c r="KC206" s="3">
        <v>42</v>
      </c>
      <c r="KD206" s="3">
        <v>42</v>
      </c>
      <c r="KE206" s="3">
        <v>43</v>
      </c>
      <c r="KF206" s="3">
        <v>43</v>
      </c>
      <c r="KG206" s="3">
        <v>44</v>
      </c>
      <c r="KH206" s="3">
        <v>44</v>
      </c>
      <c r="KI206" s="3">
        <v>45</v>
      </c>
      <c r="KJ206" s="3">
        <v>45</v>
      </c>
      <c r="KK206" s="3">
        <v>46</v>
      </c>
      <c r="KL206" s="3">
        <v>46</v>
      </c>
      <c r="KM206" s="3">
        <v>47</v>
      </c>
      <c r="KN206" s="3">
        <v>47</v>
      </c>
      <c r="KO206" s="3">
        <v>48</v>
      </c>
      <c r="KP206" s="3">
        <v>48</v>
      </c>
      <c r="KQ206" s="3">
        <v>49</v>
      </c>
      <c r="KR206" s="3">
        <v>49</v>
      </c>
      <c r="KS206" s="3">
        <v>50</v>
      </c>
      <c r="KT206" s="3">
        <v>50</v>
      </c>
      <c r="KU206" s="3">
        <v>51</v>
      </c>
      <c r="KV206" s="3">
        <v>51</v>
      </c>
      <c r="KW206" s="3">
        <v>52</v>
      </c>
      <c r="KX206" s="3">
        <v>52</v>
      </c>
      <c r="KY206" s="3">
        <v>53</v>
      </c>
      <c r="KZ206" s="3">
        <v>53</v>
      </c>
      <c r="LA206" s="3">
        <v>54</v>
      </c>
      <c r="LB206" s="3">
        <v>54</v>
      </c>
      <c r="LC206" s="3">
        <v>55</v>
      </c>
      <c r="LD206" s="3">
        <v>55</v>
      </c>
      <c r="LE206" s="3">
        <v>56</v>
      </c>
      <c r="LF206" s="3">
        <v>56</v>
      </c>
      <c r="LG206" s="3">
        <v>57</v>
      </c>
      <c r="LH206" s="3">
        <v>57</v>
      </c>
      <c r="LI206" s="3">
        <v>58</v>
      </c>
      <c r="LJ206" s="3">
        <v>58</v>
      </c>
      <c r="LK206" s="3">
        <v>59</v>
      </c>
      <c r="LL206" s="3">
        <v>59</v>
      </c>
      <c r="LM206" s="3">
        <v>60</v>
      </c>
      <c r="LN206" s="3">
        <v>60</v>
      </c>
      <c r="LO206" s="3">
        <v>61</v>
      </c>
      <c r="LP206" s="3">
        <v>61</v>
      </c>
      <c r="LQ206" s="3">
        <v>62</v>
      </c>
      <c r="LR206" s="3">
        <v>63</v>
      </c>
      <c r="LS206" s="3">
        <v>64</v>
      </c>
      <c r="LT206" s="3">
        <v>65</v>
      </c>
      <c r="LU206" s="3">
        <v>66</v>
      </c>
      <c r="LV206" s="3">
        <v>67</v>
      </c>
      <c r="LW206" s="3">
        <v>68</v>
      </c>
      <c r="LX206" s="3">
        <v>69</v>
      </c>
      <c r="LY206" s="3">
        <v>70</v>
      </c>
      <c r="LZ206" s="3">
        <v>71</v>
      </c>
      <c r="MA206" s="3">
        <v>72</v>
      </c>
      <c r="MB206" s="3">
        <v>73</v>
      </c>
      <c r="MC206" s="3">
        <v>74</v>
      </c>
      <c r="MD206" s="3">
        <v>75</v>
      </c>
      <c r="ME206" s="3">
        <v>76</v>
      </c>
      <c r="MF206" s="3">
        <v>77</v>
      </c>
      <c r="MG206" s="3">
        <v>78</v>
      </c>
      <c r="MH206" s="3">
        <v>78</v>
      </c>
      <c r="MI206" s="3">
        <v>79</v>
      </c>
      <c r="MJ206" s="3">
        <v>80</v>
      </c>
      <c r="MK206" s="3">
        <v>80</v>
      </c>
      <c r="ML206" s="3">
        <v>80</v>
      </c>
      <c r="MM206" s="3">
        <v>80</v>
      </c>
      <c r="MN206" s="3">
        <v>80</v>
      </c>
      <c r="MO206" s="3">
        <v>80</v>
      </c>
      <c r="MP206" s="3">
        <v>80</v>
      </c>
      <c r="MQ206" s="3">
        <v>80</v>
      </c>
      <c r="MR206" s="3">
        <v>80</v>
      </c>
      <c r="MS206" s="3">
        <v>81</v>
      </c>
      <c r="MT206" s="3">
        <v>82</v>
      </c>
      <c r="MU206" s="3">
        <v>82</v>
      </c>
      <c r="MV206" s="3">
        <v>82</v>
      </c>
      <c r="MW206" s="3">
        <v>82</v>
      </c>
      <c r="MX206" s="3">
        <v>82</v>
      </c>
      <c r="MY206" s="3">
        <v>82</v>
      </c>
      <c r="MZ206" s="3">
        <v>82</v>
      </c>
      <c r="NA206" s="3">
        <v>82</v>
      </c>
      <c r="NB206" s="3">
        <v>82</v>
      </c>
      <c r="NC206" s="3">
        <v>83</v>
      </c>
      <c r="ND206" s="3">
        <v>84</v>
      </c>
      <c r="NE206" s="3">
        <v>84</v>
      </c>
      <c r="NF206" s="3">
        <v>84</v>
      </c>
      <c r="NG206" s="3">
        <v>84</v>
      </c>
      <c r="NH206" s="3">
        <v>84</v>
      </c>
      <c r="NI206" s="3">
        <v>84</v>
      </c>
      <c r="NJ206" s="3">
        <v>84</v>
      </c>
      <c r="NK206" s="3">
        <v>84</v>
      </c>
      <c r="NL206" s="3">
        <v>84</v>
      </c>
      <c r="NM206" s="3">
        <v>85</v>
      </c>
      <c r="NN206" s="3">
        <v>85</v>
      </c>
      <c r="NO206" s="3">
        <v>86</v>
      </c>
      <c r="NP206" s="3">
        <v>87</v>
      </c>
      <c r="NQ206" s="3">
        <v>87</v>
      </c>
      <c r="NR206" s="3">
        <v>88</v>
      </c>
      <c r="NS206" s="3">
        <v>88</v>
      </c>
      <c r="NT206" s="3">
        <v>89</v>
      </c>
      <c r="NU206" s="3">
        <v>90</v>
      </c>
      <c r="NV206" s="3">
        <v>91</v>
      </c>
      <c r="NW206" s="3">
        <v>92</v>
      </c>
      <c r="NX206" s="3">
        <v>93</v>
      </c>
      <c r="NY206" s="3">
        <v>94</v>
      </c>
      <c r="NZ206" s="3">
        <v>95</v>
      </c>
      <c r="OA206" s="3">
        <v>96</v>
      </c>
      <c r="OB206" s="3">
        <v>97</v>
      </c>
      <c r="OC206" s="3">
        <v>98</v>
      </c>
      <c r="OD206" s="3">
        <v>99</v>
      </c>
      <c r="OE206" s="3">
        <v>100</v>
      </c>
      <c r="OF206" s="3">
        <v>101</v>
      </c>
      <c r="OG206" s="3">
        <v>102</v>
      </c>
      <c r="OH206" s="3">
        <v>103</v>
      </c>
      <c r="OI206" s="3">
        <v>104</v>
      </c>
      <c r="OJ206" s="3">
        <v>105</v>
      </c>
      <c r="OK206" s="3">
        <v>106</v>
      </c>
      <c r="OL206" s="3">
        <v>107</v>
      </c>
      <c r="OM206" s="3">
        <v>108</v>
      </c>
      <c r="ON206" s="3">
        <v>109</v>
      </c>
      <c r="OO206" s="3">
        <v>110</v>
      </c>
      <c r="OP206" s="3">
        <v>111</v>
      </c>
      <c r="OQ206" s="3">
        <v>113</v>
      </c>
      <c r="OR206" s="3">
        <v>114</v>
      </c>
      <c r="OS206" s="3">
        <v>115</v>
      </c>
      <c r="OT206" s="3">
        <v>116</v>
      </c>
      <c r="OU206" s="3">
        <v>117</v>
      </c>
      <c r="OV206" s="3">
        <v>118</v>
      </c>
      <c r="OW206" s="3">
        <v>119</v>
      </c>
      <c r="OX206" s="3">
        <v>120</v>
      </c>
      <c r="OY206" s="3">
        <v>121</v>
      </c>
      <c r="OZ206" s="3">
        <v>122</v>
      </c>
      <c r="PA206" s="3">
        <v>123</v>
      </c>
      <c r="PB206" s="3">
        <v>124</v>
      </c>
      <c r="PC206" s="3">
        <v>125</v>
      </c>
      <c r="PD206" s="3">
        <v>126</v>
      </c>
      <c r="PE206" s="3">
        <v>127</v>
      </c>
      <c r="PF206" s="3">
        <v>128</v>
      </c>
      <c r="PG206" s="3">
        <v>129</v>
      </c>
      <c r="PH206" s="3">
        <v>130</v>
      </c>
      <c r="PI206" s="3">
        <v>131</v>
      </c>
      <c r="PJ206" s="3">
        <v>132</v>
      </c>
      <c r="PK206" s="3">
        <v>133</v>
      </c>
      <c r="PL206" s="3">
        <v>134</v>
      </c>
      <c r="PM206" s="3">
        <v>135</v>
      </c>
      <c r="PN206" s="3">
        <v>136</v>
      </c>
      <c r="PO206" s="3">
        <v>137</v>
      </c>
      <c r="PP206" s="3">
        <v>138</v>
      </c>
      <c r="PQ206" s="3">
        <v>139</v>
      </c>
      <c r="PR206" s="3">
        <v>140</v>
      </c>
      <c r="PS206" s="3">
        <v>141</v>
      </c>
      <c r="PT206" s="3">
        <v>142</v>
      </c>
      <c r="PU206" s="3">
        <v>143</v>
      </c>
      <c r="PV206" s="3">
        <v>144</v>
      </c>
      <c r="PW206" s="3">
        <v>145</v>
      </c>
      <c r="PX206" s="3">
        <v>146</v>
      </c>
      <c r="PY206" s="3">
        <v>147</v>
      </c>
      <c r="PZ206" s="3">
        <v>148</v>
      </c>
      <c r="QA206" s="3">
        <v>149</v>
      </c>
      <c r="QB206" s="3">
        <v>150</v>
      </c>
      <c r="QC206" s="3">
        <v>150</v>
      </c>
      <c r="QD206" s="3">
        <v>151</v>
      </c>
      <c r="QE206" s="3">
        <v>152</v>
      </c>
      <c r="QF206" s="3">
        <v>153</v>
      </c>
      <c r="QG206" s="3">
        <v>154</v>
      </c>
      <c r="QH206" s="3">
        <v>155</v>
      </c>
      <c r="QI206" s="3">
        <v>156</v>
      </c>
      <c r="QJ206" s="3">
        <v>157</v>
      </c>
      <c r="QK206" s="3">
        <v>158</v>
      </c>
      <c r="QL206" s="3">
        <v>159</v>
      </c>
      <c r="QM206" s="3">
        <v>160</v>
      </c>
      <c r="QN206" s="3">
        <v>161</v>
      </c>
      <c r="QO206" s="3">
        <v>162</v>
      </c>
      <c r="QP206" s="3">
        <v>163</v>
      </c>
      <c r="QQ206" s="3">
        <v>164</v>
      </c>
      <c r="QR206" s="3">
        <v>165</v>
      </c>
      <c r="QS206" s="3">
        <v>166</v>
      </c>
      <c r="QT206" s="3">
        <v>167</v>
      </c>
      <c r="QU206" s="3">
        <v>168</v>
      </c>
      <c r="QV206" s="3">
        <v>168</v>
      </c>
      <c r="QW206" s="3">
        <v>169</v>
      </c>
      <c r="QX206" s="3">
        <v>169</v>
      </c>
      <c r="QY206" s="3">
        <v>169</v>
      </c>
      <c r="QZ206" s="3">
        <v>169</v>
      </c>
      <c r="RA206" s="3">
        <v>169</v>
      </c>
      <c r="RB206" s="3">
        <v>169</v>
      </c>
      <c r="RC206" s="3">
        <v>169</v>
      </c>
      <c r="RD206" s="3">
        <v>169</v>
      </c>
      <c r="RE206" s="3">
        <v>170</v>
      </c>
      <c r="RF206" s="3">
        <v>170</v>
      </c>
      <c r="RG206" s="3">
        <v>170</v>
      </c>
      <c r="RH206" s="3">
        <v>170</v>
      </c>
      <c r="RI206" s="3">
        <v>170</v>
      </c>
      <c r="RJ206" s="3">
        <v>170</v>
      </c>
      <c r="RK206" s="3">
        <v>170</v>
      </c>
      <c r="RL206" s="3">
        <v>170</v>
      </c>
      <c r="RM206" s="3">
        <v>170</v>
      </c>
      <c r="RN206" s="3">
        <v>170</v>
      </c>
      <c r="RO206" s="3">
        <v>170</v>
      </c>
      <c r="RP206" s="3">
        <v>170</v>
      </c>
      <c r="RQ206" s="3">
        <v>170</v>
      </c>
      <c r="RR206" s="3">
        <v>171</v>
      </c>
      <c r="RS206" s="3">
        <v>1</v>
      </c>
      <c r="RT206" s="3">
        <v>10</v>
      </c>
      <c r="RU206" s="3">
        <v>10</v>
      </c>
      <c r="RV206" s="3">
        <v>10</v>
      </c>
      <c r="RW206" s="3">
        <v>10</v>
      </c>
      <c r="RX206" s="3">
        <v>10</v>
      </c>
      <c r="RY206" s="3">
        <v>10</v>
      </c>
      <c r="RZ206" s="3">
        <v>10</v>
      </c>
      <c r="SA206" s="3">
        <v>88</v>
      </c>
      <c r="SB206" s="3">
        <v>88</v>
      </c>
      <c r="SC206" s="3">
        <v>89</v>
      </c>
      <c r="SD206" s="3">
        <v>90</v>
      </c>
      <c r="SE206" s="3">
        <v>91</v>
      </c>
      <c r="SF206" s="3">
        <v>92</v>
      </c>
      <c r="SG206" s="3">
        <v>93</v>
      </c>
      <c r="SH206" s="3">
        <v>94</v>
      </c>
      <c r="SI206" s="3">
        <v>95</v>
      </c>
      <c r="SJ206" s="3">
        <v>96</v>
      </c>
      <c r="SK206" s="3">
        <v>97</v>
      </c>
      <c r="SL206" s="3">
        <v>98</v>
      </c>
      <c r="SM206" s="3">
        <v>99</v>
      </c>
      <c r="SN206" s="3">
        <v>100</v>
      </c>
      <c r="SO206" s="3">
        <v>101</v>
      </c>
      <c r="SP206" s="3">
        <v>102</v>
      </c>
      <c r="SQ206" s="3">
        <v>103</v>
      </c>
      <c r="SR206" s="3">
        <v>104</v>
      </c>
      <c r="SS206" s="3">
        <v>105</v>
      </c>
      <c r="ST206" s="3">
        <v>106</v>
      </c>
      <c r="SU206" s="3">
        <v>107</v>
      </c>
      <c r="SV206" s="3">
        <v>108</v>
      </c>
      <c r="SW206" s="3">
        <v>109</v>
      </c>
      <c r="SX206" s="3">
        <v>110</v>
      </c>
      <c r="SY206" s="3">
        <v>111</v>
      </c>
      <c r="SZ206" s="3">
        <v>113</v>
      </c>
      <c r="TA206" s="3">
        <v>114</v>
      </c>
      <c r="TB206" s="3">
        <v>115</v>
      </c>
      <c r="TC206" s="3">
        <v>116</v>
      </c>
      <c r="TD206" s="3">
        <v>117</v>
      </c>
      <c r="TE206" s="3">
        <v>118</v>
      </c>
      <c r="TF206" s="3">
        <v>120</v>
      </c>
      <c r="TG206" s="3">
        <v>121</v>
      </c>
      <c r="TH206" s="3">
        <v>122</v>
      </c>
      <c r="TI206" s="3">
        <v>123</v>
      </c>
      <c r="TJ206" s="3">
        <v>124</v>
      </c>
      <c r="TK206" s="3">
        <v>125</v>
      </c>
      <c r="TL206" s="3">
        <v>126</v>
      </c>
      <c r="TM206" s="3">
        <v>127</v>
      </c>
      <c r="TN206" s="3">
        <v>128</v>
      </c>
      <c r="TO206" s="3">
        <v>129</v>
      </c>
      <c r="TP206" s="3">
        <v>130</v>
      </c>
      <c r="TQ206" s="3">
        <v>131</v>
      </c>
      <c r="TR206" s="3">
        <v>132</v>
      </c>
      <c r="TS206" s="3">
        <v>133</v>
      </c>
      <c r="TT206" s="3">
        <v>134</v>
      </c>
      <c r="TU206" s="3">
        <v>135</v>
      </c>
      <c r="TV206" s="3">
        <v>136</v>
      </c>
      <c r="TW206" s="3">
        <v>137</v>
      </c>
      <c r="TX206" s="3">
        <v>138</v>
      </c>
      <c r="TY206" s="3">
        <v>139</v>
      </c>
      <c r="TZ206" s="3">
        <v>140</v>
      </c>
      <c r="UA206" s="3">
        <v>141</v>
      </c>
      <c r="UB206" s="3">
        <v>142</v>
      </c>
      <c r="UC206" s="3">
        <v>143</v>
      </c>
      <c r="UD206" s="3">
        <v>144</v>
      </c>
      <c r="UE206" s="3">
        <v>145</v>
      </c>
      <c r="UF206" s="3">
        <v>146</v>
      </c>
      <c r="UG206" s="3">
        <v>147</v>
      </c>
      <c r="UH206" s="3">
        <v>148</v>
      </c>
      <c r="UI206" s="3">
        <v>149</v>
      </c>
      <c r="UJ206" s="3">
        <v>150</v>
      </c>
      <c r="UK206" s="3">
        <v>150</v>
      </c>
      <c r="UL206" s="3">
        <v>151</v>
      </c>
      <c r="UM206" s="3">
        <v>152</v>
      </c>
      <c r="UN206" s="3">
        <v>153</v>
      </c>
      <c r="UO206" s="3">
        <v>154</v>
      </c>
      <c r="UP206" s="3">
        <v>155</v>
      </c>
      <c r="UQ206" s="3">
        <v>156</v>
      </c>
      <c r="UR206" s="3">
        <v>157</v>
      </c>
      <c r="US206" s="3">
        <v>158</v>
      </c>
      <c r="UT206" s="3">
        <v>159</v>
      </c>
      <c r="UU206" s="3">
        <v>160</v>
      </c>
      <c r="UV206" s="3">
        <v>161</v>
      </c>
      <c r="UW206" s="3">
        <v>162</v>
      </c>
      <c r="UX206" s="3">
        <v>163</v>
      </c>
      <c r="UY206" s="3">
        <v>164</v>
      </c>
      <c r="UZ206" s="3">
        <v>165</v>
      </c>
      <c r="VA206" s="3">
        <v>166</v>
      </c>
      <c r="VB206" s="3">
        <v>167</v>
      </c>
      <c r="VC206" s="3">
        <v>168</v>
      </c>
      <c r="VD206" s="3">
        <v>168</v>
      </c>
      <c r="VE206" s="3">
        <v>169</v>
      </c>
      <c r="VF206" s="3">
        <v>169</v>
      </c>
      <c r="VG206" s="3">
        <v>169</v>
      </c>
      <c r="VH206" s="3">
        <v>169</v>
      </c>
      <c r="VI206" s="3">
        <v>169</v>
      </c>
      <c r="VJ206" s="3">
        <v>169</v>
      </c>
      <c r="VK206" s="3">
        <v>169</v>
      </c>
      <c r="VL206" s="3">
        <v>169</v>
      </c>
      <c r="VM206" s="3">
        <v>169</v>
      </c>
      <c r="VN206" s="3">
        <v>170</v>
      </c>
      <c r="VO206" s="3">
        <v>170</v>
      </c>
      <c r="VP206" s="3">
        <v>170</v>
      </c>
      <c r="VQ206" s="3">
        <v>170</v>
      </c>
      <c r="VR206" s="3">
        <v>170</v>
      </c>
      <c r="VS206" s="3">
        <v>170</v>
      </c>
      <c r="VT206" s="3">
        <v>170</v>
      </c>
      <c r="VU206" s="3">
        <v>170</v>
      </c>
      <c r="VV206" s="3">
        <v>170</v>
      </c>
      <c r="VW206" s="3">
        <v>170</v>
      </c>
      <c r="VX206" s="3">
        <v>170</v>
      </c>
      <c r="VY206" s="3">
        <v>170</v>
      </c>
      <c r="VZ206" s="3">
        <v>170</v>
      </c>
      <c r="WA206" s="3">
        <v>169</v>
      </c>
      <c r="WB206" s="3">
        <v>170</v>
      </c>
      <c r="WC206" s="3">
        <v>171</v>
      </c>
      <c r="WD206" s="3">
        <v>171</v>
      </c>
      <c r="WE206" s="3">
        <v>172</v>
      </c>
      <c r="WF206" s="3">
        <v>173</v>
      </c>
      <c r="WG206" s="3">
        <v>174</v>
      </c>
      <c r="WH206" s="3">
        <v>175</v>
      </c>
      <c r="WI206" s="3">
        <v>176</v>
      </c>
      <c r="WJ206" s="3">
        <v>177</v>
      </c>
      <c r="WK206" s="3">
        <v>178</v>
      </c>
      <c r="WL206" s="3">
        <v>179</v>
      </c>
      <c r="WM206" s="3">
        <v>180</v>
      </c>
      <c r="WN206" s="3">
        <v>181</v>
      </c>
      <c r="WO206" s="3">
        <v>182</v>
      </c>
      <c r="WP206" s="3">
        <v>181</v>
      </c>
      <c r="WQ206" s="3">
        <v>183</v>
      </c>
      <c r="WR206" s="3">
        <v>181</v>
      </c>
      <c r="WS206" s="3">
        <v>184</v>
      </c>
      <c r="WT206" s="3">
        <v>185</v>
      </c>
      <c r="WU206" s="3">
        <v>186</v>
      </c>
      <c r="WV206" s="3">
        <v>187</v>
      </c>
      <c r="WW206" s="3">
        <v>188</v>
      </c>
      <c r="WX206" s="3">
        <v>189</v>
      </c>
      <c r="WY206" s="3">
        <v>190</v>
      </c>
      <c r="WZ206" s="3">
        <v>191</v>
      </c>
      <c r="XA206" s="3">
        <v>192</v>
      </c>
      <c r="XB206" s="3">
        <v>193</v>
      </c>
      <c r="XC206" s="3">
        <v>194</v>
      </c>
      <c r="XD206" s="3">
        <v>195</v>
      </c>
      <c r="XE206" s="3">
        <v>196</v>
      </c>
      <c r="XF206" s="3">
        <v>197</v>
      </c>
      <c r="XG206" s="3">
        <v>198</v>
      </c>
      <c r="XH206" s="3">
        <v>199</v>
      </c>
      <c r="XI206" s="3">
        <v>200</v>
      </c>
      <c r="XJ206" s="3">
        <v>169</v>
      </c>
      <c r="XK206" s="3">
        <v>169</v>
      </c>
      <c r="XL206" s="3">
        <v>169</v>
      </c>
      <c r="XM206" s="3">
        <v>169</v>
      </c>
      <c r="XN206" s="3">
        <v>169</v>
      </c>
      <c r="XO206" s="3">
        <v>169</v>
      </c>
      <c r="XP206" s="3">
        <v>169</v>
      </c>
      <c r="XQ206" s="3">
        <v>169</v>
      </c>
      <c r="XR206" s="3">
        <v>169</v>
      </c>
      <c r="XS206" s="3">
        <v>170</v>
      </c>
      <c r="XT206" s="3">
        <v>170</v>
      </c>
      <c r="XU206" s="3">
        <v>170</v>
      </c>
      <c r="XV206" s="3">
        <v>170</v>
      </c>
      <c r="XW206" s="3">
        <v>170</v>
      </c>
      <c r="XX206" s="3">
        <v>170</v>
      </c>
      <c r="XY206" s="3">
        <v>170</v>
      </c>
      <c r="XZ206" s="3">
        <v>170</v>
      </c>
      <c r="YA206" s="3">
        <v>170</v>
      </c>
      <c r="YB206" s="3">
        <v>170</v>
      </c>
      <c r="YC206" s="3">
        <v>170</v>
      </c>
      <c r="YD206" s="3">
        <v>170</v>
      </c>
      <c r="YE206" s="3">
        <v>170</v>
      </c>
      <c r="YF206" s="3">
        <v>171</v>
      </c>
      <c r="YG206" s="3">
        <v>171</v>
      </c>
      <c r="YH206" s="3">
        <v>171</v>
      </c>
      <c r="YI206" s="3">
        <v>171</v>
      </c>
      <c r="YJ206" s="3">
        <v>171</v>
      </c>
      <c r="YK206" s="3">
        <v>171</v>
      </c>
      <c r="YL206" s="3">
        <v>171</v>
      </c>
      <c r="YM206" s="3">
        <v>171</v>
      </c>
      <c r="YN206" s="3">
        <v>171</v>
      </c>
      <c r="YO206" s="3">
        <v>172</v>
      </c>
      <c r="YP206" s="3">
        <v>172</v>
      </c>
      <c r="YQ206" s="3">
        <v>172</v>
      </c>
      <c r="YR206" s="3">
        <v>172</v>
      </c>
      <c r="YS206" s="3">
        <v>172</v>
      </c>
      <c r="YT206" s="3">
        <v>172</v>
      </c>
      <c r="YU206" s="3">
        <v>172</v>
      </c>
      <c r="YV206" s="3">
        <v>172</v>
      </c>
      <c r="YW206" s="3">
        <v>172</v>
      </c>
      <c r="YX206" s="3">
        <v>172</v>
      </c>
      <c r="YY206" s="3">
        <v>172</v>
      </c>
      <c r="YZ206" s="3">
        <v>172</v>
      </c>
      <c r="ZA206" s="3">
        <v>172</v>
      </c>
      <c r="ZB206" s="3">
        <v>173</v>
      </c>
      <c r="ZC206" s="3">
        <v>173</v>
      </c>
      <c r="ZD206" s="3">
        <v>173</v>
      </c>
      <c r="ZE206" s="3">
        <v>173</v>
      </c>
      <c r="ZF206" s="3">
        <v>173</v>
      </c>
      <c r="ZG206" s="3">
        <v>173</v>
      </c>
      <c r="ZH206" s="3">
        <v>173</v>
      </c>
      <c r="ZI206" s="3">
        <v>173</v>
      </c>
      <c r="ZJ206" s="3">
        <v>173</v>
      </c>
      <c r="ZK206" s="3">
        <v>173</v>
      </c>
      <c r="ZL206" s="3">
        <v>173</v>
      </c>
      <c r="ZM206" s="3">
        <v>173</v>
      </c>
      <c r="ZN206" s="3">
        <v>173</v>
      </c>
      <c r="ZO206" s="3">
        <v>173</v>
      </c>
      <c r="ZP206" s="3">
        <v>173</v>
      </c>
      <c r="ZQ206" s="3">
        <v>173</v>
      </c>
      <c r="ZR206" s="3">
        <v>173</v>
      </c>
      <c r="ZS206" s="3">
        <v>173</v>
      </c>
      <c r="ZT206" s="3">
        <v>173</v>
      </c>
      <c r="ZU206" s="3">
        <v>173</v>
      </c>
      <c r="ZV206" s="3">
        <v>173</v>
      </c>
      <c r="ZW206" s="3">
        <v>173</v>
      </c>
      <c r="ZX206" s="3">
        <v>173</v>
      </c>
      <c r="ZY206" s="3">
        <v>173</v>
      </c>
      <c r="ZZ206" s="3">
        <v>173</v>
      </c>
      <c r="AAA206" s="3">
        <v>173</v>
      </c>
      <c r="AAB206" s="3">
        <v>173</v>
      </c>
      <c r="AAC206" s="3">
        <v>173</v>
      </c>
      <c r="AAD206" s="3">
        <v>173</v>
      </c>
      <c r="AAE206" s="3">
        <v>173</v>
      </c>
      <c r="AAF206" s="3">
        <v>173</v>
      </c>
      <c r="AAG206" s="3">
        <v>173</v>
      </c>
      <c r="AAH206" s="3">
        <v>173</v>
      </c>
      <c r="AAI206" s="3">
        <v>173</v>
      </c>
      <c r="AAJ206" s="3">
        <v>173</v>
      </c>
      <c r="AAK206" s="3">
        <v>173</v>
      </c>
      <c r="AAL206" s="3">
        <v>1</v>
      </c>
      <c r="AAM206" s="3">
        <v>174</v>
      </c>
      <c r="AAN206" s="3">
        <v>174</v>
      </c>
      <c r="AAO206" s="3">
        <v>174</v>
      </c>
      <c r="AAP206" s="3">
        <v>174</v>
      </c>
      <c r="AAQ206" s="3">
        <v>174</v>
      </c>
      <c r="AAR206" s="3">
        <v>174</v>
      </c>
      <c r="AAS206" s="3">
        <v>174</v>
      </c>
      <c r="AAT206" s="3">
        <v>174</v>
      </c>
      <c r="AAU206" s="3">
        <v>174</v>
      </c>
      <c r="AAV206" s="3">
        <v>174</v>
      </c>
      <c r="AAW206" s="3">
        <v>174</v>
      </c>
      <c r="AAX206" s="3">
        <v>1</v>
      </c>
      <c r="AAY206" s="3">
        <v>175</v>
      </c>
      <c r="AAZ206" s="3">
        <v>175</v>
      </c>
      <c r="ABA206" s="3">
        <v>175</v>
      </c>
      <c r="ABB206" s="3">
        <v>175</v>
      </c>
      <c r="ABC206" s="3">
        <v>175</v>
      </c>
      <c r="ABD206" s="3">
        <v>175</v>
      </c>
      <c r="ABE206" s="3">
        <v>175</v>
      </c>
      <c r="ABF206" s="3">
        <v>175</v>
      </c>
      <c r="ABG206" s="3">
        <v>175</v>
      </c>
      <c r="ABH206" s="3">
        <v>175</v>
      </c>
      <c r="ABI206" s="3">
        <v>201</v>
      </c>
      <c r="ABJ206" s="3">
        <v>202</v>
      </c>
      <c r="ABK206" s="3">
        <v>176</v>
      </c>
      <c r="ABL206" s="3">
        <v>177</v>
      </c>
      <c r="ABM206" s="3">
        <v>178</v>
      </c>
      <c r="ABN206" s="3">
        <v>179</v>
      </c>
      <c r="ABO206" s="3">
        <v>180</v>
      </c>
      <c r="ABP206" s="3">
        <v>181</v>
      </c>
      <c r="ABQ206" s="3">
        <v>182</v>
      </c>
      <c r="ABR206" s="3">
        <v>183</v>
      </c>
      <c r="ABS206" s="3">
        <v>184</v>
      </c>
      <c r="ABT206" s="3">
        <v>185</v>
      </c>
      <c r="ABU206" s="3">
        <v>186</v>
      </c>
      <c r="ABV206" s="3">
        <v>187</v>
      </c>
      <c r="ABW206" s="3">
        <v>188</v>
      </c>
      <c r="ABX206" s="3">
        <v>189</v>
      </c>
      <c r="ABY206" s="3">
        <v>190</v>
      </c>
      <c r="ABZ206" s="3">
        <v>191</v>
      </c>
      <c r="ACA206" s="3">
        <v>192</v>
      </c>
      <c r="ACB206" s="3">
        <v>193</v>
      </c>
      <c r="ACC206" s="3">
        <v>195</v>
      </c>
      <c r="ACD206" s="3">
        <v>197</v>
      </c>
      <c r="ACE206" s="3">
        <v>197</v>
      </c>
      <c r="ACF206" s="3">
        <v>198</v>
      </c>
      <c r="ACG206" s="3">
        <v>198</v>
      </c>
      <c r="ACH206" s="3">
        <v>199</v>
      </c>
      <c r="ACI206" s="3">
        <v>199</v>
      </c>
      <c r="ACJ206" s="3">
        <v>199</v>
      </c>
      <c r="ACK206" s="3">
        <v>199</v>
      </c>
      <c r="ACL206" s="3">
        <v>199</v>
      </c>
      <c r="ACM206" s="3">
        <v>199</v>
      </c>
      <c r="ACN206" s="3">
        <v>199</v>
      </c>
      <c r="ACO206" s="3">
        <v>199</v>
      </c>
      <c r="ACP206" s="3">
        <v>199</v>
      </c>
      <c r="ACQ206" s="3">
        <v>200</v>
      </c>
      <c r="ACR206" s="3">
        <v>200</v>
      </c>
      <c r="ACS206" s="3">
        <v>200</v>
      </c>
      <c r="ACT206" s="3">
        <v>200</v>
      </c>
      <c r="ACU206" s="3">
        <v>200</v>
      </c>
      <c r="ACV206" s="3">
        <v>200</v>
      </c>
      <c r="ACW206" s="3">
        <v>200</v>
      </c>
      <c r="ACX206" s="3">
        <v>200</v>
      </c>
      <c r="ACY206" s="3">
        <v>200</v>
      </c>
      <c r="ACZ206" s="3">
        <v>200</v>
      </c>
      <c r="ADA206" s="3">
        <v>200</v>
      </c>
      <c r="ADB206" s="3">
        <v>200</v>
      </c>
      <c r="ADC206" s="3">
        <v>200</v>
      </c>
      <c r="ADD206" s="3">
        <v>201</v>
      </c>
      <c r="ADE206" s="3">
        <v>202</v>
      </c>
      <c r="ADF206" s="3">
        <v>203</v>
      </c>
      <c r="ADG206" s="3">
        <v>204</v>
      </c>
      <c r="ADH206" s="3">
        <v>1</v>
      </c>
      <c r="ADI206" s="3">
        <v>175</v>
      </c>
      <c r="ADJ206" s="3">
        <v>175</v>
      </c>
      <c r="ADK206" s="3">
        <v>175</v>
      </c>
      <c r="ADL206" s="3">
        <v>175</v>
      </c>
      <c r="ADM206" s="3">
        <v>175</v>
      </c>
      <c r="ADN206" s="3">
        <v>175</v>
      </c>
      <c r="ADO206" s="3">
        <v>175</v>
      </c>
      <c r="ADP206" s="3">
        <v>175</v>
      </c>
      <c r="ADQ206" s="3">
        <v>175</v>
      </c>
      <c r="ADR206" s="3">
        <v>175</v>
      </c>
      <c r="ADS206" s="3">
        <v>201</v>
      </c>
      <c r="ADT206" s="3">
        <v>202</v>
      </c>
      <c r="ADU206" s="3">
        <v>176</v>
      </c>
      <c r="ADV206" s="3">
        <v>177</v>
      </c>
      <c r="ADW206" s="3">
        <v>178</v>
      </c>
      <c r="ADX206" s="3">
        <v>179</v>
      </c>
      <c r="ADY206" s="3">
        <v>180</v>
      </c>
      <c r="ADZ206" s="3">
        <v>181</v>
      </c>
      <c r="AEA206" s="3">
        <v>182</v>
      </c>
      <c r="AEB206" s="3">
        <v>183</v>
      </c>
      <c r="AEC206" s="3">
        <v>184</v>
      </c>
      <c r="AED206" s="3">
        <v>185</v>
      </c>
      <c r="AEE206" s="3">
        <v>186</v>
      </c>
      <c r="AEF206" s="3">
        <v>187</v>
      </c>
      <c r="AEG206" s="3">
        <v>188</v>
      </c>
      <c r="AEH206" s="3">
        <v>189</v>
      </c>
      <c r="AEI206" s="3">
        <v>190</v>
      </c>
      <c r="AEJ206" s="3">
        <v>191</v>
      </c>
      <c r="AEK206" s="3">
        <v>192</v>
      </c>
      <c r="AEL206" s="3">
        <v>193</v>
      </c>
      <c r="AEM206" s="3">
        <v>195</v>
      </c>
      <c r="AEN206" s="3">
        <v>197</v>
      </c>
      <c r="AEO206" s="3">
        <v>197</v>
      </c>
      <c r="AEP206" s="3">
        <v>198</v>
      </c>
      <c r="AEQ206" s="3">
        <v>198</v>
      </c>
      <c r="AER206" s="3">
        <v>199</v>
      </c>
      <c r="AES206" s="3">
        <v>199</v>
      </c>
      <c r="AET206" s="3">
        <v>199</v>
      </c>
      <c r="AEU206" s="3">
        <v>199</v>
      </c>
      <c r="AEV206" s="3">
        <v>199</v>
      </c>
      <c r="AEW206" s="3">
        <v>199</v>
      </c>
      <c r="AEX206" s="3">
        <v>199</v>
      </c>
      <c r="AEY206" s="3">
        <v>199</v>
      </c>
      <c r="AEZ206" s="3">
        <v>199</v>
      </c>
      <c r="AFA206" s="3">
        <v>200</v>
      </c>
      <c r="AFB206" s="3">
        <v>200</v>
      </c>
      <c r="AFC206" s="3">
        <v>200</v>
      </c>
      <c r="AFD206" s="3">
        <v>200</v>
      </c>
      <c r="AFE206" s="3">
        <v>200</v>
      </c>
      <c r="AFF206" s="3">
        <v>200</v>
      </c>
      <c r="AFG206" s="3">
        <v>200</v>
      </c>
      <c r="AFH206" s="3">
        <v>200</v>
      </c>
      <c r="AFI206" s="3">
        <v>200</v>
      </c>
      <c r="AFJ206" s="3">
        <v>200</v>
      </c>
      <c r="AFK206" s="3">
        <v>200</v>
      </c>
      <c r="AFL206" s="3">
        <v>200</v>
      </c>
      <c r="AFM206" s="3">
        <v>200</v>
      </c>
      <c r="AFN206" s="3">
        <v>201</v>
      </c>
      <c r="AFO206" s="3">
        <v>202</v>
      </c>
      <c r="AFP206" s="3">
        <v>203</v>
      </c>
      <c r="AFQ206" s="3">
        <v>204</v>
      </c>
      <c r="AFR206" s="3">
        <v>1</v>
      </c>
      <c r="AFS206" s="3">
        <v>175</v>
      </c>
      <c r="AFT206" s="3">
        <v>175</v>
      </c>
      <c r="AFU206" s="3">
        <v>175</v>
      </c>
      <c r="AFV206" s="3">
        <v>175</v>
      </c>
      <c r="AFW206" s="3">
        <v>175</v>
      </c>
      <c r="AFX206" s="3">
        <v>175</v>
      </c>
      <c r="AFY206" s="3">
        <v>175</v>
      </c>
      <c r="AFZ206" s="3">
        <v>175</v>
      </c>
      <c r="AGA206" s="3">
        <v>175</v>
      </c>
      <c r="AGB206" s="3">
        <v>175</v>
      </c>
      <c r="AGC206" s="3">
        <v>175</v>
      </c>
      <c r="AGD206" s="3">
        <v>176</v>
      </c>
      <c r="AGE206" s="3">
        <v>176</v>
      </c>
      <c r="AGF206" s="3">
        <v>176</v>
      </c>
      <c r="AGG206" s="3">
        <v>177</v>
      </c>
      <c r="AGH206" s="3">
        <v>177</v>
      </c>
      <c r="AGI206" s="3">
        <v>177</v>
      </c>
      <c r="AGJ206" s="3">
        <v>177</v>
      </c>
      <c r="AGK206" s="3">
        <v>177</v>
      </c>
      <c r="AGL206" s="3">
        <v>177</v>
      </c>
      <c r="AGM206" s="3">
        <v>177</v>
      </c>
      <c r="AGN206" s="3">
        <v>177</v>
      </c>
      <c r="AGO206" s="3">
        <v>177</v>
      </c>
      <c r="AGP206" s="3">
        <v>178</v>
      </c>
      <c r="AGQ206" s="3">
        <v>178</v>
      </c>
      <c r="AGR206" s="3">
        <v>178</v>
      </c>
      <c r="AGS206" s="3">
        <v>178</v>
      </c>
      <c r="AGT206" s="3">
        <v>178</v>
      </c>
      <c r="AGU206" s="3">
        <v>178</v>
      </c>
      <c r="AGV206" s="3">
        <v>178</v>
      </c>
      <c r="AGW206" s="3">
        <v>178</v>
      </c>
      <c r="AGX206" s="3">
        <v>178</v>
      </c>
      <c r="AGY206" s="3">
        <v>179</v>
      </c>
      <c r="AGZ206" s="3">
        <v>179</v>
      </c>
      <c r="AHA206" s="3">
        <v>179</v>
      </c>
      <c r="AHB206" s="3">
        <v>179</v>
      </c>
      <c r="AHC206" s="3">
        <v>179</v>
      </c>
      <c r="AHD206" s="3">
        <v>179</v>
      </c>
      <c r="AHE206" s="3">
        <v>179</v>
      </c>
      <c r="AHF206" s="3">
        <v>179</v>
      </c>
      <c r="AHG206" s="3">
        <v>179</v>
      </c>
      <c r="AHH206" s="3">
        <v>179</v>
      </c>
      <c r="AHI206" s="3">
        <v>179</v>
      </c>
      <c r="AHJ206" s="3">
        <v>179</v>
      </c>
      <c r="AHK206" s="3">
        <v>179</v>
      </c>
      <c r="AHL206" s="3">
        <v>180</v>
      </c>
      <c r="AHM206" s="3">
        <v>180</v>
      </c>
      <c r="AHN206" s="3">
        <v>180</v>
      </c>
      <c r="AHO206" s="3">
        <v>180</v>
      </c>
      <c r="AHP206" s="3">
        <v>180</v>
      </c>
      <c r="AHQ206" s="3">
        <v>180</v>
      </c>
      <c r="AHR206" s="3">
        <v>180</v>
      </c>
      <c r="AHS206" s="3">
        <v>180</v>
      </c>
      <c r="AHT206" s="3">
        <v>180</v>
      </c>
      <c r="AHU206" s="3">
        <v>180</v>
      </c>
      <c r="AHV206" s="3">
        <v>180</v>
      </c>
      <c r="AHW206" s="3">
        <v>180</v>
      </c>
      <c r="AHX206" s="3">
        <v>180</v>
      </c>
      <c r="AHY206" s="3">
        <v>181</v>
      </c>
      <c r="AHZ206" s="3">
        <v>181</v>
      </c>
      <c r="AIA206" s="3">
        <v>181</v>
      </c>
      <c r="AIB206" s="3">
        <v>181</v>
      </c>
      <c r="AIC206" s="3">
        <v>181</v>
      </c>
      <c r="AID206" s="3">
        <v>181</v>
      </c>
      <c r="AIE206" s="3">
        <v>181</v>
      </c>
      <c r="AIF206" s="3">
        <v>181</v>
      </c>
      <c r="AIG206" s="3">
        <v>181</v>
      </c>
      <c r="AIH206" s="3">
        <v>182</v>
      </c>
      <c r="AII206" s="3">
        <v>182</v>
      </c>
      <c r="AIJ206" s="3">
        <v>182</v>
      </c>
      <c r="AIK206" s="3">
        <v>182</v>
      </c>
      <c r="AIL206" s="3">
        <v>182</v>
      </c>
      <c r="AIM206" s="3">
        <v>182</v>
      </c>
      <c r="AIN206" s="3">
        <v>182</v>
      </c>
      <c r="AIO206" s="3">
        <v>182</v>
      </c>
      <c r="AIP206" s="3">
        <v>182</v>
      </c>
      <c r="AIQ206" s="3">
        <v>183</v>
      </c>
      <c r="AIR206" s="3">
        <v>184</v>
      </c>
      <c r="AIS206" s="3">
        <v>185</v>
      </c>
      <c r="AIT206" s="3">
        <v>186</v>
      </c>
      <c r="AIU206" s="3">
        <v>187</v>
      </c>
      <c r="AIV206" s="3">
        <v>187</v>
      </c>
      <c r="AIW206" s="3">
        <v>187</v>
      </c>
      <c r="AIX206" s="3">
        <v>187</v>
      </c>
      <c r="AIY206" s="3">
        <v>187</v>
      </c>
      <c r="AIZ206" s="3">
        <v>187</v>
      </c>
      <c r="AJA206" s="3">
        <v>187</v>
      </c>
      <c r="AJB206" s="3">
        <v>187</v>
      </c>
      <c r="AJC206" s="3">
        <v>187</v>
      </c>
      <c r="AJD206" s="3">
        <v>187</v>
      </c>
      <c r="AJE206" s="3">
        <v>187</v>
      </c>
      <c r="AJF206" s="3">
        <v>2</v>
      </c>
      <c r="AJG206" s="3">
        <v>1</v>
      </c>
      <c r="AJH206" s="3">
        <v>1</v>
      </c>
      <c r="AJI206" s="3">
        <v>1</v>
      </c>
      <c r="AJJ206" s="3">
        <v>1</v>
      </c>
      <c r="AJK206" s="3">
        <v>1</v>
      </c>
      <c r="AJL206" s="3">
        <v>1</v>
      </c>
      <c r="AJM206" s="3">
        <v>1</v>
      </c>
      <c r="AJN206" s="3">
        <v>0</v>
      </c>
      <c r="AJO206" s="3">
        <v>3</v>
      </c>
      <c r="AJP206" s="3">
        <v>3</v>
      </c>
      <c r="AJQ206" s="3">
        <v>3</v>
      </c>
      <c r="AJR206" s="3">
        <v>3</v>
      </c>
      <c r="AJS206" s="3">
        <v>3</v>
      </c>
      <c r="AJT206" s="3">
        <v>3</v>
      </c>
      <c r="AJU206" s="3">
        <v>3</v>
      </c>
      <c r="AJV206" s="3">
        <v>3</v>
      </c>
      <c r="AJW206" s="3">
        <v>3</v>
      </c>
      <c r="AJX206" s="3">
        <v>0</v>
      </c>
      <c r="AJY206" s="3">
        <v>4</v>
      </c>
      <c r="AJZ206" s="3">
        <v>4</v>
      </c>
      <c r="AKA206" s="3">
        <v>4</v>
      </c>
      <c r="AKB206" s="3">
        <v>4</v>
      </c>
      <c r="AKC206" s="3">
        <v>4</v>
      </c>
      <c r="AKD206" s="3">
        <v>4</v>
      </c>
      <c r="AKE206" s="3">
        <v>4</v>
      </c>
      <c r="AKF206" s="3">
        <v>4</v>
      </c>
      <c r="AKG206" s="3">
        <v>4</v>
      </c>
      <c r="AKH206" s="3">
        <v>4</v>
      </c>
      <c r="AKI206" s="3">
        <v>0</v>
      </c>
      <c r="AKJ206" s="3">
        <v>2</v>
      </c>
      <c r="AKK206" s="3">
        <v>2</v>
      </c>
      <c r="AKL206" s="3">
        <v>2</v>
      </c>
      <c r="AKM206" s="3">
        <v>2</v>
      </c>
      <c r="AKN206" s="3">
        <v>2</v>
      </c>
      <c r="AKO206" s="3">
        <v>2</v>
      </c>
      <c r="AKP206" s="3">
        <v>2</v>
      </c>
      <c r="AKQ206" s="3">
        <v>2</v>
      </c>
      <c r="AKR206" s="3">
        <v>2</v>
      </c>
      <c r="AKS206" s="3">
        <v>2</v>
      </c>
      <c r="AKT206" s="3">
        <v>2</v>
      </c>
      <c r="AKU206" s="3">
        <v>2</v>
      </c>
      <c r="AKV206" s="3">
        <v>2</v>
      </c>
      <c r="AKW206" s="3">
        <v>2</v>
      </c>
      <c r="AKX206" s="3">
        <v>0</v>
      </c>
      <c r="AKY206" s="3">
        <v>5</v>
      </c>
      <c r="AKZ206" s="3">
        <v>5</v>
      </c>
      <c r="ALA206" s="3">
        <v>5</v>
      </c>
      <c r="ALB206" s="3">
        <v>5</v>
      </c>
      <c r="ALC206" s="3">
        <v>5</v>
      </c>
      <c r="ALD206" s="3">
        <v>5</v>
      </c>
      <c r="ALE206" s="3">
        <v>5</v>
      </c>
      <c r="ALF206" s="3">
        <v>5</v>
      </c>
      <c r="ALG206" s="3">
        <v>5</v>
      </c>
      <c r="ALH206" s="3">
        <v>5</v>
      </c>
      <c r="ALI206" s="3">
        <v>5</v>
      </c>
      <c r="ALJ206" s="3">
        <v>5</v>
      </c>
      <c r="ALK206" s="3">
        <v>5</v>
      </c>
      <c r="ALL206" s="3">
        <v>5</v>
      </c>
      <c r="ALM206" s="3">
        <v>0</v>
      </c>
      <c r="ALN206" s="3">
        <v>6</v>
      </c>
      <c r="ALO206" s="3">
        <v>6</v>
      </c>
      <c r="ALP206" s="3">
        <v>6</v>
      </c>
      <c r="ALQ206" s="3">
        <v>6</v>
      </c>
      <c r="ALR206" s="3">
        <v>6</v>
      </c>
      <c r="ALS206" s="3">
        <v>6</v>
      </c>
      <c r="ALT206" s="3">
        <v>6</v>
      </c>
      <c r="ALU206" s="3">
        <v>6</v>
      </c>
      <c r="ALV206" s="3">
        <v>6</v>
      </c>
      <c r="ALW206" s="3">
        <v>6</v>
      </c>
      <c r="ALX206" s="3">
        <v>6</v>
      </c>
      <c r="ALY206" s="3">
        <v>6</v>
      </c>
      <c r="ALZ206" s="3">
        <v>6</v>
      </c>
      <c r="AMA206" s="3">
        <v>6</v>
      </c>
      <c r="AMB206" s="3">
        <v>6</v>
      </c>
      <c r="AMC206" s="3">
        <v>0</v>
      </c>
      <c r="AMD206" s="3">
        <v>7</v>
      </c>
      <c r="AME206" s="3">
        <v>7</v>
      </c>
      <c r="AMF206" s="3">
        <v>7</v>
      </c>
      <c r="AMG206" s="3">
        <v>7</v>
      </c>
      <c r="AMH206" s="3">
        <v>7</v>
      </c>
      <c r="AMI206" s="3">
        <v>7</v>
      </c>
      <c r="AMJ206" s="3">
        <v>7</v>
      </c>
      <c r="AMK206" s="3">
        <v>7</v>
      </c>
      <c r="AML206" s="3">
        <v>7</v>
      </c>
      <c r="AMM206" s="3">
        <v>7</v>
      </c>
      <c r="AMN206" s="3">
        <v>7</v>
      </c>
      <c r="AMO206" s="3">
        <v>7</v>
      </c>
      <c r="AMP206" s="3">
        <v>7</v>
      </c>
      <c r="AMQ206" s="3">
        <v>7</v>
      </c>
      <c r="AMR206" s="3">
        <v>7</v>
      </c>
      <c r="AMS206" s="3">
        <v>7</v>
      </c>
      <c r="AMT206" s="3">
        <v>7</v>
      </c>
      <c r="AMU206" s="3">
        <v>7</v>
      </c>
      <c r="AMV206" s="3">
        <v>7</v>
      </c>
      <c r="AMW206" s="3">
        <v>7</v>
      </c>
      <c r="AMX206" s="3">
        <v>7</v>
      </c>
      <c r="AMY206" s="3">
        <v>7</v>
      </c>
      <c r="AMZ206" s="3">
        <v>7</v>
      </c>
      <c r="ANA206" s="3">
        <v>7</v>
      </c>
      <c r="ANB206" s="3">
        <v>7</v>
      </c>
      <c r="ANC206" s="3">
        <v>7</v>
      </c>
      <c r="AND206" s="3">
        <v>7</v>
      </c>
      <c r="ANE206" s="3"/>
      <c r="ANF206" s="3"/>
      <c r="ANG206" s="3"/>
      <c r="ANH206" s="3"/>
      <c r="ANI206" s="3"/>
      <c r="ANJ206" s="3"/>
      <c r="ANK206" s="3"/>
      <c r="ANL206" s="3"/>
      <c r="ANM206" s="3"/>
      <c r="ANN206" s="3"/>
      <c r="ANO206" s="3"/>
      <c r="ANP206" s="3"/>
      <c r="ANQ206" s="3"/>
      <c r="ANR206" s="3"/>
      <c r="ANS206" s="3"/>
      <c r="ANT206" s="3"/>
      <c r="ANU206" s="3"/>
      <c r="ANV206" s="3"/>
      <c r="ANW206" s="3"/>
      <c r="ANX206" s="3"/>
      <c r="ANY206" s="3"/>
      <c r="ANZ206" s="3"/>
      <c r="AOA206" s="3"/>
      <c r="AOB206" s="3"/>
      <c r="AOC206" s="3"/>
      <c r="AOD206" s="3"/>
      <c r="AOE206" s="3"/>
      <c r="AOF206" s="3"/>
      <c r="AOG206" s="3"/>
      <c r="AOH206" s="3"/>
      <c r="AOI206" s="3"/>
      <c r="AOJ206" s="3"/>
      <c r="AOK206" s="3"/>
      <c r="AOL206" s="3"/>
      <c r="AOM206" s="3"/>
      <c r="AON206" s="3"/>
      <c r="AOO206" s="3"/>
      <c r="AOP206" s="3"/>
      <c r="AOQ206" s="3"/>
      <c r="AOR206" s="3"/>
      <c r="AOS206" s="3"/>
      <c r="AOT206" s="3"/>
      <c r="AOU206" s="3"/>
      <c r="AOV206" s="3"/>
      <c r="AOW206" s="3"/>
      <c r="AOX206" s="3"/>
      <c r="AOY206" s="3"/>
      <c r="AOZ206" s="3"/>
      <c r="APA206" s="3"/>
      <c r="APB206" s="3"/>
      <c r="APC206" s="3"/>
      <c r="APD206" s="3"/>
      <c r="APE206" s="3"/>
      <c r="APF206" s="3"/>
      <c r="APG206" s="3"/>
      <c r="APH206" s="3"/>
      <c r="API206" s="3"/>
      <c r="APJ206" s="3"/>
      <c r="APK206" s="3"/>
      <c r="APL206" s="3"/>
      <c r="APM206" s="3"/>
      <c r="APN206" s="3"/>
      <c r="APO206" s="3"/>
      <c r="APP206" s="3"/>
      <c r="APQ206" s="3"/>
      <c r="APR206" s="3"/>
      <c r="APS206" s="3"/>
      <c r="APT206" s="3"/>
      <c r="APU206" s="3"/>
      <c r="APV206" s="3"/>
      <c r="APW206" s="3"/>
      <c r="APX206" s="3"/>
      <c r="APY206" s="3"/>
      <c r="APZ206" s="3"/>
      <c r="AQA206" s="3"/>
      <c r="AQB206" s="3"/>
    </row>
    <row r="208" spans="1:1120" ht="15" customHeight="1" x14ac:dyDescent="0.25">
      <c r="A208" s="7" t="s">
        <v>743</v>
      </c>
      <c r="C208" s="3" t="s">
        <v>752</v>
      </c>
      <c r="D208" s="3" t="s">
        <v>753</v>
      </c>
      <c r="E208" s="3" t="s">
        <v>753</v>
      </c>
      <c r="F208" s="3" t="s">
        <v>753</v>
      </c>
      <c r="G208" s="3" t="s">
        <v>753</v>
      </c>
      <c r="H208" s="3" t="s">
        <v>753</v>
      </c>
      <c r="I208" s="3" t="s">
        <v>753</v>
      </c>
      <c r="J208" s="3" t="s">
        <v>752</v>
      </c>
      <c r="K208" s="3" t="s">
        <v>754</v>
      </c>
      <c r="L208" s="3" t="s">
        <v>754</v>
      </c>
      <c r="M208" s="3" t="s">
        <v>754</v>
      </c>
      <c r="N208" s="3" t="s">
        <v>754</v>
      </c>
      <c r="O208" s="3" t="s">
        <v>754</v>
      </c>
      <c r="P208" s="3" t="s">
        <v>754</v>
      </c>
      <c r="Q208" s="3" t="s">
        <v>752</v>
      </c>
      <c r="R208" s="3" t="s">
        <v>755</v>
      </c>
      <c r="S208" s="3" t="s">
        <v>755</v>
      </c>
      <c r="T208" s="3" t="s">
        <v>755</v>
      </c>
      <c r="U208" s="3" t="s">
        <v>755</v>
      </c>
      <c r="V208" s="3" t="s">
        <v>755</v>
      </c>
      <c r="W208" s="3" t="s">
        <v>755</v>
      </c>
      <c r="X208" s="3" t="s">
        <v>752</v>
      </c>
      <c r="Y208" s="3" t="s">
        <v>756</v>
      </c>
      <c r="Z208" s="3" t="s">
        <v>756</v>
      </c>
      <c r="AA208" s="3" t="s">
        <v>756</v>
      </c>
      <c r="AB208" s="3" t="s">
        <v>756</v>
      </c>
      <c r="AC208" s="3" t="s">
        <v>756</v>
      </c>
      <c r="AD208" s="3" t="s">
        <v>756</v>
      </c>
      <c r="AE208" s="3" t="s">
        <v>752</v>
      </c>
      <c r="AF208" s="3" t="s">
        <v>757</v>
      </c>
      <c r="AG208" s="3" t="s">
        <v>757</v>
      </c>
      <c r="AH208" s="3" t="s">
        <v>757</v>
      </c>
      <c r="AI208" s="3" t="s">
        <v>757</v>
      </c>
      <c r="AJ208" s="3" t="s">
        <v>757</v>
      </c>
      <c r="AK208" s="3" t="s">
        <v>757</v>
      </c>
      <c r="AL208" s="3" t="s">
        <v>752</v>
      </c>
      <c r="AM208" s="3" t="s">
        <v>758</v>
      </c>
      <c r="AN208" s="3" t="s">
        <v>758</v>
      </c>
      <c r="AO208" s="3" t="s">
        <v>758</v>
      </c>
      <c r="AP208" s="3" t="s">
        <v>758</v>
      </c>
      <c r="AQ208" s="3" t="s">
        <v>758</v>
      </c>
      <c r="AR208" s="3" t="s">
        <v>758</v>
      </c>
      <c r="AS208" s="3" t="s">
        <v>758</v>
      </c>
      <c r="AT208" s="3" t="s">
        <v>1599</v>
      </c>
      <c r="AU208" s="3" t="s">
        <v>1599</v>
      </c>
      <c r="AV208" s="3" t="s">
        <v>1599</v>
      </c>
      <c r="AW208" s="3" t="s">
        <v>1599</v>
      </c>
      <c r="AX208" s="3" t="s">
        <v>1599</v>
      </c>
      <c r="AY208" s="3" t="s">
        <v>1599</v>
      </c>
      <c r="AZ208" s="3" t="s">
        <v>1599</v>
      </c>
      <c r="BA208" s="3" t="s">
        <v>1599</v>
      </c>
      <c r="BB208" s="3" t="s">
        <v>759</v>
      </c>
      <c r="BC208" s="3" t="s">
        <v>759</v>
      </c>
      <c r="BD208" s="3" t="s">
        <v>759</v>
      </c>
      <c r="BE208" s="3" t="s">
        <v>759</v>
      </c>
      <c r="BF208" s="3" t="s">
        <v>759</v>
      </c>
      <c r="BG208" s="3" t="s">
        <v>759</v>
      </c>
      <c r="BH208" s="3" t="s">
        <v>759</v>
      </c>
      <c r="BI208" s="3" t="s">
        <v>759</v>
      </c>
      <c r="BJ208" s="3" t="s">
        <v>1600</v>
      </c>
      <c r="BK208" s="3" t="s">
        <v>1600</v>
      </c>
      <c r="BL208" s="3" t="s">
        <v>1600</v>
      </c>
      <c r="BM208" s="3" t="s">
        <v>1600</v>
      </c>
      <c r="BN208" s="3" t="s">
        <v>1600</v>
      </c>
      <c r="BO208" s="3" t="s">
        <v>1600</v>
      </c>
      <c r="BP208" s="3" t="s">
        <v>1600</v>
      </c>
      <c r="BQ208" s="3" t="s">
        <v>760</v>
      </c>
      <c r="BR208" s="3" t="s">
        <v>760</v>
      </c>
      <c r="BS208" s="3" t="s">
        <v>760</v>
      </c>
      <c r="BT208" s="3" t="s">
        <v>760</v>
      </c>
      <c r="BU208" s="3" t="s">
        <v>760</v>
      </c>
      <c r="BV208" s="3" t="s">
        <v>760</v>
      </c>
      <c r="BW208" s="3" t="s">
        <v>760</v>
      </c>
      <c r="BX208" s="3" t="s">
        <v>760</v>
      </c>
      <c r="BY208" s="3" t="s">
        <v>1601</v>
      </c>
      <c r="BZ208" s="3" t="s">
        <v>1601</v>
      </c>
      <c r="CA208" s="3" t="s">
        <v>1601</v>
      </c>
      <c r="CB208" s="3" t="s">
        <v>1601</v>
      </c>
      <c r="CC208" s="3" t="s">
        <v>1601</v>
      </c>
      <c r="CD208" s="3" t="s">
        <v>1601</v>
      </c>
      <c r="CE208" s="3" t="s">
        <v>1601</v>
      </c>
      <c r="CF208" s="3" t="s">
        <v>1601</v>
      </c>
      <c r="CG208" s="3" t="s">
        <v>761</v>
      </c>
      <c r="CH208" s="3" t="s">
        <v>761</v>
      </c>
      <c r="CI208" s="3" t="s">
        <v>761</v>
      </c>
      <c r="CJ208" s="3" t="s">
        <v>761</v>
      </c>
      <c r="CK208" s="3" t="s">
        <v>761</v>
      </c>
      <c r="CL208" s="3" t="s">
        <v>761</v>
      </c>
      <c r="CM208" s="3" t="s">
        <v>761</v>
      </c>
      <c r="CN208" s="3" t="s">
        <v>761</v>
      </c>
      <c r="CO208" s="3" t="s">
        <v>1602</v>
      </c>
      <c r="CP208" s="3" t="s">
        <v>1602</v>
      </c>
      <c r="CQ208" s="3" t="s">
        <v>1602</v>
      </c>
      <c r="CR208" s="3" t="s">
        <v>1602</v>
      </c>
      <c r="CS208" s="3" t="s">
        <v>1602</v>
      </c>
      <c r="CT208" s="3" t="s">
        <v>1602</v>
      </c>
      <c r="CU208" s="3" t="s">
        <v>1602</v>
      </c>
      <c r="CV208" s="3" t="s">
        <v>1602</v>
      </c>
      <c r="CW208" s="3" t="s">
        <v>1602</v>
      </c>
      <c r="CX208" s="3" t="s">
        <v>1602</v>
      </c>
      <c r="CY208" s="3" t="s">
        <v>762</v>
      </c>
      <c r="CZ208" s="3" t="s">
        <v>762</v>
      </c>
      <c r="DA208" s="3" t="s">
        <v>762</v>
      </c>
      <c r="DB208" s="3" t="s">
        <v>762</v>
      </c>
      <c r="DC208" s="3" t="s">
        <v>762</v>
      </c>
      <c r="DD208" s="3" t="s">
        <v>762</v>
      </c>
      <c r="DE208" s="3" t="s">
        <v>762</v>
      </c>
      <c r="DF208" s="3" t="s">
        <v>762</v>
      </c>
      <c r="DG208" s="3" t="s">
        <v>1603</v>
      </c>
      <c r="DH208" s="3" t="s">
        <v>1603</v>
      </c>
      <c r="DI208" s="3" t="s">
        <v>1603</v>
      </c>
      <c r="DJ208" s="3" t="s">
        <v>1603</v>
      </c>
      <c r="DK208" s="3" t="s">
        <v>1603</v>
      </c>
      <c r="DL208" s="3" t="s">
        <v>1603</v>
      </c>
      <c r="DM208" s="3" t="s">
        <v>1603</v>
      </c>
      <c r="DN208" s="3" t="s">
        <v>1603</v>
      </c>
      <c r="DO208" s="3" t="s">
        <v>1603</v>
      </c>
      <c r="DP208" s="3" t="s">
        <v>763</v>
      </c>
      <c r="DQ208" s="3" t="s">
        <v>763</v>
      </c>
      <c r="DR208" s="3" t="s">
        <v>763</v>
      </c>
      <c r="DS208" s="3" t="s">
        <v>763</v>
      </c>
      <c r="DT208" s="3" t="s">
        <v>763</v>
      </c>
      <c r="DU208" s="3" t="s">
        <v>763</v>
      </c>
      <c r="DV208" s="3" t="s">
        <v>763</v>
      </c>
      <c r="DW208" s="3" t="s">
        <v>763</v>
      </c>
      <c r="DX208" s="3" t="s">
        <v>763</v>
      </c>
      <c r="DY208" s="3" t="s">
        <v>1604</v>
      </c>
      <c r="DZ208" s="3" t="s">
        <v>1604</v>
      </c>
      <c r="EA208" s="3" t="s">
        <v>1604</v>
      </c>
      <c r="EB208" s="3" t="s">
        <v>1604</v>
      </c>
      <c r="EC208" s="3" t="s">
        <v>1604</v>
      </c>
      <c r="ED208" s="3" t="s">
        <v>1604</v>
      </c>
      <c r="EE208" s="3" t="s">
        <v>1604</v>
      </c>
      <c r="EF208" s="3" t="s">
        <v>1604</v>
      </c>
      <c r="EG208" s="3" t="s">
        <v>764</v>
      </c>
      <c r="EH208" s="3" t="s">
        <v>764</v>
      </c>
      <c r="EI208" s="3" t="s">
        <v>764</v>
      </c>
      <c r="EJ208" s="3" t="s">
        <v>764</v>
      </c>
      <c r="EK208" s="3" t="s">
        <v>764</v>
      </c>
      <c r="EL208" s="3" t="s">
        <v>764</v>
      </c>
      <c r="EM208" s="3" t="s">
        <v>764</v>
      </c>
      <c r="EN208" s="3" t="s">
        <v>764</v>
      </c>
      <c r="EO208" s="3" t="s">
        <v>1605</v>
      </c>
      <c r="EP208" s="3" t="s">
        <v>1605</v>
      </c>
      <c r="EQ208" s="3" t="s">
        <v>1605</v>
      </c>
      <c r="ER208" s="3" t="s">
        <v>1605</v>
      </c>
      <c r="ES208" s="3" t="s">
        <v>1605</v>
      </c>
      <c r="ET208" s="3" t="s">
        <v>1605</v>
      </c>
      <c r="EU208" s="3" t="s">
        <v>765</v>
      </c>
      <c r="EV208" s="3" t="s">
        <v>765</v>
      </c>
      <c r="EW208" s="3" t="s">
        <v>765</v>
      </c>
      <c r="EX208" s="3" t="s">
        <v>765</v>
      </c>
      <c r="EY208" s="3" t="s">
        <v>765</v>
      </c>
      <c r="EZ208" s="3" t="s">
        <v>765</v>
      </c>
      <c r="FA208" s="3" t="s">
        <v>765</v>
      </c>
      <c r="FB208" s="3" t="s">
        <v>765</v>
      </c>
      <c r="FC208" s="3" t="s">
        <v>765</v>
      </c>
      <c r="FD208" s="3" t="s">
        <v>752</v>
      </c>
      <c r="FE208" s="3" t="s">
        <v>766</v>
      </c>
      <c r="FF208" s="3" t="s">
        <v>766</v>
      </c>
      <c r="FG208" s="3" t="s">
        <v>766</v>
      </c>
      <c r="FH208" s="3" t="s">
        <v>766</v>
      </c>
      <c r="FI208" s="3" t="s">
        <v>766</v>
      </c>
      <c r="FJ208" s="3" t="s">
        <v>766</v>
      </c>
      <c r="FK208" s="3" t="s">
        <v>766</v>
      </c>
      <c r="FL208" s="3" t="s">
        <v>1606</v>
      </c>
      <c r="FM208" s="3" t="s">
        <v>1606</v>
      </c>
      <c r="FN208" s="3" t="s">
        <v>1606</v>
      </c>
      <c r="FO208" s="3" t="s">
        <v>1606</v>
      </c>
      <c r="FP208" s="3" t="s">
        <v>1606</v>
      </c>
      <c r="FQ208" s="3" t="s">
        <v>1606</v>
      </c>
      <c r="FR208" s="3" t="s">
        <v>1606</v>
      </c>
      <c r="FS208" s="3" t="s">
        <v>1606</v>
      </c>
      <c r="FT208" s="3" t="s">
        <v>767</v>
      </c>
      <c r="FU208" s="3" t="s">
        <v>767</v>
      </c>
      <c r="FV208" s="3" t="s">
        <v>767</v>
      </c>
      <c r="FW208" s="3" t="s">
        <v>767</v>
      </c>
      <c r="FX208" s="3" t="s">
        <v>767</v>
      </c>
      <c r="FY208" s="3" t="s">
        <v>767</v>
      </c>
      <c r="FZ208" s="3" t="s">
        <v>767</v>
      </c>
      <c r="GA208" s="3" t="s">
        <v>767</v>
      </c>
      <c r="GB208" s="3" t="s">
        <v>1607</v>
      </c>
      <c r="GC208" s="3" t="s">
        <v>1607</v>
      </c>
      <c r="GD208" s="3" t="s">
        <v>1607</v>
      </c>
      <c r="GE208" s="3" t="s">
        <v>1607</v>
      </c>
      <c r="GF208" s="3" t="s">
        <v>1607</v>
      </c>
      <c r="GG208" s="3" t="s">
        <v>1607</v>
      </c>
      <c r="GH208" s="3" t="s">
        <v>1607</v>
      </c>
      <c r="GI208" s="3" t="s">
        <v>768</v>
      </c>
      <c r="GJ208" s="3" t="s">
        <v>768</v>
      </c>
      <c r="GK208" s="3" t="s">
        <v>768</v>
      </c>
      <c r="GL208" s="3" t="s">
        <v>768</v>
      </c>
      <c r="GM208" s="3" t="s">
        <v>768</v>
      </c>
      <c r="GN208" s="3" t="s">
        <v>768</v>
      </c>
      <c r="GO208" s="3" t="s">
        <v>768</v>
      </c>
      <c r="GP208" s="3" t="s">
        <v>768</v>
      </c>
      <c r="GQ208" s="3" t="s">
        <v>1608</v>
      </c>
      <c r="GR208" s="3" t="s">
        <v>1608</v>
      </c>
      <c r="GS208" s="3" t="s">
        <v>1608</v>
      </c>
      <c r="GT208" s="3" t="s">
        <v>1608</v>
      </c>
      <c r="GU208" s="3" t="s">
        <v>1608</v>
      </c>
      <c r="GV208" s="3" t="s">
        <v>1608</v>
      </c>
      <c r="GW208" s="3" t="s">
        <v>1608</v>
      </c>
      <c r="GX208" s="3" t="s">
        <v>1608</v>
      </c>
      <c r="GY208" s="3" t="s">
        <v>769</v>
      </c>
      <c r="GZ208" s="3" t="s">
        <v>769</v>
      </c>
      <c r="HA208" s="3" t="s">
        <v>769</v>
      </c>
      <c r="HB208" s="3" t="s">
        <v>769</v>
      </c>
      <c r="HC208" s="3" t="s">
        <v>769</v>
      </c>
      <c r="HD208" s="3" t="s">
        <v>769</v>
      </c>
      <c r="HE208" s="3" t="s">
        <v>769</v>
      </c>
      <c r="HF208" s="3" t="s">
        <v>769</v>
      </c>
      <c r="HG208" s="3" t="s">
        <v>1609</v>
      </c>
      <c r="HH208" s="3" t="s">
        <v>1609</v>
      </c>
      <c r="HI208" s="3" t="s">
        <v>1609</v>
      </c>
      <c r="HJ208" s="3" t="s">
        <v>1609</v>
      </c>
      <c r="HK208" s="3" t="s">
        <v>1609</v>
      </c>
      <c r="HL208" s="3" t="s">
        <v>1609</v>
      </c>
      <c r="HM208" s="3" t="s">
        <v>1609</v>
      </c>
      <c r="HN208" s="3" t="s">
        <v>1609</v>
      </c>
      <c r="HO208" s="3" t="s">
        <v>1609</v>
      </c>
      <c r="HP208" s="3" t="s">
        <v>1609</v>
      </c>
      <c r="HQ208" s="3" t="s">
        <v>770</v>
      </c>
      <c r="HR208" s="3" t="s">
        <v>770</v>
      </c>
      <c r="HS208" s="3" t="s">
        <v>770</v>
      </c>
      <c r="HT208" s="3" t="s">
        <v>770</v>
      </c>
      <c r="HU208" s="3" t="s">
        <v>770</v>
      </c>
      <c r="HV208" s="3" t="s">
        <v>770</v>
      </c>
      <c r="HW208" s="3" t="s">
        <v>770</v>
      </c>
      <c r="HX208" s="3" t="s">
        <v>1610</v>
      </c>
      <c r="HY208" s="3" t="s">
        <v>1610</v>
      </c>
      <c r="HZ208" s="3" t="s">
        <v>1610</v>
      </c>
      <c r="IA208" s="3" t="s">
        <v>1610</v>
      </c>
      <c r="IB208" s="3" t="s">
        <v>752</v>
      </c>
      <c r="IC208" s="3" t="s">
        <v>771</v>
      </c>
      <c r="ID208" s="3" t="s">
        <v>771</v>
      </c>
      <c r="IE208" s="3" t="s">
        <v>771</v>
      </c>
      <c r="IF208" s="3" t="s">
        <v>771</v>
      </c>
      <c r="IG208" s="3" t="s">
        <v>771</v>
      </c>
      <c r="IH208" s="3" t="s">
        <v>771</v>
      </c>
      <c r="II208" s="3" t="s">
        <v>771</v>
      </c>
      <c r="IJ208" s="3" t="s">
        <v>771</v>
      </c>
      <c r="IK208" s="3" t="s">
        <v>752</v>
      </c>
      <c r="IL208" s="3" t="s">
        <v>772</v>
      </c>
      <c r="IM208" s="3" t="s">
        <v>772</v>
      </c>
      <c r="IN208" s="3" t="s">
        <v>772</v>
      </c>
      <c r="IO208" s="3" t="s">
        <v>772</v>
      </c>
      <c r="IP208" s="3" t="s">
        <v>772</v>
      </c>
      <c r="IQ208" s="3" t="s">
        <v>772</v>
      </c>
      <c r="IR208" s="3" t="s">
        <v>772</v>
      </c>
      <c r="IS208" s="3" t="s">
        <v>773</v>
      </c>
      <c r="IT208" s="3" t="s">
        <v>774</v>
      </c>
      <c r="IU208" s="3" t="s">
        <v>775</v>
      </c>
      <c r="IV208" s="3" t="s">
        <v>776</v>
      </c>
      <c r="IW208" s="3" t="s">
        <v>776</v>
      </c>
      <c r="IX208" s="3" t="s">
        <v>777</v>
      </c>
      <c r="IY208" s="3" t="s">
        <v>778</v>
      </c>
      <c r="IZ208" s="3" t="s">
        <v>779</v>
      </c>
      <c r="JA208" s="3" t="s">
        <v>780</v>
      </c>
      <c r="JB208" s="3" t="s">
        <v>781</v>
      </c>
      <c r="JC208" s="3" t="s">
        <v>782</v>
      </c>
      <c r="JD208" s="3" t="s">
        <v>783</v>
      </c>
      <c r="JE208" s="3" t="s">
        <v>783</v>
      </c>
      <c r="JF208" s="3" t="s">
        <v>783</v>
      </c>
      <c r="JG208" s="3" t="s">
        <v>784</v>
      </c>
      <c r="JH208" s="3" t="s">
        <v>785</v>
      </c>
      <c r="JI208" s="3" t="s">
        <v>786</v>
      </c>
      <c r="JJ208" s="3" t="s">
        <v>787</v>
      </c>
      <c r="JK208" s="3" t="s">
        <v>788</v>
      </c>
      <c r="JL208" s="3" t="s">
        <v>789</v>
      </c>
      <c r="JM208" s="3" t="s">
        <v>790</v>
      </c>
      <c r="JN208" s="3" t="s">
        <v>791</v>
      </c>
      <c r="JO208" s="3" t="s">
        <v>792</v>
      </c>
      <c r="JP208" s="3" t="s">
        <v>793</v>
      </c>
      <c r="JQ208" s="3" t="s">
        <v>794</v>
      </c>
      <c r="JR208" s="3" t="s">
        <v>795</v>
      </c>
      <c r="JS208" s="3" t="s">
        <v>796</v>
      </c>
      <c r="JT208" s="3" t="s">
        <v>797</v>
      </c>
      <c r="JU208" s="3" t="s">
        <v>798</v>
      </c>
      <c r="JV208" s="3" t="s">
        <v>799</v>
      </c>
      <c r="JW208" s="3" t="s">
        <v>799</v>
      </c>
      <c r="JX208" s="3" t="s">
        <v>799</v>
      </c>
      <c r="JY208" s="3" t="s">
        <v>800</v>
      </c>
      <c r="JZ208" s="3" t="s">
        <v>800</v>
      </c>
      <c r="KA208" s="3" t="s">
        <v>801</v>
      </c>
      <c r="KB208" s="3" t="s">
        <v>801</v>
      </c>
      <c r="KC208" s="3" t="s">
        <v>802</v>
      </c>
      <c r="KD208" s="3" t="s">
        <v>802</v>
      </c>
      <c r="KE208" s="3" t="s">
        <v>803</v>
      </c>
      <c r="KF208" s="3" t="s">
        <v>803</v>
      </c>
      <c r="KG208" s="3" t="s">
        <v>804</v>
      </c>
      <c r="KH208" s="3" t="s">
        <v>804</v>
      </c>
      <c r="KI208" s="3" t="s">
        <v>805</v>
      </c>
      <c r="KJ208" s="3" t="s">
        <v>805</v>
      </c>
      <c r="KK208" s="3" t="s">
        <v>806</v>
      </c>
      <c r="KL208" s="3" t="s">
        <v>806</v>
      </c>
      <c r="KM208" s="3" t="s">
        <v>807</v>
      </c>
      <c r="KN208" s="3" t="s">
        <v>807</v>
      </c>
      <c r="KO208" s="3" t="s">
        <v>808</v>
      </c>
      <c r="KP208" s="3" t="s">
        <v>808</v>
      </c>
      <c r="KQ208" s="3" t="s">
        <v>809</v>
      </c>
      <c r="KR208" s="3" t="s">
        <v>809</v>
      </c>
      <c r="KS208" s="3" t="s">
        <v>810</v>
      </c>
      <c r="KT208" s="3" t="s">
        <v>810</v>
      </c>
      <c r="KU208" s="3" t="s">
        <v>811</v>
      </c>
      <c r="KV208" s="3" t="s">
        <v>811</v>
      </c>
      <c r="KW208" s="3" t="s">
        <v>812</v>
      </c>
      <c r="KX208" s="3" t="s">
        <v>812</v>
      </c>
      <c r="KY208" s="3" t="s">
        <v>813</v>
      </c>
      <c r="KZ208" s="3" t="s">
        <v>813</v>
      </c>
      <c r="LA208" s="3" t="s">
        <v>814</v>
      </c>
      <c r="LB208" s="3" t="s">
        <v>814</v>
      </c>
      <c r="LC208" s="3" t="s">
        <v>815</v>
      </c>
      <c r="LD208" s="3" t="s">
        <v>815</v>
      </c>
      <c r="LE208" s="3" t="s">
        <v>816</v>
      </c>
      <c r="LF208" s="3" t="s">
        <v>816</v>
      </c>
      <c r="LG208" s="3" t="s">
        <v>817</v>
      </c>
      <c r="LH208" s="3" t="s">
        <v>817</v>
      </c>
      <c r="LI208" s="3" t="s">
        <v>818</v>
      </c>
      <c r="LJ208" s="3" t="s">
        <v>818</v>
      </c>
      <c r="LK208" s="3" t="s">
        <v>819</v>
      </c>
      <c r="LL208" s="3" t="s">
        <v>819</v>
      </c>
      <c r="LM208" s="3" t="s">
        <v>820</v>
      </c>
      <c r="LN208" s="3" t="s">
        <v>820</v>
      </c>
      <c r="LO208" s="3" t="s">
        <v>821</v>
      </c>
      <c r="LP208" s="3" t="s">
        <v>821</v>
      </c>
      <c r="LQ208" s="3" t="s">
        <v>822</v>
      </c>
      <c r="LR208" s="3" t="s">
        <v>823</v>
      </c>
      <c r="LS208" s="3" t="s">
        <v>824</v>
      </c>
      <c r="LT208" s="3" t="s">
        <v>825</v>
      </c>
      <c r="LU208" s="3" t="s">
        <v>826</v>
      </c>
      <c r="LV208" s="3" t="s">
        <v>827</v>
      </c>
      <c r="LW208" s="3" t="s">
        <v>828</v>
      </c>
      <c r="LX208" s="3" t="s">
        <v>829</v>
      </c>
      <c r="LY208" s="3" t="s">
        <v>830</v>
      </c>
      <c r="LZ208" s="3" t="s">
        <v>831</v>
      </c>
      <c r="MA208" s="3" t="s">
        <v>832</v>
      </c>
      <c r="MB208" s="3" t="s">
        <v>833</v>
      </c>
      <c r="MC208" s="3" t="s">
        <v>834</v>
      </c>
      <c r="MD208" s="3" t="s">
        <v>835</v>
      </c>
      <c r="ME208" s="3" t="s">
        <v>836</v>
      </c>
      <c r="MF208" s="3" t="s">
        <v>837</v>
      </c>
      <c r="MG208" s="3" t="s">
        <v>838</v>
      </c>
      <c r="MH208" s="3" t="s">
        <v>838</v>
      </c>
      <c r="MI208" s="3" t="s">
        <v>839</v>
      </c>
      <c r="MJ208" s="3" t="s">
        <v>840</v>
      </c>
      <c r="MK208" s="3" t="s">
        <v>840</v>
      </c>
      <c r="ML208" s="3" t="s">
        <v>840</v>
      </c>
      <c r="MM208" s="3" t="s">
        <v>840</v>
      </c>
      <c r="MN208" s="3" t="s">
        <v>840</v>
      </c>
      <c r="MO208" s="3" t="s">
        <v>840</v>
      </c>
      <c r="MP208" s="3" t="s">
        <v>840</v>
      </c>
      <c r="MQ208" s="3" t="s">
        <v>840</v>
      </c>
      <c r="MR208" s="3" t="s">
        <v>840</v>
      </c>
      <c r="MS208" s="3" t="s">
        <v>841</v>
      </c>
      <c r="MT208" s="3" t="s">
        <v>842</v>
      </c>
      <c r="MU208" s="3" t="s">
        <v>842</v>
      </c>
      <c r="MV208" s="3" t="s">
        <v>842</v>
      </c>
      <c r="MW208" s="3" t="s">
        <v>842</v>
      </c>
      <c r="MX208" s="3" t="s">
        <v>842</v>
      </c>
      <c r="MY208" s="3" t="s">
        <v>842</v>
      </c>
      <c r="MZ208" s="3" t="s">
        <v>842</v>
      </c>
      <c r="NA208" s="3" t="s">
        <v>842</v>
      </c>
      <c r="NB208" s="3" t="s">
        <v>842</v>
      </c>
      <c r="NC208" s="3" t="s">
        <v>843</v>
      </c>
      <c r="ND208" s="3" t="s">
        <v>844</v>
      </c>
      <c r="NE208" s="3" t="s">
        <v>844</v>
      </c>
      <c r="NF208" s="3" t="s">
        <v>844</v>
      </c>
      <c r="NG208" s="3" t="s">
        <v>844</v>
      </c>
      <c r="NH208" s="3" t="s">
        <v>844</v>
      </c>
      <c r="NI208" s="3" t="s">
        <v>844</v>
      </c>
      <c r="NJ208" s="3" t="s">
        <v>844</v>
      </c>
      <c r="NK208" s="3" t="s">
        <v>844</v>
      </c>
      <c r="NL208" s="3" t="s">
        <v>844</v>
      </c>
      <c r="NM208" s="3" t="s">
        <v>845</v>
      </c>
      <c r="NN208" s="3" t="s">
        <v>845</v>
      </c>
      <c r="NO208" s="3" t="s">
        <v>846</v>
      </c>
      <c r="NP208" s="3" t="s">
        <v>847</v>
      </c>
      <c r="NQ208" s="3" t="s">
        <v>847</v>
      </c>
      <c r="NR208" s="3" t="s">
        <v>848</v>
      </c>
      <c r="NS208" s="3" t="s">
        <v>848</v>
      </c>
      <c r="NT208" s="3" t="s">
        <v>849</v>
      </c>
      <c r="NU208" s="3" t="s">
        <v>850</v>
      </c>
      <c r="NV208" s="3" t="s">
        <v>851</v>
      </c>
      <c r="NW208" s="3" t="s">
        <v>852</v>
      </c>
      <c r="NX208" s="3" t="s">
        <v>853</v>
      </c>
      <c r="NY208" s="3" t="s">
        <v>854</v>
      </c>
      <c r="NZ208" s="3" t="s">
        <v>855</v>
      </c>
      <c r="OA208" s="3" t="s">
        <v>856</v>
      </c>
      <c r="OB208" s="3" t="s">
        <v>857</v>
      </c>
      <c r="OC208" s="3" t="s">
        <v>858</v>
      </c>
      <c r="OD208" s="3" t="s">
        <v>859</v>
      </c>
      <c r="OE208" s="3" t="s">
        <v>860</v>
      </c>
      <c r="OF208" s="3" t="s">
        <v>861</v>
      </c>
      <c r="OG208" s="3" t="s">
        <v>862</v>
      </c>
      <c r="OH208" s="3" t="s">
        <v>863</v>
      </c>
      <c r="OI208" s="3" t="s">
        <v>864</v>
      </c>
      <c r="OJ208" s="3" t="s">
        <v>865</v>
      </c>
      <c r="OK208" s="3" t="s">
        <v>866</v>
      </c>
      <c r="OL208" s="3" t="s">
        <v>867</v>
      </c>
      <c r="OM208" s="3" t="s">
        <v>868</v>
      </c>
      <c r="ON208" s="3" t="s">
        <v>869</v>
      </c>
      <c r="OO208" s="3" t="s">
        <v>870</v>
      </c>
      <c r="OP208" s="3" t="s">
        <v>871</v>
      </c>
      <c r="OQ208" s="3" t="s">
        <v>872</v>
      </c>
      <c r="OR208" s="3" t="s">
        <v>873</v>
      </c>
      <c r="OS208" s="3" t="s">
        <v>874</v>
      </c>
      <c r="OT208" s="3" t="s">
        <v>875</v>
      </c>
      <c r="OU208" s="3" t="s">
        <v>876</v>
      </c>
      <c r="OV208" s="3" t="s">
        <v>877</v>
      </c>
      <c r="OW208" s="3" t="s">
        <v>878</v>
      </c>
      <c r="OX208" s="3" t="s">
        <v>879</v>
      </c>
      <c r="OY208" s="3" t="s">
        <v>880</v>
      </c>
      <c r="OZ208" s="3" t="s">
        <v>881</v>
      </c>
      <c r="PA208" s="3" t="s">
        <v>882</v>
      </c>
      <c r="PB208" s="3" t="s">
        <v>883</v>
      </c>
      <c r="PC208" s="3" t="s">
        <v>884</v>
      </c>
      <c r="PD208" s="3" t="s">
        <v>885</v>
      </c>
      <c r="PE208" s="3" t="s">
        <v>886</v>
      </c>
      <c r="PF208" s="3" t="s">
        <v>887</v>
      </c>
      <c r="PG208" s="3" t="s">
        <v>888</v>
      </c>
      <c r="PH208" s="3" t="s">
        <v>889</v>
      </c>
      <c r="PI208" s="3" t="s">
        <v>890</v>
      </c>
      <c r="PJ208" s="3" t="s">
        <v>891</v>
      </c>
      <c r="PK208" s="3" t="s">
        <v>892</v>
      </c>
      <c r="PL208" s="3" t="s">
        <v>893</v>
      </c>
      <c r="PM208" s="3" t="s">
        <v>894</v>
      </c>
      <c r="PN208" s="3" t="s">
        <v>895</v>
      </c>
      <c r="PO208" s="3" t="s">
        <v>896</v>
      </c>
      <c r="PP208" s="3" t="s">
        <v>897</v>
      </c>
      <c r="PQ208" s="3" t="s">
        <v>898</v>
      </c>
      <c r="PR208" s="3" t="s">
        <v>899</v>
      </c>
      <c r="PS208" s="3" t="s">
        <v>900</v>
      </c>
      <c r="PT208" s="3" t="s">
        <v>901</v>
      </c>
      <c r="PU208" s="3" t="s">
        <v>902</v>
      </c>
      <c r="PV208" s="3" t="s">
        <v>903</v>
      </c>
      <c r="PW208" s="3" t="s">
        <v>904</v>
      </c>
      <c r="PX208" s="3" t="s">
        <v>905</v>
      </c>
      <c r="PY208" s="3" t="s">
        <v>906</v>
      </c>
      <c r="PZ208" s="3" t="s">
        <v>907</v>
      </c>
      <c r="QA208" s="3" t="s">
        <v>908</v>
      </c>
      <c r="QB208" s="3" t="s">
        <v>909</v>
      </c>
      <c r="QC208" s="3" t="s">
        <v>909</v>
      </c>
      <c r="QD208" s="3" t="s">
        <v>910</v>
      </c>
      <c r="QE208" s="3" t="s">
        <v>911</v>
      </c>
      <c r="QF208" s="3" t="s">
        <v>912</v>
      </c>
      <c r="QG208" s="3" t="s">
        <v>913</v>
      </c>
      <c r="QH208" s="3" t="s">
        <v>914</v>
      </c>
      <c r="QI208" s="3" t="s">
        <v>915</v>
      </c>
      <c r="QJ208" s="3" t="s">
        <v>916</v>
      </c>
      <c r="QK208" s="3" t="s">
        <v>917</v>
      </c>
      <c r="QL208" s="3" t="s">
        <v>918</v>
      </c>
      <c r="QM208" s="3" t="s">
        <v>919</v>
      </c>
      <c r="QN208" s="3" t="s">
        <v>920</v>
      </c>
      <c r="QO208" s="3" t="s">
        <v>921</v>
      </c>
      <c r="QP208" s="3" t="s">
        <v>922</v>
      </c>
      <c r="QQ208" s="3" t="s">
        <v>923</v>
      </c>
      <c r="QR208" s="3" t="s">
        <v>924</v>
      </c>
      <c r="QS208" s="3" t="s">
        <v>925</v>
      </c>
      <c r="QT208" s="3" t="s">
        <v>926</v>
      </c>
      <c r="QU208" s="3" t="s">
        <v>927</v>
      </c>
      <c r="QV208" s="3" t="s">
        <v>927</v>
      </c>
      <c r="QW208" s="3" t="s">
        <v>928</v>
      </c>
      <c r="QX208" s="3" t="s">
        <v>928</v>
      </c>
      <c r="QY208" s="3" t="s">
        <v>928</v>
      </c>
      <c r="QZ208" s="3" t="s">
        <v>928</v>
      </c>
      <c r="RA208" s="3" t="s">
        <v>928</v>
      </c>
      <c r="RB208" s="3" t="s">
        <v>928</v>
      </c>
      <c r="RC208" s="3" t="s">
        <v>928</v>
      </c>
      <c r="RD208" s="3" t="s">
        <v>928</v>
      </c>
      <c r="RE208" s="3" t="s">
        <v>929</v>
      </c>
      <c r="RF208" s="3" t="s">
        <v>929</v>
      </c>
      <c r="RG208" s="3" t="s">
        <v>929</v>
      </c>
      <c r="RH208" s="3" t="s">
        <v>929</v>
      </c>
      <c r="RI208" s="3" t="s">
        <v>929</v>
      </c>
      <c r="RJ208" s="3" t="s">
        <v>929</v>
      </c>
      <c r="RK208" s="3" t="s">
        <v>929</v>
      </c>
      <c r="RL208" s="3" t="s">
        <v>929</v>
      </c>
      <c r="RM208" s="3" t="s">
        <v>929</v>
      </c>
      <c r="RN208" s="3" t="s">
        <v>929</v>
      </c>
      <c r="RO208" s="3" t="s">
        <v>929</v>
      </c>
      <c r="RP208" s="3" t="s">
        <v>929</v>
      </c>
      <c r="RQ208" s="3" t="s">
        <v>929</v>
      </c>
      <c r="RR208" s="3" t="s">
        <v>930</v>
      </c>
      <c r="RS208" s="3" t="s">
        <v>752</v>
      </c>
      <c r="RT208" s="3" t="s">
        <v>772</v>
      </c>
      <c r="RU208" s="3" t="s">
        <v>772</v>
      </c>
      <c r="RV208" s="3" t="s">
        <v>772</v>
      </c>
      <c r="RW208" s="3" t="s">
        <v>772</v>
      </c>
      <c r="RX208" s="3" t="s">
        <v>772</v>
      </c>
      <c r="RY208" s="3" t="s">
        <v>772</v>
      </c>
      <c r="RZ208" s="3" t="s">
        <v>772</v>
      </c>
      <c r="SA208" s="3" t="s">
        <v>848</v>
      </c>
      <c r="SB208" s="3" t="s">
        <v>848</v>
      </c>
      <c r="SC208" s="3" t="s">
        <v>849</v>
      </c>
      <c r="SD208" s="3" t="s">
        <v>850</v>
      </c>
      <c r="SE208" s="3" t="s">
        <v>851</v>
      </c>
      <c r="SF208" s="3" t="s">
        <v>852</v>
      </c>
      <c r="SG208" s="3" t="s">
        <v>853</v>
      </c>
      <c r="SH208" s="3" t="s">
        <v>854</v>
      </c>
      <c r="SI208" s="3" t="s">
        <v>855</v>
      </c>
      <c r="SJ208" s="3" t="s">
        <v>856</v>
      </c>
      <c r="SK208" s="3" t="s">
        <v>857</v>
      </c>
      <c r="SL208" s="3" t="s">
        <v>858</v>
      </c>
      <c r="SM208" s="3" t="s">
        <v>859</v>
      </c>
      <c r="SN208" s="3" t="s">
        <v>860</v>
      </c>
      <c r="SO208" s="3" t="s">
        <v>861</v>
      </c>
      <c r="SP208" s="3" t="s">
        <v>862</v>
      </c>
      <c r="SQ208" s="3" t="s">
        <v>863</v>
      </c>
      <c r="SR208" s="3" t="s">
        <v>864</v>
      </c>
      <c r="SS208" s="3" t="s">
        <v>865</v>
      </c>
      <c r="ST208" s="3" t="s">
        <v>866</v>
      </c>
      <c r="SU208" s="3" t="s">
        <v>867</v>
      </c>
      <c r="SV208" s="3" t="s">
        <v>868</v>
      </c>
      <c r="SW208" s="3" t="s">
        <v>869</v>
      </c>
      <c r="SX208" s="3" t="s">
        <v>870</v>
      </c>
      <c r="SY208" s="3" t="s">
        <v>871</v>
      </c>
      <c r="SZ208" s="3" t="s">
        <v>872</v>
      </c>
      <c r="TA208" s="3" t="s">
        <v>873</v>
      </c>
      <c r="TB208" s="3" t="s">
        <v>874</v>
      </c>
      <c r="TC208" s="3" t="s">
        <v>875</v>
      </c>
      <c r="TD208" s="3" t="s">
        <v>876</v>
      </c>
      <c r="TE208" s="3" t="s">
        <v>877</v>
      </c>
      <c r="TF208" s="3" t="s">
        <v>879</v>
      </c>
      <c r="TG208" s="3" t="s">
        <v>880</v>
      </c>
      <c r="TH208" s="3" t="s">
        <v>881</v>
      </c>
      <c r="TI208" s="3" t="s">
        <v>882</v>
      </c>
      <c r="TJ208" s="3" t="s">
        <v>883</v>
      </c>
      <c r="TK208" s="3" t="s">
        <v>884</v>
      </c>
      <c r="TL208" s="3" t="s">
        <v>885</v>
      </c>
      <c r="TM208" s="3" t="s">
        <v>886</v>
      </c>
      <c r="TN208" s="3" t="s">
        <v>887</v>
      </c>
      <c r="TO208" s="3" t="s">
        <v>888</v>
      </c>
      <c r="TP208" s="3" t="s">
        <v>889</v>
      </c>
      <c r="TQ208" s="3" t="s">
        <v>890</v>
      </c>
      <c r="TR208" s="3" t="s">
        <v>891</v>
      </c>
      <c r="TS208" s="3" t="s">
        <v>892</v>
      </c>
      <c r="TT208" s="3" t="s">
        <v>893</v>
      </c>
      <c r="TU208" s="3" t="s">
        <v>894</v>
      </c>
      <c r="TV208" s="3" t="s">
        <v>895</v>
      </c>
      <c r="TW208" s="3" t="s">
        <v>896</v>
      </c>
      <c r="TX208" s="3" t="s">
        <v>897</v>
      </c>
      <c r="TY208" s="3" t="s">
        <v>898</v>
      </c>
      <c r="TZ208" s="3" t="s">
        <v>899</v>
      </c>
      <c r="UA208" s="3" t="s">
        <v>900</v>
      </c>
      <c r="UB208" s="3" t="s">
        <v>901</v>
      </c>
      <c r="UC208" s="3" t="s">
        <v>902</v>
      </c>
      <c r="UD208" s="3" t="s">
        <v>903</v>
      </c>
      <c r="UE208" s="3" t="s">
        <v>904</v>
      </c>
      <c r="UF208" s="3" t="s">
        <v>905</v>
      </c>
      <c r="UG208" s="3" t="s">
        <v>906</v>
      </c>
      <c r="UH208" s="3" t="s">
        <v>907</v>
      </c>
      <c r="UI208" s="3" t="s">
        <v>908</v>
      </c>
      <c r="UJ208" s="3" t="s">
        <v>909</v>
      </c>
      <c r="UK208" s="3" t="s">
        <v>909</v>
      </c>
      <c r="UL208" s="3" t="s">
        <v>910</v>
      </c>
      <c r="UM208" s="3" t="s">
        <v>911</v>
      </c>
      <c r="UN208" s="3" t="s">
        <v>912</v>
      </c>
      <c r="UO208" s="3" t="s">
        <v>913</v>
      </c>
      <c r="UP208" s="3" t="s">
        <v>914</v>
      </c>
      <c r="UQ208" s="3" t="s">
        <v>915</v>
      </c>
      <c r="UR208" s="3" t="s">
        <v>916</v>
      </c>
      <c r="US208" s="3" t="s">
        <v>917</v>
      </c>
      <c r="UT208" s="3" t="s">
        <v>918</v>
      </c>
      <c r="UU208" s="3" t="s">
        <v>919</v>
      </c>
      <c r="UV208" s="3" t="s">
        <v>920</v>
      </c>
      <c r="UW208" s="3" t="s">
        <v>921</v>
      </c>
      <c r="UX208" s="3" t="s">
        <v>922</v>
      </c>
      <c r="UY208" s="3" t="s">
        <v>923</v>
      </c>
      <c r="UZ208" s="3" t="s">
        <v>924</v>
      </c>
      <c r="VA208" s="3" t="s">
        <v>925</v>
      </c>
      <c r="VB208" s="3" t="s">
        <v>926</v>
      </c>
      <c r="VC208" s="3" t="s">
        <v>927</v>
      </c>
      <c r="VD208" s="3" t="s">
        <v>927</v>
      </c>
      <c r="VE208" s="3" t="s">
        <v>928</v>
      </c>
      <c r="VF208" s="3" t="s">
        <v>928</v>
      </c>
      <c r="VG208" s="3" t="s">
        <v>928</v>
      </c>
      <c r="VH208" s="3" t="s">
        <v>928</v>
      </c>
      <c r="VI208" s="3" t="s">
        <v>928</v>
      </c>
      <c r="VJ208" s="3" t="s">
        <v>928</v>
      </c>
      <c r="VK208" s="3" t="s">
        <v>928</v>
      </c>
      <c r="VL208" s="3" t="s">
        <v>928</v>
      </c>
      <c r="VM208" s="3" t="s">
        <v>928</v>
      </c>
      <c r="VN208" s="3" t="s">
        <v>929</v>
      </c>
      <c r="VO208" s="3" t="s">
        <v>929</v>
      </c>
      <c r="VP208" s="3" t="s">
        <v>929</v>
      </c>
      <c r="VQ208" s="3" t="s">
        <v>929</v>
      </c>
      <c r="VR208" s="3" t="s">
        <v>929</v>
      </c>
      <c r="VS208" s="3" t="s">
        <v>929</v>
      </c>
      <c r="VT208" s="3" t="s">
        <v>929</v>
      </c>
      <c r="VU208" s="3" t="s">
        <v>929</v>
      </c>
      <c r="VV208" s="3" t="s">
        <v>929</v>
      </c>
      <c r="VW208" s="3" t="s">
        <v>929</v>
      </c>
      <c r="VX208" s="3" t="s">
        <v>929</v>
      </c>
      <c r="VY208" s="3" t="s">
        <v>929</v>
      </c>
      <c r="VZ208" s="3" t="s">
        <v>929</v>
      </c>
      <c r="WA208" s="3" t="s">
        <v>928</v>
      </c>
      <c r="WB208" s="3" t="s">
        <v>929</v>
      </c>
      <c r="WC208" s="3" t="s">
        <v>930</v>
      </c>
      <c r="WD208" s="3" t="s">
        <v>930</v>
      </c>
      <c r="WE208" s="3" t="s">
        <v>931</v>
      </c>
      <c r="WF208" s="3" t="s">
        <v>932</v>
      </c>
      <c r="WG208" s="3" t="s">
        <v>933</v>
      </c>
      <c r="WH208" s="3" t="s">
        <v>934</v>
      </c>
      <c r="WI208" s="3" t="s">
        <v>935</v>
      </c>
      <c r="WJ208" s="3" t="s">
        <v>936</v>
      </c>
      <c r="WK208" s="3" t="s">
        <v>937</v>
      </c>
      <c r="WL208" s="3" t="s">
        <v>938</v>
      </c>
      <c r="WM208" s="3" t="s">
        <v>939</v>
      </c>
      <c r="WN208" s="3" t="s">
        <v>940</v>
      </c>
      <c r="WO208" s="3" t="s">
        <v>941</v>
      </c>
      <c r="WP208" s="3" t="s">
        <v>940</v>
      </c>
      <c r="WQ208" s="3" t="s">
        <v>942</v>
      </c>
      <c r="WR208" s="3" t="s">
        <v>940</v>
      </c>
      <c r="WS208" s="3" t="s">
        <v>943</v>
      </c>
      <c r="WT208" s="3" t="s">
        <v>944</v>
      </c>
      <c r="WU208" s="3" t="s">
        <v>945</v>
      </c>
      <c r="WV208" s="3" t="s">
        <v>946</v>
      </c>
      <c r="WW208" s="3" t="s">
        <v>947</v>
      </c>
      <c r="WX208" s="3" t="s">
        <v>948</v>
      </c>
      <c r="WY208" s="3" t="s">
        <v>949</v>
      </c>
      <c r="WZ208" s="3" t="s">
        <v>950</v>
      </c>
      <c r="XA208" s="3" t="s">
        <v>951</v>
      </c>
      <c r="XB208" s="3" t="s">
        <v>952</v>
      </c>
      <c r="XC208" s="3" t="s">
        <v>953</v>
      </c>
      <c r="XD208" s="3" t="s">
        <v>954</v>
      </c>
      <c r="XE208" s="3" t="s">
        <v>955</v>
      </c>
      <c r="XF208" s="3" t="s">
        <v>956</v>
      </c>
      <c r="XG208" s="3" t="s">
        <v>957</v>
      </c>
      <c r="XH208" s="3" t="s">
        <v>958</v>
      </c>
      <c r="XI208" s="3" t="s">
        <v>959</v>
      </c>
      <c r="XJ208" s="3" t="s">
        <v>928</v>
      </c>
      <c r="XK208" s="3" t="s">
        <v>928</v>
      </c>
      <c r="XL208" s="3" t="s">
        <v>928</v>
      </c>
      <c r="XM208" s="3" t="s">
        <v>928</v>
      </c>
      <c r="XN208" s="3" t="s">
        <v>928</v>
      </c>
      <c r="XO208" s="3" t="s">
        <v>928</v>
      </c>
      <c r="XP208" s="3" t="s">
        <v>928</v>
      </c>
      <c r="XQ208" s="3" t="s">
        <v>928</v>
      </c>
      <c r="XR208" s="3" t="s">
        <v>928</v>
      </c>
      <c r="XS208" s="3" t="s">
        <v>929</v>
      </c>
      <c r="XT208" s="3" t="s">
        <v>929</v>
      </c>
      <c r="XU208" s="3" t="s">
        <v>929</v>
      </c>
      <c r="XV208" s="3" t="s">
        <v>929</v>
      </c>
      <c r="XW208" s="3" t="s">
        <v>929</v>
      </c>
      <c r="XX208" s="3" t="s">
        <v>929</v>
      </c>
      <c r="XY208" s="3" t="s">
        <v>929</v>
      </c>
      <c r="XZ208" s="3" t="s">
        <v>1617</v>
      </c>
      <c r="YA208" s="3" t="s">
        <v>1617</v>
      </c>
      <c r="YB208" s="3" t="s">
        <v>1617</v>
      </c>
      <c r="YC208" s="3" t="s">
        <v>1617</v>
      </c>
      <c r="YD208" s="3" t="s">
        <v>1617</v>
      </c>
      <c r="YE208" s="3" t="s">
        <v>1617</v>
      </c>
      <c r="YF208" s="3" t="s">
        <v>930</v>
      </c>
      <c r="YG208" s="3" t="s">
        <v>930</v>
      </c>
      <c r="YH208" s="3" t="s">
        <v>930</v>
      </c>
      <c r="YI208" s="3" t="s">
        <v>930</v>
      </c>
      <c r="YJ208" s="3" t="s">
        <v>930</v>
      </c>
      <c r="YK208" s="3" t="s">
        <v>930</v>
      </c>
      <c r="YL208" s="3" t="s">
        <v>930</v>
      </c>
      <c r="YM208" s="3" t="s">
        <v>930</v>
      </c>
      <c r="YN208" s="3" t="s">
        <v>930</v>
      </c>
      <c r="YO208" s="3" t="s">
        <v>931</v>
      </c>
      <c r="YP208" s="3" t="s">
        <v>931</v>
      </c>
      <c r="YQ208" s="3" t="s">
        <v>931</v>
      </c>
      <c r="YR208" s="3" t="s">
        <v>931</v>
      </c>
      <c r="YS208" s="3" t="s">
        <v>931</v>
      </c>
      <c r="YT208" s="3" t="s">
        <v>931</v>
      </c>
      <c r="YU208" s="3" t="s">
        <v>1616</v>
      </c>
      <c r="YV208" s="3" t="s">
        <v>1616</v>
      </c>
      <c r="YW208" s="3" t="s">
        <v>1616</v>
      </c>
      <c r="YX208" s="3" t="s">
        <v>1616</v>
      </c>
      <c r="YY208" s="3" t="s">
        <v>1616</v>
      </c>
      <c r="YZ208" s="3" t="s">
        <v>1616</v>
      </c>
      <c r="ZA208" s="3" t="s">
        <v>1616</v>
      </c>
      <c r="ZB208" s="3" t="s">
        <v>960</v>
      </c>
      <c r="ZC208" s="3" t="s">
        <v>960</v>
      </c>
      <c r="ZD208" s="3" t="s">
        <v>960</v>
      </c>
      <c r="ZE208" s="3" t="s">
        <v>960</v>
      </c>
      <c r="ZF208" s="3" t="s">
        <v>960</v>
      </c>
      <c r="ZG208" s="3" t="s">
        <v>960</v>
      </c>
      <c r="ZH208" s="3" t="s">
        <v>960</v>
      </c>
      <c r="ZI208" s="3" t="s">
        <v>960</v>
      </c>
      <c r="ZJ208" s="3" t="s">
        <v>960</v>
      </c>
      <c r="ZK208" s="3" t="s">
        <v>960</v>
      </c>
      <c r="ZL208" s="3" t="s">
        <v>1611</v>
      </c>
      <c r="ZM208" s="3" t="s">
        <v>1611</v>
      </c>
      <c r="ZN208" s="3" t="s">
        <v>1611</v>
      </c>
      <c r="ZO208" s="3" t="s">
        <v>1611</v>
      </c>
      <c r="ZP208" s="3" t="s">
        <v>1611</v>
      </c>
      <c r="ZQ208" s="3" t="s">
        <v>1611</v>
      </c>
      <c r="ZR208" s="3" t="s">
        <v>1611</v>
      </c>
      <c r="ZS208" s="3" t="s">
        <v>1611</v>
      </c>
      <c r="ZT208" s="3" t="s">
        <v>1611</v>
      </c>
      <c r="ZU208" s="3" t="s">
        <v>961</v>
      </c>
      <c r="ZV208" s="3" t="s">
        <v>961</v>
      </c>
      <c r="ZW208" s="3" t="s">
        <v>961</v>
      </c>
      <c r="ZX208" s="3" t="s">
        <v>961</v>
      </c>
      <c r="ZY208" s="3" t="s">
        <v>961</v>
      </c>
      <c r="ZZ208" s="3" t="s">
        <v>961</v>
      </c>
      <c r="AAA208" s="3" t="s">
        <v>961</v>
      </c>
      <c r="AAB208" s="3" t="s">
        <v>961</v>
      </c>
      <c r="AAC208" s="3" t="s">
        <v>961</v>
      </c>
      <c r="AAD208" s="3" t="s">
        <v>1612</v>
      </c>
      <c r="AAE208" s="3" t="s">
        <v>1612</v>
      </c>
      <c r="AAF208" s="3" t="s">
        <v>1612</v>
      </c>
      <c r="AAG208" s="3" t="s">
        <v>1612</v>
      </c>
      <c r="AAH208" s="3" t="s">
        <v>1612</v>
      </c>
      <c r="AAI208" s="3" t="s">
        <v>1612</v>
      </c>
      <c r="AAJ208" s="3" t="s">
        <v>1612</v>
      </c>
      <c r="AAK208" s="3" t="s">
        <v>1612</v>
      </c>
      <c r="AAL208" s="3" t="s">
        <v>752</v>
      </c>
      <c r="AAM208" s="3" t="s">
        <v>933</v>
      </c>
      <c r="AAN208" s="3" t="s">
        <v>933</v>
      </c>
      <c r="AAO208" s="3" t="s">
        <v>933</v>
      </c>
      <c r="AAP208" s="3" t="s">
        <v>933</v>
      </c>
      <c r="AAQ208" s="3" t="s">
        <v>933</v>
      </c>
      <c r="AAR208" s="3" t="s">
        <v>933</v>
      </c>
      <c r="AAS208" s="3" t="s">
        <v>1613</v>
      </c>
      <c r="AAT208" s="3" t="s">
        <v>1613</v>
      </c>
      <c r="AAU208" s="3" t="s">
        <v>1613</v>
      </c>
      <c r="AAV208" s="3" t="s">
        <v>1613</v>
      </c>
      <c r="AAW208" s="3" t="s">
        <v>1613</v>
      </c>
      <c r="AAX208" s="3" t="s">
        <v>752</v>
      </c>
      <c r="AAY208" s="3" t="s">
        <v>934</v>
      </c>
      <c r="AAZ208" s="3" t="s">
        <v>934</v>
      </c>
      <c r="ABA208" s="3" t="s">
        <v>934</v>
      </c>
      <c r="ABB208" s="3" t="s">
        <v>934</v>
      </c>
      <c r="ABC208" s="3" t="s">
        <v>934</v>
      </c>
      <c r="ABD208" s="3" t="s">
        <v>934</v>
      </c>
      <c r="ABE208" s="3" t="s">
        <v>1614</v>
      </c>
      <c r="ABF208" s="3" t="s">
        <v>1614</v>
      </c>
      <c r="ABG208" s="3" t="s">
        <v>1614</v>
      </c>
      <c r="ABH208" s="3" t="s">
        <v>1614</v>
      </c>
      <c r="ABI208" s="3" t="s">
        <v>962</v>
      </c>
      <c r="ABJ208" s="3" t="s">
        <v>963</v>
      </c>
      <c r="ABK208" s="3" t="s">
        <v>935</v>
      </c>
      <c r="ABL208" s="3" t="s">
        <v>936</v>
      </c>
      <c r="ABM208" s="3" t="s">
        <v>937</v>
      </c>
      <c r="ABN208" s="3" t="s">
        <v>938</v>
      </c>
      <c r="ABO208" s="3" t="s">
        <v>939</v>
      </c>
      <c r="ABP208" s="3" t="s">
        <v>940</v>
      </c>
      <c r="ABQ208" s="3" t="s">
        <v>941</v>
      </c>
      <c r="ABR208" s="3" t="s">
        <v>942</v>
      </c>
      <c r="ABS208" s="3" t="s">
        <v>943</v>
      </c>
      <c r="ABT208" s="3" t="s">
        <v>944</v>
      </c>
      <c r="ABU208" s="3" t="s">
        <v>945</v>
      </c>
      <c r="ABV208" s="3" t="s">
        <v>946</v>
      </c>
      <c r="ABW208" s="3" t="s">
        <v>947</v>
      </c>
      <c r="ABX208" s="3" t="s">
        <v>948</v>
      </c>
      <c r="ABY208" s="3" t="s">
        <v>949</v>
      </c>
      <c r="ABZ208" s="3" t="s">
        <v>950</v>
      </c>
      <c r="ACA208" s="3" t="s">
        <v>951</v>
      </c>
      <c r="ACB208" s="3" t="s">
        <v>952</v>
      </c>
      <c r="ACC208" s="3" t="s">
        <v>954</v>
      </c>
      <c r="ACD208" s="3" t="s">
        <v>956</v>
      </c>
      <c r="ACE208" s="3" t="s">
        <v>956</v>
      </c>
      <c r="ACF208" s="3" t="s">
        <v>957</v>
      </c>
      <c r="ACG208" s="3" t="s">
        <v>957</v>
      </c>
      <c r="ACH208" s="3" t="s">
        <v>958</v>
      </c>
      <c r="ACI208" s="3" t="s">
        <v>958</v>
      </c>
      <c r="ACJ208" s="3" t="s">
        <v>958</v>
      </c>
      <c r="ACK208" s="3" t="s">
        <v>958</v>
      </c>
      <c r="ACL208" s="3" t="s">
        <v>958</v>
      </c>
      <c r="ACM208" s="3" t="s">
        <v>958</v>
      </c>
      <c r="ACN208" s="3" t="s">
        <v>958</v>
      </c>
      <c r="ACO208" s="3" t="s">
        <v>958</v>
      </c>
      <c r="ACP208" s="3" t="s">
        <v>958</v>
      </c>
      <c r="ACQ208" s="3" t="s">
        <v>959</v>
      </c>
      <c r="ACR208" s="3" t="s">
        <v>959</v>
      </c>
      <c r="ACS208" s="3" t="s">
        <v>959</v>
      </c>
      <c r="ACT208" s="3" t="s">
        <v>959</v>
      </c>
      <c r="ACU208" s="3" t="s">
        <v>959</v>
      </c>
      <c r="ACV208" s="3" t="s">
        <v>959</v>
      </c>
      <c r="ACW208" s="3" t="s">
        <v>959</v>
      </c>
      <c r="ACX208" s="3" t="s">
        <v>959</v>
      </c>
      <c r="ACY208" s="3" t="s">
        <v>959</v>
      </c>
      <c r="ACZ208" s="3" t="s">
        <v>1615</v>
      </c>
      <c r="ADA208" s="3" t="s">
        <v>1615</v>
      </c>
      <c r="ADB208" s="3" t="s">
        <v>1615</v>
      </c>
      <c r="ADC208" s="3" t="s">
        <v>1615</v>
      </c>
      <c r="ADD208" s="3" t="s">
        <v>962</v>
      </c>
      <c r="ADE208" s="3" t="s">
        <v>963</v>
      </c>
      <c r="ADF208" s="3" t="s">
        <v>964</v>
      </c>
      <c r="ADG208" s="3" t="s">
        <v>965</v>
      </c>
      <c r="ADH208" s="3" t="s">
        <v>752</v>
      </c>
      <c r="ADI208" s="3" t="s">
        <v>934</v>
      </c>
      <c r="ADJ208" s="3" t="s">
        <v>934</v>
      </c>
      <c r="ADK208" s="3" t="s">
        <v>934</v>
      </c>
      <c r="ADL208" s="3" t="s">
        <v>934</v>
      </c>
      <c r="ADM208" s="3" t="s">
        <v>934</v>
      </c>
      <c r="ADN208" s="3" t="s">
        <v>934</v>
      </c>
      <c r="ADO208" s="3" t="s">
        <v>1614</v>
      </c>
      <c r="ADP208" s="3" t="s">
        <v>1614</v>
      </c>
      <c r="ADQ208" s="3" t="s">
        <v>1614</v>
      </c>
      <c r="ADR208" s="3" t="s">
        <v>1614</v>
      </c>
      <c r="ADS208" s="3" t="s">
        <v>962</v>
      </c>
      <c r="ADT208" s="3" t="s">
        <v>963</v>
      </c>
      <c r="ADU208" s="3" t="s">
        <v>935</v>
      </c>
      <c r="ADV208" s="3" t="s">
        <v>936</v>
      </c>
      <c r="ADW208" s="3" t="s">
        <v>937</v>
      </c>
      <c r="ADX208" s="3" t="s">
        <v>938</v>
      </c>
      <c r="ADY208" s="3" t="s">
        <v>939</v>
      </c>
      <c r="ADZ208" s="3" t="s">
        <v>940</v>
      </c>
      <c r="AEA208" s="3" t="s">
        <v>941</v>
      </c>
      <c r="AEB208" s="3" t="s">
        <v>942</v>
      </c>
      <c r="AEC208" s="3" t="s">
        <v>943</v>
      </c>
      <c r="AED208" s="3" t="s">
        <v>944</v>
      </c>
      <c r="AEE208" s="3" t="s">
        <v>945</v>
      </c>
      <c r="AEF208" s="3" t="s">
        <v>946</v>
      </c>
      <c r="AEG208" s="3" t="s">
        <v>947</v>
      </c>
      <c r="AEH208" s="3" t="s">
        <v>948</v>
      </c>
      <c r="AEI208" s="3" t="s">
        <v>949</v>
      </c>
      <c r="AEJ208" s="3" t="s">
        <v>950</v>
      </c>
      <c r="AEK208" s="3" t="s">
        <v>951</v>
      </c>
      <c r="AEL208" s="3" t="s">
        <v>952</v>
      </c>
      <c r="AEM208" s="3" t="s">
        <v>954</v>
      </c>
      <c r="AEN208" s="3" t="s">
        <v>956</v>
      </c>
      <c r="AEO208" s="3" t="s">
        <v>956</v>
      </c>
      <c r="AEP208" s="3" t="s">
        <v>957</v>
      </c>
      <c r="AEQ208" s="3" t="s">
        <v>957</v>
      </c>
      <c r="AER208" s="3" t="s">
        <v>958</v>
      </c>
      <c r="AES208" s="3" t="s">
        <v>958</v>
      </c>
      <c r="AET208" s="3" t="s">
        <v>958</v>
      </c>
      <c r="AEU208" s="3" t="s">
        <v>958</v>
      </c>
      <c r="AEV208" s="3" t="s">
        <v>958</v>
      </c>
      <c r="AEW208" s="3" t="s">
        <v>958</v>
      </c>
      <c r="AEX208" s="3" t="s">
        <v>958</v>
      </c>
      <c r="AEY208" s="3" t="s">
        <v>958</v>
      </c>
      <c r="AEZ208" s="3" t="s">
        <v>958</v>
      </c>
      <c r="AFA208" s="3" t="s">
        <v>959</v>
      </c>
      <c r="AFB208" s="3" t="s">
        <v>959</v>
      </c>
      <c r="AFC208" s="3" t="s">
        <v>959</v>
      </c>
      <c r="AFD208" s="3" t="s">
        <v>959</v>
      </c>
      <c r="AFE208" s="3" t="s">
        <v>959</v>
      </c>
      <c r="AFF208" s="3" t="s">
        <v>959</v>
      </c>
      <c r="AFG208" s="3" t="s">
        <v>1615</v>
      </c>
      <c r="AFH208" s="3" t="s">
        <v>1615</v>
      </c>
      <c r="AFI208" s="3" t="s">
        <v>1615</v>
      </c>
      <c r="AFJ208" s="3" t="s">
        <v>1615</v>
      </c>
      <c r="AFK208" s="3" t="s">
        <v>1615</v>
      </c>
      <c r="AFL208" s="3" t="s">
        <v>1615</v>
      </c>
      <c r="AFM208" s="3" t="s">
        <v>1615</v>
      </c>
      <c r="AFN208" s="3" t="s">
        <v>962</v>
      </c>
      <c r="AFO208" s="3" t="s">
        <v>963</v>
      </c>
      <c r="AFP208" s="3" t="s">
        <v>964</v>
      </c>
      <c r="AFQ208" s="3" t="s">
        <v>965</v>
      </c>
      <c r="AFR208" s="3" t="s">
        <v>752</v>
      </c>
      <c r="AFS208" s="3" t="s">
        <v>934</v>
      </c>
      <c r="AFT208" s="3" t="s">
        <v>934</v>
      </c>
      <c r="AFU208" s="3" t="s">
        <v>934</v>
      </c>
      <c r="AFV208" s="3" t="s">
        <v>934</v>
      </c>
      <c r="AFW208" s="3" t="s">
        <v>934</v>
      </c>
      <c r="AFX208" s="3" t="s">
        <v>934</v>
      </c>
      <c r="AFY208" s="3" t="s">
        <v>934</v>
      </c>
      <c r="AFZ208" s="3" t="s">
        <v>1614</v>
      </c>
      <c r="AGA208" s="3" t="s">
        <v>1614</v>
      </c>
      <c r="AGB208" s="3" t="s">
        <v>1614</v>
      </c>
      <c r="AGC208" s="3" t="s">
        <v>1614</v>
      </c>
      <c r="AGD208" s="3" t="s">
        <v>935</v>
      </c>
      <c r="AGE208" s="3" t="s">
        <v>935</v>
      </c>
      <c r="AGF208" s="3" t="s">
        <v>935</v>
      </c>
      <c r="AGG208" s="3" t="s">
        <v>936</v>
      </c>
      <c r="AGH208" s="3" t="s">
        <v>936</v>
      </c>
      <c r="AGI208" s="3" t="s">
        <v>936</v>
      </c>
      <c r="AGJ208" s="3" t="s">
        <v>936</v>
      </c>
      <c r="AGK208" s="3" t="s">
        <v>936</v>
      </c>
      <c r="AGL208" s="3" t="s">
        <v>936</v>
      </c>
      <c r="AGM208" s="3" t="s">
        <v>936</v>
      </c>
      <c r="AGN208" s="3" t="s">
        <v>936</v>
      </c>
      <c r="AGO208" s="3" t="s">
        <v>936</v>
      </c>
      <c r="AGP208" s="3" t="s">
        <v>937</v>
      </c>
      <c r="AGQ208" s="3" t="s">
        <v>937</v>
      </c>
      <c r="AGR208" s="3" t="s">
        <v>937</v>
      </c>
      <c r="AGS208" s="3" t="s">
        <v>937</v>
      </c>
      <c r="AGT208" s="3" t="s">
        <v>937</v>
      </c>
      <c r="AGU208" s="3" t="s">
        <v>937</v>
      </c>
      <c r="AGV208" s="3" t="s">
        <v>937</v>
      </c>
      <c r="AGW208" s="3" t="s">
        <v>937</v>
      </c>
      <c r="AGX208" s="3" t="s">
        <v>937</v>
      </c>
      <c r="AGY208" s="3" t="s">
        <v>938</v>
      </c>
      <c r="AGZ208" s="3" t="s">
        <v>938</v>
      </c>
      <c r="AHA208" s="3" t="s">
        <v>938</v>
      </c>
      <c r="AHB208" s="3" t="s">
        <v>938</v>
      </c>
      <c r="AHC208" s="3" t="s">
        <v>938</v>
      </c>
      <c r="AHD208" s="3" t="s">
        <v>938</v>
      </c>
      <c r="AHE208" s="3" t="s">
        <v>938</v>
      </c>
      <c r="AHF208" s="3" t="s">
        <v>1618</v>
      </c>
      <c r="AHG208" s="3" t="s">
        <v>1618</v>
      </c>
      <c r="AHH208" s="3" t="s">
        <v>1618</v>
      </c>
      <c r="AHI208" s="3" t="s">
        <v>1618</v>
      </c>
      <c r="AHJ208" s="3" t="s">
        <v>1618</v>
      </c>
      <c r="AHK208" s="3" t="s">
        <v>1618</v>
      </c>
      <c r="AHL208" s="3" t="s">
        <v>939</v>
      </c>
      <c r="AHM208" s="3" t="s">
        <v>939</v>
      </c>
      <c r="AHN208" s="3" t="s">
        <v>939</v>
      </c>
      <c r="AHO208" s="3" t="s">
        <v>939</v>
      </c>
      <c r="AHP208" s="3" t="s">
        <v>939</v>
      </c>
      <c r="AHQ208" s="3" t="s">
        <v>939</v>
      </c>
      <c r="AHR208" s="3" t="s">
        <v>939</v>
      </c>
      <c r="AHS208" s="3" t="s">
        <v>1619</v>
      </c>
      <c r="AHT208" s="3" t="s">
        <v>1619</v>
      </c>
      <c r="AHU208" s="3" t="s">
        <v>1619</v>
      </c>
      <c r="AHV208" s="3" t="s">
        <v>1619</v>
      </c>
      <c r="AHW208" s="3" t="s">
        <v>1619</v>
      </c>
      <c r="AHX208" s="3" t="s">
        <v>1619</v>
      </c>
      <c r="AHY208" s="3" t="s">
        <v>940</v>
      </c>
      <c r="AHZ208" s="3" t="s">
        <v>940</v>
      </c>
      <c r="AIA208" s="3" t="s">
        <v>940</v>
      </c>
      <c r="AIB208" s="3" t="s">
        <v>940</v>
      </c>
      <c r="AIC208" s="3" t="s">
        <v>940</v>
      </c>
      <c r="AID208" s="3" t="s">
        <v>940</v>
      </c>
      <c r="AIE208" s="3" t="s">
        <v>940</v>
      </c>
      <c r="AIF208" s="3" t="s">
        <v>940</v>
      </c>
      <c r="AIG208" s="3" t="s">
        <v>940</v>
      </c>
      <c r="AIH208" s="3" t="s">
        <v>941</v>
      </c>
      <c r="AII208" s="3" t="s">
        <v>941</v>
      </c>
      <c r="AIJ208" s="3" t="s">
        <v>941</v>
      </c>
      <c r="AIK208" s="3" t="s">
        <v>941</v>
      </c>
      <c r="AIL208" s="3" t="s">
        <v>941</v>
      </c>
      <c r="AIM208" s="3" t="s">
        <v>941</v>
      </c>
      <c r="AIN208" s="3" t="s">
        <v>941</v>
      </c>
      <c r="AIO208" s="3" t="s">
        <v>941</v>
      </c>
      <c r="AIP208" s="3" t="s">
        <v>941</v>
      </c>
      <c r="AIQ208" s="3" t="s">
        <v>942</v>
      </c>
      <c r="AIR208" s="3" t="s">
        <v>943</v>
      </c>
      <c r="AIS208" s="3" t="s">
        <v>944</v>
      </c>
      <c r="AIT208" s="3" t="s">
        <v>945</v>
      </c>
      <c r="AIU208" s="3" t="s">
        <v>946</v>
      </c>
      <c r="AIV208" s="3" t="s">
        <v>946</v>
      </c>
      <c r="AIW208" s="3" t="s">
        <v>946</v>
      </c>
      <c r="AIX208" s="3" t="s">
        <v>946</v>
      </c>
      <c r="AIY208" s="3" t="s">
        <v>946</v>
      </c>
      <c r="AIZ208" s="3" t="s">
        <v>946</v>
      </c>
      <c r="AJA208" s="3" t="s">
        <v>946</v>
      </c>
      <c r="AJB208" s="3" t="s">
        <v>946</v>
      </c>
      <c r="AJC208" s="3" t="s">
        <v>946</v>
      </c>
      <c r="AJD208" s="3" t="s">
        <v>946</v>
      </c>
      <c r="AJE208" s="3" t="s">
        <v>946</v>
      </c>
      <c r="AJF208" s="3" t="s">
        <v>753</v>
      </c>
      <c r="AJG208" s="3" t="s">
        <v>752</v>
      </c>
      <c r="AJH208" s="3" t="s">
        <v>752</v>
      </c>
      <c r="AJI208" s="3" t="s">
        <v>752</v>
      </c>
      <c r="AJJ208" s="3" t="s">
        <v>752</v>
      </c>
      <c r="AJK208" s="3" t="s">
        <v>752</v>
      </c>
      <c r="AJL208" s="3" t="s">
        <v>752</v>
      </c>
      <c r="AJM208" s="3" t="s">
        <v>752</v>
      </c>
      <c r="AJN208" s="3" t="s">
        <v>966</v>
      </c>
      <c r="AJO208" s="3" t="s">
        <v>754</v>
      </c>
      <c r="AJP208" s="3" t="s">
        <v>754</v>
      </c>
      <c r="AJQ208" s="3" t="s">
        <v>754</v>
      </c>
      <c r="AJR208" s="3" t="s">
        <v>754</v>
      </c>
      <c r="AJS208" s="3" t="s">
        <v>1621</v>
      </c>
      <c r="AJT208" s="3" t="s">
        <v>1621</v>
      </c>
      <c r="AJU208" s="3" t="s">
        <v>1621</v>
      </c>
      <c r="AJV208" s="3" t="s">
        <v>1621</v>
      </c>
      <c r="AJW208" s="3" t="s">
        <v>1621</v>
      </c>
      <c r="AJX208" s="3" t="s">
        <v>966</v>
      </c>
      <c r="AJY208" s="3" t="s">
        <v>755</v>
      </c>
      <c r="AJZ208" s="3" t="s">
        <v>755</v>
      </c>
      <c r="AKA208" s="3" t="s">
        <v>755</v>
      </c>
      <c r="AKB208" s="3" t="s">
        <v>755</v>
      </c>
      <c r="AKC208" s="3" t="s">
        <v>755</v>
      </c>
      <c r="AKD208" s="3" t="s">
        <v>1620</v>
      </c>
      <c r="AKE208" s="3" t="s">
        <v>1620</v>
      </c>
      <c r="AKF208" s="3" t="s">
        <v>1620</v>
      </c>
      <c r="AKG208" s="3" t="s">
        <v>1620</v>
      </c>
      <c r="AKH208" s="3" t="s">
        <v>1620</v>
      </c>
      <c r="AKI208" s="3" t="s">
        <v>966</v>
      </c>
      <c r="AKJ208" s="3" t="s">
        <v>753</v>
      </c>
      <c r="AKK208" s="3" t="s">
        <v>753</v>
      </c>
      <c r="AKL208" s="3" t="s">
        <v>753</v>
      </c>
      <c r="AKM208" s="3" t="s">
        <v>753</v>
      </c>
      <c r="AKN208" s="3" t="s">
        <v>753</v>
      </c>
      <c r="AKO208" s="3" t="s">
        <v>753</v>
      </c>
      <c r="AKP208" s="3" t="s">
        <v>753</v>
      </c>
      <c r="AKQ208" s="3" t="s">
        <v>1622</v>
      </c>
      <c r="AKR208" s="3" t="s">
        <v>1622</v>
      </c>
      <c r="AKS208" s="3" t="s">
        <v>1622</v>
      </c>
      <c r="AKT208" s="3" t="s">
        <v>1622</v>
      </c>
      <c r="AKU208" s="3" t="s">
        <v>1622</v>
      </c>
      <c r="AKV208" s="3" t="s">
        <v>1622</v>
      </c>
      <c r="AKW208" s="3" t="s">
        <v>1622</v>
      </c>
      <c r="AKX208" s="3" t="s">
        <v>966</v>
      </c>
      <c r="AKY208" s="3" t="s">
        <v>756</v>
      </c>
      <c r="AKZ208" s="3" t="s">
        <v>756</v>
      </c>
      <c r="ALA208" s="3" t="s">
        <v>756</v>
      </c>
      <c r="ALB208" s="3" t="s">
        <v>756</v>
      </c>
      <c r="ALC208" s="3" t="s">
        <v>756</v>
      </c>
      <c r="ALD208" s="3" t="s">
        <v>756</v>
      </c>
      <c r="ALE208" s="3" t="s">
        <v>756</v>
      </c>
      <c r="ALF208" s="3" t="s">
        <v>1623</v>
      </c>
      <c r="ALG208" s="3" t="s">
        <v>1623</v>
      </c>
      <c r="ALH208" s="3" t="s">
        <v>1623</v>
      </c>
      <c r="ALI208" s="3" t="s">
        <v>1623</v>
      </c>
      <c r="ALJ208" s="3" t="s">
        <v>1623</v>
      </c>
      <c r="ALK208" s="3" t="s">
        <v>1623</v>
      </c>
      <c r="ALL208" s="3" t="s">
        <v>1623</v>
      </c>
      <c r="ALM208" s="3" t="s">
        <v>966</v>
      </c>
      <c r="ALN208" s="3" t="s">
        <v>757</v>
      </c>
      <c r="ALO208" s="3" t="s">
        <v>757</v>
      </c>
      <c r="ALP208" s="3" t="s">
        <v>757</v>
      </c>
      <c r="ALQ208" s="3" t="s">
        <v>757</v>
      </c>
      <c r="ALR208" s="3" t="s">
        <v>757</v>
      </c>
      <c r="ALS208" s="3" t="s">
        <v>757</v>
      </c>
      <c r="ALT208" s="3" t="s">
        <v>757</v>
      </c>
      <c r="ALU208" s="3" t="s">
        <v>1624</v>
      </c>
      <c r="ALV208" s="3" t="s">
        <v>1624</v>
      </c>
      <c r="ALW208" s="3" t="s">
        <v>1624</v>
      </c>
      <c r="ALX208" s="3" t="s">
        <v>1624</v>
      </c>
      <c r="ALY208" s="3" t="s">
        <v>1624</v>
      </c>
      <c r="ALZ208" s="3" t="s">
        <v>1624</v>
      </c>
      <c r="AMA208" s="3" t="s">
        <v>1624</v>
      </c>
      <c r="AMB208" s="3" t="s">
        <v>1624</v>
      </c>
      <c r="AMC208" s="3" t="s">
        <v>966</v>
      </c>
      <c r="AMD208" s="3" t="s">
        <v>758</v>
      </c>
      <c r="AME208" s="3" t="s">
        <v>758</v>
      </c>
      <c r="AMF208" s="3" t="s">
        <v>758</v>
      </c>
      <c r="AMG208" s="3" t="s">
        <v>758</v>
      </c>
      <c r="AMH208" s="3" t="s">
        <v>758</v>
      </c>
      <c r="AMI208" s="3" t="s">
        <v>758</v>
      </c>
      <c r="AMJ208" s="3" t="s">
        <v>758</v>
      </c>
      <c r="AMK208" s="3" t="s">
        <v>1625</v>
      </c>
      <c r="AML208" s="3" t="s">
        <v>1625</v>
      </c>
      <c r="AMM208" s="3" t="s">
        <v>1625</v>
      </c>
      <c r="AMN208" s="3" t="s">
        <v>1625</v>
      </c>
      <c r="AMO208" s="3" t="s">
        <v>1625</v>
      </c>
      <c r="AMP208" s="3" t="s">
        <v>1625</v>
      </c>
      <c r="AMQ208" s="3" t="s">
        <v>1625</v>
      </c>
      <c r="AMR208" s="3" t="s">
        <v>1625</v>
      </c>
      <c r="AMS208" s="3" t="s">
        <v>759</v>
      </c>
      <c r="AMT208" s="3" t="s">
        <v>759</v>
      </c>
      <c r="AMU208" s="3" t="s">
        <v>759</v>
      </c>
      <c r="AMV208" s="3" t="s">
        <v>759</v>
      </c>
      <c r="AMW208" s="3" t="s">
        <v>759</v>
      </c>
      <c r="AMX208" s="3" t="s">
        <v>1626</v>
      </c>
      <c r="AMY208" s="3" t="s">
        <v>1626</v>
      </c>
      <c r="AMZ208" s="3" t="s">
        <v>1626</v>
      </c>
      <c r="ANA208" s="3" t="s">
        <v>1626</v>
      </c>
      <c r="ANB208" s="3" t="s">
        <v>1626</v>
      </c>
      <c r="ANC208" s="3" t="s">
        <v>1626</v>
      </c>
      <c r="AND208" s="3" t="s">
        <v>1626</v>
      </c>
    </row>
  </sheetData>
  <mergeCells count="7">
    <mergeCell ref="A8:B8"/>
    <mergeCell ref="A9:B9"/>
    <mergeCell ref="A3:B3"/>
    <mergeCell ref="A4:B4"/>
    <mergeCell ref="A5:B5"/>
    <mergeCell ref="A6:B6"/>
    <mergeCell ref="A7:B7"/>
  </mergeCell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435"/>
  <sheetViews>
    <sheetView tabSelected="1" topLeftCell="A414" workbookViewId="0">
      <selection activeCell="H424" sqref="H424"/>
    </sheetView>
  </sheetViews>
  <sheetFormatPr defaultRowHeight="15" customHeight="1" x14ac:dyDescent="0.25"/>
  <cols>
    <col min="1" max="1" width="15.85546875" bestFit="1" customWidth="1"/>
    <col min="2" max="2" width="14.85546875" bestFit="1" customWidth="1"/>
    <col min="3" max="4" width="14.85546875" customWidth="1"/>
    <col min="5" max="5" width="11.5703125" bestFit="1" customWidth="1"/>
    <col min="6" max="6" width="14.42578125" bestFit="1" customWidth="1"/>
    <col min="7" max="7" width="23.42578125" customWidth="1"/>
    <col min="8" max="8" width="9.7109375" bestFit="1" customWidth="1"/>
    <col min="9" max="9" width="9.7109375" customWidth="1"/>
  </cols>
  <sheetData>
    <row r="1" spans="1:11" ht="15" customHeight="1" x14ac:dyDescent="0.25">
      <c r="A1" s="9" t="s">
        <v>11</v>
      </c>
      <c r="B1" s="9" t="s">
        <v>5</v>
      </c>
      <c r="C1" s="9" t="s">
        <v>6</v>
      </c>
      <c r="D1" s="9"/>
      <c r="E1" s="9" t="s">
        <v>64</v>
      </c>
      <c r="F1" s="9" t="s">
        <v>16</v>
      </c>
      <c r="G1" s="9" t="s">
        <v>14</v>
      </c>
      <c r="H1" s="9" t="s">
        <v>15</v>
      </c>
      <c r="I1" t="s">
        <v>17</v>
      </c>
      <c r="J1" s="9"/>
      <c r="K1" s="9"/>
    </row>
    <row r="2" spans="1:11" ht="15" customHeight="1" x14ac:dyDescent="0.25">
      <c r="B2" s="10" t="s">
        <v>738</v>
      </c>
      <c r="C2" s="10" t="s">
        <v>739</v>
      </c>
      <c r="E2" s="14">
        <v>1</v>
      </c>
      <c r="F2" s="10" t="s">
        <v>1313</v>
      </c>
      <c r="G2" s="10" t="s">
        <v>109</v>
      </c>
      <c r="H2" s="10"/>
      <c r="I2" s="10"/>
    </row>
    <row r="3" spans="1:11" ht="15" customHeight="1" x14ac:dyDescent="0.25">
      <c r="B3" s="10" t="s">
        <v>741</v>
      </c>
      <c r="C3" s="10" t="s">
        <v>742</v>
      </c>
      <c r="E3" s="14">
        <v>2</v>
      </c>
      <c r="F3" s="10" t="s">
        <v>1314</v>
      </c>
      <c r="G3" s="10" t="s">
        <v>122</v>
      </c>
      <c r="H3" s="10"/>
      <c r="I3" s="10"/>
      <c r="J3" s="10"/>
    </row>
    <row r="4" spans="1:11" ht="15" customHeight="1" x14ac:dyDescent="0.25">
      <c r="B4" s="10"/>
      <c r="C4" s="10"/>
      <c r="E4" s="14"/>
      <c r="F4" s="10" t="s">
        <v>105</v>
      </c>
      <c r="G4" s="10"/>
      <c r="H4" s="10"/>
      <c r="I4" s="10"/>
      <c r="J4" s="10"/>
    </row>
    <row r="5" spans="1:11" ht="15" customHeight="1" x14ac:dyDescent="0.25">
      <c r="B5" s="10" t="s">
        <v>967</v>
      </c>
      <c r="C5" s="10" t="s">
        <v>968</v>
      </c>
      <c r="E5" s="14">
        <v>3</v>
      </c>
      <c r="F5" s="10" t="s">
        <v>1581</v>
      </c>
      <c r="G5" s="10" t="s">
        <v>117</v>
      </c>
      <c r="H5" s="13"/>
    </row>
    <row r="6" spans="1:11" ht="15" customHeight="1" x14ac:dyDescent="0.25">
      <c r="B6" s="10"/>
      <c r="C6" s="10"/>
      <c r="E6" s="14"/>
      <c r="F6" s="10" t="s">
        <v>105</v>
      </c>
      <c r="G6" s="10"/>
    </row>
    <row r="7" spans="1:11" ht="15" customHeight="1" x14ac:dyDescent="0.25">
      <c r="B7" s="10" t="s">
        <v>969</v>
      </c>
      <c r="C7" s="10" t="s">
        <v>970</v>
      </c>
      <c r="E7" s="14">
        <v>4</v>
      </c>
      <c r="F7" s="10" t="s">
        <v>1581</v>
      </c>
      <c r="G7" s="10" t="s">
        <v>113</v>
      </c>
    </row>
    <row r="8" spans="1:11" ht="15" customHeight="1" x14ac:dyDescent="0.25">
      <c r="B8" s="10"/>
      <c r="C8" s="10"/>
      <c r="E8" s="14"/>
      <c r="F8" s="10" t="s">
        <v>105</v>
      </c>
      <c r="G8" s="10"/>
    </row>
    <row r="9" spans="1:11" ht="15" customHeight="1" x14ac:dyDescent="0.25">
      <c r="B9" s="10" t="s">
        <v>971</v>
      </c>
      <c r="C9" s="10" t="s">
        <v>972</v>
      </c>
      <c r="E9" s="14">
        <v>5</v>
      </c>
      <c r="F9" s="10" t="s">
        <v>1315</v>
      </c>
      <c r="G9" s="10" t="s">
        <v>558</v>
      </c>
      <c r="H9" s="13"/>
    </row>
    <row r="10" spans="1:11" ht="15" customHeight="1" x14ac:dyDescent="0.25">
      <c r="B10" s="10"/>
      <c r="C10" s="10"/>
      <c r="E10" s="14"/>
      <c r="F10" s="10" t="s">
        <v>105</v>
      </c>
      <c r="G10" s="10"/>
    </row>
    <row r="11" spans="1:11" ht="15" customHeight="1" x14ac:dyDescent="0.25">
      <c r="B11" s="10" t="s">
        <v>973</v>
      </c>
      <c r="C11" s="10" t="s">
        <v>972</v>
      </c>
      <c r="E11" s="14">
        <v>6</v>
      </c>
      <c r="F11" s="10" t="s">
        <v>1315</v>
      </c>
      <c r="G11" s="10" t="s">
        <v>116</v>
      </c>
    </row>
    <row r="12" spans="1:11" ht="15" customHeight="1" x14ac:dyDescent="0.25">
      <c r="B12" s="10"/>
      <c r="C12" s="10"/>
      <c r="F12" s="10" t="s">
        <v>105</v>
      </c>
      <c r="G12" s="10"/>
    </row>
    <row r="13" spans="1:11" ht="15" customHeight="1" x14ac:dyDescent="0.25">
      <c r="B13" s="10" t="s">
        <v>1627</v>
      </c>
      <c r="C13" s="10" t="s">
        <v>1628</v>
      </c>
      <c r="E13">
        <v>7</v>
      </c>
      <c r="F13" s="10" t="s">
        <v>2062</v>
      </c>
      <c r="G13" s="10" t="s">
        <v>561</v>
      </c>
      <c r="H13" s="13"/>
    </row>
    <row r="14" spans="1:11" ht="15" customHeight="1" x14ac:dyDescent="0.25">
      <c r="B14" s="10" t="s">
        <v>1629</v>
      </c>
      <c r="C14" s="10" t="s">
        <v>1630</v>
      </c>
      <c r="E14" s="14">
        <v>7</v>
      </c>
      <c r="F14" s="10" t="s">
        <v>2063</v>
      </c>
      <c r="G14" s="13" t="s">
        <v>561</v>
      </c>
    </row>
    <row r="15" spans="1:11" ht="15" customHeight="1" x14ac:dyDescent="0.25">
      <c r="B15" s="10" t="s">
        <v>1631</v>
      </c>
      <c r="C15" s="10" t="s">
        <v>1632</v>
      </c>
      <c r="E15" s="14">
        <v>7</v>
      </c>
      <c r="F15" s="10" t="s">
        <v>2064</v>
      </c>
      <c r="G15" s="13" t="s">
        <v>561</v>
      </c>
    </row>
    <row r="16" spans="1:11" ht="15" customHeight="1" x14ac:dyDescent="0.25">
      <c r="B16" s="10" t="s">
        <v>1633</v>
      </c>
      <c r="C16" s="10" t="s">
        <v>1634</v>
      </c>
      <c r="E16" s="14">
        <v>7</v>
      </c>
      <c r="F16" s="10" t="s">
        <v>2065</v>
      </c>
      <c r="G16" s="13" t="s">
        <v>561</v>
      </c>
    </row>
    <row r="17" spans="2:8" ht="15" customHeight="1" x14ac:dyDescent="0.25">
      <c r="B17" s="10" t="s">
        <v>1635</v>
      </c>
      <c r="C17" s="10" t="s">
        <v>1636</v>
      </c>
      <c r="E17" s="14">
        <v>7</v>
      </c>
      <c r="F17" s="10" t="s">
        <v>2066</v>
      </c>
      <c r="G17" s="13" t="s">
        <v>561</v>
      </c>
    </row>
    <row r="18" spans="2:8" ht="15" customHeight="1" x14ac:dyDescent="0.25">
      <c r="B18" s="10" t="s">
        <v>1637</v>
      </c>
      <c r="C18" s="10" t="s">
        <v>1638</v>
      </c>
      <c r="E18" s="14">
        <v>7</v>
      </c>
      <c r="F18" s="10" t="s">
        <v>2067</v>
      </c>
      <c r="G18" s="13" t="s">
        <v>561</v>
      </c>
    </row>
    <row r="19" spans="2:8" ht="15" customHeight="1" x14ac:dyDescent="0.25">
      <c r="B19" s="10" t="s">
        <v>1639</v>
      </c>
      <c r="C19" s="10" t="s">
        <v>1640</v>
      </c>
      <c r="E19" s="14">
        <v>7</v>
      </c>
      <c r="F19" s="10" t="s">
        <v>2068</v>
      </c>
      <c r="G19" s="13" t="s">
        <v>561</v>
      </c>
    </row>
    <row r="20" spans="2:8" ht="15" customHeight="1" x14ac:dyDescent="0.25">
      <c r="B20" s="10" t="s">
        <v>1641</v>
      </c>
      <c r="C20" s="10" t="s">
        <v>1642</v>
      </c>
      <c r="E20" s="14">
        <v>7</v>
      </c>
      <c r="F20" s="10" t="s">
        <v>2069</v>
      </c>
      <c r="G20" s="13" t="s">
        <v>561</v>
      </c>
    </row>
    <row r="21" spans="2:8" ht="15" customHeight="1" x14ac:dyDescent="0.25">
      <c r="B21" s="10" t="s">
        <v>1643</v>
      </c>
      <c r="C21" s="10" t="s">
        <v>1644</v>
      </c>
      <c r="E21" s="14">
        <v>7</v>
      </c>
      <c r="F21" s="10" t="s">
        <v>2070</v>
      </c>
      <c r="G21" s="13" t="s">
        <v>561</v>
      </c>
    </row>
    <row r="22" spans="2:8" ht="15" customHeight="1" x14ac:dyDescent="0.25">
      <c r="B22" s="10" t="s">
        <v>1645</v>
      </c>
      <c r="C22" s="10" t="s">
        <v>1646</v>
      </c>
      <c r="E22" s="14">
        <v>7</v>
      </c>
      <c r="F22" s="10" t="s">
        <v>2071</v>
      </c>
      <c r="G22" s="13" t="s">
        <v>561</v>
      </c>
      <c r="H22" s="13"/>
    </row>
    <row r="23" spans="2:8" ht="15" customHeight="1" x14ac:dyDescent="0.25">
      <c r="B23" s="10" t="s">
        <v>1647</v>
      </c>
      <c r="C23" s="10" t="s">
        <v>1648</v>
      </c>
      <c r="E23" s="14">
        <v>7</v>
      </c>
      <c r="F23" s="10" t="s">
        <v>2072</v>
      </c>
      <c r="G23" s="13" t="s">
        <v>561</v>
      </c>
    </row>
    <row r="24" spans="2:8" ht="15" customHeight="1" x14ac:dyDescent="0.25">
      <c r="B24" s="10" t="s">
        <v>1649</v>
      </c>
      <c r="C24" s="10" t="s">
        <v>1650</v>
      </c>
      <c r="E24" s="14">
        <v>7</v>
      </c>
      <c r="F24" s="10" t="s">
        <v>2073</v>
      </c>
      <c r="G24" s="13" t="s">
        <v>561</v>
      </c>
    </row>
    <row r="25" spans="2:8" ht="15" customHeight="1" x14ac:dyDescent="0.25">
      <c r="B25" s="10" t="s">
        <v>1651</v>
      </c>
      <c r="C25" s="10" t="s">
        <v>1652</v>
      </c>
      <c r="E25" s="14">
        <v>7</v>
      </c>
      <c r="F25" s="10" t="s">
        <v>2074</v>
      </c>
      <c r="G25" s="13" t="s">
        <v>561</v>
      </c>
    </row>
    <row r="26" spans="2:8" ht="15" customHeight="1" x14ac:dyDescent="0.25">
      <c r="B26" s="10" t="s">
        <v>1653</v>
      </c>
      <c r="C26" s="10" t="s">
        <v>1654</v>
      </c>
      <c r="E26" s="14">
        <v>7</v>
      </c>
      <c r="F26" s="10" t="s">
        <v>2075</v>
      </c>
      <c r="G26" s="13" t="s">
        <v>561</v>
      </c>
    </row>
    <row r="27" spans="2:8" ht="15" customHeight="1" x14ac:dyDescent="0.25">
      <c r="B27" s="10" t="s">
        <v>974</v>
      </c>
      <c r="C27" s="10" t="s">
        <v>975</v>
      </c>
      <c r="E27" s="14">
        <v>7</v>
      </c>
      <c r="F27" s="10" t="s">
        <v>1582</v>
      </c>
      <c r="G27" s="13" t="s">
        <v>561</v>
      </c>
    </row>
    <row r="28" spans="2:8" ht="15" customHeight="1" x14ac:dyDescent="0.25">
      <c r="B28" s="10" t="s">
        <v>976</v>
      </c>
      <c r="C28" s="10"/>
      <c r="F28" s="10" t="s">
        <v>105</v>
      </c>
      <c r="G28" s="10"/>
    </row>
    <row r="29" spans="2:8" ht="15" customHeight="1" x14ac:dyDescent="0.25">
      <c r="B29" s="10" t="s">
        <v>1655</v>
      </c>
      <c r="C29" s="10" t="s">
        <v>1656</v>
      </c>
      <c r="E29">
        <v>8</v>
      </c>
      <c r="F29" s="10" t="s">
        <v>1583</v>
      </c>
      <c r="G29" s="10" t="s">
        <v>703</v>
      </c>
      <c r="H29" s="13"/>
    </row>
    <row r="30" spans="2:8" ht="15" customHeight="1" x14ac:dyDescent="0.25">
      <c r="B30" s="10" t="s">
        <v>1657</v>
      </c>
      <c r="C30" s="10" t="s">
        <v>1658</v>
      </c>
      <c r="E30" s="14">
        <v>8</v>
      </c>
      <c r="F30" s="10" t="s">
        <v>2076</v>
      </c>
      <c r="G30" s="13" t="s">
        <v>703</v>
      </c>
    </row>
    <row r="31" spans="2:8" ht="15" customHeight="1" x14ac:dyDescent="0.25">
      <c r="B31" s="10" t="s">
        <v>1659</v>
      </c>
      <c r="C31" s="10" t="s">
        <v>1660</v>
      </c>
      <c r="E31" s="14">
        <v>8</v>
      </c>
      <c r="F31" s="10" t="s">
        <v>2077</v>
      </c>
      <c r="G31" s="13" t="s">
        <v>703</v>
      </c>
      <c r="H31" s="13"/>
    </row>
    <row r="32" spans="2:8" ht="15" customHeight="1" x14ac:dyDescent="0.25">
      <c r="B32" s="10" t="s">
        <v>1661</v>
      </c>
      <c r="C32" s="10" t="s">
        <v>1662</v>
      </c>
      <c r="E32" s="14">
        <v>8</v>
      </c>
      <c r="F32" s="10" t="s">
        <v>2078</v>
      </c>
      <c r="G32" s="13" t="s">
        <v>703</v>
      </c>
      <c r="H32" s="13"/>
    </row>
    <row r="33" spans="2:8" ht="15" customHeight="1" x14ac:dyDescent="0.25">
      <c r="B33" s="10" t="s">
        <v>1663</v>
      </c>
      <c r="C33" s="10" t="s">
        <v>1664</v>
      </c>
      <c r="E33" s="14">
        <v>8</v>
      </c>
      <c r="F33" s="10" t="s">
        <v>2079</v>
      </c>
      <c r="G33" s="13" t="s">
        <v>703</v>
      </c>
      <c r="H33" s="13"/>
    </row>
    <row r="34" spans="2:8" ht="15" customHeight="1" x14ac:dyDescent="0.25">
      <c r="B34" s="10" t="s">
        <v>1665</v>
      </c>
      <c r="C34" s="10" t="s">
        <v>1666</v>
      </c>
      <c r="E34" s="14">
        <v>8</v>
      </c>
      <c r="F34" s="10" t="s">
        <v>2080</v>
      </c>
      <c r="G34" s="13" t="s">
        <v>703</v>
      </c>
      <c r="H34" s="13"/>
    </row>
    <row r="35" spans="2:8" ht="15" customHeight="1" x14ac:dyDescent="0.25">
      <c r="B35" s="10" t="s">
        <v>1667</v>
      </c>
      <c r="C35" s="10" t="s">
        <v>1668</v>
      </c>
      <c r="E35" s="14">
        <v>8</v>
      </c>
      <c r="F35" s="10" t="s">
        <v>2081</v>
      </c>
      <c r="G35" s="13" t="s">
        <v>703</v>
      </c>
      <c r="H35" s="13"/>
    </row>
    <row r="36" spans="2:8" ht="15" customHeight="1" x14ac:dyDescent="0.25">
      <c r="B36" s="10" t="s">
        <v>1669</v>
      </c>
      <c r="C36" s="10" t="s">
        <v>1670</v>
      </c>
      <c r="E36" s="14">
        <v>8</v>
      </c>
      <c r="F36" s="10" t="s">
        <v>2082</v>
      </c>
      <c r="G36" s="13" t="s">
        <v>703</v>
      </c>
    </row>
    <row r="37" spans="2:8" ht="15" customHeight="1" x14ac:dyDescent="0.25">
      <c r="B37" s="10" t="s">
        <v>1671</v>
      </c>
      <c r="C37" s="10" t="s">
        <v>1672</v>
      </c>
      <c r="E37" s="14">
        <v>8</v>
      </c>
      <c r="F37" s="10" t="s">
        <v>2083</v>
      </c>
      <c r="G37" s="13" t="s">
        <v>703</v>
      </c>
      <c r="H37" s="13"/>
    </row>
    <row r="38" spans="2:8" ht="15" customHeight="1" x14ac:dyDescent="0.25">
      <c r="B38" s="10" t="s">
        <v>1673</v>
      </c>
      <c r="C38" s="10" t="s">
        <v>1674</v>
      </c>
      <c r="E38" s="14">
        <v>8</v>
      </c>
      <c r="F38" s="10" t="s">
        <v>2084</v>
      </c>
      <c r="G38" s="13" t="s">
        <v>703</v>
      </c>
      <c r="H38" s="13"/>
    </row>
    <row r="39" spans="2:8" ht="15" customHeight="1" x14ac:dyDescent="0.25">
      <c r="B39" s="10"/>
      <c r="C39" s="10"/>
      <c r="F39" s="10" t="s">
        <v>105</v>
      </c>
      <c r="G39" s="13"/>
      <c r="H39" s="13"/>
    </row>
    <row r="40" spans="2:8" ht="15" customHeight="1" x14ac:dyDescent="0.25">
      <c r="B40" s="10" t="s">
        <v>977</v>
      </c>
      <c r="C40" s="10" t="s">
        <v>978</v>
      </c>
      <c r="E40">
        <v>9</v>
      </c>
      <c r="F40" s="10" t="s">
        <v>1583</v>
      </c>
      <c r="G40" s="13" t="s">
        <v>175</v>
      </c>
      <c r="H40" s="13"/>
    </row>
    <row r="41" spans="2:8" ht="15" customHeight="1" x14ac:dyDescent="0.25">
      <c r="B41" s="10"/>
      <c r="C41" s="10"/>
      <c r="F41" s="10" t="s">
        <v>105</v>
      </c>
      <c r="G41" s="13"/>
      <c r="H41" s="13"/>
    </row>
    <row r="42" spans="2:8" ht="15" customHeight="1" x14ac:dyDescent="0.25">
      <c r="B42" s="10" t="s">
        <v>979</v>
      </c>
      <c r="C42" s="10" t="s">
        <v>980</v>
      </c>
      <c r="E42">
        <v>10</v>
      </c>
      <c r="F42" s="10" t="s">
        <v>1583</v>
      </c>
      <c r="G42" s="13"/>
      <c r="H42" s="13"/>
    </row>
    <row r="43" spans="2:8" ht="15" customHeight="1" x14ac:dyDescent="0.25">
      <c r="B43" s="10" t="s">
        <v>981</v>
      </c>
      <c r="C43" s="10" t="s">
        <v>982</v>
      </c>
      <c r="E43" s="10">
        <v>11</v>
      </c>
      <c r="F43" s="10" t="s">
        <v>1316</v>
      </c>
      <c r="G43" s="10" t="s">
        <v>687</v>
      </c>
      <c r="H43" s="13"/>
    </row>
    <row r="44" spans="2:8" ht="15" customHeight="1" x14ac:dyDescent="0.25">
      <c r="B44" s="10" t="s">
        <v>983</v>
      </c>
      <c r="C44" s="10" t="s">
        <v>984</v>
      </c>
      <c r="D44" s="10"/>
      <c r="E44" s="14">
        <v>12</v>
      </c>
      <c r="F44" s="10" t="s">
        <v>1317</v>
      </c>
      <c r="G44" s="10" t="s">
        <v>430</v>
      </c>
      <c r="H44" s="13"/>
    </row>
    <row r="45" spans="2:8" ht="15" customHeight="1" x14ac:dyDescent="0.25">
      <c r="B45" s="10" t="s">
        <v>985</v>
      </c>
      <c r="C45" s="10" t="s">
        <v>986</v>
      </c>
      <c r="D45" s="10"/>
      <c r="E45" s="13">
        <v>13</v>
      </c>
      <c r="F45" s="10" t="s">
        <v>1318</v>
      </c>
      <c r="G45" s="10" t="s">
        <v>178</v>
      </c>
      <c r="H45" s="13"/>
    </row>
    <row r="46" spans="2:8" ht="15" customHeight="1" x14ac:dyDescent="0.25">
      <c r="B46" s="10" t="s">
        <v>987</v>
      </c>
      <c r="C46" s="10" t="s">
        <v>988</v>
      </c>
      <c r="E46" s="14">
        <v>14</v>
      </c>
      <c r="F46" s="10" t="s">
        <v>1319</v>
      </c>
      <c r="G46" s="10" t="s">
        <v>555</v>
      </c>
      <c r="H46" s="13"/>
    </row>
    <row r="47" spans="2:8" ht="15" customHeight="1" x14ac:dyDescent="0.25">
      <c r="B47" s="10" t="s">
        <v>989</v>
      </c>
      <c r="C47" s="10" t="s">
        <v>990</v>
      </c>
      <c r="E47" s="13">
        <v>15</v>
      </c>
      <c r="F47" s="10" t="s">
        <v>1320</v>
      </c>
      <c r="G47" s="10" t="s">
        <v>214</v>
      </c>
      <c r="H47" s="13"/>
    </row>
    <row r="48" spans="2:8" ht="15" customHeight="1" x14ac:dyDescent="0.25">
      <c r="B48" s="10" t="s">
        <v>991</v>
      </c>
      <c r="C48" s="10" t="s">
        <v>992</v>
      </c>
      <c r="E48" s="14">
        <v>16</v>
      </c>
      <c r="F48" s="10" t="s">
        <v>1321</v>
      </c>
      <c r="G48" s="10" t="s">
        <v>183</v>
      </c>
      <c r="H48" s="13"/>
    </row>
    <row r="49" spans="2:8" ht="15" customHeight="1" x14ac:dyDescent="0.25">
      <c r="B49" s="10" t="s">
        <v>993</v>
      </c>
      <c r="C49" s="10" t="s">
        <v>994</v>
      </c>
      <c r="E49" s="13">
        <v>17</v>
      </c>
      <c r="F49" s="10" t="s">
        <v>1322</v>
      </c>
      <c r="G49" s="10" t="s">
        <v>215</v>
      </c>
      <c r="H49" s="13"/>
    </row>
    <row r="50" spans="2:8" ht="15" customHeight="1" x14ac:dyDescent="0.25">
      <c r="B50" s="10" t="s">
        <v>995</v>
      </c>
      <c r="C50" s="10" t="s">
        <v>996</v>
      </c>
      <c r="E50" s="14">
        <v>18</v>
      </c>
      <c r="F50" s="10" t="s">
        <v>1323</v>
      </c>
      <c r="G50" s="10" t="s">
        <v>213</v>
      </c>
      <c r="H50" s="13"/>
    </row>
    <row r="51" spans="2:8" ht="15" customHeight="1" x14ac:dyDescent="0.25">
      <c r="B51" s="10" t="s">
        <v>997</v>
      </c>
      <c r="C51" s="10" t="s">
        <v>998</v>
      </c>
      <c r="E51" s="13">
        <v>19</v>
      </c>
      <c r="F51" s="10" t="s">
        <v>1324</v>
      </c>
      <c r="G51" s="10" t="s">
        <v>216</v>
      </c>
      <c r="H51" s="13"/>
    </row>
    <row r="52" spans="2:8" ht="15" customHeight="1" x14ac:dyDescent="0.25">
      <c r="B52" s="10" t="s">
        <v>999</v>
      </c>
      <c r="C52" s="10" t="s">
        <v>1000</v>
      </c>
      <c r="E52" s="14">
        <v>20</v>
      </c>
      <c r="F52" s="10" t="s">
        <v>1325</v>
      </c>
      <c r="G52" s="10" t="s">
        <v>557</v>
      </c>
      <c r="H52" s="13"/>
    </row>
    <row r="53" spans="2:8" ht="15" customHeight="1" x14ac:dyDescent="0.25">
      <c r="B53" s="10" t="s">
        <v>1001</v>
      </c>
      <c r="C53" s="10" t="s">
        <v>1002</v>
      </c>
      <c r="E53" s="13">
        <v>21</v>
      </c>
      <c r="F53" s="10" t="s">
        <v>1326</v>
      </c>
      <c r="G53" s="10" t="s">
        <v>477</v>
      </c>
      <c r="H53" s="13"/>
    </row>
    <row r="54" spans="2:8" ht="15" customHeight="1" x14ac:dyDescent="0.25">
      <c r="B54" s="10" t="s">
        <v>1003</v>
      </c>
      <c r="C54" s="10" t="s">
        <v>1004</v>
      </c>
      <c r="E54" s="14">
        <v>22</v>
      </c>
      <c r="F54" s="10" t="s">
        <v>1327</v>
      </c>
      <c r="G54" s="10" t="s">
        <v>702</v>
      </c>
      <c r="H54" s="13"/>
    </row>
    <row r="55" spans="2:8" ht="15" customHeight="1" x14ac:dyDescent="0.25">
      <c r="B55" s="10" t="s">
        <v>1005</v>
      </c>
      <c r="C55" s="10" t="s">
        <v>1006</v>
      </c>
      <c r="E55" s="13">
        <v>23</v>
      </c>
      <c r="F55" s="10" t="s">
        <v>1328</v>
      </c>
      <c r="G55" s="10" t="s">
        <v>189</v>
      </c>
      <c r="H55" s="13"/>
    </row>
    <row r="56" spans="2:8" ht="15" customHeight="1" x14ac:dyDescent="0.25">
      <c r="B56" s="10" t="s">
        <v>1007</v>
      </c>
      <c r="C56" s="10" t="s">
        <v>1008</v>
      </c>
      <c r="E56" s="14">
        <v>24</v>
      </c>
      <c r="F56" s="10" t="s">
        <v>1329</v>
      </c>
      <c r="G56" s="13" t="s">
        <v>226</v>
      </c>
      <c r="H56" s="13"/>
    </row>
    <row r="57" spans="2:8" ht="15" customHeight="1" x14ac:dyDescent="0.25">
      <c r="B57" s="10" t="s">
        <v>1009</v>
      </c>
      <c r="C57" s="10" t="s">
        <v>1010</v>
      </c>
      <c r="E57" s="13">
        <v>25</v>
      </c>
      <c r="F57" s="10" t="s">
        <v>1330</v>
      </c>
      <c r="G57" s="13" t="s">
        <v>228</v>
      </c>
      <c r="H57" s="13"/>
    </row>
    <row r="58" spans="2:8" ht="15" customHeight="1" x14ac:dyDescent="0.25">
      <c r="B58" s="10" t="s">
        <v>1011</v>
      </c>
      <c r="C58" s="10" t="s">
        <v>1012</v>
      </c>
      <c r="E58" s="14">
        <v>26</v>
      </c>
      <c r="F58" s="10" t="s">
        <v>1331</v>
      </c>
      <c r="G58" s="13" t="s">
        <v>227</v>
      </c>
      <c r="H58" s="13"/>
    </row>
    <row r="59" spans="2:8" ht="15" customHeight="1" x14ac:dyDescent="0.25">
      <c r="B59" s="10" t="s">
        <v>1013</v>
      </c>
      <c r="C59" s="10" t="s">
        <v>1014</v>
      </c>
      <c r="E59" s="13">
        <v>27</v>
      </c>
      <c r="F59" s="10" t="s">
        <v>1332</v>
      </c>
      <c r="G59" s="13" t="s">
        <v>229</v>
      </c>
      <c r="H59" s="13"/>
    </row>
    <row r="60" spans="2:8" ht="15" customHeight="1" x14ac:dyDescent="0.25">
      <c r="B60" s="10" t="s">
        <v>1015</v>
      </c>
      <c r="C60" s="10" t="s">
        <v>1016</v>
      </c>
      <c r="E60" s="14">
        <v>28</v>
      </c>
      <c r="F60" s="10" t="s">
        <v>1333</v>
      </c>
      <c r="G60" s="13" t="s">
        <v>222</v>
      </c>
      <c r="H60" s="13"/>
    </row>
    <row r="61" spans="2:8" ht="15" customHeight="1" x14ac:dyDescent="0.25">
      <c r="B61" s="10" t="s">
        <v>1017</v>
      </c>
      <c r="C61" s="10" t="s">
        <v>1018</v>
      </c>
      <c r="E61" s="13">
        <v>29</v>
      </c>
      <c r="F61" s="10" t="s">
        <v>1334</v>
      </c>
      <c r="G61" s="13" t="s">
        <v>433</v>
      </c>
      <c r="H61" s="13"/>
    </row>
    <row r="62" spans="2:8" ht="15" customHeight="1" x14ac:dyDescent="0.25">
      <c r="B62" s="13" t="s">
        <v>1019</v>
      </c>
      <c r="C62" s="13" t="s">
        <v>1020</v>
      </c>
      <c r="E62" s="14">
        <v>30</v>
      </c>
      <c r="F62" s="13" t="s">
        <v>1335</v>
      </c>
      <c r="G62" s="13" t="s">
        <v>193</v>
      </c>
      <c r="H62" s="13"/>
    </row>
    <row r="63" spans="2:8" ht="15" customHeight="1" x14ac:dyDescent="0.25">
      <c r="B63" s="13" t="s">
        <v>1021</v>
      </c>
      <c r="C63" s="13" t="s">
        <v>1022</v>
      </c>
      <c r="E63" s="13">
        <v>31</v>
      </c>
      <c r="F63" s="13" t="s">
        <v>1336</v>
      </c>
      <c r="G63" s="13" t="s">
        <v>194</v>
      </c>
    </row>
    <row r="64" spans="2:8" ht="15" customHeight="1" x14ac:dyDescent="0.25">
      <c r="B64" s="13" t="s">
        <v>1023</v>
      </c>
      <c r="C64" s="13" t="s">
        <v>1024</v>
      </c>
      <c r="E64" s="14">
        <v>32</v>
      </c>
      <c r="F64" s="13" t="s">
        <v>1337</v>
      </c>
      <c r="G64" s="13" t="s">
        <v>435</v>
      </c>
      <c r="H64" s="13"/>
    </row>
    <row r="65" spans="2:8" ht="15" customHeight="1" x14ac:dyDescent="0.25">
      <c r="B65" s="13" t="s">
        <v>1025</v>
      </c>
      <c r="C65" s="13" t="s">
        <v>1026</v>
      </c>
      <c r="E65" s="14">
        <v>33</v>
      </c>
      <c r="F65" s="13" t="s">
        <v>1338</v>
      </c>
      <c r="G65" s="13" t="s">
        <v>198</v>
      </c>
    </row>
    <row r="66" spans="2:8" ht="15" customHeight="1" x14ac:dyDescent="0.25">
      <c r="B66" s="13" t="s">
        <v>1027</v>
      </c>
      <c r="C66" s="13" t="s">
        <v>1028</v>
      </c>
      <c r="E66" s="13">
        <v>34</v>
      </c>
      <c r="F66" s="13" t="s">
        <v>1339</v>
      </c>
      <c r="G66" s="13" t="s">
        <v>199</v>
      </c>
    </row>
    <row r="67" spans="2:8" ht="15" customHeight="1" x14ac:dyDescent="0.25">
      <c r="B67" s="13" t="s">
        <v>1029</v>
      </c>
      <c r="C67" s="13" t="s">
        <v>1030</v>
      </c>
      <c r="E67" s="14">
        <v>35</v>
      </c>
      <c r="F67" s="13" t="s">
        <v>1340</v>
      </c>
      <c r="G67" s="13" t="s">
        <v>434</v>
      </c>
      <c r="H67" s="13"/>
    </row>
    <row r="68" spans="2:8" ht="15" customHeight="1" x14ac:dyDescent="0.25">
      <c r="B68" s="13" t="s">
        <v>1031</v>
      </c>
      <c r="C68" s="13" t="s">
        <v>1032</v>
      </c>
      <c r="E68" s="13">
        <v>36</v>
      </c>
      <c r="F68" s="13" t="s">
        <v>1341</v>
      </c>
      <c r="G68" s="13" t="s">
        <v>726</v>
      </c>
      <c r="H68" s="13"/>
    </row>
    <row r="69" spans="2:8" ht="15" customHeight="1" x14ac:dyDescent="0.25">
      <c r="B69" s="13" t="s">
        <v>1033</v>
      </c>
      <c r="C69" s="13" t="s">
        <v>1034</v>
      </c>
      <c r="E69" s="14">
        <v>37</v>
      </c>
      <c r="F69" s="13" t="s">
        <v>1342</v>
      </c>
      <c r="G69" s="13" t="s">
        <v>718</v>
      </c>
      <c r="H69" s="13"/>
    </row>
    <row r="70" spans="2:8" ht="15" customHeight="1" x14ac:dyDescent="0.25">
      <c r="B70" s="13" t="s">
        <v>1035</v>
      </c>
      <c r="C70" s="13" t="s">
        <v>1036</v>
      </c>
      <c r="E70" s="13">
        <v>38</v>
      </c>
      <c r="F70" s="13" t="s">
        <v>1343</v>
      </c>
      <c r="G70" s="13" t="s">
        <v>720</v>
      </c>
      <c r="H70" s="13"/>
    </row>
    <row r="71" spans="2:8" ht="15" customHeight="1" x14ac:dyDescent="0.25">
      <c r="B71" s="13" t="s">
        <v>1037</v>
      </c>
      <c r="C71" s="13" t="s">
        <v>1038</v>
      </c>
      <c r="E71" s="14">
        <v>39</v>
      </c>
      <c r="F71" s="13" t="s">
        <v>1344</v>
      </c>
      <c r="G71" s="13" t="s">
        <v>200</v>
      </c>
      <c r="H71" s="13"/>
    </row>
    <row r="72" spans="2:8" ht="15" customHeight="1" x14ac:dyDescent="0.25">
      <c r="B72" s="13" t="s">
        <v>1039</v>
      </c>
      <c r="C72" s="13" t="s">
        <v>1040</v>
      </c>
      <c r="E72" s="13">
        <v>40</v>
      </c>
      <c r="F72" s="13" t="s">
        <v>1345</v>
      </c>
      <c r="G72" s="13" t="s">
        <v>201</v>
      </c>
    </row>
    <row r="73" spans="2:8" ht="15" customHeight="1" x14ac:dyDescent="0.25">
      <c r="B73" s="13" t="s">
        <v>1041</v>
      </c>
      <c r="C73" s="13" t="s">
        <v>1042</v>
      </c>
      <c r="E73" s="14">
        <v>41</v>
      </c>
      <c r="F73" s="13" t="s">
        <v>1346</v>
      </c>
      <c r="G73" s="13" t="s">
        <v>202</v>
      </c>
    </row>
    <row r="74" spans="2:8" ht="15" customHeight="1" x14ac:dyDescent="0.25">
      <c r="B74" s="13" t="s">
        <v>1043</v>
      </c>
      <c r="C74" s="13" t="s">
        <v>1044</v>
      </c>
      <c r="E74" s="13">
        <v>42</v>
      </c>
      <c r="F74" s="13" t="s">
        <v>1347</v>
      </c>
      <c r="G74" s="13" t="s">
        <v>238</v>
      </c>
      <c r="H74" s="13"/>
    </row>
    <row r="75" spans="2:8" ht="15" customHeight="1" x14ac:dyDescent="0.25">
      <c r="B75" s="13" t="s">
        <v>1045</v>
      </c>
      <c r="C75" s="13" t="s">
        <v>1046</v>
      </c>
      <c r="E75" s="14">
        <v>43</v>
      </c>
      <c r="F75" s="13" t="s">
        <v>1348</v>
      </c>
      <c r="G75" s="13" t="s">
        <v>204</v>
      </c>
    </row>
    <row r="76" spans="2:8" ht="15" customHeight="1" x14ac:dyDescent="0.25">
      <c r="B76" s="13" t="s">
        <v>1047</v>
      </c>
      <c r="C76" s="13" t="s">
        <v>1048</v>
      </c>
      <c r="E76" s="13">
        <v>44</v>
      </c>
      <c r="F76" s="13" t="s">
        <v>1349</v>
      </c>
      <c r="G76" s="13" t="s">
        <v>261</v>
      </c>
      <c r="H76" s="13"/>
    </row>
    <row r="77" spans="2:8" ht="15" customHeight="1" x14ac:dyDescent="0.25">
      <c r="B77" s="13" t="s">
        <v>1049</v>
      </c>
      <c r="C77" s="13" t="s">
        <v>1050</v>
      </c>
      <c r="E77" s="14">
        <v>45</v>
      </c>
      <c r="F77" s="13" t="s">
        <v>1350</v>
      </c>
      <c r="G77" s="13" t="s">
        <v>206</v>
      </c>
      <c r="H77" s="13"/>
    </row>
    <row r="78" spans="2:8" ht="15" customHeight="1" x14ac:dyDescent="0.25">
      <c r="B78" s="13" t="s">
        <v>1051</v>
      </c>
      <c r="C78" s="13" t="s">
        <v>1052</v>
      </c>
      <c r="E78" s="14">
        <v>46</v>
      </c>
      <c r="F78" s="13" t="s">
        <v>1351</v>
      </c>
      <c r="G78" s="13" t="s">
        <v>476</v>
      </c>
      <c r="H78" s="13"/>
    </row>
    <row r="79" spans="2:8" ht="15" customHeight="1" x14ac:dyDescent="0.25">
      <c r="B79" s="13" t="s">
        <v>1053</v>
      </c>
      <c r="C79" s="13" t="s">
        <v>1054</v>
      </c>
      <c r="E79" s="13">
        <v>47</v>
      </c>
      <c r="F79" s="13" t="s">
        <v>1352</v>
      </c>
      <c r="G79" s="13" t="s">
        <v>241</v>
      </c>
      <c r="H79" s="13"/>
    </row>
    <row r="80" spans="2:8" ht="15" customHeight="1" x14ac:dyDescent="0.25">
      <c r="B80" s="13" t="s">
        <v>1055</v>
      </c>
      <c r="C80" s="13" t="s">
        <v>1056</v>
      </c>
      <c r="E80" s="14">
        <v>48</v>
      </c>
      <c r="F80" s="13" t="s">
        <v>1353</v>
      </c>
      <c r="G80" s="13" t="s">
        <v>220</v>
      </c>
      <c r="H80" s="13"/>
    </row>
    <row r="81" spans="2:8" ht="15" customHeight="1" x14ac:dyDescent="0.25">
      <c r="B81" s="13" t="s">
        <v>1057</v>
      </c>
      <c r="C81" s="13" t="s">
        <v>1058</v>
      </c>
      <c r="E81" s="13">
        <v>49</v>
      </c>
      <c r="F81" s="13" t="s">
        <v>1354</v>
      </c>
      <c r="G81" s="13" t="s">
        <v>218</v>
      </c>
      <c r="H81" s="13"/>
    </row>
    <row r="82" spans="2:8" ht="15" customHeight="1" x14ac:dyDescent="0.25">
      <c r="B82" s="13" t="s">
        <v>1059</v>
      </c>
      <c r="C82" s="13" t="s">
        <v>1060</v>
      </c>
      <c r="E82" s="14">
        <v>50</v>
      </c>
      <c r="F82" s="13" t="s">
        <v>1355</v>
      </c>
      <c r="G82" s="13" t="s">
        <v>221</v>
      </c>
      <c r="H82" s="13"/>
    </row>
    <row r="83" spans="2:8" ht="15" customHeight="1" x14ac:dyDescent="0.25">
      <c r="B83" s="13" t="s">
        <v>1061</v>
      </c>
      <c r="C83" s="13" t="s">
        <v>1062</v>
      </c>
      <c r="E83" s="13">
        <v>51</v>
      </c>
      <c r="F83" s="13" t="s">
        <v>1356</v>
      </c>
      <c r="G83" s="13" t="s">
        <v>235</v>
      </c>
      <c r="H83" s="13"/>
    </row>
    <row r="84" spans="2:8" ht="15" customHeight="1" x14ac:dyDescent="0.25">
      <c r="B84" s="13" t="s">
        <v>1063</v>
      </c>
      <c r="C84" s="13" t="s">
        <v>1064</v>
      </c>
      <c r="E84" s="14">
        <v>52</v>
      </c>
      <c r="F84" s="13" t="s">
        <v>1357</v>
      </c>
      <c r="G84" s="13" t="s">
        <v>207</v>
      </c>
      <c r="H84" s="13"/>
    </row>
    <row r="85" spans="2:8" ht="15" customHeight="1" x14ac:dyDescent="0.25">
      <c r="B85" s="13" t="s">
        <v>1065</v>
      </c>
      <c r="C85" s="13" t="s">
        <v>1066</v>
      </c>
      <c r="E85" s="13">
        <v>53</v>
      </c>
      <c r="F85" s="13" t="s">
        <v>1358</v>
      </c>
      <c r="G85" s="13" t="s">
        <v>208</v>
      </c>
      <c r="H85" s="13"/>
    </row>
    <row r="86" spans="2:8" ht="15" customHeight="1" x14ac:dyDescent="0.25">
      <c r="B86" s="13" t="s">
        <v>1067</v>
      </c>
      <c r="C86" s="13" t="s">
        <v>1068</v>
      </c>
      <c r="E86" s="14">
        <v>54</v>
      </c>
      <c r="F86" s="13" t="s">
        <v>1359</v>
      </c>
      <c r="G86" s="13" t="s">
        <v>236</v>
      </c>
      <c r="H86" s="13"/>
    </row>
    <row r="87" spans="2:8" ht="15" customHeight="1" x14ac:dyDescent="0.25">
      <c r="B87" s="13" t="s">
        <v>1069</v>
      </c>
      <c r="C87" s="13" t="s">
        <v>1070</v>
      </c>
      <c r="E87" s="13">
        <v>55</v>
      </c>
      <c r="F87" s="13" t="s">
        <v>1360</v>
      </c>
      <c r="G87" s="13" t="s">
        <v>209</v>
      </c>
    </row>
    <row r="88" spans="2:8" ht="15" customHeight="1" x14ac:dyDescent="0.25">
      <c r="B88" s="13" t="s">
        <v>1071</v>
      </c>
      <c r="C88" s="13" t="s">
        <v>1072</v>
      </c>
      <c r="E88" s="14">
        <v>56</v>
      </c>
      <c r="F88" s="13" t="s">
        <v>1361</v>
      </c>
      <c r="G88" s="13" t="s">
        <v>556</v>
      </c>
      <c r="H88" s="13"/>
    </row>
    <row r="89" spans="2:8" ht="15" customHeight="1" x14ac:dyDescent="0.25">
      <c r="B89" s="13" t="s">
        <v>1073</v>
      </c>
      <c r="C89" s="13" t="s">
        <v>1074</v>
      </c>
      <c r="E89" s="13">
        <v>57</v>
      </c>
      <c r="F89" s="13" t="s">
        <v>1362</v>
      </c>
      <c r="G89" s="13" t="s">
        <v>237</v>
      </c>
      <c r="H89" s="13"/>
    </row>
    <row r="90" spans="2:8" ht="15" customHeight="1" x14ac:dyDescent="0.25">
      <c r="B90" s="13" t="s">
        <v>1075</v>
      </c>
      <c r="C90" s="13" t="s">
        <v>1076</v>
      </c>
      <c r="E90" s="14">
        <v>58</v>
      </c>
      <c r="F90" s="13" t="s">
        <v>1363</v>
      </c>
      <c r="G90" s="13" t="s">
        <v>233</v>
      </c>
      <c r="H90" s="13"/>
    </row>
    <row r="91" spans="2:8" ht="15" customHeight="1" x14ac:dyDescent="0.25">
      <c r="B91" s="13" t="s">
        <v>1077</v>
      </c>
      <c r="C91" s="13" t="s">
        <v>1078</v>
      </c>
      <c r="E91" s="13">
        <v>59</v>
      </c>
      <c r="F91" s="13" t="s">
        <v>1364</v>
      </c>
      <c r="G91" s="13" t="s">
        <v>210</v>
      </c>
    </row>
    <row r="92" spans="2:8" ht="15" customHeight="1" x14ac:dyDescent="0.25">
      <c r="B92" s="13" t="s">
        <v>1079</v>
      </c>
      <c r="C92" s="13" t="s">
        <v>1080</v>
      </c>
      <c r="E92" s="14">
        <v>60</v>
      </c>
      <c r="F92" s="13" t="s">
        <v>1365</v>
      </c>
      <c r="G92" s="13" t="s">
        <v>234</v>
      </c>
      <c r="H92" s="13"/>
    </row>
    <row r="93" spans="2:8" ht="15" customHeight="1" x14ac:dyDescent="0.25">
      <c r="B93" s="13" t="s">
        <v>1081</v>
      </c>
      <c r="C93" s="13" t="s">
        <v>1082</v>
      </c>
      <c r="E93" s="13">
        <v>61</v>
      </c>
      <c r="F93" s="13" t="s">
        <v>1366</v>
      </c>
      <c r="G93" s="13" t="s">
        <v>234</v>
      </c>
      <c r="H93" s="13"/>
    </row>
    <row r="94" spans="2:8" ht="15" customHeight="1" x14ac:dyDescent="0.25">
      <c r="B94" s="13" t="s">
        <v>1083</v>
      </c>
      <c r="C94" s="13" t="s">
        <v>1084</v>
      </c>
      <c r="E94" s="14">
        <v>62</v>
      </c>
      <c r="F94" s="13" t="s">
        <v>1367</v>
      </c>
      <c r="G94" s="13" t="s">
        <v>217</v>
      </c>
      <c r="H94" s="13"/>
    </row>
    <row r="95" spans="2:8" ht="15" customHeight="1" x14ac:dyDescent="0.25">
      <c r="B95" s="13" t="s">
        <v>1085</v>
      </c>
      <c r="C95" s="13" t="s">
        <v>1086</v>
      </c>
      <c r="E95" s="13">
        <v>63</v>
      </c>
      <c r="F95" s="13" t="s">
        <v>1368</v>
      </c>
      <c r="G95" s="13" t="s">
        <v>219</v>
      </c>
      <c r="H95" s="13"/>
    </row>
    <row r="96" spans="2:8" ht="15" customHeight="1" x14ac:dyDescent="0.25">
      <c r="B96" s="13" t="s">
        <v>1087</v>
      </c>
      <c r="C96" s="13" t="s">
        <v>1088</v>
      </c>
      <c r="E96" s="14">
        <v>64</v>
      </c>
      <c r="F96" s="13" t="s">
        <v>1369</v>
      </c>
      <c r="G96" s="13" t="s">
        <v>719</v>
      </c>
      <c r="H96" s="13"/>
    </row>
    <row r="97" spans="2:8" ht="15" customHeight="1" x14ac:dyDescent="0.25">
      <c r="B97" s="13" t="s">
        <v>1089</v>
      </c>
      <c r="C97" s="13" t="s">
        <v>1090</v>
      </c>
      <c r="E97" s="13">
        <v>65</v>
      </c>
      <c r="F97" s="13" t="s">
        <v>1370</v>
      </c>
      <c r="G97" s="13" t="s">
        <v>721</v>
      </c>
      <c r="H97" s="13"/>
    </row>
    <row r="98" spans="2:8" ht="15" customHeight="1" x14ac:dyDescent="0.25">
      <c r="B98" s="13" t="s">
        <v>1091</v>
      </c>
      <c r="C98" s="13" t="s">
        <v>1092</v>
      </c>
      <c r="E98" s="14">
        <v>66</v>
      </c>
      <c r="F98" s="13" t="s">
        <v>1371</v>
      </c>
      <c r="G98" s="13" t="s">
        <v>232</v>
      </c>
      <c r="H98" s="13"/>
    </row>
    <row r="99" spans="2:8" ht="15" customHeight="1" x14ac:dyDescent="0.25">
      <c r="B99" s="13" t="s">
        <v>1093</v>
      </c>
      <c r="C99" s="13" t="s">
        <v>1094</v>
      </c>
      <c r="E99" s="13">
        <v>67</v>
      </c>
      <c r="F99" s="13" t="s">
        <v>1372</v>
      </c>
      <c r="G99" t="s">
        <v>224</v>
      </c>
    </row>
    <row r="100" spans="2:8" ht="15" customHeight="1" x14ac:dyDescent="0.25">
      <c r="B100" s="13" t="s">
        <v>1095</v>
      </c>
      <c r="C100" s="13" t="s">
        <v>1096</v>
      </c>
      <c r="E100" s="14">
        <v>68</v>
      </c>
      <c r="F100" s="13" t="s">
        <v>1373</v>
      </c>
      <c r="G100" s="13" t="s">
        <v>225</v>
      </c>
      <c r="H100" s="13"/>
    </row>
    <row r="101" spans="2:8" ht="15" customHeight="1" x14ac:dyDescent="0.25">
      <c r="B101" s="13" t="s">
        <v>1097</v>
      </c>
      <c r="C101" s="13" t="s">
        <v>1098</v>
      </c>
      <c r="E101" s="13">
        <v>69</v>
      </c>
      <c r="F101" s="13" t="s">
        <v>1374</v>
      </c>
      <c r="G101" s="13" t="s">
        <v>231</v>
      </c>
      <c r="H101" s="13"/>
    </row>
    <row r="102" spans="2:8" ht="15" customHeight="1" x14ac:dyDescent="0.25">
      <c r="B102" s="13" t="s">
        <v>1099</v>
      </c>
      <c r="C102" s="13" t="s">
        <v>1100</v>
      </c>
      <c r="E102" s="14">
        <v>70</v>
      </c>
      <c r="F102" s="13" t="s">
        <v>1375</v>
      </c>
      <c r="G102" s="13" t="s">
        <v>722</v>
      </c>
    </row>
    <row r="103" spans="2:8" ht="15" customHeight="1" x14ac:dyDescent="0.25">
      <c r="B103" s="13" t="s">
        <v>1101</v>
      </c>
      <c r="C103" s="13" t="s">
        <v>1102</v>
      </c>
      <c r="E103" s="13">
        <v>71</v>
      </c>
      <c r="F103" s="13" t="s">
        <v>1376</v>
      </c>
      <c r="G103" s="13" t="s">
        <v>722</v>
      </c>
      <c r="H103" s="13"/>
    </row>
    <row r="104" spans="2:8" ht="15" customHeight="1" x14ac:dyDescent="0.25">
      <c r="B104" s="13" t="s">
        <v>1103</v>
      </c>
      <c r="C104" s="13" t="s">
        <v>1104</v>
      </c>
      <c r="E104" s="14">
        <v>72</v>
      </c>
      <c r="F104" s="13" t="s">
        <v>1377</v>
      </c>
      <c r="G104" s="13" t="s">
        <v>230</v>
      </c>
      <c r="H104" s="13"/>
    </row>
    <row r="105" spans="2:8" ht="15" customHeight="1" x14ac:dyDescent="0.25">
      <c r="B105" s="13" t="s">
        <v>1105</v>
      </c>
      <c r="C105" s="13" t="s">
        <v>1106</v>
      </c>
      <c r="E105" s="13">
        <v>73</v>
      </c>
      <c r="F105" s="13" t="s">
        <v>1378</v>
      </c>
      <c r="G105" s="13" t="s">
        <v>239</v>
      </c>
      <c r="H105" s="13"/>
    </row>
    <row r="106" spans="2:8" ht="15" customHeight="1" x14ac:dyDescent="0.25">
      <c r="B106" s="13" t="s">
        <v>1107</v>
      </c>
      <c r="C106" s="13" t="s">
        <v>1108</v>
      </c>
      <c r="E106" s="14">
        <v>74</v>
      </c>
      <c r="F106" s="13" t="s">
        <v>1379</v>
      </c>
      <c r="G106" s="13" t="s">
        <v>240</v>
      </c>
    </row>
    <row r="107" spans="2:8" ht="15" customHeight="1" x14ac:dyDescent="0.25">
      <c r="B107" s="13" t="s">
        <v>1109</v>
      </c>
      <c r="C107" s="13" t="s">
        <v>1110</v>
      </c>
      <c r="E107" s="13">
        <v>75</v>
      </c>
      <c r="F107" s="13" t="s">
        <v>1380</v>
      </c>
      <c r="G107" s="13" t="s">
        <v>243</v>
      </c>
      <c r="H107" s="13"/>
    </row>
    <row r="108" spans="2:8" ht="15" customHeight="1" x14ac:dyDescent="0.25">
      <c r="B108" s="13" t="s">
        <v>1111</v>
      </c>
      <c r="C108" s="13" t="s">
        <v>1112</v>
      </c>
      <c r="E108" s="14">
        <v>76</v>
      </c>
      <c r="F108" s="13" t="s">
        <v>1381</v>
      </c>
      <c r="G108" s="13" t="s">
        <v>244</v>
      </c>
      <c r="H108" s="13"/>
    </row>
    <row r="109" spans="2:8" ht="15" customHeight="1" x14ac:dyDescent="0.25">
      <c r="B109" s="13" t="s">
        <v>1113</v>
      </c>
      <c r="C109" s="13" t="s">
        <v>1114</v>
      </c>
      <c r="E109" s="13">
        <v>77</v>
      </c>
      <c r="F109" s="13" t="s">
        <v>1382</v>
      </c>
      <c r="G109" s="13" t="s">
        <v>245</v>
      </c>
      <c r="H109" s="13"/>
    </row>
    <row r="110" spans="2:8" ht="15" customHeight="1" x14ac:dyDescent="0.25">
      <c r="B110" s="13" t="s">
        <v>1115</v>
      </c>
      <c r="C110" s="13" t="s">
        <v>1116</v>
      </c>
      <c r="E110" s="14">
        <v>78</v>
      </c>
      <c r="F110" s="13" t="s">
        <v>2111</v>
      </c>
      <c r="G110" s="13" t="s">
        <v>562</v>
      </c>
      <c r="H110" s="13"/>
    </row>
    <row r="111" spans="2:8" ht="15" customHeight="1" x14ac:dyDescent="0.25">
      <c r="B111" s="13" t="s">
        <v>1117</v>
      </c>
      <c r="C111" s="13" t="s">
        <v>1118</v>
      </c>
      <c r="E111" s="13">
        <v>79</v>
      </c>
      <c r="F111" s="13" t="s">
        <v>1383</v>
      </c>
      <c r="G111" s="13"/>
      <c r="H111" s="13"/>
    </row>
    <row r="112" spans="2:8" ht="15" customHeight="1" x14ac:dyDescent="0.25">
      <c r="B112" s="13" t="s">
        <v>1119</v>
      </c>
      <c r="C112" s="13" t="s">
        <v>1120</v>
      </c>
      <c r="E112" s="14">
        <v>80</v>
      </c>
      <c r="F112" s="13" t="s">
        <v>2112</v>
      </c>
      <c r="G112" s="13" t="s">
        <v>247</v>
      </c>
    </row>
    <row r="113" spans="2:8" ht="15" customHeight="1" x14ac:dyDescent="0.25">
      <c r="B113" s="13" t="s">
        <v>1121</v>
      </c>
      <c r="C113" s="13" t="s">
        <v>1122</v>
      </c>
      <c r="E113" s="13">
        <v>81</v>
      </c>
      <c r="F113" s="13" t="s">
        <v>1384</v>
      </c>
      <c r="G113" s="13"/>
      <c r="H113" s="13"/>
    </row>
    <row r="114" spans="2:8" ht="15" customHeight="1" x14ac:dyDescent="0.25">
      <c r="B114" s="13" t="s">
        <v>1123</v>
      </c>
      <c r="C114" s="13" t="s">
        <v>1124</v>
      </c>
      <c r="E114" s="14">
        <v>82</v>
      </c>
      <c r="F114" s="13" t="s">
        <v>2113</v>
      </c>
      <c r="G114" s="13" t="s">
        <v>248</v>
      </c>
    </row>
    <row r="115" spans="2:8" ht="15" customHeight="1" x14ac:dyDescent="0.25">
      <c r="B115" s="13" t="s">
        <v>1125</v>
      </c>
      <c r="C115" s="13" t="s">
        <v>1126</v>
      </c>
      <c r="E115" s="13">
        <v>83</v>
      </c>
      <c r="F115" s="13" t="s">
        <v>2114</v>
      </c>
      <c r="G115" s="13" t="s">
        <v>631</v>
      </c>
      <c r="H115" s="13"/>
    </row>
    <row r="116" spans="2:8" ht="15" customHeight="1" x14ac:dyDescent="0.25">
      <c r="B116" s="13" t="s">
        <v>1127</v>
      </c>
      <c r="C116" s="13" t="s">
        <v>1128</v>
      </c>
      <c r="E116" s="14">
        <v>84</v>
      </c>
      <c r="F116" s="13" t="s">
        <v>1385</v>
      </c>
      <c r="G116" s="13" t="s">
        <v>256</v>
      </c>
      <c r="H116" s="13"/>
    </row>
    <row r="117" spans="2:8" ht="15" customHeight="1" x14ac:dyDescent="0.25">
      <c r="B117" s="13" t="s">
        <v>1129</v>
      </c>
      <c r="C117" s="13" t="s">
        <v>1130</v>
      </c>
      <c r="E117" s="13">
        <v>85</v>
      </c>
      <c r="F117" s="13" t="s">
        <v>2115</v>
      </c>
      <c r="G117" s="13" t="s">
        <v>257</v>
      </c>
      <c r="H117" s="13"/>
    </row>
    <row r="118" spans="2:8" ht="15" customHeight="1" x14ac:dyDescent="0.25">
      <c r="B118" s="13" t="s">
        <v>1131</v>
      </c>
      <c r="C118" s="13" t="s">
        <v>1132</v>
      </c>
      <c r="E118" s="14">
        <v>86</v>
      </c>
      <c r="F118" s="13" t="s">
        <v>1386</v>
      </c>
      <c r="G118" s="13"/>
      <c r="H118" s="13"/>
    </row>
    <row r="119" spans="2:8" ht="15" customHeight="1" x14ac:dyDescent="0.25">
      <c r="B119" s="13" t="s">
        <v>1133</v>
      </c>
      <c r="C119" s="13" t="s">
        <v>1134</v>
      </c>
      <c r="E119" s="13">
        <v>87</v>
      </c>
      <c r="F119" s="13" t="s">
        <v>1387</v>
      </c>
      <c r="G119" s="13" t="s">
        <v>264</v>
      </c>
      <c r="H119" s="13"/>
    </row>
    <row r="120" spans="2:8" ht="15" customHeight="1" x14ac:dyDescent="0.25">
      <c r="B120" s="13" t="s">
        <v>1135</v>
      </c>
      <c r="C120" s="13" t="s">
        <v>1136</v>
      </c>
      <c r="E120" s="14">
        <v>88</v>
      </c>
      <c r="F120" s="13" t="s">
        <v>1388</v>
      </c>
      <c r="G120" s="13" t="s">
        <v>308</v>
      </c>
      <c r="H120" s="13"/>
    </row>
    <row r="121" spans="2:8" ht="15" customHeight="1" x14ac:dyDescent="0.25">
      <c r="B121" s="13" t="s">
        <v>1137</v>
      </c>
      <c r="C121" s="13" t="s">
        <v>1138</v>
      </c>
      <c r="E121" s="13">
        <v>89</v>
      </c>
      <c r="F121" s="13" t="s">
        <v>1389</v>
      </c>
      <c r="G121" s="13" t="s">
        <v>309</v>
      </c>
      <c r="H121" s="13"/>
    </row>
    <row r="122" spans="2:8" ht="15" customHeight="1" x14ac:dyDescent="0.25">
      <c r="B122" s="13" t="s">
        <v>1139</v>
      </c>
      <c r="C122" s="13" t="s">
        <v>1140</v>
      </c>
      <c r="E122" s="14">
        <v>90</v>
      </c>
      <c r="F122" s="13" t="s">
        <v>1390</v>
      </c>
      <c r="G122" s="13" t="s">
        <v>691</v>
      </c>
      <c r="H122" s="13"/>
    </row>
    <row r="123" spans="2:8" ht="15" customHeight="1" x14ac:dyDescent="0.25">
      <c r="B123" s="13" t="s">
        <v>1141</v>
      </c>
      <c r="C123" s="13" t="s">
        <v>1142</v>
      </c>
      <c r="E123" s="13">
        <v>91</v>
      </c>
      <c r="F123" s="13" t="s">
        <v>1391</v>
      </c>
      <c r="G123" s="13" t="s">
        <v>552</v>
      </c>
      <c r="H123" s="13"/>
    </row>
    <row r="124" spans="2:8" ht="15" customHeight="1" x14ac:dyDescent="0.25">
      <c r="B124" s="13" t="s">
        <v>1143</v>
      </c>
      <c r="C124" s="13" t="s">
        <v>1144</v>
      </c>
      <c r="E124" s="14">
        <v>92</v>
      </c>
      <c r="F124" s="13" t="s">
        <v>1392</v>
      </c>
      <c r="G124" t="s">
        <v>311</v>
      </c>
    </row>
    <row r="125" spans="2:8" ht="15" customHeight="1" x14ac:dyDescent="0.25">
      <c r="B125" s="13" t="s">
        <v>1145</v>
      </c>
      <c r="C125" s="13" t="s">
        <v>1146</v>
      </c>
      <c r="E125" s="13">
        <v>93</v>
      </c>
      <c r="F125" s="13" t="s">
        <v>1393</v>
      </c>
      <c r="G125" s="13" t="s">
        <v>312</v>
      </c>
      <c r="H125" s="13"/>
    </row>
    <row r="126" spans="2:8" ht="15" customHeight="1" x14ac:dyDescent="0.25">
      <c r="B126" s="13" t="s">
        <v>1147</v>
      </c>
      <c r="C126" s="13" t="s">
        <v>1148</v>
      </c>
      <c r="E126" s="14">
        <v>94</v>
      </c>
      <c r="F126" s="13" t="s">
        <v>1394</v>
      </c>
      <c r="G126" t="s">
        <v>350</v>
      </c>
    </row>
    <row r="127" spans="2:8" ht="15" customHeight="1" x14ac:dyDescent="0.25">
      <c r="B127" s="13" t="s">
        <v>1149</v>
      </c>
      <c r="C127" s="13" t="s">
        <v>1150</v>
      </c>
      <c r="E127" s="13">
        <v>95</v>
      </c>
      <c r="F127" s="13" t="s">
        <v>1395</v>
      </c>
      <c r="G127" s="13" t="s">
        <v>693</v>
      </c>
      <c r="H127" s="13"/>
    </row>
    <row r="128" spans="2:8" ht="15" customHeight="1" x14ac:dyDescent="0.25">
      <c r="B128" s="13" t="s">
        <v>1151</v>
      </c>
      <c r="C128" s="13" t="s">
        <v>1152</v>
      </c>
      <c r="E128" s="14">
        <v>96</v>
      </c>
      <c r="F128" s="13" t="s">
        <v>1396</v>
      </c>
      <c r="G128" s="13" t="s">
        <v>632</v>
      </c>
      <c r="H128" s="13"/>
    </row>
    <row r="129" spans="2:8" ht="15" customHeight="1" x14ac:dyDescent="0.25">
      <c r="B129" s="13" t="s">
        <v>1153</v>
      </c>
      <c r="C129" s="13" t="s">
        <v>1154</v>
      </c>
      <c r="E129" s="13">
        <v>97</v>
      </c>
      <c r="F129" s="13" t="s">
        <v>1397</v>
      </c>
      <c r="G129" s="13" t="s">
        <v>313</v>
      </c>
      <c r="H129" s="13"/>
    </row>
    <row r="130" spans="2:8" ht="15" customHeight="1" x14ac:dyDescent="0.25">
      <c r="B130" s="13" t="s">
        <v>1155</v>
      </c>
      <c r="C130" s="13" t="s">
        <v>1156</v>
      </c>
      <c r="E130" s="14">
        <v>98</v>
      </c>
      <c r="F130" s="13" t="s">
        <v>1398</v>
      </c>
      <c r="G130" s="13" t="s">
        <v>300</v>
      </c>
      <c r="H130" s="13"/>
    </row>
    <row r="131" spans="2:8" ht="15" customHeight="1" x14ac:dyDescent="0.25">
      <c r="B131" s="13" t="s">
        <v>1157</v>
      </c>
      <c r="C131" s="13" t="s">
        <v>1158</v>
      </c>
      <c r="E131" s="13">
        <v>99</v>
      </c>
      <c r="F131" s="13" t="s">
        <v>1399</v>
      </c>
      <c r="G131" s="13" t="s">
        <v>265</v>
      </c>
      <c r="H131" s="13"/>
    </row>
    <row r="132" spans="2:8" ht="15" customHeight="1" x14ac:dyDescent="0.25">
      <c r="B132" s="13" t="s">
        <v>1159</v>
      </c>
      <c r="C132" s="13" t="s">
        <v>1160</v>
      </c>
      <c r="E132" s="14">
        <v>100</v>
      </c>
      <c r="F132" s="13" t="s">
        <v>1400</v>
      </c>
      <c r="G132" t="s">
        <v>266</v>
      </c>
    </row>
    <row r="133" spans="2:8" ht="15" customHeight="1" x14ac:dyDescent="0.25">
      <c r="B133" s="13" t="s">
        <v>1161</v>
      </c>
      <c r="C133" s="13" t="s">
        <v>1162</v>
      </c>
      <c r="E133" s="13">
        <v>101</v>
      </c>
      <c r="F133" s="13" t="s">
        <v>1401</v>
      </c>
      <c r="G133" t="s">
        <v>267</v>
      </c>
    </row>
    <row r="134" spans="2:8" ht="15" customHeight="1" x14ac:dyDescent="0.25">
      <c r="B134" s="13" t="s">
        <v>1163</v>
      </c>
      <c r="C134" s="13" t="s">
        <v>1164</v>
      </c>
      <c r="E134" s="14">
        <v>102</v>
      </c>
      <c r="F134" s="13" t="s">
        <v>1402</v>
      </c>
      <c r="G134" t="s">
        <v>268</v>
      </c>
    </row>
    <row r="135" spans="2:8" ht="15" customHeight="1" x14ac:dyDescent="0.25">
      <c r="B135" s="13" t="s">
        <v>1165</v>
      </c>
      <c r="C135" s="13" t="s">
        <v>1166</v>
      </c>
      <c r="E135" s="13">
        <v>103</v>
      </c>
      <c r="F135" s="13" t="s">
        <v>1403</v>
      </c>
      <c r="G135" t="s">
        <v>269</v>
      </c>
    </row>
    <row r="136" spans="2:8" ht="15" customHeight="1" x14ac:dyDescent="0.25">
      <c r="B136" s="13" t="s">
        <v>1167</v>
      </c>
      <c r="C136" s="13" t="s">
        <v>1168</v>
      </c>
      <c r="E136" s="14">
        <v>104</v>
      </c>
      <c r="F136" s="13" t="s">
        <v>1404</v>
      </c>
      <c r="G136" t="s">
        <v>270</v>
      </c>
    </row>
    <row r="137" spans="2:8" ht="15" customHeight="1" x14ac:dyDescent="0.25">
      <c r="B137" s="13" t="s">
        <v>1169</v>
      </c>
      <c r="C137" s="13" t="s">
        <v>1170</v>
      </c>
      <c r="E137" s="13">
        <v>105</v>
      </c>
      <c r="F137" s="13" t="s">
        <v>1405</v>
      </c>
      <c r="G137" t="s">
        <v>271</v>
      </c>
    </row>
    <row r="138" spans="2:8" ht="15" customHeight="1" x14ac:dyDescent="0.25">
      <c r="B138" s="13" t="s">
        <v>1171</v>
      </c>
      <c r="C138" s="13" t="s">
        <v>1172</v>
      </c>
      <c r="E138" s="14">
        <v>106</v>
      </c>
      <c r="F138" s="13" t="s">
        <v>1406</v>
      </c>
      <c r="G138" t="s">
        <v>272</v>
      </c>
    </row>
    <row r="139" spans="2:8" ht="15" customHeight="1" x14ac:dyDescent="0.25">
      <c r="B139" s="13" t="s">
        <v>1173</v>
      </c>
      <c r="C139" s="13" t="s">
        <v>1174</v>
      </c>
      <c r="E139" s="13">
        <v>107</v>
      </c>
      <c r="F139" s="13" t="s">
        <v>1407</v>
      </c>
      <c r="G139" t="s">
        <v>273</v>
      </c>
    </row>
    <row r="140" spans="2:8" ht="15" customHeight="1" x14ac:dyDescent="0.25">
      <c r="B140" s="13" t="s">
        <v>1175</v>
      </c>
      <c r="C140" s="13" t="s">
        <v>1176</v>
      </c>
      <c r="E140" s="14">
        <v>108</v>
      </c>
      <c r="F140" s="13" t="s">
        <v>1408</v>
      </c>
      <c r="G140" t="s">
        <v>274</v>
      </c>
    </row>
    <row r="141" spans="2:8" ht="15" customHeight="1" x14ac:dyDescent="0.25">
      <c r="B141" s="13" t="s">
        <v>1177</v>
      </c>
      <c r="C141" s="13" t="s">
        <v>1178</v>
      </c>
      <c r="E141" s="13">
        <v>109</v>
      </c>
      <c r="F141" s="13" t="s">
        <v>1409</v>
      </c>
      <c r="G141" t="s">
        <v>275</v>
      </c>
    </row>
    <row r="142" spans="2:8" ht="15" customHeight="1" x14ac:dyDescent="0.25">
      <c r="B142" s="13" t="s">
        <v>1179</v>
      </c>
      <c r="C142" s="13" t="s">
        <v>1180</v>
      </c>
      <c r="E142" s="14">
        <v>110</v>
      </c>
      <c r="F142" s="13" t="s">
        <v>1410</v>
      </c>
      <c r="G142" t="s">
        <v>276</v>
      </c>
    </row>
    <row r="143" spans="2:8" ht="15" customHeight="1" x14ac:dyDescent="0.25">
      <c r="B143" s="13" t="s">
        <v>1181</v>
      </c>
      <c r="C143" s="13" t="s">
        <v>1182</v>
      </c>
      <c r="E143" s="13">
        <v>111</v>
      </c>
      <c r="F143" s="13" t="s">
        <v>1411</v>
      </c>
      <c r="G143" t="s">
        <v>277</v>
      </c>
    </row>
    <row r="144" spans="2:8" ht="15" customHeight="1" x14ac:dyDescent="0.25">
      <c r="B144" s="13" t="s">
        <v>1183</v>
      </c>
      <c r="C144" s="13" t="s">
        <v>1184</v>
      </c>
      <c r="E144" s="14">
        <v>112</v>
      </c>
      <c r="F144" s="13" t="s">
        <v>1412</v>
      </c>
      <c r="G144" t="s">
        <v>278</v>
      </c>
    </row>
    <row r="145" spans="2:8" ht="15" customHeight="1" x14ac:dyDescent="0.25">
      <c r="B145" s="13" t="s">
        <v>1185</v>
      </c>
      <c r="C145" s="13" t="s">
        <v>1186</v>
      </c>
      <c r="E145" s="13">
        <v>113</v>
      </c>
      <c r="F145" s="13" t="s">
        <v>1413</v>
      </c>
      <c r="G145" t="s">
        <v>279</v>
      </c>
    </row>
    <row r="146" spans="2:8" ht="15" customHeight="1" x14ac:dyDescent="0.25">
      <c r="B146" s="13" t="s">
        <v>1187</v>
      </c>
      <c r="C146" s="13" t="s">
        <v>1188</v>
      </c>
      <c r="E146" s="14">
        <v>114</v>
      </c>
      <c r="F146" s="13" t="s">
        <v>1414</v>
      </c>
      <c r="G146" t="s">
        <v>280</v>
      </c>
    </row>
    <row r="147" spans="2:8" ht="15" customHeight="1" x14ac:dyDescent="0.25">
      <c r="B147" s="13" t="s">
        <v>1189</v>
      </c>
      <c r="C147" s="13" t="s">
        <v>1190</v>
      </c>
      <c r="E147" s="13">
        <v>115</v>
      </c>
      <c r="F147" s="13" t="s">
        <v>1415</v>
      </c>
      <c r="G147" t="s">
        <v>281</v>
      </c>
    </row>
    <row r="148" spans="2:8" ht="15" customHeight="1" x14ac:dyDescent="0.25">
      <c r="B148" s="13" t="s">
        <v>1191</v>
      </c>
      <c r="C148" s="13" t="s">
        <v>1192</v>
      </c>
      <c r="E148" s="14">
        <v>116</v>
      </c>
      <c r="F148" s="13" t="s">
        <v>1416</v>
      </c>
      <c r="G148" t="s">
        <v>285</v>
      </c>
    </row>
    <row r="149" spans="2:8" ht="15" customHeight="1" x14ac:dyDescent="0.25">
      <c r="B149" s="13" t="s">
        <v>1193</v>
      </c>
      <c r="C149" s="13" t="s">
        <v>1194</v>
      </c>
      <c r="E149" s="13">
        <v>117</v>
      </c>
      <c r="F149" s="13" t="s">
        <v>1417</v>
      </c>
      <c r="G149" t="s">
        <v>286</v>
      </c>
    </row>
    <row r="150" spans="2:8" ht="15" customHeight="1" x14ac:dyDescent="0.25">
      <c r="B150" s="13" t="s">
        <v>1195</v>
      </c>
      <c r="C150" s="13" t="s">
        <v>1196</v>
      </c>
      <c r="E150" s="14">
        <v>118</v>
      </c>
      <c r="F150" s="13" t="s">
        <v>1418</v>
      </c>
      <c r="G150" t="s">
        <v>287</v>
      </c>
    </row>
    <row r="151" spans="2:8" ht="15" customHeight="1" x14ac:dyDescent="0.25">
      <c r="B151" s="13" t="s">
        <v>1197</v>
      </c>
      <c r="C151" s="13" t="s">
        <v>1198</v>
      </c>
      <c r="E151" s="13">
        <v>119</v>
      </c>
      <c r="F151" s="13" t="s">
        <v>1419</v>
      </c>
      <c r="G151" t="s">
        <v>288</v>
      </c>
    </row>
    <row r="152" spans="2:8" ht="15" customHeight="1" x14ac:dyDescent="0.25">
      <c r="B152" s="13" t="s">
        <v>1199</v>
      </c>
      <c r="C152" s="13" t="s">
        <v>1200</v>
      </c>
      <c r="E152" s="14">
        <v>120</v>
      </c>
      <c r="F152" s="13" t="s">
        <v>1420</v>
      </c>
      <c r="G152" s="13" t="s">
        <v>289</v>
      </c>
      <c r="H152" s="13"/>
    </row>
    <row r="153" spans="2:8" ht="15" customHeight="1" x14ac:dyDescent="0.25">
      <c r="B153" s="13" t="s">
        <v>1201</v>
      </c>
      <c r="C153" s="13" t="s">
        <v>1202</v>
      </c>
      <c r="E153" s="13">
        <v>121</v>
      </c>
      <c r="F153" s="13" t="s">
        <v>1421</v>
      </c>
      <c r="G153" s="13" t="s">
        <v>290</v>
      </c>
      <c r="H153" s="13"/>
    </row>
    <row r="154" spans="2:8" ht="15" customHeight="1" x14ac:dyDescent="0.25">
      <c r="B154" s="13" t="s">
        <v>1203</v>
      </c>
      <c r="C154" s="13" t="s">
        <v>1204</v>
      </c>
      <c r="E154" s="14">
        <v>122</v>
      </c>
      <c r="F154" s="13" t="s">
        <v>1422</v>
      </c>
      <c r="G154" s="13" t="s">
        <v>291</v>
      </c>
      <c r="H154" s="13"/>
    </row>
    <row r="155" spans="2:8" ht="15" customHeight="1" x14ac:dyDescent="0.25">
      <c r="B155" s="13" t="s">
        <v>1205</v>
      </c>
      <c r="C155" s="13" t="s">
        <v>1206</v>
      </c>
      <c r="E155" s="13">
        <v>123</v>
      </c>
      <c r="F155" s="13" t="s">
        <v>1423</v>
      </c>
      <c r="G155" s="13" t="s">
        <v>292</v>
      </c>
      <c r="H155" s="13"/>
    </row>
    <row r="156" spans="2:8" ht="15" customHeight="1" x14ac:dyDescent="0.25">
      <c r="B156" s="13" t="s">
        <v>1207</v>
      </c>
      <c r="C156" s="13" t="s">
        <v>1208</v>
      </c>
      <c r="E156" s="14">
        <v>124</v>
      </c>
      <c r="F156" s="13" t="s">
        <v>1424</v>
      </c>
      <c r="G156" s="13" t="s">
        <v>293</v>
      </c>
      <c r="H156" s="13"/>
    </row>
    <row r="157" spans="2:8" ht="15" customHeight="1" x14ac:dyDescent="0.25">
      <c r="B157" s="13" t="s">
        <v>1209</v>
      </c>
      <c r="C157" s="13" t="s">
        <v>1210</v>
      </c>
      <c r="E157" s="13">
        <v>125</v>
      </c>
      <c r="F157" s="13" t="s">
        <v>1425</v>
      </c>
      <c r="G157" s="13" t="s">
        <v>294</v>
      </c>
      <c r="H157" s="13"/>
    </row>
    <row r="158" spans="2:8" ht="15" customHeight="1" x14ac:dyDescent="0.25">
      <c r="B158" s="13" t="s">
        <v>1211</v>
      </c>
      <c r="C158" s="13" t="s">
        <v>1212</v>
      </c>
      <c r="E158" s="14">
        <v>126</v>
      </c>
      <c r="F158" s="13" t="s">
        <v>1426</v>
      </c>
      <c r="G158" s="13" t="s">
        <v>295</v>
      </c>
      <c r="H158" s="13"/>
    </row>
    <row r="159" spans="2:8" ht="15" customHeight="1" x14ac:dyDescent="0.25">
      <c r="B159" s="13" t="s">
        <v>1213</v>
      </c>
      <c r="C159" s="13" t="s">
        <v>1214</v>
      </c>
      <c r="E159" s="13">
        <v>127</v>
      </c>
      <c r="F159" s="13" t="s">
        <v>1427</v>
      </c>
      <c r="G159" s="13" t="s">
        <v>296</v>
      </c>
      <c r="H159" s="13"/>
    </row>
    <row r="160" spans="2:8" ht="15" customHeight="1" x14ac:dyDescent="0.25">
      <c r="B160" s="13" t="s">
        <v>1215</v>
      </c>
      <c r="C160" s="13" t="s">
        <v>1216</v>
      </c>
      <c r="E160" s="14">
        <v>128</v>
      </c>
      <c r="F160" s="13" t="s">
        <v>1428</v>
      </c>
      <c r="G160" s="13" t="s">
        <v>297</v>
      </c>
      <c r="H160" s="13"/>
    </row>
    <row r="161" spans="2:8" ht="15" customHeight="1" x14ac:dyDescent="0.25">
      <c r="B161" s="13" t="s">
        <v>1217</v>
      </c>
      <c r="C161" s="13" t="s">
        <v>1218</v>
      </c>
      <c r="E161" s="13">
        <v>129</v>
      </c>
      <c r="F161" s="13" t="s">
        <v>1429</v>
      </c>
      <c r="G161" s="13" t="s">
        <v>298</v>
      </c>
      <c r="H161" s="13"/>
    </row>
    <row r="162" spans="2:8" ht="15" customHeight="1" x14ac:dyDescent="0.25">
      <c r="B162" s="13" t="s">
        <v>1219</v>
      </c>
      <c r="C162" s="13" t="s">
        <v>1220</v>
      </c>
      <c r="E162" s="14">
        <v>130</v>
      </c>
      <c r="F162" s="13" t="s">
        <v>1430</v>
      </c>
      <c r="G162" s="13" t="s">
        <v>728</v>
      </c>
      <c r="H162" s="13"/>
    </row>
    <row r="163" spans="2:8" ht="15" customHeight="1" x14ac:dyDescent="0.25">
      <c r="B163" s="13" t="s">
        <v>1221</v>
      </c>
      <c r="C163" s="13" t="s">
        <v>1222</v>
      </c>
      <c r="E163" s="13">
        <v>131</v>
      </c>
      <c r="F163" s="13" t="s">
        <v>1431</v>
      </c>
      <c r="G163" s="13" t="s">
        <v>729</v>
      </c>
      <c r="H163" s="13"/>
    </row>
    <row r="164" spans="2:8" ht="15" customHeight="1" x14ac:dyDescent="0.25">
      <c r="B164" s="13" t="s">
        <v>1223</v>
      </c>
      <c r="C164" s="13" t="s">
        <v>1224</v>
      </c>
      <c r="E164" s="14">
        <v>132</v>
      </c>
      <c r="F164" s="13" t="s">
        <v>1432</v>
      </c>
      <c r="G164" s="13" t="s">
        <v>714</v>
      </c>
      <c r="H164" s="13"/>
    </row>
    <row r="165" spans="2:8" ht="15" customHeight="1" x14ac:dyDescent="0.25">
      <c r="B165" s="13" t="s">
        <v>1225</v>
      </c>
      <c r="C165" s="13" t="s">
        <v>1226</v>
      </c>
      <c r="E165" s="13">
        <v>133</v>
      </c>
      <c r="F165" s="13" t="s">
        <v>1433</v>
      </c>
      <c r="G165" s="13" t="s">
        <v>713</v>
      </c>
      <c r="H165" s="13"/>
    </row>
    <row r="166" spans="2:8" ht="15" customHeight="1" x14ac:dyDescent="0.25">
      <c r="B166" s="13" t="s">
        <v>1227</v>
      </c>
      <c r="C166" s="13" t="s">
        <v>1228</v>
      </c>
      <c r="E166" s="14">
        <v>134</v>
      </c>
      <c r="F166" s="13" t="s">
        <v>1434</v>
      </c>
      <c r="G166" s="13" t="s">
        <v>314</v>
      </c>
      <c r="H166" s="13"/>
    </row>
    <row r="167" spans="2:8" ht="15" customHeight="1" x14ac:dyDescent="0.25">
      <c r="B167" s="13" t="s">
        <v>1229</v>
      </c>
      <c r="C167" s="13" t="s">
        <v>1230</v>
      </c>
      <c r="E167" s="13">
        <v>135</v>
      </c>
      <c r="F167" s="13" t="s">
        <v>1435</v>
      </c>
      <c r="G167" s="13" t="s">
        <v>711</v>
      </c>
      <c r="H167" s="13"/>
    </row>
    <row r="168" spans="2:8" ht="15" customHeight="1" x14ac:dyDescent="0.25">
      <c r="B168" s="13" t="s">
        <v>1231</v>
      </c>
      <c r="C168" s="13" t="s">
        <v>1232</v>
      </c>
      <c r="E168" s="14">
        <v>136</v>
      </c>
      <c r="F168" s="13" t="s">
        <v>1436</v>
      </c>
      <c r="G168" s="13" t="s">
        <v>315</v>
      </c>
      <c r="H168" s="13"/>
    </row>
    <row r="169" spans="2:8" ht="15" customHeight="1" x14ac:dyDescent="0.25">
      <c r="B169" s="13" t="s">
        <v>1233</v>
      </c>
      <c r="C169" s="13" t="s">
        <v>1234</v>
      </c>
      <c r="E169" s="13">
        <v>137</v>
      </c>
      <c r="F169" s="13" t="s">
        <v>1437</v>
      </c>
      <c r="G169" s="13" t="s">
        <v>553</v>
      </c>
      <c r="H169" s="13"/>
    </row>
    <row r="170" spans="2:8" ht="15" customHeight="1" x14ac:dyDescent="0.25">
      <c r="B170" s="13" t="s">
        <v>1235</v>
      </c>
      <c r="C170" s="13" t="s">
        <v>1236</v>
      </c>
      <c r="E170" s="14">
        <v>138</v>
      </c>
      <c r="F170" s="13" t="s">
        <v>1438</v>
      </c>
      <c r="G170" s="13" t="s">
        <v>306</v>
      </c>
      <c r="H170" s="13"/>
    </row>
    <row r="171" spans="2:8" ht="15" customHeight="1" x14ac:dyDescent="0.25">
      <c r="B171" s="13" t="s">
        <v>1237</v>
      </c>
      <c r="C171" s="13" t="s">
        <v>1238</v>
      </c>
      <c r="E171" s="14">
        <v>139</v>
      </c>
      <c r="F171" s="13" t="s">
        <v>1439</v>
      </c>
      <c r="G171" s="13" t="s">
        <v>304</v>
      </c>
      <c r="H171" s="13"/>
    </row>
    <row r="172" spans="2:8" ht="15" customHeight="1" x14ac:dyDescent="0.25">
      <c r="B172" s="13" t="s">
        <v>1239</v>
      </c>
      <c r="C172" s="13" t="s">
        <v>1240</v>
      </c>
      <c r="E172" s="13">
        <v>140</v>
      </c>
      <c r="F172" s="13" t="s">
        <v>1440</v>
      </c>
      <c r="G172" s="13" t="s">
        <v>303</v>
      </c>
      <c r="H172" s="13"/>
    </row>
    <row r="173" spans="2:8" ht="15" customHeight="1" x14ac:dyDescent="0.25">
      <c r="B173" s="13" t="s">
        <v>1241</v>
      </c>
      <c r="C173" s="13" t="s">
        <v>1242</v>
      </c>
      <c r="E173" s="14">
        <v>141</v>
      </c>
      <c r="F173" s="13" t="s">
        <v>1441</v>
      </c>
      <c r="G173" s="13" t="s">
        <v>302</v>
      </c>
      <c r="H173" s="13"/>
    </row>
    <row r="174" spans="2:8" ht="15" customHeight="1" x14ac:dyDescent="0.25">
      <c r="B174" s="13" t="s">
        <v>1243</v>
      </c>
      <c r="C174" s="13" t="s">
        <v>1244</v>
      </c>
      <c r="E174" s="13">
        <v>142</v>
      </c>
      <c r="F174" s="13" t="s">
        <v>1442</v>
      </c>
      <c r="G174" s="13" t="s">
        <v>329</v>
      </c>
      <c r="H174" s="13"/>
    </row>
    <row r="175" spans="2:8" ht="15" customHeight="1" x14ac:dyDescent="0.25">
      <c r="B175" s="13" t="s">
        <v>1245</v>
      </c>
      <c r="C175" s="13" t="s">
        <v>1246</v>
      </c>
      <c r="E175" s="14">
        <v>143</v>
      </c>
      <c r="F175" s="13" t="s">
        <v>1443</v>
      </c>
      <c r="G175" s="13" t="s">
        <v>316</v>
      </c>
      <c r="H175" s="13"/>
    </row>
    <row r="176" spans="2:8" ht="15" customHeight="1" x14ac:dyDescent="0.25">
      <c r="B176" s="13" t="s">
        <v>1247</v>
      </c>
      <c r="C176" s="13" t="s">
        <v>1248</v>
      </c>
      <c r="E176" s="13">
        <v>144</v>
      </c>
      <c r="F176" s="13" t="s">
        <v>1444</v>
      </c>
      <c r="G176" s="13" t="s">
        <v>317</v>
      </c>
      <c r="H176" s="13"/>
    </row>
    <row r="177" spans="2:8" ht="15" customHeight="1" x14ac:dyDescent="0.25">
      <c r="B177" s="13" t="s">
        <v>1249</v>
      </c>
      <c r="C177" s="13" t="s">
        <v>1250</v>
      </c>
      <c r="E177" s="14">
        <v>145</v>
      </c>
      <c r="F177" s="13" t="s">
        <v>1445</v>
      </c>
      <c r="G177" s="13" t="s">
        <v>318</v>
      </c>
      <c r="H177" s="13"/>
    </row>
    <row r="178" spans="2:8" ht="15" customHeight="1" x14ac:dyDescent="0.25">
      <c r="B178" s="13" t="s">
        <v>1251</v>
      </c>
      <c r="C178" s="13" t="s">
        <v>1252</v>
      </c>
      <c r="E178" s="13">
        <v>146</v>
      </c>
      <c r="F178" s="13" t="s">
        <v>1446</v>
      </c>
      <c r="G178" s="13" t="s">
        <v>318</v>
      </c>
    </row>
    <row r="179" spans="2:8" ht="15" customHeight="1" x14ac:dyDescent="0.25">
      <c r="B179" s="13" t="s">
        <v>1253</v>
      </c>
      <c r="C179" s="13" t="s">
        <v>1254</v>
      </c>
      <c r="E179" s="14">
        <v>147</v>
      </c>
      <c r="F179" s="13" t="s">
        <v>1447</v>
      </c>
      <c r="G179" s="13" t="s">
        <v>1448</v>
      </c>
      <c r="H179" s="13"/>
    </row>
    <row r="180" spans="2:8" ht="15" customHeight="1" x14ac:dyDescent="0.25">
      <c r="B180" s="13" t="s">
        <v>1255</v>
      </c>
      <c r="C180" s="13" t="s">
        <v>1256</v>
      </c>
      <c r="E180" s="13">
        <v>148</v>
      </c>
      <c r="F180" s="13" t="s">
        <v>1449</v>
      </c>
      <c r="G180" s="13" t="s">
        <v>307</v>
      </c>
      <c r="H180" s="13"/>
    </row>
    <row r="181" spans="2:8" ht="15" customHeight="1" x14ac:dyDescent="0.25">
      <c r="B181" s="13" t="s">
        <v>1257</v>
      </c>
      <c r="C181" s="13" t="s">
        <v>1258</v>
      </c>
      <c r="E181" s="14">
        <v>149</v>
      </c>
      <c r="F181" s="13" t="s">
        <v>1450</v>
      </c>
      <c r="G181" s="13" t="s">
        <v>307</v>
      </c>
      <c r="H181" s="13"/>
    </row>
    <row r="182" spans="2:8" ht="15" customHeight="1" x14ac:dyDescent="0.25">
      <c r="B182" s="13" t="s">
        <v>1259</v>
      </c>
      <c r="C182" s="13" t="s">
        <v>1260</v>
      </c>
      <c r="E182" s="13">
        <v>150</v>
      </c>
      <c r="F182" s="13" t="s">
        <v>1451</v>
      </c>
      <c r="G182" s="13" t="s">
        <v>323</v>
      </c>
      <c r="H182" s="13"/>
    </row>
    <row r="183" spans="2:8" ht="15" customHeight="1" x14ac:dyDescent="0.25">
      <c r="B183" s="13" t="s">
        <v>1261</v>
      </c>
      <c r="C183" s="13" t="s">
        <v>1262</v>
      </c>
      <c r="E183" s="14">
        <v>151</v>
      </c>
      <c r="F183" s="13" t="s">
        <v>1452</v>
      </c>
      <c r="G183" t="s">
        <v>305</v>
      </c>
    </row>
    <row r="184" spans="2:8" ht="15" customHeight="1" x14ac:dyDescent="0.25">
      <c r="B184" s="13" t="s">
        <v>1263</v>
      </c>
      <c r="C184" s="13" t="s">
        <v>1264</v>
      </c>
      <c r="E184" s="13">
        <v>152</v>
      </c>
      <c r="F184" s="13" t="s">
        <v>1453</v>
      </c>
      <c r="G184" s="14" t="s">
        <v>305</v>
      </c>
    </row>
    <row r="185" spans="2:8" ht="15" customHeight="1" x14ac:dyDescent="0.25">
      <c r="B185" s="13" t="s">
        <v>1265</v>
      </c>
      <c r="C185" s="13" t="s">
        <v>1266</v>
      </c>
      <c r="E185" s="14">
        <v>153</v>
      </c>
      <c r="F185" s="13" t="s">
        <v>1454</v>
      </c>
      <c r="G185" s="13" t="s">
        <v>322</v>
      </c>
      <c r="H185" s="13"/>
    </row>
    <row r="186" spans="2:8" ht="15" customHeight="1" x14ac:dyDescent="0.25">
      <c r="B186" s="13" t="s">
        <v>1267</v>
      </c>
      <c r="C186" s="13" t="s">
        <v>1268</v>
      </c>
      <c r="E186" s="13">
        <v>154</v>
      </c>
      <c r="F186" s="13" t="s">
        <v>1455</v>
      </c>
      <c r="G186" s="13" t="s">
        <v>712</v>
      </c>
      <c r="H186" s="13"/>
    </row>
    <row r="187" spans="2:8" ht="15" customHeight="1" x14ac:dyDescent="0.25">
      <c r="B187" s="13" t="s">
        <v>1269</v>
      </c>
      <c r="C187" s="13" t="s">
        <v>1270</v>
      </c>
      <c r="E187" s="14">
        <v>155</v>
      </c>
      <c r="F187" s="13" t="s">
        <v>1456</v>
      </c>
      <c r="G187" s="13" t="s">
        <v>715</v>
      </c>
    </row>
    <row r="188" spans="2:8" ht="15" customHeight="1" x14ac:dyDescent="0.25">
      <c r="B188" s="13" t="s">
        <v>1271</v>
      </c>
      <c r="C188" s="13" t="s">
        <v>1272</v>
      </c>
      <c r="E188" s="13">
        <v>156</v>
      </c>
      <c r="F188" s="13" t="s">
        <v>1457</v>
      </c>
      <c r="G188" s="13" t="s">
        <v>319</v>
      </c>
      <c r="H188" s="13"/>
    </row>
    <row r="189" spans="2:8" ht="15" customHeight="1" x14ac:dyDescent="0.25">
      <c r="B189" s="13" t="s">
        <v>1273</v>
      </c>
      <c r="C189" s="13" t="s">
        <v>1274</v>
      </c>
      <c r="E189" s="14">
        <v>157</v>
      </c>
      <c r="F189" s="13" t="s">
        <v>1458</v>
      </c>
      <c r="G189" s="13" t="s">
        <v>320</v>
      </c>
      <c r="H189" s="13"/>
    </row>
    <row r="190" spans="2:8" ht="15" customHeight="1" x14ac:dyDescent="0.25">
      <c r="B190" s="13" t="s">
        <v>1275</v>
      </c>
      <c r="C190" s="13" t="s">
        <v>1276</v>
      </c>
      <c r="E190" s="13">
        <v>158</v>
      </c>
      <c r="F190" s="13" t="s">
        <v>1459</v>
      </c>
      <c r="G190" s="13" t="s">
        <v>321</v>
      </c>
    </row>
    <row r="191" spans="2:8" ht="15" customHeight="1" x14ac:dyDescent="0.25">
      <c r="B191" s="13" t="s">
        <v>1277</v>
      </c>
      <c r="C191" s="13" t="s">
        <v>1278</v>
      </c>
      <c r="E191" s="14">
        <v>159</v>
      </c>
      <c r="F191" s="13" t="s">
        <v>1460</v>
      </c>
      <c r="G191" s="13" t="s">
        <v>326</v>
      </c>
      <c r="H191" s="13"/>
    </row>
    <row r="192" spans="2:8" ht="15" customHeight="1" x14ac:dyDescent="0.25">
      <c r="B192" s="13" t="s">
        <v>1279</v>
      </c>
      <c r="C192" s="13" t="s">
        <v>1280</v>
      </c>
      <c r="E192" s="13">
        <v>160</v>
      </c>
      <c r="F192" s="13" t="s">
        <v>1461</v>
      </c>
      <c r="G192" s="13" t="s">
        <v>328</v>
      </c>
      <c r="H192" s="13"/>
    </row>
    <row r="193" spans="2:8" ht="15" customHeight="1" x14ac:dyDescent="0.25">
      <c r="B193" s="13" t="s">
        <v>1281</v>
      </c>
      <c r="C193" s="13" t="s">
        <v>1282</v>
      </c>
      <c r="E193" s="14">
        <v>161</v>
      </c>
      <c r="F193" s="13" t="s">
        <v>1462</v>
      </c>
      <c r="G193" s="13" t="s">
        <v>325</v>
      </c>
      <c r="H193" s="13"/>
    </row>
    <row r="194" spans="2:8" ht="15" customHeight="1" x14ac:dyDescent="0.25">
      <c r="B194" s="13" t="s">
        <v>1283</v>
      </c>
      <c r="C194" s="13" t="s">
        <v>1284</v>
      </c>
      <c r="E194" s="13">
        <v>162</v>
      </c>
      <c r="F194" s="13" t="s">
        <v>1463</v>
      </c>
      <c r="G194" s="13" t="s">
        <v>324</v>
      </c>
      <c r="H194" s="13"/>
    </row>
    <row r="195" spans="2:8" ht="15" customHeight="1" x14ac:dyDescent="0.25">
      <c r="B195" s="13" t="s">
        <v>1285</v>
      </c>
      <c r="C195" s="13" t="s">
        <v>1286</v>
      </c>
      <c r="E195" s="14">
        <v>163</v>
      </c>
      <c r="F195" s="13" t="s">
        <v>1464</v>
      </c>
      <c r="G195" s="13" t="s">
        <v>324</v>
      </c>
      <c r="H195" s="13"/>
    </row>
    <row r="196" spans="2:8" ht="15" customHeight="1" x14ac:dyDescent="0.25">
      <c r="B196" s="13" t="s">
        <v>1287</v>
      </c>
      <c r="C196" s="13" t="s">
        <v>1288</v>
      </c>
      <c r="E196" s="13">
        <v>164</v>
      </c>
      <c r="F196" s="13" t="s">
        <v>1465</v>
      </c>
      <c r="G196" s="13" t="s">
        <v>331</v>
      </c>
      <c r="H196" s="13"/>
    </row>
    <row r="197" spans="2:8" ht="15" customHeight="1" x14ac:dyDescent="0.25">
      <c r="B197" s="13" t="s">
        <v>1289</v>
      </c>
      <c r="C197" s="13" t="s">
        <v>1290</v>
      </c>
      <c r="E197" s="13">
        <v>165</v>
      </c>
      <c r="F197" s="13" t="s">
        <v>1466</v>
      </c>
      <c r="G197" s="13" t="s">
        <v>327</v>
      </c>
    </row>
    <row r="198" spans="2:8" ht="15" customHeight="1" x14ac:dyDescent="0.25">
      <c r="B198" s="13" t="s">
        <v>1291</v>
      </c>
      <c r="C198" s="13" t="s">
        <v>1292</v>
      </c>
      <c r="E198" s="14">
        <v>166</v>
      </c>
      <c r="F198" s="13" t="s">
        <v>1584</v>
      </c>
      <c r="G198" s="13" t="s">
        <v>399</v>
      </c>
      <c r="H198" s="13"/>
    </row>
    <row r="199" spans="2:8" ht="15" customHeight="1" x14ac:dyDescent="0.25">
      <c r="B199" s="13" t="s">
        <v>1293</v>
      </c>
      <c r="C199" s="13" t="s">
        <v>1294</v>
      </c>
      <c r="E199" s="13">
        <v>167</v>
      </c>
      <c r="F199" s="13" t="s">
        <v>1585</v>
      </c>
      <c r="G199" s="13" t="s">
        <v>403</v>
      </c>
    </row>
    <row r="200" spans="2:8" ht="15" customHeight="1" x14ac:dyDescent="0.25">
      <c r="B200" s="13" t="s">
        <v>1295</v>
      </c>
      <c r="C200" s="13" t="s">
        <v>1296</v>
      </c>
      <c r="E200" s="14">
        <v>168</v>
      </c>
      <c r="F200" s="13" t="s">
        <v>1467</v>
      </c>
      <c r="G200" s="13" t="s">
        <v>332</v>
      </c>
      <c r="H200" s="13"/>
    </row>
    <row r="201" spans="2:8" ht="15" customHeight="1" x14ac:dyDescent="0.25">
      <c r="F201" s="13" t="s">
        <v>105</v>
      </c>
    </row>
    <row r="202" spans="2:8" ht="15" customHeight="1" x14ac:dyDescent="0.25">
      <c r="B202" s="13" t="s">
        <v>979</v>
      </c>
      <c r="C202" s="13" t="s">
        <v>980</v>
      </c>
      <c r="E202">
        <v>169</v>
      </c>
      <c r="F202" s="13" t="s">
        <v>1586</v>
      </c>
      <c r="G202" s="13"/>
      <c r="H202" s="13"/>
    </row>
    <row r="203" spans="2:8" ht="15" customHeight="1" x14ac:dyDescent="0.25">
      <c r="B203" s="13" t="s">
        <v>1297</v>
      </c>
      <c r="C203" s="13" t="s">
        <v>1298</v>
      </c>
      <c r="E203">
        <v>170</v>
      </c>
      <c r="F203" s="13" t="s">
        <v>1468</v>
      </c>
      <c r="G203" s="13" t="s">
        <v>636</v>
      </c>
      <c r="H203" s="13"/>
    </row>
    <row r="204" spans="2:8" ht="15" customHeight="1" x14ac:dyDescent="0.25">
      <c r="B204" s="13" t="s">
        <v>1299</v>
      </c>
      <c r="C204" s="13" t="s">
        <v>1300</v>
      </c>
      <c r="E204" s="14">
        <v>171</v>
      </c>
      <c r="F204" s="13" t="s">
        <v>1469</v>
      </c>
      <c r="G204" s="13" t="s">
        <v>264</v>
      </c>
      <c r="H204" s="13"/>
    </row>
    <row r="205" spans="2:8" ht="15" customHeight="1" x14ac:dyDescent="0.25">
      <c r="B205" s="13" t="s">
        <v>1301</v>
      </c>
      <c r="C205" s="13" t="s">
        <v>1302</v>
      </c>
      <c r="E205" s="14">
        <v>172</v>
      </c>
      <c r="F205" s="13" t="s">
        <v>1470</v>
      </c>
      <c r="G205" s="13" t="s">
        <v>308</v>
      </c>
      <c r="H205" s="13"/>
    </row>
    <row r="206" spans="2:8" ht="15" customHeight="1" x14ac:dyDescent="0.25">
      <c r="B206" s="13" t="s">
        <v>1303</v>
      </c>
      <c r="C206" s="13" t="s">
        <v>1304</v>
      </c>
      <c r="E206" s="14">
        <v>173</v>
      </c>
      <c r="F206" s="13" t="s">
        <v>1471</v>
      </c>
      <c r="G206" s="13" t="s">
        <v>309</v>
      </c>
      <c r="H206" s="13"/>
    </row>
    <row r="207" spans="2:8" ht="15" customHeight="1" x14ac:dyDescent="0.25">
      <c r="B207" s="13" t="s">
        <v>1305</v>
      </c>
      <c r="C207" s="13" t="s">
        <v>1306</v>
      </c>
      <c r="E207" s="14">
        <v>174</v>
      </c>
      <c r="F207" s="13" t="s">
        <v>1472</v>
      </c>
      <c r="G207" s="13" t="s">
        <v>692</v>
      </c>
      <c r="H207" s="13"/>
    </row>
    <row r="208" spans="2:8" ht="15" customHeight="1" x14ac:dyDescent="0.25">
      <c r="B208" s="13" t="s">
        <v>1307</v>
      </c>
      <c r="C208" s="13" t="s">
        <v>1308</v>
      </c>
      <c r="E208" s="14">
        <v>175</v>
      </c>
      <c r="F208" s="13" t="s">
        <v>1473</v>
      </c>
      <c r="G208" s="13" t="s">
        <v>310</v>
      </c>
      <c r="H208" s="13"/>
    </row>
    <row r="209" spans="2:8" ht="15" customHeight="1" x14ac:dyDescent="0.25">
      <c r="B209" s="13" t="s">
        <v>1309</v>
      </c>
      <c r="C209" s="13" t="s">
        <v>1310</v>
      </c>
      <c r="E209" s="14">
        <v>176</v>
      </c>
      <c r="F209" s="13" t="s">
        <v>1474</v>
      </c>
      <c r="G209" t="s">
        <v>311</v>
      </c>
    </row>
    <row r="210" spans="2:8" ht="15" customHeight="1" x14ac:dyDescent="0.25">
      <c r="B210" s="13" t="s">
        <v>1311</v>
      </c>
      <c r="C210" s="13" t="s">
        <v>1312</v>
      </c>
      <c r="E210" s="14">
        <v>177</v>
      </c>
      <c r="F210" s="13" t="s">
        <v>1475</v>
      </c>
      <c r="G210" s="13" t="s">
        <v>312</v>
      </c>
      <c r="H210" s="13"/>
    </row>
    <row r="211" spans="2:8" ht="15" customHeight="1" x14ac:dyDescent="0.25">
      <c r="B211" s="13" t="s">
        <v>1675</v>
      </c>
      <c r="C211" s="13" t="s">
        <v>1676</v>
      </c>
      <c r="E211" s="14">
        <v>178</v>
      </c>
      <c r="F211" s="13" t="s">
        <v>1476</v>
      </c>
      <c r="G211" t="s">
        <v>350</v>
      </c>
    </row>
    <row r="212" spans="2:8" ht="15" customHeight="1" x14ac:dyDescent="0.25">
      <c r="B212" s="13" t="s">
        <v>1677</v>
      </c>
      <c r="C212" s="13" t="s">
        <v>1678</v>
      </c>
      <c r="E212" s="14">
        <v>179</v>
      </c>
      <c r="F212" s="13" t="s">
        <v>1477</v>
      </c>
      <c r="G212" s="13" t="s">
        <v>694</v>
      </c>
      <c r="H212" s="13"/>
    </row>
    <row r="213" spans="2:8" ht="15" customHeight="1" x14ac:dyDescent="0.25">
      <c r="B213" s="13" t="s">
        <v>1679</v>
      </c>
      <c r="C213" s="13" t="s">
        <v>1680</v>
      </c>
      <c r="E213" s="14">
        <v>180</v>
      </c>
      <c r="F213" s="13" t="s">
        <v>1478</v>
      </c>
      <c r="G213" t="s">
        <v>349</v>
      </c>
    </row>
    <row r="214" spans="2:8" ht="15" customHeight="1" x14ac:dyDescent="0.25">
      <c r="B214" s="13" t="s">
        <v>1681</v>
      </c>
      <c r="C214" s="13" t="s">
        <v>1682</v>
      </c>
      <c r="E214" s="14">
        <v>181</v>
      </c>
      <c r="F214" s="13" t="s">
        <v>1479</v>
      </c>
      <c r="G214" s="13" t="s">
        <v>355</v>
      </c>
      <c r="H214" s="13"/>
    </row>
    <row r="215" spans="2:8" ht="15" customHeight="1" x14ac:dyDescent="0.25">
      <c r="B215" s="13" t="s">
        <v>1683</v>
      </c>
      <c r="C215" s="13" t="s">
        <v>1684</v>
      </c>
      <c r="E215" s="14">
        <v>182</v>
      </c>
      <c r="F215" s="13" t="s">
        <v>1480</v>
      </c>
      <c r="G215" s="13" t="s">
        <v>353</v>
      </c>
      <c r="H215" s="13"/>
    </row>
    <row r="216" spans="2:8" ht="15" customHeight="1" x14ac:dyDescent="0.25">
      <c r="B216" s="13" t="s">
        <v>1685</v>
      </c>
      <c r="C216" s="13" t="s">
        <v>1686</v>
      </c>
      <c r="E216" s="14">
        <v>183</v>
      </c>
      <c r="F216" s="13" t="s">
        <v>1481</v>
      </c>
      <c r="G216" s="13" t="s">
        <v>352</v>
      </c>
      <c r="H216" s="13"/>
    </row>
    <row r="217" spans="2:8" ht="15" customHeight="1" x14ac:dyDescent="0.25">
      <c r="B217" s="13" t="s">
        <v>1687</v>
      </c>
      <c r="C217" s="13" t="s">
        <v>1688</v>
      </c>
      <c r="E217" s="14">
        <v>184</v>
      </c>
      <c r="F217" s="13" t="s">
        <v>1482</v>
      </c>
      <c r="G217" t="s">
        <v>354</v>
      </c>
    </row>
    <row r="218" spans="2:8" ht="15" customHeight="1" x14ac:dyDescent="0.25">
      <c r="B218" s="13" t="s">
        <v>1689</v>
      </c>
      <c r="C218" s="13" t="s">
        <v>1690</v>
      </c>
      <c r="E218" s="14">
        <v>185</v>
      </c>
      <c r="F218" s="13" t="s">
        <v>1483</v>
      </c>
      <c r="G218" t="s">
        <v>356</v>
      </c>
    </row>
    <row r="219" spans="2:8" ht="15" customHeight="1" x14ac:dyDescent="0.25">
      <c r="B219" s="13" t="s">
        <v>1691</v>
      </c>
      <c r="C219" s="13" t="s">
        <v>1692</v>
      </c>
      <c r="E219" s="14">
        <v>186</v>
      </c>
      <c r="F219" s="13" t="s">
        <v>1484</v>
      </c>
      <c r="G219" t="s">
        <v>357</v>
      </c>
    </row>
    <row r="220" spans="2:8" ht="15" customHeight="1" x14ac:dyDescent="0.25">
      <c r="B220" s="13" t="s">
        <v>1693</v>
      </c>
      <c r="C220" s="13" t="s">
        <v>1694</v>
      </c>
      <c r="E220" s="14">
        <v>187</v>
      </c>
      <c r="F220" s="13" t="s">
        <v>1485</v>
      </c>
      <c r="G220" t="s">
        <v>358</v>
      </c>
    </row>
    <row r="221" spans="2:8" ht="15" customHeight="1" x14ac:dyDescent="0.25">
      <c r="B221" s="13" t="s">
        <v>1695</v>
      </c>
      <c r="C221" s="13" t="s">
        <v>1696</v>
      </c>
      <c r="E221" s="14">
        <v>188</v>
      </c>
      <c r="F221" s="13" t="s">
        <v>1486</v>
      </c>
      <c r="G221" t="s">
        <v>359</v>
      </c>
    </row>
    <row r="222" spans="2:8" ht="15" customHeight="1" x14ac:dyDescent="0.25">
      <c r="B222" s="13" t="s">
        <v>1697</v>
      </c>
      <c r="C222" s="13" t="s">
        <v>1698</v>
      </c>
      <c r="E222" s="14">
        <v>189</v>
      </c>
      <c r="F222" s="13" t="s">
        <v>1487</v>
      </c>
      <c r="G222" t="s">
        <v>360</v>
      </c>
    </row>
    <row r="223" spans="2:8" ht="15" customHeight="1" x14ac:dyDescent="0.25">
      <c r="B223" s="13" t="s">
        <v>1699</v>
      </c>
      <c r="C223" s="13" t="s">
        <v>1700</v>
      </c>
      <c r="E223" s="14">
        <v>190</v>
      </c>
      <c r="F223" s="13" t="s">
        <v>1488</v>
      </c>
      <c r="G223" t="s">
        <v>361</v>
      </c>
    </row>
    <row r="224" spans="2:8" ht="15" customHeight="1" x14ac:dyDescent="0.25">
      <c r="B224" s="13" t="s">
        <v>1701</v>
      </c>
      <c r="C224" s="13" t="s">
        <v>1702</v>
      </c>
      <c r="E224" s="14">
        <v>191</v>
      </c>
      <c r="F224" s="13" t="s">
        <v>1489</v>
      </c>
      <c r="G224" t="s">
        <v>362</v>
      </c>
    </row>
    <row r="225" spans="2:8" ht="15" customHeight="1" x14ac:dyDescent="0.25">
      <c r="B225" s="13" t="s">
        <v>1703</v>
      </c>
      <c r="C225" s="13" t="s">
        <v>1704</v>
      </c>
      <c r="E225" s="14">
        <v>192</v>
      </c>
      <c r="F225" s="13" t="s">
        <v>1490</v>
      </c>
      <c r="G225" t="s">
        <v>363</v>
      </c>
    </row>
    <row r="226" spans="2:8" ht="15" customHeight="1" x14ac:dyDescent="0.25">
      <c r="B226" s="13" t="s">
        <v>1705</v>
      </c>
      <c r="C226" s="13" t="s">
        <v>1706</v>
      </c>
      <c r="E226" s="14">
        <v>193</v>
      </c>
      <c r="F226" s="13" t="s">
        <v>1491</v>
      </c>
      <c r="G226" t="s">
        <v>364</v>
      </c>
    </row>
    <row r="227" spans="2:8" ht="15" customHeight="1" x14ac:dyDescent="0.25">
      <c r="B227" s="13" t="s">
        <v>1707</v>
      </c>
      <c r="C227" s="13" t="s">
        <v>1708</v>
      </c>
      <c r="E227" s="14">
        <v>194</v>
      </c>
      <c r="F227" s="13" t="s">
        <v>1492</v>
      </c>
      <c r="G227" t="s">
        <v>365</v>
      </c>
    </row>
    <row r="228" spans="2:8" ht="15" customHeight="1" x14ac:dyDescent="0.25">
      <c r="B228" s="13" t="s">
        <v>1709</v>
      </c>
      <c r="C228" s="13" t="s">
        <v>1710</v>
      </c>
      <c r="E228" s="14">
        <v>195</v>
      </c>
      <c r="F228" s="13" t="s">
        <v>1493</v>
      </c>
      <c r="G228" t="s">
        <v>366</v>
      </c>
    </row>
    <row r="229" spans="2:8" ht="15" customHeight="1" x14ac:dyDescent="0.25">
      <c r="B229" s="13" t="s">
        <v>1711</v>
      </c>
      <c r="C229" s="13" t="s">
        <v>1712</v>
      </c>
      <c r="E229" s="14">
        <v>196</v>
      </c>
      <c r="F229" s="13" t="s">
        <v>1494</v>
      </c>
      <c r="G229" t="s">
        <v>367</v>
      </c>
    </row>
    <row r="230" spans="2:8" ht="15" customHeight="1" x14ac:dyDescent="0.25">
      <c r="B230" s="13" t="s">
        <v>1713</v>
      </c>
      <c r="C230" s="13" t="s">
        <v>1714</v>
      </c>
      <c r="E230" s="14">
        <v>197</v>
      </c>
      <c r="F230" s="13" t="s">
        <v>1495</v>
      </c>
      <c r="G230" t="s">
        <v>368</v>
      </c>
    </row>
    <row r="231" spans="2:8" ht="15" customHeight="1" x14ac:dyDescent="0.25">
      <c r="B231" s="13" t="s">
        <v>1715</v>
      </c>
      <c r="C231" s="13" t="s">
        <v>1716</v>
      </c>
      <c r="E231" s="14">
        <v>198</v>
      </c>
      <c r="F231" s="13" t="s">
        <v>1496</v>
      </c>
      <c r="G231" t="s">
        <v>369</v>
      </c>
    </row>
    <row r="232" spans="2:8" ht="15" customHeight="1" x14ac:dyDescent="0.25">
      <c r="B232" s="13" t="s">
        <v>1717</v>
      </c>
      <c r="C232" s="13" t="s">
        <v>1718</v>
      </c>
      <c r="E232" s="14">
        <v>199</v>
      </c>
      <c r="F232" s="13" t="s">
        <v>1497</v>
      </c>
      <c r="G232" t="s">
        <v>370</v>
      </c>
    </row>
    <row r="233" spans="2:8" ht="15" customHeight="1" x14ac:dyDescent="0.25">
      <c r="B233" s="13" t="s">
        <v>1719</v>
      </c>
      <c r="C233" s="13" t="s">
        <v>1720</v>
      </c>
      <c r="E233" s="14">
        <v>200</v>
      </c>
      <c r="F233" s="13" t="s">
        <v>1498</v>
      </c>
      <c r="G233" t="s">
        <v>371</v>
      </c>
    </row>
    <row r="234" spans="2:8" ht="15" customHeight="1" x14ac:dyDescent="0.25">
      <c r="B234" s="13" t="s">
        <v>1721</v>
      </c>
      <c r="C234" s="13" t="s">
        <v>1722</v>
      </c>
      <c r="E234" s="14">
        <v>201</v>
      </c>
      <c r="F234" s="13" t="s">
        <v>1499</v>
      </c>
      <c r="G234" t="s">
        <v>372</v>
      </c>
    </row>
    <row r="235" spans="2:8" ht="15" customHeight="1" x14ac:dyDescent="0.25">
      <c r="B235" s="13" t="s">
        <v>1723</v>
      </c>
      <c r="C235" s="13" t="s">
        <v>1724</v>
      </c>
      <c r="E235" s="14">
        <v>202</v>
      </c>
      <c r="F235" s="13" t="s">
        <v>1500</v>
      </c>
      <c r="G235" t="s">
        <v>373</v>
      </c>
    </row>
    <row r="236" spans="2:8" ht="15" customHeight="1" x14ac:dyDescent="0.25">
      <c r="B236" s="13" t="s">
        <v>1725</v>
      </c>
      <c r="C236" s="13" t="s">
        <v>1726</v>
      </c>
      <c r="E236" s="14">
        <v>203</v>
      </c>
      <c r="F236" s="13" t="s">
        <v>1501</v>
      </c>
      <c r="G236" s="13" t="s">
        <v>374</v>
      </c>
      <c r="H236" s="13"/>
    </row>
    <row r="237" spans="2:8" ht="15" customHeight="1" x14ac:dyDescent="0.25">
      <c r="B237" s="13" t="s">
        <v>1727</v>
      </c>
      <c r="C237" s="13" t="s">
        <v>1728</v>
      </c>
      <c r="E237" s="14">
        <v>204</v>
      </c>
      <c r="F237" s="13" t="s">
        <v>1502</v>
      </c>
      <c r="G237" s="13" t="s">
        <v>375</v>
      </c>
      <c r="H237" s="13"/>
    </row>
    <row r="238" spans="2:8" ht="15" customHeight="1" x14ac:dyDescent="0.25">
      <c r="B238" s="13" t="s">
        <v>1729</v>
      </c>
      <c r="C238" s="13" t="s">
        <v>1730</v>
      </c>
      <c r="E238" s="14">
        <v>205</v>
      </c>
      <c r="F238" s="13" t="s">
        <v>1503</v>
      </c>
      <c r="G238" s="13" t="s">
        <v>376</v>
      </c>
      <c r="H238" s="13"/>
    </row>
    <row r="239" spans="2:8" ht="15" customHeight="1" x14ac:dyDescent="0.25">
      <c r="B239" s="13" t="s">
        <v>1731</v>
      </c>
      <c r="C239" s="13" t="s">
        <v>1732</v>
      </c>
      <c r="E239" s="14">
        <v>206</v>
      </c>
      <c r="F239" s="13" t="s">
        <v>1504</v>
      </c>
      <c r="G239" s="13" t="s">
        <v>377</v>
      </c>
      <c r="H239" s="13"/>
    </row>
    <row r="240" spans="2:8" ht="15" customHeight="1" x14ac:dyDescent="0.25">
      <c r="B240" s="13" t="s">
        <v>1733</v>
      </c>
      <c r="C240" s="13" t="s">
        <v>1734</v>
      </c>
      <c r="E240" s="14">
        <v>207</v>
      </c>
      <c r="F240" s="13" t="s">
        <v>1505</v>
      </c>
      <c r="G240" s="13" t="s">
        <v>378</v>
      </c>
      <c r="H240" s="13"/>
    </row>
    <row r="241" spans="2:8" ht="15" customHeight="1" x14ac:dyDescent="0.25">
      <c r="B241" s="13" t="s">
        <v>1735</v>
      </c>
      <c r="C241" s="13" t="s">
        <v>1736</v>
      </c>
      <c r="E241" s="14">
        <v>208</v>
      </c>
      <c r="F241" s="13" t="s">
        <v>1506</v>
      </c>
      <c r="G241" s="13" t="s">
        <v>379</v>
      </c>
      <c r="H241" s="13"/>
    </row>
    <row r="242" spans="2:8" ht="15" customHeight="1" x14ac:dyDescent="0.25">
      <c r="B242" s="13" t="s">
        <v>1737</v>
      </c>
      <c r="C242" s="13" t="s">
        <v>1738</v>
      </c>
      <c r="E242" s="14">
        <v>209</v>
      </c>
      <c r="F242" s="13" t="s">
        <v>1507</v>
      </c>
      <c r="G242" s="13" t="s">
        <v>380</v>
      </c>
      <c r="H242" s="13"/>
    </row>
    <row r="243" spans="2:8" ht="15" customHeight="1" x14ac:dyDescent="0.25">
      <c r="B243" s="13" t="s">
        <v>1739</v>
      </c>
      <c r="C243" s="13" t="s">
        <v>1740</v>
      </c>
      <c r="E243" s="14">
        <v>210</v>
      </c>
      <c r="F243" s="13" t="s">
        <v>1508</v>
      </c>
      <c r="G243" s="13" t="s">
        <v>381</v>
      </c>
      <c r="H243" s="13"/>
    </row>
    <row r="244" spans="2:8" ht="15" customHeight="1" x14ac:dyDescent="0.25">
      <c r="B244" s="13" t="s">
        <v>1741</v>
      </c>
      <c r="C244" s="13" t="s">
        <v>1742</v>
      </c>
      <c r="E244" s="14">
        <v>211</v>
      </c>
      <c r="F244" s="13" t="s">
        <v>1509</v>
      </c>
      <c r="G244" s="13" t="s">
        <v>382</v>
      </c>
      <c r="H244" s="13"/>
    </row>
    <row r="245" spans="2:8" ht="15" customHeight="1" x14ac:dyDescent="0.25">
      <c r="B245" s="13" t="s">
        <v>1743</v>
      </c>
      <c r="C245" s="13" t="s">
        <v>1744</v>
      </c>
      <c r="E245" s="14">
        <v>212</v>
      </c>
      <c r="F245" s="13" t="s">
        <v>1510</v>
      </c>
      <c r="G245" s="13" t="s">
        <v>383</v>
      </c>
      <c r="H245" s="13"/>
    </row>
    <row r="246" spans="2:8" ht="15" customHeight="1" x14ac:dyDescent="0.25">
      <c r="B246" s="13" t="s">
        <v>1745</v>
      </c>
      <c r="C246" s="13" t="s">
        <v>1746</v>
      </c>
      <c r="E246" s="14">
        <v>213</v>
      </c>
      <c r="F246" s="13" t="s">
        <v>1511</v>
      </c>
      <c r="G246" s="13" t="s">
        <v>709</v>
      </c>
      <c r="H246" s="13"/>
    </row>
    <row r="247" spans="2:8" ht="15" customHeight="1" x14ac:dyDescent="0.25">
      <c r="B247" s="13" t="s">
        <v>1747</v>
      </c>
      <c r="C247" s="13" t="s">
        <v>1748</v>
      </c>
      <c r="E247" s="14">
        <v>214</v>
      </c>
      <c r="F247" s="13" t="s">
        <v>1512</v>
      </c>
      <c r="G247" s="13" t="s">
        <v>710</v>
      </c>
      <c r="H247" s="13"/>
    </row>
    <row r="248" spans="2:8" ht="15" customHeight="1" x14ac:dyDescent="0.25">
      <c r="B248" s="13" t="s">
        <v>1749</v>
      </c>
      <c r="C248" s="13" t="s">
        <v>1750</v>
      </c>
      <c r="E248" s="14">
        <v>215</v>
      </c>
      <c r="F248" s="13" t="s">
        <v>1513</v>
      </c>
      <c r="G248" s="13" t="s">
        <v>714</v>
      </c>
      <c r="H248" s="13"/>
    </row>
    <row r="249" spans="2:8" ht="15" customHeight="1" x14ac:dyDescent="0.25">
      <c r="B249" s="13" t="s">
        <v>1751</v>
      </c>
      <c r="C249" s="13" t="s">
        <v>1752</v>
      </c>
      <c r="E249" s="14">
        <v>216</v>
      </c>
      <c r="F249" s="13" t="s">
        <v>1514</v>
      </c>
      <c r="G249" s="13" t="s">
        <v>713</v>
      </c>
      <c r="H249" s="13"/>
    </row>
    <row r="250" spans="2:8" ht="15" customHeight="1" x14ac:dyDescent="0.25">
      <c r="B250" s="13" t="s">
        <v>1753</v>
      </c>
      <c r="C250" s="13" t="s">
        <v>1754</v>
      </c>
      <c r="E250" s="14">
        <v>217</v>
      </c>
      <c r="F250" s="13" t="s">
        <v>1515</v>
      </c>
      <c r="G250" s="13" t="s">
        <v>314</v>
      </c>
      <c r="H250" s="13"/>
    </row>
    <row r="251" spans="2:8" ht="15" customHeight="1" x14ac:dyDescent="0.25">
      <c r="B251" s="13" t="s">
        <v>1755</v>
      </c>
      <c r="C251" s="13" t="s">
        <v>1756</v>
      </c>
      <c r="E251" s="14">
        <v>218</v>
      </c>
      <c r="F251" s="13" t="s">
        <v>1516</v>
      </c>
      <c r="G251" s="13" t="s">
        <v>711</v>
      </c>
      <c r="H251" s="13"/>
    </row>
    <row r="252" spans="2:8" ht="15" customHeight="1" x14ac:dyDescent="0.25">
      <c r="B252" s="13" t="s">
        <v>1757</v>
      </c>
      <c r="C252" s="13" t="s">
        <v>1758</v>
      </c>
      <c r="E252" s="14">
        <v>219</v>
      </c>
      <c r="F252" s="13" t="s">
        <v>1517</v>
      </c>
      <c r="G252" s="13" t="s">
        <v>315</v>
      </c>
      <c r="H252" s="13"/>
    </row>
    <row r="253" spans="2:8" ht="15" customHeight="1" x14ac:dyDescent="0.25">
      <c r="B253" s="13" t="s">
        <v>1759</v>
      </c>
      <c r="C253" s="13" t="s">
        <v>1760</v>
      </c>
      <c r="E253" s="14">
        <v>220</v>
      </c>
      <c r="F253" s="13" t="s">
        <v>1518</v>
      </c>
      <c r="G253" s="13" t="s">
        <v>301</v>
      </c>
      <c r="H253" s="13"/>
    </row>
    <row r="254" spans="2:8" ht="15" customHeight="1" x14ac:dyDescent="0.25">
      <c r="B254" s="13" t="s">
        <v>1761</v>
      </c>
      <c r="C254" s="13" t="s">
        <v>1762</v>
      </c>
      <c r="E254" s="14">
        <v>221</v>
      </c>
      <c r="F254" s="13" t="s">
        <v>1519</v>
      </c>
      <c r="G254" s="13" t="s">
        <v>306</v>
      </c>
      <c r="H254" s="13"/>
    </row>
    <row r="255" spans="2:8" ht="15" customHeight="1" x14ac:dyDescent="0.25">
      <c r="B255" s="13" t="s">
        <v>1763</v>
      </c>
      <c r="C255" s="13" t="s">
        <v>1764</v>
      </c>
      <c r="E255" s="14">
        <v>222</v>
      </c>
      <c r="F255" s="13" t="s">
        <v>1520</v>
      </c>
      <c r="G255" s="13" t="s">
        <v>304</v>
      </c>
      <c r="H255" s="13"/>
    </row>
    <row r="256" spans="2:8" ht="15" customHeight="1" x14ac:dyDescent="0.25">
      <c r="B256" s="13" t="s">
        <v>1765</v>
      </c>
      <c r="C256" s="13" t="s">
        <v>1766</v>
      </c>
      <c r="E256" s="14">
        <v>223</v>
      </c>
      <c r="F256" s="13" t="s">
        <v>1521</v>
      </c>
      <c r="G256" s="13" t="s">
        <v>303</v>
      </c>
      <c r="H256" s="13"/>
    </row>
    <row r="257" spans="2:8" ht="15" customHeight="1" x14ac:dyDescent="0.25">
      <c r="B257" s="13" t="s">
        <v>1767</v>
      </c>
      <c r="C257" s="13" t="s">
        <v>1768</v>
      </c>
      <c r="E257" s="14">
        <v>224</v>
      </c>
      <c r="F257" s="13" t="s">
        <v>1522</v>
      </c>
      <c r="G257" s="13" t="s">
        <v>302</v>
      </c>
      <c r="H257" s="13"/>
    </row>
    <row r="258" spans="2:8" ht="15" customHeight="1" x14ac:dyDescent="0.25">
      <c r="B258" s="13" t="s">
        <v>1769</v>
      </c>
      <c r="C258" s="13" t="s">
        <v>1770</v>
      </c>
      <c r="E258" s="14">
        <v>225</v>
      </c>
      <c r="F258" s="13" t="s">
        <v>1523</v>
      </c>
      <c r="G258" s="13" t="s">
        <v>329</v>
      </c>
      <c r="H258" s="13"/>
    </row>
    <row r="259" spans="2:8" ht="15" customHeight="1" x14ac:dyDescent="0.25">
      <c r="B259" s="13" t="s">
        <v>1771</v>
      </c>
      <c r="C259" s="13" t="s">
        <v>1772</v>
      </c>
      <c r="E259" s="14">
        <v>226</v>
      </c>
      <c r="F259" s="13" t="s">
        <v>1524</v>
      </c>
      <c r="G259" s="13" t="s">
        <v>316</v>
      </c>
      <c r="H259" s="13"/>
    </row>
    <row r="260" spans="2:8" ht="15" customHeight="1" x14ac:dyDescent="0.25">
      <c r="B260" s="13" t="s">
        <v>1773</v>
      </c>
      <c r="C260" s="13" t="s">
        <v>1774</v>
      </c>
      <c r="E260" s="14">
        <v>227</v>
      </c>
      <c r="F260" s="13" t="s">
        <v>1525</v>
      </c>
      <c r="G260" s="13" t="s">
        <v>317</v>
      </c>
      <c r="H260" s="13"/>
    </row>
    <row r="261" spans="2:8" ht="15" customHeight="1" x14ac:dyDescent="0.25">
      <c r="B261" s="13" t="s">
        <v>1775</v>
      </c>
      <c r="C261" s="13" t="s">
        <v>1776</v>
      </c>
      <c r="E261" s="14">
        <v>228</v>
      </c>
      <c r="F261" s="13" t="s">
        <v>1526</v>
      </c>
      <c r="G261" s="13" t="s">
        <v>318</v>
      </c>
      <c r="H261" s="13"/>
    </row>
    <row r="262" spans="2:8" ht="15" customHeight="1" x14ac:dyDescent="0.25">
      <c r="B262" s="13" t="s">
        <v>1777</v>
      </c>
      <c r="C262" s="13" t="s">
        <v>1778</v>
      </c>
      <c r="E262" s="14">
        <v>229</v>
      </c>
      <c r="F262" s="13" t="s">
        <v>1527</v>
      </c>
      <c r="G262" s="13" t="s">
        <v>318</v>
      </c>
    </row>
    <row r="263" spans="2:8" ht="15" customHeight="1" x14ac:dyDescent="0.25">
      <c r="B263" s="13" t="s">
        <v>1779</v>
      </c>
      <c r="C263" s="13" t="s">
        <v>1780</v>
      </c>
      <c r="E263" s="14">
        <v>230</v>
      </c>
      <c r="F263" s="13" t="s">
        <v>1528</v>
      </c>
      <c r="G263" s="13" t="s">
        <v>1448</v>
      </c>
      <c r="H263" s="13"/>
    </row>
    <row r="264" spans="2:8" ht="15" customHeight="1" x14ac:dyDescent="0.25">
      <c r="B264" s="13" t="s">
        <v>1781</v>
      </c>
      <c r="C264" s="13" t="s">
        <v>1782</v>
      </c>
      <c r="E264" s="14">
        <v>231</v>
      </c>
      <c r="F264" s="13" t="s">
        <v>1529</v>
      </c>
      <c r="G264" s="13" t="s">
        <v>307</v>
      </c>
      <c r="H264" s="13"/>
    </row>
    <row r="265" spans="2:8" ht="15" customHeight="1" x14ac:dyDescent="0.25">
      <c r="B265" s="13" t="s">
        <v>1783</v>
      </c>
      <c r="C265" s="13" t="s">
        <v>1784</v>
      </c>
      <c r="E265" s="14">
        <v>232</v>
      </c>
      <c r="F265" s="13" t="s">
        <v>1530</v>
      </c>
      <c r="G265" s="13" t="s">
        <v>307</v>
      </c>
      <c r="H265" s="13"/>
    </row>
    <row r="266" spans="2:8" ht="15" customHeight="1" x14ac:dyDescent="0.25">
      <c r="B266" s="13" t="s">
        <v>1785</v>
      </c>
      <c r="C266" s="13" t="s">
        <v>1786</v>
      </c>
      <c r="E266" s="14">
        <v>233</v>
      </c>
      <c r="F266" s="13" t="s">
        <v>1531</v>
      </c>
      <c r="G266" s="13" t="s">
        <v>323</v>
      </c>
      <c r="H266" s="13"/>
    </row>
    <row r="267" spans="2:8" ht="15" customHeight="1" x14ac:dyDescent="0.25">
      <c r="B267" s="13" t="s">
        <v>1787</v>
      </c>
      <c r="C267" s="13" t="s">
        <v>1788</v>
      </c>
      <c r="E267" s="14">
        <v>234</v>
      </c>
      <c r="F267" s="13" t="s">
        <v>1532</v>
      </c>
      <c r="G267" t="s">
        <v>305</v>
      </c>
    </row>
    <row r="268" spans="2:8" ht="15" customHeight="1" x14ac:dyDescent="0.25">
      <c r="B268" s="13" t="s">
        <v>1789</v>
      </c>
      <c r="C268" s="13" t="s">
        <v>1790</v>
      </c>
      <c r="E268" s="14">
        <v>235</v>
      </c>
      <c r="F268" s="13" t="s">
        <v>1533</v>
      </c>
      <c r="G268" s="14" t="s">
        <v>305</v>
      </c>
    </row>
    <row r="269" spans="2:8" ht="15" customHeight="1" x14ac:dyDescent="0.25">
      <c r="B269" s="13" t="s">
        <v>1791</v>
      </c>
      <c r="C269" s="13" t="s">
        <v>1792</v>
      </c>
      <c r="E269" s="14">
        <v>236</v>
      </c>
      <c r="F269" s="13" t="s">
        <v>1534</v>
      </c>
      <c r="G269" s="13" t="s">
        <v>322</v>
      </c>
      <c r="H269" s="13"/>
    </row>
    <row r="270" spans="2:8" ht="15" customHeight="1" x14ac:dyDescent="0.25">
      <c r="B270" s="13" t="s">
        <v>1793</v>
      </c>
      <c r="C270" s="13" t="s">
        <v>1794</v>
      </c>
      <c r="E270" s="14">
        <v>237</v>
      </c>
      <c r="F270" s="13" t="s">
        <v>1535</v>
      </c>
      <c r="G270" s="13" t="s">
        <v>712</v>
      </c>
      <c r="H270" s="13"/>
    </row>
    <row r="271" spans="2:8" ht="15" customHeight="1" x14ac:dyDescent="0.25">
      <c r="B271" s="13" t="s">
        <v>1795</v>
      </c>
      <c r="C271" s="13" t="s">
        <v>1796</v>
      </c>
      <c r="E271" s="14">
        <v>238</v>
      </c>
      <c r="F271" s="13" t="s">
        <v>1536</v>
      </c>
      <c r="G271" s="13" t="s">
        <v>715</v>
      </c>
    </row>
    <row r="272" spans="2:8" ht="15" customHeight="1" x14ac:dyDescent="0.25">
      <c r="B272" s="13" t="s">
        <v>1797</v>
      </c>
      <c r="C272" s="13" t="s">
        <v>1798</v>
      </c>
      <c r="E272" s="14">
        <v>239</v>
      </c>
      <c r="F272" s="13" t="s">
        <v>1537</v>
      </c>
      <c r="G272" s="13" t="s">
        <v>319</v>
      </c>
      <c r="H272" s="13"/>
    </row>
    <row r="273" spans="2:8" ht="15" customHeight="1" x14ac:dyDescent="0.25">
      <c r="B273" s="13" t="s">
        <v>1799</v>
      </c>
      <c r="C273" s="13" t="s">
        <v>1800</v>
      </c>
      <c r="E273" s="14">
        <v>240</v>
      </c>
      <c r="F273" s="13" t="s">
        <v>1538</v>
      </c>
      <c r="G273" s="13" t="s">
        <v>320</v>
      </c>
      <c r="H273" s="13"/>
    </row>
    <row r="274" spans="2:8" ht="15" customHeight="1" x14ac:dyDescent="0.25">
      <c r="B274" s="13" t="s">
        <v>1801</v>
      </c>
      <c r="C274" s="13" t="s">
        <v>1802</v>
      </c>
      <c r="E274" s="14">
        <v>241</v>
      </c>
      <c r="F274" s="13" t="s">
        <v>1539</v>
      </c>
      <c r="G274" s="13" t="s">
        <v>321</v>
      </c>
      <c r="H274" s="13"/>
    </row>
    <row r="275" spans="2:8" ht="15" customHeight="1" x14ac:dyDescent="0.25">
      <c r="B275" s="13" t="s">
        <v>1803</v>
      </c>
      <c r="C275" s="13" t="s">
        <v>1804</v>
      </c>
      <c r="E275" s="14">
        <v>242</v>
      </c>
      <c r="F275" s="13" t="s">
        <v>1540</v>
      </c>
      <c r="G275" s="13" t="s">
        <v>326</v>
      </c>
      <c r="H275" s="13"/>
    </row>
    <row r="276" spans="2:8" ht="15" customHeight="1" x14ac:dyDescent="0.25">
      <c r="B276" s="13" t="s">
        <v>1805</v>
      </c>
      <c r="C276" s="13" t="s">
        <v>1806</v>
      </c>
      <c r="E276" s="14">
        <v>243</v>
      </c>
      <c r="F276" s="13" t="s">
        <v>1541</v>
      </c>
      <c r="G276" s="13" t="s">
        <v>328</v>
      </c>
      <c r="H276" s="13"/>
    </row>
    <row r="277" spans="2:8" ht="15" customHeight="1" x14ac:dyDescent="0.25">
      <c r="B277" s="13" t="s">
        <v>1807</v>
      </c>
      <c r="C277" s="13" t="s">
        <v>1808</v>
      </c>
      <c r="E277" s="14">
        <v>244</v>
      </c>
      <c r="F277" s="13" t="s">
        <v>1542</v>
      </c>
      <c r="G277" s="13" t="s">
        <v>325</v>
      </c>
      <c r="H277" s="13"/>
    </row>
    <row r="278" spans="2:8" ht="15" customHeight="1" x14ac:dyDescent="0.25">
      <c r="B278" s="13" t="s">
        <v>1809</v>
      </c>
      <c r="C278" s="13" t="s">
        <v>1810</v>
      </c>
      <c r="E278" s="14">
        <v>245</v>
      </c>
      <c r="F278" s="13" t="s">
        <v>1543</v>
      </c>
      <c r="G278" s="13" t="s">
        <v>324</v>
      </c>
      <c r="H278" s="13"/>
    </row>
    <row r="279" spans="2:8" ht="15" customHeight="1" x14ac:dyDescent="0.25">
      <c r="B279" s="13" t="s">
        <v>1811</v>
      </c>
      <c r="C279" s="13" t="s">
        <v>1812</v>
      </c>
      <c r="E279" s="14">
        <v>246</v>
      </c>
      <c r="F279" s="13" t="s">
        <v>1544</v>
      </c>
      <c r="G279" s="13" t="s">
        <v>324</v>
      </c>
      <c r="H279" s="13"/>
    </row>
    <row r="280" spans="2:8" ht="15" customHeight="1" x14ac:dyDescent="0.25">
      <c r="B280" s="13" t="s">
        <v>1813</v>
      </c>
      <c r="C280" s="13" t="s">
        <v>1814</v>
      </c>
      <c r="E280" s="14">
        <v>247</v>
      </c>
      <c r="F280" s="13" t="s">
        <v>1545</v>
      </c>
      <c r="G280" s="13" t="s">
        <v>331</v>
      </c>
      <c r="H280" s="13"/>
    </row>
    <row r="281" spans="2:8" ht="15" customHeight="1" x14ac:dyDescent="0.25">
      <c r="B281" s="13" t="s">
        <v>1815</v>
      </c>
      <c r="C281" s="13" t="s">
        <v>1816</v>
      </c>
      <c r="E281" s="14">
        <v>248</v>
      </c>
      <c r="F281" s="13" t="s">
        <v>1546</v>
      </c>
      <c r="G281" s="13" t="s">
        <v>327</v>
      </c>
    </row>
    <row r="282" spans="2:8" ht="15" customHeight="1" x14ac:dyDescent="0.25">
      <c r="B282" s="13" t="s">
        <v>1817</v>
      </c>
      <c r="C282" s="13" t="s">
        <v>1818</v>
      </c>
      <c r="E282" s="14">
        <v>249</v>
      </c>
      <c r="F282" s="13" t="s">
        <v>1587</v>
      </c>
      <c r="G282" s="13" t="s">
        <v>406</v>
      </c>
    </row>
    <row r="283" spans="2:8" ht="15" customHeight="1" x14ac:dyDescent="0.25">
      <c r="B283" s="13" t="s">
        <v>1819</v>
      </c>
      <c r="C283" s="13" t="s">
        <v>1820</v>
      </c>
      <c r="E283" s="14">
        <v>250</v>
      </c>
      <c r="F283" s="13" t="s">
        <v>1588</v>
      </c>
      <c r="G283" s="13" t="s">
        <v>407</v>
      </c>
    </row>
    <row r="284" spans="2:8" ht="15" customHeight="1" x14ac:dyDescent="0.25">
      <c r="B284" s="13" t="s">
        <v>1821</v>
      </c>
      <c r="C284" s="13" t="s">
        <v>1822</v>
      </c>
      <c r="E284" s="14">
        <v>251</v>
      </c>
      <c r="F284" s="13" t="s">
        <v>1547</v>
      </c>
      <c r="G284" s="13" t="s">
        <v>398</v>
      </c>
      <c r="H284" s="13"/>
    </row>
    <row r="285" spans="2:8" ht="15" customHeight="1" x14ac:dyDescent="0.25">
      <c r="B285" s="13" t="s">
        <v>1823</v>
      </c>
      <c r="C285" s="13" t="s">
        <v>1824</v>
      </c>
      <c r="E285" s="14">
        <v>252</v>
      </c>
      <c r="F285" s="13" t="s">
        <v>1548</v>
      </c>
      <c r="G285" s="13" t="s">
        <v>398</v>
      </c>
      <c r="H285" s="13"/>
    </row>
    <row r="286" spans="2:8" ht="15" customHeight="1" x14ac:dyDescent="0.25">
      <c r="B286" s="13" t="s">
        <v>1825</v>
      </c>
      <c r="C286" s="13" t="s">
        <v>1826</v>
      </c>
      <c r="E286" s="14">
        <v>253</v>
      </c>
      <c r="F286" s="13" t="s">
        <v>1580</v>
      </c>
      <c r="G286" s="13" t="s">
        <v>634</v>
      </c>
      <c r="H286" s="13"/>
    </row>
    <row r="287" spans="2:8" ht="15" customHeight="1" x14ac:dyDescent="0.25">
      <c r="B287" s="13" t="s">
        <v>1827</v>
      </c>
      <c r="C287" s="13" t="s">
        <v>1828</v>
      </c>
      <c r="E287" s="14">
        <v>254</v>
      </c>
      <c r="F287" s="13"/>
      <c r="G287" s="13" t="s">
        <v>394</v>
      </c>
      <c r="H287" s="13"/>
    </row>
    <row r="288" spans="2:8" ht="15" customHeight="1" x14ac:dyDescent="0.25">
      <c r="B288" s="13" t="s">
        <v>1829</v>
      </c>
      <c r="C288" s="13" t="s">
        <v>1830</v>
      </c>
      <c r="E288" s="14">
        <v>255</v>
      </c>
      <c r="F288" s="13"/>
      <c r="G288" s="13" t="s">
        <v>308</v>
      </c>
      <c r="H288" s="13"/>
    </row>
    <row r="289" spans="2:8" ht="15" customHeight="1" x14ac:dyDescent="0.25">
      <c r="B289" s="13" t="s">
        <v>1831</v>
      </c>
      <c r="C289" s="13" t="s">
        <v>1832</v>
      </c>
      <c r="E289" s="14">
        <v>256</v>
      </c>
      <c r="F289" s="13"/>
      <c r="G289" s="13" t="s">
        <v>309</v>
      </c>
      <c r="H289" s="13"/>
    </row>
    <row r="290" spans="2:8" ht="15" customHeight="1" x14ac:dyDescent="0.25">
      <c r="B290" s="13" t="s">
        <v>1833</v>
      </c>
      <c r="C290" s="13" t="s">
        <v>1834</v>
      </c>
      <c r="E290" s="14">
        <v>257</v>
      </c>
      <c r="F290" s="13"/>
      <c r="G290" s="13" t="s">
        <v>389</v>
      </c>
      <c r="H290" s="13"/>
    </row>
    <row r="291" spans="2:8" ht="15" customHeight="1" x14ac:dyDescent="0.25">
      <c r="B291" s="13" t="s">
        <v>1835</v>
      </c>
      <c r="C291" s="13" t="s">
        <v>1836</v>
      </c>
      <c r="E291" s="14">
        <v>258</v>
      </c>
      <c r="F291" s="13"/>
      <c r="G291" s="13" t="s">
        <v>310</v>
      </c>
      <c r="H291" s="13"/>
    </row>
    <row r="292" spans="2:8" ht="15" customHeight="1" x14ac:dyDescent="0.25">
      <c r="B292" s="13" t="s">
        <v>1837</v>
      </c>
      <c r="C292" s="13" t="s">
        <v>1838</v>
      </c>
      <c r="E292" s="14">
        <v>259</v>
      </c>
      <c r="F292" s="13"/>
      <c r="G292" s="13" t="s">
        <v>388</v>
      </c>
      <c r="H292" s="13"/>
    </row>
    <row r="293" spans="2:8" ht="15" customHeight="1" x14ac:dyDescent="0.25">
      <c r="B293" s="13" t="s">
        <v>1839</v>
      </c>
      <c r="C293" s="13" t="s">
        <v>1840</v>
      </c>
      <c r="E293" s="14">
        <v>260</v>
      </c>
      <c r="F293" s="13"/>
      <c r="G293" s="13" t="s">
        <v>390</v>
      </c>
      <c r="H293" s="13"/>
    </row>
    <row r="294" spans="2:8" ht="15" customHeight="1" x14ac:dyDescent="0.25">
      <c r="B294" s="13" t="s">
        <v>1841</v>
      </c>
      <c r="C294" s="13" t="s">
        <v>1842</v>
      </c>
      <c r="E294" s="14">
        <v>261</v>
      </c>
      <c r="F294" s="13"/>
      <c r="G294" s="13" t="s">
        <v>350</v>
      </c>
      <c r="H294" s="13"/>
    </row>
    <row r="295" spans="2:8" ht="15" customHeight="1" x14ac:dyDescent="0.25">
      <c r="B295" s="13" t="s">
        <v>1843</v>
      </c>
      <c r="C295" s="13" t="s">
        <v>1844</v>
      </c>
      <c r="E295" s="14">
        <v>262</v>
      </c>
      <c r="F295" s="13"/>
      <c r="G295" s="13" t="s">
        <v>391</v>
      </c>
      <c r="H295" s="13"/>
    </row>
    <row r="296" spans="2:8" ht="15" customHeight="1" x14ac:dyDescent="0.25">
      <c r="B296" s="13" t="s">
        <v>1845</v>
      </c>
      <c r="C296" s="13" t="s">
        <v>1846</v>
      </c>
      <c r="E296" s="14">
        <v>263</v>
      </c>
      <c r="F296" s="13"/>
      <c r="G296" t="s">
        <v>349</v>
      </c>
    </row>
    <row r="297" spans="2:8" ht="15" customHeight="1" x14ac:dyDescent="0.25">
      <c r="B297" s="13" t="s">
        <v>1847</v>
      </c>
      <c r="C297" s="13" t="s">
        <v>1848</v>
      </c>
      <c r="E297" s="14">
        <v>264</v>
      </c>
      <c r="F297" s="13"/>
      <c r="G297" s="13" t="s">
        <v>727</v>
      </c>
      <c r="H297" s="13"/>
    </row>
    <row r="298" spans="2:8" ht="15" customHeight="1" x14ac:dyDescent="0.25">
      <c r="B298" s="13" t="s">
        <v>1849</v>
      </c>
      <c r="C298" s="13" t="s">
        <v>1850</v>
      </c>
      <c r="E298" s="14">
        <v>265</v>
      </c>
      <c r="F298" s="13"/>
      <c r="G298" t="s">
        <v>331</v>
      </c>
    </row>
    <row r="299" spans="2:8" ht="15" customHeight="1" x14ac:dyDescent="0.25">
      <c r="B299" s="13" t="s">
        <v>1851</v>
      </c>
      <c r="C299" s="13" t="s">
        <v>1852</v>
      </c>
      <c r="E299" s="14">
        <v>266</v>
      </c>
      <c r="F299" s="13"/>
      <c r="G299" s="13" t="s">
        <v>392</v>
      </c>
      <c r="H299" s="13"/>
    </row>
    <row r="300" spans="2:8" ht="15" customHeight="1" x14ac:dyDescent="0.25">
      <c r="B300" s="13" t="s">
        <v>1853</v>
      </c>
      <c r="C300" s="13" t="s">
        <v>1854</v>
      </c>
      <c r="E300" s="14">
        <v>267</v>
      </c>
      <c r="F300" s="13"/>
      <c r="G300" s="13" t="s">
        <v>392</v>
      </c>
    </row>
    <row r="301" spans="2:8" ht="15" customHeight="1" x14ac:dyDescent="0.25">
      <c r="B301" s="13" t="s">
        <v>1855</v>
      </c>
      <c r="C301" s="13" t="s">
        <v>1856</v>
      </c>
      <c r="E301" s="14">
        <v>268</v>
      </c>
      <c r="F301" s="13"/>
      <c r="G301" s="13" t="s">
        <v>393</v>
      </c>
      <c r="H301" s="13"/>
    </row>
    <row r="302" spans="2:8" ht="15" customHeight="1" x14ac:dyDescent="0.25">
      <c r="B302" s="13" t="s">
        <v>1857</v>
      </c>
      <c r="C302" s="13" t="s">
        <v>1858</v>
      </c>
      <c r="E302" s="14">
        <v>269</v>
      </c>
      <c r="F302" s="13"/>
      <c r="G302" s="13" t="s">
        <v>432</v>
      </c>
      <c r="H302" s="13"/>
    </row>
    <row r="303" spans="2:8" ht="15" customHeight="1" x14ac:dyDescent="0.25">
      <c r="B303" s="13" t="s">
        <v>1859</v>
      </c>
      <c r="C303" s="13" t="s">
        <v>1860</v>
      </c>
      <c r="E303" s="14">
        <v>270</v>
      </c>
      <c r="F303" s="13"/>
      <c r="G303" s="13" t="s">
        <v>723</v>
      </c>
      <c r="H303" s="13"/>
    </row>
    <row r="304" spans="2:8" ht="15" customHeight="1" x14ac:dyDescent="0.25">
      <c r="B304" s="13" t="s">
        <v>1861</v>
      </c>
      <c r="C304" s="13" t="s">
        <v>1862</v>
      </c>
      <c r="E304" s="14">
        <v>271</v>
      </c>
      <c r="F304" s="13"/>
      <c r="G304" s="13" t="s">
        <v>716</v>
      </c>
      <c r="H304" s="13"/>
    </row>
    <row r="305" spans="2:8" ht="15" customHeight="1" x14ac:dyDescent="0.25">
      <c r="B305" s="13" t="s">
        <v>1863</v>
      </c>
      <c r="C305" s="13" t="s">
        <v>1864</v>
      </c>
      <c r="E305" s="14">
        <v>272</v>
      </c>
      <c r="F305" s="13"/>
      <c r="G305" s="13" t="s">
        <v>717</v>
      </c>
      <c r="H305" s="13"/>
    </row>
    <row r="306" spans="2:8" ht="15" customHeight="1" x14ac:dyDescent="0.25">
      <c r="B306" s="13" t="s">
        <v>1865</v>
      </c>
      <c r="C306" s="13" t="s">
        <v>1866</v>
      </c>
      <c r="E306" s="14">
        <v>273</v>
      </c>
      <c r="F306" s="13"/>
      <c r="G306" s="13" t="s">
        <v>429</v>
      </c>
      <c r="H306" s="13"/>
    </row>
    <row r="307" spans="2:8" ht="15" customHeight="1" x14ac:dyDescent="0.25">
      <c r="B307" s="13" t="s">
        <v>1867</v>
      </c>
      <c r="C307" s="13" t="s">
        <v>1868</v>
      </c>
      <c r="E307" s="14">
        <v>274</v>
      </c>
      <c r="F307" s="13"/>
      <c r="G307" s="13" t="s">
        <v>431</v>
      </c>
      <c r="H307" s="13"/>
    </row>
    <row r="308" spans="2:8" ht="15" customHeight="1" x14ac:dyDescent="0.25">
      <c r="B308" s="13" t="s">
        <v>1869</v>
      </c>
      <c r="C308" s="13" t="s">
        <v>1870</v>
      </c>
      <c r="E308" s="14">
        <v>275</v>
      </c>
      <c r="F308" s="13"/>
      <c r="G308" s="13" t="s">
        <v>431</v>
      </c>
      <c r="H308" s="13"/>
    </row>
    <row r="309" spans="2:8" ht="15" customHeight="1" x14ac:dyDescent="0.25">
      <c r="B309" s="13" t="s">
        <v>1871</v>
      </c>
      <c r="C309" s="13" t="s">
        <v>1872</v>
      </c>
      <c r="E309" s="14">
        <v>276</v>
      </c>
      <c r="F309" s="13"/>
      <c r="G309" s="13" t="s">
        <v>307</v>
      </c>
    </row>
    <row r="310" spans="2:8" ht="15" customHeight="1" x14ac:dyDescent="0.25">
      <c r="B310" s="13" t="s">
        <v>1873</v>
      </c>
      <c r="C310" s="13" t="s">
        <v>1874</v>
      </c>
      <c r="E310" s="14">
        <v>277</v>
      </c>
      <c r="F310" s="13"/>
      <c r="G310" s="13" t="s">
        <v>307</v>
      </c>
      <c r="H310" s="13"/>
    </row>
    <row r="311" spans="2:8" ht="15" customHeight="1" x14ac:dyDescent="0.25">
      <c r="B311" s="13" t="s">
        <v>1875</v>
      </c>
      <c r="C311" s="13" t="s">
        <v>1876</v>
      </c>
      <c r="E311" s="14">
        <v>278</v>
      </c>
      <c r="F311" s="13"/>
      <c r="G311" s="13" t="s">
        <v>724</v>
      </c>
      <c r="H311" s="13"/>
    </row>
    <row r="312" spans="2:8" ht="15" customHeight="1" x14ac:dyDescent="0.25">
      <c r="B312" s="13" t="s">
        <v>1877</v>
      </c>
      <c r="C312" s="13" t="s">
        <v>1878</v>
      </c>
      <c r="E312" s="14">
        <v>279</v>
      </c>
      <c r="G312" s="13" t="s">
        <v>724</v>
      </c>
    </row>
    <row r="313" spans="2:8" ht="15" customHeight="1" x14ac:dyDescent="0.25">
      <c r="B313" s="13" t="s">
        <v>1879</v>
      </c>
      <c r="C313" s="13" t="s">
        <v>1880</v>
      </c>
      <c r="E313" s="14">
        <v>280</v>
      </c>
      <c r="F313" s="13"/>
      <c r="G313" s="13" t="s">
        <v>327</v>
      </c>
      <c r="H313" s="13"/>
    </row>
    <row r="314" spans="2:8" ht="15" customHeight="1" x14ac:dyDescent="0.25">
      <c r="B314" s="13" t="s">
        <v>1881</v>
      </c>
      <c r="C314" s="13" t="s">
        <v>1882</v>
      </c>
      <c r="E314" s="14">
        <v>281</v>
      </c>
      <c r="G314" s="13" t="s">
        <v>327</v>
      </c>
    </row>
    <row r="315" spans="2:8" ht="15" customHeight="1" x14ac:dyDescent="0.25">
      <c r="B315" s="13" t="s">
        <v>1883</v>
      </c>
      <c r="C315" s="13" t="s">
        <v>1884</v>
      </c>
      <c r="E315" s="14">
        <v>282</v>
      </c>
      <c r="F315" s="13"/>
      <c r="G315" s="13" t="s">
        <v>396</v>
      </c>
      <c r="H315" s="13"/>
    </row>
    <row r="316" spans="2:8" ht="15" customHeight="1" x14ac:dyDescent="0.25">
      <c r="B316" s="13" t="s">
        <v>1885</v>
      </c>
      <c r="C316" s="13" t="s">
        <v>1886</v>
      </c>
      <c r="E316" s="14">
        <v>283</v>
      </c>
      <c r="F316" s="13"/>
      <c r="G316" s="13" t="s">
        <v>397</v>
      </c>
      <c r="H316" s="13"/>
    </row>
    <row r="317" spans="2:8" ht="15" customHeight="1" x14ac:dyDescent="0.25">
      <c r="B317" s="13" t="s">
        <v>1887</v>
      </c>
      <c r="C317" s="13" t="s">
        <v>1888</v>
      </c>
      <c r="E317" s="14">
        <v>284</v>
      </c>
      <c r="F317" s="13"/>
      <c r="G317" s="13" t="s">
        <v>395</v>
      </c>
      <c r="H317" s="13"/>
    </row>
    <row r="318" spans="2:8" ht="15" customHeight="1" x14ac:dyDescent="0.25">
      <c r="B318" s="13" t="s">
        <v>1889</v>
      </c>
      <c r="C318" s="13" t="s">
        <v>1890</v>
      </c>
      <c r="E318">
        <v>285</v>
      </c>
      <c r="F318" s="13" t="s">
        <v>1589</v>
      </c>
      <c r="G318" s="13" t="s">
        <v>410</v>
      </c>
      <c r="H318" s="13"/>
    </row>
    <row r="319" spans="2:8" ht="15" customHeight="1" x14ac:dyDescent="0.25">
      <c r="B319" s="13" t="s">
        <v>1891</v>
      </c>
      <c r="C319" s="13" t="s">
        <v>1892</v>
      </c>
      <c r="E319">
        <v>286</v>
      </c>
      <c r="F319" s="13" t="s">
        <v>2086</v>
      </c>
      <c r="G319" s="13" t="s">
        <v>402</v>
      </c>
      <c r="H319" s="13"/>
    </row>
    <row r="320" spans="2:8" ht="15" customHeight="1" x14ac:dyDescent="0.25">
      <c r="B320" s="13" t="s">
        <v>1893</v>
      </c>
      <c r="C320" s="13" t="s">
        <v>1894</v>
      </c>
      <c r="E320" s="14">
        <v>286</v>
      </c>
      <c r="F320" s="13" t="s">
        <v>2087</v>
      </c>
      <c r="G320" s="13" t="s">
        <v>402</v>
      </c>
    </row>
    <row r="321" spans="2:8" ht="15" customHeight="1" x14ac:dyDescent="0.25">
      <c r="B321" s="13" t="s">
        <v>1895</v>
      </c>
      <c r="C321" s="13" t="s">
        <v>1896</v>
      </c>
      <c r="E321">
        <v>287</v>
      </c>
      <c r="F321" s="13" t="s">
        <v>1590</v>
      </c>
      <c r="G321" s="13" t="s">
        <v>417</v>
      </c>
      <c r="H321" s="13"/>
    </row>
    <row r="322" spans="2:8" ht="15" customHeight="1" x14ac:dyDescent="0.25">
      <c r="B322" s="13" t="s">
        <v>1897</v>
      </c>
      <c r="C322" s="13" t="s">
        <v>1898</v>
      </c>
      <c r="E322">
        <v>288</v>
      </c>
      <c r="F322" s="13" t="s">
        <v>2088</v>
      </c>
      <c r="G322" s="13" t="s">
        <v>411</v>
      </c>
      <c r="H322" s="13"/>
    </row>
    <row r="323" spans="2:8" ht="15" customHeight="1" x14ac:dyDescent="0.25">
      <c r="B323" s="13" t="s">
        <v>1899</v>
      </c>
      <c r="C323" s="13" t="s">
        <v>1900</v>
      </c>
      <c r="E323" s="14">
        <v>288</v>
      </c>
      <c r="F323" s="13" t="s">
        <v>2089</v>
      </c>
      <c r="G323" s="13" t="s">
        <v>411</v>
      </c>
      <c r="H323" s="13"/>
    </row>
    <row r="324" spans="2:8" ht="15" customHeight="1" x14ac:dyDescent="0.25">
      <c r="B324" s="13" t="s">
        <v>1901</v>
      </c>
      <c r="C324" s="13" t="s">
        <v>1902</v>
      </c>
      <c r="E324">
        <v>289</v>
      </c>
      <c r="F324" s="13" t="s">
        <v>2090</v>
      </c>
      <c r="G324" s="13" t="s">
        <v>725</v>
      </c>
      <c r="H324" s="13"/>
    </row>
    <row r="325" spans="2:8" ht="15" customHeight="1" x14ac:dyDescent="0.25">
      <c r="B325" s="13" t="s">
        <v>1903</v>
      </c>
      <c r="C325" s="13" t="s">
        <v>1904</v>
      </c>
      <c r="E325" s="14">
        <v>289</v>
      </c>
      <c r="F325" s="13" t="s">
        <v>2091</v>
      </c>
      <c r="G325" s="13" t="s">
        <v>725</v>
      </c>
      <c r="H325" s="13"/>
    </row>
    <row r="326" spans="2:8" ht="15" customHeight="1" x14ac:dyDescent="0.25">
      <c r="B326" s="13" t="s">
        <v>1905</v>
      </c>
      <c r="C326" s="13" t="s">
        <v>1906</v>
      </c>
      <c r="E326" s="14">
        <v>289</v>
      </c>
      <c r="F326" s="13" t="s">
        <v>2116</v>
      </c>
      <c r="G326" s="13" t="s">
        <v>725</v>
      </c>
      <c r="H326" s="13"/>
    </row>
    <row r="327" spans="2:8" ht="15" customHeight="1" x14ac:dyDescent="0.25">
      <c r="B327" s="13" t="s">
        <v>1907</v>
      </c>
      <c r="C327" s="13" t="s">
        <v>1908</v>
      </c>
      <c r="E327" s="14">
        <v>289</v>
      </c>
      <c r="F327" s="13" t="s">
        <v>2092</v>
      </c>
      <c r="G327" s="13" t="s">
        <v>725</v>
      </c>
      <c r="H327" s="13"/>
    </row>
    <row r="328" spans="2:8" ht="15" customHeight="1" x14ac:dyDescent="0.25">
      <c r="F328" s="13" t="s">
        <v>105</v>
      </c>
      <c r="G328" s="13"/>
      <c r="H328" s="13"/>
    </row>
    <row r="329" spans="2:8" ht="15" customHeight="1" x14ac:dyDescent="0.25">
      <c r="B329" s="13" t="s">
        <v>1909</v>
      </c>
      <c r="C329" s="13" t="s">
        <v>1910</v>
      </c>
      <c r="E329">
        <v>290</v>
      </c>
      <c r="F329" s="13" t="s">
        <v>2085</v>
      </c>
      <c r="G329" s="13" t="s">
        <v>554</v>
      </c>
      <c r="H329" s="13"/>
    </row>
    <row r="330" spans="2:8" ht="15" customHeight="1" x14ac:dyDescent="0.25">
      <c r="B330" s="13" t="s">
        <v>1911</v>
      </c>
      <c r="C330" s="13" t="s">
        <v>1912</v>
      </c>
      <c r="E330" s="14">
        <v>290</v>
      </c>
      <c r="F330" s="13" t="s">
        <v>2093</v>
      </c>
      <c r="G330" s="13" t="s">
        <v>554</v>
      </c>
    </row>
    <row r="331" spans="2:8" ht="15" customHeight="1" x14ac:dyDescent="0.25">
      <c r="F331" s="13" t="s">
        <v>105</v>
      </c>
      <c r="G331" s="13"/>
      <c r="H331" s="13"/>
    </row>
    <row r="332" spans="2:8" ht="15" customHeight="1" x14ac:dyDescent="0.25">
      <c r="B332" s="13" t="s">
        <v>1909</v>
      </c>
      <c r="C332" s="13" t="s">
        <v>1910</v>
      </c>
      <c r="E332">
        <v>291</v>
      </c>
      <c r="F332" s="13" t="s">
        <v>2094</v>
      </c>
      <c r="G332" s="13" t="s">
        <v>633</v>
      </c>
      <c r="H332" s="13"/>
    </row>
    <row r="333" spans="2:8" ht="15" customHeight="1" x14ac:dyDescent="0.25">
      <c r="B333" s="13" t="s">
        <v>1913</v>
      </c>
      <c r="C333" s="13" t="s">
        <v>1914</v>
      </c>
      <c r="E333" s="14">
        <v>291</v>
      </c>
      <c r="F333" s="13" t="s">
        <v>2117</v>
      </c>
      <c r="G333" s="13" t="s">
        <v>633</v>
      </c>
      <c r="H333" s="13"/>
    </row>
    <row r="334" spans="2:8" ht="15" customHeight="1" x14ac:dyDescent="0.25">
      <c r="B334" s="13" t="s">
        <v>1915</v>
      </c>
      <c r="C334" s="13" t="s">
        <v>1916</v>
      </c>
      <c r="E334">
        <v>292</v>
      </c>
      <c r="F334" s="13" t="s">
        <v>1549</v>
      </c>
      <c r="G334" t="s">
        <v>474</v>
      </c>
    </row>
    <row r="335" spans="2:8" ht="15" customHeight="1" x14ac:dyDescent="0.25">
      <c r="B335" s="13" t="s">
        <v>1917</v>
      </c>
      <c r="C335" s="13" t="s">
        <v>1918</v>
      </c>
      <c r="E335">
        <v>293</v>
      </c>
      <c r="F335" s="13" t="s">
        <v>1550</v>
      </c>
      <c r="G335" s="13" t="s">
        <v>475</v>
      </c>
      <c r="H335" s="13"/>
    </row>
    <row r="336" spans="2:8" ht="15" customHeight="1" x14ac:dyDescent="0.25">
      <c r="B336" s="13" t="s">
        <v>1919</v>
      </c>
      <c r="C336" s="13" t="s">
        <v>1920</v>
      </c>
      <c r="E336" s="14">
        <v>294</v>
      </c>
      <c r="F336" s="13" t="s">
        <v>1551</v>
      </c>
      <c r="G336" s="13" t="s">
        <v>473</v>
      </c>
      <c r="H336" s="13"/>
    </row>
    <row r="337" spans="2:8" ht="15" customHeight="1" x14ac:dyDescent="0.25">
      <c r="B337" s="13" t="s">
        <v>1921</v>
      </c>
      <c r="C337" s="13" t="s">
        <v>1922</v>
      </c>
      <c r="E337" s="14">
        <v>295</v>
      </c>
      <c r="F337" s="13" t="s">
        <v>1552</v>
      </c>
      <c r="G337" s="13" t="s">
        <v>465</v>
      </c>
      <c r="H337" s="13"/>
    </row>
    <row r="338" spans="2:8" ht="15" customHeight="1" x14ac:dyDescent="0.25">
      <c r="B338" s="13" t="s">
        <v>1923</v>
      </c>
      <c r="C338" s="13" t="s">
        <v>1924</v>
      </c>
      <c r="E338" s="14">
        <v>296</v>
      </c>
      <c r="F338" s="13" t="s">
        <v>1553</v>
      </c>
      <c r="G338" s="13" t="s">
        <v>454</v>
      </c>
      <c r="H338" s="13"/>
    </row>
    <row r="339" spans="2:8" ht="15" customHeight="1" x14ac:dyDescent="0.25">
      <c r="B339" s="13" t="s">
        <v>1925</v>
      </c>
      <c r="C339" s="13" t="s">
        <v>1926</v>
      </c>
      <c r="E339" s="14">
        <v>297</v>
      </c>
      <c r="F339" s="13" t="s">
        <v>1554</v>
      </c>
      <c r="G339" s="13" t="s">
        <v>455</v>
      </c>
    </row>
    <row r="340" spans="2:8" ht="15" customHeight="1" x14ac:dyDescent="0.25">
      <c r="B340" s="13" t="s">
        <v>1927</v>
      </c>
      <c r="C340" s="13" t="s">
        <v>1928</v>
      </c>
      <c r="E340" s="14">
        <v>298</v>
      </c>
      <c r="F340" s="13" t="s">
        <v>1555</v>
      </c>
      <c r="G340" s="13" t="s">
        <v>467</v>
      </c>
      <c r="H340" s="13"/>
    </row>
    <row r="341" spans="2:8" ht="15" customHeight="1" x14ac:dyDescent="0.25">
      <c r="B341" s="13" t="s">
        <v>1929</v>
      </c>
      <c r="C341" s="13" t="s">
        <v>1930</v>
      </c>
      <c r="E341" s="14">
        <v>299</v>
      </c>
      <c r="F341" s="13" t="s">
        <v>1556</v>
      </c>
      <c r="G341" s="13" t="s">
        <v>466</v>
      </c>
      <c r="H341" s="13"/>
    </row>
    <row r="342" spans="2:8" ht="15" customHeight="1" x14ac:dyDescent="0.25">
      <c r="B342" s="13" t="s">
        <v>1931</v>
      </c>
      <c r="C342" s="13" t="s">
        <v>1932</v>
      </c>
      <c r="E342" s="14">
        <v>300</v>
      </c>
      <c r="F342" s="13" t="s">
        <v>1557</v>
      </c>
      <c r="G342" s="13" t="s">
        <v>560</v>
      </c>
      <c r="H342" s="13"/>
    </row>
    <row r="343" spans="2:8" ht="15" customHeight="1" x14ac:dyDescent="0.25">
      <c r="B343" s="13" t="s">
        <v>1933</v>
      </c>
      <c r="C343" s="13" t="s">
        <v>1934</v>
      </c>
      <c r="E343" s="14">
        <v>301</v>
      </c>
      <c r="F343" s="13" t="s">
        <v>1558</v>
      </c>
      <c r="G343" s="13" t="s">
        <v>468</v>
      </c>
      <c r="H343" s="13"/>
    </row>
    <row r="344" spans="2:8" ht="15" customHeight="1" x14ac:dyDescent="0.25">
      <c r="B344" s="13" t="s">
        <v>1935</v>
      </c>
      <c r="C344" s="13" t="s">
        <v>1936</v>
      </c>
      <c r="E344" s="14">
        <v>302</v>
      </c>
      <c r="F344" s="13" t="s">
        <v>1559</v>
      </c>
      <c r="G344" s="13" t="s">
        <v>469</v>
      </c>
      <c r="H344" s="13"/>
    </row>
    <row r="345" spans="2:8" ht="15" customHeight="1" x14ac:dyDescent="0.25">
      <c r="B345" s="13" t="s">
        <v>1937</v>
      </c>
      <c r="C345" s="13" t="s">
        <v>1938</v>
      </c>
      <c r="E345" s="14">
        <v>303</v>
      </c>
      <c r="F345" s="13" t="s">
        <v>1560</v>
      </c>
      <c r="G345" s="13" t="s">
        <v>462</v>
      </c>
      <c r="H345" s="13"/>
    </row>
    <row r="346" spans="2:8" ht="15" customHeight="1" x14ac:dyDescent="0.25">
      <c r="B346" s="13" t="s">
        <v>1939</v>
      </c>
      <c r="C346" s="13" t="s">
        <v>1940</v>
      </c>
      <c r="E346" s="14">
        <v>304</v>
      </c>
      <c r="F346" s="13" t="s">
        <v>1561</v>
      </c>
      <c r="G346" s="13" t="s">
        <v>459</v>
      </c>
      <c r="H346" s="13"/>
    </row>
    <row r="347" spans="2:8" ht="15" customHeight="1" x14ac:dyDescent="0.25">
      <c r="B347" s="13" t="s">
        <v>1941</v>
      </c>
      <c r="C347" s="13" t="s">
        <v>1942</v>
      </c>
      <c r="E347" s="14">
        <v>305</v>
      </c>
      <c r="F347" s="13" t="s">
        <v>1562</v>
      </c>
      <c r="G347" t="s">
        <v>458</v>
      </c>
    </row>
    <row r="348" spans="2:8" ht="15" customHeight="1" x14ac:dyDescent="0.25">
      <c r="B348" s="13" t="s">
        <v>1943</v>
      </c>
      <c r="C348" s="13" t="s">
        <v>1944</v>
      </c>
      <c r="E348" s="14">
        <v>306</v>
      </c>
      <c r="F348" s="13" t="s">
        <v>1563</v>
      </c>
      <c r="G348" t="s">
        <v>460</v>
      </c>
    </row>
    <row r="349" spans="2:8" ht="15" customHeight="1" x14ac:dyDescent="0.25">
      <c r="B349" s="13" t="s">
        <v>1945</v>
      </c>
      <c r="C349" s="13" t="s">
        <v>1946</v>
      </c>
      <c r="E349" s="14">
        <v>307</v>
      </c>
      <c r="F349" s="13" t="s">
        <v>1564</v>
      </c>
      <c r="G349" s="13" t="s">
        <v>471</v>
      </c>
      <c r="H349" s="13"/>
    </row>
    <row r="350" spans="2:8" ht="15" customHeight="1" x14ac:dyDescent="0.25">
      <c r="B350" s="13" t="s">
        <v>1947</v>
      </c>
      <c r="C350" s="13" t="s">
        <v>1948</v>
      </c>
      <c r="E350" s="14">
        <v>308</v>
      </c>
      <c r="F350" s="13" t="s">
        <v>1565</v>
      </c>
      <c r="G350" s="13" t="s">
        <v>461</v>
      </c>
      <c r="H350" s="13"/>
    </row>
    <row r="351" spans="2:8" ht="15" customHeight="1" x14ac:dyDescent="0.25">
      <c r="B351" s="13" t="s">
        <v>1949</v>
      </c>
      <c r="C351" s="13" t="s">
        <v>1950</v>
      </c>
      <c r="E351" s="14">
        <v>309</v>
      </c>
      <c r="F351" s="13" t="s">
        <v>1566</v>
      </c>
      <c r="G351" s="13" t="s">
        <v>464</v>
      </c>
      <c r="H351" s="13"/>
    </row>
    <row r="352" spans="2:8" ht="15" customHeight="1" x14ac:dyDescent="0.25">
      <c r="B352" s="13" t="s">
        <v>1951</v>
      </c>
      <c r="C352" s="13" t="s">
        <v>1952</v>
      </c>
      <c r="E352" s="14">
        <v>310</v>
      </c>
      <c r="F352" s="13" t="s">
        <v>1567</v>
      </c>
      <c r="G352" s="13" t="s">
        <v>464</v>
      </c>
    </row>
    <row r="353" spans="2:8" ht="15" customHeight="1" x14ac:dyDescent="0.25">
      <c r="B353" s="13" t="s">
        <v>1953</v>
      </c>
      <c r="C353" s="13" t="s">
        <v>1954</v>
      </c>
      <c r="E353" s="14">
        <v>311</v>
      </c>
      <c r="F353" s="13" t="s">
        <v>1568</v>
      </c>
      <c r="G353" s="13" t="s">
        <v>463</v>
      </c>
      <c r="H353" s="13"/>
    </row>
    <row r="354" spans="2:8" ht="15" customHeight="1" x14ac:dyDescent="0.25">
      <c r="B354" s="13" t="s">
        <v>1955</v>
      </c>
      <c r="C354" s="13" t="s">
        <v>1956</v>
      </c>
      <c r="E354" s="14">
        <v>312</v>
      </c>
      <c r="F354" s="13" t="s">
        <v>1569</v>
      </c>
      <c r="G354" s="13" t="s">
        <v>478</v>
      </c>
      <c r="H354" s="13"/>
    </row>
    <row r="355" spans="2:8" ht="15" customHeight="1" x14ac:dyDescent="0.25">
      <c r="B355" s="13" t="s">
        <v>1957</v>
      </c>
      <c r="C355" s="13" t="s">
        <v>1958</v>
      </c>
      <c r="E355" s="14">
        <v>313</v>
      </c>
      <c r="F355" s="13" t="s">
        <v>1570</v>
      </c>
      <c r="G355" s="13" t="s">
        <v>470</v>
      </c>
      <c r="H355" s="13"/>
    </row>
    <row r="356" spans="2:8" ht="15" customHeight="1" x14ac:dyDescent="0.25">
      <c r="B356" s="13" t="s">
        <v>1959</v>
      </c>
      <c r="C356" s="13" t="s">
        <v>1960</v>
      </c>
      <c r="E356" s="14">
        <v>314</v>
      </c>
      <c r="F356" s="13" t="s">
        <v>1571</v>
      </c>
      <c r="G356" s="13" t="s">
        <v>472</v>
      </c>
      <c r="H356" s="13"/>
    </row>
    <row r="357" spans="2:8" ht="15" customHeight="1" x14ac:dyDescent="0.25">
      <c r="B357" s="13" t="s">
        <v>1961</v>
      </c>
      <c r="C357" s="13" t="s">
        <v>1962</v>
      </c>
      <c r="E357" s="14">
        <v>315</v>
      </c>
      <c r="F357" s="13" t="s">
        <v>1591</v>
      </c>
      <c r="G357" s="13" t="s">
        <v>484</v>
      </c>
      <c r="H357" s="13"/>
    </row>
    <row r="358" spans="2:8" ht="15" customHeight="1" x14ac:dyDescent="0.25">
      <c r="B358" s="13" t="s">
        <v>1963</v>
      </c>
      <c r="C358" s="13" t="s">
        <v>1964</v>
      </c>
      <c r="E358" s="14">
        <v>316</v>
      </c>
      <c r="F358" s="13" t="s">
        <v>2096</v>
      </c>
      <c r="G358" s="13" t="s">
        <v>485</v>
      </c>
      <c r="H358" s="13"/>
    </row>
    <row r="359" spans="2:8" ht="15" customHeight="1" x14ac:dyDescent="0.25">
      <c r="B359" s="13" t="s">
        <v>1965</v>
      </c>
      <c r="C359" s="13" t="s">
        <v>1966</v>
      </c>
      <c r="E359" s="14">
        <v>316</v>
      </c>
      <c r="F359" s="13" t="s">
        <v>2122</v>
      </c>
      <c r="G359" s="13" t="s">
        <v>485</v>
      </c>
      <c r="H359" s="13"/>
    </row>
    <row r="360" spans="2:8" ht="15" customHeight="1" x14ac:dyDescent="0.25">
      <c r="B360" s="13" t="s">
        <v>1967</v>
      </c>
      <c r="C360" s="13" t="s">
        <v>1968</v>
      </c>
      <c r="E360">
        <v>317</v>
      </c>
      <c r="F360" s="13" t="s">
        <v>1572</v>
      </c>
      <c r="G360" s="13" t="s">
        <v>492</v>
      </c>
      <c r="H360" s="13"/>
    </row>
    <row r="361" spans="2:8" ht="15" customHeight="1" x14ac:dyDescent="0.25">
      <c r="B361" s="13" t="s">
        <v>1969</v>
      </c>
      <c r="C361" s="13" t="s">
        <v>1970</v>
      </c>
      <c r="E361" s="14">
        <v>318</v>
      </c>
      <c r="F361" s="13" t="s">
        <v>1573</v>
      </c>
    </row>
    <row r="362" spans="2:8" ht="15" customHeight="1" x14ac:dyDescent="0.25">
      <c r="B362" s="13" t="s">
        <v>1971</v>
      </c>
      <c r="C362" s="13" t="s">
        <v>1972</v>
      </c>
      <c r="E362" s="14">
        <v>319</v>
      </c>
      <c r="F362" s="13" t="s">
        <v>1574</v>
      </c>
      <c r="G362" s="13" t="s">
        <v>497</v>
      </c>
      <c r="H362" s="13"/>
    </row>
    <row r="363" spans="2:8" ht="15" customHeight="1" x14ac:dyDescent="0.25">
      <c r="B363" s="13" t="s">
        <v>1973</v>
      </c>
      <c r="C363" s="13" t="s">
        <v>1974</v>
      </c>
      <c r="E363" s="14">
        <v>320</v>
      </c>
      <c r="F363" s="13" t="s">
        <v>1575</v>
      </c>
      <c r="G363" t="s">
        <v>498</v>
      </c>
    </row>
    <row r="364" spans="2:8" ht="15" customHeight="1" x14ac:dyDescent="0.25">
      <c r="F364" s="13" t="s">
        <v>105</v>
      </c>
      <c r="G364" s="13"/>
      <c r="H364" s="13"/>
    </row>
    <row r="365" spans="2:8" ht="15" customHeight="1" x14ac:dyDescent="0.25">
      <c r="B365" s="13" t="s">
        <v>1909</v>
      </c>
      <c r="C365" s="13" t="s">
        <v>1910</v>
      </c>
      <c r="E365">
        <v>321</v>
      </c>
      <c r="F365" s="13" t="s">
        <v>2094</v>
      </c>
      <c r="G365" s="13" t="s">
        <v>633</v>
      </c>
      <c r="H365" s="13"/>
    </row>
    <row r="366" spans="2:8" ht="15" customHeight="1" x14ac:dyDescent="0.25">
      <c r="B366" s="13" t="s">
        <v>1975</v>
      </c>
      <c r="C366" s="13" t="s">
        <v>1976</v>
      </c>
      <c r="E366">
        <v>321</v>
      </c>
      <c r="F366" s="13" t="s">
        <v>2117</v>
      </c>
      <c r="G366" s="13" t="s">
        <v>633</v>
      </c>
      <c r="H366" s="13"/>
    </row>
    <row r="367" spans="2:8" ht="15" customHeight="1" x14ac:dyDescent="0.25">
      <c r="B367" s="13" t="s">
        <v>1915</v>
      </c>
      <c r="C367" s="13" t="s">
        <v>1977</v>
      </c>
      <c r="E367">
        <v>322</v>
      </c>
      <c r="F367" s="13" t="s">
        <v>1549</v>
      </c>
      <c r="G367" s="13" t="s">
        <v>474</v>
      </c>
      <c r="H367" s="13"/>
    </row>
    <row r="368" spans="2:8" ht="15" customHeight="1" x14ac:dyDescent="0.25">
      <c r="B368" s="13" t="s">
        <v>1917</v>
      </c>
      <c r="C368" s="13" t="s">
        <v>1978</v>
      </c>
      <c r="E368" s="14">
        <v>323</v>
      </c>
      <c r="F368" s="13" t="s">
        <v>1550</v>
      </c>
      <c r="G368" s="13" t="s">
        <v>475</v>
      </c>
      <c r="H368" s="13"/>
    </row>
    <row r="369" spans="2:8" ht="15" customHeight="1" x14ac:dyDescent="0.25">
      <c r="B369" s="13" t="s">
        <v>1919</v>
      </c>
      <c r="C369" s="13" t="s">
        <v>1979</v>
      </c>
      <c r="E369" s="14">
        <v>324</v>
      </c>
      <c r="F369" s="13" t="s">
        <v>1551</v>
      </c>
      <c r="G369" s="13" t="s">
        <v>473</v>
      </c>
      <c r="H369" s="13"/>
    </row>
    <row r="370" spans="2:8" ht="15" customHeight="1" x14ac:dyDescent="0.25">
      <c r="B370" s="13" t="s">
        <v>1921</v>
      </c>
      <c r="C370" s="13" t="s">
        <v>1980</v>
      </c>
      <c r="E370" s="14">
        <v>325</v>
      </c>
      <c r="F370" s="13" t="s">
        <v>1552</v>
      </c>
      <c r="G370" s="13" t="s">
        <v>465</v>
      </c>
      <c r="H370" s="13"/>
    </row>
    <row r="371" spans="2:8" ht="15" customHeight="1" x14ac:dyDescent="0.25">
      <c r="B371" s="13" t="s">
        <v>1923</v>
      </c>
      <c r="C371" s="13" t="s">
        <v>1981</v>
      </c>
      <c r="E371" s="14">
        <v>326</v>
      </c>
      <c r="F371" s="13" t="s">
        <v>1553</v>
      </c>
      <c r="G371" s="13" t="s">
        <v>454</v>
      </c>
    </row>
    <row r="372" spans="2:8" ht="15" customHeight="1" x14ac:dyDescent="0.25">
      <c r="B372" s="13" t="s">
        <v>1925</v>
      </c>
      <c r="C372" s="13" t="s">
        <v>1982</v>
      </c>
      <c r="E372" s="14">
        <v>327</v>
      </c>
      <c r="F372" s="13" t="s">
        <v>1554</v>
      </c>
      <c r="G372" s="13" t="s">
        <v>455</v>
      </c>
      <c r="H372" s="13"/>
    </row>
    <row r="373" spans="2:8" ht="15" customHeight="1" x14ac:dyDescent="0.25">
      <c r="B373" s="13" t="s">
        <v>1927</v>
      </c>
      <c r="C373" s="13" t="s">
        <v>1983</v>
      </c>
      <c r="E373" s="14">
        <v>328</v>
      </c>
      <c r="F373" s="13" t="s">
        <v>1555</v>
      </c>
      <c r="G373" s="13" t="s">
        <v>467</v>
      </c>
      <c r="H373" s="13"/>
    </row>
    <row r="374" spans="2:8" ht="15" customHeight="1" x14ac:dyDescent="0.25">
      <c r="B374" s="13" t="s">
        <v>1929</v>
      </c>
      <c r="C374" s="13" t="s">
        <v>1984</v>
      </c>
      <c r="E374" s="14">
        <v>329</v>
      </c>
      <c r="F374" s="13" t="s">
        <v>1556</v>
      </c>
      <c r="G374" s="13" t="s">
        <v>466</v>
      </c>
      <c r="H374" s="13"/>
    </row>
    <row r="375" spans="2:8" ht="15" customHeight="1" x14ac:dyDescent="0.25">
      <c r="B375" s="13" t="s">
        <v>1931</v>
      </c>
      <c r="C375" s="13" t="s">
        <v>1985</v>
      </c>
      <c r="E375" s="14">
        <v>330</v>
      </c>
      <c r="F375" s="13" t="s">
        <v>1557</v>
      </c>
      <c r="G375" s="13" t="s">
        <v>559</v>
      </c>
      <c r="H375" s="13"/>
    </row>
    <row r="376" spans="2:8" ht="15" customHeight="1" x14ac:dyDescent="0.25">
      <c r="B376" s="13" t="s">
        <v>1933</v>
      </c>
      <c r="C376" s="13" t="s">
        <v>1986</v>
      </c>
      <c r="E376" s="14">
        <v>331</v>
      </c>
      <c r="F376" s="13" t="s">
        <v>1558</v>
      </c>
      <c r="G376" s="13" t="s">
        <v>468</v>
      </c>
      <c r="H376" s="13"/>
    </row>
    <row r="377" spans="2:8" ht="15" customHeight="1" x14ac:dyDescent="0.25">
      <c r="B377" s="13" t="s">
        <v>1935</v>
      </c>
      <c r="C377" s="13" t="s">
        <v>1987</v>
      </c>
      <c r="E377" s="14">
        <v>332</v>
      </c>
      <c r="F377" s="13" t="s">
        <v>1559</v>
      </c>
      <c r="G377" s="13" t="s">
        <v>469</v>
      </c>
      <c r="H377" s="13"/>
    </row>
    <row r="378" spans="2:8" ht="15" customHeight="1" x14ac:dyDescent="0.25">
      <c r="B378" s="13" t="s">
        <v>1937</v>
      </c>
      <c r="C378" s="13" t="s">
        <v>1988</v>
      </c>
      <c r="E378" s="14">
        <v>333</v>
      </c>
      <c r="F378" s="13" t="s">
        <v>1560</v>
      </c>
      <c r="G378" s="13" t="s">
        <v>508</v>
      </c>
      <c r="H378" s="13"/>
    </row>
    <row r="379" spans="2:8" ht="15" customHeight="1" x14ac:dyDescent="0.25">
      <c r="B379" s="13" t="s">
        <v>1939</v>
      </c>
      <c r="C379" s="13" t="s">
        <v>1989</v>
      </c>
      <c r="E379" s="14">
        <v>334</v>
      </c>
      <c r="F379" s="13" t="s">
        <v>1561</v>
      </c>
      <c r="G379" s="13" t="s">
        <v>503</v>
      </c>
      <c r="H379" s="13"/>
    </row>
    <row r="380" spans="2:8" ht="15" customHeight="1" x14ac:dyDescent="0.25">
      <c r="B380" s="13" t="s">
        <v>1941</v>
      </c>
      <c r="C380" s="13" t="s">
        <v>1990</v>
      </c>
      <c r="E380" s="14">
        <v>335</v>
      </c>
      <c r="F380" s="13" t="s">
        <v>1562</v>
      </c>
      <c r="G380" s="13" t="s">
        <v>502</v>
      </c>
    </row>
    <row r="381" spans="2:8" ht="15" customHeight="1" x14ac:dyDescent="0.25">
      <c r="B381" s="13" t="s">
        <v>1943</v>
      </c>
      <c r="C381" s="13" t="s">
        <v>1991</v>
      </c>
      <c r="E381" s="14">
        <v>336</v>
      </c>
      <c r="F381" s="13" t="s">
        <v>1563</v>
      </c>
      <c r="G381" s="13" t="s">
        <v>504</v>
      </c>
    </row>
    <row r="382" spans="2:8" ht="15" customHeight="1" x14ac:dyDescent="0.25">
      <c r="B382" s="13" t="s">
        <v>1945</v>
      </c>
      <c r="C382" s="13" t="s">
        <v>1992</v>
      </c>
      <c r="E382" s="14">
        <v>337</v>
      </c>
      <c r="F382" s="13" t="s">
        <v>1564</v>
      </c>
      <c r="G382" s="13" t="s">
        <v>515</v>
      </c>
      <c r="H382" s="13"/>
    </row>
    <row r="383" spans="2:8" ht="15" customHeight="1" x14ac:dyDescent="0.25">
      <c r="B383" s="13" t="s">
        <v>1947</v>
      </c>
      <c r="C383" s="13" t="s">
        <v>1993</v>
      </c>
      <c r="E383" s="14">
        <v>338</v>
      </c>
      <c r="F383" s="13" t="s">
        <v>1565</v>
      </c>
      <c r="G383" s="13" t="s">
        <v>505</v>
      </c>
    </row>
    <row r="384" spans="2:8" ht="15" customHeight="1" x14ac:dyDescent="0.25">
      <c r="B384" s="13" t="s">
        <v>1949</v>
      </c>
      <c r="C384" s="13" t="s">
        <v>1994</v>
      </c>
      <c r="E384" s="14">
        <v>339</v>
      </c>
      <c r="F384" s="13" t="s">
        <v>1566</v>
      </c>
      <c r="G384" s="13" t="s">
        <v>506</v>
      </c>
      <c r="H384" s="13"/>
    </row>
    <row r="385" spans="2:8" ht="15" customHeight="1" x14ac:dyDescent="0.25">
      <c r="B385" s="13" t="s">
        <v>1951</v>
      </c>
      <c r="C385" s="13" t="s">
        <v>1995</v>
      </c>
      <c r="E385" s="14">
        <v>340</v>
      </c>
      <c r="F385" s="13" t="s">
        <v>1567</v>
      </c>
      <c r="G385" s="13" t="s">
        <v>506</v>
      </c>
    </row>
    <row r="386" spans="2:8" ht="15" customHeight="1" x14ac:dyDescent="0.25">
      <c r="B386" s="13" t="s">
        <v>1953</v>
      </c>
      <c r="C386" s="13" t="s">
        <v>1996</v>
      </c>
      <c r="E386" s="14">
        <v>341</v>
      </c>
      <c r="F386" s="13" t="s">
        <v>1568</v>
      </c>
      <c r="G386" s="13" t="s">
        <v>507</v>
      </c>
      <c r="H386" s="13"/>
    </row>
    <row r="387" spans="2:8" ht="15" customHeight="1" x14ac:dyDescent="0.25">
      <c r="B387" s="13" t="s">
        <v>1955</v>
      </c>
      <c r="C387" s="13" t="s">
        <v>1997</v>
      </c>
      <c r="E387" s="14">
        <v>342</v>
      </c>
      <c r="F387" s="13" t="s">
        <v>1569</v>
      </c>
      <c r="G387" s="13" t="s">
        <v>509</v>
      </c>
      <c r="H387" s="13"/>
    </row>
    <row r="388" spans="2:8" ht="15" customHeight="1" x14ac:dyDescent="0.25">
      <c r="B388" s="13" t="s">
        <v>1957</v>
      </c>
      <c r="C388" s="13" t="s">
        <v>1998</v>
      </c>
      <c r="E388" s="14">
        <v>343</v>
      </c>
      <c r="F388" s="13" t="s">
        <v>1570</v>
      </c>
      <c r="G388" s="13" t="s">
        <v>511</v>
      </c>
      <c r="H388" s="13"/>
    </row>
    <row r="389" spans="2:8" ht="15" customHeight="1" x14ac:dyDescent="0.25">
      <c r="B389" s="13" t="s">
        <v>1959</v>
      </c>
      <c r="C389" s="13" t="s">
        <v>1999</v>
      </c>
      <c r="E389" s="14">
        <v>344</v>
      </c>
      <c r="F389" s="13" t="s">
        <v>1571</v>
      </c>
      <c r="G389" s="13" t="s">
        <v>512</v>
      </c>
      <c r="H389" s="13"/>
    </row>
    <row r="390" spans="2:8" ht="15" customHeight="1" x14ac:dyDescent="0.25">
      <c r="B390" s="13" t="s">
        <v>1961</v>
      </c>
      <c r="C390" s="13" t="s">
        <v>2000</v>
      </c>
      <c r="E390" s="14">
        <v>345</v>
      </c>
      <c r="F390" s="13" t="s">
        <v>1591</v>
      </c>
      <c r="G390" s="13" t="s">
        <v>513</v>
      </c>
    </row>
    <row r="391" spans="2:8" ht="15" customHeight="1" x14ac:dyDescent="0.25">
      <c r="B391" s="13" t="s">
        <v>2001</v>
      </c>
      <c r="C391" s="13" t="s">
        <v>2002</v>
      </c>
      <c r="E391" s="14">
        <v>346</v>
      </c>
      <c r="F391" s="13" t="s">
        <v>2095</v>
      </c>
      <c r="G391" s="13" t="s">
        <v>514</v>
      </c>
      <c r="H391" s="13"/>
    </row>
    <row r="392" spans="2:8" ht="15" customHeight="1" x14ac:dyDescent="0.25">
      <c r="B392" s="13" t="s">
        <v>2003</v>
      </c>
      <c r="C392" s="13" t="s">
        <v>2004</v>
      </c>
      <c r="E392">
        <v>346</v>
      </c>
      <c r="F392" s="13" t="s">
        <v>2118</v>
      </c>
      <c r="G392" s="13" t="s">
        <v>514</v>
      </c>
    </row>
    <row r="393" spans="2:8" ht="15" customHeight="1" x14ac:dyDescent="0.25">
      <c r="B393" s="13" t="s">
        <v>1967</v>
      </c>
      <c r="C393" s="13" t="s">
        <v>1968</v>
      </c>
      <c r="E393">
        <v>347</v>
      </c>
      <c r="F393" s="13" t="s">
        <v>1572</v>
      </c>
      <c r="G393" s="13" t="s">
        <v>492</v>
      </c>
      <c r="H393" s="13"/>
    </row>
    <row r="394" spans="2:8" ht="15" customHeight="1" x14ac:dyDescent="0.25">
      <c r="B394" s="13" t="s">
        <v>2005</v>
      </c>
      <c r="C394" s="13" t="s">
        <v>2006</v>
      </c>
      <c r="E394" s="14">
        <v>348</v>
      </c>
      <c r="F394" s="13" t="s">
        <v>1576</v>
      </c>
      <c r="G394" t="s">
        <v>493</v>
      </c>
    </row>
    <row r="395" spans="2:8" ht="15" customHeight="1" x14ac:dyDescent="0.25">
      <c r="B395" s="13" t="s">
        <v>1971</v>
      </c>
      <c r="C395" s="13" t="s">
        <v>2007</v>
      </c>
      <c r="E395" s="14">
        <v>349</v>
      </c>
      <c r="F395" s="13" t="s">
        <v>1574</v>
      </c>
      <c r="G395" s="13" t="s">
        <v>510</v>
      </c>
      <c r="H395" s="13"/>
    </row>
    <row r="396" spans="2:8" ht="15" customHeight="1" x14ac:dyDescent="0.25">
      <c r="B396" s="13" t="s">
        <v>2008</v>
      </c>
      <c r="C396" s="13" t="s">
        <v>2009</v>
      </c>
      <c r="E396" s="14">
        <v>350</v>
      </c>
      <c r="F396" s="13" t="s">
        <v>1575</v>
      </c>
      <c r="G396" t="s">
        <v>501</v>
      </c>
    </row>
    <row r="397" spans="2:8" ht="15" customHeight="1" x14ac:dyDescent="0.25">
      <c r="F397" s="13" t="s">
        <v>105</v>
      </c>
      <c r="G397" s="13"/>
    </row>
    <row r="398" spans="2:8" ht="15" customHeight="1" x14ac:dyDescent="0.25">
      <c r="B398" s="13" t="s">
        <v>979</v>
      </c>
      <c r="C398" s="13" t="s">
        <v>980</v>
      </c>
      <c r="E398">
        <v>351</v>
      </c>
      <c r="F398" s="13" t="s">
        <v>2097</v>
      </c>
      <c r="G398" s="13"/>
    </row>
    <row r="399" spans="2:8" ht="15" customHeight="1" x14ac:dyDescent="0.25">
      <c r="B399" s="13" t="s">
        <v>2010</v>
      </c>
      <c r="C399" s="13" t="s">
        <v>2011</v>
      </c>
      <c r="E399">
        <v>351</v>
      </c>
      <c r="F399" s="13" t="s">
        <v>2119</v>
      </c>
      <c r="G399" s="13"/>
    </row>
    <row r="400" spans="2:8" ht="15" customHeight="1" x14ac:dyDescent="0.25">
      <c r="B400" s="13" t="s">
        <v>2012</v>
      </c>
      <c r="C400" s="13" t="s">
        <v>2013</v>
      </c>
      <c r="E400">
        <v>352</v>
      </c>
      <c r="F400" s="13" t="s">
        <v>1577</v>
      </c>
      <c r="G400" s="13" t="s">
        <v>518</v>
      </c>
      <c r="H400" s="13"/>
    </row>
    <row r="401" spans="2:8" ht="15" customHeight="1" x14ac:dyDescent="0.25">
      <c r="B401" s="13" t="s">
        <v>2014</v>
      </c>
      <c r="C401" s="13" t="s">
        <v>2015</v>
      </c>
      <c r="E401">
        <v>353</v>
      </c>
      <c r="F401" s="13" t="s">
        <v>1592</v>
      </c>
      <c r="G401" s="13" t="s">
        <v>519</v>
      </c>
      <c r="H401" s="13"/>
    </row>
    <row r="402" spans="2:8" ht="15" customHeight="1" x14ac:dyDescent="0.25">
      <c r="B402" s="13" t="s">
        <v>2016</v>
      </c>
      <c r="C402" s="13" t="s">
        <v>2017</v>
      </c>
      <c r="E402" s="14">
        <v>354</v>
      </c>
      <c r="F402" s="13" t="s">
        <v>1593</v>
      </c>
      <c r="G402" s="13" t="s">
        <v>520</v>
      </c>
    </row>
    <row r="403" spans="2:8" ht="15" customHeight="1" x14ac:dyDescent="0.25">
      <c r="B403" s="13" t="s">
        <v>2018</v>
      </c>
      <c r="C403" s="13" t="s">
        <v>2019</v>
      </c>
      <c r="E403" s="14">
        <v>355</v>
      </c>
      <c r="F403" s="13" t="s">
        <v>2098</v>
      </c>
      <c r="G403" s="13" t="s">
        <v>521</v>
      </c>
      <c r="H403" s="13"/>
    </row>
    <row r="404" spans="2:8" ht="15" customHeight="1" x14ac:dyDescent="0.25">
      <c r="B404" s="13" t="s">
        <v>2020</v>
      </c>
      <c r="C404" s="13" t="s">
        <v>2021</v>
      </c>
      <c r="E404">
        <v>355</v>
      </c>
      <c r="F404" s="13" t="s">
        <v>2099</v>
      </c>
      <c r="G404" s="13" t="s">
        <v>521</v>
      </c>
    </row>
    <row r="405" spans="2:8" ht="15" customHeight="1" x14ac:dyDescent="0.25">
      <c r="B405" s="13" t="s">
        <v>2022</v>
      </c>
      <c r="C405" s="13" t="s">
        <v>2023</v>
      </c>
      <c r="E405">
        <v>356</v>
      </c>
      <c r="F405" s="13" t="s">
        <v>2100</v>
      </c>
      <c r="G405" s="13" t="s">
        <v>522</v>
      </c>
    </row>
    <row r="406" spans="2:8" ht="15" customHeight="1" x14ac:dyDescent="0.25">
      <c r="B406" s="13" t="s">
        <v>2024</v>
      </c>
      <c r="C406" s="13" t="s">
        <v>2025</v>
      </c>
      <c r="E406">
        <v>356</v>
      </c>
      <c r="F406" s="13" t="s">
        <v>2101</v>
      </c>
      <c r="G406" s="13" t="s">
        <v>522</v>
      </c>
    </row>
    <row r="407" spans="2:8" ht="15" customHeight="1" x14ac:dyDescent="0.25">
      <c r="B407" s="13" t="s">
        <v>2026</v>
      </c>
      <c r="C407" s="13" t="s">
        <v>2027</v>
      </c>
      <c r="E407">
        <v>357</v>
      </c>
      <c r="F407" s="13" t="s">
        <v>1594</v>
      </c>
      <c r="G407" s="13" t="s">
        <v>538</v>
      </c>
    </row>
    <row r="408" spans="2:8" ht="15" customHeight="1" x14ac:dyDescent="0.25">
      <c r="B408" s="13" t="s">
        <v>2028</v>
      </c>
      <c r="C408" s="13" t="s">
        <v>2029</v>
      </c>
      <c r="E408" s="14">
        <v>358</v>
      </c>
      <c r="F408" s="13" t="s">
        <v>1595</v>
      </c>
      <c r="G408" s="13" t="s">
        <v>541</v>
      </c>
    </row>
    <row r="409" spans="2:8" ht="15" customHeight="1" x14ac:dyDescent="0.25">
      <c r="B409" s="13" t="s">
        <v>2030</v>
      </c>
      <c r="C409" s="13" t="s">
        <v>2031</v>
      </c>
      <c r="E409" s="14">
        <v>359</v>
      </c>
      <c r="F409" s="13" t="s">
        <v>1578</v>
      </c>
      <c r="G409" t="s">
        <v>543</v>
      </c>
    </row>
    <row r="410" spans="2:8" ht="15" customHeight="1" x14ac:dyDescent="0.25">
      <c r="B410" s="13" t="s">
        <v>2032</v>
      </c>
      <c r="C410" s="13" t="s">
        <v>2033</v>
      </c>
      <c r="E410" s="14">
        <v>360</v>
      </c>
      <c r="F410" s="13" t="s">
        <v>2120</v>
      </c>
    </row>
    <row r="411" spans="2:8" ht="15" customHeight="1" x14ac:dyDescent="0.25">
      <c r="B411" s="13" t="s">
        <v>2034</v>
      </c>
      <c r="C411" s="13" t="s">
        <v>2035</v>
      </c>
      <c r="E411" s="14">
        <v>361</v>
      </c>
      <c r="F411" s="13" t="s">
        <v>1579</v>
      </c>
      <c r="G411" t="s">
        <v>544</v>
      </c>
    </row>
    <row r="412" spans="2:8" ht="15" customHeight="1" x14ac:dyDescent="0.25">
      <c r="B412" s="13" t="s">
        <v>2036</v>
      </c>
      <c r="C412" s="13" t="s">
        <v>2037</v>
      </c>
      <c r="E412" s="14">
        <v>362</v>
      </c>
      <c r="F412" s="13" t="s">
        <v>2121</v>
      </c>
    </row>
    <row r="413" spans="2:8" ht="15" customHeight="1" x14ac:dyDescent="0.25">
      <c r="B413" s="13" t="s">
        <v>2038</v>
      </c>
      <c r="C413" s="13" t="s">
        <v>2039</v>
      </c>
      <c r="E413" s="14">
        <v>363</v>
      </c>
      <c r="F413" s="13" t="s">
        <v>1596</v>
      </c>
      <c r="G413" s="13" t="s">
        <v>563</v>
      </c>
      <c r="H413" s="13"/>
    </row>
    <row r="414" spans="2:8" ht="15" customHeight="1" x14ac:dyDescent="0.25">
      <c r="F414" t="s">
        <v>105</v>
      </c>
    </row>
    <row r="415" spans="2:8" ht="15" customHeight="1" x14ac:dyDescent="0.25">
      <c r="B415" s="13" t="s">
        <v>2040</v>
      </c>
      <c r="C415" s="13" t="s">
        <v>2041</v>
      </c>
      <c r="E415">
        <v>364</v>
      </c>
      <c r="F415" s="13" t="s">
        <v>1597</v>
      </c>
      <c r="G415" s="13" t="s">
        <v>696</v>
      </c>
      <c r="H415" s="13"/>
    </row>
    <row r="416" spans="2:8" ht="15" customHeight="1" x14ac:dyDescent="0.25">
      <c r="F416" t="s">
        <v>105</v>
      </c>
    </row>
    <row r="417" spans="2:8" ht="15" customHeight="1" x14ac:dyDescent="0.25">
      <c r="B417" s="13" t="s">
        <v>2042</v>
      </c>
      <c r="C417" s="13" t="s">
        <v>2043</v>
      </c>
      <c r="E417">
        <v>365</v>
      </c>
      <c r="F417" s="13" t="s">
        <v>1598</v>
      </c>
      <c r="G417" s="13" t="s">
        <v>698</v>
      </c>
      <c r="H417" s="13"/>
    </row>
    <row r="418" spans="2:8" ht="15" customHeight="1" x14ac:dyDescent="0.25">
      <c r="B418" s="13" t="s">
        <v>2044</v>
      </c>
      <c r="C418" s="13" t="s">
        <v>2045</v>
      </c>
      <c r="E418" s="14">
        <v>365</v>
      </c>
      <c r="G418" s="13" t="s">
        <v>698</v>
      </c>
    </row>
    <row r="419" spans="2:8" ht="15" customHeight="1" x14ac:dyDescent="0.25">
      <c r="F419" t="s">
        <v>105</v>
      </c>
    </row>
    <row r="420" spans="2:8" ht="15" customHeight="1" x14ac:dyDescent="0.25">
      <c r="B420" s="13" t="s">
        <v>2046</v>
      </c>
      <c r="C420" s="13" t="s">
        <v>2047</v>
      </c>
      <c r="E420">
        <v>366</v>
      </c>
      <c r="F420" s="13" t="s">
        <v>2102</v>
      </c>
      <c r="G420" s="13" t="s">
        <v>700</v>
      </c>
      <c r="H420" s="13"/>
    </row>
    <row r="421" spans="2:8" ht="15" customHeight="1" x14ac:dyDescent="0.25">
      <c r="B421" s="13" t="s">
        <v>2048</v>
      </c>
      <c r="C421" s="13" t="s">
        <v>2049</v>
      </c>
      <c r="E421" s="14">
        <v>366</v>
      </c>
      <c r="F421" s="13" t="s">
        <v>2103</v>
      </c>
      <c r="G421" s="13" t="s">
        <v>700</v>
      </c>
    </row>
    <row r="422" spans="2:8" ht="15" customHeight="1" x14ac:dyDescent="0.25">
      <c r="F422" t="s">
        <v>105</v>
      </c>
    </row>
    <row r="423" spans="2:8" ht="15" customHeight="1" x14ac:dyDescent="0.25">
      <c r="B423" s="13" t="s">
        <v>979</v>
      </c>
      <c r="C423" s="13" t="s">
        <v>980</v>
      </c>
      <c r="E423">
        <v>367</v>
      </c>
      <c r="F423" s="13" t="s">
        <v>1586</v>
      </c>
      <c r="G423" s="13" t="s">
        <v>695</v>
      </c>
    </row>
    <row r="424" spans="2:8" ht="15" customHeight="1" x14ac:dyDescent="0.25">
      <c r="B424" s="13" t="s">
        <v>2050</v>
      </c>
      <c r="C424" s="13" t="s">
        <v>2051</v>
      </c>
      <c r="E424" s="14">
        <v>367</v>
      </c>
      <c r="F424" s="13" t="s">
        <v>2104</v>
      </c>
      <c r="G424" s="13" t="s">
        <v>695</v>
      </c>
    </row>
    <row r="425" spans="2:8" ht="15" customHeight="1" x14ac:dyDescent="0.25">
      <c r="F425" t="s">
        <v>105</v>
      </c>
    </row>
    <row r="426" spans="2:8" ht="15" customHeight="1" x14ac:dyDescent="0.25">
      <c r="B426" s="13" t="s">
        <v>979</v>
      </c>
      <c r="C426" s="13" t="s">
        <v>980</v>
      </c>
      <c r="E426">
        <v>368</v>
      </c>
      <c r="F426" s="13" t="s">
        <v>2094</v>
      </c>
      <c r="G426" s="13" t="s">
        <v>697</v>
      </c>
    </row>
    <row r="427" spans="2:8" ht="15" customHeight="1" x14ac:dyDescent="0.25">
      <c r="B427" s="13" t="s">
        <v>2052</v>
      </c>
      <c r="C427" s="13" t="s">
        <v>2053</v>
      </c>
      <c r="E427" s="14">
        <v>368</v>
      </c>
      <c r="F427" s="13" t="s">
        <v>2105</v>
      </c>
      <c r="G427" s="13" t="s">
        <v>697</v>
      </c>
    </row>
    <row r="428" spans="2:8" ht="15" customHeight="1" x14ac:dyDescent="0.25">
      <c r="F428" t="s">
        <v>105</v>
      </c>
    </row>
    <row r="429" spans="2:8" ht="15" customHeight="1" x14ac:dyDescent="0.25">
      <c r="B429" s="13" t="s">
        <v>979</v>
      </c>
      <c r="C429" s="13" t="s">
        <v>980</v>
      </c>
      <c r="E429">
        <v>369</v>
      </c>
      <c r="F429" s="13" t="s">
        <v>2106</v>
      </c>
      <c r="G429" s="13" t="s">
        <v>701</v>
      </c>
    </row>
    <row r="430" spans="2:8" ht="15" customHeight="1" x14ac:dyDescent="0.25">
      <c r="B430" s="13" t="s">
        <v>2054</v>
      </c>
      <c r="C430" s="13" t="s">
        <v>2055</v>
      </c>
      <c r="E430" s="14">
        <v>369</v>
      </c>
      <c r="F430" s="13" t="s">
        <v>2107</v>
      </c>
      <c r="G430" s="13" t="s">
        <v>701</v>
      </c>
    </row>
    <row r="431" spans="2:8" ht="15" customHeight="1" x14ac:dyDescent="0.25">
      <c r="F431" t="s">
        <v>105</v>
      </c>
    </row>
    <row r="432" spans="2:8" ht="15" customHeight="1" x14ac:dyDescent="0.25">
      <c r="B432" s="13" t="s">
        <v>979</v>
      </c>
      <c r="C432" s="13" t="s">
        <v>980</v>
      </c>
      <c r="E432">
        <v>370</v>
      </c>
      <c r="F432" s="13" t="s">
        <v>2097</v>
      </c>
      <c r="G432" s="13" t="s">
        <v>699</v>
      </c>
      <c r="H432" s="13"/>
    </row>
    <row r="433" spans="2:7" ht="15" customHeight="1" x14ac:dyDescent="0.25">
      <c r="B433" s="13" t="s">
        <v>2056</v>
      </c>
      <c r="C433" s="13" t="s">
        <v>2057</v>
      </c>
      <c r="E433" s="14">
        <v>370</v>
      </c>
      <c r="F433" s="13" t="s">
        <v>2108</v>
      </c>
      <c r="G433" s="13" t="s">
        <v>699</v>
      </c>
    </row>
    <row r="434" spans="2:7" ht="15" customHeight="1" x14ac:dyDescent="0.25">
      <c r="B434" s="13" t="s">
        <v>2058</v>
      </c>
      <c r="C434" s="13" t="s">
        <v>2059</v>
      </c>
      <c r="E434" s="14">
        <v>370</v>
      </c>
      <c r="F434" s="13" t="s">
        <v>2109</v>
      </c>
      <c r="G434" s="13" t="s">
        <v>699</v>
      </c>
    </row>
    <row r="435" spans="2:7" ht="15" customHeight="1" x14ac:dyDescent="0.25">
      <c r="B435" s="13" t="s">
        <v>2060</v>
      </c>
      <c r="C435" s="13" t="s">
        <v>2061</v>
      </c>
      <c r="E435" s="14">
        <v>370</v>
      </c>
      <c r="F435" s="13" t="s">
        <v>2110</v>
      </c>
      <c r="G435" s="13" t="s">
        <v>699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Y1046"/>
  <sheetViews>
    <sheetView workbookViewId="0">
      <selection activeCell="N7" sqref="N7"/>
    </sheetView>
  </sheetViews>
  <sheetFormatPr defaultColWidth="6.28515625" defaultRowHeight="15" x14ac:dyDescent="0.25"/>
  <cols>
    <col min="1" max="1" width="6.28515625" customWidth="1"/>
    <col min="2" max="2" width="12.28515625" customWidth="1"/>
  </cols>
  <sheetData>
    <row r="1" spans="1:51" x14ac:dyDescent="0.25">
      <c r="D1" t="s">
        <v>27</v>
      </c>
      <c r="E1" t="s">
        <v>28</v>
      </c>
      <c r="F1" t="s">
        <v>29</v>
      </c>
      <c r="G1" t="s">
        <v>30</v>
      </c>
      <c r="H1" t="s">
        <v>31</v>
      </c>
      <c r="I1" t="s">
        <v>32</v>
      </c>
      <c r="J1" t="s">
        <v>33</v>
      </c>
      <c r="K1" t="s">
        <v>34</v>
      </c>
      <c r="L1" t="s">
        <v>35</v>
      </c>
      <c r="M1" t="s">
        <v>36</v>
      </c>
      <c r="N1" t="s">
        <v>37</v>
      </c>
      <c r="O1" t="s">
        <v>38</v>
      </c>
      <c r="P1" t="s">
        <v>39</v>
      </c>
      <c r="Q1" t="s">
        <v>40</v>
      </c>
      <c r="R1" t="s">
        <v>41</v>
      </c>
      <c r="S1" t="s">
        <v>42</v>
      </c>
      <c r="T1" t="s">
        <v>43</v>
      </c>
      <c r="U1" t="s">
        <v>20</v>
      </c>
      <c r="V1" t="s">
        <v>44</v>
      </c>
      <c r="W1" t="s">
        <v>45</v>
      </c>
      <c r="X1" t="s">
        <v>46</v>
      </c>
      <c r="Y1" t="s">
        <v>82</v>
      </c>
      <c r="Z1" t="s">
        <v>83</v>
      </c>
      <c r="AA1" t="s">
        <v>84</v>
      </c>
      <c r="AB1" t="s">
        <v>85</v>
      </c>
      <c r="AC1" t="s">
        <v>86</v>
      </c>
      <c r="AD1" t="s">
        <v>87</v>
      </c>
      <c r="AE1" t="s">
        <v>88</v>
      </c>
      <c r="AF1" t="s">
        <v>89</v>
      </c>
      <c r="AG1" t="s">
        <v>637</v>
      </c>
      <c r="AH1" t="s">
        <v>638</v>
      </c>
      <c r="AI1" t="s">
        <v>639</v>
      </c>
      <c r="AJ1" t="s">
        <v>640</v>
      </c>
      <c r="AK1" t="s">
        <v>641</v>
      </c>
      <c r="AL1" t="s">
        <v>19</v>
      </c>
      <c r="AM1" t="s">
        <v>47</v>
      </c>
      <c r="AN1" t="s">
        <v>49</v>
      </c>
      <c r="AO1" t="s">
        <v>48</v>
      </c>
      <c r="AP1" t="s">
        <v>50</v>
      </c>
      <c r="AQ1" t="s">
        <v>51</v>
      </c>
      <c r="AR1" t="s">
        <v>52</v>
      </c>
      <c r="AS1" t="s">
        <v>53</v>
      </c>
      <c r="AT1" t="s">
        <v>54</v>
      </c>
      <c r="AU1" t="s">
        <v>56</v>
      </c>
      <c r="AV1" t="s">
        <v>57</v>
      </c>
      <c r="AW1" t="s">
        <v>58</v>
      </c>
      <c r="AX1" t="s">
        <v>55</v>
      </c>
      <c r="AY1" t="s">
        <v>59</v>
      </c>
    </row>
    <row r="2" spans="1:51" x14ac:dyDescent="0.25">
      <c r="A2" t="s">
        <v>730</v>
      </c>
      <c r="B2" t="s">
        <v>731</v>
      </c>
      <c r="C2" t="s">
        <v>732</v>
      </c>
    </row>
    <row r="3" spans="1:51" x14ac:dyDescent="0.25">
      <c r="A3">
        <v>1</v>
      </c>
      <c r="B3">
        <v>0</v>
      </c>
      <c r="C3" t="s">
        <v>734</v>
      </c>
    </row>
    <row r="4" spans="1:51" x14ac:dyDescent="0.25">
      <c r="A4">
        <v>1</v>
      </c>
      <c r="B4">
        <v>10</v>
      </c>
      <c r="C4" t="s">
        <v>735</v>
      </c>
      <c r="D4" t="s">
        <v>736</v>
      </c>
      <c r="E4" t="s">
        <v>736</v>
      </c>
      <c r="F4" t="s">
        <v>736</v>
      </c>
      <c r="G4" t="s">
        <v>736</v>
      </c>
      <c r="H4" t="s">
        <v>736</v>
      </c>
      <c r="I4" t="s">
        <v>736</v>
      </c>
      <c r="J4" t="s">
        <v>736</v>
      </c>
      <c r="K4" t="s">
        <v>736</v>
      </c>
      <c r="L4" t="s">
        <v>736</v>
      </c>
      <c r="M4" t="s">
        <v>736</v>
      </c>
      <c r="N4" t="s">
        <v>736</v>
      </c>
      <c r="O4" t="s">
        <v>736</v>
      </c>
      <c r="P4" t="s">
        <v>736</v>
      </c>
      <c r="Q4" t="s">
        <v>736</v>
      </c>
      <c r="R4" t="s">
        <v>736</v>
      </c>
      <c r="S4" t="s">
        <v>736</v>
      </c>
      <c r="T4" t="s">
        <v>736</v>
      </c>
      <c r="U4" t="s">
        <v>736</v>
      </c>
      <c r="V4" t="s">
        <v>736</v>
      </c>
      <c r="W4" t="s">
        <v>736</v>
      </c>
      <c r="X4" t="s">
        <v>736</v>
      </c>
      <c r="Y4" t="s">
        <v>736</v>
      </c>
      <c r="Z4" t="s">
        <v>736</v>
      </c>
      <c r="AA4" t="s">
        <v>736</v>
      </c>
      <c r="AB4" t="s">
        <v>736</v>
      </c>
      <c r="AC4" t="s">
        <v>736</v>
      </c>
      <c r="AD4" t="s">
        <v>736</v>
      </c>
      <c r="AE4" t="s">
        <v>736</v>
      </c>
      <c r="AF4" t="s">
        <v>736</v>
      </c>
      <c r="AG4" t="s">
        <v>736</v>
      </c>
      <c r="AH4" t="s">
        <v>736</v>
      </c>
      <c r="AI4" t="s">
        <v>736</v>
      </c>
      <c r="AJ4" t="s">
        <v>736</v>
      </c>
      <c r="AK4" t="s">
        <v>736</v>
      </c>
      <c r="AL4" t="s">
        <v>91</v>
      </c>
      <c r="AM4" t="s">
        <v>93</v>
      </c>
      <c r="AN4" t="s">
        <v>94</v>
      </c>
      <c r="AO4" t="s">
        <v>92</v>
      </c>
      <c r="AP4">
        <v>0</v>
      </c>
      <c r="AQ4">
        <v>0</v>
      </c>
      <c r="AR4">
        <v>0</v>
      </c>
      <c r="AS4">
        <v>0</v>
      </c>
      <c r="AT4">
        <v>0</v>
      </c>
      <c r="AU4">
        <v>0</v>
      </c>
      <c r="AV4">
        <v>0</v>
      </c>
      <c r="AW4">
        <v>0</v>
      </c>
      <c r="AX4">
        <v>0</v>
      </c>
      <c r="AY4">
        <v>0</v>
      </c>
    </row>
    <row r="5" spans="1:51" x14ac:dyDescent="0.25">
      <c r="A5">
        <v>2</v>
      </c>
      <c r="B5">
        <v>20</v>
      </c>
      <c r="C5" t="s">
        <v>735</v>
      </c>
      <c r="D5" t="s">
        <v>97</v>
      </c>
      <c r="E5" t="s">
        <v>100</v>
      </c>
      <c r="F5" t="s">
        <v>98</v>
      </c>
      <c r="G5" t="s">
        <v>101</v>
      </c>
      <c r="H5" t="s">
        <v>78</v>
      </c>
      <c r="I5" t="s">
        <v>79</v>
      </c>
      <c r="J5" t="s">
        <v>70</v>
      </c>
      <c r="K5" t="s">
        <v>102</v>
      </c>
      <c r="L5" t="s">
        <v>76</v>
      </c>
      <c r="M5" t="s">
        <v>103</v>
      </c>
      <c r="N5" t="s">
        <v>74</v>
      </c>
      <c r="O5" t="s">
        <v>104</v>
      </c>
      <c r="P5" t="s">
        <v>71</v>
      </c>
      <c r="Q5" t="s">
        <v>71</v>
      </c>
      <c r="R5" t="s">
        <v>71</v>
      </c>
      <c r="S5">
        <v>0</v>
      </c>
      <c r="T5">
        <v>0</v>
      </c>
      <c r="U5" t="s">
        <v>72</v>
      </c>
      <c r="V5" t="s">
        <v>73</v>
      </c>
      <c r="W5">
        <v>0</v>
      </c>
      <c r="X5">
        <v>0</v>
      </c>
      <c r="Y5">
        <v>0</v>
      </c>
      <c r="Z5">
        <v>0</v>
      </c>
      <c r="AA5">
        <v>0</v>
      </c>
      <c r="AB5">
        <v>0</v>
      </c>
      <c r="AC5">
        <v>0</v>
      </c>
      <c r="AD5">
        <v>0</v>
      </c>
      <c r="AE5">
        <v>0</v>
      </c>
      <c r="AF5">
        <v>0</v>
      </c>
      <c r="AG5" t="s">
        <v>71</v>
      </c>
      <c r="AH5">
        <v>0</v>
      </c>
      <c r="AI5">
        <v>0</v>
      </c>
      <c r="AJ5">
        <v>0</v>
      </c>
      <c r="AK5">
        <v>0</v>
      </c>
      <c r="AL5" t="s">
        <v>91</v>
      </c>
      <c r="AM5" t="s">
        <v>93</v>
      </c>
      <c r="AN5" t="s">
        <v>94</v>
      </c>
      <c r="AO5" t="s">
        <v>92</v>
      </c>
      <c r="AP5">
        <v>0</v>
      </c>
      <c r="AQ5">
        <v>0</v>
      </c>
      <c r="AR5">
        <v>0</v>
      </c>
      <c r="AS5">
        <v>0</v>
      </c>
      <c r="AT5">
        <v>0</v>
      </c>
      <c r="AU5">
        <v>0</v>
      </c>
      <c r="AV5">
        <v>0</v>
      </c>
      <c r="AW5">
        <v>0</v>
      </c>
      <c r="AX5">
        <v>0</v>
      </c>
      <c r="AY5">
        <v>0</v>
      </c>
    </row>
    <row r="6" spans="1:51" x14ac:dyDescent="0.25">
      <c r="A6">
        <v>2</v>
      </c>
      <c r="B6">
        <v>30</v>
      </c>
      <c r="C6" t="s">
        <v>735</v>
      </c>
      <c r="D6" t="s">
        <v>96</v>
      </c>
      <c r="E6" t="s">
        <v>100</v>
      </c>
      <c r="F6" t="s">
        <v>98</v>
      </c>
      <c r="G6" t="s">
        <v>101</v>
      </c>
      <c r="H6" t="s">
        <v>78</v>
      </c>
      <c r="I6" t="s">
        <v>79</v>
      </c>
      <c r="J6" t="s">
        <v>70</v>
      </c>
      <c r="K6" t="s">
        <v>102</v>
      </c>
      <c r="L6" t="s">
        <v>76</v>
      </c>
      <c r="M6" t="s">
        <v>103</v>
      </c>
      <c r="N6" t="s">
        <v>74</v>
      </c>
      <c r="O6" t="s">
        <v>104</v>
      </c>
      <c r="P6" t="s">
        <v>71</v>
      </c>
      <c r="Q6" t="s">
        <v>71</v>
      </c>
      <c r="R6" t="s">
        <v>71</v>
      </c>
      <c r="S6">
        <v>0</v>
      </c>
      <c r="T6">
        <v>0</v>
      </c>
      <c r="U6" t="s">
        <v>72</v>
      </c>
      <c r="V6" t="s">
        <v>73</v>
      </c>
      <c r="W6">
        <v>0</v>
      </c>
      <c r="X6">
        <v>0</v>
      </c>
      <c r="Y6">
        <v>0</v>
      </c>
      <c r="Z6">
        <v>0</v>
      </c>
      <c r="AA6">
        <v>0</v>
      </c>
      <c r="AB6">
        <v>0</v>
      </c>
      <c r="AC6">
        <v>0</v>
      </c>
      <c r="AD6">
        <v>0</v>
      </c>
      <c r="AE6">
        <v>0</v>
      </c>
      <c r="AF6">
        <v>0</v>
      </c>
      <c r="AG6" t="s">
        <v>71</v>
      </c>
      <c r="AH6">
        <v>0</v>
      </c>
      <c r="AI6">
        <v>0</v>
      </c>
      <c r="AJ6">
        <v>0</v>
      </c>
      <c r="AK6">
        <v>0</v>
      </c>
      <c r="AL6" t="s">
        <v>91</v>
      </c>
      <c r="AM6" t="s">
        <v>93</v>
      </c>
      <c r="AN6" t="s">
        <v>94</v>
      </c>
      <c r="AO6" t="s">
        <v>92</v>
      </c>
      <c r="AP6">
        <v>0</v>
      </c>
      <c r="AQ6">
        <v>0</v>
      </c>
      <c r="AR6">
        <v>0</v>
      </c>
      <c r="AS6">
        <v>0</v>
      </c>
      <c r="AT6">
        <v>0</v>
      </c>
      <c r="AU6">
        <v>0</v>
      </c>
      <c r="AV6">
        <v>0</v>
      </c>
      <c r="AW6">
        <v>0</v>
      </c>
      <c r="AX6">
        <v>0</v>
      </c>
      <c r="AY6">
        <v>0</v>
      </c>
    </row>
    <row r="7" spans="1:51" x14ac:dyDescent="0.25">
      <c r="A7">
        <v>2</v>
      </c>
      <c r="B7">
        <v>40</v>
      </c>
      <c r="C7" t="s">
        <v>735</v>
      </c>
      <c r="D7" t="s">
        <v>96</v>
      </c>
      <c r="E7" t="s">
        <v>100</v>
      </c>
      <c r="F7" t="s">
        <v>98</v>
      </c>
      <c r="G7" t="s">
        <v>101</v>
      </c>
      <c r="H7" t="s">
        <v>78</v>
      </c>
      <c r="I7" t="s">
        <v>79</v>
      </c>
      <c r="J7" t="s">
        <v>70</v>
      </c>
      <c r="K7" t="s">
        <v>102</v>
      </c>
      <c r="L7" t="s">
        <v>76</v>
      </c>
      <c r="M7" t="s">
        <v>103</v>
      </c>
      <c r="N7" t="s">
        <v>74</v>
      </c>
      <c r="O7" t="s">
        <v>104</v>
      </c>
      <c r="P7" t="s">
        <v>71</v>
      </c>
      <c r="Q7" t="s">
        <v>71</v>
      </c>
      <c r="R7" t="s">
        <v>71</v>
      </c>
      <c r="S7">
        <v>0</v>
      </c>
      <c r="T7">
        <v>0</v>
      </c>
      <c r="U7" t="s">
        <v>72</v>
      </c>
      <c r="V7" t="s">
        <v>73</v>
      </c>
      <c r="W7">
        <v>0</v>
      </c>
      <c r="X7">
        <v>0</v>
      </c>
      <c r="Y7">
        <v>0</v>
      </c>
      <c r="Z7">
        <v>0</v>
      </c>
      <c r="AA7">
        <v>0</v>
      </c>
      <c r="AB7">
        <v>0</v>
      </c>
      <c r="AC7">
        <v>0</v>
      </c>
      <c r="AD7">
        <v>0</v>
      </c>
      <c r="AE7">
        <v>0</v>
      </c>
      <c r="AF7">
        <v>0</v>
      </c>
      <c r="AG7" t="s">
        <v>71</v>
      </c>
      <c r="AH7">
        <v>0</v>
      </c>
      <c r="AI7">
        <v>0</v>
      </c>
      <c r="AJ7">
        <v>0</v>
      </c>
      <c r="AK7">
        <v>0</v>
      </c>
      <c r="AL7" t="s">
        <v>91</v>
      </c>
      <c r="AM7" t="s">
        <v>93</v>
      </c>
      <c r="AN7" t="s">
        <v>94</v>
      </c>
      <c r="AO7" t="s">
        <v>92</v>
      </c>
      <c r="AP7">
        <v>0</v>
      </c>
      <c r="AQ7">
        <v>0</v>
      </c>
      <c r="AR7">
        <v>0</v>
      </c>
      <c r="AS7">
        <v>0</v>
      </c>
      <c r="AT7">
        <v>0</v>
      </c>
      <c r="AU7">
        <v>0</v>
      </c>
      <c r="AV7">
        <v>0</v>
      </c>
      <c r="AW7">
        <v>0</v>
      </c>
      <c r="AX7">
        <v>0</v>
      </c>
      <c r="AY7">
        <v>0</v>
      </c>
    </row>
    <row r="8" spans="1:51" x14ac:dyDescent="0.25">
      <c r="A8">
        <v>2</v>
      </c>
      <c r="B8">
        <v>5000</v>
      </c>
      <c r="C8" t="s">
        <v>735</v>
      </c>
      <c r="D8" t="s">
        <v>96</v>
      </c>
      <c r="E8" t="s">
        <v>100</v>
      </c>
      <c r="F8" t="s">
        <v>98</v>
      </c>
      <c r="G8" t="s">
        <v>101</v>
      </c>
      <c r="H8" t="s">
        <v>78</v>
      </c>
      <c r="I8" t="s">
        <v>79</v>
      </c>
      <c r="J8" t="s">
        <v>70</v>
      </c>
      <c r="K8" t="s">
        <v>102</v>
      </c>
      <c r="L8" t="s">
        <v>76</v>
      </c>
      <c r="M8" t="s">
        <v>103</v>
      </c>
      <c r="N8" t="s">
        <v>74</v>
      </c>
      <c r="O8" t="s">
        <v>104</v>
      </c>
      <c r="P8" t="s">
        <v>71</v>
      </c>
      <c r="Q8" t="s">
        <v>71</v>
      </c>
      <c r="R8" t="s">
        <v>71</v>
      </c>
      <c r="S8">
        <v>0</v>
      </c>
      <c r="T8">
        <v>0</v>
      </c>
      <c r="U8" t="s">
        <v>72</v>
      </c>
      <c r="V8" t="s">
        <v>73</v>
      </c>
      <c r="W8">
        <v>0</v>
      </c>
      <c r="X8">
        <v>0</v>
      </c>
      <c r="Y8">
        <v>0</v>
      </c>
      <c r="Z8">
        <v>0</v>
      </c>
      <c r="AA8">
        <v>0</v>
      </c>
      <c r="AB8">
        <v>0</v>
      </c>
      <c r="AC8">
        <v>0</v>
      </c>
      <c r="AD8">
        <v>0</v>
      </c>
      <c r="AE8">
        <v>0</v>
      </c>
      <c r="AF8">
        <v>0</v>
      </c>
      <c r="AG8" t="s">
        <v>71</v>
      </c>
      <c r="AH8">
        <v>0</v>
      </c>
      <c r="AI8">
        <v>0</v>
      </c>
      <c r="AJ8">
        <v>0</v>
      </c>
      <c r="AK8">
        <v>0</v>
      </c>
      <c r="AL8" t="s">
        <v>91</v>
      </c>
      <c r="AM8" t="s">
        <v>93</v>
      </c>
      <c r="AN8" t="s">
        <v>94</v>
      </c>
      <c r="AO8" t="s">
        <v>92</v>
      </c>
      <c r="AP8">
        <v>0</v>
      </c>
      <c r="AQ8">
        <v>0</v>
      </c>
      <c r="AR8">
        <v>0</v>
      </c>
      <c r="AS8">
        <v>0</v>
      </c>
      <c r="AT8">
        <v>0</v>
      </c>
      <c r="AU8">
        <v>0</v>
      </c>
      <c r="AV8">
        <v>0</v>
      </c>
      <c r="AW8">
        <v>0</v>
      </c>
      <c r="AX8">
        <v>0</v>
      </c>
      <c r="AY8">
        <v>0</v>
      </c>
    </row>
    <row r="9" spans="1:51" x14ac:dyDescent="0.25">
      <c r="A9">
        <v>2</v>
      </c>
      <c r="B9">
        <v>5010</v>
      </c>
      <c r="C9" t="s">
        <v>735</v>
      </c>
      <c r="D9" t="s">
        <v>96</v>
      </c>
      <c r="E9" t="s">
        <v>100</v>
      </c>
      <c r="F9" t="s">
        <v>98</v>
      </c>
      <c r="G9" t="s">
        <v>101</v>
      </c>
      <c r="H9" t="s">
        <v>78</v>
      </c>
      <c r="I9" t="s">
        <v>79</v>
      </c>
      <c r="J9" t="s">
        <v>70</v>
      </c>
      <c r="K9" t="s">
        <v>102</v>
      </c>
      <c r="L9" t="s">
        <v>76</v>
      </c>
      <c r="M9" t="s">
        <v>103</v>
      </c>
      <c r="N9" t="s">
        <v>74</v>
      </c>
      <c r="O9" t="s">
        <v>104</v>
      </c>
      <c r="P9" t="s">
        <v>71</v>
      </c>
      <c r="Q9" t="s">
        <v>71</v>
      </c>
      <c r="R9" t="s">
        <v>71</v>
      </c>
      <c r="S9">
        <v>0</v>
      </c>
      <c r="T9">
        <v>0</v>
      </c>
      <c r="U9" t="s">
        <v>72</v>
      </c>
      <c r="V9" t="s">
        <v>73</v>
      </c>
      <c r="W9">
        <v>0</v>
      </c>
      <c r="X9">
        <v>0</v>
      </c>
      <c r="Y9">
        <v>0</v>
      </c>
      <c r="Z9">
        <v>0</v>
      </c>
      <c r="AA9">
        <v>0</v>
      </c>
      <c r="AB9">
        <v>0</v>
      </c>
      <c r="AC9">
        <v>0</v>
      </c>
      <c r="AD9">
        <v>0</v>
      </c>
      <c r="AE9">
        <v>0</v>
      </c>
      <c r="AF9">
        <v>0</v>
      </c>
      <c r="AG9" t="s">
        <v>71</v>
      </c>
      <c r="AH9">
        <v>0</v>
      </c>
      <c r="AI9">
        <v>0</v>
      </c>
      <c r="AJ9">
        <v>0</v>
      </c>
      <c r="AK9">
        <v>0</v>
      </c>
      <c r="AL9" t="s">
        <v>91</v>
      </c>
      <c r="AM9" t="s">
        <v>93</v>
      </c>
      <c r="AN9" t="s">
        <v>94</v>
      </c>
      <c r="AO9" t="s">
        <v>92</v>
      </c>
      <c r="AP9">
        <v>0</v>
      </c>
      <c r="AQ9">
        <v>0</v>
      </c>
      <c r="AR9">
        <v>0</v>
      </c>
      <c r="AS9">
        <v>0</v>
      </c>
      <c r="AT9">
        <v>0</v>
      </c>
      <c r="AU9">
        <v>0</v>
      </c>
      <c r="AV9">
        <v>0</v>
      </c>
      <c r="AW9">
        <v>0</v>
      </c>
      <c r="AX9">
        <v>0</v>
      </c>
      <c r="AY9">
        <v>0</v>
      </c>
    </row>
    <row r="10" spans="1:51" x14ac:dyDescent="0.25">
      <c r="A10">
        <v>2</v>
      </c>
      <c r="B10">
        <v>5020</v>
      </c>
      <c r="C10" t="s">
        <v>735</v>
      </c>
      <c r="D10" t="s">
        <v>96</v>
      </c>
      <c r="E10" t="s">
        <v>100</v>
      </c>
      <c r="F10" t="s">
        <v>98</v>
      </c>
      <c r="G10" t="s">
        <v>101</v>
      </c>
      <c r="H10" t="s">
        <v>78</v>
      </c>
      <c r="I10" t="s">
        <v>79</v>
      </c>
      <c r="J10" t="s">
        <v>70</v>
      </c>
      <c r="K10" t="s">
        <v>102</v>
      </c>
      <c r="L10" t="s">
        <v>76</v>
      </c>
      <c r="M10" t="s">
        <v>103</v>
      </c>
      <c r="N10" t="s">
        <v>74</v>
      </c>
      <c r="O10" t="s">
        <v>104</v>
      </c>
      <c r="P10" t="s">
        <v>71</v>
      </c>
      <c r="Q10" t="s">
        <v>71</v>
      </c>
      <c r="R10" t="s">
        <v>71</v>
      </c>
      <c r="S10">
        <v>0</v>
      </c>
      <c r="T10">
        <v>0</v>
      </c>
      <c r="U10" t="s">
        <v>72</v>
      </c>
      <c r="V10" t="s">
        <v>73</v>
      </c>
      <c r="W10">
        <v>0</v>
      </c>
      <c r="X10">
        <v>0</v>
      </c>
      <c r="Y10">
        <v>0</v>
      </c>
      <c r="Z10">
        <v>0</v>
      </c>
      <c r="AA10">
        <v>0</v>
      </c>
      <c r="AB10">
        <v>0</v>
      </c>
      <c r="AC10">
        <v>0</v>
      </c>
      <c r="AD10">
        <v>0</v>
      </c>
      <c r="AE10">
        <v>0</v>
      </c>
      <c r="AF10">
        <v>0</v>
      </c>
      <c r="AG10" t="s">
        <v>71</v>
      </c>
      <c r="AH10">
        <v>0</v>
      </c>
      <c r="AI10">
        <v>0</v>
      </c>
      <c r="AJ10">
        <v>0</v>
      </c>
      <c r="AK10">
        <v>0</v>
      </c>
      <c r="AL10" t="s">
        <v>99</v>
      </c>
      <c r="AM10" t="s">
        <v>93</v>
      </c>
      <c r="AN10" t="s">
        <v>94</v>
      </c>
      <c r="AO10" t="s">
        <v>92</v>
      </c>
      <c r="AP10">
        <v>0</v>
      </c>
      <c r="AQ10">
        <v>0</v>
      </c>
      <c r="AR10">
        <v>0</v>
      </c>
      <c r="AS10">
        <v>0</v>
      </c>
      <c r="AT10">
        <v>0</v>
      </c>
      <c r="AU10">
        <v>0</v>
      </c>
      <c r="AV10">
        <v>0</v>
      </c>
      <c r="AW10">
        <v>0</v>
      </c>
      <c r="AX10">
        <v>0</v>
      </c>
      <c r="AY10">
        <v>0</v>
      </c>
    </row>
    <row r="11" spans="1:51" x14ac:dyDescent="0.25">
      <c r="A11">
        <v>1</v>
      </c>
      <c r="C11" t="s">
        <v>735</v>
      </c>
      <c r="D11" t="s">
        <v>736</v>
      </c>
      <c r="E11" t="s">
        <v>736</v>
      </c>
      <c r="F11" t="s">
        <v>736</v>
      </c>
      <c r="G11" t="s">
        <v>736</v>
      </c>
      <c r="H11" t="s">
        <v>736</v>
      </c>
      <c r="I11" t="s">
        <v>736</v>
      </c>
      <c r="J11" t="s">
        <v>736</v>
      </c>
      <c r="K11" t="s">
        <v>736</v>
      </c>
      <c r="L11" t="s">
        <v>736</v>
      </c>
      <c r="M11" t="s">
        <v>736</v>
      </c>
      <c r="N11" t="s">
        <v>736</v>
      </c>
      <c r="O11" t="s">
        <v>736</v>
      </c>
      <c r="P11" t="s">
        <v>736</v>
      </c>
      <c r="Q11" t="s">
        <v>736</v>
      </c>
      <c r="R11" t="s">
        <v>736</v>
      </c>
      <c r="S11" t="s">
        <v>736</v>
      </c>
      <c r="T11" t="s">
        <v>736</v>
      </c>
      <c r="U11" t="s">
        <v>736</v>
      </c>
      <c r="V11" t="s">
        <v>736</v>
      </c>
      <c r="W11" t="s">
        <v>736</v>
      </c>
      <c r="X11" t="s">
        <v>736</v>
      </c>
      <c r="Y11" t="s">
        <v>736</v>
      </c>
      <c r="Z11" t="s">
        <v>736</v>
      </c>
      <c r="AA11" t="s">
        <v>736</v>
      </c>
      <c r="AB11" t="s">
        <v>736</v>
      </c>
      <c r="AC11" t="s">
        <v>736</v>
      </c>
      <c r="AD11" t="s">
        <v>736</v>
      </c>
      <c r="AE11" t="s">
        <v>736</v>
      </c>
      <c r="AF11" t="s">
        <v>736</v>
      </c>
      <c r="AG11" t="s">
        <v>736</v>
      </c>
      <c r="AH11" t="s">
        <v>736</v>
      </c>
      <c r="AI11" t="s">
        <v>736</v>
      </c>
      <c r="AJ11" t="s">
        <v>736</v>
      </c>
      <c r="AK11" t="s">
        <v>736</v>
      </c>
      <c r="AL11" t="s">
        <v>736</v>
      </c>
      <c r="AM11" t="s">
        <v>736</v>
      </c>
      <c r="AN11" t="s">
        <v>736</v>
      </c>
      <c r="AO11" t="s">
        <v>736</v>
      </c>
      <c r="AP11" t="s">
        <v>736</v>
      </c>
      <c r="AQ11" t="s">
        <v>736</v>
      </c>
      <c r="AR11" t="s">
        <v>736</v>
      </c>
      <c r="AS11" t="s">
        <v>736</v>
      </c>
      <c r="AT11" t="s">
        <v>736</v>
      </c>
      <c r="AU11" t="s">
        <v>736</v>
      </c>
      <c r="AV11" t="s">
        <v>736</v>
      </c>
      <c r="AW11" t="s">
        <v>736</v>
      </c>
      <c r="AX11" t="s">
        <v>736</v>
      </c>
      <c r="AY11" t="s">
        <v>736</v>
      </c>
    </row>
    <row r="12" spans="1:51" x14ac:dyDescent="0.25">
      <c r="A12">
        <v>3</v>
      </c>
      <c r="B12">
        <v>10</v>
      </c>
      <c r="C12" t="s">
        <v>735</v>
      </c>
      <c r="D12" t="s">
        <v>96</v>
      </c>
      <c r="E12" t="s">
        <v>100</v>
      </c>
      <c r="F12" t="s">
        <v>107</v>
      </c>
      <c r="G12" t="s">
        <v>101</v>
      </c>
      <c r="H12" t="s">
        <v>78</v>
      </c>
      <c r="I12" t="s">
        <v>79</v>
      </c>
      <c r="J12" t="s">
        <v>70</v>
      </c>
      <c r="K12" t="s">
        <v>102</v>
      </c>
      <c r="L12" t="s">
        <v>76</v>
      </c>
      <c r="M12" t="s">
        <v>103</v>
      </c>
      <c r="N12" t="s">
        <v>74</v>
      </c>
      <c r="O12" t="s">
        <v>104</v>
      </c>
      <c r="P12" t="s">
        <v>110</v>
      </c>
      <c r="Q12" t="s">
        <v>110</v>
      </c>
      <c r="R12" t="s">
        <v>110</v>
      </c>
      <c r="S12">
        <v>0</v>
      </c>
      <c r="T12">
        <v>0</v>
      </c>
      <c r="U12" t="s">
        <v>72</v>
      </c>
      <c r="V12" t="s">
        <v>73</v>
      </c>
      <c r="W12">
        <v>0</v>
      </c>
      <c r="X12">
        <v>0</v>
      </c>
      <c r="Y12">
        <v>0</v>
      </c>
      <c r="Z12">
        <v>0</v>
      </c>
      <c r="AA12">
        <v>0</v>
      </c>
      <c r="AB12">
        <v>0</v>
      </c>
      <c r="AC12">
        <v>0</v>
      </c>
      <c r="AD12">
        <v>0</v>
      </c>
      <c r="AE12">
        <v>0</v>
      </c>
      <c r="AF12">
        <v>0</v>
      </c>
      <c r="AG12" t="s">
        <v>71</v>
      </c>
      <c r="AH12">
        <v>0</v>
      </c>
      <c r="AI12">
        <v>0</v>
      </c>
      <c r="AJ12">
        <v>0</v>
      </c>
      <c r="AK12">
        <v>0</v>
      </c>
      <c r="AL12" t="s">
        <v>91</v>
      </c>
      <c r="AM12" t="s">
        <v>93</v>
      </c>
      <c r="AN12" t="s">
        <v>94</v>
      </c>
      <c r="AO12" t="s">
        <v>92</v>
      </c>
      <c r="AP12">
        <v>0</v>
      </c>
      <c r="AQ12">
        <v>0</v>
      </c>
      <c r="AR12">
        <v>0</v>
      </c>
      <c r="AS12">
        <v>0</v>
      </c>
      <c r="AT12">
        <v>0</v>
      </c>
      <c r="AU12">
        <v>0</v>
      </c>
      <c r="AV12">
        <v>0</v>
      </c>
      <c r="AW12">
        <v>0</v>
      </c>
      <c r="AX12">
        <v>0</v>
      </c>
      <c r="AY12">
        <v>0</v>
      </c>
    </row>
    <row r="13" spans="1:51" x14ac:dyDescent="0.25">
      <c r="A13">
        <v>3</v>
      </c>
      <c r="B13">
        <v>20</v>
      </c>
      <c r="C13" t="s">
        <v>735</v>
      </c>
      <c r="D13" t="s">
        <v>96</v>
      </c>
      <c r="E13" t="s">
        <v>100</v>
      </c>
      <c r="F13" t="s">
        <v>107</v>
      </c>
      <c r="G13" t="s">
        <v>101</v>
      </c>
      <c r="H13" t="s">
        <v>78</v>
      </c>
      <c r="I13" t="s">
        <v>79</v>
      </c>
      <c r="J13" t="s">
        <v>70</v>
      </c>
      <c r="K13" t="s">
        <v>102</v>
      </c>
      <c r="L13" t="s">
        <v>76</v>
      </c>
      <c r="M13" t="s">
        <v>103</v>
      </c>
      <c r="N13" t="s">
        <v>74</v>
      </c>
      <c r="O13" t="s">
        <v>104</v>
      </c>
      <c r="P13" t="s">
        <v>110</v>
      </c>
      <c r="Q13" t="s">
        <v>110</v>
      </c>
      <c r="R13" t="s">
        <v>110</v>
      </c>
      <c r="S13">
        <v>0</v>
      </c>
      <c r="T13">
        <v>0</v>
      </c>
      <c r="U13" t="s">
        <v>72</v>
      </c>
      <c r="V13" t="s">
        <v>73</v>
      </c>
      <c r="W13">
        <v>0</v>
      </c>
      <c r="X13">
        <v>0</v>
      </c>
      <c r="Y13">
        <v>0</v>
      </c>
      <c r="Z13">
        <v>0</v>
      </c>
      <c r="AA13">
        <v>0</v>
      </c>
      <c r="AB13">
        <v>0</v>
      </c>
      <c r="AC13">
        <v>0</v>
      </c>
      <c r="AD13">
        <v>0</v>
      </c>
      <c r="AE13">
        <v>0</v>
      </c>
      <c r="AF13">
        <v>0</v>
      </c>
      <c r="AG13" t="s">
        <v>71</v>
      </c>
      <c r="AH13">
        <v>0</v>
      </c>
      <c r="AI13">
        <v>0</v>
      </c>
      <c r="AJ13">
        <v>0</v>
      </c>
      <c r="AK13">
        <v>0</v>
      </c>
      <c r="AL13" t="s">
        <v>91</v>
      </c>
      <c r="AM13" t="s">
        <v>93</v>
      </c>
      <c r="AN13" t="s">
        <v>94</v>
      </c>
      <c r="AO13" t="s">
        <v>92</v>
      </c>
      <c r="AP13">
        <v>0</v>
      </c>
      <c r="AQ13">
        <v>0</v>
      </c>
      <c r="AR13">
        <v>0</v>
      </c>
      <c r="AS13">
        <v>0</v>
      </c>
      <c r="AT13">
        <v>0</v>
      </c>
      <c r="AU13">
        <v>0</v>
      </c>
      <c r="AV13">
        <v>0</v>
      </c>
      <c r="AW13">
        <v>0</v>
      </c>
      <c r="AX13">
        <v>0</v>
      </c>
      <c r="AY13">
        <v>0</v>
      </c>
    </row>
    <row r="14" spans="1:51" x14ac:dyDescent="0.25">
      <c r="A14">
        <v>3</v>
      </c>
      <c r="B14">
        <v>30</v>
      </c>
      <c r="C14" t="s">
        <v>735</v>
      </c>
      <c r="D14" t="s">
        <v>96</v>
      </c>
      <c r="E14" t="s">
        <v>100</v>
      </c>
      <c r="F14" t="s">
        <v>107</v>
      </c>
      <c r="G14" t="s">
        <v>101</v>
      </c>
      <c r="H14" t="s">
        <v>78</v>
      </c>
      <c r="I14" t="s">
        <v>79</v>
      </c>
      <c r="J14" t="s">
        <v>70</v>
      </c>
      <c r="K14" t="s">
        <v>102</v>
      </c>
      <c r="L14" t="s">
        <v>76</v>
      </c>
      <c r="M14" t="s">
        <v>103</v>
      </c>
      <c r="N14" t="s">
        <v>74</v>
      </c>
      <c r="O14" t="s">
        <v>104</v>
      </c>
      <c r="P14" t="s">
        <v>110</v>
      </c>
      <c r="Q14" t="s">
        <v>110</v>
      </c>
      <c r="R14" t="s">
        <v>110</v>
      </c>
      <c r="S14">
        <v>0</v>
      </c>
      <c r="T14">
        <v>0</v>
      </c>
      <c r="U14" t="s">
        <v>72</v>
      </c>
      <c r="V14" t="s">
        <v>73</v>
      </c>
      <c r="W14">
        <v>0</v>
      </c>
      <c r="X14">
        <v>0</v>
      </c>
      <c r="Y14">
        <v>0</v>
      </c>
      <c r="Z14">
        <v>0</v>
      </c>
      <c r="AA14">
        <v>0</v>
      </c>
      <c r="AB14">
        <v>0</v>
      </c>
      <c r="AC14">
        <v>0</v>
      </c>
      <c r="AD14">
        <v>0</v>
      </c>
      <c r="AE14">
        <v>0</v>
      </c>
      <c r="AF14">
        <v>0</v>
      </c>
      <c r="AG14" t="s">
        <v>71</v>
      </c>
      <c r="AH14">
        <v>0</v>
      </c>
      <c r="AI14">
        <v>0</v>
      </c>
      <c r="AJ14">
        <v>0</v>
      </c>
      <c r="AK14">
        <v>0</v>
      </c>
      <c r="AL14" t="s">
        <v>91</v>
      </c>
      <c r="AM14" t="s">
        <v>93</v>
      </c>
      <c r="AN14" t="s">
        <v>94</v>
      </c>
      <c r="AO14" t="s">
        <v>92</v>
      </c>
      <c r="AP14">
        <v>0</v>
      </c>
      <c r="AQ14">
        <v>0</v>
      </c>
      <c r="AR14">
        <v>0</v>
      </c>
      <c r="AS14">
        <v>0</v>
      </c>
      <c r="AT14">
        <v>0</v>
      </c>
      <c r="AU14">
        <v>0</v>
      </c>
      <c r="AV14">
        <v>0</v>
      </c>
      <c r="AW14">
        <v>0</v>
      </c>
      <c r="AX14">
        <v>0</v>
      </c>
      <c r="AY14">
        <v>0</v>
      </c>
    </row>
    <row r="15" spans="1:51" x14ac:dyDescent="0.25">
      <c r="A15">
        <v>3</v>
      </c>
      <c r="B15">
        <v>5000</v>
      </c>
      <c r="C15" t="s">
        <v>735</v>
      </c>
      <c r="D15" t="s">
        <v>96</v>
      </c>
      <c r="E15" t="s">
        <v>100</v>
      </c>
      <c r="F15" t="s">
        <v>107</v>
      </c>
      <c r="G15" t="s">
        <v>101</v>
      </c>
      <c r="H15" t="s">
        <v>78</v>
      </c>
      <c r="I15" t="s">
        <v>79</v>
      </c>
      <c r="J15" t="s">
        <v>70</v>
      </c>
      <c r="K15" t="s">
        <v>102</v>
      </c>
      <c r="L15" t="s">
        <v>76</v>
      </c>
      <c r="M15" t="s">
        <v>103</v>
      </c>
      <c r="N15" t="s">
        <v>74</v>
      </c>
      <c r="O15" t="s">
        <v>104</v>
      </c>
      <c r="P15" t="s">
        <v>110</v>
      </c>
      <c r="Q15" t="s">
        <v>110</v>
      </c>
      <c r="R15" t="s">
        <v>110</v>
      </c>
      <c r="S15">
        <v>0</v>
      </c>
      <c r="T15">
        <v>0</v>
      </c>
      <c r="U15" t="s">
        <v>72</v>
      </c>
      <c r="V15" t="s">
        <v>73</v>
      </c>
      <c r="W15">
        <v>0</v>
      </c>
      <c r="X15">
        <v>0</v>
      </c>
      <c r="Y15">
        <v>0</v>
      </c>
      <c r="Z15">
        <v>0</v>
      </c>
      <c r="AA15">
        <v>0</v>
      </c>
      <c r="AB15">
        <v>0</v>
      </c>
      <c r="AC15">
        <v>0</v>
      </c>
      <c r="AD15">
        <v>0</v>
      </c>
      <c r="AE15">
        <v>0</v>
      </c>
      <c r="AF15">
        <v>0</v>
      </c>
      <c r="AG15" t="s">
        <v>71</v>
      </c>
      <c r="AH15">
        <v>0</v>
      </c>
      <c r="AI15">
        <v>0</v>
      </c>
      <c r="AJ15">
        <v>0</v>
      </c>
      <c r="AK15">
        <v>0</v>
      </c>
      <c r="AL15" t="s">
        <v>91</v>
      </c>
      <c r="AM15" t="s">
        <v>93</v>
      </c>
      <c r="AN15" t="s">
        <v>94</v>
      </c>
      <c r="AO15" t="s">
        <v>92</v>
      </c>
      <c r="AP15">
        <v>0</v>
      </c>
      <c r="AQ15">
        <v>0</v>
      </c>
      <c r="AR15">
        <v>0</v>
      </c>
      <c r="AS15">
        <v>0</v>
      </c>
      <c r="AT15">
        <v>0</v>
      </c>
      <c r="AU15">
        <v>0</v>
      </c>
      <c r="AV15">
        <v>0</v>
      </c>
      <c r="AW15">
        <v>0</v>
      </c>
      <c r="AX15">
        <v>0</v>
      </c>
      <c r="AY15">
        <v>0</v>
      </c>
    </row>
    <row r="16" spans="1:51" x14ac:dyDescent="0.25">
      <c r="A16">
        <v>3</v>
      </c>
      <c r="B16">
        <v>5010</v>
      </c>
      <c r="C16" t="s">
        <v>735</v>
      </c>
      <c r="D16" t="s">
        <v>96</v>
      </c>
      <c r="E16" t="s">
        <v>100</v>
      </c>
      <c r="F16" t="s">
        <v>107</v>
      </c>
      <c r="G16" t="s">
        <v>101</v>
      </c>
      <c r="H16" t="s">
        <v>78</v>
      </c>
      <c r="I16" t="s">
        <v>79</v>
      </c>
      <c r="J16" t="s">
        <v>70</v>
      </c>
      <c r="K16" t="s">
        <v>102</v>
      </c>
      <c r="L16" t="s">
        <v>76</v>
      </c>
      <c r="M16" t="s">
        <v>103</v>
      </c>
      <c r="N16" t="s">
        <v>74</v>
      </c>
      <c r="O16" t="s">
        <v>104</v>
      </c>
      <c r="P16" t="s">
        <v>71</v>
      </c>
      <c r="Q16" t="s">
        <v>71</v>
      </c>
      <c r="R16" t="s">
        <v>71</v>
      </c>
      <c r="S16">
        <v>0</v>
      </c>
      <c r="T16">
        <v>0</v>
      </c>
      <c r="U16" t="s">
        <v>72</v>
      </c>
      <c r="V16" t="s">
        <v>73</v>
      </c>
      <c r="W16">
        <v>0</v>
      </c>
      <c r="X16">
        <v>0</v>
      </c>
      <c r="Y16">
        <v>0</v>
      </c>
      <c r="Z16">
        <v>0</v>
      </c>
      <c r="AA16">
        <v>0</v>
      </c>
      <c r="AB16">
        <v>0</v>
      </c>
      <c r="AC16">
        <v>0</v>
      </c>
      <c r="AD16">
        <v>0</v>
      </c>
      <c r="AE16">
        <v>0</v>
      </c>
      <c r="AF16">
        <v>0</v>
      </c>
      <c r="AG16" t="s">
        <v>71</v>
      </c>
      <c r="AH16">
        <v>0</v>
      </c>
      <c r="AI16">
        <v>0</v>
      </c>
      <c r="AJ16">
        <v>0</v>
      </c>
      <c r="AK16">
        <v>0</v>
      </c>
      <c r="AL16" t="s">
        <v>91</v>
      </c>
      <c r="AM16" t="s">
        <v>93</v>
      </c>
      <c r="AN16" t="s">
        <v>94</v>
      </c>
      <c r="AO16" t="s">
        <v>92</v>
      </c>
      <c r="AP16">
        <v>0</v>
      </c>
      <c r="AQ16">
        <v>0</v>
      </c>
      <c r="AR16">
        <v>0</v>
      </c>
      <c r="AS16">
        <v>0</v>
      </c>
      <c r="AT16">
        <v>0</v>
      </c>
      <c r="AU16">
        <v>0</v>
      </c>
      <c r="AV16">
        <v>0</v>
      </c>
      <c r="AW16">
        <v>0</v>
      </c>
      <c r="AX16">
        <v>0</v>
      </c>
      <c r="AY16">
        <v>0</v>
      </c>
    </row>
    <row r="17" spans="1:51" x14ac:dyDescent="0.25">
      <c r="A17">
        <v>3</v>
      </c>
      <c r="B17">
        <v>5020</v>
      </c>
      <c r="C17" t="s">
        <v>735</v>
      </c>
      <c r="D17" t="s">
        <v>96</v>
      </c>
      <c r="E17" t="s">
        <v>100</v>
      </c>
      <c r="F17" t="s">
        <v>107</v>
      </c>
      <c r="G17" t="s">
        <v>101</v>
      </c>
      <c r="H17" t="s">
        <v>78</v>
      </c>
      <c r="I17" t="s">
        <v>79</v>
      </c>
      <c r="J17" t="s">
        <v>70</v>
      </c>
      <c r="K17" t="s">
        <v>102</v>
      </c>
      <c r="L17" t="s">
        <v>76</v>
      </c>
      <c r="M17" t="s">
        <v>103</v>
      </c>
      <c r="N17" t="s">
        <v>74</v>
      </c>
      <c r="O17" t="s">
        <v>104</v>
      </c>
      <c r="P17" t="s">
        <v>71</v>
      </c>
      <c r="Q17" t="s">
        <v>110</v>
      </c>
      <c r="R17" t="s">
        <v>71</v>
      </c>
      <c r="S17">
        <v>0</v>
      </c>
      <c r="T17">
        <v>0</v>
      </c>
      <c r="U17" t="s">
        <v>72</v>
      </c>
      <c r="V17" t="s">
        <v>73</v>
      </c>
      <c r="W17">
        <v>0</v>
      </c>
      <c r="X17">
        <v>0</v>
      </c>
      <c r="Y17">
        <v>0</v>
      </c>
      <c r="Z17">
        <v>0</v>
      </c>
      <c r="AA17">
        <v>0</v>
      </c>
      <c r="AB17">
        <v>0</v>
      </c>
      <c r="AC17">
        <v>0</v>
      </c>
      <c r="AD17">
        <v>0</v>
      </c>
      <c r="AE17">
        <v>0</v>
      </c>
      <c r="AF17">
        <v>0</v>
      </c>
      <c r="AG17" t="s">
        <v>71</v>
      </c>
      <c r="AH17">
        <v>0</v>
      </c>
      <c r="AI17">
        <v>0</v>
      </c>
      <c r="AJ17">
        <v>0</v>
      </c>
      <c r="AK17">
        <v>0</v>
      </c>
      <c r="AL17" t="s">
        <v>108</v>
      </c>
      <c r="AM17" t="s">
        <v>93</v>
      </c>
      <c r="AN17" t="s">
        <v>94</v>
      </c>
      <c r="AO17" t="s">
        <v>92</v>
      </c>
      <c r="AP17">
        <v>0</v>
      </c>
      <c r="AQ17">
        <v>0</v>
      </c>
      <c r="AR17">
        <v>0</v>
      </c>
      <c r="AS17">
        <v>0</v>
      </c>
      <c r="AT17">
        <v>0</v>
      </c>
      <c r="AU17">
        <v>0</v>
      </c>
      <c r="AV17">
        <v>0</v>
      </c>
      <c r="AW17">
        <v>0</v>
      </c>
      <c r="AX17">
        <v>1</v>
      </c>
      <c r="AY17">
        <v>0</v>
      </c>
    </row>
    <row r="18" spans="1:51" x14ac:dyDescent="0.25">
      <c r="A18">
        <v>1</v>
      </c>
      <c r="C18" t="s">
        <v>735</v>
      </c>
      <c r="D18" t="s">
        <v>736</v>
      </c>
      <c r="E18" t="s">
        <v>736</v>
      </c>
      <c r="F18" t="s">
        <v>736</v>
      </c>
      <c r="G18" t="s">
        <v>736</v>
      </c>
      <c r="H18" t="s">
        <v>736</v>
      </c>
      <c r="I18" t="s">
        <v>736</v>
      </c>
      <c r="J18" t="s">
        <v>736</v>
      </c>
      <c r="K18" t="s">
        <v>736</v>
      </c>
      <c r="L18" t="s">
        <v>736</v>
      </c>
      <c r="M18" t="s">
        <v>736</v>
      </c>
      <c r="N18" t="s">
        <v>736</v>
      </c>
      <c r="O18" t="s">
        <v>736</v>
      </c>
      <c r="P18" t="s">
        <v>736</v>
      </c>
      <c r="Q18" t="s">
        <v>736</v>
      </c>
      <c r="R18" t="s">
        <v>736</v>
      </c>
      <c r="S18" t="s">
        <v>736</v>
      </c>
      <c r="T18" t="s">
        <v>736</v>
      </c>
      <c r="U18" t="s">
        <v>736</v>
      </c>
      <c r="V18" t="s">
        <v>736</v>
      </c>
      <c r="W18" t="s">
        <v>736</v>
      </c>
      <c r="X18" t="s">
        <v>736</v>
      </c>
      <c r="Y18" t="s">
        <v>736</v>
      </c>
      <c r="Z18" t="s">
        <v>736</v>
      </c>
      <c r="AA18" t="s">
        <v>736</v>
      </c>
      <c r="AB18" t="s">
        <v>736</v>
      </c>
      <c r="AC18" t="s">
        <v>736</v>
      </c>
      <c r="AD18" t="s">
        <v>736</v>
      </c>
      <c r="AE18" t="s">
        <v>736</v>
      </c>
      <c r="AF18" t="s">
        <v>736</v>
      </c>
      <c r="AG18" t="s">
        <v>736</v>
      </c>
      <c r="AH18" t="s">
        <v>736</v>
      </c>
      <c r="AI18" t="s">
        <v>736</v>
      </c>
      <c r="AJ18" t="s">
        <v>736</v>
      </c>
      <c r="AK18" t="s">
        <v>736</v>
      </c>
      <c r="AL18" t="s">
        <v>736</v>
      </c>
      <c r="AM18" t="s">
        <v>736</v>
      </c>
      <c r="AN18" t="s">
        <v>736</v>
      </c>
      <c r="AO18" t="s">
        <v>736</v>
      </c>
      <c r="AP18" t="s">
        <v>736</v>
      </c>
      <c r="AQ18" t="s">
        <v>736</v>
      </c>
      <c r="AR18" t="s">
        <v>736</v>
      </c>
      <c r="AS18" t="s">
        <v>736</v>
      </c>
      <c r="AT18" t="s">
        <v>736</v>
      </c>
      <c r="AU18" t="s">
        <v>736</v>
      </c>
      <c r="AV18" t="s">
        <v>736</v>
      </c>
      <c r="AW18" t="s">
        <v>736</v>
      </c>
      <c r="AX18" t="s">
        <v>736</v>
      </c>
      <c r="AY18" t="s">
        <v>736</v>
      </c>
    </row>
    <row r="19" spans="1:51" x14ac:dyDescent="0.25">
      <c r="A19">
        <v>4</v>
      </c>
      <c r="B19">
        <v>10</v>
      </c>
      <c r="C19" t="s">
        <v>735</v>
      </c>
      <c r="D19" t="s">
        <v>96</v>
      </c>
      <c r="E19" t="s">
        <v>100</v>
      </c>
      <c r="F19" t="s">
        <v>112</v>
      </c>
      <c r="G19" t="s">
        <v>101</v>
      </c>
      <c r="H19" t="s">
        <v>78</v>
      </c>
      <c r="I19" t="s">
        <v>79</v>
      </c>
      <c r="J19" t="s">
        <v>70</v>
      </c>
      <c r="K19" t="s">
        <v>102</v>
      </c>
      <c r="L19" t="s">
        <v>76</v>
      </c>
      <c r="M19" t="s">
        <v>103</v>
      </c>
      <c r="N19" t="s">
        <v>74</v>
      </c>
      <c r="O19" t="s">
        <v>104</v>
      </c>
      <c r="P19" t="s">
        <v>71</v>
      </c>
      <c r="Q19" t="s">
        <v>71</v>
      </c>
      <c r="R19" t="s">
        <v>71</v>
      </c>
      <c r="S19">
        <v>0</v>
      </c>
      <c r="T19">
        <v>0</v>
      </c>
      <c r="U19" t="s">
        <v>72</v>
      </c>
      <c r="V19" t="s">
        <v>73</v>
      </c>
      <c r="W19">
        <v>0</v>
      </c>
      <c r="X19">
        <v>0</v>
      </c>
      <c r="Y19">
        <v>0</v>
      </c>
      <c r="Z19">
        <v>0</v>
      </c>
      <c r="AA19">
        <v>0</v>
      </c>
      <c r="AB19">
        <v>0</v>
      </c>
      <c r="AC19">
        <v>0</v>
      </c>
      <c r="AD19">
        <v>0</v>
      </c>
      <c r="AE19">
        <v>0</v>
      </c>
      <c r="AF19">
        <v>0</v>
      </c>
      <c r="AG19" t="s">
        <v>71</v>
      </c>
      <c r="AH19">
        <v>0</v>
      </c>
      <c r="AI19">
        <v>0</v>
      </c>
      <c r="AJ19">
        <v>0</v>
      </c>
      <c r="AK19">
        <v>0</v>
      </c>
      <c r="AL19" t="s">
        <v>91</v>
      </c>
      <c r="AM19" t="s">
        <v>93</v>
      </c>
      <c r="AN19" t="s">
        <v>94</v>
      </c>
      <c r="AO19" t="s">
        <v>92</v>
      </c>
      <c r="AP19">
        <v>0</v>
      </c>
      <c r="AQ19">
        <v>0</v>
      </c>
      <c r="AR19">
        <v>0</v>
      </c>
      <c r="AS19">
        <v>0</v>
      </c>
      <c r="AT19">
        <v>0</v>
      </c>
      <c r="AU19">
        <v>0</v>
      </c>
      <c r="AV19">
        <v>0</v>
      </c>
      <c r="AW19">
        <v>0</v>
      </c>
      <c r="AX19">
        <v>0</v>
      </c>
      <c r="AY19">
        <v>0</v>
      </c>
    </row>
    <row r="20" spans="1:51" x14ac:dyDescent="0.25">
      <c r="A20">
        <v>4</v>
      </c>
      <c r="B20">
        <v>20</v>
      </c>
      <c r="C20" t="s">
        <v>735</v>
      </c>
      <c r="D20" t="s">
        <v>96</v>
      </c>
      <c r="E20" t="s">
        <v>100</v>
      </c>
      <c r="F20" t="s">
        <v>112</v>
      </c>
      <c r="G20" t="s">
        <v>101</v>
      </c>
      <c r="H20" t="s">
        <v>78</v>
      </c>
      <c r="I20" t="s">
        <v>79</v>
      </c>
      <c r="J20" t="s">
        <v>70</v>
      </c>
      <c r="K20" t="s">
        <v>102</v>
      </c>
      <c r="L20" t="s">
        <v>76</v>
      </c>
      <c r="M20" t="s">
        <v>103</v>
      </c>
      <c r="N20" t="s">
        <v>74</v>
      </c>
      <c r="O20" t="s">
        <v>104</v>
      </c>
      <c r="P20" t="s">
        <v>71</v>
      </c>
      <c r="Q20" t="s">
        <v>71</v>
      </c>
      <c r="R20" t="s">
        <v>71</v>
      </c>
      <c r="S20">
        <v>0</v>
      </c>
      <c r="T20">
        <v>0</v>
      </c>
      <c r="U20" t="s">
        <v>72</v>
      </c>
      <c r="V20" t="s">
        <v>73</v>
      </c>
      <c r="W20">
        <v>0</v>
      </c>
      <c r="X20">
        <v>0</v>
      </c>
      <c r="Y20">
        <v>0</v>
      </c>
      <c r="Z20">
        <v>0</v>
      </c>
      <c r="AA20">
        <v>0</v>
      </c>
      <c r="AB20">
        <v>0</v>
      </c>
      <c r="AC20">
        <v>0</v>
      </c>
      <c r="AD20">
        <v>0</v>
      </c>
      <c r="AE20">
        <v>0</v>
      </c>
      <c r="AF20">
        <v>0</v>
      </c>
      <c r="AG20" t="s">
        <v>71</v>
      </c>
      <c r="AH20">
        <v>0</v>
      </c>
      <c r="AI20">
        <v>0</v>
      </c>
      <c r="AJ20">
        <v>0</v>
      </c>
      <c r="AK20">
        <v>0</v>
      </c>
      <c r="AL20" t="s">
        <v>91</v>
      </c>
      <c r="AM20" t="s">
        <v>93</v>
      </c>
      <c r="AN20" t="s">
        <v>94</v>
      </c>
      <c r="AO20" t="s">
        <v>92</v>
      </c>
      <c r="AP20">
        <v>0</v>
      </c>
      <c r="AQ20">
        <v>0</v>
      </c>
      <c r="AR20">
        <v>0</v>
      </c>
      <c r="AS20">
        <v>0</v>
      </c>
      <c r="AT20">
        <v>0</v>
      </c>
      <c r="AU20">
        <v>0</v>
      </c>
      <c r="AV20">
        <v>0</v>
      </c>
      <c r="AW20">
        <v>0</v>
      </c>
      <c r="AX20">
        <v>0</v>
      </c>
      <c r="AY20">
        <v>0</v>
      </c>
    </row>
    <row r="21" spans="1:51" x14ac:dyDescent="0.25">
      <c r="A21">
        <v>4</v>
      </c>
      <c r="B21">
        <v>30</v>
      </c>
      <c r="C21" t="s">
        <v>735</v>
      </c>
      <c r="D21" t="s">
        <v>96</v>
      </c>
      <c r="E21" t="s">
        <v>100</v>
      </c>
      <c r="F21" t="s">
        <v>112</v>
      </c>
      <c r="G21" t="s">
        <v>101</v>
      </c>
      <c r="H21" t="s">
        <v>78</v>
      </c>
      <c r="I21" t="s">
        <v>79</v>
      </c>
      <c r="J21" t="s">
        <v>70</v>
      </c>
      <c r="K21" t="s">
        <v>102</v>
      </c>
      <c r="L21" t="s">
        <v>76</v>
      </c>
      <c r="M21" t="s">
        <v>103</v>
      </c>
      <c r="N21" t="s">
        <v>74</v>
      </c>
      <c r="O21" t="s">
        <v>104</v>
      </c>
      <c r="P21" t="s">
        <v>71</v>
      </c>
      <c r="Q21" t="s">
        <v>71</v>
      </c>
      <c r="R21" t="s">
        <v>71</v>
      </c>
      <c r="S21">
        <v>0</v>
      </c>
      <c r="T21">
        <v>0</v>
      </c>
      <c r="U21" t="s">
        <v>72</v>
      </c>
      <c r="V21" t="s">
        <v>73</v>
      </c>
      <c r="W21">
        <v>0</v>
      </c>
      <c r="X21">
        <v>0</v>
      </c>
      <c r="Y21">
        <v>0</v>
      </c>
      <c r="Z21">
        <v>0</v>
      </c>
      <c r="AA21">
        <v>0</v>
      </c>
      <c r="AB21">
        <v>0</v>
      </c>
      <c r="AC21">
        <v>0</v>
      </c>
      <c r="AD21">
        <v>0</v>
      </c>
      <c r="AE21">
        <v>0</v>
      </c>
      <c r="AF21">
        <v>0</v>
      </c>
      <c r="AG21" t="s">
        <v>71</v>
      </c>
      <c r="AH21">
        <v>0</v>
      </c>
      <c r="AI21">
        <v>0</v>
      </c>
      <c r="AJ21">
        <v>0</v>
      </c>
      <c r="AK21">
        <v>0</v>
      </c>
      <c r="AL21" t="s">
        <v>91</v>
      </c>
      <c r="AM21" t="s">
        <v>93</v>
      </c>
      <c r="AN21" t="s">
        <v>94</v>
      </c>
      <c r="AO21" t="s">
        <v>92</v>
      </c>
      <c r="AP21">
        <v>0</v>
      </c>
      <c r="AQ21">
        <v>0</v>
      </c>
      <c r="AR21">
        <v>0</v>
      </c>
      <c r="AS21">
        <v>0</v>
      </c>
      <c r="AT21">
        <v>0</v>
      </c>
      <c r="AU21">
        <v>0</v>
      </c>
      <c r="AV21">
        <v>0</v>
      </c>
      <c r="AW21">
        <v>0</v>
      </c>
      <c r="AX21">
        <v>0</v>
      </c>
      <c r="AY21">
        <v>0</v>
      </c>
    </row>
    <row r="22" spans="1:51" x14ac:dyDescent="0.25">
      <c r="A22">
        <v>4</v>
      </c>
      <c r="B22">
        <v>5000</v>
      </c>
      <c r="C22" t="s">
        <v>735</v>
      </c>
      <c r="D22" t="s">
        <v>96</v>
      </c>
      <c r="E22" t="s">
        <v>100</v>
      </c>
      <c r="F22" t="s">
        <v>112</v>
      </c>
      <c r="G22" t="s">
        <v>101</v>
      </c>
      <c r="H22" t="s">
        <v>78</v>
      </c>
      <c r="I22" t="s">
        <v>79</v>
      </c>
      <c r="J22" t="s">
        <v>70</v>
      </c>
      <c r="K22" t="s">
        <v>102</v>
      </c>
      <c r="L22" t="s">
        <v>76</v>
      </c>
      <c r="M22" t="s">
        <v>103</v>
      </c>
      <c r="N22" t="s">
        <v>74</v>
      </c>
      <c r="O22" t="s">
        <v>104</v>
      </c>
      <c r="P22" t="s">
        <v>71</v>
      </c>
      <c r="Q22" t="s">
        <v>71</v>
      </c>
      <c r="R22" t="s">
        <v>71</v>
      </c>
      <c r="S22">
        <v>0</v>
      </c>
      <c r="T22">
        <v>0</v>
      </c>
      <c r="U22" t="s">
        <v>72</v>
      </c>
      <c r="V22" t="s">
        <v>73</v>
      </c>
      <c r="W22">
        <v>0</v>
      </c>
      <c r="X22">
        <v>0</v>
      </c>
      <c r="Y22">
        <v>0</v>
      </c>
      <c r="Z22">
        <v>0</v>
      </c>
      <c r="AA22">
        <v>0</v>
      </c>
      <c r="AB22">
        <v>0</v>
      </c>
      <c r="AC22">
        <v>0</v>
      </c>
      <c r="AD22">
        <v>0</v>
      </c>
      <c r="AE22">
        <v>0</v>
      </c>
      <c r="AF22">
        <v>0</v>
      </c>
      <c r="AG22" t="s">
        <v>71</v>
      </c>
      <c r="AH22">
        <v>0</v>
      </c>
      <c r="AI22">
        <v>0</v>
      </c>
      <c r="AJ22">
        <v>0</v>
      </c>
      <c r="AK22">
        <v>0</v>
      </c>
      <c r="AL22" t="s">
        <v>91</v>
      </c>
      <c r="AM22" t="s">
        <v>93</v>
      </c>
      <c r="AN22" t="s">
        <v>94</v>
      </c>
      <c r="AO22" t="s">
        <v>92</v>
      </c>
      <c r="AP22">
        <v>0</v>
      </c>
      <c r="AQ22">
        <v>0</v>
      </c>
      <c r="AR22">
        <v>0</v>
      </c>
      <c r="AS22">
        <v>0</v>
      </c>
      <c r="AT22">
        <v>0</v>
      </c>
      <c r="AU22">
        <v>0</v>
      </c>
      <c r="AV22">
        <v>0</v>
      </c>
      <c r="AW22">
        <v>0</v>
      </c>
      <c r="AX22">
        <v>0</v>
      </c>
      <c r="AY22">
        <v>0</v>
      </c>
    </row>
    <row r="23" spans="1:51" x14ac:dyDescent="0.25">
      <c r="A23">
        <v>4</v>
      </c>
      <c r="B23">
        <v>5010</v>
      </c>
      <c r="C23" t="s">
        <v>735</v>
      </c>
      <c r="D23" t="s">
        <v>96</v>
      </c>
      <c r="E23" t="s">
        <v>100</v>
      </c>
      <c r="F23" t="s">
        <v>112</v>
      </c>
      <c r="G23" t="s">
        <v>101</v>
      </c>
      <c r="H23" t="s">
        <v>78</v>
      </c>
      <c r="I23" t="s">
        <v>79</v>
      </c>
      <c r="J23" t="s">
        <v>70</v>
      </c>
      <c r="K23" t="s">
        <v>102</v>
      </c>
      <c r="L23" t="s">
        <v>76</v>
      </c>
      <c r="M23" t="s">
        <v>103</v>
      </c>
      <c r="N23" t="s">
        <v>74</v>
      </c>
      <c r="O23" t="s">
        <v>104</v>
      </c>
      <c r="P23" t="s">
        <v>71</v>
      </c>
      <c r="Q23" t="s">
        <v>71</v>
      </c>
      <c r="R23" t="s">
        <v>71</v>
      </c>
      <c r="S23">
        <v>0</v>
      </c>
      <c r="T23">
        <v>0</v>
      </c>
      <c r="U23" t="s">
        <v>72</v>
      </c>
      <c r="V23" t="s">
        <v>73</v>
      </c>
      <c r="W23">
        <v>0</v>
      </c>
      <c r="X23">
        <v>0</v>
      </c>
      <c r="Y23">
        <v>0</v>
      </c>
      <c r="Z23">
        <v>0</v>
      </c>
      <c r="AA23">
        <v>0</v>
      </c>
      <c r="AB23">
        <v>0</v>
      </c>
      <c r="AC23">
        <v>0</v>
      </c>
      <c r="AD23">
        <v>0</v>
      </c>
      <c r="AE23">
        <v>0</v>
      </c>
      <c r="AF23">
        <v>0</v>
      </c>
      <c r="AG23" t="s">
        <v>71</v>
      </c>
      <c r="AH23">
        <v>0</v>
      </c>
      <c r="AI23">
        <v>0</v>
      </c>
      <c r="AJ23">
        <v>0</v>
      </c>
      <c r="AK23">
        <v>0</v>
      </c>
      <c r="AL23" t="s">
        <v>91</v>
      </c>
      <c r="AM23" t="s">
        <v>93</v>
      </c>
      <c r="AN23" t="s">
        <v>94</v>
      </c>
      <c r="AO23" t="s">
        <v>92</v>
      </c>
      <c r="AP23">
        <v>0</v>
      </c>
      <c r="AQ23">
        <v>0</v>
      </c>
      <c r="AR23">
        <v>0</v>
      </c>
      <c r="AS23">
        <v>0</v>
      </c>
      <c r="AT23">
        <v>0</v>
      </c>
      <c r="AU23">
        <v>0</v>
      </c>
      <c r="AV23">
        <v>0</v>
      </c>
      <c r="AW23">
        <v>0</v>
      </c>
      <c r="AX23">
        <v>0</v>
      </c>
      <c r="AY23">
        <v>0</v>
      </c>
    </row>
    <row r="24" spans="1:51" x14ac:dyDescent="0.25">
      <c r="A24">
        <v>4</v>
      </c>
      <c r="B24">
        <v>5020</v>
      </c>
      <c r="C24" t="s">
        <v>735</v>
      </c>
      <c r="D24" t="s">
        <v>96</v>
      </c>
      <c r="E24" t="s">
        <v>100</v>
      </c>
      <c r="F24" t="s">
        <v>112</v>
      </c>
      <c r="G24" t="s">
        <v>101</v>
      </c>
      <c r="H24" t="s">
        <v>78</v>
      </c>
      <c r="I24" t="s">
        <v>79</v>
      </c>
      <c r="J24" t="s">
        <v>70</v>
      </c>
      <c r="K24" t="s">
        <v>102</v>
      </c>
      <c r="L24" t="s">
        <v>76</v>
      </c>
      <c r="M24" t="s">
        <v>103</v>
      </c>
      <c r="N24" t="s">
        <v>74</v>
      </c>
      <c r="O24" t="s">
        <v>104</v>
      </c>
      <c r="P24" t="s">
        <v>110</v>
      </c>
      <c r="Q24" t="s">
        <v>71</v>
      </c>
      <c r="R24" t="s">
        <v>71</v>
      </c>
      <c r="S24">
        <v>0</v>
      </c>
      <c r="T24">
        <v>0</v>
      </c>
      <c r="U24" t="s">
        <v>72</v>
      </c>
      <c r="V24" t="s">
        <v>73</v>
      </c>
      <c r="W24">
        <v>0</v>
      </c>
      <c r="X24">
        <v>0</v>
      </c>
      <c r="Y24">
        <v>0</v>
      </c>
      <c r="Z24">
        <v>0</v>
      </c>
      <c r="AA24">
        <v>0</v>
      </c>
      <c r="AB24">
        <v>0</v>
      </c>
      <c r="AC24">
        <v>0</v>
      </c>
      <c r="AD24">
        <v>0</v>
      </c>
      <c r="AE24">
        <v>0</v>
      </c>
      <c r="AF24">
        <v>0</v>
      </c>
      <c r="AG24" t="s">
        <v>71</v>
      </c>
      <c r="AH24">
        <v>0</v>
      </c>
      <c r="AI24">
        <v>0</v>
      </c>
      <c r="AJ24">
        <v>0</v>
      </c>
      <c r="AK24">
        <v>0</v>
      </c>
      <c r="AL24" t="s">
        <v>108</v>
      </c>
      <c r="AM24" t="s">
        <v>93</v>
      </c>
      <c r="AN24" t="s">
        <v>94</v>
      </c>
      <c r="AO24" t="s">
        <v>92</v>
      </c>
      <c r="AP24">
        <v>0</v>
      </c>
      <c r="AQ24">
        <v>0</v>
      </c>
      <c r="AR24">
        <v>0</v>
      </c>
      <c r="AS24">
        <v>0</v>
      </c>
      <c r="AT24">
        <v>0</v>
      </c>
      <c r="AU24">
        <v>0</v>
      </c>
      <c r="AV24">
        <v>0</v>
      </c>
      <c r="AW24">
        <v>0</v>
      </c>
      <c r="AX24">
        <v>2</v>
      </c>
      <c r="AY24">
        <v>0</v>
      </c>
    </row>
    <row r="25" spans="1:51" x14ac:dyDescent="0.25">
      <c r="A25">
        <v>1</v>
      </c>
      <c r="C25" t="s">
        <v>735</v>
      </c>
      <c r="D25" t="s">
        <v>736</v>
      </c>
      <c r="E25" t="s">
        <v>736</v>
      </c>
      <c r="F25" t="s">
        <v>736</v>
      </c>
      <c r="G25" t="s">
        <v>736</v>
      </c>
      <c r="H25" t="s">
        <v>736</v>
      </c>
      <c r="I25" t="s">
        <v>736</v>
      </c>
      <c r="J25" t="s">
        <v>736</v>
      </c>
      <c r="K25" t="s">
        <v>736</v>
      </c>
      <c r="L25" t="s">
        <v>736</v>
      </c>
      <c r="M25" t="s">
        <v>736</v>
      </c>
      <c r="N25" t="s">
        <v>736</v>
      </c>
      <c r="O25" t="s">
        <v>736</v>
      </c>
      <c r="P25" t="s">
        <v>736</v>
      </c>
      <c r="Q25" t="s">
        <v>736</v>
      </c>
      <c r="R25" t="s">
        <v>736</v>
      </c>
      <c r="S25" t="s">
        <v>736</v>
      </c>
      <c r="T25" t="s">
        <v>736</v>
      </c>
      <c r="U25" t="s">
        <v>736</v>
      </c>
      <c r="V25" t="s">
        <v>736</v>
      </c>
      <c r="W25" t="s">
        <v>736</v>
      </c>
      <c r="X25" t="s">
        <v>736</v>
      </c>
      <c r="Y25" t="s">
        <v>736</v>
      </c>
      <c r="Z25" t="s">
        <v>736</v>
      </c>
      <c r="AA25" t="s">
        <v>736</v>
      </c>
      <c r="AB25" t="s">
        <v>736</v>
      </c>
      <c r="AC25" t="s">
        <v>736</v>
      </c>
      <c r="AD25" t="s">
        <v>736</v>
      </c>
      <c r="AE25" t="s">
        <v>736</v>
      </c>
      <c r="AF25" t="s">
        <v>736</v>
      </c>
      <c r="AG25" t="s">
        <v>736</v>
      </c>
      <c r="AH25" t="s">
        <v>736</v>
      </c>
      <c r="AI25" t="s">
        <v>736</v>
      </c>
      <c r="AJ25" t="s">
        <v>736</v>
      </c>
      <c r="AK25" t="s">
        <v>736</v>
      </c>
      <c r="AL25" t="s">
        <v>736</v>
      </c>
      <c r="AM25" t="s">
        <v>736</v>
      </c>
      <c r="AN25" t="s">
        <v>736</v>
      </c>
      <c r="AO25" t="s">
        <v>736</v>
      </c>
      <c r="AP25" t="s">
        <v>736</v>
      </c>
      <c r="AQ25" t="s">
        <v>736</v>
      </c>
      <c r="AR25" t="s">
        <v>736</v>
      </c>
      <c r="AS25" t="s">
        <v>736</v>
      </c>
      <c r="AT25" t="s">
        <v>736</v>
      </c>
      <c r="AU25" t="s">
        <v>736</v>
      </c>
      <c r="AV25" t="s">
        <v>736</v>
      </c>
      <c r="AW25" t="s">
        <v>736</v>
      </c>
      <c r="AX25" t="s">
        <v>736</v>
      </c>
      <c r="AY25" t="s">
        <v>736</v>
      </c>
    </row>
    <row r="26" spans="1:51" x14ac:dyDescent="0.25">
      <c r="A26">
        <v>5</v>
      </c>
      <c r="B26">
        <v>10</v>
      </c>
      <c r="C26" t="s">
        <v>735</v>
      </c>
      <c r="D26" t="s">
        <v>114</v>
      </c>
      <c r="E26" t="s">
        <v>100</v>
      </c>
      <c r="F26" t="s">
        <v>98</v>
      </c>
      <c r="G26" t="s">
        <v>101</v>
      </c>
      <c r="H26" t="s">
        <v>78</v>
      </c>
      <c r="I26" t="s">
        <v>79</v>
      </c>
      <c r="J26" t="s">
        <v>70</v>
      </c>
      <c r="K26" t="s">
        <v>102</v>
      </c>
      <c r="L26" t="s">
        <v>76</v>
      </c>
      <c r="M26" t="s">
        <v>103</v>
      </c>
      <c r="N26" t="s">
        <v>74</v>
      </c>
      <c r="O26" t="s">
        <v>104</v>
      </c>
      <c r="P26" t="s">
        <v>71</v>
      </c>
      <c r="Q26" t="s">
        <v>71</v>
      </c>
      <c r="R26" t="s">
        <v>71</v>
      </c>
      <c r="S26">
        <v>0</v>
      </c>
      <c r="T26">
        <v>0</v>
      </c>
      <c r="U26" t="s">
        <v>72</v>
      </c>
      <c r="V26" t="s">
        <v>73</v>
      </c>
      <c r="W26">
        <v>0</v>
      </c>
      <c r="X26">
        <v>0</v>
      </c>
      <c r="Y26">
        <v>0</v>
      </c>
      <c r="Z26">
        <v>0</v>
      </c>
      <c r="AA26">
        <v>0</v>
      </c>
      <c r="AB26">
        <v>0</v>
      </c>
      <c r="AC26">
        <v>0</v>
      </c>
      <c r="AD26">
        <v>0</v>
      </c>
      <c r="AE26">
        <v>0</v>
      </c>
      <c r="AF26">
        <v>0</v>
      </c>
      <c r="AG26" t="s">
        <v>71</v>
      </c>
      <c r="AH26">
        <v>0</v>
      </c>
      <c r="AI26">
        <v>0</v>
      </c>
      <c r="AJ26">
        <v>0</v>
      </c>
      <c r="AK26">
        <v>0</v>
      </c>
      <c r="AL26" t="s">
        <v>91</v>
      </c>
      <c r="AM26" t="s">
        <v>93</v>
      </c>
      <c r="AN26" t="s">
        <v>94</v>
      </c>
      <c r="AO26" t="s">
        <v>92</v>
      </c>
      <c r="AP26">
        <v>0</v>
      </c>
      <c r="AQ26">
        <v>0</v>
      </c>
      <c r="AR26">
        <v>0</v>
      </c>
      <c r="AS26">
        <v>0</v>
      </c>
      <c r="AT26">
        <v>0</v>
      </c>
      <c r="AU26">
        <v>0</v>
      </c>
      <c r="AV26">
        <v>0</v>
      </c>
      <c r="AW26">
        <v>0</v>
      </c>
      <c r="AX26">
        <v>0</v>
      </c>
      <c r="AY26">
        <v>0</v>
      </c>
    </row>
    <row r="27" spans="1:51" x14ac:dyDescent="0.25">
      <c r="A27">
        <v>5</v>
      </c>
      <c r="B27">
        <v>20</v>
      </c>
      <c r="C27" t="s">
        <v>735</v>
      </c>
      <c r="D27" t="s">
        <v>114</v>
      </c>
      <c r="E27" t="s">
        <v>100</v>
      </c>
      <c r="F27" t="s">
        <v>98</v>
      </c>
      <c r="G27" t="s">
        <v>101</v>
      </c>
      <c r="H27" t="s">
        <v>78</v>
      </c>
      <c r="I27" t="s">
        <v>79</v>
      </c>
      <c r="J27" t="s">
        <v>70</v>
      </c>
      <c r="K27" t="s">
        <v>102</v>
      </c>
      <c r="L27" t="s">
        <v>76</v>
      </c>
      <c r="M27" t="s">
        <v>103</v>
      </c>
      <c r="N27" t="s">
        <v>74</v>
      </c>
      <c r="O27" t="s">
        <v>104</v>
      </c>
      <c r="P27" t="s">
        <v>71</v>
      </c>
      <c r="Q27" t="s">
        <v>71</v>
      </c>
      <c r="R27" t="s">
        <v>71</v>
      </c>
      <c r="S27">
        <v>0</v>
      </c>
      <c r="T27">
        <v>0</v>
      </c>
      <c r="U27" t="s">
        <v>72</v>
      </c>
      <c r="V27" t="s">
        <v>73</v>
      </c>
      <c r="W27">
        <v>0</v>
      </c>
      <c r="X27">
        <v>0</v>
      </c>
      <c r="Y27">
        <v>0</v>
      </c>
      <c r="Z27">
        <v>0</v>
      </c>
      <c r="AA27">
        <v>0</v>
      </c>
      <c r="AB27">
        <v>0</v>
      </c>
      <c r="AC27">
        <v>0</v>
      </c>
      <c r="AD27">
        <v>0</v>
      </c>
      <c r="AE27">
        <v>0</v>
      </c>
      <c r="AF27">
        <v>0</v>
      </c>
      <c r="AG27" t="s">
        <v>71</v>
      </c>
      <c r="AH27">
        <v>0</v>
      </c>
      <c r="AI27">
        <v>0</v>
      </c>
      <c r="AJ27">
        <v>0</v>
      </c>
      <c r="AK27">
        <v>0</v>
      </c>
      <c r="AL27" t="s">
        <v>91</v>
      </c>
      <c r="AM27" t="s">
        <v>93</v>
      </c>
      <c r="AN27" t="s">
        <v>94</v>
      </c>
      <c r="AO27" t="s">
        <v>92</v>
      </c>
      <c r="AP27">
        <v>0</v>
      </c>
      <c r="AQ27">
        <v>0</v>
      </c>
      <c r="AR27">
        <v>0</v>
      </c>
      <c r="AS27">
        <v>0</v>
      </c>
      <c r="AT27">
        <v>0</v>
      </c>
      <c r="AU27">
        <v>0</v>
      </c>
      <c r="AV27">
        <v>0</v>
      </c>
      <c r="AW27">
        <v>0</v>
      </c>
      <c r="AX27">
        <v>0</v>
      </c>
      <c r="AY27">
        <v>0</v>
      </c>
    </row>
    <row r="28" spans="1:51" x14ac:dyDescent="0.25">
      <c r="A28">
        <v>5</v>
      </c>
      <c r="B28">
        <v>30</v>
      </c>
      <c r="C28" t="s">
        <v>735</v>
      </c>
      <c r="D28" t="s">
        <v>114</v>
      </c>
      <c r="E28" t="s">
        <v>100</v>
      </c>
      <c r="F28" t="s">
        <v>98</v>
      </c>
      <c r="G28" t="s">
        <v>101</v>
      </c>
      <c r="H28" t="s">
        <v>78</v>
      </c>
      <c r="I28" t="s">
        <v>79</v>
      </c>
      <c r="J28" t="s">
        <v>70</v>
      </c>
      <c r="K28" t="s">
        <v>102</v>
      </c>
      <c r="L28" t="s">
        <v>76</v>
      </c>
      <c r="M28" t="s">
        <v>103</v>
      </c>
      <c r="N28" t="s">
        <v>74</v>
      </c>
      <c r="O28" t="s">
        <v>104</v>
      </c>
      <c r="P28" t="s">
        <v>71</v>
      </c>
      <c r="Q28" t="s">
        <v>71</v>
      </c>
      <c r="R28" t="s">
        <v>71</v>
      </c>
      <c r="S28">
        <v>0</v>
      </c>
      <c r="T28">
        <v>0</v>
      </c>
      <c r="U28" t="s">
        <v>72</v>
      </c>
      <c r="V28" t="s">
        <v>73</v>
      </c>
      <c r="W28">
        <v>0</v>
      </c>
      <c r="X28">
        <v>0</v>
      </c>
      <c r="Y28">
        <v>0</v>
      </c>
      <c r="Z28">
        <v>0</v>
      </c>
      <c r="AA28">
        <v>0</v>
      </c>
      <c r="AB28">
        <v>0</v>
      </c>
      <c r="AC28">
        <v>0</v>
      </c>
      <c r="AD28">
        <v>0</v>
      </c>
      <c r="AE28">
        <v>0</v>
      </c>
      <c r="AF28">
        <v>0</v>
      </c>
      <c r="AG28" t="s">
        <v>71</v>
      </c>
      <c r="AH28">
        <v>0</v>
      </c>
      <c r="AI28">
        <v>0</v>
      </c>
      <c r="AJ28">
        <v>0</v>
      </c>
      <c r="AK28">
        <v>0</v>
      </c>
      <c r="AL28" t="s">
        <v>91</v>
      </c>
      <c r="AM28" t="s">
        <v>93</v>
      </c>
      <c r="AN28" t="s">
        <v>94</v>
      </c>
      <c r="AO28" t="s">
        <v>92</v>
      </c>
      <c r="AP28">
        <v>0</v>
      </c>
      <c r="AQ28">
        <v>0</v>
      </c>
      <c r="AR28">
        <v>0</v>
      </c>
      <c r="AS28">
        <v>0</v>
      </c>
      <c r="AT28">
        <v>0</v>
      </c>
      <c r="AU28">
        <v>0</v>
      </c>
      <c r="AV28">
        <v>0</v>
      </c>
      <c r="AW28">
        <v>0</v>
      </c>
      <c r="AX28">
        <v>0</v>
      </c>
      <c r="AY28">
        <v>0</v>
      </c>
    </row>
    <row r="29" spans="1:51" x14ac:dyDescent="0.25">
      <c r="A29">
        <v>5</v>
      </c>
      <c r="B29">
        <v>5000</v>
      </c>
      <c r="C29" t="s">
        <v>735</v>
      </c>
      <c r="D29" t="s">
        <v>114</v>
      </c>
      <c r="E29" t="s">
        <v>100</v>
      </c>
      <c r="F29" t="s">
        <v>98</v>
      </c>
      <c r="G29" t="s">
        <v>101</v>
      </c>
      <c r="H29" t="s">
        <v>78</v>
      </c>
      <c r="I29" t="s">
        <v>79</v>
      </c>
      <c r="J29" t="s">
        <v>70</v>
      </c>
      <c r="K29" t="s">
        <v>102</v>
      </c>
      <c r="L29" t="s">
        <v>76</v>
      </c>
      <c r="M29" t="s">
        <v>103</v>
      </c>
      <c r="N29" t="s">
        <v>74</v>
      </c>
      <c r="O29" t="s">
        <v>104</v>
      </c>
      <c r="P29" t="s">
        <v>71</v>
      </c>
      <c r="Q29" t="s">
        <v>71</v>
      </c>
      <c r="R29" t="s">
        <v>71</v>
      </c>
      <c r="S29">
        <v>0</v>
      </c>
      <c r="T29">
        <v>0</v>
      </c>
      <c r="U29" t="s">
        <v>72</v>
      </c>
      <c r="V29" t="s">
        <v>73</v>
      </c>
      <c r="W29">
        <v>0</v>
      </c>
      <c r="X29">
        <v>0</v>
      </c>
      <c r="Y29">
        <v>0</v>
      </c>
      <c r="Z29">
        <v>0</v>
      </c>
      <c r="AA29">
        <v>0</v>
      </c>
      <c r="AB29">
        <v>0</v>
      </c>
      <c r="AC29">
        <v>0</v>
      </c>
      <c r="AD29">
        <v>0</v>
      </c>
      <c r="AE29">
        <v>0</v>
      </c>
      <c r="AF29">
        <v>0</v>
      </c>
      <c r="AG29" t="s">
        <v>71</v>
      </c>
      <c r="AH29">
        <v>0</v>
      </c>
      <c r="AI29">
        <v>0</v>
      </c>
      <c r="AJ29">
        <v>0</v>
      </c>
      <c r="AK29">
        <v>0</v>
      </c>
      <c r="AL29" t="s">
        <v>91</v>
      </c>
      <c r="AM29" t="s">
        <v>93</v>
      </c>
      <c r="AN29" t="s">
        <v>94</v>
      </c>
      <c r="AO29" t="s">
        <v>92</v>
      </c>
      <c r="AP29">
        <v>0</v>
      </c>
      <c r="AQ29">
        <v>0</v>
      </c>
      <c r="AR29">
        <v>0</v>
      </c>
      <c r="AS29">
        <v>0</v>
      </c>
      <c r="AT29">
        <v>0</v>
      </c>
      <c r="AU29">
        <v>0</v>
      </c>
      <c r="AV29">
        <v>0</v>
      </c>
      <c r="AW29">
        <v>0</v>
      </c>
      <c r="AX29">
        <v>0</v>
      </c>
      <c r="AY29">
        <v>0</v>
      </c>
    </row>
    <row r="30" spans="1:51" x14ac:dyDescent="0.25">
      <c r="A30">
        <v>5</v>
      </c>
      <c r="B30">
        <v>5010</v>
      </c>
      <c r="C30" t="s">
        <v>735</v>
      </c>
      <c r="D30" t="s">
        <v>114</v>
      </c>
      <c r="E30" t="s">
        <v>100</v>
      </c>
      <c r="F30" t="s">
        <v>98</v>
      </c>
      <c r="G30" t="s">
        <v>101</v>
      </c>
      <c r="H30" t="s">
        <v>78</v>
      </c>
      <c r="I30" t="s">
        <v>79</v>
      </c>
      <c r="J30" t="s">
        <v>70</v>
      </c>
      <c r="K30" t="s">
        <v>102</v>
      </c>
      <c r="L30" t="s">
        <v>76</v>
      </c>
      <c r="M30" t="s">
        <v>103</v>
      </c>
      <c r="N30" t="s">
        <v>74</v>
      </c>
      <c r="O30" t="s">
        <v>104</v>
      </c>
      <c r="P30" t="s">
        <v>71</v>
      </c>
      <c r="Q30" t="s">
        <v>71</v>
      </c>
      <c r="R30" t="s">
        <v>71</v>
      </c>
      <c r="S30">
        <v>0</v>
      </c>
      <c r="T30">
        <v>0</v>
      </c>
      <c r="U30" t="s">
        <v>72</v>
      </c>
      <c r="V30" t="s">
        <v>73</v>
      </c>
      <c r="W30">
        <v>0</v>
      </c>
      <c r="X30">
        <v>0</v>
      </c>
      <c r="Y30">
        <v>0</v>
      </c>
      <c r="Z30">
        <v>0</v>
      </c>
      <c r="AA30">
        <v>0</v>
      </c>
      <c r="AB30">
        <v>0</v>
      </c>
      <c r="AC30">
        <v>0</v>
      </c>
      <c r="AD30">
        <v>0</v>
      </c>
      <c r="AE30">
        <v>0</v>
      </c>
      <c r="AF30">
        <v>0</v>
      </c>
      <c r="AG30" t="s">
        <v>71</v>
      </c>
      <c r="AH30">
        <v>0</v>
      </c>
      <c r="AI30">
        <v>0</v>
      </c>
      <c r="AJ30">
        <v>0</v>
      </c>
      <c r="AK30">
        <v>0</v>
      </c>
      <c r="AL30" t="s">
        <v>91</v>
      </c>
      <c r="AM30" t="s">
        <v>93</v>
      </c>
      <c r="AN30" t="s">
        <v>94</v>
      </c>
      <c r="AO30" t="s">
        <v>92</v>
      </c>
      <c r="AP30">
        <v>0</v>
      </c>
      <c r="AQ30">
        <v>0</v>
      </c>
      <c r="AR30">
        <v>0</v>
      </c>
      <c r="AS30">
        <v>0</v>
      </c>
      <c r="AT30">
        <v>0</v>
      </c>
      <c r="AU30">
        <v>0</v>
      </c>
      <c r="AV30">
        <v>0</v>
      </c>
      <c r="AW30">
        <v>0</v>
      </c>
      <c r="AX30">
        <v>0</v>
      </c>
      <c r="AY30">
        <v>0</v>
      </c>
    </row>
    <row r="31" spans="1:51" x14ac:dyDescent="0.25">
      <c r="A31">
        <v>5</v>
      </c>
      <c r="B31">
        <v>5020</v>
      </c>
      <c r="C31" t="s">
        <v>735</v>
      </c>
      <c r="D31" t="s">
        <v>114</v>
      </c>
      <c r="E31" t="s">
        <v>100</v>
      </c>
      <c r="F31" t="s">
        <v>98</v>
      </c>
      <c r="G31" t="s">
        <v>101</v>
      </c>
      <c r="H31" t="s">
        <v>78</v>
      </c>
      <c r="I31" t="s">
        <v>79</v>
      </c>
      <c r="J31" t="s">
        <v>70</v>
      </c>
      <c r="K31" t="s">
        <v>102</v>
      </c>
      <c r="L31" t="s">
        <v>76</v>
      </c>
      <c r="M31" t="s">
        <v>103</v>
      </c>
      <c r="N31" t="s">
        <v>74</v>
      </c>
      <c r="O31" t="s">
        <v>104</v>
      </c>
      <c r="P31" t="s">
        <v>71</v>
      </c>
      <c r="Q31" t="s">
        <v>71</v>
      </c>
      <c r="R31" t="s">
        <v>71</v>
      </c>
      <c r="S31">
        <v>0</v>
      </c>
      <c r="T31">
        <v>0</v>
      </c>
      <c r="U31" t="s">
        <v>72</v>
      </c>
      <c r="V31" t="s">
        <v>73</v>
      </c>
      <c r="W31">
        <v>0</v>
      </c>
      <c r="X31">
        <v>0</v>
      </c>
      <c r="Y31">
        <v>0</v>
      </c>
      <c r="Z31">
        <v>0</v>
      </c>
      <c r="AA31">
        <v>0</v>
      </c>
      <c r="AB31">
        <v>0</v>
      </c>
      <c r="AC31">
        <v>0</v>
      </c>
      <c r="AD31">
        <v>0</v>
      </c>
      <c r="AE31">
        <v>0</v>
      </c>
      <c r="AF31">
        <v>0</v>
      </c>
      <c r="AG31" t="s">
        <v>71</v>
      </c>
      <c r="AH31">
        <v>0</v>
      </c>
      <c r="AI31">
        <v>0</v>
      </c>
      <c r="AJ31">
        <v>0</v>
      </c>
      <c r="AK31">
        <v>0</v>
      </c>
      <c r="AL31" t="s">
        <v>91</v>
      </c>
      <c r="AM31" t="s">
        <v>93</v>
      </c>
      <c r="AN31" t="s">
        <v>94</v>
      </c>
      <c r="AO31" t="s">
        <v>92</v>
      </c>
      <c r="AP31">
        <v>0</v>
      </c>
      <c r="AQ31">
        <v>0</v>
      </c>
      <c r="AR31">
        <v>0</v>
      </c>
      <c r="AS31">
        <v>0</v>
      </c>
      <c r="AT31">
        <v>0</v>
      </c>
      <c r="AU31">
        <v>0</v>
      </c>
      <c r="AV31">
        <v>0</v>
      </c>
      <c r="AW31">
        <v>0</v>
      </c>
      <c r="AX31">
        <v>0</v>
      </c>
      <c r="AY31">
        <v>0</v>
      </c>
    </row>
    <row r="32" spans="1:51" x14ac:dyDescent="0.25">
      <c r="A32">
        <v>1</v>
      </c>
      <c r="C32" t="s">
        <v>735</v>
      </c>
      <c r="D32" t="s">
        <v>736</v>
      </c>
      <c r="E32" t="s">
        <v>736</v>
      </c>
      <c r="F32" t="s">
        <v>736</v>
      </c>
      <c r="G32" t="s">
        <v>736</v>
      </c>
      <c r="H32" t="s">
        <v>736</v>
      </c>
      <c r="I32" t="s">
        <v>736</v>
      </c>
      <c r="J32" t="s">
        <v>736</v>
      </c>
      <c r="K32" t="s">
        <v>736</v>
      </c>
      <c r="L32" t="s">
        <v>736</v>
      </c>
      <c r="M32" t="s">
        <v>736</v>
      </c>
      <c r="N32" t="s">
        <v>736</v>
      </c>
      <c r="O32" t="s">
        <v>736</v>
      </c>
      <c r="P32" t="s">
        <v>736</v>
      </c>
      <c r="Q32" t="s">
        <v>736</v>
      </c>
      <c r="R32" t="s">
        <v>736</v>
      </c>
      <c r="S32" t="s">
        <v>736</v>
      </c>
      <c r="T32" t="s">
        <v>736</v>
      </c>
      <c r="U32" t="s">
        <v>736</v>
      </c>
      <c r="V32" t="s">
        <v>736</v>
      </c>
      <c r="W32" t="s">
        <v>736</v>
      </c>
      <c r="X32" t="s">
        <v>736</v>
      </c>
      <c r="Y32" t="s">
        <v>736</v>
      </c>
      <c r="Z32" t="s">
        <v>736</v>
      </c>
      <c r="AA32" t="s">
        <v>736</v>
      </c>
      <c r="AB32" t="s">
        <v>736</v>
      </c>
      <c r="AC32" t="s">
        <v>736</v>
      </c>
      <c r="AD32" t="s">
        <v>736</v>
      </c>
      <c r="AE32" t="s">
        <v>736</v>
      </c>
      <c r="AF32" t="s">
        <v>736</v>
      </c>
      <c r="AG32" t="s">
        <v>736</v>
      </c>
      <c r="AH32" t="s">
        <v>736</v>
      </c>
      <c r="AI32" t="s">
        <v>736</v>
      </c>
      <c r="AJ32" t="s">
        <v>736</v>
      </c>
      <c r="AK32" t="s">
        <v>736</v>
      </c>
      <c r="AL32" t="s">
        <v>736</v>
      </c>
      <c r="AM32" t="s">
        <v>736</v>
      </c>
      <c r="AN32" t="s">
        <v>736</v>
      </c>
      <c r="AO32" t="s">
        <v>736</v>
      </c>
      <c r="AP32" t="s">
        <v>736</v>
      </c>
      <c r="AQ32" t="s">
        <v>736</v>
      </c>
      <c r="AR32" t="s">
        <v>736</v>
      </c>
      <c r="AS32" t="s">
        <v>736</v>
      </c>
      <c r="AT32" t="s">
        <v>736</v>
      </c>
      <c r="AU32" t="s">
        <v>736</v>
      </c>
      <c r="AV32" t="s">
        <v>736</v>
      </c>
      <c r="AW32" t="s">
        <v>736</v>
      </c>
      <c r="AX32" t="s">
        <v>736</v>
      </c>
      <c r="AY32" t="s">
        <v>736</v>
      </c>
    </row>
    <row r="33" spans="1:51" x14ac:dyDescent="0.25">
      <c r="A33">
        <v>6</v>
      </c>
      <c r="B33">
        <v>10</v>
      </c>
      <c r="C33" t="s">
        <v>735</v>
      </c>
      <c r="D33" t="s">
        <v>97</v>
      </c>
      <c r="E33" t="s">
        <v>100</v>
      </c>
      <c r="F33" t="s">
        <v>98</v>
      </c>
      <c r="G33" t="s">
        <v>101</v>
      </c>
      <c r="H33" t="s">
        <v>78</v>
      </c>
      <c r="I33" t="s">
        <v>79</v>
      </c>
      <c r="J33" t="s">
        <v>70</v>
      </c>
      <c r="K33" t="s">
        <v>102</v>
      </c>
      <c r="L33" t="s">
        <v>76</v>
      </c>
      <c r="M33" t="s">
        <v>103</v>
      </c>
      <c r="N33" t="s">
        <v>74</v>
      </c>
      <c r="O33" t="s">
        <v>104</v>
      </c>
      <c r="P33" t="s">
        <v>71</v>
      </c>
      <c r="Q33" t="s">
        <v>71</v>
      </c>
      <c r="R33" t="s">
        <v>71</v>
      </c>
      <c r="S33">
        <v>0</v>
      </c>
      <c r="T33">
        <v>0</v>
      </c>
      <c r="U33" t="s">
        <v>72</v>
      </c>
      <c r="V33" t="s">
        <v>73</v>
      </c>
      <c r="W33">
        <v>0</v>
      </c>
      <c r="X33">
        <v>0</v>
      </c>
      <c r="Y33">
        <v>0</v>
      </c>
      <c r="Z33">
        <v>0</v>
      </c>
      <c r="AA33">
        <v>0</v>
      </c>
      <c r="AB33">
        <v>0</v>
      </c>
      <c r="AC33">
        <v>0</v>
      </c>
      <c r="AD33">
        <v>0</v>
      </c>
      <c r="AE33">
        <v>0</v>
      </c>
      <c r="AF33">
        <v>0</v>
      </c>
      <c r="AG33" t="s">
        <v>71</v>
      </c>
      <c r="AH33">
        <v>0</v>
      </c>
      <c r="AI33">
        <v>0</v>
      </c>
      <c r="AJ33">
        <v>0</v>
      </c>
      <c r="AK33">
        <v>0</v>
      </c>
      <c r="AL33" t="s">
        <v>91</v>
      </c>
      <c r="AM33" t="s">
        <v>93</v>
      </c>
      <c r="AN33" t="s">
        <v>94</v>
      </c>
      <c r="AO33" t="s">
        <v>92</v>
      </c>
      <c r="AP33">
        <v>0</v>
      </c>
      <c r="AQ33">
        <v>0</v>
      </c>
      <c r="AR33">
        <v>0</v>
      </c>
      <c r="AS33">
        <v>0</v>
      </c>
      <c r="AT33">
        <v>0</v>
      </c>
      <c r="AU33">
        <v>0</v>
      </c>
      <c r="AV33">
        <v>0</v>
      </c>
      <c r="AW33">
        <v>0</v>
      </c>
      <c r="AX33">
        <v>0</v>
      </c>
      <c r="AY33">
        <v>0</v>
      </c>
    </row>
    <row r="34" spans="1:51" x14ac:dyDescent="0.25">
      <c r="A34">
        <v>6</v>
      </c>
      <c r="B34">
        <v>20</v>
      </c>
      <c r="C34" t="s">
        <v>735</v>
      </c>
      <c r="D34" t="s">
        <v>97</v>
      </c>
      <c r="E34" t="s">
        <v>100</v>
      </c>
      <c r="F34" t="s">
        <v>98</v>
      </c>
      <c r="G34" t="s">
        <v>101</v>
      </c>
      <c r="H34" t="s">
        <v>78</v>
      </c>
      <c r="I34" t="s">
        <v>79</v>
      </c>
      <c r="J34" t="s">
        <v>70</v>
      </c>
      <c r="K34" t="s">
        <v>102</v>
      </c>
      <c r="L34" t="s">
        <v>76</v>
      </c>
      <c r="M34" t="s">
        <v>103</v>
      </c>
      <c r="N34" t="s">
        <v>74</v>
      </c>
      <c r="O34" t="s">
        <v>104</v>
      </c>
      <c r="P34" t="s">
        <v>71</v>
      </c>
      <c r="Q34" t="s">
        <v>71</v>
      </c>
      <c r="R34" t="s">
        <v>71</v>
      </c>
      <c r="S34">
        <v>0</v>
      </c>
      <c r="T34">
        <v>0</v>
      </c>
      <c r="U34" t="s">
        <v>72</v>
      </c>
      <c r="V34" t="s">
        <v>73</v>
      </c>
      <c r="W34">
        <v>0</v>
      </c>
      <c r="X34">
        <v>0</v>
      </c>
      <c r="Y34">
        <v>0</v>
      </c>
      <c r="Z34">
        <v>0</v>
      </c>
      <c r="AA34">
        <v>0</v>
      </c>
      <c r="AB34">
        <v>0</v>
      </c>
      <c r="AC34">
        <v>0</v>
      </c>
      <c r="AD34">
        <v>0</v>
      </c>
      <c r="AE34">
        <v>0</v>
      </c>
      <c r="AF34">
        <v>0</v>
      </c>
      <c r="AG34" t="s">
        <v>71</v>
      </c>
      <c r="AH34">
        <v>0</v>
      </c>
      <c r="AI34">
        <v>0</v>
      </c>
      <c r="AJ34">
        <v>0</v>
      </c>
      <c r="AK34">
        <v>0</v>
      </c>
      <c r="AL34" t="s">
        <v>91</v>
      </c>
      <c r="AM34" t="s">
        <v>93</v>
      </c>
      <c r="AN34" t="s">
        <v>94</v>
      </c>
      <c r="AO34" t="s">
        <v>92</v>
      </c>
      <c r="AP34">
        <v>0</v>
      </c>
      <c r="AQ34">
        <v>0</v>
      </c>
      <c r="AR34">
        <v>0</v>
      </c>
      <c r="AS34">
        <v>0</v>
      </c>
      <c r="AT34">
        <v>0</v>
      </c>
      <c r="AU34">
        <v>0</v>
      </c>
      <c r="AV34">
        <v>0</v>
      </c>
      <c r="AW34">
        <v>0</v>
      </c>
      <c r="AX34">
        <v>0</v>
      </c>
      <c r="AY34">
        <v>0</v>
      </c>
    </row>
    <row r="35" spans="1:51" x14ac:dyDescent="0.25">
      <c r="A35">
        <v>6</v>
      </c>
      <c r="B35">
        <v>30</v>
      </c>
      <c r="C35" t="s">
        <v>735</v>
      </c>
      <c r="D35" t="s">
        <v>97</v>
      </c>
      <c r="E35" t="s">
        <v>100</v>
      </c>
      <c r="F35" t="s">
        <v>98</v>
      </c>
      <c r="G35" t="s">
        <v>101</v>
      </c>
      <c r="H35" t="s">
        <v>78</v>
      </c>
      <c r="I35" t="s">
        <v>79</v>
      </c>
      <c r="J35" t="s">
        <v>70</v>
      </c>
      <c r="K35" t="s">
        <v>102</v>
      </c>
      <c r="L35" t="s">
        <v>76</v>
      </c>
      <c r="M35" t="s">
        <v>103</v>
      </c>
      <c r="N35" t="s">
        <v>74</v>
      </c>
      <c r="O35" t="s">
        <v>104</v>
      </c>
      <c r="P35" t="s">
        <v>71</v>
      </c>
      <c r="Q35" t="s">
        <v>71</v>
      </c>
      <c r="R35" t="s">
        <v>71</v>
      </c>
      <c r="S35">
        <v>0</v>
      </c>
      <c r="T35">
        <v>0</v>
      </c>
      <c r="U35" t="s">
        <v>72</v>
      </c>
      <c r="V35" t="s">
        <v>73</v>
      </c>
      <c r="W35">
        <v>0</v>
      </c>
      <c r="X35">
        <v>0</v>
      </c>
      <c r="Y35">
        <v>0</v>
      </c>
      <c r="Z35">
        <v>0</v>
      </c>
      <c r="AA35">
        <v>0</v>
      </c>
      <c r="AB35">
        <v>0</v>
      </c>
      <c r="AC35">
        <v>0</v>
      </c>
      <c r="AD35">
        <v>0</v>
      </c>
      <c r="AE35">
        <v>0</v>
      </c>
      <c r="AF35">
        <v>0</v>
      </c>
      <c r="AG35" t="s">
        <v>71</v>
      </c>
      <c r="AH35">
        <v>0</v>
      </c>
      <c r="AI35">
        <v>0</v>
      </c>
      <c r="AJ35">
        <v>0</v>
      </c>
      <c r="AK35">
        <v>0</v>
      </c>
      <c r="AL35" t="s">
        <v>91</v>
      </c>
      <c r="AM35" t="s">
        <v>93</v>
      </c>
      <c r="AN35" t="s">
        <v>94</v>
      </c>
      <c r="AO35" t="s">
        <v>92</v>
      </c>
      <c r="AP35">
        <v>0</v>
      </c>
      <c r="AQ35">
        <v>0</v>
      </c>
      <c r="AR35">
        <v>0</v>
      </c>
      <c r="AS35">
        <v>0</v>
      </c>
      <c r="AT35">
        <v>0</v>
      </c>
      <c r="AU35">
        <v>0</v>
      </c>
      <c r="AV35">
        <v>0</v>
      </c>
      <c r="AW35">
        <v>0</v>
      </c>
      <c r="AX35">
        <v>0</v>
      </c>
      <c r="AY35">
        <v>0</v>
      </c>
    </row>
    <row r="36" spans="1:51" x14ac:dyDescent="0.25">
      <c r="A36">
        <v>6</v>
      </c>
      <c r="B36">
        <v>5000</v>
      </c>
      <c r="C36" t="s">
        <v>735</v>
      </c>
      <c r="D36" t="s">
        <v>97</v>
      </c>
      <c r="E36" t="s">
        <v>100</v>
      </c>
      <c r="F36" t="s">
        <v>98</v>
      </c>
      <c r="G36" t="s">
        <v>101</v>
      </c>
      <c r="H36" t="s">
        <v>78</v>
      </c>
      <c r="I36" t="s">
        <v>79</v>
      </c>
      <c r="J36" t="s">
        <v>70</v>
      </c>
      <c r="K36" t="s">
        <v>102</v>
      </c>
      <c r="L36" t="s">
        <v>76</v>
      </c>
      <c r="M36" t="s">
        <v>103</v>
      </c>
      <c r="N36" t="s">
        <v>74</v>
      </c>
      <c r="O36" t="s">
        <v>104</v>
      </c>
      <c r="P36" t="s">
        <v>71</v>
      </c>
      <c r="Q36" t="s">
        <v>71</v>
      </c>
      <c r="R36" t="s">
        <v>71</v>
      </c>
      <c r="S36">
        <v>0</v>
      </c>
      <c r="T36">
        <v>0</v>
      </c>
      <c r="U36" t="s">
        <v>72</v>
      </c>
      <c r="V36" t="s">
        <v>73</v>
      </c>
      <c r="W36">
        <v>0</v>
      </c>
      <c r="X36">
        <v>0</v>
      </c>
      <c r="Y36">
        <v>0</v>
      </c>
      <c r="Z36">
        <v>0</v>
      </c>
      <c r="AA36">
        <v>0</v>
      </c>
      <c r="AB36">
        <v>0</v>
      </c>
      <c r="AC36">
        <v>0</v>
      </c>
      <c r="AD36">
        <v>0</v>
      </c>
      <c r="AE36">
        <v>0</v>
      </c>
      <c r="AF36">
        <v>0</v>
      </c>
      <c r="AG36" t="s">
        <v>71</v>
      </c>
      <c r="AH36">
        <v>0</v>
      </c>
      <c r="AI36">
        <v>0</v>
      </c>
      <c r="AJ36">
        <v>0</v>
      </c>
      <c r="AK36">
        <v>0</v>
      </c>
      <c r="AL36" t="s">
        <v>91</v>
      </c>
      <c r="AM36" t="s">
        <v>93</v>
      </c>
      <c r="AN36" t="s">
        <v>94</v>
      </c>
      <c r="AO36" t="s">
        <v>92</v>
      </c>
      <c r="AP36">
        <v>0</v>
      </c>
      <c r="AQ36">
        <v>0</v>
      </c>
      <c r="AR36">
        <v>0</v>
      </c>
      <c r="AS36">
        <v>0</v>
      </c>
      <c r="AT36">
        <v>0</v>
      </c>
      <c r="AU36">
        <v>0</v>
      </c>
      <c r="AV36">
        <v>0</v>
      </c>
      <c r="AW36">
        <v>0</v>
      </c>
      <c r="AX36">
        <v>0</v>
      </c>
      <c r="AY36">
        <v>0</v>
      </c>
    </row>
    <row r="37" spans="1:51" x14ac:dyDescent="0.25">
      <c r="A37">
        <v>6</v>
      </c>
      <c r="B37">
        <v>5010</v>
      </c>
      <c r="C37" t="s">
        <v>735</v>
      </c>
      <c r="D37" t="s">
        <v>97</v>
      </c>
      <c r="E37" t="s">
        <v>100</v>
      </c>
      <c r="F37" t="s">
        <v>98</v>
      </c>
      <c r="G37" t="s">
        <v>101</v>
      </c>
      <c r="H37" t="s">
        <v>78</v>
      </c>
      <c r="I37" t="s">
        <v>79</v>
      </c>
      <c r="J37" t="s">
        <v>70</v>
      </c>
      <c r="K37" t="s">
        <v>102</v>
      </c>
      <c r="L37" t="s">
        <v>76</v>
      </c>
      <c r="M37" t="s">
        <v>103</v>
      </c>
      <c r="N37" t="s">
        <v>74</v>
      </c>
      <c r="O37" t="s">
        <v>104</v>
      </c>
      <c r="P37" t="s">
        <v>71</v>
      </c>
      <c r="Q37" t="s">
        <v>71</v>
      </c>
      <c r="R37" t="s">
        <v>71</v>
      </c>
      <c r="S37">
        <v>0</v>
      </c>
      <c r="T37">
        <v>0</v>
      </c>
      <c r="U37" t="s">
        <v>72</v>
      </c>
      <c r="V37" t="s">
        <v>73</v>
      </c>
      <c r="W37">
        <v>0</v>
      </c>
      <c r="X37">
        <v>0</v>
      </c>
      <c r="Y37">
        <v>0</v>
      </c>
      <c r="Z37">
        <v>0</v>
      </c>
      <c r="AA37">
        <v>0</v>
      </c>
      <c r="AB37">
        <v>0</v>
      </c>
      <c r="AC37">
        <v>0</v>
      </c>
      <c r="AD37">
        <v>0</v>
      </c>
      <c r="AE37">
        <v>0</v>
      </c>
      <c r="AF37">
        <v>0</v>
      </c>
      <c r="AG37" t="s">
        <v>71</v>
      </c>
      <c r="AH37">
        <v>0</v>
      </c>
      <c r="AI37">
        <v>0</v>
      </c>
      <c r="AJ37">
        <v>0</v>
      </c>
      <c r="AK37">
        <v>0</v>
      </c>
      <c r="AL37" t="s">
        <v>91</v>
      </c>
      <c r="AM37" t="s">
        <v>93</v>
      </c>
      <c r="AN37" t="s">
        <v>94</v>
      </c>
      <c r="AO37" t="s">
        <v>92</v>
      </c>
      <c r="AP37">
        <v>0</v>
      </c>
      <c r="AQ37">
        <v>0</v>
      </c>
      <c r="AR37">
        <v>0</v>
      </c>
      <c r="AS37">
        <v>0</v>
      </c>
      <c r="AT37">
        <v>0</v>
      </c>
      <c r="AU37">
        <v>0</v>
      </c>
      <c r="AV37">
        <v>0</v>
      </c>
      <c r="AW37">
        <v>0</v>
      </c>
      <c r="AX37">
        <v>0</v>
      </c>
      <c r="AY37">
        <v>0</v>
      </c>
    </row>
    <row r="38" spans="1:51" x14ac:dyDescent="0.25">
      <c r="A38">
        <v>6</v>
      </c>
      <c r="B38">
        <v>5020</v>
      </c>
      <c r="C38" t="s">
        <v>735</v>
      </c>
      <c r="D38" t="s">
        <v>97</v>
      </c>
      <c r="E38" t="s">
        <v>100</v>
      </c>
      <c r="F38" t="s">
        <v>98</v>
      </c>
      <c r="G38" t="s">
        <v>101</v>
      </c>
      <c r="H38" t="s">
        <v>78</v>
      </c>
      <c r="I38" t="s">
        <v>79</v>
      </c>
      <c r="J38" t="s">
        <v>70</v>
      </c>
      <c r="K38" t="s">
        <v>102</v>
      </c>
      <c r="L38" t="s">
        <v>76</v>
      </c>
      <c r="M38" t="s">
        <v>103</v>
      </c>
      <c r="N38" t="s">
        <v>74</v>
      </c>
      <c r="O38" t="s">
        <v>104</v>
      </c>
      <c r="P38" t="s">
        <v>71</v>
      </c>
      <c r="Q38" t="s">
        <v>71</v>
      </c>
      <c r="R38" t="s">
        <v>71</v>
      </c>
      <c r="S38">
        <v>0</v>
      </c>
      <c r="T38">
        <v>0</v>
      </c>
      <c r="U38" t="s">
        <v>72</v>
      </c>
      <c r="V38" t="s">
        <v>73</v>
      </c>
      <c r="W38">
        <v>0</v>
      </c>
      <c r="X38">
        <v>0</v>
      </c>
      <c r="Y38">
        <v>0</v>
      </c>
      <c r="Z38">
        <v>0</v>
      </c>
      <c r="AA38">
        <v>0</v>
      </c>
      <c r="AB38">
        <v>0</v>
      </c>
      <c r="AC38">
        <v>0</v>
      </c>
      <c r="AD38">
        <v>0</v>
      </c>
      <c r="AE38">
        <v>0</v>
      </c>
      <c r="AF38">
        <v>0</v>
      </c>
      <c r="AG38" t="s">
        <v>71</v>
      </c>
      <c r="AH38">
        <v>0</v>
      </c>
      <c r="AI38">
        <v>0</v>
      </c>
      <c r="AJ38">
        <v>0</v>
      </c>
      <c r="AK38">
        <v>0</v>
      </c>
      <c r="AL38" t="s">
        <v>91</v>
      </c>
      <c r="AM38" t="s">
        <v>93</v>
      </c>
      <c r="AN38" t="s">
        <v>94</v>
      </c>
      <c r="AO38" t="s">
        <v>92</v>
      </c>
      <c r="AP38">
        <v>0</v>
      </c>
      <c r="AQ38">
        <v>0</v>
      </c>
      <c r="AR38">
        <v>0</v>
      </c>
      <c r="AS38">
        <v>0</v>
      </c>
      <c r="AT38">
        <v>0</v>
      </c>
      <c r="AU38">
        <v>0</v>
      </c>
      <c r="AV38">
        <v>0</v>
      </c>
      <c r="AW38">
        <v>0</v>
      </c>
      <c r="AX38">
        <v>0</v>
      </c>
      <c r="AY38">
        <v>0</v>
      </c>
    </row>
    <row r="39" spans="1:51" x14ac:dyDescent="0.25">
      <c r="A39">
        <v>1</v>
      </c>
      <c r="C39" t="s">
        <v>735</v>
      </c>
      <c r="D39" t="s">
        <v>736</v>
      </c>
      <c r="E39" t="s">
        <v>736</v>
      </c>
      <c r="F39" t="s">
        <v>736</v>
      </c>
      <c r="G39" t="s">
        <v>736</v>
      </c>
      <c r="H39" t="s">
        <v>736</v>
      </c>
      <c r="I39" t="s">
        <v>736</v>
      </c>
      <c r="J39" t="s">
        <v>736</v>
      </c>
      <c r="K39" t="s">
        <v>736</v>
      </c>
      <c r="L39" t="s">
        <v>736</v>
      </c>
      <c r="M39" t="s">
        <v>736</v>
      </c>
      <c r="N39" t="s">
        <v>736</v>
      </c>
      <c r="O39" t="s">
        <v>736</v>
      </c>
      <c r="P39" t="s">
        <v>736</v>
      </c>
      <c r="Q39" t="s">
        <v>736</v>
      </c>
      <c r="R39" t="s">
        <v>736</v>
      </c>
      <c r="S39" t="s">
        <v>736</v>
      </c>
      <c r="T39" t="s">
        <v>736</v>
      </c>
      <c r="U39" t="s">
        <v>736</v>
      </c>
      <c r="V39" t="s">
        <v>736</v>
      </c>
      <c r="W39" t="s">
        <v>736</v>
      </c>
      <c r="X39" t="s">
        <v>736</v>
      </c>
      <c r="Y39" t="s">
        <v>736</v>
      </c>
      <c r="Z39" t="s">
        <v>736</v>
      </c>
      <c r="AA39" t="s">
        <v>736</v>
      </c>
      <c r="AB39" t="s">
        <v>736</v>
      </c>
      <c r="AC39" t="s">
        <v>736</v>
      </c>
      <c r="AD39" t="s">
        <v>736</v>
      </c>
      <c r="AE39" t="s">
        <v>736</v>
      </c>
      <c r="AF39" t="s">
        <v>736</v>
      </c>
      <c r="AG39" t="s">
        <v>736</v>
      </c>
      <c r="AH39" t="s">
        <v>736</v>
      </c>
      <c r="AI39" t="s">
        <v>736</v>
      </c>
      <c r="AJ39" t="s">
        <v>736</v>
      </c>
      <c r="AK39" t="s">
        <v>736</v>
      </c>
      <c r="AL39" t="s">
        <v>736</v>
      </c>
      <c r="AM39" t="s">
        <v>736</v>
      </c>
      <c r="AN39" t="s">
        <v>736</v>
      </c>
      <c r="AO39" t="s">
        <v>736</v>
      </c>
      <c r="AP39" t="s">
        <v>736</v>
      </c>
      <c r="AQ39" t="s">
        <v>736</v>
      </c>
      <c r="AR39" t="s">
        <v>736</v>
      </c>
      <c r="AS39" t="s">
        <v>736</v>
      </c>
      <c r="AT39" t="s">
        <v>736</v>
      </c>
      <c r="AU39" t="s">
        <v>736</v>
      </c>
      <c r="AV39" t="s">
        <v>736</v>
      </c>
      <c r="AW39" t="s">
        <v>736</v>
      </c>
      <c r="AX39" t="s">
        <v>736</v>
      </c>
      <c r="AY39" t="s">
        <v>736</v>
      </c>
    </row>
    <row r="40" spans="1:51" x14ac:dyDescent="0.25">
      <c r="A40">
        <v>7</v>
      </c>
      <c r="B40">
        <v>10</v>
      </c>
      <c r="C40" t="s">
        <v>735</v>
      </c>
      <c r="D40" t="s">
        <v>96</v>
      </c>
      <c r="E40" t="s">
        <v>100</v>
      </c>
      <c r="F40" t="s">
        <v>111</v>
      </c>
      <c r="G40" t="s">
        <v>101</v>
      </c>
      <c r="H40" t="s">
        <v>78</v>
      </c>
      <c r="I40" t="s">
        <v>79</v>
      </c>
      <c r="J40" t="s">
        <v>70</v>
      </c>
      <c r="K40" t="s">
        <v>102</v>
      </c>
      <c r="L40" t="s">
        <v>76</v>
      </c>
      <c r="M40" t="s">
        <v>103</v>
      </c>
      <c r="N40" t="s">
        <v>74</v>
      </c>
      <c r="O40" t="s">
        <v>104</v>
      </c>
      <c r="P40" t="s">
        <v>71</v>
      </c>
      <c r="Q40" t="s">
        <v>71</v>
      </c>
      <c r="R40" t="s">
        <v>71</v>
      </c>
      <c r="S40">
        <v>0</v>
      </c>
      <c r="T40">
        <v>0</v>
      </c>
      <c r="U40" t="s">
        <v>72</v>
      </c>
      <c r="V40" t="s">
        <v>73</v>
      </c>
      <c r="W40">
        <v>0</v>
      </c>
      <c r="X40">
        <v>0</v>
      </c>
      <c r="Y40">
        <v>0</v>
      </c>
      <c r="Z40">
        <v>0</v>
      </c>
      <c r="AA40">
        <v>0</v>
      </c>
      <c r="AB40">
        <v>0</v>
      </c>
      <c r="AC40">
        <v>0</v>
      </c>
      <c r="AD40">
        <v>0</v>
      </c>
      <c r="AE40">
        <v>0</v>
      </c>
      <c r="AF40">
        <v>0</v>
      </c>
      <c r="AG40" t="s">
        <v>71</v>
      </c>
      <c r="AH40">
        <v>0</v>
      </c>
      <c r="AI40">
        <v>0</v>
      </c>
      <c r="AJ40">
        <v>0</v>
      </c>
      <c r="AK40">
        <v>0</v>
      </c>
      <c r="AL40" t="s">
        <v>91</v>
      </c>
      <c r="AM40" t="s">
        <v>93</v>
      </c>
      <c r="AN40" t="s">
        <v>94</v>
      </c>
      <c r="AO40" t="s">
        <v>92</v>
      </c>
      <c r="AP40">
        <v>0</v>
      </c>
      <c r="AQ40">
        <v>0</v>
      </c>
      <c r="AR40">
        <v>0</v>
      </c>
      <c r="AS40">
        <v>0</v>
      </c>
      <c r="AT40">
        <v>0</v>
      </c>
      <c r="AU40">
        <v>0</v>
      </c>
      <c r="AV40">
        <v>0</v>
      </c>
      <c r="AW40">
        <v>0</v>
      </c>
      <c r="AX40">
        <v>0</v>
      </c>
      <c r="AY40">
        <v>0</v>
      </c>
    </row>
    <row r="41" spans="1:51" x14ac:dyDescent="0.25">
      <c r="A41">
        <v>7</v>
      </c>
      <c r="B41">
        <v>20</v>
      </c>
      <c r="C41" t="s">
        <v>735</v>
      </c>
      <c r="D41" t="s">
        <v>96</v>
      </c>
      <c r="E41" t="s">
        <v>100</v>
      </c>
      <c r="F41" t="s">
        <v>111</v>
      </c>
      <c r="G41" t="s">
        <v>101</v>
      </c>
      <c r="H41" t="s">
        <v>78</v>
      </c>
      <c r="I41" t="s">
        <v>79</v>
      </c>
      <c r="J41" t="s">
        <v>70</v>
      </c>
      <c r="K41" t="s">
        <v>102</v>
      </c>
      <c r="L41" t="s">
        <v>76</v>
      </c>
      <c r="M41" t="s">
        <v>103</v>
      </c>
      <c r="N41" t="s">
        <v>74</v>
      </c>
      <c r="O41" t="s">
        <v>104</v>
      </c>
      <c r="P41" t="s">
        <v>71</v>
      </c>
      <c r="Q41" t="s">
        <v>71</v>
      </c>
      <c r="R41" t="s">
        <v>71</v>
      </c>
      <c r="S41">
        <v>0</v>
      </c>
      <c r="T41">
        <v>0</v>
      </c>
      <c r="U41" t="s">
        <v>72</v>
      </c>
      <c r="V41" t="s">
        <v>73</v>
      </c>
      <c r="W41">
        <v>0</v>
      </c>
      <c r="X41">
        <v>0</v>
      </c>
      <c r="Y41">
        <v>0</v>
      </c>
      <c r="Z41">
        <v>0</v>
      </c>
      <c r="AA41">
        <v>0</v>
      </c>
      <c r="AB41">
        <v>0</v>
      </c>
      <c r="AC41">
        <v>0</v>
      </c>
      <c r="AD41">
        <v>0</v>
      </c>
      <c r="AE41">
        <v>0</v>
      </c>
      <c r="AF41">
        <v>0</v>
      </c>
      <c r="AG41" t="s">
        <v>71</v>
      </c>
      <c r="AH41">
        <v>0</v>
      </c>
      <c r="AI41">
        <v>0</v>
      </c>
      <c r="AJ41">
        <v>0</v>
      </c>
      <c r="AK41">
        <v>0</v>
      </c>
      <c r="AL41" t="s">
        <v>91</v>
      </c>
      <c r="AM41" t="s">
        <v>93</v>
      </c>
      <c r="AN41" t="s">
        <v>94</v>
      </c>
      <c r="AO41" t="s">
        <v>92</v>
      </c>
      <c r="AP41">
        <v>0</v>
      </c>
      <c r="AQ41">
        <v>0</v>
      </c>
      <c r="AR41">
        <v>0</v>
      </c>
      <c r="AS41">
        <v>0</v>
      </c>
      <c r="AT41">
        <v>0</v>
      </c>
      <c r="AU41">
        <v>0</v>
      </c>
      <c r="AV41">
        <v>0</v>
      </c>
      <c r="AW41">
        <v>0</v>
      </c>
      <c r="AX41">
        <v>0</v>
      </c>
      <c r="AY41">
        <v>0</v>
      </c>
    </row>
    <row r="42" spans="1:51" x14ac:dyDescent="0.25">
      <c r="A42">
        <v>7</v>
      </c>
      <c r="B42">
        <v>30</v>
      </c>
      <c r="C42" t="s">
        <v>735</v>
      </c>
      <c r="D42" t="s">
        <v>96</v>
      </c>
      <c r="E42" t="s">
        <v>100</v>
      </c>
      <c r="F42" t="s">
        <v>111</v>
      </c>
      <c r="G42" t="s">
        <v>101</v>
      </c>
      <c r="H42" t="s">
        <v>78</v>
      </c>
      <c r="I42" t="s">
        <v>79</v>
      </c>
      <c r="J42" t="s">
        <v>70</v>
      </c>
      <c r="K42" t="s">
        <v>102</v>
      </c>
      <c r="L42" t="s">
        <v>76</v>
      </c>
      <c r="M42" t="s">
        <v>103</v>
      </c>
      <c r="N42" t="s">
        <v>74</v>
      </c>
      <c r="O42" t="s">
        <v>104</v>
      </c>
      <c r="P42" t="s">
        <v>71</v>
      </c>
      <c r="Q42" t="s">
        <v>71</v>
      </c>
      <c r="R42" t="s">
        <v>71</v>
      </c>
      <c r="S42">
        <v>0</v>
      </c>
      <c r="T42">
        <v>0</v>
      </c>
      <c r="U42" t="s">
        <v>72</v>
      </c>
      <c r="V42" t="s">
        <v>73</v>
      </c>
      <c r="W42">
        <v>0</v>
      </c>
      <c r="X42">
        <v>0</v>
      </c>
      <c r="Y42">
        <v>0</v>
      </c>
      <c r="Z42">
        <v>0</v>
      </c>
      <c r="AA42">
        <v>0</v>
      </c>
      <c r="AB42">
        <v>0</v>
      </c>
      <c r="AC42">
        <v>0</v>
      </c>
      <c r="AD42">
        <v>0</v>
      </c>
      <c r="AE42">
        <v>0</v>
      </c>
      <c r="AF42">
        <v>0</v>
      </c>
      <c r="AG42" t="s">
        <v>71</v>
      </c>
      <c r="AH42">
        <v>0</v>
      </c>
      <c r="AI42">
        <v>0</v>
      </c>
      <c r="AJ42">
        <v>0</v>
      </c>
      <c r="AK42">
        <v>0</v>
      </c>
      <c r="AL42" t="s">
        <v>91</v>
      </c>
      <c r="AM42" t="s">
        <v>93</v>
      </c>
      <c r="AN42" t="s">
        <v>94</v>
      </c>
      <c r="AO42" t="s">
        <v>92</v>
      </c>
      <c r="AP42">
        <v>0</v>
      </c>
      <c r="AQ42">
        <v>0</v>
      </c>
      <c r="AR42">
        <v>0</v>
      </c>
      <c r="AS42">
        <v>0</v>
      </c>
      <c r="AT42">
        <v>0</v>
      </c>
      <c r="AU42">
        <v>0</v>
      </c>
      <c r="AV42">
        <v>0</v>
      </c>
      <c r="AW42">
        <v>0</v>
      </c>
      <c r="AX42">
        <v>0</v>
      </c>
      <c r="AY42">
        <v>0</v>
      </c>
    </row>
    <row r="43" spans="1:51" x14ac:dyDescent="0.25">
      <c r="A43">
        <v>7</v>
      </c>
      <c r="B43">
        <v>5000</v>
      </c>
      <c r="C43" t="s">
        <v>735</v>
      </c>
      <c r="D43" t="s">
        <v>96</v>
      </c>
      <c r="E43" t="s">
        <v>100</v>
      </c>
      <c r="F43" t="s">
        <v>111</v>
      </c>
      <c r="G43" t="s">
        <v>101</v>
      </c>
      <c r="H43" t="s">
        <v>78</v>
      </c>
      <c r="I43" t="s">
        <v>79</v>
      </c>
      <c r="J43" t="s">
        <v>70</v>
      </c>
      <c r="K43" t="s">
        <v>102</v>
      </c>
      <c r="L43" t="s">
        <v>76</v>
      </c>
      <c r="M43" t="s">
        <v>103</v>
      </c>
      <c r="N43" t="s">
        <v>74</v>
      </c>
      <c r="O43" t="s">
        <v>104</v>
      </c>
      <c r="P43" t="s">
        <v>71</v>
      </c>
      <c r="Q43" t="s">
        <v>71</v>
      </c>
      <c r="R43" t="s">
        <v>71</v>
      </c>
      <c r="S43">
        <v>0</v>
      </c>
      <c r="T43">
        <v>0</v>
      </c>
      <c r="U43" t="s">
        <v>72</v>
      </c>
      <c r="V43" t="s">
        <v>73</v>
      </c>
      <c r="W43">
        <v>0</v>
      </c>
      <c r="X43">
        <v>0</v>
      </c>
      <c r="Y43">
        <v>0</v>
      </c>
      <c r="Z43">
        <v>0</v>
      </c>
      <c r="AA43">
        <v>0</v>
      </c>
      <c r="AB43">
        <v>0</v>
      </c>
      <c r="AC43">
        <v>0</v>
      </c>
      <c r="AD43">
        <v>0</v>
      </c>
      <c r="AE43">
        <v>0</v>
      </c>
      <c r="AF43">
        <v>0</v>
      </c>
      <c r="AG43" t="s">
        <v>71</v>
      </c>
      <c r="AH43">
        <v>0</v>
      </c>
      <c r="AI43">
        <v>0</v>
      </c>
      <c r="AJ43">
        <v>0</v>
      </c>
      <c r="AK43">
        <v>0</v>
      </c>
      <c r="AL43" t="s">
        <v>91</v>
      </c>
      <c r="AM43" t="s">
        <v>93</v>
      </c>
      <c r="AN43" t="s">
        <v>94</v>
      </c>
      <c r="AO43" t="s">
        <v>92</v>
      </c>
      <c r="AP43">
        <v>0</v>
      </c>
      <c r="AQ43">
        <v>0</v>
      </c>
      <c r="AR43">
        <v>0</v>
      </c>
      <c r="AS43">
        <v>0</v>
      </c>
      <c r="AT43">
        <v>0</v>
      </c>
      <c r="AU43">
        <v>0</v>
      </c>
      <c r="AV43">
        <v>0</v>
      </c>
      <c r="AW43">
        <v>0</v>
      </c>
      <c r="AX43">
        <v>0</v>
      </c>
      <c r="AY43">
        <v>0</v>
      </c>
    </row>
    <row r="44" spans="1:51" x14ac:dyDescent="0.25">
      <c r="A44">
        <v>7</v>
      </c>
      <c r="B44">
        <v>5010</v>
      </c>
      <c r="C44" t="s">
        <v>735</v>
      </c>
      <c r="D44" t="s">
        <v>96</v>
      </c>
      <c r="E44" t="s">
        <v>100</v>
      </c>
      <c r="F44" t="s">
        <v>111</v>
      </c>
      <c r="G44" t="s">
        <v>101</v>
      </c>
      <c r="H44" t="s">
        <v>78</v>
      </c>
      <c r="I44" t="s">
        <v>79</v>
      </c>
      <c r="J44" t="s">
        <v>70</v>
      </c>
      <c r="K44" t="s">
        <v>102</v>
      </c>
      <c r="L44" t="s">
        <v>76</v>
      </c>
      <c r="M44" t="s">
        <v>103</v>
      </c>
      <c r="N44" t="s">
        <v>74</v>
      </c>
      <c r="O44" t="s">
        <v>104</v>
      </c>
      <c r="P44" t="s">
        <v>71</v>
      </c>
      <c r="Q44" t="s">
        <v>71</v>
      </c>
      <c r="R44" t="s">
        <v>71</v>
      </c>
      <c r="S44">
        <v>0</v>
      </c>
      <c r="T44">
        <v>0</v>
      </c>
      <c r="U44" t="s">
        <v>72</v>
      </c>
      <c r="V44" t="s">
        <v>73</v>
      </c>
      <c r="W44">
        <v>0</v>
      </c>
      <c r="X44">
        <v>0</v>
      </c>
      <c r="Y44">
        <v>0</v>
      </c>
      <c r="Z44">
        <v>0</v>
      </c>
      <c r="AA44">
        <v>0</v>
      </c>
      <c r="AB44">
        <v>0</v>
      </c>
      <c r="AC44">
        <v>0</v>
      </c>
      <c r="AD44">
        <v>0</v>
      </c>
      <c r="AE44">
        <v>0</v>
      </c>
      <c r="AF44">
        <v>0</v>
      </c>
      <c r="AG44" t="s">
        <v>71</v>
      </c>
      <c r="AH44">
        <v>0</v>
      </c>
      <c r="AI44">
        <v>0</v>
      </c>
      <c r="AJ44">
        <v>0</v>
      </c>
      <c r="AK44">
        <v>0</v>
      </c>
      <c r="AL44" t="s">
        <v>91</v>
      </c>
      <c r="AM44" t="s">
        <v>93</v>
      </c>
      <c r="AN44" t="s">
        <v>94</v>
      </c>
      <c r="AO44" t="s">
        <v>92</v>
      </c>
      <c r="AP44">
        <v>0</v>
      </c>
      <c r="AQ44">
        <v>0</v>
      </c>
      <c r="AR44">
        <v>0</v>
      </c>
      <c r="AS44">
        <v>0</v>
      </c>
      <c r="AT44">
        <v>0</v>
      </c>
      <c r="AU44">
        <v>0</v>
      </c>
      <c r="AV44">
        <v>0</v>
      </c>
      <c r="AW44">
        <v>0</v>
      </c>
      <c r="AX44">
        <v>0</v>
      </c>
      <c r="AY44">
        <v>0</v>
      </c>
    </row>
    <row r="45" spans="1:51" x14ac:dyDescent="0.25">
      <c r="A45">
        <v>7</v>
      </c>
      <c r="B45">
        <v>5020</v>
      </c>
      <c r="C45" t="s">
        <v>735</v>
      </c>
      <c r="D45" t="s">
        <v>96</v>
      </c>
      <c r="E45" t="s">
        <v>100</v>
      </c>
      <c r="F45" t="s">
        <v>111</v>
      </c>
      <c r="G45" t="s">
        <v>101</v>
      </c>
      <c r="H45" t="s">
        <v>78</v>
      </c>
      <c r="I45" t="s">
        <v>79</v>
      </c>
      <c r="J45" t="s">
        <v>119</v>
      </c>
      <c r="K45" t="s">
        <v>75</v>
      </c>
      <c r="L45" t="s">
        <v>76</v>
      </c>
      <c r="M45" t="s">
        <v>103</v>
      </c>
      <c r="N45" t="s">
        <v>74</v>
      </c>
      <c r="O45" t="s">
        <v>104</v>
      </c>
      <c r="P45" t="s">
        <v>71</v>
      </c>
      <c r="Q45" t="s">
        <v>71</v>
      </c>
      <c r="R45" t="s">
        <v>71</v>
      </c>
      <c r="S45">
        <v>0</v>
      </c>
      <c r="T45">
        <v>0</v>
      </c>
      <c r="U45" t="s">
        <v>72</v>
      </c>
      <c r="V45" t="s">
        <v>73</v>
      </c>
      <c r="W45">
        <v>0</v>
      </c>
      <c r="X45">
        <v>0</v>
      </c>
      <c r="Y45">
        <v>0</v>
      </c>
      <c r="Z45">
        <v>0</v>
      </c>
      <c r="AA45">
        <v>0</v>
      </c>
      <c r="AB45">
        <v>0</v>
      </c>
      <c r="AC45">
        <v>0</v>
      </c>
      <c r="AD45">
        <v>0</v>
      </c>
      <c r="AE45">
        <v>0</v>
      </c>
      <c r="AF45">
        <v>0</v>
      </c>
      <c r="AG45" t="s">
        <v>71</v>
      </c>
      <c r="AH45">
        <v>0</v>
      </c>
      <c r="AI45">
        <v>0</v>
      </c>
      <c r="AJ45">
        <v>0</v>
      </c>
      <c r="AK45">
        <v>0</v>
      </c>
      <c r="AL45" t="s">
        <v>108</v>
      </c>
      <c r="AM45" t="s">
        <v>93</v>
      </c>
      <c r="AN45" t="s">
        <v>94</v>
      </c>
      <c r="AO45" t="s">
        <v>92</v>
      </c>
      <c r="AP45">
        <v>0</v>
      </c>
      <c r="AQ45">
        <v>0</v>
      </c>
      <c r="AR45">
        <v>0</v>
      </c>
      <c r="AS45">
        <v>0</v>
      </c>
      <c r="AT45">
        <v>0</v>
      </c>
      <c r="AU45">
        <v>0</v>
      </c>
      <c r="AV45">
        <v>0</v>
      </c>
      <c r="AW45">
        <v>0</v>
      </c>
      <c r="AX45">
        <v>0</v>
      </c>
      <c r="AY45">
        <v>0</v>
      </c>
    </row>
    <row r="46" spans="1:51" x14ac:dyDescent="0.25">
      <c r="A46">
        <v>7</v>
      </c>
      <c r="B46">
        <v>5030</v>
      </c>
      <c r="C46" t="s">
        <v>735</v>
      </c>
      <c r="D46" t="s">
        <v>96</v>
      </c>
      <c r="E46" t="s">
        <v>121</v>
      </c>
      <c r="F46" t="s">
        <v>111</v>
      </c>
      <c r="G46" t="s">
        <v>101</v>
      </c>
      <c r="H46" t="s">
        <v>78</v>
      </c>
      <c r="I46" t="s">
        <v>79</v>
      </c>
      <c r="J46" t="s">
        <v>119</v>
      </c>
      <c r="K46" t="s">
        <v>75</v>
      </c>
      <c r="L46" t="s">
        <v>76</v>
      </c>
      <c r="M46" t="s">
        <v>103</v>
      </c>
      <c r="N46" t="s">
        <v>74</v>
      </c>
      <c r="O46" t="s">
        <v>104</v>
      </c>
      <c r="P46" t="s">
        <v>71</v>
      </c>
      <c r="Q46" t="s">
        <v>71</v>
      </c>
      <c r="R46" t="s">
        <v>71</v>
      </c>
      <c r="S46">
        <v>0</v>
      </c>
      <c r="T46">
        <v>0</v>
      </c>
      <c r="U46" t="s">
        <v>72</v>
      </c>
      <c r="V46" t="s">
        <v>73</v>
      </c>
      <c r="W46">
        <v>0</v>
      </c>
      <c r="X46">
        <v>0</v>
      </c>
      <c r="Y46">
        <v>0</v>
      </c>
      <c r="Z46">
        <v>0</v>
      </c>
      <c r="AA46">
        <v>0</v>
      </c>
      <c r="AB46">
        <v>0</v>
      </c>
      <c r="AC46">
        <v>0</v>
      </c>
      <c r="AD46">
        <v>0</v>
      </c>
      <c r="AE46">
        <v>0</v>
      </c>
      <c r="AF46">
        <v>0</v>
      </c>
      <c r="AG46" t="s">
        <v>71</v>
      </c>
      <c r="AH46">
        <v>0</v>
      </c>
      <c r="AI46">
        <v>0</v>
      </c>
      <c r="AJ46">
        <v>0</v>
      </c>
      <c r="AK46">
        <v>0</v>
      </c>
      <c r="AL46" t="s">
        <v>108</v>
      </c>
      <c r="AM46" t="s">
        <v>93</v>
      </c>
      <c r="AN46" t="s">
        <v>94</v>
      </c>
      <c r="AO46" t="s">
        <v>92</v>
      </c>
      <c r="AP46">
        <v>0</v>
      </c>
      <c r="AQ46">
        <v>0</v>
      </c>
      <c r="AR46">
        <v>0</v>
      </c>
      <c r="AS46">
        <v>0</v>
      </c>
      <c r="AT46">
        <v>0</v>
      </c>
      <c r="AU46">
        <v>0</v>
      </c>
      <c r="AV46">
        <v>0</v>
      </c>
      <c r="AW46">
        <v>0</v>
      </c>
      <c r="AX46">
        <v>0</v>
      </c>
      <c r="AY46">
        <v>0</v>
      </c>
    </row>
    <row r="47" spans="1:51" x14ac:dyDescent="0.25">
      <c r="A47">
        <v>7</v>
      </c>
      <c r="B47">
        <v>5040</v>
      </c>
      <c r="C47" t="s">
        <v>735</v>
      </c>
      <c r="D47" t="s">
        <v>96</v>
      </c>
      <c r="E47" t="s">
        <v>121</v>
      </c>
      <c r="F47" t="s">
        <v>107</v>
      </c>
      <c r="G47" t="s">
        <v>101</v>
      </c>
      <c r="H47" t="s">
        <v>78</v>
      </c>
      <c r="I47" t="s">
        <v>79</v>
      </c>
      <c r="J47" t="s">
        <v>119</v>
      </c>
      <c r="K47" t="s">
        <v>75</v>
      </c>
      <c r="L47" t="s">
        <v>76</v>
      </c>
      <c r="M47" t="s">
        <v>103</v>
      </c>
      <c r="N47" t="s">
        <v>74</v>
      </c>
      <c r="O47" t="s">
        <v>104</v>
      </c>
      <c r="P47" t="s">
        <v>71</v>
      </c>
      <c r="Q47" t="s">
        <v>110</v>
      </c>
      <c r="R47" t="s">
        <v>71</v>
      </c>
      <c r="S47">
        <v>0</v>
      </c>
      <c r="T47">
        <v>0</v>
      </c>
      <c r="U47" t="s">
        <v>72</v>
      </c>
      <c r="V47" t="s">
        <v>73</v>
      </c>
      <c r="W47">
        <v>0</v>
      </c>
      <c r="X47">
        <v>0</v>
      </c>
      <c r="Y47">
        <v>0</v>
      </c>
      <c r="Z47">
        <v>0</v>
      </c>
      <c r="AA47">
        <v>0</v>
      </c>
      <c r="AB47">
        <v>0</v>
      </c>
      <c r="AC47">
        <v>0</v>
      </c>
      <c r="AD47">
        <v>0</v>
      </c>
      <c r="AE47">
        <v>0</v>
      </c>
      <c r="AF47">
        <v>0</v>
      </c>
      <c r="AG47" t="s">
        <v>71</v>
      </c>
      <c r="AH47">
        <v>0</v>
      </c>
      <c r="AI47">
        <v>0</v>
      </c>
      <c r="AJ47">
        <v>0</v>
      </c>
      <c r="AK47">
        <v>0</v>
      </c>
      <c r="AL47" t="s">
        <v>108</v>
      </c>
      <c r="AM47" t="s">
        <v>93</v>
      </c>
      <c r="AN47" t="s">
        <v>94</v>
      </c>
      <c r="AO47" t="s">
        <v>92</v>
      </c>
      <c r="AP47">
        <v>0</v>
      </c>
      <c r="AQ47">
        <v>0</v>
      </c>
      <c r="AR47">
        <v>0</v>
      </c>
      <c r="AS47">
        <v>0</v>
      </c>
      <c r="AT47">
        <v>0</v>
      </c>
      <c r="AU47">
        <v>0</v>
      </c>
      <c r="AV47">
        <v>0</v>
      </c>
      <c r="AW47">
        <v>0</v>
      </c>
      <c r="AX47">
        <v>1</v>
      </c>
      <c r="AY47">
        <v>0</v>
      </c>
    </row>
    <row r="48" spans="1:51" x14ac:dyDescent="0.25">
      <c r="A48">
        <v>7</v>
      </c>
      <c r="B48">
        <v>5050</v>
      </c>
      <c r="C48" t="s">
        <v>735</v>
      </c>
      <c r="D48" t="s">
        <v>96</v>
      </c>
      <c r="E48" t="s">
        <v>121</v>
      </c>
      <c r="F48" t="s">
        <v>112</v>
      </c>
      <c r="G48" t="s">
        <v>101</v>
      </c>
      <c r="H48" t="s">
        <v>78</v>
      </c>
      <c r="I48" t="s">
        <v>79</v>
      </c>
      <c r="J48" t="s">
        <v>119</v>
      </c>
      <c r="K48" t="s">
        <v>75</v>
      </c>
      <c r="L48" t="s">
        <v>76</v>
      </c>
      <c r="M48" t="s">
        <v>103</v>
      </c>
      <c r="N48" t="s">
        <v>74</v>
      </c>
      <c r="O48" t="s">
        <v>104</v>
      </c>
      <c r="P48" t="s">
        <v>71</v>
      </c>
      <c r="Q48" t="s">
        <v>110</v>
      </c>
      <c r="R48" t="s">
        <v>71</v>
      </c>
      <c r="S48">
        <v>0</v>
      </c>
      <c r="T48">
        <v>0</v>
      </c>
      <c r="U48" t="s">
        <v>72</v>
      </c>
      <c r="V48" t="s">
        <v>73</v>
      </c>
      <c r="W48">
        <v>0</v>
      </c>
      <c r="X48">
        <v>0</v>
      </c>
      <c r="Y48">
        <v>0</v>
      </c>
      <c r="Z48">
        <v>0</v>
      </c>
      <c r="AA48">
        <v>0</v>
      </c>
      <c r="AB48">
        <v>0</v>
      </c>
      <c r="AC48">
        <v>0</v>
      </c>
      <c r="AD48">
        <v>0</v>
      </c>
      <c r="AE48">
        <v>0</v>
      </c>
      <c r="AF48">
        <v>0</v>
      </c>
      <c r="AG48" t="s">
        <v>71</v>
      </c>
      <c r="AH48">
        <v>0</v>
      </c>
      <c r="AI48">
        <v>0</v>
      </c>
      <c r="AJ48">
        <v>0</v>
      </c>
      <c r="AK48">
        <v>0</v>
      </c>
      <c r="AL48" t="s">
        <v>108</v>
      </c>
      <c r="AM48" t="s">
        <v>93</v>
      </c>
      <c r="AN48" t="s">
        <v>94</v>
      </c>
      <c r="AO48" t="s">
        <v>92</v>
      </c>
      <c r="AP48">
        <v>0</v>
      </c>
      <c r="AQ48">
        <v>0</v>
      </c>
      <c r="AR48">
        <v>0</v>
      </c>
      <c r="AS48">
        <v>0</v>
      </c>
      <c r="AT48">
        <v>0</v>
      </c>
      <c r="AU48">
        <v>0</v>
      </c>
      <c r="AV48">
        <v>0</v>
      </c>
      <c r="AW48">
        <v>0</v>
      </c>
      <c r="AX48">
        <v>1</v>
      </c>
      <c r="AY48">
        <v>0</v>
      </c>
    </row>
    <row r="49" spans="1:51" x14ac:dyDescent="0.25">
      <c r="A49">
        <v>7</v>
      </c>
      <c r="B49">
        <v>5060</v>
      </c>
      <c r="C49" t="s">
        <v>735</v>
      </c>
      <c r="D49" t="s">
        <v>96</v>
      </c>
      <c r="E49" t="s">
        <v>121</v>
      </c>
      <c r="F49" t="s">
        <v>111</v>
      </c>
      <c r="G49" t="s">
        <v>101</v>
      </c>
      <c r="H49" t="s">
        <v>78</v>
      </c>
      <c r="I49" t="s">
        <v>79</v>
      </c>
      <c r="J49" t="s">
        <v>119</v>
      </c>
      <c r="K49" t="s">
        <v>75</v>
      </c>
      <c r="L49" t="s">
        <v>76</v>
      </c>
      <c r="M49" t="s">
        <v>103</v>
      </c>
      <c r="N49" t="s">
        <v>74</v>
      </c>
      <c r="O49" t="s">
        <v>104</v>
      </c>
      <c r="P49" t="s">
        <v>71</v>
      </c>
      <c r="Q49" t="s">
        <v>110</v>
      </c>
      <c r="R49" t="s">
        <v>71</v>
      </c>
      <c r="S49">
        <v>0</v>
      </c>
      <c r="T49">
        <v>0</v>
      </c>
      <c r="U49" t="s">
        <v>72</v>
      </c>
      <c r="V49" t="s">
        <v>73</v>
      </c>
      <c r="W49">
        <v>0</v>
      </c>
      <c r="X49">
        <v>0</v>
      </c>
      <c r="Y49">
        <v>0</v>
      </c>
      <c r="Z49">
        <v>0</v>
      </c>
      <c r="AA49">
        <v>0</v>
      </c>
      <c r="AB49">
        <v>0</v>
      </c>
      <c r="AC49">
        <v>0</v>
      </c>
      <c r="AD49">
        <v>0</v>
      </c>
      <c r="AE49">
        <v>0</v>
      </c>
      <c r="AF49">
        <v>0</v>
      </c>
      <c r="AG49" t="s">
        <v>71</v>
      </c>
      <c r="AH49">
        <v>0</v>
      </c>
      <c r="AI49">
        <v>0</v>
      </c>
      <c r="AJ49">
        <v>0</v>
      </c>
      <c r="AK49">
        <v>0</v>
      </c>
      <c r="AL49" t="s">
        <v>108</v>
      </c>
      <c r="AM49" t="s">
        <v>93</v>
      </c>
      <c r="AN49" t="s">
        <v>94</v>
      </c>
      <c r="AO49" t="s">
        <v>92</v>
      </c>
      <c r="AP49">
        <v>0</v>
      </c>
      <c r="AQ49">
        <v>0</v>
      </c>
      <c r="AR49">
        <v>0</v>
      </c>
      <c r="AS49">
        <v>0</v>
      </c>
      <c r="AT49">
        <v>0</v>
      </c>
      <c r="AU49">
        <v>0</v>
      </c>
      <c r="AV49">
        <v>0</v>
      </c>
      <c r="AW49">
        <v>0</v>
      </c>
      <c r="AX49">
        <v>1</v>
      </c>
      <c r="AY49">
        <v>0</v>
      </c>
    </row>
    <row r="50" spans="1:51" x14ac:dyDescent="0.25">
      <c r="A50">
        <v>7</v>
      </c>
      <c r="B50">
        <v>5070</v>
      </c>
      <c r="C50" t="s">
        <v>735</v>
      </c>
      <c r="D50" t="s">
        <v>96</v>
      </c>
      <c r="E50" t="s">
        <v>121</v>
      </c>
      <c r="F50" t="s">
        <v>111</v>
      </c>
      <c r="G50" t="s">
        <v>101</v>
      </c>
      <c r="H50" t="s">
        <v>78</v>
      </c>
      <c r="I50" t="s">
        <v>79</v>
      </c>
      <c r="J50" t="s">
        <v>119</v>
      </c>
      <c r="K50" t="s">
        <v>75</v>
      </c>
      <c r="L50" t="s">
        <v>76</v>
      </c>
      <c r="M50" t="s">
        <v>103</v>
      </c>
      <c r="N50" t="s">
        <v>74</v>
      </c>
      <c r="O50" t="s">
        <v>104</v>
      </c>
      <c r="P50" t="s">
        <v>71</v>
      </c>
      <c r="Q50" t="s">
        <v>110</v>
      </c>
      <c r="R50" t="s">
        <v>71</v>
      </c>
      <c r="S50">
        <v>0</v>
      </c>
      <c r="T50">
        <v>0</v>
      </c>
      <c r="U50" t="s">
        <v>72</v>
      </c>
      <c r="V50" t="s">
        <v>73</v>
      </c>
      <c r="W50">
        <v>0</v>
      </c>
      <c r="X50">
        <v>0</v>
      </c>
      <c r="Y50">
        <v>0</v>
      </c>
      <c r="Z50">
        <v>0</v>
      </c>
      <c r="AA50">
        <v>0</v>
      </c>
      <c r="AB50">
        <v>0</v>
      </c>
      <c r="AC50">
        <v>0</v>
      </c>
      <c r="AD50">
        <v>0</v>
      </c>
      <c r="AE50">
        <v>0</v>
      </c>
      <c r="AF50">
        <v>0</v>
      </c>
      <c r="AG50" t="s">
        <v>71</v>
      </c>
      <c r="AH50">
        <v>0</v>
      </c>
      <c r="AI50">
        <v>0</v>
      </c>
      <c r="AJ50">
        <v>0</v>
      </c>
      <c r="AK50">
        <v>0</v>
      </c>
      <c r="AL50" t="s">
        <v>108</v>
      </c>
      <c r="AM50" t="s">
        <v>93</v>
      </c>
      <c r="AN50" t="s">
        <v>94</v>
      </c>
      <c r="AO50" t="s">
        <v>92</v>
      </c>
      <c r="AP50">
        <v>0</v>
      </c>
      <c r="AQ50">
        <v>0</v>
      </c>
      <c r="AR50">
        <v>0</v>
      </c>
      <c r="AS50">
        <v>0</v>
      </c>
      <c r="AT50">
        <v>0</v>
      </c>
      <c r="AU50">
        <v>0</v>
      </c>
      <c r="AV50">
        <v>0</v>
      </c>
      <c r="AW50">
        <v>0</v>
      </c>
      <c r="AX50">
        <v>1</v>
      </c>
      <c r="AY50">
        <v>0</v>
      </c>
    </row>
    <row r="51" spans="1:51" x14ac:dyDescent="0.25">
      <c r="A51">
        <v>7</v>
      </c>
      <c r="B51">
        <v>5080</v>
      </c>
      <c r="C51" t="s">
        <v>735</v>
      </c>
      <c r="D51" t="s">
        <v>96</v>
      </c>
      <c r="E51" t="s">
        <v>121</v>
      </c>
      <c r="F51" t="s">
        <v>111</v>
      </c>
      <c r="G51" t="s">
        <v>101</v>
      </c>
      <c r="H51" t="s">
        <v>78</v>
      </c>
      <c r="I51" t="s">
        <v>79</v>
      </c>
      <c r="J51" t="s">
        <v>119</v>
      </c>
      <c r="K51" t="s">
        <v>75</v>
      </c>
      <c r="L51" t="s">
        <v>76</v>
      </c>
      <c r="M51" t="s">
        <v>103</v>
      </c>
      <c r="N51" t="s">
        <v>74</v>
      </c>
      <c r="O51" t="s">
        <v>104</v>
      </c>
      <c r="P51" t="s">
        <v>71</v>
      </c>
      <c r="Q51" t="s">
        <v>71</v>
      </c>
      <c r="R51" t="s">
        <v>71</v>
      </c>
      <c r="S51">
        <v>0</v>
      </c>
      <c r="T51">
        <v>0</v>
      </c>
      <c r="U51" t="s">
        <v>72</v>
      </c>
      <c r="V51" t="s">
        <v>73</v>
      </c>
      <c r="W51">
        <v>0</v>
      </c>
      <c r="X51">
        <v>0</v>
      </c>
      <c r="Y51">
        <v>0</v>
      </c>
      <c r="Z51">
        <v>0</v>
      </c>
      <c r="AA51">
        <v>0</v>
      </c>
      <c r="AB51">
        <v>0</v>
      </c>
      <c r="AC51">
        <v>0</v>
      </c>
      <c r="AD51">
        <v>0</v>
      </c>
      <c r="AE51">
        <v>0</v>
      </c>
      <c r="AF51">
        <v>0</v>
      </c>
      <c r="AG51" t="s">
        <v>71</v>
      </c>
      <c r="AH51">
        <v>0</v>
      </c>
      <c r="AI51">
        <v>0</v>
      </c>
      <c r="AJ51">
        <v>0</v>
      </c>
      <c r="AK51">
        <v>0</v>
      </c>
      <c r="AL51" t="s">
        <v>108</v>
      </c>
      <c r="AM51" t="s">
        <v>93</v>
      </c>
      <c r="AN51" t="s">
        <v>94</v>
      </c>
      <c r="AO51" t="s">
        <v>92</v>
      </c>
      <c r="AP51">
        <v>0</v>
      </c>
      <c r="AQ51">
        <v>0</v>
      </c>
      <c r="AR51">
        <v>0</v>
      </c>
      <c r="AS51">
        <v>0</v>
      </c>
      <c r="AT51">
        <v>0</v>
      </c>
      <c r="AU51">
        <v>0</v>
      </c>
      <c r="AV51">
        <v>0</v>
      </c>
      <c r="AW51">
        <v>0</v>
      </c>
      <c r="AX51">
        <v>1</v>
      </c>
      <c r="AY51">
        <v>0</v>
      </c>
    </row>
    <row r="52" spans="1:51" x14ac:dyDescent="0.25">
      <c r="A52">
        <v>7</v>
      </c>
      <c r="B52">
        <v>5090</v>
      </c>
      <c r="C52" t="s">
        <v>735</v>
      </c>
      <c r="D52" t="s">
        <v>96</v>
      </c>
      <c r="E52" t="s">
        <v>121</v>
      </c>
      <c r="F52" t="s">
        <v>111</v>
      </c>
      <c r="G52" t="s">
        <v>101</v>
      </c>
      <c r="H52" t="s">
        <v>78</v>
      </c>
      <c r="I52" t="s">
        <v>79</v>
      </c>
      <c r="J52" t="s">
        <v>119</v>
      </c>
      <c r="K52" t="s">
        <v>75</v>
      </c>
      <c r="L52" t="s">
        <v>76</v>
      </c>
      <c r="M52" t="s">
        <v>103</v>
      </c>
      <c r="N52" t="s">
        <v>74</v>
      </c>
      <c r="O52" t="s">
        <v>104</v>
      </c>
      <c r="P52" t="s">
        <v>71</v>
      </c>
      <c r="Q52" t="s">
        <v>71</v>
      </c>
      <c r="R52" t="s">
        <v>71</v>
      </c>
      <c r="S52">
        <v>0</v>
      </c>
      <c r="T52">
        <v>0</v>
      </c>
      <c r="U52" t="s">
        <v>72</v>
      </c>
      <c r="V52" t="s">
        <v>73</v>
      </c>
      <c r="W52">
        <v>0</v>
      </c>
      <c r="X52">
        <v>0</v>
      </c>
      <c r="Y52">
        <v>0</v>
      </c>
      <c r="Z52">
        <v>0</v>
      </c>
      <c r="AA52">
        <v>0</v>
      </c>
      <c r="AB52">
        <v>0</v>
      </c>
      <c r="AC52">
        <v>0</v>
      </c>
      <c r="AD52">
        <v>0</v>
      </c>
      <c r="AE52">
        <v>0</v>
      </c>
      <c r="AF52">
        <v>0</v>
      </c>
      <c r="AG52" t="s">
        <v>71</v>
      </c>
      <c r="AH52">
        <v>0</v>
      </c>
      <c r="AI52">
        <v>0</v>
      </c>
      <c r="AJ52">
        <v>0</v>
      </c>
      <c r="AK52">
        <v>0</v>
      </c>
      <c r="AL52" t="s">
        <v>108</v>
      </c>
      <c r="AM52" t="s">
        <v>93</v>
      </c>
      <c r="AN52" t="s">
        <v>94</v>
      </c>
      <c r="AO52" t="s">
        <v>92</v>
      </c>
      <c r="AP52">
        <v>0</v>
      </c>
      <c r="AQ52">
        <v>0</v>
      </c>
      <c r="AR52">
        <v>0</v>
      </c>
      <c r="AS52">
        <v>0</v>
      </c>
      <c r="AT52">
        <v>0</v>
      </c>
      <c r="AU52">
        <v>0</v>
      </c>
      <c r="AV52">
        <v>0</v>
      </c>
      <c r="AW52">
        <v>0</v>
      </c>
      <c r="AX52">
        <v>1</v>
      </c>
      <c r="AY52">
        <v>0</v>
      </c>
    </row>
    <row r="53" spans="1:51" x14ac:dyDescent="0.25">
      <c r="A53">
        <v>7</v>
      </c>
      <c r="B53">
        <v>8060</v>
      </c>
      <c r="C53" t="s">
        <v>735</v>
      </c>
      <c r="D53" t="s">
        <v>96</v>
      </c>
      <c r="E53" t="s">
        <v>121</v>
      </c>
      <c r="F53" t="s">
        <v>111</v>
      </c>
      <c r="G53" t="s">
        <v>101</v>
      </c>
      <c r="H53" t="s">
        <v>78</v>
      </c>
      <c r="I53" t="s">
        <v>79</v>
      </c>
      <c r="J53" t="s">
        <v>119</v>
      </c>
      <c r="K53" t="s">
        <v>75</v>
      </c>
      <c r="L53" t="s">
        <v>76</v>
      </c>
      <c r="M53" t="s">
        <v>103</v>
      </c>
      <c r="N53" t="s">
        <v>74</v>
      </c>
      <c r="O53" t="s">
        <v>104</v>
      </c>
      <c r="P53" t="s">
        <v>71</v>
      </c>
      <c r="Q53" t="s">
        <v>71</v>
      </c>
      <c r="R53" t="s">
        <v>71</v>
      </c>
      <c r="S53">
        <v>0</v>
      </c>
      <c r="T53">
        <v>0</v>
      </c>
      <c r="U53" t="s">
        <v>72</v>
      </c>
      <c r="V53" t="s">
        <v>73</v>
      </c>
      <c r="W53">
        <v>0</v>
      </c>
      <c r="X53">
        <v>0</v>
      </c>
      <c r="Y53">
        <v>0</v>
      </c>
      <c r="Z53">
        <v>0</v>
      </c>
      <c r="AA53">
        <v>0</v>
      </c>
      <c r="AB53">
        <v>0</v>
      </c>
      <c r="AC53">
        <v>0</v>
      </c>
      <c r="AD53">
        <v>0</v>
      </c>
      <c r="AE53">
        <v>0</v>
      </c>
      <c r="AF53">
        <v>0</v>
      </c>
      <c r="AG53" t="s">
        <v>71</v>
      </c>
      <c r="AH53">
        <v>0</v>
      </c>
      <c r="AI53">
        <v>0</v>
      </c>
      <c r="AJ53">
        <v>0</v>
      </c>
      <c r="AK53">
        <v>0</v>
      </c>
      <c r="AL53" t="s">
        <v>108</v>
      </c>
      <c r="AM53" t="s">
        <v>93</v>
      </c>
      <c r="AN53" t="s">
        <v>94</v>
      </c>
      <c r="AO53" t="s">
        <v>92</v>
      </c>
      <c r="AP53">
        <v>0</v>
      </c>
      <c r="AQ53">
        <v>0</v>
      </c>
      <c r="AR53">
        <v>0</v>
      </c>
      <c r="AS53">
        <v>0</v>
      </c>
      <c r="AT53">
        <v>0</v>
      </c>
      <c r="AU53">
        <v>0</v>
      </c>
      <c r="AV53">
        <v>0</v>
      </c>
      <c r="AW53">
        <v>0</v>
      </c>
      <c r="AX53">
        <v>1</v>
      </c>
      <c r="AY53">
        <v>0</v>
      </c>
    </row>
    <row r="54" spans="1:51" x14ac:dyDescent="0.25">
      <c r="A54">
        <v>7</v>
      </c>
      <c r="B54">
        <v>8070</v>
      </c>
      <c r="C54" t="s">
        <v>735</v>
      </c>
      <c r="D54" t="s">
        <v>96</v>
      </c>
      <c r="E54" t="s">
        <v>121</v>
      </c>
      <c r="F54" t="s">
        <v>111</v>
      </c>
      <c r="G54" t="s">
        <v>101</v>
      </c>
      <c r="H54" t="s">
        <v>78</v>
      </c>
      <c r="I54" t="s">
        <v>79</v>
      </c>
      <c r="J54" t="s">
        <v>119</v>
      </c>
      <c r="K54" t="s">
        <v>75</v>
      </c>
      <c r="L54" t="s">
        <v>76</v>
      </c>
      <c r="M54" t="s">
        <v>103</v>
      </c>
      <c r="N54" t="s">
        <v>74</v>
      </c>
      <c r="O54" t="s">
        <v>104</v>
      </c>
      <c r="P54" t="s">
        <v>71</v>
      </c>
      <c r="Q54" t="s">
        <v>71</v>
      </c>
      <c r="R54" t="s">
        <v>71</v>
      </c>
      <c r="S54">
        <v>0</v>
      </c>
      <c r="T54">
        <v>0</v>
      </c>
      <c r="U54" t="s">
        <v>72</v>
      </c>
      <c r="V54" t="s">
        <v>73</v>
      </c>
      <c r="W54">
        <v>0</v>
      </c>
      <c r="X54">
        <v>0</v>
      </c>
      <c r="Y54">
        <v>0</v>
      </c>
      <c r="Z54">
        <v>0</v>
      </c>
      <c r="AA54">
        <v>0</v>
      </c>
      <c r="AB54">
        <v>0</v>
      </c>
      <c r="AC54">
        <v>0</v>
      </c>
      <c r="AD54">
        <v>0</v>
      </c>
      <c r="AE54">
        <v>0</v>
      </c>
      <c r="AF54">
        <v>0</v>
      </c>
      <c r="AG54" t="s">
        <v>71</v>
      </c>
      <c r="AH54">
        <v>0</v>
      </c>
      <c r="AI54">
        <v>0</v>
      </c>
      <c r="AJ54">
        <v>0</v>
      </c>
      <c r="AK54">
        <v>0</v>
      </c>
      <c r="AL54" t="s">
        <v>108</v>
      </c>
      <c r="AM54" t="s">
        <v>93</v>
      </c>
      <c r="AN54" t="s">
        <v>94</v>
      </c>
      <c r="AO54" t="s">
        <v>92</v>
      </c>
      <c r="AP54">
        <v>0</v>
      </c>
      <c r="AQ54">
        <v>0</v>
      </c>
      <c r="AR54">
        <v>0</v>
      </c>
      <c r="AS54">
        <v>0</v>
      </c>
      <c r="AT54">
        <v>0</v>
      </c>
      <c r="AU54">
        <v>0</v>
      </c>
      <c r="AV54">
        <v>0</v>
      </c>
      <c r="AW54">
        <v>0</v>
      </c>
      <c r="AX54">
        <v>0</v>
      </c>
      <c r="AY54">
        <v>0</v>
      </c>
    </row>
    <row r="55" spans="1:51" x14ac:dyDescent="0.25">
      <c r="A55">
        <v>7</v>
      </c>
      <c r="B55">
        <v>8080</v>
      </c>
      <c r="C55" t="s">
        <v>735</v>
      </c>
      <c r="D55" t="s">
        <v>96</v>
      </c>
      <c r="E55" t="s">
        <v>121</v>
      </c>
      <c r="F55" t="s">
        <v>111</v>
      </c>
      <c r="G55" t="s">
        <v>101</v>
      </c>
      <c r="H55" t="s">
        <v>78</v>
      </c>
      <c r="I55" t="s">
        <v>79</v>
      </c>
      <c r="J55" t="s">
        <v>119</v>
      </c>
      <c r="K55" t="s">
        <v>75</v>
      </c>
      <c r="L55" t="s">
        <v>76</v>
      </c>
      <c r="M55" t="s">
        <v>103</v>
      </c>
      <c r="N55" t="s">
        <v>74</v>
      </c>
      <c r="O55" t="s">
        <v>104</v>
      </c>
      <c r="P55" t="s">
        <v>71</v>
      </c>
      <c r="Q55" t="s">
        <v>71</v>
      </c>
      <c r="R55" t="s">
        <v>71</v>
      </c>
      <c r="S55">
        <v>0</v>
      </c>
      <c r="T55">
        <v>0</v>
      </c>
      <c r="U55" t="s">
        <v>72</v>
      </c>
      <c r="V55" t="s">
        <v>73</v>
      </c>
      <c r="W55">
        <v>0</v>
      </c>
      <c r="X55">
        <v>0</v>
      </c>
      <c r="Y55">
        <v>0</v>
      </c>
      <c r="Z55">
        <v>0</v>
      </c>
      <c r="AA55">
        <v>0</v>
      </c>
      <c r="AB55">
        <v>0</v>
      </c>
      <c r="AC55">
        <v>0</v>
      </c>
      <c r="AD55">
        <v>0</v>
      </c>
      <c r="AE55">
        <v>0</v>
      </c>
      <c r="AF55">
        <v>0</v>
      </c>
      <c r="AG55" t="s">
        <v>71</v>
      </c>
      <c r="AH55">
        <v>0</v>
      </c>
      <c r="AI55">
        <v>0</v>
      </c>
      <c r="AJ55">
        <v>0</v>
      </c>
      <c r="AK55">
        <v>0</v>
      </c>
      <c r="AL55" t="s">
        <v>108</v>
      </c>
      <c r="AM55" t="s">
        <v>93</v>
      </c>
      <c r="AN55" t="s">
        <v>94</v>
      </c>
      <c r="AO55" t="s">
        <v>92</v>
      </c>
      <c r="AP55">
        <v>0</v>
      </c>
      <c r="AQ55">
        <v>0</v>
      </c>
      <c r="AR55">
        <v>0</v>
      </c>
      <c r="AS55">
        <v>0</v>
      </c>
      <c r="AT55">
        <v>0</v>
      </c>
      <c r="AU55">
        <v>0</v>
      </c>
      <c r="AV55">
        <v>0</v>
      </c>
      <c r="AW55">
        <v>0</v>
      </c>
      <c r="AX55">
        <v>0</v>
      </c>
      <c r="AY55">
        <v>0</v>
      </c>
    </row>
    <row r="56" spans="1:51" x14ac:dyDescent="0.25">
      <c r="A56">
        <v>7</v>
      </c>
      <c r="B56">
        <v>10010</v>
      </c>
      <c r="C56" t="s">
        <v>735</v>
      </c>
      <c r="D56" t="s">
        <v>96</v>
      </c>
      <c r="E56" t="s">
        <v>121</v>
      </c>
      <c r="F56" t="s">
        <v>111</v>
      </c>
      <c r="G56" t="s">
        <v>101</v>
      </c>
      <c r="H56" t="s">
        <v>78</v>
      </c>
      <c r="I56" t="s">
        <v>79</v>
      </c>
      <c r="J56" t="s">
        <v>119</v>
      </c>
      <c r="K56" t="s">
        <v>75</v>
      </c>
      <c r="L56" t="s">
        <v>76</v>
      </c>
      <c r="M56" t="s">
        <v>103</v>
      </c>
      <c r="N56" t="s">
        <v>74</v>
      </c>
      <c r="O56" t="s">
        <v>104</v>
      </c>
      <c r="P56" t="s">
        <v>71</v>
      </c>
      <c r="Q56" t="s">
        <v>71</v>
      </c>
      <c r="R56" t="s">
        <v>71</v>
      </c>
      <c r="S56">
        <v>0</v>
      </c>
      <c r="T56">
        <v>0</v>
      </c>
      <c r="U56" t="s">
        <v>72</v>
      </c>
      <c r="V56" t="s">
        <v>73</v>
      </c>
      <c r="W56">
        <v>0</v>
      </c>
      <c r="X56">
        <v>0</v>
      </c>
      <c r="Y56">
        <v>0</v>
      </c>
      <c r="Z56">
        <v>0</v>
      </c>
      <c r="AA56">
        <v>0</v>
      </c>
      <c r="AB56">
        <v>0</v>
      </c>
      <c r="AC56">
        <v>0</v>
      </c>
      <c r="AD56">
        <v>0</v>
      </c>
      <c r="AE56">
        <v>0</v>
      </c>
      <c r="AF56">
        <v>0</v>
      </c>
      <c r="AG56" t="s">
        <v>71</v>
      </c>
      <c r="AH56">
        <v>0</v>
      </c>
      <c r="AI56">
        <v>0</v>
      </c>
      <c r="AJ56">
        <v>0</v>
      </c>
      <c r="AK56">
        <v>0</v>
      </c>
      <c r="AL56" t="s">
        <v>108</v>
      </c>
      <c r="AM56" t="s">
        <v>93</v>
      </c>
      <c r="AN56" t="s">
        <v>94</v>
      </c>
      <c r="AO56" t="s">
        <v>92</v>
      </c>
      <c r="AP56">
        <v>0</v>
      </c>
      <c r="AQ56">
        <v>0</v>
      </c>
      <c r="AR56">
        <v>0</v>
      </c>
      <c r="AS56">
        <v>0</v>
      </c>
      <c r="AT56">
        <v>0</v>
      </c>
      <c r="AU56">
        <v>0</v>
      </c>
      <c r="AV56">
        <v>0</v>
      </c>
      <c r="AW56">
        <v>0</v>
      </c>
      <c r="AX56">
        <v>0</v>
      </c>
      <c r="AY56">
        <v>0</v>
      </c>
    </row>
    <row r="57" spans="1:51" x14ac:dyDescent="0.25">
      <c r="A57">
        <v>7</v>
      </c>
      <c r="B57">
        <v>10020</v>
      </c>
      <c r="C57" t="s">
        <v>735</v>
      </c>
      <c r="D57" t="s">
        <v>96</v>
      </c>
      <c r="E57" t="s">
        <v>121</v>
      </c>
      <c r="F57" t="s">
        <v>111</v>
      </c>
      <c r="G57" t="s">
        <v>101</v>
      </c>
      <c r="H57" t="s">
        <v>78</v>
      </c>
      <c r="I57" t="s">
        <v>79</v>
      </c>
      <c r="J57" t="s">
        <v>119</v>
      </c>
      <c r="K57" t="s">
        <v>75</v>
      </c>
      <c r="L57" t="s">
        <v>76</v>
      </c>
      <c r="M57" t="s">
        <v>103</v>
      </c>
      <c r="N57" t="s">
        <v>74</v>
      </c>
      <c r="O57" t="s">
        <v>104</v>
      </c>
      <c r="P57" t="s">
        <v>71</v>
      </c>
      <c r="Q57" t="s">
        <v>71</v>
      </c>
      <c r="R57" t="s">
        <v>71</v>
      </c>
      <c r="S57">
        <v>0</v>
      </c>
      <c r="T57">
        <v>0</v>
      </c>
      <c r="U57" t="s">
        <v>72</v>
      </c>
      <c r="V57" t="s">
        <v>73</v>
      </c>
      <c r="W57">
        <v>0</v>
      </c>
      <c r="X57">
        <v>0</v>
      </c>
      <c r="Y57">
        <v>0</v>
      </c>
      <c r="Z57">
        <v>0</v>
      </c>
      <c r="AA57">
        <v>0</v>
      </c>
      <c r="AB57">
        <v>0</v>
      </c>
      <c r="AC57">
        <v>0</v>
      </c>
      <c r="AD57">
        <v>0</v>
      </c>
      <c r="AE57">
        <v>0</v>
      </c>
      <c r="AF57">
        <v>0</v>
      </c>
      <c r="AG57" t="s">
        <v>71</v>
      </c>
      <c r="AH57">
        <v>0</v>
      </c>
      <c r="AI57">
        <v>0</v>
      </c>
      <c r="AJ57">
        <v>0</v>
      </c>
      <c r="AK57">
        <v>0</v>
      </c>
      <c r="AL57" t="s">
        <v>108</v>
      </c>
      <c r="AM57" t="s">
        <v>93</v>
      </c>
      <c r="AN57" t="s">
        <v>94</v>
      </c>
      <c r="AO57" t="s">
        <v>92</v>
      </c>
      <c r="AP57">
        <v>0</v>
      </c>
      <c r="AQ57">
        <v>0</v>
      </c>
      <c r="AR57">
        <v>0</v>
      </c>
      <c r="AS57">
        <v>0</v>
      </c>
      <c r="AT57">
        <v>0</v>
      </c>
      <c r="AU57">
        <v>0</v>
      </c>
      <c r="AV57">
        <v>0</v>
      </c>
      <c r="AW57">
        <v>0</v>
      </c>
      <c r="AX57">
        <v>0</v>
      </c>
      <c r="AY57">
        <v>0</v>
      </c>
    </row>
    <row r="58" spans="1:51" x14ac:dyDescent="0.25">
      <c r="A58">
        <v>7</v>
      </c>
      <c r="B58">
        <v>10030</v>
      </c>
      <c r="C58" t="s">
        <v>735</v>
      </c>
      <c r="D58" t="s">
        <v>96</v>
      </c>
      <c r="E58" t="s">
        <v>121</v>
      </c>
      <c r="F58" t="s">
        <v>111</v>
      </c>
      <c r="G58" t="s">
        <v>101</v>
      </c>
      <c r="H58" t="s">
        <v>78</v>
      </c>
      <c r="I58" t="s">
        <v>79</v>
      </c>
      <c r="J58" t="s">
        <v>119</v>
      </c>
      <c r="K58" t="s">
        <v>75</v>
      </c>
      <c r="L58" t="s">
        <v>76</v>
      </c>
      <c r="M58" t="s">
        <v>103</v>
      </c>
      <c r="N58" t="s">
        <v>74</v>
      </c>
      <c r="O58" t="s">
        <v>104</v>
      </c>
      <c r="P58" t="s">
        <v>71</v>
      </c>
      <c r="Q58" t="s">
        <v>71</v>
      </c>
      <c r="R58" t="s">
        <v>71</v>
      </c>
      <c r="S58">
        <v>0</v>
      </c>
      <c r="T58">
        <v>0</v>
      </c>
      <c r="U58" t="s">
        <v>72</v>
      </c>
      <c r="V58" t="s">
        <v>73</v>
      </c>
      <c r="W58">
        <v>0</v>
      </c>
      <c r="X58">
        <v>0</v>
      </c>
      <c r="Y58">
        <v>0</v>
      </c>
      <c r="Z58">
        <v>0</v>
      </c>
      <c r="AA58">
        <v>0</v>
      </c>
      <c r="AB58">
        <v>0</v>
      </c>
      <c r="AC58">
        <v>0</v>
      </c>
      <c r="AD58">
        <v>0</v>
      </c>
      <c r="AE58">
        <v>0</v>
      </c>
      <c r="AF58">
        <v>0</v>
      </c>
      <c r="AG58" t="s">
        <v>71</v>
      </c>
      <c r="AH58">
        <v>0</v>
      </c>
      <c r="AI58">
        <v>0</v>
      </c>
      <c r="AJ58">
        <v>0</v>
      </c>
      <c r="AK58">
        <v>0</v>
      </c>
      <c r="AL58" t="s">
        <v>108</v>
      </c>
      <c r="AM58" t="s">
        <v>93</v>
      </c>
      <c r="AN58" t="s">
        <v>94</v>
      </c>
      <c r="AO58" t="s">
        <v>92</v>
      </c>
      <c r="AP58">
        <v>0</v>
      </c>
      <c r="AQ58">
        <v>0</v>
      </c>
      <c r="AR58">
        <v>0</v>
      </c>
      <c r="AS58">
        <v>0</v>
      </c>
      <c r="AT58">
        <v>0</v>
      </c>
      <c r="AU58">
        <v>0</v>
      </c>
      <c r="AV58">
        <v>0</v>
      </c>
      <c r="AW58">
        <v>0</v>
      </c>
      <c r="AX58">
        <v>0</v>
      </c>
      <c r="AY58">
        <v>0</v>
      </c>
    </row>
    <row r="59" spans="1:51" x14ac:dyDescent="0.25">
      <c r="A59">
        <v>7</v>
      </c>
      <c r="B59">
        <v>10040</v>
      </c>
      <c r="C59" t="s">
        <v>735</v>
      </c>
      <c r="D59" t="s">
        <v>96</v>
      </c>
      <c r="E59" t="s">
        <v>121</v>
      </c>
      <c r="F59" t="s">
        <v>111</v>
      </c>
      <c r="G59" t="s">
        <v>101</v>
      </c>
      <c r="H59" t="s">
        <v>78</v>
      </c>
      <c r="I59" t="s">
        <v>79</v>
      </c>
      <c r="J59" t="s">
        <v>119</v>
      </c>
      <c r="K59" t="s">
        <v>75</v>
      </c>
      <c r="L59" t="s">
        <v>76</v>
      </c>
      <c r="M59" t="s">
        <v>103</v>
      </c>
      <c r="N59" t="s">
        <v>74</v>
      </c>
      <c r="O59" t="s">
        <v>104</v>
      </c>
      <c r="P59" t="s">
        <v>110</v>
      </c>
      <c r="Q59" t="s">
        <v>71</v>
      </c>
      <c r="R59" t="s">
        <v>71</v>
      </c>
      <c r="S59">
        <v>0</v>
      </c>
      <c r="T59">
        <v>0</v>
      </c>
      <c r="U59" t="s">
        <v>72</v>
      </c>
      <c r="V59" t="s">
        <v>73</v>
      </c>
      <c r="W59">
        <v>0</v>
      </c>
      <c r="X59">
        <v>0</v>
      </c>
      <c r="Y59">
        <v>0</v>
      </c>
      <c r="Z59">
        <v>0</v>
      </c>
      <c r="AA59">
        <v>0</v>
      </c>
      <c r="AB59">
        <v>0</v>
      </c>
      <c r="AC59">
        <v>0</v>
      </c>
      <c r="AD59">
        <v>0</v>
      </c>
      <c r="AE59">
        <v>0</v>
      </c>
      <c r="AF59">
        <v>0</v>
      </c>
      <c r="AG59" t="s">
        <v>71</v>
      </c>
      <c r="AH59">
        <v>0</v>
      </c>
      <c r="AI59">
        <v>0</v>
      </c>
      <c r="AJ59">
        <v>0</v>
      </c>
      <c r="AK59">
        <v>0</v>
      </c>
      <c r="AL59" t="s">
        <v>108</v>
      </c>
      <c r="AM59" t="s">
        <v>93</v>
      </c>
      <c r="AN59" t="s">
        <v>94</v>
      </c>
      <c r="AO59" t="s">
        <v>92</v>
      </c>
      <c r="AP59">
        <v>0</v>
      </c>
      <c r="AQ59">
        <v>0</v>
      </c>
      <c r="AR59">
        <v>0</v>
      </c>
      <c r="AS59">
        <v>0</v>
      </c>
      <c r="AT59">
        <v>0</v>
      </c>
      <c r="AU59">
        <v>0</v>
      </c>
      <c r="AV59">
        <v>0</v>
      </c>
      <c r="AW59">
        <v>0</v>
      </c>
      <c r="AX59">
        <v>2</v>
      </c>
      <c r="AY59">
        <v>0</v>
      </c>
    </row>
    <row r="60" spans="1:51" x14ac:dyDescent="0.25">
      <c r="A60">
        <v>7</v>
      </c>
      <c r="B60">
        <v>10050</v>
      </c>
      <c r="C60" t="s">
        <v>735</v>
      </c>
      <c r="D60" t="s">
        <v>96</v>
      </c>
      <c r="E60" t="s">
        <v>121</v>
      </c>
      <c r="F60" t="s">
        <v>111</v>
      </c>
      <c r="G60" t="s">
        <v>101</v>
      </c>
      <c r="H60" t="s">
        <v>78</v>
      </c>
      <c r="I60" t="s">
        <v>79</v>
      </c>
      <c r="J60" t="s">
        <v>119</v>
      </c>
      <c r="K60" t="s">
        <v>75</v>
      </c>
      <c r="L60" t="s">
        <v>76</v>
      </c>
      <c r="M60" t="s">
        <v>103</v>
      </c>
      <c r="N60" t="s">
        <v>74</v>
      </c>
      <c r="O60" t="s">
        <v>104</v>
      </c>
      <c r="P60" t="s">
        <v>110</v>
      </c>
      <c r="Q60" t="s">
        <v>71</v>
      </c>
      <c r="R60" t="s">
        <v>71</v>
      </c>
      <c r="S60">
        <v>0</v>
      </c>
      <c r="T60">
        <v>0</v>
      </c>
      <c r="U60" t="s">
        <v>72</v>
      </c>
      <c r="V60" t="s">
        <v>73</v>
      </c>
      <c r="W60">
        <v>0</v>
      </c>
      <c r="X60">
        <v>0</v>
      </c>
      <c r="Y60">
        <v>0</v>
      </c>
      <c r="Z60">
        <v>0</v>
      </c>
      <c r="AA60">
        <v>0</v>
      </c>
      <c r="AB60">
        <v>0</v>
      </c>
      <c r="AC60">
        <v>0</v>
      </c>
      <c r="AD60">
        <v>0</v>
      </c>
      <c r="AE60">
        <v>0</v>
      </c>
      <c r="AF60">
        <v>0</v>
      </c>
      <c r="AG60" t="s">
        <v>71</v>
      </c>
      <c r="AH60">
        <v>0</v>
      </c>
      <c r="AI60">
        <v>0</v>
      </c>
      <c r="AJ60">
        <v>0</v>
      </c>
      <c r="AK60">
        <v>0</v>
      </c>
      <c r="AL60" t="s">
        <v>108</v>
      </c>
      <c r="AM60" t="s">
        <v>93</v>
      </c>
      <c r="AN60" t="s">
        <v>94</v>
      </c>
      <c r="AO60" t="s">
        <v>92</v>
      </c>
      <c r="AP60">
        <v>0</v>
      </c>
      <c r="AQ60">
        <v>0</v>
      </c>
      <c r="AR60">
        <v>0</v>
      </c>
      <c r="AS60">
        <v>0</v>
      </c>
      <c r="AT60">
        <v>0</v>
      </c>
      <c r="AU60">
        <v>0</v>
      </c>
      <c r="AV60">
        <v>0</v>
      </c>
      <c r="AW60">
        <v>0</v>
      </c>
      <c r="AX60">
        <v>2</v>
      </c>
      <c r="AY60">
        <v>0</v>
      </c>
    </row>
    <row r="61" spans="1:51" x14ac:dyDescent="0.25">
      <c r="A61">
        <v>7</v>
      </c>
      <c r="B61">
        <v>10060</v>
      </c>
      <c r="C61" t="s">
        <v>735</v>
      </c>
      <c r="D61" t="s">
        <v>96</v>
      </c>
      <c r="E61" t="s">
        <v>121</v>
      </c>
      <c r="F61" t="s">
        <v>111</v>
      </c>
      <c r="G61" t="s">
        <v>101</v>
      </c>
      <c r="H61" t="s">
        <v>78</v>
      </c>
      <c r="I61" t="s">
        <v>79</v>
      </c>
      <c r="J61" t="s">
        <v>119</v>
      </c>
      <c r="K61" t="s">
        <v>75</v>
      </c>
      <c r="L61" t="s">
        <v>76</v>
      </c>
      <c r="M61" t="s">
        <v>103</v>
      </c>
      <c r="N61" t="s">
        <v>74</v>
      </c>
      <c r="O61" t="s">
        <v>104</v>
      </c>
      <c r="P61" t="s">
        <v>110</v>
      </c>
      <c r="Q61" t="s">
        <v>71</v>
      </c>
      <c r="R61" t="s">
        <v>71</v>
      </c>
      <c r="S61">
        <v>0</v>
      </c>
      <c r="T61">
        <v>0</v>
      </c>
      <c r="U61" t="s">
        <v>72</v>
      </c>
      <c r="V61" t="s">
        <v>73</v>
      </c>
      <c r="W61">
        <v>0</v>
      </c>
      <c r="X61">
        <v>0</v>
      </c>
      <c r="Y61">
        <v>0</v>
      </c>
      <c r="Z61">
        <v>0</v>
      </c>
      <c r="AA61">
        <v>0</v>
      </c>
      <c r="AB61">
        <v>0</v>
      </c>
      <c r="AC61">
        <v>0</v>
      </c>
      <c r="AD61">
        <v>0</v>
      </c>
      <c r="AE61">
        <v>0</v>
      </c>
      <c r="AF61">
        <v>0</v>
      </c>
      <c r="AG61" t="s">
        <v>71</v>
      </c>
      <c r="AH61">
        <v>0</v>
      </c>
      <c r="AI61">
        <v>0</v>
      </c>
      <c r="AJ61">
        <v>0</v>
      </c>
      <c r="AK61">
        <v>0</v>
      </c>
      <c r="AL61" t="s">
        <v>108</v>
      </c>
      <c r="AM61" t="s">
        <v>93</v>
      </c>
      <c r="AN61" t="s">
        <v>94</v>
      </c>
      <c r="AO61" t="s">
        <v>92</v>
      </c>
      <c r="AP61">
        <v>0</v>
      </c>
      <c r="AQ61">
        <v>0</v>
      </c>
      <c r="AR61">
        <v>0</v>
      </c>
      <c r="AS61">
        <v>0</v>
      </c>
      <c r="AT61">
        <v>0</v>
      </c>
      <c r="AU61">
        <v>0</v>
      </c>
      <c r="AV61">
        <v>0</v>
      </c>
      <c r="AW61">
        <v>0</v>
      </c>
      <c r="AX61">
        <v>2</v>
      </c>
      <c r="AY61">
        <v>0</v>
      </c>
    </row>
    <row r="62" spans="1:51" x14ac:dyDescent="0.25">
      <c r="A62">
        <v>7</v>
      </c>
      <c r="B62">
        <v>10070</v>
      </c>
      <c r="C62" t="s">
        <v>735</v>
      </c>
      <c r="D62" t="s">
        <v>96</v>
      </c>
      <c r="E62" t="s">
        <v>121</v>
      </c>
      <c r="F62" t="s">
        <v>111</v>
      </c>
      <c r="G62" t="s">
        <v>101</v>
      </c>
      <c r="H62" t="s">
        <v>78</v>
      </c>
      <c r="I62" t="s">
        <v>79</v>
      </c>
      <c r="J62" t="s">
        <v>119</v>
      </c>
      <c r="K62" t="s">
        <v>75</v>
      </c>
      <c r="L62" t="s">
        <v>76</v>
      </c>
      <c r="M62" t="s">
        <v>103</v>
      </c>
      <c r="N62" t="s">
        <v>74</v>
      </c>
      <c r="O62" t="s">
        <v>104</v>
      </c>
      <c r="P62" t="s">
        <v>110</v>
      </c>
      <c r="Q62" t="s">
        <v>71</v>
      </c>
      <c r="R62" t="s">
        <v>71</v>
      </c>
      <c r="S62">
        <v>0</v>
      </c>
      <c r="T62">
        <v>0</v>
      </c>
      <c r="U62" t="s">
        <v>72</v>
      </c>
      <c r="V62" t="s">
        <v>73</v>
      </c>
      <c r="W62">
        <v>0</v>
      </c>
      <c r="X62">
        <v>0</v>
      </c>
      <c r="Y62">
        <v>0</v>
      </c>
      <c r="Z62">
        <v>0</v>
      </c>
      <c r="AA62">
        <v>0</v>
      </c>
      <c r="AB62">
        <v>0</v>
      </c>
      <c r="AC62">
        <v>0</v>
      </c>
      <c r="AD62">
        <v>0</v>
      </c>
      <c r="AE62">
        <v>0</v>
      </c>
      <c r="AF62">
        <v>0</v>
      </c>
      <c r="AG62" t="s">
        <v>71</v>
      </c>
      <c r="AH62">
        <v>0</v>
      </c>
      <c r="AI62">
        <v>0</v>
      </c>
      <c r="AJ62">
        <v>0</v>
      </c>
      <c r="AK62">
        <v>0</v>
      </c>
      <c r="AL62" t="s">
        <v>108</v>
      </c>
      <c r="AM62" t="s">
        <v>93</v>
      </c>
      <c r="AN62" t="s">
        <v>94</v>
      </c>
      <c r="AO62" t="s">
        <v>92</v>
      </c>
      <c r="AP62">
        <v>0</v>
      </c>
      <c r="AQ62">
        <v>0</v>
      </c>
      <c r="AR62">
        <v>0</v>
      </c>
      <c r="AS62">
        <v>0</v>
      </c>
      <c r="AT62">
        <v>0</v>
      </c>
      <c r="AU62">
        <v>0</v>
      </c>
      <c r="AV62">
        <v>0</v>
      </c>
      <c r="AW62">
        <v>0</v>
      </c>
      <c r="AX62">
        <v>2</v>
      </c>
      <c r="AY62">
        <v>0</v>
      </c>
    </row>
    <row r="63" spans="1:51" x14ac:dyDescent="0.25">
      <c r="A63">
        <v>7</v>
      </c>
      <c r="B63">
        <v>10080</v>
      </c>
      <c r="C63" t="s">
        <v>735</v>
      </c>
      <c r="D63" t="s">
        <v>96</v>
      </c>
      <c r="E63" t="s">
        <v>121</v>
      </c>
      <c r="F63" t="s">
        <v>111</v>
      </c>
      <c r="G63" t="s">
        <v>101</v>
      </c>
      <c r="H63" t="s">
        <v>78</v>
      </c>
      <c r="I63" t="s">
        <v>79</v>
      </c>
      <c r="J63" t="s">
        <v>119</v>
      </c>
      <c r="K63" t="s">
        <v>75</v>
      </c>
      <c r="L63" t="s">
        <v>76</v>
      </c>
      <c r="M63" t="s">
        <v>103</v>
      </c>
      <c r="N63" t="s">
        <v>74</v>
      </c>
      <c r="O63" t="s">
        <v>104</v>
      </c>
      <c r="P63" t="s">
        <v>71</v>
      </c>
      <c r="Q63" t="s">
        <v>71</v>
      </c>
      <c r="R63" t="s">
        <v>71</v>
      </c>
      <c r="S63">
        <v>0</v>
      </c>
      <c r="T63">
        <v>0</v>
      </c>
      <c r="U63" t="s">
        <v>72</v>
      </c>
      <c r="V63" t="s">
        <v>73</v>
      </c>
      <c r="W63">
        <v>0</v>
      </c>
      <c r="X63">
        <v>0</v>
      </c>
      <c r="Y63">
        <v>0</v>
      </c>
      <c r="Z63">
        <v>0</v>
      </c>
      <c r="AA63">
        <v>0</v>
      </c>
      <c r="AB63">
        <v>0</v>
      </c>
      <c r="AC63">
        <v>0</v>
      </c>
      <c r="AD63">
        <v>0</v>
      </c>
      <c r="AE63">
        <v>0</v>
      </c>
      <c r="AF63">
        <v>0</v>
      </c>
      <c r="AG63" t="s">
        <v>71</v>
      </c>
      <c r="AH63">
        <v>0</v>
      </c>
      <c r="AI63">
        <v>0</v>
      </c>
      <c r="AJ63">
        <v>0</v>
      </c>
      <c r="AK63">
        <v>0</v>
      </c>
      <c r="AL63" t="s">
        <v>108</v>
      </c>
      <c r="AM63" t="s">
        <v>93</v>
      </c>
      <c r="AN63" t="s">
        <v>94</v>
      </c>
      <c r="AO63" t="s">
        <v>92</v>
      </c>
      <c r="AP63">
        <v>0</v>
      </c>
      <c r="AQ63">
        <v>0</v>
      </c>
      <c r="AR63">
        <v>0</v>
      </c>
      <c r="AS63">
        <v>0</v>
      </c>
      <c r="AT63">
        <v>0</v>
      </c>
      <c r="AU63">
        <v>0</v>
      </c>
      <c r="AV63">
        <v>0</v>
      </c>
      <c r="AW63">
        <v>0</v>
      </c>
      <c r="AX63">
        <v>2</v>
      </c>
      <c r="AY63">
        <v>0</v>
      </c>
    </row>
    <row r="64" spans="1:51" x14ac:dyDescent="0.25">
      <c r="A64">
        <v>7</v>
      </c>
      <c r="B64">
        <v>13060</v>
      </c>
      <c r="C64" t="s">
        <v>735</v>
      </c>
      <c r="D64" t="s">
        <v>96</v>
      </c>
      <c r="E64" t="s">
        <v>121</v>
      </c>
      <c r="F64" t="s">
        <v>111</v>
      </c>
      <c r="G64" t="s">
        <v>101</v>
      </c>
      <c r="H64" t="s">
        <v>78</v>
      </c>
      <c r="I64" t="s">
        <v>79</v>
      </c>
      <c r="J64" t="s">
        <v>119</v>
      </c>
      <c r="K64" t="s">
        <v>75</v>
      </c>
      <c r="L64" t="s">
        <v>76</v>
      </c>
      <c r="M64" t="s">
        <v>103</v>
      </c>
      <c r="N64" t="s">
        <v>74</v>
      </c>
      <c r="O64" t="s">
        <v>104</v>
      </c>
      <c r="P64" t="s">
        <v>71</v>
      </c>
      <c r="Q64" t="s">
        <v>71</v>
      </c>
      <c r="R64" t="s">
        <v>71</v>
      </c>
      <c r="S64">
        <v>0</v>
      </c>
      <c r="T64">
        <v>0</v>
      </c>
      <c r="U64" t="s">
        <v>72</v>
      </c>
      <c r="V64" t="s">
        <v>73</v>
      </c>
      <c r="W64">
        <v>0</v>
      </c>
      <c r="X64">
        <v>0</v>
      </c>
      <c r="Y64">
        <v>0</v>
      </c>
      <c r="Z64">
        <v>0</v>
      </c>
      <c r="AA64">
        <v>0</v>
      </c>
      <c r="AB64">
        <v>0</v>
      </c>
      <c r="AC64">
        <v>0</v>
      </c>
      <c r="AD64">
        <v>0</v>
      </c>
      <c r="AE64">
        <v>0</v>
      </c>
      <c r="AF64">
        <v>0</v>
      </c>
      <c r="AG64" t="s">
        <v>71</v>
      </c>
      <c r="AH64">
        <v>0</v>
      </c>
      <c r="AI64">
        <v>0</v>
      </c>
      <c r="AJ64">
        <v>0</v>
      </c>
      <c r="AK64">
        <v>0</v>
      </c>
      <c r="AL64" t="s">
        <v>108</v>
      </c>
      <c r="AM64" t="s">
        <v>93</v>
      </c>
      <c r="AN64" t="s">
        <v>94</v>
      </c>
      <c r="AO64" t="s">
        <v>92</v>
      </c>
      <c r="AP64">
        <v>0</v>
      </c>
      <c r="AQ64">
        <v>0</v>
      </c>
      <c r="AR64">
        <v>0</v>
      </c>
      <c r="AS64">
        <v>0</v>
      </c>
      <c r="AT64">
        <v>0</v>
      </c>
      <c r="AU64">
        <v>0</v>
      </c>
      <c r="AV64">
        <v>0</v>
      </c>
      <c r="AW64">
        <v>0</v>
      </c>
      <c r="AX64">
        <v>2</v>
      </c>
      <c r="AY64">
        <v>0</v>
      </c>
    </row>
    <row r="65" spans="1:51" x14ac:dyDescent="0.25">
      <c r="A65">
        <v>7</v>
      </c>
      <c r="B65">
        <v>13070</v>
      </c>
      <c r="C65" t="s">
        <v>735</v>
      </c>
      <c r="D65" t="s">
        <v>96</v>
      </c>
      <c r="E65" t="s">
        <v>121</v>
      </c>
      <c r="F65" t="s">
        <v>111</v>
      </c>
      <c r="G65" t="s">
        <v>101</v>
      </c>
      <c r="H65" t="s">
        <v>78</v>
      </c>
      <c r="I65" t="s">
        <v>79</v>
      </c>
      <c r="J65" t="s">
        <v>119</v>
      </c>
      <c r="K65" t="s">
        <v>75</v>
      </c>
      <c r="L65" t="s">
        <v>76</v>
      </c>
      <c r="M65" t="s">
        <v>103</v>
      </c>
      <c r="N65" t="s">
        <v>74</v>
      </c>
      <c r="O65" t="s">
        <v>104</v>
      </c>
      <c r="P65" t="s">
        <v>71</v>
      </c>
      <c r="Q65" t="s">
        <v>71</v>
      </c>
      <c r="R65" t="s">
        <v>71</v>
      </c>
      <c r="S65">
        <v>0</v>
      </c>
      <c r="T65">
        <v>0</v>
      </c>
      <c r="U65" t="s">
        <v>72</v>
      </c>
      <c r="V65" t="s">
        <v>73</v>
      </c>
      <c r="W65">
        <v>0</v>
      </c>
      <c r="X65">
        <v>0</v>
      </c>
      <c r="Y65">
        <v>0</v>
      </c>
      <c r="Z65">
        <v>0</v>
      </c>
      <c r="AA65">
        <v>0</v>
      </c>
      <c r="AB65">
        <v>0</v>
      </c>
      <c r="AC65">
        <v>0</v>
      </c>
      <c r="AD65">
        <v>0</v>
      </c>
      <c r="AE65">
        <v>0</v>
      </c>
      <c r="AF65">
        <v>0</v>
      </c>
      <c r="AG65" t="s">
        <v>71</v>
      </c>
      <c r="AH65">
        <v>0</v>
      </c>
      <c r="AI65">
        <v>0</v>
      </c>
      <c r="AJ65">
        <v>0</v>
      </c>
      <c r="AK65">
        <v>0</v>
      </c>
      <c r="AL65" t="s">
        <v>108</v>
      </c>
      <c r="AM65" t="s">
        <v>93</v>
      </c>
      <c r="AN65" t="s">
        <v>94</v>
      </c>
      <c r="AO65" t="s">
        <v>92</v>
      </c>
      <c r="AP65">
        <v>0</v>
      </c>
      <c r="AQ65">
        <v>0</v>
      </c>
      <c r="AR65">
        <v>0</v>
      </c>
      <c r="AS65">
        <v>0</v>
      </c>
      <c r="AT65">
        <v>0</v>
      </c>
      <c r="AU65">
        <v>0</v>
      </c>
      <c r="AV65">
        <v>0</v>
      </c>
      <c r="AW65">
        <v>0</v>
      </c>
      <c r="AX65">
        <v>0</v>
      </c>
      <c r="AY65">
        <v>0</v>
      </c>
    </row>
    <row r="66" spans="1:51" x14ac:dyDescent="0.25">
      <c r="A66">
        <v>7</v>
      </c>
      <c r="B66">
        <v>13080</v>
      </c>
      <c r="C66" t="s">
        <v>735</v>
      </c>
      <c r="D66" t="s">
        <v>96</v>
      </c>
      <c r="E66" t="s">
        <v>121</v>
      </c>
      <c r="F66" t="s">
        <v>111</v>
      </c>
      <c r="G66" t="s">
        <v>101</v>
      </c>
      <c r="H66" t="s">
        <v>78</v>
      </c>
      <c r="I66" t="s">
        <v>79</v>
      </c>
      <c r="J66" t="s">
        <v>119</v>
      </c>
      <c r="K66" t="s">
        <v>75</v>
      </c>
      <c r="L66" t="s">
        <v>76</v>
      </c>
      <c r="M66" t="s">
        <v>103</v>
      </c>
      <c r="N66" t="s">
        <v>74</v>
      </c>
      <c r="O66" t="s">
        <v>104</v>
      </c>
      <c r="P66" t="s">
        <v>71</v>
      </c>
      <c r="Q66" t="s">
        <v>71</v>
      </c>
      <c r="R66" t="s">
        <v>71</v>
      </c>
      <c r="S66">
        <v>0</v>
      </c>
      <c r="T66">
        <v>0</v>
      </c>
      <c r="U66" t="s">
        <v>72</v>
      </c>
      <c r="V66" t="s">
        <v>73</v>
      </c>
      <c r="W66">
        <v>0</v>
      </c>
      <c r="X66">
        <v>0</v>
      </c>
      <c r="Y66">
        <v>0</v>
      </c>
      <c r="Z66">
        <v>0</v>
      </c>
      <c r="AA66">
        <v>0</v>
      </c>
      <c r="AB66">
        <v>0</v>
      </c>
      <c r="AC66">
        <v>0</v>
      </c>
      <c r="AD66">
        <v>0</v>
      </c>
      <c r="AE66">
        <v>0</v>
      </c>
      <c r="AF66">
        <v>0</v>
      </c>
      <c r="AG66" t="s">
        <v>71</v>
      </c>
      <c r="AH66">
        <v>0</v>
      </c>
      <c r="AI66">
        <v>0</v>
      </c>
      <c r="AJ66">
        <v>0</v>
      </c>
      <c r="AK66">
        <v>0</v>
      </c>
      <c r="AL66" t="s">
        <v>108</v>
      </c>
      <c r="AM66" t="s">
        <v>93</v>
      </c>
      <c r="AN66" t="s">
        <v>94</v>
      </c>
      <c r="AO66" t="s">
        <v>92</v>
      </c>
      <c r="AP66">
        <v>0</v>
      </c>
      <c r="AQ66">
        <v>0</v>
      </c>
      <c r="AR66">
        <v>0</v>
      </c>
      <c r="AS66">
        <v>0</v>
      </c>
      <c r="AT66">
        <v>0</v>
      </c>
      <c r="AU66">
        <v>0</v>
      </c>
      <c r="AV66">
        <v>0</v>
      </c>
      <c r="AW66">
        <v>0</v>
      </c>
      <c r="AX66">
        <v>0</v>
      </c>
      <c r="AY66">
        <v>0</v>
      </c>
    </row>
    <row r="67" spans="1:51" x14ac:dyDescent="0.25">
      <c r="A67">
        <v>7</v>
      </c>
      <c r="B67">
        <v>13090</v>
      </c>
      <c r="C67" t="s">
        <v>735</v>
      </c>
      <c r="D67" t="s">
        <v>96</v>
      </c>
      <c r="E67" t="s">
        <v>121</v>
      </c>
      <c r="F67" t="s">
        <v>111</v>
      </c>
      <c r="G67" t="s">
        <v>101</v>
      </c>
      <c r="H67" t="s">
        <v>78</v>
      </c>
      <c r="I67" t="s">
        <v>79</v>
      </c>
      <c r="J67" t="s">
        <v>119</v>
      </c>
      <c r="K67" t="s">
        <v>75</v>
      </c>
      <c r="L67" t="s">
        <v>76</v>
      </c>
      <c r="M67" t="s">
        <v>103</v>
      </c>
      <c r="N67" t="s">
        <v>74</v>
      </c>
      <c r="O67" t="s">
        <v>104</v>
      </c>
      <c r="P67" t="s">
        <v>71</v>
      </c>
      <c r="Q67" t="s">
        <v>71</v>
      </c>
      <c r="R67" t="s">
        <v>71</v>
      </c>
      <c r="S67">
        <v>0</v>
      </c>
      <c r="T67">
        <v>0</v>
      </c>
      <c r="U67" t="s">
        <v>72</v>
      </c>
      <c r="V67" t="s">
        <v>73</v>
      </c>
      <c r="W67">
        <v>0</v>
      </c>
      <c r="X67">
        <v>0</v>
      </c>
      <c r="Y67">
        <v>0</v>
      </c>
      <c r="Z67">
        <v>0</v>
      </c>
      <c r="AA67">
        <v>0</v>
      </c>
      <c r="AB67">
        <v>0</v>
      </c>
      <c r="AC67">
        <v>0</v>
      </c>
      <c r="AD67">
        <v>0</v>
      </c>
      <c r="AE67">
        <v>0</v>
      </c>
      <c r="AF67">
        <v>0</v>
      </c>
      <c r="AG67" t="s">
        <v>71</v>
      </c>
      <c r="AH67">
        <v>0</v>
      </c>
      <c r="AI67">
        <v>0</v>
      </c>
      <c r="AJ67">
        <v>0</v>
      </c>
      <c r="AK67">
        <v>0</v>
      </c>
      <c r="AL67" t="s">
        <v>108</v>
      </c>
      <c r="AM67" t="s">
        <v>93</v>
      </c>
      <c r="AN67" t="s">
        <v>94</v>
      </c>
      <c r="AO67" t="s">
        <v>92</v>
      </c>
      <c r="AP67">
        <v>0</v>
      </c>
      <c r="AQ67">
        <v>0</v>
      </c>
      <c r="AR67">
        <v>0</v>
      </c>
      <c r="AS67">
        <v>0</v>
      </c>
      <c r="AT67">
        <v>0</v>
      </c>
      <c r="AU67">
        <v>0</v>
      </c>
      <c r="AV67">
        <v>0</v>
      </c>
      <c r="AW67">
        <v>0</v>
      </c>
      <c r="AX67">
        <v>0</v>
      </c>
      <c r="AY67">
        <v>0</v>
      </c>
    </row>
    <row r="68" spans="1:51" x14ac:dyDescent="0.25">
      <c r="A68">
        <v>7</v>
      </c>
      <c r="B68">
        <v>13100</v>
      </c>
      <c r="C68" t="s">
        <v>735</v>
      </c>
      <c r="D68" t="s">
        <v>96</v>
      </c>
      <c r="E68" t="s">
        <v>121</v>
      </c>
      <c r="F68" t="s">
        <v>111</v>
      </c>
      <c r="G68" t="s">
        <v>101</v>
      </c>
      <c r="H68" t="s">
        <v>78</v>
      </c>
      <c r="I68" t="s">
        <v>79</v>
      </c>
      <c r="J68" t="s">
        <v>119</v>
      </c>
      <c r="K68" t="s">
        <v>75</v>
      </c>
      <c r="L68" t="s">
        <v>76</v>
      </c>
      <c r="M68" t="s">
        <v>103</v>
      </c>
      <c r="N68" t="s">
        <v>74</v>
      </c>
      <c r="O68" t="s">
        <v>104</v>
      </c>
      <c r="P68" t="s">
        <v>71</v>
      </c>
      <c r="Q68" t="s">
        <v>71</v>
      </c>
      <c r="R68" t="s">
        <v>71</v>
      </c>
      <c r="S68">
        <v>0</v>
      </c>
      <c r="T68">
        <v>0</v>
      </c>
      <c r="U68" t="s">
        <v>72</v>
      </c>
      <c r="V68" t="s">
        <v>73</v>
      </c>
      <c r="W68">
        <v>0</v>
      </c>
      <c r="X68">
        <v>0</v>
      </c>
      <c r="Y68">
        <v>0</v>
      </c>
      <c r="Z68">
        <v>0</v>
      </c>
      <c r="AA68">
        <v>0</v>
      </c>
      <c r="AB68">
        <v>0</v>
      </c>
      <c r="AC68">
        <v>0</v>
      </c>
      <c r="AD68">
        <v>0</v>
      </c>
      <c r="AE68">
        <v>0</v>
      </c>
      <c r="AF68">
        <v>0</v>
      </c>
      <c r="AG68" t="s">
        <v>71</v>
      </c>
      <c r="AH68">
        <v>0</v>
      </c>
      <c r="AI68">
        <v>0</v>
      </c>
      <c r="AJ68">
        <v>0</v>
      </c>
      <c r="AK68">
        <v>0</v>
      </c>
      <c r="AL68" t="s">
        <v>108</v>
      </c>
      <c r="AM68" t="s">
        <v>93</v>
      </c>
      <c r="AN68" t="s">
        <v>94</v>
      </c>
      <c r="AO68" t="s">
        <v>92</v>
      </c>
      <c r="AP68">
        <v>0</v>
      </c>
      <c r="AQ68">
        <v>0</v>
      </c>
      <c r="AR68">
        <v>0</v>
      </c>
      <c r="AS68">
        <v>0</v>
      </c>
      <c r="AT68">
        <v>0</v>
      </c>
      <c r="AU68">
        <v>0</v>
      </c>
      <c r="AV68">
        <v>0</v>
      </c>
      <c r="AW68">
        <v>0</v>
      </c>
      <c r="AX68">
        <v>0</v>
      </c>
      <c r="AY68">
        <v>0</v>
      </c>
    </row>
    <row r="69" spans="1:51" x14ac:dyDescent="0.25">
      <c r="A69">
        <v>7</v>
      </c>
      <c r="B69">
        <v>13110</v>
      </c>
      <c r="C69" t="s">
        <v>735</v>
      </c>
      <c r="D69" t="s">
        <v>96</v>
      </c>
      <c r="E69" t="s">
        <v>121</v>
      </c>
      <c r="F69" t="s">
        <v>111</v>
      </c>
      <c r="G69" t="s">
        <v>101</v>
      </c>
      <c r="H69" t="s">
        <v>78</v>
      </c>
      <c r="I69" t="s">
        <v>79</v>
      </c>
      <c r="J69" t="s">
        <v>119</v>
      </c>
      <c r="K69" t="s">
        <v>75</v>
      </c>
      <c r="L69" t="s">
        <v>76</v>
      </c>
      <c r="M69" t="s">
        <v>103</v>
      </c>
      <c r="N69" t="s">
        <v>74</v>
      </c>
      <c r="O69" t="s">
        <v>104</v>
      </c>
      <c r="P69" t="s">
        <v>71</v>
      </c>
      <c r="Q69" t="s">
        <v>71</v>
      </c>
      <c r="R69" t="s">
        <v>110</v>
      </c>
      <c r="S69">
        <v>0</v>
      </c>
      <c r="T69">
        <v>0</v>
      </c>
      <c r="U69" t="s">
        <v>72</v>
      </c>
      <c r="V69" t="s">
        <v>73</v>
      </c>
      <c r="W69">
        <v>0</v>
      </c>
      <c r="X69">
        <v>0</v>
      </c>
      <c r="Y69">
        <v>0</v>
      </c>
      <c r="Z69">
        <v>0</v>
      </c>
      <c r="AA69">
        <v>0</v>
      </c>
      <c r="AB69">
        <v>0</v>
      </c>
      <c r="AC69">
        <v>0</v>
      </c>
      <c r="AD69">
        <v>0</v>
      </c>
      <c r="AE69">
        <v>0</v>
      </c>
      <c r="AF69">
        <v>0</v>
      </c>
      <c r="AG69" t="s">
        <v>71</v>
      </c>
      <c r="AH69">
        <v>0</v>
      </c>
      <c r="AI69">
        <v>0</v>
      </c>
      <c r="AJ69">
        <v>0</v>
      </c>
      <c r="AK69">
        <v>0</v>
      </c>
      <c r="AL69" t="s">
        <v>108</v>
      </c>
      <c r="AM69" t="s">
        <v>93</v>
      </c>
      <c r="AN69" t="s">
        <v>94</v>
      </c>
      <c r="AO69" t="s">
        <v>92</v>
      </c>
      <c r="AP69">
        <v>0</v>
      </c>
      <c r="AQ69">
        <v>0</v>
      </c>
      <c r="AR69">
        <v>0</v>
      </c>
      <c r="AS69">
        <v>0</v>
      </c>
      <c r="AT69">
        <v>0</v>
      </c>
      <c r="AU69">
        <v>0</v>
      </c>
      <c r="AV69">
        <v>0</v>
      </c>
      <c r="AW69">
        <v>0</v>
      </c>
      <c r="AX69">
        <v>4</v>
      </c>
      <c r="AY69">
        <v>0</v>
      </c>
    </row>
    <row r="70" spans="1:51" x14ac:dyDescent="0.25">
      <c r="A70">
        <v>7</v>
      </c>
      <c r="B70">
        <v>13120</v>
      </c>
      <c r="C70" t="s">
        <v>735</v>
      </c>
      <c r="D70" t="s">
        <v>96</v>
      </c>
      <c r="E70" t="s">
        <v>121</v>
      </c>
      <c r="F70" t="s">
        <v>111</v>
      </c>
      <c r="G70" t="s">
        <v>101</v>
      </c>
      <c r="H70" t="s">
        <v>78</v>
      </c>
      <c r="I70" t="s">
        <v>79</v>
      </c>
      <c r="J70" t="s">
        <v>119</v>
      </c>
      <c r="K70" t="s">
        <v>75</v>
      </c>
      <c r="L70" t="s">
        <v>76</v>
      </c>
      <c r="M70" t="s">
        <v>103</v>
      </c>
      <c r="N70" t="s">
        <v>74</v>
      </c>
      <c r="O70" t="s">
        <v>104</v>
      </c>
      <c r="P70" t="s">
        <v>71</v>
      </c>
      <c r="Q70" t="s">
        <v>71</v>
      </c>
      <c r="R70" t="s">
        <v>110</v>
      </c>
      <c r="S70">
        <v>0</v>
      </c>
      <c r="T70">
        <v>0</v>
      </c>
      <c r="U70" t="s">
        <v>72</v>
      </c>
      <c r="V70" t="s">
        <v>73</v>
      </c>
      <c r="W70">
        <v>0</v>
      </c>
      <c r="X70">
        <v>0</v>
      </c>
      <c r="Y70">
        <v>0</v>
      </c>
      <c r="Z70">
        <v>0</v>
      </c>
      <c r="AA70">
        <v>0</v>
      </c>
      <c r="AB70">
        <v>0</v>
      </c>
      <c r="AC70">
        <v>0</v>
      </c>
      <c r="AD70">
        <v>0</v>
      </c>
      <c r="AE70">
        <v>0</v>
      </c>
      <c r="AF70">
        <v>0</v>
      </c>
      <c r="AG70" t="s">
        <v>71</v>
      </c>
      <c r="AH70">
        <v>0</v>
      </c>
      <c r="AI70">
        <v>0</v>
      </c>
      <c r="AJ70">
        <v>0</v>
      </c>
      <c r="AK70">
        <v>0</v>
      </c>
      <c r="AL70" t="s">
        <v>108</v>
      </c>
      <c r="AM70" t="s">
        <v>93</v>
      </c>
      <c r="AN70" t="s">
        <v>94</v>
      </c>
      <c r="AO70" t="s">
        <v>92</v>
      </c>
      <c r="AP70">
        <v>0</v>
      </c>
      <c r="AQ70">
        <v>0</v>
      </c>
      <c r="AR70">
        <v>0</v>
      </c>
      <c r="AS70">
        <v>0</v>
      </c>
      <c r="AT70">
        <v>0</v>
      </c>
      <c r="AU70">
        <v>0</v>
      </c>
      <c r="AV70">
        <v>0</v>
      </c>
      <c r="AW70">
        <v>0</v>
      </c>
      <c r="AX70">
        <v>4</v>
      </c>
      <c r="AY70">
        <v>0</v>
      </c>
    </row>
    <row r="71" spans="1:51" x14ac:dyDescent="0.25">
      <c r="A71">
        <v>7</v>
      </c>
      <c r="B71">
        <v>13130</v>
      </c>
      <c r="C71" t="s">
        <v>735</v>
      </c>
      <c r="D71" t="s">
        <v>96</v>
      </c>
      <c r="E71" t="s">
        <v>121</v>
      </c>
      <c r="F71" t="s">
        <v>111</v>
      </c>
      <c r="G71" t="s">
        <v>101</v>
      </c>
      <c r="H71" t="s">
        <v>78</v>
      </c>
      <c r="I71" t="s">
        <v>79</v>
      </c>
      <c r="J71" t="s">
        <v>119</v>
      </c>
      <c r="K71" t="s">
        <v>75</v>
      </c>
      <c r="L71" t="s">
        <v>76</v>
      </c>
      <c r="M71" t="s">
        <v>103</v>
      </c>
      <c r="N71" t="s">
        <v>74</v>
      </c>
      <c r="O71" t="s">
        <v>104</v>
      </c>
      <c r="P71" t="s">
        <v>71</v>
      </c>
      <c r="Q71" t="s">
        <v>71</v>
      </c>
      <c r="R71" t="s">
        <v>110</v>
      </c>
      <c r="S71">
        <v>0</v>
      </c>
      <c r="T71">
        <v>0</v>
      </c>
      <c r="U71" t="s">
        <v>72</v>
      </c>
      <c r="V71" t="s">
        <v>73</v>
      </c>
      <c r="W71">
        <v>0</v>
      </c>
      <c r="X71">
        <v>0</v>
      </c>
      <c r="Y71">
        <v>0</v>
      </c>
      <c r="Z71">
        <v>0</v>
      </c>
      <c r="AA71">
        <v>0</v>
      </c>
      <c r="AB71">
        <v>0</v>
      </c>
      <c r="AC71">
        <v>0</v>
      </c>
      <c r="AD71">
        <v>0</v>
      </c>
      <c r="AE71">
        <v>0</v>
      </c>
      <c r="AF71">
        <v>0</v>
      </c>
      <c r="AG71" t="s">
        <v>71</v>
      </c>
      <c r="AH71">
        <v>0</v>
      </c>
      <c r="AI71">
        <v>0</v>
      </c>
      <c r="AJ71">
        <v>0</v>
      </c>
      <c r="AK71">
        <v>0</v>
      </c>
      <c r="AL71" t="s">
        <v>108</v>
      </c>
      <c r="AM71" t="s">
        <v>93</v>
      </c>
      <c r="AN71" t="s">
        <v>94</v>
      </c>
      <c r="AO71" t="s">
        <v>92</v>
      </c>
      <c r="AP71">
        <v>0</v>
      </c>
      <c r="AQ71">
        <v>0</v>
      </c>
      <c r="AR71">
        <v>0</v>
      </c>
      <c r="AS71">
        <v>0</v>
      </c>
      <c r="AT71">
        <v>0</v>
      </c>
      <c r="AU71">
        <v>0</v>
      </c>
      <c r="AV71">
        <v>0</v>
      </c>
      <c r="AW71">
        <v>0</v>
      </c>
      <c r="AX71">
        <v>4</v>
      </c>
      <c r="AY71">
        <v>0</v>
      </c>
    </row>
    <row r="72" spans="1:51" x14ac:dyDescent="0.25">
      <c r="A72">
        <v>7</v>
      </c>
      <c r="B72">
        <v>13140</v>
      </c>
      <c r="C72" t="s">
        <v>735</v>
      </c>
      <c r="D72" t="s">
        <v>96</v>
      </c>
      <c r="E72" t="s">
        <v>121</v>
      </c>
      <c r="F72" t="s">
        <v>111</v>
      </c>
      <c r="G72" t="s">
        <v>101</v>
      </c>
      <c r="H72" t="s">
        <v>78</v>
      </c>
      <c r="I72" t="s">
        <v>79</v>
      </c>
      <c r="J72" t="s">
        <v>119</v>
      </c>
      <c r="K72" t="s">
        <v>75</v>
      </c>
      <c r="L72" t="s">
        <v>76</v>
      </c>
      <c r="M72" t="s">
        <v>103</v>
      </c>
      <c r="N72" t="s">
        <v>74</v>
      </c>
      <c r="O72" t="s">
        <v>104</v>
      </c>
      <c r="P72" t="s">
        <v>71</v>
      </c>
      <c r="Q72" t="s">
        <v>71</v>
      </c>
      <c r="R72" t="s">
        <v>110</v>
      </c>
      <c r="S72">
        <v>0</v>
      </c>
      <c r="T72">
        <v>0</v>
      </c>
      <c r="U72" t="s">
        <v>72</v>
      </c>
      <c r="V72" t="s">
        <v>73</v>
      </c>
      <c r="W72">
        <v>0</v>
      </c>
      <c r="X72">
        <v>0</v>
      </c>
      <c r="Y72">
        <v>0</v>
      </c>
      <c r="Z72">
        <v>0</v>
      </c>
      <c r="AA72">
        <v>0</v>
      </c>
      <c r="AB72">
        <v>0</v>
      </c>
      <c r="AC72">
        <v>0</v>
      </c>
      <c r="AD72">
        <v>0</v>
      </c>
      <c r="AE72">
        <v>0</v>
      </c>
      <c r="AF72">
        <v>0</v>
      </c>
      <c r="AG72" t="s">
        <v>71</v>
      </c>
      <c r="AH72">
        <v>0</v>
      </c>
      <c r="AI72">
        <v>0</v>
      </c>
      <c r="AJ72">
        <v>0</v>
      </c>
      <c r="AK72">
        <v>0</v>
      </c>
      <c r="AL72" t="s">
        <v>108</v>
      </c>
      <c r="AM72" t="s">
        <v>93</v>
      </c>
      <c r="AN72" t="s">
        <v>94</v>
      </c>
      <c r="AO72" t="s">
        <v>92</v>
      </c>
      <c r="AP72">
        <v>0</v>
      </c>
      <c r="AQ72">
        <v>0</v>
      </c>
      <c r="AR72">
        <v>0</v>
      </c>
      <c r="AS72">
        <v>0</v>
      </c>
      <c r="AT72">
        <v>0</v>
      </c>
      <c r="AU72">
        <v>0</v>
      </c>
      <c r="AV72">
        <v>0</v>
      </c>
      <c r="AW72">
        <v>0</v>
      </c>
      <c r="AX72">
        <v>4</v>
      </c>
      <c r="AY72">
        <v>0</v>
      </c>
    </row>
    <row r="73" spans="1:51" x14ac:dyDescent="0.25">
      <c r="A73">
        <v>7</v>
      </c>
      <c r="B73">
        <v>13150</v>
      </c>
      <c r="C73" t="s">
        <v>735</v>
      </c>
      <c r="D73" t="s">
        <v>96</v>
      </c>
      <c r="E73" t="s">
        <v>121</v>
      </c>
      <c r="F73" t="s">
        <v>111</v>
      </c>
      <c r="G73" t="s">
        <v>101</v>
      </c>
      <c r="H73" t="s">
        <v>78</v>
      </c>
      <c r="I73" t="s">
        <v>79</v>
      </c>
      <c r="J73" t="s">
        <v>119</v>
      </c>
      <c r="K73" t="s">
        <v>75</v>
      </c>
      <c r="L73" t="s">
        <v>76</v>
      </c>
      <c r="M73" t="s">
        <v>103</v>
      </c>
      <c r="N73" t="s">
        <v>74</v>
      </c>
      <c r="O73" t="s">
        <v>104</v>
      </c>
      <c r="P73" t="s">
        <v>71</v>
      </c>
      <c r="Q73" t="s">
        <v>71</v>
      </c>
      <c r="R73" t="s">
        <v>71</v>
      </c>
      <c r="S73">
        <v>0</v>
      </c>
      <c r="T73">
        <v>0</v>
      </c>
      <c r="U73" t="s">
        <v>72</v>
      </c>
      <c r="V73" t="s">
        <v>73</v>
      </c>
      <c r="W73">
        <v>0</v>
      </c>
      <c r="X73">
        <v>0</v>
      </c>
      <c r="Y73">
        <v>0</v>
      </c>
      <c r="Z73">
        <v>0</v>
      </c>
      <c r="AA73">
        <v>0</v>
      </c>
      <c r="AB73">
        <v>0</v>
      </c>
      <c r="AC73">
        <v>0</v>
      </c>
      <c r="AD73">
        <v>0</v>
      </c>
      <c r="AE73">
        <v>0</v>
      </c>
      <c r="AF73">
        <v>0</v>
      </c>
      <c r="AG73" t="s">
        <v>71</v>
      </c>
      <c r="AH73">
        <v>0</v>
      </c>
      <c r="AI73">
        <v>0</v>
      </c>
      <c r="AJ73">
        <v>0</v>
      </c>
      <c r="AK73">
        <v>0</v>
      </c>
      <c r="AL73" t="s">
        <v>108</v>
      </c>
      <c r="AM73" t="s">
        <v>93</v>
      </c>
      <c r="AN73" t="s">
        <v>94</v>
      </c>
      <c r="AO73" t="s">
        <v>92</v>
      </c>
      <c r="AP73">
        <v>0</v>
      </c>
      <c r="AQ73">
        <v>0</v>
      </c>
      <c r="AR73">
        <v>0</v>
      </c>
      <c r="AS73">
        <v>0</v>
      </c>
      <c r="AT73">
        <v>0</v>
      </c>
      <c r="AU73">
        <v>0</v>
      </c>
      <c r="AV73">
        <v>0</v>
      </c>
      <c r="AW73">
        <v>0</v>
      </c>
      <c r="AX73">
        <v>4</v>
      </c>
      <c r="AY73">
        <v>0</v>
      </c>
    </row>
    <row r="74" spans="1:51" x14ac:dyDescent="0.25">
      <c r="A74">
        <v>7</v>
      </c>
      <c r="B74">
        <v>16130</v>
      </c>
      <c r="C74" t="s">
        <v>735</v>
      </c>
      <c r="D74" t="s">
        <v>96</v>
      </c>
      <c r="E74" t="s">
        <v>121</v>
      </c>
      <c r="F74" t="s">
        <v>111</v>
      </c>
      <c r="G74" t="s">
        <v>101</v>
      </c>
      <c r="H74" t="s">
        <v>78</v>
      </c>
      <c r="I74" t="s">
        <v>79</v>
      </c>
      <c r="J74" t="s">
        <v>119</v>
      </c>
      <c r="K74" t="s">
        <v>75</v>
      </c>
      <c r="L74" t="s">
        <v>76</v>
      </c>
      <c r="M74" t="s">
        <v>103</v>
      </c>
      <c r="N74" t="s">
        <v>74</v>
      </c>
      <c r="O74" t="s">
        <v>104</v>
      </c>
      <c r="P74" t="s">
        <v>71</v>
      </c>
      <c r="Q74" t="s">
        <v>71</v>
      </c>
      <c r="R74" t="s">
        <v>71</v>
      </c>
      <c r="S74">
        <v>0</v>
      </c>
      <c r="T74">
        <v>0</v>
      </c>
      <c r="U74" t="s">
        <v>72</v>
      </c>
      <c r="V74" t="s">
        <v>73</v>
      </c>
      <c r="W74">
        <v>0</v>
      </c>
      <c r="X74">
        <v>0</v>
      </c>
      <c r="Y74">
        <v>0</v>
      </c>
      <c r="Z74">
        <v>0</v>
      </c>
      <c r="AA74">
        <v>0</v>
      </c>
      <c r="AB74">
        <v>0</v>
      </c>
      <c r="AC74">
        <v>0</v>
      </c>
      <c r="AD74">
        <v>0</v>
      </c>
      <c r="AE74">
        <v>0</v>
      </c>
      <c r="AF74">
        <v>0</v>
      </c>
      <c r="AG74" t="s">
        <v>71</v>
      </c>
      <c r="AH74">
        <v>0</v>
      </c>
      <c r="AI74">
        <v>0</v>
      </c>
      <c r="AJ74">
        <v>0</v>
      </c>
      <c r="AK74">
        <v>0</v>
      </c>
      <c r="AL74" t="s">
        <v>108</v>
      </c>
      <c r="AM74" t="s">
        <v>93</v>
      </c>
      <c r="AN74" t="s">
        <v>94</v>
      </c>
      <c r="AO74" t="s">
        <v>92</v>
      </c>
      <c r="AP74">
        <v>0</v>
      </c>
      <c r="AQ74">
        <v>0</v>
      </c>
      <c r="AR74">
        <v>0</v>
      </c>
      <c r="AS74">
        <v>0</v>
      </c>
      <c r="AT74">
        <v>0</v>
      </c>
      <c r="AU74">
        <v>0</v>
      </c>
      <c r="AV74">
        <v>0</v>
      </c>
      <c r="AW74">
        <v>0</v>
      </c>
      <c r="AX74">
        <v>4</v>
      </c>
      <c r="AY74">
        <v>0</v>
      </c>
    </row>
    <row r="75" spans="1:51" x14ac:dyDescent="0.25">
      <c r="A75">
        <v>7</v>
      </c>
      <c r="B75">
        <v>16140</v>
      </c>
      <c r="C75" t="s">
        <v>735</v>
      </c>
      <c r="D75" t="s">
        <v>96</v>
      </c>
      <c r="E75" t="s">
        <v>121</v>
      </c>
      <c r="F75" t="s">
        <v>111</v>
      </c>
      <c r="G75" t="s">
        <v>101</v>
      </c>
      <c r="H75" t="s">
        <v>78</v>
      </c>
      <c r="I75" t="s">
        <v>79</v>
      </c>
      <c r="J75" t="s">
        <v>119</v>
      </c>
      <c r="K75" t="s">
        <v>75</v>
      </c>
      <c r="L75" t="s">
        <v>76</v>
      </c>
      <c r="M75" t="s">
        <v>103</v>
      </c>
      <c r="N75" t="s">
        <v>74</v>
      </c>
      <c r="O75" t="s">
        <v>104</v>
      </c>
      <c r="P75" t="s">
        <v>71</v>
      </c>
      <c r="Q75" t="s">
        <v>71</v>
      </c>
      <c r="R75" t="s">
        <v>71</v>
      </c>
      <c r="S75">
        <v>0</v>
      </c>
      <c r="T75">
        <v>0</v>
      </c>
      <c r="U75" t="s">
        <v>72</v>
      </c>
      <c r="V75" t="s">
        <v>73</v>
      </c>
      <c r="W75">
        <v>0</v>
      </c>
      <c r="X75">
        <v>0</v>
      </c>
      <c r="Y75">
        <v>0</v>
      </c>
      <c r="Z75">
        <v>0</v>
      </c>
      <c r="AA75">
        <v>0</v>
      </c>
      <c r="AB75">
        <v>0</v>
      </c>
      <c r="AC75">
        <v>0</v>
      </c>
      <c r="AD75">
        <v>0</v>
      </c>
      <c r="AE75">
        <v>0</v>
      </c>
      <c r="AF75">
        <v>0</v>
      </c>
      <c r="AG75" t="s">
        <v>71</v>
      </c>
      <c r="AH75">
        <v>0</v>
      </c>
      <c r="AI75">
        <v>0</v>
      </c>
      <c r="AJ75">
        <v>0</v>
      </c>
      <c r="AK75">
        <v>0</v>
      </c>
      <c r="AL75" t="s">
        <v>108</v>
      </c>
      <c r="AM75" t="s">
        <v>93</v>
      </c>
      <c r="AN75" t="s">
        <v>94</v>
      </c>
      <c r="AO75" t="s">
        <v>92</v>
      </c>
      <c r="AP75">
        <v>0</v>
      </c>
      <c r="AQ75">
        <v>0</v>
      </c>
      <c r="AR75">
        <v>0</v>
      </c>
      <c r="AS75">
        <v>0</v>
      </c>
      <c r="AT75">
        <v>0</v>
      </c>
      <c r="AU75">
        <v>0</v>
      </c>
      <c r="AV75">
        <v>0</v>
      </c>
      <c r="AW75">
        <v>0</v>
      </c>
      <c r="AX75">
        <v>0</v>
      </c>
      <c r="AY75">
        <v>0</v>
      </c>
    </row>
    <row r="76" spans="1:51" x14ac:dyDescent="0.25">
      <c r="A76">
        <v>7</v>
      </c>
      <c r="B76">
        <v>16150</v>
      </c>
      <c r="C76" t="s">
        <v>735</v>
      </c>
      <c r="D76" t="s">
        <v>96</v>
      </c>
      <c r="E76" t="s">
        <v>121</v>
      </c>
      <c r="F76" t="s">
        <v>111</v>
      </c>
      <c r="G76" t="s">
        <v>101</v>
      </c>
      <c r="H76" t="s">
        <v>78</v>
      </c>
      <c r="I76" t="s">
        <v>79</v>
      </c>
      <c r="J76" t="s">
        <v>119</v>
      </c>
      <c r="K76" t="s">
        <v>75</v>
      </c>
      <c r="L76" t="s">
        <v>76</v>
      </c>
      <c r="M76" t="s">
        <v>103</v>
      </c>
      <c r="N76" t="s">
        <v>74</v>
      </c>
      <c r="O76" t="s">
        <v>104</v>
      </c>
      <c r="P76" t="s">
        <v>71</v>
      </c>
      <c r="Q76" t="s">
        <v>71</v>
      </c>
      <c r="R76" t="s">
        <v>71</v>
      </c>
      <c r="S76">
        <v>0</v>
      </c>
      <c r="T76">
        <v>0</v>
      </c>
      <c r="U76" t="s">
        <v>72</v>
      </c>
      <c r="V76" t="s">
        <v>73</v>
      </c>
      <c r="W76">
        <v>0</v>
      </c>
      <c r="X76">
        <v>0</v>
      </c>
      <c r="Y76">
        <v>0</v>
      </c>
      <c r="Z76">
        <v>0</v>
      </c>
      <c r="AA76">
        <v>0</v>
      </c>
      <c r="AB76">
        <v>0</v>
      </c>
      <c r="AC76">
        <v>0</v>
      </c>
      <c r="AD76">
        <v>0</v>
      </c>
      <c r="AE76">
        <v>0</v>
      </c>
      <c r="AF76">
        <v>0</v>
      </c>
      <c r="AG76" t="s">
        <v>71</v>
      </c>
      <c r="AH76">
        <v>0</v>
      </c>
      <c r="AI76">
        <v>0</v>
      </c>
      <c r="AJ76">
        <v>0</v>
      </c>
      <c r="AK76">
        <v>0</v>
      </c>
      <c r="AL76" t="s">
        <v>108</v>
      </c>
      <c r="AM76" t="s">
        <v>93</v>
      </c>
      <c r="AN76" t="s">
        <v>94</v>
      </c>
      <c r="AO76" t="s">
        <v>92</v>
      </c>
      <c r="AP76">
        <v>0</v>
      </c>
      <c r="AQ76">
        <v>0</v>
      </c>
      <c r="AR76">
        <v>0</v>
      </c>
      <c r="AS76">
        <v>0</v>
      </c>
      <c r="AT76">
        <v>0</v>
      </c>
      <c r="AU76">
        <v>0</v>
      </c>
      <c r="AV76">
        <v>0</v>
      </c>
      <c r="AW76">
        <v>0</v>
      </c>
      <c r="AX76">
        <v>0</v>
      </c>
      <c r="AY76">
        <v>0</v>
      </c>
    </row>
    <row r="77" spans="1:51" x14ac:dyDescent="0.25">
      <c r="A77">
        <v>7</v>
      </c>
      <c r="B77">
        <v>16160</v>
      </c>
      <c r="C77" t="s">
        <v>735</v>
      </c>
      <c r="D77" t="s">
        <v>96</v>
      </c>
      <c r="E77" t="s">
        <v>121</v>
      </c>
      <c r="F77" t="s">
        <v>111</v>
      </c>
      <c r="G77" t="s">
        <v>101</v>
      </c>
      <c r="H77" t="s">
        <v>78</v>
      </c>
      <c r="I77" t="s">
        <v>79</v>
      </c>
      <c r="J77" t="s">
        <v>119</v>
      </c>
      <c r="K77" t="s">
        <v>75</v>
      </c>
      <c r="L77" t="s">
        <v>76</v>
      </c>
      <c r="M77" t="s">
        <v>103</v>
      </c>
      <c r="N77" t="s">
        <v>74</v>
      </c>
      <c r="O77" t="s">
        <v>104</v>
      </c>
      <c r="P77" t="s">
        <v>71</v>
      </c>
      <c r="Q77" t="s">
        <v>71</v>
      </c>
      <c r="R77" t="s">
        <v>71</v>
      </c>
      <c r="S77">
        <v>0</v>
      </c>
      <c r="T77">
        <v>0</v>
      </c>
      <c r="U77" t="s">
        <v>72</v>
      </c>
      <c r="V77" t="s">
        <v>73</v>
      </c>
      <c r="W77">
        <v>0</v>
      </c>
      <c r="X77">
        <v>0</v>
      </c>
      <c r="Y77">
        <v>0</v>
      </c>
      <c r="Z77">
        <v>0</v>
      </c>
      <c r="AA77">
        <v>0</v>
      </c>
      <c r="AB77">
        <v>0</v>
      </c>
      <c r="AC77">
        <v>0</v>
      </c>
      <c r="AD77">
        <v>0</v>
      </c>
      <c r="AE77">
        <v>0</v>
      </c>
      <c r="AF77">
        <v>0</v>
      </c>
      <c r="AG77" t="s">
        <v>71</v>
      </c>
      <c r="AH77">
        <v>0</v>
      </c>
      <c r="AI77">
        <v>0</v>
      </c>
      <c r="AJ77">
        <v>0</v>
      </c>
      <c r="AK77">
        <v>0</v>
      </c>
      <c r="AL77" t="s">
        <v>108</v>
      </c>
      <c r="AM77" t="s">
        <v>93</v>
      </c>
      <c r="AN77" t="s">
        <v>94</v>
      </c>
      <c r="AO77" t="s">
        <v>92</v>
      </c>
      <c r="AP77">
        <v>0</v>
      </c>
      <c r="AQ77">
        <v>0</v>
      </c>
      <c r="AR77">
        <v>0</v>
      </c>
      <c r="AS77">
        <v>0</v>
      </c>
      <c r="AT77">
        <v>0</v>
      </c>
      <c r="AU77">
        <v>0</v>
      </c>
      <c r="AV77">
        <v>0</v>
      </c>
      <c r="AW77">
        <v>0</v>
      </c>
      <c r="AX77">
        <v>0</v>
      </c>
      <c r="AY77">
        <v>0</v>
      </c>
    </row>
    <row r="78" spans="1:51" x14ac:dyDescent="0.25">
      <c r="A78">
        <v>7</v>
      </c>
      <c r="B78">
        <v>16170</v>
      </c>
      <c r="C78" t="s">
        <v>735</v>
      </c>
      <c r="D78" t="s">
        <v>96</v>
      </c>
      <c r="E78" t="s">
        <v>121</v>
      </c>
      <c r="F78" t="s">
        <v>111</v>
      </c>
      <c r="G78" t="s">
        <v>101</v>
      </c>
      <c r="H78" t="s">
        <v>78</v>
      </c>
      <c r="I78" t="s">
        <v>79</v>
      </c>
      <c r="J78" t="s">
        <v>119</v>
      </c>
      <c r="K78" t="s">
        <v>75</v>
      </c>
      <c r="L78" t="s">
        <v>76</v>
      </c>
      <c r="M78" t="s">
        <v>103</v>
      </c>
      <c r="N78" t="s">
        <v>74</v>
      </c>
      <c r="O78" t="s">
        <v>104</v>
      </c>
      <c r="P78" t="s">
        <v>71</v>
      </c>
      <c r="Q78" t="s">
        <v>71</v>
      </c>
      <c r="R78" t="s">
        <v>71</v>
      </c>
      <c r="S78">
        <v>0</v>
      </c>
      <c r="T78">
        <v>0</v>
      </c>
      <c r="U78" t="s">
        <v>72</v>
      </c>
      <c r="V78" t="s">
        <v>73</v>
      </c>
      <c r="W78">
        <v>0</v>
      </c>
      <c r="X78">
        <v>0</v>
      </c>
      <c r="Y78">
        <v>0</v>
      </c>
      <c r="Z78">
        <v>0</v>
      </c>
      <c r="AA78">
        <v>0</v>
      </c>
      <c r="AB78">
        <v>0</v>
      </c>
      <c r="AC78">
        <v>0</v>
      </c>
      <c r="AD78">
        <v>0</v>
      </c>
      <c r="AE78">
        <v>0</v>
      </c>
      <c r="AF78">
        <v>0</v>
      </c>
      <c r="AG78" t="s">
        <v>71</v>
      </c>
      <c r="AH78">
        <v>0</v>
      </c>
      <c r="AI78">
        <v>0</v>
      </c>
      <c r="AJ78">
        <v>0</v>
      </c>
      <c r="AK78">
        <v>0</v>
      </c>
      <c r="AL78" t="s">
        <v>108</v>
      </c>
      <c r="AM78" t="s">
        <v>93</v>
      </c>
      <c r="AN78" t="s">
        <v>94</v>
      </c>
      <c r="AO78" t="s">
        <v>92</v>
      </c>
      <c r="AP78">
        <v>0</v>
      </c>
      <c r="AQ78">
        <v>0</v>
      </c>
      <c r="AR78">
        <v>0</v>
      </c>
      <c r="AS78">
        <v>0</v>
      </c>
      <c r="AT78">
        <v>0</v>
      </c>
      <c r="AU78">
        <v>0</v>
      </c>
      <c r="AV78">
        <v>0</v>
      </c>
      <c r="AW78">
        <v>0</v>
      </c>
      <c r="AX78">
        <v>0</v>
      </c>
      <c r="AY78">
        <v>0</v>
      </c>
    </row>
    <row r="79" spans="1:51" x14ac:dyDescent="0.25">
      <c r="A79">
        <v>7</v>
      </c>
      <c r="B79">
        <v>16180</v>
      </c>
      <c r="C79" t="s">
        <v>735</v>
      </c>
      <c r="D79" t="s">
        <v>96</v>
      </c>
      <c r="E79" t="s">
        <v>121</v>
      </c>
      <c r="F79" t="s">
        <v>111</v>
      </c>
      <c r="G79" t="s">
        <v>101</v>
      </c>
      <c r="H79" t="s">
        <v>78</v>
      </c>
      <c r="I79" t="s">
        <v>79</v>
      </c>
      <c r="J79" t="s">
        <v>119</v>
      </c>
      <c r="K79" t="s">
        <v>75</v>
      </c>
      <c r="L79" t="s">
        <v>76</v>
      </c>
      <c r="M79" t="s">
        <v>103</v>
      </c>
      <c r="N79" t="s">
        <v>74</v>
      </c>
      <c r="O79" t="s">
        <v>104</v>
      </c>
      <c r="P79" t="s">
        <v>71</v>
      </c>
      <c r="Q79" t="s">
        <v>110</v>
      </c>
      <c r="R79" t="s">
        <v>71</v>
      </c>
      <c r="S79">
        <v>0</v>
      </c>
      <c r="T79">
        <v>0</v>
      </c>
      <c r="U79" t="s">
        <v>72</v>
      </c>
      <c r="V79" t="s">
        <v>73</v>
      </c>
      <c r="W79">
        <v>0</v>
      </c>
      <c r="X79">
        <v>0</v>
      </c>
      <c r="Y79">
        <v>0</v>
      </c>
      <c r="Z79">
        <v>0</v>
      </c>
      <c r="AA79">
        <v>0</v>
      </c>
      <c r="AB79">
        <v>0</v>
      </c>
      <c r="AC79">
        <v>0</v>
      </c>
      <c r="AD79">
        <v>0</v>
      </c>
      <c r="AE79">
        <v>0</v>
      </c>
      <c r="AF79">
        <v>0</v>
      </c>
      <c r="AG79" t="s">
        <v>71</v>
      </c>
      <c r="AH79">
        <v>0</v>
      </c>
      <c r="AI79">
        <v>0</v>
      </c>
      <c r="AJ79">
        <v>0</v>
      </c>
      <c r="AK79">
        <v>0</v>
      </c>
      <c r="AL79" t="s">
        <v>108</v>
      </c>
      <c r="AM79" t="s">
        <v>93</v>
      </c>
      <c r="AN79" t="s">
        <v>94</v>
      </c>
      <c r="AO79" t="s">
        <v>92</v>
      </c>
      <c r="AP79">
        <v>0</v>
      </c>
      <c r="AQ79">
        <v>0</v>
      </c>
      <c r="AR79">
        <v>0</v>
      </c>
      <c r="AS79">
        <v>0</v>
      </c>
      <c r="AT79">
        <v>0</v>
      </c>
      <c r="AU79">
        <v>0</v>
      </c>
      <c r="AV79">
        <v>0</v>
      </c>
      <c r="AW79">
        <v>0</v>
      </c>
      <c r="AX79">
        <v>1</v>
      </c>
      <c r="AY79">
        <v>0</v>
      </c>
    </row>
    <row r="80" spans="1:51" x14ac:dyDescent="0.25">
      <c r="A80">
        <v>7</v>
      </c>
      <c r="B80">
        <v>16190</v>
      </c>
      <c r="C80" t="s">
        <v>735</v>
      </c>
      <c r="D80" t="s">
        <v>96</v>
      </c>
      <c r="E80" t="s">
        <v>121</v>
      </c>
      <c r="F80" t="s">
        <v>111</v>
      </c>
      <c r="G80" t="s">
        <v>101</v>
      </c>
      <c r="H80" t="s">
        <v>78</v>
      </c>
      <c r="I80" t="s">
        <v>79</v>
      </c>
      <c r="J80" t="s">
        <v>119</v>
      </c>
      <c r="K80" t="s">
        <v>75</v>
      </c>
      <c r="L80" t="s">
        <v>76</v>
      </c>
      <c r="M80" t="s">
        <v>103</v>
      </c>
      <c r="N80" t="s">
        <v>74</v>
      </c>
      <c r="O80" t="s">
        <v>104</v>
      </c>
      <c r="P80" t="s">
        <v>71</v>
      </c>
      <c r="Q80" t="s">
        <v>110</v>
      </c>
      <c r="R80" t="s">
        <v>71</v>
      </c>
      <c r="S80">
        <v>0</v>
      </c>
      <c r="T80">
        <v>0</v>
      </c>
      <c r="U80" t="s">
        <v>72</v>
      </c>
      <c r="V80" t="s">
        <v>73</v>
      </c>
      <c r="W80">
        <v>0</v>
      </c>
      <c r="X80">
        <v>0</v>
      </c>
      <c r="Y80">
        <v>0</v>
      </c>
      <c r="Z80">
        <v>0</v>
      </c>
      <c r="AA80">
        <v>0</v>
      </c>
      <c r="AB80">
        <v>0</v>
      </c>
      <c r="AC80">
        <v>0</v>
      </c>
      <c r="AD80">
        <v>0</v>
      </c>
      <c r="AE80">
        <v>0</v>
      </c>
      <c r="AF80">
        <v>0</v>
      </c>
      <c r="AG80" t="s">
        <v>71</v>
      </c>
      <c r="AH80">
        <v>0</v>
      </c>
      <c r="AI80">
        <v>0</v>
      </c>
      <c r="AJ80">
        <v>0</v>
      </c>
      <c r="AK80">
        <v>0</v>
      </c>
      <c r="AL80" t="s">
        <v>108</v>
      </c>
      <c r="AM80" t="s">
        <v>93</v>
      </c>
      <c r="AN80" t="s">
        <v>94</v>
      </c>
      <c r="AO80" t="s">
        <v>92</v>
      </c>
      <c r="AP80">
        <v>0</v>
      </c>
      <c r="AQ80">
        <v>0</v>
      </c>
      <c r="AR80">
        <v>0</v>
      </c>
      <c r="AS80">
        <v>0</v>
      </c>
      <c r="AT80">
        <v>0</v>
      </c>
      <c r="AU80">
        <v>0</v>
      </c>
      <c r="AV80">
        <v>0</v>
      </c>
      <c r="AW80">
        <v>0</v>
      </c>
      <c r="AX80">
        <v>1</v>
      </c>
      <c r="AY80">
        <v>0</v>
      </c>
    </row>
    <row r="81" spans="1:51" x14ac:dyDescent="0.25">
      <c r="A81">
        <v>7</v>
      </c>
      <c r="B81">
        <v>16200</v>
      </c>
      <c r="C81" t="s">
        <v>735</v>
      </c>
      <c r="D81" t="s">
        <v>96</v>
      </c>
      <c r="E81" t="s">
        <v>121</v>
      </c>
      <c r="F81" t="s">
        <v>111</v>
      </c>
      <c r="G81" t="s">
        <v>101</v>
      </c>
      <c r="H81" t="s">
        <v>78</v>
      </c>
      <c r="I81" t="s">
        <v>79</v>
      </c>
      <c r="J81" t="s">
        <v>119</v>
      </c>
      <c r="K81" t="s">
        <v>75</v>
      </c>
      <c r="L81" t="s">
        <v>76</v>
      </c>
      <c r="M81" t="s">
        <v>103</v>
      </c>
      <c r="N81" t="s">
        <v>74</v>
      </c>
      <c r="O81" t="s">
        <v>104</v>
      </c>
      <c r="P81" t="s">
        <v>71</v>
      </c>
      <c r="Q81" t="s">
        <v>110</v>
      </c>
      <c r="R81" t="s">
        <v>71</v>
      </c>
      <c r="S81">
        <v>0</v>
      </c>
      <c r="T81">
        <v>0</v>
      </c>
      <c r="U81" t="s">
        <v>72</v>
      </c>
      <c r="V81" t="s">
        <v>73</v>
      </c>
      <c r="W81">
        <v>0</v>
      </c>
      <c r="X81">
        <v>0</v>
      </c>
      <c r="Y81">
        <v>0</v>
      </c>
      <c r="Z81">
        <v>0</v>
      </c>
      <c r="AA81">
        <v>0</v>
      </c>
      <c r="AB81">
        <v>0</v>
      </c>
      <c r="AC81">
        <v>0</v>
      </c>
      <c r="AD81">
        <v>0</v>
      </c>
      <c r="AE81">
        <v>0</v>
      </c>
      <c r="AF81">
        <v>0</v>
      </c>
      <c r="AG81" t="s">
        <v>71</v>
      </c>
      <c r="AH81">
        <v>0</v>
      </c>
      <c r="AI81">
        <v>0</v>
      </c>
      <c r="AJ81">
        <v>0</v>
      </c>
      <c r="AK81">
        <v>0</v>
      </c>
      <c r="AL81" t="s">
        <v>108</v>
      </c>
      <c r="AM81" t="s">
        <v>93</v>
      </c>
      <c r="AN81" t="s">
        <v>94</v>
      </c>
      <c r="AO81" t="s">
        <v>92</v>
      </c>
      <c r="AP81">
        <v>0</v>
      </c>
      <c r="AQ81">
        <v>0</v>
      </c>
      <c r="AR81">
        <v>0</v>
      </c>
      <c r="AS81">
        <v>0</v>
      </c>
      <c r="AT81">
        <v>0</v>
      </c>
      <c r="AU81">
        <v>0</v>
      </c>
      <c r="AV81">
        <v>0</v>
      </c>
      <c r="AW81">
        <v>0</v>
      </c>
      <c r="AX81">
        <v>1</v>
      </c>
      <c r="AY81">
        <v>0</v>
      </c>
    </row>
    <row r="82" spans="1:51" x14ac:dyDescent="0.25">
      <c r="A82">
        <v>7</v>
      </c>
      <c r="B82">
        <v>16210</v>
      </c>
      <c r="C82" t="s">
        <v>735</v>
      </c>
      <c r="D82" t="s">
        <v>96</v>
      </c>
      <c r="E82" t="s">
        <v>121</v>
      </c>
      <c r="F82" t="s">
        <v>111</v>
      </c>
      <c r="G82" t="s">
        <v>101</v>
      </c>
      <c r="H82" t="s">
        <v>78</v>
      </c>
      <c r="I82" t="s">
        <v>79</v>
      </c>
      <c r="J82" t="s">
        <v>119</v>
      </c>
      <c r="K82" t="s">
        <v>75</v>
      </c>
      <c r="L82" t="s">
        <v>76</v>
      </c>
      <c r="M82" t="s">
        <v>103</v>
      </c>
      <c r="N82" t="s">
        <v>74</v>
      </c>
      <c r="O82" t="s">
        <v>104</v>
      </c>
      <c r="P82" t="s">
        <v>71</v>
      </c>
      <c r="Q82" t="s">
        <v>110</v>
      </c>
      <c r="R82" t="s">
        <v>71</v>
      </c>
      <c r="S82">
        <v>0</v>
      </c>
      <c r="T82">
        <v>0</v>
      </c>
      <c r="U82" t="s">
        <v>72</v>
      </c>
      <c r="V82" t="s">
        <v>73</v>
      </c>
      <c r="W82">
        <v>0</v>
      </c>
      <c r="X82">
        <v>0</v>
      </c>
      <c r="Y82">
        <v>0</v>
      </c>
      <c r="Z82">
        <v>0</v>
      </c>
      <c r="AA82">
        <v>0</v>
      </c>
      <c r="AB82">
        <v>0</v>
      </c>
      <c r="AC82">
        <v>0</v>
      </c>
      <c r="AD82">
        <v>0</v>
      </c>
      <c r="AE82">
        <v>0</v>
      </c>
      <c r="AF82">
        <v>0</v>
      </c>
      <c r="AG82" t="s">
        <v>71</v>
      </c>
      <c r="AH82">
        <v>0</v>
      </c>
      <c r="AI82">
        <v>0</v>
      </c>
      <c r="AJ82">
        <v>0</v>
      </c>
      <c r="AK82">
        <v>0</v>
      </c>
      <c r="AL82" t="s">
        <v>108</v>
      </c>
      <c r="AM82" t="s">
        <v>93</v>
      </c>
      <c r="AN82" t="s">
        <v>94</v>
      </c>
      <c r="AO82" t="s">
        <v>92</v>
      </c>
      <c r="AP82">
        <v>0</v>
      </c>
      <c r="AQ82">
        <v>0</v>
      </c>
      <c r="AR82">
        <v>0</v>
      </c>
      <c r="AS82">
        <v>0</v>
      </c>
      <c r="AT82">
        <v>0</v>
      </c>
      <c r="AU82">
        <v>0</v>
      </c>
      <c r="AV82">
        <v>0</v>
      </c>
      <c r="AW82">
        <v>0</v>
      </c>
      <c r="AX82">
        <v>1</v>
      </c>
      <c r="AY82">
        <v>0</v>
      </c>
    </row>
    <row r="83" spans="1:51" x14ac:dyDescent="0.25">
      <c r="A83">
        <v>7</v>
      </c>
      <c r="B83">
        <v>16220</v>
      </c>
      <c r="C83" t="s">
        <v>735</v>
      </c>
      <c r="D83" t="s">
        <v>96</v>
      </c>
      <c r="E83" t="s">
        <v>121</v>
      </c>
      <c r="F83" t="s">
        <v>111</v>
      </c>
      <c r="G83" t="s">
        <v>101</v>
      </c>
      <c r="H83" t="s">
        <v>78</v>
      </c>
      <c r="I83" t="s">
        <v>79</v>
      </c>
      <c r="J83" t="s">
        <v>119</v>
      </c>
      <c r="K83" t="s">
        <v>75</v>
      </c>
      <c r="L83" t="s">
        <v>76</v>
      </c>
      <c r="M83" t="s">
        <v>103</v>
      </c>
      <c r="N83" t="s">
        <v>74</v>
      </c>
      <c r="O83" t="s">
        <v>104</v>
      </c>
      <c r="P83" t="s">
        <v>71</v>
      </c>
      <c r="Q83" t="s">
        <v>71</v>
      </c>
      <c r="R83" t="s">
        <v>71</v>
      </c>
      <c r="S83">
        <v>0</v>
      </c>
      <c r="T83">
        <v>0</v>
      </c>
      <c r="U83" t="s">
        <v>72</v>
      </c>
      <c r="V83" t="s">
        <v>73</v>
      </c>
      <c r="W83">
        <v>0</v>
      </c>
      <c r="X83">
        <v>0</v>
      </c>
      <c r="Y83">
        <v>0</v>
      </c>
      <c r="Z83">
        <v>0</v>
      </c>
      <c r="AA83">
        <v>0</v>
      </c>
      <c r="AB83">
        <v>0</v>
      </c>
      <c r="AC83">
        <v>0</v>
      </c>
      <c r="AD83">
        <v>0</v>
      </c>
      <c r="AE83">
        <v>0</v>
      </c>
      <c r="AF83">
        <v>0</v>
      </c>
      <c r="AG83" t="s">
        <v>71</v>
      </c>
      <c r="AH83">
        <v>0</v>
      </c>
      <c r="AI83">
        <v>0</v>
      </c>
      <c r="AJ83">
        <v>0</v>
      </c>
      <c r="AK83">
        <v>0</v>
      </c>
      <c r="AL83" t="s">
        <v>108</v>
      </c>
      <c r="AM83" t="s">
        <v>93</v>
      </c>
      <c r="AN83" t="s">
        <v>94</v>
      </c>
      <c r="AO83" t="s">
        <v>92</v>
      </c>
      <c r="AP83">
        <v>0</v>
      </c>
      <c r="AQ83">
        <v>0</v>
      </c>
      <c r="AR83">
        <v>0</v>
      </c>
      <c r="AS83">
        <v>0</v>
      </c>
      <c r="AT83">
        <v>0</v>
      </c>
      <c r="AU83">
        <v>0</v>
      </c>
      <c r="AV83">
        <v>0</v>
      </c>
      <c r="AW83">
        <v>0</v>
      </c>
      <c r="AX83">
        <v>1</v>
      </c>
      <c r="AY83">
        <v>0</v>
      </c>
    </row>
    <row r="84" spans="1:51" x14ac:dyDescent="0.25">
      <c r="A84">
        <v>7</v>
      </c>
      <c r="B84">
        <v>16230</v>
      </c>
      <c r="C84" t="s">
        <v>735</v>
      </c>
      <c r="D84" t="s">
        <v>96</v>
      </c>
      <c r="E84" t="s">
        <v>121</v>
      </c>
      <c r="F84" t="s">
        <v>111</v>
      </c>
      <c r="G84" t="s">
        <v>101</v>
      </c>
      <c r="H84" t="s">
        <v>78</v>
      </c>
      <c r="I84" t="s">
        <v>79</v>
      </c>
      <c r="J84" t="s">
        <v>119</v>
      </c>
      <c r="K84" t="s">
        <v>75</v>
      </c>
      <c r="L84" t="s">
        <v>76</v>
      </c>
      <c r="M84" t="s">
        <v>103</v>
      </c>
      <c r="N84" t="s">
        <v>74</v>
      </c>
      <c r="O84" t="s">
        <v>104</v>
      </c>
      <c r="P84" t="s">
        <v>71</v>
      </c>
      <c r="Q84" t="s">
        <v>71</v>
      </c>
      <c r="R84" t="s">
        <v>71</v>
      </c>
      <c r="S84">
        <v>0</v>
      </c>
      <c r="T84">
        <v>0</v>
      </c>
      <c r="U84" t="s">
        <v>72</v>
      </c>
      <c r="V84" t="s">
        <v>73</v>
      </c>
      <c r="W84">
        <v>0</v>
      </c>
      <c r="X84">
        <v>0</v>
      </c>
      <c r="Y84">
        <v>0</v>
      </c>
      <c r="Z84">
        <v>0</v>
      </c>
      <c r="AA84">
        <v>0</v>
      </c>
      <c r="AB84">
        <v>0</v>
      </c>
      <c r="AC84">
        <v>0</v>
      </c>
      <c r="AD84">
        <v>0</v>
      </c>
      <c r="AE84">
        <v>0</v>
      </c>
      <c r="AF84">
        <v>0</v>
      </c>
      <c r="AG84" t="s">
        <v>71</v>
      </c>
      <c r="AH84">
        <v>0</v>
      </c>
      <c r="AI84">
        <v>0</v>
      </c>
      <c r="AJ84">
        <v>0</v>
      </c>
      <c r="AK84">
        <v>0</v>
      </c>
      <c r="AL84" t="s">
        <v>108</v>
      </c>
      <c r="AM84" t="s">
        <v>93</v>
      </c>
      <c r="AN84" t="s">
        <v>94</v>
      </c>
      <c r="AO84" t="s">
        <v>92</v>
      </c>
      <c r="AP84">
        <v>0</v>
      </c>
      <c r="AQ84">
        <v>0</v>
      </c>
      <c r="AR84">
        <v>0</v>
      </c>
      <c r="AS84">
        <v>0</v>
      </c>
      <c r="AT84">
        <v>0</v>
      </c>
      <c r="AU84">
        <v>0</v>
      </c>
      <c r="AV84">
        <v>0</v>
      </c>
      <c r="AW84">
        <v>0</v>
      </c>
      <c r="AX84">
        <v>1</v>
      </c>
      <c r="AY84">
        <v>0</v>
      </c>
    </row>
    <row r="85" spans="1:51" x14ac:dyDescent="0.25">
      <c r="A85">
        <v>7</v>
      </c>
      <c r="B85">
        <v>19190</v>
      </c>
      <c r="C85" t="s">
        <v>735</v>
      </c>
      <c r="D85" t="s">
        <v>96</v>
      </c>
      <c r="E85" t="s">
        <v>121</v>
      </c>
      <c r="F85" t="s">
        <v>111</v>
      </c>
      <c r="G85" t="s">
        <v>101</v>
      </c>
      <c r="H85" t="s">
        <v>78</v>
      </c>
      <c r="I85" t="s">
        <v>79</v>
      </c>
      <c r="J85" t="s">
        <v>119</v>
      </c>
      <c r="K85" t="s">
        <v>75</v>
      </c>
      <c r="L85" t="s">
        <v>76</v>
      </c>
      <c r="M85" t="s">
        <v>103</v>
      </c>
      <c r="N85" t="s">
        <v>74</v>
      </c>
      <c r="O85" t="s">
        <v>104</v>
      </c>
      <c r="P85" t="s">
        <v>71</v>
      </c>
      <c r="Q85" t="s">
        <v>71</v>
      </c>
      <c r="R85" t="s">
        <v>71</v>
      </c>
      <c r="S85">
        <v>0</v>
      </c>
      <c r="T85">
        <v>0</v>
      </c>
      <c r="U85" t="s">
        <v>72</v>
      </c>
      <c r="V85" t="s">
        <v>73</v>
      </c>
      <c r="W85">
        <v>0</v>
      </c>
      <c r="X85">
        <v>0</v>
      </c>
      <c r="Y85">
        <v>0</v>
      </c>
      <c r="Z85">
        <v>0</v>
      </c>
      <c r="AA85">
        <v>0</v>
      </c>
      <c r="AB85">
        <v>0</v>
      </c>
      <c r="AC85">
        <v>0</v>
      </c>
      <c r="AD85">
        <v>0</v>
      </c>
      <c r="AE85">
        <v>0</v>
      </c>
      <c r="AF85">
        <v>0</v>
      </c>
      <c r="AG85" t="s">
        <v>71</v>
      </c>
      <c r="AH85">
        <v>0</v>
      </c>
      <c r="AI85">
        <v>0</v>
      </c>
      <c r="AJ85">
        <v>0</v>
      </c>
      <c r="AK85">
        <v>0</v>
      </c>
      <c r="AL85" t="s">
        <v>108</v>
      </c>
      <c r="AM85" t="s">
        <v>93</v>
      </c>
      <c r="AN85" t="s">
        <v>94</v>
      </c>
      <c r="AO85" t="s">
        <v>92</v>
      </c>
      <c r="AP85">
        <v>0</v>
      </c>
      <c r="AQ85">
        <v>0</v>
      </c>
      <c r="AR85">
        <v>0</v>
      </c>
      <c r="AS85">
        <v>0</v>
      </c>
      <c r="AT85">
        <v>0</v>
      </c>
      <c r="AU85">
        <v>0</v>
      </c>
      <c r="AV85">
        <v>0</v>
      </c>
      <c r="AW85">
        <v>0</v>
      </c>
      <c r="AX85">
        <v>1</v>
      </c>
      <c r="AY85">
        <v>0</v>
      </c>
    </row>
    <row r="86" spans="1:51" x14ac:dyDescent="0.25">
      <c r="A86">
        <v>7</v>
      </c>
      <c r="B86">
        <v>19200</v>
      </c>
      <c r="C86" t="s">
        <v>735</v>
      </c>
      <c r="D86" t="s">
        <v>96</v>
      </c>
      <c r="E86" t="s">
        <v>121</v>
      </c>
      <c r="F86" t="s">
        <v>111</v>
      </c>
      <c r="G86" t="s">
        <v>101</v>
      </c>
      <c r="H86" t="s">
        <v>78</v>
      </c>
      <c r="I86" t="s">
        <v>79</v>
      </c>
      <c r="J86" t="s">
        <v>119</v>
      </c>
      <c r="K86" t="s">
        <v>75</v>
      </c>
      <c r="L86" t="s">
        <v>76</v>
      </c>
      <c r="M86" t="s">
        <v>103</v>
      </c>
      <c r="N86" t="s">
        <v>74</v>
      </c>
      <c r="O86" t="s">
        <v>104</v>
      </c>
      <c r="P86" t="s">
        <v>71</v>
      </c>
      <c r="Q86" t="s">
        <v>110</v>
      </c>
      <c r="R86" t="s">
        <v>71</v>
      </c>
      <c r="S86">
        <v>0</v>
      </c>
      <c r="T86">
        <v>0</v>
      </c>
      <c r="U86" t="s">
        <v>72</v>
      </c>
      <c r="V86" t="s">
        <v>73</v>
      </c>
      <c r="W86">
        <v>0</v>
      </c>
      <c r="X86">
        <v>0</v>
      </c>
      <c r="Y86">
        <v>0</v>
      </c>
      <c r="Z86">
        <v>0</v>
      </c>
      <c r="AA86">
        <v>0</v>
      </c>
      <c r="AB86">
        <v>0</v>
      </c>
      <c r="AC86">
        <v>0</v>
      </c>
      <c r="AD86">
        <v>0</v>
      </c>
      <c r="AE86">
        <v>0</v>
      </c>
      <c r="AF86">
        <v>0</v>
      </c>
      <c r="AG86" t="s">
        <v>71</v>
      </c>
      <c r="AH86">
        <v>0</v>
      </c>
      <c r="AI86">
        <v>0</v>
      </c>
      <c r="AJ86">
        <v>0</v>
      </c>
      <c r="AK86">
        <v>0</v>
      </c>
      <c r="AL86" t="s">
        <v>108</v>
      </c>
      <c r="AM86" t="s">
        <v>93</v>
      </c>
      <c r="AN86" t="s">
        <v>94</v>
      </c>
      <c r="AO86" t="s">
        <v>92</v>
      </c>
      <c r="AP86">
        <v>0</v>
      </c>
      <c r="AQ86">
        <v>0</v>
      </c>
      <c r="AR86">
        <v>0</v>
      </c>
      <c r="AS86">
        <v>0</v>
      </c>
      <c r="AT86">
        <v>0</v>
      </c>
      <c r="AU86">
        <v>0</v>
      </c>
      <c r="AV86">
        <v>0</v>
      </c>
      <c r="AW86">
        <v>0</v>
      </c>
      <c r="AX86">
        <v>1</v>
      </c>
      <c r="AY86">
        <v>0</v>
      </c>
    </row>
    <row r="87" spans="1:51" x14ac:dyDescent="0.25">
      <c r="A87">
        <v>7</v>
      </c>
      <c r="B87">
        <v>19210</v>
      </c>
      <c r="C87" t="s">
        <v>735</v>
      </c>
      <c r="D87" t="s">
        <v>96</v>
      </c>
      <c r="E87" t="s">
        <v>121</v>
      </c>
      <c r="F87" t="s">
        <v>111</v>
      </c>
      <c r="G87" t="s">
        <v>101</v>
      </c>
      <c r="H87" t="s">
        <v>78</v>
      </c>
      <c r="I87" t="s">
        <v>79</v>
      </c>
      <c r="J87" t="s">
        <v>119</v>
      </c>
      <c r="K87" t="s">
        <v>75</v>
      </c>
      <c r="L87" t="s">
        <v>76</v>
      </c>
      <c r="M87" t="s">
        <v>103</v>
      </c>
      <c r="N87" t="s">
        <v>74</v>
      </c>
      <c r="O87" t="s">
        <v>104</v>
      </c>
      <c r="P87" t="s">
        <v>71</v>
      </c>
      <c r="Q87" t="s">
        <v>71</v>
      </c>
      <c r="R87" t="s">
        <v>71</v>
      </c>
      <c r="S87">
        <v>0</v>
      </c>
      <c r="T87">
        <v>0</v>
      </c>
      <c r="U87" t="s">
        <v>72</v>
      </c>
      <c r="V87" t="s">
        <v>73</v>
      </c>
      <c r="W87">
        <v>0</v>
      </c>
      <c r="X87">
        <v>0</v>
      </c>
      <c r="Y87">
        <v>0</v>
      </c>
      <c r="Z87">
        <v>0</v>
      </c>
      <c r="AA87">
        <v>0</v>
      </c>
      <c r="AB87">
        <v>0</v>
      </c>
      <c r="AC87">
        <v>0</v>
      </c>
      <c r="AD87">
        <v>0</v>
      </c>
      <c r="AE87">
        <v>0</v>
      </c>
      <c r="AF87">
        <v>0</v>
      </c>
      <c r="AG87" t="s">
        <v>71</v>
      </c>
      <c r="AH87">
        <v>0</v>
      </c>
      <c r="AI87">
        <v>0</v>
      </c>
      <c r="AJ87">
        <v>0</v>
      </c>
      <c r="AK87">
        <v>0</v>
      </c>
      <c r="AL87" t="s">
        <v>108</v>
      </c>
      <c r="AM87" t="s">
        <v>93</v>
      </c>
      <c r="AN87" t="s">
        <v>94</v>
      </c>
      <c r="AO87" t="s">
        <v>92</v>
      </c>
      <c r="AP87">
        <v>0</v>
      </c>
      <c r="AQ87">
        <v>0</v>
      </c>
      <c r="AR87">
        <v>0</v>
      </c>
      <c r="AS87">
        <v>0</v>
      </c>
      <c r="AT87">
        <v>0</v>
      </c>
      <c r="AU87">
        <v>0</v>
      </c>
      <c r="AV87">
        <v>0</v>
      </c>
      <c r="AW87">
        <v>0</v>
      </c>
      <c r="AX87">
        <v>1</v>
      </c>
      <c r="AY87">
        <v>0</v>
      </c>
    </row>
    <row r="88" spans="1:51" x14ac:dyDescent="0.25">
      <c r="A88">
        <v>7</v>
      </c>
      <c r="B88">
        <v>19220</v>
      </c>
      <c r="C88" t="s">
        <v>735</v>
      </c>
      <c r="D88" t="s">
        <v>96</v>
      </c>
      <c r="E88" t="s">
        <v>121</v>
      </c>
      <c r="F88" t="s">
        <v>111</v>
      </c>
      <c r="G88" t="s">
        <v>101</v>
      </c>
      <c r="H88" t="s">
        <v>78</v>
      </c>
      <c r="I88" t="s">
        <v>79</v>
      </c>
      <c r="J88" t="s">
        <v>119</v>
      </c>
      <c r="K88" t="s">
        <v>75</v>
      </c>
      <c r="L88" t="s">
        <v>76</v>
      </c>
      <c r="M88" t="s">
        <v>103</v>
      </c>
      <c r="N88" t="s">
        <v>74</v>
      </c>
      <c r="O88" t="s">
        <v>104</v>
      </c>
      <c r="P88" t="s">
        <v>71</v>
      </c>
      <c r="Q88" t="s">
        <v>71</v>
      </c>
      <c r="R88" t="s">
        <v>71</v>
      </c>
      <c r="S88">
        <v>0</v>
      </c>
      <c r="T88">
        <v>0</v>
      </c>
      <c r="U88" t="s">
        <v>72</v>
      </c>
      <c r="V88" t="s">
        <v>73</v>
      </c>
      <c r="W88">
        <v>0</v>
      </c>
      <c r="X88">
        <v>0</v>
      </c>
      <c r="Y88">
        <v>0</v>
      </c>
      <c r="Z88">
        <v>0</v>
      </c>
      <c r="AA88">
        <v>0</v>
      </c>
      <c r="AB88">
        <v>0</v>
      </c>
      <c r="AC88">
        <v>0</v>
      </c>
      <c r="AD88">
        <v>0</v>
      </c>
      <c r="AE88">
        <v>0</v>
      </c>
      <c r="AF88">
        <v>0</v>
      </c>
      <c r="AG88" t="s">
        <v>71</v>
      </c>
      <c r="AH88">
        <v>0</v>
      </c>
      <c r="AI88">
        <v>0</v>
      </c>
      <c r="AJ88">
        <v>0</v>
      </c>
      <c r="AK88">
        <v>0</v>
      </c>
      <c r="AL88" t="s">
        <v>108</v>
      </c>
      <c r="AM88" t="s">
        <v>93</v>
      </c>
      <c r="AN88" t="s">
        <v>94</v>
      </c>
      <c r="AO88" t="s">
        <v>92</v>
      </c>
      <c r="AP88">
        <v>0</v>
      </c>
      <c r="AQ88">
        <v>0</v>
      </c>
      <c r="AR88">
        <v>0</v>
      </c>
      <c r="AS88">
        <v>0</v>
      </c>
      <c r="AT88">
        <v>0</v>
      </c>
      <c r="AU88">
        <v>0</v>
      </c>
      <c r="AV88">
        <v>0</v>
      </c>
      <c r="AW88">
        <v>0</v>
      </c>
      <c r="AX88">
        <v>1</v>
      </c>
      <c r="AY88">
        <v>0</v>
      </c>
    </row>
    <row r="89" spans="1:51" x14ac:dyDescent="0.25">
      <c r="A89">
        <v>7</v>
      </c>
      <c r="B89">
        <v>22190</v>
      </c>
      <c r="C89" t="s">
        <v>735</v>
      </c>
      <c r="D89" t="s">
        <v>96</v>
      </c>
      <c r="E89" t="s">
        <v>121</v>
      </c>
      <c r="F89" t="s">
        <v>111</v>
      </c>
      <c r="G89" t="s">
        <v>101</v>
      </c>
      <c r="H89" t="s">
        <v>78</v>
      </c>
      <c r="I89" t="s">
        <v>79</v>
      </c>
      <c r="J89" t="s">
        <v>119</v>
      </c>
      <c r="K89" t="s">
        <v>75</v>
      </c>
      <c r="L89" t="s">
        <v>76</v>
      </c>
      <c r="M89" t="s">
        <v>103</v>
      </c>
      <c r="N89" t="s">
        <v>74</v>
      </c>
      <c r="O89" t="s">
        <v>104</v>
      </c>
      <c r="P89" t="s">
        <v>71</v>
      </c>
      <c r="Q89" t="s">
        <v>71</v>
      </c>
      <c r="R89" t="s">
        <v>71</v>
      </c>
      <c r="S89">
        <v>0</v>
      </c>
      <c r="T89">
        <v>0</v>
      </c>
      <c r="U89" t="s">
        <v>72</v>
      </c>
      <c r="V89" t="s">
        <v>73</v>
      </c>
      <c r="W89">
        <v>0</v>
      </c>
      <c r="X89">
        <v>0</v>
      </c>
      <c r="Y89">
        <v>0</v>
      </c>
      <c r="Z89">
        <v>0</v>
      </c>
      <c r="AA89">
        <v>0</v>
      </c>
      <c r="AB89">
        <v>0</v>
      </c>
      <c r="AC89">
        <v>0</v>
      </c>
      <c r="AD89">
        <v>0</v>
      </c>
      <c r="AE89">
        <v>0</v>
      </c>
      <c r="AF89">
        <v>0</v>
      </c>
      <c r="AG89" t="s">
        <v>71</v>
      </c>
      <c r="AH89">
        <v>0</v>
      </c>
      <c r="AI89">
        <v>0</v>
      </c>
      <c r="AJ89">
        <v>0</v>
      </c>
      <c r="AK89">
        <v>0</v>
      </c>
      <c r="AL89" t="s">
        <v>108</v>
      </c>
      <c r="AM89" t="s">
        <v>93</v>
      </c>
      <c r="AN89" t="s">
        <v>94</v>
      </c>
      <c r="AO89" t="s">
        <v>92</v>
      </c>
      <c r="AP89">
        <v>0</v>
      </c>
      <c r="AQ89">
        <v>0</v>
      </c>
      <c r="AR89">
        <v>0</v>
      </c>
      <c r="AS89">
        <v>0</v>
      </c>
      <c r="AT89">
        <v>0</v>
      </c>
      <c r="AU89">
        <v>0</v>
      </c>
      <c r="AV89">
        <v>0</v>
      </c>
      <c r="AW89">
        <v>0</v>
      </c>
      <c r="AX89">
        <v>1</v>
      </c>
      <c r="AY89">
        <v>0</v>
      </c>
    </row>
    <row r="90" spans="1:51" x14ac:dyDescent="0.25">
      <c r="A90">
        <v>7</v>
      </c>
      <c r="B90">
        <v>22200</v>
      </c>
      <c r="C90" t="s">
        <v>735</v>
      </c>
      <c r="D90" t="s">
        <v>96</v>
      </c>
      <c r="E90" t="s">
        <v>121</v>
      </c>
      <c r="F90" t="s">
        <v>111</v>
      </c>
      <c r="G90" t="s">
        <v>101</v>
      </c>
      <c r="H90" t="s">
        <v>78</v>
      </c>
      <c r="I90" t="s">
        <v>79</v>
      </c>
      <c r="J90" t="s">
        <v>119</v>
      </c>
      <c r="K90" t="s">
        <v>75</v>
      </c>
      <c r="L90" t="s">
        <v>76</v>
      </c>
      <c r="M90" t="s">
        <v>103</v>
      </c>
      <c r="N90" t="s">
        <v>74</v>
      </c>
      <c r="O90" t="s">
        <v>104</v>
      </c>
      <c r="P90" t="s">
        <v>71</v>
      </c>
      <c r="Q90" t="s">
        <v>71</v>
      </c>
      <c r="R90" t="s">
        <v>71</v>
      </c>
      <c r="S90">
        <v>0</v>
      </c>
      <c r="T90">
        <v>0</v>
      </c>
      <c r="U90" t="s">
        <v>72</v>
      </c>
      <c r="V90" t="s">
        <v>73</v>
      </c>
      <c r="W90">
        <v>0</v>
      </c>
      <c r="X90">
        <v>0</v>
      </c>
      <c r="Y90">
        <v>0</v>
      </c>
      <c r="Z90">
        <v>0</v>
      </c>
      <c r="AA90">
        <v>0</v>
      </c>
      <c r="AB90">
        <v>0</v>
      </c>
      <c r="AC90">
        <v>0</v>
      </c>
      <c r="AD90">
        <v>0</v>
      </c>
      <c r="AE90">
        <v>0</v>
      </c>
      <c r="AF90">
        <v>0</v>
      </c>
      <c r="AG90" t="s">
        <v>71</v>
      </c>
      <c r="AH90">
        <v>0</v>
      </c>
      <c r="AI90">
        <v>0</v>
      </c>
      <c r="AJ90">
        <v>0</v>
      </c>
      <c r="AK90">
        <v>0</v>
      </c>
      <c r="AL90" t="s">
        <v>108</v>
      </c>
      <c r="AM90" t="s">
        <v>93</v>
      </c>
      <c r="AN90" t="s">
        <v>94</v>
      </c>
      <c r="AO90" t="s">
        <v>92</v>
      </c>
      <c r="AP90">
        <v>0</v>
      </c>
      <c r="AQ90">
        <v>0</v>
      </c>
      <c r="AR90">
        <v>0</v>
      </c>
      <c r="AS90">
        <v>0</v>
      </c>
      <c r="AT90">
        <v>0</v>
      </c>
      <c r="AU90">
        <v>0</v>
      </c>
      <c r="AV90">
        <v>0</v>
      </c>
      <c r="AW90">
        <v>0</v>
      </c>
      <c r="AX90">
        <v>0</v>
      </c>
      <c r="AY90">
        <v>0</v>
      </c>
    </row>
    <row r="91" spans="1:51" x14ac:dyDescent="0.25">
      <c r="A91">
        <v>7</v>
      </c>
      <c r="B91">
        <v>22210</v>
      </c>
      <c r="C91" t="s">
        <v>735</v>
      </c>
      <c r="D91" t="s">
        <v>96</v>
      </c>
      <c r="E91" t="s">
        <v>121</v>
      </c>
      <c r="F91" t="s">
        <v>111</v>
      </c>
      <c r="G91" t="s">
        <v>101</v>
      </c>
      <c r="H91" t="s">
        <v>78</v>
      </c>
      <c r="I91" t="s">
        <v>79</v>
      </c>
      <c r="J91" t="s">
        <v>119</v>
      </c>
      <c r="K91" t="s">
        <v>75</v>
      </c>
      <c r="L91" t="s">
        <v>76</v>
      </c>
      <c r="M91" t="s">
        <v>103</v>
      </c>
      <c r="N91" t="s">
        <v>74</v>
      </c>
      <c r="O91" t="s">
        <v>104</v>
      </c>
      <c r="P91" t="s">
        <v>71</v>
      </c>
      <c r="Q91" t="s">
        <v>71</v>
      </c>
      <c r="R91" t="s">
        <v>71</v>
      </c>
      <c r="S91">
        <v>0</v>
      </c>
      <c r="T91">
        <v>0</v>
      </c>
      <c r="U91" t="s">
        <v>72</v>
      </c>
      <c r="V91" t="s">
        <v>73</v>
      </c>
      <c r="W91">
        <v>0</v>
      </c>
      <c r="X91">
        <v>0</v>
      </c>
      <c r="Y91">
        <v>0</v>
      </c>
      <c r="Z91">
        <v>0</v>
      </c>
      <c r="AA91">
        <v>0</v>
      </c>
      <c r="AB91">
        <v>0</v>
      </c>
      <c r="AC91">
        <v>0</v>
      </c>
      <c r="AD91">
        <v>0</v>
      </c>
      <c r="AE91">
        <v>0</v>
      </c>
      <c r="AF91">
        <v>0</v>
      </c>
      <c r="AG91" t="s">
        <v>71</v>
      </c>
      <c r="AH91">
        <v>0</v>
      </c>
      <c r="AI91">
        <v>0</v>
      </c>
      <c r="AJ91">
        <v>0</v>
      </c>
      <c r="AK91">
        <v>0</v>
      </c>
      <c r="AL91" t="s">
        <v>108</v>
      </c>
      <c r="AM91" t="s">
        <v>93</v>
      </c>
      <c r="AN91" t="s">
        <v>94</v>
      </c>
      <c r="AO91" t="s">
        <v>92</v>
      </c>
      <c r="AP91">
        <v>0</v>
      </c>
      <c r="AQ91">
        <v>0</v>
      </c>
      <c r="AR91">
        <v>0</v>
      </c>
      <c r="AS91">
        <v>0</v>
      </c>
      <c r="AT91">
        <v>0</v>
      </c>
      <c r="AU91">
        <v>0</v>
      </c>
      <c r="AV91">
        <v>0</v>
      </c>
      <c r="AW91">
        <v>0</v>
      </c>
      <c r="AX91">
        <v>0</v>
      </c>
      <c r="AY91">
        <v>0</v>
      </c>
    </row>
    <row r="92" spans="1:51" x14ac:dyDescent="0.25">
      <c r="A92">
        <v>7</v>
      </c>
      <c r="B92">
        <v>22220</v>
      </c>
      <c r="C92" t="s">
        <v>735</v>
      </c>
      <c r="D92" t="s">
        <v>96</v>
      </c>
      <c r="E92" t="s">
        <v>121</v>
      </c>
      <c r="F92" t="s">
        <v>111</v>
      </c>
      <c r="G92" t="s">
        <v>101</v>
      </c>
      <c r="H92" t="s">
        <v>78</v>
      </c>
      <c r="I92" t="s">
        <v>79</v>
      </c>
      <c r="J92" t="s">
        <v>119</v>
      </c>
      <c r="K92" t="s">
        <v>75</v>
      </c>
      <c r="L92" t="s">
        <v>76</v>
      </c>
      <c r="M92" t="s">
        <v>103</v>
      </c>
      <c r="N92" t="s">
        <v>74</v>
      </c>
      <c r="O92" t="s">
        <v>104</v>
      </c>
      <c r="P92" t="s">
        <v>71</v>
      </c>
      <c r="Q92" t="s">
        <v>71</v>
      </c>
      <c r="R92" t="s">
        <v>71</v>
      </c>
      <c r="S92">
        <v>0</v>
      </c>
      <c r="T92">
        <v>0</v>
      </c>
      <c r="U92" t="s">
        <v>72</v>
      </c>
      <c r="V92" t="s">
        <v>73</v>
      </c>
      <c r="W92">
        <v>0</v>
      </c>
      <c r="X92">
        <v>0</v>
      </c>
      <c r="Y92">
        <v>0</v>
      </c>
      <c r="Z92">
        <v>0</v>
      </c>
      <c r="AA92">
        <v>0</v>
      </c>
      <c r="AB92">
        <v>0</v>
      </c>
      <c r="AC92">
        <v>0</v>
      </c>
      <c r="AD92">
        <v>0</v>
      </c>
      <c r="AE92">
        <v>0</v>
      </c>
      <c r="AF92">
        <v>0</v>
      </c>
      <c r="AG92" t="s">
        <v>71</v>
      </c>
      <c r="AH92">
        <v>0</v>
      </c>
      <c r="AI92">
        <v>0</v>
      </c>
      <c r="AJ92">
        <v>0</v>
      </c>
      <c r="AK92">
        <v>0</v>
      </c>
      <c r="AL92" t="s">
        <v>108</v>
      </c>
      <c r="AM92" t="s">
        <v>93</v>
      </c>
      <c r="AN92" t="s">
        <v>94</v>
      </c>
      <c r="AO92" t="s">
        <v>92</v>
      </c>
      <c r="AP92">
        <v>0</v>
      </c>
      <c r="AQ92">
        <v>0</v>
      </c>
      <c r="AR92">
        <v>0</v>
      </c>
      <c r="AS92">
        <v>0</v>
      </c>
      <c r="AT92">
        <v>0</v>
      </c>
      <c r="AU92">
        <v>0</v>
      </c>
      <c r="AV92">
        <v>0</v>
      </c>
      <c r="AW92">
        <v>0</v>
      </c>
      <c r="AX92">
        <v>0</v>
      </c>
      <c r="AY92">
        <v>0</v>
      </c>
    </row>
    <row r="93" spans="1:51" x14ac:dyDescent="0.25">
      <c r="A93">
        <v>7</v>
      </c>
      <c r="B93">
        <v>22230</v>
      </c>
      <c r="C93" t="s">
        <v>735</v>
      </c>
      <c r="D93" t="s">
        <v>96</v>
      </c>
      <c r="E93" t="s">
        <v>121</v>
      </c>
      <c r="F93" t="s">
        <v>111</v>
      </c>
      <c r="G93" t="s">
        <v>101</v>
      </c>
      <c r="H93" t="s">
        <v>78</v>
      </c>
      <c r="I93" t="s">
        <v>79</v>
      </c>
      <c r="J93" t="s">
        <v>119</v>
      </c>
      <c r="K93" t="s">
        <v>75</v>
      </c>
      <c r="L93" t="s">
        <v>76</v>
      </c>
      <c r="M93" t="s">
        <v>103</v>
      </c>
      <c r="N93" t="s">
        <v>74</v>
      </c>
      <c r="O93" t="s">
        <v>104</v>
      </c>
      <c r="P93" t="s">
        <v>71</v>
      </c>
      <c r="Q93" t="s">
        <v>71</v>
      </c>
      <c r="R93" t="s">
        <v>71</v>
      </c>
      <c r="S93">
        <v>0</v>
      </c>
      <c r="T93">
        <v>0</v>
      </c>
      <c r="U93" t="s">
        <v>72</v>
      </c>
      <c r="V93" t="s">
        <v>73</v>
      </c>
      <c r="W93">
        <v>0</v>
      </c>
      <c r="X93">
        <v>0</v>
      </c>
      <c r="Y93">
        <v>0</v>
      </c>
      <c r="Z93">
        <v>0</v>
      </c>
      <c r="AA93">
        <v>0</v>
      </c>
      <c r="AB93">
        <v>0</v>
      </c>
      <c r="AC93">
        <v>0</v>
      </c>
      <c r="AD93">
        <v>0</v>
      </c>
      <c r="AE93">
        <v>0</v>
      </c>
      <c r="AF93">
        <v>0</v>
      </c>
      <c r="AG93" t="s">
        <v>71</v>
      </c>
      <c r="AH93">
        <v>0</v>
      </c>
      <c r="AI93">
        <v>0</v>
      </c>
      <c r="AJ93">
        <v>0</v>
      </c>
      <c r="AK93">
        <v>0</v>
      </c>
      <c r="AL93" t="s">
        <v>108</v>
      </c>
      <c r="AM93" t="s">
        <v>93</v>
      </c>
      <c r="AN93" t="s">
        <v>94</v>
      </c>
      <c r="AO93" t="s">
        <v>92</v>
      </c>
      <c r="AP93">
        <v>0</v>
      </c>
      <c r="AQ93">
        <v>0</v>
      </c>
      <c r="AR93">
        <v>0</v>
      </c>
      <c r="AS93">
        <v>0</v>
      </c>
      <c r="AT93">
        <v>0</v>
      </c>
      <c r="AU93">
        <v>0</v>
      </c>
      <c r="AV93">
        <v>0</v>
      </c>
      <c r="AW93">
        <v>0</v>
      </c>
      <c r="AX93">
        <v>0</v>
      </c>
      <c r="AY93">
        <v>0</v>
      </c>
    </row>
    <row r="94" spans="1:51" x14ac:dyDescent="0.25">
      <c r="A94">
        <v>7</v>
      </c>
      <c r="B94">
        <v>22240</v>
      </c>
      <c r="C94" t="s">
        <v>735</v>
      </c>
      <c r="D94" t="s">
        <v>96</v>
      </c>
      <c r="E94" t="s">
        <v>121</v>
      </c>
      <c r="F94" t="s">
        <v>111</v>
      </c>
      <c r="G94" t="s">
        <v>101</v>
      </c>
      <c r="H94" t="s">
        <v>78</v>
      </c>
      <c r="I94" t="s">
        <v>79</v>
      </c>
      <c r="J94" t="s">
        <v>119</v>
      </c>
      <c r="K94" t="s">
        <v>75</v>
      </c>
      <c r="L94" t="s">
        <v>76</v>
      </c>
      <c r="M94" t="s">
        <v>103</v>
      </c>
      <c r="N94" t="s">
        <v>74</v>
      </c>
      <c r="O94" t="s">
        <v>104</v>
      </c>
      <c r="P94" t="s">
        <v>110</v>
      </c>
      <c r="Q94" t="s">
        <v>71</v>
      </c>
      <c r="R94" t="s">
        <v>71</v>
      </c>
      <c r="S94">
        <v>0</v>
      </c>
      <c r="T94">
        <v>0</v>
      </c>
      <c r="U94" t="s">
        <v>72</v>
      </c>
      <c r="V94" t="s">
        <v>73</v>
      </c>
      <c r="W94">
        <v>0</v>
      </c>
      <c r="X94">
        <v>0</v>
      </c>
      <c r="Y94">
        <v>0</v>
      </c>
      <c r="Z94">
        <v>0</v>
      </c>
      <c r="AA94">
        <v>0</v>
      </c>
      <c r="AB94">
        <v>0</v>
      </c>
      <c r="AC94">
        <v>0</v>
      </c>
      <c r="AD94">
        <v>0</v>
      </c>
      <c r="AE94">
        <v>0</v>
      </c>
      <c r="AF94">
        <v>0</v>
      </c>
      <c r="AG94" t="s">
        <v>71</v>
      </c>
      <c r="AH94">
        <v>0</v>
      </c>
      <c r="AI94">
        <v>0</v>
      </c>
      <c r="AJ94">
        <v>0</v>
      </c>
      <c r="AK94">
        <v>0</v>
      </c>
      <c r="AL94" t="s">
        <v>108</v>
      </c>
      <c r="AM94" t="s">
        <v>93</v>
      </c>
      <c r="AN94" t="s">
        <v>94</v>
      </c>
      <c r="AO94" t="s">
        <v>92</v>
      </c>
      <c r="AP94">
        <v>0</v>
      </c>
      <c r="AQ94">
        <v>0</v>
      </c>
      <c r="AR94">
        <v>0</v>
      </c>
      <c r="AS94">
        <v>0</v>
      </c>
      <c r="AT94">
        <v>0</v>
      </c>
      <c r="AU94">
        <v>0</v>
      </c>
      <c r="AV94">
        <v>0</v>
      </c>
      <c r="AW94">
        <v>0</v>
      </c>
      <c r="AX94">
        <v>2</v>
      </c>
      <c r="AY94">
        <v>0</v>
      </c>
    </row>
    <row r="95" spans="1:51" x14ac:dyDescent="0.25">
      <c r="A95">
        <v>7</v>
      </c>
      <c r="B95">
        <v>22250</v>
      </c>
      <c r="C95" t="s">
        <v>735</v>
      </c>
      <c r="D95" t="s">
        <v>96</v>
      </c>
      <c r="E95" t="s">
        <v>121</v>
      </c>
      <c r="F95" t="s">
        <v>111</v>
      </c>
      <c r="G95" t="s">
        <v>101</v>
      </c>
      <c r="H95" t="s">
        <v>78</v>
      </c>
      <c r="I95" t="s">
        <v>79</v>
      </c>
      <c r="J95" t="s">
        <v>119</v>
      </c>
      <c r="K95" t="s">
        <v>75</v>
      </c>
      <c r="L95" t="s">
        <v>76</v>
      </c>
      <c r="M95" t="s">
        <v>103</v>
      </c>
      <c r="N95" t="s">
        <v>74</v>
      </c>
      <c r="O95" t="s">
        <v>104</v>
      </c>
      <c r="P95" t="s">
        <v>110</v>
      </c>
      <c r="Q95" t="s">
        <v>71</v>
      </c>
      <c r="R95" t="s">
        <v>71</v>
      </c>
      <c r="S95">
        <v>0</v>
      </c>
      <c r="T95">
        <v>0</v>
      </c>
      <c r="U95" t="s">
        <v>72</v>
      </c>
      <c r="V95" t="s">
        <v>73</v>
      </c>
      <c r="W95">
        <v>0</v>
      </c>
      <c r="X95">
        <v>0</v>
      </c>
      <c r="Y95">
        <v>0</v>
      </c>
      <c r="Z95">
        <v>0</v>
      </c>
      <c r="AA95">
        <v>0</v>
      </c>
      <c r="AB95">
        <v>0</v>
      </c>
      <c r="AC95">
        <v>0</v>
      </c>
      <c r="AD95">
        <v>0</v>
      </c>
      <c r="AE95">
        <v>0</v>
      </c>
      <c r="AF95">
        <v>0</v>
      </c>
      <c r="AG95" t="s">
        <v>71</v>
      </c>
      <c r="AH95">
        <v>0</v>
      </c>
      <c r="AI95">
        <v>0</v>
      </c>
      <c r="AJ95">
        <v>0</v>
      </c>
      <c r="AK95">
        <v>0</v>
      </c>
      <c r="AL95" t="s">
        <v>108</v>
      </c>
      <c r="AM95" t="s">
        <v>93</v>
      </c>
      <c r="AN95" t="s">
        <v>94</v>
      </c>
      <c r="AO95" t="s">
        <v>92</v>
      </c>
      <c r="AP95">
        <v>0</v>
      </c>
      <c r="AQ95">
        <v>0</v>
      </c>
      <c r="AR95">
        <v>0</v>
      </c>
      <c r="AS95">
        <v>0</v>
      </c>
      <c r="AT95">
        <v>0</v>
      </c>
      <c r="AU95">
        <v>0</v>
      </c>
      <c r="AV95">
        <v>0</v>
      </c>
      <c r="AW95">
        <v>0</v>
      </c>
      <c r="AX95">
        <v>2</v>
      </c>
      <c r="AY95">
        <v>0</v>
      </c>
    </row>
    <row r="96" spans="1:51" x14ac:dyDescent="0.25">
      <c r="A96">
        <v>7</v>
      </c>
      <c r="B96">
        <v>22260</v>
      </c>
      <c r="C96" t="s">
        <v>735</v>
      </c>
      <c r="D96" t="s">
        <v>96</v>
      </c>
      <c r="E96" t="s">
        <v>121</v>
      </c>
      <c r="F96" t="s">
        <v>111</v>
      </c>
      <c r="G96" t="s">
        <v>101</v>
      </c>
      <c r="H96" t="s">
        <v>78</v>
      </c>
      <c r="I96" t="s">
        <v>79</v>
      </c>
      <c r="J96" t="s">
        <v>119</v>
      </c>
      <c r="K96" t="s">
        <v>75</v>
      </c>
      <c r="L96" t="s">
        <v>76</v>
      </c>
      <c r="M96" t="s">
        <v>103</v>
      </c>
      <c r="N96" t="s">
        <v>74</v>
      </c>
      <c r="O96" t="s">
        <v>104</v>
      </c>
      <c r="P96" t="s">
        <v>110</v>
      </c>
      <c r="Q96" t="s">
        <v>71</v>
      </c>
      <c r="R96" t="s">
        <v>71</v>
      </c>
      <c r="S96">
        <v>0</v>
      </c>
      <c r="T96">
        <v>0</v>
      </c>
      <c r="U96" t="s">
        <v>72</v>
      </c>
      <c r="V96" t="s">
        <v>73</v>
      </c>
      <c r="W96">
        <v>0</v>
      </c>
      <c r="X96">
        <v>0</v>
      </c>
      <c r="Y96">
        <v>0</v>
      </c>
      <c r="Z96">
        <v>0</v>
      </c>
      <c r="AA96">
        <v>0</v>
      </c>
      <c r="AB96">
        <v>0</v>
      </c>
      <c r="AC96">
        <v>0</v>
      </c>
      <c r="AD96">
        <v>0</v>
      </c>
      <c r="AE96">
        <v>0</v>
      </c>
      <c r="AF96">
        <v>0</v>
      </c>
      <c r="AG96" t="s">
        <v>71</v>
      </c>
      <c r="AH96">
        <v>0</v>
      </c>
      <c r="AI96">
        <v>0</v>
      </c>
      <c r="AJ96">
        <v>0</v>
      </c>
      <c r="AK96">
        <v>0</v>
      </c>
      <c r="AL96" t="s">
        <v>108</v>
      </c>
      <c r="AM96" t="s">
        <v>93</v>
      </c>
      <c r="AN96" t="s">
        <v>94</v>
      </c>
      <c r="AO96" t="s">
        <v>92</v>
      </c>
      <c r="AP96">
        <v>0</v>
      </c>
      <c r="AQ96">
        <v>0</v>
      </c>
      <c r="AR96">
        <v>0</v>
      </c>
      <c r="AS96">
        <v>0</v>
      </c>
      <c r="AT96">
        <v>0</v>
      </c>
      <c r="AU96">
        <v>0</v>
      </c>
      <c r="AV96">
        <v>0</v>
      </c>
      <c r="AW96">
        <v>0</v>
      </c>
      <c r="AX96">
        <v>2</v>
      </c>
      <c r="AY96">
        <v>0</v>
      </c>
    </row>
    <row r="97" spans="1:51" x14ac:dyDescent="0.25">
      <c r="A97">
        <v>7</v>
      </c>
      <c r="B97">
        <v>22270</v>
      </c>
      <c r="C97" t="s">
        <v>735</v>
      </c>
      <c r="D97" t="s">
        <v>96</v>
      </c>
      <c r="E97" t="s">
        <v>121</v>
      </c>
      <c r="F97" t="s">
        <v>111</v>
      </c>
      <c r="G97" t="s">
        <v>101</v>
      </c>
      <c r="H97" t="s">
        <v>78</v>
      </c>
      <c r="I97" t="s">
        <v>79</v>
      </c>
      <c r="J97" t="s">
        <v>119</v>
      </c>
      <c r="K97" t="s">
        <v>75</v>
      </c>
      <c r="L97" t="s">
        <v>76</v>
      </c>
      <c r="M97" t="s">
        <v>103</v>
      </c>
      <c r="N97" t="s">
        <v>74</v>
      </c>
      <c r="O97" t="s">
        <v>104</v>
      </c>
      <c r="P97" t="s">
        <v>110</v>
      </c>
      <c r="Q97" t="s">
        <v>71</v>
      </c>
      <c r="R97" t="s">
        <v>71</v>
      </c>
      <c r="S97">
        <v>0</v>
      </c>
      <c r="T97">
        <v>0</v>
      </c>
      <c r="U97" t="s">
        <v>72</v>
      </c>
      <c r="V97" t="s">
        <v>73</v>
      </c>
      <c r="W97">
        <v>0</v>
      </c>
      <c r="X97">
        <v>0</v>
      </c>
      <c r="Y97">
        <v>0</v>
      </c>
      <c r="Z97">
        <v>0</v>
      </c>
      <c r="AA97">
        <v>0</v>
      </c>
      <c r="AB97">
        <v>0</v>
      </c>
      <c r="AC97">
        <v>0</v>
      </c>
      <c r="AD97">
        <v>0</v>
      </c>
      <c r="AE97">
        <v>0</v>
      </c>
      <c r="AF97">
        <v>0</v>
      </c>
      <c r="AG97" t="s">
        <v>71</v>
      </c>
      <c r="AH97">
        <v>0</v>
      </c>
      <c r="AI97">
        <v>0</v>
      </c>
      <c r="AJ97">
        <v>0</v>
      </c>
      <c r="AK97">
        <v>0</v>
      </c>
      <c r="AL97" t="s">
        <v>108</v>
      </c>
      <c r="AM97" t="s">
        <v>93</v>
      </c>
      <c r="AN97" t="s">
        <v>94</v>
      </c>
      <c r="AO97" t="s">
        <v>92</v>
      </c>
      <c r="AP97">
        <v>0</v>
      </c>
      <c r="AQ97">
        <v>0</v>
      </c>
      <c r="AR97">
        <v>0</v>
      </c>
      <c r="AS97">
        <v>0</v>
      </c>
      <c r="AT97">
        <v>0</v>
      </c>
      <c r="AU97">
        <v>0</v>
      </c>
      <c r="AV97">
        <v>0</v>
      </c>
      <c r="AW97">
        <v>0</v>
      </c>
      <c r="AX97">
        <v>2</v>
      </c>
      <c r="AY97">
        <v>0</v>
      </c>
    </row>
    <row r="98" spans="1:51" x14ac:dyDescent="0.25">
      <c r="A98">
        <v>7</v>
      </c>
      <c r="B98">
        <v>22280</v>
      </c>
      <c r="C98" t="s">
        <v>735</v>
      </c>
      <c r="D98" t="s">
        <v>96</v>
      </c>
      <c r="E98" t="s">
        <v>121</v>
      </c>
      <c r="F98" t="s">
        <v>111</v>
      </c>
      <c r="G98" t="s">
        <v>101</v>
      </c>
      <c r="H98" t="s">
        <v>78</v>
      </c>
      <c r="I98" t="s">
        <v>79</v>
      </c>
      <c r="J98" t="s">
        <v>119</v>
      </c>
      <c r="K98" t="s">
        <v>75</v>
      </c>
      <c r="L98" t="s">
        <v>76</v>
      </c>
      <c r="M98" t="s">
        <v>103</v>
      </c>
      <c r="N98" t="s">
        <v>74</v>
      </c>
      <c r="O98" t="s">
        <v>104</v>
      </c>
      <c r="P98" t="s">
        <v>71</v>
      </c>
      <c r="Q98" t="s">
        <v>71</v>
      </c>
      <c r="R98" t="s">
        <v>71</v>
      </c>
      <c r="S98">
        <v>0</v>
      </c>
      <c r="T98">
        <v>0</v>
      </c>
      <c r="U98" t="s">
        <v>72</v>
      </c>
      <c r="V98" t="s">
        <v>73</v>
      </c>
      <c r="W98">
        <v>0</v>
      </c>
      <c r="X98">
        <v>0</v>
      </c>
      <c r="Y98">
        <v>0</v>
      </c>
      <c r="Z98">
        <v>0</v>
      </c>
      <c r="AA98">
        <v>0</v>
      </c>
      <c r="AB98">
        <v>0</v>
      </c>
      <c r="AC98">
        <v>0</v>
      </c>
      <c r="AD98">
        <v>0</v>
      </c>
      <c r="AE98">
        <v>0</v>
      </c>
      <c r="AF98">
        <v>0</v>
      </c>
      <c r="AG98" t="s">
        <v>71</v>
      </c>
      <c r="AH98">
        <v>0</v>
      </c>
      <c r="AI98">
        <v>0</v>
      </c>
      <c r="AJ98">
        <v>0</v>
      </c>
      <c r="AK98">
        <v>0</v>
      </c>
      <c r="AL98" t="s">
        <v>108</v>
      </c>
      <c r="AM98" t="s">
        <v>93</v>
      </c>
      <c r="AN98" t="s">
        <v>94</v>
      </c>
      <c r="AO98" t="s">
        <v>92</v>
      </c>
      <c r="AP98">
        <v>0</v>
      </c>
      <c r="AQ98">
        <v>0</v>
      </c>
      <c r="AR98">
        <v>0</v>
      </c>
      <c r="AS98">
        <v>0</v>
      </c>
      <c r="AT98">
        <v>0</v>
      </c>
      <c r="AU98">
        <v>0</v>
      </c>
      <c r="AV98">
        <v>0</v>
      </c>
      <c r="AW98">
        <v>0</v>
      </c>
      <c r="AX98">
        <v>2</v>
      </c>
      <c r="AY98">
        <v>0</v>
      </c>
    </row>
    <row r="99" spans="1:51" x14ac:dyDescent="0.25">
      <c r="A99">
        <v>7</v>
      </c>
      <c r="B99">
        <v>22290</v>
      </c>
      <c r="C99" t="s">
        <v>735</v>
      </c>
      <c r="D99" t="s">
        <v>96</v>
      </c>
      <c r="E99" t="s">
        <v>121</v>
      </c>
      <c r="F99" t="s">
        <v>111</v>
      </c>
      <c r="G99" t="s">
        <v>101</v>
      </c>
      <c r="H99" t="s">
        <v>78</v>
      </c>
      <c r="I99" t="s">
        <v>79</v>
      </c>
      <c r="J99" t="s">
        <v>119</v>
      </c>
      <c r="K99" t="s">
        <v>75</v>
      </c>
      <c r="L99" t="s">
        <v>76</v>
      </c>
      <c r="M99" t="s">
        <v>103</v>
      </c>
      <c r="N99" t="s">
        <v>74</v>
      </c>
      <c r="O99" t="s">
        <v>104</v>
      </c>
      <c r="P99" t="s">
        <v>71</v>
      </c>
      <c r="Q99" t="s">
        <v>71</v>
      </c>
      <c r="R99" t="s">
        <v>71</v>
      </c>
      <c r="S99">
        <v>0</v>
      </c>
      <c r="T99">
        <v>0</v>
      </c>
      <c r="U99" t="s">
        <v>72</v>
      </c>
      <c r="V99" t="s">
        <v>73</v>
      </c>
      <c r="W99">
        <v>0</v>
      </c>
      <c r="X99">
        <v>0</v>
      </c>
      <c r="Y99">
        <v>0</v>
      </c>
      <c r="Z99">
        <v>0</v>
      </c>
      <c r="AA99">
        <v>0</v>
      </c>
      <c r="AB99">
        <v>0</v>
      </c>
      <c r="AC99">
        <v>0</v>
      </c>
      <c r="AD99">
        <v>0</v>
      </c>
      <c r="AE99">
        <v>0</v>
      </c>
      <c r="AF99">
        <v>0</v>
      </c>
      <c r="AG99" t="s">
        <v>71</v>
      </c>
      <c r="AH99">
        <v>0</v>
      </c>
      <c r="AI99">
        <v>0</v>
      </c>
      <c r="AJ99">
        <v>0</v>
      </c>
      <c r="AK99">
        <v>0</v>
      </c>
      <c r="AL99" t="s">
        <v>108</v>
      </c>
      <c r="AM99" t="s">
        <v>93</v>
      </c>
      <c r="AN99" t="s">
        <v>94</v>
      </c>
      <c r="AO99" t="s">
        <v>92</v>
      </c>
      <c r="AP99">
        <v>0</v>
      </c>
      <c r="AQ99">
        <v>0</v>
      </c>
      <c r="AR99">
        <v>0</v>
      </c>
      <c r="AS99">
        <v>0</v>
      </c>
      <c r="AT99">
        <v>0</v>
      </c>
      <c r="AU99">
        <v>0</v>
      </c>
      <c r="AV99">
        <v>0</v>
      </c>
      <c r="AW99">
        <v>0</v>
      </c>
      <c r="AX99">
        <v>2</v>
      </c>
      <c r="AY99">
        <v>0</v>
      </c>
    </row>
    <row r="100" spans="1:51" x14ac:dyDescent="0.25">
      <c r="A100">
        <v>7</v>
      </c>
      <c r="B100">
        <v>25250</v>
      </c>
      <c r="C100" t="s">
        <v>735</v>
      </c>
      <c r="D100" t="s">
        <v>96</v>
      </c>
      <c r="E100" t="s">
        <v>121</v>
      </c>
      <c r="F100" t="s">
        <v>111</v>
      </c>
      <c r="G100" t="s">
        <v>101</v>
      </c>
      <c r="H100" t="s">
        <v>78</v>
      </c>
      <c r="I100" t="s">
        <v>79</v>
      </c>
      <c r="J100" t="s">
        <v>119</v>
      </c>
      <c r="K100" t="s">
        <v>75</v>
      </c>
      <c r="L100" t="s">
        <v>76</v>
      </c>
      <c r="M100" t="s">
        <v>103</v>
      </c>
      <c r="N100" t="s">
        <v>74</v>
      </c>
      <c r="O100" t="s">
        <v>104</v>
      </c>
      <c r="P100" t="s">
        <v>71</v>
      </c>
      <c r="Q100" t="s">
        <v>71</v>
      </c>
      <c r="R100" t="s">
        <v>71</v>
      </c>
      <c r="S100">
        <v>0</v>
      </c>
      <c r="T100">
        <v>0</v>
      </c>
      <c r="U100" t="s">
        <v>72</v>
      </c>
      <c r="V100" t="s">
        <v>73</v>
      </c>
      <c r="W100">
        <v>0</v>
      </c>
      <c r="X100">
        <v>0</v>
      </c>
      <c r="Y100">
        <v>0</v>
      </c>
      <c r="Z100">
        <v>0</v>
      </c>
      <c r="AA100">
        <v>0</v>
      </c>
      <c r="AB100">
        <v>0</v>
      </c>
      <c r="AC100">
        <v>0</v>
      </c>
      <c r="AD100">
        <v>0</v>
      </c>
      <c r="AE100">
        <v>0</v>
      </c>
      <c r="AF100">
        <v>0</v>
      </c>
      <c r="AG100" t="s">
        <v>71</v>
      </c>
      <c r="AH100">
        <v>0</v>
      </c>
      <c r="AI100">
        <v>0</v>
      </c>
      <c r="AJ100">
        <v>0</v>
      </c>
      <c r="AK100">
        <v>0</v>
      </c>
      <c r="AL100" t="s">
        <v>108</v>
      </c>
      <c r="AM100" t="s">
        <v>93</v>
      </c>
      <c r="AN100" t="s">
        <v>94</v>
      </c>
      <c r="AO100" t="s">
        <v>92</v>
      </c>
      <c r="AP100">
        <v>0</v>
      </c>
      <c r="AQ100">
        <v>0</v>
      </c>
      <c r="AR100">
        <v>0</v>
      </c>
      <c r="AS100">
        <v>0</v>
      </c>
      <c r="AT100">
        <v>0</v>
      </c>
      <c r="AU100">
        <v>0</v>
      </c>
      <c r="AV100">
        <v>0</v>
      </c>
      <c r="AW100">
        <v>0</v>
      </c>
      <c r="AX100">
        <v>2</v>
      </c>
      <c r="AY100">
        <v>0</v>
      </c>
    </row>
    <row r="101" spans="1:51" x14ac:dyDescent="0.25">
      <c r="A101">
        <v>7</v>
      </c>
      <c r="B101">
        <v>25260</v>
      </c>
      <c r="C101" t="s">
        <v>735</v>
      </c>
      <c r="D101" t="s">
        <v>96</v>
      </c>
      <c r="E101" t="s">
        <v>121</v>
      </c>
      <c r="F101" t="s">
        <v>111</v>
      </c>
      <c r="G101" t="s">
        <v>101</v>
      </c>
      <c r="H101" t="s">
        <v>78</v>
      </c>
      <c r="I101" t="s">
        <v>79</v>
      </c>
      <c r="J101" t="s">
        <v>119</v>
      </c>
      <c r="K101" t="s">
        <v>75</v>
      </c>
      <c r="L101" t="s">
        <v>76</v>
      </c>
      <c r="M101" t="s">
        <v>103</v>
      </c>
      <c r="N101" t="s">
        <v>74</v>
      </c>
      <c r="O101" t="s">
        <v>104</v>
      </c>
      <c r="P101" t="s">
        <v>110</v>
      </c>
      <c r="Q101" t="s">
        <v>71</v>
      </c>
      <c r="R101" t="s">
        <v>71</v>
      </c>
      <c r="S101">
        <v>0</v>
      </c>
      <c r="T101">
        <v>0</v>
      </c>
      <c r="U101" t="s">
        <v>72</v>
      </c>
      <c r="V101" t="s">
        <v>73</v>
      </c>
      <c r="W101">
        <v>0</v>
      </c>
      <c r="X101">
        <v>0</v>
      </c>
      <c r="Y101">
        <v>0</v>
      </c>
      <c r="Z101">
        <v>0</v>
      </c>
      <c r="AA101">
        <v>0</v>
      </c>
      <c r="AB101">
        <v>0</v>
      </c>
      <c r="AC101">
        <v>0</v>
      </c>
      <c r="AD101">
        <v>0</v>
      </c>
      <c r="AE101">
        <v>0</v>
      </c>
      <c r="AF101">
        <v>0</v>
      </c>
      <c r="AG101" t="s">
        <v>71</v>
      </c>
      <c r="AH101">
        <v>0</v>
      </c>
      <c r="AI101">
        <v>0</v>
      </c>
      <c r="AJ101">
        <v>0</v>
      </c>
      <c r="AK101">
        <v>0</v>
      </c>
      <c r="AL101" t="s">
        <v>108</v>
      </c>
      <c r="AM101" t="s">
        <v>93</v>
      </c>
      <c r="AN101" t="s">
        <v>94</v>
      </c>
      <c r="AO101" t="s">
        <v>92</v>
      </c>
      <c r="AP101">
        <v>0</v>
      </c>
      <c r="AQ101">
        <v>0</v>
      </c>
      <c r="AR101">
        <v>0</v>
      </c>
      <c r="AS101">
        <v>0</v>
      </c>
      <c r="AT101">
        <v>0</v>
      </c>
      <c r="AU101">
        <v>0</v>
      </c>
      <c r="AV101">
        <v>0</v>
      </c>
      <c r="AW101">
        <v>0</v>
      </c>
      <c r="AX101">
        <v>2</v>
      </c>
      <c r="AY101">
        <v>0</v>
      </c>
    </row>
    <row r="102" spans="1:51" x14ac:dyDescent="0.25">
      <c r="A102">
        <v>7</v>
      </c>
      <c r="B102">
        <v>25270</v>
      </c>
      <c r="C102" t="s">
        <v>735</v>
      </c>
      <c r="D102" t="s">
        <v>96</v>
      </c>
      <c r="E102" t="s">
        <v>121</v>
      </c>
      <c r="F102" t="s">
        <v>111</v>
      </c>
      <c r="G102" t="s">
        <v>101</v>
      </c>
      <c r="H102" t="s">
        <v>78</v>
      </c>
      <c r="I102" t="s">
        <v>79</v>
      </c>
      <c r="J102" t="s">
        <v>119</v>
      </c>
      <c r="K102" t="s">
        <v>75</v>
      </c>
      <c r="L102" t="s">
        <v>76</v>
      </c>
      <c r="M102" t="s">
        <v>103</v>
      </c>
      <c r="N102" t="s">
        <v>74</v>
      </c>
      <c r="O102" t="s">
        <v>104</v>
      </c>
      <c r="P102" t="s">
        <v>71</v>
      </c>
      <c r="Q102" t="s">
        <v>71</v>
      </c>
      <c r="R102" t="s">
        <v>71</v>
      </c>
      <c r="S102">
        <v>0</v>
      </c>
      <c r="T102">
        <v>0</v>
      </c>
      <c r="U102" t="s">
        <v>72</v>
      </c>
      <c r="V102" t="s">
        <v>73</v>
      </c>
      <c r="W102">
        <v>0</v>
      </c>
      <c r="X102">
        <v>0</v>
      </c>
      <c r="Y102">
        <v>0</v>
      </c>
      <c r="Z102">
        <v>0</v>
      </c>
      <c r="AA102">
        <v>0</v>
      </c>
      <c r="AB102">
        <v>0</v>
      </c>
      <c r="AC102">
        <v>0</v>
      </c>
      <c r="AD102">
        <v>0</v>
      </c>
      <c r="AE102">
        <v>0</v>
      </c>
      <c r="AF102">
        <v>0</v>
      </c>
      <c r="AG102" t="s">
        <v>71</v>
      </c>
      <c r="AH102">
        <v>0</v>
      </c>
      <c r="AI102">
        <v>0</v>
      </c>
      <c r="AJ102">
        <v>0</v>
      </c>
      <c r="AK102">
        <v>0</v>
      </c>
      <c r="AL102" t="s">
        <v>108</v>
      </c>
      <c r="AM102" t="s">
        <v>93</v>
      </c>
      <c r="AN102" t="s">
        <v>94</v>
      </c>
      <c r="AO102" t="s">
        <v>92</v>
      </c>
      <c r="AP102">
        <v>0</v>
      </c>
      <c r="AQ102">
        <v>0</v>
      </c>
      <c r="AR102">
        <v>0</v>
      </c>
      <c r="AS102">
        <v>0</v>
      </c>
      <c r="AT102">
        <v>0</v>
      </c>
      <c r="AU102">
        <v>0</v>
      </c>
      <c r="AV102">
        <v>0</v>
      </c>
      <c r="AW102">
        <v>0</v>
      </c>
      <c r="AX102">
        <v>2</v>
      </c>
      <c r="AY102">
        <v>0</v>
      </c>
    </row>
    <row r="103" spans="1:51" x14ac:dyDescent="0.25">
      <c r="A103">
        <v>7</v>
      </c>
      <c r="B103">
        <v>25280</v>
      </c>
      <c r="C103" t="s">
        <v>735</v>
      </c>
      <c r="D103" t="s">
        <v>96</v>
      </c>
      <c r="E103" t="s">
        <v>121</v>
      </c>
      <c r="F103" t="s">
        <v>111</v>
      </c>
      <c r="G103" t="s">
        <v>101</v>
      </c>
      <c r="H103" t="s">
        <v>78</v>
      </c>
      <c r="I103" t="s">
        <v>79</v>
      </c>
      <c r="J103" t="s">
        <v>119</v>
      </c>
      <c r="K103" t="s">
        <v>75</v>
      </c>
      <c r="L103" t="s">
        <v>76</v>
      </c>
      <c r="M103" t="s">
        <v>103</v>
      </c>
      <c r="N103" t="s">
        <v>74</v>
      </c>
      <c r="O103" t="s">
        <v>104</v>
      </c>
      <c r="P103" t="s">
        <v>71</v>
      </c>
      <c r="Q103" t="s">
        <v>71</v>
      </c>
      <c r="R103" t="s">
        <v>71</v>
      </c>
      <c r="S103">
        <v>0</v>
      </c>
      <c r="T103">
        <v>0</v>
      </c>
      <c r="U103" t="s">
        <v>72</v>
      </c>
      <c r="V103" t="s">
        <v>73</v>
      </c>
      <c r="W103">
        <v>0</v>
      </c>
      <c r="X103">
        <v>0</v>
      </c>
      <c r="Y103">
        <v>0</v>
      </c>
      <c r="Z103">
        <v>0</v>
      </c>
      <c r="AA103">
        <v>0</v>
      </c>
      <c r="AB103">
        <v>0</v>
      </c>
      <c r="AC103">
        <v>0</v>
      </c>
      <c r="AD103">
        <v>0</v>
      </c>
      <c r="AE103">
        <v>0</v>
      </c>
      <c r="AF103">
        <v>0</v>
      </c>
      <c r="AG103" t="s">
        <v>71</v>
      </c>
      <c r="AH103">
        <v>0</v>
      </c>
      <c r="AI103">
        <v>0</v>
      </c>
      <c r="AJ103">
        <v>0</v>
      </c>
      <c r="AK103">
        <v>0</v>
      </c>
      <c r="AL103" t="s">
        <v>108</v>
      </c>
      <c r="AM103" t="s">
        <v>93</v>
      </c>
      <c r="AN103" t="s">
        <v>94</v>
      </c>
      <c r="AO103" t="s">
        <v>92</v>
      </c>
      <c r="AP103">
        <v>0</v>
      </c>
      <c r="AQ103">
        <v>0</v>
      </c>
      <c r="AR103">
        <v>0</v>
      </c>
      <c r="AS103">
        <v>0</v>
      </c>
      <c r="AT103">
        <v>0</v>
      </c>
      <c r="AU103">
        <v>0</v>
      </c>
      <c r="AV103">
        <v>0</v>
      </c>
      <c r="AW103">
        <v>0</v>
      </c>
      <c r="AX103">
        <v>2</v>
      </c>
      <c r="AY103">
        <v>0</v>
      </c>
    </row>
    <row r="104" spans="1:51" x14ac:dyDescent="0.25">
      <c r="A104">
        <v>7</v>
      </c>
      <c r="B104">
        <v>28250</v>
      </c>
      <c r="C104" t="s">
        <v>735</v>
      </c>
      <c r="D104" t="s">
        <v>96</v>
      </c>
      <c r="E104" t="s">
        <v>121</v>
      </c>
      <c r="F104" t="s">
        <v>111</v>
      </c>
      <c r="G104" t="s">
        <v>101</v>
      </c>
      <c r="H104" t="s">
        <v>78</v>
      </c>
      <c r="I104" t="s">
        <v>79</v>
      </c>
      <c r="J104" t="s">
        <v>119</v>
      </c>
      <c r="K104" t="s">
        <v>75</v>
      </c>
      <c r="L104" t="s">
        <v>76</v>
      </c>
      <c r="M104" t="s">
        <v>103</v>
      </c>
      <c r="N104" t="s">
        <v>74</v>
      </c>
      <c r="O104" t="s">
        <v>104</v>
      </c>
      <c r="P104" t="s">
        <v>71</v>
      </c>
      <c r="Q104" t="s">
        <v>71</v>
      </c>
      <c r="R104" t="s">
        <v>71</v>
      </c>
      <c r="S104">
        <v>0</v>
      </c>
      <c r="T104">
        <v>0</v>
      </c>
      <c r="U104" t="s">
        <v>72</v>
      </c>
      <c r="V104" t="s">
        <v>73</v>
      </c>
      <c r="W104">
        <v>0</v>
      </c>
      <c r="X104">
        <v>0</v>
      </c>
      <c r="Y104">
        <v>0</v>
      </c>
      <c r="Z104">
        <v>0</v>
      </c>
      <c r="AA104">
        <v>0</v>
      </c>
      <c r="AB104">
        <v>0</v>
      </c>
      <c r="AC104">
        <v>0</v>
      </c>
      <c r="AD104">
        <v>0</v>
      </c>
      <c r="AE104">
        <v>0</v>
      </c>
      <c r="AF104">
        <v>0</v>
      </c>
      <c r="AG104" t="s">
        <v>71</v>
      </c>
      <c r="AH104">
        <v>0</v>
      </c>
      <c r="AI104">
        <v>0</v>
      </c>
      <c r="AJ104">
        <v>0</v>
      </c>
      <c r="AK104">
        <v>0</v>
      </c>
      <c r="AL104" t="s">
        <v>108</v>
      </c>
      <c r="AM104" t="s">
        <v>93</v>
      </c>
      <c r="AN104" t="s">
        <v>94</v>
      </c>
      <c r="AO104" t="s">
        <v>92</v>
      </c>
      <c r="AP104">
        <v>0</v>
      </c>
      <c r="AQ104">
        <v>0</v>
      </c>
      <c r="AR104">
        <v>0</v>
      </c>
      <c r="AS104">
        <v>0</v>
      </c>
      <c r="AT104">
        <v>0</v>
      </c>
      <c r="AU104">
        <v>0</v>
      </c>
      <c r="AV104">
        <v>0</v>
      </c>
      <c r="AW104">
        <v>0</v>
      </c>
      <c r="AX104">
        <v>2</v>
      </c>
      <c r="AY104">
        <v>0</v>
      </c>
    </row>
    <row r="105" spans="1:51" x14ac:dyDescent="0.25">
      <c r="A105">
        <v>7</v>
      </c>
      <c r="B105">
        <v>28260</v>
      </c>
      <c r="C105" t="s">
        <v>735</v>
      </c>
      <c r="D105" t="s">
        <v>96</v>
      </c>
      <c r="E105" t="s">
        <v>121</v>
      </c>
      <c r="F105" t="s">
        <v>111</v>
      </c>
      <c r="G105" t="s">
        <v>101</v>
      </c>
      <c r="H105" t="s">
        <v>78</v>
      </c>
      <c r="I105" t="s">
        <v>79</v>
      </c>
      <c r="J105" t="s">
        <v>119</v>
      </c>
      <c r="K105" t="s">
        <v>75</v>
      </c>
      <c r="L105" t="s">
        <v>76</v>
      </c>
      <c r="M105" t="s">
        <v>103</v>
      </c>
      <c r="N105" t="s">
        <v>74</v>
      </c>
      <c r="O105" t="s">
        <v>104</v>
      </c>
      <c r="P105" t="s">
        <v>71</v>
      </c>
      <c r="Q105" t="s">
        <v>71</v>
      </c>
      <c r="R105" t="s">
        <v>71</v>
      </c>
      <c r="S105">
        <v>0</v>
      </c>
      <c r="T105">
        <v>0</v>
      </c>
      <c r="U105" t="s">
        <v>72</v>
      </c>
      <c r="V105" t="s">
        <v>73</v>
      </c>
      <c r="W105">
        <v>0</v>
      </c>
      <c r="X105">
        <v>0</v>
      </c>
      <c r="Y105">
        <v>0</v>
      </c>
      <c r="Z105">
        <v>0</v>
      </c>
      <c r="AA105">
        <v>0</v>
      </c>
      <c r="AB105">
        <v>0</v>
      </c>
      <c r="AC105">
        <v>0</v>
      </c>
      <c r="AD105">
        <v>0</v>
      </c>
      <c r="AE105">
        <v>0</v>
      </c>
      <c r="AF105">
        <v>0</v>
      </c>
      <c r="AG105" t="s">
        <v>71</v>
      </c>
      <c r="AH105">
        <v>0</v>
      </c>
      <c r="AI105">
        <v>0</v>
      </c>
      <c r="AJ105">
        <v>0</v>
      </c>
      <c r="AK105">
        <v>0</v>
      </c>
      <c r="AL105" t="s">
        <v>108</v>
      </c>
      <c r="AM105" t="s">
        <v>93</v>
      </c>
      <c r="AN105" t="s">
        <v>94</v>
      </c>
      <c r="AO105" t="s">
        <v>92</v>
      </c>
      <c r="AP105">
        <v>0</v>
      </c>
      <c r="AQ105">
        <v>0</v>
      </c>
      <c r="AR105">
        <v>0</v>
      </c>
      <c r="AS105">
        <v>0</v>
      </c>
      <c r="AT105">
        <v>0</v>
      </c>
      <c r="AU105">
        <v>0</v>
      </c>
      <c r="AV105">
        <v>0</v>
      </c>
      <c r="AW105">
        <v>0</v>
      </c>
      <c r="AX105">
        <v>0</v>
      </c>
      <c r="AY105">
        <v>0</v>
      </c>
    </row>
    <row r="106" spans="1:51" x14ac:dyDescent="0.25">
      <c r="A106">
        <v>7</v>
      </c>
      <c r="B106">
        <v>28270</v>
      </c>
      <c r="C106" t="s">
        <v>735</v>
      </c>
      <c r="D106" t="s">
        <v>96</v>
      </c>
      <c r="E106" t="s">
        <v>121</v>
      </c>
      <c r="F106" t="s">
        <v>111</v>
      </c>
      <c r="G106" t="s">
        <v>101</v>
      </c>
      <c r="H106" t="s">
        <v>78</v>
      </c>
      <c r="I106" t="s">
        <v>79</v>
      </c>
      <c r="J106" t="s">
        <v>119</v>
      </c>
      <c r="K106" t="s">
        <v>75</v>
      </c>
      <c r="L106" t="s">
        <v>76</v>
      </c>
      <c r="M106" t="s">
        <v>103</v>
      </c>
      <c r="N106" t="s">
        <v>74</v>
      </c>
      <c r="O106" t="s">
        <v>104</v>
      </c>
      <c r="P106" t="s">
        <v>71</v>
      </c>
      <c r="Q106" t="s">
        <v>71</v>
      </c>
      <c r="R106" t="s">
        <v>71</v>
      </c>
      <c r="S106">
        <v>0</v>
      </c>
      <c r="T106">
        <v>0</v>
      </c>
      <c r="U106" t="s">
        <v>72</v>
      </c>
      <c r="V106" t="s">
        <v>73</v>
      </c>
      <c r="W106">
        <v>0</v>
      </c>
      <c r="X106">
        <v>0</v>
      </c>
      <c r="Y106">
        <v>0</v>
      </c>
      <c r="Z106">
        <v>0</v>
      </c>
      <c r="AA106">
        <v>0</v>
      </c>
      <c r="AB106">
        <v>0</v>
      </c>
      <c r="AC106">
        <v>0</v>
      </c>
      <c r="AD106">
        <v>0</v>
      </c>
      <c r="AE106">
        <v>0</v>
      </c>
      <c r="AF106">
        <v>0</v>
      </c>
      <c r="AG106" t="s">
        <v>71</v>
      </c>
      <c r="AH106">
        <v>0</v>
      </c>
      <c r="AI106">
        <v>0</v>
      </c>
      <c r="AJ106">
        <v>0</v>
      </c>
      <c r="AK106">
        <v>0</v>
      </c>
      <c r="AL106" t="s">
        <v>108</v>
      </c>
      <c r="AM106" t="s">
        <v>93</v>
      </c>
      <c r="AN106" t="s">
        <v>94</v>
      </c>
      <c r="AO106" t="s">
        <v>92</v>
      </c>
      <c r="AP106">
        <v>0</v>
      </c>
      <c r="AQ106">
        <v>0</v>
      </c>
      <c r="AR106">
        <v>0</v>
      </c>
      <c r="AS106">
        <v>0</v>
      </c>
      <c r="AT106">
        <v>0</v>
      </c>
      <c r="AU106">
        <v>0</v>
      </c>
      <c r="AV106">
        <v>0</v>
      </c>
      <c r="AW106">
        <v>0</v>
      </c>
      <c r="AX106">
        <v>0</v>
      </c>
      <c r="AY106">
        <v>0</v>
      </c>
    </row>
    <row r="107" spans="1:51" x14ac:dyDescent="0.25">
      <c r="A107">
        <v>7</v>
      </c>
      <c r="B107">
        <v>28280</v>
      </c>
      <c r="C107" t="s">
        <v>735</v>
      </c>
      <c r="D107" t="s">
        <v>96</v>
      </c>
      <c r="E107" t="s">
        <v>121</v>
      </c>
      <c r="F107" t="s">
        <v>111</v>
      </c>
      <c r="G107" t="s">
        <v>101</v>
      </c>
      <c r="H107" t="s">
        <v>78</v>
      </c>
      <c r="I107" t="s">
        <v>79</v>
      </c>
      <c r="J107" t="s">
        <v>119</v>
      </c>
      <c r="K107" t="s">
        <v>75</v>
      </c>
      <c r="L107" t="s">
        <v>76</v>
      </c>
      <c r="M107" t="s">
        <v>103</v>
      </c>
      <c r="N107" t="s">
        <v>74</v>
      </c>
      <c r="O107" t="s">
        <v>104</v>
      </c>
      <c r="P107" t="s">
        <v>71</v>
      </c>
      <c r="Q107" t="s">
        <v>71</v>
      </c>
      <c r="R107" t="s">
        <v>71</v>
      </c>
      <c r="S107">
        <v>0</v>
      </c>
      <c r="T107">
        <v>0</v>
      </c>
      <c r="U107" t="s">
        <v>72</v>
      </c>
      <c r="V107" t="s">
        <v>73</v>
      </c>
      <c r="W107">
        <v>0</v>
      </c>
      <c r="X107">
        <v>0</v>
      </c>
      <c r="Y107">
        <v>0</v>
      </c>
      <c r="Z107">
        <v>0</v>
      </c>
      <c r="AA107">
        <v>0</v>
      </c>
      <c r="AB107">
        <v>0</v>
      </c>
      <c r="AC107">
        <v>0</v>
      </c>
      <c r="AD107">
        <v>0</v>
      </c>
      <c r="AE107">
        <v>0</v>
      </c>
      <c r="AF107">
        <v>0</v>
      </c>
      <c r="AG107" t="s">
        <v>71</v>
      </c>
      <c r="AH107">
        <v>0</v>
      </c>
      <c r="AI107">
        <v>0</v>
      </c>
      <c r="AJ107">
        <v>0</v>
      </c>
      <c r="AK107">
        <v>0</v>
      </c>
      <c r="AL107" t="s">
        <v>108</v>
      </c>
      <c r="AM107" t="s">
        <v>93</v>
      </c>
      <c r="AN107" t="s">
        <v>94</v>
      </c>
      <c r="AO107" t="s">
        <v>92</v>
      </c>
      <c r="AP107">
        <v>0</v>
      </c>
      <c r="AQ107">
        <v>0</v>
      </c>
      <c r="AR107">
        <v>0</v>
      </c>
      <c r="AS107">
        <v>0</v>
      </c>
      <c r="AT107">
        <v>0</v>
      </c>
      <c r="AU107">
        <v>0</v>
      </c>
      <c r="AV107">
        <v>0</v>
      </c>
      <c r="AW107">
        <v>0</v>
      </c>
      <c r="AX107">
        <v>0</v>
      </c>
      <c r="AY107">
        <v>0</v>
      </c>
    </row>
    <row r="108" spans="1:51" x14ac:dyDescent="0.25">
      <c r="A108">
        <v>7</v>
      </c>
      <c r="B108">
        <v>28290</v>
      </c>
      <c r="C108" t="s">
        <v>735</v>
      </c>
      <c r="D108" t="s">
        <v>96</v>
      </c>
      <c r="E108" t="s">
        <v>121</v>
      </c>
      <c r="F108" t="s">
        <v>111</v>
      </c>
      <c r="G108" t="s">
        <v>101</v>
      </c>
      <c r="H108" t="s">
        <v>78</v>
      </c>
      <c r="I108" t="s">
        <v>79</v>
      </c>
      <c r="J108" t="s">
        <v>119</v>
      </c>
      <c r="K108" t="s">
        <v>75</v>
      </c>
      <c r="L108" t="s">
        <v>76</v>
      </c>
      <c r="M108" t="s">
        <v>103</v>
      </c>
      <c r="N108" t="s">
        <v>74</v>
      </c>
      <c r="O108" t="s">
        <v>104</v>
      </c>
      <c r="P108" t="s">
        <v>71</v>
      </c>
      <c r="Q108" t="s">
        <v>71</v>
      </c>
      <c r="R108" t="s">
        <v>71</v>
      </c>
      <c r="S108">
        <v>0</v>
      </c>
      <c r="T108">
        <v>0</v>
      </c>
      <c r="U108" t="s">
        <v>72</v>
      </c>
      <c r="V108" t="s">
        <v>73</v>
      </c>
      <c r="W108">
        <v>0</v>
      </c>
      <c r="X108">
        <v>0</v>
      </c>
      <c r="Y108">
        <v>0</v>
      </c>
      <c r="Z108">
        <v>0</v>
      </c>
      <c r="AA108">
        <v>0</v>
      </c>
      <c r="AB108">
        <v>0</v>
      </c>
      <c r="AC108">
        <v>0</v>
      </c>
      <c r="AD108">
        <v>0</v>
      </c>
      <c r="AE108">
        <v>0</v>
      </c>
      <c r="AF108">
        <v>0</v>
      </c>
      <c r="AG108" t="s">
        <v>71</v>
      </c>
      <c r="AH108">
        <v>0</v>
      </c>
      <c r="AI108">
        <v>0</v>
      </c>
      <c r="AJ108">
        <v>0</v>
      </c>
      <c r="AK108">
        <v>0</v>
      </c>
      <c r="AL108" t="s">
        <v>108</v>
      </c>
      <c r="AM108" t="s">
        <v>93</v>
      </c>
      <c r="AN108" t="s">
        <v>94</v>
      </c>
      <c r="AO108" t="s">
        <v>92</v>
      </c>
      <c r="AP108">
        <v>0</v>
      </c>
      <c r="AQ108">
        <v>0</v>
      </c>
      <c r="AR108">
        <v>0</v>
      </c>
      <c r="AS108">
        <v>0</v>
      </c>
      <c r="AT108">
        <v>0</v>
      </c>
      <c r="AU108">
        <v>0</v>
      </c>
      <c r="AV108">
        <v>0</v>
      </c>
      <c r="AW108">
        <v>0</v>
      </c>
      <c r="AX108">
        <v>0</v>
      </c>
      <c r="AY108">
        <v>0</v>
      </c>
    </row>
    <row r="109" spans="1:51" x14ac:dyDescent="0.25">
      <c r="A109">
        <v>7</v>
      </c>
      <c r="B109">
        <v>28300</v>
      </c>
      <c r="C109" t="s">
        <v>735</v>
      </c>
      <c r="D109" t="s">
        <v>96</v>
      </c>
      <c r="E109" t="s">
        <v>121</v>
      </c>
      <c r="F109" t="s">
        <v>111</v>
      </c>
      <c r="G109" t="s">
        <v>101</v>
      </c>
      <c r="H109" t="s">
        <v>78</v>
      </c>
      <c r="I109" t="s">
        <v>79</v>
      </c>
      <c r="J109" t="s">
        <v>119</v>
      </c>
      <c r="K109" t="s">
        <v>75</v>
      </c>
      <c r="L109" t="s">
        <v>76</v>
      </c>
      <c r="M109" t="s">
        <v>103</v>
      </c>
      <c r="N109" t="s">
        <v>74</v>
      </c>
      <c r="O109" t="s">
        <v>104</v>
      </c>
      <c r="P109" t="s">
        <v>71</v>
      </c>
      <c r="Q109" t="s">
        <v>71</v>
      </c>
      <c r="R109" t="s">
        <v>110</v>
      </c>
      <c r="S109">
        <v>0</v>
      </c>
      <c r="T109">
        <v>0</v>
      </c>
      <c r="U109" t="s">
        <v>72</v>
      </c>
      <c r="V109" t="s">
        <v>73</v>
      </c>
      <c r="W109">
        <v>0</v>
      </c>
      <c r="X109">
        <v>0</v>
      </c>
      <c r="Y109">
        <v>0</v>
      </c>
      <c r="Z109">
        <v>0</v>
      </c>
      <c r="AA109">
        <v>0</v>
      </c>
      <c r="AB109">
        <v>0</v>
      </c>
      <c r="AC109">
        <v>0</v>
      </c>
      <c r="AD109">
        <v>0</v>
      </c>
      <c r="AE109">
        <v>0</v>
      </c>
      <c r="AF109">
        <v>0</v>
      </c>
      <c r="AG109" t="s">
        <v>71</v>
      </c>
      <c r="AH109">
        <v>0</v>
      </c>
      <c r="AI109">
        <v>0</v>
      </c>
      <c r="AJ109">
        <v>0</v>
      </c>
      <c r="AK109">
        <v>0</v>
      </c>
      <c r="AL109" t="s">
        <v>108</v>
      </c>
      <c r="AM109" t="s">
        <v>93</v>
      </c>
      <c r="AN109" t="s">
        <v>94</v>
      </c>
      <c r="AO109" t="s">
        <v>92</v>
      </c>
      <c r="AP109">
        <v>0</v>
      </c>
      <c r="AQ109">
        <v>0</v>
      </c>
      <c r="AR109">
        <v>0</v>
      </c>
      <c r="AS109">
        <v>0</v>
      </c>
      <c r="AT109">
        <v>0</v>
      </c>
      <c r="AU109">
        <v>0</v>
      </c>
      <c r="AV109">
        <v>0</v>
      </c>
      <c r="AW109">
        <v>0</v>
      </c>
      <c r="AX109">
        <v>4</v>
      </c>
      <c r="AY109">
        <v>0</v>
      </c>
    </row>
    <row r="110" spans="1:51" x14ac:dyDescent="0.25">
      <c r="A110">
        <v>7</v>
      </c>
      <c r="B110">
        <v>28310</v>
      </c>
      <c r="C110" t="s">
        <v>735</v>
      </c>
      <c r="D110" t="s">
        <v>96</v>
      </c>
      <c r="E110" t="s">
        <v>121</v>
      </c>
      <c r="F110" t="s">
        <v>111</v>
      </c>
      <c r="G110" t="s">
        <v>101</v>
      </c>
      <c r="H110" t="s">
        <v>78</v>
      </c>
      <c r="I110" t="s">
        <v>79</v>
      </c>
      <c r="J110" t="s">
        <v>119</v>
      </c>
      <c r="K110" t="s">
        <v>75</v>
      </c>
      <c r="L110" t="s">
        <v>76</v>
      </c>
      <c r="M110" t="s">
        <v>103</v>
      </c>
      <c r="N110" t="s">
        <v>74</v>
      </c>
      <c r="O110" t="s">
        <v>104</v>
      </c>
      <c r="P110" t="s">
        <v>71</v>
      </c>
      <c r="Q110" t="s">
        <v>71</v>
      </c>
      <c r="R110" t="s">
        <v>110</v>
      </c>
      <c r="S110">
        <v>0</v>
      </c>
      <c r="T110">
        <v>0</v>
      </c>
      <c r="U110" t="s">
        <v>72</v>
      </c>
      <c r="V110" t="s">
        <v>73</v>
      </c>
      <c r="W110">
        <v>0</v>
      </c>
      <c r="X110">
        <v>0</v>
      </c>
      <c r="Y110">
        <v>0</v>
      </c>
      <c r="Z110">
        <v>0</v>
      </c>
      <c r="AA110">
        <v>0</v>
      </c>
      <c r="AB110">
        <v>0</v>
      </c>
      <c r="AC110">
        <v>0</v>
      </c>
      <c r="AD110">
        <v>0</v>
      </c>
      <c r="AE110">
        <v>0</v>
      </c>
      <c r="AF110">
        <v>0</v>
      </c>
      <c r="AG110" t="s">
        <v>71</v>
      </c>
      <c r="AH110">
        <v>0</v>
      </c>
      <c r="AI110">
        <v>0</v>
      </c>
      <c r="AJ110">
        <v>0</v>
      </c>
      <c r="AK110">
        <v>0</v>
      </c>
      <c r="AL110" t="s">
        <v>108</v>
      </c>
      <c r="AM110" t="s">
        <v>93</v>
      </c>
      <c r="AN110" t="s">
        <v>94</v>
      </c>
      <c r="AO110" t="s">
        <v>92</v>
      </c>
      <c r="AP110">
        <v>0</v>
      </c>
      <c r="AQ110">
        <v>0</v>
      </c>
      <c r="AR110">
        <v>0</v>
      </c>
      <c r="AS110">
        <v>0</v>
      </c>
      <c r="AT110">
        <v>0</v>
      </c>
      <c r="AU110">
        <v>0</v>
      </c>
      <c r="AV110">
        <v>0</v>
      </c>
      <c r="AW110">
        <v>0</v>
      </c>
      <c r="AX110">
        <v>4</v>
      </c>
      <c r="AY110">
        <v>0</v>
      </c>
    </row>
    <row r="111" spans="1:51" x14ac:dyDescent="0.25">
      <c r="A111">
        <v>7</v>
      </c>
      <c r="B111">
        <v>28320</v>
      </c>
      <c r="C111" t="s">
        <v>735</v>
      </c>
      <c r="D111" t="s">
        <v>96</v>
      </c>
      <c r="E111" t="s">
        <v>121</v>
      </c>
      <c r="F111" t="s">
        <v>111</v>
      </c>
      <c r="G111" t="s">
        <v>101</v>
      </c>
      <c r="H111" t="s">
        <v>78</v>
      </c>
      <c r="I111" t="s">
        <v>79</v>
      </c>
      <c r="J111" t="s">
        <v>119</v>
      </c>
      <c r="K111" t="s">
        <v>75</v>
      </c>
      <c r="L111" t="s">
        <v>76</v>
      </c>
      <c r="M111" t="s">
        <v>103</v>
      </c>
      <c r="N111" t="s">
        <v>74</v>
      </c>
      <c r="O111" t="s">
        <v>104</v>
      </c>
      <c r="P111" t="s">
        <v>71</v>
      </c>
      <c r="Q111" t="s">
        <v>71</v>
      </c>
      <c r="R111" t="s">
        <v>110</v>
      </c>
      <c r="S111">
        <v>0</v>
      </c>
      <c r="T111">
        <v>0</v>
      </c>
      <c r="U111" t="s">
        <v>72</v>
      </c>
      <c r="V111" t="s">
        <v>73</v>
      </c>
      <c r="W111">
        <v>0</v>
      </c>
      <c r="X111">
        <v>0</v>
      </c>
      <c r="Y111">
        <v>0</v>
      </c>
      <c r="Z111">
        <v>0</v>
      </c>
      <c r="AA111">
        <v>0</v>
      </c>
      <c r="AB111">
        <v>0</v>
      </c>
      <c r="AC111">
        <v>0</v>
      </c>
      <c r="AD111">
        <v>0</v>
      </c>
      <c r="AE111">
        <v>0</v>
      </c>
      <c r="AF111">
        <v>0</v>
      </c>
      <c r="AG111" t="s">
        <v>71</v>
      </c>
      <c r="AH111">
        <v>0</v>
      </c>
      <c r="AI111">
        <v>0</v>
      </c>
      <c r="AJ111">
        <v>0</v>
      </c>
      <c r="AK111">
        <v>0</v>
      </c>
      <c r="AL111" t="s">
        <v>108</v>
      </c>
      <c r="AM111" t="s">
        <v>93</v>
      </c>
      <c r="AN111" t="s">
        <v>94</v>
      </c>
      <c r="AO111" t="s">
        <v>92</v>
      </c>
      <c r="AP111">
        <v>0</v>
      </c>
      <c r="AQ111">
        <v>0</v>
      </c>
      <c r="AR111">
        <v>0</v>
      </c>
      <c r="AS111">
        <v>0</v>
      </c>
      <c r="AT111">
        <v>0</v>
      </c>
      <c r="AU111">
        <v>0</v>
      </c>
      <c r="AV111">
        <v>0</v>
      </c>
      <c r="AW111">
        <v>0</v>
      </c>
      <c r="AX111">
        <v>4</v>
      </c>
      <c r="AY111">
        <v>0</v>
      </c>
    </row>
    <row r="112" spans="1:51" x14ac:dyDescent="0.25">
      <c r="A112">
        <v>7</v>
      </c>
      <c r="B112">
        <v>28330</v>
      </c>
      <c r="C112" t="s">
        <v>735</v>
      </c>
      <c r="D112" t="s">
        <v>96</v>
      </c>
      <c r="E112" t="s">
        <v>121</v>
      </c>
      <c r="F112" t="s">
        <v>111</v>
      </c>
      <c r="G112" t="s">
        <v>101</v>
      </c>
      <c r="H112" t="s">
        <v>78</v>
      </c>
      <c r="I112" t="s">
        <v>79</v>
      </c>
      <c r="J112" t="s">
        <v>119</v>
      </c>
      <c r="K112" t="s">
        <v>75</v>
      </c>
      <c r="L112" t="s">
        <v>76</v>
      </c>
      <c r="M112" t="s">
        <v>103</v>
      </c>
      <c r="N112" t="s">
        <v>74</v>
      </c>
      <c r="O112" t="s">
        <v>104</v>
      </c>
      <c r="P112" t="s">
        <v>71</v>
      </c>
      <c r="Q112" t="s">
        <v>71</v>
      </c>
      <c r="R112" t="s">
        <v>110</v>
      </c>
      <c r="S112">
        <v>0</v>
      </c>
      <c r="T112">
        <v>0</v>
      </c>
      <c r="U112" t="s">
        <v>72</v>
      </c>
      <c r="V112" t="s">
        <v>73</v>
      </c>
      <c r="W112">
        <v>0</v>
      </c>
      <c r="X112">
        <v>0</v>
      </c>
      <c r="Y112">
        <v>0</v>
      </c>
      <c r="Z112">
        <v>0</v>
      </c>
      <c r="AA112">
        <v>0</v>
      </c>
      <c r="AB112">
        <v>0</v>
      </c>
      <c r="AC112">
        <v>0</v>
      </c>
      <c r="AD112">
        <v>0</v>
      </c>
      <c r="AE112">
        <v>0</v>
      </c>
      <c r="AF112">
        <v>0</v>
      </c>
      <c r="AG112" t="s">
        <v>71</v>
      </c>
      <c r="AH112">
        <v>0</v>
      </c>
      <c r="AI112">
        <v>0</v>
      </c>
      <c r="AJ112">
        <v>0</v>
      </c>
      <c r="AK112">
        <v>0</v>
      </c>
      <c r="AL112" t="s">
        <v>108</v>
      </c>
      <c r="AM112" t="s">
        <v>93</v>
      </c>
      <c r="AN112" t="s">
        <v>94</v>
      </c>
      <c r="AO112" t="s">
        <v>92</v>
      </c>
      <c r="AP112">
        <v>0</v>
      </c>
      <c r="AQ112">
        <v>0</v>
      </c>
      <c r="AR112">
        <v>0</v>
      </c>
      <c r="AS112">
        <v>0</v>
      </c>
      <c r="AT112">
        <v>0</v>
      </c>
      <c r="AU112">
        <v>0</v>
      </c>
      <c r="AV112">
        <v>0</v>
      </c>
      <c r="AW112">
        <v>0</v>
      </c>
      <c r="AX112">
        <v>4</v>
      </c>
      <c r="AY112">
        <v>0</v>
      </c>
    </row>
    <row r="113" spans="1:51" x14ac:dyDescent="0.25">
      <c r="A113">
        <v>7</v>
      </c>
      <c r="B113">
        <v>28340</v>
      </c>
      <c r="C113" t="s">
        <v>735</v>
      </c>
      <c r="D113" t="s">
        <v>96</v>
      </c>
      <c r="E113" t="s">
        <v>121</v>
      </c>
      <c r="F113" t="s">
        <v>111</v>
      </c>
      <c r="G113" t="s">
        <v>101</v>
      </c>
      <c r="H113" t="s">
        <v>78</v>
      </c>
      <c r="I113" t="s">
        <v>79</v>
      </c>
      <c r="J113" t="s">
        <v>119</v>
      </c>
      <c r="K113" t="s">
        <v>75</v>
      </c>
      <c r="L113" t="s">
        <v>76</v>
      </c>
      <c r="M113" t="s">
        <v>103</v>
      </c>
      <c r="N113" t="s">
        <v>74</v>
      </c>
      <c r="O113" t="s">
        <v>104</v>
      </c>
      <c r="P113" t="s">
        <v>71</v>
      </c>
      <c r="Q113" t="s">
        <v>71</v>
      </c>
      <c r="R113" t="s">
        <v>71</v>
      </c>
      <c r="S113">
        <v>0</v>
      </c>
      <c r="T113">
        <v>0</v>
      </c>
      <c r="U113" t="s">
        <v>72</v>
      </c>
      <c r="V113" t="s">
        <v>73</v>
      </c>
      <c r="W113">
        <v>0</v>
      </c>
      <c r="X113">
        <v>0</v>
      </c>
      <c r="Y113">
        <v>0</v>
      </c>
      <c r="Z113">
        <v>0</v>
      </c>
      <c r="AA113">
        <v>0</v>
      </c>
      <c r="AB113">
        <v>0</v>
      </c>
      <c r="AC113">
        <v>0</v>
      </c>
      <c r="AD113">
        <v>0</v>
      </c>
      <c r="AE113">
        <v>0</v>
      </c>
      <c r="AF113">
        <v>0</v>
      </c>
      <c r="AG113" t="s">
        <v>71</v>
      </c>
      <c r="AH113">
        <v>0</v>
      </c>
      <c r="AI113">
        <v>0</v>
      </c>
      <c r="AJ113">
        <v>0</v>
      </c>
      <c r="AK113">
        <v>0</v>
      </c>
      <c r="AL113" t="s">
        <v>108</v>
      </c>
      <c r="AM113" t="s">
        <v>93</v>
      </c>
      <c r="AN113" t="s">
        <v>94</v>
      </c>
      <c r="AO113" t="s">
        <v>92</v>
      </c>
      <c r="AP113">
        <v>0</v>
      </c>
      <c r="AQ113">
        <v>0</v>
      </c>
      <c r="AR113">
        <v>0</v>
      </c>
      <c r="AS113">
        <v>0</v>
      </c>
      <c r="AT113">
        <v>0</v>
      </c>
      <c r="AU113">
        <v>0</v>
      </c>
      <c r="AV113">
        <v>0</v>
      </c>
      <c r="AW113">
        <v>0</v>
      </c>
      <c r="AX113">
        <v>4</v>
      </c>
      <c r="AY113">
        <v>0</v>
      </c>
    </row>
    <row r="114" spans="1:51" x14ac:dyDescent="0.25">
      <c r="A114">
        <v>7</v>
      </c>
      <c r="B114">
        <v>28350</v>
      </c>
      <c r="C114" t="s">
        <v>735</v>
      </c>
      <c r="D114" t="s">
        <v>96</v>
      </c>
      <c r="E114" t="s">
        <v>121</v>
      </c>
      <c r="F114" t="s">
        <v>111</v>
      </c>
      <c r="G114" t="s">
        <v>101</v>
      </c>
      <c r="H114" t="s">
        <v>78</v>
      </c>
      <c r="I114" t="s">
        <v>79</v>
      </c>
      <c r="J114" t="s">
        <v>119</v>
      </c>
      <c r="K114" t="s">
        <v>75</v>
      </c>
      <c r="L114" t="s">
        <v>76</v>
      </c>
      <c r="M114" t="s">
        <v>103</v>
      </c>
      <c r="N114" t="s">
        <v>74</v>
      </c>
      <c r="O114" t="s">
        <v>104</v>
      </c>
      <c r="P114" t="s">
        <v>71</v>
      </c>
      <c r="Q114" t="s">
        <v>71</v>
      </c>
      <c r="R114" t="s">
        <v>71</v>
      </c>
      <c r="S114">
        <v>0</v>
      </c>
      <c r="T114">
        <v>0</v>
      </c>
      <c r="U114" t="s">
        <v>72</v>
      </c>
      <c r="V114" t="s">
        <v>73</v>
      </c>
      <c r="W114">
        <v>0</v>
      </c>
      <c r="X114">
        <v>0</v>
      </c>
      <c r="Y114">
        <v>0</v>
      </c>
      <c r="Z114">
        <v>0</v>
      </c>
      <c r="AA114">
        <v>0</v>
      </c>
      <c r="AB114">
        <v>0</v>
      </c>
      <c r="AC114">
        <v>0</v>
      </c>
      <c r="AD114">
        <v>0</v>
      </c>
      <c r="AE114">
        <v>0</v>
      </c>
      <c r="AF114">
        <v>0</v>
      </c>
      <c r="AG114" t="s">
        <v>71</v>
      </c>
      <c r="AH114">
        <v>0</v>
      </c>
      <c r="AI114">
        <v>0</v>
      </c>
      <c r="AJ114">
        <v>0</v>
      </c>
      <c r="AK114">
        <v>0</v>
      </c>
      <c r="AL114" t="s">
        <v>108</v>
      </c>
      <c r="AM114" t="s">
        <v>93</v>
      </c>
      <c r="AN114" t="s">
        <v>94</v>
      </c>
      <c r="AO114" t="s">
        <v>92</v>
      </c>
      <c r="AP114">
        <v>0</v>
      </c>
      <c r="AQ114">
        <v>0</v>
      </c>
      <c r="AR114">
        <v>0</v>
      </c>
      <c r="AS114">
        <v>0</v>
      </c>
      <c r="AT114">
        <v>0</v>
      </c>
      <c r="AU114">
        <v>0</v>
      </c>
      <c r="AV114">
        <v>0</v>
      </c>
      <c r="AW114">
        <v>0</v>
      </c>
      <c r="AX114">
        <v>4</v>
      </c>
      <c r="AY114">
        <v>0</v>
      </c>
    </row>
    <row r="115" spans="1:51" x14ac:dyDescent="0.25">
      <c r="A115">
        <v>7</v>
      </c>
      <c r="B115">
        <v>31310</v>
      </c>
      <c r="C115" t="s">
        <v>735</v>
      </c>
      <c r="D115" t="s">
        <v>96</v>
      </c>
      <c r="E115" t="s">
        <v>121</v>
      </c>
      <c r="F115" t="s">
        <v>111</v>
      </c>
      <c r="G115" t="s">
        <v>101</v>
      </c>
      <c r="H115" t="s">
        <v>78</v>
      </c>
      <c r="I115" t="s">
        <v>79</v>
      </c>
      <c r="J115" t="s">
        <v>119</v>
      </c>
      <c r="K115" t="s">
        <v>75</v>
      </c>
      <c r="L115" t="s">
        <v>76</v>
      </c>
      <c r="M115" t="s">
        <v>103</v>
      </c>
      <c r="N115" t="s">
        <v>74</v>
      </c>
      <c r="O115" t="s">
        <v>104</v>
      </c>
      <c r="P115" t="s">
        <v>71</v>
      </c>
      <c r="Q115" t="s">
        <v>71</v>
      </c>
      <c r="R115" t="s">
        <v>71</v>
      </c>
      <c r="S115">
        <v>0</v>
      </c>
      <c r="T115">
        <v>0</v>
      </c>
      <c r="U115" t="s">
        <v>72</v>
      </c>
      <c r="V115" t="s">
        <v>73</v>
      </c>
      <c r="W115">
        <v>0</v>
      </c>
      <c r="X115">
        <v>0</v>
      </c>
      <c r="Y115">
        <v>0</v>
      </c>
      <c r="Z115">
        <v>0</v>
      </c>
      <c r="AA115">
        <v>0</v>
      </c>
      <c r="AB115">
        <v>0</v>
      </c>
      <c r="AC115">
        <v>0</v>
      </c>
      <c r="AD115">
        <v>0</v>
      </c>
      <c r="AE115">
        <v>0</v>
      </c>
      <c r="AF115">
        <v>0</v>
      </c>
      <c r="AG115" t="s">
        <v>71</v>
      </c>
      <c r="AH115">
        <v>0</v>
      </c>
      <c r="AI115">
        <v>0</v>
      </c>
      <c r="AJ115">
        <v>0</v>
      </c>
      <c r="AK115">
        <v>0</v>
      </c>
      <c r="AL115" t="s">
        <v>108</v>
      </c>
      <c r="AM115" t="s">
        <v>93</v>
      </c>
      <c r="AN115" t="s">
        <v>94</v>
      </c>
      <c r="AO115" t="s">
        <v>92</v>
      </c>
      <c r="AP115">
        <v>0</v>
      </c>
      <c r="AQ115">
        <v>0</v>
      </c>
      <c r="AR115">
        <v>0</v>
      </c>
      <c r="AS115">
        <v>0</v>
      </c>
      <c r="AT115">
        <v>0</v>
      </c>
      <c r="AU115">
        <v>0</v>
      </c>
      <c r="AV115">
        <v>0</v>
      </c>
      <c r="AW115">
        <v>0</v>
      </c>
      <c r="AX115">
        <v>4</v>
      </c>
      <c r="AY115">
        <v>0</v>
      </c>
    </row>
    <row r="116" spans="1:51" x14ac:dyDescent="0.25">
      <c r="A116">
        <v>7</v>
      </c>
      <c r="B116">
        <v>31320</v>
      </c>
      <c r="C116" t="s">
        <v>735</v>
      </c>
      <c r="D116" t="s">
        <v>96</v>
      </c>
      <c r="E116" t="s">
        <v>121</v>
      </c>
      <c r="F116" t="s">
        <v>111</v>
      </c>
      <c r="G116" t="s">
        <v>101</v>
      </c>
      <c r="H116" t="s">
        <v>78</v>
      </c>
      <c r="I116" t="s">
        <v>79</v>
      </c>
      <c r="J116" t="s">
        <v>119</v>
      </c>
      <c r="K116" t="s">
        <v>75</v>
      </c>
      <c r="L116" t="s">
        <v>76</v>
      </c>
      <c r="M116" t="s">
        <v>103</v>
      </c>
      <c r="N116" t="s">
        <v>74</v>
      </c>
      <c r="O116" t="s">
        <v>104</v>
      </c>
      <c r="P116" t="s">
        <v>71</v>
      </c>
      <c r="Q116" t="s">
        <v>71</v>
      </c>
      <c r="R116" t="s">
        <v>110</v>
      </c>
      <c r="S116">
        <v>0</v>
      </c>
      <c r="T116">
        <v>0</v>
      </c>
      <c r="U116" t="s">
        <v>72</v>
      </c>
      <c r="V116" t="s">
        <v>73</v>
      </c>
      <c r="W116">
        <v>0</v>
      </c>
      <c r="X116">
        <v>0</v>
      </c>
      <c r="Y116">
        <v>0</v>
      </c>
      <c r="Z116">
        <v>0</v>
      </c>
      <c r="AA116">
        <v>0</v>
      </c>
      <c r="AB116">
        <v>0</v>
      </c>
      <c r="AC116">
        <v>0</v>
      </c>
      <c r="AD116">
        <v>0</v>
      </c>
      <c r="AE116">
        <v>0</v>
      </c>
      <c r="AF116">
        <v>0</v>
      </c>
      <c r="AG116" t="s">
        <v>71</v>
      </c>
      <c r="AH116">
        <v>0</v>
      </c>
      <c r="AI116">
        <v>0</v>
      </c>
      <c r="AJ116">
        <v>0</v>
      </c>
      <c r="AK116">
        <v>0</v>
      </c>
      <c r="AL116" t="s">
        <v>108</v>
      </c>
      <c r="AM116" t="s">
        <v>93</v>
      </c>
      <c r="AN116" t="s">
        <v>94</v>
      </c>
      <c r="AO116" t="s">
        <v>92</v>
      </c>
      <c r="AP116">
        <v>0</v>
      </c>
      <c r="AQ116">
        <v>0</v>
      </c>
      <c r="AR116">
        <v>0</v>
      </c>
      <c r="AS116">
        <v>0</v>
      </c>
      <c r="AT116">
        <v>0</v>
      </c>
      <c r="AU116">
        <v>0</v>
      </c>
      <c r="AV116">
        <v>0</v>
      </c>
      <c r="AW116">
        <v>0</v>
      </c>
      <c r="AX116">
        <v>4</v>
      </c>
      <c r="AY116">
        <v>0</v>
      </c>
    </row>
    <row r="117" spans="1:51" x14ac:dyDescent="0.25">
      <c r="A117">
        <v>7</v>
      </c>
      <c r="B117">
        <v>31330</v>
      </c>
      <c r="C117" t="s">
        <v>735</v>
      </c>
      <c r="D117" t="s">
        <v>96</v>
      </c>
      <c r="E117" t="s">
        <v>121</v>
      </c>
      <c r="F117" t="s">
        <v>111</v>
      </c>
      <c r="G117" t="s">
        <v>101</v>
      </c>
      <c r="H117" t="s">
        <v>78</v>
      </c>
      <c r="I117" t="s">
        <v>79</v>
      </c>
      <c r="J117" t="s">
        <v>119</v>
      </c>
      <c r="K117" t="s">
        <v>75</v>
      </c>
      <c r="L117" t="s">
        <v>76</v>
      </c>
      <c r="M117" t="s">
        <v>103</v>
      </c>
      <c r="N117" t="s">
        <v>74</v>
      </c>
      <c r="O117" t="s">
        <v>104</v>
      </c>
      <c r="P117" t="s">
        <v>71</v>
      </c>
      <c r="Q117" t="s">
        <v>71</v>
      </c>
      <c r="R117" t="s">
        <v>71</v>
      </c>
      <c r="S117">
        <v>0</v>
      </c>
      <c r="T117">
        <v>0</v>
      </c>
      <c r="U117" t="s">
        <v>72</v>
      </c>
      <c r="V117" t="s">
        <v>73</v>
      </c>
      <c r="W117">
        <v>0</v>
      </c>
      <c r="X117">
        <v>0</v>
      </c>
      <c r="Y117">
        <v>0</v>
      </c>
      <c r="Z117">
        <v>0</v>
      </c>
      <c r="AA117">
        <v>0</v>
      </c>
      <c r="AB117">
        <v>0</v>
      </c>
      <c r="AC117">
        <v>0</v>
      </c>
      <c r="AD117">
        <v>0</v>
      </c>
      <c r="AE117">
        <v>0</v>
      </c>
      <c r="AF117">
        <v>0</v>
      </c>
      <c r="AG117" t="s">
        <v>71</v>
      </c>
      <c r="AH117">
        <v>0</v>
      </c>
      <c r="AI117">
        <v>0</v>
      </c>
      <c r="AJ117">
        <v>0</v>
      </c>
      <c r="AK117">
        <v>0</v>
      </c>
      <c r="AL117" t="s">
        <v>108</v>
      </c>
      <c r="AM117" t="s">
        <v>93</v>
      </c>
      <c r="AN117" t="s">
        <v>94</v>
      </c>
      <c r="AO117" t="s">
        <v>92</v>
      </c>
      <c r="AP117">
        <v>0</v>
      </c>
      <c r="AQ117">
        <v>0</v>
      </c>
      <c r="AR117">
        <v>0</v>
      </c>
      <c r="AS117">
        <v>0</v>
      </c>
      <c r="AT117">
        <v>0</v>
      </c>
      <c r="AU117">
        <v>0</v>
      </c>
      <c r="AV117">
        <v>0</v>
      </c>
      <c r="AW117">
        <v>0</v>
      </c>
      <c r="AX117">
        <v>4</v>
      </c>
      <c r="AY117">
        <v>0</v>
      </c>
    </row>
    <row r="118" spans="1:51" x14ac:dyDescent="0.25">
      <c r="A118">
        <v>7</v>
      </c>
      <c r="B118">
        <v>31340</v>
      </c>
      <c r="C118" t="s">
        <v>735</v>
      </c>
      <c r="D118" t="s">
        <v>96</v>
      </c>
      <c r="E118" t="s">
        <v>121</v>
      </c>
      <c r="F118" t="s">
        <v>111</v>
      </c>
      <c r="G118" t="s">
        <v>101</v>
      </c>
      <c r="H118" t="s">
        <v>78</v>
      </c>
      <c r="I118" t="s">
        <v>79</v>
      </c>
      <c r="J118" t="s">
        <v>119</v>
      </c>
      <c r="K118" t="s">
        <v>75</v>
      </c>
      <c r="L118" t="s">
        <v>76</v>
      </c>
      <c r="M118" t="s">
        <v>103</v>
      </c>
      <c r="N118" t="s">
        <v>74</v>
      </c>
      <c r="O118" t="s">
        <v>104</v>
      </c>
      <c r="P118" t="s">
        <v>71</v>
      </c>
      <c r="Q118" t="s">
        <v>71</v>
      </c>
      <c r="R118" t="s">
        <v>71</v>
      </c>
      <c r="S118">
        <v>0</v>
      </c>
      <c r="T118">
        <v>0</v>
      </c>
      <c r="U118" t="s">
        <v>72</v>
      </c>
      <c r="V118" t="s">
        <v>73</v>
      </c>
      <c r="W118">
        <v>0</v>
      </c>
      <c r="X118">
        <v>0</v>
      </c>
      <c r="Y118">
        <v>0</v>
      </c>
      <c r="Z118">
        <v>0</v>
      </c>
      <c r="AA118">
        <v>0</v>
      </c>
      <c r="AB118">
        <v>0</v>
      </c>
      <c r="AC118">
        <v>0</v>
      </c>
      <c r="AD118">
        <v>0</v>
      </c>
      <c r="AE118">
        <v>0</v>
      </c>
      <c r="AF118">
        <v>0</v>
      </c>
      <c r="AG118" t="s">
        <v>71</v>
      </c>
      <c r="AH118">
        <v>0</v>
      </c>
      <c r="AI118">
        <v>0</v>
      </c>
      <c r="AJ118">
        <v>0</v>
      </c>
      <c r="AK118">
        <v>0</v>
      </c>
      <c r="AL118" t="s">
        <v>108</v>
      </c>
      <c r="AM118" t="s">
        <v>93</v>
      </c>
      <c r="AN118" t="s">
        <v>94</v>
      </c>
      <c r="AO118" t="s">
        <v>92</v>
      </c>
      <c r="AP118">
        <v>0</v>
      </c>
      <c r="AQ118">
        <v>0</v>
      </c>
      <c r="AR118">
        <v>0</v>
      </c>
      <c r="AS118">
        <v>0</v>
      </c>
      <c r="AT118">
        <v>0</v>
      </c>
      <c r="AU118">
        <v>0</v>
      </c>
      <c r="AV118">
        <v>0</v>
      </c>
      <c r="AW118">
        <v>0</v>
      </c>
      <c r="AX118">
        <v>4</v>
      </c>
      <c r="AY118">
        <v>0</v>
      </c>
    </row>
    <row r="119" spans="1:51" x14ac:dyDescent="0.25">
      <c r="A119">
        <v>7</v>
      </c>
      <c r="B119">
        <v>34310</v>
      </c>
      <c r="C119" t="s">
        <v>735</v>
      </c>
      <c r="D119" t="s">
        <v>96</v>
      </c>
      <c r="E119" t="s">
        <v>121</v>
      </c>
      <c r="F119" t="s">
        <v>111</v>
      </c>
      <c r="G119" t="s">
        <v>101</v>
      </c>
      <c r="H119" t="s">
        <v>78</v>
      </c>
      <c r="I119" t="s">
        <v>79</v>
      </c>
      <c r="J119" t="s">
        <v>119</v>
      </c>
      <c r="K119" t="s">
        <v>75</v>
      </c>
      <c r="L119" t="s">
        <v>76</v>
      </c>
      <c r="M119" t="s">
        <v>103</v>
      </c>
      <c r="N119" t="s">
        <v>74</v>
      </c>
      <c r="O119" t="s">
        <v>104</v>
      </c>
      <c r="P119" t="s">
        <v>71</v>
      </c>
      <c r="Q119" t="s">
        <v>71</v>
      </c>
      <c r="R119" t="s">
        <v>71</v>
      </c>
      <c r="S119">
        <v>0</v>
      </c>
      <c r="T119">
        <v>0</v>
      </c>
      <c r="U119" t="s">
        <v>72</v>
      </c>
      <c r="V119" t="s">
        <v>73</v>
      </c>
      <c r="W119">
        <v>0</v>
      </c>
      <c r="X119">
        <v>0</v>
      </c>
      <c r="Y119">
        <v>0</v>
      </c>
      <c r="Z119">
        <v>0</v>
      </c>
      <c r="AA119">
        <v>0</v>
      </c>
      <c r="AB119">
        <v>0</v>
      </c>
      <c r="AC119">
        <v>0</v>
      </c>
      <c r="AD119">
        <v>0</v>
      </c>
      <c r="AE119">
        <v>0</v>
      </c>
      <c r="AF119">
        <v>0</v>
      </c>
      <c r="AG119" t="s">
        <v>71</v>
      </c>
      <c r="AH119">
        <v>0</v>
      </c>
      <c r="AI119">
        <v>0</v>
      </c>
      <c r="AJ119">
        <v>0</v>
      </c>
      <c r="AK119">
        <v>0</v>
      </c>
      <c r="AL119" t="s">
        <v>108</v>
      </c>
      <c r="AM119" t="s">
        <v>93</v>
      </c>
      <c r="AN119" t="s">
        <v>94</v>
      </c>
      <c r="AO119" t="s">
        <v>92</v>
      </c>
      <c r="AP119">
        <v>0</v>
      </c>
      <c r="AQ119">
        <v>0</v>
      </c>
      <c r="AR119">
        <v>0</v>
      </c>
      <c r="AS119">
        <v>0</v>
      </c>
      <c r="AT119">
        <v>0</v>
      </c>
      <c r="AU119">
        <v>0</v>
      </c>
      <c r="AV119">
        <v>0</v>
      </c>
      <c r="AW119">
        <v>0</v>
      </c>
      <c r="AX119">
        <v>4</v>
      </c>
      <c r="AY119">
        <v>0</v>
      </c>
    </row>
    <row r="120" spans="1:51" x14ac:dyDescent="0.25">
      <c r="A120">
        <v>7</v>
      </c>
      <c r="B120">
        <v>34320</v>
      </c>
      <c r="C120" t="s">
        <v>735</v>
      </c>
      <c r="D120" t="s">
        <v>96</v>
      </c>
      <c r="E120" t="s">
        <v>121</v>
      </c>
      <c r="F120" t="s">
        <v>111</v>
      </c>
      <c r="G120" t="s">
        <v>101</v>
      </c>
      <c r="H120" t="s">
        <v>78</v>
      </c>
      <c r="I120" t="s">
        <v>79</v>
      </c>
      <c r="J120" t="s">
        <v>119</v>
      </c>
      <c r="K120" t="s">
        <v>75</v>
      </c>
      <c r="L120" t="s">
        <v>76</v>
      </c>
      <c r="M120" t="s">
        <v>103</v>
      </c>
      <c r="N120" t="s">
        <v>74</v>
      </c>
      <c r="O120" t="s">
        <v>104</v>
      </c>
      <c r="P120" t="s">
        <v>71</v>
      </c>
      <c r="Q120" t="s">
        <v>71</v>
      </c>
      <c r="R120" t="s">
        <v>71</v>
      </c>
      <c r="S120">
        <v>0</v>
      </c>
      <c r="T120">
        <v>0</v>
      </c>
      <c r="U120" t="s">
        <v>72</v>
      </c>
      <c r="V120" t="s">
        <v>73</v>
      </c>
      <c r="W120">
        <v>0</v>
      </c>
      <c r="X120">
        <v>0</v>
      </c>
      <c r="Y120">
        <v>0</v>
      </c>
      <c r="Z120">
        <v>0</v>
      </c>
      <c r="AA120">
        <v>0</v>
      </c>
      <c r="AB120">
        <v>0</v>
      </c>
      <c r="AC120">
        <v>0</v>
      </c>
      <c r="AD120">
        <v>0</v>
      </c>
      <c r="AE120">
        <v>0</v>
      </c>
      <c r="AF120">
        <v>0</v>
      </c>
      <c r="AG120" t="s">
        <v>71</v>
      </c>
      <c r="AH120">
        <v>0</v>
      </c>
      <c r="AI120">
        <v>0</v>
      </c>
      <c r="AJ120">
        <v>0</v>
      </c>
      <c r="AK120">
        <v>0</v>
      </c>
      <c r="AL120" t="s">
        <v>108</v>
      </c>
      <c r="AM120" t="s">
        <v>93</v>
      </c>
      <c r="AN120" t="s">
        <v>94</v>
      </c>
      <c r="AO120" t="s">
        <v>92</v>
      </c>
      <c r="AP120">
        <v>0</v>
      </c>
      <c r="AQ120">
        <v>0</v>
      </c>
      <c r="AR120">
        <v>0</v>
      </c>
      <c r="AS120">
        <v>0</v>
      </c>
      <c r="AT120">
        <v>0</v>
      </c>
      <c r="AU120">
        <v>0</v>
      </c>
      <c r="AV120">
        <v>0</v>
      </c>
      <c r="AW120">
        <v>0</v>
      </c>
      <c r="AX120">
        <v>0</v>
      </c>
      <c r="AY120">
        <v>0</v>
      </c>
    </row>
    <row r="121" spans="1:51" x14ac:dyDescent="0.25">
      <c r="A121">
        <v>7</v>
      </c>
      <c r="B121">
        <v>34330</v>
      </c>
      <c r="C121" t="s">
        <v>735</v>
      </c>
      <c r="D121" t="s">
        <v>96</v>
      </c>
      <c r="E121" t="s">
        <v>121</v>
      </c>
      <c r="F121" t="s">
        <v>111</v>
      </c>
      <c r="G121" t="s">
        <v>101</v>
      </c>
      <c r="H121" t="s">
        <v>78</v>
      </c>
      <c r="I121" t="s">
        <v>79</v>
      </c>
      <c r="J121" t="s">
        <v>119</v>
      </c>
      <c r="K121" t="s">
        <v>75</v>
      </c>
      <c r="L121" t="s">
        <v>76</v>
      </c>
      <c r="M121" t="s">
        <v>103</v>
      </c>
      <c r="N121" t="s">
        <v>74</v>
      </c>
      <c r="O121" t="s">
        <v>104</v>
      </c>
      <c r="P121" t="s">
        <v>71</v>
      </c>
      <c r="Q121" t="s">
        <v>71</v>
      </c>
      <c r="R121" t="s">
        <v>71</v>
      </c>
      <c r="S121">
        <v>0</v>
      </c>
      <c r="T121">
        <v>0</v>
      </c>
      <c r="U121" t="s">
        <v>72</v>
      </c>
      <c r="V121" t="s">
        <v>73</v>
      </c>
      <c r="W121">
        <v>0</v>
      </c>
      <c r="X121">
        <v>0</v>
      </c>
      <c r="Y121">
        <v>0</v>
      </c>
      <c r="Z121">
        <v>0</v>
      </c>
      <c r="AA121">
        <v>0</v>
      </c>
      <c r="AB121">
        <v>0</v>
      </c>
      <c r="AC121">
        <v>0</v>
      </c>
      <c r="AD121">
        <v>0</v>
      </c>
      <c r="AE121">
        <v>0</v>
      </c>
      <c r="AF121">
        <v>0</v>
      </c>
      <c r="AG121" t="s">
        <v>71</v>
      </c>
      <c r="AH121">
        <v>0</v>
      </c>
      <c r="AI121">
        <v>0</v>
      </c>
      <c r="AJ121">
        <v>0</v>
      </c>
      <c r="AK121">
        <v>0</v>
      </c>
      <c r="AL121" t="s">
        <v>108</v>
      </c>
      <c r="AM121" t="s">
        <v>93</v>
      </c>
      <c r="AN121" t="s">
        <v>94</v>
      </c>
      <c r="AO121" t="s">
        <v>92</v>
      </c>
      <c r="AP121">
        <v>0</v>
      </c>
      <c r="AQ121">
        <v>0</v>
      </c>
      <c r="AR121">
        <v>0</v>
      </c>
      <c r="AS121">
        <v>0</v>
      </c>
      <c r="AT121">
        <v>0</v>
      </c>
      <c r="AU121">
        <v>0</v>
      </c>
      <c r="AV121">
        <v>0</v>
      </c>
      <c r="AW121">
        <v>0</v>
      </c>
      <c r="AX121">
        <v>0</v>
      </c>
      <c r="AY121">
        <v>0</v>
      </c>
    </row>
    <row r="122" spans="1:51" x14ac:dyDescent="0.25">
      <c r="A122">
        <v>7</v>
      </c>
      <c r="B122">
        <v>34340</v>
      </c>
      <c r="C122" t="s">
        <v>735</v>
      </c>
      <c r="D122" t="s">
        <v>96</v>
      </c>
      <c r="E122" t="s">
        <v>121</v>
      </c>
      <c r="F122" t="s">
        <v>111</v>
      </c>
      <c r="G122" t="s">
        <v>101</v>
      </c>
      <c r="H122" t="s">
        <v>78</v>
      </c>
      <c r="I122" t="s">
        <v>79</v>
      </c>
      <c r="J122" t="s">
        <v>119</v>
      </c>
      <c r="K122" t="s">
        <v>75</v>
      </c>
      <c r="L122" t="s">
        <v>76</v>
      </c>
      <c r="M122" t="s">
        <v>103</v>
      </c>
      <c r="N122" t="s">
        <v>74</v>
      </c>
      <c r="O122" t="s">
        <v>104</v>
      </c>
      <c r="P122" t="s">
        <v>71</v>
      </c>
      <c r="Q122" t="s">
        <v>71</v>
      </c>
      <c r="R122" t="s">
        <v>71</v>
      </c>
      <c r="S122">
        <v>0</v>
      </c>
      <c r="T122">
        <v>0</v>
      </c>
      <c r="U122" t="s">
        <v>72</v>
      </c>
      <c r="V122" t="s">
        <v>73</v>
      </c>
      <c r="W122">
        <v>0</v>
      </c>
      <c r="X122">
        <v>0</v>
      </c>
      <c r="Y122">
        <v>0</v>
      </c>
      <c r="Z122">
        <v>0</v>
      </c>
      <c r="AA122">
        <v>0</v>
      </c>
      <c r="AB122">
        <v>0</v>
      </c>
      <c r="AC122">
        <v>0</v>
      </c>
      <c r="AD122">
        <v>0</v>
      </c>
      <c r="AE122">
        <v>0</v>
      </c>
      <c r="AF122">
        <v>0</v>
      </c>
      <c r="AG122" t="s">
        <v>71</v>
      </c>
      <c r="AH122">
        <v>0</v>
      </c>
      <c r="AI122">
        <v>0</v>
      </c>
      <c r="AJ122">
        <v>0</v>
      </c>
      <c r="AK122">
        <v>0</v>
      </c>
      <c r="AL122" t="s">
        <v>108</v>
      </c>
      <c r="AM122" t="s">
        <v>93</v>
      </c>
      <c r="AN122" t="s">
        <v>94</v>
      </c>
      <c r="AO122" t="s">
        <v>92</v>
      </c>
      <c r="AP122">
        <v>0</v>
      </c>
      <c r="AQ122">
        <v>0</v>
      </c>
      <c r="AR122">
        <v>0</v>
      </c>
      <c r="AS122">
        <v>0</v>
      </c>
      <c r="AT122">
        <v>0</v>
      </c>
      <c r="AU122">
        <v>0</v>
      </c>
      <c r="AV122">
        <v>0</v>
      </c>
      <c r="AW122">
        <v>0</v>
      </c>
      <c r="AX122">
        <v>0</v>
      </c>
      <c r="AY122">
        <v>0</v>
      </c>
    </row>
    <row r="123" spans="1:51" x14ac:dyDescent="0.25">
      <c r="A123">
        <v>7</v>
      </c>
      <c r="B123">
        <v>34350</v>
      </c>
      <c r="C123" t="s">
        <v>735</v>
      </c>
      <c r="D123" t="s">
        <v>96</v>
      </c>
      <c r="E123" t="s">
        <v>121</v>
      </c>
      <c r="F123" t="s">
        <v>111</v>
      </c>
      <c r="G123" t="s">
        <v>101</v>
      </c>
      <c r="H123" t="s">
        <v>78</v>
      </c>
      <c r="I123" t="s">
        <v>79</v>
      </c>
      <c r="J123" t="s">
        <v>119</v>
      </c>
      <c r="K123" t="s">
        <v>75</v>
      </c>
      <c r="L123" t="s">
        <v>76</v>
      </c>
      <c r="M123" t="s">
        <v>103</v>
      </c>
      <c r="N123" t="s">
        <v>74</v>
      </c>
      <c r="O123" t="s">
        <v>104</v>
      </c>
      <c r="P123" t="s">
        <v>71</v>
      </c>
      <c r="Q123" t="s">
        <v>71</v>
      </c>
      <c r="R123" t="s">
        <v>71</v>
      </c>
      <c r="S123">
        <v>0</v>
      </c>
      <c r="T123">
        <v>0</v>
      </c>
      <c r="U123" t="s">
        <v>72</v>
      </c>
      <c r="V123" t="s">
        <v>73</v>
      </c>
      <c r="W123">
        <v>0</v>
      </c>
      <c r="X123">
        <v>0</v>
      </c>
      <c r="Y123">
        <v>0</v>
      </c>
      <c r="Z123">
        <v>0</v>
      </c>
      <c r="AA123">
        <v>0</v>
      </c>
      <c r="AB123">
        <v>0</v>
      </c>
      <c r="AC123">
        <v>0</v>
      </c>
      <c r="AD123">
        <v>0</v>
      </c>
      <c r="AE123">
        <v>0</v>
      </c>
      <c r="AF123">
        <v>0</v>
      </c>
      <c r="AG123" t="s">
        <v>71</v>
      </c>
      <c r="AH123">
        <v>0</v>
      </c>
      <c r="AI123">
        <v>0</v>
      </c>
      <c r="AJ123">
        <v>0</v>
      </c>
      <c r="AK123">
        <v>0</v>
      </c>
      <c r="AL123" t="s">
        <v>108</v>
      </c>
      <c r="AM123" t="s">
        <v>93</v>
      </c>
      <c r="AN123" t="s">
        <v>94</v>
      </c>
      <c r="AO123" t="s">
        <v>92</v>
      </c>
      <c r="AP123">
        <v>0</v>
      </c>
      <c r="AQ123">
        <v>0</v>
      </c>
      <c r="AR123">
        <v>0</v>
      </c>
      <c r="AS123">
        <v>0</v>
      </c>
      <c r="AT123">
        <v>0</v>
      </c>
      <c r="AU123">
        <v>0</v>
      </c>
      <c r="AV123">
        <v>0</v>
      </c>
      <c r="AW123">
        <v>0</v>
      </c>
      <c r="AX123">
        <v>0</v>
      </c>
      <c r="AY123">
        <v>0</v>
      </c>
    </row>
    <row r="124" spans="1:51" x14ac:dyDescent="0.25">
      <c r="A124">
        <v>7</v>
      </c>
      <c r="B124">
        <v>34360</v>
      </c>
      <c r="C124" t="s">
        <v>735</v>
      </c>
      <c r="D124" t="s">
        <v>96</v>
      </c>
      <c r="E124" t="s">
        <v>121</v>
      </c>
      <c r="F124" t="s">
        <v>111</v>
      </c>
      <c r="G124" t="s">
        <v>101</v>
      </c>
      <c r="H124" t="s">
        <v>78</v>
      </c>
      <c r="I124" t="s">
        <v>79</v>
      </c>
      <c r="J124" t="s">
        <v>119</v>
      </c>
      <c r="K124" t="s">
        <v>75</v>
      </c>
      <c r="L124" t="s">
        <v>76</v>
      </c>
      <c r="M124" t="s">
        <v>103</v>
      </c>
      <c r="N124" t="s">
        <v>74</v>
      </c>
      <c r="O124" t="s">
        <v>104</v>
      </c>
      <c r="P124" t="s">
        <v>71</v>
      </c>
      <c r="Q124" t="s">
        <v>110</v>
      </c>
      <c r="R124" t="s">
        <v>71</v>
      </c>
      <c r="S124">
        <v>0</v>
      </c>
      <c r="T124">
        <v>0</v>
      </c>
      <c r="U124" t="s">
        <v>72</v>
      </c>
      <c r="V124" t="s">
        <v>73</v>
      </c>
      <c r="W124">
        <v>0</v>
      </c>
      <c r="X124">
        <v>0</v>
      </c>
      <c r="Y124">
        <v>0</v>
      </c>
      <c r="Z124">
        <v>0</v>
      </c>
      <c r="AA124">
        <v>0</v>
      </c>
      <c r="AB124">
        <v>0</v>
      </c>
      <c r="AC124">
        <v>0</v>
      </c>
      <c r="AD124">
        <v>0</v>
      </c>
      <c r="AE124">
        <v>0</v>
      </c>
      <c r="AF124">
        <v>0</v>
      </c>
      <c r="AG124" t="s">
        <v>71</v>
      </c>
      <c r="AH124">
        <v>0</v>
      </c>
      <c r="AI124">
        <v>0</v>
      </c>
      <c r="AJ124">
        <v>0</v>
      </c>
      <c r="AK124">
        <v>0</v>
      </c>
      <c r="AL124" t="s">
        <v>108</v>
      </c>
      <c r="AM124" t="s">
        <v>93</v>
      </c>
      <c r="AN124" t="s">
        <v>94</v>
      </c>
      <c r="AO124" t="s">
        <v>92</v>
      </c>
      <c r="AP124">
        <v>0</v>
      </c>
      <c r="AQ124">
        <v>0</v>
      </c>
      <c r="AR124">
        <v>0</v>
      </c>
      <c r="AS124">
        <v>0</v>
      </c>
      <c r="AT124">
        <v>0</v>
      </c>
      <c r="AU124">
        <v>0</v>
      </c>
      <c r="AV124">
        <v>0</v>
      </c>
      <c r="AW124">
        <v>0</v>
      </c>
      <c r="AX124">
        <v>1</v>
      </c>
      <c r="AY124">
        <v>0</v>
      </c>
    </row>
    <row r="125" spans="1:51" x14ac:dyDescent="0.25">
      <c r="A125">
        <v>7</v>
      </c>
      <c r="B125">
        <v>34370</v>
      </c>
      <c r="C125" t="s">
        <v>735</v>
      </c>
      <c r="D125" t="s">
        <v>96</v>
      </c>
      <c r="E125" t="s">
        <v>121</v>
      </c>
      <c r="F125" t="s">
        <v>111</v>
      </c>
      <c r="G125" t="s">
        <v>101</v>
      </c>
      <c r="H125" t="s">
        <v>78</v>
      </c>
      <c r="I125" t="s">
        <v>79</v>
      </c>
      <c r="J125" t="s">
        <v>119</v>
      </c>
      <c r="K125" t="s">
        <v>75</v>
      </c>
      <c r="L125" t="s">
        <v>76</v>
      </c>
      <c r="M125" t="s">
        <v>103</v>
      </c>
      <c r="N125" t="s">
        <v>74</v>
      </c>
      <c r="O125" t="s">
        <v>104</v>
      </c>
      <c r="P125" t="s">
        <v>71</v>
      </c>
      <c r="Q125" t="s">
        <v>110</v>
      </c>
      <c r="R125" t="s">
        <v>71</v>
      </c>
      <c r="S125">
        <v>0</v>
      </c>
      <c r="T125">
        <v>0</v>
      </c>
      <c r="U125" t="s">
        <v>72</v>
      </c>
      <c r="V125" t="s">
        <v>73</v>
      </c>
      <c r="W125">
        <v>0</v>
      </c>
      <c r="X125">
        <v>0</v>
      </c>
      <c r="Y125">
        <v>0</v>
      </c>
      <c r="Z125">
        <v>0</v>
      </c>
      <c r="AA125">
        <v>0</v>
      </c>
      <c r="AB125">
        <v>0</v>
      </c>
      <c r="AC125">
        <v>0</v>
      </c>
      <c r="AD125">
        <v>0</v>
      </c>
      <c r="AE125">
        <v>0</v>
      </c>
      <c r="AF125">
        <v>0</v>
      </c>
      <c r="AG125" t="s">
        <v>71</v>
      </c>
      <c r="AH125">
        <v>0</v>
      </c>
      <c r="AI125">
        <v>0</v>
      </c>
      <c r="AJ125">
        <v>0</v>
      </c>
      <c r="AK125">
        <v>0</v>
      </c>
      <c r="AL125" t="s">
        <v>108</v>
      </c>
      <c r="AM125" t="s">
        <v>93</v>
      </c>
      <c r="AN125" t="s">
        <v>94</v>
      </c>
      <c r="AO125" t="s">
        <v>92</v>
      </c>
      <c r="AP125">
        <v>0</v>
      </c>
      <c r="AQ125">
        <v>0</v>
      </c>
      <c r="AR125">
        <v>0</v>
      </c>
      <c r="AS125">
        <v>0</v>
      </c>
      <c r="AT125">
        <v>0</v>
      </c>
      <c r="AU125">
        <v>0</v>
      </c>
      <c r="AV125">
        <v>0</v>
      </c>
      <c r="AW125">
        <v>0</v>
      </c>
      <c r="AX125">
        <v>1</v>
      </c>
      <c r="AY125">
        <v>0</v>
      </c>
    </row>
    <row r="126" spans="1:51" x14ac:dyDescent="0.25">
      <c r="A126">
        <v>7</v>
      </c>
      <c r="B126">
        <v>34380</v>
      </c>
      <c r="C126" t="s">
        <v>735</v>
      </c>
      <c r="D126" t="s">
        <v>96</v>
      </c>
      <c r="E126" t="s">
        <v>121</v>
      </c>
      <c r="F126" t="s">
        <v>111</v>
      </c>
      <c r="G126" t="s">
        <v>101</v>
      </c>
      <c r="H126" t="s">
        <v>78</v>
      </c>
      <c r="I126" t="s">
        <v>79</v>
      </c>
      <c r="J126" t="s">
        <v>119</v>
      </c>
      <c r="K126" t="s">
        <v>75</v>
      </c>
      <c r="L126" t="s">
        <v>76</v>
      </c>
      <c r="M126" t="s">
        <v>103</v>
      </c>
      <c r="N126" t="s">
        <v>74</v>
      </c>
      <c r="O126" t="s">
        <v>104</v>
      </c>
      <c r="P126" t="s">
        <v>71</v>
      </c>
      <c r="Q126" t="s">
        <v>110</v>
      </c>
      <c r="R126" t="s">
        <v>71</v>
      </c>
      <c r="S126">
        <v>0</v>
      </c>
      <c r="T126">
        <v>0</v>
      </c>
      <c r="U126" t="s">
        <v>72</v>
      </c>
      <c r="V126" t="s">
        <v>73</v>
      </c>
      <c r="W126">
        <v>0</v>
      </c>
      <c r="X126">
        <v>0</v>
      </c>
      <c r="Y126">
        <v>0</v>
      </c>
      <c r="Z126">
        <v>0</v>
      </c>
      <c r="AA126">
        <v>0</v>
      </c>
      <c r="AB126">
        <v>0</v>
      </c>
      <c r="AC126">
        <v>0</v>
      </c>
      <c r="AD126">
        <v>0</v>
      </c>
      <c r="AE126">
        <v>0</v>
      </c>
      <c r="AF126">
        <v>0</v>
      </c>
      <c r="AG126" t="s">
        <v>71</v>
      </c>
      <c r="AH126">
        <v>0</v>
      </c>
      <c r="AI126">
        <v>0</v>
      </c>
      <c r="AJ126">
        <v>0</v>
      </c>
      <c r="AK126">
        <v>0</v>
      </c>
      <c r="AL126" t="s">
        <v>108</v>
      </c>
      <c r="AM126" t="s">
        <v>93</v>
      </c>
      <c r="AN126" t="s">
        <v>94</v>
      </c>
      <c r="AO126" t="s">
        <v>92</v>
      </c>
      <c r="AP126">
        <v>0</v>
      </c>
      <c r="AQ126">
        <v>0</v>
      </c>
      <c r="AR126">
        <v>0</v>
      </c>
      <c r="AS126">
        <v>0</v>
      </c>
      <c r="AT126">
        <v>0</v>
      </c>
      <c r="AU126">
        <v>0</v>
      </c>
      <c r="AV126">
        <v>0</v>
      </c>
      <c r="AW126">
        <v>0</v>
      </c>
      <c r="AX126">
        <v>1</v>
      </c>
      <c r="AY126">
        <v>0</v>
      </c>
    </row>
    <row r="127" spans="1:51" x14ac:dyDescent="0.25">
      <c r="A127">
        <v>7</v>
      </c>
      <c r="B127">
        <v>34390</v>
      </c>
      <c r="C127" t="s">
        <v>735</v>
      </c>
      <c r="D127" t="s">
        <v>96</v>
      </c>
      <c r="E127" t="s">
        <v>121</v>
      </c>
      <c r="F127" t="s">
        <v>111</v>
      </c>
      <c r="G127" t="s">
        <v>101</v>
      </c>
      <c r="H127" t="s">
        <v>78</v>
      </c>
      <c r="I127" t="s">
        <v>79</v>
      </c>
      <c r="J127" t="s">
        <v>119</v>
      </c>
      <c r="K127" t="s">
        <v>75</v>
      </c>
      <c r="L127" t="s">
        <v>76</v>
      </c>
      <c r="M127" t="s">
        <v>103</v>
      </c>
      <c r="N127" t="s">
        <v>74</v>
      </c>
      <c r="O127" t="s">
        <v>104</v>
      </c>
      <c r="P127" t="s">
        <v>110</v>
      </c>
      <c r="Q127" t="s">
        <v>110</v>
      </c>
      <c r="R127" t="s">
        <v>71</v>
      </c>
      <c r="S127">
        <v>0</v>
      </c>
      <c r="T127">
        <v>0</v>
      </c>
      <c r="U127" t="s">
        <v>72</v>
      </c>
      <c r="V127" t="s">
        <v>73</v>
      </c>
      <c r="W127">
        <v>0</v>
      </c>
      <c r="X127">
        <v>0</v>
      </c>
      <c r="Y127">
        <v>0</v>
      </c>
      <c r="Z127">
        <v>0</v>
      </c>
      <c r="AA127">
        <v>0</v>
      </c>
      <c r="AB127">
        <v>0</v>
      </c>
      <c r="AC127">
        <v>0</v>
      </c>
      <c r="AD127">
        <v>0</v>
      </c>
      <c r="AE127">
        <v>0</v>
      </c>
      <c r="AF127">
        <v>0</v>
      </c>
      <c r="AG127" t="s">
        <v>71</v>
      </c>
      <c r="AH127">
        <v>0</v>
      </c>
      <c r="AI127">
        <v>0</v>
      </c>
      <c r="AJ127">
        <v>0</v>
      </c>
      <c r="AK127">
        <v>0</v>
      </c>
      <c r="AL127" t="s">
        <v>108</v>
      </c>
      <c r="AM127" t="s">
        <v>93</v>
      </c>
      <c r="AN127" t="s">
        <v>94</v>
      </c>
      <c r="AO127" t="s">
        <v>92</v>
      </c>
      <c r="AP127">
        <v>0</v>
      </c>
      <c r="AQ127">
        <v>0</v>
      </c>
      <c r="AR127">
        <v>0</v>
      </c>
      <c r="AS127">
        <v>0</v>
      </c>
      <c r="AT127">
        <v>0</v>
      </c>
      <c r="AU127">
        <v>0</v>
      </c>
      <c r="AV127">
        <v>0</v>
      </c>
      <c r="AW127">
        <v>0</v>
      </c>
      <c r="AX127">
        <v>2</v>
      </c>
      <c r="AY127">
        <v>0</v>
      </c>
    </row>
    <row r="128" spans="1:51" x14ac:dyDescent="0.25">
      <c r="A128">
        <v>7</v>
      </c>
      <c r="B128">
        <v>34400</v>
      </c>
      <c r="C128" t="s">
        <v>735</v>
      </c>
      <c r="D128" t="s">
        <v>96</v>
      </c>
      <c r="E128" t="s">
        <v>121</v>
      </c>
      <c r="F128" t="s">
        <v>111</v>
      </c>
      <c r="G128" t="s">
        <v>101</v>
      </c>
      <c r="H128" t="s">
        <v>78</v>
      </c>
      <c r="I128" t="s">
        <v>79</v>
      </c>
      <c r="J128" t="s">
        <v>119</v>
      </c>
      <c r="K128" t="s">
        <v>75</v>
      </c>
      <c r="L128" t="s">
        <v>76</v>
      </c>
      <c r="M128" t="s">
        <v>103</v>
      </c>
      <c r="N128" t="s">
        <v>74</v>
      </c>
      <c r="O128" t="s">
        <v>104</v>
      </c>
      <c r="P128" t="s">
        <v>110</v>
      </c>
      <c r="Q128" t="s">
        <v>110</v>
      </c>
      <c r="R128" t="s">
        <v>110</v>
      </c>
      <c r="S128">
        <v>0</v>
      </c>
      <c r="T128">
        <v>0</v>
      </c>
      <c r="U128" t="s">
        <v>72</v>
      </c>
      <c r="V128" t="s">
        <v>73</v>
      </c>
      <c r="W128">
        <v>0</v>
      </c>
      <c r="X128">
        <v>0</v>
      </c>
      <c r="Y128">
        <v>0</v>
      </c>
      <c r="Z128">
        <v>0</v>
      </c>
      <c r="AA128">
        <v>0</v>
      </c>
      <c r="AB128">
        <v>0</v>
      </c>
      <c r="AC128">
        <v>0</v>
      </c>
      <c r="AD128">
        <v>0</v>
      </c>
      <c r="AE128">
        <v>0</v>
      </c>
      <c r="AF128">
        <v>0</v>
      </c>
      <c r="AG128" t="s">
        <v>71</v>
      </c>
      <c r="AH128">
        <v>0</v>
      </c>
      <c r="AI128">
        <v>0</v>
      </c>
      <c r="AJ128">
        <v>0</v>
      </c>
      <c r="AK128">
        <v>0</v>
      </c>
      <c r="AL128" t="s">
        <v>108</v>
      </c>
      <c r="AM128" t="s">
        <v>93</v>
      </c>
      <c r="AN128" t="s">
        <v>94</v>
      </c>
      <c r="AO128" t="s">
        <v>92</v>
      </c>
      <c r="AP128">
        <v>0</v>
      </c>
      <c r="AQ128">
        <v>0</v>
      </c>
      <c r="AR128">
        <v>0</v>
      </c>
      <c r="AS128">
        <v>0</v>
      </c>
      <c r="AT128">
        <v>0</v>
      </c>
      <c r="AU128">
        <v>0</v>
      </c>
      <c r="AV128">
        <v>0</v>
      </c>
      <c r="AW128">
        <v>0</v>
      </c>
      <c r="AX128">
        <v>4</v>
      </c>
      <c r="AY128">
        <v>0</v>
      </c>
    </row>
    <row r="129" spans="1:51" x14ac:dyDescent="0.25">
      <c r="A129">
        <v>7</v>
      </c>
      <c r="B129">
        <v>34410</v>
      </c>
      <c r="C129" t="s">
        <v>735</v>
      </c>
      <c r="D129" t="s">
        <v>96</v>
      </c>
      <c r="E129" t="s">
        <v>121</v>
      </c>
      <c r="F129" t="s">
        <v>111</v>
      </c>
      <c r="G129" t="s">
        <v>101</v>
      </c>
      <c r="H129" t="s">
        <v>78</v>
      </c>
      <c r="I129" t="s">
        <v>79</v>
      </c>
      <c r="J129" t="s">
        <v>119</v>
      </c>
      <c r="K129" t="s">
        <v>75</v>
      </c>
      <c r="L129" t="s">
        <v>76</v>
      </c>
      <c r="M129" t="s">
        <v>103</v>
      </c>
      <c r="N129" t="s">
        <v>74</v>
      </c>
      <c r="O129" t="s">
        <v>104</v>
      </c>
      <c r="P129" t="s">
        <v>71</v>
      </c>
      <c r="Q129" t="s">
        <v>71</v>
      </c>
      <c r="R129" t="s">
        <v>71</v>
      </c>
      <c r="S129">
        <v>0</v>
      </c>
      <c r="T129">
        <v>0</v>
      </c>
      <c r="U129" t="s">
        <v>72</v>
      </c>
      <c r="V129" t="s">
        <v>73</v>
      </c>
      <c r="W129">
        <v>0</v>
      </c>
      <c r="X129">
        <v>0</v>
      </c>
      <c r="Y129">
        <v>0</v>
      </c>
      <c r="Z129">
        <v>0</v>
      </c>
      <c r="AA129">
        <v>0</v>
      </c>
      <c r="AB129">
        <v>0</v>
      </c>
      <c r="AC129">
        <v>0</v>
      </c>
      <c r="AD129">
        <v>0</v>
      </c>
      <c r="AE129">
        <v>0</v>
      </c>
      <c r="AF129">
        <v>0</v>
      </c>
      <c r="AG129" t="s">
        <v>71</v>
      </c>
      <c r="AH129">
        <v>0</v>
      </c>
      <c r="AI129">
        <v>0</v>
      </c>
      <c r="AJ129">
        <v>0</v>
      </c>
      <c r="AK129">
        <v>0</v>
      </c>
      <c r="AL129" t="s">
        <v>108</v>
      </c>
      <c r="AM129" t="s">
        <v>93</v>
      </c>
      <c r="AN129" t="s">
        <v>94</v>
      </c>
      <c r="AO129" t="s">
        <v>92</v>
      </c>
      <c r="AP129">
        <v>0</v>
      </c>
      <c r="AQ129">
        <v>0</v>
      </c>
      <c r="AR129">
        <v>0</v>
      </c>
      <c r="AS129">
        <v>0</v>
      </c>
      <c r="AT129">
        <v>0</v>
      </c>
      <c r="AU129">
        <v>0</v>
      </c>
      <c r="AV129">
        <v>0</v>
      </c>
      <c r="AW129">
        <v>0</v>
      </c>
      <c r="AX129">
        <v>4</v>
      </c>
      <c r="AY129">
        <v>0</v>
      </c>
    </row>
    <row r="130" spans="1:51" x14ac:dyDescent="0.25">
      <c r="A130">
        <v>7</v>
      </c>
      <c r="B130">
        <v>34420</v>
      </c>
      <c r="C130" t="s">
        <v>735</v>
      </c>
      <c r="D130" t="s">
        <v>96</v>
      </c>
      <c r="E130" t="s">
        <v>121</v>
      </c>
      <c r="F130" t="s">
        <v>111</v>
      </c>
      <c r="G130" t="s">
        <v>101</v>
      </c>
      <c r="H130" t="s">
        <v>78</v>
      </c>
      <c r="I130" t="s">
        <v>79</v>
      </c>
      <c r="J130" t="s">
        <v>119</v>
      </c>
      <c r="K130" t="s">
        <v>75</v>
      </c>
      <c r="L130" t="s">
        <v>76</v>
      </c>
      <c r="M130" t="s">
        <v>103</v>
      </c>
      <c r="N130" t="s">
        <v>74</v>
      </c>
      <c r="O130" t="s">
        <v>104</v>
      </c>
      <c r="P130" t="s">
        <v>71</v>
      </c>
      <c r="Q130" t="s">
        <v>71</v>
      </c>
      <c r="R130" t="s">
        <v>71</v>
      </c>
      <c r="S130">
        <v>0</v>
      </c>
      <c r="T130">
        <v>0</v>
      </c>
      <c r="U130" t="s">
        <v>72</v>
      </c>
      <c r="V130" t="s">
        <v>73</v>
      </c>
      <c r="W130">
        <v>0</v>
      </c>
      <c r="X130">
        <v>0</v>
      </c>
      <c r="Y130">
        <v>0</v>
      </c>
      <c r="Z130">
        <v>0</v>
      </c>
      <c r="AA130">
        <v>0</v>
      </c>
      <c r="AB130">
        <v>0</v>
      </c>
      <c r="AC130">
        <v>0</v>
      </c>
      <c r="AD130">
        <v>0</v>
      </c>
      <c r="AE130">
        <v>0</v>
      </c>
      <c r="AF130">
        <v>0</v>
      </c>
      <c r="AG130" t="s">
        <v>71</v>
      </c>
      <c r="AH130">
        <v>0</v>
      </c>
      <c r="AI130">
        <v>0</v>
      </c>
      <c r="AJ130">
        <v>0</v>
      </c>
      <c r="AK130">
        <v>0</v>
      </c>
      <c r="AL130" t="s">
        <v>108</v>
      </c>
      <c r="AM130" t="s">
        <v>93</v>
      </c>
      <c r="AN130" t="s">
        <v>94</v>
      </c>
      <c r="AO130" t="s">
        <v>92</v>
      </c>
      <c r="AP130">
        <v>0</v>
      </c>
      <c r="AQ130">
        <v>0</v>
      </c>
      <c r="AR130">
        <v>0</v>
      </c>
      <c r="AS130">
        <v>0</v>
      </c>
      <c r="AT130">
        <v>0</v>
      </c>
      <c r="AU130">
        <v>0</v>
      </c>
      <c r="AV130">
        <v>0</v>
      </c>
      <c r="AW130">
        <v>0</v>
      </c>
      <c r="AX130">
        <v>4</v>
      </c>
      <c r="AY130">
        <v>0</v>
      </c>
    </row>
    <row r="131" spans="1:51" x14ac:dyDescent="0.25">
      <c r="A131">
        <v>7</v>
      </c>
      <c r="B131">
        <v>37390</v>
      </c>
      <c r="C131" t="s">
        <v>735</v>
      </c>
      <c r="D131" t="s">
        <v>96</v>
      </c>
      <c r="E131" t="s">
        <v>121</v>
      </c>
      <c r="F131" t="s">
        <v>111</v>
      </c>
      <c r="G131" t="s">
        <v>101</v>
      </c>
      <c r="H131" t="s">
        <v>78</v>
      </c>
      <c r="I131" t="s">
        <v>79</v>
      </c>
      <c r="J131" t="s">
        <v>119</v>
      </c>
      <c r="K131" t="s">
        <v>75</v>
      </c>
      <c r="L131" t="s">
        <v>76</v>
      </c>
      <c r="M131" t="s">
        <v>103</v>
      </c>
      <c r="N131" t="s">
        <v>74</v>
      </c>
      <c r="O131" t="s">
        <v>104</v>
      </c>
      <c r="P131" t="s">
        <v>71</v>
      </c>
      <c r="Q131" t="s">
        <v>71</v>
      </c>
      <c r="R131" t="s">
        <v>71</v>
      </c>
      <c r="S131">
        <v>0</v>
      </c>
      <c r="T131">
        <v>0</v>
      </c>
      <c r="U131" t="s">
        <v>72</v>
      </c>
      <c r="V131" t="s">
        <v>73</v>
      </c>
      <c r="W131">
        <v>0</v>
      </c>
      <c r="X131">
        <v>0</v>
      </c>
      <c r="Y131">
        <v>0</v>
      </c>
      <c r="Z131">
        <v>0</v>
      </c>
      <c r="AA131">
        <v>0</v>
      </c>
      <c r="AB131">
        <v>0</v>
      </c>
      <c r="AC131">
        <v>0</v>
      </c>
      <c r="AD131">
        <v>0</v>
      </c>
      <c r="AE131">
        <v>0</v>
      </c>
      <c r="AF131">
        <v>0</v>
      </c>
      <c r="AG131" t="s">
        <v>71</v>
      </c>
      <c r="AH131">
        <v>0</v>
      </c>
      <c r="AI131">
        <v>0</v>
      </c>
      <c r="AJ131">
        <v>0</v>
      </c>
      <c r="AK131">
        <v>0</v>
      </c>
      <c r="AL131" t="s">
        <v>108</v>
      </c>
      <c r="AM131" t="s">
        <v>93</v>
      </c>
      <c r="AN131" t="s">
        <v>94</v>
      </c>
      <c r="AO131" t="s">
        <v>92</v>
      </c>
      <c r="AP131">
        <v>0</v>
      </c>
      <c r="AQ131">
        <v>0</v>
      </c>
      <c r="AR131">
        <v>0</v>
      </c>
      <c r="AS131">
        <v>0</v>
      </c>
      <c r="AT131">
        <v>0</v>
      </c>
      <c r="AU131">
        <v>0</v>
      </c>
      <c r="AV131">
        <v>0</v>
      </c>
      <c r="AW131">
        <v>0</v>
      </c>
      <c r="AX131">
        <v>4</v>
      </c>
      <c r="AY131">
        <v>0</v>
      </c>
    </row>
    <row r="132" spans="1:51" x14ac:dyDescent="0.25">
      <c r="A132">
        <v>7</v>
      </c>
      <c r="B132">
        <v>37400</v>
      </c>
      <c r="C132" t="s">
        <v>735</v>
      </c>
      <c r="D132" t="s">
        <v>96</v>
      </c>
      <c r="E132" t="s">
        <v>121</v>
      </c>
      <c r="F132" t="s">
        <v>111</v>
      </c>
      <c r="G132" t="s">
        <v>101</v>
      </c>
      <c r="H132" t="s">
        <v>78</v>
      </c>
      <c r="I132" t="s">
        <v>79</v>
      </c>
      <c r="J132" t="s">
        <v>119</v>
      </c>
      <c r="K132" t="s">
        <v>75</v>
      </c>
      <c r="L132" t="s">
        <v>76</v>
      </c>
      <c r="M132" t="s">
        <v>103</v>
      </c>
      <c r="N132" t="s">
        <v>74</v>
      </c>
      <c r="O132" t="s">
        <v>104</v>
      </c>
      <c r="P132" t="s">
        <v>71</v>
      </c>
      <c r="Q132" t="s">
        <v>71</v>
      </c>
      <c r="R132" t="s">
        <v>71</v>
      </c>
      <c r="S132">
        <v>0</v>
      </c>
      <c r="T132">
        <v>0</v>
      </c>
      <c r="U132" t="s">
        <v>72</v>
      </c>
      <c r="V132" t="s">
        <v>73</v>
      </c>
      <c r="W132">
        <v>0</v>
      </c>
      <c r="X132">
        <v>0</v>
      </c>
      <c r="Y132">
        <v>0</v>
      </c>
      <c r="Z132">
        <v>0</v>
      </c>
      <c r="AA132">
        <v>0</v>
      </c>
      <c r="AB132">
        <v>0</v>
      </c>
      <c r="AC132">
        <v>0</v>
      </c>
      <c r="AD132">
        <v>0</v>
      </c>
      <c r="AE132">
        <v>0</v>
      </c>
      <c r="AF132">
        <v>0</v>
      </c>
      <c r="AG132" t="s">
        <v>71</v>
      </c>
      <c r="AH132">
        <v>0</v>
      </c>
      <c r="AI132">
        <v>0</v>
      </c>
      <c r="AJ132">
        <v>0</v>
      </c>
      <c r="AK132">
        <v>0</v>
      </c>
      <c r="AL132" t="s">
        <v>108</v>
      </c>
      <c r="AM132" t="s">
        <v>93</v>
      </c>
      <c r="AN132" t="s">
        <v>94</v>
      </c>
      <c r="AO132" t="s">
        <v>92</v>
      </c>
      <c r="AP132">
        <v>0</v>
      </c>
      <c r="AQ132">
        <v>0</v>
      </c>
      <c r="AR132">
        <v>0</v>
      </c>
      <c r="AS132">
        <v>0</v>
      </c>
      <c r="AT132">
        <v>0</v>
      </c>
      <c r="AU132">
        <v>0</v>
      </c>
      <c r="AV132">
        <v>0</v>
      </c>
      <c r="AW132">
        <v>0</v>
      </c>
      <c r="AX132">
        <v>0</v>
      </c>
      <c r="AY132">
        <v>0</v>
      </c>
    </row>
    <row r="133" spans="1:51" x14ac:dyDescent="0.25">
      <c r="A133">
        <v>7</v>
      </c>
      <c r="B133">
        <v>37410</v>
      </c>
      <c r="C133" t="s">
        <v>735</v>
      </c>
      <c r="D133" t="s">
        <v>96</v>
      </c>
      <c r="E133" t="s">
        <v>121</v>
      </c>
      <c r="F133" t="s">
        <v>111</v>
      </c>
      <c r="G133" t="s">
        <v>101</v>
      </c>
      <c r="H133" t="s">
        <v>78</v>
      </c>
      <c r="I133" t="s">
        <v>79</v>
      </c>
      <c r="J133" t="s">
        <v>119</v>
      </c>
      <c r="K133" t="s">
        <v>75</v>
      </c>
      <c r="L133" t="s">
        <v>76</v>
      </c>
      <c r="M133" t="s">
        <v>103</v>
      </c>
      <c r="N133" t="s">
        <v>74</v>
      </c>
      <c r="O133" t="s">
        <v>104</v>
      </c>
      <c r="P133" t="s">
        <v>71</v>
      </c>
      <c r="Q133" t="s">
        <v>71</v>
      </c>
      <c r="R133" t="s">
        <v>71</v>
      </c>
      <c r="S133">
        <v>0</v>
      </c>
      <c r="T133">
        <v>0</v>
      </c>
      <c r="U133" t="s">
        <v>72</v>
      </c>
      <c r="V133" t="s">
        <v>73</v>
      </c>
      <c r="W133">
        <v>0</v>
      </c>
      <c r="X133">
        <v>0</v>
      </c>
      <c r="Y133">
        <v>0</v>
      </c>
      <c r="Z133">
        <v>0</v>
      </c>
      <c r="AA133">
        <v>0</v>
      </c>
      <c r="AB133">
        <v>0</v>
      </c>
      <c r="AC133">
        <v>0</v>
      </c>
      <c r="AD133">
        <v>0</v>
      </c>
      <c r="AE133">
        <v>0</v>
      </c>
      <c r="AF133">
        <v>0</v>
      </c>
      <c r="AG133" t="s">
        <v>71</v>
      </c>
      <c r="AH133">
        <v>0</v>
      </c>
      <c r="AI133">
        <v>0</v>
      </c>
      <c r="AJ133">
        <v>0</v>
      </c>
      <c r="AK133">
        <v>0</v>
      </c>
      <c r="AL133" t="s">
        <v>108</v>
      </c>
      <c r="AM133" t="s">
        <v>93</v>
      </c>
      <c r="AN133" t="s">
        <v>94</v>
      </c>
      <c r="AO133" t="s">
        <v>92</v>
      </c>
      <c r="AP133">
        <v>0</v>
      </c>
      <c r="AQ133">
        <v>0</v>
      </c>
      <c r="AR133">
        <v>0</v>
      </c>
      <c r="AS133">
        <v>0</v>
      </c>
      <c r="AT133">
        <v>0</v>
      </c>
      <c r="AU133">
        <v>0</v>
      </c>
      <c r="AV133">
        <v>0</v>
      </c>
      <c r="AW133">
        <v>0</v>
      </c>
      <c r="AX133">
        <v>0</v>
      </c>
      <c r="AY133">
        <v>0</v>
      </c>
    </row>
    <row r="134" spans="1:51" x14ac:dyDescent="0.25">
      <c r="A134">
        <v>7</v>
      </c>
      <c r="B134">
        <v>37420</v>
      </c>
      <c r="C134" t="s">
        <v>735</v>
      </c>
      <c r="D134" t="s">
        <v>96</v>
      </c>
      <c r="E134" t="s">
        <v>121</v>
      </c>
      <c r="F134" t="s">
        <v>111</v>
      </c>
      <c r="G134" t="s">
        <v>101</v>
      </c>
      <c r="H134" t="s">
        <v>78</v>
      </c>
      <c r="I134" t="s">
        <v>79</v>
      </c>
      <c r="J134" t="s">
        <v>119</v>
      </c>
      <c r="K134" t="s">
        <v>75</v>
      </c>
      <c r="L134" t="s">
        <v>76</v>
      </c>
      <c r="M134" t="s">
        <v>103</v>
      </c>
      <c r="N134" t="s">
        <v>74</v>
      </c>
      <c r="O134" t="s">
        <v>104</v>
      </c>
      <c r="P134" t="s">
        <v>71</v>
      </c>
      <c r="Q134" t="s">
        <v>71</v>
      </c>
      <c r="R134" t="s">
        <v>71</v>
      </c>
      <c r="S134">
        <v>0</v>
      </c>
      <c r="T134">
        <v>0</v>
      </c>
      <c r="U134" t="s">
        <v>72</v>
      </c>
      <c r="V134" t="s">
        <v>73</v>
      </c>
      <c r="W134">
        <v>0</v>
      </c>
      <c r="X134">
        <v>0</v>
      </c>
      <c r="Y134">
        <v>0</v>
      </c>
      <c r="Z134">
        <v>0</v>
      </c>
      <c r="AA134">
        <v>0</v>
      </c>
      <c r="AB134">
        <v>0</v>
      </c>
      <c r="AC134">
        <v>0</v>
      </c>
      <c r="AD134">
        <v>0</v>
      </c>
      <c r="AE134">
        <v>0</v>
      </c>
      <c r="AF134">
        <v>0</v>
      </c>
      <c r="AG134" t="s">
        <v>71</v>
      </c>
      <c r="AH134">
        <v>0</v>
      </c>
      <c r="AI134">
        <v>0</v>
      </c>
      <c r="AJ134">
        <v>0</v>
      </c>
      <c r="AK134">
        <v>0</v>
      </c>
      <c r="AL134" t="s">
        <v>108</v>
      </c>
      <c r="AM134" t="s">
        <v>93</v>
      </c>
      <c r="AN134" t="s">
        <v>94</v>
      </c>
      <c r="AO134" t="s">
        <v>92</v>
      </c>
      <c r="AP134">
        <v>0</v>
      </c>
      <c r="AQ134">
        <v>0</v>
      </c>
      <c r="AR134">
        <v>0</v>
      </c>
      <c r="AS134">
        <v>0</v>
      </c>
      <c r="AT134">
        <v>0</v>
      </c>
      <c r="AU134">
        <v>0</v>
      </c>
      <c r="AV134">
        <v>0</v>
      </c>
      <c r="AW134">
        <v>0</v>
      </c>
      <c r="AX134">
        <v>0</v>
      </c>
      <c r="AY134">
        <v>0</v>
      </c>
    </row>
    <row r="135" spans="1:51" x14ac:dyDescent="0.25">
      <c r="A135">
        <v>7</v>
      </c>
      <c r="B135">
        <v>37430</v>
      </c>
      <c r="C135" t="s">
        <v>735</v>
      </c>
      <c r="D135" t="s">
        <v>96</v>
      </c>
      <c r="E135" t="s">
        <v>121</v>
      </c>
      <c r="F135" t="s">
        <v>111</v>
      </c>
      <c r="G135" t="s">
        <v>101</v>
      </c>
      <c r="H135" t="s">
        <v>78</v>
      </c>
      <c r="I135" t="s">
        <v>79</v>
      </c>
      <c r="J135" t="s">
        <v>119</v>
      </c>
      <c r="K135" t="s">
        <v>75</v>
      </c>
      <c r="L135" t="s">
        <v>76</v>
      </c>
      <c r="M135" t="s">
        <v>103</v>
      </c>
      <c r="N135" t="s">
        <v>74</v>
      </c>
      <c r="O135" t="s">
        <v>104</v>
      </c>
      <c r="P135" t="s">
        <v>71</v>
      </c>
      <c r="Q135" t="s">
        <v>71</v>
      </c>
      <c r="R135" t="s">
        <v>71</v>
      </c>
      <c r="S135">
        <v>0</v>
      </c>
      <c r="T135">
        <v>0</v>
      </c>
      <c r="U135" t="s">
        <v>72</v>
      </c>
      <c r="V135" t="s">
        <v>73</v>
      </c>
      <c r="W135">
        <v>0</v>
      </c>
      <c r="X135">
        <v>0</v>
      </c>
      <c r="Y135">
        <v>0</v>
      </c>
      <c r="Z135">
        <v>0</v>
      </c>
      <c r="AA135">
        <v>0</v>
      </c>
      <c r="AB135">
        <v>0</v>
      </c>
      <c r="AC135">
        <v>0</v>
      </c>
      <c r="AD135">
        <v>0</v>
      </c>
      <c r="AE135">
        <v>0</v>
      </c>
      <c r="AF135">
        <v>0</v>
      </c>
      <c r="AG135" t="s">
        <v>71</v>
      </c>
      <c r="AH135">
        <v>0</v>
      </c>
      <c r="AI135">
        <v>0</v>
      </c>
      <c r="AJ135">
        <v>0</v>
      </c>
      <c r="AK135">
        <v>0</v>
      </c>
      <c r="AL135" t="s">
        <v>108</v>
      </c>
      <c r="AM135" t="s">
        <v>93</v>
      </c>
      <c r="AN135" t="s">
        <v>94</v>
      </c>
      <c r="AO135" t="s">
        <v>92</v>
      </c>
      <c r="AP135">
        <v>0</v>
      </c>
      <c r="AQ135">
        <v>0</v>
      </c>
      <c r="AR135">
        <v>0</v>
      </c>
      <c r="AS135">
        <v>0</v>
      </c>
      <c r="AT135">
        <v>0</v>
      </c>
      <c r="AU135">
        <v>0</v>
      </c>
      <c r="AV135">
        <v>0</v>
      </c>
      <c r="AW135">
        <v>0</v>
      </c>
      <c r="AX135">
        <v>0</v>
      </c>
      <c r="AY135">
        <v>0</v>
      </c>
    </row>
    <row r="136" spans="1:51" x14ac:dyDescent="0.25">
      <c r="A136">
        <v>7</v>
      </c>
      <c r="B136">
        <v>37440</v>
      </c>
      <c r="C136" t="s">
        <v>735</v>
      </c>
      <c r="D136" t="s">
        <v>96</v>
      </c>
      <c r="E136" t="s">
        <v>121</v>
      </c>
      <c r="F136" t="s">
        <v>111</v>
      </c>
      <c r="G136" t="s">
        <v>101</v>
      </c>
      <c r="H136" t="s">
        <v>78</v>
      </c>
      <c r="I136" t="s">
        <v>79</v>
      </c>
      <c r="J136" t="s">
        <v>119</v>
      </c>
      <c r="K136" t="s">
        <v>75</v>
      </c>
      <c r="L136" t="s">
        <v>76</v>
      </c>
      <c r="M136" t="s">
        <v>103</v>
      </c>
      <c r="N136" t="s">
        <v>74</v>
      </c>
      <c r="O136" t="s">
        <v>104</v>
      </c>
      <c r="P136" t="s">
        <v>110</v>
      </c>
      <c r="Q136" t="s">
        <v>71</v>
      </c>
      <c r="R136" t="s">
        <v>71</v>
      </c>
      <c r="S136">
        <v>0</v>
      </c>
      <c r="T136">
        <v>0</v>
      </c>
      <c r="U136" t="s">
        <v>72</v>
      </c>
      <c r="V136" t="s">
        <v>73</v>
      </c>
      <c r="W136">
        <v>0</v>
      </c>
      <c r="X136">
        <v>0</v>
      </c>
      <c r="Y136">
        <v>0</v>
      </c>
      <c r="Z136">
        <v>0</v>
      </c>
      <c r="AA136">
        <v>0</v>
      </c>
      <c r="AB136">
        <v>0</v>
      </c>
      <c r="AC136">
        <v>0</v>
      </c>
      <c r="AD136">
        <v>0</v>
      </c>
      <c r="AE136">
        <v>0</v>
      </c>
      <c r="AF136">
        <v>0</v>
      </c>
      <c r="AG136" t="s">
        <v>71</v>
      </c>
      <c r="AH136">
        <v>0</v>
      </c>
      <c r="AI136">
        <v>0</v>
      </c>
      <c r="AJ136">
        <v>0</v>
      </c>
      <c r="AK136">
        <v>0</v>
      </c>
      <c r="AL136" t="s">
        <v>108</v>
      </c>
      <c r="AM136" t="s">
        <v>93</v>
      </c>
      <c r="AN136" t="s">
        <v>94</v>
      </c>
      <c r="AO136" t="s">
        <v>92</v>
      </c>
      <c r="AP136">
        <v>0</v>
      </c>
      <c r="AQ136">
        <v>0</v>
      </c>
      <c r="AR136">
        <v>0</v>
      </c>
      <c r="AS136">
        <v>0</v>
      </c>
      <c r="AT136">
        <v>0</v>
      </c>
      <c r="AU136">
        <v>0</v>
      </c>
      <c r="AV136">
        <v>0</v>
      </c>
      <c r="AW136">
        <v>0</v>
      </c>
      <c r="AX136">
        <v>2</v>
      </c>
      <c r="AY136">
        <v>0</v>
      </c>
    </row>
    <row r="137" spans="1:51" x14ac:dyDescent="0.25">
      <c r="A137">
        <v>7</v>
      </c>
      <c r="B137">
        <v>37450</v>
      </c>
      <c r="C137" t="s">
        <v>735</v>
      </c>
      <c r="D137" t="s">
        <v>96</v>
      </c>
      <c r="E137" t="s">
        <v>121</v>
      </c>
      <c r="F137" t="s">
        <v>111</v>
      </c>
      <c r="G137" t="s">
        <v>101</v>
      </c>
      <c r="H137" t="s">
        <v>78</v>
      </c>
      <c r="I137" t="s">
        <v>79</v>
      </c>
      <c r="J137" t="s">
        <v>119</v>
      </c>
      <c r="K137" t="s">
        <v>75</v>
      </c>
      <c r="L137" t="s">
        <v>76</v>
      </c>
      <c r="M137" t="s">
        <v>103</v>
      </c>
      <c r="N137" t="s">
        <v>74</v>
      </c>
      <c r="O137" t="s">
        <v>104</v>
      </c>
      <c r="P137" t="s">
        <v>110</v>
      </c>
      <c r="Q137" t="s">
        <v>71</v>
      </c>
      <c r="R137" t="s">
        <v>71</v>
      </c>
      <c r="S137">
        <v>0</v>
      </c>
      <c r="T137">
        <v>0</v>
      </c>
      <c r="U137" t="s">
        <v>72</v>
      </c>
      <c r="V137" t="s">
        <v>73</v>
      </c>
      <c r="W137">
        <v>0</v>
      </c>
      <c r="X137">
        <v>0</v>
      </c>
      <c r="Y137">
        <v>0</v>
      </c>
      <c r="Z137">
        <v>0</v>
      </c>
      <c r="AA137">
        <v>0</v>
      </c>
      <c r="AB137">
        <v>0</v>
      </c>
      <c r="AC137">
        <v>0</v>
      </c>
      <c r="AD137">
        <v>0</v>
      </c>
      <c r="AE137">
        <v>0</v>
      </c>
      <c r="AF137">
        <v>0</v>
      </c>
      <c r="AG137" t="s">
        <v>71</v>
      </c>
      <c r="AH137">
        <v>0</v>
      </c>
      <c r="AI137">
        <v>0</v>
      </c>
      <c r="AJ137">
        <v>0</v>
      </c>
      <c r="AK137">
        <v>0</v>
      </c>
      <c r="AL137" t="s">
        <v>108</v>
      </c>
      <c r="AM137" t="s">
        <v>93</v>
      </c>
      <c r="AN137" t="s">
        <v>94</v>
      </c>
      <c r="AO137" t="s">
        <v>92</v>
      </c>
      <c r="AP137">
        <v>0</v>
      </c>
      <c r="AQ137">
        <v>0</v>
      </c>
      <c r="AR137">
        <v>0</v>
      </c>
      <c r="AS137">
        <v>0</v>
      </c>
      <c r="AT137">
        <v>0</v>
      </c>
      <c r="AU137">
        <v>0</v>
      </c>
      <c r="AV137">
        <v>0</v>
      </c>
      <c r="AW137">
        <v>0</v>
      </c>
      <c r="AX137">
        <v>2</v>
      </c>
      <c r="AY137">
        <v>0</v>
      </c>
    </row>
    <row r="138" spans="1:51" x14ac:dyDescent="0.25">
      <c r="A138">
        <v>7</v>
      </c>
      <c r="B138">
        <v>37460</v>
      </c>
      <c r="C138" t="s">
        <v>735</v>
      </c>
      <c r="D138" t="s">
        <v>96</v>
      </c>
      <c r="E138" t="s">
        <v>121</v>
      </c>
      <c r="F138" t="s">
        <v>111</v>
      </c>
      <c r="G138" t="s">
        <v>101</v>
      </c>
      <c r="H138" t="s">
        <v>78</v>
      </c>
      <c r="I138" t="s">
        <v>79</v>
      </c>
      <c r="J138" t="s">
        <v>119</v>
      </c>
      <c r="K138" t="s">
        <v>75</v>
      </c>
      <c r="L138" t="s">
        <v>76</v>
      </c>
      <c r="M138" t="s">
        <v>103</v>
      </c>
      <c r="N138" t="s">
        <v>74</v>
      </c>
      <c r="O138" t="s">
        <v>104</v>
      </c>
      <c r="P138" t="s">
        <v>110</v>
      </c>
      <c r="Q138" t="s">
        <v>71</v>
      </c>
      <c r="R138" t="s">
        <v>71</v>
      </c>
      <c r="S138">
        <v>0</v>
      </c>
      <c r="T138">
        <v>0</v>
      </c>
      <c r="U138" t="s">
        <v>72</v>
      </c>
      <c r="V138" t="s">
        <v>73</v>
      </c>
      <c r="W138">
        <v>0</v>
      </c>
      <c r="X138">
        <v>0</v>
      </c>
      <c r="Y138">
        <v>0</v>
      </c>
      <c r="Z138">
        <v>0</v>
      </c>
      <c r="AA138">
        <v>0</v>
      </c>
      <c r="AB138">
        <v>0</v>
      </c>
      <c r="AC138">
        <v>0</v>
      </c>
      <c r="AD138">
        <v>0</v>
      </c>
      <c r="AE138">
        <v>0</v>
      </c>
      <c r="AF138">
        <v>0</v>
      </c>
      <c r="AG138" t="s">
        <v>71</v>
      </c>
      <c r="AH138">
        <v>0</v>
      </c>
      <c r="AI138">
        <v>0</v>
      </c>
      <c r="AJ138">
        <v>0</v>
      </c>
      <c r="AK138">
        <v>0</v>
      </c>
      <c r="AL138" t="s">
        <v>108</v>
      </c>
      <c r="AM138" t="s">
        <v>93</v>
      </c>
      <c r="AN138" t="s">
        <v>94</v>
      </c>
      <c r="AO138" t="s">
        <v>92</v>
      </c>
      <c r="AP138">
        <v>0</v>
      </c>
      <c r="AQ138">
        <v>0</v>
      </c>
      <c r="AR138">
        <v>0</v>
      </c>
      <c r="AS138">
        <v>0</v>
      </c>
      <c r="AT138">
        <v>0</v>
      </c>
      <c r="AU138">
        <v>0</v>
      </c>
      <c r="AV138">
        <v>0</v>
      </c>
      <c r="AW138">
        <v>0</v>
      </c>
      <c r="AX138">
        <v>2</v>
      </c>
      <c r="AY138">
        <v>0</v>
      </c>
    </row>
    <row r="139" spans="1:51" x14ac:dyDescent="0.25">
      <c r="A139">
        <v>7</v>
      </c>
      <c r="B139">
        <v>37470</v>
      </c>
      <c r="C139" t="s">
        <v>735</v>
      </c>
      <c r="D139" t="s">
        <v>96</v>
      </c>
      <c r="E139" t="s">
        <v>121</v>
      </c>
      <c r="F139" t="s">
        <v>111</v>
      </c>
      <c r="G139" t="s">
        <v>101</v>
      </c>
      <c r="H139" t="s">
        <v>78</v>
      </c>
      <c r="I139" t="s">
        <v>79</v>
      </c>
      <c r="J139" t="s">
        <v>119</v>
      </c>
      <c r="K139" t="s">
        <v>75</v>
      </c>
      <c r="L139" t="s">
        <v>76</v>
      </c>
      <c r="M139" t="s">
        <v>103</v>
      </c>
      <c r="N139" t="s">
        <v>74</v>
      </c>
      <c r="O139" t="s">
        <v>104</v>
      </c>
      <c r="P139" t="s">
        <v>110</v>
      </c>
      <c r="Q139" t="s">
        <v>110</v>
      </c>
      <c r="R139" t="s">
        <v>71</v>
      </c>
      <c r="S139">
        <v>0</v>
      </c>
      <c r="T139">
        <v>0</v>
      </c>
      <c r="U139" t="s">
        <v>72</v>
      </c>
      <c r="V139" t="s">
        <v>73</v>
      </c>
      <c r="W139">
        <v>0</v>
      </c>
      <c r="X139">
        <v>0</v>
      </c>
      <c r="Y139">
        <v>0</v>
      </c>
      <c r="Z139">
        <v>0</v>
      </c>
      <c r="AA139">
        <v>0</v>
      </c>
      <c r="AB139">
        <v>0</v>
      </c>
      <c r="AC139">
        <v>0</v>
      </c>
      <c r="AD139">
        <v>0</v>
      </c>
      <c r="AE139">
        <v>0</v>
      </c>
      <c r="AF139">
        <v>0</v>
      </c>
      <c r="AG139" t="s">
        <v>71</v>
      </c>
      <c r="AH139">
        <v>0</v>
      </c>
      <c r="AI139">
        <v>0</v>
      </c>
      <c r="AJ139">
        <v>0</v>
      </c>
      <c r="AK139">
        <v>0</v>
      </c>
      <c r="AL139" t="s">
        <v>108</v>
      </c>
      <c r="AM139" t="s">
        <v>93</v>
      </c>
      <c r="AN139" t="s">
        <v>94</v>
      </c>
      <c r="AO139" t="s">
        <v>92</v>
      </c>
      <c r="AP139">
        <v>0</v>
      </c>
      <c r="AQ139">
        <v>0</v>
      </c>
      <c r="AR139">
        <v>0</v>
      </c>
      <c r="AS139">
        <v>0</v>
      </c>
      <c r="AT139">
        <v>0</v>
      </c>
      <c r="AU139">
        <v>0</v>
      </c>
      <c r="AV139">
        <v>0</v>
      </c>
      <c r="AW139">
        <v>0</v>
      </c>
      <c r="AX139">
        <v>2</v>
      </c>
      <c r="AY139">
        <v>0</v>
      </c>
    </row>
    <row r="140" spans="1:51" x14ac:dyDescent="0.25">
      <c r="A140">
        <v>7</v>
      </c>
      <c r="B140">
        <v>37480</v>
      </c>
      <c r="C140" t="s">
        <v>735</v>
      </c>
      <c r="D140" t="s">
        <v>96</v>
      </c>
      <c r="E140" t="s">
        <v>121</v>
      </c>
      <c r="F140" t="s">
        <v>111</v>
      </c>
      <c r="G140" t="s">
        <v>101</v>
      </c>
      <c r="H140" t="s">
        <v>78</v>
      </c>
      <c r="I140" t="s">
        <v>79</v>
      </c>
      <c r="J140" t="s">
        <v>119</v>
      </c>
      <c r="K140" t="s">
        <v>75</v>
      </c>
      <c r="L140" t="s">
        <v>76</v>
      </c>
      <c r="M140" t="s">
        <v>103</v>
      </c>
      <c r="N140" t="s">
        <v>74</v>
      </c>
      <c r="O140" t="s">
        <v>104</v>
      </c>
      <c r="P140" t="s">
        <v>110</v>
      </c>
      <c r="Q140" t="s">
        <v>110</v>
      </c>
      <c r="R140" t="s">
        <v>110</v>
      </c>
      <c r="S140">
        <v>0</v>
      </c>
      <c r="T140">
        <v>0</v>
      </c>
      <c r="U140" t="s">
        <v>72</v>
      </c>
      <c r="V140" t="s">
        <v>73</v>
      </c>
      <c r="W140">
        <v>0</v>
      </c>
      <c r="X140">
        <v>0</v>
      </c>
      <c r="Y140">
        <v>0</v>
      </c>
      <c r="Z140">
        <v>0</v>
      </c>
      <c r="AA140">
        <v>0</v>
      </c>
      <c r="AB140">
        <v>0</v>
      </c>
      <c r="AC140">
        <v>0</v>
      </c>
      <c r="AD140">
        <v>0</v>
      </c>
      <c r="AE140">
        <v>0</v>
      </c>
      <c r="AF140">
        <v>0</v>
      </c>
      <c r="AG140" t="s">
        <v>71</v>
      </c>
      <c r="AH140">
        <v>0</v>
      </c>
      <c r="AI140">
        <v>0</v>
      </c>
      <c r="AJ140">
        <v>0</v>
      </c>
      <c r="AK140">
        <v>0</v>
      </c>
      <c r="AL140" t="s">
        <v>108</v>
      </c>
      <c r="AM140" t="s">
        <v>93</v>
      </c>
      <c r="AN140" t="s">
        <v>94</v>
      </c>
      <c r="AO140" t="s">
        <v>92</v>
      </c>
      <c r="AP140">
        <v>0</v>
      </c>
      <c r="AQ140">
        <v>0</v>
      </c>
      <c r="AR140">
        <v>0</v>
      </c>
      <c r="AS140">
        <v>0</v>
      </c>
      <c r="AT140">
        <v>0</v>
      </c>
      <c r="AU140">
        <v>0</v>
      </c>
      <c r="AV140">
        <v>0</v>
      </c>
      <c r="AW140">
        <v>0</v>
      </c>
      <c r="AX140">
        <v>4</v>
      </c>
      <c r="AY140">
        <v>0</v>
      </c>
    </row>
    <row r="141" spans="1:51" x14ac:dyDescent="0.25">
      <c r="A141">
        <v>7</v>
      </c>
      <c r="B141">
        <v>37490</v>
      </c>
      <c r="C141" t="s">
        <v>735</v>
      </c>
      <c r="D141" t="s">
        <v>96</v>
      </c>
      <c r="E141" t="s">
        <v>121</v>
      </c>
      <c r="F141" t="s">
        <v>111</v>
      </c>
      <c r="G141" t="s">
        <v>101</v>
      </c>
      <c r="H141" t="s">
        <v>78</v>
      </c>
      <c r="I141" t="s">
        <v>79</v>
      </c>
      <c r="J141" t="s">
        <v>119</v>
      </c>
      <c r="K141" t="s">
        <v>75</v>
      </c>
      <c r="L141" t="s">
        <v>76</v>
      </c>
      <c r="M141" t="s">
        <v>103</v>
      </c>
      <c r="N141" t="s">
        <v>74</v>
      </c>
      <c r="O141" t="s">
        <v>104</v>
      </c>
      <c r="P141" t="s">
        <v>71</v>
      </c>
      <c r="Q141" t="s">
        <v>71</v>
      </c>
      <c r="R141" t="s">
        <v>71</v>
      </c>
      <c r="S141">
        <v>0</v>
      </c>
      <c r="T141">
        <v>0</v>
      </c>
      <c r="U141" t="s">
        <v>72</v>
      </c>
      <c r="V141" t="s">
        <v>73</v>
      </c>
      <c r="W141">
        <v>0</v>
      </c>
      <c r="X141">
        <v>0</v>
      </c>
      <c r="Y141">
        <v>0</v>
      </c>
      <c r="Z141">
        <v>0</v>
      </c>
      <c r="AA141">
        <v>0</v>
      </c>
      <c r="AB141">
        <v>0</v>
      </c>
      <c r="AC141">
        <v>0</v>
      </c>
      <c r="AD141">
        <v>0</v>
      </c>
      <c r="AE141">
        <v>0</v>
      </c>
      <c r="AF141">
        <v>0</v>
      </c>
      <c r="AG141" t="s">
        <v>71</v>
      </c>
      <c r="AH141">
        <v>0</v>
      </c>
      <c r="AI141">
        <v>0</v>
      </c>
      <c r="AJ141">
        <v>0</v>
      </c>
      <c r="AK141">
        <v>0</v>
      </c>
      <c r="AL141" t="s">
        <v>108</v>
      </c>
      <c r="AM141" t="s">
        <v>93</v>
      </c>
      <c r="AN141" t="s">
        <v>94</v>
      </c>
      <c r="AO141" t="s">
        <v>92</v>
      </c>
      <c r="AP141">
        <v>0</v>
      </c>
      <c r="AQ141">
        <v>0</v>
      </c>
      <c r="AR141">
        <v>0</v>
      </c>
      <c r="AS141">
        <v>0</v>
      </c>
      <c r="AT141">
        <v>0</v>
      </c>
      <c r="AU141">
        <v>0</v>
      </c>
      <c r="AV141">
        <v>0</v>
      </c>
      <c r="AW141">
        <v>0</v>
      </c>
      <c r="AX141">
        <v>4</v>
      </c>
      <c r="AY141">
        <v>0</v>
      </c>
    </row>
    <row r="142" spans="1:51" x14ac:dyDescent="0.25">
      <c r="A142">
        <v>7</v>
      </c>
      <c r="B142">
        <v>37500</v>
      </c>
      <c r="C142" t="s">
        <v>735</v>
      </c>
      <c r="D142" t="s">
        <v>96</v>
      </c>
      <c r="E142" t="s">
        <v>121</v>
      </c>
      <c r="F142" t="s">
        <v>111</v>
      </c>
      <c r="G142" t="s">
        <v>101</v>
      </c>
      <c r="H142" t="s">
        <v>78</v>
      </c>
      <c r="I142" t="s">
        <v>79</v>
      </c>
      <c r="J142" t="s">
        <v>119</v>
      </c>
      <c r="K142" t="s">
        <v>75</v>
      </c>
      <c r="L142" t="s">
        <v>76</v>
      </c>
      <c r="M142" t="s">
        <v>103</v>
      </c>
      <c r="N142" t="s">
        <v>74</v>
      </c>
      <c r="O142" t="s">
        <v>104</v>
      </c>
      <c r="P142" t="s">
        <v>71</v>
      </c>
      <c r="Q142" t="s">
        <v>71</v>
      </c>
      <c r="R142" t="s">
        <v>71</v>
      </c>
      <c r="S142">
        <v>0</v>
      </c>
      <c r="T142">
        <v>0</v>
      </c>
      <c r="U142" t="s">
        <v>72</v>
      </c>
      <c r="V142" t="s">
        <v>73</v>
      </c>
      <c r="W142">
        <v>0</v>
      </c>
      <c r="X142">
        <v>0</v>
      </c>
      <c r="Y142">
        <v>0</v>
      </c>
      <c r="Z142">
        <v>0</v>
      </c>
      <c r="AA142">
        <v>0</v>
      </c>
      <c r="AB142">
        <v>0</v>
      </c>
      <c r="AC142">
        <v>0</v>
      </c>
      <c r="AD142">
        <v>0</v>
      </c>
      <c r="AE142">
        <v>0</v>
      </c>
      <c r="AF142">
        <v>0</v>
      </c>
      <c r="AG142" t="s">
        <v>71</v>
      </c>
      <c r="AH142">
        <v>0</v>
      </c>
      <c r="AI142">
        <v>0</v>
      </c>
      <c r="AJ142">
        <v>0</v>
      </c>
      <c r="AK142">
        <v>0</v>
      </c>
      <c r="AL142" t="s">
        <v>108</v>
      </c>
      <c r="AM142" t="s">
        <v>93</v>
      </c>
      <c r="AN142" t="s">
        <v>94</v>
      </c>
      <c r="AO142" t="s">
        <v>92</v>
      </c>
      <c r="AP142">
        <v>0</v>
      </c>
      <c r="AQ142">
        <v>0</v>
      </c>
      <c r="AR142">
        <v>0</v>
      </c>
      <c r="AS142">
        <v>0</v>
      </c>
      <c r="AT142">
        <v>0</v>
      </c>
      <c r="AU142">
        <v>0</v>
      </c>
      <c r="AV142">
        <v>0</v>
      </c>
      <c r="AW142">
        <v>0</v>
      </c>
      <c r="AX142">
        <v>4</v>
      </c>
      <c r="AY142">
        <v>0</v>
      </c>
    </row>
    <row r="143" spans="1:51" x14ac:dyDescent="0.25">
      <c r="A143">
        <v>7</v>
      </c>
      <c r="B143">
        <v>40470</v>
      </c>
      <c r="C143" t="s">
        <v>735</v>
      </c>
      <c r="D143" t="s">
        <v>96</v>
      </c>
      <c r="E143" t="s">
        <v>121</v>
      </c>
      <c r="F143" t="s">
        <v>111</v>
      </c>
      <c r="G143" t="s">
        <v>101</v>
      </c>
      <c r="H143" t="s">
        <v>78</v>
      </c>
      <c r="I143" t="s">
        <v>79</v>
      </c>
      <c r="J143" t="s">
        <v>119</v>
      </c>
      <c r="K143" t="s">
        <v>75</v>
      </c>
      <c r="L143" t="s">
        <v>76</v>
      </c>
      <c r="M143" t="s">
        <v>103</v>
      </c>
      <c r="N143" t="s">
        <v>74</v>
      </c>
      <c r="O143" t="s">
        <v>104</v>
      </c>
      <c r="P143" t="s">
        <v>71</v>
      </c>
      <c r="Q143" t="s">
        <v>71</v>
      </c>
      <c r="R143" t="s">
        <v>71</v>
      </c>
      <c r="S143">
        <v>0</v>
      </c>
      <c r="T143">
        <v>0</v>
      </c>
      <c r="U143" t="s">
        <v>72</v>
      </c>
      <c r="V143" t="s">
        <v>73</v>
      </c>
      <c r="W143">
        <v>0</v>
      </c>
      <c r="X143">
        <v>0</v>
      </c>
      <c r="Y143">
        <v>0</v>
      </c>
      <c r="Z143">
        <v>0</v>
      </c>
      <c r="AA143">
        <v>0</v>
      </c>
      <c r="AB143">
        <v>0</v>
      </c>
      <c r="AC143">
        <v>0</v>
      </c>
      <c r="AD143">
        <v>0</v>
      </c>
      <c r="AE143">
        <v>0</v>
      </c>
      <c r="AF143">
        <v>0</v>
      </c>
      <c r="AG143" t="s">
        <v>71</v>
      </c>
      <c r="AH143">
        <v>0</v>
      </c>
      <c r="AI143">
        <v>0</v>
      </c>
      <c r="AJ143">
        <v>0</v>
      </c>
      <c r="AK143">
        <v>0</v>
      </c>
      <c r="AL143" t="s">
        <v>108</v>
      </c>
      <c r="AM143" t="s">
        <v>93</v>
      </c>
      <c r="AN143" t="s">
        <v>94</v>
      </c>
      <c r="AO143" t="s">
        <v>92</v>
      </c>
      <c r="AP143">
        <v>0</v>
      </c>
      <c r="AQ143">
        <v>0</v>
      </c>
      <c r="AR143">
        <v>0</v>
      </c>
      <c r="AS143">
        <v>0</v>
      </c>
      <c r="AT143">
        <v>0</v>
      </c>
      <c r="AU143">
        <v>0</v>
      </c>
      <c r="AV143">
        <v>0</v>
      </c>
      <c r="AW143">
        <v>0</v>
      </c>
      <c r="AX143">
        <v>4</v>
      </c>
      <c r="AY143">
        <v>0</v>
      </c>
    </row>
    <row r="144" spans="1:51" x14ac:dyDescent="0.25">
      <c r="A144">
        <v>7</v>
      </c>
      <c r="B144">
        <v>40480</v>
      </c>
      <c r="C144" t="s">
        <v>735</v>
      </c>
      <c r="D144" t="s">
        <v>96</v>
      </c>
      <c r="E144" t="s">
        <v>121</v>
      </c>
      <c r="F144" t="s">
        <v>111</v>
      </c>
      <c r="G144" t="s">
        <v>101</v>
      </c>
      <c r="H144" t="s">
        <v>78</v>
      </c>
      <c r="I144" t="s">
        <v>79</v>
      </c>
      <c r="J144" t="s">
        <v>119</v>
      </c>
      <c r="K144" t="s">
        <v>75</v>
      </c>
      <c r="L144" t="s">
        <v>76</v>
      </c>
      <c r="M144" t="s">
        <v>103</v>
      </c>
      <c r="N144" t="s">
        <v>74</v>
      </c>
      <c r="O144" t="s">
        <v>104</v>
      </c>
      <c r="P144" t="s">
        <v>71</v>
      </c>
      <c r="Q144" t="s">
        <v>71</v>
      </c>
      <c r="R144" t="s">
        <v>71</v>
      </c>
      <c r="S144">
        <v>0</v>
      </c>
      <c r="T144">
        <v>0</v>
      </c>
      <c r="U144" t="s">
        <v>72</v>
      </c>
      <c r="V144" t="s">
        <v>73</v>
      </c>
      <c r="W144">
        <v>0</v>
      </c>
      <c r="X144">
        <v>0</v>
      </c>
      <c r="Y144">
        <v>0</v>
      </c>
      <c r="Z144">
        <v>0</v>
      </c>
      <c r="AA144">
        <v>0</v>
      </c>
      <c r="AB144">
        <v>0</v>
      </c>
      <c r="AC144">
        <v>0</v>
      </c>
      <c r="AD144">
        <v>0</v>
      </c>
      <c r="AE144">
        <v>0</v>
      </c>
      <c r="AF144">
        <v>0</v>
      </c>
      <c r="AG144" t="s">
        <v>71</v>
      </c>
      <c r="AH144">
        <v>0</v>
      </c>
      <c r="AI144">
        <v>0</v>
      </c>
      <c r="AJ144">
        <v>0</v>
      </c>
      <c r="AK144">
        <v>0</v>
      </c>
      <c r="AL144" t="s">
        <v>108</v>
      </c>
      <c r="AM144" t="s">
        <v>93</v>
      </c>
      <c r="AN144" t="s">
        <v>94</v>
      </c>
      <c r="AO144" t="s">
        <v>92</v>
      </c>
      <c r="AP144">
        <v>0</v>
      </c>
      <c r="AQ144">
        <v>0</v>
      </c>
      <c r="AR144">
        <v>0</v>
      </c>
      <c r="AS144">
        <v>0</v>
      </c>
      <c r="AT144">
        <v>0</v>
      </c>
      <c r="AU144">
        <v>0</v>
      </c>
      <c r="AV144">
        <v>0</v>
      </c>
      <c r="AW144">
        <v>0</v>
      </c>
      <c r="AX144">
        <v>0</v>
      </c>
      <c r="AY144">
        <v>0</v>
      </c>
    </row>
    <row r="145" spans="1:51" x14ac:dyDescent="0.25">
      <c r="A145">
        <v>7</v>
      </c>
      <c r="B145">
        <v>40490</v>
      </c>
      <c r="C145" t="s">
        <v>735</v>
      </c>
      <c r="D145" t="s">
        <v>96</v>
      </c>
      <c r="E145" t="s">
        <v>121</v>
      </c>
      <c r="F145" t="s">
        <v>111</v>
      </c>
      <c r="G145" t="s">
        <v>101</v>
      </c>
      <c r="H145" t="s">
        <v>78</v>
      </c>
      <c r="I145" t="s">
        <v>79</v>
      </c>
      <c r="J145" t="s">
        <v>119</v>
      </c>
      <c r="K145" t="s">
        <v>75</v>
      </c>
      <c r="L145" t="s">
        <v>76</v>
      </c>
      <c r="M145" t="s">
        <v>103</v>
      </c>
      <c r="N145" t="s">
        <v>74</v>
      </c>
      <c r="O145" t="s">
        <v>104</v>
      </c>
      <c r="P145" t="s">
        <v>71</v>
      </c>
      <c r="Q145" t="s">
        <v>71</v>
      </c>
      <c r="R145" t="s">
        <v>71</v>
      </c>
      <c r="S145">
        <v>0</v>
      </c>
      <c r="T145">
        <v>0</v>
      </c>
      <c r="U145" t="s">
        <v>72</v>
      </c>
      <c r="V145" t="s">
        <v>73</v>
      </c>
      <c r="W145">
        <v>0</v>
      </c>
      <c r="X145">
        <v>0</v>
      </c>
      <c r="Y145">
        <v>0</v>
      </c>
      <c r="Z145">
        <v>0</v>
      </c>
      <c r="AA145">
        <v>0</v>
      </c>
      <c r="AB145">
        <v>0</v>
      </c>
      <c r="AC145">
        <v>0</v>
      </c>
      <c r="AD145">
        <v>0</v>
      </c>
      <c r="AE145">
        <v>0</v>
      </c>
      <c r="AF145">
        <v>0</v>
      </c>
      <c r="AG145" t="s">
        <v>71</v>
      </c>
      <c r="AH145">
        <v>0</v>
      </c>
      <c r="AI145">
        <v>0</v>
      </c>
      <c r="AJ145">
        <v>0</v>
      </c>
      <c r="AK145">
        <v>0</v>
      </c>
      <c r="AL145" t="s">
        <v>108</v>
      </c>
      <c r="AM145" t="s">
        <v>93</v>
      </c>
      <c r="AN145" t="s">
        <v>94</v>
      </c>
      <c r="AO145" t="s">
        <v>92</v>
      </c>
      <c r="AP145">
        <v>0</v>
      </c>
      <c r="AQ145">
        <v>0</v>
      </c>
      <c r="AR145">
        <v>0</v>
      </c>
      <c r="AS145">
        <v>0</v>
      </c>
      <c r="AT145">
        <v>0</v>
      </c>
      <c r="AU145">
        <v>0</v>
      </c>
      <c r="AV145">
        <v>0</v>
      </c>
      <c r="AW145">
        <v>0</v>
      </c>
      <c r="AX145">
        <v>0</v>
      </c>
      <c r="AY145">
        <v>0</v>
      </c>
    </row>
    <row r="146" spans="1:51" x14ac:dyDescent="0.25">
      <c r="A146">
        <v>7</v>
      </c>
      <c r="B146">
        <v>40500</v>
      </c>
      <c r="C146" t="s">
        <v>735</v>
      </c>
      <c r="D146" t="s">
        <v>96</v>
      </c>
      <c r="E146" t="s">
        <v>121</v>
      </c>
      <c r="F146" t="s">
        <v>111</v>
      </c>
      <c r="G146" t="s">
        <v>101</v>
      </c>
      <c r="H146" t="s">
        <v>78</v>
      </c>
      <c r="I146" t="s">
        <v>79</v>
      </c>
      <c r="J146" t="s">
        <v>119</v>
      </c>
      <c r="K146" t="s">
        <v>75</v>
      </c>
      <c r="L146" t="s">
        <v>76</v>
      </c>
      <c r="M146" t="s">
        <v>103</v>
      </c>
      <c r="N146" t="s">
        <v>74</v>
      </c>
      <c r="O146" t="s">
        <v>104</v>
      </c>
      <c r="P146" t="s">
        <v>71</v>
      </c>
      <c r="Q146" t="s">
        <v>71</v>
      </c>
      <c r="R146" t="s">
        <v>71</v>
      </c>
      <c r="S146">
        <v>0</v>
      </c>
      <c r="T146">
        <v>0</v>
      </c>
      <c r="U146" t="s">
        <v>72</v>
      </c>
      <c r="V146" t="s">
        <v>73</v>
      </c>
      <c r="W146">
        <v>0</v>
      </c>
      <c r="X146">
        <v>0</v>
      </c>
      <c r="Y146">
        <v>0</v>
      </c>
      <c r="Z146">
        <v>0</v>
      </c>
      <c r="AA146">
        <v>0</v>
      </c>
      <c r="AB146">
        <v>0</v>
      </c>
      <c r="AC146">
        <v>0</v>
      </c>
      <c r="AD146">
        <v>0</v>
      </c>
      <c r="AE146">
        <v>0</v>
      </c>
      <c r="AF146">
        <v>0</v>
      </c>
      <c r="AG146" t="s">
        <v>71</v>
      </c>
      <c r="AH146">
        <v>0</v>
      </c>
      <c r="AI146">
        <v>0</v>
      </c>
      <c r="AJ146">
        <v>0</v>
      </c>
      <c r="AK146">
        <v>0</v>
      </c>
      <c r="AL146" t="s">
        <v>108</v>
      </c>
      <c r="AM146" t="s">
        <v>93</v>
      </c>
      <c r="AN146" t="s">
        <v>94</v>
      </c>
      <c r="AO146" t="s">
        <v>92</v>
      </c>
      <c r="AP146">
        <v>0</v>
      </c>
      <c r="AQ146">
        <v>0</v>
      </c>
      <c r="AR146">
        <v>0</v>
      </c>
      <c r="AS146">
        <v>0</v>
      </c>
      <c r="AT146">
        <v>0</v>
      </c>
      <c r="AU146">
        <v>0</v>
      </c>
      <c r="AV146">
        <v>0</v>
      </c>
      <c r="AW146">
        <v>0</v>
      </c>
      <c r="AX146">
        <v>0</v>
      </c>
      <c r="AY146">
        <v>0</v>
      </c>
    </row>
    <row r="147" spans="1:51" x14ac:dyDescent="0.25">
      <c r="A147">
        <v>7</v>
      </c>
      <c r="B147">
        <v>40510</v>
      </c>
      <c r="C147" t="s">
        <v>735</v>
      </c>
      <c r="D147" t="s">
        <v>96</v>
      </c>
      <c r="E147" t="s">
        <v>121</v>
      </c>
      <c r="F147" t="s">
        <v>111</v>
      </c>
      <c r="G147" t="s">
        <v>101</v>
      </c>
      <c r="H147" t="s">
        <v>78</v>
      </c>
      <c r="I147" t="s">
        <v>79</v>
      </c>
      <c r="J147" t="s">
        <v>119</v>
      </c>
      <c r="K147" t="s">
        <v>75</v>
      </c>
      <c r="L147" t="s">
        <v>76</v>
      </c>
      <c r="M147" t="s">
        <v>103</v>
      </c>
      <c r="N147" t="s">
        <v>74</v>
      </c>
      <c r="O147" t="s">
        <v>104</v>
      </c>
      <c r="P147" t="s">
        <v>71</v>
      </c>
      <c r="Q147" t="s">
        <v>71</v>
      </c>
      <c r="R147" t="s">
        <v>71</v>
      </c>
      <c r="S147">
        <v>0</v>
      </c>
      <c r="T147">
        <v>0</v>
      </c>
      <c r="U147" t="s">
        <v>72</v>
      </c>
      <c r="V147" t="s">
        <v>73</v>
      </c>
      <c r="W147">
        <v>0</v>
      </c>
      <c r="X147">
        <v>0</v>
      </c>
      <c r="Y147">
        <v>0</v>
      </c>
      <c r="Z147">
        <v>0</v>
      </c>
      <c r="AA147">
        <v>0</v>
      </c>
      <c r="AB147">
        <v>0</v>
      </c>
      <c r="AC147">
        <v>0</v>
      </c>
      <c r="AD147">
        <v>0</v>
      </c>
      <c r="AE147">
        <v>0</v>
      </c>
      <c r="AF147">
        <v>0</v>
      </c>
      <c r="AG147" t="s">
        <v>71</v>
      </c>
      <c r="AH147">
        <v>0</v>
      </c>
      <c r="AI147">
        <v>0</v>
      </c>
      <c r="AJ147">
        <v>0</v>
      </c>
      <c r="AK147">
        <v>0</v>
      </c>
      <c r="AL147" t="s">
        <v>108</v>
      </c>
      <c r="AM147" t="s">
        <v>93</v>
      </c>
      <c r="AN147" t="s">
        <v>94</v>
      </c>
      <c r="AO147" t="s">
        <v>92</v>
      </c>
      <c r="AP147">
        <v>0</v>
      </c>
      <c r="AQ147">
        <v>0</v>
      </c>
      <c r="AR147">
        <v>0</v>
      </c>
      <c r="AS147">
        <v>0</v>
      </c>
      <c r="AT147">
        <v>0</v>
      </c>
      <c r="AU147">
        <v>0</v>
      </c>
      <c r="AV147">
        <v>0</v>
      </c>
      <c r="AW147">
        <v>0</v>
      </c>
      <c r="AX147">
        <v>0</v>
      </c>
      <c r="AY147">
        <v>0</v>
      </c>
    </row>
    <row r="148" spans="1:51" x14ac:dyDescent="0.25">
      <c r="A148">
        <v>7</v>
      </c>
      <c r="B148">
        <v>40520</v>
      </c>
      <c r="C148" t="s">
        <v>735</v>
      </c>
      <c r="D148" t="s">
        <v>96</v>
      </c>
      <c r="E148" t="s">
        <v>121</v>
      </c>
      <c r="F148" t="s">
        <v>111</v>
      </c>
      <c r="G148" t="s">
        <v>101</v>
      </c>
      <c r="H148" t="s">
        <v>78</v>
      </c>
      <c r="I148" t="s">
        <v>79</v>
      </c>
      <c r="J148" t="s">
        <v>119</v>
      </c>
      <c r="K148" t="s">
        <v>75</v>
      </c>
      <c r="L148" t="s">
        <v>76</v>
      </c>
      <c r="M148" t="s">
        <v>103</v>
      </c>
      <c r="N148" t="s">
        <v>74</v>
      </c>
      <c r="O148" t="s">
        <v>104</v>
      </c>
      <c r="P148" t="s">
        <v>71</v>
      </c>
      <c r="Q148" t="s">
        <v>71</v>
      </c>
      <c r="R148" t="s">
        <v>110</v>
      </c>
      <c r="S148">
        <v>0</v>
      </c>
      <c r="T148">
        <v>0</v>
      </c>
      <c r="U148" t="s">
        <v>72</v>
      </c>
      <c r="V148" t="s">
        <v>73</v>
      </c>
      <c r="W148">
        <v>0</v>
      </c>
      <c r="X148">
        <v>0</v>
      </c>
      <c r="Y148">
        <v>0</v>
      </c>
      <c r="Z148">
        <v>0</v>
      </c>
      <c r="AA148">
        <v>0</v>
      </c>
      <c r="AB148">
        <v>0</v>
      </c>
      <c r="AC148">
        <v>0</v>
      </c>
      <c r="AD148">
        <v>0</v>
      </c>
      <c r="AE148">
        <v>0</v>
      </c>
      <c r="AF148">
        <v>0</v>
      </c>
      <c r="AG148" t="s">
        <v>71</v>
      </c>
      <c r="AH148">
        <v>0</v>
      </c>
      <c r="AI148">
        <v>0</v>
      </c>
      <c r="AJ148">
        <v>0</v>
      </c>
      <c r="AK148">
        <v>0</v>
      </c>
      <c r="AL148" t="s">
        <v>108</v>
      </c>
      <c r="AM148" t="s">
        <v>93</v>
      </c>
      <c r="AN148" t="s">
        <v>94</v>
      </c>
      <c r="AO148" t="s">
        <v>92</v>
      </c>
      <c r="AP148">
        <v>0</v>
      </c>
      <c r="AQ148">
        <v>0</v>
      </c>
      <c r="AR148">
        <v>0</v>
      </c>
      <c r="AS148">
        <v>0</v>
      </c>
      <c r="AT148">
        <v>0</v>
      </c>
      <c r="AU148">
        <v>0</v>
      </c>
      <c r="AV148">
        <v>0</v>
      </c>
      <c r="AW148">
        <v>0</v>
      </c>
      <c r="AX148">
        <v>4</v>
      </c>
      <c r="AY148">
        <v>0</v>
      </c>
    </row>
    <row r="149" spans="1:51" x14ac:dyDescent="0.25">
      <c r="A149">
        <v>7</v>
      </c>
      <c r="B149">
        <v>40530</v>
      </c>
      <c r="C149" t="s">
        <v>735</v>
      </c>
      <c r="D149" t="s">
        <v>96</v>
      </c>
      <c r="E149" t="s">
        <v>121</v>
      </c>
      <c r="F149" t="s">
        <v>111</v>
      </c>
      <c r="G149" t="s">
        <v>101</v>
      </c>
      <c r="H149" t="s">
        <v>78</v>
      </c>
      <c r="I149" t="s">
        <v>79</v>
      </c>
      <c r="J149" t="s">
        <v>119</v>
      </c>
      <c r="K149" t="s">
        <v>75</v>
      </c>
      <c r="L149" t="s">
        <v>76</v>
      </c>
      <c r="M149" t="s">
        <v>103</v>
      </c>
      <c r="N149" t="s">
        <v>74</v>
      </c>
      <c r="O149" t="s">
        <v>104</v>
      </c>
      <c r="P149" t="s">
        <v>71</v>
      </c>
      <c r="Q149" t="s">
        <v>71</v>
      </c>
      <c r="R149" t="s">
        <v>110</v>
      </c>
      <c r="S149">
        <v>0</v>
      </c>
      <c r="T149">
        <v>0</v>
      </c>
      <c r="U149" t="s">
        <v>72</v>
      </c>
      <c r="V149" t="s">
        <v>73</v>
      </c>
      <c r="W149">
        <v>0</v>
      </c>
      <c r="X149">
        <v>0</v>
      </c>
      <c r="Y149">
        <v>0</v>
      </c>
      <c r="Z149">
        <v>0</v>
      </c>
      <c r="AA149">
        <v>0</v>
      </c>
      <c r="AB149">
        <v>0</v>
      </c>
      <c r="AC149">
        <v>0</v>
      </c>
      <c r="AD149">
        <v>0</v>
      </c>
      <c r="AE149">
        <v>0</v>
      </c>
      <c r="AF149">
        <v>0</v>
      </c>
      <c r="AG149" t="s">
        <v>71</v>
      </c>
      <c r="AH149">
        <v>0</v>
      </c>
      <c r="AI149">
        <v>0</v>
      </c>
      <c r="AJ149">
        <v>0</v>
      </c>
      <c r="AK149">
        <v>0</v>
      </c>
      <c r="AL149" t="s">
        <v>108</v>
      </c>
      <c r="AM149" t="s">
        <v>93</v>
      </c>
      <c r="AN149" t="s">
        <v>94</v>
      </c>
      <c r="AO149" t="s">
        <v>92</v>
      </c>
      <c r="AP149">
        <v>0</v>
      </c>
      <c r="AQ149">
        <v>0</v>
      </c>
      <c r="AR149">
        <v>0</v>
      </c>
      <c r="AS149">
        <v>0</v>
      </c>
      <c r="AT149">
        <v>0</v>
      </c>
      <c r="AU149">
        <v>0</v>
      </c>
      <c r="AV149">
        <v>0</v>
      </c>
      <c r="AW149">
        <v>0</v>
      </c>
      <c r="AX149">
        <v>4</v>
      </c>
      <c r="AY149">
        <v>0</v>
      </c>
    </row>
    <row r="150" spans="1:51" x14ac:dyDescent="0.25">
      <c r="A150">
        <v>7</v>
      </c>
      <c r="B150">
        <v>40540</v>
      </c>
      <c r="C150" t="s">
        <v>735</v>
      </c>
      <c r="D150" t="s">
        <v>96</v>
      </c>
      <c r="E150" t="s">
        <v>121</v>
      </c>
      <c r="F150" t="s">
        <v>111</v>
      </c>
      <c r="G150" t="s">
        <v>101</v>
      </c>
      <c r="H150" t="s">
        <v>78</v>
      </c>
      <c r="I150" t="s">
        <v>79</v>
      </c>
      <c r="J150" t="s">
        <v>119</v>
      </c>
      <c r="K150" t="s">
        <v>75</v>
      </c>
      <c r="L150" t="s">
        <v>76</v>
      </c>
      <c r="M150" t="s">
        <v>103</v>
      </c>
      <c r="N150" t="s">
        <v>74</v>
      </c>
      <c r="O150" t="s">
        <v>104</v>
      </c>
      <c r="P150" t="s">
        <v>71</v>
      </c>
      <c r="Q150" t="s">
        <v>71</v>
      </c>
      <c r="R150" t="s">
        <v>110</v>
      </c>
      <c r="S150">
        <v>0</v>
      </c>
      <c r="T150">
        <v>0</v>
      </c>
      <c r="U150" t="s">
        <v>72</v>
      </c>
      <c r="V150" t="s">
        <v>73</v>
      </c>
      <c r="W150">
        <v>0</v>
      </c>
      <c r="X150">
        <v>0</v>
      </c>
      <c r="Y150">
        <v>0</v>
      </c>
      <c r="Z150">
        <v>0</v>
      </c>
      <c r="AA150">
        <v>0</v>
      </c>
      <c r="AB150">
        <v>0</v>
      </c>
      <c r="AC150">
        <v>0</v>
      </c>
      <c r="AD150">
        <v>0</v>
      </c>
      <c r="AE150">
        <v>0</v>
      </c>
      <c r="AF150">
        <v>0</v>
      </c>
      <c r="AG150" t="s">
        <v>71</v>
      </c>
      <c r="AH150">
        <v>0</v>
      </c>
      <c r="AI150">
        <v>0</v>
      </c>
      <c r="AJ150">
        <v>0</v>
      </c>
      <c r="AK150">
        <v>0</v>
      </c>
      <c r="AL150" t="s">
        <v>108</v>
      </c>
      <c r="AM150" t="s">
        <v>93</v>
      </c>
      <c r="AN150" t="s">
        <v>94</v>
      </c>
      <c r="AO150" t="s">
        <v>92</v>
      </c>
      <c r="AP150">
        <v>0</v>
      </c>
      <c r="AQ150">
        <v>0</v>
      </c>
      <c r="AR150">
        <v>0</v>
      </c>
      <c r="AS150">
        <v>0</v>
      </c>
      <c r="AT150">
        <v>0</v>
      </c>
      <c r="AU150">
        <v>0</v>
      </c>
      <c r="AV150">
        <v>0</v>
      </c>
      <c r="AW150">
        <v>0</v>
      </c>
      <c r="AX150">
        <v>4</v>
      </c>
      <c r="AY150">
        <v>0</v>
      </c>
    </row>
    <row r="151" spans="1:51" x14ac:dyDescent="0.25">
      <c r="A151">
        <v>7</v>
      </c>
      <c r="B151">
        <v>40550</v>
      </c>
      <c r="C151" t="s">
        <v>735</v>
      </c>
      <c r="D151" t="s">
        <v>96</v>
      </c>
      <c r="E151" t="s">
        <v>121</v>
      </c>
      <c r="F151" t="s">
        <v>111</v>
      </c>
      <c r="G151" t="s">
        <v>101</v>
      </c>
      <c r="H151" t="s">
        <v>78</v>
      </c>
      <c r="I151" t="s">
        <v>79</v>
      </c>
      <c r="J151" t="s">
        <v>119</v>
      </c>
      <c r="K151" t="s">
        <v>75</v>
      </c>
      <c r="L151" t="s">
        <v>76</v>
      </c>
      <c r="M151" t="s">
        <v>103</v>
      </c>
      <c r="N151" t="s">
        <v>74</v>
      </c>
      <c r="O151" t="s">
        <v>104</v>
      </c>
      <c r="P151" t="s">
        <v>71</v>
      </c>
      <c r="Q151" t="s">
        <v>110</v>
      </c>
      <c r="R151" t="s">
        <v>110</v>
      </c>
      <c r="S151">
        <v>0</v>
      </c>
      <c r="T151">
        <v>0</v>
      </c>
      <c r="U151" t="s">
        <v>72</v>
      </c>
      <c r="V151" t="s">
        <v>73</v>
      </c>
      <c r="W151">
        <v>0</v>
      </c>
      <c r="X151">
        <v>0</v>
      </c>
      <c r="Y151">
        <v>0</v>
      </c>
      <c r="Z151">
        <v>0</v>
      </c>
      <c r="AA151">
        <v>0</v>
      </c>
      <c r="AB151">
        <v>0</v>
      </c>
      <c r="AC151">
        <v>0</v>
      </c>
      <c r="AD151">
        <v>0</v>
      </c>
      <c r="AE151">
        <v>0</v>
      </c>
      <c r="AF151">
        <v>0</v>
      </c>
      <c r="AG151" t="s">
        <v>71</v>
      </c>
      <c r="AH151">
        <v>0</v>
      </c>
      <c r="AI151">
        <v>0</v>
      </c>
      <c r="AJ151">
        <v>0</v>
      </c>
      <c r="AK151">
        <v>0</v>
      </c>
      <c r="AL151" t="s">
        <v>108</v>
      </c>
      <c r="AM151" t="s">
        <v>93</v>
      </c>
      <c r="AN151" t="s">
        <v>94</v>
      </c>
      <c r="AO151" t="s">
        <v>92</v>
      </c>
      <c r="AP151">
        <v>0</v>
      </c>
      <c r="AQ151">
        <v>0</v>
      </c>
      <c r="AR151">
        <v>0</v>
      </c>
      <c r="AS151">
        <v>0</v>
      </c>
      <c r="AT151">
        <v>0</v>
      </c>
      <c r="AU151">
        <v>0</v>
      </c>
      <c r="AV151">
        <v>0</v>
      </c>
      <c r="AW151">
        <v>0</v>
      </c>
      <c r="AX151">
        <v>4</v>
      </c>
      <c r="AY151">
        <v>0</v>
      </c>
    </row>
    <row r="152" spans="1:51" x14ac:dyDescent="0.25">
      <c r="A152">
        <v>7</v>
      </c>
      <c r="B152">
        <v>40560</v>
      </c>
      <c r="C152" t="s">
        <v>735</v>
      </c>
      <c r="D152" t="s">
        <v>96</v>
      </c>
      <c r="E152" t="s">
        <v>121</v>
      </c>
      <c r="F152" t="s">
        <v>111</v>
      </c>
      <c r="G152" t="s">
        <v>101</v>
      </c>
      <c r="H152" t="s">
        <v>78</v>
      </c>
      <c r="I152" t="s">
        <v>79</v>
      </c>
      <c r="J152" t="s">
        <v>119</v>
      </c>
      <c r="K152" t="s">
        <v>75</v>
      </c>
      <c r="L152" t="s">
        <v>76</v>
      </c>
      <c r="M152" t="s">
        <v>103</v>
      </c>
      <c r="N152" t="s">
        <v>74</v>
      </c>
      <c r="O152" t="s">
        <v>104</v>
      </c>
      <c r="P152" t="s">
        <v>110</v>
      </c>
      <c r="Q152" t="s">
        <v>110</v>
      </c>
      <c r="R152" t="s">
        <v>110</v>
      </c>
      <c r="S152">
        <v>0</v>
      </c>
      <c r="T152">
        <v>0</v>
      </c>
      <c r="U152" t="s">
        <v>72</v>
      </c>
      <c r="V152" t="s">
        <v>73</v>
      </c>
      <c r="W152">
        <v>0</v>
      </c>
      <c r="X152">
        <v>0</v>
      </c>
      <c r="Y152">
        <v>0</v>
      </c>
      <c r="Z152">
        <v>0</v>
      </c>
      <c r="AA152">
        <v>0</v>
      </c>
      <c r="AB152">
        <v>0</v>
      </c>
      <c r="AC152">
        <v>0</v>
      </c>
      <c r="AD152">
        <v>0</v>
      </c>
      <c r="AE152">
        <v>0</v>
      </c>
      <c r="AF152">
        <v>0</v>
      </c>
      <c r="AG152" t="s">
        <v>71</v>
      </c>
      <c r="AH152">
        <v>0</v>
      </c>
      <c r="AI152">
        <v>0</v>
      </c>
      <c r="AJ152">
        <v>0</v>
      </c>
      <c r="AK152">
        <v>0</v>
      </c>
      <c r="AL152" t="s">
        <v>108</v>
      </c>
      <c r="AM152" t="s">
        <v>93</v>
      </c>
      <c r="AN152" t="s">
        <v>94</v>
      </c>
      <c r="AO152" t="s">
        <v>92</v>
      </c>
      <c r="AP152">
        <v>0</v>
      </c>
      <c r="AQ152">
        <v>0</v>
      </c>
      <c r="AR152">
        <v>0</v>
      </c>
      <c r="AS152">
        <v>0</v>
      </c>
      <c r="AT152">
        <v>0</v>
      </c>
      <c r="AU152">
        <v>0</v>
      </c>
      <c r="AV152">
        <v>0</v>
      </c>
      <c r="AW152">
        <v>0</v>
      </c>
      <c r="AX152">
        <v>4</v>
      </c>
      <c r="AY152">
        <v>0</v>
      </c>
    </row>
    <row r="153" spans="1:51" x14ac:dyDescent="0.25">
      <c r="A153">
        <v>7</v>
      </c>
      <c r="B153">
        <v>40570</v>
      </c>
      <c r="C153" t="s">
        <v>735</v>
      </c>
      <c r="D153" t="s">
        <v>96</v>
      </c>
      <c r="E153" t="s">
        <v>121</v>
      </c>
      <c r="F153" t="s">
        <v>111</v>
      </c>
      <c r="G153" t="s">
        <v>101</v>
      </c>
      <c r="H153" t="s">
        <v>78</v>
      </c>
      <c r="I153" t="s">
        <v>79</v>
      </c>
      <c r="J153" t="s">
        <v>119</v>
      </c>
      <c r="K153" t="s">
        <v>75</v>
      </c>
      <c r="L153" t="s">
        <v>76</v>
      </c>
      <c r="M153" t="s">
        <v>103</v>
      </c>
      <c r="N153" t="s">
        <v>74</v>
      </c>
      <c r="O153" t="s">
        <v>104</v>
      </c>
      <c r="P153" t="s">
        <v>71</v>
      </c>
      <c r="Q153" t="s">
        <v>71</v>
      </c>
      <c r="R153" t="s">
        <v>71</v>
      </c>
      <c r="S153">
        <v>0</v>
      </c>
      <c r="T153">
        <v>0</v>
      </c>
      <c r="U153" t="s">
        <v>72</v>
      </c>
      <c r="V153" t="s">
        <v>73</v>
      </c>
      <c r="W153">
        <v>0</v>
      </c>
      <c r="X153">
        <v>0</v>
      </c>
      <c r="Y153">
        <v>0</v>
      </c>
      <c r="Z153">
        <v>0</v>
      </c>
      <c r="AA153">
        <v>0</v>
      </c>
      <c r="AB153">
        <v>0</v>
      </c>
      <c r="AC153">
        <v>0</v>
      </c>
      <c r="AD153">
        <v>0</v>
      </c>
      <c r="AE153">
        <v>0</v>
      </c>
      <c r="AF153">
        <v>0</v>
      </c>
      <c r="AG153" t="s">
        <v>71</v>
      </c>
      <c r="AH153">
        <v>0</v>
      </c>
      <c r="AI153">
        <v>0</v>
      </c>
      <c r="AJ153">
        <v>0</v>
      </c>
      <c r="AK153">
        <v>0</v>
      </c>
      <c r="AL153" t="s">
        <v>108</v>
      </c>
      <c r="AM153" t="s">
        <v>93</v>
      </c>
      <c r="AN153" t="s">
        <v>94</v>
      </c>
      <c r="AO153" t="s">
        <v>92</v>
      </c>
      <c r="AP153">
        <v>0</v>
      </c>
      <c r="AQ153">
        <v>0</v>
      </c>
      <c r="AR153">
        <v>0</v>
      </c>
      <c r="AS153">
        <v>0</v>
      </c>
      <c r="AT153">
        <v>0</v>
      </c>
      <c r="AU153">
        <v>0</v>
      </c>
      <c r="AV153">
        <v>0</v>
      </c>
      <c r="AW153">
        <v>0</v>
      </c>
      <c r="AX153">
        <v>4</v>
      </c>
      <c r="AY153">
        <v>0</v>
      </c>
    </row>
    <row r="154" spans="1:51" x14ac:dyDescent="0.25">
      <c r="A154">
        <v>7</v>
      </c>
      <c r="B154">
        <v>40580</v>
      </c>
      <c r="C154" t="s">
        <v>735</v>
      </c>
      <c r="D154" t="s">
        <v>96</v>
      </c>
      <c r="E154" t="s">
        <v>121</v>
      </c>
      <c r="F154" t="s">
        <v>111</v>
      </c>
      <c r="G154" t="s">
        <v>101</v>
      </c>
      <c r="H154" t="s">
        <v>78</v>
      </c>
      <c r="I154" t="s">
        <v>79</v>
      </c>
      <c r="J154" t="s">
        <v>119</v>
      </c>
      <c r="K154" t="s">
        <v>75</v>
      </c>
      <c r="L154" t="s">
        <v>76</v>
      </c>
      <c r="M154" t="s">
        <v>103</v>
      </c>
      <c r="N154" t="s">
        <v>74</v>
      </c>
      <c r="O154" t="s">
        <v>104</v>
      </c>
      <c r="P154" t="s">
        <v>71</v>
      </c>
      <c r="Q154" t="s">
        <v>71</v>
      </c>
      <c r="R154" t="s">
        <v>71</v>
      </c>
      <c r="S154">
        <v>0</v>
      </c>
      <c r="T154">
        <v>0</v>
      </c>
      <c r="U154" t="s">
        <v>72</v>
      </c>
      <c r="V154" t="s">
        <v>73</v>
      </c>
      <c r="W154">
        <v>0</v>
      </c>
      <c r="X154">
        <v>0</v>
      </c>
      <c r="Y154">
        <v>0</v>
      </c>
      <c r="Z154">
        <v>0</v>
      </c>
      <c r="AA154">
        <v>0</v>
      </c>
      <c r="AB154">
        <v>0</v>
      </c>
      <c r="AC154">
        <v>0</v>
      </c>
      <c r="AD154">
        <v>0</v>
      </c>
      <c r="AE154">
        <v>0</v>
      </c>
      <c r="AF154">
        <v>0</v>
      </c>
      <c r="AG154" t="s">
        <v>71</v>
      </c>
      <c r="AH154">
        <v>0</v>
      </c>
      <c r="AI154">
        <v>0</v>
      </c>
      <c r="AJ154">
        <v>0</v>
      </c>
      <c r="AK154">
        <v>0</v>
      </c>
      <c r="AL154" t="s">
        <v>108</v>
      </c>
      <c r="AM154" t="s">
        <v>93</v>
      </c>
      <c r="AN154" t="s">
        <v>94</v>
      </c>
      <c r="AO154" t="s">
        <v>92</v>
      </c>
      <c r="AP154">
        <v>0</v>
      </c>
      <c r="AQ154">
        <v>0</v>
      </c>
      <c r="AR154">
        <v>0</v>
      </c>
      <c r="AS154">
        <v>0</v>
      </c>
      <c r="AT154">
        <v>0</v>
      </c>
      <c r="AU154">
        <v>0</v>
      </c>
      <c r="AV154">
        <v>0</v>
      </c>
      <c r="AW154">
        <v>0</v>
      </c>
      <c r="AX154">
        <v>4</v>
      </c>
      <c r="AY154">
        <v>0</v>
      </c>
    </row>
    <row r="155" spans="1:51" x14ac:dyDescent="0.25">
      <c r="A155">
        <v>7</v>
      </c>
      <c r="B155">
        <v>43550</v>
      </c>
      <c r="C155" t="s">
        <v>735</v>
      </c>
      <c r="D155" t="s">
        <v>96</v>
      </c>
      <c r="E155" t="s">
        <v>121</v>
      </c>
      <c r="F155" t="s">
        <v>111</v>
      </c>
      <c r="G155" t="s">
        <v>101</v>
      </c>
      <c r="H155" t="s">
        <v>78</v>
      </c>
      <c r="I155" t="s">
        <v>79</v>
      </c>
      <c r="J155" t="s">
        <v>119</v>
      </c>
      <c r="K155" t="s">
        <v>75</v>
      </c>
      <c r="L155" t="s">
        <v>76</v>
      </c>
      <c r="M155" t="s">
        <v>103</v>
      </c>
      <c r="N155" t="s">
        <v>74</v>
      </c>
      <c r="O155" t="s">
        <v>104</v>
      </c>
      <c r="P155" t="s">
        <v>71</v>
      </c>
      <c r="Q155" t="s">
        <v>71</v>
      </c>
      <c r="R155" t="s">
        <v>71</v>
      </c>
      <c r="S155">
        <v>0</v>
      </c>
      <c r="T155">
        <v>0</v>
      </c>
      <c r="U155" t="s">
        <v>72</v>
      </c>
      <c r="V155" t="s">
        <v>73</v>
      </c>
      <c r="W155">
        <v>0</v>
      </c>
      <c r="X155">
        <v>0</v>
      </c>
      <c r="Y155">
        <v>0</v>
      </c>
      <c r="Z155">
        <v>0</v>
      </c>
      <c r="AA155">
        <v>0</v>
      </c>
      <c r="AB155">
        <v>0</v>
      </c>
      <c r="AC155">
        <v>0</v>
      </c>
      <c r="AD155">
        <v>0</v>
      </c>
      <c r="AE155">
        <v>0</v>
      </c>
      <c r="AF155">
        <v>0</v>
      </c>
      <c r="AG155" t="s">
        <v>71</v>
      </c>
      <c r="AH155">
        <v>0</v>
      </c>
      <c r="AI155">
        <v>0</v>
      </c>
      <c r="AJ155">
        <v>0</v>
      </c>
      <c r="AK155">
        <v>0</v>
      </c>
      <c r="AL155" t="s">
        <v>108</v>
      </c>
      <c r="AM155" t="s">
        <v>93</v>
      </c>
      <c r="AN155" t="s">
        <v>94</v>
      </c>
      <c r="AO155" t="s">
        <v>92</v>
      </c>
      <c r="AP155">
        <v>0</v>
      </c>
      <c r="AQ155">
        <v>0</v>
      </c>
      <c r="AR155">
        <v>0</v>
      </c>
      <c r="AS155">
        <v>0</v>
      </c>
      <c r="AT155">
        <v>0</v>
      </c>
      <c r="AU155">
        <v>0</v>
      </c>
      <c r="AV155">
        <v>0</v>
      </c>
      <c r="AW155">
        <v>0</v>
      </c>
      <c r="AX155">
        <v>4</v>
      </c>
      <c r="AY155">
        <v>0</v>
      </c>
    </row>
    <row r="156" spans="1:51" x14ac:dyDescent="0.25">
      <c r="A156">
        <v>7</v>
      </c>
      <c r="B156">
        <v>43560</v>
      </c>
      <c r="C156" t="s">
        <v>735</v>
      </c>
      <c r="D156" t="s">
        <v>96</v>
      </c>
      <c r="E156" t="s">
        <v>121</v>
      </c>
      <c r="F156" t="s">
        <v>111</v>
      </c>
      <c r="G156" t="s">
        <v>101</v>
      </c>
      <c r="H156" t="s">
        <v>78</v>
      </c>
      <c r="I156" t="s">
        <v>79</v>
      </c>
      <c r="J156" t="s">
        <v>119</v>
      </c>
      <c r="K156" t="s">
        <v>75</v>
      </c>
      <c r="L156" t="s">
        <v>76</v>
      </c>
      <c r="M156" t="s">
        <v>103</v>
      </c>
      <c r="N156" t="s">
        <v>74</v>
      </c>
      <c r="O156" t="s">
        <v>104</v>
      </c>
      <c r="P156" t="s">
        <v>71</v>
      </c>
      <c r="Q156" t="s">
        <v>71</v>
      </c>
      <c r="R156" t="s">
        <v>71</v>
      </c>
      <c r="S156">
        <v>0</v>
      </c>
      <c r="T156">
        <v>0</v>
      </c>
      <c r="U156" t="s">
        <v>72</v>
      </c>
      <c r="V156" t="s">
        <v>73</v>
      </c>
      <c r="W156">
        <v>0</v>
      </c>
      <c r="X156">
        <v>0</v>
      </c>
      <c r="Y156">
        <v>0</v>
      </c>
      <c r="Z156">
        <v>0</v>
      </c>
      <c r="AA156">
        <v>0</v>
      </c>
      <c r="AB156">
        <v>0</v>
      </c>
      <c r="AC156">
        <v>0</v>
      </c>
      <c r="AD156">
        <v>0</v>
      </c>
      <c r="AE156">
        <v>0</v>
      </c>
      <c r="AF156">
        <v>0</v>
      </c>
      <c r="AG156" t="s">
        <v>71</v>
      </c>
      <c r="AH156">
        <v>0</v>
      </c>
      <c r="AI156">
        <v>0</v>
      </c>
      <c r="AJ156">
        <v>0</v>
      </c>
      <c r="AK156">
        <v>0</v>
      </c>
      <c r="AL156" t="s">
        <v>108</v>
      </c>
      <c r="AM156" t="s">
        <v>93</v>
      </c>
      <c r="AN156" t="s">
        <v>94</v>
      </c>
      <c r="AO156" t="s">
        <v>92</v>
      </c>
      <c r="AP156">
        <v>0</v>
      </c>
      <c r="AQ156">
        <v>0</v>
      </c>
      <c r="AR156">
        <v>0</v>
      </c>
      <c r="AS156">
        <v>0</v>
      </c>
      <c r="AT156">
        <v>0</v>
      </c>
      <c r="AU156">
        <v>0</v>
      </c>
      <c r="AV156">
        <v>0</v>
      </c>
      <c r="AW156">
        <v>0</v>
      </c>
      <c r="AX156">
        <v>0</v>
      </c>
      <c r="AY156">
        <v>0</v>
      </c>
    </row>
    <row r="157" spans="1:51" x14ac:dyDescent="0.25">
      <c r="A157">
        <v>7</v>
      </c>
      <c r="B157">
        <v>43570</v>
      </c>
      <c r="C157" t="s">
        <v>735</v>
      </c>
      <c r="D157" t="s">
        <v>96</v>
      </c>
      <c r="E157" t="s">
        <v>121</v>
      </c>
      <c r="F157" t="s">
        <v>111</v>
      </c>
      <c r="G157" t="s">
        <v>101</v>
      </c>
      <c r="H157" t="s">
        <v>78</v>
      </c>
      <c r="I157" t="s">
        <v>79</v>
      </c>
      <c r="J157" t="s">
        <v>119</v>
      </c>
      <c r="K157" t="s">
        <v>75</v>
      </c>
      <c r="L157" t="s">
        <v>76</v>
      </c>
      <c r="M157" t="s">
        <v>103</v>
      </c>
      <c r="N157" t="s">
        <v>74</v>
      </c>
      <c r="O157" t="s">
        <v>104</v>
      </c>
      <c r="P157" t="s">
        <v>71</v>
      </c>
      <c r="Q157" t="s">
        <v>71</v>
      </c>
      <c r="R157" t="s">
        <v>71</v>
      </c>
      <c r="S157">
        <v>0</v>
      </c>
      <c r="T157">
        <v>0</v>
      </c>
      <c r="U157" t="s">
        <v>72</v>
      </c>
      <c r="V157" t="s">
        <v>73</v>
      </c>
      <c r="W157">
        <v>0</v>
      </c>
      <c r="X157">
        <v>0</v>
      </c>
      <c r="Y157">
        <v>0</v>
      </c>
      <c r="Z157">
        <v>0</v>
      </c>
      <c r="AA157">
        <v>0</v>
      </c>
      <c r="AB157">
        <v>0</v>
      </c>
      <c r="AC157">
        <v>0</v>
      </c>
      <c r="AD157">
        <v>0</v>
      </c>
      <c r="AE157">
        <v>0</v>
      </c>
      <c r="AF157">
        <v>0</v>
      </c>
      <c r="AG157" t="s">
        <v>71</v>
      </c>
      <c r="AH157">
        <v>0</v>
      </c>
      <c r="AI157">
        <v>0</v>
      </c>
      <c r="AJ157">
        <v>0</v>
      </c>
      <c r="AK157">
        <v>0</v>
      </c>
      <c r="AL157" t="s">
        <v>108</v>
      </c>
      <c r="AM157" t="s">
        <v>93</v>
      </c>
      <c r="AN157" t="s">
        <v>94</v>
      </c>
      <c r="AO157" t="s">
        <v>92</v>
      </c>
      <c r="AP157">
        <v>0</v>
      </c>
      <c r="AQ157">
        <v>0</v>
      </c>
      <c r="AR157">
        <v>0</v>
      </c>
      <c r="AS157">
        <v>0</v>
      </c>
      <c r="AT157">
        <v>0</v>
      </c>
      <c r="AU157">
        <v>0</v>
      </c>
      <c r="AV157">
        <v>0</v>
      </c>
      <c r="AW157">
        <v>0</v>
      </c>
      <c r="AX157">
        <v>0</v>
      </c>
      <c r="AY157">
        <v>0</v>
      </c>
    </row>
    <row r="158" spans="1:51" x14ac:dyDescent="0.25">
      <c r="A158">
        <v>7</v>
      </c>
      <c r="B158">
        <v>43580</v>
      </c>
      <c r="C158" t="s">
        <v>735</v>
      </c>
      <c r="D158" t="s">
        <v>96</v>
      </c>
      <c r="E158" t="s">
        <v>121</v>
      </c>
      <c r="F158" t="s">
        <v>111</v>
      </c>
      <c r="G158" t="s">
        <v>101</v>
      </c>
      <c r="H158" t="s">
        <v>78</v>
      </c>
      <c r="I158" t="s">
        <v>79</v>
      </c>
      <c r="J158" t="s">
        <v>119</v>
      </c>
      <c r="K158" t="s">
        <v>75</v>
      </c>
      <c r="L158" t="s">
        <v>76</v>
      </c>
      <c r="M158" t="s">
        <v>103</v>
      </c>
      <c r="N158" t="s">
        <v>74</v>
      </c>
      <c r="O158" t="s">
        <v>104</v>
      </c>
      <c r="P158" t="s">
        <v>71</v>
      </c>
      <c r="Q158" t="s">
        <v>71</v>
      </c>
      <c r="R158" t="s">
        <v>71</v>
      </c>
      <c r="S158">
        <v>0</v>
      </c>
      <c r="T158">
        <v>0</v>
      </c>
      <c r="U158" t="s">
        <v>72</v>
      </c>
      <c r="V158" t="s">
        <v>73</v>
      </c>
      <c r="W158">
        <v>0</v>
      </c>
      <c r="X158">
        <v>0</v>
      </c>
      <c r="Y158">
        <v>0</v>
      </c>
      <c r="Z158">
        <v>0</v>
      </c>
      <c r="AA158">
        <v>0</v>
      </c>
      <c r="AB158">
        <v>0</v>
      </c>
      <c r="AC158">
        <v>0</v>
      </c>
      <c r="AD158">
        <v>0</v>
      </c>
      <c r="AE158">
        <v>0</v>
      </c>
      <c r="AF158">
        <v>0</v>
      </c>
      <c r="AG158" t="s">
        <v>71</v>
      </c>
      <c r="AH158">
        <v>0</v>
      </c>
      <c r="AI158">
        <v>0</v>
      </c>
      <c r="AJ158">
        <v>0</v>
      </c>
      <c r="AK158">
        <v>0</v>
      </c>
      <c r="AL158" t="s">
        <v>108</v>
      </c>
      <c r="AM158" t="s">
        <v>93</v>
      </c>
      <c r="AN158" t="s">
        <v>94</v>
      </c>
      <c r="AO158" t="s">
        <v>92</v>
      </c>
      <c r="AP158">
        <v>0</v>
      </c>
      <c r="AQ158">
        <v>0</v>
      </c>
      <c r="AR158">
        <v>0</v>
      </c>
      <c r="AS158">
        <v>0</v>
      </c>
      <c r="AT158">
        <v>0</v>
      </c>
      <c r="AU158">
        <v>0</v>
      </c>
      <c r="AV158">
        <v>0</v>
      </c>
      <c r="AW158">
        <v>0</v>
      </c>
      <c r="AX158">
        <v>0</v>
      </c>
      <c r="AY158">
        <v>0</v>
      </c>
    </row>
    <row r="159" spans="1:51" x14ac:dyDescent="0.25">
      <c r="A159">
        <v>7</v>
      </c>
      <c r="B159">
        <v>43590</v>
      </c>
      <c r="C159" t="s">
        <v>735</v>
      </c>
      <c r="D159" t="s">
        <v>96</v>
      </c>
      <c r="E159" t="s">
        <v>121</v>
      </c>
      <c r="F159" t="s">
        <v>111</v>
      </c>
      <c r="G159" t="s">
        <v>101</v>
      </c>
      <c r="H159" t="s">
        <v>78</v>
      </c>
      <c r="I159" t="s">
        <v>79</v>
      </c>
      <c r="J159" t="s">
        <v>119</v>
      </c>
      <c r="K159" t="s">
        <v>75</v>
      </c>
      <c r="L159" t="s">
        <v>76</v>
      </c>
      <c r="M159" t="s">
        <v>103</v>
      </c>
      <c r="N159" t="s">
        <v>74</v>
      </c>
      <c r="O159" t="s">
        <v>104</v>
      </c>
      <c r="P159" t="s">
        <v>71</v>
      </c>
      <c r="Q159" t="s">
        <v>71</v>
      </c>
      <c r="R159" t="s">
        <v>71</v>
      </c>
      <c r="S159">
        <v>0</v>
      </c>
      <c r="T159">
        <v>0</v>
      </c>
      <c r="U159" t="s">
        <v>72</v>
      </c>
      <c r="V159" t="s">
        <v>73</v>
      </c>
      <c r="W159">
        <v>0</v>
      </c>
      <c r="X159">
        <v>0</v>
      </c>
      <c r="Y159">
        <v>0</v>
      </c>
      <c r="Z159">
        <v>0</v>
      </c>
      <c r="AA159">
        <v>0</v>
      </c>
      <c r="AB159">
        <v>0</v>
      </c>
      <c r="AC159">
        <v>0</v>
      </c>
      <c r="AD159">
        <v>0</v>
      </c>
      <c r="AE159">
        <v>0</v>
      </c>
      <c r="AF159">
        <v>0</v>
      </c>
      <c r="AG159" t="s">
        <v>71</v>
      </c>
      <c r="AH159">
        <v>0</v>
      </c>
      <c r="AI159">
        <v>0</v>
      </c>
      <c r="AJ159">
        <v>0</v>
      </c>
      <c r="AK159">
        <v>0</v>
      </c>
      <c r="AL159" t="s">
        <v>108</v>
      </c>
      <c r="AM159" t="s">
        <v>93</v>
      </c>
      <c r="AN159" t="s">
        <v>94</v>
      </c>
      <c r="AO159" t="s">
        <v>92</v>
      </c>
      <c r="AP159">
        <v>0</v>
      </c>
      <c r="AQ159">
        <v>0</v>
      </c>
      <c r="AR159">
        <v>0</v>
      </c>
      <c r="AS159">
        <v>0</v>
      </c>
      <c r="AT159">
        <v>0</v>
      </c>
      <c r="AU159">
        <v>0</v>
      </c>
      <c r="AV159">
        <v>0</v>
      </c>
      <c r="AW159">
        <v>0</v>
      </c>
      <c r="AX159">
        <v>0</v>
      </c>
      <c r="AY159">
        <v>0</v>
      </c>
    </row>
    <row r="160" spans="1:51" x14ac:dyDescent="0.25">
      <c r="A160">
        <v>7</v>
      </c>
      <c r="B160">
        <v>43600</v>
      </c>
      <c r="C160" t="s">
        <v>735</v>
      </c>
      <c r="D160" t="s">
        <v>96</v>
      </c>
      <c r="E160" t="s">
        <v>121</v>
      </c>
      <c r="F160" t="s">
        <v>98</v>
      </c>
      <c r="G160" t="s">
        <v>101</v>
      </c>
      <c r="H160" t="s">
        <v>78</v>
      </c>
      <c r="I160" t="s">
        <v>79</v>
      </c>
      <c r="J160" t="s">
        <v>119</v>
      </c>
      <c r="K160" t="s">
        <v>75</v>
      </c>
      <c r="L160" t="s">
        <v>76</v>
      </c>
      <c r="M160" t="s">
        <v>103</v>
      </c>
      <c r="N160" t="s">
        <v>74</v>
      </c>
      <c r="O160" t="s">
        <v>104</v>
      </c>
      <c r="P160" t="s">
        <v>71</v>
      </c>
      <c r="Q160" t="s">
        <v>71</v>
      </c>
      <c r="R160" t="s">
        <v>71</v>
      </c>
      <c r="S160">
        <v>0</v>
      </c>
      <c r="T160">
        <v>0</v>
      </c>
      <c r="U160" t="s">
        <v>72</v>
      </c>
      <c r="V160" t="s">
        <v>73</v>
      </c>
      <c r="W160">
        <v>0</v>
      </c>
      <c r="X160">
        <v>0</v>
      </c>
      <c r="Y160">
        <v>0</v>
      </c>
      <c r="Z160">
        <v>0</v>
      </c>
      <c r="AA160">
        <v>0</v>
      </c>
      <c r="AB160">
        <v>0</v>
      </c>
      <c r="AC160">
        <v>0</v>
      </c>
      <c r="AD160">
        <v>0</v>
      </c>
      <c r="AE160">
        <v>0</v>
      </c>
      <c r="AF160">
        <v>0</v>
      </c>
      <c r="AG160" t="s">
        <v>71</v>
      </c>
      <c r="AH160">
        <v>0</v>
      </c>
      <c r="AI160">
        <v>0</v>
      </c>
      <c r="AJ160">
        <v>0</v>
      </c>
      <c r="AK160">
        <v>0</v>
      </c>
      <c r="AL160" t="s">
        <v>99</v>
      </c>
      <c r="AM160" t="s">
        <v>93</v>
      </c>
      <c r="AN160" t="s">
        <v>94</v>
      </c>
      <c r="AO160" t="s">
        <v>92</v>
      </c>
      <c r="AP160">
        <v>0</v>
      </c>
      <c r="AQ160">
        <v>0</v>
      </c>
      <c r="AR160">
        <v>0</v>
      </c>
      <c r="AS160">
        <v>0</v>
      </c>
      <c r="AT160">
        <v>0</v>
      </c>
      <c r="AU160">
        <v>0</v>
      </c>
      <c r="AV160">
        <v>0</v>
      </c>
      <c r="AW160">
        <v>0</v>
      </c>
      <c r="AX160">
        <v>0</v>
      </c>
      <c r="AY160">
        <v>0</v>
      </c>
    </row>
    <row r="161" spans="1:51" x14ac:dyDescent="0.25">
      <c r="A161">
        <v>1</v>
      </c>
      <c r="C161" t="s">
        <v>735</v>
      </c>
      <c r="D161" t="s">
        <v>736</v>
      </c>
      <c r="E161" t="s">
        <v>736</v>
      </c>
      <c r="F161" t="s">
        <v>736</v>
      </c>
      <c r="G161" t="s">
        <v>736</v>
      </c>
      <c r="H161" t="s">
        <v>736</v>
      </c>
      <c r="I161" t="s">
        <v>736</v>
      </c>
      <c r="J161" t="s">
        <v>736</v>
      </c>
      <c r="K161" t="s">
        <v>736</v>
      </c>
      <c r="L161" t="s">
        <v>736</v>
      </c>
      <c r="M161" t="s">
        <v>736</v>
      </c>
      <c r="N161" t="s">
        <v>736</v>
      </c>
      <c r="O161" t="s">
        <v>736</v>
      </c>
      <c r="P161" t="s">
        <v>736</v>
      </c>
      <c r="Q161" t="s">
        <v>736</v>
      </c>
      <c r="R161" t="s">
        <v>736</v>
      </c>
      <c r="S161" t="s">
        <v>736</v>
      </c>
      <c r="T161" t="s">
        <v>736</v>
      </c>
      <c r="U161" t="s">
        <v>736</v>
      </c>
      <c r="V161" t="s">
        <v>736</v>
      </c>
      <c r="W161" t="s">
        <v>736</v>
      </c>
      <c r="X161" t="s">
        <v>736</v>
      </c>
      <c r="Y161" t="s">
        <v>736</v>
      </c>
      <c r="Z161" t="s">
        <v>736</v>
      </c>
      <c r="AA161" t="s">
        <v>736</v>
      </c>
      <c r="AB161" t="s">
        <v>736</v>
      </c>
      <c r="AC161" t="s">
        <v>736</v>
      </c>
      <c r="AD161" t="s">
        <v>736</v>
      </c>
      <c r="AE161" t="s">
        <v>736</v>
      </c>
      <c r="AF161" t="s">
        <v>736</v>
      </c>
      <c r="AG161" t="s">
        <v>71</v>
      </c>
      <c r="AH161">
        <v>0</v>
      </c>
      <c r="AI161">
        <v>0</v>
      </c>
      <c r="AJ161">
        <v>0</v>
      </c>
      <c r="AK161">
        <v>0</v>
      </c>
      <c r="AL161" t="s">
        <v>736</v>
      </c>
      <c r="AM161" t="s">
        <v>736</v>
      </c>
      <c r="AN161" t="s">
        <v>736</v>
      </c>
      <c r="AO161" t="s">
        <v>736</v>
      </c>
      <c r="AP161" t="s">
        <v>736</v>
      </c>
      <c r="AQ161" t="s">
        <v>736</v>
      </c>
      <c r="AR161" t="s">
        <v>736</v>
      </c>
      <c r="AS161" t="s">
        <v>736</v>
      </c>
      <c r="AT161" t="s">
        <v>736</v>
      </c>
      <c r="AU161" t="s">
        <v>736</v>
      </c>
      <c r="AV161" t="s">
        <v>736</v>
      </c>
      <c r="AW161" t="s">
        <v>736</v>
      </c>
      <c r="AX161" t="s">
        <v>736</v>
      </c>
      <c r="AY161" t="s">
        <v>736</v>
      </c>
    </row>
    <row r="162" spans="1:51" x14ac:dyDescent="0.25">
      <c r="A162">
        <v>8</v>
      </c>
      <c r="B162">
        <v>10</v>
      </c>
      <c r="C162" t="s">
        <v>735</v>
      </c>
      <c r="D162" t="s">
        <v>96</v>
      </c>
      <c r="E162" t="s">
        <v>121</v>
      </c>
      <c r="F162" t="s">
        <v>107</v>
      </c>
      <c r="G162" t="s">
        <v>101</v>
      </c>
      <c r="H162" t="s">
        <v>78</v>
      </c>
      <c r="I162" t="s">
        <v>79</v>
      </c>
      <c r="J162" t="s">
        <v>70</v>
      </c>
      <c r="K162" t="s">
        <v>75</v>
      </c>
      <c r="L162" t="s">
        <v>76</v>
      </c>
      <c r="M162" t="s">
        <v>103</v>
      </c>
      <c r="N162" t="s">
        <v>74</v>
      </c>
      <c r="O162" t="s">
        <v>104</v>
      </c>
      <c r="P162" t="s">
        <v>71</v>
      </c>
      <c r="Q162" t="s">
        <v>71</v>
      </c>
      <c r="R162" t="s">
        <v>71</v>
      </c>
      <c r="S162">
        <v>0</v>
      </c>
      <c r="T162">
        <v>0</v>
      </c>
      <c r="U162" t="s">
        <v>72</v>
      </c>
      <c r="V162" t="s">
        <v>73</v>
      </c>
      <c r="W162">
        <v>0</v>
      </c>
      <c r="X162">
        <v>0</v>
      </c>
      <c r="Y162">
        <v>0</v>
      </c>
      <c r="Z162">
        <v>0</v>
      </c>
      <c r="AA162">
        <v>0</v>
      </c>
      <c r="AB162">
        <v>0</v>
      </c>
      <c r="AC162">
        <v>0</v>
      </c>
      <c r="AD162">
        <v>0</v>
      </c>
      <c r="AE162">
        <v>0</v>
      </c>
      <c r="AF162">
        <v>0</v>
      </c>
      <c r="AG162" t="s">
        <v>71</v>
      </c>
      <c r="AH162">
        <v>0</v>
      </c>
      <c r="AI162">
        <v>0</v>
      </c>
      <c r="AJ162">
        <v>0</v>
      </c>
      <c r="AK162">
        <v>0</v>
      </c>
      <c r="AL162" t="s">
        <v>91</v>
      </c>
      <c r="AM162" t="s">
        <v>93</v>
      </c>
      <c r="AN162" t="s">
        <v>94</v>
      </c>
      <c r="AO162" t="s">
        <v>92</v>
      </c>
      <c r="AP162">
        <v>0</v>
      </c>
      <c r="AQ162">
        <v>0</v>
      </c>
      <c r="AR162">
        <v>0</v>
      </c>
      <c r="AS162">
        <v>0</v>
      </c>
      <c r="AT162">
        <v>0</v>
      </c>
      <c r="AU162">
        <v>0</v>
      </c>
      <c r="AV162">
        <v>0</v>
      </c>
      <c r="AW162">
        <v>0</v>
      </c>
      <c r="AX162">
        <v>0</v>
      </c>
      <c r="AY162">
        <v>0</v>
      </c>
    </row>
    <row r="163" spans="1:51" x14ac:dyDescent="0.25">
      <c r="A163">
        <v>8</v>
      </c>
      <c r="B163">
        <v>5010</v>
      </c>
      <c r="C163" t="s">
        <v>735</v>
      </c>
      <c r="D163" t="s">
        <v>96</v>
      </c>
      <c r="E163" t="s">
        <v>121</v>
      </c>
      <c r="F163" t="s">
        <v>107</v>
      </c>
      <c r="G163" t="s">
        <v>101</v>
      </c>
      <c r="H163" t="s">
        <v>78</v>
      </c>
      <c r="I163" t="s">
        <v>79</v>
      </c>
      <c r="J163" t="s">
        <v>70</v>
      </c>
      <c r="K163" t="s">
        <v>75</v>
      </c>
      <c r="L163" t="s">
        <v>76</v>
      </c>
      <c r="M163" t="s">
        <v>103</v>
      </c>
      <c r="N163" t="s">
        <v>74</v>
      </c>
      <c r="O163" t="s">
        <v>104</v>
      </c>
      <c r="P163" t="s">
        <v>71</v>
      </c>
      <c r="Q163" t="s">
        <v>71</v>
      </c>
      <c r="R163" t="s">
        <v>71</v>
      </c>
      <c r="S163">
        <v>0</v>
      </c>
      <c r="T163">
        <v>0</v>
      </c>
      <c r="U163" t="s">
        <v>72</v>
      </c>
      <c r="V163" t="s">
        <v>73</v>
      </c>
      <c r="W163">
        <v>0</v>
      </c>
      <c r="X163">
        <v>0</v>
      </c>
      <c r="Y163">
        <v>0</v>
      </c>
      <c r="Z163">
        <v>0</v>
      </c>
      <c r="AA163">
        <v>0</v>
      </c>
      <c r="AB163">
        <v>0</v>
      </c>
      <c r="AC163">
        <v>0</v>
      </c>
      <c r="AD163">
        <v>0</v>
      </c>
      <c r="AE163">
        <v>0</v>
      </c>
      <c r="AF163">
        <v>0</v>
      </c>
      <c r="AG163" t="s">
        <v>71</v>
      </c>
      <c r="AH163">
        <v>0</v>
      </c>
      <c r="AI163">
        <v>0</v>
      </c>
      <c r="AJ163">
        <v>0</v>
      </c>
      <c r="AK163">
        <v>0</v>
      </c>
      <c r="AL163" t="s">
        <v>91</v>
      </c>
      <c r="AM163" t="s">
        <v>93</v>
      </c>
      <c r="AN163" t="s">
        <v>94</v>
      </c>
      <c r="AO163" t="s">
        <v>92</v>
      </c>
      <c r="AP163">
        <v>0</v>
      </c>
      <c r="AQ163">
        <v>0</v>
      </c>
      <c r="AR163">
        <v>0</v>
      </c>
      <c r="AS163">
        <v>0</v>
      </c>
      <c r="AT163">
        <v>0</v>
      </c>
      <c r="AU163">
        <v>0</v>
      </c>
      <c r="AV163">
        <v>0</v>
      </c>
      <c r="AW163">
        <v>0</v>
      </c>
      <c r="AX163">
        <v>0</v>
      </c>
      <c r="AY163">
        <v>0</v>
      </c>
    </row>
    <row r="164" spans="1:51" x14ac:dyDescent="0.25">
      <c r="A164">
        <v>8</v>
      </c>
      <c r="B164">
        <v>5020</v>
      </c>
      <c r="C164" t="s">
        <v>735</v>
      </c>
      <c r="D164" t="s">
        <v>96</v>
      </c>
      <c r="E164" t="s">
        <v>121</v>
      </c>
      <c r="F164" t="s">
        <v>107</v>
      </c>
      <c r="G164" t="s">
        <v>101</v>
      </c>
      <c r="H164" t="s">
        <v>78</v>
      </c>
      <c r="I164" t="s">
        <v>79</v>
      </c>
      <c r="J164" t="s">
        <v>70</v>
      </c>
      <c r="K164" t="s">
        <v>75</v>
      </c>
      <c r="L164" t="s">
        <v>76</v>
      </c>
      <c r="M164" t="s">
        <v>103</v>
      </c>
      <c r="N164" t="s">
        <v>74</v>
      </c>
      <c r="O164" t="s">
        <v>104</v>
      </c>
      <c r="P164" t="s">
        <v>71</v>
      </c>
      <c r="Q164" t="s">
        <v>71</v>
      </c>
      <c r="R164" t="s">
        <v>71</v>
      </c>
      <c r="S164">
        <v>0</v>
      </c>
      <c r="T164">
        <v>0</v>
      </c>
      <c r="U164" t="s">
        <v>72</v>
      </c>
      <c r="V164" t="s">
        <v>73</v>
      </c>
      <c r="W164">
        <v>0</v>
      </c>
      <c r="X164">
        <v>0</v>
      </c>
      <c r="Y164">
        <v>0</v>
      </c>
      <c r="Z164">
        <v>0</v>
      </c>
      <c r="AA164">
        <v>0</v>
      </c>
      <c r="AB164">
        <v>0</v>
      </c>
      <c r="AC164">
        <v>0</v>
      </c>
      <c r="AD164">
        <v>0</v>
      </c>
      <c r="AE164">
        <v>0</v>
      </c>
      <c r="AF164">
        <v>0</v>
      </c>
      <c r="AG164" t="s">
        <v>71</v>
      </c>
      <c r="AH164">
        <v>0</v>
      </c>
      <c r="AI164">
        <v>0</v>
      </c>
      <c r="AJ164">
        <v>0</v>
      </c>
      <c r="AK164">
        <v>0</v>
      </c>
      <c r="AL164" t="s">
        <v>108</v>
      </c>
      <c r="AM164" t="s">
        <v>93</v>
      </c>
      <c r="AN164" t="s">
        <v>94</v>
      </c>
      <c r="AO164" t="s">
        <v>92</v>
      </c>
      <c r="AP164">
        <v>0</v>
      </c>
      <c r="AQ164">
        <v>0</v>
      </c>
      <c r="AR164">
        <v>0</v>
      </c>
      <c r="AS164">
        <v>0</v>
      </c>
      <c r="AT164">
        <v>0</v>
      </c>
      <c r="AU164">
        <v>0</v>
      </c>
      <c r="AV164">
        <v>0</v>
      </c>
      <c r="AW164">
        <v>0</v>
      </c>
      <c r="AX164">
        <v>0</v>
      </c>
      <c r="AY164">
        <v>0</v>
      </c>
    </row>
    <row r="165" spans="1:51" x14ac:dyDescent="0.25">
      <c r="A165">
        <v>8</v>
      </c>
      <c r="B165">
        <v>5030</v>
      </c>
      <c r="C165" t="s">
        <v>735</v>
      </c>
      <c r="D165" t="s">
        <v>96</v>
      </c>
      <c r="E165" t="s">
        <v>121</v>
      </c>
      <c r="F165" t="s">
        <v>107</v>
      </c>
      <c r="G165" t="s">
        <v>101</v>
      </c>
      <c r="H165" t="s">
        <v>78</v>
      </c>
      <c r="I165" t="s">
        <v>79</v>
      </c>
      <c r="J165" t="s">
        <v>70</v>
      </c>
      <c r="K165" t="s">
        <v>75</v>
      </c>
      <c r="L165" t="s">
        <v>76</v>
      </c>
      <c r="M165" t="s">
        <v>103</v>
      </c>
      <c r="N165" t="s">
        <v>74</v>
      </c>
      <c r="O165" t="s">
        <v>104</v>
      </c>
      <c r="P165" t="s">
        <v>71</v>
      </c>
      <c r="Q165" t="s">
        <v>71</v>
      </c>
      <c r="R165" t="s">
        <v>71</v>
      </c>
      <c r="S165">
        <v>0</v>
      </c>
      <c r="T165">
        <v>0</v>
      </c>
      <c r="U165" t="s">
        <v>72</v>
      </c>
      <c r="V165" t="s">
        <v>73</v>
      </c>
      <c r="W165">
        <v>0</v>
      </c>
      <c r="X165">
        <v>0</v>
      </c>
      <c r="Y165">
        <v>0</v>
      </c>
      <c r="Z165">
        <v>0</v>
      </c>
      <c r="AA165">
        <v>0</v>
      </c>
      <c r="AB165">
        <v>0</v>
      </c>
      <c r="AC165">
        <v>0</v>
      </c>
      <c r="AD165">
        <v>0</v>
      </c>
      <c r="AE165">
        <v>0</v>
      </c>
      <c r="AF165">
        <v>0</v>
      </c>
      <c r="AG165" t="s">
        <v>71</v>
      </c>
      <c r="AH165">
        <v>0</v>
      </c>
      <c r="AI165">
        <v>0</v>
      </c>
      <c r="AJ165">
        <v>0</v>
      </c>
      <c r="AK165">
        <v>0</v>
      </c>
      <c r="AL165" t="s">
        <v>108</v>
      </c>
      <c r="AM165" t="s">
        <v>93</v>
      </c>
      <c r="AN165" t="s">
        <v>94</v>
      </c>
      <c r="AO165" t="s">
        <v>92</v>
      </c>
      <c r="AP165">
        <v>0</v>
      </c>
      <c r="AQ165">
        <v>0</v>
      </c>
      <c r="AR165">
        <v>0</v>
      </c>
      <c r="AS165">
        <v>0</v>
      </c>
      <c r="AT165">
        <v>0</v>
      </c>
      <c r="AU165">
        <v>0</v>
      </c>
      <c r="AV165">
        <v>0</v>
      </c>
      <c r="AW165">
        <v>0</v>
      </c>
      <c r="AX165">
        <v>0</v>
      </c>
      <c r="AY165">
        <v>0</v>
      </c>
    </row>
    <row r="166" spans="1:51" x14ac:dyDescent="0.25">
      <c r="A166">
        <v>8</v>
      </c>
      <c r="B166">
        <v>10010</v>
      </c>
      <c r="C166" t="s">
        <v>735</v>
      </c>
      <c r="D166" t="s">
        <v>96</v>
      </c>
      <c r="E166" t="s">
        <v>121</v>
      </c>
      <c r="F166" t="s">
        <v>107</v>
      </c>
      <c r="G166" t="s">
        <v>101</v>
      </c>
      <c r="H166" t="s">
        <v>78</v>
      </c>
      <c r="I166" t="s">
        <v>79</v>
      </c>
      <c r="J166" t="s">
        <v>70</v>
      </c>
      <c r="K166" t="s">
        <v>75</v>
      </c>
      <c r="L166" t="s">
        <v>76</v>
      </c>
      <c r="M166" t="s">
        <v>103</v>
      </c>
      <c r="N166" t="s">
        <v>74</v>
      </c>
      <c r="O166" t="s">
        <v>104</v>
      </c>
      <c r="P166" t="s">
        <v>71</v>
      </c>
      <c r="Q166" t="s">
        <v>71</v>
      </c>
      <c r="R166" t="s">
        <v>71</v>
      </c>
      <c r="S166">
        <v>0</v>
      </c>
      <c r="T166">
        <v>0</v>
      </c>
      <c r="U166" t="s">
        <v>72</v>
      </c>
      <c r="V166" t="s">
        <v>73</v>
      </c>
      <c r="W166">
        <v>0</v>
      </c>
      <c r="X166">
        <v>0</v>
      </c>
      <c r="Y166">
        <v>0</v>
      </c>
      <c r="Z166">
        <v>0</v>
      </c>
      <c r="AA166">
        <v>0</v>
      </c>
      <c r="AB166">
        <v>0</v>
      </c>
      <c r="AC166">
        <v>0</v>
      </c>
      <c r="AD166">
        <v>0</v>
      </c>
      <c r="AE166">
        <v>0</v>
      </c>
      <c r="AF166">
        <v>0</v>
      </c>
      <c r="AG166" t="s">
        <v>71</v>
      </c>
      <c r="AH166">
        <v>0</v>
      </c>
      <c r="AI166">
        <v>0</v>
      </c>
      <c r="AJ166">
        <v>0</v>
      </c>
      <c r="AK166">
        <v>0</v>
      </c>
      <c r="AL166" t="s">
        <v>108</v>
      </c>
      <c r="AM166" t="s">
        <v>93</v>
      </c>
      <c r="AN166" t="s">
        <v>94</v>
      </c>
      <c r="AO166" t="s">
        <v>92</v>
      </c>
      <c r="AP166">
        <v>0</v>
      </c>
      <c r="AQ166">
        <v>0</v>
      </c>
      <c r="AR166">
        <v>0</v>
      </c>
      <c r="AS166">
        <v>0</v>
      </c>
      <c r="AT166">
        <v>0</v>
      </c>
      <c r="AU166">
        <v>0</v>
      </c>
      <c r="AV166">
        <v>0</v>
      </c>
      <c r="AW166">
        <v>0</v>
      </c>
      <c r="AX166">
        <v>0</v>
      </c>
      <c r="AY166">
        <v>0</v>
      </c>
    </row>
    <row r="167" spans="1:51" x14ac:dyDescent="0.25">
      <c r="A167">
        <v>8</v>
      </c>
      <c r="B167">
        <v>10020</v>
      </c>
      <c r="C167" t="s">
        <v>735</v>
      </c>
      <c r="D167" t="s">
        <v>96</v>
      </c>
      <c r="E167" t="s">
        <v>121</v>
      </c>
      <c r="F167" t="s">
        <v>107</v>
      </c>
      <c r="G167" t="s">
        <v>101</v>
      </c>
      <c r="H167" t="s">
        <v>78</v>
      </c>
      <c r="I167" t="s">
        <v>79</v>
      </c>
      <c r="J167" t="s">
        <v>70</v>
      </c>
      <c r="K167" t="s">
        <v>75</v>
      </c>
      <c r="L167" t="s">
        <v>76</v>
      </c>
      <c r="M167" t="s">
        <v>103</v>
      </c>
      <c r="N167" t="s">
        <v>74</v>
      </c>
      <c r="O167" t="s">
        <v>104</v>
      </c>
      <c r="P167" t="s">
        <v>71</v>
      </c>
      <c r="Q167" t="s">
        <v>71</v>
      </c>
      <c r="R167" t="s">
        <v>110</v>
      </c>
      <c r="S167">
        <v>0</v>
      </c>
      <c r="T167">
        <v>0</v>
      </c>
      <c r="U167" t="s">
        <v>72</v>
      </c>
      <c r="V167" t="s">
        <v>73</v>
      </c>
      <c r="W167">
        <v>0</v>
      </c>
      <c r="X167">
        <v>0</v>
      </c>
      <c r="Y167">
        <v>0</v>
      </c>
      <c r="Z167">
        <v>0</v>
      </c>
      <c r="AA167">
        <v>0</v>
      </c>
      <c r="AB167">
        <v>0</v>
      </c>
      <c r="AC167">
        <v>0</v>
      </c>
      <c r="AD167">
        <v>0</v>
      </c>
      <c r="AE167">
        <v>0</v>
      </c>
      <c r="AF167">
        <v>0</v>
      </c>
      <c r="AG167" t="s">
        <v>71</v>
      </c>
      <c r="AH167">
        <v>0</v>
      </c>
      <c r="AI167">
        <v>0</v>
      </c>
      <c r="AJ167">
        <v>0</v>
      </c>
      <c r="AK167">
        <v>0</v>
      </c>
      <c r="AL167" t="s">
        <v>108</v>
      </c>
      <c r="AM167" t="s">
        <v>93</v>
      </c>
      <c r="AN167" t="s">
        <v>94</v>
      </c>
      <c r="AO167" t="s">
        <v>92</v>
      </c>
      <c r="AP167">
        <v>0</v>
      </c>
      <c r="AQ167">
        <v>0</v>
      </c>
      <c r="AR167">
        <v>0</v>
      </c>
      <c r="AS167">
        <v>0</v>
      </c>
      <c r="AT167">
        <v>0</v>
      </c>
      <c r="AU167">
        <v>0</v>
      </c>
      <c r="AV167">
        <v>0</v>
      </c>
      <c r="AW167">
        <v>0</v>
      </c>
      <c r="AX167">
        <v>4</v>
      </c>
      <c r="AY167">
        <v>0</v>
      </c>
    </row>
    <row r="168" spans="1:51" x14ac:dyDescent="0.25">
      <c r="A168">
        <v>8</v>
      </c>
      <c r="B168">
        <v>10030</v>
      </c>
      <c r="C168" t="s">
        <v>735</v>
      </c>
      <c r="D168" t="s">
        <v>96</v>
      </c>
      <c r="E168" t="s">
        <v>121</v>
      </c>
      <c r="F168" t="s">
        <v>107</v>
      </c>
      <c r="G168" t="s">
        <v>77</v>
      </c>
      <c r="H168" t="s">
        <v>78</v>
      </c>
      <c r="I168" t="s">
        <v>79</v>
      </c>
      <c r="J168" t="s">
        <v>70</v>
      </c>
      <c r="K168" t="s">
        <v>75</v>
      </c>
      <c r="L168" t="s">
        <v>76</v>
      </c>
      <c r="M168" t="s">
        <v>103</v>
      </c>
      <c r="N168" t="s">
        <v>74</v>
      </c>
      <c r="O168" t="s">
        <v>104</v>
      </c>
      <c r="P168" t="s">
        <v>71</v>
      </c>
      <c r="Q168" t="s">
        <v>71</v>
      </c>
      <c r="R168" t="s">
        <v>71</v>
      </c>
      <c r="S168">
        <v>0</v>
      </c>
      <c r="T168">
        <v>1</v>
      </c>
      <c r="U168" t="s">
        <v>72</v>
      </c>
      <c r="V168" t="s">
        <v>73</v>
      </c>
      <c r="W168">
        <v>0</v>
      </c>
      <c r="X168">
        <v>0</v>
      </c>
      <c r="Y168">
        <v>0</v>
      </c>
      <c r="Z168">
        <v>0</v>
      </c>
      <c r="AA168">
        <v>0</v>
      </c>
      <c r="AB168">
        <v>0</v>
      </c>
      <c r="AC168">
        <v>0</v>
      </c>
      <c r="AD168">
        <v>0</v>
      </c>
      <c r="AE168">
        <v>0</v>
      </c>
      <c r="AF168">
        <v>0</v>
      </c>
      <c r="AG168" t="s">
        <v>71</v>
      </c>
      <c r="AH168">
        <v>0</v>
      </c>
      <c r="AI168">
        <v>0</v>
      </c>
      <c r="AJ168">
        <v>0</v>
      </c>
      <c r="AK168">
        <v>0</v>
      </c>
      <c r="AL168" t="s">
        <v>146</v>
      </c>
      <c r="AM168" t="s">
        <v>93</v>
      </c>
      <c r="AN168" t="s">
        <v>148</v>
      </c>
      <c r="AO168" t="s">
        <v>147</v>
      </c>
      <c r="AP168">
        <v>0</v>
      </c>
      <c r="AQ168">
        <v>0</v>
      </c>
      <c r="AR168">
        <v>128</v>
      </c>
      <c r="AS168">
        <v>0</v>
      </c>
      <c r="AT168">
        <v>0</v>
      </c>
      <c r="AU168">
        <v>0</v>
      </c>
      <c r="AV168">
        <v>0</v>
      </c>
      <c r="AW168">
        <v>0</v>
      </c>
      <c r="AX168">
        <v>0</v>
      </c>
      <c r="AY168">
        <v>0</v>
      </c>
    </row>
    <row r="169" spans="1:51" x14ac:dyDescent="0.25">
      <c r="A169">
        <v>8</v>
      </c>
      <c r="B169">
        <v>10040</v>
      </c>
      <c r="C169" t="s">
        <v>735</v>
      </c>
      <c r="D169" t="s">
        <v>96</v>
      </c>
      <c r="E169" t="s">
        <v>121</v>
      </c>
      <c r="F169" t="s">
        <v>107</v>
      </c>
      <c r="G169" t="s">
        <v>77</v>
      </c>
      <c r="H169" t="s">
        <v>78</v>
      </c>
      <c r="I169" t="s">
        <v>79</v>
      </c>
      <c r="J169" t="s">
        <v>119</v>
      </c>
      <c r="K169" t="s">
        <v>75</v>
      </c>
      <c r="L169" t="s">
        <v>76</v>
      </c>
      <c r="M169" t="s">
        <v>149</v>
      </c>
      <c r="N169" t="s">
        <v>74</v>
      </c>
      <c r="O169" t="s">
        <v>104</v>
      </c>
      <c r="P169" t="s">
        <v>71</v>
      </c>
      <c r="Q169" t="s">
        <v>71</v>
      </c>
      <c r="R169" t="s">
        <v>71</v>
      </c>
      <c r="S169">
        <v>0</v>
      </c>
      <c r="T169">
        <v>1</v>
      </c>
      <c r="U169" t="s">
        <v>72</v>
      </c>
      <c r="V169" t="s">
        <v>73</v>
      </c>
      <c r="W169">
        <v>0</v>
      </c>
      <c r="X169">
        <v>1</v>
      </c>
      <c r="Y169">
        <v>1</v>
      </c>
      <c r="Z169">
        <v>0.1</v>
      </c>
      <c r="AA169">
        <v>1</v>
      </c>
      <c r="AB169">
        <v>0</v>
      </c>
      <c r="AC169">
        <v>1</v>
      </c>
      <c r="AD169">
        <v>0.1</v>
      </c>
      <c r="AE169">
        <v>0</v>
      </c>
      <c r="AF169">
        <v>0</v>
      </c>
      <c r="AG169" t="s">
        <v>71</v>
      </c>
      <c r="AH169">
        <v>0</v>
      </c>
      <c r="AI169">
        <v>0</v>
      </c>
      <c r="AJ169">
        <v>0</v>
      </c>
      <c r="AK169">
        <v>0</v>
      </c>
      <c r="AL169" t="s">
        <v>108</v>
      </c>
      <c r="AM169" t="s">
        <v>93</v>
      </c>
      <c r="AN169" t="s">
        <v>94</v>
      </c>
      <c r="AO169" t="s">
        <v>92</v>
      </c>
      <c r="AP169">
        <v>0</v>
      </c>
      <c r="AQ169">
        <v>0</v>
      </c>
      <c r="AR169">
        <v>0</v>
      </c>
      <c r="AS169">
        <v>0</v>
      </c>
      <c r="AT169">
        <v>0</v>
      </c>
      <c r="AU169">
        <v>0</v>
      </c>
      <c r="AV169">
        <v>0</v>
      </c>
      <c r="AW169">
        <v>0</v>
      </c>
      <c r="AX169">
        <v>0</v>
      </c>
      <c r="AY169">
        <v>0</v>
      </c>
    </row>
    <row r="170" spans="1:51" x14ac:dyDescent="0.25">
      <c r="A170">
        <v>8</v>
      </c>
      <c r="B170">
        <v>10050</v>
      </c>
      <c r="C170" t="s">
        <v>735</v>
      </c>
      <c r="D170" t="s">
        <v>96</v>
      </c>
      <c r="E170" t="s">
        <v>121</v>
      </c>
      <c r="F170" t="s">
        <v>107</v>
      </c>
      <c r="G170" t="s">
        <v>77</v>
      </c>
      <c r="H170" t="s">
        <v>78</v>
      </c>
      <c r="I170" t="s">
        <v>79</v>
      </c>
      <c r="J170" t="s">
        <v>150</v>
      </c>
      <c r="K170" t="s">
        <v>75</v>
      </c>
      <c r="L170" t="s">
        <v>76</v>
      </c>
      <c r="M170" t="s">
        <v>149</v>
      </c>
      <c r="N170" t="s">
        <v>74</v>
      </c>
      <c r="O170" t="s">
        <v>104</v>
      </c>
      <c r="P170" t="s">
        <v>71</v>
      </c>
      <c r="Q170" t="s">
        <v>71</v>
      </c>
      <c r="R170" t="s">
        <v>71</v>
      </c>
      <c r="S170">
        <v>0</v>
      </c>
      <c r="T170">
        <v>1</v>
      </c>
      <c r="U170" t="s">
        <v>72</v>
      </c>
      <c r="V170" t="s">
        <v>73</v>
      </c>
      <c r="W170">
        <v>0</v>
      </c>
      <c r="X170">
        <v>0</v>
      </c>
      <c r="Y170">
        <v>0</v>
      </c>
      <c r="Z170">
        <v>0</v>
      </c>
      <c r="AA170">
        <v>0</v>
      </c>
      <c r="AB170">
        <v>0</v>
      </c>
      <c r="AC170">
        <v>0</v>
      </c>
      <c r="AD170">
        <v>0</v>
      </c>
      <c r="AE170">
        <v>0</v>
      </c>
      <c r="AF170">
        <v>0</v>
      </c>
      <c r="AG170" t="s">
        <v>71</v>
      </c>
      <c r="AH170">
        <v>0</v>
      </c>
      <c r="AI170">
        <v>0</v>
      </c>
      <c r="AJ170">
        <v>0</v>
      </c>
      <c r="AK170">
        <v>0</v>
      </c>
      <c r="AL170" t="s">
        <v>108</v>
      </c>
      <c r="AM170" t="s">
        <v>93</v>
      </c>
      <c r="AN170" t="s">
        <v>94</v>
      </c>
      <c r="AO170" t="s">
        <v>92</v>
      </c>
      <c r="AP170">
        <v>0</v>
      </c>
      <c r="AQ170">
        <v>0</v>
      </c>
      <c r="AR170">
        <v>0</v>
      </c>
      <c r="AS170">
        <v>0</v>
      </c>
      <c r="AT170">
        <v>0</v>
      </c>
      <c r="AU170">
        <v>0</v>
      </c>
      <c r="AV170">
        <v>0</v>
      </c>
      <c r="AW170">
        <v>0</v>
      </c>
      <c r="AX170">
        <v>0</v>
      </c>
      <c r="AY170">
        <v>0</v>
      </c>
    </row>
    <row r="171" spans="1:51" x14ac:dyDescent="0.25">
      <c r="A171">
        <v>8</v>
      </c>
      <c r="B171">
        <v>15030</v>
      </c>
      <c r="C171" t="s">
        <v>735</v>
      </c>
      <c r="D171" t="s">
        <v>96</v>
      </c>
      <c r="E171" t="s">
        <v>121</v>
      </c>
      <c r="F171" t="s">
        <v>107</v>
      </c>
      <c r="G171" t="s">
        <v>77</v>
      </c>
      <c r="H171" t="s">
        <v>78</v>
      </c>
      <c r="I171" t="s">
        <v>79</v>
      </c>
      <c r="J171" t="s">
        <v>150</v>
      </c>
      <c r="K171" t="s">
        <v>75</v>
      </c>
      <c r="L171" t="s">
        <v>76</v>
      </c>
      <c r="M171" t="s">
        <v>149</v>
      </c>
      <c r="N171" t="s">
        <v>74</v>
      </c>
      <c r="O171" t="s">
        <v>104</v>
      </c>
      <c r="P171" t="s">
        <v>71</v>
      </c>
      <c r="Q171" t="s">
        <v>71</v>
      </c>
      <c r="R171" t="s">
        <v>71</v>
      </c>
      <c r="S171">
        <v>0</v>
      </c>
      <c r="T171">
        <v>1</v>
      </c>
      <c r="U171" t="s">
        <v>72</v>
      </c>
      <c r="V171" t="s">
        <v>73</v>
      </c>
      <c r="W171">
        <v>0</v>
      </c>
      <c r="X171">
        <v>0</v>
      </c>
      <c r="Y171">
        <v>0</v>
      </c>
      <c r="Z171">
        <v>0</v>
      </c>
      <c r="AA171">
        <v>0</v>
      </c>
      <c r="AB171">
        <v>0</v>
      </c>
      <c r="AC171">
        <v>0</v>
      </c>
      <c r="AD171">
        <v>0</v>
      </c>
      <c r="AE171">
        <v>0</v>
      </c>
      <c r="AF171">
        <v>0</v>
      </c>
      <c r="AG171" t="s">
        <v>71</v>
      </c>
      <c r="AH171">
        <v>0</v>
      </c>
      <c r="AI171">
        <v>0</v>
      </c>
      <c r="AJ171">
        <v>0</v>
      </c>
      <c r="AK171">
        <v>0</v>
      </c>
      <c r="AL171" t="s">
        <v>108</v>
      </c>
      <c r="AM171" t="s">
        <v>93</v>
      </c>
      <c r="AN171" t="s">
        <v>94</v>
      </c>
      <c r="AO171" t="s">
        <v>92</v>
      </c>
      <c r="AP171">
        <v>0</v>
      </c>
      <c r="AQ171">
        <v>0</v>
      </c>
      <c r="AR171">
        <v>0</v>
      </c>
      <c r="AS171">
        <v>0</v>
      </c>
      <c r="AT171">
        <v>0</v>
      </c>
      <c r="AU171">
        <v>0</v>
      </c>
      <c r="AV171">
        <v>0</v>
      </c>
      <c r="AW171">
        <v>0</v>
      </c>
      <c r="AX171">
        <v>0</v>
      </c>
      <c r="AY171">
        <v>0</v>
      </c>
    </row>
    <row r="172" spans="1:51" x14ac:dyDescent="0.25">
      <c r="A172">
        <v>8</v>
      </c>
      <c r="B172">
        <v>15040</v>
      </c>
      <c r="C172" t="s">
        <v>735</v>
      </c>
      <c r="D172" t="s">
        <v>96</v>
      </c>
      <c r="E172" t="s">
        <v>121</v>
      </c>
      <c r="F172" t="s">
        <v>107</v>
      </c>
      <c r="G172" t="s">
        <v>77</v>
      </c>
      <c r="H172" t="s">
        <v>78</v>
      </c>
      <c r="I172" t="s">
        <v>79</v>
      </c>
      <c r="J172" t="s">
        <v>150</v>
      </c>
      <c r="K172" t="s">
        <v>75</v>
      </c>
      <c r="L172" t="s">
        <v>76</v>
      </c>
      <c r="M172" t="s">
        <v>149</v>
      </c>
      <c r="N172" t="s">
        <v>74</v>
      </c>
      <c r="O172" t="s">
        <v>104</v>
      </c>
      <c r="P172" t="s">
        <v>71</v>
      </c>
      <c r="Q172" t="s">
        <v>71</v>
      </c>
      <c r="R172" t="s">
        <v>71</v>
      </c>
      <c r="S172">
        <v>0</v>
      </c>
      <c r="T172">
        <v>1</v>
      </c>
      <c r="U172" t="s">
        <v>72</v>
      </c>
      <c r="V172" t="s">
        <v>73</v>
      </c>
      <c r="W172">
        <v>0</v>
      </c>
      <c r="X172">
        <v>0</v>
      </c>
      <c r="Y172">
        <v>0</v>
      </c>
      <c r="Z172">
        <v>0</v>
      </c>
      <c r="AA172">
        <v>0</v>
      </c>
      <c r="AB172">
        <v>0</v>
      </c>
      <c r="AC172">
        <v>0</v>
      </c>
      <c r="AD172">
        <v>0</v>
      </c>
      <c r="AE172">
        <v>0</v>
      </c>
      <c r="AF172">
        <v>0</v>
      </c>
      <c r="AG172" t="s">
        <v>71</v>
      </c>
      <c r="AH172">
        <v>0</v>
      </c>
      <c r="AI172">
        <v>0</v>
      </c>
      <c r="AJ172">
        <v>0</v>
      </c>
      <c r="AK172">
        <v>0</v>
      </c>
      <c r="AL172" t="s">
        <v>108</v>
      </c>
      <c r="AM172" t="s">
        <v>93</v>
      </c>
      <c r="AN172" t="s">
        <v>94</v>
      </c>
      <c r="AO172" t="s">
        <v>92</v>
      </c>
      <c r="AP172">
        <v>0</v>
      </c>
      <c r="AQ172">
        <v>0</v>
      </c>
      <c r="AR172">
        <v>0</v>
      </c>
      <c r="AS172">
        <v>0</v>
      </c>
      <c r="AT172">
        <v>0</v>
      </c>
      <c r="AU172">
        <v>0</v>
      </c>
      <c r="AV172">
        <v>0</v>
      </c>
      <c r="AW172">
        <v>0</v>
      </c>
      <c r="AX172">
        <v>0</v>
      </c>
      <c r="AY172">
        <v>0</v>
      </c>
    </row>
    <row r="173" spans="1:51" x14ac:dyDescent="0.25">
      <c r="A173">
        <v>8</v>
      </c>
      <c r="B173">
        <v>15050</v>
      </c>
      <c r="C173" t="s">
        <v>735</v>
      </c>
      <c r="D173" t="s">
        <v>96</v>
      </c>
      <c r="E173" t="s">
        <v>121</v>
      </c>
      <c r="F173" t="s">
        <v>107</v>
      </c>
      <c r="G173" t="s">
        <v>77</v>
      </c>
      <c r="H173" t="s">
        <v>78</v>
      </c>
      <c r="I173" t="s">
        <v>79</v>
      </c>
      <c r="J173" t="s">
        <v>150</v>
      </c>
      <c r="K173" t="s">
        <v>75</v>
      </c>
      <c r="L173" t="s">
        <v>76</v>
      </c>
      <c r="M173" t="s">
        <v>149</v>
      </c>
      <c r="N173" t="s">
        <v>74</v>
      </c>
      <c r="O173" t="s">
        <v>104</v>
      </c>
      <c r="P173" t="s">
        <v>71</v>
      </c>
      <c r="Q173" t="s">
        <v>71</v>
      </c>
      <c r="R173" t="s">
        <v>71</v>
      </c>
      <c r="S173">
        <v>0</v>
      </c>
      <c r="T173">
        <v>1</v>
      </c>
      <c r="U173" t="s">
        <v>72</v>
      </c>
      <c r="V173" t="s">
        <v>73</v>
      </c>
      <c r="W173">
        <v>0</v>
      </c>
      <c r="X173">
        <v>0</v>
      </c>
      <c r="Y173">
        <v>0</v>
      </c>
      <c r="Z173">
        <v>0</v>
      </c>
      <c r="AA173">
        <v>0</v>
      </c>
      <c r="AB173">
        <v>0</v>
      </c>
      <c r="AC173">
        <v>0</v>
      </c>
      <c r="AD173">
        <v>0</v>
      </c>
      <c r="AE173">
        <v>0</v>
      </c>
      <c r="AF173">
        <v>0</v>
      </c>
      <c r="AG173" t="s">
        <v>71</v>
      </c>
      <c r="AH173">
        <v>0</v>
      </c>
      <c r="AI173">
        <v>0</v>
      </c>
      <c r="AJ173">
        <v>0</v>
      </c>
      <c r="AK173">
        <v>0</v>
      </c>
      <c r="AL173" t="s">
        <v>108</v>
      </c>
      <c r="AM173" t="s">
        <v>93</v>
      </c>
      <c r="AN173" t="s">
        <v>94</v>
      </c>
      <c r="AO173" t="s">
        <v>92</v>
      </c>
      <c r="AP173">
        <v>0</v>
      </c>
      <c r="AQ173">
        <v>0</v>
      </c>
      <c r="AR173">
        <v>0</v>
      </c>
      <c r="AS173">
        <v>0</v>
      </c>
      <c r="AT173">
        <v>0</v>
      </c>
      <c r="AU173">
        <v>0</v>
      </c>
      <c r="AV173">
        <v>0</v>
      </c>
      <c r="AW173">
        <v>0</v>
      </c>
      <c r="AX173">
        <v>0</v>
      </c>
      <c r="AY173">
        <v>0</v>
      </c>
    </row>
    <row r="174" spans="1:51" x14ac:dyDescent="0.25">
      <c r="A174">
        <v>8</v>
      </c>
      <c r="B174">
        <v>15060</v>
      </c>
      <c r="C174" t="s">
        <v>735</v>
      </c>
      <c r="D174" t="s">
        <v>96</v>
      </c>
      <c r="E174" t="s">
        <v>121</v>
      </c>
      <c r="F174" t="s">
        <v>107</v>
      </c>
      <c r="G174" t="s">
        <v>77</v>
      </c>
      <c r="H174" t="s">
        <v>78</v>
      </c>
      <c r="I174" t="s">
        <v>79</v>
      </c>
      <c r="J174" t="s">
        <v>150</v>
      </c>
      <c r="K174" t="s">
        <v>75</v>
      </c>
      <c r="L174" t="s">
        <v>76</v>
      </c>
      <c r="M174" t="s">
        <v>149</v>
      </c>
      <c r="N174" t="s">
        <v>74</v>
      </c>
      <c r="O174" t="s">
        <v>104</v>
      </c>
      <c r="P174" t="s">
        <v>71</v>
      </c>
      <c r="Q174" t="s">
        <v>71</v>
      </c>
      <c r="R174" t="s">
        <v>71</v>
      </c>
      <c r="S174">
        <v>0</v>
      </c>
      <c r="T174">
        <v>1</v>
      </c>
      <c r="U174" t="s">
        <v>72</v>
      </c>
      <c r="V174" t="s">
        <v>73</v>
      </c>
      <c r="W174">
        <v>0</v>
      </c>
      <c r="X174">
        <v>0</v>
      </c>
      <c r="Y174">
        <v>0</v>
      </c>
      <c r="Z174">
        <v>0</v>
      </c>
      <c r="AA174">
        <v>0</v>
      </c>
      <c r="AB174">
        <v>0</v>
      </c>
      <c r="AC174">
        <v>0</v>
      </c>
      <c r="AD174">
        <v>0</v>
      </c>
      <c r="AE174">
        <v>0</v>
      </c>
      <c r="AF174">
        <v>0</v>
      </c>
      <c r="AG174" t="s">
        <v>71</v>
      </c>
      <c r="AH174">
        <v>0</v>
      </c>
      <c r="AI174">
        <v>0</v>
      </c>
      <c r="AJ174">
        <v>0</v>
      </c>
      <c r="AK174">
        <v>0</v>
      </c>
      <c r="AL174" t="s">
        <v>108</v>
      </c>
      <c r="AM174" t="s">
        <v>93</v>
      </c>
      <c r="AN174" t="s">
        <v>94</v>
      </c>
      <c r="AO174" t="s">
        <v>92</v>
      </c>
      <c r="AP174">
        <v>0</v>
      </c>
      <c r="AQ174">
        <v>0</v>
      </c>
      <c r="AR174">
        <v>0</v>
      </c>
      <c r="AS174">
        <v>0</v>
      </c>
      <c r="AT174">
        <v>0</v>
      </c>
      <c r="AU174">
        <v>0</v>
      </c>
      <c r="AV174">
        <v>0</v>
      </c>
      <c r="AW174">
        <v>0</v>
      </c>
      <c r="AX174">
        <v>0</v>
      </c>
      <c r="AY174">
        <v>0</v>
      </c>
    </row>
    <row r="175" spans="1:51" x14ac:dyDescent="0.25">
      <c r="A175">
        <v>8</v>
      </c>
      <c r="B175">
        <v>15070</v>
      </c>
      <c r="C175" t="s">
        <v>735</v>
      </c>
      <c r="D175" t="s">
        <v>96</v>
      </c>
      <c r="E175" t="s">
        <v>121</v>
      </c>
      <c r="F175" t="s">
        <v>107</v>
      </c>
      <c r="G175" t="s">
        <v>77</v>
      </c>
      <c r="H175" t="s">
        <v>78</v>
      </c>
      <c r="I175" t="s">
        <v>79</v>
      </c>
      <c r="J175" t="s">
        <v>70</v>
      </c>
      <c r="K175" t="s">
        <v>75</v>
      </c>
      <c r="L175" t="s">
        <v>76</v>
      </c>
      <c r="M175" t="s">
        <v>103</v>
      </c>
      <c r="N175" t="s">
        <v>74</v>
      </c>
      <c r="O175" t="s">
        <v>104</v>
      </c>
      <c r="P175" t="s">
        <v>71</v>
      </c>
      <c r="Q175" t="s">
        <v>71</v>
      </c>
      <c r="R175" t="s">
        <v>71</v>
      </c>
      <c r="S175">
        <v>0</v>
      </c>
      <c r="T175">
        <v>1</v>
      </c>
      <c r="U175" t="s">
        <v>72</v>
      </c>
      <c r="V175" t="s">
        <v>73</v>
      </c>
      <c r="W175">
        <v>0</v>
      </c>
      <c r="X175">
        <v>0</v>
      </c>
      <c r="Y175">
        <v>0</v>
      </c>
      <c r="Z175">
        <v>0</v>
      </c>
      <c r="AA175">
        <v>0</v>
      </c>
      <c r="AB175">
        <v>0</v>
      </c>
      <c r="AC175">
        <v>0</v>
      </c>
      <c r="AD175">
        <v>0</v>
      </c>
      <c r="AE175">
        <v>0</v>
      </c>
      <c r="AF175">
        <v>0</v>
      </c>
      <c r="AG175" t="s">
        <v>71</v>
      </c>
      <c r="AH175">
        <v>0</v>
      </c>
      <c r="AI175">
        <v>0</v>
      </c>
      <c r="AJ175">
        <v>0</v>
      </c>
      <c r="AK175">
        <v>0</v>
      </c>
      <c r="AL175" t="s">
        <v>146</v>
      </c>
      <c r="AM175" t="s">
        <v>93</v>
      </c>
      <c r="AN175" t="s">
        <v>148</v>
      </c>
      <c r="AO175" t="s">
        <v>147</v>
      </c>
      <c r="AP175">
        <v>0</v>
      </c>
      <c r="AQ175">
        <v>0</v>
      </c>
      <c r="AR175">
        <v>128</v>
      </c>
      <c r="AS175">
        <v>0</v>
      </c>
      <c r="AT175">
        <v>0</v>
      </c>
      <c r="AU175">
        <v>0</v>
      </c>
      <c r="AV175">
        <v>0</v>
      </c>
      <c r="AW175">
        <v>0</v>
      </c>
      <c r="AX175">
        <v>0</v>
      </c>
      <c r="AY175">
        <v>0</v>
      </c>
    </row>
    <row r="176" spans="1:51" x14ac:dyDescent="0.25">
      <c r="A176">
        <v>8</v>
      </c>
      <c r="B176">
        <v>15080</v>
      </c>
      <c r="C176" t="s">
        <v>735</v>
      </c>
      <c r="D176" t="s">
        <v>96</v>
      </c>
      <c r="E176" t="s">
        <v>121</v>
      </c>
      <c r="F176" t="s">
        <v>107</v>
      </c>
      <c r="G176" t="s">
        <v>77</v>
      </c>
      <c r="H176" t="s">
        <v>78</v>
      </c>
      <c r="I176" t="s">
        <v>79</v>
      </c>
      <c r="J176" t="s">
        <v>119</v>
      </c>
      <c r="K176" t="s">
        <v>75</v>
      </c>
      <c r="L176" t="s">
        <v>76</v>
      </c>
      <c r="M176" t="s">
        <v>149</v>
      </c>
      <c r="N176" t="s">
        <v>74</v>
      </c>
      <c r="O176" t="s">
        <v>104</v>
      </c>
      <c r="P176" t="s">
        <v>71</v>
      </c>
      <c r="Q176" t="s">
        <v>71</v>
      </c>
      <c r="R176" t="s">
        <v>71</v>
      </c>
      <c r="S176">
        <v>0</v>
      </c>
      <c r="T176">
        <v>1</v>
      </c>
      <c r="U176" t="s">
        <v>72</v>
      </c>
      <c r="V176" t="s">
        <v>73</v>
      </c>
      <c r="W176">
        <v>0</v>
      </c>
      <c r="X176">
        <v>1</v>
      </c>
      <c r="Y176">
        <v>1</v>
      </c>
      <c r="Z176">
        <v>0.1</v>
      </c>
      <c r="AA176">
        <v>0</v>
      </c>
      <c r="AB176">
        <v>0.1</v>
      </c>
      <c r="AC176">
        <v>1</v>
      </c>
      <c r="AD176">
        <v>0.1</v>
      </c>
      <c r="AE176">
        <v>0</v>
      </c>
      <c r="AF176">
        <v>0</v>
      </c>
      <c r="AG176" t="s">
        <v>71</v>
      </c>
      <c r="AH176">
        <v>0</v>
      </c>
      <c r="AI176">
        <v>0</v>
      </c>
      <c r="AJ176">
        <v>0</v>
      </c>
      <c r="AK176">
        <v>0</v>
      </c>
      <c r="AL176" t="s">
        <v>108</v>
      </c>
      <c r="AM176" t="s">
        <v>93</v>
      </c>
      <c r="AN176" t="s">
        <v>94</v>
      </c>
      <c r="AO176" t="s">
        <v>92</v>
      </c>
      <c r="AP176">
        <v>0</v>
      </c>
      <c r="AQ176">
        <v>0</v>
      </c>
      <c r="AR176">
        <v>0</v>
      </c>
      <c r="AS176">
        <v>0</v>
      </c>
      <c r="AT176">
        <v>0</v>
      </c>
      <c r="AU176">
        <v>0</v>
      </c>
      <c r="AV176">
        <v>0</v>
      </c>
      <c r="AW176">
        <v>0</v>
      </c>
      <c r="AX176">
        <v>0</v>
      </c>
      <c r="AY176">
        <v>0</v>
      </c>
    </row>
    <row r="177" spans="1:51" x14ac:dyDescent="0.25">
      <c r="A177">
        <v>8</v>
      </c>
      <c r="B177">
        <v>15090</v>
      </c>
      <c r="C177" t="s">
        <v>735</v>
      </c>
      <c r="D177" t="s">
        <v>96</v>
      </c>
      <c r="E177" t="s">
        <v>121</v>
      </c>
      <c r="F177" t="s">
        <v>107</v>
      </c>
      <c r="G177" t="s">
        <v>77</v>
      </c>
      <c r="H177" t="s">
        <v>78</v>
      </c>
      <c r="I177" t="s">
        <v>79</v>
      </c>
      <c r="J177" t="s">
        <v>152</v>
      </c>
      <c r="K177" t="s">
        <v>75</v>
      </c>
      <c r="L177" t="s">
        <v>76</v>
      </c>
      <c r="M177" t="s">
        <v>103</v>
      </c>
      <c r="N177" t="s">
        <v>74</v>
      </c>
      <c r="O177" t="s">
        <v>104</v>
      </c>
      <c r="P177" t="s">
        <v>71</v>
      </c>
      <c r="Q177" t="s">
        <v>71</v>
      </c>
      <c r="R177" t="s">
        <v>71</v>
      </c>
      <c r="S177">
        <v>0</v>
      </c>
      <c r="T177">
        <v>1</v>
      </c>
      <c r="U177" t="s">
        <v>72</v>
      </c>
      <c r="V177" t="s">
        <v>73</v>
      </c>
      <c r="W177">
        <v>0</v>
      </c>
      <c r="X177">
        <v>1</v>
      </c>
      <c r="Y177">
        <v>0</v>
      </c>
      <c r="Z177">
        <v>0</v>
      </c>
      <c r="AA177">
        <v>0</v>
      </c>
      <c r="AB177">
        <v>0</v>
      </c>
      <c r="AC177">
        <v>0</v>
      </c>
      <c r="AD177">
        <v>0</v>
      </c>
      <c r="AE177">
        <v>0</v>
      </c>
      <c r="AF177">
        <v>0</v>
      </c>
      <c r="AG177" t="s">
        <v>71</v>
      </c>
      <c r="AH177">
        <v>0</v>
      </c>
      <c r="AI177">
        <v>0</v>
      </c>
      <c r="AJ177">
        <v>0</v>
      </c>
      <c r="AK177">
        <v>0</v>
      </c>
      <c r="AL177" t="s">
        <v>108</v>
      </c>
      <c r="AM177" t="s">
        <v>93</v>
      </c>
      <c r="AN177" t="s">
        <v>94</v>
      </c>
      <c r="AO177" t="s">
        <v>92</v>
      </c>
      <c r="AP177">
        <v>0</v>
      </c>
      <c r="AQ177">
        <v>0</v>
      </c>
      <c r="AR177">
        <v>0</v>
      </c>
      <c r="AS177">
        <v>0</v>
      </c>
      <c r="AT177">
        <v>0</v>
      </c>
      <c r="AU177">
        <v>0</v>
      </c>
      <c r="AV177">
        <v>0</v>
      </c>
      <c r="AW177">
        <v>0</v>
      </c>
      <c r="AX177">
        <v>0</v>
      </c>
      <c r="AY177">
        <v>0</v>
      </c>
    </row>
    <row r="178" spans="1:51" x14ac:dyDescent="0.25">
      <c r="A178">
        <v>8</v>
      </c>
      <c r="B178">
        <v>20070</v>
      </c>
      <c r="C178" t="s">
        <v>735</v>
      </c>
      <c r="D178" t="s">
        <v>96</v>
      </c>
      <c r="E178" t="s">
        <v>121</v>
      </c>
      <c r="F178" t="s">
        <v>107</v>
      </c>
      <c r="G178" t="s">
        <v>77</v>
      </c>
      <c r="H178" t="s">
        <v>78</v>
      </c>
      <c r="I178" t="s">
        <v>79</v>
      </c>
      <c r="J178" t="s">
        <v>152</v>
      </c>
      <c r="K178" t="s">
        <v>75</v>
      </c>
      <c r="L178" t="s">
        <v>76</v>
      </c>
      <c r="M178" t="s">
        <v>103</v>
      </c>
      <c r="N178" t="s">
        <v>74</v>
      </c>
      <c r="O178" t="s">
        <v>104</v>
      </c>
      <c r="P178" t="s">
        <v>71</v>
      </c>
      <c r="Q178" t="s">
        <v>71</v>
      </c>
      <c r="R178" t="s">
        <v>71</v>
      </c>
      <c r="S178">
        <v>0</v>
      </c>
      <c r="T178">
        <v>1</v>
      </c>
      <c r="U178" t="s">
        <v>72</v>
      </c>
      <c r="V178" t="s">
        <v>73</v>
      </c>
      <c r="W178">
        <v>0</v>
      </c>
      <c r="X178">
        <v>1</v>
      </c>
      <c r="Y178">
        <v>0</v>
      </c>
      <c r="Z178">
        <v>0</v>
      </c>
      <c r="AA178">
        <v>0</v>
      </c>
      <c r="AB178">
        <v>0</v>
      </c>
      <c r="AC178">
        <v>0</v>
      </c>
      <c r="AD178">
        <v>0</v>
      </c>
      <c r="AE178">
        <v>0</v>
      </c>
      <c r="AF178">
        <v>0</v>
      </c>
      <c r="AG178" t="s">
        <v>71</v>
      </c>
      <c r="AH178">
        <v>0</v>
      </c>
      <c r="AI178">
        <v>0</v>
      </c>
      <c r="AJ178">
        <v>0</v>
      </c>
      <c r="AK178">
        <v>0</v>
      </c>
      <c r="AL178" t="s">
        <v>108</v>
      </c>
      <c r="AM178" t="s">
        <v>93</v>
      </c>
      <c r="AN178" t="s">
        <v>94</v>
      </c>
      <c r="AO178" t="s">
        <v>92</v>
      </c>
      <c r="AP178">
        <v>0</v>
      </c>
      <c r="AQ178">
        <v>0</v>
      </c>
      <c r="AR178">
        <v>0</v>
      </c>
      <c r="AS178">
        <v>0</v>
      </c>
      <c r="AT178">
        <v>0</v>
      </c>
      <c r="AU178">
        <v>0</v>
      </c>
      <c r="AV178">
        <v>0</v>
      </c>
      <c r="AW178">
        <v>0</v>
      </c>
      <c r="AX178">
        <v>0</v>
      </c>
      <c r="AY178">
        <v>0</v>
      </c>
    </row>
    <row r="179" spans="1:51" x14ac:dyDescent="0.25">
      <c r="A179">
        <v>8</v>
      </c>
      <c r="B179">
        <v>20080</v>
      </c>
      <c r="C179" t="s">
        <v>735</v>
      </c>
      <c r="D179" t="s">
        <v>96</v>
      </c>
      <c r="E179" t="s">
        <v>121</v>
      </c>
      <c r="F179" t="s">
        <v>107</v>
      </c>
      <c r="G179" t="s">
        <v>77</v>
      </c>
      <c r="H179" t="s">
        <v>78</v>
      </c>
      <c r="I179" t="s">
        <v>79</v>
      </c>
      <c r="J179" t="s">
        <v>152</v>
      </c>
      <c r="K179" t="s">
        <v>75</v>
      </c>
      <c r="L179" t="s">
        <v>76</v>
      </c>
      <c r="M179" t="s">
        <v>103</v>
      </c>
      <c r="N179" t="s">
        <v>74</v>
      </c>
      <c r="O179" t="s">
        <v>104</v>
      </c>
      <c r="P179" t="s">
        <v>71</v>
      </c>
      <c r="Q179" t="s">
        <v>71</v>
      </c>
      <c r="R179" t="s">
        <v>71</v>
      </c>
      <c r="S179">
        <v>0</v>
      </c>
      <c r="T179">
        <v>1</v>
      </c>
      <c r="U179" t="s">
        <v>72</v>
      </c>
      <c r="V179" t="s">
        <v>73</v>
      </c>
      <c r="W179">
        <v>0</v>
      </c>
      <c r="X179">
        <v>1</v>
      </c>
      <c r="Y179">
        <v>0</v>
      </c>
      <c r="Z179">
        <v>0</v>
      </c>
      <c r="AA179">
        <v>0</v>
      </c>
      <c r="AB179">
        <v>0</v>
      </c>
      <c r="AC179">
        <v>0</v>
      </c>
      <c r="AD179">
        <v>0</v>
      </c>
      <c r="AE179">
        <v>0</v>
      </c>
      <c r="AF179">
        <v>0</v>
      </c>
      <c r="AG179" t="s">
        <v>71</v>
      </c>
      <c r="AH179">
        <v>0</v>
      </c>
      <c r="AI179">
        <v>0</v>
      </c>
      <c r="AJ179">
        <v>0</v>
      </c>
      <c r="AK179">
        <v>0</v>
      </c>
      <c r="AL179" t="s">
        <v>108</v>
      </c>
      <c r="AM179" t="s">
        <v>93</v>
      </c>
      <c r="AN179" t="s">
        <v>94</v>
      </c>
      <c r="AO179" t="s">
        <v>92</v>
      </c>
      <c r="AP179">
        <v>0</v>
      </c>
      <c r="AQ179">
        <v>0</v>
      </c>
      <c r="AR179">
        <v>0</v>
      </c>
      <c r="AS179">
        <v>0</v>
      </c>
      <c r="AT179">
        <v>0</v>
      </c>
      <c r="AU179">
        <v>0</v>
      </c>
      <c r="AV179">
        <v>0</v>
      </c>
      <c r="AW179">
        <v>0</v>
      </c>
      <c r="AX179">
        <v>0</v>
      </c>
      <c r="AY179">
        <v>0</v>
      </c>
    </row>
    <row r="180" spans="1:51" x14ac:dyDescent="0.25">
      <c r="A180">
        <v>8</v>
      </c>
      <c r="B180">
        <v>20090</v>
      </c>
      <c r="C180" t="s">
        <v>735</v>
      </c>
      <c r="D180" t="s">
        <v>96</v>
      </c>
      <c r="E180" t="s">
        <v>121</v>
      </c>
      <c r="F180" t="s">
        <v>107</v>
      </c>
      <c r="G180" t="s">
        <v>77</v>
      </c>
      <c r="H180" t="s">
        <v>78</v>
      </c>
      <c r="I180" t="s">
        <v>79</v>
      </c>
      <c r="J180" t="s">
        <v>152</v>
      </c>
      <c r="K180" t="s">
        <v>75</v>
      </c>
      <c r="L180" t="s">
        <v>76</v>
      </c>
      <c r="M180" t="s">
        <v>103</v>
      </c>
      <c r="N180" t="s">
        <v>74</v>
      </c>
      <c r="O180" t="s">
        <v>104</v>
      </c>
      <c r="P180" t="s">
        <v>71</v>
      </c>
      <c r="Q180" t="s">
        <v>71</v>
      </c>
      <c r="R180" t="s">
        <v>71</v>
      </c>
      <c r="S180">
        <v>0</v>
      </c>
      <c r="T180">
        <v>1</v>
      </c>
      <c r="U180" t="s">
        <v>72</v>
      </c>
      <c r="V180" t="s">
        <v>73</v>
      </c>
      <c r="W180">
        <v>0</v>
      </c>
      <c r="X180">
        <v>1</v>
      </c>
      <c r="Y180">
        <v>0</v>
      </c>
      <c r="Z180">
        <v>0</v>
      </c>
      <c r="AA180">
        <v>0</v>
      </c>
      <c r="AB180">
        <v>0</v>
      </c>
      <c r="AC180">
        <v>0</v>
      </c>
      <c r="AD180">
        <v>0</v>
      </c>
      <c r="AE180">
        <v>0</v>
      </c>
      <c r="AF180">
        <v>0</v>
      </c>
      <c r="AG180" t="s">
        <v>71</v>
      </c>
      <c r="AH180">
        <v>0</v>
      </c>
      <c r="AI180">
        <v>0</v>
      </c>
      <c r="AJ180">
        <v>0</v>
      </c>
      <c r="AK180">
        <v>0</v>
      </c>
      <c r="AL180" t="s">
        <v>108</v>
      </c>
      <c r="AM180" t="s">
        <v>93</v>
      </c>
      <c r="AN180" t="s">
        <v>94</v>
      </c>
      <c r="AO180" t="s">
        <v>92</v>
      </c>
      <c r="AP180">
        <v>0</v>
      </c>
      <c r="AQ180">
        <v>0</v>
      </c>
      <c r="AR180">
        <v>0</v>
      </c>
      <c r="AS180">
        <v>0</v>
      </c>
      <c r="AT180">
        <v>0</v>
      </c>
      <c r="AU180">
        <v>0</v>
      </c>
      <c r="AV180">
        <v>0</v>
      </c>
      <c r="AW180">
        <v>0</v>
      </c>
      <c r="AX180">
        <v>0</v>
      </c>
      <c r="AY180">
        <v>0</v>
      </c>
    </row>
    <row r="181" spans="1:51" x14ac:dyDescent="0.25">
      <c r="A181">
        <v>8</v>
      </c>
      <c r="B181">
        <v>20100</v>
      </c>
      <c r="C181" t="s">
        <v>735</v>
      </c>
      <c r="D181" t="s">
        <v>96</v>
      </c>
      <c r="E181" t="s">
        <v>121</v>
      </c>
      <c r="F181" t="s">
        <v>107</v>
      </c>
      <c r="G181" t="s">
        <v>77</v>
      </c>
      <c r="H181" t="s">
        <v>78</v>
      </c>
      <c r="I181" t="s">
        <v>79</v>
      </c>
      <c r="J181" t="s">
        <v>152</v>
      </c>
      <c r="K181" t="s">
        <v>75</v>
      </c>
      <c r="L181" t="s">
        <v>76</v>
      </c>
      <c r="M181" t="s">
        <v>103</v>
      </c>
      <c r="N181" t="s">
        <v>74</v>
      </c>
      <c r="O181" t="s">
        <v>104</v>
      </c>
      <c r="P181" t="s">
        <v>71</v>
      </c>
      <c r="Q181" t="s">
        <v>71</v>
      </c>
      <c r="R181" t="s">
        <v>71</v>
      </c>
      <c r="S181">
        <v>0</v>
      </c>
      <c r="T181">
        <v>1</v>
      </c>
      <c r="U181" t="s">
        <v>72</v>
      </c>
      <c r="V181" t="s">
        <v>73</v>
      </c>
      <c r="W181">
        <v>0</v>
      </c>
      <c r="X181">
        <v>1</v>
      </c>
      <c r="Y181">
        <v>0</v>
      </c>
      <c r="Z181">
        <v>0</v>
      </c>
      <c r="AA181">
        <v>0</v>
      </c>
      <c r="AB181">
        <v>0</v>
      </c>
      <c r="AC181">
        <v>0</v>
      </c>
      <c r="AD181">
        <v>0</v>
      </c>
      <c r="AE181">
        <v>0</v>
      </c>
      <c r="AF181">
        <v>0</v>
      </c>
      <c r="AG181" t="s">
        <v>71</v>
      </c>
      <c r="AH181">
        <v>0</v>
      </c>
      <c r="AI181">
        <v>0</v>
      </c>
      <c r="AJ181">
        <v>0</v>
      </c>
      <c r="AK181">
        <v>0</v>
      </c>
      <c r="AL181" t="s">
        <v>108</v>
      </c>
      <c r="AM181" t="s">
        <v>93</v>
      </c>
      <c r="AN181" t="s">
        <v>94</v>
      </c>
      <c r="AO181" t="s">
        <v>92</v>
      </c>
      <c r="AP181">
        <v>0</v>
      </c>
      <c r="AQ181">
        <v>0</v>
      </c>
      <c r="AR181">
        <v>0</v>
      </c>
      <c r="AS181">
        <v>0</v>
      </c>
      <c r="AT181">
        <v>0</v>
      </c>
      <c r="AU181">
        <v>0</v>
      </c>
      <c r="AV181">
        <v>0</v>
      </c>
      <c r="AW181">
        <v>0</v>
      </c>
      <c r="AX181">
        <v>0</v>
      </c>
      <c r="AY181">
        <v>0</v>
      </c>
    </row>
    <row r="182" spans="1:51" x14ac:dyDescent="0.25">
      <c r="A182">
        <v>8</v>
      </c>
      <c r="B182">
        <v>20110</v>
      </c>
      <c r="C182" t="s">
        <v>735</v>
      </c>
      <c r="D182" t="s">
        <v>96</v>
      </c>
      <c r="E182" t="s">
        <v>121</v>
      </c>
      <c r="F182" t="s">
        <v>107</v>
      </c>
      <c r="G182" t="s">
        <v>77</v>
      </c>
      <c r="H182" t="s">
        <v>78</v>
      </c>
      <c r="I182" t="s">
        <v>79</v>
      </c>
      <c r="J182" t="s">
        <v>70</v>
      </c>
      <c r="K182" t="s">
        <v>75</v>
      </c>
      <c r="L182" t="s">
        <v>76</v>
      </c>
      <c r="M182" t="s">
        <v>103</v>
      </c>
      <c r="N182" t="s">
        <v>74</v>
      </c>
      <c r="O182" t="s">
        <v>104</v>
      </c>
      <c r="P182" t="s">
        <v>71</v>
      </c>
      <c r="Q182" t="s">
        <v>71</v>
      </c>
      <c r="R182" t="s">
        <v>71</v>
      </c>
      <c r="S182">
        <v>0</v>
      </c>
      <c r="T182">
        <v>1</v>
      </c>
      <c r="U182" t="s">
        <v>72</v>
      </c>
      <c r="V182" t="s">
        <v>73</v>
      </c>
      <c r="W182">
        <v>0</v>
      </c>
      <c r="X182">
        <v>0</v>
      </c>
      <c r="Y182">
        <v>0</v>
      </c>
      <c r="Z182">
        <v>0</v>
      </c>
      <c r="AA182">
        <v>0</v>
      </c>
      <c r="AB182">
        <v>0</v>
      </c>
      <c r="AC182">
        <v>0</v>
      </c>
      <c r="AD182">
        <v>0</v>
      </c>
      <c r="AE182">
        <v>0</v>
      </c>
      <c r="AF182">
        <v>0</v>
      </c>
      <c r="AG182" t="s">
        <v>71</v>
      </c>
      <c r="AH182">
        <v>0</v>
      </c>
      <c r="AI182">
        <v>0</v>
      </c>
      <c r="AJ182">
        <v>0</v>
      </c>
      <c r="AK182">
        <v>0</v>
      </c>
      <c r="AL182" t="s">
        <v>146</v>
      </c>
      <c r="AM182" t="s">
        <v>93</v>
      </c>
      <c r="AN182" t="s">
        <v>148</v>
      </c>
      <c r="AO182" t="s">
        <v>147</v>
      </c>
      <c r="AP182">
        <v>0</v>
      </c>
      <c r="AQ182">
        <v>0</v>
      </c>
      <c r="AR182">
        <v>128</v>
      </c>
      <c r="AS182">
        <v>0</v>
      </c>
      <c r="AT182">
        <v>0</v>
      </c>
      <c r="AU182">
        <v>0</v>
      </c>
      <c r="AV182">
        <v>0</v>
      </c>
      <c r="AW182">
        <v>0</v>
      </c>
      <c r="AX182">
        <v>0</v>
      </c>
      <c r="AY182">
        <v>0</v>
      </c>
    </row>
    <row r="183" spans="1:51" x14ac:dyDescent="0.25">
      <c r="A183">
        <v>8</v>
      </c>
      <c r="B183">
        <v>20120</v>
      </c>
      <c r="C183" t="s">
        <v>735</v>
      </c>
      <c r="D183" t="s">
        <v>96</v>
      </c>
      <c r="E183" t="s">
        <v>121</v>
      </c>
      <c r="F183" t="s">
        <v>107</v>
      </c>
      <c r="G183" t="s">
        <v>77</v>
      </c>
      <c r="H183" t="s">
        <v>78</v>
      </c>
      <c r="I183" t="s">
        <v>79</v>
      </c>
      <c r="J183" t="s">
        <v>119</v>
      </c>
      <c r="K183" t="s">
        <v>75</v>
      </c>
      <c r="L183" t="s">
        <v>76</v>
      </c>
      <c r="M183" t="s">
        <v>149</v>
      </c>
      <c r="N183" t="s">
        <v>74</v>
      </c>
      <c r="O183" t="s">
        <v>104</v>
      </c>
      <c r="P183" t="s">
        <v>71</v>
      </c>
      <c r="Q183" t="s">
        <v>71</v>
      </c>
      <c r="R183" t="s">
        <v>71</v>
      </c>
      <c r="S183">
        <v>0</v>
      </c>
      <c r="T183">
        <v>1</v>
      </c>
      <c r="U183" t="s">
        <v>72</v>
      </c>
      <c r="V183" t="s">
        <v>73</v>
      </c>
      <c r="W183">
        <v>0</v>
      </c>
      <c r="X183">
        <v>1</v>
      </c>
      <c r="Y183">
        <v>1</v>
      </c>
      <c r="Z183">
        <v>0</v>
      </c>
      <c r="AA183">
        <v>1</v>
      </c>
      <c r="AB183">
        <v>0.1</v>
      </c>
      <c r="AC183">
        <v>1</v>
      </c>
      <c r="AD183">
        <v>0</v>
      </c>
      <c r="AE183">
        <v>1</v>
      </c>
      <c r="AF183">
        <v>0.2</v>
      </c>
      <c r="AG183" t="s">
        <v>71</v>
      </c>
      <c r="AH183">
        <v>0</v>
      </c>
      <c r="AI183">
        <v>0</v>
      </c>
      <c r="AJ183">
        <v>0</v>
      </c>
      <c r="AK183">
        <v>0</v>
      </c>
      <c r="AL183" t="s">
        <v>108</v>
      </c>
      <c r="AM183" t="s">
        <v>93</v>
      </c>
      <c r="AN183" t="s">
        <v>94</v>
      </c>
      <c r="AO183" t="s">
        <v>92</v>
      </c>
      <c r="AP183">
        <v>0</v>
      </c>
      <c r="AQ183">
        <v>0</v>
      </c>
      <c r="AR183">
        <v>0</v>
      </c>
      <c r="AS183">
        <v>0</v>
      </c>
      <c r="AT183">
        <v>0</v>
      </c>
      <c r="AU183">
        <v>0</v>
      </c>
      <c r="AV183">
        <v>0</v>
      </c>
      <c r="AW183">
        <v>0</v>
      </c>
      <c r="AX183">
        <v>0</v>
      </c>
      <c r="AY183">
        <v>0</v>
      </c>
    </row>
    <row r="184" spans="1:51" x14ac:dyDescent="0.25">
      <c r="A184">
        <v>8</v>
      </c>
      <c r="B184">
        <v>20130</v>
      </c>
      <c r="C184" t="s">
        <v>735</v>
      </c>
      <c r="D184" t="s">
        <v>96</v>
      </c>
      <c r="E184" t="s">
        <v>121</v>
      </c>
      <c r="F184" t="s">
        <v>107</v>
      </c>
      <c r="G184" t="s">
        <v>77</v>
      </c>
      <c r="H184" t="s">
        <v>78</v>
      </c>
      <c r="I184" t="s">
        <v>79</v>
      </c>
      <c r="J184" t="s">
        <v>70</v>
      </c>
      <c r="K184" t="s">
        <v>75</v>
      </c>
      <c r="L184" t="s">
        <v>76</v>
      </c>
      <c r="M184" t="s">
        <v>103</v>
      </c>
      <c r="N184" t="s">
        <v>159</v>
      </c>
      <c r="O184" t="s">
        <v>104</v>
      </c>
      <c r="P184" t="s">
        <v>71</v>
      </c>
      <c r="Q184" t="s">
        <v>71</v>
      </c>
      <c r="R184" t="s">
        <v>71</v>
      </c>
      <c r="S184">
        <v>0</v>
      </c>
      <c r="T184">
        <v>1</v>
      </c>
      <c r="U184" t="s">
        <v>72</v>
      </c>
      <c r="V184" t="s">
        <v>73</v>
      </c>
      <c r="W184">
        <v>0</v>
      </c>
      <c r="X184">
        <v>1</v>
      </c>
      <c r="Y184">
        <v>0</v>
      </c>
      <c r="Z184">
        <v>0</v>
      </c>
      <c r="AA184">
        <v>0</v>
      </c>
      <c r="AB184">
        <v>0</v>
      </c>
      <c r="AC184">
        <v>0</v>
      </c>
      <c r="AD184">
        <v>0</v>
      </c>
      <c r="AE184">
        <v>0</v>
      </c>
      <c r="AF184">
        <v>0</v>
      </c>
      <c r="AG184" t="s">
        <v>71</v>
      </c>
      <c r="AH184">
        <v>0</v>
      </c>
      <c r="AI184">
        <v>0</v>
      </c>
      <c r="AJ184">
        <v>0</v>
      </c>
      <c r="AK184">
        <v>0</v>
      </c>
      <c r="AL184" t="s">
        <v>108</v>
      </c>
      <c r="AM184" t="s">
        <v>93</v>
      </c>
      <c r="AN184" t="s">
        <v>94</v>
      </c>
      <c r="AO184" t="s">
        <v>92</v>
      </c>
      <c r="AP184">
        <v>0</v>
      </c>
      <c r="AQ184">
        <v>0</v>
      </c>
      <c r="AR184">
        <v>0</v>
      </c>
      <c r="AS184">
        <v>0</v>
      </c>
      <c r="AT184">
        <v>0</v>
      </c>
      <c r="AU184">
        <v>0</v>
      </c>
      <c r="AV184">
        <v>0</v>
      </c>
      <c r="AW184">
        <v>0</v>
      </c>
      <c r="AX184">
        <v>0</v>
      </c>
      <c r="AY184">
        <v>0</v>
      </c>
    </row>
    <row r="185" spans="1:51" x14ac:dyDescent="0.25">
      <c r="A185">
        <v>8</v>
      </c>
      <c r="B185">
        <v>25110</v>
      </c>
      <c r="C185" t="s">
        <v>735</v>
      </c>
      <c r="D185" t="s">
        <v>96</v>
      </c>
      <c r="E185" t="s">
        <v>121</v>
      </c>
      <c r="F185" t="s">
        <v>107</v>
      </c>
      <c r="G185" t="s">
        <v>77</v>
      </c>
      <c r="H185" t="s">
        <v>78</v>
      </c>
      <c r="I185" t="s">
        <v>79</v>
      </c>
      <c r="J185" t="s">
        <v>70</v>
      </c>
      <c r="K185" t="s">
        <v>75</v>
      </c>
      <c r="L185" t="s">
        <v>76</v>
      </c>
      <c r="M185" t="s">
        <v>103</v>
      </c>
      <c r="N185" t="s">
        <v>159</v>
      </c>
      <c r="O185" t="s">
        <v>104</v>
      </c>
      <c r="P185" t="s">
        <v>71</v>
      </c>
      <c r="Q185" t="s">
        <v>71</v>
      </c>
      <c r="R185" t="s">
        <v>71</v>
      </c>
      <c r="S185">
        <v>0</v>
      </c>
      <c r="T185">
        <v>1</v>
      </c>
      <c r="U185" t="s">
        <v>72</v>
      </c>
      <c r="V185" t="s">
        <v>73</v>
      </c>
      <c r="W185">
        <v>0</v>
      </c>
      <c r="X185">
        <v>1</v>
      </c>
      <c r="Y185">
        <v>0</v>
      </c>
      <c r="Z185">
        <v>0</v>
      </c>
      <c r="AA185">
        <v>0</v>
      </c>
      <c r="AB185">
        <v>0</v>
      </c>
      <c r="AC185">
        <v>0</v>
      </c>
      <c r="AD185">
        <v>0</v>
      </c>
      <c r="AE185">
        <v>0</v>
      </c>
      <c r="AF185">
        <v>0</v>
      </c>
      <c r="AG185" t="s">
        <v>71</v>
      </c>
      <c r="AH185">
        <v>0</v>
      </c>
      <c r="AI185">
        <v>0</v>
      </c>
      <c r="AJ185">
        <v>0</v>
      </c>
      <c r="AK185">
        <v>0</v>
      </c>
      <c r="AL185" t="s">
        <v>108</v>
      </c>
      <c r="AM185" t="s">
        <v>93</v>
      </c>
      <c r="AN185" t="s">
        <v>94</v>
      </c>
      <c r="AO185" t="s">
        <v>92</v>
      </c>
      <c r="AP185">
        <v>0</v>
      </c>
      <c r="AQ185">
        <v>0</v>
      </c>
      <c r="AR185">
        <v>0</v>
      </c>
      <c r="AS185">
        <v>0</v>
      </c>
      <c r="AT185">
        <v>0</v>
      </c>
      <c r="AU185">
        <v>0</v>
      </c>
      <c r="AV185">
        <v>0</v>
      </c>
      <c r="AW185">
        <v>0</v>
      </c>
      <c r="AX185">
        <v>0</v>
      </c>
      <c r="AY185">
        <v>0</v>
      </c>
    </row>
    <row r="186" spans="1:51" x14ac:dyDescent="0.25">
      <c r="A186">
        <v>8</v>
      </c>
      <c r="B186">
        <v>25120</v>
      </c>
      <c r="C186" t="s">
        <v>735</v>
      </c>
      <c r="D186" t="s">
        <v>96</v>
      </c>
      <c r="E186" t="s">
        <v>121</v>
      </c>
      <c r="F186" t="s">
        <v>107</v>
      </c>
      <c r="G186" t="s">
        <v>77</v>
      </c>
      <c r="H186" t="s">
        <v>78</v>
      </c>
      <c r="I186" t="s">
        <v>79</v>
      </c>
      <c r="J186" t="s">
        <v>70</v>
      </c>
      <c r="K186" t="s">
        <v>75</v>
      </c>
      <c r="L186" t="s">
        <v>76</v>
      </c>
      <c r="M186" t="s">
        <v>103</v>
      </c>
      <c r="N186" t="s">
        <v>159</v>
      </c>
      <c r="O186" t="s">
        <v>104</v>
      </c>
      <c r="P186" t="s">
        <v>71</v>
      </c>
      <c r="Q186" t="s">
        <v>71</v>
      </c>
      <c r="R186" t="s">
        <v>71</v>
      </c>
      <c r="S186">
        <v>0</v>
      </c>
      <c r="T186">
        <v>1</v>
      </c>
      <c r="U186" t="s">
        <v>72</v>
      </c>
      <c r="V186" t="s">
        <v>73</v>
      </c>
      <c r="W186">
        <v>0</v>
      </c>
      <c r="X186">
        <v>1</v>
      </c>
      <c r="Y186">
        <v>0</v>
      </c>
      <c r="Z186">
        <v>0</v>
      </c>
      <c r="AA186">
        <v>0</v>
      </c>
      <c r="AB186">
        <v>0</v>
      </c>
      <c r="AC186">
        <v>0</v>
      </c>
      <c r="AD186">
        <v>0</v>
      </c>
      <c r="AE186">
        <v>0</v>
      </c>
      <c r="AF186">
        <v>0</v>
      </c>
      <c r="AG186" t="s">
        <v>71</v>
      </c>
      <c r="AH186">
        <v>0</v>
      </c>
      <c r="AI186">
        <v>0</v>
      </c>
      <c r="AJ186">
        <v>0</v>
      </c>
      <c r="AK186">
        <v>0</v>
      </c>
      <c r="AL186" t="s">
        <v>108</v>
      </c>
      <c r="AM186" t="s">
        <v>93</v>
      </c>
      <c r="AN186" t="s">
        <v>94</v>
      </c>
      <c r="AO186" t="s">
        <v>92</v>
      </c>
      <c r="AP186">
        <v>0</v>
      </c>
      <c r="AQ186">
        <v>0</v>
      </c>
      <c r="AR186">
        <v>0</v>
      </c>
      <c r="AS186">
        <v>0</v>
      </c>
      <c r="AT186">
        <v>0</v>
      </c>
      <c r="AU186">
        <v>0</v>
      </c>
      <c r="AV186">
        <v>0</v>
      </c>
      <c r="AW186">
        <v>0</v>
      </c>
      <c r="AX186">
        <v>0</v>
      </c>
      <c r="AY186">
        <v>0</v>
      </c>
    </row>
    <row r="187" spans="1:51" x14ac:dyDescent="0.25">
      <c r="A187">
        <v>8</v>
      </c>
      <c r="B187">
        <v>25130</v>
      </c>
      <c r="C187" t="s">
        <v>735</v>
      </c>
      <c r="D187" t="s">
        <v>96</v>
      </c>
      <c r="E187" t="s">
        <v>121</v>
      </c>
      <c r="F187" t="s">
        <v>107</v>
      </c>
      <c r="G187" t="s">
        <v>77</v>
      </c>
      <c r="H187" t="s">
        <v>78</v>
      </c>
      <c r="I187" t="s">
        <v>79</v>
      </c>
      <c r="J187" t="s">
        <v>70</v>
      </c>
      <c r="K187" t="s">
        <v>75</v>
      </c>
      <c r="L187" t="s">
        <v>76</v>
      </c>
      <c r="M187" t="s">
        <v>103</v>
      </c>
      <c r="N187" t="s">
        <v>159</v>
      </c>
      <c r="O187" t="s">
        <v>104</v>
      </c>
      <c r="P187" t="s">
        <v>71</v>
      </c>
      <c r="Q187" t="s">
        <v>71</v>
      </c>
      <c r="R187" t="s">
        <v>71</v>
      </c>
      <c r="S187">
        <v>0</v>
      </c>
      <c r="T187">
        <v>1</v>
      </c>
      <c r="U187" t="s">
        <v>72</v>
      </c>
      <c r="V187" t="s">
        <v>73</v>
      </c>
      <c r="W187">
        <v>0</v>
      </c>
      <c r="X187">
        <v>1</v>
      </c>
      <c r="Y187">
        <v>0</v>
      </c>
      <c r="Z187">
        <v>0</v>
      </c>
      <c r="AA187">
        <v>0</v>
      </c>
      <c r="AB187">
        <v>0</v>
      </c>
      <c r="AC187">
        <v>0</v>
      </c>
      <c r="AD187">
        <v>0</v>
      </c>
      <c r="AE187">
        <v>0</v>
      </c>
      <c r="AF187">
        <v>0</v>
      </c>
      <c r="AG187" t="s">
        <v>71</v>
      </c>
      <c r="AH187">
        <v>0</v>
      </c>
      <c r="AI187">
        <v>0</v>
      </c>
      <c r="AJ187">
        <v>0</v>
      </c>
      <c r="AK187">
        <v>0</v>
      </c>
      <c r="AL187" t="s">
        <v>108</v>
      </c>
      <c r="AM187" t="s">
        <v>93</v>
      </c>
      <c r="AN187" t="s">
        <v>94</v>
      </c>
      <c r="AO187" t="s">
        <v>92</v>
      </c>
      <c r="AP187">
        <v>0</v>
      </c>
      <c r="AQ187">
        <v>0</v>
      </c>
      <c r="AR187">
        <v>0</v>
      </c>
      <c r="AS187">
        <v>0</v>
      </c>
      <c r="AT187">
        <v>0</v>
      </c>
      <c r="AU187">
        <v>0</v>
      </c>
      <c r="AV187">
        <v>0</v>
      </c>
      <c r="AW187">
        <v>0</v>
      </c>
      <c r="AX187">
        <v>0</v>
      </c>
      <c r="AY187">
        <v>0</v>
      </c>
    </row>
    <row r="188" spans="1:51" x14ac:dyDescent="0.25">
      <c r="A188">
        <v>8</v>
      </c>
      <c r="B188">
        <v>25140</v>
      </c>
      <c r="C188" t="s">
        <v>735</v>
      </c>
      <c r="D188" t="s">
        <v>96</v>
      </c>
      <c r="E188" t="s">
        <v>121</v>
      </c>
      <c r="F188" t="s">
        <v>107</v>
      </c>
      <c r="G188" t="s">
        <v>77</v>
      </c>
      <c r="H188" t="s">
        <v>78</v>
      </c>
      <c r="I188" t="s">
        <v>79</v>
      </c>
      <c r="J188" t="s">
        <v>70</v>
      </c>
      <c r="K188" t="s">
        <v>75</v>
      </c>
      <c r="L188" t="s">
        <v>76</v>
      </c>
      <c r="M188" t="s">
        <v>103</v>
      </c>
      <c r="N188" t="s">
        <v>159</v>
      </c>
      <c r="O188" t="s">
        <v>104</v>
      </c>
      <c r="P188" t="s">
        <v>71</v>
      </c>
      <c r="Q188" t="s">
        <v>71</v>
      </c>
      <c r="R188" t="s">
        <v>71</v>
      </c>
      <c r="S188">
        <v>0</v>
      </c>
      <c r="T188">
        <v>1</v>
      </c>
      <c r="U188" t="s">
        <v>72</v>
      </c>
      <c r="V188" t="s">
        <v>73</v>
      </c>
      <c r="W188">
        <v>0</v>
      </c>
      <c r="X188">
        <v>1</v>
      </c>
      <c r="Y188">
        <v>0</v>
      </c>
      <c r="Z188">
        <v>0</v>
      </c>
      <c r="AA188">
        <v>0</v>
      </c>
      <c r="AB188">
        <v>0</v>
      </c>
      <c r="AC188">
        <v>0</v>
      </c>
      <c r="AD188">
        <v>0</v>
      </c>
      <c r="AE188">
        <v>0</v>
      </c>
      <c r="AF188">
        <v>0</v>
      </c>
      <c r="AG188" t="s">
        <v>71</v>
      </c>
      <c r="AH188">
        <v>0</v>
      </c>
      <c r="AI188">
        <v>0</v>
      </c>
      <c r="AJ188">
        <v>0</v>
      </c>
      <c r="AK188">
        <v>0</v>
      </c>
      <c r="AL188" t="s">
        <v>108</v>
      </c>
      <c r="AM188" t="s">
        <v>93</v>
      </c>
      <c r="AN188" t="s">
        <v>94</v>
      </c>
      <c r="AO188" t="s">
        <v>92</v>
      </c>
      <c r="AP188">
        <v>0</v>
      </c>
      <c r="AQ188">
        <v>0</v>
      </c>
      <c r="AR188">
        <v>0</v>
      </c>
      <c r="AS188">
        <v>0</v>
      </c>
      <c r="AT188">
        <v>0</v>
      </c>
      <c r="AU188">
        <v>0</v>
      </c>
      <c r="AV188">
        <v>0</v>
      </c>
      <c r="AW188">
        <v>0</v>
      </c>
      <c r="AX188">
        <v>0</v>
      </c>
      <c r="AY188">
        <v>0</v>
      </c>
    </row>
    <row r="189" spans="1:51" x14ac:dyDescent="0.25">
      <c r="A189">
        <v>8</v>
      </c>
      <c r="B189">
        <v>25150</v>
      </c>
      <c r="C189" t="s">
        <v>735</v>
      </c>
      <c r="D189" t="s">
        <v>96</v>
      </c>
      <c r="E189" t="s">
        <v>121</v>
      </c>
      <c r="F189" t="s">
        <v>107</v>
      </c>
      <c r="G189" t="s">
        <v>77</v>
      </c>
      <c r="H189" t="s">
        <v>78</v>
      </c>
      <c r="I189" t="s">
        <v>79</v>
      </c>
      <c r="J189" t="s">
        <v>70</v>
      </c>
      <c r="K189" t="s">
        <v>75</v>
      </c>
      <c r="L189" t="s">
        <v>76</v>
      </c>
      <c r="M189" t="s">
        <v>103</v>
      </c>
      <c r="N189" t="s">
        <v>74</v>
      </c>
      <c r="O189" t="s">
        <v>104</v>
      </c>
      <c r="P189" t="s">
        <v>71</v>
      </c>
      <c r="Q189" t="s">
        <v>71</v>
      </c>
      <c r="R189" t="s">
        <v>71</v>
      </c>
      <c r="S189">
        <v>0</v>
      </c>
      <c r="T189">
        <v>1</v>
      </c>
      <c r="U189" t="s">
        <v>72</v>
      </c>
      <c r="V189" t="s">
        <v>73</v>
      </c>
      <c r="W189">
        <v>0</v>
      </c>
      <c r="X189">
        <v>0</v>
      </c>
      <c r="Y189">
        <v>0</v>
      </c>
      <c r="Z189">
        <v>0</v>
      </c>
      <c r="AA189">
        <v>0</v>
      </c>
      <c r="AB189">
        <v>0</v>
      </c>
      <c r="AC189">
        <v>0</v>
      </c>
      <c r="AD189">
        <v>0</v>
      </c>
      <c r="AE189">
        <v>0</v>
      </c>
      <c r="AF189">
        <v>0</v>
      </c>
      <c r="AG189" t="s">
        <v>71</v>
      </c>
      <c r="AH189">
        <v>0</v>
      </c>
      <c r="AI189">
        <v>0</v>
      </c>
      <c r="AJ189">
        <v>0</v>
      </c>
      <c r="AK189">
        <v>0</v>
      </c>
      <c r="AL189" t="s">
        <v>146</v>
      </c>
      <c r="AM189" t="s">
        <v>93</v>
      </c>
      <c r="AN189" t="s">
        <v>148</v>
      </c>
      <c r="AO189" t="s">
        <v>147</v>
      </c>
      <c r="AP189">
        <v>0</v>
      </c>
      <c r="AQ189">
        <v>0</v>
      </c>
      <c r="AR189">
        <v>128</v>
      </c>
      <c r="AS189">
        <v>0</v>
      </c>
      <c r="AT189">
        <v>0</v>
      </c>
      <c r="AU189">
        <v>0</v>
      </c>
      <c r="AV189">
        <v>0</v>
      </c>
      <c r="AW189">
        <v>0</v>
      </c>
      <c r="AX189">
        <v>0</v>
      </c>
      <c r="AY189">
        <v>0</v>
      </c>
    </row>
    <row r="190" spans="1:51" x14ac:dyDescent="0.25">
      <c r="A190">
        <v>8</v>
      </c>
      <c r="B190">
        <v>25160</v>
      </c>
      <c r="C190" t="s">
        <v>735</v>
      </c>
      <c r="D190" t="s">
        <v>96</v>
      </c>
      <c r="E190" t="s">
        <v>121</v>
      </c>
      <c r="F190" t="s">
        <v>107</v>
      </c>
      <c r="G190" t="s">
        <v>77</v>
      </c>
      <c r="H190" t="s">
        <v>78</v>
      </c>
      <c r="I190" t="s">
        <v>79</v>
      </c>
      <c r="J190" t="s">
        <v>119</v>
      </c>
      <c r="K190" t="s">
        <v>75</v>
      </c>
      <c r="L190" t="s">
        <v>76</v>
      </c>
      <c r="M190" t="s">
        <v>149</v>
      </c>
      <c r="N190" t="s">
        <v>74</v>
      </c>
      <c r="O190" t="s">
        <v>104</v>
      </c>
      <c r="P190" t="s">
        <v>71</v>
      </c>
      <c r="Q190" t="s">
        <v>71</v>
      </c>
      <c r="R190" t="s">
        <v>71</v>
      </c>
      <c r="S190">
        <v>0</v>
      </c>
      <c r="T190">
        <v>1</v>
      </c>
      <c r="U190" t="s">
        <v>72</v>
      </c>
      <c r="V190" t="s">
        <v>73</v>
      </c>
      <c r="W190">
        <v>0</v>
      </c>
      <c r="X190">
        <v>1</v>
      </c>
      <c r="Y190">
        <v>1</v>
      </c>
      <c r="Z190">
        <v>0</v>
      </c>
      <c r="AA190">
        <v>1</v>
      </c>
      <c r="AB190">
        <v>0.1</v>
      </c>
      <c r="AC190">
        <v>1</v>
      </c>
      <c r="AD190">
        <v>0</v>
      </c>
      <c r="AE190">
        <v>1</v>
      </c>
      <c r="AF190">
        <v>0.2</v>
      </c>
      <c r="AG190" t="s">
        <v>71</v>
      </c>
      <c r="AH190">
        <v>0</v>
      </c>
      <c r="AI190">
        <v>0</v>
      </c>
      <c r="AJ190">
        <v>0</v>
      </c>
      <c r="AK190">
        <v>0</v>
      </c>
      <c r="AL190" t="s">
        <v>108</v>
      </c>
      <c r="AM190" t="s">
        <v>93</v>
      </c>
      <c r="AN190" t="s">
        <v>94</v>
      </c>
      <c r="AO190" t="s">
        <v>92</v>
      </c>
      <c r="AP190">
        <v>0</v>
      </c>
      <c r="AQ190">
        <v>0</v>
      </c>
      <c r="AR190">
        <v>0</v>
      </c>
      <c r="AS190">
        <v>0</v>
      </c>
      <c r="AT190">
        <v>0</v>
      </c>
      <c r="AU190">
        <v>0</v>
      </c>
      <c r="AV190">
        <v>0</v>
      </c>
      <c r="AW190">
        <v>0</v>
      </c>
      <c r="AX190">
        <v>0</v>
      </c>
      <c r="AY190">
        <v>0</v>
      </c>
    </row>
    <row r="191" spans="1:51" x14ac:dyDescent="0.25">
      <c r="A191">
        <v>8</v>
      </c>
      <c r="B191">
        <v>25170</v>
      </c>
      <c r="C191" t="s">
        <v>735</v>
      </c>
      <c r="D191" t="s">
        <v>96</v>
      </c>
      <c r="E191" t="s">
        <v>121</v>
      </c>
      <c r="F191" t="s">
        <v>107</v>
      </c>
      <c r="G191" t="s">
        <v>77</v>
      </c>
      <c r="H191" t="s">
        <v>78</v>
      </c>
      <c r="I191" t="s">
        <v>79</v>
      </c>
      <c r="J191" t="s">
        <v>70</v>
      </c>
      <c r="K191" t="s">
        <v>75</v>
      </c>
      <c r="L191" t="s">
        <v>76</v>
      </c>
      <c r="M191" t="s">
        <v>103</v>
      </c>
      <c r="N191" t="s">
        <v>161</v>
      </c>
      <c r="O191" t="s">
        <v>104</v>
      </c>
      <c r="P191" t="s">
        <v>71</v>
      </c>
      <c r="Q191" t="s">
        <v>71</v>
      </c>
      <c r="R191" t="s">
        <v>71</v>
      </c>
      <c r="S191">
        <v>0</v>
      </c>
      <c r="T191">
        <v>1</v>
      </c>
      <c r="U191" t="s">
        <v>72</v>
      </c>
      <c r="V191" t="s">
        <v>73</v>
      </c>
      <c r="W191">
        <v>0</v>
      </c>
      <c r="X191">
        <v>1</v>
      </c>
      <c r="Y191">
        <v>0</v>
      </c>
      <c r="Z191">
        <v>0</v>
      </c>
      <c r="AA191">
        <v>0</v>
      </c>
      <c r="AB191">
        <v>0</v>
      </c>
      <c r="AC191">
        <v>0</v>
      </c>
      <c r="AD191">
        <v>0</v>
      </c>
      <c r="AE191">
        <v>0</v>
      </c>
      <c r="AF191">
        <v>0</v>
      </c>
      <c r="AG191" t="s">
        <v>71</v>
      </c>
      <c r="AH191">
        <v>0</v>
      </c>
      <c r="AI191">
        <v>0</v>
      </c>
      <c r="AJ191">
        <v>0</v>
      </c>
      <c r="AK191">
        <v>0</v>
      </c>
      <c r="AL191" t="s">
        <v>108</v>
      </c>
      <c r="AM191" t="s">
        <v>93</v>
      </c>
      <c r="AN191" t="s">
        <v>94</v>
      </c>
      <c r="AO191" t="s">
        <v>92</v>
      </c>
      <c r="AP191">
        <v>0</v>
      </c>
      <c r="AQ191">
        <v>0</v>
      </c>
      <c r="AR191">
        <v>0</v>
      </c>
      <c r="AS191">
        <v>0</v>
      </c>
      <c r="AT191">
        <v>0</v>
      </c>
      <c r="AU191">
        <v>0</v>
      </c>
      <c r="AV191">
        <v>0</v>
      </c>
      <c r="AW191">
        <v>0</v>
      </c>
      <c r="AX191">
        <v>0</v>
      </c>
      <c r="AY191">
        <v>0</v>
      </c>
    </row>
    <row r="192" spans="1:51" x14ac:dyDescent="0.25">
      <c r="A192">
        <v>8</v>
      </c>
      <c r="B192">
        <v>30150</v>
      </c>
      <c r="C192" t="s">
        <v>735</v>
      </c>
      <c r="D192" t="s">
        <v>96</v>
      </c>
      <c r="E192" t="s">
        <v>121</v>
      </c>
      <c r="F192" t="s">
        <v>107</v>
      </c>
      <c r="G192" t="s">
        <v>77</v>
      </c>
      <c r="H192" t="s">
        <v>78</v>
      </c>
      <c r="I192" t="s">
        <v>79</v>
      </c>
      <c r="J192" t="s">
        <v>70</v>
      </c>
      <c r="K192" t="s">
        <v>75</v>
      </c>
      <c r="L192" t="s">
        <v>76</v>
      </c>
      <c r="M192" t="s">
        <v>103</v>
      </c>
      <c r="N192" t="s">
        <v>161</v>
      </c>
      <c r="O192" t="s">
        <v>104</v>
      </c>
      <c r="P192" t="s">
        <v>71</v>
      </c>
      <c r="Q192" t="s">
        <v>71</v>
      </c>
      <c r="R192" t="s">
        <v>71</v>
      </c>
      <c r="S192">
        <v>0</v>
      </c>
      <c r="T192">
        <v>1</v>
      </c>
      <c r="U192" t="s">
        <v>72</v>
      </c>
      <c r="V192" t="s">
        <v>73</v>
      </c>
      <c r="W192">
        <v>0</v>
      </c>
      <c r="X192">
        <v>1</v>
      </c>
      <c r="Y192">
        <v>0</v>
      </c>
      <c r="Z192">
        <v>0</v>
      </c>
      <c r="AA192">
        <v>0</v>
      </c>
      <c r="AB192">
        <v>0</v>
      </c>
      <c r="AC192">
        <v>0</v>
      </c>
      <c r="AD192">
        <v>0</v>
      </c>
      <c r="AE192">
        <v>0</v>
      </c>
      <c r="AF192">
        <v>0</v>
      </c>
      <c r="AG192" t="s">
        <v>71</v>
      </c>
      <c r="AH192">
        <v>0</v>
      </c>
      <c r="AI192">
        <v>0</v>
      </c>
      <c r="AJ192">
        <v>0</v>
      </c>
      <c r="AK192">
        <v>0</v>
      </c>
      <c r="AL192" t="s">
        <v>108</v>
      </c>
      <c r="AM192" t="s">
        <v>93</v>
      </c>
      <c r="AN192" t="s">
        <v>94</v>
      </c>
      <c r="AO192" t="s">
        <v>92</v>
      </c>
      <c r="AP192">
        <v>0</v>
      </c>
      <c r="AQ192">
        <v>0</v>
      </c>
      <c r="AR192">
        <v>0</v>
      </c>
      <c r="AS192">
        <v>0</v>
      </c>
      <c r="AT192">
        <v>0</v>
      </c>
      <c r="AU192">
        <v>0</v>
      </c>
      <c r="AV192">
        <v>0</v>
      </c>
      <c r="AW192">
        <v>0</v>
      </c>
      <c r="AX192">
        <v>0</v>
      </c>
      <c r="AY192">
        <v>0</v>
      </c>
    </row>
    <row r="193" spans="1:51" x14ac:dyDescent="0.25">
      <c r="A193">
        <v>8</v>
      </c>
      <c r="B193">
        <v>30160</v>
      </c>
      <c r="C193" t="s">
        <v>735</v>
      </c>
      <c r="D193" t="s">
        <v>96</v>
      </c>
      <c r="E193" t="s">
        <v>121</v>
      </c>
      <c r="F193" t="s">
        <v>107</v>
      </c>
      <c r="G193" t="s">
        <v>77</v>
      </c>
      <c r="H193" t="s">
        <v>78</v>
      </c>
      <c r="I193" t="s">
        <v>79</v>
      </c>
      <c r="J193" t="s">
        <v>70</v>
      </c>
      <c r="K193" t="s">
        <v>75</v>
      </c>
      <c r="L193" t="s">
        <v>76</v>
      </c>
      <c r="M193" t="s">
        <v>103</v>
      </c>
      <c r="N193" t="s">
        <v>161</v>
      </c>
      <c r="O193" t="s">
        <v>104</v>
      </c>
      <c r="P193" t="s">
        <v>71</v>
      </c>
      <c r="Q193" t="s">
        <v>71</v>
      </c>
      <c r="R193" t="s">
        <v>71</v>
      </c>
      <c r="S193">
        <v>0</v>
      </c>
      <c r="T193">
        <v>1</v>
      </c>
      <c r="U193" t="s">
        <v>72</v>
      </c>
      <c r="V193" t="s">
        <v>73</v>
      </c>
      <c r="W193">
        <v>0</v>
      </c>
      <c r="X193">
        <v>1</v>
      </c>
      <c r="Y193">
        <v>0</v>
      </c>
      <c r="Z193">
        <v>0</v>
      </c>
      <c r="AA193">
        <v>0</v>
      </c>
      <c r="AB193">
        <v>0</v>
      </c>
      <c r="AC193">
        <v>0</v>
      </c>
      <c r="AD193">
        <v>0</v>
      </c>
      <c r="AE193">
        <v>0</v>
      </c>
      <c r="AF193">
        <v>0</v>
      </c>
      <c r="AG193" t="s">
        <v>71</v>
      </c>
      <c r="AH193">
        <v>0</v>
      </c>
      <c r="AI193">
        <v>0</v>
      </c>
      <c r="AJ193">
        <v>0</v>
      </c>
      <c r="AK193">
        <v>0</v>
      </c>
      <c r="AL193" t="s">
        <v>108</v>
      </c>
      <c r="AM193" t="s">
        <v>93</v>
      </c>
      <c r="AN193" t="s">
        <v>94</v>
      </c>
      <c r="AO193" t="s">
        <v>92</v>
      </c>
      <c r="AP193">
        <v>0</v>
      </c>
      <c r="AQ193">
        <v>0</v>
      </c>
      <c r="AR193">
        <v>0</v>
      </c>
      <c r="AS193">
        <v>0</v>
      </c>
      <c r="AT193">
        <v>0</v>
      </c>
      <c r="AU193">
        <v>0</v>
      </c>
      <c r="AV193">
        <v>0</v>
      </c>
      <c r="AW193">
        <v>0</v>
      </c>
      <c r="AX193">
        <v>0</v>
      </c>
      <c r="AY193">
        <v>0</v>
      </c>
    </row>
    <row r="194" spans="1:51" x14ac:dyDescent="0.25">
      <c r="A194">
        <v>8</v>
      </c>
      <c r="B194">
        <v>30170</v>
      </c>
      <c r="C194" t="s">
        <v>735</v>
      </c>
      <c r="D194" t="s">
        <v>96</v>
      </c>
      <c r="E194" t="s">
        <v>121</v>
      </c>
      <c r="F194" t="s">
        <v>107</v>
      </c>
      <c r="G194" t="s">
        <v>77</v>
      </c>
      <c r="H194" t="s">
        <v>78</v>
      </c>
      <c r="I194" t="s">
        <v>79</v>
      </c>
      <c r="J194" t="s">
        <v>70</v>
      </c>
      <c r="K194" t="s">
        <v>75</v>
      </c>
      <c r="L194" t="s">
        <v>76</v>
      </c>
      <c r="M194" t="s">
        <v>103</v>
      </c>
      <c r="N194" t="s">
        <v>161</v>
      </c>
      <c r="O194" t="s">
        <v>104</v>
      </c>
      <c r="P194" t="s">
        <v>71</v>
      </c>
      <c r="Q194" t="s">
        <v>71</v>
      </c>
      <c r="R194" t="s">
        <v>71</v>
      </c>
      <c r="S194">
        <v>0</v>
      </c>
      <c r="T194">
        <v>1</v>
      </c>
      <c r="U194" t="s">
        <v>72</v>
      </c>
      <c r="V194" t="s">
        <v>73</v>
      </c>
      <c r="W194">
        <v>0</v>
      </c>
      <c r="X194">
        <v>1</v>
      </c>
      <c r="Y194">
        <v>0</v>
      </c>
      <c r="Z194">
        <v>0</v>
      </c>
      <c r="AA194">
        <v>0</v>
      </c>
      <c r="AB194">
        <v>0</v>
      </c>
      <c r="AC194">
        <v>0</v>
      </c>
      <c r="AD194">
        <v>0</v>
      </c>
      <c r="AE194">
        <v>0</v>
      </c>
      <c r="AF194">
        <v>0</v>
      </c>
      <c r="AG194" t="s">
        <v>71</v>
      </c>
      <c r="AH194">
        <v>0</v>
      </c>
      <c r="AI194">
        <v>0</v>
      </c>
      <c r="AJ194">
        <v>0</v>
      </c>
      <c r="AK194">
        <v>0</v>
      </c>
      <c r="AL194" t="s">
        <v>108</v>
      </c>
      <c r="AM194" t="s">
        <v>93</v>
      </c>
      <c r="AN194" t="s">
        <v>94</v>
      </c>
      <c r="AO194" t="s">
        <v>92</v>
      </c>
      <c r="AP194">
        <v>0</v>
      </c>
      <c r="AQ194">
        <v>0</v>
      </c>
      <c r="AR194">
        <v>0</v>
      </c>
      <c r="AS194">
        <v>0</v>
      </c>
      <c r="AT194">
        <v>0</v>
      </c>
      <c r="AU194">
        <v>0</v>
      </c>
      <c r="AV194">
        <v>0</v>
      </c>
      <c r="AW194">
        <v>0</v>
      </c>
      <c r="AX194">
        <v>0</v>
      </c>
      <c r="AY194">
        <v>0</v>
      </c>
    </row>
    <row r="195" spans="1:51" x14ac:dyDescent="0.25">
      <c r="A195">
        <v>8</v>
      </c>
      <c r="B195">
        <v>30180</v>
      </c>
      <c r="C195" t="s">
        <v>735</v>
      </c>
      <c r="D195" t="s">
        <v>96</v>
      </c>
      <c r="E195" t="s">
        <v>121</v>
      </c>
      <c r="F195" t="s">
        <v>107</v>
      </c>
      <c r="G195" t="s">
        <v>77</v>
      </c>
      <c r="H195" t="s">
        <v>78</v>
      </c>
      <c r="I195" t="s">
        <v>79</v>
      </c>
      <c r="J195" t="s">
        <v>70</v>
      </c>
      <c r="K195" t="s">
        <v>75</v>
      </c>
      <c r="L195" t="s">
        <v>76</v>
      </c>
      <c r="M195" t="s">
        <v>103</v>
      </c>
      <c r="N195" t="s">
        <v>161</v>
      </c>
      <c r="O195" t="s">
        <v>104</v>
      </c>
      <c r="P195" t="s">
        <v>71</v>
      </c>
      <c r="Q195" t="s">
        <v>71</v>
      </c>
      <c r="R195" t="s">
        <v>71</v>
      </c>
      <c r="S195">
        <v>0</v>
      </c>
      <c r="T195">
        <v>1</v>
      </c>
      <c r="U195" t="s">
        <v>72</v>
      </c>
      <c r="V195" t="s">
        <v>73</v>
      </c>
      <c r="W195">
        <v>0</v>
      </c>
      <c r="X195">
        <v>1</v>
      </c>
      <c r="Y195">
        <v>0</v>
      </c>
      <c r="Z195">
        <v>0</v>
      </c>
      <c r="AA195">
        <v>0</v>
      </c>
      <c r="AB195">
        <v>0</v>
      </c>
      <c r="AC195">
        <v>0</v>
      </c>
      <c r="AD195">
        <v>0</v>
      </c>
      <c r="AE195">
        <v>0</v>
      </c>
      <c r="AF195">
        <v>0</v>
      </c>
      <c r="AG195" t="s">
        <v>71</v>
      </c>
      <c r="AH195">
        <v>0</v>
      </c>
      <c r="AI195">
        <v>0</v>
      </c>
      <c r="AJ195">
        <v>0</v>
      </c>
      <c r="AK195">
        <v>0</v>
      </c>
      <c r="AL195" t="s">
        <v>108</v>
      </c>
      <c r="AM195" t="s">
        <v>93</v>
      </c>
      <c r="AN195" t="s">
        <v>94</v>
      </c>
      <c r="AO195" t="s">
        <v>92</v>
      </c>
      <c r="AP195">
        <v>0</v>
      </c>
      <c r="AQ195">
        <v>0</v>
      </c>
      <c r="AR195">
        <v>0</v>
      </c>
      <c r="AS195">
        <v>0</v>
      </c>
      <c r="AT195">
        <v>0</v>
      </c>
      <c r="AU195">
        <v>0</v>
      </c>
      <c r="AV195">
        <v>0</v>
      </c>
      <c r="AW195">
        <v>0</v>
      </c>
      <c r="AX195">
        <v>0</v>
      </c>
      <c r="AY195">
        <v>0</v>
      </c>
    </row>
    <row r="196" spans="1:51" x14ac:dyDescent="0.25">
      <c r="A196">
        <v>8</v>
      </c>
      <c r="B196">
        <v>30190</v>
      </c>
      <c r="C196" t="s">
        <v>735</v>
      </c>
      <c r="D196" t="s">
        <v>96</v>
      </c>
      <c r="E196" t="s">
        <v>121</v>
      </c>
      <c r="F196" t="s">
        <v>107</v>
      </c>
      <c r="G196" t="s">
        <v>77</v>
      </c>
      <c r="H196" t="s">
        <v>78</v>
      </c>
      <c r="I196" t="s">
        <v>79</v>
      </c>
      <c r="J196" t="s">
        <v>70</v>
      </c>
      <c r="K196" t="s">
        <v>75</v>
      </c>
      <c r="L196" t="s">
        <v>76</v>
      </c>
      <c r="M196" t="s">
        <v>103</v>
      </c>
      <c r="N196" t="s">
        <v>74</v>
      </c>
      <c r="O196" t="s">
        <v>104</v>
      </c>
      <c r="P196" t="s">
        <v>71</v>
      </c>
      <c r="Q196" t="s">
        <v>71</v>
      </c>
      <c r="R196" t="s">
        <v>71</v>
      </c>
      <c r="S196">
        <v>0</v>
      </c>
      <c r="T196">
        <v>1</v>
      </c>
      <c r="U196" t="s">
        <v>72</v>
      </c>
      <c r="V196" t="s">
        <v>73</v>
      </c>
      <c r="W196">
        <v>0</v>
      </c>
      <c r="X196">
        <v>0</v>
      </c>
      <c r="Y196">
        <v>0</v>
      </c>
      <c r="Z196">
        <v>0</v>
      </c>
      <c r="AA196">
        <v>0</v>
      </c>
      <c r="AB196">
        <v>0</v>
      </c>
      <c r="AC196">
        <v>0</v>
      </c>
      <c r="AD196">
        <v>0</v>
      </c>
      <c r="AE196">
        <v>0</v>
      </c>
      <c r="AF196">
        <v>0</v>
      </c>
      <c r="AG196" t="s">
        <v>71</v>
      </c>
      <c r="AH196">
        <v>0</v>
      </c>
      <c r="AI196">
        <v>0</v>
      </c>
      <c r="AJ196">
        <v>0</v>
      </c>
      <c r="AK196">
        <v>0</v>
      </c>
      <c r="AL196" t="s">
        <v>146</v>
      </c>
      <c r="AM196" t="s">
        <v>93</v>
      </c>
      <c r="AN196" t="s">
        <v>148</v>
      </c>
      <c r="AO196" t="s">
        <v>147</v>
      </c>
      <c r="AP196">
        <v>0</v>
      </c>
      <c r="AQ196">
        <v>0</v>
      </c>
      <c r="AR196">
        <v>128</v>
      </c>
      <c r="AS196">
        <v>0</v>
      </c>
      <c r="AT196">
        <v>0</v>
      </c>
      <c r="AU196">
        <v>0</v>
      </c>
      <c r="AV196">
        <v>0</v>
      </c>
      <c r="AW196">
        <v>0</v>
      </c>
      <c r="AX196">
        <v>0</v>
      </c>
      <c r="AY196">
        <v>0</v>
      </c>
    </row>
    <row r="197" spans="1:51" x14ac:dyDescent="0.25">
      <c r="A197">
        <v>8</v>
      </c>
      <c r="B197">
        <v>30200</v>
      </c>
      <c r="C197" t="s">
        <v>735</v>
      </c>
      <c r="D197" t="s">
        <v>96</v>
      </c>
      <c r="E197" t="s">
        <v>121</v>
      </c>
      <c r="F197" t="s">
        <v>107</v>
      </c>
      <c r="G197" t="s">
        <v>77</v>
      </c>
      <c r="H197" t="s">
        <v>78</v>
      </c>
      <c r="I197" t="s">
        <v>79</v>
      </c>
      <c r="J197" t="s">
        <v>119</v>
      </c>
      <c r="K197" t="s">
        <v>75</v>
      </c>
      <c r="L197" t="s">
        <v>76</v>
      </c>
      <c r="M197" t="s">
        <v>149</v>
      </c>
      <c r="N197" t="s">
        <v>74</v>
      </c>
      <c r="O197" t="s">
        <v>104</v>
      </c>
      <c r="P197" t="s">
        <v>71</v>
      </c>
      <c r="Q197" t="s">
        <v>71</v>
      </c>
      <c r="R197" t="s">
        <v>71</v>
      </c>
      <c r="S197">
        <v>0</v>
      </c>
      <c r="T197">
        <v>1</v>
      </c>
      <c r="U197" t="s">
        <v>72</v>
      </c>
      <c r="V197" t="s">
        <v>73</v>
      </c>
      <c r="W197">
        <v>0</v>
      </c>
      <c r="X197">
        <v>1</v>
      </c>
      <c r="Y197">
        <v>1</v>
      </c>
      <c r="Z197">
        <v>0</v>
      </c>
      <c r="AA197">
        <v>1</v>
      </c>
      <c r="AB197">
        <v>0.1</v>
      </c>
      <c r="AC197">
        <v>1</v>
      </c>
      <c r="AD197">
        <v>0</v>
      </c>
      <c r="AE197">
        <v>1</v>
      </c>
      <c r="AF197">
        <v>0.2</v>
      </c>
      <c r="AG197" t="s">
        <v>71</v>
      </c>
      <c r="AH197">
        <v>0</v>
      </c>
      <c r="AI197">
        <v>0</v>
      </c>
      <c r="AJ197">
        <v>0</v>
      </c>
      <c r="AK197">
        <v>0</v>
      </c>
      <c r="AL197" t="s">
        <v>108</v>
      </c>
      <c r="AM197" t="s">
        <v>93</v>
      </c>
      <c r="AN197" t="s">
        <v>94</v>
      </c>
      <c r="AO197" t="s">
        <v>92</v>
      </c>
      <c r="AP197">
        <v>0</v>
      </c>
      <c r="AQ197">
        <v>0</v>
      </c>
      <c r="AR197">
        <v>0</v>
      </c>
      <c r="AS197">
        <v>0</v>
      </c>
      <c r="AT197">
        <v>0</v>
      </c>
      <c r="AU197">
        <v>0</v>
      </c>
      <c r="AV197">
        <v>0</v>
      </c>
      <c r="AW197">
        <v>0</v>
      </c>
      <c r="AX197">
        <v>0</v>
      </c>
      <c r="AY197">
        <v>0</v>
      </c>
    </row>
    <row r="198" spans="1:51" x14ac:dyDescent="0.25">
      <c r="A198">
        <v>8</v>
      </c>
      <c r="B198">
        <v>30210</v>
      </c>
      <c r="C198" t="s">
        <v>735</v>
      </c>
      <c r="D198" t="s">
        <v>96</v>
      </c>
      <c r="E198" t="s">
        <v>121</v>
      </c>
      <c r="F198" t="s">
        <v>107</v>
      </c>
      <c r="G198" t="s">
        <v>77</v>
      </c>
      <c r="H198" t="s">
        <v>78</v>
      </c>
      <c r="I198" t="s">
        <v>79</v>
      </c>
      <c r="J198" t="s">
        <v>70</v>
      </c>
      <c r="K198" t="s">
        <v>75</v>
      </c>
      <c r="L198" t="s">
        <v>76</v>
      </c>
      <c r="M198" t="s">
        <v>103</v>
      </c>
      <c r="N198" t="s">
        <v>163</v>
      </c>
      <c r="O198" t="s">
        <v>104</v>
      </c>
      <c r="P198" t="s">
        <v>71</v>
      </c>
      <c r="Q198" t="s">
        <v>71</v>
      </c>
      <c r="R198" t="s">
        <v>71</v>
      </c>
      <c r="S198">
        <v>0</v>
      </c>
      <c r="T198">
        <v>1</v>
      </c>
      <c r="U198" t="s">
        <v>72</v>
      </c>
      <c r="V198" t="s">
        <v>73</v>
      </c>
      <c r="W198">
        <v>0</v>
      </c>
      <c r="X198">
        <v>1</v>
      </c>
      <c r="Y198">
        <v>0</v>
      </c>
      <c r="Z198">
        <v>0</v>
      </c>
      <c r="AA198">
        <v>0</v>
      </c>
      <c r="AB198">
        <v>0</v>
      </c>
      <c r="AC198">
        <v>0</v>
      </c>
      <c r="AD198">
        <v>0</v>
      </c>
      <c r="AE198">
        <v>0</v>
      </c>
      <c r="AF198">
        <v>0</v>
      </c>
      <c r="AG198" t="s">
        <v>71</v>
      </c>
      <c r="AH198">
        <v>0</v>
      </c>
      <c r="AI198">
        <v>0</v>
      </c>
      <c r="AJ198">
        <v>0</v>
      </c>
      <c r="AK198">
        <v>0</v>
      </c>
      <c r="AL198" t="s">
        <v>108</v>
      </c>
      <c r="AM198" t="s">
        <v>93</v>
      </c>
      <c r="AN198" t="s">
        <v>94</v>
      </c>
      <c r="AO198" t="s">
        <v>92</v>
      </c>
      <c r="AP198">
        <v>0</v>
      </c>
      <c r="AQ198">
        <v>0</v>
      </c>
      <c r="AR198">
        <v>0</v>
      </c>
      <c r="AS198">
        <v>0</v>
      </c>
      <c r="AT198">
        <v>0</v>
      </c>
      <c r="AU198">
        <v>0</v>
      </c>
      <c r="AV198">
        <v>0</v>
      </c>
      <c r="AW198">
        <v>0</v>
      </c>
      <c r="AX198">
        <v>0</v>
      </c>
      <c r="AY198">
        <v>0</v>
      </c>
    </row>
    <row r="199" spans="1:51" x14ac:dyDescent="0.25">
      <c r="A199">
        <v>8</v>
      </c>
      <c r="B199">
        <v>35190</v>
      </c>
      <c r="C199" t="s">
        <v>735</v>
      </c>
      <c r="D199" t="s">
        <v>96</v>
      </c>
      <c r="E199" t="s">
        <v>121</v>
      </c>
      <c r="F199" t="s">
        <v>107</v>
      </c>
      <c r="G199" t="s">
        <v>77</v>
      </c>
      <c r="H199" t="s">
        <v>78</v>
      </c>
      <c r="I199" t="s">
        <v>79</v>
      </c>
      <c r="J199" t="s">
        <v>70</v>
      </c>
      <c r="K199" t="s">
        <v>75</v>
      </c>
      <c r="L199" t="s">
        <v>76</v>
      </c>
      <c r="M199" t="s">
        <v>103</v>
      </c>
      <c r="N199" t="s">
        <v>163</v>
      </c>
      <c r="O199" t="s">
        <v>104</v>
      </c>
      <c r="P199" t="s">
        <v>71</v>
      </c>
      <c r="Q199" t="s">
        <v>71</v>
      </c>
      <c r="R199" t="s">
        <v>71</v>
      </c>
      <c r="S199">
        <v>0</v>
      </c>
      <c r="T199">
        <v>1</v>
      </c>
      <c r="U199" t="s">
        <v>72</v>
      </c>
      <c r="V199" t="s">
        <v>73</v>
      </c>
      <c r="W199">
        <v>0</v>
      </c>
      <c r="X199">
        <v>1</v>
      </c>
      <c r="Y199">
        <v>0</v>
      </c>
      <c r="Z199">
        <v>0</v>
      </c>
      <c r="AA199">
        <v>0</v>
      </c>
      <c r="AB199">
        <v>0</v>
      </c>
      <c r="AC199">
        <v>0</v>
      </c>
      <c r="AD199">
        <v>0</v>
      </c>
      <c r="AE199">
        <v>0</v>
      </c>
      <c r="AF199">
        <v>0</v>
      </c>
      <c r="AG199" t="s">
        <v>71</v>
      </c>
      <c r="AH199">
        <v>0</v>
      </c>
      <c r="AI199">
        <v>0</v>
      </c>
      <c r="AJ199">
        <v>0</v>
      </c>
      <c r="AK199">
        <v>0</v>
      </c>
      <c r="AL199" t="s">
        <v>108</v>
      </c>
      <c r="AM199" t="s">
        <v>93</v>
      </c>
      <c r="AN199" t="s">
        <v>94</v>
      </c>
      <c r="AO199" t="s">
        <v>92</v>
      </c>
      <c r="AP199">
        <v>0</v>
      </c>
      <c r="AQ199">
        <v>0</v>
      </c>
      <c r="AR199">
        <v>0</v>
      </c>
      <c r="AS199">
        <v>0</v>
      </c>
      <c r="AT199">
        <v>0</v>
      </c>
      <c r="AU199">
        <v>0</v>
      </c>
      <c r="AV199">
        <v>0</v>
      </c>
      <c r="AW199">
        <v>0</v>
      </c>
      <c r="AX199">
        <v>0</v>
      </c>
      <c r="AY199">
        <v>0</v>
      </c>
    </row>
    <row r="200" spans="1:51" x14ac:dyDescent="0.25">
      <c r="A200">
        <v>8</v>
      </c>
      <c r="B200">
        <v>35200</v>
      </c>
      <c r="C200" t="s">
        <v>735</v>
      </c>
      <c r="D200" t="s">
        <v>96</v>
      </c>
      <c r="E200" t="s">
        <v>121</v>
      </c>
      <c r="F200" t="s">
        <v>107</v>
      </c>
      <c r="G200" t="s">
        <v>77</v>
      </c>
      <c r="H200" t="s">
        <v>78</v>
      </c>
      <c r="I200" t="s">
        <v>79</v>
      </c>
      <c r="J200" t="s">
        <v>70</v>
      </c>
      <c r="K200" t="s">
        <v>75</v>
      </c>
      <c r="L200" t="s">
        <v>76</v>
      </c>
      <c r="M200" t="s">
        <v>103</v>
      </c>
      <c r="N200" t="s">
        <v>163</v>
      </c>
      <c r="O200" t="s">
        <v>104</v>
      </c>
      <c r="P200" t="s">
        <v>71</v>
      </c>
      <c r="Q200" t="s">
        <v>71</v>
      </c>
      <c r="R200" t="s">
        <v>71</v>
      </c>
      <c r="S200">
        <v>0</v>
      </c>
      <c r="T200">
        <v>1</v>
      </c>
      <c r="U200" t="s">
        <v>72</v>
      </c>
      <c r="V200" t="s">
        <v>73</v>
      </c>
      <c r="W200">
        <v>0</v>
      </c>
      <c r="X200">
        <v>1</v>
      </c>
      <c r="Y200">
        <v>0</v>
      </c>
      <c r="Z200">
        <v>0</v>
      </c>
      <c r="AA200">
        <v>0</v>
      </c>
      <c r="AB200">
        <v>0</v>
      </c>
      <c r="AC200">
        <v>0</v>
      </c>
      <c r="AD200">
        <v>0</v>
      </c>
      <c r="AE200">
        <v>0</v>
      </c>
      <c r="AF200">
        <v>0</v>
      </c>
      <c r="AG200" t="s">
        <v>71</v>
      </c>
      <c r="AH200">
        <v>0</v>
      </c>
      <c r="AI200">
        <v>0</v>
      </c>
      <c r="AJ200">
        <v>0</v>
      </c>
      <c r="AK200">
        <v>0</v>
      </c>
      <c r="AL200" t="s">
        <v>108</v>
      </c>
      <c r="AM200" t="s">
        <v>93</v>
      </c>
      <c r="AN200" t="s">
        <v>94</v>
      </c>
      <c r="AO200" t="s">
        <v>92</v>
      </c>
      <c r="AP200">
        <v>0</v>
      </c>
      <c r="AQ200">
        <v>0</v>
      </c>
      <c r="AR200">
        <v>0</v>
      </c>
      <c r="AS200">
        <v>0</v>
      </c>
      <c r="AT200">
        <v>0</v>
      </c>
      <c r="AU200">
        <v>0</v>
      </c>
      <c r="AV200">
        <v>0</v>
      </c>
      <c r="AW200">
        <v>0</v>
      </c>
      <c r="AX200">
        <v>0</v>
      </c>
      <c r="AY200">
        <v>0</v>
      </c>
    </row>
    <row r="201" spans="1:51" x14ac:dyDescent="0.25">
      <c r="A201">
        <v>8</v>
      </c>
      <c r="B201">
        <v>35210</v>
      </c>
      <c r="C201" t="s">
        <v>735</v>
      </c>
      <c r="D201" t="s">
        <v>96</v>
      </c>
      <c r="E201" t="s">
        <v>121</v>
      </c>
      <c r="F201" t="s">
        <v>107</v>
      </c>
      <c r="G201" t="s">
        <v>77</v>
      </c>
      <c r="H201" t="s">
        <v>78</v>
      </c>
      <c r="I201" t="s">
        <v>79</v>
      </c>
      <c r="J201" t="s">
        <v>70</v>
      </c>
      <c r="K201" t="s">
        <v>75</v>
      </c>
      <c r="L201" t="s">
        <v>76</v>
      </c>
      <c r="M201" t="s">
        <v>103</v>
      </c>
      <c r="N201" t="s">
        <v>163</v>
      </c>
      <c r="O201" t="s">
        <v>104</v>
      </c>
      <c r="P201" t="s">
        <v>71</v>
      </c>
      <c r="Q201" t="s">
        <v>71</v>
      </c>
      <c r="R201" t="s">
        <v>71</v>
      </c>
      <c r="S201">
        <v>0</v>
      </c>
      <c r="T201">
        <v>1</v>
      </c>
      <c r="U201" t="s">
        <v>72</v>
      </c>
      <c r="V201" t="s">
        <v>73</v>
      </c>
      <c r="W201">
        <v>0</v>
      </c>
      <c r="X201">
        <v>1</v>
      </c>
      <c r="Y201">
        <v>0</v>
      </c>
      <c r="Z201">
        <v>0</v>
      </c>
      <c r="AA201">
        <v>0</v>
      </c>
      <c r="AB201">
        <v>0</v>
      </c>
      <c r="AC201">
        <v>0</v>
      </c>
      <c r="AD201">
        <v>0</v>
      </c>
      <c r="AE201">
        <v>0</v>
      </c>
      <c r="AF201">
        <v>0</v>
      </c>
      <c r="AG201" t="s">
        <v>71</v>
      </c>
      <c r="AH201">
        <v>0</v>
      </c>
      <c r="AI201">
        <v>0</v>
      </c>
      <c r="AJ201">
        <v>0</v>
      </c>
      <c r="AK201">
        <v>0</v>
      </c>
      <c r="AL201" t="s">
        <v>108</v>
      </c>
      <c r="AM201" t="s">
        <v>93</v>
      </c>
      <c r="AN201" t="s">
        <v>94</v>
      </c>
      <c r="AO201" t="s">
        <v>92</v>
      </c>
      <c r="AP201">
        <v>0</v>
      </c>
      <c r="AQ201">
        <v>0</v>
      </c>
      <c r="AR201">
        <v>0</v>
      </c>
      <c r="AS201">
        <v>0</v>
      </c>
      <c r="AT201">
        <v>0</v>
      </c>
      <c r="AU201">
        <v>0</v>
      </c>
      <c r="AV201">
        <v>0</v>
      </c>
      <c r="AW201">
        <v>0</v>
      </c>
      <c r="AX201">
        <v>0</v>
      </c>
      <c r="AY201">
        <v>0</v>
      </c>
    </row>
    <row r="202" spans="1:51" x14ac:dyDescent="0.25">
      <c r="A202">
        <v>8</v>
      </c>
      <c r="B202">
        <v>35220</v>
      </c>
      <c r="C202" t="s">
        <v>735</v>
      </c>
      <c r="D202" t="s">
        <v>96</v>
      </c>
      <c r="E202" t="s">
        <v>121</v>
      </c>
      <c r="F202" t="s">
        <v>107</v>
      </c>
      <c r="G202" t="s">
        <v>77</v>
      </c>
      <c r="H202" t="s">
        <v>78</v>
      </c>
      <c r="I202" t="s">
        <v>79</v>
      </c>
      <c r="J202" t="s">
        <v>70</v>
      </c>
      <c r="K202" t="s">
        <v>75</v>
      </c>
      <c r="L202" t="s">
        <v>76</v>
      </c>
      <c r="M202" t="s">
        <v>103</v>
      </c>
      <c r="N202" t="s">
        <v>163</v>
      </c>
      <c r="O202" t="s">
        <v>104</v>
      </c>
      <c r="P202" t="s">
        <v>71</v>
      </c>
      <c r="Q202" t="s">
        <v>71</v>
      </c>
      <c r="R202" t="s">
        <v>71</v>
      </c>
      <c r="S202">
        <v>0</v>
      </c>
      <c r="T202">
        <v>1</v>
      </c>
      <c r="U202" t="s">
        <v>72</v>
      </c>
      <c r="V202" t="s">
        <v>73</v>
      </c>
      <c r="W202">
        <v>0</v>
      </c>
      <c r="X202">
        <v>1</v>
      </c>
      <c r="Y202">
        <v>0</v>
      </c>
      <c r="Z202">
        <v>0</v>
      </c>
      <c r="AA202">
        <v>0</v>
      </c>
      <c r="AB202">
        <v>0</v>
      </c>
      <c r="AC202">
        <v>0</v>
      </c>
      <c r="AD202">
        <v>0</v>
      </c>
      <c r="AE202">
        <v>0</v>
      </c>
      <c r="AF202">
        <v>0</v>
      </c>
      <c r="AG202" t="s">
        <v>71</v>
      </c>
      <c r="AH202">
        <v>0</v>
      </c>
      <c r="AI202">
        <v>0</v>
      </c>
      <c r="AJ202">
        <v>0</v>
      </c>
      <c r="AK202">
        <v>0</v>
      </c>
      <c r="AL202" t="s">
        <v>108</v>
      </c>
      <c r="AM202" t="s">
        <v>93</v>
      </c>
      <c r="AN202" t="s">
        <v>94</v>
      </c>
      <c r="AO202" t="s">
        <v>92</v>
      </c>
      <c r="AP202">
        <v>0</v>
      </c>
      <c r="AQ202">
        <v>0</v>
      </c>
      <c r="AR202">
        <v>0</v>
      </c>
      <c r="AS202">
        <v>0</v>
      </c>
      <c r="AT202">
        <v>0</v>
      </c>
      <c r="AU202">
        <v>0</v>
      </c>
      <c r="AV202">
        <v>0</v>
      </c>
      <c r="AW202">
        <v>0</v>
      </c>
      <c r="AX202">
        <v>0</v>
      </c>
      <c r="AY202">
        <v>0</v>
      </c>
    </row>
    <row r="203" spans="1:51" x14ac:dyDescent="0.25">
      <c r="A203">
        <v>8</v>
      </c>
      <c r="B203">
        <v>35230</v>
      </c>
      <c r="C203" t="s">
        <v>735</v>
      </c>
      <c r="D203" t="s">
        <v>96</v>
      </c>
      <c r="E203" t="s">
        <v>121</v>
      </c>
      <c r="F203" t="s">
        <v>107</v>
      </c>
      <c r="G203" t="s">
        <v>77</v>
      </c>
      <c r="H203" t="s">
        <v>78</v>
      </c>
      <c r="I203" t="s">
        <v>79</v>
      </c>
      <c r="J203" t="s">
        <v>70</v>
      </c>
      <c r="K203" t="s">
        <v>75</v>
      </c>
      <c r="L203" t="s">
        <v>76</v>
      </c>
      <c r="M203" t="s">
        <v>103</v>
      </c>
      <c r="N203" t="s">
        <v>74</v>
      </c>
      <c r="O203" t="s">
        <v>104</v>
      </c>
      <c r="P203" t="s">
        <v>71</v>
      </c>
      <c r="Q203" t="s">
        <v>71</v>
      </c>
      <c r="R203" t="s">
        <v>71</v>
      </c>
      <c r="S203">
        <v>0</v>
      </c>
      <c r="T203">
        <v>1</v>
      </c>
      <c r="U203" t="s">
        <v>72</v>
      </c>
      <c r="V203" t="s">
        <v>73</v>
      </c>
      <c r="W203">
        <v>0</v>
      </c>
      <c r="X203">
        <v>0</v>
      </c>
      <c r="Y203">
        <v>0</v>
      </c>
      <c r="Z203">
        <v>0</v>
      </c>
      <c r="AA203">
        <v>0</v>
      </c>
      <c r="AB203">
        <v>0</v>
      </c>
      <c r="AC203">
        <v>0</v>
      </c>
      <c r="AD203">
        <v>0</v>
      </c>
      <c r="AE203">
        <v>0</v>
      </c>
      <c r="AF203">
        <v>0</v>
      </c>
      <c r="AG203" t="s">
        <v>71</v>
      </c>
      <c r="AH203">
        <v>0</v>
      </c>
      <c r="AI203">
        <v>0</v>
      </c>
      <c r="AJ203">
        <v>0</v>
      </c>
      <c r="AK203">
        <v>0</v>
      </c>
      <c r="AL203" t="s">
        <v>146</v>
      </c>
      <c r="AM203" t="s">
        <v>93</v>
      </c>
      <c r="AN203" t="s">
        <v>148</v>
      </c>
      <c r="AO203" t="s">
        <v>147</v>
      </c>
      <c r="AP203">
        <v>0</v>
      </c>
      <c r="AQ203">
        <v>0</v>
      </c>
      <c r="AR203">
        <v>128</v>
      </c>
      <c r="AS203">
        <v>0</v>
      </c>
      <c r="AT203">
        <v>0</v>
      </c>
      <c r="AU203">
        <v>0</v>
      </c>
      <c r="AV203">
        <v>0</v>
      </c>
      <c r="AW203">
        <v>0</v>
      </c>
      <c r="AX203">
        <v>0</v>
      </c>
      <c r="AY203">
        <v>0</v>
      </c>
    </row>
    <row r="204" spans="1:51" x14ac:dyDescent="0.25">
      <c r="A204">
        <v>8</v>
      </c>
      <c r="B204">
        <v>35240</v>
      </c>
      <c r="C204" t="s">
        <v>735</v>
      </c>
      <c r="D204" t="s">
        <v>96</v>
      </c>
      <c r="E204" t="s">
        <v>121</v>
      </c>
      <c r="F204" t="s">
        <v>107</v>
      </c>
      <c r="G204" t="s">
        <v>77</v>
      </c>
      <c r="H204" t="s">
        <v>78</v>
      </c>
      <c r="I204" t="s">
        <v>79</v>
      </c>
      <c r="J204" t="s">
        <v>119</v>
      </c>
      <c r="K204" t="s">
        <v>102</v>
      </c>
      <c r="L204" t="s">
        <v>76</v>
      </c>
      <c r="M204" t="s">
        <v>149</v>
      </c>
      <c r="N204" t="s">
        <v>74</v>
      </c>
      <c r="O204" t="s">
        <v>104</v>
      </c>
      <c r="P204" t="s">
        <v>71</v>
      </c>
      <c r="Q204" t="s">
        <v>71</v>
      </c>
      <c r="R204" t="s">
        <v>71</v>
      </c>
      <c r="S204">
        <v>0</v>
      </c>
      <c r="T204">
        <v>1</v>
      </c>
      <c r="U204" t="s">
        <v>72</v>
      </c>
      <c r="V204" t="s">
        <v>73</v>
      </c>
      <c r="W204">
        <v>0</v>
      </c>
      <c r="X204">
        <v>1</v>
      </c>
      <c r="Y204">
        <v>1</v>
      </c>
      <c r="Z204">
        <v>0</v>
      </c>
      <c r="AA204">
        <v>1</v>
      </c>
      <c r="AB204">
        <v>0.1</v>
      </c>
      <c r="AC204">
        <v>1</v>
      </c>
      <c r="AD204">
        <v>0</v>
      </c>
      <c r="AE204">
        <v>1</v>
      </c>
      <c r="AF204">
        <v>0.2</v>
      </c>
      <c r="AG204" t="s">
        <v>71</v>
      </c>
      <c r="AH204">
        <v>0</v>
      </c>
      <c r="AI204">
        <v>0</v>
      </c>
      <c r="AJ204">
        <v>0</v>
      </c>
      <c r="AK204">
        <v>0</v>
      </c>
      <c r="AL204" t="s">
        <v>108</v>
      </c>
      <c r="AM204" t="s">
        <v>93</v>
      </c>
      <c r="AN204" t="s">
        <v>94</v>
      </c>
      <c r="AO204" t="s">
        <v>92</v>
      </c>
      <c r="AP204">
        <v>0</v>
      </c>
      <c r="AQ204">
        <v>0</v>
      </c>
      <c r="AR204">
        <v>0</v>
      </c>
      <c r="AS204">
        <v>0</v>
      </c>
      <c r="AT204">
        <v>0</v>
      </c>
      <c r="AU204">
        <v>0</v>
      </c>
      <c r="AV204">
        <v>0</v>
      </c>
      <c r="AW204">
        <v>0</v>
      </c>
      <c r="AX204">
        <v>0</v>
      </c>
      <c r="AY204">
        <v>0</v>
      </c>
    </row>
    <row r="205" spans="1:51" x14ac:dyDescent="0.25">
      <c r="A205">
        <v>8</v>
      </c>
      <c r="B205">
        <v>35250</v>
      </c>
      <c r="C205" t="s">
        <v>735</v>
      </c>
      <c r="D205" t="s">
        <v>96</v>
      </c>
      <c r="E205" t="s">
        <v>121</v>
      </c>
      <c r="F205" t="s">
        <v>107</v>
      </c>
      <c r="G205" t="s">
        <v>77</v>
      </c>
      <c r="H205" t="s">
        <v>78</v>
      </c>
      <c r="I205" t="s">
        <v>79</v>
      </c>
      <c r="J205" t="s">
        <v>70</v>
      </c>
      <c r="K205" t="s">
        <v>102</v>
      </c>
      <c r="L205" t="s">
        <v>76</v>
      </c>
      <c r="M205" t="s">
        <v>103</v>
      </c>
      <c r="N205" t="s">
        <v>74</v>
      </c>
      <c r="O205" t="s">
        <v>104</v>
      </c>
      <c r="P205" t="s">
        <v>71</v>
      </c>
      <c r="Q205" t="s">
        <v>71</v>
      </c>
      <c r="R205" t="s">
        <v>71</v>
      </c>
      <c r="S205">
        <v>0</v>
      </c>
      <c r="T205">
        <v>1</v>
      </c>
      <c r="U205" t="s">
        <v>72</v>
      </c>
      <c r="V205" t="s">
        <v>73</v>
      </c>
      <c r="W205">
        <v>0</v>
      </c>
      <c r="X205">
        <v>1</v>
      </c>
      <c r="Y205">
        <v>0</v>
      </c>
      <c r="Z205">
        <v>0</v>
      </c>
      <c r="AA205">
        <v>0</v>
      </c>
      <c r="AB205">
        <v>0</v>
      </c>
      <c r="AC205">
        <v>0</v>
      </c>
      <c r="AD205">
        <v>0</v>
      </c>
      <c r="AE205">
        <v>0</v>
      </c>
      <c r="AF205">
        <v>0</v>
      </c>
      <c r="AG205" t="s">
        <v>71</v>
      </c>
      <c r="AH205">
        <v>0</v>
      </c>
      <c r="AI205">
        <v>0</v>
      </c>
      <c r="AJ205">
        <v>0</v>
      </c>
      <c r="AK205">
        <v>0</v>
      </c>
      <c r="AL205" t="s">
        <v>108</v>
      </c>
      <c r="AM205" t="s">
        <v>93</v>
      </c>
      <c r="AN205" t="s">
        <v>94</v>
      </c>
      <c r="AO205" t="s">
        <v>92</v>
      </c>
      <c r="AP205">
        <v>0</v>
      </c>
      <c r="AQ205">
        <v>0</v>
      </c>
      <c r="AR205">
        <v>0</v>
      </c>
      <c r="AS205">
        <v>0</v>
      </c>
      <c r="AT205">
        <v>0</v>
      </c>
      <c r="AU205">
        <v>0</v>
      </c>
      <c r="AV205">
        <v>0</v>
      </c>
      <c r="AW205">
        <v>0</v>
      </c>
      <c r="AX205">
        <v>0</v>
      </c>
      <c r="AY205">
        <v>0</v>
      </c>
    </row>
    <row r="206" spans="1:51" x14ac:dyDescent="0.25">
      <c r="A206">
        <v>8</v>
      </c>
      <c r="B206">
        <v>40230</v>
      </c>
      <c r="C206" t="s">
        <v>735</v>
      </c>
      <c r="D206" t="s">
        <v>96</v>
      </c>
      <c r="E206" t="s">
        <v>121</v>
      </c>
      <c r="F206" t="s">
        <v>107</v>
      </c>
      <c r="G206" t="s">
        <v>77</v>
      </c>
      <c r="H206" t="s">
        <v>78</v>
      </c>
      <c r="I206" t="s">
        <v>79</v>
      </c>
      <c r="J206" t="s">
        <v>70</v>
      </c>
      <c r="K206" t="s">
        <v>102</v>
      </c>
      <c r="L206" t="s">
        <v>76</v>
      </c>
      <c r="M206" t="s">
        <v>103</v>
      </c>
      <c r="N206" t="s">
        <v>74</v>
      </c>
      <c r="O206" t="s">
        <v>104</v>
      </c>
      <c r="P206" t="s">
        <v>71</v>
      </c>
      <c r="Q206" t="s">
        <v>71</v>
      </c>
      <c r="R206" t="s">
        <v>71</v>
      </c>
      <c r="S206">
        <v>0</v>
      </c>
      <c r="T206">
        <v>1</v>
      </c>
      <c r="U206" t="s">
        <v>72</v>
      </c>
      <c r="V206" t="s">
        <v>73</v>
      </c>
      <c r="W206">
        <v>0</v>
      </c>
      <c r="X206">
        <v>1</v>
      </c>
      <c r="Y206">
        <v>0</v>
      </c>
      <c r="Z206">
        <v>0</v>
      </c>
      <c r="AA206">
        <v>0</v>
      </c>
      <c r="AB206">
        <v>0</v>
      </c>
      <c r="AC206">
        <v>0</v>
      </c>
      <c r="AD206">
        <v>0</v>
      </c>
      <c r="AE206">
        <v>0</v>
      </c>
      <c r="AF206">
        <v>0</v>
      </c>
      <c r="AG206" t="s">
        <v>71</v>
      </c>
      <c r="AH206">
        <v>0</v>
      </c>
      <c r="AI206">
        <v>0</v>
      </c>
      <c r="AJ206">
        <v>0</v>
      </c>
      <c r="AK206">
        <v>0</v>
      </c>
      <c r="AL206" t="s">
        <v>108</v>
      </c>
      <c r="AM206" t="s">
        <v>93</v>
      </c>
      <c r="AN206" t="s">
        <v>94</v>
      </c>
      <c r="AO206" t="s">
        <v>92</v>
      </c>
      <c r="AP206">
        <v>0</v>
      </c>
      <c r="AQ206">
        <v>0</v>
      </c>
      <c r="AR206">
        <v>0</v>
      </c>
      <c r="AS206">
        <v>0</v>
      </c>
      <c r="AT206">
        <v>0</v>
      </c>
      <c r="AU206">
        <v>0</v>
      </c>
      <c r="AV206">
        <v>0</v>
      </c>
      <c r="AW206">
        <v>0</v>
      </c>
      <c r="AX206">
        <v>0</v>
      </c>
      <c r="AY206">
        <v>0</v>
      </c>
    </row>
    <row r="207" spans="1:51" x14ac:dyDescent="0.25">
      <c r="A207">
        <v>8</v>
      </c>
      <c r="B207">
        <v>40240</v>
      </c>
      <c r="C207" t="s">
        <v>735</v>
      </c>
      <c r="D207" t="s">
        <v>96</v>
      </c>
      <c r="E207" t="s">
        <v>121</v>
      </c>
      <c r="F207" t="s">
        <v>107</v>
      </c>
      <c r="G207" t="s">
        <v>77</v>
      </c>
      <c r="H207" t="s">
        <v>78</v>
      </c>
      <c r="I207" t="s">
        <v>79</v>
      </c>
      <c r="J207" t="s">
        <v>70</v>
      </c>
      <c r="K207" t="s">
        <v>102</v>
      </c>
      <c r="L207" t="s">
        <v>76</v>
      </c>
      <c r="M207" t="s">
        <v>103</v>
      </c>
      <c r="N207" t="s">
        <v>74</v>
      </c>
      <c r="O207" t="s">
        <v>104</v>
      </c>
      <c r="P207" t="s">
        <v>71</v>
      </c>
      <c r="Q207" t="s">
        <v>71</v>
      </c>
      <c r="R207" t="s">
        <v>71</v>
      </c>
      <c r="S207">
        <v>0</v>
      </c>
      <c r="T207">
        <v>1</v>
      </c>
      <c r="U207" t="s">
        <v>72</v>
      </c>
      <c r="V207" t="s">
        <v>73</v>
      </c>
      <c r="W207">
        <v>0</v>
      </c>
      <c r="X207">
        <v>1</v>
      </c>
      <c r="Y207">
        <v>0</v>
      </c>
      <c r="Z207">
        <v>0</v>
      </c>
      <c r="AA207">
        <v>0</v>
      </c>
      <c r="AB207">
        <v>0</v>
      </c>
      <c r="AC207">
        <v>0</v>
      </c>
      <c r="AD207">
        <v>0</v>
      </c>
      <c r="AE207">
        <v>0</v>
      </c>
      <c r="AF207">
        <v>0</v>
      </c>
      <c r="AG207" t="s">
        <v>71</v>
      </c>
      <c r="AH207">
        <v>0</v>
      </c>
      <c r="AI207">
        <v>0</v>
      </c>
      <c r="AJ207">
        <v>0</v>
      </c>
      <c r="AK207">
        <v>0</v>
      </c>
      <c r="AL207" t="s">
        <v>108</v>
      </c>
      <c r="AM207" t="s">
        <v>93</v>
      </c>
      <c r="AN207" t="s">
        <v>94</v>
      </c>
      <c r="AO207" t="s">
        <v>92</v>
      </c>
      <c r="AP207">
        <v>0</v>
      </c>
      <c r="AQ207">
        <v>0</v>
      </c>
      <c r="AR207">
        <v>0</v>
      </c>
      <c r="AS207">
        <v>0</v>
      </c>
      <c r="AT207">
        <v>0</v>
      </c>
      <c r="AU207">
        <v>0</v>
      </c>
      <c r="AV207">
        <v>0</v>
      </c>
      <c r="AW207">
        <v>0</v>
      </c>
      <c r="AX207">
        <v>0</v>
      </c>
      <c r="AY207">
        <v>0</v>
      </c>
    </row>
    <row r="208" spans="1:51" x14ac:dyDescent="0.25">
      <c r="A208">
        <v>8</v>
      </c>
      <c r="B208">
        <v>40250</v>
      </c>
      <c r="C208" t="s">
        <v>735</v>
      </c>
      <c r="D208" t="s">
        <v>96</v>
      </c>
      <c r="E208" t="s">
        <v>121</v>
      </c>
      <c r="F208" t="s">
        <v>107</v>
      </c>
      <c r="G208" t="s">
        <v>77</v>
      </c>
      <c r="H208" t="s">
        <v>78</v>
      </c>
      <c r="I208" t="s">
        <v>79</v>
      </c>
      <c r="J208" t="s">
        <v>70</v>
      </c>
      <c r="K208" t="s">
        <v>102</v>
      </c>
      <c r="L208" t="s">
        <v>76</v>
      </c>
      <c r="M208" t="s">
        <v>103</v>
      </c>
      <c r="N208" t="s">
        <v>74</v>
      </c>
      <c r="O208" t="s">
        <v>104</v>
      </c>
      <c r="P208" t="s">
        <v>71</v>
      </c>
      <c r="Q208" t="s">
        <v>71</v>
      </c>
      <c r="R208" t="s">
        <v>71</v>
      </c>
      <c r="S208">
        <v>0</v>
      </c>
      <c r="T208">
        <v>1</v>
      </c>
      <c r="U208" t="s">
        <v>72</v>
      </c>
      <c r="V208" t="s">
        <v>73</v>
      </c>
      <c r="W208">
        <v>0</v>
      </c>
      <c r="X208">
        <v>1</v>
      </c>
      <c r="Y208">
        <v>0</v>
      </c>
      <c r="Z208">
        <v>0</v>
      </c>
      <c r="AA208">
        <v>0</v>
      </c>
      <c r="AB208">
        <v>0</v>
      </c>
      <c r="AC208">
        <v>0</v>
      </c>
      <c r="AD208">
        <v>0</v>
      </c>
      <c r="AE208">
        <v>0</v>
      </c>
      <c r="AF208">
        <v>0</v>
      </c>
      <c r="AG208" t="s">
        <v>71</v>
      </c>
      <c r="AH208">
        <v>0</v>
      </c>
      <c r="AI208">
        <v>0</v>
      </c>
      <c r="AJ208">
        <v>0</v>
      </c>
      <c r="AK208">
        <v>0</v>
      </c>
      <c r="AL208" t="s">
        <v>108</v>
      </c>
      <c r="AM208" t="s">
        <v>93</v>
      </c>
      <c r="AN208" t="s">
        <v>94</v>
      </c>
      <c r="AO208" t="s">
        <v>92</v>
      </c>
      <c r="AP208">
        <v>0</v>
      </c>
      <c r="AQ208">
        <v>0</v>
      </c>
      <c r="AR208">
        <v>0</v>
      </c>
      <c r="AS208">
        <v>0</v>
      </c>
      <c r="AT208">
        <v>0</v>
      </c>
      <c r="AU208">
        <v>0</v>
      </c>
      <c r="AV208">
        <v>0</v>
      </c>
      <c r="AW208">
        <v>0</v>
      </c>
      <c r="AX208">
        <v>0</v>
      </c>
      <c r="AY208">
        <v>0</v>
      </c>
    </row>
    <row r="209" spans="1:51" x14ac:dyDescent="0.25">
      <c r="A209">
        <v>8</v>
      </c>
      <c r="B209">
        <v>40260</v>
      </c>
      <c r="C209" t="s">
        <v>735</v>
      </c>
      <c r="D209" t="s">
        <v>96</v>
      </c>
      <c r="E209" t="s">
        <v>121</v>
      </c>
      <c r="F209" t="s">
        <v>107</v>
      </c>
      <c r="G209" t="s">
        <v>77</v>
      </c>
      <c r="H209" t="s">
        <v>78</v>
      </c>
      <c r="I209" t="s">
        <v>79</v>
      </c>
      <c r="J209" t="s">
        <v>70</v>
      </c>
      <c r="K209" t="s">
        <v>102</v>
      </c>
      <c r="L209" t="s">
        <v>76</v>
      </c>
      <c r="M209" t="s">
        <v>103</v>
      </c>
      <c r="N209" t="s">
        <v>74</v>
      </c>
      <c r="O209" t="s">
        <v>104</v>
      </c>
      <c r="P209" t="s">
        <v>71</v>
      </c>
      <c r="Q209" t="s">
        <v>71</v>
      </c>
      <c r="R209" t="s">
        <v>71</v>
      </c>
      <c r="S209">
        <v>0</v>
      </c>
      <c r="T209">
        <v>1</v>
      </c>
      <c r="U209" t="s">
        <v>72</v>
      </c>
      <c r="V209" t="s">
        <v>73</v>
      </c>
      <c r="W209">
        <v>0</v>
      </c>
      <c r="X209">
        <v>1</v>
      </c>
      <c r="Y209">
        <v>0</v>
      </c>
      <c r="Z209">
        <v>0</v>
      </c>
      <c r="AA209">
        <v>0</v>
      </c>
      <c r="AB209">
        <v>0</v>
      </c>
      <c r="AC209">
        <v>0</v>
      </c>
      <c r="AD209">
        <v>0</v>
      </c>
      <c r="AE209">
        <v>0</v>
      </c>
      <c r="AF209">
        <v>0</v>
      </c>
      <c r="AG209" t="s">
        <v>71</v>
      </c>
      <c r="AH209">
        <v>0</v>
      </c>
      <c r="AI209">
        <v>0</v>
      </c>
      <c r="AJ209">
        <v>0</v>
      </c>
      <c r="AK209">
        <v>0</v>
      </c>
      <c r="AL209" t="s">
        <v>108</v>
      </c>
      <c r="AM209" t="s">
        <v>93</v>
      </c>
      <c r="AN209" t="s">
        <v>94</v>
      </c>
      <c r="AO209" t="s">
        <v>92</v>
      </c>
      <c r="AP209">
        <v>0</v>
      </c>
      <c r="AQ209">
        <v>0</v>
      </c>
      <c r="AR209">
        <v>0</v>
      </c>
      <c r="AS209">
        <v>0</v>
      </c>
      <c r="AT209">
        <v>0</v>
      </c>
      <c r="AU209">
        <v>0</v>
      </c>
      <c r="AV209">
        <v>0</v>
      </c>
      <c r="AW209">
        <v>0</v>
      </c>
      <c r="AX209">
        <v>0</v>
      </c>
      <c r="AY209">
        <v>0</v>
      </c>
    </row>
    <row r="210" spans="1:51" x14ac:dyDescent="0.25">
      <c r="A210">
        <v>8</v>
      </c>
      <c r="B210">
        <v>40270</v>
      </c>
      <c r="C210" t="s">
        <v>735</v>
      </c>
      <c r="D210" t="s">
        <v>96</v>
      </c>
      <c r="E210" t="s">
        <v>121</v>
      </c>
      <c r="F210" t="s">
        <v>107</v>
      </c>
      <c r="G210" t="s">
        <v>77</v>
      </c>
      <c r="H210" t="s">
        <v>78</v>
      </c>
      <c r="I210" t="s">
        <v>79</v>
      </c>
      <c r="J210" t="s">
        <v>70</v>
      </c>
      <c r="K210" t="s">
        <v>75</v>
      </c>
      <c r="L210" t="s">
        <v>76</v>
      </c>
      <c r="M210" t="s">
        <v>103</v>
      </c>
      <c r="N210" t="s">
        <v>74</v>
      </c>
      <c r="O210" t="s">
        <v>104</v>
      </c>
      <c r="P210" t="s">
        <v>71</v>
      </c>
      <c r="Q210" t="s">
        <v>71</v>
      </c>
      <c r="R210" t="s">
        <v>71</v>
      </c>
      <c r="S210">
        <v>0</v>
      </c>
      <c r="T210">
        <v>1</v>
      </c>
      <c r="U210" t="s">
        <v>72</v>
      </c>
      <c r="V210" t="s">
        <v>73</v>
      </c>
      <c r="W210">
        <v>0</v>
      </c>
      <c r="X210">
        <v>0</v>
      </c>
      <c r="Y210">
        <v>0</v>
      </c>
      <c r="Z210">
        <v>0</v>
      </c>
      <c r="AA210">
        <v>0</v>
      </c>
      <c r="AB210">
        <v>0</v>
      </c>
      <c r="AC210">
        <v>0</v>
      </c>
      <c r="AD210">
        <v>0</v>
      </c>
      <c r="AE210">
        <v>0</v>
      </c>
      <c r="AF210">
        <v>0</v>
      </c>
      <c r="AG210" t="s">
        <v>71</v>
      </c>
      <c r="AH210">
        <v>0</v>
      </c>
      <c r="AI210">
        <v>0</v>
      </c>
      <c r="AJ210">
        <v>0</v>
      </c>
      <c r="AK210">
        <v>0</v>
      </c>
      <c r="AL210" t="s">
        <v>146</v>
      </c>
      <c r="AM210" t="s">
        <v>93</v>
      </c>
      <c r="AN210" t="s">
        <v>148</v>
      </c>
      <c r="AO210" t="s">
        <v>147</v>
      </c>
      <c r="AP210">
        <v>0</v>
      </c>
      <c r="AQ210">
        <v>0</v>
      </c>
      <c r="AR210">
        <v>128</v>
      </c>
      <c r="AS210">
        <v>0</v>
      </c>
      <c r="AT210">
        <v>0</v>
      </c>
      <c r="AU210">
        <v>0</v>
      </c>
      <c r="AV210">
        <v>0</v>
      </c>
      <c r="AW210">
        <v>0</v>
      </c>
      <c r="AX210">
        <v>0</v>
      </c>
      <c r="AY210">
        <v>0</v>
      </c>
    </row>
    <row r="211" spans="1:51" x14ac:dyDescent="0.25">
      <c r="A211">
        <v>8</v>
      </c>
      <c r="B211">
        <v>40280</v>
      </c>
      <c r="C211" t="s">
        <v>735</v>
      </c>
      <c r="D211" t="s">
        <v>96</v>
      </c>
      <c r="E211" t="s">
        <v>121</v>
      </c>
      <c r="F211" t="s">
        <v>107</v>
      </c>
      <c r="G211" t="s">
        <v>77</v>
      </c>
      <c r="H211" t="s">
        <v>78</v>
      </c>
      <c r="I211" t="s">
        <v>79</v>
      </c>
      <c r="J211" t="s">
        <v>119</v>
      </c>
      <c r="K211" t="s">
        <v>167</v>
      </c>
      <c r="L211" t="s">
        <v>76</v>
      </c>
      <c r="M211" t="s">
        <v>149</v>
      </c>
      <c r="N211" t="s">
        <v>74</v>
      </c>
      <c r="O211" t="s">
        <v>104</v>
      </c>
      <c r="P211" t="s">
        <v>71</v>
      </c>
      <c r="Q211" t="s">
        <v>71</v>
      </c>
      <c r="R211" t="s">
        <v>71</v>
      </c>
      <c r="S211">
        <v>0</v>
      </c>
      <c r="T211">
        <v>1</v>
      </c>
      <c r="U211" t="s">
        <v>72</v>
      </c>
      <c r="V211" t="s">
        <v>73</v>
      </c>
      <c r="W211">
        <v>0</v>
      </c>
      <c r="X211">
        <v>1</v>
      </c>
      <c r="Y211">
        <v>1</v>
      </c>
      <c r="Z211">
        <v>0</v>
      </c>
      <c r="AA211">
        <v>1</v>
      </c>
      <c r="AB211">
        <v>0.1</v>
      </c>
      <c r="AC211">
        <v>1</v>
      </c>
      <c r="AD211">
        <v>0</v>
      </c>
      <c r="AE211">
        <v>1</v>
      </c>
      <c r="AF211">
        <v>0.2</v>
      </c>
      <c r="AG211" t="s">
        <v>71</v>
      </c>
      <c r="AH211">
        <v>0</v>
      </c>
      <c r="AI211">
        <v>0</v>
      </c>
      <c r="AJ211">
        <v>0</v>
      </c>
      <c r="AK211">
        <v>0</v>
      </c>
      <c r="AL211" t="s">
        <v>108</v>
      </c>
      <c r="AM211" t="s">
        <v>93</v>
      </c>
      <c r="AN211" t="s">
        <v>94</v>
      </c>
      <c r="AO211" t="s">
        <v>92</v>
      </c>
      <c r="AP211">
        <v>0</v>
      </c>
      <c r="AQ211">
        <v>0</v>
      </c>
      <c r="AR211">
        <v>0</v>
      </c>
      <c r="AS211">
        <v>0</v>
      </c>
      <c r="AT211">
        <v>0</v>
      </c>
      <c r="AU211">
        <v>0</v>
      </c>
      <c r="AV211">
        <v>0</v>
      </c>
      <c r="AW211">
        <v>0</v>
      </c>
      <c r="AX211">
        <v>0</v>
      </c>
      <c r="AY211">
        <v>0</v>
      </c>
    </row>
    <row r="212" spans="1:51" x14ac:dyDescent="0.25">
      <c r="A212">
        <v>8</v>
      </c>
      <c r="B212">
        <v>40290</v>
      </c>
      <c r="C212" t="s">
        <v>735</v>
      </c>
      <c r="D212" t="s">
        <v>96</v>
      </c>
      <c r="E212" t="s">
        <v>121</v>
      </c>
      <c r="F212" t="s">
        <v>107</v>
      </c>
      <c r="G212" t="s">
        <v>77</v>
      </c>
      <c r="H212" t="s">
        <v>78</v>
      </c>
      <c r="I212" t="s">
        <v>79</v>
      </c>
      <c r="J212" t="s">
        <v>70</v>
      </c>
      <c r="K212" t="s">
        <v>167</v>
      </c>
      <c r="L212" t="s">
        <v>76</v>
      </c>
      <c r="M212" t="s">
        <v>103</v>
      </c>
      <c r="N212" t="s">
        <v>74</v>
      </c>
      <c r="O212" t="s">
        <v>104</v>
      </c>
      <c r="P212" t="s">
        <v>71</v>
      </c>
      <c r="Q212" t="s">
        <v>71</v>
      </c>
      <c r="R212" t="s">
        <v>71</v>
      </c>
      <c r="S212">
        <v>0</v>
      </c>
      <c r="T212">
        <v>1</v>
      </c>
      <c r="U212" t="s">
        <v>72</v>
      </c>
      <c r="V212" t="s">
        <v>73</v>
      </c>
      <c r="W212">
        <v>0</v>
      </c>
      <c r="X212">
        <v>1</v>
      </c>
      <c r="Y212">
        <v>0</v>
      </c>
      <c r="Z212">
        <v>0</v>
      </c>
      <c r="AA212">
        <v>0</v>
      </c>
      <c r="AB212">
        <v>0</v>
      </c>
      <c r="AC212">
        <v>0</v>
      </c>
      <c r="AD212">
        <v>0</v>
      </c>
      <c r="AE212">
        <v>0</v>
      </c>
      <c r="AF212">
        <v>0</v>
      </c>
      <c r="AG212" t="s">
        <v>71</v>
      </c>
      <c r="AH212">
        <v>0</v>
      </c>
      <c r="AI212">
        <v>0</v>
      </c>
      <c r="AJ212">
        <v>0</v>
      </c>
      <c r="AK212">
        <v>0</v>
      </c>
      <c r="AL212" t="s">
        <v>108</v>
      </c>
      <c r="AM212" t="s">
        <v>93</v>
      </c>
      <c r="AN212" t="s">
        <v>94</v>
      </c>
      <c r="AO212" t="s">
        <v>92</v>
      </c>
      <c r="AP212">
        <v>0</v>
      </c>
      <c r="AQ212">
        <v>0</v>
      </c>
      <c r="AR212">
        <v>0</v>
      </c>
      <c r="AS212">
        <v>0</v>
      </c>
      <c r="AT212">
        <v>0</v>
      </c>
      <c r="AU212">
        <v>0</v>
      </c>
      <c r="AV212">
        <v>0</v>
      </c>
      <c r="AW212">
        <v>0</v>
      </c>
      <c r="AX212">
        <v>0</v>
      </c>
      <c r="AY212">
        <v>0</v>
      </c>
    </row>
    <row r="213" spans="1:51" x14ac:dyDescent="0.25">
      <c r="A213">
        <v>8</v>
      </c>
      <c r="B213">
        <v>45270</v>
      </c>
      <c r="C213" t="s">
        <v>735</v>
      </c>
      <c r="D213" t="s">
        <v>96</v>
      </c>
      <c r="E213" t="s">
        <v>121</v>
      </c>
      <c r="F213" t="s">
        <v>107</v>
      </c>
      <c r="G213" t="s">
        <v>77</v>
      </c>
      <c r="H213" t="s">
        <v>78</v>
      </c>
      <c r="I213" t="s">
        <v>79</v>
      </c>
      <c r="J213" t="s">
        <v>70</v>
      </c>
      <c r="K213" t="s">
        <v>167</v>
      </c>
      <c r="L213" t="s">
        <v>76</v>
      </c>
      <c r="M213" t="s">
        <v>103</v>
      </c>
      <c r="N213" t="s">
        <v>74</v>
      </c>
      <c r="O213" t="s">
        <v>104</v>
      </c>
      <c r="P213" t="s">
        <v>71</v>
      </c>
      <c r="Q213" t="s">
        <v>71</v>
      </c>
      <c r="R213" t="s">
        <v>71</v>
      </c>
      <c r="S213">
        <v>0</v>
      </c>
      <c r="T213">
        <v>1</v>
      </c>
      <c r="U213" t="s">
        <v>72</v>
      </c>
      <c r="V213" t="s">
        <v>73</v>
      </c>
      <c r="W213">
        <v>0</v>
      </c>
      <c r="X213">
        <v>1</v>
      </c>
      <c r="Y213">
        <v>0</v>
      </c>
      <c r="Z213">
        <v>0</v>
      </c>
      <c r="AA213">
        <v>0</v>
      </c>
      <c r="AB213">
        <v>0</v>
      </c>
      <c r="AC213">
        <v>0</v>
      </c>
      <c r="AD213">
        <v>0</v>
      </c>
      <c r="AE213">
        <v>0</v>
      </c>
      <c r="AF213">
        <v>0</v>
      </c>
      <c r="AG213" t="s">
        <v>71</v>
      </c>
      <c r="AH213">
        <v>0</v>
      </c>
      <c r="AI213">
        <v>0</v>
      </c>
      <c r="AJ213">
        <v>0</v>
      </c>
      <c r="AK213">
        <v>0</v>
      </c>
      <c r="AL213" t="s">
        <v>108</v>
      </c>
      <c r="AM213" t="s">
        <v>93</v>
      </c>
      <c r="AN213" t="s">
        <v>94</v>
      </c>
      <c r="AO213" t="s">
        <v>92</v>
      </c>
      <c r="AP213">
        <v>0</v>
      </c>
      <c r="AQ213">
        <v>0</v>
      </c>
      <c r="AR213">
        <v>0</v>
      </c>
      <c r="AS213">
        <v>0</v>
      </c>
      <c r="AT213">
        <v>0</v>
      </c>
      <c r="AU213">
        <v>0</v>
      </c>
      <c r="AV213">
        <v>0</v>
      </c>
      <c r="AW213">
        <v>0</v>
      </c>
      <c r="AX213">
        <v>0</v>
      </c>
      <c r="AY213">
        <v>0</v>
      </c>
    </row>
    <row r="214" spans="1:51" x14ac:dyDescent="0.25">
      <c r="A214">
        <v>8</v>
      </c>
      <c r="B214">
        <v>45280</v>
      </c>
      <c r="C214" t="s">
        <v>735</v>
      </c>
      <c r="D214" t="s">
        <v>96</v>
      </c>
      <c r="E214" t="s">
        <v>121</v>
      </c>
      <c r="F214" t="s">
        <v>107</v>
      </c>
      <c r="G214" t="s">
        <v>77</v>
      </c>
      <c r="H214" t="s">
        <v>78</v>
      </c>
      <c r="I214" t="s">
        <v>79</v>
      </c>
      <c r="J214" t="s">
        <v>70</v>
      </c>
      <c r="K214" t="s">
        <v>167</v>
      </c>
      <c r="L214" t="s">
        <v>76</v>
      </c>
      <c r="M214" t="s">
        <v>103</v>
      </c>
      <c r="N214" t="s">
        <v>74</v>
      </c>
      <c r="O214" t="s">
        <v>104</v>
      </c>
      <c r="P214" t="s">
        <v>71</v>
      </c>
      <c r="Q214" t="s">
        <v>71</v>
      </c>
      <c r="R214" t="s">
        <v>71</v>
      </c>
      <c r="S214">
        <v>0</v>
      </c>
      <c r="T214">
        <v>1</v>
      </c>
      <c r="U214" t="s">
        <v>72</v>
      </c>
      <c r="V214" t="s">
        <v>73</v>
      </c>
      <c r="W214">
        <v>0</v>
      </c>
      <c r="X214">
        <v>1</v>
      </c>
      <c r="Y214">
        <v>0</v>
      </c>
      <c r="Z214">
        <v>0</v>
      </c>
      <c r="AA214">
        <v>0</v>
      </c>
      <c r="AB214">
        <v>0</v>
      </c>
      <c r="AC214">
        <v>0</v>
      </c>
      <c r="AD214">
        <v>0</v>
      </c>
      <c r="AE214">
        <v>0</v>
      </c>
      <c r="AF214">
        <v>0</v>
      </c>
      <c r="AG214" t="s">
        <v>71</v>
      </c>
      <c r="AH214">
        <v>0</v>
      </c>
      <c r="AI214">
        <v>0</v>
      </c>
      <c r="AJ214">
        <v>0</v>
      </c>
      <c r="AK214">
        <v>0</v>
      </c>
      <c r="AL214" t="s">
        <v>108</v>
      </c>
      <c r="AM214" t="s">
        <v>93</v>
      </c>
      <c r="AN214" t="s">
        <v>94</v>
      </c>
      <c r="AO214" t="s">
        <v>92</v>
      </c>
      <c r="AP214">
        <v>0</v>
      </c>
      <c r="AQ214">
        <v>0</v>
      </c>
      <c r="AR214">
        <v>0</v>
      </c>
      <c r="AS214">
        <v>0</v>
      </c>
      <c r="AT214">
        <v>0</v>
      </c>
      <c r="AU214">
        <v>0</v>
      </c>
      <c r="AV214">
        <v>0</v>
      </c>
      <c r="AW214">
        <v>0</v>
      </c>
      <c r="AX214">
        <v>0</v>
      </c>
      <c r="AY214">
        <v>0</v>
      </c>
    </row>
    <row r="215" spans="1:51" x14ac:dyDescent="0.25">
      <c r="A215">
        <v>8</v>
      </c>
      <c r="B215">
        <v>45290</v>
      </c>
      <c r="C215" t="s">
        <v>735</v>
      </c>
      <c r="D215" t="s">
        <v>96</v>
      </c>
      <c r="E215" t="s">
        <v>121</v>
      </c>
      <c r="F215" t="s">
        <v>107</v>
      </c>
      <c r="G215" t="s">
        <v>77</v>
      </c>
      <c r="H215" t="s">
        <v>78</v>
      </c>
      <c r="I215" t="s">
        <v>79</v>
      </c>
      <c r="J215" t="s">
        <v>70</v>
      </c>
      <c r="K215" t="s">
        <v>167</v>
      </c>
      <c r="L215" t="s">
        <v>76</v>
      </c>
      <c r="M215" t="s">
        <v>103</v>
      </c>
      <c r="N215" t="s">
        <v>74</v>
      </c>
      <c r="O215" t="s">
        <v>104</v>
      </c>
      <c r="P215" t="s">
        <v>71</v>
      </c>
      <c r="Q215" t="s">
        <v>71</v>
      </c>
      <c r="R215" t="s">
        <v>71</v>
      </c>
      <c r="S215">
        <v>0</v>
      </c>
      <c r="T215">
        <v>1</v>
      </c>
      <c r="U215" t="s">
        <v>72</v>
      </c>
      <c r="V215" t="s">
        <v>73</v>
      </c>
      <c r="W215">
        <v>0</v>
      </c>
      <c r="X215">
        <v>1</v>
      </c>
      <c r="Y215">
        <v>0</v>
      </c>
      <c r="Z215">
        <v>0</v>
      </c>
      <c r="AA215">
        <v>0</v>
      </c>
      <c r="AB215">
        <v>0</v>
      </c>
      <c r="AC215">
        <v>0</v>
      </c>
      <c r="AD215">
        <v>0</v>
      </c>
      <c r="AE215">
        <v>0</v>
      </c>
      <c r="AF215">
        <v>0</v>
      </c>
      <c r="AG215" t="s">
        <v>71</v>
      </c>
      <c r="AH215">
        <v>0</v>
      </c>
      <c r="AI215">
        <v>0</v>
      </c>
      <c r="AJ215">
        <v>0</v>
      </c>
      <c r="AK215">
        <v>0</v>
      </c>
      <c r="AL215" t="s">
        <v>108</v>
      </c>
      <c r="AM215" t="s">
        <v>93</v>
      </c>
      <c r="AN215" t="s">
        <v>94</v>
      </c>
      <c r="AO215" t="s">
        <v>92</v>
      </c>
      <c r="AP215">
        <v>0</v>
      </c>
      <c r="AQ215">
        <v>0</v>
      </c>
      <c r="AR215">
        <v>0</v>
      </c>
      <c r="AS215">
        <v>0</v>
      </c>
      <c r="AT215">
        <v>0</v>
      </c>
      <c r="AU215">
        <v>0</v>
      </c>
      <c r="AV215">
        <v>0</v>
      </c>
      <c r="AW215">
        <v>0</v>
      </c>
      <c r="AX215">
        <v>0</v>
      </c>
      <c r="AY215">
        <v>0</v>
      </c>
    </row>
    <row r="216" spans="1:51" x14ac:dyDescent="0.25">
      <c r="A216">
        <v>8</v>
      </c>
      <c r="B216">
        <v>45300</v>
      </c>
      <c r="C216" t="s">
        <v>735</v>
      </c>
      <c r="D216" t="s">
        <v>96</v>
      </c>
      <c r="E216" t="s">
        <v>121</v>
      </c>
      <c r="F216" t="s">
        <v>107</v>
      </c>
      <c r="G216" t="s">
        <v>77</v>
      </c>
      <c r="H216" t="s">
        <v>78</v>
      </c>
      <c r="I216" t="s">
        <v>79</v>
      </c>
      <c r="J216" t="s">
        <v>70</v>
      </c>
      <c r="K216" t="s">
        <v>167</v>
      </c>
      <c r="L216" t="s">
        <v>76</v>
      </c>
      <c r="M216" t="s">
        <v>103</v>
      </c>
      <c r="N216" t="s">
        <v>74</v>
      </c>
      <c r="O216" t="s">
        <v>104</v>
      </c>
      <c r="P216" t="s">
        <v>71</v>
      </c>
      <c r="Q216" t="s">
        <v>71</v>
      </c>
      <c r="R216" t="s">
        <v>71</v>
      </c>
      <c r="S216">
        <v>0</v>
      </c>
      <c r="T216">
        <v>1</v>
      </c>
      <c r="U216" t="s">
        <v>72</v>
      </c>
      <c r="V216" t="s">
        <v>73</v>
      </c>
      <c r="W216">
        <v>0</v>
      </c>
      <c r="X216">
        <v>1</v>
      </c>
      <c r="Y216">
        <v>0</v>
      </c>
      <c r="Z216">
        <v>0</v>
      </c>
      <c r="AA216">
        <v>0</v>
      </c>
      <c r="AB216">
        <v>0</v>
      </c>
      <c r="AC216">
        <v>0</v>
      </c>
      <c r="AD216">
        <v>0</v>
      </c>
      <c r="AE216">
        <v>0</v>
      </c>
      <c r="AF216">
        <v>0</v>
      </c>
      <c r="AG216" t="s">
        <v>71</v>
      </c>
      <c r="AH216">
        <v>0</v>
      </c>
      <c r="AI216">
        <v>0</v>
      </c>
      <c r="AJ216">
        <v>0</v>
      </c>
      <c r="AK216">
        <v>0</v>
      </c>
      <c r="AL216" t="s">
        <v>108</v>
      </c>
      <c r="AM216" t="s">
        <v>93</v>
      </c>
      <c r="AN216" t="s">
        <v>94</v>
      </c>
      <c r="AO216" t="s">
        <v>92</v>
      </c>
      <c r="AP216">
        <v>0</v>
      </c>
      <c r="AQ216">
        <v>0</v>
      </c>
      <c r="AR216">
        <v>0</v>
      </c>
      <c r="AS216">
        <v>0</v>
      </c>
      <c r="AT216">
        <v>0</v>
      </c>
      <c r="AU216">
        <v>0</v>
      </c>
      <c r="AV216">
        <v>0</v>
      </c>
      <c r="AW216">
        <v>0</v>
      </c>
      <c r="AX216">
        <v>0</v>
      </c>
      <c r="AY216">
        <v>0</v>
      </c>
    </row>
    <row r="217" spans="1:51" x14ac:dyDescent="0.25">
      <c r="A217" s="12">
        <v>8</v>
      </c>
      <c r="B217" s="12">
        <v>45310</v>
      </c>
      <c r="C217" s="12" t="s">
        <v>735</v>
      </c>
      <c r="D217" s="12" t="s">
        <v>96</v>
      </c>
      <c r="E217" s="12" t="s">
        <v>121</v>
      </c>
      <c r="F217" s="12" t="s">
        <v>107</v>
      </c>
      <c r="G217" s="12" t="s">
        <v>77</v>
      </c>
      <c r="H217" s="12" t="s">
        <v>78</v>
      </c>
      <c r="I217" s="12" t="s">
        <v>79</v>
      </c>
      <c r="J217" s="12" t="s">
        <v>70</v>
      </c>
      <c r="K217" s="12" t="s">
        <v>75</v>
      </c>
      <c r="L217" s="12" t="s">
        <v>76</v>
      </c>
      <c r="M217" s="12" t="s">
        <v>103</v>
      </c>
      <c r="N217" s="12" t="s">
        <v>74</v>
      </c>
      <c r="O217" s="12" t="s">
        <v>104</v>
      </c>
      <c r="P217" s="12" t="s">
        <v>71</v>
      </c>
      <c r="Q217" s="12" t="s">
        <v>71</v>
      </c>
      <c r="R217" s="12" t="s">
        <v>71</v>
      </c>
      <c r="S217" s="12">
        <v>0</v>
      </c>
      <c r="T217" s="12">
        <v>1</v>
      </c>
      <c r="U217" s="12" t="s">
        <v>72</v>
      </c>
      <c r="V217" s="12" t="s">
        <v>73</v>
      </c>
      <c r="W217" s="12">
        <v>0</v>
      </c>
      <c r="X217" s="12">
        <v>0</v>
      </c>
      <c r="Y217" s="12">
        <v>0</v>
      </c>
      <c r="Z217" s="12">
        <v>0</v>
      </c>
      <c r="AA217">
        <v>0</v>
      </c>
      <c r="AB217">
        <v>0</v>
      </c>
      <c r="AC217">
        <v>0</v>
      </c>
      <c r="AD217">
        <v>0</v>
      </c>
      <c r="AE217">
        <v>0</v>
      </c>
      <c r="AF217">
        <v>0</v>
      </c>
      <c r="AG217" t="s">
        <v>71</v>
      </c>
      <c r="AH217">
        <v>0</v>
      </c>
      <c r="AI217">
        <v>0</v>
      </c>
      <c r="AJ217">
        <v>0</v>
      </c>
      <c r="AK217">
        <v>0</v>
      </c>
      <c r="AL217" t="s">
        <v>146</v>
      </c>
      <c r="AM217" t="s">
        <v>93</v>
      </c>
      <c r="AN217" t="s">
        <v>148</v>
      </c>
      <c r="AO217" t="s">
        <v>147</v>
      </c>
      <c r="AP217">
        <v>0</v>
      </c>
      <c r="AQ217">
        <v>0</v>
      </c>
      <c r="AR217">
        <v>128</v>
      </c>
      <c r="AS217">
        <v>0</v>
      </c>
      <c r="AT217">
        <v>0</v>
      </c>
      <c r="AU217">
        <v>0</v>
      </c>
      <c r="AV217">
        <v>0</v>
      </c>
      <c r="AW217">
        <v>0</v>
      </c>
      <c r="AX217">
        <v>0</v>
      </c>
      <c r="AY217">
        <v>0</v>
      </c>
    </row>
    <row r="218" spans="1:51" x14ac:dyDescent="0.25">
      <c r="A218" s="12">
        <v>8</v>
      </c>
      <c r="B218" s="12">
        <v>45320</v>
      </c>
      <c r="C218" s="12" t="s">
        <v>735</v>
      </c>
      <c r="D218" s="12" t="s">
        <v>96</v>
      </c>
      <c r="E218" s="12" t="s">
        <v>121</v>
      </c>
      <c r="F218" s="12" t="s">
        <v>107</v>
      </c>
      <c r="G218" s="12" t="s">
        <v>77</v>
      </c>
      <c r="H218" s="12" t="s">
        <v>78</v>
      </c>
      <c r="I218" s="12" t="s">
        <v>79</v>
      </c>
      <c r="J218" s="12" t="s">
        <v>119</v>
      </c>
      <c r="K218" s="12" t="s">
        <v>169</v>
      </c>
      <c r="L218" s="12" t="s">
        <v>76</v>
      </c>
      <c r="M218" s="12" t="s">
        <v>149</v>
      </c>
      <c r="N218" s="12" t="s">
        <v>74</v>
      </c>
      <c r="O218" s="12" t="s">
        <v>104</v>
      </c>
      <c r="P218" s="12" t="s">
        <v>71</v>
      </c>
      <c r="Q218" s="12" t="s">
        <v>71</v>
      </c>
      <c r="R218" s="12" t="s">
        <v>71</v>
      </c>
      <c r="S218" s="12">
        <v>0</v>
      </c>
      <c r="T218" s="12">
        <v>1</v>
      </c>
      <c r="U218" s="12" t="s">
        <v>72</v>
      </c>
      <c r="V218" s="12" t="s">
        <v>73</v>
      </c>
      <c r="W218" s="12">
        <v>0</v>
      </c>
      <c r="X218" s="12">
        <v>1</v>
      </c>
      <c r="Y218" s="12">
        <v>1</v>
      </c>
      <c r="Z218" s="12">
        <v>0</v>
      </c>
      <c r="AA218">
        <v>1</v>
      </c>
      <c r="AB218">
        <v>0.1</v>
      </c>
      <c r="AC218">
        <v>1</v>
      </c>
      <c r="AD218">
        <v>0</v>
      </c>
      <c r="AE218">
        <v>1</v>
      </c>
      <c r="AF218">
        <v>0.2</v>
      </c>
      <c r="AG218" t="s">
        <v>71</v>
      </c>
      <c r="AH218">
        <v>0</v>
      </c>
      <c r="AI218">
        <v>0</v>
      </c>
      <c r="AJ218">
        <v>0</v>
      </c>
      <c r="AK218">
        <v>0</v>
      </c>
      <c r="AL218" t="s">
        <v>108</v>
      </c>
      <c r="AM218" t="s">
        <v>93</v>
      </c>
      <c r="AN218" t="s">
        <v>94</v>
      </c>
      <c r="AO218" t="s">
        <v>92</v>
      </c>
      <c r="AP218">
        <v>0</v>
      </c>
      <c r="AQ218">
        <v>0</v>
      </c>
      <c r="AR218">
        <v>0</v>
      </c>
      <c r="AS218">
        <v>0</v>
      </c>
      <c r="AT218">
        <v>0</v>
      </c>
      <c r="AU218">
        <v>0</v>
      </c>
      <c r="AV218">
        <v>0</v>
      </c>
      <c r="AW218">
        <v>0</v>
      </c>
      <c r="AX218">
        <v>0</v>
      </c>
      <c r="AY218">
        <v>0</v>
      </c>
    </row>
    <row r="219" spans="1:51" x14ac:dyDescent="0.25">
      <c r="A219" s="12">
        <v>8</v>
      </c>
      <c r="B219" s="12">
        <v>45330</v>
      </c>
      <c r="C219" s="12" t="s">
        <v>735</v>
      </c>
      <c r="D219" s="12" t="s">
        <v>96</v>
      </c>
      <c r="E219" s="12" t="s">
        <v>121</v>
      </c>
      <c r="F219" s="12" t="s">
        <v>107</v>
      </c>
      <c r="G219" s="12" t="s">
        <v>77</v>
      </c>
      <c r="H219" s="12" t="s">
        <v>78</v>
      </c>
      <c r="I219" s="12" t="s">
        <v>79</v>
      </c>
      <c r="J219" s="12" t="s">
        <v>70</v>
      </c>
      <c r="K219" s="12" t="s">
        <v>169</v>
      </c>
      <c r="L219" s="12" t="s">
        <v>76</v>
      </c>
      <c r="M219" s="12" t="s">
        <v>103</v>
      </c>
      <c r="N219" s="12" t="s">
        <v>74</v>
      </c>
      <c r="O219" s="12" t="s">
        <v>104</v>
      </c>
      <c r="P219" s="12" t="s">
        <v>71</v>
      </c>
      <c r="Q219" s="12" t="s">
        <v>71</v>
      </c>
      <c r="R219" s="12" t="s">
        <v>71</v>
      </c>
      <c r="S219" s="12">
        <v>0</v>
      </c>
      <c r="T219" s="12">
        <v>1</v>
      </c>
      <c r="U219" s="12" t="s">
        <v>72</v>
      </c>
      <c r="V219" s="12" t="s">
        <v>73</v>
      </c>
      <c r="W219" s="12">
        <v>0</v>
      </c>
      <c r="X219" s="12">
        <v>1</v>
      </c>
      <c r="Y219" s="12">
        <v>0</v>
      </c>
      <c r="Z219" s="12">
        <v>0</v>
      </c>
      <c r="AA219">
        <v>0</v>
      </c>
      <c r="AB219">
        <v>0</v>
      </c>
      <c r="AC219">
        <v>0</v>
      </c>
      <c r="AD219">
        <v>0</v>
      </c>
      <c r="AE219">
        <v>0</v>
      </c>
      <c r="AF219">
        <v>0</v>
      </c>
      <c r="AG219" t="s">
        <v>71</v>
      </c>
      <c r="AH219">
        <v>0</v>
      </c>
      <c r="AI219">
        <v>0</v>
      </c>
      <c r="AJ219">
        <v>0</v>
      </c>
      <c r="AK219">
        <v>0</v>
      </c>
      <c r="AL219" t="s">
        <v>108</v>
      </c>
      <c r="AM219" t="s">
        <v>93</v>
      </c>
      <c r="AN219" t="s">
        <v>94</v>
      </c>
      <c r="AO219" t="s">
        <v>92</v>
      </c>
      <c r="AP219">
        <v>0</v>
      </c>
      <c r="AQ219">
        <v>0</v>
      </c>
      <c r="AR219">
        <v>0</v>
      </c>
      <c r="AS219">
        <v>0</v>
      </c>
      <c r="AT219">
        <v>0</v>
      </c>
      <c r="AU219">
        <v>0</v>
      </c>
      <c r="AV219">
        <v>0</v>
      </c>
      <c r="AW219">
        <v>0</v>
      </c>
      <c r="AX219">
        <v>0</v>
      </c>
      <c r="AY219">
        <v>0</v>
      </c>
    </row>
    <row r="220" spans="1:51" x14ac:dyDescent="0.25">
      <c r="A220" s="12">
        <v>8</v>
      </c>
      <c r="B220" s="12">
        <v>50310</v>
      </c>
      <c r="C220" s="12" t="s">
        <v>735</v>
      </c>
      <c r="D220" s="12" t="s">
        <v>96</v>
      </c>
      <c r="E220" s="12" t="s">
        <v>121</v>
      </c>
      <c r="F220" s="12" t="s">
        <v>107</v>
      </c>
      <c r="G220" s="12" t="s">
        <v>77</v>
      </c>
      <c r="H220" s="12" t="s">
        <v>78</v>
      </c>
      <c r="I220" s="12" t="s">
        <v>79</v>
      </c>
      <c r="J220" s="12" t="s">
        <v>70</v>
      </c>
      <c r="K220" s="12" t="s">
        <v>169</v>
      </c>
      <c r="L220" s="12" t="s">
        <v>76</v>
      </c>
      <c r="M220" s="12" t="s">
        <v>103</v>
      </c>
      <c r="N220" s="12" t="s">
        <v>74</v>
      </c>
      <c r="O220" s="12" t="s">
        <v>104</v>
      </c>
      <c r="P220" s="12" t="s">
        <v>71</v>
      </c>
      <c r="Q220" s="12" t="s">
        <v>71</v>
      </c>
      <c r="R220" s="12" t="s">
        <v>71</v>
      </c>
      <c r="S220" s="12">
        <v>0</v>
      </c>
      <c r="T220" s="12">
        <v>1</v>
      </c>
      <c r="U220" s="12" t="s">
        <v>72</v>
      </c>
      <c r="V220" s="12" t="s">
        <v>73</v>
      </c>
      <c r="W220" s="12">
        <v>0</v>
      </c>
      <c r="X220" s="12">
        <v>1</v>
      </c>
      <c r="Y220" s="12">
        <v>0</v>
      </c>
      <c r="Z220" s="12">
        <v>0</v>
      </c>
      <c r="AA220">
        <v>0</v>
      </c>
      <c r="AB220">
        <v>0</v>
      </c>
      <c r="AC220">
        <v>0</v>
      </c>
      <c r="AD220">
        <v>0</v>
      </c>
      <c r="AE220">
        <v>0</v>
      </c>
      <c r="AF220">
        <v>0</v>
      </c>
      <c r="AG220" t="s">
        <v>71</v>
      </c>
      <c r="AH220">
        <v>0</v>
      </c>
      <c r="AI220">
        <v>0</v>
      </c>
      <c r="AJ220">
        <v>0</v>
      </c>
      <c r="AK220">
        <v>0</v>
      </c>
      <c r="AL220" t="s">
        <v>108</v>
      </c>
      <c r="AM220" t="s">
        <v>93</v>
      </c>
      <c r="AN220" t="s">
        <v>94</v>
      </c>
      <c r="AO220" t="s">
        <v>92</v>
      </c>
      <c r="AP220">
        <v>0</v>
      </c>
      <c r="AQ220">
        <v>0</v>
      </c>
      <c r="AR220">
        <v>0</v>
      </c>
      <c r="AS220">
        <v>0</v>
      </c>
      <c r="AT220">
        <v>0</v>
      </c>
      <c r="AU220">
        <v>0</v>
      </c>
      <c r="AV220">
        <v>0</v>
      </c>
      <c r="AW220">
        <v>0</v>
      </c>
      <c r="AX220">
        <v>0</v>
      </c>
      <c r="AY220">
        <v>0</v>
      </c>
    </row>
    <row r="221" spans="1:51" x14ac:dyDescent="0.25">
      <c r="A221" s="12">
        <v>8</v>
      </c>
      <c r="B221" s="12">
        <v>50320</v>
      </c>
      <c r="C221" s="12" t="s">
        <v>735</v>
      </c>
      <c r="D221" s="12" t="s">
        <v>96</v>
      </c>
      <c r="E221" s="12" t="s">
        <v>121</v>
      </c>
      <c r="F221" s="12" t="s">
        <v>107</v>
      </c>
      <c r="G221" s="12" t="s">
        <v>77</v>
      </c>
      <c r="H221" s="12" t="s">
        <v>78</v>
      </c>
      <c r="I221" s="12" t="s">
        <v>79</v>
      </c>
      <c r="J221" s="12" t="s">
        <v>70</v>
      </c>
      <c r="K221" s="12" t="s">
        <v>169</v>
      </c>
      <c r="L221" s="12" t="s">
        <v>76</v>
      </c>
      <c r="M221" s="12" t="s">
        <v>103</v>
      </c>
      <c r="N221" s="12" t="s">
        <v>74</v>
      </c>
      <c r="O221" s="12" t="s">
        <v>104</v>
      </c>
      <c r="P221" s="12" t="s">
        <v>71</v>
      </c>
      <c r="Q221" s="12" t="s">
        <v>71</v>
      </c>
      <c r="R221" s="12" t="s">
        <v>71</v>
      </c>
      <c r="S221" s="12">
        <v>0</v>
      </c>
      <c r="T221" s="12">
        <v>1</v>
      </c>
      <c r="U221" s="12" t="s">
        <v>72</v>
      </c>
      <c r="V221" s="12" t="s">
        <v>73</v>
      </c>
      <c r="W221" s="12">
        <v>0</v>
      </c>
      <c r="X221" s="12">
        <v>1</v>
      </c>
      <c r="Y221" s="12">
        <v>0</v>
      </c>
      <c r="Z221" s="12">
        <v>0</v>
      </c>
      <c r="AA221">
        <v>0</v>
      </c>
      <c r="AB221">
        <v>0</v>
      </c>
      <c r="AC221">
        <v>0</v>
      </c>
      <c r="AD221">
        <v>0</v>
      </c>
      <c r="AE221">
        <v>0</v>
      </c>
      <c r="AF221">
        <v>0</v>
      </c>
      <c r="AG221" t="s">
        <v>71</v>
      </c>
      <c r="AH221">
        <v>0</v>
      </c>
      <c r="AI221">
        <v>0</v>
      </c>
      <c r="AJ221">
        <v>0</v>
      </c>
      <c r="AK221">
        <v>0</v>
      </c>
      <c r="AL221" t="s">
        <v>108</v>
      </c>
      <c r="AM221" t="s">
        <v>93</v>
      </c>
      <c r="AN221" t="s">
        <v>94</v>
      </c>
      <c r="AO221" t="s">
        <v>92</v>
      </c>
      <c r="AP221">
        <v>0</v>
      </c>
      <c r="AQ221">
        <v>0</v>
      </c>
      <c r="AR221">
        <v>0</v>
      </c>
      <c r="AS221">
        <v>0</v>
      </c>
      <c r="AT221">
        <v>0</v>
      </c>
      <c r="AU221">
        <v>0</v>
      </c>
      <c r="AV221">
        <v>0</v>
      </c>
      <c r="AW221">
        <v>0</v>
      </c>
      <c r="AX221">
        <v>0</v>
      </c>
      <c r="AY221">
        <v>0</v>
      </c>
    </row>
    <row r="222" spans="1:51" x14ac:dyDescent="0.25">
      <c r="A222" s="12">
        <v>8</v>
      </c>
      <c r="B222" s="12">
        <v>50330</v>
      </c>
      <c r="C222" s="12" t="s">
        <v>735</v>
      </c>
      <c r="D222" s="12" t="s">
        <v>96</v>
      </c>
      <c r="E222" s="12" t="s">
        <v>121</v>
      </c>
      <c r="F222" s="12" t="s">
        <v>107</v>
      </c>
      <c r="G222" s="12" t="s">
        <v>77</v>
      </c>
      <c r="H222" s="12" t="s">
        <v>78</v>
      </c>
      <c r="I222" s="12" t="s">
        <v>79</v>
      </c>
      <c r="J222" s="12" t="s">
        <v>70</v>
      </c>
      <c r="K222" s="12" t="s">
        <v>169</v>
      </c>
      <c r="L222" s="12" t="s">
        <v>76</v>
      </c>
      <c r="M222" s="12" t="s">
        <v>103</v>
      </c>
      <c r="N222" s="12" t="s">
        <v>74</v>
      </c>
      <c r="O222" s="12" t="s">
        <v>104</v>
      </c>
      <c r="P222" s="12" t="s">
        <v>71</v>
      </c>
      <c r="Q222" s="12" t="s">
        <v>71</v>
      </c>
      <c r="R222" s="12" t="s">
        <v>71</v>
      </c>
      <c r="S222" s="12">
        <v>0</v>
      </c>
      <c r="T222" s="12">
        <v>1</v>
      </c>
      <c r="U222" s="12" t="s">
        <v>72</v>
      </c>
      <c r="V222" s="12" t="s">
        <v>73</v>
      </c>
      <c r="W222" s="12">
        <v>0</v>
      </c>
      <c r="X222" s="12">
        <v>1</v>
      </c>
      <c r="Y222" s="12">
        <v>0</v>
      </c>
      <c r="Z222" s="12">
        <v>0</v>
      </c>
      <c r="AA222">
        <v>0</v>
      </c>
      <c r="AB222">
        <v>0</v>
      </c>
      <c r="AC222">
        <v>0</v>
      </c>
      <c r="AD222">
        <v>0</v>
      </c>
      <c r="AE222">
        <v>0</v>
      </c>
      <c r="AF222">
        <v>0</v>
      </c>
      <c r="AG222" t="s">
        <v>71</v>
      </c>
      <c r="AH222">
        <v>0</v>
      </c>
      <c r="AI222">
        <v>0</v>
      </c>
      <c r="AJ222">
        <v>0</v>
      </c>
      <c r="AK222">
        <v>0</v>
      </c>
      <c r="AL222" t="s">
        <v>108</v>
      </c>
      <c r="AM222" t="s">
        <v>93</v>
      </c>
      <c r="AN222" t="s">
        <v>94</v>
      </c>
      <c r="AO222" t="s">
        <v>92</v>
      </c>
      <c r="AP222">
        <v>0</v>
      </c>
      <c r="AQ222">
        <v>0</v>
      </c>
      <c r="AR222">
        <v>0</v>
      </c>
      <c r="AS222">
        <v>0</v>
      </c>
      <c r="AT222">
        <v>0</v>
      </c>
      <c r="AU222">
        <v>0</v>
      </c>
      <c r="AV222">
        <v>0</v>
      </c>
      <c r="AW222">
        <v>0</v>
      </c>
      <c r="AX222">
        <v>0</v>
      </c>
      <c r="AY222">
        <v>0</v>
      </c>
    </row>
    <row r="223" spans="1:51" x14ac:dyDescent="0.25">
      <c r="A223" s="12">
        <v>8</v>
      </c>
      <c r="B223" s="12">
        <v>50340</v>
      </c>
      <c r="C223" s="12" t="s">
        <v>735</v>
      </c>
      <c r="D223" s="12" t="s">
        <v>96</v>
      </c>
      <c r="E223" s="12" t="s">
        <v>121</v>
      </c>
      <c r="F223" s="12" t="s">
        <v>107</v>
      </c>
      <c r="G223" s="12" t="s">
        <v>77</v>
      </c>
      <c r="H223" s="12" t="s">
        <v>78</v>
      </c>
      <c r="I223" s="12" t="s">
        <v>79</v>
      </c>
      <c r="J223" s="12" t="s">
        <v>70</v>
      </c>
      <c r="K223" s="12" t="s">
        <v>169</v>
      </c>
      <c r="L223" s="12" t="s">
        <v>76</v>
      </c>
      <c r="M223" s="12" t="s">
        <v>103</v>
      </c>
      <c r="N223" s="12" t="s">
        <v>74</v>
      </c>
      <c r="O223" s="12" t="s">
        <v>104</v>
      </c>
      <c r="P223" s="12" t="s">
        <v>71</v>
      </c>
      <c r="Q223" s="12" t="s">
        <v>71</v>
      </c>
      <c r="R223" s="12" t="s">
        <v>71</v>
      </c>
      <c r="S223" s="12">
        <v>0</v>
      </c>
      <c r="T223" s="12">
        <v>1</v>
      </c>
      <c r="U223" s="12" t="s">
        <v>72</v>
      </c>
      <c r="V223" s="12" t="s">
        <v>73</v>
      </c>
      <c r="W223" s="12">
        <v>0</v>
      </c>
      <c r="X223" s="12">
        <v>1</v>
      </c>
      <c r="Y223" s="12">
        <v>0</v>
      </c>
      <c r="Z223" s="12">
        <v>0</v>
      </c>
      <c r="AA223">
        <v>0</v>
      </c>
      <c r="AB223">
        <v>0</v>
      </c>
      <c r="AC223">
        <v>0</v>
      </c>
      <c r="AD223">
        <v>0</v>
      </c>
      <c r="AE223">
        <v>0</v>
      </c>
      <c r="AF223">
        <v>0</v>
      </c>
      <c r="AG223" t="s">
        <v>71</v>
      </c>
      <c r="AH223">
        <v>0</v>
      </c>
      <c r="AI223">
        <v>0</v>
      </c>
      <c r="AJ223">
        <v>0</v>
      </c>
      <c r="AK223">
        <v>0</v>
      </c>
      <c r="AL223" t="s">
        <v>108</v>
      </c>
      <c r="AM223" t="s">
        <v>93</v>
      </c>
      <c r="AN223" t="s">
        <v>94</v>
      </c>
      <c r="AO223" t="s">
        <v>92</v>
      </c>
      <c r="AP223">
        <v>0</v>
      </c>
      <c r="AQ223">
        <v>0</v>
      </c>
      <c r="AR223">
        <v>0</v>
      </c>
      <c r="AS223">
        <v>0</v>
      </c>
      <c r="AT223">
        <v>0</v>
      </c>
      <c r="AU223">
        <v>0</v>
      </c>
      <c r="AV223">
        <v>0</v>
      </c>
      <c r="AW223">
        <v>0</v>
      </c>
      <c r="AX223">
        <v>0</v>
      </c>
      <c r="AY223">
        <v>0</v>
      </c>
    </row>
    <row r="224" spans="1:51" x14ac:dyDescent="0.25">
      <c r="A224" s="12">
        <v>8</v>
      </c>
      <c r="B224" s="12">
        <v>50350</v>
      </c>
      <c r="C224" s="12" t="s">
        <v>735</v>
      </c>
      <c r="D224" s="12" t="s">
        <v>96</v>
      </c>
      <c r="E224" s="12" t="s">
        <v>121</v>
      </c>
      <c r="F224" s="12" t="s">
        <v>107</v>
      </c>
      <c r="G224" s="12" t="s">
        <v>77</v>
      </c>
      <c r="H224" s="12" t="s">
        <v>78</v>
      </c>
      <c r="I224" s="12" t="s">
        <v>79</v>
      </c>
      <c r="J224" s="12" t="s">
        <v>70</v>
      </c>
      <c r="K224" s="12" t="s">
        <v>75</v>
      </c>
      <c r="L224" s="12" t="s">
        <v>76</v>
      </c>
      <c r="M224" s="12" t="s">
        <v>103</v>
      </c>
      <c r="N224" s="12" t="s">
        <v>74</v>
      </c>
      <c r="O224" s="12" t="s">
        <v>104</v>
      </c>
      <c r="P224" s="12" t="s">
        <v>71</v>
      </c>
      <c r="Q224" s="12" t="s">
        <v>71</v>
      </c>
      <c r="R224" s="12" t="s">
        <v>71</v>
      </c>
      <c r="S224" s="12">
        <v>0</v>
      </c>
      <c r="T224" s="12">
        <v>1</v>
      </c>
      <c r="U224" s="12" t="s">
        <v>72</v>
      </c>
      <c r="V224" s="12" t="s">
        <v>73</v>
      </c>
      <c r="W224" s="12">
        <v>0</v>
      </c>
      <c r="X224" s="12">
        <v>0</v>
      </c>
      <c r="Y224" s="12">
        <v>0</v>
      </c>
      <c r="Z224" s="12">
        <v>0</v>
      </c>
      <c r="AA224">
        <v>0</v>
      </c>
      <c r="AB224">
        <v>0</v>
      </c>
      <c r="AC224">
        <v>0</v>
      </c>
      <c r="AD224">
        <v>0</v>
      </c>
      <c r="AE224">
        <v>0</v>
      </c>
      <c r="AF224">
        <v>0</v>
      </c>
      <c r="AG224" t="s">
        <v>71</v>
      </c>
      <c r="AH224">
        <v>0</v>
      </c>
      <c r="AI224">
        <v>0</v>
      </c>
      <c r="AJ224">
        <v>0</v>
      </c>
      <c r="AK224">
        <v>0</v>
      </c>
      <c r="AL224" t="s">
        <v>146</v>
      </c>
      <c r="AM224" t="s">
        <v>93</v>
      </c>
      <c r="AN224" t="s">
        <v>148</v>
      </c>
      <c r="AO224" t="s">
        <v>147</v>
      </c>
      <c r="AP224">
        <v>0</v>
      </c>
      <c r="AQ224">
        <v>0</v>
      </c>
      <c r="AR224">
        <v>128</v>
      </c>
      <c r="AS224">
        <v>0</v>
      </c>
      <c r="AT224">
        <v>0</v>
      </c>
      <c r="AU224">
        <v>0</v>
      </c>
      <c r="AV224">
        <v>0</v>
      </c>
      <c r="AW224">
        <v>0</v>
      </c>
      <c r="AX224">
        <v>0</v>
      </c>
      <c r="AY224">
        <v>0</v>
      </c>
    </row>
    <row r="225" spans="1:51" x14ac:dyDescent="0.25">
      <c r="A225" s="12">
        <v>8</v>
      </c>
      <c r="B225" s="12">
        <v>50360</v>
      </c>
      <c r="C225" s="12" t="s">
        <v>735</v>
      </c>
      <c r="D225" s="12" t="s">
        <v>96</v>
      </c>
      <c r="E225" s="12" t="s">
        <v>121</v>
      </c>
      <c r="F225" s="12" t="s">
        <v>107</v>
      </c>
      <c r="G225" s="12" t="s">
        <v>77</v>
      </c>
      <c r="H225" s="12" t="s">
        <v>78</v>
      </c>
      <c r="I225" s="12" t="s">
        <v>79</v>
      </c>
      <c r="J225" s="12" t="s">
        <v>119</v>
      </c>
      <c r="K225" s="12" t="s">
        <v>172</v>
      </c>
      <c r="L225" s="12" t="s">
        <v>76</v>
      </c>
      <c r="M225" s="12" t="s">
        <v>149</v>
      </c>
      <c r="N225" s="12" t="s">
        <v>74</v>
      </c>
      <c r="O225" s="12" t="s">
        <v>104</v>
      </c>
      <c r="P225" s="12" t="s">
        <v>71</v>
      </c>
      <c r="Q225" s="12" t="s">
        <v>71</v>
      </c>
      <c r="R225" s="12" t="s">
        <v>71</v>
      </c>
      <c r="S225" s="12">
        <v>0</v>
      </c>
      <c r="T225" s="12">
        <v>1</v>
      </c>
      <c r="U225" s="12" t="s">
        <v>72</v>
      </c>
      <c r="V225" s="12" t="s">
        <v>73</v>
      </c>
      <c r="W225" s="12">
        <v>0</v>
      </c>
      <c r="X225" s="12">
        <v>1</v>
      </c>
      <c r="Y225" s="12">
        <v>1</v>
      </c>
      <c r="Z225" s="12">
        <v>0</v>
      </c>
      <c r="AA225">
        <v>1</v>
      </c>
      <c r="AB225">
        <v>0.1</v>
      </c>
      <c r="AC225">
        <v>1</v>
      </c>
      <c r="AD225">
        <v>0</v>
      </c>
      <c r="AE225">
        <v>1</v>
      </c>
      <c r="AF225">
        <v>0.2</v>
      </c>
      <c r="AG225" t="s">
        <v>71</v>
      </c>
      <c r="AH225">
        <v>0</v>
      </c>
      <c r="AI225">
        <v>0</v>
      </c>
      <c r="AJ225">
        <v>0</v>
      </c>
      <c r="AK225">
        <v>0</v>
      </c>
      <c r="AL225" t="s">
        <v>108</v>
      </c>
      <c r="AM225" t="s">
        <v>93</v>
      </c>
      <c r="AN225" t="s">
        <v>94</v>
      </c>
      <c r="AO225" t="s">
        <v>92</v>
      </c>
      <c r="AP225">
        <v>0</v>
      </c>
      <c r="AQ225">
        <v>0</v>
      </c>
      <c r="AR225">
        <v>0</v>
      </c>
      <c r="AS225">
        <v>0</v>
      </c>
      <c r="AT225">
        <v>0</v>
      </c>
      <c r="AU225">
        <v>0</v>
      </c>
      <c r="AV225">
        <v>0</v>
      </c>
      <c r="AW225">
        <v>0</v>
      </c>
      <c r="AX225">
        <v>0</v>
      </c>
      <c r="AY225">
        <v>0</v>
      </c>
    </row>
    <row r="226" spans="1:51" x14ac:dyDescent="0.25">
      <c r="A226" s="12">
        <v>8</v>
      </c>
      <c r="B226" s="12">
        <v>50370</v>
      </c>
      <c r="C226" s="12" t="s">
        <v>735</v>
      </c>
      <c r="D226" s="12" t="s">
        <v>96</v>
      </c>
      <c r="E226" s="12" t="s">
        <v>121</v>
      </c>
      <c r="F226" s="12" t="s">
        <v>107</v>
      </c>
      <c r="G226" s="12" t="s">
        <v>77</v>
      </c>
      <c r="H226" s="12" t="s">
        <v>78</v>
      </c>
      <c r="I226" s="12" t="s">
        <v>79</v>
      </c>
      <c r="J226" s="12" t="s">
        <v>70</v>
      </c>
      <c r="K226" s="12" t="s">
        <v>172</v>
      </c>
      <c r="L226" s="12" t="s">
        <v>76</v>
      </c>
      <c r="M226" s="12" t="s">
        <v>103</v>
      </c>
      <c r="N226" s="12" t="s">
        <v>74</v>
      </c>
      <c r="O226" s="12" t="s">
        <v>104</v>
      </c>
      <c r="P226" s="12" t="s">
        <v>71</v>
      </c>
      <c r="Q226" s="12" t="s">
        <v>71</v>
      </c>
      <c r="R226" s="12" t="s">
        <v>71</v>
      </c>
      <c r="S226" s="12">
        <v>0</v>
      </c>
      <c r="T226" s="12">
        <v>1</v>
      </c>
      <c r="U226" s="12" t="s">
        <v>72</v>
      </c>
      <c r="V226" s="12" t="s">
        <v>73</v>
      </c>
      <c r="W226" s="12">
        <v>0</v>
      </c>
      <c r="X226" s="12">
        <v>1</v>
      </c>
      <c r="Y226" s="12">
        <v>0</v>
      </c>
      <c r="Z226" s="12">
        <v>0</v>
      </c>
      <c r="AA226">
        <v>0</v>
      </c>
      <c r="AB226">
        <v>0</v>
      </c>
      <c r="AC226">
        <v>0</v>
      </c>
      <c r="AD226">
        <v>0</v>
      </c>
      <c r="AE226">
        <v>0</v>
      </c>
      <c r="AF226">
        <v>0</v>
      </c>
      <c r="AG226" t="s">
        <v>71</v>
      </c>
      <c r="AH226">
        <v>0</v>
      </c>
      <c r="AI226">
        <v>0</v>
      </c>
      <c r="AJ226">
        <v>0</v>
      </c>
      <c r="AK226">
        <v>0</v>
      </c>
      <c r="AL226" t="s">
        <v>108</v>
      </c>
      <c r="AM226" t="s">
        <v>93</v>
      </c>
      <c r="AN226" t="s">
        <v>94</v>
      </c>
      <c r="AO226" t="s">
        <v>92</v>
      </c>
      <c r="AP226">
        <v>0</v>
      </c>
      <c r="AQ226">
        <v>0</v>
      </c>
      <c r="AR226">
        <v>0</v>
      </c>
      <c r="AS226">
        <v>0</v>
      </c>
      <c r="AT226">
        <v>0</v>
      </c>
      <c r="AU226">
        <v>0</v>
      </c>
      <c r="AV226">
        <v>0</v>
      </c>
      <c r="AW226">
        <v>0</v>
      </c>
      <c r="AX226">
        <v>0</v>
      </c>
      <c r="AY226">
        <v>0</v>
      </c>
    </row>
    <row r="227" spans="1:51" x14ac:dyDescent="0.25">
      <c r="A227" s="12">
        <v>8</v>
      </c>
      <c r="B227" s="12">
        <v>55350</v>
      </c>
      <c r="C227" s="12" t="s">
        <v>735</v>
      </c>
      <c r="D227" s="12" t="s">
        <v>96</v>
      </c>
      <c r="E227" s="12" t="s">
        <v>121</v>
      </c>
      <c r="F227" s="12" t="s">
        <v>107</v>
      </c>
      <c r="G227" s="12" t="s">
        <v>77</v>
      </c>
      <c r="H227" s="12" t="s">
        <v>78</v>
      </c>
      <c r="I227" s="12" t="s">
        <v>79</v>
      </c>
      <c r="J227" s="12" t="s">
        <v>70</v>
      </c>
      <c r="K227" s="12" t="s">
        <v>172</v>
      </c>
      <c r="L227" s="12" t="s">
        <v>76</v>
      </c>
      <c r="M227" s="12" t="s">
        <v>103</v>
      </c>
      <c r="N227" s="12" t="s">
        <v>74</v>
      </c>
      <c r="O227" s="12" t="s">
        <v>104</v>
      </c>
      <c r="P227" s="12" t="s">
        <v>71</v>
      </c>
      <c r="Q227" s="12" t="s">
        <v>71</v>
      </c>
      <c r="R227" s="12" t="s">
        <v>71</v>
      </c>
      <c r="S227" s="12">
        <v>0</v>
      </c>
      <c r="T227" s="12">
        <v>1</v>
      </c>
      <c r="U227" s="12" t="s">
        <v>72</v>
      </c>
      <c r="V227" s="12" t="s">
        <v>73</v>
      </c>
      <c r="W227" s="12">
        <v>0</v>
      </c>
      <c r="X227" s="12">
        <v>1</v>
      </c>
      <c r="Y227" s="12">
        <v>0</v>
      </c>
      <c r="Z227" s="12">
        <v>0</v>
      </c>
      <c r="AA227">
        <v>0</v>
      </c>
      <c r="AB227">
        <v>0</v>
      </c>
      <c r="AC227">
        <v>0</v>
      </c>
      <c r="AD227">
        <v>0</v>
      </c>
      <c r="AE227">
        <v>0</v>
      </c>
      <c r="AF227">
        <v>0</v>
      </c>
      <c r="AG227" t="s">
        <v>71</v>
      </c>
      <c r="AH227">
        <v>0</v>
      </c>
      <c r="AI227">
        <v>0</v>
      </c>
      <c r="AJ227">
        <v>0</v>
      </c>
      <c r="AK227">
        <v>0</v>
      </c>
      <c r="AL227" t="s">
        <v>108</v>
      </c>
      <c r="AM227" t="s">
        <v>93</v>
      </c>
      <c r="AN227" t="s">
        <v>94</v>
      </c>
      <c r="AO227" t="s">
        <v>92</v>
      </c>
      <c r="AP227">
        <v>0</v>
      </c>
      <c r="AQ227">
        <v>0</v>
      </c>
      <c r="AR227">
        <v>0</v>
      </c>
      <c r="AS227">
        <v>0</v>
      </c>
      <c r="AT227">
        <v>0</v>
      </c>
      <c r="AU227">
        <v>0</v>
      </c>
      <c r="AV227">
        <v>0</v>
      </c>
      <c r="AW227">
        <v>0</v>
      </c>
      <c r="AX227">
        <v>0</v>
      </c>
      <c r="AY227">
        <v>0</v>
      </c>
    </row>
    <row r="228" spans="1:51" x14ac:dyDescent="0.25">
      <c r="A228" s="12">
        <v>8</v>
      </c>
      <c r="B228" s="12">
        <v>55360</v>
      </c>
      <c r="C228" s="12" t="s">
        <v>735</v>
      </c>
      <c r="D228" s="12" t="s">
        <v>96</v>
      </c>
      <c r="E228" s="12" t="s">
        <v>121</v>
      </c>
      <c r="F228" s="12" t="s">
        <v>107</v>
      </c>
      <c r="G228" s="12" t="s">
        <v>77</v>
      </c>
      <c r="H228" s="12" t="s">
        <v>78</v>
      </c>
      <c r="I228" s="12" t="s">
        <v>79</v>
      </c>
      <c r="J228" s="12" t="s">
        <v>70</v>
      </c>
      <c r="K228" s="12" t="s">
        <v>172</v>
      </c>
      <c r="L228" s="12" t="s">
        <v>76</v>
      </c>
      <c r="M228" s="12" t="s">
        <v>103</v>
      </c>
      <c r="N228" s="12" t="s">
        <v>74</v>
      </c>
      <c r="O228" s="12" t="s">
        <v>104</v>
      </c>
      <c r="P228" s="12" t="s">
        <v>71</v>
      </c>
      <c r="Q228" s="12" t="s">
        <v>71</v>
      </c>
      <c r="R228" s="12" t="s">
        <v>71</v>
      </c>
      <c r="S228" s="12">
        <v>0</v>
      </c>
      <c r="T228" s="12">
        <v>1</v>
      </c>
      <c r="U228" s="12" t="s">
        <v>72</v>
      </c>
      <c r="V228" s="12" t="s">
        <v>73</v>
      </c>
      <c r="W228" s="12">
        <v>0</v>
      </c>
      <c r="X228" s="12">
        <v>1</v>
      </c>
      <c r="Y228" s="12">
        <v>0</v>
      </c>
      <c r="Z228" s="12">
        <v>0</v>
      </c>
      <c r="AA228">
        <v>0</v>
      </c>
      <c r="AB228">
        <v>0</v>
      </c>
      <c r="AC228">
        <v>0</v>
      </c>
      <c r="AD228">
        <v>0</v>
      </c>
      <c r="AE228">
        <v>0</v>
      </c>
      <c r="AF228">
        <v>0</v>
      </c>
      <c r="AG228" t="s">
        <v>71</v>
      </c>
      <c r="AH228">
        <v>0</v>
      </c>
      <c r="AI228">
        <v>0</v>
      </c>
      <c r="AJ228">
        <v>0</v>
      </c>
      <c r="AK228">
        <v>0</v>
      </c>
      <c r="AL228" t="s">
        <v>108</v>
      </c>
      <c r="AM228" t="s">
        <v>93</v>
      </c>
      <c r="AN228" t="s">
        <v>94</v>
      </c>
      <c r="AO228" t="s">
        <v>92</v>
      </c>
      <c r="AP228">
        <v>0</v>
      </c>
      <c r="AQ228">
        <v>0</v>
      </c>
      <c r="AR228">
        <v>0</v>
      </c>
      <c r="AS228">
        <v>0</v>
      </c>
      <c r="AT228">
        <v>0</v>
      </c>
      <c r="AU228">
        <v>0</v>
      </c>
      <c r="AV228">
        <v>0</v>
      </c>
      <c r="AW228">
        <v>0</v>
      </c>
      <c r="AX228">
        <v>0</v>
      </c>
      <c r="AY228">
        <v>0</v>
      </c>
    </row>
    <row r="229" spans="1:51" x14ac:dyDescent="0.25">
      <c r="A229" s="12">
        <v>8</v>
      </c>
      <c r="B229" s="12">
        <v>55370</v>
      </c>
      <c r="C229" s="12" t="s">
        <v>735</v>
      </c>
      <c r="D229" s="12" t="s">
        <v>96</v>
      </c>
      <c r="E229" s="12" t="s">
        <v>121</v>
      </c>
      <c r="F229" s="12" t="s">
        <v>107</v>
      </c>
      <c r="G229" s="12" t="s">
        <v>77</v>
      </c>
      <c r="H229" s="12" t="s">
        <v>78</v>
      </c>
      <c r="I229" s="12" t="s">
        <v>79</v>
      </c>
      <c r="J229" s="12" t="s">
        <v>70</v>
      </c>
      <c r="K229" s="12" t="s">
        <v>172</v>
      </c>
      <c r="L229" s="12" t="s">
        <v>76</v>
      </c>
      <c r="M229" s="12" t="s">
        <v>103</v>
      </c>
      <c r="N229" s="12" t="s">
        <v>74</v>
      </c>
      <c r="O229" s="12" t="s">
        <v>104</v>
      </c>
      <c r="P229" s="12" t="s">
        <v>71</v>
      </c>
      <c r="Q229" s="12" t="s">
        <v>71</v>
      </c>
      <c r="R229" s="12" t="s">
        <v>71</v>
      </c>
      <c r="S229" s="12">
        <v>0</v>
      </c>
      <c r="T229" s="12">
        <v>1</v>
      </c>
      <c r="U229" s="12" t="s">
        <v>72</v>
      </c>
      <c r="V229" s="12" t="s">
        <v>73</v>
      </c>
      <c r="W229" s="12">
        <v>0</v>
      </c>
      <c r="X229" s="12">
        <v>1</v>
      </c>
      <c r="Y229" s="12">
        <v>0</v>
      </c>
      <c r="Z229" s="12">
        <v>0</v>
      </c>
      <c r="AA229">
        <v>0</v>
      </c>
      <c r="AB229">
        <v>0</v>
      </c>
      <c r="AC229">
        <v>0</v>
      </c>
      <c r="AD229">
        <v>0</v>
      </c>
      <c r="AE229">
        <v>0</v>
      </c>
      <c r="AF229">
        <v>0</v>
      </c>
      <c r="AG229" t="s">
        <v>71</v>
      </c>
      <c r="AH229">
        <v>0</v>
      </c>
      <c r="AI229">
        <v>0</v>
      </c>
      <c r="AJ229">
        <v>0</v>
      </c>
      <c r="AK229">
        <v>0</v>
      </c>
      <c r="AL229" t="s">
        <v>108</v>
      </c>
      <c r="AM229" t="s">
        <v>93</v>
      </c>
      <c r="AN229" t="s">
        <v>94</v>
      </c>
      <c r="AO229" t="s">
        <v>92</v>
      </c>
      <c r="AP229">
        <v>0</v>
      </c>
      <c r="AQ229">
        <v>0</v>
      </c>
      <c r="AR229">
        <v>0</v>
      </c>
      <c r="AS229">
        <v>0</v>
      </c>
      <c r="AT229">
        <v>0</v>
      </c>
      <c r="AU229">
        <v>0</v>
      </c>
      <c r="AV229">
        <v>0</v>
      </c>
      <c r="AW229">
        <v>0</v>
      </c>
      <c r="AX229">
        <v>0</v>
      </c>
      <c r="AY229">
        <v>0</v>
      </c>
    </row>
    <row r="230" spans="1:51" x14ac:dyDescent="0.25">
      <c r="A230" s="12">
        <v>8</v>
      </c>
      <c r="B230" s="12">
        <v>55380</v>
      </c>
      <c r="C230" s="12" t="s">
        <v>735</v>
      </c>
      <c r="D230" s="12" t="s">
        <v>96</v>
      </c>
      <c r="E230" s="12" t="s">
        <v>121</v>
      </c>
      <c r="F230" s="12" t="s">
        <v>107</v>
      </c>
      <c r="G230" s="12" t="s">
        <v>77</v>
      </c>
      <c r="H230" s="12" t="s">
        <v>78</v>
      </c>
      <c r="I230" s="12" t="s">
        <v>79</v>
      </c>
      <c r="J230" s="12" t="s">
        <v>70</v>
      </c>
      <c r="K230" s="12" t="s">
        <v>172</v>
      </c>
      <c r="L230" s="12" t="s">
        <v>76</v>
      </c>
      <c r="M230" s="12" t="s">
        <v>103</v>
      </c>
      <c r="N230" s="12" t="s">
        <v>74</v>
      </c>
      <c r="O230" s="12" t="s">
        <v>104</v>
      </c>
      <c r="P230" s="12" t="s">
        <v>71</v>
      </c>
      <c r="Q230" s="12" t="s">
        <v>71</v>
      </c>
      <c r="R230" s="12" t="s">
        <v>71</v>
      </c>
      <c r="S230" s="12">
        <v>0</v>
      </c>
      <c r="T230" s="12">
        <v>1</v>
      </c>
      <c r="U230" s="12" t="s">
        <v>72</v>
      </c>
      <c r="V230" s="12" t="s">
        <v>73</v>
      </c>
      <c r="W230" s="12">
        <v>0</v>
      </c>
      <c r="X230" s="12">
        <v>1</v>
      </c>
      <c r="Y230" s="12">
        <v>0</v>
      </c>
      <c r="Z230" s="12">
        <v>0</v>
      </c>
      <c r="AA230">
        <v>0</v>
      </c>
      <c r="AB230">
        <v>0</v>
      </c>
      <c r="AC230">
        <v>0</v>
      </c>
      <c r="AD230">
        <v>0</v>
      </c>
      <c r="AE230">
        <v>0</v>
      </c>
      <c r="AF230">
        <v>0</v>
      </c>
      <c r="AG230" t="s">
        <v>71</v>
      </c>
      <c r="AH230">
        <v>0</v>
      </c>
      <c r="AI230">
        <v>0</v>
      </c>
      <c r="AJ230">
        <v>0</v>
      </c>
      <c r="AK230">
        <v>0</v>
      </c>
      <c r="AL230" t="s">
        <v>108</v>
      </c>
      <c r="AM230" t="s">
        <v>93</v>
      </c>
      <c r="AN230" t="s">
        <v>94</v>
      </c>
      <c r="AO230" t="s">
        <v>92</v>
      </c>
      <c r="AP230">
        <v>0</v>
      </c>
      <c r="AQ230">
        <v>0</v>
      </c>
      <c r="AR230">
        <v>0</v>
      </c>
      <c r="AS230">
        <v>0</v>
      </c>
      <c r="AT230">
        <v>0</v>
      </c>
      <c r="AU230">
        <v>0</v>
      </c>
      <c r="AV230">
        <v>0</v>
      </c>
      <c r="AW230">
        <v>0</v>
      </c>
      <c r="AX230">
        <v>0</v>
      </c>
      <c r="AY230">
        <v>0</v>
      </c>
    </row>
    <row r="231" spans="1:51" x14ac:dyDescent="0.25">
      <c r="A231" s="12">
        <v>8</v>
      </c>
      <c r="B231" s="12">
        <v>55390</v>
      </c>
      <c r="C231" s="12" t="s">
        <v>735</v>
      </c>
      <c r="D231" s="12" t="s">
        <v>96</v>
      </c>
      <c r="E231" s="12" t="s">
        <v>121</v>
      </c>
      <c r="F231" s="12" t="s">
        <v>107</v>
      </c>
      <c r="G231" s="12" t="s">
        <v>77</v>
      </c>
      <c r="H231" s="12" t="s">
        <v>78</v>
      </c>
      <c r="I231" s="12" t="s">
        <v>79</v>
      </c>
      <c r="J231" s="12" t="s">
        <v>70</v>
      </c>
      <c r="K231" s="12" t="s">
        <v>75</v>
      </c>
      <c r="L231" s="12" t="s">
        <v>76</v>
      </c>
      <c r="M231" s="12" t="s">
        <v>103</v>
      </c>
      <c r="N231" s="12" t="s">
        <v>74</v>
      </c>
      <c r="O231" s="12" t="s">
        <v>104</v>
      </c>
      <c r="P231" s="12" t="s">
        <v>71</v>
      </c>
      <c r="Q231" s="12" t="s">
        <v>71</v>
      </c>
      <c r="R231" s="12" t="s">
        <v>71</v>
      </c>
      <c r="S231" s="12">
        <v>0</v>
      </c>
      <c r="T231" s="12">
        <v>1</v>
      </c>
      <c r="U231" s="12" t="s">
        <v>72</v>
      </c>
      <c r="V231" s="12" t="s">
        <v>73</v>
      </c>
      <c r="W231" s="12">
        <v>0</v>
      </c>
      <c r="X231" s="12">
        <v>0</v>
      </c>
      <c r="Y231" s="12">
        <v>0</v>
      </c>
      <c r="Z231" s="12">
        <v>0</v>
      </c>
      <c r="AA231">
        <v>0</v>
      </c>
      <c r="AB231">
        <v>0</v>
      </c>
      <c r="AC231">
        <v>0</v>
      </c>
      <c r="AD231">
        <v>0</v>
      </c>
      <c r="AE231">
        <v>0</v>
      </c>
      <c r="AF231">
        <v>0</v>
      </c>
      <c r="AG231" t="s">
        <v>71</v>
      </c>
      <c r="AH231">
        <v>0</v>
      </c>
      <c r="AI231">
        <v>0</v>
      </c>
      <c r="AJ231">
        <v>0</v>
      </c>
      <c r="AK231">
        <v>0</v>
      </c>
      <c r="AL231" t="s">
        <v>146</v>
      </c>
      <c r="AM231" t="s">
        <v>93</v>
      </c>
      <c r="AN231" t="s">
        <v>148</v>
      </c>
      <c r="AO231" t="s">
        <v>147</v>
      </c>
      <c r="AP231">
        <v>0</v>
      </c>
      <c r="AQ231">
        <v>0</v>
      </c>
      <c r="AR231">
        <v>128</v>
      </c>
      <c r="AS231">
        <v>0</v>
      </c>
      <c r="AT231">
        <v>0</v>
      </c>
      <c r="AU231">
        <v>0</v>
      </c>
      <c r="AV231">
        <v>0</v>
      </c>
      <c r="AW231">
        <v>0</v>
      </c>
      <c r="AX231">
        <v>0</v>
      </c>
      <c r="AY231">
        <v>0</v>
      </c>
    </row>
    <row r="232" spans="1:51" x14ac:dyDescent="0.25">
      <c r="A232" s="12">
        <v>8</v>
      </c>
      <c r="B232" s="12">
        <v>55400</v>
      </c>
      <c r="C232" s="12" t="s">
        <v>735</v>
      </c>
      <c r="D232" s="12" t="s">
        <v>96</v>
      </c>
      <c r="E232" s="12" t="s">
        <v>121</v>
      </c>
      <c r="F232" s="12" t="s">
        <v>107</v>
      </c>
      <c r="G232" s="12" t="s">
        <v>77</v>
      </c>
      <c r="H232" s="12" t="s">
        <v>78</v>
      </c>
      <c r="I232" s="12" t="s">
        <v>79</v>
      </c>
      <c r="J232" s="12" t="s">
        <v>119</v>
      </c>
      <c r="K232" s="12" t="s">
        <v>75</v>
      </c>
      <c r="L232" s="12" t="s">
        <v>76</v>
      </c>
      <c r="M232" s="12" t="s">
        <v>149</v>
      </c>
      <c r="N232" s="12" t="s">
        <v>173</v>
      </c>
      <c r="O232" s="12" t="s">
        <v>104</v>
      </c>
      <c r="P232" s="12" t="s">
        <v>71</v>
      </c>
      <c r="Q232" s="12" t="s">
        <v>71</v>
      </c>
      <c r="R232" s="12" t="s">
        <v>71</v>
      </c>
      <c r="S232" s="12">
        <v>0</v>
      </c>
      <c r="T232" s="12">
        <v>1</v>
      </c>
      <c r="U232" s="12" t="s">
        <v>72</v>
      </c>
      <c r="V232" s="12" t="s">
        <v>73</v>
      </c>
      <c r="W232" s="12">
        <v>0</v>
      </c>
      <c r="X232" s="12">
        <v>1</v>
      </c>
      <c r="Y232" s="12">
        <v>1</v>
      </c>
      <c r="Z232" s="12">
        <v>0</v>
      </c>
      <c r="AA232">
        <v>1</v>
      </c>
      <c r="AB232">
        <v>0.1</v>
      </c>
      <c r="AC232">
        <v>1</v>
      </c>
      <c r="AD232">
        <v>0</v>
      </c>
      <c r="AE232">
        <v>1</v>
      </c>
      <c r="AF232">
        <v>0.2</v>
      </c>
      <c r="AG232" t="s">
        <v>71</v>
      </c>
      <c r="AH232">
        <v>0</v>
      </c>
      <c r="AI232">
        <v>0</v>
      </c>
      <c r="AJ232">
        <v>0</v>
      </c>
      <c r="AK232">
        <v>0</v>
      </c>
      <c r="AL232" t="s">
        <v>108</v>
      </c>
      <c r="AM232" t="s">
        <v>93</v>
      </c>
      <c r="AN232" t="s">
        <v>94</v>
      </c>
      <c r="AO232" t="s">
        <v>92</v>
      </c>
      <c r="AP232">
        <v>0</v>
      </c>
      <c r="AQ232">
        <v>0</v>
      </c>
      <c r="AR232">
        <v>0</v>
      </c>
      <c r="AS232">
        <v>0</v>
      </c>
      <c r="AT232">
        <v>0</v>
      </c>
      <c r="AU232">
        <v>0</v>
      </c>
      <c r="AV232">
        <v>0</v>
      </c>
      <c r="AW232">
        <v>0</v>
      </c>
      <c r="AX232">
        <v>0</v>
      </c>
      <c r="AY232">
        <v>0</v>
      </c>
    </row>
    <row r="233" spans="1:51" x14ac:dyDescent="0.25">
      <c r="A233" s="12">
        <v>8</v>
      </c>
      <c r="B233" s="12">
        <v>55410</v>
      </c>
      <c r="C233" s="12" t="s">
        <v>735</v>
      </c>
      <c r="D233" s="12" t="s">
        <v>96</v>
      </c>
      <c r="E233" s="12" t="s">
        <v>121</v>
      </c>
      <c r="F233" s="12" t="s">
        <v>107</v>
      </c>
      <c r="G233" s="12" t="s">
        <v>77</v>
      </c>
      <c r="H233" s="12" t="s">
        <v>78</v>
      </c>
      <c r="I233" s="12" t="s">
        <v>79</v>
      </c>
      <c r="J233" s="12" t="s">
        <v>70</v>
      </c>
      <c r="K233" s="12" t="s">
        <v>75</v>
      </c>
      <c r="L233" s="12" t="s">
        <v>76</v>
      </c>
      <c r="M233" s="12" t="s">
        <v>149</v>
      </c>
      <c r="N233" s="12" t="s">
        <v>173</v>
      </c>
      <c r="O233" s="12" t="s">
        <v>104</v>
      </c>
      <c r="P233" s="12" t="s">
        <v>71</v>
      </c>
      <c r="Q233" s="12" t="s">
        <v>71</v>
      </c>
      <c r="R233" s="12" t="s">
        <v>71</v>
      </c>
      <c r="S233" s="12">
        <v>0</v>
      </c>
      <c r="T233" s="12">
        <v>1</v>
      </c>
      <c r="U233" s="12" t="s">
        <v>72</v>
      </c>
      <c r="V233" s="12" t="s">
        <v>73</v>
      </c>
      <c r="W233" s="12">
        <v>0</v>
      </c>
      <c r="X233" s="12">
        <v>1</v>
      </c>
      <c r="Y233" s="12">
        <v>1</v>
      </c>
      <c r="Z233" s="12">
        <v>0</v>
      </c>
      <c r="AA233">
        <v>1</v>
      </c>
      <c r="AB233">
        <v>0.1</v>
      </c>
      <c r="AC233">
        <v>1</v>
      </c>
      <c r="AD233">
        <v>0</v>
      </c>
      <c r="AE233">
        <v>1</v>
      </c>
      <c r="AF233">
        <v>0.2</v>
      </c>
      <c r="AG233" t="s">
        <v>71</v>
      </c>
      <c r="AH233">
        <v>0</v>
      </c>
      <c r="AI233">
        <v>0</v>
      </c>
      <c r="AJ233">
        <v>0</v>
      </c>
      <c r="AK233">
        <v>0</v>
      </c>
      <c r="AL233" t="s">
        <v>108</v>
      </c>
      <c r="AM233" t="s">
        <v>93</v>
      </c>
      <c r="AN233" t="s">
        <v>94</v>
      </c>
      <c r="AO233" t="s">
        <v>92</v>
      </c>
      <c r="AP233">
        <v>0</v>
      </c>
      <c r="AQ233">
        <v>0</v>
      </c>
      <c r="AR233">
        <v>0</v>
      </c>
      <c r="AS233">
        <v>0</v>
      </c>
      <c r="AT233">
        <v>0</v>
      </c>
      <c r="AU233">
        <v>0</v>
      </c>
      <c r="AV233">
        <v>0</v>
      </c>
      <c r="AW233">
        <v>0</v>
      </c>
      <c r="AX233">
        <v>0</v>
      </c>
      <c r="AY233">
        <v>0</v>
      </c>
    </row>
    <row r="234" spans="1:51" x14ac:dyDescent="0.25">
      <c r="A234">
        <v>8</v>
      </c>
      <c r="B234">
        <v>60390</v>
      </c>
      <c r="C234" t="s">
        <v>735</v>
      </c>
      <c r="D234" t="s">
        <v>96</v>
      </c>
      <c r="E234" t="s">
        <v>121</v>
      </c>
      <c r="F234" t="s">
        <v>107</v>
      </c>
      <c r="G234" t="s">
        <v>77</v>
      </c>
      <c r="H234" t="s">
        <v>78</v>
      </c>
      <c r="I234" t="s">
        <v>79</v>
      </c>
      <c r="J234" t="s">
        <v>70</v>
      </c>
      <c r="K234" t="s">
        <v>75</v>
      </c>
      <c r="L234" t="s">
        <v>76</v>
      </c>
      <c r="M234" t="s">
        <v>149</v>
      </c>
      <c r="N234" t="s">
        <v>173</v>
      </c>
      <c r="O234" t="s">
        <v>104</v>
      </c>
      <c r="P234" t="s">
        <v>71</v>
      </c>
      <c r="Q234" t="s">
        <v>71</v>
      </c>
      <c r="R234" t="s">
        <v>71</v>
      </c>
      <c r="S234">
        <v>0</v>
      </c>
      <c r="T234">
        <v>1</v>
      </c>
      <c r="U234" t="s">
        <v>72</v>
      </c>
      <c r="V234" t="s">
        <v>73</v>
      </c>
      <c r="W234">
        <v>0</v>
      </c>
      <c r="X234">
        <v>1</v>
      </c>
      <c r="Y234">
        <v>1</v>
      </c>
      <c r="Z234">
        <v>0</v>
      </c>
      <c r="AA234">
        <v>1</v>
      </c>
      <c r="AB234">
        <v>0.1</v>
      </c>
      <c r="AC234">
        <v>1</v>
      </c>
      <c r="AD234">
        <v>0</v>
      </c>
      <c r="AE234">
        <v>1</v>
      </c>
      <c r="AF234">
        <v>0.2</v>
      </c>
      <c r="AG234" t="s">
        <v>71</v>
      </c>
      <c r="AH234">
        <v>0</v>
      </c>
      <c r="AI234">
        <v>0</v>
      </c>
      <c r="AJ234">
        <v>0</v>
      </c>
      <c r="AK234">
        <v>0</v>
      </c>
      <c r="AL234" t="s">
        <v>108</v>
      </c>
      <c r="AM234" t="s">
        <v>93</v>
      </c>
      <c r="AN234" t="s">
        <v>94</v>
      </c>
      <c r="AO234" t="s">
        <v>92</v>
      </c>
      <c r="AP234">
        <v>0</v>
      </c>
      <c r="AQ234">
        <v>0</v>
      </c>
      <c r="AR234">
        <v>0</v>
      </c>
      <c r="AS234">
        <v>0</v>
      </c>
      <c r="AT234">
        <v>0</v>
      </c>
      <c r="AU234">
        <v>0</v>
      </c>
      <c r="AV234">
        <v>0</v>
      </c>
      <c r="AW234">
        <v>0</v>
      </c>
      <c r="AX234">
        <v>0</v>
      </c>
      <c r="AY234">
        <v>0</v>
      </c>
    </row>
    <row r="235" spans="1:51" x14ac:dyDescent="0.25">
      <c r="A235">
        <v>8</v>
      </c>
      <c r="B235">
        <v>60400</v>
      </c>
      <c r="C235" t="s">
        <v>735</v>
      </c>
      <c r="D235" t="s">
        <v>96</v>
      </c>
      <c r="E235" t="s">
        <v>121</v>
      </c>
      <c r="F235" t="s">
        <v>107</v>
      </c>
      <c r="G235" t="s">
        <v>77</v>
      </c>
      <c r="H235" t="s">
        <v>78</v>
      </c>
      <c r="I235" t="s">
        <v>79</v>
      </c>
      <c r="J235" t="s">
        <v>70</v>
      </c>
      <c r="K235" t="s">
        <v>75</v>
      </c>
      <c r="L235" t="s">
        <v>76</v>
      </c>
      <c r="M235" t="s">
        <v>149</v>
      </c>
      <c r="N235" t="s">
        <v>173</v>
      </c>
      <c r="O235" t="s">
        <v>104</v>
      </c>
      <c r="P235" t="s">
        <v>71</v>
      </c>
      <c r="Q235" t="s">
        <v>71</v>
      </c>
      <c r="R235" t="s">
        <v>71</v>
      </c>
      <c r="S235">
        <v>0</v>
      </c>
      <c r="T235">
        <v>1</v>
      </c>
      <c r="U235" t="s">
        <v>72</v>
      </c>
      <c r="V235" t="s">
        <v>73</v>
      </c>
      <c r="W235">
        <v>0</v>
      </c>
      <c r="X235">
        <v>1</v>
      </c>
      <c r="Y235">
        <v>1</v>
      </c>
      <c r="Z235">
        <v>0</v>
      </c>
      <c r="AA235">
        <v>1</v>
      </c>
      <c r="AB235">
        <v>0.1</v>
      </c>
      <c r="AC235">
        <v>1</v>
      </c>
      <c r="AD235">
        <v>0</v>
      </c>
      <c r="AE235">
        <v>1</v>
      </c>
      <c r="AF235">
        <v>0.2</v>
      </c>
      <c r="AG235" t="s">
        <v>71</v>
      </c>
      <c r="AH235">
        <v>0</v>
      </c>
      <c r="AI235">
        <v>0</v>
      </c>
      <c r="AJ235">
        <v>0</v>
      </c>
      <c r="AK235">
        <v>0</v>
      </c>
      <c r="AL235" t="s">
        <v>108</v>
      </c>
      <c r="AM235" t="s">
        <v>93</v>
      </c>
      <c r="AN235" t="s">
        <v>94</v>
      </c>
      <c r="AO235" t="s">
        <v>92</v>
      </c>
      <c r="AP235">
        <v>0</v>
      </c>
      <c r="AQ235">
        <v>0</v>
      </c>
      <c r="AR235">
        <v>0</v>
      </c>
      <c r="AS235">
        <v>0</v>
      </c>
      <c r="AT235">
        <v>0</v>
      </c>
      <c r="AU235">
        <v>0</v>
      </c>
      <c r="AV235">
        <v>0</v>
      </c>
      <c r="AW235">
        <v>0</v>
      </c>
      <c r="AX235">
        <v>0</v>
      </c>
      <c r="AY235">
        <v>0</v>
      </c>
    </row>
    <row r="236" spans="1:51" x14ac:dyDescent="0.25">
      <c r="A236">
        <v>8</v>
      </c>
      <c r="B236">
        <v>60410</v>
      </c>
      <c r="C236" t="s">
        <v>735</v>
      </c>
      <c r="D236" t="s">
        <v>96</v>
      </c>
      <c r="E236" t="s">
        <v>121</v>
      </c>
      <c r="F236" t="s">
        <v>107</v>
      </c>
      <c r="G236" t="s">
        <v>77</v>
      </c>
      <c r="H236" t="s">
        <v>78</v>
      </c>
      <c r="I236" t="s">
        <v>79</v>
      </c>
      <c r="J236" t="s">
        <v>70</v>
      </c>
      <c r="K236" t="s">
        <v>75</v>
      </c>
      <c r="L236" t="s">
        <v>76</v>
      </c>
      <c r="M236" t="s">
        <v>149</v>
      </c>
      <c r="N236" t="s">
        <v>173</v>
      </c>
      <c r="O236" t="s">
        <v>104</v>
      </c>
      <c r="P236" t="s">
        <v>71</v>
      </c>
      <c r="Q236" t="s">
        <v>71</v>
      </c>
      <c r="R236" t="s">
        <v>71</v>
      </c>
      <c r="S236">
        <v>0</v>
      </c>
      <c r="T236">
        <v>1</v>
      </c>
      <c r="U236" t="s">
        <v>72</v>
      </c>
      <c r="V236" t="s">
        <v>73</v>
      </c>
      <c r="W236">
        <v>0</v>
      </c>
      <c r="X236">
        <v>1</v>
      </c>
      <c r="Y236">
        <v>1</v>
      </c>
      <c r="Z236">
        <v>0</v>
      </c>
      <c r="AA236">
        <v>1</v>
      </c>
      <c r="AB236">
        <v>0.1</v>
      </c>
      <c r="AC236">
        <v>1</v>
      </c>
      <c r="AD236">
        <v>0</v>
      </c>
      <c r="AE236">
        <v>1</v>
      </c>
      <c r="AF236">
        <v>0.2</v>
      </c>
      <c r="AG236" t="s">
        <v>71</v>
      </c>
      <c r="AH236">
        <v>0</v>
      </c>
      <c r="AI236">
        <v>0</v>
      </c>
      <c r="AJ236">
        <v>0</v>
      </c>
      <c r="AK236">
        <v>0</v>
      </c>
      <c r="AL236" t="s">
        <v>146</v>
      </c>
      <c r="AM236" t="s">
        <v>93</v>
      </c>
      <c r="AN236" t="s">
        <v>148</v>
      </c>
      <c r="AO236" t="s">
        <v>147</v>
      </c>
      <c r="AP236">
        <v>0</v>
      </c>
      <c r="AQ236">
        <v>0</v>
      </c>
      <c r="AR236">
        <v>128</v>
      </c>
      <c r="AS236">
        <v>0</v>
      </c>
      <c r="AT236">
        <v>0</v>
      </c>
      <c r="AU236">
        <v>0</v>
      </c>
      <c r="AV236">
        <v>0</v>
      </c>
      <c r="AW236">
        <v>0</v>
      </c>
      <c r="AX236">
        <v>0</v>
      </c>
      <c r="AY236">
        <v>0</v>
      </c>
    </row>
    <row r="237" spans="1:51" x14ac:dyDescent="0.25">
      <c r="A237">
        <v>1</v>
      </c>
      <c r="C237" t="s">
        <v>735</v>
      </c>
      <c r="D237" t="s">
        <v>736</v>
      </c>
      <c r="E237" t="s">
        <v>736</v>
      </c>
      <c r="F237" t="s">
        <v>736</v>
      </c>
      <c r="G237" t="s">
        <v>736</v>
      </c>
      <c r="H237" t="s">
        <v>736</v>
      </c>
      <c r="I237" t="s">
        <v>736</v>
      </c>
      <c r="J237" t="s">
        <v>736</v>
      </c>
      <c r="K237" t="s">
        <v>736</v>
      </c>
      <c r="L237" t="s">
        <v>736</v>
      </c>
      <c r="M237" t="s">
        <v>736</v>
      </c>
      <c r="N237" t="s">
        <v>736</v>
      </c>
      <c r="O237" t="s">
        <v>736</v>
      </c>
      <c r="P237" t="s">
        <v>736</v>
      </c>
      <c r="Q237" t="s">
        <v>736</v>
      </c>
      <c r="R237" t="s">
        <v>736</v>
      </c>
      <c r="S237" t="s">
        <v>736</v>
      </c>
      <c r="T237" t="s">
        <v>736</v>
      </c>
      <c r="U237" t="s">
        <v>736</v>
      </c>
      <c r="V237" t="s">
        <v>736</v>
      </c>
      <c r="W237" t="s">
        <v>736</v>
      </c>
      <c r="X237" t="s">
        <v>736</v>
      </c>
      <c r="Y237" t="s">
        <v>736</v>
      </c>
      <c r="Z237" t="s">
        <v>736</v>
      </c>
      <c r="AA237" t="s">
        <v>736</v>
      </c>
      <c r="AB237" t="s">
        <v>736</v>
      </c>
      <c r="AC237" t="s">
        <v>736</v>
      </c>
      <c r="AD237" t="s">
        <v>736</v>
      </c>
      <c r="AE237" t="s">
        <v>736</v>
      </c>
      <c r="AF237" t="s">
        <v>736</v>
      </c>
      <c r="AG237" t="s">
        <v>736</v>
      </c>
      <c r="AH237" t="s">
        <v>736</v>
      </c>
      <c r="AI237" t="s">
        <v>736</v>
      </c>
      <c r="AJ237" t="s">
        <v>736</v>
      </c>
      <c r="AK237" t="s">
        <v>736</v>
      </c>
      <c r="AL237" t="s">
        <v>736</v>
      </c>
      <c r="AM237" t="s">
        <v>736</v>
      </c>
      <c r="AN237" t="s">
        <v>736</v>
      </c>
      <c r="AO237" t="s">
        <v>736</v>
      </c>
      <c r="AP237" t="s">
        <v>736</v>
      </c>
      <c r="AQ237" t="s">
        <v>736</v>
      </c>
      <c r="AR237" t="s">
        <v>736</v>
      </c>
      <c r="AS237" t="s">
        <v>736</v>
      </c>
      <c r="AT237" t="s">
        <v>736</v>
      </c>
      <c r="AU237" t="s">
        <v>736</v>
      </c>
      <c r="AV237" t="s">
        <v>736</v>
      </c>
      <c r="AW237" t="s">
        <v>736</v>
      </c>
      <c r="AX237" t="s">
        <v>736</v>
      </c>
      <c r="AY237" t="s">
        <v>736</v>
      </c>
    </row>
    <row r="238" spans="1:51" x14ac:dyDescent="0.25">
      <c r="A238">
        <v>9</v>
      </c>
      <c r="B238">
        <v>10</v>
      </c>
      <c r="C238" t="s">
        <v>735</v>
      </c>
      <c r="D238" t="s">
        <v>96</v>
      </c>
      <c r="E238" t="s">
        <v>121</v>
      </c>
      <c r="F238" t="s">
        <v>107</v>
      </c>
      <c r="G238" t="s">
        <v>101</v>
      </c>
      <c r="H238" t="s">
        <v>78</v>
      </c>
      <c r="I238" t="s">
        <v>79</v>
      </c>
      <c r="J238" t="s">
        <v>70</v>
      </c>
      <c r="K238" t="s">
        <v>75</v>
      </c>
      <c r="L238" t="s">
        <v>76</v>
      </c>
      <c r="M238" t="s">
        <v>103</v>
      </c>
      <c r="N238" t="s">
        <v>74</v>
      </c>
      <c r="O238" t="s">
        <v>104</v>
      </c>
      <c r="P238" t="s">
        <v>71</v>
      </c>
      <c r="Q238" t="s">
        <v>71</v>
      </c>
      <c r="R238" t="s">
        <v>71</v>
      </c>
      <c r="S238">
        <v>0</v>
      </c>
      <c r="T238">
        <v>0</v>
      </c>
      <c r="U238" t="s">
        <v>72</v>
      </c>
      <c r="V238" t="s">
        <v>73</v>
      </c>
      <c r="W238">
        <v>0</v>
      </c>
      <c r="X238">
        <v>0</v>
      </c>
      <c r="Y238">
        <v>0</v>
      </c>
      <c r="Z238">
        <v>0</v>
      </c>
      <c r="AA238">
        <v>0</v>
      </c>
      <c r="AB238">
        <v>0</v>
      </c>
      <c r="AC238">
        <v>0</v>
      </c>
      <c r="AD238">
        <v>0</v>
      </c>
      <c r="AE238">
        <v>0</v>
      </c>
      <c r="AF238">
        <v>0</v>
      </c>
      <c r="AG238" t="s">
        <v>71</v>
      </c>
      <c r="AH238">
        <v>0</v>
      </c>
      <c r="AI238">
        <v>0</v>
      </c>
      <c r="AJ238">
        <v>0</v>
      </c>
      <c r="AK238">
        <v>0</v>
      </c>
      <c r="AL238" t="s">
        <v>91</v>
      </c>
      <c r="AM238" t="s">
        <v>93</v>
      </c>
      <c r="AN238" t="s">
        <v>94</v>
      </c>
      <c r="AO238" t="s">
        <v>92</v>
      </c>
      <c r="AP238">
        <v>0</v>
      </c>
      <c r="AQ238">
        <v>0</v>
      </c>
      <c r="AR238">
        <v>0</v>
      </c>
      <c r="AS238">
        <v>0</v>
      </c>
      <c r="AT238">
        <v>0</v>
      </c>
      <c r="AU238">
        <v>0</v>
      </c>
      <c r="AV238">
        <v>0</v>
      </c>
      <c r="AW238">
        <v>0</v>
      </c>
      <c r="AX238">
        <v>0</v>
      </c>
      <c r="AY238">
        <v>0</v>
      </c>
    </row>
    <row r="239" spans="1:51" x14ac:dyDescent="0.25">
      <c r="A239">
        <v>9</v>
      </c>
      <c r="B239">
        <v>5010</v>
      </c>
      <c r="C239" t="s">
        <v>735</v>
      </c>
      <c r="D239" t="s">
        <v>96</v>
      </c>
      <c r="E239" t="s">
        <v>121</v>
      </c>
      <c r="F239" t="s">
        <v>107</v>
      </c>
      <c r="G239" t="s">
        <v>101</v>
      </c>
      <c r="H239" t="s">
        <v>78</v>
      </c>
      <c r="I239" t="s">
        <v>79</v>
      </c>
      <c r="J239" t="s">
        <v>70</v>
      </c>
      <c r="K239" t="s">
        <v>75</v>
      </c>
      <c r="L239" t="s">
        <v>76</v>
      </c>
      <c r="M239" t="s">
        <v>103</v>
      </c>
      <c r="N239" t="s">
        <v>74</v>
      </c>
      <c r="O239" t="s">
        <v>104</v>
      </c>
      <c r="P239" t="s">
        <v>71</v>
      </c>
      <c r="Q239" t="s">
        <v>71</v>
      </c>
      <c r="R239" t="s">
        <v>71</v>
      </c>
      <c r="S239">
        <v>0</v>
      </c>
      <c r="T239">
        <v>0</v>
      </c>
      <c r="U239" t="s">
        <v>72</v>
      </c>
      <c r="V239" t="s">
        <v>73</v>
      </c>
      <c r="W239">
        <v>0</v>
      </c>
      <c r="X239">
        <v>0</v>
      </c>
      <c r="Y239">
        <v>0</v>
      </c>
      <c r="Z239">
        <v>0</v>
      </c>
      <c r="AA239">
        <v>0</v>
      </c>
      <c r="AB239">
        <v>0</v>
      </c>
      <c r="AC239">
        <v>0</v>
      </c>
      <c r="AD239">
        <v>0</v>
      </c>
      <c r="AE239">
        <v>0</v>
      </c>
      <c r="AF239">
        <v>0</v>
      </c>
      <c r="AG239" t="s">
        <v>71</v>
      </c>
      <c r="AH239">
        <v>0</v>
      </c>
      <c r="AI239">
        <v>0</v>
      </c>
      <c r="AJ239">
        <v>0</v>
      </c>
      <c r="AK239">
        <v>0</v>
      </c>
      <c r="AL239" t="s">
        <v>91</v>
      </c>
      <c r="AM239" t="s">
        <v>93</v>
      </c>
      <c r="AN239" t="s">
        <v>94</v>
      </c>
      <c r="AO239" t="s">
        <v>92</v>
      </c>
      <c r="AP239">
        <v>0</v>
      </c>
      <c r="AQ239">
        <v>0</v>
      </c>
      <c r="AR239">
        <v>0</v>
      </c>
      <c r="AS239">
        <v>0</v>
      </c>
      <c r="AT239">
        <v>0</v>
      </c>
      <c r="AU239">
        <v>0</v>
      </c>
      <c r="AV239">
        <v>0</v>
      </c>
      <c r="AW239">
        <v>0</v>
      </c>
      <c r="AX239">
        <v>0</v>
      </c>
      <c r="AY239">
        <v>0</v>
      </c>
    </row>
    <row r="240" spans="1:51" x14ac:dyDescent="0.25">
      <c r="A240">
        <v>9</v>
      </c>
      <c r="B240">
        <v>5020</v>
      </c>
      <c r="C240" t="s">
        <v>735</v>
      </c>
      <c r="D240" t="s">
        <v>96</v>
      </c>
      <c r="E240" t="s">
        <v>121</v>
      </c>
      <c r="F240" t="s">
        <v>107</v>
      </c>
      <c r="G240" t="s">
        <v>101</v>
      </c>
      <c r="H240" t="s">
        <v>78</v>
      </c>
      <c r="I240" t="s">
        <v>79</v>
      </c>
      <c r="J240" t="s">
        <v>70</v>
      </c>
      <c r="K240" t="s">
        <v>75</v>
      </c>
      <c r="L240" t="s">
        <v>76</v>
      </c>
      <c r="M240" t="s">
        <v>103</v>
      </c>
      <c r="N240" t="s">
        <v>74</v>
      </c>
      <c r="O240" t="s">
        <v>104</v>
      </c>
      <c r="P240" t="s">
        <v>71</v>
      </c>
      <c r="Q240" t="s">
        <v>71</v>
      </c>
      <c r="R240" t="s">
        <v>71</v>
      </c>
      <c r="S240">
        <v>0</v>
      </c>
      <c r="T240">
        <v>0</v>
      </c>
      <c r="U240" t="s">
        <v>72</v>
      </c>
      <c r="V240" t="s">
        <v>73</v>
      </c>
      <c r="W240">
        <v>0</v>
      </c>
      <c r="X240">
        <v>0</v>
      </c>
      <c r="Y240">
        <v>0</v>
      </c>
      <c r="Z240">
        <v>0</v>
      </c>
      <c r="AA240">
        <v>0</v>
      </c>
      <c r="AB240">
        <v>0</v>
      </c>
      <c r="AC240">
        <v>0</v>
      </c>
      <c r="AD240">
        <v>0</v>
      </c>
      <c r="AE240">
        <v>0</v>
      </c>
      <c r="AF240">
        <v>0</v>
      </c>
      <c r="AG240" t="s">
        <v>71</v>
      </c>
      <c r="AH240">
        <v>0</v>
      </c>
      <c r="AI240">
        <v>0</v>
      </c>
      <c r="AJ240">
        <v>0</v>
      </c>
      <c r="AK240">
        <v>0</v>
      </c>
      <c r="AL240" t="s">
        <v>108</v>
      </c>
      <c r="AM240" t="s">
        <v>93</v>
      </c>
      <c r="AN240" t="s">
        <v>94</v>
      </c>
      <c r="AO240" t="s">
        <v>92</v>
      </c>
      <c r="AP240">
        <v>0</v>
      </c>
      <c r="AQ240">
        <v>0</v>
      </c>
      <c r="AR240">
        <v>0</v>
      </c>
      <c r="AS240">
        <v>0</v>
      </c>
      <c r="AT240">
        <v>0</v>
      </c>
      <c r="AU240">
        <v>0</v>
      </c>
      <c r="AV240">
        <v>0</v>
      </c>
      <c r="AW240">
        <v>0</v>
      </c>
      <c r="AX240">
        <v>0</v>
      </c>
      <c r="AY240">
        <v>0</v>
      </c>
    </row>
    <row r="241" spans="1:51" x14ac:dyDescent="0.25">
      <c r="A241">
        <v>9</v>
      </c>
      <c r="B241">
        <v>5030</v>
      </c>
      <c r="C241" t="s">
        <v>735</v>
      </c>
      <c r="D241" t="s">
        <v>96</v>
      </c>
      <c r="E241" t="s">
        <v>121</v>
      </c>
      <c r="F241" t="s">
        <v>107</v>
      </c>
      <c r="G241" t="s">
        <v>101</v>
      </c>
      <c r="H241" t="s">
        <v>78</v>
      </c>
      <c r="I241" t="s">
        <v>79</v>
      </c>
      <c r="J241" t="s">
        <v>70</v>
      </c>
      <c r="K241" t="s">
        <v>75</v>
      </c>
      <c r="L241" t="s">
        <v>76</v>
      </c>
      <c r="M241" t="s">
        <v>103</v>
      </c>
      <c r="N241" t="s">
        <v>74</v>
      </c>
      <c r="O241" t="s">
        <v>104</v>
      </c>
      <c r="P241" t="s">
        <v>71</v>
      </c>
      <c r="Q241" t="s">
        <v>71</v>
      </c>
      <c r="R241" t="s">
        <v>71</v>
      </c>
      <c r="S241">
        <v>0</v>
      </c>
      <c r="T241">
        <v>0</v>
      </c>
      <c r="U241" t="s">
        <v>72</v>
      </c>
      <c r="V241" t="s">
        <v>73</v>
      </c>
      <c r="W241">
        <v>0</v>
      </c>
      <c r="X241">
        <v>0</v>
      </c>
      <c r="Y241">
        <v>0</v>
      </c>
      <c r="Z241">
        <v>0</v>
      </c>
      <c r="AA241">
        <v>0</v>
      </c>
      <c r="AB241">
        <v>0</v>
      </c>
      <c r="AC241">
        <v>0</v>
      </c>
      <c r="AD241">
        <v>0</v>
      </c>
      <c r="AE241">
        <v>0</v>
      </c>
      <c r="AF241">
        <v>0</v>
      </c>
      <c r="AG241" t="s">
        <v>71</v>
      </c>
      <c r="AH241">
        <v>0</v>
      </c>
      <c r="AI241">
        <v>0</v>
      </c>
      <c r="AJ241">
        <v>0</v>
      </c>
      <c r="AK241">
        <v>0</v>
      </c>
      <c r="AL241" t="s">
        <v>108</v>
      </c>
      <c r="AM241" t="s">
        <v>93</v>
      </c>
      <c r="AN241" t="s">
        <v>94</v>
      </c>
      <c r="AO241" t="s">
        <v>92</v>
      </c>
      <c r="AP241">
        <v>0</v>
      </c>
      <c r="AQ241">
        <v>0</v>
      </c>
      <c r="AR241">
        <v>0</v>
      </c>
      <c r="AS241">
        <v>0</v>
      </c>
      <c r="AT241">
        <v>0</v>
      </c>
      <c r="AU241">
        <v>0</v>
      </c>
      <c r="AV241">
        <v>0</v>
      </c>
      <c r="AW241">
        <v>0</v>
      </c>
      <c r="AX241">
        <v>0</v>
      </c>
      <c r="AY241">
        <v>0</v>
      </c>
    </row>
    <row r="242" spans="1:51" x14ac:dyDescent="0.25">
      <c r="A242">
        <v>9</v>
      </c>
      <c r="B242">
        <v>10010</v>
      </c>
      <c r="C242" t="s">
        <v>735</v>
      </c>
      <c r="D242" t="s">
        <v>96</v>
      </c>
      <c r="E242" t="s">
        <v>121</v>
      </c>
      <c r="F242" t="s">
        <v>107</v>
      </c>
      <c r="G242" t="s">
        <v>101</v>
      </c>
      <c r="H242" t="s">
        <v>78</v>
      </c>
      <c r="I242" t="s">
        <v>79</v>
      </c>
      <c r="J242" t="s">
        <v>70</v>
      </c>
      <c r="K242" t="s">
        <v>75</v>
      </c>
      <c r="L242" t="s">
        <v>76</v>
      </c>
      <c r="M242" t="s">
        <v>103</v>
      </c>
      <c r="N242" t="s">
        <v>74</v>
      </c>
      <c r="O242" t="s">
        <v>104</v>
      </c>
      <c r="P242" t="s">
        <v>71</v>
      </c>
      <c r="Q242" t="s">
        <v>71</v>
      </c>
      <c r="R242" t="s">
        <v>71</v>
      </c>
      <c r="S242">
        <v>0</v>
      </c>
      <c r="T242">
        <v>0</v>
      </c>
      <c r="U242" t="s">
        <v>72</v>
      </c>
      <c r="V242" t="s">
        <v>73</v>
      </c>
      <c r="W242">
        <v>0</v>
      </c>
      <c r="X242">
        <v>0</v>
      </c>
      <c r="Y242">
        <v>0</v>
      </c>
      <c r="Z242">
        <v>0</v>
      </c>
      <c r="AA242">
        <v>0</v>
      </c>
      <c r="AB242">
        <v>0</v>
      </c>
      <c r="AC242">
        <v>0</v>
      </c>
      <c r="AD242">
        <v>0</v>
      </c>
      <c r="AE242">
        <v>0</v>
      </c>
      <c r="AF242">
        <v>0</v>
      </c>
      <c r="AG242" t="s">
        <v>71</v>
      </c>
      <c r="AH242">
        <v>0</v>
      </c>
      <c r="AI242">
        <v>0</v>
      </c>
      <c r="AJ242">
        <v>0</v>
      </c>
      <c r="AK242">
        <v>0</v>
      </c>
      <c r="AL242" t="s">
        <v>108</v>
      </c>
      <c r="AM242" t="s">
        <v>93</v>
      </c>
      <c r="AN242" t="s">
        <v>94</v>
      </c>
      <c r="AO242" t="s">
        <v>92</v>
      </c>
      <c r="AP242">
        <v>0</v>
      </c>
      <c r="AQ242">
        <v>0</v>
      </c>
      <c r="AR242">
        <v>0</v>
      </c>
      <c r="AS242">
        <v>0</v>
      </c>
      <c r="AT242">
        <v>0</v>
      </c>
      <c r="AU242">
        <v>0</v>
      </c>
      <c r="AV242">
        <v>0</v>
      </c>
      <c r="AW242">
        <v>0</v>
      </c>
      <c r="AX242">
        <v>0</v>
      </c>
      <c r="AY242">
        <v>0</v>
      </c>
    </row>
    <row r="243" spans="1:51" x14ac:dyDescent="0.25">
      <c r="A243">
        <v>9</v>
      </c>
      <c r="B243">
        <v>10020</v>
      </c>
      <c r="C243" t="s">
        <v>735</v>
      </c>
      <c r="D243" t="s">
        <v>96</v>
      </c>
      <c r="E243" t="s">
        <v>121</v>
      </c>
      <c r="F243" t="s">
        <v>107</v>
      </c>
      <c r="G243" t="s">
        <v>101</v>
      </c>
      <c r="H243" t="s">
        <v>78</v>
      </c>
      <c r="I243" t="s">
        <v>79</v>
      </c>
      <c r="J243" t="s">
        <v>70</v>
      </c>
      <c r="K243" t="s">
        <v>75</v>
      </c>
      <c r="L243" t="s">
        <v>76</v>
      </c>
      <c r="M243" t="s">
        <v>103</v>
      </c>
      <c r="N243" t="s">
        <v>74</v>
      </c>
      <c r="O243" t="s">
        <v>104</v>
      </c>
      <c r="P243" t="s">
        <v>71</v>
      </c>
      <c r="Q243" t="s">
        <v>71</v>
      </c>
      <c r="R243" t="s">
        <v>71</v>
      </c>
      <c r="S243">
        <v>0</v>
      </c>
      <c r="T243">
        <v>0</v>
      </c>
      <c r="U243" t="s">
        <v>72</v>
      </c>
      <c r="V243" t="s">
        <v>73</v>
      </c>
      <c r="W243">
        <v>0</v>
      </c>
      <c r="X243">
        <v>0</v>
      </c>
      <c r="Y243">
        <v>0</v>
      </c>
      <c r="Z243">
        <v>0</v>
      </c>
      <c r="AA243">
        <v>0</v>
      </c>
      <c r="AB243">
        <v>0</v>
      </c>
      <c r="AC243">
        <v>0</v>
      </c>
      <c r="AD243">
        <v>0</v>
      </c>
      <c r="AE243">
        <v>0</v>
      </c>
      <c r="AF243">
        <v>0</v>
      </c>
      <c r="AG243" t="s">
        <v>71</v>
      </c>
      <c r="AH243">
        <v>0</v>
      </c>
      <c r="AI243">
        <v>0</v>
      </c>
      <c r="AJ243">
        <v>0</v>
      </c>
      <c r="AK243">
        <v>0</v>
      </c>
      <c r="AL243" t="s">
        <v>108</v>
      </c>
      <c r="AM243" t="s">
        <v>93</v>
      </c>
      <c r="AN243" t="s">
        <v>94</v>
      </c>
      <c r="AO243" t="s">
        <v>92</v>
      </c>
      <c r="AP243">
        <v>0</v>
      </c>
      <c r="AQ243">
        <v>0</v>
      </c>
      <c r="AR243">
        <v>0</v>
      </c>
      <c r="AS243">
        <v>0</v>
      </c>
      <c r="AT243">
        <v>0</v>
      </c>
      <c r="AU243">
        <v>0</v>
      </c>
      <c r="AV243">
        <v>0</v>
      </c>
      <c r="AW243">
        <v>0</v>
      </c>
      <c r="AX243">
        <v>0</v>
      </c>
      <c r="AY243">
        <v>0</v>
      </c>
    </row>
    <row r="244" spans="1:51" x14ac:dyDescent="0.25">
      <c r="A244">
        <v>9</v>
      </c>
      <c r="B244">
        <v>10030</v>
      </c>
      <c r="C244" t="s">
        <v>735</v>
      </c>
      <c r="D244" t="s">
        <v>96</v>
      </c>
      <c r="E244" t="s">
        <v>121</v>
      </c>
      <c r="F244" t="s">
        <v>107</v>
      </c>
      <c r="G244" t="s">
        <v>77</v>
      </c>
      <c r="H244" t="s">
        <v>78</v>
      </c>
      <c r="I244" t="s">
        <v>79</v>
      </c>
      <c r="J244" t="s">
        <v>70</v>
      </c>
      <c r="K244" t="s">
        <v>75</v>
      </c>
      <c r="L244" t="s">
        <v>76</v>
      </c>
      <c r="M244" t="s">
        <v>103</v>
      </c>
      <c r="N244" t="s">
        <v>74</v>
      </c>
      <c r="O244" t="s">
        <v>104</v>
      </c>
      <c r="P244" t="s">
        <v>71</v>
      </c>
      <c r="Q244" t="s">
        <v>71</v>
      </c>
      <c r="R244" t="s">
        <v>71</v>
      </c>
      <c r="S244">
        <v>0</v>
      </c>
      <c r="T244">
        <v>1</v>
      </c>
      <c r="U244" t="s">
        <v>72</v>
      </c>
      <c r="V244" t="s">
        <v>73</v>
      </c>
      <c r="W244">
        <v>0</v>
      </c>
      <c r="X244">
        <v>0</v>
      </c>
      <c r="Y244">
        <v>0</v>
      </c>
      <c r="Z244">
        <v>0</v>
      </c>
      <c r="AA244">
        <v>0</v>
      </c>
      <c r="AB244">
        <v>0</v>
      </c>
      <c r="AC244">
        <v>0</v>
      </c>
      <c r="AD244">
        <v>0</v>
      </c>
      <c r="AE244">
        <v>0</v>
      </c>
      <c r="AF244">
        <v>0</v>
      </c>
      <c r="AG244" t="s">
        <v>71</v>
      </c>
      <c r="AH244">
        <v>0</v>
      </c>
      <c r="AI244">
        <v>0</v>
      </c>
      <c r="AJ244">
        <v>0</v>
      </c>
      <c r="AK244">
        <v>0</v>
      </c>
      <c r="AL244" t="s">
        <v>146</v>
      </c>
      <c r="AM244" t="s">
        <v>93</v>
      </c>
      <c r="AN244" t="s">
        <v>148</v>
      </c>
      <c r="AO244" t="s">
        <v>147</v>
      </c>
      <c r="AP244">
        <v>0</v>
      </c>
      <c r="AQ244">
        <v>0</v>
      </c>
      <c r="AR244">
        <v>128</v>
      </c>
      <c r="AS244">
        <v>0</v>
      </c>
      <c r="AT244">
        <v>0</v>
      </c>
      <c r="AU244">
        <v>0</v>
      </c>
      <c r="AV244">
        <v>0</v>
      </c>
      <c r="AW244">
        <v>0</v>
      </c>
      <c r="AX244">
        <v>0</v>
      </c>
      <c r="AY244">
        <v>0</v>
      </c>
    </row>
    <row r="245" spans="1:51" x14ac:dyDescent="0.25">
      <c r="A245">
        <v>9</v>
      </c>
      <c r="B245">
        <v>10040</v>
      </c>
      <c r="C245" t="s">
        <v>735</v>
      </c>
      <c r="D245" t="s">
        <v>96</v>
      </c>
      <c r="E245" t="s">
        <v>121</v>
      </c>
      <c r="F245" t="s">
        <v>98</v>
      </c>
      <c r="G245" t="s">
        <v>77</v>
      </c>
      <c r="H245" t="s">
        <v>78</v>
      </c>
      <c r="I245" t="s">
        <v>79</v>
      </c>
      <c r="J245" t="s">
        <v>70</v>
      </c>
      <c r="K245" t="s">
        <v>75</v>
      </c>
      <c r="L245" t="s">
        <v>76</v>
      </c>
      <c r="M245" t="s">
        <v>103</v>
      </c>
      <c r="N245" t="s">
        <v>74</v>
      </c>
      <c r="O245" t="s">
        <v>104</v>
      </c>
      <c r="P245" t="s">
        <v>71</v>
      </c>
      <c r="Q245" t="s">
        <v>71</v>
      </c>
      <c r="R245" t="s">
        <v>71</v>
      </c>
      <c r="S245">
        <v>0</v>
      </c>
      <c r="T245">
        <v>1</v>
      </c>
      <c r="U245" t="s">
        <v>72</v>
      </c>
      <c r="V245" t="s">
        <v>73</v>
      </c>
      <c r="W245">
        <v>0</v>
      </c>
      <c r="X245">
        <v>0</v>
      </c>
      <c r="Y245">
        <v>0</v>
      </c>
      <c r="Z245">
        <v>0</v>
      </c>
      <c r="AA245">
        <v>0</v>
      </c>
      <c r="AB245">
        <v>0</v>
      </c>
      <c r="AC245">
        <v>0</v>
      </c>
      <c r="AD245">
        <v>0</v>
      </c>
      <c r="AE245">
        <v>0</v>
      </c>
      <c r="AF245">
        <v>0</v>
      </c>
      <c r="AG245" t="s">
        <v>71</v>
      </c>
      <c r="AH245">
        <v>0</v>
      </c>
      <c r="AI245">
        <v>0</v>
      </c>
      <c r="AJ245">
        <v>0</v>
      </c>
      <c r="AK245">
        <v>0</v>
      </c>
      <c r="AL245" t="s">
        <v>99</v>
      </c>
      <c r="AM245" t="s">
        <v>93</v>
      </c>
      <c r="AN245" t="s">
        <v>148</v>
      </c>
      <c r="AO245" t="s">
        <v>147</v>
      </c>
      <c r="AP245">
        <v>0</v>
      </c>
      <c r="AQ245">
        <v>0</v>
      </c>
      <c r="AR245">
        <v>0</v>
      </c>
      <c r="AS245">
        <v>0</v>
      </c>
      <c r="AT245">
        <v>0</v>
      </c>
      <c r="AU245">
        <v>0</v>
      </c>
      <c r="AV245">
        <v>0</v>
      </c>
      <c r="AW245">
        <v>0</v>
      </c>
      <c r="AX245">
        <v>0</v>
      </c>
      <c r="AY245">
        <v>0</v>
      </c>
    </row>
    <row r="246" spans="1:51" x14ac:dyDescent="0.25">
      <c r="A246">
        <v>1</v>
      </c>
      <c r="C246" t="s">
        <v>735</v>
      </c>
      <c r="D246" t="s">
        <v>736</v>
      </c>
      <c r="E246" t="s">
        <v>736</v>
      </c>
      <c r="F246" t="s">
        <v>736</v>
      </c>
      <c r="G246" t="s">
        <v>736</v>
      </c>
      <c r="H246" t="s">
        <v>736</v>
      </c>
      <c r="I246" t="s">
        <v>736</v>
      </c>
      <c r="J246" t="s">
        <v>736</v>
      </c>
      <c r="K246" t="s">
        <v>736</v>
      </c>
      <c r="L246" t="s">
        <v>736</v>
      </c>
      <c r="M246" t="s">
        <v>736</v>
      </c>
      <c r="N246" t="s">
        <v>736</v>
      </c>
      <c r="O246" t="s">
        <v>736</v>
      </c>
      <c r="P246" t="s">
        <v>736</v>
      </c>
      <c r="Q246" t="s">
        <v>736</v>
      </c>
      <c r="R246" t="s">
        <v>736</v>
      </c>
      <c r="S246" t="s">
        <v>736</v>
      </c>
      <c r="T246" t="s">
        <v>736</v>
      </c>
      <c r="U246" t="s">
        <v>736</v>
      </c>
      <c r="V246" t="s">
        <v>736</v>
      </c>
      <c r="W246" t="s">
        <v>736</v>
      </c>
      <c r="X246" t="s">
        <v>736</v>
      </c>
      <c r="Y246" t="s">
        <v>736</v>
      </c>
      <c r="Z246" t="s">
        <v>736</v>
      </c>
      <c r="AA246" t="s">
        <v>736</v>
      </c>
      <c r="AB246" t="s">
        <v>736</v>
      </c>
      <c r="AC246" t="s">
        <v>736</v>
      </c>
      <c r="AD246" t="s">
        <v>736</v>
      </c>
      <c r="AE246" t="s">
        <v>736</v>
      </c>
      <c r="AF246" t="s">
        <v>736</v>
      </c>
      <c r="AG246" t="s">
        <v>736</v>
      </c>
      <c r="AH246" t="s">
        <v>736</v>
      </c>
      <c r="AI246" t="s">
        <v>736</v>
      </c>
      <c r="AJ246" t="s">
        <v>736</v>
      </c>
      <c r="AK246" t="s">
        <v>736</v>
      </c>
      <c r="AL246" t="s">
        <v>736</v>
      </c>
      <c r="AM246" t="s">
        <v>736</v>
      </c>
      <c r="AN246" t="s">
        <v>736</v>
      </c>
      <c r="AO246" t="s">
        <v>736</v>
      </c>
      <c r="AP246" t="s">
        <v>736</v>
      </c>
      <c r="AQ246" t="s">
        <v>736</v>
      </c>
      <c r="AR246" t="s">
        <v>736</v>
      </c>
      <c r="AS246" t="s">
        <v>736</v>
      </c>
      <c r="AT246" t="s">
        <v>736</v>
      </c>
      <c r="AU246" t="s">
        <v>736</v>
      </c>
      <c r="AV246" t="s">
        <v>736</v>
      </c>
      <c r="AW246" t="s">
        <v>736</v>
      </c>
      <c r="AX246" t="s">
        <v>736</v>
      </c>
      <c r="AY246" t="s">
        <v>736</v>
      </c>
    </row>
    <row r="247" spans="1:51" x14ac:dyDescent="0.25">
      <c r="A247">
        <v>10</v>
      </c>
      <c r="B247">
        <v>10</v>
      </c>
      <c r="C247" t="s">
        <v>735</v>
      </c>
      <c r="D247" t="s">
        <v>96</v>
      </c>
      <c r="E247" t="s">
        <v>121</v>
      </c>
      <c r="F247" t="s">
        <v>107</v>
      </c>
      <c r="G247" t="s">
        <v>101</v>
      </c>
      <c r="H247" t="s">
        <v>78</v>
      </c>
      <c r="I247" t="s">
        <v>79</v>
      </c>
      <c r="J247" t="s">
        <v>70</v>
      </c>
      <c r="K247" t="s">
        <v>75</v>
      </c>
      <c r="L247" t="s">
        <v>76</v>
      </c>
      <c r="M247" t="s">
        <v>103</v>
      </c>
      <c r="N247" t="s">
        <v>74</v>
      </c>
      <c r="O247" t="s">
        <v>104</v>
      </c>
      <c r="P247" t="s">
        <v>71</v>
      </c>
      <c r="Q247" t="s">
        <v>71</v>
      </c>
      <c r="R247" t="s">
        <v>71</v>
      </c>
      <c r="S247">
        <v>0</v>
      </c>
      <c r="T247">
        <v>0</v>
      </c>
      <c r="U247" t="s">
        <v>72</v>
      </c>
      <c r="V247" t="s">
        <v>73</v>
      </c>
      <c r="W247">
        <v>0</v>
      </c>
      <c r="X247">
        <v>0</v>
      </c>
      <c r="Y247">
        <v>0</v>
      </c>
      <c r="Z247">
        <v>0</v>
      </c>
      <c r="AA247">
        <v>0</v>
      </c>
      <c r="AB247">
        <v>0</v>
      </c>
      <c r="AC247">
        <v>0</v>
      </c>
      <c r="AD247">
        <v>0</v>
      </c>
      <c r="AE247">
        <v>0</v>
      </c>
      <c r="AF247">
        <v>0</v>
      </c>
      <c r="AG247" t="s">
        <v>71</v>
      </c>
      <c r="AH247">
        <v>0</v>
      </c>
      <c r="AI247">
        <v>0</v>
      </c>
      <c r="AJ247">
        <v>0</v>
      </c>
      <c r="AK247">
        <v>0</v>
      </c>
      <c r="AL247" t="s">
        <v>91</v>
      </c>
      <c r="AM247" t="s">
        <v>93</v>
      </c>
      <c r="AN247" t="s">
        <v>94</v>
      </c>
      <c r="AO247" t="s">
        <v>92</v>
      </c>
      <c r="AP247">
        <v>0</v>
      </c>
      <c r="AQ247">
        <v>0</v>
      </c>
      <c r="AR247">
        <v>0</v>
      </c>
      <c r="AS247">
        <v>0</v>
      </c>
      <c r="AT247">
        <v>0</v>
      </c>
      <c r="AU247">
        <v>0</v>
      </c>
      <c r="AV247">
        <v>0</v>
      </c>
      <c r="AW247">
        <v>0</v>
      </c>
      <c r="AX247">
        <v>0</v>
      </c>
      <c r="AY247">
        <v>0</v>
      </c>
    </row>
    <row r="248" spans="1:51" x14ac:dyDescent="0.25">
      <c r="A248">
        <v>10</v>
      </c>
      <c r="B248">
        <v>5010</v>
      </c>
      <c r="C248" t="s">
        <v>735</v>
      </c>
      <c r="D248" t="s">
        <v>96</v>
      </c>
      <c r="E248" t="s">
        <v>121</v>
      </c>
      <c r="F248" t="s">
        <v>107</v>
      </c>
      <c r="G248" t="s">
        <v>101</v>
      </c>
      <c r="H248" t="s">
        <v>78</v>
      </c>
      <c r="I248" t="s">
        <v>79</v>
      </c>
      <c r="J248" t="s">
        <v>70</v>
      </c>
      <c r="K248" t="s">
        <v>75</v>
      </c>
      <c r="L248" t="s">
        <v>76</v>
      </c>
      <c r="M248" t="s">
        <v>103</v>
      </c>
      <c r="N248" t="s">
        <v>74</v>
      </c>
      <c r="O248" t="s">
        <v>104</v>
      </c>
      <c r="P248" t="s">
        <v>71</v>
      </c>
      <c r="Q248" t="s">
        <v>71</v>
      </c>
      <c r="R248" t="s">
        <v>71</v>
      </c>
      <c r="S248">
        <v>0</v>
      </c>
      <c r="T248">
        <v>0</v>
      </c>
      <c r="U248" t="s">
        <v>72</v>
      </c>
      <c r="V248" t="s">
        <v>73</v>
      </c>
      <c r="W248">
        <v>0</v>
      </c>
      <c r="X248">
        <v>0</v>
      </c>
      <c r="Y248">
        <v>0</v>
      </c>
      <c r="Z248">
        <v>0</v>
      </c>
      <c r="AA248">
        <v>0</v>
      </c>
      <c r="AB248">
        <v>0</v>
      </c>
      <c r="AC248">
        <v>0</v>
      </c>
      <c r="AD248">
        <v>0</v>
      </c>
      <c r="AE248">
        <v>0</v>
      </c>
      <c r="AF248">
        <v>0</v>
      </c>
      <c r="AG248" t="s">
        <v>71</v>
      </c>
      <c r="AH248">
        <v>0</v>
      </c>
      <c r="AI248">
        <v>0</v>
      </c>
      <c r="AJ248">
        <v>0</v>
      </c>
      <c r="AK248">
        <v>0</v>
      </c>
      <c r="AL248" t="s">
        <v>91</v>
      </c>
      <c r="AM248" t="s">
        <v>93</v>
      </c>
      <c r="AN248" t="s">
        <v>94</v>
      </c>
      <c r="AO248" t="s">
        <v>92</v>
      </c>
      <c r="AP248">
        <v>0</v>
      </c>
      <c r="AQ248">
        <v>0</v>
      </c>
      <c r="AR248">
        <v>0</v>
      </c>
      <c r="AS248">
        <v>0</v>
      </c>
      <c r="AT248">
        <v>0</v>
      </c>
      <c r="AU248">
        <v>0</v>
      </c>
      <c r="AV248">
        <v>0</v>
      </c>
      <c r="AW248">
        <v>0</v>
      </c>
      <c r="AX248">
        <v>0</v>
      </c>
      <c r="AY248">
        <v>0</v>
      </c>
    </row>
    <row r="249" spans="1:51" x14ac:dyDescent="0.25">
      <c r="A249">
        <v>10</v>
      </c>
      <c r="B249">
        <v>5020</v>
      </c>
      <c r="C249" t="s">
        <v>735</v>
      </c>
      <c r="D249" t="s">
        <v>96</v>
      </c>
      <c r="E249" t="s">
        <v>121</v>
      </c>
      <c r="F249" t="s">
        <v>107</v>
      </c>
      <c r="G249" t="s">
        <v>101</v>
      </c>
      <c r="H249" t="s">
        <v>78</v>
      </c>
      <c r="I249" t="s">
        <v>79</v>
      </c>
      <c r="J249" t="s">
        <v>70</v>
      </c>
      <c r="K249" t="s">
        <v>75</v>
      </c>
      <c r="L249" t="s">
        <v>76</v>
      </c>
      <c r="M249" t="s">
        <v>103</v>
      </c>
      <c r="N249" t="s">
        <v>74</v>
      </c>
      <c r="O249" t="s">
        <v>104</v>
      </c>
      <c r="P249" t="s">
        <v>71</v>
      </c>
      <c r="Q249" t="s">
        <v>71</v>
      </c>
      <c r="R249" t="s">
        <v>71</v>
      </c>
      <c r="S249">
        <v>0</v>
      </c>
      <c r="T249">
        <v>0</v>
      </c>
      <c r="U249" t="s">
        <v>72</v>
      </c>
      <c r="V249" t="s">
        <v>73</v>
      </c>
      <c r="W249">
        <v>0</v>
      </c>
      <c r="X249">
        <v>0</v>
      </c>
      <c r="Y249">
        <v>0</v>
      </c>
      <c r="Z249">
        <v>0</v>
      </c>
      <c r="AA249">
        <v>0</v>
      </c>
      <c r="AB249">
        <v>0</v>
      </c>
      <c r="AC249">
        <v>0</v>
      </c>
      <c r="AD249">
        <v>0</v>
      </c>
      <c r="AE249">
        <v>0</v>
      </c>
      <c r="AF249">
        <v>0</v>
      </c>
      <c r="AG249" t="s">
        <v>71</v>
      </c>
      <c r="AH249">
        <v>0</v>
      </c>
      <c r="AI249">
        <v>0</v>
      </c>
      <c r="AJ249">
        <v>0</v>
      </c>
      <c r="AK249">
        <v>0</v>
      </c>
      <c r="AL249" t="s">
        <v>108</v>
      </c>
      <c r="AM249" t="s">
        <v>93</v>
      </c>
      <c r="AN249" t="s">
        <v>94</v>
      </c>
      <c r="AO249" t="s">
        <v>92</v>
      </c>
      <c r="AP249">
        <v>0</v>
      </c>
      <c r="AQ249">
        <v>0</v>
      </c>
      <c r="AR249">
        <v>0</v>
      </c>
      <c r="AS249">
        <v>0</v>
      </c>
      <c r="AT249">
        <v>0</v>
      </c>
      <c r="AU249">
        <v>0</v>
      </c>
      <c r="AV249">
        <v>0</v>
      </c>
      <c r="AW249">
        <v>0</v>
      </c>
      <c r="AX249">
        <v>0</v>
      </c>
      <c r="AY249">
        <v>0</v>
      </c>
    </row>
    <row r="250" spans="1:51" x14ac:dyDescent="0.25">
      <c r="A250">
        <v>10</v>
      </c>
      <c r="B250">
        <v>5030</v>
      </c>
      <c r="C250" t="s">
        <v>735</v>
      </c>
      <c r="D250" t="s">
        <v>96</v>
      </c>
      <c r="E250" t="s">
        <v>121</v>
      </c>
      <c r="F250" t="s">
        <v>107</v>
      </c>
      <c r="G250" t="s">
        <v>101</v>
      </c>
      <c r="H250" t="s">
        <v>78</v>
      </c>
      <c r="I250" t="s">
        <v>79</v>
      </c>
      <c r="J250" t="s">
        <v>70</v>
      </c>
      <c r="K250" t="s">
        <v>75</v>
      </c>
      <c r="L250" t="s">
        <v>76</v>
      </c>
      <c r="M250" t="s">
        <v>103</v>
      </c>
      <c r="N250" t="s">
        <v>74</v>
      </c>
      <c r="O250" t="s">
        <v>104</v>
      </c>
      <c r="P250" t="s">
        <v>71</v>
      </c>
      <c r="Q250" t="s">
        <v>71</v>
      </c>
      <c r="R250" t="s">
        <v>71</v>
      </c>
      <c r="S250">
        <v>0</v>
      </c>
      <c r="T250">
        <v>0</v>
      </c>
      <c r="U250" t="s">
        <v>72</v>
      </c>
      <c r="V250" t="s">
        <v>73</v>
      </c>
      <c r="W250">
        <v>0</v>
      </c>
      <c r="X250">
        <v>0</v>
      </c>
      <c r="Y250">
        <v>0</v>
      </c>
      <c r="Z250">
        <v>0</v>
      </c>
      <c r="AA250">
        <v>0</v>
      </c>
      <c r="AB250">
        <v>0</v>
      </c>
      <c r="AC250">
        <v>0</v>
      </c>
      <c r="AD250">
        <v>0</v>
      </c>
      <c r="AE250">
        <v>0</v>
      </c>
      <c r="AF250">
        <v>0</v>
      </c>
      <c r="AG250" t="s">
        <v>71</v>
      </c>
      <c r="AH250">
        <v>0</v>
      </c>
      <c r="AI250">
        <v>0</v>
      </c>
      <c r="AJ250">
        <v>0</v>
      </c>
      <c r="AK250">
        <v>0</v>
      </c>
      <c r="AL250" t="s">
        <v>108</v>
      </c>
      <c r="AM250" t="s">
        <v>93</v>
      </c>
      <c r="AN250" t="s">
        <v>94</v>
      </c>
      <c r="AO250" t="s">
        <v>92</v>
      </c>
      <c r="AP250">
        <v>0</v>
      </c>
      <c r="AQ250">
        <v>0</v>
      </c>
      <c r="AR250">
        <v>0</v>
      </c>
      <c r="AS250">
        <v>0</v>
      </c>
      <c r="AT250">
        <v>0</v>
      </c>
      <c r="AU250">
        <v>0</v>
      </c>
      <c r="AV250">
        <v>0</v>
      </c>
      <c r="AW250">
        <v>0</v>
      </c>
      <c r="AX250">
        <v>0</v>
      </c>
      <c r="AY250">
        <v>0</v>
      </c>
    </row>
    <row r="251" spans="1:51" x14ac:dyDescent="0.25">
      <c r="A251">
        <v>10</v>
      </c>
      <c r="B251">
        <v>10010</v>
      </c>
      <c r="C251" t="s">
        <v>735</v>
      </c>
      <c r="D251" t="s">
        <v>96</v>
      </c>
      <c r="E251" t="s">
        <v>121</v>
      </c>
      <c r="F251" t="s">
        <v>107</v>
      </c>
      <c r="G251" t="s">
        <v>101</v>
      </c>
      <c r="H251" t="s">
        <v>78</v>
      </c>
      <c r="I251" t="s">
        <v>79</v>
      </c>
      <c r="J251" t="s">
        <v>70</v>
      </c>
      <c r="K251" t="s">
        <v>75</v>
      </c>
      <c r="L251" t="s">
        <v>76</v>
      </c>
      <c r="M251" t="s">
        <v>103</v>
      </c>
      <c r="N251" t="s">
        <v>74</v>
      </c>
      <c r="O251" t="s">
        <v>104</v>
      </c>
      <c r="P251" t="s">
        <v>71</v>
      </c>
      <c r="Q251" t="s">
        <v>71</v>
      </c>
      <c r="R251" t="s">
        <v>71</v>
      </c>
      <c r="S251">
        <v>0</v>
      </c>
      <c r="T251">
        <v>0</v>
      </c>
      <c r="U251" t="s">
        <v>72</v>
      </c>
      <c r="V251" t="s">
        <v>73</v>
      </c>
      <c r="W251">
        <v>0</v>
      </c>
      <c r="X251">
        <v>0</v>
      </c>
      <c r="Y251">
        <v>0</v>
      </c>
      <c r="Z251">
        <v>0</v>
      </c>
      <c r="AA251">
        <v>0</v>
      </c>
      <c r="AB251">
        <v>0</v>
      </c>
      <c r="AC251">
        <v>0</v>
      </c>
      <c r="AD251">
        <v>0</v>
      </c>
      <c r="AE251">
        <v>0</v>
      </c>
      <c r="AF251">
        <v>0</v>
      </c>
      <c r="AG251" t="s">
        <v>71</v>
      </c>
      <c r="AH251">
        <v>0</v>
      </c>
      <c r="AI251">
        <v>0</v>
      </c>
      <c r="AJ251">
        <v>0</v>
      </c>
      <c r="AK251">
        <v>0</v>
      </c>
      <c r="AL251" t="s">
        <v>108</v>
      </c>
      <c r="AM251" t="s">
        <v>93</v>
      </c>
      <c r="AN251" t="s">
        <v>94</v>
      </c>
      <c r="AO251" t="s">
        <v>92</v>
      </c>
      <c r="AP251">
        <v>0</v>
      </c>
      <c r="AQ251">
        <v>0</v>
      </c>
      <c r="AR251">
        <v>0</v>
      </c>
      <c r="AS251">
        <v>0</v>
      </c>
      <c r="AT251">
        <v>0</v>
      </c>
      <c r="AU251">
        <v>0</v>
      </c>
      <c r="AV251">
        <v>0</v>
      </c>
      <c r="AW251">
        <v>0</v>
      </c>
      <c r="AX251">
        <v>0</v>
      </c>
      <c r="AY251">
        <v>0</v>
      </c>
    </row>
    <row r="252" spans="1:51" x14ac:dyDescent="0.25">
      <c r="A252">
        <v>10</v>
      </c>
      <c r="B252">
        <v>10020</v>
      </c>
      <c r="C252" t="s">
        <v>735</v>
      </c>
      <c r="D252" t="s">
        <v>96</v>
      </c>
      <c r="E252" t="s">
        <v>121</v>
      </c>
      <c r="F252" t="s">
        <v>107</v>
      </c>
      <c r="G252" t="s">
        <v>101</v>
      </c>
      <c r="H252" t="s">
        <v>78</v>
      </c>
      <c r="I252" t="s">
        <v>79</v>
      </c>
      <c r="J252" t="s">
        <v>70</v>
      </c>
      <c r="K252" t="s">
        <v>75</v>
      </c>
      <c r="L252" t="s">
        <v>76</v>
      </c>
      <c r="M252" t="s">
        <v>103</v>
      </c>
      <c r="N252" t="s">
        <v>74</v>
      </c>
      <c r="O252" t="s">
        <v>104</v>
      </c>
      <c r="P252" t="s">
        <v>71</v>
      </c>
      <c r="Q252" t="s">
        <v>71</v>
      </c>
      <c r="R252" t="s">
        <v>71</v>
      </c>
      <c r="S252">
        <v>0</v>
      </c>
      <c r="T252">
        <v>0</v>
      </c>
      <c r="U252" t="s">
        <v>72</v>
      </c>
      <c r="V252" t="s">
        <v>73</v>
      </c>
      <c r="W252">
        <v>0</v>
      </c>
      <c r="X252">
        <v>0</v>
      </c>
      <c r="Y252">
        <v>0</v>
      </c>
      <c r="Z252">
        <v>0</v>
      </c>
      <c r="AA252">
        <v>0</v>
      </c>
      <c r="AB252">
        <v>0</v>
      </c>
      <c r="AC252">
        <v>0</v>
      </c>
      <c r="AD252">
        <v>0</v>
      </c>
      <c r="AE252">
        <v>0</v>
      </c>
      <c r="AF252">
        <v>0</v>
      </c>
      <c r="AG252" t="s">
        <v>71</v>
      </c>
      <c r="AH252">
        <v>0</v>
      </c>
      <c r="AI252">
        <v>0</v>
      </c>
      <c r="AJ252">
        <v>0</v>
      </c>
      <c r="AK252">
        <v>0</v>
      </c>
      <c r="AL252" t="s">
        <v>108</v>
      </c>
      <c r="AM252" t="s">
        <v>93</v>
      </c>
      <c r="AN252" t="s">
        <v>94</v>
      </c>
      <c r="AO252" t="s">
        <v>92</v>
      </c>
      <c r="AP252">
        <v>0</v>
      </c>
      <c r="AQ252">
        <v>0</v>
      </c>
      <c r="AR252">
        <v>0</v>
      </c>
      <c r="AS252">
        <v>0</v>
      </c>
      <c r="AT252">
        <v>0</v>
      </c>
      <c r="AU252">
        <v>0</v>
      </c>
      <c r="AV252">
        <v>0</v>
      </c>
      <c r="AW252">
        <v>0</v>
      </c>
      <c r="AX252">
        <v>0</v>
      </c>
      <c r="AY252">
        <v>0</v>
      </c>
    </row>
    <row r="253" spans="1:51" x14ac:dyDescent="0.25">
      <c r="A253">
        <v>10</v>
      </c>
      <c r="B253">
        <v>10030</v>
      </c>
      <c r="C253" t="s">
        <v>735</v>
      </c>
      <c r="D253" t="s">
        <v>96</v>
      </c>
      <c r="E253" t="s">
        <v>121</v>
      </c>
      <c r="F253" t="s">
        <v>107</v>
      </c>
      <c r="G253" t="s">
        <v>77</v>
      </c>
      <c r="H253" t="s">
        <v>78</v>
      </c>
      <c r="I253" t="s">
        <v>79</v>
      </c>
      <c r="J253" t="s">
        <v>70</v>
      </c>
      <c r="K253" t="s">
        <v>75</v>
      </c>
      <c r="L253" t="s">
        <v>76</v>
      </c>
      <c r="M253" t="s">
        <v>103</v>
      </c>
      <c r="N253" t="s">
        <v>74</v>
      </c>
      <c r="O253" t="s">
        <v>104</v>
      </c>
      <c r="P253" t="s">
        <v>71</v>
      </c>
      <c r="Q253" t="s">
        <v>71</v>
      </c>
      <c r="R253" t="s">
        <v>71</v>
      </c>
      <c r="S253">
        <v>0</v>
      </c>
      <c r="T253">
        <v>1</v>
      </c>
      <c r="U253" t="s">
        <v>72</v>
      </c>
      <c r="V253" t="s">
        <v>73</v>
      </c>
      <c r="W253">
        <v>0</v>
      </c>
      <c r="X253">
        <v>0</v>
      </c>
      <c r="Y253">
        <v>0</v>
      </c>
      <c r="Z253">
        <v>0</v>
      </c>
      <c r="AA253">
        <v>0</v>
      </c>
      <c r="AB253">
        <v>0</v>
      </c>
      <c r="AC253">
        <v>0</v>
      </c>
      <c r="AD253">
        <v>0</v>
      </c>
      <c r="AE253">
        <v>0</v>
      </c>
      <c r="AF253">
        <v>0</v>
      </c>
      <c r="AG253" t="s">
        <v>71</v>
      </c>
      <c r="AH253">
        <v>0</v>
      </c>
      <c r="AI253">
        <v>0</v>
      </c>
      <c r="AJ253">
        <v>0</v>
      </c>
      <c r="AK253">
        <v>0</v>
      </c>
      <c r="AL253" t="s">
        <v>146</v>
      </c>
      <c r="AM253" t="s">
        <v>93</v>
      </c>
      <c r="AN253" t="s">
        <v>148</v>
      </c>
      <c r="AO253" t="s">
        <v>147</v>
      </c>
      <c r="AP253">
        <v>0</v>
      </c>
      <c r="AQ253">
        <v>0</v>
      </c>
      <c r="AR253">
        <v>128</v>
      </c>
      <c r="AS253">
        <v>0</v>
      </c>
      <c r="AT253">
        <v>0</v>
      </c>
      <c r="AU253">
        <v>0</v>
      </c>
      <c r="AV253">
        <v>0</v>
      </c>
      <c r="AW253">
        <v>0</v>
      </c>
      <c r="AX253">
        <v>0</v>
      </c>
      <c r="AY253">
        <v>0</v>
      </c>
    </row>
    <row r="254" spans="1:51" x14ac:dyDescent="0.25">
      <c r="A254">
        <v>11</v>
      </c>
      <c r="B254">
        <v>10040</v>
      </c>
      <c r="C254" t="s">
        <v>735</v>
      </c>
      <c r="D254" t="s">
        <v>96</v>
      </c>
      <c r="E254" t="s">
        <v>121</v>
      </c>
      <c r="F254" t="s">
        <v>98</v>
      </c>
      <c r="G254" t="s">
        <v>101</v>
      </c>
      <c r="H254" t="s">
        <v>180</v>
      </c>
      <c r="I254" t="s">
        <v>195</v>
      </c>
      <c r="J254" t="s">
        <v>119</v>
      </c>
      <c r="K254" t="s">
        <v>102</v>
      </c>
      <c r="L254" t="s">
        <v>223</v>
      </c>
      <c r="M254" t="s">
        <v>103</v>
      </c>
      <c r="N254" t="s">
        <v>74</v>
      </c>
      <c r="O254" t="s">
        <v>191</v>
      </c>
      <c r="P254" t="s">
        <v>71</v>
      </c>
      <c r="Q254" t="s">
        <v>71</v>
      </c>
      <c r="R254" t="s">
        <v>71</v>
      </c>
      <c r="S254">
        <v>0</v>
      </c>
      <c r="T254">
        <v>0</v>
      </c>
      <c r="U254" t="s">
        <v>72</v>
      </c>
      <c r="V254" t="s">
        <v>73</v>
      </c>
      <c r="W254">
        <v>0</v>
      </c>
      <c r="X254">
        <v>0</v>
      </c>
      <c r="Y254">
        <v>1</v>
      </c>
      <c r="Z254">
        <v>0.2</v>
      </c>
      <c r="AA254">
        <v>1</v>
      </c>
      <c r="AB254">
        <v>0.2</v>
      </c>
      <c r="AC254">
        <v>1</v>
      </c>
      <c r="AD254">
        <v>0.2</v>
      </c>
      <c r="AE254">
        <v>0</v>
      </c>
      <c r="AF254">
        <v>0.4</v>
      </c>
      <c r="AG254" t="s">
        <v>71</v>
      </c>
      <c r="AH254">
        <v>0</v>
      </c>
      <c r="AI254">
        <v>0</v>
      </c>
      <c r="AJ254">
        <v>0</v>
      </c>
      <c r="AK254">
        <v>0</v>
      </c>
      <c r="AL254" t="s">
        <v>146</v>
      </c>
      <c r="AM254" t="s">
        <v>93</v>
      </c>
      <c r="AN254" t="s">
        <v>148</v>
      </c>
      <c r="AO254" t="s">
        <v>147</v>
      </c>
      <c r="AP254">
        <v>0</v>
      </c>
      <c r="AQ254">
        <v>0</v>
      </c>
      <c r="AR254">
        <v>0</v>
      </c>
      <c r="AS254">
        <v>0</v>
      </c>
      <c r="AT254">
        <v>31</v>
      </c>
      <c r="AU254">
        <v>0</v>
      </c>
      <c r="AV254">
        <v>0</v>
      </c>
      <c r="AW254">
        <v>0</v>
      </c>
      <c r="AX254">
        <v>0</v>
      </c>
      <c r="AY254">
        <v>0</v>
      </c>
    </row>
    <row r="255" spans="1:51" x14ac:dyDescent="0.25">
      <c r="A255">
        <v>12</v>
      </c>
      <c r="B255">
        <v>10050</v>
      </c>
      <c r="C255" t="s">
        <v>735</v>
      </c>
      <c r="D255" t="s">
        <v>96</v>
      </c>
      <c r="E255" t="s">
        <v>121</v>
      </c>
      <c r="F255" t="s">
        <v>107</v>
      </c>
      <c r="G255" t="s">
        <v>77</v>
      </c>
      <c r="H255" t="s">
        <v>78</v>
      </c>
      <c r="I255" t="s">
        <v>195</v>
      </c>
      <c r="J255" t="s">
        <v>119</v>
      </c>
      <c r="K255" t="s">
        <v>102</v>
      </c>
      <c r="L255" t="s">
        <v>223</v>
      </c>
      <c r="M255" t="s">
        <v>149</v>
      </c>
      <c r="N255" t="s">
        <v>74</v>
      </c>
      <c r="O255" t="s">
        <v>191</v>
      </c>
      <c r="P255" t="s">
        <v>71</v>
      </c>
      <c r="Q255" t="s">
        <v>71</v>
      </c>
      <c r="R255" t="s">
        <v>71</v>
      </c>
      <c r="S255">
        <v>0</v>
      </c>
      <c r="T255">
        <v>0</v>
      </c>
      <c r="U255" t="s">
        <v>72</v>
      </c>
      <c r="V255" t="s">
        <v>73</v>
      </c>
      <c r="W255">
        <v>0</v>
      </c>
      <c r="X255">
        <v>0</v>
      </c>
      <c r="Y255">
        <v>0</v>
      </c>
      <c r="Z255">
        <v>0</v>
      </c>
      <c r="AA255">
        <v>0</v>
      </c>
      <c r="AB255">
        <v>0</v>
      </c>
      <c r="AC255">
        <v>0</v>
      </c>
      <c r="AD255">
        <v>0</v>
      </c>
      <c r="AE255">
        <v>0</v>
      </c>
      <c r="AF255">
        <v>0</v>
      </c>
      <c r="AG255" t="s">
        <v>71</v>
      </c>
      <c r="AH255">
        <v>0</v>
      </c>
      <c r="AI255">
        <v>0</v>
      </c>
      <c r="AJ255">
        <v>0</v>
      </c>
      <c r="AK255">
        <v>0</v>
      </c>
      <c r="AL255" t="s">
        <v>146</v>
      </c>
      <c r="AM255" t="s">
        <v>93</v>
      </c>
      <c r="AN255" t="s">
        <v>148</v>
      </c>
      <c r="AO255" t="s">
        <v>147</v>
      </c>
      <c r="AP255">
        <v>0</v>
      </c>
      <c r="AQ255">
        <v>0</v>
      </c>
      <c r="AR255">
        <v>0</v>
      </c>
      <c r="AS255">
        <v>0</v>
      </c>
      <c r="AT255">
        <v>8</v>
      </c>
      <c r="AU255">
        <v>0</v>
      </c>
      <c r="AV255">
        <v>0</v>
      </c>
      <c r="AW255">
        <v>0</v>
      </c>
      <c r="AX255">
        <v>0</v>
      </c>
      <c r="AY255">
        <v>0</v>
      </c>
    </row>
    <row r="256" spans="1:51" x14ac:dyDescent="0.25">
      <c r="A256">
        <v>13</v>
      </c>
      <c r="B256">
        <v>10060</v>
      </c>
      <c r="C256" t="s">
        <v>735</v>
      </c>
      <c r="D256" t="s">
        <v>96</v>
      </c>
      <c r="E256" t="s">
        <v>121</v>
      </c>
      <c r="F256" t="s">
        <v>112</v>
      </c>
      <c r="G256" t="s">
        <v>77</v>
      </c>
      <c r="H256" t="s">
        <v>78</v>
      </c>
      <c r="I256" t="s">
        <v>195</v>
      </c>
      <c r="J256" t="s">
        <v>119</v>
      </c>
      <c r="K256" t="s">
        <v>102</v>
      </c>
      <c r="L256" t="s">
        <v>223</v>
      </c>
      <c r="M256" t="s">
        <v>103</v>
      </c>
      <c r="N256" t="s">
        <v>74</v>
      </c>
      <c r="O256" t="s">
        <v>191</v>
      </c>
      <c r="P256" t="s">
        <v>71</v>
      </c>
      <c r="Q256" t="s">
        <v>71</v>
      </c>
      <c r="R256" t="s">
        <v>71</v>
      </c>
      <c r="S256">
        <v>0</v>
      </c>
      <c r="T256">
        <v>0</v>
      </c>
      <c r="U256" t="s">
        <v>72</v>
      </c>
      <c r="V256" t="s">
        <v>73</v>
      </c>
      <c r="W256">
        <v>0</v>
      </c>
      <c r="X256">
        <v>1</v>
      </c>
      <c r="Y256">
        <v>0</v>
      </c>
      <c r="Z256">
        <v>0</v>
      </c>
      <c r="AA256">
        <v>0</v>
      </c>
      <c r="AB256">
        <v>0</v>
      </c>
      <c r="AC256">
        <v>0</v>
      </c>
      <c r="AD256">
        <v>0</v>
      </c>
      <c r="AE256">
        <v>0</v>
      </c>
      <c r="AF256">
        <v>0</v>
      </c>
      <c r="AG256" t="s">
        <v>71</v>
      </c>
      <c r="AH256">
        <v>0</v>
      </c>
      <c r="AI256">
        <v>0</v>
      </c>
      <c r="AJ256">
        <v>0</v>
      </c>
      <c r="AK256">
        <v>0</v>
      </c>
      <c r="AL256" t="s">
        <v>146</v>
      </c>
      <c r="AM256" t="s">
        <v>93</v>
      </c>
      <c r="AN256" t="s">
        <v>148</v>
      </c>
      <c r="AO256" t="s">
        <v>147</v>
      </c>
      <c r="AP256">
        <v>0</v>
      </c>
      <c r="AQ256">
        <v>0</v>
      </c>
      <c r="AR256">
        <v>0</v>
      </c>
      <c r="AS256">
        <v>0</v>
      </c>
      <c r="AT256">
        <v>24</v>
      </c>
      <c r="AU256">
        <v>0</v>
      </c>
      <c r="AV256">
        <v>0</v>
      </c>
      <c r="AW256">
        <v>0</v>
      </c>
      <c r="AX256">
        <v>0</v>
      </c>
      <c r="AY256">
        <v>0</v>
      </c>
    </row>
    <row r="257" spans="1:51" x14ac:dyDescent="0.25">
      <c r="A257">
        <v>14</v>
      </c>
      <c r="B257">
        <v>10070</v>
      </c>
      <c r="C257" t="s">
        <v>735</v>
      </c>
      <c r="D257" t="s">
        <v>96</v>
      </c>
      <c r="E257" t="s">
        <v>121</v>
      </c>
      <c r="F257" t="s">
        <v>112</v>
      </c>
      <c r="G257" t="s">
        <v>77</v>
      </c>
      <c r="H257" t="s">
        <v>78</v>
      </c>
      <c r="I257" t="s">
        <v>195</v>
      </c>
      <c r="J257" t="s">
        <v>119</v>
      </c>
      <c r="K257" t="s">
        <v>102</v>
      </c>
      <c r="L257" t="s">
        <v>223</v>
      </c>
      <c r="M257" t="s">
        <v>177</v>
      </c>
      <c r="N257" t="s">
        <v>74</v>
      </c>
      <c r="O257" t="s">
        <v>191</v>
      </c>
      <c r="P257" t="s">
        <v>71</v>
      </c>
      <c r="Q257" t="s">
        <v>71</v>
      </c>
      <c r="R257" t="s">
        <v>71</v>
      </c>
      <c r="S257">
        <v>0</v>
      </c>
      <c r="T257">
        <v>0</v>
      </c>
      <c r="U257" t="s">
        <v>72</v>
      </c>
      <c r="V257" t="s">
        <v>73</v>
      </c>
      <c r="W257">
        <v>0</v>
      </c>
      <c r="X257">
        <v>1</v>
      </c>
      <c r="Y257">
        <v>0</v>
      </c>
      <c r="Z257">
        <v>0</v>
      </c>
      <c r="AA257">
        <v>0</v>
      </c>
      <c r="AB257">
        <v>0</v>
      </c>
      <c r="AC257">
        <v>0</v>
      </c>
      <c r="AD257">
        <v>0</v>
      </c>
      <c r="AE257">
        <v>0</v>
      </c>
      <c r="AF257">
        <v>0</v>
      </c>
      <c r="AG257" t="s">
        <v>71</v>
      </c>
      <c r="AH257">
        <v>0</v>
      </c>
      <c r="AI257">
        <v>0</v>
      </c>
      <c r="AJ257">
        <v>0</v>
      </c>
      <c r="AK257">
        <v>0</v>
      </c>
      <c r="AL257" t="s">
        <v>146</v>
      </c>
      <c r="AM257" t="s">
        <v>93</v>
      </c>
      <c r="AN257" t="s">
        <v>148</v>
      </c>
      <c r="AO257" t="s">
        <v>147</v>
      </c>
      <c r="AP257">
        <v>0</v>
      </c>
      <c r="AQ257">
        <v>0</v>
      </c>
      <c r="AR257">
        <v>0</v>
      </c>
      <c r="AS257">
        <v>0</v>
      </c>
      <c r="AT257">
        <v>24</v>
      </c>
      <c r="AU257">
        <v>0</v>
      </c>
      <c r="AV257">
        <v>0</v>
      </c>
      <c r="AW257">
        <v>0</v>
      </c>
      <c r="AX257">
        <v>0</v>
      </c>
      <c r="AY257">
        <v>0</v>
      </c>
    </row>
    <row r="258" spans="1:51" x14ac:dyDescent="0.25">
      <c r="A258">
        <v>14</v>
      </c>
      <c r="B258">
        <v>10080</v>
      </c>
      <c r="C258" t="s">
        <v>735</v>
      </c>
      <c r="D258" t="s">
        <v>96</v>
      </c>
      <c r="E258" t="s">
        <v>121</v>
      </c>
      <c r="F258" t="s">
        <v>112</v>
      </c>
      <c r="G258" t="s">
        <v>77</v>
      </c>
      <c r="H258" t="s">
        <v>78</v>
      </c>
      <c r="I258" t="s">
        <v>195</v>
      </c>
      <c r="J258" t="s">
        <v>119</v>
      </c>
      <c r="K258" t="s">
        <v>102</v>
      </c>
      <c r="L258" t="s">
        <v>223</v>
      </c>
      <c r="M258" t="s">
        <v>179</v>
      </c>
      <c r="N258" t="s">
        <v>74</v>
      </c>
      <c r="O258" t="s">
        <v>191</v>
      </c>
      <c r="P258" t="s">
        <v>71</v>
      </c>
      <c r="Q258" t="s">
        <v>71</v>
      </c>
      <c r="R258" t="s">
        <v>71</v>
      </c>
      <c r="S258">
        <v>0</v>
      </c>
      <c r="T258">
        <v>0</v>
      </c>
      <c r="U258" t="s">
        <v>72</v>
      </c>
      <c r="V258" t="s">
        <v>73</v>
      </c>
      <c r="W258">
        <v>0</v>
      </c>
      <c r="X258">
        <v>1</v>
      </c>
      <c r="Y258">
        <v>0</v>
      </c>
      <c r="Z258">
        <v>0</v>
      </c>
      <c r="AA258">
        <v>0</v>
      </c>
      <c r="AB258">
        <v>0</v>
      </c>
      <c r="AC258">
        <v>0</v>
      </c>
      <c r="AD258">
        <v>0</v>
      </c>
      <c r="AE258">
        <v>0</v>
      </c>
      <c r="AF258">
        <v>0</v>
      </c>
      <c r="AG258" t="s">
        <v>71</v>
      </c>
      <c r="AH258">
        <v>0</v>
      </c>
      <c r="AI258">
        <v>0</v>
      </c>
      <c r="AJ258">
        <v>0</v>
      </c>
      <c r="AK258">
        <v>0</v>
      </c>
      <c r="AL258" t="s">
        <v>146</v>
      </c>
      <c r="AM258" t="s">
        <v>93</v>
      </c>
      <c r="AN258" t="s">
        <v>148</v>
      </c>
      <c r="AO258" t="s">
        <v>147</v>
      </c>
      <c r="AP258">
        <v>0</v>
      </c>
      <c r="AQ258">
        <v>0</v>
      </c>
      <c r="AR258">
        <v>0</v>
      </c>
      <c r="AS258">
        <v>0</v>
      </c>
      <c r="AT258">
        <v>24</v>
      </c>
      <c r="AU258">
        <v>0</v>
      </c>
      <c r="AV258">
        <v>0</v>
      </c>
      <c r="AW258">
        <v>0</v>
      </c>
      <c r="AX258">
        <v>0</v>
      </c>
      <c r="AY258">
        <v>0</v>
      </c>
    </row>
    <row r="259" spans="1:51" x14ac:dyDescent="0.25">
      <c r="A259">
        <v>15</v>
      </c>
      <c r="B259">
        <v>10090</v>
      </c>
      <c r="C259" t="s">
        <v>735</v>
      </c>
      <c r="D259" t="s">
        <v>96</v>
      </c>
      <c r="E259" t="s">
        <v>121</v>
      </c>
      <c r="F259" t="s">
        <v>112</v>
      </c>
      <c r="G259" t="s">
        <v>77</v>
      </c>
      <c r="H259" t="s">
        <v>180</v>
      </c>
      <c r="I259" t="s">
        <v>195</v>
      </c>
      <c r="J259" t="s">
        <v>119</v>
      </c>
      <c r="K259" t="s">
        <v>102</v>
      </c>
      <c r="L259" t="s">
        <v>223</v>
      </c>
      <c r="M259" t="s">
        <v>149</v>
      </c>
      <c r="N259" t="s">
        <v>74</v>
      </c>
      <c r="O259" t="s">
        <v>191</v>
      </c>
      <c r="P259" t="s">
        <v>71</v>
      </c>
      <c r="Q259" t="s">
        <v>71</v>
      </c>
      <c r="R259" t="s">
        <v>71</v>
      </c>
      <c r="S259">
        <v>0</v>
      </c>
      <c r="T259">
        <v>0</v>
      </c>
      <c r="U259" t="s">
        <v>72</v>
      </c>
      <c r="V259" t="s">
        <v>73</v>
      </c>
      <c r="W259">
        <v>0</v>
      </c>
      <c r="X259">
        <v>1</v>
      </c>
      <c r="Y259">
        <v>0</v>
      </c>
      <c r="Z259">
        <v>0</v>
      </c>
      <c r="AA259">
        <v>0</v>
      </c>
      <c r="AB259">
        <v>0</v>
      </c>
      <c r="AC259">
        <v>0</v>
      </c>
      <c r="AD259">
        <v>0</v>
      </c>
      <c r="AE259">
        <v>0</v>
      </c>
      <c r="AF259">
        <v>0</v>
      </c>
      <c r="AG259" t="s">
        <v>71</v>
      </c>
      <c r="AH259">
        <v>0</v>
      </c>
      <c r="AI259">
        <v>0</v>
      </c>
      <c r="AJ259">
        <v>0</v>
      </c>
      <c r="AK259">
        <v>0</v>
      </c>
      <c r="AL259" t="s">
        <v>146</v>
      </c>
      <c r="AM259" t="s">
        <v>93</v>
      </c>
      <c r="AN259" t="s">
        <v>148</v>
      </c>
      <c r="AO259" t="s">
        <v>147</v>
      </c>
      <c r="AP259">
        <v>0</v>
      </c>
      <c r="AQ259">
        <v>0</v>
      </c>
      <c r="AR259">
        <v>0</v>
      </c>
      <c r="AS259">
        <v>0</v>
      </c>
      <c r="AT259">
        <v>12</v>
      </c>
      <c r="AU259">
        <v>0</v>
      </c>
      <c r="AV259">
        <v>0</v>
      </c>
      <c r="AW259">
        <v>0</v>
      </c>
      <c r="AX259">
        <v>0</v>
      </c>
      <c r="AY259">
        <v>0</v>
      </c>
    </row>
    <row r="260" spans="1:51" x14ac:dyDescent="0.25">
      <c r="A260">
        <v>16</v>
      </c>
      <c r="B260">
        <v>10100</v>
      </c>
      <c r="C260" t="s">
        <v>735</v>
      </c>
      <c r="D260" t="s">
        <v>96</v>
      </c>
      <c r="E260" t="s">
        <v>121</v>
      </c>
      <c r="F260" t="s">
        <v>112</v>
      </c>
      <c r="G260" t="s">
        <v>77</v>
      </c>
      <c r="H260" t="s">
        <v>181</v>
      </c>
      <c r="I260" t="s">
        <v>79</v>
      </c>
      <c r="J260" t="s">
        <v>119</v>
      </c>
      <c r="K260" t="s">
        <v>102</v>
      </c>
      <c r="L260" t="s">
        <v>223</v>
      </c>
      <c r="M260" t="s">
        <v>149</v>
      </c>
      <c r="N260" t="s">
        <v>74</v>
      </c>
      <c r="O260" t="s">
        <v>191</v>
      </c>
      <c r="P260" t="s">
        <v>71</v>
      </c>
      <c r="Q260" t="s">
        <v>71</v>
      </c>
      <c r="R260" t="s">
        <v>71</v>
      </c>
      <c r="S260">
        <v>0</v>
      </c>
      <c r="T260">
        <v>0</v>
      </c>
      <c r="U260" t="s">
        <v>72</v>
      </c>
      <c r="V260" t="s">
        <v>73</v>
      </c>
      <c r="W260">
        <v>0</v>
      </c>
      <c r="X260">
        <v>1</v>
      </c>
      <c r="Y260">
        <v>0</v>
      </c>
      <c r="Z260">
        <v>0</v>
      </c>
      <c r="AA260">
        <v>0</v>
      </c>
      <c r="AB260">
        <v>0</v>
      </c>
      <c r="AC260">
        <v>0</v>
      </c>
      <c r="AD260">
        <v>0</v>
      </c>
      <c r="AE260">
        <v>0</v>
      </c>
      <c r="AF260">
        <v>0</v>
      </c>
      <c r="AG260" t="s">
        <v>71</v>
      </c>
      <c r="AH260">
        <v>0</v>
      </c>
      <c r="AI260">
        <v>0</v>
      </c>
      <c r="AJ260">
        <v>0</v>
      </c>
      <c r="AK260">
        <v>0</v>
      </c>
      <c r="AL260" t="s">
        <v>146</v>
      </c>
      <c r="AM260" t="s">
        <v>93</v>
      </c>
      <c r="AN260" t="s">
        <v>148</v>
      </c>
      <c r="AO260" t="s">
        <v>147</v>
      </c>
      <c r="AP260">
        <v>0</v>
      </c>
      <c r="AQ260">
        <v>0</v>
      </c>
      <c r="AR260">
        <v>0</v>
      </c>
      <c r="AS260">
        <v>0</v>
      </c>
      <c r="AT260">
        <v>4</v>
      </c>
      <c r="AU260">
        <v>0</v>
      </c>
      <c r="AV260">
        <v>0</v>
      </c>
      <c r="AW260">
        <v>0</v>
      </c>
      <c r="AX260">
        <v>0</v>
      </c>
      <c r="AY260">
        <v>0</v>
      </c>
    </row>
    <row r="261" spans="1:51" x14ac:dyDescent="0.25">
      <c r="A261">
        <v>17</v>
      </c>
      <c r="B261">
        <v>10110</v>
      </c>
      <c r="C261" t="s">
        <v>735</v>
      </c>
      <c r="D261" t="s">
        <v>96</v>
      </c>
      <c r="E261" t="s">
        <v>121</v>
      </c>
      <c r="F261" t="s">
        <v>112</v>
      </c>
      <c r="G261" t="s">
        <v>77</v>
      </c>
      <c r="H261" t="s">
        <v>182</v>
      </c>
      <c r="I261" t="s">
        <v>196</v>
      </c>
      <c r="J261" t="s">
        <v>119</v>
      </c>
      <c r="K261" t="s">
        <v>102</v>
      </c>
      <c r="L261" t="s">
        <v>223</v>
      </c>
      <c r="M261" t="s">
        <v>149</v>
      </c>
      <c r="N261" t="s">
        <v>74</v>
      </c>
      <c r="O261" t="s">
        <v>191</v>
      </c>
      <c r="P261" t="s">
        <v>71</v>
      </c>
      <c r="Q261" t="s">
        <v>71</v>
      </c>
      <c r="R261" t="s">
        <v>71</v>
      </c>
      <c r="S261">
        <v>0</v>
      </c>
      <c r="T261">
        <v>0</v>
      </c>
      <c r="U261" t="s">
        <v>72</v>
      </c>
      <c r="V261" t="s">
        <v>73</v>
      </c>
      <c r="W261">
        <v>0</v>
      </c>
      <c r="X261">
        <v>1</v>
      </c>
      <c r="Y261">
        <v>0</v>
      </c>
      <c r="Z261">
        <v>0</v>
      </c>
      <c r="AA261">
        <v>0</v>
      </c>
      <c r="AB261">
        <v>0</v>
      </c>
      <c r="AC261">
        <v>0</v>
      </c>
      <c r="AD261">
        <v>0</v>
      </c>
      <c r="AE261">
        <v>0</v>
      </c>
      <c r="AF261">
        <v>0</v>
      </c>
      <c r="AG261" t="s">
        <v>71</v>
      </c>
      <c r="AH261">
        <v>0</v>
      </c>
      <c r="AI261">
        <v>0</v>
      </c>
      <c r="AJ261">
        <v>0</v>
      </c>
      <c r="AK261">
        <v>0</v>
      </c>
      <c r="AL261" t="s">
        <v>146</v>
      </c>
      <c r="AM261" t="s">
        <v>93</v>
      </c>
      <c r="AN261" t="s">
        <v>148</v>
      </c>
      <c r="AO261" t="s">
        <v>147</v>
      </c>
      <c r="AP261">
        <v>0</v>
      </c>
      <c r="AQ261">
        <v>0</v>
      </c>
      <c r="AR261">
        <v>0</v>
      </c>
      <c r="AS261">
        <v>0</v>
      </c>
      <c r="AT261">
        <v>12</v>
      </c>
      <c r="AU261">
        <v>0</v>
      </c>
      <c r="AV261">
        <v>0</v>
      </c>
      <c r="AW261">
        <v>0</v>
      </c>
      <c r="AX261">
        <v>0</v>
      </c>
      <c r="AY261">
        <v>0</v>
      </c>
    </row>
    <row r="262" spans="1:51" x14ac:dyDescent="0.25">
      <c r="A262">
        <v>18</v>
      </c>
      <c r="B262">
        <v>10120</v>
      </c>
      <c r="C262" t="s">
        <v>735</v>
      </c>
      <c r="D262" t="s">
        <v>96</v>
      </c>
      <c r="E262" t="s">
        <v>121</v>
      </c>
      <c r="F262" t="s">
        <v>112</v>
      </c>
      <c r="G262" t="s">
        <v>101</v>
      </c>
      <c r="H262" t="s">
        <v>182</v>
      </c>
      <c r="I262" t="s">
        <v>79</v>
      </c>
      <c r="J262" t="s">
        <v>119</v>
      </c>
      <c r="K262" t="s">
        <v>102</v>
      </c>
      <c r="L262" t="s">
        <v>223</v>
      </c>
      <c r="M262" t="s">
        <v>149</v>
      </c>
      <c r="N262" t="s">
        <v>74</v>
      </c>
      <c r="O262" t="s">
        <v>191</v>
      </c>
      <c r="P262" t="s">
        <v>71</v>
      </c>
      <c r="Q262" t="s">
        <v>71</v>
      </c>
      <c r="R262" t="s">
        <v>71</v>
      </c>
      <c r="S262">
        <v>0</v>
      </c>
      <c r="T262">
        <v>0</v>
      </c>
      <c r="U262" t="s">
        <v>72</v>
      </c>
      <c r="V262" t="s">
        <v>73</v>
      </c>
      <c r="W262">
        <v>0</v>
      </c>
      <c r="X262">
        <v>1</v>
      </c>
      <c r="Y262">
        <v>0</v>
      </c>
      <c r="Z262">
        <v>0</v>
      </c>
      <c r="AA262">
        <v>0</v>
      </c>
      <c r="AB262">
        <v>0</v>
      </c>
      <c r="AC262">
        <v>0</v>
      </c>
      <c r="AD262">
        <v>0</v>
      </c>
      <c r="AE262">
        <v>0</v>
      </c>
      <c r="AF262">
        <v>0</v>
      </c>
      <c r="AG262" t="s">
        <v>71</v>
      </c>
      <c r="AH262">
        <v>0</v>
      </c>
      <c r="AI262">
        <v>0</v>
      </c>
      <c r="AJ262">
        <v>0</v>
      </c>
      <c r="AK262">
        <v>0</v>
      </c>
      <c r="AL262" t="s">
        <v>146</v>
      </c>
      <c r="AM262" t="s">
        <v>93</v>
      </c>
      <c r="AN262" t="s">
        <v>148</v>
      </c>
      <c r="AO262" t="s">
        <v>147</v>
      </c>
      <c r="AP262">
        <v>0</v>
      </c>
      <c r="AQ262">
        <v>0</v>
      </c>
      <c r="AR262">
        <v>0</v>
      </c>
      <c r="AS262">
        <v>0</v>
      </c>
      <c r="AT262">
        <v>6</v>
      </c>
      <c r="AU262">
        <v>0</v>
      </c>
      <c r="AV262">
        <v>0</v>
      </c>
      <c r="AW262">
        <v>0</v>
      </c>
      <c r="AX262">
        <v>0</v>
      </c>
      <c r="AY262">
        <v>0</v>
      </c>
    </row>
    <row r="263" spans="1:51" x14ac:dyDescent="0.25">
      <c r="A263">
        <v>19</v>
      </c>
      <c r="B263">
        <v>10130</v>
      </c>
      <c r="C263" t="s">
        <v>735</v>
      </c>
      <c r="D263" t="s">
        <v>96</v>
      </c>
      <c r="E263" t="s">
        <v>121</v>
      </c>
      <c r="F263" t="s">
        <v>112</v>
      </c>
      <c r="G263" t="s">
        <v>184</v>
      </c>
      <c r="H263" t="s">
        <v>182</v>
      </c>
      <c r="I263" t="s">
        <v>197</v>
      </c>
      <c r="J263" t="s">
        <v>119</v>
      </c>
      <c r="K263" t="s">
        <v>102</v>
      </c>
      <c r="L263" t="s">
        <v>223</v>
      </c>
      <c r="M263" t="s">
        <v>149</v>
      </c>
      <c r="N263" t="s">
        <v>74</v>
      </c>
      <c r="O263" t="s">
        <v>191</v>
      </c>
      <c r="P263" t="s">
        <v>71</v>
      </c>
      <c r="Q263" t="s">
        <v>71</v>
      </c>
      <c r="R263" t="s">
        <v>71</v>
      </c>
      <c r="S263">
        <v>0</v>
      </c>
      <c r="T263">
        <v>0</v>
      </c>
      <c r="U263" t="s">
        <v>72</v>
      </c>
      <c r="V263" t="s">
        <v>73</v>
      </c>
      <c r="W263">
        <v>0</v>
      </c>
      <c r="X263">
        <v>1</v>
      </c>
      <c r="Y263">
        <v>0</v>
      </c>
      <c r="Z263">
        <v>0</v>
      </c>
      <c r="AA263">
        <v>0</v>
      </c>
      <c r="AB263">
        <v>0</v>
      </c>
      <c r="AC263">
        <v>0</v>
      </c>
      <c r="AD263">
        <v>0</v>
      </c>
      <c r="AE263">
        <v>0</v>
      </c>
      <c r="AF263">
        <v>0</v>
      </c>
      <c r="AG263" t="s">
        <v>71</v>
      </c>
      <c r="AH263">
        <v>0</v>
      </c>
      <c r="AI263">
        <v>0</v>
      </c>
      <c r="AJ263">
        <v>0</v>
      </c>
      <c r="AK263">
        <v>0</v>
      </c>
      <c r="AL263" t="s">
        <v>146</v>
      </c>
      <c r="AM263" t="s">
        <v>93</v>
      </c>
      <c r="AN263" t="s">
        <v>148</v>
      </c>
      <c r="AO263" t="s">
        <v>147</v>
      </c>
      <c r="AP263">
        <v>0</v>
      </c>
      <c r="AQ263">
        <v>0</v>
      </c>
      <c r="AR263">
        <v>0</v>
      </c>
      <c r="AS263">
        <v>0</v>
      </c>
      <c r="AT263">
        <v>14</v>
      </c>
      <c r="AU263">
        <v>0</v>
      </c>
      <c r="AV263">
        <v>0</v>
      </c>
      <c r="AW263">
        <v>0</v>
      </c>
      <c r="AX263">
        <v>0</v>
      </c>
      <c r="AY263">
        <v>0</v>
      </c>
    </row>
    <row r="264" spans="1:51" x14ac:dyDescent="0.25">
      <c r="A264">
        <v>20</v>
      </c>
      <c r="B264">
        <v>10140</v>
      </c>
      <c r="C264" t="s">
        <v>735</v>
      </c>
      <c r="D264" t="s">
        <v>96</v>
      </c>
      <c r="E264" t="s">
        <v>121</v>
      </c>
      <c r="F264" t="s">
        <v>112</v>
      </c>
      <c r="G264" t="s">
        <v>185</v>
      </c>
      <c r="H264" t="s">
        <v>182</v>
      </c>
      <c r="I264" t="s">
        <v>195</v>
      </c>
      <c r="J264" t="s">
        <v>119</v>
      </c>
      <c r="K264" t="s">
        <v>102</v>
      </c>
      <c r="L264" t="s">
        <v>223</v>
      </c>
      <c r="M264" t="s">
        <v>149</v>
      </c>
      <c r="N264" t="s">
        <v>74</v>
      </c>
      <c r="O264" t="s">
        <v>191</v>
      </c>
      <c r="P264" t="s">
        <v>71</v>
      </c>
      <c r="Q264" t="s">
        <v>71</v>
      </c>
      <c r="R264" t="s">
        <v>71</v>
      </c>
      <c r="S264">
        <v>0</v>
      </c>
      <c r="T264">
        <v>0</v>
      </c>
      <c r="U264" t="s">
        <v>72</v>
      </c>
      <c r="V264" t="s">
        <v>73</v>
      </c>
      <c r="W264">
        <v>0</v>
      </c>
      <c r="X264">
        <v>1</v>
      </c>
      <c r="Y264">
        <v>0</v>
      </c>
      <c r="Z264">
        <v>0</v>
      </c>
      <c r="AA264">
        <v>0</v>
      </c>
      <c r="AB264">
        <v>0</v>
      </c>
      <c r="AC264">
        <v>0</v>
      </c>
      <c r="AD264">
        <v>0</v>
      </c>
      <c r="AE264">
        <v>0</v>
      </c>
      <c r="AF264">
        <v>0</v>
      </c>
      <c r="AG264" t="s">
        <v>71</v>
      </c>
      <c r="AH264">
        <v>0</v>
      </c>
      <c r="AI264">
        <v>0</v>
      </c>
      <c r="AJ264">
        <v>0</v>
      </c>
      <c r="AK264">
        <v>0</v>
      </c>
      <c r="AL264" t="s">
        <v>146</v>
      </c>
      <c r="AM264" t="s">
        <v>93</v>
      </c>
      <c r="AN264" t="s">
        <v>148</v>
      </c>
      <c r="AO264" t="s">
        <v>147</v>
      </c>
      <c r="AP264">
        <v>0</v>
      </c>
      <c r="AQ264">
        <v>0</v>
      </c>
      <c r="AR264">
        <v>0</v>
      </c>
      <c r="AS264">
        <v>0</v>
      </c>
      <c r="AT264">
        <v>14</v>
      </c>
      <c r="AU264">
        <v>0</v>
      </c>
      <c r="AV264">
        <v>0</v>
      </c>
      <c r="AW264">
        <v>0</v>
      </c>
      <c r="AX264">
        <v>0</v>
      </c>
      <c r="AY264">
        <v>0</v>
      </c>
    </row>
    <row r="265" spans="1:51" x14ac:dyDescent="0.25">
      <c r="A265">
        <v>22</v>
      </c>
      <c r="B265">
        <v>10150</v>
      </c>
      <c r="C265" t="s">
        <v>735</v>
      </c>
      <c r="D265" t="s">
        <v>96</v>
      </c>
      <c r="E265" t="s">
        <v>186</v>
      </c>
      <c r="F265" t="s">
        <v>112</v>
      </c>
      <c r="G265" t="s">
        <v>77</v>
      </c>
      <c r="H265" t="s">
        <v>182</v>
      </c>
      <c r="I265" t="s">
        <v>79</v>
      </c>
      <c r="J265" t="s">
        <v>119</v>
      </c>
      <c r="K265" t="s">
        <v>102</v>
      </c>
      <c r="L265" t="s">
        <v>223</v>
      </c>
      <c r="M265" t="s">
        <v>149</v>
      </c>
      <c r="N265" t="s">
        <v>74</v>
      </c>
      <c r="O265" t="s">
        <v>104</v>
      </c>
      <c r="P265" t="s">
        <v>71</v>
      </c>
      <c r="Q265" t="s">
        <v>71</v>
      </c>
      <c r="R265" t="s">
        <v>71</v>
      </c>
      <c r="S265">
        <v>1</v>
      </c>
      <c r="T265">
        <v>0</v>
      </c>
      <c r="U265" t="s">
        <v>72</v>
      </c>
      <c r="V265" t="s">
        <v>188</v>
      </c>
      <c r="W265">
        <v>0</v>
      </c>
      <c r="X265">
        <v>1</v>
      </c>
      <c r="Y265">
        <v>1</v>
      </c>
      <c r="Z265">
        <v>0.2</v>
      </c>
      <c r="AA265">
        <v>1</v>
      </c>
      <c r="AB265">
        <v>0.2</v>
      </c>
      <c r="AC265">
        <v>1</v>
      </c>
      <c r="AD265">
        <v>0.2</v>
      </c>
      <c r="AE265">
        <v>0</v>
      </c>
      <c r="AF265">
        <v>0</v>
      </c>
      <c r="AG265" t="s">
        <v>71</v>
      </c>
      <c r="AH265">
        <v>0</v>
      </c>
      <c r="AI265">
        <v>0</v>
      </c>
      <c r="AJ265">
        <v>0</v>
      </c>
      <c r="AK265">
        <v>0</v>
      </c>
      <c r="AL265" t="s">
        <v>146</v>
      </c>
      <c r="AM265" t="s">
        <v>93</v>
      </c>
      <c r="AN265" t="s">
        <v>148</v>
      </c>
      <c r="AO265" t="s">
        <v>147</v>
      </c>
      <c r="AP265">
        <v>0</v>
      </c>
      <c r="AQ265">
        <v>0</v>
      </c>
      <c r="AR265">
        <v>0</v>
      </c>
      <c r="AS265">
        <v>0</v>
      </c>
      <c r="AT265">
        <v>5</v>
      </c>
      <c r="AU265">
        <v>0</v>
      </c>
      <c r="AV265">
        <v>0</v>
      </c>
      <c r="AW265">
        <v>0</v>
      </c>
      <c r="AX265">
        <v>0</v>
      </c>
      <c r="AY265">
        <v>0</v>
      </c>
    </row>
    <row r="266" spans="1:51" x14ac:dyDescent="0.25">
      <c r="A266">
        <v>22</v>
      </c>
      <c r="B266">
        <v>10160</v>
      </c>
      <c r="C266" t="s">
        <v>735</v>
      </c>
      <c r="D266" t="s">
        <v>96</v>
      </c>
      <c r="E266" t="s">
        <v>186</v>
      </c>
      <c r="F266" t="s">
        <v>112</v>
      </c>
      <c r="G266" t="s">
        <v>77</v>
      </c>
      <c r="H266" t="s">
        <v>182</v>
      </c>
      <c r="I266" t="s">
        <v>79</v>
      </c>
      <c r="J266" t="s">
        <v>70</v>
      </c>
      <c r="K266" t="s">
        <v>102</v>
      </c>
      <c r="L266" t="s">
        <v>223</v>
      </c>
      <c r="M266" t="s">
        <v>149</v>
      </c>
      <c r="N266" t="s">
        <v>74</v>
      </c>
      <c r="O266" t="s">
        <v>104</v>
      </c>
      <c r="P266" t="s">
        <v>71</v>
      </c>
      <c r="Q266" t="s">
        <v>71</v>
      </c>
      <c r="R266" t="s">
        <v>71</v>
      </c>
      <c r="S266">
        <v>0</v>
      </c>
      <c r="T266">
        <v>0</v>
      </c>
      <c r="U266" t="s">
        <v>72</v>
      </c>
      <c r="V266" t="s">
        <v>188</v>
      </c>
      <c r="W266">
        <v>0</v>
      </c>
      <c r="X266">
        <v>1</v>
      </c>
      <c r="Y266">
        <v>0</v>
      </c>
      <c r="Z266">
        <v>0</v>
      </c>
      <c r="AA266">
        <v>0</v>
      </c>
      <c r="AB266">
        <v>0</v>
      </c>
      <c r="AC266">
        <v>0</v>
      </c>
      <c r="AD266">
        <v>0</v>
      </c>
      <c r="AE266">
        <v>0</v>
      </c>
      <c r="AF266">
        <v>0</v>
      </c>
      <c r="AG266" t="s">
        <v>71</v>
      </c>
      <c r="AH266">
        <v>0</v>
      </c>
      <c r="AI266">
        <v>0</v>
      </c>
      <c r="AJ266">
        <v>0</v>
      </c>
      <c r="AK266">
        <v>0</v>
      </c>
      <c r="AL266" t="s">
        <v>146</v>
      </c>
      <c r="AM266" t="s">
        <v>93</v>
      </c>
      <c r="AN266" t="s">
        <v>148</v>
      </c>
      <c r="AO266" t="s">
        <v>147</v>
      </c>
      <c r="AP266">
        <v>0</v>
      </c>
      <c r="AQ266">
        <v>0</v>
      </c>
      <c r="AR266">
        <v>228</v>
      </c>
      <c r="AS266">
        <v>0</v>
      </c>
      <c r="AT266">
        <v>0</v>
      </c>
      <c r="AU266">
        <v>0</v>
      </c>
      <c r="AV266">
        <v>0</v>
      </c>
      <c r="AW266">
        <v>0</v>
      </c>
      <c r="AX266">
        <v>0</v>
      </c>
      <c r="AY266">
        <v>0</v>
      </c>
    </row>
    <row r="267" spans="1:51" x14ac:dyDescent="0.25">
      <c r="A267">
        <v>22</v>
      </c>
      <c r="B267">
        <v>10170</v>
      </c>
      <c r="C267" t="s">
        <v>735</v>
      </c>
      <c r="D267" t="s">
        <v>96</v>
      </c>
      <c r="E267" t="s">
        <v>121</v>
      </c>
      <c r="F267" t="s">
        <v>112</v>
      </c>
      <c r="G267" t="s">
        <v>77</v>
      </c>
      <c r="H267" t="s">
        <v>182</v>
      </c>
      <c r="I267" t="s">
        <v>195</v>
      </c>
      <c r="J267" t="s">
        <v>150</v>
      </c>
      <c r="K267" t="s">
        <v>102</v>
      </c>
      <c r="L267" t="s">
        <v>203</v>
      </c>
      <c r="M267" t="s">
        <v>149</v>
      </c>
      <c r="N267" t="s">
        <v>74</v>
      </c>
      <c r="O267" t="s">
        <v>104</v>
      </c>
      <c r="P267" t="s">
        <v>71</v>
      </c>
      <c r="Q267" t="s">
        <v>71</v>
      </c>
      <c r="R267" t="s">
        <v>71</v>
      </c>
      <c r="S267">
        <v>0</v>
      </c>
      <c r="T267">
        <v>0</v>
      </c>
      <c r="U267" t="s">
        <v>72</v>
      </c>
      <c r="V267" t="s">
        <v>192</v>
      </c>
      <c r="W267">
        <v>0</v>
      </c>
      <c r="X267">
        <v>1</v>
      </c>
      <c r="Y267">
        <v>0</v>
      </c>
      <c r="Z267">
        <v>0</v>
      </c>
      <c r="AA267">
        <v>0</v>
      </c>
      <c r="AB267">
        <v>0</v>
      </c>
      <c r="AC267">
        <v>0</v>
      </c>
      <c r="AD267">
        <v>0</v>
      </c>
      <c r="AE267">
        <v>0</v>
      </c>
      <c r="AF267">
        <v>0</v>
      </c>
      <c r="AG267" t="s">
        <v>71</v>
      </c>
      <c r="AH267">
        <v>0</v>
      </c>
      <c r="AI267">
        <v>0</v>
      </c>
      <c r="AJ267">
        <v>0</v>
      </c>
      <c r="AK267">
        <v>0</v>
      </c>
      <c r="AL267" t="s">
        <v>146</v>
      </c>
      <c r="AM267" t="s">
        <v>93</v>
      </c>
      <c r="AN267" t="s">
        <v>148</v>
      </c>
      <c r="AO267" t="s">
        <v>147</v>
      </c>
      <c r="AP267">
        <v>0</v>
      </c>
      <c r="AQ267">
        <v>0</v>
      </c>
      <c r="AR267">
        <v>157</v>
      </c>
      <c r="AS267">
        <v>0</v>
      </c>
      <c r="AT267">
        <v>0</v>
      </c>
      <c r="AU267">
        <v>0</v>
      </c>
      <c r="AV267">
        <v>0</v>
      </c>
      <c r="AW267">
        <v>0</v>
      </c>
      <c r="AX267">
        <v>0</v>
      </c>
      <c r="AY267">
        <v>0</v>
      </c>
    </row>
    <row r="268" spans="1:51" x14ac:dyDescent="0.25">
      <c r="A268">
        <v>23</v>
      </c>
      <c r="B268">
        <v>10180</v>
      </c>
      <c r="C268" t="s">
        <v>735</v>
      </c>
      <c r="D268" t="s">
        <v>96</v>
      </c>
      <c r="E268" t="s">
        <v>186</v>
      </c>
      <c r="F268" t="s">
        <v>112</v>
      </c>
      <c r="G268" t="s">
        <v>77</v>
      </c>
      <c r="H268" t="s">
        <v>182</v>
      </c>
      <c r="I268" t="s">
        <v>79</v>
      </c>
      <c r="J268" t="s">
        <v>152</v>
      </c>
      <c r="K268" t="s">
        <v>102</v>
      </c>
      <c r="L268" t="s">
        <v>223</v>
      </c>
      <c r="M268" t="s">
        <v>149</v>
      </c>
      <c r="N268" t="s">
        <v>74</v>
      </c>
      <c r="O268" t="s">
        <v>104</v>
      </c>
      <c r="P268" t="s">
        <v>71</v>
      </c>
      <c r="Q268" t="s">
        <v>71</v>
      </c>
      <c r="R268" t="s">
        <v>71</v>
      </c>
      <c r="S268">
        <v>1</v>
      </c>
      <c r="T268">
        <v>0</v>
      </c>
      <c r="U268" t="s">
        <v>72</v>
      </c>
      <c r="V268" t="s">
        <v>188</v>
      </c>
      <c r="W268">
        <v>0</v>
      </c>
      <c r="X268">
        <v>1</v>
      </c>
      <c r="Y268">
        <v>0</v>
      </c>
      <c r="Z268">
        <v>0</v>
      </c>
      <c r="AA268">
        <v>0</v>
      </c>
      <c r="AB268">
        <v>0</v>
      </c>
      <c r="AC268">
        <v>0</v>
      </c>
      <c r="AD268">
        <v>0</v>
      </c>
      <c r="AE268">
        <v>0</v>
      </c>
      <c r="AF268">
        <v>0</v>
      </c>
      <c r="AG268" t="s">
        <v>71</v>
      </c>
      <c r="AH268">
        <v>0</v>
      </c>
      <c r="AI268">
        <v>0</v>
      </c>
      <c r="AJ268">
        <v>0</v>
      </c>
      <c r="AK268">
        <v>0</v>
      </c>
      <c r="AL268" t="s">
        <v>146</v>
      </c>
      <c r="AM268" t="s">
        <v>93</v>
      </c>
      <c r="AN268" t="s">
        <v>148</v>
      </c>
      <c r="AO268" t="s">
        <v>147</v>
      </c>
      <c r="AP268">
        <v>0</v>
      </c>
      <c r="AQ268">
        <v>0</v>
      </c>
      <c r="AR268">
        <v>36</v>
      </c>
      <c r="AS268">
        <v>0</v>
      </c>
      <c r="AT268">
        <v>0</v>
      </c>
      <c r="AU268">
        <v>0</v>
      </c>
      <c r="AV268">
        <v>0</v>
      </c>
      <c r="AW268">
        <v>0</v>
      </c>
      <c r="AX268">
        <v>0</v>
      </c>
      <c r="AY268">
        <v>0</v>
      </c>
    </row>
    <row r="269" spans="1:51" x14ac:dyDescent="0.25">
      <c r="A269">
        <v>24</v>
      </c>
      <c r="B269">
        <v>10190</v>
      </c>
      <c r="C269" t="s">
        <v>735</v>
      </c>
      <c r="D269" t="s">
        <v>96</v>
      </c>
      <c r="E269" t="s">
        <v>121</v>
      </c>
      <c r="F269" t="s">
        <v>107</v>
      </c>
      <c r="G269" t="s">
        <v>77</v>
      </c>
      <c r="H269" t="s">
        <v>78</v>
      </c>
      <c r="I269" t="s">
        <v>79</v>
      </c>
      <c r="J269" t="s">
        <v>70</v>
      </c>
      <c r="K269" t="s">
        <v>102</v>
      </c>
      <c r="L269" t="s">
        <v>203</v>
      </c>
      <c r="M269" t="s">
        <v>177</v>
      </c>
      <c r="N269" t="s">
        <v>74</v>
      </c>
      <c r="O269" t="s">
        <v>104</v>
      </c>
      <c r="P269" t="s">
        <v>71</v>
      </c>
      <c r="Q269" t="s">
        <v>71</v>
      </c>
      <c r="R269" t="s">
        <v>71</v>
      </c>
      <c r="S269">
        <v>1</v>
      </c>
      <c r="T269">
        <v>0</v>
      </c>
      <c r="U269" t="s">
        <v>72</v>
      </c>
      <c r="V269" t="s">
        <v>188</v>
      </c>
      <c r="W269">
        <v>0</v>
      </c>
      <c r="X269">
        <v>0</v>
      </c>
      <c r="Y269">
        <v>0</v>
      </c>
      <c r="Z269">
        <v>0</v>
      </c>
      <c r="AA269">
        <v>0</v>
      </c>
      <c r="AB269">
        <v>0</v>
      </c>
      <c r="AC269">
        <v>0</v>
      </c>
      <c r="AD269">
        <v>0</v>
      </c>
      <c r="AE269">
        <v>0</v>
      </c>
      <c r="AF269">
        <v>0</v>
      </c>
      <c r="AG269" t="s">
        <v>71</v>
      </c>
      <c r="AH269">
        <v>0</v>
      </c>
      <c r="AI269">
        <v>0</v>
      </c>
      <c r="AJ269">
        <v>0</v>
      </c>
      <c r="AK269">
        <v>0</v>
      </c>
      <c r="AL269" t="s">
        <v>146</v>
      </c>
      <c r="AM269" t="s">
        <v>93</v>
      </c>
      <c r="AN269" t="s">
        <v>148</v>
      </c>
      <c r="AO269" t="s">
        <v>147</v>
      </c>
      <c r="AP269">
        <v>0</v>
      </c>
      <c r="AQ269">
        <v>0</v>
      </c>
      <c r="AR269">
        <v>128</v>
      </c>
      <c r="AS269">
        <v>0</v>
      </c>
      <c r="AT269">
        <v>0</v>
      </c>
      <c r="AU269">
        <v>0</v>
      </c>
      <c r="AV269">
        <v>0</v>
      </c>
      <c r="AW269">
        <v>0</v>
      </c>
      <c r="AX269">
        <v>0</v>
      </c>
      <c r="AY269">
        <v>0</v>
      </c>
    </row>
    <row r="270" spans="1:51" x14ac:dyDescent="0.25">
      <c r="A270">
        <v>25</v>
      </c>
      <c r="B270">
        <v>10200</v>
      </c>
      <c r="C270" t="s">
        <v>735</v>
      </c>
      <c r="D270" t="s">
        <v>96</v>
      </c>
      <c r="E270" t="s">
        <v>190</v>
      </c>
      <c r="F270" t="s">
        <v>107</v>
      </c>
      <c r="G270" t="s">
        <v>77</v>
      </c>
      <c r="H270" t="s">
        <v>78</v>
      </c>
      <c r="I270" t="s">
        <v>79</v>
      </c>
      <c r="J270" t="s">
        <v>70</v>
      </c>
      <c r="K270" t="s">
        <v>102</v>
      </c>
      <c r="L270" t="s">
        <v>76</v>
      </c>
      <c r="M270" t="s">
        <v>177</v>
      </c>
      <c r="N270" t="s">
        <v>74</v>
      </c>
      <c r="O270" t="s">
        <v>104</v>
      </c>
      <c r="P270" t="s">
        <v>71</v>
      </c>
      <c r="Q270" t="s">
        <v>71</v>
      </c>
      <c r="R270" t="s">
        <v>71</v>
      </c>
      <c r="S270">
        <v>1</v>
      </c>
      <c r="T270">
        <v>0</v>
      </c>
      <c r="U270" t="s">
        <v>72</v>
      </c>
      <c r="V270" t="s">
        <v>188</v>
      </c>
      <c r="W270">
        <v>0</v>
      </c>
      <c r="X270">
        <v>0</v>
      </c>
      <c r="Y270">
        <v>0</v>
      </c>
      <c r="Z270">
        <v>0</v>
      </c>
      <c r="AA270">
        <v>0</v>
      </c>
      <c r="AB270">
        <v>0</v>
      </c>
      <c r="AC270">
        <v>0</v>
      </c>
      <c r="AD270">
        <v>0</v>
      </c>
      <c r="AE270">
        <v>0</v>
      </c>
      <c r="AF270">
        <v>0</v>
      </c>
      <c r="AG270" t="s">
        <v>71</v>
      </c>
      <c r="AH270">
        <v>0</v>
      </c>
      <c r="AI270">
        <v>0</v>
      </c>
      <c r="AJ270">
        <v>0</v>
      </c>
      <c r="AK270">
        <v>0</v>
      </c>
      <c r="AL270" t="s">
        <v>146</v>
      </c>
      <c r="AM270" t="s">
        <v>93</v>
      </c>
      <c r="AN270" t="s">
        <v>148</v>
      </c>
      <c r="AO270" t="s">
        <v>147</v>
      </c>
      <c r="AP270">
        <v>0</v>
      </c>
      <c r="AQ270">
        <v>0</v>
      </c>
      <c r="AR270">
        <v>160</v>
      </c>
      <c r="AS270">
        <v>0</v>
      </c>
      <c r="AT270">
        <v>0</v>
      </c>
      <c r="AU270">
        <v>0</v>
      </c>
      <c r="AV270">
        <v>0</v>
      </c>
      <c r="AW270">
        <v>0</v>
      </c>
      <c r="AX270">
        <v>0</v>
      </c>
      <c r="AY270">
        <v>0</v>
      </c>
    </row>
    <row r="271" spans="1:51" x14ac:dyDescent="0.25">
      <c r="A271">
        <v>26</v>
      </c>
      <c r="B271">
        <v>10210</v>
      </c>
      <c r="C271" t="s">
        <v>735</v>
      </c>
      <c r="D271" t="s">
        <v>96</v>
      </c>
      <c r="E271" t="s">
        <v>186</v>
      </c>
      <c r="F271" t="s">
        <v>107</v>
      </c>
      <c r="G271" t="s">
        <v>77</v>
      </c>
      <c r="H271" t="s">
        <v>78</v>
      </c>
      <c r="I271" t="s">
        <v>79</v>
      </c>
      <c r="J271" t="s">
        <v>70</v>
      </c>
      <c r="K271" t="s">
        <v>102</v>
      </c>
      <c r="L271" t="s">
        <v>203</v>
      </c>
      <c r="M271" t="s">
        <v>177</v>
      </c>
      <c r="N271" t="s">
        <v>74</v>
      </c>
      <c r="O271" t="s">
        <v>191</v>
      </c>
      <c r="P271" t="s">
        <v>71</v>
      </c>
      <c r="Q271" t="s">
        <v>71</v>
      </c>
      <c r="R271" t="s">
        <v>71</v>
      </c>
      <c r="S271">
        <v>1</v>
      </c>
      <c r="T271">
        <v>0</v>
      </c>
      <c r="U271" t="s">
        <v>72</v>
      </c>
      <c r="V271" t="s">
        <v>188</v>
      </c>
      <c r="W271">
        <v>0</v>
      </c>
      <c r="X271">
        <v>0</v>
      </c>
      <c r="Y271">
        <v>0</v>
      </c>
      <c r="Z271">
        <v>0</v>
      </c>
      <c r="AA271">
        <v>0</v>
      </c>
      <c r="AB271">
        <v>0</v>
      </c>
      <c r="AC271">
        <v>0</v>
      </c>
      <c r="AD271">
        <v>0</v>
      </c>
      <c r="AE271">
        <v>0</v>
      </c>
      <c r="AF271">
        <v>0</v>
      </c>
      <c r="AG271" t="s">
        <v>71</v>
      </c>
      <c r="AH271">
        <v>0</v>
      </c>
      <c r="AI271">
        <v>0</v>
      </c>
      <c r="AJ271">
        <v>0</v>
      </c>
      <c r="AK271">
        <v>0</v>
      </c>
      <c r="AL271" t="s">
        <v>146</v>
      </c>
      <c r="AM271" t="s">
        <v>93</v>
      </c>
      <c r="AN271" t="s">
        <v>148</v>
      </c>
      <c r="AO271" t="s">
        <v>147</v>
      </c>
      <c r="AP271">
        <v>0</v>
      </c>
      <c r="AQ271">
        <v>0</v>
      </c>
      <c r="AR271">
        <v>128</v>
      </c>
      <c r="AS271">
        <v>0</v>
      </c>
      <c r="AT271">
        <v>0</v>
      </c>
      <c r="AU271">
        <v>0</v>
      </c>
      <c r="AV271">
        <v>0</v>
      </c>
      <c r="AW271">
        <v>0</v>
      </c>
      <c r="AX271">
        <v>0</v>
      </c>
      <c r="AY271">
        <v>0</v>
      </c>
    </row>
    <row r="272" spans="1:51" x14ac:dyDescent="0.25">
      <c r="A272">
        <v>27</v>
      </c>
      <c r="B272">
        <v>10220</v>
      </c>
      <c r="C272" t="s">
        <v>735</v>
      </c>
      <c r="D272" t="s">
        <v>96</v>
      </c>
      <c r="E272" t="s">
        <v>186</v>
      </c>
      <c r="F272" t="s">
        <v>107</v>
      </c>
      <c r="G272" t="s">
        <v>77</v>
      </c>
      <c r="H272" t="s">
        <v>78</v>
      </c>
      <c r="I272" t="s">
        <v>79</v>
      </c>
      <c r="J272" t="s">
        <v>70</v>
      </c>
      <c r="K272" t="s">
        <v>102</v>
      </c>
      <c r="L272" t="s">
        <v>205</v>
      </c>
      <c r="M272" t="s">
        <v>177</v>
      </c>
      <c r="N272" t="s">
        <v>74</v>
      </c>
      <c r="O272" t="s">
        <v>187</v>
      </c>
      <c r="P272" t="s">
        <v>71</v>
      </c>
      <c r="Q272" t="s">
        <v>71</v>
      </c>
      <c r="R272" t="s">
        <v>71</v>
      </c>
      <c r="S272">
        <v>1</v>
      </c>
      <c r="T272">
        <v>0</v>
      </c>
      <c r="U272" t="s">
        <v>72</v>
      </c>
      <c r="V272" t="s">
        <v>188</v>
      </c>
      <c r="W272">
        <v>0</v>
      </c>
      <c r="X272">
        <v>0</v>
      </c>
      <c r="Y272">
        <v>0</v>
      </c>
      <c r="Z272">
        <v>0</v>
      </c>
      <c r="AA272">
        <v>0</v>
      </c>
      <c r="AB272">
        <v>0</v>
      </c>
      <c r="AC272">
        <v>0</v>
      </c>
      <c r="AD272">
        <v>0</v>
      </c>
      <c r="AE272">
        <v>0</v>
      </c>
      <c r="AF272">
        <v>0</v>
      </c>
      <c r="AG272" t="s">
        <v>71</v>
      </c>
      <c r="AH272">
        <v>0</v>
      </c>
      <c r="AI272">
        <v>0</v>
      </c>
      <c r="AJ272">
        <v>0</v>
      </c>
      <c r="AK272">
        <v>0</v>
      </c>
      <c r="AL272" t="s">
        <v>146</v>
      </c>
      <c r="AM272" t="s">
        <v>93</v>
      </c>
      <c r="AN272" t="s">
        <v>148</v>
      </c>
      <c r="AO272" t="s">
        <v>147</v>
      </c>
      <c r="AP272">
        <v>0</v>
      </c>
      <c r="AQ272">
        <v>0</v>
      </c>
      <c r="AR272">
        <v>161</v>
      </c>
      <c r="AS272">
        <v>0</v>
      </c>
      <c r="AT272">
        <v>0</v>
      </c>
      <c r="AU272">
        <v>0</v>
      </c>
      <c r="AV272">
        <v>0</v>
      </c>
      <c r="AW272">
        <v>0</v>
      </c>
      <c r="AX272">
        <v>0</v>
      </c>
      <c r="AY272">
        <v>0</v>
      </c>
    </row>
    <row r="273" spans="1:51" x14ac:dyDescent="0.25">
      <c r="A273">
        <v>28</v>
      </c>
      <c r="B273">
        <v>10230</v>
      </c>
      <c r="C273" t="s">
        <v>735</v>
      </c>
      <c r="D273" t="s">
        <v>96</v>
      </c>
      <c r="E273" t="s">
        <v>186</v>
      </c>
      <c r="F273" t="s">
        <v>107</v>
      </c>
      <c r="G273" t="s">
        <v>77</v>
      </c>
      <c r="H273" t="s">
        <v>78</v>
      </c>
      <c r="I273" t="s">
        <v>79</v>
      </c>
      <c r="J273" t="s">
        <v>70</v>
      </c>
      <c r="K273" t="s">
        <v>102</v>
      </c>
      <c r="L273" t="s">
        <v>223</v>
      </c>
      <c r="M273" t="s">
        <v>177</v>
      </c>
      <c r="N273" t="s">
        <v>74</v>
      </c>
      <c r="O273" t="s">
        <v>104</v>
      </c>
      <c r="P273" t="s">
        <v>71</v>
      </c>
      <c r="Q273" t="s">
        <v>71</v>
      </c>
      <c r="R273" t="s">
        <v>71</v>
      </c>
      <c r="S273">
        <v>1</v>
      </c>
      <c r="T273">
        <v>0</v>
      </c>
      <c r="U273" t="s">
        <v>72</v>
      </c>
      <c r="V273" t="s">
        <v>73</v>
      </c>
      <c r="W273">
        <v>0</v>
      </c>
      <c r="X273">
        <v>0</v>
      </c>
      <c r="Y273">
        <v>0</v>
      </c>
      <c r="Z273">
        <v>0</v>
      </c>
      <c r="AA273">
        <v>0</v>
      </c>
      <c r="AB273">
        <v>0</v>
      </c>
      <c r="AC273">
        <v>0</v>
      </c>
      <c r="AD273">
        <v>0</v>
      </c>
      <c r="AE273">
        <v>0</v>
      </c>
      <c r="AF273">
        <v>0</v>
      </c>
      <c r="AG273" t="s">
        <v>71</v>
      </c>
      <c r="AH273">
        <v>0</v>
      </c>
      <c r="AI273">
        <v>0</v>
      </c>
      <c r="AJ273">
        <v>0</v>
      </c>
      <c r="AK273">
        <v>0</v>
      </c>
      <c r="AL273" t="s">
        <v>146</v>
      </c>
      <c r="AM273" t="s">
        <v>93</v>
      </c>
      <c r="AN273" t="s">
        <v>148</v>
      </c>
      <c r="AO273" t="s">
        <v>147</v>
      </c>
      <c r="AP273">
        <v>0</v>
      </c>
      <c r="AQ273">
        <v>0</v>
      </c>
      <c r="AR273">
        <v>128</v>
      </c>
      <c r="AS273">
        <v>0</v>
      </c>
      <c r="AT273">
        <v>0</v>
      </c>
      <c r="AU273">
        <v>0</v>
      </c>
      <c r="AV273">
        <v>0</v>
      </c>
      <c r="AW273">
        <v>0</v>
      </c>
      <c r="AX273">
        <v>0</v>
      </c>
      <c r="AY273">
        <v>0</v>
      </c>
    </row>
    <row r="274" spans="1:51" x14ac:dyDescent="0.25">
      <c r="A274">
        <v>29</v>
      </c>
      <c r="B274">
        <v>10240</v>
      </c>
      <c r="C274" t="s">
        <v>735</v>
      </c>
      <c r="D274" t="s">
        <v>96</v>
      </c>
      <c r="E274" t="s">
        <v>186</v>
      </c>
      <c r="F274" t="s">
        <v>107</v>
      </c>
      <c r="G274" t="s">
        <v>77</v>
      </c>
      <c r="H274" t="s">
        <v>78</v>
      </c>
      <c r="I274" t="s">
        <v>79</v>
      </c>
      <c r="J274" t="s">
        <v>70</v>
      </c>
      <c r="K274" t="s">
        <v>102</v>
      </c>
      <c r="L274" t="s">
        <v>203</v>
      </c>
      <c r="M274" t="s">
        <v>177</v>
      </c>
      <c r="N274" t="s">
        <v>74</v>
      </c>
      <c r="O274" t="s">
        <v>104</v>
      </c>
      <c r="P274" t="s">
        <v>71</v>
      </c>
      <c r="Q274" t="s">
        <v>71</v>
      </c>
      <c r="R274" t="s">
        <v>71</v>
      </c>
      <c r="S274">
        <v>1</v>
      </c>
      <c r="T274">
        <v>0</v>
      </c>
      <c r="U274" t="s">
        <v>72</v>
      </c>
      <c r="V274" t="s">
        <v>192</v>
      </c>
      <c r="W274">
        <v>0</v>
      </c>
      <c r="X274">
        <v>0</v>
      </c>
      <c r="Y274">
        <v>0</v>
      </c>
      <c r="Z274">
        <v>0</v>
      </c>
      <c r="AA274">
        <v>0</v>
      </c>
      <c r="AB274">
        <v>0</v>
      </c>
      <c r="AC274">
        <v>0</v>
      </c>
      <c r="AD274">
        <v>0</v>
      </c>
      <c r="AE274">
        <v>0</v>
      </c>
      <c r="AF274">
        <v>0</v>
      </c>
      <c r="AG274" t="s">
        <v>71</v>
      </c>
      <c r="AH274">
        <v>0</v>
      </c>
      <c r="AI274">
        <v>0</v>
      </c>
      <c r="AJ274">
        <v>0</v>
      </c>
      <c r="AK274">
        <v>0</v>
      </c>
      <c r="AL274" t="s">
        <v>146</v>
      </c>
      <c r="AM274" t="s">
        <v>93</v>
      </c>
      <c r="AN274" t="s">
        <v>148</v>
      </c>
      <c r="AO274" t="s">
        <v>147</v>
      </c>
      <c r="AP274">
        <v>0</v>
      </c>
      <c r="AQ274">
        <v>0</v>
      </c>
      <c r="AR274">
        <v>145</v>
      </c>
      <c r="AS274">
        <v>0</v>
      </c>
      <c r="AT274">
        <v>0</v>
      </c>
      <c r="AU274">
        <v>0</v>
      </c>
      <c r="AV274">
        <v>0</v>
      </c>
      <c r="AW274">
        <v>0</v>
      </c>
      <c r="AX274">
        <v>0</v>
      </c>
      <c r="AY274">
        <v>0</v>
      </c>
    </row>
    <row r="275" spans="1:51" x14ac:dyDescent="0.25">
      <c r="A275">
        <v>30</v>
      </c>
      <c r="B275">
        <v>10250</v>
      </c>
      <c r="C275" t="s">
        <v>735</v>
      </c>
      <c r="D275" t="s">
        <v>96</v>
      </c>
      <c r="E275" t="s">
        <v>186</v>
      </c>
      <c r="F275" t="s">
        <v>107</v>
      </c>
      <c r="G275" t="s">
        <v>101</v>
      </c>
      <c r="H275" t="s">
        <v>78</v>
      </c>
      <c r="I275" t="s">
        <v>79</v>
      </c>
      <c r="J275" t="s">
        <v>70</v>
      </c>
      <c r="K275" t="s">
        <v>102</v>
      </c>
      <c r="L275" t="s">
        <v>223</v>
      </c>
      <c r="M275" t="s">
        <v>177</v>
      </c>
      <c r="N275" t="s">
        <v>74</v>
      </c>
      <c r="O275" t="s">
        <v>104</v>
      </c>
      <c r="P275" t="s">
        <v>71</v>
      </c>
      <c r="Q275" t="s">
        <v>71</v>
      </c>
      <c r="R275" t="s">
        <v>71</v>
      </c>
      <c r="S275">
        <v>1</v>
      </c>
      <c r="T275">
        <v>0</v>
      </c>
      <c r="U275" t="s">
        <v>72</v>
      </c>
      <c r="V275" t="s">
        <v>188</v>
      </c>
      <c r="W275">
        <v>0</v>
      </c>
      <c r="X275">
        <v>0</v>
      </c>
      <c r="Y275">
        <v>0</v>
      </c>
      <c r="Z275">
        <v>0</v>
      </c>
      <c r="AA275">
        <v>0</v>
      </c>
      <c r="AB275">
        <v>0</v>
      </c>
      <c r="AC275">
        <v>0</v>
      </c>
      <c r="AD275">
        <v>0</v>
      </c>
      <c r="AE275">
        <v>0</v>
      </c>
      <c r="AF275">
        <v>0</v>
      </c>
      <c r="AG275" t="s">
        <v>71</v>
      </c>
      <c r="AH275">
        <v>0</v>
      </c>
      <c r="AI275">
        <v>0</v>
      </c>
      <c r="AJ275">
        <v>0</v>
      </c>
      <c r="AK275">
        <v>0</v>
      </c>
      <c r="AL275" t="s">
        <v>146</v>
      </c>
      <c r="AM275" t="s">
        <v>93</v>
      </c>
      <c r="AN275" t="s">
        <v>148</v>
      </c>
      <c r="AO275" t="s">
        <v>147</v>
      </c>
      <c r="AP275">
        <v>0</v>
      </c>
      <c r="AQ275">
        <v>0</v>
      </c>
      <c r="AR275">
        <v>162</v>
      </c>
      <c r="AS275">
        <v>0</v>
      </c>
      <c r="AT275">
        <v>0</v>
      </c>
      <c r="AU275">
        <v>0</v>
      </c>
      <c r="AV275">
        <v>0</v>
      </c>
      <c r="AW275">
        <v>0</v>
      </c>
      <c r="AX275">
        <v>0</v>
      </c>
      <c r="AY275">
        <v>0</v>
      </c>
    </row>
    <row r="276" spans="1:51" x14ac:dyDescent="0.25">
      <c r="A276">
        <v>31</v>
      </c>
      <c r="B276">
        <v>10260</v>
      </c>
      <c r="C276" t="s">
        <v>735</v>
      </c>
      <c r="D276" t="s">
        <v>96</v>
      </c>
      <c r="E276" t="s">
        <v>186</v>
      </c>
      <c r="F276" t="s">
        <v>107</v>
      </c>
      <c r="G276" t="s">
        <v>184</v>
      </c>
      <c r="H276" t="s">
        <v>78</v>
      </c>
      <c r="I276" t="s">
        <v>79</v>
      </c>
      <c r="J276" t="s">
        <v>70</v>
      </c>
      <c r="K276" t="s">
        <v>102</v>
      </c>
      <c r="L276" t="s">
        <v>223</v>
      </c>
      <c r="M276" t="s">
        <v>177</v>
      </c>
      <c r="N276" t="s">
        <v>74</v>
      </c>
      <c r="O276" t="s">
        <v>104</v>
      </c>
      <c r="P276" t="s">
        <v>71</v>
      </c>
      <c r="Q276" t="s">
        <v>71</v>
      </c>
      <c r="R276" t="s">
        <v>71</v>
      </c>
      <c r="S276">
        <v>1</v>
      </c>
      <c r="T276">
        <v>0</v>
      </c>
      <c r="U276" t="s">
        <v>72</v>
      </c>
      <c r="V276" t="s">
        <v>188</v>
      </c>
      <c r="W276">
        <v>0</v>
      </c>
      <c r="X276">
        <v>0</v>
      </c>
      <c r="Y276">
        <v>0</v>
      </c>
      <c r="Z276">
        <v>0</v>
      </c>
      <c r="AA276">
        <v>0</v>
      </c>
      <c r="AB276">
        <v>0</v>
      </c>
      <c r="AC276">
        <v>0</v>
      </c>
      <c r="AD276">
        <v>0</v>
      </c>
      <c r="AE276">
        <v>0</v>
      </c>
      <c r="AF276">
        <v>0</v>
      </c>
      <c r="AG276" t="s">
        <v>71</v>
      </c>
      <c r="AH276">
        <v>0</v>
      </c>
      <c r="AI276">
        <v>0</v>
      </c>
      <c r="AJ276">
        <v>0</v>
      </c>
      <c r="AK276">
        <v>0</v>
      </c>
      <c r="AL276" t="s">
        <v>146</v>
      </c>
      <c r="AM276" t="s">
        <v>93</v>
      </c>
      <c r="AN276" t="s">
        <v>148</v>
      </c>
      <c r="AO276" t="s">
        <v>147</v>
      </c>
      <c r="AP276">
        <v>0</v>
      </c>
      <c r="AQ276">
        <v>0</v>
      </c>
      <c r="AR276">
        <v>162</v>
      </c>
      <c r="AS276">
        <v>0</v>
      </c>
      <c r="AT276">
        <v>0</v>
      </c>
      <c r="AU276">
        <v>0</v>
      </c>
      <c r="AV276">
        <v>0</v>
      </c>
      <c r="AW276">
        <v>0</v>
      </c>
      <c r="AX276">
        <v>0</v>
      </c>
      <c r="AY276">
        <v>0</v>
      </c>
    </row>
    <row r="277" spans="1:51" x14ac:dyDescent="0.25">
      <c r="A277">
        <v>32</v>
      </c>
      <c r="B277">
        <v>10270</v>
      </c>
      <c r="C277" t="s">
        <v>735</v>
      </c>
      <c r="D277" t="s">
        <v>96</v>
      </c>
      <c r="E277" t="s">
        <v>186</v>
      </c>
      <c r="F277" t="s">
        <v>107</v>
      </c>
      <c r="G277" t="s">
        <v>185</v>
      </c>
      <c r="H277" t="s">
        <v>78</v>
      </c>
      <c r="I277" t="s">
        <v>79</v>
      </c>
      <c r="J277" t="s">
        <v>70</v>
      </c>
      <c r="K277" t="s">
        <v>102</v>
      </c>
      <c r="L277" t="s">
        <v>223</v>
      </c>
      <c r="M277" t="s">
        <v>177</v>
      </c>
      <c r="N277" t="s">
        <v>74</v>
      </c>
      <c r="O277" t="s">
        <v>104</v>
      </c>
      <c r="P277" t="s">
        <v>71</v>
      </c>
      <c r="Q277" t="s">
        <v>71</v>
      </c>
      <c r="R277" t="s">
        <v>71</v>
      </c>
      <c r="S277">
        <v>1</v>
      </c>
      <c r="T277">
        <v>0</v>
      </c>
      <c r="U277" t="s">
        <v>72</v>
      </c>
      <c r="V277" t="s">
        <v>188</v>
      </c>
      <c r="W277">
        <v>0</v>
      </c>
      <c r="X277">
        <v>0</v>
      </c>
      <c r="Y277">
        <v>0</v>
      </c>
      <c r="Z277">
        <v>0</v>
      </c>
      <c r="AA277">
        <v>0</v>
      </c>
      <c r="AB277">
        <v>0</v>
      </c>
      <c r="AC277">
        <v>0</v>
      </c>
      <c r="AD277">
        <v>0</v>
      </c>
      <c r="AE277">
        <v>0</v>
      </c>
      <c r="AF277">
        <v>0</v>
      </c>
      <c r="AG277" t="s">
        <v>71</v>
      </c>
      <c r="AH277">
        <v>0</v>
      </c>
      <c r="AI277">
        <v>0</v>
      </c>
      <c r="AJ277">
        <v>0</v>
      </c>
      <c r="AK277">
        <v>0</v>
      </c>
      <c r="AL277" t="s">
        <v>146</v>
      </c>
      <c r="AM277" t="s">
        <v>93</v>
      </c>
      <c r="AN277" t="s">
        <v>148</v>
      </c>
      <c r="AO277" t="s">
        <v>147</v>
      </c>
      <c r="AP277">
        <v>0</v>
      </c>
      <c r="AQ277">
        <v>0</v>
      </c>
      <c r="AR277">
        <v>162</v>
      </c>
      <c r="AS277">
        <v>0</v>
      </c>
      <c r="AT277">
        <v>0</v>
      </c>
      <c r="AU277">
        <v>0</v>
      </c>
      <c r="AV277">
        <v>0</v>
      </c>
      <c r="AW277">
        <v>0</v>
      </c>
      <c r="AX277">
        <v>0</v>
      </c>
      <c r="AY277">
        <v>0</v>
      </c>
    </row>
    <row r="278" spans="1:51" x14ac:dyDescent="0.25">
      <c r="A278">
        <v>33</v>
      </c>
      <c r="B278">
        <v>10280</v>
      </c>
      <c r="C278" t="s">
        <v>735</v>
      </c>
      <c r="D278" t="s">
        <v>96</v>
      </c>
      <c r="E278" t="s">
        <v>186</v>
      </c>
      <c r="F278" t="s">
        <v>107</v>
      </c>
      <c r="G278" t="s">
        <v>77</v>
      </c>
      <c r="H278" t="s">
        <v>78</v>
      </c>
      <c r="I278" t="s">
        <v>195</v>
      </c>
      <c r="J278" t="s">
        <v>70</v>
      </c>
      <c r="K278" t="s">
        <v>102</v>
      </c>
      <c r="L278" t="s">
        <v>223</v>
      </c>
      <c r="M278" t="s">
        <v>177</v>
      </c>
      <c r="N278" t="s">
        <v>74</v>
      </c>
      <c r="O278" t="s">
        <v>104</v>
      </c>
      <c r="P278" t="s">
        <v>71</v>
      </c>
      <c r="Q278" t="s">
        <v>71</v>
      </c>
      <c r="R278" t="s">
        <v>71</v>
      </c>
      <c r="S278">
        <v>1</v>
      </c>
      <c r="T278">
        <v>0</v>
      </c>
      <c r="U278" t="s">
        <v>72</v>
      </c>
      <c r="V278" t="s">
        <v>188</v>
      </c>
      <c r="W278">
        <v>0</v>
      </c>
      <c r="X278">
        <v>0</v>
      </c>
      <c r="Y278">
        <v>0</v>
      </c>
      <c r="Z278">
        <v>0</v>
      </c>
      <c r="AA278">
        <v>0</v>
      </c>
      <c r="AB278">
        <v>0</v>
      </c>
      <c r="AC278">
        <v>0</v>
      </c>
      <c r="AD278">
        <v>0</v>
      </c>
      <c r="AE278">
        <v>0</v>
      </c>
      <c r="AF278">
        <v>0</v>
      </c>
      <c r="AG278" t="s">
        <v>71</v>
      </c>
      <c r="AH278">
        <v>0</v>
      </c>
      <c r="AI278">
        <v>0</v>
      </c>
      <c r="AJ278">
        <v>0</v>
      </c>
      <c r="AK278">
        <v>0</v>
      </c>
      <c r="AL278" t="s">
        <v>146</v>
      </c>
      <c r="AM278" t="s">
        <v>93</v>
      </c>
      <c r="AN278" t="s">
        <v>148</v>
      </c>
      <c r="AO278" t="s">
        <v>147</v>
      </c>
      <c r="AP278">
        <v>0</v>
      </c>
      <c r="AQ278">
        <v>0</v>
      </c>
      <c r="AR278">
        <v>168</v>
      </c>
      <c r="AS278">
        <v>0</v>
      </c>
      <c r="AT278">
        <v>0</v>
      </c>
      <c r="AU278">
        <v>0</v>
      </c>
      <c r="AV278">
        <v>0</v>
      </c>
      <c r="AW278">
        <v>0</v>
      </c>
      <c r="AX278">
        <v>0</v>
      </c>
      <c r="AY278">
        <v>0</v>
      </c>
    </row>
    <row r="279" spans="1:51" x14ac:dyDescent="0.25">
      <c r="A279">
        <v>34</v>
      </c>
      <c r="B279">
        <v>10290</v>
      </c>
      <c r="C279" t="s">
        <v>735</v>
      </c>
      <c r="D279" t="s">
        <v>96</v>
      </c>
      <c r="E279" t="s">
        <v>186</v>
      </c>
      <c r="F279" t="s">
        <v>107</v>
      </c>
      <c r="G279" t="s">
        <v>77</v>
      </c>
      <c r="H279" t="s">
        <v>78</v>
      </c>
      <c r="I279" t="s">
        <v>196</v>
      </c>
      <c r="J279" t="s">
        <v>70</v>
      </c>
      <c r="K279" t="s">
        <v>102</v>
      </c>
      <c r="L279" t="s">
        <v>223</v>
      </c>
      <c r="M279" t="s">
        <v>177</v>
      </c>
      <c r="N279" t="s">
        <v>74</v>
      </c>
      <c r="O279" t="s">
        <v>104</v>
      </c>
      <c r="P279" t="s">
        <v>71</v>
      </c>
      <c r="Q279" t="s">
        <v>71</v>
      </c>
      <c r="R279" t="s">
        <v>71</v>
      </c>
      <c r="S279">
        <v>1</v>
      </c>
      <c r="T279">
        <v>0</v>
      </c>
      <c r="U279" t="s">
        <v>72</v>
      </c>
      <c r="V279" t="s">
        <v>188</v>
      </c>
      <c r="W279">
        <v>0</v>
      </c>
      <c r="X279">
        <v>0</v>
      </c>
      <c r="Y279">
        <v>0</v>
      </c>
      <c r="Z279">
        <v>0</v>
      </c>
      <c r="AA279">
        <v>0</v>
      </c>
      <c r="AB279">
        <v>0</v>
      </c>
      <c r="AC279">
        <v>0</v>
      </c>
      <c r="AD279">
        <v>0</v>
      </c>
      <c r="AE279">
        <v>0</v>
      </c>
      <c r="AF279">
        <v>0</v>
      </c>
      <c r="AG279" t="s">
        <v>71</v>
      </c>
      <c r="AH279">
        <v>0</v>
      </c>
      <c r="AI279">
        <v>0</v>
      </c>
      <c r="AJ279">
        <v>0</v>
      </c>
      <c r="AK279">
        <v>0</v>
      </c>
      <c r="AL279" t="s">
        <v>146</v>
      </c>
      <c r="AM279" t="s">
        <v>93</v>
      </c>
      <c r="AN279" t="s">
        <v>148</v>
      </c>
      <c r="AO279" t="s">
        <v>147</v>
      </c>
      <c r="AP279">
        <v>0</v>
      </c>
      <c r="AQ279">
        <v>0</v>
      </c>
      <c r="AR279">
        <v>168</v>
      </c>
      <c r="AS279">
        <v>0</v>
      </c>
      <c r="AT279">
        <v>0</v>
      </c>
      <c r="AU279">
        <v>0</v>
      </c>
      <c r="AV279">
        <v>0</v>
      </c>
      <c r="AW279">
        <v>0</v>
      </c>
      <c r="AX279">
        <v>0</v>
      </c>
      <c r="AY279">
        <v>0</v>
      </c>
    </row>
    <row r="280" spans="1:51" x14ac:dyDescent="0.25">
      <c r="A280">
        <v>35</v>
      </c>
      <c r="B280">
        <v>10300</v>
      </c>
      <c r="C280" t="s">
        <v>735</v>
      </c>
      <c r="D280" t="s">
        <v>96</v>
      </c>
      <c r="E280" t="s">
        <v>186</v>
      </c>
      <c r="F280" t="s">
        <v>107</v>
      </c>
      <c r="G280" t="s">
        <v>77</v>
      </c>
      <c r="H280" t="s">
        <v>78</v>
      </c>
      <c r="I280" t="s">
        <v>197</v>
      </c>
      <c r="J280" t="s">
        <v>70</v>
      </c>
      <c r="K280" t="s">
        <v>102</v>
      </c>
      <c r="L280" t="s">
        <v>223</v>
      </c>
      <c r="M280" t="s">
        <v>177</v>
      </c>
      <c r="N280" t="s">
        <v>74</v>
      </c>
      <c r="O280" t="s">
        <v>104</v>
      </c>
      <c r="P280" t="s">
        <v>71</v>
      </c>
      <c r="Q280" t="s">
        <v>71</v>
      </c>
      <c r="R280" t="s">
        <v>71</v>
      </c>
      <c r="S280">
        <v>1</v>
      </c>
      <c r="T280">
        <v>0</v>
      </c>
      <c r="U280" t="s">
        <v>72</v>
      </c>
      <c r="V280" t="s">
        <v>188</v>
      </c>
      <c r="W280">
        <v>0</v>
      </c>
      <c r="X280">
        <v>0</v>
      </c>
      <c r="Y280">
        <v>0</v>
      </c>
      <c r="Z280">
        <v>0</v>
      </c>
      <c r="AA280">
        <v>0</v>
      </c>
      <c r="AB280">
        <v>0</v>
      </c>
      <c r="AC280">
        <v>0</v>
      </c>
      <c r="AD280">
        <v>0</v>
      </c>
      <c r="AE280">
        <v>0</v>
      </c>
      <c r="AF280">
        <v>0</v>
      </c>
      <c r="AG280" t="s">
        <v>71</v>
      </c>
      <c r="AH280">
        <v>0</v>
      </c>
      <c r="AI280">
        <v>0</v>
      </c>
      <c r="AJ280">
        <v>0</v>
      </c>
      <c r="AK280">
        <v>0</v>
      </c>
      <c r="AL280" t="s">
        <v>146</v>
      </c>
      <c r="AM280" t="s">
        <v>93</v>
      </c>
      <c r="AN280" t="s">
        <v>148</v>
      </c>
      <c r="AO280" t="s">
        <v>147</v>
      </c>
      <c r="AP280">
        <v>0</v>
      </c>
      <c r="AQ280">
        <v>0</v>
      </c>
      <c r="AR280">
        <v>168</v>
      </c>
      <c r="AS280">
        <v>0</v>
      </c>
      <c r="AT280">
        <v>0</v>
      </c>
      <c r="AU280">
        <v>0</v>
      </c>
      <c r="AV280">
        <v>0</v>
      </c>
      <c r="AW280">
        <v>0</v>
      </c>
      <c r="AX280">
        <v>0</v>
      </c>
      <c r="AY280">
        <v>0</v>
      </c>
    </row>
    <row r="281" spans="1:51" x14ac:dyDescent="0.25">
      <c r="A281">
        <v>36</v>
      </c>
      <c r="B281">
        <v>10310</v>
      </c>
      <c r="C281" t="s">
        <v>735</v>
      </c>
      <c r="D281" t="s">
        <v>96</v>
      </c>
      <c r="E281" t="s">
        <v>186</v>
      </c>
      <c r="F281" t="s">
        <v>107</v>
      </c>
      <c r="G281" t="s">
        <v>77</v>
      </c>
      <c r="H281" t="s">
        <v>180</v>
      </c>
      <c r="I281" t="s">
        <v>79</v>
      </c>
      <c r="J281" t="s">
        <v>70</v>
      </c>
      <c r="K281" t="s">
        <v>102</v>
      </c>
      <c r="L281" t="s">
        <v>223</v>
      </c>
      <c r="M281" t="s">
        <v>177</v>
      </c>
      <c r="N281" t="s">
        <v>74</v>
      </c>
      <c r="O281" t="s">
        <v>104</v>
      </c>
      <c r="P281" t="s">
        <v>71</v>
      </c>
      <c r="Q281" t="s">
        <v>71</v>
      </c>
      <c r="R281" t="s">
        <v>71</v>
      </c>
      <c r="S281">
        <v>1</v>
      </c>
      <c r="T281">
        <v>0</v>
      </c>
      <c r="U281" t="s">
        <v>72</v>
      </c>
      <c r="V281" t="s">
        <v>188</v>
      </c>
      <c r="W281">
        <v>0</v>
      </c>
      <c r="X281">
        <v>0</v>
      </c>
      <c r="Y281">
        <v>0</v>
      </c>
      <c r="Z281">
        <v>0</v>
      </c>
      <c r="AA281">
        <v>0</v>
      </c>
      <c r="AB281">
        <v>0</v>
      </c>
      <c r="AC281">
        <v>0</v>
      </c>
      <c r="AD281">
        <v>0</v>
      </c>
      <c r="AE281">
        <v>0</v>
      </c>
      <c r="AF281">
        <v>0</v>
      </c>
      <c r="AG281" t="s">
        <v>71</v>
      </c>
      <c r="AH281">
        <v>0</v>
      </c>
      <c r="AI281">
        <v>0</v>
      </c>
      <c r="AJ281">
        <v>0</v>
      </c>
      <c r="AK281">
        <v>0</v>
      </c>
      <c r="AL281" t="s">
        <v>146</v>
      </c>
      <c r="AM281" t="s">
        <v>93</v>
      </c>
      <c r="AN281" t="s">
        <v>148</v>
      </c>
      <c r="AO281" t="s">
        <v>147</v>
      </c>
      <c r="AP281">
        <v>0</v>
      </c>
      <c r="AQ281">
        <v>0</v>
      </c>
      <c r="AR281">
        <v>164</v>
      </c>
      <c r="AS281">
        <v>0</v>
      </c>
      <c r="AT281">
        <v>0</v>
      </c>
      <c r="AU281">
        <v>0</v>
      </c>
      <c r="AV281">
        <v>0</v>
      </c>
      <c r="AW281">
        <v>0</v>
      </c>
      <c r="AX281">
        <v>0</v>
      </c>
      <c r="AY281">
        <v>0</v>
      </c>
    </row>
    <row r="282" spans="1:51" x14ac:dyDescent="0.25">
      <c r="A282">
        <v>37</v>
      </c>
      <c r="B282">
        <v>10320</v>
      </c>
      <c r="C282" t="s">
        <v>735</v>
      </c>
      <c r="D282" t="s">
        <v>96</v>
      </c>
      <c r="E282" t="s">
        <v>186</v>
      </c>
      <c r="F282" t="s">
        <v>107</v>
      </c>
      <c r="G282" t="s">
        <v>77</v>
      </c>
      <c r="H282" t="s">
        <v>180</v>
      </c>
      <c r="I282" t="s">
        <v>196</v>
      </c>
      <c r="J282" t="s">
        <v>70</v>
      </c>
      <c r="K282" t="s">
        <v>102</v>
      </c>
      <c r="L282" t="s">
        <v>223</v>
      </c>
      <c r="M282" t="s">
        <v>103</v>
      </c>
      <c r="N282" t="s">
        <v>74</v>
      </c>
      <c r="O282" t="s">
        <v>104</v>
      </c>
      <c r="P282" t="s">
        <v>71</v>
      </c>
      <c r="Q282" t="s">
        <v>71</v>
      </c>
      <c r="R282" t="s">
        <v>71</v>
      </c>
      <c r="S282">
        <v>1</v>
      </c>
      <c r="T282">
        <v>0</v>
      </c>
      <c r="U282" t="s">
        <v>72</v>
      </c>
      <c r="V282" t="s">
        <v>188</v>
      </c>
      <c r="W282">
        <v>0</v>
      </c>
      <c r="X282">
        <v>0</v>
      </c>
      <c r="Y282">
        <v>0</v>
      </c>
      <c r="Z282">
        <v>0</v>
      </c>
      <c r="AA282">
        <v>0</v>
      </c>
      <c r="AB282">
        <v>0</v>
      </c>
      <c r="AC282">
        <v>0</v>
      </c>
      <c r="AD282">
        <v>0</v>
      </c>
      <c r="AE282">
        <v>0</v>
      </c>
      <c r="AF282">
        <v>0</v>
      </c>
      <c r="AG282" t="s">
        <v>71</v>
      </c>
      <c r="AH282">
        <v>0</v>
      </c>
      <c r="AI282">
        <v>0</v>
      </c>
      <c r="AJ282">
        <v>0</v>
      </c>
      <c r="AK282">
        <v>0</v>
      </c>
      <c r="AL282" t="s">
        <v>146</v>
      </c>
      <c r="AM282" t="s">
        <v>93</v>
      </c>
      <c r="AN282" t="s">
        <v>148</v>
      </c>
      <c r="AO282" t="s">
        <v>147</v>
      </c>
      <c r="AP282">
        <v>0</v>
      </c>
      <c r="AQ282">
        <v>0</v>
      </c>
      <c r="AR282">
        <v>172</v>
      </c>
      <c r="AS282">
        <v>0</v>
      </c>
      <c r="AT282">
        <v>0</v>
      </c>
      <c r="AU282">
        <v>0</v>
      </c>
      <c r="AV282">
        <v>0</v>
      </c>
      <c r="AW282">
        <v>0</v>
      </c>
      <c r="AX282">
        <v>0</v>
      </c>
      <c r="AY282">
        <v>0</v>
      </c>
    </row>
    <row r="283" spans="1:51" x14ac:dyDescent="0.25">
      <c r="A283">
        <v>39</v>
      </c>
      <c r="B283">
        <v>10330</v>
      </c>
      <c r="C283" t="s">
        <v>735</v>
      </c>
      <c r="D283" t="s">
        <v>96</v>
      </c>
      <c r="E283" t="s">
        <v>186</v>
      </c>
      <c r="F283" t="s">
        <v>107</v>
      </c>
      <c r="G283" t="s">
        <v>77</v>
      </c>
      <c r="H283" t="s">
        <v>180</v>
      </c>
      <c r="I283" t="s">
        <v>197</v>
      </c>
      <c r="J283" t="s">
        <v>70</v>
      </c>
      <c r="K283" t="s">
        <v>102</v>
      </c>
      <c r="L283" t="s">
        <v>223</v>
      </c>
      <c r="M283" t="s">
        <v>177</v>
      </c>
      <c r="N283" t="s">
        <v>74</v>
      </c>
      <c r="O283" t="s">
        <v>104</v>
      </c>
      <c r="P283" t="s">
        <v>71</v>
      </c>
      <c r="Q283" t="s">
        <v>71</v>
      </c>
      <c r="R283" t="s">
        <v>71</v>
      </c>
      <c r="S283">
        <v>1</v>
      </c>
      <c r="T283">
        <v>0</v>
      </c>
      <c r="U283" t="s">
        <v>72</v>
      </c>
      <c r="V283" t="s">
        <v>188</v>
      </c>
      <c r="W283">
        <v>0</v>
      </c>
      <c r="X283">
        <v>0</v>
      </c>
      <c r="Y283">
        <v>0</v>
      </c>
      <c r="Z283">
        <v>0</v>
      </c>
      <c r="AA283">
        <v>0</v>
      </c>
      <c r="AB283">
        <v>0</v>
      </c>
      <c r="AC283">
        <v>0</v>
      </c>
      <c r="AD283">
        <v>0</v>
      </c>
      <c r="AE283">
        <v>0</v>
      </c>
      <c r="AF283">
        <v>0</v>
      </c>
      <c r="AG283" t="s">
        <v>71</v>
      </c>
      <c r="AH283">
        <v>0</v>
      </c>
      <c r="AI283">
        <v>0</v>
      </c>
      <c r="AJ283">
        <v>0</v>
      </c>
      <c r="AK283">
        <v>0</v>
      </c>
      <c r="AL283" t="s">
        <v>146</v>
      </c>
      <c r="AM283" t="s">
        <v>93</v>
      </c>
      <c r="AN283" t="s">
        <v>148</v>
      </c>
      <c r="AO283" t="s">
        <v>147</v>
      </c>
      <c r="AP283">
        <v>0</v>
      </c>
      <c r="AQ283">
        <v>0</v>
      </c>
      <c r="AR283">
        <v>172</v>
      </c>
      <c r="AS283">
        <v>0</v>
      </c>
      <c r="AT283">
        <v>0</v>
      </c>
      <c r="AU283">
        <v>0</v>
      </c>
      <c r="AV283">
        <v>0</v>
      </c>
      <c r="AW283">
        <v>0</v>
      </c>
      <c r="AX283">
        <v>0</v>
      </c>
      <c r="AY283">
        <v>0</v>
      </c>
    </row>
    <row r="284" spans="1:51" x14ac:dyDescent="0.25">
      <c r="A284">
        <v>39</v>
      </c>
      <c r="B284">
        <v>10340</v>
      </c>
      <c r="C284" t="s">
        <v>735</v>
      </c>
      <c r="D284" t="s">
        <v>96</v>
      </c>
      <c r="E284" t="s">
        <v>100</v>
      </c>
      <c r="F284" t="s">
        <v>107</v>
      </c>
      <c r="G284" t="s">
        <v>77</v>
      </c>
      <c r="H284" t="s">
        <v>78</v>
      </c>
      <c r="I284" t="s">
        <v>79</v>
      </c>
      <c r="J284" t="s">
        <v>70</v>
      </c>
      <c r="K284" t="s">
        <v>102</v>
      </c>
      <c r="L284" t="s">
        <v>76</v>
      </c>
      <c r="M284" t="s">
        <v>177</v>
      </c>
      <c r="N284" t="s">
        <v>74</v>
      </c>
      <c r="O284" t="s">
        <v>191</v>
      </c>
      <c r="P284" t="s">
        <v>71</v>
      </c>
      <c r="Q284" t="s">
        <v>71</v>
      </c>
      <c r="R284" t="s">
        <v>71</v>
      </c>
      <c r="S284">
        <v>0</v>
      </c>
      <c r="T284">
        <v>0</v>
      </c>
      <c r="U284" t="s">
        <v>72</v>
      </c>
      <c r="V284" t="s">
        <v>192</v>
      </c>
      <c r="W284">
        <v>0</v>
      </c>
      <c r="X284">
        <v>0</v>
      </c>
      <c r="Y284">
        <v>0</v>
      </c>
      <c r="Z284">
        <v>0</v>
      </c>
      <c r="AA284">
        <v>0</v>
      </c>
      <c r="AB284">
        <v>0</v>
      </c>
      <c r="AC284">
        <v>0</v>
      </c>
      <c r="AD284">
        <v>0</v>
      </c>
      <c r="AE284">
        <v>0</v>
      </c>
      <c r="AF284">
        <v>0</v>
      </c>
      <c r="AG284" t="s">
        <v>71</v>
      </c>
      <c r="AH284">
        <v>0</v>
      </c>
      <c r="AI284">
        <v>0</v>
      </c>
      <c r="AJ284">
        <v>0</v>
      </c>
      <c r="AK284">
        <v>0</v>
      </c>
      <c r="AL284" t="s">
        <v>146</v>
      </c>
      <c r="AM284" t="s">
        <v>93</v>
      </c>
      <c r="AN284" t="s">
        <v>94</v>
      </c>
      <c r="AO284" t="s">
        <v>147</v>
      </c>
      <c r="AP284">
        <v>0</v>
      </c>
      <c r="AQ284">
        <v>0</v>
      </c>
      <c r="AR284">
        <v>144</v>
      </c>
      <c r="AS284">
        <v>0</v>
      </c>
      <c r="AT284">
        <v>0</v>
      </c>
      <c r="AU284">
        <v>0</v>
      </c>
      <c r="AV284">
        <v>0</v>
      </c>
      <c r="AW284">
        <v>0</v>
      </c>
      <c r="AX284">
        <v>0</v>
      </c>
      <c r="AY284">
        <v>0</v>
      </c>
    </row>
    <row r="285" spans="1:51" x14ac:dyDescent="0.25">
      <c r="A285">
        <v>39</v>
      </c>
      <c r="B285">
        <v>10350</v>
      </c>
      <c r="C285" t="s">
        <v>735</v>
      </c>
      <c r="D285" t="s">
        <v>96</v>
      </c>
      <c r="E285" t="s">
        <v>100</v>
      </c>
      <c r="F285" t="s">
        <v>107</v>
      </c>
      <c r="G285" t="s">
        <v>77</v>
      </c>
      <c r="H285" t="s">
        <v>78</v>
      </c>
      <c r="I285" t="s">
        <v>79</v>
      </c>
      <c r="J285" t="s">
        <v>150</v>
      </c>
      <c r="K285" t="s">
        <v>102</v>
      </c>
      <c r="L285" t="s">
        <v>76</v>
      </c>
      <c r="M285" t="s">
        <v>177</v>
      </c>
      <c r="N285" t="s">
        <v>74</v>
      </c>
      <c r="O285" t="s">
        <v>191</v>
      </c>
      <c r="P285" t="s">
        <v>71</v>
      </c>
      <c r="Q285" t="s">
        <v>71</v>
      </c>
      <c r="R285" t="s">
        <v>71</v>
      </c>
      <c r="S285">
        <v>0</v>
      </c>
      <c r="T285">
        <v>0</v>
      </c>
      <c r="U285" t="s">
        <v>72</v>
      </c>
      <c r="V285" t="s">
        <v>192</v>
      </c>
      <c r="W285">
        <v>0</v>
      </c>
      <c r="X285">
        <v>0</v>
      </c>
      <c r="Y285">
        <v>0</v>
      </c>
      <c r="Z285">
        <v>0</v>
      </c>
      <c r="AA285">
        <v>0</v>
      </c>
      <c r="AB285">
        <v>0</v>
      </c>
      <c r="AC285">
        <v>0</v>
      </c>
      <c r="AD285">
        <v>0</v>
      </c>
      <c r="AE285">
        <v>0</v>
      </c>
      <c r="AF285">
        <v>0</v>
      </c>
      <c r="AG285" t="s">
        <v>71</v>
      </c>
      <c r="AH285">
        <v>0</v>
      </c>
      <c r="AI285">
        <v>0</v>
      </c>
      <c r="AJ285">
        <v>0</v>
      </c>
      <c r="AK285">
        <v>0</v>
      </c>
      <c r="AL285" t="s">
        <v>146</v>
      </c>
      <c r="AM285" t="s">
        <v>93</v>
      </c>
      <c r="AN285" t="s">
        <v>94</v>
      </c>
      <c r="AO285" t="s">
        <v>147</v>
      </c>
      <c r="AP285">
        <v>0</v>
      </c>
      <c r="AQ285">
        <v>0</v>
      </c>
      <c r="AR285">
        <v>144</v>
      </c>
      <c r="AS285">
        <v>0</v>
      </c>
      <c r="AT285">
        <v>0</v>
      </c>
      <c r="AU285">
        <v>0</v>
      </c>
      <c r="AV285">
        <v>0</v>
      </c>
      <c r="AW285">
        <v>0</v>
      </c>
      <c r="AX285">
        <v>0</v>
      </c>
      <c r="AY285">
        <v>0</v>
      </c>
    </row>
    <row r="286" spans="1:51" x14ac:dyDescent="0.25">
      <c r="A286">
        <v>40</v>
      </c>
      <c r="B286">
        <v>10360</v>
      </c>
      <c r="C286" t="s">
        <v>735</v>
      </c>
      <c r="D286" t="s">
        <v>96</v>
      </c>
      <c r="E286" t="s">
        <v>186</v>
      </c>
      <c r="F286" t="s">
        <v>107</v>
      </c>
      <c r="G286" t="s">
        <v>77</v>
      </c>
      <c r="H286" t="s">
        <v>78</v>
      </c>
      <c r="I286" t="s">
        <v>79</v>
      </c>
      <c r="J286" t="s">
        <v>70</v>
      </c>
      <c r="K286" t="s">
        <v>102</v>
      </c>
      <c r="L286" t="s">
        <v>76</v>
      </c>
      <c r="M286" t="s">
        <v>177</v>
      </c>
      <c r="N286" t="s">
        <v>74</v>
      </c>
      <c r="O286" t="s">
        <v>104</v>
      </c>
      <c r="P286" t="s">
        <v>71</v>
      </c>
      <c r="Q286" t="s">
        <v>71</v>
      </c>
      <c r="R286" t="s">
        <v>71</v>
      </c>
      <c r="S286">
        <v>0</v>
      </c>
      <c r="T286">
        <v>1</v>
      </c>
      <c r="U286" t="s">
        <v>72</v>
      </c>
      <c r="V286" t="s">
        <v>192</v>
      </c>
      <c r="W286">
        <v>0</v>
      </c>
      <c r="X286">
        <v>0</v>
      </c>
      <c r="Y286">
        <v>0</v>
      </c>
      <c r="Z286">
        <v>0</v>
      </c>
      <c r="AA286">
        <v>0</v>
      </c>
      <c r="AB286">
        <v>0</v>
      </c>
      <c r="AC286">
        <v>0</v>
      </c>
      <c r="AD286">
        <v>0</v>
      </c>
      <c r="AE286">
        <v>0</v>
      </c>
      <c r="AF286">
        <v>0</v>
      </c>
      <c r="AG286" t="s">
        <v>71</v>
      </c>
      <c r="AH286">
        <v>0</v>
      </c>
      <c r="AI286">
        <v>0</v>
      </c>
      <c r="AJ286">
        <v>0</v>
      </c>
      <c r="AK286">
        <v>0</v>
      </c>
      <c r="AL286" t="s">
        <v>146</v>
      </c>
      <c r="AM286" t="s">
        <v>93</v>
      </c>
      <c r="AN286" t="s">
        <v>94</v>
      </c>
      <c r="AO286" t="s">
        <v>147</v>
      </c>
      <c r="AP286">
        <v>0</v>
      </c>
      <c r="AQ286">
        <v>0</v>
      </c>
      <c r="AR286">
        <v>128</v>
      </c>
      <c r="AS286">
        <v>0</v>
      </c>
      <c r="AT286">
        <v>0</v>
      </c>
      <c r="AU286">
        <v>0</v>
      </c>
      <c r="AV286">
        <v>0</v>
      </c>
      <c r="AW286">
        <v>0</v>
      </c>
      <c r="AX286">
        <v>0</v>
      </c>
      <c r="AY286">
        <v>0</v>
      </c>
    </row>
    <row r="287" spans="1:51" x14ac:dyDescent="0.25">
      <c r="A287">
        <v>40</v>
      </c>
      <c r="B287">
        <v>10370</v>
      </c>
      <c r="C287" t="s">
        <v>735</v>
      </c>
      <c r="D287" t="s">
        <v>96</v>
      </c>
      <c r="E287" t="s">
        <v>186</v>
      </c>
      <c r="F287" t="s">
        <v>107</v>
      </c>
      <c r="G287" t="s">
        <v>77</v>
      </c>
      <c r="H287" t="s">
        <v>78</v>
      </c>
      <c r="I287" t="s">
        <v>79</v>
      </c>
      <c r="J287" t="s">
        <v>150</v>
      </c>
      <c r="K287" t="s">
        <v>102</v>
      </c>
      <c r="L287" t="s">
        <v>76</v>
      </c>
      <c r="M287" t="s">
        <v>177</v>
      </c>
      <c r="N287" t="s">
        <v>74</v>
      </c>
      <c r="O287" t="s">
        <v>104</v>
      </c>
      <c r="P287" t="s">
        <v>71</v>
      </c>
      <c r="Q287" t="s">
        <v>71</v>
      </c>
      <c r="R287" t="s">
        <v>71</v>
      </c>
      <c r="S287">
        <v>0</v>
      </c>
      <c r="T287">
        <v>1</v>
      </c>
      <c r="U287" t="s">
        <v>72</v>
      </c>
      <c r="V287" t="s">
        <v>192</v>
      </c>
      <c r="W287">
        <v>0</v>
      </c>
      <c r="X287">
        <v>0</v>
      </c>
      <c r="Y287">
        <v>0</v>
      </c>
      <c r="Z287">
        <v>0</v>
      </c>
      <c r="AA287">
        <v>0</v>
      </c>
      <c r="AB287">
        <v>0</v>
      </c>
      <c r="AC287">
        <v>0</v>
      </c>
      <c r="AD287">
        <v>0</v>
      </c>
      <c r="AE287">
        <v>0</v>
      </c>
      <c r="AF287">
        <v>0</v>
      </c>
      <c r="AG287" t="s">
        <v>71</v>
      </c>
      <c r="AH287">
        <v>0</v>
      </c>
      <c r="AI287">
        <v>0</v>
      </c>
      <c r="AJ287">
        <v>0</v>
      </c>
      <c r="AK287">
        <v>0</v>
      </c>
      <c r="AL287" t="s">
        <v>146</v>
      </c>
      <c r="AM287" t="s">
        <v>93</v>
      </c>
      <c r="AN287" t="s">
        <v>94</v>
      </c>
      <c r="AO287" t="s">
        <v>147</v>
      </c>
      <c r="AP287">
        <v>0</v>
      </c>
      <c r="AQ287">
        <v>0</v>
      </c>
      <c r="AR287">
        <v>128</v>
      </c>
      <c r="AS287">
        <v>0</v>
      </c>
      <c r="AT287">
        <v>0</v>
      </c>
      <c r="AU287">
        <v>0</v>
      </c>
      <c r="AV287">
        <v>0</v>
      </c>
      <c r="AW287">
        <v>0</v>
      </c>
      <c r="AX287">
        <v>0</v>
      </c>
      <c r="AY287">
        <v>0</v>
      </c>
    </row>
    <row r="288" spans="1:51" x14ac:dyDescent="0.25">
      <c r="A288">
        <v>41</v>
      </c>
      <c r="B288">
        <v>10380</v>
      </c>
      <c r="C288" t="s">
        <v>735</v>
      </c>
      <c r="D288" t="s">
        <v>96</v>
      </c>
      <c r="E288" t="s">
        <v>190</v>
      </c>
      <c r="F288" t="s">
        <v>107</v>
      </c>
      <c r="G288" t="s">
        <v>77</v>
      </c>
      <c r="H288" t="s">
        <v>78</v>
      </c>
      <c r="I288" t="s">
        <v>79</v>
      </c>
      <c r="J288" t="s">
        <v>70</v>
      </c>
      <c r="K288" t="s">
        <v>102</v>
      </c>
      <c r="L288" t="s">
        <v>76</v>
      </c>
      <c r="M288" t="s">
        <v>177</v>
      </c>
      <c r="N288" t="s">
        <v>74</v>
      </c>
      <c r="O288" t="s">
        <v>104</v>
      </c>
      <c r="P288" t="s">
        <v>71</v>
      </c>
      <c r="Q288" t="s">
        <v>71</v>
      </c>
      <c r="R288" t="s">
        <v>71</v>
      </c>
      <c r="S288">
        <v>0</v>
      </c>
      <c r="T288">
        <v>1</v>
      </c>
      <c r="U288" t="s">
        <v>72</v>
      </c>
      <c r="V288" t="s">
        <v>192</v>
      </c>
      <c r="W288">
        <v>0</v>
      </c>
      <c r="X288">
        <v>0</v>
      </c>
      <c r="Y288">
        <v>0</v>
      </c>
      <c r="Z288">
        <v>0</v>
      </c>
      <c r="AA288">
        <v>0</v>
      </c>
      <c r="AB288">
        <v>0</v>
      </c>
      <c r="AC288">
        <v>0</v>
      </c>
      <c r="AD288">
        <v>0</v>
      </c>
      <c r="AE288">
        <v>0</v>
      </c>
      <c r="AF288">
        <v>0</v>
      </c>
      <c r="AG288" t="s">
        <v>71</v>
      </c>
      <c r="AH288">
        <v>0</v>
      </c>
      <c r="AI288">
        <v>0</v>
      </c>
      <c r="AJ288">
        <v>0</v>
      </c>
      <c r="AK288">
        <v>0</v>
      </c>
      <c r="AL288" t="s">
        <v>146</v>
      </c>
      <c r="AM288" t="s">
        <v>93</v>
      </c>
      <c r="AN288" t="s">
        <v>94</v>
      </c>
      <c r="AO288" t="s">
        <v>147</v>
      </c>
      <c r="AP288">
        <v>0</v>
      </c>
      <c r="AQ288">
        <v>0</v>
      </c>
      <c r="AR288">
        <v>128</v>
      </c>
      <c r="AS288">
        <v>0</v>
      </c>
      <c r="AT288">
        <v>0</v>
      </c>
      <c r="AU288">
        <v>0</v>
      </c>
      <c r="AV288">
        <v>0</v>
      </c>
      <c r="AW288">
        <v>0</v>
      </c>
      <c r="AX288">
        <v>0</v>
      </c>
      <c r="AY288">
        <v>0</v>
      </c>
    </row>
    <row r="289" spans="1:51" x14ac:dyDescent="0.25">
      <c r="A289">
        <v>41</v>
      </c>
      <c r="B289">
        <v>10390</v>
      </c>
      <c r="C289" t="s">
        <v>735</v>
      </c>
      <c r="D289" t="s">
        <v>96</v>
      </c>
      <c r="E289" t="s">
        <v>190</v>
      </c>
      <c r="F289" t="s">
        <v>107</v>
      </c>
      <c r="G289" t="s">
        <v>77</v>
      </c>
      <c r="H289" t="s">
        <v>78</v>
      </c>
      <c r="I289" t="s">
        <v>79</v>
      </c>
      <c r="J289" t="s">
        <v>150</v>
      </c>
      <c r="K289" t="s">
        <v>102</v>
      </c>
      <c r="L289" t="s">
        <v>76</v>
      </c>
      <c r="M289" t="s">
        <v>177</v>
      </c>
      <c r="N289" t="s">
        <v>74</v>
      </c>
      <c r="O289" t="s">
        <v>104</v>
      </c>
      <c r="P289" t="s">
        <v>71</v>
      </c>
      <c r="Q289" t="s">
        <v>71</v>
      </c>
      <c r="R289" t="s">
        <v>71</v>
      </c>
      <c r="S289">
        <v>0</v>
      </c>
      <c r="T289">
        <v>1</v>
      </c>
      <c r="U289" t="s">
        <v>72</v>
      </c>
      <c r="V289" t="s">
        <v>192</v>
      </c>
      <c r="W289">
        <v>0</v>
      </c>
      <c r="X289">
        <v>0</v>
      </c>
      <c r="Y289">
        <v>0</v>
      </c>
      <c r="Z289">
        <v>0</v>
      </c>
      <c r="AA289">
        <v>0</v>
      </c>
      <c r="AB289">
        <v>0</v>
      </c>
      <c r="AC289">
        <v>0</v>
      </c>
      <c r="AD289">
        <v>0</v>
      </c>
      <c r="AE289">
        <v>0</v>
      </c>
      <c r="AF289">
        <v>0</v>
      </c>
      <c r="AG289" t="s">
        <v>71</v>
      </c>
      <c r="AH289">
        <v>0</v>
      </c>
      <c r="AI289">
        <v>0</v>
      </c>
      <c r="AJ289">
        <v>0</v>
      </c>
      <c r="AK289">
        <v>0</v>
      </c>
      <c r="AL289" t="s">
        <v>146</v>
      </c>
      <c r="AM289" t="s">
        <v>93</v>
      </c>
      <c r="AN289" t="s">
        <v>94</v>
      </c>
      <c r="AO289" t="s">
        <v>147</v>
      </c>
      <c r="AP289">
        <v>0</v>
      </c>
      <c r="AQ289">
        <v>0</v>
      </c>
      <c r="AR289">
        <v>128</v>
      </c>
      <c r="AS289">
        <v>0</v>
      </c>
      <c r="AT289">
        <v>0</v>
      </c>
      <c r="AU289">
        <v>0</v>
      </c>
      <c r="AV289">
        <v>0</v>
      </c>
      <c r="AW289">
        <v>0</v>
      </c>
      <c r="AX289">
        <v>0</v>
      </c>
      <c r="AY289">
        <v>0</v>
      </c>
    </row>
    <row r="290" spans="1:51" x14ac:dyDescent="0.25">
      <c r="A290">
        <v>42</v>
      </c>
      <c r="B290">
        <v>10400</v>
      </c>
      <c r="C290" t="s">
        <v>735</v>
      </c>
      <c r="D290" t="s">
        <v>96</v>
      </c>
      <c r="E290" t="s">
        <v>100</v>
      </c>
      <c r="F290" t="s">
        <v>107</v>
      </c>
      <c r="G290" t="s">
        <v>77</v>
      </c>
      <c r="H290" t="s">
        <v>78</v>
      </c>
      <c r="I290" t="s">
        <v>79</v>
      </c>
      <c r="J290" t="s">
        <v>70</v>
      </c>
      <c r="K290" t="s">
        <v>102</v>
      </c>
      <c r="L290" t="s">
        <v>76</v>
      </c>
      <c r="M290" t="s">
        <v>177</v>
      </c>
      <c r="N290" t="s">
        <v>74</v>
      </c>
      <c r="O290" t="s">
        <v>104</v>
      </c>
      <c r="P290" t="s">
        <v>71</v>
      </c>
      <c r="Q290" t="s">
        <v>71</v>
      </c>
      <c r="R290" t="s">
        <v>71</v>
      </c>
      <c r="S290">
        <v>0</v>
      </c>
      <c r="T290">
        <v>1</v>
      </c>
      <c r="U290" t="s">
        <v>72</v>
      </c>
      <c r="V290" t="s">
        <v>73</v>
      </c>
      <c r="W290">
        <v>0</v>
      </c>
      <c r="X290">
        <v>0</v>
      </c>
      <c r="Y290">
        <v>0</v>
      </c>
      <c r="Z290">
        <v>0</v>
      </c>
      <c r="AA290">
        <v>0</v>
      </c>
      <c r="AB290">
        <v>0</v>
      </c>
      <c r="AC290">
        <v>0</v>
      </c>
      <c r="AD290">
        <v>0</v>
      </c>
      <c r="AE290">
        <v>0</v>
      </c>
      <c r="AF290">
        <v>0</v>
      </c>
      <c r="AG290" t="s">
        <v>71</v>
      </c>
      <c r="AH290">
        <v>0</v>
      </c>
      <c r="AI290">
        <v>0</v>
      </c>
      <c r="AJ290">
        <v>0</v>
      </c>
      <c r="AK290">
        <v>0</v>
      </c>
      <c r="AL290" t="s">
        <v>146</v>
      </c>
      <c r="AM290" t="s">
        <v>93</v>
      </c>
      <c r="AN290" t="s">
        <v>94</v>
      </c>
      <c r="AO290" t="s">
        <v>147</v>
      </c>
      <c r="AP290">
        <v>0</v>
      </c>
      <c r="AQ290">
        <v>0</v>
      </c>
      <c r="AR290">
        <v>128</v>
      </c>
      <c r="AS290">
        <v>0</v>
      </c>
      <c r="AT290">
        <v>0</v>
      </c>
      <c r="AU290">
        <v>0</v>
      </c>
      <c r="AV290">
        <v>0</v>
      </c>
      <c r="AW290">
        <v>0</v>
      </c>
      <c r="AX290">
        <v>0</v>
      </c>
      <c r="AY290">
        <v>0</v>
      </c>
    </row>
    <row r="291" spans="1:51" x14ac:dyDescent="0.25">
      <c r="A291">
        <v>42</v>
      </c>
      <c r="B291">
        <v>10410</v>
      </c>
      <c r="C291" t="s">
        <v>735</v>
      </c>
      <c r="D291" t="s">
        <v>96</v>
      </c>
      <c r="E291" t="s">
        <v>100</v>
      </c>
      <c r="F291" t="s">
        <v>107</v>
      </c>
      <c r="G291" t="s">
        <v>77</v>
      </c>
      <c r="H291" t="s">
        <v>78</v>
      </c>
      <c r="I291" t="s">
        <v>79</v>
      </c>
      <c r="J291" t="s">
        <v>150</v>
      </c>
      <c r="K291" t="s">
        <v>102</v>
      </c>
      <c r="L291" t="s">
        <v>76</v>
      </c>
      <c r="M291" t="s">
        <v>177</v>
      </c>
      <c r="N291" t="s">
        <v>74</v>
      </c>
      <c r="O291" t="s">
        <v>104</v>
      </c>
      <c r="P291" t="s">
        <v>71</v>
      </c>
      <c r="Q291" t="s">
        <v>71</v>
      </c>
      <c r="R291" t="s">
        <v>71</v>
      </c>
      <c r="S291">
        <v>0</v>
      </c>
      <c r="T291">
        <v>1</v>
      </c>
      <c r="U291" t="s">
        <v>72</v>
      </c>
      <c r="V291" t="s">
        <v>73</v>
      </c>
      <c r="W291">
        <v>0</v>
      </c>
      <c r="X291">
        <v>0</v>
      </c>
      <c r="Y291">
        <v>0</v>
      </c>
      <c r="Z291">
        <v>0</v>
      </c>
      <c r="AA291">
        <v>0</v>
      </c>
      <c r="AB291">
        <v>0</v>
      </c>
      <c r="AC291">
        <v>0</v>
      </c>
      <c r="AD291">
        <v>0</v>
      </c>
      <c r="AE291">
        <v>0</v>
      </c>
      <c r="AF291">
        <v>0</v>
      </c>
      <c r="AG291" t="s">
        <v>71</v>
      </c>
      <c r="AH291">
        <v>0</v>
      </c>
      <c r="AI291">
        <v>0</v>
      </c>
      <c r="AJ291">
        <v>0</v>
      </c>
      <c r="AK291">
        <v>0</v>
      </c>
      <c r="AL291" t="s">
        <v>146</v>
      </c>
      <c r="AM291" t="s">
        <v>93</v>
      </c>
      <c r="AN291" t="s">
        <v>94</v>
      </c>
      <c r="AO291" t="s">
        <v>147</v>
      </c>
      <c r="AP291">
        <v>0</v>
      </c>
      <c r="AQ291">
        <v>0</v>
      </c>
      <c r="AR291">
        <v>128</v>
      </c>
      <c r="AS291">
        <v>0</v>
      </c>
      <c r="AT291">
        <v>0</v>
      </c>
      <c r="AU291">
        <v>0</v>
      </c>
      <c r="AV291">
        <v>0</v>
      </c>
      <c r="AW291">
        <v>0</v>
      </c>
      <c r="AX291">
        <v>0</v>
      </c>
      <c r="AY291">
        <v>0</v>
      </c>
    </row>
    <row r="292" spans="1:51" x14ac:dyDescent="0.25">
      <c r="A292">
        <v>43</v>
      </c>
      <c r="B292">
        <v>10420</v>
      </c>
      <c r="C292" t="s">
        <v>735</v>
      </c>
      <c r="D292" t="s">
        <v>96</v>
      </c>
      <c r="E292" t="s">
        <v>100</v>
      </c>
      <c r="F292" t="s">
        <v>107</v>
      </c>
      <c r="G292" t="s">
        <v>77</v>
      </c>
      <c r="H292" t="s">
        <v>78</v>
      </c>
      <c r="I292" t="s">
        <v>79</v>
      </c>
      <c r="J292" t="s">
        <v>70</v>
      </c>
      <c r="K292" t="s">
        <v>102</v>
      </c>
      <c r="L292" t="s">
        <v>203</v>
      </c>
      <c r="M292" t="s">
        <v>177</v>
      </c>
      <c r="N292" t="s">
        <v>74</v>
      </c>
      <c r="O292" t="s">
        <v>104</v>
      </c>
      <c r="P292" t="s">
        <v>71</v>
      </c>
      <c r="Q292" t="s">
        <v>71</v>
      </c>
      <c r="R292" t="s">
        <v>71</v>
      </c>
      <c r="S292">
        <v>0</v>
      </c>
      <c r="T292">
        <v>1</v>
      </c>
      <c r="U292" t="s">
        <v>72</v>
      </c>
      <c r="V292" t="s">
        <v>192</v>
      </c>
      <c r="W292">
        <v>0</v>
      </c>
      <c r="X292">
        <v>0</v>
      </c>
      <c r="Y292">
        <v>0</v>
      </c>
      <c r="Z292">
        <v>0</v>
      </c>
      <c r="AA292">
        <v>0</v>
      </c>
      <c r="AB292">
        <v>0</v>
      </c>
      <c r="AC292">
        <v>0</v>
      </c>
      <c r="AD292">
        <v>0</v>
      </c>
      <c r="AE292">
        <v>0</v>
      </c>
      <c r="AF292">
        <v>0</v>
      </c>
      <c r="AG292" t="s">
        <v>71</v>
      </c>
      <c r="AH292">
        <v>0</v>
      </c>
      <c r="AI292">
        <v>0</v>
      </c>
      <c r="AJ292">
        <v>0</v>
      </c>
      <c r="AK292">
        <v>0</v>
      </c>
      <c r="AL292" t="s">
        <v>146</v>
      </c>
      <c r="AM292" t="s">
        <v>93</v>
      </c>
      <c r="AN292" t="s">
        <v>94</v>
      </c>
      <c r="AO292" t="s">
        <v>147</v>
      </c>
      <c r="AP292">
        <v>0</v>
      </c>
      <c r="AQ292">
        <v>0</v>
      </c>
      <c r="AR292">
        <v>129</v>
      </c>
      <c r="AS292">
        <v>0</v>
      </c>
      <c r="AT292">
        <v>0</v>
      </c>
      <c r="AU292">
        <v>0</v>
      </c>
      <c r="AV292">
        <v>0</v>
      </c>
      <c r="AW292">
        <v>0</v>
      </c>
      <c r="AX292">
        <v>0</v>
      </c>
      <c r="AY292">
        <v>0</v>
      </c>
    </row>
    <row r="293" spans="1:51" x14ac:dyDescent="0.25">
      <c r="A293">
        <v>43</v>
      </c>
      <c r="B293">
        <v>10430</v>
      </c>
      <c r="C293" t="s">
        <v>735</v>
      </c>
      <c r="D293" t="s">
        <v>96</v>
      </c>
      <c r="E293" t="s">
        <v>100</v>
      </c>
      <c r="F293" t="s">
        <v>107</v>
      </c>
      <c r="G293" t="s">
        <v>77</v>
      </c>
      <c r="H293" t="s">
        <v>78</v>
      </c>
      <c r="I293" t="s">
        <v>79</v>
      </c>
      <c r="J293" t="s">
        <v>150</v>
      </c>
      <c r="K293" t="s">
        <v>102</v>
      </c>
      <c r="L293" t="s">
        <v>203</v>
      </c>
      <c r="M293" t="s">
        <v>177</v>
      </c>
      <c r="N293" t="s">
        <v>74</v>
      </c>
      <c r="O293" t="s">
        <v>104</v>
      </c>
      <c r="P293" t="s">
        <v>71</v>
      </c>
      <c r="Q293" t="s">
        <v>71</v>
      </c>
      <c r="R293" t="s">
        <v>71</v>
      </c>
      <c r="S293">
        <v>0</v>
      </c>
      <c r="T293">
        <v>1</v>
      </c>
      <c r="U293" t="s">
        <v>72</v>
      </c>
      <c r="V293" t="s">
        <v>192</v>
      </c>
      <c r="W293">
        <v>0</v>
      </c>
      <c r="X293">
        <v>0</v>
      </c>
      <c r="Y293">
        <v>0</v>
      </c>
      <c r="Z293">
        <v>0</v>
      </c>
      <c r="AA293">
        <v>0</v>
      </c>
      <c r="AB293">
        <v>0</v>
      </c>
      <c r="AC293">
        <v>0</v>
      </c>
      <c r="AD293">
        <v>0</v>
      </c>
      <c r="AE293">
        <v>0</v>
      </c>
      <c r="AF293">
        <v>0</v>
      </c>
      <c r="AG293" t="s">
        <v>71</v>
      </c>
      <c r="AH293">
        <v>0</v>
      </c>
      <c r="AI293">
        <v>0</v>
      </c>
      <c r="AJ293">
        <v>0</v>
      </c>
      <c r="AK293">
        <v>0</v>
      </c>
      <c r="AL293" t="s">
        <v>146</v>
      </c>
      <c r="AM293" t="s">
        <v>93</v>
      </c>
      <c r="AN293" t="s">
        <v>94</v>
      </c>
      <c r="AO293" t="s">
        <v>147</v>
      </c>
      <c r="AP293">
        <v>0</v>
      </c>
      <c r="AQ293">
        <v>0</v>
      </c>
      <c r="AR293">
        <v>129</v>
      </c>
      <c r="AS293">
        <v>0</v>
      </c>
      <c r="AT293">
        <v>0</v>
      </c>
      <c r="AU293">
        <v>0</v>
      </c>
      <c r="AV293">
        <v>0</v>
      </c>
      <c r="AW293">
        <v>0</v>
      </c>
      <c r="AX293">
        <v>0</v>
      </c>
      <c r="AY293">
        <v>0</v>
      </c>
    </row>
    <row r="294" spans="1:51" x14ac:dyDescent="0.25">
      <c r="A294">
        <v>44</v>
      </c>
      <c r="B294">
        <v>10440</v>
      </c>
      <c r="C294" t="s">
        <v>735</v>
      </c>
      <c r="D294" t="s">
        <v>96</v>
      </c>
      <c r="E294" t="s">
        <v>186</v>
      </c>
      <c r="F294" t="s">
        <v>107</v>
      </c>
      <c r="G294" t="s">
        <v>77</v>
      </c>
      <c r="H294" t="s">
        <v>78</v>
      </c>
      <c r="I294" t="s">
        <v>79</v>
      </c>
      <c r="J294" t="s">
        <v>70</v>
      </c>
      <c r="K294" t="s">
        <v>102</v>
      </c>
      <c r="L294" t="s">
        <v>203</v>
      </c>
      <c r="M294" t="s">
        <v>177</v>
      </c>
      <c r="N294" t="s">
        <v>74</v>
      </c>
      <c r="O294" t="s">
        <v>104</v>
      </c>
      <c r="P294" t="s">
        <v>71</v>
      </c>
      <c r="Q294" t="s">
        <v>71</v>
      </c>
      <c r="R294" t="s">
        <v>71</v>
      </c>
      <c r="S294">
        <v>0</v>
      </c>
      <c r="T294">
        <v>0</v>
      </c>
      <c r="U294" t="s">
        <v>72</v>
      </c>
      <c r="V294" t="s">
        <v>188</v>
      </c>
      <c r="W294">
        <v>0</v>
      </c>
      <c r="X294">
        <v>0</v>
      </c>
      <c r="Y294">
        <v>0</v>
      </c>
      <c r="Z294">
        <v>0</v>
      </c>
      <c r="AA294">
        <v>0</v>
      </c>
      <c r="AB294">
        <v>0</v>
      </c>
      <c r="AC294">
        <v>0</v>
      </c>
      <c r="AD294">
        <v>0</v>
      </c>
      <c r="AE294">
        <v>0</v>
      </c>
      <c r="AF294">
        <v>0</v>
      </c>
      <c r="AG294" t="s">
        <v>71</v>
      </c>
      <c r="AH294">
        <v>0</v>
      </c>
      <c r="AI294">
        <v>0</v>
      </c>
      <c r="AJ294">
        <v>0</v>
      </c>
      <c r="AK294">
        <v>0</v>
      </c>
      <c r="AL294" t="s">
        <v>146</v>
      </c>
      <c r="AM294" t="s">
        <v>93</v>
      </c>
      <c r="AN294" t="s">
        <v>94</v>
      </c>
      <c r="AO294" t="s">
        <v>147</v>
      </c>
      <c r="AP294">
        <v>0</v>
      </c>
      <c r="AQ294">
        <v>0</v>
      </c>
      <c r="AR294">
        <v>192</v>
      </c>
      <c r="AS294">
        <v>0</v>
      </c>
      <c r="AT294">
        <v>0</v>
      </c>
      <c r="AU294">
        <v>0</v>
      </c>
      <c r="AV294">
        <v>0</v>
      </c>
      <c r="AW294">
        <v>0</v>
      </c>
      <c r="AX294">
        <v>0</v>
      </c>
      <c r="AY294">
        <v>0</v>
      </c>
    </row>
    <row r="295" spans="1:51" x14ac:dyDescent="0.25">
      <c r="A295">
        <v>44</v>
      </c>
      <c r="B295">
        <v>10450</v>
      </c>
      <c r="C295" t="s">
        <v>735</v>
      </c>
      <c r="D295" t="s">
        <v>96</v>
      </c>
      <c r="E295" t="s">
        <v>186</v>
      </c>
      <c r="F295" t="s">
        <v>107</v>
      </c>
      <c r="G295" t="s">
        <v>77</v>
      </c>
      <c r="H295" t="s">
        <v>78</v>
      </c>
      <c r="I295" t="s">
        <v>79</v>
      </c>
      <c r="J295" t="s">
        <v>150</v>
      </c>
      <c r="K295" t="s">
        <v>102</v>
      </c>
      <c r="L295" t="s">
        <v>203</v>
      </c>
      <c r="M295" t="s">
        <v>177</v>
      </c>
      <c r="N295" t="s">
        <v>74</v>
      </c>
      <c r="O295" t="s">
        <v>104</v>
      </c>
      <c r="P295" t="s">
        <v>71</v>
      </c>
      <c r="Q295" t="s">
        <v>71</v>
      </c>
      <c r="R295" t="s">
        <v>71</v>
      </c>
      <c r="S295">
        <v>1</v>
      </c>
      <c r="T295">
        <v>0</v>
      </c>
      <c r="U295" t="s">
        <v>72</v>
      </c>
      <c r="V295" t="s">
        <v>188</v>
      </c>
      <c r="W295">
        <v>0</v>
      </c>
      <c r="X295">
        <v>0</v>
      </c>
      <c r="Y295">
        <v>0</v>
      </c>
      <c r="Z295">
        <v>0</v>
      </c>
      <c r="AA295">
        <v>0</v>
      </c>
      <c r="AB295">
        <v>0</v>
      </c>
      <c r="AC295">
        <v>0</v>
      </c>
      <c r="AD295">
        <v>0</v>
      </c>
      <c r="AE295">
        <v>0</v>
      </c>
      <c r="AF295">
        <v>0</v>
      </c>
      <c r="AG295" t="s">
        <v>71</v>
      </c>
      <c r="AH295">
        <v>0</v>
      </c>
      <c r="AI295">
        <v>0</v>
      </c>
      <c r="AJ295">
        <v>0</v>
      </c>
      <c r="AK295">
        <v>0</v>
      </c>
      <c r="AL295" t="s">
        <v>146</v>
      </c>
      <c r="AM295" t="s">
        <v>93</v>
      </c>
      <c r="AN295" t="s">
        <v>94</v>
      </c>
      <c r="AO295" t="s">
        <v>147</v>
      </c>
      <c r="AP295">
        <v>0</v>
      </c>
      <c r="AQ295">
        <v>0</v>
      </c>
      <c r="AR295">
        <v>128</v>
      </c>
      <c r="AS295">
        <v>0</v>
      </c>
      <c r="AT295">
        <v>0</v>
      </c>
      <c r="AU295">
        <v>0</v>
      </c>
      <c r="AV295">
        <v>0</v>
      </c>
      <c r="AW295">
        <v>0</v>
      </c>
      <c r="AX295">
        <v>0</v>
      </c>
      <c r="AY295">
        <v>0</v>
      </c>
    </row>
    <row r="296" spans="1:51" x14ac:dyDescent="0.25">
      <c r="A296">
        <v>45</v>
      </c>
      <c r="B296">
        <v>10460</v>
      </c>
      <c r="C296" t="s">
        <v>735</v>
      </c>
      <c r="D296" t="s">
        <v>96</v>
      </c>
      <c r="E296" t="s">
        <v>121</v>
      </c>
      <c r="F296" t="s">
        <v>107</v>
      </c>
      <c r="G296" t="s">
        <v>77</v>
      </c>
      <c r="H296" t="s">
        <v>78</v>
      </c>
      <c r="I296" t="s">
        <v>79</v>
      </c>
      <c r="J296" t="s">
        <v>70</v>
      </c>
      <c r="K296" t="s">
        <v>102</v>
      </c>
      <c r="L296" t="s">
        <v>203</v>
      </c>
      <c r="M296" t="s">
        <v>177</v>
      </c>
      <c r="N296" t="s">
        <v>74</v>
      </c>
      <c r="O296" t="s">
        <v>104</v>
      </c>
      <c r="P296" t="s">
        <v>71</v>
      </c>
      <c r="Q296" t="s">
        <v>71</v>
      </c>
      <c r="R296" t="s">
        <v>71</v>
      </c>
      <c r="S296">
        <v>0</v>
      </c>
      <c r="T296">
        <v>0</v>
      </c>
      <c r="U296" t="s">
        <v>72</v>
      </c>
      <c r="V296" t="s">
        <v>73</v>
      </c>
      <c r="W296">
        <v>0</v>
      </c>
      <c r="X296">
        <v>0</v>
      </c>
      <c r="Y296">
        <v>0</v>
      </c>
      <c r="Z296">
        <v>0</v>
      </c>
      <c r="AA296">
        <v>0</v>
      </c>
      <c r="AB296">
        <v>0</v>
      </c>
      <c r="AC296">
        <v>0</v>
      </c>
      <c r="AD296">
        <v>0</v>
      </c>
      <c r="AE296">
        <v>0</v>
      </c>
      <c r="AF296">
        <v>0</v>
      </c>
      <c r="AG296" t="s">
        <v>71</v>
      </c>
      <c r="AH296">
        <v>0</v>
      </c>
      <c r="AI296">
        <v>0</v>
      </c>
      <c r="AJ296">
        <v>0</v>
      </c>
      <c r="AK296">
        <v>0</v>
      </c>
      <c r="AL296" t="s">
        <v>146</v>
      </c>
      <c r="AM296" t="s">
        <v>93</v>
      </c>
      <c r="AN296" t="s">
        <v>148</v>
      </c>
      <c r="AO296" t="s">
        <v>147</v>
      </c>
      <c r="AP296">
        <v>0</v>
      </c>
      <c r="AQ296">
        <v>0</v>
      </c>
      <c r="AR296">
        <v>128</v>
      </c>
      <c r="AS296">
        <v>0</v>
      </c>
      <c r="AT296">
        <v>0</v>
      </c>
      <c r="AU296">
        <v>0</v>
      </c>
      <c r="AV296">
        <v>0</v>
      </c>
      <c r="AW296">
        <v>0</v>
      </c>
      <c r="AX296">
        <v>0</v>
      </c>
      <c r="AY296">
        <v>0</v>
      </c>
    </row>
    <row r="297" spans="1:51" x14ac:dyDescent="0.25">
      <c r="A297">
        <v>45</v>
      </c>
      <c r="B297">
        <v>10470</v>
      </c>
      <c r="C297" t="s">
        <v>735</v>
      </c>
      <c r="D297" t="s">
        <v>96</v>
      </c>
      <c r="E297" t="s">
        <v>121</v>
      </c>
      <c r="F297" t="s">
        <v>107</v>
      </c>
      <c r="G297" t="s">
        <v>77</v>
      </c>
      <c r="H297" t="s">
        <v>78</v>
      </c>
      <c r="I297" t="s">
        <v>79</v>
      </c>
      <c r="J297" t="s">
        <v>150</v>
      </c>
      <c r="K297" t="s">
        <v>102</v>
      </c>
      <c r="L297" t="s">
        <v>203</v>
      </c>
      <c r="M297" t="s">
        <v>177</v>
      </c>
      <c r="N297" t="s">
        <v>74</v>
      </c>
      <c r="O297" t="s">
        <v>104</v>
      </c>
      <c r="P297" t="s">
        <v>71</v>
      </c>
      <c r="Q297" t="s">
        <v>71</v>
      </c>
      <c r="R297" t="s">
        <v>71</v>
      </c>
      <c r="S297">
        <v>0</v>
      </c>
      <c r="T297">
        <v>0</v>
      </c>
      <c r="U297" t="s">
        <v>72</v>
      </c>
      <c r="V297" t="s">
        <v>73</v>
      </c>
      <c r="W297">
        <v>0</v>
      </c>
      <c r="X297">
        <v>0</v>
      </c>
      <c r="Y297">
        <v>0</v>
      </c>
      <c r="Z297">
        <v>0</v>
      </c>
      <c r="AA297">
        <v>0</v>
      </c>
      <c r="AB297">
        <v>0</v>
      </c>
      <c r="AC297">
        <v>0</v>
      </c>
      <c r="AD297">
        <v>0</v>
      </c>
      <c r="AE297">
        <v>0</v>
      </c>
      <c r="AF297">
        <v>0</v>
      </c>
      <c r="AG297" t="s">
        <v>71</v>
      </c>
      <c r="AH297">
        <v>0</v>
      </c>
      <c r="AI297">
        <v>0</v>
      </c>
      <c r="AJ297">
        <v>0</v>
      </c>
      <c r="AK297">
        <v>0</v>
      </c>
      <c r="AL297" t="s">
        <v>146</v>
      </c>
      <c r="AM297" t="s">
        <v>93</v>
      </c>
      <c r="AN297" t="s">
        <v>148</v>
      </c>
      <c r="AO297" t="s">
        <v>147</v>
      </c>
      <c r="AP297">
        <v>0</v>
      </c>
      <c r="AQ297">
        <v>0</v>
      </c>
      <c r="AR297">
        <v>128</v>
      </c>
      <c r="AS297">
        <v>0</v>
      </c>
      <c r="AT297">
        <v>0</v>
      </c>
      <c r="AU297">
        <v>0</v>
      </c>
      <c r="AV297">
        <v>0</v>
      </c>
      <c r="AW297">
        <v>0</v>
      </c>
      <c r="AX297">
        <v>0</v>
      </c>
      <c r="AY297">
        <v>0</v>
      </c>
    </row>
    <row r="298" spans="1:51" x14ac:dyDescent="0.25">
      <c r="A298">
        <v>46</v>
      </c>
      <c r="B298">
        <v>10480</v>
      </c>
      <c r="C298" t="s">
        <v>735</v>
      </c>
      <c r="D298" t="s">
        <v>96</v>
      </c>
      <c r="E298" t="s">
        <v>121</v>
      </c>
      <c r="F298" t="s">
        <v>107</v>
      </c>
      <c r="G298" t="s">
        <v>77</v>
      </c>
      <c r="H298" t="s">
        <v>78</v>
      </c>
      <c r="I298" t="s">
        <v>79</v>
      </c>
      <c r="J298" t="s">
        <v>70</v>
      </c>
      <c r="K298" t="s">
        <v>102</v>
      </c>
      <c r="L298" t="s">
        <v>205</v>
      </c>
      <c r="M298" t="s">
        <v>177</v>
      </c>
      <c r="N298" t="s">
        <v>74</v>
      </c>
      <c r="O298" t="s">
        <v>104</v>
      </c>
      <c r="P298" t="s">
        <v>71</v>
      </c>
      <c r="Q298" t="s">
        <v>71</v>
      </c>
      <c r="R298" t="s">
        <v>71</v>
      </c>
      <c r="S298">
        <v>0</v>
      </c>
      <c r="T298">
        <v>0</v>
      </c>
      <c r="U298" t="s">
        <v>72</v>
      </c>
      <c r="V298" t="s">
        <v>188</v>
      </c>
      <c r="W298">
        <v>0</v>
      </c>
      <c r="X298">
        <v>0</v>
      </c>
      <c r="Y298">
        <v>0</v>
      </c>
      <c r="Z298">
        <v>0</v>
      </c>
      <c r="AA298">
        <v>0</v>
      </c>
      <c r="AB298">
        <v>0</v>
      </c>
      <c r="AC298">
        <v>0</v>
      </c>
      <c r="AD298">
        <v>0</v>
      </c>
      <c r="AE298">
        <v>0</v>
      </c>
      <c r="AF298">
        <v>0</v>
      </c>
      <c r="AG298" t="s">
        <v>71</v>
      </c>
      <c r="AH298">
        <v>0</v>
      </c>
      <c r="AI298">
        <v>0</v>
      </c>
      <c r="AJ298">
        <v>0</v>
      </c>
      <c r="AK298">
        <v>0</v>
      </c>
      <c r="AL298" t="s">
        <v>146</v>
      </c>
      <c r="AM298" t="s">
        <v>93</v>
      </c>
      <c r="AN298" t="s">
        <v>148</v>
      </c>
      <c r="AO298" t="s">
        <v>147</v>
      </c>
      <c r="AP298">
        <v>0</v>
      </c>
      <c r="AQ298">
        <v>0</v>
      </c>
      <c r="AR298">
        <v>224</v>
      </c>
      <c r="AS298">
        <v>0</v>
      </c>
      <c r="AT298">
        <v>0</v>
      </c>
      <c r="AU298">
        <v>0</v>
      </c>
      <c r="AV298">
        <v>0</v>
      </c>
      <c r="AW298">
        <v>0</v>
      </c>
      <c r="AX298">
        <v>0</v>
      </c>
      <c r="AY298">
        <v>0</v>
      </c>
    </row>
    <row r="299" spans="1:51" x14ac:dyDescent="0.25">
      <c r="A299">
        <v>46</v>
      </c>
      <c r="B299">
        <v>10490</v>
      </c>
      <c r="C299" t="s">
        <v>735</v>
      </c>
      <c r="D299" t="s">
        <v>96</v>
      </c>
      <c r="E299" t="s">
        <v>121</v>
      </c>
      <c r="F299" t="s">
        <v>107</v>
      </c>
      <c r="G299" t="s">
        <v>77</v>
      </c>
      <c r="H299" t="s">
        <v>78</v>
      </c>
      <c r="I299" t="s">
        <v>79</v>
      </c>
      <c r="J299" t="s">
        <v>150</v>
      </c>
      <c r="K299" t="s">
        <v>102</v>
      </c>
      <c r="L299" t="s">
        <v>205</v>
      </c>
      <c r="M299" t="s">
        <v>177</v>
      </c>
      <c r="N299" t="s">
        <v>74</v>
      </c>
      <c r="O299" t="s">
        <v>104</v>
      </c>
      <c r="P299" t="s">
        <v>71</v>
      </c>
      <c r="Q299" t="s">
        <v>71</v>
      </c>
      <c r="R299" t="s">
        <v>71</v>
      </c>
      <c r="S299">
        <v>0</v>
      </c>
      <c r="T299">
        <v>0</v>
      </c>
      <c r="U299" t="s">
        <v>72</v>
      </c>
      <c r="V299" t="s">
        <v>188</v>
      </c>
      <c r="W299">
        <v>0</v>
      </c>
      <c r="X299">
        <v>0</v>
      </c>
      <c r="Y299">
        <v>0</v>
      </c>
      <c r="Z299">
        <v>0</v>
      </c>
      <c r="AA299">
        <v>0</v>
      </c>
      <c r="AB299">
        <v>0</v>
      </c>
      <c r="AC299">
        <v>0</v>
      </c>
      <c r="AD299">
        <v>0</v>
      </c>
      <c r="AE299">
        <v>0</v>
      </c>
      <c r="AF299">
        <v>0</v>
      </c>
      <c r="AG299" t="s">
        <v>71</v>
      </c>
      <c r="AH299">
        <v>0</v>
      </c>
      <c r="AI299">
        <v>0</v>
      </c>
      <c r="AJ299">
        <v>0</v>
      </c>
      <c r="AK299">
        <v>0</v>
      </c>
      <c r="AL299" t="s">
        <v>146</v>
      </c>
      <c r="AM299" t="s">
        <v>93</v>
      </c>
      <c r="AN299" t="s">
        <v>148</v>
      </c>
      <c r="AO299" t="s">
        <v>147</v>
      </c>
      <c r="AP299">
        <v>0</v>
      </c>
      <c r="AQ299">
        <v>0</v>
      </c>
      <c r="AR299">
        <v>224</v>
      </c>
      <c r="AS299">
        <v>0</v>
      </c>
      <c r="AT299">
        <v>0</v>
      </c>
      <c r="AU299">
        <v>0</v>
      </c>
      <c r="AV299">
        <v>0</v>
      </c>
      <c r="AW299">
        <v>0</v>
      </c>
      <c r="AX299">
        <v>0</v>
      </c>
      <c r="AY299">
        <v>0</v>
      </c>
    </row>
    <row r="300" spans="1:51" x14ac:dyDescent="0.25">
      <c r="A300">
        <v>47</v>
      </c>
      <c r="B300">
        <v>10500</v>
      </c>
      <c r="C300" t="s">
        <v>735</v>
      </c>
      <c r="D300" t="s">
        <v>96</v>
      </c>
      <c r="E300" t="s">
        <v>186</v>
      </c>
      <c r="F300" t="s">
        <v>107</v>
      </c>
      <c r="G300" t="s">
        <v>77</v>
      </c>
      <c r="H300" t="s">
        <v>78</v>
      </c>
      <c r="I300" t="s">
        <v>79</v>
      </c>
      <c r="J300" t="s">
        <v>70</v>
      </c>
      <c r="K300" t="s">
        <v>102</v>
      </c>
      <c r="L300" t="s">
        <v>76</v>
      </c>
      <c r="M300" t="s">
        <v>177</v>
      </c>
      <c r="N300" t="s">
        <v>74</v>
      </c>
      <c r="O300" t="s">
        <v>187</v>
      </c>
      <c r="P300" t="s">
        <v>71</v>
      </c>
      <c r="Q300" t="s">
        <v>71</v>
      </c>
      <c r="R300" t="s">
        <v>71</v>
      </c>
      <c r="S300">
        <v>0</v>
      </c>
      <c r="T300">
        <v>0</v>
      </c>
      <c r="U300" t="s">
        <v>72</v>
      </c>
      <c r="V300" t="s">
        <v>73</v>
      </c>
      <c r="W300">
        <v>0</v>
      </c>
      <c r="X300">
        <v>0</v>
      </c>
      <c r="Y300">
        <v>0</v>
      </c>
      <c r="Z300">
        <v>0</v>
      </c>
      <c r="AA300">
        <v>0</v>
      </c>
      <c r="AB300">
        <v>0</v>
      </c>
      <c r="AC300">
        <v>0</v>
      </c>
      <c r="AD300">
        <v>0</v>
      </c>
      <c r="AE300">
        <v>0</v>
      </c>
      <c r="AF300">
        <v>0</v>
      </c>
      <c r="AG300" t="s">
        <v>71</v>
      </c>
      <c r="AH300">
        <v>0</v>
      </c>
      <c r="AI300">
        <v>0</v>
      </c>
      <c r="AJ300">
        <v>0</v>
      </c>
      <c r="AK300">
        <v>0</v>
      </c>
      <c r="AL300" t="s">
        <v>146</v>
      </c>
      <c r="AM300" t="s">
        <v>93</v>
      </c>
      <c r="AN300" t="s">
        <v>148</v>
      </c>
      <c r="AO300" t="s">
        <v>147</v>
      </c>
      <c r="AP300">
        <v>0</v>
      </c>
      <c r="AQ300">
        <v>0</v>
      </c>
      <c r="AR300">
        <v>128</v>
      </c>
      <c r="AS300">
        <v>0</v>
      </c>
      <c r="AT300">
        <v>0</v>
      </c>
      <c r="AU300">
        <v>0</v>
      </c>
      <c r="AV300">
        <v>0</v>
      </c>
      <c r="AW300">
        <v>0</v>
      </c>
      <c r="AX300">
        <v>0</v>
      </c>
      <c r="AY300">
        <v>0</v>
      </c>
    </row>
    <row r="301" spans="1:51" x14ac:dyDescent="0.25">
      <c r="A301">
        <v>47</v>
      </c>
      <c r="B301">
        <v>10510</v>
      </c>
      <c r="C301" t="s">
        <v>735</v>
      </c>
      <c r="D301" t="s">
        <v>96</v>
      </c>
      <c r="E301" t="s">
        <v>186</v>
      </c>
      <c r="F301" t="s">
        <v>107</v>
      </c>
      <c r="G301" t="s">
        <v>77</v>
      </c>
      <c r="H301" t="s">
        <v>78</v>
      </c>
      <c r="I301" t="s">
        <v>79</v>
      </c>
      <c r="J301" t="s">
        <v>70</v>
      </c>
      <c r="K301" t="s">
        <v>102</v>
      </c>
      <c r="L301" t="s">
        <v>76</v>
      </c>
      <c r="M301" t="s">
        <v>177</v>
      </c>
      <c r="N301" t="s">
        <v>74</v>
      </c>
      <c r="O301" t="s">
        <v>187</v>
      </c>
      <c r="P301" t="s">
        <v>71</v>
      </c>
      <c r="Q301" t="s">
        <v>71</v>
      </c>
      <c r="R301" t="s">
        <v>71</v>
      </c>
      <c r="S301">
        <v>0</v>
      </c>
      <c r="T301">
        <v>0</v>
      </c>
      <c r="U301" t="s">
        <v>72</v>
      </c>
      <c r="V301" t="s">
        <v>73</v>
      </c>
      <c r="W301">
        <v>0</v>
      </c>
      <c r="X301">
        <v>0</v>
      </c>
      <c r="Y301">
        <v>0</v>
      </c>
      <c r="Z301">
        <v>0</v>
      </c>
      <c r="AA301">
        <v>0</v>
      </c>
      <c r="AB301">
        <v>0</v>
      </c>
      <c r="AC301">
        <v>0</v>
      </c>
      <c r="AD301">
        <v>0</v>
      </c>
      <c r="AE301">
        <v>0</v>
      </c>
      <c r="AF301">
        <v>0</v>
      </c>
      <c r="AG301" t="s">
        <v>71</v>
      </c>
      <c r="AH301">
        <v>0</v>
      </c>
      <c r="AI301">
        <v>0</v>
      </c>
      <c r="AJ301">
        <v>0</v>
      </c>
      <c r="AK301">
        <v>0</v>
      </c>
      <c r="AL301" t="s">
        <v>146</v>
      </c>
      <c r="AM301" t="s">
        <v>93</v>
      </c>
      <c r="AN301" t="s">
        <v>148</v>
      </c>
      <c r="AO301" t="s">
        <v>147</v>
      </c>
      <c r="AP301">
        <v>0</v>
      </c>
      <c r="AQ301">
        <v>0</v>
      </c>
      <c r="AR301">
        <v>128</v>
      </c>
      <c r="AS301">
        <v>0</v>
      </c>
      <c r="AT301">
        <v>0</v>
      </c>
      <c r="AU301">
        <v>0</v>
      </c>
      <c r="AV301">
        <v>0</v>
      </c>
      <c r="AW301">
        <v>0</v>
      </c>
      <c r="AX301">
        <v>0</v>
      </c>
      <c r="AY301">
        <v>0</v>
      </c>
    </row>
    <row r="302" spans="1:51" x14ac:dyDescent="0.25">
      <c r="A302">
        <v>48</v>
      </c>
      <c r="B302">
        <v>10520</v>
      </c>
      <c r="C302" t="s">
        <v>735</v>
      </c>
      <c r="D302" t="s">
        <v>96</v>
      </c>
      <c r="E302" t="s">
        <v>186</v>
      </c>
      <c r="F302" t="s">
        <v>107</v>
      </c>
      <c r="G302" t="s">
        <v>77</v>
      </c>
      <c r="H302" t="s">
        <v>78</v>
      </c>
      <c r="I302" t="s">
        <v>79</v>
      </c>
      <c r="J302" t="s">
        <v>70</v>
      </c>
      <c r="K302" t="s">
        <v>102</v>
      </c>
      <c r="L302" t="s">
        <v>76</v>
      </c>
      <c r="M302" t="s">
        <v>177</v>
      </c>
      <c r="N302" t="s">
        <v>74</v>
      </c>
      <c r="O302" t="s">
        <v>187</v>
      </c>
      <c r="P302" t="s">
        <v>71</v>
      </c>
      <c r="Q302" t="s">
        <v>71</v>
      </c>
      <c r="R302" t="s">
        <v>71</v>
      </c>
      <c r="S302">
        <v>0</v>
      </c>
      <c r="T302">
        <v>0</v>
      </c>
      <c r="U302" t="s">
        <v>72</v>
      </c>
      <c r="V302" t="s">
        <v>73</v>
      </c>
      <c r="W302">
        <v>0</v>
      </c>
      <c r="X302">
        <v>0</v>
      </c>
      <c r="Y302">
        <v>0</v>
      </c>
      <c r="Z302">
        <v>0</v>
      </c>
      <c r="AA302">
        <v>0</v>
      </c>
      <c r="AB302">
        <v>0</v>
      </c>
      <c r="AC302">
        <v>0</v>
      </c>
      <c r="AD302">
        <v>0</v>
      </c>
      <c r="AE302">
        <v>0</v>
      </c>
      <c r="AF302">
        <v>0</v>
      </c>
      <c r="AG302" t="s">
        <v>71</v>
      </c>
      <c r="AH302">
        <v>0</v>
      </c>
      <c r="AI302">
        <v>0</v>
      </c>
      <c r="AJ302">
        <v>0</v>
      </c>
      <c r="AK302">
        <v>0</v>
      </c>
      <c r="AL302" t="s">
        <v>146</v>
      </c>
      <c r="AM302" t="s">
        <v>93</v>
      </c>
      <c r="AN302" t="s">
        <v>148</v>
      </c>
      <c r="AO302" t="s">
        <v>147</v>
      </c>
      <c r="AP302">
        <v>0</v>
      </c>
      <c r="AQ302">
        <v>0</v>
      </c>
      <c r="AR302">
        <v>128</v>
      </c>
      <c r="AS302">
        <v>0</v>
      </c>
      <c r="AT302">
        <v>0</v>
      </c>
      <c r="AU302">
        <v>0</v>
      </c>
      <c r="AV302">
        <v>0</v>
      </c>
      <c r="AW302">
        <v>0</v>
      </c>
      <c r="AX302">
        <v>0</v>
      </c>
      <c r="AY302">
        <v>0</v>
      </c>
    </row>
    <row r="303" spans="1:51" x14ac:dyDescent="0.25">
      <c r="A303">
        <v>48</v>
      </c>
      <c r="B303">
        <v>10530</v>
      </c>
      <c r="C303" t="s">
        <v>735</v>
      </c>
      <c r="D303" t="s">
        <v>96</v>
      </c>
      <c r="E303" t="s">
        <v>186</v>
      </c>
      <c r="F303" t="s">
        <v>107</v>
      </c>
      <c r="G303" t="s">
        <v>77</v>
      </c>
      <c r="H303" t="s">
        <v>78</v>
      </c>
      <c r="I303" t="s">
        <v>79</v>
      </c>
      <c r="J303" t="s">
        <v>119</v>
      </c>
      <c r="K303" t="s">
        <v>102</v>
      </c>
      <c r="L303" t="s">
        <v>76</v>
      </c>
      <c r="M303" t="s">
        <v>177</v>
      </c>
      <c r="N303" t="s">
        <v>74</v>
      </c>
      <c r="O303" t="s">
        <v>187</v>
      </c>
      <c r="P303" t="s">
        <v>71</v>
      </c>
      <c r="Q303" t="s">
        <v>71</v>
      </c>
      <c r="R303" t="s">
        <v>71</v>
      </c>
      <c r="S303">
        <v>0</v>
      </c>
      <c r="T303">
        <v>0</v>
      </c>
      <c r="U303" t="s">
        <v>72</v>
      </c>
      <c r="V303" t="s">
        <v>73</v>
      </c>
      <c r="W303">
        <v>0</v>
      </c>
      <c r="X303">
        <v>0</v>
      </c>
      <c r="Y303">
        <v>0</v>
      </c>
      <c r="Z303">
        <v>0</v>
      </c>
      <c r="AA303">
        <v>0</v>
      </c>
      <c r="AB303">
        <v>0</v>
      </c>
      <c r="AC303">
        <v>0</v>
      </c>
      <c r="AD303">
        <v>0</v>
      </c>
      <c r="AE303">
        <v>0</v>
      </c>
      <c r="AF303">
        <v>0</v>
      </c>
      <c r="AG303" t="s">
        <v>71</v>
      </c>
      <c r="AH303">
        <v>0</v>
      </c>
      <c r="AI303">
        <v>0</v>
      </c>
      <c r="AJ303">
        <v>0</v>
      </c>
      <c r="AK303">
        <v>0</v>
      </c>
      <c r="AL303" t="s">
        <v>146</v>
      </c>
      <c r="AM303" t="s">
        <v>93</v>
      </c>
      <c r="AN303" t="s">
        <v>148</v>
      </c>
      <c r="AO303" t="s">
        <v>147</v>
      </c>
      <c r="AP303">
        <v>0</v>
      </c>
      <c r="AQ303">
        <v>0</v>
      </c>
      <c r="AR303">
        <v>0</v>
      </c>
      <c r="AS303">
        <v>0</v>
      </c>
      <c r="AT303">
        <v>16</v>
      </c>
      <c r="AU303">
        <v>0</v>
      </c>
      <c r="AV303">
        <v>0</v>
      </c>
      <c r="AW303">
        <v>0</v>
      </c>
      <c r="AX303">
        <v>0</v>
      </c>
      <c r="AY303">
        <v>0</v>
      </c>
    </row>
    <row r="304" spans="1:51" x14ac:dyDescent="0.25">
      <c r="A304">
        <v>49</v>
      </c>
      <c r="B304">
        <v>10540</v>
      </c>
      <c r="C304" t="s">
        <v>735</v>
      </c>
      <c r="D304" t="s">
        <v>96</v>
      </c>
      <c r="E304" t="s">
        <v>186</v>
      </c>
      <c r="F304" t="s">
        <v>107</v>
      </c>
      <c r="G304" t="s">
        <v>77</v>
      </c>
      <c r="H304" t="s">
        <v>78</v>
      </c>
      <c r="I304" t="s">
        <v>79</v>
      </c>
      <c r="J304" t="s">
        <v>70</v>
      </c>
      <c r="K304" t="s">
        <v>102</v>
      </c>
      <c r="L304" t="s">
        <v>76</v>
      </c>
      <c r="M304" t="s">
        <v>177</v>
      </c>
      <c r="N304" t="s">
        <v>74</v>
      </c>
      <c r="O304" t="s">
        <v>187</v>
      </c>
      <c r="P304" t="s">
        <v>71</v>
      </c>
      <c r="Q304" t="s">
        <v>71</v>
      </c>
      <c r="R304" t="s">
        <v>71</v>
      </c>
      <c r="S304">
        <v>0</v>
      </c>
      <c r="T304">
        <v>0</v>
      </c>
      <c r="U304" t="s">
        <v>72</v>
      </c>
      <c r="V304" t="s">
        <v>73</v>
      </c>
      <c r="W304">
        <v>0</v>
      </c>
      <c r="X304">
        <v>0</v>
      </c>
      <c r="Y304">
        <v>0</v>
      </c>
      <c r="Z304">
        <v>0</v>
      </c>
      <c r="AA304">
        <v>0</v>
      </c>
      <c r="AB304">
        <v>0</v>
      </c>
      <c r="AC304">
        <v>0</v>
      </c>
      <c r="AD304">
        <v>0</v>
      </c>
      <c r="AE304">
        <v>0</v>
      </c>
      <c r="AF304">
        <v>0</v>
      </c>
      <c r="AG304" t="s">
        <v>71</v>
      </c>
      <c r="AH304">
        <v>0</v>
      </c>
      <c r="AI304">
        <v>0</v>
      </c>
      <c r="AJ304">
        <v>0</v>
      </c>
      <c r="AK304">
        <v>0</v>
      </c>
      <c r="AL304" t="s">
        <v>146</v>
      </c>
      <c r="AM304" t="s">
        <v>93</v>
      </c>
      <c r="AN304" t="s">
        <v>148</v>
      </c>
      <c r="AO304" t="s">
        <v>147</v>
      </c>
      <c r="AP304">
        <v>0</v>
      </c>
      <c r="AQ304">
        <v>0</v>
      </c>
      <c r="AR304">
        <v>128</v>
      </c>
      <c r="AS304">
        <v>0</v>
      </c>
      <c r="AT304">
        <v>0</v>
      </c>
      <c r="AU304">
        <v>0</v>
      </c>
      <c r="AV304">
        <v>0</v>
      </c>
      <c r="AW304">
        <v>0</v>
      </c>
      <c r="AX304">
        <v>0</v>
      </c>
      <c r="AY304">
        <v>0</v>
      </c>
    </row>
    <row r="305" spans="1:51" x14ac:dyDescent="0.25">
      <c r="A305">
        <v>49</v>
      </c>
      <c r="B305">
        <v>10550</v>
      </c>
      <c r="C305" t="s">
        <v>735</v>
      </c>
      <c r="D305" t="s">
        <v>96</v>
      </c>
      <c r="E305" t="s">
        <v>186</v>
      </c>
      <c r="F305" t="s">
        <v>107</v>
      </c>
      <c r="G305" t="s">
        <v>77</v>
      </c>
      <c r="H305" t="s">
        <v>78</v>
      </c>
      <c r="I305" t="s">
        <v>79</v>
      </c>
      <c r="J305" t="s">
        <v>152</v>
      </c>
      <c r="K305" t="s">
        <v>102</v>
      </c>
      <c r="L305" t="s">
        <v>76</v>
      </c>
      <c r="M305" t="s">
        <v>177</v>
      </c>
      <c r="N305" t="s">
        <v>74</v>
      </c>
      <c r="O305" t="s">
        <v>187</v>
      </c>
      <c r="P305" t="s">
        <v>71</v>
      </c>
      <c r="Q305" t="s">
        <v>71</v>
      </c>
      <c r="R305" t="s">
        <v>71</v>
      </c>
      <c r="S305">
        <v>0</v>
      </c>
      <c r="T305">
        <v>0</v>
      </c>
      <c r="U305" t="s">
        <v>72</v>
      </c>
      <c r="V305" t="s">
        <v>73</v>
      </c>
      <c r="W305">
        <v>0</v>
      </c>
      <c r="X305">
        <v>0</v>
      </c>
      <c r="Y305">
        <v>0</v>
      </c>
      <c r="Z305">
        <v>0</v>
      </c>
      <c r="AA305">
        <v>0</v>
      </c>
      <c r="AB305">
        <v>0</v>
      </c>
      <c r="AC305">
        <v>0</v>
      </c>
      <c r="AD305">
        <v>0</v>
      </c>
      <c r="AE305">
        <v>0</v>
      </c>
      <c r="AF305">
        <v>0</v>
      </c>
      <c r="AG305" t="s">
        <v>71</v>
      </c>
      <c r="AH305">
        <v>0</v>
      </c>
      <c r="AI305">
        <v>0</v>
      </c>
      <c r="AJ305">
        <v>0</v>
      </c>
      <c r="AK305">
        <v>0</v>
      </c>
      <c r="AL305" t="s">
        <v>146</v>
      </c>
      <c r="AM305" t="s">
        <v>93</v>
      </c>
      <c r="AN305" t="s">
        <v>148</v>
      </c>
      <c r="AO305" t="s">
        <v>147</v>
      </c>
      <c r="AP305">
        <v>0</v>
      </c>
      <c r="AQ305">
        <v>0</v>
      </c>
      <c r="AR305">
        <v>0</v>
      </c>
      <c r="AS305">
        <v>0</v>
      </c>
      <c r="AT305">
        <v>0</v>
      </c>
      <c r="AU305">
        <v>0</v>
      </c>
      <c r="AV305">
        <v>0</v>
      </c>
      <c r="AW305">
        <v>0</v>
      </c>
      <c r="AX305">
        <v>0</v>
      </c>
      <c r="AY305">
        <v>0</v>
      </c>
    </row>
    <row r="306" spans="1:51" x14ac:dyDescent="0.25">
      <c r="A306">
        <v>50</v>
      </c>
      <c r="B306">
        <v>10560</v>
      </c>
      <c r="C306" t="s">
        <v>735</v>
      </c>
      <c r="D306" t="s">
        <v>96</v>
      </c>
      <c r="E306" t="s">
        <v>186</v>
      </c>
      <c r="F306" t="s">
        <v>107</v>
      </c>
      <c r="G306" t="s">
        <v>77</v>
      </c>
      <c r="H306" t="s">
        <v>78</v>
      </c>
      <c r="I306" t="s">
        <v>79</v>
      </c>
      <c r="J306" t="s">
        <v>119</v>
      </c>
      <c r="K306" t="s">
        <v>102</v>
      </c>
      <c r="L306" t="s">
        <v>76</v>
      </c>
      <c r="M306" t="s">
        <v>177</v>
      </c>
      <c r="N306" t="s">
        <v>74</v>
      </c>
      <c r="O306" t="s">
        <v>187</v>
      </c>
      <c r="P306" t="s">
        <v>71</v>
      </c>
      <c r="Q306" t="s">
        <v>71</v>
      </c>
      <c r="R306" t="s">
        <v>71</v>
      </c>
      <c r="S306">
        <v>0</v>
      </c>
      <c r="T306">
        <v>0</v>
      </c>
      <c r="U306" t="s">
        <v>72</v>
      </c>
      <c r="V306" t="s">
        <v>73</v>
      </c>
      <c r="W306">
        <v>0</v>
      </c>
      <c r="X306">
        <v>0</v>
      </c>
      <c r="Y306">
        <v>0</v>
      </c>
      <c r="Z306">
        <v>0</v>
      </c>
      <c r="AA306">
        <v>0</v>
      </c>
      <c r="AB306">
        <v>0</v>
      </c>
      <c r="AC306">
        <v>0</v>
      </c>
      <c r="AD306">
        <v>0</v>
      </c>
      <c r="AE306">
        <v>0</v>
      </c>
      <c r="AF306">
        <v>0</v>
      </c>
      <c r="AG306" t="s">
        <v>71</v>
      </c>
      <c r="AH306">
        <v>0</v>
      </c>
      <c r="AI306">
        <v>0</v>
      </c>
      <c r="AJ306">
        <v>0</v>
      </c>
      <c r="AK306">
        <v>0</v>
      </c>
      <c r="AL306" t="s">
        <v>146</v>
      </c>
      <c r="AM306" t="s">
        <v>93</v>
      </c>
      <c r="AN306" t="s">
        <v>148</v>
      </c>
      <c r="AO306" t="s">
        <v>147</v>
      </c>
      <c r="AP306">
        <v>0</v>
      </c>
      <c r="AQ306">
        <v>0</v>
      </c>
      <c r="AR306">
        <v>0</v>
      </c>
      <c r="AS306">
        <v>0</v>
      </c>
      <c r="AT306">
        <v>16</v>
      </c>
      <c r="AU306">
        <v>0</v>
      </c>
      <c r="AV306">
        <v>0</v>
      </c>
      <c r="AW306">
        <v>0</v>
      </c>
      <c r="AX306">
        <v>0</v>
      </c>
      <c r="AY306">
        <v>0</v>
      </c>
    </row>
    <row r="307" spans="1:51" x14ac:dyDescent="0.25">
      <c r="A307">
        <v>50</v>
      </c>
      <c r="B307">
        <v>10570</v>
      </c>
      <c r="C307" t="s">
        <v>735</v>
      </c>
      <c r="D307" t="s">
        <v>96</v>
      </c>
      <c r="E307" t="s">
        <v>186</v>
      </c>
      <c r="F307" t="s">
        <v>107</v>
      </c>
      <c r="G307" t="s">
        <v>77</v>
      </c>
      <c r="H307" t="s">
        <v>78</v>
      </c>
      <c r="I307" t="s">
        <v>79</v>
      </c>
      <c r="J307" t="s">
        <v>150</v>
      </c>
      <c r="K307" t="s">
        <v>102</v>
      </c>
      <c r="L307" t="s">
        <v>76</v>
      </c>
      <c r="M307" t="s">
        <v>149</v>
      </c>
      <c r="N307" t="s">
        <v>74</v>
      </c>
      <c r="O307" t="s">
        <v>187</v>
      </c>
      <c r="P307" t="s">
        <v>71</v>
      </c>
      <c r="Q307" t="s">
        <v>71</v>
      </c>
      <c r="R307" t="s">
        <v>71</v>
      </c>
      <c r="S307">
        <v>0</v>
      </c>
      <c r="T307">
        <v>0</v>
      </c>
      <c r="U307" t="s">
        <v>72</v>
      </c>
      <c r="V307" t="s">
        <v>73</v>
      </c>
      <c r="W307">
        <v>0</v>
      </c>
      <c r="X307">
        <v>0</v>
      </c>
      <c r="Y307">
        <v>0</v>
      </c>
      <c r="Z307">
        <v>0</v>
      </c>
      <c r="AA307">
        <v>0</v>
      </c>
      <c r="AB307">
        <v>0</v>
      </c>
      <c r="AC307">
        <v>0</v>
      </c>
      <c r="AD307">
        <v>0</v>
      </c>
      <c r="AE307">
        <v>0</v>
      </c>
      <c r="AF307">
        <v>0</v>
      </c>
      <c r="AG307" t="s">
        <v>71</v>
      </c>
      <c r="AH307">
        <v>0</v>
      </c>
      <c r="AI307">
        <v>0</v>
      </c>
      <c r="AJ307">
        <v>0</v>
      </c>
      <c r="AK307">
        <v>0</v>
      </c>
      <c r="AL307" t="s">
        <v>146</v>
      </c>
      <c r="AM307" t="s">
        <v>93</v>
      </c>
      <c r="AN307" t="s">
        <v>148</v>
      </c>
      <c r="AO307" t="s">
        <v>147</v>
      </c>
      <c r="AP307">
        <v>0</v>
      </c>
      <c r="AQ307">
        <v>0</v>
      </c>
      <c r="AR307">
        <v>0</v>
      </c>
      <c r="AS307">
        <v>0</v>
      </c>
      <c r="AT307">
        <v>128</v>
      </c>
      <c r="AU307">
        <v>0</v>
      </c>
      <c r="AV307">
        <v>0</v>
      </c>
      <c r="AW307">
        <v>0</v>
      </c>
      <c r="AX307">
        <v>0</v>
      </c>
      <c r="AY307">
        <v>0</v>
      </c>
    </row>
    <row r="308" spans="1:51" x14ac:dyDescent="0.25">
      <c r="A308">
        <v>51</v>
      </c>
      <c r="B308">
        <v>10580</v>
      </c>
      <c r="C308" t="s">
        <v>735</v>
      </c>
      <c r="D308" t="s">
        <v>96</v>
      </c>
      <c r="E308" t="s">
        <v>186</v>
      </c>
      <c r="F308" t="s">
        <v>107</v>
      </c>
      <c r="G308" t="s">
        <v>77</v>
      </c>
      <c r="H308" t="s">
        <v>78</v>
      </c>
      <c r="I308" t="s">
        <v>79</v>
      </c>
      <c r="J308" t="s">
        <v>150</v>
      </c>
      <c r="K308" t="s">
        <v>102</v>
      </c>
      <c r="L308" t="s">
        <v>76</v>
      </c>
      <c r="M308" t="s">
        <v>177</v>
      </c>
      <c r="N308" t="s">
        <v>74</v>
      </c>
      <c r="O308" t="s">
        <v>187</v>
      </c>
      <c r="P308" t="s">
        <v>71</v>
      </c>
      <c r="Q308" t="s">
        <v>71</v>
      </c>
      <c r="R308" t="s">
        <v>71</v>
      </c>
      <c r="S308">
        <v>0</v>
      </c>
      <c r="T308">
        <v>0</v>
      </c>
      <c r="U308" t="s">
        <v>72</v>
      </c>
      <c r="V308" t="s">
        <v>73</v>
      </c>
      <c r="W308">
        <v>0</v>
      </c>
      <c r="X308">
        <v>0</v>
      </c>
      <c r="Y308">
        <v>1</v>
      </c>
      <c r="Z308">
        <v>10</v>
      </c>
      <c r="AA308">
        <v>1</v>
      </c>
      <c r="AB308">
        <v>10</v>
      </c>
      <c r="AC308">
        <v>1</v>
      </c>
      <c r="AD308">
        <v>10</v>
      </c>
      <c r="AE308">
        <v>0</v>
      </c>
      <c r="AF308">
        <v>0</v>
      </c>
      <c r="AG308" t="s">
        <v>71</v>
      </c>
      <c r="AH308">
        <v>0</v>
      </c>
      <c r="AI308">
        <v>0</v>
      </c>
      <c r="AJ308">
        <v>0</v>
      </c>
      <c r="AK308">
        <v>0</v>
      </c>
      <c r="AL308" t="s">
        <v>146</v>
      </c>
      <c r="AM308" t="s">
        <v>93</v>
      </c>
      <c r="AN308" t="s">
        <v>148</v>
      </c>
      <c r="AO308" t="s">
        <v>147</v>
      </c>
      <c r="AP308">
        <v>0</v>
      </c>
      <c r="AQ308">
        <v>0</v>
      </c>
      <c r="AR308">
        <v>0</v>
      </c>
      <c r="AS308">
        <v>0</v>
      </c>
      <c r="AT308">
        <v>145</v>
      </c>
      <c r="AU308">
        <v>0</v>
      </c>
      <c r="AV308">
        <v>0</v>
      </c>
      <c r="AW308">
        <v>0</v>
      </c>
      <c r="AX308">
        <v>0</v>
      </c>
      <c r="AY308">
        <v>0</v>
      </c>
    </row>
    <row r="309" spans="1:51" x14ac:dyDescent="0.25">
      <c r="A309">
        <v>51</v>
      </c>
      <c r="B309">
        <v>10590</v>
      </c>
      <c r="C309" t="s">
        <v>735</v>
      </c>
      <c r="D309" t="s">
        <v>96</v>
      </c>
      <c r="E309" t="s">
        <v>186</v>
      </c>
      <c r="F309" t="s">
        <v>107</v>
      </c>
      <c r="G309" t="s">
        <v>77</v>
      </c>
      <c r="H309" t="s">
        <v>78</v>
      </c>
      <c r="I309" t="s">
        <v>79</v>
      </c>
      <c r="J309" t="s">
        <v>150</v>
      </c>
      <c r="K309" t="s">
        <v>102</v>
      </c>
      <c r="L309" t="s">
        <v>76</v>
      </c>
      <c r="M309" t="s">
        <v>177</v>
      </c>
      <c r="N309" t="s">
        <v>74</v>
      </c>
      <c r="O309" t="s">
        <v>187</v>
      </c>
      <c r="P309" t="s">
        <v>71</v>
      </c>
      <c r="Q309" t="s">
        <v>71</v>
      </c>
      <c r="R309" t="s">
        <v>71</v>
      </c>
      <c r="S309">
        <v>0</v>
      </c>
      <c r="T309">
        <v>0</v>
      </c>
      <c r="U309" t="s">
        <v>72</v>
      </c>
      <c r="V309" t="s">
        <v>73</v>
      </c>
      <c r="W309">
        <v>0</v>
      </c>
      <c r="X309">
        <v>0</v>
      </c>
      <c r="Y309">
        <v>0</v>
      </c>
      <c r="Z309">
        <v>0</v>
      </c>
      <c r="AA309">
        <v>0</v>
      </c>
      <c r="AB309">
        <v>0</v>
      </c>
      <c r="AC309">
        <v>0</v>
      </c>
      <c r="AD309">
        <v>0</v>
      </c>
      <c r="AE309">
        <v>0</v>
      </c>
      <c r="AF309">
        <v>0</v>
      </c>
      <c r="AG309" t="s">
        <v>71</v>
      </c>
      <c r="AH309">
        <v>0</v>
      </c>
      <c r="AI309">
        <v>0</v>
      </c>
      <c r="AJ309">
        <v>0</v>
      </c>
      <c r="AK309">
        <v>0</v>
      </c>
      <c r="AL309" t="s">
        <v>146</v>
      </c>
      <c r="AM309" t="s">
        <v>93</v>
      </c>
      <c r="AN309" t="s">
        <v>148</v>
      </c>
      <c r="AO309" t="s">
        <v>147</v>
      </c>
      <c r="AP309">
        <v>0</v>
      </c>
      <c r="AQ309">
        <v>0</v>
      </c>
      <c r="AR309">
        <v>0</v>
      </c>
      <c r="AS309">
        <v>0</v>
      </c>
      <c r="AT309">
        <v>144</v>
      </c>
      <c r="AU309">
        <v>0</v>
      </c>
      <c r="AV309">
        <v>0</v>
      </c>
      <c r="AW309">
        <v>0</v>
      </c>
      <c r="AX309">
        <v>0</v>
      </c>
      <c r="AY309">
        <v>0</v>
      </c>
    </row>
    <row r="310" spans="1:51" x14ac:dyDescent="0.25">
      <c r="A310">
        <v>52</v>
      </c>
      <c r="B310">
        <v>10600</v>
      </c>
      <c r="C310" t="s">
        <v>735</v>
      </c>
      <c r="D310" t="s">
        <v>96</v>
      </c>
      <c r="E310" t="s">
        <v>186</v>
      </c>
      <c r="F310" t="s">
        <v>107</v>
      </c>
      <c r="G310" t="s">
        <v>77</v>
      </c>
      <c r="H310" t="s">
        <v>78</v>
      </c>
      <c r="I310" t="s">
        <v>79</v>
      </c>
      <c r="J310" t="s">
        <v>152</v>
      </c>
      <c r="K310" t="s">
        <v>102</v>
      </c>
      <c r="L310" t="s">
        <v>76</v>
      </c>
      <c r="M310" t="s">
        <v>177</v>
      </c>
      <c r="N310" t="s">
        <v>74</v>
      </c>
      <c r="O310" t="s">
        <v>187</v>
      </c>
      <c r="P310" t="s">
        <v>71</v>
      </c>
      <c r="Q310" t="s">
        <v>71</v>
      </c>
      <c r="R310" t="s">
        <v>71</v>
      </c>
      <c r="S310">
        <v>0</v>
      </c>
      <c r="T310">
        <v>0</v>
      </c>
      <c r="U310" t="s">
        <v>72</v>
      </c>
      <c r="V310" t="s">
        <v>73</v>
      </c>
      <c r="W310">
        <v>0</v>
      </c>
      <c r="X310">
        <v>0</v>
      </c>
      <c r="Y310">
        <v>0</v>
      </c>
      <c r="Z310">
        <v>0</v>
      </c>
      <c r="AA310">
        <v>0</v>
      </c>
      <c r="AB310">
        <v>0</v>
      </c>
      <c r="AC310">
        <v>0</v>
      </c>
      <c r="AD310">
        <v>0</v>
      </c>
      <c r="AE310">
        <v>0</v>
      </c>
      <c r="AF310">
        <v>0</v>
      </c>
      <c r="AG310" t="s">
        <v>71</v>
      </c>
      <c r="AH310">
        <v>0</v>
      </c>
      <c r="AI310">
        <v>0</v>
      </c>
      <c r="AJ310">
        <v>0</v>
      </c>
      <c r="AK310">
        <v>0</v>
      </c>
      <c r="AL310" t="s">
        <v>146</v>
      </c>
      <c r="AM310" t="s">
        <v>93</v>
      </c>
      <c r="AN310" t="s">
        <v>148</v>
      </c>
      <c r="AO310" t="s">
        <v>147</v>
      </c>
      <c r="AP310">
        <v>0</v>
      </c>
      <c r="AQ310">
        <v>0</v>
      </c>
      <c r="AR310">
        <v>0</v>
      </c>
      <c r="AS310">
        <v>0</v>
      </c>
      <c r="AT310">
        <v>144</v>
      </c>
      <c r="AU310">
        <v>0</v>
      </c>
      <c r="AV310">
        <v>0</v>
      </c>
      <c r="AW310">
        <v>0</v>
      </c>
      <c r="AX310">
        <v>0</v>
      </c>
      <c r="AY310">
        <v>0</v>
      </c>
    </row>
    <row r="311" spans="1:51" x14ac:dyDescent="0.25">
      <c r="A311">
        <v>52</v>
      </c>
      <c r="B311">
        <v>10610</v>
      </c>
      <c r="C311" t="s">
        <v>735</v>
      </c>
      <c r="D311" t="s">
        <v>96</v>
      </c>
      <c r="E311" t="s">
        <v>186</v>
      </c>
      <c r="F311" t="s">
        <v>107</v>
      </c>
      <c r="G311" t="s">
        <v>77</v>
      </c>
      <c r="H311" t="s">
        <v>78</v>
      </c>
      <c r="I311" t="s">
        <v>79</v>
      </c>
      <c r="J311" t="s">
        <v>150</v>
      </c>
      <c r="K311" t="s">
        <v>102</v>
      </c>
      <c r="L311" t="s">
        <v>76</v>
      </c>
      <c r="M311" t="s">
        <v>177</v>
      </c>
      <c r="N311" t="s">
        <v>74</v>
      </c>
      <c r="O311" t="s">
        <v>187</v>
      </c>
      <c r="P311" t="s">
        <v>71</v>
      </c>
      <c r="Q311" t="s">
        <v>71</v>
      </c>
      <c r="R311" t="s">
        <v>71</v>
      </c>
      <c r="S311">
        <v>0</v>
      </c>
      <c r="T311">
        <v>0</v>
      </c>
      <c r="U311" t="s">
        <v>72</v>
      </c>
      <c r="V311" t="s">
        <v>73</v>
      </c>
      <c r="W311">
        <v>0</v>
      </c>
      <c r="X311">
        <v>0</v>
      </c>
      <c r="Y311">
        <v>0</v>
      </c>
      <c r="Z311">
        <v>0</v>
      </c>
      <c r="AA311">
        <v>0</v>
      </c>
      <c r="AB311">
        <v>0</v>
      </c>
      <c r="AC311">
        <v>0</v>
      </c>
      <c r="AD311">
        <v>0</v>
      </c>
      <c r="AE311">
        <v>0</v>
      </c>
      <c r="AF311">
        <v>0</v>
      </c>
      <c r="AG311" t="s">
        <v>71</v>
      </c>
      <c r="AH311">
        <v>0</v>
      </c>
      <c r="AI311">
        <v>0</v>
      </c>
      <c r="AJ311">
        <v>0</v>
      </c>
      <c r="AK311">
        <v>0</v>
      </c>
      <c r="AL311" t="s">
        <v>146</v>
      </c>
      <c r="AM311" t="s">
        <v>93</v>
      </c>
      <c r="AN311" t="s">
        <v>148</v>
      </c>
      <c r="AO311" t="s">
        <v>147</v>
      </c>
      <c r="AP311">
        <v>0</v>
      </c>
      <c r="AQ311">
        <v>0</v>
      </c>
      <c r="AR311">
        <v>0</v>
      </c>
      <c r="AS311">
        <v>0</v>
      </c>
      <c r="AT311">
        <v>144</v>
      </c>
      <c r="AU311">
        <v>0</v>
      </c>
      <c r="AV311">
        <v>0</v>
      </c>
      <c r="AW311">
        <v>0</v>
      </c>
      <c r="AX311">
        <v>0</v>
      </c>
      <c r="AY311">
        <v>0</v>
      </c>
    </row>
    <row r="312" spans="1:51" x14ac:dyDescent="0.25">
      <c r="A312">
        <v>53</v>
      </c>
      <c r="B312">
        <v>10620</v>
      </c>
      <c r="C312" t="s">
        <v>735</v>
      </c>
      <c r="D312" t="s">
        <v>96</v>
      </c>
      <c r="E312" t="s">
        <v>186</v>
      </c>
      <c r="F312" t="s">
        <v>107</v>
      </c>
      <c r="G312" t="s">
        <v>101</v>
      </c>
      <c r="H312" t="s">
        <v>78</v>
      </c>
      <c r="I312" t="s">
        <v>79</v>
      </c>
      <c r="J312" t="s">
        <v>70</v>
      </c>
      <c r="K312" t="s">
        <v>102</v>
      </c>
      <c r="L312" t="s">
        <v>76</v>
      </c>
      <c r="M312" t="s">
        <v>177</v>
      </c>
      <c r="N312" t="s">
        <v>74</v>
      </c>
      <c r="O312" t="s">
        <v>187</v>
      </c>
      <c r="P312" t="s">
        <v>71</v>
      </c>
      <c r="Q312" t="s">
        <v>71</v>
      </c>
      <c r="R312" t="s">
        <v>71</v>
      </c>
      <c r="S312">
        <v>0</v>
      </c>
      <c r="T312">
        <v>0</v>
      </c>
      <c r="U312" t="s">
        <v>72</v>
      </c>
      <c r="V312" t="s">
        <v>73</v>
      </c>
      <c r="W312">
        <v>0</v>
      </c>
      <c r="X312">
        <v>0</v>
      </c>
      <c r="Y312">
        <v>0</v>
      </c>
      <c r="Z312">
        <v>0</v>
      </c>
      <c r="AA312">
        <v>0</v>
      </c>
      <c r="AB312">
        <v>0</v>
      </c>
      <c r="AC312">
        <v>0</v>
      </c>
      <c r="AD312">
        <v>0</v>
      </c>
      <c r="AE312">
        <v>0</v>
      </c>
      <c r="AF312">
        <v>0</v>
      </c>
      <c r="AG312" t="s">
        <v>71</v>
      </c>
      <c r="AH312">
        <v>0</v>
      </c>
      <c r="AI312">
        <v>0</v>
      </c>
      <c r="AJ312">
        <v>0</v>
      </c>
      <c r="AK312">
        <v>0</v>
      </c>
      <c r="AL312" t="s">
        <v>146</v>
      </c>
      <c r="AM312" t="s">
        <v>93</v>
      </c>
      <c r="AN312" t="s">
        <v>148</v>
      </c>
      <c r="AO312" t="s">
        <v>147</v>
      </c>
      <c r="AP312">
        <v>0</v>
      </c>
      <c r="AQ312">
        <v>0</v>
      </c>
      <c r="AR312">
        <v>130</v>
      </c>
      <c r="AS312">
        <v>0</v>
      </c>
      <c r="AT312">
        <v>0</v>
      </c>
      <c r="AU312">
        <v>0</v>
      </c>
      <c r="AV312">
        <v>0</v>
      </c>
      <c r="AW312">
        <v>0</v>
      </c>
      <c r="AX312">
        <v>0</v>
      </c>
      <c r="AY312">
        <v>0</v>
      </c>
    </row>
    <row r="313" spans="1:51" x14ac:dyDescent="0.25">
      <c r="A313">
        <v>53</v>
      </c>
      <c r="B313">
        <v>10630</v>
      </c>
      <c r="C313" t="s">
        <v>735</v>
      </c>
      <c r="D313" t="s">
        <v>96</v>
      </c>
      <c r="E313" t="s">
        <v>186</v>
      </c>
      <c r="F313" t="s">
        <v>107</v>
      </c>
      <c r="G313" t="s">
        <v>101</v>
      </c>
      <c r="H313" t="s">
        <v>78</v>
      </c>
      <c r="I313" t="s">
        <v>79</v>
      </c>
      <c r="J313" t="s">
        <v>150</v>
      </c>
      <c r="K313" t="s">
        <v>102</v>
      </c>
      <c r="L313" t="s">
        <v>76</v>
      </c>
      <c r="M313" t="s">
        <v>177</v>
      </c>
      <c r="N313" t="s">
        <v>74</v>
      </c>
      <c r="O313" t="s">
        <v>187</v>
      </c>
      <c r="P313" t="s">
        <v>71</v>
      </c>
      <c r="Q313" t="s">
        <v>71</v>
      </c>
      <c r="R313" t="s">
        <v>71</v>
      </c>
      <c r="S313">
        <v>0</v>
      </c>
      <c r="T313">
        <v>0</v>
      </c>
      <c r="U313" t="s">
        <v>72</v>
      </c>
      <c r="V313" t="s">
        <v>73</v>
      </c>
      <c r="W313">
        <v>0</v>
      </c>
      <c r="X313">
        <v>0</v>
      </c>
      <c r="Y313">
        <v>0</v>
      </c>
      <c r="Z313">
        <v>0</v>
      </c>
      <c r="AA313">
        <v>0</v>
      </c>
      <c r="AB313">
        <v>0</v>
      </c>
      <c r="AC313">
        <v>0</v>
      </c>
      <c r="AD313">
        <v>0</v>
      </c>
      <c r="AE313">
        <v>0</v>
      </c>
      <c r="AF313">
        <v>0</v>
      </c>
      <c r="AG313" t="s">
        <v>71</v>
      </c>
      <c r="AH313">
        <v>0</v>
      </c>
      <c r="AI313">
        <v>0</v>
      </c>
      <c r="AJ313">
        <v>0</v>
      </c>
      <c r="AK313">
        <v>0</v>
      </c>
      <c r="AL313" t="s">
        <v>146</v>
      </c>
      <c r="AM313" t="s">
        <v>93</v>
      </c>
      <c r="AN313" t="s">
        <v>148</v>
      </c>
      <c r="AO313" t="s">
        <v>147</v>
      </c>
      <c r="AP313">
        <v>0</v>
      </c>
      <c r="AQ313">
        <v>0</v>
      </c>
      <c r="AR313">
        <v>130</v>
      </c>
      <c r="AS313">
        <v>0</v>
      </c>
      <c r="AT313">
        <v>0</v>
      </c>
      <c r="AU313">
        <v>0</v>
      </c>
      <c r="AV313">
        <v>0</v>
      </c>
      <c r="AW313">
        <v>0</v>
      </c>
      <c r="AX313">
        <v>0</v>
      </c>
      <c r="AY313">
        <v>0</v>
      </c>
    </row>
    <row r="314" spans="1:51" x14ac:dyDescent="0.25">
      <c r="A314">
        <v>54</v>
      </c>
      <c r="B314">
        <v>10640</v>
      </c>
      <c r="C314" t="s">
        <v>735</v>
      </c>
      <c r="D314" t="s">
        <v>96</v>
      </c>
      <c r="E314" t="s">
        <v>186</v>
      </c>
      <c r="F314" t="s">
        <v>107</v>
      </c>
      <c r="G314" t="s">
        <v>184</v>
      </c>
      <c r="H314" t="s">
        <v>78</v>
      </c>
      <c r="I314" t="s">
        <v>79</v>
      </c>
      <c r="J314" t="s">
        <v>70</v>
      </c>
      <c r="K314" t="s">
        <v>102</v>
      </c>
      <c r="L314" t="s">
        <v>76</v>
      </c>
      <c r="M314" t="s">
        <v>177</v>
      </c>
      <c r="N314" t="s">
        <v>74</v>
      </c>
      <c r="O314" t="s">
        <v>187</v>
      </c>
      <c r="P314" t="s">
        <v>71</v>
      </c>
      <c r="Q314" t="s">
        <v>71</v>
      </c>
      <c r="R314" t="s">
        <v>71</v>
      </c>
      <c r="S314">
        <v>0</v>
      </c>
      <c r="T314">
        <v>0</v>
      </c>
      <c r="U314" t="s">
        <v>72</v>
      </c>
      <c r="V314" t="s">
        <v>73</v>
      </c>
      <c r="W314">
        <v>0</v>
      </c>
      <c r="X314">
        <v>0</v>
      </c>
      <c r="Y314">
        <v>0</v>
      </c>
      <c r="Z314">
        <v>0</v>
      </c>
      <c r="AA314">
        <v>0</v>
      </c>
      <c r="AB314">
        <v>0</v>
      </c>
      <c r="AC314">
        <v>0</v>
      </c>
      <c r="AD314">
        <v>0</v>
      </c>
      <c r="AE314">
        <v>0</v>
      </c>
      <c r="AF314">
        <v>0</v>
      </c>
      <c r="AG314" t="s">
        <v>71</v>
      </c>
      <c r="AH314">
        <v>0</v>
      </c>
      <c r="AI314">
        <v>0</v>
      </c>
      <c r="AJ314">
        <v>0</v>
      </c>
      <c r="AK314">
        <v>0</v>
      </c>
      <c r="AL314" t="s">
        <v>146</v>
      </c>
      <c r="AM314" t="s">
        <v>93</v>
      </c>
      <c r="AN314" t="s">
        <v>148</v>
      </c>
      <c r="AO314" t="s">
        <v>147</v>
      </c>
      <c r="AP314">
        <v>0</v>
      </c>
      <c r="AQ314">
        <v>0</v>
      </c>
      <c r="AR314">
        <v>130</v>
      </c>
      <c r="AS314">
        <v>0</v>
      </c>
      <c r="AT314">
        <v>0</v>
      </c>
      <c r="AU314">
        <v>0</v>
      </c>
      <c r="AV314">
        <v>0</v>
      </c>
      <c r="AW314">
        <v>0</v>
      </c>
      <c r="AX314">
        <v>0</v>
      </c>
      <c r="AY314">
        <v>0</v>
      </c>
    </row>
    <row r="315" spans="1:51" x14ac:dyDescent="0.25">
      <c r="A315">
        <v>54</v>
      </c>
      <c r="B315">
        <v>10650</v>
      </c>
      <c r="C315" t="s">
        <v>735</v>
      </c>
      <c r="D315" t="s">
        <v>96</v>
      </c>
      <c r="E315" t="s">
        <v>186</v>
      </c>
      <c r="F315" t="s">
        <v>107</v>
      </c>
      <c r="G315" t="s">
        <v>184</v>
      </c>
      <c r="H315" t="s">
        <v>78</v>
      </c>
      <c r="I315" t="s">
        <v>79</v>
      </c>
      <c r="J315" t="s">
        <v>150</v>
      </c>
      <c r="K315" t="s">
        <v>102</v>
      </c>
      <c r="L315" t="s">
        <v>76</v>
      </c>
      <c r="M315" t="s">
        <v>177</v>
      </c>
      <c r="N315" t="s">
        <v>74</v>
      </c>
      <c r="O315" t="s">
        <v>187</v>
      </c>
      <c r="P315" t="s">
        <v>71</v>
      </c>
      <c r="Q315" t="s">
        <v>71</v>
      </c>
      <c r="R315" t="s">
        <v>71</v>
      </c>
      <c r="S315">
        <v>0</v>
      </c>
      <c r="T315">
        <v>0</v>
      </c>
      <c r="U315" t="s">
        <v>72</v>
      </c>
      <c r="V315" t="s">
        <v>73</v>
      </c>
      <c r="W315">
        <v>0</v>
      </c>
      <c r="X315">
        <v>0</v>
      </c>
      <c r="Y315">
        <v>0</v>
      </c>
      <c r="Z315">
        <v>0</v>
      </c>
      <c r="AA315">
        <v>0</v>
      </c>
      <c r="AB315">
        <v>0</v>
      </c>
      <c r="AC315">
        <v>0</v>
      </c>
      <c r="AD315">
        <v>0</v>
      </c>
      <c r="AE315">
        <v>0</v>
      </c>
      <c r="AF315">
        <v>0</v>
      </c>
      <c r="AG315" t="s">
        <v>71</v>
      </c>
      <c r="AH315">
        <v>0</v>
      </c>
      <c r="AI315">
        <v>0</v>
      </c>
      <c r="AJ315">
        <v>0</v>
      </c>
      <c r="AK315">
        <v>0</v>
      </c>
      <c r="AL315" t="s">
        <v>146</v>
      </c>
      <c r="AM315" t="s">
        <v>93</v>
      </c>
      <c r="AN315" t="s">
        <v>148</v>
      </c>
      <c r="AO315" t="s">
        <v>147</v>
      </c>
      <c r="AP315">
        <v>0</v>
      </c>
      <c r="AQ315">
        <v>0</v>
      </c>
      <c r="AR315">
        <v>130</v>
      </c>
      <c r="AS315">
        <v>0</v>
      </c>
      <c r="AT315">
        <v>0</v>
      </c>
      <c r="AU315">
        <v>0</v>
      </c>
      <c r="AV315">
        <v>0</v>
      </c>
      <c r="AW315">
        <v>0</v>
      </c>
      <c r="AX315">
        <v>0</v>
      </c>
      <c r="AY315">
        <v>0</v>
      </c>
    </row>
    <row r="316" spans="1:51" x14ac:dyDescent="0.25">
      <c r="A316">
        <v>55</v>
      </c>
      <c r="B316">
        <v>10660</v>
      </c>
      <c r="C316" t="s">
        <v>735</v>
      </c>
      <c r="D316" t="s">
        <v>96</v>
      </c>
      <c r="E316" t="s">
        <v>186</v>
      </c>
      <c r="F316" t="s">
        <v>107</v>
      </c>
      <c r="G316" t="s">
        <v>185</v>
      </c>
      <c r="H316" t="s">
        <v>78</v>
      </c>
      <c r="I316" t="s">
        <v>79</v>
      </c>
      <c r="J316" t="s">
        <v>70</v>
      </c>
      <c r="K316" t="s">
        <v>102</v>
      </c>
      <c r="L316" t="s">
        <v>76</v>
      </c>
      <c r="M316" t="s">
        <v>177</v>
      </c>
      <c r="N316" t="s">
        <v>74</v>
      </c>
      <c r="O316" t="s">
        <v>187</v>
      </c>
      <c r="P316" t="s">
        <v>71</v>
      </c>
      <c r="Q316" t="s">
        <v>71</v>
      </c>
      <c r="R316" t="s">
        <v>71</v>
      </c>
      <c r="S316">
        <v>0</v>
      </c>
      <c r="T316">
        <v>0</v>
      </c>
      <c r="U316" t="s">
        <v>72</v>
      </c>
      <c r="V316" t="s">
        <v>73</v>
      </c>
      <c r="W316">
        <v>0</v>
      </c>
      <c r="X316">
        <v>0</v>
      </c>
      <c r="Y316">
        <v>0</v>
      </c>
      <c r="Z316">
        <v>0</v>
      </c>
      <c r="AA316">
        <v>0</v>
      </c>
      <c r="AB316">
        <v>0</v>
      </c>
      <c r="AC316">
        <v>0</v>
      </c>
      <c r="AD316">
        <v>0</v>
      </c>
      <c r="AE316">
        <v>0</v>
      </c>
      <c r="AF316">
        <v>0</v>
      </c>
      <c r="AG316" t="s">
        <v>71</v>
      </c>
      <c r="AH316">
        <v>0</v>
      </c>
      <c r="AI316">
        <v>0</v>
      </c>
      <c r="AJ316">
        <v>0</v>
      </c>
      <c r="AK316">
        <v>0</v>
      </c>
      <c r="AL316" t="s">
        <v>146</v>
      </c>
      <c r="AM316" t="s">
        <v>93</v>
      </c>
      <c r="AN316" t="s">
        <v>148</v>
      </c>
      <c r="AO316" t="s">
        <v>147</v>
      </c>
      <c r="AP316">
        <v>0</v>
      </c>
      <c r="AQ316">
        <v>0</v>
      </c>
      <c r="AR316">
        <v>130</v>
      </c>
      <c r="AS316">
        <v>0</v>
      </c>
      <c r="AT316">
        <v>0</v>
      </c>
      <c r="AU316">
        <v>0</v>
      </c>
      <c r="AV316">
        <v>0</v>
      </c>
      <c r="AW316">
        <v>0</v>
      </c>
      <c r="AX316">
        <v>0</v>
      </c>
      <c r="AY316">
        <v>0</v>
      </c>
    </row>
    <row r="317" spans="1:51" x14ac:dyDescent="0.25">
      <c r="A317">
        <v>55</v>
      </c>
      <c r="B317">
        <v>10670</v>
      </c>
      <c r="C317" t="s">
        <v>735</v>
      </c>
      <c r="D317" t="s">
        <v>96</v>
      </c>
      <c r="E317" t="s">
        <v>186</v>
      </c>
      <c r="F317" t="s">
        <v>107</v>
      </c>
      <c r="G317" t="s">
        <v>185</v>
      </c>
      <c r="H317" t="s">
        <v>78</v>
      </c>
      <c r="I317" t="s">
        <v>79</v>
      </c>
      <c r="J317" t="s">
        <v>150</v>
      </c>
      <c r="K317" t="s">
        <v>102</v>
      </c>
      <c r="L317" t="s">
        <v>76</v>
      </c>
      <c r="M317" t="s">
        <v>177</v>
      </c>
      <c r="N317" t="s">
        <v>74</v>
      </c>
      <c r="O317" t="s">
        <v>187</v>
      </c>
      <c r="P317" t="s">
        <v>71</v>
      </c>
      <c r="Q317" t="s">
        <v>71</v>
      </c>
      <c r="R317" t="s">
        <v>71</v>
      </c>
      <c r="S317">
        <v>0</v>
      </c>
      <c r="T317">
        <v>0</v>
      </c>
      <c r="U317" t="s">
        <v>72</v>
      </c>
      <c r="V317" t="s">
        <v>73</v>
      </c>
      <c r="W317">
        <v>0</v>
      </c>
      <c r="X317">
        <v>0</v>
      </c>
      <c r="Y317">
        <v>0</v>
      </c>
      <c r="Z317">
        <v>0</v>
      </c>
      <c r="AA317">
        <v>0</v>
      </c>
      <c r="AB317">
        <v>0</v>
      </c>
      <c r="AC317">
        <v>0</v>
      </c>
      <c r="AD317">
        <v>0</v>
      </c>
      <c r="AE317">
        <v>0</v>
      </c>
      <c r="AF317">
        <v>0</v>
      </c>
      <c r="AG317" t="s">
        <v>71</v>
      </c>
      <c r="AH317">
        <v>0</v>
      </c>
      <c r="AI317">
        <v>0</v>
      </c>
      <c r="AJ317">
        <v>0</v>
      </c>
      <c r="AK317">
        <v>0</v>
      </c>
      <c r="AL317" t="s">
        <v>146</v>
      </c>
      <c r="AM317" t="s">
        <v>93</v>
      </c>
      <c r="AN317" t="s">
        <v>148</v>
      </c>
      <c r="AO317" t="s">
        <v>147</v>
      </c>
      <c r="AP317">
        <v>0</v>
      </c>
      <c r="AQ317">
        <v>0</v>
      </c>
      <c r="AR317">
        <v>130</v>
      </c>
      <c r="AS317">
        <v>0</v>
      </c>
      <c r="AT317">
        <v>0</v>
      </c>
      <c r="AU317">
        <v>0</v>
      </c>
      <c r="AV317">
        <v>0</v>
      </c>
      <c r="AW317">
        <v>0</v>
      </c>
      <c r="AX317">
        <v>0</v>
      </c>
      <c r="AY317">
        <v>0</v>
      </c>
    </row>
    <row r="318" spans="1:51" x14ac:dyDescent="0.25">
      <c r="A318">
        <v>56</v>
      </c>
      <c r="B318">
        <v>10680</v>
      </c>
      <c r="C318" t="s">
        <v>735</v>
      </c>
      <c r="D318" t="s">
        <v>96</v>
      </c>
      <c r="E318" t="s">
        <v>186</v>
      </c>
      <c r="F318" t="s">
        <v>107</v>
      </c>
      <c r="G318" t="s">
        <v>77</v>
      </c>
      <c r="H318" t="s">
        <v>78</v>
      </c>
      <c r="I318" t="s">
        <v>195</v>
      </c>
      <c r="J318" t="s">
        <v>70</v>
      </c>
      <c r="K318" t="s">
        <v>102</v>
      </c>
      <c r="L318" t="s">
        <v>76</v>
      </c>
      <c r="M318" t="s">
        <v>177</v>
      </c>
      <c r="N318" t="s">
        <v>74</v>
      </c>
      <c r="O318" t="s">
        <v>187</v>
      </c>
      <c r="P318" t="s">
        <v>71</v>
      </c>
      <c r="Q318" t="s">
        <v>71</v>
      </c>
      <c r="R318" t="s">
        <v>71</v>
      </c>
      <c r="S318">
        <v>0</v>
      </c>
      <c r="T318">
        <v>0</v>
      </c>
      <c r="U318" t="s">
        <v>72</v>
      </c>
      <c r="V318" t="s">
        <v>73</v>
      </c>
      <c r="W318">
        <v>0</v>
      </c>
      <c r="X318">
        <v>0</v>
      </c>
      <c r="Y318">
        <v>0</v>
      </c>
      <c r="Z318">
        <v>0</v>
      </c>
      <c r="AA318">
        <v>0</v>
      </c>
      <c r="AB318">
        <v>0</v>
      </c>
      <c r="AC318">
        <v>0</v>
      </c>
      <c r="AD318">
        <v>0</v>
      </c>
      <c r="AE318">
        <v>0</v>
      </c>
      <c r="AF318">
        <v>0</v>
      </c>
      <c r="AG318" t="s">
        <v>71</v>
      </c>
      <c r="AH318">
        <v>0</v>
      </c>
      <c r="AI318">
        <v>0</v>
      </c>
      <c r="AJ318">
        <v>0</v>
      </c>
      <c r="AK318">
        <v>0</v>
      </c>
      <c r="AL318" t="s">
        <v>146</v>
      </c>
      <c r="AM318" t="s">
        <v>93</v>
      </c>
      <c r="AN318" t="s">
        <v>148</v>
      </c>
      <c r="AO318" t="s">
        <v>147</v>
      </c>
      <c r="AP318">
        <v>0</v>
      </c>
      <c r="AQ318">
        <v>0</v>
      </c>
      <c r="AR318">
        <v>136</v>
      </c>
      <c r="AS318">
        <v>0</v>
      </c>
      <c r="AT318">
        <v>0</v>
      </c>
      <c r="AU318">
        <v>0</v>
      </c>
      <c r="AV318">
        <v>0</v>
      </c>
      <c r="AW318">
        <v>0</v>
      </c>
      <c r="AX318">
        <v>0</v>
      </c>
      <c r="AY318">
        <v>0</v>
      </c>
    </row>
    <row r="319" spans="1:51" x14ac:dyDescent="0.25">
      <c r="A319">
        <v>56</v>
      </c>
      <c r="B319">
        <v>10690</v>
      </c>
      <c r="C319" t="s">
        <v>735</v>
      </c>
      <c r="D319" t="s">
        <v>96</v>
      </c>
      <c r="E319" t="s">
        <v>186</v>
      </c>
      <c r="F319" t="s">
        <v>107</v>
      </c>
      <c r="G319" t="s">
        <v>77</v>
      </c>
      <c r="H319" t="s">
        <v>78</v>
      </c>
      <c r="I319" t="s">
        <v>195</v>
      </c>
      <c r="J319" t="s">
        <v>150</v>
      </c>
      <c r="K319" t="s">
        <v>102</v>
      </c>
      <c r="L319" t="s">
        <v>76</v>
      </c>
      <c r="M319" t="s">
        <v>177</v>
      </c>
      <c r="N319" t="s">
        <v>74</v>
      </c>
      <c r="O319" t="s">
        <v>187</v>
      </c>
      <c r="P319" t="s">
        <v>71</v>
      </c>
      <c r="Q319" t="s">
        <v>71</v>
      </c>
      <c r="R319" t="s">
        <v>71</v>
      </c>
      <c r="S319">
        <v>0</v>
      </c>
      <c r="T319">
        <v>0</v>
      </c>
      <c r="U319" t="s">
        <v>72</v>
      </c>
      <c r="V319" t="s">
        <v>73</v>
      </c>
      <c r="W319">
        <v>0</v>
      </c>
      <c r="X319">
        <v>0</v>
      </c>
      <c r="Y319">
        <v>0</v>
      </c>
      <c r="Z319">
        <v>0</v>
      </c>
      <c r="AA319">
        <v>0</v>
      </c>
      <c r="AB319">
        <v>0</v>
      </c>
      <c r="AC319">
        <v>0</v>
      </c>
      <c r="AD319">
        <v>0</v>
      </c>
      <c r="AE319">
        <v>0</v>
      </c>
      <c r="AF319">
        <v>0</v>
      </c>
      <c r="AG319" t="s">
        <v>71</v>
      </c>
      <c r="AH319">
        <v>0</v>
      </c>
      <c r="AI319">
        <v>0</v>
      </c>
      <c r="AJ319">
        <v>0</v>
      </c>
      <c r="AK319">
        <v>0</v>
      </c>
      <c r="AL319" t="s">
        <v>146</v>
      </c>
      <c r="AM319" t="s">
        <v>93</v>
      </c>
      <c r="AN319" t="s">
        <v>148</v>
      </c>
      <c r="AO319" t="s">
        <v>147</v>
      </c>
      <c r="AP319">
        <v>0</v>
      </c>
      <c r="AQ319">
        <v>0</v>
      </c>
      <c r="AR319">
        <v>136</v>
      </c>
      <c r="AS319">
        <v>0</v>
      </c>
      <c r="AT319">
        <v>0</v>
      </c>
      <c r="AU319">
        <v>0</v>
      </c>
      <c r="AV319">
        <v>0</v>
      </c>
      <c r="AW319">
        <v>0</v>
      </c>
      <c r="AX319">
        <v>0</v>
      </c>
      <c r="AY319">
        <v>0</v>
      </c>
    </row>
    <row r="320" spans="1:51" x14ac:dyDescent="0.25">
      <c r="A320">
        <v>57</v>
      </c>
      <c r="B320">
        <v>10700</v>
      </c>
      <c r="C320" t="s">
        <v>735</v>
      </c>
      <c r="D320" t="s">
        <v>96</v>
      </c>
      <c r="E320" t="s">
        <v>186</v>
      </c>
      <c r="F320" t="s">
        <v>107</v>
      </c>
      <c r="G320" t="s">
        <v>77</v>
      </c>
      <c r="H320" t="s">
        <v>78</v>
      </c>
      <c r="I320" t="s">
        <v>196</v>
      </c>
      <c r="J320" t="s">
        <v>70</v>
      </c>
      <c r="K320" t="s">
        <v>102</v>
      </c>
      <c r="L320" t="s">
        <v>76</v>
      </c>
      <c r="M320" t="s">
        <v>177</v>
      </c>
      <c r="N320" t="s">
        <v>74</v>
      </c>
      <c r="O320" t="s">
        <v>187</v>
      </c>
      <c r="P320" t="s">
        <v>71</v>
      </c>
      <c r="Q320" t="s">
        <v>71</v>
      </c>
      <c r="R320" t="s">
        <v>71</v>
      </c>
      <c r="S320">
        <v>0</v>
      </c>
      <c r="T320">
        <v>0</v>
      </c>
      <c r="U320" t="s">
        <v>72</v>
      </c>
      <c r="V320" t="s">
        <v>73</v>
      </c>
      <c r="W320">
        <v>0</v>
      </c>
      <c r="X320">
        <v>0</v>
      </c>
      <c r="Y320">
        <v>0</v>
      </c>
      <c r="Z320">
        <v>0</v>
      </c>
      <c r="AA320">
        <v>0</v>
      </c>
      <c r="AB320">
        <v>0</v>
      </c>
      <c r="AC320">
        <v>0</v>
      </c>
      <c r="AD320">
        <v>0</v>
      </c>
      <c r="AE320">
        <v>0</v>
      </c>
      <c r="AF320">
        <v>0</v>
      </c>
      <c r="AG320" t="s">
        <v>71</v>
      </c>
      <c r="AH320">
        <v>0</v>
      </c>
      <c r="AI320">
        <v>0</v>
      </c>
      <c r="AJ320">
        <v>0</v>
      </c>
      <c r="AK320">
        <v>0</v>
      </c>
      <c r="AL320" t="s">
        <v>146</v>
      </c>
      <c r="AM320" t="s">
        <v>93</v>
      </c>
      <c r="AN320" t="s">
        <v>148</v>
      </c>
      <c r="AO320" t="s">
        <v>147</v>
      </c>
      <c r="AP320">
        <v>0</v>
      </c>
      <c r="AQ320">
        <v>0</v>
      </c>
      <c r="AR320">
        <v>136</v>
      </c>
      <c r="AS320">
        <v>0</v>
      </c>
      <c r="AT320">
        <v>0</v>
      </c>
      <c r="AU320">
        <v>0</v>
      </c>
      <c r="AV320">
        <v>0</v>
      </c>
      <c r="AW320">
        <v>0</v>
      </c>
      <c r="AX320">
        <v>0</v>
      </c>
      <c r="AY320">
        <v>0</v>
      </c>
    </row>
    <row r="321" spans="1:51" x14ac:dyDescent="0.25">
      <c r="A321">
        <v>57</v>
      </c>
      <c r="B321">
        <v>10710</v>
      </c>
      <c r="C321" t="s">
        <v>735</v>
      </c>
      <c r="D321" t="s">
        <v>96</v>
      </c>
      <c r="E321" t="s">
        <v>186</v>
      </c>
      <c r="F321" t="s">
        <v>107</v>
      </c>
      <c r="G321" t="s">
        <v>77</v>
      </c>
      <c r="H321" t="s">
        <v>78</v>
      </c>
      <c r="I321" t="s">
        <v>196</v>
      </c>
      <c r="J321" t="s">
        <v>150</v>
      </c>
      <c r="K321" t="s">
        <v>102</v>
      </c>
      <c r="L321" t="s">
        <v>76</v>
      </c>
      <c r="M321" t="s">
        <v>177</v>
      </c>
      <c r="N321" t="s">
        <v>74</v>
      </c>
      <c r="O321" t="s">
        <v>187</v>
      </c>
      <c r="P321" t="s">
        <v>71</v>
      </c>
      <c r="Q321" t="s">
        <v>71</v>
      </c>
      <c r="R321" t="s">
        <v>71</v>
      </c>
      <c r="S321">
        <v>0</v>
      </c>
      <c r="T321">
        <v>0</v>
      </c>
      <c r="U321" t="s">
        <v>72</v>
      </c>
      <c r="V321" t="s">
        <v>73</v>
      </c>
      <c r="W321">
        <v>0</v>
      </c>
      <c r="X321">
        <v>0</v>
      </c>
      <c r="Y321">
        <v>0</v>
      </c>
      <c r="Z321">
        <v>0</v>
      </c>
      <c r="AA321">
        <v>0</v>
      </c>
      <c r="AB321">
        <v>0</v>
      </c>
      <c r="AC321">
        <v>0</v>
      </c>
      <c r="AD321">
        <v>0</v>
      </c>
      <c r="AE321">
        <v>0</v>
      </c>
      <c r="AF321">
        <v>0</v>
      </c>
      <c r="AG321" t="s">
        <v>71</v>
      </c>
      <c r="AH321">
        <v>0</v>
      </c>
      <c r="AI321">
        <v>0</v>
      </c>
      <c r="AJ321">
        <v>0</v>
      </c>
      <c r="AK321">
        <v>0</v>
      </c>
      <c r="AL321" t="s">
        <v>146</v>
      </c>
      <c r="AM321" t="s">
        <v>93</v>
      </c>
      <c r="AN321" t="s">
        <v>148</v>
      </c>
      <c r="AO321" t="s">
        <v>147</v>
      </c>
      <c r="AP321">
        <v>0</v>
      </c>
      <c r="AQ321">
        <v>0</v>
      </c>
      <c r="AR321">
        <v>136</v>
      </c>
      <c r="AS321">
        <v>0</v>
      </c>
      <c r="AT321">
        <v>0</v>
      </c>
      <c r="AU321">
        <v>0</v>
      </c>
      <c r="AV321">
        <v>0</v>
      </c>
      <c r="AW321">
        <v>0</v>
      </c>
      <c r="AX321">
        <v>0</v>
      </c>
      <c r="AY321">
        <v>0</v>
      </c>
    </row>
    <row r="322" spans="1:51" x14ac:dyDescent="0.25">
      <c r="A322">
        <v>58</v>
      </c>
      <c r="B322">
        <v>10720</v>
      </c>
      <c r="C322" t="s">
        <v>735</v>
      </c>
      <c r="D322" t="s">
        <v>96</v>
      </c>
      <c r="E322" t="s">
        <v>186</v>
      </c>
      <c r="F322" t="s">
        <v>107</v>
      </c>
      <c r="G322" t="s">
        <v>77</v>
      </c>
      <c r="H322" t="s">
        <v>78</v>
      </c>
      <c r="I322" t="s">
        <v>197</v>
      </c>
      <c r="J322" t="s">
        <v>70</v>
      </c>
      <c r="K322" t="s">
        <v>102</v>
      </c>
      <c r="L322" t="s">
        <v>76</v>
      </c>
      <c r="M322" t="s">
        <v>177</v>
      </c>
      <c r="N322" t="s">
        <v>74</v>
      </c>
      <c r="O322" t="s">
        <v>187</v>
      </c>
      <c r="P322" t="s">
        <v>71</v>
      </c>
      <c r="Q322" t="s">
        <v>71</v>
      </c>
      <c r="R322" t="s">
        <v>71</v>
      </c>
      <c r="S322">
        <v>0</v>
      </c>
      <c r="T322">
        <v>0</v>
      </c>
      <c r="U322" t="s">
        <v>72</v>
      </c>
      <c r="V322" t="s">
        <v>73</v>
      </c>
      <c r="W322">
        <v>0</v>
      </c>
      <c r="X322">
        <v>0</v>
      </c>
      <c r="Y322">
        <v>0</v>
      </c>
      <c r="Z322">
        <v>0</v>
      </c>
      <c r="AA322">
        <v>0</v>
      </c>
      <c r="AB322">
        <v>0</v>
      </c>
      <c r="AC322">
        <v>0</v>
      </c>
      <c r="AD322">
        <v>0</v>
      </c>
      <c r="AE322">
        <v>0</v>
      </c>
      <c r="AF322">
        <v>0</v>
      </c>
      <c r="AG322" t="s">
        <v>71</v>
      </c>
      <c r="AH322">
        <v>0</v>
      </c>
      <c r="AI322">
        <v>0</v>
      </c>
      <c r="AJ322">
        <v>0</v>
      </c>
      <c r="AK322">
        <v>0</v>
      </c>
      <c r="AL322" t="s">
        <v>146</v>
      </c>
      <c r="AM322" t="s">
        <v>93</v>
      </c>
      <c r="AN322" t="s">
        <v>148</v>
      </c>
      <c r="AO322" t="s">
        <v>147</v>
      </c>
      <c r="AP322">
        <v>0</v>
      </c>
      <c r="AQ322">
        <v>0</v>
      </c>
      <c r="AR322">
        <v>136</v>
      </c>
      <c r="AS322">
        <v>0</v>
      </c>
      <c r="AT322">
        <v>0</v>
      </c>
      <c r="AU322">
        <v>0</v>
      </c>
      <c r="AV322">
        <v>0</v>
      </c>
      <c r="AW322">
        <v>0</v>
      </c>
      <c r="AX322">
        <v>0</v>
      </c>
      <c r="AY322">
        <v>0</v>
      </c>
    </row>
    <row r="323" spans="1:51" x14ac:dyDescent="0.25">
      <c r="A323">
        <v>58</v>
      </c>
      <c r="B323">
        <v>10730</v>
      </c>
      <c r="C323" t="s">
        <v>735</v>
      </c>
      <c r="D323" t="s">
        <v>96</v>
      </c>
      <c r="E323" t="s">
        <v>186</v>
      </c>
      <c r="F323" t="s">
        <v>107</v>
      </c>
      <c r="G323" t="s">
        <v>77</v>
      </c>
      <c r="H323" t="s">
        <v>78</v>
      </c>
      <c r="I323" t="s">
        <v>197</v>
      </c>
      <c r="J323" t="s">
        <v>150</v>
      </c>
      <c r="K323" t="s">
        <v>102</v>
      </c>
      <c r="L323" t="s">
        <v>76</v>
      </c>
      <c r="M323" t="s">
        <v>177</v>
      </c>
      <c r="N323" t="s">
        <v>74</v>
      </c>
      <c r="O323" t="s">
        <v>187</v>
      </c>
      <c r="P323" t="s">
        <v>71</v>
      </c>
      <c r="Q323" t="s">
        <v>71</v>
      </c>
      <c r="R323" t="s">
        <v>71</v>
      </c>
      <c r="S323">
        <v>0</v>
      </c>
      <c r="T323">
        <v>0</v>
      </c>
      <c r="U323" t="s">
        <v>72</v>
      </c>
      <c r="V323" t="s">
        <v>73</v>
      </c>
      <c r="W323">
        <v>0</v>
      </c>
      <c r="X323">
        <v>0</v>
      </c>
      <c r="Y323">
        <v>0</v>
      </c>
      <c r="Z323">
        <v>0</v>
      </c>
      <c r="AA323">
        <v>0</v>
      </c>
      <c r="AB323">
        <v>0</v>
      </c>
      <c r="AC323">
        <v>0</v>
      </c>
      <c r="AD323">
        <v>0</v>
      </c>
      <c r="AE323">
        <v>0</v>
      </c>
      <c r="AF323">
        <v>0</v>
      </c>
      <c r="AG323" t="s">
        <v>71</v>
      </c>
      <c r="AH323">
        <v>0</v>
      </c>
      <c r="AI323">
        <v>0</v>
      </c>
      <c r="AJ323">
        <v>0</v>
      </c>
      <c r="AK323">
        <v>0</v>
      </c>
      <c r="AL323" t="s">
        <v>146</v>
      </c>
      <c r="AM323" t="s">
        <v>93</v>
      </c>
      <c r="AN323" t="s">
        <v>148</v>
      </c>
      <c r="AO323" t="s">
        <v>147</v>
      </c>
      <c r="AP323">
        <v>0</v>
      </c>
      <c r="AQ323">
        <v>0</v>
      </c>
      <c r="AR323">
        <v>136</v>
      </c>
      <c r="AS323">
        <v>0</v>
      </c>
      <c r="AT323">
        <v>0</v>
      </c>
      <c r="AU323">
        <v>0</v>
      </c>
      <c r="AV323">
        <v>0</v>
      </c>
      <c r="AW323">
        <v>0</v>
      </c>
      <c r="AX323">
        <v>0</v>
      </c>
      <c r="AY323">
        <v>0</v>
      </c>
    </row>
    <row r="324" spans="1:51" x14ac:dyDescent="0.25">
      <c r="A324">
        <v>59</v>
      </c>
      <c r="B324">
        <v>10740</v>
      </c>
      <c r="C324" t="s">
        <v>735</v>
      </c>
      <c r="D324" t="s">
        <v>96</v>
      </c>
      <c r="E324" t="s">
        <v>186</v>
      </c>
      <c r="F324" t="s">
        <v>107</v>
      </c>
      <c r="G324" t="s">
        <v>77</v>
      </c>
      <c r="H324" t="s">
        <v>180</v>
      </c>
      <c r="I324" t="s">
        <v>79</v>
      </c>
      <c r="J324" t="s">
        <v>70</v>
      </c>
      <c r="K324" t="s">
        <v>102</v>
      </c>
      <c r="L324" t="s">
        <v>76</v>
      </c>
      <c r="M324" t="s">
        <v>177</v>
      </c>
      <c r="N324" t="s">
        <v>74</v>
      </c>
      <c r="O324" t="s">
        <v>187</v>
      </c>
      <c r="P324" t="s">
        <v>71</v>
      </c>
      <c r="Q324" t="s">
        <v>71</v>
      </c>
      <c r="R324" t="s">
        <v>71</v>
      </c>
      <c r="S324">
        <v>0</v>
      </c>
      <c r="T324">
        <v>0</v>
      </c>
      <c r="U324" t="s">
        <v>72</v>
      </c>
      <c r="V324" t="s">
        <v>73</v>
      </c>
      <c r="W324">
        <v>0</v>
      </c>
      <c r="X324">
        <v>0</v>
      </c>
      <c r="Y324">
        <v>0</v>
      </c>
      <c r="Z324">
        <v>0</v>
      </c>
      <c r="AA324">
        <v>0</v>
      </c>
      <c r="AB324">
        <v>0</v>
      </c>
      <c r="AC324">
        <v>0</v>
      </c>
      <c r="AD324">
        <v>0</v>
      </c>
      <c r="AE324">
        <v>0</v>
      </c>
      <c r="AF324">
        <v>0</v>
      </c>
      <c r="AG324" t="s">
        <v>71</v>
      </c>
      <c r="AH324">
        <v>0</v>
      </c>
      <c r="AI324">
        <v>0</v>
      </c>
      <c r="AJ324">
        <v>0</v>
      </c>
      <c r="AK324">
        <v>0</v>
      </c>
      <c r="AL324" t="s">
        <v>146</v>
      </c>
      <c r="AM324" t="s">
        <v>93</v>
      </c>
      <c r="AN324" t="s">
        <v>148</v>
      </c>
      <c r="AO324" t="s">
        <v>147</v>
      </c>
      <c r="AP324">
        <v>0</v>
      </c>
      <c r="AQ324">
        <v>0</v>
      </c>
      <c r="AR324">
        <v>132</v>
      </c>
      <c r="AS324">
        <v>0</v>
      </c>
      <c r="AT324">
        <v>0</v>
      </c>
      <c r="AU324">
        <v>0</v>
      </c>
      <c r="AV324">
        <v>0</v>
      </c>
      <c r="AW324">
        <v>0</v>
      </c>
      <c r="AX324">
        <v>0</v>
      </c>
      <c r="AY324">
        <v>0</v>
      </c>
    </row>
    <row r="325" spans="1:51" x14ac:dyDescent="0.25">
      <c r="A325">
        <v>59</v>
      </c>
      <c r="B325">
        <v>10750</v>
      </c>
      <c r="C325" t="s">
        <v>735</v>
      </c>
      <c r="D325" t="s">
        <v>96</v>
      </c>
      <c r="E325" t="s">
        <v>186</v>
      </c>
      <c r="F325" t="s">
        <v>107</v>
      </c>
      <c r="G325" t="s">
        <v>77</v>
      </c>
      <c r="H325" t="s">
        <v>180</v>
      </c>
      <c r="I325" t="s">
        <v>79</v>
      </c>
      <c r="J325" t="s">
        <v>150</v>
      </c>
      <c r="K325" t="s">
        <v>102</v>
      </c>
      <c r="L325" t="s">
        <v>76</v>
      </c>
      <c r="M325" t="s">
        <v>177</v>
      </c>
      <c r="N325" t="s">
        <v>74</v>
      </c>
      <c r="O325" t="s">
        <v>187</v>
      </c>
      <c r="P325" t="s">
        <v>71</v>
      </c>
      <c r="Q325" t="s">
        <v>71</v>
      </c>
      <c r="R325" t="s">
        <v>71</v>
      </c>
      <c r="S325">
        <v>0</v>
      </c>
      <c r="T325">
        <v>0</v>
      </c>
      <c r="U325" t="s">
        <v>72</v>
      </c>
      <c r="V325" t="s">
        <v>73</v>
      </c>
      <c r="W325">
        <v>0</v>
      </c>
      <c r="X325">
        <v>0</v>
      </c>
      <c r="Y325">
        <v>0</v>
      </c>
      <c r="Z325">
        <v>0</v>
      </c>
      <c r="AA325">
        <v>0</v>
      </c>
      <c r="AB325">
        <v>0</v>
      </c>
      <c r="AC325">
        <v>0</v>
      </c>
      <c r="AD325">
        <v>0</v>
      </c>
      <c r="AE325">
        <v>0</v>
      </c>
      <c r="AF325">
        <v>0</v>
      </c>
      <c r="AG325" t="s">
        <v>71</v>
      </c>
      <c r="AH325">
        <v>0</v>
      </c>
      <c r="AI325">
        <v>0</v>
      </c>
      <c r="AJ325">
        <v>0</v>
      </c>
      <c r="AK325">
        <v>0</v>
      </c>
      <c r="AL325" t="s">
        <v>146</v>
      </c>
      <c r="AM325" t="s">
        <v>93</v>
      </c>
      <c r="AN325" t="s">
        <v>148</v>
      </c>
      <c r="AO325" t="s">
        <v>147</v>
      </c>
      <c r="AP325">
        <v>0</v>
      </c>
      <c r="AQ325">
        <v>0</v>
      </c>
      <c r="AR325">
        <v>132</v>
      </c>
      <c r="AS325">
        <v>0</v>
      </c>
      <c r="AT325">
        <v>0</v>
      </c>
      <c r="AU325">
        <v>0</v>
      </c>
      <c r="AV325">
        <v>0</v>
      </c>
      <c r="AW325">
        <v>0</v>
      </c>
      <c r="AX325">
        <v>0</v>
      </c>
      <c r="AY325">
        <v>0</v>
      </c>
    </row>
    <row r="326" spans="1:51" x14ac:dyDescent="0.25">
      <c r="A326">
        <v>60</v>
      </c>
      <c r="B326">
        <v>10760</v>
      </c>
      <c r="C326" t="s">
        <v>735</v>
      </c>
      <c r="D326" t="s">
        <v>96</v>
      </c>
      <c r="E326" t="s">
        <v>186</v>
      </c>
      <c r="F326" t="s">
        <v>107</v>
      </c>
      <c r="G326" t="s">
        <v>77</v>
      </c>
      <c r="H326" t="s">
        <v>181</v>
      </c>
      <c r="I326" t="s">
        <v>79</v>
      </c>
      <c r="J326" t="s">
        <v>70</v>
      </c>
      <c r="K326" t="s">
        <v>102</v>
      </c>
      <c r="L326" t="s">
        <v>76</v>
      </c>
      <c r="M326" t="s">
        <v>177</v>
      </c>
      <c r="N326" t="s">
        <v>74</v>
      </c>
      <c r="O326" t="s">
        <v>187</v>
      </c>
      <c r="P326" t="s">
        <v>71</v>
      </c>
      <c r="Q326" t="s">
        <v>71</v>
      </c>
      <c r="R326" t="s">
        <v>71</v>
      </c>
      <c r="S326">
        <v>0</v>
      </c>
      <c r="T326">
        <v>0</v>
      </c>
      <c r="U326" t="s">
        <v>72</v>
      </c>
      <c r="V326" t="s">
        <v>73</v>
      </c>
      <c r="W326">
        <v>0</v>
      </c>
      <c r="X326">
        <v>0</v>
      </c>
      <c r="Y326">
        <v>0</v>
      </c>
      <c r="Z326">
        <v>0</v>
      </c>
      <c r="AA326">
        <v>0</v>
      </c>
      <c r="AB326">
        <v>0</v>
      </c>
      <c r="AC326">
        <v>0</v>
      </c>
      <c r="AD326">
        <v>0</v>
      </c>
      <c r="AE326">
        <v>0</v>
      </c>
      <c r="AF326">
        <v>0</v>
      </c>
      <c r="AG326" t="s">
        <v>71</v>
      </c>
      <c r="AH326">
        <v>0</v>
      </c>
      <c r="AI326">
        <v>0</v>
      </c>
      <c r="AJ326">
        <v>0</v>
      </c>
      <c r="AK326">
        <v>0</v>
      </c>
      <c r="AL326" t="s">
        <v>146</v>
      </c>
      <c r="AM326" t="s">
        <v>93</v>
      </c>
      <c r="AN326" t="s">
        <v>148</v>
      </c>
      <c r="AO326" t="s">
        <v>147</v>
      </c>
      <c r="AP326">
        <v>0</v>
      </c>
      <c r="AQ326">
        <v>0</v>
      </c>
      <c r="AR326">
        <v>132</v>
      </c>
      <c r="AS326">
        <v>0</v>
      </c>
      <c r="AT326">
        <v>0</v>
      </c>
      <c r="AU326">
        <v>0</v>
      </c>
      <c r="AV326">
        <v>0</v>
      </c>
      <c r="AW326">
        <v>0</v>
      </c>
      <c r="AX326">
        <v>0</v>
      </c>
      <c r="AY326">
        <v>0</v>
      </c>
    </row>
    <row r="327" spans="1:51" x14ac:dyDescent="0.25">
      <c r="A327">
        <v>60</v>
      </c>
      <c r="B327">
        <v>10770</v>
      </c>
      <c r="C327" t="s">
        <v>735</v>
      </c>
      <c r="D327" t="s">
        <v>96</v>
      </c>
      <c r="E327" t="s">
        <v>186</v>
      </c>
      <c r="F327" t="s">
        <v>107</v>
      </c>
      <c r="G327" t="s">
        <v>77</v>
      </c>
      <c r="H327" t="s">
        <v>181</v>
      </c>
      <c r="I327" t="s">
        <v>79</v>
      </c>
      <c r="J327" t="s">
        <v>150</v>
      </c>
      <c r="K327" t="s">
        <v>102</v>
      </c>
      <c r="L327" t="s">
        <v>76</v>
      </c>
      <c r="M327" t="s">
        <v>177</v>
      </c>
      <c r="N327" t="s">
        <v>74</v>
      </c>
      <c r="O327" t="s">
        <v>187</v>
      </c>
      <c r="P327" t="s">
        <v>71</v>
      </c>
      <c r="Q327" t="s">
        <v>71</v>
      </c>
      <c r="R327" t="s">
        <v>71</v>
      </c>
      <c r="S327">
        <v>0</v>
      </c>
      <c r="T327">
        <v>0</v>
      </c>
      <c r="U327" t="s">
        <v>72</v>
      </c>
      <c r="V327" t="s">
        <v>73</v>
      </c>
      <c r="W327">
        <v>0</v>
      </c>
      <c r="X327">
        <v>0</v>
      </c>
      <c r="Y327">
        <v>0</v>
      </c>
      <c r="Z327">
        <v>0</v>
      </c>
      <c r="AA327">
        <v>0</v>
      </c>
      <c r="AB327">
        <v>0</v>
      </c>
      <c r="AC327">
        <v>0</v>
      </c>
      <c r="AD327">
        <v>0</v>
      </c>
      <c r="AE327">
        <v>0</v>
      </c>
      <c r="AF327">
        <v>0</v>
      </c>
      <c r="AG327" t="s">
        <v>71</v>
      </c>
      <c r="AH327">
        <v>0</v>
      </c>
      <c r="AI327">
        <v>0</v>
      </c>
      <c r="AJ327">
        <v>0</v>
      </c>
      <c r="AK327">
        <v>0</v>
      </c>
      <c r="AL327" t="s">
        <v>146</v>
      </c>
      <c r="AM327" t="s">
        <v>93</v>
      </c>
      <c r="AN327" t="s">
        <v>148</v>
      </c>
      <c r="AO327" t="s">
        <v>147</v>
      </c>
      <c r="AP327">
        <v>0</v>
      </c>
      <c r="AQ327">
        <v>0</v>
      </c>
      <c r="AR327">
        <v>132</v>
      </c>
      <c r="AS327">
        <v>0</v>
      </c>
      <c r="AT327">
        <v>0</v>
      </c>
      <c r="AU327">
        <v>0</v>
      </c>
      <c r="AV327">
        <v>0</v>
      </c>
      <c r="AW327">
        <v>0</v>
      </c>
      <c r="AX327">
        <v>0</v>
      </c>
      <c r="AY327">
        <v>0</v>
      </c>
    </row>
    <row r="328" spans="1:51" x14ac:dyDescent="0.25">
      <c r="A328">
        <v>61</v>
      </c>
      <c r="B328">
        <v>10780</v>
      </c>
      <c r="C328" t="s">
        <v>735</v>
      </c>
      <c r="D328" t="s">
        <v>96</v>
      </c>
      <c r="E328" t="s">
        <v>186</v>
      </c>
      <c r="F328" t="s">
        <v>107</v>
      </c>
      <c r="G328" t="s">
        <v>77</v>
      </c>
      <c r="H328" t="s">
        <v>182</v>
      </c>
      <c r="I328" t="s">
        <v>79</v>
      </c>
      <c r="J328" t="s">
        <v>70</v>
      </c>
      <c r="K328" t="s">
        <v>102</v>
      </c>
      <c r="L328" t="s">
        <v>76</v>
      </c>
      <c r="M328" t="s">
        <v>177</v>
      </c>
      <c r="N328" t="s">
        <v>74</v>
      </c>
      <c r="O328" t="s">
        <v>187</v>
      </c>
      <c r="P328" t="s">
        <v>71</v>
      </c>
      <c r="Q328" t="s">
        <v>71</v>
      </c>
      <c r="R328" t="s">
        <v>71</v>
      </c>
      <c r="S328">
        <v>0</v>
      </c>
      <c r="T328">
        <v>0</v>
      </c>
      <c r="U328" t="s">
        <v>72</v>
      </c>
      <c r="V328" t="s">
        <v>73</v>
      </c>
      <c r="W328">
        <v>0</v>
      </c>
      <c r="X328">
        <v>0</v>
      </c>
      <c r="Y328">
        <v>0</v>
      </c>
      <c r="Z328">
        <v>0</v>
      </c>
      <c r="AA328">
        <v>0</v>
      </c>
      <c r="AB328">
        <v>0</v>
      </c>
      <c r="AC328">
        <v>0</v>
      </c>
      <c r="AD328">
        <v>0</v>
      </c>
      <c r="AE328">
        <v>0</v>
      </c>
      <c r="AF328">
        <v>0</v>
      </c>
      <c r="AG328" t="s">
        <v>71</v>
      </c>
      <c r="AH328">
        <v>0</v>
      </c>
      <c r="AI328">
        <v>0</v>
      </c>
      <c r="AJ328">
        <v>0</v>
      </c>
      <c r="AK328">
        <v>0</v>
      </c>
      <c r="AL328" t="s">
        <v>146</v>
      </c>
      <c r="AM328" t="s">
        <v>93</v>
      </c>
      <c r="AN328" t="s">
        <v>148</v>
      </c>
      <c r="AO328" t="s">
        <v>147</v>
      </c>
      <c r="AP328">
        <v>0</v>
      </c>
      <c r="AQ328">
        <v>0</v>
      </c>
      <c r="AR328">
        <v>132</v>
      </c>
      <c r="AS328">
        <v>0</v>
      </c>
      <c r="AT328">
        <v>0</v>
      </c>
      <c r="AU328">
        <v>0</v>
      </c>
      <c r="AV328">
        <v>0</v>
      </c>
      <c r="AW328">
        <v>0</v>
      </c>
      <c r="AX328">
        <v>0</v>
      </c>
      <c r="AY328">
        <v>0</v>
      </c>
    </row>
    <row r="329" spans="1:51" x14ac:dyDescent="0.25">
      <c r="A329">
        <v>61</v>
      </c>
      <c r="B329">
        <v>10790</v>
      </c>
      <c r="C329" t="s">
        <v>735</v>
      </c>
      <c r="D329" t="s">
        <v>96</v>
      </c>
      <c r="E329" t="s">
        <v>186</v>
      </c>
      <c r="F329" t="s">
        <v>107</v>
      </c>
      <c r="G329" t="s">
        <v>77</v>
      </c>
      <c r="H329" t="s">
        <v>182</v>
      </c>
      <c r="I329" t="s">
        <v>79</v>
      </c>
      <c r="J329" t="s">
        <v>150</v>
      </c>
      <c r="K329" t="s">
        <v>102</v>
      </c>
      <c r="L329" t="s">
        <v>76</v>
      </c>
      <c r="M329" t="s">
        <v>177</v>
      </c>
      <c r="N329" t="s">
        <v>74</v>
      </c>
      <c r="O329" t="s">
        <v>187</v>
      </c>
      <c r="P329" t="s">
        <v>71</v>
      </c>
      <c r="Q329" t="s">
        <v>71</v>
      </c>
      <c r="R329" t="s">
        <v>71</v>
      </c>
      <c r="S329">
        <v>0</v>
      </c>
      <c r="T329">
        <v>0</v>
      </c>
      <c r="U329" t="s">
        <v>72</v>
      </c>
      <c r="V329" t="s">
        <v>73</v>
      </c>
      <c r="W329">
        <v>0</v>
      </c>
      <c r="X329">
        <v>0</v>
      </c>
      <c r="Y329">
        <v>0</v>
      </c>
      <c r="Z329">
        <v>0</v>
      </c>
      <c r="AA329">
        <v>0</v>
      </c>
      <c r="AB329">
        <v>0</v>
      </c>
      <c r="AC329">
        <v>0</v>
      </c>
      <c r="AD329">
        <v>0</v>
      </c>
      <c r="AE329">
        <v>0</v>
      </c>
      <c r="AF329">
        <v>0</v>
      </c>
      <c r="AG329" t="s">
        <v>71</v>
      </c>
      <c r="AH329">
        <v>0</v>
      </c>
      <c r="AI329">
        <v>0</v>
      </c>
      <c r="AJ329">
        <v>0</v>
      </c>
      <c r="AK329">
        <v>0</v>
      </c>
      <c r="AL329" t="s">
        <v>146</v>
      </c>
      <c r="AM329" t="s">
        <v>93</v>
      </c>
      <c r="AN329" t="s">
        <v>148</v>
      </c>
      <c r="AO329" t="s">
        <v>147</v>
      </c>
      <c r="AP329">
        <v>0</v>
      </c>
      <c r="AQ329">
        <v>0</v>
      </c>
      <c r="AR329">
        <v>132</v>
      </c>
      <c r="AS329">
        <v>0</v>
      </c>
      <c r="AT329">
        <v>0</v>
      </c>
      <c r="AU329">
        <v>0</v>
      </c>
      <c r="AV329">
        <v>0</v>
      </c>
      <c r="AW329">
        <v>0</v>
      </c>
      <c r="AX329">
        <v>0</v>
      </c>
      <c r="AY329">
        <v>0</v>
      </c>
    </row>
    <row r="330" spans="1:51" x14ac:dyDescent="0.25">
      <c r="A330">
        <v>62</v>
      </c>
      <c r="B330">
        <v>10800</v>
      </c>
      <c r="C330" t="s">
        <v>735</v>
      </c>
      <c r="D330" t="s">
        <v>96</v>
      </c>
      <c r="E330" t="s">
        <v>121</v>
      </c>
      <c r="F330" t="s">
        <v>107</v>
      </c>
      <c r="G330" t="s">
        <v>184</v>
      </c>
      <c r="H330" t="s">
        <v>182</v>
      </c>
      <c r="I330" t="s">
        <v>195</v>
      </c>
      <c r="J330" t="s">
        <v>119</v>
      </c>
      <c r="K330" t="s">
        <v>102</v>
      </c>
      <c r="L330" t="s">
        <v>223</v>
      </c>
      <c r="M330" t="s">
        <v>177</v>
      </c>
      <c r="N330" t="s">
        <v>74</v>
      </c>
      <c r="O330" t="s">
        <v>191</v>
      </c>
      <c r="P330" t="s">
        <v>71</v>
      </c>
      <c r="Q330" t="s">
        <v>71</v>
      </c>
      <c r="R330" t="s">
        <v>71</v>
      </c>
      <c r="S330">
        <v>0</v>
      </c>
      <c r="T330">
        <v>0</v>
      </c>
      <c r="U330" t="s">
        <v>72</v>
      </c>
      <c r="V330" t="s">
        <v>73</v>
      </c>
      <c r="W330">
        <v>0</v>
      </c>
      <c r="X330">
        <v>0</v>
      </c>
      <c r="Y330">
        <v>0</v>
      </c>
      <c r="Z330">
        <v>0</v>
      </c>
      <c r="AA330">
        <v>0</v>
      </c>
      <c r="AB330">
        <v>0</v>
      </c>
      <c r="AC330">
        <v>0</v>
      </c>
      <c r="AD330">
        <v>0</v>
      </c>
      <c r="AE330">
        <v>0</v>
      </c>
      <c r="AF330">
        <v>0</v>
      </c>
      <c r="AG330" t="s">
        <v>71</v>
      </c>
      <c r="AH330">
        <v>0</v>
      </c>
      <c r="AI330">
        <v>0</v>
      </c>
      <c r="AJ330">
        <v>0</v>
      </c>
      <c r="AK330">
        <v>0</v>
      </c>
      <c r="AL330" t="s">
        <v>146</v>
      </c>
      <c r="AM330" t="s">
        <v>93</v>
      </c>
      <c r="AN330" t="s">
        <v>148</v>
      </c>
      <c r="AO330" t="s">
        <v>147</v>
      </c>
      <c r="AP330">
        <v>0</v>
      </c>
      <c r="AQ330">
        <v>0</v>
      </c>
      <c r="AR330">
        <v>0</v>
      </c>
      <c r="AS330">
        <v>0</v>
      </c>
      <c r="AT330">
        <v>30</v>
      </c>
      <c r="AU330">
        <v>0</v>
      </c>
      <c r="AV330">
        <v>0</v>
      </c>
      <c r="AW330">
        <v>0</v>
      </c>
      <c r="AX330">
        <v>0</v>
      </c>
      <c r="AY330">
        <v>0</v>
      </c>
    </row>
    <row r="331" spans="1:51" x14ac:dyDescent="0.25">
      <c r="A331">
        <v>63</v>
      </c>
      <c r="B331">
        <v>10810</v>
      </c>
      <c r="C331" t="s">
        <v>735</v>
      </c>
      <c r="D331" t="s">
        <v>96</v>
      </c>
      <c r="E331" t="s">
        <v>121</v>
      </c>
      <c r="F331" t="s">
        <v>107</v>
      </c>
      <c r="G331" t="s">
        <v>77</v>
      </c>
      <c r="H331" t="s">
        <v>180</v>
      </c>
      <c r="I331" t="s">
        <v>195</v>
      </c>
      <c r="J331" t="s">
        <v>119</v>
      </c>
      <c r="K331" t="s">
        <v>102</v>
      </c>
      <c r="L331" t="s">
        <v>223</v>
      </c>
      <c r="M331" t="s">
        <v>103</v>
      </c>
      <c r="N331" t="s">
        <v>74</v>
      </c>
      <c r="O331" t="s">
        <v>191</v>
      </c>
      <c r="P331" t="s">
        <v>71</v>
      </c>
      <c r="Q331" t="s">
        <v>71</v>
      </c>
      <c r="R331" t="s">
        <v>71</v>
      </c>
      <c r="S331">
        <v>0</v>
      </c>
      <c r="T331">
        <v>0</v>
      </c>
      <c r="U331" t="s">
        <v>72</v>
      </c>
      <c r="V331" t="s">
        <v>73</v>
      </c>
      <c r="W331">
        <v>0</v>
      </c>
      <c r="X331">
        <v>0</v>
      </c>
      <c r="Y331">
        <v>0</v>
      </c>
      <c r="Z331">
        <v>0</v>
      </c>
      <c r="AA331">
        <v>0</v>
      </c>
      <c r="AB331">
        <v>0</v>
      </c>
      <c r="AC331">
        <v>0</v>
      </c>
      <c r="AD331">
        <v>0</v>
      </c>
      <c r="AE331">
        <v>0</v>
      </c>
      <c r="AF331">
        <v>0</v>
      </c>
      <c r="AG331" t="s">
        <v>71</v>
      </c>
      <c r="AH331">
        <v>0</v>
      </c>
      <c r="AI331">
        <v>0</v>
      </c>
      <c r="AJ331">
        <v>0</v>
      </c>
      <c r="AK331">
        <v>0</v>
      </c>
      <c r="AL331" t="s">
        <v>146</v>
      </c>
      <c r="AM331" t="s">
        <v>93</v>
      </c>
      <c r="AN331" t="s">
        <v>148</v>
      </c>
      <c r="AO331" t="s">
        <v>147</v>
      </c>
      <c r="AP331">
        <v>0</v>
      </c>
      <c r="AQ331">
        <v>0</v>
      </c>
      <c r="AR331">
        <v>0</v>
      </c>
      <c r="AS331">
        <v>0</v>
      </c>
      <c r="AT331">
        <v>28</v>
      </c>
      <c r="AU331">
        <v>0</v>
      </c>
      <c r="AV331">
        <v>0</v>
      </c>
      <c r="AW331">
        <v>0</v>
      </c>
      <c r="AX331">
        <v>0</v>
      </c>
      <c r="AY331">
        <v>0</v>
      </c>
    </row>
    <row r="332" spans="1:51" x14ac:dyDescent="0.25">
      <c r="A332">
        <v>64</v>
      </c>
      <c r="B332">
        <v>10820</v>
      </c>
      <c r="C332" t="s">
        <v>735</v>
      </c>
      <c r="D332" t="s">
        <v>96</v>
      </c>
      <c r="E332" t="s">
        <v>121</v>
      </c>
      <c r="F332" t="s">
        <v>107</v>
      </c>
      <c r="G332" t="s">
        <v>185</v>
      </c>
      <c r="H332" t="s">
        <v>180</v>
      </c>
      <c r="I332" t="s">
        <v>195</v>
      </c>
      <c r="J332" t="s">
        <v>119</v>
      </c>
      <c r="K332" t="s">
        <v>102</v>
      </c>
      <c r="L332" t="s">
        <v>223</v>
      </c>
      <c r="M332" t="s">
        <v>179</v>
      </c>
      <c r="N332" t="s">
        <v>74</v>
      </c>
      <c r="O332" t="s">
        <v>191</v>
      </c>
      <c r="P332" t="s">
        <v>71</v>
      </c>
      <c r="Q332" t="s">
        <v>71</v>
      </c>
      <c r="R332" t="s">
        <v>71</v>
      </c>
      <c r="S332">
        <v>0</v>
      </c>
      <c r="T332">
        <v>0</v>
      </c>
      <c r="U332" t="s">
        <v>72</v>
      </c>
      <c r="V332" t="s">
        <v>73</v>
      </c>
      <c r="W332">
        <v>0</v>
      </c>
      <c r="X332">
        <v>0</v>
      </c>
      <c r="Y332">
        <v>0</v>
      </c>
      <c r="Z332">
        <v>0</v>
      </c>
      <c r="AA332">
        <v>0</v>
      </c>
      <c r="AB332">
        <v>0</v>
      </c>
      <c r="AC332">
        <v>0</v>
      </c>
      <c r="AD332">
        <v>0</v>
      </c>
      <c r="AE332">
        <v>0</v>
      </c>
      <c r="AF332">
        <v>0</v>
      </c>
      <c r="AG332" t="s">
        <v>71</v>
      </c>
      <c r="AH332">
        <v>0</v>
      </c>
      <c r="AI332">
        <v>0</v>
      </c>
      <c r="AJ332">
        <v>0</v>
      </c>
      <c r="AK332">
        <v>0</v>
      </c>
      <c r="AL332" t="s">
        <v>146</v>
      </c>
      <c r="AM332" t="s">
        <v>93</v>
      </c>
      <c r="AN332" t="s">
        <v>148</v>
      </c>
      <c r="AO332" t="s">
        <v>147</v>
      </c>
      <c r="AP332">
        <v>0</v>
      </c>
      <c r="AQ332">
        <v>0</v>
      </c>
      <c r="AR332">
        <v>0</v>
      </c>
      <c r="AS332">
        <v>0</v>
      </c>
      <c r="AT332">
        <v>30</v>
      </c>
      <c r="AU332">
        <v>0</v>
      </c>
      <c r="AV332">
        <v>0</v>
      </c>
      <c r="AW332">
        <v>0</v>
      </c>
      <c r="AX332">
        <v>0</v>
      </c>
      <c r="AY332">
        <v>0</v>
      </c>
    </row>
    <row r="333" spans="1:51" x14ac:dyDescent="0.25">
      <c r="A333">
        <v>65</v>
      </c>
      <c r="B333">
        <v>10830</v>
      </c>
      <c r="C333" t="s">
        <v>735</v>
      </c>
      <c r="D333" t="s">
        <v>96</v>
      </c>
      <c r="E333" t="s">
        <v>121</v>
      </c>
      <c r="F333" t="s">
        <v>107</v>
      </c>
      <c r="G333" t="s">
        <v>101</v>
      </c>
      <c r="H333" t="s">
        <v>182</v>
      </c>
      <c r="I333" t="s">
        <v>197</v>
      </c>
      <c r="J333" t="s">
        <v>150</v>
      </c>
      <c r="K333" t="s">
        <v>102</v>
      </c>
      <c r="L333" t="s">
        <v>223</v>
      </c>
      <c r="M333" t="s">
        <v>179</v>
      </c>
      <c r="N333" t="s">
        <v>74</v>
      </c>
      <c r="O333" t="s">
        <v>191</v>
      </c>
      <c r="P333" t="s">
        <v>71</v>
      </c>
      <c r="Q333" t="s">
        <v>71</v>
      </c>
      <c r="R333" t="s">
        <v>71</v>
      </c>
      <c r="S333">
        <v>0</v>
      </c>
      <c r="T333">
        <v>0</v>
      </c>
      <c r="U333" t="s">
        <v>72</v>
      </c>
      <c r="V333" t="s">
        <v>73</v>
      </c>
      <c r="W333">
        <v>0</v>
      </c>
      <c r="X333">
        <v>0</v>
      </c>
      <c r="Y333">
        <v>0</v>
      </c>
      <c r="Z333">
        <v>0</v>
      </c>
      <c r="AA333">
        <v>0</v>
      </c>
      <c r="AB333">
        <v>0</v>
      </c>
      <c r="AC333">
        <v>0</v>
      </c>
      <c r="AD333">
        <v>0</v>
      </c>
      <c r="AE333">
        <v>0</v>
      </c>
      <c r="AF333">
        <v>0</v>
      </c>
      <c r="AG333" t="s">
        <v>71</v>
      </c>
      <c r="AH333">
        <v>0</v>
      </c>
      <c r="AI333">
        <v>0</v>
      </c>
      <c r="AJ333">
        <v>0</v>
      </c>
      <c r="AK333">
        <v>0</v>
      </c>
      <c r="AL333" t="s">
        <v>146</v>
      </c>
      <c r="AM333" t="s">
        <v>93</v>
      </c>
      <c r="AN333" t="s">
        <v>148</v>
      </c>
      <c r="AO333" t="s">
        <v>147</v>
      </c>
      <c r="AP333">
        <v>0</v>
      </c>
      <c r="AQ333">
        <v>0</v>
      </c>
      <c r="AR333">
        <v>0</v>
      </c>
      <c r="AS333">
        <v>0</v>
      </c>
      <c r="AT333">
        <v>158</v>
      </c>
      <c r="AU333">
        <v>0</v>
      </c>
      <c r="AV333">
        <v>0</v>
      </c>
      <c r="AW333">
        <v>0</v>
      </c>
      <c r="AX333">
        <v>0</v>
      </c>
      <c r="AY333">
        <v>0</v>
      </c>
    </row>
    <row r="334" spans="1:51" x14ac:dyDescent="0.25">
      <c r="A334">
        <v>66</v>
      </c>
      <c r="B334">
        <v>10840</v>
      </c>
      <c r="C334" t="s">
        <v>735</v>
      </c>
      <c r="D334" t="s">
        <v>96</v>
      </c>
      <c r="E334" t="s">
        <v>121</v>
      </c>
      <c r="F334" t="s">
        <v>107</v>
      </c>
      <c r="G334" t="s">
        <v>101</v>
      </c>
      <c r="H334" t="s">
        <v>180</v>
      </c>
      <c r="I334" t="s">
        <v>195</v>
      </c>
      <c r="J334" t="s">
        <v>70</v>
      </c>
      <c r="K334" t="s">
        <v>102</v>
      </c>
      <c r="L334" t="s">
        <v>205</v>
      </c>
      <c r="M334" t="s">
        <v>177</v>
      </c>
      <c r="N334" t="s">
        <v>74</v>
      </c>
      <c r="O334" t="s">
        <v>191</v>
      </c>
      <c r="P334" t="s">
        <v>71</v>
      </c>
      <c r="Q334" t="s">
        <v>71</v>
      </c>
      <c r="R334" t="s">
        <v>71</v>
      </c>
      <c r="S334">
        <v>0</v>
      </c>
      <c r="T334">
        <v>0</v>
      </c>
      <c r="U334" t="s">
        <v>72</v>
      </c>
      <c r="V334" t="s">
        <v>192</v>
      </c>
      <c r="W334">
        <v>0</v>
      </c>
      <c r="X334">
        <v>0</v>
      </c>
      <c r="Y334">
        <v>0</v>
      </c>
      <c r="Z334">
        <v>0</v>
      </c>
      <c r="AA334">
        <v>0</v>
      </c>
      <c r="AB334">
        <v>0</v>
      </c>
      <c r="AC334">
        <v>0</v>
      </c>
      <c r="AD334">
        <v>0</v>
      </c>
      <c r="AE334">
        <v>0</v>
      </c>
      <c r="AF334">
        <v>0</v>
      </c>
      <c r="AG334" t="s">
        <v>71</v>
      </c>
      <c r="AH334">
        <v>0</v>
      </c>
      <c r="AI334">
        <v>0</v>
      </c>
      <c r="AJ334">
        <v>0</v>
      </c>
      <c r="AK334">
        <v>0</v>
      </c>
      <c r="AL334" t="s">
        <v>146</v>
      </c>
      <c r="AM334" t="s">
        <v>93</v>
      </c>
      <c r="AN334" t="s">
        <v>148</v>
      </c>
      <c r="AO334" t="s">
        <v>147</v>
      </c>
      <c r="AP334">
        <v>0</v>
      </c>
      <c r="AQ334">
        <v>0</v>
      </c>
      <c r="AR334">
        <v>159</v>
      </c>
      <c r="AS334">
        <v>0</v>
      </c>
      <c r="AT334">
        <v>0</v>
      </c>
      <c r="AU334">
        <v>0</v>
      </c>
      <c r="AV334">
        <v>0</v>
      </c>
      <c r="AW334">
        <v>0</v>
      </c>
      <c r="AX334">
        <v>0</v>
      </c>
      <c r="AY334">
        <v>0</v>
      </c>
    </row>
    <row r="335" spans="1:51" x14ac:dyDescent="0.25">
      <c r="A335">
        <v>67</v>
      </c>
      <c r="B335">
        <v>10850</v>
      </c>
      <c r="C335" t="s">
        <v>735</v>
      </c>
      <c r="D335" t="s">
        <v>96</v>
      </c>
      <c r="E335" t="s">
        <v>121</v>
      </c>
      <c r="F335" t="s">
        <v>107</v>
      </c>
      <c r="G335" t="s">
        <v>77</v>
      </c>
      <c r="H335" t="s">
        <v>78</v>
      </c>
      <c r="I335" t="s">
        <v>79</v>
      </c>
      <c r="J335" t="s">
        <v>70</v>
      </c>
      <c r="K335" t="s">
        <v>102</v>
      </c>
      <c r="L335" t="s">
        <v>203</v>
      </c>
      <c r="M335" t="s">
        <v>177</v>
      </c>
      <c r="N335" t="s">
        <v>74</v>
      </c>
      <c r="O335" t="s">
        <v>104</v>
      </c>
      <c r="P335" t="s">
        <v>71</v>
      </c>
      <c r="Q335" t="s">
        <v>71</v>
      </c>
      <c r="R335" t="s">
        <v>71</v>
      </c>
      <c r="S335">
        <v>0</v>
      </c>
      <c r="T335">
        <v>0</v>
      </c>
      <c r="U335" t="s">
        <v>72</v>
      </c>
      <c r="V335" t="s">
        <v>188</v>
      </c>
      <c r="W335">
        <v>0</v>
      </c>
      <c r="X335">
        <v>0</v>
      </c>
      <c r="Y335">
        <v>0</v>
      </c>
      <c r="Z335">
        <v>0</v>
      </c>
      <c r="AA335">
        <v>0</v>
      </c>
      <c r="AB335">
        <v>0</v>
      </c>
      <c r="AC335">
        <v>0</v>
      </c>
      <c r="AD335">
        <v>0</v>
      </c>
      <c r="AE335">
        <v>0</v>
      </c>
      <c r="AF335">
        <v>0</v>
      </c>
      <c r="AG335" t="s">
        <v>71</v>
      </c>
      <c r="AH335">
        <v>0</v>
      </c>
      <c r="AI335">
        <v>0</v>
      </c>
      <c r="AJ335">
        <v>0</v>
      </c>
      <c r="AK335">
        <v>0</v>
      </c>
      <c r="AL335" t="s">
        <v>146</v>
      </c>
      <c r="AM335" t="s">
        <v>93</v>
      </c>
      <c r="AN335" t="s">
        <v>148</v>
      </c>
      <c r="AO335" t="s">
        <v>147</v>
      </c>
      <c r="AP335">
        <v>0</v>
      </c>
      <c r="AQ335">
        <v>0</v>
      </c>
      <c r="AR335">
        <v>192</v>
      </c>
      <c r="AS335">
        <v>0</v>
      </c>
      <c r="AT335">
        <v>0</v>
      </c>
      <c r="AU335">
        <v>0</v>
      </c>
      <c r="AV335">
        <v>0</v>
      </c>
      <c r="AW335">
        <v>0</v>
      </c>
      <c r="AX335">
        <v>0</v>
      </c>
      <c r="AY335">
        <v>0</v>
      </c>
    </row>
    <row r="336" spans="1:51" x14ac:dyDescent="0.25">
      <c r="A336">
        <v>68</v>
      </c>
      <c r="B336">
        <v>10860</v>
      </c>
      <c r="C336" t="s">
        <v>735</v>
      </c>
      <c r="D336" t="s">
        <v>96</v>
      </c>
      <c r="E336" t="s">
        <v>121</v>
      </c>
      <c r="F336" t="s">
        <v>107</v>
      </c>
      <c r="G336" t="s">
        <v>184</v>
      </c>
      <c r="H336" t="s">
        <v>181</v>
      </c>
      <c r="I336" t="s">
        <v>196</v>
      </c>
      <c r="J336" t="s">
        <v>70</v>
      </c>
      <c r="K336" t="s">
        <v>102</v>
      </c>
      <c r="L336" t="s">
        <v>223</v>
      </c>
      <c r="M336" t="s">
        <v>177</v>
      </c>
      <c r="N336" t="s">
        <v>74</v>
      </c>
      <c r="O336" t="s">
        <v>187</v>
      </c>
      <c r="P336" t="s">
        <v>71</v>
      </c>
      <c r="Q336" t="s">
        <v>71</v>
      </c>
      <c r="R336" t="s">
        <v>71</v>
      </c>
      <c r="S336">
        <v>0</v>
      </c>
      <c r="T336">
        <v>0</v>
      </c>
      <c r="U336" t="s">
        <v>72</v>
      </c>
      <c r="V336" t="s">
        <v>73</v>
      </c>
      <c r="W336">
        <v>0</v>
      </c>
      <c r="X336">
        <v>0</v>
      </c>
      <c r="Y336">
        <v>0</v>
      </c>
      <c r="Z336">
        <v>0</v>
      </c>
      <c r="AA336">
        <v>0</v>
      </c>
      <c r="AB336">
        <v>0</v>
      </c>
      <c r="AC336">
        <v>0</v>
      </c>
      <c r="AD336">
        <v>0</v>
      </c>
      <c r="AE336">
        <v>0</v>
      </c>
      <c r="AF336">
        <v>0</v>
      </c>
      <c r="AG336" t="s">
        <v>71</v>
      </c>
      <c r="AH336">
        <v>0</v>
      </c>
      <c r="AI336">
        <v>0</v>
      </c>
      <c r="AJ336">
        <v>0</v>
      </c>
      <c r="AK336">
        <v>0</v>
      </c>
      <c r="AL336" t="s">
        <v>146</v>
      </c>
      <c r="AM336" t="s">
        <v>93</v>
      </c>
      <c r="AN336" t="s">
        <v>148</v>
      </c>
      <c r="AO336" t="s">
        <v>147</v>
      </c>
      <c r="AP336">
        <v>0</v>
      </c>
      <c r="AQ336">
        <v>0</v>
      </c>
      <c r="AR336">
        <v>143</v>
      </c>
      <c r="AS336">
        <v>0</v>
      </c>
      <c r="AT336">
        <v>0</v>
      </c>
      <c r="AU336">
        <v>0</v>
      </c>
      <c r="AV336">
        <v>0</v>
      </c>
      <c r="AW336">
        <v>0</v>
      </c>
      <c r="AX336">
        <v>0</v>
      </c>
      <c r="AY336">
        <v>0</v>
      </c>
    </row>
    <row r="337" spans="1:51" x14ac:dyDescent="0.25">
      <c r="A337">
        <v>69</v>
      </c>
      <c r="B337">
        <v>10870</v>
      </c>
      <c r="C337" t="s">
        <v>735</v>
      </c>
      <c r="D337" t="s">
        <v>96</v>
      </c>
      <c r="E337" t="s">
        <v>121</v>
      </c>
      <c r="F337" t="s">
        <v>107</v>
      </c>
      <c r="G337" t="s">
        <v>77</v>
      </c>
      <c r="H337" t="s">
        <v>78</v>
      </c>
      <c r="I337" t="s">
        <v>79</v>
      </c>
      <c r="J337" t="s">
        <v>70</v>
      </c>
      <c r="K337" t="s">
        <v>102</v>
      </c>
      <c r="L337" t="s">
        <v>76</v>
      </c>
      <c r="M337" t="s">
        <v>177</v>
      </c>
      <c r="N337" t="s">
        <v>74</v>
      </c>
      <c r="O337" t="s">
        <v>104</v>
      </c>
      <c r="P337" t="s">
        <v>71</v>
      </c>
      <c r="Q337" t="s">
        <v>71</v>
      </c>
      <c r="R337" t="s">
        <v>71</v>
      </c>
      <c r="S337">
        <v>0</v>
      </c>
      <c r="T337">
        <v>0</v>
      </c>
      <c r="U337" t="s">
        <v>72</v>
      </c>
      <c r="V337" t="s">
        <v>192</v>
      </c>
      <c r="W337">
        <v>0</v>
      </c>
      <c r="X337">
        <v>0</v>
      </c>
      <c r="Y337">
        <v>0</v>
      </c>
      <c r="Z337">
        <v>0</v>
      </c>
      <c r="AA337">
        <v>0</v>
      </c>
      <c r="AB337">
        <v>0</v>
      </c>
      <c r="AC337">
        <v>0</v>
      </c>
      <c r="AD337">
        <v>0</v>
      </c>
      <c r="AE337">
        <v>0</v>
      </c>
      <c r="AF337">
        <v>0</v>
      </c>
      <c r="AG337" t="s">
        <v>71</v>
      </c>
      <c r="AH337">
        <v>0</v>
      </c>
      <c r="AI337">
        <v>0</v>
      </c>
      <c r="AJ337">
        <v>0</v>
      </c>
      <c r="AK337">
        <v>0</v>
      </c>
      <c r="AL337" t="s">
        <v>146</v>
      </c>
      <c r="AM337" t="s">
        <v>93</v>
      </c>
      <c r="AN337" t="s">
        <v>148</v>
      </c>
      <c r="AO337" t="s">
        <v>147</v>
      </c>
      <c r="AP337">
        <v>0</v>
      </c>
      <c r="AQ337">
        <v>0</v>
      </c>
      <c r="AR337">
        <v>144</v>
      </c>
      <c r="AS337">
        <v>0</v>
      </c>
      <c r="AT337">
        <v>0</v>
      </c>
      <c r="AU337">
        <v>0</v>
      </c>
      <c r="AV337">
        <v>0</v>
      </c>
      <c r="AW337">
        <v>0</v>
      </c>
      <c r="AX337">
        <v>0</v>
      </c>
      <c r="AY337">
        <v>0</v>
      </c>
    </row>
    <row r="338" spans="1:51" x14ac:dyDescent="0.25">
      <c r="A338">
        <v>70</v>
      </c>
      <c r="B338">
        <v>10880</v>
      </c>
      <c r="C338" t="s">
        <v>735</v>
      </c>
      <c r="D338" t="s">
        <v>96</v>
      </c>
      <c r="E338" t="s">
        <v>121</v>
      </c>
      <c r="F338" t="s">
        <v>107</v>
      </c>
      <c r="G338" t="s">
        <v>185</v>
      </c>
      <c r="H338" t="s">
        <v>182</v>
      </c>
      <c r="I338" t="s">
        <v>197</v>
      </c>
      <c r="J338" t="s">
        <v>70</v>
      </c>
      <c r="K338" t="s">
        <v>102</v>
      </c>
      <c r="L338" t="s">
        <v>223</v>
      </c>
      <c r="M338" t="s">
        <v>177</v>
      </c>
      <c r="N338" t="s">
        <v>74</v>
      </c>
      <c r="O338" t="s">
        <v>187</v>
      </c>
      <c r="P338" t="s">
        <v>71</v>
      </c>
      <c r="Q338" t="s">
        <v>71</v>
      </c>
      <c r="R338" t="s">
        <v>71</v>
      </c>
      <c r="S338">
        <v>0</v>
      </c>
      <c r="T338">
        <v>0</v>
      </c>
      <c r="U338" t="s">
        <v>72</v>
      </c>
      <c r="V338" t="s">
        <v>188</v>
      </c>
      <c r="W338">
        <v>0</v>
      </c>
      <c r="X338">
        <v>0</v>
      </c>
      <c r="Y338">
        <v>0</v>
      </c>
      <c r="Z338">
        <v>0</v>
      </c>
      <c r="AA338">
        <v>0</v>
      </c>
      <c r="AB338">
        <v>0</v>
      </c>
      <c r="AC338">
        <v>0</v>
      </c>
      <c r="AD338">
        <v>0</v>
      </c>
      <c r="AE338">
        <v>0</v>
      </c>
      <c r="AF338">
        <v>0</v>
      </c>
      <c r="AG338" t="s">
        <v>71</v>
      </c>
      <c r="AH338">
        <v>0</v>
      </c>
      <c r="AI338">
        <v>0</v>
      </c>
      <c r="AJ338">
        <v>0</v>
      </c>
      <c r="AK338">
        <v>0</v>
      </c>
      <c r="AL338" t="s">
        <v>146</v>
      </c>
      <c r="AM338" t="s">
        <v>93</v>
      </c>
      <c r="AN338" t="s">
        <v>148</v>
      </c>
      <c r="AO338" t="s">
        <v>147</v>
      </c>
      <c r="AP338">
        <v>0</v>
      </c>
      <c r="AQ338">
        <v>0</v>
      </c>
      <c r="AR338">
        <v>239</v>
      </c>
      <c r="AS338">
        <v>0</v>
      </c>
      <c r="AT338">
        <v>0</v>
      </c>
      <c r="AU338">
        <v>0</v>
      </c>
      <c r="AV338">
        <v>0</v>
      </c>
      <c r="AW338">
        <v>0</v>
      </c>
      <c r="AX338">
        <v>0</v>
      </c>
      <c r="AY338">
        <v>0</v>
      </c>
    </row>
    <row r="339" spans="1:51" x14ac:dyDescent="0.25">
      <c r="A339">
        <v>71</v>
      </c>
      <c r="B339">
        <v>10890</v>
      </c>
      <c r="C339" t="s">
        <v>735</v>
      </c>
      <c r="D339" t="s">
        <v>96</v>
      </c>
      <c r="E339" t="s">
        <v>121</v>
      </c>
      <c r="F339" t="s">
        <v>107</v>
      </c>
      <c r="G339" t="s">
        <v>101</v>
      </c>
      <c r="H339" t="s">
        <v>180</v>
      </c>
      <c r="I339" t="s">
        <v>195</v>
      </c>
      <c r="J339" t="s">
        <v>70</v>
      </c>
      <c r="K339" t="s">
        <v>102</v>
      </c>
      <c r="L339" t="s">
        <v>223</v>
      </c>
      <c r="M339" t="s">
        <v>177</v>
      </c>
      <c r="N339" t="s">
        <v>74</v>
      </c>
      <c r="O339" t="s">
        <v>191</v>
      </c>
      <c r="P339" t="s">
        <v>71</v>
      </c>
      <c r="Q339" t="s">
        <v>71</v>
      </c>
      <c r="R339" t="s">
        <v>71</v>
      </c>
      <c r="S339">
        <v>0</v>
      </c>
      <c r="T339">
        <v>0</v>
      </c>
      <c r="U339" t="s">
        <v>72</v>
      </c>
      <c r="V339" t="s">
        <v>192</v>
      </c>
      <c r="W339">
        <v>0</v>
      </c>
      <c r="X339">
        <v>0</v>
      </c>
      <c r="Y339">
        <v>0</v>
      </c>
      <c r="Z339">
        <v>0</v>
      </c>
      <c r="AA339">
        <v>0</v>
      </c>
      <c r="AB339">
        <v>0</v>
      </c>
      <c r="AC339">
        <v>0</v>
      </c>
      <c r="AD339">
        <v>0</v>
      </c>
      <c r="AE339">
        <v>0</v>
      </c>
      <c r="AF339">
        <v>0</v>
      </c>
      <c r="AG339" t="s">
        <v>71</v>
      </c>
      <c r="AH339">
        <v>0</v>
      </c>
      <c r="AI339">
        <v>0</v>
      </c>
      <c r="AJ339">
        <v>0</v>
      </c>
      <c r="AK339">
        <v>0</v>
      </c>
      <c r="AL339" t="s">
        <v>146</v>
      </c>
      <c r="AM339" t="s">
        <v>93</v>
      </c>
      <c r="AN339" t="s">
        <v>148</v>
      </c>
      <c r="AO339" t="s">
        <v>147</v>
      </c>
      <c r="AP339">
        <v>0</v>
      </c>
      <c r="AQ339">
        <v>0</v>
      </c>
      <c r="AR339">
        <v>159</v>
      </c>
      <c r="AS339">
        <v>0</v>
      </c>
      <c r="AT339">
        <v>0</v>
      </c>
      <c r="AU339">
        <v>0</v>
      </c>
      <c r="AV339">
        <v>0</v>
      </c>
      <c r="AW339">
        <v>0</v>
      </c>
      <c r="AX339">
        <v>0</v>
      </c>
      <c r="AY339">
        <v>0</v>
      </c>
    </row>
    <row r="340" spans="1:51" x14ac:dyDescent="0.25">
      <c r="A340">
        <v>72</v>
      </c>
      <c r="B340">
        <v>10900</v>
      </c>
      <c r="C340" t="s">
        <v>735</v>
      </c>
      <c r="D340" t="s">
        <v>96</v>
      </c>
      <c r="E340" t="s">
        <v>121</v>
      </c>
      <c r="F340" t="s">
        <v>107</v>
      </c>
      <c r="G340" t="s">
        <v>101</v>
      </c>
      <c r="H340" t="s">
        <v>180</v>
      </c>
      <c r="I340" t="s">
        <v>195</v>
      </c>
      <c r="J340" t="s">
        <v>70</v>
      </c>
      <c r="K340" t="s">
        <v>102</v>
      </c>
      <c r="L340" t="s">
        <v>223</v>
      </c>
      <c r="M340" t="s">
        <v>177</v>
      </c>
      <c r="N340" t="s">
        <v>74</v>
      </c>
      <c r="O340" t="s">
        <v>191</v>
      </c>
      <c r="P340" t="s">
        <v>71</v>
      </c>
      <c r="Q340" t="s">
        <v>71</v>
      </c>
      <c r="R340" t="s">
        <v>71</v>
      </c>
      <c r="S340">
        <v>0</v>
      </c>
      <c r="T340">
        <v>0</v>
      </c>
      <c r="U340" t="s">
        <v>72</v>
      </c>
      <c r="V340" t="s">
        <v>73</v>
      </c>
      <c r="W340">
        <v>0</v>
      </c>
      <c r="X340">
        <v>0</v>
      </c>
      <c r="Y340">
        <v>0</v>
      </c>
      <c r="Z340">
        <v>0</v>
      </c>
      <c r="AA340">
        <v>0</v>
      </c>
      <c r="AB340">
        <v>0</v>
      </c>
      <c r="AC340">
        <v>0</v>
      </c>
      <c r="AD340">
        <v>0</v>
      </c>
      <c r="AE340">
        <v>0</v>
      </c>
      <c r="AF340">
        <v>0</v>
      </c>
      <c r="AG340" t="s">
        <v>71</v>
      </c>
      <c r="AH340">
        <v>0</v>
      </c>
      <c r="AI340">
        <v>0</v>
      </c>
      <c r="AJ340">
        <v>0</v>
      </c>
      <c r="AK340">
        <v>0</v>
      </c>
      <c r="AL340" t="s">
        <v>146</v>
      </c>
      <c r="AM340" t="s">
        <v>93</v>
      </c>
      <c r="AN340" t="s">
        <v>148</v>
      </c>
      <c r="AO340" t="s">
        <v>147</v>
      </c>
      <c r="AP340">
        <v>0</v>
      </c>
      <c r="AQ340">
        <v>0</v>
      </c>
      <c r="AR340">
        <v>142</v>
      </c>
      <c r="AS340">
        <v>0</v>
      </c>
      <c r="AT340">
        <v>0</v>
      </c>
      <c r="AU340">
        <v>0</v>
      </c>
      <c r="AV340">
        <v>0</v>
      </c>
      <c r="AW340">
        <v>0</v>
      </c>
      <c r="AX340">
        <v>0</v>
      </c>
      <c r="AY340">
        <v>0</v>
      </c>
    </row>
    <row r="341" spans="1:51" x14ac:dyDescent="0.25">
      <c r="A341">
        <v>73</v>
      </c>
      <c r="B341">
        <v>10910</v>
      </c>
      <c r="C341" t="s">
        <v>735</v>
      </c>
      <c r="D341" t="s">
        <v>96</v>
      </c>
      <c r="E341" t="s">
        <v>121</v>
      </c>
      <c r="F341" t="s">
        <v>107</v>
      </c>
      <c r="G341" t="s">
        <v>101</v>
      </c>
      <c r="H341" t="s">
        <v>180</v>
      </c>
      <c r="I341" t="s">
        <v>195</v>
      </c>
      <c r="J341" t="s">
        <v>70</v>
      </c>
      <c r="K341" t="s">
        <v>102</v>
      </c>
      <c r="L341" t="s">
        <v>223</v>
      </c>
      <c r="M341" t="s">
        <v>177</v>
      </c>
      <c r="N341" t="s">
        <v>74</v>
      </c>
      <c r="O341" t="s">
        <v>191</v>
      </c>
      <c r="P341" t="s">
        <v>71</v>
      </c>
      <c r="Q341" t="s">
        <v>71</v>
      </c>
      <c r="R341" t="s">
        <v>71</v>
      </c>
      <c r="S341">
        <v>0</v>
      </c>
      <c r="T341">
        <v>0</v>
      </c>
      <c r="U341" t="s">
        <v>72</v>
      </c>
      <c r="V341" t="s">
        <v>188</v>
      </c>
      <c r="W341">
        <v>0</v>
      </c>
      <c r="X341">
        <v>0</v>
      </c>
      <c r="Y341">
        <v>0</v>
      </c>
      <c r="Z341">
        <v>0</v>
      </c>
      <c r="AA341">
        <v>0</v>
      </c>
      <c r="AB341">
        <v>0</v>
      </c>
      <c r="AC341">
        <v>0</v>
      </c>
      <c r="AD341">
        <v>0</v>
      </c>
      <c r="AE341">
        <v>0</v>
      </c>
      <c r="AF341">
        <v>0</v>
      </c>
      <c r="AG341" t="s">
        <v>71</v>
      </c>
      <c r="AH341">
        <v>0</v>
      </c>
      <c r="AI341">
        <v>0</v>
      </c>
      <c r="AJ341">
        <v>0</v>
      </c>
      <c r="AK341">
        <v>0</v>
      </c>
      <c r="AL341" t="s">
        <v>146</v>
      </c>
      <c r="AM341" t="s">
        <v>93</v>
      </c>
      <c r="AN341" t="s">
        <v>148</v>
      </c>
      <c r="AO341" t="s">
        <v>147</v>
      </c>
      <c r="AP341">
        <v>0</v>
      </c>
      <c r="AQ341">
        <v>0</v>
      </c>
      <c r="AR341">
        <v>238</v>
      </c>
      <c r="AS341">
        <v>0</v>
      </c>
      <c r="AT341">
        <v>0</v>
      </c>
      <c r="AU341">
        <v>0</v>
      </c>
      <c r="AV341">
        <v>0</v>
      </c>
      <c r="AW341">
        <v>0</v>
      </c>
      <c r="AX341">
        <v>0</v>
      </c>
      <c r="AY341">
        <v>0</v>
      </c>
    </row>
    <row r="342" spans="1:51" x14ac:dyDescent="0.25">
      <c r="A342">
        <v>74</v>
      </c>
      <c r="B342">
        <v>10920</v>
      </c>
      <c r="C342" t="s">
        <v>735</v>
      </c>
      <c r="D342" t="s">
        <v>96</v>
      </c>
      <c r="E342" t="s">
        <v>121</v>
      </c>
      <c r="F342" t="s">
        <v>107</v>
      </c>
      <c r="G342" t="s">
        <v>101</v>
      </c>
      <c r="H342" t="s">
        <v>180</v>
      </c>
      <c r="I342" t="s">
        <v>195</v>
      </c>
      <c r="J342" t="s">
        <v>70</v>
      </c>
      <c r="K342" t="s">
        <v>102</v>
      </c>
      <c r="L342" t="s">
        <v>223</v>
      </c>
      <c r="M342" t="s">
        <v>177</v>
      </c>
      <c r="N342" t="s">
        <v>74</v>
      </c>
      <c r="O342" t="s">
        <v>191</v>
      </c>
      <c r="P342" t="s">
        <v>71</v>
      </c>
      <c r="Q342" t="s">
        <v>71</v>
      </c>
      <c r="R342" t="s">
        <v>71</v>
      </c>
      <c r="S342">
        <v>1</v>
      </c>
      <c r="T342">
        <v>0</v>
      </c>
      <c r="U342" t="s">
        <v>72</v>
      </c>
      <c r="V342" t="s">
        <v>188</v>
      </c>
      <c r="W342">
        <v>0</v>
      </c>
      <c r="X342">
        <v>0</v>
      </c>
      <c r="Y342">
        <v>0</v>
      </c>
      <c r="Z342">
        <v>0</v>
      </c>
      <c r="AA342">
        <v>0</v>
      </c>
      <c r="AB342">
        <v>0</v>
      </c>
      <c r="AC342">
        <v>0</v>
      </c>
      <c r="AD342">
        <v>0</v>
      </c>
      <c r="AE342">
        <v>0</v>
      </c>
      <c r="AF342">
        <v>0</v>
      </c>
      <c r="AG342" t="s">
        <v>71</v>
      </c>
      <c r="AH342">
        <v>0</v>
      </c>
      <c r="AI342">
        <v>0</v>
      </c>
      <c r="AJ342">
        <v>0</v>
      </c>
      <c r="AK342">
        <v>0</v>
      </c>
      <c r="AL342" t="s">
        <v>146</v>
      </c>
      <c r="AM342" t="s">
        <v>93</v>
      </c>
      <c r="AN342" t="s">
        <v>148</v>
      </c>
      <c r="AO342" t="s">
        <v>147</v>
      </c>
      <c r="AP342">
        <v>0</v>
      </c>
      <c r="AQ342">
        <v>0</v>
      </c>
      <c r="AR342">
        <v>174</v>
      </c>
      <c r="AS342">
        <v>0</v>
      </c>
      <c r="AT342">
        <v>0</v>
      </c>
      <c r="AU342">
        <v>0</v>
      </c>
      <c r="AV342">
        <v>0</v>
      </c>
      <c r="AW342">
        <v>0</v>
      </c>
      <c r="AX342">
        <v>0</v>
      </c>
      <c r="AY342">
        <v>0</v>
      </c>
    </row>
    <row r="343" spans="1:51" x14ac:dyDescent="0.25">
      <c r="A343">
        <v>75</v>
      </c>
      <c r="B343">
        <v>10930</v>
      </c>
      <c r="C343" t="s">
        <v>735</v>
      </c>
      <c r="D343" t="s">
        <v>96</v>
      </c>
      <c r="E343" t="s">
        <v>121</v>
      </c>
      <c r="F343" t="s">
        <v>107</v>
      </c>
      <c r="G343" t="s">
        <v>101</v>
      </c>
      <c r="H343" t="s">
        <v>180</v>
      </c>
      <c r="I343" t="s">
        <v>195</v>
      </c>
      <c r="J343" t="s">
        <v>150</v>
      </c>
      <c r="K343" t="s">
        <v>102</v>
      </c>
      <c r="L343" t="s">
        <v>223</v>
      </c>
      <c r="M343" t="s">
        <v>177</v>
      </c>
      <c r="N343" t="s">
        <v>74</v>
      </c>
      <c r="O343" t="s">
        <v>187</v>
      </c>
      <c r="P343" t="s">
        <v>71</v>
      </c>
      <c r="Q343" t="s">
        <v>71</v>
      </c>
      <c r="R343" t="s">
        <v>71</v>
      </c>
      <c r="S343">
        <v>0</v>
      </c>
      <c r="T343">
        <v>0</v>
      </c>
      <c r="U343" t="s">
        <v>72</v>
      </c>
      <c r="V343" t="s">
        <v>73</v>
      </c>
      <c r="W343">
        <v>0</v>
      </c>
      <c r="X343">
        <v>0</v>
      </c>
      <c r="Y343">
        <v>0</v>
      </c>
      <c r="Z343">
        <v>0</v>
      </c>
      <c r="AA343">
        <v>0</v>
      </c>
      <c r="AB343">
        <v>0</v>
      </c>
      <c r="AC343">
        <v>0</v>
      </c>
      <c r="AD343">
        <v>0</v>
      </c>
      <c r="AE343">
        <v>0</v>
      </c>
      <c r="AF343">
        <v>0</v>
      </c>
      <c r="AG343" t="s">
        <v>71</v>
      </c>
      <c r="AH343">
        <v>0</v>
      </c>
      <c r="AI343">
        <v>0</v>
      </c>
      <c r="AJ343">
        <v>0</v>
      </c>
      <c r="AK343">
        <v>0</v>
      </c>
      <c r="AL343" t="s">
        <v>146</v>
      </c>
      <c r="AM343" t="s">
        <v>93</v>
      </c>
      <c r="AN343" t="s">
        <v>148</v>
      </c>
      <c r="AO343" t="s">
        <v>147</v>
      </c>
      <c r="AP343">
        <v>0</v>
      </c>
      <c r="AQ343">
        <v>0</v>
      </c>
      <c r="AR343">
        <v>143</v>
      </c>
      <c r="AS343">
        <v>0</v>
      </c>
      <c r="AT343">
        <v>0</v>
      </c>
      <c r="AU343">
        <v>0</v>
      </c>
      <c r="AV343">
        <v>0</v>
      </c>
      <c r="AW343">
        <v>0</v>
      </c>
      <c r="AX343">
        <v>0</v>
      </c>
      <c r="AY343">
        <v>0</v>
      </c>
    </row>
    <row r="344" spans="1:51" x14ac:dyDescent="0.25">
      <c r="A344">
        <v>76</v>
      </c>
      <c r="B344">
        <v>10940</v>
      </c>
      <c r="C344" t="s">
        <v>735</v>
      </c>
      <c r="D344" t="s">
        <v>96</v>
      </c>
      <c r="E344" t="s">
        <v>121</v>
      </c>
      <c r="F344" t="s">
        <v>107</v>
      </c>
      <c r="G344" t="s">
        <v>77</v>
      </c>
      <c r="H344" t="s">
        <v>78</v>
      </c>
      <c r="I344" t="s">
        <v>79</v>
      </c>
      <c r="J344" t="s">
        <v>152</v>
      </c>
      <c r="K344" t="s">
        <v>102</v>
      </c>
      <c r="L344" t="s">
        <v>76</v>
      </c>
      <c r="M344" t="s">
        <v>177</v>
      </c>
      <c r="N344" t="s">
        <v>74</v>
      </c>
      <c r="O344" t="s">
        <v>191</v>
      </c>
      <c r="P344" t="s">
        <v>71</v>
      </c>
      <c r="Q344" t="s">
        <v>71</v>
      </c>
      <c r="R344" t="s">
        <v>71</v>
      </c>
      <c r="S344">
        <v>0</v>
      </c>
      <c r="T344">
        <v>0</v>
      </c>
      <c r="U344" t="s">
        <v>72</v>
      </c>
      <c r="V344" t="s">
        <v>73</v>
      </c>
      <c r="W344">
        <v>0</v>
      </c>
      <c r="X344">
        <v>0</v>
      </c>
      <c r="Y344">
        <v>0</v>
      </c>
      <c r="Z344">
        <v>0</v>
      </c>
      <c r="AA344">
        <v>0</v>
      </c>
      <c r="AB344">
        <v>0</v>
      </c>
      <c r="AC344">
        <v>0</v>
      </c>
      <c r="AD344">
        <v>0</v>
      </c>
      <c r="AE344">
        <v>0</v>
      </c>
      <c r="AF344">
        <v>0</v>
      </c>
      <c r="AG344" t="s">
        <v>71</v>
      </c>
      <c r="AH344">
        <v>0</v>
      </c>
      <c r="AI344">
        <v>0</v>
      </c>
      <c r="AJ344">
        <v>0</v>
      </c>
      <c r="AK344">
        <v>0</v>
      </c>
      <c r="AL344" t="s">
        <v>146</v>
      </c>
      <c r="AM344" t="s">
        <v>93</v>
      </c>
      <c r="AN344" t="s">
        <v>148</v>
      </c>
      <c r="AO344" t="s">
        <v>147</v>
      </c>
      <c r="AP344">
        <v>0</v>
      </c>
      <c r="AQ344">
        <v>0</v>
      </c>
      <c r="AR344">
        <v>0</v>
      </c>
      <c r="AS344">
        <v>0</v>
      </c>
      <c r="AT344">
        <v>0</v>
      </c>
      <c r="AU344">
        <v>0</v>
      </c>
      <c r="AV344">
        <v>0</v>
      </c>
      <c r="AW344">
        <v>0</v>
      </c>
      <c r="AX344">
        <v>0</v>
      </c>
      <c r="AY344">
        <v>0</v>
      </c>
    </row>
    <row r="345" spans="1:51" x14ac:dyDescent="0.25">
      <c r="A345">
        <v>77</v>
      </c>
      <c r="B345">
        <v>10950</v>
      </c>
      <c r="C345" t="s">
        <v>735</v>
      </c>
      <c r="D345" t="s">
        <v>96</v>
      </c>
      <c r="E345" t="s">
        <v>100</v>
      </c>
      <c r="F345" t="s">
        <v>107</v>
      </c>
      <c r="G345" t="s">
        <v>77</v>
      </c>
      <c r="H345" t="s">
        <v>78</v>
      </c>
      <c r="I345" t="s">
        <v>79</v>
      </c>
      <c r="J345" t="s">
        <v>70</v>
      </c>
      <c r="K345" t="s">
        <v>102</v>
      </c>
      <c r="L345" t="s">
        <v>223</v>
      </c>
      <c r="M345" t="s">
        <v>177</v>
      </c>
      <c r="N345" t="s">
        <v>74</v>
      </c>
      <c r="O345" t="s">
        <v>104</v>
      </c>
      <c r="P345" t="s">
        <v>71</v>
      </c>
      <c r="Q345" t="s">
        <v>71</v>
      </c>
      <c r="R345" t="s">
        <v>71</v>
      </c>
      <c r="S345">
        <v>1</v>
      </c>
      <c r="T345">
        <v>0</v>
      </c>
      <c r="U345" t="s">
        <v>72</v>
      </c>
      <c r="V345" t="s">
        <v>188</v>
      </c>
      <c r="W345">
        <v>0</v>
      </c>
      <c r="X345">
        <v>0</v>
      </c>
      <c r="Y345">
        <v>0</v>
      </c>
      <c r="Z345">
        <v>0</v>
      </c>
      <c r="AA345">
        <v>0</v>
      </c>
      <c r="AB345">
        <v>0</v>
      </c>
      <c r="AC345">
        <v>0</v>
      </c>
      <c r="AD345">
        <v>0</v>
      </c>
      <c r="AE345">
        <v>0</v>
      </c>
      <c r="AF345">
        <v>0</v>
      </c>
      <c r="AG345" t="s">
        <v>71</v>
      </c>
      <c r="AH345">
        <v>0</v>
      </c>
      <c r="AI345">
        <v>0</v>
      </c>
      <c r="AJ345">
        <v>0</v>
      </c>
      <c r="AK345">
        <v>0</v>
      </c>
      <c r="AL345" t="s">
        <v>242</v>
      </c>
      <c r="AM345" t="s">
        <v>93</v>
      </c>
      <c r="AN345" t="s">
        <v>148</v>
      </c>
      <c r="AO345" t="s">
        <v>147</v>
      </c>
      <c r="AP345">
        <v>0</v>
      </c>
      <c r="AQ345">
        <v>0</v>
      </c>
      <c r="AR345">
        <v>0</v>
      </c>
      <c r="AS345">
        <v>0</v>
      </c>
      <c r="AT345">
        <v>0</v>
      </c>
      <c r="AU345">
        <v>0</v>
      </c>
      <c r="AV345">
        <v>0</v>
      </c>
      <c r="AW345">
        <v>0</v>
      </c>
      <c r="AX345">
        <v>0</v>
      </c>
      <c r="AY345">
        <v>0</v>
      </c>
    </row>
    <row r="346" spans="1:51" x14ac:dyDescent="0.25">
      <c r="A346">
        <v>78</v>
      </c>
      <c r="B346">
        <v>10960</v>
      </c>
      <c r="C346" t="s">
        <v>735</v>
      </c>
      <c r="D346" t="s">
        <v>96</v>
      </c>
      <c r="E346" t="s">
        <v>186</v>
      </c>
      <c r="F346" t="s">
        <v>107</v>
      </c>
      <c r="G346" t="s">
        <v>101</v>
      </c>
      <c r="H346" t="s">
        <v>180</v>
      </c>
      <c r="I346" t="s">
        <v>195</v>
      </c>
      <c r="J346" t="s">
        <v>70</v>
      </c>
      <c r="K346" t="s">
        <v>102</v>
      </c>
      <c r="L346" t="s">
        <v>223</v>
      </c>
      <c r="M346" t="s">
        <v>177</v>
      </c>
      <c r="N346" t="s">
        <v>74</v>
      </c>
      <c r="O346" t="s">
        <v>191</v>
      </c>
      <c r="P346" t="s">
        <v>110</v>
      </c>
      <c r="Q346" t="s">
        <v>110</v>
      </c>
      <c r="R346" t="s">
        <v>110</v>
      </c>
      <c r="S346">
        <v>0</v>
      </c>
      <c r="T346">
        <v>0</v>
      </c>
      <c r="U346" t="s">
        <v>72</v>
      </c>
      <c r="V346" t="s">
        <v>73</v>
      </c>
      <c r="W346">
        <v>0</v>
      </c>
      <c r="X346">
        <v>0</v>
      </c>
      <c r="Y346">
        <v>0</v>
      </c>
      <c r="Z346">
        <v>0</v>
      </c>
      <c r="AA346">
        <v>0</v>
      </c>
      <c r="AB346">
        <v>0</v>
      </c>
      <c r="AC346">
        <v>0</v>
      </c>
      <c r="AD346">
        <v>0</v>
      </c>
      <c r="AE346">
        <v>0</v>
      </c>
      <c r="AF346">
        <v>0</v>
      </c>
      <c r="AG346" t="s">
        <v>71</v>
      </c>
      <c r="AH346">
        <v>0</v>
      </c>
      <c r="AI346">
        <v>0</v>
      </c>
      <c r="AJ346">
        <v>0</v>
      </c>
      <c r="AK346">
        <v>0</v>
      </c>
      <c r="AL346" t="s">
        <v>242</v>
      </c>
      <c r="AM346" t="s">
        <v>93</v>
      </c>
      <c r="AN346" t="s">
        <v>148</v>
      </c>
      <c r="AO346" t="s">
        <v>147</v>
      </c>
      <c r="AP346">
        <v>0</v>
      </c>
      <c r="AQ346">
        <v>0</v>
      </c>
      <c r="AR346">
        <v>0</v>
      </c>
      <c r="AS346">
        <v>0</v>
      </c>
      <c r="AT346">
        <v>0</v>
      </c>
      <c r="AU346">
        <v>0</v>
      </c>
      <c r="AV346">
        <v>0</v>
      </c>
      <c r="AW346">
        <v>0</v>
      </c>
      <c r="AX346">
        <v>0</v>
      </c>
      <c r="AY346">
        <v>0</v>
      </c>
    </row>
    <row r="347" spans="1:51" x14ac:dyDescent="0.25">
      <c r="A347">
        <v>78</v>
      </c>
      <c r="B347">
        <v>10970</v>
      </c>
      <c r="C347" t="s">
        <v>735</v>
      </c>
      <c r="D347" t="s">
        <v>96</v>
      </c>
      <c r="E347" t="s">
        <v>121</v>
      </c>
      <c r="F347" t="s">
        <v>107</v>
      </c>
      <c r="G347" t="s">
        <v>101</v>
      </c>
      <c r="H347" t="s">
        <v>180</v>
      </c>
      <c r="I347" t="s">
        <v>195</v>
      </c>
      <c r="J347" t="s">
        <v>150</v>
      </c>
      <c r="K347" t="s">
        <v>102</v>
      </c>
      <c r="L347" t="s">
        <v>223</v>
      </c>
      <c r="M347" t="s">
        <v>177</v>
      </c>
      <c r="N347" t="s">
        <v>74</v>
      </c>
      <c r="O347" t="s">
        <v>191</v>
      </c>
      <c r="P347" t="s">
        <v>71</v>
      </c>
      <c r="Q347" t="s">
        <v>71</v>
      </c>
      <c r="R347" t="s">
        <v>71</v>
      </c>
      <c r="S347">
        <v>0</v>
      </c>
      <c r="T347">
        <v>0</v>
      </c>
      <c r="U347" t="s">
        <v>72</v>
      </c>
      <c r="V347" t="s">
        <v>73</v>
      </c>
      <c r="W347">
        <v>0</v>
      </c>
      <c r="X347">
        <v>0</v>
      </c>
      <c r="Y347">
        <v>0</v>
      </c>
      <c r="Z347">
        <v>0</v>
      </c>
      <c r="AA347">
        <v>0</v>
      </c>
      <c r="AB347">
        <v>0</v>
      </c>
      <c r="AC347">
        <v>0</v>
      </c>
      <c r="AD347">
        <v>0</v>
      </c>
      <c r="AE347">
        <v>0</v>
      </c>
      <c r="AF347">
        <v>0</v>
      </c>
      <c r="AG347" t="s">
        <v>71</v>
      </c>
      <c r="AH347">
        <v>0</v>
      </c>
      <c r="AI347">
        <v>0</v>
      </c>
      <c r="AJ347">
        <v>0</v>
      </c>
      <c r="AK347">
        <v>0</v>
      </c>
      <c r="AL347" t="s">
        <v>146</v>
      </c>
      <c r="AM347" t="s">
        <v>93</v>
      </c>
      <c r="AN347" t="s">
        <v>148</v>
      </c>
      <c r="AO347" t="s">
        <v>147</v>
      </c>
      <c r="AP347">
        <v>0</v>
      </c>
      <c r="AQ347">
        <v>0</v>
      </c>
      <c r="AR347">
        <v>0</v>
      </c>
      <c r="AS347">
        <v>0</v>
      </c>
      <c r="AT347">
        <v>0</v>
      </c>
      <c r="AU347">
        <v>0</v>
      </c>
      <c r="AV347">
        <v>0</v>
      </c>
      <c r="AW347">
        <v>0</v>
      </c>
      <c r="AX347">
        <v>0</v>
      </c>
      <c r="AY347">
        <v>0</v>
      </c>
    </row>
    <row r="348" spans="1:51" x14ac:dyDescent="0.25">
      <c r="A348">
        <v>79</v>
      </c>
      <c r="B348">
        <v>10980</v>
      </c>
      <c r="C348" t="s">
        <v>735</v>
      </c>
      <c r="D348" t="s">
        <v>96</v>
      </c>
      <c r="E348" t="s">
        <v>186</v>
      </c>
      <c r="F348" t="s">
        <v>107</v>
      </c>
      <c r="G348" t="s">
        <v>77</v>
      </c>
      <c r="H348" t="s">
        <v>78</v>
      </c>
      <c r="I348" t="s">
        <v>79</v>
      </c>
      <c r="J348" t="s">
        <v>70</v>
      </c>
      <c r="K348" t="s">
        <v>102</v>
      </c>
      <c r="L348" t="s">
        <v>223</v>
      </c>
      <c r="M348" t="s">
        <v>177</v>
      </c>
      <c r="N348" t="s">
        <v>74</v>
      </c>
      <c r="O348" t="s">
        <v>104</v>
      </c>
      <c r="P348" t="s">
        <v>71</v>
      </c>
      <c r="Q348" t="s">
        <v>71</v>
      </c>
      <c r="R348" t="s">
        <v>71</v>
      </c>
      <c r="S348">
        <v>1</v>
      </c>
      <c r="T348">
        <v>0</v>
      </c>
      <c r="U348" t="s">
        <v>72</v>
      </c>
      <c r="V348" t="s">
        <v>188</v>
      </c>
      <c r="W348">
        <v>0</v>
      </c>
      <c r="X348">
        <v>0</v>
      </c>
      <c r="Y348">
        <v>0</v>
      </c>
      <c r="Z348">
        <v>0</v>
      </c>
      <c r="AA348">
        <v>0</v>
      </c>
      <c r="AB348">
        <v>0</v>
      </c>
      <c r="AC348">
        <v>0</v>
      </c>
      <c r="AD348">
        <v>0</v>
      </c>
      <c r="AE348">
        <v>0</v>
      </c>
      <c r="AF348">
        <v>0</v>
      </c>
      <c r="AG348" t="s">
        <v>71</v>
      </c>
      <c r="AH348">
        <v>0</v>
      </c>
      <c r="AI348">
        <v>0</v>
      </c>
      <c r="AJ348">
        <v>0</v>
      </c>
      <c r="AK348">
        <v>0</v>
      </c>
      <c r="AL348" t="s">
        <v>242</v>
      </c>
      <c r="AM348" t="s">
        <v>93</v>
      </c>
      <c r="AN348" t="s">
        <v>148</v>
      </c>
      <c r="AO348" t="s">
        <v>147</v>
      </c>
      <c r="AP348">
        <v>0</v>
      </c>
      <c r="AQ348">
        <v>0</v>
      </c>
      <c r="AR348">
        <v>0</v>
      </c>
      <c r="AS348">
        <v>0</v>
      </c>
      <c r="AT348">
        <v>0</v>
      </c>
      <c r="AU348">
        <v>0</v>
      </c>
      <c r="AV348">
        <v>0</v>
      </c>
      <c r="AW348">
        <v>0</v>
      </c>
      <c r="AX348">
        <v>0</v>
      </c>
      <c r="AY348">
        <v>0</v>
      </c>
    </row>
    <row r="349" spans="1:51" x14ac:dyDescent="0.25">
      <c r="A349">
        <v>80</v>
      </c>
      <c r="B349">
        <v>10990</v>
      </c>
      <c r="C349" t="s">
        <v>735</v>
      </c>
      <c r="D349" t="s">
        <v>96</v>
      </c>
      <c r="E349" t="s">
        <v>100</v>
      </c>
      <c r="F349" t="s">
        <v>107</v>
      </c>
      <c r="G349" t="s">
        <v>77</v>
      </c>
      <c r="H349" t="s">
        <v>78</v>
      </c>
      <c r="I349" t="s">
        <v>79</v>
      </c>
      <c r="J349" t="s">
        <v>150</v>
      </c>
      <c r="K349" t="s">
        <v>102</v>
      </c>
      <c r="L349" t="s">
        <v>223</v>
      </c>
      <c r="M349" t="s">
        <v>177</v>
      </c>
      <c r="N349" t="s">
        <v>74</v>
      </c>
      <c r="O349" t="s">
        <v>104</v>
      </c>
      <c r="P349" t="s">
        <v>71</v>
      </c>
      <c r="Q349" t="s">
        <v>71</v>
      </c>
      <c r="R349" t="s">
        <v>71</v>
      </c>
      <c r="S349">
        <v>1</v>
      </c>
      <c r="T349">
        <v>0</v>
      </c>
      <c r="U349" t="s">
        <v>72</v>
      </c>
      <c r="V349" t="s">
        <v>188</v>
      </c>
      <c r="W349">
        <v>0</v>
      </c>
      <c r="X349">
        <v>0</v>
      </c>
      <c r="Y349">
        <v>0</v>
      </c>
      <c r="Z349">
        <v>0</v>
      </c>
      <c r="AA349">
        <v>0</v>
      </c>
      <c r="AB349">
        <v>0</v>
      </c>
      <c r="AC349">
        <v>0</v>
      </c>
      <c r="AD349">
        <v>0</v>
      </c>
      <c r="AE349">
        <v>0</v>
      </c>
      <c r="AF349">
        <v>0</v>
      </c>
      <c r="AG349" t="s">
        <v>71</v>
      </c>
      <c r="AH349">
        <v>0</v>
      </c>
      <c r="AI349">
        <v>0</v>
      </c>
      <c r="AJ349">
        <v>0</v>
      </c>
      <c r="AK349">
        <v>0</v>
      </c>
      <c r="AL349" t="s">
        <v>242</v>
      </c>
      <c r="AM349" t="s">
        <v>93</v>
      </c>
      <c r="AN349" t="s">
        <v>148</v>
      </c>
      <c r="AO349" t="s">
        <v>147</v>
      </c>
      <c r="AP349">
        <v>0</v>
      </c>
      <c r="AQ349">
        <v>0</v>
      </c>
      <c r="AR349">
        <v>0</v>
      </c>
      <c r="AS349">
        <v>0</v>
      </c>
      <c r="AT349">
        <v>0</v>
      </c>
      <c r="AU349">
        <v>0</v>
      </c>
      <c r="AV349">
        <v>0</v>
      </c>
      <c r="AW349">
        <v>0</v>
      </c>
      <c r="AX349">
        <v>0</v>
      </c>
      <c r="AY349">
        <v>0</v>
      </c>
    </row>
    <row r="350" spans="1:51" x14ac:dyDescent="0.25">
      <c r="A350">
        <v>80</v>
      </c>
      <c r="B350">
        <v>11000</v>
      </c>
      <c r="C350" t="s">
        <v>735</v>
      </c>
      <c r="D350" t="s">
        <v>96</v>
      </c>
      <c r="E350" t="s">
        <v>100</v>
      </c>
      <c r="F350" t="s">
        <v>107</v>
      </c>
      <c r="G350" t="s">
        <v>77</v>
      </c>
      <c r="H350" t="s">
        <v>78</v>
      </c>
      <c r="I350" t="s">
        <v>79</v>
      </c>
      <c r="J350" t="s">
        <v>150</v>
      </c>
      <c r="K350" t="s">
        <v>102</v>
      </c>
      <c r="L350" t="s">
        <v>223</v>
      </c>
      <c r="M350" t="s">
        <v>177</v>
      </c>
      <c r="N350" t="s">
        <v>74</v>
      </c>
      <c r="O350" t="s">
        <v>104</v>
      </c>
      <c r="P350" t="s">
        <v>71</v>
      </c>
      <c r="Q350" t="s">
        <v>71</v>
      </c>
      <c r="R350" t="s">
        <v>71</v>
      </c>
      <c r="S350">
        <v>1</v>
      </c>
      <c r="T350">
        <v>0</v>
      </c>
      <c r="U350" t="s">
        <v>72</v>
      </c>
      <c r="V350" t="s">
        <v>188</v>
      </c>
      <c r="W350">
        <v>0</v>
      </c>
      <c r="X350">
        <v>0</v>
      </c>
      <c r="Y350">
        <v>0</v>
      </c>
      <c r="Z350">
        <v>0</v>
      </c>
      <c r="AA350">
        <v>0</v>
      </c>
      <c r="AB350">
        <v>0</v>
      </c>
      <c r="AC350">
        <v>0</v>
      </c>
      <c r="AD350">
        <v>0</v>
      </c>
      <c r="AE350">
        <v>0</v>
      </c>
      <c r="AF350">
        <v>0</v>
      </c>
      <c r="AG350" t="s">
        <v>71</v>
      </c>
      <c r="AH350">
        <v>0</v>
      </c>
      <c r="AI350">
        <v>0</v>
      </c>
      <c r="AJ350">
        <v>0</v>
      </c>
      <c r="AK350">
        <v>0</v>
      </c>
      <c r="AL350" t="s">
        <v>242</v>
      </c>
      <c r="AM350" t="s">
        <v>93</v>
      </c>
      <c r="AN350" t="s">
        <v>148</v>
      </c>
      <c r="AO350" t="s">
        <v>147</v>
      </c>
      <c r="AP350">
        <v>0</v>
      </c>
      <c r="AQ350">
        <v>0</v>
      </c>
      <c r="AR350">
        <v>0</v>
      </c>
      <c r="AS350">
        <v>0</v>
      </c>
      <c r="AT350">
        <v>0</v>
      </c>
      <c r="AU350">
        <v>0</v>
      </c>
      <c r="AV350">
        <v>0</v>
      </c>
      <c r="AW350">
        <v>0</v>
      </c>
      <c r="AX350">
        <v>0</v>
      </c>
      <c r="AY350">
        <v>0</v>
      </c>
    </row>
    <row r="351" spans="1:51" x14ac:dyDescent="0.25">
      <c r="A351">
        <v>80</v>
      </c>
      <c r="B351">
        <v>12970</v>
      </c>
      <c r="C351" t="s">
        <v>735</v>
      </c>
      <c r="D351" t="s">
        <v>96</v>
      </c>
      <c r="E351" t="s">
        <v>100</v>
      </c>
      <c r="F351" t="s">
        <v>107</v>
      </c>
      <c r="G351" t="s">
        <v>77</v>
      </c>
      <c r="H351" t="s">
        <v>78</v>
      </c>
      <c r="I351" t="s">
        <v>79</v>
      </c>
      <c r="J351" t="s">
        <v>150</v>
      </c>
      <c r="K351" t="s">
        <v>102</v>
      </c>
      <c r="L351" t="s">
        <v>223</v>
      </c>
      <c r="M351" t="s">
        <v>177</v>
      </c>
      <c r="N351" t="s">
        <v>74</v>
      </c>
      <c r="O351" t="s">
        <v>104</v>
      </c>
      <c r="P351" t="s">
        <v>71</v>
      </c>
      <c r="Q351" t="s">
        <v>71</v>
      </c>
      <c r="R351" t="s">
        <v>71</v>
      </c>
      <c r="S351">
        <v>1</v>
      </c>
      <c r="T351">
        <v>0</v>
      </c>
      <c r="U351" t="s">
        <v>72</v>
      </c>
      <c r="V351" t="s">
        <v>188</v>
      </c>
      <c r="W351">
        <v>0</v>
      </c>
      <c r="X351">
        <v>0</v>
      </c>
      <c r="Y351">
        <v>0</v>
      </c>
      <c r="Z351">
        <v>0</v>
      </c>
      <c r="AA351">
        <v>0</v>
      </c>
      <c r="AB351">
        <v>0</v>
      </c>
      <c r="AC351">
        <v>0</v>
      </c>
      <c r="AD351">
        <v>0</v>
      </c>
      <c r="AE351">
        <v>0</v>
      </c>
      <c r="AF351">
        <v>0</v>
      </c>
      <c r="AG351" t="s">
        <v>71</v>
      </c>
      <c r="AH351">
        <v>0</v>
      </c>
      <c r="AI351">
        <v>0</v>
      </c>
      <c r="AJ351">
        <v>0</v>
      </c>
      <c r="AK351">
        <v>0</v>
      </c>
      <c r="AL351" t="s">
        <v>242</v>
      </c>
      <c r="AM351" t="s">
        <v>93</v>
      </c>
      <c r="AN351" t="s">
        <v>148</v>
      </c>
      <c r="AO351" t="s">
        <v>147</v>
      </c>
      <c r="AP351">
        <v>0</v>
      </c>
      <c r="AQ351">
        <v>0</v>
      </c>
      <c r="AR351">
        <v>0</v>
      </c>
      <c r="AS351">
        <v>0</v>
      </c>
      <c r="AT351">
        <v>0</v>
      </c>
      <c r="AU351">
        <v>0</v>
      </c>
      <c r="AV351">
        <v>0</v>
      </c>
      <c r="AW351">
        <v>0</v>
      </c>
      <c r="AX351">
        <v>0</v>
      </c>
      <c r="AY351">
        <v>0</v>
      </c>
    </row>
    <row r="352" spans="1:51" x14ac:dyDescent="0.25">
      <c r="A352">
        <v>80</v>
      </c>
      <c r="B352">
        <v>12980</v>
      </c>
      <c r="C352" t="s">
        <v>735</v>
      </c>
      <c r="D352" t="s">
        <v>96</v>
      </c>
      <c r="E352" t="s">
        <v>100</v>
      </c>
      <c r="F352" t="s">
        <v>107</v>
      </c>
      <c r="G352" t="s">
        <v>77</v>
      </c>
      <c r="H352" t="s">
        <v>78</v>
      </c>
      <c r="I352" t="s">
        <v>79</v>
      </c>
      <c r="J352" t="s">
        <v>150</v>
      </c>
      <c r="K352" t="s">
        <v>102</v>
      </c>
      <c r="L352" t="s">
        <v>223</v>
      </c>
      <c r="M352" t="s">
        <v>177</v>
      </c>
      <c r="N352" t="s">
        <v>74</v>
      </c>
      <c r="O352" t="s">
        <v>104</v>
      </c>
      <c r="P352" t="s">
        <v>71</v>
      </c>
      <c r="Q352" t="s">
        <v>71</v>
      </c>
      <c r="R352" t="s">
        <v>71</v>
      </c>
      <c r="S352">
        <v>1</v>
      </c>
      <c r="T352">
        <v>0</v>
      </c>
      <c r="U352" t="s">
        <v>72</v>
      </c>
      <c r="V352" t="s">
        <v>188</v>
      </c>
      <c r="W352">
        <v>0</v>
      </c>
      <c r="X352">
        <v>0</v>
      </c>
      <c r="Y352">
        <v>0</v>
      </c>
      <c r="Z352">
        <v>0</v>
      </c>
      <c r="AA352">
        <v>0</v>
      </c>
      <c r="AB352">
        <v>0</v>
      </c>
      <c r="AC352">
        <v>0</v>
      </c>
      <c r="AD352">
        <v>0</v>
      </c>
      <c r="AE352">
        <v>0</v>
      </c>
      <c r="AF352">
        <v>0</v>
      </c>
      <c r="AG352" t="s">
        <v>71</v>
      </c>
      <c r="AH352">
        <v>0</v>
      </c>
      <c r="AI352">
        <v>0</v>
      </c>
      <c r="AJ352">
        <v>0</v>
      </c>
      <c r="AK352">
        <v>0</v>
      </c>
      <c r="AL352" t="s">
        <v>242</v>
      </c>
      <c r="AM352" t="s">
        <v>93</v>
      </c>
      <c r="AN352" t="s">
        <v>148</v>
      </c>
      <c r="AO352" t="s">
        <v>147</v>
      </c>
      <c r="AP352">
        <v>0</v>
      </c>
      <c r="AQ352">
        <v>0</v>
      </c>
      <c r="AR352">
        <v>0</v>
      </c>
      <c r="AS352">
        <v>0</v>
      </c>
      <c r="AT352">
        <v>0</v>
      </c>
      <c r="AU352">
        <v>0</v>
      </c>
      <c r="AV352">
        <v>0</v>
      </c>
      <c r="AW352">
        <v>0</v>
      </c>
      <c r="AX352">
        <v>0</v>
      </c>
      <c r="AY352">
        <v>0</v>
      </c>
    </row>
    <row r="353" spans="1:51" x14ac:dyDescent="0.25">
      <c r="A353">
        <v>80</v>
      </c>
      <c r="B353">
        <v>12990</v>
      </c>
      <c r="C353" t="s">
        <v>735</v>
      </c>
      <c r="D353" t="s">
        <v>96</v>
      </c>
      <c r="E353" t="s">
        <v>100</v>
      </c>
      <c r="F353" t="s">
        <v>107</v>
      </c>
      <c r="G353" t="s">
        <v>77</v>
      </c>
      <c r="H353" t="s">
        <v>78</v>
      </c>
      <c r="I353" t="s">
        <v>79</v>
      </c>
      <c r="J353" t="s">
        <v>150</v>
      </c>
      <c r="K353" t="s">
        <v>102</v>
      </c>
      <c r="L353" t="s">
        <v>223</v>
      </c>
      <c r="M353" t="s">
        <v>177</v>
      </c>
      <c r="N353" t="s">
        <v>74</v>
      </c>
      <c r="O353" t="s">
        <v>104</v>
      </c>
      <c r="P353" t="s">
        <v>71</v>
      </c>
      <c r="Q353" t="s">
        <v>71</v>
      </c>
      <c r="R353" t="s">
        <v>71</v>
      </c>
      <c r="S353">
        <v>1</v>
      </c>
      <c r="T353">
        <v>0</v>
      </c>
      <c r="U353" t="s">
        <v>72</v>
      </c>
      <c r="V353" t="s">
        <v>188</v>
      </c>
      <c r="W353">
        <v>0</v>
      </c>
      <c r="X353">
        <v>0</v>
      </c>
      <c r="Y353">
        <v>0</v>
      </c>
      <c r="Z353">
        <v>0</v>
      </c>
      <c r="AA353">
        <v>0</v>
      </c>
      <c r="AB353">
        <v>0</v>
      </c>
      <c r="AC353">
        <v>0</v>
      </c>
      <c r="AD353">
        <v>0</v>
      </c>
      <c r="AE353">
        <v>0</v>
      </c>
      <c r="AF353">
        <v>0</v>
      </c>
      <c r="AG353" t="s">
        <v>71</v>
      </c>
      <c r="AH353">
        <v>0</v>
      </c>
      <c r="AI353">
        <v>0</v>
      </c>
      <c r="AJ353">
        <v>0</v>
      </c>
      <c r="AK353">
        <v>0</v>
      </c>
      <c r="AL353" t="s">
        <v>146</v>
      </c>
      <c r="AM353" t="s">
        <v>93</v>
      </c>
      <c r="AN353" t="s">
        <v>94</v>
      </c>
      <c r="AO353" t="s">
        <v>147</v>
      </c>
      <c r="AP353">
        <v>0</v>
      </c>
      <c r="AQ353">
        <v>0</v>
      </c>
      <c r="AR353">
        <v>0</v>
      </c>
      <c r="AS353">
        <v>0</v>
      </c>
      <c r="AT353">
        <v>0</v>
      </c>
      <c r="AU353">
        <v>0</v>
      </c>
      <c r="AV353">
        <v>0</v>
      </c>
      <c r="AW353">
        <v>1</v>
      </c>
      <c r="AX353">
        <v>0</v>
      </c>
      <c r="AY353">
        <v>0</v>
      </c>
    </row>
    <row r="354" spans="1:51" x14ac:dyDescent="0.25">
      <c r="A354">
        <v>80</v>
      </c>
      <c r="B354">
        <v>13000</v>
      </c>
      <c r="C354" t="s">
        <v>735</v>
      </c>
      <c r="D354" t="s">
        <v>96</v>
      </c>
      <c r="E354" t="s">
        <v>100</v>
      </c>
      <c r="F354" t="s">
        <v>107</v>
      </c>
      <c r="G354" t="s">
        <v>77</v>
      </c>
      <c r="H354" t="s">
        <v>78</v>
      </c>
      <c r="I354" t="s">
        <v>79</v>
      </c>
      <c r="J354" t="s">
        <v>150</v>
      </c>
      <c r="K354" t="s">
        <v>102</v>
      </c>
      <c r="L354" t="s">
        <v>223</v>
      </c>
      <c r="M354" t="s">
        <v>177</v>
      </c>
      <c r="N354" t="s">
        <v>74</v>
      </c>
      <c r="O354" t="s">
        <v>104</v>
      </c>
      <c r="P354" t="s">
        <v>71</v>
      </c>
      <c r="Q354" t="s">
        <v>71</v>
      </c>
      <c r="R354" t="s">
        <v>71</v>
      </c>
      <c r="S354">
        <v>1</v>
      </c>
      <c r="T354">
        <v>0</v>
      </c>
      <c r="U354" t="s">
        <v>72</v>
      </c>
      <c r="V354" t="s">
        <v>188</v>
      </c>
      <c r="W354">
        <v>0</v>
      </c>
      <c r="X354">
        <v>0</v>
      </c>
      <c r="Y354">
        <v>0</v>
      </c>
      <c r="Z354">
        <v>0</v>
      </c>
      <c r="AA354">
        <v>0</v>
      </c>
      <c r="AB354">
        <v>0</v>
      </c>
      <c r="AC354">
        <v>0</v>
      </c>
      <c r="AD354">
        <v>0</v>
      </c>
      <c r="AE354">
        <v>0</v>
      </c>
      <c r="AF354">
        <v>0</v>
      </c>
      <c r="AG354" t="s">
        <v>71</v>
      </c>
      <c r="AH354">
        <v>0</v>
      </c>
      <c r="AI354">
        <v>0</v>
      </c>
      <c r="AJ354">
        <v>0</v>
      </c>
      <c r="AK354">
        <v>0</v>
      </c>
      <c r="AL354" t="s">
        <v>146</v>
      </c>
      <c r="AM354" t="s">
        <v>93</v>
      </c>
      <c r="AN354" t="s">
        <v>94</v>
      </c>
      <c r="AO354" t="s">
        <v>147</v>
      </c>
      <c r="AP354">
        <v>0</v>
      </c>
      <c r="AQ354">
        <v>0</v>
      </c>
      <c r="AR354">
        <v>0</v>
      </c>
      <c r="AS354">
        <v>0</v>
      </c>
      <c r="AT354">
        <v>0</v>
      </c>
      <c r="AU354">
        <v>0</v>
      </c>
      <c r="AV354">
        <v>0</v>
      </c>
      <c r="AW354">
        <v>1</v>
      </c>
      <c r="AX354">
        <v>0</v>
      </c>
      <c r="AY354">
        <v>0</v>
      </c>
    </row>
    <row r="355" spans="1:51" x14ac:dyDescent="0.25">
      <c r="A355">
        <v>80</v>
      </c>
      <c r="B355">
        <v>15970</v>
      </c>
      <c r="C355" t="s">
        <v>735</v>
      </c>
      <c r="D355" t="s">
        <v>96</v>
      </c>
      <c r="E355" t="s">
        <v>100</v>
      </c>
      <c r="F355" t="s">
        <v>107</v>
      </c>
      <c r="G355" t="s">
        <v>77</v>
      </c>
      <c r="H355" t="s">
        <v>78</v>
      </c>
      <c r="I355" t="s">
        <v>79</v>
      </c>
      <c r="J355" t="s">
        <v>150</v>
      </c>
      <c r="K355" t="s">
        <v>102</v>
      </c>
      <c r="L355" t="s">
        <v>223</v>
      </c>
      <c r="M355" t="s">
        <v>177</v>
      </c>
      <c r="N355" t="s">
        <v>74</v>
      </c>
      <c r="O355" t="s">
        <v>104</v>
      </c>
      <c r="P355" t="s">
        <v>71</v>
      </c>
      <c r="Q355" t="s">
        <v>71</v>
      </c>
      <c r="R355" t="s">
        <v>71</v>
      </c>
      <c r="S355">
        <v>1</v>
      </c>
      <c r="T355">
        <v>0</v>
      </c>
      <c r="U355" t="s">
        <v>72</v>
      </c>
      <c r="V355" t="s">
        <v>188</v>
      </c>
      <c r="W355">
        <v>0</v>
      </c>
      <c r="X355">
        <v>0</v>
      </c>
      <c r="Y355">
        <v>0</v>
      </c>
      <c r="Z355">
        <v>0</v>
      </c>
      <c r="AA355">
        <v>0</v>
      </c>
      <c r="AB355">
        <v>0</v>
      </c>
      <c r="AC355">
        <v>0</v>
      </c>
      <c r="AD355">
        <v>0</v>
      </c>
      <c r="AE355">
        <v>0</v>
      </c>
      <c r="AF355">
        <v>0</v>
      </c>
      <c r="AG355" t="s">
        <v>71</v>
      </c>
      <c r="AH355">
        <v>0</v>
      </c>
      <c r="AI355">
        <v>0</v>
      </c>
      <c r="AJ355">
        <v>0</v>
      </c>
      <c r="AK355">
        <v>0</v>
      </c>
      <c r="AL355" t="s">
        <v>146</v>
      </c>
      <c r="AM355" t="s">
        <v>93</v>
      </c>
      <c r="AN355" t="s">
        <v>94</v>
      </c>
      <c r="AO355" t="s">
        <v>147</v>
      </c>
      <c r="AP355">
        <v>0</v>
      </c>
      <c r="AQ355">
        <v>0</v>
      </c>
      <c r="AR355">
        <v>0</v>
      </c>
      <c r="AS355">
        <v>0</v>
      </c>
      <c r="AT355">
        <v>0</v>
      </c>
      <c r="AU355">
        <v>0</v>
      </c>
      <c r="AV355">
        <v>0</v>
      </c>
      <c r="AW355">
        <v>1</v>
      </c>
      <c r="AX355">
        <v>0</v>
      </c>
      <c r="AY355">
        <v>0</v>
      </c>
    </row>
    <row r="356" spans="1:51" x14ac:dyDescent="0.25">
      <c r="A356">
        <v>80</v>
      </c>
      <c r="B356">
        <v>15980</v>
      </c>
      <c r="C356" t="s">
        <v>735</v>
      </c>
      <c r="D356" t="s">
        <v>96</v>
      </c>
      <c r="E356" t="s">
        <v>100</v>
      </c>
      <c r="F356" t="s">
        <v>107</v>
      </c>
      <c r="G356" t="s">
        <v>77</v>
      </c>
      <c r="H356" t="s">
        <v>78</v>
      </c>
      <c r="I356" t="s">
        <v>79</v>
      </c>
      <c r="J356" t="s">
        <v>150</v>
      </c>
      <c r="K356" t="s">
        <v>102</v>
      </c>
      <c r="L356" t="s">
        <v>223</v>
      </c>
      <c r="M356" t="s">
        <v>177</v>
      </c>
      <c r="N356" t="s">
        <v>74</v>
      </c>
      <c r="O356" t="s">
        <v>104</v>
      </c>
      <c r="P356" t="s">
        <v>71</v>
      </c>
      <c r="Q356" t="s">
        <v>71</v>
      </c>
      <c r="R356" t="s">
        <v>71</v>
      </c>
      <c r="S356">
        <v>1</v>
      </c>
      <c r="T356">
        <v>0</v>
      </c>
      <c r="U356" t="s">
        <v>72</v>
      </c>
      <c r="V356" t="s">
        <v>188</v>
      </c>
      <c r="W356">
        <v>0</v>
      </c>
      <c r="X356">
        <v>0</v>
      </c>
      <c r="Y356">
        <v>0</v>
      </c>
      <c r="Z356">
        <v>0</v>
      </c>
      <c r="AA356">
        <v>0</v>
      </c>
      <c r="AB356">
        <v>0</v>
      </c>
      <c r="AC356">
        <v>0</v>
      </c>
      <c r="AD356">
        <v>0</v>
      </c>
      <c r="AE356">
        <v>0</v>
      </c>
      <c r="AF356">
        <v>0</v>
      </c>
      <c r="AG356" t="s">
        <v>71</v>
      </c>
      <c r="AH356">
        <v>0</v>
      </c>
      <c r="AI356">
        <v>0</v>
      </c>
      <c r="AJ356">
        <v>0</v>
      </c>
      <c r="AK356">
        <v>0</v>
      </c>
      <c r="AL356" t="s">
        <v>146</v>
      </c>
      <c r="AM356" t="s">
        <v>93</v>
      </c>
      <c r="AN356" t="s">
        <v>94</v>
      </c>
      <c r="AO356" t="s">
        <v>147</v>
      </c>
      <c r="AP356">
        <v>0</v>
      </c>
      <c r="AQ356">
        <v>0</v>
      </c>
      <c r="AR356">
        <v>0</v>
      </c>
      <c r="AS356">
        <v>0</v>
      </c>
      <c r="AT356">
        <v>0</v>
      </c>
      <c r="AU356">
        <v>0</v>
      </c>
      <c r="AV356">
        <v>0</v>
      </c>
      <c r="AW356">
        <v>1</v>
      </c>
      <c r="AX356">
        <v>0</v>
      </c>
      <c r="AY356">
        <v>0</v>
      </c>
    </row>
    <row r="357" spans="1:51" x14ac:dyDescent="0.25">
      <c r="A357">
        <v>80</v>
      </c>
      <c r="B357">
        <v>15990</v>
      </c>
      <c r="C357" t="s">
        <v>735</v>
      </c>
      <c r="D357" t="s">
        <v>96</v>
      </c>
      <c r="E357" t="s">
        <v>100</v>
      </c>
      <c r="F357" t="s">
        <v>107</v>
      </c>
      <c r="G357" t="s">
        <v>77</v>
      </c>
      <c r="H357" t="s">
        <v>78</v>
      </c>
      <c r="I357" t="s">
        <v>79</v>
      </c>
      <c r="J357" t="s">
        <v>150</v>
      </c>
      <c r="K357" t="s">
        <v>102</v>
      </c>
      <c r="L357" t="s">
        <v>223</v>
      </c>
      <c r="M357" t="s">
        <v>177</v>
      </c>
      <c r="N357" t="s">
        <v>74</v>
      </c>
      <c r="O357" t="s">
        <v>104</v>
      </c>
      <c r="P357" t="s">
        <v>71</v>
      </c>
      <c r="Q357" t="s">
        <v>71</v>
      </c>
      <c r="R357" t="s">
        <v>71</v>
      </c>
      <c r="S357">
        <v>1</v>
      </c>
      <c r="T357">
        <v>0</v>
      </c>
      <c r="U357" t="s">
        <v>72</v>
      </c>
      <c r="V357" t="s">
        <v>188</v>
      </c>
      <c r="W357">
        <v>0</v>
      </c>
      <c r="X357">
        <v>0</v>
      </c>
      <c r="Y357">
        <v>0</v>
      </c>
      <c r="Z357">
        <v>0</v>
      </c>
      <c r="AA357">
        <v>0</v>
      </c>
      <c r="AB357">
        <v>0</v>
      </c>
      <c r="AC357">
        <v>0</v>
      </c>
      <c r="AD357">
        <v>0</v>
      </c>
      <c r="AE357">
        <v>0</v>
      </c>
      <c r="AF357">
        <v>0</v>
      </c>
      <c r="AG357" t="s">
        <v>71</v>
      </c>
      <c r="AH357">
        <v>0</v>
      </c>
      <c r="AI357">
        <v>0</v>
      </c>
      <c r="AJ357">
        <v>0</v>
      </c>
      <c r="AK357">
        <v>0</v>
      </c>
      <c r="AL357" t="s">
        <v>146</v>
      </c>
      <c r="AM357" t="s">
        <v>93</v>
      </c>
      <c r="AN357" t="s">
        <v>94</v>
      </c>
      <c r="AO357" t="s">
        <v>147</v>
      </c>
      <c r="AP357">
        <v>0</v>
      </c>
      <c r="AQ357">
        <v>0</v>
      </c>
      <c r="AR357">
        <v>0</v>
      </c>
      <c r="AS357">
        <v>0</v>
      </c>
      <c r="AT357">
        <v>0</v>
      </c>
      <c r="AU357">
        <v>0</v>
      </c>
      <c r="AV357">
        <v>0</v>
      </c>
      <c r="AW357">
        <v>0</v>
      </c>
      <c r="AX357">
        <v>0</v>
      </c>
      <c r="AY357">
        <v>0</v>
      </c>
    </row>
    <row r="358" spans="1:51" x14ac:dyDescent="0.25">
      <c r="A358">
        <v>81</v>
      </c>
      <c r="B358">
        <v>16000</v>
      </c>
      <c r="C358" t="s">
        <v>735</v>
      </c>
      <c r="D358" t="s">
        <v>96</v>
      </c>
      <c r="E358" t="s">
        <v>186</v>
      </c>
      <c r="F358" t="s">
        <v>107</v>
      </c>
      <c r="G358" t="s">
        <v>77</v>
      </c>
      <c r="H358" t="s">
        <v>78</v>
      </c>
      <c r="I358" t="s">
        <v>79</v>
      </c>
      <c r="J358" t="s">
        <v>70</v>
      </c>
      <c r="K358" t="s">
        <v>102</v>
      </c>
      <c r="L358" t="s">
        <v>223</v>
      </c>
      <c r="M358" t="s">
        <v>177</v>
      </c>
      <c r="N358" t="s">
        <v>74</v>
      </c>
      <c r="O358" t="s">
        <v>104</v>
      </c>
      <c r="P358" t="s">
        <v>71</v>
      </c>
      <c r="Q358" t="s">
        <v>71</v>
      </c>
      <c r="R358" t="s">
        <v>71</v>
      </c>
      <c r="S358">
        <v>1</v>
      </c>
      <c r="T358">
        <v>0</v>
      </c>
      <c r="U358" t="s">
        <v>72</v>
      </c>
      <c r="V358" t="s">
        <v>188</v>
      </c>
      <c r="W358">
        <v>0</v>
      </c>
      <c r="X358">
        <v>0</v>
      </c>
      <c r="Y358">
        <v>0</v>
      </c>
      <c r="Z358">
        <v>0</v>
      </c>
      <c r="AA358">
        <v>0</v>
      </c>
      <c r="AB358">
        <v>0</v>
      </c>
      <c r="AC358">
        <v>0</v>
      </c>
      <c r="AD358">
        <v>0</v>
      </c>
      <c r="AE358">
        <v>0</v>
      </c>
      <c r="AF358">
        <v>0</v>
      </c>
      <c r="AG358" t="s">
        <v>71</v>
      </c>
      <c r="AH358">
        <v>0</v>
      </c>
      <c r="AI358">
        <v>0</v>
      </c>
      <c r="AJ358">
        <v>0</v>
      </c>
      <c r="AK358">
        <v>0</v>
      </c>
      <c r="AL358" t="s">
        <v>242</v>
      </c>
      <c r="AM358" t="s">
        <v>93</v>
      </c>
      <c r="AN358" t="s">
        <v>148</v>
      </c>
      <c r="AO358" t="s">
        <v>147</v>
      </c>
      <c r="AP358">
        <v>0</v>
      </c>
      <c r="AQ358">
        <v>0</v>
      </c>
      <c r="AR358">
        <v>0</v>
      </c>
      <c r="AS358">
        <v>0</v>
      </c>
      <c r="AT358">
        <v>0</v>
      </c>
      <c r="AU358">
        <v>0</v>
      </c>
      <c r="AV358">
        <v>0</v>
      </c>
      <c r="AW358">
        <v>0</v>
      </c>
      <c r="AX358">
        <v>0</v>
      </c>
      <c r="AY358">
        <v>0</v>
      </c>
    </row>
    <row r="359" spans="1:51" x14ac:dyDescent="0.25">
      <c r="A359">
        <v>82</v>
      </c>
      <c r="B359">
        <v>16010</v>
      </c>
      <c r="C359" t="s">
        <v>735</v>
      </c>
      <c r="D359" t="s">
        <v>96</v>
      </c>
      <c r="E359" t="s">
        <v>186</v>
      </c>
      <c r="F359" t="s">
        <v>107</v>
      </c>
      <c r="G359" t="s">
        <v>77</v>
      </c>
      <c r="H359" t="s">
        <v>78</v>
      </c>
      <c r="I359" t="s">
        <v>79</v>
      </c>
      <c r="J359" t="s">
        <v>150</v>
      </c>
      <c r="K359" t="s">
        <v>102</v>
      </c>
      <c r="L359" t="s">
        <v>223</v>
      </c>
      <c r="M359" t="s">
        <v>177</v>
      </c>
      <c r="N359" t="s">
        <v>74</v>
      </c>
      <c r="O359" t="s">
        <v>104</v>
      </c>
      <c r="P359" t="s">
        <v>71</v>
      </c>
      <c r="Q359" t="s">
        <v>71</v>
      </c>
      <c r="R359" t="s">
        <v>71</v>
      </c>
      <c r="S359">
        <v>1</v>
      </c>
      <c r="T359">
        <v>0</v>
      </c>
      <c r="U359" t="s">
        <v>72</v>
      </c>
      <c r="V359" t="s">
        <v>188</v>
      </c>
      <c r="W359">
        <v>0</v>
      </c>
      <c r="X359">
        <v>0</v>
      </c>
      <c r="Y359">
        <v>0</v>
      </c>
      <c r="Z359">
        <v>0</v>
      </c>
      <c r="AA359">
        <v>0</v>
      </c>
      <c r="AB359">
        <v>0</v>
      </c>
      <c r="AC359">
        <v>0</v>
      </c>
      <c r="AD359">
        <v>0</v>
      </c>
      <c r="AE359">
        <v>0</v>
      </c>
      <c r="AF359">
        <v>0</v>
      </c>
      <c r="AG359" t="s">
        <v>71</v>
      </c>
      <c r="AH359">
        <v>0</v>
      </c>
      <c r="AI359">
        <v>0</v>
      </c>
      <c r="AJ359">
        <v>0</v>
      </c>
      <c r="AK359">
        <v>0</v>
      </c>
      <c r="AL359" t="s">
        <v>242</v>
      </c>
      <c r="AM359" t="s">
        <v>93</v>
      </c>
      <c r="AN359" t="s">
        <v>148</v>
      </c>
      <c r="AO359" t="s">
        <v>147</v>
      </c>
      <c r="AP359">
        <v>0</v>
      </c>
      <c r="AQ359">
        <v>0</v>
      </c>
      <c r="AR359">
        <v>0</v>
      </c>
      <c r="AS359">
        <v>0</v>
      </c>
      <c r="AT359">
        <v>0</v>
      </c>
      <c r="AU359">
        <v>0</v>
      </c>
      <c r="AV359">
        <v>0</v>
      </c>
      <c r="AW359">
        <v>0</v>
      </c>
      <c r="AX359">
        <v>0</v>
      </c>
      <c r="AY359">
        <v>0</v>
      </c>
    </row>
    <row r="360" spans="1:51" x14ac:dyDescent="0.25">
      <c r="A360">
        <v>82</v>
      </c>
      <c r="B360">
        <v>16020</v>
      </c>
      <c r="C360" t="s">
        <v>735</v>
      </c>
      <c r="D360" t="s">
        <v>96</v>
      </c>
      <c r="E360" t="s">
        <v>186</v>
      </c>
      <c r="F360" t="s">
        <v>107</v>
      </c>
      <c r="G360" t="s">
        <v>77</v>
      </c>
      <c r="H360" t="s">
        <v>78</v>
      </c>
      <c r="I360" t="s">
        <v>79</v>
      </c>
      <c r="J360" t="s">
        <v>150</v>
      </c>
      <c r="K360" t="s">
        <v>102</v>
      </c>
      <c r="L360" t="s">
        <v>223</v>
      </c>
      <c r="M360" t="s">
        <v>177</v>
      </c>
      <c r="N360" t="s">
        <v>74</v>
      </c>
      <c r="O360" t="s">
        <v>104</v>
      </c>
      <c r="P360" t="s">
        <v>71</v>
      </c>
      <c r="Q360" t="s">
        <v>71</v>
      </c>
      <c r="R360" t="s">
        <v>71</v>
      </c>
      <c r="S360">
        <v>1</v>
      </c>
      <c r="T360">
        <v>0</v>
      </c>
      <c r="U360" t="s">
        <v>72</v>
      </c>
      <c r="V360" t="s">
        <v>188</v>
      </c>
      <c r="W360">
        <v>0</v>
      </c>
      <c r="X360">
        <v>0</v>
      </c>
      <c r="Y360">
        <v>0</v>
      </c>
      <c r="Z360">
        <v>0</v>
      </c>
      <c r="AA360">
        <v>0</v>
      </c>
      <c r="AB360">
        <v>0</v>
      </c>
      <c r="AC360">
        <v>0</v>
      </c>
      <c r="AD360">
        <v>0</v>
      </c>
      <c r="AE360">
        <v>0</v>
      </c>
      <c r="AF360">
        <v>0</v>
      </c>
      <c r="AG360" t="s">
        <v>71</v>
      </c>
      <c r="AH360">
        <v>0</v>
      </c>
      <c r="AI360">
        <v>0</v>
      </c>
      <c r="AJ360">
        <v>0</v>
      </c>
      <c r="AK360">
        <v>0</v>
      </c>
      <c r="AL360" t="s">
        <v>242</v>
      </c>
      <c r="AM360" t="s">
        <v>93</v>
      </c>
      <c r="AN360" t="s">
        <v>148</v>
      </c>
      <c r="AO360" t="s">
        <v>147</v>
      </c>
      <c r="AP360">
        <v>0</v>
      </c>
      <c r="AQ360">
        <v>0</v>
      </c>
      <c r="AR360">
        <v>0</v>
      </c>
      <c r="AS360">
        <v>0</v>
      </c>
      <c r="AT360">
        <v>0</v>
      </c>
      <c r="AU360">
        <v>0</v>
      </c>
      <c r="AV360">
        <v>0</v>
      </c>
      <c r="AW360">
        <v>0</v>
      </c>
      <c r="AX360">
        <v>0</v>
      </c>
      <c r="AY360">
        <v>0</v>
      </c>
    </row>
    <row r="361" spans="1:51" x14ac:dyDescent="0.25">
      <c r="A361">
        <v>82</v>
      </c>
      <c r="B361">
        <v>17990</v>
      </c>
      <c r="C361" t="s">
        <v>735</v>
      </c>
      <c r="D361" t="s">
        <v>96</v>
      </c>
      <c r="E361" t="s">
        <v>186</v>
      </c>
      <c r="F361" t="s">
        <v>107</v>
      </c>
      <c r="G361" t="s">
        <v>77</v>
      </c>
      <c r="H361" t="s">
        <v>78</v>
      </c>
      <c r="I361" t="s">
        <v>79</v>
      </c>
      <c r="J361" t="s">
        <v>150</v>
      </c>
      <c r="K361" t="s">
        <v>102</v>
      </c>
      <c r="L361" t="s">
        <v>223</v>
      </c>
      <c r="M361" t="s">
        <v>177</v>
      </c>
      <c r="N361" t="s">
        <v>74</v>
      </c>
      <c r="O361" t="s">
        <v>104</v>
      </c>
      <c r="P361" t="s">
        <v>71</v>
      </c>
      <c r="Q361" t="s">
        <v>71</v>
      </c>
      <c r="R361" t="s">
        <v>71</v>
      </c>
      <c r="S361">
        <v>1</v>
      </c>
      <c r="T361">
        <v>0</v>
      </c>
      <c r="U361" t="s">
        <v>72</v>
      </c>
      <c r="V361" t="s">
        <v>188</v>
      </c>
      <c r="W361">
        <v>0</v>
      </c>
      <c r="X361">
        <v>0</v>
      </c>
      <c r="Y361">
        <v>0</v>
      </c>
      <c r="Z361">
        <v>0</v>
      </c>
      <c r="AA361">
        <v>0</v>
      </c>
      <c r="AB361">
        <v>0</v>
      </c>
      <c r="AC361">
        <v>0</v>
      </c>
      <c r="AD361">
        <v>0</v>
      </c>
      <c r="AE361">
        <v>0</v>
      </c>
      <c r="AF361">
        <v>0</v>
      </c>
      <c r="AG361" t="s">
        <v>71</v>
      </c>
      <c r="AH361">
        <v>0</v>
      </c>
      <c r="AI361">
        <v>0</v>
      </c>
      <c r="AJ361">
        <v>0</v>
      </c>
      <c r="AK361">
        <v>0</v>
      </c>
      <c r="AL361" t="s">
        <v>242</v>
      </c>
      <c r="AM361" t="s">
        <v>93</v>
      </c>
      <c r="AN361" t="s">
        <v>148</v>
      </c>
      <c r="AO361" t="s">
        <v>147</v>
      </c>
      <c r="AP361">
        <v>0</v>
      </c>
      <c r="AQ361">
        <v>0</v>
      </c>
      <c r="AR361">
        <v>0</v>
      </c>
      <c r="AS361">
        <v>0</v>
      </c>
      <c r="AT361">
        <v>0</v>
      </c>
      <c r="AU361">
        <v>0</v>
      </c>
      <c r="AV361">
        <v>0</v>
      </c>
      <c r="AW361">
        <v>0</v>
      </c>
      <c r="AX361">
        <v>0</v>
      </c>
      <c r="AY361">
        <v>0</v>
      </c>
    </row>
    <row r="362" spans="1:51" x14ac:dyDescent="0.25">
      <c r="A362">
        <v>82</v>
      </c>
      <c r="B362">
        <v>18000</v>
      </c>
      <c r="C362" t="s">
        <v>735</v>
      </c>
      <c r="D362" t="s">
        <v>96</v>
      </c>
      <c r="E362" t="s">
        <v>186</v>
      </c>
      <c r="F362" t="s">
        <v>107</v>
      </c>
      <c r="G362" t="s">
        <v>77</v>
      </c>
      <c r="H362" t="s">
        <v>78</v>
      </c>
      <c r="I362" t="s">
        <v>79</v>
      </c>
      <c r="J362" t="s">
        <v>150</v>
      </c>
      <c r="K362" t="s">
        <v>102</v>
      </c>
      <c r="L362" t="s">
        <v>223</v>
      </c>
      <c r="M362" t="s">
        <v>177</v>
      </c>
      <c r="N362" t="s">
        <v>74</v>
      </c>
      <c r="O362" t="s">
        <v>104</v>
      </c>
      <c r="P362" t="s">
        <v>71</v>
      </c>
      <c r="Q362" t="s">
        <v>71</v>
      </c>
      <c r="R362" t="s">
        <v>71</v>
      </c>
      <c r="S362">
        <v>1</v>
      </c>
      <c r="T362">
        <v>0</v>
      </c>
      <c r="U362" t="s">
        <v>72</v>
      </c>
      <c r="V362" t="s">
        <v>188</v>
      </c>
      <c r="W362">
        <v>0</v>
      </c>
      <c r="X362">
        <v>0</v>
      </c>
      <c r="Y362">
        <v>0</v>
      </c>
      <c r="Z362">
        <v>0</v>
      </c>
      <c r="AA362">
        <v>0</v>
      </c>
      <c r="AB362">
        <v>0</v>
      </c>
      <c r="AC362">
        <v>0</v>
      </c>
      <c r="AD362">
        <v>0</v>
      </c>
      <c r="AE362">
        <v>0</v>
      </c>
      <c r="AF362">
        <v>0</v>
      </c>
      <c r="AG362" t="s">
        <v>71</v>
      </c>
      <c r="AH362">
        <v>0</v>
      </c>
      <c r="AI362">
        <v>0</v>
      </c>
      <c r="AJ362">
        <v>0</v>
      </c>
      <c r="AK362">
        <v>0</v>
      </c>
      <c r="AL362" t="s">
        <v>242</v>
      </c>
      <c r="AM362" t="s">
        <v>93</v>
      </c>
      <c r="AN362" t="s">
        <v>148</v>
      </c>
      <c r="AO362" t="s">
        <v>147</v>
      </c>
      <c r="AP362">
        <v>0</v>
      </c>
      <c r="AQ362">
        <v>0</v>
      </c>
      <c r="AR362">
        <v>0</v>
      </c>
      <c r="AS362">
        <v>0</v>
      </c>
      <c r="AT362">
        <v>0</v>
      </c>
      <c r="AU362">
        <v>0</v>
      </c>
      <c r="AV362">
        <v>0</v>
      </c>
      <c r="AW362">
        <v>0</v>
      </c>
      <c r="AX362">
        <v>0</v>
      </c>
      <c r="AY362">
        <v>0</v>
      </c>
    </row>
    <row r="363" spans="1:51" x14ac:dyDescent="0.25">
      <c r="A363">
        <v>82</v>
      </c>
      <c r="B363">
        <v>18010</v>
      </c>
      <c r="C363" t="s">
        <v>735</v>
      </c>
      <c r="D363" t="s">
        <v>96</v>
      </c>
      <c r="E363" t="s">
        <v>186</v>
      </c>
      <c r="F363" t="s">
        <v>107</v>
      </c>
      <c r="G363" t="s">
        <v>77</v>
      </c>
      <c r="H363" t="s">
        <v>78</v>
      </c>
      <c r="I363" t="s">
        <v>79</v>
      </c>
      <c r="J363" t="s">
        <v>150</v>
      </c>
      <c r="K363" t="s">
        <v>102</v>
      </c>
      <c r="L363" t="s">
        <v>223</v>
      </c>
      <c r="M363" t="s">
        <v>177</v>
      </c>
      <c r="N363" t="s">
        <v>74</v>
      </c>
      <c r="O363" t="s">
        <v>104</v>
      </c>
      <c r="P363" t="s">
        <v>71</v>
      </c>
      <c r="Q363" t="s">
        <v>71</v>
      </c>
      <c r="R363" t="s">
        <v>71</v>
      </c>
      <c r="S363">
        <v>1</v>
      </c>
      <c r="T363">
        <v>0</v>
      </c>
      <c r="U363" t="s">
        <v>72</v>
      </c>
      <c r="V363" t="s">
        <v>188</v>
      </c>
      <c r="W363">
        <v>0</v>
      </c>
      <c r="X363">
        <v>0</v>
      </c>
      <c r="Y363">
        <v>0</v>
      </c>
      <c r="Z363">
        <v>0</v>
      </c>
      <c r="AA363">
        <v>0</v>
      </c>
      <c r="AB363">
        <v>0</v>
      </c>
      <c r="AC363">
        <v>0</v>
      </c>
      <c r="AD363">
        <v>0</v>
      </c>
      <c r="AE363">
        <v>0</v>
      </c>
      <c r="AF363">
        <v>0</v>
      </c>
      <c r="AG363" t="s">
        <v>71</v>
      </c>
      <c r="AH363">
        <v>0</v>
      </c>
      <c r="AI363">
        <v>0</v>
      </c>
      <c r="AJ363">
        <v>0</v>
      </c>
      <c r="AK363">
        <v>0</v>
      </c>
      <c r="AL363" t="s">
        <v>146</v>
      </c>
      <c r="AM363" t="s">
        <v>93</v>
      </c>
      <c r="AN363" t="s">
        <v>148</v>
      </c>
      <c r="AO363" t="s">
        <v>147</v>
      </c>
      <c r="AP363">
        <v>0</v>
      </c>
      <c r="AQ363">
        <v>0</v>
      </c>
      <c r="AR363">
        <v>0</v>
      </c>
      <c r="AS363">
        <v>0</v>
      </c>
      <c r="AT363">
        <v>0</v>
      </c>
      <c r="AU363">
        <v>0</v>
      </c>
      <c r="AV363">
        <v>0</v>
      </c>
      <c r="AW363">
        <v>1</v>
      </c>
      <c r="AX363">
        <v>0</v>
      </c>
      <c r="AY363">
        <v>0</v>
      </c>
    </row>
    <row r="364" spans="1:51" x14ac:dyDescent="0.25">
      <c r="A364">
        <v>82</v>
      </c>
      <c r="B364">
        <v>18020</v>
      </c>
      <c r="C364" t="s">
        <v>735</v>
      </c>
      <c r="D364" t="s">
        <v>96</v>
      </c>
      <c r="E364" t="s">
        <v>186</v>
      </c>
      <c r="F364" t="s">
        <v>107</v>
      </c>
      <c r="G364" t="s">
        <v>77</v>
      </c>
      <c r="H364" t="s">
        <v>78</v>
      </c>
      <c r="I364" t="s">
        <v>79</v>
      </c>
      <c r="J364" t="s">
        <v>119</v>
      </c>
      <c r="K364" t="s">
        <v>102</v>
      </c>
      <c r="L364" t="s">
        <v>223</v>
      </c>
      <c r="M364" t="s">
        <v>177</v>
      </c>
      <c r="N364" t="s">
        <v>74</v>
      </c>
      <c r="O364" t="s">
        <v>104</v>
      </c>
      <c r="P364" t="s">
        <v>71</v>
      </c>
      <c r="Q364" t="s">
        <v>71</v>
      </c>
      <c r="R364" t="s">
        <v>71</v>
      </c>
      <c r="S364">
        <v>1</v>
      </c>
      <c r="T364">
        <v>0</v>
      </c>
      <c r="U364" t="s">
        <v>72</v>
      </c>
      <c r="V364" t="s">
        <v>188</v>
      </c>
      <c r="W364">
        <v>0</v>
      </c>
      <c r="X364">
        <v>0</v>
      </c>
      <c r="Y364">
        <v>0</v>
      </c>
      <c r="Z364">
        <v>0</v>
      </c>
      <c r="AA364">
        <v>0</v>
      </c>
      <c r="AB364">
        <v>0</v>
      </c>
      <c r="AC364">
        <v>0</v>
      </c>
      <c r="AD364">
        <v>0</v>
      </c>
      <c r="AE364">
        <v>0</v>
      </c>
      <c r="AF364">
        <v>0</v>
      </c>
      <c r="AG364" t="s">
        <v>71</v>
      </c>
      <c r="AH364">
        <v>0</v>
      </c>
      <c r="AI364">
        <v>0</v>
      </c>
      <c r="AJ364">
        <v>0</v>
      </c>
      <c r="AK364">
        <v>0</v>
      </c>
      <c r="AL364" t="s">
        <v>146</v>
      </c>
      <c r="AM364" t="s">
        <v>93</v>
      </c>
      <c r="AN364" t="s">
        <v>148</v>
      </c>
      <c r="AO364" t="s">
        <v>147</v>
      </c>
      <c r="AP364">
        <v>0</v>
      </c>
      <c r="AQ364">
        <v>0</v>
      </c>
      <c r="AR364">
        <v>0</v>
      </c>
      <c r="AS364">
        <v>0</v>
      </c>
      <c r="AT364">
        <v>16</v>
      </c>
      <c r="AU364">
        <v>0</v>
      </c>
      <c r="AV364">
        <v>0</v>
      </c>
      <c r="AW364">
        <v>1</v>
      </c>
      <c r="AX364">
        <v>0</v>
      </c>
      <c r="AY364">
        <v>0</v>
      </c>
    </row>
    <row r="365" spans="1:51" x14ac:dyDescent="0.25">
      <c r="A365">
        <v>82</v>
      </c>
      <c r="B365">
        <v>20990</v>
      </c>
      <c r="C365" t="s">
        <v>735</v>
      </c>
      <c r="D365" t="s">
        <v>96</v>
      </c>
      <c r="E365" t="s">
        <v>186</v>
      </c>
      <c r="F365" t="s">
        <v>107</v>
      </c>
      <c r="G365" t="s">
        <v>77</v>
      </c>
      <c r="H365" t="s">
        <v>78</v>
      </c>
      <c r="I365" t="s">
        <v>79</v>
      </c>
      <c r="J365" t="s">
        <v>150</v>
      </c>
      <c r="K365" t="s">
        <v>102</v>
      </c>
      <c r="L365" t="s">
        <v>223</v>
      </c>
      <c r="M365" t="s">
        <v>177</v>
      </c>
      <c r="N365" t="s">
        <v>74</v>
      </c>
      <c r="O365" t="s">
        <v>104</v>
      </c>
      <c r="P365" t="s">
        <v>71</v>
      </c>
      <c r="Q365" t="s">
        <v>71</v>
      </c>
      <c r="R365" t="s">
        <v>71</v>
      </c>
      <c r="S365">
        <v>1</v>
      </c>
      <c r="T365">
        <v>0</v>
      </c>
      <c r="U365" t="s">
        <v>72</v>
      </c>
      <c r="V365" t="s">
        <v>188</v>
      </c>
      <c r="W365">
        <v>0</v>
      </c>
      <c r="X365">
        <v>0</v>
      </c>
      <c r="Y365">
        <v>0</v>
      </c>
      <c r="Z365">
        <v>0</v>
      </c>
      <c r="AA365">
        <v>0</v>
      </c>
      <c r="AB365">
        <v>0</v>
      </c>
      <c r="AC365">
        <v>0</v>
      </c>
      <c r="AD365">
        <v>0</v>
      </c>
      <c r="AE365">
        <v>0</v>
      </c>
      <c r="AF365">
        <v>0</v>
      </c>
      <c r="AG365" t="s">
        <v>71</v>
      </c>
      <c r="AH365">
        <v>0</v>
      </c>
      <c r="AI365">
        <v>0</v>
      </c>
      <c r="AJ365">
        <v>0</v>
      </c>
      <c r="AK365">
        <v>0</v>
      </c>
      <c r="AL365" t="s">
        <v>146</v>
      </c>
      <c r="AM365" t="s">
        <v>93</v>
      </c>
      <c r="AN365" t="s">
        <v>148</v>
      </c>
      <c r="AO365" t="s">
        <v>147</v>
      </c>
      <c r="AP365">
        <v>0</v>
      </c>
      <c r="AQ365">
        <v>0</v>
      </c>
      <c r="AR365">
        <v>0</v>
      </c>
      <c r="AS365">
        <v>0</v>
      </c>
      <c r="AT365">
        <v>144</v>
      </c>
      <c r="AU365">
        <v>0</v>
      </c>
      <c r="AV365">
        <v>0</v>
      </c>
      <c r="AW365">
        <v>1</v>
      </c>
      <c r="AX365">
        <v>0</v>
      </c>
      <c r="AY365">
        <v>0</v>
      </c>
    </row>
    <row r="366" spans="1:51" x14ac:dyDescent="0.25">
      <c r="A366">
        <v>82</v>
      </c>
      <c r="B366">
        <v>21000</v>
      </c>
      <c r="C366" t="s">
        <v>735</v>
      </c>
      <c r="D366" t="s">
        <v>96</v>
      </c>
      <c r="E366" t="s">
        <v>186</v>
      </c>
      <c r="F366" t="s">
        <v>107</v>
      </c>
      <c r="G366" t="s">
        <v>77</v>
      </c>
      <c r="H366" t="s">
        <v>78</v>
      </c>
      <c r="I366" t="s">
        <v>79</v>
      </c>
      <c r="J366" t="s">
        <v>150</v>
      </c>
      <c r="K366" t="s">
        <v>102</v>
      </c>
      <c r="L366" t="s">
        <v>223</v>
      </c>
      <c r="M366" t="s">
        <v>177</v>
      </c>
      <c r="N366" t="s">
        <v>74</v>
      </c>
      <c r="O366" t="s">
        <v>104</v>
      </c>
      <c r="P366" t="s">
        <v>71</v>
      </c>
      <c r="Q366" t="s">
        <v>71</v>
      </c>
      <c r="R366" t="s">
        <v>71</v>
      </c>
      <c r="S366">
        <v>1</v>
      </c>
      <c r="T366">
        <v>0</v>
      </c>
      <c r="U366" t="s">
        <v>72</v>
      </c>
      <c r="V366" t="s">
        <v>188</v>
      </c>
      <c r="W366">
        <v>0</v>
      </c>
      <c r="X366">
        <v>0</v>
      </c>
      <c r="Y366">
        <v>0</v>
      </c>
      <c r="Z366">
        <v>0</v>
      </c>
      <c r="AA366">
        <v>0</v>
      </c>
      <c r="AB366">
        <v>0</v>
      </c>
      <c r="AC366">
        <v>0</v>
      </c>
      <c r="AD366">
        <v>0</v>
      </c>
      <c r="AE366">
        <v>0</v>
      </c>
      <c r="AF366">
        <v>0</v>
      </c>
      <c r="AG366" t="s">
        <v>71</v>
      </c>
      <c r="AH366">
        <v>0</v>
      </c>
      <c r="AI366">
        <v>0</v>
      </c>
      <c r="AJ366">
        <v>0</v>
      </c>
      <c r="AK366">
        <v>0</v>
      </c>
      <c r="AL366" t="s">
        <v>146</v>
      </c>
      <c r="AM366" t="s">
        <v>93</v>
      </c>
      <c r="AN366" t="s">
        <v>148</v>
      </c>
      <c r="AO366" t="s">
        <v>147</v>
      </c>
      <c r="AP366">
        <v>0</v>
      </c>
      <c r="AQ366">
        <v>0</v>
      </c>
      <c r="AR366">
        <v>0</v>
      </c>
      <c r="AS366">
        <v>0</v>
      </c>
      <c r="AT366">
        <v>144</v>
      </c>
      <c r="AU366">
        <v>0</v>
      </c>
      <c r="AV366">
        <v>0</v>
      </c>
      <c r="AW366">
        <v>1</v>
      </c>
      <c r="AX366">
        <v>0</v>
      </c>
      <c r="AY366">
        <v>0</v>
      </c>
    </row>
    <row r="367" spans="1:51" x14ac:dyDescent="0.25">
      <c r="A367">
        <v>82</v>
      </c>
      <c r="B367">
        <v>21010</v>
      </c>
      <c r="C367" t="s">
        <v>735</v>
      </c>
      <c r="D367" t="s">
        <v>96</v>
      </c>
      <c r="E367" t="s">
        <v>186</v>
      </c>
      <c r="F367" t="s">
        <v>107</v>
      </c>
      <c r="G367" t="s">
        <v>77</v>
      </c>
      <c r="H367" t="s">
        <v>78</v>
      </c>
      <c r="I367" t="s">
        <v>79</v>
      </c>
      <c r="J367" t="s">
        <v>150</v>
      </c>
      <c r="K367" t="s">
        <v>102</v>
      </c>
      <c r="L367" t="s">
        <v>223</v>
      </c>
      <c r="M367" t="s">
        <v>177</v>
      </c>
      <c r="N367" t="s">
        <v>74</v>
      </c>
      <c r="O367" t="s">
        <v>104</v>
      </c>
      <c r="P367" t="s">
        <v>71</v>
      </c>
      <c r="Q367" t="s">
        <v>71</v>
      </c>
      <c r="R367" t="s">
        <v>71</v>
      </c>
      <c r="S367">
        <v>1</v>
      </c>
      <c r="T367">
        <v>0</v>
      </c>
      <c r="U367" t="s">
        <v>72</v>
      </c>
      <c r="V367" t="s">
        <v>188</v>
      </c>
      <c r="W367">
        <v>0</v>
      </c>
      <c r="X367">
        <v>0</v>
      </c>
      <c r="Y367">
        <v>0</v>
      </c>
      <c r="Z367">
        <v>0</v>
      </c>
      <c r="AA367">
        <v>0</v>
      </c>
      <c r="AB367">
        <v>0</v>
      </c>
      <c r="AC367">
        <v>0</v>
      </c>
      <c r="AD367">
        <v>0</v>
      </c>
      <c r="AE367">
        <v>0</v>
      </c>
      <c r="AF367">
        <v>0</v>
      </c>
      <c r="AG367" t="s">
        <v>71</v>
      </c>
      <c r="AH367">
        <v>0</v>
      </c>
      <c r="AI367">
        <v>0</v>
      </c>
      <c r="AJ367">
        <v>0</v>
      </c>
      <c r="AK367">
        <v>0</v>
      </c>
      <c r="AL367" t="s">
        <v>146</v>
      </c>
      <c r="AM367" t="s">
        <v>93</v>
      </c>
      <c r="AN367" t="s">
        <v>148</v>
      </c>
      <c r="AO367" t="s">
        <v>147</v>
      </c>
      <c r="AP367">
        <v>0</v>
      </c>
      <c r="AQ367">
        <v>0</v>
      </c>
      <c r="AR367">
        <v>0</v>
      </c>
      <c r="AS367">
        <v>0</v>
      </c>
      <c r="AT367">
        <v>144</v>
      </c>
      <c r="AU367">
        <v>0</v>
      </c>
      <c r="AV367">
        <v>0</v>
      </c>
      <c r="AW367">
        <v>0</v>
      </c>
      <c r="AX367">
        <v>0</v>
      </c>
      <c r="AY367">
        <v>0</v>
      </c>
    </row>
    <row r="368" spans="1:51" x14ac:dyDescent="0.25">
      <c r="A368">
        <v>83</v>
      </c>
      <c r="B368">
        <v>21020</v>
      </c>
      <c r="C368" t="s">
        <v>735</v>
      </c>
      <c r="D368" t="s">
        <v>96</v>
      </c>
      <c r="E368" t="s">
        <v>186</v>
      </c>
      <c r="F368" t="s">
        <v>107</v>
      </c>
      <c r="G368" t="s">
        <v>77</v>
      </c>
      <c r="H368" t="s">
        <v>78</v>
      </c>
      <c r="I368" t="s">
        <v>79</v>
      </c>
      <c r="J368" t="s">
        <v>70</v>
      </c>
      <c r="K368" t="s">
        <v>102</v>
      </c>
      <c r="L368" t="s">
        <v>223</v>
      </c>
      <c r="M368" t="s">
        <v>177</v>
      </c>
      <c r="N368" t="s">
        <v>74</v>
      </c>
      <c r="O368" t="s">
        <v>104</v>
      </c>
      <c r="P368" t="s">
        <v>71</v>
      </c>
      <c r="Q368" t="s">
        <v>71</v>
      </c>
      <c r="R368" t="s">
        <v>71</v>
      </c>
      <c r="S368">
        <v>1</v>
      </c>
      <c r="T368">
        <v>0</v>
      </c>
      <c r="U368" t="s">
        <v>72</v>
      </c>
      <c r="V368" t="s">
        <v>188</v>
      </c>
      <c r="W368">
        <v>0</v>
      </c>
      <c r="X368">
        <v>0</v>
      </c>
      <c r="Y368">
        <v>0</v>
      </c>
      <c r="Z368">
        <v>0</v>
      </c>
      <c r="AA368">
        <v>0</v>
      </c>
      <c r="AB368">
        <v>0</v>
      </c>
      <c r="AC368">
        <v>0</v>
      </c>
      <c r="AD368">
        <v>0</v>
      </c>
      <c r="AE368">
        <v>0</v>
      </c>
      <c r="AF368">
        <v>0</v>
      </c>
      <c r="AG368" t="s">
        <v>71</v>
      </c>
      <c r="AH368">
        <v>0</v>
      </c>
      <c r="AI368">
        <v>0</v>
      </c>
      <c r="AJ368">
        <v>0</v>
      </c>
      <c r="AK368">
        <v>0</v>
      </c>
      <c r="AL368" t="s">
        <v>242</v>
      </c>
      <c r="AM368" t="s">
        <v>93</v>
      </c>
      <c r="AN368" t="s">
        <v>148</v>
      </c>
      <c r="AO368" t="s">
        <v>147</v>
      </c>
      <c r="AP368">
        <v>0</v>
      </c>
      <c r="AQ368">
        <v>0</v>
      </c>
      <c r="AR368">
        <v>0</v>
      </c>
      <c r="AS368">
        <v>0</v>
      </c>
      <c r="AT368">
        <v>0</v>
      </c>
      <c r="AU368">
        <v>0</v>
      </c>
      <c r="AV368">
        <v>0</v>
      </c>
      <c r="AW368">
        <v>0</v>
      </c>
      <c r="AX368">
        <v>0</v>
      </c>
      <c r="AY368">
        <v>0</v>
      </c>
    </row>
    <row r="369" spans="1:51" x14ac:dyDescent="0.25">
      <c r="A369">
        <v>84</v>
      </c>
      <c r="B369">
        <v>21030</v>
      </c>
      <c r="C369" t="s">
        <v>735</v>
      </c>
      <c r="D369" t="s">
        <v>96</v>
      </c>
      <c r="E369" t="s">
        <v>190</v>
      </c>
      <c r="F369" t="s">
        <v>107</v>
      </c>
      <c r="G369" t="s">
        <v>77</v>
      </c>
      <c r="H369" t="s">
        <v>78</v>
      </c>
      <c r="I369" t="s">
        <v>79</v>
      </c>
      <c r="J369" t="s">
        <v>150</v>
      </c>
      <c r="K369" t="s">
        <v>102</v>
      </c>
      <c r="L369" t="s">
        <v>223</v>
      </c>
      <c r="M369" t="s">
        <v>177</v>
      </c>
      <c r="N369" t="s">
        <v>74</v>
      </c>
      <c r="O369" t="s">
        <v>104</v>
      </c>
      <c r="P369" t="s">
        <v>71</v>
      </c>
      <c r="Q369" t="s">
        <v>71</v>
      </c>
      <c r="R369" t="s">
        <v>71</v>
      </c>
      <c r="S369">
        <v>1</v>
      </c>
      <c r="T369">
        <v>0</v>
      </c>
      <c r="U369" t="s">
        <v>72</v>
      </c>
      <c r="V369" t="s">
        <v>188</v>
      </c>
      <c r="W369">
        <v>0</v>
      </c>
      <c r="X369">
        <v>0</v>
      </c>
      <c r="Y369">
        <v>0</v>
      </c>
      <c r="Z369">
        <v>0</v>
      </c>
      <c r="AA369">
        <v>0</v>
      </c>
      <c r="AB369">
        <v>0</v>
      </c>
      <c r="AC369">
        <v>0</v>
      </c>
      <c r="AD369">
        <v>0</v>
      </c>
      <c r="AE369">
        <v>0</v>
      </c>
      <c r="AF369">
        <v>0</v>
      </c>
      <c r="AG369" t="s">
        <v>71</v>
      </c>
      <c r="AH369">
        <v>0</v>
      </c>
      <c r="AI369">
        <v>0</v>
      </c>
      <c r="AJ369">
        <v>0</v>
      </c>
      <c r="AK369">
        <v>0</v>
      </c>
      <c r="AL369" t="s">
        <v>242</v>
      </c>
      <c r="AM369" t="s">
        <v>93</v>
      </c>
      <c r="AN369" t="s">
        <v>148</v>
      </c>
      <c r="AO369" t="s">
        <v>147</v>
      </c>
      <c r="AP369">
        <v>0</v>
      </c>
      <c r="AQ369">
        <v>0</v>
      </c>
      <c r="AR369">
        <v>0</v>
      </c>
      <c r="AS369">
        <v>0</v>
      </c>
      <c r="AT369">
        <v>0</v>
      </c>
      <c r="AU369">
        <v>0</v>
      </c>
      <c r="AV369">
        <v>0</v>
      </c>
      <c r="AW369">
        <v>0</v>
      </c>
      <c r="AX369">
        <v>0</v>
      </c>
      <c r="AY369">
        <v>0</v>
      </c>
    </row>
    <row r="370" spans="1:51" x14ac:dyDescent="0.25">
      <c r="A370">
        <v>84</v>
      </c>
      <c r="B370">
        <v>21040</v>
      </c>
      <c r="C370" t="s">
        <v>735</v>
      </c>
      <c r="D370" t="s">
        <v>96</v>
      </c>
      <c r="E370" t="s">
        <v>190</v>
      </c>
      <c r="F370" t="s">
        <v>107</v>
      </c>
      <c r="G370" t="s">
        <v>77</v>
      </c>
      <c r="H370" t="s">
        <v>78</v>
      </c>
      <c r="I370" t="s">
        <v>79</v>
      </c>
      <c r="J370" t="s">
        <v>150</v>
      </c>
      <c r="K370" t="s">
        <v>102</v>
      </c>
      <c r="L370" t="s">
        <v>223</v>
      </c>
      <c r="M370" t="s">
        <v>177</v>
      </c>
      <c r="N370" t="s">
        <v>74</v>
      </c>
      <c r="O370" t="s">
        <v>104</v>
      </c>
      <c r="P370" t="s">
        <v>71</v>
      </c>
      <c r="Q370" t="s">
        <v>71</v>
      </c>
      <c r="R370" t="s">
        <v>71</v>
      </c>
      <c r="S370">
        <v>1</v>
      </c>
      <c r="T370">
        <v>0</v>
      </c>
      <c r="U370" t="s">
        <v>72</v>
      </c>
      <c r="V370" t="s">
        <v>188</v>
      </c>
      <c r="W370">
        <v>0</v>
      </c>
      <c r="X370">
        <v>0</v>
      </c>
      <c r="Y370">
        <v>0</v>
      </c>
      <c r="Z370">
        <v>0</v>
      </c>
      <c r="AA370">
        <v>0</v>
      </c>
      <c r="AB370">
        <v>0</v>
      </c>
      <c r="AC370">
        <v>0</v>
      </c>
      <c r="AD370">
        <v>0</v>
      </c>
      <c r="AE370">
        <v>0</v>
      </c>
      <c r="AF370">
        <v>0</v>
      </c>
      <c r="AG370" t="s">
        <v>71</v>
      </c>
      <c r="AH370">
        <v>0</v>
      </c>
      <c r="AI370">
        <v>0</v>
      </c>
      <c r="AJ370">
        <v>0</v>
      </c>
      <c r="AK370">
        <v>0</v>
      </c>
      <c r="AL370" t="s">
        <v>242</v>
      </c>
      <c r="AM370" t="s">
        <v>93</v>
      </c>
      <c r="AN370" t="s">
        <v>148</v>
      </c>
      <c r="AO370" t="s">
        <v>147</v>
      </c>
      <c r="AP370">
        <v>0</v>
      </c>
      <c r="AQ370">
        <v>0</v>
      </c>
      <c r="AR370">
        <v>0</v>
      </c>
      <c r="AS370">
        <v>0</v>
      </c>
      <c r="AT370">
        <v>0</v>
      </c>
      <c r="AU370">
        <v>0</v>
      </c>
      <c r="AV370">
        <v>0</v>
      </c>
      <c r="AW370">
        <v>0</v>
      </c>
      <c r="AX370">
        <v>0</v>
      </c>
      <c r="AY370">
        <v>0</v>
      </c>
    </row>
    <row r="371" spans="1:51" x14ac:dyDescent="0.25">
      <c r="A371">
        <v>84</v>
      </c>
      <c r="B371">
        <v>23010</v>
      </c>
      <c r="C371" t="s">
        <v>735</v>
      </c>
      <c r="D371" t="s">
        <v>96</v>
      </c>
      <c r="E371" t="s">
        <v>190</v>
      </c>
      <c r="F371" t="s">
        <v>107</v>
      </c>
      <c r="G371" t="s">
        <v>77</v>
      </c>
      <c r="H371" t="s">
        <v>78</v>
      </c>
      <c r="I371" t="s">
        <v>79</v>
      </c>
      <c r="J371" t="s">
        <v>150</v>
      </c>
      <c r="K371" t="s">
        <v>102</v>
      </c>
      <c r="L371" t="s">
        <v>223</v>
      </c>
      <c r="M371" t="s">
        <v>177</v>
      </c>
      <c r="N371" t="s">
        <v>74</v>
      </c>
      <c r="O371" t="s">
        <v>104</v>
      </c>
      <c r="P371" t="s">
        <v>71</v>
      </c>
      <c r="Q371" t="s">
        <v>71</v>
      </c>
      <c r="R371" t="s">
        <v>71</v>
      </c>
      <c r="S371">
        <v>1</v>
      </c>
      <c r="T371">
        <v>0</v>
      </c>
      <c r="U371" t="s">
        <v>72</v>
      </c>
      <c r="V371" t="s">
        <v>188</v>
      </c>
      <c r="W371">
        <v>0</v>
      </c>
      <c r="X371">
        <v>0</v>
      </c>
      <c r="Y371">
        <v>0</v>
      </c>
      <c r="Z371">
        <v>0</v>
      </c>
      <c r="AA371">
        <v>0</v>
      </c>
      <c r="AB371">
        <v>0</v>
      </c>
      <c r="AC371">
        <v>0</v>
      </c>
      <c r="AD371">
        <v>0</v>
      </c>
      <c r="AE371">
        <v>0</v>
      </c>
      <c r="AF371">
        <v>0</v>
      </c>
      <c r="AG371" t="s">
        <v>71</v>
      </c>
      <c r="AH371">
        <v>0</v>
      </c>
      <c r="AI371">
        <v>0</v>
      </c>
      <c r="AJ371">
        <v>0</v>
      </c>
      <c r="AK371">
        <v>0</v>
      </c>
      <c r="AL371" t="s">
        <v>242</v>
      </c>
      <c r="AM371" t="s">
        <v>93</v>
      </c>
      <c r="AN371" t="s">
        <v>148</v>
      </c>
      <c r="AO371" t="s">
        <v>147</v>
      </c>
      <c r="AP371">
        <v>0</v>
      </c>
      <c r="AQ371">
        <v>0</v>
      </c>
      <c r="AR371">
        <v>0</v>
      </c>
      <c r="AS371">
        <v>0</v>
      </c>
      <c r="AT371">
        <v>0</v>
      </c>
      <c r="AU371">
        <v>0</v>
      </c>
      <c r="AV371">
        <v>0</v>
      </c>
      <c r="AW371">
        <v>0</v>
      </c>
      <c r="AX371">
        <v>0</v>
      </c>
      <c r="AY371">
        <v>0</v>
      </c>
    </row>
    <row r="372" spans="1:51" x14ac:dyDescent="0.25">
      <c r="A372">
        <v>84</v>
      </c>
      <c r="B372">
        <v>23020</v>
      </c>
      <c r="C372" t="s">
        <v>735</v>
      </c>
      <c r="D372" t="s">
        <v>96</v>
      </c>
      <c r="E372" t="s">
        <v>190</v>
      </c>
      <c r="F372" t="s">
        <v>107</v>
      </c>
      <c r="G372" t="s">
        <v>77</v>
      </c>
      <c r="H372" t="s">
        <v>78</v>
      </c>
      <c r="I372" t="s">
        <v>79</v>
      </c>
      <c r="J372" t="s">
        <v>150</v>
      </c>
      <c r="K372" t="s">
        <v>102</v>
      </c>
      <c r="L372" t="s">
        <v>223</v>
      </c>
      <c r="M372" t="s">
        <v>177</v>
      </c>
      <c r="N372" t="s">
        <v>74</v>
      </c>
      <c r="O372" t="s">
        <v>104</v>
      </c>
      <c r="P372" t="s">
        <v>71</v>
      </c>
      <c r="Q372" t="s">
        <v>71</v>
      </c>
      <c r="R372" t="s">
        <v>71</v>
      </c>
      <c r="S372">
        <v>1</v>
      </c>
      <c r="T372">
        <v>0</v>
      </c>
      <c r="U372" t="s">
        <v>72</v>
      </c>
      <c r="V372" t="s">
        <v>188</v>
      </c>
      <c r="W372">
        <v>0</v>
      </c>
      <c r="X372">
        <v>0</v>
      </c>
      <c r="Y372">
        <v>0</v>
      </c>
      <c r="Z372">
        <v>0</v>
      </c>
      <c r="AA372">
        <v>0</v>
      </c>
      <c r="AB372">
        <v>0</v>
      </c>
      <c r="AC372">
        <v>0</v>
      </c>
      <c r="AD372">
        <v>0</v>
      </c>
      <c r="AE372">
        <v>0</v>
      </c>
      <c r="AF372">
        <v>0</v>
      </c>
      <c r="AG372" t="s">
        <v>71</v>
      </c>
      <c r="AH372">
        <v>0</v>
      </c>
      <c r="AI372">
        <v>0</v>
      </c>
      <c r="AJ372">
        <v>0</v>
      </c>
      <c r="AK372">
        <v>0</v>
      </c>
      <c r="AL372" t="s">
        <v>242</v>
      </c>
      <c r="AM372" t="s">
        <v>93</v>
      </c>
      <c r="AN372" t="s">
        <v>148</v>
      </c>
      <c r="AO372" t="s">
        <v>147</v>
      </c>
      <c r="AP372">
        <v>0</v>
      </c>
      <c r="AQ372">
        <v>0</v>
      </c>
      <c r="AR372">
        <v>0</v>
      </c>
      <c r="AS372">
        <v>0</v>
      </c>
      <c r="AT372">
        <v>0</v>
      </c>
      <c r="AU372">
        <v>0</v>
      </c>
      <c r="AV372">
        <v>0</v>
      </c>
      <c r="AW372">
        <v>0</v>
      </c>
      <c r="AX372">
        <v>0</v>
      </c>
      <c r="AY372">
        <v>0</v>
      </c>
    </row>
    <row r="373" spans="1:51" x14ac:dyDescent="0.25">
      <c r="A373">
        <v>84</v>
      </c>
      <c r="B373">
        <v>23030</v>
      </c>
      <c r="C373" t="s">
        <v>735</v>
      </c>
      <c r="D373" t="s">
        <v>96</v>
      </c>
      <c r="E373" t="s">
        <v>190</v>
      </c>
      <c r="F373" t="s">
        <v>107</v>
      </c>
      <c r="G373" t="s">
        <v>77</v>
      </c>
      <c r="H373" t="s">
        <v>78</v>
      </c>
      <c r="I373" t="s">
        <v>79</v>
      </c>
      <c r="J373" t="s">
        <v>150</v>
      </c>
      <c r="K373" t="s">
        <v>102</v>
      </c>
      <c r="L373" t="s">
        <v>223</v>
      </c>
      <c r="M373" t="s">
        <v>177</v>
      </c>
      <c r="N373" t="s">
        <v>74</v>
      </c>
      <c r="O373" t="s">
        <v>104</v>
      </c>
      <c r="P373" t="s">
        <v>71</v>
      </c>
      <c r="Q373" t="s">
        <v>71</v>
      </c>
      <c r="R373" t="s">
        <v>71</v>
      </c>
      <c r="S373">
        <v>1</v>
      </c>
      <c r="T373">
        <v>0</v>
      </c>
      <c r="U373" t="s">
        <v>72</v>
      </c>
      <c r="V373" t="s">
        <v>188</v>
      </c>
      <c r="W373">
        <v>0</v>
      </c>
      <c r="X373">
        <v>0</v>
      </c>
      <c r="Y373">
        <v>0</v>
      </c>
      <c r="Z373">
        <v>0</v>
      </c>
      <c r="AA373">
        <v>0</v>
      </c>
      <c r="AB373">
        <v>0</v>
      </c>
      <c r="AC373">
        <v>0</v>
      </c>
      <c r="AD373">
        <v>0</v>
      </c>
      <c r="AE373">
        <v>0</v>
      </c>
      <c r="AF373">
        <v>0</v>
      </c>
      <c r="AG373" t="s">
        <v>71</v>
      </c>
      <c r="AH373">
        <v>0</v>
      </c>
      <c r="AI373">
        <v>0</v>
      </c>
      <c r="AJ373">
        <v>0</v>
      </c>
      <c r="AK373">
        <v>0</v>
      </c>
      <c r="AL373" t="s">
        <v>146</v>
      </c>
      <c r="AM373" t="s">
        <v>93</v>
      </c>
      <c r="AN373" t="s">
        <v>148</v>
      </c>
      <c r="AO373" t="s">
        <v>147</v>
      </c>
      <c r="AP373">
        <v>0</v>
      </c>
      <c r="AQ373">
        <v>0</v>
      </c>
      <c r="AR373">
        <v>0</v>
      </c>
      <c r="AS373">
        <v>0</v>
      </c>
      <c r="AT373">
        <v>0</v>
      </c>
      <c r="AU373">
        <v>0</v>
      </c>
      <c r="AV373">
        <v>0</v>
      </c>
      <c r="AW373">
        <v>1</v>
      </c>
      <c r="AX373">
        <v>0</v>
      </c>
      <c r="AY373">
        <v>0</v>
      </c>
    </row>
    <row r="374" spans="1:51" x14ac:dyDescent="0.25">
      <c r="A374">
        <v>84</v>
      </c>
      <c r="B374">
        <v>23040</v>
      </c>
      <c r="C374" t="s">
        <v>735</v>
      </c>
      <c r="D374" t="s">
        <v>96</v>
      </c>
      <c r="E374" t="s">
        <v>190</v>
      </c>
      <c r="F374" t="s">
        <v>107</v>
      </c>
      <c r="G374" t="s">
        <v>77</v>
      </c>
      <c r="H374" t="s">
        <v>78</v>
      </c>
      <c r="I374" t="s">
        <v>79</v>
      </c>
      <c r="J374" t="s">
        <v>150</v>
      </c>
      <c r="K374" t="s">
        <v>102</v>
      </c>
      <c r="L374" t="s">
        <v>223</v>
      </c>
      <c r="M374" t="s">
        <v>177</v>
      </c>
      <c r="N374" t="s">
        <v>74</v>
      </c>
      <c r="O374" t="s">
        <v>104</v>
      </c>
      <c r="P374" t="s">
        <v>71</v>
      </c>
      <c r="Q374" t="s">
        <v>71</v>
      </c>
      <c r="R374" t="s">
        <v>71</v>
      </c>
      <c r="S374">
        <v>1</v>
      </c>
      <c r="T374">
        <v>0</v>
      </c>
      <c r="U374" t="s">
        <v>72</v>
      </c>
      <c r="V374" t="s">
        <v>188</v>
      </c>
      <c r="W374">
        <v>0</v>
      </c>
      <c r="X374">
        <v>0</v>
      </c>
      <c r="Y374">
        <v>0</v>
      </c>
      <c r="Z374">
        <v>0</v>
      </c>
      <c r="AA374">
        <v>0</v>
      </c>
      <c r="AB374">
        <v>0</v>
      </c>
      <c r="AC374">
        <v>0</v>
      </c>
      <c r="AD374">
        <v>0</v>
      </c>
      <c r="AE374">
        <v>0</v>
      </c>
      <c r="AF374">
        <v>0</v>
      </c>
      <c r="AG374" t="s">
        <v>71</v>
      </c>
      <c r="AH374">
        <v>0</v>
      </c>
      <c r="AI374">
        <v>0</v>
      </c>
      <c r="AJ374">
        <v>0</v>
      </c>
      <c r="AK374">
        <v>0</v>
      </c>
      <c r="AL374" t="s">
        <v>146</v>
      </c>
      <c r="AM374" t="s">
        <v>93</v>
      </c>
      <c r="AN374" t="s">
        <v>148</v>
      </c>
      <c r="AO374" t="s">
        <v>147</v>
      </c>
      <c r="AP374">
        <v>0</v>
      </c>
      <c r="AQ374">
        <v>0</v>
      </c>
      <c r="AR374">
        <v>0</v>
      </c>
      <c r="AS374">
        <v>0</v>
      </c>
      <c r="AT374">
        <v>0</v>
      </c>
      <c r="AU374">
        <v>0</v>
      </c>
      <c r="AV374">
        <v>0</v>
      </c>
      <c r="AW374">
        <v>1</v>
      </c>
      <c r="AX374">
        <v>0</v>
      </c>
      <c r="AY374">
        <v>0</v>
      </c>
    </row>
    <row r="375" spans="1:51" x14ac:dyDescent="0.25">
      <c r="A375">
        <v>84</v>
      </c>
      <c r="B375">
        <v>26010</v>
      </c>
      <c r="C375" t="s">
        <v>735</v>
      </c>
      <c r="D375" t="s">
        <v>96</v>
      </c>
      <c r="E375" t="s">
        <v>190</v>
      </c>
      <c r="F375" t="s">
        <v>107</v>
      </c>
      <c r="G375" t="s">
        <v>77</v>
      </c>
      <c r="H375" t="s">
        <v>78</v>
      </c>
      <c r="I375" t="s">
        <v>79</v>
      </c>
      <c r="J375" t="s">
        <v>150</v>
      </c>
      <c r="K375" t="s">
        <v>102</v>
      </c>
      <c r="L375" t="s">
        <v>223</v>
      </c>
      <c r="M375" t="s">
        <v>177</v>
      </c>
      <c r="N375" t="s">
        <v>74</v>
      </c>
      <c r="O375" t="s">
        <v>104</v>
      </c>
      <c r="P375" t="s">
        <v>71</v>
      </c>
      <c r="Q375" t="s">
        <v>71</v>
      </c>
      <c r="R375" t="s">
        <v>71</v>
      </c>
      <c r="S375">
        <v>1</v>
      </c>
      <c r="T375">
        <v>0</v>
      </c>
      <c r="U375" t="s">
        <v>72</v>
      </c>
      <c r="V375" t="s">
        <v>188</v>
      </c>
      <c r="W375">
        <v>0</v>
      </c>
      <c r="X375">
        <v>0</v>
      </c>
      <c r="Y375">
        <v>0</v>
      </c>
      <c r="Z375">
        <v>0</v>
      </c>
      <c r="AA375">
        <v>0</v>
      </c>
      <c r="AB375">
        <v>0</v>
      </c>
      <c r="AC375">
        <v>0</v>
      </c>
      <c r="AD375">
        <v>0</v>
      </c>
      <c r="AE375">
        <v>0</v>
      </c>
      <c r="AF375">
        <v>0</v>
      </c>
      <c r="AG375" t="s">
        <v>71</v>
      </c>
      <c r="AH375">
        <v>0</v>
      </c>
      <c r="AI375">
        <v>0</v>
      </c>
      <c r="AJ375">
        <v>0</v>
      </c>
      <c r="AK375">
        <v>0</v>
      </c>
      <c r="AL375" t="s">
        <v>146</v>
      </c>
      <c r="AM375" t="s">
        <v>93</v>
      </c>
      <c r="AN375" t="s">
        <v>148</v>
      </c>
      <c r="AO375" t="s">
        <v>147</v>
      </c>
      <c r="AP375">
        <v>0</v>
      </c>
      <c r="AQ375">
        <v>0</v>
      </c>
      <c r="AR375">
        <v>0</v>
      </c>
      <c r="AS375">
        <v>0</v>
      </c>
      <c r="AT375">
        <v>0</v>
      </c>
      <c r="AU375">
        <v>0</v>
      </c>
      <c r="AV375">
        <v>0</v>
      </c>
      <c r="AW375">
        <v>1</v>
      </c>
      <c r="AX375">
        <v>0</v>
      </c>
      <c r="AY375">
        <v>0</v>
      </c>
    </row>
    <row r="376" spans="1:51" x14ac:dyDescent="0.25">
      <c r="A376">
        <v>84</v>
      </c>
      <c r="B376">
        <v>26020</v>
      </c>
      <c r="C376" t="s">
        <v>735</v>
      </c>
      <c r="D376" t="s">
        <v>96</v>
      </c>
      <c r="E376" t="s">
        <v>190</v>
      </c>
      <c r="F376" t="s">
        <v>107</v>
      </c>
      <c r="G376" t="s">
        <v>77</v>
      </c>
      <c r="H376" t="s">
        <v>78</v>
      </c>
      <c r="I376" t="s">
        <v>79</v>
      </c>
      <c r="J376" t="s">
        <v>150</v>
      </c>
      <c r="K376" t="s">
        <v>102</v>
      </c>
      <c r="L376" t="s">
        <v>223</v>
      </c>
      <c r="M376" t="s">
        <v>177</v>
      </c>
      <c r="N376" t="s">
        <v>74</v>
      </c>
      <c r="O376" t="s">
        <v>104</v>
      </c>
      <c r="P376" t="s">
        <v>71</v>
      </c>
      <c r="Q376" t="s">
        <v>71</v>
      </c>
      <c r="R376" t="s">
        <v>71</v>
      </c>
      <c r="S376">
        <v>1</v>
      </c>
      <c r="T376">
        <v>0</v>
      </c>
      <c r="U376" t="s">
        <v>72</v>
      </c>
      <c r="V376" t="s">
        <v>188</v>
      </c>
      <c r="W376">
        <v>0</v>
      </c>
      <c r="X376">
        <v>0</v>
      </c>
      <c r="Y376">
        <v>0</v>
      </c>
      <c r="Z376">
        <v>0</v>
      </c>
      <c r="AA376">
        <v>0</v>
      </c>
      <c r="AB376">
        <v>0</v>
      </c>
      <c r="AC376">
        <v>0</v>
      </c>
      <c r="AD376">
        <v>0</v>
      </c>
      <c r="AE376">
        <v>0</v>
      </c>
      <c r="AF376">
        <v>0</v>
      </c>
      <c r="AG376" t="s">
        <v>71</v>
      </c>
      <c r="AH376">
        <v>0</v>
      </c>
      <c r="AI376">
        <v>0</v>
      </c>
      <c r="AJ376">
        <v>0</v>
      </c>
      <c r="AK376">
        <v>0</v>
      </c>
      <c r="AL376" t="s">
        <v>146</v>
      </c>
      <c r="AM376" t="s">
        <v>93</v>
      </c>
      <c r="AN376" t="s">
        <v>148</v>
      </c>
      <c r="AO376" t="s">
        <v>147</v>
      </c>
      <c r="AP376">
        <v>0</v>
      </c>
      <c r="AQ376">
        <v>0</v>
      </c>
      <c r="AR376">
        <v>0</v>
      </c>
      <c r="AS376">
        <v>0</v>
      </c>
      <c r="AT376">
        <v>0</v>
      </c>
      <c r="AU376">
        <v>0</v>
      </c>
      <c r="AV376">
        <v>0</v>
      </c>
      <c r="AW376">
        <v>1</v>
      </c>
      <c r="AX376">
        <v>0</v>
      </c>
      <c r="AY376">
        <v>0</v>
      </c>
    </row>
    <row r="377" spans="1:51" x14ac:dyDescent="0.25">
      <c r="A377">
        <v>84</v>
      </c>
      <c r="B377">
        <v>26030</v>
      </c>
      <c r="C377" t="s">
        <v>735</v>
      </c>
      <c r="D377" t="s">
        <v>96</v>
      </c>
      <c r="E377" t="s">
        <v>190</v>
      </c>
      <c r="F377" t="s">
        <v>107</v>
      </c>
      <c r="G377" t="s">
        <v>77</v>
      </c>
      <c r="H377" t="s">
        <v>78</v>
      </c>
      <c r="I377" t="s">
        <v>79</v>
      </c>
      <c r="J377" t="s">
        <v>150</v>
      </c>
      <c r="K377" t="s">
        <v>102</v>
      </c>
      <c r="L377" t="s">
        <v>223</v>
      </c>
      <c r="M377" t="s">
        <v>177</v>
      </c>
      <c r="N377" t="s">
        <v>74</v>
      </c>
      <c r="O377" t="s">
        <v>104</v>
      </c>
      <c r="P377" t="s">
        <v>71</v>
      </c>
      <c r="Q377" t="s">
        <v>71</v>
      </c>
      <c r="R377" t="s">
        <v>71</v>
      </c>
      <c r="S377">
        <v>1</v>
      </c>
      <c r="T377">
        <v>0</v>
      </c>
      <c r="U377" t="s">
        <v>72</v>
      </c>
      <c r="V377" t="s">
        <v>188</v>
      </c>
      <c r="W377">
        <v>0</v>
      </c>
      <c r="X377">
        <v>0</v>
      </c>
      <c r="Y377">
        <v>0</v>
      </c>
      <c r="Z377">
        <v>0</v>
      </c>
      <c r="AA377">
        <v>0</v>
      </c>
      <c r="AB377">
        <v>0</v>
      </c>
      <c r="AC377">
        <v>0</v>
      </c>
      <c r="AD377">
        <v>0</v>
      </c>
      <c r="AE377">
        <v>0</v>
      </c>
      <c r="AF377">
        <v>0</v>
      </c>
      <c r="AG377" t="s">
        <v>71</v>
      </c>
      <c r="AH377">
        <v>0</v>
      </c>
      <c r="AI377">
        <v>0</v>
      </c>
      <c r="AJ377">
        <v>0</v>
      </c>
      <c r="AK377">
        <v>0</v>
      </c>
      <c r="AL377" t="s">
        <v>146</v>
      </c>
      <c r="AM377" t="s">
        <v>93</v>
      </c>
      <c r="AN377" t="s">
        <v>148</v>
      </c>
      <c r="AO377" t="s">
        <v>147</v>
      </c>
      <c r="AP377">
        <v>0</v>
      </c>
      <c r="AQ377">
        <v>0</v>
      </c>
      <c r="AR377">
        <v>0</v>
      </c>
      <c r="AS377">
        <v>0</v>
      </c>
      <c r="AT377">
        <v>0</v>
      </c>
      <c r="AU377">
        <v>0</v>
      </c>
      <c r="AV377">
        <v>0</v>
      </c>
      <c r="AW377">
        <v>0</v>
      </c>
      <c r="AX377">
        <v>0</v>
      </c>
      <c r="AY377">
        <v>0</v>
      </c>
    </row>
    <row r="378" spans="1:51" x14ac:dyDescent="0.25">
      <c r="A378">
        <v>85</v>
      </c>
      <c r="B378">
        <v>26040</v>
      </c>
      <c r="C378" t="s">
        <v>735</v>
      </c>
      <c r="D378" t="s">
        <v>96</v>
      </c>
      <c r="E378" t="s">
        <v>186</v>
      </c>
      <c r="F378" t="s">
        <v>107</v>
      </c>
      <c r="G378" t="s">
        <v>77</v>
      </c>
      <c r="H378" t="s">
        <v>78</v>
      </c>
      <c r="I378" t="s">
        <v>79</v>
      </c>
      <c r="J378" t="s">
        <v>70</v>
      </c>
      <c r="K378" t="s">
        <v>75</v>
      </c>
      <c r="L378" t="s">
        <v>76</v>
      </c>
      <c r="M378" t="s">
        <v>177</v>
      </c>
      <c r="N378" t="s">
        <v>74</v>
      </c>
      <c r="O378" t="s">
        <v>187</v>
      </c>
      <c r="P378" t="s">
        <v>71</v>
      </c>
      <c r="Q378" t="s">
        <v>71</v>
      </c>
      <c r="R378" t="s">
        <v>71</v>
      </c>
      <c r="S378">
        <v>1</v>
      </c>
      <c r="T378">
        <v>0</v>
      </c>
      <c r="U378" t="s">
        <v>72</v>
      </c>
      <c r="V378" t="s">
        <v>73</v>
      </c>
      <c r="W378">
        <v>0</v>
      </c>
      <c r="X378">
        <v>0</v>
      </c>
      <c r="Y378">
        <v>0</v>
      </c>
      <c r="Z378">
        <v>0</v>
      </c>
      <c r="AA378">
        <v>0</v>
      </c>
      <c r="AB378">
        <v>0</v>
      </c>
      <c r="AC378">
        <v>0</v>
      </c>
      <c r="AD378">
        <v>0</v>
      </c>
      <c r="AE378">
        <v>0</v>
      </c>
      <c r="AF378">
        <v>0</v>
      </c>
      <c r="AG378" t="s">
        <v>71</v>
      </c>
      <c r="AH378">
        <v>0</v>
      </c>
      <c r="AI378">
        <v>0</v>
      </c>
      <c r="AJ378">
        <v>0</v>
      </c>
      <c r="AK378">
        <v>0</v>
      </c>
      <c r="AL378" t="s">
        <v>146</v>
      </c>
      <c r="AM378" t="s">
        <v>93</v>
      </c>
      <c r="AN378" t="s">
        <v>148</v>
      </c>
      <c r="AO378" t="s">
        <v>147</v>
      </c>
      <c r="AP378">
        <v>0</v>
      </c>
      <c r="AQ378">
        <v>0</v>
      </c>
      <c r="AR378">
        <v>128</v>
      </c>
      <c r="AS378">
        <v>0</v>
      </c>
      <c r="AT378">
        <v>0</v>
      </c>
      <c r="AU378">
        <v>0</v>
      </c>
      <c r="AV378">
        <v>0</v>
      </c>
      <c r="AW378">
        <v>0</v>
      </c>
      <c r="AX378">
        <v>0</v>
      </c>
      <c r="AY378">
        <v>0</v>
      </c>
    </row>
    <row r="379" spans="1:51" x14ac:dyDescent="0.25">
      <c r="A379">
        <v>85</v>
      </c>
      <c r="B379">
        <v>26050</v>
      </c>
      <c r="C379" t="s">
        <v>735</v>
      </c>
      <c r="D379" t="s">
        <v>96</v>
      </c>
      <c r="E379" t="s">
        <v>186</v>
      </c>
      <c r="F379" t="s">
        <v>107</v>
      </c>
      <c r="G379" t="s">
        <v>77</v>
      </c>
      <c r="H379" t="s">
        <v>78</v>
      </c>
      <c r="I379" t="s">
        <v>79</v>
      </c>
      <c r="J379" t="s">
        <v>150</v>
      </c>
      <c r="K379" t="s">
        <v>75</v>
      </c>
      <c r="L379" t="s">
        <v>76</v>
      </c>
      <c r="M379" t="s">
        <v>177</v>
      </c>
      <c r="N379" t="s">
        <v>74</v>
      </c>
      <c r="O379" t="s">
        <v>187</v>
      </c>
      <c r="P379" t="s">
        <v>71</v>
      </c>
      <c r="Q379" t="s">
        <v>71</v>
      </c>
      <c r="R379" t="s">
        <v>71</v>
      </c>
      <c r="S379">
        <v>1</v>
      </c>
      <c r="T379">
        <v>0</v>
      </c>
      <c r="U379" t="s">
        <v>72</v>
      </c>
      <c r="V379" t="s">
        <v>73</v>
      </c>
      <c r="W379">
        <v>0</v>
      </c>
      <c r="X379">
        <v>0</v>
      </c>
      <c r="Y379">
        <v>0</v>
      </c>
      <c r="Z379">
        <v>0</v>
      </c>
      <c r="AA379">
        <v>0</v>
      </c>
      <c r="AB379">
        <v>0</v>
      </c>
      <c r="AC379">
        <v>0</v>
      </c>
      <c r="AD379">
        <v>0</v>
      </c>
      <c r="AE379">
        <v>0</v>
      </c>
      <c r="AF379">
        <v>0</v>
      </c>
      <c r="AG379" t="s">
        <v>71</v>
      </c>
      <c r="AH379">
        <v>0</v>
      </c>
      <c r="AI379">
        <v>0</v>
      </c>
      <c r="AJ379">
        <v>0</v>
      </c>
      <c r="AK379">
        <v>0</v>
      </c>
      <c r="AL379" t="s">
        <v>387</v>
      </c>
      <c r="AM379" t="s">
        <v>254</v>
      </c>
      <c r="AN379" t="s">
        <v>94</v>
      </c>
      <c r="AO379" t="s">
        <v>147</v>
      </c>
      <c r="AP379">
        <v>0</v>
      </c>
      <c r="AQ379">
        <v>0</v>
      </c>
      <c r="AR379">
        <v>0</v>
      </c>
      <c r="AS379">
        <v>0</v>
      </c>
      <c r="AT379">
        <v>0</v>
      </c>
      <c r="AU379">
        <v>0</v>
      </c>
      <c r="AV379">
        <v>0</v>
      </c>
      <c r="AW379">
        <v>0</v>
      </c>
      <c r="AX379">
        <v>0</v>
      </c>
      <c r="AY379">
        <v>0</v>
      </c>
    </row>
    <row r="380" spans="1:51" x14ac:dyDescent="0.25">
      <c r="A380">
        <v>86</v>
      </c>
      <c r="B380">
        <v>26060</v>
      </c>
      <c r="C380" t="s">
        <v>735</v>
      </c>
      <c r="D380" t="s">
        <v>96</v>
      </c>
      <c r="E380" t="s">
        <v>186</v>
      </c>
      <c r="F380" t="s">
        <v>107</v>
      </c>
      <c r="G380" t="s">
        <v>77</v>
      </c>
      <c r="H380" t="s">
        <v>78</v>
      </c>
      <c r="I380" t="s">
        <v>79</v>
      </c>
      <c r="J380" t="s">
        <v>119</v>
      </c>
      <c r="K380" t="s">
        <v>75</v>
      </c>
      <c r="L380" t="s">
        <v>76</v>
      </c>
      <c r="M380" t="s">
        <v>177</v>
      </c>
      <c r="N380" t="s">
        <v>74</v>
      </c>
      <c r="O380" t="s">
        <v>187</v>
      </c>
      <c r="P380" t="s">
        <v>71</v>
      </c>
      <c r="Q380" t="s">
        <v>71</v>
      </c>
      <c r="R380" t="s">
        <v>71</v>
      </c>
      <c r="S380">
        <v>1</v>
      </c>
      <c r="T380">
        <v>0</v>
      </c>
      <c r="U380" t="s">
        <v>72</v>
      </c>
      <c r="V380" t="s">
        <v>73</v>
      </c>
      <c r="W380">
        <v>0</v>
      </c>
      <c r="X380">
        <v>0</v>
      </c>
      <c r="Y380">
        <v>0</v>
      </c>
      <c r="Z380">
        <v>0</v>
      </c>
      <c r="AA380">
        <v>0</v>
      </c>
      <c r="AB380">
        <v>0</v>
      </c>
      <c r="AC380">
        <v>0</v>
      </c>
      <c r="AD380">
        <v>0</v>
      </c>
      <c r="AE380">
        <v>0</v>
      </c>
      <c r="AF380">
        <v>0</v>
      </c>
      <c r="AG380" t="s">
        <v>71</v>
      </c>
      <c r="AH380">
        <v>0</v>
      </c>
      <c r="AI380">
        <v>0</v>
      </c>
      <c r="AJ380">
        <v>0</v>
      </c>
      <c r="AK380">
        <v>0</v>
      </c>
      <c r="AL380" t="s">
        <v>255</v>
      </c>
      <c r="AM380" t="s">
        <v>93</v>
      </c>
      <c r="AN380" t="s">
        <v>94</v>
      </c>
      <c r="AO380" t="s">
        <v>147</v>
      </c>
      <c r="AP380">
        <v>0</v>
      </c>
      <c r="AQ380">
        <v>0</v>
      </c>
      <c r="AR380">
        <v>0</v>
      </c>
      <c r="AS380">
        <v>0</v>
      </c>
      <c r="AT380">
        <v>0</v>
      </c>
      <c r="AU380">
        <v>0</v>
      </c>
      <c r="AV380">
        <v>0</v>
      </c>
      <c r="AW380">
        <v>0</v>
      </c>
      <c r="AX380">
        <v>0</v>
      </c>
      <c r="AY380">
        <v>0</v>
      </c>
    </row>
    <row r="381" spans="1:51" x14ac:dyDescent="0.25">
      <c r="A381">
        <v>87</v>
      </c>
      <c r="B381">
        <v>26070</v>
      </c>
      <c r="C381" t="s">
        <v>735</v>
      </c>
      <c r="D381" t="s">
        <v>96</v>
      </c>
      <c r="E381" t="s">
        <v>186</v>
      </c>
      <c r="F381" t="s">
        <v>107</v>
      </c>
      <c r="G381" t="s">
        <v>77</v>
      </c>
      <c r="H381" t="s">
        <v>78</v>
      </c>
      <c r="I381" t="s">
        <v>79</v>
      </c>
      <c r="J381" t="s">
        <v>119</v>
      </c>
      <c r="K381" t="s">
        <v>75</v>
      </c>
      <c r="L381" t="s">
        <v>76</v>
      </c>
      <c r="M381" t="s">
        <v>177</v>
      </c>
      <c r="N381" t="s">
        <v>74</v>
      </c>
      <c r="O381" t="s">
        <v>187</v>
      </c>
      <c r="P381" t="s">
        <v>110</v>
      </c>
      <c r="Q381" t="s">
        <v>110</v>
      </c>
      <c r="R381" t="s">
        <v>110</v>
      </c>
      <c r="S381">
        <v>1</v>
      </c>
      <c r="T381">
        <v>0</v>
      </c>
      <c r="U381" t="s">
        <v>72</v>
      </c>
      <c r="V381" t="s">
        <v>73</v>
      </c>
      <c r="W381">
        <v>0</v>
      </c>
      <c r="X381">
        <v>0</v>
      </c>
      <c r="Y381">
        <v>0</v>
      </c>
      <c r="Z381">
        <v>0</v>
      </c>
      <c r="AA381">
        <v>0</v>
      </c>
      <c r="AB381">
        <v>0</v>
      </c>
      <c r="AC381">
        <v>0</v>
      </c>
      <c r="AD381">
        <v>0</v>
      </c>
      <c r="AE381">
        <v>0</v>
      </c>
      <c r="AF381">
        <v>0</v>
      </c>
      <c r="AG381" t="s">
        <v>71</v>
      </c>
      <c r="AH381">
        <v>0</v>
      </c>
      <c r="AI381">
        <v>0</v>
      </c>
      <c r="AJ381">
        <v>0</v>
      </c>
      <c r="AK381">
        <v>0</v>
      </c>
      <c r="AL381" t="s">
        <v>255</v>
      </c>
      <c r="AM381" t="s">
        <v>93</v>
      </c>
      <c r="AN381" t="s">
        <v>94</v>
      </c>
      <c r="AO381" t="s">
        <v>147</v>
      </c>
      <c r="AP381">
        <v>0</v>
      </c>
      <c r="AQ381">
        <v>0</v>
      </c>
      <c r="AR381">
        <v>0</v>
      </c>
      <c r="AS381">
        <v>0</v>
      </c>
      <c r="AT381">
        <v>0</v>
      </c>
      <c r="AU381">
        <v>0</v>
      </c>
      <c r="AV381">
        <v>0</v>
      </c>
      <c r="AW381">
        <v>0</v>
      </c>
      <c r="AX381">
        <v>0</v>
      </c>
      <c r="AY381">
        <v>0</v>
      </c>
    </row>
    <row r="382" spans="1:51" x14ac:dyDescent="0.25">
      <c r="A382">
        <v>87</v>
      </c>
      <c r="B382">
        <v>26080</v>
      </c>
      <c r="C382" t="s">
        <v>735</v>
      </c>
      <c r="D382" t="s">
        <v>96</v>
      </c>
      <c r="E382" t="s">
        <v>100</v>
      </c>
      <c r="F382" t="s">
        <v>107</v>
      </c>
      <c r="G382" t="s">
        <v>77</v>
      </c>
      <c r="H382" t="s">
        <v>78</v>
      </c>
      <c r="I382" t="s">
        <v>79</v>
      </c>
      <c r="J382" t="s">
        <v>150</v>
      </c>
      <c r="K382" t="s">
        <v>75</v>
      </c>
      <c r="L382" t="s">
        <v>76</v>
      </c>
      <c r="M382" t="s">
        <v>177</v>
      </c>
      <c r="N382" t="s">
        <v>74</v>
      </c>
      <c r="O382" t="s">
        <v>187</v>
      </c>
      <c r="P382" t="s">
        <v>71</v>
      </c>
      <c r="Q382" t="s">
        <v>71</v>
      </c>
      <c r="R382" t="s">
        <v>71</v>
      </c>
      <c r="S382">
        <v>1</v>
      </c>
      <c r="T382">
        <v>0</v>
      </c>
      <c r="U382" t="s">
        <v>72</v>
      </c>
      <c r="V382" t="s">
        <v>73</v>
      </c>
      <c r="W382">
        <v>0</v>
      </c>
      <c r="X382">
        <v>0</v>
      </c>
      <c r="Y382">
        <v>0</v>
      </c>
      <c r="Z382">
        <v>0</v>
      </c>
      <c r="AA382">
        <v>0</v>
      </c>
      <c r="AB382">
        <v>0</v>
      </c>
      <c r="AC382">
        <v>0</v>
      </c>
      <c r="AD382">
        <v>0</v>
      </c>
      <c r="AE382">
        <v>0</v>
      </c>
      <c r="AF382">
        <v>0</v>
      </c>
      <c r="AG382" t="s">
        <v>71</v>
      </c>
      <c r="AH382">
        <v>0</v>
      </c>
      <c r="AI382">
        <v>0</v>
      </c>
      <c r="AJ382">
        <v>0</v>
      </c>
      <c r="AK382">
        <v>0</v>
      </c>
      <c r="AL382" t="s">
        <v>146</v>
      </c>
      <c r="AM382" t="s">
        <v>93</v>
      </c>
      <c r="AN382" t="s">
        <v>94</v>
      </c>
      <c r="AO382" t="s">
        <v>147</v>
      </c>
      <c r="AP382">
        <v>0</v>
      </c>
      <c r="AQ382">
        <v>0</v>
      </c>
      <c r="AR382">
        <v>0</v>
      </c>
      <c r="AS382">
        <v>0</v>
      </c>
      <c r="AT382">
        <v>0</v>
      </c>
      <c r="AU382">
        <v>0</v>
      </c>
      <c r="AV382">
        <v>0</v>
      </c>
      <c r="AW382">
        <v>0</v>
      </c>
      <c r="AX382">
        <v>0</v>
      </c>
      <c r="AY382">
        <v>0</v>
      </c>
    </row>
    <row r="383" spans="1:51" x14ac:dyDescent="0.25">
      <c r="A383">
        <v>88</v>
      </c>
      <c r="B383">
        <v>26090</v>
      </c>
      <c r="C383" t="s">
        <v>735</v>
      </c>
      <c r="D383" t="s">
        <v>96</v>
      </c>
      <c r="E383" t="s">
        <v>121</v>
      </c>
      <c r="F383" t="s">
        <v>107</v>
      </c>
      <c r="G383" t="s">
        <v>77</v>
      </c>
      <c r="H383" t="s">
        <v>78</v>
      </c>
      <c r="I383" t="s">
        <v>79</v>
      </c>
      <c r="J383" t="s">
        <v>70</v>
      </c>
      <c r="K383" t="s">
        <v>75</v>
      </c>
      <c r="L383" t="s">
        <v>203</v>
      </c>
      <c r="M383" t="s">
        <v>177</v>
      </c>
      <c r="N383" t="s">
        <v>74</v>
      </c>
      <c r="O383" t="s">
        <v>191</v>
      </c>
      <c r="P383" t="s">
        <v>71</v>
      </c>
      <c r="Q383" t="s">
        <v>71</v>
      </c>
      <c r="R383" t="s">
        <v>71</v>
      </c>
      <c r="S383">
        <v>1</v>
      </c>
      <c r="T383">
        <v>0</v>
      </c>
      <c r="U383" t="s">
        <v>72</v>
      </c>
      <c r="V383" t="s">
        <v>188</v>
      </c>
      <c r="W383">
        <v>0</v>
      </c>
      <c r="X383">
        <v>0</v>
      </c>
      <c r="Y383">
        <v>0</v>
      </c>
      <c r="Z383">
        <v>0</v>
      </c>
      <c r="AA383">
        <v>0</v>
      </c>
      <c r="AB383">
        <v>0</v>
      </c>
      <c r="AC383">
        <v>0</v>
      </c>
      <c r="AD383">
        <v>0</v>
      </c>
      <c r="AE383">
        <v>0</v>
      </c>
      <c r="AF383">
        <v>0</v>
      </c>
      <c r="AG383" t="s">
        <v>71</v>
      </c>
      <c r="AH383">
        <v>0</v>
      </c>
      <c r="AI383">
        <v>0</v>
      </c>
      <c r="AJ383">
        <v>0</v>
      </c>
      <c r="AK383">
        <v>0</v>
      </c>
      <c r="AL383" t="s">
        <v>146</v>
      </c>
      <c r="AM383" t="s">
        <v>93</v>
      </c>
      <c r="AN383" t="s">
        <v>148</v>
      </c>
      <c r="AO383" t="s">
        <v>147</v>
      </c>
      <c r="AP383">
        <v>0</v>
      </c>
      <c r="AQ383">
        <v>0</v>
      </c>
      <c r="AR383">
        <v>128</v>
      </c>
      <c r="AS383">
        <v>0</v>
      </c>
      <c r="AT383">
        <v>0</v>
      </c>
      <c r="AU383">
        <v>0</v>
      </c>
      <c r="AV383">
        <v>0</v>
      </c>
      <c r="AW383">
        <v>0</v>
      </c>
      <c r="AX383">
        <v>0</v>
      </c>
      <c r="AY383">
        <v>0</v>
      </c>
    </row>
    <row r="384" spans="1:51" x14ac:dyDescent="0.25">
      <c r="A384">
        <v>88</v>
      </c>
      <c r="B384">
        <v>26100</v>
      </c>
      <c r="C384" t="s">
        <v>735</v>
      </c>
      <c r="D384" t="s">
        <v>96</v>
      </c>
      <c r="E384" t="s">
        <v>121</v>
      </c>
      <c r="F384" t="s">
        <v>107</v>
      </c>
      <c r="G384" t="s">
        <v>77</v>
      </c>
      <c r="H384" t="s">
        <v>78</v>
      </c>
      <c r="I384" t="s">
        <v>79</v>
      </c>
      <c r="J384" t="s">
        <v>150</v>
      </c>
      <c r="K384" t="s">
        <v>75</v>
      </c>
      <c r="L384" t="s">
        <v>203</v>
      </c>
      <c r="M384" t="s">
        <v>177</v>
      </c>
      <c r="N384" t="s">
        <v>74</v>
      </c>
      <c r="O384" t="s">
        <v>191</v>
      </c>
      <c r="P384" t="s">
        <v>71</v>
      </c>
      <c r="Q384" t="s">
        <v>71</v>
      </c>
      <c r="R384" t="s">
        <v>71</v>
      </c>
      <c r="S384">
        <v>1</v>
      </c>
      <c r="T384">
        <v>0</v>
      </c>
      <c r="U384" t="s">
        <v>72</v>
      </c>
      <c r="V384" t="s">
        <v>188</v>
      </c>
      <c r="W384">
        <v>0</v>
      </c>
      <c r="X384">
        <v>0</v>
      </c>
      <c r="Y384">
        <v>0</v>
      </c>
      <c r="Z384">
        <v>0</v>
      </c>
      <c r="AA384">
        <v>0</v>
      </c>
      <c r="AB384">
        <v>0</v>
      </c>
      <c r="AC384">
        <v>0</v>
      </c>
      <c r="AD384">
        <v>0</v>
      </c>
      <c r="AE384">
        <v>0</v>
      </c>
      <c r="AF384">
        <v>0</v>
      </c>
      <c r="AG384" t="s">
        <v>71</v>
      </c>
      <c r="AH384">
        <v>0</v>
      </c>
      <c r="AI384">
        <v>0</v>
      </c>
      <c r="AJ384">
        <v>0</v>
      </c>
      <c r="AK384">
        <v>0</v>
      </c>
      <c r="AL384" t="s">
        <v>176</v>
      </c>
      <c r="AM384" t="s">
        <v>254</v>
      </c>
      <c r="AN384" t="s">
        <v>148</v>
      </c>
      <c r="AO384" t="s">
        <v>147</v>
      </c>
      <c r="AP384">
        <v>0</v>
      </c>
      <c r="AQ384">
        <v>0</v>
      </c>
      <c r="AR384">
        <v>0</v>
      </c>
      <c r="AS384">
        <v>0</v>
      </c>
      <c r="AT384">
        <v>0</v>
      </c>
      <c r="AU384">
        <v>0</v>
      </c>
      <c r="AV384">
        <v>0</v>
      </c>
      <c r="AW384">
        <v>0</v>
      </c>
      <c r="AX384">
        <v>0</v>
      </c>
      <c r="AY384">
        <v>0</v>
      </c>
    </row>
    <row r="385" spans="1:51" x14ac:dyDescent="0.25">
      <c r="A385">
        <v>89</v>
      </c>
      <c r="B385">
        <v>26110</v>
      </c>
      <c r="C385" t="s">
        <v>735</v>
      </c>
      <c r="D385" t="s">
        <v>96</v>
      </c>
      <c r="E385" t="s">
        <v>100</v>
      </c>
      <c r="F385" t="s">
        <v>98</v>
      </c>
      <c r="G385" t="s">
        <v>77</v>
      </c>
      <c r="H385" t="s">
        <v>78</v>
      </c>
      <c r="I385" t="s">
        <v>195</v>
      </c>
      <c r="J385" t="s">
        <v>119</v>
      </c>
      <c r="K385" t="s">
        <v>75</v>
      </c>
      <c r="L385" t="s">
        <v>76</v>
      </c>
      <c r="M385" t="s">
        <v>177</v>
      </c>
      <c r="N385" t="s">
        <v>74</v>
      </c>
      <c r="O385" t="s">
        <v>187</v>
      </c>
      <c r="P385" t="s">
        <v>71</v>
      </c>
      <c r="Q385" t="s">
        <v>110</v>
      </c>
      <c r="R385" t="s">
        <v>71</v>
      </c>
      <c r="S385">
        <v>1</v>
      </c>
      <c r="T385">
        <v>0</v>
      </c>
      <c r="U385" t="s">
        <v>72</v>
      </c>
      <c r="V385" t="s">
        <v>73</v>
      </c>
      <c r="W385">
        <v>0</v>
      </c>
      <c r="X385">
        <v>0</v>
      </c>
      <c r="Y385">
        <v>0</v>
      </c>
      <c r="Z385">
        <v>0</v>
      </c>
      <c r="AA385">
        <v>0</v>
      </c>
      <c r="AB385">
        <v>0</v>
      </c>
      <c r="AC385">
        <v>0</v>
      </c>
      <c r="AD385">
        <v>0</v>
      </c>
      <c r="AE385">
        <v>0</v>
      </c>
      <c r="AF385">
        <v>0</v>
      </c>
      <c r="AG385" t="s">
        <v>71</v>
      </c>
      <c r="AH385">
        <v>0</v>
      </c>
      <c r="AI385">
        <v>0</v>
      </c>
      <c r="AJ385">
        <v>0</v>
      </c>
      <c r="AK385">
        <v>0</v>
      </c>
      <c r="AL385" t="s">
        <v>176</v>
      </c>
      <c r="AM385" t="s">
        <v>254</v>
      </c>
      <c r="AN385" t="s">
        <v>148</v>
      </c>
      <c r="AO385" t="s">
        <v>147</v>
      </c>
      <c r="AP385">
        <v>2056</v>
      </c>
      <c r="AQ385">
        <v>0</v>
      </c>
      <c r="AR385">
        <v>0</v>
      </c>
      <c r="AS385">
        <v>0</v>
      </c>
      <c r="AT385">
        <v>24</v>
      </c>
      <c r="AU385">
        <v>0</v>
      </c>
      <c r="AV385">
        <v>0</v>
      </c>
      <c r="AW385">
        <v>0</v>
      </c>
      <c r="AX385">
        <v>0</v>
      </c>
      <c r="AY385">
        <v>0</v>
      </c>
    </row>
    <row r="386" spans="1:51" x14ac:dyDescent="0.25">
      <c r="A386">
        <v>90</v>
      </c>
      <c r="B386">
        <v>26120</v>
      </c>
      <c r="C386" t="s">
        <v>735</v>
      </c>
      <c r="D386" t="s">
        <v>96</v>
      </c>
      <c r="E386" t="s">
        <v>100</v>
      </c>
      <c r="F386" t="s">
        <v>98</v>
      </c>
      <c r="G386" t="s">
        <v>77</v>
      </c>
      <c r="H386" t="s">
        <v>78</v>
      </c>
      <c r="I386" t="s">
        <v>196</v>
      </c>
      <c r="J386" t="s">
        <v>119</v>
      </c>
      <c r="K386" t="s">
        <v>75</v>
      </c>
      <c r="L386" t="s">
        <v>76</v>
      </c>
      <c r="M386" t="s">
        <v>177</v>
      </c>
      <c r="N386" t="s">
        <v>74</v>
      </c>
      <c r="O386" t="s">
        <v>187</v>
      </c>
      <c r="P386" t="s">
        <v>71</v>
      </c>
      <c r="Q386" t="s">
        <v>71</v>
      </c>
      <c r="R386" t="s">
        <v>71</v>
      </c>
      <c r="S386">
        <v>1</v>
      </c>
      <c r="T386">
        <v>0</v>
      </c>
      <c r="U386" t="s">
        <v>72</v>
      </c>
      <c r="V386" t="s">
        <v>73</v>
      </c>
      <c r="W386">
        <v>0</v>
      </c>
      <c r="X386">
        <v>0</v>
      </c>
      <c r="Y386">
        <v>0</v>
      </c>
      <c r="Z386">
        <v>0</v>
      </c>
      <c r="AA386">
        <v>0</v>
      </c>
      <c r="AB386">
        <v>0</v>
      </c>
      <c r="AC386">
        <v>0</v>
      </c>
      <c r="AD386">
        <v>0</v>
      </c>
      <c r="AE386">
        <v>0</v>
      </c>
      <c r="AF386">
        <v>0</v>
      </c>
      <c r="AG386" t="s">
        <v>71</v>
      </c>
      <c r="AH386">
        <v>0</v>
      </c>
      <c r="AI386">
        <v>0</v>
      </c>
      <c r="AJ386">
        <v>0</v>
      </c>
      <c r="AK386">
        <v>0</v>
      </c>
      <c r="AL386" t="s">
        <v>176</v>
      </c>
      <c r="AM386" t="s">
        <v>254</v>
      </c>
      <c r="AN386" t="s">
        <v>148</v>
      </c>
      <c r="AO386" t="s">
        <v>147</v>
      </c>
      <c r="AP386">
        <v>0</v>
      </c>
      <c r="AQ386">
        <v>0</v>
      </c>
      <c r="AR386">
        <v>0</v>
      </c>
      <c r="AS386">
        <v>0</v>
      </c>
      <c r="AT386">
        <v>24</v>
      </c>
      <c r="AU386">
        <v>0</v>
      </c>
      <c r="AV386">
        <v>0</v>
      </c>
      <c r="AW386">
        <v>0</v>
      </c>
      <c r="AX386">
        <v>0</v>
      </c>
      <c r="AY386">
        <v>0</v>
      </c>
    </row>
    <row r="387" spans="1:51" x14ac:dyDescent="0.25">
      <c r="A387">
        <v>91</v>
      </c>
      <c r="B387">
        <v>26130</v>
      </c>
      <c r="C387" t="s">
        <v>735</v>
      </c>
      <c r="D387" t="s">
        <v>96</v>
      </c>
      <c r="E387" t="s">
        <v>100</v>
      </c>
      <c r="F387" t="s">
        <v>98</v>
      </c>
      <c r="G387" t="s">
        <v>77</v>
      </c>
      <c r="H387" t="s">
        <v>78</v>
      </c>
      <c r="I387" t="s">
        <v>197</v>
      </c>
      <c r="J387" t="s">
        <v>119</v>
      </c>
      <c r="K387" t="s">
        <v>75</v>
      </c>
      <c r="L387" t="s">
        <v>76</v>
      </c>
      <c r="M387" t="s">
        <v>177</v>
      </c>
      <c r="N387" t="s">
        <v>74</v>
      </c>
      <c r="O387" t="s">
        <v>187</v>
      </c>
      <c r="P387" t="s">
        <v>71</v>
      </c>
      <c r="Q387" t="s">
        <v>71</v>
      </c>
      <c r="R387" t="s">
        <v>71</v>
      </c>
      <c r="S387">
        <v>1</v>
      </c>
      <c r="T387">
        <v>0</v>
      </c>
      <c r="U387" t="s">
        <v>283</v>
      </c>
      <c r="V387" t="s">
        <v>188</v>
      </c>
      <c r="W387">
        <v>0</v>
      </c>
      <c r="X387">
        <v>0</v>
      </c>
      <c r="Y387">
        <v>0</v>
      </c>
      <c r="Z387">
        <v>0</v>
      </c>
      <c r="AA387">
        <v>0</v>
      </c>
      <c r="AB387">
        <v>0</v>
      </c>
      <c r="AC387">
        <v>0</v>
      </c>
      <c r="AD387">
        <v>0</v>
      </c>
      <c r="AE387">
        <v>0</v>
      </c>
      <c r="AF387">
        <v>0</v>
      </c>
      <c r="AG387" t="s">
        <v>71</v>
      </c>
      <c r="AH387">
        <v>0</v>
      </c>
      <c r="AI387">
        <v>0</v>
      </c>
      <c r="AJ387">
        <v>0</v>
      </c>
      <c r="AK387">
        <v>0</v>
      </c>
      <c r="AL387" t="s">
        <v>176</v>
      </c>
      <c r="AM387" t="s">
        <v>254</v>
      </c>
      <c r="AN387" t="s">
        <v>148</v>
      </c>
      <c r="AO387" t="s">
        <v>147</v>
      </c>
      <c r="AP387">
        <v>0</v>
      </c>
      <c r="AQ387">
        <v>0</v>
      </c>
      <c r="AR387">
        <v>0</v>
      </c>
      <c r="AS387">
        <v>0</v>
      </c>
      <c r="AT387">
        <v>24</v>
      </c>
      <c r="AU387">
        <v>0</v>
      </c>
      <c r="AV387">
        <v>0</v>
      </c>
      <c r="AW387">
        <v>0</v>
      </c>
      <c r="AX387">
        <v>0</v>
      </c>
      <c r="AY387">
        <v>0</v>
      </c>
    </row>
    <row r="388" spans="1:51" x14ac:dyDescent="0.25">
      <c r="A388">
        <v>92</v>
      </c>
      <c r="B388">
        <v>26140</v>
      </c>
      <c r="C388" t="s">
        <v>735</v>
      </c>
      <c r="D388" t="s">
        <v>96</v>
      </c>
      <c r="E388" t="s">
        <v>121</v>
      </c>
      <c r="F388" t="s">
        <v>98</v>
      </c>
      <c r="G388" t="s">
        <v>77</v>
      </c>
      <c r="H388" t="s">
        <v>78</v>
      </c>
      <c r="I388" t="s">
        <v>79</v>
      </c>
      <c r="J388" t="s">
        <v>119</v>
      </c>
      <c r="K388" t="s">
        <v>75</v>
      </c>
      <c r="L388" t="s">
        <v>76</v>
      </c>
      <c r="M388" t="s">
        <v>103</v>
      </c>
      <c r="N388" t="s">
        <v>74</v>
      </c>
      <c r="O388" t="s">
        <v>187</v>
      </c>
      <c r="P388" t="s">
        <v>71</v>
      </c>
      <c r="Q388" t="s">
        <v>71</v>
      </c>
      <c r="R388" t="s">
        <v>71</v>
      </c>
      <c r="S388">
        <v>1</v>
      </c>
      <c r="T388">
        <v>0</v>
      </c>
      <c r="U388" t="s">
        <v>72</v>
      </c>
      <c r="V388" t="s">
        <v>73</v>
      </c>
      <c r="W388">
        <v>0</v>
      </c>
      <c r="X388">
        <v>1</v>
      </c>
      <c r="Y388">
        <v>1</v>
      </c>
      <c r="Z388">
        <v>25</v>
      </c>
      <c r="AA388">
        <v>1</v>
      </c>
      <c r="AB388">
        <v>25</v>
      </c>
      <c r="AC388">
        <v>1</v>
      </c>
      <c r="AD388">
        <v>25</v>
      </c>
      <c r="AE388">
        <v>0</v>
      </c>
      <c r="AF388">
        <v>0</v>
      </c>
      <c r="AG388" t="s">
        <v>71</v>
      </c>
      <c r="AH388">
        <v>0</v>
      </c>
      <c r="AI388">
        <v>0</v>
      </c>
      <c r="AJ388">
        <v>0</v>
      </c>
      <c r="AK388">
        <v>0</v>
      </c>
      <c r="AL388" t="s">
        <v>176</v>
      </c>
      <c r="AM388" t="s">
        <v>254</v>
      </c>
      <c r="AN388" t="s">
        <v>148</v>
      </c>
      <c r="AO388" t="s">
        <v>147</v>
      </c>
      <c r="AP388">
        <v>0</v>
      </c>
      <c r="AQ388">
        <v>0</v>
      </c>
      <c r="AR388">
        <v>0</v>
      </c>
      <c r="AS388">
        <v>0</v>
      </c>
      <c r="AT388">
        <v>17</v>
      </c>
      <c r="AU388">
        <v>0</v>
      </c>
      <c r="AV388">
        <v>0</v>
      </c>
      <c r="AW388">
        <v>0</v>
      </c>
      <c r="AX388">
        <v>0</v>
      </c>
      <c r="AY388">
        <v>0</v>
      </c>
    </row>
    <row r="389" spans="1:51" x14ac:dyDescent="0.25">
      <c r="A389">
        <v>93</v>
      </c>
      <c r="B389">
        <v>26150</v>
      </c>
      <c r="C389" t="s">
        <v>735</v>
      </c>
      <c r="D389" t="s">
        <v>96</v>
      </c>
      <c r="E389" t="s">
        <v>121</v>
      </c>
      <c r="F389" t="s">
        <v>107</v>
      </c>
      <c r="G389" t="s">
        <v>77</v>
      </c>
      <c r="H389" t="s">
        <v>180</v>
      </c>
      <c r="I389" t="s">
        <v>79</v>
      </c>
      <c r="J389" t="s">
        <v>119</v>
      </c>
      <c r="K389" t="s">
        <v>75</v>
      </c>
      <c r="L389" t="s">
        <v>76</v>
      </c>
      <c r="M389" t="s">
        <v>149</v>
      </c>
      <c r="N389" t="s">
        <v>74</v>
      </c>
      <c r="O389" t="s">
        <v>187</v>
      </c>
      <c r="P389" t="s">
        <v>71</v>
      </c>
      <c r="Q389" t="s">
        <v>71</v>
      </c>
      <c r="R389" t="s">
        <v>71</v>
      </c>
      <c r="S389">
        <v>0</v>
      </c>
      <c r="T389">
        <v>0</v>
      </c>
      <c r="U389" t="s">
        <v>72</v>
      </c>
      <c r="V389" t="s">
        <v>192</v>
      </c>
      <c r="W389">
        <v>0</v>
      </c>
      <c r="X389">
        <v>1</v>
      </c>
      <c r="Y389">
        <v>0</v>
      </c>
      <c r="Z389">
        <v>0</v>
      </c>
      <c r="AA389">
        <v>0</v>
      </c>
      <c r="AB389">
        <v>0</v>
      </c>
      <c r="AC389">
        <v>0</v>
      </c>
      <c r="AD389">
        <v>0</v>
      </c>
      <c r="AE389">
        <v>0</v>
      </c>
      <c r="AF389">
        <v>25</v>
      </c>
      <c r="AG389" t="s">
        <v>71</v>
      </c>
      <c r="AH389">
        <v>0</v>
      </c>
      <c r="AI389">
        <v>0</v>
      </c>
      <c r="AJ389">
        <v>0</v>
      </c>
      <c r="AK389">
        <v>0</v>
      </c>
      <c r="AL389" t="s">
        <v>176</v>
      </c>
      <c r="AM389" t="s">
        <v>254</v>
      </c>
      <c r="AN389" t="s">
        <v>148</v>
      </c>
      <c r="AO389" t="s">
        <v>147</v>
      </c>
      <c r="AP389">
        <v>0</v>
      </c>
      <c r="AQ389">
        <v>0</v>
      </c>
      <c r="AR389">
        <v>0</v>
      </c>
      <c r="AS389">
        <v>0</v>
      </c>
      <c r="AT389">
        <v>4</v>
      </c>
      <c r="AU389">
        <v>0</v>
      </c>
      <c r="AV389">
        <v>0</v>
      </c>
      <c r="AW389">
        <v>0</v>
      </c>
      <c r="AX389">
        <v>0</v>
      </c>
      <c r="AY389">
        <v>0</v>
      </c>
    </row>
    <row r="390" spans="1:51" x14ac:dyDescent="0.25">
      <c r="A390">
        <v>94</v>
      </c>
      <c r="B390">
        <v>26160</v>
      </c>
      <c r="C390" t="s">
        <v>735</v>
      </c>
      <c r="D390" t="s">
        <v>96</v>
      </c>
      <c r="E390" t="s">
        <v>121</v>
      </c>
      <c r="F390" t="s">
        <v>111</v>
      </c>
      <c r="G390" t="s">
        <v>77</v>
      </c>
      <c r="H390" t="s">
        <v>181</v>
      </c>
      <c r="I390" t="s">
        <v>79</v>
      </c>
      <c r="J390" t="s">
        <v>119</v>
      </c>
      <c r="K390" t="s">
        <v>75</v>
      </c>
      <c r="L390" t="s">
        <v>76</v>
      </c>
      <c r="M390" t="s">
        <v>103</v>
      </c>
      <c r="N390" t="s">
        <v>74</v>
      </c>
      <c r="O390" t="s">
        <v>187</v>
      </c>
      <c r="P390" t="s">
        <v>71</v>
      </c>
      <c r="Q390" t="s">
        <v>71</v>
      </c>
      <c r="R390" t="s">
        <v>71</v>
      </c>
      <c r="S390">
        <v>0</v>
      </c>
      <c r="T390">
        <v>0</v>
      </c>
      <c r="U390" t="s">
        <v>72</v>
      </c>
      <c r="V390" t="s">
        <v>188</v>
      </c>
      <c r="W390">
        <v>0</v>
      </c>
      <c r="X390">
        <v>1</v>
      </c>
      <c r="Y390">
        <v>0</v>
      </c>
      <c r="Z390">
        <v>0</v>
      </c>
      <c r="AA390">
        <v>0</v>
      </c>
      <c r="AB390">
        <v>0</v>
      </c>
      <c r="AC390">
        <v>0</v>
      </c>
      <c r="AD390">
        <v>0</v>
      </c>
      <c r="AE390">
        <v>0</v>
      </c>
      <c r="AF390">
        <v>0</v>
      </c>
      <c r="AG390" t="s">
        <v>71</v>
      </c>
      <c r="AH390">
        <v>0</v>
      </c>
      <c r="AI390">
        <v>0</v>
      </c>
      <c r="AJ390">
        <v>0</v>
      </c>
      <c r="AK390">
        <v>0</v>
      </c>
      <c r="AL390" t="s">
        <v>176</v>
      </c>
      <c r="AM390" t="s">
        <v>254</v>
      </c>
      <c r="AN390" t="s">
        <v>148</v>
      </c>
      <c r="AO390" t="s">
        <v>147</v>
      </c>
      <c r="AP390">
        <v>0</v>
      </c>
      <c r="AQ390">
        <v>0</v>
      </c>
      <c r="AR390">
        <v>0</v>
      </c>
      <c r="AS390">
        <v>0</v>
      </c>
      <c r="AT390">
        <v>20</v>
      </c>
      <c r="AU390">
        <v>0</v>
      </c>
      <c r="AV390">
        <v>0</v>
      </c>
      <c r="AW390">
        <v>0</v>
      </c>
      <c r="AX390">
        <v>0</v>
      </c>
      <c r="AY390">
        <v>0</v>
      </c>
    </row>
    <row r="391" spans="1:51" x14ac:dyDescent="0.25">
      <c r="A391">
        <v>95</v>
      </c>
      <c r="B391">
        <v>26170</v>
      </c>
      <c r="C391" t="s">
        <v>735</v>
      </c>
      <c r="D391" t="s">
        <v>96</v>
      </c>
      <c r="E391" t="s">
        <v>100</v>
      </c>
      <c r="F391" t="s">
        <v>112</v>
      </c>
      <c r="G391" t="s">
        <v>77</v>
      </c>
      <c r="H391" t="s">
        <v>182</v>
      </c>
      <c r="I391" t="s">
        <v>79</v>
      </c>
      <c r="J391" t="s">
        <v>119</v>
      </c>
      <c r="K391" t="s">
        <v>75</v>
      </c>
      <c r="L391" t="s">
        <v>203</v>
      </c>
      <c r="M391" t="s">
        <v>177</v>
      </c>
      <c r="N391" t="s">
        <v>74</v>
      </c>
      <c r="O391" t="s">
        <v>187</v>
      </c>
      <c r="P391" t="s">
        <v>71</v>
      </c>
      <c r="Q391" t="s">
        <v>71</v>
      </c>
      <c r="R391" t="s">
        <v>71</v>
      </c>
      <c r="S391">
        <v>0</v>
      </c>
      <c r="T391">
        <v>1</v>
      </c>
      <c r="U391" t="s">
        <v>72</v>
      </c>
      <c r="V391" t="s">
        <v>192</v>
      </c>
      <c r="W391">
        <v>0</v>
      </c>
      <c r="X391">
        <v>1</v>
      </c>
      <c r="Y391">
        <v>0</v>
      </c>
      <c r="Z391">
        <v>0</v>
      </c>
      <c r="AA391">
        <v>0</v>
      </c>
      <c r="AB391">
        <v>0</v>
      </c>
      <c r="AC391">
        <v>0</v>
      </c>
      <c r="AD391">
        <v>0</v>
      </c>
      <c r="AE391">
        <v>0</v>
      </c>
      <c r="AF391">
        <v>0</v>
      </c>
      <c r="AG391" t="s">
        <v>71</v>
      </c>
      <c r="AH391">
        <v>0</v>
      </c>
      <c r="AI391">
        <v>0</v>
      </c>
      <c r="AJ391">
        <v>0</v>
      </c>
      <c r="AK391">
        <v>0</v>
      </c>
      <c r="AL391" t="s">
        <v>176</v>
      </c>
      <c r="AM391" t="s">
        <v>254</v>
      </c>
      <c r="AN391" t="s">
        <v>148</v>
      </c>
      <c r="AO391" t="s">
        <v>147</v>
      </c>
      <c r="AP391">
        <v>0</v>
      </c>
      <c r="AQ391">
        <v>0</v>
      </c>
      <c r="AR391">
        <v>0</v>
      </c>
      <c r="AS391">
        <v>0</v>
      </c>
      <c r="AT391">
        <v>20</v>
      </c>
      <c r="AU391">
        <v>0</v>
      </c>
      <c r="AV391">
        <v>0</v>
      </c>
      <c r="AW391">
        <v>0</v>
      </c>
      <c r="AX391">
        <v>0</v>
      </c>
      <c r="AY391">
        <v>0</v>
      </c>
    </row>
    <row r="392" spans="1:51" x14ac:dyDescent="0.25">
      <c r="A392">
        <v>96</v>
      </c>
      <c r="B392">
        <v>26180</v>
      </c>
      <c r="C392" t="s">
        <v>735</v>
      </c>
      <c r="D392" t="s">
        <v>96</v>
      </c>
      <c r="E392" t="s">
        <v>121</v>
      </c>
      <c r="F392" t="s">
        <v>107</v>
      </c>
      <c r="G392" t="s">
        <v>101</v>
      </c>
      <c r="H392" t="s">
        <v>78</v>
      </c>
      <c r="I392" t="s">
        <v>79</v>
      </c>
      <c r="J392" t="s">
        <v>119</v>
      </c>
      <c r="K392" t="s">
        <v>75</v>
      </c>
      <c r="L392" t="s">
        <v>76</v>
      </c>
      <c r="M392" t="s">
        <v>177</v>
      </c>
      <c r="N392" t="s">
        <v>74</v>
      </c>
      <c r="O392" t="s">
        <v>187</v>
      </c>
      <c r="P392" t="s">
        <v>71</v>
      </c>
      <c r="Q392" t="s">
        <v>71</v>
      </c>
      <c r="R392" t="s">
        <v>71</v>
      </c>
      <c r="S392">
        <v>1</v>
      </c>
      <c r="T392">
        <v>1</v>
      </c>
      <c r="U392" t="s">
        <v>72</v>
      </c>
      <c r="V392" t="s">
        <v>192</v>
      </c>
      <c r="W392">
        <v>0</v>
      </c>
      <c r="X392">
        <v>1</v>
      </c>
      <c r="Y392">
        <v>0</v>
      </c>
      <c r="Z392">
        <v>0</v>
      </c>
      <c r="AA392">
        <v>0</v>
      </c>
      <c r="AB392">
        <v>0</v>
      </c>
      <c r="AC392">
        <v>0</v>
      </c>
      <c r="AD392">
        <v>0</v>
      </c>
      <c r="AE392">
        <v>0</v>
      </c>
      <c r="AF392">
        <v>0</v>
      </c>
      <c r="AG392" t="s">
        <v>71</v>
      </c>
      <c r="AH392">
        <v>0</v>
      </c>
      <c r="AI392">
        <v>0</v>
      </c>
      <c r="AJ392">
        <v>0</v>
      </c>
      <c r="AK392">
        <v>0</v>
      </c>
      <c r="AL392" t="s">
        <v>176</v>
      </c>
      <c r="AM392" t="s">
        <v>254</v>
      </c>
      <c r="AN392" t="s">
        <v>148</v>
      </c>
      <c r="AO392" t="s">
        <v>147</v>
      </c>
      <c r="AP392">
        <v>0</v>
      </c>
      <c r="AQ392">
        <v>0</v>
      </c>
      <c r="AR392">
        <v>0</v>
      </c>
      <c r="AS392">
        <v>0</v>
      </c>
      <c r="AT392">
        <v>18</v>
      </c>
      <c r="AU392">
        <v>0</v>
      </c>
      <c r="AV392">
        <v>0</v>
      </c>
      <c r="AW392">
        <v>0</v>
      </c>
      <c r="AX392">
        <v>0</v>
      </c>
      <c r="AY392">
        <v>0</v>
      </c>
    </row>
    <row r="393" spans="1:51" x14ac:dyDescent="0.25">
      <c r="A393">
        <v>97</v>
      </c>
      <c r="B393">
        <v>26190</v>
      </c>
      <c r="C393" t="s">
        <v>735</v>
      </c>
      <c r="D393" t="s">
        <v>96</v>
      </c>
      <c r="E393" t="s">
        <v>186</v>
      </c>
      <c r="F393" t="s">
        <v>107</v>
      </c>
      <c r="G393" t="s">
        <v>184</v>
      </c>
      <c r="H393" t="s">
        <v>78</v>
      </c>
      <c r="I393" t="s">
        <v>79</v>
      </c>
      <c r="J393" t="s">
        <v>119</v>
      </c>
      <c r="K393" t="s">
        <v>75</v>
      </c>
      <c r="L393" t="s">
        <v>76</v>
      </c>
      <c r="M393" t="s">
        <v>177</v>
      </c>
      <c r="N393" t="s">
        <v>74</v>
      </c>
      <c r="O393" t="s">
        <v>187</v>
      </c>
      <c r="P393" t="s">
        <v>71</v>
      </c>
      <c r="Q393" t="s">
        <v>71</v>
      </c>
      <c r="R393" t="s">
        <v>71</v>
      </c>
      <c r="S393">
        <v>1</v>
      </c>
      <c r="T393">
        <v>1</v>
      </c>
      <c r="U393" t="s">
        <v>72</v>
      </c>
      <c r="V393" t="s">
        <v>73</v>
      </c>
      <c r="W393">
        <v>0</v>
      </c>
      <c r="X393">
        <v>1</v>
      </c>
      <c r="Y393">
        <v>1</v>
      </c>
      <c r="Z393">
        <v>-25</v>
      </c>
      <c r="AA393">
        <v>1</v>
      </c>
      <c r="AB393">
        <v>-25</v>
      </c>
      <c r="AC393">
        <v>1</v>
      </c>
      <c r="AD393">
        <v>-25</v>
      </c>
      <c r="AE393">
        <v>0</v>
      </c>
      <c r="AF393">
        <v>0</v>
      </c>
      <c r="AG393" t="s">
        <v>71</v>
      </c>
      <c r="AH393">
        <v>0</v>
      </c>
      <c r="AI393">
        <v>0</v>
      </c>
      <c r="AJ393">
        <v>0</v>
      </c>
      <c r="AK393">
        <v>0</v>
      </c>
      <c r="AL393" t="s">
        <v>176</v>
      </c>
      <c r="AM393" t="s">
        <v>254</v>
      </c>
      <c r="AN393" t="s">
        <v>148</v>
      </c>
      <c r="AO393" t="s">
        <v>147</v>
      </c>
      <c r="AP393">
        <v>0</v>
      </c>
      <c r="AQ393">
        <v>0</v>
      </c>
      <c r="AR393">
        <v>0</v>
      </c>
      <c r="AS393">
        <v>0</v>
      </c>
      <c r="AT393">
        <v>19</v>
      </c>
      <c r="AU393">
        <v>0</v>
      </c>
      <c r="AV393">
        <v>0</v>
      </c>
      <c r="AW393">
        <v>0</v>
      </c>
      <c r="AX393">
        <v>0</v>
      </c>
      <c r="AY393">
        <v>0</v>
      </c>
    </row>
    <row r="394" spans="1:51" x14ac:dyDescent="0.25">
      <c r="A394">
        <v>98</v>
      </c>
      <c r="B394">
        <v>26200</v>
      </c>
      <c r="C394" t="s">
        <v>735</v>
      </c>
      <c r="D394" t="s">
        <v>96</v>
      </c>
      <c r="E394" t="s">
        <v>190</v>
      </c>
      <c r="F394" t="s">
        <v>107</v>
      </c>
      <c r="G394" t="s">
        <v>185</v>
      </c>
      <c r="H394" t="s">
        <v>78</v>
      </c>
      <c r="I394" t="s">
        <v>79</v>
      </c>
      <c r="J394" t="s">
        <v>119</v>
      </c>
      <c r="K394" t="s">
        <v>75</v>
      </c>
      <c r="L394" t="s">
        <v>76</v>
      </c>
      <c r="M394" t="s">
        <v>177</v>
      </c>
      <c r="N394" t="s">
        <v>74</v>
      </c>
      <c r="O394" t="s">
        <v>187</v>
      </c>
      <c r="P394" t="s">
        <v>71</v>
      </c>
      <c r="Q394" t="s">
        <v>71</v>
      </c>
      <c r="R394" t="s">
        <v>71</v>
      </c>
      <c r="S394">
        <v>1</v>
      </c>
      <c r="T394">
        <v>1</v>
      </c>
      <c r="U394" t="s">
        <v>72</v>
      </c>
      <c r="V394" t="s">
        <v>73</v>
      </c>
      <c r="W394">
        <v>0</v>
      </c>
      <c r="X394">
        <v>1</v>
      </c>
      <c r="Y394">
        <v>0</v>
      </c>
      <c r="Z394">
        <v>0</v>
      </c>
      <c r="AA394">
        <v>0</v>
      </c>
      <c r="AB394">
        <v>0</v>
      </c>
      <c r="AC394">
        <v>0</v>
      </c>
      <c r="AD394">
        <v>0</v>
      </c>
      <c r="AE394">
        <v>0</v>
      </c>
      <c r="AF394">
        <v>-25</v>
      </c>
      <c r="AG394" t="s">
        <v>71</v>
      </c>
      <c r="AH394">
        <v>0</v>
      </c>
      <c r="AI394">
        <v>0</v>
      </c>
      <c r="AJ394">
        <v>0</v>
      </c>
      <c r="AK394">
        <v>0</v>
      </c>
      <c r="AL394" t="s">
        <v>176</v>
      </c>
      <c r="AM394" t="s">
        <v>254</v>
      </c>
      <c r="AN394" t="s">
        <v>148</v>
      </c>
      <c r="AO394" t="s">
        <v>147</v>
      </c>
      <c r="AP394">
        <v>0</v>
      </c>
      <c r="AQ394">
        <v>0</v>
      </c>
      <c r="AR394">
        <v>0</v>
      </c>
      <c r="AS394">
        <v>0</v>
      </c>
      <c r="AT394">
        <v>18</v>
      </c>
      <c r="AU394">
        <v>0</v>
      </c>
      <c r="AV394">
        <v>0</v>
      </c>
      <c r="AW394">
        <v>0</v>
      </c>
      <c r="AX394">
        <v>0</v>
      </c>
      <c r="AY394">
        <v>0</v>
      </c>
    </row>
    <row r="395" spans="1:51" x14ac:dyDescent="0.25">
      <c r="A395">
        <v>99</v>
      </c>
      <c r="B395">
        <v>26210</v>
      </c>
      <c r="C395" t="s">
        <v>735</v>
      </c>
      <c r="D395" t="s">
        <v>96</v>
      </c>
      <c r="E395" t="s">
        <v>190</v>
      </c>
      <c r="F395" t="s">
        <v>107</v>
      </c>
      <c r="G395" t="s">
        <v>77</v>
      </c>
      <c r="H395" t="s">
        <v>78</v>
      </c>
      <c r="I395" t="s">
        <v>79</v>
      </c>
      <c r="J395" t="s">
        <v>70</v>
      </c>
      <c r="K395" t="s">
        <v>75</v>
      </c>
      <c r="L395" t="s">
        <v>76</v>
      </c>
      <c r="M395" t="s">
        <v>103</v>
      </c>
      <c r="N395" t="s">
        <v>74</v>
      </c>
      <c r="O395" t="s">
        <v>187</v>
      </c>
      <c r="P395" t="s">
        <v>71</v>
      </c>
      <c r="Q395" t="s">
        <v>110</v>
      </c>
      <c r="R395" t="s">
        <v>71</v>
      </c>
      <c r="S395">
        <v>1</v>
      </c>
      <c r="T395">
        <v>1</v>
      </c>
      <c r="U395" t="s">
        <v>72</v>
      </c>
      <c r="V395" t="s">
        <v>192</v>
      </c>
      <c r="W395">
        <v>0</v>
      </c>
      <c r="X395">
        <v>1</v>
      </c>
      <c r="Y395">
        <v>1</v>
      </c>
      <c r="Z395">
        <v>10</v>
      </c>
      <c r="AA395">
        <v>1</v>
      </c>
      <c r="AB395">
        <v>10</v>
      </c>
      <c r="AC395">
        <v>1</v>
      </c>
      <c r="AD395">
        <v>10</v>
      </c>
      <c r="AE395">
        <v>0</v>
      </c>
      <c r="AF395">
        <v>0</v>
      </c>
      <c r="AG395" t="s">
        <v>71</v>
      </c>
      <c r="AH395">
        <v>0</v>
      </c>
      <c r="AI395">
        <v>0</v>
      </c>
      <c r="AJ395">
        <v>0</v>
      </c>
      <c r="AK395">
        <v>0</v>
      </c>
      <c r="AL395" t="s">
        <v>176</v>
      </c>
      <c r="AM395" t="s">
        <v>254</v>
      </c>
      <c r="AN395" t="s">
        <v>148</v>
      </c>
      <c r="AO395" t="s">
        <v>147</v>
      </c>
      <c r="AP395">
        <v>257</v>
      </c>
      <c r="AQ395">
        <v>0</v>
      </c>
      <c r="AR395">
        <v>0</v>
      </c>
      <c r="AS395">
        <v>0</v>
      </c>
      <c r="AT395">
        <v>0</v>
      </c>
      <c r="AU395">
        <v>0</v>
      </c>
      <c r="AV395">
        <v>0</v>
      </c>
      <c r="AW395">
        <v>0</v>
      </c>
      <c r="AX395">
        <v>0</v>
      </c>
      <c r="AY395">
        <v>0</v>
      </c>
    </row>
    <row r="396" spans="1:51" x14ac:dyDescent="0.25">
      <c r="A396">
        <v>100</v>
      </c>
      <c r="B396">
        <v>26220</v>
      </c>
      <c r="C396" t="s">
        <v>735</v>
      </c>
      <c r="D396" t="s">
        <v>96</v>
      </c>
      <c r="E396" t="s">
        <v>121</v>
      </c>
      <c r="F396" t="s">
        <v>107</v>
      </c>
      <c r="G396" t="s">
        <v>77</v>
      </c>
      <c r="H396" t="s">
        <v>78</v>
      </c>
      <c r="I396" t="s">
        <v>79</v>
      </c>
      <c r="J396" t="s">
        <v>150</v>
      </c>
      <c r="K396" t="s">
        <v>75</v>
      </c>
      <c r="L396" t="s">
        <v>76</v>
      </c>
      <c r="M396" t="s">
        <v>103</v>
      </c>
      <c r="N396" t="s">
        <v>74</v>
      </c>
      <c r="O396" t="s">
        <v>187</v>
      </c>
      <c r="P396" t="s">
        <v>71</v>
      </c>
      <c r="Q396" t="s">
        <v>110</v>
      </c>
      <c r="R396" t="s">
        <v>71</v>
      </c>
      <c r="S396">
        <v>1</v>
      </c>
      <c r="T396">
        <v>1</v>
      </c>
      <c r="U396" t="s">
        <v>72</v>
      </c>
      <c r="V396" t="s">
        <v>192</v>
      </c>
      <c r="W396">
        <v>0</v>
      </c>
      <c r="X396">
        <v>1</v>
      </c>
      <c r="Y396">
        <v>0</v>
      </c>
      <c r="Z396">
        <v>0</v>
      </c>
      <c r="AA396">
        <v>0</v>
      </c>
      <c r="AB396">
        <v>0</v>
      </c>
      <c r="AC396">
        <v>0</v>
      </c>
      <c r="AD396">
        <v>0</v>
      </c>
      <c r="AE396">
        <v>0</v>
      </c>
      <c r="AF396">
        <v>0</v>
      </c>
      <c r="AG396" t="s">
        <v>71</v>
      </c>
      <c r="AH396">
        <v>0</v>
      </c>
      <c r="AI396">
        <v>0</v>
      </c>
      <c r="AJ396">
        <v>0</v>
      </c>
      <c r="AK396">
        <v>0</v>
      </c>
      <c r="AL396" t="s">
        <v>176</v>
      </c>
      <c r="AM396" t="s">
        <v>254</v>
      </c>
      <c r="AN396" t="s">
        <v>148</v>
      </c>
      <c r="AO396" t="s">
        <v>147</v>
      </c>
      <c r="AP396">
        <v>256</v>
      </c>
      <c r="AQ396">
        <v>0</v>
      </c>
      <c r="AR396">
        <v>0</v>
      </c>
      <c r="AS396">
        <v>0</v>
      </c>
      <c r="AT396">
        <v>0</v>
      </c>
      <c r="AU396">
        <v>0</v>
      </c>
      <c r="AV396">
        <v>0</v>
      </c>
      <c r="AW396">
        <v>0</v>
      </c>
      <c r="AX396">
        <v>0</v>
      </c>
      <c r="AY396">
        <v>0</v>
      </c>
    </row>
    <row r="397" spans="1:51" x14ac:dyDescent="0.25">
      <c r="A397">
        <v>101</v>
      </c>
      <c r="B397">
        <v>26230</v>
      </c>
      <c r="C397" t="s">
        <v>735</v>
      </c>
      <c r="D397" t="s">
        <v>96</v>
      </c>
      <c r="E397" t="s">
        <v>100</v>
      </c>
      <c r="F397" t="s">
        <v>107</v>
      </c>
      <c r="G397" t="s">
        <v>77</v>
      </c>
      <c r="H397" t="s">
        <v>78</v>
      </c>
      <c r="I397" t="s">
        <v>79</v>
      </c>
      <c r="J397" t="s">
        <v>152</v>
      </c>
      <c r="K397" t="s">
        <v>75</v>
      </c>
      <c r="L397" t="s">
        <v>76</v>
      </c>
      <c r="M397" t="s">
        <v>103</v>
      </c>
      <c r="N397" t="s">
        <v>74</v>
      </c>
      <c r="O397" t="s">
        <v>187</v>
      </c>
      <c r="P397" t="s">
        <v>71</v>
      </c>
      <c r="Q397" t="s">
        <v>110</v>
      </c>
      <c r="R397" t="s">
        <v>71</v>
      </c>
      <c r="S397">
        <v>1</v>
      </c>
      <c r="T397">
        <v>0</v>
      </c>
      <c r="U397" t="s">
        <v>72</v>
      </c>
      <c r="V397" t="s">
        <v>192</v>
      </c>
      <c r="W397">
        <v>0</v>
      </c>
      <c r="X397">
        <v>1</v>
      </c>
      <c r="Y397">
        <v>0</v>
      </c>
      <c r="Z397">
        <v>0</v>
      </c>
      <c r="AA397">
        <v>0</v>
      </c>
      <c r="AB397">
        <v>0</v>
      </c>
      <c r="AC397">
        <v>0</v>
      </c>
      <c r="AD397">
        <v>0</v>
      </c>
      <c r="AE397">
        <v>0</v>
      </c>
      <c r="AF397">
        <v>0</v>
      </c>
      <c r="AG397" t="s">
        <v>71</v>
      </c>
      <c r="AH397">
        <v>0</v>
      </c>
      <c r="AI397">
        <v>0</v>
      </c>
      <c r="AJ397">
        <v>0</v>
      </c>
      <c r="AK397">
        <v>0</v>
      </c>
      <c r="AL397" t="s">
        <v>176</v>
      </c>
      <c r="AM397" t="s">
        <v>254</v>
      </c>
      <c r="AN397" t="s">
        <v>148</v>
      </c>
      <c r="AO397" t="s">
        <v>147</v>
      </c>
      <c r="AP397">
        <v>512</v>
      </c>
      <c r="AQ397">
        <v>0</v>
      </c>
      <c r="AR397">
        <v>0</v>
      </c>
      <c r="AS397">
        <v>0</v>
      </c>
      <c r="AT397">
        <v>0</v>
      </c>
      <c r="AU397">
        <v>0</v>
      </c>
      <c r="AV397">
        <v>0</v>
      </c>
      <c r="AW397">
        <v>0</v>
      </c>
      <c r="AX397">
        <v>0</v>
      </c>
      <c r="AY397">
        <v>0</v>
      </c>
    </row>
    <row r="398" spans="1:51" x14ac:dyDescent="0.25">
      <c r="A398">
        <v>102</v>
      </c>
      <c r="B398">
        <v>26240</v>
      </c>
      <c r="C398" t="s">
        <v>735</v>
      </c>
      <c r="D398" t="s">
        <v>96</v>
      </c>
      <c r="E398" t="s">
        <v>186</v>
      </c>
      <c r="F398" t="s">
        <v>107</v>
      </c>
      <c r="G398" t="s">
        <v>77</v>
      </c>
      <c r="H398" t="s">
        <v>78</v>
      </c>
      <c r="I398" t="s">
        <v>79</v>
      </c>
      <c r="J398" t="s">
        <v>70</v>
      </c>
      <c r="K398" t="s">
        <v>75</v>
      </c>
      <c r="L398" t="s">
        <v>76</v>
      </c>
      <c r="M398" t="s">
        <v>103</v>
      </c>
      <c r="N398" t="s">
        <v>74</v>
      </c>
      <c r="O398" t="s">
        <v>187</v>
      </c>
      <c r="P398" t="s">
        <v>71</v>
      </c>
      <c r="Q398" t="s">
        <v>110</v>
      </c>
      <c r="R398" t="s">
        <v>71</v>
      </c>
      <c r="S398">
        <v>1</v>
      </c>
      <c r="T398">
        <v>1</v>
      </c>
      <c r="U398" t="s">
        <v>72</v>
      </c>
      <c r="V398" t="s">
        <v>192</v>
      </c>
      <c r="W398">
        <v>0</v>
      </c>
      <c r="X398">
        <v>1</v>
      </c>
      <c r="Y398">
        <v>0</v>
      </c>
      <c r="Z398">
        <v>0</v>
      </c>
      <c r="AA398">
        <v>0</v>
      </c>
      <c r="AB398">
        <v>0</v>
      </c>
      <c r="AC398">
        <v>0</v>
      </c>
      <c r="AD398">
        <v>0</v>
      </c>
      <c r="AE398">
        <v>0</v>
      </c>
      <c r="AF398">
        <v>0</v>
      </c>
      <c r="AG398" t="s">
        <v>71</v>
      </c>
      <c r="AH398">
        <v>0</v>
      </c>
      <c r="AI398">
        <v>0</v>
      </c>
      <c r="AJ398">
        <v>0</v>
      </c>
      <c r="AK398">
        <v>0</v>
      </c>
      <c r="AL398" t="s">
        <v>176</v>
      </c>
      <c r="AM398" t="s">
        <v>254</v>
      </c>
      <c r="AN398" t="s">
        <v>148</v>
      </c>
      <c r="AO398" t="s">
        <v>147</v>
      </c>
      <c r="AP398">
        <v>256</v>
      </c>
      <c r="AQ398">
        <v>0</v>
      </c>
      <c r="AR398">
        <v>0</v>
      </c>
      <c r="AS398">
        <v>0</v>
      </c>
      <c r="AT398">
        <v>0</v>
      </c>
      <c r="AU398">
        <v>0</v>
      </c>
      <c r="AV398">
        <v>0</v>
      </c>
      <c r="AW398">
        <v>0</v>
      </c>
      <c r="AX398">
        <v>0</v>
      </c>
      <c r="AY398">
        <v>0</v>
      </c>
    </row>
    <row r="399" spans="1:51" x14ac:dyDescent="0.25">
      <c r="A399">
        <v>103</v>
      </c>
      <c r="B399">
        <v>26250</v>
      </c>
      <c r="C399" t="s">
        <v>735</v>
      </c>
      <c r="D399" t="s">
        <v>96</v>
      </c>
      <c r="E399" t="s">
        <v>100</v>
      </c>
      <c r="F399" t="s">
        <v>107</v>
      </c>
      <c r="G399" t="s">
        <v>77</v>
      </c>
      <c r="H399" t="s">
        <v>78</v>
      </c>
      <c r="I399" t="s">
        <v>79</v>
      </c>
      <c r="J399" t="s">
        <v>70</v>
      </c>
      <c r="K399" t="s">
        <v>75</v>
      </c>
      <c r="L399" t="s">
        <v>223</v>
      </c>
      <c r="M399" t="s">
        <v>103</v>
      </c>
      <c r="N399" t="s">
        <v>74</v>
      </c>
      <c r="O399" t="s">
        <v>187</v>
      </c>
      <c r="P399" t="s">
        <v>71</v>
      </c>
      <c r="Q399" t="s">
        <v>110</v>
      </c>
      <c r="R399" t="s">
        <v>71</v>
      </c>
      <c r="S399">
        <v>1</v>
      </c>
      <c r="T399">
        <v>1</v>
      </c>
      <c r="U399" t="s">
        <v>72</v>
      </c>
      <c r="V399" t="s">
        <v>192</v>
      </c>
      <c r="W399">
        <v>0</v>
      </c>
      <c r="X399">
        <v>1</v>
      </c>
      <c r="Y399">
        <v>0</v>
      </c>
      <c r="Z399">
        <v>0</v>
      </c>
      <c r="AA399">
        <v>0</v>
      </c>
      <c r="AB399">
        <v>0</v>
      </c>
      <c r="AC399">
        <v>0</v>
      </c>
      <c r="AD399">
        <v>0</v>
      </c>
      <c r="AE399">
        <v>0</v>
      </c>
      <c r="AF399">
        <v>0</v>
      </c>
      <c r="AG399" t="s">
        <v>71</v>
      </c>
      <c r="AH399">
        <v>0</v>
      </c>
      <c r="AI399">
        <v>0</v>
      </c>
      <c r="AJ399">
        <v>0</v>
      </c>
      <c r="AK399">
        <v>0</v>
      </c>
      <c r="AL399" t="s">
        <v>176</v>
      </c>
      <c r="AM399" t="s">
        <v>254</v>
      </c>
      <c r="AN399" t="s">
        <v>148</v>
      </c>
      <c r="AO399" t="s">
        <v>147</v>
      </c>
      <c r="AP399">
        <v>128</v>
      </c>
      <c r="AQ399">
        <v>0</v>
      </c>
      <c r="AR399">
        <v>0</v>
      </c>
      <c r="AS399">
        <v>0</v>
      </c>
      <c r="AT399">
        <v>0</v>
      </c>
      <c r="AU399">
        <v>0</v>
      </c>
      <c r="AV399">
        <v>0</v>
      </c>
      <c r="AW399">
        <v>0</v>
      </c>
      <c r="AX399">
        <v>0</v>
      </c>
      <c r="AY399">
        <v>0</v>
      </c>
    </row>
    <row r="400" spans="1:51" x14ac:dyDescent="0.25">
      <c r="A400">
        <v>104</v>
      </c>
      <c r="B400">
        <v>26260</v>
      </c>
      <c r="C400" t="s">
        <v>735</v>
      </c>
      <c r="D400" t="s">
        <v>96</v>
      </c>
      <c r="E400" t="s">
        <v>100</v>
      </c>
      <c r="F400" t="s">
        <v>107</v>
      </c>
      <c r="G400" t="s">
        <v>77</v>
      </c>
      <c r="H400" t="s">
        <v>78</v>
      </c>
      <c r="I400" t="s">
        <v>79</v>
      </c>
      <c r="J400" t="s">
        <v>70</v>
      </c>
      <c r="K400" t="s">
        <v>75</v>
      </c>
      <c r="L400" t="s">
        <v>203</v>
      </c>
      <c r="M400" t="s">
        <v>103</v>
      </c>
      <c r="N400" t="s">
        <v>74</v>
      </c>
      <c r="O400" t="s">
        <v>187</v>
      </c>
      <c r="P400" t="s">
        <v>71</v>
      </c>
      <c r="Q400" t="s">
        <v>110</v>
      </c>
      <c r="R400" t="s">
        <v>71</v>
      </c>
      <c r="S400">
        <v>1</v>
      </c>
      <c r="T400">
        <v>1</v>
      </c>
      <c r="U400" t="s">
        <v>72</v>
      </c>
      <c r="V400" t="s">
        <v>192</v>
      </c>
      <c r="W400">
        <v>0</v>
      </c>
      <c r="X400">
        <v>1</v>
      </c>
      <c r="Y400">
        <v>0</v>
      </c>
      <c r="Z400">
        <v>0</v>
      </c>
      <c r="AA400">
        <v>0</v>
      </c>
      <c r="AB400">
        <v>0</v>
      </c>
      <c r="AC400">
        <v>0</v>
      </c>
      <c r="AD400">
        <v>0</v>
      </c>
      <c r="AE400">
        <v>0</v>
      </c>
      <c r="AF400">
        <v>0</v>
      </c>
      <c r="AG400" t="s">
        <v>71</v>
      </c>
      <c r="AH400">
        <v>0</v>
      </c>
      <c r="AI400">
        <v>0</v>
      </c>
      <c r="AJ400">
        <v>0</v>
      </c>
      <c r="AK400">
        <v>0</v>
      </c>
      <c r="AL400" t="s">
        <v>176</v>
      </c>
      <c r="AM400" t="s">
        <v>254</v>
      </c>
      <c r="AN400" t="s">
        <v>148</v>
      </c>
      <c r="AO400" t="s">
        <v>147</v>
      </c>
      <c r="AP400">
        <v>128</v>
      </c>
      <c r="AQ400">
        <v>0</v>
      </c>
      <c r="AR400">
        <v>0</v>
      </c>
      <c r="AS400">
        <v>0</v>
      </c>
      <c r="AT400">
        <v>0</v>
      </c>
      <c r="AU400">
        <v>0</v>
      </c>
      <c r="AV400">
        <v>0</v>
      </c>
      <c r="AW400">
        <v>0</v>
      </c>
      <c r="AX400">
        <v>0</v>
      </c>
      <c r="AY400">
        <v>0</v>
      </c>
    </row>
    <row r="401" spans="1:51" x14ac:dyDescent="0.25">
      <c r="A401">
        <v>105</v>
      </c>
      <c r="B401">
        <v>26270</v>
      </c>
      <c r="C401" t="s">
        <v>735</v>
      </c>
      <c r="D401" t="s">
        <v>96</v>
      </c>
      <c r="E401" t="s">
        <v>100</v>
      </c>
      <c r="F401" t="s">
        <v>107</v>
      </c>
      <c r="G401" t="s">
        <v>77</v>
      </c>
      <c r="H401" t="s">
        <v>78</v>
      </c>
      <c r="I401" t="s">
        <v>79</v>
      </c>
      <c r="J401" t="s">
        <v>70</v>
      </c>
      <c r="K401" t="s">
        <v>75</v>
      </c>
      <c r="L401" t="s">
        <v>205</v>
      </c>
      <c r="M401" t="s">
        <v>103</v>
      </c>
      <c r="N401" t="s">
        <v>74</v>
      </c>
      <c r="O401" t="s">
        <v>187</v>
      </c>
      <c r="P401" t="s">
        <v>71</v>
      </c>
      <c r="Q401" t="s">
        <v>110</v>
      </c>
      <c r="R401" t="s">
        <v>71</v>
      </c>
      <c r="S401">
        <v>1</v>
      </c>
      <c r="T401">
        <v>1</v>
      </c>
      <c r="U401" t="s">
        <v>72</v>
      </c>
      <c r="V401" t="s">
        <v>192</v>
      </c>
      <c r="W401">
        <v>0</v>
      </c>
      <c r="X401">
        <v>1</v>
      </c>
      <c r="Y401">
        <v>0</v>
      </c>
      <c r="Z401">
        <v>0</v>
      </c>
      <c r="AA401">
        <v>0</v>
      </c>
      <c r="AB401">
        <v>0</v>
      </c>
      <c r="AC401">
        <v>0</v>
      </c>
      <c r="AD401">
        <v>0</v>
      </c>
      <c r="AE401">
        <v>0</v>
      </c>
      <c r="AF401">
        <v>0</v>
      </c>
      <c r="AG401" t="s">
        <v>71</v>
      </c>
      <c r="AH401">
        <v>0</v>
      </c>
      <c r="AI401">
        <v>0</v>
      </c>
      <c r="AJ401">
        <v>0</v>
      </c>
      <c r="AK401">
        <v>0</v>
      </c>
      <c r="AL401" t="s">
        <v>176</v>
      </c>
      <c r="AM401" t="s">
        <v>254</v>
      </c>
      <c r="AN401" t="s">
        <v>148</v>
      </c>
      <c r="AO401" t="s">
        <v>147</v>
      </c>
      <c r="AP401">
        <v>128</v>
      </c>
      <c r="AQ401">
        <v>0</v>
      </c>
      <c r="AR401">
        <v>0</v>
      </c>
      <c r="AS401">
        <v>0</v>
      </c>
      <c r="AT401">
        <v>0</v>
      </c>
      <c r="AU401">
        <v>0</v>
      </c>
      <c r="AV401">
        <v>0</v>
      </c>
      <c r="AW401">
        <v>0</v>
      </c>
      <c r="AX401">
        <v>0</v>
      </c>
      <c r="AY401">
        <v>0</v>
      </c>
    </row>
    <row r="402" spans="1:51" x14ac:dyDescent="0.25">
      <c r="A402">
        <v>106</v>
      </c>
      <c r="B402">
        <v>26280</v>
      </c>
      <c r="C402" t="s">
        <v>735</v>
      </c>
      <c r="D402" t="s">
        <v>96</v>
      </c>
      <c r="E402" t="s">
        <v>100</v>
      </c>
      <c r="F402" t="s">
        <v>107</v>
      </c>
      <c r="G402" t="s">
        <v>77</v>
      </c>
      <c r="H402" t="s">
        <v>78</v>
      </c>
      <c r="I402" t="s">
        <v>79</v>
      </c>
      <c r="J402" t="s">
        <v>70</v>
      </c>
      <c r="K402" t="s">
        <v>75</v>
      </c>
      <c r="L402" t="s">
        <v>76</v>
      </c>
      <c r="M402" t="s">
        <v>103</v>
      </c>
      <c r="N402" t="s">
        <v>74</v>
      </c>
      <c r="O402" t="s">
        <v>187</v>
      </c>
      <c r="P402" t="s">
        <v>71</v>
      </c>
      <c r="Q402" t="s">
        <v>110</v>
      </c>
      <c r="R402" t="s">
        <v>71</v>
      </c>
      <c r="S402">
        <v>1</v>
      </c>
      <c r="T402">
        <v>1</v>
      </c>
      <c r="U402" t="s">
        <v>72</v>
      </c>
      <c r="V402" t="s">
        <v>73</v>
      </c>
      <c r="W402">
        <v>0</v>
      </c>
      <c r="X402">
        <v>1</v>
      </c>
      <c r="Y402">
        <v>0</v>
      </c>
      <c r="Z402">
        <v>0</v>
      </c>
      <c r="AA402">
        <v>0</v>
      </c>
      <c r="AB402">
        <v>0</v>
      </c>
      <c r="AC402">
        <v>0</v>
      </c>
      <c r="AD402">
        <v>0</v>
      </c>
      <c r="AE402">
        <v>0</v>
      </c>
      <c r="AF402">
        <v>0</v>
      </c>
      <c r="AG402" t="s">
        <v>71</v>
      </c>
      <c r="AH402">
        <v>0</v>
      </c>
      <c r="AI402">
        <v>0</v>
      </c>
      <c r="AJ402">
        <v>0</v>
      </c>
      <c r="AK402">
        <v>0</v>
      </c>
      <c r="AL402" t="s">
        <v>176</v>
      </c>
      <c r="AM402" t="s">
        <v>254</v>
      </c>
      <c r="AN402" t="s">
        <v>148</v>
      </c>
      <c r="AO402" t="s">
        <v>147</v>
      </c>
      <c r="AP402">
        <v>0</v>
      </c>
      <c r="AQ402">
        <v>0</v>
      </c>
      <c r="AR402">
        <v>0</v>
      </c>
      <c r="AS402">
        <v>0</v>
      </c>
      <c r="AT402">
        <v>0</v>
      </c>
      <c r="AU402">
        <v>0</v>
      </c>
      <c r="AV402">
        <v>0</v>
      </c>
      <c r="AW402">
        <v>0</v>
      </c>
      <c r="AX402">
        <v>0</v>
      </c>
      <c r="AY402">
        <v>0</v>
      </c>
    </row>
    <row r="403" spans="1:51" x14ac:dyDescent="0.25">
      <c r="A403">
        <v>107</v>
      </c>
      <c r="B403">
        <v>26290</v>
      </c>
      <c r="C403" t="s">
        <v>735</v>
      </c>
      <c r="D403" t="s">
        <v>96</v>
      </c>
      <c r="E403" t="s">
        <v>100</v>
      </c>
      <c r="F403" t="s">
        <v>107</v>
      </c>
      <c r="G403" t="s">
        <v>77</v>
      </c>
      <c r="H403" t="s">
        <v>78</v>
      </c>
      <c r="I403" t="s">
        <v>79</v>
      </c>
      <c r="J403" t="s">
        <v>70</v>
      </c>
      <c r="K403" t="s">
        <v>75</v>
      </c>
      <c r="L403" t="s">
        <v>76</v>
      </c>
      <c r="M403" t="s">
        <v>103</v>
      </c>
      <c r="N403" t="s">
        <v>74</v>
      </c>
      <c r="O403" t="s">
        <v>187</v>
      </c>
      <c r="P403" t="s">
        <v>71</v>
      </c>
      <c r="Q403" t="s">
        <v>110</v>
      </c>
      <c r="R403" t="s">
        <v>71</v>
      </c>
      <c r="S403">
        <v>1</v>
      </c>
      <c r="T403">
        <v>1</v>
      </c>
      <c r="U403" t="s">
        <v>72</v>
      </c>
      <c r="V403" t="s">
        <v>188</v>
      </c>
      <c r="W403">
        <v>0</v>
      </c>
      <c r="X403">
        <v>1</v>
      </c>
      <c r="Y403">
        <v>0</v>
      </c>
      <c r="Z403">
        <v>0</v>
      </c>
      <c r="AA403">
        <v>0</v>
      </c>
      <c r="AB403">
        <v>0</v>
      </c>
      <c r="AC403">
        <v>0</v>
      </c>
      <c r="AD403">
        <v>0</v>
      </c>
      <c r="AE403">
        <v>0</v>
      </c>
      <c r="AF403">
        <v>0</v>
      </c>
      <c r="AG403" t="s">
        <v>71</v>
      </c>
      <c r="AH403">
        <v>0</v>
      </c>
      <c r="AI403">
        <v>0</v>
      </c>
      <c r="AJ403">
        <v>0</v>
      </c>
      <c r="AK403">
        <v>0</v>
      </c>
      <c r="AL403" t="s">
        <v>176</v>
      </c>
      <c r="AM403" t="s">
        <v>254</v>
      </c>
      <c r="AN403" t="s">
        <v>148</v>
      </c>
      <c r="AO403" t="s">
        <v>147</v>
      </c>
      <c r="AP403">
        <v>32</v>
      </c>
      <c r="AQ403">
        <v>0</v>
      </c>
      <c r="AR403">
        <v>0</v>
      </c>
      <c r="AS403">
        <v>0</v>
      </c>
      <c r="AT403">
        <v>0</v>
      </c>
      <c r="AU403">
        <v>0</v>
      </c>
      <c r="AV403">
        <v>0</v>
      </c>
      <c r="AW403">
        <v>0</v>
      </c>
      <c r="AX403">
        <v>0</v>
      </c>
      <c r="AY403">
        <v>0</v>
      </c>
    </row>
    <row r="404" spans="1:51" x14ac:dyDescent="0.25">
      <c r="A404">
        <v>108</v>
      </c>
      <c r="B404">
        <v>26300</v>
      </c>
      <c r="C404" t="s">
        <v>735</v>
      </c>
      <c r="D404" t="s">
        <v>96</v>
      </c>
      <c r="E404" t="s">
        <v>121</v>
      </c>
      <c r="F404" t="s">
        <v>107</v>
      </c>
      <c r="G404" t="s">
        <v>77</v>
      </c>
      <c r="H404" t="s">
        <v>78</v>
      </c>
      <c r="I404" t="s">
        <v>79</v>
      </c>
      <c r="J404" t="s">
        <v>70</v>
      </c>
      <c r="K404" t="s">
        <v>75</v>
      </c>
      <c r="L404" t="s">
        <v>203</v>
      </c>
      <c r="M404" t="s">
        <v>103</v>
      </c>
      <c r="N404" t="s">
        <v>74</v>
      </c>
      <c r="O404" t="s">
        <v>187</v>
      </c>
      <c r="P404" t="s">
        <v>71</v>
      </c>
      <c r="Q404" t="s">
        <v>110</v>
      </c>
      <c r="R404" t="s">
        <v>71</v>
      </c>
      <c r="S404">
        <v>0</v>
      </c>
      <c r="T404">
        <v>1</v>
      </c>
      <c r="U404" t="s">
        <v>72</v>
      </c>
      <c r="V404" t="s">
        <v>188</v>
      </c>
      <c r="W404">
        <v>0</v>
      </c>
      <c r="X404">
        <v>1</v>
      </c>
      <c r="Y404">
        <v>0</v>
      </c>
      <c r="Z404">
        <v>0</v>
      </c>
      <c r="AA404">
        <v>0</v>
      </c>
      <c r="AB404">
        <v>0</v>
      </c>
      <c r="AC404">
        <v>0</v>
      </c>
      <c r="AD404">
        <v>0</v>
      </c>
      <c r="AE404">
        <v>0</v>
      </c>
      <c r="AF404">
        <v>0</v>
      </c>
      <c r="AG404" t="s">
        <v>71</v>
      </c>
      <c r="AH404">
        <v>0</v>
      </c>
      <c r="AI404">
        <v>0</v>
      </c>
      <c r="AJ404">
        <v>0</v>
      </c>
      <c r="AK404">
        <v>0</v>
      </c>
      <c r="AL404" t="s">
        <v>176</v>
      </c>
      <c r="AM404" t="s">
        <v>254</v>
      </c>
      <c r="AN404" t="s">
        <v>148</v>
      </c>
      <c r="AO404" t="s">
        <v>147</v>
      </c>
      <c r="AP404">
        <v>64</v>
      </c>
      <c r="AQ404">
        <v>0</v>
      </c>
      <c r="AR404">
        <v>0</v>
      </c>
      <c r="AS404">
        <v>0</v>
      </c>
      <c r="AT404">
        <v>0</v>
      </c>
      <c r="AU404">
        <v>0</v>
      </c>
      <c r="AV404">
        <v>0</v>
      </c>
      <c r="AW404">
        <v>0</v>
      </c>
      <c r="AX404">
        <v>0</v>
      </c>
      <c r="AY404">
        <v>0</v>
      </c>
    </row>
    <row r="405" spans="1:51" x14ac:dyDescent="0.25">
      <c r="A405">
        <v>109</v>
      </c>
      <c r="B405">
        <v>26310</v>
      </c>
      <c r="C405" t="s">
        <v>735</v>
      </c>
      <c r="D405" t="s">
        <v>96</v>
      </c>
      <c r="E405" t="s">
        <v>100</v>
      </c>
      <c r="F405" t="s">
        <v>107</v>
      </c>
      <c r="G405" t="s">
        <v>77</v>
      </c>
      <c r="H405" t="s">
        <v>78</v>
      </c>
      <c r="I405" t="s">
        <v>79</v>
      </c>
      <c r="J405" t="s">
        <v>70</v>
      </c>
      <c r="K405" t="s">
        <v>75</v>
      </c>
      <c r="L405" t="s">
        <v>203</v>
      </c>
      <c r="M405" t="s">
        <v>103</v>
      </c>
      <c r="N405" t="s">
        <v>74</v>
      </c>
      <c r="O405" t="s">
        <v>187</v>
      </c>
      <c r="P405" t="s">
        <v>71</v>
      </c>
      <c r="Q405" t="s">
        <v>110</v>
      </c>
      <c r="R405" t="s">
        <v>71</v>
      </c>
      <c r="S405">
        <v>1</v>
      </c>
      <c r="T405">
        <v>1</v>
      </c>
      <c r="U405" t="s">
        <v>72</v>
      </c>
      <c r="V405" t="s">
        <v>188</v>
      </c>
      <c r="W405">
        <v>0</v>
      </c>
      <c r="X405">
        <v>1</v>
      </c>
      <c r="Y405">
        <v>0</v>
      </c>
      <c r="Z405">
        <v>0</v>
      </c>
      <c r="AA405">
        <v>0</v>
      </c>
      <c r="AB405">
        <v>0</v>
      </c>
      <c r="AC405">
        <v>0</v>
      </c>
      <c r="AD405">
        <v>0</v>
      </c>
      <c r="AE405">
        <v>0</v>
      </c>
      <c r="AF405">
        <v>0</v>
      </c>
      <c r="AG405" t="s">
        <v>71</v>
      </c>
      <c r="AH405">
        <v>0</v>
      </c>
      <c r="AI405">
        <v>0</v>
      </c>
      <c r="AJ405">
        <v>0</v>
      </c>
      <c r="AK405">
        <v>0</v>
      </c>
      <c r="AL405" t="s">
        <v>176</v>
      </c>
      <c r="AM405" t="s">
        <v>254</v>
      </c>
      <c r="AN405" t="s">
        <v>148</v>
      </c>
      <c r="AO405" t="s">
        <v>147</v>
      </c>
      <c r="AP405">
        <v>0</v>
      </c>
      <c r="AQ405">
        <v>0</v>
      </c>
      <c r="AR405">
        <v>0</v>
      </c>
      <c r="AS405">
        <v>0</v>
      </c>
      <c r="AT405">
        <v>0</v>
      </c>
      <c r="AU405">
        <v>0</v>
      </c>
      <c r="AV405">
        <v>0</v>
      </c>
      <c r="AW405">
        <v>0</v>
      </c>
      <c r="AX405">
        <v>0</v>
      </c>
      <c r="AY405">
        <v>0</v>
      </c>
    </row>
    <row r="406" spans="1:51" x14ac:dyDescent="0.25">
      <c r="A406">
        <v>110</v>
      </c>
      <c r="B406">
        <v>26320</v>
      </c>
      <c r="C406" t="s">
        <v>735</v>
      </c>
      <c r="D406" t="s">
        <v>96</v>
      </c>
      <c r="E406" t="s">
        <v>186</v>
      </c>
      <c r="F406" t="s">
        <v>107</v>
      </c>
      <c r="G406" t="s">
        <v>77</v>
      </c>
      <c r="H406" t="s">
        <v>78</v>
      </c>
      <c r="I406" t="s">
        <v>79</v>
      </c>
      <c r="J406" t="s">
        <v>70</v>
      </c>
      <c r="K406" t="s">
        <v>75</v>
      </c>
      <c r="L406" t="s">
        <v>203</v>
      </c>
      <c r="M406" t="s">
        <v>103</v>
      </c>
      <c r="N406" t="s">
        <v>74</v>
      </c>
      <c r="O406" t="s">
        <v>187</v>
      </c>
      <c r="P406" t="s">
        <v>71</v>
      </c>
      <c r="Q406" t="s">
        <v>110</v>
      </c>
      <c r="R406" t="s">
        <v>71</v>
      </c>
      <c r="S406">
        <v>1</v>
      </c>
      <c r="T406">
        <v>1</v>
      </c>
      <c r="U406" t="s">
        <v>72</v>
      </c>
      <c r="V406" t="s">
        <v>188</v>
      </c>
      <c r="W406">
        <v>0</v>
      </c>
      <c r="X406">
        <v>1</v>
      </c>
      <c r="Y406">
        <v>0</v>
      </c>
      <c r="Z406">
        <v>0</v>
      </c>
      <c r="AA406">
        <v>0</v>
      </c>
      <c r="AB406">
        <v>0</v>
      </c>
      <c r="AC406">
        <v>0</v>
      </c>
      <c r="AD406">
        <v>0</v>
      </c>
      <c r="AE406">
        <v>0</v>
      </c>
      <c r="AF406">
        <v>0</v>
      </c>
      <c r="AG406" t="s">
        <v>71</v>
      </c>
      <c r="AH406">
        <v>0</v>
      </c>
      <c r="AI406">
        <v>0</v>
      </c>
      <c r="AJ406">
        <v>0</v>
      </c>
      <c r="AK406">
        <v>0</v>
      </c>
      <c r="AL406" t="s">
        <v>176</v>
      </c>
      <c r="AM406" t="s">
        <v>254</v>
      </c>
      <c r="AN406" t="s">
        <v>148</v>
      </c>
      <c r="AO406" t="s">
        <v>147</v>
      </c>
      <c r="AP406">
        <v>0</v>
      </c>
      <c r="AQ406">
        <v>0</v>
      </c>
      <c r="AR406">
        <v>0</v>
      </c>
      <c r="AS406">
        <v>0</v>
      </c>
      <c r="AT406">
        <v>0</v>
      </c>
      <c r="AU406">
        <v>0</v>
      </c>
      <c r="AV406">
        <v>0</v>
      </c>
      <c r="AW406">
        <v>0</v>
      </c>
      <c r="AX406">
        <v>0</v>
      </c>
      <c r="AY406">
        <v>0</v>
      </c>
    </row>
    <row r="407" spans="1:51" x14ac:dyDescent="0.25">
      <c r="A407">
        <v>111</v>
      </c>
      <c r="B407">
        <v>26330</v>
      </c>
      <c r="C407" t="s">
        <v>735</v>
      </c>
      <c r="D407" t="s">
        <v>96</v>
      </c>
      <c r="E407" t="s">
        <v>190</v>
      </c>
      <c r="F407" t="s">
        <v>107</v>
      </c>
      <c r="G407" t="s">
        <v>77</v>
      </c>
      <c r="H407" t="s">
        <v>78</v>
      </c>
      <c r="I407" t="s">
        <v>79</v>
      </c>
      <c r="J407" t="s">
        <v>70</v>
      </c>
      <c r="K407" t="s">
        <v>75</v>
      </c>
      <c r="L407" t="s">
        <v>203</v>
      </c>
      <c r="M407" t="s">
        <v>103</v>
      </c>
      <c r="N407" t="s">
        <v>74</v>
      </c>
      <c r="O407" t="s">
        <v>187</v>
      </c>
      <c r="P407" t="s">
        <v>71</v>
      </c>
      <c r="Q407" t="s">
        <v>110</v>
      </c>
      <c r="R407" t="s">
        <v>71</v>
      </c>
      <c r="S407">
        <v>1</v>
      </c>
      <c r="T407">
        <v>1</v>
      </c>
      <c r="U407" t="s">
        <v>72</v>
      </c>
      <c r="V407" t="s">
        <v>188</v>
      </c>
      <c r="W407">
        <v>0</v>
      </c>
      <c r="X407">
        <v>1</v>
      </c>
      <c r="Y407">
        <v>0</v>
      </c>
      <c r="Z407">
        <v>0</v>
      </c>
      <c r="AA407">
        <v>0</v>
      </c>
      <c r="AB407">
        <v>0</v>
      </c>
      <c r="AC407">
        <v>0</v>
      </c>
      <c r="AD407">
        <v>0</v>
      </c>
      <c r="AE407">
        <v>0</v>
      </c>
      <c r="AF407">
        <v>0</v>
      </c>
      <c r="AG407" t="s">
        <v>71</v>
      </c>
      <c r="AH407">
        <v>0</v>
      </c>
      <c r="AI407">
        <v>0</v>
      </c>
      <c r="AJ407">
        <v>0</v>
      </c>
      <c r="AK407">
        <v>0</v>
      </c>
      <c r="AL407" t="s">
        <v>176</v>
      </c>
      <c r="AM407" t="s">
        <v>254</v>
      </c>
      <c r="AN407" t="s">
        <v>148</v>
      </c>
      <c r="AO407" t="s">
        <v>147</v>
      </c>
      <c r="AP407">
        <v>0</v>
      </c>
      <c r="AQ407">
        <v>0</v>
      </c>
      <c r="AR407">
        <v>0</v>
      </c>
      <c r="AS407">
        <v>0</v>
      </c>
      <c r="AT407">
        <v>0</v>
      </c>
      <c r="AU407">
        <v>0</v>
      </c>
      <c r="AV407">
        <v>0</v>
      </c>
      <c r="AW407">
        <v>0</v>
      </c>
      <c r="AX407">
        <v>0</v>
      </c>
      <c r="AY407">
        <v>0</v>
      </c>
    </row>
    <row r="408" spans="1:51" x14ac:dyDescent="0.25">
      <c r="A408">
        <v>113</v>
      </c>
      <c r="B408">
        <v>26340</v>
      </c>
      <c r="C408" t="s">
        <v>735</v>
      </c>
      <c r="D408" t="s">
        <v>96</v>
      </c>
      <c r="E408" t="s">
        <v>121</v>
      </c>
      <c r="F408" t="s">
        <v>107</v>
      </c>
      <c r="G408" t="s">
        <v>77</v>
      </c>
      <c r="H408" t="s">
        <v>78</v>
      </c>
      <c r="I408" t="s">
        <v>79</v>
      </c>
      <c r="J408" t="s">
        <v>70</v>
      </c>
      <c r="K408" t="s">
        <v>75</v>
      </c>
      <c r="L408" t="s">
        <v>223</v>
      </c>
      <c r="M408" t="s">
        <v>103</v>
      </c>
      <c r="N408" t="s">
        <v>74</v>
      </c>
      <c r="O408" t="s">
        <v>187</v>
      </c>
      <c r="P408" t="s">
        <v>71</v>
      </c>
      <c r="Q408" t="s">
        <v>110</v>
      </c>
      <c r="R408" t="s">
        <v>71</v>
      </c>
      <c r="S408">
        <v>1</v>
      </c>
      <c r="T408">
        <v>1</v>
      </c>
      <c r="U408" t="s">
        <v>72</v>
      </c>
      <c r="V408" t="s">
        <v>188</v>
      </c>
      <c r="W408">
        <v>0</v>
      </c>
      <c r="X408">
        <v>1</v>
      </c>
      <c r="Y408">
        <v>0</v>
      </c>
      <c r="Z408">
        <v>0</v>
      </c>
      <c r="AA408">
        <v>0</v>
      </c>
      <c r="AB408">
        <v>0</v>
      </c>
      <c r="AC408">
        <v>0</v>
      </c>
      <c r="AD408">
        <v>0</v>
      </c>
      <c r="AE408">
        <v>0</v>
      </c>
      <c r="AF408">
        <v>0</v>
      </c>
      <c r="AG408" t="s">
        <v>71</v>
      </c>
      <c r="AH408">
        <v>0</v>
      </c>
      <c r="AI408">
        <v>0</v>
      </c>
      <c r="AJ408">
        <v>0</v>
      </c>
      <c r="AK408">
        <v>0</v>
      </c>
      <c r="AL408" t="s">
        <v>176</v>
      </c>
      <c r="AM408" t="s">
        <v>254</v>
      </c>
      <c r="AN408" t="s">
        <v>148</v>
      </c>
      <c r="AO408" t="s">
        <v>147</v>
      </c>
      <c r="AP408">
        <v>32</v>
      </c>
      <c r="AQ408">
        <v>0</v>
      </c>
      <c r="AR408">
        <v>0</v>
      </c>
      <c r="AS408">
        <v>0</v>
      </c>
      <c r="AT408">
        <v>0</v>
      </c>
      <c r="AU408">
        <v>0</v>
      </c>
      <c r="AV408">
        <v>0</v>
      </c>
      <c r="AW408">
        <v>0</v>
      </c>
      <c r="AX408">
        <v>0</v>
      </c>
      <c r="AY408">
        <v>0</v>
      </c>
    </row>
    <row r="409" spans="1:51" x14ac:dyDescent="0.25">
      <c r="A409">
        <v>114</v>
      </c>
      <c r="B409">
        <v>26350</v>
      </c>
      <c r="C409" t="s">
        <v>735</v>
      </c>
      <c r="D409" t="s">
        <v>96</v>
      </c>
      <c r="E409" t="s">
        <v>121</v>
      </c>
      <c r="F409" t="s">
        <v>107</v>
      </c>
      <c r="G409" t="s">
        <v>77</v>
      </c>
      <c r="H409" t="s">
        <v>78</v>
      </c>
      <c r="I409" t="s">
        <v>79</v>
      </c>
      <c r="J409" t="s">
        <v>70</v>
      </c>
      <c r="K409" t="s">
        <v>75</v>
      </c>
      <c r="L409" t="s">
        <v>76</v>
      </c>
      <c r="M409" t="s">
        <v>103</v>
      </c>
      <c r="N409" t="s">
        <v>74</v>
      </c>
      <c r="O409" t="s">
        <v>187</v>
      </c>
      <c r="P409" t="s">
        <v>71</v>
      </c>
      <c r="Q409" t="s">
        <v>110</v>
      </c>
      <c r="R409" t="s">
        <v>71</v>
      </c>
      <c r="S409">
        <v>1</v>
      </c>
      <c r="T409">
        <v>1</v>
      </c>
      <c r="U409" t="s">
        <v>72</v>
      </c>
      <c r="V409" t="s">
        <v>188</v>
      </c>
      <c r="W409">
        <v>0</v>
      </c>
      <c r="X409">
        <v>1</v>
      </c>
      <c r="Y409">
        <v>0</v>
      </c>
      <c r="Z409">
        <v>0</v>
      </c>
      <c r="AA409">
        <v>0</v>
      </c>
      <c r="AB409">
        <v>0</v>
      </c>
      <c r="AC409">
        <v>0</v>
      </c>
      <c r="AD409">
        <v>0</v>
      </c>
      <c r="AE409">
        <v>0</v>
      </c>
      <c r="AF409">
        <v>0</v>
      </c>
      <c r="AG409" t="s">
        <v>71</v>
      </c>
      <c r="AH409">
        <v>0</v>
      </c>
      <c r="AI409">
        <v>0</v>
      </c>
      <c r="AJ409">
        <v>0</v>
      </c>
      <c r="AK409">
        <v>0</v>
      </c>
      <c r="AL409" t="s">
        <v>176</v>
      </c>
      <c r="AM409" t="s">
        <v>254</v>
      </c>
      <c r="AN409" t="s">
        <v>148</v>
      </c>
      <c r="AO409" t="s">
        <v>147</v>
      </c>
      <c r="AP409">
        <v>32</v>
      </c>
      <c r="AQ409">
        <v>0</v>
      </c>
      <c r="AR409">
        <v>0</v>
      </c>
      <c r="AS409">
        <v>0</v>
      </c>
      <c r="AT409">
        <v>0</v>
      </c>
      <c r="AU409">
        <v>0</v>
      </c>
      <c r="AV409">
        <v>0</v>
      </c>
      <c r="AW409">
        <v>0</v>
      </c>
      <c r="AX409">
        <v>0</v>
      </c>
      <c r="AY409">
        <v>0</v>
      </c>
    </row>
    <row r="410" spans="1:51" x14ac:dyDescent="0.25">
      <c r="A410">
        <v>115</v>
      </c>
      <c r="B410">
        <v>26360</v>
      </c>
      <c r="C410" t="s">
        <v>735</v>
      </c>
      <c r="D410" t="s">
        <v>96</v>
      </c>
      <c r="E410" t="s">
        <v>121</v>
      </c>
      <c r="F410" t="s">
        <v>107</v>
      </c>
      <c r="G410" t="s">
        <v>77</v>
      </c>
      <c r="H410" t="s">
        <v>78</v>
      </c>
      <c r="I410" t="s">
        <v>79</v>
      </c>
      <c r="J410" t="s">
        <v>70</v>
      </c>
      <c r="K410" t="s">
        <v>75</v>
      </c>
      <c r="L410" t="s">
        <v>205</v>
      </c>
      <c r="M410" t="s">
        <v>103</v>
      </c>
      <c r="N410" t="s">
        <v>74</v>
      </c>
      <c r="O410" t="s">
        <v>187</v>
      </c>
      <c r="P410" t="s">
        <v>71</v>
      </c>
      <c r="Q410" t="s">
        <v>110</v>
      </c>
      <c r="R410" t="s">
        <v>71</v>
      </c>
      <c r="S410">
        <v>1</v>
      </c>
      <c r="T410">
        <v>1</v>
      </c>
      <c r="U410" t="s">
        <v>72</v>
      </c>
      <c r="V410" t="s">
        <v>188</v>
      </c>
      <c r="W410">
        <v>0</v>
      </c>
      <c r="X410">
        <v>1</v>
      </c>
      <c r="Y410">
        <v>0</v>
      </c>
      <c r="Z410">
        <v>0</v>
      </c>
      <c r="AA410">
        <v>0</v>
      </c>
      <c r="AB410">
        <v>0</v>
      </c>
      <c r="AC410">
        <v>0</v>
      </c>
      <c r="AD410">
        <v>0</v>
      </c>
      <c r="AE410">
        <v>0</v>
      </c>
      <c r="AF410">
        <v>0</v>
      </c>
      <c r="AG410" t="s">
        <v>71</v>
      </c>
      <c r="AH410">
        <v>0</v>
      </c>
      <c r="AI410">
        <v>0</v>
      </c>
      <c r="AJ410">
        <v>0</v>
      </c>
      <c r="AK410">
        <v>0</v>
      </c>
      <c r="AL410" t="s">
        <v>176</v>
      </c>
      <c r="AM410" t="s">
        <v>254</v>
      </c>
      <c r="AN410" t="s">
        <v>148</v>
      </c>
      <c r="AO410" t="s">
        <v>147</v>
      </c>
      <c r="AP410">
        <v>32</v>
      </c>
      <c r="AQ410">
        <v>0</v>
      </c>
      <c r="AR410">
        <v>0</v>
      </c>
      <c r="AS410">
        <v>0</v>
      </c>
      <c r="AT410">
        <v>0</v>
      </c>
      <c r="AU410">
        <v>0</v>
      </c>
      <c r="AV410">
        <v>0</v>
      </c>
      <c r="AW410">
        <v>0</v>
      </c>
      <c r="AX410">
        <v>0</v>
      </c>
      <c r="AY410">
        <v>0</v>
      </c>
    </row>
    <row r="411" spans="1:51" x14ac:dyDescent="0.25">
      <c r="A411">
        <v>116</v>
      </c>
      <c r="B411">
        <v>26370</v>
      </c>
      <c r="C411" t="s">
        <v>735</v>
      </c>
      <c r="D411" t="s">
        <v>96</v>
      </c>
      <c r="E411" t="s">
        <v>121</v>
      </c>
      <c r="F411" t="s">
        <v>107</v>
      </c>
      <c r="G411" t="s">
        <v>77</v>
      </c>
      <c r="H411" t="s">
        <v>78</v>
      </c>
      <c r="I411" t="s">
        <v>79</v>
      </c>
      <c r="J411" t="s">
        <v>70</v>
      </c>
      <c r="K411" t="s">
        <v>75</v>
      </c>
      <c r="L411" t="s">
        <v>203</v>
      </c>
      <c r="M411" t="s">
        <v>103</v>
      </c>
      <c r="N411" t="s">
        <v>74</v>
      </c>
      <c r="O411" t="s">
        <v>187</v>
      </c>
      <c r="P411" t="s">
        <v>71</v>
      </c>
      <c r="Q411" t="s">
        <v>110</v>
      </c>
      <c r="R411" t="s">
        <v>71</v>
      </c>
      <c r="S411">
        <v>1</v>
      </c>
      <c r="T411">
        <v>1</v>
      </c>
      <c r="U411" t="s">
        <v>72</v>
      </c>
      <c r="V411" t="s">
        <v>73</v>
      </c>
      <c r="W411">
        <v>0</v>
      </c>
      <c r="X411">
        <v>1</v>
      </c>
      <c r="Y411">
        <v>0</v>
      </c>
      <c r="Z411">
        <v>0</v>
      </c>
      <c r="AA411">
        <v>0</v>
      </c>
      <c r="AB411">
        <v>0</v>
      </c>
      <c r="AC411">
        <v>0</v>
      </c>
      <c r="AD411">
        <v>0</v>
      </c>
      <c r="AE411">
        <v>0</v>
      </c>
      <c r="AF411">
        <v>0</v>
      </c>
      <c r="AG411" t="s">
        <v>71</v>
      </c>
      <c r="AH411">
        <v>0</v>
      </c>
      <c r="AI411">
        <v>0</v>
      </c>
      <c r="AJ411">
        <v>0</v>
      </c>
      <c r="AK411">
        <v>0</v>
      </c>
      <c r="AL411" t="s">
        <v>176</v>
      </c>
      <c r="AM411" t="s">
        <v>254</v>
      </c>
      <c r="AN411" t="s">
        <v>148</v>
      </c>
      <c r="AO411" t="s">
        <v>147</v>
      </c>
      <c r="AP411">
        <v>0</v>
      </c>
      <c r="AQ411">
        <v>0</v>
      </c>
      <c r="AR411">
        <v>0</v>
      </c>
      <c r="AS411">
        <v>0</v>
      </c>
      <c r="AT411">
        <v>0</v>
      </c>
      <c r="AU411">
        <v>0</v>
      </c>
      <c r="AV411">
        <v>0</v>
      </c>
      <c r="AW411">
        <v>0</v>
      </c>
      <c r="AX411">
        <v>0</v>
      </c>
      <c r="AY411">
        <v>0</v>
      </c>
    </row>
    <row r="412" spans="1:51" x14ac:dyDescent="0.25">
      <c r="A412">
        <v>117</v>
      </c>
      <c r="B412">
        <v>26380</v>
      </c>
      <c r="C412" t="s">
        <v>735</v>
      </c>
      <c r="D412" t="s">
        <v>96</v>
      </c>
      <c r="E412" t="s">
        <v>121</v>
      </c>
      <c r="F412" t="s">
        <v>107</v>
      </c>
      <c r="G412" t="s">
        <v>77</v>
      </c>
      <c r="H412" t="s">
        <v>78</v>
      </c>
      <c r="I412" t="s">
        <v>79</v>
      </c>
      <c r="J412" t="s">
        <v>70</v>
      </c>
      <c r="K412" t="s">
        <v>75</v>
      </c>
      <c r="L412" t="s">
        <v>203</v>
      </c>
      <c r="M412" t="s">
        <v>103</v>
      </c>
      <c r="N412" t="s">
        <v>74</v>
      </c>
      <c r="O412" t="s">
        <v>187</v>
      </c>
      <c r="P412" t="s">
        <v>71</v>
      </c>
      <c r="Q412" t="s">
        <v>110</v>
      </c>
      <c r="R412" t="s">
        <v>71</v>
      </c>
      <c r="S412">
        <v>1</v>
      </c>
      <c r="T412">
        <v>1</v>
      </c>
      <c r="U412" t="s">
        <v>72</v>
      </c>
      <c r="V412" t="s">
        <v>192</v>
      </c>
      <c r="W412">
        <v>0</v>
      </c>
      <c r="X412">
        <v>1</v>
      </c>
      <c r="Y412">
        <v>0</v>
      </c>
      <c r="Z412">
        <v>0</v>
      </c>
      <c r="AA412">
        <v>0</v>
      </c>
      <c r="AB412">
        <v>0</v>
      </c>
      <c r="AC412">
        <v>0</v>
      </c>
      <c r="AD412">
        <v>0</v>
      </c>
      <c r="AE412">
        <v>0</v>
      </c>
      <c r="AF412">
        <v>0</v>
      </c>
      <c r="AG412" t="s">
        <v>71</v>
      </c>
      <c r="AH412">
        <v>0</v>
      </c>
      <c r="AI412">
        <v>0</v>
      </c>
      <c r="AJ412">
        <v>0</v>
      </c>
      <c r="AK412">
        <v>0</v>
      </c>
      <c r="AL412" t="s">
        <v>176</v>
      </c>
      <c r="AM412" t="s">
        <v>254</v>
      </c>
      <c r="AN412" t="s">
        <v>148</v>
      </c>
      <c r="AO412" t="s">
        <v>147</v>
      </c>
      <c r="AP412">
        <v>384</v>
      </c>
      <c r="AQ412">
        <v>0</v>
      </c>
      <c r="AR412">
        <v>0</v>
      </c>
      <c r="AS412">
        <v>0</v>
      </c>
      <c r="AT412">
        <v>0</v>
      </c>
      <c r="AU412">
        <v>0</v>
      </c>
      <c r="AV412">
        <v>0</v>
      </c>
      <c r="AW412">
        <v>0</v>
      </c>
      <c r="AX412">
        <v>0</v>
      </c>
      <c r="AY412">
        <v>0</v>
      </c>
    </row>
    <row r="413" spans="1:51" x14ac:dyDescent="0.25">
      <c r="A413">
        <v>118</v>
      </c>
      <c r="B413">
        <v>26390</v>
      </c>
      <c r="C413" t="s">
        <v>735</v>
      </c>
      <c r="D413" t="s">
        <v>96</v>
      </c>
      <c r="E413" t="s">
        <v>100</v>
      </c>
      <c r="F413" t="s">
        <v>107</v>
      </c>
      <c r="G413" t="s">
        <v>77</v>
      </c>
      <c r="H413" t="s">
        <v>78</v>
      </c>
      <c r="I413" t="s">
        <v>79</v>
      </c>
      <c r="J413" t="s">
        <v>70</v>
      </c>
      <c r="K413" t="s">
        <v>75</v>
      </c>
      <c r="L413" t="s">
        <v>76</v>
      </c>
      <c r="M413" t="s">
        <v>103</v>
      </c>
      <c r="N413" t="s">
        <v>74</v>
      </c>
      <c r="O413" t="s">
        <v>187</v>
      </c>
      <c r="P413" t="s">
        <v>71</v>
      </c>
      <c r="Q413" t="s">
        <v>110</v>
      </c>
      <c r="R413" t="s">
        <v>71</v>
      </c>
      <c r="S413">
        <v>1</v>
      </c>
      <c r="T413">
        <v>1</v>
      </c>
      <c r="U413" t="s">
        <v>282</v>
      </c>
      <c r="V413" t="s">
        <v>192</v>
      </c>
      <c r="W413">
        <v>0</v>
      </c>
      <c r="X413">
        <v>1</v>
      </c>
      <c r="Y413">
        <v>0</v>
      </c>
      <c r="Z413">
        <v>0</v>
      </c>
      <c r="AA413">
        <v>0</v>
      </c>
      <c r="AB413">
        <v>0</v>
      </c>
      <c r="AC413">
        <v>0</v>
      </c>
      <c r="AD413">
        <v>0</v>
      </c>
      <c r="AE413">
        <v>0</v>
      </c>
      <c r="AF413">
        <v>0</v>
      </c>
      <c r="AG413" t="s">
        <v>71</v>
      </c>
      <c r="AH413">
        <v>0</v>
      </c>
      <c r="AI413">
        <v>0</v>
      </c>
      <c r="AJ413">
        <v>0</v>
      </c>
      <c r="AK413">
        <v>0</v>
      </c>
      <c r="AL413" t="s">
        <v>176</v>
      </c>
      <c r="AM413" t="s">
        <v>254</v>
      </c>
      <c r="AN413" t="s">
        <v>148</v>
      </c>
      <c r="AO413" t="s">
        <v>147</v>
      </c>
      <c r="AP413">
        <v>16</v>
      </c>
      <c r="AQ413">
        <v>0</v>
      </c>
      <c r="AR413">
        <v>0</v>
      </c>
      <c r="AS413">
        <v>0</v>
      </c>
      <c r="AT413">
        <v>0</v>
      </c>
      <c r="AU413">
        <v>0</v>
      </c>
      <c r="AV413">
        <v>0</v>
      </c>
      <c r="AW413">
        <v>0</v>
      </c>
      <c r="AX413">
        <v>0</v>
      </c>
      <c r="AY413">
        <v>0</v>
      </c>
    </row>
    <row r="414" spans="1:51" x14ac:dyDescent="0.25">
      <c r="A414">
        <v>119</v>
      </c>
      <c r="B414">
        <v>26400</v>
      </c>
      <c r="C414" t="s">
        <v>735</v>
      </c>
      <c r="D414" t="s">
        <v>96</v>
      </c>
      <c r="E414" t="s">
        <v>100</v>
      </c>
      <c r="F414" t="s">
        <v>107</v>
      </c>
      <c r="G414" t="s">
        <v>77</v>
      </c>
      <c r="H414" t="s">
        <v>78</v>
      </c>
      <c r="I414" t="s">
        <v>79</v>
      </c>
      <c r="J414" t="s">
        <v>70</v>
      </c>
      <c r="K414" t="s">
        <v>75</v>
      </c>
      <c r="L414" t="s">
        <v>76</v>
      </c>
      <c r="M414" t="s">
        <v>103</v>
      </c>
      <c r="N414" t="s">
        <v>74</v>
      </c>
      <c r="O414" t="s">
        <v>187</v>
      </c>
      <c r="P414" t="s">
        <v>71</v>
      </c>
      <c r="Q414" t="s">
        <v>110</v>
      </c>
      <c r="R414" t="s">
        <v>71</v>
      </c>
      <c r="S414">
        <v>1</v>
      </c>
      <c r="T414">
        <v>1</v>
      </c>
      <c r="U414" t="s">
        <v>283</v>
      </c>
      <c r="V414" t="s">
        <v>192</v>
      </c>
      <c r="W414">
        <v>0</v>
      </c>
      <c r="X414">
        <v>1</v>
      </c>
      <c r="Y414">
        <v>0</v>
      </c>
      <c r="Z414">
        <v>0</v>
      </c>
      <c r="AA414">
        <v>0</v>
      </c>
      <c r="AB414">
        <v>0</v>
      </c>
      <c r="AC414">
        <v>0</v>
      </c>
      <c r="AD414">
        <v>0</v>
      </c>
      <c r="AE414">
        <v>0</v>
      </c>
      <c r="AF414">
        <v>0</v>
      </c>
      <c r="AG414" t="s">
        <v>71</v>
      </c>
      <c r="AH414">
        <v>0</v>
      </c>
      <c r="AI414">
        <v>0</v>
      </c>
      <c r="AJ414">
        <v>0</v>
      </c>
      <c r="AK414">
        <v>0</v>
      </c>
      <c r="AL414" t="s">
        <v>176</v>
      </c>
      <c r="AM414" t="s">
        <v>254</v>
      </c>
      <c r="AN414" t="s">
        <v>148</v>
      </c>
      <c r="AO414" t="s">
        <v>147</v>
      </c>
      <c r="AP414">
        <v>16</v>
      </c>
      <c r="AQ414">
        <v>0</v>
      </c>
      <c r="AR414">
        <v>0</v>
      </c>
      <c r="AS414">
        <v>0</v>
      </c>
      <c r="AT414">
        <v>0</v>
      </c>
      <c r="AU414">
        <v>0</v>
      </c>
      <c r="AV414">
        <v>0</v>
      </c>
      <c r="AW414">
        <v>0</v>
      </c>
      <c r="AX414">
        <v>0</v>
      </c>
      <c r="AY414">
        <v>0</v>
      </c>
    </row>
    <row r="415" spans="1:51" x14ac:dyDescent="0.25">
      <c r="A415">
        <v>120</v>
      </c>
      <c r="B415">
        <v>26410</v>
      </c>
      <c r="C415" t="s">
        <v>735</v>
      </c>
      <c r="D415" t="s">
        <v>96</v>
      </c>
      <c r="E415" t="s">
        <v>100</v>
      </c>
      <c r="F415" t="s">
        <v>107</v>
      </c>
      <c r="G415" t="s">
        <v>77</v>
      </c>
      <c r="H415" t="s">
        <v>78</v>
      </c>
      <c r="I415" t="s">
        <v>79</v>
      </c>
      <c r="J415" t="s">
        <v>70</v>
      </c>
      <c r="K415" t="s">
        <v>75</v>
      </c>
      <c r="L415" t="s">
        <v>76</v>
      </c>
      <c r="M415" t="s">
        <v>103</v>
      </c>
      <c r="N415" t="s">
        <v>74</v>
      </c>
      <c r="O415" t="s">
        <v>187</v>
      </c>
      <c r="P415" t="s">
        <v>71</v>
      </c>
      <c r="Q415" t="s">
        <v>110</v>
      </c>
      <c r="R415" t="s">
        <v>71</v>
      </c>
      <c r="S415">
        <v>1</v>
      </c>
      <c r="T415">
        <v>1</v>
      </c>
      <c r="U415" t="s">
        <v>284</v>
      </c>
      <c r="V415" t="s">
        <v>192</v>
      </c>
      <c r="W415">
        <v>0</v>
      </c>
      <c r="X415">
        <v>1</v>
      </c>
      <c r="Y415">
        <v>0</v>
      </c>
      <c r="Z415">
        <v>0</v>
      </c>
      <c r="AA415">
        <v>0</v>
      </c>
      <c r="AB415">
        <v>0</v>
      </c>
      <c r="AC415">
        <v>0</v>
      </c>
      <c r="AD415">
        <v>0</v>
      </c>
      <c r="AE415">
        <v>0</v>
      </c>
      <c r="AF415">
        <v>0</v>
      </c>
      <c r="AG415" t="s">
        <v>71</v>
      </c>
      <c r="AH415">
        <v>0</v>
      </c>
      <c r="AI415">
        <v>0</v>
      </c>
      <c r="AJ415">
        <v>0</v>
      </c>
      <c r="AK415">
        <v>0</v>
      </c>
      <c r="AL415" t="s">
        <v>176</v>
      </c>
      <c r="AM415" t="s">
        <v>254</v>
      </c>
      <c r="AN415" t="s">
        <v>148</v>
      </c>
      <c r="AO415" t="s">
        <v>147</v>
      </c>
      <c r="AP415">
        <v>16</v>
      </c>
      <c r="AQ415">
        <v>0</v>
      </c>
      <c r="AR415">
        <v>0</v>
      </c>
      <c r="AS415">
        <v>0</v>
      </c>
      <c r="AT415">
        <v>0</v>
      </c>
      <c r="AU415">
        <v>0</v>
      </c>
      <c r="AV415">
        <v>0</v>
      </c>
      <c r="AW415">
        <v>0</v>
      </c>
      <c r="AX415">
        <v>0</v>
      </c>
      <c r="AY415">
        <v>0</v>
      </c>
    </row>
    <row r="416" spans="1:51" x14ac:dyDescent="0.25">
      <c r="A416">
        <v>121</v>
      </c>
      <c r="B416">
        <v>26420</v>
      </c>
      <c r="C416" t="s">
        <v>735</v>
      </c>
      <c r="D416" t="s">
        <v>96</v>
      </c>
      <c r="E416" t="s">
        <v>100</v>
      </c>
      <c r="F416" t="s">
        <v>107</v>
      </c>
      <c r="G416" t="s">
        <v>77</v>
      </c>
      <c r="H416" t="s">
        <v>78</v>
      </c>
      <c r="I416" t="s">
        <v>195</v>
      </c>
      <c r="J416" t="s">
        <v>70</v>
      </c>
      <c r="K416" t="s">
        <v>75</v>
      </c>
      <c r="L416" t="s">
        <v>76</v>
      </c>
      <c r="M416" t="s">
        <v>103</v>
      </c>
      <c r="N416" t="s">
        <v>74</v>
      </c>
      <c r="O416" t="s">
        <v>187</v>
      </c>
      <c r="P416" t="s">
        <v>71</v>
      </c>
      <c r="Q416" t="s">
        <v>110</v>
      </c>
      <c r="R416" t="s">
        <v>71</v>
      </c>
      <c r="S416">
        <v>1</v>
      </c>
      <c r="T416">
        <v>1</v>
      </c>
      <c r="U416" t="s">
        <v>72</v>
      </c>
      <c r="V416" t="s">
        <v>192</v>
      </c>
      <c r="W416">
        <v>0</v>
      </c>
      <c r="X416">
        <v>1</v>
      </c>
      <c r="Y416">
        <v>0</v>
      </c>
      <c r="Z416">
        <v>0</v>
      </c>
      <c r="AA416">
        <v>0</v>
      </c>
      <c r="AB416">
        <v>0</v>
      </c>
      <c r="AC416">
        <v>0</v>
      </c>
      <c r="AD416">
        <v>0</v>
      </c>
      <c r="AE416">
        <v>0</v>
      </c>
      <c r="AF416">
        <v>0</v>
      </c>
      <c r="AG416" t="s">
        <v>71</v>
      </c>
      <c r="AH416">
        <v>0</v>
      </c>
      <c r="AI416">
        <v>0</v>
      </c>
      <c r="AJ416">
        <v>0</v>
      </c>
      <c r="AK416">
        <v>0</v>
      </c>
      <c r="AL416" t="s">
        <v>176</v>
      </c>
      <c r="AM416" t="s">
        <v>254</v>
      </c>
      <c r="AN416" t="s">
        <v>148</v>
      </c>
      <c r="AO416" t="s">
        <v>147</v>
      </c>
      <c r="AP416">
        <v>8</v>
      </c>
      <c r="AQ416">
        <v>0</v>
      </c>
      <c r="AR416">
        <v>0</v>
      </c>
      <c r="AS416">
        <v>0</v>
      </c>
      <c r="AT416">
        <v>0</v>
      </c>
      <c r="AU416">
        <v>0</v>
      </c>
      <c r="AV416">
        <v>0</v>
      </c>
      <c r="AW416">
        <v>0</v>
      </c>
      <c r="AX416">
        <v>0</v>
      </c>
      <c r="AY416">
        <v>0</v>
      </c>
    </row>
    <row r="417" spans="1:51" x14ac:dyDescent="0.25">
      <c r="A417">
        <v>122</v>
      </c>
      <c r="B417">
        <v>26430</v>
      </c>
      <c r="C417" t="s">
        <v>735</v>
      </c>
      <c r="D417" t="s">
        <v>96</v>
      </c>
      <c r="E417" t="s">
        <v>100</v>
      </c>
      <c r="F417" t="s">
        <v>107</v>
      </c>
      <c r="G417" t="s">
        <v>77</v>
      </c>
      <c r="H417" t="s">
        <v>78</v>
      </c>
      <c r="I417" t="s">
        <v>196</v>
      </c>
      <c r="J417" t="s">
        <v>70</v>
      </c>
      <c r="K417" t="s">
        <v>75</v>
      </c>
      <c r="L417" t="s">
        <v>76</v>
      </c>
      <c r="M417" t="s">
        <v>103</v>
      </c>
      <c r="N417" t="s">
        <v>74</v>
      </c>
      <c r="O417" t="s">
        <v>187</v>
      </c>
      <c r="P417" t="s">
        <v>71</v>
      </c>
      <c r="Q417" t="s">
        <v>110</v>
      </c>
      <c r="R417" t="s">
        <v>71</v>
      </c>
      <c r="S417">
        <v>1</v>
      </c>
      <c r="T417">
        <v>1</v>
      </c>
      <c r="U417" t="s">
        <v>72</v>
      </c>
      <c r="V417" t="s">
        <v>192</v>
      </c>
      <c r="W417">
        <v>0</v>
      </c>
      <c r="X417">
        <v>1</v>
      </c>
      <c r="Y417">
        <v>0</v>
      </c>
      <c r="Z417">
        <v>0</v>
      </c>
      <c r="AA417">
        <v>0</v>
      </c>
      <c r="AB417">
        <v>0</v>
      </c>
      <c r="AC417">
        <v>0</v>
      </c>
      <c r="AD417">
        <v>0</v>
      </c>
      <c r="AE417">
        <v>0</v>
      </c>
      <c r="AF417">
        <v>0</v>
      </c>
      <c r="AG417" t="s">
        <v>71</v>
      </c>
      <c r="AH417">
        <v>0</v>
      </c>
      <c r="AI417">
        <v>0</v>
      </c>
      <c r="AJ417">
        <v>0</v>
      </c>
      <c r="AK417">
        <v>0</v>
      </c>
      <c r="AL417" t="s">
        <v>176</v>
      </c>
      <c r="AM417" t="s">
        <v>254</v>
      </c>
      <c r="AN417" t="s">
        <v>148</v>
      </c>
      <c r="AO417" t="s">
        <v>147</v>
      </c>
      <c r="AP417">
        <v>0</v>
      </c>
      <c r="AQ417">
        <v>0</v>
      </c>
      <c r="AR417">
        <v>0</v>
      </c>
      <c r="AS417">
        <v>0</v>
      </c>
      <c r="AT417">
        <v>0</v>
      </c>
      <c r="AU417">
        <v>0</v>
      </c>
      <c r="AV417">
        <v>0</v>
      </c>
      <c r="AW417">
        <v>0</v>
      </c>
      <c r="AX417">
        <v>0</v>
      </c>
      <c r="AY417">
        <v>0</v>
      </c>
    </row>
    <row r="418" spans="1:51" x14ac:dyDescent="0.25">
      <c r="A418">
        <v>123</v>
      </c>
      <c r="B418">
        <v>26440</v>
      </c>
      <c r="C418" t="s">
        <v>735</v>
      </c>
      <c r="D418" t="s">
        <v>96</v>
      </c>
      <c r="E418" t="s">
        <v>100</v>
      </c>
      <c r="F418" t="s">
        <v>107</v>
      </c>
      <c r="G418" t="s">
        <v>77</v>
      </c>
      <c r="H418" t="s">
        <v>78</v>
      </c>
      <c r="I418" t="s">
        <v>197</v>
      </c>
      <c r="J418" t="s">
        <v>70</v>
      </c>
      <c r="K418" t="s">
        <v>75</v>
      </c>
      <c r="L418" t="s">
        <v>76</v>
      </c>
      <c r="M418" t="s">
        <v>103</v>
      </c>
      <c r="N418" t="s">
        <v>74</v>
      </c>
      <c r="O418" t="s">
        <v>187</v>
      </c>
      <c r="P418" t="s">
        <v>71</v>
      </c>
      <c r="Q418" t="s">
        <v>110</v>
      </c>
      <c r="R418" t="s">
        <v>71</v>
      </c>
      <c r="S418">
        <v>1</v>
      </c>
      <c r="T418">
        <v>1</v>
      </c>
      <c r="U418" t="s">
        <v>72</v>
      </c>
      <c r="V418" t="s">
        <v>192</v>
      </c>
      <c r="W418">
        <v>0</v>
      </c>
      <c r="X418">
        <v>1</v>
      </c>
      <c r="Y418">
        <v>0</v>
      </c>
      <c r="Z418">
        <v>0</v>
      </c>
      <c r="AA418">
        <v>0</v>
      </c>
      <c r="AB418">
        <v>0</v>
      </c>
      <c r="AC418">
        <v>0</v>
      </c>
      <c r="AD418">
        <v>0</v>
      </c>
      <c r="AE418">
        <v>0</v>
      </c>
      <c r="AF418">
        <v>0</v>
      </c>
      <c r="AG418" t="s">
        <v>71</v>
      </c>
      <c r="AH418">
        <v>0</v>
      </c>
      <c r="AI418">
        <v>0</v>
      </c>
      <c r="AJ418">
        <v>0</v>
      </c>
      <c r="AK418">
        <v>0</v>
      </c>
      <c r="AL418" t="s">
        <v>176</v>
      </c>
      <c r="AM418" t="s">
        <v>254</v>
      </c>
      <c r="AN418" t="s">
        <v>148</v>
      </c>
      <c r="AO418" t="s">
        <v>147</v>
      </c>
      <c r="AP418">
        <v>0</v>
      </c>
      <c r="AQ418">
        <v>0</v>
      </c>
      <c r="AR418">
        <v>0</v>
      </c>
      <c r="AS418">
        <v>0</v>
      </c>
      <c r="AT418">
        <v>0</v>
      </c>
      <c r="AU418">
        <v>0</v>
      </c>
      <c r="AV418">
        <v>0</v>
      </c>
      <c r="AW418">
        <v>0</v>
      </c>
      <c r="AX418">
        <v>0</v>
      </c>
      <c r="AY418">
        <v>0</v>
      </c>
    </row>
    <row r="419" spans="1:51" x14ac:dyDescent="0.25">
      <c r="A419">
        <v>124</v>
      </c>
      <c r="B419">
        <v>26450</v>
      </c>
      <c r="C419" t="s">
        <v>735</v>
      </c>
      <c r="D419" t="s">
        <v>96</v>
      </c>
      <c r="E419" t="s">
        <v>100</v>
      </c>
      <c r="F419" t="s">
        <v>107</v>
      </c>
      <c r="G419" t="s">
        <v>77</v>
      </c>
      <c r="H419" t="s">
        <v>180</v>
      </c>
      <c r="I419" t="s">
        <v>79</v>
      </c>
      <c r="J419" t="s">
        <v>70</v>
      </c>
      <c r="K419" t="s">
        <v>75</v>
      </c>
      <c r="L419" t="s">
        <v>76</v>
      </c>
      <c r="M419" t="s">
        <v>103</v>
      </c>
      <c r="N419" t="s">
        <v>74</v>
      </c>
      <c r="O419" t="s">
        <v>187</v>
      </c>
      <c r="P419" t="s">
        <v>71</v>
      </c>
      <c r="Q419" t="s">
        <v>110</v>
      </c>
      <c r="R419" t="s">
        <v>71</v>
      </c>
      <c r="S419">
        <v>1</v>
      </c>
      <c r="T419">
        <v>1</v>
      </c>
      <c r="U419" t="s">
        <v>72</v>
      </c>
      <c r="V419" t="s">
        <v>192</v>
      </c>
      <c r="W419">
        <v>0</v>
      </c>
      <c r="X419">
        <v>1</v>
      </c>
      <c r="Y419">
        <v>0</v>
      </c>
      <c r="Z419">
        <v>0</v>
      </c>
      <c r="AA419">
        <v>0</v>
      </c>
      <c r="AB419">
        <v>0</v>
      </c>
      <c r="AC419">
        <v>0</v>
      </c>
      <c r="AD419">
        <v>0</v>
      </c>
      <c r="AE419">
        <v>0</v>
      </c>
      <c r="AF419">
        <v>0</v>
      </c>
      <c r="AG419" t="s">
        <v>71</v>
      </c>
      <c r="AH419">
        <v>0</v>
      </c>
      <c r="AI419">
        <v>0</v>
      </c>
      <c r="AJ419">
        <v>0</v>
      </c>
      <c r="AK419">
        <v>0</v>
      </c>
      <c r="AL419" t="s">
        <v>176</v>
      </c>
      <c r="AM419" t="s">
        <v>254</v>
      </c>
      <c r="AN419" t="s">
        <v>148</v>
      </c>
      <c r="AO419" t="s">
        <v>147</v>
      </c>
      <c r="AP419">
        <v>4</v>
      </c>
      <c r="AQ419">
        <v>0</v>
      </c>
      <c r="AR419">
        <v>0</v>
      </c>
      <c r="AS419">
        <v>0</v>
      </c>
      <c r="AT419">
        <v>0</v>
      </c>
      <c r="AU419">
        <v>0</v>
      </c>
      <c r="AV419">
        <v>0</v>
      </c>
      <c r="AW419">
        <v>0</v>
      </c>
      <c r="AX419">
        <v>0</v>
      </c>
      <c r="AY419">
        <v>0</v>
      </c>
    </row>
    <row r="420" spans="1:51" x14ac:dyDescent="0.25">
      <c r="A420">
        <v>125</v>
      </c>
      <c r="B420">
        <v>26460</v>
      </c>
      <c r="C420" t="s">
        <v>735</v>
      </c>
      <c r="D420" t="s">
        <v>96</v>
      </c>
      <c r="E420" t="s">
        <v>100</v>
      </c>
      <c r="F420" t="s">
        <v>107</v>
      </c>
      <c r="G420" t="s">
        <v>77</v>
      </c>
      <c r="H420" t="s">
        <v>181</v>
      </c>
      <c r="I420" t="s">
        <v>79</v>
      </c>
      <c r="J420" t="s">
        <v>70</v>
      </c>
      <c r="K420" t="s">
        <v>75</v>
      </c>
      <c r="L420" t="s">
        <v>76</v>
      </c>
      <c r="M420" t="s">
        <v>103</v>
      </c>
      <c r="N420" t="s">
        <v>74</v>
      </c>
      <c r="O420" t="s">
        <v>187</v>
      </c>
      <c r="P420" t="s">
        <v>71</v>
      </c>
      <c r="Q420" t="s">
        <v>110</v>
      </c>
      <c r="R420" t="s">
        <v>71</v>
      </c>
      <c r="S420">
        <v>1</v>
      </c>
      <c r="T420">
        <v>1</v>
      </c>
      <c r="U420" t="s">
        <v>72</v>
      </c>
      <c r="V420" t="s">
        <v>192</v>
      </c>
      <c r="W420">
        <v>0</v>
      </c>
      <c r="X420">
        <v>1</v>
      </c>
      <c r="Y420">
        <v>0</v>
      </c>
      <c r="Z420">
        <v>0</v>
      </c>
      <c r="AA420">
        <v>0</v>
      </c>
      <c r="AB420">
        <v>0</v>
      </c>
      <c r="AC420">
        <v>0</v>
      </c>
      <c r="AD420">
        <v>0</v>
      </c>
      <c r="AE420">
        <v>0</v>
      </c>
      <c r="AF420">
        <v>0</v>
      </c>
      <c r="AG420" t="s">
        <v>71</v>
      </c>
      <c r="AH420">
        <v>0</v>
      </c>
      <c r="AI420">
        <v>0</v>
      </c>
      <c r="AJ420">
        <v>0</v>
      </c>
      <c r="AK420">
        <v>0</v>
      </c>
      <c r="AL420" t="s">
        <v>176</v>
      </c>
      <c r="AM420" t="s">
        <v>254</v>
      </c>
      <c r="AN420" t="s">
        <v>148</v>
      </c>
      <c r="AO420" t="s">
        <v>147</v>
      </c>
      <c r="AP420">
        <v>0</v>
      </c>
      <c r="AQ420">
        <v>0</v>
      </c>
      <c r="AR420">
        <v>0</v>
      </c>
      <c r="AS420">
        <v>0</v>
      </c>
      <c r="AT420">
        <v>0</v>
      </c>
      <c r="AU420">
        <v>0</v>
      </c>
      <c r="AV420">
        <v>0</v>
      </c>
      <c r="AW420">
        <v>0</v>
      </c>
      <c r="AX420">
        <v>0</v>
      </c>
      <c r="AY420">
        <v>0</v>
      </c>
    </row>
    <row r="421" spans="1:51" x14ac:dyDescent="0.25">
      <c r="A421">
        <v>126</v>
      </c>
      <c r="B421">
        <v>26470</v>
      </c>
      <c r="C421" t="s">
        <v>735</v>
      </c>
      <c r="D421" t="s">
        <v>96</v>
      </c>
      <c r="E421" t="s">
        <v>100</v>
      </c>
      <c r="F421" t="s">
        <v>107</v>
      </c>
      <c r="G421" t="s">
        <v>77</v>
      </c>
      <c r="H421" t="s">
        <v>182</v>
      </c>
      <c r="I421" t="s">
        <v>79</v>
      </c>
      <c r="J421" t="s">
        <v>70</v>
      </c>
      <c r="K421" t="s">
        <v>75</v>
      </c>
      <c r="L421" t="s">
        <v>76</v>
      </c>
      <c r="M421" t="s">
        <v>103</v>
      </c>
      <c r="N421" t="s">
        <v>74</v>
      </c>
      <c r="O421" t="s">
        <v>187</v>
      </c>
      <c r="P421" t="s">
        <v>71</v>
      </c>
      <c r="Q421" t="s">
        <v>110</v>
      </c>
      <c r="R421" t="s">
        <v>71</v>
      </c>
      <c r="S421">
        <v>1</v>
      </c>
      <c r="T421">
        <v>1</v>
      </c>
      <c r="U421" t="s">
        <v>72</v>
      </c>
      <c r="V421" t="s">
        <v>192</v>
      </c>
      <c r="W421">
        <v>0</v>
      </c>
      <c r="X421">
        <v>1</v>
      </c>
      <c r="Y421">
        <v>0</v>
      </c>
      <c r="Z421">
        <v>0</v>
      </c>
      <c r="AA421">
        <v>0</v>
      </c>
      <c r="AB421">
        <v>0</v>
      </c>
      <c r="AC421">
        <v>0</v>
      </c>
      <c r="AD421">
        <v>0</v>
      </c>
      <c r="AE421">
        <v>0</v>
      </c>
      <c r="AF421">
        <v>0</v>
      </c>
      <c r="AG421" t="s">
        <v>71</v>
      </c>
      <c r="AH421">
        <v>0</v>
      </c>
      <c r="AI421">
        <v>0</v>
      </c>
      <c r="AJ421">
        <v>0</v>
      </c>
      <c r="AK421">
        <v>0</v>
      </c>
      <c r="AL421" t="s">
        <v>176</v>
      </c>
      <c r="AM421" t="s">
        <v>254</v>
      </c>
      <c r="AN421" t="s">
        <v>148</v>
      </c>
      <c r="AO421" t="s">
        <v>147</v>
      </c>
      <c r="AP421">
        <v>0</v>
      </c>
      <c r="AQ421">
        <v>0</v>
      </c>
      <c r="AR421">
        <v>0</v>
      </c>
      <c r="AS421">
        <v>0</v>
      </c>
      <c r="AT421">
        <v>0</v>
      </c>
      <c r="AU421">
        <v>0</v>
      </c>
      <c r="AV421">
        <v>0</v>
      </c>
      <c r="AW421">
        <v>0</v>
      </c>
      <c r="AX421">
        <v>0</v>
      </c>
      <c r="AY421">
        <v>0</v>
      </c>
    </row>
    <row r="422" spans="1:51" x14ac:dyDescent="0.25">
      <c r="A422">
        <v>127</v>
      </c>
      <c r="B422">
        <v>26480</v>
      </c>
      <c r="C422" t="s">
        <v>735</v>
      </c>
      <c r="D422" t="s">
        <v>96</v>
      </c>
      <c r="E422" t="s">
        <v>100</v>
      </c>
      <c r="F422" t="s">
        <v>107</v>
      </c>
      <c r="G422" t="s">
        <v>101</v>
      </c>
      <c r="H422" t="s">
        <v>78</v>
      </c>
      <c r="I422" t="s">
        <v>79</v>
      </c>
      <c r="J422" t="s">
        <v>70</v>
      </c>
      <c r="K422" t="s">
        <v>75</v>
      </c>
      <c r="L422" t="s">
        <v>76</v>
      </c>
      <c r="M422" t="s">
        <v>103</v>
      </c>
      <c r="N422" t="s">
        <v>74</v>
      </c>
      <c r="O422" t="s">
        <v>187</v>
      </c>
      <c r="P422" t="s">
        <v>71</v>
      </c>
      <c r="Q422" t="s">
        <v>110</v>
      </c>
      <c r="R422" t="s">
        <v>71</v>
      </c>
      <c r="S422">
        <v>1</v>
      </c>
      <c r="T422">
        <v>1</v>
      </c>
      <c r="U422" t="s">
        <v>72</v>
      </c>
      <c r="V422" t="s">
        <v>192</v>
      </c>
      <c r="W422">
        <v>0</v>
      </c>
      <c r="X422">
        <v>1</v>
      </c>
      <c r="Y422">
        <v>0</v>
      </c>
      <c r="Z422">
        <v>0</v>
      </c>
      <c r="AA422">
        <v>0</v>
      </c>
      <c r="AB422">
        <v>0</v>
      </c>
      <c r="AC422">
        <v>0</v>
      </c>
      <c r="AD422">
        <v>0</v>
      </c>
      <c r="AE422">
        <v>0</v>
      </c>
      <c r="AF422">
        <v>0</v>
      </c>
      <c r="AG422" t="s">
        <v>71</v>
      </c>
      <c r="AH422">
        <v>0</v>
      </c>
      <c r="AI422">
        <v>0</v>
      </c>
      <c r="AJ422">
        <v>0</v>
      </c>
      <c r="AK422">
        <v>0</v>
      </c>
      <c r="AL422" t="s">
        <v>176</v>
      </c>
      <c r="AM422" t="s">
        <v>254</v>
      </c>
      <c r="AN422" t="s">
        <v>148</v>
      </c>
      <c r="AO422" t="s">
        <v>147</v>
      </c>
      <c r="AP422">
        <v>2</v>
      </c>
      <c r="AQ422">
        <v>0</v>
      </c>
      <c r="AR422">
        <v>0</v>
      </c>
      <c r="AS422">
        <v>0</v>
      </c>
      <c r="AT422">
        <v>0</v>
      </c>
      <c r="AU422">
        <v>0</v>
      </c>
      <c r="AV422">
        <v>0</v>
      </c>
      <c r="AW422">
        <v>0</v>
      </c>
      <c r="AX422">
        <v>0</v>
      </c>
      <c r="AY422">
        <v>0</v>
      </c>
    </row>
    <row r="423" spans="1:51" x14ac:dyDescent="0.25">
      <c r="A423">
        <v>128</v>
      </c>
      <c r="B423">
        <v>26490</v>
      </c>
      <c r="C423" t="s">
        <v>735</v>
      </c>
      <c r="D423" t="s">
        <v>96</v>
      </c>
      <c r="E423" t="s">
        <v>100</v>
      </c>
      <c r="F423" t="s">
        <v>107</v>
      </c>
      <c r="G423" t="s">
        <v>184</v>
      </c>
      <c r="H423" t="s">
        <v>78</v>
      </c>
      <c r="I423" t="s">
        <v>79</v>
      </c>
      <c r="J423" t="s">
        <v>70</v>
      </c>
      <c r="K423" t="s">
        <v>75</v>
      </c>
      <c r="L423" t="s">
        <v>76</v>
      </c>
      <c r="M423" t="s">
        <v>103</v>
      </c>
      <c r="N423" t="s">
        <v>74</v>
      </c>
      <c r="O423" t="s">
        <v>187</v>
      </c>
      <c r="P423" t="s">
        <v>71</v>
      </c>
      <c r="Q423" t="s">
        <v>110</v>
      </c>
      <c r="R423" t="s">
        <v>71</v>
      </c>
      <c r="S423">
        <v>1</v>
      </c>
      <c r="T423">
        <v>1</v>
      </c>
      <c r="U423" t="s">
        <v>72</v>
      </c>
      <c r="V423" t="s">
        <v>192</v>
      </c>
      <c r="W423">
        <v>0</v>
      </c>
      <c r="X423">
        <v>1</v>
      </c>
      <c r="Y423">
        <v>0</v>
      </c>
      <c r="Z423">
        <v>0</v>
      </c>
      <c r="AA423">
        <v>0</v>
      </c>
      <c r="AB423">
        <v>0</v>
      </c>
      <c r="AC423">
        <v>0</v>
      </c>
      <c r="AD423">
        <v>0</v>
      </c>
      <c r="AE423">
        <v>0</v>
      </c>
      <c r="AF423">
        <v>0</v>
      </c>
      <c r="AG423" t="s">
        <v>71</v>
      </c>
      <c r="AH423">
        <v>0</v>
      </c>
      <c r="AI423">
        <v>0</v>
      </c>
      <c r="AJ423">
        <v>0</v>
      </c>
      <c r="AK423">
        <v>0</v>
      </c>
      <c r="AL423" t="s">
        <v>176</v>
      </c>
      <c r="AM423" t="s">
        <v>254</v>
      </c>
      <c r="AN423" t="s">
        <v>148</v>
      </c>
      <c r="AO423" t="s">
        <v>147</v>
      </c>
      <c r="AP423">
        <v>2</v>
      </c>
      <c r="AQ423">
        <v>0</v>
      </c>
      <c r="AR423">
        <v>0</v>
      </c>
      <c r="AS423">
        <v>0</v>
      </c>
      <c r="AT423">
        <v>0</v>
      </c>
      <c r="AU423">
        <v>0</v>
      </c>
      <c r="AV423">
        <v>0</v>
      </c>
      <c r="AW423">
        <v>0</v>
      </c>
      <c r="AX423">
        <v>0</v>
      </c>
      <c r="AY423">
        <v>0</v>
      </c>
    </row>
    <row r="424" spans="1:51" x14ac:dyDescent="0.25">
      <c r="A424">
        <v>129</v>
      </c>
      <c r="B424">
        <v>26500</v>
      </c>
      <c r="C424" t="s">
        <v>735</v>
      </c>
      <c r="D424" t="s">
        <v>96</v>
      </c>
      <c r="E424" t="s">
        <v>100</v>
      </c>
      <c r="F424" t="s">
        <v>107</v>
      </c>
      <c r="G424" t="s">
        <v>185</v>
      </c>
      <c r="H424" t="s">
        <v>78</v>
      </c>
      <c r="I424" t="s">
        <v>79</v>
      </c>
      <c r="J424" t="s">
        <v>70</v>
      </c>
      <c r="K424" t="s">
        <v>75</v>
      </c>
      <c r="L424" t="s">
        <v>76</v>
      </c>
      <c r="M424" t="s">
        <v>103</v>
      </c>
      <c r="N424" t="s">
        <v>74</v>
      </c>
      <c r="O424" t="s">
        <v>187</v>
      </c>
      <c r="P424" t="s">
        <v>71</v>
      </c>
      <c r="Q424" t="s">
        <v>110</v>
      </c>
      <c r="R424" t="s">
        <v>71</v>
      </c>
      <c r="S424">
        <v>1</v>
      </c>
      <c r="T424">
        <v>1</v>
      </c>
      <c r="U424" t="s">
        <v>72</v>
      </c>
      <c r="V424" t="s">
        <v>192</v>
      </c>
      <c r="W424">
        <v>0</v>
      </c>
      <c r="X424">
        <v>1</v>
      </c>
      <c r="Y424">
        <v>0</v>
      </c>
      <c r="Z424">
        <v>0</v>
      </c>
      <c r="AA424">
        <v>0</v>
      </c>
      <c r="AB424">
        <v>0</v>
      </c>
      <c r="AC424">
        <v>0</v>
      </c>
      <c r="AD424">
        <v>0</v>
      </c>
      <c r="AE424">
        <v>0</v>
      </c>
      <c r="AF424">
        <v>0</v>
      </c>
      <c r="AG424" t="s">
        <v>71</v>
      </c>
      <c r="AH424">
        <v>0</v>
      </c>
      <c r="AI424">
        <v>0</v>
      </c>
      <c r="AJ424">
        <v>0</v>
      </c>
      <c r="AK424">
        <v>0</v>
      </c>
      <c r="AL424" t="s">
        <v>176</v>
      </c>
      <c r="AM424" t="s">
        <v>254</v>
      </c>
      <c r="AN424" t="s">
        <v>148</v>
      </c>
      <c r="AO424" t="s">
        <v>147</v>
      </c>
      <c r="AP424">
        <v>2</v>
      </c>
      <c r="AQ424">
        <v>0</v>
      </c>
      <c r="AR424">
        <v>0</v>
      </c>
      <c r="AS424">
        <v>0</v>
      </c>
      <c r="AT424">
        <v>0</v>
      </c>
      <c r="AU424">
        <v>0</v>
      </c>
      <c r="AV424">
        <v>0</v>
      </c>
      <c r="AW424">
        <v>0</v>
      </c>
      <c r="AX424">
        <v>0</v>
      </c>
      <c r="AY424">
        <v>0</v>
      </c>
    </row>
    <row r="425" spans="1:51" x14ac:dyDescent="0.25">
      <c r="A425">
        <v>130</v>
      </c>
      <c r="B425">
        <v>26510</v>
      </c>
      <c r="C425" t="s">
        <v>735</v>
      </c>
      <c r="D425" t="s">
        <v>96</v>
      </c>
      <c r="E425" t="s">
        <v>100</v>
      </c>
      <c r="F425" t="s">
        <v>107</v>
      </c>
      <c r="G425" t="s">
        <v>77</v>
      </c>
      <c r="H425" t="s">
        <v>78</v>
      </c>
      <c r="I425" t="s">
        <v>79</v>
      </c>
      <c r="J425" t="s">
        <v>70</v>
      </c>
      <c r="K425" t="s">
        <v>75</v>
      </c>
      <c r="L425" t="s">
        <v>76</v>
      </c>
      <c r="M425" t="s">
        <v>103</v>
      </c>
      <c r="N425" t="s">
        <v>74</v>
      </c>
      <c r="O425" t="s">
        <v>187</v>
      </c>
      <c r="P425" t="s">
        <v>71</v>
      </c>
      <c r="Q425" t="s">
        <v>110</v>
      </c>
      <c r="R425" t="s">
        <v>71</v>
      </c>
      <c r="S425">
        <v>1</v>
      </c>
      <c r="T425">
        <v>1</v>
      </c>
      <c r="U425" t="s">
        <v>72</v>
      </c>
      <c r="V425" t="s">
        <v>192</v>
      </c>
      <c r="W425">
        <v>0</v>
      </c>
      <c r="X425">
        <v>1</v>
      </c>
      <c r="Y425">
        <v>1</v>
      </c>
      <c r="Z425">
        <v>5</v>
      </c>
      <c r="AA425">
        <v>1</v>
      </c>
      <c r="AB425">
        <v>5</v>
      </c>
      <c r="AC425">
        <v>1</v>
      </c>
      <c r="AD425">
        <v>5</v>
      </c>
      <c r="AE425">
        <v>1</v>
      </c>
      <c r="AF425">
        <v>5</v>
      </c>
      <c r="AG425" t="s">
        <v>71</v>
      </c>
      <c r="AH425">
        <v>0</v>
      </c>
      <c r="AI425">
        <v>0</v>
      </c>
      <c r="AJ425">
        <v>0</v>
      </c>
      <c r="AK425">
        <v>0</v>
      </c>
      <c r="AL425" t="s">
        <v>176</v>
      </c>
      <c r="AM425" t="s">
        <v>254</v>
      </c>
      <c r="AN425" t="s">
        <v>148</v>
      </c>
      <c r="AO425" t="s">
        <v>147</v>
      </c>
      <c r="AP425">
        <v>1</v>
      </c>
      <c r="AQ425">
        <v>0</v>
      </c>
      <c r="AR425">
        <v>0</v>
      </c>
      <c r="AS425">
        <v>0</v>
      </c>
      <c r="AT425">
        <v>0</v>
      </c>
      <c r="AU425">
        <v>0</v>
      </c>
      <c r="AV425">
        <v>0</v>
      </c>
      <c r="AW425">
        <v>0</v>
      </c>
      <c r="AX425">
        <v>0</v>
      </c>
      <c r="AY425">
        <v>0</v>
      </c>
    </row>
    <row r="426" spans="1:51" x14ac:dyDescent="0.25">
      <c r="A426">
        <v>131</v>
      </c>
      <c r="B426">
        <v>26520</v>
      </c>
      <c r="C426" t="s">
        <v>735</v>
      </c>
      <c r="D426" t="s">
        <v>96</v>
      </c>
      <c r="E426" t="s">
        <v>100</v>
      </c>
      <c r="F426" t="s">
        <v>107</v>
      </c>
      <c r="G426" t="s">
        <v>77</v>
      </c>
      <c r="H426" t="s">
        <v>78</v>
      </c>
      <c r="I426" t="s">
        <v>79</v>
      </c>
      <c r="J426" t="s">
        <v>70</v>
      </c>
      <c r="K426" t="s">
        <v>75</v>
      </c>
      <c r="L426" t="s">
        <v>76</v>
      </c>
      <c r="M426" t="s">
        <v>103</v>
      </c>
      <c r="N426" t="s">
        <v>74</v>
      </c>
      <c r="O426" t="s">
        <v>187</v>
      </c>
      <c r="P426" t="s">
        <v>71</v>
      </c>
      <c r="Q426" t="s">
        <v>71</v>
      </c>
      <c r="R426" t="s">
        <v>71</v>
      </c>
      <c r="S426">
        <v>1</v>
      </c>
      <c r="T426">
        <v>1</v>
      </c>
      <c r="U426" t="s">
        <v>72</v>
      </c>
      <c r="V426" t="s">
        <v>192</v>
      </c>
      <c r="W426">
        <v>0</v>
      </c>
      <c r="X426">
        <v>1</v>
      </c>
      <c r="Y426">
        <v>0</v>
      </c>
      <c r="Z426">
        <v>0</v>
      </c>
      <c r="AA426">
        <v>0</v>
      </c>
      <c r="AB426">
        <v>0</v>
      </c>
      <c r="AC426">
        <v>0</v>
      </c>
      <c r="AD426">
        <v>0</v>
      </c>
      <c r="AE426">
        <v>0</v>
      </c>
      <c r="AF426">
        <v>0</v>
      </c>
      <c r="AG426" t="s">
        <v>71</v>
      </c>
      <c r="AH426">
        <v>0</v>
      </c>
      <c r="AI426">
        <v>0</v>
      </c>
      <c r="AJ426">
        <v>0</v>
      </c>
      <c r="AK426">
        <v>0</v>
      </c>
      <c r="AL426" t="s">
        <v>176</v>
      </c>
      <c r="AM426" t="s">
        <v>254</v>
      </c>
      <c r="AN426" t="s">
        <v>148</v>
      </c>
      <c r="AO426" t="s">
        <v>147</v>
      </c>
      <c r="AP426">
        <v>32768</v>
      </c>
      <c r="AQ426">
        <v>0</v>
      </c>
      <c r="AR426">
        <v>0</v>
      </c>
      <c r="AS426">
        <v>0</v>
      </c>
      <c r="AT426">
        <v>0</v>
      </c>
      <c r="AU426">
        <v>0</v>
      </c>
      <c r="AV426">
        <v>0</v>
      </c>
      <c r="AW426">
        <v>0</v>
      </c>
      <c r="AX426">
        <v>0</v>
      </c>
      <c r="AY426">
        <v>0</v>
      </c>
    </row>
    <row r="427" spans="1:51" x14ac:dyDescent="0.25">
      <c r="A427">
        <v>132</v>
      </c>
      <c r="B427">
        <v>26530</v>
      </c>
      <c r="C427" t="s">
        <v>735</v>
      </c>
      <c r="D427" t="s">
        <v>96</v>
      </c>
      <c r="E427" t="s">
        <v>100</v>
      </c>
      <c r="F427" t="s">
        <v>107</v>
      </c>
      <c r="G427" t="s">
        <v>77</v>
      </c>
      <c r="H427" t="s">
        <v>78</v>
      </c>
      <c r="I427" t="s">
        <v>79</v>
      </c>
      <c r="J427" t="s">
        <v>70</v>
      </c>
      <c r="K427" t="s">
        <v>75</v>
      </c>
      <c r="L427" t="s">
        <v>76</v>
      </c>
      <c r="M427" t="s">
        <v>103</v>
      </c>
      <c r="N427" t="s">
        <v>74</v>
      </c>
      <c r="O427" t="s">
        <v>187</v>
      </c>
      <c r="P427" t="s">
        <v>71</v>
      </c>
      <c r="Q427" t="s">
        <v>299</v>
      </c>
      <c r="R427" t="s">
        <v>71</v>
      </c>
      <c r="S427">
        <v>1</v>
      </c>
      <c r="T427">
        <v>1</v>
      </c>
      <c r="U427" t="s">
        <v>72</v>
      </c>
      <c r="V427" t="s">
        <v>192</v>
      </c>
      <c r="W427">
        <v>0</v>
      </c>
      <c r="X427">
        <v>1</v>
      </c>
      <c r="Y427">
        <v>0</v>
      </c>
      <c r="Z427">
        <v>0</v>
      </c>
      <c r="AA427">
        <v>0</v>
      </c>
      <c r="AB427">
        <v>0</v>
      </c>
      <c r="AC427">
        <v>0</v>
      </c>
      <c r="AD427">
        <v>0</v>
      </c>
      <c r="AE427">
        <v>0</v>
      </c>
      <c r="AF427">
        <v>0</v>
      </c>
      <c r="AG427" t="s">
        <v>71</v>
      </c>
      <c r="AH427">
        <v>0</v>
      </c>
      <c r="AI427">
        <v>0</v>
      </c>
      <c r="AJ427">
        <v>0</v>
      </c>
      <c r="AK427">
        <v>0</v>
      </c>
      <c r="AL427" t="s">
        <v>176</v>
      </c>
      <c r="AM427" t="s">
        <v>254</v>
      </c>
      <c r="AN427" t="s">
        <v>148</v>
      </c>
      <c r="AO427" t="s">
        <v>147</v>
      </c>
      <c r="AP427">
        <v>32768</v>
      </c>
      <c r="AQ427">
        <v>0</v>
      </c>
      <c r="AR427">
        <v>0</v>
      </c>
      <c r="AS427">
        <v>0</v>
      </c>
      <c r="AT427">
        <v>0</v>
      </c>
      <c r="AU427">
        <v>0</v>
      </c>
      <c r="AV427">
        <v>0</v>
      </c>
      <c r="AW427">
        <v>0</v>
      </c>
      <c r="AX427">
        <v>0</v>
      </c>
      <c r="AY427">
        <v>0</v>
      </c>
    </row>
    <row r="428" spans="1:51" x14ac:dyDescent="0.25">
      <c r="A428">
        <v>133</v>
      </c>
      <c r="B428">
        <v>26540</v>
      </c>
      <c r="C428" t="s">
        <v>735</v>
      </c>
      <c r="D428" t="s">
        <v>96</v>
      </c>
      <c r="E428" t="s">
        <v>100</v>
      </c>
      <c r="F428" t="s">
        <v>107</v>
      </c>
      <c r="G428" t="s">
        <v>77</v>
      </c>
      <c r="H428" t="s">
        <v>78</v>
      </c>
      <c r="I428" t="s">
        <v>79</v>
      </c>
      <c r="J428" t="s">
        <v>70</v>
      </c>
      <c r="K428" t="s">
        <v>75</v>
      </c>
      <c r="L428" t="s">
        <v>76</v>
      </c>
      <c r="M428" t="s">
        <v>149</v>
      </c>
      <c r="N428" t="s">
        <v>74</v>
      </c>
      <c r="O428" t="s">
        <v>187</v>
      </c>
      <c r="P428" t="s">
        <v>71</v>
      </c>
      <c r="Q428" t="s">
        <v>110</v>
      </c>
      <c r="R428" t="s">
        <v>71</v>
      </c>
      <c r="S428">
        <v>1</v>
      </c>
      <c r="T428">
        <v>1</v>
      </c>
      <c r="U428" t="s">
        <v>72</v>
      </c>
      <c r="V428" t="s">
        <v>192</v>
      </c>
      <c r="W428">
        <v>0</v>
      </c>
      <c r="X428">
        <v>1</v>
      </c>
      <c r="Y428">
        <v>0</v>
      </c>
      <c r="Z428">
        <v>0</v>
      </c>
      <c r="AA428">
        <v>0</v>
      </c>
      <c r="AB428">
        <v>0</v>
      </c>
      <c r="AC428">
        <v>0</v>
      </c>
      <c r="AD428">
        <v>0</v>
      </c>
      <c r="AE428">
        <v>0</v>
      </c>
      <c r="AF428">
        <v>0</v>
      </c>
      <c r="AG428" t="s">
        <v>71</v>
      </c>
      <c r="AH428">
        <v>0</v>
      </c>
      <c r="AI428">
        <v>0</v>
      </c>
      <c r="AJ428">
        <v>0</v>
      </c>
      <c r="AK428">
        <v>0</v>
      </c>
      <c r="AL428" t="s">
        <v>176</v>
      </c>
      <c r="AM428" t="s">
        <v>254</v>
      </c>
      <c r="AN428" t="s">
        <v>148</v>
      </c>
      <c r="AO428" t="s">
        <v>147</v>
      </c>
      <c r="AP428">
        <v>2048</v>
      </c>
      <c r="AQ428">
        <v>0</v>
      </c>
      <c r="AR428">
        <v>0</v>
      </c>
      <c r="AS428">
        <v>0</v>
      </c>
      <c r="AT428">
        <v>0</v>
      </c>
      <c r="AU428">
        <v>0</v>
      </c>
      <c r="AV428">
        <v>0</v>
      </c>
      <c r="AW428">
        <v>0</v>
      </c>
      <c r="AX428">
        <v>0</v>
      </c>
      <c r="AY428">
        <v>0</v>
      </c>
    </row>
    <row r="429" spans="1:51" x14ac:dyDescent="0.25">
      <c r="A429">
        <v>134</v>
      </c>
      <c r="B429">
        <v>26550</v>
      </c>
      <c r="C429" t="s">
        <v>735</v>
      </c>
      <c r="D429" t="s">
        <v>96</v>
      </c>
      <c r="E429" t="s">
        <v>100</v>
      </c>
      <c r="F429" t="s">
        <v>107</v>
      </c>
      <c r="G429" t="s">
        <v>77</v>
      </c>
      <c r="H429" t="s">
        <v>78</v>
      </c>
      <c r="I429" t="s">
        <v>79</v>
      </c>
      <c r="J429" t="s">
        <v>70</v>
      </c>
      <c r="K429" t="s">
        <v>75</v>
      </c>
      <c r="L429" t="s">
        <v>76</v>
      </c>
      <c r="M429" t="s">
        <v>179</v>
      </c>
      <c r="N429" t="s">
        <v>74</v>
      </c>
      <c r="O429" t="s">
        <v>187</v>
      </c>
      <c r="P429" t="s">
        <v>71</v>
      </c>
      <c r="Q429" t="s">
        <v>110</v>
      </c>
      <c r="R429" t="s">
        <v>71</v>
      </c>
      <c r="S429">
        <v>1</v>
      </c>
      <c r="T429">
        <v>1</v>
      </c>
      <c r="U429" t="s">
        <v>72</v>
      </c>
      <c r="V429" t="s">
        <v>192</v>
      </c>
      <c r="W429">
        <v>0</v>
      </c>
      <c r="X429">
        <v>1</v>
      </c>
      <c r="Y429">
        <v>0</v>
      </c>
      <c r="Z429">
        <v>0</v>
      </c>
      <c r="AA429">
        <v>0</v>
      </c>
      <c r="AB429">
        <v>0</v>
      </c>
      <c r="AC429">
        <v>0</v>
      </c>
      <c r="AD429">
        <v>0</v>
      </c>
      <c r="AE429">
        <v>0</v>
      </c>
      <c r="AF429">
        <v>0</v>
      </c>
      <c r="AG429" t="s">
        <v>71</v>
      </c>
      <c r="AH429">
        <v>0</v>
      </c>
      <c r="AI429">
        <v>0</v>
      </c>
      <c r="AJ429">
        <v>0</v>
      </c>
      <c r="AK429">
        <v>0</v>
      </c>
      <c r="AL429" t="s">
        <v>176</v>
      </c>
      <c r="AM429" t="s">
        <v>254</v>
      </c>
      <c r="AN429" t="s">
        <v>148</v>
      </c>
      <c r="AO429" t="s">
        <v>147</v>
      </c>
      <c r="AP429">
        <v>2048</v>
      </c>
      <c r="AQ429">
        <v>0</v>
      </c>
      <c r="AR429">
        <v>0</v>
      </c>
      <c r="AS429">
        <v>0</v>
      </c>
      <c r="AT429">
        <v>0</v>
      </c>
      <c r="AU429">
        <v>0</v>
      </c>
      <c r="AV429">
        <v>0</v>
      </c>
      <c r="AW429">
        <v>0</v>
      </c>
      <c r="AX429">
        <v>0</v>
      </c>
      <c r="AY429">
        <v>0</v>
      </c>
    </row>
    <row r="430" spans="1:51" x14ac:dyDescent="0.25">
      <c r="A430">
        <v>135</v>
      </c>
      <c r="B430">
        <v>26560</v>
      </c>
      <c r="C430" t="s">
        <v>735</v>
      </c>
      <c r="D430" t="s">
        <v>96</v>
      </c>
      <c r="E430" t="s">
        <v>100</v>
      </c>
      <c r="F430" t="s">
        <v>107</v>
      </c>
      <c r="G430" t="s">
        <v>101</v>
      </c>
      <c r="H430" t="s">
        <v>180</v>
      </c>
      <c r="I430" t="s">
        <v>195</v>
      </c>
      <c r="J430" t="s">
        <v>70</v>
      </c>
      <c r="K430" t="s">
        <v>75</v>
      </c>
      <c r="L430" t="s">
        <v>223</v>
      </c>
      <c r="M430" t="s">
        <v>103</v>
      </c>
      <c r="N430" t="s">
        <v>74</v>
      </c>
      <c r="O430" t="s">
        <v>187</v>
      </c>
      <c r="P430" t="s">
        <v>71</v>
      </c>
      <c r="Q430" t="s">
        <v>110</v>
      </c>
      <c r="R430" t="s">
        <v>71</v>
      </c>
      <c r="S430">
        <v>0</v>
      </c>
      <c r="T430">
        <v>1</v>
      </c>
      <c r="U430" t="s">
        <v>282</v>
      </c>
      <c r="V430" t="s">
        <v>188</v>
      </c>
      <c r="W430">
        <v>0</v>
      </c>
      <c r="X430">
        <v>1</v>
      </c>
      <c r="Y430">
        <v>0</v>
      </c>
      <c r="Z430">
        <v>0</v>
      </c>
      <c r="AA430">
        <v>0</v>
      </c>
      <c r="AB430">
        <v>0</v>
      </c>
      <c r="AC430">
        <v>0</v>
      </c>
      <c r="AD430">
        <v>0</v>
      </c>
      <c r="AE430">
        <v>0</v>
      </c>
      <c r="AF430">
        <v>0</v>
      </c>
      <c r="AG430" t="s">
        <v>71</v>
      </c>
      <c r="AH430">
        <v>0</v>
      </c>
      <c r="AI430">
        <v>0</v>
      </c>
      <c r="AJ430">
        <v>0</v>
      </c>
      <c r="AK430">
        <v>0</v>
      </c>
      <c r="AL430" t="s">
        <v>176</v>
      </c>
      <c r="AM430" t="s">
        <v>254</v>
      </c>
      <c r="AN430" t="s">
        <v>148</v>
      </c>
      <c r="AO430" t="s">
        <v>147</v>
      </c>
      <c r="AP430">
        <v>126</v>
      </c>
      <c r="AQ430">
        <v>0</v>
      </c>
      <c r="AR430">
        <v>0</v>
      </c>
      <c r="AS430">
        <v>0</v>
      </c>
      <c r="AT430">
        <v>0</v>
      </c>
      <c r="AU430">
        <v>0</v>
      </c>
      <c r="AV430">
        <v>0</v>
      </c>
      <c r="AW430">
        <v>0</v>
      </c>
      <c r="AX430">
        <v>0</v>
      </c>
      <c r="AY430">
        <v>0</v>
      </c>
    </row>
    <row r="431" spans="1:51" x14ac:dyDescent="0.25">
      <c r="A431">
        <v>136</v>
      </c>
      <c r="B431">
        <v>26570</v>
      </c>
      <c r="C431" t="s">
        <v>735</v>
      </c>
      <c r="D431" t="s">
        <v>96</v>
      </c>
      <c r="E431" t="s">
        <v>100</v>
      </c>
      <c r="F431" t="s">
        <v>107</v>
      </c>
      <c r="G431" t="s">
        <v>77</v>
      </c>
      <c r="H431" t="s">
        <v>78</v>
      </c>
      <c r="I431" t="s">
        <v>79</v>
      </c>
      <c r="J431" t="s">
        <v>70</v>
      </c>
      <c r="K431" t="s">
        <v>75</v>
      </c>
      <c r="L431" t="s">
        <v>76</v>
      </c>
      <c r="M431" t="s">
        <v>179</v>
      </c>
      <c r="N431" t="s">
        <v>74</v>
      </c>
      <c r="O431" t="s">
        <v>187</v>
      </c>
      <c r="P431" t="s">
        <v>71</v>
      </c>
      <c r="Q431" t="s">
        <v>110</v>
      </c>
      <c r="R431" t="s">
        <v>71</v>
      </c>
      <c r="S431">
        <v>0</v>
      </c>
      <c r="T431">
        <v>1</v>
      </c>
      <c r="U431" t="s">
        <v>72</v>
      </c>
      <c r="V431" t="s">
        <v>73</v>
      </c>
      <c r="W431">
        <v>0</v>
      </c>
      <c r="X431">
        <v>1</v>
      </c>
      <c r="Y431">
        <v>0</v>
      </c>
      <c r="Z431">
        <v>0</v>
      </c>
      <c r="AA431">
        <v>0</v>
      </c>
      <c r="AB431">
        <v>0</v>
      </c>
      <c r="AC431">
        <v>0</v>
      </c>
      <c r="AD431">
        <v>0</v>
      </c>
      <c r="AE431">
        <v>0</v>
      </c>
      <c r="AF431">
        <v>0</v>
      </c>
      <c r="AG431" t="s">
        <v>71</v>
      </c>
      <c r="AH431">
        <v>0</v>
      </c>
      <c r="AI431">
        <v>0</v>
      </c>
      <c r="AJ431">
        <v>0</v>
      </c>
      <c r="AK431">
        <v>0</v>
      </c>
      <c r="AL431" t="s">
        <v>176</v>
      </c>
      <c r="AM431" t="s">
        <v>254</v>
      </c>
      <c r="AN431" t="s">
        <v>148</v>
      </c>
      <c r="AO431" t="s">
        <v>147</v>
      </c>
      <c r="AP431">
        <v>2048</v>
      </c>
      <c r="AQ431">
        <v>0</v>
      </c>
      <c r="AR431">
        <v>0</v>
      </c>
      <c r="AS431">
        <v>0</v>
      </c>
      <c r="AT431">
        <v>0</v>
      </c>
      <c r="AU431">
        <v>0</v>
      </c>
      <c r="AV431">
        <v>0</v>
      </c>
      <c r="AW431">
        <v>0</v>
      </c>
      <c r="AX431">
        <v>0</v>
      </c>
      <c r="AY431">
        <v>0</v>
      </c>
    </row>
    <row r="432" spans="1:51" x14ac:dyDescent="0.25">
      <c r="A432">
        <v>137</v>
      </c>
      <c r="B432">
        <v>26580</v>
      </c>
      <c r="C432" t="s">
        <v>735</v>
      </c>
      <c r="D432" t="s">
        <v>96</v>
      </c>
      <c r="E432" t="s">
        <v>100</v>
      </c>
      <c r="F432" t="s">
        <v>107</v>
      </c>
      <c r="G432" t="s">
        <v>184</v>
      </c>
      <c r="H432" t="s">
        <v>180</v>
      </c>
      <c r="I432" t="s">
        <v>195</v>
      </c>
      <c r="J432" t="s">
        <v>150</v>
      </c>
      <c r="K432" t="s">
        <v>75</v>
      </c>
      <c r="L432" t="s">
        <v>76</v>
      </c>
      <c r="M432" t="s">
        <v>103</v>
      </c>
      <c r="N432" t="s">
        <v>74</v>
      </c>
      <c r="O432" t="s">
        <v>187</v>
      </c>
      <c r="P432" t="s">
        <v>71</v>
      </c>
      <c r="Q432" t="s">
        <v>110</v>
      </c>
      <c r="R432" t="s">
        <v>71</v>
      </c>
      <c r="S432">
        <v>0</v>
      </c>
      <c r="T432">
        <v>1</v>
      </c>
      <c r="U432" t="s">
        <v>283</v>
      </c>
      <c r="V432" t="s">
        <v>188</v>
      </c>
      <c r="W432">
        <v>0</v>
      </c>
      <c r="X432">
        <v>1</v>
      </c>
      <c r="Y432">
        <v>0</v>
      </c>
      <c r="Z432">
        <v>0</v>
      </c>
      <c r="AA432">
        <v>0</v>
      </c>
      <c r="AB432">
        <v>0</v>
      </c>
      <c r="AC432">
        <v>0</v>
      </c>
      <c r="AD432">
        <v>0</v>
      </c>
      <c r="AE432">
        <v>0</v>
      </c>
      <c r="AF432">
        <v>0</v>
      </c>
      <c r="AG432" t="s">
        <v>71</v>
      </c>
      <c r="AH432">
        <v>0</v>
      </c>
      <c r="AI432">
        <v>0</v>
      </c>
      <c r="AJ432">
        <v>0</v>
      </c>
      <c r="AK432">
        <v>0</v>
      </c>
      <c r="AL432" t="s">
        <v>176</v>
      </c>
      <c r="AM432" t="s">
        <v>254</v>
      </c>
      <c r="AN432" t="s">
        <v>148</v>
      </c>
      <c r="AO432" t="s">
        <v>147</v>
      </c>
      <c r="AP432">
        <v>126</v>
      </c>
      <c r="AQ432">
        <v>0</v>
      </c>
      <c r="AR432">
        <v>0</v>
      </c>
      <c r="AS432">
        <v>0</v>
      </c>
      <c r="AT432">
        <v>0</v>
      </c>
      <c r="AU432">
        <v>0</v>
      </c>
      <c r="AV432">
        <v>0</v>
      </c>
      <c r="AW432">
        <v>0</v>
      </c>
      <c r="AX432">
        <v>0</v>
      </c>
      <c r="AY432">
        <v>0</v>
      </c>
    </row>
    <row r="433" spans="1:51" x14ac:dyDescent="0.25">
      <c r="A433">
        <v>138</v>
      </c>
      <c r="B433">
        <v>26590</v>
      </c>
      <c r="C433" t="s">
        <v>735</v>
      </c>
      <c r="D433" t="s">
        <v>96</v>
      </c>
      <c r="E433" t="s">
        <v>100</v>
      </c>
      <c r="F433" t="s">
        <v>107</v>
      </c>
      <c r="G433" t="s">
        <v>77</v>
      </c>
      <c r="H433" t="s">
        <v>182</v>
      </c>
      <c r="I433" t="s">
        <v>197</v>
      </c>
      <c r="J433" t="s">
        <v>119</v>
      </c>
      <c r="K433" t="s">
        <v>75</v>
      </c>
      <c r="L433" t="s">
        <v>203</v>
      </c>
      <c r="M433" t="s">
        <v>149</v>
      </c>
      <c r="N433" t="s">
        <v>74</v>
      </c>
      <c r="O433" t="s">
        <v>187</v>
      </c>
      <c r="P433" t="s">
        <v>71</v>
      </c>
      <c r="Q433" t="s">
        <v>110</v>
      </c>
      <c r="R433" t="s">
        <v>71</v>
      </c>
      <c r="S433">
        <v>1</v>
      </c>
      <c r="T433">
        <v>1</v>
      </c>
      <c r="U433" t="s">
        <v>72</v>
      </c>
      <c r="V433" t="s">
        <v>188</v>
      </c>
      <c r="W433">
        <v>0</v>
      </c>
      <c r="X433">
        <v>1</v>
      </c>
      <c r="Y433">
        <v>0</v>
      </c>
      <c r="Z433">
        <v>0</v>
      </c>
      <c r="AA433">
        <v>0</v>
      </c>
      <c r="AB433">
        <v>0</v>
      </c>
      <c r="AC433">
        <v>0</v>
      </c>
      <c r="AD433">
        <v>0</v>
      </c>
      <c r="AE433">
        <v>0</v>
      </c>
      <c r="AF433">
        <v>0</v>
      </c>
      <c r="AG433" t="s">
        <v>71</v>
      </c>
      <c r="AH433">
        <v>0</v>
      </c>
      <c r="AI433">
        <v>0</v>
      </c>
      <c r="AJ433">
        <v>0</v>
      </c>
      <c r="AK433">
        <v>0</v>
      </c>
      <c r="AL433" t="s">
        <v>176</v>
      </c>
      <c r="AM433" t="s">
        <v>254</v>
      </c>
      <c r="AN433" t="s">
        <v>148</v>
      </c>
      <c r="AO433" t="s">
        <v>147</v>
      </c>
      <c r="AP433">
        <v>2048</v>
      </c>
      <c r="AQ433">
        <v>0</v>
      </c>
      <c r="AR433">
        <v>0</v>
      </c>
      <c r="AS433">
        <v>0</v>
      </c>
      <c r="AT433">
        <v>12</v>
      </c>
      <c r="AU433">
        <v>0</v>
      </c>
      <c r="AV433">
        <v>0</v>
      </c>
      <c r="AW433">
        <v>0</v>
      </c>
      <c r="AX433">
        <v>0</v>
      </c>
      <c r="AY433">
        <v>0</v>
      </c>
    </row>
    <row r="434" spans="1:51" x14ac:dyDescent="0.25">
      <c r="A434">
        <v>139</v>
      </c>
      <c r="B434">
        <v>26600</v>
      </c>
      <c r="C434" t="s">
        <v>735</v>
      </c>
      <c r="D434" t="s">
        <v>96</v>
      </c>
      <c r="E434" t="s">
        <v>121</v>
      </c>
      <c r="F434" t="s">
        <v>107</v>
      </c>
      <c r="G434" t="s">
        <v>185</v>
      </c>
      <c r="H434" t="s">
        <v>78</v>
      </c>
      <c r="I434" t="s">
        <v>79</v>
      </c>
      <c r="J434" t="s">
        <v>119</v>
      </c>
      <c r="K434" t="s">
        <v>75</v>
      </c>
      <c r="L434" t="s">
        <v>205</v>
      </c>
      <c r="M434" t="s">
        <v>103</v>
      </c>
      <c r="N434" t="s">
        <v>74</v>
      </c>
      <c r="O434" t="s">
        <v>187</v>
      </c>
      <c r="P434" t="s">
        <v>71</v>
      </c>
      <c r="Q434" t="s">
        <v>110</v>
      </c>
      <c r="R434" t="s">
        <v>71</v>
      </c>
      <c r="S434">
        <v>0</v>
      </c>
      <c r="T434">
        <v>0</v>
      </c>
      <c r="U434" t="s">
        <v>284</v>
      </c>
      <c r="V434" t="s">
        <v>188</v>
      </c>
      <c r="W434">
        <v>0</v>
      </c>
      <c r="X434">
        <v>1</v>
      </c>
      <c r="Y434">
        <v>0</v>
      </c>
      <c r="Z434">
        <v>0</v>
      </c>
      <c r="AA434">
        <v>0</v>
      </c>
      <c r="AB434">
        <v>0</v>
      </c>
      <c r="AC434">
        <v>0</v>
      </c>
      <c r="AD434">
        <v>0</v>
      </c>
      <c r="AE434">
        <v>0</v>
      </c>
      <c r="AF434">
        <v>0</v>
      </c>
      <c r="AG434" t="s">
        <v>71</v>
      </c>
      <c r="AH434">
        <v>0</v>
      </c>
      <c r="AI434">
        <v>0</v>
      </c>
      <c r="AJ434">
        <v>0</v>
      </c>
      <c r="AK434">
        <v>0</v>
      </c>
      <c r="AL434" t="s">
        <v>176</v>
      </c>
      <c r="AM434" t="s">
        <v>254</v>
      </c>
      <c r="AN434" t="s">
        <v>148</v>
      </c>
      <c r="AO434" t="s">
        <v>147</v>
      </c>
      <c r="AP434">
        <v>114</v>
      </c>
      <c r="AQ434">
        <v>0</v>
      </c>
      <c r="AR434">
        <v>0</v>
      </c>
      <c r="AS434">
        <v>0</v>
      </c>
      <c r="AT434">
        <v>18</v>
      </c>
      <c r="AU434">
        <v>0</v>
      </c>
      <c r="AV434">
        <v>0</v>
      </c>
      <c r="AW434">
        <v>0</v>
      </c>
      <c r="AX434">
        <v>0</v>
      </c>
      <c r="AY434">
        <v>0</v>
      </c>
    </row>
    <row r="435" spans="1:51" x14ac:dyDescent="0.25">
      <c r="A435">
        <v>140</v>
      </c>
      <c r="B435">
        <v>26610</v>
      </c>
      <c r="C435" t="s">
        <v>735</v>
      </c>
      <c r="D435" t="s">
        <v>96</v>
      </c>
      <c r="E435" t="s">
        <v>121</v>
      </c>
      <c r="F435" t="s">
        <v>107</v>
      </c>
      <c r="G435" t="s">
        <v>77</v>
      </c>
      <c r="H435" t="s">
        <v>182</v>
      </c>
      <c r="I435" t="s">
        <v>195</v>
      </c>
      <c r="J435" t="s">
        <v>119</v>
      </c>
      <c r="K435" t="s">
        <v>75</v>
      </c>
      <c r="L435" t="s">
        <v>76</v>
      </c>
      <c r="M435" t="s">
        <v>149</v>
      </c>
      <c r="N435" t="s">
        <v>74</v>
      </c>
      <c r="O435" t="s">
        <v>187</v>
      </c>
      <c r="P435" t="s">
        <v>71</v>
      </c>
      <c r="Q435" t="s">
        <v>110</v>
      </c>
      <c r="R435" t="s">
        <v>71</v>
      </c>
      <c r="S435">
        <v>0</v>
      </c>
      <c r="T435">
        <v>0</v>
      </c>
      <c r="U435" t="s">
        <v>72</v>
      </c>
      <c r="V435" t="s">
        <v>192</v>
      </c>
      <c r="W435">
        <v>0</v>
      </c>
      <c r="X435">
        <v>1</v>
      </c>
      <c r="Y435">
        <v>1</v>
      </c>
      <c r="Z435">
        <v>10</v>
      </c>
      <c r="AA435">
        <v>1</v>
      </c>
      <c r="AB435">
        <v>10</v>
      </c>
      <c r="AC435">
        <v>1</v>
      </c>
      <c r="AD435">
        <v>10</v>
      </c>
      <c r="AE435">
        <v>1</v>
      </c>
      <c r="AF435">
        <v>10</v>
      </c>
      <c r="AG435" t="s">
        <v>71</v>
      </c>
      <c r="AH435">
        <v>0</v>
      </c>
      <c r="AI435">
        <v>0</v>
      </c>
      <c r="AJ435">
        <v>0</v>
      </c>
      <c r="AK435">
        <v>0</v>
      </c>
      <c r="AL435" t="s">
        <v>176</v>
      </c>
      <c r="AM435" t="s">
        <v>254</v>
      </c>
      <c r="AN435" t="s">
        <v>148</v>
      </c>
      <c r="AO435" t="s">
        <v>147</v>
      </c>
      <c r="AP435">
        <v>2825</v>
      </c>
      <c r="AQ435">
        <v>0</v>
      </c>
      <c r="AR435">
        <v>0</v>
      </c>
      <c r="AS435">
        <v>0</v>
      </c>
      <c r="AT435">
        <v>13</v>
      </c>
      <c r="AU435">
        <v>0</v>
      </c>
      <c r="AV435">
        <v>0</v>
      </c>
      <c r="AW435">
        <v>0</v>
      </c>
      <c r="AX435">
        <v>0</v>
      </c>
      <c r="AY435">
        <v>0</v>
      </c>
    </row>
    <row r="436" spans="1:51" x14ac:dyDescent="0.25">
      <c r="A436">
        <v>141</v>
      </c>
      <c r="B436">
        <v>26620</v>
      </c>
      <c r="C436" t="s">
        <v>735</v>
      </c>
      <c r="D436" t="s">
        <v>96</v>
      </c>
      <c r="E436" t="s">
        <v>100</v>
      </c>
      <c r="F436" t="s">
        <v>107</v>
      </c>
      <c r="G436" t="s">
        <v>184</v>
      </c>
      <c r="H436" t="s">
        <v>78</v>
      </c>
      <c r="I436" t="s">
        <v>79</v>
      </c>
      <c r="J436" t="s">
        <v>119</v>
      </c>
      <c r="K436" t="s">
        <v>75</v>
      </c>
      <c r="L436" t="s">
        <v>223</v>
      </c>
      <c r="M436" t="s">
        <v>177</v>
      </c>
      <c r="N436" t="s">
        <v>74</v>
      </c>
      <c r="O436" t="s">
        <v>187</v>
      </c>
      <c r="P436" t="s">
        <v>71</v>
      </c>
      <c r="Q436" t="s">
        <v>110</v>
      </c>
      <c r="R436" t="s">
        <v>71</v>
      </c>
      <c r="S436">
        <v>1</v>
      </c>
      <c r="T436">
        <v>1</v>
      </c>
      <c r="U436" t="s">
        <v>72</v>
      </c>
      <c r="V436" t="s">
        <v>192</v>
      </c>
      <c r="W436">
        <v>0</v>
      </c>
      <c r="X436">
        <v>1</v>
      </c>
      <c r="Y436">
        <v>0</v>
      </c>
      <c r="Z436">
        <v>0</v>
      </c>
      <c r="AA436">
        <v>0</v>
      </c>
      <c r="AB436">
        <v>0</v>
      </c>
      <c r="AC436">
        <v>0</v>
      </c>
      <c r="AD436">
        <v>0</v>
      </c>
      <c r="AE436">
        <v>0</v>
      </c>
      <c r="AF436">
        <v>0</v>
      </c>
      <c r="AG436" t="s">
        <v>71</v>
      </c>
      <c r="AH436">
        <v>0</v>
      </c>
      <c r="AI436">
        <v>0</v>
      </c>
      <c r="AJ436">
        <v>0</v>
      </c>
      <c r="AK436">
        <v>0</v>
      </c>
      <c r="AL436" t="s">
        <v>176</v>
      </c>
      <c r="AM436" t="s">
        <v>254</v>
      </c>
      <c r="AN436" t="s">
        <v>148</v>
      </c>
      <c r="AO436" t="s">
        <v>147</v>
      </c>
      <c r="AP436">
        <v>2178</v>
      </c>
      <c r="AQ436">
        <v>0</v>
      </c>
      <c r="AR436">
        <v>0</v>
      </c>
      <c r="AS436">
        <v>0</v>
      </c>
      <c r="AT436">
        <v>18</v>
      </c>
      <c r="AU436">
        <v>0</v>
      </c>
      <c r="AV436">
        <v>0</v>
      </c>
      <c r="AW436">
        <v>0</v>
      </c>
      <c r="AX436">
        <v>0</v>
      </c>
      <c r="AY436">
        <v>0</v>
      </c>
    </row>
    <row r="437" spans="1:51" x14ac:dyDescent="0.25">
      <c r="A437">
        <v>142</v>
      </c>
      <c r="B437">
        <v>26630</v>
      </c>
      <c r="C437" t="s">
        <v>735</v>
      </c>
      <c r="D437" t="s">
        <v>96</v>
      </c>
      <c r="E437" t="s">
        <v>186</v>
      </c>
      <c r="F437" t="s">
        <v>107</v>
      </c>
      <c r="G437" t="s">
        <v>77</v>
      </c>
      <c r="H437" t="s">
        <v>180</v>
      </c>
      <c r="I437" t="s">
        <v>181</v>
      </c>
      <c r="J437" t="s">
        <v>119</v>
      </c>
      <c r="K437" t="s">
        <v>75</v>
      </c>
      <c r="L437" t="s">
        <v>76</v>
      </c>
      <c r="M437" t="s">
        <v>149</v>
      </c>
      <c r="N437" t="s">
        <v>74</v>
      </c>
      <c r="O437" t="s">
        <v>187</v>
      </c>
      <c r="P437" t="s">
        <v>71</v>
      </c>
      <c r="Q437" t="s">
        <v>110</v>
      </c>
      <c r="R437" t="s">
        <v>71</v>
      </c>
      <c r="S437">
        <v>1</v>
      </c>
      <c r="T437">
        <v>1</v>
      </c>
      <c r="U437" t="s">
        <v>72</v>
      </c>
      <c r="V437" t="s">
        <v>192</v>
      </c>
      <c r="W437">
        <v>0</v>
      </c>
      <c r="X437">
        <v>1</v>
      </c>
      <c r="Y437">
        <v>0</v>
      </c>
      <c r="Z437">
        <v>0</v>
      </c>
      <c r="AA437">
        <v>0</v>
      </c>
      <c r="AB437">
        <v>0</v>
      </c>
      <c r="AC437">
        <v>0</v>
      </c>
      <c r="AD437">
        <v>0</v>
      </c>
      <c r="AE437">
        <v>0</v>
      </c>
      <c r="AF437">
        <v>0</v>
      </c>
      <c r="AG437" t="s">
        <v>71</v>
      </c>
      <c r="AH437">
        <v>0</v>
      </c>
      <c r="AI437">
        <v>0</v>
      </c>
      <c r="AJ437">
        <v>0</v>
      </c>
      <c r="AK437">
        <v>0</v>
      </c>
      <c r="AL437" t="s">
        <v>176</v>
      </c>
      <c r="AM437" t="s">
        <v>254</v>
      </c>
      <c r="AN437" t="s">
        <v>148</v>
      </c>
      <c r="AO437" t="s">
        <v>147</v>
      </c>
      <c r="AP437">
        <v>2308</v>
      </c>
      <c r="AQ437">
        <v>0</v>
      </c>
      <c r="AR437">
        <v>0</v>
      </c>
      <c r="AS437">
        <v>0</v>
      </c>
      <c r="AT437">
        <v>12</v>
      </c>
      <c r="AU437">
        <v>0</v>
      </c>
      <c r="AV437">
        <v>0</v>
      </c>
      <c r="AW437">
        <v>0</v>
      </c>
      <c r="AX437">
        <v>0</v>
      </c>
      <c r="AY437">
        <v>0</v>
      </c>
    </row>
    <row r="438" spans="1:51" x14ac:dyDescent="0.25">
      <c r="A438">
        <v>143</v>
      </c>
      <c r="B438">
        <v>26640</v>
      </c>
      <c r="C438" t="s">
        <v>735</v>
      </c>
      <c r="D438" t="s">
        <v>96</v>
      </c>
      <c r="E438" t="s">
        <v>186</v>
      </c>
      <c r="F438" t="s">
        <v>107</v>
      </c>
      <c r="G438" t="s">
        <v>101</v>
      </c>
      <c r="H438" t="s">
        <v>78</v>
      </c>
      <c r="I438" t="s">
        <v>79</v>
      </c>
      <c r="J438" t="s">
        <v>119</v>
      </c>
      <c r="K438" t="s">
        <v>75</v>
      </c>
      <c r="L438" t="s">
        <v>203</v>
      </c>
      <c r="M438" t="s">
        <v>179</v>
      </c>
      <c r="N438" t="s">
        <v>74</v>
      </c>
      <c r="O438" t="s">
        <v>187</v>
      </c>
      <c r="P438" t="s">
        <v>71</v>
      </c>
      <c r="Q438" t="s">
        <v>110</v>
      </c>
      <c r="R438" t="s">
        <v>71</v>
      </c>
      <c r="S438">
        <v>1</v>
      </c>
      <c r="T438">
        <v>0</v>
      </c>
      <c r="U438" t="s">
        <v>72</v>
      </c>
      <c r="V438" t="s">
        <v>192</v>
      </c>
      <c r="W438">
        <v>0</v>
      </c>
      <c r="X438">
        <v>1</v>
      </c>
      <c r="Y438">
        <v>0</v>
      </c>
      <c r="Z438">
        <v>0</v>
      </c>
      <c r="AA438">
        <v>0</v>
      </c>
      <c r="AB438">
        <v>0</v>
      </c>
      <c r="AC438">
        <v>0</v>
      </c>
      <c r="AD438">
        <v>0</v>
      </c>
      <c r="AE438">
        <v>0</v>
      </c>
      <c r="AF438">
        <v>0</v>
      </c>
      <c r="AG438" t="s">
        <v>71</v>
      </c>
      <c r="AH438">
        <v>0</v>
      </c>
      <c r="AI438">
        <v>0</v>
      </c>
      <c r="AJ438">
        <v>0</v>
      </c>
      <c r="AK438">
        <v>0</v>
      </c>
      <c r="AL438" t="s">
        <v>176</v>
      </c>
      <c r="AM438" t="s">
        <v>254</v>
      </c>
      <c r="AN438" t="s">
        <v>148</v>
      </c>
      <c r="AO438" t="s">
        <v>147</v>
      </c>
      <c r="AP438">
        <v>2946</v>
      </c>
      <c r="AQ438">
        <v>0</v>
      </c>
      <c r="AR438">
        <v>0</v>
      </c>
      <c r="AS438">
        <v>0</v>
      </c>
      <c r="AT438">
        <v>18</v>
      </c>
      <c r="AU438">
        <v>0</v>
      </c>
      <c r="AV438">
        <v>0</v>
      </c>
      <c r="AW438">
        <v>0</v>
      </c>
      <c r="AX438">
        <v>0</v>
      </c>
      <c r="AY438">
        <v>0</v>
      </c>
    </row>
    <row r="439" spans="1:51" x14ac:dyDescent="0.25">
      <c r="A439">
        <v>144</v>
      </c>
      <c r="B439">
        <v>26650</v>
      </c>
      <c r="C439" t="s">
        <v>735</v>
      </c>
      <c r="D439" t="s">
        <v>96</v>
      </c>
      <c r="E439" t="s">
        <v>121</v>
      </c>
      <c r="F439" t="s">
        <v>107</v>
      </c>
      <c r="G439" t="s">
        <v>101</v>
      </c>
      <c r="H439" t="s">
        <v>78</v>
      </c>
      <c r="I439" t="s">
        <v>197</v>
      </c>
      <c r="J439" t="s">
        <v>119</v>
      </c>
      <c r="K439" t="s">
        <v>75</v>
      </c>
      <c r="L439" t="s">
        <v>203</v>
      </c>
      <c r="M439" t="s">
        <v>177</v>
      </c>
      <c r="N439" t="s">
        <v>74</v>
      </c>
      <c r="O439" t="s">
        <v>187</v>
      </c>
      <c r="P439" t="s">
        <v>71</v>
      </c>
      <c r="Q439" t="s">
        <v>110</v>
      </c>
      <c r="R439" t="s">
        <v>71</v>
      </c>
      <c r="S439">
        <v>1</v>
      </c>
      <c r="T439">
        <v>0</v>
      </c>
      <c r="U439" t="s">
        <v>72</v>
      </c>
      <c r="V439" t="s">
        <v>73</v>
      </c>
      <c r="W439">
        <v>0</v>
      </c>
      <c r="X439">
        <v>1</v>
      </c>
      <c r="Y439">
        <v>0</v>
      </c>
      <c r="Z439">
        <v>0</v>
      </c>
      <c r="AA439">
        <v>0</v>
      </c>
      <c r="AB439">
        <v>0</v>
      </c>
      <c r="AC439">
        <v>0</v>
      </c>
      <c r="AD439">
        <v>0</v>
      </c>
      <c r="AE439">
        <v>0</v>
      </c>
      <c r="AF439">
        <v>0</v>
      </c>
      <c r="AG439" t="s">
        <v>71</v>
      </c>
      <c r="AH439">
        <v>0</v>
      </c>
      <c r="AI439">
        <v>0</v>
      </c>
      <c r="AJ439">
        <v>0</v>
      </c>
      <c r="AK439">
        <v>0</v>
      </c>
      <c r="AL439" t="s">
        <v>176</v>
      </c>
      <c r="AM439" t="s">
        <v>254</v>
      </c>
      <c r="AN439" t="s">
        <v>148</v>
      </c>
      <c r="AO439" t="s">
        <v>147</v>
      </c>
      <c r="AP439">
        <v>2050</v>
      </c>
      <c r="AQ439">
        <v>0</v>
      </c>
      <c r="AR439">
        <v>0</v>
      </c>
      <c r="AS439">
        <v>0</v>
      </c>
      <c r="AT439">
        <v>26</v>
      </c>
      <c r="AU439">
        <v>0</v>
      </c>
      <c r="AV439">
        <v>0</v>
      </c>
      <c r="AW439">
        <v>0</v>
      </c>
      <c r="AX439">
        <v>0</v>
      </c>
      <c r="AY439">
        <v>0</v>
      </c>
    </row>
    <row r="440" spans="1:51" x14ac:dyDescent="0.25">
      <c r="A440">
        <v>145</v>
      </c>
      <c r="B440">
        <v>26660</v>
      </c>
      <c r="C440" t="s">
        <v>735</v>
      </c>
      <c r="D440" t="s">
        <v>96</v>
      </c>
      <c r="E440" t="s">
        <v>190</v>
      </c>
      <c r="F440" t="s">
        <v>107</v>
      </c>
      <c r="G440" t="s">
        <v>101</v>
      </c>
      <c r="H440" t="s">
        <v>78</v>
      </c>
      <c r="I440" t="s">
        <v>79</v>
      </c>
      <c r="J440" t="s">
        <v>70</v>
      </c>
      <c r="K440" t="s">
        <v>75</v>
      </c>
      <c r="L440" t="s">
        <v>205</v>
      </c>
      <c r="M440" t="s">
        <v>149</v>
      </c>
      <c r="N440" t="s">
        <v>74</v>
      </c>
      <c r="O440" t="s">
        <v>187</v>
      </c>
      <c r="P440" t="s">
        <v>71</v>
      </c>
      <c r="Q440" t="s">
        <v>110</v>
      </c>
      <c r="R440" t="s">
        <v>71</v>
      </c>
      <c r="S440">
        <v>1</v>
      </c>
      <c r="T440">
        <v>0</v>
      </c>
      <c r="U440" t="s">
        <v>72</v>
      </c>
      <c r="V440" t="s">
        <v>192</v>
      </c>
      <c r="W440">
        <v>0</v>
      </c>
      <c r="X440">
        <v>1</v>
      </c>
      <c r="Y440">
        <v>0</v>
      </c>
      <c r="Z440">
        <v>0</v>
      </c>
      <c r="AA440">
        <v>0</v>
      </c>
      <c r="AB440">
        <v>0</v>
      </c>
      <c r="AC440">
        <v>0</v>
      </c>
      <c r="AD440">
        <v>0</v>
      </c>
      <c r="AE440">
        <v>0</v>
      </c>
      <c r="AF440">
        <v>0</v>
      </c>
      <c r="AG440" t="s">
        <v>71</v>
      </c>
      <c r="AH440">
        <v>0</v>
      </c>
      <c r="AI440">
        <v>0</v>
      </c>
      <c r="AJ440">
        <v>0</v>
      </c>
      <c r="AK440">
        <v>0</v>
      </c>
      <c r="AL440" t="s">
        <v>176</v>
      </c>
      <c r="AM440" t="s">
        <v>254</v>
      </c>
      <c r="AN440" t="s">
        <v>148</v>
      </c>
      <c r="AO440" t="s">
        <v>147</v>
      </c>
      <c r="AP440">
        <v>2946</v>
      </c>
      <c r="AQ440">
        <v>0</v>
      </c>
      <c r="AR440">
        <v>0</v>
      </c>
      <c r="AS440">
        <v>0</v>
      </c>
      <c r="AT440">
        <v>0</v>
      </c>
      <c r="AU440">
        <v>0</v>
      </c>
      <c r="AV440">
        <v>0</v>
      </c>
      <c r="AW440">
        <v>0</v>
      </c>
      <c r="AX440">
        <v>0</v>
      </c>
      <c r="AY440">
        <v>0</v>
      </c>
    </row>
    <row r="441" spans="1:51" x14ac:dyDescent="0.25">
      <c r="A441">
        <v>146</v>
      </c>
      <c r="B441">
        <v>26670</v>
      </c>
      <c r="C441" t="s">
        <v>735</v>
      </c>
      <c r="D441" t="s">
        <v>96</v>
      </c>
      <c r="E441" t="s">
        <v>100</v>
      </c>
      <c r="F441" t="s">
        <v>107</v>
      </c>
      <c r="G441" t="s">
        <v>77</v>
      </c>
      <c r="H441" t="s">
        <v>78</v>
      </c>
      <c r="I441" t="s">
        <v>79</v>
      </c>
      <c r="J441" t="s">
        <v>70</v>
      </c>
      <c r="K441" t="s">
        <v>75</v>
      </c>
      <c r="L441" t="s">
        <v>203</v>
      </c>
      <c r="M441" t="s">
        <v>103</v>
      </c>
      <c r="N441" t="s">
        <v>74</v>
      </c>
      <c r="O441" t="s">
        <v>187</v>
      </c>
      <c r="P441" t="s">
        <v>71</v>
      </c>
      <c r="Q441" t="s">
        <v>110</v>
      </c>
      <c r="R441" t="s">
        <v>71</v>
      </c>
      <c r="S441">
        <v>1</v>
      </c>
      <c r="T441">
        <v>0</v>
      </c>
      <c r="U441" t="s">
        <v>72</v>
      </c>
      <c r="V441" t="s">
        <v>188</v>
      </c>
      <c r="W441">
        <v>0</v>
      </c>
      <c r="X441">
        <v>1</v>
      </c>
      <c r="Y441">
        <v>1</v>
      </c>
      <c r="Z441">
        <v>10</v>
      </c>
      <c r="AA441">
        <v>1</v>
      </c>
      <c r="AB441">
        <v>10</v>
      </c>
      <c r="AC441">
        <v>1</v>
      </c>
      <c r="AD441">
        <v>10</v>
      </c>
      <c r="AE441">
        <v>1</v>
      </c>
      <c r="AF441">
        <v>10</v>
      </c>
      <c r="AG441" t="s">
        <v>71</v>
      </c>
      <c r="AH441">
        <v>0</v>
      </c>
      <c r="AI441">
        <v>0</v>
      </c>
      <c r="AJ441">
        <v>0</v>
      </c>
      <c r="AK441">
        <v>0</v>
      </c>
      <c r="AL441" t="s">
        <v>176</v>
      </c>
      <c r="AM441" t="s">
        <v>254</v>
      </c>
      <c r="AN441" t="s">
        <v>148</v>
      </c>
      <c r="AO441" t="s">
        <v>147</v>
      </c>
      <c r="AP441">
        <v>1</v>
      </c>
      <c r="AQ441">
        <v>0</v>
      </c>
      <c r="AR441">
        <v>0</v>
      </c>
      <c r="AS441">
        <v>0</v>
      </c>
      <c r="AT441">
        <v>0</v>
      </c>
      <c r="AU441">
        <v>0</v>
      </c>
      <c r="AV441">
        <v>0</v>
      </c>
      <c r="AW441">
        <v>0</v>
      </c>
      <c r="AX441">
        <v>0</v>
      </c>
      <c r="AY441">
        <v>0</v>
      </c>
    </row>
    <row r="442" spans="1:51" x14ac:dyDescent="0.25">
      <c r="A442">
        <v>147</v>
      </c>
      <c r="B442">
        <v>26680</v>
      </c>
      <c r="C442" t="s">
        <v>735</v>
      </c>
      <c r="D442" t="s">
        <v>96</v>
      </c>
      <c r="E442" t="s">
        <v>100</v>
      </c>
      <c r="F442" t="s">
        <v>107</v>
      </c>
      <c r="G442" t="s">
        <v>101</v>
      </c>
      <c r="H442" t="s">
        <v>180</v>
      </c>
      <c r="I442" t="s">
        <v>195</v>
      </c>
      <c r="J442" t="s">
        <v>70</v>
      </c>
      <c r="K442" t="s">
        <v>75</v>
      </c>
      <c r="L442" t="s">
        <v>76</v>
      </c>
      <c r="M442" t="s">
        <v>149</v>
      </c>
      <c r="N442" t="s">
        <v>74</v>
      </c>
      <c r="O442" t="s">
        <v>187</v>
      </c>
      <c r="P442" t="s">
        <v>71</v>
      </c>
      <c r="Q442" t="s">
        <v>71</v>
      </c>
      <c r="R442" t="s">
        <v>71</v>
      </c>
      <c r="S442">
        <v>1</v>
      </c>
      <c r="T442">
        <v>1</v>
      </c>
      <c r="U442" t="s">
        <v>72</v>
      </c>
      <c r="V442" t="s">
        <v>73</v>
      </c>
      <c r="W442">
        <v>0</v>
      </c>
      <c r="X442">
        <v>1</v>
      </c>
      <c r="Y442">
        <v>0</v>
      </c>
      <c r="Z442">
        <v>0</v>
      </c>
      <c r="AA442">
        <v>0</v>
      </c>
      <c r="AB442">
        <v>0</v>
      </c>
      <c r="AC442">
        <v>0</v>
      </c>
      <c r="AD442">
        <v>0</v>
      </c>
      <c r="AE442">
        <v>0</v>
      </c>
      <c r="AF442">
        <v>0</v>
      </c>
      <c r="AG442" t="s">
        <v>71</v>
      </c>
      <c r="AH442">
        <v>0</v>
      </c>
      <c r="AI442">
        <v>0</v>
      </c>
      <c r="AJ442">
        <v>0</v>
      </c>
      <c r="AK442">
        <v>0</v>
      </c>
      <c r="AL442" t="s">
        <v>176</v>
      </c>
      <c r="AM442" t="s">
        <v>254</v>
      </c>
      <c r="AN442" t="s">
        <v>148</v>
      </c>
      <c r="AO442" t="s">
        <v>147</v>
      </c>
      <c r="AP442">
        <v>34830</v>
      </c>
      <c r="AQ442">
        <v>0</v>
      </c>
      <c r="AR442">
        <v>0</v>
      </c>
      <c r="AS442">
        <v>0</v>
      </c>
      <c r="AT442">
        <v>0</v>
      </c>
      <c r="AU442">
        <v>0</v>
      </c>
      <c r="AV442">
        <v>0</v>
      </c>
      <c r="AW442">
        <v>0</v>
      </c>
      <c r="AX442">
        <v>0</v>
      </c>
      <c r="AY442">
        <v>0</v>
      </c>
    </row>
    <row r="443" spans="1:51" x14ac:dyDescent="0.25">
      <c r="A443">
        <v>148</v>
      </c>
      <c r="B443">
        <v>26690</v>
      </c>
      <c r="C443" t="s">
        <v>735</v>
      </c>
      <c r="D443" t="s">
        <v>96</v>
      </c>
      <c r="E443" t="s">
        <v>100</v>
      </c>
      <c r="F443" t="s">
        <v>107</v>
      </c>
      <c r="G443" t="s">
        <v>77</v>
      </c>
      <c r="H443" t="s">
        <v>78</v>
      </c>
      <c r="I443" t="s">
        <v>79</v>
      </c>
      <c r="J443" t="s">
        <v>70</v>
      </c>
      <c r="K443" t="s">
        <v>75</v>
      </c>
      <c r="L443" t="s">
        <v>76</v>
      </c>
      <c r="M443" t="s">
        <v>177</v>
      </c>
      <c r="N443" t="s">
        <v>74</v>
      </c>
      <c r="O443" t="s">
        <v>187</v>
      </c>
      <c r="P443" t="s">
        <v>71</v>
      </c>
      <c r="Q443" t="s">
        <v>71</v>
      </c>
      <c r="R443" t="s">
        <v>71</v>
      </c>
      <c r="S443">
        <v>1</v>
      </c>
      <c r="T443">
        <v>1</v>
      </c>
      <c r="U443" t="s">
        <v>72</v>
      </c>
      <c r="V443" t="s">
        <v>73</v>
      </c>
      <c r="W443">
        <v>0</v>
      </c>
      <c r="X443">
        <v>1</v>
      </c>
      <c r="Y443">
        <v>0</v>
      </c>
      <c r="Z443">
        <v>0</v>
      </c>
      <c r="AA443">
        <v>0</v>
      </c>
      <c r="AB443">
        <v>0</v>
      </c>
      <c r="AC443">
        <v>0</v>
      </c>
      <c r="AD443">
        <v>0</v>
      </c>
      <c r="AE443">
        <v>0</v>
      </c>
      <c r="AF443">
        <v>0</v>
      </c>
      <c r="AG443" t="s">
        <v>71</v>
      </c>
      <c r="AH443">
        <v>0</v>
      </c>
      <c r="AI443">
        <v>0</v>
      </c>
      <c r="AJ443">
        <v>0</v>
      </c>
      <c r="AK443">
        <v>0</v>
      </c>
      <c r="AL443" t="s">
        <v>176</v>
      </c>
      <c r="AM443" t="s">
        <v>254</v>
      </c>
      <c r="AN443" t="s">
        <v>148</v>
      </c>
      <c r="AO443" t="s">
        <v>147</v>
      </c>
      <c r="AP443">
        <v>34816</v>
      </c>
      <c r="AQ443">
        <v>0</v>
      </c>
      <c r="AR443">
        <v>0</v>
      </c>
      <c r="AS443">
        <v>0</v>
      </c>
      <c r="AT443">
        <v>0</v>
      </c>
      <c r="AU443">
        <v>0</v>
      </c>
      <c r="AV443">
        <v>0</v>
      </c>
      <c r="AW443">
        <v>0</v>
      </c>
      <c r="AX443">
        <v>0</v>
      </c>
      <c r="AY443">
        <v>0</v>
      </c>
    </row>
    <row r="444" spans="1:51" x14ac:dyDescent="0.25">
      <c r="A444">
        <v>149</v>
      </c>
      <c r="B444">
        <v>26700</v>
      </c>
      <c r="C444" t="s">
        <v>735</v>
      </c>
      <c r="D444" t="s">
        <v>96</v>
      </c>
      <c r="E444" t="s">
        <v>100</v>
      </c>
      <c r="F444" t="s">
        <v>107</v>
      </c>
      <c r="G444" t="s">
        <v>101</v>
      </c>
      <c r="H444" t="s">
        <v>78</v>
      </c>
      <c r="I444" t="s">
        <v>79</v>
      </c>
      <c r="J444" t="s">
        <v>119</v>
      </c>
      <c r="K444" t="s">
        <v>75</v>
      </c>
      <c r="L444" t="s">
        <v>76</v>
      </c>
      <c r="M444" t="s">
        <v>149</v>
      </c>
      <c r="N444" t="s">
        <v>74</v>
      </c>
      <c r="O444" t="s">
        <v>187</v>
      </c>
      <c r="P444" t="s">
        <v>71</v>
      </c>
      <c r="Q444" t="s">
        <v>110</v>
      </c>
      <c r="R444" t="s">
        <v>71</v>
      </c>
      <c r="S444">
        <v>1</v>
      </c>
      <c r="T444">
        <v>1</v>
      </c>
      <c r="U444" t="s">
        <v>72</v>
      </c>
      <c r="V444" t="s">
        <v>73</v>
      </c>
      <c r="W444">
        <v>0</v>
      </c>
      <c r="X444">
        <v>1</v>
      </c>
      <c r="Y444">
        <v>0</v>
      </c>
      <c r="Z444">
        <v>0</v>
      </c>
      <c r="AA444">
        <v>0</v>
      </c>
      <c r="AB444">
        <v>0</v>
      </c>
      <c r="AC444">
        <v>0</v>
      </c>
      <c r="AD444">
        <v>0</v>
      </c>
      <c r="AE444">
        <v>0</v>
      </c>
      <c r="AF444">
        <v>0</v>
      </c>
      <c r="AG444" t="s">
        <v>71</v>
      </c>
      <c r="AH444">
        <v>0</v>
      </c>
      <c r="AI444">
        <v>0</v>
      </c>
      <c r="AJ444">
        <v>0</v>
      </c>
      <c r="AK444">
        <v>0</v>
      </c>
      <c r="AL444" t="s">
        <v>176</v>
      </c>
      <c r="AM444" t="s">
        <v>254</v>
      </c>
      <c r="AN444" t="s">
        <v>148</v>
      </c>
      <c r="AO444" t="s">
        <v>147</v>
      </c>
      <c r="AP444">
        <v>2050</v>
      </c>
      <c r="AQ444">
        <v>0</v>
      </c>
      <c r="AR444">
        <v>0</v>
      </c>
      <c r="AS444">
        <v>0</v>
      </c>
      <c r="AT444">
        <v>2</v>
      </c>
      <c r="AU444">
        <v>0</v>
      </c>
      <c r="AV444">
        <v>0</v>
      </c>
      <c r="AW444">
        <v>0</v>
      </c>
      <c r="AX444">
        <v>0</v>
      </c>
      <c r="AY444">
        <v>0</v>
      </c>
    </row>
    <row r="445" spans="1:51" x14ac:dyDescent="0.25">
      <c r="A445">
        <v>150</v>
      </c>
      <c r="B445">
        <v>26710</v>
      </c>
      <c r="C445" t="s">
        <v>735</v>
      </c>
      <c r="D445" t="s">
        <v>96</v>
      </c>
      <c r="E445" t="s">
        <v>100</v>
      </c>
      <c r="F445" t="s">
        <v>107</v>
      </c>
      <c r="G445" t="s">
        <v>77</v>
      </c>
      <c r="H445" t="s">
        <v>78</v>
      </c>
      <c r="I445" t="s">
        <v>79</v>
      </c>
      <c r="J445" t="s">
        <v>152</v>
      </c>
      <c r="K445" t="s">
        <v>75</v>
      </c>
      <c r="L445" t="s">
        <v>76</v>
      </c>
      <c r="M445" t="s">
        <v>149</v>
      </c>
      <c r="N445" t="s">
        <v>74</v>
      </c>
      <c r="O445" t="s">
        <v>187</v>
      </c>
      <c r="P445" t="s">
        <v>71</v>
      </c>
      <c r="Q445" t="s">
        <v>299</v>
      </c>
      <c r="R445" t="s">
        <v>71</v>
      </c>
      <c r="S445">
        <v>1</v>
      </c>
      <c r="T445">
        <v>1</v>
      </c>
      <c r="U445" t="s">
        <v>72</v>
      </c>
      <c r="V445" t="s">
        <v>73</v>
      </c>
      <c r="W445">
        <v>0</v>
      </c>
      <c r="X445">
        <v>1</v>
      </c>
      <c r="Y445">
        <v>0</v>
      </c>
      <c r="Z445">
        <v>0</v>
      </c>
      <c r="AA445">
        <v>0</v>
      </c>
      <c r="AB445">
        <v>0</v>
      </c>
      <c r="AC445">
        <v>0</v>
      </c>
      <c r="AD445">
        <v>0</v>
      </c>
      <c r="AE445">
        <v>0</v>
      </c>
      <c r="AF445">
        <v>0</v>
      </c>
      <c r="AG445" t="s">
        <v>71</v>
      </c>
      <c r="AH445">
        <v>0</v>
      </c>
      <c r="AI445">
        <v>0</v>
      </c>
      <c r="AJ445">
        <v>0</v>
      </c>
      <c r="AK445">
        <v>0</v>
      </c>
      <c r="AL445" t="s">
        <v>176</v>
      </c>
      <c r="AM445" t="s">
        <v>254</v>
      </c>
      <c r="AN445" t="s">
        <v>148</v>
      </c>
      <c r="AO445" t="s">
        <v>147</v>
      </c>
      <c r="AP445">
        <v>34816</v>
      </c>
      <c r="AQ445">
        <v>0</v>
      </c>
      <c r="AR445">
        <v>0</v>
      </c>
      <c r="AS445">
        <v>0</v>
      </c>
      <c r="AT445">
        <v>128</v>
      </c>
      <c r="AU445">
        <v>0</v>
      </c>
      <c r="AV445">
        <v>0</v>
      </c>
      <c r="AW445">
        <v>0</v>
      </c>
      <c r="AX445">
        <v>0</v>
      </c>
      <c r="AY445">
        <v>0</v>
      </c>
    </row>
    <row r="446" spans="1:51" x14ac:dyDescent="0.25">
      <c r="A446">
        <v>150</v>
      </c>
      <c r="B446">
        <v>26720</v>
      </c>
      <c r="C446" t="s">
        <v>735</v>
      </c>
      <c r="D446" t="s">
        <v>96</v>
      </c>
      <c r="E446" t="s">
        <v>100</v>
      </c>
      <c r="F446" t="s">
        <v>107</v>
      </c>
      <c r="G446" t="s">
        <v>77</v>
      </c>
      <c r="H446" t="s">
        <v>78</v>
      </c>
      <c r="I446" t="s">
        <v>79</v>
      </c>
      <c r="J446" t="s">
        <v>150</v>
      </c>
      <c r="K446" t="s">
        <v>75</v>
      </c>
      <c r="L446" t="s">
        <v>76</v>
      </c>
      <c r="M446" t="s">
        <v>149</v>
      </c>
      <c r="N446" t="s">
        <v>74</v>
      </c>
      <c r="O446" t="s">
        <v>187</v>
      </c>
      <c r="P446" t="s">
        <v>71</v>
      </c>
      <c r="Q446" t="s">
        <v>299</v>
      </c>
      <c r="R446" t="s">
        <v>71</v>
      </c>
      <c r="S446">
        <v>1</v>
      </c>
      <c r="T446">
        <v>1</v>
      </c>
      <c r="U446" t="s">
        <v>72</v>
      </c>
      <c r="V446" t="s">
        <v>73</v>
      </c>
      <c r="W446">
        <v>0</v>
      </c>
      <c r="X446">
        <v>1</v>
      </c>
      <c r="Y446">
        <v>0</v>
      </c>
      <c r="Z446">
        <v>0</v>
      </c>
      <c r="AA446">
        <v>0</v>
      </c>
      <c r="AB446">
        <v>0</v>
      </c>
      <c r="AC446">
        <v>0</v>
      </c>
      <c r="AD446">
        <v>0</v>
      </c>
      <c r="AE446">
        <v>0</v>
      </c>
      <c r="AF446">
        <v>0</v>
      </c>
      <c r="AG446" t="s">
        <v>71</v>
      </c>
      <c r="AH446">
        <v>0</v>
      </c>
      <c r="AI446">
        <v>0</v>
      </c>
      <c r="AJ446">
        <v>0</v>
      </c>
      <c r="AK446">
        <v>0</v>
      </c>
      <c r="AL446" t="s">
        <v>176</v>
      </c>
      <c r="AM446" t="s">
        <v>254</v>
      </c>
      <c r="AN446" t="s">
        <v>148</v>
      </c>
      <c r="AO446" t="s">
        <v>147</v>
      </c>
      <c r="AP446">
        <v>34816</v>
      </c>
      <c r="AQ446">
        <v>0</v>
      </c>
      <c r="AR446">
        <v>0</v>
      </c>
      <c r="AS446">
        <v>0</v>
      </c>
      <c r="AT446">
        <v>128</v>
      </c>
      <c r="AU446">
        <v>0</v>
      </c>
      <c r="AV446">
        <v>0</v>
      </c>
      <c r="AW446">
        <v>0</v>
      </c>
      <c r="AX446">
        <v>0</v>
      </c>
      <c r="AY446">
        <v>0</v>
      </c>
    </row>
    <row r="447" spans="1:51" x14ac:dyDescent="0.25">
      <c r="A447">
        <v>151</v>
      </c>
      <c r="B447">
        <v>26730</v>
      </c>
      <c r="C447" t="s">
        <v>735</v>
      </c>
      <c r="D447" t="s">
        <v>96</v>
      </c>
      <c r="E447" t="s">
        <v>100</v>
      </c>
      <c r="F447" t="s">
        <v>107</v>
      </c>
      <c r="G447" t="s">
        <v>77</v>
      </c>
      <c r="H447" t="s">
        <v>78</v>
      </c>
      <c r="I447" t="s">
        <v>79</v>
      </c>
      <c r="J447" t="s">
        <v>70</v>
      </c>
      <c r="K447" t="s">
        <v>75</v>
      </c>
      <c r="L447" t="s">
        <v>203</v>
      </c>
      <c r="M447" t="s">
        <v>103</v>
      </c>
      <c r="N447" t="s">
        <v>74</v>
      </c>
      <c r="O447" t="s">
        <v>187</v>
      </c>
      <c r="P447" t="s">
        <v>71</v>
      </c>
      <c r="Q447" t="s">
        <v>71</v>
      </c>
      <c r="R447" t="s">
        <v>71</v>
      </c>
      <c r="S447">
        <v>1</v>
      </c>
      <c r="T447">
        <v>1</v>
      </c>
      <c r="U447" t="s">
        <v>72</v>
      </c>
      <c r="V447" t="s">
        <v>188</v>
      </c>
      <c r="W447">
        <v>0</v>
      </c>
      <c r="X447">
        <v>1</v>
      </c>
      <c r="Y447">
        <v>0</v>
      </c>
      <c r="Z447">
        <v>0</v>
      </c>
      <c r="AA447">
        <v>0</v>
      </c>
      <c r="AB447">
        <v>0</v>
      </c>
      <c r="AC447">
        <v>0</v>
      </c>
      <c r="AD447">
        <v>0</v>
      </c>
      <c r="AE447">
        <v>0</v>
      </c>
      <c r="AF447">
        <v>0</v>
      </c>
      <c r="AG447" t="s">
        <v>71</v>
      </c>
      <c r="AH447">
        <v>0</v>
      </c>
      <c r="AI447">
        <v>0</v>
      </c>
      <c r="AJ447">
        <v>0</v>
      </c>
      <c r="AK447">
        <v>0</v>
      </c>
      <c r="AL447" t="s">
        <v>176</v>
      </c>
      <c r="AM447" t="s">
        <v>254</v>
      </c>
      <c r="AN447" t="s">
        <v>148</v>
      </c>
      <c r="AO447" t="s">
        <v>147</v>
      </c>
      <c r="AP447">
        <v>32768</v>
      </c>
      <c r="AQ447">
        <v>0</v>
      </c>
      <c r="AR447">
        <v>0</v>
      </c>
      <c r="AS447">
        <v>0</v>
      </c>
      <c r="AT447">
        <v>144</v>
      </c>
      <c r="AU447">
        <v>0</v>
      </c>
      <c r="AV447">
        <v>0</v>
      </c>
      <c r="AW447">
        <v>0</v>
      </c>
      <c r="AX447">
        <v>0</v>
      </c>
      <c r="AY447">
        <v>0</v>
      </c>
    </row>
    <row r="448" spans="1:51" x14ac:dyDescent="0.25">
      <c r="A448">
        <v>152</v>
      </c>
      <c r="B448">
        <v>26740</v>
      </c>
      <c r="C448" t="s">
        <v>735</v>
      </c>
      <c r="D448" t="s">
        <v>96</v>
      </c>
      <c r="E448" t="s">
        <v>100</v>
      </c>
      <c r="F448" t="s">
        <v>107</v>
      </c>
      <c r="G448" t="s">
        <v>77</v>
      </c>
      <c r="H448" t="s">
        <v>78</v>
      </c>
      <c r="I448" t="s">
        <v>79</v>
      </c>
      <c r="J448" t="s">
        <v>70</v>
      </c>
      <c r="K448" t="s">
        <v>75</v>
      </c>
      <c r="L448" t="s">
        <v>203</v>
      </c>
      <c r="M448" t="s">
        <v>103</v>
      </c>
      <c r="N448" t="s">
        <v>74</v>
      </c>
      <c r="O448" t="s">
        <v>187</v>
      </c>
      <c r="P448" t="s">
        <v>71</v>
      </c>
      <c r="Q448" t="s">
        <v>110</v>
      </c>
      <c r="R448" t="s">
        <v>71</v>
      </c>
      <c r="S448">
        <v>1</v>
      </c>
      <c r="T448">
        <v>1</v>
      </c>
      <c r="U448" t="s">
        <v>72</v>
      </c>
      <c r="V448" t="s">
        <v>188</v>
      </c>
      <c r="W448">
        <v>0</v>
      </c>
      <c r="X448">
        <v>1</v>
      </c>
      <c r="Y448">
        <v>0</v>
      </c>
      <c r="Z448">
        <v>0</v>
      </c>
      <c r="AA448">
        <v>0</v>
      </c>
      <c r="AB448">
        <v>0</v>
      </c>
      <c r="AC448">
        <v>0</v>
      </c>
      <c r="AD448">
        <v>0</v>
      </c>
      <c r="AE448">
        <v>0</v>
      </c>
      <c r="AF448">
        <v>0</v>
      </c>
      <c r="AG448" t="s">
        <v>71</v>
      </c>
      <c r="AH448">
        <v>0</v>
      </c>
      <c r="AI448">
        <v>0</v>
      </c>
      <c r="AJ448">
        <v>0</v>
      </c>
      <c r="AK448">
        <v>0</v>
      </c>
      <c r="AL448" t="s">
        <v>176</v>
      </c>
      <c r="AM448" t="s">
        <v>254</v>
      </c>
      <c r="AN448" t="s">
        <v>148</v>
      </c>
      <c r="AO448" t="s">
        <v>147</v>
      </c>
      <c r="AP448">
        <v>0</v>
      </c>
      <c r="AQ448">
        <v>0</v>
      </c>
      <c r="AR448">
        <v>0</v>
      </c>
      <c r="AS448">
        <v>0</v>
      </c>
      <c r="AT448">
        <v>0</v>
      </c>
      <c r="AU448">
        <v>0</v>
      </c>
      <c r="AV448">
        <v>0</v>
      </c>
      <c r="AW448">
        <v>0</v>
      </c>
      <c r="AX448">
        <v>0</v>
      </c>
      <c r="AY448">
        <v>0</v>
      </c>
    </row>
    <row r="449" spans="1:51" x14ac:dyDescent="0.25">
      <c r="A449">
        <v>153</v>
      </c>
      <c r="B449">
        <v>26750</v>
      </c>
      <c r="C449" t="s">
        <v>735</v>
      </c>
      <c r="D449" t="s">
        <v>96</v>
      </c>
      <c r="E449" t="s">
        <v>100</v>
      </c>
      <c r="F449" t="s">
        <v>107</v>
      </c>
      <c r="G449" t="s">
        <v>77</v>
      </c>
      <c r="H449" t="s">
        <v>78</v>
      </c>
      <c r="I449" t="s">
        <v>79</v>
      </c>
      <c r="J449" t="s">
        <v>150</v>
      </c>
      <c r="K449" t="s">
        <v>75</v>
      </c>
      <c r="L449" t="s">
        <v>203</v>
      </c>
      <c r="M449" t="s">
        <v>103</v>
      </c>
      <c r="N449" t="s">
        <v>74</v>
      </c>
      <c r="O449" t="s">
        <v>187</v>
      </c>
      <c r="P449" t="s">
        <v>71</v>
      </c>
      <c r="Q449" t="s">
        <v>71</v>
      </c>
      <c r="R449" t="s">
        <v>71</v>
      </c>
      <c r="S449">
        <v>1</v>
      </c>
      <c r="T449">
        <v>1</v>
      </c>
      <c r="U449" t="s">
        <v>72</v>
      </c>
      <c r="V449" t="s">
        <v>188</v>
      </c>
      <c r="W449">
        <v>0</v>
      </c>
      <c r="X449">
        <v>1</v>
      </c>
      <c r="Y449">
        <v>0</v>
      </c>
      <c r="Z449">
        <v>0</v>
      </c>
      <c r="AA449">
        <v>0</v>
      </c>
      <c r="AB449">
        <v>0</v>
      </c>
      <c r="AC449">
        <v>0</v>
      </c>
      <c r="AD449">
        <v>0</v>
      </c>
      <c r="AE449">
        <v>0</v>
      </c>
      <c r="AF449">
        <v>0</v>
      </c>
      <c r="AG449" t="s">
        <v>71</v>
      </c>
      <c r="AH449">
        <v>0</v>
      </c>
      <c r="AI449">
        <v>0</v>
      </c>
      <c r="AJ449">
        <v>0</v>
      </c>
      <c r="AK449">
        <v>0</v>
      </c>
      <c r="AL449" t="s">
        <v>176</v>
      </c>
      <c r="AM449" t="s">
        <v>254</v>
      </c>
      <c r="AN449" t="s">
        <v>148</v>
      </c>
      <c r="AO449" t="s">
        <v>147</v>
      </c>
      <c r="AP449">
        <v>0</v>
      </c>
      <c r="AQ449">
        <v>0</v>
      </c>
      <c r="AR449">
        <v>0</v>
      </c>
      <c r="AS449">
        <v>0</v>
      </c>
      <c r="AT449">
        <v>0</v>
      </c>
      <c r="AU449">
        <v>0</v>
      </c>
      <c r="AV449">
        <v>0</v>
      </c>
      <c r="AW449">
        <v>0</v>
      </c>
      <c r="AX449">
        <v>0</v>
      </c>
      <c r="AY449">
        <v>0</v>
      </c>
    </row>
    <row r="450" spans="1:51" x14ac:dyDescent="0.25">
      <c r="A450">
        <v>154</v>
      </c>
      <c r="B450">
        <v>26760</v>
      </c>
      <c r="C450" t="s">
        <v>735</v>
      </c>
      <c r="D450" t="s">
        <v>96</v>
      </c>
      <c r="E450" t="s">
        <v>100</v>
      </c>
      <c r="F450" t="s">
        <v>107</v>
      </c>
      <c r="G450" t="s">
        <v>77</v>
      </c>
      <c r="H450" t="s">
        <v>78</v>
      </c>
      <c r="I450" t="s">
        <v>79</v>
      </c>
      <c r="J450" t="s">
        <v>70</v>
      </c>
      <c r="K450" t="s">
        <v>75</v>
      </c>
      <c r="L450" t="s">
        <v>203</v>
      </c>
      <c r="M450" t="s">
        <v>103</v>
      </c>
      <c r="N450" t="s">
        <v>74</v>
      </c>
      <c r="O450" t="s">
        <v>187</v>
      </c>
      <c r="P450" t="s">
        <v>71</v>
      </c>
      <c r="Q450" t="s">
        <v>299</v>
      </c>
      <c r="R450" t="s">
        <v>71</v>
      </c>
      <c r="S450">
        <v>1</v>
      </c>
      <c r="T450">
        <v>1</v>
      </c>
      <c r="U450" t="s">
        <v>72</v>
      </c>
      <c r="V450" t="s">
        <v>188</v>
      </c>
      <c r="W450">
        <v>0</v>
      </c>
      <c r="X450">
        <v>1</v>
      </c>
      <c r="Y450">
        <v>0</v>
      </c>
      <c r="Z450">
        <v>0</v>
      </c>
      <c r="AA450">
        <v>0</v>
      </c>
      <c r="AB450">
        <v>0</v>
      </c>
      <c r="AC450">
        <v>0</v>
      </c>
      <c r="AD450">
        <v>0</v>
      </c>
      <c r="AE450">
        <v>0</v>
      </c>
      <c r="AF450">
        <v>0</v>
      </c>
      <c r="AG450" t="s">
        <v>71</v>
      </c>
      <c r="AH450">
        <v>0</v>
      </c>
      <c r="AI450">
        <v>0</v>
      </c>
      <c r="AJ450">
        <v>0</v>
      </c>
      <c r="AK450">
        <v>0</v>
      </c>
      <c r="AL450" t="s">
        <v>176</v>
      </c>
      <c r="AM450" t="s">
        <v>254</v>
      </c>
      <c r="AN450" t="s">
        <v>148</v>
      </c>
      <c r="AO450" t="s">
        <v>147</v>
      </c>
      <c r="AP450">
        <v>0</v>
      </c>
      <c r="AQ450">
        <v>0</v>
      </c>
      <c r="AR450">
        <v>0</v>
      </c>
      <c r="AS450">
        <v>0</v>
      </c>
      <c r="AT450">
        <v>0</v>
      </c>
      <c r="AU450">
        <v>0</v>
      </c>
      <c r="AV450">
        <v>0</v>
      </c>
      <c r="AW450">
        <v>0</v>
      </c>
      <c r="AX450">
        <v>0</v>
      </c>
      <c r="AY450">
        <v>0</v>
      </c>
    </row>
    <row r="451" spans="1:51" x14ac:dyDescent="0.25">
      <c r="A451">
        <v>155</v>
      </c>
      <c r="B451">
        <v>26770</v>
      </c>
      <c r="C451" t="s">
        <v>735</v>
      </c>
      <c r="D451" t="s">
        <v>96</v>
      </c>
      <c r="E451" t="s">
        <v>100</v>
      </c>
      <c r="F451" t="s">
        <v>107</v>
      </c>
      <c r="G451" t="s">
        <v>101</v>
      </c>
      <c r="H451" t="s">
        <v>78</v>
      </c>
      <c r="I451" t="s">
        <v>195</v>
      </c>
      <c r="J451" t="s">
        <v>70</v>
      </c>
      <c r="K451" t="s">
        <v>75</v>
      </c>
      <c r="L451" t="s">
        <v>76</v>
      </c>
      <c r="M451" t="s">
        <v>177</v>
      </c>
      <c r="N451" t="s">
        <v>74</v>
      </c>
      <c r="O451" t="s">
        <v>187</v>
      </c>
      <c r="P451" t="s">
        <v>110</v>
      </c>
      <c r="Q451" t="s">
        <v>110</v>
      </c>
      <c r="R451" t="s">
        <v>71</v>
      </c>
      <c r="S451">
        <v>1</v>
      </c>
      <c r="T451">
        <v>1</v>
      </c>
      <c r="U451" t="s">
        <v>72</v>
      </c>
      <c r="V451" t="s">
        <v>73</v>
      </c>
      <c r="W451">
        <v>0</v>
      </c>
      <c r="X451">
        <v>1</v>
      </c>
      <c r="Y451">
        <v>0</v>
      </c>
      <c r="Z451">
        <v>0</v>
      </c>
      <c r="AA451">
        <v>0</v>
      </c>
      <c r="AB451">
        <v>0</v>
      </c>
      <c r="AC451">
        <v>0</v>
      </c>
      <c r="AD451">
        <v>0</v>
      </c>
      <c r="AE451">
        <v>0</v>
      </c>
      <c r="AF451">
        <v>0</v>
      </c>
      <c r="AG451" t="s">
        <v>71</v>
      </c>
      <c r="AH451">
        <v>0</v>
      </c>
      <c r="AI451">
        <v>0</v>
      </c>
      <c r="AJ451">
        <v>0</v>
      </c>
      <c r="AK451">
        <v>0</v>
      </c>
      <c r="AL451" t="s">
        <v>176</v>
      </c>
      <c r="AM451" t="s">
        <v>254</v>
      </c>
      <c r="AN451" t="s">
        <v>148</v>
      </c>
      <c r="AO451" t="s">
        <v>147</v>
      </c>
      <c r="AP451">
        <v>2058</v>
      </c>
      <c r="AQ451">
        <v>0</v>
      </c>
      <c r="AR451">
        <v>0</v>
      </c>
      <c r="AS451">
        <v>0</v>
      </c>
      <c r="AT451">
        <v>0</v>
      </c>
      <c r="AU451">
        <v>0</v>
      </c>
      <c r="AV451">
        <v>0</v>
      </c>
      <c r="AW451">
        <v>0</v>
      </c>
      <c r="AX451">
        <v>0</v>
      </c>
      <c r="AY451">
        <v>0</v>
      </c>
    </row>
    <row r="452" spans="1:51" x14ac:dyDescent="0.25">
      <c r="A452">
        <v>156</v>
      </c>
      <c r="B452">
        <v>26780</v>
      </c>
      <c r="C452" t="s">
        <v>735</v>
      </c>
      <c r="D452" t="s">
        <v>96</v>
      </c>
      <c r="E452" t="s">
        <v>100</v>
      </c>
      <c r="F452" t="s">
        <v>107</v>
      </c>
      <c r="G452" t="s">
        <v>101</v>
      </c>
      <c r="H452" t="s">
        <v>180</v>
      </c>
      <c r="I452" t="s">
        <v>195</v>
      </c>
      <c r="J452" t="s">
        <v>70</v>
      </c>
      <c r="K452" t="s">
        <v>75</v>
      </c>
      <c r="L452" t="s">
        <v>76</v>
      </c>
      <c r="M452" t="s">
        <v>103</v>
      </c>
      <c r="N452" t="s">
        <v>74</v>
      </c>
      <c r="O452" t="s">
        <v>187</v>
      </c>
      <c r="P452" t="s">
        <v>71</v>
      </c>
      <c r="Q452" t="s">
        <v>71</v>
      </c>
      <c r="R452" t="s">
        <v>71</v>
      </c>
      <c r="S452">
        <v>0</v>
      </c>
      <c r="T452">
        <v>1</v>
      </c>
      <c r="U452" t="s">
        <v>283</v>
      </c>
      <c r="V452" t="s">
        <v>188</v>
      </c>
      <c r="W452">
        <v>0</v>
      </c>
      <c r="X452">
        <v>1</v>
      </c>
      <c r="Y452">
        <v>1</v>
      </c>
      <c r="Z452">
        <v>10</v>
      </c>
      <c r="AA452">
        <v>1</v>
      </c>
      <c r="AB452">
        <v>10</v>
      </c>
      <c r="AC452">
        <v>1</v>
      </c>
      <c r="AD452">
        <v>10</v>
      </c>
      <c r="AE452">
        <v>0</v>
      </c>
      <c r="AF452">
        <v>0</v>
      </c>
      <c r="AG452" t="s">
        <v>71</v>
      </c>
      <c r="AH452">
        <v>0</v>
      </c>
      <c r="AI452">
        <v>0</v>
      </c>
      <c r="AJ452">
        <v>0</v>
      </c>
      <c r="AK452">
        <v>0</v>
      </c>
      <c r="AL452" t="s">
        <v>176</v>
      </c>
      <c r="AM452" t="s">
        <v>254</v>
      </c>
      <c r="AN452" t="s">
        <v>148</v>
      </c>
      <c r="AO452" t="s">
        <v>147</v>
      </c>
      <c r="AP452">
        <v>32895</v>
      </c>
      <c r="AQ452">
        <v>0</v>
      </c>
      <c r="AR452">
        <v>0</v>
      </c>
      <c r="AS452">
        <v>0</v>
      </c>
      <c r="AT452">
        <v>0</v>
      </c>
      <c r="AU452">
        <v>0</v>
      </c>
      <c r="AV452">
        <v>0</v>
      </c>
      <c r="AW452">
        <v>0</v>
      </c>
      <c r="AX452">
        <v>0</v>
      </c>
      <c r="AY452">
        <v>0</v>
      </c>
    </row>
    <row r="453" spans="1:51" x14ac:dyDescent="0.25">
      <c r="A453">
        <v>157</v>
      </c>
      <c r="B453">
        <v>26790</v>
      </c>
      <c r="C453" t="s">
        <v>735</v>
      </c>
      <c r="D453" t="s">
        <v>96</v>
      </c>
      <c r="E453" t="s">
        <v>100</v>
      </c>
      <c r="F453" t="s">
        <v>107</v>
      </c>
      <c r="G453" t="s">
        <v>101</v>
      </c>
      <c r="H453" t="s">
        <v>78</v>
      </c>
      <c r="I453" t="s">
        <v>195</v>
      </c>
      <c r="J453" t="s">
        <v>70</v>
      </c>
      <c r="K453" t="s">
        <v>75</v>
      </c>
      <c r="L453" t="s">
        <v>76</v>
      </c>
      <c r="M453" t="s">
        <v>149</v>
      </c>
      <c r="N453" t="s">
        <v>74</v>
      </c>
      <c r="O453" t="s">
        <v>187</v>
      </c>
      <c r="P453" t="s">
        <v>71</v>
      </c>
      <c r="Q453" t="s">
        <v>71</v>
      </c>
      <c r="R453" t="s">
        <v>71</v>
      </c>
      <c r="S453">
        <v>0</v>
      </c>
      <c r="T453">
        <v>1</v>
      </c>
      <c r="U453" t="s">
        <v>72</v>
      </c>
      <c r="V453" t="s">
        <v>73</v>
      </c>
      <c r="W453">
        <v>0</v>
      </c>
      <c r="X453">
        <v>1</v>
      </c>
      <c r="Y453">
        <v>0</v>
      </c>
      <c r="Z453">
        <v>0</v>
      </c>
      <c r="AA453">
        <v>0</v>
      </c>
      <c r="AB453">
        <v>0</v>
      </c>
      <c r="AC453">
        <v>0</v>
      </c>
      <c r="AD453">
        <v>0</v>
      </c>
      <c r="AE453">
        <v>0</v>
      </c>
      <c r="AF453">
        <v>0</v>
      </c>
      <c r="AG453" t="s">
        <v>71</v>
      </c>
      <c r="AH453">
        <v>0</v>
      </c>
      <c r="AI453">
        <v>0</v>
      </c>
      <c r="AJ453">
        <v>0</v>
      </c>
      <c r="AK453">
        <v>0</v>
      </c>
      <c r="AL453" t="s">
        <v>176</v>
      </c>
      <c r="AM453" t="s">
        <v>254</v>
      </c>
      <c r="AN453" t="s">
        <v>148</v>
      </c>
      <c r="AO453" t="s">
        <v>147</v>
      </c>
      <c r="AP453">
        <v>34826</v>
      </c>
      <c r="AQ453">
        <v>0</v>
      </c>
      <c r="AR453">
        <v>0</v>
      </c>
      <c r="AS453">
        <v>0</v>
      </c>
      <c r="AT453">
        <v>0</v>
      </c>
      <c r="AU453">
        <v>0</v>
      </c>
      <c r="AV453">
        <v>0</v>
      </c>
      <c r="AW453">
        <v>0</v>
      </c>
      <c r="AX453">
        <v>0</v>
      </c>
      <c r="AY453">
        <v>0</v>
      </c>
    </row>
    <row r="454" spans="1:51" x14ac:dyDescent="0.25">
      <c r="A454">
        <v>158</v>
      </c>
      <c r="B454">
        <v>26800</v>
      </c>
      <c r="C454" t="s">
        <v>735</v>
      </c>
      <c r="D454" t="s">
        <v>96</v>
      </c>
      <c r="E454" t="s">
        <v>121</v>
      </c>
      <c r="F454" t="s">
        <v>107</v>
      </c>
      <c r="G454" t="s">
        <v>101</v>
      </c>
      <c r="H454" t="s">
        <v>78</v>
      </c>
      <c r="I454" t="s">
        <v>195</v>
      </c>
      <c r="J454" t="s">
        <v>70</v>
      </c>
      <c r="K454" t="s">
        <v>75</v>
      </c>
      <c r="L454" t="s">
        <v>203</v>
      </c>
      <c r="M454" t="s">
        <v>103</v>
      </c>
      <c r="N454" t="s">
        <v>74</v>
      </c>
      <c r="O454" t="s">
        <v>187</v>
      </c>
      <c r="P454" t="s">
        <v>71</v>
      </c>
      <c r="Q454" t="s">
        <v>71</v>
      </c>
      <c r="R454" t="s">
        <v>71</v>
      </c>
      <c r="S454">
        <v>0</v>
      </c>
      <c r="T454">
        <v>0</v>
      </c>
      <c r="U454" t="s">
        <v>72</v>
      </c>
      <c r="V454" t="s">
        <v>188</v>
      </c>
      <c r="W454">
        <v>0</v>
      </c>
      <c r="X454">
        <v>1</v>
      </c>
      <c r="Y454">
        <v>0</v>
      </c>
      <c r="Z454">
        <v>0</v>
      </c>
      <c r="AA454">
        <v>0</v>
      </c>
      <c r="AB454">
        <v>0</v>
      </c>
      <c r="AC454">
        <v>0</v>
      </c>
      <c r="AD454">
        <v>0</v>
      </c>
      <c r="AE454">
        <v>0</v>
      </c>
      <c r="AF454">
        <v>0</v>
      </c>
      <c r="AG454" t="s">
        <v>71</v>
      </c>
      <c r="AH454">
        <v>0</v>
      </c>
      <c r="AI454">
        <v>0</v>
      </c>
      <c r="AJ454">
        <v>0</v>
      </c>
      <c r="AK454">
        <v>0</v>
      </c>
      <c r="AL454" t="s">
        <v>176</v>
      </c>
      <c r="AM454" t="s">
        <v>254</v>
      </c>
      <c r="AN454" t="s">
        <v>148</v>
      </c>
      <c r="AO454" t="s">
        <v>147</v>
      </c>
      <c r="AP454">
        <v>32842</v>
      </c>
      <c r="AQ454">
        <v>0</v>
      </c>
      <c r="AR454">
        <v>0</v>
      </c>
      <c r="AS454">
        <v>0</v>
      </c>
      <c r="AT454">
        <v>0</v>
      </c>
      <c r="AU454">
        <v>0</v>
      </c>
      <c r="AV454">
        <v>0</v>
      </c>
      <c r="AW454">
        <v>0</v>
      </c>
      <c r="AX454">
        <v>0</v>
      </c>
      <c r="AY454">
        <v>0</v>
      </c>
    </row>
    <row r="455" spans="1:51" x14ac:dyDescent="0.25">
      <c r="A455">
        <v>159</v>
      </c>
      <c r="B455">
        <v>26810</v>
      </c>
      <c r="C455" t="s">
        <v>735</v>
      </c>
      <c r="D455" t="s">
        <v>96</v>
      </c>
      <c r="E455" t="s">
        <v>121</v>
      </c>
      <c r="F455" t="s">
        <v>107</v>
      </c>
      <c r="G455" t="s">
        <v>101</v>
      </c>
      <c r="H455" t="s">
        <v>78</v>
      </c>
      <c r="I455" t="s">
        <v>195</v>
      </c>
      <c r="J455" t="s">
        <v>70</v>
      </c>
      <c r="K455" t="s">
        <v>75</v>
      </c>
      <c r="L455" t="s">
        <v>203</v>
      </c>
      <c r="M455" t="s">
        <v>103</v>
      </c>
      <c r="N455" t="s">
        <v>74</v>
      </c>
      <c r="O455" t="s">
        <v>187</v>
      </c>
      <c r="P455" t="s">
        <v>71</v>
      </c>
      <c r="Q455" t="s">
        <v>71</v>
      </c>
      <c r="R455" t="s">
        <v>71</v>
      </c>
      <c r="S455">
        <v>0</v>
      </c>
      <c r="T455">
        <v>0</v>
      </c>
      <c r="U455" t="s">
        <v>72</v>
      </c>
      <c r="V455" t="s">
        <v>192</v>
      </c>
      <c r="W455">
        <v>0</v>
      </c>
      <c r="X455">
        <v>1</v>
      </c>
      <c r="Y455">
        <v>0</v>
      </c>
      <c r="Z455">
        <v>0</v>
      </c>
      <c r="AA455">
        <v>0</v>
      </c>
      <c r="AB455">
        <v>0</v>
      </c>
      <c r="AC455">
        <v>0</v>
      </c>
      <c r="AD455">
        <v>0</v>
      </c>
      <c r="AE455">
        <v>0</v>
      </c>
      <c r="AF455">
        <v>0</v>
      </c>
      <c r="AG455" t="s">
        <v>71</v>
      </c>
      <c r="AH455">
        <v>0</v>
      </c>
      <c r="AI455">
        <v>0</v>
      </c>
      <c r="AJ455">
        <v>0</v>
      </c>
      <c r="AK455">
        <v>0</v>
      </c>
      <c r="AL455" t="s">
        <v>176</v>
      </c>
      <c r="AM455" t="s">
        <v>254</v>
      </c>
      <c r="AN455" t="s">
        <v>148</v>
      </c>
      <c r="AO455" t="s">
        <v>147</v>
      </c>
      <c r="AP455">
        <v>33674</v>
      </c>
      <c r="AQ455">
        <v>0</v>
      </c>
      <c r="AR455">
        <v>0</v>
      </c>
      <c r="AS455">
        <v>0</v>
      </c>
      <c r="AT455">
        <v>0</v>
      </c>
      <c r="AU455">
        <v>0</v>
      </c>
      <c r="AV455">
        <v>0</v>
      </c>
      <c r="AW455">
        <v>0</v>
      </c>
      <c r="AX455">
        <v>0</v>
      </c>
      <c r="AY455">
        <v>0</v>
      </c>
    </row>
    <row r="456" spans="1:51" x14ac:dyDescent="0.25">
      <c r="A456">
        <v>160</v>
      </c>
      <c r="B456">
        <v>26820</v>
      </c>
      <c r="C456" t="s">
        <v>735</v>
      </c>
      <c r="D456" t="s">
        <v>96</v>
      </c>
      <c r="E456" t="s">
        <v>121</v>
      </c>
      <c r="F456" t="s">
        <v>107</v>
      </c>
      <c r="G456" t="s">
        <v>101</v>
      </c>
      <c r="H456" t="s">
        <v>78</v>
      </c>
      <c r="I456" t="s">
        <v>195</v>
      </c>
      <c r="J456" t="s">
        <v>70</v>
      </c>
      <c r="K456" t="s">
        <v>75</v>
      </c>
      <c r="L456" t="s">
        <v>203</v>
      </c>
      <c r="M456" t="s">
        <v>103</v>
      </c>
      <c r="N456" t="s">
        <v>74</v>
      </c>
      <c r="O456" t="s">
        <v>187</v>
      </c>
      <c r="P456" t="s">
        <v>71</v>
      </c>
      <c r="Q456" t="s">
        <v>71</v>
      </c>
      <c r="R456" t="s">
        <v>71</v>
      </c>
      <c r="S456">
        <v>0</v>
      </c>
      <c r="T456">
        <v>0</v>
      </c>
      <c r="U456" t="s">
        <v>72</v>
      </c>
      <c r="V456" t="s">
        <v>73</v>
      </c>
      <c r="W456">
        <v>0</v>
      </c>
      <c r="X456">
        <v>1</v>
      </c>
      <c r="Y456">
        <v>0</v>
      </c>
      <c r="Z456">
        <v>0</v>
      </c>
      <c r="AA456">
        <v>0</v>
      </c>
      <c r="AB456">
        <v>0</v>
      </c>
      <c r="AC456">
        <v>0</v>
      </c>
      <c r="AD456">
        <v>0</v>
      </c>
      <c r="AE456">
        <v>0</v>
      </c>
      <c r="AF456">
        <v>0</v>
      </c>
      <c r="AG456" t="s">
        <v>71</v>
      </c>
      <c r="AH456">
        <v>0</v>
      </c>
      <c r="AI456">
        <v>0</v>
      </c>
      <c r="AJ456">
        <v>0</v>
      </c>
      <c r="AK456">
        <v>0</v>
      </c>
      <c r="AL456" t="s">
        <v>176</v>
      </c>
      <c r="AM456" t="s">
        <v>254</v>
      </c>
      <c r="AN456" t="s">
        <v>148</v>
      </c>
      <c r="AO456" t="s">
        <v>147</v>
      </c>
      <c r="AP456">
        <v>32778</v>
      </c>
      <c r="AQ456">
        <v>0</v>
      </c>
      <c r="AR456">
        <v>0</v>
      </c>
      <c r="AS456">
        <v>0</v>
      </c>
      <c r="AT456">
        <v>0</v>
      </c>
      <c r="AU456">
        <v>0</v>
      </c>
      <c r="AV456">
        <v>0</v>
      </c>
      <c r="AW456">
        <v>0</v>
      </c>
      <c r="AX456">
        <v>0</v>
      </c>
      <c r="AY456">
        <v>0</v>
      </c>
    </row>
    <row r="457" spans="1:51" x14ac:dyDescent="0.25">
      <c r="A457">
        <v>161</v>
      </c>
      <c r="B457">
        <v>26830</v>
      </c>
      <c r="C457" t="s">
        <v>735</v>
      </c>
      <c r="D457" t="s">
        <v>96</v>
      </c>
      <c r="E457" t="s">
        <v>100</v>
      </c>
      <c r="F457" t="s">
        <v>107</v>
      </c>
      <c r="G457" t="s">
        <v>101</v>
      </c>
      <c r="H457" t="s">
        <v>78</v>
      </c>
      <c r="I457" t="s">
        <v>195</v>
      </c>
      <c r="J457" t="s">
        <v>70</v>
      </c>
      <c r="K457" t="s">
        <v>75</v>
      </c>
      <c r="L457" t="s">
        <v>76</v>
      </c>
      <c r="M457" t="s">
        <v>103</v>
      </c>
      <c r="N457" t="s">
        <v>74</v>
      </c>
      <c r="O457" t="s">
        <v>187</v>
      </c>
      <c r="P457" t="s">
        <v>71</v>
      </c>
      <c r="Q457" t="s">
        <v>110</v>
      </c>
      <c r="R457" t="s">
        <v>71</v>
      </c>
      <c r="S457">
        <v>1</v>
      </c>
      <c r="T457">
        <v>1</v>
      </c>
      <c r="U457" t="s">
        <v>72</v>
      </c>
      <c r="V457" t="s">
        <v>188</v>
      </c>
      <c r="W457">
        <v>0</v>
      </c>
      <c r="X457">
        <v>1</v>
      </c>
      <c r="Y457">
        <v>0</v>
      </c>
      <c r="Z457">
        <v>0</v>
      </c>
      <c r="AA457">
        <v>0</v>
      </c>
      <c r="AB457">
        <v>0</v>
      </c>
      <c r="AC457">
        <v>0</v>
      </c>
      <c r="AD457">
        <v>0</v>
      </c>
      <c r="AE457">
        <v>0</v>
      </c>
      <c r="AF457">
        <v>0</v>
      </c>
      <c r="AG457" t="s">
        <v>71</v>
      </c>
      <c r="AH457">
        <v>0</v>
      </c>
      <c r="AI457">
        <v>0</v>
      </c>
      <c r="AJ457">
        <v>0</v>
      </c>
      <c r="AK457">
        <v>0</v>
      </c>
      <c r="AL457" t="s">
        <v>176</v>
      </c>
      <c r="AM457" t="s">
        <v>254</v>
      </c>
      <c r="AN457" t="s">
        <v>148</v>
      </c>
      <c r="AO457" t="s">
        <v>147</v>
      </c>
      <c r="AP457">
        <v>42</v>
      </c>
      <c r="AQ457">
        <v>0</v>
      </c>
      <c r="AR457">
        <v>0</v>
      </c>
      <c r="AS457">
        <v>0</v>
      </c>
      <c r="AT457">
        <v>0</v>
      </c>
      <c r="AU457">
        <v>0</v>
      </c>
      <c r="AV457">
        <v>0</v>
      </c>
      <c r="AW457">
        <v>0</v>
      </c>
      <c r="AX457">
        <v>0</v>
      </c>
      <c r="AY457">
        <v>0</v>
      </c>
    </row>
    <row r="458" spans="1:51" x14ac:dyDescent="0.25">
      <c r="A458">
        <v>162</v>
      </c>
      <c r="B458">
        <v>26840</v>
      </c>
      <c r="C458" t="s">
        <v>735</v>
      </c>
      <c r="D458" t="s">
        <v>96</v>
      </c>
      <c r="E458" t="s">
        <v>100</v>
      </c>
      <c r="F458" t="s">
        <v>107</v>
      </c>
      <c r="G458" t="s">
        <v>101</v>
      </c>
      <c r="H458" t="s">
        <v>182</v>
      </c>
      <c r="I458" t="s">
        <v>79</v>
      </c>
      <c r="J458" t="s">
        <v>119</v>
      </c>
      <c r="K458" t="s">
        <v>75</v>
      </c>
      <c r="L458" t="s">
        <v>76</v>
      </c>
      <c r="M458" t="s">
        <v>149</v>
      </c>
      <c r="N458" t="s">
        <v>74</v>
      </c>
      <c r="O458" t="s">
        <v>187</v>
      </c>
      <c r="P458" t="s">
        <v>71</v>
      </c>
      <c r="Q458" t="s">
        <v>71</v>
      </c>
      <c r="R458" t="s">
        <v>71</v>
      </c>
      <c r="S458">
        <v>1</v>
      </c>
      <c r="T458">
        <v>1</v>
      </c>
      <c r="U458" t="s">
        <v>72</v>
      </c>
      <c r="V458" t="s">
        <v>188</v>
      </c>
      <c r="W458">
        <v>0</v>
      </c>
      <c r="X458">
        <v>1</v>
      </c>
      <c r="Y458">
        <v>1</v>
      </c>
      <c r="Z458">
        <v>10</v>
      </c>
      <c r="AA458">
        <v>1</v>
      </c>
      <c r="AB458">
        <v>10</v>
      </c>
      <c r="AC458">
        <v>1</v>
      </c>
      <c r="AD458">
        <v>10</v>
      </c>
      <c r="AE458">
        <v>0</v>
      </c>
      <c r="AF458">
        <v>0</v>
      </c>
      <c r="AG458" t="s">
        <v>71</v>
      </c>
      <c r="AH458">
        <v>0</v>
      </c>
      <c r="AI458">
        <v>0</v>
      </c>
      <c r="AJ458">
        <v>0</v>
      </c>
      <c r="AK458">
        <v>0</v>
      </c>
      <c r="AL458" t="s">
        <v>176</v>
      </c>
      <c r="AM458" t="s">
        <v>254</v>
      </c>
      <c r="AN458" t="s">
        <v>148</v>
      </c>
      <c r="AO458" t="s">
        <v>147</v>
      </c>
      <c r="AP458">
        <v>0</v>
      </c>
      <c r="AQ458">
        <v>0</v>
      </c>
      <c r="AR458">
        <v>0</v>
      </c>
      <c r="AS458">
        <v>0</v>
      </c>
      <c r="AT458">
        <v>7</v>
      </c>
      <c r="AU458">
        <v>0</v>
      </c>
      <c r="AV458">
        <v>0</v>
      </c>
      <c r="AW458">
        <v>0</v>
      </c>
      <c r="AX458">
        <v>0</v>
      </c>
      <c r="AY458">
        <v>0</v>
      </c>
    </row>
    <row r="459" spans="1:51" x14ac:dyDescent="0.25">
      <c r="A459">
        <v>163</v>
      </c>
      <c r="B459">
        <v>26850</v>
      </c>
      <c r="C459" t="s">
        <v>735</v>
      </c>
      <c r="D459" t="s">
        <v>96</v>
      </c>
      <c r="E459" t="s">
        <v>100</v>
      </c>
      <c r="F459" t="s">
        <v>107</v>
      </c>
      <c r="G459" t="s">
        <v>77</v>
      </c>
      <c r="H459" t="s">
        <v>78</v>
      </c>
      <c r="I459" t="s">
        <v>195</v>
      </c>
      <c r="J459" t="s">
        <v>70</v>
      </c>
      <c r="K459" t="s">
        <v>75</v>
      </c>
      <c r="L459" t="s">
        <v>76</v>
      </c>
      <c r="M459" t="s">
        <v>103</v>
      </c>
      <c r="N459" t="s">
        <v>74</v>
      </c>
      <c r="O459" t="s">
        <v>187</v>
      </c>
      <c r="P459" t="s">
        <v>71</v>
      </c>
      <c r="Q459" t="s">
        <v>71</v>
      </c>
      <c r="R459" t="s">
        <v>71</v>
      </c>
      <c r="S459">
        <v>1</v>
      </c>
      <c r="T459">
        <v>1</v>
      </c>
      <c r="U459" t="s">
        <v>72</v>
      </c>
      <c r="V459" t="s">
        <v>188</v>
      </c>
      <c r="W459">
        <v>0</v>
      </c>
      <c r="X459">
        <v>1</v>
      </c>
      <c r="Y459">
        <v>0</v>
      </c>
      <c r="Z459">
        <v>0</v>
      </c>
      <c r="AA459">
        <v>0</v>
      </c>
      <c r="AB459">
        <v>0</v>
      </c>
      <c r="AC459">
        <v>0</v>
      </c>
      <c r="AD459">
        <v>0</v>
      </c>
      <c r="AE459">
        <v>0</v>
      </c>
      <c r="AF459">
        <v>0</v>
      </c>
      <c r="AG459" t="s">
        <v>71</v>
      </c>
      <c r="AH459">
        <v>0</v>
      </c>
      <c r="AI459">
        <v>0</v>
      </c>
      <c r="AJ459">
        <v>0</v>
      </c>
      <c r="AK459">
        <v>0</v>
      </c>
      <c r="AL459" t="s">
        <v>176</v>
      </c>
      <c r="AM459" t="s">
        <v>254</v>
      </c>
      <c r="AN459" t="s">
        <v>148</v>
      </c>
      <c r="AO459" t="s">
        <v>147</v>
      </c>
      <c r="AP459">
        <v>0</v>
      </c>
      <c r="AQ459">
        <v>0</v>
      </c>
      <c r="AR459">
        <v>0</v>
      </c>
      <c r="AS459">
        <v>0</v>
      </c>
      <c r="AT459">
        <v>152</v>
      </c>
      <c r="AU459">
        <v>0</v>
      </c>
      <c r="AV459">
        <v>0</v>
      </c>
      <c r="AW459">
        <v>0</v>
      </c>
      <c r="AX459">
        <v>0</v>
      </c>
      <c r="AY459">
        <v>0</v>
      </c>
    </row>
    <row r="460" spans="1:51" x14ac:dyDescent="0.25">
      <c r="A460">
        <v>164</v>
      </c>
      <c r="B460">
        <v>26860</v>
      </c>
      <c r="C460" t="s">
        <v>735</v>
      </c>
      <c r="D460" t="s">
        <v>96</v>
      </c>
      <c r="E460" t="s">
        <v>100</v>
      </c>
      <c r="F460" t="s">
        <v>107</v>
      </c>
      <c r="G460" t="s">
        <v>101</v>
      </c>
      <c r="H460" t="s">
        <v>180</v>
      </c>
      <c r="I460" t="s">
        <v>79</v>
      </c>
      <c r="J460" t="s">
        <v>70</v>
      </c>
      <c r="K460" t="s">
        <v>75</v>
      </c>
      <c r="L460" t="s">
        <v>76</v>
      </c>
      <c r="M460" t="s">
        <v>149</v>
      </c>
      <c r="N460" t="s">
        <v>74</v>
      </c>
      <c r="O460" t="s">
        <v>187</v>
      </c>
      <c r="P460" t="s">
        <v>71</v>
      </c>
      <c r="Q460" t="s">
        <v>71</v>
      </c>
      <c r="R460" t="s">
        <v>71</v>
      </c>
      <c r="S460">
        <v>1</v>
      </c>
      <c r="T460">
        <v>1</v>
      </c>
      <c r="U460" t="s">
        <v>72</v>
      </c>
      <c r="V460" t="s">
        <v>188</v>
      </c>
      <c r="W460">
        <v>0</v>
      </c>
      <c r="X460">
        <v>1</v>
      </c>
      <c r="Y460">
        <v>1</v>
      </c>
      <c r="Z460">
        <v>10</v>
      </c>
      <c r="AA460">
        <v>1</v>
      </c>
      <c r="AB460">
        <v>10</v>
      </c>
      <c r="AC460">
        <v>1</v>
      </c>
      <c r="AD460">
        <v>10</v>
      </c>
      <c r="AE460">
        <v>0</v>
      </c>
      <c r="AF460">
        <v>0</v>
      </c>
      <c r="AG460" t="s">
        <v>71</v>
      </c>
      <c r="AH460">
        <v>0</v>
      </c>
      <c r="AI460">
        <v>0</v>
      </c>
      <c r="AJ460">
        <v>0</v>
      </c>
      <c r="AK460">
        <v>0</v>
      </c>
      <c r="AL460" t="s">
        <v>176</v>
      </c>
      <c r="AM460" t="s">
        <v>254</v>
      </c>
      <c r="AN460" t="s">
        <v>148</v>
      </c>
      <c r="AO460" t="s">
        <v>147</v>
      </c>
      <c r="AP460">
        <v>0</v>
      </c>
      <c r="AQ460">
        <v>0</v>
      </c>
      <c r="AR460">
        <v>0</v>
      </c>
      <c r="AS460">
        <v>0</v>
      </c>
      <c r="AT460">
        <v>135</v>
      </c>
      <c r="AU460">
        <v>0</v>
      </c>
      <c r="AV460">
        <v>0</v>
      </c>
      <c r="AW460">
        <v>0</v>
      </c>
      <c r="AX460">
        <v>0</v>
      </c>
      <c r="AY460">
        <v>0</v>
      </c>
    </row>
    <row r="461" spans="1:51" x14ac:dyDescent="0.25">
      <c r="A461">
        <v>165</v>
      </c>
      <c r="B461">
        <v>26870</v>
      </c>
      <c r="C461" t="s">
        <v>735</v>
      </c>
      <c r="D461" t="s">
        <v>96</v>
      </c>
      <c r="E461" t="s">
        <v>100</v>
      </c>
      <c r="F461" t="s">
        <v>107</v>
      </c>
      <c r="G461" t="s">
        <v>77</v>
      </c>
      <c r="H461" t="s">
        <v>78</v>
      </c>
      <c r="I461" t="s">
        <v>79</v>
      </c>
      <c r="J461" t="s">
        <v>70</v>
      </c>
      <c r="K461" t="s">
        <v>75</v>
      </c>
      <c r="L461" t="s">
        <v>76</v>
      </c>
      <c r="M461" t="s">
        <v>149</v>
      </c>
      <c r="N461" t="s">
        <v>74</v>
      </c>
      <c r="O461" t="s">
        <v>187</v>
      </c>
      <c r="P461" t="s">
        <v>71</v>
      </c>
      <c r="Q461" t="s">
        <v>71</v>
      </c>
      <c r="R461" t="s">
        <v>71</v>
      </c>
      <c r="S461">
        <v>1</v>
      </c>
      <c r="T461">
        <v>1</v>
      </c>
      <c r="U461" t="s">
        <v>72</v>
      </c>
      <c r="V461" t="s">
        <v>188</v>
      </c>
      <c r="W461">
        <v>0</v>
      </c>
      <c r="X461">
        <v>1</v>
      </c>
      <c r="Y461">
        <v>0</v>
      </c>
      <c r="Z461">
        <v>0</v>
      </c>
      <c r="AA461">
        <v>0</v>
      </c>
      <c r="AB461">
        <v>0</v>
      </c>
      <c r="AC461">
        <v>0</v>
      </c>
      <c r="AD461">
        <v>0</v>
      </c>
      <c r="AE461">
        <v>0</v>
      </c>
      <c r="AF461">
        <v>0</v>
      </c>
      <c r="AG461" t="s">
        <v>71</v>
      </c>
      <c r="AH461">
        <v>0</v>
      </c>
      <c r="AI461">
        <v>0</v>
      </c>
      <c r="AJ461">
        <v>0</v>
      </c>
      <c r="AK461">
        <v>0</v>
      </c>
      <c r="AL461" t="s">
        <v>176</v>
      </c>
      <c r="AM461" t="s">
        <v>254</v>
      </c>
      <c r="AN461" t="s">
        <v>148</v>
      </c>
      <c r="AO461" t="s">
        <v>147</v>
      </c>
      <c r="AP461">
        <v>0</v>
      </c>
      <c r="AQ461">
        <v>0</v>
      </c>
      <c r="AR461">
        <v>0</v>
      </c>
      <c r="AS461">
        <v>0</v>
      </c>
      <c r="AT461">
        <v>128</v>
      </c>
      <c r="AU461">
        <v>0</v>
      </c>
      <c r="AV461">
        <v>0</v>
      </c>
      <c r="AW461">
        <v>0</v>
      </c>
      <c r="AX461">
        <v>0</v>
      </c>
      <c r="AY461">
        <v>0</v>
      </c>
    </row>
    <row r="462" spans="1:51" x14ac:dyDescent="0.25">
      <c r="A462">
        <v>166</v>
      </c>
      <c r="B462">
        <v>26880</v>
      </c>
      <c r="C462" t="s">
        <v>735</v>
      </c>
      <c r="D462" t="s">
        <v>96</v>
      </c>
      <c r="E462" t="s">
        <v>100</v>
      </c>
      <c r="F462" t="s">
        <v>107</v>
      </c>
      <c r="G462" t="s">
        <v>77</v>
      </c>
      <c r="H462" t="s">
        <v>78</v>
      </c>
      <c r="I462" t="s">
        <v>79</v>
      </c>
      <c r="J462" t="s">
        <v>70</v>
      </c>
      <c r="K462" t="s">
        <v>75</v>
      </c>
      <c r="L462" t="s">
        <v>76</v>
      </c>
      <c r="M462" t="s">
        <v>149</v>
      </c>
      <c r="N462" t="s">
        <v>74</v>
      </c>
      <c r="O462" t="s">
        <v>187</v>
      </c>
      <c r="P462" t="s">
        <v>71</v>
      </c>
      <c r="Q462" t="s">
        <v>71</v>
      </c>
      <c r="R462" t="s">
        <v>71</v>
      </c>
      <c r="S462">
        <v>1</v>
      </c>
      <c r="T462">
        <v>1</v>
      </c>
      <c r="U462" t="s">
        <v>72</v>
      </c>
      <c r="V462" t="s">
        <v>188</v>
      </c>
      <c r="W462">
        <v>0</v>
      </c>
      <c r="X462">
        <v>1</v>
      </c>
      <c r="Y462">
        <v>0</v>
      </c>
      <c r="Z462">
        <v>0</v>
      </c>
      <c r="AA462">
        <v>0</v>
      </c>
      <c r="AB462">
        <v>0</v>
      </c>
      <c r="AC462">
        <v>0</v>
      </c>
      <c r="AD462">
        <v>0</v>
      </c>
      <c r="AE462">
        <v>0</v>
      </c>
      <c r="AF462">
        <v>0</v>
      </c>
      <c r="AG462" t="s">
        <v>71</v>
      </c>
      <c r="AH462">
        <v>0</v>
      </c>
      <c r="AI462">
        <v>0</v>
      </c>
      <c r="AJ462">
        <v>0</v>
      </c>
      <c r="AK462">
        <v>0</v>
      </c>
      <c r="AL462" t="s">
        <v>176</v>
      </c>
      <c r="AM462" t="s">
        <v>254</v>
      </c>
      <c r="AN462" t="s">
        <v>148</v>
      </c>
      <c r="AO462" t="s">
        <v>147</v>
      </c>
      <c r="AP462">
        <v>0</v>
      </c>
      <c r="AQ462">
        <v>0</v>
      </c>
      <c r="AR462">
        <v>0</v>
      </c>
      <c r="AS462">
        <v>0</v>
      </c>
      <c r="AT462">
        <v>128</v>
      </c>
      <c r="AU462">
        <v>0</v>
      </c>
      <c r="AV462">
        <v>0</v>
      </c>
      <c r="AW462">
        <v>0</v>
      </c>
      <c r="AX462">
        <v>0</v>
      </c>
      <c r="AY462">
        <v>0</v>
      </c>
    </row>
    <row r="463" spans="1:51" x14ac:dyDescent="0.25">
      <c r="A463">
        <v>167</v>
      </c>
      <c r="B463">
        <v>26890</v>
      </c>
      <c r="C463" t="s">
        <v>735</v>
      </c>
      <c r="D463" t="s">
        <v>96</v>
      </c>
      <c r="E463" t="s">
        <v>100</v>
      </c>
      <c r="F463" t="s">
        <v>107</v>
      </c>
      <c r="G463" t="s">
        <v>101</v>
      </c>
      <c r="H463" t="s">
        <v>78</v>
      </c>
      <c r="I463" t="s">
        <v>79</v>
      </c>
      <c r="J463" t="s">
        <v>119</v>
      </c>
      <c r="K463" t="s">
        <v>75</v>
      </c>
      <c r="L463" t="s">
        <v>76</v>
      </c>
      <c r="M463" t="s">
        <v>149</v>
      </c>
      <c r="N463" t="s">
        <v>74</v>
      </c>
      <c r="O463" t="s">
        <v>187</v>
      </c>
      <c r="P463" t="s">
        <v>71</v>
      </c>
      <c r="Q463" t="s">
        <v>110</v>
      </c>
      <c r="R463" t="s">
        <v>71</v>
      </c>
      <c r="S463">
        <v>1</v>
      </c>
      <c r="T463">
        <v>1</v>
      </c>
      <c r="U463" t="s">
        <v>72</v>
      </c>
      <c r="V463" t="s">
        <v>188</v>
      </c>
      <c r="W463">
        <v>0</v>
      </c>
      <c r="X463">
        <v>1</v>
      </c>
      <c r="Y463">
        <v>0</v>
      </c>
      <c r="Z463">
        <v>0</v>
      </c>
      <c r="AA463">
        <v>0</v>
      </c>
      <c r="AB463">
        <v>0</v>
      </c>
      <c r="AC463">
        <v>0</v>
      </c>
      <c r="AD463">
        <v>0</v>
      </c>
      <c r="AE463">
        <v>0</v>
      </c>
      <c r="AF463">
        <v>0</v>
      </c>
      <c r="AG463" t="s">
        <v>71</v>
      </c>
      <c r="AH463">
        <v>0</v>
      </c>
      <c r="AI463">
        <v>0</v>
      </c>
      <c r="AJ463">
        <v>0</v>
      </c>
      <c r="AK463">
        <v>0</v>
      </c>
      <c r="AL463" t="s">
        <v>176</v>
      </c>
      <c r="AM463" t="s">
        <v>254</v>
      </c>
      <c r="AN463" t="s">
        <v>148</v>
      </c>
      <c r="AO463" t="s">
        <v>147</v>
      </c>
      <c r="AP463">
        <v>2082</v>
      </c>
      <c r="AQ463">
        <v>0</v>
      </c>
      <c r="AR463">
        <v>0</v>
      </c>
      <c r="AS463">
        <v>0</v>
      </c>
      <c r="AT463">
        <v>2</v>
      </c>
      <c r="AU463">
        <v>0</v>
      </c>
      <c r="AV463">
        <v>0</v>
      </c>
      <c r="AW463">
        <v>0</v>
      </c>
      <c r="AX463">
        <v>0</v>
      </c>
      <c r="AY463">
        <v>0</v>
      </c>
    </row>
    <row r="464" spans="1:51" x14ac:dyDescent="0.25">
      <c r="A464">
        <v>168</v>
      </c>
      <c r="B464">
        <v>26900</v>
      </c>
      <c r="C464" t="s">
        <v>735</v>
      </c>
      <c r="D464" t="s">
        <v>96</v>
      </c>
      <c r="E464" t="s">
        <v>100</v>
      </c>
      <c r="F464" t="s">
        <v>107</v>
      </c>
      <c r="G464" t="s">
        <v>77</v>
      </c>
      <c r="H464" t="s">
        <v>78</v>
      </c>
      <c r="I464" t="s">
        <v>79</v>
      </c>
      <c r="J464" t="s">
        <v>70</v>
      </c>
      <c r="K464" t="s">
        <v>75</v>
      </c>
      <c r="L464" t="s">
        <v>76</v>
      </c>
      <c r="M464" t="s">
        <v>149</v>
      </c>
      <c r="N464" t="s">
        <v>74</v>
      </c>
      <c r="O464" t="s">
        <v>187</v>
      </c>
      <c r="P464" t="s">
        <v>71</v>
      </c>
      <c r="Q464" t="s">
        <v>110</v>
      </c>
      <c r="R464" t="s">
        <v>71</v>
      </c>
      <c r="S464">
        <v>1</v>
      </c>
      <c r="T464">
        <v>1</v>
      </c>
      <c r="U464" t="s">
        <v>72</v>
      </c>
      <c r="V464" t="s">
        <v>188</v>
      </c>
      <c r="W464">
        <v>0</v>
      </c>
      <c r="X464">
        <v>1</v>
      </c>
      <c r="Y464">
        <v>0</v>
      </c>
      <c r="Z464">
        <v>0</v>
      </c>
      <c r="AA464">
        <v>0</v>
      </c>
      <c r="AB464">
        <v>0</v>
      </c>
      <c r="AC464">
        <v>0</v>
      </c>
      <c r="AD464">
        <v>0</v>
      </c>
      <c r="AE464">
        <v>0</v>
      </c>
      <c r="AF464">
        <v>0</v>
      </c>
      <c r="AG464" t="s">
        <v>71</v>
      </c>
      <c r="AH464">
        <v>0</v>
      </c>
      <c r="AI464">
        <v>0</v>
      </c>
      <c r="AJ464">
        <v>0</v>
      </c>
      <c r="AK464">
        <v>0</v>
      </c>
      <c r="AL464" t="s">
        <v>176</v>
      </c>
      <c r="AM464" t="s">
        <v>254</v>
      </c>
      <c r="AN464" t="s">
        <v>148</v>
      </c>
      <c r="AO464" t="s">
        <v>147</v>
      </c>
      <c r="AP464">
        <v>2080</v>
      </c>
      <c r="AQ464">
        <v>0</v>
      </c>
      <c r="AR464">
        <v>0</v>
      </c>
      <c r="AS464">
        <v>0</v>
      </c>
      <c r="AT464">
        <v>0</v>
      </c>
      <c r="AU464">
        <v>0</v>
      </c>
      <c r="AV464">
        <v>0</v>
      </c>
      <c r="AW464">
        <v>0</v>
      </c>
      <c r="AX464">
        <v>0</v>
      </c>
      <c r="AY464">
        <v>0</v>
      </c>
    </row>
    <row r="465" spans="1:51" x14ac:dyDescent="0.25">
      <c r="A465">
        <v>168</v>
      </c>
      <c r="B465">
        <v>26910</v>
      </c>
      <c r="C465" t="s">
        <v>735</v>
      </c>
      <c r="D465" t="s">
        <v>96</v>
      </c>
      <c r="E465" t="s">
        <v>100</v>
      </c>
      <c r="F465" t="s">
        <v>107</v>
      </c>
      <c r="G465" t="s">
        <v>77</v>
      </c>
      <c r="H465" t="s">
        <v>78</v>
      </c>
      <c r="I465" t="s">
        <v>79</v>
      </c>
      <c r="J465" t="s">
        <v>152</v>
      </c>
      <c r="K465" t="s">
        <v>75</v>
      </c>
      <c r="L465" t="s">
        <v>76</v>
      </c>
      <c r="M465" t="s">
        <v>149</v>
      </c>
      <c r="N465" t="s">
        <v>74</v>
      </c>
      <c r="O465" t="s">
        <v>187</v>
      </c>
      <c r="P465" t="s">
        <v>71</v>
      </c>
      <c r="Q465" t="s">
        <v>71</v>
      </c>
      <c r="R465" t="s">
        <v>71</v>
      </c>
      <c r="S465">
        <v>1</v>
      </c>
      <c r="T465">
        <v>1</v>
      </c>
      <c r="U465" t="s">
        <v>72</v>
      </c>
      <c r="V465" t="s">
        <v>188</v>
      </c>
      <c r="W465">
        <v>0</v>
      </c>
      <c r="X465">
        <v>1</v>
      </c>
      <c r="Y465">
        <v>0</v>
      </c>
      <c r="Z465">
        <v>0</v>
      </c>
      <c r="AA465">
        <v>0</v>
      </c>
      <c r="AB465">
        <v>0</v>
      </c>
      <c r="AC465">
        <v>0</v>
      </c>
      <c r="AD465">
        <v>0</v>
      </c>
      <c r="AE465">
        <v>0</v>
      </c>
      <c r="AF465">
        <v>0</v>
      </c>
      <c r="AG465" t="s">
        <v>71</v>
      </c>
      <c r="AH465">
        <v>0</v>
      </c>
      <c r="AI465">
        <v>0</v>
      </c>
      <c r="AJ465">
        <v>0</v>
      </c>
      <c r="AK465">
        <v>0</v>
      </c>
      <c r="AL465" t="s">
        <v>176</v>
      </c>
      <c r="AM465" t="s">
        <v>254</v>
      </c>
      <c r="AN465" t="s">
        <v>148</v>
      </c>
      <c r="AO465" t="s">
        <v>147</v>
      </c>
      <c r="AP465">
        <v>34848</v>
      </c>
      <c r="AQ465">
        <v>0</v>
      </c>
      <c r="AR465">
        <v>0</v>
      </c>
      <c r="AS465">
        <v>0</v>
      </c>
      <c r="AT465">
        <v>0</v>
      </c>
      <c r="AU465">
        <v>0</v>
      </c>
      <c r="AV465">
        <v>0</v>
      </c>
      <c r="AW465">
        <v>0</v>
      </c>
      <c r="AX465">
        <v>0</v>
      </c>
      <c r="AY465">
        <v>0</v>
      </c>
    </row>
    <row r="466" spans="1:51" x14ac:dyDescent="0.25">
      <c r="A466">
        <v>169</v>
      </c>
      <c r="B466">
        <v>26920</v>
      </c>
      <c r="C466" t="s">
        <v>735</v>
      </c>
      <c r="D466" t="s">
        <v>96</v>
      </c>
      <c r="E466" t="s">
        <v>100</v>
      </c>
      <c r="F466" t="s">
        <v>107</v>
      </c>
      <c r="G466" t="s">
        <v>77</v>
      </c>
      <c r="H466" t="s">
        <v>78</v>
      </c>
      <c r="I466" t="s">
        <v>79</v>
      </c>
      <c r="J466" t="s">
        <v>152</v>
      </c>
      <c r="K466" t="s">
        <v>75</v>
      </c>
      <c r="L466" t="s">
        <v>76</v>
      </c>
      <c r="M466" t="s">
        <v>149</v>
      </c>
      <c r="N466" t="s">
        <v>74</v>
      </c>
      <c r="O466" t="s">
        <v>187</v>
      </c>
      <c r="P466" t="s">
        <v>71</v>
      </c>
      <c r="Q466" t="s">
        <v>71</v>
      </c>
      <c r="R466" t="s">
        <v>110</v>
      </c>
      <c r="S466">
        <v>1</v>
      </c>
      <c r="T466">
        <v>1</v>
      </c>
      <c r="U466" t="s">
        <v>72</v>
      </c>
      <c r="V466" t="s">
        <v>188</v>
      </c>
      <c r="W466">
        <v>0</v>
      </c>
      <c r="X466">
        <v>1</v>
      </c>
      <c r="Y466">
        <v>0</v>
      </c>
      <c r="Z466">
        <v>0</v>
      </c>
      <c r="AA466">
        <v>0</v>
      </c>
      <c r="AB466">
        <v>0</v>
      </c>
      <c r="AC466">
        <v>0</v>
      </c>
      <c r="AD466">
        <v>0</v>
      </c>
      <c r="AE466">
        <v>0</v>
      </c>
      <c r="AF466">
        <v>0</v>
      </c>
      <c r="AG466" t="s">
        <v>71</v>
      </c>
      <c r="AH466">
        <v>0</v>
      </c>
      <c r="AI466">
        <v>0</v>
      </c>
      <c r="AJ466">
        <v>0</v>
      </c>
      <c r="AK466">
        <v>0</v>
      </c>
      <c r="AL466" t="s">
        <v>176</v>
      </c>
      <c r="AM466" t="s">
        <v>254</v>
      </c>
      <c r="AN466" t="s">
        <v>148</v>
      </c>
      <c r="AO466" t="s">
        <v>147</v>
      </c>
      <c r="AP466">
        <v>34848</v>
      </c>
      <c r="AQ466">
        <v>0</v>
      </c>
      <c r="AR466">
        <v>0</v>
      </c>
      <c r="AS466">
        <v>0</v>
      </c>
      <c r="AT466">
        <v>0</v>
      </c>
      <c r="AU466">
        <v>0</v>
      </c>
      <c r="AV466">
        <v>0</v>
      </c>
      <c r="AW466">
        <v>0</v>
      </c>
      <c r="AX466">
        <v>8</v>
      </c>
      <c r="AY466">
        <v>0</v>
      </c>
    </row>
    <row r="467" spans="1:51" x14ac:dyDescent="0.25">
      <c r="A467">
        <v>169</v>
      </c>
      <c r="B467">
        <v>26930</v>
      </c>
      <c r="C467" t="s">
        <v>735</v>
      </c>
      <c r="D467" t="s">
        <v>96</v>
      </c>
      <c r="E467" t="s">
        <v>100</v>
      </c>
      <c r="F467" t="s">
        <v>107</v>
      </c>
      <c r="G467" t="s">
        <v>77</v>
      </c>
      <c r="H467" t="s">
        <v>78</v>
      </c>
      <c r="I467" t="s">
        <v>79</v>
      </c>
      <c r="J467" t="s">
        <v>152</v>
      </c>
      <c r="K467" t="s">
        <v>75</v>
      </c>
      <c r="L467" t="s">
        <v>76</v>
      </c>
      <c r="M467" t="s">
        <v>149</v>
      </c>
      <c r="N467" t="s">
        <v>74</v>
      </c>
      <c r="O467" t="s">
        <v>187</v>
      </c>
      <c r="P467" t="s">
        <v>71</v>
      </c>
      <c r="Q467" t="s">
        <v>71</v>
      </c>
      <c r="R467" t="s">
        <v>110</v>
      </c>
      <c r="S467">
        <v>1</v>
      </c>
      <c r="T467">
        <v>1</v>
      </c>
      <c r="U467" t="s">
        <v>72</v>
      </c>
      <c r="V467" t="s">
        <v>188</v>
      </c>
      <c r="W467">
        <v>0</v>
      </c>
      <c r="X467">
        <v>1</v>
      </c>
      <c r="Y467">
        <v>0</v>
      </c>
      <c r="Z467">
        <v>0</v>
      </c>
      <c r="AA467">
        <v>0</v>
      </c>
      <c r="AB467">
        <v>0</v>
      </c>
      <c r="AC467">
        <v>0</v>
      </c>
      <c r="AD467">
        <v>0</v>
      </c>
      <c r="AE467">
        <v>0</v>
      </c>
      <c r="AF467">
        <v>0</v>
      </c>
      <c r="AG467" t="s">
        <v>71</v>
      </c>
      <c r="AH467">
        <v>0</v>
      </c>
      <c r="AI467">
        <v>0</v>
      </c>
      <c r="AJ467">
        <v>0</v>
      </c>
      <c r="AK467">
        <v>0</v>
      </c>
      <c r="AL467" t="s">
        <v>176</v>
      </c>
      <c r="AM467" t="s">
        <v>254</v>
      </c>
      <c r="AN467" t="s">
        <v>148</v>
      </c>
      <c r="AO467" t="s">
        <v>147</v>
      </c>
      <c r="AP467">
        <v>34848</v>
      </c>
      <c r="AQ467">
        <v>0</v>
      </c>
      <c r="AR467">
        <v>0</v>
      </c>
      <c r="AS467">
        <v>0</v>
      </c>
      <c r="AT467">
        <v>0</v>
      </c>
      <c r="AU467">
        <v>0</v>
      </c>
      <c r="AV467">
        <v>0</v>
      </c>
      <c r="AW467">
        <v>0</v>
      </c>
      <c r="AX467">
        <v>8</v>
      </c>
      <c r="AY467">
        <v>0</v>
      </c>
    </row>
    <row r="468" spans="1:51" x14ac:dyDescent="0.25">
      <c r="A468">
        <v>169</v>
      </c>
      <c r="B468">
        <v>26940</v>
      </c>
      <c r="C468" t="s">
        <v>735</v>
      </c>
      <c r="D468" t="s">
        <v>96</v>
      </c>
      <c r="E468" t="s">
        <v>100</v>
      </c>
      <c r="F468" t="s">
        <v>107</v>
      </c>
      <c r="G468" t="s">
        <v>77</v>
      </c>
      <c r="H468" t="s">
        <v>78</v>
      </c>
      <c r="I468" t="s">
        <v>79</v>
      </c>
      <c r="J468" t="s">
        <v>152</v>
      </c>
      <c r="K468" t="s">
        <v>75</v>
      </c>
      <c r="L468" t="s">
        <v>76</v>
      </c>
      <c r="M468" t="s">
        <v>149</v>
      </c>
      <c r="N468" t="s">
        <v>74</v>
      </c>
      <c r="O468" t="s">
        <v>187</v>
      </c>
      <c r="P468" t="s">
        <v>71</v>
      </c>
      <c r="Q468" t="s">
        <v>71</v>
      </c>
      <c r="R468" t="s">
        <v>110</v>
      </c>
      <c r="S468">
        <v>1</v>
      </c>
      <c r="T468">
        <v>1</v>
      </c>
      <c r="U468" t="s">
        <v>72</v>
      </c>
      <c r="V468" t="s">
        <v>188</v>
      </c>
      <c r="W468">
        <v>0</v>
      </c>
      <c r="X468">
        <v>1</v>
      </c>
      <c r="Y468">
        <v>0</v>
      </c>
      <c r="Z468">
        <v>0</v>
      </c>
      <c r="AA468">
        <v>0</v>
      </c>
      <c r="AB468">
        <v>0</v>
      </c>
      <c r="AC468">
        <v>0</v>
      </c>
      <c r="AD468">
        <v>0</v>
      </c>
      <c r="AE468">
        <v>0</v>
      </c>
      <c r="AF468">
        <v>0</v>
      </c>
      <c r="AG468" t="s">
        <v>71</v>
      </c>
      <c r="AH468">
        <v>0</v>
      </c>
      <c r="AI468">
        <v>0</v>
      </c>
      <c r="AJ468">
        <v>0</v>
      </c>
      <c r="AK468">
        <v>0</v>
      </c>
      <c r="AL468" t="s">
        <v>176</v>
      </c>
      <c r="AM468" t="s">
        <v>254</v>
      </c>
      <c r="AN468" t="s">
        <v>148</v>
      </c>
      <c r="AO468" t="s">
        <v>147</v>
      </c>
      <c r="AP468">
        <v>34848</v>
      </c>
      <c r="AQ468">
        <v>0</v>
      </c>
      <c r="AR468">
        <v>0</v>
      </c>
      <c r="AS468">
        <v>0</v>
      </c>
      <c r="AT468">
        <v>0</v>
      </c>
      <c r="AU468">
        <v>0</v>
      </c>
      <c r="AV468">
        <v>0</v>
      </c>
      <c r="AW468">
        <v>0</v>
      </c>
      <c r="AX468">
        <v>8</v>
      </c>
      <c r="AY468">
        <v>0</v>
      </c>
    </row>
    <row r="469" spans="1:51" x14ac:dyDescent="0.25">
      <c r="A469">
        <v>169</v>
      </c>
      <c r="B469">
        <v>26950</v>
      </c>
      <c r="C469" t="s">
        <v>735</v>
      </c>
      <c r="D469" t="s">
        <v>96</v>
      </c>
      <c r="E469" t="s">
        <v>100</v>
      </c>
      <c r="F469" t="s">
        <v>107</v>
      </c>
      <c r="G469" t="s">
        <v>77</v>
      </c>
      <c r="H469" t="s">
        <v>78</v>
      </c>
      <c r="I469" t="s">
        <v>79</v>
      </c>
      <c r="J469" t="s">
        <v>152</v>
      </c>
      <c r="K469" t="s">
        <v>75</v>
      </c>
      <c r="L469" t="s">
        <v>76</v>
      </c>
      <c r="M469" t="s">
        <v>149</v>
      </c>
      <c r="N469" t="s">
        <v>74</v>
      </c>
      <c r="O469" t="s">
        <v>187</v>
      </c>
      <c r="P469" t="s">
        <v>71</v>
      </c>
      <c r="Q469" t="s">
        <v>71</v>
      </c>
      <c r="R469" t="s">
        <v>110</v>
      </c>
      <c r="S469">
        <v>1</v>
      </c>
      <c r="T469">
        <v>1</v>
      </c>
      <c r="U469" t="s">
        <v>72</v>
      </c>
      <c r="V469" t="s">
        <v>188</v>
      </c>
      <c r="W469">
        <v>0</v>
      </c>
      <c r="X469">
        <v>1</v>
      </c>
      <c r="Y469">
        <v>0</v>
      </c>
      <c r="Z469">
        <v>0</v>
      </c>
      <c r="AA469">
        <v>0</v>
      </c>
      <c r="AB469">
        <v>0</v>
      </c>
      <c r="AC469">
        <v>0</v>
      </c>
      <c r="AD469">
        <v>0</v>
      </c>
      <c r="AE469">
        <v>0</v>
      </c>
      <c r="AF469">
        <v>0</v>
      </c>
      <c r="AG469" t="s">
        <v>71</v>
      </c>
      <c r="AH469">
        <v>0</v>
      </c>
      <c r="AI469">
        <v>0</v>
      </c>
      <c r="AJ469">
        <v>0</v>
      </c>
      <c r="AK469">
        <v>0</v>
      </c>
      <c r="AL469" t="s">
        <v>176</v>
      </c>
      <c r="AM469" t="s">
        <v>254</v>
      </c>
      <c r="AN469" t="s">
        <v>148</v>
      </c>
      <c r="AO469" t="s">
        <v>147</v>
      </c>
      <c r="AP469">
        <v>34848</v>
      </c>
      <c r="AQ469">
        <v>0</v>
      </c>
      <c r="AR469">
        <v>0</v>
      </c>
      <c r="AS469">
        <v>0</v>
      </c>
      <c r="AT469">
        <v>0</v>
      </c>
      <c r="AU469">
        <v>0</v>
      </c>
      <c r="AV469">
        <v>0</v>
      </c>
      <c r="AW469">
        <v>0</v>
      </c>
      <c r="AX469">
        <v>8</v>
      </c>
      <c r="AY469">
        <v>0</v>
      </c>
    </row>
    <row r="470" spans="1:51" x14ac:dyDescent="0.25">
      <c r="A470">
        <v>169</v>
      </c>
      <c r="B470">
        <v>26960</v>
      </c>
      <c r="C470" t="s">
        <v>735</v>
      </c>
      <c r="D470" t="s">
        <v>96</v>
      </c>
      <c r="E470" t="s">
        <v>100</v>
      </c>
      <c r="F470" t="s">
        <v>107</v>
      </c>
      <c r="G470" t="s">
        <v>77</v>
      </c>
      <c r="H470" t="s">
        <v>78</v>
      </c>
      <c r="I470" t="s">
        <v>79</v>
      </c>
      <c r="J470" t="s">
        <v>152</v>
      </c>
      <c r="K470" t="s">
        <v>75</v>
      </c>
      <c r="L470" t="s">
        <v>76</v>
      </c>
      <c r="M470" t="s">
        <v>149</v>
      </c>
      <c r="N470" t="s">
        <v>74</v>
      </c>
      <c r="O470" t="s">
        <v>187</v>
      </c>
      <c r="P470" t="s">
        <v>71</v>
      </c>
      <c r="Q470" t="s">
        <v>71</v>
      </c>
      <c r="R470" t="s">
        <v>71</v>
      </c>
      <c r="S470">
        <v>1</v>
      </c>
      <c r="T470">
        <v>1</v>
      </c>
      <c r="U470" t="s">
        <v>72</v>
      </c>
      <c r="V470" t="s">
        <v>188</v>
      </c>
      <c r="W470">
        <v>0</v>
      </c>
      <c r="X470">
        <v>1</v>
      </c>
      <c r="Y470">
        <v>0</v>
      </c>
      <c r="Z470">
        <v>0</v>
      </c>
      <c r="AA470">
        <v>0</v>
      </c>
      <c r="AB470">
        <v>0</v>
      </c>
      <c r="AC470">
        <v>0</v>
      </c>
      <c r="AD470">
        <v>0</v>
      </c>
      <c r="AE470">
        <v>0</v>
      </c>
      <c r="AF470">
        <v>0</v>
      </c>
      <c r="AG470" t="s">
        <v>71</v>
      </c>
      <c r="AH470">
        <v>0</v>
      </c>
      <c r="AI470">
        <v>0</v>
      </c>
      <c r="AJ470">
        <v>0</v>
      </c>
      <c r="AK470">
        <v>0</v>
      </c>
      <c r="AL470" t="s">
        <v>176</v>
      </c>
      <c r="AM470" t="s">
        <v>254</v>
      </c>
      <c r="AN470" t="s">
        <v>148</v>
      </c>
      <c r="AO470" t="s">
        <v>147</v>
      </c>
      <c r="AP470">
        <v>34848</v>
      </c>
      <c r="AQ470">
        <v>0</v>
      </c>
      <c r="AR470">
        <v>0</v>
      </c>
      <c r="AS470">
        <v>0</v>
      </c>
      <c r="AT470">
        <v>0</v>
      </c>
      <c r="AU470">
        <v>0</v>
      </c>
      <c r="AV470">
        <v>0</v>
      </c>
      <c r="AW470">
        <v>0</v>
      </c>
      <c r="AX470">
        <v>8</v>
      </c>
      <c r="AY470">
        <v>0</v>
      </c>
    </row>
    <row r="471" spans="1:51" x14ac:dyDescent="0.25">
      <c r="A471">
        <v>169</v>
      </c>
      <c r="B471">
        <v>26970</v>
      </c>
      <c r="C471" t="s">
        <v>735</v>
      </c>
      <c r="D471" t="s">
        <v>96</v>
      </c>
      <c r="E471" t="s">
        <v>100</v>
      </c>
      <c r="F471" t="s">
        <v>107</v>
      </c>
      <c r="G471" t="s">
        <v>77</v>
      </c>
      <c r="H471" t="s">
        <v>78</v>
      </c>
      <c r="I471" t="s">
        <v>79</v>
      </c>
      <c r="J471" t="s">
        <v>152</v>
      </c>
      <c r="K471" t="s">
        <v>75</v>
      </c>
      <c r="L471" t="s">
        <v>76</v>
      </c>
      <c r="M471" t="s">
        <v>149</v>
      </c>
      <c r="N471" t="s">
        <v>74</v>
      </c>
      <c r="O471" t="s">
        <v>187</v>
      </c>
      <c r="P471" t="s">
        <v>71</v>
      </c>
      <c r="Q471" t="s">
        <v>71</v>
      </c>
      <c r="R471" t="s">
        <v>71</v>
      </c>
      <c r="S471">
        <v>1</v>
      </c>
      <c r="T471">
        <v>1</v>
      </c>
      <c r="U471" t="s">
        <v>72</v>
      </c>
      <c r="V471" t="s">
        <v>188</v>
      </c>
      <c r="W471">
        <v>0</v>
      </c>
      <c r="X471">
        <v>1</v>
      </c>
      <c r="Y471">
        <v>0</v>
      </c>
      <c r="Z471">
        <v>0</v>
      </c>
      <c r="AA471">
        <v>0</v>
      </c>
      <c r="AB471">
        <v>0</v>
      </c>
      <c r="AC471">
        <v>0</v>
      </c>
      <c r="AD471">
        <v>0</v>
      </c>
      <c r="AE471">
        <v>0</v>
      </c>
      <c r="AF471">
        <v>0</v>
      </c>
      <c r="AG471" t="s">
        <v>71</v>
      </c>
      <c r="AH471">
        <v>0</v>
      </c>
      <c r="AI471">
        <v>0</v>
      </c>
      <c r="AJ471">
        <v>0</v>
      </c>
      <c r="AK471">
        <v>0</v>
      </c>
      <c r="AL471" t="s">
        <v>176</v>
      </c>
      <c r="AM471" t="s">
        <v>254</v>
      </c>
      <c r="AN471" t="s">
        <v>148</v>
      </c>
      <c r="AO471" t="s">
        <v>147</v>
      </c>
      <c r="AP471">
        <v>34848</v>
      </c>
      <c r="AQ471">
        <v>0</v>
      </c>
      <c r="AR471">
        <v>0</v>
      </c>
      <c r="AS471">
        <v>0</v>
      </c>
      <c r="AT471">
        <v>0</v>
      </c>
      <c r="AU471">
        <v>0</v>
      </c>
      <c r="AV471">
        <v>0</v>
      </c>
      <c r="AW471">
        <v>0</v>
      </c>
      <c r="AX471">
        <v>8</v>
      </c>
      <c r="AY471">
        <v>0</v>
      </c>
    </row>
    <row r="472" spans="1:51" x14ac:dyDescent="0.25">
      <c r="A472">
        <v>169</v>
      </c>
      <c r="B472">
        <v>29920</v>
      </c>
      <c r="C472" t="s">
        <v>735</v>
      </c>
      <c r="D472" t="s">
        <v>96</v>
      </c>
      <c r="E472" t="s">
        <v>100</v>
      </c>
      <c r="F472" t="s">
        <v>107</v>
      </c>
      <c r="G472" t="s">
        <v>77</v>
      </c>
      <c r="H472" t="s">
        <v>78</v>
      </c>
      <c r="I472" t="s">
        <v>79</v>
      </c>
      <c r="J472" t="s">
        <v>152</v>
      </c>
      <c r="K472" t="s">
        <v>75</v>
      </c>
      <c r="L472" t="s">
        <v>76</v>
      </c>
      <c r="M472" t="s">
        <v>149</v>
      </c>
      <c r="N472" t="s">
        <v>74</v>
      </c>
      <c r="O472" t="s">
        <v>187</v>
      </c>
      <c r="P472" t="s">
        <v>71</v>
      </c>
      <c r="Q472" t="s">
        <v>71</v>
      </c>
      <c r="R472" t="s">
        <v>71</v>
      </c>
      <c r="S472">
        <v>1</v>
      </c>
      <c r="T472">
        <v>1</v>
      </c>
      <c r="U472" t="s">
        <v>72</v>
      </c>
      <c r="V472" t="s">
        <v>188</v>
      </c>
      <c r="W472">
        <v>0</v>
      </c>
      <c r="X472">
        <v>1</v>
      </c>
      <c r="Y472">
        <v>0</v>
      </c>
      <c r="Z472">
        <v>0</v>
      </c>
      <c r="AA472">
        <v>0</v>
      </c>
      <c r="AB472">
        <v>0</v>
      </c>
      <c r="AC472">
        <v>0</v>
      </c>
      <c r="AD472">
        <v>0</v>
      </c>
      <c r="AE472">
        <v>0</v>
      </c>
      <c r="AF472">
        <v>0</v>
      </c>
      <c r="AG472" t="s">
        <v>71</v>
      </c>
      <c r="AH472">
        <v>0</v>
      </c>
      <c r="AI472">
        <v>0</v>
      </c>
      <c r="AJ472">
        <v>0</v>
      </c>
      <c r="AK472">
        <v>0</v>
      </c>
      <c r="AL472" t="s">
        <v>176</v>
      </c>
      <c r="AM472" t="s">
        <v>254</v>
      </c>
      <c r="AN472" t="s">
        <v>148</v>
      </c>
      <c r="AO472" t="s">
        <v>147</v>
      </c>
      <c r="AP472">
        <v>34848</v>
      </c>
      <c r="AQ472">
        <v>0</v>
      </c>
      <c r="AR472">
        <v>0</v>
      </c>
      <c r="AS472">
        <v>0</v>
      </c>
      <c r="AT472">
        <v>0</v>
      </c>
      <c r="AU472">
        <v>0</v>
      </c>
      <c r="AV472">
        <v>0</v>
      </c>
      <c r="AW472">
        <v>0</v>
      </c>
      <c r="AX472">
        <v>8</v>
      </c>
      <c r="AY472">
        <v>0</v>
      </c>
    </row>
    <row r="473" spans="1:51" x14ac:dyDescent="0.25">
      <c r="A473">
        <v>169</v>
      </c>
      <c r="B473">
        <v>29930</v>
      </c>
      <c r="C473" t="s">
        <v>735</v>
      </c>
      <c r="D473" t="s">
        <v>96</v>
      </c>
      <c r="E473" t="s">
        <v>100</v>
      </c>
      <c r="F473" t="s">
        <v>107</v>
      </c>
      <c r="G473" t="s">
        <v>77</v>
      </c>
      <c r="H473" t="s">
        <v>78</v>
      </c>
      <c r="I473" t="s">
        <v>79</v>
      </c>
      <c r="J473" t="s">
        <v>152</v>
      </c>
      <c r="K473" t="s">
        <v>75</v>
      </c>
      <c r="L473" t="s">
        <v>76</v>
      </c>
      <c r="M473" t="s">
        <v>149</v>
      </c>
      <c r="N473" t="s">
        <v>74</v>
      </c>
      <c r="O473" t="s">
        <v>187</v>
      </c>
      <c r="P473" t="s">
        <v>71</v>
      </c>
      <c r="Q473" t="s">
        <v>71</v>
      </c>
      <c r="R473" t="s">
        <v>71</v>
      </c>
      <c r="S473">
        <v>1</v>
      </c>
      <c r="T473">
        <v>1</v>
      </c>
      <c r="U473" t="s">
        <v>72</v>
      </c>
      <c r="V473" t="s">
        <v>188</v>
      </c>
      <c r="W473">
        <v>0</v>
      </c>
      <c r="X473">
        <v>1</v>
      </c>
      <c r="Y473">
        <v>0</v>
      </c>
      <c r="Z473">
        <v>0</v>
      </c>
      <c r="AA473">
        <v>0</v>
      </c>
      <c r="AB473">
        <v>0</v>
      </c>
      <c r="AC473">
        <v>0</v>
      </c>
      <c r="AD473">
        <v>0</v>
      </c>
      <c r="AE473">
        <v>0</v>
      </c>
      <c r="AF473">
        <v>0</v>
      </c>
      <c r="AG473" t="s">
        <v>71</v>
      </c>
      <c r="AH473">
        <v>0</v>
      </c>
      <c r="AI473">
        <v>0</v>
      </c>
      <c r="AJ473">
        <v>0</v>
      </c>
      <c r="AK473">
        <v>0</v>
      </c>
      <c r="AL473" t="s">
        <v>176</v>
      </c>
      <c r="AM473" t="s">
        <v>254</v>
      </c>
      <c r="AN473" t="s">
        <v>148</v>
      </c>
      <c r="AO473" t="s">
        <v>147</v>
      </c>
      <c r="AP473">
        <v>34848</v>
      </c>
      <c r="AQ473">
        <v>0</v>
      </c>
      <c r="AR473">
        <v>0</v>
      </c>
      <c r="AS473">
        <v>0</v>
      </c>
      <c r="AT473">
        <v>0</v>
      </c>
      <c r="AU473">
        <v>0</v>
      </c>
      <c r="AV473">
        <v>0</v>
      </c>
      <c r="AW473">
        <v>0</v>
      </c>
      <c r="AX473">
        <v>8</v>
      </c>
      <c r="AY473">
        <v>0</v>
      </c>
    </row>
    <row r="474" spans="1:51" x14ac:dyDescent="0.25">
      <c r="A474">
        <v>170</v>
      </c>
      <c r="B474">
        <v>29940</v>
      </c>
      <c r="C474" t="s">
        <v>735</v>
      </c>
      <c r="D474" t="s">
        <v>96</v>
      </c>
      <c r="E474" t="s">
        <v>100</v>
      </c>
      <c r="F474" t="s">
        <v>107</v>
      </c>
      <c r="G474" t="s">
        <v>77</v>
      </c>
      <c r="H474" t="s">
        <v>78</v>
      </c>
      <c r="I474" t="s">
        <v>79</v>
      </c>
      <c r="J474" t="s">
        <v>152</v>
      </c>
      <c r="K474" t="s">
        <v>75</v>
      </c>
      <c r="L474" t="s">
        <v>76</v>
      </c>
      <c r="M474" t="s">
        <v>149</v>
      </c>
      <c r="N474" t="s">
        <v>74</v>
      </c>
      <c r="O474" t="s">
        <v>187</v>
      </c>
      <c r="P474" t="s">
        <v>71</v>
      </c>
      <c r="Q474" t="s">
        <v>71</v>
      </c>
      <c r="R474" t="s">
        <v>110</v>
      </c>
      <c r="S474">
        <v>1</v>
      </c>
      <c r="T474">
        <v>1</v>
      </c>
      <c r="U474" t="s">
        <v>72</v>
      </c>
      <c r="V474" t="s">
        <v>188</v>
      </c>
      <c r="W474">
        <v>0</v>
      </c>
      <c r="X474">
        <v>1</v>
      </c>
      <c r="Y474">
        <v>0</v>
      </c>
      <c r="Z474">
        <v>0</v>
      </c>
      <c r="AA474">
        <v>0</v>
      </c>
      <c r="AB474">
        <v>0</v>
      </c>
      <c r="AC474">
        <v>0</v>
      </c>
      <c r="AD474">
        <v>0</v>
      </c>
      <c r="AE474">
        <v>0</v>
      </c>
      <c r="AF474">
        <v>0</v>
      </c>
      <c r="AG474" t="s">
        <v>71</v>
      </c>
      <c r="AH474">
        <v>0</v>
      </c>
      <c r="AI474">
        <v>0</v>
      </c>
      <c r="AJ474">
        <v>0</v>
      </c>
      <c r="AK474">
        <v>0</v>
      </c>
      <c r="AL474" t="s">
        <v>176</v>
      </c>
      <c r="AM474" t="s">
        <v>254</v>
      </c>
      <c r="AN474" t="s">
        <v>148</v>
      </c>
      <c r="AO474" t="s">
        <v>147</v>
      </c>
      <c r="AP474">
        <v>34848</v>
      </c>
      <c r="AQ474">
        <v>0</v>
      </c>
      <c r="AR474">
        <v>0</v>
      </c>
      <c r="AS474">
        <v>0</v>
      </c>
      <c r="AT474">
        <v>0</v>
      </c>
      <c r="AU474">
        <v>0</v>
      </c>
      <c r="AV474">
        <v>0</v>
      </c>
      <c r="AW474">
        <v>0</v>
      </c>
      <c r="AX474">
        <v>8</v>
      </c>
      <c r="AY474">
        <v>0</v>
      </c>
    </row>
    <row r="475" spans="1:51" x14ac:dyDescent="0.25">
      <c r="A475">
        <v>170</v>
      </c>
      <c r="B475">
        <v>29950</v>
      </c>
      <c r="C475" t="s">
        <v>735</v>
      </c>
      <c r="D475" t="s">
        <v>96</v>
      </c>
      <c r="E475" t="s">
        <v>100</v>
      </c>
      <c r="F475" t="s">
        <v>107</v>
      </c>
      <c r="G475" t="s">
        <v>77</v>
      </c>
      <c r="H475" t="s">
        <v>78</v>
      </c>
      <c r="I475" t="s">
        <v>79</v>
      </c>
      <c r="J475" t="s">
        <v>152</v>
      </c>
      <c r="K475" t="s">
        <v>75</v>
      </c>
      <c r="L475" t="s">
        <v>76</v>
      </c>
      <c r="M475" t="s">
        <v>149</v>
      </c>
      <c r="N475" t="s">
        <v>74</v>
      </c>
      <c r="O475" t="s">
        <v>187</v>
      </c>
      <c r="P475" t="s">
        <v>71</v>
      </c>
      <c r="Q475" t="s">
        <v>71</v>
      </c>
      <c r="R475" t="s">
        <v>110</v>
      </c>
      <c r="S475">
        <v>1</v>
      </c>
      <c r="T475">
        <v>1</v>
      </c>
      <c r="U475" t="s">
        <v>72</v>
      </c>
      <c r="V475" t="s">
        <v>188</v>
      </c>
      <c r="W475">
        <v>0</v>
      </c>
      <c r="X475">
        <v>1</v>
      </c>
      <c r="Y475">
        <v>0</v>
      </c>
      <c r="Z475">
        <v>0</v>
      </c>
      <c r="AA475">
        <v>0</v>
      </c>
      <c r="AB475">
        <v>0</v>
      </c>
      <c r="AC475">
        <v>0</v>
      </c>
      <c r="AD475">
        <v>0</v>
      </c>
      <c r="AE475">
        <v>0</v>
      </c>
      <c r="AF475">
        <v>0</v>
      </c>
      <c r="AG475" t="s">
        <v>71</v>
      </c>
      <c r="AH475">
        <v>0</v>
      </c>
      <c r="AI475">
        <v>0</v>
      </c>
      <c r="AJ475">
        <v>0</v>
      </c>
      <c r="AK475">
        <v>0</v>
      </c>
      <c r="AL475" t="s">
        <v>176</v>
      </c>
      <c r="AM475" t="s">
        <v>254</v>
      </c>
      <c r="AN475" t="s">
        <v>148</v>
      </c>
      <c r="AO475" t="s">
        <v>147</v>
      </c>
      <c r="AP475">
        <v>34848</v>
      </c>
      <c r="AQ475">
        <v>0</v>
      </c>
      <c r="AR475">
        <v>0</v>
      </c>
      <c r="AS475">
        <v>0</v>
      </c>
      <c r="AT475">
        <v>0</v>
      </c>
      <c r="AU475">
        <v>0</v>
      </c>
      <c r="AV475">
        <v>0</v>
      </c>
      <c r="AW475">
        <v>0</v>
      </c>
      <c r="AX475">
        <v>8</v>
      </c>
      <c r="AY475">
        <v>0</v>
      </c>
    </row>
    <row r="476" spans="1:51" x14ac:dyDescent="0.25">
      <c r="A476">
        <v>170</v>
      </c>
      <c r="B476">
        <v>29960</v>
      </c>
      <c r="C476" t="s">
        <v>735</v>
      </c>
      <c r="D476" t="s">
        <v>96</v>
      </c>
      <c r="E476" t="s">
        <v>100</v>
      </c>
      <c r="F476" t="s">
        <v>107</v>
      </c>
      <c r="G476" t="s">
        <v>77</v>
      </c>
      <c r="H476" t="s">
        <v>78</v>
      </c>
      <c r="I476" t="s">
        <v>79</v>
      </c>
      <c r="J476" t="s">
        <v>152</v>
      </c>
      <c r="K476" t="s">
        <v>75</v>
      </c>
      <c r="L476" t="s">
        <v>76</v>
      </c>
      <c r="M476" t="s">
        <v>149</v>
      </c>
      <c r="N476" t="s">
        <v>74</v>
      </c>
      <c r="O476" t="s">
        <v>187</v>
      </c>
      <c r="P476" t="s">
        <v>71</v>
      </c>
      <c r="Q476" t="s">
        <v>71</v>
      </c>
      <c r="R476" t="s">
        <v>110</v>
      </c>
      <c r="S476">
        <v>1</v>
      </c>
      <c r="T476">
        <v>1</v>
      </c>
      <c r="U476" t="s">
        <v>72</v>
      </c>
      <c r="V476" t="s">
        <v>188</v>
      </c>
      <c r="W476">
        <v>0</v>
      </c>
      <c r="X476">
        <v>1</v>
      </c>
      <c r="Y476">
        <v>0</v>
      </c>
      <c r="Z476">
        <v>0</v>
      </c>
      <c r="AA476">
        <v>0</v>
      </c>
      <c r="AB476">
        <v>0</v>
      </c>
      <c r="AC476">
        <v>0</v>
      </c>
      <c r="AD476">
        <v>0</v>
      </c>
      <c r="AE476">
        <v>0</v>
      </c>
      <c r="AF476">
        <v>0</v>
      </c>
      <c r="AG476" t="s">
        <v>71</v>
      </c>
      <c r="AH476">
        <v>0</v>
      </c>
      <c r="AI476">
        <v>0</v>
      </c>
      <c r="AJ476">
        <v>0</v>
      </c>
      <c r="AK476">
        <v>0</v>
      </c>
      <c r="AL476" t="s">
        <v>176</v>
      </c>
      <c r="AM476" t="s">
        <v>254</v>
      </c>
      <c r="AN476" t="s">
        <v>148</v>
      </c>
      <c r="AO476" t="s">
        <v>147</v>
      </c>
      <c r="AP476">
        <v>34848</v>
      </c>
      <c r="AQ476">
        <v>0</v>
      </c>
      <c r="AR476">
        <v>0</v>
      </c>
      <c r="AS476">
        <v>0</v>
      </c>
      <c r="AT476">
        <v>0</v>
      </c>
      <c r="AU476">
        <v>0</v>
      </c>
      <c r="AV476">
        <v>0</v>
      </c>
      <c r="AW476">
        <v>0</v>
      </c>
      <c r="AX476">
        <v>8</v>
      </c>
      <c r="AY476">
        <v>0</v>
      </c>
    </row>
    <row r="477" spans="1:51" x14ac:dyDescent="0.25">
      <c r="A477">
        <v>170</v>
      </c>
      <c r="B477">
        <v>29970</v>
      </c>
      <c r="C477" t="s">
        <v>735</v>
      </c>
      <c r="D477" t="s">
        <v>96</v>
      </c>
      <c r="E477" t="s">
        <v>100</v>
      </c>
      <c r="F477" t="s">
        <v>107</v>
      </c>
      <c r="G477" t="s">
        <v>77</v>
      </c>
      <c r="H477" t="s">
        <v>78</v>
      </c>
      <c r="I477" t="s">
        <v>79</v>
      </c>
      <c r="J477" t="s">
        <v>152</v>
      </c>
      <c r="K477" t="s">
        <v>75</v>
      </c>
      <c r="L477" t="s">
        <v>76</v>
      </c>
      <c r="M477" t="s">
        <v>149</v>
      </c>
      <c r="N477" t="s">
        <v>74</v>
      </c>
      <c r="O477" t="s">
        <v>187</v>
      </c>
      <c r="P477" t="s">
        <v>71</v>
      </c>
      <c r="Q477" t="s">
        <v>71</v>
      </c>
      <c r="R477" t="s">
        <v>110</v>
      </c>
      <c r="S477">
        <v>1</v>
      </c>
      <c r="T477">
        <v>1</v>
      </c>
      <c r="U477" t="s">
        <v>72</v>
      </c>
      <c r="V477" t="s">
        <v>188</v>
      </c>
      <c r="W477">
        <v>0</v>
      </c>
      <c r="X477">
        <v>1</v>
      </c>
      <c r="Y477">
        <v>0</v>
      </c>
      <c r="Z477">
        <v>0</v>
      </c>
      <c r="AA477">
        <v>0</v>
      </c>
      <c r="AB477">
        <v>0</v>
      </c>
      <c r="AC477">
        <v>0</v>
      </c>
      <c r="AD477">
        <v>0</v>
      </c>
      <c r="AE477">
        <v>0</v>
      </c>
      <c r="AF477">
        <v>0</v>
      </c>
      <c r="AG477" t="s">
        <v>71</v>
      </c>
      <c r="AH477">
        <v>0</v>
      </c>
      <c r="AI477">
        <v>0</v>
      </c>
      <c r="AJ477">
        <v>0</v>
      </c>
      <c r="AK477">
        <v>0</v>
      </c>
      <c r="AL477" t="s">
        <v>176</v>
      </c>
      <c r="AM477" t="s">
        <v>254</v>
      </c>
      <c r="AN477" t="s">
        <v>148</v>
      </c>
      <c r="AO477" t="s">
        <v>147</v>
      </c>
      <c r="AP477">
        <v>34848</v>
      </c>
      <c r="AQ477">
        <v>0</v>
      </c>
      <c r="AR477">
        <v>0</v>
      </c>
      <c r="AS477">
        <v>0</v>
      </c>
      <c r="AT477">
        <v>0</v>
      </c>
      <c r="AU477">
        <v>0</v>
      </c>
      <c r="AV477">
        <v>0</v>
      </c>
      <c r="AW477">
        <v>0</v>
      </c>
      <c r="AX477">
        <v>8</v>
      </c>
      <c r="AY477">
        <v>0</v>
      </c>
    </row>
    <row r="478" spans="1:51" x14ac:dyDescent="0.25">
      <c r="A478">
        <v>170</v>
      </c>
      <c r="B478">
        <v>29980</v>
      </c>
      <c r="C478" t="s">
        <v>735</v>
      </c>
      <c r="D478" t="s">
        <v>96</v>
      </c>
      <c r="E478" t="s">
        <v>100</v>
      </c>
      <c r="F478" t="s">
        <v>107</v>
      </c>
      <c r="G478" t="s">
        <v>77</v>
      </c>
      <c r="H478" t="s">
        <v>78</v>
      </c>
      <c r="I478" t="s">
        <v>79</v>
      </c>
      <c r="J478" t="s">
        <v>152</v>
      </c>
      <c r="K478" t="s">
        <v>75</v>
      </c>
      <c r="L478" t="s">
        <v>76</v>
      </c>
      <c r="M478" t="s">
        <v>149</v>
      </c>
      <c r="N478" t="s">
        <v>74</v>
      </c>
      <c r="O478" t="s">
        <v>187</v>
      </c>
      <c r="P478" t="s">
        <v>71</v>
      </c>
      <c r="Q478" t="s">
        <v>71</v>
      </c>
      <c r="R478" t="s">
        <v>71</v>
      </c>
      <c r="S478">
        <v>1</v>
      </c>
      <c r="T478">
        <v>1</v>
      </c>
      <c r="U478" t="s">
        <v>72</v>
      </c>
      <c r="V478" t="s">
        <v>188</v>
      </c>
      <c r="W478">
        <v>0</v>
      </c>
      <c r="X478">
        <v>1</v>
      </c>
      <c r="Y478">
        <v>0</v>
      </c>
      <c r="Z478">
        <v>0</v>
      </c>
      <c r="AA478">
        <v>0</v>
      </c>
      <c r="AB478">
        <v>0</v>
      </c>
      <c r="AC478">
        <v>0</v>
      </c>
      <c r="AD478">
        <v>0</v>
      </c>
      <c r="AE478">
        <v>0</v>
      </c>
      <c r="AF478">
        <v>0</v>
      </c>
      <c r="AG478" t="s">
        <v>71</v>
      </c>
      <c r="AH478">
        <v>0</v>
      </c>
      <c r="AI478">
        <v>0</v>
      </c>
      <c r="AJ478">
        <v>0</v>
      </c>
      <c r="AK478">
        <v>0</v>
      </c>
      <c r="AL478" t="s">
        <v>176</v>
      </c>
      <c r="AM478" t="s">
        <v>254</v>
      </c>
      <c r="AN478" t="s">
        <v>148</v>
      </c>
      <c r="AO478" t="s">
        <v>147</v>
      </c>
      <c r="AP478">
        <v>34848</v>
      </c>
      <c r="AQ478">
        <v>0</v>
      </c>
      <c r="AR478">
        <v>0</v>
      </c>
      <c r="AS478">
        <v>0</v>
      </c>
      <c r="AT478">
        <v>0</v>
      </c>
      <c r="AU478">
        <v>0</v>
      </c>
      <c r="AV478">
        <v>0</v>
      </c>
      <c r="AW478">
        <v>0</v>
      </c>
      <c r="AX478">
        <v>8</v>
      </c>
      <c r="AY478">
        <v>0</v>
      </c>
    </row>
    <row r="479" spans="1:51" x14ac:dyDescent="0.25">
      <c r="A479">
        <v>170</v>
      </c>
      <c r="B479">
        <v>29990</v>
      </c>
      <c r="C479" t="s">
        <v>735</v>
      </c>
      <c r="D479" t="s">
        <v>96</v>
      </c>
      <c r="E479" t="s">
        <v>100</v>
      </c>
      <c r="F479" t="s">
        <v>107</v>
      </c>
      <c r="G479" t="s">
        <v>77</v>
      </c>
      <c r="H479" t="s">
        <v>78</v>
      </c>
      <c r="I479" t="s">
        <v>79</v>
      </c>
      <c r="J479" t="s">
        <v>152</v>
      </c>
      <c r="K479" t="s">
        <v>75</v>
      </c>
      <c r="L479" t="s">
        <v>76</v>
      </c>
      <c r="M479" t="s">
        <v>149</v>
      </c>
      <c r="N479" t="s">
        <v>74</v>
      </c>
      <c r="O479" t="s">
        <v>187</v>
      </c>
      <c r="P479" t="s">
        <v>71</v>
      </c>
      <c r="Q479" t="s">
        <v>71</v>
      </c>
      <c r="R479" t="s">
        <v>71</v>
      </c>
      <c r="S479">
        <v>1</v>
      </c>
      <c r="T479">
        <v>1</v>
      </c>
      <c r="U479" t="s">
        <v>72</v>
      </c>
      <c r="V479" t="s">
        <v>188</v>
      </c>
      <c r="W479">
        <v>0</v>
      </c>
      <c r="X479">
        <v>1</v>
      </c>
      <c r="Y479">
        <v>0</v>
      </c>
      <c r="Z479">
        <v>0</v>
      </c>
      <c r="AA479">
        <v>0</v>
      </c>
      <c r="AB479">
        <v>0</v>
      </c>
      <c r="AC479">
        <v>0</v>
      </c>
      <c r="AD479">
        <v>0</v>
      </c>
      <c r="AE479">
        <v>0</v>
      </c>
      <c r="AF479">
        <v>0</v>
      </c>
      <c r="AG479" t="s">
        <v>71</v>
      </c>
      <c r="AH479">
        <v>0</v>
      </c>
      <c r="AI479">
        <v>0</v>
      </c>
      <c r="AJ479">
        <v>0</v>
      </c>
      <c r="AK479">
        <v>0</v>
      </c>
      <c r="AL479" t="s">
        <v>176</v>
      </c>
      <c r="AM479" t="s">
        <v>254</v>
      </c>
      <c r="AN479" t="s">
        <v>148</v>
      </c>
      <c r="AO479" t="s">
        <v>147</v>
      </c>
      <c r="AP479">
        <v>34848</v>
      </c>
      <c r="AQ479">
        <v>0</v>
      </c>
      <c r="AR479">
        <v>0</v>
      </c>
      <c r="AS479">
        <v>0</v>
      </c>
      <c r="AT479">
        <v>0</v>
      </c>
      <c r="AU479">
        <v>0</v>
      </c>
      <c r="AV479">
        <v>0</v>
      </c>
      <c r="AW479">
        <v>0</v>
      </c>
      <c r="AX479">
        <v>8</v>
      </c>
      <c r="AY479">
        <v>0</v>
      </c>
    </row>
    <row r="480" spans="1:51" x14ac:dyDescent="0.25">
      <c r="A480">
        <v>170</v>
      </c>
      <c r="B480">
        <v>32950</v>
      </c>
      <c r="C480" t="s">
        <v>735</v>
      </c>
      <c r="D480" t="s">
        <v>96</v>
      </c>
      <c r="E480" t="s">
        <v>100</v>
      </c>
      <c r="F480" t="s">
        <v>107</v>
      </c>
      <c r="G480" t="s">
        <v>77</v>
      </c>
      <c r="H480" t="s">
        <v>78</v>
      </c>
      <c r="I480" t="s">
        <v>79</v>
      </c>
      <c r="J480" t="s">
        <v>152</v>
      </c>
      <c r="K480" t="s">
        <v>75</v>
      </c>
      <c r="L480" t="s">
        <v>76</v>
      </c>
      <c r="M480" t="s">
        <v>149</v>
      </c>
      <c r="N480" t="s">
        <v>74</v>
      </c>
      <c r="O480" t="s">
        <v>187</v>
      </c>
      <c r="P480" t="s">
        <v>71</v>
      </c>
      <c r="Q480" t="s">
        <v>71</v>
      </c>
      <c r="R480" t="s">
        <v>71</v>
      </c>
      <c r="S480">
        <v>1</v>
      </c>
      <c r="T480">
        <v>1</v>
      </c>
      <c r="U480" t="s">
        <v>72</v>
      </c>
      <c r="V480" t="s">
        <v>188</v>
      </c>
      <c r="W480">
        <v>0</v>
      </c>
      <c r="X480">
        <v>1</v>
      </c>
      <c r="Y480">
        <v>0</v>
      </c>
      <c r="Z480">
        <v>0</v>
      </c>
      <c r="AA480">
        <v>0</v>
      </c>
      <c r="AB480">
        <v>0</v>
      </c>
      <c r="AC480">
        <v>0</v>
      </c>
      <c r="AD480">
        <v>0</v>
      </c>
      <c r="AE480">
        <v>0</v>
      </c>
      <c r="AF480">
        <v>0</v>
      </c>
      <c r="AG480" t="s">
        <v>71</v>
      </c>
      <c r="AH480">
        <v>0</v>
      </c>
      <c r="AI480">
        <v>0</v>
      </c>
      <c r="AJ480">
        <v>0</v>
      </c>
      <c r="AK480">
        <v>0</v>
      </c>
      <c r="AL480" t="s">
        <v>176</v>
      </c>
      <c r="AM480" t="s">
        <v>254</v>
      </c>
      <c r="AN480" t="s">
        <v>148</v>
      </c>
      <c r="AO480" t="s">
        <v>147</v>
      </c>
      <c r="AP480">
        <v>34848</v>
      </c>
      <c r="AQ480">
        <v>0</v>
      </c>
      <c r="AR480">
        <v>0</v>
      </c>
      <c r="AS480">
        <v>0</v>
      </c>
      <c r="AT480">
        <v>0</v>
      </c>
      <c r="AU480">
        <v>0</v>
      </c>
      <c r="AV480">
        <v>0</v>
      </c>
      <c r="AW480">
        <v>0</v>
      </c>
      <c r="AX480">
        <v>8</v>
      </c>
      <c r="AY480">
        <v>0</v>
      </c>
    </row>
    <row r="481" spans="1:51" x14ac:dyDescent="0.25">
      <c r="A481">
        <v>170</v>
      </c>
      <c r="B481">
        <v>32960</v>
      </c>
      <c r="C481" t="s">
        <v>735</v>
      </c>
      <c r="D481" t="s">
        <v>96</v>
      </c>
      <c r="E481" t="s">
        <v>100</v>
      </c>
      <c r="F481" t="s">
        <v>107</v>
      </c>
      <c r="G481" t="s">
        <v>77</v>
      </c>
      <c r="H481" t="s">
        <v>78</v>
      </c>
      <c r="I481" t="s">
        <v>79</v>
      </c>
      <c r="J481" t="s">
        <v>152</v>
      </c>
      <c r="K481" t="s">
        <v>75</v>
      </c>
      <c r="L481" t="s">
        <v>76</v>
      </c>
      <c r="M481" t="s">
        <v>149</v>
      </c>
      <c r="N481" t="s">
        <v>74</v>
      </c>
      <c r="O481" t="s">
        <v>187</v>
      </c>
      <c r="P481" t="s">
        <v>71</v>
      </c>
      <c r="Q481" t="s">
        <v>71</v>
      </c>
      <c r="R481" t="s">
        <v>110</v>
      </c>
      <c r="S481">
        <v>1</v>
      </c>
      <c r="T481">
        <v>1</v>
      </c>
      <c r="U481" t="s">
        <v>72</v>
      </c>
      <c r="V481" t="s">
        <v>188</v>
      </c>
      <c r="W481">
        <v>0</v>
      </c>
      <c r="X481">
        <v>1</v>
      </c>
      <c r="Y481">
        <v>0</v>
      </c>
      <c r="Z481">
        <v>0</v>
      </c>
      <c r="AA481">
        <v>0</v>
      </c>
      <c r="AB481">
        <v>0</v>
      </c>
      <c r="AC481">
        <v>0</v>
      </c>
      <c r="AD481">
        <v>0</v>
      </c>
      <c r="AE481">
        <v>0</v>
      </c>
      <c r="AF481">
        <v>0</v>
      </c>
      <c r="AG481" t="s">
        <v>71</v>
      </c>
      <c r="AH481">
        <v>0</v>
      </c>
      <c r="AI481">
        <v>0</v>
      </c>
      <c r="AJ481">
        <v>0</v>
      </c>
      <c r="AK481">
        <v>0</v>
      </c>
      <c r="AL481" t="s">
        <v>176</v>
      </c>
      <c r="AM481" t="s">
        <v>254</v>
      </c>
      <c r="AN481" t="s">
        <v>148</v>
      </c>
      <c r="AO481" t="s">
        <v>147</v>
      </c>
      <c r="AP481">
        <v>34848</v>
      </c>
      <c r="AQ481">
        <v>0</v>
      </c>
      <c r="AR481">
        <v>0</v>
      </c>
      <c r="AS481">
        <v>0</v>
      </c>
      <c r="AT481">
        <v>0</v>
      </c>
      <c r="AU481">
        <v>0</v>
      </c>
      <c r="AV481">
        <v>0</v>
      </c>
      <c r="AW481">
        <v>0</v>
      </c>
      <c r="AX481">
        <v>8</v>
      </c>
      <c r="AY481">
        <v>0</v>
      </c>
    </row>
    <row r="482" spans="1:51" x14ac:dyDescent="0.25">
      <c r="A482">
        <v>170</v>
      </c>
      <c r="B482">
        <v>32970</v>
      </c>
      <c r="C482" t="s">
        <v>735</v>
      </c>
      <c r="D482" t="s">
        <v>96</v>
      </c>
      <c r="E482" t="s">
        <v>100</v>
      </c>
      <c r="F482" t="s">
        <v>107</v>
      </c>
      <c r="G482" t="s">
        <v>77</v>
      </c>
      <c r="H482" t="s">
        <v>78</v>
      </c>
      <c r="I482" t="s">
        <v>79</v>
      </c>
      <c r="J482" t="s">
        <v>152</v>
      </c>
      <c r="K482" t="s">
        <v>75</v>
      </c>
      <c r="L482" t="s">
        <v>76</v>
      </c>
      <c r="M482" t="s">
        <v>149</v>
      </c>
      <c r="N482" t="s">
        <v>74</v>
      </c>
      <c r="O482" t="s">
        <v>187</v>
      </c>
      <c r="P482" t="s">
        <v>71</v>
      </c>
      <c r="Q482" t="s">
        <v>71</v>
      </c>
      <c r="R482" t="s">
        <v>71</v>
      </c>
      <c r="S482">
        <v>1</v>
      </c>
      <c r="T482">
        <v>1</v>
      </c>
      <c r="U482" t="s">
        <v>72</v>
      </c>
      <c r="V482" t="s">
        <v>188</v>
      </c>
      <c r="W482">
        <v>0</v>
      </c>
      <c r="X482">
        <v>1</v>
      </c>
      <c r="Y482">
        <v>0</v>
      </c>
      <c r="Z482">
        <v>0</v>
      </c>
      <c r="AA482">
        <v>0</v>
      </c>
      <c r="AB482">
        <v>0</v>
      </c>
      <c r="AC482">
        <v>0</v>
      </c>
      <c r="AD482">
        <v>0</v>
      </c>
      <c r="AE482">
        <v>0</v>
      </c>
      <c r="AF482">
        <v>0</v>
      </c>
      <c r="AG482" t="s">
        <v>71</v>
      </c>
      <c r="AH482">
        <v>0</v>
      </c>
      <c r="AI482">
        <v>0</v>
      </c>
      <c r="AJ482">
        <v>0</v>
      </c>
      <c r="AK482">
        <v>0</v>
      </c>
      <c r="AL482" t="s">
        <v>176</v>
      </c>
      <c r="AM482" t="s">
        <v>254</v>
      </c>
      <c r="AN482" t="s">
        <v>148</v>
      </c>
      <c r="AO482" t="s">
        <v>147</v>
      </c>
      <c r="AP482">
        <v>34848</v>
      </c>
      <c r="AQ482">
        <v>0</v>
      </c>
      <c r="AR482">
        <v>0</v>
      </c>
      <c r="AS482">
        <v>0</v>
      </c>
      <c r="AT482">
        <v>0</v>
      </c>
      <c r="AU482">
        <v>0</v>
      </c>
      <c r="AV482">
        <v>0</v>
      </c>
      <c r="AW482">
        <v>0</v>
      </c>
      <c r="AX482">
        <v>8</v>
      </c>
      <c r="AY482">
        <v>0</v>
      </c>
    </row>
    <row r="483" spans="1:51" x14ac:dyDescent="0.25">
      <c r="A483">
        <v>170</v>
      </c>
      <c r="B483">
        <v>32980</v>
      </c>
      <c r="C483" t="s">
        <v>735</v>
      </c>
      <c r="D483" t="s">
        <v>96</v>
      </c>
      <c r="E483" t="s">
        <v>100</v>
      </c>
      <c r="F483" t="s">
        <v>107</v>
      </c>
      <c r="G483" t="s">
        <v>77</v>
      </c>
      <c r="H483" t="s">
        <v>78</v>
      </c>
      <c r="I483" t="s">
        <v>79</v>
      </c>
      <c r="J483" t="s">
        <v>152</v>
      </c>
      <c r="K483" t="s">
        <v>75</v>
      </c>
      <c r="L483" t="s">
        <v>76</v>
      </c>
      <c r="M483" t="s">
        <v>149</v>
      </c>
      <c r="N483" t="s">
        <v>74</v>
      </c>
      <c r="O483" t="s">
        <v>187</v>
      </c>
      <c r="P483" t="s">
        <v>71</v>
      </c>
      <c r="Q483" t="s">
        <v>71</v>
      </c>
      <c r="R483" t="s">
        <v>71</v>
      </c>
      <c r="S483">
        <v>1</v>
      </c>
      <c r="T483">
        <v>1</v>
      </c>
      <c r="U483" t="s">
        <v>72</v>
      </c>
      <c r="V483" t="s">
        <v>188</v>
      </c>
      <c r="W483">
        <v>0</v>
      </c>
      <c r="X483">
        <v>1</v>
      </c>
      <c r="Y483">
        <v>0</v>
      </c>
      <c r="Z483">
        <v>0</v>
      </c>
      <c r="AA483">
        <v>0</v>
      </c>
      <c r="AB483">
        <v>0</v>
      </c>
      <c r="AC483">
        <v>0</v>
      </c>
      <c r="AD483">
        <v>0</v>
      </c>
      <c r="AE483">
        <v>0</v>
      </c>
      <c r="AF483">
        <v>0</v>
      </c>
      <c r="AG483" t="s">
        <v>71</v>
      </c>
      <c r="AH483">
        <v>0</v>
      </c>
      <c r="AI483">
        <v>0</v>
      </c>
      <c r="AJ483">
        <v>0</v>
      </c>
      <c r="AK483">
        <v>0</v>
      </c>
      <c r="AL483" t="s">
        <v>176</v>
      </c>
      <c r="AM483" t="s">
        <v>254</v>
      </c>
      <c r="AN483" t="s">
        <v>148</v>
      </c>
      <c r="AO483" t="s">
        <v>147</v>
      </c>
      <c r="AP483">
        <v>34848</v>
      </c>
      <c r="AQ483">
        <v>0</v>
      </c>
      <c r="AR483">
        <v>0</v>
      </c>
      <c r="AS483">
        <v>0</v>
      </c>
      <c r="AT483">
        <v>0</v>
      </c>
      <c r="AU483">
        <v>0</v>
      </c>
      <c r="AV483">
        <v>0</v>
      </c>
      <c r="AW483">
        <v>0</v>
      </c>
      <c r="AX483">
        <v>8</v>
      </c>
      <c r="AY483">
        <v>0</v>
      </c>
    </row>
    <row r="484" spans="1:51" x14ac:dyDescent="0.25">
      <c r="A484">
        <v>170</v>
      </c>
      <c r="B484">
        <v>35940</v>
      </c>
      <c r="C484" t="s">
        <v>735</v>
      </c>
      <c r="D484" t="s">
        <v>96</v>
      </c>
      <c r="E484" t="s">
        <v>100</v>
      </c>
      <c r="F484" t="s">
        <v>107</v>
      </c>
      <c r="G484" t="s">
        <v>77</v>
      </c>
      <c r="H484" t="s">
        <v>78</v>
      </c>
      <c r="I484" t="s">
        <v>79</v>
      </c>
      <c r="J484" t="s">
        <v>152</v>
      </c>
      <c r="K484" t="s">
        <v>75</v>
      </c>
      <c r="L484" t="s">
        <v>76</v>
      </c>
      <c r="M484" t="s">
        <v>149</v>
      </c>
      <c r="N484" t="s">
        <v>74</v>
      </c>
      <c r="O484" t="s">
        <v>187</v>
      </c>
      <c r="P484" t="s">
        <v>71</v>
      </c>
      <c r="Q484" t="s">
        <v>71</v>
      </c>
      <c r="R484" t="s">
        <v>71</v>
      </c>
      <c r="S484">
        <v>1</v>
      </c>
      <c r="T484">
        <v>1</v>
      </c>
      <c r="U484" t="s">
        <v>72</v>
      </c>
      <c r="V484" t="s">
        <v>188</v>
      </c>
      <c r="W484">
        <v>0</v>
      </c>
      <c r="X484">
        <v>1</v>
      </c>
      <c r="Y484">
        <v>0</v>
      </c>
      <c r="Z484">
        <v>0</v>
      </c>
      <c r="AA484">
        <v>0</v>
      </c>
      <c r="AB484">
        <v>0</v>
      </c>
      <c r="AC484">
        <v>0</v>
      </c>
      <c r="AD484">
        <v>0</v>
      </c>
      <c r="AE484">
        <v>0</v>
      </c>
      <c r="AF484">
        <v>0</v>
      </c>
      <c r="AG484" t="s">
        <v>71</v>
      </c>
      <c r="AH484">
        <v>0</v>
      </c>
      <c r="AI484">
        <v>0</v>
      </c>
      <c r="AJ484">
        <v>0</v>
      </c>
      <c r="AK484">
        <v>0</v>
      </c>
      <c r="AL484" t="s">
        <v>176</v>
      </c>
      <c r="AM484" t="s">
        <v>254</v>
      </c>
      <c r="AN484" t="s">
        <v>148</v>
      </c>
      <c r="AO484" t="s">
        <v>147</v>
      </c>
      <c r="AP484">
        <v>34848</v>
      </c>
      <c r="AQ484">
        <v>0</v>
      </c>
      <c r="AR484">
        <v>0</v>
      </c>
      <c r="AS484">
        <v>0</v>
      </c>
      <c r="AT484">
        <v>0</v>
      </c>
      <c r="AU484">
        <v>0</v>
      </c>
      <c r="AV484">
        <v>0</v>
      </c>
      <c r="AW484">
        <v>0</v>
      </c>
      <c r="AX484">
        <v>8</v>
      </c>
      <c r="AY484">
        <v>0</v>
      </c>
    </row>
    <row r="485" spans="1:51" x14ac:dyDescent="0.25">
      <c r="A485">
        <v>170</v>
      </c>
      <c r="B485">
        <v>35950</v>
      </c>
      <c r="C485" t="s">
        <v>735</v>
      </c>
      <c r="D485" t="s">
        <v>96</v>
      </c>
      <c r="E485" t="s">
        <v>100</v>
      </c>
      <c r="F485" t="s">
        <v>107</v>
      </c>
      <c r="G485" t="s">
        <v>77</v>
      </c>
      <c r="H485" t="s">
        <v>78</v>
      </c>
      <c r="I485" t="s">
        <v>79</v>
      </c>
      <c r="J485" t="s">
        <v>152</v>
      </c>
      <c r="K485" t="s">
        <v>75</v>
      </c>
      <c r="L485" t="s">
        <v>76</v>
      </c>
      <c r="M485" t="s">
        <v>149</v>
      </c>
      <c r="N485" t="s">
        <v>74</v>
      </c>
      <c r="O485" t="s">
        <v>187</v>
      </c>
      <c r="P485" t="s">
        <v>71</v>
      </c>
      <c r="Q485" t="s">
        <v>71</v>
      </c>
      <c r="R485" t="s">
        <v>71</v>
      </c>
      <c r="S485">
        <v>1</v>
      </c>
      <c r="T485">
        <v>1</v>
      </c>
      <c r="U485" t="s">
        <v>72</v>
      </c>
      <c r="V485" t="s">
        <v>188</v>
      </c>
      <c r="W485">
        <v>0</v>
      </c>
      <c r="X485">
        <v>1</v>
      </c>
      <c r="Y485">
        <v>0</v>
      </c>
      <c r="Z485">
        <v>0</v>
      </c>
      <c r="AA485">
        <v>0</v>
      </c>
      <c r="AB485">
        <v>0</v>
      </c>
      <c r="AC485">
        <v>0</v>
      </c>
      <c r="AD485">
        <v>0</v>
      </c>
      <c r="AE485">
        <v>0</v>
      </c>
      <c r="AF485">
        <v>0</v>
      </c>
      <c r="AG485" t="s">
        <v>71</v>
      </c>
      <c r="AH485">
        <v>0</v>
      </c>
      <c r="AI485">
        <v>0</v>
      </c>
      <c r="AJ485">
        <v>0</v>
      </c>
      <c r="AK485">
        <v>0</v>
      </c>
      <c r="AL485" t="s">
        <v>176</v>
      </c>
      <c r="AM485" t="s">
        <v>254</v>
      </c>
      <c r="AN485" t="s">
        <v>148</v>
      </c>
      <c r="AO485" t="s">
        <v>147</v>
      </c>
      <c r="AP485">
        <v>34848</v>
      </c>
      <c r="AQ485">
        <v>0</v>
      </c>
      <c r="AR485">
        <v>0</v>
      </c>
      <c r="AS485">
        <v>0</v>
      </c>
      <c r="AT485">
        <v>0</v>
      </c>
      <c r="AU485">
        <v>0</v>
      </c>
      <c r="AV485">
        <v>0</v>
      </c>
      <c r="AW485">
        <v>0</v>
      </c>
      <c r="AX485">
        <v>8</v>
      </c>
      <c r="AY485">
        <v>0</v>
      </c>
    </row>
    <row r="486" spans="1:51" x14ac:dyDescent="0.25">
      <c r="A486">
        <v>170</v>
      </c>
      <c r="B486">
        <v>35960</v>
      </c>
      <c r="C486" t="s">
        <v>735</v>
      </c>
      <c r="D486" t="s">
        <v>96</v>
      </c>
      <c r="E486" t="s">
        <v>100</v>
      </c>
      <c r="F486" t="s">
        <v>107</v>
      </c>
      <c r="G486" t="s">
        <v>77</v>
      </c>
      <c r="H486" t="s">
        <v>78</v>
      </c>
      <c r="I486" t="s">
        <v>79</v>
      </c>
      <c r="J486" t="s">
        <v>152</v>
      </c>
      <c r="K486" t="s">
        <v>75</v>
      </c>
      <c r="L486" t="s">
        <v>76</v>
      </c>
      <c r="M486" t="s">
        <v>149</v>
      </c>
      <c r="N486" t="s">
        <v>74</v>
      </c>
      <c r="O486" t="s">
        <v>187</v>
      </c>
      <c r="P486" t="s">
        <v>71</v>
      </c>
      <c r="Q486" t="s">
        <v>71</v>
      </c>
      <c r="R486" t="s">
        <v>71</v>
      </c>
      <c r="S486">
        <v>1</v>
      </c>
      <c r="T486">
        <v>1</v>
      </c>
      <c r="U486" t="s">
        <v>72</v>
      </c>
      <c r="V486" t="s">
        <v>188</v>
      </c>
      <c r="W486">
        <v>0</v>
      </c>
      <c r="X486">
        <v>1</v>
      </c>
      <c r="Y486">
        <v>0</v>
      </c>
      <c r="Z486">
        <v>0</v>
      </c>
      <c r="AA486">
        <v>0</v>
      </c>
      <c r="AB486">
        <v>0</v>
      </c>
      <c r="AC486">
        <v>0</v>
      </c>
      <c r="AD486">
        <v>0</v>
      </c>
      <c r="AE486">
        <v>0</v>
      </c>
      <c r="AF486">
        <v>0</v>
      </c>
      <c r="AG486" t="s">
        <v>71</v>
      </c>
      <c r="AH486">
        <v>0</v>
      </c>
      <c r="AI486">
        <v>0</v>
      </c>
      <c r="AJ486">
        <v>0</v>
      </c>
      <c r="AK486">
        <v>0</v>
      </c>
      <c r="AL486" t="s">
        <v>176</v>
      </c>
      <c r="AM486" t="s">
        <v>254</v>
      </c>
      <c r="AN486" t="s">
        <v>148</v>
      </c>
      <c r="AO486" t="s">
        <v>147</v>
      </c>
      <c r="AP486">
        <v>34848</v>
      </c>
      <c r="AQ486">
        <v>0</v>
      </c>
      <c r="AR486">
        <v>0</v>
      </c>
      <c r="AS486">
        <v>0</v>
      </c>
      <c r="AT486">
        <v>0</v>
      </c>
      <c r="AU486">
        <v>0</v>
      </c>
      <c r="AV486">
        <v>0</v>
      </c>
      <c r="AW486">
        <v>0</v>
      </c>
      <c r="AX486">
        <v>0</v>
      </c>
      <c r="AY486">
        <v>0</v>
      </c>
    </row>
    <row r="487" spans="1:51" x14ac:dyDescent="0.25">
      <c r="A487">
        <v>171</v>
      </c>
      <c r="B487">
        <v>35970</v>
      </c>
      <c r="C487" t="s">
        <v>735</v>
      </c>
      <c r="D487" t="s">
        <v>96</v>
      </c>
      <c r="E487" t="s">
        <v>100</v>
      </c>
      <c r="F487" t="s">
        <v>98</v>
      </c>
      <c r="G487" t="s">
        <v>77</v>
      </c>
      <c r="H487" t="s">
        <v>78</v>
      </c>
      <c r="I487" t="s">
        <v>79</v>
      </c>
      <c r="J487" t="s">
        <v>152</v>
      </c>
      <c r="K487" t="s">
        <v>75</v>
      </c>
      <c r="L487" t="s">
        <v>76</v>
      </c>
      <c r="M487" t="s">
        <v>149</v>
      </c>
      <c r="N487" t="s">
        <v>74</v>
      </c>
      <c r="O487" t="s">
        <v>187</v>
      </c>
      <c r="P487" t="s">
        <v>71</v>
      </c>
      <c r="Q487" t="s">
        <v>71</v>
      </c>
      <c r="R487" t="s">
        <v>71</v>
      </c>
      <c r="S487">
        <v>1</v>
      </c>
      <c r="T487">
        <v>1</v>
      </c>
      <c r="U487" t="s">
        <v>72</v>
      </c>
      <c r="V487" t="s">
        <v>188</v>
      </c>
      <c r="W487">
        <v>0</v>
      </c>
      <c r="X487">
        <v>1</v>
      </c>
      <c r="Y487">
        <v>0</v>
      </c>
      <c r="Z487">
        <v>0</v>
      </c>
      <c r="AA487">
        <v>0</v>
      </c>
      <c r="AB487">
        <v>0</v>
      </c>
      <c r="AC487">
        <v>0</v>
      </c>
      <c r="AD487">
        <v>0</v>
      </c>
      <c r="AE487">
        <v>0</v>
      </c>
      <c r="AF487">
        <v>0</v>
      </c>
      <c r="AG487" t="s">
        <v>71</v>
      </c>
      <c r="AH487">
        <v>0</v>
      </c>
      <c r="AI487">
        <v>0</v>
      </c>
      <c r="AJ487">
        <v>0</v>
      </c>
      <c r="AK487">
        <v>0</v>
      </c>
      <c r="AL487" t="s">
        <v>99</v>
      </c>
      <c r="AM487" t="s">
        <v>93</v>
      </c>
      <c r="AN487" t="s">
        <v>148</v>
      </c>
      <c r="AO487" t="s">
        <v>147</v>
      </c>
      <c r="AP487">
        <v>0</v>
      </c>
      <c r="AQ487">
        <v>0</v>
      </c>
      <c r="AR487">
        <v>0</v>
      </c>
      <c r="AS487">
        <v>0</v>
      </c>
      <c r="AT487">
        <v>0</v>
      </c>
      <c r="AU487">
        <v>0</v>
      </c>
      <c r="AV487">
        <v>0</v>
      </c>
      <c r="AW487">
        <v>0</v>
      </c>
      <c r="AX487">
        <v>0</v>
      </c>
      <c r="AY487">
        <v>0</v>
      </c>
    </row>
    <row r="488" spans="1:51" x14ac:dyDescent="0.25">
      <c r="A488">
        <v>1</v>
      </c>
      <c r="C488" t="s">
        <v>735</v>
      </c>
      <c r="D488" t="s">
        <v>736</v>
      </c>
      <c r="E488" t="s">
        <v>736</v>
      </c>
      <c r="F488" t="s">
        <v>736</v>
      </c>
      <c r="G488" t="s">
        <v>736</v>
      </c>
      <c r="H488" t="s">
        <v>736</v>
      </c>
      <c r="I488" t="s">
        <v>736</v>
      </c>
      <c r="J488" t="s">
        <v>736</v>
      </c>
      <c r="K488" t="s">
        <v>736</v>
      </c>
      <c r="L488" t="s">
        <v>736</v>
      </c>
      <c r="M488" t="s">
        <v>736</v>
      </c>
      <c r="N488" t="s">
        <v>736</v>
      </c>
      <c r="O488" t="s">
        <v>736</v>
      </c>
      <c r="P488" t="s">
        <v>736</v>
      </c>
      <c r="Q488" t="s">
        <v>736</v>
      </c>
      <c r="R488" t="s">
        <v>736</v>
      </c>
      <c r="S488" t="s">
        <v>736</v>
      </c>
      <c r="T488" t="s">
        <v>736</v>
      </c>
      <c r="U488" t="s">
        <v>736</v>
      </c>
      <c r="V488" t="s">
        <v>736</v>
      </c>
      <c r="W488" t="s">
        <v>736</v>
      </c>
      <c r="X488" t="s">
        <v>736</v>
      </c>
      <c r="Y488" t="s">
        <v>736</v>
      </c>
      <c r="Z488" t="s">
        <v>736</v>
      </c>
      <c r="AA488" t="s">
        <v>736</v>
      </c>
      <c r="AB488" t="s">
        <v>736</v>
      </c>
      <c r="AC488" t="s">
        <v>736</v>
      </c>
      <c r="AD488" t="s">
        <v>736</v>
      </c>
      <c r="AE488" t="s">
        <v>736</v>
      </c>
      <c r="AF488" t="s">
        <v>736</v>
      </c>
      <c r="AG488" t="s">
        <v>736</v>
      </c>
      <c r="AH488" t="s">
        <v>736</v>
      </c>
      <c r="AI488" t="s">
        <v>736</v>
      </c>
      <c r="AJ488" t="s">
        <v>736</v>
      </c>
      <c r="AK488" t="s">
        <v>736</v>
      </c>
      <c r="AL488" t="s">
        <v>736</v>
      </c>
      <c r="AM488" t="s">
        <v>736</v>
      </c>
      <c r="AN488" t="s">
        <v>736</v>
      </c>
      <c r="AO488" t="s">
        <v>736</v>
      </c>
      <c r="AP488" t="s">
        <v>736</v>
      </c>
      <c r="AQ488" t="s">
        <v>736</v>
      </c>
      <c r="AR488" t="s">
        <v>736</v>
      </c>
      <c r="AS488" t="s">
        <v>736</v>
      </c>
      <c r="AT488" t="s">
        <v>736</v>
      </c>
      <c r="AU488" t="s">
        <v>736</v>
      </c>
      <c r="AV488" t="s">
        <v>736</v>
      </c>
      <c r="AW488" t="s">
        <v>736</v>
      </c>
      <c r="AX488" t="s">
        <v>736</v>
      </c>
      <c r="AY488" t="s">
        <v>736</v>
      </c>
    </row>
    <row r="489" spans="1:51" x14ac:dyDescent="0.25">
      <c r="A489">
        <v>10</v>
      </c>
      <c r="B489">
        <v>10</v>
      </c>
      <c r="C489" t="s">
        <v>735</v>
      </c>
      <c r="D489" t="s">
        <v>96</v>
      </c>
      <c r="E489" t="s">
        <v>121</v>
      </c>
      <c r="F489" t="s">
        <v>107</v>
      </c>
      <c r="G489" t="s">
        <v>101</v>
      </c>
      <c r="H489" t="s">
        <v>78</v>
      </c>
      <c r="I489" t="s">
        <v>79</v>
      </c>
      <c r="J489" t="s">
        <v>70</v>
      </c>
      <c r="K489" t="s">
        <v>75</v>
      </c>
      <c r="L489" t="s">
        <v>76</v>
      </c>
      <c r="M489" t="s">
        <v>103</v>
      </c>
      <c r="N489" t="s">
        <v>74</v>
      </c>
      <c r="O489" t="s">
        <v>104</v>
      </c>
      <c r="P489" t="s">
        <v>71</v>
      </c>
      <c r="Q489" t="s">
        <v>71</v>
      </c>
      <c r="R489" t="s">
        <v>71</v>
      </c>
      <c r="S489">
        <v>0</v>
      </c>
      <c r="T489">
        <v>0</v>
      </c>
      <c r="U489" t="s">
        <v>72</v>
      </c>
      <c r="V489" t="s">
        <v>73</v>
      </c>
      <c r="W489">
        <v>0</v>
      </c>
      <c r="X489">
        <v>0</v>
      </c>
      <c r="Y489">
        <v>0</v>
      </c>
      <c r="Z489">
        <v>0</v>
      </c>
      <c r="AA489">
        <v>0</v>
      </c>
      <c r="AB489">
        <v>0</v>
      </c>
      <c r="AC489">
        <v>0</v>
      </c>
      <c r="AD489">
        <v>0</v>
      </c>
      <c r="AE489">
        <v>0</v>
      </c>
      <c r="AF489">
        <v>0</v>
      </c>
      <c r="AG489" t="s">
        <v>71</v>
      </c>
      <c r="AH489">
        <v>0</v>
      </c>
      <c r="AI489">
        <v>0</v>
      </c>
      <c r="AJ489">
        <v>0</v>
      </c>
      <c r="AK489">
        <v>0</v>
      </c>
      <c r="AL489" t="s">
        <v>91</v>
      </c>
      <c r="AM489" t="s">
        <v>93</v>
      </c>
      <c r="AN489" t="s">
        <v>94</v>
      </c>
      <c r="AO489" t="s">
        <v>92</v>
      </c>
      <c r="AP489">
        <v>0</v>
      </c>
      <c r="AQ489">
        <v>0</v>
      </c>
      <c r="AR489">
        <v>0</v>
      </c>
      <c r="AS489">
        <v>0</v>
      </c>
      <c r="AT489">
        <v>0</v>
      </c>
      <c r="AU489">
        <v>0</v>
      </c>
      <c r="AV489">
        <v>0</v>
      </c>
      <c r="AW489">
        <v>0</v>
      </c>
      <c r="AX489">
        <v>0</v>
      </c>
      <c r="AY489">
        <v>0</v>
      </c>
    </row>
    <row r="490" spans="1:51" x14ac:dyDescent="0.25">
      <c r="A490">
        <v>10</v>
      </c>
      <c r="B490">
        <v>5010</v>
      </c>
      <c r="C490" t="s">
        <v>735</v>
      </c>
      <c r="D490" t="s">
        <v>96</v>
      </c>
      <c r="E490" t="s">
        <v>121</v>
      </c>
      <c r="F490" t="s">
        <v>107</v>
      </c>
      <c r="G490" t="s">
        <v>101</v>
      </c>
      <c r="H490" t="s">
        <v>78</v>
      </c>
      <c r="I490" t="s">
        <v>79</v>
      </c>
      <c r="J490" t="s">
        <v>70</v>
      </c>
      <c r="K490" t="s">
        <v>75</v>
      </c>
      <c r="L490" t="s">
        <v>76</v>
      </c>
      <c r="M490" t="s">
        <v>103</v>
      </c>
      <c r="N490" t="s">
        <v>74</v>
      </c>
      <c r="O490" t="s">
        <v>104</v>
      </c>
      <c r="P490" t="s">
        <v>71</v>
      </c>
      <c r="Q490" t="s">
        <v>71</v>
      </c>
      <c r="R490" t="s">
        <v>71</v>
      </c>
      <c r="S490">
        <v>0</v>
      </c>
      <c r="T490">
        <v>0</v>
      </c>
      <c r="U490" t="s">
        <v>72</v>
      </c>
      <c r="V490" t="s">
        <v>73</v>
      </c>
      <c r="W490">
        <v>0</v>
      </c>
      <c r="X490">
        <v>0</v>
      </c>
      <c r="Y490">
        <v>0</v>
      </c>
      <c r="Z490">
        <v>0</v>
      </c>
      <c r="AA490">
        <v>0</v>
      </c>
      <c r="AB490">
        <v>0</v>
      </c>
      <c r="AC490">
        <v>0</v>
      </c>
      <c r="AD490">
        <v>0</v>
      </c>
      <c r="AE490">
        <v>0</v>
      </c>
      <c r="AF490">
        <v>0</v>
      </c>
      <c r="AG490" t="s">
        <v>71</v>
      </c>
      <c r="AH490">
        <v>0</v>
      </c>
      <c r="AI490">
        <v>0</v>
      </c>
      <c r="AJ490">
        <v>0</v>
      </c>
      <c r="AK490">
        <v>0</v>
      </c>
      <c r="AL490" t="s">
        <v>91</v>
      </c>
      <c r="AM490" t="s">
        <v>93</v>
      </c>
      <c r="AN490" t="s">
        <v>94</v>
      </c>
      <c r="AO490" t="s">
        <v>92</v>
      </c>
      <c r="AP490">
        <v>0</v>
      </c>
      <c r="AQ490">
        <v>0</v>
      </c>
      <c r="AR490">
        <v>0</v>
      </c>
      <c r="AS490">
        <v>0</v>
      </c>
      <c r="AT490">
        <v>0</v>
      </c>
      <c r="AU490">
        <v>0</v>
      </c>
      <c r="AV490">
        <v>0</v>
      </c>
      <c r="AW490">
        <v>0</v>
      </c>
      <c r="AX490">
        <v>0</v>
      </c>
      <c r="AY490">
        <v>0</v>
      </c>
    </row>
    <row r="491" spans="1:51" x14ac:dyDescent="0.25">
      <c r="A491">
        <v>10</v>
      </c>
      <c r="B491">
        <v>5020</v>
      </c>
      <c r="C491" t="s">
        <v>735</v>
      </c>
      <c r="D491" t="s">
        <v>96</v>
      </c>
      <c r="E491" t="s">
        <v>121</v>
      </c>
      <c r="F491" t="s">
        <v>107</v>
      </c>
      <c r="G491" t="s">
        <v>101</v>
      </c>
      <c r="H491" t="s">
        <v>78</v>
      </c>
      <c r="I491" t="s">
        <v>79</v>
      </c>
      <c r="J491" t="s">
        <v>70</v>
      </c>
      <c r="K491" t="s">
        <v>75</v>
      </c>
      <c r="L491" t="s">
        <v>76</v>
      </c>
      <c r="M491" t="s">
        <v>103</v>
      </c>
      <c r="N491" t="s">
        <v>74</v>
      </c>
      <c r="O491" t="s">
        <v>104</v>
      </c>
      <c r="P491" t="s">
        <v>71</v>
      </c>
      <c r="Q491" t="s">
        <v>71</v>
      </c>
      <c r="R491" t="s">
        <v>71</v>
      </c>
      <c r="S491">
        <v>0</v>
      </c>
      <c r="T491">
        <v>0</v>
      </c>
      <c r="U491" t="s">
        <v>72</v>
      </c>
      <c r="V491" t="s">
        <v>73</v>
      </c>
      <c r="W491">
        <v>0</v>
      </c>
      <c r="X491">
        <v>0</v>
      </c>
      <c r="Y491">
        <v>0</v>
      </c>
      <c r="Z491">
        <v>0</v>
      </c>
      <c r="AA491">
        <v>0</v>
      </c>
      <c r="AB491">
        <v>0</v>
      </c>
      <c r="AC491">
        <v>0</v>
      </c>
      <c r="AD491">
        <v>0</v>
      </c>
      <c r="AE491">
        <v>0</v>
      </c>
      <c r="AF491">
        <v>0</v>
      </c>
      <c r="AG491" t="s">
        <v>71</v>
      </c>
      <c r="AH491">
        <v>0</v>
      </c>
      <c r="AI491">
        <v>0</v>
      </c>
      <c r="AJ491">
        <v>0</v>
      </c>
      <c r="AK491">
        <v>0</v>
      </c>
      <c r="AL491" t="s">
        <v>108</v>
      </c>
      <c r="AM491" t="s">
        <v>93</v>
      </c>
      <c r="AN491" t="s">
        <v>94</v>
      </c>
      <c r="AO491" t="s">
        <v>92</v>
      </c>
      <c r="AP491">
        <v>0</v>
      </c>
      <c r="AQ491">
        <v>0</v>
      </c>
      <c r="AR491">
        <v>0</v>
      </c>
      <c r="AS491">
        <v>0</v>
      </c>
      <c r="AT491">
        <v>0</v>
      </c>
      <c r="AU491">
        <v>0</v>
      </c>
      <c r="AV491">
        <v>0</v>
      </c>
      <c r="AW491">
        <v>0</v>
      </c>
      <c r="AX491">
        <v>0</v>
      </c>
      <c r="AY491">
        <v>0</v>
      </c>
    </row>
    <row r="492" spans="1:51" x14ac:dyDescent="0.25">
      <c r="A492">
        <v>10</v>
      </c>
      <c r="B492">
        <v>5030</v>
      </c>
      <c r="C492" t="s">
        <v>735</v>
      </c>
      <c r="D492" t="s">
        <v>96</v>
      </c>
      <c r="E492" t="s">
        <v>121</v>
      </c>
      <c r="F492" t="s">
        <v>107</v>
      </c>
      <c r="G492" t="s">
        <v>101</v>
      </c>
      <c r="H492" t="s">
        <v>78</v>
      </c>
      <c r="I492" t="s">
        <v>79</v>
      </c>
      <c r="J492" t="s">
        <v>70</v>
      </c>
      <c r="K492" t="s">
        <v>75</v>
      </c>
      <c r="L492" t="s">
        <v>76</v>
      </c>
      <c r="M492" t="s">
        <v>103</v>
      </c>
      <c r="N492" t="s">
        <v>74</v>
      </c>
      <c r="O492" t="s">
        <v>104</v>
      </c>
      <c r="P492" t="s">
        <v>71</v>
      </c>
      <c r="Q492" t="s">
        <v>71</v>
      </c>
      <c r="R492" t="s">
        <v>71</v>
      </c>
      <c r="S492">
        <v>0</v>
      </c>
      <c r="T492">
        <v>0</v>
      </c>
      <c r="U492" t="s">
        <v>72</v>
      </c>
      <c r="V492" t="s">
        <v>73</v>
      </c>
      <c r="W492">
        <v>0</v>
      </c>
      <c r="X492">
        <v>0</v>
      </c>
      <c r="Y492">
        <v>0</v>
      </c>
      <c r="Z492">
        <v>0</v>
      </c>
      <c r="AA492">
        <v>0</v>
      </c>
      <c r="AB492">
        <v>0</v>
      </c>
      <c r="AC492">
        <v>0</v>
      </c>
      <c r="AD492">
        <v>0</v>
      </c>
      <c r="AE492">
        <v>0</v>
      </c>
      <c r="AF492">
        <v>0</v>
      </c>
      <c r="AG492" t="s">
        <v>71</v>
      </c>
      <c r="AH492">
        <v>0</v>
      </c>
      <c r="AI492">
        <v>0</v>
      </c>
      <c r="AJ492">
        <v>0</v>
      </c>
      <c r="AK492">
        <v>0</v>
      </c>
      <c r="AL492" t="s">
        <v>108</v>
      </c>
      <c r="AM492" t="s">
        <v>93</v>
      </c>
      <c r="AN492" t="s">
        <v>94</v>
      </c>
      <c r="AO492" t="s">
        <v>92</v>
      </c>
      <c r="AP492">
        <v>0</v>
      </c>
      <c r="AQ492">
        <v>0</v>
      </c>
      <c r="AR492">
        <v>0</v>
      </c>
      <c r="AS492">
        <v>0</v>
      </c>
      <c r="AT492">
        <v>0</v>
      </c>
      <c r="AU492">
        <v>0</v>
      </c>
      <c r="AV492">
        <v>0</v>
      </c>
      <c r="AW492">
        <v>0</v>
      </c>
      <c r="AX492">
        <v>0</v>
      </c>
      <c r="AY492">
        <v>0</v>
      </c>
    </row>
    <row r="493" spans="1:51" x14ac:dyDescent="0.25">
      <c r="A493">
        <v>10</v>
      </c>
      <c r="B493">
        <v>10010</v>
      </c>
      <c r="C493" t="s">
        <v>735</v>
      </c>
      <c r="D493" t="s">
        <v>96</v>
      </c>
      <c r="E493" t="s">
        <v>121</v>
      </c>
      <c r="F493" t="s">
        <v>107</v>
      </c>
      <c r="G493" t="s">
        <v>101</v>
      </c>
      <c r="H493" t="s">
        <v>78</v>
      </c>
      <c r="I493" t="s">
        <v>79</v>
      </c>
      <c r="J493" t="s">
        <v>70</v>
      </c>
      <c r="K493" t="s">
        <v>75</v>
      </c>
      <c r="L493" t="s">
        <v>76</v>
      </c>
      <c r="M493" t="s">
        <v>103</v>
      </c>
      <c r="N493" t="s">
        <v>74</v>
      </c>
      <c r="O493" t="s">
        <v>104</v>
      </c>
      <c r="P493" t="s">
        <v>71</v>
      </c>
      <c r="Q493" t="s">
        <v>71</v>
      </c>
      <c r="R493" t="s">
        <v>71</v>
      </c>
      <c r="S493">
        <v>0</v>
      </c>
      <c r="T493">
        <v>0</v>
      </c>
      <c r="U493" t="s">
        <v>72</v>
      </c>
      <c r="V493" t="s">
        <v>73</v>
      </c>
      <c r="W493">
        <v>0</v>
      </c>
      <c r="X493">
        <v>0</v>
      </c>
      <c r="Y493">
        <v>0</v>
      </c>
      <c r="Z493">
        <v>0</v>
      </c>
      <c r="AA493">
        <v>0</v>
      </c>
      <c r="AB493">
        <v>0</v>
      </c>
      <c r="AC493">
        <v>0</v>
      </c>
      <c r="AD493">
        <v>0</v>
      </c>
      <c r="AE493">
        <v>0</v>
      </c>
      <c r="AF493">
        <v>0</v>
      </c>
      <c r="AG493" t="s">
        <v>71</v>
      </c>
      <c r="AH493">
        <v>0</v>
      </c>
      <c r="AI493">
        <v>0</v>
      </c>
      <c r="AJ493">
        <v>0</v>
      </c>
      <c r="AK493">
        <v>0</v>
      </c>
      <c r="AL493" t="s">
        <v>108</v>
      </c>
      <c r="AM493" t="s">
        <v>93</v>
      </c>
      <c r="AN493" t="s">
        <v>94</v>
      </c>
      <c r="AO493" t="s">
        <v>92</v>
      </c>
      <c r="AP493">
        <v>0</v>
      </c>
      <c r="AQ493">
        <v>0</v>
      </c>
      <c r="AR493">
        <v>0</v>
      </c>
      <c r="AS493">
        <v>0</v>
      </c>
      <c r="AT493">
        <v>0</v>
      </c>
      <c r="AU493">
        <v>0</v>
      </c>
      <c r="AV493">
        <v>0</v>
      </c>
      <c r="AW493">
        <v>0</v>
      </c>
      <c r="AX493">
        <v>0</v>
      </c>
      <c r="AY493">
        <v>0</v>
      </c>
    </row>
    <row r="494" spans="1:51" x14ac:dyDescent="0.25">
      <c r="A494">
        <v>10</v>
      </c>
      <c r="B494">
        <v>10020</v>
      </c>
      <c r="C494" t="s">
        <v>735</v>
      </c>
      <c r="D494" t="s">
        <v>96</v>
      </c>
      <c r="E494" t="s">
        <v>121</v>
      </c>
      <c r="F494" t="s">
        <v>107</v>
      </c>
      <c r="G494" t="s">
        <v>101</v>
      </c>
      <c r="H494" t="s">
        <v>78</v>
      </c>
      <c r="I494" t="s">
        <v>79</v>
      </c>
      <c r="J494" t="s">
        <v>70</v>
      </c>
      <c r="K494" t="s">
        <v>75</v>
      </c>
      <c r="L494" t="s">
        <v>76</v>
      </c>
      <c r="M494" t="s">
        <v>103</v>
      </c>
      <c r="N494" t="s">
        <v>74</v>
      </c>
      <c r="O494" t="s">
        <v>104</v>
      </c>
      <c r="P494" t="s">
        <v>71</v>
      </c>
      <c r="Q494" t="s">
        <v>71</v>
      </c>
      <c r="R494" t="s">
        <v>71</v>
      </c>
      <c r="S494">
        <v>0</v>
      </c>
      <c r="T494">
        <v>0</v>
      </c>
      <c r="U494" t="s">
        <v>72</v>
      </c>
      <c r="V494" t="s">
        <v>73</v>
      </c>
      <c r="W494">
        <v>0</v>
      </c>
      <c r="X494">
        <v>0</v>
      </c>
      <c r="Y494">
        <v>0</v>
      </c>
      <c r="Z494">
        <v>0</v>
      </c>
      <c r="AA494">
        <v>0</v>
      </c>
      <c r="AB494">
        <v>0</v>
      </c>
      <c r="AC494">
        <v>0</v>
      </c>
      <c r="AD494">
        <v>0</v>
      </c>
      <c r="AE494">
        <v>0</v>
      </c>
      <c r="AF494">
        <v>0</v>
      </c>
      <c r="AG494" t="s">
        <v>71</v>
      </c>
      <c r="AH494">
        <v>0</v>
      </c>
      <c r="AI494">
        <v>0</v>
      </c>
      <c r="AJ494">
        <v>0</v>
      </c>
      <c r="AK494">
        <v>0</v>
      </c>
      <c r="AL494" t="s">
        <v>108</v>
      </c>
      <c r="AM494" t="s">
        <v>93</v>
      </c>
      <c r="AN494" t="s">
        <v>94</v>
      </c>
      <c r="AO494" t="s">
        <v>92</v>
      </c>
      <c r="AP494">
        <v>0</v>
      </c>
      <c r="AQ494">
        <v>0</v>
      </c>
      <c r="AR494">
        <v>0</v>
      </c>
      <c r="AS494">
        <v>0</v>
      </c>
      <c r="AT494">
        <v>0</v>
      </c>
      <c r="AU494">
        <v>0</v>
      </c>
      <c r="AV494">
        <v>0</v>
      </c>
      <c r="AW494">
        <v>0</v>
      </c>
      <c r="AX494">
        <v>0</v>
      </c>
      <c r="AY494">
        <v>0</v>
      </c>
    </row>
    <row r="495" spans="1:51" x14ac:dyDescent="0.25">
      <c r="A495">
        <v>10</v>
      </c>
      <c r="B495">
        <v>10030</v>
      </c>
      <c r="C495" t="s">
        <v>735</v>
      </c>
      <c r="D495" t="s">
        <v>96</v>
      </c>
      <c r="E495" t="s">
        <v>121</v>
      </c>
      <c r="F495" t="s">
        <v>107</v>
      </c>
      <c r="G495" t="s">
        <v>77</v>
      </c>
      <c r="H495" t="s">
        <v>78</v>
      </c>
      <c r="I495" t="s">
        <v>79</v>
      </c>
      <c r="J495" t="s">
        <v>70</v>
      </c>
      <c r="K495" t="s">
        <v>75</v>
      </c>
      <c r="L495" t="s">
        <v>76</v>
      </c>
      <c r="M495" t="s">
        <v>103</v>
      </c>
      <c r="N495" t="s">
        <v>74</v>
      </c>
      <c r="O495" t="s">
        <v>104</v>
      </c>
      <c r="P495" t="s">
        <v>71</v>
      </c>
      <c r="Q495" t="s">
        <v>71</v>
      </c>
      <c r="R495" t="s">
        <v>71</v>
      </c>
      <c r="S495">
        <v>0</v>
      </c>
      <c r="T495">
        <v>1</v>
      </c>
      <c r="U495" t="s">
        <v>72</v>
      </c>
      <c r="V495" t="s">
        <v>73</v>
      </c>
      <c r="W495">
        <v>0</v>
      </c>
      <c r="X495">
        <v>0</v>
      </c>
      <c r="Y495">
        <v>0</v>
      </c>
      <c r="Z495">
        <v>0</v>
      </c>
      <c r="AA495">
        <v>0</v>
      </c>
      <c r="AB495">
        <v>0</v>
      </c>
      <c r="AC495">
        <v>0</v>
      </c>
      <c r="AD495">
        <v>0</v>
      </c>
      <c r="AE495">
        <v>0</v>
      </c>
      <c r="AF495">
        <v>0</v>
      </c>
      <c r="AG495" t="s">
        <v>71</v>
      </c>
      <c r="AH495">
        <v>0</v>
      </c>
      <c r="AI495">
        <v>0</v>
      </c>
      <c r="AJ495">
        <v>0</v>
      </c>
      <c r="AK495">
        <v>0</v>
      </c>
      <c r="AL495" t="s">
        <v>146</v>
      </c>
      <c r="AM495" t="s">
        <v>93</v>
      </c>
      <c r="AN495" t="s">
        <v>148</v>
      </c>
      <c r="AO495" t="s">
        <v>147</v>
      </c>
      <c r="AP495">
        <v>0</v>
      </c>
      <c r="AQ495">
        <v>0</v>
      </c>
      <c r="AR495">
        <v>128</v>
      </c>
      <c r="AS495">
        <v>0</v>
      </c>
      <c r="AT495">
        <v>0</v>
      </c>
      <c r="AU495">
        <v>0</v>
      </c>
      <c r="AV495">
        <v>0</v>
      </c>
      <c r="AW495">
        <v>0</v>
      </c>
      <c r="AX495">
        <v>0</v>
      </c>
      <c r="AY495">
        <v>0</v>
      </c>
    </row>
    <row r="496" spans="1:51" x14ac:dyDescent="0.25">
      <c r="A496">
        <v>88</v>
      </c>
      <c r="B496">
        <v>10040</v>
      </c>
      <c r="C496" t="s">
        <v>735</v>
      </c>
      <c r="D496" t="s">
        <v>96</v>
      </c>
      <c r="E496" t="s">
        <v>100</v>
      </c>
      <c r="F496" t="s">
        <v>107</v>
      </c>
      <c r="G496" t="s">
        <v>77</v>
      </c>
      <c r="H496" t="s">
        <v>78</v>
      </c>
      <c r="I496" t="s">
        <v>79</v>
      </c>
      <c r="J496" t="s">
        <v>70</v>
      </c>
      <c r="K496" t="s">
        <v>75</v>
      </c>
      <c r="L496" t="s">
        <v>76</v>
      </c>
      <c r="M496" t="s">
        <v>177</v>
      </c>
      <c r="N496" t="s">
        <v>74</v>
      </c>
      <c r="O496" t="s">
        <v>191</v>
      </c>
      <c r="P496" t="s">
        <v>71</v>
      </c>
      <c r="Q496" t="s">
        <v>71</v>
      </c>
      <c r="R496" t="s">
        <v>71</v>
      </c>
      <c r="S496">
        <v>1</v>
      </c>
      <c r="T496">
        <v>1</v>
      </c>
      <c r="U496" t="s">
        <v>72</v>
      </c>
      <c r="V496" t="s">
        <v>192</v>
      </c>
      <c r="W496">
        <v>0</v>
      </c>
      <c r="X496">
        <v>0</v>
      </c>
      <c r="Y496">
        <v>0</v>
      </c>
      <c r="Z496">
        <v>0</v>
      </c>
      <c r="AA496">
        <v>0</v>
      </c>
      <c r="AB496">
        <v>0</v>
      </c>
      <c r="AC496">
        <v>0</v>
      </c>
      <c r="AD496">
        <v>0</v>
      </c>
      <c r="AE496">
        <v>0</v>
      </c>
      <c r="AF496">
        <v>0</v>
      </c>
      <c r="AG496" t="s">
        <v>71</v>
      </c>
      <c r="AH496">
        <v>0</v>
      </c>
      <c r="AI496">
        <v>0</v>
      </c>
      <c r="AJ496">
        <v>0</v>
      </c>
      <c r="AK496">
        <v>0</v>
      </c>
      <c r="AL496" t="s">
        <v>146</v>
      </c>
      <c r="AM496" t="s">
        <v>93</v>
      </c>
      <c r="AN496" t="s">
        <v>94</v>
      </c>
      <c r="AO496" t="s">
        <v>147</v>
      </c>
      <c r="AP496">
        <v>0</v>
      </c>
      <c r="AQ496">
        <v>0</v>
      </c>
      <c r="AR496">
        <v>128</v>
      </c>
      <c r="AS496">
        <v>0</v>
      </c>
      <c r="AT496">
        <v>0</v>
      </c>
      <c r="AU496">
        <v>0</v>
      </c>
      <c r="AV496">
        <v>0</v>
      </c>
      <c r="AW496">
        <v>0</v>
      </c>
      <c r="AX496">
        <v>0</v>
      </c>
      <c r="AY496">
        <v>0</v>
      </c>
    </row>
    <row r="497" spans="1:51" x14ac:dyDescent="0.25">
      <c r="A497">
        <v>88</v>
      </c>
      <c r="B497">
        <v>10050</v>
      </c>
      <c r="C497" t="s">
        <v>735</v>
      </c>
      <c r="D497" t="s">
        <v>96</v>
      </c>
      <c r="E497" t="s">
        <v>100</v>
      </c>
      <c r="F497" t="s">
        <v>107</v>
      </c>
      <c r="G497" t="s">
        <v>77</v>
      </c>
      <c r="H497" t="s">
        <v>78</v>
      </c>
      <c r="I497" t="s">
        <v>79</v>
      </c>
      <c r="J497" t="s">
        <v>150</v>
      </c>
      <c r="K497" t="s">
        <v>75</v>
      </c>
      <c r="L497" t="s">
        <v>76</v>
      </c>
      <c r="M497" t="s">
        <v>177</v>
      </c>
      <c r="N497" t="s">
        <v>74</v>
      </c>
      <c r="O497" t="s">
        <v>191</v>
      </c>
      <c r="P497" t="s">
        <v>71</v>
      </c>
      <c r="Q497" t="s">
        <v>71</v>
      </c>
      <c r="R497" t="s">
        <v>71</v>
      </c>
      <c r="S497">
        <v>1</v>
      </c>
      <c r="T497">
        <v>1</v>
      </c>
      <c r="U497" t="s">
        <v>72</v>
      </c>
      <c r="V497" t="s">
        <v>192</v>
      </c>
      <c r="W497">
        <v>0</v>
      </c>
      <c r="X497">
        <v>0</v>
      </c>
      <c r="Y497">
        <v>0</v>
      </c>
      <c r="Z497">
        <v>0</v>
      </c>
      <c r="AA497">
        <v>0</v>
      </c>
      <c r="AB497">
        <v>0</v>
      </c>
      <c r="AC497">
        <v>0</v>
      </c>
      <c r="AD497">
        <v>0</v>
      </c>
      <c r="AE497">
        <v>0</v>
      </c>
      <c r="AF497">
        <v>0</v>
      </c>
      <c r="AG497" t="s">
        <v>71</v>
      </c>
      <c r="AH497">
        <v>0</v>
      </c>
      <c r="AI497">
        <v>0</v>
      </c>
      <c r="AJ497">
        <v>0</v>
      </c>
      <c r="AK497">
        <v>0</v>
      </c>
      <c r="AL497" t="s">
        <v>342</v>
      </c>
      <c r="AM497" t="s">
        <v>254</v>
      </c>
      <c r="AN497" t="s">
        <v>94</v>
      </c>
      <c r="AO497" t="s">
        <v>147</v>
      </c>
      <c r="AP497">
        <v>0</v>
      </c>
      <c r="AQ497">
        <v>0</v>
      </c>
      <c r="AR497">
        <v>0</v>
      </c>
      <c r="AS497">
        <v>0</v>
      </c>
      <c r="AT497">
        <v>0</v>
      </c>
      <c r="AU497">
        <v>0</v>
      </c>
      <c r="AV497">
        <v>0</v>
      </c>
      <c r="AW497">
        <v>0</v>
      </c>
      <c r="AX497">
        <v>0</v>
      </c>
      <c r="AY497">
        <v>0</v>
      </c>
    </row>
    <row r="498" spans="1:51" x14ac:dyDescent="0.25">
      <c r="A498">
        <v>89</v>
      </c>
      <c r="B498">
        <v>10060</v>
      </c>
      <c r="C498" t="s">
        <v>735</v>
      </c>
      <c r="D498" t="s">
        <v>96</v>
      </c>
      <c r="E498" t="s">
        <v>100</v>
      </c>
      <c r="F498" t="s">
        <v>98</v>
      </c>
      <c r="G498" t="s">
        <v>77</v>
      </c>
      <c r="H498" t="s">
        <v>78</v>
      </c>
      <c r="I498" t="s">
        <v>195</v>
      </c>
      <c r="J498" t="s">
        <v>119</v>
      </c>
      <c r="K498" t="s">
        <v>75</v>
      </c>
      <c r="L498" t="s">
        <v>76</v>
      </c>
      <c r="M498" t="s">
        <v>177</v>
      </c>
      <c r="N498" t="s">
        <v>74</v>
      </c>
      <c r="O498" t="s">
        <v>187</v>
      </c>
      <c r="P498" t="s">
        <v>71</v>
      </c>
      <c r="Q498" t="s">
        <v>110</v>
      </c>
      <c r="R498" t="s">
        <v>71</v>
      </c>
      <c r="S498">
        <v>1</v>
      </c>
      <c r="T498">
        <v>0</v>
      </c>
      <c r="U498" t="s">
        <v>72</v>
      </c>
      <c r="V498" t="s">
        <v>73</v>
      </c>
      <c r="W498">
        <v>0</v>
      </c>
      <c r="X498">
        <v>0</v>
      </c>
      <c r="Y498">
        <v>0</v>
      </c>
      <c r="Z498">
        <v>0</v>
      </c>
      <c r="AA498">
        <v>0</v>
      </c>
      <c r="AB498">
        <v>0</v>
      </c>
      <c r="AC498">
        <v>0</v>
      </c>
      <c r="AD498">
        <v>0</v>
      </c>
      <c r="AE498">
        <v>0</v>
      </c>
      <c r="AF498">
        <v>0</v>
      </c>
      <c r="AG498" t="s">
        <v>71</v>
      </c>
      <c r="AH498">
        <v>0</v>
      </c>
      <c r="AI498">
        <v>0</v>
      </c>
      <c r="AJ498">
        <v>0</v>
      </c>
      <c r="AK498">
        <v>0</v>
      </c>
      <c r="AL498" t="s">
        <v>342</v>
      </c>
      <c r="AM498" t="s">
        <v>254</v>
      </c>
      <c r="AN498" t="s">
        <v>94</v>
      </c>
      <c r="AO498" t="s">
        <v>147</v>
      </c>
      <c r="AP498">
        <v>2056</v>
      </c>
      <c r="AQ498">
        <v>0</v>
      </c>
      <c r="AR498">
        <v>0</v>
      </c>
      <c r="AS498">
        <v>0</v>
      </c>
      <c r="AT498">
        <v>24</v>
      </c>
      <c r="AU498">
        <v>0</v>
      </c>
      <c r="AV498">
        <v>0</v>
      </c>
      <c r="AW498">
        <v>0</v>
      </c>
      <c r="AX498">
        <v>0</v>
      </c>
      <c r="AY498">
        <v>0</v>
      </c>
    </row>
    <row r="499" spans="1:51" x14ac:dyDescent="0.25">
      <c r="A499">
        <v>90</v>
      </c>
      <c r="B499">
        <v>10070</v>
      </c>
      <c r="C499" t="s">
        <v>735</v>
      </c>
      <c r="D499" t="s">
        <v>96</v>
      </c>
      <c r="E499" t="s">
        <v>100</v>
      </c>
      <c r="F499" t="s">
        <v>98</v>
      </c>
      <c r="G499" t="s">
        <v>77</v>
      </c>
      <c r="H499" t="s">
        <v>78</v>
      </c>
      <c r="I499" t="s">
        <v>196</v>
      </c>
      <c r="J499" t="s">
        <v>119</v>
      </c>
      <c r="K499" t="s">
        <v>75</v>
      </c>
      <c r="L499" t="s">
        <v>76</v>
      </c>
      <c r="M499" t="s">
        <v>177</v>
      </c>
      <c r="N499" t="s">
        <v>74</v>
      </c>
      <c r="O499" t="s">
        <v>187</v>
      </c>
      <c r="P499" t="s">
        <v>71</v>
      </c>
      <c r="Q499" t="s">
        <v>71</v>
      </c>
      <c r="R499" t="s">
        <v>71</v>
      </c>
      <c r="S499">
        <v>1</v>
      </c>
      <c r="T499">
        <v>0</v>
      </c>
      <c r="U499" t="s">
        <v>72</v>
      </c>
      <c r="V499" t="s">
        <v>73</v>
      </c>
      <c r="W499">
        <v>0</v>
      </c>
      <c r="X499">
        <v>0</v>
      </c>
      <c r="Y499">
        <v>0</v>
      </c>
      <c r="Z499">
        <v>0</v>
      </c>
      <c r="AA499">
        <v>0</v>
      </c>
      <c r="AB499">
        <v>0</v>
      </c>
      <c r="AC499">
        <v>0</v>
      </c>
      <c r="AD499">
        <v>0</v>
      </c>
      <c r="AE499">
        <v>0</v>
      </c>
      <c r="AF499">
        <v>0</v>
      </c>
      <c r="AG499" t="s">
        <v>71</v>
      </c>
      <c r="AH499">
        <v>0</v>
      </c>
      <c r="AI499">
        <v>0</v>
      </c>
      <c r="AJ499">
        <v>0</v>
      </c>
      <c r="AK499">
        <v>0</v>
      </c>
      <c r="AL499" t="s">
        <v>342</v>
      </c>
      <c r="AM499" t="s">
        <v>254</v>
      </c>
      <c r="AN499" t="s">
        <v>94</v>
      </c>
      <c r="AO499" t="s">
        <v>147</v>
      </c>
      <c r="AP499">
        <v>0</v>
      </c>
      <c r="AQ499">
        <v>0</v>
      </c>
      <c r="AR499">
        <v>0</v>
      </c>
      <c r="AS499">
        <v>0</v>
      </c>
      <c r="AT499">
        <v>24</v>
      </c>
      <c r="AU499">
        <v>0</v>
      </c>
      <c r="AV499">
        <v>0</v>
      </c>
      <c r="AW499">
        <v>0</v>
      </c>
      <c r="AX499">
        <v>0</v>
      </c>
      <c r="AY499">
        <v>0</v>
      </c>
    </row>
    <row r="500" spans="1:51" x14ac:dyDescent="0.25">
      <c r="A500">
        <v>91</v>
      </c>
      <c r="B500">
        <v>10080</v>
      </c>
      <c r="C500" t="s">
        <v>735</v>
      </c>
      <c r="D500" t="s">
        <v>96</v>
      </c>
      <c r="E500" t="s">
        <v>100</v>
      </c>
      <c r="F500" t="s">
        <v>98</v>
      </c>
      <c r="G500" t="s">
        <v>77</v>
      </c>
      <c r="H500" t="s">
        <v>78</v>
      </c>
      <c r="I500" t="s">
        <v>197</v>
      </c>
      <c r="J500" t="s">
        <v>119</v>
      </c>
      <c r="K500" t="s">
        <v>75</v>
      </c>
      <c r="L500" t="s">
        <v>76</v>
      </c>
      <c r="M500" t="s">
        <v>177</v>
      </c>
      <c r="N500" t="s">
        <v>74</v>
      </c>
      <c r="O500" t="s">
        <v>187</v>
      </c>
      <c r="P500" t="s">
        <v>71</v>
      </c>
      <c r="Q500" t="s">
        <v>71</v>
      </c>
      <c r="R500" t="s">
        <v>71</v>
      </c>
      <c r="S500">
        <v>1</v>
      </c>
      <c r="T500">
        <v>0</v>
      </c>
      <c r="U500" t="s">
        <v>283</v>
      </c>
      <c r="V500" t="s">
        <v>188</v>
      </c>
      <c r="W500">
        <v>0</v>
      </c>
      <c r="X500">
        <v>0</v>
      </c>
      <c r="Y500">
        <v>0</v>
      </c>
      <c r="Z500">
        <v>0</v>
      </c>
      <c r="AA500">
        <v>0</v>
      </c>
      <c r="AB500">
        <v>0</v>
      </c>
      <c r="AC500">
        <v>0</v>
      </c>
      <c r="AD500">
        <v>0</v>
      </c>
      <c r="AE500">
        <v>0</v>
      </c>
      <c r="AF500">
        <v>0</v>
      </c>
      <c r="AG500" t="s">
        <v>71</v>
      </c>
      <c r="AH500">
        <v>0</v>
      </c>
      <c r="AI500">
        <v>0</v>
      </c>
      <c r="AJ500">
        <v>0</v>
      </c>
      <c r="AK500">
        <v>0</v>
      </c>
      <c r="AL500" t="s">
        <v>342</v>
      </c>
      <c r="AM500" t="s">
        <v>254</v>
      </c>
      <c r="AN500" t="s">
        <v>94</v>
      </c>
      <c r="AO500" t="s">
        <v>147</v>
      </c>
      <c r="AP500">
        <v>0</v>
      </c>
      <c r="AQ500">
        <v>0</v>
      </c>
      <c r="AR500">
        <v>0</v>
      </c>
      <c r="AS500">
        <v>0</v>
      </c>
      <c r="AT500">
        <v>24</v>
      </c>
      <c r="AU500">
        <v>0</v>
      </c>
      <c r="AV500">
        <v>0</v>
      </c>
      <c r="AW500">
        <v>0</v>
      </c>
      <c r="AX500">
        <v>0</v>
      </c>
      <c r="AY500">
        <v>0</v>
      </c>
    </row>
    <row r="501" spans="1:51" x14ac:dyDescent="0.25">
      <c r="A501">
        <v>92</v>
      </c>
      <c r="B501">
        <v>10090</v>
      </c>
      <c r="C501" t="s">
        <v>735</v>
      </c>
      <c r="D501" t="s">
        <v>96</v>
      </c>
      <c r="E501" t="s">
        <v>121</v>
      </c>
      <c r="F501" t="s">
        <v>98</v>
      </c>
      <c r="G501" t="s">
        <v>77</v>
      </c>
      <c r="H501" t="s">
        <v>78</v>
      </c>
      <c r="I501" t="s">
        <v>79</v>
      </c>
      <c r="J501" t="s">
        <v>119</v>
      </c>
      <c r="K501" t="s">
        <v>75</v>
      </c>
      <c r="L501" t="s">
        <v>76</v>
      </c>
      <c r="M501" t="s">
        <v>103</v>
      </c>
      <c r="N501" t="s">
        <v>74</v>
      </c>
      <c r="O501" t="s">
        <v>187</v>
      </c>
      <c r="P501" t="s">
        <v>71</v>
      </c>
      <c r="Q501" t="s">
        <v>71</v>
      </c>
      <c r="R501" t="s">
        <v>71</v>
      </c>
      <c r="S501">
        <v>1</v>
      </c>
      <c r="T501">
        <v>0</v>
      </c>
      <c r="U501" t="s">
        <v>72</v>
      </c>
      <c r="V501" t="s">
        <v>73</v>
      </c>
      <c r="W501">
        <v>0</v>
      </c>
      <c r="X501">
        <v>1</v>
      </c>
      <c r="Y501">
        <v>1</v>
      </c>
      <c r="Z501">
        <v>25</v>
      </c>
      <c r="AA501">
        <v>1</v>
      </c>
      <c r="AB501">
        <v>25</v>
      </c>
      <c r="AC501">
        <v>1</v>
      </c>
      <c r="AD501">
        <v>25</v>
      </c>
      <c r="AE501">
        <v>0</v>
      </c>
      <c r="AF501">
        <v>0</v>
      </c>
      <c r="AG501" t="s">
        <v>71</v>
      </c>
      <c r="AH501">
        <v>0</v>
      </c>
      <c r="AI501">
        <v>0</v>
      </c>
      <c r="AJ501">
        <v>0</v>
      </c>
      <c r="AK501">
        <v>0</v>
      </c>
      <c r="AL501" t="s">
        <v>342</v>
      </c>
      <c r="AM501" t="s">
        <v>254</v>
      </c>
      <c r="AN501" t="s">
        <v>94</v>
      </c>
      <c r="AO501" t="s">
        <v>147</v>
      </c>
      <c r="AP501">
        <v>0</v>
      </c>
      <c r="AQ501">
        <v>0</v>
      </c>
      <c r="AR501">
        <v>0</v>
      </c>
      <c r="AS501">
        <v>0</v>
      </c>
      <c r="AT501">
        <v>17</v>
      </c>
      <c r="AU501">
        <v>0</v>
      </c>
      <c r="AV501">
        <v>0</v>
      </c>
      <c r="AW501">
        <v>0</v>
      </c>
      <c r="AX501">
        <v>0</v>
      </c>
      <c r="AY501">
        <v>0</v>
      </c>
    </row>
    <row r="502" spans="1:51" x14ac:dyDescent="0.25">
      <c r="A502">
        <v>93</v>
      </c>
      <c r="B502">
        <v>10100</v>
      </c>
      <c r="C502" t="s">
        <v>735</v>
      </c>
      <c r="D502" t="s">
        <v>96</v>
      </c>
      <c r="E502" t="s">
        <v>121</v>
      </c>
      <c r="F502" t="s">
        <v>107</v>
      </c>
      <c r="G502" t="s">
        <v>77</v>
      </c>
      <c r="H502" t="s">
        <v>180</v>
      </c>
      <c r="I502" t="s">
        <v>79</v>
      </c>
      <c r="J502" t="s">
        <v>119</v>
      </c>
      <c r="K502" t="s">
        <v>75</v>
      </c>
      <c r="L502" t="s">
        <v>76</v>
      </c>
      <c r="M502" t="s">
        <v>149</v>
      </c>
      <c r="N502" t="s">
        <v>74</v>
      </c>
      <c r="O502" t="s">
        <v>187</v>
      </c>
      <c r="P502" t="s">
        <v>71</v>
      </c>
      <c r="Q502" t="s">
        <v>71</v>
      </c>
      <c r="R502" t="s">
        <v>71</v>
      </c>
      <c r="S502">
        <v>0</v>
      </c>
      <c r="T502">
        <v>0</v>
      </c>
      <c r="U502" t="s">
        <v>72</v>
      </c>
      <c r="V502" t="s">
        <v>192</v>
      </c>
      <c r="W502">
        <v>0</v>
      </c>
      <c r="X502">
        <v>1</v>
      </c>
      <c r="Y502">
        <v>0</v>
      </c>
      <c r="Z502">
        <v>0</v>
      </c>
      <c r="AA502">
        <v>0</v>
      </c>
      <c r="AB502">
        <v>0</v>
      </c>
      <c r="AC502">
        <v>0</v>
      </c>
      <c r="AD502">
        <v>0</v>
      </c>
      <c r="AE502">
        <v>0</v>
      </c>
      <c r="AF502">
        <v>0</v>
      </c>
      <c r="AG502" t="s">
        <v>71</v>
      </c>
      <c r="AH502">
        <v>0</v>
      </c>
      <c r="AI502">
        <v>0</v>
      </c>
      <c r="AJ502">
        <v>0</v>
      </c>
      <c r="AK502">
        <v>0</v>
      </c>
      <c r="AL502" t="s">
        <v>342</v>
      </c>
      <c r="AM502" t="s">
        <v>254</v>
      </c>
      <c r="AN502" t="s">
        <v>94</v>
      </c>
      <c r="AO502" t="s">
        <v>147</v>
      </c>
      <c r="AP502">
        <v>0</v>
      </c>
      <c r="AQ502">
        <v>0</v>
      </c>
      <c r="AR502">
        <v>0</v>
      </c>
      <c r="AS502">
        <v>0</v>
      </c>
      <c r="AT502">
        <v>4</v>
      </c>
      <c r="AU502">
        <v>0</v>
      </c>
      <c r="AV502">
        <v>0</v>
      </c>
      <c r="AW502">
        <v>0</v>
      </c>
      <c r="AX502">
        <v>0</v>
      </c>
      <c r="AY502">
        <v>0</v>
      </c>
    </row>
    <row r="503" spans="1:51" x14ac:dyDescent="0.25">
      <c r="A503">
        <v>94</v>
      </c>
      <c r="B503">
        <v>10110</v>
      </c>
      <c r="C503" t="s">
        <v>735</v>
      </c>
      <c r="D503" t="s">
        <v>96</v>
      </c>
      <c r="E503" t="s">
        <v>121</v>
      </c>
      <c r="F503" t="s">
        <v>111</v>
      </c>
      <c r="G503" t="s">
        <v>77</v>
      </c>
      <c r="H503" t="s">
        <v>181</v>
      </c>
      <c r="I503" t="s">
        <v>79</v>
      </c>
      <c r="J503" t="s">
        <v>119</v>
      </c>
      <c r="K503" t="s">
        <v>75</v>
      </c>
      <c r="L503" t="s">
        <v>76</v>
      </c>
      <c r="M503" t="s">
        <v>103</v>
      </c>
      <c r="N503" t="s">
        <v>74</v>
      </c>
      <c r="O503" t="s">
        <v>187</v>
      </c>
      <c r="P503" t="s">
        <v>71</v>
      </c>
      <c r="Q503" t="s">
        <v>71</v>
      </c>
      <c r="R503" t="s">
        <v>71</v>
      </c>
      <c r="S503">
        <v>0</v>
      </c>
      <c r="T503">
        <v>0</v>
      </c>
      <c r="U503" t="s">
        <v>72</v>
      </c>
      <c r="V503" t="s">
        <v>188</v>
      </c>
      <c r="W503">
        <v>0</v>
      </c>
      <c r="X503">
        <v>1</v>
      </c>
      <c r="Y503">
        <v>0</v>
      </c>
      <c r="Z503">
        <v>0</v>
      </c>
      <c r="AA503">
        <v>0</v>
      </c>
      <c r="AB503">
        <v>0</v>
      </c>
      <c r="AC503">
        <v>0</v>
      </c>
      <c r="AD503">
        <v>0</v>
      </c>
      <c r="AE503">
        <v>0</v>
      </c>
      <c r="AF503">
        <v>0</v>
      </c>
      <c r="AG503" t="s">
        <v>71</v>
      </c>
      <c r="AH503">
        <v>0</v>
      </c>
      <c r="AI503">
        <v>0</v>
      </c>
      <c r="AJ503">
        <v>0</v>
      </c>
      <c r="AK503">
        <v>0</v>
      </c>
      <c r="AL503" t="s">
        <v>342</v>
      </c>
      <c r="AM503" t="s">
        <v>254</v>
      </c>
      <c r="AN503" t="s">
        <v>94</v>
      </c>
      <c r="AO503" t="s">
        <v>147</v>
      </c>
      <c r="AP503">
        <v>0</v>
      </c>
      <c r="AQ503">
        <v>0</v>
      </c>
      <c r="AR503">
        <v>0</v>
      </c>
      <c r="AS503">
        <v>0</v>
      </c>
      <c r="AT503">
        <v>20</v>
      </c>
      <c r="AU503">
        <v>0</v>
      </c>
      <c r="AV503">
        <v>0</v>
      </c>
      <c r="AW503">
        <v>0</v>
      </c>
      <c r="AX503">
        <v>0</v>
      </c>
      <c r="AY503">
        <v>0</v>
      </c>
    </row>
    <row r="504" spans="1:51" x14ac:dyDescent="0.25">
      <c r="A504">
        <v>95</v>
      </c>
      <c r="B504">
        <v>10120</v>
      </c>
      <c r="C504" t="s">
        <v>735</v>
      </c>
      <c r="D504" t="s">
        <v>96</v>
      </c>
      <c r="E504" t="s">
        <v>100</v>
      </c>
      <c r="F504" t="s">
        <v>112</v>
      </c>
      <c r="G504" t="s">
        <v>77</v>
      </c>
      <c r="H504" t="s">
        <v>182</v>
      </c>
      <c r="I504" t="s">
        <v>79</v>
      </c>
      <c r="J504" t="s">
        <v>119</v>
      </c>
      <c r="K504" t="s">
        <v>75</v>
      </c>
      <c r="L504" t="s">
        <v>203</v>
      </c>
      <c r="M504" t="s">
        <v>177</v>
      </c>
      <c r="N504" t="s">
        <v>74</v>
      </c>
      <c r="O504" t="s">
        <v>187</v>
      </c>
      <c r="P504" t="s">
        <v>71</v>
      </c>
      <c r="Q504" t="s">
        <v>71</v>
      </c>
      <c r="R504" t="s">
        <v>71</v>
      </c>
      <c r="S504">
        <v>0</v>
      </c>
      <c r="T504">
        <v>1</v>
      </c>
      <c r="U504" t="s">
        <v>72</v>
      </c>
      <c r="V504" t="s">
        <v>192</v>
      </c>
      <c r="W504">
        <v>0</v>
      </c>
      <c r="X504">
        <v>1</v>
      </c>
      <c r="Y504">
        <v>0</v>
      </c>
      <c r="Z504">
        <v>0</v>
      </c>
      <c r="AA504">
        <v>0</v>
      </c>
      <c r="AB504">
        <v>0</v>
      </c>
      <c r="AC504">
        <v>0</v>
      </c>
      <c r="AD504">
        <v>0</v>
      </c>
      <c r="AE504">
        <v>0</v>
      </c>
      <c r="AF504">
        <v>0</v>
      </c>
      <c r="AG504" t="s">
        <v>71</v>
      </c>
      <c r="AH504">
        <v>0</v>
      </c>
      <c r="AI504">
        <v>0</v>
      </c>
      <c r="AJ504">
        <v>0</v>
      </c>
      <c r="AK504">
        <v>0</v>
      </c>
      <c r="AL504" t="s">
        <v>342</v>
      </c>
      <c r="AM504" t="s">
        <v>254</v>
      </c>
      <c r="AN504" t="s">
        <v>94</v>
      </c>
      <c r="AO504" t="s">
        <v>147</v>
      </c>
      <c r="AP504">
        <v>0</v>
      </c>
      <c r="AQ504">
        <v>0</v>
      </c>
      <c r="AR504">
        <v>0</v>
      </c>
      <c r="AS504">
        <v>0</v>
      </c>
      <c r="AT504">
        <v>20</v>
      </c>
      <c r="AU504">
        <v>0</v>
      </c>
      <c r="AV504">
        <v>0</v>
      </c>
      <c r="AW504">
        <v>0</v>
      </c>
      <c r="AX504">
        <v>0</v>
      </c>
      <c r="AY504">
        <v>0</v>
      </c>
    </row>
    <row r="505" spans="1:51" x14ac:dyDescent="0.25">
      <c r="A505">
        <v>96</v>
      </c>
      <c r="B505">
        <v>10130</v>
      </c>
      <c r="C505" t="s">
        <v>735</v>
      </c>
      <c r="D505" t="s">
        <v>96</v>
      </c>
      <c r="E505" t="s">
        <v>121</v>
      </c>
      <c r="F505" t="s">
        <v>107</v>
      </c>
      <c r="G505" t="s">
        <v>101</v>
      </c>
      <c r="H505" t="s">
        <v>78</v>
      </c>
      <c r="I505" t="s">
        <v>79</v>
      </c>
      <c r="J505" t="s">
        <v>119</v>
      </c>
      <c r="K505" t="s">
        <v>75</v>
      </c>
      <c r="L505" t="s">
        <v>76</v>
      </c>
      <c r="M505" t="s">
        <v>177</v>
      </c>
      <c r="N505" t="s">
        <v>74</v>
      </c>
      <c r="O505" t="s">
        <v>187</v>
      </c>
      <c r="P505" t="s">
        <v>71</v>
      </c>
      <c r="Q505" t="s">
        <v>71</v>
      </c>
      <c r="R505" t="s">
        <v>71</v>
      </c>
      <c r="S505">
        <v>1</v>
      </c>
      <c r="T505">
        <v>1</v>
      </c>
      <c r="U505" t="s">
        <v>72</v>
      </c>
      <c r="V505" t="s">
        <v>192</v>
      </c>
      <c r="W505">
        <v>0</v>
      </c>
      <c r="X505">
        <v>1</v>
      </c>
      <c r="Y505">
        <v>0</v>
      </c>
      <c r="Z505">
        <v>0</v>
      </c>
      <c r="AA505">
        <v>0</v>
      </c>
      <c r="AB505">
        <v>0</v>
      </c>
      <c r="AC505">
        <v>0</v>
      </c>
      <c r="AD505">
        <v>0</v>
      </c>
      <c r="AE505">
        <v>0</v>
      </c>
      <c r="AF505">
        <v>0</v>
      </c>
      <c r="AG505" t="s">
        <v>71</v>
      </c>
      <c r="AH505">
        <v>0</v>
      </c>
      <c r="AI505">
        <v>0</v>
      </c>
      <c r="AJ505">
        <v>0</v>
      </c>
      <c r="AK505">
        <v>0</v>
      </c>
      <c r="AL505" t="s">
        <v>342</v>
      </c>
      <c r="AM505" t="s">
        <v>254</v>
      </c>
      <c r="AN505" t="s">
        <v>94</v>
      </c>
      <c r="AO505" t="s">
        <v>147</v>
      </c>
      <c r="AP505">
        <v>0</v>
      </c>
      <c r="AQ505">
        <v>0</v>
      </c>
      <c r="AR505">
        <v>0</v>
      </c>
      <c r="AS505">
        <v>0</v>
      </c>
      <c r="AT505">
        <v>18</v>
      </c>
      <c r="AU505">
        <v>0</v>
      </c>
      <c r="AV505">
        <v>0</v>
      </c>
      <c r="AW505">
        <v>0</v>
      </c>
      <c r="AX505">
        <v>0</v>
      </c>
      <c r="AY505">
        <v>0</v>
      </c>
    </row>
    <row r="506" spans="1:51" x14ac:dyDescent="0.25">
      <c r="A506">
        <v>97</v>
      </c>
      <c r="B506">
        <v>10140</v>
      </c>
      <c r="C506" t="s">
        <v>735</v>
      </c>
      <c r="D506" t="s">
        <v>96</v>
      </c>
      <c r="E506" t="s">
        <v>186</v>
      </c>
      <c r="F506" t="s">
        <v>107</v>
      </c>
      <c r="G506" t="s">
        <v>184</v>
      </c>
      <c r="H506" t="s">
        <v>78</v>
      </c>
      <c r="I506" t="s">
        <v>79</v>
      </c>
      <c r="J506" t="s">
        <v>119</v>
      </c>
      <c r="K506" t="s">
        <v>75</v>
      </c>
      <c r="L506" t="s">
        <v>76</v>
      </c>
      <c r="M506" t="s">
        <v>177</v>
      </c>
      <c r="N506" t="s">
        <v>74</v>
      </c>
      <c r="O506" t="s">
        <v>187</v>
      </c>
      <c r="P506" t="s">
        <v>71</v>
      </c>
      <c r="Q506" t="s">
        <v>71</v>
      </c>
      <c r="R506" t="s">
        <v>71</v>
      </c>
      <c r="S506">
        <v>1</v>
      </c>
      <c r="T506">
        <v>1</v>
      </c>
      <c r="U506" t="s">
        <v>72</v>
      </c>
      <c r="V506" t="s">
        <v>73</v>
      </c>
      <c r="W506">
        <v>0</v>
      </c>
      <c r="X506">
        <v>1</v>
      </c>
      <c r="Y506">
        <v>1</v>
      </c>
      <c r="Z506">
        <v>-25</v>
      </c>
      <c r="AA506">
        <v>1</v>
      </c>
      <c r="AB506">
        <v>-25</v>
      </c>
      <c r="AC506">
        <v>1</v>
      </c>
      <c r="AD506">
        <v>-25</v>
      </c>
      <c r="AE506">
        <v>0</v>
      </c>
      <c r="AF506">
        <v>0</v>
      </c>
      <c r="AG506" t="s">
        <v>71</v>
      </c>
      <c r="AH506">
        <v>0</v>
      </c>
      <c r="AI506">
        <v>0</v>
      </c>
      <c r="AJ506">
        <v>0</v>
      </c>
      <c r="AK506">
        <v>0</v>
      </c>
      <c r="AL506" t="s">
        <v>342</v>
      </c>
      <c r="AM506" t="s">
        <v>254</v>
      </c>
      <c r="AN506" t="s">
        <v>94</v>
      </c>
      <c r="AO506" t="s">
        <v>147</v>
      </c>
      <c r="AP506">
        <v>0</v>
      </c>
      <c r="AQ506">
        <v>0</v>
      </c>
      <c r="AR506">
        <v>0</v>
      </c>
      <c r="AS506">
        <v>0</v>
      </c>
      <c r="AT506">
        <v>19</v>
      </c>
      <c r="AU506">
        <v>0</v>
      </c>
      <c r="AV506">
        <v>0</v>
      </c>
      <c r="AW506">
        <v>0</v>
      </c>
      <c r="AX506">
        <v>0</v>
      </c>
      <c r="AY506">
        <v>0</v>
      </c>
    </row>
    <row r="507" spans="1:51" x14ac:dyDescent="0.25">
      <c r="A507">
        <v>98</v>
      </c>
      <c r="B507">
        <v>10150</v>
      </c>
      <c r="C507" t="s">
        <v>735</v>
      </c>
      <c r="D507" t="s">
        <v>96</v>
      </c>
      <c r="E507" t="s">
        <v>190</v>
      </c>
      <c r="F507" t="s">
        <v>107</v>
      </c>
      <c r="G507" t="s">
        <v>185</v>
      </c>
      <c r="H507" t="s">
        <v>78</v>
      </c>
      <c r="I507" t="s">
        <v>79</v>
      </c>
      <c r="J507" t="s">
        <v>119</v>
      </c>
      <c r="K507" t="s">
        <v>75</v>
      </c>
      <c r="L507" t="s">
        <v>76</v>
      </c>
      <c r="M507" t="s">
        <v>177</v>
      </c>
      <c r="N507" t="s">
        <v>74</v>
      </c>
      <c r="O507" t="s">
        <v>187</v>
      </c>
      <c r="P507" t="s">
        <v>71</v>
      </c>
      <c r="Q507" t="s">
        <v>71</v>
      </c>
      <c r="R507" t="s">
        <v>71</v>
      </c>
      <c r="S507">
        <v>1</v>
      </c>
      <c r="T507">
        <v>1</v>
      </c>
      <c r="U507" t="s">
        <v>72</v>
      </c>
      <c r="V507" t="s">
        <v>73</v>
      </c>
      <c r="W507">
        <v>0</v>
      </c>
      <c r="X507">
        <v>1</v>
      </c>
      <c r="Y507">
        <v>0</v>
      </c>
      <c r="Z507">
        <v>0</v>
      </c>
      <c r="AA507">
        <v>0</v>
      </c>
      <c r="AB507">
        <v>0</v>
      </c>
      <c r="AC507">
        <v>0</v>
      </c>
      <c r="AD507">
        <v>0</v>
      </c>
      <c r="AE507">
        <v>0</v>
      </c>
      <c r="AF507">
        <v>0</v>
      </c>
      <c r="AG507" t="s">
        <v>71</v>
      </c>
      <c r="AH507">
        <v>0</v>
      </c>
      <c r="AI507">
        <v>0</v>
      </c>
      <c r="AJ507">
        <v>0</v>
      </c>
      <c r="AK507">
        <v>0</v>
      </c>
      <c r="AL507" t="s">
        <v>342</v>
      </c>
      <c r="AM507" t="s">
        <v>254</v>
      </c>
      <c r="AN507" t="s">
        <v>94</v>
      </c>
      <c r="AO507" t="s">
        <v>147</v>
      </c>
      <c r="AP507">
        <v>0</v>
      </c>
      <c r="AQ507">
        <v>0</v>
      </c>
      <c r="AR507">
        <v>0</v>
      </c>
      <c r="AS507">
        <v>0</v>
      </c>
      <c r="AT507">
        <v>18</v>
      </c>
      <c r="AU507">
        <v>0</v>
      </c>
      <c r="AV507">
        <v>0</v>
      </c>
      <c r="AW507">
        <v>0</v>
      </c>
      <c r="AX507">
        <v>0</v>
      </c>
      <c r="AY507">
        <v>0</v>
      </c>
    </row>
    <row r="508" spans="1:51" x14ac:dyDescent="0.25">
      <c r="A508">
        <v>99</v>
      </c>
      <c r="B508">
        <v>10160</v>
      </c>
      <c r="C508" t="s">
        <v>735</v>
      </c>
      <c r="D508" t="s">
        <v>96</v>
      </c>
      <c r="E508" t="s">
        <v>190</v>
      </c>
      <c r="F508" t="s">
        <v>107</v>
      </c>
      <c r="G508" t="s">
        <v>77</v>
      </c>
      <c r="H508" t="s">
        <v>78</v>
      </c>
      <c r="I508" t="s">
        <v>79</v>
      </c>
      <c r="J508" t="s">
        <v>70</v>
      </c>
      <c r="K508" t="s">
        <v>75</v>
      </c>
      <c r="L508" t="s">
        <v>76</v>
      </c>
      <c r="M508" t="s">
        <v>103</v>
      </c>
      <c r="N508" t="s">
        <v>74</v>
      </c>
      <c r="O508" t="s">
        <v>187</v>
      </c>
      <c r="P508" t="s">
        <v>71</v>
      </c>
      <c r="Q508" t="s">
        <v>110</v>
      </c>
      <c r="R508" t="s">
        <v>71</v>
      </c>
      <c r="S508">
        <v>1</v>
      </c>
      <c r="T508">
        <v>1</v>
      </c>
      <c r="U508" t="s">
        <v>72</v>
      </c>
      <c r="V508" t="s">
        <v>192</v>
      </c>
      <c r="W508">
        <v>0</v>
      </c>
      <c r="X508">
        <v>1</v>
      </c>
      <c r="Y508">
        <v>1</v>
      </c>
      <c r="Z508">
        <v>10</v>
      </c>
      <c r="AA508">
        <v>1</v>
      </c>
      <c r="AB508">
        <v>10</v>
      </c>
      <c r="AC508">
        <v>1</v>
      </c>
      <c r="AD508">
        <v>10</v>
      </c>
      <c r="AE508">
        <v>0</v>
      </c>
      <c r="AF508">
        <v>0</v>
      </c>
      <c r="AG508" t="s">
        <v>71</v>
      </c>
      <c r="AH508">
        <v>0</v>
      </c>
      <c r="AI508">
        <v>0</v>
      </c>
      <c r="AJ508">
        <v>0</v>
      </c>
      <c r="AK508">
        <v>0</v>
      </c>
      <c r="AL508" t="s">
        <v>342</v>
      </c>
      <c r="AM508" t="s">
        <v>254</v>
      </c>
      <c r="AN508" t="s">
        <v>94</v>
      </c>
      <c r="AO508" t="s">
        <v>147</v>
      </c>
      <c r="AP508">
        <v>257</v>
      </c>
      <c r="AQ508">
        <v>0</v>
      </c>
      <c r="AR508">
        <v>0</v>
      </c>
      <c r="AS508">
        <v>0</v>
      </c>
      <c r="AT508">
        <v>0</v>
      </c>
      <c r="AU508">
        <v>0</v>
      </c>
      <c r="AV508">
        <v>0</v>
      </c>
      <c r="AW508">
        <v>0</v>
      </c>
      <c r="AX508">
        <v>0</v>
      </c>
      <c r="AY508">
        <v>0</v>
      </c>
    </row>
    <row r="509" spans="1:51" x14ac:dyDescent="0.25">
      <c r="A509">
        <v>100</v>
      </c>
      <c r="B509">
        <v>10170</v>
      </c>
      <c r="C509" t="s">
        <v>735</v>
      </c>
      <c r="D509" t="s">
        <v>96</v>
      </c>
      <c r="E509" t="s">
        <v>121</v>
      </c>
      <c r="F509" t="s">
        <v>107</v>
      </c>
      <c r="G509" t="s">
        <v>77</v>
      </c>
      <c r="H509" t="s">
        <v>78</v>
      </c>
      <c r="I509" t="s">
        <v>79</v>
      </c>
      <c r="J509" t="s">
        <v>150</v>
      </c>
      <c r="K509" t="s">
        <v>75</v>
      </c>
      <c r="L509" t="s">
        <v>76</v>
      </c>
      <c r="M509" t="s">
        <v>103</v>
      </c>
      <c r="N509" t="s">
        <v>74</v>
      </c>
      <c r="O509" t="s">
        <v>187</v>
      </c>
      <c r="P509" t="s">
        <v>71</v>
      </c>
      <c r="Q509" t="s">
        <v>110</v>
      </c>
      <c r="R509" t="s">
        <v>71</v>
      </c>
      <c r="S509">
        <v>1</v>
      </c>
      <c r="T509">
        <v>1</v>
      </c>
      <c r="U509" t="s">
        <v>72</v>
      </c>
      <c r="V509" t="s">
        <v>192</v>
      </c>
      <c r="W509">
        <v>0</v>
      </c>
      <c r="X509">
        <v>1</v>
      </c>
      <c r="Y509">
        <v>0</v>
      </c>
      <c r="Z509">
        <v>0</v>
      </c>
      <c r="AA509">
        <v>0</v>
      </c>
      <c r="AB509">
        <v>0</v>
      </c>
      <c r="AC509">
        <v>0</v>
      </c>
      <c r="AD509">
        <v>0</v>
      </c>
      <c r="AE509">
        <v>0</v>
      </c>
      <c r="AF509">
        <v>0</v>
      </c>
      <c r="AG509" t="s">
        <v>71</v>
      </c>
      <c r="AH509">
        <v>0</v>
      </c>
      <c r="AI509">
        <v>0</v>
      </c>
      <c r="AJ509">
        <v>0</v>
      </c>
      <c r="AK509">
        <v>0</v>
      </c>
      <c r="AL509" t="s">
        <v>342</v>
      </c>
      <c r="AM509" t="s">
        <v>254</v>
      </c>
      <c r="AN509" t="s">
        <v>94</v>
      </c>
      <c r="AO509" t="s">
        <v>147</v>
      </c>
      <c r="AP509">
        <v>256</v>
      </c>
      <c r="AQ509">
        <v>0</v>
      </c>
      <c r="AR509">
        <v>0</v>
      </c>
      <c r="AS509">
        <v>0</v>
      </c>
      <c r="AT509">
        <v>0</v>
      </c>
      <c r="AU509">
        <v>0</v>
      </c>
      <c r="AV509">
        <v>0</v>
      </c>
      <c r="AW509">
        <v>0</v>
      </c>
      <c r="AX509">
        <v>0</v>
      </c>
      <c r="AY509">
        <v>0</v>
      </c>
    </row>
    <row r="510" spans="1:51" x14ac:dyDescent="0.25">
      <c r="A510">
        <v>101</v>
      </c>
      <c r="B510">
        <v>10180</v>
      </c>
      <c r="C510" t="s">
        <v>735</v>
      </c>
      <c r="D510" t="s">
        <v>96</v>
      </c>
      <c r="E510" t="s">
        <v>100</v>
      </c>
      <c r="F510" t="s">
        <v>107</v>
      </c>
      <c r="G510" t="s">
        <v>77</v>
      </c>
      <c r="H510" t="s">
        <v>78</v>
      </c>
      <c r="I510" t="s">
        <v>79</v>
      </c>
      <c r="J510" t="s">
        <v>152</v>
      </c>
      <c r="K510" t="s">
        <v>75</v>
      </c>
      <c r="L510" t="s">
        <v>76</v>
      </c>
      <c r="M510" t="s">
        <v>103</v>
      </c>
      <c r="N510" t="s">
        <v>74</v>
      </c>
      <c r="O510" t="s">
        <v>187</v>
      </c>
      <c r="P510" t="s">
        <v>71</v>
      </c>
      <c r="Q510" t="s">
        <v>110</v>
      </c>
      <c r="R510" t="s">
        <v>71</v>
      </c>
      <c r="S510">
        <v>1</v>
      </c>
      <c r="T510">
        <v>0</v>
      </c>
      <c r="U510" t="s">
        <v>72</v>
      </c>
      <c r="V510" t="s">
        <v>192</v>
      </c>
      <c r="W510">
        <v>0</v>
      </c>
      <c r="X510">
        <v>1</v>
      </c>
      <c r="Y510">
        <v>0</v>
      </c>
      <c r="Z510">
        <v>0</v>
      </c>
      <c r="AA510">
        <v>0</v>
      </c>
      <c r="AB510">
        <v>0</v>
      </c>
      <c r="AC510">
        <v>0</v>
      </c>
      <c r="AD510">
        <v>0</v>
      </c>
      <c r="AE510">
        <v>0</v>
      </c>
      <c r="AF510">
        <v>0</v>
      </c>
      <c r="AG510" t="s">
        <v>71</v>
      </c>
      <c r="AH510">
        <v>0</v>
      </c>
      <c r="AI510">
        <v>0</v>
      </c>
      <c r="AJ510">
        <v>0</v>
      </c>
      <c r="AK510">
        <v>0</v>
      </c>
      <c r="AL510" t="s">
        <v>342</v>
      </c>
      <c r="AM510" t="s">
        <v>254</v>
      </c>
      <c r="AN510" t="s">
        <v>94</v>
      </c>
      <c r="AO510" t="s">
        <v>147</v>
      </c>
      <c r="AP510">
        <v>512</v>
      </c>
      <c r="AQ510">
        <v>0</v>
      </c>
      <c r="AR510">
        <v>0</v>
      </c>
      <c r="AS510">
        <v>0</v>
      </c>
      <c r="AT510">
        <v>0</v>
      </c>
      <c r="AU510">
        <v>0</v>
      </c>
      <c r="AV510">
        <v>0</v>
      </c>
      <c r="AW510">
        <v>0</v>
      </c>
      <c r="AX510">
        <v>0</v>
      </c>
      <c r="AY510">
        <v>0</v>
      </c>
    </row>
    <row r="511" spans="1:51" x14ac:dyDescent="0.25">
      <c r="A511">
        <v>102</v>
      </c>
      <c r="B511">
        <v>10190</v>
      </c>
      <c r="C511" t="s">
        <v>735</v>
      </c>
      <c r="D511" t="s">
        <v>96</v>
      </c>
      <c r="E511" t="s">
        <v>186</v>
      </c>
      <c r="F511" t="s">
        <v>107</v>
      </c>
      <c r="G511" t="s">
        <v>77</v>
      </c>
      <c r="H511" t="s">
        <v>78</v>
      </c>
      <c r="I511" t="s">
        <v>79</v>
      </c>
      <c r="J511" t="s">
        <v>70</v>
      </c>
      <c r="K511" t="s">
        <v>75</v>
      </c>
      <c r="L511" t="s">
        <v>76</v>
      </c>
      <c r="M511" t="s">
        <v>103</v>
      </c>
      <c r="N511" t="s">
        <v>74</v>
      </c>
      <c r="O511" t="s">
        <v>187</v>
      </c>
      <c r="P511" t="s">
        <v>71</v>
      </c>
      <c r="Q511" t="s">
        <v>110</v>
      </c>
      <c r="R511" t="s">
        <v>71</v>
      </c>
      <c r="S511">
        <v>1</v>
      </c>
      <c r="T511">
        <v>1</v>
      </c>
      <c r="U511" t="s">
        <v>72</v>
      </c>
      <c r="V511" t="s">
        <v>192</v>
      </c>
      <c r="W511">
        <v>0</v>
      </c>
      <c r="X511">
        <v>1</v>
      </c>
      <c r="Y511">
        <v>0</v>
      </c>
      <c r="Z511">
        <v>0</v>
      </c>
      <c r="AA511">
        <v>0</v>
      </c>
      <c r="AB511">
        <v>0</v>
      </c>
      <c r="AC511">
        <v>0</v>
      </c>
      <c r="AD511">
        <v>0</v>
      </c>
      <c r="AE511">
        <v>0</v>
      </c>
      <c r="AF511">
        <v>0</v>
      </c>
      <c r="AG511" t="s">
        <v>71</v>
      </c>
      <c r="AH511">
        <v>0</v>
      </c>
      <c r="AI511">
        <v>0</v>
      </c>
      <c r="AJ511">
        <v>0</v>
      </c>
      <c r="AK511">
        <v>0</v>
      </c>
      <c r="AL511" t="s">
        <v>342</v>
      </c>
      <c r="AM511" t="s">
        <v>254</v>
      </c>
      <c r="AN511" t="s">
        <v>94</v>
      </c>
      <c r="AO511" t="s">
        <v>147</v>
      </c>
      <c r="AP511">
        <v>256</v>
      </c>
      <c r="AQ511">
        <v>0</v>
      </c>
      <c r="AR511">
        <v>0</v>
      </c>
      <c r="AS511">
        <v>0</v>
      </c>
      <c r="AT511">
        <v>0</v>
      </c>
      <c r="AU511">
        <v>0</v>
      </c>
      <c r="AV511">
        <v>0</v>
      </c>
      <c r="AW511">
        <v>0</v>
      </c>
      <c r="AX511">
        <v>0</v>
      </c>
      <c r="AY511">
        <v>0</v>
      </c>
    </row>
    <row r="512" spans="1:51" x14ac:dyDescent="0.25">
      <c r="A512">
        <v>103</v>
      </c>
      <c r="B512">
        <v>10200</v>
      </c>
      <c r="C512" t="s">
        <v>735</v>
      </c>
      <c r="D512" t="s">
        <v>96</v>
      </c>
      <c r="E512" t="s">
        <v>100</v>
      </c>
      <c r="F512" t="s">
        <v>107</v>
      </c>
      <c r="G512" t="s">
        <v>77</v>
      </c>
      <c r="H512" t="s">
        <v>78</v>
      </c>
      <c r="I512" t="s">
        <v>79</v>
      </c>
      <c r="J512" t="s">
        <v>70</v>
      </c>
      <c r="K512" t="s">
        <v>75</v>
      </c>
      <c r="L512" t="s">
        <v>223</v>
      </c>
      <c r="M512" t="s">
        <v>103</v>
      </c>
      <c r="N512" t="s">
        <v>74</v>
      </c>
      <c r="O512" t="s">
        <v>187</v>
      </c>
      <c r="P512" t="s">
        <v>71</v>
      </c>
      <c r="Q512" t="s">
        <v>110</v>
      </c>
      <c r="R512" t="s">
        <v>71</v>
      </c>
      <c r="S512">
        <v>1</v>
      </c>
      <c r="T512">
        <v>1</v>
      </c>
      <c r="U512" t="s">
        <v>72</v>
      </c>
      <c r="V512" t="s">
        <v>192</v>
      </c>
      <c r="W512">
        <v>0</v>
      </c>
      <c r="X512">
        <v>1</v>
      </c>
      <c r="Y512">
        <v>0</v>
      </c>
      <c r="Z512">
        <v>0</v>
      </c>
      <c r="AA512">
        <v>0</v>
      </c>
      <c r="AB512">
        <v>0</v>
      </c>
      <c r="AC512">
        <v>0</v>
      </c>
      <c r="AD512">
        <v>0</v>
      </c>
      <c r="AE512">
        <v>0</v>
      </c>
      <c r="AF512">
        <v>0</v>
      </c>
      <c r="AG512" t="s">
        <v>71</v>
      </c>
      <c r="AH512">
        <v>0</v>
      </c>
      <c r="AI512">
        <v>0</v>
      </c>
      <c r="AJ512">
        <v>0</v>
      </c>
      <c r="AK512">
        <v>0</v>
      </c>
      <c r="AL512" t="s">
        <v>342</v>
      </c>
      <c r="AM512" t="s">
        <v>254</v>
      </c>
      <c r="AN512" t="s">
        <v>94</v>
      </c>
      <c r="AO512" t="s">
        <v>147</v>
      </c>
      <c r="AP512">
        <v>128</v>
      </c>
      <c r="AQ512">
        <v>0</v>
      </c>
      <c r="AR512">
        <v>0</v>
      </c>
      <c r="AS512">
        <v>0</v>
      </c>
      <c r="AT512">
        <v>0</v>
      </c>
      <c r="AU512">
        <v>0</v>
      </c>
      <c r="AV512">
        <v>0</v>
      </c>
      <c r="AW512">
        <v>0</v>
      </c>
      <c r="AX512">
        <v>0</v>
      </c>
      <c r="AY512">
        <v>0</v>
      </c>
    </row>
    <row r="513" spans="1:51" x14ac:dyDescent="0.25">
      <c r="A513">
        <v>104</v>
      </c>
      <c r="B513">
        <v>10210</v>
      </c>
      <c r="C513" t="s">
        <v>735</v>
      </c>
      <c r="D513" t="s">
        <v>96</v>
      </c>
      <c r="E513" t="s">
        <v>100</v>
      </c>
      <c r="F513" t="s">
        <v>107</v>
      </c>
      <c r="G513" t="s">
        <v>77</v>
      </c>
      <c r="H513" t="s">
        <v>78</v>
      </c>
      <c r="I513" t="s">
        <v>79</v>
      </c>
      <c r="J513" t="s">
        <v>70</v>
      </c>
      <c r="K513" t="s">
        <v>75</v>
      </c>
      <c r="L513" t="s">
        <v>203</v>
      </c>
      <c r="M513" t="s">
        <v>103</v>
      </c>
      <c r="N513" t="s">
        <v>74</v>
      </c>
      <c r="O513" t="s">
        <v>187</v>
      </c>
      <c r="P513" t="s">
        <v>71</v>
      </c>
      <c r="Q513" t="s">
        <v>110</v>
      </c>
      <c r="R513" t="s">
        <v>71</v>
      </c>
      <c r="S513">
        <v>1</v>
      </c>
      <c r="T513">
        <v>1</v>
      </c>
      <c r="U513" t="s">
        <v>72</v>
      </c>
      <c r="V513" t="s">
        <v>192</v>
      </c>
      <c r="W513">
        <v>0</v>
      </c>
      <c r="X513">
        <v>1</v>
      </c>
      <c r="Y513">
        <v>0</v>
      </c>
      <c r="Z513">
        <v>0</v>
      </c>
      <c r="AA513">
        <v>0</v>
      </c>
      <c r="AB513">
        <v>0</v>
      </c>
      <c r="AC513">
        <v>0</v>
      </c>
      <c r="AD513">
        <v>0</v>
      </c>
      <c r="AE513">
        <v>0</v>
      </c>
      <c r="AF513">
        <v>0</v>
      </c>
      <c r="AG513" t="s">
        <v>71</v>
      </c>
      <c r="AH513">
        <v>0</v>
      </c>
      <c r="AI513">
        <v>0</v>
      </c>
      <c r="AJ513">
        <v>0</v>
      </c>
      <c r="AK513">
        <v>0</v>
      </c>
      <c r="AL513" t="s">
        <v>342</v>
      </c>
      <c r="AM513" t="s">
        <v>254</v>
      </c>
      <c r="AN513" t="s">
        <v>94</v>
      </c>
      <c r="AO513" t="s">
        <v>147</v>
      </c>
      <c r="AP513">
        <v>128</v>
      </c>
      <c r="AQ513">
        <v>0</v>
      </c>
      <c r="AR513">
        <v>0</v>
      </c>
      <c r="AS513">
        <v>0</v>
      </c>
      <c r="AT513">
        <v>0</v>
      </c>
      <c r="AU513">
        <v>0</v>
      </c>
      <c r="AV513">
        <v>0</v>
      </c>
      <c r="AW513">
        <v>0</v>
      </c>
      <c r="AX513">
        <v>0</v>
      </c>
      <c r="AY513">
        <v>0</v>
      </c>
    </row>
    <row r="514" spans="1:51" x14ac:dyDescent="0.25">
      <c r="A514">
        <v>105</v>
      </c>
      <c r="B514">
        <v>10220</v>
      </c>
      <c r="C514" t="s">
        <v>735</v>
      </c>
      <c r="D514" t="s">
        <v>96</v>
      </c>
      <c r="E514" t="s">
        <v>100</v>
      </c>
      <c r="F514" t="s">
        <v>107</v>
      </c>
      <c r="G514" t="s">
        <v>77</v>
      </c>
      <c r="H514" t="s">
        <v>78</v>
      </c>
      <c r="I514" t="s">
        <v>79</v>
      </c>
      <c r="J514" t="s">
        <v>70</v>
      </c>
      <c r="K514" t="s">
        <v>75</v>
      </c>
      <c r="L514" t="s">
        <v>205</v>
      </c>
      <c r="M514" t="s">
        <v>103</v>
      </c>
      <c r="N514" t="s">
        <v>74</v>
      </c>
      <c r="O514" t="s">
        <v>187</v>
      </c>
      <c r="P514" t="s">
        <v>71</v>
      </c>
      <c r="Q514" t="s">
        <v>110</v>
      </c>
      <c r="R514" t="s">
        <v>71</v>
      </c>
      <c r="S514">
        <v>1</v>
      </c>
      <c r="T514">
        <v>1</v>
      </c>
      <c r="U514" t="s">
        <v>72</v>
      </c>
      <c r="V514" t="s">
        <v>192</v>
      </c>
      <c r="W514">
        <v>0</v>
      </c>
      <c r="X514">
        <v>1</v>
      </c>
      <c r="Y514">
        <v>0</v>
      </c>
      <c r="Z514">
        <v>0</v>
      </c>
      <c r="AA514">
        <v>0</v>
      </c>
      <c r="AB514">
        <v>0</v>
      </c>
      <c r="AC514">
        <v>0</v>
      </c>
      <c r="AD514">
        <v>0</v>
      </c>
      <c r="AE514">
        <v>0</v>
      </c>
      <c r="AF514">
        <v>0</v>
      </c>
      <c r="AG514" t="s">
        <v>71</v>
      </c>
      <c r="AH514">
        <v>0</v>
      </c>
      <c r="AI514">
        <v>0</v>
      </c>
      <c r="AJ514">
        <v>0</v>
      </c>
      <c r="AK514">
        <v>0</v>
      </c>
      <c r="AL514" t="s">
        <v>342</v>
      </c>
      <c r="AM514" t="s">
        <v>254</v>
      </c>
      <c r="AN514" t="s">
        <v>94</v>
      </c>
      <c r="AO514" t="s">
        <v>147</v>
      </c>
      <c r="AP514">
        <v>128</v>
      </c>
      <c r="AQ514">
        <v>0</v>
      </c>
      <c r="AR514">
        <v>0</v>
      </c>
      <c r="AS514">
        <v>0</v>
      </c>
      <c r="AT514">
        <v>0</v>
      </c>
      <c r="AU514">
        <v>0</v>
      </c>
      <c r="AV514">
        <v>0</v>
      </c>
      <c r="AW514">
        <v>0</v>
      </c>
      <c r="AX514">
        <v>0</v>
      </c>
      <c r="AY514">
        <v>0</v>
      </c>
    </row>
    <row r="515" spans="1:51" x14ac:dyDescent="0.25">
      <c r="A515">
        <v>106</v>
      </c>
      <c r="B515">
        <v>10230</v>
      </c>
      <c r="C515" t="s">
        <v>735</v>
      </c>
      <c r="D515" t="s">
        <v>96</v>
      </c>
      <c r="E515" t="s">
        <v>100</v>
      </c>
      <c r="F515" t="s">
        <v>107</v>
      </c>
      <c r="G515" t="s">
        <v>77</v>
      </c>
      <c r="H515" t="s">
        <v>78</v>
      </c>
      <c r="I515" t="s">
        <v>79</v>
      </c>
      <c r="J515" t="s">
        <v>70</v>
      </c>
      <c r="K515" t="s">
        <v>75</v>
      </c>
      <c r="L515" t="s">
        <v>76</v>
      </c>
      <c r="M515" t="s">
        <v>103</v>
      </c>
      <c r="N515" t="s">
        <v>74</v>
      </c>
      <c r="O515" t="s">
        <v>187</v>
      </c>
      <c r="P515" t="s">
        <v>71</v>
      </c>
      <c r="Q515" t="s">
        <v>110</v>
      </c>
      <c r="R515" t="s">
        <v>71</v>
      </c>
      <c r="S515">
        <v>1</v>
      </c>
      <c r="T515">
        <v>1</v>
      </c>
      <c r="U515" t="s">
        <v>72</v>
      </c>
      <c r="V515" t="s">
        <v>73</v>
      </c>
      <c r="W515">
        <v>0</v>
      </c>
      <c r="X515">
        <v>1</v>
      </c>
      <c r="Y515">
        <v>0</v>
      </c>
      <c r="Z515">
        <v>0</v>
      </c>
      <c r="AA515">
        <v>0</v>
      </c>
      <c r="AB515">
        <v>0</v>
      </c>
      <c r="AC515">
        <v>0</v>
      </c>
      <c r="AD515">
        <v>0</v>
      </c>
      <c r="AE515">
        <v>0</v>
      </c>
      <c r="AF515">
        <v>0</v>
      </c>
      <c r="AG515" t="s">
        <v>71</v>
      </c>
      <c r="AH515">
        <v>0</v>
      </c>
      <c r="AI515">
        <v>0</v>
      </c>
      <c r="AJ515">
        <v>0</v>
      </c>
      <c r="AK515">
        <v>0</v>
      </c>
      <c r="AL515" t="s">
        <v>342</v>
      </c>
      <c r="AM515" t="s">
        <v>254</v>
      </c>
      <c r="AN515" t="s">
        <v>94</v>
      </c>
      <c r="AO515" t="s">
        <v>147</v>
      </c>
      <c r="AP515">
        <v>0</v>
      </c>
      <c r="AQ515">
        <v>0</v>
      </c>
      <c r="AR515">
        <v>0</v>
      </c>
      <c r="AS515">
        <v>0</v>
      </c>
      <c r="AT515">
        <v>0</v>
      </c>
      <c r="AU515">
        <v>0</v>
      </c>
      <c r="AV515">
        <v>0</v>
      </c>
      <c r="AW515">
        <v>0</v>
      </c>
      <c r="AX515">
        <v>0</v>
      </c>
      <c r="AY515">
        <v>0</v>
      </c>
    </row>
    <row r="516" spans="1:51" x14ac:dyDescent="0.25">
      <c r="A516">
        <v>107</v>
      </c>
      <c r="B516">
        <v>10240</v>
      </c>
      <c r="C516" t="s">
        <v>735</v>
      </c>
      <c r="D516" t="s">
        <v>96</v>
      </c>
      <c r="E516" t="s">
        <v>100</v>
      </c>
      <c r="F516" t="s">
        <v>107</v>
      </c>
      <c r="G516" t="s">
        <v>77</v>
      </c>
      <c r="H516" t="s">
        <v>78</v>
      </c>
      <c r="I516" t="s">
        <v>79</v>
      </c>
      <c r="J516" t="s">
        <v>70</v>
      </c>
      <c r="K516" t="s">
        <v>75</v>
      </c>
      <c r="L516" t="s">
        <v>76</v>
      </c>
      <c r="M516" t="s">
        <v>103</v>
      </c>
      <c r="N516" t="s">
        <v>74</v>
      </c>
      <c r="O516" t="s">
        <v>187</v>
      </c>
      <c r="P516" t="s">
        <v>71</v>
      </c>
      <c r="Q516" t="s">
        <v>110</v>
      </c>
      <c r="R516" t="s">
        <v>71</v>
      </c>
      <c r="S516">
        <v>1</v>
      </c>
      <c r="T516">
        <v>1</v>
      </c>
      <c r="U516" t="s">
        <v>72</v>
      </c>
      <c r="V516" t="s">
        <v>188</v>
      </c>
      <c r="W516">
        <v>0</v>
      </c>
      <c r="X516">
        <v>1</v>
      </c>
      <c r="Y516">
        <v>0</v>
      </c>
      <c r="Z516">
        <v>0</v>
      </c>
      <c r="AA516">
        <v>0</v>
      </c>
      <c r="AB516">
        <v>0</v>
      </c>
      <c r="AC516">
        <v>0</v>
      </c>
      <c r="AD516">
        <v>0</v>
      </c>
      <c r="AE516">
        <v>0</v>
      </c>
      <c r="AF516">
        <v>0</v>
      </c>
      <c r="AG516" t="s">
        <v>71</v>
      </c>
      <c r="AH516">
        <v>0</v>
      </c>
      <c r="AI516">
        <v>0</v>
      </c>
      <c r="AJ516">
        <v>0</v>
      </c>
      <c r="AK516">
        <v>0</v>
      </c>
      <c r="AL516" t="s">
        <v>342</v>
      </c>
      <c r="AM516" t="s">
        <v>254</v>
      </c>
      <c r="AN516" t="s">
        <v>94</v>
      </c>
      <c r="AO516" t="s">
        <v>147</v>
      </c>
      <c r="AP516">
        <v>32</v>
      </c>
      <c r="AQ516">
        <v>0</v>
      </c>
      <c r="AR516">
        <v>0</v>
      </c>
      <c r="AS516">
        <v>0</v>
      </c>
      <c r="AT516">
        <v>0</v>
      </c>
      <c r="AU516">
        <v>0</v>
      </c>
      <c r="AV516">
        <v>0</v>
      </c>
      <c r="AW516">
        <v>0</v>
      </c>
      <c r="AX516">
        <v>0</v>
      </c>
      <c r="AY516">
        <v>0</v>
      </c>
    </row>
    <row r="517" spans="1:51" x14ac:dyDescent="0.25">
      <c r="A517">
        <v>108</v>
      </c>
      <c r="B517">
        <v>10250</v>
      </c>
      <c r="C517" t="s">
        <v>735</v>
      </c>
      <c r="D517" t="s">
        <v>96</v>
      </c>
      <c r="E517" t="s">
        <v>121</v>
      </c>
      <c r="F517" t="s">
        <v>107</v>
      </c>
      <c r="G517" t="s">
        <v>77</v>
      </c>
      <c r="H517" t="s">
        <v>78</v>
      </c>
      <c r="I517" t="s">
        <v>79</v>
      </c>
      <c r="J517" t="s">
        <v>70</v>
      </c>
      <c r="K517" t="s">
        <v>75</v>
      </c>
      <c r="L517" t="s">
        <v>203</v>
      </c>
      <c r="M517" t="s">
        <v>103</v>
      </c>
      <c r="N517" t="s">
        <v>74</v>
      </c>
      <c r="O517" t="s">
        <v>187</v>
      </c>
      <c r="P517" t="s">
        <v>71</v>
      </c>
      <c r="Q517" t="s">
        <v>110</v>
      </c>
      <c r="R517" t="s">
        <v>71</v>
      </c>
      <c r="S517">
        <v>0</v>
      </c>
      <c r="T517">
        <v>1</v>
      </c>
      <c r="U517" t="s">
        <v>72</v>
      </c>
      <c r="V517" t="s">
        <v>188</v>
      </c>
      <c r="W517">
        <v>0</v>
      </c>
      <c r="X517">
        <v>1</v>
      </c>
      <c r="Y517">
        <v>0</v>
      </c>
      <c r="Z517">
        <v>0</v>
      </c>
      <c r="AA517">
        <v>0</v>
      </c>
      <c r="AB517">
        <v>0</v>
      </c>
      <c r="AC517">
        <v>0</v>
      </c>
      <c r="AD517">
        <v>0</v>
      </c>
      <c r="AE517">
        <v>0</v>
      </c>
      <c r="AF517">
        <v>0</v>
      </c>
      <c r="AG517" t="s">
        <v>71</v>
      </c>
      <c r="AH517">
        <v>0</v>
      </c>
      <c r="AI517">
        <v>0</v>
      </c>
      <c r="AJ517">
        <v>0</v>
      </c>
      <c r="AK517">
        <v>0</v>
      </c>
      <c r="AL517" t="s">
        <v>342</v>
      </c>
      <c r="AM517" t="s">
        <v>254</v>
      </c>
      <c r="AN517" t="s">
        <v>94</v>
      </c>
      <c r="AO517" t="s">
        <v>147</v>
      </c>
      <c r="AP517">
        <v>64</v>
      </c>
      <c r="AQ517">
        <v>0</v>
      </c>
      <c r="AR517">
        <v>0</v>
      </c>
      <c r="AS517">
        <v>0</v>
      </c>
      <c r="AT517">
        <v>0</v>
      </c>
      <c r="AU517">
        <v>0</v>
      </c>
      <c r="AV517">
        <v>0</v>
      </c>
      <c r="AW517">
        <v>0</v>
      </c>
      <c r="AX517">
        <v>0</v>
      </c>
      <c r="AY517">
        <v>0</v>
      </c>
    </row>
    <row r="518" spans="1:51" x14ac:dyDescent="0.25">
      <c r="A518">
        <v>109</v>
      </c>
      <c r="B518">
        <v>10260</v>
      </c>
      <c r="C518" t="s">
        <v>735</v>
      </c>
      <c r="D518" t="s">
        <v>96</v>
      </c>
      <c r="E518" t="s">
        <v>100</v>
      </c>
      <c r="F518" t="s">
        <v>107</v>
      </c>
      <c r="G518" t="s">
        <v>77</v>
      </c>
      <c r="H518" t="s">
        <v>78</v>
      </c>
      <c r="I518" t="s">
        <v>79</v>
      </c>
      <c r="J518" t="s">
        <v>70</v>
      </c>
      <c r="K518" t="s">
        <v>75</v>
      </c>
      <c r="L518" t="s">
        <v>203</v>
      </c>
      <c r="M518" t="s">
        <v>103</v>
      </c>
      <c r="N518" t="s">
        <v>74</v>
      </c>
      <c r="O518" t="s">
        <v>187</v>
      </c>
      <c r="P518" t="s">
        <v>71</v>
      </c>
      <c r="Q518" t="s">
        <v>110</v>
      </c>
      <c r="R518" t="s">
        <v>71</v>
      </c>
      <c r="S518">
        <v>1</v>
      </c>
      <c r="T518">
        <v>1</v>
      </c>
      <c r="U518" t="s">
        <v>72</v>
      </c>
      <c r="V518" t="s">
        <v>188</v>
      </c>
      <c r="W518">
        <v>0</v>
      </c>
      <c r="X518">
        <v>1</v>
      </c>
      <c r="Y518">
        <v>0</v>
      </c>
      <c r="Z518">
        <v>0</v>
      </c>
      <c r="AA518">
        <v>0</v>
      </c>
      <c r="AB518">
        <v>0</v>
      </c>
      <c r="AC518">
        <v>0</v>
      </c>
      <c r="AD518">
        <v>0</v>
      </c>
      <c r="AE518">
        <v>0</v>
      </c>
      <c r="AF518">
        <v>0</v>
      </c>
      <c r="AG518" t="s">
        <v>71</v>
      </c>
      <c r="AH518">
        <v>0</v>
      </c>
      <c r="AI518">
        <v>0</v>
      </c>
      <c r="AJ518">
        <v>0</v>
      </c>
      <c r="AK518">
        <v>0</v>
      </c>
      <c r="AL518" t="s">
        <v>342</v>
      </c>
      <c r="AM518" t="s">
        <v>254</v>
      </c>
      <c r="AN518" t="s">
        <v>94</v>
      </c>
      <c r="AO518" t="s">
        <v>147</v>
      </c>
      <c r="AP518">
        <v>0</v>
      </c>
      <c r="AQ518">
        <v>0</v>
      </c>
      <c r="AR518">
        <v>0</v>
      </c>
      <c r="AS518">
        <v>0</v>
      </c>
      <c r="AT518">
        <v>0</v>
      </c>
      <c r="AU518">
        <v>0</v>
      </c>
      <c r="AV518">
        <v>0</v>
      </c>
      <c r="AW518">
        <v>0</v>
      </c>
      <c r="AX518">
        <v>0</v>
      </c>
      <c r="AY518">
        <v>0</v>
      </c>
    </row>
    <row r="519" spans="1:51" x14ac:dyDescent="0.25">
      <c r="A519">
        <v>110</v>
      </c>
      <c r="B519">
        <v>10270</v>
      </c>
      <c r="C519" t="s">
        <v>735</v>
      </c>
      <c r="D519" t="s">
        <v>96</v>
      </c>
      <c r="E519" t="s">
        <v>186</v>
      </c>
      <c r="F519" t="s">
        <v>107</v>
      </c>
      <c r="G519" t="s">
        <v>77</v>
      </c>
      <c r="H519" t="s">
        <v>78</v>
      </c>
      <c r="I519" t="s">
        <v>79</v>
      </c>
      <c r="J519" t="s">
        <v>70</v>
      </c>
      <c r="K519" t="s">
        <v>75</v>
      </c>
      <c r="L519" t="s">
        <v>203</v>
      </c>
      <c r="M519" t="s">
        <v>103</v>
      </c>
      <c r="N519" t="s">
        <v>74</v>
      </c>
      <c r="O519" t="s">
        <v>187</v>
      </c>
      <c r="P519" t="s">
        <v>71</v>
      </c>
      <c r="Q519" t="s">
        <v>110</v>
      </c>
      <c r="R519" t="s">
        <v>71</v>
      </c>
      <c r="S519">
        <v>1</v>
      </c>
      <c r="T519">
        <v>1</v>
      </c>
      <c r="U519" t="s">
        <v>72</v>
      </c>
      <c r="V519" t="s">
        <v>188</v>
      </c>
      <c r="W519">
        <v>0</v>
      </c>
      <c r="X519">
        <v>1</v>
      </c>
      <c r="Y519">
        <v>0</v>
      </c>
      <c r="Z519">
        <v>0</v>
      </c>
      <c r="AA519">
        <v>0</v>
      </c>
      <c r="AB519">
        <v>0</v>
      </c>
      <c r="AC519">
        <v>0</v>
      </c>
      <c r="AD519">
        <v>0</v>
      </c>
      <c r="AE519">
        <v>0</v>
      </c>
      <c r="AF519">
        <v>0</v>
      </c>
      <c r="AG519" t="s">
        <v>71</v>
      </c>
      <c r="AH519">
        <v>0</v>
      </c>
      <c r="AI519">
        <v>0</v>
      </c>
      <c r="AJ519">
        <v>0</v>
      </c>
      <c r="AK519">
        <v>0</v>
      </c>
      <c r="AL519" t="s">
        <v>342</v>
      </c>
      <c r="AM519" t="s">
        <v>254</v>
      </c>
      <c r="AN519" t="s">
        <v>94</v>
      </c>
      <c r="AO519" t="s">
        <v>147</v>
      </c>
      <c r="AP519">
        <v>0</v>
      </c>
      <c r="AQ519">
        <v>0</v>
      </c>
      <c r="AR519">
        <v>0</v>
      </c>
      <c r="AS519">
        <v>0</v>
      </c>
      <c r="AT519">
        <v>0</v>
      </c>
      <c r="AU519">
        <v>0</v>
      </c>
      <c r="AV519">
        <v>0</v>
      </c>
      <c r="AW519">
        <v>0</v>
      </c>
      <c r="AX519">
        <v>0</v>
      </c>
      <c r="AY519">
        <v>0</v>
      </c>
    </row>
    <row r="520" spans="1:51" x14ac:dyDescent="0.25">
      <c r="A520">
        <v>111</v>
      </c>
      <c r="B520">
        <v>10280</v>
      </c>
      <c r="C520" t="s">
        <v>735</v>
      </c>
      <c r="D520" t="s">
        <v>96</v>
      </c>
      <c r="E520" t="s">
        <v>190</v>
      </c>
      <c r="F520" t="s">
        <v>107</v>
      </c>
      <c r="G520" t="s">
        <v>77</v>
      </c>
      <c r="H520" t="s">
        <v>78</v>
      </c>
      <c r="I520" t="s">
        <v>79</v>
      </c>
      <c r="J520" t="s">
        <v>70</v>
      </c>
      <c r="K520" t="s">
        <v>75</v>
      </c>
      <c r="L520" t="s">
        <v>203</v>
      </c>
      <c r="M520" t="s">
        <v>103</v>
      </c>
      <c r="N520" t="s">
        <v>74</v>
      </c>
      <c r="O520" t="s">
        <v>187</v>
      </c>
      <c r="P520" t="s">
        <v>71</v>
      </c>
      <c r="Q520" t="s">
        <v>110</v>
      </c>
      <c r="R520" t="s">
        <v>71</v>
      </c>
      <c r="S520">
        <v>1</v>
      </c>
      <c r="T520">
        <v>1</v>
      </c>
      <c r="U520" t="s">
        <v>72</v>
      </c>
      <c r="V520" t="s">
        <v>188</v>
      </c>
      <c r="W520">
        <v>0</v>
      </c>
      <c r="X520">
        <v>1</v>
      </c>
      <c r="Y520">
        <v>0</v>
      </c>
      <c r="Z520">
        <v>0</v>
      </c>
      <c r="AA520">
        <v>0</v>
      </c>
      <c r="AB520">
        <v>0</v>
      </c>
      <c r="AC520">
        <v>0</v>
      </c>
      <c r="AD520">
        <v>0</v>
      </c>
      <c r="AE520">
        <v>0</v>
      </c>
      <c r="AF520">
        <v>0</v>
      </c>
      <c r="AG520" t="s">
        <v>71</v>
      </c>
      <c r="AH520">
        <v>0</v>
      </c>
      <c r="AI520">
        <v>0</v>
      </c>
      <c r="AJ520">
        <v>0</v>
      </c>
      <c r="AK520">
        <v>0</v>
      </c>
      <c r="AL520" t="s">
        <v>342</v>
      </c>
      <c r="AM520" t="s">
        <v>254</v>
      </c>
      <c r="AN520" t="s">
        <v>94</v>
      </c>
      <c r="AO520" t="s">
        <v>147</v>
      </c>
      <c r="AP520">
        <v>0</v>
      </c>
      <c r="AQ520">
        <v>0</v>
      </c>
      <c r="AR520">
        <v>0</v>
      </c>
      <c r="AS520">
        <v>0</v>
      </c>
      <c r="AT520">
        <v>0</v>
      </c>
      <c r="AU520">
        <v>0</v>
      </c>
      <c r="AV520">
        <v>0</v>
      </c>
      <c r="AW520">
        <v>0</v>
      </c>
      <c r="AX520">
        <v>0</v>
      </c>
      <c r="AY520">
        <v>0</v>
      </c>
    </row>
    <row r="521" spans="1:51" x14ac:dyDescent="0.25">
      <c r="A521">
        <v>113</v>
      </c>
      <c r="B521">
        <v>10290</v>
      </c>
      <c r="C521" t="s">
        <v>735</v>
      </c>
      <c r="D521" t="s">
        <v>96</v>
      </c>
      <c r="E521" t="s">
        <v>121</v>
      </c>
      <c r="F521" t="s">
        <v>107</v>
      </c>
      <c r="G521" t="s">
        <v>77</v>
      </c>
      <c r="H521" t="s">
        <v>78</v>
      </c>
      <c r="I521" t="s">
        <v>79</v>
      </c>
      <c r="J521" t="s">
        <v>70</v>
      </c>
      <c r="K521" t="s">
        <v>75</v>
      </c>
      <c r="L521" t="s">
        <v>223</v>
      </c>
      <c r="M521" t="s">
        <v>103</v>
      </c>
      <c r="N521" t="s">
        <v>74</v>
      </c>
      <c r="O521" t="s">
        <v>187</v>
      </c>
      <c r="P521" t="s">
        <v>71</v>
      </c>
      <c r="Q521" t="s">
        <v>110</v>
      </c>
      <c r="R521" t="s">
        <v>71</v>
      </c>
      <c r="S521">
        <v>1</v>
      </c>
      <c r="T521">
        <v>1</v>
      </c>
      <c r="U521" t="s">
        <v>72</v>
      </c>
      <c r="V521" t="s">
        <v>188</v>
      </c>
      <c r="W521">
        <v>0</v>
      </c>
      <c r="X521">
        <v>1</v>
      </c>
      <c r="Y521">
        <v>0</v>
      </c>
      <c r="Z521">
        <v>0</v>
      </c>
      <c r="AA521">
        <v>0</v>
      </c>
      <c r="AB521">
        <v>0</v>
      </c>
      <c r="AC521">
        <v>0</v>
      </c>
      <c r="AD521">
        <v>0</v>
      </c>
      <c r="AE521">
        <v>0</v>
      </c>
      <c r="AF521">
        <v>0</v>
      </c>
      <c r="AG521" t="s">
        <v>71</v>
      </c>
      <c r="AH521">
        <v>0</v>
      </c>
      <c r="AI521">
        <v>0</v>
      </c>
      <c r="AJ521">
        <v>0</v>
      </c>
      <c r="AK521">
        <v>0</v>
      </c>
      <c r="AL521" t="s">
        <v>342</v>
      </c>
      <c r="AM521" t="s">
        <v>254</v>
      </c>
      <c r="AN521" t="s">
        <v>94</v>
      </c>
      <c r="AO521" t="s">
        <v>147</v>
      </c>
      <c r="AP521">
        <v>32</v>
      </c>
      <c r="AQ521">
        <v>0</v>
      </c>
      <c r="AR521">
        <v>0</v>
      </c>
      <c r="AS521">
        <v>0</v>
      </c>
      <c r="AT521">
        <v>0</v>
      </c>
      <c r="AU521">
        <v>0</v>
      </c>
      <c r="AV521">
        <v>0</v>
      </c>
      <c r="AW521">
        <v>0</v>
      </c>
      <c r="AX521">
        <v>0</v>
      </c>
      <c r="AY521">
        <v>0</v>
      </c>
    </row>
    <row r="522" spans="1:51" x14ac:dyDescent="0.25">
      <c r="A522">
        <v>114</v>
      </c>
      <c r="B522">
        <v>10300</v>
      </c>
      <c r="C522" t="s">
        <v>735</v>
      </c>
      <c r="D522" t="s">
        <v>96</v>
      </c>
      <c r="E522" t="s">
        <v>121</v>
      </c>
      <c r="F522" t="s">
        <v>107</v>
      </c>
      <c r="G522" t="s">
        <v>77</v>
      </c>
      <c r="H522" t="s">
        <v>78</v>
      </c>
      <c r="I522" t="s">
        <v>79</v>
      </c>
      <c r="J522" t="s">
        <v>70</v>
      </c>
      <c r="K522" t="s">
        <v>75</v>
      </c>
      <c r="L522" t="s">
        <v>76</v>
      </c>
      <c r="M522" t="s">
        <v>103</v>
      </c>
      <c r="N522" t="s">
        <v>74</v>
      </c>
      <c r="O522" t="s">
        <v>187</v>
      </c>
      <c r="P522" t="s">
        <v>71</v>
      </c>
      <c r="Q522" t="s">
        <v>110</v>
      </c>
      <c r="R522" t="s">
        <v>71</v>
      </c>
      <c r="S522">
        <v>1</v>
      </c>
      <c r="T522">
        <v>1</v>
      </c>
      <c r="U522" t="s">
        <v>72</v>
      </c>
      <c r="V522" t="s">
        <v>188</v>
      </c>
      <c r="W522">
        <v>0</v>
      </c>
      <c r="X522">
        <v>1</v>
      </c>
      <c r="Y522">
        <v>0</v>
      </c>
      <c r="Z522">
        <v>0</v>
      </c>
      <c r="AA522">
        <v>0</v>
      </c>
      <c r="AB522">
        <v>0</v>
      </c>
      <c r="AC522">
        <v>0</v>
      </c>
      <c r="AD522">
        <v>0</v>
      </c>
      <c r="AE522">
        <v>0</v>
      </c>
      <c r="AF522">
        <v>0</v>
      </c>
      <c r="AG522" t="s">
        <v>71</v>
      </c>
      <c r="AH522">
        <v>0</v>
      </c>
      <c r="AI522">
        <v>0</v>
      </c>
      <c r="AJ522">
        <v>0</v>
      </c>
      <c r="AK522">
        <v>0</v>
      </c>
      <c r="AL522" t="s">
        <v>342</v>
      </c>
      <c r="AM522" t="s">
        <v>254</v>
      </c>
      <c r="AN522" t="s">
        <v>94</v>
      </c>
      <c r="AO522" t="s">
        <v>147</v>
      </c>
      <c r="AP522">
        <v>32</v>
      </c>
      <c r="AQ522">
        <v>0</v>
      </c>
      <c r="AR522">
        <v>0</v>
      </c>
      <c r="AS522">
        <v>0</v>
      </c>
      <c r="AT522">
        <v>0</v>
      </c>
      <c r="AU522">
        <v>0</v>
      </c>
      <c r="AV522">
        <v>0</v>
      </c>
      <c r="AW522">
        <v>0</v>
      </c>
      <c r="AX522">
        <v>0</v>
      </c>
      <c r="AY522">
        <v>0</v>
      </c>
    </row>
    <row r="523" spans="1:51" x14ac:dyDescent="0.25">
      <c r="A523">
        <v>115</v>
      </c>
      <c r="B523">
        <v>10310</v>
      </c>
      <c r="C523" t="s">
        <v>735</v>
      </c>
      <c r="D523" t="s">
        <v>96</v>
      </c>
      <c r="E523" t="s">
        <v>121</v>
      </c>
      <c r="F523" t="s">
        <v>107</v>
      </c>
      <c r="G523" t="s">
        <v>77</v>
      </c>
      <c r="H523" t="s">
        <v>78</v>
      </c>
      <c r="I523" t="s">
        <v>79</v>
      </c>
      <c r="J523" t="s">
        <v>70</v>
      </c>
      <c r="K523" t="s">
        <v>75</v>
      </c>
      <c r="L523" t="s">
        <v>205</v>
      </c>
      <c r="M523" t="s">
        <v>103</v>
      </c>
      <c r="N523" t="s">
        <v>74</v>
      </c>
      <c r="O523" t="s">
        <v>187</v>
      </c>
      <c r="P523" t="s">
        <v>71</v>
      </c>
      <c r="Q523" t="s">
        <v>110</v>
      </c>
      <c r="R523" t="s">
        <v>71</v>
      </c>
      <c r="S523">
        <v>1</v>
      </c>
      <c r="T523">
        <v>1</v>
      </c>
      <c r="U523" t="s">
        <v>72</v>
      </c>
      <c r="V523" t="s">
        <v>188</v>
      </c>
      <c r="W523">
        <v>0</v>
      </c>
      <c r="X523">
        <v>1</v>
      </c>
      <c r="Y523">
        <v>0</v>
      </c>
      <c r="Z523">
        <v>0</v>
      </c>
      <c r="AA523">
        <v>0</v>
      </c>
      <c r="AB523">
        <v>0</v>
      </c>
      <c r="AC523">
        <v>0</v>
      </c>
      <c r="AD523">
        <v>0</v>
      </c>
      <c r="AE523">
        <v>0</v>
      </c>
      <c r="AF523">
        <v>0</v>
      </c>
      <c r="AG523" t="s">
        <v>71</v>
      </c>
      <c r="AH523">
        <v>0</v>
      </c>
      <c r="AI523">
        <v>0</v>
      </c>
      <c r="AJ523">
        <v>0</v>
      </c>
      <c r="AK523">
        <v>0</v>
      </c>
      <c r="AL523" t="s">
        <v>342</v>
      </c>
      <c r="AM523" t="s">
        <v>254</v>
      </c>
      <c r="AN523" t="s">
        <v>94</v>
      </c>
      <c r="AO523" t="s">
        <v>147</v>
      </c>
      <c r="AP523">
        <v>32</v>
      </c>
      <c r="AQ523">
        <v>0</v>
      </c>
      <c r="AR523">
        <v>0</v>
      </c>
      <c r="AS523">
        <v>0</v>
      </c>
      <c r="AT523">
        <v>0</v>
      </c>
      <c r="AU523">
        <v>0</v>
      </c>
      <c r="AV523">
        <v>0</v>
      </c>
      <c r="AW523">
        <v>0</v>
      </c>
      <c r="AX523">
        <v>0</v>
      </c>
      <c r="AY523">
        <v>0</v>
      </c>
    </row>
    <row r="524" spans="1:51" x14ac:dyDescent="0.25">
      <c r="A524">
        <v>116</v>
      </c>
      <c r="B524">
        <v>10320</v>
      </c>
      <c r="C524" t="s">
        <v>735</v>
      </c>
      <c r="D524" t="s">
        <v>96</v>
      </c>
      <c r="E524" t="s">
        <v>121</v>
      </c>
      <c r="F524" t="s">
        <v>107</v>
      </c>
      <c r="G524" t="s">
        <v>77</v>
      </c>
      <c r="H524" t="s">
        <v>78</v>
      </c>
      <c r="I524" t="s">
        <v>79</v>
      </c>
      <c r="J524" t="s">
        <v>70</v>
      </c>
      <c r="K524" t="s">
        <v>75</v>
      </c>
      <c r="L524" t="s">
        <v>203</v>
      </c>
      <c r="M524" t="s">
        <v>103</v>
      </c>
      <c r="N524" t="s">
        <v>74</v>
      </c>
      <c r="O524" t="s">
        <v>187</v>
      </c>
      <c r="P524" t="s">
        <v>71</v>
      </c>
      <c r="Q524" t="s">
        <v>110</v>
      </c>
      <c r="R524" t="s">
        <v>71</v>
      </c>
      <c r="S524">
        <v>1</v>
      </c>
      <c r="T524">
        <v>1</v>
      </c>
      <c r="U524" t="s">
        <v>72</v>
      </c>
      <c r="V524" t="s">
        <v>73</v>
      </c>
      <c r="W524">
        <v>0</v>
      </c>
      <c r="X524">
        <v>1</v>
      </c>
      <c r="Y524">
        <v>0</v>
      </c>
      <c r="Z524">
        <v>0</v>
      </c>
      <c r="AA524">
        <v>0</v>
      </c>
      <c r="AB524">
        <v>0</v>
      </c>
      <c r="AC524">
        <v>0</v>
      </c>
      <c r="AD524">
        <v>0</v>
      </c>
      <c r="AE524">
        <v>0</v>
      </c>
      <c r="AF524">
        <v>0</v>
      </c>
      <c r="AG524" t="s">
        <v>71</v>
      </c>
      <c r="AH524">
        <v>0</v>
      </c>
      <c r="AI524">
        <v>0</v>
      </c>
      <c r="AJ524">
        <v>0</v>
      </c>
      <c r="AK524">
        <v>0</v>
      </c>
      <c r="AL524" t="s">
        <v>342</v>
      </c>
      <c r="AM524" t="s">
        <v>254</v>
      </c>
      <c r="AN524" t="s">
        <v>94</v>
      </c>
      <c r="AO524" t="s">
        <v>147</v>
      </c>
      <c r="AP524">
        <v>0</v>
      </c>
      <c r="AQ524">
        <v>0</v>
      </c>
      <c r="AR524">
        <v>0</v>
      </c>
      <c r="AS524">
        <v>0</v>
      </c>
      <c r="AT524">
        <v>0</v>
      </c>
      <c r="AU524">
        <v>0</v>
      </c>
      <c r="AV524">
        <v>0</v>
      </c>
      <c r="AW524">
        <v>0</v>
      </c>
      <c r="AX524">
        <v>0</v>
      </c>
      <c r="AY524">
        <v>0</v>
      </c>
    </row>
    <row r="525" spans="1:51" x14ac:dyDescent="0.25">
      <c r="A525">
        <v>117</v>
      </c>
      <c r="B525">
        <v>10330</v>
      </c>
      <c r="C525" t="s">
        <v>735</v>
      </c>
      <c r="D525" t="s">
        <v>96</v>
      </c>
      <c r="E525" t="s">
        <v>121</v>
      </c>
      <c r="F525" t="s">
        <v>107</v>
      </c>
      <c r="G525" t="s">
        <v>77</v>
      </c>
      <c r="H525" t="s">
        <v>78</v>
      </c>
      <c r="I525" t="s">
        <v>79</v>
      </c>
      <c r="J525" t="s">
        <v>70</v>
      </c>
      <c r="K525" t="s">
        <v>75</v>
      </c>
      <c r="L525" t="s">
        <v>203</v>
      </c>
      <c r="M525" t="s">
        <v>103</v>
      </c>
      <c r="N525" t="s">
        <v>74</v>
      </c>
      <c r="O525" t="s">
        <v>187</v>
      </c>
      <c r="P525" t="s">
        <v>71</v>
      </c>
      <c r="Q525" t="s">
        <v>110</v>
      </c>
      <c r="R525" t="s">
        <v>71</v>
      </c>
      <c r="S525">
        <v>1</v>
      </c>
      <c r="T525">
        <v>1</v>
      </c>
      <c r="U525" t="s">
        <v>72</v>
      </c>
      <c r="V525" t="s">
        <v>192</v>
      </c>
      <c r="W525">
        <v>0</v>
      </c>
      <c r="X525">
        <v>1</v>
      </c>
      <c r="Y525">
        <v>0</v>
      </c>
      <c r="Z525">
        <v>0</v>
      </c>
      <c r="AA525">
        <v>0</v>
      </c>
      <c r="AB525">
        <v>0</v>
      </c>
      <c r="AC525">
        <v>0</v>
      </c>
      <c r="AD525">
        <v>0</v>
      </c>
      <c r="AE525">
        <v>0</v>
      </c>
      <c r="AF525">
        <v>0</v>
      </c>
      <c r="AG525" t="s">
        <v>71</v>
      </c>
      <c r="AH525">
        <v>0</v>
      </c>
      <c r="AI525">
        <v>0</v>
      </c>
      <c r="AJ525">
        <v>0</v>
      </c>
      <c r="AK525">
        <v>0</v>
      </c>
      <c r="AL525" t="s">
        <v>342</v>
      </c>
      <c r="AM525" t="s">
        <v>254</v>
      </c>
      <c r="AN525" t="s">
        <v>94</v>
      </c>
      <c r="AO525" t="s">
        <v>147</v>
      </c>
      <c r="AP525">
        <v>384</v>
      </c>
      <c r="AQ525">
        <v>0</v>
      </c>
      <c r="AR525">
        <v>0</v>
      </c>
      <c r="AS525">
        <v>0</v>
      </c>
      <c r="AT525">
        <v>0</v>
      </c>
      <c r="AU525">
        <v>0</v>
      </c>
      <c r="AV525">
        <v>0</v>
      </c>
      <c r="AW525">
        <v>0</v>
      </c>
      <c r="AX525">
        <v>0</v>
      </c>
      <c r="AY525">
        <v>0</v>
      </c>
    </row>
    <row r="526" spans="1:51" x14ac:dyDescent="0.25">
      <c r="A526">
        <v>118</v>
      </c>
      <c r="B526">
        <v>10340</v>
      </c>
      <c r="C526" t="s">
        <v>735</v>
      </c>
      <c r="D526" t="s">
        <v>96</v>
      </c>
      <c r="E526" t="s">
        <v>100</v>
      </c>
      <c r="F526" t="s">
        <v>107</v>
      </c>
      <c r="G526" t="s">
        <v>77</v>
      </c>
      <c r="H526" t="s">
        <v>78</v>
      </c>
      <c r="I526" t="s">
        <v>79</v>
      </c>
      <c r="J526" t="s">
        <v>70</v>
      </c>
      <c r="K526" t="s">
        <v>75</v>
      </c>
      <c r="L526" t="s">
        <v>76</v>
      </c>
      <c r="M526" t="s">
        <v>103</v>
      </c>
      <c r="N526" t="s">
        <v>74</v>
      </c>
      <c r="O526" t="s">
        <v>187</v>
      </c>
      <c r="P526" t="s">
        <v>71</v>
      </c>
      <c r="Q526" t="s">
        <v>110</v>
      </c>
      <c r="R526" t="s">
        <v>71</v>
      </c>
      <c r="S526">
        <v>1</v>
      </c>
      <c r="T526">
        <v>1</v>
      </c>
      <c r="U526" t="s">
        <v>282</v>
      </c>
      <c r="V526" t="s">
        <v>192</v>
      </c>
      <c r="W526">
        <v>0</v>
      </c>
      <c r="X526">
        <v>1</v>
      </c>
      <c r="Y526">
        <v>0</v>
      </c>
      <c r="Z526">
        <v>0</v>
      </c>
      <c r="AA526">
        <v>0</v>
      </c>
      <c r="AB526">
        <v>0</v>
      </c>
      <c r="AC526">
        <v>0</v>
      </c>
      <c r="AD526">
        <v>0</v>
      </c>
      <c r="AE526">
        <v>0</v>
      </c>
      <c r="AF526">
        <v>0</v>
      </c>
      <c r="AG526" t="s">
        <v>71</v>
      </c>
      <c r="AH526">
        <v>0</v>
      </c>
      <c r="AI526">
        <v>0</v>
      </c>
      <c r="AJ526">
        <v>0</v>
      </c>
      <c r="AK526">
        <v>0</v>
      </c>
      <c r="AL526" t="s">
        <v>342</v>
      </c>
      <c r="AM526" t="s">
        <v>254</v>
      </c>
      <c r="AN526" t="s">
        <v>94</v>
      </c>
      <c r="AO526" t="s">
        <v>147</v>
      </c>
      <c r="AP526">
        <v>16</v>
      </c>
      <c r="AQ526">
        <v>0</v>
      </c>
      <c r="AR526">
        <v>0</v>
      </c>
      <c r="AS526">
        <v>0</v>
      </c>
      <c r="AT526">
        <v>0</v>
      </c>
      <c r="AU526">
        <v>0</v>
      </c>
      <c r="AV526">
        <v>0</v>
      </c>
      <c r="AW526">
        <v>0</v>
      </c>
      <c r="AX526">
        <v>0</v>
      </c>
      <c r="AY526">
        <v>0</v>
      </c>
    </row>
    <row r="527" spans="1:51" x14ac:dyDescent="0.25">
      <c r="A527">
        <v>120</v>
      </c>
      <c r="B527">
        <v>10350</v>
      </c>
      <c r="C527" t="s">
        <v>735</v>
      </c>
      <c r="D527" t="s">
        <v>96</v>
      </c>
      <c r="E527" t="s">
        <v>100</v>
      </c>
      <c r="F527" t="s">
        <v>107</v>
      </c>
      <c r="G527" t="s">
        <v>77</v>
      </c>
      <c r="H527" t="s">
        <v>78</v>
      </c>
      <c r="I527" t="s">
        <v>79</v>
      </c>
      <c r="J527" t="s">
        <v>70</v>
      </c>
      <c r="K527" t="s">
        <v>75</v>
      </c>
      <c r="L527" t="s">
        <v>76</v>
      </c>
      <c r="M527" t="s">
        <v>103</v>
      </c>
      <c r="N527" t="s">
        <v>74</v>
      </c>
      <c r="O527" t="s">
        <v>187</v>
      </c>
      <c r="P527" t="s">
        <v>71</v>
      </c>
      <c r="Q527" t="s">
        <v>110</v>
      </c>
      <c r="R527" t="s">
        <v>71</v>
      </c>
      <c r="S527">
        <v>1</v>
      </c>
      <c r="T527">
        <v>1</v>
      </c>
      <c r="U527" t="s">
        <v>284</v>
      </c>
      <c r="V527" t="s">
        <v>192</v>
      </c>
      <c r="W527">
        <v>0</v>
      </c>
      <c r="X527">
        <v>1</v>
      </c>
      <c r="Y527">
        <v>0</v>
      </c>
      <c r="Z527">
        <v>0</v>
      </c>
      <c r="AA527">
        <v>0</v>
      </c>
      <c r="AB527">
        <v>0</v>
      </c>
      <c r="AC527">
        <v>0</v>
      </c>
      <c r="AD527">
        <v>0</v>
      </c>
      <c r="AE527">
        <v>0</v>
      </c>
      <c r="AF527">
        <v>0</v>
      </c>
      <c r="AG527" t="s">
        <v>71</v>
      </c>
      <c r="AH527">
        <v>0</v>
      </c>
      <c r="AI527">
        <v>0</v>
      </c>
      <c r="AJ527">
        <v>0</v>
      </c>
      <c r="AK527">
        <v>0</v>
      </c>
      <c r="AL527" t="s">
        <v>342</v>
      </c>
      <c r="AM527" t="s">
        <v>254</v>
      </c>
      <c r="AN527" t="s">
        <v>94</v>
      </c>
      <c r="AO527" t="s">
        <v>147</v>
      </c>
      <c r="AP527">
        <v>16</v>
      </c>
      <c r="AQ527">
        <v>0</v>
      </c>
      <c r="AR527">
        <v>0</v>
      </c>
      <c r="AS527">
        <v>0</v>
      </c>
      <c r="AT527">
        <v>0</v>
      </c>
      <c r="AU527">
        <v>0</v>
      </c>
      <c r="AV527">
        <v>0</v>
      </c>
      <c r="AW527">
        <v>0</v>
      </c>
      <c r="AX527">
        <v>0</v>
      </c>
      <c r="AY527">
        <v>0</v>
      </c>
    </row>
    <row r="528" spans="1:51" x14ac:dyDescent="0.25">
      <c r="A528">
        <v>121</v>
      </c>
      <c r="B528">
        <v>10360</v>
      </c>
      <c r="C528" t="s">
        <v>735</v>
      </c>
      <c r="D528" t="s">
        <v>96</v>
      </c>
      <c r="E528" t="s">
        <v>100</v>
      </c>
      <c r="F528" t="s">
        <v>107</v>
      </c>
      <c r="G528" t="s">
        <v>77</v>
      </c>
      <c r="H528" t="s">
        <v>78</v>
      </c>
      <c r="I528" t="s">
        <v>195</v>
      </c>
      <c r="J528" t="s">
        <v>70</v>
      </c>
      <c r="K528" t="s">
        <v>75</v>
      </c>
      <c r="L528" t="s">
        <v>76</v>
      </c>
      <c r="M528" t="s">
        <v>103</v>
      </c>
      <c r="N528" t="s">
        <v>74</v>
      </c>
      <c r="O528" t="s">
        <v>187</v>
      </c>
      <c r="P528" t="s">
        <v>71</v>
      </c>
      <c r="Q528" t="s">
        <v>110</v>
      </c>
      <c r="R528" t="s">
        <v>71</v>
      </c>
      <c r="S528">
        <v>1</v>
      </c>
      <c r="T528">
        <v>1</v>
      </c>
      <c r="U528" t="s">
        <v>72</v>
      </c>
      <c r="V528" t="s">
        <v>192</v>
      </c>
      <c r="W528">
        <v>0</v>
      </c>
      <c r="X528">
        <v>1</v>
      </c>
      <c r="Y528">
        <v>0</v>
      </c>
      <c r="Z528">
        <v>0</v>
      </c>
      <c r="AA528">
        <v>0</v>
      </c>
      <c r="AB528">
        <v>0</v>
      </c>
      <c r="AC528">
        <v>0</v>
      </c>
      <c r="AD528">
        <v>0</v>
      </c>
      <c r="AE528">
        <v>0</v>
      </c>
      <c r="AF528">
        <v>0</v>
      </c>
      <c r="AG528" t="s">
        <v>71</v>
      </c>
      <c r="AH528">
        <v>0</v>
      </c>
      <c r="AI528">
        <v>0</v>
      </c>
      <c r="AJ528">
        <v>0</v>
      </c>
      <c r="AK528">
        <v>0</v>
      </c>
      <c r="AL528" t="s">
        <v>342</v>
      </c>
      <c r="AM528" t="s">
        <v>254</v>
      </c>
      <c r="AN528" t="s">
        <v>94</v>
      </c>
      <c r="AO528" t="s">
        <v>147</v>
      </c>
      <c r="AP528">
        <v>8</v>
      </c>
      <c r="AQ528">
        <v>0</v>
      </c>
      <c r="AR528">
        <v>0</v>
      </c>
      <c r="AS528">
        <v>0</v>
      </c>
      <c r="AT528">
        <v>0</v>
      </c>
      <c r="AU528">
        <v>0</v>
      </c>
      <c r="AV528">
        <v>0</v>
      </c>
      <c r="AW528">
        <v>0</v>
      </c>
      <c r="AX528">
        <v>0</v>
      </c>
      <c r="AY528">
        <v>0</v>
      </c>
    </row>
    <row r="529" spans="1:51" x14ac:dyDescent="0.25">
      <c r="A529">
        <v>122</v>
      </c>
      <c r="B529">
        <v>10370</v>
      </c>
      <c r="C529" t="s">
        <v>735</v>
      </c>
      <c r="D529" t="s">
        <v>96</v>
      </c>
      <c r="E529" t="s">
        <v>100</v>
      </c>
      <c r="F529" t="s">
        <v>107</v>
      </c>
      <c r="G529" t="s">
        <v>77</v>
      </c>
      <c r="H529" t="s">
        <v>78</v>
      </c>
      <c r="I529" t="s">
        <v>196</v>
      </c>
      <c r="J529" t="s">
        <v>70</v>
      </c>
      <c r="K529" t="s">
        <v>75</v>
      </c>
      <c r="L529" t="s">
        <v>76</v>
      </c>
      <c r="M529" t="s">
        <v>103</v>
      </c>
      <c r="N529" t="s">
        <v>74</v>
      </c>
      <c r="O529" t="s">
        <v>187</v>
      </c>
      <c r="P529" t="s">
        <v>71</v>
      </c>
      <c r="Q529" t="s">
        <v>110</v>
      </c>
      <c r="R529" t="s">
        <v>71</v>
      </c>
      <c r="S529">
        <v>1</v>
      </c>
      <c r="T529">
        <v>1</v>
      </c>
      <c r="U529" t="s">
        <v>72</v>
      </c>
      <c r="V529" t="s">
        <v>192</v>
      </c>
      <c r="W529">
        <v>0</v>
      </c>
      <c r="X529">
        <v>1</v>
      </c>
      <c r="Y529">
        <v>0</v>
      </c>
      <c r="Z529">
        <v>0</v>
      </c>
      <c r="AA529">
        <v>0</v>
      </c>
      <c r="AB529">
        <v>0</v>
      </c>
      <c r="AC529">
        <v>0</v>
      </c>
      <c r="AD529">
        <v>0</v>
      </c>
      <c r="AE529">
        <v>0</v>
      </c>
      <c r="AF529">
        <v>0</v>
      </c>
      <c r="AG529" t="s">
        <v>71</v>
      </c>
      <c r="AH529">
        <v>0</v>
      </c>
      <c r="AI529">
        <v>0</v>
      </c>
      <c r="AJ529">
        <v>0</v>
      </c>
      <c r="AK529">
        <v>0</v>
      </c>
      <c r="AL529" t="s">
        <v>342</v>
      </c>
      <c r="AM529" t="s">
        <v>254</v>
      </c>
      <c r="AN529" t="s">
        <v>94</v>
      </c>
      <c r="AO529" t="s">
        <v>147</v>
      </c>
      <c r="AP529">
        <v>0</v>
      </c>
      <c r="AQ529">
        <v>0</v>
      </c>
      <c r="AR529">
        <v>0</v>
      </c>
      <c r="AS529">
        <v>0</v>
      </c>
      <c r="AT529">
        <v>0</v>
      </c>
      <c r="AU529">
        <v>0</v>
      </c>
      <c r="AV529">
        <v>0</v>
      </c>
      <c r="AW529">
        <v>0</v>
      </c>
      <c r="AX529">
        <v>0</v>
      </c>
      <c r="AY529">
        <v>0</v>
      </c>
    </row>
    <row r="530" spans="1:51" x14ac:dyDescent="0.25">
      <c r="A530">
        <v>123</v>
      </c>
      <c r="B530">
        <v>10380</v>
      </c>
      <c r="C530" t="s">
        <v>735</v>
      </c>
      <c r="D530" t="s">
        <v>96</v>
      </c>
      <c r="E530" t="s">
        <v>100</v>
      </c>
      <c r="F530" t="s">
        <v>107</v>
      </c>
      <c r="G530" t="s">
        <v>77</v>
      </c>
      <c r="H530" t="s">
        <v>78</v>
      </c>
      <c r="I530" t="s">
        <v>197</v>
      </c>
      <c r="J530" t="s">
        <v>70</v>
      </c>
      <c r="K530" t="s">
        <v>75</v>
      </c>
      <c r="L530" t="s">
        <v>76</v>
      </c>
      <c r="M530" t="s">
        <v>103</v>
      </c>
      <c r="N530" t="s">
        <v>74</v>
      </c>
      <c r="O530" t="s">
        <v>187</v>
      </c>
      <c r="P530" t="s">
        <v>71</v>
      </c>
      <c r="Q530" t="s">
        <v>110</v>
      </c>
      <c r="R530" t="s">
        <v>71</v>
      </c>
      <c r="S530">
        <v>1</v>
      </c>
      <c r="T530">
        <v>1</v>
      </c>
      <c r="U530" t="s">
        <v>72</v>
      </c>
      <c r="V530" t="s">
        <v>192</v>
      </c>
      <c r="W530">
        <v>0</v>
      </c>
      <c r="X530">
        <v>1</v>
      </c>
      <c r="Y530">
        <v>0</v>
      </c>
      <c r="Z530">
        <v>0</v>
      </c>
      <c r="AA530">
        <v>0</v>
      </c>
      <c r="AB530">
        <v>0</v>
      </c>
      <c r="AC530">
        <v>0</v>
      </c>
      <c r="AD530">
        <v>0</v>
      </c>
      <c r="AE530">
        <v>0</v>
      </c>
      <c r="AF530">
        <v>0</v>
      </c>
      <c r="AG530" t="s">
        <v>71</v>
      </c>
      <c r="AH530">
        <v>0</v>
      </c>
      <c r="AI530">
        <v>0</v>
      </c>
      <c r="AJ530">
        <v>0</v>
      </c>
      <c r="AK530">
        <v>0</v>
      </c>
      <c r="AL530" t="s">
        <v>342</v>
      </c>
      <c r="AM530" t="s">
        <v>254</v>
      </c>
      <c r="AN530" t="s">
        <v>94</v>
      </c>
      <c r="AO530" t="s">
        <v>147</v>
      </c>
      <c r="AP530">
        <v>0</v>
      </c>
      <c r="AQ530">
        <v>0</v>
      </c>
      <c r="AR530">
        <v>0</v>
      </c>
      <c r="AS530">
        <v>0</v>
      </c>
      <c r="AT530">
        <v>0</v>
      </c>
      <c r="AU530">
        <v>0</v>
      </c>
      <c r="AV530">
        <v>0</v>
      </c>
      <c r="AW530">
        <v>0</v>
      </c>
      <c r="AX530">
        <v>0</v>
      </c>
      <c r="AY530">
        <v>0</v>
      </c>
    </row>
    <row r="531" spans="1:51" x14ac:dyDescent="0.25">
      <c r="A531">
        <v>124</v>
      </c>
      <c r="B531">
        <v>10390</v>
      </c>
      <c r="C531" t="s">
        <v>735</v>
      </c>
      <c r="D531" t="s">
        <v>96</v>
      </c>
      <c r="E531" t="s">
        <v>100</v>
      </c>
      <c r="F531" t="s">
        <v>107</v>
      </c>
      <c r="G531" t="s">
        <v>77</v>
      </c>
      <c r="H531" t="s">
        <v>180</v>
      </c>
      <c r="I531" t="s">
        <v>79</v>
      </c>
      <c r="J531" t="s">
        <v>70</v>
      </c>
      <c r="K531" t="s">
        <v>75</v>
      </c>
      <c r="L531" t="s">
        <v>76</v>
      </c>
      <c r="M531" t="s">
        <v>103</v>
      </c>
      <c r="N531" t="s">
        <v>74</v>
      </c>
      <c r="O531" t="s">
        <v>187</v>
      </c>
      <c r="P531" t="s">
        <v>71</v>
      </c>
      <c r="Q531" t="s">
        <v>110</v>
      </c>
      <c r="R531" t="s">
        <v>71</v>
      </c>
      <c r="S531">
        <v>1</v>
      </c>
      <c r="T531">
        <v>1</v>
      </c>
      <c r="U531" t="s">
        <v>72</v>
      </c>
      <c r="V531" t="s">
        <v>192</v>
      </c>
      <c r="W531">
        <v>0</v>
      </c>
      <c r="X531">
        <v>1</v>
      </c>
      <c r="Y531">
        <v>0</v>
      </c>
      <c r="Z531">
        <v>0</v>
      </c>
      <c r="AA531">
        <v>0</v>
      </c>
      <c r="AB531">
        <v>0</v>
      </c>
      <c r="AC531">
        <v>0</v>
      </c>
      <c r="AD531">
        <v>0</v>
      </c>
      <c r="AE531">
        <v>0</v>
      </c>
      <c r="AF531">
        <v>0</v>
      </c>
      <c r="AG531" t="s">
        <v>71</v>
      </c>
      <c r="AH531">
        <v>0</v>
      </c>
      <c r="AI531">
        <v>0</v>
      </c>
      <c r="AJ531">
        <v>0</v>
      </c>
      <c r="AK531">
        <v>0</v>
      </c>
      <c r="AL531" t="s">
        <v>342</v>
      </c>
      <c r="AM531" t="s">
        <v>254</v>
      </c>
      <c r="AN531" t="s">
        <v>94</v>
      </c>
      <c r="AO531" t="s">
        <v>147</v>
      </c>
      <c r="AP531">
        <v>4</v>
      </c>
      <c r="AQ531">
        <v>0</v>
      </c>
      <c r="AR531">
        <v>0</v>
      </c>
      <c r="AS531">
        <v>0</v>
      </c>
      <c r="AT531">
        <v>0</v>
      </c>
      <c r="AU531">
        <v>0</v>
      </c>
      <c r="AV531">
        <v>0</v>
      </c>
      <c r="AW531">
        <v>0</v>
      </c>
      <c r="AX531">
        <v>0</v>
      </c>
      <c r="AY531">
        <v>0</v>
      </c>
    </row>
    <row r="532" spans="1:51" x14ac:dyDescent="0.25">
      <c r="A532">
        <v>125</v>
      </c>
      <c r="B532">
        <v>10400</v>
      </c>
      <c r="C532" t="s">
        <v>735</v>
      </c>
      <c r="D532" t="s">
        <v>96</v>
      </c>
      <c r="E532" t="s">
        <v>100</v>
      </c>
      <c r="F532" t="s">
        <v>107</v>
      </c>
      <c r="G532" t="s">
        <v>77</v>
      </c>
      <c r="H532" t="s">
        <v>181</v>
      </c>
      <c r="I532" t="s">
        <v>79</v>
      </c>
      <c r="J532" t="s">
        <v>70</v>
      </c>
      <c r="K532" t="s">
        <v>75</v>
      </c>
      <c r="L532" t="s">
        <v>76</v>
      </c>
      <c r="M532" t="s">
        <v>103</v>
      </c>
      <c r="N532" t="s">
        <v>74</v>
      </c>
      <c r="O532" t="s">
        <v>187</v>
      </c>
      <c r="P532" t="s">
        <v>71</v>
      </c>
      <c r="Q532" t="s">
        <v>110</v>
      </c>
      <c r="R532" t="s">
        <v>71</v>
      </c>
      <c r="S532">
        <v>1</v>
      </c>
      <c r="T532">
        <v>1</v>
      </c>
      <c r="U532" t="s">
        <v>72</v>
      </c>
      <c r="V532" t="s">
        <v>192</v>
      </c>
      <c r="W532">
        <v>0</v>
      </c>
      <c r="X532">
        <v>1</v>
      </c>
      <c r="Y532">
        <v>0</v>
      </c>
      <c r="Z532">
        <v>0</v>
      </c>
      <c r="AA532">
        <v>0</v>
      </c>
      <c r="AB532">
        <v>0</v>
      </c>
      <c r="AC532">
        <v>0</v>
      </c>
      <c r="AD532">
        <v>0</v>
      </c>
      <c r="AE532">
        <v>0</v>
      </c>
      <c r="AF532">
        <v>0</v>
      </c>
      <c r="AG532" t="s">
        <v>71</v>
      </c>
      <c r="AH532">
        <v>0</v>
      </c>
      <c r="AI532">
        <v>0</v>
      </c>
      <c r="AJ532">
        <v>0</v>
      </c>
      <c r="AK532">
        <v>0</v>
      </c>
      <c r="AL532" t="s">
        <v>342</v>
      </c>
      <c r="AM532" t="s">
        <v>254</v>
      </c>
      <c r="AN532" t="s">
        <v>94</v>
      </c>
      <c r="AO532" t="s">
        <v>147</v>
      </c>
      <c r="AP532">
        <v>0</v>
      </c>
      <c r="AQ532">
        <v>0</v>
      </c>
      <c r="AR532">
        <v>0</v>
      </c>
      <c r="AS532">
        <v>0</v>
      </c>
      <c r="AT532">
        <v>0</v>
      </c>
      <c r="AU532">
        <v>0</v>
      </c>
      <c r="AV532">
        <v>0</v>
      </c>
      <c r="AW532">
        <v>0</v>
      </c>
      <c r="AX532">
        <v>0</v>
      </c>
      <c r="AY532">
        <v>0</v>
      </c>
    </row>
    <row r="533" spans="1:51" x14ac:dyDescent="0.25">
      <c r="A533">
        <v>126</v>
      </c>
      <c r="B533">
        <v>10410</v>
      </c>
      <c r="C533" t="s">
        <v>735</v>
      </c>
      <c r="D533" t="s">
        <v>96</v>
      </c>
      <c r="E533" t="s">
        <v>100</v>
      </c>
      <c r="F533" t="s">
        <v>107</v>
      </c>
      <c r="G533" t="s">
        <v>77</v>
      </c>
      <c r="H533" t="s">
        <v>182</v>
      </c>
      <c r="I533" t="s">
        <v>79</v>
      </c>
      <c r="J533" t="s">
        <v>70</v>
      </c>
      <c r="K533" t="s">
        <v>75</v>
      </c>
      <c r="L533" t="s">
        <v>76</v>
      </c>
      <c r="M533" t="s">
        <v>103</v>
      </c>
      <c r="N533" t="s">
        <v>74</v>
      </c>
      <c r="O533" t="s">
        <v>187</v>
      </c>
      <c r="P533" t="s">
        <v>71</v>
      </c>
      <c r="Q533" t="s">
        <v>110</v>
      </c>
      <c r="R533" t="s">
        <v>71</v>
      </c>
      <c r="S533">
        <v>1</v>
      </c>
      <c r="T533">
        <v>1</v>
      </c>
      <c r="U533" t="s">
        <v>72</v>
      </c>
      <c r="V533" t="s">
        <v>192</v>
      </c>
      <c r="W533">
        <v>0</v>
      </c>
      <c r="X533">
        <v>1</v>
      </c>
      <c r="Y533">
        <v>0</v>
      </c>
      <c r="Z533">
        <v>0</v>
      </c>
      <c r="AA533">
        <v>0</v>
      </c>
      <c r="AB533">
        <v>0</v>
      </c>
      <c r="AC533">
        <v>0</v>
      </c>
      <c r="AD533">
        <v>0</v>
      </c>
      <c r="AE533">
        <v>0</v>
      </c>
      <c r="AF533">
        <v>0</v>
      </c>
      <c r="AG533" t="s">
        <v>71</v>
      </c>
      <c r="AH533">
        <v>0</v>
      </c>
      <c r="AI533">
        <v>0</v>
      </c>
      <c r="AJ533">
        <v>0</v>
      </c>
      <c r="AK533">
        <v>0</v>
      </c>
      <c r="AL533" t="s">
        <v>342</v>
      </c>
      <c r="AM533" t="s">
        <v>254</v>
      </c>
      <c r="AN533" t="s">
        <v>94</v>
      </c>
      <c r="AO533" t="s">
        <v>147</v>
      </c>
      <c r="AP533">
        <v>0</v>
      </c>
      <c r="AQ533">
        <v>0</v>
      </c>
      <c r="AR533">
        <v>0</v>
      </c>
      <c r="AS533">
        <v>0</v>
      </c>
      <c r="AT533">
        <v>0</v>
      </c>
      <c r="AU533">
        <v>0</v>
      </c>
      <c r="AV533">
        <v>0</v>
      </c>
      <c r="AW533">
        <v>0</v>
      </c>
      <c r="AX533">
        <v>0</v>
      </c>
      <c r="AY533">
        <v>0</v>
      </c>
    </row>
    <row r="534" spans="1:51" x14ac:dyDescent="0.25">
      <c r="A534">
        <v>127</v>
      </c>
      <c r="B534">
        <v>10420</v>
      </c>
      <c r="C534" t="s">
        <v>735</v>
      </c>
      <c r="D534" t="s">
        <v>96</v>
      </c>
      <c r="E534" t="s">
        <v>100</v>
      </c>
      <c r="F534" t="s">
        <v>107</v>
      </c>
      <c r="G534" t="s">
        <v>101</v>
      </c>
      <c r="H534" t="s">
        <v>78</v>
      </c>
      <c r="I534" t="s">
        <v>79</v>
      </c>
      <c r="J534" t="s">
        <v>70</v>
      </c>
      <c r="K534" t="s">
        <v>75</v>
      </c>
      <c r="L534" t="s">
        <v>76</v>
      </c>
      <c r="M534" t="s">
        <v>103</v>
      </c>
      <c r="N534" t="s">
        <v>74</v>
      </c>
      <c r="O534" t="s">
        <v>187</v>
      </c>
      <c r="P534" t="s">
        <v>71</v>
      </c>
      <c r="Q534" t="s">
        <v>110</v>
      </c>
      <c r="R534" t="s">
        <v>71</v>
      </c>
      <c r="S534">
        <v>1</v>
      </c>
      <c r="T534">
        <v>1</v>
      </c>
      <c r="U534" t="s">
        <v>72</v>
      </c>
      <c r="V534" t="s">
        <v>192</v>
      </c>
      <c r="W534">
        <v>0</v>
      </c>
      <c r="X534">
        <v>1</v>
      </c>
      <c r="Y534">
        <v>0</v>
      </c>
      <c r="Z534">
        <v>0</v>
      </c>
      <c r="AA534">
        <v>0</v>
      </c>
      <c r="AB534">
        <v>0</v>
      </c>
      <c r="AC534">
        <v>0</v>
      </c>
      <c r="AD534">
        <v>0</v>
      </c>
      <c r="AE534">
        <v>0</v>
      </c>
      <c r="AF534">
        <v>0</v>
      </c>
      <c r="AG534" t="s">
        <v>71</v>
      </c>
      <c r="AH534">
        <v>0</v>
      </c>
      <c r="AI534">
        <v>0</v>
      </c>
      <c r="AJ534">
        <v>0</v>
      </c>
      <c r="AK534">
        <v>0</v>
      </c>
      <c r="AL534" t="s">
        <v>342</v>
      </c>
      <c r="AM534" t="s">
        <v>254</v>
      </c>
      <c r="AN534" t="s">
        <v>94</v>
      </c>
      <c r="AO534" t="s">
        <v>147</v>
      </c>
      <c r="AP534">
        <v>2</v>
      </c>
      <c r="AQ534">
        <v>0</v>
      </c>
      <c r="AR534">
        <v>0</v>
      </c>
      <c r="AS534">
        <v>0</v>
      </c>
      <c r="AT534">
        <v>0</v>
      </c>
      <c r="AU534">
        <v>0</v>
      </c>
      <c r="AV534">
        <v>0</v>
      </c>
      <c r="AW534">
        <v>0</v>
      </c>
      <c r="AX534">
        <v>0</v>
      </c>
      <c r="AY534">
        <v>0</v>
      </c>
    </row>
    <row r="535" spans="1:51" x14ac:dyDescent="0.25">
      <c r="A535">
        <v>128</v>
      </c>
      <c r="B535">
        <v>10430</v>
      </c>
      <c r="C535" t="s">
        <v>735</v>
      </c>
      <c r="D535" t="s">
        <v>96</v>
      </c>
      <c r="E535" t="s">
        <v>100</v>
      </c>
      <c r="F535" t="s">
        <v>107</v>
      </c>
      <c r="G535" t="s">
        <v>184</v>
      </c>
      <c r="H535" t="s">
        <v>78</v>
      </c>
      <c r="I535" t="s">
        <v>79</v>
      </c>
      <c r="J535" t="s">
        <v>70</v>
      </c>
      <c r="K535" t="s">
        <v>75</v>
      </c>
      <c r="L535" t="s">
        <v>76</v>
      </c>
      <c r="M535" t="s">
        <v>103</v>
      </c>
      <c r="N535" t="s">
        <v>74</v>
      </c>
      <c r="O535" t="s">
        <v>187</v>
      </c>
      <c r="P535" t="s">
        <v>71</v>
      </c>
      <c r="Q535" t="s">
        <v>110</v>
      </c>
      <c r="R535" t="s">
        <v>71</v>
      </c>
      <c r="S535">
        <v>1</v>
      </c>
      <c r="T535">
        <v>1</v>
      </c>
      <c r="U535" t="s">
        <v>72</v>
      </c>
      <c r="V535" t="s">
        <v>192</v>
      </c>
      <c r="W535">
        <v>0</v>
      </c>
      <c r="X535">
        <v>1</v>
      </c>
      <c r="Y535">
        <v>0</v>
      </c>
      <c r="Z535">
        <v>0</v>
      </c>
      <c r="AA535">
        <v>0</v>
      </c>
      <c r="AB535">
        <v>0</v>
      </c>
      <c r="AC535">
        <v>0</v>
      </c>
      <c r="AD535">
        <v>0</v>
      </c>
      <c r="AE535">
        <v>0</v>
      </c>
      <c r="AF535">
        <v>0</v>
      </c>
      <c r="AG535" t="s">
        <v>71</v>
      </c>
      <c r="AH535">
        <v>0</v>
      </c>
      <c r="AI535">
        <v>0</v>
      </c>
      <c r="AJ535">
        <v>0</v>
      </c>
      <c r="AK535">
        <v>0</v>
      </c>
      <c r="AL535" t="s">
        <v>342</v>
      </c>
      <c r="AM535" t="s">
        <v>254</v>
      </c>
      <c r="AN535" t="s">
        <v>94</v>
      </c>
      <c r="AO535" t="s">
        <v>147</v>
      </c>
      <c r="AP535">
        <v>2</v>
      </c>
      <c r="AQ535">
        <v>0</v>
      </c>
      <c r="AR535">
        <v>0</v>
      </c>
      <c r="AS535">
        <v>0</v>
      </c>
      <c r="AT535">
        <v>0</v>
      </c>
      <c r="AU535">
        <v>0</v>
      </c>
      <c r="AV535">
        <v>0</v>
      </c>
      <c r="AW535">
        <v>0</v>
      </c>
      <c r="AX535">
        <v>0</v>
      </c>
      <c r="AY535">
        <v>0</v>
      </c>
    </row>
    <row r="536" spans="1:51" x14ac:dyDescent="0.25">
      <c r="A536">
        <v>129</v>
      </c>
      <c r="B536">
        <v>10440</v>
      </c>
      <c r="C536" t="s">
        <v>735</v>
      </c>
      <c r="D536" t="s">
        <v>96</v>
      </c>
      <c r="E536" t="s">
        <v>100</v>
      </c>
      <c r="F536" t="s">
        <v>107</v>
      </c>
      <c r="G536" t="s">
        <v>185</v>
      </c>
      <c r="H536" t="s">
        <v>78</v>
      </c>
      <c r="I536" t="s">
        <v>79</v>
      </c>
      <c r="J536" t="s">
        <v>70</v>
      </c>
      <c r="K536" t="s">
        <v>75</v>
      </c>
      <c r="L536" t="s">
        <v>76</v>
      </c>
      <c r="M536" t="s">
        <v>103</v>
      </c>
      <c r="N536" t="s">
        <v>74</v>
      </c>
      <c r="O536" t="s">
        <v>187</v>
      </c>
      <c r="P536" t="s">
        <v>71</v>
      </c>
      <c r="Q536" t="s">
        <v>110</v>
      </c>
      <c r="R536" t="s">
        <v>71</v>
      </c>
      <c r="S536">
        <v>1</v>
      </c>
      <c r="T536">
        <v>1</v>
      </c>
      <c r="U536" t="s">
        <v>72</v>
      </c>
      <c r="V536" t="s">
        <v>192</v>
      </c>
      <c r="W536">
        <v>0</v>
      </c>
      <c r="X536">
        <v>1</v>
      </c>
      <c r="Y536">
        <v>0</v>
      </c>
      <c r="Z536">
        <v>0</v>
      </c>
      <c r="AA536">
        <v>0</v>
      </c>
      <c r="AB536">
        <v>0</v>
      </c>
      <c r="AC536">
        <v>0</v>
      </c>
      <c r="AD536">
        <v>0</v>
      </c>
      <c r="AE536">
        <v>0</v>
      </c>
      <c r="AF536">
        <v>0</v>
      </c>
      <c r="AG536" t="s">
        <v>71</v>
      </c>
      <c r="AH536">
        <v>0</v>
      </c>
      <c r="AI536">
        <v>0</v>
      </c>
      <c r="AJ536">
        <v>0</v>
      </c>
      <c r="AK536">
        <v>0</v>
      </c>
      <c r="AL536" t="s">
        <v>342</v>
      </c>
      <c r="AM536" t="s">
        <v>254</v>
      </c>
      <c r="AN536" t="s">
        <v>94</v>
      </c>
      <c r="AO536" t="s">
        <v>147</v>
      </c>
      <c r="AP536">
        <v>2</v>
      </c>
      <c r="AQ536">
        <v>0</v>
      </c>
      <c r="AR536">
        <v>0</v>
      </c>
      <c r="AS536">
        <v>0</v>
      </c>
      <c r="AT536">
        <v>0</v>
      </c>
      <c r="AU536">
        <v>0</v>
      </c>
      <c r="AV536">
        <v>0</v>
      </c>
      <c r="AW536">
        <v>0</v>
      </c>
      <c r="AX536">
        <v>0</v>
      </c>
      <c r="AY536">
        <v>0</v>
      </c>
    </row>
    <row r="537" spans="1:51" x14ac:dyDescent="0.25">
      <c r="A537">
        <v>130</v>
      </c>
      <c r="B537">
        <v>10450</v>
      </c>
      <c r="C537" t="s">
        <v>735</v>
      </c>
      <c r="D537" t="s">
        <v>96</v>
      </c>
      <c r="E537" t="s">
        <v>100</v>
      </c>
      <c r="F537" t="s">
        <v>107</v>
      </c>
      <c r="G537" t="s">
        <v>77</v>
      </c>
      <c r="H537" t="s">
        <v>78</v>
      </c>
      <c r="I537" t="s">
        <v>79</v>
      </c>
      <c r="J537" t="s">
        <v>70</v>
      </c>
      <c r="K537" t="s">
        <v>75</v>
      </c>
      <c r="L537" t="s">
        <v>76</v>
      </c>
      <c r="M537" t="s">
        <v>103</v>
      </c>
      <c r="N537" t="s">
        <v>74</v>
      </c>
      <c r="O537" t="s">
        <v>187</v>
      </c>
      <c r="P537" t="s">
        <v>71</v>
      </c>
      <c r="Q537" t="s">
        <v>110</v>
      </c>
      <c r="R537" t="s">
        <v>71</v>
      </c>
      <c r="S537">
        <v>1</v>
      </c>
      <c r="T537">
        <v>1</v>
      </c>
      <c r="U537" t="s">
        <v>72</v>
      </c>
      <c r="V537" t="s">
        <v>192</v>
      </c>
      <c r="W537">
        <v>0</v>
      </c>
      <c r="X537">
        <v>1</v>
      </c>
      <c r="Y537">
        <v>1</v>
      </c>
      <c r="Z537">
        <v>5</v>
      </c>
      <c r="AA537">
        <v>1</v>
      </c>
      <c r="AB537">
        <v>5</v>
      </c>
      <c r="AC537">
        <v>1</v>
      </c>
      <c r="AD537">
        <v>5</v>
      </c>
      <c r="AE537">
        <v>1</v>
      </c>
      <c r="AF537">
        <v>5</v>
      </c>
      <c r="AG537" t="s">
        <v>71</v>
      </c>
      <c r="AH537">
        <v>0</v>
      </c>
      <c r="AI537">
        <v>0</v>
      </c>
      <c r="AJ537">
        <v>0</v>
      </c>
      <c r="AK537">
        <v>0</v>
      </c>
      <c r="AL537" t="s">
        <v>342</v>
      </c>
      <c r="AM537" t="s">
        <v>254</v>
      </c>
      <c r="AN537" t="s">
        <v>94</v>
      </c>
      <c r="AO537" t="s">
        <v>147</v>
      </c>
      <c r="AP537">
        <v>1</v>
      </c>
      <c r="AQ537">
        <v>0</v>
      </c>
      <c r="AR537">
        <v>0</v>
      </c>
      <c r="AS537">
        <v>0</v>
      </c>
      <c r="AT537">
        <v>0</v>
      </c>
      <c r="AU537">
        <v>0</v>
      </c>
      <c r="AV537">
        <v>0</v>
      </c>
      <c r="AW537">
        <v>0</v>
      </c>
      <c r="AX537">
        <v>0</v>
      </c>
      <c r="AY537">
        <v>0</v>
      </c>
    </row>
    <row r="538" spans="1:51" x14ac:dyDescent="0.25">
      <c r="A538">
        <v>131</v>
      </c>
      <c r="B538">
        <v>10460</v>
      </c>
      <c r="C538" t="s">
        <v>735</v>
      </c>
      <c r="D538" t="s">
        <v>96</v>
      </c>
      <c r="E538" t="s">
        <v>100</v>
      </c>
      <c r="F538" t="s">
        <v>107</v>
      </c>
      <c r="G538" t="s">
        <v>77</v>
      </c>
      <c r="H538" t="s">
        <v>78</v>
      </c>
      <c r="I538" t="s">
        <v>79</v>
      </c>
      <c r="J538" t="s">
        <v>70</v>
      </c>
      <c r="K538" t="s">
        <v>75</v>
      </c>
      <c r="L538" t="s">
        <v>76</v>
      </c>
      <c r="M538" t="s">
        <v>103</v>
      </c>
      <c r="N538" t="s">
        <v>74</v>
      </c>
      <c r="O538" t="s">
        <v>187</v>
      </c>
      <c r="P538" t="s">
        <v>71</v>
      </c>
      <c r="Q538" t="s">
        <v>71</v>
      </c>
      <c r="R538" t="s">
        <v>71</v>
      </c>
      <c r="S538">
        <v>1</v>
      </c>
      <c r="T538">
        <v>1</v>
      </c>
      <c r="U538" t="s">
        <v>72</v>
      </c>
      <c r="V538" t="s">
        <v>192</v>
      </c>
      <c r="W538">
        <v>0</v>
      </c>
      <c r="X538">
        <v>1</v>
      </c>
      <c r="Y538">
        <v>0</v>
      </c>
      <c r="Z538">
        <v>0</v>
      </c>
      <c r="AA538">
        <v>0</v>
      </c>
      <c r="AB538">
        <v>0</v>
      </c>
      <c r="AC538">
        <v>0</v>
      </c>
      <c r="AD538">
        <v>0</v>
      </c>
      <c r="AE538">
        <v>0</v>
      </c>
      <c r="AF538">
        <v>0</v>
      </c>
      <c r="AG538" t="s">
        <v>71</v>
      </c>
      <c r="AH538">
        <v>0</v>
      </c>
      <c r="AI538">
        <v>0</v>
      </c>
      <c r="AJ538">
        <v>0</v>
      </c>
      <c r="AK538">
        <v>0</v>
      </c>
      <c r="AL538" t="s">
        <v>342</v>
      </c>
      <c r="AM538" t="s">
        <v>254</v>
      </c>
      <c r="AN538" t="s">
        <v>94</v>
      </c>
      <c r="AO538" t="s">
        <v>147</v>
      </c>
      <c r="AP538">
        <v>32768</v>
      </c>
      <c r="AQ538">
        <v>0</v>
      </c>
      <c r="AR538">
        <v>0</v>
      </c>
      <c r="AS538">
        <v>0</v>
      </c>
      <c r="AT538">
        <v>0</v>
      </c>
      <c r="AU538">
        <v>0</v>
      </c>
      <c r="AV538">
        <v>0</v>
      </c>
      <c r="AW538">
        <v>0</v>
      </c>
      <c r="AX538">
        <v>0</v>
      </c>
      <c r="AY538">
        <v>0</v>
      </c>
    </row>
    <row r="539" spans="1:51" x14ac:dyDescent="0.25">
      <c r="A539">
        <v>132</v>
      </c>
      <c r="B539">
        <v>10470</v>
      </c>
      <c r="C539" t="s">
        <v>735</v>
      </c>
      <c r="D539" t="s">
        <v>96</v>
      </c>
      <c r="E539" t="s">
        <v>100</v>
      </c>
      <c r="F539" t="s">
        <v>107</v>
      </c>
      <c r="G539" t="s">
        <v>77</v>
      </c>
      <c r="H539" t="s">
        <v>78</v>
      </c>
      <c r="I539" t="s">
        <v>79</v>
      </c>
      <c r="J539" t="s">
        <v>70</v>
      </c>
      <c r="K539" t="s">
        <v>75</v>
      </c>
      <c r="L539" t="s">
        <v>76</v>
      </c>
      <c r="M539" t="s">
        <v>103</v>
      </c>
      <c r="N539" t="s">
        <v>74</v>
      </c>
      <c r="O539" t="s">
        <v>187</v>
      </c>
      <c r="P539" t="s">
        <v>71</v>
      </c>
      <c r="Q539" t="s">
        <v>299</v>
      </c>
      <c r="R539" t="s">
        <v>71</v>
      </c>
      <c r="S539">
        <v>1</v>
      </c>
      <c r="T539">
        <v>1</v>
      </c>
      <c r="U539" t="s">
        <v>72</v>
      </c>
      <c r="V539" t="s">
        <v>192</v>
      </c>
      <c r="W539">
        <v>0</v>
      </c>
      <c r="X539">
        <v>1</v>
      </c>
      <c r="Y539">
        <v>0</v>
      </c>
      <c r="Z539">
        <v>0</v>
      </c>
      <c r="AA539">
        <v>0</v>
      </c>
      <c r="AB539">
        <v>0</v>
      </c>
      <c r="AC539">
        <v>0</v>
      </c>
      <c r="AD539">
        <v>0</v>
      </c>
      <c r="AE539">
        <v>0</v>
      </c>
      <c r="AF539">
        <v>0</v>
      </c>
      <c r="AG539" t="s">
        <v>71</v>
      </c>
      <c r="AH539">
        <v>0</v>
      </c>
      <c r="AI539">
        <v>0</v>
      </c>
      <c r="AJ539">
        <v>0</v>
      </c>
      <c r="AK539">
        <v>0</v>
      </c>
      <c r="AL539" t="s">
        <v>342</v>
      </c>
      <c r="AM539" t="s">
        <v>254</v>
      </c>
      <c r="AN539" t="s">
        <v>94</v>
      </c>
      <c r="AO539" t="s">
        <v>147</v>
      </c>
      <c r="AP539">
        <v>32768</v>
      </c>
      <c r="AQ539">
        <v>0</v>
      </c>
      <c r="AR539">
        <v>0</v>
      </c>
      <c r="AS539">
        <v>0</v>
      </c>
      <c r="AT539">
        <v>0</v>
      </c>
      <c r="AU539">
        <v>0</v>
      </c>
      <c r="AV539">
        <v>0</v>
      </c>
      <c r="AW539">
        <v>0</v>
      </c>
      <c r="AX539">
        <v>0</v>
      </c>
      <c r="AY539">
        <v>0</v>
      </c>
    </row>
    <row r="540" spans="1:51" x14ac:dyDescent="0.25">
      <c r="A540">
        <v>133</v>
      </c>
      <c r="B540">
        <v>10480</v>
      </c>
      <c r="C540" t="s">
        <v>735</v>
      </c>
      <c r="D540" t="s">
        <v>96</v>
      </c>
      <c r="E540" t="s">
        <v>100</v>
      </c>
      <c r="F540" t="s">
        <v>107</v>
      </c>
      <c r="G540" t="s">
        <v>77</v>
      </c>
      <c r="H540" t="s">
        <v>78</v>
      </c>
      <c r="I540" t="s">
        <v>79</v>
      </c>
      <c r="J540" t="s">
        <v>70</v>
      </c>
      <c r="K540" t="s">
        <v>75</v>
      </c>
      <c r="L540" t="s">
        <v>76</v>
      </c>
      <c r="M540" t="s">
        <v>149</v>
      </c>
      <c r="N540" t="s">
        <v>74</v>
      </c>
      <c r="O540" t="s">
        <v>187</v>
      </c>
      <c r="P540" t="s">
        <v>71</v>
      </c>
      <c r="Q540" t="s">
        <v>110</v>
      </c>
      <c r="R540" t="s">
        <v>71</v>
      </c>
      <c r="S540">
        <v>1</v>
      </c>
      <c r="T540">
        <v>1</v>
      </c>
      <c r="U540" t="s">
        <v>72</v>
      </c>
      <c r="V540" t="s">
        <v>192</v>
      </c>
      <c r="W540">
        <v>0</v>
      </c>
      <c r="X540">
        <v>1</v>
      </c>
      <c r="Y540">
        <v>0</v>
      </c>
      <c r="Z540">
        <v>0</v>
      </c>
      <c r="AA540">
        <v>0</v>
      </c>
      <c r="AB540">
        <v>0</v>
      </c>
      <c r="AC540">
        <v>0</v>
      </c>
      <c r="AD540">
        <v>0</v>
      </c>
      <c r="AE540">
        <v>0</v>
      </c>
      <c r="AF540">
        <v>0</v>
      </c>
      <c r="AG540" t="s">
        <v>71</v>
      </c>
      <c r="AH540">
        <v>0</v>
      </c>
      <c r="AI540">
        <v>0</v>
      </c>
      <c r="AJ540">
        <v>0</v>
      </c>
      <c r="AK540">
        <v>0</v>
      </c>
      <c r="AL540" t="s">
        <v>342</v>
      </c>
      <c r="AM540" t="s">
        <v>254</v>
      </c>
      <c r="AN540" t="s">
        <v>94</v>
      </c>
      <c r="AO540" t="s">
        <v>147</v>
      </c>
      <c r="AP540">
        <v>2048</v>
      </c>
      <c r="AQ540">
        <v>0</v>
      </c>
      <c r="AR540">
        <v>0</v>
      </c>
      <c r="AS540">
        <v>0</v>
      </c>
      <c r="AT540">
        <v>0</v>
      </c>
      <c r="AU540">
        <v>0</v>
      </c>
      <c r="AV540">
        <v>0</v>
      </c>
      <c r="AW540">
        <v>0</v>
      </c>
      <c r="AX540">
        <v>0</v>
      </c>
      <c r="AY540">
        <v>0</v>
      </c>
    </row>
    <row r="541" spans="1:51" x14ac:dyDescent="0.25">
      <c r="A541">
        <v>134</v>
      </c>
      <c r="B541">
        <v>10490</v>
      </c>
      <c r="C541" t="s">
        <v>735</v>
      </c>
      <c r="D541" t="s">
        <v>96</v>
      </c>
      <c r="E541" t="s">
        <v>100</v>
      </c>
      <c r="F541" t="s">
        <v>107</v>
      </c>
      <c r="G541" t="s">
        <v>77</v>
      </c>
      <c r="H541" t="s">
        <v>78</v>
      </c>
      <c r="I541" t="s">
        <v>79</v>
      </c>
      <c r="J541" t="s">
        <v>70</v>
      </c>
      <c r="K541" t="s">
        <v>75</v>
      </c>
      <c r="L541" t="s">
        <v>76</v>
      </c>
      <c r="M541" t="s">
        <v>179</v>
      </c>
      <c r="N541" t="s">
        <v>74</v>
      </c>
      <c r="O541" t="s">
        <v>187</v>
      </c>
      <c r="P541" t="s">
        <v>71</v>
      </c>
      <c r="Q541" t="s">
        <v>110</v>
      </c>
      <c r="R541" t="s">
        <v>71</v>
      </c>
      <c r="S541">
        <v>1</v>
      </c>
      <c r="T541">
        <v>1</v>
      </c>
      <c r="U541" t="s">
        <v>72</v>
      </c>
      <c r="V541" t="s">
        <v>192</v>
      </c>
      <c r="W541">
        <v>0</v>
      </c>
      <c r="X541">
        <v>1</v>
      </c>
      <c r="Y541">
        <v>0</v>
      </c>
      <c r="Z541">
        <v>0</v>
      </c>
      <c r="AA541">
        <v>0</v>
      </c>
      <c r="AB541">
        <v>0</v>
      </c>
      <c r="AC541">
        <v>0</v>
      </c>
      <c r="AD541">
        <v>0</v>
      </c>
      <c r="AE541">
        <v>0</v>
      </c>
      <c r="AF541">
        <v>0</v>
      </c>
      <c r="AG541" t="s">
        <v>71</v>
      </c>
      <c r="AH541">
        <v>0</v>
      </c>
      <c r="AI541">
        <v>0</v>
      </c>
      <c r="AJ541">
        <v>0</v>
      </c>
      <c r="AK541">
        <v>0</v>
      </c>
      <c r="AL541" t="s">
        <v>342</v>
      </c>
      <c r="AM541" t="s">
        <v>254</v>
      </c>
      <c r="AN541" t="s">
        <v>94</v>
      </c>
      <c r="AO541" t="s">
        <v>147</v>
      </c>
      <c r="AP541">
        <v>2048</v>
      </c>
      <c r="AQ541">
        <v>0</v>
      </c>
      <c r="AR541">
        <v>0</v>
      </c>
      <c r="AS541">
        <v>0</v>
      </c>
      <c r="AT541">
        <v>0</v>
      </c>
      <c r="AU541">
        <v>0</v>
      </c>
      <c r="AV541">
        <v>0</v>
      </c>
      <c r="AW541">
        <v>0</v>
      </c>
      <c r="AX541">
        <v>0</v>
      </c>
      <c r="AY541">
        <v>0</v>
      </c>
    </row>
    <row r="542" spans="1:51" x14ac:dyDescent="0.25">
      <c r="A542">
        <v>135</v>
      </c>
      <c r="B542">
        <v>10500</v>
      </c>
      <c r="C542" t="s">
        <v>735</v>
      </c>
      <c r="D542" t="s">
        <v>96</v>
      </c>
      <c r="E542" t="s">
        <v>100</v>
      </c>
      <c r="F542" t="s">
        <v>107</v>
      </c>
      <c r="G542" t="s">
        <v>101</v>
      </c>
      <c r="H542" t="s">
        <v>180</v>
      </c>
      <c r="I542" t="s">
        <v>195</v>
      </c>
      <c r="J542" t="s">
        <v>70</v>
      </c>
      <c r="K542" t="s">
        <v>75</v>
      </c>
      <c r="L542" t="s">
        <v>223</v>
      </c>
      <c r="M542" t="s">
        <v>103</v>
      </c>
      <c r="N542" t="s">
        <v>74</v>
      </c>
      <c r="O542" t="s">
        <v>187</v>
      </c>
      <c r="P542" t="s">
        <v>71</v>
      </c>
      <c r="Q542" t="s">
        <v>110</v>
      </c>
      <c r="R542" t="s">
        <v>71</v>
      </c>
      <c r="S542">
        <v>0</v>
      </c>
      <c r="T542">
        <v>1</v>
      </c>
      <c r="U542" t="s">
        <v>282</v>
      </c>
      <c r="V542" t="s">
        <v>188</v>
      </c>
      <c r="W542">
        <v>0</v>
      </c>
      <c r="X542">
        <v>1</v>
      </c>
      <c r="Y542">
        <v>0</v>
      </c>
      <c r="Z542">
        <v>0</v>
      </c>
      <c r="AA542">
        <v>0</v>
      </c>
      <c r="AB542">
        <v>0</v>
      </c>
      <c r="AC542">
        <v>0</v>
      </c>
      <c r="AD542">
        <v>0</v>
      </c>
      <c r="AE542">
        <v>0</v>
      </c>
      <c r="AF542">
        <v>0</v>
      </c>
      <c r="AG542" t="s">
        <v>71</v>
      </c>
      <c r="AH542">
        <v>0</v>
      </c>
      <c r="AI542">
        <v>0</v>
      </c>
      <c r="AJ542">
        <v>0</v>
      </c>
      <c r="AK542">
        <v>0</v>
      </c>
      <c r="AL542" t="s">
        <v>342</v>
      </c>
      <c r="AM542" t="s">
        <v>254</v>
      </c>
      <c r="AN542" t="s">
        <v>94</v>
      </c>
      <c r="AO542" t="s">
        <v>147</v>
      </c>
      <c r="AP542">
        <v>126</v>
      </c>
      <c r="AQ542">
        <v>0</v>
      </c>
      <c r="AR542">
        <v>0</v>
      </c>
      <c r="AS542">
        <v>0</v>
      </c>
      <c r="AT542">
        <v>0</v>
      </c>
      <c r="AU542">
        <v>0</v>
      </c>
      <c r="AV542">
        <v>0</v>
      </c>
      <c r="AW542">
        <v>0</v>
      </c>
      <c r="AX542">
        <v>0</v>
      </c>
      <c r="AY542">
        <v>0</v>
      </c>
    </row>
    <row r="543" spans="1:51" x14ac:dyDescent="0.25">
      <c r="A543">
        <v>136</v>
      </c>
      <c r="B543">
        <v>10510</v>
      </c>
      <c r="C543" t="s">
        <v>735</v>
      </c>
      <c r="D543" t="s">
        <v>96</v>
      </c>
      <c r="E543" t="s">
        <v>100</v>
      </c>
      <c r="F543" t="s">
        <v>107</v>
      </c>
      <c r="G543" t="s">
        <v>77</v>
      </c>
      <c r="H543" t="s">
        <v>78</v>
      </c>
      <c r="I543" t="s">
        <v>79</v>
      </c>
      <c r="J543" t="s">
        <v>70</v>
      </c>
      <c r="K543" t="s">
        <v>75</v>
      </c>
      <c r="L543" t="s">
        <v>76</v>
      </c>
      <c r="M543" t="s">
        <v>179</v>
      </c>
      <c r="N543" t="s">
        <v>74</v>
      </c>
      <c r="O543" t="s">
        <v>187</v>
      </c>
      <c r="P543" t="s">
        <v>71</v>
      </c>
      <c r="Q543" t="s">
        <v>110</v>
      </c>
      <c r="R543" t="s">
        <v>71</v>
      </c>
      <c r="S543">
        <v>0</v>
      </c>
      <c r="T543">
        <v>1</v>
      </c>
      <c r="U543" t="s">
        <v>72</v>
      </c>
      <c r="V543" t="s">
        <v>73</v>
      </c>
      <c r="W543">
        <v>0</v>
      </c>
      <c r="X543">
        <v>1</v>
      </c>
      <c r="Y543">
        <v>0</v>
      </c>
      <c r="Z543">
        <v>0</v>
      </c>
      <c r="AA543">
        <v>0</v>
      </c>
      <c r="AB543">
        <v>0</v>
      </c>
      <c r="AC543">
        <v>0</v>
      </c>
      <c r="AD543">
        <v>0</v>
      </c>
      <c r="AE543">
        <v>0</v>
      </c>
      <c r="AF543">
        <v>0</v>
      </c>
      <c r="AG543" t="s">
        <v>71</v>
      </c>
      <c r="AH543">
        <v>0</v>
      </c>
      <c r="AI543">
        <v>0</v>
      </c>
      <c r="AJ543">
        <v>0</v>
      </c>
      <c r="AK543">
        <v>0</v>
      </c>
      <c r="AL543" t="s">
        <v>342</v>
      </c>
      <c r="AM543" t="s">
        <v>254</v>
      </c>
      <c r="AN543" t="s">
        <v>94</v>
      </c>
      <c r="AO543" t="s">
        <v>147</v>
      </c>
      <c r="AP543">
        <v>2048</v>
      </c>
      <c r="AQ543">
        <v>0</v>
      </c>
      <c r="AR543">
        <v>0</v>
      </c>
      <c r="AS543">
        <v>0</v>
      </c>
      <c r="AT543">
        <v>0</v>
      </c>
      <c r="AU543">
        <v>0</v>
      </c>
      <c r="AV543">
        <v>0</v>
      </c>
      <c r="AW543">
        <v>0</v>
      </c>
      <c r="AX543">
        <v>0</v>
      </c>
      <c r="AY543">
        <v>0</v>
      </c>
    </row>
    <row r="544" spans="1:51" x14ac:dyDescent="0.25">
      <c r="A544">
        <v>137</v>
      </c>
      <c r="B544">
        <v>10520</v>
      </c>
      <c r="C544" t="s">
        <v>735</v>
      </c>
      <c r="D544" t="s">
        <v>96</v>
      </c>
      <c r="E544" t="s">
        <v>100</v>
      </c>
      <c r="F544" t="s">
        <v>107</v>
      </c>
      <c r="G544" t="s">
        <v>184</v>
      </c>
      <c r="H544" t="s">
        <v>180</v>
      </c>
      <c r="I544" t="s">
        <v>195</v>
      </c>
      <c r="J544" t="s">
        <v>150</v>
      </c>
      <c r="K544" t="s">
        <v>75</v>
      </c>
      <c r="L544" t="s">
        <v>76</v>
      </c>
      <c r="M544" t="s">
        <v>103</v>
      </c>
      <c r="N544" t="s">
        <v>74</v>
      </c>
      <c r="O544" t="s">
        <v>187</v>
      </c>
      <c r="P544" t="s">
        <v>71</v>
      </c>
      <c r="Q544" t="s">
        <v>110</v>
      </c>
      <c r="R544" t="s">
        <v>71</v>
      </c>
      <c r="S544">
        <v>0</v>
      </c>
      <c r="T544">
        <v>1</v>
      </c>
      <c r="U544" t="s">
        <v>283</v>
      </c>
      <c r="V544" t="s">
        <v>188</v>
      </c>
      <c r="W544">
        <v>0</v>
      </c>
      <c r="X544">
        <v>1</v>
      </c>
      <c r="Y544">
        <v>0</v>
      </c>
      <c r="Z544">
        <v>0</v>
      </c>
      <c r="AA544">
        <v>0</v>
      </c>
      <c r="AB544">
        <v>0</v>
      </c>
      <c r="AC544">
        <v>0</v>
      </c>
      <c r="AD544">
        <v>0</v>
      </c>
      <c r="AE544">
        <v>0</v>
      </c>
      <c r="AF544">
        <v>0</v>
      </c>
      <c r="AG544" t="s">
        <v>71</v>
      </c>
      <c r="AH544">
        <v>0</v>
      </c>
      <c r="AI544">
        <v>0</v>
      </c>
      <c r="AJ544">
        <v>0</v>
      </c>
      <c r="AK544">
        <v>0</v>
      </c>
      <c r="AL544" t="s">
        <v>342</v>
      </c>
      <c r="AM544" t="s">
        <v>254</v>
      </c>
      <c r="AN544" t="s">
        <v>94</v>
      </c>
      <c r="AO544" t="s">
        <v>147</v>
      </c>
      <c r="AP544">
        <v>126</v>
      </c>
      <c r="AQ544">
        <v>0</v>
      </c>
      <c r="AR544">
        <v>0</v>
      </c>
      <c r="AS544">
        <v>0</v>
      </c>
      <c r="AT544">
        <v>0</v>
      </c>
      <c r="AU544">
        <v>0</v>
      </c>
      <c r="AV544">
        <v>0</v>
      </c>
      <c r="AW544">
        <v>0</v>
      </c>
      <c r="AX544">
        <v>0</v>
      </c>
      <c r="AY544">
        <v>0</v>
      </c>
    </row>
    <row r="545" spans="1:51" x14ac:dyDescent="0.25">
      <c r="A545">
        <v>138</v>
      </c>
      <c r="B545">
        <v>10530</v>
      </c>
      <c r="C545" t="s">
        <v>735</v>
      </c>
      <c r="D545" t="s">
        <v>96</v>
      </c>
      <c r="E545" t="s">
        <v>100</v>
      </c>
      <c r="F545" t="s">
        <v>107</v>
      </c>
      <c r="G545" t="s">
        <v>77</v>
      </c>
      <c r="H545" t="s">
        <v>182</v>
      </c>
      <c r="I545" t="s">
        <v>197</v>
      </c>
      <c r="J545" t="s">
        <v>119</v>
      </c>
      <c r="K545" t="s">
        <v>75</v>
      </c>
      <c r="L545" t="s">
        <v>203</v>
      </c>
      <c r="M545" t="s">
        <v>149</v>
      </c>
      <c r="N545" t="s">
        <v>74</v>
      </c>
      <c r="O545" t="s">
        <v>187</v>
      </c>
      <c r="P545" t="s">
        <v>71</v>
      </c>
      <c r="Q545" t="s">
        <v>110</v>
      </c>
      <c r="R545" t="s">
        <v>71</v>
      </c>
      <c r="S545">
        <v>1</v>
      </c>
      <c r="T545">
        <v>1</v>
      </c>
      <c r="U545" t="s">
        <v>72</v>
      </c>
      <c r="V545" t="s">
        <v>188</v>
      </c>
      <c r="W545">
        <v>0</v>
      </c>
      <c r="X545">
        <v>1</v>
      </c>
      <c r="Y545">
        <v>0</v>
      </c>
      <c r="Z545">
        <v>0</v>
      </c>
      <c r="AA545">
        <v>0</v>
      </c>
      <c r="AB545">
        <v>0</v>
      </c>
      <c r="AC545">
        <v>0</v>
      </c>
      <c r="AD545">
        <v>0</v>
      </c>
      <c r="AE545">
        <v>0</v>
      </c>
      <c r="AF545">
        <v>0</v>
      </c>
      <c r="AG545" t="s">
        <v>71</v>
      </c>
      <c r="AH545">
        <v>0</v>
      </c>
      <c r="AI545">
        <v>0</v>
      </c>
      <c r="AJ545">
        <v>0</v>
      </c>
      <c r="AK545">
        <v>0</v>
      </c>
      <c r="AL545" t="s">
        <v>342</v>
      </c>
      <c r="AM545" t="s">
        <v>254</v>
      </c>
      <c r="AN545" t="s">
        <v>94</v>
      </c>
      <c r="AO545" t="s">
        <v>147</v>
      </c>
      <c r="AP545">
        <v>2048</v>
      </c>
      <c r="AQ545">
        <v>0</v>
      </c>
      <c r="AR545">
        <v>0</v>
      </c>
      <c r="AS545">
        <v>0</v>
      </c>
      <c r="AT545">
        <v>12</v>
      </c>
      <c r="AU545">
        <v>0</v>
      </c>
      <c r="AV545">
        <v>0</v>
      </c>
      <c r="AW545">
        <v>0</v>
      </c>
      <c r="AX545">
        <v>0</v>
      </c>
      <c r="AY545">
        <v>0</v>
      </c>
    </row>
    <row r="546" spans="1:51" x14ac:dyDescent="0.25">
      <c r="A546">
        <v>139</v>
      </c>
      <c r="B546">
        <v>10540</v>
      </c>
      <c r="C546" t="s">
        <v>735</v>
      </c>
      <c r="D546" t="s">
        <v>96</v>
      </c>
      <c r="E546" t="s">
        <v>121</v>
      </c>
      <c r="F546" t="s">
        <v>107</v>
      </c>
      <c r="G546" t="s">
        <v>185</v>
      </c>
      <c r="H546" t="s">
        <v>78</v>
      </c>
      <c r="I546" t="s">
        <v>79</v>
      </c>
      <c r="J546" t="s">
        <v>119</v>
      </c>
      <c r="K546" t="s">
        <v>75</v>
      </c>
      <c r="L546" t="s">
        <v>205</v>
      </c>
      <c r="M546" t="s">
        <v>103</v>
      </c>
      <c r="N546" t="s">
        <v>74</v>
      </c>
      <c r="O546" t="s">
        <v>187</v>
      </c>
      <c r="P546" t="s">
        <v>71</v>
      </c>
      <c r="Q546" t="s">
        <v>110</v>
      </c>
      <c r="R546" t="s">
        <v>71</v>
      </c>
      <c r="S546">
        <v>0</v>
      </c>
      <c r="T546">
        <v>0</v>
      </c>
      <c r="U546" t="s">
        <v>284</v>
      </c>
      <c r="V546" t="s">
        <v>188</v>
      </c>
      <c r="W546">
        <v>0</v>
      </c>
      <c r="X546">
        <v>1</v>
      </c>
      <c r="Y546">
        <v>0</v>
      </c>
      <c r="Z546">
        <v>0</v>
      </c>
      <c r="AA546">
        <v>0</v>
      </c>
      <c r="AB546">
        <v>0</v>
      </c>
      <c r="AC546">
        <v>0</v>
      </c>
      <c r="AD546">
        <v>0</v>
      </c>
      <c r="AE546">
        <v>0</v>
      </c>
      <c r="AF546">
        <v>0</v>
      </c>
      <c r="AG546" t="s">
        <v>71</v>
      </c>
      <c r="AH546">
        <v>0</v>
      </c>
      <c r="AI546">
        <v>0</v>
      </c>
      <c r="AJ546">
        <v>0</v>
      </c>
      <c r="AK546">
        <v>0</v>
      </c>
      <c r="AL546" t="s">
        <v>342</v>
      </c>
      <c r="AM546" t="s">
        <v>254</v>
      </c>
      <c r="AN546" t="s">
        <v>94</v>
      </c>
      <c r="AO546" t="s">
        <v>147</v>
      </c>
      <c r="AP546">
        <v>114</v>
      </c>
      <c r="AQ546">
        <v>0</v>
      </c>
      <c r="AR546">
        <v>0</v>
      </c>
      <c r="AS546">
        <v>0</v>
      </c>
      <c r="AT546">
        <v>18</v>
      </c>
      <c r="AU546">
        <v>0</v>
      </c>
      <c r="AV546">
        <v>0</v>
      </c>
      <c r="AW546">
        <v>0</v>
      </c>
      <c r="AX546">
        <v>0</v>
      </c>
      <c r="AY546">
        <v>0</v>
      </c>
    </row>
    <row r="547" spans="1:51" x14ac:dyDescent="0.25">
      <c r="A547">
        <v>140</v>
      </c>
      <c r="B547">
        <v>10550</v>
      </c>
      <c r="C547" t="s">
        <v>735</v>
      </c>
      <c r="D547" t="s">
        <v>96</v>
      </c>
      <c r="E547" t="s">
        <v>121</v>
      </c>
      <c r="F547" t="s">
        <v>107</v>
      </c>
      <c r="G547" t="s">
        <v>77</v>
      </c>
      <c r="H547" t="s">
        <v>182</v>
      </c>
      <c r="I547" t="s">
        <v>195</v>
      </c>
      <c r="J547" t="s">
        <v>119</v>
      </c>
      <c r="K547" t="s">
        <v>75</v>
      </c>
      <c r="L547" t="s">
        <v>76</v>
      </c>
      <c r="M547" t="s">
        <v>149</v>
      </c>
      <c r="N547" t="s">
        <v>74</v>
      </c>
      <c r="O547" t="s">
        <v>187</v>
      </c>
      <c r="P547" t="s">
        <v>71</v>
      </c>
      <c r="Q547" t="s">
        <v>110</v>
      </c>
      <c r="R547" t="s">
        <v>71</v>
      </c>
      <c r="S547">
        <v>0</v>
      </c>
      <c r="T547">
        <v>0</v>
      </c>
      <c r="U547" t="s">
        <v>72</v>
      </c>
      <c r="V547" t="s">
        <v>192</v>
      </c>
      <c r="W547">
        <v>0</v>
      </c>
      <c r="X547">
        <v>1</v>
      </c>
      <c r="Y547">
        <v>1</v>
      </c>
      <c r="Z547">
        <v>10</v>
      </c>
      <c r="AA547">
        <v>1</v>
      </c>
      <c r="AB547">
        <v>10</v>
      </c>
      <c r="AC547">
        <v>1</v>
      </c>
      <c r="AD547">
        <v>10</v>
      </c>
      <c r="AE547">
        <v>1</v>
      </c>
      <c r="AF547">
        <v>10</v>
      </c>
      <c r="AG547" t="s">
        <v>71</v>
      </c>
      <c r="AH547">
        <v>0</v>
      </c>
      <c r="AI547">
        <v>0</v>
      </c>
      <c r="AJ547">
        <v>0</v>
      </c>
      <c r="AK547">
        <v>0</v>
      </c>
      <c r="AL547" t="s">
        <v>342</v>
      </c>
      <c r="AM547" t="s">
        <v>254</v>
      </c>
      <c r="AN547" t="s">
        <v>94</v>
      </c>
      <c r="AO547" t="s">
        <v>147</v>
      </c>
      <c r="AP547">
        <v>2825</v>
      </c>
      <c r="AQ547">
        <v>0</v>
      </c>
      <c r="AR547">
        <v>0</v>
      </c>
      <c r="AS547">
        <v>0</v>
      </c>
      <c r="AT547">
        <v>13</v>
      </c>
      <c r="AU547">
        <v>0</v>
      </c>
      <c r="AV547">
        <v>0</v>
      </c>
      <c r="AW547">
        <v>0</v>
      </c>
      <c r="AX547">
        <v>0</v>
      </c>
      <c r="AY547">
        <v>0</v>
      </c>
    </row>
    <row r="548" spans="1:51" x14ac:dyDescent="0.25">
      <c r="A548">
        <v>141</v>
      </c>
      <c r="B548">
        <v>10560</v>
      </c>
      <c r="C548" t="s">
        <v>735</v>
      </c>
      <c r="D548" t="s">
        <v>96</v>
      </c>
      <c r="E548" t="s">
        <v>100</v>
      </c>
      <c r="F548" t="s">
        <v>107</v>
      </c>
      <c r="G548" t="s">
        <v>184</v>
      </c>
      <c r="H548" t="s">
        <v>78</v>
      </c>
      <c r="I548" t="s">
        <v>79</v>
      </c>
      <c r="J548" t="s">
        <v>119</v>
      </c>
      <c r="K548" t="s">
        <v>75</v>
      </c>
      <c r="L548" t="s">
        <v>223</v>
      </c>
      <c r="M548" t="s">
        <v>177</v>
      </c>
      <c r="N548" t="s">
        <v>74</v>
      </c>
      <c r="O548" t="s">
        <v>187</v>
      </c>
      <c r="P548" t="s">
        <v>71</v>
      </c>
      <c r="Q548" t="s">
        <v>110</v>
      </c>
      <c r="R548" t="s">
        <v>71</v>
      </c>
      <c r="S548">
        <v>1</v>
      </c>
      <c r="T548">
        <v>1</v>
      </c>
      <c r="U548" t="s">
        <v>72</v>
      </c>
      <c r="V548" t="s">
        <v>192</v>
      </c>
      <c r="W548">
        <v>0</v>
      </c>
      <c r="X548">
        <v>1</v>
      </c>
      <c r="Y548">
        <v>0</v>
      </c>
      <c r="Z548">
        <v>0</v>
      </c>
      <c r="AA548">
        <v>0</v>
      </c>
      <c r="AB548">
        <v>0</v>
      </c>
      <c r="AC548">
        <v>0</v>
      </c>
      <c r="AD548">
        <v>0</v>
      </c>
      <c r="AE548">
        <v>0</v>
      </c>
      <c r="AF548">
        <v>0</v>
      </c>
      <c r="AG548" t="s">
        <v>71</v>
      </c>
      <c r="AH548">
        <v>0</v>
      </c>
      <c r="AI548">
        <v>0</v>
      </c>
      <c r="AJ548">
        <v>0</v>
      </c>
      <c r="AK548">
        <v>0</v>
      </c>
      <c r="AL548" t="s">
        <v>342</v>
      </c>
      <c r="AM548" t="s">
        <v>254</v>
      </c>
      <c r="AN548" t="s">
        <v>94</v>
      </c>
      <c r="AO548" t="s">
        <v>147</v>
      </c>
      <c r="AP548">
        <v>2178</v>
      </c>
      <c r="AQ548">
        <v>0</v>
      </c>
      <c r="AR548">
        <v>0</v>
      </c>
      <c r="AS548">
        <v>0</v>
      </c>
      <c r="AT548">
        <v>18</v>
      </c>
      <c r="AU548">
        <v>0</v>
      </c>
      <c r="AV548">
        <v>0</v>
      </c>
      <c r="AW548">
        <v>0</v>
      </c>
      <c r="AX548">
        <v>0</v>
      </c>
      <c r="AY548">
        <v>0</v>
      </c>
    </row>
    <row r="549" spans="1:51" x14ac:dyDescent="0.25">
      <c r="A549">
        <v>142</v>
      </c>
      <c r="B549">
        <v>10570</v>
      </c>
      <c r="C549" t="s">
        <v>735</v>
      </c>
      <c r="D549" t="s">
        <v>96</v>
      </c>
      <c r="E549" t="s">
        <v>186</v>
      </c>
      <c r="F549" t="s">
        <v>107</v>
      </c>
      <c r="G549" t="s">
        <v>77</v>
      </c>
      <c r="H549" t="s">
        <v>180</v>
      </c>
      <c r="I549" t="s">
        <v>181</v>
      </c>
      <c r="J549" t="s">
        <v>119</v>
      </c>
      <c r="K549" t="s">
        <v>75</v>
      </c>
      <c r="L549" t="s">
        <v>76</v>
      </c>
      <c r="M549" t="s">
        <v>149</v>
      </c>
      <c r="N549" t="s">
        <v>74</v>
      </c>
      <c r="O549" t="s">
        <v>187</v>
      </c>
      <c r="P549" t="s">
        <v>71</v>
      </c>
      <c r="Q549" t="s">
        <v>110</v>
      </c>
      <c r="R549" t="s">
        <v>71</v>
      </c>
      <c r="S549">
        <v>1</v>
      </c>
      <c r="T549">
        <v>1</v>
      </c>
      <c r="U549" t="s">
        <v>72</v>
      </c>
      <c r="V549" t="s">
        <v>192</v>
      </c>
      <c r="W549">
        <v>0</v>
      </c>
      <c r="X549">
        <v>1</v>
      </c>
      <c r="Y549">
        <v>0</v>
      </c>
      <c r="Z549">
        <v>0</v>
      </c>
      <c r="AA549">
        <v>0</v>
      </c>
      <c r="AB549">
        <v>0</v>
      </c>
      <c r="AC549">
        <v>0</v>
      </c>
      <c r="AD549">
        <v>0</v>
      </c>
      <c r="AE549">
        <v>0</v>
      </c>
      <c r="AF549">
        <v>0</v>
      </c>
      <c r="AG549" t="s">
        <v>71</v>
      </c>
      <c r="AH549">
        <v>0</v>
      </c>
      <c r="AI549">
        <v>0</v>
      </c>
      <c r="AJ549">
        <v>0</v>
      </c>
      <c r="AK549">
        <v>0</v>
      </c>
      <c r="AL549" t="s">
        <v>342</v>
      </c>
      <c r="AM549" t="s">
        <v>254</v>
      </c>
      <c r="AN549" t="s">
        <v>94</v>
      </c>
      <c r="AO549" t="s">
        <v>147</v>
      </c>
      <c r="AP549">
        <v>2308</v>
      </c>
      <c r="AQ549">
        <v>0</v>
      </c>
      <c r="AR549">
        <v>0</v>
      </c>
      <c r="AS549">
        <v>0</v>
      </c>
      <c r="AT549">
        <v>12</v>
      </c>
      <c r="AU549">
        <v>0</v>
      </c>
      <c r="AV549">
        <v>0</v>
      </c>
      <c r="AW549">
        <v>0</v>
      </c>
      <c r="AX549">
        <v>0</v>
      </c>
      <c r="AY549">
        <v>0</v>
      </c>
    </row>
    <row r="550" spans="1:51" x14ac:dyDescent="0.25">
      <c r="A550">
        <v>143</v>
      </c>
      <c r="B550">
        <v>10580</v>
      </c>
      <c r="C550" t="s">
        <v>735</v>
      </c>
      <c r="D550" t="s">
        <v>96</v>
      </c>
      <c r="E550" t="s">
        <v>186</v>
      </c>
      <c r="F550" t="s">
        <v>107</v>
      </c>
      <c r="G550" t="s">
        <v>101</v>
      </c>
      <c r="H550" t="s">
        <v>78</v>
      </c>
      <c r="I550" t="s">
        <v>79</v>
      </c>
      <c r="J550" t="s">
        <v>119</v>
      </c>
      <c r="K550" t="s">
        <v>75</v>
      </c>
      <c r="L550" t="s">
        <v>203</v>
      </c>
      <c r="M550" t="s">
        <v>179</v>
      </c>
      <c r="N550" t="s">
        <v>74</v>
      </c>
      <c r="O550" t="s">
        <v>187</v>
      </c>
      <c r="P550" t="s">
        <v>71</v>
      </c>
      <c r="Q550" t="s">
        <v>110</v>
      </c>
      <c r="R550" t="s">
        <v>71</v>
      </c>
      <c r="S550">
        <v>1</v>
      </c>
      <c r="T550">
        <v>0</v>
      </c>
      <c r="U550" t="s">
        <v>72</v>
      </c>
      <c r="V550" t="s">
        <v>192</v>
      </c>
      <c r="W550">
        <v>0</v>
      </c>
      <c r="X550">
        <v>1</v>
      </c>
      <c r="Y550">
        <v>0</v>
      </c>
      <c r="Z550">
        <v>0</v>
      </c>
      <c r="AA550">
        <v>0</v>
      </c>
      <c r="AB550">
        <v>0</v>
      </c>
      <c r="AC550">
        <v>0</v>
      </c>
      <c r="AD550">
        <v>0</v>
      </c>
      <c r="AE550">
        <v>0</v>
      </c>
      <c r="AF550">
        <v>0</v>
      </c>
      <c r="AG550" t="s">
        <v>71</v>
      </c>
      <c r="AH550">
        <v>0</v>
      </c>
      <c r="AI550">
        <v>0</v>
      </c>
      <c r="AJ550">
        <v>0</v>
      </c>
      <c r="AK550">
        <v>0</v>
      </c>
      <c r="AL550" t="s">
        <v>342</v>
      </c>
      <c r="AM550" t="s">
        <v>254</v>
      </c>
      <c r="AN550" t="s">
        <v>94</v>
      </c>
      <c r="AO550" t="s">
        <v>147</v>
      </c>
      <c r="AP550">
        <v>2946</v>
      </c>
      <c r="AQ550">
        <v>0</v>
      </c>
      <c r="AR550">
        <v>0</v>
      </c>
      <c r="AS550">
        <v>0</v>
      </c>
      <c r="AT550">
        <v>18</v>
      </c>
      <c r="AU550">
        <v>0</v>
      </c>
      <c r="AV550">
        <v>0</v>
      </c>
      <c r="AW550">
        <v>0</v>
      </c>
      <c r="AX550">
        <v>0</v>
      </c>
      <c r="AY550">
        <v>0</v>
      </c>
    </row>
    <row r="551" spans="1:51" x14ac:dyDescent="0.25">
      <c r="A551">
        <v>144</v>
      </c>
      <c r="B551">
        <v>10590</v>
      </c>
      <c r="C551" t="s">
        <v>735</v>
      </c>
      <c r="D551" t="s">
        <v>96</v>
      </c>
      <c r="E551" t="s">
        <v>121</v>
      </c>
      <c r="F551" t="s">
        <v>107</v>
      </c>
      <c r="G551" t="s">
        <v>101</v>
      </c>
      <c r="H551" t="s">
        <v>78</v>
      </c>
      <c r="I551" t="s">
        <v>197</v>
      </c>
      <c r="J551" t="s">
        <v>119</v>
      </c>
      <c r="K551" t="s">
        <v>75</v>
      </c>
      <c r="L551" t="s">
        <v>203</v>
      </c>
      <c r="M551" t="s">
        <v>177</v>
      </c>
      <c r="N551" t="s">
        <v>74</v>
      </c>
      <c r="O551" t="s">
        <v>187</v>
      </c>
      <c r="P551" t="s">
        <v>71</v>
      </c>
      <c r="Q551" t="s">
        <v>110</v>
      </c>
      <c r="R551" t="s">
        <v>71</v>
      </c>
      <c r="S551">
        <v>1</v>
      </c>
      <c r="T551">
        <v>0</v>
      </c>
      <c r="U551" t="s">
        <v>72</v>
      </c>
      <c r="V551" t="s">
        <v>73</v>
      </c>
      <c r="W551">
        <v>0</v>
      </c>
      <c r="X551">
        <v>1</v>
      </c>
      <c r="Y551">
        <v>0</v>
      </c>
      <c r="Z551">
        <v>0</v>
      </c>
      <c r="AA551">
        <v>0</v>
      </c>
      <c r="AB551">
        <v>0</v>
      </c>
      <c r="AC551">
        <v>0</v>
      </c>
      <c r="AD551">
        <v>0</v>
      </c>
      <c r="AE551">
        <v>0</v>
      </c>
      <c r="AF551">
        <v>0</v>
      </c>
      <c r="AG551" t="s">
        <v>71</v>
      </c>
      <c r="AH551">
        <v>0</v>
      </c>
      <c r="AI551">
        <v>0</v>
      </c>
      <c r="AJ551">
        <v>0</v>
      </c>
      <c r="AK551">
        <v>0</v>
      </c>
      <c r="AL551" t="s">
        <v>342</v>
      </c>
      <c r="AM551" t="s">
        <v>254</v>
      </c>
      <c r="AN551" t="s">
        <v>94</v>
      </c>
      <c r="AO551" t="s">
        <v>147</v>
      </c>
      <c r="AP551">
        <v>2050</v>
      </c>
      <c r="AQ551">
        <v>0</v>
      </c>
      <c r="AR551">
        <v>0</v>
      </c>
      <c r="AS551">
        <v>0</v>
      </c>
      <c r="AT551">
        <v>26</v>
      </c>
      <c r="AU551">
        <v>0</v>
      </c>
      <c r="AV551">
        <v>0</v>
      </c>
      <c r="AW551">
        <v>0</v>
      </c>
      <c r="AX551">
        <v>0</v>
      </c>
      <c r="AY551">
        <v>0</v>
      </c>
    </row>
    <row r="552" spans="1:51" x14ac:dyDescent="0.25">
      <c r="A552">
        <v>145</v>
      </c>
      <c r="B552">
        <v>10600</v>
      </c>
      <c r="C552" t="s">
        <v>735</v>
      </c>
      <c r="D552" t="s">
        <v>96</v>
      </c>
      <c r="E552" t="s">
        <v>190</v>
      </c>
      <c r="F552" t="s">
        <v>107</v>
      </c>
      <c r="G552" t="s">
        <v>101</v>
      </c>
      <c r="H552" t="s">
        <v>78</v>
      </c>
      <c r="I552" t="s">
        <v>79</v>
      </c>
      <c r="J552" t="s">
        <v>70</v>
      </c>
      <c r="K552" t="s">
        <v>75</v>
      </c>
      <c r="L552" t="s">
        <v>205</v>
      </c>
      <c r="M552" t="s">
        <v>149</v>
      </c>
      <c r="N552" t="s">
        <v>74</v>
      </c>
      <c r="O552" t="s">
        <v>187</v>
      </c>
      <c r="P552" t="s">
        <v>71</v>
      </c>
      <c r="Q552" t="s">
        <v>110</v>
      </c>
      <c r="R552" t="s">
        <v>71</v>
      </c>
      <c r="S552">
        <v>1</v>
      </c>
      <c r="T552">
        <v>0</v>
      </c>
      <c r="U552" t="s">
        <v>72</v>
      </c>
      <c r="V552" t="s">
        <v>192</v>
      </c>
      <c r="W552">
        <v>0</v>
      </c>
      <c r="X552">
        <v>1</v>
      </c>
      <c r="Y552">
        <v>0</v>
      </c>
      <c r="Z552">
        <v>0</v>
      </c>
      <c r="AA552">
        <v>0</v>
      </c>
      <c r="AB552">
        <v>0</v>
      </c>
      <c r="AC552">
        <v>0</v>
      </c>
      <c r="AD552">
        <v>0</v>
      </c>
      <c r="AE552">
        <v>0</v>
      </c>
      <c r="AF552">
        <v>0</v>
      </c>
      <c r="AG552" t="s">
        <v>71</v>
      </c>
      <c r="AH552">
        <v>0</v>
      </c>
      <c r="AI552">
        <v>0</v>
      </c>
      <c r="AJ552">
        <v>0</v>
      </c>
      <c r="AK552">
        <v>0</v>
      </c>
      <c r="AL552" t="s">
        <v>342</v>
      </c>
      <c r="AM552" t="s">
        <v>254</v>
      </c>
      <c r="AN552" t="s">
        <v>94</v>
      </c>
      <c r="AO552" t="s">
        <v>147</v>
      </c>
      <c r="AP552">
        <v>2946</v>
      </c>
      <c r="AQ552">
        <v>0</v>
      </c>
      <c r="AR552">
        <v>0</v>
      </c>
      <c r="AS552">
        <v>0</v>
      </c>
      <c r="AT552">
        <v>0</v>
      </c>
      <c r="AU552">
        <v>0</v>
      </c>
      <c r="AV552">
        <v>0</v>
      </c>
      <c r="AW552">
        <v>0</v>
      </c>
      <c r="AX552">
        <v>0</v>
      </c>
      <c r="AY552">
        <v>0</v>
      </c>
    </row>
    <row r="553" spans="1:51" x14ac:dyDescent="0.25">
      <c r="A553">
        <v>146</v>
      </c>
      <c r="B553">
        <v>10610</v>
      </c>
      <c r="C553" t="s">
        <v>735</v>
      </c>
      <c r="D553" t="s">
        <v>96</v>
      </c>
      <c r="E553" t="s">
        <v>100</v>
      </c>
      <c r="F553" t="s">
        <v>107</v>
      </c>
      <c r="G553" t="s">
        <v>77</v>
      </c>
      <c r="H553" t="s">
        <v>78</v>
      </c>
      <c r="I553" t="s">
        <v>79</v>
      </c>
      <c r="J553" t="s">
        <v>70</v>
      </c>
      <c r="K553" t="s">
        <v>75</v>
      </c>
      <c r="L553" t="s">
        <v>203</v>
      </c>
      <c r="M553" t="s">
        <v>103</v>
      </c>
      <c r="N553" t="s">
        <v>74</v>
      </c>
      <c r="O553" t="s">
        <v>187</v>
      </c>
      <c r="P553" t="s">
        <v>71</v>
      </c>
      <c r="Q553" t="s">
        <v>110</v>
      </c>
      <c r="R553" t="s">
        <v>71</v>
      </c>
      <c r="S553">
        <v>1</v>
      </c>
      <c r="T553">
        <v>0</v>
      </c>
      <c r="U553" t="s">
        <v>72</v>
      </c>
      <c r="V553" t="s">
        <v>188</v>
      </c>
      <c r="W553">
        <v>0</v>
      </c>
      <c r="X553">
        <v>1</v>
      </c>
      <c r="Y553">
        <v>1</v>
      </c>
      <c r="Z553">
        <v>10</v>
      </c>
      <c r="AA553">
        <v>1</v>
      </c>
      <c r="AB553">
        <v>10</v>
      </c>
      <c r="AC553">
        <v>1</v>
      </c>
      <c r="AD553">
        <v>10</v>
      </c>
      <c r="AE553">
        <v>1</v>
      </c>
      <c r="AF553">
        <v>10</v>
      </c>
      <c r="AG553" t="s">
        <v>71</v>
      </c>
      <c r="AH553">
        <v>0</v>
      </c>
      <c r="AI553">
        <v>0</v>
      </c>
      <c r="AJ553">
        <v>0</v>
      </c>
      <c r="AK553">
        <v>0</v>
      </c>
      <c r="AL553" t="s">
        <v>342</v>
      </c>
      <c r="AM553" t="s">
        <v>254</v>
      </c>
      <c r="AN553" t="s">
        <v>94</v>
      </c>
      <c r="AO553" t="s">
        <v>147</v>
      </c>
      <c r="AP553">
        <v>1</v>
      </c>
      <c r="AQ553">
        <v>0</v>
      </c>
      <c r="AR553">
        <v>0</v>
      </c>
      <c r="AS553">
        <v>0</v>
      </c>
      <c r="AT553">
        <v>0</v>
      </c>
      <c r="AU553">
        <v>0</v>
      </c>
      <c r="AV553">
        <v>0</v>
      </c>
      <c r="AW553">
        <v>0</v>
      </c>
      <c r="AX553">
        <v>0</v>
      </c>
      <c r="AY553">
        <v>0</v>
      </c>
    </row>
    <row r="554" spans="1:51" x14ac:dyDescent="0.25">
      <c r="A554">
        <v>147</v>
      </c>
      <c r="B554">
        <v>10620</v>
      </c>
      <c r="C554" t="s">
        <v>735</v>
      </c>
      <c r="D554" t="s">
        <v>96</v>
      </c>
      <c r="E554" t="s">
        <v>100</v>
      </c>
      <c r="F554" t="s">
        <v>107</v>
      </c>
      <c r="G554" t="s">
        <v>101</v>
      </c>
      <c r="H554" t="s">
        <v>180</v>
      </c>
      <c r="I554" t="s">
        <v>195</v>
      </c>
      <c r="J554" t="s">
        <v>70</v>
      </c>
      <c r="K554" t="s">
        <v>75</v>
      </c>
      <c r="L554" t="s">
        <v>76</v>
      </c>
      <c r="M554" t="s">
        <v>149</v>
      </c>
      <c r="N554" t="s">
        <v>74</v>
      </c>
      <c r="O554" t="s">
        <v>187</v>
      </c>
      <c r="P554" t="s">
        <v>71</v>
      </c>
      <c r="Q554" t="s">
        <v>71</v>
      </c>
      <c r="R554" t="s">
        <v>71</v>
      </c>
      <c r="S554">
        <v>1</v>
      </c>
      <c r="T554">
        <v>1</v>
      </c>
      <c r="U554" t="s">
        <v>72</v>
      </c>
      <c r="V554" t="s">
        <v>73</v>
      </c>
      <c r="W554">
        <v>0</v>
      </c>
      <c r="X554">
        <v>1</v>
      </c>
      <c r="Y554">
        <v>0</v>
      </c>
      <c r="Z554">
        <v>0</v>
      </c>
      <c r="AA554">
        <v>0</v>
      </c>
      <c r="AB554">
        <v>0</v>
      </c>
      <c r="AC554">
        <v>0</v>
      </c>
      <c r="AD554">
        <v>0</v>
      </c>
      <c r="AE554">
        <v>0</v>
      </c>
      <c r="AF554">
        <v>0</v>
      </c>
      <c r="AG554" t="s">
        <v>71</v>
      </c>
      <c r="AH554">
        <v>0</v>
      </c>
      <c r="AI554">
        <v>0</v>
      </c>
      <c r="AJ554">
        <v>0</v>
      </c>
      <c r="AK554">
        <v>0</v>
      </c>
      <c r="AL554" t="s">
        <v>342</v>
      </c>
      <c r="AM554" t="s">
        <v>254</v>
      </c>
      <c r="AN554" t="s">
        <v>94</v>
      </c>
      <c r="AO554" t="s">
        <v>147</v>
      </c>
      <c r="AP554">
        <v>34830</v>
      </c>
      <c r="AQ554">
        <v>0</v>
      </c>
      <c r="AR554">
        <v>0</v>
      </c>
      <c r="AS554">
        <v>0</v>
      </c>
      <c r="AT554">
        <v>0</v>
      </c>
      <c r="AU554">
        <v>0</v>
      </c>
      <c r="AV554">
        <v>0</v>
      </c>
      <c r="AW554">
        <v>0</v>
      </c>
      <c r="AX554">
        <v>0</v>
      </c>
      <c r="AY554">
        <v>0</v>
      </c>
    </row>
    <row r="555" spans="1:51" x14ac:dyDescent="0.25">
      <c r="A555">
        <v>148</v>
      </c>
      <c r="B555">
        <v>10630</v>
      </c>
      <c r="C555" t="s">
        <v>735</v>
      </c>
      <c r="D555" t="s">
        <v>96</v>
      </c>
      <c r="E555" t="s">
        <v>100</v>
      </c>
      <c r="F555" t="s">
        <v>107</v>
      </c>
      <c r="G555" t="s">
        <v>77</v>
      </c>
      <c r="H555" t="s">
        <v>78</v>
      </c>
      <c r="I555" t="s">
        <v>79</v>
      </c>
      <c r="J555" t="s">
        <v>70</v>
      </c>
      <c r="K555" t="s">
        <v>75</v>
      </c>
      <c r="L555" t="s">
        <v>76</v>
      </c>
      <c r="M555" t="s">
        <v>177</v>
      </c>
      <c r="N555" t="s">
        <v>74</v>
      </c>
      <c r="O555" t="s">
        <v>187</v>
      </c>
      <c r="P555" t="s">
        <v>71</v>
      </c>
      <c r="Q555" t="s">
        <v>71</v>
      </c>
      <c r="R555" t="s">
        <v>71</v>
      </c>
      <c r="S555">
        <v>1</v>
      </c>
      <c r="T555">
        <v>1</v>
      </c>
      <c r="U555" t="s">
        <v>72</v>
      </c>
      <c r="V555" t="s">
        <v>73</v>
      </c>
      <c r="W555">
        <v>0</v>
      </c>
      <c r="X555">
        <v>1</v>
      </c>
      <c r="Y555">
        <v>0</v>
      </c>
      <c r="Z555">
        <v>0</v>
      </c>
      <c r="AA555">
        <v>0</v>
      </c>
      <c r="AB555">
        <v>0</v>
      </c>
      <c r="AC555">
        <v>0</v>
      </c>
      <c r="AD555">
        <v>0</v>
      </c>
      <c r="AE555">
        <v>0</v>
      </c>
      <c r="AF555">
        <v>0</v>
      </c>
      <c r="AG555" t="s">
        <v>71</v>
      </c>
      <c r="AH555">
        <v>0</v>
      </c>
      <c r="AI555">
        <v>0</v>
      </c>
      <c r="AJ555">
        <v>0</v>
      </c>
      <c r="AK555">
        <v>0</v>
      </c>
      <c r="AL555" t="s">
        <v>342</v>
      </c>
      <c r="AM555" t="s">
        <v>254</v>
      </c>
      <c r="AN555" t="s">
        <v>94</v>
      </c>
      <c r="AO555" t="s">
        <v>147</v>
      </c>
      <c r="AP555">
        <v>34816</v>
      </c>
      <c r="AQ555">
        <v>0</v>
      </c>
      <c r="AR555">
        <v>0</v>
      </c>
      <c r="AS555">
        <v>0</v>
      </c>
      <c r="AT555">
        <v>0</v>
      </c>
      <c r="AU555">
        <v>0</v>
      </c>
      <c r="AV555">
        <v>0</v>
      </c>
      <c r="AW555">
        <v>0</v>
      </c>
      <c r="AX555">
        <v>0</v>
      </c>
      <c r="AY555">
        <v>0</v>
      </c>
    </row>
    <row r="556" spans="1:51" x14ac:dyDescent="0.25">
      <c r="A556">
        <v>149</v>
      </c>
      <c r="B556">
        <v>10640</v>
      </c>
      <c r="C556" t="s">
        <v>735</v>
      </c>
      <c r="D556" t="s">
        <v>96</v>
      </c>
      <c r="E556" t="s">
        <v>100</v>
      </c>
      <c r="F556" t="s">
        <v>107</v>
      </c>
      <c r="G556" t="s">
        <v>101</v>
      </c>
      <c r="H556" t="s">
        <v>78</v>
      </c>
      <c r="I556" t="s">
        <v>79</v>
      </c>
      <c r="J556" t="s">
        <v>119</v>
      </c>
      <c r="K556" t="s">
        <v>75</v>
      </c>
      <c r="L556" t="s">
        <v>76</v>
      </c>
      <c r="M556" t="s">
        <v>149</v>
      </c>
      <c r="N556" t="s">
        <v>74</v>
      </c>
      <c r="O556" t="s">
        <v>187</v>
      </c>
      <c r="P556" t="s">
        <v>71</v>
      </c>
      <c r="Q556" t="s">
        <v>110</v>
      </c>
      <c r="R556" t="s">
        <v>71</v>
      </c>
      <c r="S556">
        <v>1</v>
      </c>
      <c r="T556">
        <v>1</v>
      </c>
      <c r="U556" t="s">
        <v>72</v>
      </c>
      <c r="V556" t="s">
        <v>73</v>
      </c>
      <c r="W556">
        <v>0</v>
      </c>
      <c r="X556">
        <v>1</v>
      </c>
      <c r="Y556">
        <v>0</v>
      </c>
      <c r="Z556">
        <v>0</v>
      </c>
      <c r="AA556">
        <v>0</v>
      </c>
      <c r="AB556">
        <v>0</v>
      </c>
      <c r="AC556">
        <v>0</v>
      </c>
      <c r="AD556">
        <v>0</v>
      </c>
      <c r="AE556">
        <v>0</v>
      </c>
      <c r="AF556">
        <v>0</v>
      </c>
      <c r="AG556" t="s">
        <v>71</v>
      </c>
      <c r="AH556">
        <v>0</v>
      </c>
      <c r="AI556">
        <v>0</v>
      </c>
      <c r="AJ556">
        <v>0</v>
      </c>
      <c r="AK556">
        <v>0</v>
      </c>
      <c r="AL556" t="s">
        <v>342</v>
      </c>
      <c r="AM556" t="s">
        <v>254</v>
      </c>
      <c r="AN556" t="s">
        <v>94</v>
      </c>
      <c r="AO556" t="s">
        <v>147</v>
      </c>
      <c r="AP556">
        <v>2050</v>
      </c>
      <c r="AQ556">
        <v>0</v>
      </c>
      <c r="AR556">
        <v>0</v>
      </c>
      <c r="AS556">
        <v>0</v>
      </c>
      <c r="AT556">
        <v>2</v>
      </c>
      <c r="AU556">
        <v>0</v>
      </c>
      <c r="AV556">
        <v>0</v>
      </c>
      <c r="AW556">
        <v>0</v>
      </c>
      <c r="AX556">
        <v>0</v>
      </c>
      <c r="AY556">
        <v>0</v>
      </c>
    </row>
    <row r="557" spans="1:51" x14ac:dyDescent="0.25">
      <c r="A557">
        <v>150</v>
      </c>
      <c r="B557">
        <v>10650</v>
      </c>
      <c r="C557" t="s">
        <v>735</v>
      </c>
      <c r="D557" t="s">
        <v>96</v>
      </c>
      <c r="E557" t="s">
        <v>100</v>
      </c>
      <c r="F557" t="s">
        <v>107</v>
      </c>
      <c r="G557" t="s">
        <v>77</v>
      </c>
      <c r="H557" t="s">
        <v>78</v>
      </c>
      <c r="I557" t="s">
        <v>79</v>
      </c>
      <c r="J557" t="s">
        <v>152</v>
      </c>
      <c r="K557" t="s">
        <v>75</v>
      </c>
      <c r="L557" t="s">
        <v>76</v>
      </c>
      <c r="M557" t="s">
        <v>149</v>
      </c>
      <c r="N557" t="s">
        <v>74</v>
      </c>
      <c r="O557" t="s">
        <v>187</v>
      </c>
      <c r="P557" t="s">
        <v>71</v>
      </c>
      <c r="Q557" t="s">
        <v>299</v>
      </c>
      <c r="R557" t="s">
        <v>71</v>
      </c>
      <c r="S557">
        <v>1</v>
      </c>
      <c r="T557">
        <v>1</v>
      </c>
      <c r="U557" t="s">
        <v>72</v>
      </c>
      <c r="V557" t="s">
        <v>73</v>
      </c>
      <c r="W557">
        <v>0</v>
      </c>
      <c r="X557">
        <v>1</v>
      </c>
      <c r="Y557">
        <v>0</v>
      </c>
      <c r="Z557">
        <v>0</v>
      </c>
      <c r="AA557">
        <v>0</v>
      </c>
      <c r="AB557">
        <v>0</v>
      </c>
      <c r="AC557">
        <v>0</v>
      </c>
      <c r="AD557">
        <v>0</v>
      </c>
      <c r="AE557">
        <v>0</v>
      </c>
      <c r="AF557">
        <v>0</v>
      </c>
      <c r="AG557" t="s">
        <v>71</v>
      </c>
      <c r="AH557">
        <v>0</v>
      </c>
      <c r="AI557">
        <v>0</v>
      </c>
      <c r="AJ557">
        <v>0</v>
      </c>
      <c r="AK557">
        <v>0</v>
      </c>
      <c r="AL557" t="s">
        <v>342</v>
      </c>
      <c r="AM557" t="s">
        <v>254</v>
      </c>
      <c r="AN557" t="s">
        <v>94</v>
      </c>
      <c r="AO557" t="s">
        <v>147</v>
      </c>
      <c r="AP557">
        <v>34816</v>
      </c>
      <c r="AQ557">
        <v>0</v>
      </c>
      <c r="AR557">
        <v>0</v>
      </c>
      <c r="AS557">
        <v>0</v>
      </c>
      <c r="AT557">
        <v>128</v>
      </c>
      <c r="AU557">
        <v>0</v>
      </c>
      <c r="AV557">
        <v>0</v>
      </c>
      <c r="AW557">
        <v>0</v>
      </c>
      <c r="AX557">
        <v>0</v>
      </c>
      <c r="AY557">
        <v>0</v>
      </c>
    </row>
    <row r="558" spans="1:51" x14ac:dyDescent="0.25">
      <c r="A558">
        <v>150</v>
      </c>
      <c r="B558">
        <v>10660</v>
      </c>
      <c r="C558" t="s">
        <v>735</v>
      </c>
      <c r="D558" t="s">
        <v>96</v>
      </c>
      <c r="E558" t="s">
        <v>100</v>
      </c>
      <c r="F558" t="s">
        <v>107</v>
      </c>
      <c r="G558" t="s">
        <v>77</v>
      </c>
      <c r="H558" t="s">
        <v>78</v>
      </c>
      <c r="I558" t="s">
        <v>79</v>
      </c>
      <c r="J558" t="s">
        <v>150</v>
      </c>
      <c r="K558" t="s">
        <v>75</v>
      </c>
      <c r="L558" t="s">
        <v>76</v>
      </c>
      <c r="M558" t="s">
        <v>149</v>
      </c>
      <c r="N558" t="s">
        <v>74</v>
      </c>
      <c r="O558" t="s">
        <v>187</v>
      </c>
      <c r="P558" t="s">
        <v>71</v>
      </c>
      <c r="Q558" t="s">
        <v>299</v>
      </c>
      <c r="R558" t="s">
        <v>71</v>
      </c>
      <c r="S558">
        <v>1</v>
      </c>
      <c r="T558">
        <v>1</v>
      </c>
      <c r="U558" t="s">
        <v>72</v>
      </c>
      <c r="V558" t="s">
        <v>73</v>
      </c>
      <c r="W558">
        <v>0</v>
      </c>
      <c r="X558">
        <v>1</v>
      </c>
      <c r="Y558">
        <v>0</v>
      </c>
      <c r="Z558">
        <v>0</v>
      </c>
      <c r="AA558">
        <v>0</v>
      </c>
      <c r="AB558">
        <v>0</v>
      </c>
      <c r="AC558">
        <v>0</v>
      </c>
      <c r="AD558">
        <v>0</v>
      </c>
      <c r="AE558">
        <v>0</v>
      </c>
      <c r="AF558">
        <v>0</v>
      </c>
      <c r="AG558" t="s">
        <v>71</v>
      </c>
      <c r="AH558">
        <v>0</v>
      </c>
      <c r="AI558">
        <v>0</v>
      </c>
      <c r="AJ558">
        <v>0</v>
      </c>
      <c r="AK558">
        <v>0</v>
      </c>
      <c r="AL558" t="s">
        <v>342</v>
      </c>
      <c r="AM558" t="s">
        <v>254</v>
      </c>
      <c r="AN558" t="s">
        <v>94</v>
      </c>
      <c r="AO558" t="s">
        <v>147</v>
      </c>
      <c r="AP558">
        <v>34816</v>
      </c>
      <c r="AQ558">
        <v>0</v>
      </c>
      <c r="AR558">
        <v>0</v>
      </c>
      <c r="AS558">
        <v>0</v>
      </c>
      <c r="AT558">
        <v>128</v>
      </c>
      <c r="AU558">
        <v>0</v>
      </c>
      <c r="AV558">
        <v>0</v>
      </c>
      <c r="AW558">
        <v>0</v>
      </c>
      <c r="AX558">
        <v>0</v>
      </c>
      <c r="AY558">
        <v>0</v>
      </c>
    </row>
    <row r="559" spans="1:51" x14ac:dyDescent="0.25">
      <c r="A559">
        <v>151</v>
      </c>
      <c r="B559">
        <v>10670</v>
      </c>
      <c r="C559" t="s">
        <v>735</v>
      </c>
      <c r="D559" t="s">
        <v>96</v>
      </c>
      <c r="E559" t="s">
        <v>100</v>
      </c>
      <c r="F559" t="s">
        <v>107</v>
      </c>
      <c r="G559" t="s">
        <v>77</v>
      </c>
      <c r="H559" t="s">
        <v>78</v>
      </c>
      <c r="I559" t="s">
        <v>79</v>
      </c>
      <c r="J559" t="s">
        <v>70</v>
      </c>
      <c r="K559" t="s">
        <v>75</v>
      </c>
      <c r="L559" t="s">
        <v>203</v>
      </c>
      <c r="M559" t="s">
        <v>103</v>
      </c>
      <c r="N559" t="s">
        <v>74</v>
      </c>
      <c r="O559" t="s">
        <v>187</v>
      </c>
      <c r="P559" t="s">
        <v>71</v>
      </c>
      <c r="Q559" t="s">
        <v>71</v>
      </c>
      <c r="R559" t="s">
        <v>71</v>
      </c>
      <c r="S559">
        <v>1</v>
      </c>
      <c r="T559">
        <v>1</v>
      </c>
      <c r="U559" t="s">
        <v>72</v>
      </c>
      <c r="V559" t="s">
        <v>188</v>
      </c>
      <c r="W559">
        <v>0</v>
      </c>
      <c r="X559">
        <v>1</v>
      </c>
      <c r="Y559">
        <v>0</v>
      </c>
      <c r="Z559">
        <v>0</v>
      </c>
      <c r="AA559">
        <v>0</v>
      </c>
      <c r="AB559">
        <v>0</v>
      </c>
      <c r="AC559">
        <v>0</v>
      </c>
      <c r="AD559">
        <v>0</v>
      </c>
      <c r="AE559">
        <v>0</v>
      </c>
      <c r="AF559">
        <v>0</v>
      </c>
      <c r="AG559" t="s">
        <v>71</v>
      </c>
      <c r="AH559">
        <v>0</v>
      </c>
      <c r="AI559">
        <v>0</v>
      </c>
      <c r="AJ559">
        <v>0</v>
      </c>
      <c r="AK559">
        <v>0</v>
      </c>
      <c r="AL559" t="s">
        <v>342</v>
      </c>
      <c r="AM559" t="s">
        <v>254</v>
      </c>
      <c r="AN559" t="s">
        <v>94</v>
      </c>
      <c r="AO559" t="s">
        <v>147</v>
      </c>
      <c r="AP559">
        <v>32768</v>
      </c>
      <c r="AQ559">
        <v>0</v>
      </c>
      <c r="AR559">
        <v>0</v>
      </c>
      <c r="AS559">
        <v>0</v>
      </c>
      <c r="AT559">
        <v>144</v>
      </c>
      <c r="AU559">
        <v>0</v>
      </c>
      <c r="AV559">
        <v>0</v>
      </c>
      <c r="AW559">
        <v>0</v>
      </c>
      <c r="AX559">
        <v>0</v>
      </c>
      <c r="AY559">
        <v>0</v>
      </c>
    </row>
    <row r="560" spans="1:51" x14ac:dyDescent="0.25">
      <c r="A560">
        <v>152</v>
      </c>
      <c r="B560">
        <v>10680</v>
      </c>
      <c r="C560" t="s">
        <v>735</v>
      </c>
      <c r="D560" t="s">
        <v>96</v>
      </c>
      <c r="E560" t="s">
        <v>100</v>
      </c>
      <c r="F560" t="s">
        <v>107</v>
      </c>
      <c r="G560" t="s">
        <v>77</v>
      </c>
      <c r="H560" t="s">
        <v>78</v>
      </c>
      <c r="I560" t="s">
        <v>79</v>
      </c>
      <c r="J560" t="s">
        <v>70</v>
      </c>
      <c r="K560" t="s">
        <v>75</v>
      </c>
      <c r="L560" t="s">
        <v>203</v>
      </c>
      <c r="M560" t="s">
        <v>103</v>
      </c>
      <c r="N560" t="s">
        <v>74</v>
      </c>
      <c r="O560" t="s">
        <v>187</v>
      </c>
      <c r="P560" t="s">
        <v>71</v>
      </c>
      <c r="Q560" t="s">
        <v>110</v>
      </c>
      <c r="R560" t="s">
        <v>71</v>
      </c>
      <c r="S560">
        <v>1</v>
      </c>
      <c r="T560">
        <v>1</v>
      </c>
      <c r="U560" t="s">
        <v>72</v>
      </c>
      <c r="V560" t="s">
        <v>188</v>
      </c>
      <c r="W560">
        <v>0</v>
      </c>
      <c r="X560">
        <v>1</v>
      </c>
      <c r="Y560">
        <v>0</v>
      </c>
      <c r="Z560">
        <v>0</v>
      </c>
      <c r="AA560">
        <v>0</v>
      </c>
      <c r="AB560">
        <v>0</v>
      </c>
      <c r="AC560">
        <v>0</v>
      </c>
      <c r="AD560">
        <v>0</v>
      </c>
      <c r="AE560">
        <v>0</v>
      </c>
      <c r="AF560">
        <v>0</v>
      </c>
      <c r="AG560" t="s">
        <v>71</v>
      </c>
      <c r="AH560">
        <v>0</v>
      </c>
      <c r="AI560">
        <v>0</v>
      </c>
      <c r="AJ560">
        <v>0</v>
      </c>
      <c r="AK560">
        <v>0</v>
      </c>
      <c r="AL560" t="s">
        <v>342</v>
      </c>
      <c r="AM560" t="s">
        <v>254</v>
      </c>
      <c r="AN560" t="s">
        <v>94</v>
      </c>
      <c r="AO560" t="s">
        <v>147</v>
      </c>
      <c r="AP560">
        <v>0</v>
      </c>
      <c r="AQ560">
        <v>0</v>
      </c>
      <c r="AR560">
        <v>0</v>
      </c>
      <c r="AS560">
        <v>0</v>
      </c>
      <c r="AT560">
        <v>0</v>
      </c>
      <c r="AU560">
        <v>0</v>
      </c>
      <c r="AV560">
        <v>0</v>
      </c>
      <c r="AW560">
        <v>0</v>
      </c>
      <c r="AX560">
        <v>0</v>
      </c>
      <c r="AY560">
        <v>0</v>
      </c>
    </row>
    <row r="561" spans="1:51" x14ac:dyDescent="0.25">
      <c r="A561">
        <v>153</v>
      </c>
      <c r="B561">
        <v>10690</v>
      </c>
      <c r="C561" t="s">
        <v>735</v>
      </c>
      <c r="D561" t="s">
        <v>96</v>
      </c>
      <c r="E561" t="s">
        <v>100</v>
      </c>
      <c r="F561" t="s">
        <v>107</v>
      </c>
      <c r="G561" t="s">
        <v>77</v>
      </c>
      <c r="H561" t="s">
        <v>78</v>
      </c>
      <c r="I561" t="s">
        <v>79</v>
      </c>
      <c r="J561" t="s">
        <v>150</v>
      </c>
      <c r="K561" t="s">
        <v>75</v>
      </c>
      <c r="L561" t="s">
        <v>203</v>
      </c>
      <c r="M561" t="s">
        <v>103</v>
      </c>
      <c r="N561" t="s">
        <v>74</v>
      </c>
      <c r="O561" t="s">
        <v>187</v>
      </c>
      <c r="P561" t="s">
        <v>71</v>
      </c>
      <c r="Q561" t="s">
        <v>71</v>
      </c>
      <c r="R561" t="s">
        <v>71</v>
      </c>
      <c r="S561">
        <v>1</v>
      </c>
      <c r="T561">
        <v>1</v>
      </c>
      <c r="U561" t="s">
        <v>72</v>
      </c>
      <c r="V561" t="s">
        <v>188</v>
      </c>
      <c r="W561">
        <v>0</v>
      </c>
      <c r="X561">
        <v>1</v>
      </c>
      <c r="Y561">
        <v>0</v>
      </c>
      <c r="Z561">
        <v>0</v>
      </c>
      <c r="AA561">
        <v>0</v>
      </c>
      <c r="AB561">
        <v>0</v>
      </c>
      <c r="AC561">
        <v>0</v>
      </c>
      <c r="AD561">
        <v>0</v>
      </c>
      <c r="AE561">
        <v>0</v>
      </c>
      <c r="AF561">
        <v>0</v>
      </c>
      <c r="AG561" t="s">
        <v>71</v>
      </c>
      <c r="AH561">
        <v>0</v>
      </c>
      <c r="AI561">
        <v>0</v>
      </c>
      <c r="AJ561">
        <v>0</v>
      </c>
      <c r="AK561">
        <v>0</v>
      </c>
      <c r="AL561" t="s">
        <v>342</v>
      </c>
      <c r="AM561" t="s">
        <v>254</v>
      </c>
      <c r="AN561" t="s">
        <v>94</v>
      </c>
      <c r="AO561" t="s">
        <v>147</v>
      </c>
      <c r="AP561">
        <v>0</v>
      </c>
      <c r="AQ561">
        <v>0</v>
      </c>
      <c r="AR561">
        <v>0</v>
      </c>
      <c r="AS561">
        <v>0</v>
      </c>
      <c r="AT561">
        <v>0</v>
      </c>
      <c r="AU561">
        <v>0</v>
      </c>
      <c r="AV561">
        <v>0</v>
      </c>
      <c r="AW561">
        <v>0</v>
      </c>
      <c r="AX561">
        <v>0</v>
      </c>
      <c r="AY561">
        <v>0</v>
      </c>
    </row>
    <row r="562" spans="1:51" x14ac:dyDescent="0.25">
      <c r="A562">
        <v>154</v>
      </c>
      <c r="B562">
        <v>10700</v>
      </c>
      <c r="C562" t="s">
        <v>735</v>
      </c>
      <c r="D562" t="s">
        <v>96</v>
      </c>
      <c r="E562" t="s">
        <v>100</v>
      </c>
      <c r="F562" t="s">
        <v>107</v>
      </c>
      <c r="G562" t="s">
        <v>77</v>
      </c>
      <c r="H562" t="s">
        <v>78</v>
      </c>
      <c r="I562" t="s">
        <v>79</v>
      </c>
      <c r="J562" t="s">
        <v>70</v>
      </c>
      <c r="K562" t="s">
        <v>75</v>
      </c>
      <c r="L562" t="s">
        <v>203</v>
      </c>
      <c r="M562" t="s">
        <v>103</v>
      </c>
      <c r="N562" t="s">
        <v>74</v>
      </c>
      <c r="O562" t="s">
        <v>187</v>
      </c>
      <c r="P562" t="s">
        <v>71</v>
      </c>
      <c r="Q562" t="s">
        <v>299</v>
      </c>
      <c r="R562" t="s">
        <v>71</v>
      </c>
      <c r="S562">
        <v>1</v>
      </c>
      <c r="T562">
        <v>1</v>
      </c>
      <c r="U562" t="s">
        <v>72</v>
      </c>
      <c r="V562" t="s">
        <v>188</v>
      </c>
      <c r="W562">
        <v>0</v>
      </c>
      <c r="X562">
        <v>1</v>
      </c>
      <c r="Y562">
        <v>0</v>
      </c>
      <c r="Z562">
        <v>0</v>
      </c>
      <c r="AA562">
        <v>0</v>
      </c>
      <c r="AB562">
        <v>0</v>
      </c>
      <c r="AC562">
        <v>0</v>
      </c>
      <c r="AD562">
        <v>0</v>
      </c>
      <c r="AE562">
        <v>0</v>
      </c>
      <c r="AF562">
        <v>0</v>
      </c>
      <c r="AG562" t="s">
        <v>71</v>
      </c>
      <c r="AH562">
        <v>0</v>
      </c>
      <c r="AI562">
        <v>0</v>
      </c>
      <c r="AJ562">
        <v>0</v>
      </c>
      <c r="AK562">
        <v>0</v>
      </c>
      <c r="AL562" t="s">
        <v>342</v>
      </c>
      <c r="AM562" t="s">
        <v>254</v>
      </c>
      <c r="AN562" t="s">
        <v>94</v>
      </c>
      <c r="AO562" t="s">
        <v>147</v>
      </c>
      <c r="AP562">
        <v>0</v>
      </c>
      <c r="AQ562">
        <v>0</v>
      </c>
      <c r="AR562">
        <v>0</v>
      </c>
      <c r="AS562">
        <v>0</v>
      </c>
      <c r="AT562">
        <v>0</v>
      </c>
      <c r="AU562">
        <v>0</v>
      </c>
      <c r="AV562">
        <v>0</v>
      </c>
      <c r="AW562">
        <v>0</v>
      </c>
      <c r="AX562">
        <v>0</v>
      </c>
      <c r="AY562">
        <v>0</v>
      </c>
    </row>
    <row r="563" spans="1:51" x14ac:dyDescent="0.25">
      <c r="A563">
        <v>155</v>
      </c>
      <c r="B563">
        <v>10710</v>
      </c>
      <c r="C563" t="s">
        <v>735</v>
      </c>
      <c r="D563" t="s">
        <v>96</v>
      </c>
      <c r="E563" t="s">
        <v>100</v>
      </c>
      <c r="F563" t="s">
        <v>107</v>
      </c>
      <c r="G563" t="s">
        <v>101</v>
      </c>
      <c r="H563" t="s">
        <v>78</v>
      </c>
      <c r="I563" t="s">
        <v>195</v>
      </c>
      <c r="J563" t="s">
        <v>70</v>
      </c>
      <c r="K563" t="s">
        <v>75</v>
      </c>
      <c r="L563" t="s">
        <v>76</v>
      </c>
      <c r="M563" t="s">
        <v>177</v>
      </c>
      <c r="N563" t="s">
        <v>74</v>
      </c>
      <c r="O563" t="s">
        <v>187</v>
      </c>
      <c r="P563" t="s">
        <v>110</v>
      </c>
      <c r="Q563" t="s">
        <v>110</v>
      </c>
      <c r="R563" t="s">
        <v>71</v>
      </c>
      <c r="S563">
        <v>1</v>
      </c>
      <c r="T563">
        <v>1</v>
      </c>
      <c r="U563" t="s">
        <v>72</v>
      </c>
      <c r="V563" t="s">
        <v>73</v>
      </c>
      <c r="W563">
        <v>0</v>
      </c>
      <c r="X563">
        <v>1</v>
      </c>
      <c r="Y563">
        <v>0</v>
      </c>
      <c r="Z563">
        <v>0</v>
      </c>
      <c r="AA563">
        <v>0</v>
      </c>
      <c r="AB563">
        <v>0</v>
      </c>
      <c r="AC563">
        <v>0</v>
      </c>
      <c r="AD563">
        <v>0</v>
      </c>
      <c r="AE563">
        <v>0</v>
      </c>
      <c r="AF563">
        <v>0</v>
      </c>
      <c r="AG563" t="s">
        <v>71</v>
      </c>
      <c r="AH563">
        <v>0</v>
      </c>
      <c r="AI563">
        <v>0</v>
      </c>
      <c r="AJ563">
        <v>0</v>
      </c>
      <c r="AK563">
        <v>0</v>
      </c>
      <c r="AL563" t="s">
        <v>342</v>
      </c>
      <c r="AM563" t="s">
        <v>254</v>
      </c>
      <c r="AN563" t="s">
        <v>94</v>
      </c>
      <c r="AO563" t="s">
        <v>147</v>
      </c>
      <c r="AP563">
        <v>2058</v>
      </c>
      <c r="AQ563">
        <v>0</v>
      </c>
      <c r="AR563">
        <v>0</v>
      </c>
      <c r="AS563">
        <v>0</v>
      </c>
      <c r="AT563">
        <v>0</v>
      </c>
      <c r="AU563">
        <v>0</v>
      </c>
      <c r="AV563">
        <v>0</v>
      </c>
      <c r="AW563">
        <v>0</v>
      </c>
      <c r="AX563">
        <v>0</v>
      </c>
      <c r="AY563">
        <v>0</v>
      </c>
    </row>
    <row r="564" spans="1:51" x14ac:dyDescent="0.25">
      <c r="A564">
        <v>156</v>
      </c>
      <c r="B564">
        <v>10720</v>
      </c>
      <c r="C564" t="s">
        <v>735</v>
      </c>
      <c r="D564" t="s">
        <v>96</v>
      </c>
      <c r="E564" t="s">
        <v>100</v>
      </c>
      <c r="F564" t="s">
        <v>107</v>
      </c>
      <c r="G564" t="s">
        <v>101</v>
      </c>
      <c r="H564" t="s">
        <v>180</v>
      </c>
      <c r="I564" t="s">
        <v>195</v>
      </c>
      <c r="J564" t="s">
        <v>70</v>
      </c>
      <c r="K564" t="s">
        <v>75</v>
      </c>
      <c r="L564" t="s">
        <v>76</v>
      </c>
      <c r="M564" t="s">
        <v>103</v>
      </c>
      <c r="N564" t="s">
        <v>74</v>
      </c>
      <c r="O564" t="s">
        <v>187</v>
      </c>
      <c r="P564" t="s">
        <v>71</v>
      </c>
      <c r="Q564" t="s">
        <v>71</v>
      </c>
      <c r="R564" t="s">
        <v>71</v>
      </c>
      <c r="S564">
        <v>0</v>
      </c>
      <c r="T564">
        <v>1</v>
      </c>
      <c r="U564" t="s">
        <v>283</v>
      </c>
      <c r="V564" t="s">
        <v>188</v>
      </c>
      <c r="W564">
        <v>0</v>
      </c>
      <c r="X564">
        <v>1</v>
      </c>
      <c r="Y564">
        <v>1</v>
      </c>
      <c r="Z564">
        <v>10</v>
      </c>
      <c r="AA564">
        <v>1</v>
      </c>
      <c r="AB564">
        <v>10</v>
      </c>
      <c r="AC564">
        <v>1</v>
      </c>
      <c r="AD564">
        <v>10</v>
      </c>
      <c r="AE564">
        <v>0</v>
      </c>
      <c r="AF564">
        <v>0</v>
      </c>
      <c r="AG564" t="s">
        <v>71</v>
      </c>
      <c r="AH564">
        <v>0</v>
      </c>
      <c r="AI564">
        <v>0</v>
      </c>
      <c r="AJ564">
        <v>0</v>
      </c>
      <c r="AK564">
        <v>0</v>
      </c>
      <c r="AL564" t="s">
        <v>342</v>
      </c>
      <c r="AM564" t="s">
        <v>254</v>
      </c>
      <c r="AN564" t="s">
        <v>94</v>
      </c>
      <c r="AO564" t="s">
        <v>147</v>
      </c>
      <c r="AP564">
        <v>32895</v>
      </c>
      <c r="AQ564">
        <v>0</v>
      </c>
      <c r="AR564">
        <v>0</v>
      </c>
      <c r="AS564">
        <v>0</v>
      </c>
      <c r="AT564">
        <v>0</v>
      </c>
      <c r="AU564">
        <v>0</v>
      </c>
      <c r="AV564">
        <v>0</v>
      </c>
      <c r="AW564">
        <v>0</v>
      </c>
      <c r="AX564">
        <v>0</v>
      </c>
      <c r="AY564">
        <v>0</v>
      </c>
    </row>
    <row r="565" spans="1:51" x14ac:dyDescent="0.25">
      <c r="A565">
        <v>157</v>
      </c>
      <c r="B565">
        <v>10730</v>
      </c>
      <c r="C565" t="s">
        <v>735</v>
      </c>
      <c r="D565" t="s">
        <v>96</v>
      </c>
      <c r="E565" t="s">
        <v>100</v>
      </c>
      <c r="F565" t="s">
        <v>107</v>
      </c>
      <c r="G565" t="s">
        <v>101</v>
      </c>
      <c r="H565" t="s">
        <v>78</v>
      </c>
      <c r="I565" t="s">
        <v>195</v>
      </c>
      <c r="J565" t="s">
        <v>70</v>
      </c>
      <c r="K565" t="s">
        <v>75</v>
      </c>
      <c r="L565" t="s">
        <v>76</v>
      </c>
      <c r="M565" t="s">
        <v>149</v>
      </c>
      <c r="N565" t="s">
        <v>74</v>
      </c>
      <c r="O565" t="s">
        <v>187</v>
      </c>
      <c r="P565" t="s">
        <v>71</v>
      </c>
      <c r="Q565" t="s">
        <v>71</v>
      </c>
      <c r="R565" t="s">
        <v>71</v>
      </c>
      <c r="S565">
        <v>0</v>
      </c>
      <c r="T565">
        <v>1</v>
      </c>
      <c r="U565" t="s">
        <v>72</v>
      </c>
      <c r="V565" t="s">
        <v>73</v>
      </c>
      <c r="W565">
        <v>0</v>
      </c>
      <c r="X565">
        <v>1</v>
      </c>
      <c r="Y565">
        <v>0</v>
      </c>
      <c r="Z565">
        <v>0</v>
      </c>
      <c r="AA565">
        <v>0</v>
      </c>
      <c r="AB565">
        <v>0</v>
      </c>
      <c r="AC565">
        <v>0</v>
      </c>
      <c r="AD565">
        <v>0</v>
      </c>
      <c r="AE565">
        <v>0</v>
      </c>
      <c r="AF565">
        <v>0</v>
      </c>
      <c r="AG565" t="s">
        <v>71</v>
      </c>
      <c r="AH565">
        <v>0</v>
      </c>
      <c r="AI565">
        <v>0</v>
      </c>
      <c r="AJ565">
        <v>0</v>
      </c>
      <c r="AK565">
        <v>0</v>
      </c>
      <c r="AL565" t="s">
        <v>342</v>
      </c>
      <c r="AM565" t="s">
        <v>254</v>
      </c>
      <c r="AN565" t="s">
        <v>94</v>
      </c>
      <c r="AO565" t="s">
        <v>147</v>
      </c>
      <c r="AP565">
        <v>34826</v>
      </c>
      <c r="AQ565">
        <v>0</v>
      </c>
      <c r="AR565">
        <v>0</v>
      </c>
      <c r="AS565">
        <v>0</v>
      </c>
      <c r="AT565">
        <v>0</v>
      </c>
      <c r="AU565">
        <v>0</v>
      </c>
      <c r="AV565">
        <v>0</v>
      </c>
      <c r="AW565">
        <v>0</v>
      </c>
      <c r="AX565">
        <v>0</v>
      </c>
      <c r="AY565">
        <v>0</v>
      </c>
    </row>
    <row r="566" spans="1:51" x14ac:dyDescent="0.25">
      <c r="A566">
        <v>158</v>
      </c>
      <c r="B566">
        <v>10740</v>
      </c>
      <c r="C566" t="s">
        <v>735</v>
      </c>
      <c r="D566" t="s">
        <v>96</v>
      </c>
      <c r="E566" t="s">
        <v>121</v>
      </c>
      <c r="F566" t="s">
        <v>107</v>
      </c>
      <c r="G566" t="s">
        <v>101</v>
      </c>
      <c r="H566" t="s">
        <v>78</v>
      </c>
      <c r="I566" t="s">
        <v>195</v>
      </c>
      <c r="J566" t="s">
        <v>70</v>
      </c>
      <c r="K566" t="s">
        <v>75</v>
      </c>
      <c r="L566" t="s">
        <v>203</v>
      </c>
      <c r="M566" t="s">
        <v>103</v>
      </c>
      <c r="N566" t="s">
        <v>74</v>
      </c>
      <c r="O566" t="s">
        <v>187</v>
      </c>
      <c r="P566" t="s">
        <v>71</v>
      </c>
      <c r="Q566" t="s">
        <v>71</v>
      </c>
      <c r="R566" t="s">
        <v>71</v>
      </c>
      <c r="S566">
        <v>0</v>
      </c>
      <c r="T566">
        <v>0</v>
      </c>
      <c r="U566" t="s">
        <v>72</v>
      </c>
      <c r="V566" t="s">
        <v>188</v>
      </c>
      <c r="W566">
        <v>0</v>
      </c>
      <c r="X566">
        <v>1</v>
      </c>
      <c r="Y566">
        <v>0</v>
      </c>
      <c r="Z566">
        <v>0</v>
      </c>
      <c r="AA566">
        <v>0</v>
      </c>
      <c r="AB566">
        <v>0</v>
      </c>
      <c r="AC566">
        <v>0</v>
      </c>
      <c r="AD566">
        <v>0</v>
      </c>
      <c r="AE566">
        <v>0</v>
      </c>
      <c r="AF566">
        <v>0</v>
      </c>
      <c r="AG566" t="s">
        <v>71</v>
      </c>
      <c r="AH566">
        <v>0</v>
      </c>
      <c r="AI566">
        <v>0</v>
      </c>
      <c r="AJ566">
        <v>0</v>
      </c>
      <c r="AK566">
        <v>0</v>
      </c>
      <c r="AL566" t="s">
        <v>342</v>
      </c>
      <c r="AM566" t="s">
        <v>254</v>
      </c>
      <c r="AN566" t="s">
        <v>94</v>
      </c>
      <c r="AO566" t="s">
        <v>147</v>
      </c>
      <c r="AP566">
        <v>32842</v>
      </c>
      <c r="AQ566">
        <v>0</v>
      </c>
      <c r="AR566">
        <v>0</v>
      </c>
      <c r="AS566">
        <v>0</v>
      </c>
      <c r="AT566">
        <v>0</v>
      </c>
      <c r="AU566">
        <v>0</v>
      </c>
      <c r="AV566">
        <v>0</v>
      </c>
      <c r="AW566">
        <v>0</v>
      </c>
      <c r="AX566">
        <v>0</v>
      </c>
      <c r="AY566">
        <v>0</v>
      </c>
    </row>
    <row r="567" spans="1:51" x14ac:dyDescent="0.25">
      <c r="A567">
        <v>159</v>
      </c>
      <c r="B567">
        <v>10750</v>
      </c>
      <c r="C567" t="s">
        <v>735</v>
      </c>
      <c r="D567" t="s">
        <v>96</v>
      </c>
      <c r="E567" t="s">
        <v>121</v>
      </c>
      <c r="F567" t="s">
        <v>107</v>
      </c>
      <c r="G567" t="s">
        <v>101</v>
      </c>
      <c r="H567" t="s">
        <v>78</v>
      </c>
      <c r="I567" t="s">
        <v>195</v>
      </c>
      <c r="J567" t="s">
        <v>70</v>
      </c>
      <c r="K567" t="s">
        <v>75</v>
      </c>
      <c r="L567" t="s">
        <v>203</v>
      </c>
      <c r="M567" t="s">
        <v>103</v>
      </c>
      <c r="N567" t="s">
        <v>74</v>
      </c>
      <c r="O567" t="s">
        <v>187</v>
      </c>
      <c r="P567" t="s">
        <v>71</v>
      </c>
      <c r="Q567" t="s">
        <v>71</v>
      </c>
      <c r="R567" t="s">
        <v>71</v>
      </c>
      <c r="S567">
        <v>0</v>
      </c>
      <c r="T567">
        <v>0</v>
      </c>
      <c r="U567" t="s">
        <v>72</v>
      </c>
      <c r="V567" t="s">
        <v>192</v>
      </c>
      <c r="W567">
        <v>0</v>
      </c>
      <c r="X567">
        <v>1</v>
      </c>
      <c r="Y567">
        <v>0</v>
      </c>
      <c r="Z567">
        <v>0</v>
      </c>
      <c r="AA567">
        <v>0</v>
      </c>
      <c r="AB567">
        <v>0</v>
      </c>
      <c r="AC567">
        <v>0</v>
      </c>
      <c r="AD567">
        <v>0</v>
      </c>
      <c r="AE567">
        <v>0</v>
      </c>
      <c r="AF567">
        <v>0</v>
      </c>
      <c r="AG567" t="s">
        <v>71</v>
      </c>
      <c r="AH567">
        <v>0</v>
      </c>
      <c r="AI567">
        <v>0</v>
      </c>
      <c r="AJ567">
        <v>0</v>
      </c>
      <c r="AK567">
        <v>0</v>
      </c>
      <c r="AL567" t="s">
        <v>342</v>
      </c>
      <c r="AM567" t="s">
        <v>254</v>
      </c>
      <c r="AN567" t="s">
        <v>94</v>
      </c>
      <c r="AO567" t="s">
        <v>147</v>
      </c>
      <c r="AP567">
        <v>33674</v>
      </c>
      <c r="AQ567">
        <v>0</v>
      </c>
      <c r="AR567">
        <v>0</v>
      </c>
      <c r="AS567">
        <v>0</v>
      </c>
      <c r="AT567">
        <v>0</v>
      </c>
      <c r="AU567">
        <v>0</v>
      </c>
      <c r="AV567">
        <v>0</v>
      </c>
      <c r="AW567">
        <v>0</v>
      </c>
      <c r="AX567">
        <v>0</v>
      </c>
      <c r="AY567">
        <v>0</v>
      </c>
    </row>
    <row r="568" spans="1:51" x14ac:dyDescent="0.25">
      <c r="A568">
        <v>160</v>
      </c>
      <c r="B568">
        <v>10760</v>
      </c>
      <c r="C568" t="s">
        <v>735</v>
      </c>
      <c r="D568" t="s">
        <v>96</v>
      </c>
      <c r="E568" t="s">
        <v>121</v>
      </c>
      <c r="F568" t="s">
        <v>107</v>
      </c>
      <c r="G568" t="s">
        <v>101</v>
      </c>
      <c r="H568" t="s">
        <v>78</v>
      </c>
      <c r="I568" t="s">
        <v>195</v>
      </c>
      <c r="J568" t="s">
        <v>70</v>
      </c>
      <c r="K568" t="s">
        <v>75</v>
      </c>
      <c r="L568" t="s">
        <v>203</v>
      </c>
      <c r="M568" t="s">
        <v>103</v>
      </c>
      <c r="N568" t="s">
        <v>74</v>
      </c>
      <c r="O568" t="s">
        <v>187</v>
      </c>
      <c r="P568" t="s">
        <v>71</v>
      </c>
      <c r="Q568" t="s">
        <v>71</v>
      </c>
      <c r="R568" t="s">
        <v>71</v>
      </c>
      <c r="S568">
        <v>0</v>
      </c>
      <c r="T568">
        <v>0</v>
      </c>
      <c r="U568" t="s">
        <v>72</v>
      </c>
      <c r="V568" t="s">
        <v>73</v>
      </c>
      <c r="W568">
        <v>0</v>
      </c>
      <c r="X568">
        <v>1</v>
      </c>
      <c r="Y568">
        <v>0</v>
      </c>
      <c r="Z568">
        <v>0</v>
      </c>
      <c r="AA568">
        <v>0</v>
      </c>
      <c r="AB568">
        <v>0</v>
      </c>
      <c r="AC568">
        <v>0</v>
      </c>
      <c r="AD568">
        <v>0</v>
      </c>
      <c r="AE568">
        <v>0</v>
      </c>
      <c r="AF568">
        <v>0</v>
      </c>
      <c r="AG568" t="s">
        <v>71</v>
      </c>
      <c r="AH568">
        <v>0</v>
      </c>
      <c r="AI568">
        <v>0</v>
      </c>
      <c r="AJ568">
        <v>0</v>
      </c>
      <c r="AK568">
        <v>0</v>
      </c>
      <c r="AL568" t="s">
        <v>342</v>
      </c>
      <c r="AM568" t="s">
        <v>254</v>
      </c>
      <c r="AN568" t="s">
        <v>94</v>
      </c>
      <c r="AO568" t="s">
        <v>147</v>
      </c>
      <c r="AP568">
        <v>32778</v>
      </c>
      <c r="AQ568">
        <v>0</v>
      </c>
      <c r="AR568">
        <v>0</v>
      </c>
      <c r="AS568">
        <v>0</v>
      </c>
      <c r="AT568">
        <v>0</v>
      </c>
      <c r="AU568">
        <v>0</v>
      </c>
      <c r="AV568">
        <v>0</v>
      </c>
      <c r="AW568">
        <v>0</v>
      </c>
      <c r="AX568">
        <v>0</v>
      </c>
      <c r="AY568">
        <v>0</v>
      </c>
    </row>
    <row r="569" spans="1:51" x14ac:dyDescent="0.25">
      <c r="A569">
        <v>161</v>
      </c>
      <c r="B569">
        <v>10770</v>
      </c>
      <c r="C569" t="s">
        <v>735</v>
      </c>
      <c r="D569" t="s">
        <v>96</v>
      </c>
      <c r="E569" t="s">
        <v>100</v>
      </c>
      <c r="F569" t="s">
        <v>107</v>
      </c>
      <c r="G569" t="s">
        <v>101</v>
      </c>
      <c r="H569" t="s">
        <v>78</v>
      </c>
      <c r="I569" t="s">
        <v>195</v>
      </c>
      <c r="J569" t="s">
        <v>70</v>
      </c>
      <c r="K569" t="s">
        <v>75</v>
      </c>
      <c r="L569" t="s">
        <v>76</v>
      </c>
      <c r="M569" t="s">
        <v>103</v>
      </c>
      <c r="N569" t="s">
        <v>74</v>
      </c>
      <c r="O569" t="s">
        <v>187</v>
      </c>
      <c r="P569" t="s">
        <v>71</v>
      </c>
      <c r="Q569" t="s">
        <v>110</v>
      </c>
      <c r="R569" t="s">
        <v>71</v>
      </c>
      <c r="S569">
        <v>1</v>
      </c>
      <c r="T569">
        <v>1</v>
      </c>
      <c r="U569" t="s">
        <v>72</v>
      </c>
      <c r="V569" t="s">
        <v>188</v>
      </c>
      <c r="W569">
        <v>0</v>
      </c>
      <c r="X569">
        <v>1</v>
      </c>
      <c r="Y569">
        <v>0</v>
      </c>
      <c r="Z569">
        <v>0</v>
      </c>
      <c r="AA569">
        <v>0</v>
      </c>
      <c r="AB569">
        <v>0</v>
      </c>
      <c r="AC569">
        <v>0</v>
      </c>
      <c r="AD569">
        <v>0</v>
      </c>
      <c r="AE569">
        <v>0</v>
      </c>
      <c r="AF569">
        <v>0</v>
      </c>
      <c r="AG569" t="s">
        <v>71</v>
      </c>
      <c r="AH569">
        <v>0</v>
      </c>
      <c r="AI569">
        <v>0</v>
      </c>
      <c r="AJ569">
        <v>0</v>
      </c>
      <c r="AK569">
        <v>0</v>
      </c>
      <c r="AL569" t="s">
        <v>342</v>
      </c>
      <c r="AM569" t="s">
        <v>254</v>
      </c>
      <c r="AN569" t="s">
        <v>94</v>
      </c>
      <c r="AO569" t="s">
        <v>147</v>
      </c>
      <c r="AP569">
        <v>42</v>
      </c>
      <c r="AQ569">
        <v>0</v>
      </c>
      <c r="AR569">
        <v>0</v>
      </c>
      <c r="AS569">
        <v>0</v>
      </c>
      <c r="AT569">
        <v>0</v>
      </c>
      <c r="AU569">
        <v>0</v>
      </c>
      <c r="AV569">
        <v>0</v>
      </c>
      <c r="AW569">
        <v>0</v>
      </c>
      <c r="AX569">
        <v>0</v>
      </c>
      <c r="AY569">
        <v>0</v>
      </c>
    </row>
    <row r="570" spans="1:51" x14ac:dyDescent="0.25">
      <c r="A570">
        <v>162</v>
      </c>
      <c r="B570">
        <v>10780</v>
      </c>
      <c r="C570" t="s">
        <v>735</v>
      </c>
      <c r="D570" t="s">
        <v>96</v>
      </c>
      <c r="E570" t="s">
        <v>100</v>
      </c>
      <c r="F570" t="s">
        <v>107</v>
      </c>
      <c r="G570" t="s">
        <v>101</v>
      </c>
      <c r="H570" t="s">
        <v>182</v>
      </c>
      <c r="I570" t="s">
        <v>79</v>
      </c>
      <c r="J570" t="s">
        <v>119</v>
      </c>
      <c r="K570" t="s">
        <v>75</v>
      </c>
      <c r="L570" t="s">
        <v>76</v>
      </c>
      <c r="M570" t="s">
        <v>149</v>
      </c>
      <c r="N570" t="s">
        <v>74</v>
      </c>
      <c r="O570" t="s">
        <v>187</v>
      </c>
      <c r="P570" t="s">
        <v>71</v>
      </c>
      <c r="Q570" t="s">
        <v>71</v>
      </c>
      <c r="R570" t="s">
        <v>71</v>
      </c>
      <c r="S570">
        <v>1</v>
      </c>
      <c r="T570">
        <v>1</v>
      </c>
      <c r="U570" t="s">
        <v>72</v>
      </c>
      <c r="V570" t="s">
        <v>188</v>
      </c>
      <c r="W570">
        <v>0</v>
      </c>
      <c r="X570">
        <v>1</v>
      </c>
      <c r="Y570">
        <v>1</v>
      </c>
      <c r="Z570">
        <v>10</v>
      </c>
      <c r="AA570">
        <v>1</v>
      </c>
      <c r="AB570">
        <v>10</v>
      </c>
      <c r="AC570">
        <v>1</v>
      </c>
      <c r="AD570">
        <v>10</v>
      </c>
      <c r="AE570">
        <v>0</v>
      </c>
      <c r="AF570">
        <v>0</v>
      </c>
      <c r="AG570" t="s">
        <v>71</v>
      </c>
      <c r="AH570">
        <v>0</v>
      </c>
      <c r="AI570">
        <v>0</v>
      </c>
      <c r="AJ570">
        <v>0</v>
      </c>
      <c r="AK570">
        <v>0</v>
      </c>
      <c r="AL570" t="s">
        <v>342</v>
      </c>
      <c r="AM570" t="s">
        <v>254</v>
      </c>
      <c r="AN570" t="s">
        <v>94</v>
      </c>
      <c r="AO570" t="s">
        <v>147</v>
      </c>
      <c r="AP570">
        <v>0</v>
      </c>
      <c r="AQ570">
        <v>0</v>
      </c>
      <c r="AR570">
        <v>0</v>
      </c>
      <c r="AS570">
        <v>0</v>
      </c>
      <c r="AT570">
        <v>7</v>
      </c>
      <c r="AU570">
        <v>0</v>
      </c>
      <c r="AV570">
        <v>0</v>
      </c>
      <c r="AW570">
        <v>0</v>
      </c>
      <c r="AX570">
        <v>0</v>
      </c>
      <c r="AY570">
        <v>0</v>
      </c>
    </row>
    <row r="571" spans="1:51" x14ac:dyDescent="0.25">
      <c r="A571">
        <v>163</v>
      </c>
      <c r="B571">
        <v>10790</v>
      </c>
      <c r="C571" t="s">
        <v>735</v>
      </c>
      <c r="D571" t="s">
        <v>96</v>
      </c>
      <c r="E571" t="s">
        <v>100</v>
      </c>
      <c r="F571" t="s">
        <v>107</v>
      </c>
      <c r="G571" t="s">
        <v>77</v>
      </c>
      <c r="H571" t="s">
        <v>78</v>
      </c>
      <c r="I571" t="s">
        <v>195</v>
      </c>
      <c r="J571" t="s">
        <v>70</v>
      </c>
      <c r="K571" t="s">
        <v>75</v>
      </c>
      <c r="L571" t="s">
        <v>76</v>
      </c>
      <c r="M571" t="s">
        <v>103</v>
      </c>
      <c r="N571" t="s">
        <v>74</v>
      </c>
      <c r="O571" t="s">
        <v>187</v>
      </c>
      <c r="P571" t="s">
        <v>71</v>
      </c>
      <c r="Q571" t="s">
        <v>71</v>
      </c>
      <c r="R571" t="s">
        <v>71</v>
      </c>
      <c r="S571">
        <v>1</v>
      </c>
      <c r="T571">
        <v>1</v>
      </c>
      <c r="U571" t="s">
        <v>72</v>
      </c>
      <c r="V571" t="s">
        <v>188</v>
      </c>
      <c r="W571">
        <v>0</v>
      </c>
      <c r="X571">
        <v>1</v>
      </c>
      <c r="Y571">
        <v>0</v>
      </c>
      <c r="Z571">
        <v>0</v>
      </c>
      <c r="AA571">
        <v>0</v>
      </c>
      <c r="AB571">
        <v>0</v>
      </c>
      <c r="AC571">
        <v>0</v>
      </c>
      <c r="AD571">
        <v>0</v>
      </c>
      <c r="AE571">
        <v>0</v>
      </c>
      <c r="AF571">
        <v>0</v>
      </c>
      <c r="AG571" t="s">
        <v>71</v>
      </c>
      <c r="AH571">
        <v>0</v>
      </c>
      <c r="AI571">
        <v>0</v>
      </c>
      <c r="AJ571">
        <v>0</v>
      </c>
      <c r="AK571">
        <v>0</v>
      </c>
      <c r="AL571" t="s">
        <v>342</v>
      </c>
      <c r="AM571" t="s">
        <v>254</v>
      </c>
      <c r="AN571" t="s">
        <v>94</v>
      </c>
      <c r="AO571" t="s">
        <v>147</v>
      </c>
      <c r="AP571">
        <v>0</v>
      </c>
      <c r="AQ571">
        <v>0</v>
      </c>
      <c r="AR571">
        <v>0</v>
      </c>
      <c r="AS571">
        <v>0</v>
      </c>
      <c r="AT571">
        <v>152</v>
      </c>
      <c r="AU571">
        <v>0</v>
      </c>
      <c r="AV571">
        <v>0</v>
      </c>
      <c r="AW571">
        <v>0</v>
      </c>
      <c r="AX571">
        <v>0</v>
      </c>
      <c r="AY571">
        <v>0</v>
      </c>
    </row>
    <row r="572" spans="1:51" x14ac:dyDescent="0.25">
      <c r="A572">
        <v>164</v>
      </c>
      <c r="B572">
        <v>10800</v>
      </c>
      <c r="C572" t="s">
        <v>735</v>
      </c>
      <c r="D572" t="s">
        <v>96</v>
      </c>
      <c r="E572" t="s">
        <v>100</v>
      </c>
      <c r="F572" t="s">
        <v>107</v>
      </c>
      <c r="G572" t="s">
        <v>101</v>
      </c>
      <c r="H572" t="s">
        <v>180</v>
      </c>
      <c r="I572" t="s">
        <v>79</v>
      </c>
      <c r="J572" t="s">
        <v>70</v>
      </c>
      <c r="K572" t="s">
        <v>75</v>
      </c>
      <c r="L572" t="s">
        <v>76</v>
      </c>
      <c r="M572" t="s">
        <v>149</v>
      </c>
      <c r="N572" t="s">
        <v>74</v>
      </c>
      <c r="O572" t="s">
        <v>187</v>
      </c>
      <c r="P572" t="s">
        <v>71</v>
      </c>
      <c r="Q572" t="s">
        <v>71</v>
      </c>
      <c r="R572" t="s">
        <v>71</v>
      </c>
      <c r="S572">
        <v>1</v>
      </c>
      <c r="T572">
        <v>1</v>
      </c>
      <c r="U572" t="s">
        <v>72</v>
      </c>
      <c r="V572" t="s">
        <v>188</v>
      </c>
      <c r="W572">
        <v>0</v>
      </c>
      <c r="X572">
        <v>1</v>
      </c>
      <c r="Y572">
        <v>1</v>
      </c>
      <c r="Z572">
        <v>10</v>
      </c>
      <c r="AA572">
        <v>1</v>
      </c>
      <c r="AB572">
        <v>10</v>
      </c>
      <c r="AC572">
        <v>1</v>
      </c>
      <c r="AD572">
        <v>10</v>
      </c>
      <c r="AE572">
        <v>0</v>
      </c>
      <c r="AF572">
        <v>0</v>
      </c>
      <c r="AG572" t="s">
        <v>71</v>
      </c>
      <c r="AH572">
        <v>0</v>
      </c>
      <c r="AI572">
        <v>0</v>
      </c>
      <c r="AJ572">
        <v>0</v>
      </c>
      <c r="AK572">
        <v>0</v>
      </c>
      <c r="AL572" t="s">
        <v>342</v>
      </c>
      <c r="AM572" t="s">
        <v>254</v>
      </c>
      <c r="AN572" t="s">
        <v>94</v>
      </c>
      <c r="AO572" t="s">
        <v>147</v>
      </c>
      <c r="AP572">
        <v>0</v>
      </c>
      <c r="AQ572">
        <v>0</v>
      </c>
      <c r="AR572">
        <v>0</v>
      </c>
      <c r="AS572">
        <v>0</v>
      </c>
      <c r="AT572">
        <v>135</v>
      </c>
      <c r="AU572">
        <v>0</v>
      </c>
      <c r="AV572">
        <v>0</v>
      </c>
      <c r="AW572">
        <v>0</v>
      </c>
      <c r="AX572">
        <v>0</v>
      </c>
      <c r="AY572">
        <v>0</v>
      </c>
    </row>
    <row r="573" spans="1:51" x14ac:dyDescent="0.25">
      <c r="A573">
        <v>165</v>
      </c>
      <c r="B573">
        <v>10810</v>
      </c>
      <c r="C573" t="s">
        <v>735</v>
      </c>
      <c r="D573" t="s">
        <v>96</v>
      </c>
      <c r="E573" t="s">
        <v>100</v>
      </c>
      <c r="F573" t="s">
        <v>107</v>
      </c>
      <c r="G573" t="s">
        <v>77</v>
      </c>
      <c r="H573" t="s">
        <v>78</v>
      </c>
      <c r="I573" t="s">
        <v>79</v>
      </c>
      <c r="J573" t="s">
        <v>70</v>
      </c>
      <c r="K573" t="s">
        <v>75</v>
      </c>
      <c r="L573" t="s">
        <v>76</v>
      </c>
      <c r="M573" t="s">
        <v>149</v>
      </c>
      <c r="N573" t="s">
        <v>74</v>
      </c>
      <c r="O573" t="s">
        <v>187</v>
      </c>
      <c r="P573" t="s">
        <v>71</v>
      </c>
      <c r="Q573" t="s">
        <v>71</v>
      </c>
      <c r="R573" t="s">
        <v>71</v>
      </c>
      <c r="S573">
        <v>1</v>
      </c>
      <c r="T573">
        <v>1</v>
      </c>
      <c r="U573" t="s">
        <v>72</v>
      </c>
      <c r="V573" t="s">
        <v>188</v>
      </c>
      <c r="W573">
        <v>0</v>
      </c>
      <c r="X573">
        <v>1</v>
      </c>
      <c r="Y573">
        <v>0</v>
      </c>
      <c r="Z573">
        <v>0</v>
      </c>
      <c r="AA573">
        <v>0</v>
      </c>
      <c r="AB573">
        <v>0</v>
      </c>
      <c r="AC573">
        <v>0</v>
      </c>
      <c r="AD573">
        <v>0</v>
      </c>
      <c r="AE573">
        <v>0</v>
      </c>
      <c r="AF573">
        <v>0</v>
      </c>
      <c r="AG573" t="s">
        <v>71</v>
      </c>
      <c r="AH573">
        <v>0</v>
      </c>
      <c r="AI573">
        <v>0</v>
      </c>
      <c r="AJ573">
        <v>0</v>
      </c>
      <c r="AK573">
        <v>0</v>
      </c>
      <c r="AL573" t="s">
        <v>342</v>
      </c>
      <c r="AM573" t="s">
        <v>254</v>
      </c>
      <c r="AN573" t="s">
        <v>94</v>
      </c>
      <c r="AO573" t="s">
        <v>147</v>
      </c>
      <c r="AP573">
        <v>0</v>
      </c>
      <c r="AQ573">
        <v>0</v>
      </c>
      <c r="AR573">
        <v>0</v>
      </c>
      <c r="AS573">
        <v>0</v>
      </c>
      <c r="AT573">
        <v>128</v>
      </c>
      <c r="AU573">
        <v>0</v>
      </c>
      <c r="AV573">
        <v>0</v>
      </c>
      <c r="AW573">
        <v>0</v>
      </c>
      <c r="AX573">
        <v>0</v>
      </c>
      <c r="AY573">
        <v>0</v>
      </c>
    </row>
    <row r="574" spans="1:51" x14ac:dyDescent="0.25">
      <c r="A574">
        <v>166</v>
      </c>
      <c r="B574">
        <v>10820</v>
      </c>
      <c r="C574" t="s">
        <v>735</v>
      </c>
      <c r="D574" t="s">
        <v>96</v>
      </c>
      <c r="E574" t="s">
        <v>100</v>
      </c>
      <c r="F574" t="s">
        <v>107</v>
      </c>
      <c r="G574" t="s">
        <v>77</v>
      </c>
      <c r="H574" t="s">
        <v>78</v>
      </c>
      <c r="I574" t="s">
        <v>79</v>
      </c>
      <c r="J574" t="s">
        <v>70</v>
      </c>
      <c r="K574" t="s">
        <v>75</v>
      </c>
      <c r="L574" t="s">
        <v>76</v>
      </c>
      <c r="M574" t="s">
        <v>149</v>
      </c>
      <c r="N574" t="s">
        <v>74</v>
      </c>
      <c r="O574" t="s">
        <v>187</v>
      </c>
      <c r="P574" t="s">
        <v>71</v>
      </c>
      <c r="Q574" t="s">
        <v>71</v>
      </c>
      <c r="R574" t="s">
        <v>71</v>
      </c>
      <c r="S574">
        <v>1</v>
      </c>
      <c r="T574">
        <v>1</v>
      </c>
      <c r="U574" t="s">
        <v>72</v>
      </c>
      <c r="V574" t="s">
        <v>188</v>
      </c>
      <c r="W574">
        <v>0</v>
      </c>
      <c r="X574">
        <v>1</v>
      </c>
      <c r="Y574">
        <v>0</v>
      </c>
      <c r="Z574">
        <v>0</v>
      </c>
      <c r="AA574">
        <v>0</v>
      </c>
      <c r="AB574">
        <v>0</v>
      </c>
      <c r="AC574">
        <v>0</v>
      </c>
      <c r="AD574">
        <v>0</v>
      </c>
      <c r="AE574">
        <v>0</v>
      </c>
      <c r="AF574">
        <v>0</v>
      </c>
      <c r="AG574" t="s">
        <v>71</v>
      </c>
      <c r="AH574">
        <v>0</v>
      </c>
      <c r="AI574">
        <v>0</v>
      </c>
      <c r="AJ574">
        <v>0</v>
      </c>
      <c r="AK574">
        <v>0</v>
      </c>
      <c r="AL574" t="s">
        <v>342</v>
      </c>
      <c r="AM574" t="s">
        <v>254</v>
      </c>
      <c r="AN574" t="s">
        <v>94</v>
      </c>
      <c r="AO574" t="s">
        <v>147</v>
      </c>
      <c r="AP574">
        <v>0</v>
      </c>
      <c r="AQ574">
        <v>0</v>
      </c>
      <c r="AR574">
        <v>0</v>
      </c>
      <c r="AS574">
        <v>0</v>
      </c>
      <c r="AT574">
        <v>128</v>
      </c>
      <c r="AU574">
        <v>0</v>
      </c>
      <c r="AV574">
        <v>0</v>
      </c>
      <c r="AW574">
        <v>0</v>
      </c>
      <c r="AX574">
        <v>0</v>
      </c>
      <c r="AY574">
        <v>0</v>
      </c>
    </row>
    <row r="575" spans="1:51" x14ac:dyDescent="0.25">
      <c r="A575">
        <v>167</v>
      </c>
      <c r="B575">
        <v>10830</v>
      </c>
      <c r="C575" t="s">
        <v>735</v>
      </c>
      <c r="D575" t="s">
        <v>96</v>
      </c>
      <c r="E575" t="s">
        <v>100</v>
      </c>
      <c r="F575" t="s">
        <v>107</v>
      </c>
      <c r="G575" t="s">
        <v>101</v>
      </c>
      <c r="H575" t="s">
        <v>78</v>
      </c>
      <c r="I575" t="s">
        <v>79</v>
      </c>
      <c r="J575" t="s">
        <v>119</v>
      </c>
      <c r="K575" t="s">
        <v>75</v>
      </c>
      <c r="L575" t="s">
        <v>76</v>
      </c>
      <c r="M575" t="s">
        <v>149</v>
      </c>
      <c r="N575" t="s">
        <v>74</v>
      </c>
      <c r="O575" t="s">
        <v>187</v>
      </c>
      <c r="P575" t="s">
        <v>71</v>
      </c>
      <c r="Q575" t="s">
        <v>110</v>
      </c>
      <c r="R575" t="s">
        <v>71</v>
      </c>
      <c r="S575">
        <v>1</v>
      </c>
      <c r="T575">
        <v>1</v>
      </c>
      <c r="U575" t="s">
        <v>72</v>
      </c>
      <c r="V575" t="s">
        <v>188</v>
      </c>
      <c r="W575">
        <v>0</v>
      </c>
      <c r="X575">
        <v>1</v>
      </c>
      <c r="Y575">
        <v>0</v>
      </c>
      <c r="Z575">
        <v>0</v>
      </c>
      <c r="AA575">
        <v>0</v>
      </c>
      <c r="AB575">
        <v>0</v>
      </c>
      <c r="AC575">
        <v>0</v>
      </c>
      <c r="AD575">
        <v>0</v>
      </c>
      <c r="AE575">
        <v>0</v>
      </c>
      <c r="AF575">
        <v>0</v>
      </c>
      <c r="AG575" t="s">
        <v>71</v>
      </c>
      <c r="AH575">
        <v>0</v>
      </c>
      <c r="AI575">
        <v>0</v>
      </c>
      <c r="AJ575">
        <v>0</v>
      </c>
      <c r="AK575">
        <v>0</v>
      </c>
      <c r="AL575" t="s">
        <v>342</v>
      </c>
      <c r="AM575" t="s">
        <v>254</v>
      </c>
      <c r="AN575" t="s">
        <v>94</v>
      </c>
      <c r="AO575" t="s">
        <v>147</v>
      </c>
      <c r="AP575">
        <v>2082</v>
      </c>
      <c r="AQ575">
        <v>0</v>
      </c>
      <c r="AR575">
        <v>0</v>
      </c>
      <c r="AS575">
        <v>0</v>
      </c>
      <c r="AT575">
        <v>2</v>
      </c>
      <c r="AU575">
        <v>0</v>
      </c>
      <c r="AV575">
        <v>0</v>
      </c>
      <c r="AW575">
        <v>0</v>
      </c>
      <c r="AX575">
        <v>0</v>
      </c>
      <c r="AY575">
        <v>0</v>
      </c>
    </row>
    <row r="576" spans="1:51" x14ac:dyDescent="0.25">
      <c r="A576">
        <v>168</v>
      </c>
      <c r="B576">
        <v>10840</v>
      </c>
      <c r="C576" t="s">
        <v>735</v>
      </c>
      <c r="D576" t="s">
        <v>96</v>
      </c>
      <c r="E576" t="s">
        <v>100</v>
      </c>
      <c r="F576" t="s">
        <v>107</v>
      </c>
      <c r="G576" t="s">
        <v>77</v>
      </c>
      <c r="H576" t="s">
        <v>78</v>
      </c>
      <c r="I576" t="s">
        <v>79</v>
      </c>
      <c r="J576" t="s">
        <v>70</v>
      </c>
      <c r="K576" t="s">
        <v>75</v>
      </c>
      <c r="L576" t="s">
        <v>76</v>
      </c>
      <c r="M576" t="s">
        <v>149</v>
      </c>
      <c r="N576" t="s">
        <v>74</v>
      </c>
      <c r="O576" t="s">
        <v>187</v>
      </c>
      <c r="P576" t="s">
        <v>71</v>
      </c>
      <c r="Q576" t="s">
        <v>110</v>
      </c>
      <c r="R576" t="s">
        <v>71</v>
      </c>
      <c r="S576">
        <v>1</v>
      </c>
      <c r="T576">
        <v>1</v>
      </c>
      <c r="U576" t="s">
        <v>72</v>
      </c>
      <c r="V576" t="s">
        <v>188</v>
      </c>
      <c r="W576">
        <v>0</v>
      </c>
      <c r="X576">
        <v>1</v>
      </c>
      <c r="Y576">
        <v>0</v>
      </c>
      <c r="Z576">
        <v>0</v>
      </c>
      <c r="AA576">
        <v>0</v>
      </c>
      <c r="AB576">
        <v>0</v>
      </c>
      <c r="AC576">
        <v>0</v>
      </c>
      <c r="AD576">
        <v>0</v>
      </c>
      <c r="AE576">
        <v>0</v>
      </c>
      <c r="AF576">
        <v>0</v>
      </c>
      <c r="AG576" t="s">
        <v>71</v>
      </c>
      <c r="AH576">
        <v>0</v>
      </c>
      <c r="AI576">
        <v>0</v>
      </c>
      <c r="AJ576">
        <v>0</v>
      </c>
      <c r="AK576">
        <v>0</v>
      </c>
      <c r="AL576" t="s">
        <v>342</v>
      </c>
      <c r="AM576" t="s">
        <v>254</v>
      </c>
      <c r="AN576" t="s">
        <v>94</v>
      </c>
      <c r="AO576" t="s">
        <v>147</v>
      </c>
      <c r="AP576">
        <v>2080</v>
      </c>
      <c r="AQ576">
        <v>0</v>
      </c>
      <c r="AR576">
        <v>0</v>
      </c>
      <c r="AS576">
        <v>0</v>
      </c>
      <c r="AT576">
        <v>0</v>
      </c>
      <c r="AU576">
        <v>0</v>
      </c>
      <c r="AV576">
        <v>0</v>
      </c>
      <c r="AW576">
        <v>0</v>
      </c>
      <c r="AX576">
        <v>0</v>
      </c>
      <c r="AY576">
        <v>0</v>
      </c>
    </row>
    <row r="577" spans="1:51" x14ac:dyDescent="0.25">
      <c r="A577">
        <v>168</v>
      </c>
      <c r="B577">
        <v>10850</v>
      </c>
      <c r="C577" t="s">
        <v>735</v>
      </c>
      <c r="D577" t="s">
        <v>96</v>
      </c>
      <c r="E577" t="s">
        <v>100</v>
      </c>
      <c r="F577" t="s">
        <v>107</v>
      </c>
      <c r="G577" t="s">
        <v>77</v>
      </c>
      <c r="H577" t="s">
        <v>78</v>
      </c>
      <c r="I577" t="s">
        <v>79</v>
      </c>
      <c r="J577" t="s">
        <v>152</v>
      </c>
      <c r="K577" t="s">
        <v>75</v>
      </c>
      <c r="L577" t="s">
        <v>76</v>
      </c>
      <c r="M577" t="s">
        <v>149</v>
      </c>
      <c r="N577" t="s">
        <v>74</v>
      </c>
      <c r="O577" t="s">
        <v>187</v>
      </c>
      <c r="P577" t="s">
        <v>71</v>
      </c>
      <c r="Q577" t="s">
        <v>71</v>
      </c>
      <c r="R577" t="s">
        <v>71</v>
      </c>
      <c r="S577">
        <v>1</v>
      </c>
      <c r="T577">
        <v>1</v>
      </c>
      <c r="U577" t="s">
        <v>72</v>
      </c>
      <c r="V577" t="s">
        <v>188</v>
      </c>
      <c r="W577">
        <v>0</v>
      </c>
      <c r="X577">
        <v>1</v>
      </c>
      <c r="Y577">
        <v>0</v>
      </c>
      <c r="Z577">
        <v>0</v>
      </c>
      <c r="AA577">
        <v>0</v>
      </c>
      <c r="AB577">
        <v>0</v>
      </c>
      <c r="AC577">
        <v>0</v>
      </c>
      <c r="AD577">
        <v>0</v>
      </c>
      <c r="AE577">
        <v>0</v>
      </c>
      <c r="AF577">
        <v>0</v>
      </c>
      <c r="AG577" t="s">
        <v>71</v>
      </c>
      <c r="AH577">
        <v>0</v>
      </c>
      <c r="AI577">
        <v>0</v>
      </c>
      <c r="AJ577">
        <v>0</v>
      </c>
      <c r="AK577">
        <v>0</v>
      </c>
      <c r="AL577" t="s">
        <v>342</v>
      </c>
      <c r="AM577" t="s">
        <v>254</v>
      </c>
      <c r="AN577" t="s">
        <v>94</v>
      </c>
      <c r="AO577" t="s">
        <v>147</v>
      </c>
      <c r="AP577">
        <v>34848</v>
      </c>
      <c r="AQ577">
        <v>0</v>
      </c>
      <c r="AR577">
        <v>0</v>
      </c>
      <c r="AS577">
        <v>0</v>
      </c>
      <c r="AT577">
        <v>0</v>
      </c>
      <c r="AU577">
        <v>0</v>
      </c>
      <c r="AV577">
        <v>0</v>
      </c>
      <c r="AW577">
        <v>0</v>
      </c>
      <c r="AX577">
        <v>0</v>
      </c>
      <c r="AY577">
        <v>0</v>
      </c>
    </row>
    <row r="578" spans="1:51" x14ac:dyDescent="0.25">
      <c r="A578">
        <v>169</v>
      </c>
      <c r="B578">
        <v>10860</v>
      </c>
      <c r="C578" t="s">
        <v>735</v>
      </c>
      <c r="D578" t="s">
        <v>96</v>
      </c>
      <c r="E578" t="s">
        <v>100</v>
      </c>
      <c r="F578" t="s">
        <v>107</v>
      </c>
      <c r="G578" t="s">
        <v>77</v>
      </c>
      <c r="H578" t="s">
        <v>78</v>
      </c>
      <c r="I578" t="s">
        <v>79</v>
      </c>
      <c r="J578" t="s">
        <v>152</v>
      </c>
      <c r="K578" t="s">
        <v>75</v>
      </c>
      <c r="L578" t="s">
        <v>76</v>
      </c>
      <c r="M578" t="s">
        <v>149</v>
      </c>
      <c r="N578" t="s">
        <v>74</v>
      </c>
      <c r="O578" t="s">
        <v>187</v>
      </c>
      <c r="P578" t="s">
        <v>71</v>
      </c>
      <c r="Q578" t="s">
        <v>71</v>
      </c>
      <c r="R578" t="s">
        <v>110</v>
      </c>
      <c r="S578">
        <v>1</v>
      </c>
      <c r="T578">
        <v>1</v>
      </c>
      <c r="U578" t="s">
        <v>72</v>
      </c>
      <c r="V578" t="s">
        <v>188</v>
      </c>
      <c r="W578">
        <v>0</v>
      </c>
      <c r="X578">
        <v>1</v>
      </c>
      <c r="Y578">
        <v>0</v>
      </c>
      <c r="Z578">
        <v>0</v>
      </c>
      <c r="AA578">
        <v>0</v>
      </c>
      <c r="AB578">
        <v>0</v>
      </c>
      <c r="AC578">
        <v>0</v>
      </c>
      <c r="AD578">
        <v>0</v>
      </c>
      <c r="AE578">
        <v>0</v>
      </c>
      <c r="AF578">
        <v>0</v>
      </c>
      <c r="AG578" t="s">
        <v>71</v>
      </c>
      <c r="AH578">
        <v>0</v>
      </c>
      <c r="AI578">
        <v>0</v>
      </c>
      <c r="AJ578">
        <v>0</v>
      </c>
      <c r="AK578">
        <v>0</v>
      </c>
      <c r="AL578" t="s">
        <v>342</v>
      </c>
      <c r="AM578" t="s">
        <v>254</v>
      </c>
      <c r="AN578" t="s">
        <v>94</v>
      </c>
      <c r="AO578" t="s">
        <v>147</v>
      </c>
      <c r="AP578">
        <v>34848</v>
      </c>
      <c r="AQ578">
        <v>0</v>
      </c>
      <c r="AR578">
        <v>0</v>
      </c>
      <c r="AS578">
        <v>0</v>
      </c>
      <c r="AT578">
        <v>0</v>
      </c>
      <c r="AU578">
        <v>0</v>
      </c>
      <c r="AV578">
        <v>0</v>
      </c>
      <c r="AW578">
        <v>0</v>
      </c>
      <c r="AX578">
        <v>8</v>
      </c>
      <c r="AY578">
        <v>0</v>
      </c>
    </row>
    <row r="579" spans="1:51" x14ac:dyDescent="0.25">
      <c r="A579">
        <v>169</v>
      </c>
      <c r="B579">
        <v>10870</v>
      </c>
      <c r="C579" t="s">
        <v>735</v>
      </c>
      <c r="D579" t="s">
        <v>96</v>
      </c>
      <c r="E579" t="s">
        <v>100</v>
      </c>
      <c r="F579" t="s">
        <v>107</v>
      </c>
      <c r="G579" t="s">
        <v>77</v>
      </c>
      <c r="H579" t="s">
        <v>78</v>
      </c>
      <c r="I579" t="s">
        <v>79</v>
      </c>
      <c r="J579" t="s">
        <v>152</v>
      </c>
      <c r="K579" t="s">
        <v>75</v>
      </c>
      <c r="L579" t="s">
        <v>76</v>
      </c>
      <c r="M579" t="s">
        <v>149</v>
      </c>
      <c r="N579" t="s">
        <v>74</v>
      </c>
      <c r="O579" t="s">
        <v>187</v>
      </c>
      <c r="P579" t="s">
        <v>71</v>
      </c>
      <c r="Q579" t="s">
        <v>71</v>
      </c>
      <c r="R579" t="s">
        <v>110</v>
      </c>
      <c r="S579">
        <v>1</v>
      </c>
      <c r="T579">
        <v>1</v>
      </c>
      <c r="U579" t="s">
        <v>72</v>
      </c>
      <c r="V579" t="s">
        <v>188</v>
      </c>
      <c r="W579">
        <v>0</v>
      </c>
      <c r="X579">
        <v>1</v>
      </c>
      <c r="Y579">
        <v>0</v>
      </c>
      <c r="Z579">
        <v>0</v>
      </c>
      <c r="AA579">
        <v>0</v>
      </c>
      <c r="AB579">
        <v>0</v>
      </c>
      <c r="AC579">
        <v>0</v>
      </c>
      <c r="AD579">
        <v>0</v>
      </c>
      <c r="AE579">
        <v>0</v>
      </c>
      <c r="AF579">
        <v>0</v>
      </c>
      <c r="AG579" t="s">
        <v>71</v>
      </c>
      <c r="AH579">
        <v>0</v>
      </c>
      <c r="AI579">
        <v>0</v>
      </c>
      <c r="AJ579">
        <v>0</v>
      </c>
      <c r="AK579">
        <v>0</v>
      </c>
      <c r="AL579" t="s">
        <v>342</v>
      </c>
      <c r="AM579" t="s">
        <v>254</v>
      </c>
      <c r="AN579" t="s">
        <v>94</v>
      </c>
      <c r="AO579" t="s">
        <v>147</v>
      </c>
      <c r="AP579">
        <v>34848</v>
      </c>
      <c r="AQ579">
        <v>0</v>
      </c>
      <c r="AR579">
        <v>0</v>
      </c>
      <c r="AS579">
        <v>0</v>
      </c>
      <c r="AT579">
        <v>0</v>
      </c>
      <c r="AU579">
        <v>0</v>
      </c>
      <c r="AV579">
        <v>0</v>
      </c>
      <c r="AW579">
        <v>0</v>
      </c>
      <c r="AX579">
        <v>8</v>
      </c>
      <c r="AY579">
        <v>0</v>
      </c>
    </row>
    <row r="580" spans="1:51" x14ac:dyDescent="0.25">
      <c r="A580">
        <v>169</v>
      </c>
      <c r="B580">
        <v>10880</v>
      </c>
      <c r="C580" t="s">
        <v>735</v>
      </c>
      <c r="D580" t="s">
        <v>96</v>
      </c>
      <c r="E580" t="s">
        <v>100</v>
      </c>
      <c r="F580" t="s">
        <v>107</v>
      </c>
      <c r="G580" t="s">
        <v>77</v>
      </c>
      <c r="H580" t="s">
        <v>78</v>
      </c>
      <c r="I580" t="s">
        <v>79</v>
      </c>
      <c r="J580" t="s">
        <v>152</v>
      </c>
      <c r="K580" t="s">
        <v>75</v>
      </c>
      <c r="L580" t="s">
        <v>76</v>
      </c>
      <c r="M580" t="s">
        <v>149</v>
      </c>
      <c r="N580" t="s">
        <v>74</v>
      </c>
      <c r="O580" t="s">
        <v>187</v>
      </c>
      <c r="P580" t="s">
        <v>71</v>
      </c>
      <c r="Q580" t="s">
        <v>71</v>
      </c>
      <c r="R580" t="s">
        <v>110</v>
      </c>
      <c r="S580">
        <v>1</v>
      </c>
      <c r="T580">
        <v>1</v>
      </c>
      <c r="U580" t="s">
        <v>72</v>
      </c>
      <c r="V580" t="s">
        <v>188</v>
      </c>
      <c r="W580">
        <v>0</v>
      </c>
      <c r="X580">
        <v>1</v>
      </c>
      <c r="Y580">
        <v>0</v>
      </c>
      <c r="Z580">
        <v>0</v>
      </c>
      <c r="AA580">
        <v>0</v>
      </c>
      <c r="AB580">
        <v>0</v>
      </c>
      <c r="AC580">
        <v>0</v>
      </c>
      <c r="AD580">
        <v>0</v>
      </c>
      <c r="AE580">
        <v>0</v>
      </c>
      <c r="AF580">
        <v>0</v>
      </c>
      <c r="AG580" t="s">
        <v>71</v>
      </c>
      <c r="AH580">
        <v>0</v>
      </c>
      <c r="AI580">
        <v>0</v>
      </c>
      <c r="AJ580">
        <v>0</v>
      </c>
      <c r="AK580">
        <v>0</v>
      </c>
      <c r="AL580" t="s">
        <v>342</v>
      </c>
      <c r="AM580" t="s">
        <v>254</v>
      </c>
      <c r="AN580" t="s">
        <v>94</v>
      </c>
      <c r="AO580" t="s">
        <v>147</v>
      </c>
      <c r="AP580">
        <v>34848</v>
      </c>
      <c r="AQ580">
        <v>0</v>
      </c>
      <c r="AR580">
        <v>0</v>
      </c>
      <c r="AS580">
        <v>0</v>
      </c>
      <c r="AT580">
        <v>0</v>
      </c>
      <c r="AU580">
        <v>0</v>
      </c>
      <c r="AV580">
        <v>0</v>
      </c>
      <c r="AW580">
        <v>0</v>
      </c>
      <c r="AX580">
        <v>8</v>
      </c>
      <c r="AY580">
        <v>0</v>
      </c>
    </row>
    <row r="581" spans="1:51" x14ac:dyDescent="0.25">
      <c r="A581">
        <v>169</v>
      </c>
      <c r="B581">
        <v>10890</v>
      </c>
      <c r="C581" t="s">
        <v>735</v>
      </c>
      <c r="D581" t="s">
        <v>96</v>
      </c>
      <c r="E581" t="s">
        <v>100</v>
      </c>
      <c r="F581" t="s">
        <v>107</v>
      </c>
      <c r="G581" t="s">
        <v>77</v>
      </c>
      <c r="H581" t="s">
        <v>78</v>
      </c>
      <c r="I581" t="s">
        <v>79</v>
      </c>
      <c r="J581" t="s">
        <v>152</v>
      </c>
      <c r="K581" t="s">
        <v>75</v>
      </c>
      <c r="L581" t="s">
        <v>76</v>
      </c>
      <c r="M581" t="s">
        <v>149</v>
      </c>
      <c r="N581" t="s">
        <v>74</v>
      </c>
      <c r="O581" t="s">
        <v>187</v>
      </c>
      <c r="P581" t="s">
        <v>71</v>
      </c>
      <c r="Q581" t="s">
        <v>71</v>
      </c>
      <c r="R581" t="s">
        <v>110</v>
      </c>
      <c r="S581">
        <v>1</v>
      </c>
      <c r="T581">
        <v>1</v>
      </c>
      <c r="U581" t="s">
        <v>72</v>
      </c>
      <c r="V581" t="s">
        <v>188</v>
      </c>
      <c r="W581">
        <v>0</v>
      </c>
      <c r="X581">
        <v>1</v>
      </c>
      <c r="Y581">
        <v>0</v>
      </c>
      <c r="Z581">
        <v>0</v>
      </c>
      <c r="AA581">
        <v>0</v>
      </c>
      <c r="AB581">
        <v>0</v>
      </c>
      <c r="AC581">
        <v>0</v>
      </c>
      <c r="AD581">
        <v>0</v>
      </c>
      <c r="AE581">
        <v>0</v>
      </c>
      <c r="AF581">
        <v>0</v>
      </c>
      <c r="AG581" t="s">
        <v>71</v>
      </c>
      <c r="AH581">
        <v>0</v>
      </c>
      <c r="AI581">
        <v>0</v>
      </c>
      <c r="AJ581">
        <v>0</v>
      </c>
      <c r="AK581">
        <v>0</v>
      </c>
      <c r="AL581" t="s">
        <v>342</v>
      </c>
      <c r="AM581" t="s">
        <v>254</v>
      </c>
      <c r="AN581" t="s">
        <v>94</v>
      </c>
      <c r="AO581" t="s">
        <v>147</v>
      </c>
      <c r="AP581">
        <v>34848</v>
      </c>
      <c r="AQ581">
        <v>0</v>
      </c>
      <c r="AR581">
        <v>0</v>
      </c>
      <c r="AS581">
        <v>0</v>
      </c>
      <c r="AT581">
        <v>0</v>
      </c>
      <c r="AU581">
        <v>0</v>
      </c>
      <c r="AV581">
        <v>0</v>
      </c>
      <c r="AW581">
        <v>0</v>
      </c>
      <c r="AX581">
        <v>8</v>
      </c>
      <c r="AY581">
        <v>0</v>
      </c>
    </row>
    <row r="582" spans="1:51" x14ac:dyDescent="0.25">
      <c r="A582">
        <v>169</v>
      </c>
      <c r="B582">
        <v>10900</v>
      </c>
      <c r="C582" t="s">
        <v>735</v>
      </c>
      <c r="D582" t="s">
        <v>96</v>
      </c>
      <c r="E582" t="s">
        <v>100</v>
      </c>
      <c r="F582" t="s">
        <v>107</v>
      </c>
      <c r="G582" t="s">
        <v>77</v>
      </c>
      <c r="H582" t="s">
        <v>78</v>
      </c>
      <c r="I582" t="s">
        <v>79</v>
      </c>
      <c r="J582" t="s">
        <v>152</v>
      </c>
      <c r="K582" t="s">
        <v>75</v>
      </c>
      <c r="L582" t="s">
        <v>76</v>
      </c>
      <c r="M582" t="s">
        <v>149</v>
      </c>
      <c r="N582" t="s">
        <v>74</v>
      </c>
      <c r="O582" t="s">
        <v>187</v>
      </c>
      <c r="P582" t="s">
        <v>71</v>
      </c>
      <c r="Q582" t="s">
        <v>71</v>
      </c>
      <c r="R582" t="s">
        <v>71</v>
      </c>
      <c r="S582">
        <v>1</v>
      </c>
      <c r="T582">
        <v>1</v>
      </c>
      <c r="U582" t="s">
        <v>72</v>
      </c>
      <c r="V582" t="s">
        <v>188</v>
      </c>
      <c r="W582">
        <v>0</v>
      </c>
      <c r="X582">
        <v>1</v>
      </c>
      <c r="Y582">
        <v>0</v>
      </c>
      <c r="Z582">
        <v>0</v>
      </c>
      <c r="AA582">
        <v>0</v>
      </c>
      <c r="AB582">
        <v>0</v>
      </c>
      <c r="AC582">
        <v>0</v>
      </c>
      <c r="AD582">
        <v>0</v>
      </c>
      <c r="AE582">
        <v>0</v>
      </c>
      <c r="AF582">
        <v>0</v>
      </c>
      <c r="AG582" t="s">
        <v>71</v>
      </c>
      <c r="AH582">
        <v>0</v>
      </c>
      <c r="AI582">
        <v>0</v>
      </c>
      <c r="AJ582">
        <v>0</v>
      </c>
      <c r="AK582">
        <v>0</v>
      </c>
      <c r="AL582" t="s">
        <v>342</v>
      </c>
      <c r="AM582" t="s">
        <v>254</v>
      </c>
      <c r="AN582" t="s">
        <v>94</v>
      </c>
      <c r="AO582" t="s">
        <v>147</v>
      </c>
      <c r="AP582">
        <v>34848</v>
      </c>
      <c r="AQ582">
        <v>0</v>
      </c>
      <c r="AR582">
        <v>0</v>
      </c>
      <c r="AS582">
        <v>0</v>
      </c>
      <c r="AT582">
        <v>0</v>
      </c>
      <c r="AU582">
        <v>0</v>
      </c>
      <c r="AV582">
        <v>0</v>
      </c>
      <c r="AW582">
        <v>0</v>
      </c>
      <c r="AX582">
        <v>8</v>
      </c>
      <c r="AY582">
        <v>0</v>
      </c>
    </row>
    <row r="583" spans="1:51" x14ac:dyDescent="0.25">
      <c r="A583">
        <v>169</v>
      </c>
      <c r="B583">
        <v>10910</v>
      </c>
      <c r="C583" t="s">
        <v>735</v>
      </c>
      <c r="D583" t="s">
        <v>96</v>
      </c>
      <c r="E583" t="s">
        <v>100</v>
      </c>
      <c r="F583" t="s">
        <v>107</v>
      </c>
      <c r="G583" t="s">
        <v>77</v>
      </c>
      <c r="H583" t="s">
        <v>78</v>
      </c>
      <c r="I583" t="s">
        <v>79</v>
      </c>
      <c r="J583" t="s">
        <v>152</v>
      </c>
      <c r="K583" t="s">
        <v>75</v>
      </c>
      <c r="L583" t="s">
        <v>76</v>
      </c>
      <c r="M583" t="s">
        <v>149</v>
      </c>
      <c r="N583" t="s">
        <v>74</v>
      </c>
      <c r="O583" t="s">
        <v>187</v>
      </c>
      <c r="P583" t="s">
        <v>71</v>
      </c>
      <c r="Q583" t="s">
        <v>71</v>
      </c>
      <c r="R583" t="s">
        <v>71</v>
      </c>
      <c r="S583">
        <v>1</v>
      </c>
      <c r="T583">
        <v>1</v>
      </c>
      <c r="U583" t="s">
        <v>72</v>
      </c>
      <c r="V583" t="s">
        <v>188</v>
      </c>
      <c r="W583">
        <v>0</v>
      </c>
      <c r="X583">
        <v>1</v>
      </c>
      <c r="Y583">
        <v>0</v>
      </c>
      <c r="Z583">
        <v>0</v>
      </c>
      <c r="AA583">
        <v>0</v>
      </c>
      <c r="AB583">
        <v>0</v>
      </c>
      <c r="AC583">
        <v>0</v>
      </c>
      <c r="AD583">
        <v>0</v>
      </c>
      <c r="AE583">
        <v>0</v>
      </c>
      <c r="AF583">
        <v>0</v>
      </c>
      <c r="AG583" t="s">
        <v>71</v>
      </c>
      <c r="AH583">
        <v>0</v>
      </c>
      <c r="AI583">
        <v>0</v>
      </c>
      <c r="AJ583">
        <v>0</v>
      </c>
      <c r="AK583">
        <v>0</v>
      </c>
      <c r="AL583" t="s">
        <v>342</v>
      </c>
      <c r="AM583" t="s">
        <v>254</v>
      </c>
      <c r="AN583" t="s">
        <v>94</v>
      </c>
      <c r="AO583" t="s">
        <v>147</v>
      </c>
      <c r="AP583">
        <v>34848</v>
      </c>
      <c r="AQ583">
        <v>0</v>
      </c>
      <c r="AR583">
        <v>0</v>
      </c>
      <c r="AS583">
        <v>0</v>
      </c>
      <c r="AT583">
        <v>0</v>
      </c>
      <c r="AU583">
        <v>0</v>
      </c>
      <c r="AV583">
        <v>0</v>
      </c>
      <c r="AW583">
        <v>0</v>
      </c>
      <c r="AX583">
        <v>8</v>
      </c>
      <c r="AY583">
        <v>0</v>
      </c>
    </row>
    <row r="584" spans="1:51" x14ac:dyDescent="0.25">
      <c r="A584">
        <v>169</v>
      </c>
      <c r="B584">
        <v>13880</v>
      </c>
      <c r="C584" t="s">
        <v>735</v>
      </c>
      <c r="D584" t="s">
        <v>96</v>
      </c>
      <c r="E584" t="s">
        <v>100</v>
      </c>
      <c r="F584" t="s">
        <v>107</v>
      </c>
      <c r="G584" t="s">
        <v>77</v>
      </c>
      <c r="H584" t="s">
        <v>78</v>
      </c>
      <c r="I584" t="s">
        <v>79</v>
      </c>
      <c r="J584" t="s">
        <v>152</v>
      </c>
      <c r="K584" t="s">
        <v>75</v>
      </c>
      <c r="L584" t="s">
        <v>76</v>
      </c>
      <c r="M584" t="s">
        <v>149</v>
      </c>
      <c r="N584" t="s">
        <v>74</v>
      </c>
      <c r="O584" t="s">
        <v>187</v>
      </c>
      <c r="P584" t="s">
        <v>71</v>
      </c>
      <c r="Q584" t="s">
        <v>71</v>
      </c>
      <c r="R584" t="s">
        <v>71</v>
      </c>
      <c r="S584">
        <v>1</v>
      </c>
      <c r="T584">
        <v>1</v>
      </c>
      <c r="U584" t="s">
        <v>72</v>
      </c>
      <c r="V584" t="s">
        <v>188</v>
      </c>
      <c r="W584">
        <v>0</v>
      </c>
      <c r="X584">
        <v>1</v>
      </c>
      <c r="Y584">
        <v>0</v>
      </c>
      <c r="Z584">
        <v>0</v>
      </c>
      <c r="AA584">
        <v>0</v>
      </c>
      <c r="AB584">
        <v>0</v>
      </c>
      <c r="AC584">
        <v>0</v>
      </c>
      <c r="AD584">
        <v>0</v>
      </c>
      <c r="AE584">
        <v>0</v>
      </c>
      <c r="AF584">
        <v>0</v>
      </c>
      <c r="AG584" t="s">
        <v>71</v>
      </c>
      <c r="AH584">
        <v>0</v>
      </c>
      <c r="AI584">
        <v>0</v>
      </c>
      <c r="AJ584">
        <v>0</v>
      </c>
      <c r="AK584">
        <v>0</v>
      </c>
      <c r="AL584" t="s">
        <v>342</v>
      </c>
      <c r="AM584" t="s">
        <v>254</v>
      </c>
      <c r="AN584" t="s">
        <v>94</v>
      </c>
      <c r="AO584" t="s">
        <v>147</v>
      </c>
      <c r="AP584">
        <v>34848</v>
      </c>
      <c r="AQ584">
        <v>0</v>
      </c>
      <c r="AR584">
        <v>0</v>
      </c>
      <c r="AS584">
        <v>0</v>
      </c>
      <c r="AT584">
        <v>0</v>
      </c>
      <c r="AU584">
        <v>0</v>
      </c>
      <c r="AV584">
        <v>0</v>
      </c>
      <c r="AW584">
        <v>0</v>
      </c>
      <c r="AX584">
        <v>8</v>
      </c>
      <c r="AY584">
        <v>0</v>
      </c>
    </row>
    <row r="585" spans="1:51" x14ac:dyDescent="0.25">
      <c r="A585">
        <v>169</v>
      </c>
      <c r="B585">
        <v>13890</v>
      </c>
      <c r="C585" t="s">
        <v>735</v>
      </c>
      <c r="D585" t="s">
        <v>96</v>
      </c>
      <c r="E585" t="s">
        <v>100</v>
      </c>
      <c r="F585" t="s">
        <v>107</v>
      </c>
      <c r="G585" t="s">
        <v>77</v>
      </c>
      <c r="H585" t="s">
        <v>78</v>
      </c>
      <c r="I585" t="s">
        <v>79</v>
      </c>
      <c r="J585" t="s">
        <v>152</v>
      </c>
      <c r="K585" t="s">
        <v>75</v>
      </c>
      <c r="L585" t="s">
        <v>76</v>
      </c>
      <c r="M585" t="s">
        <v>149</v>
      </c>
      <c r="N585" t="s">
        <v>74</v>
      </c>
      <c r="O585" t="s">
        <v>187</v>
      </c>
      <c r="P585" t="s">
        <v>71</v>
      </c>
      <c r="Q585" t="s">
        <v>71</v>
      </c>
      <c r="R585" t="s">
        <v>71</v>
      </c>
      <c r="S585">
        <v>1</v>
      </c>
      <c r="T585">
        <v>1</v>
      </c>
      <c r="U585" t="s">
        <v>72</v>
      </c>
      <c r="V585" t="s">
        <v>188</v>
      </c>
      <c r="W585">
        <v>0</v>
      </c>
      <c r="X585">
        <v>1</v>
      </c>
      <c r="Y585">
        <v>0</v>
      </c>
      <c r="Z585">
        <v>0</v>
      </c>
      <c r="AA585">
        <v>0</v>
      </c>
      <c r="AB585">
        <v>0</v>
      </c>
      <c r="AC585">
        <v>0</v>
      </c>
      <c r="AD585">
        <v>0</v>
      </c>
      <c r="AE585">
        <v>0</v>
      </c>
      <c r="AF585">
        <v>0</v>
      </c>
      <c r="AG585" t="s">
        <v>71</v>
      </c>
      <c r="AH585">
        <v>0</v>
      </c>
      <c r="AI585">
        <v>0</v>
      </c>
      <c r="AJ585">
        <v>0</v>
      </c>
      <c r="AK585">
        <v>0</v>
      </c>
      <c r="AL585" t="s">
        <v>342</v>
      </c>
      <c r="AM585" t="s">
        <v>254</v>
      </c>
      <c r="AN585" t="s">
        <v>94</v>
      </c>
      <c r="AO585" t="s">
        <v>147</v>
      </c>
      <c r="AP585">
        <v>34848</v>
      </c>
      <c r="AQ585">
        <v>0</v>
      </c>
      <c r="AR585">
        <v>0</v>
      </c>
      <c r="AS585">
        <v>0</v>
      </c>
      <c r="AT585">
        <v>0</v>
      </c>
      <c r="AU585">
        <v>0</v>
      </c>
      <c r="AV585">
        <v>0</v>
      </c>
      <c r="AW585">
        <v>0</v>
      </c>
      <c r="AX585">
        <v>0</v>
      </c>
      <c r="AY585">
        <v>0</v>
      </c>
    </row>
    <row r="586" spans="1:51" x14ac:dyDescent="0.25">
      <c r="A586">
        <v>169</v>
      </c>
      <c r="B586">
        <v>13900</v>
      </c>
      <c r="C586" t="s">
        <v>735</v>
      </c>
      <c r="D586" t="s">
        <v>96</v>
      </c>
      <c r="E586" t="s">
        <v>100</v>
      </c>
      <c r="F586" t="s">
        <v>107</v>
      </c>
      <c r="G586" t="s">
        <v>77</v>
      </c>
      <c r="H586" t="s">
        <v>78</v>
      </c>
      <c r="I586" t="s">
        <v>79</v>
      </c>
      <c r="J586" t="s">
        <v>152</v>
      </c>
      <c r="K586" t="s">
        <v>75</v>
      </c>
      <c r="L586" t="s">
        <v>76</v>
      </c>
      <c r="M586" t="s">
        <v>149</v>
      </c>
      <c r="N586" t="s">
        <v>74</v>
      </c>
      <c r="O586" t="s">
        <v>187</v>
      </c>
      <c r="P586" t="s">
        <v>71</v>
      </c>
      <c r="Q586" t="s">
        <v>71</v>
      </c>
      <c r="R586" t="s">
        <v>71</v>
      </c>
      <c r="S586">
        <v>1</v>
      </c>
      <c r="T586">
        <v>1</v>
      </c>
      <c r="U586" t="s">
        <v>72</v>
      </c>
      <c r="V586" t="s">
        <v>188</v>
      </c>
      <c r="W586">
        <v>0</v>
      </c>
      <c r="X586">
        <v>1</v>
      </c>
      <c r="Y586">
        <v>0</v>
      </c>
      <c r="Z586">
        <v>0</v>
      </c>
      <c r="AA586">
        <v>0</v>
      </c>
      <c r="AB586">
        <v>0</v>
      </c>
      <c r="AC586">
        <v>0</v>
      </c>
      <c r="AD586">
        <v>0</v>
      </c>
      <c r="AE586">
        <v>0</v>
      </c>
      <c r="AF586">
        <v>0</v>
      </c>
      <c r="AG586" t="s">
        <v>71</v>
      </c>
      <c r="AH586">
        <v>0</v>
      </c>
      <c r="AI586">
        <v>0</v>
      </c>
      <c r="AJ586">
        <v>0</v>
      </c>
      <c r="AK586">
        <v>0</v>
      </c>
      <c r="AL586" t="s">
        <v>342</v>
      </c>
      <c r="AM586" t="s">
        <v>254</v>
      </c>
      <c r="AN586" t="s">
        <v>94</v>
      </c>
      <c r="AO586" t="s">
        <v>147</v>
      </c>
      <c r="AP586">
        <v>34848</v>
      </c>
      <c r="AQ586">
        <v>0</v>
      </c>
      <c r="AR586">
        <v>0</v>
      </c>
      <c r="AS586">
        <v>0</v>
      </c>
      <c r="AT586">
        <v>0</v>
      </c>
      <c r="AU586">
        <v>0</v>
      </c>
      <c r="AV586">
        <v>0</v>
      </c>
      <c r="AW586">
        <v>0</v>
      </c>
      <c r="AX586">
        <v>0</v>
      </c>
      <c r="AY586">
        <v>0</v>
      </c>
    </row>
    <row r="587" spans="1:51" x14ac:dyDescent="0.25">
      <c r="A587">
        <v>170</v>
      </c>
      <c r="B587">
        <v>13910</v>
      </c>
      <c r="C587" t="s">
        <v>735</v>
      </c>
      <c r="D587" t="s">
        <v>96</v>
      </c>
      <c r="E587" t="s">
        <v>100</v>
      </c>
      <c r="F587" t="s">
        <v>107</v>
      </c>
      <c r="G587" t="s">
        <v>77</v>
      </c>
      <c r="H587" t="s">
        <v>78</v>
      </c>
      <c r="I587" t="s">
        <v>79</v>
      </c>
      <c r="J587" t="s">
        <v>152</v>
      </c>
      <c r="K587" t="s">
        <v>75</v>
      </c>
      <c r="L587" t="s">
        <v>76</v>
      </c>
      <c r="M587" t="s">
        <v>149</v>
      </c>
      <c r="N587" t="s">
        <v>74</v>
      </c>
      <c r="O587" t="s">
        <v>187</v>
      </c>
      <c r="P587" t="s">
        <v>71</v>
      </c>
      <c r="Q587" t="s">
        <v>71</v>
      </c>
      <c r="R587" t="s">
        <v>110</v>
      </c>
      <c r="S587">
        <v>1</v>
      </c>
      <c r="T587">
        <v>1</v>
      </c>
      <c r="U587" t="s">
        <v>72</v>
      </c>
      <c r="V587" t="s">
        <v>188</v>
      </c>
      <c r="W587">
        <v>0</v>
      </c>
      <c r="X587">
        <v>1</v>
      </c>
      <c r="Y587">
        <v>0</v>
      </c>
      <c r="Z587">
        <v>0</v>
      </c>
      <c r="AA587">
        <v>0</v>
      </c>
      <c r="AB587">
        <v>0</v>
      </c>
      <c r="AC587">
        <v>0</v>
      </c>
      <c r="AD587">
        <v>0</v>
      </c>
      <c r="AE587">
        <v>0</v>
      </c>
      <c r="AF587">
        <v>0</v>
      </c>
      <c r="AG587" t="s">
        <v>71</v>
      </c>
      <c r="AH587">
        <v>0</v>
      </c>
      <c r="AI587">
        <v>0</v>
      </c>
      <c r="AJ587">
        <v>0</v>
      </c>
      <c r="AK587">
        <v>0</v>
      </c>
      <c r="AL587" t="s">
        <v>342</v>
      </c>
      <c r="AM587" t="s">
        <v>254</v>
      </c>
      <c r="AN587" t="s">
        <v>94</v>
      </c>
      <c r="AO587" t="s">
        <v>147</v>
      </c>
      <c r="AP587">
        <v>34848</v>
      </c>
      <c r="AQ587">
        <v>0</v>
      </c>
      <c r="AR587">
        <v>0</v>
      </c>
      <c r="AS587">
        <v>0</v>
      </c>
      <c r="AT587">
        <v>0</v>
      </c>
      <c r="AU587">
        <v>0</v>
      </c>
      <c r="AV587">
        <v>0</v>
      </c>
      <c r="AW587">
        <v>0</v>
      </c>
      <c r="AX587">
        <v>8</v>
      </c>
      <c r="AY587">
        <v>0</v>
      </c>
    </row>
    <row r="588" spans="1:51" x14ac:dyDescent="0.25">
      <c r="A588">
        <v>170</v>
      </c>
      <c r="B588">
        <v>13920</v>
      </c>
      <c r="C588" t="s">
        <v>735</v>
      </c>
      <c r="D588" t="s">
        <v>96</v>
      </c>
      <c r="E588" t="s">
        <v>100</v>
      </c>
      <c r="F588" t="s">
        <v>107</v>
      </c>
      <c r="G588" t="s">
        <v>77</v>
      </c>
      <c r="H588" t="s">
        <v>78</v>
      </c>
      <c r="I588" t="s">
        <v>79</v>
      </c>
      <c r="J588" t="s">
        <v>152</v>
      </c>
      <c r="K588" t="s">
        <v>75</v>
      </c>
      <c r="L588" t="s">
        <v>76</v>
      </c>
      <c r="M588" t="s">
        <v>149</v>
      </c>
      <c r="N588" t="s">
        <v>74</v>
      </c>
      <c r="O588" t="s">
        <v>187</v>
      </c>
      <c r="P588" t="s">
        <v>71</v>
      </c>
      <c r="Q588" t="s">
        <v>71</v>
      </c>
      <c r="R588" t="s">
        <v>110</v>
      </c>
      <c r="S588">
        <v>1</v>
      </c>
      <c r="T588">
        <v>1</v>
      </c>
      <c r="U588" t="s">
        <v>72</v>
      </c>
      <c r="V588" t="s">
        <v>188</v>
      </c>
      <c r="W588">
        <v>0</v>
      </c>
      <c r="X588">
        <v>1</v>
      </c>
      <c r="Y588">
        <v>0</v>
      </c>
      <c r="Z588">
        <v>0</v>
      </c>
      <c r="AA588">
        <v>0</v>
      </c>
      <c r="AB588">
        <v>0</v>
      </c>
      <c r="AC588">
        <v>0</v>
      </c>
      <c r="AD588">
        <v>0</v>
      </c>
      <c r="AE588">
        <v>0</v>
      </c>
      <c r="AF588">
        <v>0</v>
      </c>
      <c r="AG588" t="s">
        <v>71</v>
      </c>
      <c r="AH588">
        <v>0</v>
      </c>
      <c r="AI588">
        <v>0</v>
      </c>
      <c r="AJ588">
        <v>0</v>
      </c>
      <c r="AK588">
        <v>0</v>
      </c>
      <c r="AL588" t="s">
        <v>342</v>
      </c>
      <c r="AM588" t="s">
        <v>254</v>
      </c>
      <c r="AN588" t="s">
        <v>94</v>
      </c>
      <c r="AO588" t="s">
        <v>147</v>
      </c>
      <c r="AP588">
        <v>34848</v>
      </c>
      <c r="AQ588">
        <v>0</v>
      </c>
      <c r="AR588">
        <v>0</v>
      </c>
      <c r="AS588">
        <v>0</v>
      </c>
      <c r="AT588">
        <v>0</v>
      </c>
      <c r="AU588">
        <v>0</v>
      </c>
      <c r="AV588">
        <v>0</v>
      </c>
      <c r="AW588">
        <v>0</v>
      </c>
      <c r="AX588">
        <v>8</v>
      </c>
      <c r="AY588">
        <v>0</v>
      </c>
    </row>
    <row r="589" spans="1:51" x14ac:dyDescent="0.25">
      <c r="A589">
        <v>170</v>
      </c>
      <c r="B589">
        <v>13930</v>
      </c>
      <c r="C589" t="s">
        <v>735</v>
      </c>
      <c r="D589" t="s">
        <v>96</v>
      </c>
      <c r="E589" t="s">
        <v>100</v>
      </c>
      <c r="F589" t="s">
        <v>107</v>
      </c>
      <c r="G589" t="s">
        <v>77</v>
      </c>
      <c r="H589" t="s">
        <v>78</v>
      </c>
      <c r="I589" t="s">
        <v>79</v>
      </c>
      <c r="J589" t="s">
        <v>152</v>
      </c>
      <c r="K589" t="s">
        <v>75</v>
      </c>
      <c r="L589" t="s">
        <v>76</v>
      </c>
      <c r="M589" t="s">
        <v>149</v>
      </c>
      <c r="N589" t="s">
        <v>74</v>
      </c>
      <c r="O589" t="s">
        <v>187</v>
      </c>
      <c r="P589" t="s">
        <v>71</v>
      </c>
      <c r="Q589" t="s">
        <v>71</v>
      </c>
      <c r="R589" t="s">
        <v>110</v>
      </c>
      <c r="S589">
        <v>1</v>
      </c>
      <c r="T589">
        <v>1</v>
      </c>
      <c r="U589" t="s">
        <v>72</v>
      </c>
      <c r="V589" t="s">
        <v>188</v>
      </c>
      <c r="W589">
        <v>0</v>
      </c>
      <c r="X589">
        <v>1</v>
      </c>
      <c r="Y589">
        <v>0</v>
      </c>
      <c r="Z589">
        <v>0</v>
      </c>
      <c r="AA589">
        <v>0</v>
      </c>
      <c r="AB589">
        <v>0</v>
      </c>
      <c r="AC589">
        <v>0</v>
      </c>
      <c r="AD589">
        <v>0</v>
      </c>
      <c r="AE589">
        <v>0</v>
      </c>
      <c r="AF589">
        <v>0</v>
      </c>
      <c r="AG589" t="s">
        <v>71</v>
      </c>
      <c r="AH589">
        <v>0</v>
      </c>
      <c r="AI589">
        <v>0</v>
      </c>
      <c r="AJ589">
        <v>0</v>
      </c>
      <c r="AK589">
        <v>0</v>
      </c>
      <c r="AL589" t="s">
        <v>342</v>
      </c>
      <c r="AM589" t="s">
        <v>254</v>
      </c>
      <c r="AN589" t="s">
        <v>94</v>
      </c>
      <c r="AO589" t="s">
        <v>147</v>
      </c>
      <c r="AP589">
        <v>34848</v>
      </c>
      <c r="AQ589">
        <v>0</v>
      </c>
      <c r="AR589">
        <v>0</v>
      </c>
      <c r="AS589">
        <v>0</v>
      </c>
      <c r="AT589">
        <v>0</v>
      </c>
      <c r="AU589">
        <v>0</v>
      </c>
      <c r="AV589">
        <v>0</v>
      </c>
      <c r="AW589">
        <v>0</v>
      </c>
      <c r="AX589">
        <v>8</v>
      </c>
      <c r="AY589">
        <v>0</v>
      </c>
    </row>
    <row r="590" spans="1:51" x14ac:dyDescent="0.25">
      <c r="A590">
        <v>170</v>
      </c>
      <c r="B590">
        <v>13940</v>
      </c>
      <c r="C590" t="s">
        <v>735</v>
      </c>
      <c r="D590" t="s">
        <v>96</v>
      </c>
      <c r="E590" t="s">
        <v>100</v>
      </c>
      <c r="F590" t="s">
        <v>107</v>
      </c>
      <c r="G590" t="s">
        <v>77</v>
      </c>
      <c r="H590" t="s">
        <v>78</v>
      </c>
      <c r="I590" t="s">
        <v>79</v>
      </c>
      <c r="J590" t="s">
        <v>152</v>
      </c>
      <c r="K590" t="s">
        <v>75</v>
      </c>
      <c r="L590" t="s">
        <v>76</v>
      </c>
      <c r="M590" t="s">
        <v>149</v>
      </c>
      <c r="N590" t="s">
        <v>74</v>
      </c>
      <c r="O590" t="s">
        <v>187</v>
      </c>
      <c r="P590" t="s">
        <v>71</v>
      </c>
      <c r="Q590" t="s">
        <v>71</v>
      </c>
      <c r="R590" t="s">
        <v>110</v>
      </c>
      <c r="S590">
        <v>1</v>
      </c>
      <c r="T590">
        <v>1</v>
      </c>
      <c r="U590" t="s">
        <v>72</v>
      </c>
      <c r="V590" t="s">
        <v>188</v>
      </c>
      <c r="W590">
        <v>0</v>
      </c>
      <c r="X590">
        <v>1</v>
      </c>
      <c r="Y590">
        <v>0</v>
      </c>
      <c r="Z590">
        <v>0</v>
      </c>
      <c r="AA590">
        <v>0</v>
      </c>
      <c r="AB590">
        <v>0</v>
      </c>
      <c r="AC590">
        <v>0</v>
      </c>
      <c r="AD590">
        <v>0</v>
      </c>
      <c r="AE590">
        <v>0</v>
      </c>
      <c r="AF590">
        <v>0</v>
      </c>
      <c r="AG590" t="s">
        <v>71</v>
      </c>
      <c r="AH590">
        <v>0</v>
      </c>
      <c r="AI590">
        <v>0</v>
      </c>
      <c r="AJ590">
        <v>0</v>
      </c>
      <c r="AK590">
        <v>0</v>
      </c>
      <c r="AL590" t="s">
        <v>342</v>
      </c>
      <c r="AM590" t="s">
        <v>254</v>
      </c>
      <c r="AN590" t="s">
        <v>94</v>
      </c>
      <c r="AO590" t="s">
        <v>147</v>
      </c>
      <c r="AP590">
        <v>34848</v>
      </c>
      <c r="AQ590">
        <v>0</v>
      </c>
      <c r="AR590">
        <v>0</v>
      </c>
      <c r="AS590">
        <v>0</v>
      </c>
      <c r="AT590">
        <v>0</v>
      </c>
      <c r="AU590">
        <v>0</v>
      </c>
      <c r="AV590">
        <v>0</v>
      </c>
      <c r="AW590">
        <v>0</v>
      </c>
      <c r="AX590">
        <v>8</v>
      </c>
      <c r="AY590">
        <v>0</v>
      </c>
    </row>
    <row r="591" spans="1:51" x14ac:dyDescent="0.25">
      <c r="A591">
        <v>170</v>
      </c>
      <c r="B591">
        <v>13950</v>
      </c>
      <c r="C591" t="s">
        <v>735</v>
      </c>
      <c r="D591" t="s">
        <v>96</v>
      </c>
      <c r="E591" t="s">
        <v>100</v>
      </c>
      <c r="F591" t="s">
        <v>107</v>
      </c>
      <c r="G591" t="s">
        <v>77</v>
      </c>
      <c r="H591" t="s">
        <v>78</v>
      </c>
      <c r="I591" t="s">
        <v>79</v>
      </c>
      <c r="J591" t="s">
        <v>152</v>
      </c>
      <c r="K591" t="s">
        <v>75</v>
      </c>
      <c r="L591" t="s">
        <v>76</v>
      </c>
      <c r="M591" t="s">
        <v>149</v>
      </c>
      <c r="N591" t="s">
        <v>74</v>
      </c>
      <c r="O591" t="s">
        <v>187</v>
      </c>
      <c r="P591" t="s">
        <v>71</v>
      </c>
      <c r="Q591" t="s">
        <v>71</v>
      </c>
      <c r="R591" t="s">
        <v>71</v>
      </c>
      <c r="S591">
        <v>1</v>
      </c>
      <c r="T591">
        <v>1</v>
      </c>
      <c r="U591" t="s">
        <v>72</v>
      </c>
      <c r="V591" t="s">
        <v>188</v>
      </c>
      <c r="W591">
        <v>0</v>
      </c>
      <c r="X591">
        <v>1</v>
      </c>
      <c r="Y591">
        <v>0</v>
      </c>
      <c r="Z591">
        <v>0</v>
      </c>
      <c r="AA591">
        <v>0</v>
      </c>
      <c r="AB591">
        <v>0</v>
      </c>
      <c r="AC591">
        <v>0</v>
      </c>
      <c r="AD591">
        <v>0</v>
      </c>
      <c r="AE591">
        <v>0</v>
      </c>
      <c r="AF591">
        <v>0</v>
      </c>
      <c r="AG591" t="s">
        <v>71</v>
      </c>
      <c r="AH591">
        <v>0</v>
      </c>
      <c r="AI591">
        <v>0</v>
      </c>
      <c r="AJ591">
        <v>0</v>
      </c>
      <c r="AK591">
        <v>0</v>
      </c>
      <c r="AL591" t="s">
        <v>342</v>
      </c>
      <c r="AM591" t="s">
        <v>254</v>
      </c>
      <c r="AN591" t="s">
        <v>94</v>
      </c>
      <c r="AO591" t="s">
        <v>147</v>
      </c>
      <c r="AP591">
        <v>34848</v>
      </c>
      <c r="AQ591">
        <v>0</v>
      </c>
      <c r="AR591">
        <v>0</v>
      </c>
      <c r="AS591">
        <v>0</v>
      </c>
      <c r="AT591">
        <v>0</v>
      </c>
      <c r="AU591">
        <v>0</v>
      </c>
      <c r="AV591">
        <v>0</v>
      </c>
      <c r="AW591">
        <v>0</v>
      </c>
      <c r="AX591">
        <v>8</v>
      </c>
      <c r="AY591">
        <v>0</v>
      </c>
    </row>
    <row r="592" spans="1:51" x14ac:dyDescent="0.25">
      <c r="A592">
        <v>170</v>
      </c>
      <c r="B592">
        <v>13960</v>
      </c>
      <c r="C592" t="s">
        <v>735</v>
      </c>
      <c r="D592" t="s">
        <v>96</v>
      </c>
      <c r="E592" t="s">
        <v>100</v>
      </c>
      <c r="F592" t="s">
        <v>107</v>
      </c>
      <c r="G592" t="s">
        <v>77</v>
      </c>
      <c r="H592" t="s">
        <v>78</v>
      </c>
      <c r="I592" t="s">
        <v>79</v>
      </c>
      <c r="J592" t="s">
        <v>152</v>
      </c>
      <c r="K592" t="s">
        <v>75</v>
      </c>
      <c r="L592" t="s">
        <v>76</v>
      </c>
      <c r="M592" t="s">
        <v>149</v>
      </c>
      <c r="N592" t="s">
        <v>74</v>
      </c>
      <c r="O592" t="s">
        <v>187</v>
      </c>
      <c r="P592" t="s">
        <v>71</v>
      </c>
      <c r="Q592" t="s">
        <v>71</v>
      </c>
      <c r="R592" t="s">
        <v>71</v>
      </c>
      <c r="S592">
        <v>1</v>
      </c>
      <c r="T592">
        <v>1</v>
      </c>
      <c r="U592" t="s">
        <v>72</v>
      </c>
      <c r="V592" t="s">
        <v>188</v>
      </c>
      <c r="W592">
        <v>0</v>
      </c>
      <c r="X592">
        <v>1</v>
      </c>
      <c r="Y592">
        <v>0</v>
      </c>
      <c r="Z592">
        <v>0</v>
      </c>
      <c r="AA592">
        <v>0</v>
      </c>
      <c r="AB592">
        <v>0</v>
      </c>
      <c r="AC592">
        <v>0</v>
      </c>
      <c r="AD592">
        <v>0</v>
      </c>
      <c r="AE592">
        <v>0</v>
      </c>
      <c r="AF592">
        <v>0</v>
      </c>
      <c r="AG592" t="s">
        <v>71</v>
      </c>
      <c r="AH592">
        <v>0</v>
      </c>
      <c r="AI592">
        <v>0</v>
      </c>
      <c r="AJ592">
        <v>0</v>
      </c>
      <c r="AK592">
        <v>0</v>
      </c>
      <c r="AL592" t="s">
        <v>342</v>
      </c>
      <c r="AM592" t="s">
        <v>254</v>
      </c>
      <c r="AN592" t="s">
        <v>94</v>
      </c>
      <c r="AO592" t="s">
        <v>147</v>
      </c>
      <c r="AP592">
        <v>34848</v>
      </c>
      <c r="AQ592">
        <v>0</v>
      </c>
      <c r="AR592">
        <v>0</v>
      </c>
      <c r="AS592">
        <v>0</v>
      </c>
      <c r="AT592">
        <v>0</v>
      </c>
      <c r="AU592">
        <v>0</v>
      </c>
      <c r="AV592">
        <v>0</v>
      </c>
      <c r="AW592">
        <v>0</v>
      </c>
      <c r="AX592">
        <v>8</v>
      </c>
      <c r="AY592">
        <v>0</v>
      </c>
    </row>
    <row r="593" spans="1:51" x14ac:dyDescent="0.25">
      <c r="A593">
        <v>170</v>
      </c>
      <c r="B593">
        <v>16920</v>
      </c>
      <c r="C593" t="s">
        <v>735</v>
      </c>
      <c r="D593" t="s">
        <v>96</v>
      </c>
      <c r="E593" t="s">
        <v>100</v>
      </c>
      <c r="F593" t="s">
        <v>107</v>
      </c>
      <c r="G593" t="s">
        <v>77</v>
      </c>
      <c r="H593" t="s">
        <v>78</v>
      </c>
      <c r="I593" t="s">
        <v>79</v>
      </c>
      <c r="J593" t="s">
        <v>152</v>
      </c>
      <c r="K593" t="s">
        <v>75</v>
      </c>
      <c r="L593" t="s">
        <v>76</v>
      </c>
      <c r="M593" t="s">
        <v>149</v>
      </c>
      <c r="N593" t="s">
        <v>74</v>
      </c>
      <c r="O593" t="s">
        <v>187</v>
      </c>
      <c r="P593" t="s">
        <v>71</v>
      </c>
      <c r="Q593" t="s">
        <v>71</v>
      </c>
      <c r="R593" t="s">
        <v>71</v>
      </c>
      <c r="S593">
        <v>1</v>
      </c>
      <c r="T593">
        <v>1</v>
      </c>
      <c r="U593" t="s">
        <v>72</v>
      </c>
      <c r="V593" t="s">
        <v>188</v>
      </c>
      <c r="W593">
        <v>0</v>
      </c>
      <c r="X593">
        <v>1</v>
      </c>
      <c r="Y593">
        <v>0</v>
      </c>
      <c r="Z593">
        <v>0</v>
      </c>
      <c r="AA593">
        <v>0</v>
      </c>
      <c r="AB593">
        <v>0</v>
      </c>
      <c r="AC593">
        <v>0</v>
      </c>
      <c r="AD593">
        <v>0</v>
      </c>
      <c r="AE593">
        <v>0</v>
      </c>
      <c r="AF593">
        <v>0</v>
      </c>
      <c r="AG593" t="s">
        <v>71</v>
      </c>
      <c r="AH593">
        <v>0</v>
      </c>
      <c r="AI593">
        <v>0</v>
      </c>
      <c r="AJ593">
        <v>0</v>
      </c>
      <c r="AK593">
        <v>0</v>
      </c>
      <c r="AL593" t="s">
        <v>342</v>
      </c>
      <c r="AM593" t="s">
        <v>254</v>
      </c>
      <c r="AN593" t="s">
        <v>94</v>
      </c>
      <c r="AO593" t="s">
        <v>147</v>
      </c>
      <c r="AP593">
        <v>34848</v>
      </c>
      <c r="AQ593">
        <v>0</v>
      </c>
      <c r="AR593">
        <v>0</v>
      </c>
      <c r="AS593">
        <v>0</v>
      </c>
      <c r="AT593">
        <v>0</v>
      </c>
      <c r="AU593">
        <v>0</v>
      </c>
      <c r="AV593">
        <v>0</v>
      </c>
      <c r="AW593">
        <v>0</v>
      </c>
      <c r="AX593">
        <v>8</v>
      </c>
      <c r="AY593">
        <v>0</v>
      </c>
    </row>
    <row r="594" spans="1:51" x14ac:dyDescent="0.25">
      <c r="A594">
        <v>170</v>
      </c>
      <c r="B594">
        <v>16930</v>
      </c>
      <c r="C594" t="s">
        <v>735</v>
      </c>
      <c r="D594" t="s">
        <v>96</v>
      </c>
      <c r="E594" t="s">
        <v>100</v>
      </c>
      <c r="F594" t="s">
        <v>107</v>
      </c>
      <c r="G594" t="s">
        <v>77</v>
      </c>
      <c r="H594" t="s">
        <v>78</v>
      </c>
      <c r="I594" t="s">
        <v>79</v>
      </c>
      <c r="J594" t="s">
        <v>152</v>
      </c>
      <c r="K594" t="s">
        <v>75</v>
      </c>
      <c r="L594" t="s">
        <v>76</v>
      </c>
      <c r="M594" t="s">
        <v>149</v>
      </c>
      <c r="N594" t="s">
        <v>74</v>
      </c>
      <c r="O594" t="s">
        <v>187</v>
      </c>
      <c r="P594" t="s">
        <v>71</v>
      </c>
      <c r="Q594" t="s">
        <v>71</v>
      </c>
      <c r="R594" t="s">
        <v>110</v>
      </c>
      <c r="S594">
        <v>1</v>
      </c>
      <c r="T594">
        <v>1</v>
      </c>
      <c r="U594" t="s">
        <v>72</v>
      </c>
      <c r="V594" t="s">
        <v>188</v>
      </c>
      <c r="W594">
        <v>0</v>
      </c>
      <c r="X594">
        <v>1</v>
      </c>
      <c r="Y594">
        <v>0</v>
      </c>
      <c r="Z594">
        <v>0</v>
      </c>
      <c r="AA594">
        <v>0</v>
      </c>
      <c r="AB594">
        <v>0</v>
      </c>
      <c r="AC594">
        <v>0</v>
      </c>
      <c r="AD594">
        <v>0</v>
      </c>
      <c r="AE594">
        <v>0</v>
      </c>
      <c r="AF594">
        <v>0</v>
      </c>
      <c r="AG594" t="s">
        <v>71</v>
      </c>
      <c r="AH594">
        <v>0</v>
      </c>
      <c r="AI594">
        <v>0</v>
      </c>
      <c r="AJ594">
        <v>0</v>
      </c>
      <c r="AK594">
        <v>0</v>
      </c>
      <c r="AL594" t="s">
        <v>342</v>
      </c>
      <c r="AM594" t="s">
        <v>254</v>
      </c>
      <c r="AN594" t="s">
        <v>94</v>
      </c>
      <c r="AO594" t="s">
        <v>147</v>
      </c>
      <c r="AP594">
        <v>34848</v>
      </c>
      <c r="AQ594">
        <v>0</v>
      </c>
      <c r="AR594">
        <v>0</v>
      </c>
      <c r="AS594">
        <v>0</v>
      </c>
      <c r="AT594">
        <v>0</v>
      </c>
      <c r="AU594">
        <v>0</v>
      </c>
      <c r="AV594">
        <v>0</v>
      </c>
      <c r="AW594">
        <v>0</v>
      </c>
      <c r="AX594">
        <v>8</v>
      </c>
      <c r="AY594">
        <v>0</v>
      </c>
    </row>
    <row r="595" spans="1:51" x14ac:dyDescent="0.25">
      <c r="A595">
        <v>170</v>
      </c>
      <c r="B595">
        <v>16940</v>
      </c>
      <c r="C595" t="s">
        <v>735</v>
      </c>
      <c r="D595" t="s">
        <v>96</v>
      </c>
      <c r="E595" t="s">
        <v>100</v>
      </c>
      <c r="F595" t="s">
        <v>107</v>
      </c>
      <c r="G595" t="s">
        <v>77</v>
      </c>
      <c r="H595" t="s">
        <v>78</v>
      </c>
      <c r="I595" t="s">
        <v>79</v>
      </c>
      <c r="J595" t="s">
        <v>152</v>
      </c>
      <c r="K595" t="s">
        <v>75</v>
      </c>
      <c r="L595" t="s">
        <v>76</v>
      </c>
      <c r="M595" t="s">
        <v>149</v>
      </c>
      <c r="N595" t="s">
        <v>74</v>
      </c>
      <c r="O595" t="s">
        <v>187</v>
      </c>
      <c r="P595" t="s">
        <v>71</v>
      </c>
      <c r="Q595" t="s">
        <v>71</v>
      </c>
      <c r="R595" t="s">
        <v>71</v>
      </c>
      <c r="S595">
        <v>1</v>
      </c>
      <c r="T595">
        <v>1</v>
      </c>
      <c r="U595" t="s">
        <v>72</v>
      </c>
      <c r="V595" t="s">
        <v>188</v>
      </c>
      <c r="W595">
        <v>0</v>
      </c>
      <c r="X595">
        <v>1</v>
      </c>
      <c r="Y595">
        <v>0</v>
      </c>
      <c r="Z595">
        <v>0</v>
      </c>
      <c r="AA595">
        <v>0</v>
      </c>
      <c r="AB595">
        <v>0</v>
      </c>
      <c r="AC595">
        <v>0</v>
      </c>
      <c r="AD595">
        <v>0</v>
      </c>
      <c r="AE595">
        <v>0</v>
      </c>
      <c r="AF595">
        <v>0</v>
      </c>
      <c r="AG595" t="s">
        <v>71</v>
      </c>
      <c r="AH595">
        <v>0</v>
      </c>
      <c r="AI595">
        <v>0</v>
      </c>
      <c r="AJ595">
        <v>0</v>
      </c>
      <c r="AK595">
        <v>0</v>
      </c>
      <c r="AL595" t="s">
        <v>342</v>
      </c>
      <c r="AM595" t="s">
        <v>254</v>
      </c>
      <c r="AN595" t="s">
        <v>94</v>
      </c>
      <c r="AO595" t="s">
        <v>147</v>
      </c>
      <c r="AP595">
        <v>34848</v>
      </c>
      <c r="AQ595">
        <v>0</v>
      </c>
      <c r="AR595">
        <v>0</v>
      </c>
      <c r="AS595">
        <v>0</v>
      </c>
      <c r="AT595">
        <v>0</v>
      </c>
      <c r="AU595">
        <v>0</v>
      </c>
      <c r="AV595">
        <v>0</v>
      </c>
      <c r="AW595">
        <v>0</v>
      </c>
      <c r="AX595">
        <v>8</v>
      </c>
      <c r="AY595">
        <v>0</v>
      </c>
    </row>
    <row r="596" spans="1:51" x14ac:dyDescent="0.25">
      <c r="A596">
        <v>170</v>
      </c>
      <c r="B596">
        <v>16950</v>
      </c>
      <c r="C596" t="s">
        <v>735</v>
      </c>
      <c r="D596" t="s">
        <v>96</v>
      </c>
      <c r="E596" t="s">
        <v>100</v>
      </c>
      <c r="F596" t="s">
        <v>107</v>
      </c>
      <c r="G596" t="s">
        <v>77</v>
      </c>
      <c r="H596" t="s">
        <v>78</v>
      </c>
      <c r="I596" t="s">
        <v>79</v>
      </c>
      <c r="J596" t="s">
        <v>152</v>
      </c>
      <c r="K596" t="s">
        <v>75</v>
      </c>
      <c r="L596" t="s">
        <v>76</v>
      </c>
      <c r="M596" t="s">
        <v>149</v>
      </c>
      <c r="N596" t="s">
        <v>74</v>
      </c>
      <c r="O596" t="s">
        <v>187</v>
      </c>
      <c r="P596" t="s">
        <v>71</v>
      </c>
      <c r="Q596" t="s">
        <v>71</v>
      </c>
      <c r="R596" t="s">
        <v>71</v>
      </c>
      <c r="S596">
        <v>1</v>
      </c>
      <c r="T596">
        <v>1</v>
      </c>
      <c r="U596" t="s">
        <v>72</v>
      </c>
      <c r="V596" t="s">
        <v>188</v>
      </c>
      <c r="W596">
        <v>0</v>
      </c>
      <c r="X596">
        <v>1</v>
      </c>
      <c r="Y596">
        <v>0</v>
      </c>
      <c r="Z596">
        <v>0</v>
      </c>
      <c r="AA596">
        <v>0</v>
      </c>
      <c r="AB596">
        <v>0</v>
      </c>
      <c r="AC596">
        <v>0</v>
      </c>
      <c r="AD596">
        <v>0</v>
      </c>
      <c r="AE596">
        <v>0</v>
      </c>
      <c r="AF596">
        <v>0</v>
      </c>
      <c r="AG596" t="s">
        <v>71</v>
      </c>
      <c r="AH596">
        <v>0</v>
      </c>
      <c r="AI596">
        <v>0</v>
      </c>
      <c r="AJ596">
        <v>0</v>
      </c>
      <c r="AK596">
        <v>0</v>
      </c>
      <c r="AL596" t="s">
        <v>342</v>
      </c>
      <c r="AM596" t="s">
        <v>254</v>
      </c>
      <c r="AN596" t="s">
        <v>94</v>
      </c>
      <c r="AO596" t="s">
        <v>147</v>
      </c>
      <c r="AP596">
        <v>34848</v>
      </c>
      <c r="AQ596">
        <v>0</v>
      </c>
      <c r="AR596">
        <v>0</v>
      </c>
      <c r="AS596">
        <v>0</v>
      </c>
      <c r="AT596">
        <v>0</v>
      </c>
      <c r="AU596">
        <v>0</v>
      </c>
      <c r="AV596">
        <v>0</v>
      </c>
      <c r="AW596">
        <v>0</v>
      </c>
      <c r="AX596">
        <v>8</v>
      </c>
      <c r="AY596">
        <v>0</v>
      </c>
    </row>
    <row r="597" spans="1:51" x14ac:dyDescent="0.25">
      <c r="A597">
        <v>170</v>
      </c>
      <c r="B597">
        <v>19920</v>
      </c>
      <c r="C597" t="s">
        <v>735</v>
      </c>
      <c r="D597" t="s">
        <v>96</v>
      </c>
      <c r="E597" t="s">
        <v>100</v>
      </c>
      <c r="F597" t="s">
        <v>107</v>
      </c>
      <c r="G597" t="s">
        <v>77</v>
      </c>
      <c r="H597" t="s">
        <v>78</v>
      </c>
      <c r="I597" t="s">
        <v>79</v>
      </c>
      <c r="J597" t="s">
        <v>152</v>
      </c>
      <c r="K597" t="s">
        <v>75</v>
      </c>
      <c r="L597" t="s">
        <v>76</v>
      </c>
      <c r="M597" t="s">
        <v>149</v>
      </c>
      <c r="N597" t="s">
        <v>74</v>
      </c>
      <c r="O597" t="s">
        <v>187</v>
      </c>
      <c r="P597" t="s">
        <v>71</v>
      </c>
      <c r="Q597" t="s">
        <v>71</v>
      </c>
      <c r="R597" t="s">
        <v>71</v>
      </c>
      <c r="S597">
        <v>1</v>
      </c>
      <c r="T597">
        <v>1</v>
      </c>
      <c r="U597" t="s">
        <v>72</v>
      </c>
      <c r="V597" t="s">
        <v>188</v>
      </c>
      <c r="W597">
        <v>0</v>
      </c>
      <c r="X597">
        <v>1</v>
      </c>
      <c r="Y597">
        <v>0</v>
      </c>
      <c r="Z597">
        <v>0</v>
      </c>
      <c r="AA597">
        <v>0</v>
      </c>
      <c r="AB597">
        <v>0</v>
      </c>
      <c r="AC597">
        <v>0</v>
      </c>
      <c r="AD597">
        <v>0</v>
      </c>
      <c r="AE597">
        <v>0</v>
      </c>
      <c r="AF597">
        <v>0</v>
      </c>
      <c r="AG597" t="s">
        <v>71</v>
      </c>
      <c r="AH597">
        <v>0</v>
      </c>
      <c r="AI597">
        <v>0</v>
      </c>
      <c r="AJ597">
        <v>0</v>
      </c>
      <c r="AK597">
        <v>0</v>
      </c>
      <c r="AL597" t="s">
        <v>342</v>
      </c>
      <c r="AM597" t="s">
        <v>254</v>
      </c>
      <c r="AN597" t="s">
        <v>94</v>
      </c>
      <c r="AO597" t="s">
        <v>147</v>
      </c>
      <c r="AP597">
        <v>34848</v>
      </c>
      <c r="AQ597">
        <v>0</v>
      </c>
      <c r="AR597">
        <v>0</v>
      </c>
      <c r="AS597">
        <v>0</v>
      </c>
      <c r="AT597">
        <v>0</v>
      </c>
      <c r="AU597">
        <v>0</v>
      </c>
      <c r="AV597">
        <v>0</v>
      </c>
      <c r="AW597">
        <v>0</v>
      </c>
      <c r="AX597">
        <v>8</v>
      </c>
      <c r="AY597">
        <v>0</v>
      </c>
    </row>
    <row r="598" spans="1:51" x14ac:dyDescent="0.25">
      <c r="A598">
        <v>170</v>
      </c>
      <c r="B598">
        <v>19930</v>
      </c>
      <c r="C598" t="s">
        <v>735</v>
      </c>
      <c r="D598" t="s">
        <v>96</v>
      </c>
      <c r="E598" t="s">
        <v>100</v>
      </c>
      <c r="F598" t="s">
        <v>107</v>
      </c>
      <c r="G598" t="s">
        <v>77</v>
      </c>
      <c r="H598" t="s">
        <v>78</v>
      </c>
      <c r="I598" t="s">
        <v>79</v>
      </c>
      <c r="J598" t="s">
        <v>152</v>
      </c>
      <c r="K598" t="s">
        <v>75</v>
      </c>
      <c r="L598" t="s">
        <v>76</v>
      </c>
      <c r="M598" t="s">
        <v>149</v>
      </c>
      <c r="N598" t="s">
        <v>74</v>
      </c>
      <c r="O598" t="s">
        <v>187</v>
      </c>
      <c r="P598" t="s">
        <v>71</v>
      </c>
      <c r="Q598" t="s">
        <v>71</v>
      </c>
      <c r="R598" t="s">
        <v>71</v>
      </c>
      <c r="S598">
        <v>1</v>
      </c>
      <c r="T598">
        <v>1</v>
      </c>
      <c r="U598" t="s">
        <v>72</v>
      </c>
      <c r="V598" t="s">
        <v>188</v>
      </c>
      <c r="W598">
        <v>0</v>
      </c>
      <c r="X598">
        <v>1</v>
      </c>
      <c r="Y598">
        <v>0</v>
      </c>
      <c r="Z598">
        <v>0</v>
      </c>
      <c r="AA598">
        <v>0</v>
      </c>
      <c r="AB598">
        <v>0</v>
      </c>
      <c r="AC598">
        <v>0</v>
      </c>
      <c r="AD598">
        <v>0</v>
      </c>
      <c r="AE598">
        <v>0</v>
      </c>
      <c r="AF598">
        <v>0</v>
      </c>
      <c r="AG598" t="s">
        <v>71</v>
      </c>
      <c r="AH598">
        <v>0</v>
      </c>
      <c r="AI598">
        <v>0</v>
      </c>
      <c r="AJ598">
        <v>0</v>
      </c>
      <c r="AK598">
        <v>0</v>
      </c>
      <c r="AL598" t="s">
        <v>342</v>
      </c>
      <c r="AM598" t="s">
        <v>254</v>
      </c>
      <c r="AN598" t="s">
        <v>94</v>
      </c>
      <c r="AO598" t="s">
        <v>147</v>
      </c>
      <c r="AP598">
        <v>34848</v>
      </c>
      <c r="AQ598">
        <v>0</v>
      </c>
      <c r="AR598">
        <v>0</v>
      </c>
      <c r="AS598">
        <v>0</v>
      </c>
      <c r="AT598">
        <v>0</v>
      </c>
      <c r="AU598">
        <v>0</v>
      </c>
      <c r="AV598">
        <v>0</v>
      </c>
      <c r="AW598">
        <v>0</v>
      </c>
      <c r="AX598">
        <v>0</v>
      </c>
      <c r="AY598">
        <v>0</v>
      </c>
    </row>
    <row r="599" spans="1:51" x14ac:dyDescent="0.25">
      <c r="A599">
        <v>170</v>
      </c>
      <c r="B599">
        <v>19940</v>
      </c>
      <c r="C599" t="s">
        <v>735</v>
      </c>
      <c r="D599" t="s">
        <v>96</v>
      </c>
      <c r="E599" t="s">
        <v>100</v>
      </c>
      <c r="F599" t="s">
        <v>107</v>
      </c>
      <c r="G599" t="s">
        <v>77</v>
      </c>
      <c r="H599" t="s">
        <v>78</v>
      </c>
      <c r="I599" t="s">
        <v>79</v>
      </c>
      <c r="J599" t="s">
        <v>152</v>
      </c>
      <c r="K599" t="s">
        <v>75</v>
      </c>
      <c r="L599" t="s">
        <v>76</v>
      </c>
      <c r="M599" t="s">
        <v>149</v>
      </c>
      <c r="N599" t="s">
        <v>74</v>
      </c>
      <c r="O599" t="s">
        <v>187</v>
      </c>
      <c r="P599" t="s">
        <v>71</v>
      </c>
      <c r="Q599" t="s">
        <v>71</v>
      </c>
      <c r="R599" t="s">
        <v>71</v>
      </c>
      <c r="S599">
        <v>1</v>
      </c>
      <c r="T599">
        <v>1</v>
      </c>
      <c r="U599" t="s">
        <v>72</v>
      </c>
      <c r="V599" t="s">
        <v>188</v>
      </c>
      <c r="W599">
        <v>0</v>
      </c>
      <c r="X599">
        <v>1</v>
      </c>
      <c r="Y599">
        <v>0</v>
      </c>
      <c r="Z599">
        <v>0</v>
      </c>
      <c r="AA599">
        <v>0</v>
      </c>
      <c r="AB599">
        <v>0</v>
      </c>
      <c r="AC599">
        <v>0</v>
      </c>
      <c r="AD599">
        <v>0</v>
      </c>
      <c r="AE599">
        <v>0</v>
      </c>
      <c r="AF599">
        <v>0</v>
      </c>
      <c r="AG599" t="s">
        <v>71</v>
      </c>
      <c r="AH599">
        <v>0</v>
      </c>
      <c r="AI599">
        <v>0</v>
      </c>
      <c r="AJ599">
        <v>0</v>
      </c>
      <c r="AK599">
        <v>0</v>
      </c>
      <c r="AL599" t="s">
        <v>342</v>
      </c>
      <c r="AM599" t="s">
        <v>254</v>
      </c>
      <c r="AN599" t="s">
        <v>94</v>
      </c>
      <c r="AO599" t="s">
        <v>147</v>
      </c>
      <c r="AP599">
        <v>34848</v>
      </c>
      <c r="AQ599">
        <v>0</v>
      </c>
      <c r="AR599">
        <v>0</v>
      </c>
      <c r="AS599">
        <v>0</v>
      </c>
      <c r="AT599">
        <v>0</v>
      </c>
      <c r="AU599">
        <v>0</v>
      </c>
      <c r="AV599">
        <v>0</v>
      </c>
      <c r="AW599">
        <v>0</v>
      </c>
      <c r="AX599">
        <v>0</v>
      </c>
      <c r="AY599">
        <v>0</v>
      </c>
    </row>
    <row r="600" spans="1:51" x14ac:dyDescent="0.25">
      <c r="A600">
        <v>169</v>
      </c>
      <c r="B600">
        <v>19950</v>
      </c>
      <c r="C600" t="s">
        <v>735</v>
      </c>
      <c r="D600" t="s">
        <v>96</v>
      </c>
      <c r="E600" t="s">
        <v>100</v>
      </c>
      <c r="F600" t="s">
        <v>107</v>
      </c>
      <c r="G600" t="s">
        <v>77</v>
      </c>
      <c r="H600" t="s">
        <v>78</v>
      </c>
      <c r="I600" t="s">
        <v>79</v>
      </c>
      <c r="J600" t="s">
        <v>119</v>
      </c>
      <c r="K600" t="s">
        <v>75</v>
      </c>
      <c r="L600" t="s">
        <v>76</v>
      </c>
      <c r="M600" t="s">
        <v>149</v>
      </c>
      <c r="N600" t="s">
        <v>74</v>
      </c>
      <c r="O600" t="s">
        <v>187</v>
      </c>
      <c r="P600" t="s">
        <v>71</v>
      </c>
      <c r="Q600" t="s">
        <v>71</v>
      </c>
      <c r="R600" t="s">
        <v>71</v>
      </c>
      <c r="S600">
        <v>1</v>
      </c>
      <c r="T600">
        <v>1</v>
      </c>
      <c r="U600" t="s">
        <v>72</v>
      </c>
      <c r="V600" t="s">
        <v>188</v>
      </c>
      <c r="W600">
        <v>0</v>
      </c>
      <c r="X600">
        <v>1</v>
      </c>
      <c r="Y600">
        <v>0</v>
      </c>
      <c r="Z600">
        <v>0</v>
      </c>
      <c r="AA600">
        <v>0</v>
      </c>
      <c r="AB600">
        <v>0</v>
      </c>
      <c r="AC600">
        <v>0</v>
      </c>
      <c r="AD600">
        <v>0</v>
      </c>
      <c r="AE600">
        <v>0</v>
      </c>
      <c r="AF600">
        <v>0</v>
      </c>
      <c r="AG600" t="s">
        <v>71</v>
      </c>
      <c r="AH600">
        <v>0</v>
      </c>
      <c r="AI600">
        <v>0</v>
      </c>
      <c r="AJ600">
        <v>0</v>
      </c>
      <c r="AK600">
        <v>0</v>
      </c>
      <c r="AL600" t="s">
        <v>255</v>
      </c>
      <c r="AM600" t="s">
        <v>93</v>
      </c>
      <c r="AN600" t="s">
        <v>94</v>
      </c>
      <c r="AO600" t="s">
        <v>147</v>
      </c>
      <c r="AP600">
        <v>0</v>
      </c>
      <c r="AQ600">
        <v>0</v>
      </c>
      <c r="AR600">
        <v>0</v>
      </c>
      <c r="AS600">
        <v>0</v>
      </c>
      <c r="AT600">
        <v>0</v>
      </c>
      <c r="AU600">
        <v>0</v>
      </c>
      <c r="AV600">
        <v>0</v>
      </c>
      <c r="AW600">
        <v>0</v>
      </c>
      <c r="AX600">
        <v>0</v>
      </c>
      <c r="AY600">
        <v>0</v>
      </c>
    </row>
    <row r="601" spans="1:51" x14ac:dyDescent="0.25">
      <c r="A601">
        <v>170</v>
      </c>
      <c r="B601">
        <v>19960</v>
      </c>
      <c r="C601" t="s">
        <v>735</v>
      </c>
      <c r="D601" t="s">
        <v>96</v>
      </c>
      <c r="E601" t="s">
        <v>100</v>
      </c>
      <c r="F601" t="s">
        <v>107</v>
      </c>
      <c r="G601" t="s">
        <v>77</v>
      </c>
      <c r="H601" t="s">
        <v>78</v>
      </c>
      <c r="I601" t="s">
        <v>79</v>
      </c>
      <c r="J601" t="s">
        <v>152</v>
      </c>
      <c r="K601" t="s">
        <v>75</v>
      </c>
      <c r="L601" t="s">
        <v>76</v>
      </c>
      <c r="M601" t="s">
        <v>149</v>
      </c>
      <c r="N601" t="s">
        <v>74</v>
      </c>
      <c r="O601" t="s">
        <v>187</v>
      </c>
      <c r="P601" t="s">
        <v>71</v>
      </c>
      <c r="Q601" t="s">
        <v>71</v>
      </c>
      <c r="R601" t="s">
        <v>71</v>
      </c>
      <c r="S601">
        <v>1</v>
      </c>
      <c r="T601">
        <v>1</v>
      </c>
      <c r="U601" t="s">
        <v>72</v>
      </c>
      <c r="V601" t="s">
        <v>188</v>
      </c>
      <c r="W601">
        <v>0</v>
      </c>
      <c r="X601">
        <v>1</v>
      </c>
      <c r="Y601">
        <v>0</v>
      </c>
      <c r="Z601">
        <v>0</v>
      </c>
      <c r="AA601">
        <v>0</v>
      </c>
      <c r="AB601">
        <v>0</v>
      </c>
      <c r="AC601">
        <v>0</v>
      </c>
      <c r="AD601">
        <v>0</v>
      </c>
      <c r="AE601">
        <v>0</v>
      </c>
      <c r="AF601">
        <v>0</v>
      </c>
      <c r="AG601" t="s">
        <v>71</v>
      </c>
      <c r="AH601">
        <v>0</v>
      </c>
      <c r="AI601">
        <v>0</v>
      </c>
      <c r="AJ601">
        <v>0</v>
      </c>
      <c r="AK601">
        <v>0</v>
      </c>
      <c r="AL601" t="s">
        <v>146</v>
      </c>
      <c r="AM601" t="s">
        <v>93</v>
      </c>
      <c r="AN601" t="s">
        <v>94</v>
      </c>
      <c r="AO601" t="s">
        <v>147</v>
      </c>
      <c r="AP601">
        <v>0</v>
      </c>
      <c r="AQ601">
        <v>0</v>
      </c>
      <c r="AR601">
        <v>0</v>
      </c>
      <c r="AS601">
        <v>0</v>
      </c>
      <c r="AT601">
        <v>0</v>
      </c>
      <c r="AU601">
        <v>0</v>
      </c>
      <c r="AV601">
        <v>0</v>
      </c>
      <c r="AW601">
        <v>0</v>
      </c>
      <c r="AX601">
        <v>0</v>
      </c>
      <c r="AY601">
        <v>0</v>
      </c>
    </row>
    <row r="602" spans="1:51" x14ac:dyDescent="0.25">
      <c r="A602">
        <v>171</v>
      </c>
      <c r="B602">
        <v>19970</v>
      </c>
      <c r="C602" t="s">
        <v>735</v>
      </c>
      <c r="D602" t="s">
        <v>96</v>
      </c>
      <c r="E602" t="s">
        <v>100</v>
      </c>
      <c r="F602" t="s">
        <v>107</v>
      </c>
      <c r="G602" t="s">
        <v>77</v>
      </c>
      <c r="H602" t="s">
        <v>78</v>
      </c>
      <c r="I602" t="s">
        <v>79</v>
      </c>
      <c r="J602" t="s">
        <v>70</v>
      </c>
      <c r="K602" t="s">
        <v>75</v>
      </c>
      <c r="L602" t="s">
        <v>76</v>
      </c>
      <c r="M602" t="s">
        <v>149</v>
      </c>
      <c r="N602" t="s">
        <v>74</v>
      </c>
      <c r="O602" t="s">
        <v>187</v>
      </c>
      <c r="P602" t="s">
        <v>71</v>
      </c>
      <c r="Q602" t="s">
        <v>71</v>
      </c>
      <c r="R602" t="s">
        <v>71</v>
      </c>
      <c r="S602">
        <v>1</v>
      </c>
      <c r="T602">
        <v>0</v>
      </c>
      <c r="U602" t="s">
        <v>72</v>
      </c>
      <c r="V602" t="s">
        <v>188</v>
      </c>
      <c r="W602">
        <v>0</v>
      </c>
      <c r="X602">
        <v>1</v>
      </c>
      <c r="Y602">
        <v>0</v>
      </c>
      <c r="Z602">
        <v>0</v>
      </c>
      <c r="AA602">
        <v>0</v>
      </c>
      <c r="AB602">
        <v>0</v>
      </c>
      <c r="AC602">
        <v>0</v>
      </c>
      <c r="AD602">
        <v>0</v>
      </c>
      <c r="AE602">
        <v>0</v>
      </c>
      <c r="AF602">
        <v>0</v>
      </c>
      <c r="AG602" t="s">
        <v>71</v>
      </c>
      <c r="AH602">
        <v>0</v>
      </c>
      <c r="AI602">
        <v>0</v>
      </c>
      <c r="AJ602">
        <v>0</v>
      </c>
      <c r="AK602">
        <v>0</v>
      </c>
      <c r="AL602" t="s">
        <v>146</v>
      </c>
      <c r="AM602" t="s">
        <v>93</v>
      </c>
      <c r="AN602" t="s">
        <v>94</v>
      </c>
      <c r="AO602" t="s">
        <v>147</v>
      </c>
      <c r="AP602">
        <v>0</v>
      </c>
      <c r="AQ602">
        <v>0</v>
      </c>
      <c r="AR602">
        <v>160</v>
      </c>
      <c r="AS602">
        <v>0</v>
      </c>
      <c r="AT602">
        <v>0</v>
      </c>
      <c r="AU602">
        <v>0</v>
      </c>
      <c r="AV602">
        <v>0</v>
      </c>
      <c r="AW602">
        <v>0</v>
      </c>
      <c r="AX602">
        <v>0</v>
      </c>
      <c r="AY602">
        <v>0</v>
      </c>
    </row>
    <row r="603" spans="1:51" x14ac:dyDescent="0.25">
      <c r="A603">
        <v>171</v>
      </c>
      <c r="B603">
        <v>19980</v>
      </c>
      <c r="C603" t="s">
        <v>735</v>
      </c>
      <c r="D603" t="s">
        <v>96</v>
      </c>
      <c r="E603" t="s">
        <v>100</v>
      </c>
      <c r="F603" t="s">
        <v>107</v>
      </c>
      <c r="G603" t="s">
        <v>77</v>
      </c>
      <c r="H603" t="s">
        <v>78</v>
      </c>
      <c r="I603" t="s">
        <v>79</v>
      </c>
      <c r="J603" t="s">
        <v>150</v>
      </c>
      <c r="K603" t="s">
        <v>75</v>
      </c>
      <c r="L603" t="s">
        <v>76</v>
      </c>
      <c r="M603" t="s">
        <v>149</v>
      </c>
      <c r="N603" t="s">
        <v>74</v>
      </c>
      <c r="O603" t="s">
        <v>187</v>
      </c>
      <c r="P603" t="s">
        <v>71</v>
      </c>
      <c r="Q603" t="s">
        <v>71</v>
      </c>
      <c r="R603" t="s">
        <v>71</v>
      </c>
      <c r="S603">
        <v>1</v>
      </c>
      <c r="T603">
        <v>0</v>
      </c>
      <c r="U603" t="s">
        <v>72</v>
      </c>
      <c r="V603" t="s">
        <v>73</v>
      </c>
      <c r="W603">
        <v>0</v>
      </c>
      <c r="X603">
        <v>1</v>
      </c>
      <c r="Y603">
        <v>0</v>
      </c>
      <c r="Z603">
        <v>0</v>
      </c>
      <c r="AA603">
        <v>0</v>
      </c>
      <c r="AB603">
        <v>0</v>
      </c>
      <c r="AC603">
        <v>0</v>
      </c>
      <c r="AD603">
        <v>0</v>
      </c>
      <c r="AE603">
        <v>0</v>
      </c>
      <c r="AF603">
        <v>0</v>
      </c>
      <c r="AG603" t="s">
        <v>71</v>
      </c>
      <c r="AH603">
        <v>0</v>
      </c>
      <c r="AI603">
        <v>0</v>
      </c>
      <c r="AJ603">
        <v>0</v>
      </c>
      <c r="AK603">
        <v>0</v>
      </c>
      <c r="AL603" t="s">
        <v>387</v>
      </c>
      <c r="AM603" t="s">
        <v>254</v>
      </c>
      <c r="AN603" t="s">
        <v>94</v>
      </c>
      <c r="AO603" t="s">
        <v>147</v>
      </c>
      <c r="AP603">
        <v>0</v>
      </c>
      <c r="AQ603">
        <v>0</v>
      </c>
      <c r="AR603">
        <v>0</v>
      </c>
      <c r="AS603">
        <v>0</v>
      </c>
      <c r="AT603">
        <v>0</v>
      </c>
      <c r="AU603">
        <v>0</v>
      </c>
      <c r="AV603">
        <v>0</v>
      </c>
      <c r="AW603">
        <v>0</v>
      </c>
      <c r="AX603">
        <v>0</v>
      </c>
      <c r="AY603">
        <v>0</v>
      </c>
    </row>
    <row r="604" spans="1:51" x14ac:dyDescent="0.25">
      <c r="A604">
        <v>172</v>
      </c>
      <c r="B604">
        <v>19990</v>
      </c>
      <c r="C604" t="s">
        <v>735</v>
      </c>
      <c r="D604" t="s">
        <v>96</v>
      </c>
      <c r="E604" t="s">
        <v>100</v>
      </c>
      <c r="F604" t="s">
        <v>98</v>
      </c>
      <c r="G604" t="s">
        <v>77</v>
      </c>
      <c r="H604" t="s">
        <v>78</v>
      </c>
      <c r="I604" t="s">
        <v>195</v>
      </c>
      <c r="J604" t="s">
        <v>119</v>
      </c>
      <c r="K604" t="s">
        <v>75</v>
      </c>
      <c r="L604" t="s">
        <v>76</v>
      </c>
      <c r="M604" t="s">
        <v>149</v>
      </c>
      <c r="N604" t="s">
        <v>74</v>
      </c>
      <c r="O604" t="s">
        <v>187</v>
      </c>
      <c r="P604" t="s">
        <v>71</v>
      </c>
      <c r="Q604" t="s">
        <v>71</v>
      </c>
      <c r="R604" t="s">
        <v>71</v>
      </c>
      <c r="S604">
        <v>1</v>
      </c>
      <c r="T604">
        <v>1</v>
      </c>
      <c r="U604" t="s">
        <v>72</v>
      </c>
      <c r="V604" t="s">
        <v>188</v>
      </c>
      <c r="W604">
        <v>0</v>
      </c>
      <c r="X604">
        <v>1</v>
      </c>
      <c r="Y604">
        <v>0</v>
      </c>
      <c r="Z604">
        <v>0</v>
      </c>
      <c r="AA604">
        <v>0</v>
      </c>
      <c r="AB604">
        <v>0</v>
      </c>
      <c r="AC604">
        <v>0</v>
      </c>
      <c r="AD604">
        <v>0</v>
      </c>
      <c r="AE604">
        <v>0</v>
      </c>
      <c r="AF604">
        <v>0</v>
      </c>
      <c r="AG604" t="s">
        <v>71</v>
      </c>
      <c r="AH604">
        <v>0</v>
      </c>
      <c r="AI604">
        <v>0</v>
      </c>
      <c r="AJ604">
        <v>0</v>
      </c>
      <c r="AK604">
        <v>0</v>
      </c>
      <c r="AL604" t="s">
        <v>387</v>
      </c>
      <c r="AM604" t="s">
        <v>254</v>
      </c>
      <c r="AN604" t="s">
        <v>94</v>
      </c>
      <c r="AO604" t="s">
        <v>147</v>
      </c>
      <c r="AP604">
        <v>0</v>
      </c>
      <c r="AQ604">
        <v>0</v>
      </c>
      <c r="AR604">
        <v>0</v>
      </c>
      <c r="AS604">
        <v>0</v>
      </c>
      <c r="AT604">
        <v>8</v>
      </c>
      <c r="AU604">
        <v>0</v>
      </c>
      <c r="AV604">
        <v>0</v>
      </c>
      <c r="AW604">
        <v>0</v>
      </c>
      <c r="AX604">
        <v>0</v>
      </c>
      <c r="AY604">
        <v>0</v>
      </c>
    </row>
    <row r="605" spans="1:51" x14ac:dyDescent="0.25">
      <c r="A605">
        <v>173</v>
      </c>
      <c r="B605">
        <v>20000</v>
      </c>
      <c r="C605" t="s">
        <v>735</v>
      </c>
      <c r="D605" t="s">
        <v>96</v>
      </c>
      <c r="E605" t="s">
        <v>100</v>
      </c>
      <c r="F605" t="s">
        <v>98</v>
      </c>
      <c r="G605" t="s">
        <v>77</v>
      </c>
      <c r="H605" t="s">
        <v>78</v>
      </c>
      <c r="I605" t="s">
        <v>196</v>
      </c>
      <c r="J605" t="s">
        <v>119</v>
      </c>
      <c r="K605" t="s">
        <v>75</v>
      </c>
      <c r="L605" t="s">
        <v>76</v>
      </c>
      <c r="M605" t="s">
        <v>149</v>
      </c>
      <c r="N605" t="s">
        <v>74</v>
      </c>
      <c r="O605" t="s">
        <v>187</v>
      </c>
      <c r="P605" t="s">
        <v>71</v>
      </c>
      <c r="Q605" t="s">
        <v>71</v>
      </c>
      <c r="R605" t="s">
        <v>71</v>
      </c>
      <c r="S605">
        <v>1</v>
      </c>
      <c r="T605">
        <v>1</v>
      </c>
      <c r="U605" t="s">
        <v>72</v>
      </c>
      <c r="V605" t="s">
        <v>188</v>
      </c>
      <c r="W605">
        <v>0</v>
      </c>
      <c r="X605">
        <v>1</v>
      </c>
      <c r="Y605">
        <v>0</v>
      </c>
      <c r="Z605">
        <v>0</v>
      </c>
      <c r="AA605">
        <v>0</v>
      </c>
      <c r="AB605">
        <v>0</v>
      </c>
      <c r="AC605">
        <v>0</v>
      </c>
      <c r="AD605">
        <v>0</v>
      </c>
      <c r="AE605">
        <v>0</v>
      </c>
      <c r="AF605">
        <v>0</v>
      </c>
      <c r="AG605" t="s">
        <v>71</v>
      </c>
      <c r="AH605">
        <v>0</v>
      </c>
      <c r="AI605">
        <v>0</v>
      </c>
      <c r="AJ605">
        <v>0</v>
      </c>
      <c r="AK605">
        <v>0</v>
      </c>
      <c r="AL605" t="s">
        <v>387</v>
      </c>
      <c r="AM605" t="s">
        <v>254</v>
      </c>
      <c r="AN605" t="s">
        <v>94</v>
      </c>
      <c r="AO605" t="s">
        <v>147</v>
      </c>
      <c r="AP605">
        <v>0</v>
      </c>
      <c r="AQ605">
        <v>0</v>
      </c>
      <c r="AR605">
        <v>0</v>
      </c>
      <c r="AS605">
        <v>0</v>
      </c>
      <c r="AT605">
        <v>8</v>
      </c>
      <c r="AU605">
        <v>0</v>
      </c>
      <c r="AV605">
        <v>0</v>
      </c>
      <c r="AW605">
        <v>0</v>
      </c>
      <c r="AX605">
        <v>0</v>
      </c>
      <c r="AY605">
        <v>0</v>
      </c>
    </row>
    <row r="606" spans="1:51" x14ac:dyDescent="0.25">
      <c r="A606">
        <v>174</v>
      </c>
      <c r="B606">
        <v>20010</v>
      </c>
      <c r="C606" t="s">
        <v>735</v>
      </c>
      <c r="D606" t="s">
        <v>96</v>
      </c>
      <c r="E606" t="s">
        <v>100</v>
      </c>
      <c r="F606" t="s">
        <v>98</v>
      </c>
      <c r="G606" t="s">
        <v>77</v>
      </c>
      <c r="H606" t="s">
        <v>78</v>
      </c>
      <c r="I606" t="s">
        <v>197</v>
      </c>
      <c r="J606" t="s">
        <v>119</v>
      </c>
      <c r="K606" t="s">
        <v>75</v>
      </c>
      <c r="L606" t="s">
        <v>76</v>
      </c>
      <c r="M606" t="s">
        <v>149</v>
      </c>
      <c r="N606" t="s">
        <v>74</v>
      </c>
      <c r="O606" t="s">
        <v>187</v>
      </c>
      <c r="P606" t="s">
        <v>71</v>
      </c>
      <c r="Q606" t="s">
        <v>71</v>
      </c>
      <c r="R606" t="s">
        <v>71</v>
      </c>
      <c r="S606">
        <v>1</v>
      </c>
      <c r="T606">
        <v>1</v>
      </c>
      <c r="U606" t="s">
        <v>72</v>
      </c>
      <c r="V606" t="s">
        <v>188</v>
      </c>
      <c r="W606">
        <v>0</v>
      </c>
      <c r="X606">
        <v>1</v>
      </c>
      <c r="Y606">
        <v>0</v>
      </c>
      <c r="Z606">
        <v>0</v>
      </c>
      <c r="AA606">
        <v>0</v>
      </c>
      <c r="AB606">
        <v>0</v>
      </c>
      <c r="AC606">
        <v>0</v>
      </c>
      <c r="AD606">
        <v>0</v>
      </c>
      <c r="AE606">
        <v>0</v>
      </c>
      <c r="AF606">
        <v>0</v>
      </c>
      <c r="AG606" t="s">
        <v>71</v>
      </c>
      <c r="AH606">
        <v>0</v>
      </c>
      <c r="AI606">
        <v>0</v>
      </c>
      <c r="AJ606">
        <v>0</v>
      </c>
      <c r="AK606">
        <v>0</v>
      </c>
      <c r="AL606" t="s">
        <v>387</v>
      </c>
      <c r="AM606" t="s">
        <v>254</v>
      </c>
      <c r="AN606" t="s">
        <v>94</v>
      </c>
      <c r="AO606" t="s">
        <v>147</v>
      </c>
      <c r="AP606">
        <v>0</v>
      </c>
      <c r="AQ606">
        <v>0</v>
      </c>
      <c r="AR606">
        <v>0</v>
      </c>
      <c r="AS606">
        <v>0</v>
      </c>
      <c r="AT606">
        <v>8</v>
      </c>
      <c r="AU606">
        <v>0</v>
      </c>
      <c r="AV606">
        <v>0</v>
      </c>
      <c r="AW606">
        <v>0</v>
      </c>
      <c r="AX606">
        <v>0</v>
      </c>
      <c r="AY606">
        <v>0</v>
      </c>
    </row>
    <row r="607" spans="1:51" x14ac:dyDescent="0.25">
      <c r="A607">
        <v>175</v>
      </c>
      <c r="B607">
        <v>20020</v>
      </c>
      <c r="C607" t="s">
        <v>735</v>
      </c>
      <c r="D607" t="s">
        <v>96</v>
      </c>
      <c r="E607" t="s">
        <v>100</v>
      </c>
      <c r="F607" t="s">
        <v>98</v>
      </c>
      <c r="G607" t="s">
        <v>77</v>
      </c>
      <c r="H607" t="s">
        <v>78</v>
      </c>
      <c r="I607" t="s">
        <v>79</v>
      </c>
      <c r="J607" t="s">
        <v>119</v>
      </c>
      <c r="K607" t="s">
        <v>75</v>
      </c>
      <c r="L607" t="s">
        <v>76</v>
      </c>
      <c r="M607" t="s">
        <v>149</v>
      </c>
      <c r="N607" t="s">
        <v>74</v>
      </c>
      <c r="O607" t="s">
        <v>187</v>
      </c>
      <c r="P607" t="s">
        <v>71</v>
      </c>
      <c r="Q607" t="s">
        <v>71</v>
      </c>
      <c r="R607" t="s">
        <v>71</v>
      </c>
      <c r="S607">
        <v>1</v>
      </c>
      <c r="T607">
        <v>1</v>
      </c>
      <c r="U607" t="s">
        <v>72</v>
      </c>
      <c r="V607" t="s">
        <v>188</v>
      </c>
      <c r="W607">
        <v>0</v>
      </c>
      <c r="X607">
        <v>1</v>
      </c>
      <c r="Y607">
        <v>1</v>
      </c>
      <c r="Z607">
        <v>10</v>
      </c>
      <c r="AA607">
        <v>1</v>
      </c>
      <c r="AB607">
        <v>10</v>
      </c>
      <c r="AC607">
        <v>1</v>
      </c>
      <c r="AD607">
        <v>10</v>
      </c>
      <c r="AE607">
        <v>0</v>
      </c>
      <c r="AF607">
        <v>0</v>
      </c>
      <c r="AG607" t="s">
        <v>71</v>
      </c>
      <c r="AH607">
        <v>0</v>
      </c>
      <c r="AI607">
        <v>0</v>
      </c>
      <c r="AJ607">
        <v>0</v>
      </c>
      <c r="AK607">
        <v>0</v>
      </c>
      <c r="AL607" t="s">
        <v>387</v>
      </c>
      <c r="AM607" t="s">
        <v>254</v>
      </c>
      <c r="AN607" t="s">
        <v>94</v>
      </c>
      <c r="AO607" t="s">
        <v>147</v>
      </c>
      <c r="AP607">
        <v>0</v>
      </c>
      <c r="AQ607">
        <v>0</v>
      </c>
      <c r="AR607">
        <v>0</v>
      </c>
      <c r="AS607">
        <v>0</v>
      </c>
      <c r="AT607">
        <v>1</v>
      </c>
      <c r="AU607">
        <v>0</v>
      </c>
      <c r="AV607">
        <v>0</v>
      </c>
      <c r="AW607">
        <v>0</v>
      </c>
      <c r="AX607">
        <v>0</v>
      </c>
      <c r="AY607">
        <v>0</v>
      </c>
    </row>
    <row r="608" spans="1:51" x14ac:dyDescent="0.25">
      <c r="A608">
        <v>176</v>
      </c>
      <c r="B608">
        <v>20030</v>
      </c>
      <c r="C608" t="s">
        <v>735</v>
      </c>
      <c r="D608" t="s">
        <v>96</v>
      </c>
      <c r="E608" t="s">
        <v>100</v>
      </c>
      <c r="F608" t="s">
        <v>107</v>
      </c>
      <c r="G608" t="s">
        <v>77</v>
      </c>
      <c r="H608" t="s">
        <v>180</v>
      </c>
      <c r="I608" t="s">
        <v>79</v>
      </c>
      <c r="J608" t="s">
        <v>119</v>
      </c>
      <c r="K608" t="s">
        <v>75</v>
      </c>
      <c r="L608" t="s">
        <v>76</v>
      </c>
      <c r="M608" t="s">
        <v>149</v>
      </c>
      <c r="N608" t="s">
        <v>74</v>
      </c>
      <c r="O608" t="s">
        <v>187</v>
      </c>
      <c r="P608" t="s">
        <v>71</v>
      </c>
      <c r="Q608" t="s">
        <v>71</v>
      </c>
      <c r="R608" t="s">
        <v>71</v>
      </c>
      <c r="S608">
        <v>1</v>
      </c>
      <c r="T608">
        <v>1</v>
      </c>
      <c r="U608" t="s">
        <v>72</v>
      </c>
      <c r="V608" t="s">
        <v>188</v>
      </c>
      <c r="W608">
        <v>0</v>
      </c>
      <c r="X608">
        <v>1</v>
      </c>
      <c r="Y608">
        <v>0</v>
      </c>
      <c r="Z608">
        <v>0</v>
      </c>
      <c r="AA608">
        <v>0</v>
      </c>
      <c r="AB608">
        <v>0</v>
      </c>
      <c r="AC608">
        <v>0</v>
      </c>
      <c r="AD608">
        <v>0</v>
      </c>
      <c r="AE608">
        <v>0</v>
      </c>
      <c r="AF608">
        <v>0</v>
      </c>
      <c r="AG608" t="s">
        <v>71</v>
      </c>
      <c r="AH608">
        <v>0</v>
      </c>
      <c r="AI608">
        <v>0</v>
      </c>
      <c r="AJ608">
        <v>0</v>
      </c>
      <c r="AK608">
        <v>0</v>
      </c>
      <c r="AL608" t="s">
        <v>387</v>
      </c>
      <c r="AM608" t="s">
        <v>254</v>
      </c>
      <c r="AN608" t="s">
        <v>94</v>
      </c>
      <c r="AO608" t="s">
        <v>147</v>
      </c>
      <c r="AP608">
        <v>0</v>
      </c>
      <c r="AQ608">
        <v>0</v>
      </c>
      <c r="AR608">
        <v>0</v>
      </c>
      <c r="AS608">
        <v>0</v>
      </c>
      <c r="AT608">
        <v>4</v>
      </c>
      <c r="AU608">
        <v>0</v>
      </c>
      <c r="AV608">
        <v>0</v>
      </c>
      <c r="AW608">
        <v>0</v>
      </c>
      <c r="AX608">
        <v>0</v>
      </c>
      <c r="AY608">
        <v>0</v>
      </c>
    </row>
    <row r="609" spans="1:51" x14ac:dyDescent="0.25">
      <c r="A609">
        <v>177</v>
      </c>
      <c r="B609">
        <v>20040</v>
      </c>
      <c r="C609" t="s">
        <v>735</v>
      </c>
      <c r="D609" t="s">
        <v>96</v>
      </c>
      <c r="E609" t="s">
        <v>100</v>
      </c>
      <c r="F609" t="s">
        <v>112</v>
      </c>
      <c r="G609" t="s">
        <v>77</v>
      </c>
      <c r="H609" t="s">
        <v>181</v>
      </c>
      <c r="I609" t="s">
        <v>79</v>
      </c>
      <c r="J609" t="s">
        <v>119</v>
      </c>
      <c r="K609" t="s">
        <v>75</v>
      </c>
      <c r="L609" t="s">
        <v>76</v>
      </c>
      <c r="M609" t="s">
        <v>149</v>
      </c>
      <c r="N609" t="s">
        <v>74</v>
      </c>
      <c r="O609" t="s">
        <v>187</v>
      </c>
      <c r="P609" t="s">
        <v>71</v>
      </c>
      <c r="Q609" t="s">
        <v>71</v>
      </c>
      <c r="R609" t="s">
        <v>71</v>
      </c>
      <c r="S609">
        <v>1</v>
      </c>
      <c r="T609">
        <v>1</v>
      </c>
      <c r="U609" t="s">
        <v>72</v>
      </c>
      <c r="V609" t="s">
        <v>188</v>
      </c>
      <c r="W609">
        <v>0</v>
      </c>
      <c r="X609">
        <v>1</v>
      </c>
      <c r="Y609">
        <v>0</v>
      </c>
      <c r="Z609">
        <v>0</v>
      </c>
      <c r="AA609">
        <v>0</v>
      </c>
      <c r="AB609">
        <v>0</v>
      </c>
      <c r="AC609">
        <v>0</v>
      </c>
      <c r="AD609">
        <v>0</v>
      </c>
      <c r="AE609">
        <v>0</v>
      </c>
      <c r="AF609">
        <v>0</v>
      </c>
      <c r="AG609" t="s">
        <v>71</v>
      </c>
      <c r="AH609">
        <v>0</v>
      </c>
      <c r="AI609">
        <v>0</v>
      </c>
      <c r="AJ609">
        <v>0</v>
      </c>
      <c r="AK609">
        <v>0</v>
      </c>
      <c r="AL609" t="s">
        <v>387</v>
      </c>
      <c r="AM609" t="s">
        <v>254</v>
      </c>
      <c r="AN609" t="s">
        <v>94</v>
      </c>
      <c r="AO609" t="s">
        <v>147</v>
      </c>
      <c r="AP609">
        <v>0</v>
      </c>
      <c r="AQ609">
        <v>0</v>
      </c>
      <c r="AR609">
        <v>0</v>
      </c>
      <c r="AS609">
        <v>0</v>
      </c>
      <c r="AT609">
        <v>4</v>
      </c>
      <c r="AU609">
        <v>0</v>
      </c>
      <c r="AV609">
        <v>0</v>
      </c>
      <c r="AW609">
        <v>0</v>
      </c>
      <c r="AX609">
        <v>0</v>
      </c>
      <c r="AY609">
        <v>0</v>
      </c>
    </row>
    <row r="610" spans="1:51" x14ac:dyDescent="0.25">
      <c r="A610">
        <v>178</v>
      </c>
      <c r="B610">
        <v>20050</v>
      </c>
      <c r="C610" t="s">
        <v>735</v>
      </c>
      <c r="D610" t="s">
        <v>96</v>
      </c>
      <c r="E610" t="s">
        <v>100</v>
      </c>
      <c r="F610" t="s">
        <v>107</v>
      </c>
      <c r="G610" t="s">
        <v>77</v>
      </c>
      <c r="H610" t="s">
        <v>182</v>
      </c>
      <c r="I610" t="s">
        <v>79</v>
      </c>
      <c r="J610" t="s">
        <v>119</v>
      </c>
      <c r="K610" t="s">
        <v>75</v>
      </c>
      <c r="L610" t="s">
        <v>76</v>
      </c>
      <c r="M610" t="s">
        <v>149</v>
      </c>
      <c r="N610" t="s">
        <v>74</v>
      </c>
      <c r="O610" t="s">
        <v>187</v>
      </c>
      <c r="P610" t="s">
        <v>71</v>
      </c>
      <c r="Q610" t="s">
        <v>71</v>
      </c>
      <c r="R610" t="s">
        <v>71</v>
      </c>
      <c r="S610">
        <v>1</v>
      </c>
      <c r="T610">
        <v>1</v>
      </c>
      <c r="U610" t="s">
        <v>72</v>
      </c>
      <c r="V610" t="s">
        <v>188</v>
      </c>
      <c r="W610">
        <v>0</v>
      </c>
      <c r="X610">
        <v>1</v>
      </c>
      <c r="Y610">
        <v>0</v>
      </c>
      <c r="Z610">
        <v>0</v>
      </c>
      <c r="AA610">
        <v>0</v>
      </c>
      <c r="AB610">
        <v>0</v>
      </c>
      <c r="AC610">
        <v>0</v>
      </c>
      <c r="AD610">
        <v>0</v>
      </c>
      <c r="AE610">
        <v>0</v>
      </c>
      <c r="AF610">
        <v>0</v>
      </c>
      <c r="AG610" t="s">
        <v>71</v>
      </c>
      <c r="AH610">
        <v>0</v>
      </c>
      <c r="AI610">
        <v>0</v>
      </c>
      <c r="AJ610">
        <v>0</v>
      </c>
      <c r="AK610">
        <v>0</v>
      </c>
      <c r="AL610" t="s">
        <v>387</v>
      </c>
      <c r="AM610" t="s">
        <v>254</v>
      </c>
      <c r="AN610" t="s">
        <v>94</v>
      </c>
      <c r="AO610" t="s">
        <v>147</v>
      </c>
      <c r="AP610">
        <v>0</v>
      </c>
      <c r="AQ610">
        <v>0</v>
      </c>
      <c r="AR610">
        <v>0</v>
      </c>
      <c r="AS610">
        <v>0</v>
      </c>
      <c r="AT610">
        <v>4</v>
      </c>
      <c r="AU610">
        <v>0</v>
      </c>
      <c r="AV610">
        <v>0</v>
      </c>
      <c r="AW610">
        <v>0</v>
      </c>
      <c r="AX610">
        <v>0</v>
      </c>
      <c r="AY610">
        <v>0</v>
      </c>
    </row>
    <row r="611" spans="1:51" x14ac:dyDescent="0.25">
      <c r="A611">
        <v>179</v>
      </c>
      <c r="B611">
        <v>20060</v>
      </c>
      <c r="C611" t="s">
        <v>735</v>
      </c>
      <c r="D611" t="s">
        <v>96</v>
      </c>
      <c r="E611" t="s">
        <v>100</v>
      </c>
      <c r="F611" t="s">
        <v>107</v>
      </c>
      <c r="G611" t="s">
        <v>101</v>
      </c>
      <c r="H611" t="s">
        <v>78</v>
      </c>
      <c r="I611" t="s">
        <v>79</v>
      </c>
      <c r="J611" t="s">
        <v>119</v>
      </c>
      <c r="K611" t="s">
        <v>75</v>
      </c>
      <c r="L611" t="s">
        <v>76</v>
      </c>
      <c r="M611" t="s">
        <v>149</v>
      </c>
      <c r="N611" t="s">
        <v>74</v>
      </c>
      <c r="O611" t="s">
        <v>187</v>
      </c>
      <c r="P611" t="s">
        <v>71</v>
      </c>
      <c r="Q611" t="s">
        <v>71</v>
      </c>
      <c r="R611" t="s">
        <v>71</v>
      </c>
      <c r="S611">
        <v>1</v>
      </c>
      <c r="T611">
        <v>1</v>
      </c>
      <c r="U611" t="s">
        <v>72</v>
      </c>
      <c r="V611" t="s">
        <v>188</v>
      </c>
      <c r="W611">
        <v>0</v>
      </c>
      <c r="X611">
        <v>1</v>
      </c>
      <c r="Y611">
        <v>0</v>
      </c>
      <c r="Z611">
        <v>0</v>
      </c>
      <c r="AA611">
        <v>0</v>
      </c>
      <c r="AB611">
        <v>0</v>
      </c>
      <c r="AC611">
        <v>0</v>
      </c>
      <c r="AD611">
        <v>0</v>
      </c>
      <c r="AE611">
        <v>0</v>
      </c>
      <c r="AF611">
        <v>0</v>
      </c>
      <c r="AG611" t="s">
        <v>71</v>
      </c>
      <c r="AH611">
        <v>0</v>
      </c>
      <c r="AI611">
        <v>0</v>
      </c>
      <c r="AJ611">
        <v>0</v>
      </c>
      <c r="AK611">
        <v>0</v>
      </c>
      <c r="AL611" t="s">
        <v>387</v>
      </c>
      <c r="AM611" t="s">
        <v>254</v>
      </c>
      <c r="AN611" t="s">
        <v>94</v>
      </c>
      <c r="AO611" t="s">
        <v>147</v>
      </c>
      <c r="AP611">
        <v>0</v>
      </c>
      <c r="AQ611">
        <v>0</v>
      </c>
      <c r="AR611">
        <v>0</v>
      </c>
      <c r="AS611">
        <v>0</v>
      </c>
      <c r="AT611">
        <v>2</v>
      </c>
      <c r="AU611">
        <v>0</v>
      </c>
      <c r="AV611">
        <v>0</v>
      </c>
      <c r="AW611">
        <v>0</v>
      </c>
      <c r="AX611">
        <v>0</v>
      </c>
      <c r="AY611">
        <v>0</v>
      </c>
    </row>
    <row r="612" spans="1:51" x14ac:dyDescent="0.25">
      <c r="A612">
        <v>180</v>
      </c>
      <c r="B612">
        <v>20070</v>
      </c>
      <c r="C612" t="s">
        <v>735</v>
      </c>
      <c r="D612" t="s">
        <v>96</v>
      </c>
      <c r="E612" t="s">
        <v>100</v>
      </c>
      <c r="F612" t="s">
        <v>107</v>
      </c>
      <c r="G612" t="s">
        <v>184</v>
      </c>
      <c r="H612" t="s">
        <v>78</v>
      </c>
      <c r="I612" t="s">
        <v>79</v>
      </c>
      <c r="J612" t="s">
        <v>119</v>
      </c>
      <c r="K612" t="s">
        <v>75</v>
      </c>
      <c r="L612" t="s">
        <v>76</v>
      </c>
      <c r="M612" t="s">
        <v>149</v>
      </c>
      <c r="N612" t="s">
        <v>74</v>
      </c>
      <c r="O612" t="s">
        <v>187</v>
      </c>
      <c r="P612" t="s">
        <v>71</v>
      </c>
      <c r="Q612" t="s">
        <v>71</v>
      </c>
      <c r="R612" t="s">
        <v>71</v>
      </c>
      <c r="S612">
        <v>1</v>
      </c>
      <c r="T612">
        <v>1</v>
      </c>
      <c r="U612" t="s">
        <v>72</v>
      </c>
      <c r="V612" t="s">
        <v>188</v>
      </c>
      <c r="W612">
        <v>0</v>
      </c>
      <c r="X612">
        <v>1</v>
      </c>
      <c r="Y612">
        <v>0</v>
      </c>
      <c r="Z612">
        <v>0</v>
      </c>
      <c r="AA612">
        <v>0</v>
      </c>
      <c r="AB612">
        <v>0</v>
      </c>
      <c r="AC612">
        <v>0</v>
      </c>
      <c r="AD612">
        <v>0</v>
      </c>
      <c r="AE612">
        <v>0</v>
      </c>
      <c r="AF612">
        <v>0</v>
      </c>
      <c r="AG612" t="s">
        <v>71</v>
      </c>
      <c r="AH612">
        <v>0</v>
      </c>
      <c r="AI612">
        <v>0</v>
      </c>
      <c r="AJ612">
        <v>0</v>
      </c>
      <c r="AK612">
        <v>0</v>
      </c>
      <c r="AL612" t="s">
        <v>387</v>
      </c>
      <c r="AM612" t="s">
        <v>254</v>
      </c>
      <c r="AN612" t="s">
        <v>94</v>
      </c>
      <c r="AO612" t="s">
        <v>147</v>
      </c>
      <c r="AP612">
        <v>0</v>
      </c>
      <c r="AQ612">
        <v>0</v>
      </c>
      <c r="AR612">
        <v>0</v>
      </c>
      <c r="AS612">
        <v>0</v>
      </c>
      <c r="AT612">
        <v>2</v>
      </c>
      <c r="AU612">
        <v>0</v>
      </c>
      <c r="AV612">
        <v>0</v>
      </c>
      <c r="AW612">
        <v>0</v>
      </c>
      <c r="AX612">
        <v>0</v>
      </c>
      <c r="AY612">
        <v>0</v>
      </c>
    </row>
    <row r="613" spans="1:51" x14ac:dyDescent="0.25">
      <c r="A613">
        <v>181</v>
      </c>
      <c r="B613">
        <v>20080</v>
      </c>
      <c r="C613" t="s">
        <v>735</v>
      </c>
      <c r="D613" t="s">
        <v>96</v>
      </c>
      <c r="E613" t="s">
        <v>100</v>
      </c>
      <c r="F613" t="s">
        <v>107</v>
      </c>
      <c r="G613" t="s">
        <v>185</v>
      </c>
      <c r="H613" t="s">
        <v>78</v>
      </c>
      <c r="I613" t="s">
        <v>79</v>
      </c>
      <c r="J613" t="s">
        <v>119</v>
      </c>
      <c r="K613" t="s">
        <v>75</v>
      </c>
      <c r="L613" t="s">
        <v>76</v>
      </c>
      <c r="M613" t="s">
        <v>149</v>
      </c>
      <c r="N613" t="s">
        <v>74</v>
      </c>
      <c r="O613" t="s">
        <v>187</v>
      </c>
      <c r="P613" t="s">
        <v>71</v>
      </c>
      <c r="Q613" t="s">
        <v>71</v>
      </c>
      <c r="R613" t="s">
        <v>71</v>
      </c>
      <c r="S613">
        <v>1</v>
      </c>
      <c r="T613">
        <v>1</v>
      </c>
      <c r="U613" t="s">
        <v>72</v>
      </c>
      <c r="V613" t="s">
        <v>188</v>
      </c>
      <c r="W613">
        <v>0</v>
      </c>
      <c r="X613">
        <v>1</v>
      </c>
      <c r="Y613">
        <v>0</v>
      </c>
      <c r="Z613">
        <v>0</v>
      </c>
      <c r="AA613">
        <v>0</v>
      </c>
      <c r="AB613">
        <v>0</v>
      </c>
      <c r="AC613">
        <v>0</v>
      </c>
      <c r="AD613">
        <v>0</v>
      </c>
      <c r="AE613">
        <v>0</v>
      </c>
      <c r="AF613">
        <v>0</v>
      </c>
      <c r="AG613" t="s">
        <v>71</v>
      </c>
      <c r="AH613">
        <v>0</v>
      </c>
      <c r="AI613">
        <v>0</v>
      </c>
      <c r="AJ613">
        <v>0</v>
      </c>
      <c r="AK613">
        <v>0</v>
      </c>
      <c r="AL613" t="s">
        <v>387</v>
      </c>
      <c r="AM613" t="s">
        <v>254</v>
      </c>
      <c r="AN613" t="s">
        <v>94</v>
      </c>
      <c r="AO613" t="s">
        <v>147</v>
      </c>
      <c r="AP613">
        <v>0</v>
      </c>
      <c r="AQ613">
        <v>0</v>
      </c>
      <c r="AR613">
        <v>0</v>
      </c>
      <c r="AS613">
        <v>0</v>
      </c>
      <c r="AT613">
        <v>2</v>
      </c>
      <c r="AU613">
        <v>0</v>
      </c>
      <c r="AV613">
        <v>0</v>
      </c>
      <c r="AW613">
        <v>0</v>
      </c>
      <c r="AX613">
        <v>0</v>
      </c>
      <c r="AY613">
        <v>0</v>
      </c>
    </row>
    <row r="614" spans="1:51" x14ac:dyDescent="0.25">
      <c r="A614">
        <v>182</v>
      </c>
      <c r="B614">
        <v>20090</v>
      </c>
      <c r="C614" t="s">
        <v>735</v>
      </c>
      <c r="D614" t="s">
        <v>96</v>
      </c>
      <c r="E614" t="s">
        <v>100</v>
      </c>
      <c r="F614" t="s">
        <v>107</v>
      </c>
      <c r="G614" t="s">
        <v>77</v>
      </c>
      <c r="H614" t="s">
        <v>78</v>
      </c>
      <c r="I614" t="s">
        <v>79</v>
      </c>
      <c r="J614" t="s">
        <v>70</v>
      </c>
      <c r="K614" t="s">
        <v>75</v>
      </c>
      <c r="L614" t="s">
        <v>76</v>
      </c>
      <c r="M614" t="s">
        <v>149</v>
      </c>
      <c r="N614" t="s">
        <v>74</v>
      </c>
      <c r="O614" t="s">
        <v>187</v>
      </c>
      <c r="P614" t="s">
        <v>71</v>
      </c>
      <c r="Q614" t="s">
        <v>71</v>
      </c>
      <c r="R614" t="s">
        <v>71</v>
      </c>
      <c r="S614">
        <v>1</v>
      </c>
      <c r="T614">
        <v>1</v>
      </c>
      <c r="U614" t="s">
        <v>72</v>
      </c>
      <c r="V614" t="s">
        <v>188</v>
      </c>
      <c r="W614">
        <v>0</v>
      </c>
      <c r="X614">
        <v>1</v>
      </c>
      <c r="Y614">
        <v>0</v>
      </c>
      <c r="Z614">
        <v>0</v>
      </c>
      <c r="AA614">
        <v>0</v>
      </c>
      <c r="AB614">
        <v>0</v>
      </c>
      <c r="AC614">
        <v>0</v>
      </c>
      <c r="AD614">
        <v>0</v>
      </c>
      <c r="AE614">
        <v>0</v>
      </c>
      <c r="AF614">
        <v>0</v>
      </c>
      <c r="AG614" t="s">
        <v>71</v>
      </c>
      <c r="AH614">
        <v>0</v>
      </c>
      <c r="AI614">
        <v>0</v>
      </c>
      <c r="AJ614">
        <v>0</v>
      </c>
      <c r="AK614">
        <v>0</v>
      </c>
      <c r="AL614" t="s">
        <v>387</v>
      </c>
      <c r="AM614" t="s">
        <v>254</v>
      </c>
      <c r="AN614" t="s">
        <v>94</v>
      </c>
      <c r="AO614" t="s">
        <v>147</v>
      </c>
      <c r="AP614">
        <v>0</v>
      </c>
      <c r="AQ614">
        <v>0</v>
      </c>
      <c r="AR614">
        <v>0</v>
      </c>
      <c r="AS614">
        <v>0</v>
      </c>
      <c r="AT614">
        <v>128</v>
      </c>
      <c r="AU614">
        <v>0</v>
      </c>
      <c r="AV614">
        <v>0</v>
      </c>
      <c r="AW614">
        <v>0</v>
      </c>
      <c r="AX614">
        <v>0</v>
      </c>
      <c r="AY614">
        <v>0</v>
      </c>
    </row>
    <row r="615" spans="1:51" x14ac:dyDescent="0.25">
      <c r="A615">
        <v>181</v>
      </c>
      <c r="B615">
        <v>20100</v>
      </c>
      <c r="C615" t="s">
        <v>735</v>
      </c>
      <c r="D615" t="s">
        <v>96</v>
      </c>
      <c r="E615" t="s">
        <v>100</v>
      </c>
      <c r="F615" t="s">
        <v>107</v>
      </c>
      <c r="G615" t="s">
        <v>185</v>
      </c>
      <c r="H615" t="s">
        <v>78</v>
      </c>
      <c r="I615" t="s">
        <v>79</v>
      </c>
      <c r="J615" t="s">
        <v>119</v>
      </c>
      <c r="K615" t="s">
        <v>75</v>
      </c>
      <c r="L615" t="s">
        <v>76</v>
      </c>
      <c r="M615" t="s">
        <v>149</v>
      </c>
      <c r="N615" t="s">
        <v>74</v>
      </c>
      <c r="O615" t="s">
        <v>187</v>
      </c>
      <c r="P615" t="s">
        <v>71</v>
      </c>
      <c r="Q615" t="s">
        <v>71</v>
      </c>
      <c r="R615" t="s">
        <v>71</v>
      </c>
      <c r="S615">
        <v>1</v>
      </c>
      <c r="T615">
        <v>1</v>
      </c>
      <c r="U615" t="s">
        <v>72</v>
      </c>
      <c r="V615" t="s">
        <v>188</v>
      </c>
      <c r="W615">
        <v>0</v>
      </c>
      <c r="X615">
        <v>1</v>
      </c>
      <c r="Y615">
        <v>0</v>
      </c>
      <c r="Z615">
        <v>0</v>
      </c>
      <c r="AA615">
        <v>0</v>
      </c>
      <c r="AB615">
        <v>0</v>
      </c>
      <c r="AC615">
        <v>0</v>
      </c>
      <c r="AD615">
        <v>0</v>
      </c>
      <c r="AE615">
        <v>0</v>
      </c>
      <c r="AF615">
        <v>0</v>
      </c>
      <c r="AG615" t="s">
        <v>71</v>
      </c>
      <c r="AH615">
        <v>0</v>
      </c>
      <c r="AI615">
        <v>0</v>
      </c>
      <c r="AJ615">
        <v>0</v>
      </c>
      <c r="AK615">
        <v>0</v>
      </c>
      <c r="AL615" t="s">
        <v>387</v>
      </c>
      <c r="AM615" t="s">
        <v>254</v>
      </c>
      <c r="AN615" t="s">
        <v>94</v>
      </c>
      <c r="AO615" t="s">
        <v>147</v>
      </c>
      <c r="AP615">
        <v>0</v>
      </c>
      <c r="AQ615">
        <v>0</v>
      </c>
      <c r="AR615">
        <v>0</v>
      </c>
      <c r="AS615">
        <v>0</v>
      </c>
      <c r="AT615">
        <v>2</v>
      </c>
      <c r="AU615">
        <v>0</v>
      </c>
      <c r="AV615">
        <v>0</v>
      </c>
      <c r="AW615">
        <v>0</v>
      </c>
      <c r="AX615">
        <v>0</v>
      </c>
      <c r="AY615">
        <v>0</v>
      </c>
    </row>
    <row r="616" spans="1:51" x14ac:dyDescent="0.25">
      <c r="A616">
        <v>183</v>
      </c>
      <c r="B616">
        <v>20110</v>
      </c>
      <c r="C616" t="s">
        <v>735</v>
      </c>
      <c r="D616" t="s">
        <v>96</v>
      </c>
      <c r="E616" t="s">
        <v>100</v>
      </c>
      <c r="F616" t="s">
        <v>107</v>
      </c>
      <c r="G616" t="s">
        <v>77</v>
      </c>
      <c r="H616" t="s">
        <v>78</v>
      </c>
      <c r="I616" t="s">
        <v>79</v>
      </c>
      <c r="J616" t="s">
        <v>150</v>
      </c>
      <c r="K616" t="s">
        <v>75</v>
      </c>
      <c r="L616" t="s">
        <v>76</v>
      </c>
      <c r="M616" t="s">
        <v>149</v>
      </c>
      <c r="N616" t="s">
        <v>74</v>
      </c>
      <c r="O616" t="s">
        <v>187</v>
      </c>
      <c r="P616" t="s">
        <v>71</v>
      </c>
      <c r="Q616" t="s">
        <v>71</v>
      </c>
      <c r="R616" t="s">
        <v>71</v>
      </c>
      <c r="S616">
        <v>1</v>
      </c>
      <c r="T616">
        <v>1</v>
      </c>
      <c r="U616" t="s">
        <v>72</v>
      </c>
      <c r="V616" t="s">
        <v>188</v>
      </c>
      <c r="W616">
        <v>0</v>
      </c>
      <c r="X616">
        <v>1</v>
      </c>
      <c r="Y616">
        <v>0</v>
      </c>
      <c r="Z616">
        <v>0</v>
      </c>
      <c r="AA616">
        <v>0</v>
      </c>
      <c r="AB616">
        <v>0</v>
      </c>
      <c r="AC616">
        <v>0</v>
      </c>
      <c r="AD616">
        <v>0</v>
      </c>
      <c r="AE616">
        <v>0</v>
      </c>
      <c r="AF616">
        <v>0</v>
      </c>
      <c r="AG616" t="s">
        <v>71</v>
      </c>
      <c r="AH616">
        <v>0</v>
      </c>
      <c r="AI616">
        <v>0</v>
      </c>
      <c r="AJ616">
        <v>0</v>
      </c>
      <c r="AK616">
        <v>0</v>
      </c>
      <c r="AL616" t="s">
        <v>387</v>
      </c>
      <c r="AM616" t="s">
        <v>254</v>
      </c>
      <c r="AN616" t="s">
        <v>94</v>
      </c>
      <c r="AO616" t="s">
        <v>147</v>
      </c>
      <c r="AP616">
        <v>0</v>
      </c>
      <c r="AQ616">
        <v>0</v>
      </c>
      <c r="AR616">
        <v>0</v>
      </c>
      <c r="AS616">
        <v>0</v>
      </c>
      <c r="AT616">
        <v>128</v>
      </c>
      <c r="AU616">
        <v>0</v>
      </c>
      <c r="AV616">
        <v>0</v>
      </c>
      <c r="AW616">
        <v>0</v>
      </c>
      <c r="AX616">
        <v>0</v>
      </c>
      <c r="AY616">
        <v>0</v>
      </c>
    </row>
    <row r="617" spans="1:51" x14ac:dyDescent="0.25">
      <c r="A617">
        <v>181</v>
      </c>
      <c r="B617">
        <v>20120</v>
      </c>
      <c r="C617" t="s">
        <v>735</v>
      </c>
      <c r="D617" t="s">
        <v>96</v>
      </c>
      <c r="E617" t="s">
        <v>100</v>
      </c>
      <c r="F617" t="s">
        <v>107</v>
      </c>
      <c r="G617" t="s">
        <v>185</v>
      </c>
      <c r="H617" t="s">
        <v>78</v>
      </c>
      <c r="I617" t="s">
        <v>79</v>
      </c>
      <c r="J617" t="s">
        <v>119</v>
      </c>
      <c r="K617" t="s">
        <v>75</v>
      </c>
      <c r="L617" t="s">
        <v>76</v>
      </c>
      <c r="M617" t="s">
        <v>149</v>
      </c>
      <c r="N617" t="s">
        <v>74</v>
      </c>
      <c r="O617" t="s">
        <v>187</v>
      </c>
      <c r="P617" t="s">
        <v>71</v>
      </c>
      <c r="Q617" t="s">
        <v>71</v>
      </c>
      <c r="R617" t="s">
        <v>71</v>
      </c>
      <c r="S617">
        <v>1</v>
      </c>
      <c r="T617">
        <v>1</v>
      </c>
      <c r="U617" t="s">
        <v>72</v>
      </c>
      <c r="V617" t="s">
        <v>188</v>
      </c>
      <c r="W617">
        <v>0</v>
      </c>
      <c r="X617">
        <v>1</v>
      </c>
      <c r="Y617">
        <v>0</v>
      </c>
      <c r="Z617">
        <v>0</v>
      </c>
      <c r="AA617">
        <v>0</v>
      </c>
      <c r="AB617">
        <v>0</v>
      </c>
      <c r="AC617">
        <v>0</v>
      </c>
      <c r="AD617">
        <v>0</v>
      </c>
      <c r="AE617">
        <v>0</v>
      </c>
      <c r="AF617">
        <v>0</v>
      </c>
      <c r="AG617" t="s">
        <v>71</v>
      </c>
      <c r="AH617">
        <v>0</v>
      </c>
      <c r="AI617">
        <v>0</v>
      </c>
      <c r="AJ617">
        <v>0</v>
      </c>
      <c r="AK617">
        <v>0</v>
      </c>
      <c r="AL617" t="s">
        <v>387</v>
      </c>
      <c r="AM617" t="s">
        <v>254</v>
      </c>
      <c r="AN617" t="s">
        <v>94</v>
      </c>
      <c r="AO617" t="s">
        <v>147</v>
      </c>
      <c r="AP617">
        <v>0</v>
      </c>
      <c r="AQ617">
        <v>0</v>
      </c>
      <c r="AR617">
        <v>0</v>
      </c>
      <c r="AS617">
        <v>0</v>
      </c>
      <c r="AT617">
        <v>2</v>
      </c>
      <c r="AU617">
        <v>0</v>
      </c>
      <c r="AV617">
        <v>0</v>
      </c>
      <c r="AW617">
        <v>0</v>
      </c>
      <c r="AX617">
        <v>0</v>
      </c>
      <c r="AY617">
        <v>0</v>
      </c>
    </row>
    <row r="618" spans="1:51" x14ac:dyDescent="0.25">
      <c r="A618">
        <v>184</v>
      </c>
      <c r="B618">
        <v>20130</v>
      </c>
      <c r="C618" t="s">
        <v>735</v>
      </c>
      <c r="D618" t="s">
        <v>96</v>
      </c>
      <c r="E618" t="s">
        <v>100</v>
      </c>
      <c r="F618" t="s">
        <v>107</v>
      </c>
      <c r="G618" t="s">
        <v>77</v>
      </c>
      <c r="H618" t="s">
        <v>78</v>
      </c>
      <c r="I618" t="s">
        <v>79</v>
      </c>
      <c r="J618" t="s">
        <v>152</v>
      </c>
      <c r="K618" t="s">
        <v>75</v>
      </c>
      <c r="L618" t="s">
        <v>76</v>
      </c>
      <c r="M618" t="s">
        <v>149</v>
      </c>
      <c r="N618" t="s">
        <v>74</v>
      </c>
      <c r="O618" t="s">
        <v>187</v>
      </c>
      <c r="P618" t="s">
        <v>71</v>
      </c>
      <c r="Q618" t="s">
        <v>71</v>
      </c>
      <c r="R618" t="s">
        <v>71</v>
      </c>
      <c r="S618">
        <v>1</v>
      </c>
      <c r="T618">
        <v>1</v>
      </c>
      <c r="U618" t="s">
        <v>72</v>
      </c>
      <c r="V618" t="s">
        <v>188</v>
      </c>
      <c r="W618">
        <v>0</v>
      </c>
      <c r="X618">
        <v>1</v>
      </c>
      <c r="Y618">
        <v>0</v>
      </c>
      <c r="Z618">
        <v>0</v>
      </c>
      <c r="AA618">
        <v>0</v>
      </c>
      <c r="AB618">
        <v>0</v>
      </c>
      <c r="AC618">
        <v>0</v>
      </c>
      <c r="AD618">
        <v>0</v>
      </c>
      <c r="AE618">
        <v>0</v>
      </c>
      <c r="AF618">
        <v>0</v>
      </c>
      <c r="AG618" t="s">
        <v>71</v>
      </c>
      <c r="AH618">
        <v>0</v>
      </c>
      <c r="AI618">
        <v>0</v>
      </c>
      <c r="AJ618">
        <v>0</v>
      </c>
      <c r="AK618">
        <v>0</v>
      </c>
      <c r="AL618" t="s">
        <v>387</v>
      </c>
      <c r="AM618" t="s">
        <v>254</v>
      </c>
      <c r="AN618" t="s">
        <v>94</v>
      </c>
      <c r="AO618" t="s">
        <v>147</v>
      </c>
      <c r="AP618">
        <v>0</v>
      </c>
      <c r="AQ618">
        <v>0</v>
      </c>
      <c r="AR618">
        <v>0</v>
      </c>
      <c r="AS618">
        <v>0</v>
      </c>
      <c r="AT618">
        <v>128</v>
      </c>
      <c r="AU618">
        <v>0</v>
      </c>
      <c r="AV618">
        <v>0</v>
      </c>
      <c r="AW618">
        <v>0</v>
      </c>
      <c r="AX618">
        <v>0</v>
      </c>
      <c r="AY618">
        <v>0</v>
      </c>
    </row>
    <row r="619" spans="1:51" x14ac:dyDescent="0.25">
      <c r="A619">
        <v>185</v>
      </c>
      <c r="B619">
        <v>20140</v>
      </c>
      <c r="C619" t="s">
        <v>735</v>
      </c>
      <c r="D619" t="s">
        <v>96</v>
      </c>
      <c r="E619" t="s">
        <v>100</v>
      </c>
      <c r="F619" t="s">
        <v>107</v>
      </c>
      <c r="G619" t="s">
        <v>101</v>
      </c>
      <c r="H619" t="s">
        <v>182</v>
      </c>
      <c r="I619" t="s">
        <v>195</v>
      </c>
      <c r="J619" t="s">
        <v>119</v>
      </c>
      <c r="K619" t="s">
        <v>75</v>
      </c>
      <c r="L619" t="s">
        <v>76</v>
      </c>
      <c r="M619" t="s">
        <v>149</v>
      </c>
      <c r="N619" t="s">
        <v>74</v>
      </c>
      <c r="O619" t="s">
        <v>187</v>
      </c>
      <c r="P619" t="s">
        <v>71</v>
      </c>
      <c r="Q619" t="s">
        <v>71</v>
      </c>
      <c r="R619" t="s">
        <v>71</v>
      </c>
      <c r="S619">
        <v>1</v>
      </c>
      <c r="T619">
        <v>1</v>
      </c>
      <c r="U619" t="s">
        <v>72</v>
      </c>
      <c r="V619" t="s">
        <v>188</v>
      </c>
      <c r="W619">
        <v>0</v>
      </c>
      <c r="X619">
        <v>1</v>
      </c>
      <c r="Y619">
        <v>0</v>
      </c>
      <c r="Z619">
        <v>0</v>
      </c>
      <c r="AA619">
        <v>0</v>
      </c>
      <c r="AB619">
        <v>0</v>
      </c>
      <c r="AC619">
        <v>0</v>
      </c>
      <c r="AD619">
        <v>0</v>
      </c>
      <c r="AE619">
        <v>0</v>
      </c>
      <c r="AF619">
        <v>0</v>
      </c>
      <c r="AG619" t="s">
        <v>71</v>
      </c>
      <c r="AH619">
        <v>0</v>
      </c>
      <c r="AI619">
        <v>0</v>
      </c>
      <c r="AJ619">
        <v>0</v>
      </c>
      <c r="AK619">
        <v>0</v>
      </c>
      <c r="AL619" t="s">
        <v>387</v>
      </c>
      <c r="AM619" t="s">
        <v>254</v>
      </c>
      <c r="AN619" t="s">
        <v>94</v>
      </c>
      <c r="AO619" t="s">
        <v>147</v>
      </c>
      <c r="AP619">
        <v>0</v>
      </c>
      <c r="AQ619">
        <v>0</v>
      </c>
      <c r="AR619">
        <v>0</v>
      </c>
      <c r="AS619">
        <v>0</v>
      </c>
      <c r="AT619">
        <v>14</v>
      </c>
      <c r="AU619">
        <v>0</v>
      </c>
      <c r="AV619">
        <v>0</v>
      </c>
      <c r="AW619">
        <v>0</v>
      </c>
      <c r="AX619">
        <v>0</v>
      </c>
      <c r="AY619">
        <v>0</v>
      </c>
    </row>
    <row r="620" spans="1:51" x14ac:dyDescent="0.25">
      <c r="A620">
        <v>186</v>
      </c>
      <c r="B620">
        <v>20150</v>
      </c>
      <c r="C620" t="s">
        <v>735</v>
      </c>
      <c r="D620" t="s">
        <v>96</v>
      </c>
      <c r="E620" t="s">
        <v>100</v>
      </c>
      <c r="F620" t="s">
        <v>107</v>
      </c>
      <c r="G620" t="s">
        <v>77</v>
      </c>
      <c r="H620" t="s">
        <v>78</v>
      </c>
      <c r="I620" t="s">
        <v>79</v>
      </c>
      <c r="J620" t="s">
        <v>119</v>
      </c>
      <c r="K620" t="s">
        <v>75</v>
      </c>
      <c r="L620" t="s">
        <v>76</v>
      </c>
      <c r="M620" t="s">
        <v>103</v>
      </c>
      <c r="N620" t="s">
        <v>74</v>
      </c>
      <c r="O620" t="s">
        <v>104</v>
      </c>
      <c r="P620" t="s">
        <v>71</v>
      </c>
      <c r="Q620" t="s">
        <v>71</v>
      </c>
      <c r="R620" t="s">
        <v>71</v>
      </c>
      <c r="S620">
        <v>1</v>
      </c>
      <c r="T620">
        <v>0</v>
      </c>
      <c r="U620" t="s">
        <v>72</v>
      </c>
      <c r="V620" t="s">
        <v>192</v>
      </c>
      <c r="W620">
        <v>0</v>
      </c>
      <c r="X620">
        <v>1</v>
      </c>
      <c r="Y620">
        <v>1</v>
      </c>
      <c r="Z620">
        <v>10</v>
      </c>
      <c r="AA620">
        <v>1</v>
      </c>
      <c r="AB620">
        <v>10</v>
      </c>
      <c r="AC620">
        <v>1</v>
      </c>
      <c r="AD620">
        <v>10</v>
      </c>
      <c r="AE620">
        <v>0</v>
      </c>
      <c r="AF620">
        <v>0</v>
      </c>
      <c r="AG620" t="s">
        <v>71</v>
      </c>
      <c r="AH620">
        <v>0</v>
      </c>
      <c r="AI620">
        <v>0</v>
      </c>
      <c r="AJ620">
        <v>0</v>
      </c>
      <c r="AK620">
        <v>0</v>
      </c>
      <c r="AL620" t="s">
        <v>387</v>
      </c>
      <c r="AM620" t="s">
        <v>254</v>
      </c>
      <c r="AN620" t="s">
        <v>94</v>
      </c>
      <c r="AO620" t="s">
        <v>147</v>
      </c>
      <c r="AP620">
        <v>0</v>
      </c>
      <c r="AQ620">
        <v>0</v>
      </c>
      <c r="AR620">
        <v>0</v>
      </c>
      <c r="AS620">
        <v>0</v>
      </c>
      <c r="AT620">
        <v>17</v>
      </c>
      <c r="AU620">
        <v>0</v>
      </c>
      <c r="AV620">
        <v>0</v>
      </c>
      <c r="AW620">
        <v>0</v>
      </c>
      <c r="AX620">
        <v>0</v>
      </c>
      <c r="AY620">
        <v>0</v>
      </c>
    </row>
    <row r="621" spans="1:51" x14ac:dyDescent="0.25">
      <c r="A621">
        <v>187</v>
      </c>
      <c r="B621">
        <v>20160</v>
      </c>
      <c r="C621" t="s">
        <v>735</v>
      </c>
      <c r="D621" t="s">
        <v>96</v>
      </c>
      <c r="E621" t="s">
        <v>100</v>
      </c>
      <c r="F621" t="s">
        <v>107</v>
      </c>
      <c r="G621" t="s">
        <v>184</v>
      </c>
      <c r="H621" t="s">
        <v>180</v>
      </c>
      <c r="I621" t="s">
        <v>196</v>
      </c>
      <c r="J621" t="s">
        <v>119</v>
      </c>
      <c r="K621" t="s">
        <v>75</v>
      </c>
      <c r="L621" t="s">
        <v>203</v>
      </c>
      <c r="M621" t="s">
        <v>149</v>
      </c>
      <c r="N621" t="s">
        <v>74</v>
      </c>
      <c r="O621" t="s">
        <v>187</v>
      </c>
      <c r="P621" t="s">
        <v>71</v>
      </c>
      <c r="Q621" t="s">
        <v>71</v>
      </c>
      <c r="R621" t="s">
        <v>71</v>
      </c>
      <c r="S621">
        <v>0</v>
      </c>
      <c r="T621">
        <v>1</v>
      </c>
      <c r="U621" t="s">
        <v>282</v>
      </c>
      <c r="V621" t="s">
        <v>188</v>
      </c>
      <c r="W621">
        <v>0</v>
      </c>
      <c r="X621">
        <v>1</v>
      </c>
      <c r="Y621">
        <v>0</v>
      </c>
      <c r="Z621">
        <v>0</v>
      </c>
      <c r="AA621">
        <v>0</v>
      </c>
      <c r="AB621">
        <v>0</v>
      </c>
      <c r="AC621">
        <v>0</v>
      </c>
      <c r="AD621">
        <v>0</v>
      </c>
      <c r="AE621">
        <v>0</v>
      </c>
      <c r="AF621">
        <v>0</v>
      </c>
      <c r="AG621" t="s">
        <v>71</v>
      </c>
      <c r="AH621">
        <v>0</v>
      </c>
      <c r="AI621">
        <v>0</v>
      </c>
      <c r="AJ621">
        <v>0</v>
      </c>
      <c r="AK621">
        <v>0</v>
      </c>
      <c r="AL621" t="s">
        <v>387</v>
      </c>
      <c r="AM621" t="s">
        <v>254</v>
      </c>
      <c r="AN621" t="s">
        <v>94</v>
      </c>
      <c r="AO621" t="s">
        <v>147</v>
      </c>
      <c r="AP621">
        <v>0</v>
      </c>
      <c r="AQ621">
        <v>0</v>
      </c>
      <c r="AR621">
        <v>0</v>
      </c>
      <c r="AS621">
        <v>0</v>
      </c>
      <c r="AT621">
        <v>14</v>
      </c>
      <c r="AU621">
        <v>0</v>
      </c>
      <c r="AV621">
        <v>0</v>
      </c>
      <c r="AW621">
        <v>0</v>
      </c>
      <c r="AX621">
        <v>0</v>
      </c>
      <c r="AY621">
        <v>0</v>
      </c>
    </row>
    <row r="622" spans="1:51" x14ac:dyDescent="0.25">
      <c r="A622">
        <v>188</v>
      </c>
      <c r="B622">
        <v>20170</v>
      </c>
      <c r="C622" t="s">
        <v>735</v>
      </c>
      <c r="D622" t="s">
        <v>96</v>
      </c>
      <c r="E622" t="s">
        <v>121</v>
      </c>
      <c r="F622" t="s">
        <v>107</v>
      </c>
      <c r="G622" t="s">
        <v>77</v>
      </c>
      <c r="H622" t="s">
        <v>78</v>
      </c>
      <c r="I622" t="s">
        <v>79</v>
      </c>
      <c r="J622" t="s">
        <v>119</v>
      </c>
      <c r="K622" t="s">
        <v>75</v>
      </c>
      <c r="L622" t="s">
        <v>203</v>
      </c>
      <c r="M622" t="s">
        <v>177</v>
      </c>
      <c r="N622" t="s">
        <v>74</v>
      </c>
      <c r="O622" t="s">
        <v>187</v>
      </c>
      <c r="P622" t="s">
        <v>71</v>
      </c>
      <c r="Q622" t="s">
        <v>71</v>
      </c>
      <c r="R622" t="s">
        <v>71</v>
      </c>
      <c r="S622">
        <v>1</v>
      </c>
      <c r="T622">
        <v>0</v>
      </c>
      <c r="U622" t="s">
        <v>72</v>
      </c>
      <c r="V622" t="s">
        <v>192</v>
      </c>
      <c r="W622">
        <v>0</v>
      </c>
      <c r="X622">
        <v>1</v>
      </c>
      <c r="Y622">
        <v>1</v>
      </c>
      <c r="Z622">
        <v>10</v>
      </c>
      <c r="AA622">
        <v>1</v>
      </c>
      <c r="AB622">
        <v>10</v>
      </c>
      <c r="AC622">
        <v>1</v>
      </c>
      <c r="AD622">
        <v>10</v>
      </c>
      <c r="AE622">
        <v>0</v>
      </c>
      <c r="AF622">
        <v>0</v>
      </c>
      <c r="AG622" t="s">
        <v>71</v>
      </c>
      <c r="AH622">
        <v>0</v>
      </c>
      <c r="AI622">
        <v>0</v>
      </c>
      <c r="AJ622">
        <v>0</v>
      </c>
      <c r="AK622">
        <v>0</v>
      </c>
      <c r="AL622" t="s">
        <v>387</v>
      </c>
      <c r="AM622" t="s">
        <v>254</v>
      </c>
      <c r="AN622" t="s">
        <v>94</v>
      </c>
      <c r="AO622" t="s">
        <v>147</v>
      </c>
      <c r="AP622">
        <v>0</v>
      </c>
      <c r="AQ622">
        <v>0</v>
      </c>
      <c r="AR622">
        <v>0</v>
      </c>
      <c r="AS622">
        <v>0</v>
      </c>
      <c r="AT622">
        <v>17</v>
      </c>
      <c r="AU622">
        <v>0</v>
      </c>
      <c r="AV622">
        <v>0</v>
      </c>
      <c r="AW622">
        <v>0</v>
      </c>
      <c r="AX622">
        <v>0</v>
      </c>
      <c r="AY622">
        <v>0</v>
      </c>
    </row>
    <row r="623" spans="1:51" x14ac:dyDescent="0.25">
      <c r="A623">
        <v>189</v>
      </c>
      <c r="B623">
        <v>20180</v>
      </c>
      <c r="C623" t="s">
        <v>735</v>
      </c>
      <c r="D623" t="s">
        <v>96</v>
      </c>
      <c r="E623" t="s">
        <v>100</v>
      </c>
      <c r="F623" t="s">
        <v>107</v>
      </c>
      <c r="G623" t="s">
        <v>185</v>
      </c>
      <c r="H623" t="s">
        <v>78</v>
      </c>
      <c r="I623" t="s">
        <v>197</v>
      </c>
      <c r="J623" t="s">
        <v>119</v>
      </c>
      <c r="K623" t="s">
        <v>75</v>
      </c>
      <c r="L623" t="s">
        <v>223</v>
      </c>
      <c r="M623" t="s">
        <v>149</v>
      </c>
      <c r="N623" t="s">
        <v>74</v>
      </c>
      <c r="O623" t="s">
        <v>187</v>
      </c>
      <c r="P623" t="s">
        <v>71</v>
      </c>
      <c r="Q623" t="s">
        <v>71</v>
      </c>
      <c r="R623" t="s">
        <v>71</v>
      </c>
      <c r="S623">
        <v>0</v>
      </c>
      <c r="T623">
        <v>1</v>
      </c>
      <c r="U623" t="s">
        <v>72</v>
      </c>
      <c r="V623" t="s">
        <v>188</v>
      </c>
      <c r="W623">
        <v>0</v>
      </c>
      <c r="X623">
        <v>1</v>
      </c>
      <c r="Y623">
        <v>0</v>
      </c>
      <c r="Z623">
        <v>0</v>
      </c>
      <c r="AA623">
        <v>0</v>
      </c>
      <c r="AB623">
        <v>0</v>
      </c>
      <c r="AC623">
        <v>0</v>
      </c>
      <c r="AD623">
        <v>0</v>
      </c>
      <c r="AE623">
        <v>0</v>
      </c>
      <c r="AF623">
        <v>0</v>
      </c>
      <c r="AG623" t="s">
        <v>71</v>
      </c>
      <c r="AH623">
        <v>0</v>
      </c>
      <c r="AI623">
        <v>0</v>
      </c>
      <c r="AJ623">
        <v>0</v>
      </c>
      <c r="AK623">
        <v>0</v>
      </c>
      <c r="AL623" t="s">
        <v>387</v>
      </c>
      <c r="AM623" t="s">
        <v>254</v>
      </c>
      <c r="AN623" t="s">
        <v>94</v>
      </c>
      <c r="AO623" t="s">
        <v>147</v>
      </c>
      <c r="AP623">
        <v>0</v>
      </c>
      <c r="AQ623">
        <v>0</v>
      </c>
      <c r="AR623">
        <v>0</v>
      </c>
      <c r="AS623">
        <v>0</v>
      </c>
      <c r="AT623">
        <v>10</v>
      </c>
      <c r="AU623">
        <v>0</v>
      </c>
      <c r="AV623">
        <v>0</v>
      </c>
      <c r="AW623">
        <v>0</v>
      </c>
      <c r="AX623">
        <v>0</v>
      </c>
      <c r="AY623">
        <v>0</v>
      </c>
    </row>
    <row r="624" spans="1:51" x14ac:dyDescent="0.25">
      <c r="A624">
        <v>190</v>
      </c>
      <c r="B624">
        <v>20190</v>
      </c>
      <c r="C624" t="s">
        <v>735</v>
      </c>
      <c r="D624" t="s">
        <v>96</v>
      </c>
      <c r="E624" t="s">
        <v>100</v>
      </c>
      <c r="F624" t="s">
        <v>107</v>
      </c>
      <c r="G624" t="s">
        <v>77</v>
      </c>
      <c r="H624" t="s">
        <v>78</v>
      </c>
      <c r="I624" t="s">
        <v>79</v>
      </c>
      <c r="J624" t="s">
        <v>119</v>
      </c>
      <c r="K624" t="s">
        <v>75</v>
      </c>
      <c r="L624" t="s">
        <v>76</v>
      </c>
      <c r="M624" t="s">
        <v>179</v>
      </c>
      <c r="N624" t="s">
        <v>74</v>
      </c>
      <c r="O624" t="s">
        <v>187</v>
      </c>
      <c r="P624" t="s">
        <v>71</v>
      </c>
      <c r="Q624" t="s">
        <v>71</v>
      </c>
      <c r="R624" t="s">
        <v>71</v>
      </c>
      <c r="S624">
        <v>1</v>
      </c>
      <c r="T624">
        <v>1</v>
      </c>
      <c r="U624" t="s">
        <v>72</v>
      </c>
      <c r="V624" t="s">
        <v>188</v>
      </c>
      <c r="W624">
        <v>0</v>
      </c>
      <c r="X624">
        <v>1</v>
      </c>
      <c r="Y624">
        <v>1</v>
      </c>
      <c r="Z624">
        <v>10</v>
      </c>
      <c r="AA624">
        <v>1</v>
      </c>
      <c r="AB624">
        <v>10</v>
      </c>
      <c r="AC624">
        <v>1</v>
      </c>
      <c r="AD624">
        <v>10</v>
      </c>
      <c r="AE624">
        <v>0</v>
      </c>
      <c r="AF624">
        <v>0</v>
      </c>
      <c r="AG624" t="s">
        <v>71</v>
      </c>
      <c r="AH624">
        <v>0</v>
      </c>
      <c r="AI624">
        <v>0</v>
      </c>
      <c r="AJ624">
        <v>0</v>
      </c>
      <c r="AK624">
        <v>0</v>
      </c>
      <c r="AL624" t="s">
        <v>387</v>
      </c>
      <c r="AM624" t="s">
        <v>254</v>
      </c>
      <c r="AN624" t="s">
        <v>94</v>
      </c>
      <c r="AO624" t="s">
        <v>147</v>
      </c>
      <c r="AP624">
        <v>0</v>
      </c>
      <c r="AQ624">
        <v>0</v>
      </c>
      <c r="AR624">
        <v>0</v>
      </c>
      <c r="AS624">
        <v>0</v>
      </c>
      <c r="AT624">
        <v>17</v>
      </c>
      <c r="AU624">
        <v>0</v>
      </c>
      <c r="AV624">
        <v>0</v>
      </c>
      <c r="AW624">
        <v>0</v>
      </c>
      <c r="AX624">
        <v>0</v>
      </c>
      <c r="AY624">
        <v>0</v>
      </c>
    </row>
    <row r="625" spans="1:51" x14ac:dyDescent="0.25">
      <c r="A625">
        <v>191</v>
      </c>
      <c r="B625">
        <v>20200</v>
      </c>
      <c r="C625" t="s">
        <v>735</v>
      </c>
      <c r="D625" t="s">
        <v>96</v>
      </c>
      <c r="E625" t="s">
        <v>100</v>
      </c>
      <c r="F625" t="s">
        <v>107</v>
      </c>
      <c r="G625" t="s">
        <v>77</v>
      </c>
      <c r="H625" t="s">
        <v>78</v>
      </c>
      <c r="I625" t="s">
        <v>79</v>
      </c>
      <c r="J625" t="s">
        <v>119</v>
      </c>
      <c r="K625" t="s">
        <v>75</v>
      </c>
      <c r="L625" t="s">
        <v>76</v>
      </c>
      <c r="M625" t="s">
        <v>149</v>
      </c>
      <c r="N625" t="s">
        <v>74</v>
      </c>
      <c r="O625" t="s">
        <v>187</v>
      </c>
      <c r="P625" t="s">
        <v>71</v>
      </c>
      <c r="Q625" t="s">
        <v>71</v>
      </c>
      <c r="R625" t="s">
        <v>71</v>
      </c>
      <c r="S625">
        <v>1</v>
      </c>
      <c r="T625">
        <v>1</v>
      </c>
      <c r="U625" t="s">
        <v>72</v>
      </c>
      <c r="V625" t="s">
        <v>188</v>
      </c>
      <c r="W625">
        <v>0</v>
      </c>
      <c r="X625">
        <v>1</v>
      </c>
      <c r="Y625">
        <v>1</v>
      </c>
      <c r="Z625">
        <v>10</v>
      </c>
      <c r="AA625">
        <v>1</v>
      </c>
      <c r="AB625">
        <v>10</v>
      </c>
      <c r="AC625">
        <v>1</v>
      </c>
      <c r="AD625">
        <v>10</v>
      </c>
      <c r="AE625">
        <v>0</v>
      </c>
      <c r="AF625">
        <v>0</v>
      </c>
      <c r="AG625" t="s">
        <v>71</v>
      </c>
      <c r="AH625">
        <v>0</v>
      </c>
      <c r="AI625">
        <v>0</v>
      </c>
      <c r="AJ625">
        <v>0</v>
      </c>
      <c r="AK625">
        <v>0</v>
      </c>
      <c r="AL625" t="s">
        <v>387</v>
      </c>
      <c r="AM625" t="s">
        <v>254</v>
      </c>
      <c r="AN625" t="s">
        <v>94</v>
      </c>
      <c r="AO625" t="s">
        <v>147</v>
      </c>
      <c r="AP625">
        <v>0</v>
      </c>
      <c r="AQ625">
        <v>0</v>
      </c>
      <c r="AR625">
        <v>0</v>
      </c>
      <c r="AS625">
        <v>0</v>
      </c>
      <c r="AT625">
        <v>1</v>
      </c>
      <c r="AU625">
        <v>0</v>
      </c>
      <c r="AV625">
        <v>0</v>
      </c>
      <c r="AW625">
        <v>0</v>
      </c>
      <c r="AX625">
        <v>0</v>
      </c>
      <c r="AY625">
        <v>0</v>
      </c>
    </row>
    <row r="626" spans="1:51" x14ac:dyDescent="0.25">
      <c r="A626">
        <v>192</v>
      </c>
      <c r="B626">
        <v>20210</v>
      </c>
      <c r="C626" t="s">
        <v>735</v>
      </c>
      <c r="D626" t="s">
        <v>96</v>
      </c>
      <c r="E626" t="s">
        <v>100</v>
      </c>
      <c r="F626" t="s">
        <v>107</v>
      </c>
      <c r="G626" t="s">
        <v>77</v>
      </c>
      <c r="H626" t="s">
        <v>78</v>
      </c>
      <c r="I626" t="s">
        <v>79</v>
      </c>
      <c r="J626" t="s">
        <v>70</v>
      </c>
      <c r="K626" t="s">
        <v>75</v>
      </c>
      <c r="L626" t="s">
        <v>76</v>
      </c>
      <c r="M626" t="s">
        <v>149</v>
      </c>
      <c r="N626" t="s">
        <v>74</v>
      </c>
      <c r="O626" t="s">
        <v>187</v>
      </c>
      <c r="P626" t="s">
        <v>71</v>
      </c>
      <c r="Q626" t="s">
        <v>71</v>
      </c>
      <c r="R626" t="s">
        <v>71</v>
      </c>
      <c r="S626">
        <v>1</v>
      </c>
      <c r="T626">
        <v>1</v>
      </c>
      <c r="U626" t="s">
        <v>72</v>
      </c>
      <c r="V626" t="s">
        <v>188</v>
      </c>
      <c r="W626">
        <v>0</v>
      </c>
      <c r="X626">
        <v>1</v>
      </c>
      <c r="Y626">
        <v>0</v>
      </c>
      <c r="Z626">
        <v>0</v>
      </c>
      <c r="AA626">
        <v>0</v>
      </c>
      <c r="AB626">
        <v>0</v>
      </c>
      <c r="AC626">
        <v>0</v>
      </c>
      <c r="AD626">
        <v>0</v>
      </c>
      <c r="AE626">
        <v>0</v>
      </c>
      <c r="AF626">
        <v>0</v>
      </c>
      <c r="AG626" t="s">
        <v>71</v>
      </c>
      <c r="AH626">
        <v>0</v>
      </c>
      <c r="AI626">
        <v>0</v>
      </c>
      <c r="AJ626">
        <v>0</v>
      </c>
      <c r="AK626">
        <v>0</v>
      </c>
      <c r="AL626" t="s">
        <v>387</v>
      </c>
      <c r="AM626" t="s">
        <v>254</v>
      </c>
      <c r="AN626" t="s">
        <v>94</v>
      </c>
      <c r="AO626" t="s">
        <v>147</v>
      </c>
      <c r="AP626">
        <v>0</v>
      </c>
      <c r="AQ626">
        <v>0</v>
      </c>
      <c r="AR626">
        <v>0</v>
      </c>
      <c r="AS626">
        <v>0</v>
      </c>
      <c r="AT626">
        <v>128</v>
      </c>
      <c r="AU626">
        <v>0</v>
      </c>
      <c r="AV626">
        <v>0</v>
      </c>
      <c r="AW626">
        <v>0</v>
      </c>
      <c r="AX626">
        <v>0</v>
      </c>
      <c r="AY626">
        <v>0</v>
      </c>
    </row>
    <row r="627" spans="1:51" x14ac:dyDescent="0.25">
      <c r="A627">
        <v>193</v>
      </c>
      <c r="B627">
        <v>20220</v>
      </c>
      <c r="C627" t="s">
        <v>735</v>
      </c>
      <c r="D627" t="s">
        <v>96</v>
      </c>
      <c r="E627" t="s">
        <v>100</v>
      </c>
      <c r="F627" t="s">
        <v>107</v>
      </c>
      <c r="G627" t="s">
        <v>77</v>
      </c>
      <c r="H627" t="s">
        <v>78</v>
      </c>
      <c r="I627" t="s">
        <v>79</v>
      </c>
      <c r="J627" t="s">
        <v>119</v>
      </c>
      <c r="K627" t="s">
        <v>75</v>
      </c>
      <c r="L627" t="s">
        <v>76</v>
      </c>
      <c r="M627" t="s">
        <v>149</v>
      </c>
      <c r="N627" t="s">
        <v>74</v>
      </c>
      <c r="O627" t="s">
        <v>187</v>
      </c>
      <c r="P627" t="s">
        <v>71</v>
      </c>
      <c r="Q627" t="s">
        <v>71</v>
      </c>
      <c r="R627" t="s">
        <v>71</v>
      </c>
      <c r="S627">
        <v>1</v>
      </c>
      <c r="T627">
        <v>1</v>
      </c>
      <c r="U627" t="s">
        <v>72</v>
      </c>
      <c r="V627" t="s">
        <v>188</v>
      </c>
      <c r="W627">
        <v>0</v>
      </c>
      <c r="X627">
        <v>1</v>
      </c>
      <c r="Y627">
        <v>1</v>
      </c>
      <c r="Z627">
        <v>10</v>
      </c>
      <c r="AA627">
        <v>1</v>
      </c>
      <c r="AB627">
        <v>10</v>
      </c>
      <c r="AC627">
        <v>1</v>
      </c>
      <c r="AD627">
        <v>10</v>
      </c>
      <c r="AE627">
        <v>0</v>
      </c>
      <c r="AF627">
        <v>0</v>
      </c>
      <c r="AG627" t="s">
        <v>71</v>
      </c>
      <c r="AH627">
        <v>0</v>
      </c>
      <c r="AI627">
        <v>0</v>
      </c>
      <c r="AJ627">
        <v>0</v>
      </c>
      <c r="AK627">
        <v>0</v>
      </c>
      <c r="AL627" t="s">
        <v>387</v>
      </c>
      <c r="AM627" t="s">
        <v>254</v>
      </c>
      <c r="AN627" t="s">
        <v>94</v>
      </c>
      <c r="AO627" t="s">
        <v>147</v>
      </c>
      <c r="AP627">
        <v>0</v>
      </c>
      <c r="AQ627">
        <v>0</v>
      </c>
      <c r="AR627">
        <v>0</v>
      </c>
      <c r="AS627">
        <v>0</v>
      </c>
      <c r="AT627">
        <v>1</v>
      </c>
      <c r="AU627">
        <v>0</v>
      </c>
      <c r="AV627">
        <v>0</v>
      </c>
      <c r="AW627">
        <v>0</v>
      </c>
      <c r="AX627">
        <v>0</v>
      </c>
      <c r="AY627">
        <v>0</v>
      </c>
    </row>
    <row r="628" spans="1:51" x14ac:dyDescent="0.25">
      <c r="A628">
        <v>194</v>
      </c>
      <c r="B628">
        <v>20230</v>
      </c>
      <c r="C628" t="s">
        <v>735</v>
      </c>
      <c r="D628" t="s">
        <v>96</v>
      </c>
      <c r="E628" t="s">
        <v>100</v>
      </c>
      <c r="F628" t="s">
        <v>107</v>
      </c>
      <c r="G628" t="s">
        <v>77</v>
      </c>
      <c r="H628" t="s">
        <v>78</v>
      </c>
      <c r="I628" t="s">
        <v>79</v>
      </c>
      <c r="J628" t="s">
        <v>150</v>
      </c>
      <c r="K628" t="s">
        <v>75</v>
      </c>
      <c r="L628" t="s">
        <v>76</v>
      </c>
      <c r="M628" t="s">
        <v>149</v>
      </c>
      <c r="N628" t="s">
        <v>74</v>
      </c>
      <c r="O628" t="s">
        <v>187</v>
      </c>
      <c r="P628" t="s">
        <v>71</v>
      </c>
      <c r="Q628" t="s">
        <v>71</v>
      </c>
      <c r="R628" t="s">
        <v>71</v>
      </c>
      <c r="S628">
        <v>1</v>
      </c>
      <c r="T628">
        <v>1</v>
      </c>
      <c r="U628" t="s">
        <v>72</v>
      </c>
      <c r="V628" t="s">
        <v>188</v>
      </c>
      <c r="W628">
        <v>0</v>
      </c>
      <c r="X628">
        <v>1</v>
      </c>
      <c r="Y628">
        <v>0</v>
      </c>
      <c r="Z628">
        <v>0</v>
      </c>
      <c r="AA628">
        <v>0</v>
      </c>
      <c r="AB628">
        <v>0</v>
      </c>
      <c r="AC628">
        <v>0</v>
      </c>
      <c r="AD628">
        <v>0</v>
      </c>
      <c r="AE628">
        <v>0</v>
      </c>
      <c r="AF628">
        <v>0</v>
      </c>
      <c r="AG628" t="s">
        <v>71</v>
      </c>
      <c r="AH628">
        <v>0</v>
      </c>
      <c r="AI628">
        <v>0</v>
      </c>
      <c r="AJ628">
        <v>0</v>
      </c>
      <c r="AK628">
        <v>0</v>
      </c>
      <c r="AL628" t="s">
        <v>387</v>
      </c>
      <c r="AM628" t="s">
        <v>254</v>
      </c>
      <c r="AN628" t="s">
        <v>94</v>
      </c>
      <c r="AO628" t="s">
        <v>147</v>
      </c>
      <c r="AP628">
        <v>0</v>
      </c>
      <c r="AQ628">
        <v>0</v>
      </c>
      <c r="AR628">
        <v>0</v>
      </c>
      <c r="AS628">
        <v>0</v>
      </c>
      <c r="AT628">
        <v>128</v>
      </c>
      <c r="AU628">
        <v>0</v>
      </c>
      <c r="AV628">
        <v>0</v>
      </c>
      <c r="AW628">
        <v>0</v>
      </c>
      <c r="AX628">
        <v>0</v>
      </c>
      <c r="AY628">
        <v>0</v>
      </c>
    </row>
    <row r="629" spans="1:51" x14ac:dyDescent="0.25">
      <c r="A629">
        <v>195</v>
      </c>
      <c r="B629">
        <v>20240</v>
      </c>
      <c r="C629" t="s">
        <v>735</v>
      </c>
      <c r="D629" t="s">
        <v>96</v>
      </c>
      <c r="E629" t="s">
        <v>100</v>
      </c>
      <c r="F629" t="s">
        <v>107</v>
      </c>
      <c r="G629" t="s">
        <v>77</v>
      </c>
      <c r="H629" t="s">
        <v>78</v>
      </c>
      <c r="I629" t="s">
        <v>79</v>
      </c>
      <c r="J629" t="s">
        <v>119</v>
      </c>
      <c r="K629" t="s">
        <v>75</v>
      </c>
      <c r="L629" t="s">
        <v>76</v>
      </c>
      <c r="M629" t="s">
        <v>149</v>
      </c>
      <c r="N629" t="s">
        <v>74</v>
      </c>
      <c r="O629" t="s">
        <v>187</v>
      </c>
      <c r="P629" t="s">
        <v>71</v>
      </c>
      <c r="Q629" t="s">
        <v>71</v>
      </c>
      <c r="R629" t="s">
        <v>71</v>
      </c>
      <c r="S629">
        <v>1</v>
      </c>
      <c r="T629">
        <v>1</v>
      </c>
      <c r="U629" t="s">
        <v>72</v>
      </c>
      <c r="V629" t="s">
        <v>188</v>
      </c>
      <c r="W629">
        <v>0</v>
      </c>
      <c r="X629">
        <v>1</v>
      </c>
      <c r="Y629">
        <v>1</v>
      </c>
      <c r="Z629">
        <v>10</v>
      </c>
      <c r="AA629">
        <v>1</v>
      </c>
      <c r="AB629">
        <v>10</v>
      </c>
      <c r="AC629">
        <v>1</v>
      </c>
      <c r="AD629">
        <v>10</v>
      </c>
      <c r="AE629">
        <v>0</v>
      </c>
      <c r="AF629">
        <v>0</v>
      </c>
      <c r="AG629" t="s">
        <v>71</v>
      </c>
      <c r="AH629">
        <v>0</v>
      </c>
      <c r="AI629">
        <v>0</v>
      </c>
      <c r="AJ629">
        <v>0</v>
      </c>
      <c r="AK629">
        <v>0</v>
      </c>
      <c r="AL629" t="s">
        <v>387</v>
      </c>
      <c r="AM629" t="s">
        <v>254</v>
      </c>
      <c r="AN629" t="s">
        <v>94</v>
      </c>
      <c r="AO629" t="s">
        <v>147</v>
      </c>
      <c r="AP629">
        <v>0</v>
      </c>
      <c r="AQ629">
        <v>0</v>
      </c>
      <c r="AR629">
        <v>0</v>
      </c>
      <c r="AS629">
        <v>0</v>
      </c>
      <c r="AT629">
        <v>1</v>
      </c>
      <c r="AU629">
        <v>0</v>
      </c>
      <c r="AV629">
        <v>0</v>
      </c>
      <c r="AW629">
        <v>0</v>
      </c>
      <c r="AX629">
        <v>0</v>
      </c>
      <c r="AY629">
        <v>0</v>
      </c>
    </row>
    <row r="630" spans="1:51" x14ac:dyDescent="0.25">
      <c r="A630">
        <v>196</v>
      </c>
      <c r="B630">
        <v>20250</v>
      </c>
      <c r="C630" t="s">
        <v>735</v>
      </c>
      <c r="D630" t="s">
        <v>96</v>
      </c>
      <c r="E630" t="s">
        <v>100</v>
      </c>
      <c r="F630" t="s">
        <v>107</v>
      </c>
      <c r="G630" t="s">
        <v>77</v>
      </c>
      <c r="H630" t="s">
        <v>78</v>
      </c>
      <c r="I630" t="s">
        <v>79</v>
      </c>
      <c r="J630" t="s">
        <v>152</v>
      </c>
      <c r="K630" t="s">
        <v>75</v>
      </c>
      <c r="L630" t="s">
        <v>76</v>
      </c>
      <c r="M630" t="s">
        <v>149</v>
      </c>
      <c r="N630" t="s">
        <v>74</v>
      </c>
      <c r="O630" t="s">
        <v>187</v>
      </c>
      <c r="P630" t="s">
        <v>71</v>
      </c>
      <c r="Q630" t="s">
        <v>71</v>
      </c>
      <c r="R630" t="s">
        <v>71</v>
      </c>
      <c r="S630">
        <v>1</v>
      </c>
      <c r="T630">
        <v>1</v>
      </c>
      <c r="U630" t="s">
        <v>72</v>
      </c>
      <c r="V630" t="s">
        <v>188</v>
      </c>
      <c r="W630">
        <v>0</v>
      </c>
      <c r="X630">
        <v>1</v>
      </c>
      <c r="Y630">
        <v>0</v>
      </c>
      <c r="Z630">
        <v>0</v>
      </c>
      <c r="AA630">
        <v>0</v>
      </c>
      <c r="AB630">
        <v>0</v>
      </c>
      <c r="AC630">
        <v>0</v>
      </c>
      <c r="AD630">
        <v>0</v>
      </c>
      <c r="AE630">
        <v>0</v>
      </c>
      <c r="AF630">
        <v>0</v>
      </c>
      <c r="AG630" t="s">
        <v>71</v>
      </c>
      <c r="AH630">
        <v>0</v>
      </c>
      <c r="AI630">
        <v>0</v>
      </c>
      <c r="AJ630">
        <v>0</v>
      </c>
      <c r="AK630">
        <v>0</v>
      </c>
      <c r="AL630" t="s">
        <v>387</v>
      </c>
      <c r="AM630" t="s">
        <v>254</v>
      </c>
      <c r="AN630" t="s">
        <v>94</v>
      </c>
      <c r="AO630" t="s">
        <v>147</v>
      </c>
      <c r="AP630">
        <v>0</v>
      </c>
      <c r="AQ630">
        <v>0</v>
      </c>
      <c r="AR630">
        <v>0</v>
      </c>
      <c r="AS630">
        <v>0</v>
      </c>
      <c r="AT630">
        <v>128</v>
      </c>
      <c r="AU630">
        <v>0</v>
      </c>
      <c r="AV630">
        <v>0</v>
      </c>
      <c r="AW630">
        <v>0</v>
      </c>
      <c r="AX630">
        <v>0</v>
      </c>
      <c r="AY630">
        <v>0</v>
      </c>
    </row>
    <row r="631" spans="1:51" x14ac:dyDescent="0.25">
      <c r="A631">
        <v>197</v>
      </c>
      <c r="B631">
        <v>20260</v>
      </c>
      <c r="C631" t="s">
        <v>735</v>
      </c>
      <c r="D631" t="s">
        <v>96</v>
      </c>
      <c r="E631" t="s">
        <v>100</v>
      </c>
      <c r="F631" t="s">
        <v>107</v>
      </c>
      <c r="G631" t="s">
        <v>77</v>
      </c>
      <c r="H631" t="s">
        <v>78</v>
      </c>
      <c r="I631" t="s">
        <v>79</v>
      </c>
      <c r="J631" t="s">
        <v>119</v>
      </c>
      <c r="K631" t="s">
        <v>75</v>
      </c>
      <c r="L631" t="s">
        <v>76</v>
      </c>
      <c r="M631" t="s">
        <v>149</v>
      </c>
      <c r="N631" t="s">
        <v>74</v>
      </c>
      <c r="O631" t="s">
        <v>187</v>
      </c>
      <c r="P631" t="s">
        <v>71</v>
      </c>
      <c r="Q631" t="s">
        <v>71</v>
      </c>
      <c r="R631" t="s">
        <v>71</v>
      </c>
      <c r="S631">
        <v>1</v>
      </c>
      <c r="T631">
        <v>1</v>
      </c>
      <c r="U631" t="s">
        <v>72</v>
      </c>
      <c r="V631" t="s">
        <v>188</v>
      </c>
      <c r="W631">
        <v>0</v>
      </c>
      <c r="X631">
        <v>1</v>
      </c>
      <c r="Y631">
        <v>1</v>
      </c>
      <c r="Z631">
        <v>10</v>
      </c>
      <c r="AA631">
        <v>1</v>
      </c>
      <c r="AB631">
        <v>10</v>
      </c>
      <c r="AC631">
        <v>1</v>
      </c>
      <c r="AD631">
        <v>10</v>
      </c>
      <c r="AE631">
        <v>0</v>
      </c>
      <c r="AF631">
        <v>0</v>
      </c>
      <c r="AG631" t="s">
        <v>71</v>
      </c>
      <c r="AH631">
        <v>0</v>
      </c>
      <c r="AI631">
        <v>0</v>
      </c>
      <c r="AJ631">
        <v>0</v>
      </c>
      <c r="AK631">
        <v>0</v>
      </c>
      <c r="AL631" t="s">
        <v>387</v>
      </c>
      <c r="AM631" t="s">
        <v>254</v>
      </c>
      <c r="AN631" t="s">
        <v>94</v>
      </c>
      <c r="AO631" t="s">
        <v>147</v>
      </c>
      <c r="AP631">
        <v>0</v>
      </c>
      <c r="AQ631">
        <v>0</v>
      </c>
      <c r="AR631">
        <v>0</v>
      </c>
      <c r="AS631">
        <v>0</v>
      </c>
      <c r="AT631">
        <v>1</v>
      </c>
      <c r="AU631">
        <v>0</v>
      </c>
      <c r="AV631">
        <v>0</v>
      </c>
      <c r="AW631">
        <v>0</v>
      </c>
      <c r="AX631">
        <v>0</v>
      </c>
      <c r="AY631">
        <v>0</v>
      </c>
    </row>
    <row r="632" spans="1:51" x14ac:dyDescent="0.25">
      <c r="A632">
        <v>198</v>
      </c>
      <c r="B632">
        <v>20270</v>
      </c>
      <c r="C632" t="s">
        <v>735</v>
      </c>
      <c r="D632" t="s">
        <v>96</v>
      </c>
      <c r="E632" t="s">
        <v>100</v>
      </c>
      <c r="F632" t="s">
        <v>107</v>
      </c>
      <c r="G632" t="s">
        <v>77</v>
      </c>
      <c r="H632" t="s">
        <v>182</v>
      </c>
      <c r="I632" t="s">
        <v>195</v>
      </c>
      <c r="J632" t="s">
        <v>150</v>
      </c>
      <c r="K632" t="s">
        <v>75</v>
      </c>
      <c r="L632" t="s">
        <v>76</v>
      </c>
      <c r="M632" t="s">
        <v>103</v>
      </c>
      <c r="N632" t="s">
        <v>74</v>
      </c>
      <c r="O632" t="s">
        <v>187</v>
      </c>
      <c r="P632" t="s">
        <v>71</v>
      </c>
      <c r="Q632" t="s">
        <v>71</v>
      </c>
      <c r="R632" t="s">
        <v>71</v>
      </c>
      <c r="S632">
        <v>1</v>
      </c>
      <c r="T632">
        <v>1</v>
      </c>
      <c r="U632" t="s">
        <v>72</v>
      </c>
      <c r="V632" t="s">
        <v>188</v>
      </c>
      <c r="W632">
        <v>0</v>
      </c>
      <c r="X632">
        <v>1</v>
      </c>
      <c r="Y632">
        <v>0</v>
      </c>
      <c r="Z632">
        <v>0</v>
      </c>
      <c r="AA632">
        <v>0</v>
      </c>
      <c r="AB632">
        <v>0</v>
      </c>
      <c r="AC632">
        <v>0</v>
      </c>
      <c r="AD632">
        <v>0</v>
      </c>
      <c r="AE632">
        <v>0</v>
      </c>
      <c r="AF632">
        <v>0</v>
      </c>
      <c r="AG632" t="s">
        <v>71</v>
      </c>
      <c r="AH632">
        <v>0</v>
      </c>
      <c r="AI632">
        <v>0</v>
      </c>
      <c r="AJ632">
        <v>0</v>
      </c>
      <c r="AK632">
        <v>0</v>
      </c>
      <c r="AL632" t="s">
        <v>387</v>
      </c>
      <c r="AM632" t="s">
        <v>254</v>
      </c>
      <c r="AN632" t="s">
        <v>94</v>
      </c>
      <c r="AO632" t="s">
        <v>147</v>
      </c>
      <c r="AP632">
        <v>0</v>
      </c>
      <c r="AQ632">
        <v>0</v>
      </c>
      <c r="AR632">
        <v>0</v>
      </c>
      <c r="AS632">
        <v>0</v>
      </c>
      <c r="AT632">
        <v>156</v>
      </c>
      <c r="AU632">
        <v>0</v>
      </c>
      <c r="AV632">
        <v>0</v>
      </c>
      <c r="AW632">
        <v>0</v>
      </c>
      <c r="AX632">
        <v>0</v>
      </c>
      <c r="AY632">
        <v>0</v>
      </c>
    </row>
    <row r="633" spans="1:51" x14ac:dyDescent="0.25">
      <c r="A633">
        <v>199</v>
      </c>
      <c r="B633">
        <v>20280</v>
      </c>
      <c r="C633" t="s">
        <v>735</v>
      </c>
      <c r="D633" t="s">
        <v>96</v>
      </c>
      <c r="E633" t="s">
        <v>100</v>
      </c>
      <c r="F633" t="s">
        <v>107</v>
      </c>
      <c r="G633" t="s">
        <v>101</v>
      </c>
      <c r="H633" t="s">
        <v>78</v>
      </c>
      <c r="I633" t="s">
        <v>79</v>
      </c>
      <c r="J633" t="s">
        <v>150</v>
      </c>
      <c r="K633" t="s">
        <v>75</v>
      </c>
      <c r="L633" t="s">
        <v>76</v>
      </c>
      <c r="M633" t="s">
        <v>149</v>
      </c>
      <c r="N633" t="s">
        <v>74</v>
      </c>
      <c r="O633" t="s">
        <v>187</v>
      </c>
      <c r="P633" t="s">
        <v>71</v>
      </c>
      <c r="Q633" t="s">
        <v>71</v>
      </c>
      <c r="R633" t="s">
        <v>71</v>
      </c>
      <c r="S633">
        <v>1</v>
      </c>
      <c r="T633">
        <v>1</v>
      </c>
      <c r="U633" t="s">
        <v>72</v>
      </c>
      <c r="V633" t="s">
        <v>188</v>
      </c>
      <c r="W633">
        <v>0</v>
      </c>
      <c r="X633">
        <v>1</v>
      </c>
      <c r="Y633">
        <v>1</v>
      </c>
      <c r="Z633">
        <v>10</v>
      </c>
      <c r="AA633">
        <v>1</v>
      </c>
      <c r="AB633">
        <v>10</v>
      </c>
      <c r="AC633">
        <v>1</v>
      </c>
      <c r="AD633">
        <v>10</v>
      </c>
      <c r="AE633">
        <v>0</v>
      </c>
      <c r="AF633">
        <v>0</v>
      </c>
      <c r="AG633" t="s">
        <v>71</v>
      </c>
      <c r="AH633">
        <v>0</v>
      </c>
      <c r="AI633">
        <v>0</v>
      </c>
      <c r="AJ633">
        <v>0</v>
      </c>
      <c r="AK633">
        <v>0</v>
      </c>
      <c r="AL633" t="s">
        <v>387</v>
      </c>
      <c r="AM633" t="s">
        <v>254</v>
      </c>
      <c r="AN633" t="s">
        <v>94</v>
      </c>
      <c r="AO633" t="s">
        <v>147</v>
      </c>
      <c r="AP633">
        <v>0</v>
      </c>
      <c r="AQ633">
        <v>0</v>
      </c>
      <c r="AR633">
        <v>0</v>
      </c>
      <c r="AS633">
        <v>0</v>
      </c>
      <c r="AT633">
        <v>131</v>
      </c>
      <c r="AU633">
        <v>0</v>
      </c>
      <c r="AV633">
        <v>0</v>
      </c>
      <c r="AW633">
        <v>0</v>
      </c>
      <c r="AX633">
        <v>0</v>
      </c>
      <c r="AY633">
        <v>0</v>
      </c>
    </row>
    <row r="634" spans="1:51" x14ac:dyDescent="0.25">
      <c r="A634">
        <v>200</v>
      </c>
      <c r="B634">
        <v>20290</v>
      </c>
      <c r="C634" t="s">
        <v>735</v>
      </c>
      <c r="D634" t="s">
        <v>96</v>
      </c>
      <c r="E634" t="s">
        <v>100</v>
      </c>
      <c r="F634" t="s">
        <v>107</v>
      </c>
      <c r="G634" t="s">
        <v>77</v>
      </c>
      <c r="H634" t="s">
        <v>182</v>
      </c>
      <c r="I634" t="s">
        <v>79</v>
      </c>
      <c r="J634" t="s">
        <v>150</v>
      </c>
      <c r="K634" t="s">
        <v>75</v>
      </c>
      <c r="L634" t="s">
        <v>76</v>
      </c>
      <c r="M634" t="s">
        <v>149</v>
      </c>
      <c r="N634" t="s">
        <v>74</v>
      </c>
      <c r="O634" t="s">
        <v>187</v>
      </c>
      <c r="P634" t="s">
        <v>71</v>
      </c>
      <c r="Q634" t="s">
        <v>71</v>
      </c>
      <c r="R634" t="s">
        <v>71</v>
      </c>
      <c r="S634">
        <v>1</v>
      </c>
      <c r="T634">
        <v>1</v>
      </c>
      <c r="U634" t="s">
        <v>72</v>
      </c>
      <c r="V634" t="s">
        <v>188</v>
      </c>
      <c r="W634">
        <v>0</v>
      </c>
      <c r="X634">
        <v>1</v>
      </c>
      <c r="Y634">
        <v>0</v>
      </c>
      <c r="Z634">
        <v>0</v>
      </c>
      <c r="AA634">
        <v>0</v>
      </c>
      <c r="AB634">
        <v>0</v>
      </c>
      <c r="AC634">
        <v>0</v>
      </c>
      <c r="AD634">
        <v>0</v>
      </c>
      <c r="AE634">
        <v>0</v>
      </c>
      <c r="AF634">
        <v>0</v>
      </c>
      <c r="AG634" t="s">
        <v>71</v>
      </c>
      <c r="AH634">
        <v>0</v>
      </c>
      <c r="AI634">
        <v>0</v>
      </c>
      <c r="AJ634">
        <v>0</v>
      </c>
      <c r="AK634">
        <v>0</v>
      </c>
      <c r="AL634" t="s">
        <v>387</v>
      </c>
      <c r="AM634" t="s">
        <v>254</v>
      </c>
      <c r="AN634" t="s">
        <v>94</v>
      </c>
      <c r="AO634" t="s">
        <v>147</v>
      </c>
      <c r="AP634">
        <v>0</v>
      </c>
      <c r="AQ634">
        <v>0</v>
      </c>
      <c r="AR634">
        <v>0</v>
      </c>
      <c r="AS634">
        <v>0</v>
      </c>
      <c r="AT634">
        <v>132</v>
      </c>
      <c r="AU634">
        <v>0</v>
      </c>
      <c r="AV634">
        <v>0</v>
      </c>
      <c r="AW634">
        <v>0</v>
      </c>
      <c r="AX634">
        <v>0</v>
      </c>
      <c r="AY634">
        <v>0</v>
      </c>
    </row>
    <row r="635" spans="1:51" x14ac:dyDescent="0.25">
      <c r="A635">
        <v>169</v>
      </c>
      <c r="B635">
        <v>20300</v>
      </c>
      <c r="C635" t="s">
        <v>735</v>
      </c>
      <c r="D635" t="s">
        <v>96</v>
      </c>
      <c r="E635" t="s">
        <v>100</v>
      </c>
      <c r="F635" t="s">
        <v>107</v>
      </c>
      <c r="G635" t="s">
        <v>77</v>
      </c>
      <c r="H635" t="s">
        <v>78</v>
      </c>
      <c r="I635" t="s">
        <v>79</v>
      </c>
      <c r="J635" t="s">
        <v>152</v>
      </c>
      <c r="K635" t="s">
        <v>75</v>
      </c>
      <c r="L635" t="s">
        <v>76</v>
      </c>
      <c r="M635" t="s">
        <v>149</v>
      </c>
      <c r="N635" t="s">
        <v>74</v>
      </c>
      <c r="O635" t="s">
        <v>187</v>
      </c>
      <c r="P635" t="s">
        <v>71</v>
      </c>
      <c r="Q635" t="s">
        <v>71</v>
      </c>
      <c r="R635" t="s">
        <v>110</v>
      </c>
      <c r="S635">
        <v>1</v>
      </c>
      <c r="T635">
        <v>1</v>
      </c>
      <c r="U635" t="s">
        <v>72</v>
      </c>
      <c r="V635" t="s">
        <v>188</v>
      </c>
      <c r="W635">
        <v>0</v>
      </c>
      <c r="X635">
        <v>1</v>
      </c>
      <c r="Y635">
        <v>0</v>
      </c>
      <c r="Z635">
        <v>0</v>
      </c>
      <c r="AA635">
        <v>0</v>
      </c>
      <c r="AB635">
        <v>0</v>
      </c>
      <c r="AC635">
        <v>0</v>
      </c>
      <c r="AD635">
        <v>0</v>
      </c>
      <c r="AE635">
        <v>0</v>
      </c>
      <c r="AF635">
        <v>0</v>
      </c>
      <c r="AG635" t="s">
        <v>71</v>
      </c>
      <c r="AH635">
        <v>0</v>
      </c>
      <c r="AI635">
        <v>0</v>
      </c>
      <c r="AJ635">
        <v>0</v>
      </c>
      <c r="AK635">
        <v>0</v>
      </c>
      <c r="AL635" t="s">
        <v>387</v>
      </c>
      <c r="AM635" t="s">
        <v>254</v>
      </c>
      <c r="AN635" t="s">
        <v>94</v>
      </c>
      <c r="AO635" t="s">
        <v>147</v>
      </c>
      <c r="AP635">
        <v>0</v>
      </c>
      <c r="AQ635">
        <v>0</v>
      </c>
      <c r="AR635">
        <v>0</v>
      </c>
      <c r="AS635">
        <v>0</v>
      </c>
      <c r="AT635">
        <v>128</v>
      </c>
      <c r="AU635">
        <v>0</v>
      </c>
      <c r="AV635">
        <v>0</v>
      </c>
      <c r="AW635">
        <v>0</v>
      </c>
      <c r="AX635">
        <v>8</v>
      </c>
      <c r="AY635">
        <v>0</v>
      </c>
    </row>
    <row r="636" spans="1:51" x14ac:dyDescent="0.25">
      <c r="A636">
        <v>169</v>
      </c>
      <c r="B636">
        <v>20310</v>
      </c>
      <c r="C636" t="s">
        <v>735</v>
      </c>
      <c r="D636" t="s">
        <v>96</v>
      </c>
      <c r="E636" t="s">
        <v>100</v>
      </c>
      <c r="F636" t="s">
        <v>107</v>
      </c>
      <c r="G636" t="s">
        <v>77</v>
      </c>
      <c r="H636" t="s">
        <v>78</v>
      </c>
      <c r="I636" t="s">
        <v>79</v>
      </c>
      <c r="J636" t="s">
        <v>152</v>
      </c>
      <c r="K636" t="s">
        <v>75</v>
      </c>
      <c r="L636" t="s">
        <v>76</v>
      </c>
      <c r="M636" t="s">
        <v>149</v>
      </c>
      <c r="N636" t="s">
        <v>74</v>
      </c>
      <c r="O636" t="s">
        <v>187</v>
      </c>
      <c r="P636" t="s">
        <v>71</v>
      </c>
      <c r="Q636" t="s">
        <v>71</v>
      </c>
      <c r="R636" t="s">
        <v>110</v>
      </c>
      <c r="S636">
        <v>1</v>
      </c>
      <c r="T636">
        <v>1</v>
      </c>
      <c r="U636" t="s">
        <v>72</v>
      </c>
      <c r="V636" t="s">
        <v>188</v>
      </c>
      <c r="W636">
        <v>0</v>
      </c>
      <c r="X636">
        <v>1</v>
      </c>
      <c r="Y636">
        <v>0</v>
      </c>
      <c r="Z636">
        <v>0</v>
      </c>
      <c r="AA636">
        <v>0</v>
      </c>
      <c r="AB636">
        <v>0</v>
      </c>
      <c r="AC636">
        <v>0</v>
      </c>
      <c r="AD636">
        <v>0</v>
      </c>
      <c r="AE636">
        <v>0</v>
      </c>
      <c r="AF636">
        <v>0</v>
      </c>
      <c r="AG636" t="s">
        <v>71</v>
      </c>
      <c r="AH636">
        <v>0</v>
      </c>
      <c r="AI636">
        <v>0</v>
      </c>
      <c r="AJ636">
        <v>0</v>
      </c>
      <c r="AK636">
        <v>0</v>
      </c>
      <c r="AL636" t="s">
        <v>387</v>
      </c>
      <c r="AM636" t="s">
        <v>254</v>
      </c>
      <c r="AN636" t="s">
        <v>94</v>
      </c>
      <c r="AO636" t="s">
        <v>147</v>
      </c>
      <c r="AP636">
        <v>0</v>
      </c>
      <c r="AQ636">
        <v>0</v>
      </c>
      <c r="AR636">
        <v>0</v>
      </c>
      <c r="AS636">
        <v>0</v>
      </c>
      <c r="AT636">
        <v>128</v>
      </c>
      <c r="AU636">
        <v>0</v>
      </c>
      <c r="AV636">
        <v>0</v>
      </c>
      <c r="AW636">
        <v>0</v>
      </c>
      <c r="AX636">
        <v>8</v>
      </c>
      <c r="AY636">
        <v>0</v>
      </c>
    </row>
    <row r="637" spans="1:51" x14ac:dyDescent="0.25">
      <c r="A637">
        <v>169</v>
      </c>
      <c r="B637">
        <v>20320</v>
      </c>
      <c r="C637" t="s">
        <v>735</v>
      </c>
      <c r="D637" t="s">
        <v>96</v>
      </c>
      <c r="E637" t="s">
        <v>100</v>
      </c>
      <c r="F637" t="s">
        <v>107</v>
      </c>
      <c r="G637" t="s">
        <v>77</v>
      </c>
      <c r="H637" t="s">
        <v>78</v>
      </c>
      <c r="I637" t="s">
        <v>79</v>
      </c>
      <c r="J637" t="s">
        <v>152</v>
      </c>
      <c r="K637" t="s">
        <v>75</v>
      </c>
      <c r="L637" t="s">
        <v>76</v>
      </c>
      <c r="M637" t="s">
        <v>149</v>
      </c>
      <c r="N637" t="s">
        <v>74</v>
      </c>
      <c r="O637" t="s">
        <v>187</v>
      </c>
      <c r="P637" t="s">
        <v>71</v>
      </c>
      <c r="Q637" t="s">
        <v>71</v>
      </c>
      <c r="R637" t="s">
        <v>110</v>
      </c>
      <c r="S637">
        <v>1</v>
      </c>
      <c r="T637">
        <v>1</v>
      </c>
      <c r="U637" t="s">
        <v>72</v>
      </c>
      <c r="V637" t="s">
        <v>188</v>
      </c>
      <c r="W637">
        <v>0</v>
      </c>
      <c r="X637">
        <v>1</v>
      </c>
      <c r="Y637">
        <v>0</v>
      </c>
      <c r="Z637">
        <v>0</v>
      </c>
      <c r="AA637">
        <v>0</v>
      </c>
      <c r="AB637">
        <v>0</v>
      </c>
      <c r="AC637">
        <v>0</v>
      </c>
      <c r="AD637">
        <v>0</v>
      </c>
      <c r="AE637">
        <v>0</v>
      </c>
      <c r="AF637">
        <v>0</v>
      </c>
      <c r="AG637" t="s">
        <v>71</v>
      </c>
      <c r="AH637">
        <v>0</v>
      </c>
      <c r="AI637">
        <v>0</v>
      </c>
      <c r="AJ637">
        <v>0</v>
      </c>
      <c r="AK637">
        <v>0</v>
      </c>
      <c r="AL637" t="s">
        <v>387</v>
      </c>
      <c r="AM637" t="s">
        <v>254</v>
      </c>
      <c r="AN637" t="s">
        <v>94</v>
      </c>
      <c r="AO637" t="s">
        <v>147</v>
      </c>
      <c r="AP637">
        <v>0</v>
      </c>
      <c r="AQ637">
        <v>0</v>
      </c>
      <c r="AR637">
        <v>0</v>
      </c>
      <c r="AS637">
        <v>0</v>
      </c>
      <c r="AT637">
        <v>128</v>
      </c>
      <c r="AU637">
        <v>0</v>
      </c>
      <c r="AV637">
        <v>0</v>
      </c>
      <c r="AW637">
        <v>0</v>
      </c>
      <c r="AX637">
        <v>8</v>
      </c>
      <c r="AY637">
        <v>0</v>
      </c>
    </row>
    <row r="638" spans="1:51" x14ac:dyDescent="0.25">
      <c r="A638">
        <v>169</v>
      </c>
      <c r="B638">
        <v>20330</v>
      </c>
      <c r="C638" t="s">
        <v>735</v>
      </c>
      <c r="D638" t="s">
        <v>96</v>
      </c>
      <c r="E638" t="s">
        <v>100</v>
      </c>
      <c r="F638" t="s">
        <v>107</v>
      </c>
      <c r="G638" t="s">
        <v>77</v>
      </c>
      <c r="H638" t="s">
        <v>78</v>
      </c>
      <c r="I638" t="s">
        <v>79</v>
      </c>
      <c r="J638" t="s">
        <v>152</v>
      </c>
      <c r="K638" t="s">
        <v>75</v>
      </c>
      <c r="L638" t="s">
        <v>76</v>
      </c>
      <c r="M638" t="s">
        <v>149</v>
      </c>
      <c r="N638" t="s">
        <v>74</v>
      </c>
      <c r="O638" t="s">
        <v>187</v>
      </c>
      <c r="P638" t="s">
        <v>71</v>
      </c>
      <c r="Q638" t="s">
        <v>71</v>
      </c>
      <c r="R638" t="s">
        <v>110</v>
      </c>
      <c r="S638">
        <v>1</v>
      </c>
      <c r="T638">
        <v>1</v>
      </c>
      <c r="U638" t="s">
        <v>72</v>
      </c>
      <c r="V638" t="s">
        <v>188</v>
      </c>
      <c r="W638">
        <v>0</v>
      </c>
      <c r="X638">
        <v>1</v>
      </c>
      <c r="Y638">
        <v>0</v>
      </c>
      <c r="Z638">
        <v>0</v>
      </c>
      <c r="AA638">
        <v>0</v>
      </c>
      <c r="AB638">
        <v>0</v>
      </c>
      <c r="AC638">
        <v>0</v>
      </c>
      <c r="AD638">
        <v>0</v>
      </c>
      <c r="AE638">
        <v>0</v>
      </c>
      <c r="AF638">
        <v>0</v>
      </c>
      <c r="AG638" t="s">
        <v>71</v>
      </c>
      <c r="AH638">
        <v>0</v>
      </c>
      <c r="AI638">
        <v>0</v>
      </c>
      <c r="AJ638">
        <v>0</v>
      </c>
      <c r="AK638">
        <v>0</v>
      </c>
      <c r="AL638" t="s">
        <v>387</v>
      </c>
      <c r="AM638" t="s">
        <v>254</v>
      </c>
      <c r="AN638" t="s">
        <v>94</v>
      </c>
      <c r="AO638" t="s">
        <v>147</v>
      </c>
      <c r="AP638">
        <v>0</v>
      </c>
      <c r="AQ638">
        <v>0</v>
      </c>
      <c r="AR638">
        <v>0</v>
      </c>
      <c r="AS638">
        <v>0</v>
      </c>
      <c r="AT638">
        <v>128</v>
      </c>
      <c r="AU638">
        <v>0</v>
      </c>
      <c r="AV638">
        <v>0</v>
      </c>
      <c r="AW638">
        <v>0</v>
      </c>
      <c r="AX638">
        <v>8</v>
      </c>
      <c r="AY638">
        <v>0</v>
      </c>
    </row>
    <row r="639" spans="1:51" x14ac:dyDescent="0.25">
      <c r="A639">
        <v>169</v>
      </c>
      <c r="B639">
        <v>20340</v>
      </c>
      <c r="C639" t="s">
        <v>735</v>
      </c>
      <c r="D639" t="s">
        <v>96</v>
      </c>
      <c r="E639" t="s">
        <v>100</v>
      </c>
      <c r="F639" t="s">
        <v>107</v>
      </c>
      <c r="G639" t="s">
        <v>77</v>
      </c>
      <c r="H639" t="s">
        <v>78</v>
      </c>
      <c r="I639" t="s">
        <v>79</v>
      </c>
      <c r="J639" t="s">
        <v>152</v>
      </c>
      <c r="K639" t="s">
        <v>75</v>
      </c>
      <c r="L639" t="s">
        <v>76</v>
      </c>
      <c r="M639" t="s">
        <v>149</v>
      </c>
      <c r="N639" t="s">
        <v>74</v>
      </c>
      <c r="O639" t="s">
        <v>187</v>
      </c>
      <c r="P639" t="s">
        <v>71</v>
      </c>
      <c r="Q639" t="s">
        <v>71</v>
      </c>
      <c r="R639" t="s">
        <v>71</v>
      </c>
      <c r="S639">
        <v>1</v>
      </c>
      <c r="T639">
        <v>1</v>
      </c>
      <c r="U639" t="s">
        <v>72</v>
      </c>
      <c r="V639" t="s">
        <v>188</v>
      </c>
      <c r="W639">
        <v>0</v>
      </c>
      <c r="X639">
        <v>1</v>
      </c>
      <c r="Y639">
        <v>0</v>
      </c>
      <c r="Z639">
        <v>0</v>
      </c>
      <c r="AA639">
        <v>0</v>
      </c>
      <c r="AB639">
        <v>0</v>
      </c>
      <c r="AC639">
        <v>0</v>
      </c>
      <c r="AD639">
        <v>0</v>
      </c>
      <c r="AE639">
        <v>0</v>
      </c>
      <c r="AF639">
        <v>0</v>
      </c>
      <c r="AG639" t="s">
        <v>71</v>
      </c>
      <c r="AH639">
        <v>0</v>
      </c>
      <c r="AI639">
        <v>0</v>
      </c>
      <c r="AJ639">
        <v>0</v>
      </c>
      <c r="AK639">
        <v>0</v>
      </c>
      <c r="AL639" t="s">
        <v>387</v>
      </c>
      <c r="AM639" t="s">
        <v>254</v>
      </c>
      <c r="AN639" t="s">
        <v>94</v>
      </c>
      <c r="AO639" t="s">
        <v>147</v>
      </c>
      <c r="AP639">
        <v>0</v>
      </c>
      <c r="AQ639">
        <v>0</v>
      </c>
      <c r="AR639">
        <v>0</v>
      </c>
      <c r="AS639">
        <v>0</v>
      </c>
      <c r="AT639">
        <v>128</v>
      </c>
      <c r="AU639">
        <v>0</v>
      </c>
      <c r="AV639">
        <v>0</v>
      </c>
      <c r="AW639">
        <v>0</v>
      </c>
      <c r="AX639">
        <v>8</v>
      </c>
      <c r="AY639">
        <v>0</v>
      </c>
    </row>
    <row r="640" spans="1:51" x14ac:dyDescent="0.25">
      <c r="A640">
        <v>169</v>
      </c>
      <c r="B640">
        <v>20350</v>
      </c>
      <c r="C640" t="s">
        <v>735</v>
      </c>
      <c r="D640" t="s">
        <v>96</v>
      </c>
      <c r="E640" t="s">
        <v>100</v>
      </c>
      <c r="F640" t="s">
        <v>107</v>
      </c>
      <c r="G640" t="s">
        <v>77</v>
      </c>
      <c r="H640" t="s">
        <v>78</v>
      </c>
      <c r="I640" t="s">
        <v>79</v>
      </c>
      <c r="J640" t="s">
        <v>152</v>
      </c>
      <c r="K640" t="s">
        <v>75</v>
      </c>
      <c r="L640" t="s">
        <v>76</v>
      </c>
      <c r="M640" t="s">
        <v>149</v>
      </c>
      <c r="N640" t="s">
        <v>74</v>
      </c>
      <c r="O640" t="s">
        <v>187</v>
      </c>
      <c r="P640" t="s">
        <v>71</v>
      </c>
      <c r="Q640" t="s">
        <v>71</v>
      </c>
      <c r="R640" t="s">
        <v>71</v>
      </c>
      <c r="S640">
        <v>1</v>
      </c>
      <c r="T640">
        <v>1</v>
      </c>
      <c r="U640" t="s">
        <v>72</v>
      </c>
      <c r="V640" t="s">
        <v>188</v>
      </c>
      <c r="W640">
        <v>0</v>
      </c>
      <c r="X640">
        <v>1</v>
      </c>
      <c r="Y640">
        <v>0</v>
      </c>
      <c r="Z640">
        <v>0</v>
      </c>
      <c r="AA640">
        <v>0</v>
      </c>
      <c r="AB640">
        <v>0</v>
      </c>
      <c r="AC640">
        <v>0</v>
      </c>
      <c r="AD640">
        <v>0</v>
      </c>
      <c r="AE640">
        <v>0</v>
      </c>
      <c r="AF640">
        <v>0</v>
      </c>
      <c r="AG640" t="s">
        <v>71</v>
      </c>
      <c r="AH640">
        <v>0</v>
      </c>
      <c r="AI640">
        <v>0</v>
      </c>
      <c r="AJ640">
        <v>0</v>
      </c>
      <c r="AK640">
        <v>0</v>
      </c>
      <c r="AL640" t="s">
        <v>387</v>
      </c>
      <c r="AM640" t="s">
        <v>254</v>
      </c>
      <c r="AN640" t="s">
        <v>94</v>
      </c>
      <c r="AO640" t="s">
        <v>147</v>
      </c>
      <c r="AP640">
        <v>0</v>
      </c>
      <c r="AQ640">
        <v>0</v>
      </c>
      <c r="AR640">
        <v>0</v>
      </c>
      <c r="AS640">
        <v>0</v>
      </c>
      <c r="AT640">
        <v>128</v>
      </c>
      <c r="AU640">
        <v>0</v>
      </c>
      <c r="AV640">
        <v>0</v>
      </c>
      <c r="AW640">
        <v>0</v>
      </c>
      <c r="AX640">
        <v>8</v>
      </c>
      <c r="AY640">
        <v>0</v>
      </c>
    </row>
    <row r="641" spans="1:51" x14ac:dyDescent="0.25">
      <c r="A641">
        <v>169</v>
      </c>
      <c r="B641">
        <v>23320</v>
      </c>
      <c r="C641" t="s">
        <v>735</v>
      </c>
      <c r="D641" t="s">
        <v>96</v>
      </c>
      <c r="E641" t="s">
        <v>100</v>
      </c>
      <c r="F641" t="s">
        <v>107</v>
      </c>
      <c r="G641" t="s">
        <v>77</v>
      </c>
      <c r="H641" t="s">
        <v>78</v>
      </c>
      <c r="I641" t="s">
        <v>79</v>
      </c>
      <c r="J641" t="s">
        <v>152</v>
      </c>
      <c r="K641" t="s">
        <v>75</v>
      </c>
      <c r="L641" t="s">
        <v>76</v>
      </c>
      <c r="M641" t="s">
        <v>149</v>
      </c>
      <c r="N641" t="s">
        <v>74</v>
      </c>
      <c r="O641" t="s">
        <v>187</v>
      </c>
      <c r="P641" t="s">
        <v>71</v>
      </c>
      <c r="Q641" t="s">
        <v>71</v>
      </c>
      <c r="R641" t="s">
        <v>71</v>
      </c>
      <c r="S641">
        <v>1</v>
      </c>
      <c r="T641">
        <v>1</v>
      </c>
      <c r="U641" t="s">
        <v>72</v>
      </c>
      <c r="V641" t="s">
        <v>188</v>
      </c>
      <c r="W641">
        <v>0</v>
      </c>
      <c r="X641">
        <v>1</v>
      </c>
      <c r="Y641">
        <v>0</v>
      </c>
      <c r="Z641">
        <v>0</v>
      </c>
      <c r="AA641">
        <v>0</v>
      </c>
      <c r="AB641">
        <v>0</v>
      </c>
      <c r="AC641">
        <v>0</v>
      </c>
      <c r="AD641">
        <v>0</v>
      </c>
      <c r="AE641">
        <v>0</v>
      </c>
      <c r="AF641">
        <v>0</v>
      </c>
      <c r="AG641" t="s">
        <v>71</v>
      </c>
      <c r="AH641">
        <v>0</v>
      </c>
      <c r="AI641">
        <v>0</v>
      </c>
      <c r="AJ641">
        <v>0</v>
      </c>
      <c r="AK641">
        <v>0</v>
      </c>
      <c r="AL641" t="s">
        <v>387</v>
      </c>
      <c r="AM641" t="s">
        <v>254</v>
      </c>
      <c r="AN641" t="s">
        <v>94</v>
      </c>
      <c r="AO641" t="s">
        <v>147</v>
      </c>
      <c r="AP641">
        <v>0</v>
      </c>
      <c r="AQ641">
        <v>0</v>
      </c>
      <c r="AR641">
        <v>0</v>
      </c>
      <c r="AS641">
        <v>0</v>
      </c>
      <c r="AT641">
        <v>128</v>
      </c>
      <c r="AU641">
        <v>0</v>
      </c>
      <c r="AV641">
        <v>0</v>
      </c>
      <c r="AW641">
        <v>0</v>
      </c>
      <c r="AX641">
        <v>8</v>
      </c>
      <c r="AY641">
        <v>0</v>
      </c>
    </row>
    <row r="642" spans="1:51" x14ac:dyDescent="0.25">
      <c r="A642">
        <v>169</v>
      </c>
      <c r="B642">
        <v>23330</v>
      </c>
      <c r="C642" t="s">
        <v>735</v>
      </c>
      <c r="D642" t="s">
        <v>96</v>
      </c>
      <c r="E642" t="s">
        <v>100</v>
      </c>
      <c r="F642" t="s">
        <v>107</v>
      </c>
      <c r="G642" t="s">
        <v>77</v>
      </c>
      <c r="H642" t="s">
        <v>78</v>
      </c>
      <c r="I642" t="s">
        <v>79</v>
      </c>
      <c r="J642" t="s">
        <v>152</v>
      </c>
      <c r="K642" t="s">
        <v>75</v>
      </c>
      <c r="L642" t="s">
        <v>76</v>
      </c>
      <c r="M642" t="s">
        <v>149</v>
      </c>
      <c r="N642" t="s">
        <v>74</v>
      </c>
      <c r="O642" t="s">
        <v>187</v>
      </c>
      <c r="P642" t="s">
        <v>71</v>
      </c>
      <c r="Q642" t="s">
        <v>71</v>
      </c>
      <c r="R642" t="s">
        <v>71</v>
      </c>
      <c r="S642">
        <v>1</v>
      </c>
      <c r="T642">
        <v>1</v>
      </c>
      <c r="U642" t="s">
        <v>72</v>
      </c>
      <c r="V642" t="s">
        <v>188</v>
      </c>
      <c r="W642">
        <v>0</v>
      </c>
      <c r="X642">
        <v>1</v>
      </c>
      <c r="Y642">
        <v>0</v>
      </c>
      <c r="Z642">
        <v>0</v>
      </c>
      <c r="AA642">
        <v>0</v>
      </c>
      <c r="AB642">
        <v>0</v>
      </c>
      <c r="AC642">
        <v>0</v>
      </c>
      <c r="AD642">
        <v>0</v>
      </c>
      <c r="AE642">
        <v>0</v>
      </c>
      <c r="AF642">
        <v>0</v>
      </c>
      <c r="AG642" t="s">
        <v>71</v>
      </c>
      <c r="AH642">
        <v>0</v>
      </c>
      <c r="AI642">
        <v>0</v>
      </c>
      <c r="AJ642">
        <v>0</v>
      </c>
      <c r="AK642">
        <v>0</v>
      </c>
      <c r="AL642" t="s">
        <v>387</v>
      </c>
      <c r="AM642" t="s">
        <v>254</v>
      </c>
      <c r="AN642" t="s">
        <v>94</v>
      </c>
      <c r="AO642" t="s">
        <v>147</v>
      </c>
      <c r="AP642">
        <v>0</v>
      </c>
      <c r="AQ642">
        <v>0</v>
      </c>
      <c r="AR642">
        <v>0</v>
      </c>
      <c r="AS642">
        <v>0</v>
      </c>
      <c r="AT642">
        <v>128</v>
      </c>
      <c r="AU642">
        <v>0</v>
      </c>
      <c r="AV642">
        <v>0</v>
      </c>
      <c r="AW642">
        <v>0</v>
      </c>
      <c r="AX642">
        <v>0</v>
      </c>
      <c r="AY642">
        <v>0</v>
      </c>
    </row>
    <row r="643" spans="1:51" x14ac:dyDescent="0.25">
      <c r="A643">
        <v>169</v>
      </c>
      <c r="B643">
        <v>23340</v>
      </c>
      <c r="C643" t="s">
        <v>735</v>
      </c>
      <c r="D643" t="s">
        <v>96</v>
      </c>
      <c r="E643" t="s">
        <v>100</v>
      </c>
      <c r="F643" t="s">
        <v>107</v>
      </c>
      <c r="G643" t="s">
        <v>77</v>
      </c>
      <c r="H643" t="s">
        <v>78</v>
      </c>
      <c r="I643" t="s">
        <v>79</v>
      </c>
      <c r="J643" t="s">
        <v>152</v>
      </c>
      <c r="K643" t="s">
        <v>75</v>
      </c>
      <c r="L643" t="s">
        <v>76</v>
      </c>
      <c r="M643" t="s">
        <v>149</v>
      </c>
      <c r="N643" t="s">
        <v>74</v>
      </c>
      <c r="O643" t="s">
        <v>187</v>
      </c>
      <c r="P643" t="s">
        <v>71</v>
      </c>
      <c r="Q643" t="s">
        <v>71</v>
      </c>
      <c r="R643" t="s">
        <v>71</v>
      </c>
      <c r="S643">
        <v>1</v>
      </c>
      <c r="T643">
        <v>1</v>
      </c>
      <c r="U643" t="s">
        <v>72</v>
      </c>
      <c r="V643" t="s">
        <v>188</v>
      </c>
      <c r="W643">
        <v>0</v>
      </c>
      <c r="X643">
        <v>1</v>
      </c>
      <c r="Y643">
        <v>0</v>
      </c>
      <c r="Z643">
        <v>0</v>
      </c>
      <c r="AA643">
        <v>0</v>
      </c>
      <c r="AB643">
        <v>0</v>
      </c>
      <c r="AC643">
        <v>0</v>
      </c>
      <c r="AD643">
        <v>0</v>
      </c>
      <c r="AE643">
        <v>0</v>
      </c>
      <c r="AF643">
        <v>0</v>
      </c>
      <c r="AG643" t="s">
        <v>71</v>
      </c>
      <c r="AH643">
        <v>0</v>
      </c>
      <c r="AI643">
        <v>0</v>
      </c>
      <c r="AJ643">
        <v>0</v>
      </c>
      <c r="AK643">
        <v>0</v>
      </c>
      <c r="AL643" t="s">
        <v>387</v>
      </c>
      <c r="AM643" t="s">
        <v>254</v>
      </c>
      <c r="AN643" t="s">
        <v>94</v>
      </c>
      <c r="AO643" t="s">
        <v>147</v>
      </c>
      <c r="AP643">
        <v>0</v>
      </c>
      <c r="AQ643">
        <v>0</v>
      </c>
      <c r="AR643">
        <v>0</v>
      </c>
      <c r="AS643">
        <v>0</v>
      </c>
      <c r="AT643">
        <v>128</v>
      </c>
      <c r="AU643">
        <v>0</v>
      </c>
      <c r="AV643">
        <v>0</v>
      </c>
      <c r="AW643">
        <v>0</v>
      </c>
      <c r="AX643">
        <v>0</v>
      </c>
      <c r="AY643">
        <v>0</v>
      </c>
    </row>
    <row r="644" spans="1:51" x14ac:dyDescent="0.25">
      <c r="A644">
        <v>170</v>
      </c>
      <c r="B644">
        <v>23350</v>
      </c>
      <c r="C644" t="s">
        <v>735</v>
      </c>
      <c r="D644" t="s">
        <v>96</v>
      </c>
      <c r="E644" t="s">
        <v>100</v>
      </c>
      <c r="F644" t="s">
        <v>107</v>
      </c>
      <c r="G644" t="s">
        <v>77</v>
      </c>
      <c r="H644" t="s">
        <v>78</v>
      </c>
      <c r="I644" t="s">
        <v>79</v>
      </c>
      <c r="J644" t="s">
        <v>152</v>
      </c>
      <c r="K644" t="s">
        <v>75</v>
      </c>
      <c r="L644" t="s">
        <v>76</v>
      </c>
      <c r="M644" t="s">
        <v>149</v>
      </c>
      <c r="N644" t="s">
        <v>74</v>
      </c>
      <c r="O644" t="s">
        <v>187</v>
      </c>
      <c r="P644" t="s">
        <v>71</v>
      </c>
      <c r="Q644" t="s">
        <v>71</v>
      </c>
      <c r="R644" t="s">
        <v>110</v>
      </c>
      <c r="S644">
        <v>1</v>
      </c>
      <c r="T644">
        <v>1</v>
      </c>
      <c r="U644" t="s">
        <v>72</v>
      </c>
      <c r="V644" t="s">
        <v>188</v>
      </c>
      <c r="W644">
        <v>0</v>
      </c>
      <c r="X644">
        <v>1</v>
      </c>
      <c r="Y644">
        <v>0</v>
      </c>
      <c r="Z644">
        <v>0</v>
      </c>
      <c r="AA644">
        <v>0</v>
      </c>
      <c r="AB644">
        <v>0</v>
      </c>
      <c r="AC644">
        <v>0</v>
      </c>
      <c r="AD644">
        <v>0</v>
      </c>
      <c r="AE644">
        <v>0</v>
      </c>
      <c r="AF644">
        <v>0</v>
      </c>
      <c r="AG644" t="s">
        <v>71</v>
      </c>
      <c r="AH644">
        <v>0</v>
      </c>
      <c r="AI644">
        <v>0</v>
      </c>
      <c r="AJ644">
        <v>0</v>
      </c>
      <c r="AK644">
        <v>0</v>
      </c>
      <c r="AL644" t="s">
        <v>387</v>
      </c>
      <c r="AM644" t="s">
        <v>254</v>
      </c>
      <c r="AN644" t="s">
        <v>94</v>
      </c>
      <c r="AO644" t="s">
        <v>147</v>
      </c>
      <c r="AP644">
        <v>0</v>
      </c>
      <c r="AQ644">
        <v>0</v>
      </c>
      <c r="AR644">
        <v>0</v>
      </c>
      <c r="AS644">
        <v>0</v>
      </c>
      <c r="AT644">
        <v>128</v>
      </c>
      <c r="AU644">
        <v>0</v>
      </c>
      <c r="AV644">
        <v>0</v>
      </c>
      <c r="AW644">
        <v>0</v>
      </c>
      <c r="AX644">
        <v>8</v>
      </c>
      <c r="AY644">
        <v>0</v>
      </c>
    </row>
    <row r="645" spans="1:51" x14ac:dyDescent="0.25">
      <c r="A645">
        <v>170</v>
      </c>
      <c r="B645">
        <v>23360</v>
      </c>
      <c r="C645" t="s">
        <v>735</v>
      </c>
      <c r="D645" t="s">
        <v>96</v>
      </c>
      <c r="E645" t="s">
        <v>100</v>
      </c>
      <c r="F645" t="s">
        <v>107</v>
      </c>
      <c r="G645" t="s">
        <v>77</v>
      </c>
      <c r="H645" t="s">
        <v>78</v>
      </c>
      <c r="I645" t="s">
        <v>79</v>
      </c>
      <c r="J645" t="s">
        <v>152</v>
      </c>
      <c r="K645" t="s">
        <v>75</v>
      </c>
      <c r="L645" t="s">
        <v>76</v>
      </c>
      <c r="M645" t="s">
        <v>149</v>
      </c>
      <c r="N645" t="s">
        <v>74</v>
      </c>
      <c r="O645" t="s">
        <v>187</v>
      </c>
      <c r="P645" t="s">
        <v>71</v>
      </c>
      <c r="Q645" t="s">
        <v>71</v>
      </c>
      <c r="R645" t="s">
        <v>110</v>
      </c>
      <c r="S645">
        <v>1</v>
      </c>
      <c r="T645">
        <v>1</v>
      </c>
      <c r="U645" t="s">
        <v>72</v>
      </c>
      <c r="V645" t="s">
        <v>188</v>
      </c>
      <c r="W645">
        <v>0</v>
      </c>
      <c r="X645">
        <v>1</v>
      </c>
      <c r="Y645">
        <v>0</v>
      </c>
      <c r="Z645">
        <v>0</v>
      </c>
      <c r="AA645">
        <v>0</v>
      </c>
      <c r="AB645">
        <v>0</v>
      </c>
      <c r="AC645">
        <v>0</v>
      </c>
      <c r="AD645">
        <v>0</v>
      </c>
      <c r="AE645">
        <v>0</v>
      </c>
      <c r="AF645">
        <v>0</v>
      </c>
      <c r="AG645" t="s">
        <v>71</v>
      </c>
      <c r="AH645">
        <v>0</v>
      </c>
      <c r="AI645">
        <v>0</v>
      </c>
      <c r="AJ645">
        <v>0</v>
      </c>
      <c r="AK645">
        <v>0</v>
      </c>
      <c r="AL645" t="s">
        <v>387</v>
      </c>
      <c r="AM645" t="s">
        <v>254</v>
      </c>
      <c r="AN645" t="s">
        <v>94</v>
      </c>
      <c r="AO645" t="s">
        <v>147</v>
      </c>
      <c r="AP645">
        <v>0</v>
      </c>
      <c r="AQ645">
        <v>0</v>
      </c>
      <c r="AR645">
        <v>0</v>
      </c>
      <c r="AS645">
        <v>0</v>
      </c>
      <c r="AT645">
        <v>128</v>
      </c>
      <c r="AU645">
        <v>0</v>
      </c>
      <c r="AV645">
        <v>0</v>
      </c>
      <c r="AW645">
        <v>0</v>
      </c>
      <c r="AX645">
        <v>8</v>
      </c>
      <c r="AY645">
        <v>0</v>
      </c>
    </row>
    <row r="646" spans="1:51" x14ac:dyDescent="0.25">
      <c r="A646">
        <v>170</v>
      </c>
      <c r="B646">
        <v>23370</v>
      </c>
      <c r="C646" t="s">
        <v>735</v>
      </c>
      <c r="D646" t="s">
        <v>96</v>
      </c>
      <c r="E646" t="s">
        <v>100</v>
      </c>
      <c r="F646" t="s">
        <v>107</v>
      </c>
      <c r="G646" t="s">
        <v>77</v>
      </c>
      <c r="H646" t="s">
        <v>78</v>
      </c>
      <c r="I646" t="s">
        <v>79</v>
      </c>
      <c r="J646" t="s">
        <v>152</v>
      </c>
      <c r="K646" t="s">
        <v>75</v>
      </c>
      <c r="L646" t="s">
        <v>76</v>
      </c>
      <c r="M646" t="s">
        <v>149</v>
      </c>
      <c r="N646" t="s">
        <v>74</v>
      </c>
      <c r="O646" t="s">
        <v>187</v>
      </c>
      <c r="P646" t="s">
        <v>71</v>
      </c>
      <c r="Q646" t="s">
        <v>71</v>
      </c>
      <c r="R646" t="s">
        <v>110</v>
      </c>
      <c r="S646">
        <v>1</v>
      </c>
      <c r="T646">
        <v>1</v>
      </c>
      <c r="U646" t="s">
        <v>72</v>
      </c>
      <c r="V646" t="s">
        <v>188</v>
      </c>
      <c r="W646">
        <v>0</v>
      </c>
      <c r="X646">
        <v>1</v>
      </c>
      <c r="Y646">
        <v>0</v>
      </c>
      <c r="Z646">
        <v>0</v>
      </c>
      <c r="AA646">
        <v>0</v>
      </c>
      <c r="AB646">
        <v>0</v>
      </c>
      <c r="AC646">
        <v>0</v>
      </c>
      <c r="AD646">
        <v>0</v>
      </c>
      <c r="AE646">
        <v>0</v>
      </c>
      <c r="AF646">
        <v>0</v>
      </c>
      <c r="AG646" t="s">
        <v>71</v>
      </c>
      <c r="AH646">
        <v>0</v>
      </c>
      <c r="AI646">
        <v>0</v>
      </c>
      <c r="AJ646">
        <v>0</v>
      </c>
      <c r="AK646">
        <v>0</v>
      </c>
      <c r="AL646" t="s">
        <v>387</v>
      </c>
      <c r="AM646" t="s">
        <v>254</v>
      </c>
      <c r="AN646" t="s">
        <v>94</v>
      </c>
      <c r="AO646" t="s">
        <v>147</v>
      </c>
      <c r="AP646">
        <v>0</v>
      </c>
      <c r="AQ646">
        <v>0</v>
      </c>
      <c r="AR646">
        <v>0</v>
      </c>
      <c r="AS646">
        <v>0</v>
      </c>
      <c r="AT646">
        <v>128</v>
      </c>
      <c r="AU646">
        <v>0</v>
      </c>
      <c r="AV646">
        <v>0</v>
      </c>
      <c r="AW646">
        <v>0</v>
      </c>
      <c r="AX646">
        <v>8</v>
      </c>
      <c r="AY646">
        <v>0</v>
      </c>
    </row>
    <row r="647" spans="1:51" x14ac:dyDescent="0.25">
      <c r="A647">
        <v>170</v>
      </c>
      <c r="B647">
        <v>23380</v>
      </c>
      <c r="C647" t="s">
        <v>735</v>
      </c>
      <c r="D647" t="s">
        <v>96</v>
      </c>
      <c r="E647" t="s">
        <v>100</v>
      </c>
      <c r="F647" t="s">
        <v>107</v>
      </c>
      <c r="G647" t="s">
        <v>77</v>
      </c>
      <c r="H647" t="s">
        <v>78</v>
      </c>
      <c r="I647" t="s">
        <v>79</v>
      </c>
      <c r="J647" t="s">
        <v>152</v>
      </c>
      <c r="K647" t="s">
        <v>75</v>
      </c>
      <c r="L647" t="s">
        <v>76</v>
      </c>
      <c r="M647" t="s">
        <v>149</v>
      </c>
      <c r="N647" t="s">
        <v>74</v>
      </c>
      <c r="O647" t="s">
        <v>187</v>
      </c>
      <c r="P647" t="s">
        <v>71</v>
      </c>
      <c r="Q647" t="s">
        <v>71</v>
      </c>
      <c r="R647" t="s">
        <v>110</v>
      </c>
      <c r="S647">
        <v>1</v>
      </c>
      <c r="T647">
        <v>1</v>
      </c>
      <c r="U647" t="s">
        <v>72</v>
      </c>
      <c r="V647" t="s">
        <v>188</v>
      </c>
      <c r="W647">
        <v>0</v>
      </c>
      <c r="X647">
        <v>1</v>
      </c>
      <c r="Y647">
        <v>0</v>
      </c>
      <c r="Z647">
        <v>0</v>
      </c>
      <c r="AA647">
        <v>0</v>
      </c>
      <c r="AB647">
        <v>0</v>
      </c>
      <c r="AC647">
        <v>0</v>
      </c>
      <c r="AD647">
        <v>0</v>
      </c>
      <c r="AE647">
        <v>0</v>
      </c>
      <c r="AF647">
        <v>0</v>
      </c>
      <c r="AG647" t="s">
        <v>71</v>
      </c>
      <c r="AH647">
        <v>0</v>
      </c>
      <c r="AI647">
        <v>0</v>
      </c>
      <c r="AJ647">
        <v>0</v>
      </c>
      <c r="AK647">
        <v>0</v>
      </c>
      <c r="AL647" t="s">
        <v>387</v>
      </c>
      <c r="AM647" t="s">
        <v>254</v>
      </c>
      <c r="AN647" t="s">
        <v>94</v>
      </c>
      <c r="AO647" t="s">
        <v>147</v>
      </c>
      <c r="AP647">
        <v>0</v>
      </c>
      <c r="AQ647">
        <v>0</v>
      </c>
      <c r="AR647">
        <v>0</v>
      </c>
      <c r="AS647">
        <v>0</v>
      </c>
      <c r="AT647">
        <v>128</v>
      </c>
      <c r="AU647">
        <v>0</v>
      </c>
      <c r="AV647">
        <v>0</v>
      </c>
      <c r="AW647">
        <v>0</v>
      </c>
      <c r="AX647">
        <v>8</v>
      </c>
      <c r="AY647">
        <v>0</v>
      </c>
    </row>
    <row r="648" spans="1:51" x14ac:dyDescent="0.25">
      <c r="A648">
        <v>170</v>
      </c>
      <c r="B648">
        <v>23390</v>
      </c>
      <c r="C648" t="s">
        <v>735</v>
      </c>
      <c r="D648" t="s">
        <v>96</v>
      </c>
      <c r="E648" t="s">
        <v>100</v>
      </c>
      <c r="F648" t="s">
        <v>107</v>
      </c>
      <c r="G648" t="s">
        <v>77</v>
      </c>
      <c r="H648" t="s">
        <v>78</v>
      </c>
      <c r="I648" t="s">
        <v>79</v>
      </c>
      <c r="J648" t="s">
        <v>152</v>
      </c>
      <c r="K648" t="s">
        <v>75</v>
      </c>
      <c r="L648" t="s">
        <v>76</v>
      </c>
      <c r="M648" t="s">
        <v>149</v>
      </c>
      <c r="N648" t="s">
        <v>74</v>
      </c>
      <c r="O648" t="s">
        <v>187</v>
      </c>
      <c r="P648" t="s">
        <v>71</v>
      </c>
      <c r="Q648" t="s">
        <v>71</v>
      </c>
      <c r="R648" t="s">
        <v>71</v>
      </c>
      <c r="S648">
        <v>1</v>
      </c>
      <c r="T648">
        <v>1</v>
      </c>
      <c r="U648" t="s">
        <v>72</v>
      </c>
      <c r="V648" t="s">
        <v>188</v>
      </c>
      <c r="W648">
        <v>0</v>
      </c>
      <c r="X648">
        <v>1</v>
      </c>
      <c r="Y648">
        <v>0</v>
      </c>
      <c r="Z648">
        <v>0</v>
      </c>
      <c r="AA648">
        <v>0</v>
      </c>
      <c r="AB648">
        <v>0</v>
      </c>
      <c r="AC648">
        <v>0</v>
      </c>
      <c r="AD648">
        <v>0</v>
      </c>
      <c r="AE648">
        <v>0</v>
      </c>
      <c r="AF648">
        <v>0</v>
      </c>
      <c r="AG648" t="s">
        <v>71</v>
      </c>
      <c r="AH648">
        <v>0</v>
      </c>
      <c r="AI648">
        <v>0</v>
      </c>
      <c r="AJ648">
        <v>0</v>
      </c>
      <c r="AK648">
        <v>0</v>
      </c>
      <c r="AL648" t="s">
        <v>387</v>
      </c>
      <c r="AM648" t="s">
        <v>254</v>
      </c>
      <c r="AN648" t="s">
        <v>94</v>
      </c>
      <c r="AO648" t="s">
        <v>147</v>
      </c>
      <c r="AP648">
        <v>0</v>
      </c>
      <c r="AQ648">
        <v>0</v>
      </c>
      <c r="AR648">
        <v>0</v>
      </c>
      <c r="AS648">
        <v>0</v>
      </c>
      <c r="AT648">
        <v>128</v>
      </c>
      <c r="AU648">
        <v>0</v>
      </c>
      <c r="AV648">
        <v>0</v>
      </c>
      <c r="AW648">
        <v>0</v>
      </c>
      <c r="AX648">
        <v>8</v>
      </c>
      <c r="AY648">
        <v>0</v>
      </c>
    </row>
    <row r="649" spans="1:51" x14ac:dyDescent="0.25">
      <c r="A649">
        <v>170</v>
      </c>
      <c r="B649">
        <v>23400</v>
      </c>
      <c r="C649" t="s">
        <v>735</v>
      </c>
      <c r="D649" t="s">
        <v>96</v>
      </c>
      <c r="E649" t="s">
        <v>100</v>
      </c>
      <c r="F649" t="s">
        <v>107</v>
      </c>
      <c r="G649" t="s">
        <v>77</v>
      </c>
      <c r="H649" t="s">
        <v>78</v>
      </c>
      <c r="I649" t="s">
        <v>79</v>
      </c>
      <c r="J649" t="s">
        <v>152</v>
      </c>
      <c r="K649" t="s">
        <v>75</v>
      </c>
      <c r="L649" t="s">
        <v>76</v>
      </c>
      <c r="M649" t="s">
        <v>149</v>
      </c>
      <c r="N649" t="s">
        <v>74</v>
      </c>
      <c r="O649" t="s">
        <v>187</v>
      </c>
      <c r="P649" t="s">
        <v>71</v>
      </c>
      <c r="Q649" t="s">
        <v>71</v>
      </c>
      <c r="R649" t="s">
        <v>71</v>
      </c>
      <c r="S649">
        <v>1</v>
      </c>
      <c r="T649">
        <v>1</v>
      </c>
      <c r="U649" t="s">
        <v>72</v>
      </c>
      <c r="V649" t="s">
        <v>188</v>
      </c>
      <c r="W649">
        <v>0</v>
      </c>
      <c r="X649">
        <v>1</v>
      </c>
      <c r="Y649">
        <v>0</v>
      </c>
      <c r="Z649">
        <v>0</v>
      </c>
      <c r="AA649">
        <v>0</v>
      </c>
      <c r="AB649">
        <v>0</v>
      </c>
      <c r="AC649">
        <v>0</v>
      </c>
      <c r="AD649">
        <v>0</v>
      </c>
      <c r="AE649">
        <v>0</v>
      </c>
      <c r="AF649">
        <v>0</v>
      </c>
      <c r="AG649" t="s">
        <v>71</v>
      </c>
      <c r="AH649">
        <v>0</v>
      </c>
      <c r="AI649">
        <v>0</v>
      </c>
      <c r="AJ649">
        <v>0</v>
      </c>
      <c r="AK649">
        <v>0</v>
      </c>
      <c r="AL649" t="s">
        <v>387</v>
      </c>
      <c r="AM649" t="s">
        <v>254</v>
      </c>
      <c r="AN649" t="s">
        <v>94</v>
      </c>
      <c r="AO649" t="s">
        <v>147</v>
      </c>
      <c r="AP649">
        <v>0</v>
      </c>
      <c r="AQ649">
        <v>0</v>
      </c>
      <c r="AR649">
        <v>0</v>
      </c>
      <c r="AS649">
        <v>0</v>
      </c>
      <c r="AT649">
        <v>128</v>
      </c>
      <c r="AU649">
        <v>0</v>
      </c>
      <c r="AV649">
        <v>0</v>
      </c>
      <c r="AW649">
        <v>0</v>
      </c>
      <c r="AX649">
        <v>8</v>
      </c>
      <c r="AY649">
        <v>0</v>
      </c>
    </row>
    <row r="650" spans="1:51" x14ac:dyDescent="0.25">
      <c r="A650">
        <v>170</v>
      </c>
      <c r="B650">
        <v>26360</v>
      </c>
      <c r="C650" t="s">
        <v>735</v>
      </c>
      <c r="D650" t="s">
        <v>96</v>
      </c>
      <c r="E650" t="s">
        <v>100</v>
      </c>
      <c r="F650" t="s">
        <v>107</v>
      </c>
      <c r="G650" t="s">
        <v>77</v>
      </c>
      <c r="H650" t="s">
        <v>78</v>
      </c>
      <c r="I650" t="s">
        <v>79</v>
      </c>
      <c r="J650" t="s">
        <v>152</v>
      </c>
      <c r="K650" t="s">
        <v>75</v>
      </c>
      <c r="L650" t="s">
        <v>76</v>
      </c>
      <c r="M650" t="s">
        <v>149</v>
      </c>
      <c r="N650" t="s">
        <v>74</v>
      </c>
      <c r="O650" t="s">
        <v>187</v>
      </c>
      <c r="P650" t="s">
        <v>71</v>
      </c>
      <c r="Q650" t="s">
        <v>71</v>
      </c>
      <c r="R650" t="s">
        <v>71</v>
      </c>
      <c r="S650">
        <v>1</v>
      </c>
      <c r="T650">
        <v>1</v>
      </c>
      <c r="U650" t="s">
        <v>72</v>
      </c>
      <c r="V650" t="s">
        <v>188</v>
      </c>
      <c r="W650">
        <v>0</v>
      </c>
      <c r="X650">
        <v>1</v>
      </c>
      <c r="Y650">
        <v>0</v>
      </c>
      <c r="Z650">
        <v>0</v>
      </c>
      <c r="AA650">
        <v>0</v>
      </c>
      <c r="AB650">
        <v>0</v>
      </c>
      <c r="AC650">
        <v>0</v>
      </c>
      <c r="AD650">
        <v>0</v>
      </c>
      <c r="AE650">
        <v>0</v>
      </c>
      <c r="AF650">
        <v>0</v>
      </c>
      <c r="AG650" t="s">
        <v>71</v>
      </c>
      <c r="AH650">
        <v>0</v>
      </c>
      <c r="AI650">
        <v>0</v>
      </c>
      <c r="AJ650">
        <v>0</v>
      </c>
      <c r="AK650">
        <v>0</v>
      </c>
      <c r="AL650" t="s">
        <v>387</v>
      </c>
      <c r="AM650" t="s">
        <v>254</v>
      </c>
      <c r="AN650" t="s">
        <v>94</v>
      </c>
      <c r="AO650" t="s">
        <v>147</v>
      </c>
      <c r="AP650">
        <v>0</v>
      </c>
      <c r="AQ650">
        <v>0</v>
      </c>
      <c r="AR650">
        <v>0</v>
      </c>
      <c r="AS650">
        <v>0</v>
      </c>
      <c r="AT650">
        <v>128</v>
      </c>
      <c r="AU650">
        <v>0</v>
      </c>
      <c r="AV650">
        <v>0</v>
      </c>
      <c r="AW650">
        <v>0</v>
      </c>
      <c r="AX650">
        <v>8</v>
      </c>
      <c r="AY650">
        <v>0</v>
      </c>
    </row>
    <row r="651" spans="1:51" x14ac:dyDescent="0.25">
      <c r="A651">
        <v>170</v>
      </c>
      <c r="B651">
        <v>26370</v>
      </c>
      <c r="C651" t="s">
        <v>735</v>
      </c>
      <c r="D651" t="s">
        <v>96</v>
      </c>
      <c r="E651" t="s">
        <v>100</v>
      </c>
      <c r="F651" t="s">
        <v>107</v>
      </c>
      <c r="G651" t="s">
        <v>77</v>
      </c>
      <c r="H651" t="s">
        <v>78</v>
      </c>
      <c r="I651" t="s">
        <v>79</v>
      </c>
      <c r="J651" t="s">
        <v>152</v>
      </c>
      <c r="K651" t="s">
        <v>75</v>
      </c>
      <c r="L651" t="s">
        <v>76</v>
      </c>
      <c r="M651" t="s">
        <v>149</v>
      </c>
      <c r="N651" t="s">
        <v>74</v>
      </c>
      <c r="O651" t="s">
        <v>187</v>
      </c>
      <c r="P651" t="s">
        <v>71</v>
      </c>
      <c r="Q651" t="s">
        <v>71</v>
      </c>
      <c r="R651" t="s">
        <v>110</v>
      </c>
      <c r="S651">
        <v>1</v>
      </c>
      <c r="T651">
        <v>1</v>
      </c>
      <c r="U651" t="s">
        <v>72</v>
      </c>
      <c r="V651" t="s">
        <v>188</v>
      </c>
      <c r="W651">
        <v>0</v>
      </c>
      <c r="X651">
        <v>1</v>
      </c>
      <c r="Y651">
        <v>0</v>
      </c>
      <c r="Z651">
        <v>0</v>
      </c>
      <c r="AA651">
        <v>0</v>
      </c>
      <c r="AB651">
        <v>0</v>
      </c>
      <c r="AC651">
        <v>0</v>
      </c>
      <c r="AD651">
        <v>0</v>
      </c>
      <c r="AE651">
        <v>0</v>
      </c>
      <c r="AF651">
        <v>0</v>
      </c>
      <c r="AG651" t="s">
        <v>71</v>
      </c>
      <c r="AH651">
        <v>0</v>
      </c>
      <c r="AI651">
        <v>0</v>
      </c>
      <c r="AJ651">
        <v>0</v>
      </c>
      <c r="AK651">
        <v>0</v>
      </c>
      <c r="AL651" t="s">
        <v>387</v>
      </c>
      <c r="AM651" t="s">
        <v>254</v>
      </c>
      <c r="AN651" t="s">
        <v>94</v>
      </c>
      <c r="AO651" t="s">
        <v>147</v>
      </c>
      <c r="AP651">
        <v>0</v>
      </c>
      <c r="AQ651">
        <v>0</v>
      </c>
      <c r="AR651">
        <v>0</v>
      </c>
      <c r="AS651">
        <v>0</v>
      </c>
      <c r="AT651">
        <v>128</v>
      </c>
      <c r="AU651">
        <v>0</v>
      </c>
      <c r="AV651">
        <v>0</v>
      </c>
      <c r="AW651">
        <v>0</v>
      </c>
      <c r="AX651">
        <v>8</v>
      </c>
      <c r="AY651">
        <v>0</v>
      </c>
    </row>
    <row r="652" spans="1:51" x14ac:dyDescent="0.25">
      <c r="A652">
        <v>170</v>
      </c>
      <c r="B652">
        <v>26380</v>
      </c>
      <c r="C652" t="s">
        <v>735</v>
      </c>
      <c r="D652" t="s">
        <v>96</v>
      </c>
      <c r="E652" t="s">
        <v>100</v>
      </c>
      <c r="F652" t="s">
        <v>107</v>
      </c>
      <c r="G652" t="s">
        <v>77</v>
      </c>
      <c r="H652" t="s">
        <v>78</v>
      </c>
      <c r="I652" t="s">
        <v>79</v>
      </c>
      <c r="J652" t="s">
        <v>152</v>
      </c>
      <c r="K652" t="s">
        <v>75</v>
      </c>
      <c r="L652" t="s">
        <v>76</v>
      </c>
      <c r="M652" t="s">
        <v>149</v>
      </c>
      <c r="N652" t="s">
        <v>74</v>
      </c>
      <c r="O652" t="s">
        <v>187</v>
      </c>
      <c r="P652" t="s">
        <v>71</v>
      </c>
      <c r="Q652" t="s">
        <v>71</v>
      </c>
      <c r="R652" t="s">
        <v>71</v>
      </c>
      <c r="S652">
        <v>1</v>
      </c>
      <c r="T652">
        <v>1</v>
      </c>
      <c r="U652" t="s">
        <v>72</v>
      </c>
      <c r="V652" t="s">
        <v>188</v>
      </c>
      <c r="W652">
        <v>0</v>
      </c>
      <c r="X652">
        <v>1</v>
      </c>
      <c r="Y652">
        <v>0</v>
      </c>
      <c r="Z652">
        <v>0</v>
      </c>
      <c r="AA652">
        <v>0</v>
      </c>
      <c r="AB652">
        <v>0</v>
      </c>
      <c r="AC652">
        <v>0</v>
      </c>
      <c r="AD652">
        <v>0</v>
      </c>
      <c r="AE652">
        <v>0</v>
      </c>
      <c r="AF652">
        <v>0</v>
      </c>
      <c r="AG652" t="s">
        <v>71</v>
      </c>
      <c r="AH652">
        <v>0</v>
      </c>
      <c r="AI652">
        <v>0</v>
      </c>
      <c r="AJ652">
        <v>0</v>
      </c>
      <c r="AK652">
        <v>0</v>
      </c>
      <c r="AL652" t="s">
        <v>387</v>
      </c>
      <c r="AM652" t="s">
        <v>254</v>
      </c>
      <c r="AN652" t="s">
        <v>94</v>
      </c>
      <c r="AO652" t="s">
        <v>147</v>
      </c>
      <c r="AP652">
        <v>0</v>
      </c>
      <c r="AQ652">
        <v>0</v>
      </c>
      <c r="AR652">
        <v>0</v>
      </c>
      <c r="AS652">
        <v>0</v>
      </c>
      <c r="AT652">
        <v>128</v>
      </c>
      <c r="AU652">
        <v>0</v>
      </c>
      <c r="AV652">
        <v>0</v>
      </c>
      <c r="AW652">
        <v>0</v>
      </c>
      <c r="AX652">
        <v>8</v>
      </c>
      <c r="AY652">
        <v>0</v>
      </c>
    </row>
    <row r="653" spans="1:51" x14ac:dyDescent="0.25">
      <c r="A653">
        <v>170</v>
      </c>
      <c r="B653">
        <v>26390</v>
      </c>
      <c r="C653" t="s">
        <v>735</v>
      </c>
      <c r="D653" t="s">
        <v>96</v>
      </c>
      <c r="E653" t="s">
        <v>100</v>
      </c>
      <c r="F653" t="s">
        <v>107</v>
      </c>
      <c r="G653" t="s">
        <v>77</v>
      </c>
      <c r="H653" t="s">
        <v>78</v>
      </c>
      <c r="I653" t="s">
        <v>79</v>
      </c>
      <c r="J653" t="s">
        <v>152</v>
      </c>
      <c r="K653" t="s">
        <v>75</v>
      </c>
      <c r="L653" t="s">
        <v>76</v>
      </c>
      <c r="M653" t="s">
        <v>149</v>
      </c>
      <c r="N653" t="s">
        <v>74</v>
      </c>
      <c r="O653" t="s">
        <v>187</v>
      </c>
      <c r="P653" t="s">
        <v>71</v>
      </c>
      <c r="Q653" t="s">
        <v>71</v>
      </c>
      <c r="R653" t="s">
        <v>71</v>
      </c>
      <c r="S653">
        <v>1</v>
      </c>
      <c r="T653">
        <v>1</v>
      </c>
      <c r="U653" t="s">
        <v>72</v>
      </c>
      <c r="V653" t="s">
        <v>188</v>
      </c>
      <c r="W653">
        <v>0</v>
      </c>
      <c r="X653">
        <v>1</v>
      </c>
      <c r="Y653">
        <v>0</v>
      </c>
      <c r="Z653">
        <v>0</v>
      </c>
      <c r="AA653">
        <v>0</v>
      </c>
      <c r="AB653">
        <v>0</v>
      </c>
      <c r="AC653">
        <v>0</v>
      </c>
      <c r="AD653">
        <v>0</v>
      </c>
      <c r="AE653">
        <v>0</v>
      </c>
      <c r="AF653">
        <v>0</v>
      </c>
      <c r="AG653" t="s">
        <v>71</v>
      </c>
      <c r="AH653">
        <v>0</v>
      </c>
      <c r="AI653">
        <v>0</v>
      </c>
      <c r="AJ653">
        <v>0</v>
      </c>
      <c r="AK653">
        <v>0</v>
      </c>
      <c r="AL653" t="s">
        <v>387</v>
      </c>
      <c r="AM653" t="s">
        <v>254</v>
      </c>
      <c r="AN653" t="s">
        <v>94</v>
      </c>
      <c r="AO653" t="s">
        <v>147</v>
      </c>
      <c r="AP653">
        <v>0</v>
      </c>
      <c r="AQ653">
        <v>0</v>
      </c>
      <c r="AR653">
        <v>0</v>
      </c>
      <c r="AS653">
        <v>0</v>
      </c>
      <c r="AT653">
        <v>128</v>
      </c>
      <c r="AU653">
        <v>0</v>
      </c>
      <c r="AV653">
        <v>0</v>
      </c>
      <c r="AW653">
        <v>0</v>
      </c>
      <c r="AX653">
        <v>8</v>
      </c>
      <c r="AY653">
        <v>0</v>
      </c>
    </row>
    <row r="654" spans="1:51" x14ac:dyDescent="0.25">
      <c r="A654">
        <v>170</v>
      </c>
      <c r="B654">
        <v>29360</v>
      </c>
      <c r="C654" t="s">
        <v>735</v>
      </c>
      <c r="D654" t="s">
        <v>96</v>
      </c>
      <c r="E654" t="s">
        <v>100</v>
      </c>
      <c r="F654" t="s">
        <v>107</v>
      </c>
      <c r="G654" t="s">
        <v>77</v>
      </c>
      <c r="H654" t="s">
        <v>78</v>
      </c>
      <c r="I654" t="s">
        <v>79</v>
      </c>
      <c r="J654" t="s">
        <v>152</v>
      </c>
      <c r="K654" t="s">
        <v>75</v>
      </c>
      <c r="L654" t="s">
        <v>76</v>
      </c>
      <c r="M654" t="s">
        <v>149</v>
      </c>
      <c r="N654" t="s">
        <v>74</v>
      </c>
      <c r="O654" t="s">
        <v>187</v>
      </c>
      <c r="P654" t="s">
        <v>71</v>
      </c>
      <c r="Q654" t="s">
        <v>71</v>
      </c>
      <c r="R654" t="s">
        <v>71</v>
      </c>
      <c r="S654">
        <v>1</v>
      </c>
      <c r="T654">
        <v>1</v>
      </c>
      <c r="U654" t="s">
        <v>72</v>
      </c>
      <c r="V654" t="s">
        <v>188</v>
      </c>
      <c r="W654">
        <v>0</v>
      </c>
      <c r="X654">
        <v>1</v>
      </c>
      <c r="Y654">
        <v>0</v>
      </c>
      <c r="Z654">
        <v>0</v>
      </c>
      <c r="AA654">
        <v>0</v>
      </c>
      <c r="AB654">
        <v>0</v>
      </c>
      <c r="AC654">
        <v>0</v>
      </c>
      <c r="AD654">
        <v>0</v>
      </c>
      <c r="AE654">
        <v>0</v>
      </c>
      <c r="AF654">
        <v>0</v>
      </c>
      <c r="AG654" t="s">
        <v>71</v>
      </c>
      <c r="AH654">
        <v>0</v>
      </c>
      <c r="AI654">
        <v>0</v>
      </c>
      <c r="AJ654">
        <v>0</v>
      </c>
      <c r="AK654">
        <v>0</v>
      </c>
      <c r="AL654" t="s">
        <v>387</v>
      </c>
      <c r="AM654" t="s">
        <v>254</v>
      </c>
      <c r="AN654" t="s">
        <v>94</v>
      </c>
      <c r="AO654" t="s">
        <v>147</v>
      </c>
      <c r="AP654">
        <v>0</v>
      </c>
      <c r="AQ654">
        <v>0</v>
      </c>
      <c r="AR654">
        <v>0</v>
      </c>
      <c r="AS654">
        <v>0</v>
      </c>
      <c r="AT654">
        <v>128</v>
      </c>
      <c r="AU654">
        <v>0</v>
      </c>
      <c r="AV654">
        <v>0</v>
      </c>
      <c r="AW654">
        <v>0</v>
      </c>
      <c r="AX654">
        <v>8</v>
      </c>
      <c r="AY654">
        <v>0</v>
      </c>
    </row>
    <row r="655" spans="1:51" x14ac:dyDescent="0.25">
      <c r="A655">
        <v>170</v>
      </c>
      <c r="B655">
        <v>29370</v>
      </c>
      <c r="C655" t="s">
        <v>735</v>
      </c>
      <c r="D655" t="s">
        <v>96</v>
      </c>
      <c r="E655" t="s">
        <v>100</v>
      </c>
      <c r="F655" t="s">
        <v>107</v>
      </c>
      <c r="G655" t="s">
        <v>77</v>
      </c>
      <c r="H655" t="s">
        <v>78</v>
      </c>
      <c r="I655" t="s">
        <v>79</v>
      </c>
      <c r="J655" t="s">
        <v>152</v>
      </c>
      <c r="K655" t="s">
        <v>75</v>
      </c>
      <c r="L655" t="s">
        <v>76</v>
      </c>
      <c r="M655" t="s">
        <v>149</v>
      </c>
      <c r="N655" t="s">
        <v>74</v>
      </c>
      <c r="O655" t="s">
        <v>187</v>
      </c>
      <c r="P655" t="s">
        <v>71</v>
      </c>
      <c r="Q655" t="s">
        <v>71</v>
      </c>
      <c r="R655" t="s">
        <v>71</v>
      </c>
      <c r="S655">
        <v>1</v>
      </c>
      <c r="T655">
        <v>1</v>
      </c>
      <c r="U655" t="s">
        <v>72</v>
      </c>
      <c r="V655" t="s">
        <v>188</v>
      </c>
      <c r="W655">
        <v>0</v>
      </c>
      <c r="X655">
        <v>1</v>
      </c>
      <c r="Y655">
        <v>0</v>
      </c>
      <c r="Z655">
        <v>0</v>
      </c>
      <c r="AA655">
        <v>0</v>
      </c>
      <c r="AB655">
        <v>0</v>
      </c>
      <c r="AC655">
        <v>0</v>
      </c>
      <c r="AD655">
        <v>0</v>
      </c>
      <c r="AE655">
        <v>0</v>
      </c>
      <c r="AF655">
        <v>0</v>
      </c>
      <c r="AG655" t="s">
        <v>71</v>
      </c>
      <c r="AH655">
        <v>0</v>
      </c>
      <c r="AI655">
        <v>0</v>
      </c>
      <c r="AJ655">
        <v>0</v>
      </c>
      <c r="AK655">
        <v>0</v>
      </c>
      <c r="AL655" t="s">
        <v>387</v>
      </c>
      <c r="AM655" t="s">
        <v>254</v>
      </c>
      <c r="AN655" t="s">
        <v>94</v>
      </c>
      <c r="AO655" t="s">
        <v>147</v>
      </c>
      <c r="AP655">
        <v>0</v>
      </c>
      <c r="AQ655">
        <v>0</v>
      </c>
      <c r="AR655">
        <v>0</v>
      </c>
      <c r="AS655">
        <v>0</v>
      </c>
      <c r="AT655">
        <v>128</v>
      </c>
      <c r="AU655">
        <v>0</v>
      </c>
      <c r="AV655">
        <v>0</v>
      </c>
      <c r="AW655">
        <v>0</v>
      </c>
      <c r="AX655">
        <v>0</v>
      </c>
      <c r="AY655">
        <v>0</v>
      </c>
    </row>
    <row r="656" spans="1:51" x14ac:dyDescent="0.25">
      <c r="A656">
        <v>170</v>
      </c>
      <c r="B656">
        <v>29380</v>
      </c>
      <c r="C656" t="s">
        <v>735</v>
      </c>
      <c r="D656" t="s">
        <v>96</v>
      </c>
      <c r="E656" t="s">
        <v>100</v>
      </c>
      <c r="F656" t="s">
        <v>107</v>
      </c>
      <c r="G656" t="s">
        <v>77</v>
      </c>
      <c r="H656" t="s">
        <v>78</v>
      </c>
      <c r="I656" t="s">
        <v>79</v>
      </c>
      <c r="J656" t="s">
        <v>152</v>
      </c>
      <c r="K656" t="s">
        <v>75</v>
      </c>
      <c r="L656" t="s">
        <v>76</v>
      </c>
      <c r="M656" t="s">
        <v>149</v>
      </c>
      <c r="N656" t="s">
        <v>74</v>
      </c>
      <c r="O656" t="s">
        <v>187</v>
      </c>
      <c r="P656" t="s">
        <v>71</v>
      </c>
      <c r="Q656" t="s">
        <v>71</v>
      </c>
      <c r="R656" t="s">
        <v>71</v>
      </c>
      <c r="S656">
        <v>1</v>
      </c>
      <c r="T656">
        <v>1</v>
      </c>
      <c r="U656" t="s">
        <v>72</v>
      </c>
      <c r="V656" t="s">
        <v>188</v>
      </c>
      <c r="W656">
        <v>0</v>
      </c>
      <c r="X656">
        <v>1</v>
      </c>
      <c r="Y656">
        <v>0</v>
      </c>
      <c r="Z656">
        <v>0</v>
      </c>
      <c r="AA656">
        <v>0</v>
      </c>
      <c r="AB656">
        <v>0</v>
      </c>
      <c r="AC656">
        <v>0</v>
      </c>
      <c r="AD656">
        <v>0</v>
      </c>
      <c r="AE656">
        <v>0</v>
      </c>
      <c r="AF656">
        <v>0</v>
      </c>
      <c r="AG656" t="s">
        <v>71</v>
      </c>
      <c r="AH656">
        <v>0</v>
      </c>
      <c r="AI656">
        <v>0</v>
      </c>
      <c r="AJ656">
        <v>0</v>
      </c>
      <c r="AK656">
        <v>0</v>
      </c>
      <c r="AL656" t="s">
        <v>387</v>
      </c>
      <c r="AM656" t="s">
        <v>254</v>
      </c>
      <c r="AN656" t="s">
        <v>94</v>
      </c>
      <c r="AO656" t="s">
        <v>147</v>
      </c>
      <c r="AP656">
        <v>0</v>
      </c>
      <c r="AQ656">
        <v>0</v>
      </c>
      <c r="AR656">
        <v>0</v>
      </c>
      <c r="AS656">
        <v>0</v>
      </c>
      <c r="AT656">
        <v>128</v>
      </c>
      <c r="AU656">
        <v>0</v>
      </c>
      <c r="AV656">
        <v>0</v>
      </c>
      <c r="AW656">
        <v>0</v>
      </c>
      <c r="AX656">
        <v>0</v>
      </c>
      <c r="AY656">
        <v>0</v>
      </c>
    </row>
    <row r="657" spans="1:51" x14ac:dyDescent="0.25">
      <c r="A657">
        <v>171</v>
      </c>
      <c r="B657">
        <v>29390</v>
      </c>
      <c r="C657" t="s">
        <v>735</v>
      </c>
      <c r="D657" t="s">
        <v>96</v>
      </c>
      <c r="E657" t="s">
        <v>100</v>
      </c>
      <c r="F657" t="s">
        <v>107</v>
      </c>
      <c r="G657" t="s">
        <v>77</v>
      </c>
      <c r="H657" t="s">
        <v>78</v>
      </c>
      <c r="I657" t="s">
        <v>79</v>
      </c>
      <c r="J657" t="s">
        <v>152</v>
      </c>
      <c r="K657" t="s">
        <v>75</v>
      </c>
      <c r="L657" t="s">
        <v>76</v>
      </c>
      <c r="M657" t="s">
        <v>103</v>
      </c>
      <c r="N657" t="s">
        <v>74</v>
      </c>
      <c r="O657" t="s">
        <v>187</v>
      </c>
      <c r="P657" t="s">
        <v>71</v>
      </c>
      <c r="Q657" t="s">
        <v>110</v>
      </c>
      <c r="R657" t="s">
        <v>71</v>
      </c>
      <c r="S657">
        <v>1</v>
      </c>
      <c r="T657">
        <v>1</v>
      </c>
      <c r="U657" t="s">
        <v>72</v>
      </c>
      <c r="V657" t="s">
        <v>192</v>
      </c>
      <c r="W657">
        <v>0</v>
      </c>
      <c r="X657">
        <v>1</v>
      </c>
      <c r="Y657">
        <v>0</v>
      </c>
      <c r="Z657">
        <v>0</v>
      </c>
      <c r="AA657">
        <v>0</v>
      </c>
      <c r="AB657">
        <v>0</v>
      </c>
      <c r="AC657">
        <v>0</v>
      </c>
      <c r="AD657">
        <v>0</v>
      </c>
      <c r="AE657">
        <v>0</v>
      </c>
      <c r="AF657">
        <v>0</v>
      </c>
      <c r="AG657" t="s">
        <v>71</v>
      </c>
      <c r="AH657">
        <v>0</v>
      </c>
      <c r="AI657">
        <v>0</v>
      </c>
      <c r="AJ657">
        <v>0</v>
      </c>
      <c r="AK657">
        <v>0</v>
      </c>
      <c r="AL657" t="s">
        <v>387</v>
      </c>
      <c r="AM657" t="s">
        <v>254</v>
      </c>
      <c r="AN657" t="s">
        <v>94</v>
      </c>
      <c r="AO657" t="s">
        <v>147</v>
      </c>
      <c r="AP657">
        <v>0</v>
      </c>
      <c r="AQ657">
        <v>0</v>
      </c>
      <c r="AR657">
        <v>0</v>
      </c>
      <c r="AS657">
        <v>0</v>
      </c>
      <c r="AT657">
        <v>0</v>
      </c>
      <c r="AU657">
        <v>0</v>
      </c>
      <c r="AV657">
        <v>0</v>
      </c>
      <c r="AW657">
        <v>0</v>
      </c>
      <c r="AX657">
        <v>256</v>
      </c>
      <c r="AY657">
        <v>0</v>
      </c>
    </row>
    <row r="658" spans="1:51" x14ac:dyDescent="0.25">
      <c r="A658">
        <v>171</v>
      </c>
      <c r="B658">
        <v>29400</v>
      </c>
      <c r="C658" t="s">
        <v>735</v>
      </c>
      <c r="D658" t="s">
        <v>96</v>
      </c>
      <c r="E658" t="s">
        <v>100</v>
      </c>
      <c r="F658" t="s">
        <v>107</v>
      </c>
      <c r="G658" t="s">
        <v>77</v>
      </c>
      <c r="H658" t="s">
        <v>78</v>
      </c>
      <c r="I658" t="s">
        <v>79</v>
      </c>
      <c r="J658" t="s">
        <v>152</v>
      </c>
      <c r="K658" t="s">
        <v>75</v>
      </c>
      <c r="L658" t="s">
        <v>76</v>
      </c>
      <c r="M658" t="s">
        <v>149</v>
      </c>
      <c r="N658" t="s">
        <v>74</v>
      </c>
      <c r="O658" t="s">
        <v>187</v>
      </c>
      <c r="P658" t="s">
        <v>71</v>
      </c>
      <c r="Q658" t="s">
        <v>110</v>
      </c>
      <c r="R658" t="s">
        <v>71</v>
      </c>
      <c r="S658">
        <v>1</v>
      </c>
      <c r="T658">
        <v>1</v>
      </c>
      <c r="U658" t="s">
        <v>72</v>
      </c>
      <c r="V658" t="s">
        <v>188</v>
      </c>
      <c r="W658">
        <v>0</v>
      </c>
      <c r="X658">
        <v>1</v>
      </c>
      <c r="Y658">
        <v>0</v>
      </c>
      <c r="Z658">
        <v>0</v>
      </c>
      <c r="AA658">
        <v>0</v>
      </c>
      <c r="AB658">
        <v>0</v>
      </c>
      <c r="AC658">
        <v>0</v>
      </c>
      <c r="AD658">
        <v>0</v>
      </c>
      <c r="AE658">
        <v>0</v>
      </c>
      <c r="AF658">
        <v>0</v>
      </c>
      <c r="AG658" t="s">
        <v>71</v>
      </c>
      <c r="AH658">
        <v>0</v>
      </c>
      <c r="AI658">
        <v>0</v>
      </c>
      <c r="AJ658">
        <v>0</v>
      </c>
      <c r="AK658">
        <v>0</v>
      </c>
      <c r="AL658" t="s">
        <v>387</v>
      </c>
      <c r="AM658" t="s">
        <v>254</v>
      </c>
      <c r="AN658" t="s">
        <v>94</v>
      </c>
      <c r="AO658" t="s">
        <v>147</v>
      </c>
      <c r="AP658">
        <v>0</v>
      </c>
      <c r="AQ658">
        <v>0</v>
      </c>
      <c r="AR658">
        <v>0</v>
      </c>
      <c r="AS658">
        <v>0</v>
      </c>
      <c r="AT658">
        <v>0</v>
      </c>
      <c r="AU658">
        <v>0</v>
      </c>
      <c r="AV658">
        <v>0</v>
      </c>
      <c r="AW658">
        <v>0</v>
      </c>
      <c r="AX658">
        <v>256</v>
      </c>
      <c r="AY658">
        <v>0</v>
      </c>
    </row>
    <row r="659" spans="1:51" x14ac:dyDescent="0.25">
      <c r="A659">
        <v>171</v>
      </c>
      <c r="B659">
        <v>29410</v>
      </c>
      <c r="C659" t="s">
        <v>735</v>
      </c>
      <c r="D659" t="s">
        <v>96</v>
      </c>
      <c r="E659" t="s">
        <v>100</v>
      </c>
      <c r="F659" t="s">
        <v>107</v>
      </c>
      <c r="G659" t="s">
        <v>77</v>
      </c>
      <c r="H659" t="s">
        <v>78</v>
      </c>
      <c r="I659" t="s">
        <v>79</v>
      </c>
      <c r="J659" t="s">
        <v>152</v>
      </c>
      <c r="K659" t="s">
        <v>75</v>
      </c>
      <c r="L659" t="s">
        <v>76</v>
      </c>
      <c r="M659" t="s">
        <v>149</v>
      </c>
      <c r="N659" t="s">
        <v>74</v>
      </c>
      <c r="O659" t="s">
        <v>187</v>
      </c>
      <c r="P659" t="s">
        <v>71</v>
      </c>
      <c r="Q659" t="s">
        <v>110</v>
      </c>
      <c r="R659" t="s">
        <v>71</v>
      </c>
      <c r="S659">
        <v>1</v>
      </c>
      <c r="T659">
        <v>1</v>
      </c>
      <c r="U659" t="s">
        <v>72</v>
      </c>
      <c r="V659" t="s">
        <v>188</v>
      </c>
      <c r="W659">
        <v>0</v>
      </c>
      <c r="X659">
        <v>1</v>
      </c>
      <c r="Y659">
        <v>0</v>
      </c>
      <c r="Z659">
        <v>0</v>
      </c>
      <c r="AA659">
        <v>0</v>
      </c>
      <c r="AB659">
        <v>0</v>
      </c>
      <c r="AC659">
        <v>0</v>
      </c>
      <c r="AD659">
        <v>0</v>
      </c>
      <c r="AE659">
        <v>0</v>
      </c>
      <c r="AF659">
        <v>0</v>
      </c>
      <c r="AG659" t="s">
        <v>71</v>
      </c>
      <c r="AH659">
        <v>0</v>
      </c>
      <c r="AI659">
        <v>0</v>
      </c>
      <c r="AJ659">
        <v>0</v>
      </c>
      <c r="AK659">
        <v>0</v>
      </c>
      <c r="AL659" t="s">
        <v>387</v>
      </c>
      <c r="AM659" t="s">
        <v>254</v>
      </c>
      <c r="AN659" t="s">
        <v>94</v>
      </c>
      <c r="AO659" t="s">
        <v>147</v>
      </c>
      <c r="AP659">
        <v>0</v>
      </c>
      <c r="AQ659">
        <v>0</v>
      </c>
      <c r="AR659">
        <v>0</v>
      </c>
      <c r="AS659">
        <v>0</v>
      </c>
      <c r="AT659">
        <v>0</v>
      </c>
      <c r="AU659">
        <v>0</v>
      </c>
      <c r="AV659">
        <v>0</v>
      </c>
      <c r="AW659">
        <v>0</v>
      </c>
      <c r="AX659">
        <v>256</v>
      </c>
      <c r="AY659">
        <v>0</v>
      </c>
    </row>
    <row r="660" spans="1:51" x14ac:dyDescent="0.25">
      <c r="A660">
        <v>171</v>
      </c>
      <c r="B660">
        <v>29420</v>
      </c>
      <c r="C660" t="s">
        <v>735</v>
      </c>
      <c r="D660" t="s">
        <v>96</v>
      </c>
      <c r="E660" t="s">
        <v>100</v>
      </c>
      <c r="F660" t="s">
        <v>107</v>
      </c>
      <c r="G660" t="s">
        <v>77</v>
      </c>
      <c r="H660" t="s">
        <v>78</v>
      </c>
      <c r="I660" t="s">
        <v>79</v>
      </c>
      <c r="J660" t="s">
        <v>152</v>
      </c>
      <c r="K660" t="s">
        <v>75</v>
      </c>
      <c r="L660" t="s">
        <v>76</v>
      </c>
      <c r="M660" t="s">
        <v>149</v>
      </c>
      <c r="N660" t="s">
        <v>74</v>
      </c>
      <c r="O660" t="s">
        <v>187</v>
      </c>
      <c r="P660" t="s">
        <v>71</v>
      </c>
      <c r="Q660" t="s">
        <v>110</v>
      </c>
      <c r="R660" t="s">
        <v>71</v>
      </c>
      <c r="S660">
        <v>1</v>
      </c>
      <c r="T660">
        <v>1</v>
      </c>
      <c r="U660" t="s">
        <v>72</v>
      </c>
      <c r="V660" t="s">
        <v>188</v>
      </c>
      <c r="W660">
        <v>0</v>
      </c>
      <c r="X660">
        <v>1</v>
      </c>
      <c r="Y660">
        <v>0</v>
      </c>
      <c r="Z660">
        <v>0</v>
      </c>
      <c r="AA660">
        <v>0</v>
      </c>
      <c r="AB660">
        <v>0</v>
      </c>
      <c r="AC660">
        <v>0</v>
      </c>
      <c r="AD660">
        <v>0</v>
      </c>
      <c r="AE660">
        <v>0</v>
      </c>
      <c r="AF660">
        <v>0</v>
      </c>
      <c r="AG660" t="s">
        <v>71</v>
      </c>
      <c r="AH660">
        <v>0</v>
      </c>
      <c r="AI660">
        <v>0</v>
      </c>
      <c r="AJ660">
        <v>0</v>
      </c>
      <c r="AK660">
        <v>0</v>
      </c>
      <c r="AL660" t="s">
        <v>387</v>
      </c>
      <c r="AM660" t="s">
        <v>254</v>
      </c>
      <c r="AN660" t="s">
        <v>94</v>
      </c>
      <c r="AO660" t="s">
        <v>147</v>
      </c>
      <c r="AP660">
        <v>0</v>
      </c>
      <c r="AQ660">
        <v>0</v>
      </c>
      <c r="AR660">
        <v>0</v>
      </c>
      <c r="AS660">
        <v>0</v>
      </c>
      <c r="AT660">
        <v>0</v>
      </c>
      <c r="AU660">
        <v>0</v>
      </c>
      <c r="AV660">
        <v>0</v>
      </c>
      <c r="AW660">
        <v>0</v>
      </c>
      <c r="AX660">
        <v>256</v>
      </c>
      <c r="AY660">
        <v>0</v>
      </c>
    </row>
    <row r="661" spans="1:51" x14ac:dyDescent="0.25">
      <c r="A661">
        <v>171</v>
      </c>
      <c r="B661">
        <v>29430</v>
      </c>
      <c r="C661" t="s">
        <v>735</v>
      </c>
      <c r="D661" t="s">
        <v>96</v>
      </c>
      <c r="E661" t="s">
        <v>100</v>
      </c>
      <c r="F661" t="s">
        <v>107</v>
      </c>
      <c r="G661" t="s">
        <v>77</v>
      </c>
      <c r="H661" t="s">
        <v>78</v>
      </c>
      <c r="I661" t="s">
        <v>79</v>
      </c>
      <c r="J661" t="s">
        <v>152</v>
      </c>
      <c r="K661" t="s">
        <v>75</v>
      </c>
      <c r="L661" t="s">
        <v>76</v>
      </c>
      <c r="M661" t="s">
        <v>149</v>
      </c>
      <c r="N661" t="s">
        <v>74</v>
      </c>
      <c r="O661" t="s">
        <v>187</v>
      </c>
      <c r="P661" t="s">
        <v>71</v>
      </c>
      <c r="Q661" t="s">
        <v>71</v>
      </c>
      <c r="R661" t="s">
        <v>71</v>
      </c>
      <c r="S661">
        <v>1</v>
      </c>
      <c r="T661">
        <v>1</v>
      </c>
      <c r="U661" t="s">
        <v>72</v>
      </c>
      <c r="V661" t="s">
        <v>188</v>
      </c>
      <c r="W661">
        <v>0</v>
      </c>
      <c r="X661">
        <v>1</v>
      </c>
      <c r="Y661">
        <v>0</v>
      </c>
      <c r="Z661">
        <v>0</v>
      </c>
      <c r="AA661">
        <v>0</v>
      </c>
      <c r="AB661">
        <v>0</v>
      </c>
      <c r="AC661">
        <v>0</v>
      </c>
      <c r="AD661">
        <v>0</v>
      </c>
      <c r="AE661">
        <v>0</v>
      </c>
      <c r="AF661">
        <v>0</v>
      </c>
      <c r="AG661" t="s">
        <v>71</v>
      </c>
      <c r="AH661">
        <v>0</v>
      </c>
      <c r="AI661">
        <v>0</v>
      </c>
      <c r="AJ661">
        <v>0</v>
      </c>
      <c r="AK661">
        <v>0</v>
      </c>
      <c r="AL661" t="s">
        <v>387</v>
      </c>
      <c r="AM661" t="s">
        <v>254</v>
      </c>
      <c r="AN661" t="s">
        <v>94</v>
      </c>
      <c r="AO661" t="s">
        <v>147</v>
      </c>
      <c r="AP661">
        <v>0</v>
      </c>
      <c r="AQ661">
        <v>0</v>
      </c>
      <c r="AR661">
        <v>0</v>
      </c>
      <c r="AS661">
        <v>0</v>
      </c>
      <c r="AT661">
        <v>0</v>
      </c>
      <c r="AU661">
        <v>0</v>
      </c>
      <c r="AV661">
        <v>0</v>
      </c>
      <c r="AW661">
        <v>0</v>
      </c>
      <c r="AX661">
        <v>256</v>
      </c>
      <c r="AY661">
        <v>0</v>
      </c>
    </row>
    <row r="662" spans="1:51" x14ac:dyDescent="0.25">
      <c r="A662">
        <v>171</v>
      </c>
      <c r="B662">
        <v>29440</v>
      </c>
      <c r="C662" t="s">
        <v>735</v>
      </c>
      <c r="D662" t="s">
        <v>96</v>
      </c>
      <c r="E662" t="s">
        <v>100</v>
      </c>
      <c r="F662" t="s">
        <v>107</v>
      </c>
      <c r="G662" t="s">
        <v>77</v>
      </c>
      <c r="H662" t="s">
        <v>78</v>
      </c>
      <c r="I662" t="s">
        <v>79</v>
      </c>
      <c r="J662" t="s">
        <v>152</v>
      </c>
      <c r="K662" t="s">
        <v>75</v>
      </c>
      <c r="L662" t="s">
        <v>76</v>
      </c>
      <c r="M662" t="s">
        <v>149</v>
      </c>
      <c r="N662" t="s">
        <v>74</v>
      </c>
      <c r="O662" t="s">
        <v>187</v>
      </c>
      <c r="P662" t="s">
        <v>71</v>
      </c>
      <c r="Q662" t="s">
        <v>71</v>
      </c>
      <c r="R662" t="s">
        <v>71</v>
      </c>
      <c r="S662">
        <v>1</v>
      </c>
      <c r="T662">
        <v>1</v>
      </c>
      <c r="U662" t="s">
        <v>72</v>
      </c>
      <c r="V662" t="s">
        <v>188</v>
      </c>
      <c r="W662">
        <v>0</v>
      </c>
      <c r="X662">
        <v>1</v>
      </c>
      <c r="Y662">
        <v>0</v>
      </c>
      <c r="Z662">
        <v>0</v>
      </c>
      <c r="AA662">
        <v>0</v>
      </c>
      <c r="AB662">
        <v>0</v>
      </c>
      <c r="AC662">
        <v>0</v>
      </c>
      <c r="AD662">
        <v>0</v>
      </c>
      <c r="AE662">
        <v>0</v>
      </c>
      <c r="AF662">
        <v>0</v>
      </c>
      <c r="AG662" t="s">
        <v>71</v>
      </c>
      <c r="AH662">
        <v>0</v>
      </c>
      <c r="AI662">
        <v>0</v>
      </c>
      <c r="AJ662">
        <v>0</v>
      </c>
      <c r="AK662">
        <v>0</v>
      </c>
      <c r="AL662" t="s">
        <v>387</v>
      </c>
      <c r="AM662" t="s">
        <v>254</v>
      </c>
      <c r="AN662" t="s">
        <v>94</v>
      </c>
      <c r="AO662" t="s">
        <v>147</v>
      </c>
      <c r="AP662">
        <v>0</v>
      </c>
      <c r="AQ662">
        <v>0</v>
      </c>
      <c r="AR662">
        <v>0</v>
      </c>
      <c r="AS662">
        <v>0</v>
      </c>
      <c r="AT662">
        <v>0</v>
      </c>
      <c r="AU662">
        <v>0</v>
      </c>
      <c r="AV662">
        <v>0</v>
      </c>
      <c r="AW662">
        <v>0</v>
      </c>
      <c r="AX662">
        <v>256</v>
      </c>
      <c r="AY662">
        <v>0</v>
      </c>
    </row>
    <row r="663" spans="1:51" x14ac:dyDescent="0.25">
      <c r="A663">
        <v>171</v>
      </c>
      <c r="B663">
        <v>32410</v>
      </c>
      <c r="C663" t="s">
        <v>735</v>
      </c>
      <c r="D663" t="s">
        <v>96</v>
      </c>
      <c r="E663" t="s">
        <v>100</v>
      </c>
      <c r="F663" t="s">
        <v>107</v>
      </c>
      <c r="G663" t="s">
        <v>77</v>
      </c>
      <c r="H663" t="s">
        <v>78</v>
      </c>
      <c r="I663" t="s">
        <v>79</v>
      </c>
      <c r="J663" t="s">
        <v>152</v>
      </c>
      <c r="K663" t="s">
        <v>75</v>
      </c>
      <c r="L663" t="s">
        <v>76</v>
      </c>
      <c r="M663" t="s">
        <v>149</v>
      </c>
      <c r="N663" t="s">
        <v>74</v>
      </c>
      <c r="O663" t="s">
        <v>187</v>
      </c>
      <c r="P663" t="s">
        <v>71</v>
      </c>
      <c r="Q663" t="s">
        <v>71</v>
      </c>
      <c r="R663" t="s">
        <v>71</v>
      </c>
      <c r="S663">
        <v>1</v>
      </c>
      <c r="T663">
        <v>1</v>
      </c>
      <c r="U663" t="s">
        <v>72</v>
      </c>
      <c r="V663" t="s">
        <v>188</v>
      </c>
      <c r="W663">
        <v>0</v>
      </c>
      <c r="X663">
        <v>1</v>
      </c>
      <c r="Y663">
        <v>0</v>
      </c>
      <c r="Z663">
        <v>0</v>
      </c>
      <c r="AA663">
        <v>0</v>
      </c>
      <c r="AB663">
        <v>0</v>
      </c>
      <c r="AC663">
        <v>0</v>
      </c>
      <c r="AD663">
        <v>0</v>
      </c>
      <c r="AE663">
        <v>0</v>
      </c>
      <c r="AF663">
        <v>0</v>
      </c>
      <c r="AG663" t="s">
        <v>71</v>
      </c>
      <c r="AH663">
        <v>0</v>
      </c>
      <c r="AI663">
        <v>0</v>
      </c>
      <c r="AJ663">
        <v>0</v>
      </c>
      <c r="AK663">
        <v>0</v>
      </c>
      <c r="AL663" t="s">
        <v>387</v>
      </c>
      <c r="AM663" t="s">
        <v>254</v>
      </c>
      <c r="AN663" t="s">
        <v>94</v>
      </c>
      <c r="AO663" t="s">
        <v>147</v>
      </c>
      <c r="AP663">
        <v>0</v>
      </c>
      <c r="AQ663">
        <v>0</v>
      </c>
      <c r="AR663">
        <v>0</v>
      </c>
      <c r="AS663">
        <v>0</v>
      </c>
      <c r="AT663">
        <v>0</v>
      </c>
      <c r="AU663">
        <v>0</v>
      </c>
      <c r="AV663">
        <v>0</v>
      </c>
      <c r="AW663">
        <v>0</v>
      </c>
      <c r="AX663">
        <v>256</v>
      </c>
      <c r="AY663">
        <v>0</v>
      </c>
    </row>
    <row r="664" spans="1:51" x14ac:dyDescent="0.25">
      <c r="A664">
        <v>171</v>
      </c>
      <c r="B664">
        <v>32420</v>
      </c>
      <c r="C664" t="s">
        <v>735</v>
      </c>
      <c r="D664" t="s">
        <v>96</v>
      </c>
      <c r="E664" t="s">
        <v>100</v>
      </c>
      <c r="F664" t="s">
        <v>107</v>
      </c>
      <c r="G664" t="s">
        <v>77</v>
      </c>
      <c r="H664" t="s">
        <v>78</v>
      </c>
      <c r="I664" t="s">
        <v>79</v>
      </c>
      <c r="J664" t="s">
        <v>152</v>
      </c>
      <c r="K664" t="s">
        <v>75</v>
      </c>
      <c r="L664" t="s">
        <v>76</v>
      </c>
      <c r="M664" t="s">
        <v>149</v>
      </c>
      <c r="N664" t="s">
        <v>74</v>
      </c>
      <c r="O664" t="s">
        <v>187</v>
      </c>
      <c r="P664" t="s">
        <v>71</v>
      </c>
      <c r="Q664" t="s">
        <v>71</v>
      </c>
      <c r="R664" t="s">
        <v>71</v>
      </c>
      <c r="S664">
        <v>1</v>
      </c>
      <c r="T664">
        <v>1</v>
      </c>
      <c r="U664" t="s">
        <v>72</v>
      </c>
      <c r="V664" t="s">
        <v>188</v>
      </c>
      <c r="W664">
        <v>0</v>
      </c>
      <c r="X664">
        <v>1</v>
      </c>
      <c r="Y664">
        <v>0</v>
      </c>
      <c r="Z664">
        <v>0</v>
      </c>
      <c r="AA664">
        <v>0</v>
      </c>
      <c r="AB664">
        <v>0</v>
      </c>
      <c r="AC664">
        <v>0</v>
      </c>
      <c r="AD664">
        <v>0</v>
      </c>
      <c r="AE664">
        <v>0</v>
      </c>
      <c r="AF664">
        <v>0</v>
      </c>
      <c r="AG664" t="s">
        <v>71</v>
      </c>
      <c r="AH664">
        <v>0</v>
      </c>
      <c r="AI664">
        <v>0</v>
      </c>
      <c r="AJ664">
        <v>0</v>
      </c>
      <c r="AK664">
        <v>0</v>
      </c>
      <c r="AL664" t="s">
        <v>387</v>
      </c>
      <c r="AM664" t="s">
        <v>254</v>
      </c>
      <c r="AN664" t="s">
        <v>94</v>
      </c>
      <c r="AO664" t="s">
        <v>147</v>
      </c>
      <c r="AP664">
        <v>0</v>
      </c>
      <c r="AQ664">
        <v>0</v>
      </c>
      <c r="AR664">
        <v>0</v>
      </c>
      <c r="AS664">
        <v>0</v>
      </c>
      <c r="AT664">
        <v>0</v>
      </c>
      <c r="AU664">
        <v>0</v>
      </c>
      <c r="AV664">
        <v>0</v>
      </c>
      <c r="AW664">
        <v>0</v>
      </c>
      <c r="AX664">
        <v>0</v>
      </c>
      <c r="AY664">
        <v>0</v>
      </c>
    </row>
    <row r="665" spans="1:51" x14ac:dyDescent="0.25">
      <c r="A665">
        <v>171</v>
      </c>
      <c r="B665">
        <v>32430</v>
      </c>
      <c r="C665" t="s">
        <v>735</v>
      </c>
      <c r="D665" t="s">
        <v>96</v>
      </c>
      <c r="E665" t="s">
        <v>100</v>
      </c>
      <c r="F665" t="s">
        <v>107</v>
      </c>
      <c r="G665" t="s">
        <v>77</v>
      </c>
      <c r="H665" t="s">
        <v>78</v>
      </c>
      <c r="I665" t="s">
        <v>79</v>
      </c>
      <c r="J665" t="s">
        <v>152</v>
      </c>
      <c r="K665" t="s">
        <v>75</v>
      </c>
      <c r="L665" t="s">
        <v>76</v>
      </c>
      <c r="M665" t="s">
        <v>149</v>
      </c>
      <c r="N665" t="s">
        <v>74</v>
      </c>
      <c r="O665" t="s">
        <v>187</v>
      </c>
      <c r="P665" t="s">
        <v>71</v>
      </c>
      <c r="Q665" t="s">
        <v>71</v>
      </c>
      <c r="R665" t="s">
        <v>71</v>
      </c>
      <c r="S665">
        <v>1</v>
      </c>
      <c r="T665">
        <v>1</v>
      </c>
      <c r="U665" t="s">
        <v>72</v>
      </c>
      <c r="V665" t="s">
        <v>188</v>
      </c>
      <c r="W665">
        <v>0</v>
      </c>
      <c r="X665">
        <v>1</v>
      </c>
      <c r="Y665">
        <v>0</v>
      </c>
      <c r="Z665">
        <v>0</v>
      </c>
      <c r="AA665">
        <v>0</v>
      </c>
      <c r="AB665">
        <v>0</v>
      </c>
      <c r="AC665">
        <v>0</v>
      </c>
      <c r="AD665">
        <v>0</v>
      </c>
      <c r="AE665">
        <v>0</v>
      </c>
      <c r="AF665">
        <v>0</v>
      </c>
      <c r="AG665" t="s">
        <v>71</v>
      </c>
      <c r="AH665">
        <v>0</v>
      </c>
      <c r="AI665">
        <v>0</v>
      </c>
      <c r="AJ665">
        <v>0</v>
      </c>
      <c r="AK665">
        <v>0</v>
      </c>
      <c r="AL665" t="s">
        <v>387</v>
      </c>
      <c r="AM665" t="s">
        <v>254</v>
      </c>
      <c r="AN665" t="s">
        <v>94</v>
      </c>
      <c r="AO665" t="s">
        <v>147</v>
      </c>
      <c r="AP665">
        <v>0</v>
      </c>
      <c r="AQ665">
        <v>0</v>
      </c>
      <c r="AR665">
        <v>0</v>
      </c>
      <c r="AS665">
        <v>0</v>
      </c>
      <c r="AT665">
        <v>0</v>
      </c>
      <c r="AU665">
        <v>0</v>
      </c>
      <c r="AV665">
        <v>0</v>
      </c>
      <c r="AW665">
        <v>0</v>
      </c>
      <c r="AX665">
        <v>0</v>
      </c>
      <c r="AY665">
        <v>0</v>
      </c>
    </row>
    <row r="666" spans="1:51" x14ac:dyDescent="0.25">
      <c r="A666">
        <v>172</v>
      </c>
      <c r="B666">
        <v>32440</v>
      </c>
      <c r="C666" t="s">
        <v>735</v>
      </c>
      <c r="D666" t="s">
        <v>96</v>
      </c>
      <c r="E666" t="s">
        <v>100</v>
      </c>
      <c r="F666" t="s">
        <v>107</v>
      </c>
      <c r="G666" t="s">
        <v>77</v>
      </c>
      <c r="H666" t="s">
        <v>78</v>
      </c>
      <c r="I666" t="s">
        <v>79</v>
      </c>
      <c r="J666" t="s">
        <v>152</v>
      </c>
      <c r="K666" t="s">
        <v>75</v>
      </c>
      <c r="L666" t="s">
        <v>76</v>
      </c>
      <c r="M666" t="s">
        <v>149</v>
      </c>
      <c r="N666" t="s">
        <v>74</v>
      </c>
      <c r="O666" t="s">
        <v>187</v>
      </c>
      <c r="P666" t="s">
        <v>71</v>
      </c>
      <c r="Q666" t="s">
        <v>110</v>
      </c>
      <c r="R666" t="s">
        <v>71</v>
      </c>
      <c r="S666">
        <v>1</v>
      </c>
      <c r="T666">
        <v>1</v>
      </c>
      <c r="U666" t="s">
        <v>72</v>
      </c>
      <c r="V666" t="s">
        <v>188</v>
      </c>
      <c r="W666">
        <v>0</v>
      </c>
      <c r="X666">
        <v>1</v>
      </c>
      <c r="Y666">
        <v>0</v>
      </c>
      <c r="Z666">
        <v>0</v>
      </c>
      <c r="AA666">
        <v>0</v>
      </c>
      <c r="AB666">
        <v>0</v>
      </c>
      <c r="AC666">
        <v>0</v>
      </c>
      <c r="AD666">
        <v>0</v>
      </c>
      <c r="AE666">
        <v>0</v>
      </c>
      <c r="AF666">
        <v>0</v>
      </c>
      <c r="AG666" t="s">
        <v>71</v>
      </c>
      <c r="AH666">
        <v>0</v>
      </c>
      <c r="AI666">
        <v>0</v>
      </c>
      <c r="AJ666">
        <v>0</v>
      </c>
      <c r="AK666">
        <v>0</v>
      </c>
      <c r="AL666" t="s">
        <v>387</v>
      </c>
      <c r="AM666" t="s">
        <v>254</v>
      </c>
      <c r="AN666" t="s">
        <v>94</v>
      </c>
      <c r="AO666" t="s">
        <v>147</v>
      </c>
      <c r="AP666">
        <v>0</v>
      </c>
      <c r="AQ666">
        <v>0</v>
      </c>
      <c r="AR666">
        <v>0</v>
      </c>
      <c r="AS666">
        <v>0</v>
      </c>
      <c r="AT666">
        <v>0</v>
      </c>
      <c r="AU666">
        <v>0</v>
      </c>
      <c r="AV666">
        <v>0</v>
      </c>
      <c r="AW666">
        <v>0</v>
      </c>
      <c r="AX666">
        <v>256</v>
      </c>
      <c r="AY666">
        <v>0</v>
      </c>
    </row>
    <row r="667" spans="1:51" x14ac:dyDescent="0.25">
      <c r="A667">
        <v>172</v>
      </c>
      <c r="B667">
        <v>32450</v>
      </c>
      <c r="C667" t="s">
        <v>735</v>
      </c>
      <c r="D667" t="s">
        <v>96</v>
      </c>
      <c r="E667" t="s">
        <v>100</v>
      </c>
      <c r="F667" t="s">
        <v>107</v>
      </c>
      <c r="G667" t="s">
        <v>77</v>
      </c>
      <c r="H667" t="s">
        <v>78</v>
      </c>
      <c r="I667" t="s">
        <v>79</v>
      </c>
      <c r="J667" t="s">
        <v>152</v>
      </c>
      <c r="K667" t="s">
        <v>75</v>
      </c>
      <c r="L667" t="s">
        <v>76</v>
      </c>
      <c r="M667" t="s">
        <v>149</v>
      </c>
      <c r="N667" t="s">
        <v>74</v>
      </c>
      <c r="O667" t="s">
        <v>187</v>
      </c>
      <c r="P667" t="s">
        <v>71</v>
      </c>
      <c r="Q667" t="s">
        <v>110</v>
      </c>
      <c r="R667" t="s">
        <v>71</v>
      </c>
      <c r="S667">
        <v>1</v>
      </c>
      <c r="T667">
        <v>1</v>
      </c>
      <c r="U667" t="s">
        <v>72</v>
      </c>
      <c r="V667" t="s">
        <v>188</v>
      </c>
      <c r="W667">
        <v>0</v>
      </c>
      <c r="X667">
        <v>1</v>
      </c>
      <c r="Y667">
        <v>0</v>
      </c>
      <c r="Z667">
        <v>0</v>
      </c>
      <c r="AA667">
        <v>0</v>
      </c>
      <c r="AB667">
        <v>0</v>
      </c>
      <c r="AC667">
        <v>0</v>
      </c>
      <c r="AD667">
        <v>0</v>
      </c>
      <c r="AE667">
        <v>0</v>
      </c>
      <c r="AF667">
        <v>0</v>
      </c>
      <c r="AG667" t="s">
        <v>71</v>
      </c>
      <c r="AH667">
        <v>0</v>
      </c>
      <c r="AI667">
        <v>0</v>
      </c>
      <c r="AJ667">
        <v>0</v>
      </c>
      <c r="AK667">
        <v>0</v>
      </c>
      <c r="AL667" t="s">
        <v>387</v>
      </c>
      <c r="AM667" t="s">
        <v>254</v>
      </c>
      <c r="AN667" t="s">
        <v>94</v>
      </c>
      <c r="AO667" t="s">
        <v>147</v>
      </c>
      <c r="AP667">
        <v>0</v>
      </c>
      <c r="AQ667">
        <v>0</v>
      </c>
      <c r="AR667">
        <v>0</v>
      </c>
      <c r="AS667">
        <v>0</v>
      </c>
      <c r="AT667">
        <v>0</v>
      </c>
      <c r="AU667">
        <v>0</v>
      </c>
      <c r="AV667">
        <v>0</v>
      </c>
      <c r="AW667">
        <v>0</v>
      </c>
      <c r="AX667">
        <v>256</v>
      </c>
      <c r="AY667">
        <v>0</v>
      </c>
    </row>
    <row r="668" spans="1:51" x14ac:dyDescent="0.25">
      <c r="A668">
        <v>172</v>
      </c>
      <c r="B668">
        <v>32460</v>
      </c>
      <c r="C668" t="s">
        <v>735</v>
      </c>
      <c r="D668" t="s">
        <v>96</v>
      </c>
      <c r="E668" t="s">
        <v>100</v>
      </c>
      <c r="F668" t="s">
        <v>107</v>
      </c>
      <c r="G668" t="s">
        <v>77</v>
      </c>
      <c r="H668" t="s">
        <v>78</v>
      </c>
      <c r="I668" t="s">
        <v>79</v>
      </c>
      <c r="J668" t="s">
        <v>152</v>
      </c>
      <c r="K668" t="s">
        <v>75</v>
      </c>
      <c r="L668" t="s">
        <v>76</v>
      </c>
      <c r="M668" t="s">
        <v>149</v>
      </c>
      <c r="N668" t="s">
        <v>74</v>
      </c>
      <c r="O668" t="s">
        <v>187</v>
      </c>
      <c r="P668" t="s">
        <v>71</v>
      </c>
      <c r="Q668" t="s">
        <v>110</v>
      </c>
      <c r="R668" t="s">
        <v>71</v>
      </c>
      <c r="S668">
        <v>1</v>
      </c>
      <c r="T668">
        <v>1</v>
      </c>
      <c r="U668" t="s">
        <v>72</v>
      </c>
      <c r="V668" t="s">
        <v>188</v>
      </c>
      <c r="W668">
        <v>0</v>
      </c>
      <c r="X668">
        <v>1</v>
      </c>
      <c r="Y668">
        <v>0</v>
      </c>
      <c r="Z668">
        <v>0</v>
      </c>
      <c r="AA668">
        <v>0</v>
      </c>
      <c r="AB668">
        <v>0</v>
      </c>
      <c r="AC668">
        <v>0</v>
      </c>
      <c r="AD668">
        <v>0</v>
      </c>
      <c r="AE668">
        <v>0</v>
      </c>
      <c r="AF668">
        <v>0</v>
      </c>
      <c r="AG668" t="s">
        <v>71</v>
      </c>
      <c r="AH668">
        <v>0</v>
      </c>
      <c r="AI668">
        <v>0</v>
      </c>
      <c r="AJ668">
        <v>0</v>
      </c>
      <c r="AK668">
        <v>0</v>
      </c>
      <c r="AL668" t="s">
        <v>387</v>
      </c>
      <c r="AM668" t="s">
        <v>254</v>
      </c>
      <c r="AN668" t="s">
        <v>94</v>
      </c>
      <c r="AO668" t="s">
        <v>147</v>
      </c>
      <c r="AP668">
        <v>0</v>
      </c>
      <c r="AQ668">
        <v>0</v>
      </c>
      <c r="AR668">
        <v>0</v>
      </c>
      <c r="AS668">
        <v>0</v>
      </c>
      <c r="AT668">
        <v>0</v>
      </c>
      <c r="AU668">
        <v>0</v>
      </c>
      <c r="AV668">
        <v>0</v>
      </c>
      <c r="AW668">
        <v>0</v>
      </c>
      <c r="AX668">
        <v>256</v>
      </c>
      <c r="AY668">
        <v>0</v>
      </c>
    </row>
    <row r="669" spans="1:51" x14ac:dyDescent="0.25">
      <c r="A669">
        <v>172</v>
      </c>
      <c r="B669">
        <v>32470</v>
      </c>
      <c r="C669" t="s">
        <v>735</v>
      </c>
      <c r="D669" t="s">
        <v>96</v>
      </c>
      <c r="E669" t="s">
        <v>100</v>
      </c>
      <c r="F669" t="s">
        <v>107</v>
      </c>
      <c r="G669" t="s">
        <v>77</v>
      </c>
      <c r="H669" t="s">
        <v>78</v>
      </c>
      <c r="I669" t="s">
        <v>79</v>
      </c>
      <c r="J669" t="s">
        <v>152</v>
      </c>
      <c r="K669" t="s">
        <v>75</v>
      </c>
      <c r="L669" t="s">
        <v>76</v>
      </c>
      <c r="M669" t="s">
        <v>149</v>
      </c>
      <c r="N669" t="s">
        <v>74</v>
      </c>
      <c r="O669" t="s">
        <v>187</v>
      </c>
      <c r="P669" t="s">
        <v>71</v>
      </c>
      <c r="Q669" t="s">
        <v>110</v>
      </c>
      <c r="R669" t="s">
        <v>71</v>
      </c>
      <c r="S669">
        <v>1</v>
      </c>
      <c r="T669">
        <v>1</v>
      </c>
      <c r="U669" t="s">
        <v>72</v>
      </c>
      <c r="V669" t="s">
        <v>188</v>
      </c>
      <c r="W669">
        <v>0</v>
      </c>
      <c r="X669">
        <v>1</v>
      </c>
      <c r="Y669">
        <v>0</v>
      </c>
      <c r="Z669">
        <v>0</v>
      </c>
      <c r="AA669">
        <v>0</v>
      </c>
      <c r="AB669">
        <v>0</v>
      </c>
      <c r="AC669">
        <v>0</v>
      </c>
      <c r="AD669">
        <v>0</v>
      </c>
      <c r="AE669">
        <v>0</v>
      </c>
      <c r="AF669">
        <v>0</v>
      </c>
      <c r="AG669" t="s">
        <v>71</v>
      </c>
      <c r="AH669">
        <v>0</v>
      </c>
      <c r="AI669">
        <v>0</v>
      </c>
      <c r="AJ669">
        <v>0</v>
      </c>
      <c r="AK669">
        <v>0</v>
      </c>
      <c r="AL669" t="s">
        <v>387</v>
      </c>
      <c r="AM669" t="s">
        <v>254</v>
      </c>
      <c r="AN669" t="s">
        <v>94</v>
      </c>
      <c r="AO669" t="s">
        <v>147</v>
      </c>
      <c r="AP669">
        <v>0</v>
      </c>
      <c r="AQ669">
        <v>0</v>
      </c>
      <c r="AR669">
        <v>0</v>
      </c>
      <c r="AS669">
        <v>0</v>
      </c>
      <c r="AT669">
        <v>0</v>
      </c>
      <c r="AU669">
        <v>0</v>
      </c>
      <c r="AV669">
        <v>0</v>
      </c>
      <c r="AW669">
        <v>0</v>
      </c>
      <c r="AX669">
        <v>256</v>
      </c>
      <c r="AY669">
        <v>0</v>
      </c>
    </row>
    <row r="670" spans="1:51" x14ac:dyDescent="0.25">
      <c r="A670">
        <v>172</v>
      </c>
      <c r="B670">
        <v>32480</v>
      </c>
      <c r="C670" t="s">
        <v>735</v>
      </c>
      <c r="D670" t="s">
        <v>96</v>
      </c>
      <c r="E670" t="s">
        <v>100</v>
      </c>
      <c r="F670" t="s">
        <v>107</v>
      </c>
      <c r="G670" t="s">
        <v>77</v>
      </c>
      <c r="H670" t="s">
        <v>78</v>
      </c>
      <c r="I670" t="s">
        <v>79</v>
      </c>
      <c r="J670" t="s">
        <v>152</v>
      </c>
      <c r="K670" t="s">
        <v>75</v>
      </c>
      <c r="L670" t="s">
        <v>76</v>
      </c>
      <c r="M670" t="s">
        <v>149</v>
      </c>
      <c r="N670" t="s">
        <v>74</v>
      </c>
      <c r="O670" t="s">
        <v>187</v>
      </c>
      <c r="P670" t="s">
        <v>71</v>
      </c>
      <c r="Q670" t="s">
        <v>71</v>
      </c>
      <c r="R670" t="s">
        <v>71</v>
      </c>
      <c r="S670">
        <v>1</v>
      </c>
      <c r="T670">
        <v>1</v>
      </c>
      <c r="U670" t="s">
        <v>72</v>
      </c>
      <c r="V670" t="s">
        <v>188</v>
      </c>
      <c r="W670">
        <v>0</v>
      </c>
      <c r="X670">
        <v>1</v>
      </c>
      <c r="Y670">
        <v>0</v>
      </c>
      <c r="Z670">
        <v>0</v>
      </c>
      <c r="AA670">
        <v>0</v>
      </c>
      <c r="AB670">
        <v>0</v>
      </c>
      <c r="AC670">
        <v>0</v>
      </c>
      <c r="AD670">
        <v>0</v>
      </c>
      <c r="AE670">
        <v>0</v>
      </c>
      <c r="AF670">
        <v>0</v>
      </c>
      <c r="AG670" t="s">
        <v>71</v>
      </c>
      <c r="AH670">
        <v>0</v>
      </c>
      <c r="AI670">
        <v>0</v>
      </c>
      <c r="AJ670">
        <v>0</v>
      </c>
      <c r="AK670">
        <v>0</v>
      </c>
      <c r="AL670" t="s">
        <v>387</v>
      </c>
      <c r="AM670" t="s">
        <v>254</v>
      </c>
      <c r="AN670" t="s">
        <v>94</v>
      </c>
      <c r="AO670" t="s">
        <v>147</v>
      </c>
      <c r="AP670">
        <v>0</v>
      </c>
      <c r="AQ670">
        <v>0</v>
      </c>
      <c r="AR670">
        <v>0</v>
      </c>
      <c r="AS670">
        <v>0</v>
      </c>
      <c r="AT670">
        <v>0</v>
      </c>
      <c r="AU670">
        <v>0</v>
      </c>
      <c r="AV670">
        <v>0</v>
      </c>
      <c r="AW670">
        <v>0</v>
      </c>
      <c r="AX670">
        <v>256</v>
      </c>
      <c r="AY670">
        <v>0</v>
      </c>
    </row>
    <row r="671" spans="1:51" x14ac:dyDescent="0.25">
      <c r="A671">
        <v>172</v>
      </c>
      <c r="B671">
        <v>32490</v>
      </c>
      <c r="C671" t="s">
        <v>735</v>
      </c>
      <c r="D671" t="s">
        <v>96</v>
      </c>
      <c r="E671" t="s">
        <v>100</v>
      </c>
      <c r="F671" t="s">
        <v>107</v>
      </c>
      <c r="G671" t="s">
        <v>77</v>
      </c>
      <c r="H671" t="s">
        <v>78</v>
      </c>
      <c r="I671" t="s">
        <v>79</v>
      </c>
      <c r="J671" t="s">
        <v>152</v>
      </c>
      <c r="K671" t="s">
        <v>75</v>
      </c>
      <c r="L671" t="s">
        <v>76</v>
      </c>
      <c r="M671" t="s">
        <v>149</v>
      </c>
      <c r="N671" t="s">
        <v>74</v>
      </c>
      <c r="O671" t="s">
        <v>187</v>
      </c>
      <c r="P671" t="s">
        <v>71</v>
      </c>
      <c r="Q671" t="s">
        <v>71</v>
      </c>
      <c r="R671" t="s">
        <v>71</v>
      </c>
      <c r="S671">
        <v>1</v>
      </c>
      <c r="T671">
        <v>1</v>
      </c>
      <c r="U671" t="s">
        <v>72</v>
      </c>
      <c r="V671" t="s">
        <v>188</v>
      </c>
      <c r="W671">
        <v>0</v>
      </c>
      <c r="X671">
        <v>1</v>
      </c>
      <c r="Y671">
        <v>0</v>
      </c>
      <c r="Z671">
        <v>0</v>
      </c>
      <c r="AA671">
        <v>0</v>
      </c>
      <c r="AB671">
        <v>0</v>
      </c>
      <c r="AC671">
        <v>0</v>
      </c>
      <c r="AD671">
        <v>0</v>
      </c>
      <c r="AE671">
        <v>0</v>
      </c>
      <c r="AF671">
        <v>0</v>
      </c>
      <c r="AG671" t="s">
        <v>71</v>
      </c>
      <c r="AH671">
        <v>0</v>
      </c>
      <c r="AI671">
        <v>0</v>
      </c>
      <c r="AJ671">
        <v>0</v>
      </c>
      <c r="AK671">
        <v>0</v>
      </c>
      <c r="AL671" t="s">
        <v>387</v>
      </c>
      <c r="AM671" t="s">
        <v>254</v>
      </c>
      <c r="AN671" t="s">
        <v>94</v>
      </c>
      <c r="AO671" t="s">
        <v>147</v>
      </c>
      <c r="AP671">
        <v>0</v>
      </c>
      <c r="AQ671">
        <v>0</v>
      </c>
      <c r="AR671">
        <v>0</v>
      </c>
      <c r="AS671">
        <v>0</v>
      </c>
      <c r="AT671">
        <v>0</v>
      </c>
      <c r="AU671">
        <v>0</v>
      </c>
      <c r="AV671">
        <v>0</v>
      </c>
      <c r="AW671">
        <v>0</v>
      </c>
      <c r="AX671">
        <v>256</v>
      </c>
      <c r="AY671">
        <v>0</v>
      </c>
    </row>
    <row r="672" spans="1:51" x14ac:dyDescent="0.25">
      <c r="A672">
        <v>172</v>
      </c>
      <c r="B672">
        <v>35450</v>
      </c>
      <c r="C672" t="s">
        <v>735</v>
      </c>
      <c r="D672" t="s">
        <v>96</v>
      </c>
      <c r="E672" t="s">
        <v>100</v>
      </c>
      <c r="F672" t="s">
        <v>107</v>
      </c>
      <c r="G672" t="s">
        <v>77</v>
      </c>
      <c r="H672" t="s">
        <v>78</v>
      </c>
      <c r="I672" t="s">
        <v>79</v>
      </c>
      <c r="J672" t="s">
        <v>152</v>
      </c>
      <c r="K672" t="s">
        <v>75</v>
      </c>
      <c r="L672" t="s">
        <v>76</v>
      </c>
      <c r="M672" t="s">
        <v>149</v>
      </c>
      <c r="N672" t="s">
        <v>74</v>
      </c>
      <c r="O672" t="s">
        <v>187</v>
      </c>
      <c r="P672" t="s">
        <v>71</v>
      </c>
      <c r="Q672" t="s">
        <v>71</v>
      </c>
      <c r="R672" t="s">
        <v>71</v>
      </c>
      <c r="S672">
        <v>1</v>
      </c>
      <c r="T672">
        <v>1</v>
      </c>
      <c r="U672" t="s">
        <v>72</v>
      </c>
      <c r="V672" t="s">
        <v>188</v>
      </c>
      <c r="W672">
        <v>0</v>
      </c>
      <c r="X672">
        <v>1</v>
      </c>
      <c r="Y672">
        <v>0</v>
      </c>
      <c r="Z672">
        <v>0</v>
      </c>
      <c r="AA672">
        <v>0</v>
      </c>
      <c r="AB672">
        <v>0</v>
      </c>
      <c r="AC672">
        <v>0</v>
      </c>
      <c r="AD672">
        <v>0</v>
      </c>
      <c r="AE672">
        <v>0</v>
      </c>
      <c r="AF672">
        <v>0</v>
      </c>
      <c r="AG672" t="s">
        <v>71</v>
      </c>
      <c r="AH672">
        <v>0</v>
      </c>
      <c r="AI672">
        <v>0</v>
      </c>
      <c r="AJ672">
        <v>0</v>
      </c>
      <c r="AK672">
        <v>0</v>
      </c>
      <c r="AL672" t="s">
        <v>387</v>
      </c>
      <c r="AM672" t="s">
        <v>254</v>
      </c>
      <c r="AN672" t="s">
        <v>94</v>
      </c>
      <c r="AO672" t="s">
        <v>147</v>
      </c>
      <c r="AP672">
        <v>0</v>
      </c>
      <c r="AQ672">
        <v>0</v>
      </c>
      <c r="AR672">
        <v>0</v>
      </c>
      <c r="AS672">
        <v>0</v>
      </c>
      <c r="AT672">
        <v>0</v>
      </c>
      <c r="AU672">
        <v>0</v>
      </c>
      <c r="AV672">
        <v>0</v>
      </c>
      <c r="AW672">
        <v>0</v>
      </c>
      <c r="AX672">
        <v>256</v>
      </c>
      <c r="AY672">
        <v>0</v>
      </c>
    </row>
    <row r="673" spans="1:51" x14ac:dyDescent="0.25">
      <c r="A673">
        <v>172</v>
      </c>
      <c r="B673">
        <v>35460</v>
      </c>
      <c r="C673" t="s">
        <v>735</v>
      </c>
      <c r="D673" t="s">
        <v>96</v>
      </c>
      <c r="E673" t="s">
        <v>100</v>
      </c>
      <c r="F673" t="s">
        <v>107</v>
      </c>
      <c r="G673" t="s">
        <v>77</v>
      </c>
      <c r="H673" t="s">
        <v>78</v>
      </c>
      <c r="I673" t="s">
        <v>79</v>
      </c>
      <c r="J673" t="s">
        <v>152</v>
      </c>
      <c r="K673" t="s">
        <v>75</v>
      </c>
      <c r="L673" t="s">
        <v>76</v>
      </c>
      <c r="M673" t="s">
        <v>149</v>
      </c>
      <c r="N673" t="s">
        <v>74</v>
      </c>
      <c r="O673" t="s">
        <v>187</v>
      </c>
      <c r="P673" t="s">
        <v>71</v>
      </c>
      <c r="Q673" t="s">
        <v>110</v>
      </c>
      <c r="R673" t="s">
        <v>71</v>
      </c>
      <c r="S673">
        <v>1</v>
      </c>
      <c r="T673">
        <v>1</v>
      </c>
      <c r="U673" t="s">
        <v>72</v>
      </c>
      <c r="V673" t="s">
        <v>188</v>
      </c>
      <c r="W673">
        <v>0</v>
      </c>
      <c r="X673">
        <v>1</v>
      </c>
      <c r="Y673">
        <v>0</v>
      </c>
      <c r="Z673">
        <v>0</v>
      </c>
      <c r="AA673">
        <v>0</v>
      </c>
      <c r="AB673">
        <v>0</v>
      </c>
      <c r="AC673">
        <v>0</v>
      </c>
      <c r="AD673">
        <v>0</v>
      </c>
      <c r="AE673">
        <v>0</v>
      </c>
      <c r="AF673">
        <v>0</v>
      </c>
      <c r="AG673" t="s">
        <v>71</v>
      </c>
      <c r="AH673">
        <v>0</v>
      </c>
      <c r="AI673">
        <v>0</v>
      </c>
      <c r="AJ673">
        <v>0</v>
      </c>
      <c r="AK673">
        <v>0</v>
      </c>
      <c r="AL673" t="s">
        <v>387</v>
      </c>
      <c r="AM673" t="s">
        <v>254</v>
      </c>
      <c r="AN673" t="s">
        <v>94</v>
      </c>
      <c r="AO673" t="s">
        <v>147</v>
      </c>
      <c r="AP673">
        <v>0</v>
      </c>
      <c r="AQ673">
        <v>0</v>
      </c>
      <c r="AR673">
        <v>0</v>
      </c>
      <c r="AS673">
        <v>0</v>
      </c>
      <c r="AT673">
        <v>0</v>
      </c>
      <c r="AU673">
        <v>0</v>
      </c>
      <c r="AV673">
        <v>0</v>
      </c>
      <c r="AW673">
        <v>0</v>
      </c>
      <c r="AX673">
        <v>256</v>
      </c>
      <c r="AY673">
        <v>0</v>
      </c>
    </row>
    <row r="674" spans="1:51" x14ac:dyDescent="0.25">
      <c r="A674">
        <v>172</v>
      </c>
      <c r="B674">
        <v>35470</v>
      </c>
      <c r="C674" t="s">
        <v>735</v>
      </c>
      <c r="D674" t="s">
        <v>96</v>
      </c>
      <c r="E674" t="s">
        <v>100</v>
      </c>
      <c r="F674" t="s">
        <v>107</v>
      </c>
      <c r="G674" t="s">
        <v>77</v>
      </c>
      <c r="H674" t="s">
        <v>78</v>
      </c>
      <c r="I674" t="s">
        <v>79</v>
      </c>
      <c r="J674" t="s">
        <v>152</v>
      </c>
      <c r="K674" t="s">
        <v>75</v>
      </c>
      <c r="L674" t="s">
        <v>76</v>
      </c>
      <c r="M674" t="s">
        <v>149</v>
      </c>
      <c r="N674" t="s">
        <v>74</v>
      </c>
      <c r="O674" t="s">
        <v>187</v>
      </c>
      <c r="P674" t="s">
        <v>71</v>
      </c>
      <c r="Q674" t="s">
        <v>71</v>
      </c>
      <c r="R674" t="s">
        <v>71</v>
      </c>
      <c r="S674">
        <v>1</v>
      </c>
      <c r="T674">
        <v>1</v>
      </c>
      <c r="U674" t="s">
        <v>72</v>
      </c>
      <c r="V674" t="s">
        <v>188</v>
      </c>
      <c r="W674">
        <v>0</v>
      </c>
      <c r="X674">
        <v>1</v>
      </c>
      <c r="Y674">
        <v>0</v>
      </c>
      <c r="Z674">
        <v>0</v>
      </c>
      <c r="AA674">
        <v>0</v>
      </c>
      <c r="AB674">
        <v>0</v>
      </c>
      <c r="AC674">
        <v>0</v>
      </c>
      <c r="AD674">
        <v>0</v>
      </c>
      <c r="AE674">
        <v>0</v>
      </c>
      <c r="AF674">
        <v>0</v>
      </c>
      <c r="AG674" t="s">
        <v>71</v>
      </c>
      <c r="AH674">
        <v>0</v>
      </c>
      <c r="AI674">
        <v>0</v>
      </c>
      <c r="AJ674">
        <v>0</v>
      </c>
      <c r="AK674">
        <v>0</v>
      </c>
      <c r="AL674" t="s">
        <v>387</v>
      </c>
      <c r="AM674" t="s">
        <v>254</v>
      </c>
      <c r="AN674" t="s">
        <v>94</v>
      </c>
      <c r="AO674" t="s">
        <v>147</v>
      </c>
      <c r="AP674">
        <v>0</v>
      </c>
      <c r="AQ674">
        <v>0</v>
      </c>
      <c r="AR674">
        <v>0</v>
      </c>
      <c r="AS674">
        <v>0</v>
      </c>
      <c r="AT674">
        <v>0</v>
      </c>
      <c r="AU674">
        <v>0</v>
      </c>
      <c r="AV674">
        <v>0</v>
      </c>
      <c r="AW674">
        <v>0</v>
      </c>
      <c r="AX674">
        <v>256</v>
      </c>
      <c r="AY674">
        <v>0</v>
      </c>
    </row>
    <row r="675" spans="1:51" x14ac:dyDescent="0.25">
      <c r="A675">
        <v>172</v>
      </c>
      <c r="B675">
        <v>35480</v>
      </c>
      <c r="C675" t="s">
        <v>735</v>
      </c>
      <c r="D675" t="s">
        <v>96</v>
      </c>
      <c r="E675" t="s">
        <v>100</v>
      </c>
      <c r="F675" t="s">
        <v>107</v>
      </c>
      <c r="G675" t="s">
        <v>77</v>
      </c>
      <c r="H675" t="s">
        <v>78</v>
      </c>
      <c r="I675" t="s">
        <v>79</v>
      </c>
      <c r="J675" t="s">
        <v>152</v>
      </c>
      <c r="K675" t="s">
        <v>75</v>
      </c>
      <c r="L675" t="s">
        <v>76</v>
      </c>
      <c r="M675" t="s">
        <v>149</v>
      </c>
      <c r="N675" t="s">
        <v>74</v>
      </c>
      <c r="O675" t="s">
        <v>187</v>
      </c>
      <c r="P675" t="s">
        <v>71</v>
      </c>
      <c r="Q675" t="s">
        <v>71</v>
      </c>
      <c r="R675" t="s">
        <v>71</v>
      </c>
      <c r="S675">
        <v>1</v>
      </c>
      <c r="T675">
        <v>1</v>
      </c>
      <c r="U675" t="s">
        <v>72</v>
      </c>
      <c r="V675" t="s">
        <v>188</v>
      </c>
      <c r="W675">
        <v>0</v>
      </c>
      <c r="X675">
        <v>1</v>
      </c>
      <c r="Y675">
        <v>0</v>
      </c>
      <c r="Z675">
        <v>0</v>
      </c>
      <c r="AA675">
        <v>0</v>
      </c>
      <c r="AB675">
        <v>0</v>
      </c>
      <c r="AC675">
        <v>0</v>
      </c>
      <c r="AD675">
        <v>0</v>
      </c>
      <c r="AE675">
        <v>0</v>
      </c>
      <c r="AF675">
        <v>0</v>
      </c>
      <c r="AG675" t="s">
        <v>71</v>
      </c>
      <c r="AH675">
        <v>0</v>
      </c>
      <c r="AI675">
        <v>0</v>
      </c>
      <c r="AJ675">
        <v>0</v>
      </c>
      <c r="AK675">
        <v>0</v>
      </c>
      <c r="AL675" t="s">
        <v>387</v>
      </c>
      <c r="AM675" t="s">
        <v>254</v>
      </c>
      <c r="AN675" t="s">
        <v>94</v>
      </c>
      <c r="AO675" t="s">
        <v>147</v>
      </c>
      <c r="AP675">
        <v>0</v>
      </c>
      <c r="AQ675">
        <v>0</v>
      </c>
      <c r="AR675">
        <v>0</v>
      </c>
      <c r="AS675">
        <v>0</v>
      </c>
      <c r="AT675">
        <v>0</v>
      </c>
      <c r="AU675">
        <v>0</v>
      </c>
      <c r="AV675">
        <v>0</v>
      </c>
      <c r="AW675">
        <v>0</v>
      </c>
      <c r="AX675">
        <v>256</v>
      </c>
      <c r="AY675">
        <v>0</v>
      </c>
    </row>
    <row r="676" spans="1:51" x14ac:dyDescent="0.25">
      <c r="A676">
        <v>172</v>
      </c>
      <c r="B676">
        <v>38450</v>
      </c>
      <c r="C676" t="s">
        <v>735</v>
      </c>
      <c r="D676" t="s">
        <v>96</v>
      </c>
      <c r="E676" t="s">
        <v>100</v>
      </c>
      <c r="F676" t="s">
        <v>107</v>
      </c>
      <c r="G676" t="s">
        <v>77</v>
      </c>
      <c r="H676" t="s">
        <v>78</v>
      </c>
      <c r="I676" t="s">
        <v>79</v>
      </c>
      <c r="J676" t="s">
        <v>152</v>
      </c>
      <c r="K676" t="s">
        <v>75</v>
      </c>
      <c r="L676" t="s">
        <v>76</v>
      </c>
      <c r="M676" t="s">
        <v>149</v>
      </c>
      <c r="N676" t="s">
        <v>74</v>
      </c>
      <c r="O676" t="s">
        <v>187</v>
      </c>
      <c r="P676" t="s">
        <v>71</v>
      </c>
      <c r="Q676" t="s">
        <v>71</v>
      </c>
      <c r="R676" t="s">
        <v>71</v>
      </c>
      <c r="S676">
        <v>1</v>
      </c>
      <c r="T676">
        <v>1</v>
      </c>
      <c r="U676" t="s">
        <v>72</v>
      </c>
      <c r="V676" t="s">
        <v>188</v>
      </c>
      <c r="W676">
        <v>0</v>
      </c>
      <c r="X676">
        <v>1</v>
      </c>
      <c r="Y676">
        <v>0</v>
      </c>
      <c r="Z676">
        <v>0</v>
      </c>
      <c r="AA676">
        <v>0</v>
      </c>
      <c r="AB676">
        <v>0</v>
      </c>
      <c r="AC676">
        <v>0</v>
      </c>
      <c r="AD676">
        <v>0</v>
      </c>
      <c r="AE676">
        <v>0</v>
      </c>
      <c r="AF676">
        <v>0</v>
      </c>
      <c r="AG676" t="s">
        <v>71</v>
      </c>
      <c r="AH676">
        <v>0</v>
      </c>
      <c r="AI676">
        <v>0</v>
      </c>
      <c r="AJ676">
        <v>0</v>
      </c>
      <c r="AK676">
        <v>0</v>
      </c>
      <c r="AL676" t="s">
        <v>387</v>
      </c>
      <c r="AM676" t="s">
        <v>254</v>
      </c>
      <c r="AN676" t="s">
        <v>94</v>
      </c>
      <c r="AO676" t="s">
        <v>147</v>
      </c>
      <c r="AP676">
        <v>0</v>
      </c>
      <c r="AQ676">
        <v>0</v>
      </c>
      <c r="AR676">
        <v>0</v>
      </c>
      <c r="AS676">
        <v>0</v>
      </c>
      <c r="AT676">
        <v>0</v>
      </c>
      <c r="AU676">
        <v>0</v>
      </c>
      <c r="AV676">
        <v>0</v>
      </c>
      <c r="AW676">
        <v>0</v>
      </c>
      <c r="AX676">
        <v>256</v>
      </c>
      <c r="AY676">
        <v>0</v>
      </c>
    </row>
    <row r="677" spans="1:51" x14ac:dyDescent="0.25">
      <c r="A677">
        <v>172</v>
      </c>
      <c r="B677">
        <v>38460</v>
      </c>
      <c r="C677" t="s">
        <v>735</v>
      </c>
      <c r="D677" t="s">
        <v>96</v>
      </c>
      <c r="E677" t="s">
        <v>100</v>
      </c>
      <c r="F677" t="s">
        <v>107</v>
      </c>
      <c r="G677" t="s">
        <v>77</v>
      </c>
      <c r="H677" t="s">
        <v>78</v>
      </c>
      <c r="I677" t="s">
        <v>79</v>
      </c>
      <c r="J677" t="s">
        <v>152</v>
      </c>
      <c r="K677" t="s">
        <v>75</v>
      </c>
      <c r="L677" t="s">
        <v>76</v>
      </c>
      <c r="M677" t="s">
        <v>149</v>
      </c>
      <c r="N677" t="s">
        <v>74</v>
      </c>
      <c r="O677" t="s">
        <v>187</v>
      </c>
      <c r="P677" t="s">
        <v>71</v>
      </c>
      <c r="Q677" t="s">
        <v>71</v>
      </c>
      <c r="R677" t="s">
        <v>71</v>
      </c>
      <c r="S677">
        <v>1</v>
      </c>
      <c r="T677">
        <v>1</v>
      </c>
      <c r="U677" t="s">
        <v>72</v>
      </c>
      <c r="V677" t="s">
        <v>188</v>
      </c>
      <c r="W677">
        <v>0</v>
      </c>
      <c r="X677">
        <v>1</v>
      </c>
      <c r="Y677">
        <v>0</v>
      </c>
      <c r="Z677">
        <v>0</v>
      </c>
      <c r="AA677">
        <v>0</v>
      </c>
      <c r="AB677">
        <v>0</v>
      </c>
      <c r="AC677">
        <v>0</v>
      </c>
      <c r="AD677">
        <v>0</v>
      </c>
      <c r="AE677">
        <v>0</v>
      </c>
      <c r="AF677">
        <v>0</v>
      </c>
      <c r="AG677" t="s">
        <v>71</v>
      </c>
      <c r="AH677">
        <v>0</v>
      </c>
      <c r="AI677">
        <v>0</v>
      </c>
      <c r="AJ677">
        <v>0</v>
      </c>
      <c r="AK677">
        <v>0</v>
      </c>
      <c r="AL677" t="s">
        <v>387</v>
      </c>
      <c r="AM677" t="s">
        <v>254</v>
      </c>
      <c r="AN677" t="s">
        <v>94</v>
      </c>
      <c r="AO677" t="s">
        <v>147</v>
      </c>
      <c r="AP677">
        <v>0</v>
      </c>
      <c r="AQ677">
        <v>0</v>
      </c>
      <c r="AR677">
        <v>0</v>
      </c>
      <c r="AS677">
        <v>0</v>
      </c>
      <c r="AT677">
        <v>0</v>
      </c>
      <c r="AU677">
        <v>0</v>
      </c>
      <c r="AV677">
        <v>0</v>
      </c>
      <c r="AW677">
        <v>0</v>
      </c>
      <c r="AX677">
        <v>0</v>
      </c>
      <c r="AY677">
        <v>0</v>
      </c>
    </row>
    <row r="678" spans="1:51" x14ac:dyDescent="0.25">
      <c r="A678">
        <v>172</v>
      </c>
      <c r="B678">
        <v>38470</v>
      </c>
      <c r="C678" t="s">
        <v>735</v>
      </c>
      <c r="D678" t="s">
        <v>96</v>
      </c>
      <c r="E678" t="s">
        <v>100</v>
      </c>
      <c r="F678" t="s">
        <v>107</v>
      </c>
      <c r="G678" t="s">
        <v>77</v>
      </c>
      <c r="H678" t="s">
        <v>78</v>
      </c>
      <c r="I678" t="s">
        <v>79</v>
      </c>
      <c r="J678" t="s">
        <v>152</v>
      </c>
      <c r="K678" t="s">
        <v>75</v>
      </c>
      <c r="L678" t="s">
        <v>76</v>
      </c>
      <c r="M678" t="s">
        <v>149</v>
      </c>
      <c r="N678" t="s">
        <v>74</v>
      </c>
      <c r="O678" t="s">
        <v>187</v>
      </c>
      <c r="P678" t="s">
        <v>71</v>
      </c>
      <c r="Q678" t="s">
        <v>71</v>
      </c>
      <c r="R678" t="s">
        <v>71</v>
      </c>
      <c r="S678">
        <v>1</v>
      </c>
      <c r="T678">
        <v>1</v>
      </c>
      <c r="U678" t="s">
        <v>72</v>
      </c>
      <c r="V678" t="s">
        <v>188</v>
      </c>
      <c r="W678">
        <v>0</v>
      </c>
      <c r="X678">
        <v>1</v>
      </c>
      <c r="Y678">
        <v>0</v>
      </c>
      <c r="Z678">
        <v>0</v>
      </c>
      <c r="AA678">
        <v>0</v>
      </c>
      <c r="AB678">
        <v>0</v>
      </c>
      <c r="AC678">
        <v>0</v>
      </c>
      <c r="AD678">
        <v>0</v>
      </c>
      <c r="AE678">
        <v>0</v>
      </c>
      <c r="AF678">
        <v>0</v>
      </c>
      <c r="AG678" t="s">
        <v>71</v>
      </c>
      <c r="AH678">
        <v>0</v>
      </c>
      <c r="AI678">
        <v>0</v>
      </c>
      <c r="AJ678">
        <v>0</v>
      </c>
      <c r="AK678">
        <v>0</v>
      </c>
      <c r="AL678" t="s">
        <v>387</v>
      </c>
      <c r="AM678" t="s">
        <v>254</v>
      </c>
      <c r="AN678" t="s">
        <v>94</v>
      </c>
      <c r="AO678" t="s">
        <v>147</v>
      </c>
      <c r="AP678">
        <v>0</v>
      </c>
      <c r="AQ678">
        <v>0</v>
      </c>
      <c r="AR678">
        <v>0</v>
      </c>
      <c r="AS678">
        <v>0</v>
      </c>
      <c r="AT678">
        <v>0</v>
      </c>
      <c r="AU678">
        <v>0</v>
      </c>
      <c r="AV678">
        <v>0</v>
      </c>
      <c r="AW678">
        <v>0</v>
      </c>
      <c r="AX678">
        <v>0</v>
      </c>
      <c r="AY678">
        <v>0</v>
      </c>
    </row>
    <row r="679" spans="1:51" x14ac:dyDescent="0.25">
      <c r="A679">
        <v>173</v>
      </c>
      <c r="B679">
        <v>38480</v>
      </c>
      <c r="C679" t="s">
        <v>735</v>
      </c>
      <c r="D679" t="s">
        <v>96</v>
      </c>
      <c r="E679" t="s">
        <v>100</v>
      </c>
      <c r="F679" t="s">
        <v>107</v>
      </c>
      <c r="G679" t="s">
        <v>77</v>
      </c>
      <c r="H679" t="s">
        <v>78</v>
      </c>
      <c r="I679" t="s">
        <v>79</v>
      </c>
      <c r="J679" t="s">
        <v>152</v>
      </c>
      <c r="K679" t="s">
        <v>75</v>
      </c>
      <c r="L679" t="s">
        <v>76</v>
      </c>
      <c r="M679" t="s">
        <v>149</v>
      </c>
      <c r="N679" t="s">
        <v>74</v>
      </c>
      <c r="O679" t="s">
        <v>187</v>
      </c>
      <c r="P679" t="s">
        <v>71</v>
      </c>
      <c r="Q679" t="s">
        <v>110</v>
      </c>
      <c r="R679" t="s">
        <v>71</v>
      </c>
      <c r="S679">
        <v>1</v>
      </c>
      <c r="T679">
        <v>1</v>
      </c>
      <c r="U679" t="s">
        <v>72</v>
      </c>
      <c r="V679" t="s">
        <v>188</v>
      </c>
      <c r="W679">
        <v>0</v>
      </c>
      <c r="X679">
        <v>1</v>
      </c>
      <c r="Y679">
        <v>0</v>
      </c>
      <c r="Z679">
        <v>0</v>
      </c>
      <c r="AA679">
        <v>0</v>
      </c>
      <c r="AB679">
        <v>0</v>
      </c>
      <c r="AC679">
        <v>0</v>
      </c>
      <c r="AD679">
        <v>0</v>
      </c>
      <c r="AE679">
        <v>0</v>
      </c>
      <c r="AF679">
        <v>0</v>
      </c>
      <c r="AG679" t="s">
        <v>71</v>
      </c>
      <c r="AH679">
        <v>0</v>
      </c>
      <c r="AI679">
        <v>0</v>
      </c>
      <c r="AJ679">
        <v>0</v>
      </c>
      <c r="AK679">
        <v>0</v>
      </c>
      <c r="AL679" t="s">
        <v>387</v>
      </c>
      <c r="AM679" t="s">
        <v>254</v>
      </c>
      <c r="AN679" t="s">
        <v>94</v>
      </c>
      <c r="AO679" t="s">
        <v>147</v>
      </c>
      <c r="AP679">
        <v>0</v>
      </c>
      <c r="AQ679">
        <v>0</v>
      </c>
      <c r="AR679">
        <v>0</v>
      </c>
      <c r="AS679">
        <v>0</v>
      </c>
      <c r="AT679">
        <v>0</v>
      </c>
      <c r="AU679">
        <v>0</v>
      </c>
      <c r="AV679">
        <v>0</v>
      </c>
      <c r="AW679">
        <v>0</v>
      </c>
      <c r="AX679">
        <v>256</v>
      </c>
      <c r="AY679">
        <v>0</v>
      </c>
    </row>
    <row r="680" spans="1:51" x14ac:dyDescent="0.25">
      <c r="A680">
        <v>173</v>
      </c>
      <c r="B680">
        <v>38490</v>
      </c>
      <c r="C680" t="s">
        <v>735</v>
      </c>
      <c r="D680" t="s">
        <v>96</v>
      </c>
      <c r="E680" t="s">
        <v>100</v>
      </c>
      <c r="F680" t="s">
        <v>107</v>
      </c>
      <c r="G680" t="s">
        <v>77</v>
      </c>
      <c r="H680" t="s">
        <v>78</v>
      </c>
      <c r="I680" t="s">
        <v>79</v>
      </c>
      <c r="J680" t="s">
        <v>152</v>
      </c>
      <c r="K680" t="s">
        <v>75</v>
      </c>
      <c r="L680" t="s">
        <v>76</v>
      </c>
      <c r="M680" t="s">
        <v>149</v>
      </c>
      <c r="N680" t="s">
        <v>74</v>
      </c>
      <c r="O680" t="s">
        <v>187</v>
      </c>
      <c r="P680" t="s">
        <v>71</v>
      </c>
      <c r="Q680" t="s">
        <v>110</v>
      </c>
      <c r="R680" t="s">
        <v>71</v>
      </c>
      <c r="S680">
        <v>1</v>
      </c>
      <c r="T680">
        <v>1</v>
      </c>
      <c r="U680" t="s">
        <v>72</v>
      </c>
      <c r="V680" t="s">
        <v>188</v>
      </c>
      <c r="W680">
        <v>0</v>
      </c>
      <c r="X680">
        <v>1</v>
      </c>
      <c r="Y680">
        <v>0</v>
      </c>
      <c r="Z680">
        <v>0</v>
      </c>
      <c r="AA680">
        <v>0</v>
      </c>
      <c r="AB680">
        <v>0</v>
      </c>
      <c r="AC680">
        <v>0</v>
      </c>
      <c r="AD680">
        <v>0</v>
      </c>
      <c r="AE680">
        <v>0</v>
      </c>
      <c r="AF680">
        <v>0</v>
      </c>
      <c r="AG680" t="s">
        <v>71</v>
      </c>
      <c r="AH680">
        <v>0</v>
      </c>
      <c r="AI680">
        <v>0</v>
      </c>
      <c r="AJ680">
        <v>0</v>
      </c>
      <c r="AK680">
        <v>0</v>
      </c>
      <c r="AL680" t="s">
        <v>387</v>
      </c>
      <c r="AM680" t="s">
        <v>254</v>
      </c>
      <c r="AN680" t="s">
        <v>94</v>
      </c>
      <c r="AO680" t="s">
        <v>147</v>
      </c>
      <c r="AP680">
        <v>0</v>
      </c>
      <c r="AQ680">
        <v>0</v>
      </c>
      <c r="AR680">
        <v>0</v>
      </c>
      <c r="AS680">
        <v>0</v>
      </c>
      <c r="AT680">
        <v>0</v>
      </c>
      <c r="AU680">
        <v>0</v>
      </c>
      <c r="AV680">
        <v>0</v>
      </c>
      <c r="AW680">
        <v>0</v>
      </c>
      <c r="AX680">
        <v>256</v>
      </c>
      <c r="AY680">
        <v>0</v>
      </c>
    </row>
    <row r="681" spans="1:51" x14ac:dyDescent="0.25">
      <c r="A681">
        <v>173</v>
      </c>
      <c r="B681">
        <v>38500</v>
      </c>
      <c r="C681" t="s">
        <v>735</v>
      </c>
      <c r="D681" t="s">
        <v>96</v>
      </c>
      <c r="E681" t="s">
        <v>100</v>
      </c>
      <c r="F681" t="s">
        <v>107</v>
      </c>
      <c r="G681" t="s">
        <v>77</v>
      </c>
      <c r="H681" t="s">
        <v>78</v>
      </c>
      <c r="I681" t="s">
        <v>79</v>
      </c>
      <c r="J681" t="s">
        <v>152</v>
      </c>
      <c r="K681" t="s">
        <v>75</v>
      </c>
      <c r="L681" t="s">
        <v>76</v>
      </c>
      <c r="M681" t="s">
        <v>149</v>
      </c>
      <c r="N681" t="s">
        <v>74</v>
      </c>
      <c r="O681" t="s">
        <v>187</v>
      </c>
      <c r="P681" t="s">
        <v>71</v>
      </c>
      <c r="Q681" t="s">
        <v>110</v>
      </c>
      <c r="R681" t="s">
        <v>71</v>
      </c>
      <c r="S681">
        <v>1</v>
      </c>
      <c r="T681">
        <v>1</v>
      </c>
      <c r="U681" t="s">
        <v>72</v>
      </c>
      <c r="V681" t="s">
        <v>188</v>
      </c>
      <c r="W681">
        <v>0</v>
      </c>
      <c r="X681">
        <v>1</v>
      </c>
      <c r="Y681">
        <v>0</v>
      </c>
      <c r="Z681">
        <v>0</v>
      </c>
      <c r="AA681">
        <v>0</v>
      </c>
      <c r="AB681">
        <v>0</v>
      </c>
      <c r="AC681">
        <v>0</v>
      </c>
      <c r="AD681">
        <v>0</v>
      </c>
      <c r="AE681">
        <v>0</v>
      </c>
      <c r="AF681">
        <v>0</v>
      </c>
      <c r="AG681" t="s">
        <v>71</v>
      </c>
      <c r="AH681">
        <v>0</v>
      </c>
      <c r="AI681">
        <v>0</v>
      </c>
      <c r="AJ681">
        <v>0</v>
      </c>
      <c r="AK681">
        <v>0</v>
      </c>
      <c r="AL681" t="s">
        <v>387</v>
      </c>
      <c r="AM681" t="s">
        <v>254</v>
      </c>
      <c r="AN681" t="s">
        <v>94</v>
      </c>
      <c r="AO681" t="s">
        <v>147</v>
      </c>
      <c r="AP681">
        <v>0</v>
      </c>
      <c r="AQ681">
        <v>0</v>
      </c>
      <c r="AR681">
        <v>0</v>
      </c>
      <c r="AS681">
        <v>0</v>
      </c>
      <c r="AT681">
        <v>0</v>
      </c>
      <c r="AU681">
        <v>0</v>
      </c>
      <c r="AV681">
        <v>0</v>
      </c>
      <c r="AW681">
        <v>0</v>
      </c>
      <c r="AX681">
        <v>256</v>
      </c>
      <c r="AY681">
        <v>0</v>
      </c>
    </row>
    <row r="682" spans="1:51" x14ac:dyDescent="0.25">
      <c r="A682">
        <v>173</v>
      </c>
      <c r="B682">
        <v>38510</v>
      </c>
      <c r="C682" t="s">
        <v>735</v>
      </c>
      <c r="D682" t="s">
        <v>96</v>
      </c>
      <c r="E682" t="s">
        <v>100</v>
      </c>
      <c r="F682" t="s">
        <v>107</v>
      </c>
      <c r="G682" t="s">
        <v>77</v>
      </c>
      <c r="H682" t="s">
        <v>78</v>
      </c>
      <c r="I682" t="s">
        <v>79</v>
      </c>
      <c r="J682" t="s">
        <v>152</v>
      </c>
      <c r="K682" t="s">
        <v>75</v>
      </c>
      <c r="L682" t="s">
        <v>76</v>
      </c>
      <c r="M682" t="s">
        <v>149</v>
      </c>
      <c r="N682" t="s">
        <v>74</v>
      </c>
      <c r="O682" t="s">
        <v>187</v>
      </c>
      <c r="P682" t="s">
        <v>71</v>
      </c>
      <c r="Q682" t="s">
        <v>110</v>
      </c>
      <c r="R682" t="s">
        <v>110</v>
      </c>
      <c r="S682">
        <v>1</v>
      </c>
      <c r="T682">
        <v>1</v>
      </c>
      <c r="U682" t="s">
        <v>72</v>
      </c>
      <c r="V682" t="s">
        <v>188</v>
      </c>
      <c r="W682">
        <v>0</v>
      </c>
      <c r="X682">
        <v>1</v>
      </c>
      <c r="Y682">
        <v>0</v>
      </c>
      <c r="Z682">
        <v>0</v>
      </c>
      <c r="AA682">
        <v>0</v>
      </c>
      <c r="AB682">
        <v>0</v>
      </c>
      <c r="AC682">
        <v>0</v>
      </c>
      <c r="AD682">
        <v>0</v>
      </c>
      <c r="AE682">
        <v>0</v>
      </c>
      <c r="AF682">
        <v>0</v>
      </c>
      <c r="AG682" t="s">
        <v>71</v>
      </c>
      <c r="AH682">
        <v>0</v>
      </c>
      <c r="AI682">
        <v>0</v>
      </c>
      <c r="AJ682">
        <v>0</v>
      </c>
      <c r="AK682">
        <v>0</v>
      </c>
      <c r="AL682" t="s">
        <v>387</v>
      </c>
      <c r="AM682" t="s">
        <v>254</v>
      </c>
      <c r="AN682" t="s">
        <v>94</v>
      </c>
      <c r="AO682" t="s">
        <v>147</v>
      </c>
      <c r="AP682">
        <v>0</v>
      </c>
      <c r="AQ682">
        <v>0</v>
      </c>
      <c r="AR682">
        <v>0</v>
      </c>
      <c r="AS682">
        <v>0</v>
      </c>
      <c r="AT682">
        <v>0</v>
      </c>
      <c r="AU682">
        <v>0</v>
      </c>
      <c r="AV682">
        <v>0</v>
      </c>
      <c r="AW682">
        <v>0</v>
      </c>
      <c r="AX682">
        <v>8</v>
      </c>
      <c r="AY682">
        <v>0</v>
      </c>
    </row>
    <row r="683" spans="1:51" x14ac:dyDescent="0.25">
      <c r="A683">
        <v>173</v>
      </c>
      <c r="B683">
        <v>38520</v>
      </c>
      <c r="C683" t="s">
        <v>735</v>
      </c>
      <c r="D683" t="s">
        <v>96</v>
      </c>
      <c r="E683" t="s">
        <v>100</v>
      </c>
      <c r="F683" t="s">
        <v>107</v>
      </c>
      <c r="G683" t="s">
        <v>77</v>
      </c>
      <c r="H683" t="s">
        <v>78</v>
      </c>
      <c r="I683" t="s">
        <v>79</v>
      </c>
      <c r="J683" t="s">
        <v>152</v>
      </c>
      <c r="K683" t="s">
        <v>75</v>
      </c>
      <c r="L683" t="s">
        <v>76</v>
      </c>
      <c r="M683" t="s">
        <v>149</v>
      </c>
      <c r="N683" t="s">
        <v>74</v>
      </c>
      <c r="O683" t="s">
        <v>187</v>
      </c>
      <c r="P683" t="s">
        <v>71</v>
      </c>
      <c r="Q683" t="s">
        <v>71</v>
      </c>
      <c r="R683" t="s">
        <v>71</v>
      </c>
      <c r="S683">
        <v>1</v>
      </c>
      <c r="T683">
        <v>1</v>
      </c>
      <c r="U683" t="s">
        <v>72</v>
      </c>
      <c r="V683" t="s">
        <v>188</v>
      </c>
      <c r="W683">
        <v>0</v>
      </c>
      <c r="X683">
        <v>1</v>
      </c>
      <c r="Y683">
        <v>0</v>
      </c>
      <c r="Z683">
        <v>0</v>
      </c>
      <c r="AA683">
        <v>0</v>
      </c>
      <c r="AB683">
        <v>0</v>
      </c>
      <c r="AC683">
        <v>0</v>
      </c>
      <c r="AD683">
        <v>0</v>
      </c>
      <c r="AE683">
        <v>0</v>
      </c>
      <c r="AF683">
        <v>0</v>
      </c>
      <c r="AG683" t="s">
        <v>71</v>
      </c>
      <c r="AH683">
        <v>0</v>
      </c>
      <c r="AI683">
        <v>0</v>
      </c>
      <c r="AJ683">
        <v>0</v>
      </c>
      <c r="AK683">
        <v>0</v>
      </c>
      <c r="AL683" t="s">
        <v>387</v>
      </c>
      <c r="AM683" t="s">
        <v>254</v>
      </c>
      <c r="AN683" t="s">
        <v>94</v>
      </c>
      <c r="AO683" t="s">
        <v>147</v>
      </c>
      <c r="AP683">
        <v>0</v>
      </c>
      <c r="AQ683">
        <v>0</v>
      </c>
      <c r="AR683">
        <v>0</v>
      </c>
      <c r="AS683">
        <v>0</v>
      </c>
      <c r="AT683">
        <v>0</v>
      </c>
      <c r="AU683">
        <v>0</v>
      </c>
      <c r="AV683">
        <v>0</v>
      </c>
      <c r="AW683">
        <v>0</v>
      </c>
      <c r="AX683">
        <v>8</v>
      </c>
      <c r="AY683">
        <v>0</v>
      </c>
    </row>
    <row r="684" spans="1:51" x14ac:dyDescent="0.25">
      <c r="A684">
        <v>173</v>
      </c>
      <c r="B684">
        <v>38530</v>
      </c>
      <c r="C684" t="s">
        <v>735</v>
      </c>
      <c r="D684" t="s">
        <v>96</v>
      </c>
      <c r="E684" t="s">
        <v>100</v>
      </c>
      <c r="F684" t="s">
        <v>107</v>
      </c>
      <c r="G684" t="s">
        <v>77</v>
      </c>
      <c r="H684" t="s">
        <v>78</v>
      </c>
      <c r="I684" t="s">
        <v>79</v>
      </c>
      <c r="J684" t="s">
        <v>152</v>
      </c>
      <c r="K684" t="s">
        <v>75</v>
      </c>
      <c r="L684" t="s">
        <v>76</v>
      </c>
      <c r="M684" t="s">
        <v>149</v>
      </c>
      <c r="N684" t="s">
        <v>74</v>
      </c>
      <c r="O684" t="s">
        <v>187</v>
      </c>
      <c r="P684" t="s">
        <v>71</v>
      </c>
      <c r="Q684" t="s">
        <v>71</v>
      </c>
      <c r="R684" t="s">
        <v>71</v>
      </c>
      <c r="S684">
        <v>1</v>
      </c>
      <c r="T684">
        <v>1</v>
      </c>
      <c r="U684" t="s">
        <v>72</v>
      </c>
      <c r="V684" t="s">
        <v>188</v>
      </c>
      <c r="W684">
        <v>0</v>
      </c>
      <c r="X684">
        <v>1</v>
      </c>
      <c r="Y684">
        <v>0</v>
      </c>
      <c r="Z684">
        <v>0</v>
      </c>
      <c r="AA684">
        <v>0</v>
      </c>
      <c r="AB684">
        <v>0</v>
      </c>
      <c r="AC684">
        <v>0</v>
      </c>
      <c r="AD684">
        <v>0</v>
      </c>
      <c r="AE684">
        <v>0</v>
      </c>
      <c r="AF684">
        <v>0</v>
      </c>
      <c r="AG684" t="s">
        <v>71</v>
      </c>
      <c r="AH684">
        <v>0</v>
      </c>
      <c r="AI684">
        <v>0</v>
      </c>
      <c r="AJ684">
        <v>0</v>
      </c>
      <c r="AK684">
        <v>0</v>
      </c>
      <c r="AL684" t="s">
        <v>387</v>
      </c>
      <c r="AM684" t="s">
        <v>254</v>
      </c>
      <c r="AN684" t="s">
        <v>94</v>
      </c>
      <c r="AO684" t="s">
        <v>147</v>
      </c>
      <c r="AP684">
        <v>0</v>
      </c>
      <c r="AQ684">
        <v>0</v>
      </c>
      <c r="AR684">
        <v>0</v>
      </c>
      <c r="AS684">
        <v>0</v>
      </c>
      <c r="AT684">
        <v>0</v>
      </c>
      <c r="AU684">
        <v>0</v>
      </c>
      <c r="AV684">
        <v>0</v>
      </c>
      <c r="AW684">
        <v>0</v>
      </c>
      <c r="AX684">
        <v>8</v>
      </c>
      <c r="AY684">
        <v>0</v>
      </c>
    </row>
    <row r="685" spans="1:51" x14ac:dyDescent="0.25">
      <c r="A685">
        <v>173</v>
      </c>
      <c r="B685">
        <v>38540</v>
      </c>
      <c r="C685" t="s">
        <v>735</v>
      </c>
      <c r="D685" t="s">
        <v>96</v>
      </c>
      <c r="E685" t="s">
        <v>100</v>
      </c>
      <c r="F685" t="s">
        <v>107</v>
      </c>
      <c r="G685" t="s">
        <v>77</v>
      </c>
      <c r="H685" t="s">
        <v>78</v>
      </c>
      <c r="I685" t="s">
        <v>79</v>
      </c>
      <c r="J685" t="s">
        <v>152</v>
      </c>
      <c r="K685" t="s">
        <v>75</v>
      </c>
      <c r="L685" t="s">
        <v>76</v>
      </c>
      <c r="M685" t="s">
        <v>149</v>
      </c>
      <c r="N685" t="s">
        <v>74</v>
      </c>
      <c r="O685" t="s">
        <v>187</v>
      </c>
      <c r="P685" t="s">
        <v>71</v>
      </c>
      <c r="Q685" t="s">
        <v>71</v>
      </c>
      <c r="R685" t="s">
        <v>71</v>
      </c>
      <c r="S685">
        <v>1</v>
      </c>
      <c r="T685">
        <v>1</v>
      </c>
      <c r="U685" t="s">
        <v>72</v>
      </c>
      <c r="V685" t="s">
        <v>188</v>
      </c>
      <c r="W685">
        <v>0</v>
      </c>
      <c r="X685">
        <v>1</v>
      </c>
      <c r="Y685">
        <v>0</v>
      </c>
      <c r="Z685">
        <v>0</v>
      </c>
      <c r="AA685">
        <v>0</v>
      </c>
      <c r="AB685">
        <v>0</v>
      </c>
      <c r="AC685">
        <v>0</v>
      </c>
      <c r="AD685">
        <v>0</v>
      </c>
      <c r="AE685">
        <v>0</v>
      </c>
      <c r="AF685">
        <v>0</v>
      </c>
      <c r="AG685" t="s">
        <v>71</v>
      </c>
      <c r="AH685">
        <v>0</v>
      </c>
      <c r="AI685">
        <v>0</v>
      </c>
      <c r="AJ685">
        <v>0</v>
      </c>
      <c r="AK685">
        <v>0</v>
      </c>
      <c r="AL685" t="s">
        <v>387</v>
      </c>
      <c r="AM685" t="s">
        <v>254</v>
      </c>
      <c r="AN685" t="s">
        <v>94</v>
      </c>
      <c r="AO685" t="s">
        <v>147</v>
      </c>
      <c r="AP685">
        <v>0</v>
      </c>
      <c r="AQ685">
        <v>0</v>
      </c>
      <c r="AR685">
        <v>0</v>
      </c>
      <c r="AS685">
        <v>0</v>
      </c>
      <c r="AT685">
        <v>0</v>
      </c>
      <c r="AU685">
        <v>0</v>
      </c>
      <c r="AV685">
        <v>0</v>
      </c>
      <c r="AW685">
        <v>0</v>
      </c>
      <c r="AX685">
        <v>8</v>
      </c>
      <c r="AY685">
        <v>0</v>
      </c>
    </row>
    <row r="686" spans="1:51" x14ac:dyDescent="0.25">
      <c r="A686">
        <v>173</v>
      </c>
      <c r="B686">
        <v>41510</v>
      </c>
      <c r="C686" t="s">
        <v>735</v>
      </c>
      <c r="D686" t="s">
        <v>96</v>
      </c>
      <c r="E686" t="s">
        <v>100</v>
      </c>
      <c r="F686" t="s">
        <v>107</v>
      </c>
      <c r="G686" t="s">
        <v>77</v>
      </c>
      <c r="H686" t="s">
        <v>78</v>
      </c>
      <c r="I686" t="s">
        <v>79</v>
      </c>
      <c r="J686" t="s">
        <v>152</v>
      </c>
      <c r="K686" t="s">
        <v>75</v>
      </c>
      <c r="L686" t="s">
        <v>76</v>
      </c>
      <c r="M686" t="s">
        <v>149</v>
      </c>
      <c r="N686" t="s">
        <v>74</v>
      </c>
      <c r="O686" t="s">
        <v>187</v>
      </c>
      <c r="P686" t="s">
        <v>71</v>
      </c>
      <c r="Q686" t="s">
        <v>71</v>
      </c>
      <c r="R686" t="s">
        <v>71</v>
      </c>
      <c r="S686">
        <v>1</v>
      </c>
      <c r="T686">
        <v>1</v>
      </c>
      <c r="U686" t="s">
        <v>72</v>
      </c>
      <c r="V686" t="s">
        <v>188</v>
      </c>
      <c r="W686">
        <v>0</v>
      </c>
      <c r="X686">
        <v>1</v>
      </c>
      <c r="Y686">
        <v>0</v>
      </c>
      <c r="Z686">
        <v>0</v>
      </c>
      <c r="AA686">
        <v>0</v>
      </c>
      <c r="AB686">
        <v>0</v>
      </c>
      <c r="AC686">
        <v>0</v>
      </c>
      <c r="AD686">
        <v>0</v>
      </c>
      <c r="AE686">
        <v>0</v>
      </c>
      <c r="AF686">
        <v>0</v>
      </c>
      <c r="AG686" t="s">
        <v>71</v>
      </c>
      <c r="AH686">
        <v>0</v>
      </c>
      <c r="AI686">
        <v>0</v>
      </c>
      <c r="AJ686">
        <v>0</v>
      </c>
      <c r="AK686">
        <v>0</v>
      </c>
      <c r="AL686" t="s">
        <v>387</v>
      </c>
      <c r="AM686" t="s">
        <v>254</v>
      </c>
      <c r="AN686" t="s">
        <v>94</v>
      </c>
      <c r="AO686" t="s">
        <v>147</v>
      </c>
      <c r="AP686">
        <v>0</v>
      </c>
      <c r="AQ686">
        <v>0</v>
      </c>
      <c r="AR686">
        <v>0</v>
      </c>
      <c r="AS686">
        <v>0</v>
      </c>
      <c r="AT686">
        <v>0</v>
      </c>
      <c r="AU686">
        <v>0</v>
      </c>
      <c r="AV686">
        <v>0</v>
      </c>
      <c r="AW686">
        <v>0</v>
      </c>
      <c r="AX686">
        <v>0</v>
      </c>
      <c r="AY686">
        <v>0</v>
      </c>
    </row>
    <row r="687" spans="1:51" x14ac:dyDescent="0.25">
      <c r="A687">
        <v>173</v>
      </c>
      <c r="B687">
        <v>41520</v>
      </c>
      <c r="C687" t="s">
        <v>735</v>
      </c>
      <c r="D687" t="s">
        <v>96</v>
      </c>
      <c r="E687" t="s">
        <v>100</v>
      </c>
      <c r="F687" t="s">
        <v>107</v>
      </c>
      <c r="G687" t="s">
        <v>77</v>
      </c>
      <c r="H687" t="s">
        <v>78</v>
      </c>
      <c r="I687" t="s">
        <v>79</v>
      </c>
      <c r="J687" t="s">
        <v>152</v>
      </c>
      <c r="K687" t="s">
        <v>75</v>
      </c>
      <c r="L687" t="s">
        <v>76</v>
      </c>
      <c r="M687" t="s">
        <v>149</v>
      </c>
      <c r="N687" t="s">
        <v>74</v>
      </c>
      <c r="O687" t="s">
        <v>187</v>
      </c>
      <c r="P687" t="s">
        <v>71</v>
      </c>
      <c r="Q687" t="s">
        <v>71</v>
      </c>
      <c r="R687" t="s">
        <v>71</v>
      </c>
      <c r="S687">
        <v>1</v>
      </c>
      <c r="T687">
        <v>1</v>
      </c>
      <c r="U687" t="s">
        <v>72</v>
      </c>
      <c r="V687" t="s">
        <v>188</v>
      </c>
      <c r="W687">
        <v>0</v>
      </c>
      <c r="X687">
        <v>1</v>
      </c>
      <c r="Y687">
        <v>0</v>
      </c>
      <c r="Z687">
        <v>0</v>
      </c>
      <c r="AA687">
        <v>0</v>
      </c>
      <c r="AB687">
        <v>0</v>
      </c>
      <c r="AC687">
        <v>0</v>
      </c>
      <c r="AD687">
        <v>0</v>
      </c>
      <c r="AE687">
        <v>0</v>
      </c>
      <c r="AF687">
        <v>0</v>
      </c>
      <c r="AG687" t="s">
        <v>71</v>
      </c>
      <c r="AH687">
        <v>0</v>
      </c>
      <c r="AI687">
        <v>0</v>
      </c>
      <c r="AJ687">
        <v>0</v>
      </c>
      <c r="AK687">
        <v>0</v>
      </c>
      <c r="AL687" t="s">
        <v>387</v>
      </c>
      <c r="AM687" t="s">
        <v>254</v>
      </c>
      <c r="AN687" t="s">
        <v>94</v>
      </c>
      <c r="AO687" t="s">
        <v>147</v>
      </c>
      <c r="AP687">
        <v>0</v>
      </c>
      <c r="AQ687">
        <v>0</v>
      </c>
      <c r="AR687">
        <v>0</v>
      </c>
      <c r="AS687">
        <v>0</v>
      </c>
      <c r="AT687">
        <v>0</v>
      </c>
      <c r="AU687">
        <v>0</v>
      </c>
      <c r="AV687">
        <v>0</v>
      </c>
      <c r="AW687">
        <v>0</v>
      </c>
      <c r="AX687">
        <v>0</v>
      </c>
      <c r="AY687">
        <v>0</v>
      </c>
    </row>
    <row r="688" spans="1:51" x14ac:dyDescent="0.25">
      <c r="A688">
        <v>173</v>
      </c>
      <c r="B688">
        <v>41530</v>
      </c>
      <c r="C688" t="s">
        <v>735</v>
      </c>
      <c r="D688" t="s">
        <v>96</v>
      </c>
      <c r="E688" t="s">
        <v>186</v>
      </c>
      <c r="F688" t="s">
        <v>107</v>
      </c>
      <c r="G688" t="s">
        <v>77</v>
      </c>
      <c r="H688" t="s">
        <v>78</v>
      </c>
      <c r="I688" t="s">
        <v>79</v>
      </c>
      <c r="J688" t="s">
        <v>119</v>
      </c>
      <c r="K688" t="s">
        <v>75</v>
      </c>
      <c r="L688" t="s">
        <v>76</v>
      </c>
      <c r="M688" t="s">
        <v>149</v>
      </c>
      <c r="N688" t="s">
        <v>74</v>
      </c>
      <c r="O688" t="s">
        <v>187</v>
      </c>
      <c r="P688" t="s">
        <v>71</v>
      </c>
      <c r="Q688" t="s">
        <v>71</v>
      </c>
      <c r="R688" t="s">
        <v>71</v>
      </c>
      <c r="S688">
        <v>1</v>
      </c>
      <c r="T688">
        <v>1</v>
      </c>
      <c r="U688" t="s">
        <v>72</v>
      </c>
      <c r="V688" t="s">
        <v>188</v>
      </c>
      <c r="W688">
        <v>0</v>
      </c>
      <c r="X688">
        <v>1</v>
      </c>
      <c r="Y688">
        <v>0</v>
      </c>
      <c r="Z688">
        <v>0</v>
      </c>
      <c r="AA688">
        <v>0</v>
      </c>
      <c r="AB688">
        <v>0</v>
      </c>
      <c r="AC688">
        <v>0</v>
      </c>
      <c r="AD688">
        <v>0</v>
      </c>
      <c r="AE688">
        <v>0</v>
      </c>
      <c r="AF688">
        <v>0</v>
      </c>
      <c r="AG688" t="s">
        <v>71</v>
      </c>
      <c r="AH688">
        <v>0</v>
      </c>
      <c r="AI688">
        <v>0</v>
      </c>
      <c r="AJ688">
        <v>0</v>
      </c>
      <c r="AK688">
        <v>0</v>
      </c>
      <c r="AL688" t="s">
        <v>255</v>
      </c>
      <c r="AM688" t="s">
        <v>93</v>
      </c>
      <c r="AN688" t="s">
        <v>94</v>
      </c>
      <c r="AO688" t="s">
        <v>147</v>
      </c>
      <c r="AP688">
        <v>0</v>
      </c>
      <c r="AQ688">
        <v>0</v>
      </c>
      <c r="AR688">
        <v>0</v>
      </c>
      <c r="AS688">
        <v>0</v>
      </c>
      <c r="AT688">
        <v>0</v>
      </c>
      <c r="AU688">
        <v>0</v>
      </c>
      <c r="AV688">
        <v>0</v>
      </c>
      <c r="AW688">
        <v>0</v>
      </c>
      <c r="AX688">
        <v>0</v>
      </c>
      <c r="AY688">
        <v>0</v>
      </c>
    </row>
    <row r="689" spans="1:51" x14ac:dyDescent="0.25">
      <c r="A689">
        <v>173</v>
      </c>
      <c r="B689">
        <v>41540</v>
      </c>
      <c r="C689" t="s">
        <v>735</v>
      </c>
      <c r="D689" t="s">
        <v>96</v>
      </c>
      <c r="E689" t="s">
        <v>186</v>
      </c>
      <c r="F689" t="s">
        <v>107</v>
      </c>
      <c r="G689" t="s">
        <v>77</v>
      </c>
      <c r="H689" t="s">
        <v>78</v>
      </c>
      <c r="I689" t="s">
        <v>79</v>
      </c>
      <c r="J689" t="s">
        <v>119</v>
      </c>
      <c r="K689" t="s">
        <v>75</v>
      </c>
      <c r="L689" t="s">
        <v>76</v>
      </c>
      <c r="M689" t="s">
        <v>149</v>
      </c>
      <c r="N689" t="s">
        <v>74</v>
      </c>
      <c r="O689" t="s">
        <v>187</v>
      </c>
      <c r="P689" t="s">
        <v>71</v>
      </c>
      <c r="Q689" t="s">
        <v>71</v>
      </c>
      <c r="R689" t="s">
        <v>71</v>
      </c>
      <c r="S689">
        <v>1</v>
      </c>
      <c r="T689">
        <v>1</v>
      </c>
      <c r="U689" t="s">
        <v>72</v>
      </c>
      <c r="V689" t="s">
        <v>188</v>
      </c>
      <c r="W689">
        <v>0</v>
      </c>
      <c r="X689">
        <v>1</v>
      </c>
      <c r="Y689">
        <v>0</v>
      </c>
      <c r="Z689">
        <v>0</v>
      </c>
      <c r="AA689">
        <v>0</v>
      </c>
      <c r="AB689">
        <v>0</v>
      </c>
      <c r="AC689">
        <v>0</v>
      </c>
      <c r="AD689">
        <v>0</v>
      </c>
      <c r="AE689">
        <v>0</v>
      </c>
      <c r="AF689">
        <v>0</v>
      </c>
      <c r="AG689" t="s">
        <v>71</v>
      </c>
      <c r="AH689">
        <v>0</v>
      </c>
      <c r="AI689">
        <v>0</v>
      </c>
      <c r="AJ689">
        <v>0</v>
      </c>
      <c r="AK689">
        <v>0</v>
      </c>
      <c r="AL689" t="s">
        <v>255</v>
      </c>
      <c r="AM689" t="s">
        <v>93</v>
      </c>
      <c r="AN689" t="s">
        <v>94</v>
      </c>
      <c r="AO689" t="s">
        <v>147</v>
      </c>
      <c r="AP689">
        <v>0</v>
      </c>
      <c r="AQ689">
        <v>0</v>
      </c>
      <c r="AR689">
        <v>0</v>
      </c>
      <c r="AS689">
        <v>0</v>
      </c>
      <c r="AT689">
        <v>0</v>
      </c>
      <c r="AU689">
        <v>0</v>
      </c>
      <c r="AV689">
        <v>0</v>
      </c>
      <c r="AW689">
        <v>0</v>
      </c>
      <c r="AX689">
        <v>0</v>
      </c>
      <c r="AY689">
        <v>0</v>
      </c>
    </row>
    <row r="690" spans="1:51" x14ac:dyDescent="0.25">
      <c r="A690">
        <v>173</v>
      </c>
      <c r="B690">
        <v>41550</v>
      </c>
      <c r="C690" t="s">
        <v>735</v>
      </c>
      <c r="D690" t="s">
        <v>96</v>
      </c>
      <c r="E690" t="s">
        <v>186</v>
      </c>
      <c r="F690" t="s">
        <v>107</v>
      </c>
      <c r="G690" t="s">
        <v>77</v>
      </c>
      <c r="H690" t="s">
        <v>78</v>
      </c>
      <c r="I690" t="s">
        <v>79</v>
      </c>
      <c r="J690" t="s">
        <v>119</v>
      </c>
      <c r="K690" t="s">
        <v>75</v>
      </c>
      <c r="L690" t="s">
        <v>76</v>
      </c>
      <c r="M690" t="s">
        <v>149</v>
      </c>
      <c r="N690" t="s">
        <v>74</v>
      </c>
      <c r="O690" t="s">
        <v>191</v>
      </c>
      <c r="P690" t="s">
        <v>71</v>
      </c>
      <c r="Q690" t="s">
        <v>71</v>
      </c>
      <c r="R690" t="s">
        <v>71</v>
      </c>
      <c r="S690">
        <v>1</v>
      </c>
      <c r="T690">
        <v>1</v>
      </c>
      <c r="U690" t="s">
        <v>72</v>
      </c>
      <c r="V690" t="s">
        <v>188</v>
      </c>
      <c r="W690">
        <v>0</v>
      </c>
      <c r="X690">
        <v>1</v>
      </c>
      <c r="Y690">
        <v>0</v>
      </c>
      <c r="Z690">
        <v>0</v>
      </c>
      <c r="AA690">
        <v>0</v>
      </c>
      <c r="AB690">
        <v>0</v>
      </c>
      <c r="AC690">
        <v>0</v>
      </c>
      <c r="AD690">
        <v>0</v>
      </c>
      <c r="AE690">
        <v>0</v>
      </c>
      <c r="AF690">
        <v>0</v>
      </c>
      <c r="AG690" t="s">
        <v>71</v>
      </c>
      <c r="AH690">
        <v>0</v>
      </c>
      <c r="AI690">
        <v>0</v>
      </c>
      <c r="AJ690">
        <v>0</v>
      </c>
      <c r="AK690">
        <v>0</v>
      </c>
      <c r="AL690" t="s">
        <v>255</v>
      </c>
      <c r="AM690" t="s">
        <v>93</v>
      </c>
      <c r="AN690" t="s">
        <v>94</v>
      </c>
      <c r="AO690" t="s">
        <v>147</v>
      </c>
      <c r="AP690">
        <v>0</v>
      </c>
      <c r="AQ690">
        <v>0</v>
      </c>
      <c r="AR690">
        <v>0</v>
      </c>
      <c r="AS690">
        <v>0</v>
      </c>
      <c r="AT690">
        <v>0</v>
      </c>
      <c r="AU690">
        <v>0</v>
      </c>
      <c r="AV690">
        <v>0</v>
      </c>
      <c r="AW690">
        <v>0</v>
      </c>
      <c r="AX690">
        <v>0</v>
      </c>
      <c r="AY690">
        <v>0</v>
      </c>
    </row>
    <row r="691" spans="1:51" x14ac:dyDescent="0.25">
      <c r="A691">
        <v>173</v>
      </c>
      <c r="B691">
        <v>43520</v>
      </c>
      <c r="C691" t="s">
        <v>735</v>
      </c>
      <c r="D691" t="s">
        <v>96</v>
      </c>
      <c r="E691" t="s">
        <v>186</v>
      </c>
      <c r="F691" t="s">
        <v>107</v>
      </c>
      <c r="G691" t="s">
        <v>77</v>
      </c>
      <c r="H691" t="s">
        <v>78</v>
      </c>
      <c r="I691" t="s">
        <v>79</v>
      </c>
      <c r="J691" t="s">
        <v>119</v>
      </c>
      <c r="K691" t="s">
        <v>75</v>
      </c>
      <c r="L691" t="s">
        <v>76</v>
      </c>
      <c r="M691" t="s">
        <v>149</v>
      </c>
      <c r="N691" t="s">
        <v>74</v>
      </c>
      <c r="O691" t="s">
        <v>187</v>
      </c>
      <c r="P691" t="s">
        <v>71</v>
      </c>
      <c r="Q691" t="s">
        <v>71</v>
      </c>
      <c r="R691" t="s">
        <v>71</v>
      </c>
      <c r="S691">
        <v>1</v>
      </c>
      <c r="T691">
        <v>1</v>
      </c>
      <c r="U691" t="s">
        <v>72</v>
      </c>
      <c r="V691" t="s">
        <v>188</v>
      </c>
      <c r="W691">
        <v>0</v>
      </c>
      <c r="X691">
        <v>1</v>
      </c>
      <c r="Y691">
        <v>0</v>
      </c>
      <c r="Z691">
        <v>0</v>
      </c>
      <c r="AA691">
        <v>0</v>
      </c>
      <c r="AB691">
        <v>0</v>
      </c>
      <c r="AC691">
        <v>0</v>
      </c>
      <c r="AD691">
        <v>0</v>
      </c>
      <c r="AE691">
        <v>0</v>
      </c>
      <c r="AF691">
        <v>0</v>
      </c>
      <c r="AG691" t="s">
        <v>71</v>
      </c>
      <c r="AH691">
        <v>0</v>
      </c>
      <c r="AI691">
        <v>0</v>
      </c>
      <c r="AJ691">
        <v>0</v>
      </c>
      <c r="AK691">
        <v>0</v>
      </c>
      <c r="AL691" t="s">
        <v>255</v>
      </c>
      <c r="AM691" t="s">
        <v>93</v>
      </c>
      <c r="AN691" t="s">
        <v>94</v>
      </c>
      <c r="AO691" t="s">
        <v>147</v>
      </c>
      <c r="AP691">
        <v>0</v>
      </c>
      <c r="AQ691">
        <v>0</v>
      </c>
      <c r="AR691">
        <v>0</v>
      </c>
      <c r="AS691">
        <v>0</v>
      </c>
      <c r="AT691">
        <v>0</v>
      </c>
      <c r="AU691">
        <v>0</v>
      </c>
      <c r="AV691">
        <v>0</v>
      </c>
      <c r="AW691">
        <v>0</v>
      </c>
      <c r="AX691">
        <v>0</v>
      </c>
      <c r="AY691">
        <v>0</v>
      </c>
    </row>
    <row r="692" spans="1:51" x14ac:dyDescent="0.25">
      <c r="A692">
        <v>173</v>
      </c>
      <c r="B692">
        <v>43530</v>
      </c>
      <c r="C692" t="s">
        <v>735</v>
      </c>
      <c r="D692" t="s">
        <v>96</v>
      </c>
      <c r="E692" t="s">
        <v>186</v>
      </c>
      <c r="F692" t="s">
        <v>107</v>
      </c>
      <c r="G692" t="s">
        <v>77</v>
      </c>
      <c r="H692" t="s">
        <v>78</v>
      </c>
      <c r="I692" t="s">
        <v>79</v>
      </c>
      <c r="J692" t="s">
        <v>119</v>
      </c>
      <c r="K692" t="s">
        <v>75</v>
      </c>
      <c r="L692" t="s">
        <v>76</v>
      </c>
      <c r="M692" t="s">
        <v>149</v>
      </c>
      <c r="N692" t="s">
        <v>74</v>
      </c>
      <c r="O692" t="s">
        <v>187</v>
      </c>
      <c r="P692" t="s">
        <v>71</v>
      </c>
      <c r="Q692" t="s">
        <v>71</v>
      </c>
      <c r="R692" t="s">
        <v>71</v>
      </c>
      <c r="S692">
        <v>1</v>
      </c>
      <c r="T692">
        <v>1</v>
      </c>
      <c r="U692" t="s">
        <v>72</v>
      </c>
      <c r="V692" t="s">
        <v>188</v>
      </c>
      <c r="W692">
        <v>0</v>
      </c>
      <c r="X692">
        <v>1</v>
      </c>
      <c r="Y692">
        <v>0</v>
      </c>
      <c r="Z692">
        <v>0</v>
      </c>
      <c r="AA692">
        <v>0</v>
      </c>
      <c r="AB692">
        <v>0</v>
      </c>
      <c r="AC692">
        <v>0</v>
      </c>
      <c r="AD692">
        <v>0</v>
      </c>
      <c r="AE692">
        <v>0</v>
      </c>
      <c r="AF692">
        <v>0</v>
      </c>
      <c r="AG692" t="s">
        <v>71</v>
      </c>
      <c r="AH692">
        <v>0</v>
      </c>
      <c r="AI692">
        <v>0</v>
      </c>
      <c r="AJ692">
        <v>0</v>
      </c>
      <c r="AK692">
        <v>0</v>
      </c>
      <c r="AL692" t="s">
        <v>255</v>
      </c>
      <c r="AM692" t="s">
        <v>93</v>
      </c>
      <c r="AN692" t="s">
        <v>94</v>
      </c>
      <c r="AO692" t="s">
        <v>147</v>
      </c>
      <c r="AP692">
        <v>0</v>
      </c>
      <c r="AQ692">
        <v>0</v>
      </c>
      <c r="AR692">
        <v>0</v>
      </c>
      <c r="AS692">
        <v>0</v>
      </c>
      <c r="AT692">
        <v>0</v>
      </c>
      <c r="AU692">
        <v>0</v>
      </c>
      <c r="AV692">
        <v>0</v>
      </c>
      <c r="AW692">
        <v>0</v>
      </c>
      <c r="AX692">
        <v>0</v>
      </c>
      <c r="AY692">
        <v>0</v>
      </c>
    </row>
    <row r="693" spans="1:51" x14ac:dyDescent="0.25">
      <c r="A693">
        <v>173</v>
      </c>
      <c r="B693">
        <v>43540</v>
      </c>
      <c r="C693" t="s">
        <v>735</v>
      </c>
      <c r="D693" t="s">
        <v>96</v>
      </c>
      <c r="E693" t="s">
        <v>186</v>
      </c>
      <c r="F693" t="s">
        <v>107</v>
      </c>
      <c r="G693" t="s">
        <v>77</v>
      </c>
      <c r="H693" t="s">
        <v>78</v>
      </c>
      <c r="I693" t="s">
        <v>79</v>
      </c>
      <c r="J693" t="s">
        <v>119</v>
      </c>
      <c r="K693" t="s">
        <v>75</v>
      </c>
      <c r="L693" t="s">
        <v>76</v>
      </c>
      <c r="M693" t="s">
        <v>149</v>
      </c>
      <c r="N693" t="s">
        <v>74</v>
      </c>
      <c r="O693" t="s">
        <v>187</v>
      </c>
      <c r="P693" t="s">
        <v>71</v>
      </c>
      <c r="Q693" t="s">
        <v>71</v>
      </c>
      <c r="R693" t="s">
        <v>71</v>
      </c>
      <c r="S693">
        <v>1</v>
      </c>
      <c r="T693">
        <v>1</v>
      </c>
      <c r="U693" t="s">
        <v>72</v>
      </c>
      <c r="V693" t="s">
        <v>188</v>
      </c>
      <c r="W693">
        <v>0</v>
      </c>
      <c r="X693">
        <v>1</v>
      </c>
      <c r="Y693">
        <v>0</v>
      </c>
      <c r="Z693">
        <v>0</v>
      </c>
      <c r="AA693">
        <v>0</v>
      </c>
      <c r="AB693">
        <v>0</v>
      </c>
      <c r="AC693">
        <v>0</v>
      </c>
      <c r="AD693">
        <v>0</v>
      </c>
      <c r="AE693">
        <v>0</v>
      </c>
      <c r="AF693">
        <v>0</v>
      </c>
      <c r="AG693" t="s">
        <v>71</v>
      </c>
      <c r="AH693">
        <v>0</v>
      </c>
      <c r="AI693">
        <v>0</v>
      </c>
      <c r="AJ693">
        <v>0</v>
      </c>
      <c r="AK693">
        <v>0</v>
      </c>
      <c r="AL693" t="s">
        <v>387</v>
      </c>
      <c r="AM693" t="s">
        <v>254</v>
      </c>
      <c r="AN693" t="s">
        <v>94</v>
      </c>
      <c r="AO693" t="s">
        <v>147</v>
      </c>
      <c r="AP693">
        <v>0</v>
      </c>
      <c r="AQ693">
        <v>0</v>
      </c>
      <c r="AR693">
        <v>0</v>
      </c>
      <c r="AS693">
        <v>0</v>
      </c>
      <c r="AT693">
        <v>0</v>
      </c>
      <c r="AU693">
        <v>0</v>
      </c>
      <c r="AV693">
        <v>1</v>
      </c>
      <c r="AW693">
        <v>0</v>
      </c>
      <c r="AX693">
        <v>0</v>
      </c>
      <c r="AY693">
        <v>0</v>
      </c>
    </row>
    <row r="694" spans="1:51" x14ac:dyDescent="0.25">
      <c r="A694">
        <v>173</v>
      </c>
      <c r="B694">
        <v>43550</v>
      </c>
      <c r="C694" t="s">
        <v>735</v>
      </c>
      <c r="D694" t="s">
        <v>96</v>
      </c>
      <c r="E694" t="s">
        <v>121</v>
      </c>
      <c r="F694" t="s">
        <v>98</v>
      </c>
      <c r="G694" t="s">
        <v>77</v>
      </c>
      <c r="H694" t="s">
        <v>78</v>
      </c>
      <c r="I694" t="s">
        <v>79</v>
      </c>
      <c r="J694" t="s">
        <v>119</v>
      </c>
      <c r="K694" t="s">
        <v>75</v>
      </c>
      <c r="L694" t="s">
        <v>76</v>
      </c>
      <c r="M694" t="s">
        <v>103</v>
      </c>
      <c r="N694" t="s">
        <v>74</v>
      </c>
      <c r="O694" t="s">
        <v>187</v>
      </c>
      <c r="P694" t="s">
        <v>71</v>
      </c>
      <c r="Q694" t="s">
        <v>71</v>
      </c>
      <c r="R694" t="s">
        <v>71</v>
      </c>
      <c r="S694">
        <v>1</v>
      </c>
      <c r="T694">
        <v>0</v>
      </c>
      <c r="U694" t="s">
        <v>72</v>
      </c>
      <c r="V694" t="s">
        <v>73</v>
      </c>
      <c r="W694">
        <v>0</v>
      </c>
      <c r="X694">
        <v>1</v>
      </c>
      <c r="Y694">
        <v>1</v>
      </c>
      <c r="Z694">
        <v>25</v>
      </c>
      <c r="AA694">
        <v>1</v>
      </c>
      <c r="AB694">
        <v>25</v>
      </c>
      <c r="AC694">
        <v>1</v>
      </c>
      <c r="AD694">
        <v>25</v>
      </c>
      <c r="AE694">
        <v>0</v>
      </c>
      <c r="AF694">
        <v>0</v>
      </c>
      <c r="AG694" t="s">
        <v>71</v>
      </c>
      <c r="AH694">
        <v>0</v>
      </c>
      <c r="AI694">
        <v>0</v>
      </c>
      <c r="AJ694">
        <v>0</v>
      </c>
      <c r="AK694">
        <v>0</v>
      </c>
      <c r="AL694" t="s">
        <v>387</v>
      </c>
      <c r="AM694" t="s">
        <v>254</v>
      </c>
      <c r="AN694" t="s">
        <v>94</v>
      </c>
      <c r="AO694" t="s">
        <v>147</v>
      </c>
      <c r="AP694">
        <v>0</v>
      </c>
      <c r="AQ694">
        <v>0</v>
      </c>
      <c r="AR694">
        <v>0</v>
      </c>
      <c r="AS694">
        <v>0</v>
      </c>
      <c r="AT694">
        <v>17</v>
      </c>
      <c r="AU694">
        <v>0</v>
      </c>
      <c r="AV694">
        <v>1</v>
      </c>
      <c r="AW694">
        <v>0</v>
      </c>
      <c r="AX694">
        <v>0</v>
      </c>
      <c r="AY694">
        <v>0</v>
      </c>
    </row>
    <row r="695" spans="1:51" x14ac:dyDescent="0.25">
      <c r="A695">
        <v>173</v>
      </c>
      <c r="B695">
        <v>43560</v>
      </c>
      <c r="C695" t="s">
        <v>735</v>
      </c>
      <c r="D695" t="s">
        <v>96</v>
      </c>
      <c r="E695" t="s">
        <v>190</v>
      </c>
      <c r="F695" t="s">
        <v>107</v>
      </c>
      <c r="G695" t="s">
        <v>77</v>
      </c>
      <c r="H695" t="s">
        <v>78</v>
      </c>
      <c r="I695" t="s">
        <v>79</v>
      </c>
      <c r="J695" t="s">
        <v>119</v>
      </c>
      <c r="K695" t="s">
        <v>75</v>
      </c>
      <c r="L695" t="s">
        <v>76</v>
      </c>
      <c r="M695" t="s">
        <v>149</v>
      </c>
      <c r="N695" t="s">
        <v>74</v>
      </c>
      <c r="O695" t="s">
        <v>187</v>
      </c>
      <c r="P695" t="s">
        <v>71</v>
      </c>
      <c r="Q695" t="s">
        <v>71</v>
      </c>
      <c r="R695" t="s">
        <v>71</v>
      </c>
      <c r="S695">
        <v>1</v>
      </c>
      <c r="T695">
        <v>1</v>
      </c>
      <c r="U695" t="s">
        <v>72</v>
      </c>
      <c r="V695" t="s">
        <v>188</v>
      </c>
      <c r="W695">
        <v>0</v>
      </c>
      <c r="X695">
        <v>1</v>
      </c>
      <c r="Y695">
        <v>0</v>
      </c>
      <c r="Z695">
        <v>0</v>
      </c>
      <c r="AA695">
        <v>0</v>
      </c>
      <c r="AB695">
        <v>0</v>
      </c>
      <c r="AC695">
        <v>0</v>
      </c>
      <c r="AD695">
        <v>0</v>
      </c>
      <c r="AE695">
        <v>0</v>
      </c>
      <c r="AF695">
        <v>0</v>
      </c>
      <c r="AG695" t="s">
        <v>71</v>
      </c>
      <c r="AH695">
        <v>0</v>
      </c>
      <c r="AI695">
        <v>0</v>
      </c>
      <c r="AJ695">
        <v>0</v>
      </c>
      <c r="AK695">
        <v>0</v>
      </c>
      <c r="AL695" t="s">
        <v>255</v>
      </c>
      <c r="AM695" t="s">
        <v>93</v>
      </c>
      <c r="AN695" t="s">
        <v>94</v>
      </c>
      <c r="AO695" t="s">
        <v>147</v>
      </c>
      <c r="AP695">
        <v>0</v>
      </c>
      <c r="AQ695">
        <v>0</v>
      </c>
      <c r="AR695">
        <v>0</v>
      </c>
      <c r="AS695">
        <v>0</v>
      </c>
      <c r="AT695">
        <v>0</v>
      </c>
      <c r="AU695">
        <v>0</v>
      </c>
      <c r="AV695">
        <v>0</v>
      </c>
      <c r="AW695">
        <v>0</v>
      </c>
      <c r="AX695">
        <v>0</v>
      </c>
      <c r="AY695">
        <v>0</v>
      </c>
    </row>
    <row r="696" spans="1:51" x14ac:dyDescent="0.25">
      <c r="A696">
        <v>173</v>
      </c>
      <c r="B696">
        <v>43570</v>
      </c>
      <c r="C696" t="s">
        <v>735</v>
      </c>
      <c r="D696" t="s">
        <v>96</v>
      </c>
      <c r="E696" t="s">
        <v>190</v>
      </c>
      <c r="F696" t="s">
        <v>107</v>
      </c>
      <c r="G696" t="s">
        <v>77</v>
      </c>
      <c r="H696" t="s">
        <v>78</v>
      </c>
      <c r="I696" t="s">
        <v>79</v>
      </c>
      <c r="J696" t="s">
        <v>119</v>
      </c>
      <c r="K696" t="s">
        <v>75</v>
      </c>
      <c r="L696" t="s">
        <v>76</v>
      </c>
      <c r="M696" t="s">
        <v>149</v>
      </c>
      <c r="N696" t="s">
        <v>74</v>
      </c>
      <c r="O696" t="s">
        <v>187</v>
      </c>
      <c r="P696" t="s">
        <v>71</v>
      </c>
      <c r="Q696" t="s">
        <v>71</v>
      </c>
      <c r="R696" t="s">
        <v>71</v>
      </c>
      <c r="S696">
        <v>1</v>
      </c>
      <c r="T696">
        <v>1</v>
      </c>
      <c r="U696" t="s">
        <v>72</v>
      </c>
      <c r="V696" t="s">
        <v>188</v>
      </c>
      <c r="W696">
        <v>0</v>
      </c>
      <c r="X696">
        <v>1</v>
      </c>
      <c r="Y696">
        <v>0</v>
      </c>
      <c r="Z696">
        <v>0</v>
      </c>
      <c r="AA696">
        <v>0</v>
      </c>
      <c r="AB696">
        <v>0</v>
      </c>
      <c r="AC696">
        <v>0</v>
      </c>
      <c r="AD696">
        <v>0</v>
      </c>
      <c r="AE696">
        <v>0</v>
      </c>
      <c r="AF696">
        <v>0</v>
      </c>
      <c r="AG696" t="s">
        <v>71</v>
      </c>
      <c r="AH696">
        <v>0</v>
      </c>
      <c r="AI696">
        <v>0</v>
      </c>
      <c r="AJ696">
        <v>0</v>
      </c>
      <c r="AK696">
        <v>0</v>
      </c>
      <c r="AL696" t="s">
        <v>255</v>
      </c>
      <c r="AM696" t="s">
        <v>93</v>
      </c>
      <c r="AN696" t="s">
        <v>94</v>
      </c>
      <c r="AO696" t="s">
        <v>147</v>
      </c>
      <c r="AP696">
        <v>0</v>
      </c>
      <c r="AQ696">
        <v>0</v>
      </c>
      <c r="AR696">
        <v>0</v>
      </c>
      <c r="AS696">
        <v>0</v>
      </c>
      <c r="AT696">
        <v>0</v>
      </c>
      <c r="AU696">
        <v>0</v>
      </c>
      <c r="AV696">
        <v>0</v>
      </c>
      <c r="AW696">
        <v>0</v>
      </c>
      <c r="AX696">
        <v>0</v>
      </c>
      <c r="AY696">
        <v>0</v>
      </c>
    </row>
    <row r="697" spans="1:51" x14ac:dyDescent="0.25">
      <c r="A697">
        <v>173</v>
      </c>
      <c r="B697">
        <v>43580</v>
      </c>
      <c r="C697" t="s">
        <v>735</v>
      </c>
      <c r="D697" t="s">
        <v>96</v>
      </c>
      <c r="E697" t="s">
        <v>190</v>
      </c>
      <c r="F697" t="s">
        <v>107</v>
      </c>
      <c r="G697" t="s">
        <v>77</v>
      </c>
      <c r="H697" t="s">
        <v>78</v>
      </c>
      <c r="I697" t="s">
        <v>79</v>
      </c>
      <c r="J697" t="s">
        <v>119</v>
      </c>
      <c r="K697" t="s">
        <v>75</v>
      </c>
      <c r="L697" t="s">
        <v>76</v>
      </c>
      <c r="M697" t="s">
        <v>149</v>
      </c>
      <c r="N697" t="s">
        <v>74</v>
      </c>
      <c r="O697" t="s">
        <v>187</v>
      </c>
      <c r="P697" t="s">
        <v>71</v>
      </c>
      <c r="Q697" t="s">
        <v>71</v>
      </c>
      <c r="R697" t="s">
        <v>71</v>
      </c>
      <c r="S697">
        <v>1</v>
      </c>
      <c r="T697">
        <v>1</v>
      </c>
      <c r="U697" t="s">
        <v>72</v>
      </c>
      <c r="V697" t="s">
        <v>188</v>
      </c>
      <c r="W697">
        <v>0</v>
      </c>
      <c r="X697">
        <v>1</v>
      </c>
      <c r="Y697">
        <v>0</v>
      </c>
      <c r="Z697">
        <v>0</v>
      </c>
      <c r="AA697">
        <v>0</v>
      </c>
      <c r="AB697">
        <v>0</v>
      </c>
      <c r="AC697">
        <v>0</v>
      </c>
      <c r="AD697">
        <v>0</v>
      </c>
      <c r="AE697">
        <v>0</v>
      </c>
      <c r="AF697">
        <v>0</v>
      </c>
      <c r="AG697" t="s">
        <v>71</v>
      </c>
      <c r="AH697">
        <v>0</v>
      </c>
      <c r="AI697">
        <v>0</v>
      </c>
      <c r="AJ697">
        <v>0</v>
      </c>
      <c r="AK697">
        <v>0</v>
      </c>
      <c r="AL697" t="s">
        <v>255</v>
      </c>
      <c r="AM697" t="s">
        <v>93</v>
      </c>
      <c r="AN697" t="s">
        <v>94</v>
      </c>
      <c r="AO697" t="s">
        <v>147</v>
      </c>
      <c r="AP697">
        <v>0</v>
      </c>
      <c r="AQ697">
        <v>0</v>
      </c>
      <c r="AR697">
        <v>0</v>
      </c>
      <c r="AS697">
        <v>0</v>
      </c>
      <c r="AT697">
        <v>0</v>
      </c>
      <c r="AU697">
        <v>0</v>
      </c>
      <c r="AV697">
        <v>0</v>
      </c>
      <c r="AW697">
        <v>0</v>
      </c>
      <c r="AX697">
        <v>0</v>
      </c>
      <c r="AY697">
        <v>0</v>
      </c>
    </row>
    <row r="698" spans="1:51" x14ac:dyDescent="0.25">
      <c r="A698">
        <v>173</v>
      </c>
      <c r="B698">
        <v>45550</v>
      </c>
      <c r="C698" t="s">
        <v>735</v>
      </c>
      <c r="D698" t="s">
        <v>96</v>
      </c>
      <c r="E698" t="s">
        <v>190</v>
      </c>
      <c r="F698" t="s">
        <v>107</v>
      </c>
      <c r="G698" t="s">
        <v>77</v>
      </c>
      <c r="H698" t="s">
        <v>78</v>
      </c>
      <c r="I698" t="s">
        <v>79</v>
      </c>
      <c r="J698" t="s">
        <v>119</v>
      </c>
      <c r="K698" t="s">
        <v>75</v>
      </c>
      <c r="L698" t="s">
        <v>76</v>
      </c>
      <c r="M698" t="s">
        <v>149</v>
      </c>
      <c r="N698" t="s">
        <v>74</v>
      </c>
      <c r="O698" t="s">
        <v>187</v>
      </c>
      <c r="P698" t="s">
        <v>71</v>
      </c>
      <c r="Q698" t="s">
        <v>71</v>
      </c>
      <c r="R698" t="s">
        <v>71</v>
      </c>
      <c r="S698">
        <v>1</v>
      </c>
      <c r="T698">
        <v>1</v>
      </c>
      <c r="U698" t="s">
        <v>72</v>
      </c>
      <c r="V698" t="s">
        <v>188</v>
      </c>
      <c r="W698">
        <v>0</v>
      </c>
      <c r="X698">
        <v>1</v>
      </c>
      <c r="Y698">
        <v>0</v>
      </c>
      <c r="Z698">
        <v>0</v>
      </c>
      <c r="AA698">
        <v>0</v>
      </c>
      <c r="AB698">
        <v>0</v>
      </c>
      <c r="AC698">
        <v>0</v>
      </c>
      <c r="AD698">
        <v>0</v>
      </c>
      <c r="AE698">
        <v>0</v>
      </c>
      <c r="AF698">
        <v>0</v>
      </c>
      <c r="AG698" t="s">
        <v>71</v>
      </c>
      <c r="AH698">
        <v>0</v>
      </c>
      <c r="AI698">
        <v>0</v>
      </c>
      <c r="AJ698">
        <v>0</v>
      </c>
      <c r="AK698">
        <v>0</v>
      </c>
      <c r="AL698" t="s">
        <v>255</v>
      </c>
      <c r="AM698" t="s">
        <v>93</v>
      </c>
      <c r="AN698" t="s">
        <v>94</v>
      </c>
      <c r="AO698" t="s">
        <v>147</v>
      </c>
      <c r="AP698">
        <v>0</v>
      </c>
      <c r="AQ698">
        <v>0</v>
      </c>
      <c r="AR698">
        <v>0</v>
      </c>
      <c r="AS698">
        <v>0</v>
      </c>
      <c r="AT698">
        <v>0</v>
      </c>
      <c r="AU698">
        <v>0</v>
      </c>
      <c r="AV698">
        <v>0</v>
      </c>
      <c r="AW698">
        <v>0</v>
      </c>
      <c r="AX698">
        <v>0</v>
      </c>
      <c r="AY698">
        <v>0</v>
      </c>
    </row>
    <row r="699" spans="1:51" x14ac:dyDescent="0.25">
      <c r="A699">
        <v>173</v>
      </c>
      <c r="B699">
        <v>45560</v>
      </c>
      <c r="C699" t="s">
        <v>735</v>
      </c>
      <c r="D699" t="s">
        <v>96</v>
      </c>
      <c r="E699" t="s">
        <v>190</v>
      </c>
      <c r="F699" t="s">
        <v>107</v>
      </c>
      <c r="G699" t="s">
        <v>77</v>
      </c>
      <c r="H699" t="s">
        <v>78</v>
      </c>
      <c r="I699" t="s">
        <v>79</v>
      </c>
      <c r="J699" t="s">
        <v>119</v>
      </c>
      <c r="K699" t="s">
        <v>75</v>
      </c>
      <c r="L699" t="s">
        <v>76</v>
      </c>
      <c r="M699" t="s">
        <v>149</v>
      </c>
      <c r="N699" t="s">
        <v>74</v>
      </c>
      <c r="O699" t="s">
        <v>187</v>
      </c>
      <c r="P699" t="s">
        <v>71</v>
      </c>
      <c r="Q699" t="s">
        <v>71</v>
      </c>
      <c r="R699" t="s">
        <v>71</v>
      </c>
      <c r="S699">
        <v>1</v>
      </c>
      <c r="T699">
        <v>1</v>
      </c>
      <c r="U699" t="s">
        <v>72</v>
      </c>
      <c r="V699" t="s">
        <v>188</v>
      </c>
      <c r="W699">
        <v>0</v>
      </c>
      <c r="X699">
        <v>1</v>
      </c>
      <c r="Y699">
        <v>0</v>
      </c>
      <c r="Z699">
        <v>0</v>
      </c>
      <c r="AA699">
        <v>0</v>
      </c>
      <c r="AB699">
        <v>0</v>
      </c>
      <c r="AC699">
        <v>0</v>
      </c>
      <c r="AD699">
        <v>0</v>
      </c>
      <c r="AE699">
        <v>0</v>
      </c>
      <c r="AF699">
        <v>0</v>
      </c>
      <c r="AG699" t="s">
        <v>71</v>
      </c>
      <c r="AH699">
        <v>0</v>
      </c>
      <c r="AI699">
        <v>0</v>
      </c>
      <c r="AJ699">
        <v>0</v>
      </c>
      <c r="AK699">
        <v>0</v>
      </c>
      <c r="AL699" t="s">
        <v>255</v>
      </c>
      <c r="AM699" t="s">
        <v>93</v>
      </c>
      <c r="AN699" t="s">
        <v>94</v>
      </c>
      <c r="AO699" t="s">
        <v>147</v>
      </c>
      <c r="AP699">
        <v>0</v>
      </c>
      <c r="AQ699">
        <v>0</v>
      </c>
      <c r="AR699">
        <v>0</v>
      </c>
      <c r="AS699">
        <v>0</v>
      </c>
      <c r="AT699">
        <v>0</v>
      </c>
      <c r="AU699">
        <v>0</v>
      </c>
      <c r="AV699">
        <v>0</v>
      </c>
      <c r="AW699">
        <v>0</v>
      </c>
      <c r="AX699">
        <v>0</v>
      </c>
      <c r="AY699">
        <v>0</v>
      </c>
    </row>
    <row r="700" spans="1:51" x14ac:dyDescent="0.25">
      <c r="A700">
        <v>173</v>
      </c>
      <c r="B700">
        <v>45570</v>
      </c>
      <c r="C700" t="s">
        <v>735</v>
      </c>
      <c r="D700" t="s">
        <v>96</v>
      </c>
      <c r="E700" t="s">
        <v>190</v>
      </c>
      <c r="F700" t="s">
        <v>107</v>
      </c>
      <c r="G700" t="s">
        <v>77</v>
      </c>
      <c r="H700" t="s">
        <v>78</v>
      </c>
      <c r="I700" t="s">
        <v>79</v>
      </c>
      <c r="J700" t="s">
        <v>119</v>
      </c>
      <c r="K700" t="s">
        <v>75</v>
      </c>
      <c r="L700" t="s">
        <v>76</v>
      </c>
      <c r="M700" t="s">
        <v>149</v>
      </c>
      <c r="N700" t="s">
        <v>74</v>
      </c>
      <c r="O700" t="s">
        <v>187</v>
      </c>
      <c r="P700" t="s">
        <v>71</v>
      </c>
      <c r="Q700" t="s">
        <v>71</v>
      </c>
      <c r="R700" t="s">
        <v>71</v>
      </c>
      <c r="S700">
        <v>1</v>
      </c>
      <c r="T700">
        <v>1</v>
      </c>
      <c r="U700" t="s">
        <v>72</v>
      </c>
      <c r="V700" t="s">
        <v>188</v>
      </c>
      <c r="W700">
        <v>0</v>
      </c>
      <c r="X700">
        <v>1</v>
      </c>
      <c r="Y700">
        <v>0</v>
      </c>
      <c r="Z700">
        <v>0</v>
      </c>
      <c r="AA700">
        <v>0</v>
      </c>
      <c r="AB700">
        <v>0</v>
      </c>
      <c r="AC700">
        <v>0</v>
      </c>
      <c r="AD700">
        <v>0</v>
      </c>
      <c r="AE700">
        <v>0</v>
      </c>
      <c r="AF700">
        <v>0</v>
      </c>
      <c r="AG700" t="s">
        <v>71</v>
      </c>
      <c r="AH700">
        <v>0</v>
      </c>
      <c r="AI700">
        <v>0</v>
      </c>
      <c r="AJ700">
        <v>0</v>
      </c>
      <c r="AK700">
        <v>0</v>
      </c>
      <c r="AL700" t="s">
        <v>387</v>
      </c>
      <c r="AM700" t="s">
        <v>254</v>
      </c>
      <c r="AN700" t="s">
        <v>94</v>
      </c>
      <c r="AO700" t="s">
        <v>147</v>
      </c>
      <c r="AP700">
        <v>0</v>
      </c>
      <c r="AQ700">
        <v>0</v>
      </c>
      <c r="AR700">
        <v>0</v>
      </c>
      <c r="AS700">
        <v>0</v>
      </c>
      <c r="AT700">
        <v>0</v>
      </c>
      <c r="AU700">
        <v>0</v>
      </c>
      <c r="AV700">
        <v>1</v>
      </c>
      <c r="AW700">
        <v>0</v>
      </c>
      <c r="AX700">
        <v>0</v>
      </c>
      <c r="AY700">
        <v>0</v>
      </c>
    </row>
    <row r="701" spans="1:51" x14ac:dyDescent="0.25">
      <c r="A701">
        <v>173</v>
      </c>
      <c r="B701">
        <v>45580</v>
      </c>
      <c r="C701" t="s">
        <v>735</v>
      </c>
      <c r="D701" t="s">
        <v>96</v>
      </c>
      <c r="E701" t="s">
        <v>121</v>
      </c>
      <c r="F701" t="s">
        <v>98</v>
      </c>
      <c r="G701" t="s">
        <v>77</v>
      </c>
      <c r="H701" t="s">
        <v>78</v>
      </c>
      <c r="I701" t="s">
        <v>79</v>
      </c>
      <c r="J701" t="s">
        <v>119</v>
      </c>
      <c r="K701" t="s">
        <v>75</v>
      </c>
      <c r="L701" t="s">
        <v>76</v>
      </c>
      <c r="M701" t="s">
        <v>103</v>
      </c>
      <c r="N701" t="s">
        <v>74</v>
      </c>
      <c r="O701" t="s">
        <v>187</v>
      </c>
      <c r="P701" t="s">
        <v>71</v>
      </c>
      <c r="Q701" t="s">
        <v>71</v>
      </c>
      <c r="R701" t="s">
        <v>71</v>
      </c>
      <c r="S701">
        <v>1</v>
      </c>
      <c r="T701">
        <v>0</v>
      </c>
      <c r="U701" t="s">
        <v>72</v>
      </c>
      <c r="V701" t="s">
        <v>73</v>
      </c>
      <c r="W701">
        <v>0</v>
      </c>
      <c r="X701">
        <v>1</v>
      </c>
      <c r="Y701">
        <v>1</v>
      </c>
      <c r="Z701">
        <v>25</v>
      </c>
      <c r="AA701">
        <v>1</v>
      </c>
      <c r="AB701">
        <v>25</v>
      </c>
      <c r="AC701">
        <v>1</v>
      </c>
      <c r="AD701">
        <v>25</v>
      </c>
      <c r="AE701">
        <v>0</v>
      </c>
      <c r="AF701">
        <v>0</v>
      </c>
      <c r="AG701" t="s">
        <v>71</v>
      </c>
      <c r="AH701">
        <v>0</v>
      </c>
      <c r="AI701">
        <v>0</v>
      </c>
      <c r="AJ701">
        <v>0</v>
      </c>
      <c r="AK701">
        <v>0</v>
      </c>
      <c r="AL701" t="s">
        <v>387</v>
      </c>
      <c r="AM701" t="s">
        <v>254</v>
      </c>
      <c r="AN701" t="s">
        <v>94</v>
      </c>
      <c r="AO701" t="s">
        <v>147</v>
      </c>
      <c r="AP701">
        <v>0</v>
      </c>
      <c r="AQ701">
        <v>0</v>
      </c>
      <c r="AR701">
        <v>0</v>
      </c>
      <c r="AS701">
        <v>0</v>
      </c>
      <c r="AT701">
        <v>17</v>
      </c>
      <c r="AU701">
        <v>0</v>
      </c>
      <c r="AV701">
        <v>1</v>
      </c>
      <c r="AW701">
        <v>0</v>
      </c>
      <c r="AX701">
        <v>0</v>
      </c>
      <c r="AY701">
        <v>0</v>
      </c>
    </row>
    <row r="702" spans="1:51" x14ac:dyDescent="0.25">
      <c r="A702">
        <v>173</v>
      </c>
      <c r="B702">
        <v>45590</v>
      </c>
      <c r="C702" t="s">
        <v>735</v>
      </c>
      <c r="D702" t="s">
        <v>96</v>
      </c>
      <c r="E702" t="s">
        <v>190</v>
      </c>
      <c r="F702" t="s">
        <v>107</v>
      </c>
      <c r="G702" t="s">
        <v>77</v>
      </c>
      <c r="H702" t="s">
        <v>78</v>
      </c>
      <c r="I702" t="s">
        <v>79</v>
      </c>
      <c r="J702" t="s">
        <v>119</v>
      </c>
      <c r="K702" t="s">
        <v>75</v>
      </c>
      <c r="L702" t="s">
        <v>76</v>
      </c>
      <c r="M702" t="s">
        <v>149</v>
      </c>
      <c r="N702" t="s">
        <v>74</v>
      </c>
      <c r="O702" t="s">
        <v>187</v>
      </c>
      <c r="P702" t="s">
        <v>71</v>
      </c>
      <c r="Q702" t="s">
        <v>71</v>
      </c>
      <c r="R702" t="s">
        <v>71</v>
      </c>
      <c r="S702">
        <v>1</v>
      </c>
      <c r="T702">
        <v>1</v>
      </c>
      <c r="U702" t="s">
        <v>72</v>
      </c>
      <c r="V702" t="s">
        <v>188</v>
      </c>
      <c r="W702">
        <v>0</v>
      </c>
      <c r="X702">
        <v>1</v>
      </c>
      <c r="Y702">
        <v>0</v>
      </c>
      <c r="Z702">
        <v>0</v>
      </c>
      <c r="AA702">
        <v>0</v>
      </c>
      <c r="AB702">
        <v>0</v>
      </c>
      <c r="AC702">
        <v>0</v>
      </c>
      <c r="AD702">
        <v>0</v>
      </c>
      <c r="AE702">
        <v>0</v>
      </c>
      <c r="AF702">
        <v>0</v>
      </c>
      <c r="AG702" t="s">
        <v>71</v>
      </c>
      <c r="AH702">
        <v>0</v>
      </c>
      <c r="AI702">
        <v>0</v>
      </c>
      <c r="AJ702">
        <v>0</v>
      </c>
      <c r="AK702">
        <v>0</v>
      </c>
      <c r="AL702" t="s">
        <v>255</v>
      </c>
      <c r="AM702" t="s">
        <v>93</v>
      </c>
      <c r="AN702" t="s">
        <v>94</v>
      </c>
      <c r="AO702" t="s">
        <v>147</v>
      </c>
      <c r="AP702">
        <v>0</v>
      </c>
      <c r="AQ702">
        <v>0</v>
      </c>
      <c r="AR702">
        <v>0</v>
      </c>
      <c r="AS702">
        <v>0</v>
      </c>
      <c r="AT702">
        <v>0</v>
      </c>
      <c r="AU702">
        <v>0</v>
      </c>
      <c r="AV702">
        <v>0</v>
      </c>
      <c r="AW702">
        <v>0</v>
      </c>
      <c r="AX702">
        <v>0</v>
      </c>
      <c r="AY702">
        <v>0</v>
      </c>
    </row>
    <row r="703" spans="1:51" x14ac:dyDescent="0.25">
      <c r="A703">
        <v>173</v>
      </c>
      <c r="B703">
        <v>45600</v>
      </c>
      <c r="C703" t="s">
        <v>735</v>
      </c>
      <c r="D703" t="s">
        <v>96</v>
      </c>
      <c r="E703" t="s">
        <v>121</v>
      </c>
      <c r="F703" t="s">
        <v>107</v>
      </c>
      <c r="G703" t="s">
        <v>77</v>
      </c>
      <c r="H703" t="s">
        <v>78</v>
      </c>
      <c r="I703" t="s">
        <v>79</v>
      </c>
      <c r="J703" t="s">
        <v>119</v>
      </c>
      <c r="K703" t="s">
        <v>75</v>
      </c>
      <c r="L703" t="s">
        <v>76</v>
      </c>
      <c r="M703" t="s">
        <v>149</v>
      </c>
      <c r="N703" t="s">
        <v>74</v>
      </c>
      <c r="O703" t="s">
        <v>187</v>
      </c>
      <c r="P703" t="s">
        <v>71</v>
      </c>
      <c r="Q703" t="s">
        <v>71</v>
      </c>
      <c r="R703" t="s">
        <v>71</v>
      </c>
      <c r="S703">
        <v>1</v>
      </c>
      <c r="T703">
        <v>1</v>
      </c>
      <c r="U703" t="s">
        <v>72</v>
      </c>
      <c r="V703" t="s">
        <v>188</v>
      </c>
      <c r="W703">
        <v>0</v>
      </c>
      <c r="X703">
        <v>1</v>
      </c>
      <c r="Y703">
        <v>0</v>
      </c>
      <c r="Z703">
        <v>0</v>
      </c>
      <c r="AA703">
        <v>0</v>
      </c>
      <c r="AB703">
        <v>0</v>
      </c>
      <c r="AC703">
        <v>0</v>
      </c>
      <c r="AD703">
        <v>0</v>
      </c>
      <c r="AE703">
        <v>0</v>
      </c>
      <c r="AF703">
        <v>0</v>
      </c>
      <c r="AG703" t="s">
        <v>71</v>
      </c>
      <c r="AH703">
        <v>0</v>
      </c>
      <c r="AI703">
        <v>0</v>
      </c>
      <c r="AJ703">
        <v>0</v>
      </c>
      <c r="AK703">
        <v>0</v>
      </c>
      <c r="AL703" t="s">
        <v>255</v>
      </c>
      <c r="AM703" t="s">
        <v>93</v>
      </c>
      <c r="AN703" t="s">
        <v>94</v>
      </c>
      <c r="AO703" t="s">
        <v>147</v>
      </c>
      <c r="AP703">
        <v>0</v>
      </c>
      <c r="AQ703">
        <v>0</v>
      </c>
      <c r="AR703">
        <v>0</v>
      </c>
      <c r="AS703">
        <v>0</v>
      </c>
      <c r="AT703">
        <v>0</v>
      </c>
      <c r="AU703">
        <v>0</v>
      </c>
      <c r="AV703">
        <v>0</v>
      </c>
      <c r="AW703">
        <v>0</v>
      </c>
      <c r="AX703">
        <v>0</v>
      </c>
      <c r="AY703">
        <v>0</v>
      </c>
    </row>
    <row r="704" spans="1:51" x14ac:dyDescent="0.25">
      <c r="A704">
        <v>173</v>
      </c>
      <c r="B704">
        <v>45610</v>
      </c>
      <c r="C704" t="s">
        <v>735</v>
      </c>
      <c r="D704" t="s">
        <v>96</v>
      </c>
      <c r="E704" t="s">
        <v>121</v>
      </c>
      <c r="F704" t="s">
        <v>107</v>
      </c>
      <c r="G704" t="s">
        <v>77</v>
      </c>
      <c r="H704" t="s">
        <v>78</v>
      </c>
      <c r="I704" t="s">
        <v>79</v>
      </c>
      <c r="J704" t="s">
        <v>119</v>
      </c>
      <c r="K704" t="s">
        <v>75</v>
      </c>
      <c r="L704" t="s">
        <v>76</v>
      </c>
      <c r="M704" t="s">
        <v>149</v>
      </c>
      <c r="N704" t="s">
        <v>74</v>
      </c>
      <c r="O704" t="s">
        <v>187</v>
      </c>
      <c r="P704" t="s">
        <v>71</v>
      </c>
      <c r="Q704" t="s">
        <v>71</v>
      </c>
      <c r="R704" t="s">
        <v>71</v>
      </c>
      <c r="S704">
        <v>1</v>
      </c>
      <c r="T704">
        <v>1</v>
      </c>
      <c r="U704" t="s">
        <v>72</v>
      </c>
      <c r="V704" t="s">
        <v>188</v>
      </c>
      <c r="W704">
        <v>0</v>
      </c>
      <c r="X704">
        <v>1</v>
      </c>
      <c r="Y704">
        <v>0</v>
      </c>
      <c r="Z704">
        <v>0</v>
      </c>
      <c r="AA704">
        <v>0</v>
      </c>
      <c r="AB704">
        <v>0</v>
      </c>
      <c r="AC704">
        <v>0</v>
      </c>
      <c r="AD704">
        <v>0</v>
      </c>
      <c r="AE704">
        <v>0</v>
      </c>
      <c r="AF704">
        <v>0</v>
      </c>
      <c r="AG704" t="s">
        <v>71</v>
      </c>
      <c r="AH704">
        <v>0</v>
      </c>
      <c r="AI704">
        <v>0</v>
      </c>
      <c r="AJ704">
        <v>0</v>
      </c>
      <c r="AK704">
        <v>0</v>
      </c>
      <c r="AL704" t="s">
        <v>255</v>
      </c>
      <c r="AM704" t="s">
        <v>93</v>
      </c>
      <c r="AN704" t="s">
        <v>94</v>
      </c>
      <c r="AO704" t="s">
        <v>147</v>
      </c>
      <c r="AP704">
        <v>0</v>
      </c>
      <c r="AQ704">
        <v>0</v>
      </c>
      <c r="AR704">
        <v>0</v>
      </c>
      <c r="AS704">
        <v>0</v>
      </c>
      <c r="AT704">
        <v>0</v>
      </c>
      <c r="AU704">
        <v>0</v>
      </c>
      <c r="AV704">
        <v>0</v>
      </c>
      <c r="AW704">
        <v>0</v>
      </c>
      <c r="AX704">
        <v>0</v>
      </c>
      <c r="AY704">
        <v>0</v>
      </c>
    </row>
    <row r="705" spans="1:51" x14ac:dyDescent="0.25">
      <c r="A705">
        <v>173</v>
      </c>
      <c r="B705">
        <v>47580</v>
      </c>
      <c r="C705" t="s">
        <v>735</v>
      </c>
      <c r="D705" t="s">
        <v>96</v>
      </c>
      <c r="E705" t="s">
        <v>121</v>
      </c>
      <c r="F705" t="s">
        <v>107</v>
      </c>
      <c r="G705" t="s">
        <v>77</v>
      </c>
      <c r="H705" t="s">
        <v>78</v>
      </c>
      <c r="I705" t="s">
        <v>79</v>
      </c>
      <c r="J705" t="s">
        <v>119</v>
      </c>
      <c r="K705" t="s">
        <v>75</v>
      </c>
      <c r="L705" t="s">
        <v>76</v>
      </c>
      <c r="M705" t="s">
        <v>149</v>
      </c>
      <c r="N705" t="s">
        <v>74</v>
      </c>
      <c r="O705" t="s">
        <v>187</v>
      </c>
      <c r="P705" t="s">
        <v>71</v>
      </c>
      <c r="Q705" t="s">
        <v>71</v>
      </c>
      <c r="R705" t="s">
        <v>71</v>
      </c>
      <c r="S705">
        <v>1</v>
      </c>
      <c r="T705">
        <v>1</v>
      </c>
      <c r="U705" t="s">
        <v>72</v>
      </c>
      <c r="V705" t="s">
        <v>188</v>
      </c>
      <c r="W705">
        <v>0</v>
      </c>
      <c r="X705">
        <v>1</v>
      </c>
      <c r="Y705">
        <v>0</v>
      </c>
      <c r="Z705">
        <v>0</v>
      </c>
      <c r="AA705">
        <v>0</v>
      </c>
      <c r="AB705">
        <v>0</v>
      </c>
      <c r="AC705">
        <v>0</v>
      </c>
      <c r="AD705">
        <v>0</v>
      </c>
      <c r="AE705">
        <v>0</v>
      </c>
      <c r="AF705">
        <v>0</v>
      </c>
      <c r="AG705" t="s">
        <v>71</v>
      </c>
      <c r="AH705">
        <v>0</v>
      </c>
      <c r="AI705">
        <v>0</v>
      </c>
      <c r="AJ705">
        <v>0</v>
      </c>
      <c r="AK705">
        <v>0</v>
      </c>
      <c r="AL705" t="s">
        <v>255</v>
      </c>
      <c r="AM705" t="s">
        <v>93</v>
      </c>
      <c r="AN705" t="s">
        <v>94</v>
      </c>
      <c r="AO705" t="s">
        <v>147</v>
      </c>
      <c r="AP705">
        <v>0</v>
      </c>
      <c r="AQ705">
        <v>0</v>
      </c>
      <c r="AR705">
        <v>0</v>
      </c>
      <c r="AS705">
        <v>0</v>
      </c>
      <c r="AT705">
        <v>0</v>
      </c>
      <c r="AU705">
        <v>0</v>
      </c>
      <c r="AV705">
        <v>0</v>
      </c>
      <c r="AW705">
        <v>0</v>
      </c>
      <c r="AX705">
        <v>0</v>
      </c>
      <c r="AY705">
        <v>0</v>
      </c>
    </row>
    <row r="706" spans="1:51" x14ac:dyDescent="0.25">
      <c r="A706">
        <v>173</v>
      </c>
      <c r="B706">
        <v>47590</v>
      </c>
      <c r="C706" t="s">
        <v>735</v>
      </c>
      <c r="D706" t="s">
        <v>96</v>
      </c>
      <c r="E706" t="s">
        <v>121</v>
      </c>
      <c r="F706" t="s">
        <v>107</v>
      </c>
      <c r="G706" t="s">
        <v>77</v>
      </c>
      <c r="H706" t="s">
        <v>78</v>
      </c>
      <c r="I706" t="s">
        <v>79</v>
      </c>
      <c r="J706" t="s">
        <v>119</v>
      </c>
      <c r="K706" t="s">
        <v>75</v>
      </c>
      <c r="L706" t="s">
        <v>76</v>
      </c>
      <c r="M706" t="s">
        <v>149</v>
      </c>
      <c r="N706" t="s">
        <v>74</v>
      </c>
      <c r="O706" t="s">
        <v>187</v>
      </c>
      <c r="P706" t="s">
        <v>71</v>
      </c>
      <c r="Q706" t="s">
        <v>71</v>
      </c>
      <c r="R706" t="s">
        <v>71</v>
      </c>
      <c r="S706">
        <v>1</v>
      </c>
      <c r="T706">
        <v>1</v>
      </c>
      <c r="U706" t="s">
        <v>72</v>
      </c>
      <c r="V706" t="s">
        <v>188</v>
      </c>
      <c r="W706">
        <v>0</v>
      </c>
      <c r="X706">
        <v>1</v>
      </c>
      <c r="Y706">
        <v>0</v>
      </c>
      <c r="Z706">
        <v>0</v>
      </c>
      <c r="AA706">
        <v>0</v>
      </c>
      <c r="AB706">
        <v>0</v>
      </c>
      <c r="AC706">
        <v>0</v>
      </c>
      <c r="AD706">
        <v>0</v>
      </c>
      <c r="AE706">
        <v>0</v>
      </c>
      <c r="AF706">
        <v>0</v>
      </c>
      <c r="AG706" t="s">
        <v>71</v>
      </c>
      <c r="AH706">
        <v>0</v>
      </c>
      <c r="AI706">
        <v>0</v>
      </c>
      <c r="AJ706">
        <v>0</v>
      </c>
      <c r="AK706">
        <v>0</v>
      </c>
      <c r="AL706" t="s">
        <v>255</v>
      </c>
      <c r="AM706" t="s">
        <v>93</v>
      </c>
      <c r="AN706" t="s">
        <v>94</v>
      </c>
      <c r="AO706" t="s">
        <v>147</v>
      </c>
      <c r="AP706">
        <v>0</v>
      </c>
      <c r="AQ706">
        <v>0</v>
      </c>
      <c r="AR706">
        <v>0</v>
      </c>
      <c r="AS706">
        <v>0</v>
      </c>
      <c r="AT706">
        <v>0</v>
      </c>
      <c r="AU706">
        <v>0</v>
      </c>
      <c r="AV706">
        <v>0</v>
      </c>
      <c r="AW706">
        <v>0</v>
      </c>
      <c r="AX706">
        <v>0</v>
      </c>
      <c r="AY706">
        <v>0</v>
      </c>
    </row>
    <row r="707" spans="1:51" x14ac:dyDescent="0.25">
      <c r="A707">
        <v>173</v>
      </c>
      <c r="B707">
        <v>47600</v>
      </c>
      <c r="C707" t="s">
        <v>735</v>
      </c>
      <c r="D707" t="s">
        <v>96</v>
      </c>
      <c r="E707" t="s">
        <v>121</v>
      </c>
      <c r="F707" t="s">
        <v>107</v>
      </c>
      <c r="G707" t="s">
        <v>77</v>
      </c>
      <c r="H707" t="s">
        <v>78</v>
      </c>
      <c r="I707" t="s">
        <v>79</v>
      </c>
      <c r="J707" t="s">
        <v>119</v>
      </c>
      <c r="K707" t="s">
        <v>75</v>
      </c>
      <c r="L707" t="s">
        <v>76</v>
      </c>
      <c r="M707" t="s">
        <v>149</v>
      </c>
      <c r="N707" t="s">
        <v>74</v>
      </c>
      <c r="O707" t="s">
        <v>104</v>
      </c>
      <c r="P707" t="s">
        <v>71</v>
      </c>
      <c r="Q707" t="s">
        <v>71</v>
      </c>
      <c r="R707" t="s">
        <v>71</v>
      </c>
      <c r="S707">
        <v>1</v>
      </c>
      <c r="T707">
        <v>1</v>
      </c>
      <c r="U707" t="s">
        <v>72</v>
      </c>
      <c r="V707" t="s">
        <v>188</v>
      </c>
      <c r="W707">
        <v>0</v>
      </c>
      <c r="X707">
        <v>1</v>
      </c>
      <c r="Y707">
        <v>0</v>
      </c>
      <c r="Z707">
        <v>0</v>
      </c>
      <c r="AA707">
        <v>0</v>
      </c>
      <c r="AB707">
        <v>0</v>
      </c>
      <c r="AC707">
        <v>0</v>
      </c>
      <c r="AD707">
        <v>0</v>
      </c>
      <c r="AE707">
        <v>0</v>
      </c>
      <c r="AF707">
        <v>0</v>
      </c>
      <c r="AG707" t="s">
        <v>71</v>
      </c>
      <c r="AH707">
        <v>0</v>
      </c>
      <c r="AI707">
        <v>0</v>
      </c>
      <c r="AJ707">
        <v>0</v>
      </c>
      <c r="AK707">
        <v>0</v>
      </c>
      <c r="AL707" t="s">
        <v>176</v>
      </c>
      <c r="AM707" t="s">
        <v>254</v>
      </c>
      <c r="AN707" t="s">
        <v>148</v>
      </c>
      <c r="AO707" t="s">
        <v>147</v>
      </c>
      <c r="AP707">
        <v>0</v>
      </c>
      <c r="AQ707">
        <v>0</v>
      </c>
      <c r="AR707">
        <v>0</v>
      </c>
      <c r="AS707">
        <v>0</v>
      </c>
      <c r="AT707">
        <v>0</v>
      </c>
      <c r="AU707">
        <v>0</v>
      </c>
      <c r="AV707">
        <v>1</v>
      </c>
      <c r="AW707">
        <v>0</v>
      </c>
      <c r="AX707">
        <v>0</v>
      </c>
      <c r="AY707">
        <v>0</v>
      </c>
    </row>
    <row r="708" spans="1:51" x14ac:dyDescent="0.25">
      <c r="A708">
        <v>173</v>
      </c>
      <c r="B708">
        <v>47610</v>
      </c>
      <c r="C708" t="s">
        <v>735</v>
      </c>
      <c r="D708" t="s">
        <v>96</v>
      </c>
      <c r="E708" t="s">
        <v>121</v>
      </c>
      <c r="F708" t="s">
        <v>107</v>
      </c>
      <c r="G708" t="s">
        <v>101</v>
      </c>
      <c r="H708" t="s">
        <v>78</v>
      </c>
      <c r="I708" t="s">
        <v>79</v>
      </c>
      <c r="J708" t="s">
        <v>119</v>
      </c>
      <c r="K708" t="s">
        <v>75</v>
      </c>
      <c r="L708" t="s">
        <v>76</v>
      </c>
      <c r="M708" t="s">
        <v>149</v>
      </c>
      <c r="N708" t="s">
        <v>74</v>
      </c>
      <c r="O708" t="s">
        <v>187</v>
      </c>
      <c r="P708" t="s">
        <v>71</v>
      </c>
      <c r="Q708" t="s">
        <v>71</v>
      </c>
      <c r="R708" t="s">
        <v>71</v>
      </c>
      <c r="S708">
        <v>1</v>
      </c>
      <c r="T708">
        <v>1</v>
      </c>
      <c r="U708" t="s">
        <v>72</v>
      </c>
      <c r="V708" t="s">
        <v>188</v>
      </c>
      <c r="W708">
        <v>0</v>
      </c>
      <c r="X708">
        <v>1</v>
      </c>
      <c r="Y708">
        <v>0</v>
      </c>
      <c r="Z708">
        <v>0</v>
      </c>
      <c r="AA708">
        <v>0</v>
      </c>
      <c r="AB708">
        <v>0</v>
      </c>
      <c r="AC708">
        <v>0</v>
      </c>
      <c r="AD708">
        <v>0</v>
      </c>
      <c r="AE708">
        <v>0</v>
      </c>
      <c r="AF708">
        <v>0</v>
      </c>
      <c r="AG708" t="s">
        <v>71</v>
      </c>
      <c r="AH708">
        <v>0</v>
      </c>
      <c r="AI708">
        <v>0</v>
      </c>
      <c r="AJ708">
        <v>0</v>
      </c>
      <c r="AK708">
        <v>0</v>
      </c>
      <c r="AL708" t="s">
        <v>176</v>
      </c>
      <c r="AM708" t="s">
        <v>254</v>
      </c>
      <c r="AN708" t="s">
        <v>148</v>
      </c>
      <c r="AO708" t="s">
        <v>147</v>
      </c>
      <c r="AP708">
        <v>0</v>
      </c>
      <c r="AQ708">
        <v>0</v>
      </c>
      <c r="AR708">
        <v>0</v>
      </c>
      <c r="AS708">
        <v>0</v>
      </c>
      <c r="AT708">
        <v>2</v>
      </c>
      <c r="AU708">
        <v>0</v>
      </c>
      <c r="AV708">
        <v>1</v>
      </c>
      <c r="AW708">
        <v>0</v>
      </c>
      <c r="AX708">
        <v>0</v>
      </c>
      <c r="AY708">
        <v>0</v>
      </c>
    </row>
    <row r="709" spans="1:51" x14ac:dyDescent="0.25">
      <c r="A709">
        <v>173</v>
      </c>
      <c r="B709">
        <v>47620</v>
      </c>
      <c r="C709" t="s">
        <v>735</v>
      </c>
      <c r="D709" t="s">
        <v>96</v>
      </c>
      <c r="E709" t="s">
        <v>121</v>
      </c>
      <c r="F709" t="s">
        <v>107</v>
      </c>
      <c r="G709" t="s">
        <v>101</v>
      </c>
      <c r="H709" t="s">
        <v>78</v>
      </c>
      <c r="I709" t="s">
        <v>79</v>
      </c>
      <c r="J709" t="s">
        <v>119</v>
      </c>
      <c r="K709" t="s">
        <v>75</v>
      </c>
      <c r="L709" t="s">
        <v>76</v>
      </c>
      <c r="M709" t="s">
        <v>149</v>
      </c>
      <c r="N709" t="s">
        <v>74</v>
      </c>
      <c r="O709" t="s">
        <v>187</v>
      </c>
      <c r="P709" t="s">
        <v>71</v>
      </c>
      <c r="Q709" t="s">
        <v>71</v>
      </c>
      <c r="R709" t="s">
        <v>71</v>
      </c>
      <c r="S709">
        <v>1</v>
      </c>
      <c r="T709">
        <v>1</v>
      </c>
      <c r="U709" t="s">
        <v>72</v>
      </c>
      <c r="V709" t="s">
        <v>188</v>
      </c>
      <c r="W709">
        <v>0</v>
      </c>
      <c r="X709">
        <v>1</v>
      </c>
      <c r="Y709">
        <v>0</v>
      </c>
      <c r="Z709">
        <v>0</v>
      </c>
      <c r="AA709">
        <v>0</v>
      </c>
      <c r="AB709">
        <v>0</v>
      </c>
      <c r="AC709">
        <v>0</v>
      </c>
      <c r="AD709">
        <v>0</v>
      </c>
      <c r="AE709">
        <v>0</v>
      </c>
      <c r="AF709">
        <v>0</v>
      </c>
      <c r="AG709" t="s">
        <v>71</v>
      </c>
      <c r="AH709">
        <v>0</v>
      </c>
      <c r="AI709">
        <v>0</v>
      </c>
      <c r="AJ709">
        <v>0</v>
      </c>
      <c r="AK709">
        <v>0</v>
      </c>
      <c r="AL709" t="s">
        <v>176</v>
      </c>
      <c r="AM709" t="s">
        <v>254</v>
      </c>
      <c r="AN709" t="s">
        <v>148</v>
      </c>
      <c r="AO709" t="s">
        <v>147</v>
      </c>
      <c r="AP709">
        <v>0</v>
      </c>
      <c r="AQ709">
        <v>0</v>
      </c>
      <c r="AR709">
        <v>0</v>
      </c>
      <c r="AS709">
        <v>0</v>
      </c>
      <c r="AT709">
        <v>2</v>
      </c>
      <c r="AU709">
        <v>0</v>
      </c>
      <c r="AV709">
        <v>1</v>
      </c>
      <c r="AW709">
        <v>0</v>
      </c>
      <c r="AX709">
        <v>0</v>
      </c>
      <c r="AY709">
        <v>0</v>
      </c>
    </row>
    <row r="710" spans="1:51" x14ac:dyDescent="0.25">
      <c r="A710">
        <v>173</v>
      </c>
      <c r="B710">
        <v>50580</v>
      </c>
      <c r="C710" t="s">
        <v>735</v>
      </c>
      <c r="D710" t="s">
        <v>96</v>
      </c>
      <c r="E710" t="s">
        <v>121</v>
      </c>
      <c r="F710" t="s">
        <v>107</v>
      </c>
      <c r="G710" t="s">
        <v>101</v>
      </c>
      <c r="H710" t="s">
        <v>78</v>
      </c>
      <c r="I710" t="s">
        <v>79</v>
      </c>
      <c r="J710" t="s">
        <v>119</v>
      </c>
      <c r="K710" t="s">
        <v>75</v>
      </c>
      <c r="L710" t="s">
        <v>76</v>
      </c>
      <c r="M710" t="s">
        <v>149</v>
      </c>
      <c r="N710" t="s">
        <v>74</v>
      </c>
      <c r="O710" t="s">
        <v>187</v>
      </c>
      <c r="P710" t="s">
        <v>71</v>
      </c>
      <c r="Q710" t="s">
        <v>71</v>
      </c>
      <c r="R710" t="s">
        <v>71</v>
      </c>
      <c r="S710">
        <v>1</v>
      </c>
      <c r="T710">
        <v>1</v>
      </c>
      <c r="U710" t="s">
        <v>72</v>
      </c>
      <c r="V710" t="s">
        <v>188</v>
      </c>
      <c r="W710">
        <v>0</v>
      </c>
      <c r="X710">
        <v>1</v>
      </c>
      <c r="Y710">
        <v>0</v>
      </c>
      <c r="Z710">
        <v>0</v>
      </c>
      <c r="AA710">
        <v>0</v>
      </c>
      <c r="AB710">
        <v>0</v>
      </c>
      <c r="AC710">
        <v>0</v>
      </c>
      <c r="AD710">
        <v>0</v>
      </c>
      <c r="AE710">
        <v>0</v>
      </c>
      <c r="AF710">
        <v>0</v>
      </c>
      <c r="AG710" t="s">
        <v>71</v>
      </c>
      <c r="AH710">
        <v>0</v>
      </c>
      <c r="AI710">
        <v>0</v>
      </c>
      <c r="AJ710">
        <v>0</v>
      </c>
      <c r="AK710">
        <v>0</v>
      </c>
      <c r="AL710" t="s">
        <v>176</v>
      </c>
      <c r="AM710" t="s">
        <v>254</v>
      </c>
      <c r="AN710" t="s">
        <v>148</v>
      </c>
      <c r="AO710" t="s">
        <v>147</v>
      </c>
      <c r="AP710">
        <v>0</v>
      </c>
      <c r="AQ710">
        <v>0</v>
      </c>
      <c r="AR710">
        <v>0</v>
      </c>
      <c r="AS710">
        <v>0</v>
      </c>
      <c r="AT710">
        <v>2</v>
      </c>
      <c r="AU710">
        <v>0</v>
      </c>
      <c r="AV710">
        <v>1</v>
      </c>
      <c r="AW710">
        <v>0</v>
      </c>
      <c r="AX710">
        <v>0</v>
      </c>
      <c r="AY710">
        <v>0</v>
      </c>
    </row>
    <row r="711" spans="1:51" x14ac:dyDescent="0.25">
      <c r="A711">
        <v>173</v>
      </c>
      <c r="B711">
        <v>50590</v>
      </c>
      <c r="C711" t="s">
        <v>735</v>
      </c>
      <c r="D711" t="s">
        <v>96</v>
      </c>
      <c r="E711" t="s">
        <v>121</v>
      </c>
      <c r="F711" t="s">
        <v>107</v>
      </c>
      <c r="G711" t="s">
        <v>101</v>
      </c>
      <c r="H711" t="s">
        <v>78</v>
      </c>
      <c r="I711" t="s">
        <v>79</v>
      </c>
      <c r="J711" t="s">
        <v>119</v>
      </c>
      <c r="K711" t="s">
        <v>75</v>
      </c>
      <c r="L711" t="s">
        <v>76</v>
      </c>
      <c r="M711" t="s">
        <v>149</v>
      </c>
      <c r="N711" t="s">
        <v>74</v>
      </c>
      <c r="O711" t="s">
        <v>187</v>
      </c>
      <c r="P711" t="s">
        <v>71</v>
      </c>
      <c r="Q711" t="s">
        <v>71</v>
      </c>
      <c r="R711" t="s">
        <v>71</v>
      </c>
      <c r="S711">
        <v>1</v>
      </c>
      <c r="T711">
        <v>1</v>
      </c>
      <c r="U711" t="s">
        <v>72</v>
      </c>
      <c r="V711" t="s">
        <v>188</v>
      </c>
      <c r="W711">
        <v>0</v>
      </c>
      <c r="X711">
        <v>1</v>
      </c>
      <c r="Y711">
        <v>0</v>
      </c>
      <c r="Z711">
        <v>0</v>
      </c>
      <c r="AA711">
        <v>0</v>
      </c>
      <c r="AB711">
        <v>0</v>
      </c>
      <c r="AC711">
        <v>0</v>
      </c>
      <c r="AD711">
        <v>0</v>
      </c>
      <c r="AE711">
        <v>0</v>
      </c>
      <c r="AF711">
        <v>0</v>
      </c>
      <c r="AG711" t="s">
        <v>71</v>
      </c>
      <c r="AH711">
        <v>0</v>
      </c>
      <c r="AI711">
        <v>0</v>
      </c>
      <c r="AJ711">
        <v>0</v>
      </c>
      <c r="AK711">
        <v>0</v>
      </c>
      <c r="AL711" t="s">
        <v>176</v>
      </c>
      <c r="AM711" t="s">
        <v>254</v>
      </c>
      <c r="AN711" t="s">
        <v>148</v>
      </c>
      <c r="AO711" t="s">
        <v>147</v>
      </c>
      <c r="AP711">
        <v>0</v>
      </c>
      <c r="AQ711">
        <v>0</v>
      </c>
      <c r="AR711">
        <v>0</v>
      </c>
      <c r="AS711">
        <v>0</v>
      </c>
      <c r="AT711">
        <v>2</v>
      </c>
      <c r="AU711">
        <v>0</v>
      </c>
      <c r="AV711">
        <v>1</v>
      </c>
      <c r="AW711">
        <v>0</v>
      </c>
      <c r="AX711">
        <v>0</v>
      </c>
      <c r="AY711">
        <v>0</v>
      </c>
    </row>
    <row r="712" spans="1:51" x14ac:dyDescent="0.25">
      <c r="A712">
        <v>173</v>
      </c>
      <c r="B712">
        <v>50600</v>
      </c>
      <c r="C712" t="s">
        <v>735</v>
      </c>
      <c r="D712" t="s">
        <v>96</v>
      </c>
      <c r="E712" t="s">
        <v>121</v>
      </c>
      <c r="F712" t="s">
        <v>107</v>
      </c>
      <c r="G712" t="s">
        <v>101</v>
      </c>
      <c r="H712" t="s">
        <v>78</v>
      </c>
      <c r="I712" t="s">
        <v>79</v>
      </c>
      <c r="J712" t="s">
        <v>119</v>
      </c>
      <c r="K712" t="s">
        <v>75</v>
      </c>
      <c r="L712" t="s">
        <v>76</v>
      </c>
      <c r="M712" t="s">
        <v>149</v>
      </c>
      <c r="N712" t="s">
        <v>74</v>
      </c>
      <c r="O712" t="s">
        <v>187</v>
      </c>
      <c r="P712" t="s">
        <v>71</v>
      </c>
      <c r="Q712" t="s">
        <v>71</v>
      </c>
      <c r="R712" t="s">
        <v>71</v>
      </c>
      <c r="S712">
        <v>1</v>
      </c>
      <c r="T712">
        <v>1</v>
      </c>
      <c r="U712" t="s">
        <v>72</v>
      </c>
      <c r="V712" t="s">
        <v>188</v>
      </c>
      <c r="W712">
        <v>0</v>
      </c>
      <c r="X712">
        <v>1</v>
      </c>
      <c r="Y712">
        <v>0</v>
      </c>
      <c r="Z712">
        <v>0</v>
      </c>
      <c r="AA712">
        <v>0</v>
      </c>
      <c r="AB712">
        <v>0</v>
      </c>
      <c r="AC712">
        <v>0</v>
      </c>
      <c r="AD712">
        <v>0</v>
      </c>
      <c r="AE712">
        <v>0</v>
      </c>
      <c r="AF712">
        <v>0</v>
      </c>
      <c r="AG712" t="s">
        <v>71</v>
      </c>
      <c r="AH712">
        <v>0</v>
      </c>
      <c r="AI712">
        <v>0</v>
      </c>
      <c r="AJ712">
        <v>0</v>
      </c>
      <c r="AK712">
        <v>0</v>
      </c>
      <c r="AL712" t="s">
        <v>176</v>
      </c>
      <c r="AM712" t="s">
        <v>254</v>
      </c>
      <c r="AN712" t="s">
        <v>148</v>
      </c>
      <c r="AO712" t="s">
        <v>147</v>
      </c>
      <c r="AP712">
        <v>0</v>
      </c>
      <c r="AQ712">
        <v>0</v>
      </c>
      <c r="AR712">
        <v>0</v>
      </c>
      <c r="AS712">
        <v>0</v>
      </c>
      <c r="AT712">
        <v>2</v>
      </c>
      <c r="AU712">
        <v>0</v>
      </c>
      <c r="AV712">
        <v>0</v>
      </c>
      <c r="AW712">
        <v>0</v>
      </c>
      <c r="AX712">
        <v>0</v>
      </c>
      <c r="AY712">
        <v>0</v>
      </c>
    </row>
    <row r="713" spans="1:51" x14ac:dyDescent="0.25">
      <c r="A713">
        <v>173</v>
      </c>
      <c r="B713">
        <v>50610</v>
      </c>
      <c r="C713" t="s">
        <v>735</v>
      </c>
      <c r="D713" t="s">
        <v>96</v>
      </c>
      <c r="E713" t="s">
        <v>100</v>
      </c>
      <c r="F713" t="s">
        <v>107</v>
      </c>
      <c r="G713" t="s">
        <v>77</v>
      </c>
      <c r="H713" t="s">
        <v>78</v>
      </c>
      <c r="I713" t="s">
        <v>79</v>
      </c>
      <c r="J713" t="s">
        <v>70</v>
      </c>
      <c r="K713" t="s">
        <v>75</v>
      </c>
      <c r="L713" t="s">
        <v>76</v>
      </c>
      <c r="M713" t="s">
        <v>103</v>
      </c>
      <c r="N713" t="s">
        <v>74</v>
      </c>
      <c r="O713" t="s">
        <v>187</v>
      </c>
      <c r="P713" t="s">
        <v>71</v>
      </c>
      <c r="Q713" t="s">
        <v>110</v>
      </c>
      <c r="R713" t="s">
        <v>71</v>
      </c>
      <c r="S713">
        <v>1</v>
      </c>
      <c r="T713">
        <v>1</v>
      </c>
      <c r="U713" t="s">
        <v>72</v>
      </c>
      <c r="V713" t="s">
        <v>192</v>
      </c>
      <c r="W713">
        <v>0</v>
      </c>
      <c r="X713">
        <v>1</v>
      </c>
      <c r="Y713">
        <v>0</v>
      </c>
      <c r="Z713">
        <v>0</v>
      </c>
      <c r="AA713">
        <v>0</v>
      </c>
      <c r="AB713">
        <v>0</v>
      </c>
      <c r="AC713">
        <v>0</v>
      </c>
      <c r="AD713">
        <v>0</v>
      </c>
      <c r="AE713">
        <v>0</v>
      </c>
      <c r="AF713">
        <v>0</v>
      </c>
      <c r="AG713" t="s">
        <v>71</v>
      </c>
      <c r="AH713">
        <v>0</v>
      </c>
      <c r="AI713">
        <v>0</v>
      </c>
      <c r="AJ713">
        <v>0</v>
      </c>
      <c r="AK713">
        <v>0</v>
      </c>
      <c r="AL713" t="s">
        <v>438</v>
      </c>
      <c r="AM713" t="s">
        <v>491</v>
      </c>
      <c r="AN713" t="s">
        <v>94</v>
      </c>
      <c r="AO713" t="s">
        <v>147</v>
      </c>
      <c r="AP713">
        <v>0</v>
      </c>
      <c r="AQ713">
        <v>0</v>
      </c>
      <c r="AR713">
        <v>0</v>
      </c>
      <c r="AS713">
        <v>0</v>
      </c>
      <c r="AT713">
        <v>0</v>
      </c>
      <c r="AU713">
        <v>0</v>
      </c>
      <c r="AV713">
        <v>0</v>
      </c>
      <c r="AW713">
        <v>0</v>
      </c>
      <c r="AX713">
        <v>0</v>
      </c>
      <c r="AY713">
        <v>0</v>
      </c>
    </row>
    <row r="714" spans="1:51" x14ac:dyDescent="0.25">
      <c r="A714">
        <v>173</v>
      </c>
      <c r="B714">
        <v>50620</v>
      </c>
      <c r="C714" t="s">
        <v>735</v>
      </c>
      <c r="D714" t="s">
        <v>96</v>
      </c>
      <c r="E714" t="s">
        <v>100</v>
      </c>
      <c r="F714" t="s">
        <v>98</v>
      </c>
      <c r="G714" t="s">
        <v>77</v>
      </c>
      <c r="H714" t="s">
        <v>78</v>
      </c>
      <c r="I714" t="s">
        <v>79</v>
      </c>
      <c r="J714" t="s">
        <v>70</v>
      </c>
      <c r="K714" t="s">
        <v>75</v>
      </c>
      <c r="L714" t="s">
        <v>76</v>
      </c>
      <c r="M714" t="s">
        <v>103</v>
      </c>
      <c r="N714" t="s">
        <v>74</v>
      </c>
      <c r="O714" t="s">
        <v>187</v>
      </c>
      <c r="P714" t="s">
        <v>71</v>
      </c>
      <c r="Q714" t="s">
        <v>71</v>
      </c>
      <c r="R714" t="s">
        <v>71</v>
      </c>
      <c r="S714">
        <v>1</v>
      </c>
      <c r="T714">
        <v>1</v>
      </c>
      <c r="U714" t="s">
        <v>283</v>
      </c>
      <c r="V714" t="s">
        <v>192</v>
      </c>
      <c r="W714">
        <v>0</v>
      </c>
      <c r="X714">
        <v>1</v>
      </c>
      <c r="Y714">
        <v>0</v>
      </c>
      <c r="Z714">
        <v>0</v>
      </c>
      <c r="AA714">
        <v>0</v>
      </c>
      <c r="AB714">
        <v>0</v>
      </c>
      <c r="AC714">
        <v>0</v>
      </c>
      <c r="AD714">
        <v>0</v>
      </c>
      <c r="AE714">
        <v>0</v>
      </c>
      <c r="AF714">
        <v>0</v>
      </c>
      <c r="AG714" t="s">
        <v>71</v>
      </c>
      <c r="AH714">
        <v>0</v>
      </c>
      <c r="AI714">
        <v>0</v>
      </c>
      <c r="AJ714">
        <v>0</v>
      </c>
      <c r="AK714">
        <v>0</v>
      </c>
      <c r="AL714" t="s">
        <v>99</v>
      </c>
      <c r="AM714" t="s">
        <v>93</v>
      </c>
      <c r="AN714" t="s">
        <v>94</v>
      </c>
      <c r="AO714" t="s">
        <v>147</v>
      </c>
      <c r="AP714">
        <v>0</v>
      </c>
      <c r="AQ714">
        <v>0</v>
      </c>
      <c r="AR714">
        <v>0</v>
      </c>
      <c r="AS714">
        <v>0</v>
      </c>
      <c r="AT714">
        <v>0</v>
      </c>
      <c r="AU714">
        <v>0</v>
      </c>
      <c r="AV714">
        <v>0</v>
      </c>
      <c r="AW714">
        <v>0</v>
      </c>
      <c r="AX714">
        <v>0</v>
      </c>
      <c r="AY714">
        <v>0</v>
      </c>
    </row>
    <row r="715" spans="1:51" x14ac:dyDescent="0.25">
      <c r="A715">
        <v>1</v>
      </c>
      <c r="C715" t="s">
        <v>735</v>
      </c>
      <c r="D715" t="s">
        <v>736</v>
      </c>
      <c r="E715" t="s">
        <v>736</v>
      </c>
      <c r="F715" t="s">
        <v>736</v>
      </c>
      <c r="G715" t="s">
        <v>736</v>
      </c>
      <c r="H715" t="s">
        <v>736</v>
      </c>
      <c r="I715" t="s">
        <v>736</v>
      </c>
      <c r="J715" t="s">
        <v>736</v>
      </c>
      <c r="K715" t="s">
        <v>736</v>
      </c>
      <c r="L715" t="s">
        <v>736</v>
      </c>
      <c r="M715" t="s">
        <v>736</v>
      </c>
      <c r="N715" t="s">
        <v>736</v>
      </c>
      <c r="O715" t="s">
        <v>736</v>
      </c>
      <c r="P715" t="s">
        <v>736</v>
      </c>
      <c r="Q715" t="s">
        <v>736</v>
      </c>
      <c r="R715" t="s">
        <v>736</v>
      </c>
      <c r="S715" t="s">
        <v>736</v>
      </c>
      <c r="T715" t="s">
        <v>736</v>
      </c>
      <c r="U715" t="s">
        <v>736</v>
      </c>
      <c r="V715" t="s">
        <v>736</v>
      </c>
      <c r="W715" t="s">
        <v>736</v>
      </c>
      <c r="X715" t="s">
        <v>736</v>
      </c>
      <c r="Y715" t="s">
        <v>736</v>
      </c>
      <c r="Z715" t="s">
        <v>736</v>
      </c>
      <c r="AA715" t="s">
        <v>736</v>
      </c>
      <c r="AB715" t="s">
        <v>736</v>
      </c>
      <c r="AC715" t="s">
        <v>736</v>
      </c>
      <c r="AD715" t="s">
        <v>736</v>
      </c>
      <c r="AE715" t="s">
        <v>736</v>
      </c>
      <c r="AF715" t="s">
        <v>736</v>
      </c>
      <c r="AG715" t="s">
        <v>736</v>
      </c>
      <c r="AH715" t="s">
        <v>736</v>
      </c>
      <c r="AI715" t="s">
        <v>736</v>
      </c>
      <c r="AJ715" t="s">
        <v>736</v>
      </c>
      <c r="AK715" t="s">
        <v>736</v>
      </c>
      <c r="AL715" t="s">
        <v>736</v>
      </c>
      <c r="AM715" t="s">
        <v>736</v>
      </c>
      <c r="AN715" t="s">
        <v>736</v>
      </c>
      <c r="AO715" t="s">
        <v>736</v>
      </c>
      <c r="AP715" t="s">
        <v>736</v>
      </c>
      <c r="AQ715" t="s">
        <v>736</v>
      </c>
      <c r="AR715" t="s">
        <v>736</v>
      </c>
      <c r="AS715" t="s">
        <v>736</v>
      </c>
      <c r="AT715" t="s">
        <v>736</v>
      </c>
      <c r="AU715" t="s">
        <v>736</v>
      </c>
      <c r="AV715" t="s">
        <v>736</v>
      </c>
      <c r="AW715" t="s">
        <v>736</v>
      </c>
      <c r="AX715" t="s">
        <v>736</v>
      </c>
      <c r="AY715" t="s">
        <v>736</v>
      </c>
    </row>
    <row r="716" spans="1:51" x14ac:dyDescent="0.25">
      <c r="A716">
        <v>174</v>
      </c>
      <c r="B716">
        <v>10</v>
      </c>
      <c r="C716" t="s">
        <v>735</v>
      </c>
      <c r="D716" t="s">
        <v>96</v>
      </c>
      <c r="E716" t="s">
        <v>121</v>
      </c>
      <c r="F716" t="s">
        <v>107</v>
      </c>
      <c r="G716" t="s">
        <v>101</v>
      </c>
      <c r="H716" t="s">
        <v>78</v>
      </c>
      <c r="I716" t="s">
        <v>79</v>
      </c>
      <c r="J716" t="s">
        <v>70</v>
      </c>
      <c r="K716" t="s">
        <v>75</v>
      </c>
      <c r="L716" t="s">
        <v>76</v>
      </c>
      <c r="M716" t="s">
        <v>103</v>
      </c>
      <c r="N716" t="s">
        <v>74</v>
      </c>
      <c r="O716" t="s">
        <v>104</v>
      </c>
      <c r="P716" t="s">
        <v>71</v>
      </c>
      <c r="Q716" t="s">
        <v>71</v>
      </c>
      <c r="R716" t="s">
        <v>71</v>
      </c>
      <c r="S716">
        <v>0</v>
      </c>
      <c r="T716">
        <v>0</v>
      </c>
      <c r="U716" t="s">
        <v>72</v>
      </c>
      <c r="V716" t="s">
        <v>73</v>
      </c>
      <c r="W716">
        <v>0</v>
      </c>
      <c r="X716">
        <v>0</v>
      </c>
      <c r="Y716">
        <v>0</v>
      </c>
      <c r="Z716">
        <v>0</v>
      </c>
      <c r="AA716">
        <v>0</v>
      </c>
      <c r="AB716">
        <v>0</v>
      </c>
      <c r="AC716">
        <v>0</v>
      </c>
      <c r="AD716">
        <v>0</v>
      </c>
      <c r="AE716">
        <v>0</v>
      </c>
      <c r="AF716">
        <v>0</v>
      </c>
      <c r="AG716" t="s">
        <v>71</v>
      </c>
      <c r="AH716">
        <v>0</v>
      </c>
      <c r="AI716">
        <v>0</v>
      </c>
      <c r="AJ716">
        <v>0</v>
      </c>
      <c r="AK716">
        <v>0</v>
      </c>
      <c r="AL716" t="s">
        <v>91</v>
      </c>
      <c r="AM716" t="s">
        <v>93</v>
      </c>
      <c r="AN716" t="s">
        <v>94</v>
      </c>
      <c r="AO716" t="s">
        <v>92</v>
      </c>
      <c r="AP716">
        <v>0</v>
      </c>
      <c r="AQ716">
        <v>0</v>
      </c>
      <c r="AR716">
        <v>0</v>
      </c>
      <c r="AS716">
        <v>0</v>
      </c>
      <c r="AT716">
        <v>0</v>
      </c>
      <c r="AU716">
        <v>0</v>
      </c>
      <c r="AV716">
        <v>0</v>
      </c>
      <c r="AW716">
        <v>0</v>
      </c>
      <c r="AX716">
        <v>0</v>
      </c>
      <c r="AY716">
        <v>0</v>
      </c>
    </row>
    <row r="717" spans="1:51" x14ac:dyDescent="0.25">
      <c r="A717">
        <v>174</v>
      </c>
      <c r="B717">
        <v>5010</v>
      </c>
      <c r="C717" t="s">
        <v>735</v>
      </c>
      <c r="D717" t="s">
        <v>96</v>
      </c>
      <c r="E717" t="s">
        <v>121</v>
      </c>
      <c r="F717" t="s">
        <v>107</v>
      </c>
      <c r="G717" t="s">
        <v>101</v>
      </c>
      <c r="H717" t="s">
        <v>78</v>
      </c>
      <c r="I717" t="s">
        <v>79</v>
      </c>
      <c r="J717" t="s">
        <v>70</v>
      </c>
      <c r="K717" t="s">
        <v>75</v>
      </c>
      <c r="L717" t="s">
        <v>76</v>
      </c>
      <c r="M717" t="s">
        <v>103</v>
      </c>
      <c r="N717" t="s">
        <v>74</v>
      </c>
      <c r="O717" t="s">
        <v>104</v>
      </c>
      <c r="P717" t="s">
        <v>71</v>
      </c>
      <c r="Q717" t="s">
        <v>71</v>
      </c>
      <c r="R717" t="s">
        <v>71</v>
      </c>
      <c r="S717">
        <v>0</v>
      </c>
      <c r="T717">
        <v>0</v>
      </c>
      <c r="U717" t="s">
        <v>72</v>
      </c>
      <c r="V717" t="s">
        <v>73</v>
      </c>
      <c r="W717">
        <v>0</v>
      </c>
      <c r="X717">
        <v>0</v>
      </c>
      <c r="Y717">
        <v>0</v>
      </c>
      <c r="Z717">
        <v>0</v>
      </c>
      <c r="AA717">
        <v>0</v>
      </c>
      <c r="AB717">
        <v>0</v>
      </c>
      <c r="AC717">
        <v>0</v>
      </c>
      <c r="AD717">
        <v>0</v>
      </c>
      <c r="AE717">
        <v>0</v>
      </c>
      <c r="AF717">
        <v>0</v>
      </c>
      <c r="AG717" t="s">
        <v>71</v>
      </c>
      <c r="AH717">
        <v>0</v>
      </c>
      <c r="AI717">
        <v>0</v>
      </c>
      <c r="AJ717">
        <v>0</v>
      </c>
      <c r="AK717">
        <v>0</v>
      </c>
      <c r="AL717" t="s">
        <v>91</v>
      </c>
      <c r="AM717" t="s">
        <v>93</v>
      </c>
      <c r="AN717" t="s">
        <v>94</v>
      </c>
      <c r="AO717" t="s">
        <v>92</v>
      </c>
      <c r="AP717">
        <v>0</v>
      </c>
      <c r="AQ717">
        <v>0</v>
      </c>
      <c r="AR717">
        <v>0</v>
      </c>
      <c r="AS717">
        <v>0</v>
      </c>
      <c r="AT717">
        <v>0</v>
      </c>
      <c r="AU717">
        <v>0</v>
      </c>
      <c r="AV717">
        <v>0</v>
      </c>
      <c r="AW717">
        <v>0</v>
      </c>
      <c r="AX717">
        <v>0</v>
      </c>
      <c r="AY717">
        <v>0</v>
      </c>
    </row>
    <row r="718" spans="1:51" x14ac:dyDescent="0.25">
      <c r="A718">
        <v>174</v>
      </c>
      <c r="B718">
        <v>5020</v>
      </c>
      <c r="C718" t="s">
        <v>735</v>
      </c>
      <c r="D718" t="s">
        <v>96</v>
      </c>
      <c r="E718" t="s">
        <v>121</v>
      </c>
      <c r="F718" t="s">
        <v>107</v>
      </c>
      <c r="G718" t="s">
        <v>101</v>
      </c>
      <c r="H718" t="s">
        <v>78</v>
      </c>
      <c r="I718" t="s">
        <v>79</v>
      </c>
      <c r="J718" t="s">
        <v>70</v>
      </c>
      <c r="K718" t="s">
        <v>75</v>
      </c>
      <c r="L718" t="s">
        <v>76</v>
      </c>
      <c r="M718" t="s">
        <v>103</v>
      </c>
      <c r="N718" t="s">
        <v>74</v>
      </c>
      <c r="O718" t="s">
        <v>104</v>
      </c>
      <c r="P718" t="s">
        <v>71</v>
      </c>
      <c r="Q718" t="s">
        <v>71</v>
      </c>
      <c r="R718" t="s">
        <v>71</v>
      </c>
      <c r="S718">
        <v>0</v>
      </c>
      <c r="T718">
        <v>0</v>
      </c>
      <c r="U718" t="s">
        <v>72</v>
      </c>
      <c r="V718" t="s">
        <v>73</v>
      </c>
      <c r="W718">
        <v>0</v>
      </c>
      <c r="X718">
        <v>0</v>
      </c>
      <c r="Y718">
        <v>0</v>
      </c>
      <c r="Z718">
        <v>0</v>
      </c>
      <c r="AA718">
        <v>0</v>
      </c>
      <c r="AB718">
        <v>0</v>
      </c>
      <c r="AC718">
        <v>0</v>
      </c>
      <c r="AD718">
        <v>0</v>
      </c>
      <c r="AE718">
        <v>0</v>
      </c>
      <c r="AF718">
        <v>0</v>
      </c>
      <c r="AG718" t="s">
        <v>71</v>
      </c>
      <c r="AH718">
        <v>0</v>
      </c>
      <c r="AI718">
        <v>0</v>
      </c>
      <c r="AJ718">
        <v>0</v>
      </c>
      <c r="AK718">
        <v>0</v>
      </c>
      <c r="AL718" t="s">
        <v>108</v>
      </c>
      <c r="AM718" t="s">
        <v>93</v>
      </c>
      <c r="AN718" t="s">
        <v>94</v>
      </c>
      <c r="AO718" t="s">
        <v>92</v>
      </c>
      <c r="AP718">
        <v>0</v>
      </c>
      <c r="AQ718">
        <v>0</v>
      </c>
      <c r="AR718">
        <v>0</v>
      </c>
      <c r="AS718">
        <v>0</v>
      </c>
      <c r="AT718">
        <v>0</v>
      </c>
      <c r="AU718">
        <v>0</v>
      </c>
      <c r="AV718">
        <v>0</v>
      </c>
      <c r="AW718">
        <v>0</v>
      </c>
      <c r="AX718">
        <v>0</v>
      </c>
      <c r="AY718">
        <v>0</v>
      </c>
    </row>
    <row r="719" spans="1:51" x14ac:dyDescent="0.25">
      <c r="A719">
        <v>174</v>
      </c>
      <c r="B719">
        <v>5030</v>
      </c>
      <c r="C719" t="s">
        <v>735</v>
      </c>
      <c r="D719" t="s">
        <v>96</v>
      </c>
      <c r="E719" t="s">
        <v>121</v>
      </c>
      <c r="F719" t="s">
        <v>107</v>
      </c>
      <c r="G719" t="s">
        <v>101</v>
      </c>
      <c r="H719" t="s">
        <v>78</v>
      </c>
      <c r="I719" t="s">
        <v>79</v>
      </c>
      <c r="J719" t="s">
        <v>70</v>
      </c>
      <c r="K719" t="s">
        <v>75</v>
      </c>
      <c r="L719" t="s">
        <v>76</v>
      </c>
      <c r="M719" t="s">
        <v>103</v>
      </c>
      <c r="N719" t="s">
        <v>74</v>
      </c>
      <c r="O719" t="s">
        <v>104</v>
      </c>
      <c r="P719" t="s">
        <v>71</v>
      </c>
      <c r="Q719" t="s">
        <v>71</v>
      </c>
      <c r="R719" t="s">
        <v>71</v>
      </c>
      <c r="S719">
        <v>0</v>
      </c>
      <c r="T719">
        <v>0</v>
      </c>
      <c r="U719" t="s">
        <v>72</v>
      </c>
      <c r="V719" t="s">
        <v>73</v>
      </c>
      <c r="W719">
        <v>0</v>
      </c>
      <c r="X719">
        <v>0</v>
      </c>
      <c r="Y719">
        <v>0</v>
      </c>
      <c r="Z719">
        <v>0</v>
      </c>
      <c r="AA719">
        <v>0</v>
      </c>
      <c r="AB719">
        <v>0</v>
      </c>
      <c r="AC719">
        <v>0</v>
      </c>
      <c r="AD719">
        <v>0</v>
      </c>
      <c r="AE719">
        <v>0</v>
      </c>
      <c r="AF719">
        <v>0</v>
      </c>
      <c r="AG719" t="s">
        <v>71</v>
      </c>
      <c r="AH719">
        <v>0</v>
      </c>
      <c r="AI719">
        <v>0</v>
      </c>
      <c r="AJ719">
        <v>0</v>
      </c>
      <c r="AK719">
        <v>0</v>
      </c>
      <c r="AL719" t="s">
        <v>108</v>
      </c>
      <c r="AM719" t="s">
        <v>93</v>
      </c>
      <c r="AN719" t="s">
        <v>94</v>
      </c>
      <c r="AO719" t="s">
        <v>92</v>
      </c>
      <c r="AP719">
        <v>0</v>
      </c>
      <c r="AQ719">
        <v>0</v>
      </c>
      <c r="AR719">
        <v>0</v>
      </c>
      <c r="AS719">
        <v>0</v>
      </c>
      <c r="AT719">
        <v>0</v>
      </c>
      <c r="AU719">
        <v>0</v>
      </c>
      <c r="AV719">
        <v>0</v>
      </c>
      <c r="AW719">
        <v>0</v>
      </c>
      <c r="AX719">
        <v>0</v>
      </c>
      <c r="AY719">
        <v>0</v>
      </c>
    </row>
    <row r="720" spans="1:51" x14ac:dyDescent="0.25">
      <c r="A720">
        <v>174</v>
      </c>
      <c r="B720">
        <v>10010</v>
      </c>
      <c r="C720" t="s">
        <v>735</v>
      </c>
      <c r="D720" t="s">
        <v>96</v>
      </c>
      <c r="E720" t="s">
        <v>121</v>
      </c>
      <c r="F720" t="s">
        <v>107</v>
      </c>
      <c r="G720" t="s">
        <v>101</v>
      </c>
      <c r="H720" t="s">
        <v>78</v>
      </c>
      <c r="I720" t="s">
        <v>79</v>
      </c>
      <c r="J720" t="s">
        <v>70</v>
      </c>
      <c r="K720" t="s">
        <v>75</v>
      </c>
      <c r="L720" t="s">
        <v>76</v>
      </c>
      <c r="M720" t="s">
        <v>103</v>
      </c>
      <c r="N720" t="s">
        <v>74</v>
      </c>
      <c r="O720" t="s">
        <v>104</v>
      </c>
      <c r="P720" t="s">
        <v>71</v>
      </c>
      <c r="Q720" t="s">
        <v>71</v>
      </c>
      <c r="R720" t="s">
        <v>71</v>
      </c>
      <c r="S720">
        <v>0</v>
      </c>
      <c r="T720">
        <v>0</v>
      </c>
      <c r="U720" t="s">
        <v>72</v>
      </c>
      <c r="V720" t="s">
        <v>73</v>
      </c>
      <c r="W720">
        <v>0</v>
      </c>
      <c r="X720">
        <v>0</v>
      </c>
      <c r="Y720">
        <v>0</v>
      </c>
      <c r="Z720">
        <v>0</v>
      </c>
      <c r="AA720">
        <v>0</v>
      </c>
      <c r="AB720">
        <v>0</v>
      </c>
      <c r="AC720">
        <v>0</v>
      </c>
      <c r="AD720">
        <v>0</v>
      </c>
      <c r="AE720">
        <v>0</v>
      </c>
      <c r="AF720">
        <v>0</v>
      </c>
      <c r="AG720" t="s">
        <v>71</v>
      </c>
      <c r="AH720">
        <v>0</v>
      </c>
      <c r="AI720">
        <v>0</v>
      </c>
      <c r="AJ720">
        <v>0</v>
      </c>
      <c r="AK720">
        <v>0</v>
      </c>
      <c r="AL720" t="s">
        <v>108</v>
      </c>
      <c r="AM720" t="s">
        <v>93</v>
      </c>
      <c r="AN720" t="s">
        <v>94</v>
      </c>
      <c r="AO720" t="s">
        <v>92</v>
      </c>
      <c r="AP720">
        <v>0</v>
      </c>
      <c r="AQ720">
        <v>0</v>
      </c>
      <c r="AR720">
        <v>0</v>
      </c>
      <c r="AS720">
        <v>0</v>
      </c>
      <c r="AT720">
        <v>0</v>
      </c>
      <c r="AU720">
        <v>0</v>
      </c>
      <c r="AV720">
        <v>0</v>
      </c>
      <c r="AW720">
        <v>0</v>
      </c>
      <c r="AX720">
        <v>0</v>
      </c>
      <c r="AY720">
        <v>0</v>
      </c>
    </row>
    <row r="721" spans="1:51" x14ac:dyDescent="0.25">
      <c r="A721">
        <v>174</v>
      </c>
      <c r="B721">
        <v>10020</v>
      </c>
      <c r="C721" t="s">
        <v>735</v>
      </c>
      <c r="D721" t="s">
        <v>96</v>
      </c>
      <c r="E721" t="s">
        <v>121</v>
      </c>
      <c r="F721" t="s">
        <v>107</v>
      </c>
      <c r="G721" t="s">
        <v>101</v>
      </c>
      <c r="H721" t="s">
        <v>78</v>
      </c>
      <c r="I721" t="s">
        <v>79</v>
      </c>
      <c r="J721" t="s">
        <v>70</v>
      </c>
      <c r="K721" t="s">
        <v>75</v>
      </c>
      <c r="L721" t="s">
        <v>76</v>
      </c>
      <c r="M721" t="s">
        <v>103</v>
      </c>
      <c r="N721" t="s">
        <v>74</v>
      </c>
      <c r="O721" t="s">
        <v>104</v>
      </c>
      <c r="P721" t="s">
        <v>71</v>
      </c>
      <c r="Q721" t="s">
        <v>71</v>
      </c>
      <c r="R721" t="s">
        <v>71</v>
      </c>
      <c r="S721">
        <v>0</v>
      </c>
      <c r="T721">
        <v>0</v>
      </c>
      <c r="U721" t="s">
        <v>72</v>
      </c>
      <c r="V721" t="s">
        <v>73</v>
      </c>
      <c r="W721">
        <v>0</v>
      </c>
      <c r="X721">
        <v>0</v>
      </c>
      <c r="Y721">
        <v>0</v>
      </c>
      <c r="Z721">
        <v>0</v>
      </c>
      <c r="AA721">
        <v>0</v>
      </c>
      <c r="AB721">
        <v>0</v>
      </c>
      <c r="AC721">
        <v>0</v>
      </c>
      <c r="AD721">
        <v>0</v>
      </c>
      <c r="AE721">
        <v>0</v>
      </c>
      <c r="AF721">
        <v>0</v>
      </c>
      <c r="AG721" t="s">
        <v>71</v>
      </c>
      <c r="AH721">
        <v>0</v>
      </c>
      <c r="AI721">
        <v>0</v>
      </c>
      <c r="AJ721">
        <v>0</v>
      </c>
      <c r="AK721">
        <v>0</v>
      </c>
      <c r="AL721" t="s">
        <v>108</v>
      </c>
      <c r="AM721" t="s">
        <v>93</v>
      </c>
      <c r="AN721" t="s">
        <v>94</v>
      </c>
      <c r="AO721" t="s">
        <v>92</v>
      </c>
      <c r="AP721">
        <v>0</v>
      </c>
      <c r="AQ721">
        <v>0</v>
      </c>
      <c r="AR721">
        <v>0</v>
      </c>
      <c r="AS721">
        <v>0</v>
      </c>
      <c r="AT721">
        <v>0</v>
      </c>
      <c r="AU721">
        <v>0</v>
      </c>
      <c r="AV721">
        <v>0</v>
      </c>
      <c r="AW721">
        <v>0</v>
      </c>
      <c r="AX721">
        <v>0</v>
      </c>
      <c r="AY721">
        <v>0</v>
      </c>
    </row>
    <row r="722" spans="1:51" x14ac:dyDescent="0.25">
      <c r="A722">
        <v>174</v>
      </c>
      <c r="B722">
        <v>10030</v>
      </c>
      <c r="C722" t="s">
        <v>735</v>
      </c>
      <c r="D722" t="s">
        <v>96</v>
      </c>
      <c r="E722" t="s">
        <v>121</v>
      </c>
      <c r="F722" t="s">
        <v>107</v>
      </c>
      <c r="G722" t="s">
        <v>77</v>
      </c>
      <c r="H722" t="s">
        <v>78</v>
      </c>
      <c r="I722" t="s">
        <v>79</v>
      </c>
      <c r="J722" t="s">
        <v>70</v>
      </c>
      <c r="K722" t="s">
        <v>75</v>
      </c>
      <c r="L722" t="s">
        <v>76</v>
      </c>
      <c r="M722" t="s">
        <v>103</v>
      </c>
      <c r="N722" t="s">
        <v>74</v>
      </c>
      <c r="O722" t="s">
        <v>104</v>
      </c>
      <c r="P722" t="s">
        <v>71</v>
      </c>
      <c r="Q722" t="s">
        <v>71</v>
      </c>
      <c r="R722" t="s">
        <v>71</v>
      </c>
      <c r="S722">
        <v>0</v>
      </c>
      <c r="T722">
        <v>1</v>
      </c>
      <c r="U722" t="s">
        <v>72</v>
      </c>
      <c r="V722" t="s">
        <v>73</v>
      </c>
      <c r="W722">
        <v>0</v>
      </c>
      <c r="X722">
        <v>0</v>
      </c>
      <c r="Y722">
        <v>0</v>
      </c>
      <c r="Z722">
        <v>0</v>
      </c>
      <c r="AA722">
        <v>0</v>
      </c>
      <c r="AB722">
        <v>0</v>
      </c>
      <c r="AC722">
        <v>0</v>
      </c>
      <c r="AD722">
        <v>0</v>
      </c>
      <c r="AE722">
        <v>0</v>
      </c>
      <c r="AF722">
        <v>0</v>
      </c>
      <c r="AG722" t="s">
        <v>71</v>
      </c>
      <c r="AH722">
        <v>0</v>
      </c>
      <c r="AI722">
        <v>0</v>
      </c>
      <c r="AJ722">
        <v>0</v>
      </c>
      <c r="AK722">
        <v>0</v>
      </c>
      <c r="AL722" t="s">
        <v>146</v>
      </c>
      <c r="AM722" t="s">
        <v>93</v>
      </c>
      <c r="AN722" t="s">
        <v>148</v>
      </c>
      <c r="AO722" t="s">
        <v>147</v>
      </c>
      <c r="AP722">
        <v>0</v>
      </c>
      <c r="AQ722">
        <v>0</v>
      </c>
      <c r="AR722">
        <v>128</v>
      </c>
      <c r="AS722">
        <v>0</v>
      </c>
      <c r="AT722">
        <v>0</v>
      </c>
      <c r="AU722">
        <v>0</v>
      </c>
      <c r="AV722">
        <v>0</v>
      </c>
      <c r="AW722">
        <v>0</v>
      </c>
      <c r="AX722">
        <v>0</v>
      </c>
      <c r="AY722">
        <v>0</v>
      </c>
    </row>
    <row r="723" spans="1:51" x14ac:dyDescent="0.25">
      <c r="A723">
        <v>174</v>
      </c>
      <c r="B723">
        <v>10040</v>
      </c>
      <c r="C723" t="s">
        <v>735</v>
      </c>
      <c r="D723" t="s">
        <v>96</v>
      </c>
      <c r="E723" t="s">
        <v>121</v>
      </c>
      <c r="F723" t="s">
        <v>107</v>
      </c>
      <c r="G723" t="s">
        <v>77</v>
      </c>
      <c r="H723" t="s">
        <v>78</v>
      </c>
      <c r="I723" t="s">
        <v>79</v>
      </c>
      <c r="J723" t="s">
        <v>70</v>
      </c>
      <c r="K723" t="s">
        <v>75</v>
      </c>
      <c r="L723" t="s">
        <v>203</v>
      </c>
      <c r="M723" t="s">
        <v>103</v>
      </c>
      <c r="N723" t="s">
        <v>74</v>
      </c>
      <c r="O723" t="s">
        <v>187</v>
      </c>
      <c r="P723" t="s">
        <v>71</v>
      </c>
      <c r="Q723" t="s">
        <v>71</v>
      </c>
      <c r="R723" t="s">
        <v>71</v>
      </c>
      <c r="S723">
        <v>0</v>
      </c>
      <c r="T723">
        <v>0</v>
      </c>
      <c r="U723" t="s">
        <v>72</v>
      </c>
      <c r="V723" t="s">
        <v>188</v>
      </c>
      <c r="W723">
        <v>0</v>
      </c>
      <c r="X723">
        <v>0</v>
      </c>
      <c r="Y723">
        <v>0</v>
      </c>
      <c r="Z723">
        <v>0</v>
      </c>
      <c r="AA723">
        <v>0</v>
      </c>
      <c r="AB723">
        <v>0</v>
      </c>
      <c r="AC723">
        <v>0</v>
      </c>
      <c r="AD723">
        <v>0</v>
      </c>
      <c r="AE723">
        <v>0</v>
      </c>
      <c r="AF723">
        <v>0</v>
      </c>
      <c r="AG723" t="s">
        <v>71</v>
      </c>
      <c r="AH723">
        <v>0</v>
      </c>
      <c r="AI723">
        <v>0</v>
      </c>
      <c r="AJ723">
        <v>0</v>
      </c>
      <c r="AK723">
        <v>0</v>
      </c>
      <c r="AL723" t="s">
        <v>146</v>
      </c>
      <c r="AM723" t="s">
        <v>93</v>
      </c>
      <c r="AN723" t="s">
        <v>148</v>
      </c>
      <c r="AO723" t="s">
        <v>147</v>
      </c>
      <c r="AP723">
        <v>0</v>
      </c>
      <c r="AQ723">
        <v>0</v>
      </c>
      <c r="AR723">
        <v>193</v>
      </c>
      <c r="AS723">
        <v>0</v>
      </c>
      <c r="AT723">
        <v>0</v>
      </c>
      <c r="AU723">
        <v>0</v>
      </c>
      <c r="AV723">
        <v>0</v>
      </c>
      <c r="AW723">
        <v>0</v>
      </c>
      <c r="AX723">
        <v>0</v>
      </c>
      <c r="AY723">
        <v>0</v>
      </c>
    </row>
    <row r="724" spans="1:51" x14ac:dyDescent="0.25">
      <c r="A724">
        <v>174</v>
      </c>
      <c r="B724">
        <v>10050</v>
      </c>
      <c r="C724" t="s">
        <v>735</v>
      </c>
      <c r="D724" t="s">
        <v>96</v>
      </c>
      <c r="E724" t="s">
        <v>121</v>
      </c>
      <c r="F724" t="s">
        <v>107</v>
      </c>
      <c r="G724" t="s">
        <v>77</v>
      </c>
      <c r="H724" t="s">
        <v>78</v>
      </c>
      <c r="I724" t="s">
        <v>79</v>
      </c>
      <c r="J724" t="s">
        <v>150</v>
      </c>
      <c r="K724" t="s">
        <v>75</v>
      </c>
      <c r="L724" t="s">
        <v>203</v>
      </c>
      <c r="M724" t="s">
        <v>103</v>
      </c>
      <c r="N724" t="s">
        <v>74</v>
      </c>
      <c r="O724" t="s">
        <v>191</v>
      </c>
      <c r="P724" t="s">
        <v>71</v>
      </c>
      <c r="Q724" t="s">
        <v>71</v>
      </c>
      <c r="R724" t="s">
        <v>71</v>
      </c>
      <c r="S724">
        <v>0</v>
      </c>
      <c r="T724">
        <v>0</v>
      </c>
      <c r="U724" t="s">
        <v>72</v>
      </c>
      <c r="V724" t="s">
        <v>188</v>
      </c>
      <c r="W724">
        <v>0</v>
      </c>
      <c r="X724">
        <v>0</v>
      </c>
      <c r="Y724">
        <v>0</v>
      </c>
      <c r="Z724">
        <v>0</v>
      </c>
      <c r="AA724">
        <v>0</v>
      </c>
      <c r="AB724">
        <v>0</v>
      </c>
      <c r="AC724">
        <v>0</v>
      </c>
      <c r="AD724">
        <v>0</v>
      </c>
      <c r="AE724">
        <v>0</v>
      </c>
      <c r="AF724">
        <v>0</v>
      </c>
      <c r="AG724" t="s">
        <v>71</v>
      </c>
      <c r="AH724">
        <v>0</v>
      </c>
      <c r="AI724">
        <v>0</v>
      </c>
      <c r="AJ724">
        <v>0</v>
      </c>
      <c r="AK724">
        <v>0</v>
      </c>
      <c r="AL724" t="s">
        <v>176</v>
      </c>
      <c r="AM724" t="s">
        <v>254</v>
      </c>
      <c r="AN724" t="s">
        <v>148</v>
      </c>
      <c r="AO724" t="s">
        <v>147</v>
      </c>
      <c r="AP724">
        <v>0</v>
      </c>
      <c r="AQ724">
        <v>0</v>
      </c>
      <c r="AR724">
        <v>0</v>
      </c>
      <c r="AS724">
        <v>0</v>
      </c>
      <c r="AT724">
        <v>0</v>
      </c>
      <c r="AU724">
        <v>0</v>
      </c>
      <c r="AV724">
        <v>0</v>
      </c>
      <c r="AW724">
        <v>0</v>
      </c>
      <c r="AX724">
        <v>0</v>
      </c>
      <c r="AY724">
        <v>0</v>
      </c>
    </row>
    <row r="725" spans="1:51" x14ac:dyDescent="0.25">
      <c r="A725">
        <v>174</v>
      </c>
      <c r="B725">
        <v>10060</v>
      </c>
      <c r="C725" t="s">
        <v>735</v>
      </c>
      <c r="D725" t="s">
        <v>96</v>
      </c>
      <c r="E725" t="s">
        <v>121</v>
      </c>
      <c r="F725" t="s">
        <v>107</v>
      </c>
      <c r="G725" t="s">
        <v>77</v>
      </c>
      <c r="H725" t="s">
        <v>78</v>
      </c>
      <c r="I725" t="s">
        <v>79</v>
      </c>
      <c r="J725" t="s">
        <v>150</v>
      </c>
      <c r="K725" t="s">
        <v>75</v>
      </c>
      <c r="L725" t="s">
        <v>203</v>
      </c>
      <c r="M725" t="s">
        <v>103</v>
      </c>
      <c r="N725" t="s">
        <v>74</v>
      </c>
      <c r="O725" t="s">
        <v>187</v>
      </c>
      <c r="P725" t="s">
        <v>71</v>
      </c>
      <c r="Q725" t="s">
        <v>110</v>
      </c>
      <c r="R725" t="s">
        <v>71</v>
      </c>
      <c r="S725">
        <v>1</v>
      </c>
      <c r="T725">
        <v>1</v>
      </c>
      <c r="U725" t="s">
        <v>72</v>
      </c>
      <c r="V725" t="s">
        <v>188</v>
      </c>
      <c r="W725">
        <v>0</v>
      </c>
      <c r="X725">
        <v>0</v>
      </c>
      <c r="Y725">
        <v>0</v>
      </c>
      <c r="Z725">
        <v>0</v>
      </c>
      <c r="AA725">
        <v>0</v>
      </c>
      <c r="AB725">
        <v>0</v>
      </c>
      <c r="AC725">
        <v>0</v>
      </c>
      <c r="AD725">
        <v>0</v>
      </c>
      <c r="AE725">
        <v>0</v>
      </c>
      <c r="AF725">
        <v>0</v>
      </c>
      <c r="AG725" t="s">
        <v>71</v>
      </c>
      <c r="AH725">
        <v>0</v>
      </c>
      <c r="AI725">
        <v>0</v>
      </c>
      <c r="AJ725">
        <v>0</v>
      </c>
      <c r="AK725">
        <v>0</v>
      </c>
      <c r="AL725" t="s">
        <v>450</v>
      </c>
      <c r="AM725" t="s">
        <v>491</v>
      </c>
      <c r="AN725" t="s">
        <v>148</v>
      </c>
      <c r="AO725" t="s">
        <v>147</v>
      </c>
      <c r="AP725">
        <v>0</v>
      </c>
      <c r="AQ725">
        <v>0</v>
      </c>
      <c r="AR725">
        <v>0</v>
      </c>
      <c r="AS725">
        <v>0</v>
      </c>
      <c r="AT725">
        <v>0</v>
      </c>
      <c r="AU725">
        <v>0</v>
      </c>
      <c r="AV725">
        <v>0</v>
      </c>
      <c r="AW725">
        <v>0</v>
      </c>
      <c r="AX725">
        <v>0</v>
      </c>
      <c r="AY725">
        <v>0</v>
      </c>
    </row>
    <row r="726" spans="1:51" x14ac:dyDescent="0.25">
      <c r="A726">
        <v>174</v>
      </c>
      <c r="B726">
        <v>10070</v>
      </c>
      <c r="C726" t="s">
        <v>735</v>
      </c>
      <c r="D726" t="s">
        <v>96</v>
      </c>
      <c r="E726" t="s">
        <v>121</v>
      </c>
      <c r="F726" t="s">
        <v>98</v>
      </c>
      <c r="G726" t="s">
        <v>77</v>
      </c>
      <c r="H726" t="s">
        <v>78</v>
      </c>
      <c r="I726" t="s">
        <v>79</v>
      </c>
      <c r="J726" t="s">
        <v>150</v>
      </c>
      <c r="K726" t="s">
        <v>75</v>
      </c>
      <c r="L726" t="s">
        <v>203</v>
      </c>
      <c r="M726" t="s">
        <v>103</v>
      </c>
      <c r="N726" t="s">
        <v>74</v>
      </c>
      <c r="O726" t="s">
        <v>187</v>
      </c>
      <c r="P726" t="s">
        <v>71</v>
      </c>
      <c r="Q726" t="s">
        <v>110</v>
      </c>
      <c r="R726" t="s">
        <v>71</v>
      </c>
      <c r="S726">
        <v>1</v>
      </c>
      <c r="T726">
        <v>1</v>
      </c>
      <c r="U726" t="s">
        <v>284</v>
      </c>
      <c r="V726" t="s">
        <v>188</v>
      </c>
      <c r="W726">
        <v>0</v>
      </c>
      <c r="X726">
        <v>0</v>
      </c>
      <c r="Y726">
        <v>0</v>
      </c>
      <c r="Z726">
        <v>0</v>
      </c>
      <c r="AA726">
        <v>0</v>
      </c>
      <c r="AB726">
        <v>0</v>
      </c>
      <c r="AC726">
        <v>0</v>
      </c>
      <c r="AD726">
        <v>0</v>
      </c>
      <c r="AE726">
        <v>0</v>
      </c>
      <c r="AF726">
        <v>0</v>
      </c>
      <c r="AG726" t="s">
        <v>71</v>
      </c>
      <c r="AH726">
        <v>0</v>
      </c>
      <c r="AI726">
        <v>0</v>
      </c>
      <c r="AJ726">
        <v>0</v>
      </c>
      <c r="AK726">
        <v>0</v>
      </c>
      <c r="AL726" t="s">
        <v>99</v>
      </c>
      <c r="AM726" t="s">
        <v>93</v>
      </c>
      <c r="AN726" t="s">
        <v>148</v>
      </c>
      <c r="AO726" t="s">
        <v>147</v>
      </c>
      <c r="AP726">
        <v>0</v>
      </c>
      <c r="AQ726">
        <v>0</v>
      </c>
      <c r="AR726">
        <v>0</v>
      </c>
      <c r="AS726">
        <v>0</v>
      </c>
      <c r="AT726">
        <v>0</v>
      </c>
      <c r="AU726">
        <v>0</v>
      </c>
      <c r="AV726">
        <v>0</v>
      </c>
      <c r="AW726">
        <v>0</v>
      </c>
      <c r="AX726">
        <v>0</v>
      </c>
      <c r="AY726">
        <v>0</v>
      </c>
    </row>
    <row r="727" spans="1:51" x14ac:dyDescent="0.25">
      <c r="A727">
        <v>1</v>
      </c>
      <c r="C727" t="s">
        <v>735</v>
      </c>
      <c r="D727" t="s">
        <v>736</v>
      </c>
      <c r="E727" t="s">
        <v>736</v>
      </c>
      <c r="F727" t="s">
        <v>736</v>
      </c>
      <c r="G727" t="s">
        <v>736</v>
      </c>
      <c r="H727" t="s">
        <v>736</v>
      </c>
      <c r="I727" t="s">
        <v>736</v>
      </c>
      <c r="J727" t="s">
        <v>736</v>
      </c>
      <c r="K727" t="s">
        <v>736</v>
      </c>
      <c r="L727" t="s">
        <v>736</v>
      </c>
      <c r="M727" t="s">
        <v>736</v>
      </c>
      <c r="N727" t="s">
        <v>736</v>
      </c>
      <c r="O727" t="s">
        <v>736</v>
      </c>
      <c r="P727" t="s">
        <v>736</v>
      </c>
      <c r="Q727" t="s">
        <v>736</v>
      </c>
      <c r="R727" t="s">
        <v>736</v>
      </c>
      <c r="S727" t="s">
        <v>736</v>
      </c>
      <c r="T727" t="s">
        <v>736</v>
      </c>
      <c r="U727" t="s">
        <v>736</v>
      </c>
      <c r="V727" t="s">
        <v>736</v>
      </c>
      <c r="W727" t="s">
        <v>736</v>
      </c>
      <c r="X727" t="s">
        <v>736</v>
      </c>
      <c r="Y727" t="s">
        <v>736</v>
      </c>
      <c r="Z727" t="s">
        <v>736</v>
      </c>
      <c r="AA727" t="s">
        <v>736</v>
      </c>
      <c r="AB727" t="s">
        <v>736</v>
      </c>
      <c r="AC727" t="s">
        <v>736</v>
      </c>
      <c r="AD727" t="s">
        <v>736</v>
      </c>
      <c r="AE727" t="s">
        <v>736</v>
      </c>
      <c r="AF727" t="s">
        <v>736</v>
      </c>
      <c r="AG727" t="s">
        <v>736</v>
      </c>
      <c r="AH727" t="s">
        <v>736</v>
      </c>
      <c r="AI727" t="s">
        <v>736</v>
      </c>
      <c r="AJ727" t="s">
        <v>736</v>
      </c>
      <c r="AK727" t="s">
        <v>736</v>
      </c>
      <c r="AL727" t="s">
        <v>736</v>
      </c>
      <c r="AM727" t="s">
        <v>736</v>
      </c>
      <c r="AN727" t="s">
        <v>736</v>
      </c>
      <c r="AO727" t="s">
        <v>736</v>
      </c>
      <c r="AP727" t="s">
        <v>736</v>
      </c>
      <c r="AQ727" t="s">
        <v>736</v>
      </c>
      <c r="AR727" t="s">
        <v>736</v>
      </c>
      <c r="AS727" t="s">
        <v>736</v>
      </c>
      <c r="AT727" t="s">
        <v>736</v>
      </c>
      <c r="AU727" t="s">
        <v>736</v>
      </c>
      <c r="AV727" t="s">
        <v>736</v>
      </c>
      <c r="AW727" t="s">
        <v>736</v>
      </c>
      <c r="AX727" t="s">
        <v>736</v>
      </c>
      <c r="AY727" t="s">
        <v>736</v>
      </c>
    </row>
    <row r="728" spans="1:51" x14ac:dyDescent="0.25">
      <c r="A728">
        <v>175</v>
      </c>
      <c r="B728">
        <v>10</v>
      </c>
      <c r="C728" t="s">
        <v>735</v>
      </c>
      <c r="D728" t="s">
        <v>96</v>
      </c>
      <c r="E728" t="s">
        <v>121</v>
      </c>
      <c r="F728" t="s">
        <v>107</v>
      </c>
      <c r="G728" t="s">
        <v>101</v>
      </c>
      <c r="H728" t="s">
        <v>78</v>
      </c>
      <c r="I728" t="s">
        <v>79</v>
      </c>
      <c r="J728" t="s">
        <v>70</v>
      </c>
      <c r="K728" t="s">
        <v>75</v>
      </c>
      <c r="L728" t="s">
        <v>76</v>
      </c>
      <c r="M728" t="s">
        <v>103</v>
      </c>
      <c r="N728" t="s">
        <v>74</v>
      </c>
      <c r="O728" t="s">
        <v>104</v>
      </c>
      <c r="P728" t="s">
        <v>71</v>
      </c>
      <c r="Q728" t="s">
        <v>71</v>
      </c>
      <c r="R728" t="s">
        <v>71</v>
      </c>
      <c r="S728">
        <v>0</v>
      </c>
      <c r="T728">
        <v>0</v>
      </c>
      <c r="U728" t="s">
        <v>72</v>
      </c>
      <c r="V728" t="s">
        <v>73</v>
      </c>
      <c r="W728">
        <v>0</v>
      </c>
      <c r="X728">
        <v>0</v>
      </c>
      <c r="Y728">
        <v>0</v>
      </c>
      <c r="Z728">
        <v>0</v>
      </c>
      <c r="AA728">
        <v>0</v>
      </c>
      <c r="AB728">
        <v>0</v>
      </c>
      <c r="AC728">
        <v>0</v>
      </c>
      <c r="AD728">
        <v>0</v>
      </c>
      <c r="AE728">
        <v>0</v>
      </c>
      <c r="AF728">
        <v>0</v>
      </c>
      <c r="AG728" t="s">
        <v>71</v>
      </c>
      <c r="AH728">
        <v>0</v>
      </c>
      <c r="AI728">
        <v>0</v>
      </c>
      <c r="AJ728">
        <v>0</v>
      </c>
      <c r="AK728">
        <v>0</v>
      </c>
      <c r="AL728" t="s">
        <v>91</v>
      </c>
      <c r="AM728" t="s">
        <v>93</v>
      </c>
      <c r="AN728" t="s">
        <v>94</v>
      </c>
      <c r="AO728" t="s">
        <v>92</v>
      </c>
      <c r="AP728">
        <v>0</v>
      </c>
      <c r="AQ728">
        <v>0</v>
      </c>
      <c r="AR728">
        <v>0</v>
      </c>
      <c r="AS728">
        <v>0</v>
      </c>
      <c r="AT728">
        <v>0</v>
      </c>
      <c r="AU728">
        <v>0</v>
      </c>
      <c r="AV728">
        <v>0</v>
      </c>
      <c r="AW728">
        <v>0</v>
      </c>
      <c r="AX728">
        <v>0</v>
      </c>
      <c r="AY728">
        <v>0</v>
      </c>
    </row>
    <row r="729" spans="1:51" x14ac:dyDescent="0.25">
      <c r="A729">
        <v>175</v>
      </c>
      <c r="B729">
        <v>5010</v>
      </c>
      <c r="C729" t="s">
        <v>735</v>
      </c>
      <c r="D729" t="s">
        <v>96</v>
      </c>
      <c r="E729" t="s">
        <v>121</v>
      </c>
      <c r="F729" t="s">
        <v>107</v>
      </c>
      <c r="G729" t="s">
        <v>101</v>
      </c>
      <c r="H729" t="s">
        <v>78</v>
      </c>
      <c r="I729" t="s">
        <v>79</v>
      </c>
      <c r="J729" t="s">
        <v>70</v>
      </c>
      <c r="K729" t="s">
        <v>75</v>
      </c>
      <c r="L729" t="s">
        <v>76</v>
      </c>
      <c r="M729" t="s">
        <v>103</v>
      </c>
      <c r="N729" t="s">
        <v>74</v>
      </c>
      <c r="O729" t="s">
        <v>104</v>
      </c>
      <c r="P729" t="s">
        <v>71</v>
      </c>
      <c r="Q729" t="s">
        <v>71</v>
      </c>
      <c r="R729" t="s">
        <v>71</v>
      </c>
      <c r="S729">
        <v>0</v>
      </c>
      <c r="T729">
        <v>0</v>
      </c>
      <c r="U729" t="s">
        <v>72</v>
      </c>
      <c r="V729" t="s">
        <v>73</v>
      </c>
      <c r="W729">
        <v>0</v>
      </c>
      <c r="X729">
        <v>0</v>
      </c>
      <c r="Y729">
        <v>0</v>
      </c>
      <c r="Z729">
        <v>0</v>
      </c>
      <c r="AA729">
        <v>0</v>
      </c>
      <c r="AB729">
        <v>0</v>
      </c>
      <c r="AC729">
        <v>0</v>
      </c>
      <c r="AD729">
        <v>0</v>
      </c>
      <c r="AE729">
        <v>0</v>
      </c>
      <c r="AF729">
        <v>0</v>
      </c>
      <c r="AG729" t="s">
        <v>71</v>
      </c>
      <c r="AH729">
        <v>0</v>
      </c>
      <c r="AI729">
        <v>0</v>
      </c>
      <c r="AJ729">
        <v>0</v>
      </c>
      <c r="AK729">
        <v>0</v>
      </c>
      <c r="AL729" t="s">
        <v>91</v>
      </c>
      <c r="AM729" t="s">
        <v>93</v>
      </c>
      <c r="AN729" t="s">
        <v>94</v>
      </c>
      <c r="AO729" t="s">
        <v>92</v>
      </c>
      <c r="AP729">
        <v>0</v>
      </c>
      <c r="AQ729">
        <v>0</v>
      </c>
      <c r="AR729">
        <v>0</v>
      </c>
      <c r="AS729">
        <v>0</v>
      </c>
      <c r="AT729">
        <v>0</v>
      </c>
      <c r="AU729">
        <v>0</v>
      </c>
      <c r="AV729">
        <v>0</v>
      </c>
      <c r="AW729">
        <v>0</v>
      </c>
      <c r="AX729">
        <v>0</v>
      </c>
      <c r="AY729">
        <v>0</v>
      </c>
    </row>
    <row r="730" spans="1:51" x14ac:dyDescent="0.25">
      <c r="A730">
        <v>175</v>
      </c>
      <c r="B730">
        <v>5020</v>
      </c>
      <c r="C730" t="s">
        <v>735</v>
      </c>
      <c r="D730" t="s">
        <v>96</v>
      </c>
      <c r="E730" t="s">
        <v>121</v>
      </c>
      <c r="F730" t="s">
        <v>107</v>
      </c>
      <c r="G730" t="s">
        <v>101</v>
      </c>
      <c r="H730" t="s">
        <v>78</v>
      </c>
      <c r="I730" t="s">
        <v>79</v>
      </c>
      <c r="J730" t="s">
        <v>70</v>
      </c>
      <c r="K730" t="s">
        <v>75</v>
      </c>
      <c r="L730" t="s">
        <v>76</v>
      </c>
      <c r="M730" t="s">
        <v>103</v>
      </c>
      <c r="N730" t="s">
        <v>74</v>
      </c>
      <c r="O730" t="s">
        <v>104</v>
      </c>
      <c r="P730" t="s">
        <v>71</v>
      </c>
      <c r="Q730" t="s">
        <v>71</v>
      </c>
      <c r="R730" t="s">
        <v>71</v>
      </c>
      <c r="S730">
        <v>0</v>
      </c>
      <c r="T730">
        <v>0</v>
      </c>
      <c r="U730" t="s">
        <v>72</v>
      </c>
      <c r="V730" t="s">
        <v>73</v>
      </c>
      <c r="W730">
        <v>0</v>
      </c>
      <c r="X730">
        <v>0</v>
      </c>
      <c r="Y730">
        <v>0</v>
      </c>
      <c r="Z730">
        <v>0</v>
      </c>
      <c r="AA730">
        <v>0</v>
      </c>
      <c r="AB730">
        <v>0</v>
      </c>
      <c r="AC730">
        <v>0</v>
      </c>
      <c r="AD730">
        <v>0</v>
      </c>
      <c r="AE730">
        <v>0</v>
      </c>
      <c r="AF730">
        <v>0</v>
      </c>
      <c r="AG730" t="s">
        <v>71</v>
      </c>
      <c r="AH730">
        <v>0</v>
      </c>
      <c r="AI730">
        <v>0</v>
      </c>
      <c r="AJ730">
        <v>0</v>
      </c>
      <c r="AK730">
        <v>0</v>
      </c>
      <c r="AL730" t="s">
        <v>108</v>
      </c>
      <c r="AM730" t="s">
        <v>93</v>
      </c>
      <c r="AN730" t="s">
        <v>94</v>
      </c>
      <c r="AO730" t="s">
        <v>92</v>
      </c>
      <c r="AP730">
        <v>0</v>
      </c>
      <c r="AQ730">
        <v>0</v>
      </c>
      <c r="AR730">
        <v>0</v>
      </c>
      <c r="AS730">
        <v>0</v>
      </c>
      <c r="AT730">
        <v>0</v>
      </c>
      <c r="AU730">
        <v>0</v>
      </c>
      <c r="AV730">
        <v>0</v>
      </c>
      <c r="AW730">
        <v>0</v>
      </c>
      <c r="AX730">
        <v>0</v>
      </c>
      <c r="AY730">
        <v>0</v>
      </c>
    </row>
    <row r="731" spans="1:51" x14ac:dyDescent="0.25">
      <c r="A731">
        <v>175</v>
      </c>
      <c r="B731">
        <v>5030</v>
      </c>
      <c r="C731" t="s">
        <v>735</v>
      </c>
      <c r="D731" t="s">
        <v>96</v>
      </c>
      <c r="E731" t="s">
        <v>121</v>
      </c>
      <c r="F731" t="s">
        <v>107</v>
      </c>
      <c r="G731" t="s">
        <v>101</v>
      </c>
      <c r="H731" t="s">
        <v>78</v>
      </c>
      <c r="I731" t="s">
        <v>79</v>
      </c>
      <c r="J731" t="s">
        <v>70</v>
      </c>
      <c r="K731" t="s">
        <v>75</v>
      </c>
      <c r="L731" t="s">
        <v>76</v>
      </c>
      <c r="M731" t="s">
        <v>103</v>
      </c>
      <c r="N731" t="s">
        <v>74</v>
      </c>
      <c r="O731" t="s">
        <v>104</v>
      </c>
      <c r="P731" t="s">
        <v>71</v>
      </c>
      <c r="Q731" t="s">
        <v>71</v>
      </c>
      <c r="R731" t="s">
        <v>71</v>
      </c>
      <c r="S731">
        <v>0</v>
      </c>
      <c r="T731">
        <v>0</v>
      </c>
      <c r="U731" t="s">
        <v>72</v>
      </c>
      <c r="V731" t="s">
        <v>73</v>
      </c>
      <c r="W731">
        <v>0</v>
      </c>
      <c r="X731">
        <v>0</v>
      </c>
      <c r="Y731">
        <v>0</v>
      </c>
      <c r="Z731">
        <v>0</v>
      </c>
      <c r="AA731">
        <v>0</v>
      </c>
      <c r="AB731">
        <v>0</v>
      </c>
      <c r="AC731">
        <v>0</v>
      </c>
      <c r="AD731">
        <v>0</v>
      </c>
      <c r="AE731">
        <v>0</v>
      </c>
      <c r="AF731">
        <v>0</v>
      </c>
      <c r="AG731" t="s">
        <v>71</v>
      </c>
      <c r="AH731">
        <v>0</v>
      </c>
      <c r="AI731">
        <v>0</v>
      </c>
      <c r="AJ731">
        <v>0</v>
      </c>
      <c r="AK731">
        <v>0</v>
      </c>
      <c r="AL731" t="s">
        <v>108</v>
      </c>
      <c r="AM731" t="s">
        <v>93</v>
      </c>
      <c r="AN731" t="s">
        <v>94</v>
      </c>
      <c r="AO731" t="s">
        <v>92</v>
      </c>
      <c r="AP731">
        <v>0</v>
      </c>
      <c r="AQ731">
        <v>0</v>
      </c>
      <c r="AR731">
        <v>0</v>
      </c>
      <c r="AS731">
        <v>0</v>
      </c>
      <c r="AT731">
        <v>0</v>
      </c>
      <c r="AU731">
        <v>0</v>
      </c>
      <c r="AV731">
        <v>0</v>
      </c>
      <c r="AW731">
        <v>0</v>
      </c>
      <c r="AX731">
        <v>0</v>
      </c>
      <c r="AY731">
        <v>0</v>
      </c>
    </row>
    <row r="732" spans="1:51" x14ac:dyDescent="0.25">
      <c r="A732">
        <v>175</v>
      </c>
      <c r="B732">
        <v>10010</v>
      </c>
      <c r="C732" t="s">
        <v>735</v>
      </c>
      <c r="D732" t="s">
        <v>96</v>
      </c>
      <c r="E732" t="s">
        <v>121</v>
      </c>
      <c r="F732" t="s">
        <v>107</v>
      </c>
      <c r="G732" t="s">
        <v>101</v>
      </c>
      <c r="H732" t="s">
        <v>78</v>
      </c>
      <c r="I732" t="s">
        <v>79</v>
      </c>
      <c r="J732" t="s">
        <v>70</v>
      </c>
      <c r="K732" t="s">
        <v>75</v>
      </c>
      <c r="L732" t="s">
        <v>76</v>
      </c>
      <c r="M732" t="s">
        <v>103</v>
      </c>
      <c r="N732" t="s">
        <v>74</v>
      </c>
      <c r="O732" t="s">
        <v>104</v>
      </c>
      <c r="P732" t="s">
        <v>71</v>
      </c>
      <c r="Q732" t="s">
        <v>71</v>
      </c>
      <c r="R732" t="s">
        <v>71</v>
      </c>
      <c r="S732">
        <v>0</v>
      </c>
      <c r="T732">
        <v>0</v>
      </c>
      <c r="U732" t="s">
        <v>72</v>
      </c>
      <c r="V732" t="s">
        <v>73</v>
      </c>
      <c r="W732">
        <v>0</v>
      </c>
      <c r="X732">
        <v>0</v>
      </c>
      <c r="Y732">
        <v>0</v>
      </c>
      <c r="Z732">
        <v>0</v>
      </c>
      <c r="AA732">
        <v>0</v>
      </c>
      <c r="AB732">
        <v>0</v>
      </c>
      <c r="AC732">
        <v>0</v>
      </c>
      <c r="AD732">
        <v>0</v>
      </c>
      <c r="AE732">
        <v>0</v>
      </c>
      <c r="AF732">
        <v>0</v>
      </c>
      <c r="AG732" t="s">
        <v>71</v>
      </c>
      <c r="AH732">
        <v>0</v>
      </c>
      <c r="AI732">
        <v>0</v>
      </c>
      <c r="AJ732">
        <v>0</v>
      </c>
      <c r="AK732">
        <v>0</v>
      </c>
      <c r="AL732" t="s">
        <v>108</v>
      </c>
      <c r="AM732" t="s">
        <v>93</v>
      </c>
      <c r="AN732" t="s">
        <v>94</v>
      </c>
      <c r="AO732" t="s">
        <v>92</v>
      </c>
      <c r="AP732">
        <v>0</v>
      </c>
      <c r="AQ732">
        <v>0</v>
      </c>
      <c r="AR732">
        <v>0</v>
      </c>
      <c r="AS732">
        <v>0</v>
      </c>
      <c r="AT732">
        <v>0</v>
      </c>
      <c r="AU732">
        <v>0</v>
      </c>
      <c r="AV732">
        <v>0</v>
      </c>
      <c r="AW732">
        <v>0</v>
      </c>
      <c r="AX732">
        <v>0</v>
      </c>
      <c r="AY732">
        <v>0</v>
      </c>
    </row>
    <row r="733" spans="1:51" x14ac:dyDescent="0.25">
      <c r="A733">
        <v>175</v>
      </c>
      <c r="B733">
        <v>10020</v>
      </c>
      <c r="C733" t="s">
        <v>735</v>
      </c>
      <c r="D733" t="s">
        <v>96</v>
      </c>
      <c r="E733" t="s">
        <v>121</v>
      </c>
      <c r="F733" t="s">
        <v>107</v>
      </c>
      <c r="G733" t="s">
        <v>101</v>
      </c>
      <c r="H733" t="s">
        <v>78</v>
      </c>
      <c r="I733" t="s">
        <v>79</v>
      </c>
      <c r="J733" t="s">
        <v>70</v>
      </c>
      <c r="K733" t="s">
        <v>75</v>
      </c>
      <c r="L733" t="s">
        <v>76</v>
      </c>
      <c r="M733" t="s">
        <v>103</v>
      </c>
      <c r="N733" t="s">
        <v>74</v>
      </c>
      <c r="O733" t="s">
        <v>104</v>
      </c>
      <c r="P733" t="s">
        <v>71</v>
      </c>
      <c r="Q733" t="s">
        <v>71</v>
      </c>
      <c r="R733" t="s">
        <v>71</v>
      </c>
      <c r="S733">
        <v>0</v>
      </c>
      <c r="T733">
        <v>0</v>
      </c>
      <c r="U733" t="s">
        <v>72</v>
      </c>
      <c r="V733" t="s">
        <v>73</v>
      </c>
      <c r="W733">
        <v>0</v>
      </c>
      <c r="X733">
        <v>0</v>
      </c>
      <c r="Y733">
        <v>0</v>
      </c>
      <c r="Z733">
        <v>0</v>
      </c>
      <c r="AA733">
        <v>0</v>
      </c>
      <c r="AB733">
        <v>0</v>
      </c>
      <c r="AC733">
        <v>0</v>
      </c>
      <c r="AD733">
        <v>0</v>
      </c>
      <c r="AE733">
        <v>0</v>
      </c>
      <c r="AF733">
        <v>0</v>
      </c>
      <c r="AG733" t="s">
        <v>71</v>
      </c>
      <c r="AH733">
        <v>0</v>
      </c>
      <c r="AI733">
        <v>0</v>
      </c>
      <c r="AJ733">
        <v>0</v>
      </c>
      <c r="AK733">
        <v>0</v>
      </c>
      <c r="AL733" t="s">
        <v>108</v>
      </c>
      <c r="AM733" t="s">
        <v>93</v>
      </c>
      <c r="AN733" t="s">
        <v>94</v>
      </c>
      <c r="AO733" t="s">
        <v>92</v>
      </c>
      <c r="AP733">
        <v>0</v>
      </c>
      <c r="AQ733">
        <v>0</v>
      </c>
      <c r="AR733">
        <v>0</v>
      </c>
      <c r="AS733">
        <v>0</v>
      </c>
      <c r="AT733">
        <v>0</v>
      </c>
      <c r="AU733">
        <v>0</v>
      </c>
      <c r="AV733">
        <v>0</v>
      </c>
      <c r="AW733">
        <v>0</v>
      </c>
      <c r="AX733">
        <v>0</v>
      </c>
      <c r="AY733">
        <v>0</v>
      </c>
    </row>
    <row r="734" spans="1:51" x14ac:dyDescent="0.25">
      <c r="A734">
        <v>175</v>
      </c>
      <c r="B734">
        <v>10030</v>
      </c>
      <c r="C734" t="s">
        <v>735</v>
      </c>
      <c r="D734" t="s">
        <v>96</v>
      </c>
      <c r="E734" t="s">
        <v>121</v>
      </c>
      <c r="F734" t="s">
        <v>107</v>
      </c>
      <c r="G734" t="s">
        <v>77</v>
      </c>
      <c r="H734" t="s">
        <v>78</v>
      </c>
      <c r="I734" t="s">
        <v>79</v>
      </c>
      <c r="J734" t="s">
        <v>70</v>
      </c>
      <c r="K734" t="s">
        <v>75</v>
      </c>
      <c r="L734" t="s">
        <v>76</v>
      </c>
      <c r="M734" t="s">
        <v>103</v>
      </c>
      <c r="N734" t="s">
        <v>74</v>
      </c>
      <c r="O734" t="s">
        <v>104</v>
      </c>
      <c r="P734" t="s">
        <v>71</v>
      </c>
      <c r="Q734" t="s">
        <v>71</v>
      </c>
      <c r="R734" t="s">
        <v>71</v>
      </c>
      <c r="S734">
        <v>0</v>
      </c>
      <c r="T734">
        <v>1</v>
      </c>
      <c r="U734" t="s">
        <v>72</v>
      </c>
      <c r="V734" t="s">
        <v>73</v>
      </c>
      <c r="W734">
        <v>0</v>
      </c>
      <c r="X734">
        <v>0</v>
      </c>
      <c r="Y734">
        <v>0</v>
      </c>
      <c r="Z734">
        <v>0</v>
      </c>
      <c r="AA734">
        <v>0</v>
      </c>
      <c r="AB734">
        <v>0</v>
      </c>
      <c r="AC734">
        <v>0</v>
      </c>
      <c r="AD734">
        <v>0</v>
      </c>
      <c r="AE734">
        <v>0</v>
      </c>
      <c r="AF734">
        <v>0</v>
      </c>
      <c r="AG734" t="s">
        <v>71</v>
      </c>
      <c r="AH734">
        <v>0</v>
      </c>
      <c r="AI734">
        <v>0</v>
      </c>
      <c r="AJ734">
        <v>0</v>
      </c>
      <c r="AK734">
        <v>0</v>
      </c>
      <c r="AL734" t="s">
        <v>146</v>
      </c>
      <c r="AM734" t="s">
        <v>93</v>
      </c>
      <c r="AN734" t="s">
        <v>148</v>
      </c>
      <c r="AO734" t="s">
        <v>147</v>
      </c>
      <c r="AP734">
        <v>0</v>
      </c>
      <c r="AQ734">
        <v>0</v>
      </c>
      <c r="AR734">
        <v>128</v>
      </c>
      <c r="AS734">
        <v>0</v>
      </c>
      <c r="AT734">
        <v>0</v>
      </c>
      <c r="AU734">
        <v>0</v>
      </c>
      <c r="AV734">
        <v>0</v>
      </c>
      <c r="AW734">
        <v>0</v>
      </c>
      <c r="AX734">
        <v>0</v>
      </c>
      <c r="AY734">
        <v>0</v>
      </c>
    </row>
    <row r="735" spans="1:51" x14ac:dyDescent="0.25">
      <c r="A735">
        <v>175</v>
      </c>
      <c r="B735">
        <v>10040</v>
      </c>
      <c r="C735" t="s">
        <v>735</v>
      </c>
      <c r="D735" t="s">
        <v>96</v>
      </c>
      <c r="E735" t="s">
        <v>100</v>
      </c>
      <c r="F735" t="s">
        <v>107</v>
      </c>
      <c r="G735" t="s">
        <v>77</v>
      </c>
      <c r="H735" t="s">
        <v>78</v>
      </c>
      <c r="I735" t="s">
        <v>79</v>
      </c>
      <c r="J735" t="s">
        <v>70</v>
      </c>
      <c r="K735" t="s">
        <v>75</v>
      </c>
      <c r="L735" t="s">
        <v>76</v>
      </c>
      <c r="M735" t="s">
        <v>103</v>
      </c>
      <c r="N735" t="s">
        <v>74</v>
      </c>
      <c r="O735" t="s">
        <v>104</v>
      </c>
      <c r="P735" t="s">
        <v>71</v>
      </c>
      <c r="Q735" t="s">
        <v>71</v>
      </c>
      <c r="R735" t="s">
        <v>71</v>
      </c>
      <c r="S735">
        <v>0</v>
      </c>
      <c r="T735">
        <v>1</v>
      </c>
      <c r="U735" t="s">
        <v>72</v>
      </c>
      <c r="V735" t="s">
        <v>192</v>
      </c>
      <c r="W735">
        <v>0</v>
      </c>
      <c r="X735">
        <v>0</v>
      </c>
      <c r="Y735">
        <v>0</v>
      </c>
      <c r="Z735">
        <v>0</v>
      </c>
      <c r="AA735">
        <v>0</v>
      </c>
      <c r="AB735">
        <v>0</v>
      </c>
      <c r="AC735">
        <v>0</v>
      </c>
      <c r="AD735">
        <v>0</v>
      </c>
      <c r="AE735">
        <v>0</v>
      </c>
      <c r="AF735">
        <v>0</v>
      </c>
      <c r="AG735" t="s">
        <v>71</v>
      </c>
      <c r="AH735">
        <v>0</v>
      </c>
      <c r="AI735">
        <v>0</v>
      </c>
      <c r="AJ735">
        <v>0</v>
      </c>
      <c r="AK735">
        <v>0</v>
      </c>
      <c r="AL735" t="s">
        <v>146</v>
      </c>
      <c r="AM735" t="s">
        <v>93</v>
      </c>
      <c r="AN735" t="s">
        <v>94</v>
      </c>
      <c r="AO735" t="s">
        <v>147</v>
      </c>
      <c r="AP735">
        <v>0</v>
      </c>
      <c r="AQ735">
        <v>0</v>
      </c>
      <c r="AR735">
        <v>128</v>
      </c>
      <c r="AS735">
        <v>0</v>
      </c>
      <c r="AT735">
        <v>0</v>
      </c>
      <c r="AU735">
        <v>0</v>
      </c>
      <c r="AV735">
        <v>0</v>
      </c>
      <c r="AW735">
        <v>0</v>
      </c>
      <c r="AX735">
        <v>0</v>
      </c>
      <c r="AY735">
        <v>0</v>
      </c>
    </row>
    <row r="736" spans="1:51" x14ac:dyDescent="0.25">
      <c r="A736">
        <v>175</v>
      </c>
      <c r="B736">
        <v>10050</v>
      </c>
      <c r="C736" t="s">
        <v>735</v>
      </c>
      <c r="D736" t="s">
        <v>96</v>
      </c>
      <c r="E736" t="s">
        <v>100</v>
      </c>
      <c r="F736" t="s">
        <v>107</v>
      </c>
      <c r="G736" t="s">
        <v>77</v>
      </c>
      <c r="H736" t="s">
        <v>78</v>
      </c>
      <c r="I736" t="s">
        <v>79</v>
      </c>
      <c r="J736" t="s">
        <v>150</v>
      </c>
      <c r="K736" t="s">
        <v>75</v>
      </c>
      <c r="L736" t="s">
        <v>76</v>
      </c>
      <c r="M736" t="s">
        <v>103</v>
      </c>
      <c r="N736" t="s">
        <v>74</v>
      </c>
      <c r="O736" t="s">
        <v>104</v>
      </c>
      <c r="P736" t="s">
        <v>71</v>
      </c>
      <c r="Q736" t="s">
        <v>71</v>
      </c>
      <c r="R736" t="s">
        <v>71</v>
      </c>
      <c r="S736">
        <v>0</v>
      </c>
      <c r="T736">
        <v>1</v>
      </c>
      <c r="U736" t="s">
        <v>72</v>
      </c>
      <c r="V736" t="s">
        <v>192</v>
      </c>
      <c r="W736">
        <v>0</v>
      </c>
      <c r="X736">
        <v>0</v>
      </c>
      <c r="Y736">
        <v>0</v>
      </c>
      <c r="Z736">
        <v>0</v>
      </c>
      <c r="AA736">
        <v>0</v>
      </c>
      <c r="AB736">
        <v>0</v>
      </c>
      <c r="AC736">
        <v>0</v>
      </c>
      <c r="AD736">
        <v>0</v>
      </c>
      <c r="AE736">
        <v>0</v>
      </c>
      <c r="AF736">
        <v>0</v>
      </c>
      <c r="AG736" t="s">
        <v>71</v>
      </c>
      <c r="AH736">
        <v>0</v>
      </c>
      <c r="AI736">
        <v>0</v>
      </c>
      <c r="AJ736">
        <v>0</v>
      </c>
      <c r="AK736">
        <v>0</v>
      </c>
      <c r="AL736" t="s">
        <v>342</v>
      </c>
      <c r="AM736" t="s">
        <v>254</v>
      </c>
      <c r="AN736" t="s">
        <v>94</v>
      </c>
      <c r="AO736" t="s">
        <v>147</v>
      </c>
      <c r="AP736">
        <v>0</v>
      </c>
      <c r="AQ736">
        <v>0</v>
      </c>
      <c r="AR736">
        <v>0</v>
      </c>
      <c r="AS736">
        <v>0</v>
      </c>
      <c r="AT736">
        <v>0</v>
      </c>
      <c r="AU736">
        <v>0</v>
      </c>
      <c r="AV736">
        <v>0</v>
      </c>
      <c r="AW736">
        <v>0</v>
      </c>
      <c r="AX736">
        <v>0</v>
      </c>
      <c r="AY736">
        <v>0</v>
      </c>
    </row>
    <row r="737" spans="1:51" x14ac:dyDescent="0.25">
      <c r="A737">
        <v>175</v>
      </c>
      <c r="B737">
        <v>10060</v>
      </c>
      <c r="C737" t="s">
        <v>735</v>
      </c>
      <c r="D737" t="s">
        <v>96</v>
      </c>
      <c r="E737" t="s">
        <v>100</v>
      </c>
      <c r="F737" t="s">
        <v>107</v>
      </c>
      <c r="G737" t="s">
        <v>77</v>
      </c>
      <c r="H737" t="s">
        <v>78</v>
      </c>
      <c r="I737" t="s">
        <v>79</v>
      </c>
      <c r="J737" t="s">
        <v>150</v>
      </c>
      <c r="K737" t="s">
        <v>75</v>
      </c>
      <c r="L737" t="s">
        <v>76</v>
      </c>
      <c r="M737" t="s">
        <v>103</v>
      </c>
      <c r="N737" t="s">
        <v>74</v>
      </c>
      <c r="O737" t="s">
        <v>104</v>
      </c>
      <c r="P737" t="s">
        <v>71</v>
      </c>
      <c r="Q737" t="s">
        <v>110</v>
      </c>
      <c r="R737" t="s">
        <v>71</v>
      </c>
      <c r="S737">
        <v>1</v>
      </c>
      <c r="T737">
        <v>1</v>
      </c>
      <c r="U737" t="s">
        <v>72</v>
      </c>
      <c r="V737" t="s">
        <v>192</v>
      </c>
      <c r="W737">
        <v>0</v>
      </c>
      <c r="X737">
        <v>0</v>
      </c>
      <c r="Y737">
        <v>0</v>
      </c>
      <c r="Z737">
        <v>0</v>
      </c>
      <c r="AA737">
        <v>0</v>
      </c>
      <c r="AB737">
        <v>0</v>
      </c>
      <c r="AC737">
        <v>0</v>
      </c>
      <c r="AD737">
        <v>0</v>
      </c>
      <c r="AE737">
        <v>0</v>
      </c>
      <c r="AF737">
        <v>0</v>
      </c>
      <c r="AG737" t="s">
        <v>71</v>
      </c>
      <c r="AH737">
        <v>0</v>
      </c>
      <c r="AI737">
        <v>0</v>
      </c>
      <c r="AJ737">
        <v>0</v>
      </c>
      <c r="AK737">
        <v>0</v>
      </c>
      <c r="AL737" t="s">
        <v>438</v>
      </c>
      <c r="AM737" t="s">
        <v>491</v>
      </c>
      <c r="AN737" t="s">
        <v>94</v>
      </c>
      <c r="AO737" t="s">
        <v>147</v>
      </c>
      <c r="AP737">
        <v>0</v>
      </c>
      <c r="AQ737">
        <v>0</v>
      </c>
      <c r="AR737">
        <v>0</v>
      </c>
      <c r="AS737">
        <v>0</v>
      </c>
      <c r="AT737">
        <v>0</v>
      </c>
      <c r="AU737">
        <v>0</v>
      </c>
      <c r="AV737">
        <v>0</v>
      </c>
      <c r="AW737">
        <v>0</v>
      </c>
      <c r="AX737">
        <v>0</v>
      </c>
      <c r="AY737">
        <v>0</v>
      </c>
    </row>
    <row r="738" spans="1:51" x14ac:dyDescent="0.25">
      <c r="A738">
        <v>201</v>
      </c>
      <c r="B738">
        <v>10070</v>
      </c>
      <c r="C738" t="s">
        <v>735</v>
      </c>
      <c r="D738" t="s">
        <v>96</v>
      </c>
      <c r="E738" t="s">
        <v>100</v>
      </c>
      <c r="F738" t="s">
        <v>107</v>
      </c>
      <c r="G738" t="s">
        <v>77</v>
      </c>
      <c r="H738" t="s">
        <v>78</v>
      </c>
      <c r="I738" t="s">
        <v>79</v>
      </c>
      <c r="J738" t="s">
        <v>150</v>
      </c>
      <c r="K738" t="s">
        <v>75</v>
      </c>
      <c r="L738" t="s">
        <v>76</v>
      </c>
      <c r="M738" t="s">
        <v>103</v>
      </c>
      <c r="N738" t="s">
        <v>74</v>
      </c>
      <c r="O738" t="s">
        <v>104</v>
      </c>
      <c r="P738" t="s">
        <v>71</v>
      </c>
      <c r="Q738" t="s">
        <v>71</v>
      </c>
      <c r="R738" t="s">
        <v>71</v>
      </c>
      <c r="S738">
        <v>1</v>
      </c>
      <c r="T738">
        <v>1</v>
      </c>
      <c r="U738" t="s">
        <v>72</v>
      </c>
      <c r="V738" t="s">
        <v>192</v>
      </c>
      <c r="W738">
        <v>0</v>
      </c>
      <c r="X738">
        <v>0</v>
      </c>
      <c r="Y738">
        <v>0</v>
      </c>
      <c r="Z738">
        <v>0</v>
      </c>
      <c r="AA738">
        <v>0</v>
      </c>
      <c r="AB738">
        <v>0</v>
      </c>
      <c r="AC738">
        <v>0</v>
      </c>
      <c r="AD738">
        <v>0</v>
      </c>
      <c r="AE738">
        <v>0</v>
      </c>
      <c r="AF738">
        <v>0</v>
      </c>
      <c r="AG738" t="s">
        <v>71</v>
      </c>
      <c r="AH738">
        <v>0</v>
      </c>
      <c r="AI738">
        <v>0</v>
      </c>
      <c r="AJ738">
        <v>0</v>
      </c>
      <c r="AK738">
        <v>0</v>
      </c>
      <c r="AL738" t="s">
        <v>438</v>
      </c>
      <c r="AM738" t="s">
        <v>491</v>
      </c>
      <c r="AN738" t="s">
        <v>94</v>
      </c>
      <c r="AO738" t="s">
        <v>147</v>
      </c>
      <c r="AP738">
        <v>0</v>
      </c>
      <c r="AQ738">
        <v>0</v>
      </c>
      <c r="AR738">
        <v>0</v>
      </c>
      <c r="AS738">
        <v>0</v>
      </c>
      <c r="AT738">
        <v>0</v>
      </c>
      <c r="AU738">
        <v>0</v>
      </c>
      <c r="AV738">
        <v>0</v>
      </c>
      <c r="AW738">
        <v>0</v>
      </c>
      <c r="AX738">
        <v>0</v>
      </c>
      <c r="AY738">
        <v>0</v>
      </c>
    </row>
    <row r="739" spans="1:51" x14ac:dyDescent="0.25">
      <c r="A739">
        <v>202</v>
      </c>
      <c r="B739">
        <v>10080</v>
      </c>
      <c r="C739" t="s">
        <v>735</v>
      </c>
      <c r="D739" t="s">
        <v>96</v>
      </c>
      <c r="E739" t="s">
        <v>100</v>
      </c>
      <c r="F739" t="s">
        <v>107</v>
      </c>
      <c r="G739" t="s">
        <v>77</v>
      </c>
      <c r="H739" t="s">
        <v>78</v>
      </c>
      <c r="I739" t="s">
        <v>79</v>
      </c>
      <c r="J739" t="s">
        <v>150</v>
      </c>
      <c r="K739" t="s">
        <v>75</v>
      </c>
      <c r="L739" t="s">
        <v>76</v>
      </c>
      <c r="M739" t="s">
        <v>103</v>
      </c>
      <c r="N739" t="s">
        <v>74</v>
      </c>
      <c r="O739" t="s">
        <v>104</v>
      </c>
      <c r="P739" t="s">
        <v>299</v>
      </c>
      <c r="Q739" t="s">
        <v>299</v>
      </c>
      <c r="R739" t="s">
        <v>299</v>
      </c>
      <c r="S739">
        <v>1</v>
      </c>
      <c r="T739">
        <v>1</v>
      </c>
      <c r="U739" t="s">
        <v>72</v>
      </c>
      <c r="V739" t="s">
        <v>192</v>
      </c>
      <c r="W739">
        <v>0</v>
      </c>
      <c r="X739">
        <v>0</v>
      </c>
      <c r="Y739">
        <v>0</v>
      </c>
      <c r="Z739">
        <v>0</v>
      </c>
      <c r="AA739">
        <v>0</v>
      </c>
      <c r="AB739">
        <v>0</v>
      </c>
      <c r="AC739">
        <v>0</v>
      </c>
      <c r="AD739">
        <v>0</v>
      </c>
      <c r="AE739">
        <v>0</v>
      </c>
      <c r="AF739">
        <v>0</v>
      </c>
      <c r="AG739" t="s">
        <v>71</v>
      </c>
      <c r="AH739">
        <v>0</v>
      </c>
      <c r="AI739">
        <v>0</v>
      </c>
      <c r="AJ739">
        <v>0</v>
      </c>
      <c r="AK739">
        <v>0</v>
      </c>
      <c r="AL739" t="s">
        <v>438</v>
      </c>
      <c r="AM739" t="s">
        <v>491</v>
      </c>
      <c r="AN739" t="s">
        <v>94</v>
      </c>
      <c r="AO739" t="s">
        <v>147</v>
      </c>
      <c r="AP739">
        <v>0</v>
      </c>
      <c r="AQ739">
        <v>0</v>
      </c>
      <c r="AR739">
        <v>0</v>
      </c>
      <c r="AS739">
        <v>0</v>
      </c>
      <c r="AT739">
        <v>0</v>
      </c>
      <c r="AU739">
        <v>0</v>
      </c>
      <c r="AV739">
        <v>0</v>
      </c>
      <c r="AW739">
        <v>0</v>
      </c>
      <c r="AX739">
        <v>0</v>
      </c>
      <c r="AY739">
        <v>0</v>
      </c>
    </row>
    <row r="740" spans="1:51" x14ac:dyDescent="0.25">
      <c r="A740">
        <v>176</v>
      </c>
      <c r="B740">
        <v>10090</v>
      </c>
      <c r="C740" t="s">
        <v>735</v>
      </c>
      <c r="D740" t="s">
        <v>96</v>
      </c>
      <c r="E740" t="s">
        <v>100</v>
      </c>
      <c r="F740" t="s">
        <v>98</v>
      </c>
      <c r="G740" t="s">
        <v>77</v>
      </c>
      <c r="H740" t="s">
        <v>180</v>
      </c>
      <c r="I740" t="s">
        <v>79</v>
      </c>
      <c r="J740" t="s">
        <v>150</v>
      </c>
      <c r="K740" t="s">
        <v>75</v>
      </c>
      <c r="L740" t="s">
        <v>76</v>
      </c>
      <c r="M740" t="s">
        <v>103</v>
      </c>
      <c r="N740" t="s">
        <v>74</v>
      </c>
      <c r="O740" t="s">
        <v>104</v>
      </c>
      <c r="P740" t="s">
        <v>110</v>
      </c>
      <c r="Q740" t="s">
        <v>71</v>
      </c>
      <c r="R740" t="s">
        <v>71</v>
      </c>
      <c r="S740">
        <v>1</v>
      </c>
      <c r="T740">
        <v>1</v>
      </c>
      <c r="U740" t="s">
        <v>72</v>
      </c>
      <c r="V740" t="s">
        <v>192</v>
      </c>
      <c r="W740">
        <v>0</v>
      </c>
      <c r="X740">
        <v>0</v>
      </c>
      <c r="Y740">
        <v>0</v>
      </c>
      <c r="Z740">
        <v>0</v>
      </c>
      <c r="AA740">
        <v>0</v>
      </c>
      <c r="AB740">
        <v>0</v>
      </c>
      <c r="AC740">
        <v>0</v>
      </c>
      <c r="AD740">
        <v>0</v>
      </c>
      <c r="AE740">
        <v>0</v>
      </c>
      <c r="AF740">
        <v>0</v>
      </c>
      <c r="AG740" t="s">
        <v>71</v>
      </c>
      <c r="AH740">
        <v>0</v>
      </c>
      <c r="AI740">
        <v>0</v>
      </c>
      <c r="AJ740">
        <v>0</v>
      </c>
      <c r="AK740">
        <v>0</v>
      </c>
      <c r="AL740" t="s">
        <v>438</v>
      </c>
      <c r="AM740" t="s">
        <v>491</v>
      </c>
      <c r="AN740" t="s">
        <v>94</v>
      </c>
      <c r="AO740" t="s">
        <v>147</v>
      </c>
      <c r="AP740">
        <v>0</v>
      </c>
      <c r="AQ740">
        <v>4</v>
      </c>
      <c r="AR740">
        <v>0</v>
      </c>
      <c r="AS740">
        <v>0</v>
      </c>
      <c r="AT740">
        <v>0</v>
      </c>
      <c r="AU740">
        <v>0</v>
      </c>
      <c r="AV740">
        <v>0</v>
      </c>
      <c r="AW740">
        <v>0</v>
      </c>
      <c r="AX740">
        <v>0</v>
      </c>
      <c r="AY740">
        <v>0</v>
      </c>
    </row>
    <row r="741" spans="1:51" x14ac:dyDescent="0.25">
      <c r="A741">
        <v>177</v>
      </c>
      <c r="B741">
        <v>10100</v>
      </c>
      <c r="C741" t="s">
        <v>735</v>
      </c>
      <c r="D741" t="s">
        <v>96</v>
      </c>
      <c r="E741" t="s">
        <v>100</v>
      </c>
      <c r="F741" t="s">
        <v>98</v>
      </c>
      <c r="G741" t="s">
        <v>77</v>
      </c>
      <c r="H741" t="s">
        <v>181</v>
      </c>
      <c r="I741" t="s">
        <v>79</v>
      </c>
      <c r="J741" t="s">
        <v>150</v>
      </c>
      <c r="K741" t="s">
        <v>75</v>
      </c>
      <c r="L741" t="s">
        <v>76</v>
      </c>
      <c r="M741" t="s">
        <v>103</v>
      </c>
      <c r="N741" t="s">
        <v>74</v>
      </c>
      <c r="O741" t="s">
        <v>104</v>
      </c>
      <c r="P741" t="s">
        <v>110</v>
      </c>
      <c r="Q741" t="s">
        <v>71</v>
      </c>
      <c r="R741" t="s">
        <v>71</v>
      </c>
      <c r="S741">
        <v>1</v>
      </c>
      <c r="T741">
        <v>1</v>
      </c>
      <c r="U741" t="s">
        <v>282</v>
      </c>
      <c r="V741" t="s">
        <v>192</v>
      </c>
      <c r="W741">
        <v>0</v>
      </c>
      <c r="X741">
        <v>0</v>
      </c>
      <c r="Y741">
        <v>0</v>
      </c>
      <c r="Z741">
        <v>0</v>
      </c>
      <c r="AA741">
        <v>0</v>
      </c>
      <c r="AB741">
        <v>0</v>
      </c>
      <c r="AC741">
        <v>0</v>
      </c>
      <c r="AD741">
        <v>0</v>
      </c>
      <c r="AE741">
        <v>0</v>
      </c>
      <c r="AF741">
        <v>0</v>
      </c>
      <c r="AG741" t="s">
        <v>71</v>
      </c>
      <c r="AH741">
        <v>0</v>
      </c>
      <c r="AI741">
        <v>0</v>
      </c>
      <c r="AJ741">
        <v>0</v>
      </c>
      <c r="AK741">
        <v>0</v>
      </c>
      <c r="AL741" t="s">
        <v>438</v>
      </c>
      <c r="AM741" t="s">
        <v>491</v>
      </c>
      <c r="AN741" t="s">
        <v>94</v>
      </c>
      <c r="AO741" t="s">
        <v>147</v>
      </c>
      <c r="AP741">
        <v>0</v>
      </c>
      <c r="AQ741">
        <v>4</v>
      </c>
      <c r="AR741">
        <v>0</v>
      </c>
      <c r="AS741">
        <v>0</v>
      </c>
      <c r="AT741">
        <v>0</v>
      </c>
      <c r="AU741">
        <v>0</v>
      </c>
      <c r="AV741">
        <v>0</v>
      </c>
      <c r="AW741">
        <v>0</v>
      </c>
      <c r="AX741">
        <v>0</v>
      </c>
      <c r="AY741">
        <v>0</v>
      </c>
    </row>
    <row r="742" spans="1:51" x14ac:dyDescent="0.25">
      <c r="A742">
        <v>178</v>
      </c>
      <c r="B742">
        <v>10110</v>
      </c>
      <c r="C742" t="s">
        <v>735</v>
      </c>
      <c r="D742" t="s">
        <v>96</v>
      </c>
      <c r="E742" t="s">
        <v>100</v>
      </c>
      <c r="F742" t="s">
        <v>107</v>
      </c>
      <c r="G742" t="s">
        <v>77</v>
      </c>
      <c r="H742" t="s">
        <v>182</v>
      </c>
      <c r="I742" t="s">
        <v>79</v>
      </c>
      <c r="J742" t="s">
        <v>150</v>
      </c>
      <c r="K742" t="s">
        <v>75</v>
      </c>
      <c r="L742" t="s">
        <v>76</v>
      </c>
      <c r="M742" t="s">
        <v>103</v>
      </c>
      <c r="N742" t="s">
        <v>74</v>
      </c>
      <c r="O742" t="s">
        <v>104</v>
      </c>
      <c r="P742" t="s">
        <v>110</v>
      </c>
      <c r="Q742" t="s">
        <v>71</v>
      </c>
      <c r="R742" t="s">
        <v>71</v>
      </c>
      <c r="S742">
        <v>1</v>
      </c>
      <c r="T742">
        <v>1</v>
      </c>
      <c r="U742" t="s">
        <v>72</v>
      </c>
      <c r="V742" t="s">
        <v>192</v>
      </c>
      <c r="W742">
        <v>0</v>
      </c>
      <c r="X742">
        <v>0</v>
      </c>
      <c r="Y742">
        <v>0</v>
      </c>
      <c r="Z742">
        <v>0</v>
      </c>
      <c r="AA742">
        <v>0</v>
      </c>
      <c r="AB742">
        <v>0</v>
      </c>
      <c r="AC742">
        <v>0</v>
      </c>
      <c r="AD742">
        <v>0</v>
      </c>
      <c r="AE742">
        <v>0</v>
      </c>
      <c r="AF742">
        <v>0</v>
      </c>
      <c r="AG742" t="s">
        <v>71</v>
      </c>
      <c r="AH742">
        <v>0</v>
      </c>
      <c r="AI742">
        <v>0</v>
      </c>
      <c r="AJ742">
        <v>0</v>
      </c>
      <c r="AK742">
        <v>0</v>
      </c>
      <c r="AL742" t="s">
        <v>438</v>
      </c>
      <c r="AM742" t="s">
        <v>491</v>
      </c>
      <c r="AN742" t="s">
        <v>94</v>
      </c>
      <c r="AO742" t="s">
        <v>147</v>
      </c>
      <c r="AP742">
        <v>0</v>
      </c>
      <c r="AQ742">
        <v>4</v>
      </c>
      <c r="AR742">
        <v>0</v>
      </c>
      <c r="AS742">
        <v>0</v>
      </c>
      <c r="AT742">
        <v>0</v>
      </c>
      <c r="AU742">
        <v>0</v>
      </c>
      <c r="AV742">
        <v>0</v>
      </c>
      <c r="AW742">
        <v>0</v>
      </c>
      <c r="AX742">
        <v>0</v>
      </c>
      <c r="AY742">
        <v>0</v>
      </c>
    </row>
    <row r="743" spans="1:51" x14ac:dyDescent="0.25">
      <c r="A743">
        <v>179</v>
      </c>
      <c r="B743">
        <v>10120</v>
      </c>
      <c r="C743" t="s">
        <v>735</v>
      </c>
      <c r="D743" t="s">
        <v>96</v>
      </c>
      <c r="E743" t="s">
        <v>100</v>
      </c>
      <c r="F743" t="s">
        <v>107</v>
      </c>
      <c r="G743" t="s">
        <v>101</v>
      </c>
      <c r="H743" t="s">
        <v>78</v>
      </c>
      <c r="I743" t="s">
        <v>79</v>
      </c>
      <c r="J743" t="s">
        <v>150</v>
      </c>
      <c r="K743" t="s">
        <v>75</v>
      </c>
      <c r="L743" t="s">
        <v>76</v>
      </c>
      <c r="M743" t="s">
        <v>103</v>
      </c>
      <c r="N743" t="s">
        <v>74</v>
      </c>
      <c r="O743" t="s">
        <v>104</v>
      </c>
      <c r="P743" t="s">
        <v>110</v>
      </c>
      <c r="Q743" t="s">
        <v>71</v>
      </c>
      <c r="R743" t="s">
        <v>71</v>
      </c>
      <c r="S743">
        <v>1</v>
      </c>
      <c r="T743">
        <v>1</v>
      </c>
      <c r="U743" t="s">
        <v>72</v>
      </c>
      <c r="V743" t="s">
        <v>192</v>
      </c>
      <c r="W743">
        <v>0</v>
      </c>
      <c r="X743">
        <v>0</v>
      </c>
      <c r="Y743">
        <v>0</v>
      </c>
      <c r="Z743">
        <v>0</v>
      </c>
      <c r="AA743">
        <v>0</v>
      </c>
      <c r="AB743">
        <v>0</v>
      </c>
      <c r="AC743">
        <v>0</v>
      </c>
      <c r="AD743">
        <v>0</v>
      </c>
      <c r="AE743">
        <v>0</v>
      </c>
      <c r="AF743">
        <v>0</v>
      </c>
      <c r="AG743" t="s">
        <v>71</v>
      </c>
      <c r="AH743">
        <v>0</v>
      </c>
      <c r="AI743">
        <v>0</v>
      </c>
      <c r="AJ743">
        <v>0</v>
      </c>
      <c r="AK743">
        <v>0</v>
      </c>
      <c r="AL743" t="s">
        <v>438</v>
      </c>
      <c r="AM743" t="s">
        <v>491</v>
      </c>
      <c r="AN743" t="s">
        <v>94</v>
      </c>
      <c r="AO743" t="s">
        <v>147</v>
      </c>
      <c r="AP743">
        <v>0</v>
      </c>
      <c r="AQ743">
        <v>2</v>
      </c>
      <c r="AR743">
        <v>0</v>
      </c>
      <c r="AS743">
        <v>0</v>
      </c>
      <c r="AT743">
        <v>0</v>
      </c>
      <c r="AU743">
        <v>0</v>
      </c>
      <c r="AV743">
        <v>0</v>
      </c>
      <c r="AW743">
        <v>0</v>
      </c>
      <c r="AX743">
        <v>0</v>
      </c>
      <c r="AY743">
        <v>0</v>
      </c>
    </row>
    <row r="744" spans="1:51" x14ac:dyDescent="0.25">
      <c r="A744">
        <v>180</v>
      </c>
      <c r="B744">
        <v>10130</v>
      </c>
      <c r="C744" t="s">
        <v>735</v>
      </c>
      <c r="D744" t="s">
        <v>96</v>
      </c>
      <c r="E744" t="s">
        <v>100</v>
      </c>
      <c r="F744" t="s">
        <v>112</v>
      </c>
      <c r="G744" t="s">
        <v>184</v>
      </c>
      <c r="H744" t="s">
        <v>78</v>
      </c>
      <c r="I744" t="s">
        <v>79</v>
      </c>
      <c r="J744" t="s">
        <v>150</v>
      </c>
      <c r="K744" t="s">
        <v>75</v>
      </c>
      <c r="L744" t="s">
        <v>76</v>
      </c>
      <c r="M744" t="s">
        <v>103</v>
      </c>
      <c r="N744" t="s">
        <v>74</v>
      </c>
      <c r="O744" t="s">
        <v>104</v>
      </c>
      <c r="P744" t="s">
        <v>110</v>
      </c>
      <c r="Q744" t="s">
        <v>71</v>
      </c>
      <c r="R744" t="s">
        <v>71</v>
      </c>
      <c r="S744">
        <v>1</v>
      </c>
      <c r="T744">
        <v>1</v>
      </c>
      <c r="U744" t="s">
        <v>283</v>
      </c>
      <c r="V744" t="s">
        <v>192</v>
      </c>
      <c r="W744">
        <v>0</v>
      </c>
      <c r="X744">
        <v>0</v>
      </c>
      <c r="Y744">
        <v>0</v>
      </c>
      <c r="Z744">
        <v>0</v>
      </c>
      <c r="AA744">
        <v>0</v>
      </c>
      <c r="AB744">
        <v>0</v>
      </c>
      <c r="AC744">
        <v>0</v>
      </c>
      <c r="AD744">
        <v>0</v>
      </c>
      <c r="AE744">
        <v>0</v>
      </c>
      <c r="AF744">
        <v>0</v>
      </c>
      <c r="AG744" t="s">
        <v>71</v>
      </c>
      <c r="AH744">
        <v>0</v>
      </c>
      <c r="AI744">
        <v>0</v>
      </c>
      <c r="AJ744">
        <v>0</v>
      </c>
      <c r="AK744">
        <v>0</v>
      </c>
      <c r="AL744" t="s">
        <v>438</v>
      </c>
      <c r="AM744" t="s">
        <v>491</v>
      </c>
      <c r="AN744" t="s">
        <v>94</v>
      </c>
      <c r="AO744" t="s">
        <v>147</v>
      </c>
      <c r="AP744">
        <v>0</v>
      </c>
      <c r="AQ744">
        <v>2</v>
      </c>
      <c r="AR744">
        <v>0</v>
      </c>
      <c r="AS744">
        <v>0</v>
      </c>
      <c r="AT744">
        <v>0</v>
      </c>
      <c r="AU744">
        <v>0</v>
      </c>
      <c r="AV744">
        <v>0</v>
      </c>
      <c r="AW744">
        <v>0</v>
      </c>
      <c r="AX744">
        <v>0</v>
      </c>
      <c r="AY744">
        <v>0</v>
      </c>
    </row>
    <row r="745" spans="1:51" x14ac:dyDescent="0.25">
      <c r="A745">
        <v>181</v>
      </c>
      <c r="B745">
        <v>10140</v>
      </c>
      <c r="C745" t="s">
        <v>735</v>
      </c>
      <c r="D745" t="s">
        <v>96</v>
      </c>
      <c r="E745" t="s">
        <v>100</v>
      </c>
      <c r="F745" t="s">
        <v>107</v>
      </c>
      <c r="G745" t="s">
        <v>185</v>
      </c>
      <c r="H745" t="s">
        <v>78</v>
      </c>
      <c r="I745" t="s">
        <v>79</v>
      </c>
      <c r="J745" t="s">
        <v>150</v>
      </c>
      <c r="K745" t="s">
        <v>75</v>
      </c>
      <c r="L745" t="s">
        <v>76</v>
      </c>
      <c r="M745" t="s">
        <v>103</v>
      </c>
      <c r="N745" t="s">
        <v>74</v>
      </c>
      <c r="O745" t="s">
        <v>104</v>
      </c>
      <c r="P745" t="s">
        <v>110</v>
      </c>
      <c r="Q745" t="s">
        <v>71</v>
      </c>
      <c r="R745" t="s">
        <v>71</v>
      </c>
      <c r="S745">
        <v>1</v>
      </c>
      <c r="T745">
        <v>1</v>
      </c>
      <c r="U745" t="s">
        <v>283</v>
      </c>
      <c r="V745" t="s">
        <v>192</v>
      </c>
      <c r="W745">
        <v>0</v>
      </c>
      <c r="X745">
        <v>0</v>
      </c>
      <c r="Y745">
        <v>0</v>
      </c>
      <c r="Z745">
        <v>0</v>
      </c>
      <c r="AA745">
        <v>0</v>
      </c>
      <c r="AB745">
        <v>0</v>
      </c>
      <c r="AC745">
        <v>0</v>
      </c>
      <c r="AD745">
        <v>0</v>
      </c>
      <c r="AE745">
        <v>0</v>
      </c>
      <c r="AF745">
        <v>0</v>
      </c>
      <c r="AG745" t="s">
        <v>71</v>
      </c>
      <c r="AH745">
        <v>0</v>
      </c>
      <c r="AI745">
        <v>0</v>
      </c>
      <c r="AJ745">
        <v>0</v>
      </c>
      <c r="AK745">
        <v>0</v>
      </c>
      <c r="AL745" t="s">
        <v>438</v>
      </c>
      <c r="AM745" t="s">
        <v>491</v>
      </c>
      <c r="AN745" t="s">
        <v>94</v>
      </c>
      <c r="AO745" t="s">
        <v>147</v>
      </c>
      <c r="AP745">
        <v>0</v>
      </c>
      <c r="AQ745">
        <v>2</v>
      </c>
      <c r="AR745">
        <v>0</v>
      </c>
      <c r="AS745">
        <v>0</v>
      </c>
      <c r="AT745">
        <v>0</v>
      </c>
      <c r="AU745">
        <v>0</v>
      </c>
      <c r="AV745">
        <v>0</v>
      </c>
      <c r="AW745">
        <v>0</v>
      </c>
      <c r="AX745">
        <v>0</v>
      </c>
      <c r="AY745">
        <v>0</v>
      </c>
    </row>
    <row r="746" spans="1:51" x14ac:dyDescent="0.25">
      <c r="A746">
        <v>182</v>
      </c>
      <c r="B746">
        <v>10150</v>
      </c>
      <c r="C746" t="s">
        <v>735</v>
      </c>
      <c r="D746" t="s">
        <v>96</v>
      </c>
      <c r="E746" t="s">
        <v>100</v>
      </c>
      <c r="F746" t="s">
        <v>98</v>
      </c>
      <c r="G746" t="s">
        <v>77</v>
      </c>
      <c r="H746" t="s">
        <v>78</v>
      </c>
      <c r="I746" t="s">
        <v>79</v>
      </c>
      <c r="J746" t="s">
        <v>150</v>
      </c>
      <c r="K746" t="s">
        <v>75</v>
      </c>
      <c r="L746" t="s">
        <v>76</v>
      </c>
      <c r="M746" t="s">
        <v>103</v>
      </c>
      <c r="N746" t="s">
        <v>74</v>
      </c>
      <c r="O746" t="s">
        <v>104</v>
      </c>
      <c r="P746" t="s">
        <v>110</v>
      </c>
      <c r="Q746" t="s">
        <v>110</v>
      </c>
      <c r="R746" t="s">
        <v>110</v>
      </c>
      <c r="S746">
        <v>1</v>
      </c>
      <c r="T746">
        <v>1</v>
      </c>
      <c r="U746" t="s">
        <v>283</v>
      </c>
      <c r="V746" t="s">
        <v>188</v>
      </c>
      <c r="W746">
        <v>0</v>
      </c>
      <c r="X746">
        <v>0</v>
      </c>
      <c r="Y746">
        <v>1</v>
      </c>
      <c r="Z746">
        <v>25</v>
      </c>
      <c r="AA746">
        <v>1</v>
      </c>
      <c r="AB746">
        <v>25</v>
      </c>
      <c r="AC746">
        <v>1</v>
      </c>
      <c r="AD746">
        <v>25</v>
      </c>
      <c r="AE746">
        <v>0</v>
      </c>
      <c r="AF746">
        <v>0</v>
      </c>
      <c r="AG746" t="s">
        <v>71</v>
      </c>
      <c r="AH746">
        <v>0</v>
      </c>
      <c r="AI746">
        <v>0</v>
      </c>
      <c r="AJ746">
        <v>0</v>
      </c>
      <c r="AK746">
        <v>0</v>
      </c>
      <c r="AL746" t="s">
        <v>438</v>
      </c>
      <c r="AM746" t="s">
        <v>491</v>
      </c>
      <c r="AN746" t="s">
        <v>94</v>
      </c>
      <c r="AO746" t="s">
        <v>147</v>
      </c>
      <c r="AP746">
        <v>0</v>
      </c>
      <c r="AQ746">
        <v>1</v>
      </c>
      <c r="AR746">
        <v>0</v>
      </c>
      <c r="AS746">
        <v>0</v>
      </c>
      <c r="AT746">
        <v>0</v>
      </c>
      <c r="AU746">
        <v>0</v>
      </c>
      <c r="AV746">
        <v>0</v>
      </c>
      <c r="AW746">
        <v>0</v>
      </c>
      <c r="AX746">
        <v>0</v>
      </c>
      <c r="AY746">
        <v>0</v>
      </c>
    </row>
    <row r="747" spans="1:51" x14ac:dyDescent="0.25">
      <c r="A747">
        <v>183</v>
      </c>
      <c r="B747">
        <v>10160</v>
      </c>
      <c r="C747" t="s">
        <v>735</v>
      </c>
      <c r="D747" t="s">
        <v>96</v>
      </c>
      <c r="E747" t="s">
        <v>100</v>
      </c>
      <c r="F747" t="s">
        <v>107</v>
      </c>
      <c r="G747" t="s">
        <v>77</v>
      </c>
      <c r="H747" t="s">
        <v>78</v>
      </c>
      <c r="I747" t="s">
        <v>79</v>
      </c>
      <c r="J747" t="s">
        <v>150</v>
      </c>
      <c r="K747" t="s">
        <v>75</v>
      </c>
      <c r="L747" t="s">
        <v>76</v>
      </c>
      <c r="M747" t="s">
        <v>103</v>
      </c>
      <c r="N747" t="s">
        <v>74</v>
      </c>
      <c r="O747" t="s">
        <v>104</v>
      </c>
      <c r="P747" t="s">
        <v>71</v>
      </c>
      <c r="Q747" t="s">
        <v>71</v>
      </c>
      <c r="R747" t="s">
        <v>71</v>
      </c>
      <c r="S747">
        <v>1</v>
      </c>
      <c r="T747">
        <v>1</v>
      </c>
      <c r="U747" t="s">
        <v>72</v>
      </c>
      <c r="V747" t="s">
        <v>188</v>
      </c>
      <c r="W747">
        <v>0</v>
      </c>
      <c r="X747">
        <v>0</v>
      </c>
      <c r="Y747">
        <v>0</v>
      </c>
      <c r="Z747">
        <v>0</v>
      </c>
      <c r="AA747">
        <v>0</v>
      </c>
      <c r="AB747">
        <v>0</v>
      </c>
      <c r="AC747">
        <v>0</v>
      </c>
      <c r="AD747">
        <v>0</v>
      </c>
      <c r="AE747">
        <v>0</v>
      </c>
      <c r="AF747">
        <v>0</v>
      </c>
      <c r="AG747" t="s">
        <v>71</v>
      </c>
      <c r="AH747">
        <v>0</v>
      </c>
      <c r="AI747">
        <v>0</v>
      </c>
      <c r="AJ747">
        <v>0</v>
      </c>
      <c r="AK747">
        <v>0</v>
      </c>
      <c r="AL747" t="s">
        <v>438</v>
      </c>
      <c r="AM747" t="s">
        <v>491</v>
      </c>
      <c r="AN747" t="s">
        <v>94</v>
      </c>
      <c r="AO747" t="s">
        <v>147</v>
      </c>
      <c r="AP747">
        <v>0</v>
      </c>
      <c r="AQ747">
        <v>128</v>
      </c>
      <c r="AR747">
        <v>0</v>
      </c>
      <c r="AS747">
        <v>0</v>
      </c>
      <c r="AT747">
        <v>0</v>
      </c>
      <c r="AU747">
        <v>0</v>
      </c>
      <c r="AV747">
        <v>0</v>
      </c>
      <c r="AW747">
        <v>0</v>
      </c>
      <c r="AX747">
        <v>0</v>
      </c>
      <c r="AY747">
        <v>0</v>
      </c>
    </row>
    <row r="748" spans="1:51" x14ac:dyDescent="0.25">
      <c r="A748">
        <v>184</v>
      </c>
      <c r="B748">
        <v>10170</v>
      </c>
      <c r="C748" t="s">
        <v>735</v>
      </c>
      <c r="D748" t="s">
        <v>96</v>
      </c>
      <c r="E748" t="s">
        <v>100</v>
      </c>
      <c r="F748" t="s">
        <v>107</v>
      </c>
      <c r="G748" t="s">
        <v>77</v>
      </c>
      <c r="H748" t="s">
        <v>78</v>
      </c>
      <c r="I748" t="s">
        <v>79</v>
      </c>
      <c r="J748" t="s">
        <v>150</v>
      </c>
      <c r="K748" t="s">
        <v>75</v>
      </c>
      <c r="L748" t="s">
        <v>76</v>
      </c>
      <c r="M748" t="s">
        <v>103</v>
      </c>
      <c r="N748" t="s">
        <v>74</v>
      </c>
      <c r="O748" t="s">
        <v>104</v>
      </c>
      <c r="P748" t="s">
        <v>299</v>
      </c>
      <c r="Q748" t="s">
        <v>299</v>
      </c>
      <c r="R748" t="s">
        <v>299</v>
      </c>
      <c r="S748">
        <v>1</v>
      </c>
      <c r="T748">
        <v>1</v>
      </c>
      <c r="U748" t="s">
        <v>72</v>
      </c>
      <c r="V748" t="s">
        <v>192</v>
      </c>
      <c r="W748">
        <v>0</v>
      </c>
      <c r="X748">
        <v>0</v>
      </c>
      <c r="Y748">
        <v>0</v>
      </c>
      <c r="Z748">
        <v>0</v>
      </c>
      <c r="AA748">
        <v>0</v>
      </c>
      <c r="AB748">
        <v>0</v>
      </c>
      <c r="AC748">
        <v>0</v>
      </c>
      <c r="AD748">
        <v>0</v>
      </c>
      <c r="AE748">
        <v>0</v>
      </c>
      <c r="AF748">
        <v>0</v>
      </c>
      <c r="AG748" t="s">
        <v>71</v>
      </c>
      <c r="AH748">
        <v>0</v>
      </c>
      <c r="AI748">
        <v>0</v>
      </c>
      <c r="AJ748">
        <v>0</v>
      </c>
      <c r="AK748">
        <v>0</v>
      </c>
      <c r="AL748" t="s">
        <v>438</v>
      </c>
      <c r="AM748" t="s">
        <v>491</v>
      </c>
      <c r="AN748" t="s">
        <v>94</v>
      </c>
      <c r="AO748" t="s">
        <v>147</v>
      </c>
      <c r="AP748">
        <v>0</v>
      </c>
      <c r="AQ748">
        <v>128</v>
      </c>
      <c r="AR748">
        <v>0</v>
      </c>
      <c r="AS748">
        <v>0</v>
      </c>
      <c r="AT748">
        <v>0</v>
      </c>
      <c r="AU748">
        <v>0</v>
      </c>
      <c r="AV748">
        <v>0</v>
      </c>
      <c r="AW748">
        <v>0</v>
      </c>
      <c r="AX748">
        <v>0</v>
      </c>
      <c r="AY748">
        <v>0</v>
      </c>
    </row>
    <row r="749" spans="1:51" x14ac:dyDescent="0.25">
      <c r="A749">
        <v>185</v>
      </c>
      <c r="B749">
        <v>10180</v>
      </c>
      <c r="C749" t="s">
        <v>735</v>
      </c>
      <c r="D749" t="s">
        <v>96</v>
      </c>
      <c r="E749" t="s">
        <v>100</v>
      </c>
      <c r="F749" t="s">
        <v>107</v>
      </c>
      <c r="G749" t="s">
        <v>101</v>
      </c>
      <c r="H749" t="s">
        <v>78</v>
      </c>
      <c r="I749" t="s">
        <v>79</v>
      </c>
      <c r="J749" t="s">
        <v>150</v>
      </c>
      <c r="K749" t="s">
        <v>75</v>
      </c>
      <c r="L749" t="s">
        <v>76</v>
      </c>
      <c r="M749" t="s">
        <v>103</v>
      </c>
      <c r="N749" t="s">
        <v>74</v>
      </c>
      <c r="O749" t="s">
        <v>104</v>
      </c>
      <c r="P749" t="s">
        <v>110</v>
      </c>
      <c r="Q749" t="s">
        <v>71</v>
      </c>
      <c r="R749" t="s">
        <v>71</v>
      </c>
      <c r="S749">
        <v>1</v>
      </c>
      <c r="T749">
        <v>1</v>
      </c>
      <c r="U749" t="s">
        <v>72</v>
      </c>
      <c r="V749" t="s">
        <v>192</v>
      </c>
      <c r="W749">
        <v>0</v>
      </c>
      <c r="X749">
        <v>0</v>
      </c>
      <c r="Y749">
        <v>1</v>
      </c>
      <c r="Z749">
        <v>25</v>
      </c>
      <c r="AA749">
        <v>1</v>
      </c>
      <c r="AB749">
        <v>25</v>
      </c>
      <c r="AC749">
        <v>1</v>
      </c>
      <c r="AD749">
        <v>25</v>
      </c>
      <c r="AE749">
        <v>0</v>
      </c>
      <c r="AF749">
        <v>0</v>
      </c>
      <c r="AG749" t="s">
        <v>71</v>
      </c>
      <c r="AH749">
        <v>0</v>
      </c>
      <c r="AI749">
        <v>0</v>
      </c>
      <c r="AJ749">
        <v>0</v>
      </c>
      <c r="AK749">
        <v>0</v>
      </c>
      <c r="AL749" t="s">
        <v>438</v>
      </c>
      <c r="AM749" t="s">
        <v>491</v>
      </c>
      <c r="AN749" t="s">
        <v>94</v>
      </c>
      <c r="AO749" t="s">
        <v>147</v>
      </c>
      <c r="AP749">
        <v>0</v>
      </c>
      <c r="AQ749">
        <v>3</v>
      </c>
      <c r="AR749">
        <v>0</v>
      </c>
      <c r="AS749">
        <v>0</v>
      </c>
      <c r="AT749">
        <v>0</v>
      </c>
      <c r="AU749">
        <v>0</v>
      </c>
      <c r="AV749">
        <v>0</v>
      </c>
      <c r="AW749">
        <v>0</v>
      </c>
      <c r="AX749">
        <v>0</v>
      </c>
      <c r="AY749">
        <v>0</v>
      </c>
    </row>
    <row r="750" spans="1:51" x14ac:dyDescent="0.25">
      <c r="A750">
        <v>186</v>
      </c>
      <c r="B750">
        <v>10190</v>
      </c>
      <c r="C750" t="s">
        <v>735</v>
      </c>
      <c r="D750" t="s">
        <v>96</v>
      </c>
      <c r="E750" t="s">
        <v>100</v>
      </c>
      <c r="F750" t="s">
        <v>107</v>
      </c>
      <c r="G750" t="s">
        <v>77</v>
      </c>
      <c r="H750" t="s">
        <v>180</v>
      </c>
      <c r="I750" t="s">
        <v>79</v>
      </c>
      <c r="J750" t="s">
        <v>150</v>
      </c>
      <c r="K750" t="s">
        <v>75</v>
      </c>
      <c r="L750" t="s">
        <v>76</v>
      </c>
      <c r="M750" t="s">
        <v>103</v>
      </c>
      <c r="N750" t="s">
        <v>74</v>
      </c>
      <c r="O750" t="s">
        <v>104</v>
      </c>
      <c r="P750" t="s">
        <v>110</v>
      </c>
      <c r="Q750" t="s">
        <v>71</v>
      </c>
      <c r="R750" t="s">
        <v>71</v>
      </c>
      <c r="S750">
        <v>1</v>
      </c>
      <c r="T750">
        <v>1</v>
      </c>
      <c r="U750" t="s">
        <v>72</v>
      </c>
      <c r="V750" t="s">
        <v>192</v>
      </c>
      <c r="W750">
        <v>0</v>
      </c>
      <c r="X750">
        <v>0</v>
      </c>
      <c r="Y750">
        <v>0</v>
      </c>
      <c r="Z750">
        <v>0</v>
      </c>
      <c r="AA750">
        <v>0</v>
      </c>
      <c r="AB750">
        <v>0</v>
      </c>
      <c r="AC750">
        <v>0</v>
      </c>
      <c r="AD750">
        <v>0</v>
      </c>
      <c r="AE750">
        <v>0</v>
      </c>
      <c r="AF750">
        <v>0</v>
      </c>
      <c r="AG750" t="s">
        <v>71</v>
      </c>
      <c r="AH750">
        <v>0</v>
      </c>
      <c r="AI750">
        <v>0</v>
      </c>
      <c r="AJ750">
        <v>0</v>
      </c>
      <c r="AK750">
        <v>0</v>
      </c>
      <c r="AL750" t="s">
        <v>438</v>
      </c>
      <c r="AM750" t="s">
        <v>491</v>
      </c>
      <c r="AN750" t="s">
        <v>94</v>
      </c>
      <c r="AO750" t="s">
        <v>147</v>
      </c>
      <c r="AP750">
        <v>0</v>
      </c>
      <c r="AQ750">
        <v>4</v>
      </c>
      <c r="AR750">
        <v>0</v>
      </c>
      <c r="AS750">
        <v>0</v>
      </c>
      <c r="AT750">
        <v>0</v>
      </c>
      <c r="AU750">
        <v>0</v>
      </c>
      <c r="AV750">
        <v>0</v>
      </c>
      <c r="AW750">
        <v>0</v>
      </c>
      <c r="AX750">
        <v>0</v>
      </c>
      <c r="AY750">
        <v>0</v>
      </c>
    </row>
    <row r="751" spans="1:51" x14ac:dyDescent="0.25">
      <c r="A751">
        <v>187</v>
      </c>
      <c r="B751">
        <v>10200</v>
      </c>
      <c r="C751" t="s">
        <v>735</v>
      </c>
      <c r="D751" t="s">
        <v>96</v>
      </c>
      <c r="E751" t="s">
        <v>100</v>
      </c>
      <c r="F751" t="s">
        <v>107</v>
      </c>
      <c r="G751" t="s">
        <v>184</v>
      </c>
      <c r="H751" t="s">
        <v>78</v>
      </c>
      <c r="I751" t="s">
        <v>79</v>
      </c>
      <c r="J751" t="s">
        <v>150</v>
      </c>
      <c r="K751" t="s">
        <v>75</v>
      </c>
      <c r="L751" t="s">
        <v>76</v>
      </c>
      <c r="M751" t="s">
        <v>103</v>
      </c>
      <c r="N751" t="s">
        <v>74</v>
      </c>
      <c r="O751" t="s">
        <v>104</v>
      </c>
      <c r="P751" t="s">
        <v>110</v>
      </c>
      <c r="Q751" t="s">
        <v>71</v>
      </c>
      <c r="R751" t="s">
        <v>71</v>
      </c>
      <c r="S751">
        <v>1</v>
      </c>
      <c r="T751">
        <v>1</v>
      </c>
      <c r="U751" t="s">
        <v>72</v>
      </c>
      <c r="V751" t="s">
        <v>192</v>
      </c>
      <c r="W751">
        <v>0</v>
      </c>
      <c r="X751">
        <v>0</v>
      </c>
      <c r="Y751">
        <v>1</v>
      </c>
      <c r="Z751">
        <v>25</v>
      </c>
      <c r="AA751">
        <v>1</v>
      </c>
      <c r="AB751">
        <v>25</v>
      </c>
      <c r="AC751">
        <v>1</v>
      </c>
      <c r="AD751">
        <v>25</v>
      </c>
      <c r="AE751">
        <v>0</v>
      </c>
      <c r="AF751">
        <v>0</v>
      </c>
      <c r="AG751" t="s">
        <v>71</v>
      </c>
      <c r="AH751">
        <v>0</v>
      </c>
      <c r="AI751">
        <v>0</v>
      </c>
      <c r="AJ751">
        <v>0</v>
      </c>
      <c r="AK751">
        <v>0</v>
      </c>
      <c r="AL751" t="s">
        <v>438</v>
      </c>
      <c r="AM751" t="s">
        <v>491</v>
      </c>
      <c r="AN751" t="s">
        <v>94</v>
      </c>
      <c r="AO751" t="s">
        <v>147</v>
      </c>
      <c r="AP751">
        <v>0</v>
      </c>
      <c r="AQ751">
        <v>3</v>
      </c>
      <c r="AR751">
        <v>0</v>
      </c>
      <c r="AS751">
        <v>0</v>
      </c>
      <c r="AT751">
        <v>0</v>
      </c>
      <c r="AU751">
        <v>0</v>
      </c>
      <c r="AV751">
        <v>0</v>
      </c>
      <c r="AW751">
        <v>0</v>
      </c>
      <c r="AX751">
        <v>0</v>
      </c>
      <c r="AY751">
        <v>0</v>
      </c>
    </row>
    <row r="752" spans="1:51" x14ac:dyDescent="0.25">
      <c r="A752">
        <v>188</v>
      </c>
      <c r="B752">
        <v>10210</v>
      </c>
      <c r="C752" t="s">
        <v>735</v>
      </c>
      <c r="D752" t="s">
        <v>96</v>
      </c>
      <c r="E752" t="s">
        <v>100</v>
      </c>
      <c r="F752" t="s">
        <v>107</v>
      </c>
      <c r="G752" t="s">
        <v>77</v>
      </c>
      <c r="H752" t="s">
        <v>181</v>
      </c>
      <c r="I752" t="s">
        <v>79</v>
      </c>
      <c r="J752" t="s">
        <v>150</v>
      </c>
      <c r="K752" t="s">
        <v>75</v>
      </c>
      <c r="L752" t="s">
        <v>76</v>
      </c>
      <c r="M752" t="s">
        <v>103</v>
      </c>
      <c r="N752" t="s">
        <v>74</v>
      </c>
      <c r="O752" t="s">
        <v>104</v>
      </c>
      <c r="P752" t="s">
        <v>110</v>
      </c>
      <c r="Q752" t="s">
        <v>71</v>
      </c>
      <c r="R752" t="s">
        <v>71</v>
      </c>
      <c r="S752">
        <v>1</v>
      </c>
      <c r="T752">
        <v>1</v>
      </c>
      <c r="U752" t="s">
        <v>72</v>
      </c>
      <c r="V752" t="s">
        <v>192</v>
      </c>
      <c r="W752">
        <v>0</v>
      </c>
      <c r="X752">
        <v>0</v>
      </c>
      <c r="Y752">
        <v>0</v>
      </c>
      <c r="Z752">
        <v>0</v>
      </c>
      <c r="AA752">
        <v>0</v>
      </c>
      <c r="AB752">
        <v>0</v>
      </c>
      <c r="AC752">
        <v>0</v>
      </c>
      <c r="AD752">
        <v>0</v>
      </c>
      <c r="AE752">
        <v>0</v>
      </c>
      <c r="AF752">
        <v>0</v>
      </c>
      <c r="AG752" t="s">
        <v>71</v>
      </c>
      <c r="AH752">
        <v>0</v>
      </c>
      <c r="AI752">
        <v>0</v>
      </c>
      <c r="AJ752">
        <v>0</v>
      </c>
      <c r="AK752">
        <v>0</v>
      </c>
      <c r="AL752" t="s">
        <v>438</v>
      </c>
      <c r="AM752" t="s">
        <v>491</v>
      </c>
      <c r="AN752" t="s">
        <v>94</v>
      </c>
      <c r="AO752" t="s">
        <v>147</v>
      </c>
      <c r="AP752">
        <v>0</v>
      </c>
      <c r="AQ752">
        <v>4</v>
      </c>
      <c r="AR752">
        <v>0</v>
      </c>
      <c r="AS752">
        <v>0</v>
      </c>
      <c r="AT752">
        <v>0</v>
      </c>
      <c r="AU752">
        <v>0</v>
      </c>
      <c r="AV752">
        <v>0</v>
      </c>
      <c r="AW752">
        <v>0</v>
      </c>
      <c r="AX752">
        <v>0</v>
      </c>
      <c r="AY752">
        <v>0</v>
      </c>
    </row>
    <row r="753" spans="1:51" x14ac:dyDescent="0.25">
      <c r="A753">
        <v>189</v>
      </c>
      <c r="B753">
        <v>10220</v>
      </c>
      <c r="C753" t="s">
        <v>735</v>
      </c>
      <c r="D753" t="s">
        <v>96</v>
      </c>
      <c r="E753" t="s">
        <v>100</v>
      </c>
      <c r="F753" t="s">
        <v>107</v>
      </c>
      <c r="G753" t="s">
        <v>185</v>
      </c>
      <c r="H753" t="s">
        <v>78</v>
      </c>
      <c r="I753" t="s">
        <v>79</v>
      </c>
      <c r="J753" t="s">
        <v>150</v>
      </c>
      <c r="K753" t="s">
        <v>75</v>
      </c>
      <c r="L753" t="s">
        <v>76</v>
      </c>
      <c r="M753" t="s">
        <v>103</v>
      </c>
      <c r="N753" t="s">
        <v>74</v>
      </c>
      <c r="O753" t="s">
        <v>104</v>
      </c>
      <c r="P753" t="s">
        <v>110</v>
      </c>
      <c r="Q753" t="s">
        <v>71</v>
      </c>
      <c r="R753" t="s">
        <v>71</v>
      </c>
      <c r="S753">
        <v>1</v>
      </c>
      <c r="T753">
        <v>1</v>
      </c>
      <c r="U753" t="s">
        <v>72</v>
      </c>
      <c r="V753" t="s">
        <v>192</v>
      </c>
      <c r="W753">
        <v>0</v>
      </c>
      <c r="X753">
        <v>0</v>
      </c>
      <c r="Y753">
        <v>1</v>
      </c>
      <c r="Z753">
        <v>25</v>
      </c>
      <c r="AA753">
        <v>1</v>
      </c>
      <c r="AB753">
        <v>25</v>
      </c>
      <c r="AC753">
        <v>1</v>
      </c>
      <c r="AD753">
        <v>25</v>
      </c>
      <c r="AE753">
        <v>0</v>
      </c>
      <c r="AF753">
        <v>0</v>
      </c>
      <c r="AG753" t="s">
        <v>71</v>
      </c>
      <c r="AH753">
        <v>0</v>
      </c>
      <c r="AI753">
        <v>0</v>
      </c>
      <c r="AJ753">
        <v>0</v>
      </c>
      <c r="AK753">
        <v>0</v>
      </c>
      <c r="AL753" t="s">
        <v>438</v>
      </c>
      <c r="AM753" t="s">
        <v>491</v>
      </c>
      <c r="AN753" t="s">
        <v>94</v>
      </c>
      <c r="AO753" t="s">
        <v>147</v>
      </c>
      <c r="AP753">
        <v>0</v>
      </c>
      <c r="AQ753">
        <v>3</v>
      </c>
      <c r="AR753">
        <v>0</v>
      </c>
      <c r="AS753">
        <v>0</v>
      </c>
      <c r="AT753">
        <v>0</v>
      </c>
      <c r="AU753">
        <v>0</v>
      </c>
      <c r="AV753">
        <v>0</v>
      </c>
      <c r="AW753">
        <v>0</v>
      </c>
      <c r="AX753">
        <v>0</v>
      </c>
      <c r="AY753">
        <v>0</v>
      </c>
    </row>
    <row r="754" spans="1:51" x14ac:dyDescent="0.25">
      <c r="A754">
        <v>190</v>
      </c>
      <c r="B754">
        <v>10230</v>
      </c>
      <c r="C754" t="s">
        <v>735</v>
      </c>
      <c r="D754" t="s">
        <v>96</v>
      </c>
      <c r="E754" t="s">
        <v>100</v>
      </c>
      <c r="F754" t="s">
        <v>107</v>
      </c>
      <c r="G754" t="s">
        <v>77</v>
      </c>
      <c r="H754" t="s">
        <v>182</v>
      </c>
      <c r="I754" t="s">
        <v>79</v>
      </c>
      <c r="J754" t="s">
        <v>150</v>
      </c>
      <c r="K754" t="s">
        <v>75</v>
      </c>
      <c r="L754" t="s">
        <v>76</v>
      </c>
      <c r="M754" t="s">
        <v>103</v>
      </c>
      <c r="N754" t="s">
        <v>74</v>
      </c>
      <c r="O754" t="s">
        <v>104</v>
      </c>
      <c r="P754" t="s">
        <v>110</v>
      </c>
      <c r="Q754" t="s">
        <v>71</v>
      </c>
      <c r="R754" t="s">
        <v>71</v>
      </c>
      <c r="S754">
        <v>1</v>
      </c>
      <c r="T754">
        <v>1</v>
      </c>
      <c r="U754" t="s">
        <v>72</v>
      </c>
      <c r="V754" t="s">
        <v>192</v>
      </c>
      <c r="W754">
        <v>0</v>
      </c>
      <c r="X754">
        <v>0</v>
      </c>
      <c r="Y754">
        <v>0</v>
      </c>
      <c r="Z754">
        <v>0</v>
      </c>
      <c r="AA754">
        <v>0</v>
      </c>
      <c r="AB754">
        <v>0</v>
      </c>
      <c r="AC754">
        <v>0</v>
      </c>
      <c r="AD754">
        <v>0</v>
      </c>
      <c r="AE754">
        <v>0</v>
      </c>
      <c r="AF754">
        <v>0</v>
      </c>
      <c r="AG754" t="s">
        <v>71</v>
      </c>
      <c r="AH754">
        <v>0</v>
      </c>
      <c r="AI754">
        <v>0</v>
      </c>
      <c r="AJ754">
        <v>0</v>
      </c>
      <c r="AK754">
        <v>0</v>
      </c>
      <c r="AL754" t="s">
        <v>438</v>
      </c>
      <c r="AM754" t="s">
        <v>491</v>
      </c>
      <c r="AN754" t="s">
        <v>94</v>
      </c>
      <c r="AO754" t="s">
        <v>147</v>
      </c>
      <c r="AP754">
        <v>0</v>
      </c>
      <c r="AQ754">
        <v>4</v>
      </c>
      <c r="AR754">
        <v>0</v>
      </c>
      <c r="AS754">
        <v>0</v>
      </c>
      <c r="AT754">
        <v>0</v>
      </c>
      <c r="AU754">
        <v>0</v>
      </c>
      <c r="AV754">
        <v>0</v>
      </c>
      <c r="AW754">
        <v>0</v>
      </c>
      <c r="AX754">
        <v>0</v>
      </c>
      <c r="AY754">
        <v>0</v>
      </c>
    </row>
    <row r="755" spans="1:51" x14ac:dyDescent="0.25">
      <c r="A755">
        <v>191</v>
      </c>
      <c r="B755">
        <v>10240</v>
      </c>
      <c r="C755" t="s">
        <v>735</v>
      </c>
      <c r="D755" t="s">
        <v>96</v>
      </c>
      <c r="E755" t="s">
        <v>100</v>
      </c>
      <c r="F755" t="s">
        <v>107</v>
      </c>
      <c r="G755" t="s">
        <v>101</v>
      </c>
      <c r="H755" t="s">
        <v>78</v>
      </c>
      <c r="I755" t="s">
        <v>79</v>
      </c>
      <c r="J755" t="s">
        <v>150</v>
      </c>
      <c r="K755" t="s">
        <v>75</v>
      </c>
      <c r="L755" t="s">
        <v>76</v>
      </c>
      <c r="M755" t="s">
        <v>103</v>
      </c>
      <c r="N755" t="s">
        <v>74</v>
      </c>
      <c r="O755" t="s">
        <v>104</v>
      </c>
      <c r="P755" t="s">
        <v>71</v>
      </c>
      <c r="Q755" t="s">
        <v>71</v>
      </c>
      <c r="R755" t="s">
        <v>71</v>
      </c>
      <c r="S755">
        <v>1</v>
      </c>
      <c r="T755">
        <v>1</v>
      </c>
      <c r="U755" t="s">
        <v>72</v>
      </c>
      <c r="V755" t="s">
        <v>192</v>
      </c>
      <c r="W755">
        <v>0</v>
      </c>
      <c r="X755">
        <v>0</v>
      </c>
      <c r="Y755">
        <v>1</v>
      </c>
      <c r="Z755">
        <v>25</v>
      </c>
      <c r="AA755">
        <v>1</v>
      </c>
      <c r="AB755">
        <v>25</v>
      </c>
      <c r="AC755">
        <v>1</v>
      </c>
      <c r="AD755">
        <v>25</v>
      </c>
      <c r="AE755">
        <v>0</v>
      </c>
      <c r="AF755">
        <v>0</v>
      </c>
      <c r="AG755" t="s">
        <v>71</v>
      </c>
      <c r="AH755">
        <v>0</v>
      </c>
      <c r="AI755">
        <v>0</v>
      </c>
      <c r="AJ755">
        <v>0</v>
      </c>
      <c r="AK755">
        <v>0</v>
      </c>
      <c r="AL755" t="s">
        <v>438</v>
      </c>
      <c r="AM755" t="s">
        <v>491</v>
      </c>
      <c r="AN755" t="s">
        <v>94</v>
      </c>
      <c r="AO755" t="s">
        <v>147</v>
      </c>
      <c r="AP755">
        <v>0</v>
      </c>
      <c r="AQ755">
        <v>131</v>
      </c>
      <c r="AR755">
        <v>0</v>
      </c>
      <c r="AS755">
        <v>0</v>
      </c>
      <c r="AT755">
        <v>0</v>
      </c>
      <c r="AU755">
        <v>0</v>
      </c>
      <c r="AV755">
        <v>0</v>
      </c>
      <c r="AW755">
        <v>0</v>
      </c>
      <c r="AX755">
        <v>0</v>
      </c>
      <c r="AY755">
        <v>0</v>
      </c>
    </row>
    <row r="756" spans="1:51" x14ac:dyDescent="0.25">
      <c r="A756">
        <v>192</v>
      </c>
      <c r="B756">
        <v>10250</v>
      </c>
      <c r="C756" t="s">
        <v>735</v>
      </c>
      <c r="D756" t="s">
        <v>96</v>
      </c>
      <c r="E756" t="s">
        <v>100</v>
      </c>
      <c r="F756" t="s">
        <v>107</v>
      </c>
      <c r="G756" t="s">
        <v>101</v>
      </c>
      <c r="H756" t="s">
        <v>78</v>
      </c>
      <c r="I756" t="s">
        <v>79</v>
      </c>
      <c r="J756" t="s">
        <v>150</v>
      </c>
      <c r="K756" t="s">
        <v>75</v>
      </c>
      <c r="L756" t="s">
        <v>76</v>
      </c>
      <c r="M756" t="s">
        <v>103</v>
      </c>
      <c r="N756" t="s">
        <v>74</v>
      </c>
      <c r="O756" t="s">
        <v>104</v>
      </c>
      <c r="P756" t="s">
        <v>110</v>
      </c>
      <c r="Q756" t="s">
        <v>71</v>
      </c>
      <c r="R756" t="s">
        <v>71</v>
      </c>
      <c r="S756">
        <v>1</v>
      </c>
      <c r="T756">
        <v>1</v>
      </c>
      <c r="U756" t="s">
        <v>72</v>
      </c>
      <c r="V756" t="s">
        <v>192</v>
      </c>
      <c r="W756">
        <v>0</v>
      </c>
      <c r="X756">
        <v>0</v>
      </c>
      <c r="Y756">
        <v>1</v>
      </c>
      <c r="Z756">
        <v>25</v>
      </c>
      <c r="AA756">
        <v>1</v>
      </c>
      <c r="AB756">
        <v>25</v>
      </c>
      <c r="AC756">
        <v>1</v>
      </c>
      <c r="AD756">
        <v>25</v>
      </c>
      <c r="AE756">
        <v>0</v>
      </c>
      <c r="AF756">
        <v>0</v>
      </c>
      <c r="AG756" t="s">
        <v>71</v>
      </c>
      <c r="AH756">
        <v>0</v>
      </c>
      <c r="AI756">
        <v>0</v>
      </c>
      <c r="AJ756">
        <v>0</v>
      </c>
      <c r="AK756">
        <v>0</v>
      </c>
      <c r="AL756" t="s">
        <v>438</v>
      </c>
      <c r="AM756" t="s">
        <v>491</v>
      </c>
      <c r="AN756" t="s">
        <v>94</v>
      </c>
      <c r="AO756" t="s">
        <v>147</v>
      </c>
      <c r="AP756">
        <v>0</v>
      </c>
      <c r="AQ756">
        <v>3</v>
      </c>
      <c r="AR756">
        <v>0</v>
      </c>
      <c r="AS756">
        <v>0</v>
      </c>
      <c r="AT756">
        <v>0</v>
      </c>
      <c r="AU756">
        <v>0</v>
      </c>
      <c r="AV756">
        <v>0</v>
      </c>
      <c r="AW756">
        <v>0</v>
      </c>
      <c r="AX756">
        <v>0</v>
      </c>
      <c r="AY756">
        <v>0</v>
      </c>
    </row>
    <row r="757" spans="1:51" x14ac:dyDescent="0.25">
      <c r="A757">
        <v>193</v>
      </c>
      <c r="B757">
        <v>10260</v>
      </c>
      <c r="C757" t="s">
        <v>735</v>
      </c>
      <c r="D757" t="s">
        <v>96</v>
      </c>
      <c r="E757" t="s">
        <v>100</v>
      </c>
      <c r="F757" t="s">
        <v>107</v>
      </c>
      <c r="G757" t="s">
        <v>77</v>
      </c>
      <c r="H757" t="s">
        <v>182</v>
      </c>
      <c r="I757" t="s">
        <v>79</v>
      </c>
      <c r="J757" t="s">
        <v>150</v>
      </c>
      <c r="K757" t="s">
        <v>75</v>
      </c>
      <c r="L757" t="s">
        <v>76</v>
      </c>
      <c r="M757" t="s">
        <v>103</v>
      </c>
      <c r="N757" t="s">
        <v>74</v>
      </c>
      <c r="O757" t="s">
        <v>104</v>
      </c>
      <c r="P757" t="s">
        <v>299</v>
      </c>
      <c r="Q757" t="s">
        <v>71</v>
      </c>
      <c r="R757" t="s">
        <v>71</v>
      </c>
      <c r="S757">
        <v>1</v>
      </c>
      <c r="T757">
        <v>1</v>
      </c>
      <c r="U757" t="s">
        <v>72</v>
      </c>
      <c r="V757" t="s">
        <v>192</v>
      </c>
      <c r="W757">
        <v>0</v>
      </c>
      <c r="X757">
        <v>0</v>
      </c>
      <c r="Y757">
        <v>0</v>
      </c>
      <c r="Z757">
        <v>0</v>
      </c>
      <c r="AA757">
        <v>0</v>
      </c>
      <c r="AB757">
        <v>0</v>
      </c>
      <c r="AC757">
        <v>0</v>
      </c>
      <c r="AD757">
        <v>0</v>
      </c>
      <c r="AE757">
        <v>0</v>
      </c>
      <c r="AF757">
        <v>0</v>
      </c>
      <c r="AG757" t="s">
        <v>71</v>
      </c>
      <c r="AH757">
        <v>0</v>
      </c>
      <c r="AI757">
        <v>0</v>
      </c>
      <c r="AJ757">
        <v>0</v>
      </c>
      <c r="AK757">
        <v>0</v>
      </c>
      <c r="AL757" t="s">
        <v>438</v>
      </c>
      <c r="AM757" t="s">
        <v>491</v>
      </c>
      <c r="AN757" t="s">
        <v>94</v>
      </c>
      <c r="AO757" t="s">
        <v>147</v>
      </c>
      <c r="AP757">
        <v>0</v>
      </c>
      <c r="AQ757">
        <v>132</v>
      </c>
      <c r="AR757">
        <v>0</v>
      </c>
      <c r="AS757">
        <v>0</v>
      </c>
      <c r="AT757">
        <v>0</v>
      </c>
      <c r="AU757">
        <v>0</v>
      </c>
      <c r="AV757">
        <v>0</v>
      </c>
      <c r="AW757">
        <v>0</v>
      </c>
      <c r="AX757">
        <v>0</v>
      </c>
      <c r="AY757">
        <v>0</v>
      </c>
    </row>
    <row r="758" spans="1:51" x14ac:dyDescent="0.25">
      <c r="A758">
        <v>195</v>
      </c>
      <c r="B758">
        <v>10270</v>
      </c>
      <c r="C758" t="s">
        <v>735</v>
      </c>
      <c r="D758" t="s">
        <v>96</v>
      </c>
      <c r="E758" t="s">
        <v>100</v>
      </c>
      <c r="F758" t="s">
        <v>107</v>
      </c>
      <c r="G758" t="s">
        <v>77</v>
      </c>
      <c r="H758" t="s">
        <v>182</v>
      </c>
      <c r="I758" t="s">
        <v>79</v>
      </c>
      <c r="J758" t="s">
        <v>150</v>
      </c>
      <c r="K758" t="s">
        <v>75</v>
      </c>
      <c r="L758" t="s">
        <v>76</v>
      </c>
      <c r="M758" t="s">
        <v>103</v>
      </c>
      <c r="N758" t="s">
        <v>74</v>
      </c>
      <c r="O758" t="s">
        <v>104</v>
      </c>
      <c r="P758" t="s">
        <v>71</v>
      </c>
      <c r="Q758" t="s">
        <v>71</v>
      </c>
      <c r="R758" t="s">
        <v>110</v>
      </c>
      <c r="S758">
        <v>1</v>
      </c>
      <c r="T758">
        <v>1</v>
      </c>
      <c r="U758" t="s">
        <v>72</v>
      </c>
      <c r="V758" t="s">
        <v>192</v>
      </c>
      <c r="W758">
        <v>0</v>
      </c>
      <c r="X758">
        <v>0</v>
      </c>
      <c r="Y758">
        <v>1</v>
      </c>
      <c r="Z758">
        <v>25</v>
      </c>
      <c r="AA758">
        <v>1</v>
      </c>
      <c r="AB758">
        <v>25</v>
      </c>
      <c r="AC758">
        <v>1</v>
      </c>
      <c r="AD758">
        <v>25</v>
      </c>
      <c r="AE758">
        <v>0</v>
      </c>
      <c r="AF758">
        <v>0</v>
      </c>
      <c r="AG758" t="s">
        <v>71</v>
      </c>
      <c r="AH758">
        <v>0</v>
      </c>
      <c r="AI758">
        <v>0</v>
      </c>
      <c r="AJ758">
        <v>0</v>
      </c>
      <c r="AK758">
        <v>0</v>
      </c>
      <c r="AL758" t="s">
        <v>438</v>
      </c>
      <c r="AM758" t="s">
        <v>491</v>
      </c>
      <c r="AN758" t="s">
        <v>94</v>
      </c>
      <c r="AO758" t="s">
        <v>147</v>
      </c>
      <c r="AP758">
        <v>0</v>
      </c>
      <c r="AQ758">
        <v>0</v>
      </c>
      <c r="AR758">
        <v>0</v>
      </c>
      <c r="AS758">
        <v>1</v>
      </c>
      <c r="AT758">
        <v>0</v>
      </c>
      <c r="AU758">
        <v>0</v>
      </c>
      <c r="AV758">
        <v>0</v>
      </c>
      <c r="AW758">
        <v>0</v>
      </c>
      <c r="AX758">
        <v>0</v>
      </c>
      <c r="AY758">
        <v>0</v>
      </c>
    </row>
    <row r="759" spans="1:51" x14ac:dyDescent="0.25">
      <c r="A759">
        <v>197</v>
      </c>
      <c r="B759">
        <v>10280</v>
      </c>
      <c r="C759" t="s">
        <v>735</v>
      </c>
      <c r="D759" t="s">
        <v>96</v>
      </c>
      <c r="E759" t="s">
        <v>100</v>
      </c>
      <c r="F759" t="s">
        <v>107</v>
      </c>
      <c r="G759" t="s">
        <v>77</v>
      </c>
      <c r="H759" t="s">
        <v>182</v>
      </c>
      <c r="I759" t="s">
        <v>79</v>
      </c>
      <c r="J759" t="s">
        <v>150</v>
      </c>
      <c r="K759" t="s">
        <v>75</v>
      </c>
      <c r="L759" t="s">
        <v>76</v>
      </c>
      <c r="M759" t="s">
        <v>103</v>
      </c>
      <c r="N759" t="s">
        <v>74</v>
      </c>
      <c r="O759" t="s">
        <v>104</v>
      </c>
      <c r="P759" t="s">
        <v>71</v>
      </c>
      <c r="Q759" t="s">
        <v>71</v>
      </c>
      <c r="R759" t="s">
        <v>110</v>
      </c>
      <c r="S759">
        <v>1</v>
      </c>
      <c r="T759">
        <v>1</v>
      </c>
      <c r="U759" t="s">
        <v>72</v>
      </c>
      <c r="V759" t="s">
        <v>192</v>
      </c>
      <c r="W759">
        <v>0</v>
      </c>
      <c r="X759">
        <v>0</v>
      </c>
      <c r="Y759">
        <v>1</v>
      </c>
      <c r="Z759">
        <v>25</v>
      </c>
      <c r="AA759">
        <v>1</v>
      </c>
      <c r="AB759">
        <v>25</v>
      </c>
      <c r="AC759">
        <v>1</v>
      </c>
      <c r="AD759">
        <v>25</v>
      </c>
      <c r="AE759">
        <v>0</v>
      </c>
      <c r="AF759">
        <v>0</v>
      </c>
      <c r="AG759" t="s">
        <v>71</v>
      </c>
      <c r="AH759">
        <v>0</v>
      </c>
      <c r="AI759">
        <v>0</v>
      </c>
      <c r="AJ759">
        <v>0</v>
      </c>
      <c r="AK759">
        <v>0</v>
      </c>
      <c r="AL759" t="s">
        <v>438</v>
      </c>
      <c r="AM759" t="s">
        <v>491</v>
      </c>
      <c r="AN759" t="s">
        <v>94</v>
      </c>
      <c r="AO759" t="s">
        <v>147</v>
      </c>
      <c r="AP759">
        <v>0</v>
      </c>
      <c r="AQ759">
        <v>0</v>
      </c>
      <c r="AR759">
        <v>0</v>
      </c>
      <c r="AS759">
        <v>1</v>
      </c>
      <c r="AT759">
        <v>0</v>
      </c>
      <c r="AU759">
        <v>0</v>
      </c>
      <c r="AV759">
        <v>0</v>
      </c>
      <c r="AW759">
        <v>0</v>
      </c>
      <c r="AX759">
        <v>0</v>
      </c>
      <c r="AY759">
        <v>0</v>
      </c>
    </row>
    <row r="760" spans="1:51" x14ac:dyDescent="0.25">
      <c r="A760">
        <v>197</v>
      </c>
      <c r="B760">
        <v>10290</v>
      </c>
      <c r="C760" t="s">
        <v>735</v>
      </c>
      <c r="D760" t="s">
        <v>96</v>
      </c>
      <c r="E760" t="s">
        <v>100</v>
      </c>
      <c r="F760" t="s">
        <v>107</v>
      </c>
      <c r="G760" t="s">
        <v>77</v>
      </c>
      <c r="H760" t="s">
        <v>182</v>
      </c>
      <c r="I760" t="s">
        <v>79</v>
      </c>
      <c r="J760" t="s">
        <v>150</v>
      </c>
      <c r="K760" t="s">
        <v>75</v>
      </c>
      <c r="L760" t="s">
        <v>76</v>
      </c>
      <c r="M760" t="s">
        <v>103</v>
      </c>
      <c r="N760" t="s">
        <v>74</v>
      </c>
      <c r="O760" t="s">
        <v>104</v>
      </c>
      <c r="P760" t="s">
        <v>71</v>
      </c>
      <c r="Q760" t="s">
        <v>71</v>
      </c>
      <c r="R760" t="s">
        <v>71</v>
      </c>
      <c r="S760">
        <v>1</v>
      </c>
      <c r="T760">
        <v>1</v>
      </c>
      <c r="U760" t="s">
        <v>72</v>
      </c>
      <c r="V760" t="s">
        <v>192</v>
      </c>
      <c r="W760">
        <v>0</v>
      </c>
      <c r="X760">
        <v>0</v>
      </c>
      <c r="Y760">
        <v>0</v>
      </c>
      <c r="Z760">
        <v>0</v>
      </c>
      <c r="AA760">
        <v>0</v>
      </c>
      <c r="AB760">
        <v>0</v>
      </c>
      <c r="AC760">
        <v>0</v>
      </c>
      <c r="AD760">
        <v>0</v>
      </c>
      <c r="AE760">
        <v>0</v>
      </c>
      <c r="AF760">
        <v>0</v>
      </c>
      <c r="AG760" t="s">
        <v>71</v>
      </c>
      <c r="AH760">
        <v>0</v>
      </c>
      <c r="AI760">
        <v>0</v>
      </c>
      <c r="AJ760">
        <v>0</v>
      </c>
      <c r="AK760">
        <v>0</v>
      </c>
      <c r="AL760" t="s">
        <v>438</v>
      </c>
      <c r="AM760" t="s">
        <v>491</v>
      </c>
      <c r="AN760" t="s">
        <v>94</v>
      </c>
      <c r="AO760" t="s">
        <v>147</v>
      </c>
      <c r="AP760">
        <v>0</v>
      </c>
      <c r="AQ760">
        <v>0</v>
      </c>
      <c r="AR760">
        <v>0</v>
      </c>
      <c r="AS760">
        <v>128</v>
      </c>
      <c r="AT760">
        <v>0</v>
      </c>
      <c r="AU760">
        <v>0</v>
      </c>
      <c r="AV760">
        <v>0</v>
      </c>
      <c r="AW760">
        <v>0</v>
      </c>
      <c r="AX760">
        <v>0</v>
      </c>
      <c r="AY760">
        <v>0</v>
      </c>
    </row>
    <row r="761" spans="1:51" x14ac:dyDescent="0.25">
      <c r="A761">
        <v>198</v>
      </c>
      <c r="B761">
        <v>10300</v>
      </c>
      <c r="C761" t="s">
        <v>735</v>
      </c>
      <c r="D761" t="s">
        <v>96</v>
      </c>
      <c r="E761" t="s">
        <v>100</v>
      </c>
      <c r="F761" t="s">
        <v>107</v>
      </c>
      <c r="G761" t="s">
        <v>77</v>
      </c>
      <c r="H761" t="s">
        <v>182</v>
      </c>
      <c r="I761" t="s">
        <v>79</v>
      </c>
      <c r="J761" t="s">
        <v>150</v>
      </c>
      <c r="K761" t="s">
        <v>75</v>
      </c>
      <c r="L761" t="s">
        <v>76</v>
      </c>
      <c r="M761" t="s">
        <v>103</v>
      </c>
      <c r="N761" t="s">
        <v>74</v>
      </c>
      <c r="O761" t="s">
        <v>104</v>
      </c>
      <c r="P761" t="s">
        <v>71</v>
      </c>
      <c r="Q761" t="s">
        <v>71</v>
      </c>
      <c r="R761" t="s">
        <v>110</v>
      </c>
      <c r="S761">
        <v>1</v>
      </c>
      <c r="T761">
        <v>1</v>
      </c>
      <c r="U761" t="s">
        <v>72</v>
      </c>
      <c r="V761" t="s">
        <v>192</v>
      </c>
      <c r="W761">
        <v>0</v>
      </c>
      <c r="X761">
        <v>0</v>
      </c>
      <c r="Y761">
        <v>1</v>
      </c>
      <c r="Z761">
        <v>25</v>
      </c>
      <c r="AA761">
        <v>1</v>
      </c>
      <c r="AB761">
        <v>25</v>
      </c>
      <c r="AC761">
        <v>1</v>
      </c>
      <c r="AD761">
        <v>25</v>
      </c>
      <c r="AE761">
        <v>0</v>
      </c>
      <c r="AF761">
        <v>0</v>
      </c>
      <c r="AG761" t="s">
        <v>71</v>
      </c>
      <c r="AH761">
        <v>0</v>
      </c>
      <c r="AI761">
        <v>0</v>
      </c>
      <c r="AJ761">
        <v>0</v>
      </c>
      <c r="AK761">
        <v>0</v>
      </c>
      <c r="AL761" t="s">
        <v>438</v>
      </c>
      <c r="AM761" t="s">
        <v>491</v>
      </c>
      <c r="AN761" t="s">
        <v>94</v>
      </c>
      <c r="AO761" t="s">
        <v>147</v>
      </c>
      <c r="AP761">
        <v>0</v>
      </c>
      <c r="AQ761">
        <v>0</v>
      </c>
      <c r="AR761">
        <v>0</v>
      </c>
      <c r="AS761">
        <v>1</v>
      </c>
      <c r="AT761">
        <v>0</v>
      </c>
      <c r="AU761">
        <v>0</v>
      </c>
      <c r="AV761">
        <v>0</v>
      </c>
      <c r="AW761">
        <v>0</v>
      </c>
      <c r="AX761">
        <v>0</v>
      </c>
      <c r="AY761">
        <v>0</v>
      </c>
    </row>
    <row r="762" spans="1:51" x14ac:dyDescent="0.25">
      <c r="A762">
        <v>198</v>
      </c>
      <c r="B762">
        <v>10310</v>
      </c>
      <c r="C762" t="s">
        <v>735</v>
      </c>
      <c r="D762" t="s">
        <v>96</v>
      </c>
      <c r="E762" t="s">
        <v>100</v>
      </c>
      <c r="F762" t="s">
        <v>107</v>
      </c>
      <c r="G762" t="s">
        <v>77</v>
      </c>
      <c r="H762" t="s">
        <v>182</v>
      </c>
      <c r="I762" t="s">
        <v>79</v>
      </c>
      <c r="J762" t="s">
        <v>150</v>
      </c>
      <c r="K762" t="s">
        <v>75</v>
      </c>
      <c r="L762" t="s">
        <v>76</v>
      </c>
      <c r="M762" t="s">
        <v>103</v>
      </c>
      <c r="N762" t="s">
        <v>74</v>
      </c>
      <c r="O762" t="s">
        <v>104</v>
      </c>
      <c r="P762" t="s">
        <v>71</v>
      </c>
      <c r="Q762" t="s">
        <v>71</v>
      </c>
      <c r="R762" t="s">
        <v>299</v>
      </c>
      <c r="S762">
        <v>1</v>
      </c>
      <c r="T762">
        <v>1</v>
      </c>
      <c r="U762" t="s">
        <v>72</v>
      </c>
      <c r="V762" t="s">
        <v>192</v>
      </c>
      <c r="W762">
        <v>0</v>
      </c>
      <c r="X762">
        <v>0</v>
      </c>
      <c r="Y762">
        <v>0</v>
      </c>
      <c r="Z762">
        <v>0</v>
      </c>
      <c r="AA762">
        <v>0</v>
      </c>
      <c r="AB762">
        <v>0</v>
      </c>
      <c r="AC762">
        <v>0</v>
      </c>
      <c r="AD762">
        <v>0</v>
      </c>
      <c r="AE762">
        <v>0</v>
      </c>
      <c r="AF762">
        <v>0</v>
      </c>
      <c r="AG762" t="s">
        <v>71</v>
      </c>
      <c r="AH762">
        <v>0</v>
      </c>
      <c r="AI762">
        <v>0</v>
      </c>
      <c r="AJ762">
        <v>0</v>
      </c>
      <c r="AK762">
        <v>0</v>
      </c>
      <c r="AL762" t="s">
        <v>438</v>
      </c>
      <c r="AM762" t="s">
        <v>491</v>
      </c>
      <c r="AN762" t="s">
        <v>94</v>
      </c>
      <c r="AO762" t="s">
        <v>147</v>
      </c>
      <c r="AP762">
        <v>0</v>
      </c>
      <c r="AQ762">
        <v>0</v>
      </c>
      <c r="AR762">
        <v>0</v>
      </c>
      <c r="AS762">
        <v>128</v>
      </c>
      <c r="AT762">
        <v>0</v>
      </c>
      <c r="AU762">
        <v>0</v>
      </c>
      <c r="AV762">
        <v>0</v>
      </c>
      <c r="AW762">
        <v>0</v>
      </c>
      <c r="AX762">
        <v>0</v>
      </c>
      <c r="AY762">
        <v>0</v>
      </c>
    </row>
    <row r="763" spans="1:51" x14ac:dyDescent="0.25">
      <c r="A763">
        <v>199</v>
      </c>
      <c r="B763">
        <v>10320</v>
      </c>
      <c r="C763" t="s">
        <v>735</v>
      </c>
      <c r="D763" t="s">
        <v>96</v>
      </c>
      <c r="E763" t="s">
        <v>100</v>
      </c>
      <c r="F763" t="s">
        <v>107</v>
      </c>
      <c r="G763" t="s">
        <v>101</v>
      </c>
      <c r="H763" t="s">
        <v>182</v>
      </c>
      <c r="I763" t="s">
        <v>79</v>
      </c>
      <c r="J763" t="s">
        <v>119</v>
      </c>
      <c r="K763" t="s">
        <v>75</v>
      </c>
      <c r="L763" t="s">
        <v>76</v>
      </c>
      <c r="M763" t="s">
        <v>103</v>
      </c>
      <c r="N763" t="s">
        <v>74</v>
      </c>
      <c r="O763" t="s">
        <v>104</v>
      </c>
      <c r="P763" t="s">
        <v>71</v>
      </c>
      <c r="Q763" t="s">
        <v>71</v>
      </c>
      <c r="R763" t="s">
        <v>71</v>
      </c>
      <c r="S763">
        <v>1</v>
      </c>
      <c r="T763">
        <v>1</v>
      </c>
      <c r="U763" t="s">
        <v>72</v>
      </c>
      <c r="V763" t="s">
        <v>192</v>
      </c>
      <c r="W763">
        <v>0</v>
      </c>
      <c r="X763">
        <v>0</v>
      </c>
      <c r="Y763">
        <v>0</v>
      </c>
      <c r="Z763">
        <v>0</v>
      </c>
      <c r="AA763">
        <v>0</v>
      </c>
      <c r="AB763">
        <v>0</v>
      </c>
      <c r="AC763">
        <v>0</v>
      </c>
      <c r="AD763">
        <v>0</v>
      </c>
      <c r="AE763">
        <v>0</v>
      </c>
      <c r="AF763">
        <v>0</v>
      </c>
      <c r="AG763" t="s">
        <v>71</v>
      </c>
      <c r="AH763">
        <v>0</v>
      </c>
      <c r="AI763">
        <v>0</v>
      </c>
      <c r="AJ763">
        <v>0</v>
      </c>
      <c r="AK763">
        <v>0</v>
      </c>
      <c r="AL763" t="s">
        <v>438</v>
      </c>
      <c r="AM763" t="s">
        <v>491</v>
      </c>
      <c r="AN763" t="s">
        <v>94</v>
      </c>
      <c r="AO763" t="s">
        <v>147</v>
      </c>
      <c r="AP763">
        <v>0</v>
      </c>
      <c r="AQ763">
        <v>0</v>
      </c>
      <c r="AR763">
        <v>0</v>
      </c>
      <c r="AS763">
        <v>128</v>
      </c>
      <c r="AT763">
        <v>0</v>
      </c>
      <c r="AU763">
        <v>0</v>
      </c>
      <c r="AV763">
        <v>0</v>
      </c>
      <c r="AW763">
        <v>0</v>
      </c>
      <c r="AX763">
        <v>32</v>
      </c>
      <c r="AY763">
        <v>0</v>
      </c>
    </row>
    <row r="764" spans="1:51" x14ac:dyDescent="0.25">
      <c r="A764">
        <v>199</v>
      </c>
      <c r="B764">
        <v>10330</v>
      </c>
      <c r="C764" t="s">
        <v>735</v>
      </c>
      <c r="D764" t="s">
        <v>96</v>
      </c>
      <c r="E764" t="s">
        <v>100</v>
      </c>
      <c r="F764" t="s">
        <v>107</v>
      </c>
      <c r="G764" t="s">
        <v>101</v>
      </c>
      <c r="H764" t="s">
        <v>182</v>
      </c>
      <c r="I764" t="s">
        <v>79</v>
      </c>
      <c r="J764" t="s">
        <v>119</v>
      </c>
      <c r="K764" t="s">
        <v>75</v>
      </c>
      <c r="L764" t="s">
        <v>76</v>
      </c>
      <c r="M764" t="s">
        <v>103</v>
      </c>
      <c r="N764" t="s">
        <v>74</v>
      </c>
      <c r="O764" t="s">
        <v>104</v>
      </c>
      <c r="P764" t="s">
        <v>71</v>
      </c>
      <c r="Q764" t="s">
        <v>71</v>
      </c>
      <c r="R764" t="s">
        <v>71</v>
      </c>
      <c r="S764">
        <v>1</v>
      </c>
      <c r="T764">
        <v>1</v>
      </c>
      <c r="U764" t="s">
        <v>72</v>
      </c>
      <c r="V764" t="s">
        <v>192</v>
      </c>
      <c r="W764">
        <v>0</v>
      </c>
      <c r="X764">
        <v>0</v>
      </c>
      <c r="Y764">
        <v>0</v>
      </c>
      <c r="Z764">
        <v>0</v>
      </c>
      <c r="AA764">
        <v>0</v>
      </c>
      <c r="AB764">
        <v>0</v>
      </c>
      <c r="AC764">
        <v>0</v>
      </c>
      <c r="AD764">
        <v>0</v>
      </c>
      <c r="AE764">
        <v>0</v>
      </c>
      <c r="AF764">
        <v>0</v>
      </c>
      <c r="AG764" t="s">
        <v>71</v>
      </c>
      <c r="AH764">
        <v>0</v>
      </c>
      <c r="AI764">
        <v>0</v>
      </c>
      <c r="AJ764">
        <v>0</v>
      </c>
      <c r="AK764">
        <v>0</v>
      </c>
      <c r="AL764" t="s">
        <v>438</v>
      </c>
      <c r="AM764" t="s">
        <v>491</v>
      </c>
      <c r="AN764" t="s">
        <v>94</v>
      </c>
      <c r="AO764" t="s">
        <v>147</v>
      </c>
      <c r="AP764">
        <v>0</v>
      </c>
      <c r="AQ764">
        <v>0</v>
      </c>
      <c r="AR764">
        <v>0</v>
      </c>
      <c r="AS764">
        <v>128</v>
      </c>
      <c r="AT764">
        <v>0</v>
      </c>
      <c r="AU764">
        <v>0</v>
      </c>
      <c r="AV764">
        <v>0</v>
      </c>
      <c r="AW764">
        <v>0</v>
      </c>
      <c r="AX764">
        <v>32</v>
      </c>
      <c r="AY764">
        <v>0</v>
      </c>
    </row>
    <row r="765" spans="1:51" x14ac:dyDescent="0.25">
      <c r="A765">
        <v>199</v>
      </c>
      <c r="B765">
        <v>10340</v>
      </c>
      <c r="C765" t="s">
        <v>735</v>
      </c>
      <c r="D765" t="s">
        <v>96</v>
      </c>
      <c r="E765" t="s">
        <v>100</v>
      </c>
      <c r="F765" t="s">
        <v>107</v>
      </c>
      <c r="G765" t="s">
        <v>101</v>
      </c>
      <c r="H765" t="s">
        <v>182</v>
      </c>
      <c r="I765" t="s">
        <v>79</v>
      </c>
      <c r="J765" t="s">
        <v>119</v>
      </c>
      <c r="K765" t="s">
        <v>75</v>
      </c>
      <c r="L765" t="s">
        <v>76</v>
      </c>
      <c r="M765" t="s">
        <v>103</v>
      </c>
      <c r="N765" t="s">
        <v>74</v>
      </c>
      <c r="O765" t="s">
        <v>104</v>
      </c>
      <c r="P765" t="s">
        <v>71</v>
      </c>
      <c r="Q765" t="s">
        <v>71</v>
      </c>
      <c r="R765" t="s">
        <v>71</v>
      </c>
      <c r="S765">
        <v>1</v>
      </c>
      <c r="T765">
        <v>1</v>
      </c>
      <c r="U765" t="s">
        <v>72</v>
      </c>
      <c r="V765" t="s">
        <v>192</v>
      </c>
      <c r="W765">
        <v>0</v>
      </c>
      <c r="X765">
        <v>0</v>
      </c>
      <c r="Y765">
        <v>0</v>
      </c>
      <c r="Z765">
        <v>0</v>
      </c>
      <c r="AA765">
        <v>0</v>
      </c>
      <c r="AB765">
        <v>0</v>
      </c>
      <c r="AC765">
        <v>0</v>
      </c>
      <c r="AD765">
        <v>0</v>
      </c>
      <c r="AE765">
        <v>0</v>
      </c>
      <c r="AF765">
        <v>0</v>
      </c>
      <c r="AG765" t="s">
        <v>71</v>
      </c>
      <c r="AH765">
        <v>0</v>
      </c>
      <c r="AI765">
        <v>0</v>
      </c>
      <c r="AJ765">
        <v>0</v>
      </c>
      <c r="AK765">
        <v>0</v>
      </c>
      <c r="AL765" t="s">
        <v>438</v>
      </c>
      <c r="AM765" t="s">
        <v>491</v>
      </c>
      <c r="AN765" t="s">
        <v>94</v>
      </c>
      <c r="AO765" t="s">
        <v>147</v>
      </c>
      <c r="AP765">
        <v>0</v>
      </c>
      <c r="AQ765">
        <v>0</v>
      </c>
      <c r="AR765">
        <v>0</v>
      </c>
      <c r="AS765">
        <v>128</v>
      </c>
      <c r="AT765">
        <v>0</v>
      </c>
      <c r="AU765">
        <v>0</v>
      </c>
      <c r="AV765">
        <v>0</v>
      </c>
      <c r="AW765">
        <v>0</v>
      </c>
      <c r="AX765">
        <v>32</v>
      </c>
      <c r="AY765">
        <v>0</v>
      </c>
    </row>
    <row r="766" spans="1:51" x14ac:dyDescent="0.25">
      <c r="A766">
        <v>199</v>
      </c>
      <c r="B766">
        <v>10350</v>
      </c>
      <c r="C766" t="s">
        <v>735</v>
      </c>
      <c r="D766" t="s">
        <v>96</v>
      </c>
      <c r="E766" t="s">
        <v>100</v>
      </c>
      <c r="F766" t="s">
        <v>107</v>
      </c>
      <c r="G766" t="s">
        <v>101</v>
      </c>
      <c r="H766" t="s">
        <v>182</v>
      </c>
      <c r="I766" t="s">
        <v>79</v>
      </c>
      <c r="J766" t="s">
        <v>119</v>
      </c>
      <c r="K766" t="s">
        <v>75</v>
      </c>
      <c r="L766" t="s">
        <v>76</v>
      </c>
      <c r="M766" t="s">
        <v>103</v>
      </c>
      <c r="N766" t="s">
        <v>74</v>
      </c>
      <c r="O766" t="s">
        <v>104</v>
      </c>
      <c r="P766" t="s">
        <v>71</v>
      </c>
      <c r="Q766" t="s">
        <v>71</v>
      </c>
      <c r="R766" t="s">
        <v>71</v>
      </c>
      <c r="S766">
        <v>1</v>
      </c>
      <c r="T766">
        <v>1</v>
      </c>
      <c r="U766" t="s">
        <v>72</v>
      </c>
      <c r="V766" t="s">
        <v>192</v>
      </c>
      <c r="W766">
        <v>0</v>
      </c>
      <c r="X766">
        <v>0</v>
      </c>
      <c r="Y766">
        <v>0</v>
      </c>
      <c r="Z766">
        <v>0</v>
      </c>
      <c r="AA766">
        <v>0</v>
      </c>
      <c r="AB766">
        <v>0</v>
      </c>
      <c r="AC766">
        <v>0</v>
      </c>
      <c r="AD766">
        <v>0</v>
      </c>
      <c r="AE766">
        <v>0</v>
      </c>
      <c r="AF766">
        <v>0</v>
      </c>
      <c r="AG766" t="s">
        <v>71</v>
      </c>
      <c r="AH766">
        <v>0</v>
      </c>
      <c r="AI766">
        <v>0</v>
      </c>
      <c r="AJ766">
        <v>0</v>
      </c>
      <c r="AK766">
        <v>0</v>
      </c>
      <c r="AL766" t="s">
        <v>438</v>
      </c>
      <c r="AM766" t="s">
        <v>491</v>
      </c>
      <c r="AN766" t="s">
        <v>94</v>
      </c>
      <c r="AO766" t="s">
        <v>147</v>
      </c>
      <c r="AP766">
        <v>0</v>
      </c>
      <c r="AQ766">
        <v>0</v>
      </c>
      <c r="AR766">
        <v>0</v>
      </c>
      <c r="AS766">
        <v>128</v>
      </c>
      <c r="AT766">
        <v>0</v>
      </c>
      <c r="AU766">
        <v>0</v>
      </c>
      <c r="AV766">
        <v>0</v>
      </c>
      <c r="AW766">
        <v>0</v>
      </c>
      <c r="AX766">
        <v>32</v>
      </c>
      <c r="AY766">
        <v>0</v>
      </c>
    </row>
    <row r="767" spans="1:51" x14ac:dyDescent="0.25">
      <c r="A767">
        <v>199</v>
      </c>
      <c r="B767">
        <v>10360</v>
      </c>
      <c r="C767" t="s">
        <v>735</v>
      </c>
      <c r="D767" t="s">
        <v>96</v>
      </c>
      <c r="E767" t="s">
        <v>100</v>
      </c>
      <c r="F767" t="s">
        <v>107</v>
      </c>
      <c r="G767" t="s">
        <v>101</v>
      </c>
      <c r="H767" t="s">
        <v>182</v>
      </c>
      <c r="I767" t="s">
        <v>79</v>
      </c>
      <c r="J767" t="s">
        <v>70</v>
      </c>
      <c r="K767" t="s">
        <v>75</v>
      </c>
      <c r="L767" t="s">
        <v>76</v>
      </c>
      <c r="M767" t="s">
        <v>103</v>
      </c>
      <c r="N767" t="s">
        <v>74</v>
      </c>
      <c r="O767" t="s">
        <v>104</v>
      </c>
      <c r="P767" t="s">
        <v>71</v>
      </c>
      <c r="Q767" t="s">
        <v>71</v>
      </c>
      <c r="R767" t="s">
        <v>71</v>
      </c>
      <c r="S767">
        <v>1</v>
      </c>
      <c r="T767">
        <v>1</v>
      </c>
      <c r="U767" t="s">
        <v>72</v>
      </c>
      <c r="V767" t="s">
        <v>192</v>
      </c>
      <c r="W767">
        <v>0</v>
      </c>
      <c r="X767">
        <v>0</v>
      </c>
      <c r="Y767">
        <v>0</v>
      </c>
      <c r="Z767">
        <v>0</v>
      </c>
      <c r="AA767">
        <v>0</v>
      </c>
      <c r="AB767">
        <v>0</v>
      </c>
      <c r="AC767">
        <v>0</v>
      </c>
      <c r="AD767">
        <v>0</v>
      </c>
      <c r="AE767">
        <v>0</v>
      </c>
      <c r="AF767">
        <v>0</v>
      </c>
      <c r="AG767" t="s">
        <v>71</v>
      </c>
      <c r="AH767">
        <v>0</v>
      </c>
      <c r="AI767">
        <v>0</v>
      </c>
      <c r="AJ767">
        <v>0</v>
      </c>
      <c r="AK767">
        <v>0</v>
      </c>
      <c r="AL767" t="s">
        <v>438</v>
      </c>
      <c r="AM767" t="s">
        <v>491</v>
      </c>
      <c r="AN767" t="s">
        <v>94</v>
      </c>
      <c r="AO767" t="s">
        <v>147</v>
      </c>
      <c r="AP767">
        <v>0</v>
      </c>
      <c r="AQ767">
        <v>0</v>
      </c>
      <c r="AR767">
        <v>0</v>
      </c>
      <c r="AS767">
        <v>128</v>
      </c>
      <c r="AT767">
        <v>0</v>
      </c>
      <c r="AU767">
        <v>0</v>
      </c>
      <c r="AV767">
        <v>0</v>
      </c>
      <c r="AW767">
        <v>0</v>
      </c>
      <c r="AX767">
        <v>32</v>
      </c>
      <c r="AY767">
        <v>0</v>
      </c>
    </row>
    <row r="768" spans="1:51" x14ac:dyDescent="0.25">
      <c r="A768">
        <v>199</v>
      </c>
      <c r="B768">
        <v>10370</v>
      </c>
      <c r="C768" t="s">
        <v>735</v>
      </c>
      <c r="D768" t="s">
        <v>96</v>
      </c>
      <c r="E768" t="s">
        <v>100</v>
      </c>
      <c r="F768" t="s">
        <v>107</v>
      </c>
      <c r="G768" t="s">
        <v>101</v>
      </c>
      <c r="H768" t="s">
        <v>182</v>
      </c>
      <c r="I768" t="s">
        <v>79</v>
      </c>
      <c r="J768" t="s">
        <v>70</v>
      </c>
      <c r="K768" t="s">
        <v>75</v>
      </c>
      <c r="L768" t="s">
        <v>76</v>
      </c>
      <c r="M768" t="s">
        <v>103</v>
      </c>
      <c r="N768" t="s">
        <v>74</v>
      </c>
      <c r="O768" t="s">
        <v>104</v>
      </c>
      <c r="P768" t="s">
        <v>71</v>
      </c>
      <c r="Q768" t="s">
        <v>71</v>
      </c>
      <c r="R768" t="s">
        <v>71</v>
      </c>
      <c r="S768">
        <v>1</v>
      </c>
      <c r="T768">
        <v>1</v>
      </c>
      <c r="U768" t="s">
        <v>72</v>
      </c>
      <c r="V768" t="s">
        <v>192</v>
      </c>
      <c r="W768">
        <v>0</v>
      </c>
      <c r="X768">
        <v>0</v>
      </c>
      <c r="Y768">
        <v>0</v>
      </c>
      <c r="Z768">
        <v>0</v>
      </c>
      <c r="AA768">
        <v>0</v>
      </c>
      <c r="AB768">
        <v>0</v>
      </c>
      <c r="AC768">
        <v>0</v>
      </c>
      <c r="AD768">
        <v>0</v>
      </c>
      <c r="AE768">
        <v>0</v>
      </c>
      <c r="AF768">
        <v>0</v>
      </c>
      <c r="AG768" t="s">
        <v>71</v>
      </c>
      <c r="AH768">
        <v>0</v>
      </c>
      <c r="AI768">
        <v>0</v>
      </c>
      <c r="AJ768">
        <v>0</v>
      </c>
      <c r="AK768">
        <v>0</v>
      </c>
      <c r="AL768" t="s">
        <v>438</v>
      </c>
      <c r="AM768" t="s">
        <v>491</v>
      </c>
      <c r="AN768" t="s">
        <v>94</v>
      </c>
      <c r="AO768" t="s">
        <v>147</v>
      </c>
      <c r="AP768">
        <v>0</v>
      </c>
      <c r="AQ768">
        <v>0</v>
      </c>
      <c r="AR768">
        <v>0</v>
      </c>
      <c r="AS768">
        <v>128</v>
      </c>
      <c r="AT768">
        <v>0</v>
      </c>
      <c r="AU768">
        <v>0</v>
      </c>
      <c r="AV768">
        <v>0</v>
      </c>
      <c r="AW768">
        <v>0</v>
      </c>
      <c r="AX768">
        <v>32</v>
      </c>
      <c r="AY768">
        <v>0</v>
      </c>
    </row>
    <row r="769" spans="1:51" x14ac:dyDescent="0.25">
      <c r="A769">
        <v>199</v>
      </c>
      <c r="B769">
        <v>13340</v>
      </c>
      <c r="C769" t="s">
        <v>735</v>
      </c>
      <c r="D769" t="s">
        <v>96</v>
      </c>
      <c r="E769" t="s">
        <v>100</v>
      </c>
      <c r="F769" t="s">
        <v>107</v>
      </c>
      <c r="G769" t="s">
        <v>101</v>
      </c>
      <c r="H769" t="s">
        <v>182</v>
      </c>
      <c r="I769" t="s">
        <v>79</v>
      </c>
      <c r="J769" t="s">
        <v>70</v>
      </c>
      <c r="K769" t="s">
        <v>75</v>
      </c>
      <c r="L769" t="s">
        <v>76</v>
      </c>
      <c r="M769" t="s">
        <v>103</v>
      </c>
      <c r="N769" t="s">
        <v>74</v>
      </c>
      <c r="O769" t="s">
        <v>104</v>
      </c>
      <c r="P769" t="s">
        <v>71</v>
      </c>
      <c r="Q769" t="s">
        <v>71</v>
      </c>
      <c r="R769" t="s">
        <v>71</v>
      </c>
      <c r="S769">
        <v>1</v>
      </c>
      <c r="T769">
        <v>1</v>
      </c>
      <c r="U769" t="s">
        <v>72</v>
      </c>
      <c r="V769" t="s">
        <v>192</v>
      </c>
      <c r="W769">
        <v>0</v>
      </c>
      <c r="X769">
        <v>0</v>
      </c>
      <c r="Y769">
        <v>0</v>
      </c>
      <c r="Z769">
        <v>0</v>
      </c>
      <c r="AA769">
        <v>0</v>
      </c>
      <c r="AB769">
        <v>0</v>
      </c>
      <c r="AC769">
        <v>0</v>
      </c>
      <c r="AD769">
        <v>0</v>
      </c>
      <c r="AE769">
        <v>0</v>
      </c>
      <c r="AF769">
        <v>0</v>
      </c>
      <c r="AG769" t="s">
        <v>71</v>
      </c>
      <c r="AH769">
        <v>0</v>
      </c>
      <c r="AI769">
        <v>0</v>
      </c>
      <c r="AJ769">
        <v>0</v>
      </c>
      <c r="AK769">
        <v>0</v>
      </c>
      <c r="AL769" t="s">
        <v>438</v>
      </c>
      <c r="AM769" t="s">
        <v>491</v>
      </c>
      <c r="AN769" t="s">
        <v>94</v>
      </c>
      <c r="AO769" t="s">
        <v>147</v>
      </c>
      <c r="AP769">
        <v>0</v>
      </c>
      <c r="AQ769">
        <v>0</v>
      </c>
      <c r="AR769">
        <v>0</v>
      </c>
      <c r="AS769">
        <v>128</v>
      </c>
      <c r="AT769">
        <v>0</v>
      </c>
      <c r="AU769">
        <v>0</v>
      </c>
      <c r="AV769">
        <v>0</v>
      </c>
      <c r="AW769">
        <v>0</v>
      </c>
      <c r="AX769">
        <v>32</v>
      </c>
      <c r="AY769">
        <v>0</v>
      </c>
    </row>
    <row r="770" spans="1:51" x14ac:dyDescent="0.25">
      <c r="A770">
        <v>199</v>
      </c>
      <c r="B770">
        <v>13350</v>
      </c>
      <c r="C770" t="s">
        <v>735</v>
      </c>
      <c r="D770" t="s">
        <v>96</v>
      </c>
      <c r="E770" t="s">
        <v>100</v>
      </c>
      <c r="F770" t="s">
        <v>107</v>
      </c>
      <c r="G770" t="s">
        <v>101</v>
      </c>
      <c r="H770" t="s">
        <v>182</v>
      </c>
      <c r="I770" t="s">
        <v>79</v>
      </c>
      <c r="J770" t="s">
        <v>70</v>
      </c>
      <c r="K770" t="s">
        <v>75</v>
      </c>
      <c r="L770" t="s">
        <v>76</v>
      </c>
      <c r="M770" t="s">
        <v>103</v>
      </c>
      <c r="N770" t="s">
        <v>74</v>
      </c>
      <c r="O770" t="s">
        <v>104</v>
      </c>
      <c r="P770" t="s">
        <v>71</v>
      </c>
      <c r="Q770" t="s">
        <v>71</v>
      </c>
      <c r="R770" t="s">
        <v>71</v>
      </c>
      <c r="S770">
        <v>1</v>
      </c>
      <c r="T770">
        <v>1</v>
      </c>
      <c r="U770" t="s">
        <v>72</v>
      </c>
      <c r="V770" t="s">
        <v>192</v>
      </c>
      <c r="W770">
        <v>0</v>
      </c>
      <c r="X770">
        <v>0</v>
      </c>
      <c r="Y770">
        <v>0</v>
      </c>
      <c r="Z770">
        <v>0</v>
      </c>
      <c r="AA770">
        <v>0</v>
      </c>
      <c r="AB770">
        <v>0</v>
      </c>
      <c r="AC770">
        <v>0</v>
      </c>
      <c r="AD770">
        <v>0</v>
      </c>
      <c r="AE770">
        <v>0</v>
      </c>
      <c r="AF770">
        <v>0</v>
      </c>
      <c r="AG770" t="s">
        <v>71</v>
      </c>
      <c r="AH770">
        <v>0</v>
      </c>
      <c r="AI770">
        <v>0</v>
      </c>
      <c r="AJ770">
        <v>0</v>
      </c>
      <c r="AK770">
        <v>0</v>
      </c>
      <c r="AL770" t="s">
        <v>438</v>
      </c>
      <c r="AM770" t="s">
        <v>491</v>
      </c>
      <c r="AN770" t="s">
        <v>94</v>
      </c>
      <c r="AO770" t="s">
        <v>147</v>
      </c>
      <c r="AP770">
        <v>0</v>
      </c>
      <c r="AQ770">
        <v>0</v>
      </c>
      <c r="AR770">
        <v>0</v>
      </c>
      <c r="AS770">
        <v>128</v>
      </c>
      <c r="AT770">
        <v>0</v>
      </c>
      <c r="AU770">
        <v>0</v>
      </c>
      <c r="AV770">
        <v>0</v>
      </c>
      <c r="AW770">
        <v>0</v>
      </c>
      <c r="AX770">
        <v>0</v>
      </c>
      <c r="AY770">
        <v>0</v>
      </c>
    </row>
    <row r="771" spans="1:51" x14ac:dyDescent="0.25">
      <c r="A771">
        <v>199</v>
      </c>
      <c r="B771">
        <v>13360</v>
      </c>
      <c r="C771" t="s">
        <v>735</v>
      </c>
      <c r="D771" t="s">
        <v>96</v>
      </c>
      <c r="E771" t="s">
        <v>100</v>
      </c>
      <c r="F771" t="s">
        <v>107</v>
      </c>
      <c r="G771" t="s">
        <v>101</v>
      </c>
      <c r="H771" t="s">
        <v>182</v>
      </c>
      <c r="I771" t="s">
        <v>79</v>
      </c>
      <c r="J771" t="s">
        <v>70</v>
      </c>
      <c r="K771" t="s">
        <v>75</v>
      </c>
      <c r="L771" t="s">
        <v>76</v>
      </c>
      <c r="M771" t="s">
        <v>103</v>
      </c>
      <c r="N771" t="s">
        <v>74</v>
      </c>
      <c r="O771" t="s">
        <v>104</v>
      </c>
      <c r="P771" t="s">
        <v>71</v>
      </c>
      <c r="Q771" t="s">
        <v>71</v>
      </c>
      <c r="R771" t="s">
        <v>71</v>
      </c>
      <c r="S771">
        <v>1</v>
      </c>
      <c r="T771">
        <v>1</v>
      </c>
      <c r="U771" t="s">
        <v>72</v>
      </c>
      <c r="V771" t="s">
        <v>192</v>
      </c>
      <c r="W771">
        <v>0</v>
      </c>
      <c r="X771">
        <v>0</v>
      </c>
      <c r="Y771">
        <v>0</v>
      </c>
      <c r="Z771">
        <v>0</v>
      </c>
      <c r="AA771">
        <v>0</v>
      </c>
      <c r="AB771">
        <v>0</v>
      </c>
      <c r="AC771">
        <v>0</v>
      </c>
      <c r="AD771">
        <v>0</v>
      </c>
      <c r="AE771">
        <v>0</v>
      </c>
      <c r="AF771">
        <v>0</v>
      </c>
      <c r="AG771" t="s">
        <v>71</v>
      </c>
      <c r="AH771">
        <v>0</v>
      </c>
      <c r="AI771">
        <v>0</v>
      </c>
      <c r="AJ771">
        <v>0</v>
      </c>
      <c r="AK771">
        <v>0</v>
      </c>
      <c r="AL771" t="s">
        <v>438</v>
      </c>
      <c r="AM771" t="s">
        <v>491</v>
      </c>
      <c r="AN771" t="s">
        <v>94</v>
      </c>
      <c r="AO771" t="s">
        <v>147</v>
      </c>
      <c r="AP771">
        <v>0</v>
      </c>
      <c r="AQ771">
        <v>0</v>
      </c>
      <c r="AR771">
        <v>0</v>
      </c>
      <c r="AS771">
        <v>128</v>
      </c>
      <c r="AT771">
        <v>0</v>
      </c>
      <c r="AU771">
        <v>0</v>
      </c>
      <c r="AV771">
        <v>0</v>
      </c>
      <c r="AW771">
        <v>0</v>
      </c>
      <c r="AX771">
        <v>0</v>
      </c>
      <c r="AY771">
        <v>0</v>
      </c>
    </row>
    <row r="772" spans="1:51" x14ac:dyDescent="0.25">
      <c r="A772">
        <v>200</v>
      </c>
      <c r="B772">
        <v>13370</v>
      </c>
      <c r="C772" t="s">
        <v>735</v>
      </c>
      <c r="D772" t="s">
        <v>96</v>
      </c>
      <c r="E772" t="s">
        <v>100</v>
      </c>
      <c r="F772" t="s">
        <v>107</v>
      </c>
      <c r="G772" t="s">
        <v>101</v>
      </c>
      <c r="H772" t="s">
        <v>182</v>
      </c>
      <c r="I772" t="s">
        <v>79</v>
      </c>
      <c r="J772" t="s">
        <v>119</v>
      </c>
      <c r="K772" t="s">
        <v>75</v>
      </c>
      <c r="L772" t="s">
        <v>76</v>
      </c>
      <c r="M772" t="s">
        <v>103</v>
      </c>
      <c r="N772" t="s">
        <v>74</v>
      </c>
      <c r="O772" t="s">
        <v>104</v>
      </c>
      <c r="P772" t="s">
        <v>71</v>
      </c>
      <c r="Q772" t="s">
        <v>71</v>
      </c>
      <c r="R772" t="s">
        <v>71</v>
      </c>
      <c r="S772">
        <v>1</v>
      </c>
      <c r="T772">
        <v>1</v>
      </c>
      <c r="U772" t="s">
        <v>72</v>
      </c>
      <c r="V772" t="s">
        <v>192</v>
      </c>
      <c r="W772">
        <v>0</v>
      </c>
      <c r="X772">
        <v>0</v>
      </c>
      <c r="Y772">
        <v>0</v>
      </c>
      <c r="Z772">
        <v>0</v>
      </c>
      <c r="AA772">
        <v>0</v>
      </c>
      <c r="AB772">
        <v>0</v>
      </c>
      <c r="AC772">
        <v>0</v>
      </c>
      <c r="AD772">
        <v>0</v>
      </c>
      <c r="AE772">
        <v>0</v>
      </c>
      <c r="AF772">
        <v>0</v>
      </c>
      <c r="AG772" t="s">
        <v>71</v>
      </c>
      <c r="AH772">
        <v>0</v>
      </c>
      <c r="AI772">
        <v>0</v>
      </c>
      <c r="AJ772">
        <v>0</v>
      </c>
      <c r="AK772">
        <v>0</v>
      </c>
      <c r="AL772" t="s">
        <v>438</v>
      </c>
      <c r="AM772" t="s">
        <v>491</v>
      </c>
      <c r="AN772" t="s">
        <v>94</v>
      </c>
      <c r="AO772" t="s">
        <v>147</v>
      </c>
      <c r="AP772">
        <v>0</v>
      </c>
      <c r="AQ772">
        <v>0</v>
      </c>
      <c r="AR772">
        <v>0</v>
      </c>
      <c r="AS772">
        <v>128</v>
      </c>
      <c r="AT772">
        <v>0</v>
      </c>
      <c r="AU772">
        <v>0</v>
      </c>
      <c r="AV772">
        <v>0</v>
      </c>
      <c r="AW772">
        <v>0</v>
      </c>
      <c r="AX772">
        <v>32</v>
      </c>
      <c r="AY772">
        <v>0</v>
      </c>
    </row>
    <row r="773" spans="1:51" x14ac:dyDescent="0.25">
      <c r="A773">
        <v>200</v>
      </c>
      <c r="B773">
        <v>13380</v>
      </c>
      <c r="C773" t="s">
        <v>735</v>
      </c>
      <c r="D773" t="s">
        <v>96</v>
      </c>
      <c r="E773" t="s">
        <v>100</v>
      </c>
      <c r="F773" t="s">
        <v>107</v>
      </c>
      <c r="G773" t="s">
        <v>101</v>
      </c>
      <c r="H773" t="s">
        <v>182</v>
      </c>
      <c r="I773" t="s">
        <v>79</v>
      </c>
      <c r="J773" t="s">
        <v>119</v>
      </c>
      <c r="K773" t="s">
        <v>75</v>
      </c>
      <c r="L773" t="s">
        <v>76</v>
      </c>
      <c r="M773" t="s">
        <v>103</v>
      </c>
      <c r="N773" t="s">
        <v>74</v>
      </c>
      <c r="O773" t="s">
        <v>104</v>
      </c>
      <c r="P773" t="s">
        <v>71</v>
      </c>
      <c r="Q773" t="s">
        <v>71</v>
      </c>
      <c r="R773" t="s">
        <v>71</v>
      </c>
      <c r="S773">
        <v>1</v>
      </c>
      <c r="T773">
        <v>1</v>
      </c>
      <c r="U773" t="s">
        <v>72</v>
      </c>
      <c r="V773" t="s">
        <v>192</v>
      </c>
      <c r="W773">
        <v>0</v>
      </c>
      <c r="X773">
        <v>0</v>
      </c>
      <c r="Y773">
        <v>0</v>
      </c>
      <c r="Z773">
        <v>0</v>
      </c>
      <c r="AA773">
        <v>0</v>
      </c>
      <c r="AB773">
        <v>0</v>
      </c>
      <c r="AC773">
        <v>0</v>
      </c>
      <c r="AD773">
        <v>0</v>
      </c>
      <c r="AE773">
        <v>0</v>
      </c>
      <c r="AF773">
        <v>0</v>
      </c>
      <c r="AG773" t="s">
        <v>71</v>
      </c>
      <c r="AH773">
        <v>0</v>
      </c>
      <c r="AI773">
        <v>0</v>
      </c>
      <c r="AJ773">
        <v>0</v>
      </c>
      <c r="AK773">
        <v>0</v>
      </c>
      <c r="AL773" t="s">
        <v>438</v>
      </c>
      <c r="AM773" t="s">
        <v>491</v>
      </c>
      <c r="AN773" t="s">
        <v>94</v>
      </c>
      <c r="AO773" t="s">
        <v>147</v>
      </c>
      <c r="AP773">
        <v>0</v>
      </c>
      <c r="AQ773">
        <v>0</v>
      </c>
      <c r="AR773">
        <v>0</v>
      </c>
      <c r="AS773">
        <v>128</v>
      </c>
      <c r="AT773">
        <v>0</v>
      </c>
      <c r="AU773">
        <v>0</v>
      </c>
      <c r="AV773">
        <v>0</v>
      </c>
      <c r="AW773">
        <v>0</v>
      </c>
      <c r="AX773">
        <v>32</v>
      </c>
      <c r="AY773">
        <v>0</v>
      </c>
    </row>
    <row r="774" spans="1:51" x14ac:dyDescent="0.25">
      <c r="A774">
        <v>200</v>
      </c>
      <c r="B774">
        <v>13390</v>
      </c>
      <c r="C774" t="s">
        <v>735</v>
      </c>
      <c r="D774" t="s">
        <v>96</v>
      </c>
      <c r="E774" t="s">
        <v>100</v>
      </c>
      <c r="F774" t="s">
        <v>107</v>
      </c>
      <c r="G774" t="s">
        <v>101</v>
      </c>
      <c r="H774" t="s">
        <v>182</v>
      </c>
      <c r="I774" t="s">
        <v>79</v>
      </c>
      <c r="J774" t="s">
        <v>119</v>
      </c>
      <c r="K774" t="s">
        <v>75</v>
      </c>
      <c r="L774" t="s">
        <v>76</v>
      </c>
      <c r="M774" t="s">
        <v>103</v>
      </c>
      <c r="N774" t="s">
        <v>74</v>
      </c>
      <c r="O774" t="s">
        <v>104</v>
      </c>
      <c r="P774" t="s">
        <v>71</v>
      </c>
      <c r="Q774" t="s">
        <v>71</v>
      </c>
      <c r="R774" t="s">
        <v>71</v>
      </c>
      <c r="S774">
        <v>1</v>
      </c>
      <c r="T774">
        <v>1</v>
      </c>
      <c r="U774" t="s">
        <v>72</v>
      </c>
      <c r="V774" t="s">
        <v>192</v>
      </c>
      <c r="W774">
        <v>0</v>
      </c>
      <c r="X774">
        <v>0</v>
      </c>
      <c r="Y774">
        <v>0</v>
      </c>
      <c r="Z774">
        <v>0</v>
      </c>
      <c r="AA774">
        <v>0</v>
      </c>
      <c r="AB774">
        <v>0</v>
      </c>
      <c r="AC774">
        <v>0</v>
      </c>
      <c r="AD774">
        <v>0</v>
      </c>
      <c r="AE774">
        <v>0</v>
      </c>
      <c r="AF774">
        <v>0</v>
      </c>
      <c r="AG774" t="s">
        <v>71</v>
      </c>
      <c r="AH774">
        <v>0</v>
      </c>
      <c r="AI774">
        <v>0</v>
      </c>
      <c r="AJ774">
        <v>0</v>
      </c>
      <c r="AK774">
        <v>0</v>
      </c>
      <c r="AL774" t="s">
        <v>438</v>
      </c>
      <c r="AM774" t="s">
        <v>491</v>
      </c>
      <c r="AN774" t="s">
        <v>94</v>
      </c>
      <c r="AO774" t="s">
        <v>147</v>
      </c>
      <c r="AP774">
        <v>0</v>
      </c>
      <c r="AQ774">
        <v>0</v>
      </c>
      <c r="AR774">
        <v>0</v>
      </c>
      <c r="AS774">
        <v>128</v>
      </c>
      <c r="AT774">
        <v>0</v>
      </c>
      <c r="AU774">
        <v>0</v>
      </c>
      <c r="AV774">
        <v>0</v>
      </c>
      <c r="AW774">
        <v>0</v>
      </c>
      <c r="AX774">
        <v>32</v>
      </c>
      <c r="AY774">
        <v>0</v>
      </c>
    </row>
    <row r="775" spans="1:51" x14ac:dyDescent="0.25">
      <c r="A775">
        <v>200</v>
      </c>
      <c r="B775">
        <v>13400</v>
      </c>
      <c r="C775" t="s">
        <v>735</v>
      </c>
      <c r="D775" t="s">
        <v>96</v>
      </c>
      <c r="E775" t="s">
        <v>100</v>
      </c>
      <c r="F775" t="s">
        <v>107</v>
      </c>
      <c r="G775" t="s">
        <v>101</v>
      </c>
      <c r="H775" t="s">
        <v>182</v>
      </c>
      <c r="I775" t="s">
        <v>79</v>
      </c>
      <c r="J775" t="s">
        <v>119</v>
      </c>
      <c r="K775" t="s">
        <v>75</v>
      </c>
      <c r="L775" t="s">
        <v>76</v>
      </c>
      <c r="M775" t="s">
        <v>103</v>
      </c>
      <c r="N775" t="s">
        <v>74</v>
      </c>
      <c r="O775" t="s">
        <v>104</v>
      </c>
      <c r="P775" t="s">
        <v>71</v>
      </c>
      <c r="Q775" t="s">
        <v>71</v>
      </c>
      <c r="R775" t="s">
        <v>71</v>
      </c>
      <c r="S775">
        <v>1</v>
      </c>
      <c r="T775">
        <v>1</v>
      </c>
      <c r="U775" t="s">
        <v>72</v>
      </c>
      <c r="V775" t="s">
        <v>192</v>
      </c>
      <c r="W775">
        <v>0</v>
      </c>
      <c r="X775">
        <v>0</v>
      </c>
      <c r="Y775">
        <v>0</v>
      </c>
      <c r="Z775">
        <v>0</v>
      </c>
      <c r="AA775">
        <v>0</v>
      </c>
      <c r="AB775">
        <v>0</v>
      </c>
      <c r="AC775">
        <v>0</v>
      </c>
      <c r="AD775">
        <v>0</v>
      </c>
      <c r="AE775">
        <v>0</v>
      </c>
      <c r="AF775">
        <v>0</v>
      </c>
      <c r="AG775" t="s">
        <v>71</v>
      </c>
      <c r="AH775">
        <v>0</v>
      </c>
      <c r="AI775">
        <v>0</v>
      </c>
      <c r="AJ775">
        <v>0</v>
      </c>
      <c r="AK775">
        <v>0</v>
      </c>
      <c r="AL775" t="s">
        <v>438</v>
      </c>
      <c r="AM775" t="s">
        <v>491</v>
      </c>
      <c r="AN775" t="s">
        <v>94</v>
      </c>
      <c r="AO775" t="s">
        <v>147</v>
      </c>
      <c r="AP775">
        <v>0</v>
      </c>
      <c r="AQ775">
        <v>0</v>
      </c>
      <c r="AR775">
        <v>0</v>
      </c>
      <c r="AS775">
        <v>128</v>
      </c>
      <c r="AT775">
        <v>0</v>
      </c>
      <c r="AU775">
        <v>0</v>
      </c>
      <c r="AV775">
        <v>0</v>
      </c>
      <c r="AW775">
        <v>0</v>
      </c>
      <c r="AX775">
        <v>32</v>
      </c>
      <c r="AY775">
        <v>0</v>
      </c>
    </row>
    <row r="776" spans="1:51" x14ac:dyDescent="0.25">
      <c r="A776">
        <v>200</v>
      </c>
      <c r="B776">
        <v>13410</v>
      </c>
      <c r="C776" t="s">
        <v>735</v>
      </c>
      <c r="D776" t="s">
        <v>96</v>
      </c>
      <c r="E776" t="s">
        <v>100</v>
      </c>
      <c r="F776" t="s">
        <v>107</v>
      </c>
      <c r="G776" t="s">
        <v>101</v>
      </c>
      <c r="H776" t="s">
        <v>182</v>
      </c>
      <c r="I776" t="s">
        <v>79</v>
      </c>
      <c r="J776" t="s">
        <v>70</v>
      </c>
      <c r="K776" t="s">
        <v>75</v>
      </c>
      <c r="L776" t="s">
        <v>76</v>
      </c>
      <c r="M776" t="s">
        <v>103</v>
      </c>
      <c r="N776" t="s">
        <v>74</v>
      </c>
      <c r="O776" t="s">
        <v>104</v>
      </c>
      <c r="P776" t="s">
        <v>71</v>
      </c>
      <c r="Q776" t="s">
        <v>71</v>
      </c>
      <c r="R776" t="s">
        <v>71</v>
      </c>
      <c r="S776">
        <v>1</v>
      </c>
      <c r="T776">
        <v>1</v>
      </c>
      <c r="U776" t="s">
        <v>72</v>
      </c>
      <c r="V776" t="s">
        <v>192</v>
      </c>
      <c r="W776">
        <v>0</v>
      </c>
      <c r="X776">
        <v>0</v>
      </c>
      <c r="Y776">
        <v>0</v>
      </c>
      <c r="Z776">
        <v>0</v>
      </c>
      <c r="AA776">
        <v>0</v>
      </c>
      <c r="AB776">
        <v>0</v>
      </c>
      <c r="AC776">
        <v>0</v>
      </c>
      <c r="AD776">
        <v>0</v>
      </c>
      <c r="AE776">
        <v>0</v>
      </c>
      <c r="AF776">
        <v>0</v>
      </c>
      <c r="AG776" t="s">
        <v>71</v>
      </c>
      <c r="AH776">
        <v>0</v>
      </c>
      <c r="AI776">
        <v>0</v>
      </c>
      <c r="AJ776">
        <v>0</v>
      </c>
      <c r="AK776">
        <v>0</v>
      </c>
      <c r="AL776" t="s">
        <v>438</v>
      </c>
      <c r="AM776" t="s">
        <v>491</v>
      </c>
      <c r="AN776" t="s">
        <v>94</v>
      </c>
      <c r="AO776" t="s">
        <v>147</v>
      </c>
      <c r="AP776">
        <v>0</v>
      </c>
      <c r="AQ776">
        <v>0</v>
      </c>
      <c r="AR776">
        <v>0</v>
      </c>
      <c r="AS776">
        <v>128</v>
      </c>
      <c r="AT776">
        <v>0</v>
      </c>
      <c r="AU776">
        <v>0</v>
      </c>
      <c r="AV776">
        <v>0</v>
      </c>
      <c r="AW776">
        <v>0</v>
      </c>
      <c r="AX776">
        <v>32</v>
      </c>
      <c r="AY776">
        <v>0</v>
      </c>
    </row>
    <row r="777" spans="1:51" x14ac:dyDescent="0.25">
      <c r="A777">
        <v>200</v>
      </c>
      <c r="B777">
        <v>13420</v>
      </c>
      <c r="C777" t="s">
        <v>735</v>
      </c>
      <c r="D777" t="s">
        <v>96</v>
      </c>
      <c r="E777" t="s">
        <v>100</v>
      </c>
      <c r="F777" t="s">
        <v>107</v>
      </c>
      <c r="G777" t="s">
        <v>101</v>
      </c>
      <c r="H777" t="s">
        <v>182</v>
      </c>
      <c r="I777" t="s">
        <v>79</v>
      </c>
      <c r="J777" t="s">
        <v>70</v>
      </c>
      <c r="K777" t="s">
        <v>75</v>
      </c>
      <c r="L777" t="s">
        <v>76</v>
      </c>
      <c r="M777" t="s">
        <v>103</v>
      </c>
      <c r="N777" t="s">
        <v>74</v>
      </c>
      <c r="O777" t="s">
        <v>104</v>
      </c>
      <c r="P777" t="s">
        <v>71</v>
      </c>
      <c r="Q777" t="s">
        <v>71</v>
      </c>
      <c r="R777" t="s">
        <v>71</v>
      </c>
      <c r="S777">
        <v>1</v>
      </c>
      <c r="T777">
        <v>1</v>
      </c>
      <c r="U777" t="s">
        <v>72</v>
      </c>
      <c r="V777" t="s">
        <v>192</v>
      </c>
      <c r="W777">
        <v>0</v>
      </c>
      <c r="X777">
        <v>0</v>
      </c>
      <c r="Y777">
        <v>0</v>
      </c>
      <c r="Z777">
        <v>0</v>
      </c>
      <c r="AA777">
        <v>0</v>
      </c>
      <c r="AB777">
        <v>0</v>
      </c>
      <c r="AC777">
        <v>0</v>
      </c>
      <c r="AD777">
        <v>0</v>
      </c>
      <c r="AE777">
        <v>0</v>
      </c>
      <c r="AF777">
        <v>0</v>
      </c>
      <c r="AG777" t="s">
        <v>71</v>
      </c>
      <c r="AH777">
        <v>0</v>
      </c>
      <c r="AI777">
        <v>0</v>
      </c>
      <c r="AJ777">
        <v>0</v>
      </c>
      <c r="AK777">
        <v>0</v>
      </c>
      <c r="AL777" t="s">
        <v>438</v>
      </c>
      <c r="AM777" t="s">
        <v>491</v>
      </c>
      <c r="AN777" t="s">
        <v>94</v>
      </c>
      <c r="AO777" t="s">
        <v>147</v>
      </c>
      <c r="AP777">
        <v>0</v>
      </c>
      <c r="AQ777">
        <v>0</v>
      </c>
      <c r="AR777">
        <v>0</v>
      </c>
      <c r="AS777">
        <v>128</v>
      </c>
      <c r="AT777">
        <v>0</v>
      </c>
      <c r="AU777">
        <v>0</v>
      </c>
      <c r="AV777">
        <v>0</v>
      </c>
      <c r="AW777">
        <v>0</v>
      </c>
      <c r="AX777">
        <v>32</v>
      </c>
      <c r="AY777">
        <v>0</v>
      </c>
    </row>
    <row r="778" spans="1:51" x14ac:dyDescent="0.25">
      <c r="A778">
        <v>200</v>
      </c>
      <c r="B778">
        <v>16380</v>
      </c>
      <c r="C778" t="s">
        <v>735</v>
      </c>
      <c r="D778" t="s">
        <v>96</v>
      </c>
      <c r="E778" t="s">
        <v>100</v>
      </c>
      <c r="F778" t="s">
        <v>107</v>
      </c>
      <c r="G778" t="s">
        <v>101</v>
      </c>
      <c r="H778" t="s">
        <v>182</v>
      </c>
      <c r="I778" t="s">
        <v>79</v>
      </c>
      <c r="J778" t="s">
        <v>152</v>
      </c>
      <c r="K778" t="s">
        <v>75</v>
      </c>
      <c r="L778" t="s">
        <v>76</v>
      </c>
      <c r="M778" t="s">
        <v>103</v>
      </c>
      <c r="N778" t="s">
        <v>74</v>
      </c>
      <c r="O778" t="s">
        <v>104</v>
      </c>
      <c r="P778" t="s">
        <v>71</v>
      </c>
      <c r="Q778" t="s">
        <v>71</v>
      </c>
      <c r="R778" t="s">
        <v>71</v>
      </c>
      <c r="S778">
        <v>1</v>
      </c>
      <c r="T778">
        <v>1</v>
      </c>
      <c r="U778" t="s">
        <v>72</v>
      </c>
      <c r="V778" t="s">
        <v>192</v>
      </c>
      <c r="W778">
        <v>0</v>
      </c>
      <c r="X778">
        <v>0</v>
      </c>
      <c r="Y778">
        <v>0</v>
      </c>
      <c r="Z778">
        <v>0</v>
      </c>
      <c r="AA778">
        <v>0</v>
      </c>
      <c r="AB778">
        <v>0</v>
      </c>
      <c r="AC778">
        <v>0</v>
      </c>
      <c r="AD778">
        <v>0</v>
      </c>
      <c r="AE778">
        <v>0</v>
      </c>
      <c r="AF778">
        <v>0</v>
      </c>
      <c r="AG778" t="s">
        <v>71</v>
      </c>
      <c r="AH778">
        <v>0</v>
      </c>
      <c r="AI778">
        <v>0</v>
      </c>
      <c r="AJ778">
        <v>0</v>
      </c>
      <c r="AK778">
        <v>0</v>
      </c>
      <c r="AL778" t="s">
        <v>438</v>
      </c>
      <c r="AM778" t="s">
        <v>491</v>
      </c>
      <c r="AN778" t="s">
        <v>94</v>
      </c>
      <c r="AO778" t="s">
        <v>147</v>
      </c>
      <c r="AP778">
        <v>0</v>
      </c>
      <c r="AQ778">
        <v>0</v>
      </c>
      <c r="AR778">
        <v>0</v>
      </c>
      <c r="AS778">
        <v>128</v>
      </c>
      <c r="AT778">
        <v>0</v>
      </c>
      <c r="AU778">
        <v>0</v>
      </c>
      <c r="AV778">
        <v>0</v>
      </c>
      <c r="AW778">
        <v>0</v>
      </c>
      <c r="AX778">
        <v>32</v>
      </c>
      <c r="AY778">
        <v>0</v>
      </c>
    </row>
    <row r="779" spans="1:51" x14ac:dyDescent="0.25">
      <c r="A779">
        <v>200</v>
      </c>
      <c r="B779">
        <v>16390</v>
      </c>
      <c r="C779" t="s">
        <v>735</v>
      </c>
      <c r="D779" t="s">
        <v>96</v>
      </c>
      <c r="E779" t="s">
        <v>100</v>
      </c>
      <c r="F779" t="s">
        <v>107</v>
      </c>
      <c r="G779" t="s">
        <v>101</v>
      </c>
      <c r="H779" t="s">
        <v>182</v>
      </c>
      <c r="I779" t="s">
        <v>79</v>
      </c>
      <c r="J779" t="s">
        <v>119</v>
      </c>
      <c r="K779" t="s">
        <v>75</v>
      </c>
      <c r="L779" t="s">
        <v>76</v>
      </c>
      <c r="M779" t="s">
        <v>103</v>
      </c>
      <c r="N779" t="s">
        <v>74</v>
      </c>
      <c r="O779" t="s">
        <v>104</v>
      </c>
      <c r="P779" t="s">
        <v>71</v>
      </c>
      <c r="Q779" t="s">
        <v>71</v>
      </c>
      <c r="R779" t="s">
        <v>71</v>
      </c>
      <c r="S779">
        <v>1</v>
      </c>
      <c r="T779">
        <v>1</v>
      </c>
      <c r="U779" t="s">
        <v>72</v>
      </c>
      <c r="V779" t="s">
        <v>192</v>
      </c>
      <c r="W779">
        <v>0</v>
      </c>
      <c r="X779">
        <v>0</v>
      </c>
      <c r="Y779">
        <v>0</v>
      </c>
      <c r="Z779">
        <v>0</v>
      </c>
      <c r="AA779">
        <v>0</v>
      </c>
      <c r="AB779">
        <v>0</v>
      </c>
      <c r="AC779">
        <v>0</v>
      </c>
      <c r="AD779">
        <v>0</v>
      </c>
      <c r="AE779">
        <v>0</v>
      </c>
      <c r="AF779">
        <v>0</v>
      </c>
      <c r="AG779" t="s">
        <v>71</v>
      </c>
      <c r="AH779">
        <v>0</v>
      </c>
      <c r="AI779">
        <v>0</v>
      </c>
      <c r="AJ779">
        <v>0</v>
      </c>
      <c r="AK779">
        <v>0</v>
      </c>
      <c r="AL779" t="s">
        <v>438</v>
      </c>
      <c r="AM779" t="s">
        <v>491</v>
      </c>
      <c r="AN779" t="s">
        <v>94</v>
      </c>
      <c r="AO779" t="s">
        <v>147</v>
      </c>
      <c r="AP779">
        <v>0</v>
      </c>
      <c r="AQ779">
        <v>0</v>
      </c>
      <c r="AR779">
        <v>0</v>
      </c>
      <c r="AS779">
        <v>128</v>
      </c>
      <c r="AT779">
        <v>0</v>
      </c>
      <c r="AU779">
        <v>0</v>
      </c>
      <c r="AV779">
        <v>0</v>
      </c>
      <c r="AW779">
        <v>0</v>
      </c>
      <c r="AX779">
        <v>32</v>
      </c>
      <c r="AY779">
        <v>0</v>
      </c>
    </row>
    <row r="780" spans="1:51" x14ac:dyDescent="0.25">
      <c r="A780">
        <v>200</v>
      </c>
      <c r="B780">
        <v>16400</v>
      </c>
      <c r="C780" t="s">
        <v>735</v>
      </c>
      <c r="D780" t="s">
        <v>96</v>
      </c>
      <c r="E780" t="s">
        <v>100</v>
      </c>
      <c r="F780" t="s">
        <v>107</v>
      </c>
      <c r="G780" t="s">
        <v>101</v>
      </c>
      <c r="H780" t="s">
        <v>182</v>
      </c>
      <c r="I780" t="s">
        <v>79</v>
      </c>
      <c r="J780" t="s">
        <v>150</v>
      </c>
      <c r="K780" t="s">
        <v>75</v>
      </c>
      <c r="L780" t="s">
        <v>76</v>
      </c>
      <c r="M780" t="s">
        <v>103</v>
      </c>
      <c r="N780" t="s">
        <v>74</v>
      </c>
      <c r="O780" t="s">
        <v>104</v>
      </c>
      <c r="P780" t="s">
        <v>71</v>
      </c>
      <c r="Q780" t="s">
        <v>71</v>
      </c>
      <c r="R780" t="s">
        <v>71</v>
      </c>
      <c r="S780">
        <v>1</v>
      </c>
      <c r="T780">
        <v>1</v>
      </c>
      <c r="U780" t="s">
        <v>72</v>
      </c>
      <c r="V780" t="s">
        <v>192</v>
      </c>
      <c r="W780">
        <v>0</v>
      </c>
      <c r="X780">
        <v>0</v>
      </c>
      <c r="Y780">
        <v>0</v>
      </c>
      <c r="Z780">
        <v>0</v>
      </c>
      <c r="AA780">
        <v>0</v>
      </c>
      <c r="AB780">
        <v>0</v>
      </c>
      <c r="AC780">
        <v>0</v>
      </c>
      <c r="AD780">
        <v>0</v>
      </c>
      <c r="AE780">
        <v>0</v>
      </c>
      <c r="AF780">
        <v>0</v>
      </c>
      <c r="AG780" t="s">
        <v>71</v>
      </c>
      <c r="AH780">
        <v>0</v>
      </c>
      <c r="AI780">
        <v>0</v>
      </c>
      <c r="AJ780">
        <v>0</v>
      </c>
      <c r="AK780">
        <v>0</v>
      </c>
      <c r="AL780" t="s">
        <v>438</v>
      </c>
      <c r="AM780" t="s">
        <v>491</v>
      </c>
      <c r="AN780" t="s">
        <v>94</v>
      </c>
      <c r="AO780" t="s">
        <v>147</v>
      </c>
      <c r="AP780">
        <v>0</v>
      </c>
      <c r="AQ780">
        <v>0</v>
      </c>
      <c r="AR780">
        <v>0</v>
      </c>
      <c r="AS780">
        <v>128</v>
      </c>
      <c r="AT780">
        <v>0</v>
      </c>
      <c r="AU780">
        <v>0</v>
      </c>
      <c r="AV780">
        <v>0</v>
      </c>
      <c r="AW780">
        <v>0</v>
      </c>
      <c r="AX780">
        <v>32</v>
      </c>
      <c r="AY780">
        <v>0</v>
      </c>
    </row>
    <row r="781" spans="1:51" x14ac:dyDescent="0.25">
      <c r="A781">
        <v>200</v>
      </c>
      <c r="B781">
        <v>16410</v>
      </c>
      <c r="C781" t="s">
        <v>735</v>
      </c>
      <c r="D781" t="s">
        <v>96</v>
      </c>
      <c r="E781" t="s">
        <v>100</v>
      </c>
      <c r="F781" t="s">
        <v>107</v>
      </c>
      <c r="G781" t="s">
        <v>101</v>
      </c>
      <c r="H781" t="s">
        <v>182</v>
      </c>
      <c r="I781" t="s">
        <v>79</v>
      </c>
      <c r="J781" t="s">
        <v>150</v>
      </c>
      <c r="K781" t="s">
        <v>75</v>
      </c>
      <c r="L781" t="s">
        <v>76</v>
      </c>
      <c r="M781" t="s">
        <v>103</v>
      </c>
      <c r="N781" t="s">
        <v>74</v>
      </c>
      <c r="O781" t="s">
        <v>104</v>
      </c>
      <c r="P781" t="s">
        <v>71</v>
      </c>
      <c r="Q781" t="s">
        <v>71</v>
      </c>
      <c r="R781" t="s">
        <v>71</v>
      </c>
      <c r="S781">
        <v>1</v>
      </c>
      <c r="T781">
        <v>1</v>
      </c>
      <c r="U781" t="s">
        <v>72</v>
      </c>
      <c r="V781" t="s">
        <v>192</v>
      </c>
      <c r="W781">
        <v>0</v>
      </c>
      <c r="X781">
        <v>0</v>
      </c>
      <c r="Y781">
        <v>0</v>
      </c>
      <c r="Z781">
        <v>0</v>
      </c>
      <c r="AA781">
        <v>0</v>
      </c>
      <c r="AB781">
        <v>0</v>
      </c>
      <c r="AC781">
        <v>0</v>
      </c>
      <c r="AD781">
        <v>0</v>
      </c>
      <c r="AE781">
        <v>0</v>
      </c>
      <c r="AF781">
        <v>0</v>
      </c>
      <c r="AG781" t="s">
        <v>71</v>
      </c>
      <c r="AH781">
        <v>0</v>
      </c>
      <c r="AI781">
        <v>0</v>
      </c>
      <c r="AJ781">
        <v>0</v>
      </c>
      <c r="AK781">
        <v>0</v>
      </c>
      <c r="AL781" t="s">
        <v>438</v>
      </c>
      <c r="AM781" t="s">
        <v>491</v>
      </c>
      <c r="AN781" t="s">
        <v>94</v>
      </c>
      <c r="AO781" t="s">
        <v>147</v>
      </c>
      <c r="AP781">
        <v>0</v>
      </c>
      <c r="AQ781">
        <v>0</v>
      </c>
      <c r="AR781">
        <v>0</v>
      </c>
      <c r="AS781">
        <v>128</v>
      </c>
      <c r="AT781">
        <v>0</v>
      </c>
      <c r="AU781">
        <v>0</v>
      </c>
      <c r="AV781">
        <v>0</v>
      </c>
      <c r="AW781">
        <v>0</v>
      </c>
      <c r="AX781">
        <v>32</v>
      </c>
      <c r="AY781">
        <v>0</v>
      </c>
    </row>
    <row r="782" spans="1:51" x14ac:dyDescent="0.25">
      <c r="A782">
        <v>200</v>
      </c>
      <c r="B782">
        <v>19380</v>
      </c>
      <c r="C782" t="s">
        <v>735</v>
      </c>
      <c r="D782" t="s">
        <v>96</v>
      </c>
      <c r="E782" t="s">
        <v>100</v>
      </c>
      <c r="F782" t="s">
        <v>107</v>
      </c>
      <c r="G782" t="s">
        <v>101</v>
      </c>
      <c r="H782" t="s">
        <v>182</v>
      </c>
      <c r="I782" t="s">
        <v>79</v>
      </c>
      <c r="J782" t="s">
        <v>150</v>
      </c>
      <c r="K782" t="s">
        <v>75</v>
      </c>
      <c r="L782" t="s">
        <v>76</v>
      </c>
      <c r="M782" t="s">
        <v>103</v>
      </c>
      <c r="N782" t="s">
        <v>74</v>
      </c>
      <c r="O782" t="s">
        <v>104</v>
      </c>
      <c r="P782" t="s">
        <v>71</v>
      </c>
      <c r="Q782" t="s">
        <v>71</v>
      </c>
      <c r="R782" t="s">
        <v>71</v>
      </c>
      <c r="S782">
        <v>1</v>
      </c>
      <c r="T782">
        <v>1</v>
      </c>
      <c r="U782" t="s">
        <v>72</v>
      </c>
      <c r="V782" t="s">
        <v>192</v>
      </c>
      <c r="W782">
        <v>0</v>
      </c>
      <c r="X782">
        <v>0</v>
      </c>
      <c r="Y782">
        <v>0</v>
      </c>
      <c r="Z782">
        <v>0</v>
      </c>
      <c r="AA782">
        <v>0</v>
      </c>
      <c r="AB782">
        <v>0</v>
      </c>
      <c r="AC782">
        <v>0</v>
      </c>
      <c r="AD782">
        <v>0</v>
      </c>
      <c r="AE782">
        <v>0</v>
      </c>
      <c r="AF782">
        <v>0</v>
      </c>
      <c r="AG782" t="s">
        <v>71</v>
      </c>
      <c r="AH782">
        <v>0</v>
      </c>
      <c r="AI782">
        <v>0</v>
      </c>
      <c r="AJ782">
        <v>0</v>
      </c>
      <c r="AK782">
        <v>0</v>
      </c>
      <c r="AL782" t="s">
        <v>438</v>
      </c>
      <c r="AM782" t="s">
        <v>491</v>
      </c>
      <c r="AN782" t="s">
        <v>94</v>
      </c>
      <c r="AO782" t="s">
        <v>147</v>
      </c>
      <c r="AP782">
        <v>0</v>
      </c>
      <c r="AQ782">
        <v>0</v>
      </c>
      <c r="AR782">
        <v>0</v>
      </c>
      <c r="AS782">
        <v>128</v>
      </c>
      <c r="AT782">
        <v>0</v>
      </c>
      <c r="AU782">
        <v>0</v>
      </c>
      <c r="AV782">
        <v>0</v>
      </c>
      <c r="AW782">
        <v>0</v>
      </c>
      <c r="AX782">
        <v>32</v>
      </c>
      <c r="AY782">
        <v>0</v>
      </c>
    </row>
    <row r="783" spans="1:51" x14ac:dyDescent="0.25">
      <c r="A783">
        <v>200</v>
      </c>
      <c r="B783">
        <v>19390</v>
      </c>
      <c r="C783" t="s">
        <v>735</v>
      </c>
      <c r="D783" t="s">
        <v>96</v>
      </c>
      <c r="E783" t="s">
        <v>100</v>
      </c>
      <c r="F783" t="s">
        <v>107</v>
      </c>
      <c r="G783" t="s">
        <v>101</v>
      </c>
      <c r="H783" t="s">
        <v>182</v>
      </c>
      <c r="I783" t="s">
        <v>79</v>
      </c>
      <c r="J783" t="s">
        <v>150</v>
      </c>
      <c r="K783" t="s">
        <v>75</v>
      </c>
      <c r="L783" t="s">
        <v>76</v>
      </c>
      <c r="M783" t="s">
        <v>103</v>
      </c>
      <c r="N783" t="s">
        <v>74</v>
      </c>
      <c r="O783" t="s">
        <v>104</v>
      </c>
      <c r="P783" t="s">
        <v>71</v>
      </c>
      <c r="Q783" t="s">
        <v>71</v>
      </c>
      <c r="R783" t="s">
        <v>71</v>
      </c>
      <c r="S783">
        <v>1</v>
      </c>
      <c r="T783">
        <v>1</v>
      </c>
      <c r="U783" t="s">
        <v>72</v>
      </c>
      <c r="V783" t="s">
        <v>192</v>
      </c>
      <c r="W783">
        <v>0</v>
      </c>
      <c r="X783">
        <v>0</v>
      </c>
      <c r="Y783">
        <v>0</v>
      </c>
      <c r="Z783">
        <v>0</v>
      </c>
      <c r="AA783">
        <v>0</v>
      </c>
      <c r="AB783">
        <v>0</v>
      </c>
      <c r="AC783">
        <v>0</v>
      </c>
      <c r="AD783">
        <v>0</v>
      </c>
      <c r="AE783">
        <v>0</v>
      </c>
      <c r="AF783">
        <v>0</v>
      </c>
      <c r="AG783" t="s">
        <v>71</v>
      </c>
      <c r="AH783">
        <v>0</v>
      </c>
      <c r="AI783">
        <v>0</v>
      </c>
      <c r="AJ783">
        <v>0</v>
      </c>
      <c r="AK783">
        <v>0</v>
      </c>
      <c r="AL783" t="s">
        <v>438</v>
      </c>
      <c r="AM783" t="s">
        <v>491</v>
      </c>
      <c r="AN783" t="s">
        <v>94</v>
      </c>
      <c r="AO783" t="s">
        <v>147</v>
      </c>
      <c r="AP783">
        <v>0</v>
      </c>
      <c r="AQ783">
        <v>0</v>
      </c>
      <c r="AR783">
        <v>0</v>
      </c>
      <c r="AS783">
        <v>128</v>
      </c>
      <c r="AT783">
        <v>0</v>
      </c>
      <c r="AU783">
        <v>0</v>
      </c>
      <c r="AV783">
        <v>0</v>
      </c>
      <c r="AW783">
        <v>0</v>
      </c>
      <c r="AX783">
        <v>0</v>
      </c>
      <c r="AY783">
        <v>0</v>
      </c>
    </row>
    <row r="784" spans="1:51" x14ac:dyDescent="0.25">
      <c r="A784">
        <v>200</v>
      </c>
      <c r="B784">
        <v>19400</v>
      </c>
      <c r="C784" t="s">
        <v>735</v>
      </c>
      <c r="D784" t="s">
        <v>96</v>
      </c>
      <c r="E784" t="s">
        <v>100</v>
      </c>
      <c r="F784" t="s">
        <v>107</v>
      </c>
      <c r="G784" t="s">
        <v>101</v>
      </c>
      <c r="H784" t="s">
        <v>182</v>
      </c>
      <c r="I784" t="s">
        <v>79</v>
      </c>
      <c r="J784" t="s">
        <v>150</v>
      </c>
      <c r="K784" t="s">
        <v>75</v>
      </c>
      <c r="L784" t="s">
        <v>76</v>
      </c>
      <c r="M784" t="s">
        <v>103</v>
      </c>
      <c r="N784" t="s">
        <v>74</v>
      </c>
      <c r="O784" t="s">
        <v>104</v>
      </c>
      <c r="P784" t="s">
        <v>71</v>
      </c>
      <c r="Q784" t="s">
        <v>71</v>
      </c>
      <c r="R784" t="s">
        <v>71</v>
      </c>
      <c r="S784">
        <v>1</v>
      </c>
      <c r="T784">
        <v>1</v>
      </c>
      <c r="U784" t="s">
        <v>72</v>
      </c>
      <c r="V784" t="s">
        <v>192</v>
      </c>
      <c r="W784">
        <v>0</v>
      </c>
      <c r="X784">
        <v>0</v>
      </c>
      <c r="Y784">
        <v>0</v>
      </c>
      <c r="Z784">
        <v>0</v>
      </c>
      <c r="AA784">
        <v>0</v>
      </c>
      <c r="AB784">
        <v>0</v>
      </c>
      <c r="AC784">
        <v>0</v>
      </c>
      <c r="AD784">
        <v>0</v>
      </c>
      <c r="AE784">
        <v>0</v>
      </c>
      <c r="AF784">
        <v>0</v>
      </c>
      <c r="AG784" t="s">
        <v>71</v>
      </c>
      <c r="AH784">
        <v>0</v>
      </c>
      <c r="AI784">
        <v>0</v>
      </c>
      <c r="AJ784">
        <v>0</v>
      </c>
      <c r="AK784">
        <v>0</v>
      </c>
      <c r="AL784" t="s">
        <v>438</v>
      </c>
      <c r="AM784" t="s">
        <v>491</v>
      </c>
      <c r="AN784" t="s">
        <v>94</v>
      </c>
      <c r="AO784" t="s">
        <v>147</v>
      </c>
      <c r="AP784">
        <v>0</v>
      </c>
      <c r="AQ784">
        <v>0</v>
      </c>
      <c r="AR784">
        <v>0</v>
      </c>
      <c r="AS784">
        <v>128</v>
      </c>
      <c r="AT784">
        <v>0</v>
      </c>
      <c r="AU784">
        <v>0</v>
      </c>
      <c r="AV784">
        <v>0</v>
      </c>
      <c r="AW784">
        <v>0</v>
      </c>
      <c r="AX784">
        <v>0</v>
      </c>
      <c r="AY784">
        <v>0</v>
      </c>
    </row>
    <row r="785" spans="1:51" x14ac:dyDescent="0.25">
      <c r="A785">
        <v>201</v>
      </c>
      <c r="B785">
        <v>19410</v>
      </c>
      <c r="C785" t="s">
        <v>735</v>
      </c>
      <c r="D785" t="s">
        <v>96</v>
      </c>
      <c r="E785" t="s">
        <v>100</v>
      </c>
      <c r="F785" t="s">
        <v>107</v>
      </c>
      <c r="G785" t="s">
        <v>77</v>
      </c>
      <c r="H785" t="s">
        <v>78</v>
      </c>
      <c r="I785" t="s">
        <v>79</v>
      </c>
      <c r="J785" t="s">
        <v>150</v>
      </c>
      <c r="K785" t="s">
        <v>75</v>
      </c>
      <c r="L785" t="s">
        <v>76</v>
      </c>
      <c r="M785" t="s">
        <v>103</v>
      </c>
      <c r="N785" t="s">
        <v>74</v>
      </c>
      <c r="O785" t="s">
        <v>104</v>
      </c>
      <c r="P785" t="s">
        <v>110</v>
      </c>
      <c r="Q785" t="s">
        <v>71</v>
      </c>
      <c r="R785" t="s">
        <v>71</v>
      </c>
      <c r="S785">
        <v>1</v>
      </c>
      <c r="T785">
        <v>1</v>
      </c>
      <c r="U785" t="s">
        <v>72</v>
      </c>
      <c r="V785" t="s">
        <v>192</v>
      </c>
      <c r="W785">
        <v>0</v>
      </c>
      <c r="X785">
        <v>0</v>
      </c>
      <c r="Y785">
        <v>0</v>
      </c>
      <c r="Z785">
        <v>0</v>
      </c>
      <c r="AA785">
        <v>0</v>
      </c>
      <c r="AB785">
        <v>0</v>
      </c>
      <c r="AC785">
        <v>0</v>
      </c>
      <c r="AD785">
        <v>0</v>
      </c>
      <c r="AE785">
        <v>0</v>
      </c>
      <c r="AF785">
        <v>0</v>
      </c>
      <c r="AG785" t="s">
        <v>71</v>
      </c>
      <c r="AH785">
        <v>0</v>
      </c>
      <c r="AI785">
        <v>0</v>
      </c>
      <c r="AJ785">
        <v>0</v>
      </c>
      <c r="AK785">
        <v>0</v>
      </c>
      <c r="AL785" t="s">
        <v>342</v>
      </c>
      <c r="AM785" t="s">
        <v>254</v>
      </c>
      <c r="AN785" t="s">
        <v>94</v>
      </c>
      <c r="AO785" t="s">
        <v>147</v>
      </c>
      <c r="AP785">
        <v>0</v>
      </c>
      <c r="AQ785">
        <v>0</v>
      </c>
      <c r="AR785">
        <v>0</v>
      </c>
      <c r="AS785">
        <v>0</v>
      </c>
      <c r="AT785">
        <v>0</v>
      </c>
      <c r="AU785">
        <v>0</v>
      </c>
      <c r="AV785">
        <v>0</v>
      </c>
      <c r="AW785">
        <v>0</v>
      </c>
      <c r="AX785">
        <v>0</v>
      </c>
      <c r="AY785">
        <v>0</v>
      </c>
    </row>
    <row r="786" spans="1:51" x14ac:dyDescent="0.25">
      <c r="A786">
        <v>202</v>
      </c>
      <c r="B786">
        <v>19420</v>
      </c>
      <c r="C786" t="s">
        <v>735</v>
      </c>
      <c r="D786" t="s">
        <v>96</v>
      </c>
      <c r="E786" t="s">
        <v>100</v>
      </c>
      <c r="F786" t="s">
        <v>107</v>
      </c>
      <c r="G786" t="s">
        <v>77</v>
      </c>
      <c r="H786" t="s">
        <v>78</v>
      </c>
      <c r="I786" t="s">
        <v>79</v>
      </c>
      <c r="J786" t="s">
        <v>150</v>
      </c>
      <c r="K786" t="s">
        <v>75</v>
      </c>
      <c r="L786" t="s">
        <v>76</v>
      </c>
      <c r="M786" t="s">
        <v>103</v>
      </c>
      <c r="N786" t="s">
        <v>74</v>
      </c>
      <c r="O786" t="s">
        <v>104</v>
      </c>
      <c r="P786" t="s">
        <v>71</v>
      </c>
      <c r="Q786" t="s">
        <v>110</v>
      </c>
      <c r="R786" t="s">
        <v>71</v>
      </c>
      <c r="S786">
        <v>1</v>
      </c>
      <c r="T786">
        <v>1</v>
      </c>
      <c r="U786" t="s">
        <v>72</v>
      </c>
      <c r="V786" t="s">
        <v>192</v>
      </c>
      <c r="W786">
        <v>0</v>
      </c>
      <c r="X786">
        <v>0</v>
      </c>
      <c r="Y786">
        <v>0</v>
      </c>
      <c r="Z786">
        <v>0</v>
      </c>
      <c r="AA786">
        <v>0</v>
      </c>
      <c r="AB786">
        <v>0</v>
      </c>
      <c r="AC786">
        <v>0</v>
      </c>
      <c r="AD786">
        <v>0</v>
      </c>
      <c r="AE786">
        <v>0</v>
      </c>
      <c r="AF786">
        <v>0</v>
      </c>
      <c r="AG786" t="s">
        <v>71</v>
      </c>
      <c r="AH786">
        <v>0</v>
      </c>
      <c r="AI786">
        <v>0</v>
      </c>
      <c r="AJ786">
        <v>0</v>
      </c>
      <c r="AK786">
        <v>0</v>
      </c>
      <c r="AL786" t="s">
        <v>438</v>
      </c>
      <c r="AM786" t="s">
        <v>491</v>
      </c>
      <c r="AN786" t="s">
        <v>94</v>
      </c>
      <c r="AO786" t="s">
        <v>147</v>
      </c>
      <c r="AP786">
        <v>0</v>
      </c>
      <c r="AQ786">
        <v>0</v>
      </c>
      <c r="AR786">
        <v>0</v>
      </c>
      <c r="AS786">
        <v>0</v>
      </c>
      <c r="AT786">
        <v>0</v>
      </c>
      <c r="AU786">
        <v>0</v>
      </c>
      <c r="AV786">
        <v>0</v>
      </c>
      <c r="AW786">
        <v>0</v>
      </c>
      <c r="AX786">
        <v>0</v>
      </c>
      <c r="AY786">
        <v>0</v>
      </c>
    </row>
    <row r="787" spans="1:51" x14ac:dyDescent="0.25">
      <c r="A787">
        <v>203</v>
      </c>
      <c r="B787">
        <v>19430</v>
      </c>
      <c r="C787" t="s">
        <v>735</v>
      </c>
      <c r="D787" t="s">
        <v>96</v>
      </c>
      <c r="E787" t="s">
        <v>100</v>
      </c>
      <c r="F787" t="s">
        <v>107</v>
      </c>
      <c r="G787" t="s">
        <v>77</v>
      </c>
      <c r="H787" t="s">
        <v>78</v>
      </c>
      <c r="I787" t="s">
        <v>79</v>
      </c>
      <c r="J787" t="s">
        <v>150</v>
      </c>
      <c r="K787" t="s">
        <v>75</v>
      </c>
      <c r="L787" t="s">
        <v>76</v>
      </c>
      <c r="M787" t="s">
        <v>103</v>
      </c>
      <c r="N787" t="s">
        <v>74</v>
      </c>
      <c r="O787" t="s">
        <v>104</v>
      </c>
      <c r="P787" t="s">
        <v>71</v>
      </c>
      <c r="Q787" t="s">
        <v>71</v>
      </c>
      <c r="R787" t="s">
        <v>110</v>
      </c>
      <c r="S787">
        <v>1</v>
      </c>
      <c r="T787">
        <v>1</v>
      </c>
      <c r="U787" t="s">
        <v>72</v>
      </c>
      <c r="V787" t="s">
        <v>192</v>
      </c>
      <c r="W787">
        <v>0</v>
      </c>
      <c r="X787">
        <v>0</v>
      </c>
      <c r="Y787">
        <v>0</v>
      </c>
      <c r="Z787">
        <v>0</v>
      </c>
      <c r="AA787">
        <v>0</v>
      </c>
      <c r="AB787">
        <v>0</v>
      </c>
      <c r="AC787">
        <v>0</v>
      </c>
      <c r="AD787">
        <v>0</v>
      </c>
      <c r="AE787">
        <v>0</v>
      </c>
      <c r="AF787">
        <v>0</v>
      </c>
      <c r="AG787" t="s">
        <v>71</v>
      </c>
      <c r="AH787">
        <v>0</v>
      </c>
      <c r="AI787">
        <v>0</v>
      </c>
      <c r="AJ787">
        <v>0</v>
      </c>
      <c r="AK787">
        <v>0</v>
      </c>
      <c r="AL787" t="s">
        <v>496</v>
      </c>
      <c r="AM787" t="s">
        <v>491</v>
      </c>
      <c r="AN787" t="s">
        <v>94</v>
      </c>
      <c r="AO787" t="s">
        <v>147</v>
      </c>
      <c r="AP787">
        <v>0</v>
      </c>
      <c r="AQ787">
        <v>0</v>
      </c>
      <c r="AR787">
        <v>0</v>
      </c>
      <c r="AS787">
        <v>0</v>
      </c>
      <c r="AT787">
        <v>0</v>
      </c>
      <c r="AU787">
        <v>0</v>
      </c>
      <c r="AV787">
        <v>0</v>
      </c>
      <c r="AW787">
        <v>0</v>
      </c>
      <c r="AX787">
        <v>0</v>
      </c>
      <c r="AY787">
        <v>0</v>
      </c>
    </row>
    <row r="788" spans="1:51" x14ac:dyDescent="0.25">
      <c r="A788">
        <v>204</v>
      </c>
      <c r="B788">
        <v>19440</v>
      </c>
      <c r="C788" t="s">
        <v>735</v>
      </c>
      <c r="D788" t="s">
        <v>96</v>
      </c>
      <c r="E788" t="s">
        <v>100</v>
      </c>
      <c r="F788" t="s">
        <v>98</v>
      </c>
      <c r="G788" t="s">
        <v>77</v>
      </c>
      <c r="H788" t="s">
        <v>78</v>
      </c>
      <c r="I788" t="s">
        <v>79</v>
      </c>
      <c r="J788" t="s">
        <v>150</v>
      </c>
      <c r="K788" t="s">
        <v>75</v>
      </c>
      <c r="L788" t="s">
        <v>76</v>
      </c>
      <c r="M788" t="s">
        <v>103</v>
      </c>
      <c r="N788" t="s">
        <v>74</v>
      </c>
      <c r="O788" t="s">
        <v>104</v>
      </c>
      <c r="P788" t="s">
        <v>71</v>
      </c>
      <c r="Q788" t="s">
        <v>71</v>
      </c>
      <c r="R788" t="s">
        <v>110</v>
      </c>
      <c r="S788">
        <v>1</v>
      </c>
      <c r="T788">
        <v>1</v>
      </c>
      <c r="U788" t="s">
        <v>284</v>
      </c>
      <c r="V788" t="s">
        <v>192</v>
      </c>
      <c r="W788">
        <v>0</v>
      </c>
      <c r="X788">
        <v>0</v>
      </c>
      <c r="Y788">
        <v>0</v>
      </c>
      <c r="Z788">
        <v>0</v>
      </c>
      <c r="AA788">
        <v>0</v>
      </c>
      <c r="AB788">
        <v>0</v>
      </c>
      <c r="AC788">
        <v>0</v>
      </c>
      <c r="AD788">
        <v>0</v>
      </c>
      <c r="AE788">
        <v>0</v>
      </c>
      <c r="AF788">
        <v>0</v>
      </c>
      <c r="AG788" t="s">
        <v>71</v>
      </c>
      <c r="AH788">
        <v>0</v>
      </c>
      <c r="AI788">
        <v>0</v>
      </c>
      <c r="AJ788">
        <v>0</v>
      </c>
      <c r="AK788">
        <v>0</v>
      </c>
      <c r="AL788" t="s">
        <v>99</v>
      </c>
      <c r="AM788" t="s">
        <v>93</v>
      </c>
      <c r="AN788" t="s">
        <v>94</v>
      </c>
      <c r="AO788" t="s">
        <v>147</v>
      </c>
      <c r="AP788">
        <v>0</v>
      </c>
      <c r="AQ788">
        <v>0</v>
      </c>
      <c r="AR788">
        <v>0</v>
      </c>
      <c r="AS788">
        <v>0</v>
      </c>
      <c r="AT788">
        <v>0</v>
      </c>
      <c r="AU788">
        <v>0</v>
      </c>
      <c r="AV788">
        <v>0</v>
      </c>
      <c r="AW788">
        <v>0</v>
      </c>
      <c r="AX788">
        <v>0</v>
      </c>
      <c r="AY788">
        <v>0</v>
      </c>
    </row>
    <row r="789" spans="1:51" x14ac:dyDescent="0.25">
      <c r="A789">
        <v>1</v>
      </c>
      <c r="C789" t="s">
        <v>735</v>
      </c>
      <c r="D789" t="s">
        <v>736</v>
      </c>
      <c r="E789" t="s">
        <v>736</v>
      </c>
      <c r="F789" t="s">
        <v>736</v>
      </c>
      <c r="G789" t="s">
        <v>736</v>
      </c>
      <c r="H789" t="s">
        <v>736</v>
      </c>
      <c r="I789" t="s">
        <v>736</v>
      </c>
      <c r="J789" t="s">
        <v>736</v>
      </c>
      <c r="K789" t="s">
        <v>736</v>
      </c>
      <c r="L789" t="s">
        <v>736</v>
      </c>
      <c r="M789" t="s">
        <v>736</v>
      </c>
      <c r="N789" t="s">
        <v>736</v>
      </c>
      <c r="O789" t="s">
        <v>736</v>
      </c>
      <c r="P789" t="s">
        <v>736</v>
      </c>
      <c r="Q789" t="s">
        <v>736</v>
      </c>
      <c r="R789" t="s">
        <v>736</v>
      </c>
      <c r="S789" t="s">
        <v>736</v>
      </c>
      <c r="T789" t="s">
        <v>736</v>
      </c>
      <c r="U789" t="s">
        <v>736</v>
      </c>
      <c r="V789" t="s">
        <v>736</v>
      </c>
      <c r="W789" t="s">
        <v>736</v>
      </c>
      <c r="X789" t="s">
        <v>736</v>
      </c>
      <c r="Y789" t="s">
        <v>736</v>
      </c>
      <c r="Z789" t="s">
        <v>736</v>
      </c>
      <c r="AA789" t="s">
        <v>736</v>
      </c>
      <c r="AB789" t="s">
        <v>736</v>
      </c>
      <c r="AC789" t="s">
        <v>736</v>
      </c>
      <c r="AD789" t="s">
        <v>736</v>
      </c>
      <c r="AE789" t="s">
        <v>736</v>
      </c>
      <c r="AF789" t="s">
        <v>736</v>
      </c>
      <c r="AG789" t="s">
        <v>736</v>
      </c>
      <c r="AH789" t="s">
        <v>736</v>
      </c>
      <c r="AI789" t="s">
        <v>736</v>
      </c>
      <c r="AJ789" t="s">
        <v>736</v>
      </c>
      <c r="AK789" t="s">
        <v>736</v>
      </c>
      <c r="AL789" t="s">
        <v>736</v>
      </c>
      <c r="AM789" t="s">
        <v>736</v>
      </c>
      <c r="AN789" t="s">
        <v>736</v>
      </c>
      <c r="AO789" t="s">
        <v>736</v>
      </c>
      <c r="AP789" t="s">
        <v>736</v>
      </c>
      <c r="AQ789" t="s">
        <v>736</v>
      </c>
      <c r="AR789" t="s">
        <v>736</v>
      </c>
      <c r="AS789" t="s">
        <v>736</v>
      </c>
      <c r="AT789" t="s">
        <v>736</v>
      </c>
      <c r="AU789" t="s">
        <v>736</v>
      </c>
      <c r="AV789" t="s">
        <v>736</v>
      </c>
      <c r="AW789" t="s">
        <v>736</v>
      </c>
      <c r="AX789" t="s">
        <v>736</v>
      </c>
      <c r="AY789" t="s">
        <v>736</v>
      </c>
    </row>
    <row r="790" spans="1:51" x14ac:dyDescent="0.25">
      <c r="A790">
        <v>175</v>
      </c>
      <c r="B790">
        <v>10</v>
      </c>
      <c r="C790" t="s">
        <v>735</v>
      </c>
      <c r="D790" t="s">
        <v>96</v>
      </c>
      <c r="E790" t="s">
        <v>121</v>
      </c>
      <c r="F790" t="s">
        <v>107</v>
      </c>
      <c r="G790" t="s">
        <v>101</v>
      </c>
      <c r="H790" t="s">
        <v>78</v>
      </c>
      <c r="I790" t="s">
        <v>79</v>
      </c>
      <c r="J790" t="s">
        <v>70</v>
      </c>
      <c r="K790" t="s">
        <v>75</v>
      </c>
      <c r="L790" t="s">
        <v>76</v>
      </c>
      <c r="M790" t="s">
        <v>103</v>
      </c>
      <c r="N790" t="s">
        <v>74</v>
      </c>
      <c r="O790" t="s">
        <v>104</v>
      </c>
      <c r="P790" t="s">
        <v>71</v>
      </c>
      <c r="Q790" t="s">
        <v>71</v>
      </c>
      <c r="R790" t="s">
        <v>71</v>
      </c>
      <c r="S790">
        <v>0</v>
      </c>
      <c r="T790">
        <v>0</v>
      </c>
      <c r="U790" t="s">
        <v>72</v>
      </c>
      <c r="V790" t="s">
        <v>73</v>
      </c>
      <c r="W790">
        <v>0</v>
      </c>
      <c r="X790">
        <v>0</v>
      </c>
      <c r="Y790">
        <v>0</v>
      </c>
      <c r="Z790">
        <v>0</v>
      </c>
      <c r="AA790">
        <v>0</v>
      </c>
      <c r="AB790">
        <v>0</v>
      </c>
      <c r="AC790">
        <v>0</v>
      </c>
      <c r="AD790">
        <v>0</v>
      </c>
      <c r="AE790">
        <v>0</v>
      </c>
      <c r="AF790">
        <v>0</v>
      </c>
      <c r="AG790" t="s">
        <v>71</v>
      </c>
      <c r="AH790">
        <v>0</v>
      </c>
      <c r="AI790">
        <v>0</v>
      </c>
      <c r="AJ790">
        <v>0</v>
      </c>
      <c r="AK790">
        <v>0</v>
      </c>
      <c r="AL790" t="s">
        <v>91</v>
      </c>
      <c r="AM790" t="s">
        <v>93</v>
      </c>
      <c r="AN790" t="s">
        <v>94</v>
      </c>
      <c r="AO790" t="s">
        <v>92</v>
      </c>
      <c r="AP790">
        <v>0</v>
      </c>
      <c r="AQ790">
        <v>0</v>
      </c>
      <c r="AR790">
        <v>0</v>
      </c>
      <c r="AS790">
        <v>0</v>
      </c>
      <c r="AT790">
        <v>0</v>
      </c>
      <c r="AU790">
        <v>0</v>
      </c>
      <c r="AV790">
        <v>0</v>
      </c>
      <c r="AW790">
        <v>0</v>
      </c>
      <c r="AX790">
        <v>0</v>
      </c>
      <c r="AY790">
        <v>0</v>
      </c>
    </row>
    <row r="791" spans="1:51" x14ac:dyDescent="0.25">
      <c r="A791">
        <v>175</v>
      </c>
      <c r="B791">
        <v>5010</v>
      </c>
      <c r="C791" t="s">
        <v>735</v>
      </c>
      <c r="D791" t="s">
        <v>96</v>
      </c>
      <c r="E791" t="s">
        <v>121</v>
      </c>
      <c r="F791" t="s">
        <v>107</v>
      </c>
      <c r="G791" t="s">
        <v>101</v>
      </c>
      <c r="H791" t="s">
        <v>78</v>
      </c>
      <c r="I791" t="s">
        <v>79</v>
      </c>
      <c r="J791" t="s">
        <v>70</v>
      </c>
      <c r="K791" t="s">
        <v>75</v>
      </c>
      <c r="L791" t="s">
        <v>76</v>
      </c>
      <c r="M791" t="s">
        <v>103</v>
      </c>
      <c r="N791" t="s">
        <v>74</v>
      </c>
      <c r="O791" t="s">
        <v>104</v>
      </c>
      <c r="P791" t="s">
        <v>71</v>
      </c>
      <c r="Q791" t="s">
        <v>71</v>
      </c>
      <c r="R791" t="s">
        <v>71</v>
      </c>
      <c r="S791">
        <v>0</v>
      </c>
      <c r="T791">
        <v>0</v>
      </c>
      <c r="U791" t="s">
        <v>72</v>
      </c>
      <c r="V791" t="s">
        <v>73</v>
      </c>
      <c r="W791">
        <v>0</v>
      </c>
      <c r="X791">
        <v>0</v>
      </c>
      <c r="Y791">
        <v>0</v>
      </c>
      <c r="Z791">
        <v>0</v>
      </c>
      <c r="AA791">
        <v>0</v>
      </c>
      <c r="AB791">
        <v>0</v>
      </c>
      <c r="AC791">
        <v>0</v>
      </c>
      <c r="AD791">
        <v>0</v>
      </c>
      <c r="AE791">
        <v>0</v>
      </c>
      <c r="AF791">
        <v>0</v>
      </c>
      <c r="AG791" t="s">
        <v>71</v>
      </c>
      <c r="AH791">
        <v>0</v>
      </c>
      <c r="AI791">
        <v>0</v>
      </c>
      <c r="AJ791">
        <v>0</v>
      </c>
      <c r="AK791">
        <v>0</v>
      </c>
      <c r="AL791" t="s">
        <v>91</v>
      </c>
      <c r="AM791" t="s">
        <v>93</v>
      </c>
      <c r="AN791" t="s">
        <v>94</v>
      </c>
      <c r="AO791" t="s">
        <v>92</v>
      </c>
      <c r="AP791">
        <v>0</v>
      </c>
      <c r="AQ791">
        <v>0</v>
      </c>
      <c r="AR791">
        <v>0</v>
      </c>
      <c r="AS791">
        <v>0</v>
      </c>
      <c r="AT791">
        <v>0</v>
      </c>
      <c r="AU791">
        <v>0</v>
      </c>
      <c r="AV791">
        <v>0</v>
      </c>
      <c r="AW791">
        <v>0</v>
      </c>
      <c r="AX791">
        <v>0</v>
      </c>
      <c r="AY791">
        <v>0</v>
      </c>
    </row>
    <row r="792" spans="1:51" x14ac:dyDescent="0.25">
      <c r="A792">
        <v>175</v>
      </c>
      <c r="B792">
        <v>5020</v>
      </c>
      <c r="C792" t="s">
        <v>735</v>
      </c>
      <c r="D792" t="s">
        <v>96</v>
      </c>
      <c r="E792" t="s">
        <v>121</v>
      </c>
      <c r="F792" t="s">
        <v>107</v>
      </c>
      <c r="G792" t="s">
        <v>101</v>
      </c>
      <c r="H792" t="s">
        <v>78</v>
      </c>
      <c r="I792" t="s">
        <v>79</v>
      </c>
      <c r="J792" t="s">
        <v>70</v>
      </c>
      <c r="K792" t="s">
        <v>75</v>
      </c>
      <c r="L792" t="s">
        <v>76</v>
      </c>
      <c r="M792" t="s">
        <v>103</v>
      </c>
      <c r="N792" t="s">
        <v>74</v>
      </c>
      <c r="O792" t="s">
        <v>104</v>
      </c>
      <c r="P792" t="s">
        <v>71</v>
      </c>
      <c r="Q792" t="s">
        <v>71</v>
      </c>
      <c r="R792" t="s">
        <v>71</v>
      </c>
      <c r="S792">
        <v>0</v>
      </c>
      <c r="T792">
        <v>0</v>
      </c>
      <c r="U792" t="s">
        <v>72</v>
      </c>
      <c r="V792" t="s">
        <v>73</v>
      </c>
      <c r="W792">
        <v>0</v>
      </c>
      <c r="X792">
        <v>0</v>
      </c>
      <c r="Y792">
        <v>0</v>
      </c>
      <c r="Z792">
        <v>0</v>
      </c>
      <c r="AA792">
        <v>0</v>
      </c>
      <c r="AB792">
        <v>0</v>
      </c>
      <c r="AC792">
        <v>0</v>
      </c>
      <c r="AD792">
        <v>0</v>
      </c>
      <c r="AE792">
        <v>0</v>
      </c>
      <c r="AF792">
        <v>0</v>
      </c>
      <c r="AG792" t="s">
        <v>71</v>
      </c>
      <c r="AH792">
        <v>0</v>
      </c>
      <c r="AI792">
        <v>0</v>
      </c>
      <c r="AJ792">
        <v>0</v>
      </c>
      <c r="AK792">
        <v>0</v>
      </c>
      <c r="AL792" t="s">
        <v>108</v>
      </c>
      <c r="AM792" t="s">
        <v>93</v>
      </c>
      <c r="AN792" t="s">
        <v>94</v>
      </c>
      <c r="AO792" t="s">
        <v>92</v>
      </c>
      <c r="AP792">
        <v>0</v>
      </c>
      <c r="AQ792">
        <v>0</v>
      </c>
      <c r="AR792">
        <v>0</v>
      </c>
      <c r="AS792">
        <v>0</v>
      </c>
      <c r="AT792">
        <v>0</v>
      </c>
      <c r="AU792">
        <v>0</v>
      </c>
      <c r="AV792">
        <v>0</v>
      </c>
      <c r="AW792">
        <v>0</v>
      </c>
      <c r="AX792">
        <v>0</v>
      </c>
      <c r="AY792">
        <v>0</v>
      </c>
    </row>
    <row r="793" spans="1:51" x14ac:dyDescent="0.25">
      <c r="A793">
        <v>175</v>
      </c>
      <c r="B793">
        <v>5030</v>
      </c>
      <c r="C793" t="s">
        <v>735</v>
      </c>
      <c r="D793" t="s">
        <v>96</v>
      </c>
      <c r="E793" t="s">
        <v>121</v>
      </c>
      <c r="F793" t="s">
        <v>107</v>
      </c>
      <c r="G793" t="s">
        <v>101</v>
      </c>
      <c r="H793" t="s">
        <v>78</v>
      </c>
      <c r="I793" t="s">
        <v>79</v>
      </c>
      <c r="J793" t="s">
        <v>70</v>
      </c>
      <c r="K793" t="s">
        <v>75</v>
      </c>
      <c r="L793" t="s">
        <v>76</v>
      </c>
      <c r="M793" t="s">
        <v>103</v>
      </c>
      <c r="N793" t="s">
        <v>74</v>
      </c>
      <c r="O793" t="s">
        <v>104</v>
      </c>
      <c r="P793" t="s">
        <v>71</v>
      </c>
      <c r="Q793" t="s">
        <v>71</v>
      </c>
      <c r="R793" t="s">
        <v>71</v>
      </c>
      <c r="S793">
        <v>0</v>
      </c>
      <c r="T793">
        <v>0</v>
      </c>
      <c r="U793" t="s">
        <v>72</v>
      </c>
      <c r="V793" t="s">
        <v>73</v>
      </c>
      <c r="W793">
        <v>0</v>
      </c>
      <c r="X793">
        <v>0</v>
      </c>
      <c r="Y793">
        <v>0</v>
      </c>
      <c r="Z793">
        <v>0</v>
      </c>
      <c r="AA793">
        <v>0</v>
      </c>
      <c r="AB793">
        <v>0</v>
      </c>
      <c r="AC793">
        <v>0</v>
      </c>
      <c r="AD793">
        <v>0</v>
      </c>
      <c r="AE793">
        <v>0</v>
      </c>
      <c r="AF793">
        <v>0</v>
      </c>
      <c r="AG793" t="s">
        <v>71</v>
      </c>
      <c r="AH793">
        <v>0</v>
      </c>
      <c r="AI793">
        <v>0</v>
      </c>
      <c r="AJ793">
        <v>0</v>
      </c>
      <c r="AK793">
        <v>0</v>
      </c>
      <c r="AL793" t="s">
        <v>108</v>
      </c>
      <c r="AM793" t="s">
        <v>93</v>
      </c>
      <c r="AN793" t="s">
        <v>94</v>
      </c>
      <c r="AO793" t="s">
        <v>92</v>
      </c>
      <c r="AP793">
        <v>0</v>
      </c>
      <c r="AQ793">
        <v>0</v>
      </c>
      <c r="AR793">
        <v>0</v>
      </c>
      <c r="AS793">
        <v>0</v>
      </c>
      <c r="AT793">
        <v>0</v>
      </c>
      <c r="AU793">
        <v>0</v>
      </c>
      <c r="AV793">
        <v>0</v>
      </c>
      <c r="AW793">
        <v>0</v>
      </c>
      <c r="AX793">
        <v>0</v>
      </c>
      <c r="AY793">
        <v>0</v>
      </c>
    </row>
    <row r="794" spans="1:51" x14ac:dyDescent="0.25">
      <c r="A794">
        <v>175</v>
      </c>
      <c r="B794">
        <v>10010</v>
      </c>
      <c r="C794" t="s">
        <v>735</v>
      </c>
      <c r="D794" t="s">
        <v>96</v>
      </c>
      <c r="E794" t="s">
        <v>121</v>
      </c>
      <c r="F794" t="s">
        <v>107</v>
      </c>
      <c r="G794" t="s">
        <v>101</v>
      </c>
      <c r="H794" t="s">
        <v>78</v>
      </c>
      <c r="I794" t="s">
        <v>79</v>
      </c>
      <c r="J794" t="s">
        <v>70</v>
      </c>
      <c r="K794" t="s">
        <v>75</v>
      </c>
      <c r="L794" t="s">
        <v>76</v>
      </c>
      <c r="M794" t="s">
        <v>103</v>
      </c>
      <c r="N794" t="s">
        <v>74</v>
      </c>
      <c r="O794" t="s">
        <v>104</v>
      </c>
      <c r="P794" t="s">
        <v>71</v>
      </c>
      <c r="Q794" t="s">
        <v>71</v>
      </c>
      <c r="R794" t="s">
        <v>71</v>
      </c>
      <c r="S794">
        <v>0</v>
      </c>
      <c r="T794">
        <v>0</v>
      </c>
      <c r="U794" t="s">
        <v>72</v>
      </c>
      <c r="V794" t="s">
        <v>73</v>
      </c>
      <c r="W794">
        <v>0</v>
      </c>
      <c r="X794">
        <v>0</v>
      </c>
      <c r="Y794">
        <v>0</v>
      </c>
      <c r="Z794">
        <v>0</v>
      </c>
      <c r="AA794">
        <v>0</v>
      </c>
      <c r="AB794">
        <v>0</v>
      </c>
      <c r="AC794">
        <v>0</v>
      </c>
      <c r="AD794">
        <v>0</v>
      </c>
      <c r="AE794">
        <v>0</v>
      </c>
      <c r="AF794">
        <v>0</v>
      </c>
      <c r="AG794" t="s">
        <v>71</v>
      </c>
      <c r="AH794">
        <v>0</v>
      </c>
      <c r="AI794">
        <v>0</v>
      </c>
      <c r="AJ794">
        <v>0</v>
      </c>
      <c r="AK794">
        <v>0</v>
      </c>
      <c r="AL794" t="s">
        <v>108</v>
      </c>
      <c r="AM794" t="s">
        <v>93</v>
      </c>
      <c r="AN794" t="s">
        <v>94</v>
      </c>
      <c r="AO794" t="s">
        <v>92</v>
      </c>
      <c r="AP794">
        <v>0</v>
      </c>
      <c r="AQ794">
        <v>0</v>
      </c>
      <c r="AR794">
        <v>0</v>
      </c>
      <c r="AS794">
        <v>0</v>
      </c>
      <c r="AT794">
        <v>0</v>
      </c>
      <c r="AU794">
        <v>0</v>
      </c>
      <c r="AV794">
        <v>0</v>
      </c>
      <c r="AW794">
        <v>0</v>
      </c>
      <c r="AX794">
        <v>0</v>
      </c>
      <c r="AY794">
        <v>0</v>
      </c>
    </row>
    <row r="795" spans="1:51" x14ac:dyDescent="0.25">
      <c r="A795">
        <v>175</v>
      </c>
      <c r="B795">
        <v>10020</v>
      </c>
      <c r="C795" t="s">
        <v>735</v>
      </c>
      <c r="D795" t="s">
        <v>96</v>
      </c>
      <c r="E795" t="s">
        <v>121</v>
      </c>
      <c r="F795" t="s">
        <v>107</v>
      </c>
      <c r="G795" t="s">
        <v>101</v>
      </c>
      <c r="H795" t="s">
        <v>78</v>
      </c>
      <c r="I795" t="s">
        <v>79</v>
      </c>
      <c r="J795" t="s">
        <v>70</v>
      </c>
      <c r="K795" t="s">
        <v>75</v>
      </c>
      <c r="L795" t="s">
        <v>76</v>
      </c>
      <c r="M795" t="s">
        <v>103</v>
      </c>
      <c r="N795" t="s">
        <v>74</v>
      </c>
      <c r="O795" t="s">
        <v>104</v>
      </c>
      <c r="P795" t="s">
        <v>71</v>
      </c>
      <c r="Q795" t="s">
        <v>71</v>
      </c>
      <c r="R795" t="s">
        <v>71</v>
      </c>
      <c r="S795">
        <v>0</v>
      </c>
      <c r="T795">
        <v>0</v>
      </c>
      <c r="U795" t="s">
        <v>72</v>
      </c>
      <c r="V795" t="s">
        <v>73</v>
      </c>
      <c r="W795">
        <v>0</v>
      </c>
      <c r="X795">
        <v>0</v>
      </c>
      <c r="Y795">
        <v>0</v>
      </c>
      <c r="Z795">
        <v>0</v>
      </c>
      <c r="AA795">
        <v>0</v>
      </c>
      <c r="AB795">
        <v>0</v>
      </c>
      <c r="AC795">
        <v>0</v>
      </c>
      <c r="AD795">
        <v>0</v>
      </c>
      <c r="AE795">
        <v>0</v>
      </c>
      <c r="AF795">
        <v>0</v>
      </c>
      <c r="AG795" t="s">
        <v>71</v>
      </c>
      <c r="AH795">
        <v>0</v>
      </c>
      <c r="AI795">
        <v>0</v>
      </c>
      <c r="AJ795">
        <v>0</v>
      </c>
      <c r="AK795">
        <v>0</v>
      </c>
      <c r="AL795" t="s">
        <v>108</v>
      </c>
      <c r="AM795" t="s">
        <v>93</v>
      </c>
      <c r="AN795" t="s">
        <v>94</v>
      </c>
      <c r="AO795" t="s">
        <v>92</v>
      </c>
      <c r="AP795">
        <v>0</v>
      </c>
      <c r="AQ795">
        <v>0</v>
      </c>
      <c r="AR795">
        <v>0</v>
      </c>
      <c r="AS795">
        <v>0</v>
      </c>
      <c r="AT795">
        <v>0</v>
      </c>
      <c r="AU795">
        <v>0</v>
      </c>
      <c r="AV795">
        <v>0</v>
      </c>
      <c r="AW795">
        <v>0</v>
      </c>
      <c r="AX795">
        <v>0</v>
      </c>
      <c r="AY795">
        <v>0</v>
      </c>
    </row>
    <row r="796" spans="1:51" x14ac:dyDescent="0.25">
      <c r="A796">
        <v>175</v>
      </c>
      <c r="B796">
        <v>10030</v>
      </c>
      <c r="C796" t="s">
        <v>735</v>
      </c>
      <c r="D796" t="s">
        <v>96</v>
      </c>
      <c r="E796" t="s">
        <v>121</v>
      </c>
      <c r="F796" t="s">
        <v>107</v>
      </c>
      <c r="G796" t="s">
        <v>77</v>
      </c>
      <c r="H796" t="s">
        <v>78</v>
      </c>
      <c r="I796" t="s">
        <v>79</v>
      </c>
      <c r="J796" t="s">
        <v>70</v>
      </c>
      <c r="K796" t="s">
        <v>75</v>
      </c>
      <c r="L796" t="s">
        <v>76</v>
      </c>
      <c r="M796" t="s">
        <v>103</v>
      </c>
      <c r="N796" t="s">
        <v>74</v>
      </c>
      <c r="O796" t="s">
        <v>104</v>
      </c>
      <c r="P796" t="s">
        <v>71</v>
      </c>
      <c r="Q796" t="s">
        <v>71</v>
      </c>
      <c r="R796" t="s">
        <v>71</v>
      </c>
      <c r="S796">
        <v>0</v>
      </c>
      <c r="T796">
        <v>1</v>
      </c>
      <c r="U796" t="s">
        <v>72</v>
      </c>
      <c r="V796" t="s">
        <v>73</v>
      </c>
      <c r="W796">
        <v>0</v>
      </c>
      <c r="X796">
        <v>0</v>
      </c>
      <c r="Y796">
        <v>0</v>
      </c>
      <c r="Z796">
        <v>0</v>
      </c>
      <c r="AA796">
        <v>0</v>
      </c>
      <c r="AB796">
        <v>0</v>
      </c>
      <c r="AC796">
        <v>0</v>
      </c>
      <c r="AD796">
        <v>0</v>
      </c>
      <c r="AE796">
        <v>0</v>
      </c>
      <c r="AF796">
        <v>0</v>
      </c>
      <c r="AG796" t="s">
        <v>71</v>
      </c>
      <c r="AH796">
        <v>0</v>
      </c>
      <c r="AI796">
        <v>0</v>
      </c>
      <c r="AJ796">
        <v>0</v>
      </c>
      <c r="AK796">
        <v>0</v>
      </c>
      <c r="AL796" t="s">
        <v>146</v>
      </c>
      <c r="AM796" t="s">
        <v>93</v>
      </c>
      <c r="AN796" t="s">
        <v>148</v>
      </c>
      <c r="AO796" t="s">
        <v>147</v>
      </c>
      <c r="AP796">
        <v>0</v>
      </c>
      <c r="AQ796">
        <v>0</v>
      </c>
      <c r="AR796">
        <v>128</v>
      </c>
      <c r="AS796">
        <v>0</v>
      </c>
      <c r="AT796">
        <v>0</v>
      </c>
      <c r="AU796">
        <v>0</v>
      </c>
      <c r="AV796">
        <v>0</v>
      </c>
      <c r="AW796">
        <v>0</v>
      </c>
      <c r="AX796">
        <v>0</v>
      </c>
      <c r="AY796">
        <v>0</v>
      </c>
    </row>
    <row r="797" spans="1:51" x14ac:dyDescent="0.25">
      <c r="A797">
        <v>175</v>
      </c>
      <c r="B797">
        <v>10040</v>
      </c>
      <c r="C797" t="s">
        <v>735</v>
      </c>
      <c r="D797" t="s">
        <v>96</v>
      </c>
      <c r="E797" t="s">
        <v>100</v>
      </c>
      <c r="F797" t="s">
        <v>107</v>
      </c>
      <c r="G797" t="s">
        <v>77</v>
      </c>
      <c r="H797" t="s">
        <v>78</v>
      </c>
      <c r="I797" t="s">
        <v>79</v>
      </c>
      <c r="J797" t="s">
        <v>70</v>
      </c>
      <c r="K797" t="s">
        <v>75</v>
      </c>
      <c r="L797" t="s">
        <v>76</v>
      </c>
      <c r="M797" t="s">
        <v>103</v>
      </c>
      <c r="N797" t="s">
        <v>74</v>
      </c>
      <c r="O797" t="s">
        <v>104</v>
      </c>
      <c r="P797" t="s">
        <v>71</v>
      </c>
      <c r="Q797" t="s">
        <v>71</v>
      </c>
      <c r="R797" t="s">
        <v>71</v>
      </c>
      <c r="S797">
        <v>0</v>
      </c>
      <c r="T797">
        <v>1</v>
      </c>
      <c r="U797" t="s">
        <v>72</v>
      </c>
      <c r="V797" t="s">
        <v>192</v>
      </c>
      <c r="W797">
        <v>0</v>
      </c>
      <c r="X797">
        <v>0</v>
      </c>
      <c r="Y797">
        <v>0</v>
      </c>
      <c r="Z797">
        <v>0</v>
      </c>
      <c r="AA797">
        <v>0</v>
      </c>
      <c r="AB797">
        <v>0</v>
      </c>
      <c r="AC797">
        <v>0</v>
      </c>
      <c r="AD797">
        <v>0</v>
      </c>
      <c r="AE797">
        <v>0</v>
      </c>
      <c r="AF797">
        <v>0</v>
      </c>
      <c r="AG797" t="s">
        <v>71</v>
      </c>
      <c r="AH797">
        <v>0</v>
      </c>
      <c r="AI797">
        <v>0</v>
      </c>
      <c r="AJ797">
        <v>0</v>
      </c>
      <c r="AK797">
        <v>0</v>
      </c>
      <c r="AL797" t="s">
        <v>146</v>
      </c>
      <c r="AM797" t="s">
        <v>93</v>
      </c>
      <c r="AN797" t="s">
        <v>94</v>
      </c>
      <c r="AO797" t="s">
        <v>147</v>
      </c>
      <c r="AP797">
        <v>0</v>
      </c>
      <c r="AQ797">
        <v>0</v>
      </c>
      <c r="AR797">
        <v>128</v>
      </c>
      <c r="AS797">
        <v>0</v>
      </c>
      <c r="AT797">
        <v>0</v>
      </c>
      <c r="AU797">
        <v>0</v>
      </c>
      <c r="AV797">
        <v>0</v>
      </c>
      <c r="AW797">
        <v>0</v>
      </c>
      <c r="AX797">
        <v>0</v>
      </c>
      <c r="AY797">
        <v>0</v>
      </c>
    </row>
    <row r="798" spans="1:51" x14ac:dyDescent="0.25">
      <c r="A798">
        <v>175</v>
      </c>
      <c r="B798">
        <v>10050</v>
      </c>
      <c r="C798" t="s">
        <v>735</v>
      </c>
      <c r="D798" t="s">
        <v>96</v>
      </c>
      <c r="E798" t="s">
        <v>100</v>
      </c>
      <c r="F798" t="s">
        <v>107</v>
      </c>
      <c r="G798" t="s">
        <v>77</v>
      </c>
      <c r="H798" t="s">
        <v>78</v>
      </c>
      <c r="I798" t="s">
        <v>79</v>
      </c>
      <c r="J798" t="s">
        <v>150</v>
      </c>
      <c r="K798" t="s">
        <v>75</v>
      </c>
      <c r="L798" t="s">
        <v>76</v>
      </c>
      <c r="M798" t="s">
        <v>103</v>
      </c>
      <c r="N798" t="s">
        <v>74</v>
      </c>
      <c r="O798" t="s">
        <v>104</v>
      </c>
      <c r="P798" t="s">
        <v>71</v>
      </c>
      <c r="Q798" t="s">
        <v>71</v>
      </c>
      <c r="R798" t="s">
        <v>71</v>
      </c>
      <c r="S798">
        <v>0</v>
      </c>
      <c r="T798">
        <v>1</v>
      </c>
      <c r="U798" t="s">
        <v>72</v>
      </c>
      <c r="V798" t="s">
        <v>192</v>
      </c>
      <c r="W798">
        <v>0</v>
      </c>
      <c r="X798">
        <v>0</v>
      </c>
      <c r="Y798">
        <v>0</v>
      </c>
      <c r="Z798">
        <v>0</v>
      </c>
      <c r="AA798">
        <v>0</v>
      </c>
      <c r="AB798">
        <v>0</v>
      </c>
      <c r="AC798">
        <v>0</v>
      </c>
      <c r="AD798">
        <v>0</v>
      </c>
      <c r="AE798">
        <v>0</v>
      </c>
      <c r="AF798">
        <v>0</v>
      </c>
      <c r="AG798" t="s">
        <v>71</v>
      </c>
      <c r="AH798">
        <v>0</v>
      </c>
      <c r="AI798">
        <v>0</v>
      </c>
      <c r="AJ798">
        <v>0</v>
      </c>
      <c r="AK798">
        <v>0</v>
      </c>
      <c r="AL798" t="s">
        <v>342</v>
      </c>
      <c r="AM798" t="s">
        <v>254</v>
      </c>
      <c r="AN798" t="s">
        <v>94</v>
      </c>
      <c r="AO798" t="s">
        <v>147</v>
      </c>
      <c r="AP798">
        <v>0</v>
      </c>
      <c r="AQ798">
        <v>0</v>
      </c>
      <c r="AR798">
        <v>0</v>
      </c>
      <c r="AS798">
        <v>0</v>
      </c>
      <c r="AT798">
        <v>0</v>
      </c>
      <c r="AU798">
        <v>0</v>
      </c>
      <c r="AV798">
        <v>0</v>
      </c>
      <c r="AW798">
        <v>0</v>
      </c>
      <c r="AX798">
        <v>0</v>
      </c>
      <c r="AY798">
        <v>0</v>
      </c>
    </row>
    <row r="799" spans="1:51" x14ac:dyDescent="0.25">
      <c r="A799">
        <v>175</v>
      </c>
      <c r="B799">
        <v>10060</v>
      </c>
      <c r="C799" t="s">
        <v>735</v>
      </c>
      <c r="D799" t="s">
        <v>96</v>
      </c>
      <c r="E799" t="s">
        <v>121</v>
      </c>
      <c r="F799" t="s">
        <v>107</v>
      </c>
      <c r="G799" t="s">
        <v>77</v>
      </c>
      <c r="H799" t="s">
        <v>78</v>
      </c>
      <c r="I799" t="s">
        <v>79</v>
      </c>
      <c r="J799" t="s">
        <v>150</v>
      </c>
      <c r="K799" t="s">
        <v>75</v>
      </c>
      <c r="L799" t="s">
        <v>203</v>
      </c>
      <c r="M799" t="s">
        <v>103</v>
      </c>
      <c r="N799" t="s">
        <v>74</v>
      </c>
      <c r="O799" t="s">
        <v>104</v>
      </c>
      <c r="P799" t="s">
        <v>71</v>
      </c>
      <c r="Q799" t="s">
        <v>110</v>
      </c>
      <c r="R799" t="s">
        <v>71</v>
      </c>
      <c r="S799">
        <v>1</v>
      </c>
      <c r="T799">
        <v>1</v>
      </c>
      <c r="U799" t="s">
        <v>72</v>
      </c>
      <c r="V799" t="s">
        <v>188</v>
      </c>
      <c r="W799">
        <v>0</v>
      </c>
      <c r="X799">
        <v>0</v>
      </c>
      <c r="Y799">
        <v>0</v>
      </c>
      <c r="Z799">
        <v>0</v>
      </c>
      <c r="AA799">
        <v>0</v>
      </c>
      <c r="AB799">
        <v>0</v>
      </c>
      <c r="AC799">
        <v>0</v>
      </c>
      <c r="AD799">
        <v>0</v>
      </c>
      <c r="AE799">
        <v>0</v>
      </c>
      <c r="AF799">
        <v>0</v>
      </c>
      <c r="AG799" t="s">
        <v>71</v>
      </c>
      <c r="AH799">
        <v>0</v>
      </c>
      <c r="AI799">
        <v>0</v>
      </c>
      <c r="AJ799">
        <v>0</v>
      </c>
      <c r="AK799">
        <v>0</v>
      </c>
      <c r="AL799" t="s">
        <v>450</v>
      </c>
      <c r="AM799" t="s">
        <v>491</v>
      </c>
      <c r="AN799" t="s">
        <v>148</v>
      </c>
      <c r="AO799" t="s">
        <v>147</v>
      </c>
      <c r="AP799">
        <v>0</v>
      </c>
      <c r="AQ799">
        <v>0</v>
      </c>
      <c r="AR799">
        <v>0</v>
      </c>
      <c r="AS799">
        <v>0</v>
      </c>
      <c r="AT799">
        <v>0</v>
      </c>
      <c r="AU799">
        <v>0</v>
      </c>
      <c r="AV799">
        <v>0</v>
      </c>
      <c r="AW799">
        <v>0</v>
      </c>
      <c r="AX799">
        <v>0</v>
      </c>
      <c r="AY799">
        <v>0</v>
      </c>
    </row>
    <row r="800" spans="1:51" x14ac:dyDescent="0.25">
      <c r="A800">
        <v>201</v>
      </c>
      <c r="B800">
        <v>10070</v>
      </c>
      <c r="C800" t="s">
        <v>735</v>
      </c>
      <c r="D800" t="s">
        <v>96</v>
      </c>
      <c r="E800" t="s">
        <v>100</v>
      </c>
      <c r="F800" t="s">
        <v>107</v>
      </c>
      <c r="G800" t="s">
        <v>77</v>
      </c>
      <c r="H800" t="s">
        <v>78</v>
      </c>
      <c r="I800" t="s">
        <v>79</v>
      </c>
      <c r="J800" t="s">
        <v>150</v>
      </c>
      <c r="K800" t="s">
        <v>75</v>
      </c>
      <c r="L800" t="s">
        <v>76</v>
      </c>
      <c r="M800" t="s">
        <v>103</v>
      </c>
      <c r="N800" t="s">
        <v>74</v>
      </c>
      <c r="O800" t="s">
        <v>104</v>
      </c>
      <c r="P800" t="s">
        <v>71</v>
      </c>
      <c r="Q800" t="s">
        <v>71</v>
      </c>
      <c r="R800" t="s">
        <v>71</v>
      </c>
      <c r="S800">
        <v>1</v>
      </c>
      <c r="T800">
        <v>1</v>
      </c>
      <c r="U800" t="s">
        <v>72</v>
      </c>
      <c r="V800" t="s">
        <v>192</v>
      </c>
      <c r="W800">
        <v>0</v>
      </c>
      <c r="X800">
        <v>0</v>
      </c>
      <c r="Y800">
        <v>0</v>
      </c>
      <c r="Z800">
        <v>0</v>
      </c>
      <c r="AA800">
        <v>0</v>
      </c>
      <c r="AB800">
        <v>0</v>
      </c>
      <c r="AC800">
        <v>0</v>
      </c>
      <c r="AD800">
        <v>0</v>
      </c>
      <c r="AE800">
        <v>0</v>
      </c>
      <c r="AF800">
        <v>0</v>
      </c>
      <c r="AG800" t="s">
        <v>71</v>
      </c>
      <c r="AH800">
        <v>0</v>
      </c>
      <c r="AI800">
        <v>0</v>
      </c>
      <c r="AJ800">
        <v>0</v>
      </c>
      <c r="AK800">
        <v>0</v>
      </c>
      <c r="AL800" t="s">
        <v>450</v>
      </c>
      <c r="AM800" t="s">
        <v>491</v>
      </c>
      <c r="AN800" t="s">
        <v>148</v>
      </c>
      <c r="AO800" t="s">
        <v>147</v>
      </c>
      <c r="AP800">
        <v>0</v>
      </c>
      <c r="AQ800">
        <v>0</v>
      </c>
      <c r="AR800">
        <v>0</v>
      </c>
      <c r="AS800">
        <v>0</v>
      </c>
      <c r="AT800">
        <v>0</v>
      </c>
      <c r="AU800">
        <v>0</v>
      </c>
      <c r="AV800">
        <v>0</v>
      </c>
      <c r="AW800">
        <v>0</v>
      </c>
      <c r="AX800">
        <v>0</v>
      </c>
      <c r="AY800">
        <v>0</v>
      </c>
    </row>
    <row r="801" spans="1:51" x14ac:dyDescent="0.25">
      <c r="A801">
        <v>202</v>
      </c>
      <c r="B801">
        <v>10080</v>
      </c>
      <c r="C801" t="s">
        <v>735</v>
      </c>
      <c r="D801" t="s">
        <v>96</v>
      </c>
      <c r="E801" t="s">
        <v>100</v>
      </c>
      <c r="F801" t="s">
        <v>107</v>
      </c>
      <c r="G801" t="s">
        <v>77</v>
      </c>
      <c r="H801" t="s">
        <v>78</v>
      </c>
      <c r="I801" t="s">
        <v>79</v>
      </c>
      <c r="J801" t="s">
        <v>150</v>
      </c>
      <c r="K801" t="s">
        <v>75</v>
      </c>
      <c r="L801" t="s">
        <v>76</v>
      </c>
      <c r="M801" t="s">
        <v>103</v>
      </c>
      <c r="N801" t="s">
        <v>74</v>
      </c>
      <c r="O801" t="s">
        <v>104</v>
      </c>
      <c r="P801" t="s">
        <v>299</v>
      </c>
      <c r="Q801" t="s">
        <v>299</v>
      </c>
      <c r="R801" t="s">
        <v>299</v>
      </c>
      <c r="S801">
        <v>1</v>
      </c>
      <c r="T801">
        <v>1</v>
      </c>
      <c r="U801" t="s">
        <v>72</v>
      </c>
      <c r="V801" t="s">
        <v>192</v>
      </c>
      <c r="W801">
        <v>0</v>
      </c>
      <c r="X801">
        <v>0</v>
      </c>
      <c r="Y801">
        <v>0</v>
      </c>
      <c r="Z801">
        <v>0</v>
      </c>
      <c r="AA801">
        <v>0</v>
      </c>
      <c r="AB801">
        <v>0</v>
      </c>
      <c r="AC801">
        <v>0</v>
      </c>
      <c r="AD801">
        <v>0</v>
      </c>
      <c r="AE801">
        <v>0</v>
      </c>
      <c r="AF801">
        <v>0</v>
      </c>
      <c r="AG801" t="s">
        <v>71</v>
      </c>
      <c r="AH801">
        <v>0</v>
      </c>
      <c r="AI801">
        <v>0</v>
      </c>
      <c r="AJ801">
        <v>0</v>
      </c>
      <c r="AK801">
        <v>0</v>
      </c>
      <c r="AL801" t="s">
        <v>450</v>
      </c>
      <c r="AM801" t="s">
        <v>491</v>
      </c>
      <c r="AN801" t="s">
        <v>148</v>
      </c>
      <c r="AO801" t="s">
        <v>147</v>
      </c>
      <c r="AP801">
        <v>0</v>
      </c>
      <c r="AQ801">
        <v>0</v>
      </c>
      <c r="AR801">
        <v>0</v>
      </c>
      <c r="AS801">
        <v>0</v>
      </c>
      <c r="AT801">
        <v>0</v>
      </c>
      <c r="AU801">
        <v>0</v>
      </c>
      <c r="AV801">
        <v>0</v>
      </c>
      <c r="AW801">
        <v>0</v>
      </c>
      <c r="AX801">
        <v>0</v>
      </c>
      <c r="AY801">
        <v>0</v>
      </c>
    </row>
    <row r="802" spans="1:51" x14ac:dyDescent="0.25">
      <c r="A802">
        <v>176</v>
      </c>
      <c r="B802">
        <v>10090</v>
      </c>
      <c r="C802" t="s">
        <v>735</v>
      </c>
      <c r="D802" t="s">
        <v>96</v>
      </c>
      <c r="E802" t="s">
        <v>100</v>
      </c>
      <c r="F802" t="s">
        <v>98</v>
      </c>
      <c r="G802" t="s">
        <v>77</v>
      </c>
      <c r="H802" t="s">
        <v>180</v>
      </c>
      <c r="I802" t="s">
        <v>79</v>
      </c>
      <c r="J802" t="s">
        <v>150</v>
      </c>
      <c r="K802" t="s">
        <v>75</v>
      </c>
      <c r="L802" t="s">
        <v>76</v>
      </c>
      <c r="M802" t="s">
        <v>103</v>
      </c>
      <c r="N802" t="s">
        <v>74</v>
      </c>
      <c r="O802" t="s">
        <v>104</v>
      </c>
      <c r="P802" t="s">
        <v>110</v>
      </c>
      <c r="Q802" t="s">
        <v>71</v>
      </c>
      <c r="R802" t="s">
        <v>71</v>
      </c>
      <c r="S802">
        <v>1</v>
      </c>
      <c r="T802">
        <v>1</v>
      </c>
      <c r="U802" t="s">
        <v>72</v>
      </c>
      <c r="V802" t="s">
        <v>192</v>
      </c>
      <c r="W802">
        <v>0</v>
      </c>
      <c r="X802">
        <v>0</v>
      </c>
      <c r="Y802">
        <v>0</v>
      </c>
      <c r="Z802">
        <v>0</v>
      </c>
      <c r="AA802">
        <v>0</v>
      </c>
      <c r="AB802">
        <v>0</v>
      </c>
      <c r="AC802">
        <v>0</v>
      </c>
      <c r="AD802">
        <v>0</v>
      </c>
      <c r="AE802">
        <v>0</v>
      </c>
      <c r="AF802">
        <v>0</v>
      </c>
      <c r="AG802" t="s">
        <v>71</v>
      </c>
      <c r="AH802">
        <v>0</v>
      </c>
      <c r="AI802">
        <v>0</v>
      </c>
      <c r="AJ802">
        <v>0</v>
      </c>
      <c r="AK802">
        <v>0</v>
      </c>
      <c r="AL802" t="s">
        <v>450</v>
      </c>
      <c r="AM802" t="s">
        <v>491</v>
      </c>
      <c r="AN802" t="s">
        <v>148</v>
      </c>
      <c r="AO802" t="s">
        <v>147</v>
      </c>
      <c r="AP802">
        <v>0</v>
      </c>
      <c r="AQ802">
        <v>4</v>
      </c>
      <c r="AR802">
        <v>0</v>
      </c>
      <c r="AS802">
        <v>0</v>
      </c>
      <c r="AT802">
        <v>0</v>
      </c>
      <c r="AU802">
        <v>0</v>
      </c>
      <c r="AV802">
        <v>0</v>
      </c>
      <c r="AW802">
        <v>0</v>
      </c>
      <c r="AX802">
        <v>0</v>
      </c>
      <c r="AY802">
        <v>0</v>
      </c>
    </row>
    <row r="803" spans="1:51" x14ac:dyDescent="0.25">
      <c r="A803">
        <v>177</v>
      </c>
      <c r="B803">
        <v>10100</v>
      </c>
      <c r="C803" t="s">
        <v>735</v>
      </c>
      <c r="D803" t="s">
        <v>96</v>
      </c>
      <c r="E803" t="s">
        <v>100</v>
      </c>
      <c r="F803" t="s">
        <v>98</v>
      </c>
      <c r="G803" t="s">
        <v>77</v>
      </c>
      <c r="H803" t="s">
        <v>181</v>
      </c>
      <c r="I803" t="s">
        <v>79</v>
      </c>
      <c r="J803" t="s">
        <v>150</v>
      </c>
      <c r="K803" t="s">
        <v>75</v>
      </c>
      <c r="L803" t="s">
        <v>76</v>
      </c>
      <c r="M803" t="s">
        <v>103</v>
      </c>
      <c r="N803" t="s">
        <v>74</v>
      </c>
      <c r="O803" t="s">
        <v>104</v>
      </c>
      <c r="P803" t="s">
        <v>110</v>
      </c>
      <c r="Q803" t="s">
        <v>71</v>
      </c>
      <c r="R803" t="s">
        <v>71</v>
      </c>
      <c r="S803">
        <v>1</v>
      </c>
      <c r="T803">
        <v>1</v>
      </c>
      <c r="U803" t="s">
        <v>282</v>
      </c>
      <c r="V803" t="s">
        <v>192</v>
      </c>
      <c r="W803">
        <v>0</v>
      </c>
      <c r="X803">
        <v>0</v>
      </c>
      <c r="Y803">
        <v>0</v>
      </c>
      <c r="Z803">
        <v>0</v>
      </c>
      <c r="AA803">
        <v>0</v>
      </c>
      <c r="AB803">
        <v>0</v>
      </c>
      <c r="AC803">
        <v>0</v>
      </c>
      <c r="AD803">
        <v>0</v>
      </c>
      <c r="AE803">
        <v>0</v>
      </c>
      <c r="AF803">
        <v>0</v>
      </c>
      <c r="AG803" t="s">
        <v>71</v>
      </c>
      <c r="AH803">
        <v>0</v>
      </c>
      <c r="AI803">
        <v>0</v>
      </c>
      <c r="AJ803">
        <v>0</v>
      </c>
      <c r="AK803">
        <v>0</v>
      </c>
      <c r="AL803" t="s">
        <v>450</v>
      </c>
      <c r="AM803" t="s">
        <v>491</v>
      </c>
      <c r="AN803" t="s">
        <v>148</v>
      </c>
      <c r="AO803" t="s">
        <v>147</v>
      </c>
      <c r="AP803">
        <v>0</v>
      </c>
      <c r="AQ803">
        <v>4</v>
      </c>
      <c r="AR803">
        <v>0</v>
      </c>
      <c r="AS803">
        <v>0</v>
      </c>
      <c r="AT803">
        <v>0</v>
      </c>
      <c r="AU803">
        <v>0</v>
      </c>
      <c r="AV803">
        <v>0</v>
      </c>
      <c r="AW803">
        <v>0</v>
      </c>
      <c r="AX803">
        <v>0</v>
      </c>
      <c r="AY803">
        <v>0</v>
      </c>
    </row>
    <row r="804" spans="1:51" x14ac:dyDescent="0.25">
      <c r="A804">
        <v>178</v>
      </c>
      <c r="B804">
        <v>10110</v>
      </c>
      <c r="C804" t="s">
        <v>735</v>
      </c>
      <c r="D804" t="s">
        <v>96</v>
      </c>
      <c r="E804" t="s">
        <v>100</v>
      </c>
      <c r="F804" t="s">
        <v>107</v>
      </c>
      <c r="G804" t="s">
        <v>77</v>
      </c>
      <c r="H804" t="s">
        <v>182</v>
      </c>
      <c r="I804" t="s">
        <v>79</v>
      </c>
      <c r="J804" t="s">
        <v>150</v>
      </c>
      <c r="K804" t="s">
        <v>75</v>
      </c>
      <c r="L804" t="s">
        <v>76</v>
      </c>
      <c r="M804" t="s">
        <v>103</v>
      </c>
      <c r="N804" t="s">
        <v>74</v>
      </c>
      <c r="O804" t="s">
        <v>104</v>
      </c>
      <c r="P804" t="s">
        <v>110</v>
      </c>
      <c r="Q804" t="s">
        <v>71</v>
      </c>
      <c r="R804" t="s">
        <v>71</v>
      </c>
      <c r="S804">
        <v>1</v>
      </c>
      <c r="T804">
        <v>1</v>
      </c>
      <c r="U804" t="s">
        <v>72</v>
      </c>
      <c r="V804" t="s">
        <v>192</v>
      </c>
      <c r="W804">
        <v>0</v>
      </c>
      <c r="X804">
        <v>0</v>
      </c>
      <c r="Y804">
        <v>0</v>
      </c>
      <c r="Z804">
        <v>0</v>
      </c>
      <c r="AA804">
        <v>0</v>
      </c>
      <c r="AB804">
        <v>0</v>
      </c>
      <c r="AC804">
        <v>0</v>
      </c>
      <c r="AD804">
        <v>0</v>
      </c>
      <c r="AE804">
        <v>0</v>
      </c>
      <c r="AF804">
        <v>0</v>
      </c>
      <c r="AG804" t="s">
        <v>71</v>
      </c>
      <c r="AH804">
        <v>0</v>
      </c>
      <c r="AI804">
        <v>0</v>
      </c>
      <c r="AJ804">
        <v>0</v>
      </c>
      <c r="AK804">
        <v>0</v>
      </c>
      <c r="AL804" t="s">
        <v>450</v>
      </c>
      <c r="AM804" t="s">
        <v>491</v>
      </c>
      <c r="AN804" t="s">
        <v>148</v>
      </c>
      <c r="AO804" t="s">
        <v>147</v>
      </c>
      <c r="AP804">
        <v>0</v>
      </c>
      <c r="AQ804">
        <v>4</v>
      </c>
      <c r="AR804">
        <v>0</v>
      </c>
      <c r="AS804">
        <v>0</v>
      </c>
      <c r="AT804">
        <v>0</v>
      </c>
      <c r="AU804">
        <v>0</v>
      </c>
      <c r="AV804">
        <v>0</v>
      </c>
      <c r="AW804">
        <v>0</v>
      </c>
      <c r="AX804">
        <v>0</v>
      </c>
      <c r="AY804">
        <v>0</v>
      </c>
    </row>
    <row r="805" spans="1:51" x14ac:dyDescent="0.25">
      <c r="A805">
        <v>179</v>
      </c>
      <c r="B805">
        <v>10120</v>
      </c>
      <c r="C805" t="s">
        <v>735</v>
      </c>
      <c r="D805" t="s">
        <v>96</v>
      </c>
      <c r="E805" t="s">
        <v>100</v>
      </c>
      <c r="F805" t="s">
        <v>107</v>
      </c>
      <c r="G805" t="s">
        <v>101</v>
      </c>
      <c r="H805" t="s">
        <v>78</v>
      </c>
      <c r="I805" t="s">
        <v>79</v>
      </c>
      <c r="J805" t="s">
        <v>150</v>
      </c>
      <c r="K805" t="s">
        <v>75</v>
      </c>
      <c r="L805" t="s">
        <v>76</v>
      </c>
      <c r="M805" t="s">
        <v>103</v>
      </c>
      <c r="N805" t="s">
        <v>74</v>
      </c>
      <c r="O805" t="s">
        <v>104</v>
      </c>
      <c r="P805" t="s">
        <v>110</v>
      </c>
      <c r="Q805" t="s">
        <v>71</v>
      </c>
      <c r="R805" t="s">
        <v>71</v>
      </c>
      <c r="S805">
        <v>1</v>
      </c>
      <c r="T805">
        <v>1</v>
      </c>
      <c r="U805" t="s">
        <v>72</v>
      </c>
      <c r="V805" t="s">
        <v>192</v>
      </c>
      <c r="W805">
        <v>0</v>
      </c>
      <c r="X805">
        <v>0</v>
      </c>
      <c r="Y805">
        <v>0</v>
      </c>
      <c r="Z805">
        <v>0</v>
      </c>
      <c r="AA805">
        <v>0</v>
      </c>
      <c r="AB805">
        <v>0</v>
      </c>
      <c r="AC805">
        <v>0</v>
      </c>
      <c r="AD805">
        <v>0</v>
      </c>
      <c r="AE805">
        <v>0</v>
      </c>
      <c r="AF805">
        <v>0</v>
      </c>
      <c r="AG805" t="s">
        <v>71</v>
      </c>
      <c r="AH805">
        <v>0</v>
      </c>
      <c r="AI805">
        <v>0</v>
      </c>
      <c r="AJ805">
        <v>0</v>
      </c>
      <c r="AK805">
        <v>0</v>
      </c>
      <c r="AL805" t="s">
        <v>450</v>
      </c>
      <c r="AM805" t="s">
        <v>491</v>
      </c>
      <c r="AN805" t="s">
        <v>148</v>
      </c>
      <c r="AO805" t="s">
        <v>147</v>
      </c>
      <c r="AP805">
        <v>0</v>
      </c>
      <c r="AQ805">
        <v>2</v>
      </c>
      <c r="AR805">
        <v>0</v>
      </c>
      <c r="AS805">
        <v>0</v>
      </c>
      <c r="AT805">
        <v>0</v>
      </c>
      <c r="AU805">
        <v>0</v>
      </c>
      <c r="AV805">
        <v>0</v>
      </c>
      <c r="AW805">
        <v>0</v>
      </c>
      <c r="AX805">
        <v>0</v>
      </c>
      <c r="AY805">
        <v>0</v>
      </c>
    </row>
    <row r="806" spans="1:51" x14ac:dyDescent="0.25">
      <c r="A806">
        <v>180</v>
      </c>
      <c r="B806">
        <v>10130</v>
      </c>
      <c r="C806" t="s">
        <v>735</v>
      </c>
      <c r="D806" t="s">
        <v>96</v>
      </c>
      <c r="E806" t="s">
        <v>100</v>
      </c>
      <c r="F806" t="s">
        <v>112</v>
      </c>
      <c r="G806" t="s">
        <v>184</v>
      </c>
      <c r="H806" t="s">
        <v>78</v>
      </c>
      <c r="I806" t="s">
        <v>79</v>
      </c>
      <c r="J806" t="s">
        <v>150</v>
      </c>
      <c r="K806" t="s">
        <v>75</v>
      </c>
      <c r="L806" t="s">
        <v>76</v>
      </c>
      <c r="M806" t="s">
        <v>103</v>
      </c>
      <c r="N806" t="s">
        <v>74</v>
      </c>
      <c r="O806" t="s">
        <v>104</v>
      </c>
      <c r="P806" t="s">
        <v>110</v>
      </c>
      <c r="Q806" t="s">
        <v>71</v>
      </c>
      <c r="R806" t="s">
        <v>71</v>
      </c>
      <c r="S806">
        <v>1</v>
      </c>
      <c r="T806">
        <v>1</v>
      </c>
      <c r="U806" t="s">
        <v>283</v>
      </c>
      <c r="V806" t="s">
        <v>192</v>
      </c>
      <c r="W806">
        <v>0</v>
      </c>
      <c r="X806">
        <v>0</v>
      </c>
      <c r="Y806">
        <v>0</v>
      </c>
      <c r="Z806">
        <v>0</v>
      </c>
      <c r="AA806">
        <v>0</v>
      </c>
      <c r="AB806">
        <v>0</v>
      </c>
      <c r="AC806">
        <v>0</v>
      </c>
      <c r="AD806">
        <v>0</v>
      </c>
      <c r="AE806">
        <v>0</v>
      </c>
      <c r="AF806">
        <v>0</v>
      </c>
      <c r="AG806" t="s">
        <v>71</v>
      </c>
      <c r="AH806">
        <v>0</v>
      </c>
      <c r="AI806">
        <v>0</v>
      </c>
      <c r="AJ806">
        <v>0</v>
      </c>
      <c r="AK806">
        <v>0</v>
      </c>
      <c r="AL806" t="s">
        <v>450</v>
      </c>
      <c r="AM806" t="s">
        <v>491</v>
      </c>
      <c r="AN806" t="s">
        <v>148</v>
      </c>
      <c r="AO806" t="s">
        <v>147</v>
      </c>
      <c r="AP806">
        <v>0</v>
      </c>
      <c r="AQ806">
        <v>2</v>
      </c>
      <c r="AR806">
        <v>0</v>
      </c>
      <c r="AS806">
        <v>0</v>
      </c>
      <c r="AT806">
        <v>0</v>
      </c>
      <c r="AU806">
        <v>0</v>
      </c>
      <c r="AV806">
        <v>0</v>
      </c>
      <c r="AW806">
        <v>0</v>
      </c>
      <c r="AX806">
        <v>0</v>
      </c>
      <c r="AY806">
        <v>0</v>
      </c>
    </row>
    <row r="807" spans="1:51" x14ac:dyDescent="0.25">
      <c r="A807">
        <v>181</v>
      </c>
      <c r="B807">
        <v>10140</v>
      </c>
      <c r="C807" t="s">
        <v>735</v>
      </c>
      <c r="D807" t="s">
        <v>96</v>
      </c>
      <c r="E807" t="s">
        <v>100</v>
      </c>
      <c r="F807" t="s">
        <v>107</v>
      </c>
      <c r="G807" t="s">
        <v>185</v>
      </c>
      <c r="H807" t="s">
        <v>78</v>
      </c>
      <c r="I807" t="s">
        <v>79</v>
      </c>
      <c r="J807" t="s">
        <v>150</v>
      </c>
      <c r="K807" t="s">
        <v>75</v>
      </c>
      <c r="L807" t="s">
        <v>76</v>
      </c>
      <c r="M807" t="s">
        <v>103</v>
      </c>
      <c r="N807" t="s">
        <v>74</v>
      </c>
      <c r="O807" t="s">
        <v>104</v>
      </c>
      <c r="P807" t="s">
        <v>110</v>
      </c>
      <c r="Q807" t="s">
        <v>71</v>
      </c>
      <c r="R807" t="s">
        <v>71</v>
      </c>
      <c r="S807">
        <v>1</v>
      </c>
      <c r="T807">
        <v>1</v>
      </c>
      <c r="U807" t="s">
        <v>283</v>
      </c>
      <c r="V807" t="s">
        <v>192</v>
      </c>
      <c r="W807">
        <v>0</v>
      </c>
      <c r="X807">
        <v>0</v>
      </c>
      <c r="Y807">
        <v>0</v>
      </c>
      <c r="Z807">
        <v>0</v>
      </c>
      <c r="AA807">
        <v>0</v>
      </c>
      <c r="AB807">
        <v>0</v>
      </c>
      <c r="AC807">
        <v>0</v>
      </c>
      <c r="AD807">
        <v>0</v>
      </c>
      <c r="AE807">
        <v>0</v>
      </c>
      <c r="AF807">
        <v>0</v>
      </c>
      <c r="AG807" t="s">
        <v>71</v>
      </c>
      <c r="AH807">
        <v>0</v>
      </c>
      <c r="AI807">
        <v>0</v>
      </c>
      <c r="AJ807">
        <v>0</v>
      </c>
      <c r="AK807">
        <v>0</v>
      </c>
      <c r="AL807" t="s">
        <v>450</v>
      </c>
      <c r="AM807" t="s">
        <v>491</v>
      </c>
      <c r="AN807" t="s">
        <v>148</v>
      </c>
      <c r="AO807" t="s">
        <v>147</v>
      </c>
      <c r="AP807">
        <v>0</v>
      </c>
      <c r="AQ807">
        <v>2</v>
      </c>
      <c r="AR807">
        <v>0</v>
      </c>
      <c r="AS807">
        <v>0</v>
      </c>
      <c r="AT807">
        <v>0</v>
      </c>
      <c r="AU807">
        <v>0</v>
      </c>
      <c r="AV807">
        <v>0</v>
      </c>
      <c r="AW807">
        <v>0</v>
      </c>
      <c r="AX807">
        <v>0</v>
      </c>
      <c r="AY807">
        <v>0</v>
      </c>
    </row>
    <row r="808" spans="1:51" x14ac:dyDescent="0.25">
      <c r="A808">
        <v>182</v>
      </c>
      <c r="B808">
        <v>10150</v>
      </c>
      <c r="C808" t="s">
        <v>735</v>
      </c>
      <c r="D808" t="s">
        <v>96</v>
      </c>
      <c r="E808" t="s">
        <v>100</v>
      </c>
      <c r="F808" t="s">
        <v>98</v>
      </c>
      <c r="G808" t="s">
        <v>77</v>
      </c>
      <c r="H808" t="s">
        <v>78</v>
      </c>
      <c r="I808" t="s">
        <v>79</v>
      </c>
      <c r="J808" t="s">
        <v>150</v>
      </c>
      <c r="K808" t="s">
        <v>75</v>
      </c>
      <c r="L808" t="s">
        <v>76</v>
      </c>
      <c r="M808" t="s">
        <v>103</v>
      </c>
      <c r="N808" t="s">
        <v>74</v>
      </c>
      <c r="O808" t="s">
        <v>104</v>
      </c>
      <c r="P808" t="s">
        <v>110</v>
      </c>
      <c r="Q808" t="s">
        <v>110</v>
      </c>
      <c r="R808" t="s">
        <v>110</v>
      </c>
      <c r="S808">
        <v>1</v>
      </c>
      <c r="T808">
        <v>1</v>
      </c>
      <c r="U808" t="s">
        <v>283</v>
      </c>
      <c r="V808" t="s">
        <v>188</v>
      </c>
      <c r="W808">
        <v>0</v>
      </c>
      <c r="X808">
        <v>0</v>
      </c>
      <c r="Y808">
        <v>1</v>
      </c>
      <c r="Z808">
        <v>25</v>
      </c>
      <c r="AA808">
        <v>1</v>
      </c>
      <c r="AB808">
        <v>25</v>
      </c>
      <c r="AC808">
        <v>1</v>
      </c>
      <c r="AD808">
        <v>25</v>
      </c>
      <c r="AE808">
        <v>0</v>
      </c>
      <c r="AF808">
        <v>0</v>
      </c>
      <c r="AG808" t="s">
        <v>71</v>
      </c>
      <c r="AH808">
        <v>0</v>
      </c>
      <c r="AI808">
        <v>0</v>
      </c>
      <c r="AJ808">
        <v>0</v>
      </c>
      <c r="AK808">
        <v>0</v>
      </c>
      <c r="AL808" t="s">
        <v>450</v>
      </c>
      <c r="AM808" t="s">
        <v>491</v>
      </c>
      <c r="AN808" t="s">
        <v>148</v>
      </c>
      <c r="AO808" t="s">
        <v>147</v>
      </c>
      <c r="AP808">
        <v>0</v>
      </c>
      <c r="AQ808">
        <v>1</v>
      </c>
      <c r="AR808">
        <v>0</v>
      </c>
      <c r="AS808">
        <v>0</v>
      </c>
      <c r="AT808">
        <v>0</v>
      </c>
      <c r="AU808">
        <v>0</v>
      </c>
      <c r="AV808">
        <v>0</v>
      </c>
      <c r="AW808">
        <v>0</v>
      </c>
      <c r="AX808">
        <v>0</v>
      </c>
      <c r="AY808">
        <v>0</v>
      </c>
    </row>
    <row r="809" spans="1:51" x14ac:dyDescent="0.25">
      <c r="A809">
        <v>183</v>
      </c>
      <c r="B809">
        <v>10160</v>
      </c>
      <c r="C809" t="s">
        <v>735</v>
      </c>
      <c r="D809" t="s">
        <v>96</v>
      </c>
      <c r="E809" t="s">
        <v>100</v>
      </c>
      <c r="F809" t="s">
        <v>107</v>
      </c>
      <c r="G809" t="s">
        <v>77</v>
      </c>
      <c r="H809" t="s">
        <v>78</v>
      </c>
      <c r="I809" t="s">
        <v>79</v>
      </c>
      <c r="J809" t="s">
        <v>150</v>
      </c>
      <c r="K809" t="s">
        <v>75</v>
      </c>
      <c r="L809" t="s">
        <v>76</v>
      </c>
      <c r="M809" t="s">
        <v>103</v>
      </c>
      <c r="N809" t="s">
        <v>74</v>
      </c>
      <c r="O809" t="s">
        <v>104</v>
      </c>
      <c r="P809" t="s">
        <v>71</v>
      </c>
      <c r="Q809" t="s">
        <v>71</v>
      </c>
      <c r="R809" t="s">
        <v>71</v>
      </c>
      <c r="S809">
        <v>1</v>
      </c>
      <c r="T809">
        <v>1</v>
      </c>
      <c r="U809" t="s">
        <v>72</v>
      </c>
      <c r="V809" t="s">
        <v>188</v>
      </c>
      <c r="W809">
        <v>0</v>
      </c>
      <c r="X809">
        <v>0</v>
      </c>
      <c r="Y809">
        <v>0</v>
      </c>
      <c r="Z809">
        <v>0</v>
      </c>
      <c r="AA809">
        <v>0</v>
      </c>
      <c r="AB809">
        <v>0</v>
      </c>
      <c r="AC809">
        <v>0</v>
      </c>
      <c r="AD809">
        <v>0</v>
      </c>
      <c r="AE809">
        <v>0</v>
      </c>
      <c r="AF809">
        <v>0</v>
      </c>
      <c r="AG809" t="s">
        <v>71</v>
      </c>
      <c r="AH809">
        <v>0</v>
      </c>
      <c r="AI809">
        <v>0</v>
      </c>
      <c r="AJ809">
        <v>0</v>
      </c>
      <c r="AK809">
        <v>0</v>
      </c>
      <c r="AL809" t="s">
        <v>450</v>
      </c>
      <c r="AM809" t="s">
        <v>491</v>
      </c>
      <c r="AN809" t="s">
        <v>148</v>
      </c>
      <c r="AO809" t="s">
        <v>147</v>
      </c>
      <c r="AP809">
        <v>0</v>
      </c>
      <c r="AQ809">
        <v>128</v>
      </c>
      <c r="AR809">
        <v>0</v>
      </c>
      <c r="AS809">
        <v>0</v>
      </c>
      <c r="AT809">
        <v>0</v>
      </c>
      <c r="AU809">
        <v>0</v>
      </c>
      <c r="AV809">
        <v>0</v>
      </c>
      <c r="AW809">
        <v>0</v>
      </c>
      <c r="AX809">
        <v>0</v>
      </c>
      <c r="AY809">
        <v>0</v>
      </c>
    </row>
    <row r="810" spans="1:51" x14ac:dyDescent="0.25">
      <c r="A810">
        <v>184</v>
      </c>
      <c r="B810">
        <v>10170</v>
      </c>
      <c r="C810" t="s">
        <v>735</v>
      </c>
      <c r="D810" t="s">
        <v>96</v>
      </c>
      <c r="E810" t="s">
        <v>100</v>
      </c>
      <c r="F810" t="s">
        <v>107</v>
      </c>
      <c r="G810" t="s">
        <v>77</v>
      </c>
      <c r="H810" t="s">
        <v>78</v>
      </c>
      <c r="I810" t="s">
        <v>79</v>
      </c>
      <c r="J810" t="s">
        <v>150</v>
      </c>
      <c r="K810" t="s">
        <v>75</v>
      </c>
      <c r="L810" t="s">
        <v>76</v>
      </c>
      <c r="M810" t="s">
        <v>103</v>
      </c>
      <c r="N810" t="s">
        <v>74</v>
      </c>
      <c r="O810" t="s">
        <v>104</v>
      </c>
      <c r="P810" t="s">
        <v>299</v>
      </c>
      <c r="Q810" t="s">
        <v>299</v>
      </c>
      <c r="R810" t="s">
        <v>299</v>
      </c>
      <c r="S810">
        <v>1</v>
      </c>
      <c r="T810">
        <v>1</v>
      </c>
      <c r="U810" t="s">
        <v>72</v>
      </c>
      <c r="V810" t="s">
        <v>192</v>
      </c>
      <c r="W810">
        <v>0</v>
      </c>
      <c r="X810">
        <v>0</v>
      </c>
      <c r="Y810">
        <v>0</v>
      </c>
      <c r="Z810">
        <v>0</v>
      </c>
      <c r="AA810">
        <v>0</v>
      </c>
      <c r="AB810">
        <v>0</v>
      </c>
      <c r="AC810">
        <v>0</v>
      </c>
      <c r="AD810">
        <v>0</v>
      </c>
      <c r="AE810">
        <v>0</v>
      </c>
      <c r="AF810">
        <v>0</v>
      </c>
      <c r="AG810" t="s">
        <v>71</v>
      </c>
      <c r="AH810">
        <v>0</v>
      </c>
      <c r="AI810">
        <v>0</v>
      </c>
      <c r="AJ810">
        <v>0</v>
      </c>
      <c r="AK810">
        <v>0</v>
      </c>
      <c r="AL810" t="s">
        <v>450</v>
      </c>
      <c r="AM810" t="s">
        <v>491</v>
      </c>
      <c r="AN810" t="s">
        <v>148</v>
      </c>
      <c r="AO810" t="s">
        <v>147</v>
      </c>
      <c r="AP810">
        <v>0</v>
      </c>
      <c r="AQ810">
        <v>128</v>
      </c>
      <c r="AR810">
        <v>0</v>
      </c>
      <c r="AS810">
        <v>0</v>
      </c>
      <c r="AT810">
        <v>0</v>
      </c>
      <c r="AU810">
        <v>0</v>
      </c>
      <c r="AV810">
        <v>0</v>
      </c>
      <c r="AW810">
        <v>0</v>
      </c>
      <c r="AX810">
        <v>0</v>
      </c>
      <c r="AY810">
        <v>0</v>
      </c>
    </row>
    <row r="811" spans="1:51" x14ac:dyDescent="0.25">
      <c r="A811">
        <v>185</v>
      </c>
      <c r="B811">
        <v>10180</v>
      </c>
      <c r="C811" t="s">
        <v>735</v>
      </c>
      <c r="D811" t="s">
        <v>96</v>
      </c>
      <c r="E811" t="s">
        <v>100</v>
      </c>
      <c r="F811" t="s">
        <v>107</v>
      </c>
      <c r="G811" t="s">
        <v>101</v>
      </c>
      <c r="H811" t="s">
        <v>78</v>
      </c>
      <c r="I811" t="s">
        <v>79</v>
      </c>
      <c r="J811" t="s">
        <v>150</v>
      </c>
      <c r="K811" t="s">
        <v>75</v>
      </c>
      <c r="L811" t="s">
        <v>76</v>
      </c>
      <c r="M811" t="s">
        <v>103</v>
      </c>
      <c r="N811" t="s">
        <v>74</v>
      </c>
      <c r="O811" t="s">
        <v>104</v>
      </c>
      <c r="P811" t="s">
        <v>110</v>
      </c>
      <c r="Q811" t="s">
        <v>71</v>
      </c>
      <c r="R811" t="s">
        <v>71</v>
      </c>
      <c r="S811">
        <v>1</v>
      </c>
      <c r="T811">
        <v>1</v>
      </c>
      <c r="U811" t="s">
        <v>72</v>
      </c>
      <c r="V811" t="s">
        <v>192</v>
      </c>
      <c r="W811">
        <v>0</v>
      </c>
      <c r="X811">
        <v>0</v>
      </c>
      <c r="Y811">
        <v>1</v>
      </c>
      <c r="Z811">
        <v>25</v>
      </c>
      <c r="AA811">
        <v>1</v>
      </c>
      <c r="AB811">
        <v>25</v>
      </c>
      <c r="AC811">
        <v>1</v>
      </c>
      <c r="AD811">
        <v>25</v>
      </c>
      <c r="AE811">
        <v>0</v>
      </c>
      <c r="AF811">
        <v>0</v>
      </c>
      <c r="AG811" t="s">
        <v>71</v>
      </c>
      <c r="AH811">
        <v>0</v>
      </c>
      <c r="AI811">
        <v>0</v>
      </c>
      <c r="AJ811">
        <v>0</v>
      </c>
      <c r="AK811">
        <v>0</v>
      </c>
      <c r="AL811" t="s">
        <v>450</v>
      </c>
      <c r="AM811" t="s">
        <v>491</v>
      </c>
      <c r="AN811" t="s">
        <v>148</v>
      </c>
      <c r="AO811" t="s">
        <v>147</v>
      </c>
      <c r="AP811">
        <v>0</v>
      </c>
      <c r="AQ811">
        <v>3</v>
      </c>
      <c r="AR811">
        <v>0</v>
      </c>
      <c r="AS811">
        <v>0</v>
      </c>
      <c r="AT811">
        <v>0</v>
      </c>
      <c r="AU811">
        <v>0</v>
      </c>
      <c r="AV811">
        <v>0</v>
      </c>
      <c r="AW811">
        <v>0</v>
      </c>
      <c r="AX811">
        <v>0</v>
      </c>
      <c r="AY811">
        <v>0</v>
      </c>
    </row>
    <row r="812" spans="1:51" x14ac:dyDescent="0.25">
      <c r="A812">
        <v>186</v>
      </c>
      <c r="B812">
        <v>10190</v>
      </c>
      <c r="C812" t="s">
        <v>735</v>
      </c>
      <c r="D812" t="s">
        <v>96</v>
      </c>
      <c r="E812" t="s">
        <v>100</v>
      </c>
      <c r="F812" t="s">
        <v>107</v>
      </c>
      <c r="G812" t="s">
        <v>77</v>
      </c>
      <c r="H812" t="s">
        <v>180</v>
      </c>
      <c r="I812" t="s">
        <v>79</v>
      </c>
      <c r="J812" t="s">
        <v>150</v>
      </c>
      <c r="K812" t="s">
        <v>75</v>
      </c>
      <c r="L812" t="s">
        <v>76</v>
      </c>
      <c r="M812" t="s">
        <v>103</v>
      </c>
      <c r="N812" t="s">
        <v>74</v>
      </c>
      <c r="O812" t="s">
        <v>104</v>
      </c>
      <c r="P812" t="s">
        <v>110</v>
      </c>
      <c r="Q812" t="s">
        <v>71</v>
      </c>
      <c r="R812" t="s">
        <v>71</v>
      </c>
      <c r="S812">
        <v>1</v>
      </c>
      <c r="T812">
        <v>1</v>
      </c>
      <c r="U812" t="s">
        <v>72</v>
      </c>
      <c r="V812" t="s">
        <v>192</v>
      </c>
      <c r="W812">
        <v>0</v>
      </c>
      <c r="X812">
        <v>0</v>
      </c>
      <c r="Y812">
        <v>0</v>
      </c>
      <c r="Z812">
        <v>0</v>
      </c>
      <c r="AA812">
        <v>0</v>
      </c>
      <c r="AB812">
        <v>0</v>
      </c>
      <c r="AC812">
        <v>0</v>
      </c>
      <c r="AD812">
        <v>0</v>
      </c>
      <c r="AE812">
        <v>0</v>
      </c>
      <c r="AF812">
        <v>0</v>
      </c>
      <c r="AG812" t="s">
        <v>71</v>
      </c>
      <c r="AH812">
        <v>0</v>
      </c>
      <c r="AI812">
        <v>0</v>
      </c>
      <c r="AJ812">
        <v>0</v>
      </c>
      <c r="AK812">
        <v>0</v>
      </c>
      <c r="AL812" t="s">
        <v>450</v>
      </c>
      <c r="AM812" t="s">
        <v>491</v>
      </c>
      <c r="AN812" t="s">
        <v>148</v>
      </c>
      <c r="AO812" t="s">
        <v>147</v>
      </c>
      <c r="AP812">
        <v>0</v>
      </c>
      <c r="AQ812">
        <v>4</v>
      </c>
      <c r="AR812">
        <v>0</v>
      </c>
      <c r="AS812">
        <v>0</v>
      </c>
      <c r="AT812">
        <v>0</v>
      </c>
      <c r="AU812">
        <v>0</v>
      </c>
      <c r="AV812">
        <v>0</v>
      </c>
      <c r="AW812">
        <v>0</v>
      </c>
      <c r="AX812">
        <v>0</v>
      </c>
      <c r="AY812">
        <v>0</v>
      </c>
    </row>
    <row r="813" spans="1:51" x14ac:dyDescent="0.25">
      <c r="A813">
        <v>187</v>
      </c>
      <c r="B813">
        <v>10200</v>
      </c>
      <c r="C813" t="s">
        <v>735</v>
      </c>
      <c r="D813" t="s">
        <v>96</v>
      </c>
      <c r="E813" t="s">
        <v>100</v>
      </c>
      <c r="F813" t="s">
        <v>107</v>
      </c>
      <c r="G813" t="s">
        <v>184</v>
      </c>
      <c r="H813" t="s">
        <v>78</v>
      </c>
      <c r="I813" t="s">
        <v>79</v>
      </c>
      <c r="J813" t="s">
        <v>150</v>
      </c>
      <c r="K813" t="s">
        <v>75</v>
      </c>
      <c r="L813" t="s">
        <v>76</v>
      </c>
      <c r="M813" t="s">
        <v>103</v>
      </c>
      <c r="N813" t="s">
        <v>74</v>
      </c>
      <c r="O813" t="s">
        <v>104</v>
      </c>
      <c r="P813" t="s">
        <v>110</v>
      </c>
      <c r="Q813" t="s">
        <v>71</v>
      </c>
      <c r="R813" t="s">
        <v>71</v>
      </c>
      <c r="S813">
        <v>1</v>
      </c>
      <c r="T813">
        <v>1</v>
      </c>
      <c r="U813" t="s">
        <v>72</v>
      </c>
      <c r="V813" t="s">
        <v>192</v>
      </c>
      <c r="W813">
        <v>0</v>
      </c>
      <c r="X813">
        <v>0</v>
      </c>
      <c r="Y813">
        <v>1</v>
      </c>
      <c r="Z813">
        <v>25</v>
      </c>
      <c r="AA813">
        <v>1</v>
      </c>
      <c r="AB813">
        <v>25</v>
      </c>
      <c r="AC813">
        <v>1</v>
      </c>
      <c r="AD813">
        <v>25</v>
      </c>
      <c r="AE813">
        <v>0</v>
      </c>
      <c r="AF813">
        <v>0</v>
      </c>
      <c r="AG813" t="s">
        <v>71</v>
      </c>
      <c r="AH813">
        <v>0</v>
      </c>
      <c r="AI813">
        <v>0</v>
      </c>
      <c r="AJ813">
        <v>0</v>
      </c>
      <c r="AK813">
        <v>0</v>
      </c>
      <c r="AL813" t="s">
        <v>450</v>
      </c>
      <c r="AM813" t="s">
        <v>491</v>
      </c>
      <c r="AN813" t="s">
        <v>148</v>
      </c>
      <c r="AO813" t="s">
        <v>147</v>
      </c>
      <c r="AP813">
        <v>0</v>
      </c>
      <c r="AQ813">
        <v>3</v>
      </c>
      <c r="AR813">
        <v>0</v>
      </c>
      <c r="AS813">
        <v>0</v>
      </c>
      <c r="AT813">
        <v>0</v>
      </c>
      <c r="AU813">
        <v>0</v>
      </c>
      <c r="AV813">
        <v>0</v>
      </c>
      <c r="AW813">
        <v>0</v>
      </c>
      <c r="AX813">
        <v>0</v>
      </c>
      <c r="AY813">
        <v>0</v>
      </c>
    </row>
    <row r="814" spans="1:51" x14ac:dyDescent="0.25">
      <c r="A814">
        <v>188</v>
      </c>
      <c r="B814">
        <v>10210</v>
      </c>
      <c r="C814" t="s">
        <v>735</v>
      </c>
      <c r="D814" t="s">
        <v>96</v>
      </c>
      <c r="E814" t="s">
        <v>100</v>
      </c>
      <c r="F814" t="s">
        <v>107</v>
      </c>
      <c r="G814" t="s">
        <v>77</v>
      </c>
      <c r="H814" t="s">
        <v>181</v>
      </c>
      <c r="I814" t="s">
        <v>79</v>
      </c>
      <c r="J814" t="s">
        <v>150</v>
      </c>
      <c r="K814" t="s">
        <v>75</v>
      </c>
      <c r="L814" t="s">
        <v>76</v>
      </c>
      <c r="M814" t="s">
        <v>103</v>
      </c>
      <c r="N814" t="s">
        <v>74</v>
      </c>
      <c r="O814" t="s">
        <v>104</v>
      </c>
      <c r="P814" t="s">
        <v>110</v>
      </c>
      <c r="Q814" t="s">
        <v>71</v>
      </c>
      <c r="R814" t="s">
        <v>71</v>
      </c>
      <c r="S814">
        <v>1</v>
      </c>
      <c r="T814">
        <v>1</v>
      </c>
      <c r="U814" t="s">
        <v>72</v>
      </c>
      <c r="V814" t="s">
        <v>192</v>
      </c>
      <c r="W814">
        <v>0</v>
      </c>
      <c r="X814">
        <v>0</v>
      </c>
      <c r="Y814">
        <v>0</v>
      </c>
      <c r="Z814">
        <v>0</v>
      </c>
      <c r="AA814">
        <v>0</v>
      </c>
      <c r="AB814">
        <v>0</v>
      </c>
      <c r="AC814">
        <v>0</v>
      </c>
      <c r="AD814">
        <v>0</v>
      </c>
      <c r="AE814">
        <v>0</v>
      </c>
      <c r="AF814">
        <v>0</v>
      </c>
      <c r="AG814" t="s">
        <v>71</v>
      </c>
      <c r="AH814">
        <v>0</v>
      </c>
      <c r="AI814">
        <v>0</v>
      </c>
      <c r="AJ814">
        <v>0</v>
      </c>
      <c r="AK814">
        <v>0</v>
      </c>
      <c r="AL814" t="s">
        <v>450</v>
      </c>
      <c r="AM814" t="s">
        <v>491</v>
      </c>
      <c r="AN814" t="s">
        <v>148</v>
      </c>
      <c r="AO814" t="s">
        <v>147</v>
      </c>
      <c r="AP814">
        <v>0</v>
      </c>
      <c r="AQ814">
        <v>4</v>
      </c>
      <c r="AR814">
        <v>0</v>
      </c>
      <c r="AS814">
        <v>0</v>
      </c>
      <c r="AT814">
        <v>0</v>
      </c>
      <c r="AU814">
        <v>0</v>
      </c>
      <c r="AV814">
        <v>0</v>
      </c>
      <c r="AW814">
        <v>0</v>
      </c>
      <c r="AX814">
        <v>0</v>
      </c>
      <c r="AY814">
        <v>0</v>
      </c>
    </row>
    <row r="815" spans="1:51" x14ac:dyDescent="0.25">
      <c r="A815">
        <v>189</v>
      </c>
      <c r="B815">
        <v>10220</v>
      </c>
      <c r="C815" t="s">
        <v>735</v>
      </c>
      <c r="D815" t="s">
        <v>96</v>
      </c>
      <c r="E815" t="s">
        <v>100</v>
      </c>
      <c r="F815" t="s">
        <v>107</v>
      </c>
      <c r="G815" t="s">
        <v>185</v>
      </c>
      <c r="H815" t="s">
        <v>78</v>
      </c>
      <c r="I815" t="s">
        <v>79</v>
      </c>
      <c r="J815" t="s">
        <v>150</v>
      </c>
      <c r="K815" t="s">
        <v>75</v>
      </c>
      <c r="L815" t="s">
        <v>76</v>
      </c>
      <c r="M815" t="s">
        <v>103</v>
      </c>
      <c r="N815" t="s">
        <v>74</v>
      </c>
      <c r="O815" t="s">
        <v>104</v>
      </c>
      <c r="P815" t="s">
        <v>110</v>
      </c>
      <c r="Q815" t="s">
        <v>71</v>
      </c>
      <c r="R815" t="s">
        <v>71</v>
      </c>
      <c r="S815">
        <v>1</v>
      </c>
      <c r="T815">
        <v>1</v>
      </c>
      <c r="U815" t="s">
        <v>72</v>
      </c>
      <c r="V815" t="s">
        <v>192</v>
      </c>
      <c r="W815">
        <v>0</v>
      </c>
      <c r="X815">
        <v>0</v>
      </c>
      <c r="Y815">
        <v>1</v>
      </c>
      <c r="Z815">
        <v>25</v>
      </c>
      <c r="AA815">
        <v>1</v>
      </c>
      <c r="AB815">
        <v>25</v>
      </c>
      <c r="AC815">
        <v>1</v>
      </c>
      <c r="AD815">
        <v>25</v>
      </c>
      <c r="AE815">
        <v>0</v>
      </c>
      <c r="AF815">
        <v>0</v>
      </c>
      <c r="AG815" t="s">
        <v>71</v>
      </c>
      <c r="AH815">
        <v>0</v>
      </c>
      <c r="AI815">
        <v>0</v>
      </c>
      <c r="AJ815">
        <v>0</v>
      </c>
      <c r="AK815">
        <v>0</v>
      </c>
      <c r="AL815" t="s">
        <v>450</v>
      </c>
      <c r="AM815" t="s">
        <v>491</v>
      </c>
      <c r="AN815" t="s">
        <v>148</v>
      </c>
      <c r="AO815" t="s">
        <v>147</v>
      </c>
      <c r="AP815">
        <v>0</v>
      </c>
      <c r="AQ815">
        <v>3</v>
      </c>
      <c r="AR815">
        <v>0</v>
      </c>
      <c r="AS815">
        <v>0</v>
      </c>
      <c r="AT815">
        <v>0</v>
      </c>
      <c r="AU815">
        <v>0</v>
      </c>
      <c r="AV815">
        <v>0</v>
      </c>
      <c r="AW815">
        <v>0</v>
      </c>
      <c r="AX815">
        <v>0</v>
      </c>
      <c r="AY815">
        <v>0</v>
      </c>
    </row>
    <row r="816" spans="1:51" x14ac:dyDescent="0.25">
      <c r="A816">
        <v>190</v>
      </c>
      <c r="B816">
        <v>10230</v>
      </c>
      <c r="C816" t="s">
        <v>735</v>
      </c>
      <c r="D816" t="s">
        <v>96</v>
      </c>
      <c r="E816" t="s">
        <v>100</v>
      </c>
      <c r="F816" t="s">
        <v>107</v>
      </c>
      <c r="G816" t="s">
        <v>77</v>
      </c>
      <c r="H816" t="s">
        <v>182</v>
      </c>
      <c r="I816" t="s">
        <v>79</v>
      </c>
      <c r="J816" t="s">
        <v>150</v>
      </c>
      <c r="K816" t="s">
        <v>75</v>
      </c>
      <c r="L816" t="s">
        <v>76</v>
      </c>
      <c r="M816" t="s">
        <v>103</v>
      </c>
      <c r="N816" t="s">
        <v>74</v>
      </c>
      <c r="O816" t="s">
        <v>104</v>
      </c>
      <c r="P816" t="s">
        <v>110</v>
      </c>
      <c r="Q816" t="s">
        <v>71</v>
      </c>
      <c r="R816" t="s">
        <v>71</v>
      </c>
      <c r="S816">
        <v>1</v>
      </c>
      <c r="T816">
        <v>1</v>
      </c>
      <c r="U816" t="s">
        <v>72</v>
      </c>
      <c r="V816" t="s">
        <v>192</v>
      </c>
      <c r="W816">
        <v>0</v>
      </c>
      <c r="X816">
        <v>0</v>
      </c>
      <c r="Y816">
        <v>0</v>
      </c>
      <c r="Z816">
        <v>0</v>
      </c>
      <c r="AA816">
        <v>0</v>
      </c>
      <c r="AB816">
        <v>0</v>
      </c>
      <c r="AC816">
        <v>0</v>
      </c>
      <c r="AD816">
        <v>0</v>
      </c>
      <c r="AE816">
        <v>0</v>
      </c>
      <c r="AF816">
        <v>0</v>
      </c>
      <c r="AG816" t="s">
        <v>71</v>
      </c>
      <c r="AH816">
        <v>0</v>
      </c>
      <c r="AI816">
        <v>0</v>
      </c>
      <c r="AJ816">
        <v>0</v>
      </c>
      <c r="AK816">
        <v>0</v>
      </c>
      <c r="AL816" t="s">
        <v>450</v>
      </c>
      <c r="AM816" t="s">
        <v>491</v>
      </c>
      <c r="AN816" t="s">
        <v>148</v>
      </c>
      <c r="AO816" t="s">
        <v>147</v>
      </c>
      <c r="AP816">
        <v>0</v>
      </c>
      <c r="AQ816">
        <v>4</v>
      </c>
      <c r="AR816">
        <v>0</v>
      </c>
      <c r="AS816">
        <v>0</v>
      </c>
      <c r="AT816">
        <v>0</v>
      </c>
      <c r="AU816">
        <v>0</v>
      </c>
      <c r="AV816">
        <v>0</v>
      </c>
      <c r="AW816">
        <v>0</v>
      </c>
      <c r="AX816">
        <v>0</v>
      </c>
      <c r="AY816">
        <v>0</v>
      </c>
    </row>
    <row r="817" spans="1:51" x14ac:dyDescent="0.25">
      <c r="A817">
        <v>191</v>
      </c>
      <c r="B817">
        <v>10240</v>
      </c>
      <c r="C817" t="s">
        <v>735</v>
      </c>
      <c r="D817" t="s">
        <v>96</v>
      </c>
      <c r="E817" t="s">
        <v>100</v>
      </c>
      <c r="F817" t="s">
        <v>107</v>
      </c>
      <c r="G817" t="s">
        <v>101</v>
      </c>
      <c r="H817" t="s">
        <v>78</v>
      </c>
      <c r="I817" t="s">
        <v>79</v>
      </c>
      <c r="J817" t="s">
        <v>150</v>
      </c>
      <c r="K817" t="s">
        <v>75</v>
      </c>
      <c r="L817" t="s">
        <v>76</v>
      </c>
      <c r="M817" t="s">
        <v>103</v>
      </c>
      <c r="N817" t="s">
        <v>74</v>
      </c>
      <c r="O817" t="s">
        <v>104</v>
      </c>
      <c r="P817" t="s">
        <v>71</v>
      </c>
      <c r="Q817" t="s">
        <v>71</v>
      </c>
      <c r="R817" t="s">
        <v>71</v>
      </c>
      <c r="S817">
        <v>1</v>
      </c>
      <c r="T817">
        <v>1</v>
      </c>
      <c r="U817" t="s">
        <v>72</v>
      </c>
      <c r="V817" t="s">
        <v>192</v>
      </c>
      <c r="W817">
        <v>0</v>
      </c>
      <c r="X817">
        <v>0</v>
      </c>
      <c r="Y817">
        <v>1</v>
      </c>
      <c r="Z817">
        <v>25</v>
      </c>
      <c r="AA817">
        <v>1</v>
      </c>
      <c r="AB817">
        <v>25</v>
      </c>
      <c r="AC817">
        <v>1</v>
      </c>
      <c r="AD817">
        <v>25</v>
      </c>
      <c r="AE817">
        <v>0</v>
      </c>
      <c r="AF817">
        <v>0</v>
      </c>
      <c r="AG817" t="s">
        <v>71</v>
      </c>
      <c r="AH817">
        <v>0</v>
      </c>
      <c r="AI817">
        <v>0</v>
      </c>
      <c r="AJ817">
        <v>0</v>
      </c>
      <c r="AK817">
        <v>0</v>
      </c>
      <c r="AL817" t="s">
        <v>450</v>
      </c>
      <c r="AM817" t="s">
        <v>491</v>
      </c>
      <c r="AN817" t="s">
        <v>148</v>
      </c>
      <c r="AO817" t="s">
        <v>147</v>
      </c>
      <c r="AP817">
        <v>0</v>
      </c>
      <c r="AQ817">
        <v>131</v>
      </c>
      <c r="AR817">
        <v>0</v>
      </c>
      <c r="AS817">
        <v>0</v>
      </c>
      <c r="AT817">
        <v>0</v>
      </c>
      <c r="AU817">
        <v>0</v>
      </c>
      <c r="AV817">
        <v>0</v>
      </c>
      <c r="AW817">
        <v>0</v>
      </c>
      <c r="AX817">
        <v>0</v>
      </c>
      <c r="AY817">
        <v>0</v>
      </c>
    </row>
    <row r="818" spans="1:51" x14ac:dyDescent="0.25">
      <c r="A818">
        <v>192</v>
      </c>
      <c r="B818">
        <v>10250</v>
      </c>
      <c r="C818" t="s">
        <v>735</v>
      </c>
      <c r="D818" t="s">
        <v>96</v>
      </c>
      <c r="E818" t="s">
        <v>100</v>
      </c>
      <c r="F818" t="s">
        <v>107</v>
      </c>
      <c r="G818" t="s">
        <v>101</v>
      </c>
      <c r="H818" t="s">
        <v>78</v>
      </c>
      <c r="I818" t="s">
        <v>79</v>
      </c>
      <c r="J818" t="s">
        <v>150</v>
      </c>
      <c r="K818" t="s">
        <v>75</v>
      </c>
      <c r="L818" t="s">
        <v>76</v>
      </c>
      <c r="M818" t="s">
        <v>103</v>
      </c>
      <c r="N818" t="s">
        <v>74</v>
      </c>
      <c r="O818" t="s">
        <v>104</v>
      </c>
      <c r="P818" t="s">
        <v>110</v>
      </c>
      <c r="Q818" t="s">
        <v>71</v>
      </c>
      <c r="R818" t="s">
        <v>71</v>
      </c>
      <c r="S818">
        <v>1</v>
      </c>
      <c r="T818">
        <v>1</v>
      </c>
      <c r="U818" t="s">
        <v>72</v>
      </c>
      <c r="V818" t="s">
        <v>192</v>
      </c>
      <c r="W818">
        <v>0</v>
      </c>
      <c r="X818">
        <v>0</v>
      </c>
      <c r="Y818">
        <v>1</v>
      </c>
      <c r="Z818">
        <v>25</v>
      </c>
      <c r="AA818">
        <v>1</v>
      </c>
      <c r="AB818">
        <v>25</v>
      </c>
      <c r="AC818">
        <v>1</v>
      </c>
      <c r="AD818">
        <v>25</v>
      </c>
      <c r="AE818">
        <v>0</v>
      </c>
      <c r="AF818">
        <v>0</v>
      </c>
      <c r="AG818" t="s">
        <v>71</v>
      </c>
      <c r="AH818">
        <v>0</v>
      </c>
      <c r="AI818">
        <v>0</v>
      </c>
      <c r="AJ818">
        <v>0</v>
      </c>
      <c r="AK818">
        <v>0</v>
      </c>
      <c r="AL818" t="s">
        <v>450</v>
      </c>
      <c r="AM818" t="s">
        <v>491</v>
      </c>
      <c r="AN818" t="s">
        <v>148</v>
      </c>
      <c r="AO818" t="s">
        <v>147</v>
      </c>
      <c r="AP818">
        <v>0</v>
      </c>
      <c r="AQ818">
        <v>3</v>
      </c>
      <c r="AR818">
        <v>0</v>
      </c>
      <c r="AS818">
        <v>0</v>
      </c>
      <c r="AT818">
        <v>0</v>
      </c>
      <c r="AU818">
        <v>0</v>
      </c>
      <c r="AV818">
        <v>0</v>
      </c>
      <c r="AW818">
        <v>0</v>
      </c>
      <c r="AX818">
        <v>0</v>
      </c>
      <c r="AY818">
        <v>0</v>
      </c>
    </row>
    <row r="819" spans="1:51" x14ac:dyDescent="0.25">
      <c r="A819">
        <v>193</v>
      </c>
      <c r="B819">
        <v>10260</v>
      </c>
      <c r="C819" t="s">
        <v>735</v>
      </c>
      <c r="D819" t="s">
        <v>96</v>
      </c>
      <c r="E819" t="s">
        <v>100</v>
      </c>
      <c r="F819" t="s">
        <v>107</v>
      </c>
      <c r="G819" t="s">
        <v>77</v>
      </c>
      <c r="H819" t="s">
        <v>182</v>
      </c>
      <c r="I819" t="s">
        <v>79</v>
      </c>
      <c r="J819" t="s">
        <v>150</v>
      </c>
      <c r="K819" t="s">
        <v>75</v>
      </c>
      <c r="L819" t="s">
        <v>76</v>
      </c>
      <c r="M819" t="s">
        <v>103</v>
      </c>
      <c r="N819" t="s">
        <v>74</v>
      </c>
      <c r="O819" t="s">
        <v>104</v>
      </c>
      <c r="P819" t="s">
        <v>299</v>
      </c>
      <c r="Q819" t="s">
        <v>71</v>
      </c>
      <c r="R819" t="s">
        <v>71</v>
      </c>
      <c r="S819">
        <v>1</v>
      </c>
      <c r="T819">
        <v>1</v>
      </c>
      <c r="U819" t="s">
        <v>72</v>
      </c>
      <c r="V819" t="s">
        <v>192</v>
      </c>
      <c r="W819">
        <v>0</v>
      </c>
      <c r="X819">
        <v>0</v>
      </c>
      <c r="Y819">
        <v>0</v>
      </c>
      <c r="Z819">
        <v>0</v>
      </c>
      <c r="AA819">
        <v>0</v>
      </c>
      <c r="AB819">
        <v>0</v>
      </c>
      <c r="AC819">
        <v>0</v>
      </c>
      <c r="AD819">
        <v>0</v>
      </c>
      <c r="AE819">
        <v>0</v>
      </c>
      <c r="AF819">
        <v>0</v>
      </c>
      <c r="AG819" t="s">
        <v>71</v>
      </c>
      <c r="AH819">
        <v>0</v>
      </c>
      <c r="AI819">
        <v>0</v>
      </c>
      <c r="AJ819">
        <v>0</v>
      </c>
      <c r="AK819">
        <v>0</v>
      </c>
      <c r="AL819" t="s">
        <v>450</v>
      </c>
      <c r="AM819" t="s">
        <v>491</v>
      </c>
      <c r="AN819" t="s">
        <v>148</v>
      </c>
      <c r="AO819" t="s">
        <v>147</v>
      </c>
      <c r="AP819">
        <v>0</v>
      </c>
      <c r="AQ819">
        <v>132</v>
      </c>
      <c r="AR819">
        <v>0</v>
      </c>
      <c r="AS819">
        <v>0</v>
      </c>
      <c r="AT819">
        <v>0</v>
      </c>
      <c r="AU819">
        <v>0</v>
      </c>
      <c r="AV819">
        <v>0</v>
      </c>
      <c r="AW819">
        <v>0</v>
      </c>
      <c r="AX819">
        <v>0</v>
      </c>
      <c r="AY819">
        <v>0</v>
      </c>
    </row>
    <row r="820" spans="1:51" x14ac:dyDescent="0.25">
      <c r="A820">
        <v>195</v>
      </c>
      <c r="B820">
        <v>10270</v>
      </c>
      <c r="C820" t="s">
        <v>735</v>
      </c>
      <c r="D820" t="s">
        <v>96</v>
      </c>
      <c r="E820" t="s">
        <v>100</v>
      </c>
      <c r="F820" t="s">
        <v>107</v>
      </c>
      <c r="G820" t="s">
        <v>77</v>
      </c>
      <c r="H820" t="s">
        <v>182</v>
      </c>
      <c r="I820" t="s">
        <v>79</v>
      </c>
      <c r="J820" t="s">
        <v>150</v>
      </c>
      <c r="K820" t="s">
        <v>75</v>
      </c>
      <c r="L820" t="s">
        <v>76</v>
      </c>
      <c r="M820" t="s">
        <v>103</v>
      </c>
      <c r="N820" t="s">
        <v>74</v>
      </c>
      <c r="O820" t="s">
        <v>104</v>
      </c>
      <c r="P820" t="s">
        <v>71</v>
      </c>
      <c r="Q820" t="s">
        <v>71</v>
      </c>
      <c r="R820" t="s">
        <v>110</v>
      </c>
      <c r="S820">
        <v>1</v>
      </c>
      <c r="T820">
        <v>1</v>
      </c>
      <c r="U820" t="s">
        <v>72</v>
      </c>
      <c r="V820" t="s">
        <v>192</v>
      </c>
      <c r="W820">
        <v>0</v>
      </c>
      <c r="X820">
        <v>0</v>
      </c>
      <c r="Y820">
        <v>1</v>
      </c>
      <c r="Z820">
        <v>25</v>
      </c>
      <c r="AA820">
        <v>1</v>
      </c>
      <c r="AB820">
        <v>25</v>
      </c>
      <c r="AC820">
        <v>1</v>
      </c>
      <c r="AD820">
        <v>25</v>
      </c>
      <c r="AE820">
        <v>0</v>
      </c>
      <c r="AF820">
        <v>0</v>
      </c>
      <c r="AG820" t="s">
        <v>71</v>
      </c>
      <c r="AH820">
        <v>0</v>
      </c>
      <c r="AI820">
        <v>0</v>
      </c>
      <c r="AJ820">
        <v>0</v>
      </c>
      <c r="AK820">
        <v>0</v>
      </c>
      <c r="AL820" t="s">
        <v>450</v>
      </c>
      <c r="AM820" t="s">
        <v>491</v>
      </c>
      <c r="AN820" t="s">
        <v>148</v>
      </c>
      <c r="AO820" t="s">
        <v>147</v>
      </c>
      <c r="AP820">
        <v>0</v>
      </c>
      <c r="AQ820">
        <v>0</v>
      </c>
      <c r="AR820">
        <v>0</v>
      </c>
      <c r="AS820">
        <v>1</v>
      </c>
      <c r="AT820">
        <v>0</v>
      </c>
      <c r="AU820">
        <v>0</v>
      </c>
      <c r="AV820">
        <v>0</v>
      </c>
      <c r="AW820">
        <v>0</v>
      </c>
      <c r="AX820">
        <v>0</v>
      </c>
      <c r="AY820">
        <v>0</v>
      </c>
    </row>
    <row r="821" spans="1:51" x14ac:dyDescent="0.25">
      <c r="A821">
        <v>197</v>
      </c>
      <c r="B821">
        <v>10280</v>
      </c>
      <c r="C821" t="s">
        <v>735</v>
      </c>
      <c r="D821" t="s">
        <v>96</v>
      </c>
      <c r="E821" t="s">
        <v>100</v>
      </c>
      <c r="F821" t="s">
        <v>107</v>
      </c>
      <c r="G821" t="s">
        <v>77</v>
      </c>
      <c r="H821" t="s">
        <v>182</v>
      </c>
      <c r="I821" t="s">
        <v>79</v>
      </c>
      <c r="J821" t="s">
        <v>150</v>
      </c>
      <c r="K821" t="s">
        <v>75</v>
      </c>
      <c r="L821" t="s">
        <v>76</v>
      </c>
      <c r="M821" t="s">
        <v>103</v>
      </c>
      <c r="N821" t="s">
        <v>74</v>
      </c>
      <c r="O821" t="s">
        <v>104</v>
      </c>
      <c r="P821" t="s">
        <v>71</v>
      </c>
      <c r="Q821" t="s">
        <v>71</v>
      </c>
      <c r="R821" t="s">
        <v>110</v>
      </c>
      <c r="S821">
        <v>1</v>
      </c>
      <c r="T821">
        <v>1</v>
      </c>
      <c r="U821" t="s">
        <v>72</v>
      </c>
      <c r="V821" t="s">
        <v>192</v>
      </c>
      <c r="W821">
        <v>0</v>
      </c>
      <c r="X821">
        <v>0</v>
      </c>
      <c r="Y821">
        <v>1</v>
      </c>
      <c r="Z821">
        <v>25</v>
      </c>
      <c r="AA821">
        <v>1</v>
      </c>
      <c r="AB821">
        <v>25</v>
      </c>
      <c r="AC821">
        <v>1</v>
      </c>
      <c r="AD821">
        <v>25</v>
      </c>
      <c r="AE821">
        <v>0</v>
      </c>
      <c r="AF821">
        <v>0</v>
      </c>
      <c r="AG821" t="s">
        <v>71</v>
      </c>
      <c r="AH821">
        <v>0</v>
      </c>
      <c r="AI821">
        <v>0</v>
      </c>
      <c r="AJ821">
        <v>0</v>
      </c>
      <c r="AK821">
        <v>0</v>
      </c>
      <c r="AL821" t="s">
        <v>450</v>
      </c>
      <c r="AM821" t="s">
        <v>491</v>
      </c>
      <c r="AN821" t="s">
        <v>148</v>
      </c>
      <c r="AO821" t="s">
        <v>147</v>
      </c>
      <c r="AP821">
        <v>0</v>
      </c>
      <c r="AQ821">
        <v>0</v>
      </c>
      <c r="AR821">
        <v>0</v>
      </c>
      <c r="AS821">
        <v>1</v>
      </c>
      <c r="AT821">
        <v>0</v>
      </c>
      <c r="AU821">
        <v>0</v>
      </c>
      <c r="AV821">
        <v>0</v>
      </c>
      <c r="AW821">
        <v>0</v>
      </c>
      <c r="AX821">
        <v>0</v>
      </c>
      <c r="AY821">
        <v>0</v>
      </c>
    </row>
    <row r="822" spans="1:51" x14ac:dyDescent="0.25">
      <c r="A822">
        <v>197</v>
      </c>
      <c r="B822">
        <v>10290</v>
      </c>
      <c r="C822" t="s">
        <v>735</v>
      </c>
      <c r="D822" t="s">
        <v>96</v>
      </c>
      <c r="E822" t="s">
        <v>100</v>
      </c>
      <c r="F822" t="s">
        <v>107</v>
      </c>
      <c r="G822" t="s">
        <v>77</v>
      </c>
      <c r="H822" t="s">
        <v>182</v>
      </c>
      <c r="I822" t="s">
        <v>79</v>
      </c>
      <c r="J822" t="s">
        <v>150</v>
      </c>
      <c r="K822" t="s">
        <v>75</v>
      </c>
      <c r="L822" t="s">
        <v>76</v>
      </c>
      <c r="M822" t="s">
        <v>103</v>
      </c>
      <c r="N822" t="s">
        <v>74</v>
      </c>
      <c r="O822" t="s">
        <v>104</v>
      </c>
      <c r="P822" t="s">
        <v>71</v>
      </c>
      <c r="Q822" t="s">
        <v>71</v>
      </c>
      <c r="R822" t="s">
        <v>71</v>
      </c>
      <c r="S822">
        <v>1</v>
      </c>
      <c r="T822">
        <v>1</v>
      </c>
      <c r="U822" t="s">
        <v>72</v>
      </c>
      <c r="V822" t="s">
        <v>192</v>
      </c>
      <c r="W822">
        <v>0</v>
      </c>
      <c r="X822">
        <v>0</v>
      </c>
      <c r="Y822">
        <v>0</v>
      </c>
      <c r="Z822">
        <v>0</v>
      </c>
      <c r="AA822">
        <v>0</v>
      </c>
      <c r="AB822">
        <v>0</v>
      </c>
      <c r="AC822">
        <v>0</v>
      </c>
      <c r="AD822">
        <v>0</v>
      </c>
      <c r="AE822">
        <v>0</v>
      </c>
      <c r="AF822">
        <v>0</v>
      </c>
      <c r="AG822" t="s">
        <v>71</v>
      </c>
      <c r="AH822">
        <v>0</v>
      </c>
      <c r="AI822">
        <v>0</v>
      </c>
      <c r="AJ822">
        <v>0</v>
      </c>
      <c r="AK822">
        <v>0</v>
      </c>
      <c r="AL822" t="s">
        <v>450</v>
      </c>
      <c r="AM822" t="s">
        <v>491</v>
      </c>
      <c r="AN822" t="s">
        <v>148</v>
      </c>
      <c r="AO822" t="s">
        <v>147</v>
      </c>
      <c r="AP822">
        <v>0</v>
      </c>
      <c r="AQ822">
        <v>0</v>
      </c>
      <c r="AR822">
        <v>0</v>
      </c>
      <c r="AS822">
        <v>128</v>
      </c>
      <c r="AT822">
        <v>0</v>
      </c>
      <c r="AU822">
        <v>0</v>
      </c>
      <c r="AV822">
        <v>0</v>
      </c>
      <c r="AW822">
        <v>0</v>
      </c>
      <c r="AX822">
        <v>0</v>
      </c>
      <c r="AY822">
        <v>0</v>
      </c>
    </row>
    <row r="823" spans="1:51" x14ac:dyDescent="0.25">
      <c r="A823">
        <v>198</v>
      </c>
      <c r="B823">
        <v>10300</v>
      </c>
      <c r="C823" t="s">
        <v>735</v>
      </c>
      <c r="D823" t="s">
        <v>96</v>
      </c>
      <c r="E823" t="s">
        <v>100</v>
      </c>
      <c r="F823" t="s">
        <v>107</v>
      </c>
      <c r="G823" t="s">
        <v>77</v>
      </c>
      <c r="H823" t="s">
        <v>182</v>
      </c>
      <c r="I823" t="s">
        <v>79</v>
      </c>
      <c r="J823" t="s">
        <v>150</v>
      </c>
      <c r="K823" t="s">
        <v>75</v>
      </c>
      <c r="L823" t="s">
        <v>76</v>
      </c>
      <c r="M823" t="s">
        <v>103</v>
      </c>
      <c r="N823" t="s">
        <v>74</v>
      </c>
      <c r="O823" t="s">
        <v>104</v>
      </c>
      <c r="P823" t="s">
        <v>71</v>
      </c>
      <c r="Q823" t="s">
        <v>71</v>
      </c>
      <c r="R823" t="s">
        <v>110</v>
      </c>
      <c r="S823">
        <v>1</v>
      </c>
      <c r="T823">
        <v>1</v>
      </c>
      <c r="U823" t="s">
        <v>72</v>
      </c>
      <c r="V823" t="s">
        <v>192</v>
      </c>
      <c r="W823">
        <v>0</v>
      </c>
      <c r="X823">
        <v>0</v>
      </c>
      <c r="Y823">
        <v>1</v>
      </c>
      <c r="Z823">
        <v>25</v>
      </c>
      <c r="AA823">
        <v>1</v>
      </c>
      <c r="AB823">
        <v>25</v>
      </c>
      <c r="AC823">
        <v>1</v>
      </c>
      <c r="AD823">
        <v>25</v>
      </c>
      <c r="AE823">
        <v>0</v>
      </c>
      <c r="AF823">
        <v>0</v>
      </c>
      <c r="AG823" t="s">
        <v>71</v>
      </c>
      <c r="AH823">
        <v>0</v>
      </c>
      <c r="AI823">
        <v>0</v>
      </c>
      <c r="AJ823">
        <v>0</v>
      </c>
      <c r="AK823">
        <v>0</v>
      </c>
      <c r="AL823" t="s">
        <v>450</v>
      </c>
      <c r="AM823" t="s">
        <v>491</v>
      </c>
      <c r="AN823" t="s">
        <v>148</v>
      </c>
      <c r="AO823" t="s">
        <v>147</v>
      </c>
      <c r="AP823">
        <v>0</v>
      </c>
      <c r="AQ823">
        <v>0</v>
      </c>
      <c r="AR823">
        <v>0</v>
      </c>
      <c r="AS823">
        <v>1</v>
      </c>
      <c r="AT823">
        <v>0</v>
      </c>
      <c r="AU823">
        <v>0</v>
      </c>
      <c r="AV823">
        <v>0</v>
      </c>
      <c r="AW823">
        <v>0</v>
      </c>
      <c r="AX823">
        <v>0</v>
      </c>
      <c r="AY823">
        <v>0</v>
      </c>
    </row>
    <row r="824" spans="1:51" x14ac:dyDescent="0.25">
      <c r="A824">
        <v>198</v>
      </c>
      <c r="B824">
        <v>10310</v>
      </c>
      <c r="C824" t="s">
        <v>735</v>
      </c>
      <c r="D824" t="s">
        <v>96</v>
      </c>
      <c r="E824" t="s">
        <v>100</v>
      </c>
      <c r="F824" t="s">
        <v>107</v>
      </c>
      <c r="G824" t="s">
        <v>77</v>
      </c>
      <c r="H824" t="s">
        <v>182</v>
      </c>
      <c r="I824" t="s">
        <v>79</v>
      </c>
      <c r="J824" t="s">
        <v>150</v>
      </c>
      <c r="K824" t="s">
        <v>75</v>
      </c>
      <c r="L824" t="s">
        <v>76</v>
      </c>
      <c r="M824" t="s">
        <v>103</v>
      </c>
      <c r="N824" t="s">
        <v>74</v>
      </c>
      <c r="O824" t="s">
        <v>104</v>
      </c>
      <c r="P824" t="s">
        <v>71</v>
      </c>
      <c r="Q824" t="s">
        <v>71</v>
      </c>
      <c r="R824" t="s">
        <v>299</v>
      </c>
      <c r="S824">
        <v>1</v>
      </c>
      <c r="T824">
        <v>1</v>
      </c>
      <c r="U824" t="s">
        <v>72</v>
      </c>
      <c r="V824" t="s">
        <v>192</v>
      </c>
      <c r="W824">
        <v>0</v>
      </c>
      <c r="X824">
        <v>0</v>
      </c>
      <c r="Y824">
        <v>0</v>
      </c>
      <c r="Z824">
        <v>0</v>
      </c>
      <c r="AA824">
        <v>0</v>
      </c>
      <c r="AB824">
        <v>0</v>
      </c>
      <c r="AC824">
        <v>0</v>
      </c>
      <c r="AD824">
        <v>0</v>
      </c>
      <c r="AE824">
        <v>0</v>
      </c>
      <c r="AF824">
        <v>0</v>
      </c>
      <c r="AG824" t="s">
        <v>71</v>
      </c>
      <c r="AH824">
        <v>0</v>
      </c>
      <c r="AI824">
        <v>0</v>
      </c>
      <c r="AJ824">
        <v>0</v>
      </c>
      <c r="AK824">
        <v>0</v>
      </c>
      <c r="AL824" t="s">
        <v>450</v>
      </c>
      <c r="AM824" t="s">
        <v>491</v>
      </c>
      <c r="AN824" t="s">
        <v>148</v>
      </c>
      <c r="AO824" t="s">
        <v>147</v>
      </c>
      <c r="AP824">
        <v>0</v>
      </c>
      <c r="AQ824">
        <v>0</v>
      </c>
      <c r="AR824">
        <v>0</v>
      </c>
      <c r="AS824">
        <v>128</v>
      </c>
      <c r="AT824">
        <v>0</v>
      </c>
      <c r="AU824">
        <v>0</v>
      </c>
      <c r="AV824">
        <v>0</v>
      </c>
      <c r="AW824">
        <v>0</v>
      </c>
      <c r="AX824">
        <v>0</v>
      </c>
      <c r="AY824">
        <v>0</v>
      </c>
    </row>
    <row r="825" spans="1:51" x14ac:dyDescent="0.25">
      <c r="A825">
        <v>199</v>
      </c>
      <c r="B825">
        <v>10320</v>
      </c>
      <c r="C825" t="s">
        <v>735</v>
      </c>
      <c r="D825" t="s">
        <v>96</v>
      </c>
      <c r="E825" t="s">
        <v>100</v>
      </c>
      <c r="F825" t="s">
        <v>107</v>
      </c>
      <c r="G825" t="s">
        <v>101</v>
      </c>
      <c r="H825" t="s">
        <v>182</v>
      </c>
      <c r="I825" t="s">
        <v>79</v>
      </c>
      <c r="J825" t="s">
        <v>119</v>
      </c>
      <c r="K825" t="s">
        <v>75</v>
      </c>
      <c r="L825" t="s">
        <v>76</v>
      </c>
      <c r="M825" t="s">
        <v>103</v>
      </c>
      <c r="N825" t="s">
        <v>74</v>
      </c>
      <c r="O825" t="s">
        <v>104</v>
      </c>
      <c r="P825" t="s">
        <v>71</v>
      </c>
      <c r="Q825" t="s">
        <v>71</v>
      </c>
      <c r="R825" t="s">
        <v>71</v>
      </c>
      <c r="S825">
        <v>1</v>
      </c>
      <c r="T825">
        <v>1</v>
      </c>
      <c r="U825" t="s">
        <v>72</v>
      </c>
      <c r="V825" t="s">
        <v>192</v>
      </c>
      <c r="W825">
        <v>0</v>
      </c>
      <c r="X825">
        <v>0</v>
      </c>
      <c r="Y825">
        <v>0</v>
      </c>
      <c r="Z825">
        <v>0</v>
      </c>
      <c r="AA825">
        <v>0</v>
      </c>
      <c r="AB825">
        <v>0</v>
      </c>
      <c r="AC825">
        <v>0</v>
      </c>
      <c r="AD825">
        <v>0</v>
      </c>
      <c r="AE825">
        <v>0</v>
      </c>
      <c r="AF825">
        <v>0</v>
      </c>
      <c r="AG825" t="s">
        <v>71</v>
      </c>
      <c r="AH825">
        <v>0</v>
      </c>
      <c r="AI825">
        <v>0</v>
      </c>
      <c r="AJ825">
        <v>0</v>
      </c>
      <c r="AK825">
        <v>0</v>
      </c>
      <c r="AL825" t="s">
        <v>450</v>
      </c>
      <c r="AM825" t="s">
        <v>491</v>
      </c>
      <c r="AN825" t="s">
        <v>148</v>
      </c>
      <c r="AO825" t="s">
        <v>147</v>
      </c>
      <c r="AP825">
        <v>0</v>
      </c>
      <c r="AQ825">
        <v>0</v>
      </c>
      <c r="AR825">
        <v>0</v>
      </c>
      <c r="AS825">
        <v>128</v>
      </c>
      <c r="AT825">
        <v>0</v>
      </c>
      <c r="AU825">
        <v>0</v>
      </c>
      <c r="AV825">
        <v>0</v>
      </c>
      <c r="AW825">
        <v>0</v>
      </c>
      <c r="AX825">
        <v>32</v>
      </c>
      <c r="AY825">
        <v>0</v>
      </c>
    </row>
    <row r="826" spans="1:51" x14ac:dyDescent="0.25">
      <c r="A826">
        <v>199</v>
      </c>
      <c r="B826">
        <v>10330</v>
      </c>
      <c r="C826" t="s">
        <v>735</v>
      </c>
      <c r="D826" t="s">
        <v>96</v>
      </c>
      <c r="E826" t="s">
        <v>100</v>
      </c>
      <c r="F826" t="s">
        <v>107</v>
      </c>
      <c r="G826" t="s">
        <v>101</v>
      </c>
      <c r="H826" t="s">
        <v>182</v>
      </c>
      <c r="I826" t="s">
        <v>79</v>
      </c>
      <c r="J826" t="s">
        <v>119</v>
      </c>
      <c r="K826" t="s">
        <v>75</v>
      </c>
      <c r="L826" t="s">
        <v>76</v>
      </c>
      <c r="M826" t="s">
        <v>103</v>
      </c>
      <c r="N826" t="s">
        <v>74</v>
      </c>
      <c r="O826" t="s">
        <v>104</v>
      </c>
      <c r="P826" t="s">
        <v>71</v>
      </c>
      <c r="Q826" t="s">
        <v>71</v>
      </c>
      <c r="R826" t="s">
        <v>71</v>
      </c>
      <c r="S826">
        <v>1</v>
      </c>
      <c r="T826">
        <v>1</v>
      </c>
      <c r="U826" t="s">
        <v>72</v>
      </c>
      <c r="V826" t="s">
        <v>192</v>
      </c>
      <c r="W826">
        <v>0</v>
      </c>
      <c r="X826">
        <v>0</v>
      </c>
      <c r="Y826">
        <v>0</v>
      </c>
      <c r="Z826">
        <v>0</v>
      </c>
      <c r="AA826">
        <v>0</v>
      </c>
      <c r="AB826">
        <v>0</v>
      </c>
      <c r="AC826">
        <v>0</v>
      </c>
      <c r="AD826">
        <v>0</v>
      </c>
      <c r="AE826">
        <v>0</v>
      </c>
      <c r="AF826">
        <v>0</v>
      </c>
      <c r="AG826" t="s">
        <v>71</v>
      </c>
      <c r="AH826">
        <v>0</v>
      </c>
      <c r="AI826">
        <v>0</v>
      </c>
      <c r="AJ826">
        <v>0</v>
      </c>
      <c r="AK826">
        <v>0</v>
      </c>
      <c r="AL826" t="s">
        <v>450</v>
      </c>
      <c r="AM826" t="s">
        <v>491</v>
      </c>
      <c r="AN826" t="s">
        <v>148</v>
      </c>
      <c r="AO826" t="s">
        <v>147</v>
      </c>
      <c r="AP826">
        <v>0</v>
      </c>
      <c r="AQ826">
        <v>0</v>
      </c>
      <c r="AR826">
        <v>0</v>
      </c>
      <c r="AS826">
        <v>128</v>
      </c>
      <c r="AT826">
        <v>0</v>
      </c>
      <c r="AU826">
        <v>0</v>
      </c>
      <c r="AV826">
        <v>0</v>
      </c>
      <c r="AW826">
        <v>0</v>
      </c>
      <c r="AX826">
        <v>32</v>
      </c>
      <c r="AY826">
        <v>0</v>
      </c>
    </row>
    <row r="827" spans="1:51" x14ac:dyDescent="0.25">
      <c r="A827">
        <v>199</v>
      </c>
      <c r="B827">
        <v>10340</v>
      </c>
      <c r="C827" t="s">
        <v>735</v>
      </c>
      <c r="D827" t="s">
        <v>96</v>
      </c>
      <c r="E827" t="s">
        <v>100</v>
      </c>
      <c r="F827" t="s">
        <v>107</v>
      </c>
      <c r="G827" t="s">
        <v>101</v>
      </c>
      <c r="H827" t="s">
        <v>182</v>
      </c>
      <c r="I827" t="s">
        <v>79</v>
      </c>
      <c r="J827" t="s">
        <v>119</v>
      </c>
      <c r="K827" t="s">
        <v>75</v>
      </c>
      <c r="L827" t="s">
        <v>76</v>
      </c>
      <c r="M827" t="s">
        <v>103</v>
      </c>
      <c r="N827" t="s">
        <v>74</v>
      </c>
      <c r="O827" t="s">
        <v>104</v>
      </c>
      <c r="P827" t="s">
        <v>71</v>
      </c>
      <c r="Q827" t="s">
        <v>71</v>
      </c>
      <c r="R827" t="s">
        <v>71</v>
      </c>
      <c r="S827">
        <v>1</v>
      </c>
      <c r="T827">
        <v>1</v>
      </c>
      <c r="U827" t="s">
        <v>72</v>
      </c>
      <c r="V827" t="s">
        <v>192</v>
      </c>
      <c r="W827">
        <v>0</v>
      </c>
      <c r="X827">
        <v>0</v>
      </c>
      <c r="Y827">
        <v>0</v>
      </c>
      <c r="Z827">
        <v>0</v>
      </c>
      <c r="AA827">
        <v>0</v>
      </c>
      <c r="AB827">
        <v>0</v>
      </c>
      <c r="AC827">
        <v>0</v>
      </c>
      <c r="AD827">
        <v>0</v>
      </c>
      <c r="AE827">
        <v>0</v>
      </c>
      <c r="AF827">
        <v>0</v>
      </c>
      <c r="AG827" t="s">
        <v>71</v>
      </c>
      <c r="AH827">
        <v>0</v>
      </c>
      <c r="AI827">
        <v>0</v>
      </c>
      <c r="AJ827">
        <v>0</v>
      </c>
      <c r="AK827">
        <v>0</v>
      </c>
      <c r="AL827" t="s">
        <v>450</v>
      </c>
      <c r="AM827" t="s">
        <v>491</v>
      </c>
      <c r="AN827" t="s">
        <v>148</v>
      </c>
      <c r="AO827" t="s">
        <v>147</v>
      </c>
      <c r="AP827">
        <v>0</v>
      </c>
      <c r="AQ827">
        <v>0</v>
      </c>
      <c r="AR827">
        <v>0</v>
      </c>
      <c r="AS827">
        <v>128</v>
      </c>
      <c r="AT827">
        <v>0</v>
      </c>
      <c r="AU827">
        <v>0</v>
      </c>
      <c r="AV827">
        <v>0</v>
      </c>
      <c r="AW827">
        <v>0</v>
      </c>
      <c r="AX827">
        <v>32</v>
      </c>
      <c r="AY827">
        <v>0</v>
      </c>
    </row>
    <row r="828" spans="1:51" x14ac:dyDescent="0.25">
      <c r="A828">
        <v>199</v>
      </c>
      <c r="B828">
        <v>10350</v>
      </c>
      <c r="C828" t="s">
        <v>735</v>
      </c>
      <c r="D828" t="s">
        <v>96</v>
      </c>
      <c r="E828" t="s">
        <v>100</v>
      </c>
      <c r="F828" t="s">
        <v>107</v>
      </c>
      <c r="G828" t="s">
        <v>101</v>
      </c>
      <c r="H828" t="s">
        <v>182</v>
      </c>
      <c r="I828" t="s">
        <v>79</v>
      </c>
      <c r="J828" t="s">
        <v>119</v>
      </c>
      <c r="K828" t="s">
        <v>75</v>
      </c>
      <c r="L828" t="s">
        <v>76</v>
      </c>
      <c r="M828" t="s">
        <v>103</v>
      </c>
      <c r="N828" t="s">
        <v>74</v>
      </c>
      <c r="O828" t="s">
        <v>104</v>
      </c>
      <c r="P828" t="s">
        <v>71</v>
      </c>
      <c r="Q828" t="s">
        <v>71</v>
      </c>
      <c r="R828" t="s">
        <v>71</v>
      </c>
      <c r="S828">
        <v>1</v>
      </c>
      <c r="T828">
        <v>1</v>
      </c>
      <c r="U828" t="s">
        <v>72</v>
      </c>
      <c r="V828" t="s">
        <v>192</v>
      </c>
      <c r="W828">
        <v>0</v>
      </c>
      <c r="X828">
        <v>0</v>
      </c>
      <c r="Y828">
        <v>0</v>
      </c>
      <c r="Z828">
        <v>0</v>
      </c>
      <c r="AA828">
        <v>0</v>
      </c>
      <c r="AB828">
        <v>0</v>
      </c>
      <c r="AC828">
        <v>0</v>
      </c>
      <c r="AD828">
        <v>0</v>
      </c>
      <c r="AE828">
        <v>0</v>
      </c>
      <c r="AF828">
        <v>0</v>
      </c>
      <c r="AG828" t="s">
        <v>71</v>
      </c>
      <c r="AH828">
        <v>0</v>
      </c>
      <c r="AI828">
        <v>0</v>
      </c>
      <c r="AJ828">
        <v>0</v>
      </c>
      <c r="AK828">
        <v>0</v>
      </c>
      <c r="AL828" t="s">
        <v>450</v>
      </c>
      <c r="AM828" t="s">
        <v>491</v>
      </c>
      <c r="AN828" t="s">
        <v>148</v>
      </c>
      <c r="AO828" t="s">
        <v>147</v>
      </c>
      <c r="AP828">
        <v>0</v>
      </c>
      <c r="AQ828">
        <v>0</v>
      </c>
      <c r="AR828">
        <v>0</v>
      </c>
      <c r="AS828">
        <v>128</v>
      </c>
      <c r="AT828">
        <v>0</v>
      </c>
      <c r="AU828">
        <v>0</v>
      </c>
      <c r="AV828">
        <v>0</v>
      </c>
      <c r="AW828">
        <v>0</v>
      </c>
      <c r="AX828">
        <v>32</v>
      </c>
      <c r="AY828">
        <v>0</v>
      </c>
    </row>
    <row r="829" spans="1:51" x14ac:dyDescent="0.25">
      <c r="A829">
        <v>199</v>
      </c>
      <c r="B829">
        <v>10360</v>
      </c>
      <c r="C829" t="s">
        <v>735</v>
      </c>
      <c r="D829" t="s">
        <v>96</v>
      </c>
      <c r="E829" t="s">
        <v>100</v>
      </c>
      <c r="F829" t="s">
        <v>107</v>
      </c>
      <c r="G829" t="s">
        <v>101</v>
      </c>
      <c r="H829" t="s">
        <v>182</v>
      </c>
      <c r="I829" t="s">
        <v>79</v>
      </c>
      <c r="J829" t="s">
        <v>70</v>
      </c>
      <c r="K829" t="s">
        <v>75</v>
      </c>
      <c r="L829" t="s">
        <v>76</v>
      </c>
      <c r="M829" t="s">
        <v>103</v>
      </c>
      <c r="N829" t="s">
        <v>74</v>
      </c>
      <c r="O829" t="s">
        <v>104</v>
      </c>
      <c r="P829" t="s">
        <v>71</v>
      </c>
      <c r="Q829" t="s">
        <v>71</v>
      </c>
      <c r="R829" t="s">
        <v>71</v>
      </c>
      <c r="S829">
        <v>1</v>
      </c>
      <c r="T829">
        <v>1</v>
      </c>
      <c r="U829" t="s">
        <v>72</v>
      </c>
      <c r="V829" t="s">
        <v>192</v>
      </c>
      <c r="W829">
        <v>0</v>
      </c>
      <c r="X829">
        <v>0</v>
      </c>
      <c r="Y829">
        <v>0</v>
      </c>
      <c r="Z829">
        <v>0</v>
      </c>
      <c r="AA829">
        <v>0</v>
      </c>
      <c r="AB829">
        <v>0</v>
      </c>
      <c r="AC829">
        <v>0</v>
      </c>
      <c r="AD829">
        <v>0</v>
      </c>
      <c r="AE829">
        <v>0</v>
      </c>
      <c r="AF829">
        <v>0</v>
      </c>
      <c r="AG829" t="s">
        <v>71</v>
      </c>
      <c r="AH829">
        <v>0</v>
      </c>
      <c r="AI829">
        <v>0</v>
      </c>
      <c r="AJ829">
        <v>0</v>
      </c>
      <c r="AK829">
        <v>0</v>
      </c>
      <c r="AL829" t="s">
        <v>450</v>
      </c>
      <c r="AM829" t="s">
        <v>491</v>
      </c>
      <c r="AN829" t="s">
        <v>148</v>
      </c>
      <c r="AO829" t="s">
        <v>147</v>
      </c>
      <c r="AP829">
        <v>0</v>
      </c>
      <c r="AQ829">
        <v>0</v>
      </c>
      <c r="AR829">
        <v>0</v>
      </c>
      <c r="AS829">
        <v>128</v>
      </c>
      <c r="AT829">
        <v>0</v>
      </c>
      <c r="AU829">
        <v>0</v>
      </c>
      <c r="AV829">
        <v>0</v>
      </c>
      <c r="AW829">
        <v>0</v>
      </c>
      <c r="AX829">
        <v>32</v>
      </c>
      <c r="AY829">
        <v>0</v>
      </c>
    </row>
    <row r="830" spans="1:51" x14ac:dyDescent="0.25">
      <c r="A830">
        <v>199</v>
      </c>
      <c r="B830">
        <v>10370</v>
      </c>
      <c r="C830" t="s">
        <v>735</v>
      </c>
      <c r="D830" t="s">
        <v>96</v>
      </c>
      <c r="E830" t="s">
        <v>100</v>
      </c>
      <c r="F830" t="s">
        <v>107</v>
      </c>
      <c r="G830" t="s">
        <v>101</v>
      </c>
      <c r="H830" t="s">
        <v>182</v>
      </c>
      <c r="I830" t="s">
        <v>79</v>
      </c>
      <c r="J830" t="s">
        <v>70</v>
      </c>
      <c r="K830" t="s">
        <v>75</v>
      </c>
      <c r="L830" t="s">
        <v>76</v>
      </c>
      <c r="M830" t="s">
        <v>103</v>
      </c>
      <c r="N830" t="s">
        <v>74</v>
      </c>
      <c r="O830" t="s">
        <v>104</v>
      </c>
      <c r="P830" t="s">
        <v>71</v>
      </c>
      <c r="Q830" t="s">
        <v>71</v>
      </c>
      <c r="R830" t="s">
        <v>71</v>
      </c>
      <c r="S830">
        <v>1</v>
      </c>
      <c r="T830">
        <v>1</v>
      </c>
      <c r="U830" t="s">
        <v>72</v>
      </c>
      <c r="V830" t="s">
        <v>192</v>
      </c>
      <c r="W830">
        <v>0</v>
      </c>
      <c r="X830">
        <v>0</v>
      </c>
      <c r="Y830">
        <v>0</v>
      </c>
      <c r="Z830">
        <v>0</v>
      </c>
      <c r="AA830">
        <v>0</v>
      </c>
      <c r="AB830">
        <v>0</v>
      </c>
      <c r="AC830">
        <v>0</v>
      </c>
      <c r="AD830">
        <v>0</v>
      </c>
      <c r="AE830">
        <v>0</v>
      </c>
      <c r="AF830">
        <v>0</v>
      </c>
      <c r="AG830" t="s">
        <v>71</v>
      </c>
      <c r="AH830">
        <v>0</v>
      </c>
      <c r="AI830">
        <v>0</v>
      </c>
      <c r="AJ830">
        <v>0</v>
      </c>
      <c r="AK830">
        <v>0</v>
      </c>
      <c r="AL830" t="s">
        <v>450</v>
      </c>
      <c r="AM830" t="s">
        <v>491</v>
      </c>
      <c r="AN830" t="s">
        <v>148</v>
      </c>
      <c r="AO830" t="s">
        <v>147</v>
      </c>
      <c r="AP830">
        <v>0</v>
      </c>
      <c r="AQ830">
        <v>0</v>
      </c>
      <c r="AR830">
        <v>0</v>
      </c>
      <c r="AS830">
        <v>128</v>
      </c>
      <c r="AT830">
        <v>0</v>
      </c>
      <c r="AU830">
        <v>0</v>
      </c>
      <c r="AV830">
        <v>0</v>
      </c>
      <c r="AW830">
        <v>0</v>
      </c>
      <c r="AX830">
        <v>32</v>
      </c>
      <c r="AY830">
        <v>0</v>
      </c>
    </row>
    <row r="831" spans="1:51" x14ac:dyDescent="0.25">
      <c r="A831">
        <v>199</v>
      </c>
      <c r="B831">
        <v>13340</v>
      </c>
      <c r="C831" t="s">
        <v>735</v>
      </c>
      <c r="D831" t="s">
        <v>96</v>
      </c>
      <c r="E831" t="s">
        <v>100</v>
      </c>
      <c r="F831" t="s">
        <v>107</v>
      </c>
      <c r="G831" t="s">
        <v>101</v>
      </c>
      <c r="H831" t="s">
        <v>182</v>
      </c>
      <c r="I831" t="s">
        <v>79</v>
      </c>
      <c r="J831" t="s">
        <v>70</v>
      </c>
      <c r="K831" t="s">
        <v>75</v>
      </c>
      <c r="L831" t="s">
        <v>76</v>
      </c>
      <c r="M831" t="s">
        <v>103</v>
      </c>
      <c r="N831" t="s">
        <v>74</v>
      </c>
      <c r="O831" t="s">
        <v>104</v>
      </c>
      <c r="P831" t="s">
        <v>71</v>
      </c>
      <c r="Q831" t="s">
        <v>71</v>
      </c>
      <c r="R831" t="s">
        <v>71</v>
      </c>
      <c r="S831">
        <v>1</v>
      </c>
      <c r="T831">
        <v>1</v>
      </c>
      <c r="U831" t="s">
        <v>72</v>
      </c>
      <c r="V831" t="s">
        <v>192</v>
      </c>
      <c r="W831">
        <v>0</v>
      </c>
      <c r="X831">
        <v>0</v>
      </c>
      <c r="Y831">
        <v>0</v>
      </c>
      <c r="Z831">
        <v>0</v>
      </c>
      <c r="AA831">
        <v>0</v>
      </c>
      <c r="AB831">
        <v>0</v>
      </c>
      <c r="AC831">
        <v>0</v>
      </c>
      <c r="AD831">
        <v>0</v>
      </c>
      <c r="AE831">
        <v>0</v>
      </c>
      <c r="AF831">
        <v>0</v>
      </c>
      <c r="AG831" t="s">
        <v>71</v>
      </c>
      <c r="AH831">
        <v>0</v>
      </c>
      <c r="AI831">
        <v>0</v>
      </c>
      <c r="AJ831">
        <v>0</v>
      </c>
      <c r="AK831">
        <v>0</v>
      </c>
      <c r="AL831" t="s">
        <v>450</v>
      </c>
      <c r="AM831" t="s">
        <v>491</v>
      </c>
      <c r="AN831" t="s">
        <v>148</v>
      </c>
      <c r="AO831" t="s">
        <v>147</v>
      </c>
      <c r="AP831">
        <v>0</v>
      </c>
      <c r="AQ831">
        <v>0</v>
      </c>
      <c r="AR831">
        <v>0</v>
      </c>
      <c r="AS831">
        <v>128</v>
      </c>
      <c r="AT831">
        <v>0</v>
      </c>
      <c r="AU831">
        <v>0</v>
      </c>
      <c r="AV831">
        <v>0</v>
      </c>
      <c r="AW831">
        <v>0</v>
      </c>
      <c r="AX831">
        <v>32</v>
      </c>
      <c r="AY831">
        <v>0</v>
      </c>
    </row>
    <row r="832" spans="1:51" x14ac:dyDescent="0.25">
      <c r="A832">
        <v>199</v>
      </c>
      <c r="B832">
        <v>13350</v>
      </c>
      <c r="C832" t="s">
        <v>735</v>
      </c>
      <c r="D832" t="s">
        <v>96</v>
      </c>
      <c r="E832" t="s">
        <v>100</v>
      </c>
      <c r="F832" t="s">
        <v>107</v>
      </c>
      <c r="G832" t="s">
        <v>101</v>
      </c>
      <c r="H832" t="s">
        <v>182</v>
      </c>
      <c r="I832" t="s">
        <v>79</v>
      </c>
      <c r="J832" t="s">
        <v>70</v>
      </c>
      <c r="K832" t="s">
        <v>75</v>
      </c>
      <c r="L832" t="s">
        <v>76</v>
      </c>
      <c r="M832" t="s">
        <v>103</v>
      </c>
      <c r="N832" t="s">
        <v>74</v>
      </c>
      <c r="O832" t="s">
        <v>104</v>
      </c>
      <c r="P832" t="s">
        <v>71</v>
      </c>
      <c r="Q832" t="s">
        <v>71</v>
      </c>
      <c r="R832" t="s">
        <v>71</v>
      </c>
      <c r="S832">
        <v>1</v>
      </c>
      <c r="T832">
        <v>1</v>
      </c>
      <c r="U832" t="s">
        <v>72</v>
      </c>
      <c r="V832" t="s">
        <v>192</v>
      </c>
      <c r="W832">
        <v>0</v>
      </c>
      <c r="X832">
        <v>0</v>
      </c>
      <c r="Y832">
        <v>0</v>
      </c>
      <c r="Z832">
        <v>0</v>
      </c>
      <c r="AA832">
        <v>0</v>
      </c>
      <c r="AB832">
        <v>0</v>
      </c>
      <c r="AC832">
        <v>0</v>
      </c>
      <c r="AD832">
        <v>0</v>
      </c>
      <c r="AE832">
        <v>0</v>
      </c>
      <c r="AF832">
        <v>0</v>
      </c>
      <c r="AG832" t="s">
        <v>71</v>
      </c>
      <c r="AH832">
        <v>0</v>
      </c>
      <c r="AI832">
        <v>0</v>
      </c>
      <c r="AJ832">
        <v>0</v>
      </c>
      <c r="AK832">
        <v>0</v>
      </c>
      <c r="AL832" t="s">
        <v>450</v>
      </c>
      <c r="AM832" t="s">
        <v>491</v>
      </c>
      <c r="AN832" t="s">
        <v>148</v>
      </c>
      <c r="AO832" t="s">
        <v>147</v>
      </c>
      <c r="AP832">
        <v>0</v>
      </c>
      <c r="AQ832">
        <v>0</v>
      </c>
      <c r="AR832">
        <v>0</v>
      </c>
      <c r="AS832">
        <v>128</v>
      </c>
      <c r="AT832">
        <v>0</v>
      </c>
      <c r="AU832">
        <v>0</v>
      </c>
      <c r="AV832">
        <v>0</v>
      </c>
      <c r="AW832">
        <v>0</v>
      </c>
      <c r="AX832">
        <v>0</v>
      </c>
      <c r="AY832">
        <v>0</v>
      </c>
    </row>
    <row r="833" spans="1:51" x14ac:dyDescent="0.25">
      <c r="A833">
        <v>199</v>
      </c>
      <c r="B833">
        <v>13360</v>
      </c>
      <c r="C833" t="s">
        <v>735</v>
      </c>
      <c r="D833" t="s">
        <v>96</v>
      </c>
      <c r="E833" t="s">
        <v>100</v>
      </c>
      <c r="F833" t="s">
        <v>107</v>
      </c>
      <c r="G833" t="s">
        <v>101</v>
      </c>
      <c r="H833" t="s">
        <v>182</v>
      </c>
      <c r="I833" t="s">
        <v>79</v>
      </c>
      <c r="J833" t="s">
        <v>70</v>
      </c>
      <c r="K833" t="s">
        <v>75</v>
      </c>
      <c r="L833" t="s">
        <v>76</v>
      </c>
      <c r="M833" t="s">
        <v>103</v>
      </c>
      <c r="N833" t="s">
        <v>74</v>
      </c>
      <c r="O833" t="s">
        <v>104</v>
      </c>
      <c r="P833" t="s">
        <v>71</v>
      </c>
      <c r="Q833" t="s">
        <v>71</v>
      </c>
      <c r="R833" t="s">
        <v>71</v>
      </c>
      <c r="S833">
        <v>1</v>
      </c>
      <c r="T833">
        <v>1</v>
      </c>
      <c r="U833" t="s">
        <v>72</v>
      </c>
      <c r="V833" t="s">
        <v>192</v>
      </c>
      <c r="W833">
        <v>0</v>
      </c>
      <c r="X833">
        <v>0</v>
      </c>
      <c r="Y833">
        <v>0</v>
      </c>
      <c r="Z833">
        <v>0</v>
      </c>
      <c r="AA833">
        <v>0</v>
      </c>
      <c r="AB833">
        <v>0</v>
      </c>
      <c r="AC833">
        <v>0</v>
      </c>
      <c r="AD833">
        <v>0</v>
      </c>
      <c r="AE833">
        <v>0</v>
      </c>
      <c r="AF833">
        <v>0</v>
      </c>
      <c r="AG833" t="s">
        <v>71</v>
      </c>
      <c r="AH833">
        <v>0</v>
      </c>
      <c r="AI833">
        <v>0</v>
      </c>
      <c r="AJ833">
        <v>0</v>
      </c>
      <c r="AK833">
        <v>0</v>
      </c>
      <c r="AL833" t="s">
        <v>450</v>
      </c>
      <c r="AM833" t="s">
        <v>491</v>
      </c>
      <c r="AN833" t="s">
        <v>148</v>
      </c>
      <c r="AO833" t="s">
        <v>147</v>
      </c>
      <c r="AP833">
        <v>0</v>
      </c>
      <c r="AQ833">
        <v>0</v>
      </c>
      <c r="AR833">
        <v>0</v>
      </c>
      <c r="AS833">
        <v>128</v>
      </c>
      <c r="AT833">
        <v>0</v>
      </c>
      <c r="AU833">
        <v>0</v>
      </c>
      <c r="AV833">
        <v>0</v>
      </c>
      <c r="AW833">
        <v>0</v>
      </c>
      <c r="AX833">
        <v>0</v>
      </c>
      <c r="AY833">
        <v>0</v>
      </c>
    </row>
    <row r="834" spans="1:51" x14ac:dyDescent="0.25">
      <c r="A834">
        <v>200</v>
      </c>
      <c r="B834">
        <v>13370</v>
      </c>
      <c r="C834" t="s">
        <v>735</v>
      </c>
      <c r="D834" t="s">
        <v>96</v>
      </c>
      <c r="E834" t="s">
        <v>100</v>
      </c>
      <c r="F834" t="s">
        <v>107</v>
      </c>
      <c r="G834" t="s">
        <v>101</v>
      </c>
      <c r="H834" t="s">
        <v>182</v>
      </c>
      <c r="I834" t="s">
        <v>79</v>
      </c>
      <c r="J834" t="s">
        <v>119</v>
      </c>
      <c r="K834" t="s">
        <v>75</v>
      </c>
      <c r="L834" t="s">
        <v>76</v>
      </c>
      <c r="M834" t="s">
        <v>103</v>
      </c>
      <c r="N834" t="s">
        <v>74</v>
      </c>
      <c r="O834" t="s">
        <v>104</v>
      </c>
      <c r="P834" t="s">
        <v>71</v>
      </c>
      <c r="Q834" t="s">
        <v>71</v>
      </c>
      <c r="R834" t="s">
        <v>71</v>
      </c>
      <c r="S834">
        <v>1</v>
      </c>
      <c r="T834">
        <v>1</v>
      </c>
      <c r="U834" t="s">
        <v>72</v>
      </c>
      <c r="V834" t="s">
        <v>192</v>
      </c>
      <c r="W834">
        <v>0</v>
      </c>
      <c r="X834">
        <v>0</v>
      </c>
      <c r="Y834">
        <v>0</v>
      </c>
      <c r="Z834">
        <v>0</v>
      </c>
      <c r="AA834">
        <v>0</v>
      </c>
      <c r="AB834">
        <v>0</v>
      </c>
      <c r="AC834">
        <v>0</v>
      </c>
      <c r="AD834">
        <v>0</v>
      </c>
      <c r="AE834">
        <v>0</v>
      </c>
      <c r="AF834">
        <v>0</v>
      </c>
      <c r="AG834" t="s">
        <v>71</v>
      </c>
      <c r="AH834">
        <v>0</v>
      </c>
      <c r="AI834">
        <v>0</v>
      </c>
      <c r="AJ834">
        <v>0</v>
      </c>
      <c r="AK834">
        <v>0</v>
      </c>
      <c r="AL834" t="s">
        <v>450</v>
      </c>
      <c r="AM834" t="s">
        <v>491</v>
      </c>
      <c r="AN834" t="s">
        <v>148</v>
      </c>
      <c r="AO834" t="s">
        <v>147</v>
      </c>
      <c r="AP834">
        <v>0</v>
      </c>
      <c r="AQ834">
        <v>0</v>
      </c>
      <c r="AR834">
        <v>0</v>
      </c>
      <c r="AS834">
        <v>128</v>
      </c>
      <c r="AT834">
        <v>0</v>
      </c>
      <c r="AU834">
        <v>0</v>
      </c>
      <c r="AV834">
        <v>0</v>
      </c>
      <c r="AW834">
        <v>0</v>
      </c>
      <c r="AX834">
        <v>32</v>
      </c>
      <c r="AY834">
        <v>0</v>
      </c>
    </row>
    <row r="835" spans="1:51" x14ac:dyDescent="0.25">
      <c r="A835">
        <v>200</v>
      </c>
      <c r="B835">
        <v>13380</v>
      </c>
      <c r="C835" t="s">
        <v>735</v>
      </c>
      <c r="D835" t="s">
        <v>96</v>
      </c>
      <c r="E835" t="s">
        <v>100</v>
      </c>
      <c r="F835" t="s">
        <v>107</v>
      </c>
      <c r="G835" t="s">
        <v>101</v>
      </c>
      <c r="H835" t="s">
        <v>182</v>
      </c>
      <c r="I835" t="s">
        <v>79</v>
      </c>
      <c r="J835" t="s">
        <v>119</v>
      </c>
      <c r="K835" t="s">
        <v>75</v>
      </c>
      <c r="L835" t="s">
        <v>76</v>
      </c>
      <c r="M835" t="s">
        <v>103</v>
      </c>
      <c r="N835" t="s">
        <v>74</v>
      </c>
      <c r="O835" t="s">
        <v>104</v>
      </c>
      <c r="P835" t="s">
        <v>71</v>
      </c>
      <c r="Q835" t="s">
        <v>71</v>
      </c>
      <c r="R835" t="s">
        <v>71</v>
      </c>
      <c r="S835">
        <v>1</v>
      </c>
      <c r="T835">
        <v>1</v>
      </c>
      <c r="U835" t="s">
        <v>72</v>
      </c>
      <c r="V835" t="s">
        <v>192</v>
      </c>
      <c r="W835">
        <v>0</v>
      </c>
      <c r="X835">
        <v>0</v>
      </c>
      <c r="Y835">
        <v>0</v>
      </c>
      <c r="Z835">
        <v>0</v>
      </c>
      <c r="AA835">
        <v>0</v>
      </c>
      <c r="AB835">
        <v>0</v>
      </c>
      <c r="AC835">
        <v>0</v>
      </c>
      <c r="AD835">
        <v>0</v>
      </c>
      <c r="AE835">
        <v>0</v>
      </c>
      <c r="AF835">
        <v>0</v>
      </c>
      <c r="AG835" t="s">
        <v>71</v>
      </c>
      <c r="AH835">
        <v>0</v>
      </c>
      <c r="AI835">
        <v>0</v>
      </c>
      <c r="AJ835">
        <v>0</v>
      </c>
      <c r="AK835">
        <v>0</v>
      </c>
      <c r="AL835" t="s">
        <v>450</v>
      </c>
      <c r="AM835" t="s">
        <v>491</v>
      </c>
      <c r="AN835" t="s">
        <v>148</v>
      </c>
      <c r="AO835" t="s">
        <v>147</v>
      </c>
      <c r="AP835">
        <v>0</v>
      </c>
      <c r="AQ835">
        <v>0</v>
      </c>
      <c r="AR835">
        <v>0</v>
      </c>
      <c r="AS835">
        <v>128</v>
      </c>
      <c r="AT835">
        <v>0</v>
      </c>
      <c r="AU835">
        <v>0</v>
      </c>
      <c r="AV835">
        <v>0</v>
      </c>
      <c r="AW835">
        <v>0</v>
      </c>
      <c r="AX835">
        <v>32</v>
      </c>
      <c r="AY835">
        <v>0</v>
      </c>
    </row>
    <row r="836" spans="1:51" x14ac:dyDescent="0.25">
      <c r="A836">
        <v>200</v>
      </c>
      <c r="B836">
        <v>13390</v>
      </c>
      <c r="C836" t="s">
        <v>735</v>
      </c>
      <c r="D836" t="s">
        <v>96</v>
      </c>
      <c r="E836" t="s">
        <v>100</v>
      </c>
      <c r="F836" t="s">
        <v>107</v>
      </c>
      <c r="G836" t="s">
        <v>101</v>
      </c>
      <c r="H836" t="s">
        <v>182</v>
      </c>
      <c r="I836" t="s">
        <v>79</v>
      </c>
      <c r="J836" t="s">
        <v>119</v>
      </c>
      <c r="K836" t="s">
        <v>75</v>
      </c>
      <c r="L836" t="s">
        <v>76</v>
      </c>
      <c r="M836" t="s">
        <v>103</v>
      </c>
      <c r="N836" t="s">
        <v>74</v>
      </c>
      <c r="O836" t="s">
        <v>104</v>
      </c>
      <c r="P836" t="s">
        <v>71</v>
      </c>
      <c r="Q836" t="s">
        <v>71</v>
      </c>
      <c r="R836" t="s">
        <v>71</v>
      </c>
      <c r="S836">
        <v>1</v>
      </c>
      <c r="T836">
        <v>1</v>
      </c>
      <c r="U836" t="s">
        <v>72</v>
      </c>
      <c r="V836" t="s">
        <v>192</v>
      </c>
      <c r="W836">
        <v>0</v>
      </c>
      <c r="X836">
        <v>0</v>
      </c>
      <c r="Y836">
        <v>0</v>
      </c>
      <c r="Z836">
        <v>0</v>
      </c>
      <c r="AA836">
        <v>0</v>
      </c>
      <c r="AB836">
        <v>0</v>
      </c>
      <c r="AC836">
        <v>0</v>
      </c>
      <c r="AD836">
        <v>0</v>
      </c>
      <c r="AE836">
        <v>0</v>
      </c>
      <c r="AF836">
        <v>0</v>
      </c>
      <c r="AG836" t="s">
        <v>71</v>
      </c>
      <c r="AH836">
        <v>0</v>
      </c>
      <c r="AI836">
        <v>0</v>
      </c>
      <c r="AJ836">
        <v>0</v>
      </c>
      <c r="AK836">
        <v>0</v>
      </c>
      <c r="AL836" t="s">
        <v>450</v>
      </c>
      <c r="AM836" t="s">
        <v>491</v>
      </c>
      <c r="AN836" t="s">
        <v>148</v>
      </c>
      <c r="AO836" t="s">
        <v>147</v>
      </c>
      <c r="AP836">
        <v>0</v>
      </c>
      <c r="AQ836">
        <v>0</v>
      </c>
      <c r="AR836">
        <v>0</v>
      </c>
      <c r="AS836">
        <v>128</v>
      </c>
      <c r="AT836">
        <v>0</v>
      </c>
      <c r="AU836">
        <v>0</v>
      </c>
      <c r="AV836">
        <v>0</v>
      </c>
      <c r="AW836">
        <v>0</v>
      </c>
      <c r="AX836">
        <v>32</v>
      </c>
      <c r="AY836">
        <v>0</v>
      </c>
    </row>
    <row r="837" spans="1:51" x14ac:dyDescent="0.25">
      <c r="A837">
        <v>200</v>
      </c>
      <c r="B837">
        <v>13400</v>
      </c>
      <c r="C837" t="s">
        <v>735</v>
      </c>
      <c r="D837" t="s">
        <v>96</v>
      </c>
      <c r="E837" t="s">
        <v>100</v>
      </c>
      <c r="F837" t="s">
        <v>107</v>
      </c>
      <c r="G837" t="s">
        <v>101</v>
      </c>
      <c r="H837" t="s">
        <v>182</v>
      </c>
      <c r="I837" t="s">
        <v>79</v>
      </c>
      <c r="J837" t="s">
        <v>119</v>
      </c>
      <c r="K837" t="s">
        <v>75</v>
      </c>
      <c r="L837" t="s">
        <v>76</v>
      </c>
      <c r="M837" t="s">
        <v>103</v>
      </c>
      <c r="N837" t="s">
        <v>74</v>
      </c>
      <c r="O837" t="s">
        <v>104</v>
      </c>
      <c r="P837" t="s">
        <v>71</v>
      </c>
      <c r="Q837" t="s">
        <v>71</v>
      </c>
      <c r="R837" t="s">
        <v>71</v>
      </c>
      <c r="S837">
        <v>1</v>
      </c>
      <c r="T837">
        <v>1</v>
      </c>
      <c r="U837" t="s">
        <v>72</v>
      </c>
      <c r="V837" t="s">
        <v>192</v>
      </c>
      <c r="W837">
        <v>0</v>
      </c>
      <c r="X837">
        <v>0</v>
      </c>
      <c r="Y837">
        <v>0</v>
      </c>
      <c r="Z837">
        <v>0</v>
      </c>
      <c r="AA837">
        <v>0</v>
      </c>
      <c r="AB837">
        <v>0</v>
      </c>
      <c r="AC837">
        <v>0</v>
      </c>
      <c r="AD837">
        <v>0</v>
      </c>
      <c r="AE837">
        <v>0</v>
      </c>
      <c r="AF837">
        <v>0</v>
      </c>
      <c r="AG837" t="s">
        <v>71</v>
      </c>
      <c r="AH837">
        <v>0</v>
      </c>
      <c r="AI837">
        <v>0</v>
      </c>
      <c r="AJ837">
        <v>0</v>
      </c>
      <c r="AK837">
        <v>0</v>
      </c>
      <c r="AL837" t="s">
        <v>450</v>
      </c>
      <c r="AM837" t="s">
        <v>491</v>
      </c>
      <c r="AN837" t="s">
        <v>148</v>
      </c>
      <c r="AO837" t="s">
        <v>147</v>
      </c>
      <c r="AP837">
        <v>0</v>
      </c>
      <c r="AQ837">
        <v>0</v>
      </c>
      <c r="AR837">
        <v>0</v>
      </c>
      <c r="AS837">
        <v>128</v>
      </c>
      <c r="AT837">
        <v>0</v>
      </c>
      <c r="AU837">
        <v>0</v>
      </c>
      <c r="AV837">
        <v>0</v>
      </c>
      <c r="AW837">
        <v>0</v>
      </c>
      <c r="AX837">
        <v>32</v>
      </c>
      <c r="AY837">
        <v>0</v>
      </c>
    </row>
    <row r="838" spans="1:51" x14ac:dyDescent="0.25">
      <c r="A838">
        <v>200</v>
      </c>
      <c r="B838">
        <v>13410</v>
      </c>
      <c r="C838" t="s">
        <v>735</v>
      </c>
      <c r="D838" t="s">
        <v>96</v>
      </c>
      <c r="E838" t="s">
        <v>100</v>
      </c>
      <c r="F838" t="s">
        <v>107</v>
      </c>
      <c r="G838" t="s">
        <v>101</v>
      </c>
      <c r="H838" t="s">
        <v>182</v>
      </c>
      <c r="I838" t="s">
        <v>79</v>
      </c>
      <c r="J838" t="s">
        <v>70</v>
      </c>
      <c r="K838" t="s">
        <v>75</v>
      </c>
      <c r="L838" t="s">
        <v>76</v>
      </c>
      <c r="M838" t="s">
        <v>103</v>
      </c>
      <c r="N838" t="s">
        <v>74</v>
      </c>
      <c r="O838" t="s">
        <v>104</v>
      </c>
      <c r="P838" t="s">
        <v>71</v>
      </c>
      <c r="Q838" t="s">
        <v>71</v>
      </c>
      <c r="R838" t="s">
        <v>71</v>
      </c>
      <c r="S838">
        <v>1</v>
      </c>
      <c r="T838">
        <v>1</v>
      </c>
      <c r="U838" t="s">
        <v>72</v>
      </c>
      <c r="V838" t="s">
        <v>192</v>
      </c>
      <c r="W838">
        <v>0</v>
      </c>
      <c r="X838">
        <v>0</v>
      </c>
      <c r="Y838">
        <v>0</v>
      </c>
      <c r="Z838">
        <v>0</v>
      </c>
      <c r="AA838">
        <v>0</v>
      </c>
      <c r="AB838">
        <v>0</v>
      </c>
      <c r="AC838">
        <v>0</v>
      </c>
      <c r="AD838">
        <v>0</v>
      </c>
      <c r="AE838">
        <v>0</v>
      </c>
      <c r="AF838">
        <v>0</v>
      </c>
      <c r="AG838" t="s">
        <v>71</v>
      </c>
      <c r="AH838">
        <v>0</v>
      </c>
      <c r="AI838">
        <v>0</v>
      </c>
      <c r="AJ838">
        <v>0</v>
      </c>
      <c r="AK838">
        <v>0</v>
      </c>
      <c r="AL838" t="s">
        <v>450</v>
      </c>
      <c r="AM838" t="s">
        <v>491</v>
      </c>
      <c r="AN838" t="s">
        <v>148</v>
      </c>
      <c r="AO838" t="s">
        <v>147</v>
      </c>
      <c r="AP838">
        <v>0</v>
      </c>
      <c r="AQ838">
        <v>0</v>
      </c>
      <c r="AR838">
        <v>0</v>
      </c>
      <c r="AS838">
        <v>128</v>
      </c>
      <c r="AT838">
        <v>0</v>
      </c>
      <c r="AU838">
        <v>0</v>
      </c>
      <c r="AV838">
        <v>0</v>
      </c>
      <c r="AW838">
        <v>0</v>
      </c>
      <c r="AX838">
        <v>32</v>
      </c>
      <c r="AY838">
        <v>0</v>
      </c>
    </row>
    <row r="839" spans="1:51" x14ac:dyDescent="0.25">
      <c r="A839">
        <v>200</v>
      </c>
      <c r="B839">
        <v>13420</v>
      </c>
      <c r="C839" t="s">
        <v>735</v>
      </c>
      <c r="D839" t="s">
        <v>96</v>
      </c>
      <c r="E839" t="s">
        <v>100</v>
      </c>
      <c r="F839" t="s">
        <v>107</v>
      </c>
      <c r="G839" t="s">
        <v>101</v>
      </c>
      <c r="H839" t="s">
        <v>182</v>
      </c>
      <c r="I839" t="s">
        <v>79</v>
      </c>
      <c r="J839" t="s">
        <v>70</v>
      </c>
      <c r="K839" t="s">
        <v>75</v>
      </c>
      <c r="L839" t="s">
        <v>76</v>
      </c>
      <c r="M839" t="s">
        <v>103</v>
      </c>
      <c r="N839" t="s">
        <v>74</v>
      </c>
      <c r="O839" t="s">
        <v>104</v>
      </c>
      <c r="P839" t="s">
        <v>71</v>
      </c>
      <c r="Q839" t="s">
        <v>71</v>
      </c>
      <c r="R839" t="s">
        <v>71</v>
      </c>
      <c r="S839">
        <v>1</v>
      </c>
      <c r="T839">
        <v>1</v>
      </c>
      <c r="U839" t="s">
        <v>72</v>
      </c>
      <c r="V839" t="s">
        <v>192</v>
      </c>
      <c r="W839">
        <v>0</v>
      </c>
      <c r="X839">
        <v>0</v>
      </c>
      <c r="Y839">
        <v>0</v>
      </c>
      <c r="Z839">
        <v>0</v>
      </c>
      <c r="AA839">
        <v>0</v>
      </c>
      <c r="AB839">
        <v>0</v>
      </c>
      <c r="AC839">
        <v>0</v>
      </c>
      <c r="AD839">
        <v>0</v>
      </c>
      <c r="AE839">
        <v>0</v>
      </c>
      <c r="AF839">
        <v>0</v>
      </c>
      <c r="AG839" t="s">
        <v>71</v>
      </c>
      <c r="AH839">
        <v>0</v>
      </c>
      <c r="AI839">
        <v>0</v>
      </c>
      <c r="AJ839">
        <v>0</v>
      </c>
      <c r="AK839">
        <v>0</v>
      </c>
      <c r="AL839" t="s">
        <v>450</v>
      </c>
      <c r="AM839" t="s">
        <v>491</v>
      </c>
      <c r="AN839" t="s">
        <v>148</v>
      </c>
      <c r="AO839" t="s">
        <v>147</v>
      </c>
      <c r="AP839">
        <v>0</v>
      </c>
      <c r="AQ839">
        <v>0</v>
      </c>
      <c r="AR839">
        <v>0</v>
      </c>
      <c r="AS839">
        <v>128</v>
      </c>
      <c r="AT839">
        <v>0</v>
      </c>
      <c r="AU839">
        <v>0</v>
      </c>
      <c r="AV839">
        <v>0</v>
      </c>
      <c r="AW839">
        <v>0</v>
      </c>
      <c r="AX839">
        <v>32</v>
      </c>
      <c r="AY839">
        <v>0</v>
      </c>
    </row>
    <row r="840" spans="1:51" x14ac:dyDescent="0.25">
      <c r="A840">
        <v>200</v>
      </c>
      <c r="B840">
        <v>16380</v>
      </c>
      <c r="C840" t="s">
        <v>735</v>
      </c>
      <c r="D840" t="s">
        <v>96</v>
      </c>
      <c r="E840" t="s">
        <v>100</v>
      </c>
      <c r="F840" t="s">
        <v>107</v>
      </c>
      <c r="G840" t="s">
        <v>101</v>
      </c>
      <c r="H840" t="s">
        <v>182</v>
      </c>
      <c r="I840" t="s">
        <v>79</v>
      </c>
      <c r="J840" t="s">
        <v>152</v>
      </c>
      <c r="K840" t="s">
        <v>75</v>
      </c>
      <c r="L840" t="s">
        <v>76</v>
      </c>
      <c r="M840" t="s">
        <v>103</v>
      </c>
      <c r="N840" t="s">
        <v>74</v>
      </c>
      <c r="O840" t="s">
        <v>104</v>
      </c>
      <c r="P840" t="s">
        <v>71</v>
      </c>
      <c r="Q840" t="s">
        <v>71</v>
      </c>
      <c r="R840" t="s">
        <v>71</v>
      </c>
      <c r="S840">
        <v>1</v>
      </c>
      <c r="T840">
        <v>1</v>
      </c>
      <c r="U840" t="s">
        <v>72</v>
      </c>
      <c r="V840" t="s">
        <v>192</v>
      </c>
      <c r="W840">
        <v>0</v>
      </c>
      <c r="X840">
        <v>0</v>
      </c>
      <c r="Y840">
        <v>0</v>
      </c>
      <c r="Z840">
        <v>0</v>
      </c>
      <c r="AA840">
        <v>0</v>
      </c>
      <c r="AB840">
        <v>0</v>
      </c>
      <c r="AC840">
        <v>0</v>
      </c>
      <c r="AD840">
        <v>0</v>
      </c>
      <c r="AE840">
        <v>0</v>
      </c>
      <c r="AF840">
        <v>0</v>
      </c>
      <c r="AG840" t="s">
        <v>71</v>
      </c>
      <c r="AH840">
        <v>0</v>
      </c>
      <c r="AI840">
        <v>0</v>
      </c>
      <c r="AJ840">
        <v>0</v>
      </c>
      <c r="AK840">
        <v>0</v>
      </c>
      <c r="AL840" t="s">
        <v>450</v>
      </c>
      <c r="AM840" t="s">
        <v>491</v>
      </c>
      <c r="AN840" t="s">
        <v>148</v>
      </c>
      <c r="AO840" t="s">
        <v>147</v>
      </c>
      <c r="AP840">
        <v>0</v>
      </c>
      <c r="AQ840">
        <v>0</v>
      </c>
      <c r="AR840">
        <v>0</v>
      </c>
      <c r="AS840">
        <v>128</v>
      </c>
      <c r="AT840">
        <v>0</v>
      </c>
      <c r="AU840">
        <v>0</v>
      </c>
      <c r="AV840">
        <v>0</v>
      </c>
      <c r="AW840">
        <v>0</v>
      </c>
      <c r="AX840">
        <v>32</v>
      </c>
      <c r="AY840">
        <v>0</v>
      </c>
    </row>
    <row r="841" spans="1:51" x14ac:dyDescent="0.25">
      <c r="A841">
        <v>200</v>
      </c>
      <c r="B841">
        <v>16390</v>
      </c>
      <c r="C841" t="s">
        <v>735</v>
      </c>
      <c r="D841" t="s">
        <v>96</v>
      </c>
      <c r="E841" t="s">
        <v>100</v>
      </c>
      <c r="F841" t="s">
        <v>107</v>
      </c>
      <c r="G841" t="s">
        <v>101</v>
      </c>
      <c r="H841" t="s">
        <v>182</v>
      </c>
      <c r="I841" t="s">
        <v>79</v>
      </c>
      <c r="J841" t="s">
        <v>119</v>
      </c>
      <c r="K841" t="s">
        <v>75</v>
      </c>
      <c r="L841" t="s">
        <v>76</v>
      </c>
      <c r="M841" t="s">
        <v>103</v>
      </c>
      <c r="N841" t="s">
        <v>74</v>
      </c>
      <c r="O841" t="s">
        <v>104</v>
      </c>
      <c r="P841" t="s">
        <v>71</v>
      </c>
      <c r="Q841" t="s">
        <v>71</v>
      </c>
      <c r="R841" t="s">
        <v>71</v>
      </c>
      <c r="S841">
        <v>1</v>
      </c>
      <c r="T841">
        <v>1</v>
      </c>
      <c r="U841" t="s">
        <v>72</v>
      </c>
      <c r="V841" t="s">
        <v>192</v>
      </c>
      <c r="W841">
        <v>0</v>
      </c>
      <c r="X841">
        <v>0</v>
      </c>
      <c r="Y841">
        <v>0</v>
      </c>
      <c r="Z841">
        <v>0</v>
      </c>
      <c r="AA841">
        <v>0</v>
      </c>
      <c r="AB841">
        <v>0</v>
      </c>
      <c r="AC841">
        <v>0</v>
      </c>
      <c r="AD841">
        <v>0</v>
      </c>
      <c r="AE841">
        <v>0</v>
      </c>
      <c r="AF841">
        <v>0</v>
      </c>
      <c r="AG841" t="s">
        <v>71</v>
      </c>
      <c r="AH841">
        <v>0</v>
      </c>
      <c r="AI841">
        <v>0</v>
      </c>
      <c r="AJ841">
        <v>0</v>
      </c>
      <c r="AK841">
        <v>0</v>
      </c>
      <c r="AL841" t="s">
        <v>450</v>
      </c>
      <c r="AM841" t="s">
        <v>491</v>
      </c>
      <c r="AN841" t="s">
        <v>148</v>
      </c>
      <c r="AO841" t="s">
        <v>147</v>
      </c>
      <c r="AP841">
        <v>0</v>
      </c>
      <c r="AQ841">
        <v>0</v>
      </c>
      <c r="AR841">
        <v>0</v>
      </c>
      <c r="AS841">
        <v>128</v>
      </c>
      <c r="AT841">
        <v>0</v>
      </c>
      <c r="AU841">
        <v>0</v>
      </c>
      <c r="AV841">
        <v>0</v>
      </c>
      <c r="AW841">
        <v>0</v>
      </c>
      <c r="AX841">
        <v>32</v>
      </c>
      <c r="AY841">
        <v>0</v>
      </c>
    </row>
    <row r="842" spans="1:51" x14ac:dyDescent="0.25">
      <c r="A842">
        <v>200</v>
      </c>
      <c r="B842">
        <v>16400</v>
      </c>
      <c r="C842" t="s">
        <v>735</v>
      </c>
      <c r="D842" t="s">
        <v>96</v>
      </c>
      <c r="E842" t="s">
        <v>100</v>
      </c>
      <c r="F842" t="s">
        <v>107</v>
      </c>
      <c r="G842" t="s">
        <v>101</v>
      </c>
      <c r="H842" t="s">
        <v>182</v>
      </c>
      <c r="I842" t="s">
        <v>79</v>
      </c>
      <c r="J842" t="s">
        <v>150</v>
      </c>
      <c r="K842" t="s">
        <v>75</v>
      </c>
      <c r="L842" t="s">
        <v>76</v>
      </c>
      <c r="M842" t="s">
        <v>103</v>
      </c>
      <c r="N842" t="s">
        <v>74</v>
      </c>
      <c r="O842" t="s">
        <v>104</v>
      </c>
      <c r="P842" t="s">
        <v>71</v>
      </c>
      <c r="Q842" t="s">
        <v>71</v>
      </c>
      <c r="R842" t="s">
        <v>71</v>
      </c>
      <c r="S842">
        <v>1</v>
      </c>
      <c r="T842">
        <v>1</v>
      </c>
      <c r="U842" t="s">
        <v>72</v>
      </c>
      <c r="V842" t="s">
        <v>192</v>
      </c>
      <c r="W842">
        <v>0</v>
      </c>
      <c r="X842">
        <v>0</v>
      </c>
      <c r="Y842">
        <v>0</v>
      </c>
      <c r="Z842">
        <v>0</v>
      </c>
      <c r="AA842">
        <v>0</v>
      </c>
      <c r="AB842">
        <v>0</v>
      </c>
      <c r="AC842">
        <v>0</v>
      </c>
      <c r="AD842">
        <v>0</v>
      </c>
      <c r="AE842">
        <v>0</v>
      </c>
      <c r="AF842">
        <v>0</v>
      </c>
      <c r="AG842" t="s">
        <v>71</v>
      </c>
      <c r="AH842">
        <v>0</v>
      </c>
      <c r="AI842">
        <v>0</v>
      </c>
      <c r="AJ842">
        <v>0</v>
      </c>
      <c r="AK842">
        <v>0</v>
      </c>
      <c r="AL842" t="s">
        <v>450</v>
      </c>
      <c r="AM842" t="s">
        <v>491</v>
      </c>
      <c r="AN842" t="s">
        <v>148</v>
      </c>
      <c r="AO842" t="s">
        <v>147</v>
      </c>
      <c r="AP842">
        <v>0</v>
      </c>
      <c r="AQ842">
        <v>0</v>
      </c>
      <c r="AR842">
        <v>0</v>
      </c>
      <c r="AS842">
        <v>128</v>
      </c>
      <c r="AT842">
        <v>0</v>
      </c>
      <c r="AU842">
        <v>0</v>
      </c>
      <c r="AV842">
        <v>0</v>
      </c>
      <c r="AW842">
        <v>0</v>
      </c>
      <c r="AX842">
        <v>32</v>
      </c>
      <c r="AY842">
        <v>0</v>
      </c>
    </row>
    <row r="843" spans="1:51" x14ac:dyDescent="0.25">
      <c r="A843">
        <v>200</v>
      </c>
      <c r="B843">
        <v>16410</v>
      </c>
      <c r="C843" t="s">
        <v>735</v>
      </c>
      <c r="D843" t="s">
        <v>96</v>
      </c>
      <c r="E843" t="s">
        <v>100</v>
      </c>
      <c r="F843" t="s">
        <v>107</v>
      </c>
      <c r="G843" t="s">
        <v>101</v>
      </c>
      <c r="H843" t="s">
        <v>182</v>
      </c>
      <c r="I843" t="s">
        <v>79</v>
      </c>
      <c r="J843" t="s">
        <v>150</v>
      </c>
      <c r="K843" t="s">
        <v>75</v>
      </c>
      <c r="L843" t="s">
        <v>76</v>
      </c>
      <c r="M843" t="s">
        <v>103</v>
      </c>
      <c r="N843" t="s">
        <v>74</v>
      </c>
      <c r="O843" t="s">
        <v>104</v>
      </c>
      <c r="P843" t="s">
        <v>71</v>
      </c>
      <c r="Q843" t="s">
        <v>71</v>
      </c>
      <c r="R843" t="s">
        <v>71</v>
      </c>
      <c r="S843">
        <v>1</v>
      </c>
      <c r="T843">
        <v>1</v>
      </c>
      <c r="U843" t="s">
        <v>72</v>
      </c>
      <c r="V843" t="s">
        <v>192</v>
      </c>
      <c r="W843">
        <v>0</v>
      </c>
      <c r="X843">
        <v>0</v>
      </c>
      <c r="Y843">
        <v>0</v>
      </c>
      <c r="Z843">
        <v>0</v>
      </c>
      <c r="AA843">
        <v>0</v>
      </c>
      <c r="AB843">
        <v>0</v>
      </c>
      <c r="AC843">
        <v>0</v>
      </c>
      <c r="AD843">
        <v>0</v>
      </c>
      <c r="AE843">
        <v>0</v>
      </c>
      <c r="AF843">
        <v>0</v>
      </c>
      <c r="AG843" t="s">
        <v>71</v>
      </c>
      <c r="AH843">
        <v>0</v>
      </c>
      <c r="AI843">
        <v>0</v>
      </c>
      <c r="AJ843">
        <v>0</v>
      </c>
      <c r="AK843">
        <v>0</v>
      </c>
      <c r="AL843" t="s">
        <v>450</v>
      </c>
      <c r="AM843" t="s">
        <v>491</v>
      </c>
      <c r="AN843" t="s">
        <v>148</v>
      </c>
      <c r="AO843" t="s">
        <v>147</v>
      </c>
      <c r="AP843">
        <v>0</v>
      </c>
      <c r="AQ843">
        <v>0</v>
      </c>
      <c r="AR843">
        <v>0</v>
      </c>
      <c r="AS843">
        <v>128</v>
      </c>
      <c r="AT843">
        <v>0</v>
      </c>
      <c r="AU843">
        <v>0</v>
      </c>
      <c r="AV843">
        <v>0</v>
      </c>
      <c r="AW843">
        <v>0</v>
      </c>
      <c r="AX843">
        <v>32</v>
      </c>
      <c r="AY843">
        <v>0</v>
      </c>
    </row>
    <row r="844" spans="1:51" x14ac:dyDescent="0.25">
      <c r="A844">
        <v>200</v>
      </c>
      <c r="B844">
        <v>19380</v>
      </c>
      <c r="C844" t="s">
        <v>735</v>
      </c>
      <c r="D844" t="s">
        <v>96</v>
      </c>
      <c r="E844" t="s">
        <v>100</v>
      </c>
      <c r="F844" t="s">
        <v>107</v>
      </c>
      <c r="G844" t="s">
        <v>101</v>
      </c>
      <c r="H844" t="s">
        <v>182</v>
      </c>
      <c r="I844" t="s">
        <v>79</v>
      </c>
      <c r="J844" t="s">
        <v>150</v>
      </c>
      <c r="K844" t="s">
        <v>75</v>
      </c>
      <c r="L844" t="s">
        <v>76</v>
      </c>
      <c r="M844" t="s">
        <v>103</v>
      </c>
      <c r="N844" t="s">
        <v>74</v>
      </c>
      <c r="O844" t="s">
        <v>104</v>
      </c>
      <c r="P844" t="s">
        <v>71</v>
      </c>
      <c r="Q844" t="s">
        <v>71</v>
      </c>
      <c r="R844" t="s">
        <v>71</v>
      </c>
      <c r="S844">
        <v>1</v>
      </c>
      <c r="T844">
        <v>1</v>
      </c>
      <c r="U844" t="s">
        <v>72</v>
      </c>
      <c r="V844" t="s">
        <v>192</v>
      </c>
      <c r="W844">
        <v>0</v>
      </c>
      <c r="X844">
        <v>0</v>
      </c>
      <c r="Y844">
        <v>0</v>
      </c>
      <c r="Z844">
        <v>0</v>
      </c>
      <c r="AA844">
        <v>0</v>
      </c>
      <c r="AB844">
        <v>0</v>
      </c>
      <c r="AC844">
        <v>0</v>
      </c>
      <c r="AD844">
        <v>0</v>
      </c>
      <c r="AE844">
        <v>0</v>
      </c>
      <c r="AF844">
        <v>0</v>
      </c>
      <c r="AG844" t="s">
        <v>71</v>
      </c>
      <c r="AH844">
        <v>0</v>
      </c>
      <c r="AI844">
        <v>0</v>
      </c>
      <c r="AJ844">
        <v>0</v>
      </c>
      <c r="AK844">
        <v>0</v>
      </c>
      <c r="AL844" t="s">
        <v>450</v>
      </c>
      <c r="AM844" t="s">
        <v>491</v>
      </c>
      <c r="AN844" t="s">
        <v>148</v>
      </c>
      <c r="AO844" t="s">
        <v>147</v>
      </c>
      <c r="AP844">
        <v>0</v>
      </c>
      <c r="AQ844">
        <v>0</v>
      </c>
      <c r="AR844">
        <v>0</v>
      </c>
      <c r="AS844">
        <v>128</v>
      </c>
      <c r="AT844">
        <v>0</v>
      </c>
      <c r="AU844">
        <v>0</v>
      </c>
      <c r="AV844">
        <v>0</v>
      </c>
      <c r="AW844">
        <v>0</v>
      </c>
      <c r="AX844">
        <v>32</v>
      </c>
      <c r="AY844">
        <v>0</v>
      </c>
    </row>
    <row r="845" spans="1:51" x14ac:dyDescent="0.25">
      <c r="A845">
        <v>200</v>
      </c>
      <c r="B845">
        <v>19390</v>
      </c>
      <c r="C845" t="s">
        <v>735</v>
      </c>
      <c r="D845" t="s">
        <v>96</v>
      </c>
      <c r="E845" t="s">
        <v>100</v>
      </c>
      <c r="F845" t="s">
        <v>107</v>
      </c>
      <c r="G845" t="s">
        <v>101</v>
      </c>
      <c r="H845" t="s">
        <v>182</v>
      </c>
      <c r="I845" t="s">
        <v>79</v>
      </c>
      <c r="J845" t="s">
        <v>150</v>
      </c>
      <c r="K845" t="s">
        <v>75</v>
      </c>
      <c r="L845" t="s">
        <v>76</v>
      </c>
      <c r="M845" t="s">
        <v>103</v>
      </c>
      <c r="N845" t="s">
        <v>74</v>
      </c>
      <c r="O845" t="s">
        <v>104</v>
      </c>
      <c r="P845" t="s">
        <v>71</v>
      </c>
      <c r="Q845" t="s">
        <v>71</v>
      </c>
      <c r="R845" t="s">
        <v>71</v>
      </c>
      <c r="S845">
        <v>1</v>
      </c>
      <c r="T845">
        <v>1</v>
      </c>
      <c r="U845" t="s">
        <v>72</v>
      </c>
      <c r="V845" t="s">
        <v>192</v>
      </c>
      <c r="W845">
        <v>0</v>
      </c>
      <c r="X845">
        <v>0</v>
      </c>
      <c r="Y845">
        <v>0</v>
      </c>
      <c r="Z845">
        <v>0</v>
      </c>
      <c r="AA845">
        <v>0</v>
      </c>
      <c r="AB845">
        <v>0</v>
      </c>
      <c r="AC845">
        <v>0</v>
      </c>
      <c r="AD845">
        <v>0</v>
      </c>
      <c r="AE845">
        <v>0</v>
      </c>
      <c r="AF845">
        <v>0</v>
      </c>
      <c r="AG845" t="s">
        <v>71</v>
      </c>
      <c r="AH845">
        <v>0</v>
      </c>
      <c r="AI845">
        <v>0</v>
      </c>
      <c r="AJ845">
        <v>0</v>
      </c>
      <c r="AK845">
        <v>0</v>
      </c>
      <c r="AL845" t="s">
        <v>450</v>
      </c>
      <c r="AM845" t="s">
        <v>491</v>
      </c>
      <c r="AN845" t="s">
        <v>148</v>
      </c>
      <c r="AO845" t="s">
        <v>147</v>
      </c>
      <c r="AP845">
        <v>0</v>
      </c>
      <c r="AQ845">
        <v>0</v>
      </c>
      <c r="AR845">
        <v>0</v>
      </c>
      <c r="AS845">
        <v>128</v>
      </c>
      <c r="AT845">
        <v>0</v>
      </c>
      <c r="AU845">
        <v>0</v>
      </c>
      <c r="AV845">
        <v>0</v>
      </c>
      <c r="AW845">
        <v>0</v>
      </c>
      <c r="AX845">
        <v>0</v>
      </c>
      <c r="AY845">
        <v>0</v>
      </c>
    </row>
    <row r="846" spans="1:51" x14ac:dyDescent="0.25">
      <c r="A846">
        <v>200</v>
      </c>
      <c r="B846">
        <v>19400</v>
      </c>
      <c r="C846" t="s">
        <v>735</v>
      </c>
      <c r="D846" t="s">
        <v>96</v>
      </c>
      <c r="E846" t="s">
        <v>100</v>
      </c>
      <c r="F846" t="s">
        <v>107</v>
      </c>
      <c r="G846" t="s">
        <v>101</v>
      </c>
      <c r="H846" t="s">
        <v>182</v>
      </c>
      <c r="I846" t="s">
        <v>79</v>
      </c>
      <c r="J846" t="s">
        <v>150</v>
      </c>
      <c r="K846" t="s">
        <v>75</v>
      </c>
      <c r="L846" t="s">
        <v>76</v>
      </c>
      <c r="M846" t="s">
        <v>103</v>
      </c>
      <c r="N846" t="s">
        <v>74</v>
      </c>
      <c r="O846" t="s">
        <v>104</v>
      </c>
      <c r="P846" t="s">
        <v>71</v>
      </c>
      <c r="Q846" t="s">
        <v>71</v>
      </c>
      <c r="R846" t="s">
        <v>71</v>
      </c>
      <c r="S846">
        <v>1</v>
      </c>
      <c r="T846">
        <v>1</v>
      </c>
      <c r="U846" t="s">
        <v>72</v>
      </c>
      <c r="V846" t="s">
        <v>192</v>
      </c>
      <c r="W846">
        <v>0</v>
      </c>
      <c r="X846">
        <v>0</v>
      </c>
      <c r="Y846">
        <v>0</v>
      </c>
      <c r="Z846">
        <v>0</v>
      </c>
      <c r="AA846">
        <v>0</v>
      </c>
      <c r="AB846">
        <v>0</v>
      </c>
      <c r="AC846">
        <v>0</v>
      </c>
      <c r="AD846">
        <v>0</v>
      </c>
      <c r="AE846">
        <v>0</v>
      </c>
      <c r="AF846">
        <v>0</v>
      </c>
      <c r="AG846" t="s">
        <v>71</v>
      </c>
      <c r="AH846">
        <v>0</v>
      </c>
      <c r="AI846">
        <v>0</v>
      </c>
      <c r="AJ846">
        <v>0</v>
      </c>
      <c r="AK846">
        <v>0</v>
      </c>
      <c r="AL846" t="s">
        <v>450</v>
      </c>
      <c r="AM846" t="s">
        <v>491</v>
      </c>
      <c r="AN846" t="s">
        <v>148</v>
      </c>
      <c r="AO846" t="s">
        <v>147</v>
      </c>
      <c r="AP846">
        <v>0</v>
      </c>
      <c r="AQ846">
        <v>0</v>
      </c>
      <c r="AR846">
        <v>0</v>
      </c>
      <c r="AS846">
        <v>128</v>
      </c>
      <c r="AT846">
        <v>0</v>
      </c>
      <c r="AU846">
        <v>0</v>
      </c>
      <c r="AV846">
        <v>0</v>
      </c>
      <c r="AW846">
        <v>0</v>
      </c>
      <c r="AX846">
        <v>0</v>
      </c>
      <c r="AY846">
        <v>0</v>
      </c>
    </row>
    <row r="847" spans="1:51" x14ac:dyDescent="0.25">
      <c r="A847">
        <v>201</v>
      </c>
      <c r="B847">
        <v>19410</v>
      </c>
      <c r="C847" t="s">
        <v>735</v>
      </c>
      <c r="D847" t="s">
        <v>96</v>
      </c>
      <c r="E847" t="s">
        <v>100</v>
      </c>
      <c r="F847" t="s">
        <v>107</v>
      </c>
      <c r="G847" t="s">
        <v>77</v>
      </c>
      <c r="H847" t="s">
        <v>78</v>
      </c>
      <c r="I847" t="s">
        <v>79</v>
      </c>
      <c r="J847" t="s">
        <v>150</v>
      </c>
      <c r="K847" t="s">
        <v>75</v>
      </c>
      <c r="L847" t="s">
        <v>76</v>
      </c>
      <c r="M847" t="s">
        <v>103</v>
      </c>
      <c r="N847" t="s">
        <v>74</v>
      </c>
      <c r="O847" t="s">
        <v>104</v>
      </c>
      <c r="P847" t="s">
        <v>110</v>
      </c>
      <c r="Q847" t="s">
        <v>71</v>
      </c>
      <c r="R847" t="s">
        <v>71</v>
      </c>
      <c r="S847">
        <v>1</v>
      </c>
      <c r="T847">
        <v>1</v>
      </c>
      <c r="U847" t="s">
        <v>72</v>
      </c>
      <c r="V847" t="s">
        <v>192</v>
      </c>
      <c r="W847">
        <v>0</v>
      </c>
      <c r="X847">
        <v>0</v>
      </c>
      <c r="Y847">
        <v>0</v>
      </c>
      <c r="Z847">
        <v>0</v>
      </c>
      <c r="AA847">
        <v>0</v>
      </c>
      <c r="AB847">
        <v>0</v>
      </c>
      <c r="AC847">
        <v>0</v>
      </c>
      <c r="AD847">
        <v>0</v>
      </c>
      <c r="AE847">
        <v>0</v>
      </c>
      <c r="AF847">
        <v>0</v>
      </c>
      <c r="AG847" t="s">
        <v>71</v>
      </c>
      <c r="AH847">
        <v>0</v>
      </c>
      <c r="AI847">
        <v>0</v>
      </c>
      <c r="AJ847">
        <v>0</v>
      </c>
      <c r="AK847">
        <v>0</v>
      </c>
      <c r="AL847" t="s">
        <v>342</v>
      </c>
      <c r="AM847" t="s">
        <v>254</v>
      </c>
      <c r="AN847" t="s">
        <v>94</v>
      </c>
      <c r="AO847" t="s">
        <v>147</v>
      </c>
      <c r="AP847">
        <v>0</v>
      </c>
      <c r="AQ847">
        <v>0</v>
      </c>
      <c r="AR847">
        <v>0</v>
      </c>
      <c r="AS847">
        <v>0</v>
      </c>
      <c r="AT847">
        <v>0</v>
      </c>
      <c r="AU847">
        <v>0</v>
      </c>
      <c r="AV847">
        <v>0</v>
      </c>
      <c r="AW847">
        <v>0</v>
      </c>
      <c r="AX847">
        <v>0</v>
      </c>
      <c r="AY847">
        <v>0</v>
      </c>
    </row>
    <row r="848" spans="1:51" x14ac:dyDescent="0.25">
      <c r="A848">
        <v>202</v>
      </c>
      <c r="B848">
        <v>19420</v>
      </c>
      <c r="C848" t="s">
        <v>735</v>
      </c>
      <c r="D848" t="s">
        <v>96</v>
      </c>
      <c r="E848" t="s">
        <v>121</v>
      </c>
      <c r="F848" t="s">
        <v>107</v>
      </c>
      <c r="G848" t="s">
        <v>77</v>
      </c>
      <c r="H848" t="s">
        <v>78</v>
      </c>
      <c r="I848" t="s">
        <v>79</v>
      </c>
      <c r="J848" t="s">
        <v>150</v>
      </c>
      <c r="K848" t="s">
        <v>75</v>
      </c>
      <c r="L848" t="s">
        <v>203</v>
      </c>
      <c r="M848" t="s">
        <v>103</v>
      </c>
      <c r="N848" t="s">
        <v>74</v>
      </c>
      <c r="O848" t="s">
        <v>104</v>
      </c>
      <c r="P848" t="s">
        <v>71</v>
      </c>
      <c r="Q848" t="s">
        <v>110</v>
      </c>
      <c r="R848" t="s">
        <v>71</v>
      </c>
      <c r="S848">
        <v>1</v>
      </c>
      <c r="T848">
        <v>1</v>
      </c>
      <c r="U848" t="s">
        <v>72</v>
      </c>
      <c r="V848" t="s">
        <v>188</v>
      </c>
      <c r="W848">
        <v>0</v>
      </c>
      <c r="X848">
        <v>0</v>
      </c>
      <c r="Y848">
        <v>0</v>
      </c>
      <c r="Z848">
        <v>0</v>
      </c>
      <c r="AA848">
        <v>0</v>
      </c>
      <c r="AB848">
        <v>0</v>
      </c>
      <c r="AC848">
        <v>0</v>
      </c>
      <c r="AD848">
        <v>0</v>
      </c>
      <c r="AE848">
        <v>0</v>
      </c>
      <c r="AF848">
        <v>0</v>
      </c>
      <c r="AG848" t="s">
        <v>71</v>
      </c>
      <c r="AH848">
        <v>0</v>
      </c>
      <c r="AI848">
        <v>0</v>
      </c>
      <c r="AJ848">
        <v>0</v>
      </c>
      <c r="AK848">
        <v>0</v>
      </c>
      <c r="AL848" t="s">
        <v>450</v>
      </c>
      <c r="AM848" t="s">
        <v>491</v>
      </c>
      <c r="AN848" t="s">
        <v>148</v>
      </c>
      <c r="AO848" t="s">
        <v>147</v>
      </c>
      <c r="AP848">
        <v>0</v>
      </c>
      <c r="AQ848">
        <v>0</v>
      </c>
      <c r="AR848">
        <v>0</v>
      </c>
      <c r="AS848">
        <v>0</v>
      </c>
      <c r="AT848">
        <v>0</v>
      </c>
      <c r="AU848">
        <v>0</v>
      </c>
      <c r="AV848">
        <v>0</v>
      </c>
      <c r="AW848">
        <v>0</v>
      </c>
      <c r="AX848">
        <v>0</v>
      </c>
      <c r="AY848">
        <v>0</v>
      </c>
    </row>
    <row r="849" spans="1:51" x14ac:dyDescent="0.25">
      <c r="A849">
        <v>203</v>
      </c>
      <c r="B849">
        <v>19430</v>
      </c>
      <c r="C849" t="s">
        <v>735</v>
      </c>
      <c r="D849" t="s">
        <v>96</v>
      </c>
      <c r="E849" t="s">
        <v>100</v>
      </c>
      <c r="F849" t="s">
        <v>107</v>
      </c>
      <c r="G849" t="s">
        <v>77</v>
      </c>
      <c r="H849" t="s">
        <v>78</v>
      </c>
      <c r="I849" t="s">
        <v>79</v>
      </c>
      <c r="J849" t="s">
        <v>150</v>
      </c>
      <c r="K849" t="s">
        <v>75</v>
      </c>
      <c r="L849" t="s">
        <v>76</v>
      </c>
      <c r="M849" t="s">
        <v>103</v>
      </c>
      <c r="N849" t="s">
        <v>74</v>
      </c>
      <c r="O849" t="s">
        <v>104</v>
      </c>
      <c r="P849" t="s">
        <v>71</v>
      </c>
      <c r="Q849" t="s">
        <v>71</v>
      </c>
      <c r="R849" t="s">
        <v>110</v>
      </c>
      <c r="S849">
        <v>1</v>
      </c>
      <c r="T849">
        <v>1</v>
      </c>
      <c r="U849" t="s">
        <v>72</v>
      </c>
      <c r="V849" t="s">
        <v>192</v>
      </c>
      <c r="W849">
        <v>0</v>
      </c>
      <c r="X849">
        <v>0</v>
      </c>
      <c r="Y849">
        <v>0</v>
      </c>
      <c r="Z849">
        <v>0</v>
      </c>
      <c r="AA849">
        <v>0</v>
      </c>
      <c r="AB849">
        <v>0</v>
      </c>
      <c r="AC849">
        <v>0</v>
      </c>
      <c r="AD849">
        <v>0</v>
      </c>
      <c r="AE849">
        <v>0</v>
      </c>
      <c r="AF849">
        <v>0</v>
      </c>
      <c r="AG849" t="s">
        <v>71</v>
      </c>
      <c r="AH849">
        <v>0</v>
      </c>
      <c r="AI849">
        <v>0</v>
      </c>
      <c r="AJ849">
        <v>0</v>
      </c>
      <c r="AK849">
        <v>0</v>
      </c>
      <c r="AL849" t="s">
        <v>496</v>
      </c>
      <c r="AM849" t="s">
        <v>491</v>
      </c>
      <c r="AN849" t="s">
        <v>148</v>
      </c>
      <c r="AO849" t="s">
        <v>147</v>
      </c>
      <c r="AP849">
        <v>0</v>
      </c>
      <c r="AQ849">
        <v>0</v>
      </c>
      <c r="AR849">
        <v>0</v>
      </c>
      <c r="AS849">
        <v>0</v>
      </c>
      <c r="AT849">
        <v>0</v>
      </c>
      <c r="AU849">
        <v>0</v>
      </c>
      <c r="AV849">
        <v>0</v>
      </c>
      <c r="AW849">
        <v>0</v>
      </c>
      <c r="AX849">
        <v>0</v>
      </c>
      <c r="AY849">
        <v>0</v>
      </c>
    </row>
    <row r="850" spans="1:51" x14ac:dyDescent="0.25">
      <c r="A850">
        <v>204</v>
      </c>
      <c r="B850">
        <v>19440</v>
      </c>
      <c r="C850" t="s">
        <v>735</v>
      </c>
      <c r="D850" t="s">
        <v>96</v>
      </c>
      <c r="E850" t="s">
        <v>100</v>
      </c>
      <c r="F850" t="s">
        <v>98</v>
      </c>
      <c r="G850" t="s">
        <v>77</v>
      </c>
      <c r="H850" t="s">
        <v>78</v>
      </c>
      <c r="I850" t="s">
        <v>79</v>
      </c>
      <c r="J850" t="s">
        <v>150</v>
      </c>
      <c r="K850" t="s">
        <v>75</v>
      </c>
      <c r="L850" t="s">
        <v>76</v>
      </c>
      <c r="M850" t="s">
        <v>103</v>
      </c>
      <c r="N850" t="s">
        <v>74</v>
      </c>
      <c r="O850" t="s">
        <v>104</v>
      </c>
      <c r="P850" t="s">
        <v>71</v>
      </c>
      <c r="Q850" t="s">
        <v>71</v>
      </c>
      <c r="R850" t="s">
        <v>110</v>
      </c>
      <c r="S850">
        <v>1</v>
      </c>
      <c r="T850">
        <v>1</v>
      </c>
      <c r="U850" t="s">
        <v>283</v>
      </c>
      <c r="V850" t="s">
        <v>192</v>
      </c>
      <c r="W850">
        <v>0</v>
      </c>
      <c r="X850">
        <v>0</v>
      </c>
      <c r="Y850">
        <v>0</v>
      </c>
      <c r="Z850">
        <v>0</v>
      </c>
      <c r="AA850">
        <v>0</v>
      </c>
      <c r="AB850">
        <v>0</v>
      </c>
      <c r="AC850">
        <v>0</v>
      </c>
      <c r="AD850">
        <v>0</v>
      </c>
      <c r="AE850">
        <v>0</v>
      </c>
      <c r="AF850">
        <v>0</v>
      </c>
      <c r="AG850" t="s">
        <v>71</v>
      </c>
      <c r="AH850">
        <v>0</v>
      </c>
      <c r="AI850">
        <v>0</v>
      </c>
      <c r="AJ850">
        <v>0</v>
      </c>
      <c r="AK850">
        <v>0</v>
      </c>
      <c r="AL850" t="s">
        <v>99</v>
      </c>
      <c r="AM850" t="s">
        <v>93</v>
      </c>
      <c r="AN850" t="s">
        <v>148</v>
      </c>
      <c r="AO850" t="s">
        <v>147</v>
      </c>
      <c r="AP850">
        <v>0</v>
      </c>
      <c r="AQ850">
        <v>0</v>
      </c>
      <c r="AR850">
        <v>0</v>
      </c>
      <c r="AS850">
        <v>0</v>
      </c>
      <c r="AT850">
        <v>0</v>
      </c>
      <c r="AU850">
        <v>0</v>
      </c>
      <c r="AV850">
        <v>0</v>
      </c>
      <c r="AW850">
        <v>0</v>
      </c>
      <c r="AX850">
        <v>0</v>
      </c>
      <c r="AY850">
        <v>0</v>
      </c>
    </row>
    <row r="851" spans="1:51" x14ac:dyDescent="0.25">
      <c r="A851">
        <v>1</v>
      </c>
      <c r="C851" t="s">
        <v>735</v>
      </c>
      <c r="D851" t="s">
        <v>736</v>
      </c>
      <c r="E851" t="s">
        <v>736</v>
      </c>
      <c r="F851" t="s">
        <v>736</v>
      </c>
      <c r="G851" t="s">
        <v>736</v>
      </c>
      <c r="H851" t="s">
        <v>736</v>
      </c>
      <c r="I851" t="s">
        <v>736</v>
      </c>
      <c r="J851" t="s">
        <v>736</v>
      </c>
      <c r="K851" t="s">
        <v>736</v>
      </c>
      <c r="L851" t="s">
        <v>736</v>
      </c>
      <c r="M851" t="s">
        <v>736</v>
      </c>
      <c r="N851" t="s">
        <v>736</v>
      </c>
      <c r="O851" t="s">
        <v>736</v>
      </c>
      <c r="P851" t="s">
        <v>736</v>
      </c>
      <c r="Q851" t="s">
        <v>736</v>
      </c>
      <c r="R851" t="s">
        <v>736</v>
      </c>
      <c r="S851" t="s">
        <v>736</v>
      </c>
      <c r="T851" t="s">
        <v>736</v>
      </c>
      <c r="U851" t="s">
        <v>736</v>
      </c>
      <c r="V851" t="s">
        <v>736</v>
      </c>
      <c r="W851" t="s">
        <v>736</v>
      </c>
      <c r="X851" t="s">
        <v>736</v>
      </c>
      <c r="Y851" t="s">
        <v>736</v>
      </c>
      <c r="Z851" t="s">
        <v>736</v>
      </c>
      <c r="AA851" t="s">
        <v>736</v>
      </c>
      <c r="AB851" t="s">
        <v>736</v>
      </c>
      <c r="AC851" t="s">
        <v>736</v>
      </c>
      <c r="AD851" t="s">
        <v>736</v>
      </c>
      <c r="AE851" t="s">
        <v>736</v>
      </c>
      <c r="AF851" t="s">
        <v>736</v>
      </c>
      <c r="AG851" t="s">
        <v>736</v>
      </c>
      <c r="AH851" t="s">
        <v>736</v>
      </c>
      <c r="AI851" t="s">
        <v>736</v>
      </c>
      <c r="AJ851" t="s">
        <v>736</v>
      </c>
      <c r="AK851" t="s">
        <v>736</v>
      </c>
      <c r="AL851" t="s">
        <v>736</v>
      </c>
      <c r="AM851" t="s">
        <v>736</v>
      </c>
      <c r="AN851" t="s">
        <v>736</v>
      </c>
      <c r="AO851" t="s">
        <v>736</v>
      </c>
      <c r="AP851" t="s">
        <v>736</v>
      </c>
      <c r="AQ851" t="s">
        <v>736</v>
      </c>
      <c r="AR851" t="s">
        <v>736</v>
      </c>
      <c r="AS851" t="s">
        <v>736</v>
      </c>
      <c r="AT851" t="s">
        <v>736</v>
      </c>
      <c r="AU851" t="s">
        <v>736</v>
      </c>
      <c r="AV851" t="s">
        <v>736</v>
      </c>
      <c r="AW851" t="s">
        <v>736</v>
      </c>
      <c r="AX851" t="s">
        <v>736</v>
      </c>
      <c r="AY851" t="s">
        <v>736</v>
      </c>
    </row>
    <row r="852" spans="1:51" x14ac:dyDescent="0.25">
      <c r="A852">
        <v>175</v>
      </c>
      <c r="B852">
        <v>10</v>
      </c>
      <c r="C852" t="s">
        <v>735</v>
      </c>
      <c r="D852" t="s">
        <v>96</v>
      </c>
      <c r="E852" t="s">
        <v>121</v>
      </c>
      <c r="F852" t="s">
        <v>107</v>
      </c>
      <c r="G852" t="s">
        <v>101</v>
      </c>
      <c r="H852" t="s">
        <v>78</v>
      </c>
      <c r="I852" t="s">
        <v>79</v>
      </c>
      <c r="J852" t="s">
        <v>70</v>
      </c>
      <c r="K852" t="s">
        <v>75</v>
      </c>
      <c r="L852" t="s">
        <v>76</v>
      </c>
      <c r="M852" t="s">
        <v>103</v>
      </c>
      <c r="N852" t="s">
        <v>74</v>
      </c>
      <c r="O852" t="s">
        <v>104</v>
      </c>
      <c r="P852" t="s">
        <v>71</v>
      </c>
      <c r="Q852" t="s">
        <v>71</v>
      </c>
      <c r="R852" t="s">
        <v>71</v>
      </c>
      <c r="S852">
        <v>0</v>
      </c>
      <c r="T852">
        <v>0</v>
      </c>
      <c r="U852" t="s">
        <v>72</v>
      </c>
      <c r="V852" t="s">
        <v>73</v>
      </c>
      <c r="W852">
        <v>0</v>
      </c>
      <c r="X852">
        <v>0</v>
      </c>
      <c r="Y852">
        <v>0</v>
      </c>
      <c r="Z852">
        <v>0</v>
      </c>
      <c r="AA852">
        <v>0</v>
      </c>
      <c r="AB852">
        <v>0</v>
      </c>
      <c r="AC852">
        <v>0</v>
      </c>
      <c r="AD852">
        <v>0</v>
      </c>
      <c r="AE852">
        <v>0</v>
      </c>
      <c r="AF852">
        <v>0</v>
      </c>
      <c r="AG852" t="s">
        <v>71</v>
      </c>
      <c r="AH852">
        <v>0</v>
      </c>
      <c r="AI852">
        <v>0</v>
      </c>
      <c r="AJ852">
        <v>0</v>
      </c>
      <c r="AK852">
        <v>0</v>
      </c>
      <c r="AL852" t="s">
        <v>91</v>
      </c>
      <c r="AM852" t="s">
        <v>93</v>
      </c>
      <c r="AN852" t="s">
        <v>94</v>
      </c>
      <c r="AO852" t="s">
        <v>92</v>
      </c>
      <c r="AP852">
        <v>0</v>
      </c>
      <c r="AQ852">
        <v>0</v>
      </c>
      <c r="AR852">
        <v>0</v>
      </c>
      <c r="AS852">
        <v>0</v>
      </c>
      <c r="AT852">
        <v>0</v>
      </c>
      <c r="AU852">
        <v>0</v>
      </c>
      <c r="AV852">
        <v>0</v>
      </c>
      <c r="AW852">
        <v>0</v>
      </c>
      <c r="AX852">
        <v>0</v>
      </c>
      <c r="AY852">
        <v>0</v>
      </c>
    </row>
    <row r="853" spans="1:51" x14ac:dyDescent="0.25">
      <c r="A853">
        <v>175</v>
      </c>
      <c r="B853">
        <v>5010</v>
      </c>
      <c r="C853" t="s">
        <v>735</v>
      </c>
      <c r="D853" t="s">
        <v>96</v>
      </c>
      <c r="E853" t="s">
        <v>121</v>
      </c>
      <c r="F853" t="s">
        <v>107</v>
      </c>
      <c r="G853" t="s">
        <v>101</v>
      </c>
      <c r="H853" t="s">
        <v>78</v>
      </c>
      <c r="I853" t="s">
        <v>79</v>
      </c>
      <c r="J853" t="s">
        <v>70</v>
      </c>
      <c r="K853" t="s">
        <v>75</v>
      </c>
      <c r="L853" t="s">
        <v>76</v>
      </c>
      <c r="M853" t="s">
        <v>103</v>
      </c>
      <c r="N853" t="s">
        <v>74</v>
      </c>
      <c r="O853" t="s">
        <v>104</v>
      </c>
      <c r="P853" t="s">
        <v>71</v>
      </c>
      <c r="Q853" t="s">
        <v>71</v>
      </c>
      <c r="R853" t="s">
        <v>71</v>
      </c>
      <c r="S853">
        <v>0</v>
      </c>
      <c r="T853">
        <v>0</v>
      </c>
      <c r="U853" t="s">
        <v>72</v>
      </c>
      <c r="V853" t="s">
        <v>73</v>
      </c>
      <c r="W853">
        <v>0</v>
      </c>
      <c r="X853">
        <v>0</v>
      </c>
      <c r="Y853">
        <v>0</v>
      </c>
      <c r="Z853">
        <v>0</v>
      </c>
      <c r="AA853">
        <v>0</v>
      </c>
      <c r="AB853">
        <v>0</v>
      </c>
      <c r="AC853">
        <v>0</v>
      </c>
      <c r="AD853">
        <v>0</v>
      </c>
      <c r="AE853">
        <v>0</v>
      </c>
      <c r="AF853">
        <v>0</v>
      </c>
      <c r="AG853" t="s">
        <v>71</v>
      </c>
      <c r="AH853">
        <v>0</v>
      </c>
      <c r="AI853">
        <v>0</v>
      </c>
      <c r="AJ853">
        <v>0</v>
      </c>
      <c r="AK853">
        <v>0</v>
      </c>
      <c r="AL853" t="s">
        <v>91</v>
      </c>
      <c r="AM853" t="s">
        <v>93</v>
      </c>
      <c r="AN853" t="s">
        <v>94</v>
      </c>
      <c r="AO853" t="s">
        <v>92</v>
      </c>
      <c r="AP853">
        <v>0</v>
      </c>
      <c r="AQ853">
        <v>0</v>
      </c>
      <c r="AR853">
        <v>0</v>
      </c>
      <c r="AS853">
        <v>0</v>
      </c>
      <c r="AT853">
        <v>0</v>
      </c>
      <c r="AU853">
        <v>0</v>
      </c>
      <c r="AV853">
        <v>0</v>
      </c>
      <c r="AW853">
        <v>0</v>
      </c>
      <c r="AX853">
        <v>0</v>
      </c>
      <c r="AY853">
        <v>0</v>
      </c>
    </row>
    <row r="854" spans="1:51" x14ac:dyDescent="0.25">
      <c r="A854">
        <v>175</v>
      </c>
      <c r="B854">
        <v>5020</v>
      </c>
      <c r="C854" t="s">
        <v>735</v>
      </c>
      <c r="D854" t="s">
        <v>96</v>
      </c>
      <c r="E854" t="s">
        <v>121</v>
      </c>
      <c r="F854" t="s">
        <v>107</v>
      </c>
      <c r="G854" t="s">
        <v>101</v>
      </c>
      <c r="H854" t="s">
        <v>78</v>
      </c>
      <c r="I854" t="s">
        <v>79</v>
      </c>
      <c r="J854" t="s">
        <v>70</v>
      </c>
      <c r="K854" t="s">
        <v>75</v>
      </c>
      <c r="L854" t="s">
        <v>76</v>
      </c>
      <c r="M854" t="s">
        <v>103</v>
      </c>
      <c r="N854" t="s">
        <v>74</v>
      </c>
      <c r="O854" t="s">
        <v>104</v>
      </c>
      <c r="P854" t="s">
        <v>71</v>
      </c>
      <c r="Q854" t="s">
        <v>71</v>
      </c>
      <c r="R854" t="s">
        <v>71</v>
      </c>
      <c r="S854">
        <v>0</v>
      </c>
      <c r="T854">
        <v>0</v>
      </c>
      <c r="U854" t="s">
        <v>72</v>
      </c>
      <c r="V854" t="s">
        <v>73</v>
      </c>
      <c r="W854">
        <v>0</v>
      </c>
      <c r="X854">
        <v>0</v>
      </c>
      <c r="Y854">
        <v>0</v>
      </c>
      <c r="Z854">
        <v>0</v>
      </c>
      <c r="AA854">
        <v>0</v>
      </c>
      <c r="AB854">
        <v>0</v>
      </c>
      <c r="AC854">
        <v>0</v>
      </c>
      <c r="AD854">
        <v>0</v>
      </c>
      <c r="AE854">
        <v>0</v>
      </c>
      <c r="AF854">
        <v>0</v>
      </c>
      <c r="AG854" t="s">
        <v>71</v>
      </c>
      <c r="AH854">
        <v>0</v>
      </c>
      <c r="AI854">
        <v>0</v>
      </c>
      <c r="AJ854">
        <v>0</v>
      </c>
      <c r="AK854">
        <v>0</v>
      </c>
      <c r="AL854" t="s">
        <v>108</v>
      </c>
      <c r="AM854" t="s">
        <v>93</v>
      </c>
      <c r="AN854" t="s">
        <v>94</v>
      </c>
      <c r="AO854" t="s">
        <v>92</v>
      </c>
      <c r="AP854">
        <v>0</v>
      </c>
      <c r="AQ854">
        <v>0</v>
      </c>
      <c r="AR854">
        <v>0</v>
      </c>
      <c r="AS854">
        <v>0</v>
      </c>
      <c r="AT854">
        <v>0</v>
      </c>
      <c r="AU854">
        <v>0</v>
      </c>
      <c r="AV854">
        <v>0</v>
      </c>
      <c r="AW854">
        <v>0</v>
      </c>
      <c r="AX854">
        <v>0</v>
      </c>
      <c r="AY854">
        <v>0</v>
      </c>
    </row>
    <row r="855" spans="1:51" x14ac:dyDescent="0.25">
      <c r="A855">
        <v>175</v>
      </c>
      <c r="B855">
        <v>5030</v>
      </c>
      <c r="C855" t="s">
        <v>735</v>
      </c>
      <c r="D855" t="s">
        <v>96</v>
      </c>
      <c r="E855" t="s">
        <v>121</v>
      </c>
      <c r="F855" t="s">
        <v>107</v>
      </c>
      <c r="G855" t="s">
        <v>101</v>
      </c>
      <c r="H855" t="s">
        <v>78</v>
      </c>
      <c r="I855" t="s">
        <v>79</v>
      </c>
      <c r="J855" t="s">
        <v>70</v>
      </c>
      <c r="K855" t="s">
        <v>75</v>
      </c>
      <c r="L855" t="s">
        <v>76</v>
      </c>
      <c r="M855" t="s">
        <v>103</v>
      </c>
      <c r="N855" t="s">
        <v>74</v>
      </c>
      <c r="O855" t="s">
        <v>104</v>
      </c>
      <c r="P855" t="s">
        <v>71</v>
      </c>
      <c r="Q855" t="s">
        <v>71</v>
      </c>
      <c r="R855" t="s">
        <v>71</v>
      </c>
      <c r="S855">
        <v>0</v>
      </c>
      <c r="T855">
        <v>0</v>
      </c>
      <c r="U855" t="s">
        <v>72</v>
      </c>
      <c r="V855" t="s">
        <v>73</v>
      </c>
      <c r="W855">
        <v>0</v>
      </c>
      <c r="X855">
        <v>0</v>
      </c>
      <c r="Y855">
        <v>0</v>
      </c>
      <c r="Z855">
        <v>0</v>
      </c>
      <c r="AA855">
        <v>0</v>
      </c>
      <c r="AB855">
        <v>0</v>
      </c>
      <c r="AC855">
        <v>0</v>
      </c>
      <c r="AD855">
        <v>0</v>
      </c>
      <c r="AE855">
        <v>0</v>
      </c>
      <c r="AF855">
        <v>0</v>
      </c>
      <c r="AG855" t="s">
        <v>71</v>
      </c>
      <c r="AH855">
        <v>0</v>
      </c>
      <c r="AI855">
        <v>0</v>
      </c>
      <c r="AJ855">
        <v>0</v>
      </c>
      <c r="AK855">
        <v>0</v>
      </c>
      <c r="AL855" t="s">
        <v>108</v>
      </c>
      <c r="AM855" t="s">
        <v>93</v>
      </c>
      <c r="AN855" t="s">
        <v>94</v>
      </c>
      <c r="AO855" t="s">
        <v>92</v>
      </c>
      <c r="AP855">
        <v>0</v>
      </c>
      <c r="AQ855">
        <v>0</v>
      </c>
      <c r="AR855">
        <v>0</v>
      </c>
      <c r="AS855">
        <v>0</v>
      </c>
      <c r="AT855">
        <v>0</v>
      </c>
      <c r="AU855">
        <v>0</v>
      </c>
      <c r="AV855">
        <v>0</v>
      </c>
      <c r="AW855">
        <v>0</v>
      </c>
      <c r="AX855">
        <v>0</v>
      </c>
      <c r="AY855">
        <v>0</v>
      </c>
    </row>
    <row r="856" spans="1:51" x14ac:dyDescent="0.25">
      <c r="A856">
        <v>175</v>
      </c>
      <c r="B856">
        <v>10010</v>
      </c>
      <c r="C856" t="s">
        <v>735</v>
      </c>
      <c r="D856" t="s">
        <v>96</v>
      </c>
      <c r="E856" t="s">
        <v>121</v>
      </c>
      <c r="F856" t="s">
        <v>107</v>
      </c>
      <c r="G856" t="s">
        <v>101</v>
      </c>
      <c r="H856" t="s">
        <v>78</v>
      </c>
      <c r="I856" t="s">
        <v>79</v>
      </c>
      <c r="J856" t="s">
        <v>70</v>
      </c>
      <c r="K856" t="s">
        <v>75</v>
      </c>
      <c r="L856" t="s">
        <v>76</v>
      </c>
      <c r="M856" t="s">
        <v>103</v>
      </c>
      <c r="N856" t="s">
        <v>74</v>
      </c>
      <c r="O856" t="s">
        <v>104</v>
      </c>
      <c r="P856" t="s">
        <v>71</v>
      </c>
      <c r="Q856" t="s">
        <v>71</v>
      </c>
      <c r="R856" t="s">
        <v>71</v>
      </c>
      <c r="S856">
        <v>0</v>
      </c>
      <c r="T856">
        <v>0</v>
      </c>
      <c r="U856" t="s">
        <v>72</v>
      </c>
      <c r="V856" t="s">
        <v>73</v>
      </c>
      <c r="W856">
        <v>0</v>
      </c>
      <c r="X856">
        <v>0</v>
      </c>
      <c r="Y856">
        <v>0</v>
      </c>
      <c r="Z856">
        <v>0</v>
      </c>
      <c r="AA856">
        <v>0</v>
      </c>
      <c r="AB856">
        <v>0</v>
      </c>
      <c r="AC856">
        <v>0</v>
      </c>
      <c r="AD856">
        <v>0</v>
      </c>
      <c r="AE856">
        <v>0</v>
      </c>
      <c r="AF856">
        <v>0</v>
      </c>
      <c r="AG856" t="s">
        <v>71</v>
      </c>
      <c r="AH856">
        <v>0</v>
      </c>
      <c r="AI856">
        <v>0</v>
      </c>
      <c r="AJ856">
        <v>0</v>
      </c>
      <c r="AK856">
        <v>0</v>
      </c>
      <c r="AL856" t="s">
        <v>108</v>
      </c>
      <c r="AM856" t="s">
        <v>93</v>
      </c>
      <c r="AN856" t="s">
        <v>94</v>
      </c>
      <c r="AO856" t="s">
        <v>92</v>
      </c>
      <c r="AP856">
        <v>0</v>
      </c>
      <c r="AQ856">
        <v>0</v>
      </c>
      <c r="AR856">
        <v>0</v>
      </c>
      <c r="AS856">
        <v>0</v>
      </c>
      <c r="AT856">
        <v>0</v>
      </c>
      <c r="AU856">
        <v>0</v>
      </c>
      <c r="AV856">
        <v>0</v>
      </c>
      <c r="AW856">
        <v>0</v>
      </c>
      <c r="AX856">
        <v>0</v>
      </c>
      <c r="AY856">
        <v>0</v>
      </c>
    </row>
    <row r="857" spans="1:51" x14ac:dyDescent="0.25">
      <c r="A857">
        <v>175</v>
      </c>
      <c r="B857">
        <v>10020</v>
      </c>
      <c r="C857" t="s">
        <v>735</v>
      </c>
      <c r="D857" t="s">
        <v>96</v>
      </c>
      <c r="E857" t="s">
        <v>121</v>
      </c>
      <c r="F857" t="s">
        <v>107</v>
      </c>
      <c r="G857" t="s">
        <v>101</v>
      </c>
      <c r="H857" t="s">
        <v>78</v>
      </c>
      <c r="I857" t="s">
        <v>79</v>
      </c>
      <c r="J857" t="s">
        <v>70</v>
      </c>
      <c r="K857" t="s">
        <v>75</v>
      </c>
      <c r="L857" t="s">
        <v>76</v>
      </c>
      <c r="M857" t="s">
        <v>103</v>
      </c>
      <c r="N857" t="s">
        <v>74</v>
      </c>
      <c r="O857" t="s">
        <v>104</v>
      </c>
      <c r="P857" t="s">
        <v>71</v>
      </c>
      <c r="Q857" t="s">
        <v>71</v>
      </c>
      <c r="R857" t="s">
        <v>71</v>
      </c>
      <c r="S857">
        <v>0</v>
      </c>
      <c r="T857">
        <v>0</v>
      </c>
      <c r="U857" t="s">
        <v>72</v>
      </c>
      <c r="V857" t="s">
        <v>73</v>
      </c>
      <c r="W857">
        <v>0</v>
      </c>
      <c r="X857">
        <v>0</v>
      </c>
      <c r="Y857">
        <v>0</v>
      </c>
      <c r="Z857">
        <v>0</v>
      </c>
      <c r="AA857">
        <v>0</v>
      </c>
      <c r="AB857">
        <v>0</v>
      </c>
      <c r="AC857">
        <v>0</v>
      </c>
      <c r="AD857">
        <v>0</v>
      </c>
      <c r="AE857">
        <v>0</v>
      </c>
      <c r="AF857">
        <v>0</v>
      </c>
      <c r="AG857" t="s">
        <v>71</v>
      </c>
      <c r="AH857">
        <v>0</v>
      </c>
      <c r="AI857">
        <v>0</v>
      </c>
      <c r="AJ857">
        <v>0</v>
      </c>
      <c r="AK857">
        <v>0</v>
      </c>
      <c r="AL857" t="s">
        <v>108</v>
      </c>
      <c r="AM857" t="s">
        <v>93</v>
      </c>
      <c r="AN857" t="s">
        <v>94</v>
      </c>
      <c r="AO857" t="s">
        <v>92</v>
      </c>
      <c r="AP857">
        <v>0</v>
      </c>
      <c r="AQ857">
        <v>0</v>
      </c>
      <c r="AR857">
        <v>0</v>
      </c>
      <c r="AS857">
        <v>0</v>
      </c>
      <c r="AT857">
        <v>0</v>
      </c>
      <c r="AU857">
        <v>0</v>
      </c>
      <c r="AV857">
        <v>0</v>
      </c>
      <c r="AW857">
        <v>0</v>
      </c>
      <c r="AX857">
        <v>0</v>
      </c>
      <c r="AY857">
        <v>0</v>
      </c>
    </row>
    <row r="858" spans="1:51" x14ac:dyDescent="0.25">
      <c r="A858">
        <v>175</v>
      </c>
      <c r="B858">
        <v>10030</v>
      </c>
      <c r="C858" t="s">
        <v>735</v>
      </c>
      <c r="D858" t="s">
        <v>96</v>
      </c>
      <c r="E858" t="s">
        <v>121</v>
      </c>
      <c r="F858" t="s">
        <v>107</v>
      </c>
      <c r="G858" t="s">
        <v>77</v>
      </c>
      <c r="H858" t="s">
        <v>78</v>
      </c>
      <c r="I858" t="s">
        <v>79</v>
      </c>
      <c r="J858" t="s">
        <v>70</v>
      </c>
      <c r="K858" t="s">
        <v>75</v>
      </c>
      <c r="L858" t="s">
        <v>76</v>
      </c>
      <c r="M858" t="s">
        <v>103</v>
      </c>
      <c r="N858" t="s">
        <v>74</v>
      </c>
      <c r="O858" t="s">
        <v>104</v>
      </c>
      <c r="P858" t="s">
        <v>71</v>
      </c>
      <c r="Q858" t="s">
        <v>71</v>
      </c>
      <c r="R858" t="s">
        <v>71</v>
      </c>
      <c r="S858">
        <v>0</v>
      </c>
      <c r="T858">
        <v>1</v>
      </c>
      <c r="U858" t="s">
        <v>72</v>
      </c>
      <c r="V858" t="s">
        <v>73</v>
      </c>
      <c r="W858">
        <v>0</v>
      </c>
      <c r="X858">
        <v>0</v>
      </c>
      <c r="Y858">
        <v>0</v>
      </c>
      <c r="Z858">
        <v>0</v>
      </c>
      <c r="AA858">
        <v>0</v>
      </c>
      <c r="AB858">
        <v>0</v>
      </c>
      <c r="AC858">
        <v>0</v>
      </c>
      <c r="AD858">
        <v>0</v>
      </c>
      <c r="AE858">
        <v>0</v>
      </c>
      <c r="AF858">
        <v>0</v>
      </c>
      <c r="AG858" t="s">
        <v>71</v>
      </c>
      <c r="AH858">
        <v>0</v>
      </c>
      <c r="AI858">
        <v>0</v>
      </c>
      <c r="AJ858">
        <v>0</v>
      </c>
      <c r="AK858">
        <v>0</v>
      </c>
      <c r="AL858" t="s">
        <v>146</v>
      </c>
      <c r="AM858" t="s">
        <v>93</v>
      </c>
      <c r="AN858" t="s">
        <v>148</v>
      </c>
      <c r="AO858" t="s">
        <v>147</v>
      </c>
      <c r="AP858">
        <v>0</v>
      </c>
      <c r="AQ858">
        <v>0</v>
      </c>
      <c r="AR858">
        <v>128</v>
      </c>
      <c r="AS858">
        <v>0</v>
      </c>
      <c r="AT858">
        <v>0</v>
      </c>
      <c r="AU858">
        <v>0</v>
      </c>
      <c r="AV858">
        <v>0</v>
      </c>
      <c r="AW858">
        <v>0</v>
      </c>
      <c r="AX858">
        <v>0</v>
      </c>
      <c r="AY858">
        <v>0</v>
      </c>
    </row>
    <row r="859" spans="1:51" x14ac:dyDescent="0.25">
      <c r="A859">
        <v>175</v>
      </c>
      <c r="B859">
        <v>10040</v>
      </c>
      <c r="C859" t="s">
        <v>735</v>
      </c>
      <c r="D859" t="s">
        <v>96</v>
      </c>
      <c r="E859" t="s">
        <v>100</v>
      </c>
      <c r="F859" t="s">
        <v>107</v>
      </c>
      <c r="G859" t="s">
        <v>77</v>
      </c>
      <c r="H859" t="s">
        <v>78</v>
      </c>
      <c r="I859" t="s">
        <v>79</v>
      </c>
      <c r="J859" t="s">
        <v>70</v>
      </c>
      <c r="K859" t="s">
        <v>75</v>
      </c>
      <c r="L859" t="s">
        <v>76</v>
      </c>
      <c r="M859" t="s">
        <v>103</v>
      </c>
      <c r="N859" t="s">
        <v>74</v>
      </c>
      <c r="O859" t="s">
        <v>104</v>
      </c>
      <c r="P859" t="s">
        <v>71</v>
      </c>
      <c r="Q859" t="s">
        <v>71</v>
      </c>
      <c r="R859" t="s">
        <v>71</v>
      </c>
      <c r="S859">
        <v>0</v>
      </c>
      <c r="T859">
        <v>1</v>
      </c>
      <c r="U859" t="s">
        <v>72</v>
      </c>
      <c r="V859" t="s">
        <v>192</v>
      </c>
      <c r="W859">
        <v>0</v>
      </c>
      <c r="X859">
        <v>0</v>
      </c>
      <c r="Y859">
        <v>0</v>
      </c>
      <c r="Z859">
        <v>0</v>
      </c>
      <c r="AA859">
        <v>0</v>
      </c>
      <c r="AB859">
        <v>0</v>
      </c>
      <c r="AC859">
        <v>0</v>
      </c>
      <c r="AD859">
        <v>0</v>
      </c>
      <c r="AE859">
        <v>0</v>
      </c>
      <c r="AF859">
        <v>0</v>
      </c>
      <c r="AG859" t="s">
        <v>71</v>
      </c>
      <c r="AH859">
        <v>0</v>
      </c>
      <c r="AI859">
        <v>0</v>
      </c>
      <c r="AJ859">
        <v>0</v>
      </c>
      <c r="AK859">
        <v>0</v>
      </c>
      <c r="AL859" t="s">
        <v>146</v>
      </c>
      <c r="AM859" t="s">
        <v>93</v>
      </c>
      <c r="AN859" t="s">
        <v>94</v>
      </c>
      <c r="AO859" t="s">
        <v>147</v>
      </c>
      <c r="AP859">
        <v>0</v>
      </c>
      <c r="AQ859">
        <v>0</v>
      </c>
      <c r="AR859">
        <v>128</v>
      </c>
      <c r="AS859">
        <v>0</v>
      </c>
      <c r="AT859">
        <v>0</v>
      </c>
      <c r="AU859">
        <v>0</v>
      </c>
      <c r="AV859">
        <v>0</v>
      </c>
      <c r="AW859">
        <v>0</v>
      </c>
      <c r="AX859">
        <v>0</v>
      </c>
      <c r="AY859">
        <v>0</v>
      </c>
    </row>
    <row r="860" spans="1:51" x14ac:dyDescent="0.25">
      <c r="A860">
        <v>175</v>
      </c>
      <c r="B860">
        <v>10050</v>
      </c>
      <c r="C860" t="s">
        <v>735</v>
      </c>
      <c r="D860" t="s">
        <v>96</v>
      </c>
      <c r="E860" t="s">
        <v>100</v>
      </c>
      <c r="F860" t="s">
        <v>107</v>
      </c>
      <c r="G860" t="s">
        <v>77</v>
      </c>
      <c r="H860" t="s">
        <v>78</v>
      </c>
      <c r="I860" t="s">
        <v>79</v>
      </c>
      <c r="J860" t="s">
        <v>150</v>
      </c>
      <c r="K860" t="s">
        <v>75</v>
      </c>
      <c r="L860" t="s">
        <v>76</v>
      </c>
      <c r="M860" t="s">
        <v>103</v>
      </c>
      <c r="N860" t="s">
        <v>74</v>
      </c>
      <c r="O860" t="s">
        <v>104</v>
      </c>
      <c r="P860" t="s">
        <v>71</v>
      </c>
      <c r="Q860" t="s">
        <v>71</v>
      </c>
      <c r="R860" t="s">
        <v>71</v>
      </c>
      <c r="S860">
        <v>0</v>
      </c>
      <c r="T860">
        <v>1</v>
      </c>
      <c r="U860" t="s">
        <v>72</v>
      </c>
      <c r="V860" t="s">
        <v>192</v>
      </c>
      <c r="W860">
        <v>0</v>
      </c>
      <c r="X860">
        <v>0</v>
      </c>
      <c r="Y860">
        <v>0</v>
      </c>
      <c r="Z860">
        <v>0</v>
      </c>
      <c r="AA860">
        <v>0</v>
      </c>
      <c r="AB860">
        <v>0</v>
      </c>
      <c r="AC860">
        <v>0</v>
      </c>
      <c r="AD860">
        <v>0</v>
      </c>
      <c r="AE860">
        <v>0</v>
      </c>
      <c r="AF860">
        <v>0</v>
      </c>
      <c r="AG860" t="s">
        <v>71</v>
      </c>
      <c r="AH860">
        <v>0</v>
      </c>
      <c r="AI860">
        <v>0</v>
      </c>
      <c r="AJ860">
        <v>0</v>
      </c>
      <c r="AK860">
        <v>0</v>
      </c>
      <c r="AL860" t="s">
        <v>342</v>
      </c>
      <c r="AM860" t="s">
        <v>254</v>
      </c>
      <c r="AN860" t="s">
        <v>94</v>
      </c>
      <c r="AO860" t="s">
        <v>147</v>
      </c>
      <c r="AP860">
        <v>0</v>
      </c>
      <c r="AQ860">
        <v>0</v>
      </c>
      <c r="AR860">
        <v>0</v>
      </c>
      <c r="AS860">
        <v>0</v>
      </c>
      <c r="AT860">
        <v>0</v>
      </c>
      <c r="AU860">
        <v>0</v>
      </c>
      <c r="AV860">
        <v>0</v>
      </c>
      <c r="AW860">
        <v>0</v>
      </c>
      <c r="AX860">
        <v>0</v>
      </c>
      <c r="AY860">
        <v>0</v>
      </c>
    </row>
    <row r="861" spans="1:51" x14ac:dyDescent="0.25">
      <c r="A861">
        <v>175</v>
      </c>
      <c r="B861">
        <v>10060</v>
      </c>
      <c r="C861" t="s">
        <v>735</v>
      </c>
      <c r="D861" t="s">
        <v>96</v>
      </c>
      <c r="E861" t="s">
        <v>121</v>
      </c>
      <c r="F861" t="s">
        <v>107</v>
      </c>
      <c r="G861" t="s">
        <v>77</v>
      </c>
      <c r="H861" t="s">
        <v>78</v>
      </c>
      <c r="I861" t="s">
        <v>79</v>
      </c>
      <c r="J861" t="s">
        <v>150</v>
      </c>
      <c r="K861" t="s">
        <v>75</v>
      </c>
      <c r="L861" t="s">
        <v>203</v>
      </c>
      <c r="M861" t="s">
        <v>103</v>
      </c>
      <c r="N861" t="s">
        <v>74</v>
      </c>
      <c r="O861" t="s">
        <v>104</v>
      </c>
      <c r="P861" t="s">
        <v>71</v>
      </c>
      <c r="Q861" t="s">
        <v>110</v>
      </c>
      <c r="R861" t="s">
        <v>71</v>
      </c>
      <c r="S861">
        <v>1</v>
      </c>
      <c r="T861">
        <v>1</v>
      </c>
      <c r="U861" t="s">
        <v>72</v>
      </c>
      <c r="V861" t="s">
        <v>188</v>
      </c>
      <c r="W861">
        <v>0</v>
      </c>
      <c r="X861">
        <v>0</v>
      </c>
      <c r="Y861">
        <v>0</v>
      </c>
      <c r="Z861">
        <v>0</v>
      </c>
      <c r="AA861">
        <v>0</v>
      </c>
      <c r="AB861">
        <v>0</v>
      </c>
      <c r="AC861">
        <v>0</v>
      </c>
      <c r="AD861">
        <v>0</v>
      </c>
      <c r="AE861">
        <v>0</v>
      </c>
      <c r="AF861">
        <v>0</v>
      </c>
      <c r="AG861" t="s">
        <v>71</v>
      </c>
      <c r="AH861">
        <v>0</v>
      </c>
      <c r="AI861">
        <v>0</v>
      </c>
      <c r="AJ861">
        <v>0</v>
      </c>
      <c r="AK861">
        <v>0</v>
      </c>
      <c r="AL861" t="s">
        <v>450</v>
      </c>
      <c r="AM861" t="s">
        <v>491</v>
      </c>
      <c r="AN861" t="s">
        <v>148</v>
      </c>
      <c r="AO861" t="s">
        <v>147</v>
      </c>
      <c r="AP861">
        <v>0</v>
      </c>
      <c r="AQ861">
        <v>0</v>
      </c>
      <c r="AR861">
        <v>0</v>
      </c>
      <c r="AS861">
        <v>0</v>
      </c>
      <c r="AT861">
        <v>0</v>
      </c>
      <c r="AU861">
        <v>0</v>
      </c>
      <c r="AV861">
        <v>0</v>
      </c>
      <c r="AW861">
        <v>0</v>
      </c>
      <c r="AX861">
        <v>0</v>
      </c>
      <c r="AY861">
        <v>0</v>
      </c>
    </row>
    <row r="862" spans="1:51" x14ac:dyDescent="0.25">
      <c r="A862">
        <v>175</v>
      </c>
      <c r="B862">
        <v>10070</v>
      </c>
      <c r="C862" t="s">
        <v>735</v>
      </c>
      <c r="D862" t="s">
        <v>96</v>
      </c>
      <c r="E862" t="s">
        <v>100</v>
      </c>
      <c r="F862" t="s">
        <v>107</v>
      </c>
      <c r="G862" t="s">
        <v>77</v>
      </c>
      <c r="H862" t="s">
        <v>78</v>
      </c>
      <c r="I862" t="s">
        <v>79</v>
      </c>
      <c r="J862" t="s">
        <v>150</v>
      </c>
      <c r="K862" t="s">
        <v>75</v>
      </c>
      <c r="L862" t="s">
        <v>76</v>
      </c>
      <c r="M862" t="s">
        <v>103</v>
      </c>
      <c r="N862" t="s">
        <v>74</v>
      </c>
      <c r="O862" t="s">
        <v>104</v>
      </c>
      <c r="P862" t="s">
        <v>71</v>
      </c>
      <c r="Q862" t="s">
        <v>71</v>
      </c>
      <c r="R862" t="s">
        <v>110</v>
      </c>
      <c r="S862">
        <v>1</v>
      </c>
      <c r="T862">
        <v>1</v>
      </c>
      <c r="U862" t="s">
        <v>72</v>
      </c>
      <c r="V862" t="s">
        <v>192</v>
      </c>
      <c r="W862">
        <v>0</v>
      </c>
      <c r="X862">
        <v>0</v>
      </c>
      <c r="Y862">
        <v>0</v>
      </c>
      <c r="Z862">
        <v>0</v>
      </c>
      <c r="AA862">
        <v>0</v>
      </c>
      <c r="AB862">
        <v>0</v>
      </c>
      <c r="AC862">
        <v>0</v>
      </c>
      <c r="AD862">
        <v>0</v>
      </c>
      <c r="AE862">
        <v>0</v>
      </c>
      <c r="AF862">
        <v>0</v>
      </c>
      <c r="AG862" t="s">
        <v>71</v>
      </c>
      <c r="AH862">
        <v>0</v>
      </c>
      <c r="AI862">
        <v>0</v>
      </c>
      <c r="AJ862">
        <v>0</v>
      </c>
      <c r="AK862">
        <v>0</v>
      </c>
      <c r="AL862" t="s">
        <v>496</v>
      </c>
      <c r="AM862" t="s">
        <v>491</v>
      </c>
      <c r="AN862" t="s">
        <v>148</v>
      </c>
      <c r="AO862" t="s">
        <v>147</v>
      </c>
      <c r="AP862">
        <v>0</v>
      </c>
      <c r="AQ862">
        <v>0</v>
      </c>
      <c r="AR862">
        <v>0</v>
      </c>
      <c r="AS862">
        <v>0</v>
      </c>
      <c r="AT862">
        <v>0</v>
      </c>
      <c r="AU862">
        <v>0</v>
      </c>
      <c r="AV862">
        <v>0</v>
      </c>
      <c r="AW862">
        <v>0</v>
      </c>
      <c r="AX862">
        <v>0</v>
      </c>
      <c r="AY862">
        <v>0</v>
      </c>
    </row>
    <row r="863" spans="1:51" x14ac:dyDescent="0.25">
      <c r="A863">
        <v>176</v>
      </c>
      <c r="B863">
        <v>10080</v>
      </c>
      <c r="C863" t="s">
        <v>735</v>
      </c>
      <c r="D863" t="s">
        <v>96</v>
      </c>
      <c r="E863" t="s">
        <v>100</v>
      </c>
      <c r="F863" t="s">
        <v>98</v>
      </c>
      <c r="G863" t="s">
        <v>77</v>
      </c>
      <c r="H863" t="s">
        <v>78</v>
      </c>
      <c r="I863" t="s">
        <v>79</v>
      </c>
      <c r="J863" t="s">
        <v>70</v>
      </c>
      <c r="K863" t="s">
        <v>75</v>
      </c>
      <c r="L863" t="s">
        <v>76</v>
      </c>
      <c r="M863" t="s">
        <v>103</v>
      </c>
      <c r="N863" t="s">
        <v>74</v>
      </c>
      <c r="O863" t="s">
        <v>104</v>
      </c>
      <c r="P863" t="s">
        <v>71</v>
      </c>
      <c r="Q863" t="s">
        <v>71</v>
      </c>
      <c r="R863" t="s">
        <v>110</v>
      </c>
      <c r="S863">
        <v>1</v>
      </c>
      <c r="T863">
        <v>1</v>
      </c>
      <c r="U863" t="s">
        <v>284</v>
      </c>
      <c r="V863" t="s">
        <v>192</v>
      </c>
      <c r="W863">
        <v>0</v>
      </c>
      <c r="X863">
        <v>0</v>
      </c>
      <c r="Y863">
        <v>1</v>
      </c>
      <c r="Z863">
        <v>10</v>
      </c>
      <c r="AA863">
        <v>1</v>
      </c>
      <c r="AB863">
        <v>10</v>
      </c>
      <c r="AC863">
        <v>1</v>
      </c>
      <c r="AD863">
        <v>10</v>
      </c>
      <c r="AE863">
        <v>0</v>
      </c>
      <c r="AF863">
        <v>0</v>
      </c>
      <c r="AG863" t="s">
        <v>71</v>
      </c>
      <c r="AH863">
        <v>0</v>
      </c>
      <c r="AI863">
        <v>0</v>
      </c>
      <c r="AJ863">
        <v>0</v>
      </c>
      <c r="AK863">
        <v>0</v>
      </c>
      <c r="AL863" t="s">
        <v>496</v>
      </c>
      <c r="AM863" t="s">
        <v>491</v>
      </c>
      <c r="AN863" t="s">
        <v>148</v>
      </c>
      <c r="AO863" t="s">
        <v>147</v>
      </c>
      <c r="AP863">
        <v>0</v>
      </c>
      <c r="AQ863">
        <v>0</v>
      </c>
      <c r="AR863">
        <v>0</v>
      </c>
      <c r="AS863">
        <v>0</v>
      </c>
      <c r="AT863">
        <v>0</v>
      </c>
      <c r="AU863">
        <v>0</v>
      </c>
      <c r="AV863">
        <v>0</v>
      </c>
      <c r="AW863">
        <v>0</v>
      </c>
      <c r="AX863">
        <v>0</v>
      </c>
      <c r="AY863">
        <v>0</v>
      </c>
    </row>
    <row r="864" spans="1:51" x14ac:dyDescent="0.25">
      <c r="A864">
        <v>176</v>
      </c>
      <c r="B864">
        <v>10090</v>
      </c>
      <c r="C864" t="s">
        <v>735</v>
      </c>
      <c r="D864" t="s">
        <v>96</v>
      </c>
      <c r="E864" t="s">
        <v>100</v>
      </c>
      <c r="F864" t="s">
        <v>98</v>
      </c>
      <c r="G864" t="s">
        <v>77</v>
      </c>
      <c r="H864" t="s">
        <v>78</v>
      </c>
      <c r="I864" t="s">
        <v>79</v>
      </c>
      <c r="J864" t="s">
        <v>70</v>
      </c>
      <c r="K864" t="s">
        <v>75</v>
      </c>
      <c r="L864" t="s">
        <v>76</v>
      </c>
      <c r="M864" t="s">
        <v>103</v>
      </c>
      <c r="N864" t="s">
        <v>74</v>
      </c>
      <c r="O864" t="s">
        <v>104</v>
      </c>
      <c r="P864" t="s">
        <v>71</v>
      </c>
      <c r="Q864" t="s">
        <v>71</v>
      </c>
      <c r="R864" t="s">
        <v>110</v>
      </c>
      <c r="S864">
        <v>1</v>
      </c>
      <c r="T864">
        <v>1</v>
      </c>
      <c r="U864" t="s">
        <v>72</v>
      </c>
      <c r="V864" t="s">
        <v>192</v>
      </c>
      <c r="W864">
        <v>0</v>
      </c>
      <c r="X864">
        <v>0</v>
      </c>
      <c r="Y864">
        <v>0</v>
      </c>
      <c r="Z864">
        <v>0</v>
      </c>
      <c r="AA864">
        <v>0</v>
      </c>
      <c r="AB864">
        <v>0</v>
      </c>
      <c r="AC864">
        <v>0</v>
      </c>
      <c r="AD864">
        <v>0</v>
      </c>
      <c r="AE864">
        <v>0</v>
      </c>
      <c r="AF864">
        <v>0</v>
      </c>
      <c r="AG864" t="s">
        <v>71</v>
      </c>
      <c r="AH864">
        <v>0</v>
      </c>
      <c r="AI864">
        <v>0</v>
      </c>
      <c r="AJ864">
        <v>0</v>
      </c>
      <c r="AK864">
        <v>0</v>
      </c>
      <c r="AL864" t="s">
        <v>496</v>
      </c>
      <c r="AM864" t="s">
        <v>491</v>
      </c>
      <c r="AN864" t="s">
        <v>148</v>
      </c>
      <c r="AO864" t="s">
        <v>147</v>
      </c>
      <c r="AP864">
        <v>0</v>
      </c>
      <c r="AQ864">
        <v>0</v>
      </c>
      <c r="AR864">
        <v>0</v>
      </c>
      <c r="AS864">
        <v>0</v>
      </c>
      <c r="AT864">
        <v>0</v>
      </c>
      <c r="AU864">
        <v>0</v>
      </c>
      <c r="AV864">
        <v>0</v>
      </c>
      <c r="AW864">
        <v>0</v>
      </c>
      <c r="AX864">
        <v>0</v>
      </c>
      <c r="AY864">
        <v>0</v>
      </c>
    </row>
    <row r="865" spans="1:51" x14ac:dyDescent="0.25">
      <c r="A865">
        <v>176</v>
      </c>
      <c r="B865">
        <v>10100</v>
      </c>
      <c r="C865" t="s">
        <v>735</v>
      </c>
      <c r="D865" t="s">
        <v>96</v>
      </c>
      <c r="E865" t="s">
        <v>100</v>
      </c>
      <c r="F865" t="s">
        <v>98</v>
      </c>
      <c r="G865" t="s">
        <v>77</v>
      </c>
      <c r="H865" t="s">
        <v>78</v>
      </c>
      <c r="I865" t="s">
        <v>79</v>
      </c>
      <c r="J865" t="s">
        <v>70</v>
      </c>
      <c r="K865" t="s">
        <v>75</v>
      </c>
      <c r="L865" t="s">
        <v>76</v>
      </c>
      <c r="M865" t="s">
        <v>103</v>
      </c>
      <c r="N865" t="s">
        <v>74</v>
      </c>
      <c r="O865" t="s">
        <v>104</v>
      </c>
      <c r="P865" t="s">
        <v>71</v>
      </c>
      <c r="Q865" t="s">
        <v>71</v>
      </c>
      <c r="R865" t="s">
        <v>110</v>
      </c>
      <c r="S865">
        <v>1</v>
      </c>
      <c r="T865">
        <v>1</v>
      </c>
      <c r="U865" t="s">
        <v>282</v>
      </c>
      <c r="V865" t="s">
        <v>192</v>
      </c>
      <c r="W865">
        <v>0</v>
      </c>
      <c r="X865">
        <v>0</v>
      </c>
      <c r="Y865">
        <v>0</v>
      </c>
      <c r="Z865">
        <v>0</v>
      </c>
      <c r="AA865">
        <v>0</v>
      </c>
      <c r="AB865">
        <v>0</v>
      </c>
      <c r="AC865">
        <v>0</v>
      </c>
      <c r="AD865">
        <v>0</v>
      </c>
      <c r="AE865">
        <v>0</v>
      </c>
      <c r="AF865">
        <v>0</v>
      </c>
      <c r="AG865" t="s">
        <v>71</v>
      </c>
      <c r="AH865">
        <v>0</v>
      </c>
      <c r="AI865">
        <v>0</v>
      </c>
      <c r="AJ865">
        <v>0</v>
      </c>
      <c r="AK865">
        <v>0</v>
      </c>
      <c r="AL865" t="s">
        <v>496</v>
      </c>
      <c r="AM865" t="s">
        <v>491</v>
      </c>
      <c r="AN865" t="s">
        <v>148</v>
      </c>
      <c r="AO865" t="s">
        <v>147</v>
      </c>
      <c r="AP865">
        <v>0</v>
      </c>
      <c r="AQ865">
        <v>0</v>
      </c>
      <c r="AR865">
        <v>0</v>
      </c>
      <c r="AS865">
        <v>0</v>
      </c>
      <c r="AT865">
        <v>0</v>
      </c>
      <c r="AU865">
        <v>0</v>
      </c>
      <c r="AV865">
        <v>0</v>
      </c>
      <c r="AW865">
        <v>0</v>
      </c>
      <c r="AX865">
        <v>0</v>
      </c>
      <c r="AY865">
        <v>0</v>
      </c>
    </row>
    <row r="866" spans="1:51" x14ac:dyDescent="0.25">
      <c r="A866">
        <v>177</v>
      </c>
      <c r="B866">
        <v>10110</v>
      </c>
      <c r="C866" t="s">
        <v>735</v>
      </c>
      <c r="D866" t="s">
        <v>96</v>
      </c>
      <c r="E866" t="s">
        <v>100</v>
      </c>
      <c r="F866" t="s">
        <v>107</v>
      </c>
      <c r="G866" t="s">
        <v>77</v>
      </c>
      <c r="H866" t="s">
        <v>78</v>
      </c>
      <c r="I866" t="s">
        <v>79</v>
      </c>
      <c r="J866" t="s">
        <v>119</v>
      </c>
      <c r="K866" t="s">
        <v>75</v>
      </c>
      <c r="L866" t="s">
        <v>76</v>
      </c>
      <c r="M866" t="s">
        <v>103</v>
      </c>
      <c r="N866" t="s">
        <v>74</v>
      </c>
      <c r="O866" t="s">
        <v>104</v>
      </c>
      <c r="P866" t="s">
        <v>71</v>
      </c>
      <c r="Q866" t="s">
        <v>71</v>
      </c>
      <c r="R866" t="s">
        <v>110</v>
      </c>
      <c r="S866">
        <v>1</v>
      </c>
      <c r="T866">
        <v>1</v>
      </c>
      <c r="U866" t="s">
        <v>284</v>
      </c>
      <c r="V866" t="s">
        <v>192</v>
      </c>
      <c r="W866">
        <v>0</v>
      </c>
      <c r="X866">
        <v>0</v>
      </c>
      <c r="Y866">
        <v>0</v>
      </c>
      <c r="Z866">
        <v>0</v>
      </c>
      <c r="AA866">
        <v>0</v>
      </c>
      <c r="AB866">
        <v>0</v>
      </c>
      <c r="AC866">
        <v>0</v>
      </c>
      <c r="AD866">
        <v>0</v>
      </c>
      <c r="AE866">
        <v>0</v>
      </c>
      <c r="AF866">
        <v>0</v>
      </c>
      <c r="AG866" t="s">
        <v>71</v>
      </c>
      <c r="AH866">
        <v>0</v>
      </c>
      <c r="AI866">
        <v>0</v>
      </c>
      <c r="AJ866">
        <v>0</v>
      </c>
      <c r="AK866">
        <v>0</v>
      </c>
      <c r="AL866" t="s">
        <v>496</v>
      </c>
      <c r="AM866" t="s">
        <v>491</v>
      </c>
      <c r="AN866" t="s">
        <v>148</v>
      </c>
      <c r="AO866" t="s">
        <v>147</v>
      </c>
      <c r="AP866">
        <v>0</v>
      </c>
      <c r="AQ866">
        <v>0</v>
      </c>
      <c r="AR866">
        <v>0</v>
      </c>
      <c r="AS866">
        <v>0</v>
      </c>
      <c r="AT866">
        <v>0</v>
      </c>
      <c r="AU866">
        <v>0</v>
      </c>
      <c r="AV866">
        <v>0</v>
      </c>
      <c r="AW866">
        <v>0</v>
      </c>
      <c r="AX866">
        <v>64</v>
      </c>
      <c r="AY866">
        <v>0</v>
      </c>
    </row>
    <row r="867" spans="1:51" x14ac:dyDescent="0.25">
      <c r="A867">
        <v>177</v>
      </c>
      <c r="B867">
        <v>10120</v>
      </c>
      <c r="C867" t="s">
        <v>735</v>
      </c>
      <c r="D867" t="s">
        <v>96</v>
      </c>
      <c r="E867" t="s">
        <v>100</v>
      </c>
      <c r="F867" t="s">
        <v>111</v>
      </c>
      <c r="G867" t="s">
        <v>77</v>
      </c>
      <c r="H867" t="s">
        <v>78</v>
      </c>
      <c r="I867" t="s">
        <v>79</v>
      </c>
      <c r="J867" t="s">
        <v>119</v>
      </c>
      <c r="K867" t="s">
        <v>75</v>
      </c>
      <c r="L867" t="s">
        <v>76</v>
      </c>
      <c r="M867" t="s">
        <v>103</v>
      </c>
      <c r="N867" t="s">
        <v>74</v>
      </c>
      <c r="O867" t="s">
        <v>104</v>
      </c>
      <c r="P867" t="s">
        <v>71</v>
      </c>
      <c r="Q867" t="s">
        <v>71</v>
      </c>
      <c r="R867" t="s">
        <v>110</v>
      </c>
      <c r="S867">
        <v>1</v>
      </c>
      <c r="T867">
        <v>1</v>
      </c>
      <c r="U867" t="s">
        <v>284</v>
      </c>
      <c r="V867" t="s">
        <v>192</v>
      </c>
      <c r="W867">
        <v>0</v>
      </c>
      <c r="X867">
        <v>0</v>
      </c>
      <c r="Y867">
        <v>0</v>
      </c>
      <c r="Z867">
        <v>0</v>
      </c>
      <c r="AA867">
        <v>0</v>
      </c>
      <c r="AB867">
        <v>0</v>
      </c>
      <c r="AC867">
        <v>0</v>
      </c>
      <c r="AD867">
        <v>0</v>
      </c>
      <c r="AE867">
        <v>0</v>
      </c>
      <c r="AF867">
        <v>0</v>
      </c>
      <c r="AG867" t="s">
        <v>71</v>
      </c>
      <c r="AH867">
        <v>0</v>
      </c>
      <c r="AI867">
        <v>0</v>
      </c>
      <c r="AJ867">
        <v>0</v>
      </c>
      <c r="AK867">
        <v>0</v>
      </c>
      <c r="AL867" t="s">
        <v>496</v>
      </c>
      <c r="AM867" t="s">
        <v>491</v>
      </c>
      <c r="AN867" t="s">
        <v>148</v>
      </c>
      <c r="AO867" t="s">
        <v>147</v>
      </c>
      <c r="AP867">
        <v>0</v>
      </c>
      <c r="AQ867">
        <v>0</v>
      </c>
      <c r="AR867">
        <v>0</v>
      </c>
      <c r="AS867">
        <v>0</v>
      </c>
      <c r="AT867">
        <v>0</v>
      </c>
      <c r="AU867">
        <v>0</v>
      </c>
      <c r="AV867">
        <v>0</v>
      </c>
      <c r="AW867">
        <v>0</v>
      </c>
      <c r="AX867">
        <v>64</v>
      </c>
      <c r="AY867">
        <v>0</v>
      </c>
    </row>
    <row r="868" spans="1:51" x14ac:dyDescent="0.25">
      <c r="A868">
        <v>177</v>
      </c>
      <c r="B868">
        <v>10130</v>
      </c>
      <c r="C868" t="s">
        <v>735</v>
      </c>
      <c r="D868" t="s">
        <v>96</v>
      </c>
      <c r="E868" t="s">
        <v>100</v>
      </c>
      <c r="F868" t="s">
        <v>112</v>
      </c>
      <c r="G868" t="s">
        <v>77</v>
      </c>
      <c r="H868" t="s">
        <v>78</v>
      </c>
      <c r="I868" t="s">
        <v>79</v>
      </c>
      <c r="J868" t="s">
        <v>119</v>
      </c>
      <c r="K868" t="s">
        <v>75</v>
      </c>
      <c r="L868" t="s">
        <v>76</v>
      </c>
      <c r="M868" t="s">
        <v>103</v>
      </c>
      <c r="N868" t="s">
        <v>74</v>
      </c>
      <c r="O868" t="s">
        <v>104</v>
      </c>
      <c r="P868" t="s">
        <v>71</v>
      </c>
      <c r="Q868" t="s">
        <v>110</v>
      </c>
      <c r="R868" t="s">
        <v>110</v>
      </c>
      <c r="S868">
        <v>1</v>
      </c>
      <c r="T868">
        <v>1</v>
      </c>
      <c r="U868" t="s">
        <v>284</v>
      </c>
      <c r="V868" t="s">
        <v>192</v>
      </c>
      <c r="W868">
        <v>0</v>
      </c>
      <c r="X868">
        <v>0</v>
      </c>
      <c r="Y868">
        <v>0</v>
      </c>
      <c r="Z868">
        <v>0</v>
      </c>
      <c r="AA868">
        <v>0</v>
      </c>
      <c r="AB868">
        <v>0</v>
      </c>
      <c r="AC868">
        <v>0</v>
      </c>
      <c r="AD868">
        <v>0</v>
      </c>
      <c r="AE868">
        <v>0</v>
      </c>
      <c r="AF868">
        <v>0</v>
      </c>
      <c r="AG868" t="s">
        <v>71</v>
      </c>
      <c r="AH868">
        <v>0</v>
      </c>
      <c r="AI868">
        <v>0</v>
      </c>
      <c r="AJ868">
        <v>0</v>
      </c>
      <c r="AK868">
        <v>0</v>
      </c>
      <c r="AL868" t="s">
        <v>496</v>
      </c>
      <c r="AM868" t="s">
        <v>491</v>
      </c>
      <c r="AN868" t="s">
        <v>148</v>
      </c>
      <c r="AO868" t="s">
        <v>147</v>
      </c>
      <c r="AP868">
        <v>0</v>
      </c>
      <c r="AQ868">
        <v>0</v>
      </c>
      <c r="AR868">
        <v>0</v>
      </c>
      <c r="AS868">
        <v>0</v>
      </c>
      <c r="AT868">
        <v>0</v>
      </c>
      <c r="AU868">
        <v>0</v>
      </c>
      <c r="AV868">
        <v>0</v>
      </c>
      <c r="AW868">
        <v>0</v>
      </c>
      <c r="AX868">
        <v>64</v>
      </c>
      <c r="AY868">
        <v>0</v>
      </c>
    </row>
    <row r="869" spans="1:51" x14ac:dyDescent="0.25">
      <c r="A869">
        <v>177</v>
      </c>
      <c r="B869">
        <v>10140</v>
      </c>
      <c r="C869" t="s">
        <v>735</v>
      </c>
      <c r="D869" t="s">
        <v>96</v>
      </c>
      <c r="E869" t="s">
        <v>100</v>
      </c>
      <c r="F869" t="s">
        <v>107</v>
      </c>
      <c r="G869" t="s">
        <v>77</v>
      </c>
      <c r="H869" t="s">
        <v>78</v>
      </c>
      <c r="I869" t="s">
        <v>79</v>
      </c>
      <c r="J869" t="s">
        <v>119</v>
      </c>
      <c r="K869" t="s">
        <v>75</v>
      </c>
      <c r="L869" t="s">
        <v>76</v>
      </c>
      <c r="M869" t="s">
        <v>103</v>
      </c>
      <c r="N869" t="s">
        <v>74</v>
      </c>
      <c r="O869" t="s">
        <v>104</v>
      </c>
      <c r="P869" t="s">
        <v>71</v>
      </c>
      <c r="Q869" t="s">
        <v>110</v>
      </c>
      <c r="R869" t="s">
        <v>110</v>
      </c>
      <c r="S869">
        <v>1</v>
      </c>
      <c r="T869">
        <v>1</v>
      </c>
      <c r="U869" t="s">
        <v>283</v>
      </c>
      <c r="V869" t="s">
        <v>192</v>
      </c>
      <c r="W869">
        <v>0</v>
      </c>
      <c r="X869">
        <v>0</v>
      </c>
      <c r="Y869">
        <v>0</v>
      </c>
      <c r="Z869">
        <v>0</v>
      </c>
      <c r="AA869">
        <v>0</v>
      </c>
      <c r="AB869">
        <v>0</v>
      </c>
      <c r="AC869">
        <v>0</v>
      </c>
      <c r="AD869">
        <v>0</v>
      </c>
      <c r="AE869">
        <v>0</v>
      </c>
      <c r="AF869">
        <v>0</v>
      </c>
      <c r="AG869" t="s">
        <v>71</v>
      </c>
      <c r="AH869">
        <v>0</v>
      </c>
      <c r="AI869">
        <v>0</v>
      </c>
      <c r="AJ869">
        <v>0</v>
      </c>
      <c r="AK869">
        <v>0</v>
      </c>
      <c r="AL869" t="s">
        <v>496</v>
      </c>
      <c r="AM869" t="s">
        <v>491</v>
      </c>
      <c r="AN869" t="s">
        <v>148</v>
      </c>
      <c r="AO869" t="s">
        <v>147</v>
      </c>
      <c r="AP869">
        <v>0</v>
      </c>
      <c r="AQ869">
        <v>0</v>
      </c>
      <c r="AR869">
        <v>0</v>
      </c>
      <c r="AS869">
        <v>0</v>
      </c>
      <c r="AT869">
        <v>0</v>
      </c>
      <c r="AU869">
        <v>0</v>
      </c>
      <c r="AV869">
        <v>0</v>
      </c>
      <c r="AW869">
        <v>0</v>
      </c>
      <c r="AX869">
        <v>64</v>
      </c>
      <c r="AY869">
        <v>0</v>
      </c>
    </row>
    <row r="870" spans="1:51" x14ac:dyDescent="0.25">
      <c r="A870">
        <v>177</v>
      </c>
      <c r="B870">
        <v>10150</v>
      </c>
      <c r="C870" t="s">
        <v>735</v>
      </c>
      <c r="D870" t="s">
        <v>96</v>
      </c>
      <c r="E870" t="s">
        <v>100</v>
      </c>
      <c r="F870" t="s">
        <v>107</v>
      </c>
      <c r="G870" t="s">
        <v>77</v>
      </c>
      <c r="H870" t="s">
        <v>78</v>
      </c>
      <c r="I870" t="s">
        <v>79</v>
      </c>
      <c r="J870" t="s">
        <v>70</v>
      </c>
      <c r="K870" t="s">
        <v>75</v>
      </c>
      <c r="L870" t="s">
        <v>76</v>
      </c>
      <c r="M870" t="s">
        <v>103</v>
      </c>
      <c r="N870" t="s">
        <v>74</v>
      </c>
      <c r="O870" t="s">
        <v>104</v>
      </c>
      <c r="P870" t="s">
        <v>71</v>
      </c>
      <c r="Q870" t="s">
        <v>110</v>
      </c>
      <c r="R870" t="s">
        <v>110</v>
      </c>
      <c r="S870">
        <v>1</v>
      </c>
      <c r="T870">
        <v>1</v>
      </c>
      <c r="U870" t="s">
        <v>72</v>
      </c>
      <c r="V870" t="s">
        <v>192</v>
      </c>
      <c r="W870">
        <v>0</v>
      </c>
      <c r="X870">
        <v>0</v>
      </c>
      <c r="Y870">
        <v>1</v>
      </c>
      <c r="Z870">
        <v>10</v>
      </c>
      <c r="AA870">
        <v>1</v>
      </c>
      <c r="AB870">
        <v>10</v>
      </c>
      <c r="AC870">
        <v>1</v>
      </c>
      <c r="AD870">
        <v>10</v>
      </c>
      <c r="AE870">
        <v>0</v>
      </c>
      <c r="AF870">
        <v>0</v>
      </c>
      <c r="AG870" t="s">
        <v>71</v>
      </c>
      <c r="AH870">
        <v>0</v>
      </c>
      <c r="AI870">
        <v>0</v>
      </c>
      <c r="AJ870">
        <v>0</v>
      </c>
      <c r="AK870">
        <v>0</v>
      </c>
      <c r="AL870" t="s">
        <v>496</v>
      </c>
      <c r="AM870" t="s">
        <v>491</v>
      </c>
      <c r="AN870" t="s">
        <v>148</v>
      </c>
      <c r="AO870" t="s">
        <v>147</v>
      </c>
      <c r="AP870">
        <v>0</v>
      </c>
      <c r="AQ870">
        <v>0</v>
      </c>
      <c r="AR870">
        <v>0</v>
      </c>
      <c r="AS870">
        <v>0</v>
      </c>
      <c r="AT870">
        <v>0</v>
      </c>
      <c r="AU870">
        <v>0</v>
      </c>
      <c r="AV870">
        <v>0</v>
      </c>
      <c r="AW870">
        <v>0</v>
      </c>
      <c r="AX870">
        <v>64</v>
      </c>
      <c r="AY870">
        <v>0</v>
      </c>
    </row>
    <row r="871" spans="1:51" x14ac:dyDescent="0.25">
      <c r="A871">
        <v>177</v>
      </c>
      <c r="B871">
        <v>10160</v>
      </c>
      <c r="C871" t="s">
        <v>735</v>
      </c>
      <c r="D871" t="s">
        <v>96</v>
      </c>
      <c r="E871" t="s">
        <v>100</v>
      </c>
      <c r="F871" t="s">
        <v>107</v>
      </c>
      <c r="G871" t="s">
        <v>77</v>
      </c>
      <c r="H871" t="s">
        <v>78</v>
      </c>
      <c r="I871" t="s">
        <v>79</v>
      </c>
      <c r="J871" t="s">
        <v>70</v>
      </c>
      <c r="K871" t="s">
        <v>75</v>
      </c>
      <c r="L871" t="s">
        <v>76</v>
      </c>
      <c r="M871" t="s">
        <v>103</v>
      </c>
      <c r="N871" t="s">
        <v>74</v>
      </c>
      <c r="O871" t="s">
        <v>104</v>
      </c>
      <c r="P871" t="s">
        <v>71</v>
      </c>
      <c r="Q871" t="s">
        <v>299</v>
      </c>
      <c r="R871" t="s">
        <v>110</v>
      </c>
      <c r="S871">
        <v>1</v>
      </c>
      <c r="T871">
        <v>1</v>
      </c>
      <c r="U871" t="s">
        <v>72</v>
      </c>
      <c r="V871" t="s">
        <v>192</v>
      </c>
      <c r="W871">
        <v>0</v>
      </c>
      <c r="X871">
        <v>0</v>
      </c>
      <c r="Y871">
        <v>0</v>
      </c>
      <c r="Z871">
        <v>0</v>
      </c>
      <c r="AA871">
        <v>0</v>
      </c>
      <c r="AB871">
        <v>0</v>
      </c>
      <c r="AC871">
        <v>0</v>
      </c>
      <c r="AD871">
        <v>0</v>
      </c>
      <c r="AE871">
        <v>0</v>
      </c>
      <c r="AF871">
        <v>0</v>
      </c>
      <c r="AG871" t="s">
        <v>71</v>
      </c>
      <c r="AH871">
        <v>0</v>
      </c>
      <c r="AI871">
        <v>0</v>
      </c>
      <c r="AJ871">
        <v>0</v>
      </c>
      <c r="AK871">
        <v>0</v>
      </c>
      <c r="AL871" t="s">
        <v>496</v>
      </c>
      <c r="AM871" t="s">
        <v>491</v>
      </c>
      <c r="AN871" t="s">
        <v>148</v>
      </c>
      <c r="AO871" t="s">
        <v>147</v>
      </c>
      <c r="AP871">
        <v>0</v>
      </c>
      <c r="AQ871">
        <v>0</v>
      </c>
      <c r="AR871">
        <v>0</v>
      </c>
      <c r="AS871">
        <v>0</v>
      </c>
      <c r="AT871">
        <v>0</v>
      </c>
      <c r="AU871">
        <v>0</v>
      </c>
      <c r="AV871">
        <v>0</v>
      </c>
      <c r="AW871">
        <v>0</v>
      </c>
      <c r="AX871">
        <v>64</v>
      </c>
      <c r="AY871">
        <v>0</v>
      </c>
    </row>
    <row r="872" spans="1:51" x14ac:dyDescent="0.25">
      <c r="A872">
        <v>177</v>
      </c>
      <c r="B872">
        <v>13130</v>
      </c>
      <c r="C872" t="s">
        <v>735</v>
      </c>
      <c r="D872" t="s">
        <v>96</v>
      </c>
      <c r="E872" t="s">
        <v>100</v>
      </c>
      <c r="F872" t="s">
        <v>107</v>
      </c>
      <c r="G872" t="s">
        <v>77</v>
      </c>
      <c r="H872" t="s">
        <v>78</v>
      </c>
      <c r="I872" t="s">
        <v>79</v>
      </c>
      <c r="J872" t="s">
        <v>70</v>
      </c>
      <c r="K872" t="s">
        <v>75</v>
      </c>
      <c r="L872" t="s">
        <v>76</v>
      </c>
      <c r="M872" t="s">
        <v>103</v>
      </c>
      <c r="N872" t="s">
        <v>74</v>
      </c>
      <c r="O872" t="s">
        <v>104</v>
      </c>
      <c r="P872" t="s">
        <v>71</v>
      </c>
      <c r="Q872" t="s">
        <v>71</v>
      </c>
      <c r="R872" t="s">
        <v>110</v>
      </c>
      <c r="S872">
        <v>1</v>
      </c>
      <c r="T872">
        <v>1</v>
      </c>
      <c r="U872" t="s">
        <v>72</v>
      </c>
      <c r="V872" t="s">
        <v>192</v>
      </c>
      <c r="W872">
        <v>0</v>
      </c>
      <c r="X872">
        <v>0</v>
      </c>
      <c r="Y872">
        <v>0</v>
      </c>
      <c r="Z872">
        <v>0</v>
      </c>
      <c r="AA872">
        <v>0</v>
      </c>
      <c r="AB872">
        <v>0</v>
      </c>
      <c r="AC872">
        <v>0</v>
      </c>
      <c r="AD872">
        <v>0</v>
      </c>
      <c r="AE872">
        <v>0</v>
      </c>
      <c r="AF872">
        <v>0</v>
      </c>
      <c r="AG872" t="s">
        <v>71</v>
      </c>
      <c r="AH872">
        <v>0</v>
      </c>
      <c r="AI872">
        <v>0</v>
      </c>
      <c r="AJ872">
        <v>0</v>
      </c>
      <c r="AK872">
        <v>0</v>
      </c>
      <c r="AL872" t="s">
        <v>496</v>
      </c>
      <c r="AM872" t="s">
        <v>491</v>
      </c>
      <c r="AN872" t="s">
        <v>148</v>
      </c>
      <c r="AO872" t="s">
        <v>147</v>
      </c>
      <c r="AP872">
        <v>0</v>
      </c>
      <c r="AQ872">
        <v>0</v>
      </c>
      <c r="AR872">
        <v>0</v>
      </c>
      <c r="AS872">
        <v>0</v>
      </c>
      <c r="AT872">
        <v>0</v>
      </c>
      <c r="AU872">
        <v>0</v>
      </c>
      <c r="AV872">
        <v>0</v>
      </c>
      <c r="AW872">
        <v>0</v>
      </c>
      <c r="AX872">
        <v>64</v>
      </c>
      <c r="AY872">
        <v>0</v>
      </c>
    </row>
    <row r="873" spans="1:51" x14ac:dyDescent="0.25">
      <c r="A873">
        <v>177</v>
      </c>
      <c r="B873">
        <v>13140</v>
      </c>
      <c r="C873" t="s">
        <v>735</v>
      </c>
      <c r="D873" t="s">
        <v>96</v>
      </c>
      <c r="E873" t="s">
        <v>100</v>
      </c>
      <c r="F873" t="s">
        <v>107</v>
      </c>
      <c r="G873" t="s">
        <v>77</v>
      </c>
      <c r="H873" t="s">
        <v>78</v>
      </c>
      <c r="I873" t="s">
        <v>79</v>
      </c>
      <c r="J873" t="s">
        <v>70</v>
      </c>
      <c r="K873" t="s">
        <v>75</v>
      </c>
      <c r="L873" t="s">
        <v>76</v>
      </c>
      <c r="M873" t="s">
        <v>103</v>
      </c>
      <c r="N873" t="s">
        <v>74</v>
      </c>
      <c r="O873" t="s">
        <v>104</v>
      </c>
      <c r="P873" t="s">
        <v>71</v>
      </c>
      <c r="Q873" t="s">
        <v>71</v>
      </c>
      <c r="R873" t="s">
        <v>110</v>
      </c>
      <c r="S873">
        <v>1</v>
      </c>
      <c r="T873">
        <v>1</v>
      </c>
      <c r="U873" t="s">
        <v>72</v>
      </c>
      <c r="V873" t="s">
        <v>192</v>
      </c>
      <c r="W873">
        <v>0</v>
      </c>
      <c r="X873">
        <v>0</v>
      </c>
      <c r="Y873">
        <v>0</v>
      </c>
      <c r="Z873">
        <v>0</v>
      </c>
      <c r="AA873">
        <v>0</v>
      </c>
      <c r="AB873">
        <v>0</v>
      </c>
      <c r="AC873">
        <v>0</v>
      </c>
      <c r="AD873">
        <v>0</v>
      </c>
      <c r="AE873">
        <v>0</v>
      </c>
      <c r="AF873">
        <v>0</v>
      </c>
      <c r="AG873" t="s">
        <v>71</v>
      </c>
      <c r="AH873">
        <v>0</v>
      </c>
      <c r="AI873">
        <v>0</v>
      </c>
      <c r="AJ873">
        <v>0</v>
      </c>
      <c r="AK873">
        <v>0</v>
      </c>
      <c r="AL873" t="s">
        <v>496</v>
      </c>
      <c r="AM873" t="s">
        <v>491</v>
      </c>
      <c r="AN873" t="s">
        <v>148</v>
      </c>
      <c r="AO873" t="s">
        <v>147</v>
      </c>
      <c r="AP873">
        <v>0</v>
      </c>
      <c r="AQ873">
        <v>0</v>
      </c>
      <c r="AR873">
        <v>0</v>
      </c>
      <c r="AS873">
        <v>0</v>
      </c>
      <c r="AT873">
        <v>0</v>
      </c>
      <c r="AU873">
        <v>0</v>
      </c>
      <c r="AV873">
        <v>0</v>
      </c>
      <c r="AW873">
        <v>0</v>
      </c>
      <c r="AX873">
        <v>0</v>
      </c>
      <c r="AY873">
        <v>0</v>
      </c>
    </row>
    <row r="874" spans="1:51" x14ac:dyDescent="0.25">
      <c r="A874">
        <v>177</v>
      </c>
      <c r="B874">
        <v>13150</v>
      </c>
      <c r="C874" t="s">
        <v>735</v>
      </c>
      <c r="D874" t="s">
        <v>96</v>
      </c>
      <c r="E874" t="s">
        <v>100</v>
      </c>
      <c r="F874" t="s">
        <v>107</v>
      </c>
      <c r="G874" t="s">
        <v>77</v>
      </c>
      <c r="H874" t="s">
        <v>78</v>
      </c>
      <c r="I874" t="s">
        <v>79</v>
      </c>
      <c r="J874" t="s">
        <v>70</v>
      </c>
      <c r="K874" t="s">
        <v>75</v>
      </c>
      <c r="L874" t="s">
        <v>76</v>
      </c>
      <c r="M874" t="s">
        <v>103</v>
      </c>
      <c r="N874" t="s">
        <v>74</v>
      </c>
      <c r="O874" t="s">
        <v>104</v>
      </c>
      <c r="P874" t="s">
        <v>71</v>
      </c>
      <c r="Q874" t="s">
        <v>71</v>
      </c>
      <c r="R874" t="s">
        <v>110</v>
      </c>
      <c r="S874">
        <v>1</v>
      </c>
      <c r="T874">
        <v>1</v>
      </c>
      <c r="U874" t="s">
        <v>72</v>
      </c>
      <c r="V874" t="s">
        <v>192</v>
      </c>
      <c r="W874">
        <v>0</v>
      </c>
      <c r="X874">
        <v>0</v>
      </c>
      <c r="Y874">
        <v>0</v>
      </c>
      <c r="Z874">
        <v>0</v>
      </c>
      <c r="AA874">
        <v>0</v>
      </c>
      <c r="AB874">
        <v>0</v>
      </c>
      <c r="AC874">
        <v>0</v>
      </c>
      <c r="AD874">
        <v>0</v>
      </c>
      <c r="AE874">
        <v>0</v>
      </c>
      <c r="AF874">
        <v>0</v>
      </c>
      <c r="AG874" t="s">
        <v>71</v>
      </c>
      <c r="AH874">
        <v>0</v>
      </c>
      <c r="AI874">
        <v>0</v>
      </c>
      <c r="AJ874">
        <v>0</v>
      </c>
      <c r="AK874">
        <v>0</v>
      </c>
      <c r="AL874" t="s">
        <v>496</v>
      </c>
      <c r="AM874" t="s">
        <v>491</v>
      </c>
      <c r="AN874" t="s">
        <v>148</v>
      </c>
      <c r="AO874" t="s">
        <v>147</v>
      </c>
      <c r="AP874">
        <v>0</v>
      </c>
      <c r="AQ874">
        <v>0</v>
      </c>
      <c r="AR874">
        <v>0</v>
      </c>
      <c r="AS874">
        <v>0</v>
      </c>
      <c r="AT874">
        <v>0</v>
      </c>
      <c r="AU874">
        <v>0</v>
      </c>
      <c r="AV874">
        <v>0</v>
      </c>
      <c r="AW874">
        <v>0</v>
      </c>
      <c r="AX874">
        <v>0</v>
      </c>
      <c r="AY874">
        <v>0</v>
      </c>
    </row>
    <row r="875" spans="1:51" x14ac:dyDescent="0.25">
      <c r="A875">
        <v>178</v>
      </c>
      <c r="B875">
        <v>13160</v>
      </c>
      <c r="C875" t="s">
        <v>735</v>
      </c>
      <c r="D875" t="s">
        <v>96</v>
      </c>
      <c r="E875" t="s">
        <v>100</v>
      </c>
      <c r="F875" t="s">
        <v>107</v>
      </c>
      <c r="G875" t="s">
        <v>77</v>
      </c>
      <c r="H875" t="s">
        <v>78</v>
      </c>
      <c r="I875" t="s">
        <v>79</v>
      </c>
      <c r="J875" t="s">
        <v>70</v>
      </c>
      <c r="K875" t="s">
        <v>75</v>
      </c>
      <c r="L875" t="s">
        <v>76</v>
      </c>
      <c r="M875" t="s">
        <v>103</v>
      </c>
      <c r="N875" t="s">
        <v>74</v>
      </c>
      <c r="O875" t="s">
        <v>104</v>
      </c>
      <c r="P875" t="s">
        <v>110</v>
      </c>
      <c r="Q875" t="s">
        <v>71</v>
      </c>
      <c r="R875" t="s">
        <v>110</v>
      </c>
      <c r="S875">
        <v>1</v>
      </c>
      <c r="T875">
        <v>1</v>
      </c>
      <c r="U875" t="s">
        <v>284</v>
      </c>
      <c r="V875" t="s">
        <v>192</v>
      </c>
      <c r="W875">
        <v>0</v>
      </c>
      <c r="X875">
        <v>0</v>
      </c>
      <c r="Y875">
        <v>0</v>
      </c>
      <c r="Z875">
        <v>0</v>
      </c>
      <c r="AA875">
        <v>0</v>
      </c>
      <c r="AB875">
        <v>0</v>
      </c>
      <c r="AC875">
        <v>0</v>
      </c>
      <c r="AD875">
        <v>0</v>
      </c>
      <c r="AE875">
        <v>0</v>
      </c>
      <c r="AF875">
        <v>0</v>
      </c>
      <c r="AG875" t="s">
        <v>71</v>
      </c>
      <c r="AH875">
        <v>0</v>
      </c>
      <c r="AI875">
        <v>0</v>
      </c>
      <c r="AJ875">
        <v>0</v>
      </c>
      <c r="AK875">
        <v>0</v>
      </c>
      <c r="AL875" t="s">
        <v>496</v>
      </c>
      <c r="AM875" t="s">
        <v>491</v>
      </c>
      <c r="AN875" t="s">
        <v>148</v>
      </c>
      <c r="AO875" t="s">
        <v>147</v>
      </c>
      <c r="AP875">
        <v>0</v>
      </c>
      <c r="AQ875">
        <v>0</v>
      </c>
      <c r="AR875">
        <v>0</v>
      </c>
      <c r="AS875">
        <v>0</v>
      </c>
      <c r="AT875">
        <v>0</v>
      </c>
      <c r="AU875">
        <v>0</v>
      </c>
      <c r="AV875">
        <v>0</v>
      </c>
      <c r="AW875">
        <v>0</v>
      </c>
      <c r="AX875">
        <v>128</v>
      </c>
      <c r="AY875">
        <v>0</v>
      </c>
    </row>
    <row r="876" spans="1:51" x14ac:dyDescent="0.25">
      <c r="A876">
        <v>178</v>
      </c>
      <c r="B876">
        <v>13170</v>
      </c>
      <c r="C876" t="s">
        <v>735</v>
      </c>
      <c r="D876" t="s">
        <v>96</v>
      </c>
      <c r="E876" t="s">
        <v>100</v>
      </c>
      <c r="F876" t="s">
        <v>111</v>
      </c>
      <c r="G876" t="s">
        <v>77</v>
      </c>
      <c r="H876" t="s">
        <v>78</v>
      </c>
      <c r="I876" t="s">
        <v>79</v>
      </c>
      <c r="J876" t="s">
        <v>70</v>
      </c>
      <c r="K876" t="s">
        <v>75</v>
      </c>
      <c r="L876" t="s">
        <v>76</v>
      </c>
      <c r="M876" t="s">
        <v>103</v>
      </c>
      <c r="N876" t="s">
        <v>74</v>
      </c>
      <c r="O876" t="s">
        <v>104</v>
      </c>
      <c r="P876" t="s">
        <v>110</v>
      </c>
      <c r="Q876" t="s">
        <v>71</v>
      </c>
      <c r="R876" t="s">
        <v>110</v>
      </c>
      <c r="S876">
        <v>1</v>
      </c>
      <c r="T876">
        <v>1</v>
      </c>
      <c r="U876" t="s">
        <v>284</v>
      </c>
      <c r="V876" t="s">
        <v>192</v>
      </c>
      <c r="W876">
        <v>0</v>
      </c>
      <c r="X876">
        <v>0</v>
      </c>
      <c r="Y876">
        <v>0</v>
      </c>
      <c r="Z876">
        <v>0</v>
      </c>
      <c r="AA876">
        <v>0</v>
      </c>
      <c r="AB876">
        <v>0</v>
      </c>
      <c r="AC876">
        <v>0</v>
      </c>
      <c r="AD876">
        <v>0</v>
      </c>
      <c r="AE876">
        <v>0</v>
      </c>
      <c r="AF876">
        <v>0</v>
      </c>
      <c r="AG876" t="s">
        <v>71</v>
      </c>
      <c r="AH876">
        <v>0</v>
      </c>
      <c r="AI876">
        <v>0</v>
      </c>
      <c r="AJ876">
        <v>0</v>
      </c>
      <c r="AK876">
        <v>0</v>
      </c>
      <c r="AL876" t="s">
        <v>496</v>
      </c>
      <c r="AM876" t="s">
        <v>491</v>
      </c>
      <c r="AN876" t="s">
        <v>148</v>
      </c>
      <c r="AO876" t="s">
        <v>147</v>
      </c>
      <c r="AP876">
        <v>0</v>
      </c>
      <c r="AQ876">
        <v>0</v>
      </c>
      <c r="AR876">
        <v>0</v>
      </c>
      <c r="AS876">
        <v>0</v>
      </c>
      <c r="AT876">
        <v>0</v>
      </c>
      <c r="AU876">
        <v>0</v>
      </c>
      <c r="AV876">
        <v>0</v>
      </c>
      <c r="AW876">
        <v>0</v>
      </c>
      <c r="AX876">
        <v>128</v>
      </c>
      <c r="AY876">
        <v>0</v>
      </c>
    </row>
    <row r="877" spans="1:51" x14ac:dyDescent="0.25">
      <c r="A877">
        <v>178</v>
      </c>
      <c r="B877">
        <v>13180</v>
      </c>
      <c r="C877" t="s">
        <v>735</v>
      </c>
      <c r="D877" t="s">
        <v>96</v>
      </c>
      <c r="E877" t="s">
        <v>100</v>
      </c>
      <c r="F877" t="s">
        <v>112</v>
      </c>
      <c r="G877" t="s">
        <v>77</v>
      </c>
      <c r="H877" t="s">
        <v>78</v>
      </c>
      <c r="I877" t="s">
        <v>79</v>
      </c>
      <c r="J877" t="s">
        <v>70</v>
      </c>
      <c r="K877" t="s">
        <v>75</v>
      </c>
      <c r="L877" t="s">
        <v>76</v>
      </c>
      <c r="M877" t="s">
        <v>103</v>
      </c>
      <c r="N877" t="s">
        <v>74</v>
      </c>
      <c r="O877" t="s">
        <v>104</v>
      </c>
      <c r="P877" t="s">
        <v>110</v>
      </c>
      <c r="Q877" t="s">
        <v>110</v>
      </c>
      <c r="R877" t="s">
        <v>110</v>
      </c>
      <c r="S877">
        <v>1</v>
      </c>
      <c r="T877">
        <v>1</v>
      </c>
      <c r="U877" t="s">
        <v>284</v>
      </c>
      <c r="V877" t="s">
        <v>192</v>
      </c>
      <c r="W877">
        <v>0</v>
      </c>
      <c r="X877">
        <v>0</v>
      </c>
      <c r="Y877">
        <v>0</v>
      </c>
      <c r="Z877">
        <v>0</v>
      </c>
      <c r="AA877">
        <v>0</v>
      </c>
      <c r="AB877">
        <v>0</v>
      </c>
      <c r="AC877">
        <v>0</v>
      </c>
      <c r="AD877">
        <v>0</v>
      </c>
      <c r="AE877">
        <v>0</v>
      </c>
      <c r="AF877">
        <v>0</v>
      </c>
      <c r="AG877" t="s">
        <v>71</v>
      </c>
      <c r="AH877">
        <v>0</v>
      </c>
      <c r="AI877">
        <v>0</v>
      </c>
      <c r="AJ877">
        <v>0</v>
      </c>
      <c r="AK877">
        <v>0</v>
      </c>
      <c r="AL877" t="s">
        <v>496</v>
      </c>
      <c r="AM877" t="s">
        <v>491</v>
      </c>
      <c r="AN877" t="s">
        <v>148</v>
      </c>
      <c r="AO877" t="s">
        <v>147</v>
      </c>
      <c r="AP877">
        <v>0</v>
      </c>
      <c r="AQ877">
        <v>0</v>
      </c>
      <c r="AR877">
        <v>0</v>
      </c>
      <c r="AS877">
        <v>0</v>
      </c>
      <c r="AT877">
        <v>0</v>
      </c>
      <c r="AU877">
        <v>0</v>
      </c>
      <c r="AV877">
        <v>0</v>
      </c>
      <c r="AW877">
        <v>0</v>
      </c>
      <c r="AX877">
        <v>128</v>
      </c>
      <c r="AY877">
        <v>0</v>
      </c>
    </row>
    <row r="878" spans="1:51" x14ac:dyDescent="0.25">
      <c r="A878">
        <v>178</v>
      </c>
      <c r="B878">
        <v>13190</v>
      </c>
      <c r="C878" t="s">
        <v>735</v>
      </c>
      <c r="D878" t="s">
        <v>96</v>
      </c>
      <c r="E878" t="s">
        <v>100</v>
      </c>
      <c r="F878" t="s">
        <v>107</v>
      </c>
      <c r="G878" t="s">
        <v>77</v>
      </c>
      <c r="H878" t="s">
        <v>78</v>
      </c>
      <c r="I878" t="s">
        <v>79</v>
      </c>
      <c r="J878" t="s">
        <v>70</v>
      </c>
      <c r="K878" t="s">
        <v>75</v>
      </c>
      <c r="L878" t="s">
        <v>76</v>
      </c>
      <c r="M878" t="s">
        <v>103</v>
      </c>
      <c r="N878" t="s">
        <v>74</v>
      </c>
      <c r="O878" t="s">
        <v>104</v>
      </c>
      <c r="P878" t="s">
        <v>110</v>
      </c>
      <c r="Q878" t="s">
        <v>110</v>
      </c>
      <c r="R878" t="s">
        <v>110</v>
      </c>
      <c r="S878">
        <v>1</v>
      </c>
      <c r="T878">
        <v>1</v>
      </c>
      <c r="U878" t="s">
        <v>283</v>
      </c>
      <c r="V878" t="s">
        <v>192</v>
      </c>
      <c r="W878">
        <v>0</v>
      </c>
      <c r="X878">
        <v>0</v>
      </c>
      <c r="Y878">
        <v>0</v>
      </c>
      <c r="Z878">
        <v>0</v>
      </c>
      <c r="AA878">
        <v>0</v>
      </c>
      <c r="AB878">
        <v>0</v>
      </c>
      <c r="AC878">
        <v>0</v>
      </c>
      <c r="AD878">
        <v>0</v>
      </c>
      <c r="AE878">
        <v>0</v>
      </c>
      <c r="AF878">
        <v>0</v>
      </c>
      <c r="AG878" t="s">
        <v>71</v>
      </c>
      <c r="AH878">
        <v>0</v>
      </c>
      <c r="AI878">
        <v>0</v>
      </c>
      <c r="AJ878">
        <v>0</v>
      </c>
      <c r="AK878">
        <v>0</v>
      </c>
      <c r="AL878" t="s">
        <v>496</v>
      </c>
      <c r="AM878" t="s">
        <v>491</v>
      </c>
      <c r="AN878" t="s">
        <v>148</v>
      </c>
      <c r="AO878" t="s">
        <v>147</v>
      </c>
      <c r="AP878">
        <v>0</v>
      </c>
      <c r="AQ878">
        <v>0</v>
      </c>
      <c r="AR878">
        <v>0</v>
      </c>
      <c r="AS878">
        <v>0</v>
      </c>
      <c r="AT878">
        <v>0</v>
      </c>
      <c r="AU878">
        <v>0</v>
      </c>
      <c r="AV878">
        <v>0</v>
      </c>
      <c r="AW878">
        <v>0</v>
      </c>
      <c r="AX878">
        <v>128</v>
      </c>
      <c r="AY878">
        <v>0</v>
      </c>
    </row>
    <row r="879" spans="1:51" x14ac:dyDescent="0.25">
      <c r="A879">
        <v>178</v>
      </c>
      <c r="B879">
        <v>13200</v>
      </c>
      <c r="C879" t="s">
        <v>735</v>
      </c>
      <c r="D879" t="s">
        <v>96</v>
      </c>
      <c r="E879" t="s">
        <v>100</v>
      </c>
      <c r="F879" t="s">
        <v>107</v>
      </c>
      <c r="G879" t="s">
        <v>77</v>
      </c>
      <c r="H879" t="s">
        <v>78</v>
      </c>
      <c r="I879" t="s">
        <v>79</v>
      </c>
      <c r="J879" t="s">
        <v>70</v>
      </c>
      <c r="K879" t="s">
        <v>75</v>
      </c>
      <c r="L879" t="s">
        <v>76</v>
      </c>
      <c r="M879" t="s">
        <v>103</v>
      </c>
      <c r="N879" t="s">
        <v>74</v>
      </c>
      <c r="O879" t="s">
        <v>104</v>
      </c>
      <c r="P879" t="s">
        <v>71</v>
      </c>
      <c r="Q879" t="s">
        <v>110</v>
      </c>
      <c r="R879" t="s">
        <v>110</v>
      </c>
      <c r="S879">
        <v>1</v>
      </c>
      <c r="T879">
        <v>1</v>
      </c>
      <c r="U879" t="s">
        <v>72</v>
      </c>
      <c r="V879" t="s">
        <v>192</v>
      </c>
      <c r="W879">
        <v>0</v>
      </c>
      <c r="X879">
        <v>0</v>
      </c>
      <c r="Y879">
        <v>1</v>
      </c>
      <c r="Z879">
        <v>10</v>
      </c>
      <c r="AA879">
        <v>1</v>
      </c>
      <c r="AB879">
        <v>10</v>
      </c>
      <c r="AC879">
        <v>1</v>
      </c>
      <c r="AD879">
        <v>10</v>
      </c>
      <c r="AE879">
        <v>0</v>
      </c>
      <c r="AF879">
        <v>0</v>
      </c>
      <c r="AG879" t="s">
        <v>71</v>
      </c>
      <c r="AH879">
        <v>0</v>
      </c>
      <c r="AI879">
        <v>0</v>
      </c>
      <c r="AJ879">
        <v>0</v>
      </c>
      <c r="AK879">
        <v>0</v>
      </c>
      <c r="AL879" t="s">
        <v>496</v>
      </c>
      <c r="AM879" t="s">
        <v>491</v>
      </c>
      <c r="AN879" t="s">
        <v>148</v>
      </c>
      <c r="AO879" t="s">
        <v>147</v>
      </c>
      <c r="AP879">
        <v>0</v>
      </c>
      <c r="AQ879">
        <v>0</v>
      </c>
      <c r="AR879">
        <v>0</v>
      </c>
      <c r="AS879">
        <v>0</v>
      </c>
      <c r="AT879">
        <v>0</v>
      </c>
      <c r="AU879">
        <v>0</v>
      </c>
      <c r="AV879">
        <v>0</v>
      </c>
      <c r="AW879">
        <v>0</v>
      </c>
      <c r="AX879">
        <v>128</v>
      </c>
      <c r="AY879">
        <v>0</v>
      </c>
    </row>
    <row r="880" spans="1:51" x14ac:dyDescent="0.25">
      <c r="A880">
        <v>178</v>
      </c>
      <c r="B880">
        <v>13210</v>
      </c>
      <c r="C880" t="s">
        <v>735</v>
      </c>
      <c r="D880" t="s">
        <v>96</v>
      </c>
      <c r="E880" t="s">
        <v>100</v>
      </c>
      <c r="F880" t="s">
        <v>107</v>
      </c>
      <c r="G880" t="s">
        <v>77</v>
      </c>
      <c r="H880" t="s">
        <v>78</v>
      </c>
      <c r="I880" t="s">
        <v>79</v>
      </c>
      <c r="J880" t="s">
        <v>70</v>
      </c>
      <c r="K880" t="s">
        <v>75</v>
      </c>
      <c r="L880" t="s">
        <v>76</v>
      </c>
      <c r="M880" t="s">
        <v>103</v>
      </c>
      <c r="N880" t="s">
        <v>74</v>
      </c>
      <c r="O880" t="s">
        <v>104</v>
      </c>
      <c r="P880" t="s">
        <v>71</v>
      </c>
      <c r="Q880" t="s">
        <v>299</v>
      </c>
      <c r="R880" t="s">
        <v>110</v>
      </c>
      <c r="S880">
        <v>1</v>
      </c>
      <c r="T880">
        <v>1</v>
      </c>
      <c r="U880" t="s">
        <v>72</v>
      </c>
      <c r="V880" t="s">
        <v>192</v>
      </c>
      <c r="W880">
        <v>0</v>
      </c>
      <c r="X880">
        <v>0</v>
      </c>
      <c r="Y880">
        <v>0</v>
      </c>
      <c r="Z880">
        <v>0</v>
      </c>
      <c r="AA880">
        <v>0</v>
      </c>
      <c r="AB880">
        <v>0</v>
      </c>
      <c r="AC880">
        <v>0</v>
      </c>
      <c r="AD880">
        <v>0</v>
      </c>
      <c r="AE880">
        <v>0</v>
      </c>
      <c r="AF880">
        <v>0</v>
      </c>
      <c r="AG880" t="s">
        <v>71</v>
      </c>
      <c r="AH880">
        <v>0</v>
      </c>
      <c r="AI880">
        <v>0</v>
      </c>
      <c r="AJ880">
        <v>0</v>
      </c>
      <c r="AK880">
        <v>0</v>
      </c>
      <c r="AL880" t="s">
        <v>496</v>
      </c>
      <c r="AM880" t="s">
        <v>491</v>
      </c>
      <c r="AN880" t="s">
        <v>148</v>
      </c>
      <c r="AO880" t="s">
        <v>147</v>
      </c>
      <c r="AP880">
        <v>0</v>
      </c>
      <c r="AQ880">
        <v>0</v>
      </c>
      <c r="AR880">
        <v>0</v>
      </c>
      <c r="AS880">
        <v>0</v>
      </c>
      <c r="AT880">
        <v>0</v>
      </c>
      <c r="AU880">
        <v>0</v>
      </c>
      <c r="AV880">
        <v>0</v>
      </c>
      <c r="AW880">
        <v>0</v>
      </c>
      <c r="AX880">
        <v>128</v>
      </c>
      <c r="AY880">
        <v>0</v>
      </c>
    </row>
    <row r="881" spans="1:51" x14ac:dyDescent="0.25">
      <c r="A881">
        <v>178</v>
      </c>
      <c r="B881">
        <v>16180</v>
      </c>
      <c r="C881" t="s">
        <v>735</v>
      </c>
      <c r="D881" t="s">
        <v>96</v>
      </c>
      <c r="E881" t="s">
        <v>100</v>
      </c>
      <c r="F881" t="s">
        <v>107</v>
      </c>
      <c r="G881" t="s">
        <v>77</v>
      </c>
      <c r="H881" t="s">
        <v>78</v>
      </c>
      <c r="I881" t="s">
        <v>79</v>
      </c>
      <c r="J881" t="s">
        <v>70</v>
      </c>
      <c r="K881" t="s">
        <v>75</v>
      </c>
      <c r="L881" t="s">
        <v>76</v>
      </c>
      <c r="M881" t="s">
        <v>103</v>
      </c>
      <c r="N881" t="s">
        <v>74</v>
      </c>
      <c r="O881" t="s">
        <v>104</v>
      </c>
      <c r="P881" t="s">
        <v>71</v>
      </c>
      <c r="Q881" t="s">
        <v>71</v>
      </c>
      <c r="R881" t="s">
        <v>110</v>
      </c>
      <c r="S881">
        <v>1</v>
      </c>
      <c r="T881">
        <v>1</v>
      </c>
      <c r="U881" t="s">
        <v>72</v>
      </c>
      <c r="V881" t="s">
        <v>192</v>
      </c>
      <c r="W881">
        <v>0</v>
      </c>
      <c r="X881">
        <v>0</v>
      </c>
      <c r="Y881">
        <v>0</v>
      </c>
      <c r="Z881">
        <v>0</v>
      </c>
      <c r="AA881">
        <v>0</v>
      </c>
      <c r="AB881">
        <v>0</v>
      </c>
      <c r="AC881">
        <v>0</v>
      </c>
      <c r="AD881">
        <v>0</v>
      </c>
      <c r="AE881">
        <v>0</v>
      </c>
      <c r="AF881">
        <v>0</v>
      </c>
      <c r="AG881" t="s">
        <v>71</v>
      </c>
      <c r="AH881">
        <v>0</v>
      </c>
      <c r="AI881">
        <v>0</v>
      </c>
      <c r="AJ881">
        <v>0</v>
      </c>
      <c r="AK881">
        <v>0</v>
      </c>
      <c r="AL881" t="s">
        <v>496</v>
      </c>
      <c r="AM881" t="s">
        <v>491</v>
      </c>
      <c r="AN881" t="s">
        <v>148</v>
      </c>
      <c r="AO881" t="s">
        <v>147</v>
      </c>
      <c r="AP881">
        <v>0</v>
      </c>
      <c r="AQ881">
        <v>0</v>
      </c>
      <c r="AR881">
        <v>0</v>
      </c>
      <c r="AS881">
        <v>0</v>
      </c>
      <c r="AT881">
        <v>0</v>
      </c>
      <c r="AU881">
        <v>0</v>
      </c>
      <c r="AV881">
        <v>0</v>
      </c>
      <c r="AW881">
        <v>0</v>
      </c>
      <c r="AX881">
        <v>128</v>
      </c>
      <c r="AY881">
        <v>0</v>
      </c>
    </row>
    <row r="882" spans="1:51" x14ac:dyDescent="0.25">
      <c r="A882">
        <v>178</v>
      </c>
      <c r="B882">
        <v>16190</v>
      </c>
      <c r="C882" t="s">
        <v>735</v>
      </c>
      <c r="D882" t="s">
        <v>96</v>
      </c>
      <c r="E882" t="s">
        <v>100</v>
      </c>
      <c r="F882" t="s">
        <v>107</v>
      </c>
      <c r="G882" t="s">
        <v>77</v>
      </c>
      <c r="H882" t="s">
        <v>78</v>
      </c>
      <c r="I882" t="s">
        <v>79</v>
      </c>
      <c r="J882" t="s">
        <v>70</v>
      </c>
      <c r="K882" t="s">
        <v>75</v>
      </c>
      <c r="L882" t="s">
        <v>76</v>
      </c>
      <c r="M882" t="s">
        <v>103</v>
      </c>
      <c r="N882" t="s">
        <v>74</v>
      </c>
      <c r="O882" t="s">
        <v>104</v>
      </c>
      <c r="P882" t="s">
        <v>71</v>
      </c>
      <c r="Q882" t="s">
        <v>71</v>
      </c>
      <c r="R882" t="s">
        <v>110</v>
      </c>
      <c r="S882">
        <v>1</v>
      </c>
      <c r="T882">
        <v>1</v>
      </c>
      <c r="U882" t="s">
        <v>72</v>
      </c>
      <c r="V882" t="s">
        <v>192</v>
      </c>
      <c r="W882">
        <v>0</v>
      </c>
      <c r="X882">
        <v>0</v>
      </c>
      <c r="Y882">
        <v>0</v>
      </c>
      <c r="Z882">
        <v>0</v>
      </c>
      <c r="AA882">
        <v>0</v>
      </c>
      <c r="AB882">
        <v>0</v>
      </c>
      <c r="AC882">
        <v>0</v>
      </c>
      <c r="AD882">
        <v>0</v>
      </c>
      <c r="AE882">
        <v>0</v>
      </c>
      <c r="AF882">
        <v>0</v>
      </c>
      <c r="AG882" t="s">
        <v>71</v>
      </c>
      <c r="AH882">
        <v>0</v>
      </c>
      <c r="AI882">
        <v>0</v>
      </c>
      <c r="AJ882">
        <v>0</v>
      </c>
      <c r="AK882">
        <v>0</v>
      </c>
      <c r="AL882" t="s">
        <v>496</v>
      </c>
      <c r="AM882" t="s">
        <v>491</v>
      </c>
      <c r="AN882" t="s">
        <v>148</v>
      </c>
      <c r="AO882" t="s">
        <v>147</v>
      </c>
      <c r="AP882">
        <v>0</v>
      </c>
      <c r="AQ882">
        <v>0</v>
      </c>
      <c r="AR882">
        <v>0</v>
      </c>
      <c r="AS882">
        <v>0</v>
      </c>
      <c r="AT882">
        <v>0</v>
      </c>
      <c r="AU882">
        <v>0</v>
      </c>
      <c r="AV882">
        <v>0</v>
      </c>
      <c r="AW882">
        <v>0</v>
      </c>
      <c r="AX882">
        <v>0</v>
      </c>
      <c r="AY882">
        <v>0</v>
      </c>
    </row>
    <row r="883" spans="1:51" x14ac:dyDescent="0.25">
      <c r="A883">
        <v>178</v>
      </c>
      <c r="B883">
        <v>16200</v>
      </c>
      <c r="C883" t="s">
        <v>735</v>
      </c>
      <c r="D883" t="s">
        <v>96</v>
      </c>
      <c r="E883" t="s">
        <v>100</v>
      </c>
      <c r="F883" t="s">
        <v>107</v>
      </c>
      <c r="G883" t="s">
        <v>77</v>
      </c>
      <c r="H883" t="s">
        <v>78</v>
      </c>
      <c r="I883" t="s">
        <v>79</v>
      </c>
      <c r="J883" t="s">
        <v>70</v>
      </c>
      <c r="K883" t="s">
        <v>75</v>
      </c>
      <c r="L883" t="s">
        <v>76</v>
      </c>
      <c r="M883" t="s">
        <v>103</v>
      </c>
      <c r="N883" t="s">
        <v>74</v>
      </c>
      <c r="O883" t="s">
        <v>104</v>
      </c>
      <c r="P883" t="s">
        <v>71</v>
      </c>
      <c r="Q883" t="s">
        <v>71</v>
      </c>
      <c r="R883" t="s">
        <v>110</v>
      </c>
      <c r="S883">
        <v>1</v>
      </c>
      <c r="T883">
        <v>1</v>
      </c>
      <c r="U883" t="s">
        <v>72</v>
      </c>
      <c r="V883" t="s">
        <v>192</v>
      </c>
      <c r="W883">
        <v>0</v>
      </c>
      <c r="X883">
        <v>0</v>
      </c>
      <c r="Y883">
        <v>0</v>
      </c>
      <c r="Z883">
        <v>0</v>
      </c>
      <c r="AA883">
        <v>0</v>
      </c>
      <c r="AB883">
        <v>0</v>
      </c>
      <c r="AC883">
        <v>0</v>
      </c>
      <c r="AD883">
        <v>0</v>
      </c>
      <c r="AE883">
        <v>0</v>
      </c>
      <c r="AF883">
        <v>0</v>
      </c>
      <c r="AG883" t="s">
        <v>71</v>
      </c>
      <c r="AH883">
        <v>0</v>
      </c>
      <c r="AI883">
        <v>0</v>
      </c>
      <c r="AJ883">
        <v>0</v>
      </c>
      <c r="AK883">
        <v>0</v>
      </c>
      <c r="AL883" t="s">
        <v>496</v>
      </c>
      <c r="AM883" t="s">
        <v>491</v>
      </c>
      <c r="AN883" t="s">
        <v>148</v>
      </c>
      <c r="AO883" t="s">
        <v>147</v>
      </c>
      <c r="AP883">
        <v>0</v>
      </c>
      <c r="AQ883">
        <v>0</v>
      </c>
      <c r="AR883">
        <v>0</v>
      </c>
      <c r="AS883">
        <v>0</v>
      </c>
      <c r="AT883">
        <v>0</v>
      </c>
      <c r="AU883">
        <v>0</v>
      </c>
      <c r="AV883">
        <v>0</v>
      </c>
      <c r="AW883">
        <v>0</v>
      </c>
      <c r="AX883">
        <v>0</v>
      </c>
      <c r="AY883">
        <v>0</v>
      </c>
    </row>
    <row r="884" spans="1:51" x14ac:dyDescent="0.25">
      <c r="A884">
        <v>179</v>
      </c>
      <c r="B884">
        <v>16210</v>
      </c>
      <c r="C884" t="s">
        <v>735</v>
      </c>
      <c r="D884" t="s">
        <v>96</v>
      </c>
      <c r="E884" t="s">
        <v>100</v>
      </c>
      <c r="F884" t="s">
        <v>107</v>
      </c>
      <c r="G884" t="s">
        <v>77</v>
      </c>
      <c r="H884" t="s">
        <v>78</v>
      </c>
      <c r="I884" t="s">
        <v>79</v>
      </c>
      <c r="J884" t="s">
        <v>119</v>
      </c>
      <c r="K884" t="s">
        <v>75</v>
      </c>
      <c r="L884" t="s">
        <v>76</v>
      </c>
      <c r="M884" t="s">
        <v>103</v>
      </c>
      <c r="N884" t="s">
        <v>74</v>
      </c>
      <c r="O884" t="s">
        <v>104</v>
      </c>
      <c r="P884" t="s">
        <v>71</v>
      </c>
      <c r="Q884" t="s">
        <v>71</v>
      </c>
      <c r="R884" t="s">
        <v>110</v>
      </c>
      <c r="S884">
        <v>1</v>
      </c>
      <c r="T884">
        <v>1</v>
      </c>
      <c r="U884" t="s">
        <v>72</v>
      </c>
      <c r="V884" t="s">
        <v>192</v>
      </c>
      <c r="W884">
        <v>0</v>
      </c>
      <c r="X884">
        <v>0</v>
      </c>
      <c r="Y884">
        <v>0</v>
      </c>
      <c r="Z884">
        <v>0</v>
      </c>
      <c r="AA884">
        <v>0</v>
      </c>
      <c r="AB884">
        <v>0</v>
      </c>
      <c r="AC884">
        <v>0</v>
      </c>
      <c r="AD884">
        <v>0</v>
      </c>
      <c r="AE884">
        <v>0</v>
      </c>
      <c r="AF884">
        <v>0</v>
      </c>
      <c r="AG884" t="s">
        <v>71</v>
      </c>
      <c r="AH884">
        <v>0</v>
      </c>
      <c r="AI884">
        <v>0</v>
      </c>
      <c r="AJ884">
        <v>0</v>
      </c>
      <c r="AK884">
        <v>0</v>
      </c>
      <c r="AL884" t="s">
        <v>496</v>
      </c>
      <c r="AM884" t="s">
        <v>491</v>
      </c>
      <c r="AN884" t="s">
        <v>148</v>
      </c>
      <c r="AO884" t="s">
        <v>147</v>
      </c>
      <c r="AP884">
        <v>0</v>
      </c>
      <c r="AQ884">
        <v>0</v>
      </c>
      <c r="AR884">
        <v>0</v>
      </c>
      <c r="AS884">
        <v>0</v>
      </c>
      <c r="AT884">
        <v>0</v>
      </c>
      <c r="AU884">
        <v>0</v>
      </c>
      <c r="AV884">
        <v>0</v>
      </c>
      <c r="AW884">
        <v>0</v>
      </c>
      <c r="AX884">
        <v>64</v>
      </c>
      <c r="AY884">
        <v>0</v>
      </c>
    </row>
    <row r="885" spans="1:51" x14ac:dyDescent="0.25">
      <c r="A885">
        <v>179</v>
      </c>
      <c r="B885">
        <v>16220</v>
      </c>
      <c r="C885" t="s">
        <v>735</v>
      </c>
      <c r="D885" t="s">
        <v>96</v>
      </c>
      <c r="E885" t="s">
        <v>100</v>
      </c>
      <c r="F885" t="s">
        <v>107</v>
      </c>
      <c r="G885" t="s">
        <v>77</v>
      </c>
      <c r="H885" t="s">
        <v>78</v>
      </c>
      <c r="I885" t="s">
        <v>79</v>
      </c>
      <c r="J885" t="s">
        <v>119</v>
      </c>
      <c r="K885" t="s">
        <v>75</v>
      </c>
      <c r="L885" t="s">
        <v>76</v>
      </c>
      <c r="M885" t="s">
        <v>103</v>
      </c>
      <c r="N885" t="s">
        <v>74</v>
      </c>
      <c r="O885" t="s">
        <v>104</v>
      </c>
      <c r="P885" t="s">
        <v>71</v>
      </c>
      <c r="Q885" t="s">
        <v>71</v>
      </c>
      <c r="R885" t="s">
        <v>110</v>
      </c>
      <c r="S885">
        <v>1</v>
      </c>
      <c r="T885">
        <v>1</v>
      </c>
      <c r="U885" t="s">
        <v>72</v>
      </c>
      <c r="V885" t="s">
        <v>192</v>
      </c>
      <c r="W885">
        <v>0</v>
      </c>
      <c r="X885">
        <v>0</v>
      </c>
      <c r="Y885">
        <v>0</v>
      </c>
      <c r="Z885">
        <v>0</v>
      </c>
      <c r="AA885">
        <v>0</v>
      </c>
      <c r="AB885">
        <v>0</v>
      </c>
      <c r="AC885">
        <v>0</v>
      </c>
      <c r="AD885">
        <v>0</v>
      </c>
      <c r="AE885">
        <v>0</v>
      </c>
      <c r="AF885">
        <v>0</v>
      </c>
      <c r="AG885" t="s">
        <v>71</v>
      </c>
      <c r="AH885">
        <v>0</v>
      </c>
      <c r="AI885">
        <v>0</v>
      </c>
      <c r="AJ885">
        <v>0</v>
      </c>
      <c r="AK885">
        <v>0</v>
      </c>
      <c r="AL885" t="s">
        <v>496</v>
      </c>
      <c r="AM885" t="s">
        <v>491</v>
      </c>
      <c r="AN885" t="s">
        <v>148</v>
      </c>
      <c r="AO885" t="s">
        <v>147</v>
      </c>
      <c r="AP885">
        <v>0</v>
      </c>
      <c r="AQ885">
        <v>0</v>
      </c>
      <c r="AR885">
        <v>0</v>
      </c>
      <c r="AS885">
        <v>0</v>
      </c>
      <c r="AT885">
        <v>0</v>
      </c>
      <c r="AU885">
        <v>0</v>
      </c>
      <c r="AV885">
        <v>0</v>
      </c>
      <c r="AW885">
        <v>0</v>
      </c>
      <c r="AX885">
        <v>64</v>
      </c>
      <c r="AY885">
        <v>0</v>
      </c>
    </row>
    <row r="886" spans="1:51" x14ac:dyDescent="0.25">
      <c r="A886">
        <v>179</v>
      </c>
      <c r="B886">
        <v>16230</v>
      </c>
      <c r="C886" t="s">
        <v>735</v>
      </c>
      <c r="D886" t="s">
        <v>96</v>
      </c>
      <c r="E886" t="s">
        <v>100</v>
      </c>
      <c r="F886" t="s">
        <v>107</v>
      </c>
      <c r="G886" t="s">
        <v>77</v>
      </c>
      <c r="H886" t="s">
        <v>78</v>
      </c>
      <c r="I886" t="s">
        <v>79</v>
      </c>
      <c r="J886" t="s">
        <v>119</v>
      </c>
      <c r="K886" t="s">
        <v>75</v>
      </c>
      <c r="L886" t="s">
        <v>76</v>
      </c>
      <c r="M886" t="s">
        <v>103</v>
      </c>
      <c r="N886" t="s">
        <v>74</v>
      </c>
      <c r="O886" t="s">
        <v>104</v>
      </c>
      <c r="P886" t="s">
        <v>71</v>
      </c>
      <c r="Q886" t="s">
        <v>71</v>
      </c>
      <c r="R886" t="s">
        <v>110</v>
      </c>
      <c r="S886">
        <v>1</v>
      </c>
      <c r="T886">
        <v>1</v>
      </c>
      <c r="U886" t="s">
        <v>72</v>
      </c>
      <c r="V886" t="s">
        <v>192</v>
      </c>
      <c r="W886">
        <v>0</v>
      </c>
      <c r="X886">
        <v>0</v>
      </c>
      <c r="Y886">
        <v>0</v>
      </c>
      <c r="Z886">
        <v>0</v>
      </c>
      <c r="AA886">
        <v>0</v>
      </c>
      <c r="AB886">
        <v>0</v>
      </c>
      <c r="AC886">
        <v>0</v>
      </c>
      <c r="AD886">
        <v>0</v>
      </c>
      <c r="AE886">
        <v>0</v>
      </c>
      <c r="AF886">
        <v>0</v>
      </c>
      <c r="AG886" t="s">
        <v>71</v>
      </c>
      <c r="AH886">
        <v>0</v>
      </c>
      <c r="AI886">
        <v>0</v>
      </c>
      <c r="AJ886">
        <v>0</v>
      </c>
      <c r="AK886">
        <v>0</v>
      </c>
      <c r="AL886" t="s">
        <v>496</v>
      </c>
      <c r="AM886" t="s">
        <v>491</v>
      </c>
      <c r="AN886" t="s">
        <v>148</v>
      </c>
      <c r="AO886" t="s">
        <v>147</v>
      </c>
      <c r="AP886">
        <v>0</v>
      </c>
      <c r="AQ886">
        <v>0</v>
      </c>
      <c r="AR886">
        <v>0</v>
      </c>
      <c r="AS886">
        <v>0</v>
      </c>
      <c r="AT886">
        <v>0</v>
      </c>
      <c r="AU886">
        <v>0</v>
      </c>
      <c r="AV886">
        <v>0</v>
      </c>
      <c r="AW886">
        <v>0</v>
      </c>
      <c r="AX886">
        <v>64</v>
      </c>
      <c r="AY886">
        <v>0</v>
      </c>
    </row>
    <row r="887" spans="1:51" x14ac:dyDescent="0.25">
      <c r="A887">
        <v>179</v>
      </c>
      <c r="B887">
        <v>16240</v>
      </c>
      <c r="C887" t="s">
        <v>735</v>
      </c>
      <c r="D887" t="s">
        <v>96</v>
      </c>
      <c r="E887" t="s">
        <v>100</v>
      </c>
      <c r="F887" t="s">
        <v>107</v>
      </c>
      <c r="G887" t="s">
        <v>77</v>
      </c>
      <c r="H887" t="s">
        <v>78</v>
      </c>
      <c r="I887" t="s">
        <v>79</v>
      </c>
      <c r="J887" t="s">
        <v>119</v>
      </c>
      <c r="K887" t="s">
        <v>75</v>
      </c>
      <c r="L887" t="s">
        <v>76</v>
      </c>
      <c r="M887" t="s">
        <v>103</v>
      </c>
      <c r="N887" t="s">
        <v>74</v>
      </c>
      <c r="O887" t="s">
        <v>104</v>
      </c>
      <c r="P887" t="s">
        <v>71</v>
      </c>
      <c r="Q887" t="s">
        <v>71</v>
      </c>
      <c r="R887" t="s">
        <v>110</v>
      </c>
      <c r="S887">
        <v>1</v>
      </c>
      <c r="T887">
        <v>1</v>
      </c>
      <c r="U887" t="s">
        <v>72</v>
      </c>
      <c r="V887" t="s">
        <v>192</v>
      </c>
      <c r="W887">
        <v>0</v>
      </c>
      <c r="X887">
        <v>0</v>
      </c>
      <c r="Y887">
        <v>0</v>
      </c>
      <c r="Z887">
        <v>0</v>
      </c>
      <c r="AA887">
        <v>0</v>
      </c>
      <c r="AB887">
        <v>0</v>
      </c>
      <c r="AC887">
        <v>0</v>
      </c>
      <c r="AD887">
        <v>0</v>
      </c>
      <c r="AE887">
        <v>0</v>
      </c>
      <c r="AF887">
        <v>0</v>
      </c>
      <c r="AG887" t="s">
        <v>71</v>
      </c>
      <c r="AH887">
        <v>0</v>
      </c>
      <c r="AI887">
        <v>0</v>
      </c>
      <c r="AJ887">
        <v>0</v>
      </c>
      <c r="AK887">
        <v>0</v>
      </c>
      <c r="AL887" t="s">
        <v>496</v>
      </c>
      <c r="AM887" t="s">
        <v>491</v>
      </c>
      <c r="AN887" t="s">
        <v>148</v>
      </c>
      <c r="AO887" t="s">
        <v>147</v>
      </c>
      <c r="AP887">
        <v>0</v>
      </c>
      <c r="AQ887">
        <v>0</v>
      </c>
      <c r="AR887">
        <v>0</v>
      </c>
      <c r="AS887">
        <v>0</v>
      </c>
      <c r="AT887">
        <v>0</v>
      </c>
      <c r="AU887">
        <v>0</v>
      </c>
      <c r="AV887">
        <v>0</v>
      </c>
      <c r="AW887">
        <v>0</v>
      </c>
      <c r="AX887">
        <v>64</v>
      </c>
      <c r="AY887">
        <v>0</v>
      </c>
    </row>
    <row r="888" spans="1:51" x14ac:dyDescent="0.25">
      <c r="A888">
        <v>179</v>
      </c>
      <c r="B888">
        <v>16250</v>
      </c>
      <c r="C888" t="s">
        <v>735</v>
      </c>
      <c r="D888" t="s">
        <v>96</v>
      </c>
      <c r="E888" t="s">
        <v>100</v>
      </c>
      <c r="F888" t="s">
        <v>107</v>
      </c>
      <c r="G888" t="s">
        <v>77</v>
      </c>
      <c r="H888" t="s">
        <v>78</v>
      </c>
      <c r="I888" t="s">
        <v>79</v>
      </c>
      <c r="J888" t="s">
        <v>70</v>
      </c>
      <c r="K888" t="s">
        <v>75</v>
      </c>
      <c r="L888" t="s">
        <v>76</v>
      </c>
      <c r="M888" t="s">
        <v>103</v>
      </c>
      <c r="N888" t="s">
        <v>74</v>
      </c>
      <c r="O888" t="s">
        <v>104</v>
      </c>
      <c r="P888" t="s">
        <v>71</v>
      </c>
      <c r="Q888" t="s">
        <v>71</v>
      </c>
      <c r="R888" t="s">
        <v>110</v>
      </c>
      <c r="S888">
        <v>1</v>
      </c>
      <c r="T888">
        <v>1</v>
      </c>
      <c r="U888" t="s">
        <v>72</v>
      </c>
      <c r="V888" t="s">
        <v>192</v>
      </c>
      <c r="W888">
        <v>0</v>
      </c>
      <c r="X888">
        <v>0</v>
      </c>
      <c r="Y888">
        <v>0</v>
      </c>
      <c r="Z888">
        <v>0</v>
      </c>
      <c r="AA888">
        <v>0</v>
      </c>
      <c r="AB888">
        <v>0</v>
      </c>
      <c r="AC888">
        <v>0</v>
      </c>
      <c r="AD888">
        <v>0</v>
      </c>
      <c r="AE888">
        <v>0</v>
      </c>
      <c r="AF888">
        <v>0</v>
      </c>
      <c r="AG888" t="s">
        <v>71</v>
      </c>
      <c r="AH888">
        <v>0</v>
      </c>
      <c r="AI888">
        <v>0</v>
      </c>
      <c r="AJ888">
        <v>0</v>
      </c>
      <c r="AK888">
        <v>0</v>
      </c>
      <c r="AL888" t="s">
        <v>496</v>
      </c>
      <c r="AM888" t="s">
        <v>491</v>
      </c>
      <c r="AN888" t="s">
        <v>148</v>
      </c>
      <c r="AO888" t="s">
        <v>147</v>
      </c>
      <c r="AP888">
        <v>0</v>
      </c>
      <c r="AQ888">
        <v>0</v>
      </c>
      <c r="AR888">
        <v>0</v>
      </c>
      <c r="AS888">
        <v>0</v>
      </c>
      <c r="AT888">
        <v>0</v>
      </c>
      <c r="AU888">
        <v>0</v>
      </c>
      <c r="AV888">
        <v>0</v>
      </c>
      <c r="AW888">
        <v>0</v>
      </c>
      <c r="AX888">
        <v>64</v>
      </c>
      <c r="AY888">
        <v>0</v>
      </c>
    </row>
    <row r="889" spans="1:51" x14ac:dyDescent="0.25">
      <c r="A889">
        <v>179</v>
      </c>
      <c r="B889">
        <v>16260</v>
      </c>
      <c r="C889" t="s">
        <v>735</v>
      </c>
      <c r="D889" t="s">
        <v>96</v>
      </c>
      <c r="E889" t="s">
        <v>100</v>
      </c>
      <c r="F889" t="s">
        <v>107</v>
      </c>
      <c r="G889" t="s">
        <v>77</v>
      </c>
      <c r="H889" t="s">
        <v>78</v>
      </c>
      <c r="I889" t="s">
        <v>79</v>
      </c>
      <c r="J889" t="s">
        <v>70</v>
      </c>
      <c r="K889" t="s">
        <v>75</v>
      </c>
      <c r="L889" t="s">
        <v>76</v>
      </c>
      <c r="M889" t="s">
        <v>103</v>
      </c>
      <c r="N889" t="s">
        <v>74</v>
      </c>
      <c r="O889" t="s">
        <v>104</v>
      </c>
      <c r="P889" t="s">
        <v>71</v>
      </c>
      <c r="Q889" t="s">
        <v>71</v>
      </c>
      <c r="R889" t="s">
        <v>110</v>
      </c>
      <c r="S889">
        <v>1</v>
      </c>
      <c r="T889">
        <v>1</v>
      </c>
      <c r="U889" t="s">
        <v>72</v>
      </c>
      <c r="V889" t="s">
        <v>192</v>
      </c>
      <c r="W889">
        <v>0</v>
      </c>
      <c r="X889">
        <v>0</v>
      </c>
      <c r="Y889">
        <v>0</v>
      </c>
      <c r="Z889">
        <v>0</v>
      </c>
      <c r="AA889">
        <v>0</v>
      </c>
      <c r="AB889">
        <v>0</v>
      </c>
      <c r="AC889">
        <v>0</v>
      </c>
      <c r="AD889">
        <v>0</v>
      </c>
      <c r="AE889">
        <v>0</v>
      </c>
      <c r="AF889">
        <v>0</v>
      </c>
      <c r="AG889" t="s">
        <v>71</v>
      </c>
      <c r="AH889">
        <v>0</v>
      </c>
      <c r="AI889">
        <v>0</v>
      </c>
      <c r="AJ889">
        <v>0</v>
      </c>
      <c r="AK889">
        <v>0</v>
      </c>
      <c r="AL889" t="s">
        <v>496</v>
      </c>
      <c r="AM889" t="s">
        <v>491</v>
      </c>
      <c r="AN889" t="s">
        <v>148</v>
      </c>
      <c r="AO889" t="s">
        <v>147</v>
      </c>
      <c r="AP889">
        <v>0</v>
      </c>
      <c r="AQ889">
        <v>0</v>
      </c>
      <c r="AR889">
        <v>0</v>
      </c>
      <c r="AS889">
        <v>0</v>
      </c>
      <c r="AT889">
        <v>0</v>
      </c>
      <c r="AU889">
        <v>0</v>
      </c>
      <c r="AV889">
        <v>0</v>
      </c>
      <c r="AW889">
        <v>0</v>
      </c>
      <c r="AX889">
        <v>64</v>
      </c>
      <c r="AY889">
        <v>0</v>
      </c>
    </row>
    <row r="890" spans="1:51" x14ac:dyDescent="0.25">
      <c r="A890">
        <v>179</v>
      </c>
      <c r="B890">
        <v>19220</v>
      </c>
      <c r="C890" t="s">
        <v>735</v>
      </c>
      <c r="D890" t="s">
        <v>96</v>
      </c>
      <c r="E890" t="s">
        <v>100</v>
      </c>
      <c r="F890" t="s">
        <v>107</v>
      </c>
      <c r="G890" t="s">
        <v>77</v>
      </c>
      <c r="H890" t="s">
        <v>78</v>
      </c>
      <c r="I890" t="s">
        <v>79</v>
      </c>
      <c r="J890" t="s">
        <v>152</v>
      </c>
      <c r="K890" t="s">
        <v>75</v>
      </c>
      <c r="L890" t="s">
        <v>76</v>
      </c>
      <c r="M890" t="s">
        <v>103</v>
      </c>
      <c r="N890" t="s">
        <v>74</v>
      </c>
      <c r="O890" t="s">
        <v>104</v>
      </c>
      <c r="P890" t="s">
        <v>71</v>
      </c>
      <c r="Q890" t="s">
        <v>71</v>
      </c>
      <c r="R890" t="s">
        <v>110</v>
      </c>
      <c r="S890">
        <v>1</v>
      </c>
      <c r="T890">
        <v>1</v>
      </c>
      <c r="U890" t="s">
        <v>72</v>
      </c>
      <c r="V890" t="s">
        <v>192</v>
      </c>
      <c r="W890">
        <v>0</v>
      </c>
      <c r="X890">
        <v>0</v>
      </c>
      <c r="Y890">
        <v>0</v>
      </c>
      <c r="Z890">
        <v>0</v>
      </c>
      <c r="AA890">
        <v>0</v>
      </c>
      <c r="AB890">
        <v>0</v>
      </c>
      <c r="AC890">
        <v>0</v>
      </c>
      <c r="AD890">
        <v>0</v>
      </c>
      <c r="AE890">
        <v>0</v>
      </c>
      <c r="AF890">
        <v>0</v>
      </c>
      <c r="AG890" t="s">
        <v>71</v>
      </c>
      <c r="AH890">
        <v>0</v>
      </c>
      <c r="AI890">
        <v>0</v>
      </c>
      <c r="AJ890">
        <v>0</v>
      </c>
      <c r="AK890">
        <v>0</v>
      </c>
      <c r="AL890" t="s">
        <v>496</v>
      </c>
      <c r="AM890" t="s">
        <v>491</v>
      </c>
      <c r="AN890" t="s">
        <v>148</v>
      </c>
      <c r="AO890" t="s">
        <v>147</v>
      </c>
      <c r="AP890">
        <v>0</v>
      </c>
      <c r="AQ890">
        <v>0</v>
      </c>
      <c r="AR890">
        <v>0</v>
      </c>
      <c r="AS890">
        <v>0</v>
      </c>
      <c r="AT890">
        <v>0</v>
      </c>
      <c r="AU890">
        <v>0</v>
      </c>
      <c r="AV890">
        <v>0</v>
      </c>
      <c r="AW890">
        <v>0</v>
      </c>
      <c r="AX890">
        <v>64</v>
      </c>
      <c r="AY890">
        <v>0</v>
      </c>
    </row>
    <row r="891" spans="1:51" x14ac:dyDescent="0.25">
      <c r="A891">
        <v>179</v>
      </c>
      <c r="B891">
        <v>19230</v>
      </c>
      <c r="C891" t="s">
        <v>735</v>
      </c>
      <c r="D891" t="s">
        <v>96</v>
      </c>
      <c r="E891" t="s">
        <v>100</v>
      </c>
      <c r="F891" t="s">
        <v>107</v>
      </c>
      <c r="G891" t="s">
        <v>77</v>
      </c>
      <c r="H891" t="s">
        <v>78</v>
      </c>
      <c r="I891" t="s">
        <v>79</v>
      </c>
      <c r="J891" t="s">
        <v>119</v>
      </c>
      <c r="K891" t="s">
        <v>75</v>
      </c>
      <c r="L891" t="s">
        <v>76</v>
      </c>
      <c r="M891" t="s">
        <v>103</v>
      </c>
      <c r="N891" t="s">
        <v>74</v>
      </c>
      <c r="O891" t="s">
        <v>104</v>
      </c>
      <c r="P891" t="s">
        <v>71</v>
      </c>
      <c r="Q891" t="s">
        <v>71</v>
      </c>
      <c r="R891" t="s">
        <v>110</v>
      </c>
      <c r="S891">
        <v>1</v>
      </c>
      <c r="T891">
        <v>1</v>
      </c>
      <c r="U891" t="s">
        <v>72</v>
      </c>
      <c r="V891" t="s">
        <v>192</v>
      </c>
      <c r="W891">
        <v>0</v>
      </c>
      <c r="X891">
        <v>0</v>
      </c>
      <c r="Y891">
        <v>0</v>
      </c>
      <c r="Z891">
        <v>0</v>
      </c>
      <c r="AA891">
        <v>0</v>
      </c>
      <c r="AB891">
        <v>0</v>
      </c>
      <c r="AC891">
        <v>0</v>
      </c>
      <c r="AD891">
        <v>0</v>
      </c>
      <c r="AE891">
        <v>0</v>
      </c>
      <c r="AF891">
        <v>0</v>
      </c>
      <c r="AG891" t="s">
        <v>71</v>
      </c>
      <c r="AH891">
        <v>0</v>
      </c>
      <c r="AI891">
        <v>0</v>
      </c>
      <c r="AJ891">
        <v>0</v>
      </c>
      <c r="AK891">
        <v>0</v>
      </c>
      <c r="AL891" t="s">
        <v>496</v>
      </c>
      <c r="AM891" t="s">
        <v>491</v>
      </c>
      <c r="AN891" t="s">
        <v>148</v>
      </c>
      <c r="AO891" t="s">
        <v>147</v>
      </c>
      <c r="AP891">
        <v>0</v>
      </c>
      <c r="AQ891">
        <v>0</v>
      </c>
      <c r="AR891">
        <v>0</v>
      </c>
      <c r="AS891">
        <v>0</v>
      </c>
      <c r="AT891">
        <v>0</v>
      </c>
      <c r="AU891">
        <v>0</v>
      </c>
      <c r="AV891">
        <v>0</v>
      </c>
      <c r="AW891">
        <v>0</v>
      </c>
      <c r="AX891">
        <v>64</v>
      </c>
      <c r="AY891">
        <v>0</v>
      </c>
    </row>
    <row r="892" spans="1:51" x14ac:dyDescent="0.25">
      <c r="A892">
        <v>179</v>
      </c>
      <c r="B892">
        <v>19240</v>
      </c>
      <c r="C892" t="s">
        <v>735</v>
      </c>
      <c r="D892" t="s">
        <v>96</v>
      </c>
      <c r="E892" t="s">
        <v>100</v>
      </c>
      <c r="F892" t="s">
        <v>107</v>
      </c>
      <c r="G892" t="s">
        <v>77</v>
      </c>
      <c r="H892" t="s">
        <v>78</v>
      </c>
      <c r="I892" t="s">
        <v>79</v>
      </c>
      <c r="J892" t="s">
        <v>150</v>
      </c>
      <c r="K892" t="s">
        <v>75</v>
      </c>
      <c r="L892" t="s">
        <v>76</v>
      </c>
      <c r="M892" t="s">
        <v>103</v>
      </c>
      <c r="N892" t="s">
        <v>74</v>
      </c>
      <c r="O892" t="s">
        <v>104</v>
      </c>
      <c r="P892" t="s">
        <v>71</v>
      </c>
      <c r="Q892" t="s">
        <v>71</v>
      </c>
      <c r="R892" t="s">
        <v>110</v>
      </c>
      <c r="S892">
        <v>1</v>
      </c>
      <c r="T892">
        <v>1</v>
      </c>
      <c r="U892" t="s">
        <v>72</v>
      </c>
      <c r="V892" t="s">
        <v>192</v>
      </c>
      <c r="W892">
        <v>0</v>
      </c>
      <c r="X892">
        <v>0</v>
      </c>
      <c r="Y892">
        <v>0</v>
      </c>
      <c r="Z892">
        <v>0</v>
      </c>
      <c r="AA892">
        <v>0</v>
      </c>
      <c r="AB892">
        <v>0</v>
      </c>
      <c r="AC892">
        <v>0</v>
      </c>
      <c r="AD892">
        <v>0</v>
      </c>
      <c r="AE892">
        <v>0</v>
      </c>
      <c r="AF892">
        <v>0</v>
      </c>
      <c r="AG892" t="s">
        <v>71</v>
      </c>
      <c r="AH892">
        <v>0</v>
      </c>
      <c r="AI892">
        <v>0</v>
      </c>
      <c r="AJ892">
        <v>0</v>
      </c>
      <c r="AK892">
        <v>0</v>
      </c>
      <c r="AL892" t="s">
        <v>496</v>
      </c>
      <c r="AM892" t="s">
        <v>491</v>
      </c>
      <c r="AN892" t="s">
        <v>148</v>
      </c>
      <c r="AO892" t="s">
        <v>147</v>
      </c>
      <c r="AP892">
        <v>0</v>
      </c>
      <c r="AQ892">
        <v>0</v>
      </c>
      <c r="AR892">
        <v>0</v>
      </c>
      <c r="AS892">
        <v>0</v>
      </c>
      <c r="AT892">
        <v>0</v>
      </c>
      <c r="AU892">
        <v>0</v>
      </c>
      <c r="AV892">
        <v>0</v>
      </c>
      <c r="AW892">
        <v>0</v>
      </c>
      <c r="AX892">
        <v>64</v>
      </c>
      <c r="AY892">
        <v>0</v>
      </c>
    </row>
    <row r="893" spans="1:51" x14ac:dyDescent="0.25">
      <c r="A893">
        <v>179</v>
      </c>
      <c r="B893">
        <v>19250</v>
      </c>
      <c r="C893" t="s">
        <v>735</v>
      </c>
      <c r="D893" t="s">
        <v>96</v>
      </c>
      <c r="E893" t="s">
        <v>100</v>
      </c>
      <c r="F893" t="s">
        <v>107</v>
      </c>
      <c r="G893" t="s">
        <v>77</v>
      </c>
      <c r="H893" t="s">
        <v>78</v>
      </c>
      <c r="I893" t="s">
        <v>79</v>
      </c>
      <c r="J893" t="s">
        <v>150</v>
      </c>
      <c r="K893" t="s">
        <v>75</v>
      </c>
      <c r="L893" t="s">
        <v>76</v>
      </c>
      <c r="M893" t="s">
        <v>103</v>
      </c>
      <c r="N893" t="s">
        <v>74</v>
      </c>
      <c r="O893" t="s">
        <v>104</v>
      </c>
      <c r="P893" t="s">
        <v>71</v>
      </c>
      <c r="Q893" t="s">
        <v>71</v>
      </c>
      <c r="R893" t="s">
        <v>110</v>
      </c>
      <c r="S893">
        <v>1</v>
      </c>
      <c r="T893">
        <v>1</v>
      </c>
      <c r="U893" t="s">
        <v>72</v>
      </c>
      <c r="V893" t="s">
        <v>192</v>
      </c>
      <c r="W893">
        <v>0</v>
      </c>
      <c r="X893">
        <v>0</v>
      </c>
      <c r="Y893">
        <v>0</v>
      </c>
      <c r="Z893">
        <v>0</v>
      </c>
      <c r="AA893">
        <v>0</v>
      </c>
      <c r="AB893">
        <v>0</v>
      </c>
      <c r="AC893">
        <v>0</v>
      </c>
      <c r="AD893">
        <v>0</v>
      </c>
      <c r="AE893">
        <v>0</v>
      </c>
      <c r="AF893">
        <v>0</v>
      </c>
      <c r="AG893" t="s">
        <v>71</v>
      </c>
      <c r="AH893">
        <v>0</v>
      </c>
      <c r="AI893">
        <v>0</v>
      </c>
      <c r="AJ893">
        <v>0</v>
      </c>
      <c r="AK893">
        <v>0</v>
      </c>
      <c r="AL893" t="s">
        <v>496</v>
      </c>
      <c r="AM893" t="s">
        <v>491</v>
      </c>
      <c r="AN893" t="s">
        <v>148</v>
      </c>
      <c r="AO893" t="s">
        <v>147</v>
      </c>
      <c r="AP893">
        <v>0</v>
      </c>
      <c r="AQ893">
        <v>0</v>
      </c>
      <c r="AR893">
        <v>0</v>
      </c>
      <c r="AS893">
        <v>0</v>
      </c>
      <c r="AT893">
        <v>0</v>
      </c>
      <c r="AU893">
        <v>0</v>
      </c>
      <c r="AV893">
        <v>0</v>
      </c>
      <c r="AW893">
        <v>0</v>
      </c>
      <c r="AX893">
        <v>64</v>
      </c>
      <c r="AY893">
        <v>0</v>
      </c>
    </row>
    <row r="894" spans="1:51" x14ac:dyDescent="0.25">
      <c r="A894">
        <v>179</v>
      </c>
      <c r="B894">
        <v>22220</v>
      </c>
      <c r="C894" t="s">
        <v>735</v>
      </c>
      <c r="D894" t="s">
        <v>96</v>
      </c>
      <c r="E894" t="s">
        <v>100</v>
      </c>
      <c r="F894" t="s">
        <v>107</v>
      </c>
      <c r="G894" t="s">
        <v>77</v>
      </c>
      <c r="H894" t="s">
        <v>78</v>
      </c>
      <c r="I894" t="s">
        <v>79</v>
      </c>
      <c r="J894" t="s">
        <v>150</v>
      </c>
      <c r="K894" t="s">
        <v>75</v>
      </c>
      <c r="L894" t="s">
        <v>76</v>
      </c>
      <c r="M894" t="s">
        <v>103</v>
      </c>
      <c r="N894" t="s">
        <v>74</v>
      </c>
      <c r="O894" t="s">
        <v>104</v>
      </c>
      <c r="P894" t="s">
        <v>71</v>
      </c>
      <c r="Q894" t="s">
        <v>71</v>
      </c>
      <c r="R894" t="s">
        <v>110</v>
      </c>
      <c r="S894">
        <v>1</v>
      </c>
      <c r="T894">
        <v>1</v>
      </c>
      <c r="U894" t="s">
        <v>72</v>
      </c>
      <c r="V894" t="s">
        <v>192</v>
      </c>
      <c r="W894">
        <v>0</v>
      </c>
      <c r="X894">
        <v>0</v>
      </c>
      <c r="Y894">
        <v>0</v>
      </c>
      <c r="Z894">
        <v>0</v>
      </c>
      <c r="AA894">
        <v>0</v>
      </c>
      <c r="AB894">
        <v>0</v>
      </c>
      <c r="AC894">
        <v>0</v>
      </c>
      <c r="AD894">
        <v>0</v>
      </c>
      <c r="AE894">
        <v>0</v>
      </c>
      <c r="AF894">
        <v>0</v>
      </c>
      <c r="AG894" t="s">
        <v>71</v>
      </c>
      <c r="AH894">
        <v>0</v>
      </c>
      <c r="AI894">
        <v>0</v>
      </c>
      <c r="AJ894">
        <v>0</v>
      </c>
      <c r="AK894">
        <v>0</v>
      </c>
      <c r="AL894" t="s">
        <v>496</v>
      </c>
      <c r="AM894" t="s">
        <v>491</v>
      </c>
      <c r="AN894" t="s">
        <v>148</v>
      </c>
      <c r="AO894" t="s">
        <v>147</v>
      </c>
      <c r="AP894">
        <v>0</v>
      </c>
      <c r="AQ894">
        <v>0</v>
      </c>
      <c r="AR894">
        <v>0</v>
      </c>
      <c r="AS894">
        <v>0</v>
      </c>
      <c r="AT894">
        <v>0</v>
      </c>
      <c r="AU894">
        <v>0</v>
      </c>
      <c r="AV894">
        <v>0</v>
      </c>
      <c r="AW894">
        <v>0</v>
      </c>
      <c r="AX894">
        <v>64</v>
      </c>
      <c r="AY894">
        <v>0</v>
      </c>
    </row>
    <row r="895" spans="1:51" x14ac:dyDescent="0.25">
      <c r="A895">
        <v>179</v>
      </c>
      <c r="B895">
        <v>22230</v>
      </c>
      <c r="C895" t="s">
        <v>735</v>
      </c>
      <c r="D895" t="s">
        <v>96</v>
      </c>
      <c r="E895" t="s">
        <v>100</v>
      </c>
      <c r="F895" t="s">
        <v>107</v>
      </c>
      <c r="G895" t="s">
        <v>77</v>
      </c>
      <c r="H895" t="s">
        <v>78</v>
      </c>
      <c r="I895" t="s">
        <v>79</v>
      </c>
      <c r="J895" t="s">
        <v>150</v>
      </c>
      <c r="K895" t="s">
        <v>75</v>
      </c>
      <c r="L895" t="s">
        <v>76</v>
      </c>
      <c r="M895" t="s">
        <v>103</v>
      </c>
      <c r="N895" t="s">
        <v>74</v>
      </c>
      <c r="O895" t="s">
        <v>104</v>
      </c>
      <c r="P895" t="s">
        <v>71</v>
      </c>
      <c r="Q895" t="s">
        <v>71</v>
      </c>
      <c r="R895" t="s">
        <v>110</v>
      </c>
      <c r="S895">
        <v>1</v>
      </c>
      <c r="T895">
        <v>1</v>
      </c>
      <c r="U895" t="s">
        <v>72</v>
      </c>
      <c r="V895" t="s">
        <v>192</v>
      </c>
      <c r="W895">
        <v>0</v>
      </c>
      <c r="X895">
        <v>0</v>
      </c>
      <c r="Y895">
        <v>0</v>
      </c>
      <c r="Z895">
        <v>0</v>
      </c>
      <c r="AA895">
        <v>0</v>
      </c>
      <c r="AB895">
        <v>0</v>
      </c>
      <c r="AC895">
        <v>0</v>
      </c>
      <c r="AD895">
        <v>0</v>
      </c>
      <c r="AE895">
        <v>0</v>
      </c>
      <c r="AF895">
        <v>0</v>
      </c>
      <c r="AG895" t="s">
        <v>71</v>
      </c>
      <c r="AH895">
        <v>0</v>
      </c>
      <c r="AI895">
        <v>0</v>
      </c>
      <c r="AJ895">
        <v>0</v>
      </c>
      <c r="AK895">
        <v>0</v>
      </c>
      <c r="AL895" t="s">
        <v>496</v>
      </c>
      <c r="AM895" t="s">
        <v>491</v>
      </c>
      <c r="AN895" t="s">
        <v>148</v>
      </c>
      <c r="AO895" t="s">
        <v>147</v>
      </c>
      <c r="AP895">
        <v>0</v>
      </c>
      <c r="AQ895">
        <v>0</v>
      </c>
      <c r="AR895">
        <v>0</v>
      </c>
      <c r="AS895">
        <v>0</v>
      </c>
      <c r="AT895">
        <v>0</v>
      </c>
      <c r="AU895">
        <v>0</v>
      </c>
      <c r="AV895">
        <v>0</v>
      </c>
      <c r="AW895">
        <v>0</v>
      </c>
      <c r="AX895">
        <v>0</v>
      </c>
      <c r="AY895">
        <v>0</v>
      </c>
    </row>
    <row r="896" spans="1:51" x14ac:dyDescent="0.25">
      <c r="A896">
        <v>179</v>
      </c>
      <c r="B896">
        <v>22240</v>
      </c>
      <c r="C896" t="s">
        <v>735</v>
      </c>
      <c r="D896" t="s">
        <v>96</v>
      </c>
      <c r="E896" t="s">
        <v>100</v>
      </c>
      <c r="F896" t="s">
        <v>107</v>
      </c>
      <c r="G896" t="s">
        <v>77</v>
      </c>
      <c r="H896" t="s">
        <v>78</v>
      </c>
      <c r="I896" t="s">
        <v>79</v>
      </c>
      <c r="J896" t="s">
        <v>150</v>
      </c>
      <c r="K896" t="s">
        <v>75</v>
      </c>
      <c r="L896" t="s">
        <v>76</v>
      </c>
      <c r="M896" t="s">
        <v>103</v>
      </c>
      <c r="N896" t="s">
        <v>74</v>
      </c>
      <c r="O896" t="s">
        <v>104</v>
      </c>
      <c r="P896" t="s">
        <v>71</v>
      </c>
      <c r="Q896" t="s">
        <v>71</v>
      </c>
      <c r="R896" t="s">
        <v>110</v>
      </c>
      <c r="S896">
        <v>1</v>
      </c>
      <c r="T896">
        <v>1</v>
      </c>
      <c r="U896" t="s">
        <v>72</v>
      </c>
      <c r="V896" t="s">
        <v>192</v>
      </c>
      <c r="W896">
        <v>0</v>
      </c>
      <c r="X896">
        <v>0</v>
      </c>
      <c r="Y896">
        <v>0</v>
      </c>
      <c r="Z896">
        <v>0</v>
      </c>
      <c r="AA896">
        <v>0</v>
      </c>
      <c r="AB896">
        <v>0</v>
      </c>
      <c r="AC896">
        <v>0</v>
      </c>
      <c r="AD896">
        <v>0</v>
      </c>
      <c r="AE896">
        <v>0</v>
      </c>
      <c r="AF896">
        <v>0</v>
      </c>
      <c r="AG896" t="s">
        <v>71</v>
      </c>
      <c r="AH896">
        <v>0</v>
      </c>
      <c r="AI896">
        <v>0</v>
      </c>
      <c r="AJ896">
        <v>0</v>
      </c>
      <c r="AK896">
        <v>0</v>
      </c>
      <c r="AL896" t="s">
        <v>496</v>
      </c>
      <c r="AM896" t="s">
        <v>491</v>
      </c>
      <c r="AN896" t="s">
        <v>148</v>
      </c>
      <c r="AO896" t="s">
        <v>147</v>
      </c>
      <c r="AP896">
        <v>0</v>
      </c>
      <c r="AQ896">
        <v>0</v>
      </c>
      <c r="AR896">
        <v>0</v>
      </c>
      <c r="AS896">
        <v>0</v>
      </c>
      <c r="AT896">
        <v>0</v>
      </c>
      <c r="AU896">
        <v>0</v>
      </c>
      <c r="AV896">
        <v>0</v>
      </c>
      <c r="AW896">
        <v>0</v>
      </c>
      <c r="AX896">
        <v>0</v>
      </c>
      <c r="AY896">
        <v>0</v>
      </c>
    </row>
    <row r="897" spans="1:51" x14ac:dyDescent="0.25">
      <c r="A897">
        <v>180</v>
      </c>
      <c r="B897">
        <v>22250</v>
      </c>
      <c r="C897" t="s">
        <v>735</v>
      </c>
      <c r="D897" t="s">
        <v>96</v>
      </c>
      <c r="E897" t="s">
        <v>100</v>
      </c>
      <c r="F897" t="s">
        <v>107</v>
      </c>
      <c r="G897" t="s">
        <v>77</v>
      </c>
      <c r="H897" t="s">
        <v>78</v>
      </c>
      <c r="I897" t="s">
        <v>79</v>
      </c>
      <c r="J897" t="s">
        <v>70</v>
      </c>
      <c r="K897" t="s">
        <v>75</v>
      </c>
      <c r="L897" t="s">
        <v>76</v>
      </c>
      <c r="M897" t="s">
        <v>103</v>
      </c>
      <c r="N897" t="s">
        <v>74</v>
      </c>
      <c r="O897" t="s">
        <v>104</v>
      </c>
      <c r="P897" t="s">
        <v>110</v>
      </c>
      <c r="Q897" t="s">
        <v>71</v>
      </c>
      <c r="R897" t="s">
        <v>110</v>
      </c>
      <c r="S897">
        <v>1</v>
      </c>
      <c r="T897">
        <v>1</v>
      </c>
      <c r="U897" t="s">
        <v>72</v>
      </c>
      <c r="V897" t="s">
        <v>192</v>
      </c>
      <c r="W897">
        <v>0</v>
      </c>
      <c r="X897">
        <v>0</v>
      </c>
      <c r="Y897">
        <v>0</v>
      </c>
      <c r="Z897">
        <v>0</v>
      </c>
      <c r="AA897">
        <v>0</v>
      </c>
      <c r="AB897">
        <v>0</v>
      </c>
      <c r="AC897">
        <v>0</v>
      </c>
      <c r="AD897">
        <v>0</v>
      </c>
      <c r="AE897">
        <v>0</v>
      </c>
      <c r="AF897">
        <v>0</v>
      </c>
      <c r="AG897" t="s">
        <v>71</v>
      </c>
      <c r="AH897">
        <v>0</v>
      </c>
      <c r="AI897">
        <v>0</v>
      </c>
      <c r="AJ897">
        <v>0</v>
      </c>
      <c r="AK897">
        <v>0</v>
      </c>
      <c r="AL897" t="s">
        <v>496</v>
      </c>
      <c r="AM897" t="s">
        <v>491</v>
      </c>
      <c r="AN897" t="s">
        <v>148</v>
      </c>
      <c r="AO897" t="s">
        <v>147</v>
      </c>
      <c r="AP897">
        <v>0</v>
      </c>
      <c r="AQ897">
        <v>0</v>
      </c>
      <c r="AR897">
        <v>0</v>
      </c>
      <c r="AS897">
        <v>0</v>
      </c>
      <c r="AT897">
        <v>0</v>
      </c>
      <c r="AU897">
        <v>0</v>
      </c>
      <c r="AV897">
        <v>0</v>
      </c>
      <c r="AW897">
        <v>0</v>
      </c>
      <c r="AX897">
        <v>128</v>
      </c>
      <c r="AY897">
        <v>0</v>
      </c>
    </row>
    <row r="898" spans="1:51" x14ac:dyDescent="0.25">
      <c r="A898">
        <v>180</v>
      </c>
      <c r="B898">
        <v>22260</v>
      </c>
      <c r="C898" t="s">
        <v>735</v>
      </c>
      <c r="D898" t="s">
        <v>96</v>
      </c>
      <c r="E898" t="s">
        <v>100</v>
      </c>
      <c r="F898" t="s">
        <v>107</v>
      </c>
      <c r="G898" t="s">
        <v>77</v>
      </c>
      <c r="H898" t="s">
        <v>78</v>
      </c>
      <c r="I898" t="s">
        <v>79</v>
      </c>
      <c r="J898" t="s">
        <v>70</v>
      </c>
      <c r="K898" t="s">
        <v>75</v>
      </c>
      <c r="L898" t="s">
        <v>76</v>
      </c>
      <c r="M898" t="s">
        <v>103</v>
      </c>
      <c r="N898" t="s">
        <v>74</v>
      </c>
      <c r="O898" t="s">
        <v>104</v>
      </c>
      <c r="P898" t="s">
        <v>110</v>
      </c>
      <c r="Q898" t="s">
        <v>71</v>
      </c>
      <c r="R898" t="s">
        <v>110</v>
      </c>
      <c r="S898">
        <v>1</v>
      </c>
      <c r="T898">
        <v>1</v>
      </c>
      <c r="U898" t="s">
        <v>72</v>
      </c>
      <c r="V898" t="s">
        <v>192</v>
      </c>
      <c r="W898">
        <v>0</v>
      </c>
      <c r="X898">
        <v>0</v>
      </c>
      <c r="Y898">
        <v>0</v>
      </c>
      <c r="Z898">
        <v>0</v>
      </c>
      <c r="AA898">
        <v>0</v>
      </c>
      <c r="AB898">
        <v>0</v>
      </c>
      <c r="AC898">
        <v>0</v>
      </c>
      <c r="AD898">
        <v>0</v>
      </c>
      <c r="AE898">
        <v>0</v>
      </c>
      <c r="AF898">
        <v>0</v>
      </c>
      <c r="AG898" t="s">
        <v>71</v>
      </c>
      <c r="AH898">
        <v>0</v>
      </c>
      <c r="AI898">
        <v>0</v>
      </c>
      <c r="AJ898">
        <v>0</v>
      </c>
      <c r="AK898">
        <v>0</v>
      </c>
      <c r="AL898" t="s">
        <v>496</v>
      </c>
      <c r="AM898" t="s">
        <v>491</v>
      </c>
      <c r="AN898" t="s">
        <v>148</v>
      </c>
      <c r="AO898" t="s">
        <v>147</v>
      </c>
      <c r="AP898">
        <v>0</v>
      </c>
      <c r="AQ898">
        <v>0</v>
      </c>
      <c r="AR898">
        <v>0</v>
      </c>
      <c r="AS898">
        <v>0</v>
      </c>
      <c r="AT898">
        <v>0</v>
      </c>
      <c r="AU898">
        <v>0</v>
      </c>
      <c r="AV898">
        <v>0</v>
      </c>
      <c r="AW898">
        <v>0</v>
      </c>
      <c r="AX898">
        <v>128</v>
      </c>
      <c r="AY898">
        <v>0</v>
      </c>
    </row>
    <row r="899" spans="1:51" x14ac:dyDescent="0.25">
      <c r="A899">
        <v>180</v>
      </c>
      <c r="B899">
        <v>22270</v>
      </c>
      <c r="C899" t="s">
        <v>735</v>
      </c>
      <c r="D899" t="s">
        <v>96</v>
      </c>
      <c r="E899" t="s">
        <v>100</v>
      </c>
      <c r="F899" t="s">
        <v>107</v>
      </c>
      <c r="G899" t="s">
        <v>77</v>
      </c>
      <c r="H899" t="s">
        <v>78</v>
      </c>
      <c r="I899" t="s">
        <v>79</v>
      </c>
      <c r="J899" t="s">
        <v>70</v>
      </c>
      <c r="K899" t="s">
        <v>75</v>
      </c>
      <c r="L899" t="s">
        <v>76</v>
      </c>
      <c r="M899" t="s">
        <v>103</v>
      </c>
      <c r="N899" t="s">
        <v>74</v>
      </c>
      <c r="O899" t="s">
        <v>104</v>
      </c>
      <c r="P899" t="s">
        <v>110</v>
      </c>
      <c r="Q899" t="s">
        <v>71</v>
      </c>
      <c r="R899" t="s">
        <v>110</v>
      </c>
      <c r="S899">
        <v>1</v>
      </c>
      <c r="T899">
        <v>1</v>
      </c>
      <c r="U899" t="s">
        <v>72</v>
      </c>
      <c r="V899" t="s">
        <v>192</v>
      </c>
      <c r="W899">
        <v>0</v>
      </c>
      <c r="X899">
        <v>0</v>
      </c>
      <c r="Y899">
        <v>0</v>
      </c>
      <c r="Z899">
        <v>0</v>
      </c>
      <c r="AA899">
        <v>0</v>
      </c>
      <c r="AB899">
        <v>0</v>
      </c>
      <c r="AC899">
        <v>0</v>
      </c>
      <c r="AD899">
        <v>0</v>
      </c>
      <c r="AE899">
        <v>0</v>
      </c>
      <c r="AF899">
        <v>0</v>
      </c>
      <c r="AG899" t="s">
        <v>71</v>
      </c>
      <c r="AH899">
        <v>0</v>
      </c>
      <c r="AI899">
        <v>0</v>
      </c>
      <c r="AJ899">
        <v>0</v>
      </c>
      <c r="AK899">
        <v>0</v>
      </c>
      <c r="AL899" t="s">
        <v>496</v>
      </c>
      <c r="AM899" t="s">
        <v>491</v>
      </c>
      <c r="AN899" t="s">
        <v>148</v>
      </c>
      <c r="AO899" t="s">
        <v>147</v>
      </c>
      <c r="AP899">
        <v>0</v>
      </c>
      <c r="AQ899">
        <v>0</v>
      </c>
      <c r="AR899">
        <v>0</v>
      </c>
      <c r="AS899">
        <v>0</v>
      </c>
      <c r="AT899">
        <v>0</v>
      </c>
      <c r="AU899">
        <v>0</v>
      </c>
      <c r="AV899">
        <v>0</v>
      </c>
      <c r="AW899">
        <v>0</v>
      </c>
      <c r="AX899">
        <v>128</v>
      </c>
      <c r="AY899">
        <v>0</v>
      </c>
    </row>
    <row r="900" spans="1:51" x14ac:dyDescent="0.25">
      <c r="A900">
        <v>180</v>
      </c>
      <c r="B900">
        <v>22280</v>
      </c>
      <c r="C900" t="s">
        <v>735</v>
      </c>
      <c r="D900" t="s">
        <v>96</v>
      </c>
      <c r="E900" t="s">
        <v>100</v>
      </c>
      <c r="F900" t="s">
        <v>107</v>
      </c>
      <c r="G900" t="s">
        <v>77</v>
      </c>
      <c r="H900" t="s">
        <v>78</v>
      </c>
      <c r="I900" t="s">
        <v>79</v>
      </c>
      <c r="J900" t="s">
        <v>70</v>
      </c>
      <c r="K900" t="s">
        <v>75</v>
      </c>
      <c r="L900" t="s">
        <v>76</v>
      </c>
      <c r="M900" t="s">
        <v>103</v>
      </c>
      <c r="N900" t="s">
        <v>74</v>
      </c>
      <c r="O900" t="s">
        <v>104</v>
      </c>
      <c r="P900" t="s">
        <v>110</v>
      </c>
      <c r="Q900" t="s">
        <v>71</v>
      </c>
      <c r="R900" t="s">
        <v>110</v>
      </c>
      <c r="S900">
        <v>1</v>
      </c>
      <c r="T900">
        <v>1</v>
      </c>
      <c r="U900" t="s">
        <v>72</v>
      </c>
      <c r="V900" t="s">
        <v>192</v>
      </c>
      <c r="W900">
        <v>0</v>
      </c>
      <c r="X900">
        <v>0</v>
      </c>
      <c r="Y900">
        <v>0</v>
      </c>
      <c r="Z900">
        <v>0</v>
      </c>
      <c r="AA900">
        <v>0</v>
      </c>
      <c r="AB900">
        <v>0</v>
      </c>
      <c r="AC900">
        <v>0</v>
      </c>
      <c r="AD900">
        <v>0</v>
      </c>
      <c r="AE900">
        <v>0</v>
      </c>
      <c r="AF900">
        <v>0</v>
      </c>
      <c r="AG900" t="s">
        <v>71</v>
      </c>
      <c r="AH900">
        <v>0</v>
      </c>
      <c r="AI900">
        <v>0</v>
      </c>
      <c r="AJ900">
        <v>0</v>
      </c>
      <c r="AK900">
        <v>0</v>
      </c>
      <c r="AL900" t="s">
        <v>496</v>
      </c>
      <c r="AM900" t="s">
        <v>491</v>
      </c>
      <c r="AN900" t="s">
        <v>148</v>
      </c>
      <c r="AO900" t="s">
        <v>147</v>
      </c>
      <c r="AP900">
        <v>0</v>
      </c>
      <c r="AQ900">
        <v>0</v>
      </c>
      <c r="AR900">
        <v>0</v>
      </c>
      <c r="AS900">
        <v>0</v>
      </c>
      <c r="AT900">
        <v>0</v>
      </c>
      <c r="AU900">
        <v>0</v>
      </c>
      <c r="AV900">
        <v>0</v>
      </c>
      <c r="AW900">
        <v>0</v>
      </c>
      <c r="AX900">
        <v>128</v>
      </c>
      <c r="AY900">
        <v>0</v>
      </c>
    </row>
    <row r="901" spans="1:51" x14ac:dyDescent="0.25">
      <c r="A901">
        <v>180</v>
      </c>
      <c r="B901">
        <v>22290</v>
      </c>
      <c r="C901" t="s">
        <v>735</v>
      </c>
      <c r="D901" t="s">
        <v>96</v>
      </c>
      <c r="E901" t="s">
        <v>100</v>
      </c>
      <c r="F901" t="s">
        <v>107</v>
      </c>
      <c r="G901" t="s">
        <v>77</v>
      </c>
      <c r="H901" t="s">
        <v>78</v>
      </c>
      <c r="I901" t="s">
        <v>79</v>
      </c>
      <c r="J901" t="s">
        <v>70</v>
      </c>
      <c r="K901" t="s">
        <v>75</v>
      </c>
      <c r="L901" t="s">
        <v>76</v>
      </c>
      <c r="M901" t="s">
        <v>103</v>
      </c>
      <c r="N901" t="s">
        <v>74</v>
      </c>
      <c r="O901" t="s">
        <v>104</v>
      </c>
      <c r="P901" t="s">
        <v>71</v>
      </c>
      <c r="Q901" t="s">
        <v>71</v>
      </c>
      <c r="R901" t="s">
        <v>110</v>
      </c>
      <c r="S901">
        <v>1</v>
      </c>
      <c r="T901">
        <v>1</v>
      </c>
      <c r="U901" t="s">
        <v>72</v>
      </c>
      <c r="V901" t="s">
        <v>192</v>
      </c>
      <c r="W901">
        <v>0</v>
      </c>
      <c r="X901">
        <v>0</v>
      </c>
      <c r="Y901">
        <v>0</v>
      </c>
      <c r="Z901">
        <v>0</v>
      </c>
      <c r="AA901">
        <v>0</v>
      </c>
      <c r="AB901">
        <v>0</v>
      </c>
      <c r="AC901">
        <v>0</v>
      </c>
      <c r="AD901">
        <v>0</v>
      </c>
      <c r="AE901">
        <v>0</v>
      </c>
      <c r="AF901">
        <v>0</v>
      </c>
      <c r="AG901" t="s">
        <v>71</v>
      </c>
      <c r="AH901">
        <v>0</v>
      </c>
      <c r="AI901">
        <v>0</v>
      </c>
      <c r="AJ901">
        <v>0</v>
      </c>
      <c r="AK901">
        <v>0</v>
      </c>
      <c r="AL901" t="s">
        <v>496</v>
      </c>
      <c r="AM901" t="s">
        <v>491</v>
      </c>
      <c r="AN901" t="s">
        <v>148</v>
      </c>
      <c r="AO901" t="s">
        <v>147</v>
      </c>
      <c r="AP901">
        <v>0</v>
      </c>
      <c r="AQ901">
        <v>0</v>
      </c>
      <c r="AR901">
        <v>0</v>
      </c>
      <c r="AS901">
        <v>0</v>
      </c>
      <c r="AT901">
        <v>0</v>
      </c>
      <c r="AU901">
        <v>0</v>
      </c>
      <c r="AV901">
        <v>0</v>
      </c>
      <c r="AW901">
        <v>0</v>
      </c>
      <c r="AX901">
        <v>128</v>
      </c>
      <c r="AY901">
        <v>0</v>
      </c>
    </row>
    <row r="902" spans="1:51" x14ac:dyDescent="0.25">
      <c r="A902">
        <v>180</v>
      </c>
      <c r="B902">
        <v>22300</v>
      </c>
      <c r="C902" t="s">
        <v>735</v>
      </c>
      <c r="D902" t="s">
        <v>96</v>
      </c>
      <c r="E902" t="s">
        <v>100</v>
      </c>
      <c r="F902" t="s">
        <v>107</v>
      </c>
      <c r="G902" t="s">
        <v>77</v>
      </c>
      <c r="H902" t="s">
        <v>78</v>
      </c>
      <c r="I902" t="s">
        <v>79</v>
      </c>
      <c r="J902" t="s">
        <v>70</v>
      </c>
      <c r="K902" t="s">
        <v>75</v>
      </c>
      <c r="L902" t="s">
        <v>76</v>
      </c>
      <c r="M902" t="s">
        <v>103</v>
      </c>
      <c r="N902" t="s">
        <v>74</v>
      </c>
      <c r="O902" t="s">
        <v>104</v>
      </c>
      <c r="P902" t="s">
        <v>71</v>
      </c>
      <c r="Q902" t="s">
        <v>71</v>
      </c>
      <c r="R902" t="s">
        <v>110</v>
      </c>
      <c r="S902">
        <v>1</v>
      </c>
      <c r="T902">
        <v>1</v>
      </c>
      <c r="U902" t="s">
        <v>72</v>
      </c>
      <c r="V902" t="s">
        <v>192</v>
      </c>
      <c r="W902">
        <v>0</v>
      </c>
      <c r="X902">
        <v>0</v>
      </c>
      <c r="Y902">
        <v>0</v>
      </c>
      <c r="Z902">
        <v>0</v>
      </c>
      <c r="AA902">
        <v>0</v>
      </c>
      <c r="AB902">
        <v>0</v>
      </c>
      <c r="AC902">
        <v>0</v>
      </c>
      <c r="AD902">
        <v>0</v>
      </c>
      <c r="AE902">
        <v>0</v>
      </c>
      <c r="AF902">
        <v>0</v>
      </c>
      <c r="AG902" t="s">
        <v>71</v>
      </c>
      <c r="AH902">
        <v>0</v>
      </c>
      <c r="AI902">
        <v>0</v>
      </c>
      <c r="AJ902">
        <v>0</v>
      </c>
      <c r="AK902">
        <v>0</v>
      </c>
      <c r="AL902" t="s">
        <v>496</v>
      </c>
      <c r="AM902" t="s">
        <v>491</v>
      </c>
      <c r="AN902" t="s">
        <v>148</v>
      </c>
      <c r="AO902" t="s">
        <v>147</v>
      </c>
      <c r="AP902">
        <v>0</v>
      </c>
      <c r="AQ902">
        <v>0</v>
      </c>
      <c r="AR902">
        <v>0</v>
      </c>
      <c r="AS902">
        <v>0</v>
      </c>
      <c r="AT902">
        <v>0</v>
      </c>
      <c r="AU902">
        <v>0</v>
      </c>
      <c r="AV902">
        <v>0</v>
      </c>
      <c r="AW902">
        <v>0</v>
      </c>
      <c r="AX902">
        <v>128</v>
      </c>
      <c r="AY902">
        <v>0</v>
      </c>
    </row>
    <row r="903" spans="1:51" x14ac:dyDescent="0.25">
      <c r="A903">
        <v>180</v>
      </c>
      <c r="B903">
        <v>25260</v>
      </c>
      <c r="C903" t="s">
        <v>735</v>
      </c>
      <c r="D903" t="s">
        <v>96</v>
      </c>
      <c r="E903" t="s">
        <v>100</v>
      </c>
      <c r="F903" t="s">
        <v>107</v>
      </c>
      <c r="G903" t="s">
        <v>77</v>
      </c>
      <c r="H903" t="s">
        <v>78</v>
      </c>
      <c r="I903" t="s">
        <v>79</v>
      </c>
      <c r="J903" t="s">
        <v>70</v>
      </c>
      <c r="K903" t="s">
        <v>75</v>
      </c>
      <c r="L903" t="s">
        <v>76</v>
      </c>
      <c r="M903" t="s">
        <v>103</v>
      </c>
      <c r="N903" t="s">
        <v>74</v>
      </c>
      <c r="O903" t="s">
        <v>104</v>
      </c>
      <c r="P903" t="s">
        <v>299</v>
      </c>
      <c r="Q903" t="s">
        <v>71</v>
      </c>
      <c r="R903" t="s">
        <v>110</v>
      </c>
      <c r="S903">
        <v>1</v>
      </c>
      <c r="T903">
        <v>1</v>
      </c>
      <c r="U903" t="s">
        <v>72</v>
      </c>
      <c r="V903" t="s">
        <v>192</v>
      </c>
      <c r="W903">
        <v>0</v>
      </c>
      <c r="X903">
        <v>0</v>
      </c>
      <c r="Y903">
        <v>0</v>
      </c>
      <c r="Z903">
        <v>0</v>
      </c>
      <c r="AA903">
        <v>0</v>
      </c>
      <c r="AB903">
        <v>0</v>
      </c>
      <c r="AC903">
        <v>0</v>
      </c>
      <c r="AD903">
        <v>0</v>
      </c>
      <c r="AE903">
        <v>0</v>
      </c>
      <c r="AF903">
        <v>0</v>
      </c>
      <c r="AG903" t="s">
        <v>71</v>
      </c>
      <c r="AH903">
        <v>0</v>
      </c>
      <c r="AI903">
        <v>0</v>
      </c>
      <c r="AJ903">
        <v>0</v>
      </c>
      <c r="AK903">
        <v>0</v>
      </c>
      <c r="AL903" t="s">
        <v>496</v>
      </c>
      <c r="AM903" t="s">
        <v>491</v>
      </c>
      <c r="AN903" t="s">
        <v>148</v>
      </c>
      <c r="AO903" t="s">
        <v>147</v>
      </c>
      <c r="AP903">
        <v>0</v>
      </c>
      <c r="AQ903">
        <v>0</v>
      </c>
      <c r="AR903">
        <v>0</v>
      </c>
      <c r="AS903">
        <v>0</v>
      </c>
      <c r="AT903">
        <v>0</v>
      </c>
      <c r="AU903">
        <v>0</v>
      </c>
      <c r="AV903">
        <v>0</v>
      </c>
      <c r="AW903">
        <v>0</v>
      </c>
      <c r="AX903">
        <v>128</v>
      </c>
      <c r="AY903">
        <v>0</v>
      </c>
    </row>
    <row r="904" spans="1:51" x14ac:dyDescent="0.25">
      <c r="A904">
        <v>180</v>
      </c>
      <c r="B904">
        <v>25270</v>
      </c>
      <c r="C904" t="s">
        <v>735</v>
      </c>
      <c r="D904" t="s">
        <v>96</v>
      </c>
      <c r="E904" t="s">
        <v>100</v>
      </c>
      <c r="F904" t="s">
        <v>107</v>
      </c>
      <c r="G904" t="s">
        <v>77</v>
      </c>
      <c r="H904" t="s">
        <v>78</v>
      </c>
      <c r="I904" t="s">
        <v>79</v>
      </c>
      <c r="J904" t="s">
        <v>70</v>
      </c>
      <c r="K904" t="s">
        <v>75</v>
      </c>
      <c r="L904" t="s">
        <v>76</v>
      </c>
      <c r="M904" t="s">
        <v>103</v>
      </c>
      <c r="N904" t="s">
        <v>74</v>
      </c>
      <c r="O904" t="s">
        <v>104</v>
      </c>
      <c r="P904" t="s">
        <v>110</v>
      </c>
      <c r="Q904" t="s">
        <v>71</v>
      </c>
      <c r="R904" t="s">
        <v>110</v>
      </c>
      <c r="S904">
        <v>1</v>
      </c>
      <c r="T904">
        <v>1</v>
      </c>
      <c r="U904" t="s">
        <v>72</v>
      </c>
      <c r="V904" t="s">
        <v>192</v>
      </c>
      <c r="W904">
        <v>0</v>
      </c>
      <c r="X904">
        <v>0</v>
      </c>
      <c r="Y904">
        <v>0</v>
      </c>
      <c r="Z904">
        <v>0</v>
      </c>
      <c r="AA904">
        <v>0</v>
      </c>
      <c r="AB904">
        <v>0</v>
      </c>
      <c r="AC904">
        <v>0</v>
      </c>
      <c r="AD904">
        <v>0</v>
      </c>
      <c r="AE904">
        <v>0</v>
      </c>
      <c r="AF904">
        <v>0</v>
      </c>
      <c r="AG904" t="s">
        <v>71</v>
      </c>
      <c r="AH904">
        <v>0</v>
      </c>
      <c r="AI904">
        <v>0</v>
      </c>
      <c r="AJ904">
        <v>0</v>
      </c>
      <c r="AK904">
        <v>0</v>
      </c>
      <c r="AL904" t="s">
        <v>496</v>
      </c>
      <c r="AM904" t="s">
        <v>491</v>
      </c>
      <c r="AN904" t="s">
        <v>148</v>
      </c>
      <c r="AO904" t="s">
        <v>147</v>
      </c>
      <c r="AP904">
        <v>0</v>
      </c>
      <c r="AQ904">
        <v>0</v>
      </c>
      <c r="AR904">
        <v>0</v>
      </c>
      <c r="AS904">
        <v>0</v>
      </c>
      <c r="AT904">
        <v>0</v>
      </c>
      <c r="AU904">
        <v>0</v>
      </c>
      <c r="AV904">
        <v>0</v>
      </c>
      <c r="AW904">
        <v>0</v>
      </c>
      <c r="AX904">
        <v>128</v>
      </c>
      <c r="AY904">
        <v>0</v>
      </c>
    </row>
    <row r="905" spans="1:51" x14ac:dyDescent="0.25">
      <c r="A905">
        <v>180</v>
      </c>
      <c r="B905">
        <v>25280</v>
      </c>
      <c r="C905" t="s">
        <v>735</v>
      </c>
      <c r="D905" t="s">
        <v>96</v>
      </c>
      <c r="E905" t="s">
        <v>100</v>
      </c>
      <c r="F905" t="s">
        <v>107</v>
      </c>
      <c r="G905" t="s">
        <v>77</v>
      </c>
      <c r="H905" t="s">
        <v>78</v>
      </c>
      <c r="I905" t="s">
        <v>79</v>
      </c>
      <c r="J905" t="s">
        <v>70</v>
      </c>
      <c r="K905" t="s">
        <v>75</v>
      </c>
      <c r="L905" t="s">
        <v>76</v>
      </c>
      <c r="M905" t="s">
        <v>103</v>
      </c>
      <c r="N905" t="s">
        <v>74</v>
      </c>
      <c r="O905" t="s">
        <v>104</v>
      </c>
      <c r="P905" t="s">
        <v>71</v>
      </c>
      <c r="Q905" t="s">
        <v>71</v>
      </c>
      <c r="R905" t="s">
        <v>110</v>
      </c>
      <c r="S905">
        <v>1</v>
      </c>
      <c r="T905">
        <v>1</v>
      </c>
      <c r="U905" t="s">
        <v>72</v>
      </c>
      <c r="V905" t="s">
        <v>192</v>
      </c>
      <c r="W905">
        <v>0</v>
      </c>
      <c r="X905">
        <v>0</v>
      </c>
      <c r="Y905">
        <v>0</v>
      </c>
      <c r="Z905">
        <v>0</v>
      </c>
      <c r="AA905">
        <v>0</v>
      </c>
      <c r="AB905">
        <v>0</v>
      </c>
      <c r="AC905">
        <v>0</v>
      </c>
      <c r="AD905">
        <v>0</v>
      </c>
      <c r="AE905">
        <v>0</v>
      </c>
      <c r="AF905">
        <v>0</v>
      </c>
      <c r="AG905" t="s">
        <v>71</v>
      </c>
      <c r="AH905">
        <v>0</v>
      </c>
      <c r="AI905">
        <v>0</v>
      </c>
      <c r="AJ905">
        <v>0</v>
      </c>
      <c r="AK905">
        <v>0</v>
      </c>
      <c r="AL905" t="s">
        <v>496</v>
      </c>
      <c r="AM905" t="s">
        <v>491</v>
      </c>
      <c r="AN905" t="s">
        <v>148</v>
      </c>
      <c r="AO905" t="s">
        <v>147</v>
      </c>
      <c r="AP905">
        <v>0</v>
      </c>
      <c r="AQ905">
        <v>0</v>
      </c>
      <c r="AR905">
        <v>0</v>
      </c>
      <c r="AS905">
        <v>0</v>
      </c>
      <c r="AT905">
        <v>0</v>
      </c>
      <c r="AU905">
        <v>0</v>
      </c>
      <c r="AV905">
        <v>0</v>
      </c>
      <c r="AW905">
        <v>0</v>
      </c>
      <c r="AX905">
        <v>128</v>
      </c>
      <c r="AY905">
        <v>0</v>
      </c>
    </row>
    <row r="906" spans="1:51" x14ac:dyDescent="0.25">
      <c r="A906">
        <v>180</v>
      </c>
      <c r="B906">
        <v>25290</v>
      </c>
      <c r="C906" t="s">
        <v>735</v>
      </c>
      <c r="D906" t="s">
        <v>96</v>
      </c>
      <c r="E906" t="s">
        <v>100</v>
      </c>
      <c r="F906" t="s">
        <v>107</v>
      </c>
      <c r="G906" t="s">
        <v>77</v>
      </c>
      <c r="H906" t="s">
        <v>78</v>
      </c>
      <c r="I906" t="s">
        <v>79</v>
      </c>
      <c r="J906" t="s">
        <v>70</v>
      </c>
      <c r="K906" t="s">
        <v>75</v>
      </c>
      <c r="L906" t="s">
        <v>76</v>
      </c>
      <c r="M906" t="s">
        <v>103</v>
      </c>
      <c r="N906" t="s">
        <v>74</v>
      </c>
      <c r="O906" t="s">
        <v>104</v>
      </c>
      <c r="P906" t="s">
        <v>71</v>
      </c>
      <c r="Q906" t="s">
        <v>71</v>
      </c>
      <c r="R906" t="s">
        <v>110</v>
      </c>
      <c r="S906">
        <v>1</v>
      </c>
      <c r="T906">
        <v>1</v>
      </c>
      <c r="U906" t="s">
        <v>72</v>
      </c>
      <c r="V906" t="s">
        <v>192</v>
      </c>
      <c r="W906">
        <v>0</v>
      </c>
      <c r="X906">
        <v>0</v>
      </c>
      <c r="Y906">
        <v>0</v>
      </c>
      <c r="Z906">
        <v>0</v>
      </c>
      <c r="AA906">
        <v>0</v>
      </c>
      <c r="AB906">
        <v>0</v>
      </c>
      <c r="AC906">
        <v>0</v>
      </c>
      <c r="AD906">
        <v>0</v>
      </c>
      <c r="AE906">
        <v>0</v>
      </c>
      <c r="AF906">
        <v>0</v>
      </c>
      <c r="AG906" t="s">
        <v>71</v>
      </c>
      <c r="AH906">
        <v>0</v>
      </c>
      <c r="AI906">
        <v>0</v>
      </c>
      <c r="AJ906">
        <v>0</v>
      </c>
      <c r="AK906">
        <v>0</v>
      </c>
      <c r="AL906" t="s">
        <v>496</v>
      </c>
      <c r="AM906" t="s">
        <v>491</v>
      </c>
      <c r="AN906" t="s">
        <v>148</v>
      </c>
      <c r="AO906" t="s">
        <v>147</v>
      </c>
      <c r="AP906">
        <v>0</v>
      </c>
      <c r="AQ906">
        <v>0</v>
      </c>
      <c r="AR906">
        <v>0</v>
      </c>
      <c r="AS906">
        <v>0</v>
      </c>
      <c r="AT906">
        <v>0</v>
      </c>
      <c r="AU906">
        <v>0</v>
      </c>
      <c r="AV906">
        <v>0</v>
      </c>
      <c r="AW906">
        <v>0</v>
      </c>
      <c r="AX906">
        <v>128</v>
      </c>
      <c r="AY906">
        <v>0</v>
      </c>
    </row>
    <row r="907" spans="1:51" x14ac:dyDescent="0.25">
      <c r="A907">
        <v>180</v>
      </c>
      <c r="B907">
        <v>28260</v>
      </c>
      <c r="C907" t="s">
        <v>735</v>
      </c>
      <c r="D907" t="s">
        <v>96</v>
      </c>
      <c r="E907" t="s">
        <v>100</v>
      </c>
      <c r="F907" t="s">
        <v>107</v>
      </c>
      <c r="G907" t="s">
        <v>77</v>
      </c>
      <c r="H907" t="s">
        <v>78</v>
      </c>
      <c r="I907" t="s">
        <v>79</v>
      </c>
      <c r="J907" t="s">
        <v>70</v>
      </c>
      <c r="K907" t="s">
        <v>75</v>
      </c>
      <c r="L907" t="s">
        <v>76</v>
      </c>
      <c r="M907" t="s">
        <v>103</v>
      </c>
      <c r="N907" t="s">
        <v>74</v>
      </c>
      <c r="O907" t="s">
        <v>104</v>
      </c>
      <c r="P907" t="s">
        <v>71</v>
      </c>
      <c r="Q907" t="s">
        <v>71</v>
      </c>
      <c r="R907" t="s">
        <v>110</v>
      </c>
      <c r="S907">
        <v>1</v>
      </c>
      <c r="T907">
        <v>1</v>
      </c>
      <c r="U907" t="s">
        <v>72</v>
      </c>
      <c r="V907" t="s">
        <v>192</v>
      </c>
      <c r="W907">
        <v>0</v>
      </c>
      <c r="X907">
        <v>0</v>
      </c>
      <c r="Y907">
        <v>0</v>
      </c>
      <c r="Z907">
        <v>0</v>
      </c>
      <c r="AA907">
        <v>0</v>
      </c>
      <c r="AB907">
        <v>0</v>
      </c>
      <c r="AC907">
        <v>0</v>
      </c>
      <c r="AD907">
        <v>0</v>
      </c>
      <c r="AE907">
        <v>0</v>
      </c>
      <c r="AF907">
        <v>0</v>
      </c>
      <c r="AG907" t="s">
        <v>71</v>
      </c>
      <c r="AH907">
        <v>0</v>
      </c>
      <c r="AI907">
        <v>0</v>
      </c>
      <c r="AJ907">
        <v>0</v>
      </c>
      <c r="AK907">
        <v>0</v>
      </c>
      <c r="AL907" t="s">
        <v>496</v>
      </c>
      <c r="AM907" t="s">
        <v>491</v>
      </c>
      <c r="AN907" t="s">
        <v>148</v>
      </c>
      <c r="AO907" t="s">
        <v>147</v>
      </c>
      <c r="AP907">
        <v>0</v>
      </c>
      <c r="AQ907">
        <v>0</v>
      </c>
      <c r="AR907">
        <v>0</v>
      </c>
      <c r="AS907">
        <v>0</v>
      </c>
      <c r="AT907">
        <v>0</v>
      </c>
      <c r="AU907">
        <v>0</v>
      </c>
      <c r="AV907">
        <v>0</v>
      </c>
      <c r="AW907">
        <v>0</v>
      </c>
      <c r="AX907">
        <v>128</v>
      </c>
      <c r="AY907">
        <v>0</v>
      </c>
    </row>
    <row r="908" spans="1:51" x14ac:dyDescent="0.25">
      <c r="A908">
        <v>180</v>
      </c>
      <c r="B908">
        <v>28270</v>
      </c>
      <c r="C908" t="s">
        <v>735</v>
      </c>
      <c r="D908" t="s">
        <v>96</v>
      </c>
      <c r="E908" t="s">
        <v>100</v>
      </c>
      <c r="F908" t="s">
        <v>107</v>
      </c>
      <c r="G908" t="s">
        <v>77</v>
      </c>
      <c r="H908" t="s">
        <v>78</v>
      </c>
      <c r="I908" t="s">
        <v>79</v>
      </c>
      <c r="J908" t="s">
        <v>70</v>
      </c>
      <c r="K908" t="s">
        <v>75</v>
      </c>
      <c r="L908" t="s">
        <v>76</v>
      </c>
      <c r="M908" t="s">
        <v>103</v>
      </c>
      <c r="N908" t="s">
        <v>74</v>
      </c>
      <c r="O908" t="s">
        <v>104</v>
      </c>
      <c r="P908" t="s">
        <v>71</v>
      </c>
      <c r="Q908" t="s">
        <v>71</v>
      </c>
      <c r="R908" t="s">
        <v>110</v>
      </c>
      <c r="S908">
        <v>1</v>
      </c>
      <c r="T908">
        <v>1</v>
      </c>
      <c r="U908" t="s">
        <v>72</v>
      </c>
      <c r="V908" t="s">
        <v>192</v>
      </c>
      <c r="W908">
        <v>0</v>
      </c>
      <c r="X908">
        <v>0</v>
      </c>
      <c r="Y908">
        <v>0</v>
      </c>
      <c r="Z908">
        <v>0</v>
      </c>
      <c r="AA908">
        <v>0</v>
      </c>
      <c r="AB908">
        <v>0</v>
      </c>
      <c r="AC908">
        <v>0</v>
      </c>
      <c r="AD908">
        <v>0</v>
      </c>
      <c r="AE908">
        <v>0</v>
      </c>
      <c r="AF908">
        <v>0</v>
      </c>
      <c r="AG908" t="s">
        <v>71</v>
      </c>
      <c r="AH908">
        <v>0</v>
      </c>
      <c r="AI908">
        <v>0</v>
      </c>
      <c r="AJ908">
        <v>0</v>
      </c>
      <c r="AK908">
        <v>0</v>
      </c>
      <c r="AL908" t="s">
        <v>496</v>
      </c>
      <c r="AM908" t="s">
        <v>491</v>
      </c>
      <c r="AN908" t="s">
        <v>148</v>
      </c>
      <c r="AO908" t="s">
        <v>147</v>
      </c>
      <c r="AP908">
        <v>0</v>
      </c>
      <c r="AQ908">
        <v>0</v>
      </c>
      <c r="AR908">
        <v>0</v>
      </c>
      <c r="AS908">
        <v>0</v>
      </c>
      <c r="AT908">
        <v>0</v>
      </c>
      <c r="AU908">
        <v>0</v>
      </c>
      <c r="AV908">
        <v>0</v>
      </c>
      <c r="AW908">
        <v>0</v>
      </c>
      <c r="AX908">
        <v>0</v>
      </c>
      <c r="AY908">
        <v>0</v>
      </c>
    </row>
    <row r="909" spans="1:51" x14ac:dyDescent="0.25">
      <c r="A909">
        <v>180</v>
      </c>
      <c r="B909">
        <v>28280</v>
      </c>
      <c r="C909" t="s">
        <v>735</v>
      </c>
      <c r="D909" t="s">
        <v>96</v>
      </c>
      <c r="E909" t="s">
        <v>100</v>
      </c>
      <c r="F909" t="s">
        <v>107</v>
      </c>
      <c r="G909" t="s">
        <v>77</v>
      </c>
      <c r="H909" t="s">
        <v>78</v>
      </c>
      <c r="I909" t="s">
        <v>79</v>
      </c>
      <c r="J909" t="s">
        <v>70</v>
      </c>
      <c r="K909" t="s">
        <v>75</v>
      </c>
      <c r="L909" t="s">
        <v>76</v>
      </c>
      <c r="M909" t="s">
        <v>103</v>
      </c>
      <c r="N909" t="s">
        <v>74</v>
      </c>
      <c r="O909" t="s">
        <v>104</v>
      </c>
      <c r="P909" t="s">
        <v>71</v>
      </c>
      <c r="Q909" t="s">
        <v>71</v>
      </c>
      <c r="R909" t="s">
        <v>110</v>
      </c>
      <c r="S909">
        <v>1</v>
      </c>
      <c r="T909">
        <v>1</v>
      </c>
      <c r="U909" t="s">
        <v>72</v>
      </c>
      <c r="V909" t="s">
        <v>192</v>
      </c>
      <c r="W909">
        <v>0</v>
      </c>
      <c r="X909">
        <v>0</v>
      </c>
      <c r="Y909">
        <v>0</v>
      </c>
      <c r="Z909">
        <v>0</v>
      </c>
      <c r="AA909">
        <v>0</v>
      </c>
      <c r="AB909">
        <v>0</v>
      </c>
      <c r="AC909">
        <v>0</v>
      </c>
      <c r="AD909">
        <v>0</v>
      </c>
      <c r="AE909">
        <v>0</v>
      </c>
      <c r="AF909">
        <v>0</v>
      </c>
      <c r="AG909" t="s">
        <v>71</v>
      </c>
      <c r="AH909">
        <v>0</v>
      </c>
      <c r="AI909">
        <v>0</v>
      </c>
      <c r="AJ909">
        <v>0</v>
      </c>
      <c r="AK909">
        <v>0</v>
      </c>
      <c r="AL909" t="s">
        <v>496</v>
      </c>
      <c r="AM909" t="s">
        <v>491</v>
      </c>
      <c r="AN909" t="s">
        <v>148</v>
      </c>
      <c r="AO909" t="s">
        <v>147</v>
      </c>
      <c r="AP909">
        <v>0</v>
      </c>
      <c r="AQ909">
        <v>0</v>
      </c>
      <c r="AR909">
        <v>0</v>
      </c>
      <c r="AS909">
        <v>0</v>
      </c>
      <c r="AT909">
        <v>0</v>
      </c>
      <c r="AU909">
        <v>0</v>
      </c>
      <c r="AV909">
        <v>0</v>
      </c>
      <c r="AW909">
        <v>0</v>
      </c>
      <c r="AX909">
        <v>0</v>
      </c>
      <c r="AY909">
        <v>0</v>
      </c>
    </row>
    <row r="910" spans="1:51" x14ac:dyDescent="0.25">
      <c r="A910">
        <v>181</v>
      </c>
      <c r="B910">
        <v>28290</v>
      </c>
      <c r="C910" t="s">
        <v>735</v>
      </c>
      <c r="D910" t="s">
        <v>96</v>
      </c>
      <c r="E910" t="s">
        <v>100</v>
      </c>
      <c r="F910" t="s">
        <v>107</v>
      </c>
      <c r="G910" t="s">
        <v>77</v>
      </c>
      <c r="H910" t="s">
        <v>78</v>
      </c>
      <c r="I910" t="s">
        <v>79</v>
      </c>
      <c r="J910" t="s">
        <v>119</v>
      </c>
      <c r="K910" t="s">
        <v>75</v>
      </c>
      <c r="L910" t="s">
        <v>76</v>
      </c>
      <c r="M910" t="s">
        <v>103</v>
      </c>
      <c r="N910" t="s">
        <v>74</v>
      </c>
      <c r="O910" t="s">
        <v>104</v>
      </c>
      <c r="P910" t="s">
        <v>71</v>
      </c>
      <c r="Q910" t="s">
        <v>71</v>
      </c>
      <c r="R910" t="s">
        <v>71</v>
      </c>
      <c r="S910">
        <v>1</v>
      </c>
      <c r="T910">
        <v>1</v>
      </c>
      <c r="U910" t="s">
        <v>72</v>
      </c>
      <c r="V910" t="s">
        <v>192</v>
      </c>
      <c r="W910">
        <v>0</v>
      </c>
      <c r="X910">
        <v>0</v>
      </c>
      <c r="Y910">
        <v>0</v>
      </c>
      <c r="Z910">
        <v>0</v>
      </c>
      <c r="AA910">
        <v>0</v>
      </c>
      <c r="AB910">
        <v>0</v>
      </c>
      <c r="AC910">
        <v>0</v>
      </c>
      <c r="AD910">
        <v>0</v>
      </c>
      <c r="AE910">
        <v>0</v>
      </c>
      <c r="AF910">
        <v>0</v>
      </c>
      <c r="AG910" t="s">
        <v>71</v>
      </c>
      <c r="AH910">
        <v>0</v>
      </c>
      <c r="AI910">
        <v>0</v>
      </c>
      <c r="AJ910">
        <v>0</v>
      </c>
      <c r="AK910">
        <v>0</v>
      </c>
      <c r="AL910" t="s">
        <v>496</v>
      </c>
      <c r="AM910" t="s">
        <v>491</v>
      </c>
      <c r="AN910" t="s">
        <v>148</v>
      </c>
      <c r="AO910" t="s">
        <v>147</v>
      </c>
      <c r="AP910">
        <v>0</v>
      </c>
      <c r="AQ910">
        <v>0</v>
      </c>
      <c r="AR910">
        <v>0</v>
      </c>
      <c r="AS910">
        <v>0</v>
      </c>
      <c r="AT910">
        <v>0</v>
      </c>
      <c r="AU910">
        <v>0</v>
      </c>
      <c r="AV910">
        <v>0</v>
      </c>
      <c r="AW910">
        <v>0</v>
      </c>
      <c r="AX910">
        <v>64</v>
      </c>
      <c r="AY910">
        <v>0</v>
      </c>
    </row>
    <row r="911" spans="1:51" x14ac:dyDescent="0.25">
      <c r="A911">
        <v>181</v>
      </c>
      <c r="B911">
        <v>28300</v>
      </c>
      <c r="C911" t="s">
        <v>735</v>
      </c>
      <c r="D911" t="s">
        <v>96</v>
      </c>
      <c r="E911" t="s">
        <v>100</v>
      </c>
      <c r="F911" t="s">
        <v>107</v>
      </c>
      <c r="G911" t="s">
        <v>77</v>
      </c>
      <c r="H911" t="s">
        <v>78</v>
      </c>
      <c r="I911" t="s">
        <v>79</v>
      </c>
      <c r="J911" t="s">
        <v>119</v>
      </c>
      <c r="K911" t="s">
        <v>75</v>
      </c>
      <c r="L911" t="s">
        <v>76</v>
      </c>
      <c r="M911" t="s">
        <v>103</v>
      </c>
      <c r="N911" t="s">
        <v>74</v>
      </c>
      <c r="O911" t="s">
        <v>104</v>
      </c>
      <c r="P911" t="s">
        <v>71</v>
      </c>
      <c r="Q911" t="s">
        <v>71</v>
      </c>
      <c r="R911" t="s">
        <v>71</v>
      </c>
      <c r="S911">
        <v>1</v>
      </c>
      <c r="T911">
        <v>1</v>
      </c>
      <c r="U911" t="s">
        <v>72</v>
      </c>
      <c r="V911" t="s">
        <v>192</v>
      </c>
      <c r="W911">
        <v>0</v>
      </c>
      <c r="X911">
        <v>0</v>
      </c>
      <c r="Y911">
        <v>0</v>
      </c>
      <c r="Z911">
        <v>0</v>
      </c>
      <c r="AA911">
        <v>0</v>
      </c>
      <c r="AB911">
        <v>0</v>
      </c>
      <c r="AC911">
        <v>0</v>
      </c>
      <c r="AD911">
        <v>0</v>
      </c>
      <c r="AE911">
        <v>0</v>
      </c>
      <c r="AF911">
        <v>0</v>
      </c>
      <c r="AG911" t="s">
        <v>71</v>
      </c>
      <c r="AH911">
        <v>0</v>
      </c>
      <c r="AI911">
        <v>0</v>
      </c>
      <c r="AJ911">
        <v>0</v>
      </c>
      <c r="AK911">
        <v>0</v>
      </c>
      <c r="AL911" t="s">
        <v>496</v>
      </c>
      <c r="AM911" t="s">
        <v>491</v>
      </c>
      <c r="AN911" t="s">
        <v>148</v>
      </c>
      <c r="AO911" t="s">
        <v>147</v>
      </c>
      <c r="AP911">
        <v>0</v>
      </c>
      <c r="AQ911">
        <v>0</v>
      </c>
      <c r="AR911">
        <v>0</v>
      </c>
      <c r="AS911">
        <v>0</v>
      </c>
      <c r="AT911">
        <v>0</v>
      </c>
      <c r="AU911">
        <v>0</v>
      </c>
      <c r="AV911">
        <v>0</v>
      </c>
      <c r="AW911">
        <v>0</v>
      </c>
      <c r="AX911">
        <v>64</v>
      </c>
      <c r="AY911">
        <v>0</v>
      </c>
    </row>
    <row r="912" spans="1:51" x14ac:dyDescent="0.25">
      <c r="A912">
        <v>181</v>
      </c>
      <c r="B912">
        <v>28310</v>
      </c>
      <c r="C912" t="s">
        <v>735</v>
      </c>
      <c r="D912" t="s">
        <v>96</v>
      </c>
      <c r="E912" t="s">
        <v>100</v>
      </c>
      <c r="F912" t="s">
        <v>107</v>
      </c>
      <c r="G912" t="s">
        <v>77</v>
      </c>
      <c r="H912" t="s">
        <v>78</v>
      </c>
      <c r="I912" t="s">
        <v>79</v>
      </c>
      <c r="J912" t="s">
        <v>119</v>
      </c>
      <c r="K912" t="s">
        <v>75</v>
      </c>
      <c r="L912" t="s">
        <v>76</v>
      </c>
      <c r="M912" t="s">
        <v>103</v>
      </c>
      <c r="N912" t="s">
        <v>74</v>
      </c>
      <c r="O912" t="s">
        <v>104</v>
      </c>
      <c r="P912" t="s">
        <v>71</v>
      </c>
      <c r="Q912" t="s">
        <v>71</v>
      </c>
      <c r="R912" t="s">
        <v>71</v>
      </c>
      <c r="S912">
        <v>1</v>
      </c>
      <c r="T912">
        <v>1</v>
      </c>
      <c r="U912" t="s">
        <v>72</v>
      </c>
      <c r="V912" t="s">
        <v>192</v>
      </c>
      <c r="W912">
        <v>0</v>
      </c>
      <c r="X912">
        <v>0</v>
      </c>
      <c r="Y912">
        <v>0</v>
      </c>
      <c r="Z912">
        <v>0</v>
      </c>
      <c r="AA912">
        <v>0</v>
      </c>
      <c r="AB912">
        <v>0</v>
      </c>
      <c r="AC912">
        <v>0</v>
      </c>
      <c r="AD912">
        <v>0</v>
      </c>
      <c r="AE912">
        <v>0</v>
      </c>
      <c r="AF912">
        <v>0</v>
      </c>
      <c r="AG912" t="s">
        <v>71</v>
      </c>
      <c r="AH912">
        <v>0</v>
      </c>
      <c r="AI912">
        <v>0</v>
      </c>
      <c r="AJ912">
        <v>0</v>
      </c>
      <c r="AK912">
        <v>0</v>
      </c>
      <c r="AL912" t="s">
        <v>496</v>
      </c>
      <c r="AM912" t="s">
        <v>491</v>
      </c>
      <c r="AN912" t="s">
        <v>148</v>
      </c>
      <c r="AO912" t="s">
        <v>147</v>
      </c>
      <c r="AP912">
        <v>0</v>
      </c>
      <c r="AQ912">
        <v>0</v>
      </c>
      <c r="AR912">
        <v>0</v>
      </c>
      <c r="AS912">
        <v>0</v>
      </c>
      <c r="AT912">
        <v>0</v>
      </c>
      <c r="AU912">
        <v>0</v>
      </c>
      <c r="AV912">
        <v>0</v>
      </c>
      <c r="AW912">
        <v>0</v>
      </c>
      <c r="AX912">
        <v>64</v>
      </c>
      <c r="AY912">
        <v>0</v>
      </c>
    </row>
    <row r="913" spans="1:51" x14ac:dyDescent="0.25">
      <c r="A913">
        <v>181</v>
      </c>
      <c r="B913">
        <v>28320</v>
      </c>
      <c r="C913" t="s">
        <v>735</v>
      </c>
      <c r="D913" t="s">
        <v>96</v>
      </c>
      <c r="E913" t="s">
        <v>100</v>
      </c>
      <c r="F913" t="s">
        <v>107</v>
      </c>
      <c r="G913" t="s">
        <v>77</v>
      </c>
      <c r="H913" t="s">
        <v>78</v>
      </c>
      <c r="I913" t="s">
        <v>79</v>
      </c>
      <c r="J913" t="s">
        <v>119</v>
      </c>
      <c r="K913" t="s">
        <v>75</v>
      </c>
      <c r="L913" t="s">
        <v>76</v>
      </c>
      <c r="M913" t="s">
        <v>103</v>
      </c>
      <c r="N913" t="s">
        <v>74</v>
      </c>
      <c r="O913" t="s">
        <v>104</v>
      </c>
      <c r="P913" t="s">
        <v>110</v>
      </c>
      <c r="Q913" t="s">
        <v>71</v>
      </c>
      <c r="R913" t="s">
        <v>71</v>
      </c>
      <c r="S913">
        <v>1</v>
      </c>
      <c r="T913">
        <v>1</v>
      </c>
      <c r="U913" t="s">
        <v>72</v>
      </c>
      <c r="V913" t="s">
        <v>192</v>
      </c>
      <c r="W913">
        <v>0</v>
      </c>
      <c r="X913">
        <v>0</v>
      </c>
      <c r="Y913">
        <v>0</v>
      </c>
      <c r="Z913">
        <v>0</v>
      </c>
      <c r="AA913">
        <v>0</v>
      </c>
      <c r="AB913">
        <v>0</v>
      </c>
      <c r="AC913">
        <v>0</v>
      </c>
      <c r="AD913">
        <v>0</v>
      </c>
      <c r="AE913">
        <v>0</v>
      </c>
      <c r="AF913">
        <v>0</v>
      </c>
      <c r="AG913" t="s">
        <v>71</v>
      </c>
      <c r="AH913">
        <v>0</v>
      </c>
      <c r="AI913">
        <v>0</v>
      </c>
      <c r="AJ913">
        <v>0</v>
      </c>
      <c r="AK913">
        <v>0</v>
      </c>
      <c r="AL913" t="s">
        <v>496</v>
      </c>
      <c r="AM913" t="s">
        <v>491</v>
      </c>
      <c r="AN913" t="s">
        <v>148</v>
      </c>
      <c r="AO913" t="s">
        <v>147</v>
      </c>
      <c r="AP913">
        <v>0</v>
      </c>
      <c r="AQ913">
        <v>0</v>
      </c>
      <c r="AR913">
        <v>0</v>
      </c>
      <c r="AS913">
        <v>0</v>
      </c>
      <c r="AT913">
        <v>0</v>
      </c>
      <c r="AU913">
        <v>0</v>
      </c>
      <c r="AV913">
        <v>0</v>
      </c>
      <c r="AW913">
        <v>0</v>
      </c>
      <c r="AX913">
        <v>64</v>
      </c>
      <c r="AY913">
        <v>0</v>
      </c>
    </row>
    <row r="914" spans="1:51" x14ac:dyDescent="0.25">
      <c r="A914">
        <v>181</v>
      </c>
      <c r="B914">
        <v>28330</v>
      </c>
      <c r="C914" t="s">
        <v>735</v>
      </c>
      <c r="D914" t="s">
        <v>96</v>
      </c>
      <c r="E914" t="s">
        <v>100</v>
      </c>
      <c r="F914" t="s">
        <v>107</v>
      </c>
      <c r="G914" t="s">
        <v>77</v>
      </c>
      <c r="H914" t="s">
        <v>78</v>
      </c>
      <c r="I914" t="s">
        <v>79</v>
      </c>
      <c r="J914" t="s">
        <v>70</v>
      </c>
      <c r="K914" t="s">
        <v>75</v>
      </c>
      <c r="L914" t="s">
        <v>76</v>
      </c>
      <c r="M914" t="s">
        <v>103</v>
      </c>
      <c r="N914" t="s">
        <v>74</v>
      </c>
      <c r="O914" t="s">
        <v>104</v>
      </c>
      <c r="P914" t="s">
        <v>71</v>
      </c>
      <c r="Q914" t="s">
        <v>71</v>
      </c>
      <c r="R914" t="s">
        <v>71</v>
      </c>
      <c r="S914">
        <v>1</v>
      </c>
      <c r="T914">
        <v>1</v>
      </c>
      <c r="U914" t="s">
        <v>72</v>
      </c>
      <c r="V914" t="s">
        <v>192</v>
      </c>
      <c r="W914">
        <v>0</v>
      </c>
      <c r="X914">
        <v>0</v>
      </c>
      <c r="Y914">
        <v>0</v>
      </c>
      <c r="Z914">
        <v>0</v>
      </c>
      <c r="AA914">
        <v>0</v>
      </c>
      <c r="AB914">
        <v>0</v>
      </c>
      <c r="AC914">
        <v>0</v>
      </c>
      <c r="AD914">
        <v>0</v>
      </c>
      <c r="AE914">
        <v>0</v>
      </c>
      <c r="AF914">
        <v>0</v>
      </c>
      <c r="AG914" t="s">
        <v>71</v>
      </c>
      <c r="AH914">
        <v>0</v>
      </c>
      <c r="AI914">
        <v>0</v>
      </c>
      <c r="AJ914">
        <v>0</v>
      </c>
      <c r="AK914">
        <v>0</v>
      </c>
      <c r="AL914" t="s">
        <v>496</v>
      </c>
      <c r="AM914" t="s">
        <v>491</v>
      </c>
      <c r="AN914" t="s">
        <v>148</v>
      </c>
      <c r="AO914" t="s">
        <v>147</v>
      </c>
      <c r="AP914">
        <v>0</v>
      </c>
      <c r="AQ914">
        <v>0</v>
      </c>
      <c r="AR914">
        <v>0</v>
      </c>
      <c r="AS914">
        <v>0</v>
      </c>
      <c r="AT914">
        <v>0</v>
      </c>
      <c r="AU914">
        <v>0</v>
      </c>
      <c r="AV914">
        <v>0</v>
      </c>
      <c r="AW914">
        <v>0</v>
      </c>
      <c r="AX914">
        <v>64</v>
      </c>
      <c r="AY914">
        <v>0</v>
      </c>
    </row>
    <row r="915" spans="1:51" x14ac:dyDescent="0.25">
      <c r="A915">
        <v>181</v>
      </c>
      <c r="B915">
        <v>28340</v>
      </c>
      <c r="C915" t="s">
        <v>735</v>
      </c>
      <c r="D915" t="s">
        <v>96</v>
      </c>
      <c r="E915" t="s">
        <v>100</v>
      </c>
      <c r="F915" t="s">
        <v>107</v>
      </c>
      <c r="G915" t="s">
        <v>77</v>
      </c>
      <c r="H915" t="s">
        <v>78</v>
      </c>
      <c r="I915" t="s">
        <v>79</v>
      </c>
      <c r="J915" t="s">
        <v>70</v>
      </c>
      <c r="K915" t="s">
        <v>75</v>
      </c>
      <c r="L915" t="s">
        <v>76</v>
      </c>
      <c r="M915" t="s">
        <v>103</v>
      </c>
      <c r="N915" t="s">
        <v>74</v>
      </c>
      <c r="O915" t="s">
        <v>104</v>
      </c>
      <c r="P915" t="s">
        <v>71</v>
      </c>
      <c r="Q915" t="s">
        <v>71</v>
      </c>
      <c r="R915" t="s">
        <v>71</v>
      </c>
      <c r="S915">
        <v>1</v>
      </c>
      <c r="T915">
        <v>1</v>
      </c>
      <c r="U915" t="s">
        <v>72</v>
      </c>
      <c r="V915" t="s">
        <v>192</v>
      </c>
      <c r="W915">
        <v>0</v>
      </c>
      <c r="X915">
        <v>0</v>
      </c>
      <c r="Y915">
        <v>0</v>
      </c>
      <c r="Z915">
        <v>0</v>
      </c>
      <c r="AA915">
        <v>0</v>
      </c>
      <c r="AB915">
        <v>0</v>
      </c>
      <c r="AC915">
        <v>0</v>
      </c>
      <c r="AD915">
        <v>0</v>
      </c>
      <c r="AE915">
        <v>0</v>
      </c>
      <c r="AF915">
        <v>0</v>
      </c>
      <c r="AG915" t="s">
        <v>71</v>
      </c>
      <c r="AH915">
        <v>0</v>
      </c>
      <c r="AI915">
        <v>0</v>
      </c>
      <c r="AJ915">
        <v>0</v>
      </c>
      <c r="AK915">
        <v>0</v>
      </c>
      <c r="AL915" t="s">
        <v>496</v>
      </c>
      <c r="AM915" t="s">
        <v>491</v>
      </c>
      <c r="AN915" t="s">
        <v>148</v>
      </c>
      <c r="AO915" t="s">
        <v>147</v>
      </c>
      <c r="AP915">
        <v>0</v>
      </c>
      <c r="AQ915">
        <v>0</v>
      </c>
      <c r="AR915">
        <v>0</v>
      </c>
      <c r="AS915">
        <v>0</v>
      </c>
      <c r="AT915">
        <v>0</v>
      </c>
      <c r="AU915">
        <v>0</v>
      </c>
      <c r="AV915">
        <v>0</v>
      </c>
      <c r="AW915">
        <v>0</v>
      </c>
      <c r="AX915">
        <v>64</v>
      </c>
      <c r="AY915">
        <v>0</v>
      </c>
    </row>
    <row r="916" spans="1:51" x14ac:dyDescent="0.25">
      <c r="A916">
        <v>181</v>
      </c>
      <c r="B916">
        <v>28350</v>
      </c>
      <c r="C916" t="s">
        <v>735</v>
      </c>
      <c r="D916" t="s">
        <v>96</v>
      </c>
      <c r="E916" t="s">
        <v>100</v>
      </c>
      <c r="F916" t="s">
        <v>107</v>
      </c>
      <c r="G916" t="s">
        <v>77</v>
      </c>
      <c r="H916" t="s">
        <v>78</v>
      </c>
      <c r="I916" t="s">
        <v>79</v>
      </c>
      <c r="J916" t="s">
        <v>70</v>
      </c>
      <c r="K916" t="s">
        <v>75</v>
      </c>
      <c r="L916" t="s">
        <v>76</v>
      </c>
      <c r="M916" t="s">
        <v>103</v>
      </c>
      <c r="N916" t="s">
        <v>74</v>
      </c>
      <c r="O916" t="s">
        <v>104</v>
      </c>
      <c r="P916" t="s">
        <v>71</v>
      </c>
      <c r="Q916" t="s">
        <v>71</v>
      </c>
      <c r="R916" t="s">
        <v>71</v>
      </c>
      <c r="S916">
        <v>1</v>
      </c>
      <c r="T916">
        <v>1</v>
      </c>
      <c r="U916" t="s">
        <v>72</v>
      </c>
      <c r="V916" t="s">
        <v>192</v>
      </c>
      <c r="W916">
        <v>0</v>
      </c>
      <c r="X916">
        <v>0</v>
      </c>
      <c r="Y916">
        <v>0</v>
      </c>
      <c r="Z916">
        <v>0</v>
      </c>
      <c r="AA916">
        <v>0</v>
      </c>
      <c r="AB916">
        <v>0</v>
      </c>
      <c r="AC916">
        <v>0</v>
      </c>
      <c r="AD916">
        <v>0</v>
      </c>
      <c r="AE916">
        <v>0</v>
      </c>
      <c r="AF916">
        <v>0</v>
      </c>
      <c r="AG916" t="s">
        <v>71</v>
      </c>
      <c r="AH916">
        <v>0</v>
      </c>
      <c r="AI916">
        <v>0</v>
      </c>
      <c r="AJ916">
        <v>0</v>
      </c>
      <c r="AK916">
        <v>0</v>
      </c>
      <c r="AL916" t="s">
        <v>496</v>
      </c>
      <c r="AM916" t="s">
        <v>491</v>
      </c>
      <c r="AN916" t="s">
        <v>148</v>
      </c>
      <c r="AO916" t="s">
        <v>147</v>
      </c>
      <c r="AP916">
        <v>0</v>
      </c>
      <c r="AQ916">
        <v>0</v>
      </c>
      <c r="AR916">
        <v>0</v>
      </c>
      <c r="AS916">
        <v>0</v>
      </c>
      <c r="AT916">
        <v>0</v>
      </c>
      <c r="AU916">
        <v>0</v>
      </c>
      <c r="AV916">
        <v>0</v>
      </c>
      <c r="AW916">
        <v>0</v>
      </c>
      <c r="AX916">
        <v>64</v>
      </c>
      <c r="AY916">
        <v>0</v>
      </c>
    </row>
    <row r="917" spans="1:51" x14ac:dyDescent="0.25">
      <c r="A917">
        <v>181</v>
      </c>
      <c r="B917">
        <v>31320</v>
      </c>
      <c r="C917" t="s">
        <v>735</v>
      </c>
      <c r="D917" t="s">
        <v>96</v>
      </c>
      <c r="E917" t="s">
        <v>100</v>
      </c>
      <c r="F917" t="s">
        <v>107</v>
      </c>
      <c r="G917" t="s">
        <v>77</v>
      </c>
      <c r="H917" t="s">
        <v>78</v>
      </c>
      <c r="I917" t="s">
        <v>79</v>
      </c>
      <c r="J917" t="s">
        <v>70</v>
      </c>
      <c r="K917" t="s">
        <v>75</v>
      </c>
      <c r="L917" t="s">
        <v>76</v>
      </c>
      <c r="M917" t="s">
        <v>103</v>
      </c>
      <c r="N917" t="s">
        <v>74</v>
      </c>
      <c r="O917" t="s">
        <v>104</v>
      </c>
      <c r="P917" t="s">
        <v>71</v>
      </c>
      <c r="Q917" t="s">
        <v>71</v>
      </c>
      <c r="R917" t="s">
        <v>71</v>
      </c>
      <c r="S917">
        <v>1</v>
      </c>
      <c r="T917">
        <v>1</v>
      </c>
      <c r="U917" t="s">
        <v>72</v>
      </c>
      <c r="V917" t="s">
        <v>192</v>
      </c>
      <c r="W917">
        <v>0</v>
      </c>
      <c r="X917">
        <v>0</v>
      </c>
      <c r="Y917">
        <v>0</v>
      </c>
      <c r="Z917">
        <v>0</v>
      </c>
      <c r="AA917">
        <v>0</v>
      </c>
      <c r="AB917">
        <v>0</v>
      </c>
      <c r="AC917">
        <v>0</v>
      </c>
      <c r="AD917">
        <v>0</v>
      </c>
      <c r="AE917">
        <v>0</v>
      </c>
      <c r="AF917">
        <v>0</v>
      </c>
      <c r="AG917" t="s">
        <v>71</v>
      </c>
      <c r="AH917">
        <v>0</v>
      </c>
      <c r="AI917">
        <v>0</v>
      </c>
      <c r="AJ917">
        <v>0</v>
      </c>
      <c r="AK917">
        <v>0</v>
      </c>
      <c r="AL917" t="s">
        <v>496</v>
      </c>
      <c r="AM917" t="s">
        <v>491</v>
      </c>
      <c r="AN917" t="s">
        <v>148</v>
      </c>
      <c r="AO917" t="s">
        <v>147</v>
      </c>
      <c r="AP917">
        <v>0</v>
      </c>
      <c r="AQ917">
        <v>0</v>
      </c>
      <c r="AR917">
        <v>0</v>
      </c>
      <c r="AS917">
        <v>0</v>
      </c>
      <c r="AT917">
        <v>0</v>
      </c>
      <c r="AU917">
        <v>0</v>
      </c>
      <c r="AV917">
        <v>0</v>
      </c>
      <c r="AW917">
        <v>0</v>
      </c>
      <c r="AX917">
        <v>0</v>
      </c>
      <c r="AY917">
        <v>0</v>
      </c>
    </row>
    <row r="918" spans="1:51" x14ac:dyDescent="0.25">
      <c r="A918">
        <v>181</v>
      </c>
      <c r="B918">
        <v>31330</v>
      </c>
      <c r="C918" t="s">
        <v>735</v>
      </c>
      <c r="D918" t="s">
        <v>96</v>
      </c>
      <c r="E918" t="s">
        <v>100</v>
      </c>
      <c r="F918" t="s">
        <v>107</v>
      </c>
      <c r="G918" t="s">
        <v>77</v>
      </c>
      <c r="H918" t="s">
        <v>78</v>
      </c>
      <c r="I918" t="s">
        <v>79</v>
      </c>
      <c r="J918" t="s">
        <v>70</v>
      </c>
      <c r="K918" t="s">
        <v>75</v>
      </c>
      <c r="L918" t="s">
        <v>76</v>
      </c>
      <c r="M918" t="s">
        <v>103</v>
      </c>
      <c r="N918" t="s">
        <v>74</v>
      </c>
      <c r="O918" t="s">
        <v>104</v>
      </c>
      <c r="P918" t="s">
        <v>71</v>
      </c>
      <c r="Q918" t="s">
        <v>71</v>
      </c>
      <c r="R918" t="s">
        <v>71</v>
      </c>
      <c r="S918">
        <v>1</v>
      </c>
      <c r="T918">
        <v>1</v>
      </c>
      <c r="U918" t="s">
        <v>72</v>
      </c>
      <c r="V918" t="s">
        <v>192</v>
      </c>
      <c r="W918">
        <v>0</v>
      </c>
      <c r="X918">
        <v>0</v>
      </c>
      <c r="Y918">
        <v>0</v>
      </c>
      <c r="Z918">
        <v>0</v>
      </c>
      <c r="AA918">
        <v>0</v>
      </c>
      <c r="AB918">
        <v>0</v>
      </c>
      <c r="AC918">
        <v>0</v>
      </c>
      <c r="AD918">
        <v>0</v>
      </c>
      <c r="AE918">
        <v>0</v>
      </c>
      <c r="AF918">
        <v>0</v>
      </c>
      <c r="AG918" t="s">
        <v>71</v>
      </c>
      <c r="AH918">
        <v>0</v>
      </c>
      <c r="AI918">
        <v>0</v>
      </c>
      <c r="AJ918">
        <v>0</v>
      </c>
      <c r="AK918">
        <v>0</v>
      </c>
      <c r="AL918" t="s">
        <v>496</v>
      </c>
      <c r="AM918" t="s">
        <v>491</v>
      </c>
      <c r="AN918" t="s">
        <v>148</v>
      </c>
      <c r="AO918" t="s">
        <v>147</v>
      </c>
      <c r="AP918">
        <v>0</v>
      </c>
      <c r="AQ918">
        <v>0</v>
      </c>
      <c r="AR918">
        <v>0</v>
      </c>
      <c r="AS918">
        <v>0</v>
      </c>
      <c r="AT918">
        <v>0</v>
      </c>
      <c r="AU918">
        <v>0</v>
      </c>
      <c r="AV918">
        <v>0</v>
      </c>
      <c r="AW918">
        <v>0</v>
      </c>
      <c r="AX918">
        <v>0</v>
      </c>
      <c r="AY918">
        <v>0</v>
      </c>
    </row>
    <row r="919" spans="1:51" x14ac:dyDescent="0.25">
      <c r="A919">
        <v>182</v>
      </c>
      <c r="B919">
        <v>31340</v>
      </c>
      <c r="C919" t="s">
        <v>735</v>
      </c>
      <c r="D919" t="s">
        <v>96</v>
      </c>
      <c r="E919" t="s">
        <v>100</v>
      </c>
      <c r="F919" t="s">
        <v>107</v>
      </c>
      <c r="G919" t="s">
        <v>77</v>
      </c>
      <c r="H919" t="s">
        <v>78</v>
      </c>
      <c r="I919" t="s">
        <v>79</v>
      </c>
      <c r="J919" t="s">
        <v>70</v>
      </c>
      <c r="K919" t="s">
        <v>75</v>
      </c>
      <c r="L919" t="s">
        <v>76</v>
      </c>
      <c r="M919" t="s">
        <v>103</v>
      </c>
      <c r="N919" t="s">
        <v>74</v>
      </c>
      <c r="O919" t="s">
        <v>104</v>
      </c>
      <c r="P919" t="s">
        <v>110</v>
      </c>
      <c r="Q919" t="s">
        <v>71</v>
      </c>
      <c r="R919" t="s">
        <v>71</v>
      </c>
      <c r="S919">
        <v>1</v>
      </c>
      <c r="T919">
        <v>1</v>
      </c>
      <c r="U919" t="s">
        <v>72</v>
      </c>
      <c r="V919" t="s">
        <v>192</v>
      </c>
      <c r="W919">
        <v>0</v>
      </c>
      <c r="X919">
        <v>0</v>
      </c>
      <c r="Y919">
        <v>0</v>
      </c>
      <c r="Z919">
        <v>0</v>
      </c>
      <c r="AA919">
        <v>0</v>
      </c>
      <c r="AB919">
        <v>0</v>
      </c>
      <c r="AC919">
        <v>0</v>
      </c>
      <c r="AD919">
        <v>0</v>
      </c>
      <c r="AE919">
        <v>0</v>
      </c>
      <c r="AF919">
        <v>0</v>
      </c>
      <c r="AG919" t="s">
        <v>71</v>
      </c>
      <c r="AH919">
        <v>0</v>
      </c>
      <c r="AI919">
        <v>0</v>
      </c>
      <c r="AJ919">
        <v>0</v>
      </c>
      <c r="AK919">
        <v>0</v>
      </c>
      <c r="AL919" t="s">
        <v>496</v>
      </c>
      <c r="AM919" t="s">
        <v>491</v>
      </c>
      <c r="AN919" t="s">
        <v>148</v>
      </c>
      <c r="AO919" t="s">
        <v>147</v>
      </c>
      <c r="AP919">
        <v>0</v>
      </c>
      <c r="AQ919">
        <v>0</v>
      </c>
      <c r="AR919">
        <v>0</v>
      </c>
      <c r="AS919">
        <v>0</v>
      </c>
      <c r="AT919">
        <v>0</v>
      </c>
      <c r="AU919">
        <v>0</v>
      </c>
      <c r="AV919">
        <v>0</v>
      </c>
      <c r="AW919">
        <v>0</v>
      </c>
      <c r="AX919">
        <v>128</v>
      </c>
      <c r="AY919">
        <v>0</v>
      </c>
    </row>
    <row r="920" spans="1:51" x14ac:dyDescent="0.25">
      <c r="A920">
        <v>182</v>
      </c>
      <c r="B920">
        <v>31350</v>
      </c>
      <c r="C920" t="s">
        <v>735</v>
      </c>
      <c r="D920" t="s">
        <v>96</v>
      </c>
      <c r="E920" t="s">
        <v>100</v>
      </c>
      <c r="F920" t="s">
        <v>107</v>
      </c>
      <c r="G920" t="s">
        <v>77</v>
      </c>
      <c r="H920" t="s">
        <v>78</v>
      </c>
      <c r="I920" t="s">
        <v>79</v>
      </c>
      <c r="J920" t="s">
        <v>70</v>
      </c>
      <c r="K920" t="s">
        <v>75</v>
      </c>
      <c r="L920" t="s">
        <v>76</v>
      </c>
      <c r="M920" t="s">
        <v>103</v>
      </c>
      <c r="N920" t="s">
        <v>74</v>
      </c>
      <c r="O920" t="s">
        <v>104</v>
      </c>
      <c r="P920" t="s">
        <v>110</v>
      </c>
      <c r="Q920" t="s">
        <v>71</v>
      </c>
      <c r="R920" t="s">
        <v>71</v>
      </c>
      <c r="S920">
        <v>1</v>
      </c>
      <c r="T920">
        <v>1</v>
      </c>
      <c r="U920" t="s">
        <v>72</v>
      </c>
      <c r="V920" t="s">
        <v>192</v>
      </c>
      <c r="W920">
        <v>0</v>
      </c>
      <c r="X920">
        <v>0</v>
      </c>
      <c r="Y920">
        <v>0</v>
      </c>
      <c r="Z920">
        <v>0</v>
      </c>
      <c r="AA920">
        <v>0</v>
      </c>
      <c r="AB920">
        <v>0</v>
      </c>
      <c r="AC920">
        <v>0</v>
      </c>
      <c r="AD920">
        <v>0</v>
      </c>
      <c r="AE920">
        <v>0</v>
      </c>
      <c r="AF920">
        <v>0</v>
      </c>
      <c r="AG920" t="s">
        <v>71</v>
      </c>
      <c r="AH920">
        <v>0</v>
      </c>
      <c r="AI920">
        <v>0</v>
      </c>
      <c r="AJ920">
        <v>0</v>
      </c>
      <c r="AK920">
        <v>0</v>
      </c>
      <c r="AL920" t="s">
        <v>496</v>
      </c>
      <c r="AM920" t="s">
        <v>491</v>
      </c>
      <c r="AN920" t="s">
        <v>148</v>
      </c>
      <c r="AO920" t="s">
        <v>147</v>
      </c>
      <c r="AP920">
        <v>0</v>
      </c>
      <c r="AQ920">
        <v>0</v>
      </c>
      <c r="AR920">
        <v>0</v>
      </c>
      <c r="AS920">
        <v>0</v>
      </c>
      <c r="AT920">
        <v>0</v>
      </c>
      <c r="AU920">
        <v>0</v>
      </c>
      <c r="AV920">
        <v>0</v>
      </c>
      <c r="AW920">
        <v>0</v>
      </c>
      <c r="AX920">
        <v>128</v>
      </c>
      <c r="AY920">
        <v>0</v>
      </c>
    </row>
    <row r="921" spans="1:51" x14ac:dyDescent="0.25">
      <c r="A921">
        <v>182</v>
      </c>
      <c r="B921">
        <v>31360</v>
      </c>
      <c r="C921" t="s">
        <v>735</v>
      </c>
      <c r="D921" t="s">
        <v>96</v>
      </c>
      <c r="E921" t="s">
        <v>100</v>
      </c>
      <c r="F921" t="s">
        <v>107</v>
      </c>
      <c r="G921" t="s">
        <v>77</v>
      </c>
      <c r="H921" t="s">
        <v>78</v>
      </c>
      <c r="I921" t="s">
        <v>79</v>
      </c>
      <c r="J921" t="s">
        <v>70</v>
      </c>
      <c r="K921" t="s">
        <v>75</v>
      </c>
      <c r="L921" t="s">
        <v>76</v>
      </c>
      <c r="M921" t="s">
        <v>103</v>
      </c>
      <c r="N921" t="s">
        <v>74</v>
      </c>
      <c r="O921" t="s">
        <v>104</v>
      </c>
      <c r="P921" t="s">
        <v>110</v>
      </c>
      <c r="Q921" t="s">
        <v>71</v>
      </c>
      <c r="R921" t="s">
        <v>71</v>
      </c>
      <c r="S921">
        <v>1</v>
      </c>
      <c r="T921">
        <v>1</v>
      </c>
      <c r="U921" t="s">
        <v>72</v>
      </c>
      <c r="V921" t="s">
        <v>192</v>
      </c>
      <c r="W921">
        <v>0</v>
      </c>
      <c r="X921">
        <v>0</v>
      </c>
      <c r="Y921">
        <v>0</v>
      </c>
      <c r="Z921">
        <v>0</v>
      </c>
      <c r="AA921">
        <v>0</v>
      </c>
      <c r="AB921">
        <v>0</v>
      </c>
      <c r="AC921">
        <v>0</v>
      </c>
      <c r="AD921">
        <v>0</v>
      </c>
      <c r="AE921">
        <v>0</v>
      </c>
      <c r="AF921">
        <v>0</v>
      </c>
      <c r="AG921" t="s">
        <v>71</v>
      </c>
      <c r="AH921">
        <v>0</v>
      </c>
      <c r="AI921">
        <v>0</v>
      </c>
      <c r="AJ921">
        <v>0</v>
      </c>
      <c r="AK921">
        <v>0</v>
      </c>
      <c r="AL921" t="s">
        <v>496</v>
      </c>
      <c r="AM921" t="s">
        <v>491</v>
      </c>
      <c r="AN921" t="s">
        <v>148</v>
      </c>
      <c r="AO921" t="s">
        <v>147</v>
      </c>
      <c r="AP921">
        <v>0</v>
      </c>
      <c r="AQ921">
        <v>0</v>
      </c>
      <c r="AR921">
        <v>0</v>
      </c>
      <c r="AS921">
        <v>0</v>
      </c>
      <c r="AT921">
        <v>0</v>
      </c>
      <c r="AU921">
        <v>0</v>
      </c>
      <c r="AV921">
        <v>0</v>
      </c>
      <c r="AW921">
        <v>0</v>
      </c>
      <c r="AX921">
        <v>128</v>
      </c>
      <c r="AY921">
        <v>0</v>
      </c>
    </row>
    <row r="922" spans="1:51" x14ac:dyDescent="0.25">
      <c r="A922">
        <v>182</v>
      </c>
      <c r="B922">
        <v>31370</v>
      </c>
      <c r="C922" t="s">
        <v>735</v>
      </c>
      <c r="D922" t="s">
        <v>96</v>
      </c>
      <c r="E922" t="s">
        <v>100</v>
      </c>
      <c r="F922" t="s">
        <v>107</v>
      </c>
      <c r="G922" t="s">
        <v>77</v>
      </c>
      <c r="H922" t="s">
        <v>78</v>
      </c>
      <c r="I922" t="s">
        <v>79</v>
      </c>
      <c r="J922" t="s">
        <v>119</v>
      </c>
      <c r="K922" t="s">
        <v>75</v>
      </c>
      <c r="L922" t="s">
        <v>76</v>
      </c>
      <c r="M922" t="s">
        <v>103</v>
      </c>
      <c r="N922" t="s">
        <v>74</v>
      </c>
      <c r="O922" t="s">
        <v>104</v>
      </c>
      <c r="P922" t="s">
        <v>110</v>
      </c>
      <c r="Q922" t="s">
        <v>71</v>
      </c>
      <c r="R922" t="s">
        <v>71</v>
      </c>
      <c r="S922">
        <v>1</v>
      </c>
      <c r="T922">
        <v>1</v>
      </c>
      <c r="U922" t="s">
        <v>72</v>
      </c>
      <c r="V922" t="s">
        <v>192</v>
      </c>
      <c r="W922">
        <v>0</v>
      </c>
      <c r="X922">
        <v>0</v>
      </c>
      <c r="Y922">
        <v>0</v>
      </c>
      <c r="Z922">
        <v>0</v>
      </c>
      <c r="AA922">
        <v>0</v>
      </c>
      <c r="AB922">
        <v>0</v>
      </c>
      <c r="AC922">
        <v>0</v>
      </c>
      <c r="AD922">
        <v>0</v>
      </c>
      <c r="AE922">
        <v>0</v>
      </c>
      <c r="AF922">
        <v>0</v>
      </c>
      <c r="AG922" t="s">
        <v>71</v>
      </c>
      <c r="AH922">
        <v>0</v>
      </c>
      <c r="AI922">
        <v>0</v>
      </c>
      <c r="AJ922">
        <v>0</v>
      </c>
      <c r="AK922">
        <v>0</v>
      </c>
      <c r="AL922" t="s">
        <v>496</v>
      </c>
      <c r="AM922" t="s">
        <v>491</v>
      </c>
      <c r="AN922" t="s">
        <v>148</v>
      </c>
      <c r="AO922" t="s">
        <v>147</v>
      </c>
      <c r="AP922">
        <v>0</v>
      </c>
      <c r="AQ922">
        <v>0</v>
      </c>
      <c r="AR922">
        <v>0</v>
      </c>
      <c r="AS922">
        <v>0</v>
      </c>
      <c r="AT922">
        <v>0</v>
      </c>
      <c r="AU922">
        <v>0</v>
      </c>
      <c r="AV922">
        <v>0</v>
      </c>
      <c r="AW922">
        <v>0</v>
      </c>
      <c r="AX922">
        <v>64</v>
      </c>
      <c r="AY922">
        <v>0</v>
      </c>
    </row>
    <row r="923" spans="1:51" x14ac:dyDescent="0.25">
      <c r="A923">
        <v>182</v>
      </c>
      <c r="B923">
        <v>31380</v>
      </c>
      <c r="C923" t="s">
        <v>735</v>
      </c>
      <c r="D923" t="s">
        <v>96</v>
      </c>
      <c r="E923" t="s">
        <v>100</v>
      </c>
      <c r="F923" t="s">
        <v>107</v>
      </c>
      <c r="G923" t="s">
        <v>77</v>
      </c>
      <c r="H923" t="s">
        <v>78</v>
      </c>
      <c r="I923" t="s">
        <v>79</v>
      </c>
      <c r="J923" t="s">
        <v>70</v>
      </c>
      <c r="K923" t="s">
        <v>75</v>
      </c>
      <c r="L923" t="s">
        <v>76</v>
      </c>
      <c r="M923" t="s">
        <v>103</v>
      </c>
      <c r="N923" t="s">
        <v>74</v>
      </c>
      <c r="O923" t="s">
        <v>104</v>
      </c>
      <c r="P923" t="s">
        <v>71</v>
      </c>
      <c r="Q923" t="s">
        <v>71</v>
      </c>
      <c r="R923" t="s">
        <v>71</v>
      </c>
      <c r="S923">
        <v>1</v>
      </c>
      <c r="T923">
        <v>1</v>
      </c>
      <c r="U923" t="s">
        <v>72</v>
      </c>
      <c r="V923" t="s">
        <v>192</v>
      </c>
      <c r="W923">
        <v>0</v>
      </c>
      <c r="X923">
        <v>0</v>
      </c>
      <c r="Y923">
        <v>0</v>
      </c>
      <c r="Z923">
        <v>0</v>
      </c>
      <c r="AA923">
        <v>0</v>
      </c>
      <c r="AB923">
        <v>0</v>
      </c>
      <c r="AC923">
        <v>0</v>
      </c>
      <c r="AD923">
        <v>0</v>
      </c>
      <c r="AE923">
        <v>0</v>
      </c>
      <c r="AF923">
        <v>0</v>
      </c>
      <c r="AG923" t="s">
        <v>71</v>
      </c>
      <c r="AH923">
        <v>0</v>
      </c>
      <c r="AI923">
        <v>0</v>
      </c>
      <c r="AJ923">
        <v>0</v>
      </c>
      <c r="AK923">
        <v>0</v>
      </c>
      <c r="AL923" t="s">
        <v>496</v>
      </c>
      <c r="AM923" t="s">
        <v>491</v>
      </c>
      <c r="AN923" t="s">
        <v>148</v>
      </c>
      <c r="AO923" t="s">
        <v>147</v>
      </c>
      <c r="AP923">
        <v>0</v>
      </c>
      <c r="AQ923">
        <v>0</v>
      </c>
      <c r="AR923">
        <v>0</v>
      </c>
      <c r="AS923">
        <v>0</v>
      </c>
      <c r="AT923">
        <v>0</v>
      </c>
      <c r="AU923">
        <v>0</v>
      </c>
      <c r="AV923">
        <v>0</v>
      </c>
      <c r="AW923">
        <v>0</v>
      </c>
      <c r="AX923">
        <v>64</v>
      </c>
      <c r="AY923">
        <v>0</v>
      </c>
    </row>
    <row r="924" spans="1:51" x14ac:dyDescent="0.25">
      <c r="A924">
        <v>182</v>
      </c>
      <c r="B924">
        <v>31390</v>
      </c>
      <c r="C924" t="s">
        <v>735</v>
      </c>
      <c r="D924" t="s">
        <v>96</v>
      </c>
      <c r="E924" t="s">
        <v>100</v>
      </c>
      <c r="F924" t="s">
        <v>107</v>
      </c>
      <c r="G924" t="s">
        <v>77</v>
      </c>
      <c r="H924" t="s">
        <v>78</v>
      </c>
      <c r="I924" t="s">
        <v>79</v>
      </c>
      <c r="J924" t="s">
        <v>70</v>
      </c>
      <c r="K924" t="s">
        <v>75</v>
      </c>
      <c r="L924" t="s">
        <v>76</v>
      </c>
      <c r="M924" t="s">
        <v>103</v>
      </c>
      <c r="N924" t="s">
        <v>74</v>
      </c>
      <c r="O924" t="s">
        <v>104</v>
      </c>
      <c r="P924" t="s">
        <v>71</v>
      </c>
      <c r="Q924" t="s">
        <v>71</v>
      </c>
      <c r="R924" t="s">
        <v>71</v>
      </c>
      <c r="S924">
        <v>1</v>
      </c>
      <c r="T924">
        <v>1</v>
      </c>
      <c r="U924" t="s">
        <v>72</v>
      </c>
      <c r="V924" t="s">
        <v>192</v>
      </c>
      <c r="W924">
        <v>0</v>
      </c>
      <c r="X924">
        <v>0</v>
      </c>
      <c r="Y924">
        <v>0</v>
      </c>
      <c r="Z924">
        <v>0</v>
      </c>
      <c r="AA924">
        <v>0</v>
      </c>
      <c r="AB924">
        <v>0</v>
      </c>
      <c r="AC924">
        <v>0</v>
      </c>
      <c r="AD924">
        <v>0</v>
      </c>
      <c r="AE924">
        <v>0</v>
      </c>
      <c r="AF924">
        <v>0</v>
      </c>
      <c r="AG924" t="s">
        <v>71</v>
      </c>
      <c r="AH924">
        <v>0</v>
      </c>
      <c r="AI924">
        <v>0</v>
      </c>
      <c r="AJ924">
        <v>0</v>
      </c>
      <c r="AK924">
        <v>0</v>
      </c>
      <c r="AL924" t="s">
        <v>496</v>
      </c>
      <c r="AM924" t="s">
        <v>491</v>
      </c>
      <c r="AN924" t="s">
        <v>148</v>
      </c>
      <c r="AO924" t="s">
        <v>147</v>
      </c>
      <c r="AP924">
        <v>0</v>
      </c>
      <c r="AQ924">
        <v>0</v>
      </c>
      <c r="AR924">
        <v>0</v>
      </c>
      <c r="AS924">
        <v>0</v>
      </c>
      <c r="AT924">
        <v>0</v>
      </c>
      <c r="AU924">
        <v>0</v>
      </c>
      <c r="AV924">
        <v>0</v>
      </c>
      <c r="AW924">
        <v>0</v>
      </c>
      <c r="AX924">
        <v>64</v>
      </c>
      <c r="AY924">
        <v>0</v>
      </c>
    </row>
    <row r="925" spans="1:51" x14ac:dyDescent="0.25">
      <c r="A925">
        <v>182</v>
      </c>
      <c r="B925">
        <v>31400</v>
      </c>
      <c r="C925" t="s">
        <v>735</v>
      </c>
      <c r="D925" t="s">
        <v>96</v>
      </c>
      <c r="E925" t="s">
        <v>100</v>
      </c>
      <c r="F925" t="s">
        <v>107</v>
      </c>
      <c r="G925" t="s">
        <v>77</v>
      </c>
      <c r="H925" t="s">
        <v>78</v>
      </c>
      <c r="I925" t="s">
        <v>79</v>
      </c>
      <c r="J925" t="s">
        <v>70</v>
      </c>
      <c r="K925" t="s">
        <v>75</v>
      </c>
      <c r="L925" t="s">
        <v>76</v>
      </c>
      <c r="M925" t="s">
        <v>103</v>
      </c>
      <c r="N925" t="s">
        <v>74</v>
      </c>
      <c r="O925" t="s">
        <v>104</v>
      </c>
      <c r="P925" t="s">
        <v>71</v>
      </c>
      <c r="Q925" t="s">
        <v>71</v>
      </c>
      <c r="R925" t="s">
        <v>71</v>
      </c>
      <c r="S925">
        <v>1</v>
      </c>
      <c r="T925">
        <v>1</v>
      </c>
      <c r="U925" t="s">
        <v>72</v>
      </c>
      <c r="V925" t="s">
        <v>192</v>
      </c>
      <c r="W925">
        <v>0</v>
      </c>
      <c r="X925">
        <v>0</v>
      </c>
      <c r="Y925">
        <v>0</v>
      </c>
      <c r="Z925">
        <v>0</v>
      </c>
      <c r="AA925">
        <v>0</v>
      </c>
      <c r="AB925">
        <v>0</v>
      </c>
      <c r="AC925">
        <v>0</v>
      </c>
      <c r="AD925">
        <v>0</v>
      </c>
      <c r="AE925">
        <v>0</v>
      </c>
      <c r="AF925">
        <v>0</v>
      </c>
      <c r="AG925" t="s">
        <v>71</v>
      </c>
      <c r="AH925">
        <v>0</v>
      </c>
      <c r="AI925">
        <v>0</v>
      </c>
      <c r="AJ925">
        <v>0</v>
      </c>
      <c r="AK925">
        <v>0</v>
      </c>
      <c r="AL925" t="s">
        <v>496</v>
      </c>
      <c r="AM925" t="s">
        <v>491</v>
      </c>
      <c r="AN925" t="s">
        <v>148</v>
      </c>
      <c r="AO925" t="s">
        <v>147</v>
      </c>
      <c r="AP925">
        <v>0</v>
      </c>
      <c r="AQ925">
        <v>0</v>
      </c>
      <c r="AR925">
        <v>0</v>
      </c>
      <c r="AS925">
        <v>0</v>
      </c>
      <c r="AT925">
        <v>0</v>
      </c>
      <c r="AU925">
        <v>0</v>
      </c>
      <c r="AV925">
        <v>0</v>
      </c>
      <c r="AW925">
        <v>0</v>
      </c>
      <c r="AX925">
        <v>64</v>
      </c>
      <c r="AY925">
        <v>0</v>
      </c>
    </row>
    <row r="926" spans="1:51" x14ac:dyDescent="0.25">
      <c r="A926">
        <v>182</v>
      </c>
      <c r="B926">
        <v>34370</v>
      </c>
      <c r="C926" t="s">
        <v>735</v>
      </c>
      <c r="D926" t="s">
        <v>96</v>
      </c>
      <c r="E926" t="s">
        <v>100</v>
      </c>
      <c r="F926" t="s">
        <v>107</v>
      </c>
      <c r="G926" t="s">
        <v>77</v>
      </c>
      <c r="H926" t="s">
        <v>78</v>
      </c>
      <c r="I926" t="s">
        <v>79</v>
      </c>
      <c r="J926" t="s">
        <v>70</v>
      </c>
      <c r="K926" t="s">
        <v>75</v>
      </c>
      <c r="L926" t="s">
        <v>76</v>
      </c>
      <c r="M926" t="s">
        <v>103</v>
      </c>
      <c r="N926" t="s">
        <v>74</v>
      </c>
      <c r="O926" t="s">
        <v>104</v>
      </c>
      <c r="P926" t="s">
        <v>71</v>
      </c>
      <c r="Q926" t="s">
        <v>71</v>
      </c>
      <c r="R926" t="s">
        <v>71</v>
      </c>
      <c r="S926">
        <v>1</v>
      </c>
      <c r="T926">
        <v>1</v>
      </c>
      <c r="U926" t="s">
        <v>72</v>
      </c>
      <c r="V926" t="s">
        <v>192</v>
      </c>
      <c r="W926">
        <v>0</v>
      </c>
      <c r="X926">
        <v>0</v>
      </c>
      <c r="Y926">
        <v>0</v>
      </c>
      <c r="Z926">
        <v>0</v>
      </c>
      <c r="AA926">
        <v>0</v>
      </c>
      <c r="AB926">
        <v>0</v>
      </c>
      <c r="AC926">
        <v>0</v>
      </c>
      <c r="AD926">
        <v>0</v>
      </c>
      <c r="AE926">
        <v>0</v>
      </c>
      <c r="AF926">
        <v>0</v>
      </c>
      <c r="AG926" t="s">
        <v>71</v>
      </c>
      <c r="AH926">
        <v>0</v>
      </c>
      <c r="AI926">
        <v>0</v>
      </c>
      <c r="AJ926">
        <v>0</v>
      </c>
      <c r="AK926">
        <v>0</v>
      </c>
      <c r="AL926" t="s">
        <v>496</v>
      </c>
      <c r="AM926" t="s">
        <v>491</v>
      </c>
      <c r="AN926" t="s">
        <v>148</v>
      </c>
      <c r="AO926" t="s">
        <v>147</v>
      </c>
      <c r="AP926">
        <v>0</v>
      </c>
      <c r="AQ926">
        <v>0</v>
      </c>
      <c r="AR926">
        <v>0</v>
      </c>
      <c r="AS926">
        <v>0</v>
      </c>
      <c r="AT926">
        <v>0</v>
      </c>
      <c r="AU926">
        <v>0</v>
      </c>
      <c r="AV926">
        <v>0</v>
      </c>
      <c r="AW926">
        <v>0</v>
      </c>
      <c r="AX926">
        <v>0</v>
      </c>
      <c r="AY926">
        <v>0</v>
      </c>
    </row>
    <row r="927" spans="1:51" x14ac:dyDescent="0.25">
      <c r="A927">
        <v>182</v>
      </c>
      <c r="B927">
        <v>34380</v>
      </c>
      <c r="C927" t="s">
        <v>735</v>
      </c>
      <c r="D927" t="s">
        <v>96</v>
      </c>
      <c r="E927" t="s">
        <v>100</v>
      </c>
      <c r="F927" t="s">
        <v>107</v>
      </c>
      <c r="G927" t="s">
        <v>77</v>
      </c>
      <c r="H927" t="s">
        <v>78</v>
      </c>
      <c r="I927" t="s">
        <v>79</v>
      </c>
      <c r="J927" t="s">
        <v>70</v>
      </c>
      <c r="K927" t="s">
        <v>75</v>
      </c>
      <c r="L927" t="s">
        <v>76</v>
      </c>
      <c r="M927" t="s">
        <v>103</v>
      </c>
      <c r="N927" t="s">
        <v>74</v>
      </c>
      <c r="O927" t="s">
        <v>104</v>
      </c>
      <c r="P927" t="s">
        <v>71</v>
      </c>
      <c r="Q927" t="s">
        <v>71</v>
      </c>
      <c r="R927" t="s">
        <v>71</v>
      </c>
      <c r="S927">
        <v>1</v>
      </c>
      <c r="T927">
        <v>1</v>
      </c>
      <c r="U927" t="s">
        <v>72</v>
      </c>
      <c r="V927" t="s">
        <v>192</v>
      </c>
      <c r="W927">
        <v>0</v>
      </c>
      <c r="X927">
        <v>0</v>
      </c>
      <c r="Y927">
        <v>0</v>
      </c>
      <c r="Z927">
        <v>0</v>
      </c>
      <c r="AA927">
        <v>0</v>
      </c>
      <c r="AB927">
        <v>0</v>
      </c>
      <c r="AC927">
        <v>0</v>
      </c>
      <c r="AD927">
        <v>0</v>
      </c>
      <c r="AE927">
        <v>0</v>
      </c>
      <c r="AF927">
        <v>0</v>
      </c>
      <c r="AG927" t="s">
        <v>71</v>
      </c>
      <c r="AH927">
        <v>0</v>
      </c>
      <c r="AI927">
        <v>0</v>
      </c>
      <c r="AJ927">
        <v>0</v>
      </c>
      <c r="AK927">
        <v>0</v>
      </c>
      <c r="AL927" t="s">
        <v>496</v>
      </c>
      <c r="AM927" t="s">
        <v>491</v>
      </c>
      <c r="AN927" t="s">
        <v>148</v>
      </c>
      <c r="AO927" t="s">
        <v>147</v>
      </c>
      <c r="AP927">
        <v>0</v>
      </c>
      <c r="AQ927">
        <v>0</v>
      </c>
      <c r="AR927">
        <v>0</v>
      </c>
      <c r="AS927">
        <v>0</v>
      </c>
      <c r="AT927">
        <v>0</v>
      </c>
      <c r="AU927">
        <v>0</v>
      </c>
      <c r="AV927">
        <v>0</v>
      </c>
      <c r="AW927">
        <v>0</v>
      </c>
      <c r="AX927">
        <v>0</v>
      </c>
      <c r="AY927">
        <v>0</v>
      </c>
    </row>
    <row r="928" spans="1:51" x14ac:dyDescent="0.25">
      <c r="A928">
        <v>183</v>
      </c>
      <c r="B928">
        <v>34390</v>
      </c>
      <c r="C928" t="s">
        <v>735</v>
      </c>
      <c r="D928" t="s">
        <v>96</v>
      </c>
      <c r="E928" t="s">
        <v>100</v>
      </c>
      <c r="F928" t="s">
        <v>107</v>
      </c>
      <c r="G928" t="s">
        <v>77</v>
      </c>
      <c r="H928" t="s">
        <v>78</v>
      </c>
      <c r="I928" t="s">
        <v>79</v>
      </c>
      <c r="J928" t="s">
        <v>70</v>
      </c>
      <c r="K928" t="s">
        <v>75</v>
      </c>
      <c r="L928" t="s">
        <v>76</v>
      </c>
      <c r="M928" t="s">
        <v>103</v>
      </c>
      <c r="N928" t="s">
        <v>74</v>
      </c>
      <c r="O928" t="s">
        <v>104</v>
      </c>
      <c r="P928" t="s">
        <v>71</v>
      </c>
      <c r="Q928" t="s">
        <v>110</v>
      </c>
      <c r="R928" t="s">
        <v>110</v>
      </c>
      <c r="S928">
        <v>1</v>
      </c>
      <c r="T928">
        <v>1</v>
      </c>
      <c r="U928" t="s">
        <v>72</v>
      </c>
      <c r="V928" t="s">
        <v>192</v>
      </c>
      <c r="W928">
        <v>0</v>
      </c>
      <c r="X928">
        <v>0</v>
      </c>
      <c r="Y928">
        <v>0</v>
      </c>
      <c r="Z928">
        <v>0</v>
      </c>
      <c r="AA928">
        <v>0</v>
      </c>
      <c r="AB928">
        <v>0</v>
      </c>
      <c r="AC928">
        <v>0</v>
      </c>
      <c r="AD928">
        <v>0</v>
      </c>
      <c r="AE928">
        <v>0</v>
      </c>
      <c r="AF928">
        <v>0</v>
      </c>
      <c r="AG928" t="s">
        <v>71</v>
      </c>
      <c r="AH928">
        <v>0</v>
      </c>
      <c r="AI928">
        <v>0</v>
      </c>
      <c r="AJ928">
        <v>0</v>
      </c>
      <c r="AK928">
        <v>0</v>
      </c>
      <c r="AL928" t="s">
        <v>438</v>
      </c>
      <c r="AM928" t="s">
        <v>491</v>
      </c>
      <c r="AN928" t="s">
        <v>94</v>
      </c>
      <c r="AO928" t="s">
        <v>147</v>
      </c>
      <c r="AP928">
        <v>0</v>
      </c>
      <c r="AQ928">
        <v>0</v>
      </c>
      <c r="AR928">
        <v>0</v>
      </c>
      <c r="AS928">
        <v>0</v>
      </c>
      <c r="AT928">
        <v>0</v>
      </c>
      <c r="AU928">
        <v>0</v>
      </c>
      <c r="AV928">
        <v>0</v>
      </c>
      <c r="AW928">
        <v>0</v>
      </c>
      <c r="AX928">
        <v>0</v>
      </c>
      <c r="AY928">
        <v>0</v>
      </c>
    </row>
    <row r="929" spans="1:51" x14ac:dyDescent="0.25">
      <c r="A929">
        <v>184</v>
      </c>
      <c r="B929">
        <v>34400</v>
      </c>
      <c r="C929" t="s">
        <v>735</v>
      </c>
      <c r="D929" t="s">
        <v>96</v>
      </c>
      <c r="E929" t="s">
        <v>100</v>
      </c>
      <c r="F929" t="s">
        <v>107</v>
      </c>
      <c r="G929" t="s">
        <v>77</v>
      </c>
      <c r="H929" t="s">
        <v>78</v>
      </c>
      <c r="I929" t="s">
        <v>79</v>
      </c>
      <c r="J929" t="s">
        <v>119</v>
      </c>
      <c r="K929" t="s">
        <v>75</v>
      </c>
      <c r="L929" t="s">
        <v>76</v>
      </c>
      <c r="M929" t="s">
        <v>103</v>
      </c>
      <c r="N929" t="s">
        <v>74</v>
      </c>
      <c r="O929" t="s">
        <v>104</v>
      </c>
      <c r="P929" t="s">
        <v>71</v>
      </c>
      <c r="Q929" t="s">
        <v>71</v>
      </c>
      <c r="R929" t="s">
        <v>110</v>
      </c>
      <c r="S929">
        <v>1</v>
      </c>
      <c r="T929">
        <v>1</v>
      </c>
      <c r="U929" t="s">
        <v>72</v>
      </c>
      <c r="V929" t="s">
        <v>192</v>
      </c>
      <c r="W929">
        <v>0</v>
      </c>
      <c r="X929">
        <v>0</v>
      </c>
      <c r="Y929">
        <v>0</v>
      </c>
      <c r="Z929">
        <v>0</v>
      </c>
      <c r="AA929">
        <v>0</v>
      </c>
      <c r="AB929">
        <v>0</v>
      </c>
      <c r="AC929">
        <v>0</v>
      </c>
      <c r="AD929">
        <v>0</v>
      </c>
      <c r="AE929">
        <v>0</v>
      </c>
      <c r="AF929">
        <v>0</v>
      </c>
      <c r="AG929" t="s">
        <v>71</v>
      </c>
      <c r="AH929">
        <v>0</v>
      </c>
      <c r="AI929">
        <v>0</v>
      </c>
      <c r="AJ929">
        <v>0</v>
      </c>
      <c r="AK929">
        <v>0</v>
      </c>
      <c r="AL929" t="s">
        <v>496</v>
      </c>
      <c r="AM929" t="s">
        <v>491</v>
      </c>
      <c r="AN929" t="s">
        <v>94</v>
      </c>
      <c r="AO929" t="s">
        <v>147</v>
      </c>
      <c r="AP929">
        <v>0</v>
      </c>
      <c r="AQ929">
        <v>0</v>
      </c>
      <c r="AR929">
        <v>0</v>
      </c>
      <c r="AS929">
        <v>0</v>
      </c>
      <c r="AT929">
        <v>0</v>
      </c>
      <c r="AU929">
        <v>0</v>
      </c>
      <c r="AV929">
        <v>0</v>
      </c>
      <c r="AW929">
        <v>0</v>
      </c>
      <c r="AX929">
        <v>64</v>
      </c>
      <c r="AY929">
        <v>0</v>
      </c>
    </row>
    <row r="930" spans="1:51" x14ac:dyDescent="0.25">
      <c r="A930">
        <v>185</v>
      </c>
      <c r="B930">
        <v>34410</v>
      </c>
      <c r="C930" t="s">
        <v>735</v>
      </c>
      <c r="D930" t="s">
        <v>96</v>
      </c>
      <c r="E930" t="s">
        <v>100</v>
      </c>
      <c r="F930" t="s">
        <v>107</v>
      </c>
      <c r="G930" t="s">
        <v>77</v>
      </c>
      <c r="H930" t="s">
        <v>78</v>
      </c>
      <c r="I930" t="s">
        <v>79</v>
      </c>
      <c r="J930" t="s">
        <v>119</v>
      </c>
      <c r="K930" t="s">
        <v>75</v>
      </c>
      <c r="L930" t="s">
        <v>76</v>
      </c>
      <c r="M930" t="s">
        <v>103</v>
      </c>
      <c r="N930" t="s">
        <v>74</v>
      </c>
      <c r="O930" t="s">
        <v>104</v>
      </c>
      <c r="P930" t="s">
        <v>110</v>
      </c>
      <c r="Q930" t="s">
        <v>110</v>
      </c>
      <c r="R930" t="s">
        <v>71</v>
      </c>
      <c r="S930">
        <v>1</v>
      </c>
      <c r="T930">
        <v>1</v>
      </c>
      <c r="U930" t="s">
        <v>282</v>
      </c>
      <c r="V930" t="s">
        <v>192</v>
      </c>
      <c r="W930">
        <v>0</v>
      </c>
      <c r="X930">
        <v>0</v>
      </c>
      <c r="Y930">
        <v>0</v>
      </c>
      <c r="Z930">
        <v>0</v>
      </c>
      <c r="AA930">
        <v>0</v>
      </c>
      <c r="AB930">
        <v>0</v>
      </c>
      <c r="AC930">
        <v>0</v>
      </c>
      <c r="AD930">
        <v>0</v>
      </c>
      <c r="AE930">
        <v>0</v>
      </c>
      <c r="AF930">
        <v>0</v>
      </c>
      <c r="AG930" t="s">
        <v>71</v>
      </c>
      <c r="AH930">
        <v>0</v>
      </c>
      <c r="AI930">
        <v>0</v>
      </c>
      <c r="AJ930">
        <v>0</v>
      </c>
      <c r="AK930">
        <v>0</v>
      </c>
      <c r="AL930" t="s">
        <v>438</v>
      </c>
      <c r="AM930" t="s">
        <v>491</v>
      </c>
      <c r="AN930" t="s">
        <v>94</v>
      </c>
      <c r="AO930" t="s">
        <v>147</v>
      </c>
      <c r="AP930">
        <v>0</v>
      </c>
      <c r="AQ930">
        <v>0</v>
      </c>
      <c r="AR930">
        <v>0</v>
      </c>
      <c r="AS930">
        <v>0</v>
      </c>
      <c r="AT930">
        <v>0</v>
      </c>
      <c r="AU930">
        <v>0</v>
      </c>
      <c r="AV930">
        <v>0</v>
      </c>
      <c r="AW930">
        <v>0</v>
      </c>
      <c r="AX930">
        <v>32</v>
      </c>
      <c r="AY930">
        <v>0</v>
      </c>
    </row>
    <row r="931" spans="1:51" x14ac:dyDescent="0.25">
      <c r="A931">
        <v>186</v>
      </c>
      <c r="B931">
        <v>34420</v>
      </c>
      <c r="C931" t="s">
        <v>735</v>
      </c>
      <c r="D931" t="s">
        <v>96</v>
      </c>
      <c r="E931" t="s">
        <v>100</v>
      </c>
      <c r="F931" t="s">
        <v>107</v>
      </c>
      <c r="G931" t="s">
        <v>77</v>
      </c>
      <c r="H931" t="s">
        <v>78</v>
      </c>
      <c r="I931" t="s">
        <v>79</v>
      </c>
      <c r="J931" t="s">
        <v>70</v>
      </c>
      <c r="K931" t="s">
        <v>75</v>
      </c>
      <c r="L931" t="s">
        <v>76</v>
      </c>
      <c r="M931" t="s">
        <v>103</v>
      </c>
      <c r="N931" t="s">
        <v>74</v>
      </c>
      <c r="O931" t="s">
        <v>104</v>
      </c>
      <c r="P931" t="s">
        <v>110</v>
      </c>
      <c r="Q931" t="s">
        <v>71</v>
      </c>
      <c r="R931" t="s">
        <v>110</v>
      </c>
      <c r="S931">
        <v>1</v>
      </c>
      <c r="T931">
        <v>1</v>
      </c>
      <c r="U931" t="s">
        <v>72</v>
      </c>
      <c r="V931" t="s">
        <v>192</v>
      </c>
      <c r="W931">
        <v>0</v>
      </c>
      <c r="X931">
        <v>0</v>
      </c>
      <c r="Y931">
        <v>0</v>
      </c>
      <c r="Z931">
        <v>0</v>
      </c>
      <c r="AA931">
        <v>0</v>
      </c>
      <c r="AB931">
        <v>0</v>
      </c>
      <c r="AC931">
        <v>0</v>
      </c>
      <c r="AD931">
        <v>0</v>
      </c>
      <c r="AE931">
        <v>0</v>
      </c>
      <c r="AF931">
        <v>0</v>
      </c>
      <c r="AG931" t="s">
        <v>71</v>
      </c>
      <c r="AH931">
        <v>0</v>
      </c>
      <c r="AI931">
        <v>0</v>
      </c>
      <c r="AJ931">
        <v>0</v>
      </c>
      <c r="AK931">
        <v>0</v>
      </c>
      <c r="AL931" t="s">
        <v>496</v>
      </c>
      <c r="AM931" t="s">
        <v>491</v>
      </c>
      <c r="AN931" t="s">
        <v>94</v>
      </c>
      <c r="AO931" t="s">
        <v>147</v>
      </c>
      <c r="AP931">
        <v>0</v>
      </c>
      <c r="AQ931">
        <v>0</v>
      </c>
      <c r="AR931">
        <v>0</v>
      </c>
      <c r="AS931">
        <v>0</v>
      </c>
      <c r="AT931">
        <v>0</v>
      </c>
      <c r="AU931">
        <v>0</v>
      </c>
      <c r="AV931">
        <v>0</v>
      </c>
      <c r="AW931">
        <v>0</v>
      </c>
      <c r="AX931">
        <v>128</v>
      </c>
      <c r="AY931">
        <v>0</v>
      </c>
    </row>
    <row r="932" spans="1:51" x14ac:dyDescent="0.25">
      <c r="A932">
        <v>187</v>
      </c>
      <c r="B932">
        <v>34430</v>
      </c>
      <c r="C932" t="s">
        <v>735</v>
      </c>
      <c r="D932" t="s">
        <v>96</v>
      </c>
      <c r="E932" t="s">
        <v>100</v>
      </c>
      <c r="F932" t="s">
        <v>107</v>
      </c>
      <c r="G932" t="s">
        <v>77</v>
      </c>
      <c r="H932" t="s">
        <v>78</v>
      </c>
      <c r="I932" t="s">
        <v>79</v>
      </c>
      <c r="J932" t="s">
        <v>70</v>
      </c>
      <c r="K932" t="s">
        <v>75</v>
      </c>
      <c r="L932" t="s">
        <v>76</v>
      </c>
      <c r="M932" t="s">
        <v>103</v>
      </c>
      <c r="N932" t="s">
        <v>74</v>
      </c>
      <c r="O932" t="s">
        <v>104</v>
      </c>
      <c r="P932" t="s">
        <v>71</v>
      </c>
      <c r="Q932" t="s">
        <v>71</v>
      </c>
      <c r="R932" t="s">
        <v>71</v>
      </c>
      <c r="S932">
        <v>1</v>
      </c>
      <c r="T932">
        <v>1</v>
      </c>
      <c r="U932" t="s">
        <v>282</v>
      </c>
      <c r="V932" t="s">
        <v>192</v>
      </c>
      <c r="W932">
        <v>1</v>
      </c>
      <c r="X932">
        <v>0</v>
      </c>
      <c r="Y932">
        <v>0</v>
      </c>
      <c r="Z932">
        <v>0</v>
      </c>
      <c r="AA932">
        <v>0</v>
      </c>
      <c r="AB932">
        <v>0</v>
      </c>
      <c r="AC932">
        <v>0</v>
      </c>
      <c r="AD932">
        <v>0</v>
      </c>
      <c r="AE932">
        <v>0</v>
      </c>
      <c r="AF932">
        <v>0</v>
      </c>
      <c r="AG932" t="s">
        <v>71</v>
      </c>
      <c r="AH932">
        <v>0</v>
      </c>
      <c r="AI932">
        <v>0</v>
      </c>
      <c r="AJ932">
        <v>0</v>
      </c>
      <c r="AK932">
        <v>0</v>
      </c>
      <c r="AL932" t="s">
        <v>496</v>
      </c>
      <c r="AM932" t="s">
        <v>491</v>
      </c>
      <c r="AN932" t="s">
        <v>94</v>
      </c>
      <c r="AO932" t="s">
        <v>147</v>
      </c>
      <c r="AP932">
        <v>0</v>
      </c>
      <c r="AQ932">
        <v>0</v>
      </c>
      <c r="AR932">
        <v>0</v>
      </c>
      <c r="AS932">
        <v>0</v>
      </c>
      <c r="AT932">
        <v>0</v>
      </c>
      <c r="AU932">
        <v>0</v>
      </c>
      <c r="AV932">
        <v>0</v>
      </c>
      <c r="AW932">
        <v>0</v>
      </c>
      <c r="AX932">
        <v>128</v>
      </c>
      <c r="AY932">
        <v>0</v>
      </c>
    </row>
    <row r="933" spans="1:51" x14ac:dyDescent="0.25">
      <c r="A933">
        <v>187</v>
      </c>
      <c r="B933">
        <v>34440</v>
      </c>
      <c r="C933" t="s">
        <v>735</v>
      </c>
      <c r="D933" t="s">
        <v>96</v>
      </c>
      <c r="E933" t="s">
        <v>100</v>
      </c>
      <c r="F933" t="s">
        <v>107</v>
      </c>
      <c r="G933" t="s">
        <v>77</v>
      </c>
      <c r="H933" t="s">
        <v>78</v>
      </c>
      <c r="I933" t="s">
        <v>79</v>
      </c>
      <c r="J933" t="s">
        <v>70</v>
      </c>
      <c r="K933" t="s">
        <v>75</v>
      </c>
      <c r="L933" t="s">
        <v>76</v>
      </c>
      <c r="M933" t="s">
        <v>103</v>
      </c>
      <c r="N933" t="s">
        <v>74</v>
      </c>
      <c r="O933" t="s">
        <v>104</v>
      </c>
      <c r="P933" t="s">
        <v>71</v>
      </c>
      <c r="Q933" t="s">
        <v>71</v>
      </c>
      <c r="R933" t="s">
        <v>71</v>
      </c>
      <c r="S933">
        <v>1</v>
      </c>
      <c r="T933">
        <v>1</v>
      </c>
      <c r="U933" t="s">
        <v>282</v>
      </c>
      <c r="V933" t="s">
        <v>192</v>
      </c>
      <c r="W933">
        <v>1</v>
      </c>
      <c r="X933">
        <v>0</v>
      </c>
      <c r="Y933">
        <v>0</v>
      </c>
      <c r="Z933">
        <v>0</v>
      </c>
      <c r="AA933">
        <v>0</v>
      </c>
      <c r="AB933">
        <v>0</v>
      </c>
      <c r="AC933">
        <v>0</v>
      </c>
      <c r="AD933">
        <v>0</v>
      </c>
      <c r="AE933">
        <v>0</v>
      </c>
      <c r="AF933">
        <v>0</v>
      </c>
      <c r="AG933" t="s">
        <v>71</v>
      </c>
      <c r="AH933">
        <v>0</v>
      </c>
      <c r="AI933">
        <v>0</v>
      </c>
      <c r="AJ933">
        <v>0</v>
      </c>
      <c r="AK933">
        <v>0</v>
      </c>
      <c r="AL933" t="s">
        <v>496</v>
      </c>
      <c r="AM933" t="s">
        <v>491</v>
      </c>
      <c r="AN933" t="s">
        <v>94</v>
      </c>
      <c r="AO933" t="s">
        <v>147</v>
      </c>
      <c r="AP933">
        <v>0</v>
      </c>
      <c r="AQ933">
        <v>0</v>
      </c>
      <c r="AR933">
        <v>0</v>
      </c>
      <c r="AS933">
        <v>0</v>
      </c>
      <c r="AT933">
        <v>0</v>
      </c>
      <c r="AU933">
        <v>0</v>
      </c>
      <c r="AV933">
        <v>0</v>
      </c>
      <c r="AW933">
        <v>0</v>
      </c>
      <c r="AX933">
        <v>128</v>
      </c>
      <c r="AY933">
        <v>0</v>
      </c>
    </row>
    <row r="934" spans="1:51" x14ac:dyDescent="0.25">
      <c r="A934">
        <v>187</v>
      </c>
      <c r="B934">
        <v>34450</v>
      </c>
      <c r="C934" t="s">
        <v>735</v>
      </c>
      <c r="D934" t="s">
        <v>96</v>
      </c>
      <c r="E934" t="s">
        <v>100</v>
      </c>
      <c r="F934" t="s">
        <v>107</v>
      </c>
      <c r="G934" t="s">
        <v>77</v>
      </c>
      <c r="H934" t="s">
        <v>78</v>
      </c>
      <c r="I934" t="s">
        <v>79</v>
      </c>
      <c r="J934" t="s">
        <v>70</v>
      </c>
      <c r="K934" t="s">
        <v>75</v>
      </c>
      <c r="L934" t="s">
        <v>76</v>
      </c>
      <c r="M934" t="s">
        <v>103</v>
      </c>
      <c r="N934" t="s">
        <v>74</v>
      </c>
      <c r="O934" t="s">
        <v>104</v>
      </c>
      <c r="P934" t="s">
        <v>71</v>
      </c>
      <c r="Q934" t="s">
        <v>71</v>
      </c>
      <c r="R934" t="s">
        <v>71</v>
      </c>
      <c r="S934">
        <v>1</v>
      </c>
      <c r="T934">
        <v>1</v>
      </c>
      <c r="U934" t="s">
        <v>282</v>
      </c>
      <c r="V934" t="s">
        <v>192</v>
      </c>
      <c r="W934">
        <v>1</v>
      </c>
      <c r="X934">
        <v>0</v>
      </c>
      <c r="Y934">
        <v>0</v>
      </c>
      <c r="Z934">
        <v>0</v>
      </c>
      <c r="AA934">
        <v>0</v>
      </c>
      <c r="AB934">
        <v>0</v>
      </c>
      <c r="AC934">
        <v>0</v>
      </c>
      <c r="AD934">
        <v>0</v>
      </c>
      <c r="AE934">
        <v>0</v>
      </c>
      <c r="AF934">
        <v>0</v>
      </c>
      <c r="AG934" t="s">
        <v>71</v>
      </c>
      <c r="AH934">
        <v>0</v>
      </c>
      <c r="AI934">
        <v>0</v>
      </c>
      <c r="AJ934">
        <v>0</v>
      </c>
      <c r="AK934">
        <v>0</v>
      </c>
      <c r="AL934" t="s">
        <v>438</v>
      </c>
      <c r="AM934" t="s">
        <v>491</v>
      </c>
      <c r="AN934" t="s">
        <v>94</v>
      </c>
      <c r="AO934" t="s">
        <v>147</v>
      </c>
      <c r="AP934">
        <v>0</v>
      </c>
      <c r="AQ934">
        <v>0</v>
      </c>
      <c r="AR934">
        <v>0</v>
      </c>
      <c r="AS934">
        <v>0</v>
      </c>
      <c r="AT934">
        <v>0</v>
      </c>
      <c r="AU934">
        <v>1</v>
      </c>
      <c r="AV934">
        <v>0</v>
      </c>
      <c r="AW934">
        <v>0</v>
      </c>
      <c r="AX934">
        <v>0</v>
      </c>
      <c r="AY934">
        <v>0</v>
      </c>
    </row>
    <row r="935" spans="1:51" x14ac:dyDescent="0.25">
      <c r="A935">
        <v>187</v>
      </c>
      <c r="B935">
        <v>37430</v>
      </c>
      <c r="C935" t="s">
        <v>735</v>
      </c>
      <c r="D935" t="s">
        <v>96</v>
      </c>
      <c r="E935" t="s">
        <v>100</v>
      </c>
      <c r="F935" t="s">
        <v>107</v>
      </c>
      <c r="G935" t="s">
        <v>77</v>
      </c>
      <c r="H935" t="s">
        <v>78</v>
      </c>
      <c r="I935" t="s">
        <v>79</v>
      </c>
      <c r="J935" t="s">
        <v>70</v>
      </c>
      <c r="K935" t="s">
        <v>75</v>
      </c>
      <c r="L935" t="s">
        <v>76</v>
      </c>
      <c r="M935" t="s">
        <v>103</v>
      </c>
      <c r="N935" t="s">
        <v>74</v>
      </c>
      <c r="O935" t="s">
        <v>104</v>
      </c>
      <c r="P935" t="s">
        <v>71</v>
      </c>
      <c r="Q935" t="s">
        <v>71</v>
      </c>
      <c r="R935" t="s">
        <v>71</v>
      </c>
      <c r="S935">
        <v>1</v>
      </c>
      <c r="T935">
        <v>1</v>
      </c>
      <c r="U935" t="s">
        <v>282</v>
      </c>
      <c r="V935" t="s">
        <v>192</v>
      </c>
      <c r="W935">
        <v>1</v>
      </c>
      <c r="X935">
        <v>0</v>
      </c>
      <c r="Y935">
        <v>0</v>
      </c>
      <c r="Z935">
        <v>0</v>
      </c>
      <c r="AA935">
        <v>0</v>
      </c>
      <c r="AB935">
        <v>0</v>
      </c>
      <c r="AC935">
        <v>0</v>
      </c>
      <c r="AD935">
        <v>0</v>
      </c>
      <c r="AE935">
        <v>0</v>
      </c>
      <c r="AF935">
        <v>0</v>
      </c>
      <c r="AG935" t="s">
        <v>71</v>
      </c>
      <c r="AH935">
        <v>0</v>
      </c>
      <c r="AI935">
        <v>0</v>
      </c>
      <c r="AJ935">
        <v>0</v>
      </c>
      <c r="AK935">
        <v>0</v>
      </c>
      <c r="AL935" t="s">
        <v>438</v>
      </c>
      <c r="AM935" t="s">
        <v>491</v>
      </c>
      <c r="AN935" t="s">
        <v>94</v>
      </c>
      <c r="AO935" t="s">
        <v>147</v>
      </c>
      <c r="AP935">
        <v>0</v>
      </c>
      <c r="AQ935">
        <v>0</v>
      </c>
      <c r="AR935">
        <v>0</v>
      </c>
      <c r="AS935">
        <v>0</v>
      </c>
      <c r="AT935">
        <v>0</v>
      </c>
      <c r="AU935">
        <v>1</v>
      </c>
      <c r="AV935">
        <v>0</v>
      </c>
      <c r="AW935">
        <v>0</v>
      </c>
      <c r="AX935">
        <v>0</v>
      </c>
      <c r="AY935">
        <v>0</v>
      </c>
    </row>
    <row r="936" spans="1:51" x14ac:dyDescent="0.25">
      <c r="A936">
        <v>187</v>
      </c>
      <c r="B936">
        <v>37440</v>
      </c>
      <c r="C936" t="s">
        <v>735</v>
      </c>
      <c r="D936" t="s">
        <v>96</v>
      </c>
      <c r="E936" t="s">
        <v>100</v>
      </c>
      <c r="F936" t="s">
        <v>107</v>
      </c>
      <c r="G936" t="s">
        <v>77</v>
      </c>
      <c r="H936" t="s">
        <v>78</v>
      </c>
      <c r="I936" t="s">
        <v>79</v>
      </c>
      <c r="J936" t="s">
        <v>70</v>
      </c>
      <c r="K936" t="s">
        <v>75</v>
      </c>
      <c r="L936" t="s">
        <v>76</v>
      </c>
      <c r="M936" t="s">
        <v>103</v>
      </c>
      <c r="N936" t="s">
        <v>74</v>
      </c>
      <c r="O936" t="s">
        <v>104</v>
      </c>
      <c r="P936" t="s">
        <v>71</v>
      </c>
      <c r="Q936" t="s">
        <v>71</v>
      </c>
      <c r="R936" t="s">
        <v>71</v>
      </c>
      <c r="S936">
        <v>1</v>
      </c>
      <c r="T936">
        <v>1</v>
      </c>
      <c r="U936" t="s">
        <v>282</v>
      </c>
      <c r="V936" t="s">
        <v>192</v>
      </c>
      <c r="W936">
        <v>1</v>
      </c>
      <c r="X936">
        <v>0</v>
      </c>
      <c r="Y936">
        <v>0</v>
      </c>
      <c r="Z936">
        <v>0</v>
      </c>
      <c r="AA936">
        <v>0</v>
      </c>
      <c r="AB936">
        <v>0</v>
      </c>
      <c r="AC936">
        <v>0</v>
      </c>
      <c r="AD936">
        <v>0</v>
      </c>
      <c r="AE936">
        <v>0</v>
      </c>
      <c r="AF936">
        <v>0</v>
      </c>
      <c r="AG936" t="s">
        <v>71</v>
      </c>
      <c r="AH936">
        <v>0</v>
      </c>
      <c r="AI936">
        <v>0</v>
      </c>
      <c r="AJ936">
        <v>0</v>
      </c>
      <c r="AK936">
        <v>0</v>
      </c>
      <c r="AL936" t="s">
        <v>438</v>
      </c>
      <c r="AM936" t="s">
        <v>491</v>
      </c>
      <c r="AN936" t="s">
        <v>94</v>
      </c>
      <c r="AO936" t="s">
        <v>147</v>
      </c>
      <c r="AP936">
        <v>0</v>
      </c>
      <c r="AQ936">
        <v>0</v>
      </c>
      <c r="AR936">
        <v>0</v>
      </c>
      <c r="AS936">
        <v>0</v>
      </c>
      <c r="AT936">
        <v>0</v>
      </c>
      <c r="AU936">
        <v>1</v>
      </c>
      <c r="AV936">
        <v>0</v>
      </c>
      <c r="AW936">
        <v>0</v>
      </c>
      <c r="AX936">
        <v>0</v>
      </c>
      <c r="AY936">
        <v>0</v>
      </c>
    </row>
    <row r="937" spans="1:51" x14ac:dyDescent="0.25">
      <c r="A937">
        <v>187</v>
      </c>
      <c r="B937">
        <v>37450</v>
      </c>
      <c r="C937" t="s">
        <v>735</v>
      </c>
      <c r="D937" t="s">
        <v>96</v>
      </c>
      <c r="E937" t="s">
        <v>100</v>
      </c>
      <c r="F937" t="s">
        <v>107</v>
      </c>
      <c r="G937" t="s">
        <v>77</v>
      </c>
      <c r="H937" t="s">
        <v>78</v>
      </c>
      <c r="I937" t="s">
        <v>79</v>
      </c>
      <c r="J937" t="s">
        <v>70</v>
      </c>
      <c r="K937" t="s">
        <v>75</v>
      </c>
      <c r="L937" t="s">
        <v>76</v>
      </c>
      <c r="M937" t="s">
        <v>103</v>
      </c>
      <c r="N937" t="s">
        <v>74</v>
      </c>
      <c r="O937" t="s">
        <v>104</v>
      </c>
      <c r="P937" t="s">
        <v>71</v>
      </c>
      <c r="Q937" t="s">
        <v>71</v>
      </c>
      <c r="R937" t="s">
        <v>71</v>
      </c>
      <c r="S937">
        <v>1</v>
      </c>
      <c r="T937">
        <v>1</v>
      </c>
      <c r="U937" t="s">
        <v>282</v>
      </c>
      <c r="V937" t="s">
        <v>192</v>
      </c>
      <c r="W937">
        <v>1</v>
      </c>
      <c r="X937">
        <v>0</v>
      </c>
      <c r="Y937">
        <v>0</v>
      </c>
      <c r="Z937">
        <v>0</v>
      </c>
      <c r="AA937">
        <v>0</v>
      </c>
      <c r="AB937">
        <v>0</v>
      </c>
      <c r="AC937">
        <v>0</v>
      </c>
      <c r="AD937">
        <v>0</v>
      </c>
      <c r="AE937">
        <v>0</v>
      </c>
      <c r="AF937">
        <v>0</v>
      </c>
      <c r="AG937" t="s">
        <v>71</v>
      </c>
      <c r="AH937">
        <v>0</v>
      </c>
      <c r="AI937">
        <v>0</v>
      </c>
      <c r="AJ937">
        <v>0</v>
      </c>
      <c r="AK937">
        <v>0</v>
      </c>
      <c r="AL937" t="s">
        <v>438</v>
      </c>
      <c r="AM937" t="s">
        <v>491</v>
      </c>
      <c r="AN937" t="s">
        <v>94</v>
      </c>
      <c r="AO937" t="s">
        <v>147</v>
      </c>
      <c r="AP937">
        <v>0</v>
      </c>
      <c r="AQ937">
        <v>0</v>
      </c>
      <c r="AR937">
        <v>0</v>
      </c>
      <c r="AS937">
        <v>0</v>
      </c>
      <c r="AT937">
        <v>0</v>
      </c>
      <c r="AU937">
        <v>0</v>
      </c>
      <c r="AV937">
        <v>0</v>
      </c>
      <c r="AW937">
        <v>0</v>
      </c>
      <c r="AX937">
        <v>0</v>
      </c>
      <c r="AY937">
        <v>0</v>
      </c>
    </row>
    <row r="938" spans="1:51" x14ac:dyDescent="0.25">
      <c r="A938">
        <v>187</v>
      </c>
      <c r="B938">
        <v>37460</v>
      </c>
      <c r="C938" t="s">
        <v>735</v>
      </c>
      <c r="D938" t="s">
        <v>96</v>
      </c>
      <c r="E938" t="s">
        <v>100</v>
      </c>
      <c r="F938" t="s">
        <v>107</v>
      </c>
      <c r="G938" t="s">
        <v>77</v>
      </c>
      <c r="H938" t="s">
        <v>78</v>
      </c>
      <c r="I938" t="s">
        <v>79</v>
      </c>
      <c r="J938" t="s">
        <v>150</v>
      </c>
      <c r="K938" t="s">
        <v>75</v>
      </c>
      <c r="L938" t="s">
        <v>76</v>
      </c>
      <c r="M938" t="s">
        <v>103</v>
      </c>
      <c r="N938" t="s">
        <v>74</v>
      </c>
      <c r="O938" t="s">
        <v>187</v>
      </c>
      <c r="P938" t="s">
        <v>110</v>
      </c>
      <c r="Q938" t="s">
        <v>110</v>
      </c>
      <c r="R938" t="s">
        <v>71</v>
      </c>
      <c r="S938">
        <v>1</v>
      </c>
      <c r="T938">
        <v>1</v>
      </c>
      <c r="U938" t="s">
        <v>72</v>
      </c>
      <c r="V938" t="s">
        <v>192</v>
      </c>
      <c r="W938">
        <v>0</v>
      </c>
      <c r="X938">
        <v>0</v>
      </c>
      <c r="Y938">
        <v>0</v>
      </c>
      <c r="Z938">
        <v>0</v>
      </c>
      <c r="AA938">
        <v>0</v>
      </c>
      <c r="AB938">
        <v>0</v>
      </c>
      <c r="AC938">
        <v>0</v>
      </c>
      <c r="AD938">
        <v>0</v>
      </c>
      <c r="AE938">
        <v>0</v>
      </c>
      <c r="AF938">
        <v>0</v>
      </c>
      <c r="AG938" t="s">
        <v>71</v>
      </c>
      <c r="AH938">
        <v>0</v>
      </c>
      <c r="AI938">
        <v>0</v>
      </c>
      <c r="AJ938">
        <v>0</v>
      </c>
      <c r="AK938">
        <v>0</v>
      </c>
      <c r="AL938" t="s">
        <v>387</v>
      </c>
      <c r="AM938" t="s">
        <v>254</v>
      </c>
      <c r="AN938" t="s">
        <v>94</v>
      </c>
      <c r="AO938" t="s">
        <v>147</v>
      </c>
      <c r="AP938">
        <v>0</v>
      </c>
      <c r="AQ938">
        <v>0</v>
      </c>
      <c r="AR938">
        <v>0</v>
      </c>
      <c r="AS938">
        <v>0</v>
      </c>
      <c r="AT938">
        <v>0</v>
      </c>
      <c r="AU938">
        <v>0</v>
      </c>
      <c r="AV938">
        <v>0</v>
      </c>
      <c r="AW938">
        <v>0</v>
      </c>
      <c r="AX938">
        <v>256</v>
      </c>
      <c r="AY938">
        <v>0</v>
      </c>
    </row>
    <row r="939" spans="1:51" x14ac:dyDescent="0.25">
      <c r="A939">
        <v>187</v>
      </c>
      <c r="B939">
        <v>37470</v>
      </c>
      <c r="C939" t="s">
        <v>735</v>
      </c>
      <c r="D939" t="s">
        <v>96</v>
      </c>
      <c r="E939" t="s">
        <v>186</v>
      </c>
      <c r="F939" t="s">
        <v>107</v>
      </c>
      <c r="G939" t="s">
        <v>77</v>
      </c>
      <c r="H939" t="s">
        <v>78</v>
      </c>
      <c r="I939" t="s">
        <v>79</v>
      </c>
      <c r="J939" t="s">
        <v>119</v>
      </c>
      <c r="K939" t="s">
        <v>75</v>
      </c>
      <c r="L939" t="s">
        <v>76</v>
      </c>
      <c r="M939" t="s">
        <v>149</v>
      </c>
      <c r="N939" t="s">
        <v>74</v>
      </c>
      <c r="O939" t="s">
        <v>187</v>
      </c>
      <c r="P939" t="s">
        <v>71</v>
      </c>
      <c r="Q939" t="s">
        <v>71</v>
      </c>
      <c r="R939" t="s">
        <v>71</v>
      </c>
      <c r="S939">
        <v>1</v>
      </c>
      <c r="T939">
        <v>1</v>
      </c>
      <c r="U939" t="s">
        <v>72</v>
      </c>
      <c r="V939" t="s">
        <v>188</v>
      </c>
      <c r="W939">
        <v>0</v>
      </c>
      <c r="X939">
        <v>1</v>
      </c>
      <c r="Y939">
        <v>0</v>
      </c>
      <c r="Z939">
        <v>0</v>
      </c>
      <c r="AA939">
        <v>0</v>
      </c>
      <c r="AB939">
        <v>0</v>
      </c>
      <c r="AC939">
        <v>0</v>
      </c>
      <c r="AD939">
        <v>0</v>
      </c>
      <c r="AE939">
        <v>0</v>
      </c>
      <c r="AF939">
        <v>0</v>
      </c>
      <c r="AG939" t="s">
        <v>71</v>
      </c>
      <c r="AH939">
        <v>0</v>
      </c>
      <c r="AI939">
        <v>0</v>
      </c>
      <c r="AJ939">
        <v>0</v>
      </c>
      <c r="AK939">
        <v>0</v>
      </c>
      <c r="AL939" t="s">
        <v>255</v>
      </c>
      <c r="AM939" t="s">
        <v>93</v>
      </c>
      <c r="AN939" t="s">
        <v>94</v>
      </c>
      <c r="AO939" t="s">
        <v>147</v>
      </c>
      <c r="AP939">
        <v>0</v>
      </c>
      <c r="AQ939">
        <v>0</v>
      </c>
      <c r="AR939">
        <v>0</v>
      </c>
      <c r="AS939">
        <v>0</v>
      </c>
      <c r="AT939">
        <v>0</v>
      </c>
      <c r="AU939">
        <v>0</v>
      </c>
      <c r="AV939">
        <v>0</v>
      </c>
      <c r="AW939">
        <v>0</v>
      </c>
      <c r="AX939">
        <v>0</v>
      </c>
      <c r="AY939">
        <v>0</v>
      </c>
    </row>
    <row r="940" spans="1:51" x14ac:dyDescent="0.25">
      <c r="A940">
        <v>187</v>
      </c>
      <c r="B940">
        <v>37480</v>
      </c>
      <c r="C940" t="s">
        <v>735</v>
      </c>
      <c r="D940" t="s">
        <v>96</v>
      </c>
      <c r="E940" t="s">
        <v>100</v>
      </c>
      <c r="F940" t="s">
        <v>107</v>
      </c>
      <c r="G940" t="s">
        <v>77</v>
      </c>
      <c r="H940" t="s">
        <v>78</v>
      </c>
      <c r="I940" t="s">
        <v>79</v>
      </c>
      <c r="J940" t="s">
        <v>150</v>
      </c>
      <c r="K940" t="s">
        <v>75</v>
      </c>
      <c r="L940" t="s">
        <v>76</v>
      </c>
      <c r="M940" t="s">
        <v>177</v>
      </c>
      <c r="N940" t="s">
        <v>74</v>
      </c>
      <c r="O940" t="s">
        <v>187</v>
      </c>
      <c r="P940" t="s">
        <v>71</v>
      </c>
      <c r="Q940" t="s">
        <v>71</v>
      </c>
      <c r="R940" t="s">
        <v>71</v>
      </c>
      <c r="S940">
        <v>1</v>
      </c>
      <c r="T940">
        <v>0</v>
      </c>
      <c r="U940" t="s">
        <v>72</v>
      </c>
      <c r="V940" t="s">
        <v>73</v>
      </c>
      <c r="W940">
        <v>0</v>
      </c>
      <c r="X940">
        <v>0</v>
      </c>
      <c r="Y940">
        <v>0</v>
      </c>
      <c r="Z940">
        <v>0</v>
      </c>
      <c r="AA940">
        <v>0</v>
      </c>
      <c r="AB940">
        <v>0</v>
      </c>
      <c r="AC940">
        <v>0</v>
      </c>
      <c r="AD940">
        <v>0</v>
      </c>
      <c r="AE940">
        <v>0</v>
      </c>
      <c r="AF940">
        <v>0</v>
      </c>
      <c r="AG940" t="s">
        <v>71</v>
      </c>
      <c r="AH940">
        <v>0</v>
      </c>
      <c r="AI940">
        <v>0</v>
      </c>
      <c r="AJ940">
        <v>0</v>
      </c>
      <c r="AK940">
        <v>0</v>
      </c>
      <c r="AL940" t="s">
        <v>146</v>
      </c>
      <c r="AM940" t="s">
        <v>93</v>
      </c>
      <c r="AN940" t="s">
        <v>94</v>
      </c>
      <c r="AO940" t="s">
        <v>147</v>
      </c>
      <c r="AP940">
        <v>0</v>
      </c>
      <c r="AQ940">
        <v>0</v>
      </c>
      <c r="AR940">
        <v>0</v>
      </c>
      <c r="AS940">
        <v>0</v>
      </c>
      <c r="AT940">
        <v>0</v>
      </c>
      <c r="AU940">
        <v>0</v>
      </c>
      <c r="AV940">
        <v>0</v>
      </c>
      <c r="AW940">
        <v>0</v>
      </c>
      <c r="AX940">
        <v>0</v>
      </c>
      <c r="AY940">
        <v>0</v>
      </c>
    </row>
    <row r="941" spans="1:51" x14ac:dyDescent="0.25">
      <c r="A941">
        <v>187</v>
      </c>
      <c r="B941">
        <v>37490</v>
      </c>
      <c r="C941" t="s">
        <v>735</v>
      </c>
      <c r="D941" t="s">
        <v>96</v>
      </c>
      <c r="E941" t="s">
        <v>100</v>
      </c>
      <c r="F941" t="s">
        <v>107</v>
      </c>
      <c r="G941" t="s">
        <v>77</v>
      </c>
      <c r="H941" t="s">
        <v>78</v>
      </c>
      <c r="I941" t="s">
        <v>79</v>
      </c>
      <c r="J941" t="s">
        <v>70</v>
      </c>
      <c r="K941" t="s">
        <v>75</v>
      </c>
      <c r="L941" t="s">
        <v>76</v>
      </c>
      <c r="M941" t="s">
        <v>149</v>
      </c>
      <c r="N941" t="s">
        <v>74</v>
      </c>
      <c r="O941" t="s">
        <v>187</v>
      </c>
      <c r="P941" t="s">
        <v>71</v>
      </c>
      <c r="Q941" t="s">
        <v>71</v>
      </c>
      <c r="R941" t="s">
        <v>71</v>
      </c>
      <c r="S941">
        <v>1</v>
      </c>
      <c r="T941">
        <v>0</v>
      </c>
      <c r="U941" t="s">
        <v>72</v>
      </c>
      <c r="V941" t="s">
        <v>188</v>
      </c>
      <c r="W941">
        <v>0</v>
      </c>
      <c r="X941">
        <v>1</v>
      </c>
      <c r="Y941">
        <v>0</v>
      </c>
      <c r="Z941">
        <v>0</v>
      </c>
      <c r="AA941">
        <v>0</v>
      </c>
      <c r="AB941">
        <v>0</v>
      </c>
      <c r="AC941">
        <v>0</v>
      </c>
      <c r="AD941">
        <v>0</v>
      </c>
      <c r="AE941">
        <v>0</v>
      </c>
      <c r="AF941">
        <v>0</v>
      </c>
      <c r="AG941" t="s">
        <v>71</v>
      </c>
      <c r="AH941">
        <v>0</v>
      </c>
      <c r="AI941">
        <v>0</v>
      </c>
      <c r="AJ941">
        <v>0</v>
      </c>
      <c r="AK941">
        <v>0</v>
      </c>
      <c r="AL941" t="s">
        <v>146</v>
      </c>
      <c r="AM941" t="s">
        <v>93</v>
      </c>
      <c r="AN941" t="s">
        <v>94</v>
      </c>
      <c r="AO941" t="s">
        <v>147</v>
      </c>
      <c r="AP941">
        <v>0</v>
      </c>
      <c r="AQ941">
        <v>0</v>
      </c>
      <c r="AR941">
        <v>160</v>
      </c>
      <c r="AS941">
        <v>0</v>
      </c>
      <c r="AT941">
        <v>0</v>
      </c>
      <c r="AU941">
        <v>0</v>
      </c>
      <c r="AV941">
        <v>0</v>
      </c>
      <c r="AW941">
        <v>0</v>
      </c>
      <c r="AX941">
        <v>0</v>
      </c>
      <c r="AY941">
        <v>0</v>
      </c>
    </row>
    <row r="942" spans="1:51" x14ac:dyDescent="0.25">
      <c r="A942">
        <v>187</v>
      </c>
      <c r="B942">
        <v>37500</v>
      </c>
      <c r="C942" t="s">
        <v>735</v>
      </c>
      <c r="D942" t="s">
        <v>96</v>
      </c>
      <c r="E942" t="s">
        <v>100</v>
      </c>
      <c r="F942" t="s">
        <v>107</v>
      </c>
      <c r="G942" t="s">
        <v>77</v>
      </c>
      <c r="H942" t="s">
        <v>78</v>
      </c>
      <c r="I942" t="s">
        <v>79</v>
      </c>
      <c r="J942" t="s">
        <v>150</v>
      </c>
      <c r="K942" t="s">
        <v>75</v>
      </c>
      <c r="L942" t="s">
        <v>76</v>
      </c>
      <c r="M942" t="s">
        <v>149</v>
      </c>
      <c r="N942" t="s">
        <v>74</v>
      </c>
      <c r="O942" t="s">
        <v>187</v>
      </c>
      <c r="P942" t="s">
        <v>71</v>
      </c>
      <c r="Q942" t="s">
        <v>110</v>
      </c>
      <c r="R942" t="s">
        <v>110</v>
      </c>
      <c r="S942">
        <v>1</v>
      </c>
      <c r="T942">
        <v>0</v>
      </c>
      <c r="U942" t="s">
        <v>72</v>
      </c>
      <c r="V942" t="s">
        <v>188</v>
      </c>
      <c r="W942">
        <v>0</v>
      </c>
      <c r="X942">
        <v>1</v>
      </c>
      <c r="Y942">
        <v>0</v>
      </c>
      <c r="Z942">
        <v>0</v>
      </c>
      <c r="AA942">
        <v>0</v>
      </c>
      <c r="AB942">
        <v>0</v>
      </c>
      <c r="AC942">
        <v>0</v>
      </c>
      <c r="AD942">
        <v>0</v>
      </c>
      <c r="AE942">
        <v>0</v>
      </c>
      <c r="AF942">
        <v>0</v>
      </c>
      <c r="AG942" t="s">
        <v>71</v>
      </c>
      <c r="AH942">
        <v>0</v>
      </c>
      <c r="AI942">
        <v>0</v>
      </c>
      <c r="AJ942">
        <v>0</v>
      </c>
      <c r="AK942">
        <v>0</v>
      </c>
      <c r="AL942" t="s">
        <v>387</v>
      </c>
      <c r="AM942" t="s">
        <v>254</v>
      </c>
      <c r="AN942" t="s">
        <v>94</v>
      </c>
      <c r="AO942" t="s">
        <v>147</v>
      </c>
      <c r="AP942">
        <v>0</v>
      </c>
      <c r="AQ942">
        <v>0</v>
      </c>
      <c r="AR942">
        <v>0</v>
      </c>
      <c r="AS942">
        <v>0</v>
      </c>
      <c r="AT942">
        <v>0</v>
      </c>
      <c r="AU942">
        <v>0</v>
      </c>
      <c r="AV942">
        <v>0</v>
      </c>
      <c r="AW942">
        <v>0</v>
      </c>
      <c r="AX942">
        <v>8</v>
      </c>
      <c r="AY942">
        <v>0</v>
      </c>
    </row>
    <row r="943" spans="1:51" x14ac:dyDescent="0.25">
      <c r="A943">
        <v>2</v>
      </c>
      <c r="C943" t="s">
        <v>735</v>
      </c>
      <c r="D943" t="s">
        <v>736</v>
      </c>
      <c r="E943" t="s">
        <v>736</v>
      </c>
      <c r="F943" t="s">
        <v>736</v>
      </c>
      <c r="G943" t="s">
        <v>736</v>
      </c>
      <c r="H943" t="s">
        <v>736</v>
      </c>
      <c r="I943" t="s">
        <v>736</v>
      </c>
      <c r="J943" t="s">
        <v>736</v>
      </c>
      <c r="K943" t="s">
        <v>736</v>
      </c>
      <c r="L943" t="s">
        <v>736</v>
      </c>
      <c r="M943" t="s">
        <v>736</v>
      </c>
      <c r="N943" t="s">
        <v>736</v>
      </c>
      <c r="O943" t="s">
        <v>736</v>
      </c>
      <c r="P943" t="s">
        <v>736</v>
      </c>
      <c r="Q943" t="s">
        <v>736</v>
      </c>
      <c r="R943" t="s">
        <v>736</v>
      </c>
      <c r="S943" t="s">
        <v>736</v>
      </c>
      <c r="T943" t="s">
        <v>736</v>
      </c>
      <c r="U943" t="s">
        <v>736</v>
      </c>
      <c r="V943" t="s">
        <v>736</v>
      </c>
      <c r="W943" t="s">
        <v>736</v>
      </c>
      <c r="X943" t="s">
        <v>736</v>
      </c>
      <c r="Y943" t="s">
        <v>736</v>
      </c>
      <c r="Z943" t="s">
        <v>736</v>
      </c>
      <c r="AA943" t="s">
        <v>736</v>
      </c>
      <c r="AB943" t="s">
        <v>736</v>
      </c>
      <c r="AC943" t="s">
        <v>736</v>
      </c>
      <c r="AD943" t="s">
        <v>736</v>
      </c>
      <c r="AE943" t="s">
        <v>736</v>
      </c>
      <c r="AF943" t="s">
        <v>736</v>
      </c>
      <c r="AG943" t="s">
        <v>736</v>
      </c>
      <c r="AH943" t="s">
        <v>736</v>
      </c>
      <c r="AI943" t="s">
        <v>736</v>
      </c>
      <c r="AJ943" t="s">
        <v>736</v>
      </c>
      <c r="AK943" t="s">
        <v>736</v>
      </c>
      <c r="AL943" t="s">
        <v>736</v>
      </c>
      <c r="AM943" t="s">
        <v>736</v>
      </c>
      <c r="AN943" t="s">
        <v>736</v>
      </c>
      <c r="AO943" t="s">
        <v>736</v>
      </c>
      <c r="AP943" t="s">
        <v>736</v>
      </c>
      <c r="AQ943" t="s">
        <v>736</v>
      </c>
      <c r="AR943" t="s">
        <v>736</v>
      </c>
      <c r="AS943" t="s">
        <v>736</v>
      </c>
      <c r="AT943" t="s">
        <v>736</v>
      </c>
      <c r="AU943" t="s">
        <v>736</v>
      </c>
      <c r="AV943" t="s">
        <v>736</v>
      </c>
      <c r="AW943" t="s">
        <v>736</v>
      </c>
      <c r="AX943" t="s">
        <v>736</v>
      </c>
      <c r="AY943" t="s">
        <v>736</v>
      </c>
    </row>
    <row r="944" spans="1:51" x14ac:dyDescent="0.25">
      <c r="A944">
        <v>1</v>
      </c>
      <c r="B944">
        <v>10</v>
      </c>
      <c r="C944" t="s">
        <v>735</v>
      </c>
      <c r="D944" t="s">
        <v>96</v>
      </c>
      <c r="E944" t="s">
        <v>100</v>
      </c>
      <c r="F944" t="s">
        <v>107</v>
      </c>
      <c r="G944" t="s">
        <v>101</v>
      </c>
      <c r="H944" t="s">
        <v>78</v>
      </c>
      <c r="I944" t="s">
        <v>79</v>
      </c>
      <c r="J944" t="s">
        <v>70</v>
      </c>
      <c r="K944" t="s">
        <v>102</v>
      </c>
      <c r="L944" t="s">
        <v>76</v>
      </c>
      <c r="M944" t="s">
        <v>103</v>
      </c>
      <c r="N944" t="s">
        <v>74</v>
      </c>
      <c r="O944" t="s">
        <v>104</v>
      </c>
      <c r="P944" t="s">
        <v>71</v>
      </c>
      <c r="Q944" t="s">
        <v>110</v>
      </c>
      <c r="R944" t="s">
        <v>71</v>
      </c>
      <c r="S944">
        <v>0</v>
      </c>
      <c r="T944">
        <v>0</v>
      </c>
      <c r="U944" t="s">
        <v>72</v>
      </c>
      <c r="V944" t="s">
        <v>73</v>
      </c>
      <c r="W944">
        <v>0</v>
      </c>
      <c r="X944">
        <v>0</v>
      </c>
      <c r="Y944">
        <v>0</v>
      </c>
      <c r="Z944">
        <v>0</v>
      </c>
      <c r="AA944">
        <v>0</v>
      </c>
      <c r="AB944">
        <v>0</v>
      </c>
      <c r="AC944">
        <v>0</v>
      </c>
      <c r="AD944">
        <v>0</v>
      </c>
      <c r="AE944">
        <v>0</v>
      </c>
      <c r="AF944">
        <v>0</v>
      </c>
      <c r="AG944" t="s">
        <v>71</v>
      </c>
      <c r="AH944">
        <v>0</v>
      </c>
      <c r="AI944">
        <v>0</v>
      </c>
      <c r="AJ944">
        <v>0</v>
      </c>
      <c r="AK944">
        <v>0</v>
      </c>
      <c r="AL944" t="s">
        <v>91</v>
      </c>
      <c r="AM944" t="s">
        <v>93</v>
      </c>
      <c r="AN944" t="s">
        <v>94</v>
      </c>
      <c r="AO944" t="s">
        <v>92</v>
      </c>
      <c r="AP944">
        <v>0</v>
      </c>
      <c r="AQ944">
        <v>0</v>
      </c>
      <c r="AR944">
        <v>0</v>
      </c>
      <c r="AS944">
        <v>0</v>
      </c>
      <c r="AT944">
        <v>0</v>
      </c>
      <c r="AU944">
        <v>0</v>
      </c>
      <c r="AV944">
        <v>0</v>
      </c>
      <c r="AW944">
        <v>0</v>
      </c>
      <c r="AX944">
        <v>0</v>
      </c>
      <c r="AY944">
        <v>0</v>
      </c>
    </row>
    <row r="945" spans="1:51" x14ac:dyDescent="0.25">
      <c r="A945">
        <v>1</v>
      </c>
      <c r="B945">
        <v>5020</v>
      </c>
      <c r="C945" t="s">
        <v>735</v>
      </c>
      <c r="D945" t="s">
        <v>96</v>
      </c>
      <c r="E945" t="s">
        <v>100</v>
      </c>
      <c r="F945" t="s">
        <v>107</v>
      </c>
      <c r="G945" t="s">
        <v>101</v>
      </c>
      <c r="H945" t="s">
        <v>78</v>
      </c>
      <c r="I945" t="s">
        <v>79</v>
      </c>
      <c r="J945" t="s">
        <v>70</v>
      </c>
      <c r="K945" t="s">
        <v>102</v>
      </c>
      <c r="L945" t="s">
        <v>76</v>
      </c>
      <c r="M945" t="s">
        <v>103</v>
      </c>
      <c r="N945" t="s">
        <v>74</v>
      </c>
      <c r="O945" t="s">
        <v>104</v>
      </c>
      <c r="P945" t="s">
        <v>71</v>
      </c>
      <c r="Q945" t="s">
        <v>110</v>
      </c>
      <c r="R945" t="s">
        <v>71</v>
      </c>
      <c r="S945">
        <v>0</v>
      </c>
      <c r="T945">
        <v>0</v>
      </c>
      <c r="U945" t="s">
        <v>72</v>
      </c>
      <c r="V945" t="s">
        <v>73</v>
      </c>
      <c r="W945">
        <v>0</v>
      </c>
      <c r="X945">
        <v>0</v>
      </c>
      <c r="Y945">
        <v>0</v>
      </c>
      <c r="Z945">
        <v>0</v>
      </c>
      <c r="AA945">
        <v>0</v>
      </c>
      <c r="AB945">
        <v>0</v>
      </c>
      <c r="AC945">
        <v>0</v>
      </c>
      <c r="AD945">
        <v>0</v>
      </c>
      <c r="AE945">
        <v>0</v>
      </c>
      <c r="AF945">
        <v>0</v>
      </c>
      <c r="AG945" t="s">
        <v>71</v>
      </c>
      <c r="AH945">
        <v>0</v>
      </c>
      <c r="AI945">
        <v>0</v>
      </c>
      <c r="AJ945">
        <v>0</v>
      </c>
      <c r="AK945">
        <v>0</v>
      </c>
      <c r="AL945" t="s">
        <v>108</v>
      </c>
      <c r="AM945" t="s">
        <v>93</v>
      </c>
      <c r="AN945" t="s">
        <v>94</v>
      </c>
      <c r="AO945" t="s">
        <v>92</v>
      </c>
      <c r="AP945">
        <v>0</v>
      </c>
      <c r="AQ945">
        <v>0</v>
      </c>
      <c r="AR945">
        <v>0</v>
      </c>
      <c r="AS945">
        <v>0</v>
      </c>
      <c r="AT945">
        <v>0</v>
      </c>
      <c r="AU945">
        <v>0</v>
      </c>
      <c r="AV945">
        <v>0</v>
      </c>
      <c r="AW945">
        <v>0</v>
      </c>
      <c r="AX945">
        <v>1</v>
      </c>
      <c r="AY945">
        <v>0</v>
      </c>
    </row>
    <row r="946" spans="1:51" x14ac:dyDescent="0.25">
      <c r="A946">
        <v>1</v>
      </c>
      <c r="B946">
        <v>5030</v>
      </c>
      <c r="C946" t="s">
        <v>735</v>
      </c>
      <c r="D946" t="s">
        <v>96</v>
      </c>
      <c r="E946" t="s">
        <v>100</v>
      </c>
      <c r="F946" t="s">
        <v>107</v>
      </c>
      <c r="G946" t="s">
        <v>101</v>
      </c>
      <c r="H946" t="s">
        <v>78</v>
      </c>
      <c r="I946" t="s">
        <v>79</v>
      </c>
      <c r="J946" t="s">
        <v>70</v>
      </c>
      <c r="K946" t="s">
        <v>102</v>
      </c>
      <c r="L946" t="s">
        <v>76</v>
      </c>
      <c r="M946" t="s">
        <v>103</v>
      </c>
      <c r="N946" t="s">
        <v>74</v>
      </c>
      <c r="O946" t="s">
        <v>104</v>
      </c>
      <c r="P946" t="s">
        <v>71</v>
      </c>
      <c r="Q946" t="s">
        <v>110</v>
      </c>
      <c r="R946" t="s">
        <v>71</v>
      </c>
      <c r="S946">
        <v>0</v>
      </c>
      <c r="T946">
        <v>0</v>
      </c>
      <c r="U946" t="s">
        <v>72</v>
      </c>
      <c r="V946" t="s">
        <v>73</v>
      </c>
      <c r="W946">
        <v>0</v>
      </c>
      <c r="X946">
        <v>0</v>
      </c>
      <c r="Y946">
        <v>0</v>
      </c>
      <c r="Z946">
        <v>0</v>
      </c>
      <c r="AA946">
        <v>0</v>
      </c>
      <c r="AB946">
        <v>0</v>
      </c>
      <c r="AC946">
        <v>0</v>
      </c>
      <c r="AD946">
        <v>0</v>
      </c>
      <c r="AE946">
        <v>0</v>
      </c>
      <c r="AF946">
        <v>0</v>
      </c>
      <c r="AG946" t="s">
        <v>110</v>
      </c>
      <c r="AH946">
        <v>0</v>
      </c>
      <c r="AI946">
        <v>0</v>
      </c>
      <c r="AJ946">
        <v>0</v>
      </c>
      <c r="AK946">
        <v>0</v>
      </c>
      <c r="AL946" t="s">
        <v>108</v>
      </c>
      <c r="AM946" t="s">
        <v>93</v>
      </c>
      <c r="AN946" t="s">
        <v>94</v>
      </c>
      <c r="AO946" t="s">
        <v>92</v>
      </c>
      <c r="AP946">
        <v>0</v>
      </c>
      <c r="AQ946">
        <v>0</v>
      </c>
      <c r="AR946">
        <v>0</v>
      </c>
      <c r="AS946">
        <v>0</v>
      </c>
      <c r="AT946">
        <v>0</v>
      </c>
      <c r="AU946">
        <v>0</v>
      </c>
      <c r="AV946">
        <v>0</v>
      </c>
      <c r="AW946">
        <v>0</v>
      </c>
      <c r="AX946">
        <v>1</v>
      </c>
      <c r="AY946">
        <v>0</v>
      </c>
    </row>
    <row r="947" spans="1:51" x14ac:dyDescent="0.25">
      <c r="A947">
        <v>1</v>
      </c>
      <c r="B947">
        <v>5040</v>
      </c>
      <c r="C947" t="s">
        <v>735</v>
      </c>
      <c r="D947" t="s">
        <v>96</v>
      </c>
      <c r="E947" t="s">
        <v>100</v>
      </c>
      <c r="F947" t="s">
        <v>107</v>
      </c>
      <c r="G947" t="s">
        <v>101</v>
      </c>
      <c r="H947" t="s">
        <v>78</v>
      </c>
      <c r="I947" t="s">
        <v>79</v>
      </c>
      <c r="J947" t="s">
        <v>70</v>
      </c>
      <c r="K947" t="s">
        <v>102</v>
      </c>
      <c r="L947" t="s">
        <v>76</v>
      </c>
      <c r="M947" t="s">
        <v>103</v>
      </c>
      <c r="N947" t="s">
        <v>74</v>
      </c>
      <c r="O947" t="s">
        <v>104</v>
      </c>
      <c r="P947" t="s">
        <v>71</v>
      </c>
      <c r="Q947" t="s">
        <v>110</v>
      </c>
      <c r="R947" t="s">
        <v>71</v>
      </c>
      <c r="S947">
        <v>0</v>
      </c>
      <c r="T947">
        <v>0</v>
      </c>
      <c r="U947" t="s">
        <v>72</v>
      </c>
      <c r="V947" t="s">
        <v>73</v>
      </c>
      <c r="W947">
        <v>0</v>
      </c>
      <c r="X947">
        <v>0</v>
      </c>
      <c r="Y947">
        <v>0</v>
      </c>
      <c r="Z947">
        <v>0</v>
      </c>
      <c r="AA947">
        <v>0</v>
      </c>
      <c r="AB947">
        <v>0</v>
      </c>
      <c r="AC947">
        <v>0</v>
      </c>
      <c r="AD947">
        <v>0</v>
      </c>
      <c r="AE947">
        <v>0</v>
      </c>
      <c r="AF947">
        <v>0</v>
      </c>
      <c r="AG947" t="s">
        <v>110</v>
      </c>
      <c r="AH947">
        <v>0</v>
      </c>
      <c r="AI947">
        <v>0</v>
      </c>
      <c r="AJ947">
        <v>0</v>
      </c>
      <c r="AK947">
        <v>0</v>
      </c>
      <c r="AL947" t="s">
        <v>108</v>
      </c>
      <c r="AM947" t="s">
        <v>93</v>
      </c>
      <c r="AN947" t="s">
        <v>94</v>
      </c>
      <c r="AO947" t="s">
        <v>92</v>
      </c>
      <c r="AP947">
        <v>0</v>
      </c>
      <c r="AQ947">
        <v>0</v>
      </c>
      <c r="AR947">
        <v>0</v>
      </c>
      <c r="AS947">
        <v>0</v>
      </c>
      <c r="AT947">
        <v>0</v>
      </c>
      <c r="AU947">
        <v>0</v>
      </c>
      <c r="AV947">
        <v>0</v>
      </c>
      <c r="AW947">
        <v>0</v>
      </c>
      <c r="AX947">
        <v>1</v>
      </c>
      <c r="AY947">
        <v>0</v>
      </c>
    </row>
    <row r="948" spans="1:51" x14ac:dyDescent="0.25">
      <c r="A948">
        <v>1</v>
      </c>
      <c r="B948">
        <v>29020</v>
      </c>
      <c r="C948" t="s">
        <v>735</v>
      </c>
      <c r="D948" t="s">
        <v>96</v>
      </c>
      <c r="E948" t="s">
        <v>100</v>
      </c>
      <c r="F948" t="s">
        <v>107</v>
      </c>
      <c r="G948" t="s">
        <v>101</v>
      </c>
      <c r="H948" t="s">
        <v>78</v>
      </c>
      <c r="I948" t="s">
        <v>79</v>
      </c>
      <c r="J948" t="s">
        <v>70</v>
      </c>
      <c r="K948" t="s">
        <v>102</v>
      </c>
      <c r="L948" t="s">
        <v>76</v>
      </c>
      <c r="M948" t="s">
        <v>103</v>
      </c>
      <c r="N948" t="s">
        <v>74</v>
      </c>
      <c r="O948" t="s">
        <v>104</v>
      </c>
      <c r="P948" t="s">
        <v>71</v>
      </c>
      <c r="Q948" t="s">
        <v>110</v>
      </c>
      <c r="R948" t="s">
        <v>71</v>
      </c>
      <c r="S948">
        <v>0</v>
      </c>
      <c r="T948">
        <v>0</v>
      </c>
      <c r="U948" t="s">
        <v>72</v>
      </c>
      <c r="V948" t="s">
        <v>73</v>
      </c>
      <c r="W948">
        <v>0</v>
      </c>
      <c r="X948">
        <v>0</v>
      </c>
      <c r="Y948">
        <v>0</v>
      </c>
      <c r="Z948">
        <v>0</v>
      </c>
      <c r="AA948">
        <v>0</v>
      </c>
      <c r="AB948">
        <v>0</v>
      </c>
      <c r="AC948">
        <v>0</v>
      </c>
      <c r="AD948">
        <v>0</v>
      </c>
      <c r="AE948">
        <v>0</v>
      </c>
      <c r="AF948">
        <v>0</v>
      </c>
      <c r="AG948" t="s">
        <v>110</v>
      </c>
      <c r="AH948">
        <v>0</v>
      </c>
      <c r="AI948">
        <v>0</v>
      </c>
      <c r="AJ948">
        <v>0</v>
      </c>
      <c r="AK948">
        <v>0</v>
      </c>
      <c r="AL948" t="s">
        <v>108</v>
      </c>
      <c r="AM948" t="s">
        <v>93</v>
      </c>
      <c r="AN948" t="s">
        <v>94</v>
      </c>
      <c r="AO948" t="s">
        <v>92</v>
      </c>
      <c r="AP948">
        <v>0</v>
      </c>
      <c r="AQ948">
        <v>0</v>
      </c>
      <c r="AR948">
        <v>0</v>
      </c>
      <c r="AS948">
        <v>0</v>
      </c>
      <c r="AT948">
        <v>0</v>
      </c>
      <c r="AU948">
        <v>0</v>
      </c>
      <c r="AV948">
        <v>0</v>
      </c>
      <c r="AW948">
        <v>0</v>
      </c>
      <c r="AX948">
        <v>1</v>
      </c>
      <c r="AY948">
        <v>0</v>
      </c>
    </row>
    <row r="949" spans="1:51" x14ac:dyDescent="0.25">
      <c r="A949">
        <v>1</v>
      </c>
      <c r="B949">
        <v>29030</v>
      </c>
      <c r="C949" t="s">
        <v>735</v>
      </c>
      <c r="D949" t="s">
        <v>96</v>
      </c>
      <c r="E949" t="s">
        <v>100</v>
      </c>
      <c r="F949" t="s">
        <v>107</v>
      </c>
      <c r="G949" t="s">
        <v>101</v>
      </c>
      <c r="H949" t="s">
        <v>78</v>
      </c>
      <c r="I949" t="s">
        <v>79</v>
      </c>
      <c r="J949" t="s">
        <v>70</v>
      </c>
      <c r="K949" t="s">
        <v>102</v>
      </c>
      <c r="L949" t="s">
        <v>76</v>
      </c>
      <c r="M949" t="s">
        <v>103</v>
      </c>
      <c r="N949" t="s">
        <v>74</v>
      </c>
      <c r="O949" t="s">
        <v>104</v>
      </c>
      <c r="P949" t="s">
        <v>71</v>
      </c>
      <c r="Q949" t="s">
        <v>110</v>
      </c>
      <c r="R949" t="s">
        <v>71</v>
      </c>
      <c r="S949">
        <v>0</v>
      </c>
      <c r="T949">
        <v>0</v>
      </c>
      <c r="U949" t="s">
        <v>72</v>
      </c>
      <c r="V949" t="s">
        <v>73</v>
      </c>
      <c r="W949">
        <v>0</v>
      </c>
      <c r="X949">
        <v>0</v>
      </c>
      <c r="Y949">
        <v>0</v>
      </c>
      <c r="Z949">
        <v>0</v>
      </c>
      <c r="AA949">
        <v>0</v>
      </c>
      <c r="AB949">
        <v>0</v>
      </c>
      <c r="AC949">
        <v>0</v>
      </c>
      <c r="AD949">
        <v>0</v>
      </c>
      <c r="AE949">
        <v>0</v>
      </c>
      <c r="AF949">
        <v>0</v>
      </c>
      <c r="AG949" t="s">
        <v>110</v>
      </c>
      <c r="AH949">
        <v>0</v>
      </c>
      <c r="AI949">
        <v>0</v>
      </c>
      <c r="AJ949">
        <v>0</v>
      </c>
      <c r="AK949">
        <v>0</v>
      </c>
      <c r="AL949" t="s">
        <v>108</v>
      </c>
      <c r="AM949" t="s">
        <v>93</v>
      </c>
      <c r="AN949" t="s">
        <v>94</v>
      </c>
      <c r="AO949" t="s">
        <v>92</v>
      </c>
      <c r="AP949">
        <v>0</v>
      </c>
      <c r="AQ949">
        <v>0</v>
      </c>
      <c r="AR949">
        <v>0</v>
      </c>
      <c r="AS949">
        <v>0</v>
      </c>
      <c r="AT949">
        <v>0</v>
      </c>
      <c r="AU949">
        <v>0</v>
      </c>
      <c r="AV949">
        <v>0</v>
      </c>
      <c r="AW949">
        <v>0</v>
      </c>
      <c r="AX949">
        <v>1</v>
      </c>
      <c r="AY949">
        <v>0</v>
      </c>
    </row>
    <row r="950" spans="1:51" x14ac:dyDescent="0.25">
      <c r="A950">
        <v>1</v>
      </c>
      <c r="B950">
        <v>29040</v>
      </c>
      <c r="C950" t="s">
        <v>735</v>
      </c>
      <c r="D950" t="s">
        <v>96</v>
      </c>
      <c r="E950" t="s">
        <v>100</v>
      </c>
      <c r="F950" t="s">
        <v>107</v>
      </c>
      <c r="G950" t="s">
        <v>101</v>
      </c>
      <c r="H950" t="s">
        <v>78</v>
      </c>
      <c r="I950" t="s">
        <v>79</v>
      </c>
      <c r="J950" t="s">
        <v>70</v>
      </c>
      <c r="K950" t="s">
        <v>102</v>
      </c>
      <c r="L950" t="s">
        <v>76</v>
      </c>
      <c r="M950" t="s">
        <v>103</v>
      </c>
      <c r="N950" t="s">
        <v>74</v>
      </c>
      <c r="O950" t="s">
        <v>104</v>
      </c>
      <c r="P950" t="s">
        <v>71</v>
      </c>
      <c r="Q950" t="s">
        <v>110</v>
      </c>
      <c r="R950" t="s">
        <v>71</v>
      </c>
      <c r="S950">
        <v>0</v>
      </c>
      <c r="T950">
        <v>0</v>
      </c>
      <c r="U950" t="s">
        <v>72</v>
      </c>
      <c r="V950" t="s">
        <v>73</v>
      </c>
      <c r="W950">
        <v>0</v>
      </c>
      <c r="X950">
        <v>0</v>
      </c>
      <c r="Y950">
        <v>0</v>
      </c>
      <c r="Z950">
        <v>0</v>
      </c>
      <c r="AA950">
        <v>0</v>
      </c>
      <c r="AB950">
        <v>0</v>
      </c>
      <c r="AC950">
        <v>0</v>
      </c>
      <c r="AD950">
        <v>0</v>
      </c>
      <c r="AE950">
        <v>0</v>
      </c>
      <c r="AF950">
        <v>0</v>
      </c>
      <c r="AG950" t="s">
        <v>110</v>
      </c>
      <c r="AH950">
        <v>0</v>
      </c>
      <c r="AI950">
        <v>0</v>
      </c>
      <c r="AJ950">
        <v>0</v>
      </c>
      <c r="AK950">
        <v>0</v>
      </c>
      <c r="AL950" t="s">
        <v>99</v>
      </c>
      <c r="AM950" t="s">
        <v>93</v>
      </c>
      <c r="AN950" t="s">
        <v>94</v>
      </c>
      <c r="AO950" t="s">
        <v>92</v>
      </c>
      <c r="AP950">
        <v>0</v>
      </c>
      <c r="AQ950">
        <v>0</v>
      </c>
      <c r="AR950">
        <v>0</v>
      </c>
      <c r="AS950">
        <v>0</v>
      </c>
      <c r="AT950">
        <v>0</v>
      </c>
      <c r="AU950">
        <v>0</v>
      </c>
      <c r="AV950">
        <v>0</v>
      </c>
      <c r="AW950">
        <v>0</v>
      </c>
      <c r="AX950">
        <v>0</v>
      </c>
      <c r="AY950">
        <v>0</v>
      </c>
    </row>
    <row r="951" spans="1:51" x14ac:dyDescent="0.25">
      <c r="A951">
        <v>0</v>
      </c>
      <c r="C951" t="s">
        <v>735</v>
      </c>
      <c r="D951" t="s">
        <v>736</v>
      </c>
      <c r="E951" t="s">
        <v>736</v>
      </c>
      <c r="F951" t="s">
        <v>736</v>
      </c>
      <c r="G951" t="s">
        <v>736</v>
      </c>
      <c r="H951" t="s">
        <v>736</v>
      </c>
      <c r="I951" t="s">
        <v>736</v>
      </c>
      <c r="J951" t="s">
        <v>736</v>
      </c>
      <c r="K951" t="s">
        <v>736</v>
      </c>
      <c r="L951" t="s">
        <v>736</v>
      </c>
      <c r="M951" t="s">
        <v>736</v>
      </c>
      <c r="N951" t="s">
        <v>736</v>
      </c>
      <c r="O951" t="s">
        <v>736</v>
      </c>
      <c r="P951" t="s">
        <v>736</v>
      </c>
      <c r="Q951" t="s">
        <v>736</v>
      </c>
      <c r="R951" t="s">
        <v>736</v>
      </c>
      <c r="S951" t="s">
        <v>736</v>
      </c>
      <c r="T951" t="s">
        <v>736</v>
      </c>
      <c r="U951" t="s">
        <v>736</v>
      </c>
      <c r="V951" t="s">
        <v>736</v>
      </c>
      <c r="W951" t="s">
        <v>736</v>
      </c>
      <c r="X951" t="s">
        <v>736</v>
      </c>
      <c r="Y951" t="s">
        <v>736</v>
      </c>
      <c r="Z951" t="s">
        <v>736</v>
      </c>
      <c r="AA951" t="s">
        <v>736</v>
      </c>
      <c r="AB951" t="s">
        <v>736</v>
      </c>
      <c r="AC951" t="s">
        <v>736</v>
      </c>
      <c r="AD951" t="s">
        <v>736</v>
      </c>
      <c r="AE951" t="s">
        <v>736</v>
      </c>
      <c r="AF951" t="s">
        <v>736</v>
      </c>
      <c r="AG951" t="s">
        <v>736</v>
      </c>
      <c r="AH951" t="s">
        <v>736</v>
      </c>
      <c r="AI951" t="s">
        <v>736</v>
      </c>
      <c r="AJ951" t="s">
        <v>736</v>
      </c>
      <c r="AK951" t="s">
        <v>736</v>
      </c>
      <c r="AL951" t="s">
        <v>736</v>
      </c>
      <c r="AM951" t="s">
        <v>736</v>
      </c>
      <c r="AN951" t="s">
        <v>736</v>
      </c>
      <c r="AO951" t="s">
        <v>736</v>
      </c>
      <c r="AP951" t="s">
        <v>736</v>
      </c>
      <c r="AQ951" t="s">
        <v>736</v>
      </c>
      <c r="AR951" t="s">
        <v>736</v>
      </c>
      <c r="AS951" t="s">
        <v>736</v>
      </c>
      <c r="AT951" t="s">
        <v>736</v>
      </c>
      <c r="AU951" t="s">
        <v>736</v>
      </c>
      <c r="AV951" t="s">
        <v>736</v>
      </c>
      <c r="AW951" t="s">
        <v>736</v>
      </c>
      <c r="AX951" t="s">
        <v>736</v>
      </c>
      <c r="AY951" t="s">
        <v>736</v>
      </c>
    </row>
    <row r="952" spans="1:51" x14ac:dyDescent="0.25">
      <c r="A952">
        <v>3</v>
      </c>
      <c r="B952">
        <v>10</v>
      </c>
      <c r="C952" t="s">
        <v>735</v>
      </c>
      <c r="D952" t="s">
        <v>96</v>
      </c>
      <c r="E952" t="s">
        <v>100</v>
      </c>
      <c r="F952" t="s">
        <v>107</v>
      </c>
      <c r="G952" t="s">
        <v>101</v>
      </c>
      <c r="H952" t="s">
        <v>78</v>
      </c>
      <c r="I952" t="s">
        <v>79</v>
      </c>
      <c r="J952" t="s">
        <v>70</v>
      </c>
      <c r="K952" t="s">
        <v>102</v>
      </c>
      <c r="L952" t="s">
        <v>76</v>
      </c>
      <c r="M952" t="s">
        <v>103</v>
      </c>
      <c r="N952" t="s">
        <v>74</v>
      </c>
      <c r="O952" t="s">
        <v>104</v>
      </c>
      <c r="P952" t="s">
        <v>71</v>
      </c>
      <c r="Q952" t="s">
        <v>110</v>
      </c>
      <c r="R952" t="s">
        <v>71</v>
      </c>
      <c r="S952">
        <v>0</v>
      </c>
      <c r="T952">
        <v>0</v>
      </c>
      <c r="U952" t="s">
        <v>72</v>
      </c>
      <c r="V952" t="s">
        <v>73</v>
      </c>
      <c r="W952">
        <v>0</v>
      </c>
      <c r="X952">
        <v>0</v>
      </c>
      <c r="Y952">
        <v>0</v>
      </c>
      <c r="Z952">
        <v>0</v>
      </c>
      <c r="AA952">
        <v>0</v>
      </c>
      <c r="AB952">
        <v>0</v>
      </c>
      <c r="AC952">
        <v>0</v>
      </c>
      <c r="AD952">
        <v>0</v>
      </c>
      <c r="AE952">
        <v>0</v>
      </c>
      <c r="AF952">
        <v>0</v>
      </c>
      <c r="AG952" t="s">
        <v>71</v>
      </c>
      <c r="AH952">
        <v>0</v>
      </c>
      <c r="AI952">
        <v>0</v>
      </c>
      <c r="AJ952">
        <v>0</v>
      </c>
      <c r="AK952">
        <v>0</v>
      </c>
      <c r="AL952" t="s">
        <v>91</v>
      </c>
      <c r="AM952" t="s">
        <v>93</v>
      </c>
      <c r="AN952" t="s">
        <v>94</v>
      </c>
      <c r="AO952" t="s">
        <v>92</v>
      </c>
      <c r="AP952">
        <v>0</v>
      </c>
      <c r="AQ952">
        <v>0</v>
      </c>
      <c r="AR952">
        <v>0</v>
      </c>
      <c r="AS952">
        <v>0</v>
      </c>
      <c r="AT952">
        <v>0</v>
      </c>
      <c r="AU952">
        <v>0</v>
      </c>
      <c r="AV952">
        <v>0</v>
      </c>
      <c r="AW952">
        <v>0</v>
      </c>
      <c r="AX952">
        <v>0</v>
      </c>
      <c r="AY952">
        <v>0</v>
      </c>
    </row>
    <row r="953" spans="1:51" x14ac:dyDescent="0.25">
      <c r="A953">
        <v>3</v>
      </c>
      <c r="B953">
        <v>5020</v>
      </c>
      <c r="C953" t="s">
        <v>735</v>
      </c>
      <c r="D953" t="s">
        <v>96</v>
      </c>
      <c r="E953" t="s">
        <v>100</v>
      </c>
      <c r="F953" t="s">
        <v>107</v>
      </c>
      <c r="G953" t="s">
        <v>101</v>
      </c>
      <c r="H953" t="s">
        <v>78</v>
      </c>
      <c r="I953" t="s">
        <v>79</v>
      </c>
      <c r="J953" t="s">
        <v>70</v>
      </c>
      <c r="K953" t="s">
        <v>102</v>
      </c>
      <c r="L953" t="s">
        <v>76</v>
      </c>
      <c r="M953" t="s">
        <v>103</v>
      </c>
      <c r="N953" t="s">
        <v>74</v>
      </c>
      <c r="O953" t="s">
        <v>104</v>
      </c>
      <c r="P953" t="s">
        <v>71</v>
      </c>
      <c r="Q953" t="s">
        <v>110</v>
      </c>
      <c r="R953" t="s">
        <v>71</v>
      </c>
      <c r="S953">
        <v>0</v>
      </c>
      <c r="T953">
        <v>0</v>
      </c>
      <c r="U953" t="s">
        <v>72</v>
      </c>
      <c r="V953" t="s">
        <v>73</v>
      </c>
      <c r="W953">
        <v>0</v>
      </c>
      <c r="X953">
        <v>0</v>
      </c>
      <c r="Y953">
        <v>0</v>
      </c>
      <c r="Z953">
        <v>0</v>
      </c>
      <c r="AA953">
        <v>0</v>
      </c>
      <c r="AB953">
        <v>0</v>
      </c>
      <c r="AC953">
        <v>0</v>
      </c>
      <c r="AD953">
        <v>0</v>
      </c>
      <c r="AE953">
        <v>0</v>
      </c>
      <c r="AF953">
        <v>0</v>
      </c>
      <c r="AG953" t="s">
        <v>71</v>
      </c>
      <c r="AH953">
        <v>0</v>
      </c>
      <c r="AI953">
        <v>0</v>
      </c>
      <c r="AJ953">
        <v>0</v>
      </c>
      <c r="AK953">
        <v>0</v>
      </c>
      <c r="AL953" t="s">
        <v>108</v>
      </c>
      <c r="AM953" t="s">
        <v>93</v>
      </c>
      <c r="AN953" t="s">
        <v>94</v>
      </c>
      <c r="AO953" t="s">
        <v>92</v>
      </c>
      <c r="AP953">
        <v>0</v>
      </c>
      <c r="AQ953">
        <v>0</v>
      </c>
      <c r="AR953">
        <v>0</v>
      </c>
      <c r="AS953">
        <v>0</v>
      </c>
      <c r="AT953">
        <v>0</v>
      </c>
      <c r="AU953">
        <v>0</v>
      </c>
      <c r="AV953">
        <v>0</v>
      </c>
      <c r="AW953">
        <v>0</v>
      </c>
      <c r="AX953">
        <v>1</v>
      </c>
      <c r="AY953">
        <v>0</v>
      </c>
    </row>
    <row r="954" spans="1:51" x14ac:dyDescent="0.25">
      <c r="A954">
        <v>3</v>
      </c>
      <c r="B954">
        <v>5030</v>
      </c>
      <c r="C954" t="s">
        <v>735</v>
      </c>
      <c r="D954" t="s">
        <v>96</v>
      </c>
      <c r="E954" t="s">
        <v>100</v>
      </c>
      <c r="F954" t="s">
        <v>107</v>
      </c>
      <c r="G954" t="s">
        <v>101</v>
      </c>
      <c r="H954" t="s">
        <v>78</v>
      </c>
      <c r="I954" t="s">
        <v>79</v>
      </c>
      <c r="J954" t="s">
        <v>70</v>
      </c>
      <c r="K954" t="s">
        <v>102</v>
      </c>
      <c r="L954" t="s">
        <v>76</v>
      </c>
      <c r="M954" t="s">
        <v>103</v>
      </c>
      <c r="N954" t="s">
        <v>74</v>
      </c>
      <c r="O954" t="s">
        <v>104</v>
      </c>
      <c r="P954" t="s">
        <v>71</v>
      </c>
      <c r="Q954" t="s">
        <v>110</v>
      </c>
      <c r="R954" t="s">
        <v>71</v>
      </c>
      <c r="S954">
        <v>0</v>
      </c>
      <c r="T954">
        <v>0</v>
      </c>
      <c r="U954" t="s">
        <v>72</v>
      </c>
      <c r="V954" t="s">
        <v>73</v>
      </c>
      <c r="W954">
        <v>0</v>
      </c>
      <c r="X954">
        <v>0</v>
      </c>
      <c r="Y954">
        <v>0</v>
      </c>
      <c r="Z954">
        <v>0</v>
      </c>
      <c r="AA954">
        <v>0</v>
      </c>
      <c r="AB954">
        <v>0</v>
      </c>
      <c r="AC954">
        <v>0</v>
      </c>
      <c r="AD954">
        <v>0</v>
      </c>
      <c r="AE954">
        <v>0</v>
      </c>
      <c r="AF954">
        <v>0</v>
      </c>
      <c r="AG954" t="s">
        <v>110</v>
      </c>
      <c r="AH954">
        <v>0</v>
      </c>
      <c r="AI954">
        <v>1</v>
      </c>
      <c r="AJ954">
        <v>0</v>
      </c>
      <c r="AK954">
        <v>0.1</v>
      </c>
      <c r="AL954" t="s">
        <v>108</v>
      </c>
      <c r="AM954" t="s">
        <v>93</v>
      </c>
      <c r="AN954" t="s">
        <v>94</v>
      </c>
      <c r="AO954" t="s">
        <v>92</v>
      </c>
      <c r="AP954">
        <v>0</v>
      </c>
      <c r="AQ954">
        <v>0</v>
      </c>
      <c r="AR954">
        <v>0</v>
      </c>
      <c r="AS954">
        <v>0</v>
      </c>
      <c r="AT954">
        <v>0</v>
      </c>
      <c r="AU954">
        <v>0</v>
      </c>
      <c r="AV954">
        <v>0</v>
      </c>
      <c r="AW954">
        <v>0</v>
      </c>
      <c r="AX954">
        <v>1</v>
      </c>
      <c r="AY954">
        <v>0</v>
      </c>
    </row>
    <row r="955" spans="1:51" x14ac:dyDescent="0.25">
      <c r="A955">
        <v>3</v>
      </c>
      <c r="B955">
        <v>5040</v>
      </c>
      <c r="C955" t="s">
        <v>735</v>
      </c>
      <c r="D955" t="s">
        <v>96</v>
      </c>
      <c r="E955" t="s">
        <v>100</v>
      </c>
      <c r="F955" t="s">
        <v>107</v>
      </c>
      <c r="G955" t="s">
        <v>101</v>
      </c>
      <c r="H955" t="s">
        <v>78</v>
      </c>
      <c r="I955" t="s">
        <v>79</v>
      </c>
      <c r="J955" t="s">
        <v>70</v>
      </c>
      <c r="K955" t="s">
        <v>102</v>
      </c>
      <c r="L955" t="s">
        <v>76</v>
      </c>
      <c r="M955" t="s">
        <v>103</v>
      </c>
      <c r="N955" t="s">
        <v>74</v>
      </c>
      <c r="O955" t="s">
        <v>104</v>
      </c>
      <c r="P955" t="s">
        <v>71</v>
      </c>
      <c r="Q955" t="s">
        <v>110</v>
      </c>
      <c r="R955" t="s">
        <v>71</v>
      </c>
      <c r="S955">
        <v>0</v>
      </c>
      <c r="T955">
        <v>0</v>
      </c>
      <c r="U955" t="s">
        <v>72</v>
      </c>
      <c r="V955" t="s">
        <v>73</v>
      </c>
      <c r="W955">
        <v>0</v>
      </c>
      <c r="X955">
        <v>0</v>
      </c>
      <c r="Y955">
        <v>0</v>
      </c>
      <c r="Z955">
        <v>0</v>
      </c>
      <c r="AA955">
        <v>0</v>
      </c>
      <c r="AB955">
        <v>0</v>
      </c>
      <c r="AC955">
        <v>0</v>
      </c>
      <c r="AD955">
        <v>0</v>
      </c>
      <c r="AE955">
        <v>0</v>
      </c>
      <c r="AF955">
        <v>0</v>
      </c>
      <c r="AG955" t="s">
        <v>110</v>
      </c>
      <c r="AH955">
        <v>1</v>
      </c>
      <c r="AI955">
        <v>1</v>
      </c>
      <c r="AJ955">
        <v>1</v>
      </c>
      <c r="AK955">
        <v>0.1</v>
      </c>
      <c r="AL955" t="s">
        <v>108</v>
      </c>
      <c r="AM955" t="s">
        <v>93</v>
      </c>
      <c r="AN955" t="s">
        <v>94</v>
      </c>
      <c r="AO955" t="s">
        <v>92</v>
      </c>
      <c r="AP955">
        <v>0</v>
      </c>
      <c r="AQ955">
        <v>0</v>
      </c>
      <c r="AR955">
        <v>0</v>
      </c>
      <c r="AS955">
        <v>0</v>
      </c>
      <c r="AT955">
        <v>0</v>
      </c>
      <c r="AU955">
        <v>0</v>
      </c>
      <c r="AV955">
        <v>0</v>
      </c>
      <c r="AW955">
        <v>0</v>
      </c>
      <c r="AX955">
        <v>1</v>
      </c>
      <c r="AY955">
        <v>0</v>
      </c>
    </row>
    <row r="956" spans="1:51" x14ac:dyDescent="0.25">
      <c r="A956">
        <v>3</v>
      </c>
      <c r="B956">
        <v>5050</v>
      </c>
      <c r="C956" t="s">
        <v>735</v>
      </c>
      <c r="D956" t="s">
        <v>96</v>
      </c>
      <c r="E956" t="s">
        <v>100</v>
      </c>
      <c r="F956" t="s">
        <v>107</v>
      </c>
      <c r="G956" t="s">
        <v>101</v>
      </c>
      <c r="H956" t="s">
        <v>78</v>
      </c>
      <c r="I956" t="s">
        <v>79</v>
      </c>
      <c r="J956" t="s">
        <v>70</v>
      </c>
      <c r="K956" t="s">
        <v>102</v>
      </c>
      <c r="L956" t="s">
        <v>76</v>
      </c>
      <c r="M956" t="s">
        <v>103</v>
      </c>
      <c r="N956" t="s">
        <v>74</v>
      </c>
      <c r="O956" t="s">
        <v>104</v>
      </c>
      <c r="P956" t="s">
        <v>71</v>
      </c>
      <c r="Q956" t="s">
        <v>110</v>
      </c>
      <c r="R956" t="s">
        <v>71</v>
      </c>
      <c r="S956">
        <v>0</v>
      </c>
      <c r="T956">
        <v>0</v>
      </c>
      <c r="U956" t="s">
        <v>72</v>
      </c>
      <c r="V956" t="s">
        <v>73</v>
      </c>
      <c r="W956">
        <v>0</v>
      </c>
      <c r="X956">
        <v>0</v>
      </c>
      <c r="Y956">
        <v>0</v>
      </c>
      <c r="Z956">
        <v>0</v>
      </c>
      <c r="AA956">
        <v>0</v>
      </c>
      <c r="AB956">
        <v>0</v>
      </c>
      <c r="AC956">
        <v>0</v>
      </c>
      <c r="AD956">
        <v>0</v>
      </c>
      <c r="AE956">
        <v>0</v>
      </c>
      <c r="AF956">
        <v>0</v>
      </c>
      <c r="AG956" t="s">
        <v>110</v>
      </c>
      <c r="AH956">
        <v>1</v>
      </c>
      <c r="AI956">
        <v>1</v>
      </c>
      <c r="AJ956">
        <v>1</v>
      </c>
      <c r="AK956">
        <v>0.1</v>
      </c>
      <c r="AL956" t="s">
        <v>108</v>
      </c>
      <c r="AM956" t="s">
        <v>93</v>
      </c>
      <c r="AN956" t="s">
        <v>94</v>
      </c>
      <c r="AO956" t="s">
        <v>92</v>
      </c>
      <c r="AP956">
        <v>0</v>
      </c>
      <c r="AQ956">
        <v>0</v>
      </c>
      <c r="AR956">
        <v>0</v>
      </c>
      <c r="AS956">
        <v>0</v>
      </c>
      <c r="AT956">
        <v>0</v>
      </c>
      <c r="AU956">
        <v>0</v>
      </c>
      <c r="AV956">
        <v>0</v>
      </c>
      <c r="AW956">
        <v>0</v>
      </c>
      <c r="AX956">
        <v>1</v>
      </c>
      <c r="AY956">
        <v>0</v>
      </c>
    </row>
    <row r="957" spans="1:51" x14ac:dyDescent="0.25">
      <c r="A957">
        <v>3</v>
      </c>
      <c r="B957">
        <v>8020</v>
      </c>
      <c r="C957" t="s">
        <v>735</v>
      </c>
      <c r="D957" t="s">
        <v>96</v>
      </c>
      <c r="E957" t="s">
        <v>100</v>
      </c>
      <c r="F957" t="s">
        <v>107</v>
      </c>
      <c r="G957" t="s">
        <v>101</v>
      </c>
      <c r="H957" t="s">
        <v>78</v>
      </c>
      <c r="I957" t="s">
        <v>79</v>
      </c>
      <c r="J957" t="s">
        <v>70</v>
      </c>
      <c r="K957" t="s">
        <v>102</v>
      </c>
      <c r="L957" t="s">
        <v>76</v>
      </c>
      <c r="M957" t="s">
        <v>103</v>
      </c>
      <c r="N957" t="s">
        <v>74</v>
      </c>
      <c r="O957" t="s">
        <v>104</v>
      </c>
      <c r="P957" t="s">
        <v>71</v>
      </c>
      <c r="Q957" t="s">
        <v>110</v>
      </c>
      <c r="R957" t="s">
        <v>71</v>
      </c>
      <c r="S957">
        <v>0</v>
      </c>
      <c r="T957">
        <v>0</v>
      </c>
      <c r="U957" t="s">
        <v>72</v>
      </c>
      <c r="V957" t="s">
        <v>73</v>
      </c>
      <c r="W957">
        <v>0</v>
      </c>
      <c r="X957">
        <v>0</v>
      </c>
      <c r="Y957">
        <v>0</v>
      </c>
      <c r="Z957">
        <v>0</v>
      </c>
      <c r="AA957">
        <v>0</v>
      </c>
      <c r="AB957">
        <v>0</v>
      </c>
      <c r="AC957">
        <v>0</v>
      </c>
      <c r="AD957">
        <v>0</v>
      </c>
      <c r="AE957">
        <v>0</v>
      </c>
      <c r="AF957">
        <v>0</v>
      </c>
      <c r="AG957" t="s">
        <v>110</v>
      </c>
      <c r="AH957">
        <v>1</v>
      </c>
      <c r="AI957">
        <v>1</v>
      </c>
      <c r="AJ957">
        <v>1</v>
      </c>
      <c r="AK957">
        <v>0.1</v>
      </c>
      <c r="AL957" t="s">
        <v>108</v>
      </c>
      <c r="AM957" t="s">
        <v>93</v>
      </c>
      <c r="AN957" t="s">
        <v>94</v>
      </c>
      <c r="AO957" t="s">
        <v>92</v>
      </c>
      <c r="AP957">
        <v>0</v>
      </c>
      <c r="AQ957">
        <v>0</v>
      </c>
      <c r="AR957">
        <v>0</v>
      </c>
      <c r="AS957">
        <v>0</v>
      </c>
      <c r="AT957">
        <v>0</v>
      </c>
      <c r="AU957">
        <v>0</v>
      </c>
      <c r="AV957">
        <v>0</v>
      </c>
      <c r="AW957">
        <v>0</v>
      </c>
      <c r="AX957">
        <v>1</v>
      </c>
      <c r="AY957">
        <v>0</v>
      </c>
    </row>
    <row r="958" spans="1:51" x14ac:dyDescent="0.25">
      <c r="A958">
        <v>3</v>
      </c>
      <c r="B958">
        <v>8030</v>
      </c>
      <c r="C958" t="s">
        <v>735</v>
      </c>
      <c r="D958" t="s">
        <v>96</v>
      </c>
      <c r="E958" t="s">
        <v>100</v>
      </c>
      <c r="F958" t="s">
        <v>107</v>
      </c>
      <c r="G958" t="s">
        <v>101</v>
      </c>
      <c r="H958" t="s">
        <v>78</v>
      </c>
      <c r="I958" t="s">
        <v>79</v>
      </c>
      <c r="J958" t="s">
        <v>70</v>
      </c>
      <c r="K958" t="s">
        <v>102</v>
      </c>
      <c r="L958" t="s">
        <v>76</v>
      </c>
      <c r="M958" t="s">
        <v>103</v>
      </c>
      <c r="N958" t="s">
        <v>74</v>
      </c>
      <c r="O958" t="s">
        <v>104</v>
      </c>
      <c r="P958" t="s">
        <v>71</v>
      </c>
      <c r="Q958" t="s">
        <v>110</v>
      </c>
      <c r="R958" t="s">
        <v>71</v>
      </c>
      <c r="S958">
        <v>0</v>
      </c>
      <c r="T958">
        <v>0</v>
      </c>
      <c r="U958" t="s">
        <v>72</v>
      </c>
      <c r="V958" t="s">
        <v>73</v>
      </c>
      <c r="W958">
        <v>0</v>
      </c>
      <c r="X958">
        <v>0</v>
      </c>
      <c r="Y958">
        <v>0</v>
      </c>
      <c r="Z958">
        <v>0</v>
      </c>
      <c r="AA958">
        <v>0</v>
      </c>
      <c r="AB958">
        <v>0</v>
      </c>
      <c r="AC958">
        <v>0</v>
      </c>
      <c r="AD958">
        <v>0</v>
      </c>
      <c r="AE958">
        <v>0</v>
      </c>
      <c r="AF958">
        <v>0</v>
      </c>
      <c r="AG958" t="s">
        <v>110</v>
      </c>
      <c r="AH958">
        <v>1</v>
      </c>
      <c r="AI958">
        <v>1</v>
      </c>
      <c r="AJ958">
        <v>1</v>
      </c>
      <c r="AK958">
        <v>0.1</v>
      </c>
      <c r="AL958" t="s">
        <v>108</v>
      </c>
      <c r="AM958" t="s">
        <v>93</v>
      </c>
      <c r="AN958" t="s">
        <v>94</v>
      </c>
      <c r="AO958" t="s">
        <v>92</v>
      </c>
      <c r="AP958">
        <v>0</v>
      </c>
      <c r="AQ958">
        <v>0</v>
      </c>
      <c r="AR958">
        <v>0</v>
      </c>
      <c r="AS958">
        <v>0</v>
      </c>
      <c r="AT958">
        <v>0</v>
      </c>
      <c r="AU958">
        <v>0</v>
      </c>
      <c r="AV958">
        <v>0</v>
      </c>
      <c r="AW958">
        <v>0</v>
      </c>
      <c r="AX958">
        <v>1</v>
      </c>
      <c r="AY958">
        <v>0</v>
      </c>
    </row>
    <row r="959" spans="1:51" x14ac:dyDescent="0.25">
      <c r="A959">
        <v>3</v>
      </c>
      <c r="B959">
        <v>8040</v>
      </c>
      <c r="C959" t="s">
        <v>735</v>
      </c>
      <c r="D959" t="s">
        <v>96</v>
      </c>
      <c r="E959" t="s">
        <v>100</v>
      </c>
      <c r="F959" t="s">
        <v>107</v>
      </c>
      <c r="G959" t="s">
        <v>101</v>
      </c>
      <c r="H959" t="s">
        <v>78</v>
      </c>
      <c r="I959" t="s">
        <v>79</v>
      </c>
      <c r="J959" t="s">
        <v>70</v>
      </c>
      <c r="K959" t="s">
        <v>102</v>
      </c>
      <c r="L959" t="s">
        <v>76</v>
      </c>
      <c r="M959" t="s">
        <v>103</v>
      </c>
      <c r="N959" t="s">
        <v>74</v>
      </c>
      <c r="O959" t="s">
        <v>104</v>
      </c>
      <c r="P959" t="s">
        <v>71</v>
      </c>
      <c r="Q959" t="s">
        <v>110</v>
      </c>
      <c r="R959" t="s">
        <v>71</v>
      </c>
      <c r="S959">
        <v>0</v>
      </c>
      <c r="T959">
        <v>0</v>
      </c>
      <c r="U959" t="s">
        <v>72</v>
      </c>
      <c r="V959" t="s">
        <v>73</v>
      </c>
      <c r="W959">
        <v>0</v>
      </c>
      <c r="X959">
        <v>0</v>
      </c>
      <c r="Y959">
        <v>0</v>
      </c>
      <c r="Z959">
        <v>0</v>
      </c>
      <c r="AA959">
        <v>0</v>
      </c>
      <c r="AB959">
        <v>0</v>
      </c>
      <c r="AC959">
        <v>0</v>
      </c>
      <c r="AD959">
        <v>0</v>
      </c>
      <c r="AE959">
        <v>0</v>
      </c>
      <c r="AF959">
        <v>0</v>
      </c>
      <c r="AG959" t="s">
        <v>110</v>
      </c>
      <c r="AH959">
        <v>1</v>
      </c>
      <c r="AI959">
        <v>1</v>
      </c>
      <c r="AJ959">
        <v>1</v>
      </c>
      <c r="AK959">
        <v>0.1</v>
      </c>
      <c r="AL959" t="s">
        <v>99</v>
      </c>
      <c r="AM959" t="s">
        <v>93</v>
      </c>
      <c r="AN959" t="s">
        <v>94</v>
      </c>
      <c r="AO959" t="s">
        <v>92</v>
      </c>
      <c r="AP959">
        <v>0</v>
      </c>
      <c r="AQ959">
        <v>0</v>
      </c>
      <c r="AR959">
        <v>0</v>
      </c>
      <c r="AS959">
        <v>0</v>
      </c>
      <c r="AT959">
        <v>0</v>
      </c>
      <c r="AU959">
        <v>0</v>
      </c>
      <c r="AV959">
        <v>0</v>
      </c>
      <c r="AW959">
        <v>0</v>
      </c>
      <c r="AX959">
        <v>0</v>
      </c>
      <c r="AY959">
        <v>0</v>
      </c>
    </row>
    <row r="960" spans="1:51" x14ac:dyDescent="0.25">
      <c r="A960">
        <v>3</v>
      </c>
      <c r="B960">
        <v>8050</v>
      </c>
      <c r="C960" t="s">
        <v>735</v>
      </c>
      <c r="D960" t="s">
        <v>96</v>
      </c>
      <c r="E960" t="s">
        <v>100</v>
      </c>
      <c r="F960" t="s">
        <v>107</v>
      </c>
      <c r="G960" t="s">
        <v>101</v>
      </c>
      <c r="H960" t="s">
        <v>78</v>
      </c>
      <c r="I960" t="s">
        <v>79</v>
      </c>
      <c r="J960" t="s">
        <v>70</v>
      </c>
      <c r="K960" t="s">
        <v>102</v>
      </c>
      <c r="L960" t="s">
        <v>76</v>
      </c>
      <c r="M960" t="s">
        <v>103</v>
      </c>
      <c r="N960" t="s">
        <v>74</v>
      </c>
      <c r="O960" t="s">
        <v>104</v>
      </c>
      <c r="P960" t="s">
        <v>71</v>
      </c>
      <c r="Q960" t="s">
        <v>110</v>
      </c>
      <c r="R960" t="s">
        <v>71</v>
      </c>
      <c r="S960">
        <v>0</v>
      </c>
      <c r="T960">
        <v>0</v>
      </c>
      <c r="U960" t="s">
        <v>72</v>
      </c>
      <c r="V960" t="s">
        <v>73</v>
      </c>
      <c r="W960">
        <v>0</v>
      </c>
      <c r="X960">
        <v>0</v>
      </c>
      <c r="Y960">
        <v>0</v>
      </c>
      <c r="Z960">
        <v>0</v>
      </c>
      <c r="AA960">
        <v>0</v>
      </c>
      <c r="AB960">
        <v>0</v>
      </c>
      <c r="AC960">
        <v>0</v>
      </c>
      <c r="AD960">
        <v>0</v>
      </c>
      <c r="AE960">
        <v>0</v>
      </c>
      <c r="AF960">
        <v>0</v>
      </c>
      <c r="AG960" t="s">
        <v>110</v>
      </c>
      <c r="AH960">
        <v>1</v>
      </c>
      <c r="AI960">
        <v>2</v>
      </c>
      <c r="AJ960">
        <v>1</v>
      </c>
      <c r="AK960">
        <v>0.2</v>
      </c>
      <c r="AL960" t="s">
        <v>99</v>
      </c>
      <c r="AM960" t="s">
        <v>93</v>
      </c>
      <c r="AN960" t="s">
        <v>94</v>
      </c>
      <c r="AO960" t="s">
        <v>92</v>
      </c>
      <c r="AP960">
        <v>0</v>
      </c>
      <c r="AQ960">
        <v>0</v>
      </c>
      <c r="AR960">
        <v>0</v>
      </c>
      <c r="AS960">
        <v>0</v>
      </c>
      <c r="AT960">
        <v>0</v>
      </c>
      <c r="AU960">
        <v>0</v>
      </c>
      <c r="AV960">
        <v>0</v>
      </c>
      <c r="AW960">
        <v>0</v>
      </c>
      <c r="AX960">
        <v>0</v>
      </c>
      <c r="AY960">
        <v>0</v>
      </c>
    </row>
    <row r="961" spans="1:51" x14ac:dyDescent="0.25">
      <c r="A961">
        <v>0</v>
      </c>
      <c r="C961" t="s">
        <v>735</v>
      </c>
      <c r="D961" t="s">
        <v>736</v>
      </c>
      <c r="E961" t="s">
        <v>736</v>
      </c>
      <c r="F961" t="s">
        <v>736</v>
      </c>
      <c r="G961" t="s">
        <v>736</v>
      </c>
      <c r="H961" t="s">
        <v>736</v>
      </c>
      <c r="I961" t="s">
        <v>736</v>
      </c>
      <c r="J961" t="s">
        <v>736</v>
      </c>
      <c r="K961" t="s">
        <v>736</v>
      </c>
      <c r="L961" t="s">
        <v>736</v>
      </c>
      <c r="M961" t="s">
        <v>736</v>
      </c>
      <c r="N961" t="s">
        <v>736</v>
      </c>
      <c r="O961" t="s">
        <v>736</v>
      </c>
      <c r="P961" t="s">
        <v>736</v>
      </c>
      <c r="Q961" t="s">
        <v>736</v>
      </c>
      <c r="R961" t="s">
        <v>736</v>
      </c>
      <c r="S961" t="s">
        <v>736</v>
      </c>
      <c r="T961" t="s">
        <v>736</v>
      </c>
      <c r="U961" t="s">
        <v>736</v>
      </c>
      <c r="V961" t="s">
        <v>736</v>
      </c>
      <c r="W961" t="s">
        <v>736</v>
      </c>
      <c r="X961" t="s">
        <v>736</v>
      </c>
      <c r="Y961" t="s">
        <v>736</v>
      </c>
      <c r="Z961" t="s">
        <v>736</v>
      </c>
      <c r="AA961" t="s">
        <v>736</v>
      </c>
      <c r="AB961" t="s">
        <v>736</v>
      </c>
      <c r="AC961" t="s">
        <v>736</v>
      </c>
      <c r="AD961" t="s">
        <v>736</v>
      </c>
      <c r="AE961" t="s">
        <v>736</v>
      </c>
      <c r="AF961" t="s">
        <v>736</v>
      </c>
      <c r="AG961" t="s">
        <v>736</v>
      </c>
      <c r="AH961" t="s">
        <v>736</v>
      </c>
      <c r="AI961" t="s">
        <v>736</v>
      </c>
      <c r="AJ961" t="s">
        <v>736</v>
      </c>
      <c r="AK961" t="s">
        <v>736</v>
      </c>
      <c r="AL961" t="s">
        <v>736</v>
      </c>
      <c r="AM961" t="s">
        <v>736</v>
      </c>
      <c r="AN961" t="s">
        <v>736</v>
      </c>
      <c r="AO961" t="s">
        <v>736</v>
      </c>
      <c r="AP961" t="s">
        <v>736</v>
      </c>
      <c r="AQ961" t="s">
        <v>736</v>
      </c>
      <c r="AR961" t="s">
        <v>736</v>
      </c>
      <c r="AS961" t="s">
        <v>736</v>
      </c>
      <c r="AT961" t="s">
        <v>736</v>
      </c>
      <c r="AU961" t="s">
        <v>736</v>
      </c>
      <c r="AV961" t="s">
        <v>736</v>
      </c>
      <c r="AW961" t="s">
        <v>736</v>
      </c>
      <c r="AX961" t="s">
        <v>736</v>
      </c>
      <c r="AY961" t="s">
        <v>736</v>
      </c>
    </row>
    <row r="962" spans="1:51" x14ac:dyDescent="0.25">
      <c r="A962">
        <v>4</v>
      </c>
      <c r="B962">
        <v>10</v>
      </c>
      <c r="C962" t="s">
        <v>735</v>
      </c>
      <c r="D962" t="s">
        <v>96</v>
      </c>
      <c r="E962" t="s">
        <v>100</v>
      </c>
      <c r="F962" t="s">
        <v>107</v>
      </c>
      <c r="G962" t="s">
        <v>101</v>
      </c>
      <c r="H962" t="s">
        <v>78</v>
      </c>
      <c r="I962" t="s">
        <v>79</v>
      </c>
      <c r="J962" t="s">
        <v>70</v>
      </c>
      <c r="K962" t="s">
        <v>102</v>
      </c>
      <c r="L962" t="s">
        <v>76</v>
      </c>
      <c r="M962" t="s">
        <v>103</v>
      </c>
      <c r="N962" t="s">
        <v>74</v>
      </c>
      <c r="O962" t="s">
        <v>104</v>
      </c>
      <c r="P962" t="s">
        <v>71</v>
      </c>
      <c r="Q962" t="s">
        <v>110</v>
      </c>
      <c r="R962" t="s">
        <v>71</v>
      </c>
      <c r="S962">
        <v>0</v>
      </c>
      <c r="T962">
        <v>0</v>
      </c>
      <c r="U962" t="s">
        <v>72</v>
      </c>
      <c r="V962" t="s">
        <v>73</v>
      </c>
      <c r="W962">
        <v>0</v>
      </c>
      <c r="X962">
        <v>0</v>
      </c>
      <c r="Y962">
        <v>0</v>
      </c>
      <c r="Z962">
        <v>0</v>
      </c>
      <c r="AA962">
        <v>0</v>
      </c>
      <c r="AB962">
        <v>0</v>
      </c>
      <c r="AC962">
        <v>0</v>
      </c>
      <c r="AD962">
        <v>0</v>
      </c>
      <c r="AE962">
        <v>0</v>
      </c>
      <c r="AF962">
        <v>0</v>
      </c>
      <c r="AG962" t="s">
        <v>71</v>
      </c>
      <c r="AH962">
        <v>0</v>
      </c>
      <c r="AI962">
        <v>0</v>
      </c>
      <c r="AJ962">
        <v>0</v>
      </c>
      <c r="AK962">
        <v>0</v>
      </c>
      <c r="AL962" t="s">
        <v>91</v>
      </c>
      <c r="AM962" t="s">
        <v>93</v>
      </c>
      <c r="AN962" t="s">
        <v>94</v>
      </c>
      <c r="AO962" t="s">
        <v>92</v>
      </c>
      <c r="AP962">
        <v>0</v>
      </c>
      <c r="AQ962">
        <v>0</v>
      </c>
      <c r="AR962">
        <v>0</v>
      </c>
      <c r="AS962">
        <v>0</v>
      </c>
      <c r="AT962">
        <v>0</v>
      </c>
      <c r="AU962">
        <v>0</v>
      </c>
      <c r="AV962">
        <v>0</v>
      </c>
      <c r="AW962">
        <v>0</v>
      </c>
      <c r="AX962">
        <v>0</v>
      </c>
      <c r="AY962">
        <v>0</v>
      </c>
    </row>
    <row r="963" spans="1:51" x14ac:dyDescent="0.25">
      <c r="A963">
        <v>4</v>
      </c>
      <c r="B963">
        <v>5020</v>
      </c>
      <c r="C963" t="s">
        <v>735</v>
      </c>
      <c r="D963" t="s">
        <v>96</v>
      </c>
      <c r="E963" t="s">
        <v>100</v>
      </c>
      <c r="F963" t="s">
        <v>107</v>
      </c>
      <c r="G963" t="s">
        <v>101</v>
      </c>
      <c r="H963" t="s">
        <v>78</v>
      </c>
      <c r="I963" t="s">
        <v>79</v>
      </c>
      <c r="J963" t="s">
        <v>70</v>
      </c>
      <c r="K963" t="s">
        <v>102</v>
      </c>
      <c r="L963" t="s">
        <v>76</v>
      </c>
      <c r="M963" t="s">
        <v>103</v>
      </c>
      <c r="N963" t="s">
        <v>74</v>
      </c>
      <c r="O963" t="s">
        <v>104</v>
      </c>
      <c r="P963" t="s">
        <v>71</v>
      </c>
      <c r="Q963" t="s">
        <v>110</v>
      </c>
      <c r="R963" t="s">
        <v>71</v>
      </c>
      <c r="S963">
        <v>0</v>
      </c>
      <c r="T963">
        <v>0</v>
      </c>
      <c r="U963" t="s">
        <v>72</v>
      </c>
      <c r="V963" t="s">
        <v>73</v>
      </c>
      <c r="W963">
        <v>0</v>
      </c>
      <c r="X963">
        <v>0</v>
      </c>
      <c r="Y963">
        <v>0</v>
      </c>
      <c r="Z963">
        <v>0</v>
      </c>
      <c r="AA963">
        <v>0</v>
      </c>
      <c r="AB963">
        <v>0</v>
      </c>
      <c r="AC963">
        <v>0</v>
      </c>
      <c r="AD963">
        <v>0</v>
      </c>
      <c r="AE963">
        <v>0</v>
      </c>
      <c r="AF963">
        <v>0</v>
      </c>
      <c r="AG963" t="s">
        <v>71</v>
      </c>
      <c r="AH963">
        <v>0</v>
      </c>
      <c r="AI963">
        <v>0</v>
      </c>
      <c r="AJ963">
        <v>0</v>
      </c>
      <c r="AK963">
        <v>0</v>
      </c>
      <c r="AL963" t="s">
        <v>108</v>
      </c>
      <c r="AM963" t="s">
        <v>93</v>
      </c>
      <c r="AN963" t="s">
        <v>94</v>
      </c>
      <c r="AO963" t="s">
        <v>92</v>
      </c>
      <c r="AP963">
        <v>0</v>
      </c>
      <c r="AQ963">
        <v>0</v>
      </c>
      <c r="AR963">
        <v>0</v>
      </c>
      <c r="AS963">
        <v>0</v>
      </c>
      <c r="AT963">
        <v>0</v>
      </c>
      <c r="AU963">
        <v>0</v>
      </c>
      <c r="AV963">
        <v>0</v>
      </c>
      <c r="AW963">
        <v>0</v>
      </c>
      <c r="AX963">
        <v>1</v>
      </c>
      <c r="AY963">
        <v>0</v>
      </c>
    </row>
    <row r="964" spans="1:51" x14ac:dyDescent="0.25">
      <c r="A964">
        <v>4</v>
      </c>
      <c r="B964">
        <v>5030</v>
      </c>
      <c r="C964" t="s">
        <v>735</v>
      </c>
      <c r="D964" t="s">
        <v>96</v>
      </c>
      <c r="E964" t="s">
        <v>100</v>
      </c>
      <c r="F964" t="s">
        <v>107</v>
      </c>
      <c r="G964" t="s">
        <v>101</v>
      </c>
      <c r="H964" t="s">
        <v>78</v>
      </c>
      <c r="I964" t="s">
        <v>79</v>
      </c>
      <c r="J964" t="s">
        <v>70</v>
      </c>
      <c r="K964" t="s">
        <v>102</v>
      </c>
      <c r="L964" t="s">
        <v>76</v>
      </c>
      <c r="M964" t="s">
        <v>103</v>
      </c>
      <c r="N964" t="s">
        <v>74</v>
      </c>
      <c r="O964" t="s">
        <v>104</v>
      </c>
      <c r="P964" t="s">
        <v>71</v>
      </c>
      <c r="Q964" t="s">
        <v>110</v>
      </c>
      <c r="R964" t="s">
        <v>71</v>
      </c>
      <c r="S964">
        <v>0</v>
      </c>
      <c r="T964">
        <v>0</v>
      </c>
      <c r="U964" t="s">
        <v>72</v>
      </c>
      <c r="V964" t="s">
        <v>73</v>
      </c>
      <c r="W964">
        <v>0</v>
      </c>
      <c r="X964">
        <v>0</v>
      </c>
      <c r="Y964">
        <v>0</v>
      </c>
      <c r="Z964">
        <v>0</v>
      </c>
      <c r="AA964">
        <v>0</v>
      </c>
      <c r="AB964">
        <v>0</v>
      </c>
      <c r="AC964">
        <v>0</v>
      </c>
      <c r="AD964">
        <v>0</v>
      </c>
      <c r="AE964">
        <v>0</v>
      </c>
      <c r="AF964">
        <v>0</v>
      </c>
      <c r="AG964" t="s">
        <v>110</v>
      </c>
      <c r="AH964">
        <v>1</v>
      </c>
      <c r="AI964">
        <v>1</v>
      </c>
      <c r="AJ964">
        <v>1</v>
      </c>
      <c r="AK964">
        <v>0.1</v>
      </c>
      <c r="AL964" t="s">
        <v>108</v>
      </c>
      <c r="AM964" t="s">
        <v>93</v>
      </c>
      <c r="AN964" t="s">
        <v>94</v>
      </c>
      <c r="AO964" t="s">
        <v>92</v>
      </c>
      <c r="AP964">
        <v>0</v>
      </c>
      <c r="AQ964">
        <v>0</v>
      </c>
      <c r="AR964">
        <v>0</v>
      </c>
      <c r="AS964">
        <v>0</v>
      </c>
      <c r="AT964">
        <v>0</v>
      </c>
      <c r="AU964">
        <v>0</v>
      </c>
      <c r="AV964">
        <v>0</v>
      </c>
      <c r="AW964">
        <v>0</v>
      </c>
      <c r="AX964">
        <v>1</v>
      </c>
      <c r="AY964">
        <v>0</v>
      </c>
    </row>
    <row r="965" spans="1:51" x14ac:dyDescent="0.25">
      <c r="A965">
        <v>4</v>
      </c>
      <c r="B965">
        <v>5040</v>
      </c>
      <c r="C965" t="s">
        <v>735</v>
      </c>
      <c r="D965" t="s">
        <v>96</v>
      </c>
      <c r="E965" t="s">
        <v>100</v>
      </c>
      <c r="F965" t="s">
        <v>107</v>
      </c>
      <c r="G965" t="s">
        <v>101</v>
      </c>
      <c r="H965" t="s">
        <v>78</v>
      </c>
      <c r="I965" t="s">
        <v>79</v>
      </c>
      <c r="J965" t="s">
        <v>70</v>
      </c>
      <c r="K965" t="s">
        <v>102</v>
      </c>
      <c r="L965" t="s">
        <v>76</v>
      </c>
      <c r="M965" t="s">
        <v>103</v>
      </c>
      <c r="N965" t="s">
        <v>74</v>
      </c>
      <c r="O965" t="s">
        <v>104</v>
      </c>
      <c r="P965" t="s">
        <v>71</v>
      </c>
      <c r="Q965" t="s">
        <v>110</v>
      </c>
      <c r="R965" t="s">
        <v>71</v>
      </c>
      <c r="S965">
        <v>0</v>
      </c>
      <c r="T965">
        <v>0</v>
      </c>
      <c r="U965" t="s">
        <v>72</v>
      </c>
      <c r="V965" t="s">
        <v>73</v>
      </c>
      <c r="W965">
        <v>0</v>
      </c>
      <c r="X965">
        <v>0</v>
      </c>
      <c r="Y965">
        <v>0</v>
      </c>
      <c r="Z965">
        <v>0</v>
      </c>
      <c r="AA965">
        <v>0</v>
      </c>
      <c r="AB965">
        <v>0</v>
      </c>
      <c r="AC965">
        <v>0</v>
      </c>
      <c r="AD965">
        <v>0</v>
      </c>
      <c r="AE965">
        <v>0</v>
      </c>
      <c r="AF965">
        <v>0</v>
      </c>
      <c r="AG965" t="s">
        <v>110</v>
      </c>
      <c r="AH965">
        <v>1</v>
      </c>
      <c r="AI965">
        <v>1</v>
      </c>
      <c r="AJ965">
        <v>1</v>
      </c>
      <c r="AK965">
        <v>0.1</v>
      </c>
      <c r="AL965" t="s">
        <v>108</v>
      </c>
      <c r="AM965" t="s">
        <v>93</v>
      </c>
      <c r="AN965" t="s">
        <v>94</v>
      </c>
      <c r="AO965" t="s">
        <v>92</v>
      </c>
      <c r="AP965">
        <v>0</v>
      </c>
      <c r="AQ965">
        <v>0</v>
      </c>
      <c r="AR965">
        <v>0</v>
      </c>
      <c r="AS965">
        <v>0</v>
      </c>
      <c r="AT965">
        <v>0</v>
      </c>
      <c r="AU965">
        <v>0</v>
      </c>
      <c r="AV965">
        <v>0</v>
      </c>
      <c r="AW965">
        <v>0</v>
      </c>
      <c r="AX965">
        <v>1</v>
      </c>
      <c r="AY965">
        <v>0</v>
      </c>
    </row>
    <row r="966" spans="1:51" x14ac:dyDescent="0.25">
      <c r="A966">
        <v>4</v>
      </c>
      <c r="B966">
        <v>5050</v>
      </c>
      <c r="C966" t="s">
        <v>735</v>
      </c>
      <c r="D966" t="s">
        <v>96</v>
      </c>
      <c r="E966" t="s">
        <v>100</v>
      </c>
      <c r="F966" t="s">
        <v>107</v>
      </c>
      <c r="G966" t="s">
        <v>101</v>
      </c>
      <c r="H966" t="s">
        <v>78</v>
      </c>
      <c r="I966" t="s">
        <v>79</v>
      </c>
      <c r="J966" t="s">
        <v>70</v>
      </c>
      <c r="K966" t="s">
        <v>102</v>
      </c>
      <c r="L966" t="s">
        <v>76</v>
      </c>
      <c r="M966" t="s">
        <v>103</v>
      </c>
      <c r="N966" t="s">
        <v>74</v>
      </c>
      <c r="O966" t="s">
        <v>104</v>
      </c>
      <c r="P966" t="s">
        <v>71</v>
      </c>
      <c r="Q966" t="s">
        <v>110</v>
      </c>
      <c r="R966" t="s">
        <v>71</v>
      </c>
      <c r="S966">
        <v>0</v>
      </c>
      <c r="T966">
        <v>0</v>
      </c>
      <c r="U966" t="s">
        <v>72</v>
      </c>
      <c r="V966" t="s">
        <v>73</v>
      </c>
      <c r="W966">
        <v>0</v>
      </c>
      <c r="X966">
        <v>0</v>
      </c>
      <c r="Y966">
        <v>0</v>
      </c>
      <c r="Z966">
        <v>0</v>
      </c>
      <c r="AA966">
        <v>0</v>
      </c>
      <c r="AB966">
        <v>0</v>
      </c>
      <c r="AC966">
        <v>0</v>
      </c>
      <c r="AD966">
        <v>0</v>
      </c>
      <c r="AE966">
        <v>0</v>
      </c>
      <c r="AF966">
        <v>0</v>
      </c>
      <c r="AG966" t="s">
        <v>110</v>
      </c>
      <c r="AH966">
        <v>1</v>
      </c>
      <c r="AI966">
        <v>1</v>
      </c>
      <c r="AJ966">
        <v>1</v>
      </c>
      <c r="AK966">
        <v>0.1</v>
      </c>
      <c r="AL966" t="s">
        <v>108</v>
      </c>
      <c r="AM966" t="s">
        <v>93</v>
      </c>
      <c r="AN966" t="s">
        <v>94</v>
      </c>
      <c r="AO966" t="s">
        <v>92</v>
      </c>
      <c r="AP966">
        <v>0</v>
      </c>
      <c r="AQ966">
        <v>0</v>
      </c>
      <c r="AR966">
        <v>0</v>
      </c>
      <c r="AS966">
        <v>0</v>
      </c>
      <c r="AT966">
        <v>0</v>
      </c>
      <c r="AU966">
        <v>0</v>
      </c>
      <c r="AV966">
        <v>0</v>
      </c>
      <c r="AW966">
        <v>0</v>
      </c>
      <c r="AX966">
        <v>1</v>
      </c>
      <c r="AY966">
        <v>0</v>
      </c>
    </row>
    <row r="967" spans="1:51" x14ac:dyDescent="0.25">
      <c r="A967">
        <v>4</v>
      </c>
      <c r="B967">
        <v>5060</v>
      </c>
      <c r="C967" t="s">
        <v>735</v>
      </c>
      <c r="D967" t="s">
        <v>96</v>
      </c>
      <c r="E967" t="s">
        <v>100</v>
      </c>
      <c r="F967" t="s">
        <v>107</v>
      </c>
      <c r="G967" t="s">
        <v>101</v>
      </c>
      <c r="H967" t="s">
        <v>78</v>
      </c>
      <c r="I967" t="s">
        <v>79</v>
      </c>
      <c r="J967" t="s">
        <v>70</v>
      </c>
      <c r="K967" t="s">
        <v>102</v>
      </c>
      <c r="L967" t="s">
        <v>76</v>
      </c>
      <c r="M967" t="s">
        <v>103</v>
      </c>
      <c r="N967" t="s">
        <v>74</v>
      </c>
      <c r="O967" t="s">
        <v>104</v>
      </c>
      <c r="P967" t="s">
        <v>71</v>
      </c>
      <c r="Q967" t="s">
        <v>110</v>
      </c>
      <c r="R967" t="s">
        <v>71</v>
      </c>
      <c r="S967">
        <v>0</v>
      </c>
      <c r="T967">
        <v>0</v>
      </c>
      <c r="U967" t="s">
        <v>72</v>
      </c>
      <c r="V967" t="s">
        <v>73</v>
      </c>
      <c r="W967">
        <v>0</v>
      </c>
      <c r="X967">
        <v>0</v>
      </c>
      <c r="Y967">
        <v>0</v>
      </c>
      <c r="Z967">
        <v>0</v>
      </c>
      <c r="AA967">
        <v>0</v>
      </c>
      <c r="AB967">
        <v>0</v>
      </c>
      <c r="AC967">
        <v>0</v>
      </c>
      <c r="AD967">
        <v>0</v>
      </c>
      <c r="AE967">
        <v>0</v>
      </c>
      <c r="AF967">
        <v>0</v>
      </c>
      <c r="AG967" t="s">
        <v>110</v>
      </c>
      <c r="AH967">
        <v>0</v>
      </c>
      <c r="AI967">
        <v>1</v>
      </c>
      <c r="AJ967">
        <v>0</v>
      </c>
      <c r="AK967">
        <v>0.1</v>
      </c>
      <c r="AL967" t="s">
        <v>108</v>
      </c>
      <c r="AM967" t="s">
        <v>93</v>
      </c>
      <c r="AN967" t="s">
        <v>94</v>
      </c>
      <c r="AO967" t="s">
        <v>92</v>
      </c>
      <c r="AP967">
        <v>0</v>
      </c>
      <c r="AQ967">
        <v>0</v>
      </c>
      <c r="AR967">
        <v>0</v>
      </c>
      <c r="AS967">
        <v>0</v>
      </c>
      <c r="AT967">
        <v>0</v>
      </c>
      <c r="AU967">
        <v>0</v>
      </c>
      <c r="AV967">
        <v>0</v>
      </c>
      <c r="AW967">
        <v>0</v>
      </c>
      <c r="AX967">
        <v>1</v>
      </c>
      <c r="AY967">
        <v>0</v>
      </c>
    </row>
    <row r="968" spans="1:51" x14ac:dyDescent="0.25">
      <c r="A968">
        <v>4</v>
      </c>
      <c r="B968">
        <v>5070</v>
      </c>
      <c r="C968" t="s">
        <v>735</v>
      </c>
      <c r="D968" t="s">
        <v>96</v>
      </c>
      <c r="E968" t="s">
        <v>100</v>
      </c>
      <c r="F968" t="s">
        <v>107</v>
      </c>
      <c r="G968" t="s">
        <v>101</v>
      </c>
      <c r="H968" t="s">
        <v>78</v>
      </c>
      <c r="I968" t="s">
        <v>79</v>
      </c>
      <c r="J968" t="s">
        <v>70</v>
      </c>
      <c r="K968" t="s">
        <v>102</v>
      </c>
      <c r="L968" t="s">
        <v>76</v>
      </c>
      <c r="M968" t="s">
        <v>103</v>
      </c>
      <c r="N968" t="s">
        <v>74</v>
      </c>
      <c r="O968" t="s">
        <v>104</v>
      </c>
      <c r="P968" t="s">
        <v>71</v>
      </c>
      <c r="Q968" t="s">
        <v>110</v>
      </c>
      <c r="R968" t="s">
        <v>71</v>
      </c>
      <c r="S968">
        <v>0</v>
      </c>
      <c r="T968">
        <v>0</v>
      </c>
      <c r="U968" t="s">
        <v>72</v>
      </c>
      <c r="V968" t="s">
        <v>73</v>
      </c>
      <c r="W968">
        <v>0</v>
      </c>
      <c r="X968">
        <v>0</v>
      </c>
      <c r="Y968">
        <v>0</v>
      </c>
      <c r="Z968">
        <v>0</v>
      </c>
      <c r="AA968">
        <v>0</v>
      </c>
      <c r="AB968">
        <v>0</v>
      </c>
      <c r="AC968">
        <v>0</v>
      </c>
      <c r="AD968">
        <v>0</v>
      </c>
      <c r="AE968">
        <v>0</v>
      </c>
      <c r="AF968">
        <v>0</v>
      </c>
      <c r="AG968" t="s">
        <v>110</v>
      </c>
      <c r="AH968">
        <v>1</v>
      </c>
      <c r="AI968">
        <v>1</v>
      </c>
      <c r="AJ968">
        <v>1</v>
      </c>
      <c r="AK968">
        <v>0.1</v>
      </c>
      <c r="AL968" t="s">
        <v>108</v>
      </c>
      <c r="AM968" t="s">
        <v>93</v>
      </c>
      <c r="AN968" t="s">
        <v>94</v>
      </c>
      <c r="AO968" t="s">
        <v>92</v>
      </c>
      <c r="AP968">
        <v>0</v>
      </c>
      <c r="AQ968">
        <v>0</v>
      </c>
      <c r="AR968">
        <v>0</v>
      </c>
      <c r="AS968">
        <v>0</v>
      </c>
      <c r="AT968">
        <v>0</v>
      </c>
      <c r="AU968">
        <v>0</v>
      </c>
      <c r="AV968">
        <v>0</v>
      </c>
      <c r="AW968">
        <v>0</v>
      </c>
      <c r="AX968">
        <v>1</v>
      </c>
      <c r="AY968">
        <v>0</v>
      </c>
    </row>
    <row r="969" spans="1:51" x14ac:dyDescent="0.25">
      <c r="A969">
        <v>4</v>
      </c>
      <c r="B969">
        <v>5080</v>
      </c>
      <c r="C969" t="s">
        <v>735</v>
      </c>
      <c r="D969" t="s">
        <v>96</v>
      </c>
      <c r="E969" t="s">
        <v>100</v>
      </c>
      <c r="F969" t="s">
        <v>107</v>
      </c>
      <c r="G969" t="s">
        <v>101</v>
      </c>
      <c r="H969" t="s">
        <v>78</v>
      </c>
      <c r="I969" t="s">
        <v>79</v>
      </c>
      <c r="J969" t="s">
        <v>70</v>
      </c>
      <c r="K969" t="s">
        <v>102</v>
      </c>
      <c r="L969" t="s">
        <v>76</v>
      </c>
      <c r="M969" t="s">
        <v>103</v>
      </c>
      <c r="N969" t="s">
        <v>74</v>
      </c>
      <c r="O969" t="s">
        <v>104</v>
      </c>
      <c r="P969" t="s">
        <v>71</v>
      </c>
      <c r="Q969" t="s">
        <v>110</v>
      </c>
      <c r="R969" t="s">
        <v>71</v>
      </c>
      <c r="S969">
        <v>0</v>
      </c>
      <c r="T969">
        <v>0</v>
      </c>
      <c r="U969" t="s">
        <v>72</v>
      </c>
      <c r="V969" t="s">
        <v>73</v>
      </c>
      <c r="W969">
        <v>0</v>
      </c>
      <c r="X969">
        <v>0</v>
      </c>
      <c r="Y969">
        <v>0</v>
      </c>
      <c r="Z969">
        <v>0</v>
      </c>
      <c r="AA969">
        <v>0</v>
      </c>
      <c r="AB969">
        <v>0</v>
      </c>
      <c r="AC969">
        <v>0</v>
      </c>
      <c r="AD969">
        <v>0</v>
      </c>
      <c r="AE969">
        <v>0</v>
      </c>
      <c r="AF969">
        <v>0</v>
      </c>
      <c r="AG969" t="s">
        <v>110</v>
      </c>
      <c r="AH969">
        <v>1</v>
      </c>
      <c r="AI969">
        <v>1</v>
      </c>
      <c r="AJ969">
        <v>1</v>
      </c>
      <c r="AK969">
        <v>0.1</v>
      </c>
      <c r="AL969" t="s">
        <v>108</v>
      </c>
      <c r="AM969" t="s">
        <v>93</v>
      </c>
      <c r="AN969" t="s">
        <v>94</v>
      </c>
      <c r="AO969" t="s">
        <v>92</v>
      </c>
      <c r="AP969">
        <v>0</v>
      </c>
      <c r="AQ969">
        <v>0</v>
      </c>
      <c r="AR969">
        <v>0</v>
      </c>
      <c r="AS969">
        <v>0</v>
      </c>
      <c r="AT969">
        <v>0</v>
      </c>
      <c r="AU969">
        <v>0</v>
      </c>
      <c r="AV969">
        <v>0</v>
      </c>
      <c r="AW969">
        <v>0</v>
      </c>
      <c r="AX969">
        <v>1</v>
      </c>
      <c r="AY969">
        <v>0</v>
      </c>
    </row>
    <row r="970" spans="1:51" x14ac:dyDescent="0.25">
      <c r="A970">
        <v>4</v>
      </c>
      <c r="B970">
        <v>8060</v>
      </c>
      <c r="C970" t="s">
        <v>735</v>
      </c>
      <c r="D970" t="s">
        <v>96</v>
      </c>
      <c r="E970" t="s">
        <v>100</v>
      </c>
      <c r="F970" t="s">
        <v>107</v>
      </c>
      <c r="G970" t="s">
        <v>101</v>
      </c>
      <c r="H970" t="s">
        <v>78</v>
      </c>
      <c r="I970" t="s">
        <v>79</v>
      </c>
      <c r="J970" t="s">
        <v>70</v>
      </c>
      <c r="K970" t="s">
        <v>102</v>
      </c>
      <c r="L970" t="s">
        <v>76</v>
      </c>
      <c r="M970" t="s">
        <v>103</v>
      </c>
      <c r="N970" t="s">
        <v>74</v>
      </c>
      <c r="O970" t="s">
        <v>104</v>
      </c>
      <c r="P970" t="s">
        <v>71</v>
      </c>
      <c r="Q970" t="s">
        <v>110</v>
      </c>
      <c r="R970" t="s">
        <v>71</v>
      </c>
      <c r="S970">
        <v>0</v>
      </c>
      <c r="T970">
        <v>0</v>
      </c>
      <c r="U970" t="s">
        <v>72</v>
      </c>
      <c r="V970" t="s">
        <v>73</v>
      </c>
      <c r="W970">
        <v>0</v>
      </c>
      <c r="X970">
        <v>0</v>
      </c>
      <c r="Y970">
        <v>0</v>
      </c>
      <c r="Z970">
        <v>0</v>
      </c>
      <c r="AA970">
        <v>0</v>
      </c>
      <c r="AB970">
        <v>0</v>
      </c>
      <c r="AC970">
        <v>0</v>
      </c>
      <c r="AD970">
        <v>0</v>
      </c>
      <c r="AE970">
        <v>0</v>
      </c>
      <c r="AF970">
        <v>0</v>
      </c>
      <c r="AG970" t="s">
        <v>110</v>
      </c>
      <c r="AH970">
        <v>1</v>
      </c>
      <c r="AI970">
        <v>1</v>
      </c>
      <c r="AJ970">
        <v>1</v>
      </c>
      <c r="AK970">
        <v>0.1</v>
      </c>
      <c r="AL970" t="s">
        <v>108</v>
      </c>
      <c r="AM970" t="s">
        <v>93</v>
      </c>
      <c r="AN970" t="s">
        <v>94</v>
      </c>
      <c r="AO970" t="s">
        <v>92</v>
      </c>
      <c r="AP970">
        <v>0</v>
      </c>
      <c r="AQ970">
        <v>0</v>
      </c>
      <c r="AR970">
        <v>0</v>
      </c>
      <c r="AS970">
        <v>0</v>
      </c>
      <c r="AT970">
        <v>0</v>
      </c>
      <c r="AU970">
        <v>0</v>
      </c>
      <c r="AV970">
        <v>0</v>
      </c>
      <c r="AW970">
        <v>0</v>
      </c>
      <c r="AX970">
        <v>1</v>
      </c>
      <c r="AY970">
        <v>0</v>
      </c>
    </row>
    <row r="971" spans="1:51" x14ac:dyDescent="0.25">
      <c r="A971">
        <v>4</v>
      </c>
      <c r="B971">
        <v>8070</v>
      </c>
      <c r="C971" t="s">
        <v>735</v>
      </c>
      <c r="D971" t="s">
        <v>96</v>
      </c>
      <c r="E971" t="s">
        <v>100</v>
      </c>
      <c r="F971" t="s">
        <v>107</v>
      </c>
      <c r="G971" t="s">
        <v>101</v>
      </c>
      <c r="H971" t="s">
        <v>78</v>
      </c>
      <c r="I971" t="s">
        <v>79</v>
      </c>
      <c r="J971" t="s">
        <v>70</v>
      </c>
      <c r="K971" t="s">
        <v>102</v>
      </c>
      <c r="L971" t="s">
        <v>76</v>
      </c>
      <c r="M971" t="s">
        <v>103</v>
      </c>
      <c r="N971" t="s">
        <v>74</v>
      </c>
      <c r="O971" t="s">
        <v>104</v>
      </c>
      <c r="P971" t="s">
        <v>71</v>
      </c>
      <c r="Q971" t="s">
        <v>110</v>
      </c>
      <c r="R971" t="s">
        <v>71</v>
      </c>
      <c r="S971">
        <v>0</v>
      </c>
      <c r="T971">
        <v>0</v>
      </c>
      <c r="U971" t="s">
        <v>72</v>
      </c>
      <c r="V971" t="s">
        <v>73</v>
      </c>
      <c r="W971">
        <v>0</v>
      </c>
      <c r="X971">
        <v>0</v>
      </c>
      <c r="Y971">
        <v>0</v>
      </c>
      <c r="Z971">
        <v>0</v>
      </c>
      <c r="AA971">
        <v>0</v>
      </c>
      <c r="AB971">
        <v>0</v>
      </c>
      <c r="AC971">
        <v>0</v>
      </c>
      <c r="AD971">
        <v>0</v>
      </c>
      <c r="AE971">
        <v>0</v>
      </c>
      <c r="AF971">
        <v>0</v>
      </c>
      <c r="AG971" t="s">
        <v>110</v>
      </c>
      <c r="AH971">
        <v>1</v>
      </c>
      <c r="AI971">
        <v>1</v>
      </c>
      <c r="AJ971">
        <v>1</v>
      </c>
      <c r="AK971">
        <v>0.1</v>
      </c>
      <c r="AL971" t="s">
        <v>99</v>
      </c>
      <c r="AM971" t="s">
        <v>93</v>
      </c>
      <c r="AN971" t="s">
        <v>94</v>
      </c>
      <c r="AO971" t="s">
        <v>92</v>
      </c>
      <c r="AP971">
        <v>0</v>
      </c>
      <c r="AQ971">
        <v>0</v>
      </c>
      <c r="AR971">
        <v>0</v>
      </c>
      <c r="AS971">
        <v>0</v>
      </c>
      <c r="AT971">
        <v>0</v>
      </c>
      <c r="AU971">
        <v>0</v>
      </c>
      <c r="AV971">
        <v>0</v>
      </c>
      <c r="AW971">
        <v>0</v>
      </c>
      <c r="AX971">
        <v>0</v>
      </c>
      <c r="AY971">
        <v>0</v>
      </c>
    </row>
    <row r="972" spans="1:51" x14ac:dyDescent="0.25">
      <c r="A972">
        <v>0</v>
      </c>
      <c r="C972" t="s">
        <v>735</v>
      </c>
      <c r="D972" t="s">
        <v>736</v>
      </c>
      <c r="E972" t="s">
        <v>736</v>
      </c>
      <c r="F972" t="s">
        <v>736</v>
      </c>
      <c r="G972" t="s">
        <v>736</v>
      </c>
      <c r="H972" t="s">
        <v>736</v>
      </c>
      <c r="I972" t="s">
        <v>736</v>
      </c>
      <c r="J972" t="s">
        <v>736</v>
      </c>
      <c r="K972" t="s">
        <v>736</v>
      </c>
      <c r="L972" t="s">
        <v>736</v>
      </c>
      <c r="M972" t="s">
        <v>736</v>
      </c>
      <c r="N972" t="s">
        <v>736</v>
      </c>
      <c r="O972" t="s">
        <v>736</v>
      </c>
      <c r="P972" t="s">
        <v>736</v>
      </c>
      <c r="Q972" t="s">
        <v>736</v>
      </c>
      <c r="R972" t="s">
        <v>736</v>
      </c>
      <c r="S972" t="s">
        <v>736</v>
      </c>
      <c r="T972" t="s">
        <v>736</v>
      </c>
      <c r="U972" t="s">
        <v>736</v>
      </c>
      <c r="V972" t="s">
        <v>736</v>
      </c>
      <c r="W972" t="s">
        <v>736</v>
      </c>
      <c r="X972" t="s">
        <v>736</v>
      </c>
      <c r="Y972" t="s">
        <v>736</v>
      </c>
      <c r="Z972" t="s">
        <v>736</v>
      </c>
      <c r="AA972" t="s">
        <v>736</v>
      </c>
      <c r="AB972" t="s">
        <v>736</v>
      </c>
      <c r="AC972" t="s">
        <v>736</v>
      </c>
      <c r="AD972" t="s">
        <v>736</v>
      </c>
      <c r="AE972" t="s">
        <v>736</v>
      </c>
      <c r="AF972" t="s">
        <v>736</v>
      </c>
      <c r="AG972" t="s">
        <v>736</v>
      </c>
      <c r="AH972" t="s">
        <v>736</v>
      </c>
      <c r="AI972" t="s">
        <v>736</v>
      </c>
      <c r="AJ972" t="s">
        <v>736</v>
      </c>
      <c r="AK972" t="s">
        <v>736</v>
      </c>
      <c r="AL972" t="s">
        <v>736</v>
      </c>
      <c r="AM972" t="s">
        <v>736</v>
      </c>
      <c r="AN972" t="s">
        <v>736</v>
      </c>
      <c r="AO972" t="s">
        <v>736</v>
      </c>
      <c r="AP972" t="s">
        <v>736</v>
      </c>
      <c r="AQ972" t="s">
        <v>736</v>
      </c>
      <c r="AR972" t="s">
        <v>736</v>
      </c>
      <c r="AS972" t="s">
        <v>736</v>
      </c>
      <c r="AT972" t="s">
        <v>736</v>
      </c>
      <c r="AU972" t="s">
        <v>736</v>
      </c>
      <c r="AV972" t="s">
        <v>736</v>
      </c>
      <c r="AW972" t="s">
        <v>736</v>
      </c>
      <c r="AX972" t="s">
        <v>736</v>
      </c>
      <c r="AY972" t="s">
        <v>736</v>
      </c>
    </row>
    <row r="973" spans="1:51" x14ac:dyDescent="0.25">
      <c r="A973">
        <v>2</v>
      </c>
      <c r="B973">
        <v>10</v>
      </c>
      <c r="C973" t="s">
        <v>735</v>
      </c>
      <c r="D973" t="s">
        <v>96</v>
      </c>
      <c r="E973" t="s">
        <v>121</v>
      </c>
      <c r="F973" t="s">
        <v>107</v>
      </c>
      <c r="G973" t="s">
        <v>101</v>
      </c>
      <c r="H973" t="s">
        <v>78</v>
      </c>
      <c r="I973" t="s">
        <v>79</v>
      </c>
      <c r="J973" t="s">
        <v>70</v>
      </c>
      <c r="K973" t="s">
        <v>75</v>
      </c>
      <c r="L973" t="s">
        <v>76</v>
      </c>
      <c r="M973" t="s">
        <v>103</v>
      </c>
      <c r="N973" t="s">
        <v>74</v>
      </c>
      <c r="O973" t="s">
        <v>104</v>
      </c>
      <c r="P973" t="s">
        <v>71</v>
      </c>
      <c r="Q973" t="s">
        <v>71</v>
      </c>
      <c r="R973" t="s">
        <v>71</v>
      </c>
      <c r="S973">
        <v>0</v>
      </c>
      <c r="T973">
        <v>0</v>
      </c>
      <c r="U973" t="s">
        <v>72</v>
      </c>
      <c r="V973" t="s">
        <v>73</v>
      </c>
      <c r="W973">
        <v>0</v>
      </c>
      <c r="X973">
        <v>0</v>
      </c>
      <c r="Y973">
        <v>0</v>
      </c>
      <c r="Z973">
        <v>0</v>
      </c>
      <c r="AA973">
        <v>0</v>
      </c>
      <c r="AB973">
        <v>0</v>
      </c>
      <c r="AC973">
        <v>0</v>
      </c>
      <c r="AD973">
        <v>0</v>
      </c>
      <c r="AE973">
        <v>0</v>
      </c>
      <c r="AF973">
        <v>0</v>
      </c>
      <c r="AG973" t="s">
        <v>71</v>
      </c>
      <c r="AH973">
        <v>0</v>
      </c>
      <c r="AI973">
        <v>0</v>
      </c>
      <c r="AJ973">
        <v>0</v>
      </c>
      <c r="AK973">
        <v>0</v>
      </c>
      <c r="AL973" t="s">
        <v>91</v>
      </c>
      <c r="AM973" t="s">
        <v>93</v>
      </c>
      <c r="AN973" t="s">
        <v>94</v>
      </c>
      <c r="AO973" t="s">
        <v>92</v>
      </c>
      <c r="AP973">
        <v>0</v>
      </c>
      <c r="AQ973">
        <v>0</v>
      </c>
      <c r="AR973">
        <v>0</v>
      </c>
      <c r="AS973">
        <v>0</v>
      </c>
      <c r="AT973">
        <v>0</v>
      </c>
      <c r="AU973">
        <v>0</v>
      </c>
      <c r="AV973">
        <v>0</v>
      </c>
      <c r="AW973">
        <v>0</v>
      </c>
      <c r="AX973">
        <v>0</v>
      </c>
      <c r="AY973">
        <v>0</v>
      </c>
    </row>
    <row r="974" spans="1:51" x14ac:dyDescent="0.25">
      <c r="A974">
        <v>2</v>
      </c>
      <c r="B974">
        <v>5010</v>
      </c>
      <c r="C974" t="s">
        <v>735</v>
      </c>
      <c r="D974" t="s">
        <v>96</v>
      </c>
      <c r="E974" t="s">
        <v>121</v>
      </c>
      <c r="F974" t="s">
        <v>107</v>
      </c>
      <c r="G974" t="s">
        <v>101</v>
      </c>
      <c r="H974" t="s">
        <v>78</v>
      </c>
      <c r="I974" t="s">
        <v>79</v>
      </c>
      <c r="J974" t="s">
        <v>70</v>
      </c>
      <c r="K974" t="s">
        <v>75</v>
      </c>
      <c r="L974" t="s">
        <v>76</v>
      </c>
      <c r="M974" t="s">
        <v>103</v>
      </c>
      <c r="N974" t="s">
        <v>74</v>
      </c>
      <c r="O974" t="s">
        <v>104</v>
      </c>
      <c r="P974" t="s">
        <v>71</v>
      </c>
      <c r="Q974" t="s">
        <v>71</v>
      </c>
      <c r="R974" t="s">
        <v>71</v>
      </c>
      <c r="S974">
        <v>0</v>
      </c>
      <c r="T974">
        <v>0</v>
      </c>
      <c r="U974" t="s">
        <v>72</v>
      </c>
      <c r="V974" t="s">
        <v>73</v>
      </c>
      <c r="W974">
        <v>0</v>
      </c>
      <c r="X974">
        <v>0</v>
      </c>
      <c r="Y974">
        <v>0</v>
      </c>
      <c r="Z974">
        <v>0</v>
      </c>
      <c r="AA974">
        <v>0</v>
      </c>
      <c r="AB974">
        <v>0</v>
      </c>
      <c r="AC974">
        <v>0</v>
      </c>
      <c r="AD974">
        <v>0</v>
      </c>
      <c r="AE974">
        <v>0</v>
      </c>
      <c r="AF974">
        <v>0</v>
      </c>
      <c r="AG974" t="s">
        <v>71</v>
      </c>
      <c r="AH974">
        <v>0</v>
      </c>
      <c r="AI974">
        <v>0</v>
      </c>
      <c r="AJ974">
        <v>0</v>
      </c>
      <c r="AK974">
        <v>0</v>
      </c>
      <c r="AL974" t="s">
        <v>91</v>
      </c>
      <c r="AM974" t="s">
        <v>93</v>
      </c>
      <c r="AN974" t="s">
        <v>94</v>
      </c>
      <c r="AO974" t="s">
        <v>92</v>
      </c>
      <c r="AP974">
        <v>0</v>
      </c>
      <c r="AQ974">
        <v>0</v>
      </c>
      <c r="AR974">
        <v>0</v>
      </c>
      <c r="AS974">
        <v>0</v>
      </c>
      <c r="AT974">
        <v>0</v>
      </c>
      <c r="AU974">
        <v>0</v>
      </c>
      <c r="AV974">
        <v>0</v>
      </c>
      <c r="AW974">
        <v>0</v>
      </c>
      <c r="AX974">
        <v>0</v>
      </c>
      <c r="AY974">
        <v>0</v>
      </c>
    </row>
    <row r="975" spans="1:51" x14ac:dyDescent="0.25">
      <c r="A975">
        <v>2</v>
      </c>
      <c r="B975">
        <v>5020</v>
      </c>
      <c r="C975" t="s">
        <v>735</v>
      </c>
      <c r="D975" t="s">
        <v>96</v>
      </c>
      <c r="E975" t="s">
        <v>121</v>
      </c>
      <c r="F975" t="s">
        <v>107</v>
      </c>
      <c r="G975" t="s">
        <v>101</v>
      </c>
      <c r="H975" t="s">
        <v>78</v>
      </c>
      <c r="I975" t="s">
        <v>79</v>
      </c>
      <c r="J975" t="s">
        <v>70</v>
      </c>
      <c r="K975" t="s">
        <v>75</v>
      </c>
      <c r="L975" t="s">
        <v>76</v>
      </c>
      <c r="M975" t="s">
        <v>103</v>
      </c>
      <c r="N975" t="s">
        <v>74</v>
      </c>
      <c r="O975" t="s">
        <v>104</v>
      </c>
      <c r="P975" t="s">
        <v>71</v>
      </c>
      <c r="Q975" t="s">
        <v>71</v>
      </c>
      <c r="R975" t="s">
        <v>71</v>
      </c>
      <c r="S975">
        <v>0</v>
      </c>
      <c r="T975">
        <v>0</v>
      </c>
      <c r="U975" t="s">
        <v>72</v>
      </c>
      <c r="V975" t="s">
        <v>73</v>
      </c>
      <c r="W975">
        <v>0</v>
      </c>
      <c r="X975">
        <v>0</v>
      </c>
      <c r="Y975">
        <v>0</v>
      </c>
      <c r="Z975">
        <v>0</v>
      </c>
      <c r="AA975">
        <v>0</v>
      </c>
      <c r="AB975">
        <v>0</v>
      </c>
      <c r="AC975">
        <v>0</v>
      </c>
      <c r="AD975">
        <v>0</v>
      </c>
      <c r="AE975">
        <v>0</v>
      </c>
      <c r="AF975">
        <v>0</v>
      </c>
      <c r="AG975" t="s">
        <v>71</v>
      </c>
      <c r="AH975">
        <v>0</v>
      </c>
      <c r="AI975">
        <v>0</v>
      </c>
      <c r="AJ975">
        <v>0</v>
      </c>
      <c r="AK975">
        <v>0</v>
      </c>
      <c r="AL975" t="s">
        <v>108</v>
      </c>
      <c r="AM975" t="s">
        <v>93</v>
      </c>
      <c r="AN975" t="s">
        <v>94</v>
      </c>
      <c r="AO975" t="s">
        <v>92</v>
      </c>
      <c r="AP975">
        <v>0</v>
      </c>
      <c r="AQ975">
        <v>0</v>
      </c>
      <c r="AR975">
        <v>0</v>
      </c>
      <c r="AS975">
        <v>0</v>
      </c>
      <c r="AT975">
        <v>0</v>
      </c>
      <c r="AU975">
        <v>0</v>
      </c>
      <c r="AV975">
        <v>0</v>
      </c>
      <c r="AW975">
        <v>0</v>
      </c>
      <c r="AX975">
        <v>0</v>
      </c>
      <c r="AY975">
        <v>0</v>
      </c>
    </row>
    <row r="976" spans="1:51" x14ac:dyDescent="0.25">
      <c r="A976">
        <v>2</v>
      </c>
      <c r="B976">
        <v>5030</v>
      </c>
      <c r="C976" t="s">
        <v>735</v>
      </c>
      <c r="D976" t="s">
        <v>96</v>
      </c>
      <c r="E976" t="s">
        <v>121</v>
      </c>
      <c r="F976" t="s">
        <v>107</v>
      </c>
      <c r="G976" t="s">
        <v>101</v>
      </c>
      <c r="H976" t="s">
        <v>78</v>
      </c>
      <c r="I976" t="s">
        <v>79</v>
      </c>
      <c r="J976" t="s">
        <v>70</v>
      </c>
      <c r="K976" t="s">
        <v>75</v>
      </c>
      <c r="L976" t="s">
        <v>76</v>
      </c>
      <c r="M976" t="s">
        <v>103</v>
      </c>
      <c r="N976" t="s">
        <v>74</v>
      </c>
      <c r="O976" t="s">
        <v>104</v>
      </c>
      <c r="P976" t="s">
        <v>71</v>
      </c>
      <c r="Q976" t="s">
        <v>71</v>
      </c>
      <c r="R976" t="s">
        <v>71</v>
      </c>
      <c r="S976">
        <v>0</v>
      </c>
      <c r="T976">
        <v>0</v>
      </c>
      <c r="U976" t="s">
        <v>72</v>
      </c>
      <c r="V976" t="s">
        <v>73</v>
      </c>
      <c r="W976">
        <v>0</v>
      </c>
      <c r="X976">
        <v>0</v>
      </c>
      <c r="Y976">
        <v>0</v>
      </c>
      <c r="Z976">
        <v>0</v>
      </c>
      <c r="AA976">
        <v>0</v>
      </c>
      <c r="AB976">
        <v>0</v>
      </c>
      <c r="AC976">
        <v>0</v>
      </c>
      <c r="AD976">
        <v>0</v>
      </c>
      <c r="AE976">
        <v>0</v>
      </c>
      <c r="AF976">
        <v>0</v>
      </c>
      <c r="AG976" t="s">
        <v>71</v>
      </c>
      <c r="AH976">
        <v>0</v>
      </c>
      <c r="AI976">
        <v>0</v>
      </c>
      <c r="AJ976">
        <v>0</v>
      </c>
      <c r="AK976">
        <v>0</v>
      </c>
      <c r="AL976" t="s">
        <v>108</v>
      </c>
      <c r="AM976" t="s">
        <v>93</v>
      </c>
      <c r="AN976" t="s">
        <v>94</v>
      </c>
      <c r="AO976" t="s">
        <v>92</v>
      </c>
      <c r="AP976">
        <v>0</v>
      </c>
      <c r="AQ976">
        <v>0</v>
      </c>
      <c r="AR976">
        <v>0</v>
      </c>
      <c r="AS976">
        <v>0</v>
      </c>
      <c r="AT976">
        <v>0</v>
      </c>
      <c r="AU976">
        <v>0</v>
      </c>
      <c r="AV976">
        <v>0</v>
      </c>
      <c r="AW976">
        <v>0</v>
      </c>
      <c r="AX976">
        <v>0</v>
      </c>
      <c r="AY976">
        <v>0</v>
      </c>
    </row>
    <row r="977" spans="1:51" x14ac:dyDescent="0.25">
      <c r="A977">
        <v>2</v>
      </c>
      <c r="B977">
        <v>10010</v>
      </c>
      <c r="C977" t="s">
        <v>735</v>
      </c>
      <c r="D977" t="s">
        <v>96</v>
      </c>
      <c r="E977" t="s">
        <v>121</v>
      </c>
      <c r="F977" t="s">
        <v>107</v>
      </c>
      <c r="G977" t="s">
        <v>101</v>
      </c>
      <c r="H977" t="s">
        <v>78</v>
      </c>
      <c r="I977" t="s">
        <v>79</v>
      </c>
      <c r="J977" t="s">
        <v>70</v>
      </c>
      <c r="K977" t="s">
        <v>75</v>
      </c>
      <c r="L977" t="s">
        <v>76</v>
      </c>
      <c r="M977" t="s">
        <v>103</v>
      </c>
      <c r="N977" t="s">
        <v>74</v>
      </c>
      <c r="O977" t="s">
        <v>104</v>
      </c>
      <c r="P977" t="s">
        <v>71</v>
      </c>
      <c r="Q977" t="s">
        <v>71</v>
      </c>
      <c r="R977" t="s">
        <v>71</v>
      </c>
      <c r="S977">
        <v>0</v>
      </c>
      <c r="T977">
        <v>0</v>
      </c>
      <c r="U977" t="s">
        <v>72</v>
      </c>
      <c r="V977" t="s">
        <v>73</v>
      </c>
      <c r="W977">
        <v>0</v>
      </c>
      <c r="X977">
        <v>0</v>
      </c>
      <c r="Y977">
        <v>0</v>
      </c>
      <c r="Z977">
        <v>0</v>
      </c>
      <c r="AA977">
        <v>0</v>
      </c>
      <c r="AB977">
        <v>0</v>
      </c>
      <c r="AC977">
        <v>0</v>
      </c>
      <c r="AD977">
        <v>0</v>
      </c>
      <c r="AE977">
        <v>0</v>
      </c>
      <c r="AF977">
        <v>0</v>
      </c>
      <c r="AG977" t="s">
        <v>71</v>
      </c>
      <c r="AH977">
        <v>0</v>
      </c>
      <c r="AI977">
        <v>0</v>
      </c>
      <c r="AJ977">
        <v>0</v>
      </c>
      <c r="AK977">
        <v>0</v>
      </c>
      <c r="AL977" t="s">
        <v>108</v>
      </c>
      <c r="AM977" t="s">
        <v>93</v>
      </c>
      <c r="AN977" t="s">
        <v>94</v>
      </c>
      <c r="AO977" t="s">
        <v>92</v>
      </c>
      <c r="AP977">
        <v>0</v>
      </c>
      <c r="AQ977">
        <v>0</v>
      </c>
      <c r="AR977">
        <v>0</v>
      </c>
      <c r="AS977">
        <v>0</v>
      </c>
      <c r="AT977">
        <v>0</v>
      </c>
      <c r="AU977">
        <v>0</v>
      </c>
      <c r="AV977">
        <v>0</v>
      </c>
      <c r="AW977">
        <v>0</v>
      </c>
      <c r="AX977">
        <v>0</v>
      </c>
      <c r="AY977">
        <v>0</v>
      </c>
    </row>
    <row r="978" spans="1:51" x14ac:dyDescent="0.25">
      <c r="A978">
        <v>2</v>
      </c>
      <c r="B978">
        <v>10020</v>
      </c>
      <c r="C978" t="s">
        <v>735</v>
      </c>
      <c r="D978" t="s">
        <v>96</v>
      </c>
      <c r="E978" t="s">
        <v>121</v>
      </c>
      <c r="F978" t="s">
        <v>107</v>
      </c>
      <c r="G978" t="s">
        <v>101</v>
      </c>
      <c r="H978" t="s">
        <v>78</v>
      </c>
      <c r="I978" t="s">
        <v>79</v>
      </c>
      <c r="J978" t="s">
        <v>70</v>
      </c>
      <c r="K978" t="s">
        <v>75</v>
      </c>
      <c r="L978" t="s">
        <v>76</v>
      </c>
      <c r="M978" t="s">
        <v>103</v>
      </c>
      <c r="N978" t="s">
        <v>74</v>
      </c>
      <c r="O978" t="s">
        <v>104</v>
      </c>
      <c r="P978" t="s">
        <v>71</v>
      </c>
      <c r="Q978" t="s">
        <v>71</v>
      </c>
      <c r="R978" t="s">
        <v>71</v>
      </c>
      <c r="S978">
        <v>0</v>
      </c>
      <c r="T978">
        <v>0</v>
      </c>
      <c r="U978" t="s">
        <v>72</v>
      </c>
      <c r="V978" t="s">
        <v>73</v>
      </c>
      <c r="W978">
        <v>0</v>
      </c>
      <c r="X978">
        <v>0</v>
      </c>
      <c r="Y978">
        <v>0</v>
      </c>
      <c r="Z978">
        <v>0</v>
      </c>
      <c r="AA978">
        <v>0</v>
      </c>
      <c r="AB978">
        <v>0</v>
      </c>
      <c r="AC978">
        <v>0</v>
      </c>
      <c r="AD978">
        <v>0</v>
      </c>
      <c r="AE978">
        <v>0</v>
      </c>
      <c r="AF978">
        <v>0</v>
      </c>
      <c r="AG978" t="s">
        <v>71</v>
      </c>
      <c r="AH978">
        <v>0</v>
      </c>
      <c r="AI978">
        <v>0</v>
      </c>
      <c r="AJ978">
        <v>0</v>
      </c>
      <c r="AK978">
        <v>0</v>
      </c>
      <c r="AL978" t="s">
        <v>108</v>
      </c>
      <c r="AM978" t="s">
        <v>93</v>
      </c>
      <c r="AN978" t="s">
        <v>94</v>
      </c>
      <c r="AO978" t="s">
        <v>92</v>
      </c>
      <c r="AP978">
        <v>0</v>
      </c>
      <c r="AQ978">
        <v>0</v>
      </c>
      <c r="AR978">
        <v>0</v>
      </c>
      <c r="AS978">
        <v>0</v>
      </c>
      <c r="AT978">
        <v>0</v>
      </c>
      <c r="AU978">
        <v>0</v>
      </c>
      <c r="AV978">
        <v>0</v>
      </c>
      <c r="AW978">
        <v>0</v>
      </c>
      <c r="AX978">
        <v>0</v>
      </c>
      <c r="AY978">
        <v>0</v>
      </c>
    </row>
    <row r="979" spans="1:51" x14ac:dyDescent="0.25">
      <c r="A979">
        <v>2</v>
      </c>
      <c r="B979">
        <v>10030</v>
      </c>
      <c r="C979" t="s">
        <v>735</v>
      </c>
      <c r="D979" t="s">
        <v>96</v>
      </c>
      <c r="E979" t="s">
        <v>121</v>
      </c>
      <c r="F979" t="s">
        <v>107</v>
      </c>
      <c r="G979" t="s">
        <v>77</v>
      </c>
      <c r="H979" t="s">
        <v>78</v>
      </c>
      <c r="I979" t="s">
        <v>79</v>
      </c>
      <c r="J979" t="s">
        <v>70</v>
      </c>
      <c r="K979" t="s">
        <v>75</v>
      </c>
      <c r="L979" t="s">
        <v>76</v>
      </c>
      <c r="M979" t="s">
        <v>103</v>
      </c>
      <c r="N979" t="s">
        <v>74</v>
      </c>
      <c r="O979" t="s">
        <v>104</v>
      </c>
      <c r="P979" t="s">
        <v>71</v>
      </c>
      <c r="Q979" t="s">
        <v>71</v>
      </c>
      <c r="R979" t="s">
        <v>71</v>
      </c>
      <c r="S979">
        <v>0</v>
      </c>
      <c r="T979">
        <v>1</v>
      </c>
      <c r="U979" t="s">
        <v>72</v>
      </c>
      <c r="V979" t="s">
        <v>73</v>
      </c>
      <c r="W979">
        <v>0</v>
      </c>
      <c r="X979">
        <v>0</v>
      </c>
      <c r="Y979">
        <v>0</v>
      </c>
      <c r="Z979">
        <v>0</v>
      </c>
      <c r="AA979">
        <v>0</v>
      </c>
      <c r="AB979">
        <v>0</v>
      </c>
      <c r="AC979">
        <v>0</v>
      </c>
      <c r="AD979">
        <v>0</v>
      </c>
      <c r="AE979">
        <v>0</v>
      </c>
      <c r="AF979">
        <v>0</v>
      </c>
      <c r="AG979" t="s">
        <v>71</v>
      </c>
      <c r="AH979">
        <v>0</v>
      </c>
      <c r="AI979">
        <v>0</v>
      </c>
      <c r="AJ979">
        <v>0</v>
      </c>
      <c r="AK979">
        <v>0</v>
      </c>
      <c r="AL979" t="s">
        <v>146</v>
      </c>
      <c r="AM979" t="s">
        <v>93</v>
      </c>
      <c r="AN979" t="s">
        <v>148</v>
      </c>
      <c r="AO979" t="s">
        <v>147</v>
      </c>
      <c r="AP979">
        <v>0</v>
      </c>
      <c r="AQ979">
        <v>0</v>
      </c>
      <c r="AR979">
        <v>128</v>
      </c>
      <c r="AS979">
        <v>0</v>
      </c>
      <c r="AT979">
        <v>0</v>
      </c>
      <c r="AU979">
        <v>0</v>
      </c>
      <c r="AV979">
        <v>0</v>
      </c>
      <c r="AW979">
        <v>0</v>
      </c>
      <c r="AX979">
        <v>0</v>
      </c>
      <c r="AY979">
        <v>0</v>
      </c>
    </row>
    <row r="980" spans="1:51" x14ac:dyDescent="0.25">
      <c r="A980">
        <v>2</v>
      </c>
      <c r="B980">
        <v>10040</v>
      </c>
      <c r="C980" t="s">
        <v>735</v>
      </c>
      <c r="D980" t="s">
        <v>96</v>
      </c>
      <c r="E980" t="s">
        <v>121</v>
      </c>
      <c r="F980" t="s">
        <v>107</v>
      </c>
      <c r="G980" t="s">
        <v>77</v>
      </c>
      <c r="H980" t="s">
        <v>78</v>
      </c>
      <c r="I980" t="s">
        <v>79</v>
      </c>
      <c r="J980" t="s">
        <v>70</v>
      </c>
      <c r="K980" t="s">
        <v>75</v>
      </c>
      <c r="L980" t="s">
        <v>76</v>
      </c>
      <c r="M980" t="s">
        <v>103</v>
      </c>
      <c r="N980" t="s">
        <v>74</v>
      </c>
      <c r="O980" t="s">
        <v>104</v>
      </c>
      <c r="P980" t="s">
        <v>71</v>
      </c>
      <c r="Q980" t="s">
        <v>71</v>
      </c>
      <c r="R980" t="s">
        <v>71</v>
      </c>
      <c r="S980">
        <v>0</v>
      </c>
      <c r="T980">
        <v>1</v>
      </c>
      <c r="U980" t="s">
        <v>72</v>
      </c>
      <c r="V980" t="s">
        <v>73</v>
      </c>
      <c r="W980">
        <v>0</v>
      </c>
      <c r="X980">
        <v>0</v>
      </c>
      <c r="Y980">
        <v>0</v>
      </c>
      <c r="Z980">
        <v>0</v>
      </c>
      <c r="AA980">
        <v>0</v>
      </c>
      <c r="AB980">
        <v>0</v>
      </c>
      <c r="AC980">
        <v>0</v>
      </c>
      <c r="AD980">
        <v>0</v>
      </c>
      <c r="AE980">
        <v>0</v>
      </c>
      <c r="AF980">
        <v>0</v>
      </c>
      <c r="AG980" t="s">
        <v>110</v>
      </c>
      <c r="AH980">
        <v>0</v>
      </c>
      <c r="AI980">
        <v>0</v>
      </c>
      <c r="AJ980">
        <v>0</v>
      </c>
      <c r="AK980">
        <v>0</v>
      </c>
      <c r="AL980" t="s">
        <v>146</v>
      </c>
      <c r="AM980" t="s">
        <v>93</v>
      </c>
      <c r="AN980" t="s">
        <v>148</v>
      </c>
      <c r="AO980" t="s">
        <v>147</v>
      </c>
      <c r="AP980">
        <v>0</v>
      </c>
      <c r="AQ980">
        <v>0</v>
      </c>
      <c r="AR980">
        <v>128</v>
      </c>
      <c r="AS980">
        <v>0</v>
      </c>
      <c r="AT980">
        <v>0</v>
      </c>
      <c r="AU980">
        <v>0</v>
      </c>
      <c r="AV980">
        <v>0</v>
      </c>
      <c r="AW980">
        <v>0</v>
      </c>
      <c r="AX980">
        <v>0</v>
      </c>
      <c r="AY980">
        <v>0</v>
      </c>
    </row>
    <row r="981" spans="1:51" x14ac:dyDescent="0.25">
      <c r="A981">
        <v>2</v>
      </c>
      <c r="B981">
        <v>10050</v>
      </c>
      <c r="C981" t="s">
        <v>735</v>
      </c>
      <c r="D981" t="s">
        <v>96</v>
      </c>
      <c r="E981" t="s">
        <v>121</v>
      </c>
      <c r="F981" t="s">
        <v>107</v>
      </c>
      <c r="G981" t="s">
        <v>77</v>
      </c>
      <c r="H981" t="s">
        <v>78</v>
      </c>
      <c r="I981" t="s">
        <v>79</v>
      </c>
      <c r="J981" t="s">
        <v>70</v>
      </c>
      <c r="K981" t="s">
        <v>75</v>
      </c>
      <c r="L981" t="s">
        <v>76</v>
      </c>
      <c r="M981" t="s">
        <v>103</v>
      </c>
      <c r="N981" t="s">
        <v>74</v>
      </c>
      <c r="O981" t="s">
        <v>104</v>
      </c>
      <c r="P981" t="s">
        <v>71</v>
      </c>
      <c r="Q981" t="s">
        <v>71</v>
      </c>
      <c r="R981" t="s">
        <v>71</v>
      </c>
      <c r="S981">
        <v>0</v>
      </c>
      <c r="T981">
        <v>1</v>
      </c>
      <c r="U981" t="s">
        <v>72</v>
      </c>
      <c r="V981" t="s">
        <v>73</v>
      </c>
      <c r="W981">
        <v>0</v>
      </c>
      <c r="X981">
        <v>0</v>
      </c>
      <c r="Y981">
        <v>0</v>
      </c>
      <c r="Z981">
        <v>0</v>
      </c>
      <c r="AA981">
        <v>0</v>
      </c>
      <c r="AB981">
        <v>0</v>
      </c>
      <c r="AC981">
        <v>0</v>
      </c>
      <c r="AD981">
        <v>0</v>
      </c>
      <c r="AE981">
        <v>0</v>
      </c>
      <c r="AF981">
        <v>0</v>
      </c>
      <c r="AG981" t="s">
        <v>110</v>
      </c>
      <c r="AH981">
        <v>0</v>
      </c>
      <c r="AI981">
        <v>0</v>
      </c>
      <c r="AJ981">
        <v>0</v>
      </c>
      <c r="AK981">
        <v>0</v>
      </c>
      <c r="AL981" t="s">
        <v>146</v>
      </c>
      <c r="AM981" t="s">
        <v>93</v>
      </c>
      <c r="AN981" t="s">
        <v>148</v>
      </c>
      <c r="AO981" t="s">
        <v>147</v>
      </c>
      <c r="AP981">
        <v>0</v>
      </c>
      <c r="AQ981">
        <v>0</v>
      </c>
      <c r="AR981">
        <v>128</v>
      </c>
      <c r="AS981">
        <v>0</v>
      </c>
      <c r="AT981">
        <v>0</v>
      </c>
      <c r="AU981">
        <v>0</v>
      </c>
      <c r="AV981">
        <v>0</v>
      </c>
      <c r="AW981">
        <v>0</v>
      </c>
      <c r="AX981">
        <v>0</v>
      </c>
      <c r="AY981">
        <v>0</v>
      </c>
    </row>
    <row r="982" spans="1:51" x14ac:dyDescent="0.25">
      <c r="A982">
        <v>2</v>
      </c>
      <c r="B982">
        <v>10060</v>
      </c>
      <c r="C982" t="s">
        <v>735</v>
      </c>
      <c r="D982" t="s">
        <v>96</v>
      </c>
      <c r="E982" t="s">
        <v>121</v>
      </c>
      <c r="F982" t="s">
        <v>107</v>
      </c>
      <c r="G982" t="s">
        <v>77</v>
      </c>
      <c r="H982" t="s">
        <v>78</v>
      </c>
      <c r="I982" t="s">
        <v>79</v>
      </c>
      <c r="J982" t="s">
        <v>70</v>
      </c>
      <c r="K982" t="s">
        <v>75</v>
      </c>
      <c r="L982" t="s">
        <v>76</v>
      </c>
      <c r="M982" t="s">
        <v>103</v>
      </c>
      <c r="N982" t="s">
        <v>74</v>
      </c>
      <c r="O982" t="s">
        <v>104</v>
      </c>
      <c r="P982" t="s">
        <v>71</v>
      </c>
      <c r="Q982" t="s">
        <v>71</v>
      </c>
      <c r="R982" t="s">
        <v>71</v>
      </c>
      <c r="S982">
        <v>0</v>
      </c>
      <c r="T982">
        <v>1</v>
      </c>
      <c r="U982" t="s">
        <v>72</v>
      </c>
      <c r="V982" t="s">
        <v>73</v>
      </c>
      <c r="W982">
        <v>0</v>
      </c>
      <c r="X982">
        <v>0</v>
      </c>
      <c r="Y982">
        <v>0</v>
      </c>
      <c r="Z982">
        <v>0</v>
      </c>
      <c r="AA982">
        <v>0</v>
      </c>
      <c r="AB982">
        <v>0</v>
      </c>
      <c r="AC982">
        <v>0</v>
      </c>
      <c r="AD982">
        <v>0</v>
      </c>
      <c r="AE982">
        <v>0</v>
      </c>
      <c r="AF982">
        <v>0</v>
      </c>
      <c r="AG982" t="s">
        <v>71</v>
      </c>
      <c r="AH982">
        <v>0</v>
      </c>
      <c r="AI982">
        <v>0</v>
      </c>
      <c r="AJ982">
        <v>0</v>
      </c>
      <c r="AK982">
        <v>0</v>
      </c>
      <c r="AL982" t="s">
        <v>146</v>
      </c>
      <c r="AM982" t="s">
        <v>93</v>
      </c>
      <c r="AN982" t="s">
        <v>148</v>
      </c>
      <c r="AO982" t="s">
        <v>147</v>
      </c>
      <c r="AP982">
        <v>0</v>
      </c>
      <c r="AQ982">
        <v>0</v>
      </c>
      <c r="AR982">
        <v>128</v>
      </c>
      <c r="AS982">
        <v>0</v>
      </c>
      <c r="AT982">
        <v>0</v>
      </c>
      <c r="AU982">
        <v>0</v>
      </c>
      <c r="AV982">
        <v>0</v>
      </c>
      <c r="AW982">
        <v>0</v>
      </c>
      <c r="AX982">
        <v>0</v>
      </c>
      <c r="AY982">
        <v>0</v>
      </c>
    </row>
    <row r="983" spans="1:51" x14ac:dyDescent="0.25">
      <c r="A983">
        <v>2</v>
      </c>
      <c r="B983">
        <v>10070</v>
      </c>
      <c r="C983" t="s">
        <v>735</v>
      </c>
      <c r="D983" t="s">
        <v>96</v>
      </c>
      <c r="E983" t="s">
        <v>121</v>
      </c>
      <c r="F983" t="s">
        <v>107</v>
      </c>
      <c r="G983" t="s">
        <v>77</v>
      </c>
      <c r="H983" t="s">
        <v>78</v>
      </c>
      <c r="I983" t="s">
        <v>79</v>
      </c>
      <c r="J983" t="s">
        <v>70</v>
      </c>
      <c r="K983" t="s">
        <v>75</v>
      </c>
      <c r="L983" t="s">
        <v>76</v>
      </c>
      <c r="M983" t="s">
        <v>103</v>
      </c>
      <c r="N983" t="s">
        <v>74</v>
      </c>
      <c r="O983" t="s">
        <v>104</v>
      </c>
      <c r="P983" t="s">
        <v>71</v>
      </c>
      <c r="Q983" t="s">
        <v>71</v>
      </c>
      <c r="R983" t="s">
        <v>71</v>
      </c>
      <c r="S983">
        <v>0</v>
      </c>
      <c r="T983">
        <v>1</v>
      </c>
      <c r="U983" t="s">
        <v>72</v>
      </c>
      <c r="V983" t="s">
        <v>73</v>
      </c>
      <c r="W983">
        <v>0</v>
      </c>
      <c r="X983">
        <v>0</v>
      </c>
      <c r="Y983">
        <v>0</v>
      </c>
      <c r="Z983">
        <v>0</v>
      </c>
      <c r="AA983">
        <v>0</v>
      </c>
      <c r="AB983">
        <v>0</v>
      </c>
      <c r="AC983">
        <v>0</v>
      </c>
      <c r="AD983">
        <v>0</v>
      </c>
      <c r="AE983">
        <v>0</v>
      </c>
      <c r="AF983">
        <v>0</v>
      </c>
      <c r="AG983" t="s">
        <v>110</v>
      </c>
      <c r="AH983">
        <v>0</v>
      </c>
      <c r="AI983">
        <v>0</v>
      </c>
      <c r="AJ983">
        <v>0</v>
      </c>
      <c r="AK983">
        <v>0</v>
      </c>
      <c r="AL983" t="s">
        <v>146</v>
      </c>
      <c r="AM983" t="s">
        <v>93</v>
      </c>
      <c r="AN983" t="s">
        <v>148</v>
      </c>
      <c r="AO983" t="s">
        <v>147</v>
      </c>
      <c r="AP983">
        <v>0</v>
      </c>
      <c r="AQ983">
        <v>0</v>
      </c>
      <c r="AR983">
        <v>128</v>
      </c>
      <c r="AS983">
        <v>0</v>
      </c>
      <c r="AT983">
        <v>0</v>
      </c>
      <c r="AU983">
        <v>0</v>
      </c>
      <c r="AV983">
        <v>0</v>
      </c>
      <c r="AW983">
        <v>0</v>
      </c>
      <c r="AX983">
        <v>0</v>
      </c>
      <c r="AY983">
        <v>0</v>
      </c>
    </row>
    <row r="984" spans="1:51" x14ac:dyDescent="0.25">
      <c r="A984">
        <v>2</v>
      </c>
      <c r="B984">
        <v>34040</v>
      </c>
      <c r="C984" t="s">
        <v>735</v>
      </c>
      <c r="D984" t="s">
        <v>96</v>
      </c>
      <c r="E984" t="s">
        <v>121</v>
      </c>
      <c r="F984" t="s">
        <v>107</v>
      </c>
      <c r="G984" t="s">
        <v>77</v>
      </c>
      <c r="H984" t="s">
        <v>78</v>
      </c>
      <c r="I984" t="s">
        <v>79</v>
      </c>
      <c r="J984" t="s">
        <v>70</v>
      </c>
      <c r="K984" t="s">
        <v>75</v>
      </c>
      <c r="L984" t="s">
        <v>76</v>
      </c>
      <c r="M984" t="s">
        <v>103</v>
      </c>
      <c r="N984" t="s">
        <v>74</v>
      </c>
      <c r="O984" t="s">
        <v>104</v>
      </c>
      <c r="P984" t="s">
        <v>71</v>
      </c>
      <c r="Q984" t="s">
        <v>71</v>
      </c>
      <c r="R984" t="s">
        <v>71</v>
      </c>
      <c r="S984">
        <v>0</v>
      </c>
      <c r="T984">
        <v>1</v>
      </c>
      <c r="U984" t="s">
        <v>72</v>
      </c>
      <c r="V984" t="s">
        <v>73</v>
      </c>
      <c r="W984">
        <v>0</v>
      </c>
      <c r="X984">
        <v>0</v>
      </c>
      <c r="Y984">
        <v>0</v>
      </c>
      <c r="Z984">
        <v>0</v>
      </c>
      <c r="AA984">
        <v>0</v>
      </c>
      <c r="AB984">
        <v>0</v>
      </c>
      <c r="AC984">
        <v>0</v>
      </c>
      <c r="AD984">
        <v>0</v>
      </c>
      <c r="AE984">
        <v>0</v>
      </c>
      <c r="AF984">
        <v>0</v>
      </c>
      <c r="AG984" t="s">
        <v>110</v>
      </c>
      <c r="AH984">
        <v>0</v>
      </c>
      <c r="AI984">
        <v>0</v>
      </c>
      <c r="AJ984">
        <v>0</v>
      </c>
      <c r="AK984">
        <v>0</v>
      </c>
      <c r="AL984" t="s">
        <v>146</v>
      </c>
      <c r="AM984" t="s">
        <v>93</v>
      </c>
      <c r="AN984" t="s">
        <v>148</v>
      </c>
      <c r="AO984" t="s">
        <v>147</v>
      </c>
      <c r="AP984">
        <v>0</v>
      </c>
      <c r="AQ984">
        <v>0</v>
      </c>
      <c r="AR984">
        <v>128</v>
      </c>
      <c r="AS984">
        <v>0</v>
      </c>
      <c r="AT984">
        <v>0</v>
      </c>
      <c r="AU984">
        <v>0</v>
      </c>
      <c r="AV984">
        <v>0</v>
      </c>
      <c r="AW984">
        <v>0</v>
      </c>
      <c r="AX984">
        <v>0</v>
      </c>
      <c r="AY984">
        <v>0</v>
      </c>
    </row>
    <row r="985" spans="1:51" x14ac:dyDescent="0.25">
      <c r="A985">
        <v>2</v>
      </c>
      <c r="B985">
        <v>34050</v>
      </c>
      <c r="C985" t="s">
        <v>735</v>
      </c>
      <c r="D985" t="s">
        <v>96</v>
      </c>
      <c r="E985" t="s">
        <v>121</v>
      </c>
      <c r="F985" t="s">
        <v>107</v>
      </c>
      <c r="G985" t="s">
        <v>77</v>
      </c>
      <c r="H985" t="s">
        <v>78</v>
      </c>
      <c r="I985" t="s">
        <v>79</v>
      </c>
      <c r="J985" t="s">
        <v>70</v>
      </c>
      <c r="K985" t="s">
        <v>75</v>
      </c>
      <c r="L985" t="s">
        <v>76</v>
      </c>
      <c r="M985" t="s">
        <v>103</v>
      </c>
      <c r="N985" t="s">
        <v>74</v>
      </c>
      <c r="O985" t="s">
        <v>104</v>
      </c>
      <c r="P985" t="s">
        <v>71</v>
      </c>
      <c r="Q985" t="s">
        <v>71</v>
      </c>
      <c r="R985" t="s">
        <v>71</v>
      </c>
      <c r="S985">
        <v>0</v>
      </c>
      <c r="T985">
        <v>1</v>
      </c>
      <c r="U985" t="s">
        <v>72</v>
      </c>
      <c r="V985" t="s">
        <v>73</v>
      </c>
      <c r="W985">
        <v>0</v>
      </c>
      <c r="X985">
        <v>0</v>
      </c>
      <c r="Y985">
        <v>0</v>
      </c>
      <c r="Z985">
        <v>0</v>
      </c>
      <c r="AA985">
        <v>0</v>
      </c>
      <c r="AB985">
        <v>0</v>
      </c>
      <c r="AC985">
        <v>0</v>
      </c>
      <c r="AD985">
        <v>0</v>
      </c>
      <c r="AE985">
        <v>0</v>
      </c>
      <c r="AF985">
        <v>0</v>
      </c>
      <c r="AG985" t="s">
        <v>110</v>
      </c>
      <c r="AH985">
        <v>0</v>
      </c>
      <c r="AI985">
        <v>0</v>
      </c>
      <c r="AJ985">
        <v>0</v>
      </c>
      <c r="AK985">
        <v>0</v>
      </c>
      <c r="AL985" t="s">
        <v>99</v>
      </c>
      <c r="AM985" t="s">
        <v>93</v>
      </c>
      <c r="AN985" t="s">
        <v>148</v>
      </c>
      <c r="AO985" t="s">
        <v>147</v>
      </c>
      <c r="AP985">
        <v>0</v>
      </c>
      <c r="AQ985">
        <v>0</v>
      </c>
      <c r="AR985">
        <v>0</v>
      </c>
      <c r="AS985">
        <v>0</v>
      </c>
      <c r="AT985">
        <v>0</v>
      </c>
      <c r="AU985">
        <v>0</v>
      </c>
      <c r="AV985">
        <v>0</v>
      </c>
      <c r="AW985">
        <v>0</v>
      </c>
      <c r="AX985">
        <v>0</v>
      </c>
      <c r="AY985">
        <v>0</v>
      </c>
    </row>
    <row r="986" spans="1:51" x14ac:dyDescent="0.25">
      <c r="A986">
        <v>2</v>
      </c>
      <c r="B986">
        <v>34060</v>
      </c>
      <c r="C986" t="s">
        <v>735</v>
      </c>
      <c r="D986" t="s">
        <v>96</v>
      </c>
      <c r="E986" t="s">
        <v>121</v>
      </c>
      <c r="F986" t="s">
        <v>107</v>
      </c>
      <c r="G986" t="s">
        <v>77</v>
      </c>
      <c r="H986" t="s">
        <v>78</v>
      </c>
      <c r="I986" t="s">
        <v>79</v>
      </c>
      <c r="J986" t="s">
        <v>70</v>
      </c>
      <c r="K986" t="s">
        <v>75</v>
      </c>
      <c r="L986" t="s">
        <v>76</v>
      </c>
      <c r="M986" t="s">
        <v>103</v>
      </c>
      <c r="N986" t="s">
        <v>74</v>
      </c>
      <c r="O986" t="s">
        <v>104</v>
      </c>
      <c r="P986" t="s">
        <v>71</v>
      </c>
      <c r="Q986" t="s">
        <v>71</v>
      </c>
      <c r="R986" t="s">
        <v>71</v>
      </c>
      <c r="S986">
        <v>0</v>
      </c>
      <c r="T986">
        <v>1</v>
      </c>
      <c r="U986" t="s">
        <v>72</v>
      </c>
      <c r="V986" t="s">
        <v>73</v>
      </c>
      <c r="W986">
        <v>0</v>
      </c>
      <c r="X986">
        <v>0</v>
      </c>
      <c r="Y986">
        <v>0</v>
      </c>
      <c r="Z986">
        <v>0</v>
      </c>
      <c r="AA986">
        <v>0</v>
      </c>
      <c r="AB986">
        <v>0</v>
      </c>
      <c r="AC986">
        <v>0</v>
      </c>
      <c r="AD986">
        <v>0</v>
      </c>
      <c r="AE986">
        <v>0</v>
      </c>
      <c r="AF986">
        <v>0</v>
      </c>
      <c r="AG986" t="s">
        <v>110</v>
      </c>
      <c r="AH986">
        <v>0</v>
      </c>
      <c r="AI986">
        <v>0</v>
      </c>
      <c r="AJ986">
        <v>0</v>
      </c>
      <c r="AK986">
        <v>0</v>
      </c>
      <c r="AL986" t="s">
        <v>99</v>
      </c>
      <c r="AM986" t="s">
        <v>93</v>
      </c>
      <c r="AN986" t="s">
        <v>148</v>
      </c>
      <c r="AO986" t="s">
        <v>147</v>
      </c>
      <c r="AP986">
        <v>0</v>
      </c>
      <c r="AQ986">
        <v>0</v>
      </c>
      <c r="AR986">
        <v>0</v>
      </c>
      <c r="AS986">
        <v>0</v>
      </c>
      <c r="AT986">
        <v>0</v>
      </c>
      <c r="AU986">
        <v>0</v>
      </c>
      <c r="AV986">
        <v>0</v>
      </c>
      <c r="AW986">
        <v>0</v>
      </c>
      <c r="AX986">
        <v>0</v>
      </c>
      <c r="AY986">
        <v>0</v>
      </c>
    </row>
    <row r="987" spans="1:51" x14ac:dyDescent="0.25">
      <c r="A987">
        <v>0</v>
      </c>
      <c r="C987" t="s">
        <v>735</v>
      </c>
      <c r="D987" t="s">
        <v>736</v>
      </c>
      <c r="E987" t="s">
        <v>736</v>
      </c>
      <c r="F987" t="s">
        <v>736</v>
      </c>
      <c r="G987" t="s">
        <v>736</v>
      </c>
      <c r="H987" t="s">
        <v>736</v>
      </c>
      <c r="I987" t="s">
        <v>736</v>
      </c>
      <c r="J987" t="s">
        <v>736</v>
      </c>
      <c r="K987" t="s">
        <v>736</v>
      </c>
      <c r="L987" t="s">
        <v>736</v>
      </c>
      <c r="M987" t="s">
        <v>736</v>
      </c>
      <c r="N987" t="s">
        <v>736</v>
      </c>
      <c r="O987" t="s">
        <v>736</v>
      </c>
      <c r="P987" t="s">
        <v>736</v>
      </c>
      <c r="Q987" t="s">
        <v>736</v>
      </c>
      <c r="R987" t="s">
        <v>736</v>
      </c>
      <c r="S987" t="s">
        <v>736</v>
      </c>
      <c r="T987" t="s">
        <v>736</v>
      </c>
      <c r="U987" t="s">
        <v>736</v>
      </c>
      <c r="V987" t="s">
        <v>736</v>
      </c>
      <c r="W987" t="s">
        <v>736</v>
      </c>
      <c r="X987" t="s">
        <v>736</v>
      </c>
      <c r="Y987" t="s">
        <v>736</v>
      </c>
      <c r="Z987" t="s">
        <v>736</v>
      </c>
      <c r="AA987" t="s">
        <v>736</v>
      </c>
      <c r="AB987" t="s">
        <v>736</v>
      </c>
      <c r="AC987" t="s">
        <v>736</v>
      </c>
      <c r="AD987" t="s">
        <v>736</v>
      </c>
      <c r="AE987" t="s">
        <v>736</v>
      </c>
      <c r="AF987" t="s">
        <v>736</v>
      </c>
      <c r="AG987" t="s">
        <v>736</v>
      </c>
      <c r="AH987" t="s">
        <v>736</v>
      </c>
      <c r="AI987" t="s">
        <v>736</v>
      </c>
      <c r="AJ987" t="s">
        <v>736</v>
      </c>
      <c r="AK987" t="s">
        <v>736</v>
      </c>
      <c r="AL987" t="s">
        <v>736</v>
      </c>
      <c r="AM987" t="s">
        <v>736</v>
      </c>
      <c r="AN987" t="s">
        <v>736</v>
      </c>
      <c r="AO987" t="s">
        <v>736</v>
      </c>
      <c r="AP987" t="s">
        <v>736</v>
      </c>
      <c r="AQ987" t="s">
        <v>736</v>
      </c>
      <c r="AR987" t="s">
        <v>736</v>
      </c>
      <c r="AS987" t="s">
        <v>736</v>
      </c>
      <c r="AT987" t="s">
        <v>736</v>
      </c>
      <c r="AU987" t="s">
        <v>736</v>
      </c>
      <c r="AV987" t="s">
        <v>736</v>
      </c>
      <c r="AW987" t="s">
        <v>736</v>
      </c>
      <c r="AX987" t="s">
        <v>736</v>
      </c>
      <c r="AY987" t="s">
        <v>736</v>
      </c>
    </row>
    <row r="988" spans="1:51" x14ac:dyDescent="0.25">
      <c r="A988">
        <v>5</v>
      </c>
      <c r="B988">
        <v>10</v>
      </c>
      <c r="C988" t="s">
        <v>735</v>
      </c>
      <c r="D988" t="s">
        <v>96</v>
      </c>
      <c r="E988" t="s">
        <v>121</v>
      </c>
      <c r="F988" t="s">
        <v>107</v>
      </c>
      <c r="G988" t="s">
        <v>101</v>
      </c>
      <c r="H988" t="s">
        <v>78</v>
      </c>
      <c r="I988" t="s">
        <v>79</v>
      </c>
      <c r="J988" t="s">
        <v>70</v>
      </c>
      <c r="K988" t="s">
        <v>75</v>
      </c>
      <c r="L988" t="s">
        <v>76</v>
      </c>
      <c r="M988" t="s">
        <v>103</v>
      </c>
      <c r="N988" t="s">
        <v>74</v>
      </c>
      <c r="O988" t="s">
        <v>104</v>
      </c>
      <c r="P988" t="s">
        <v>71</v>
      </c>
      <c r="Q988" t="s">
        <v>71</v>
      </c>
      <c r="R988" t="s">
        <v>71</v>
      </c>
      <c r="S988">
        <v>0</v>
      </c>
      <c r="T988">
        <v>0</v>
      </c>
      <c r="U988" t="s">
        <v>72</v>
      </c>
      <c r="V988" t="s">
        <v>73</v>
      </c>
      <c r="W988">
        <v>0</v>
      </c>
      <c r="X988">
        <v>0</v>
      </c>
      <c r="Y988">
        <v>0</v>
      </c>
      <c r="Z988">
        <v>0</v>
      </c>
      <c r="AA988">
        <v>0</v>
      </c>
      <c r="AB988">
        <v>0</v>
      </c>
      <c r="AC988">
        <v>0</v>
      </c>
      <c r="AD988">
        <v>0</v>
      </c>
      <c r="AE988">
        <v>0</v>
      </c>
      <c r="AF988">
        <v>0</v>
      </c>
      <c r="AG988" t="s">
        <v>71</v>
      </c>
      <c r="AH988">
        <v>0</v>
      </c>
      <c r="AI988">
        <v>0</v>
      </c>
      <c r="AJ988">
        <v>0</v>
      </c>
      <c r="AK988">
        <v>0</v>
      </c>
      <c r="AL988" t="s">
        <v>91</v>
      </c>
      <c r="AM988" t="s">
        <v>93</v>
      </c>
      <c r="AN988" t="s">
        <v>94</v>
      </c>
      <c r="AO988" t="s">
        <v>92</v>
      </c>
      <c r="AP988">
        <v>0</v>
      </c>
      <c r="AQ988">
        <v>0</v>
      </c>
      <c r="AR988">
        <v>0</v>
      </c>
      <c r="AS988">
        <v>0</v>
      </c>
      <c r="AT988">
        <v>0</v>
      </c>
      <c r="AU988">
        <v>0</v>
      </c>
      <c r="AV988">
        <v>0</v>
      </c>
      <c r="AW988">
        <v>0</v>
      </c>
      <c r="AX988">
        <v>0</v>
      </c>
      <c r="AY988">
        <v>0</v>
      </c>
    </row>
    <row r="989" spans="1:51" x14ac:dyDescent="0.25">
      <c r="A989">
        <v>5</v>
      </c>
      <c r="B989">
        <v>5010</v>
      </c>
      <c r="C989" t="s">
        <v>735</v>
      </c>
      <c r="D989" t="s">
        <v>96</v>
      </c>
      <c r="E989" t="s">
        <v>121</v>
      </c>
      <c r="F989" t="s">
        <v>107</v>
      </c>
      <c r="G989" t="s">
        <v>101</v>
      </c>
      <c r="H989" t="s">
        <v>78</v>
      </c>
      <c r="I989" t="s">
        <v>79</v>
      </c>
      <c r="J989" t="s">
        <v>70</v>
      </c>
      <c r="K989" t="s">
        <v>75</v>
      </c>
      <c r="L989" t="s">
        <v>76</v>
      </c>
      <c r="M989" t="s">
        <v>103</v>
      </c>
      <c r="N989" t="s">
        <v>74</v>
      </c>
      <c r="O989" t="s">
        <v>104</v>
      </c>
      <c r="P989" t="s">
        <v>71</v>
      </c>
      <c r="Q989" t="s">
        <v>71</v>
      </c>
      <c r="R989" t="s">
        <v>71</v>
      </c>
      <c r="S989">
        <v>0</v>
      </c>
      <c r="T989">
        <v>0</v>
      </c>
      <c r="U989" t="s">
        <v>72</v>
      </c>
      <c r="V989" t="s">
        <v>73</v>
      </c>
      <c r="W989">
        <v>0</v>
      </c>
      <c r="X989">
        <v>0</v>
      </c>
      <c r="Y989">
        <v>0</v>
      </c>
      <c r="Z989">
        <v>0</v>
      </c>
      <c r="AA989">
        <v>0</v>
      </c>
      <c r="AB989">
        <v>0</v>
      </c>
      <c r="AC989">
        <v>0</v>
      </c>
      <c r="AD989">
        <v>0</v>
      </c>
      <c r="AE989">
        <v>0</v>
      </c>
      <c r="AF989">
        <v>0</v>
      </c>
      <c r="AG989" t="s">
        <v>71</v>
      </c>
      <c r="AH989">
        <v>0</v>
      </c>
      <c r="AI989">
        <v>0</v>
      </c>
      <c r="AJ989">
        <v>0</v>
      </c>
      <c r="AK989">
        <v>0</v>
      </c>
      <c r="AL989" t="s">
        <v>91</v>
      </c>
      <c r="AM989" t="s">
        <v>93</v>
      </c>
      <c r="AN989" t="s">
        <v>94</v>
      </c>
      <c r="AO989" t="s">
        <v>92</v>
      </c>
      <c r="AP989">
        <v>0</v>
      </c>
      <c r="AQ989">
        <v>0</v>
      </c>
      <c r="AR989">
        <v>0</v>
      </c>
      <c r="AS989">
        <v>0</v>
      </c>
      <c r="AT989">
        <v>0</v>
      </c>
      <c r="AU989">
        <v>0</v>
      </c>
      <c r="AV989">
        <v>0</v>
      </c>
      <c r="AW989">
        <v>0</v>
      </c>
      <c r="AX989">
        <v>0</v>
      </c>
      <c r="AY989">
        <v>0</v>
      </c>
    </row>
    <row r="990" spans="1:51" x14ac:dyDescent="0.25">
      <c r="A990">
        <v>5</v>
      </c>
      <c r="B990">
        <v>5020</v>
      </c>
      <c r="C990" t="s">
        <v>735</v>
      </c>
      <c r="D990" t="s">
        <v>96</v>
      </c>
      <c r="E990" t="s">
        <v>121</v>
      </c>
      <c r="F990" t="s">
        <v>107</v>
      </c>
      <c r="G990" t="s">
        <v>101</v>
      </c>
      <c r="H990" t="s">
        <v>78</v>
      </c>
      <c r="I990" t="s">
        <v>79</v>
      </c>
      <c r="J990" t="s">
        <v>70</v>
      </c>
      <c r="K990" t="s">
        <v>75</v>
      </c>
      <c r="L990" t="s">
        <v>76</v>
      </c>
      <c r="M990" t="s">
        <v>103</v>
      </c>
      <c r="N990" t="s">
        <v>74</v>
      </c>
      <c r="O990" t="s">
        <v>104</v>
      </c>
      <c r="P990" t="s">
        <v>71</v>
      </c>
      <c r="Q990" t="s">
        <v>71</v>
      </c>
      <c r="R990" t="s">
        <v>71</v>
      </c>
      <c r="S990">
        <v>0</v>
      </c>
      <c r="T990">
        <v>0</v>
      </c>
      <c r="U990" t="s">
        <v>72</v>
      </c>
      <c r="V990" t="s">
        <v>73</v>
      </c>
      <c r="W990">
        <v>0</v>
      </c>
      <c r="X990">
        <v>0</v>
      </c>
      <c r="Y990">
        <v>0</v>
      </c>
      <c r="Z990">
        <v>0</v>
      </c>
      <c r="AA990">
        <v>0</v>
      </c>
      <c r="AB990">
        <v>0</v>
      </c>
      <c r="AC990">
        <v>0</v>
      </c>
      <c r="AD990">
        <v>0</v>
      </c>
      <c r="AE990">
        <v>0</v>
      </c>
      <c r="AF990">
        <v>0</v>
      </c>
      <c r="AG990" t="s">
        <v>71</v>
      </c>
      <c r="AH990">
        <v>0</v>
      </c>
      <c r="AI990">
        <v>0</v>
      </c>
      <c r="AJ990">
        <v>0</v>
      </c>
      <c r="AK990">
        <v>0</v>
      </c>
      <c r="AL990" t="s">
        <v>108</v>
      </c>
      <c r="AM990" t="s">
        <v>93</v>
      </c>
      <c r="AN990" t="s">
        <v>94</v>
      </c>
      <c r="AO990" t="s">
        <v>92</v>
      </c>
      <c r="AP990">
        <v>0</v>
      </c>
      <c r="AQ990">
        <v>0</v>
      </c>
      <c r="AR990">
        <v>0</v>
      </c>
      <c r="AS990">
        <v>0</v>
      </c>
      <c r="AT990">
        <v>0</v>
      </c>
      <c r="AU990">
        <v>0</v>
      </c>
      <c r="AV990">
        <v>0</v>
      </c>
      <c r="AW990">
        <v>0</v>
      </c>
      <c r="AX990">
        <v>0</v>
      </c>
      <c r="AY990">
        <v>0</v>
      </c>
    </row>
    <row r="991" spans="1:51" x14ac:dyDescent="0.25">
      <c r="A991">
        <v>5</v>
      </c>
      <c r="B991">
        <v>5030</v>
      </c>
      <c r="C991" t="s">
        <v>735</v>
      </c>
      <c r="D991" t="s">
        <v>96</v>
      </c>
      <c r="E991" t="s">
        <v>121</v>
      </c>
      <c r="F991" t="s">
        <v>107</v>
      </c>
      <c r="G991" t="s">
        <v>101</v>
      </c>
      <c r="H991" t="s">
        <v>78</v>
      </c>
      <c r="I991" t="s">
        <v>79</v>
      </c>
      <c r="J991" t="s">
        <v>70</v>
      </c>
      <c r="K991" t="s">
        <v>75</v>
      </c>
      <c r="L991" t="s">
        <v>76</v>
      </c>
      <c r="M991" t="s">
        <v>103</v>
      </c>
      <c r="N991" t="s">
        <v>74</v>
      </c>
      <c r="O991" t="s">
        <v>104</v>
      </c>
      <c r="P991" t="s">
        <v>71</v>
      </c>
      <c r="Q991" t="s">
        <v>71</v>
      </c>
      <c r="R991" t="s">
        <v>71</v>
      </c>
      <c r="S991">
        <v>0</v>
      </c>
      <c r="T991">
        <v>0</v>
      </c>
      <c r="U991" t="s">
        <v>72</v>
      </c>
      <c r="V991" t="s">
        <v>73</v>
      </c>
      <c r="W991">
        <v>0</v>
      </c>
      <c r="X991">
        <v>0</v>
      </c>
      <c r="Y991">
        <v>0</v>
      </c>
      <c r="Z991">
        <v>0</v>
      </c>
      <c r="AA991">
        <v>0</v>
      </c>
      <c r="AB991">
        <v>0</v>
      </c>
      <c r="AC991">
        <v>0</v>
      </c>
      <c r="AD991">
        <v>0</v>
      </c>
      <c r="AE991">
        <v>0</v>
      </c>
      <c r="AF991">
        <v>0</v>
      </c>
      <c r="AG991" t="s">
        <v>71</v>
      </c>
      <c r="AH991">
        <v>0</v>
      </c>
      <c r="AI991">
        <v>0</v>
      </c>
      <c r="AJ991">
        <v>0</v>
      </c>
      <c r="AK991">
        <v>0</v>
      </c>
      <c r="AL991" t="s">
        <v>108</v>
      </c>
      <c r="AM991" t="s">
        <v>93</v>
      </c>
      <c r="AN991" t="s">
        <v>94</v>
      </c>
      <c r="AO991" t="s">
        <v>92</v>
      </c>
      <c r="AP991">
        <v>0</v>
      </c>
      <c r="AQ991">
        <v>0</v>
      </c>
      <c r="AR991">
        <v>0</v>
      </c>
      <c r="AS991">
        <v>0</v>
      </c>
      <c r="AT991">
        <v>0</v>
      </c>
      <c r="AU991">
        <v>0</v>
      </c>
      <c r="AV991">
        <v>0</v>
      </c>
      <c r="AW991">
        <v>0</v>
      </c>
      <c r="AX991">
        <v>0</v>
      </c>
      <c r="AY991">
        <v>0</v>
      </c>
    </row>
    <row r="992" spans="1:51" x14ac:dyDescent="0.25">
      <c r="A992">
        <v>5</v>
      </c>
      <c r="B992">
        <v>10010</v>
      </c>
      <c r="C992" t="s">
        <v>735</v>
      </c>
      <c r="D992" t="s">
        <v>96</v>
      </c>
      <c r="E992" t="s">
        <v>121</v>
      </c>
      <c r="F992" t="s">
        <v>107</v>
      </c>
      <c r="G992" t="s">
        <v>101</v>
      </c>
      <c r="H992" t="s">
        <v>78</v>
      </c>
      <c r="I992" t="s">
        <v>79</v>
      </c>
      <c r="J992" t="s">
        <v>70</v>
      </c>
      <c r="K992" t="s">
        <v>75</v>
      </c>
      <c r="L992" t="s">
        <v>76</v>
      </c>
      <c r="M992" t="s">
        <v>103</v>
      </c>
      <c r="N992" t="s">
        <v>74</v>
      </c>
      <c r="O992" t="s">
        <v>104</v>
      </c>
      <c r="P992" t="s">
        <v>71</v>
      </c>
      <c r="Q992" t="s">
        <v>71</v>
      </c>
      <c r="R992" t="s">
        <v>71</v>
      </c>
      <c r="S992">
        <v>0</v>
      </c>
      <c r="T992">
        <v>0</v>
      </c>
      <c r="U992" t="s">
        <v>72</v>
      </c>
      <c r="V992" t="s">
        <v>73</v>
      </c>
      <c r="W992">
        <v>0</v>
      </c>
      <c r="X992">
        <v>0</v>
      </c>
      <c r="Y992">
        <v>0</v>
      </c>
      <c r="Z992">
        <v>0</v>
      </c>
      <c r="AA992">
        <v>0</v>
      </c>
      <c r="AB992">
        <v>0</v>
      </c>
      <c r="AC992">
        <v>0</v>
      </c>
      <c r="AD992">
        <v>0</v>
      </c>
      <c r="AE992">
        <v>0</v>
      </c>
      <c r="AF992">
        <v>0</v>
      </c>
      <c r="AG992" t="s">
        <v>71</v>
      </c>
      <c r="AH992">
        <v>0</v>
      </c>
      <c r="AI992">
        <v>0</v>
      </c>
      <c r="AJ992">
        <v>0</v>
      </c>
      <c r="AK992">
        <v>0</v>
      </c>
      <c r="AL992" t="s">
        <v>108</v>
      </c>
      <c r="AM992" t="s">
        <v>93</v>
      </c>
      <c r="AN992" t="s">
        <v>94</v>
      </c>
      <c r="AO992" t="s">
        <v>92</v>
      </c>
      <c r="AP992">
        <v>0</v>
      </c>
      <c r="AQ992">
        <v>0</v>
      </c>
      <c r="AR992">
        <v>0</v>
      </c>
      <c r="AS992">
        <v>0</v>
      </c>
      <c r="AT992">
        <v>0</v>
      </c>
      <c r="AU992">
        <v>0</v>
      </c>
      <c r="AV992">
        <v>0</v>
      </c>
      <c r="AW992">
        <v>0</v>
      </c>
      <c r="AX992">
        <v>0</v>
      </c>
      <c r="AY992">
        <v>0</v>
      </c>
    </row>
    <row r="993" spans="1:51" x14ac:dyDescent="0.25">
      <c r="A993">
        <v>5</v>
      </c>
      <c r="B993">
        <v>10020</v>
      </c>
      <c r="C993" t="s">
        <v>735</v>
      </c>
      <c r="D993" t="s">
        <v>96</v>
      </c>
      <c r="E993" t="s">
        <v>121</v>
      </c>
      <c r="F993" t="s">
        <v>107</v>
      </c>
      <c r="G993" t="s">
        <v>101</v>
      </c>
      <c r="H993" t="s">
        <v>78</v>
      </c>
      <c r="I993" t="s">
        <v>79</v>
      </c>
      <c r="J993" t="s">
        <v>70</v>
      </c>
      <c r="K993" t="s">
        <v>75</v>
      </c>
      <c r="L993" t="s">
        <v>76</v>
      </c>
      <c r="M993" t="s">
        <v>103</v>
      </c>
      <c r="N993" t="s">
        <v>74</v>
      </c>
      <c r="O993" t="s">
        <v>104</v>
      </c>
      <c r="P993" t="s">
        <v>71</v>
      </c>
      <c r="Q993" t="s">
        <v>71</v>
      </c>
      <c r="R993" t="s">
        <v>71</v>
      </c>
      <c r="S993">
        <v>0</v>
      </c>
      <c r="T993">
        <v>0</v>
      </c>
      <c r="U993" t="s">
        <v>72</v>
      </c>
      <c r="V993" t="s">
        <v>73</v>
      </c>
      <c r="W993">
        <v>0</v>
      </c>
      <c r="X993">
        <v>0</v>
      </c>
      <c r="Y993">
        <v>0</v>
      </c>
      <c r="Z993">
        <v>0</v>
      </c>
      <c r="AA993">
        <v>0</v>
      </c>
      <c r="AB993">
        <v>0</v>
      </c>
      <c r="AC993">
        <v>0</v>
      </c>
      <c r="AD993">
        <v>0</v>
      </c>
      <c r="AE993">
        <v>0</v>
      </c>
      <c r="AF993">
        <v>0</v>
      </c>
      <c r="AG993" t="s">
        <v>71</v>
      </c>
      <c r="AH993">
        <v>0</v>
      </c>
      <c r="AI993">
        <v>0</v>
      </c>
      <c r="AJ993">
        <v>0</v>
      </c>
      <c r="AK993">
        <v>0</v>
      </c>
      <c r="AL993" t="s">
        <v>108</v>
      </c>
      <c r="AM993" t="s">
        <v>93</v>
      </c>
      <c r="AN993" t="s">
        <v>94</v>
      </c>
      <c r="AO993" t="s">
        <v>92</v>
      </c>
      <c r="AP993">
        <v>0</v>
      </c>
      <c r="AQ993">
        <v>0</v>
      </c>
      <c r="AR993">
        <v>0</v>
      </c>
      <c r="AS993">
        <v>0</v>
      </c>
      <c r="AT993">
        <v>0</v>
      </c>
      <c r="AU993">
        <v>0</v>
      </c>
      <c r="AV993">
        <v>0</v>
      </c>
      <c r="AW993">
        <v>0</v>
      </c>
      <c r="AX993">
        <v>0</v>
      </c>
      <c r="AY993">
        <v>0</v>
      </c>
    </row>
    <row r="994" spans="1:51" x14ac:dyDescent="0.25">
      <c r="A994">
        <v>5</v>
      </c>
      <c r="B994">
        <v>10030</v>
      </c>
      <c r="C994" t="s">
        <v>735</v>
      </c>
      <c r="D994" t="s">
        <v>96</v>
      </c>
      <c r="E994" t="s">
        <v>121</v>
      </c>
      <c r="F994" t="s">
        <v>107</v>
      </c>
      <c r="G994" t="s">
        <v>77</v>
      </c>
      <c r="H994" t="s">
        <v>78</v>
      </c>
      <c r="I994" t="s">
        <v>79</v>
      </c>
      <c r="J994" t="s">
        <v>70</v>
      </c>
      <c r="K994" t="s">
        <v>75</v>
      </c>
      <c r="L994" t="s">
        <v>76</v>
      </c>
      <c r="M994" t="s">
        <v>103</v>
      </c>
      <c r="N994" t="s">
        <v>74</v>
      </c>
      <c r="O994" t="s">
        <v>104</v>
      </c>
      <c r="P994" t="s">
        <v>71</v>
      </c>
      <c r="Q994" t="s">
        <v>71</v>
      </c>
      <c r="R994" t="s">
        <v>71</v>
      </c>
      <c r="S994">
        <v>0</v>
      </c>
      <c r="T994">
        <v>1</v>
      </c>
      <c r="U994" t="s">
        <v>72</v>
      </c>
      <c r="V994" t="s">
        <v>73</v>
      </c>
      <c r="W994">
        <v>0</v>
      </c>
      <c r="X994">
        <v>0</v>
      </c>
      <c r="Y994">
        <v>0</v>
      </c>
      <c r="Z994">
        <v>0</v>
      </c>
      <c r="AA994">
        <v>0</v>
      </c>
      <c r="AB994">
        <v>0</v>
      </c>
      <c r="AC994">
        <v>0</v>
      </c>
      <c r="AD994">
        <v>0</v>
      </c>
      <c r="AE994">
        <v>0</v>
      </c>
      <c r="AF994">
        <v>0</v>
      </c>
      <c r="AG994" t="s">
        <v>71</v>
      </c>
      <c r="AH994">
        <v>0</v>
      </c>
      <c r="AI994">
        <v>0</v>
      </c>
      <c r="AJ994">
        <v>0</v>
      </c>
      <c r="AK994">
        <v>0</v>
      </c>
      <c r="AL994" t="s">
        <v>146</v>
      </c>
      <c r="AM994" t="s">
        <v>93</v>
      </c>
      <c r="AN994" t="s">
        <v>148</v>
      </c>
      <c r="AO994" t="s">
        <v>147</v>
      </c>
      <c r="AP994">
        <v>0</v>
      </c>
      <c r="AQ994">
        <v>0</v>
      </c>
      <c r="AR994">
        <v>128</v>
      </c>
      <c r="AS994">
        <v>0</v>
      </c>
      <c r="AT994">
        <v>0</v>
      </c>
      <c r="AU994">
        <v>0</v>
      </c>
      <c r="AV994">
        <v>0</v>
      </c>
      <c r="AW994">
        <v>0</v>
      </c>
      <c r="AX994">
        <v>0</v>
      </c>
      <c r="AY994">
        <v>0</v>
      </c>
    </row>
    <row r="995" spans="1:51" x14ac:dyDescent="0.25">
      <c r="A995">
        <v>5</v>
      </c>
      <c r="B995">
        <v>10040</v>
      </c>
      <c r="C995" t="s">
        <v>735</v>
      </c>
      <c r="D995" t="s">
        <v>96</v>
      </c>
      <c r="E995" t="s">
        <v>100</v>
      </c>
      <c r="F995" t="s">
        <v>107</v>
      </c>
      <c r="G995" t="s">
        <v>77</v>
      </c>
      <c r="H995" t="s">
        <v>78</v>
      </c>
      <c r="I995" t="s">
        <v>79</v>
      </c>
      <c r="J995" t="s">
        <v>70</v>
      </c>
      <c r="K995" t="s">
        <v>75</v>
      </c>
      <c r="L995" t="s">
        <v>76</v>
      </c>
      <c r="M995" t="s">
        <v>103</v>
      </c>
      <c r="N995" t="s">
        <v>74</v>
      </c>
      <c r="O995" t="s">
        <v>104</v>
      </c>
      <c r="P995" t="s">
        <v>71</v>
      </c>
      <c r="Q995" t="s">
        <v>71</v>
      </c>
      <c r="R995" t="s">
        <v>71</v>
      </c>
      <c r="S995">
        <v>0</v>
      </c>
      <c r="T995">
        <v>1</v>
      </c>
      <c r="U995" t="s">
        <v>72</v>
      </c>
      <c r="V995" t="s">
        <v>192</v>
      </c>
      <c r="W995">
        <v>0</v>
      </c>
      <c r="X995">
        <v>0</v>
      </c>
      <c r="Y995">
        <v>0</v>
      </c>
      <c r="Z995">
        <v>0</v>
      </c>
      <c r="AA995">
        <v>0</v>
      </c>
      <c r="AB995">
        <v>0</v>
      </c>
      <c r="AC995">
        <v>0</v>
      </c>
      <c r="AD995">
        <v>0</v>
      </c>
      <c r="AE995">
        <v>0</v>
      </c>
      <c r="AF995">
        <v>0</v>
      </c>
      <c r="AG995" t="s">
        <v>71</v>
      </c>
      <c r="AH995">
        <v>0</v>
      </c>
      <c r="AI995">
        <v>0</v>
      </c>
      <c r="AJ995">
        <v>0</v>
      </c>
      <c r="AK995">
        <v>0</v>
      </c>
      <c r="AL995" t="s">
        <v>146</v>
      </c>
      <c r="AM995" t="s">
        <v>93</v>
      </c>
      <c r="AN995" t="s">
        <v>94</v>
      </c>
      <c r="AO995" t="s">
        <v>147</v>
      </c>
      <c r="AP995">
        <v>0</v>
      </c>
      <c r="AQ995">
        <v>0</v>
      </c>
      <c r="AR995">
        <v>128</v>
      </c>
      <c r="AS995">
        <v>0</v>
      </c>
      <c r="AT995">
        <v>0</v>
      </c>
      <c r="AU995">
        <v>0</v>
      </c>
      <c r="AV995">
        <v>0</v>
      </c>
      <c r="AW995">
        <v>0</v>
      </c>
      <c r="AX995">
        <v>0</v>
      </c>
      <c r="AY995">
        <v>0</v>
      </c>
    </row>
    <row r="996" spans="1:51" x14ac:dyDescent="0.25">
      <c r="A996">
        <v>5</v>
      </c>
      <c r="B996">
        <v>10050</v>
      </c>
      <c r="C996" t="s">
        <v>735</v>
      </c>
      <c r="D996" t="s">
        <v>96</v>
      </c>
      <c r="E996" t="s">
        <v>100</v>
      </c>
      <c r="F996" t="s">
        <v>107</v>
      </c>
      <c r="G996" t="s">
        <v>77</v>
      </c>
      <c r="H996" t="s">
        <v>78</v>
      </c>
      <c r="I996" t="s">
        <v>79</v>
      </c>
      <c r="J996" t="s">
        <v>150</v>
      </c>
      <c r="K996" t="s">
        <v>75</v>
      </c>
      <c r="L996" t="s">
        <v>76</v>
      </c>
      <c r="M996" t="s">
        <v>103</v>
      </c>
      <c r="N996" t="s">
        <v>74</v>
      </c>
      <c r="O996" t="s">
        <v>104</v>
      </c>
      <c r="P996" t="s">
        <v>71</v>
      </c>
      <c r="Q996" t="s">
        <v>71</v>
      </c>
      <c r="R996" t="s">
        <v>71</v>
      </c>
      <c r="S996">
        <v>0</v>
      </c>
      <c r="T996">
        <v>1</v>
      </c>
      <c r="U996" t="s">
        <v>72</v>
      </c>
      <c r="V996" t="s">
        <v>192</v>
      </c>
      <c r="W996">
        <v>0</v>
      </c>
      <c r="X996">
        <v>0</v>
      </c>
      <c r="Y996">
        <v>0</v>
      </c>
      <c r="Z996">
        <v>0</v>
      </c>
      <c r="AA996">
        <v>0</v>
      </c>
      <c r="AB996">
        <v>0</v>
      </c>
      <c r="AC996">
        <v>0</v>
      </c>
      <c r="AD996">
        <v>0</v>
      </c>
      <c r="AE996">
        <v>0</v>
      </c>
      <c r="AF996">
        <v>0</v>
      </c>
      <c r="AG996" t="s">
        <v>71</v>
      </c>
      <c r="AH996">
        <v>0</v>
      </c>
      <c r="AI996">
        <v>0</v>
      </c>
      <c r="AJ996">
        <v>0</v>
      </c>
      <c r="AK996">
        <v>0</v>
      </c>
      <c r="AL996" t="s">
        <v>342</v>
      </c>
      <c r="AM996" t="s">
        <v>254</v>
      </c>
      <c r="AN996" t="s">
        <v>94</v>
      </c>
      <c r="AO996" t="s">
        <v>147</v>
      </c>
      <c r="AP996">
        <v>0</v>
      </c>
      <c r="AQ996">
        <v>0</v>
      </c>
      <c r="AR996">
        <v>0</v>
      </c>
      <c r="AS996">
        <v>0</v>
      </c>
      <c r="AT996">
        <v>0</v>
      </c>
      <c r="AU996">
        <v>0</v>
      </c>
      <c r="AV996">
        <v>0</v>
      </c>
      <c r="AW996">
        <v>0</v>
      </c>
      <c r="AX996">
        <v>0</v>
      </c>
      <c r="AY996">
        <v>0</v>
      </c>
    </row>
    <row r="997" spans="1:51" x14ac:dyDescent="0.25">
      <c r="A997">
        <v>5</v>
      </c>
      <c r="B997">
        <v>10060</v>
      </c>
      <c r="C997" t="s">
        <v>735</v>
      </c>
      <c r="D997" t="s">
        <v>96</v>
      </c>
      <c r="E997" t="s">
        <v>100</v>
      </c>
      <c r="F997" t="s">
        <v>107</v>
      </c>
      <c r="G997" t="s">
        <v>77</v>
      </c>
      <c r="H997" t="s">
        <v>78</v>
      </c>
      <c r="I997" t="s">
        <v>79</v>
      </c>
      <c r="J997" t="s">
        <v>150</v>
      </c>
      <c r="K997" t="s">
        <v>75</v>
      </c>
      <c r="L997" t="s">
        <v>76</v>
      </c>
      <c r="M997" t="s">
        <v>103</v>
      </c>
      <c r="N997" t="s">
        <v>74</v>
      </c>
      <c r="O997" t="s">
        <v>104</v>
      </c>
      <c r="P997" t="s">
        <v>71</v>
      </c>
      <c r="Q997" t="s">
        <v>71</v>
      </c>
      <c r="R997" t="s">
        <v>71</v>
      </c>
      <c r="S997">
        <v>0</v>
      </c>
      <c r="T997">
        <v>1</v>
      </c>
      <c r="U997" t="s">
        <v>72</v>
      </c>
      <c r="V997" t="s">
        <v>192</v>
      </c>
      <c r="W997">
        <v>0</v>
      </c>
      <c r="X997">
        <v>0</v>
      </c>
      <c r="Y997">
        <v>0</v>
      </c>
      <c r="Z997">
        <v>0</v>
      </c>
      <c r="AA997">
        <v>0</v>
      </c>
      <c r="AB997">
        <v>0</v>
      </c>
      <c r="AC997">
        <v>0</v>
      </c>
      <c r="AD997">
        <v>0</v>
      </c>
      <c r="AE997">
        <v>0</v>
      </c>
      <c r="AF997">
        <v>0</v>
      </c>
      <c r="AG997" t="s">
        <v>110</v>
      </c>
      <c r="AH997">
        <v>1</v>
      </c>
      <c r="AI997">
        <v>1</v>
      </c>
      <c r="AJ997">
        <v>1</v>
      </c>
      <c r="AK997">
        <v>0.1</v>
      </c>
      <c r="AL997" t="s">
        <v>342</v>
      </c>
      <c r="AM997" t="s">
        <v>254</v>
      </c>
      <c r="AN997" t="s">
        <v>94</v>
      </c>
      <c r="AO997" t="s">
        <v>147</v>
      </c>
      <c r="AP997">
        <v>0</v>
      </c>
      <c r="AQ997">
        <v>0</v>
      </c>
      <c r="AR997">
        <v>0</v>
      </c>
      <c r="AS997">
        <v>0</v>
      </c>
      <c r="AT997">
        <v>0</v>
      </c>
      <c r="AU997">
        <v>0</v>
      </c>
      <c r="AV997">
        <v>0</v>
      </c>
      <c r="AW997">
        <v>0</v>
      </c>
      <c r="AX997">
        <v>0</v>
      </c>
      <c r="AY997">
        <v>0</v>
      </c>
    </row>
    <row r="998" spans="1:51" x14ac:dyDescent="0.25">
      <c r="A998">
        <v>5</v>
      </c>
      <c r="B998">
        <v>10070</v>
      </c>
      <c r="C998" t="s">
        <v>735</v>
      </c>
      <c r="D998" t="s">
        <v>96</v>
      </c>
      <c r="E998" t="s">
        <v>100</v>
      </c>
      <c r="F998" t="s">
        <v>107</v>
      </c>
      <c r="G998" t="s">
        <v>77</v>
      </c>
      <c r="H998" t="s">
        <v>78</v>
      </c>
      <c r="I998" t="s">
        <v>79</v>
      </c>
      <c r="J998" t="s">
        <v>150</v>
      </c>
      <c r="K998" t="s">
        <v>75</v>
      </c>
      <c r="L998" t="s">
        <v>76</v>
      </c>
      <c r="M998" t="s">
        <v>103</v>
      </c>
      <c r="N998" t="s">
        <v>74</v>
      </c>
      <c r="O998" t="s">
        <v>104</v>
      </c>
      <c r="P998" t="s">
        <v>71</v>
      </c>
      <c r="Q998" t="s">
        <v>71</v>
      </c>
      <c r="R998" t="s">
        <v>71</v>
      </c>
      <c r="S998">
        <v>0</v>
      </c>
      <c r="T998">
        <v>1</v>
      </c>
      <c r="U998" t="s">
        <v>72</v>
      </c>
      <c r="V998" t="s">
        <v>192</v>
      </c>
      <c r="W998">
        <v>0</v>
      </c>
      <c r="X998">
        <v>0</v>
      </c>
      <c r="Y998">
        <v>0</v>
      </c>
      <c r="Z998">
        <v>0</v>
      </c>
      <c r="AA998">
        <v>0</v>
      </c>
      <c r="AB998">
        <v>0</v>
      </c>
      <c r="AC998">
        <v>0</v>
      </c>
      <c r="AD998">
        <v>0</v>
      </c>
      <c r="AE998">
        <v>0</v>
      </c>
      <c r="AF998">
        <v>0</v>
      </c>
      <c r="AG998" t="s">
        <v>110</v>
      </c>
      <c r="AH998">
        <v>1</v>
      </c>
      <c r="AI998">
        <v>1</v>
      </c>
      <c r="AJ998">
        <v>1</v>
      </c>
      <c r="AK998">
        <v>0.1</v>
      </c>
      <c r="AL998" t="s">
        <v>342</v>
      </c>
      <c r="AM998" t="s">
        <v>254</v>
      </c>
      <c r="AN998" t="s">
        <v>94</v>
      </c>
      <c r="AO998" t="s">
        <v>147</v>
      </c>
      <c r="AP998">
        <v>0</v>
      </c>
      <c r="AQ998">
        <v>0</v>
      </c>
      <c r="AR998">
        <v>0</v>
      </c>
      <c r="AS998">
        <v>0</v>
      </c>
      <c r="AT998">
        <v>0</v>
      </c>
      <c r="AU998">
        <v>0</v>
      </c>
      <c r="AV998">
        <v>0</v>
      </c>
      <c r="AW998">
        <v>0</v>
      </c>
      <c r="AX998">
        <v>0</v>
      </c>
      <c r="AY998">
        <v>0</v>
      </c>
    </row>
    <row r="999" spans="1:51" x14ac:dyDescent="0.25">
      <c r="A999">
        <v>5</v>
      </c>
      <c r="B999">
        <v>10080</v>
      </c>
      <c r="C999" t="s">
        <v>735</v>
      </c>
      <c r="D999" t="s">
        <v>96</v>
      </c>
      <c r="E999" t="s">
        <v>100</v>
      </c>
      <c r="F999" t="s">
        <v>107</v>
      </c>
      <c r="G999" t="s">
        <v>77</v>
      </c>
      <c r="H999" t="s">
        <v>78</v>
      </c>
      <c r="I999" t="s">
        <v>79</v>
      </c>
      <c r="J999" t="s">
        <v>150</v>
      </c>
      <c r="K999" t="s">
        <v>75</v>
      </c>
      <c r="L999" t="s">
        <v>76</v>
      </c>
      <c r="M999" t="s">
        <v>103</v>
      </c>
      <c r="N999" t="s">
        <v>74</v>
      </c>
      <c r="O999" t="s">
        <v>104</v>
      </c>
      <c r="P999" t="s">
        <v>71</v>
      </c>
      <c r="Q999" t="s">
        <v>71</v>
      </c>
      <c r="R999" t="s">
        <v>71</v>
      </c>
      <c r="S999">
        <v>0</v>
      </c>
      <c r="T999">
        <v>1</v>
      </c>
      <c r="U999" t="s">
        <v>72</v>
      </c>
      <c r="V999" t="s">
        <v>192</v>
      </c>
      <c r="W999">
        <v>0</v>
      </c>
      <c r="X999">
        <v>0</v>
      </c>
      <c r="Y999">
        <v>0</v>
      </c>
      <c r="Z999">
        <v>0</v>
      </c>
      <c r="AA999">
        <v>0</v>
      </c>
      <c r="AB999">
        <v>0</v>
      </c>
      <c r="AC999">
        <v>0</v>
      </c>
      <c r="AD999">
        <v>0</v>
      </c>
      <c r="AE999">
        <v>0</v>
      </c>
      <c r="AF999">
        <v>0</v>
      </c>
      <c r="AG999" t="s">
        <v>110</v>
      </c>
      <c r="AH999">
        <v>1</v>
      </c>
      <c r="AI999">
        <v>1</v>
      </c>
      <c r="AJ999">
        <v>1</v>
      </c>
      <c r="AK999">
        <v>0.1</v>
      </c>
      <c r="AL999" t="s">
        <v>342</v>
      </c>
      <c r="AM999" t="s">
        <v>254</v>
      </c>
      <c r="AN999" t="s">
        <v>94</v>
      </c>
      <c r="AO999" t="s">
        <v>147</v>
      </c>
      <c r="AP999">
        <v>0</v>
      </c>
      <c r="AQ999">
        <v>0</v>
      </c>
      <c r="AR999">
        <v>0</v>
      </c>
      <c r="AS999">
        <v>0</v>
      </c>
      <c r="AT999">
        <v>0</v>
      </c>
      <c r="AU999">
        <v>0</v>
      </c>
      <c r="AV999">
        <v>0</v>
      </c>
      <c r="AW999">
        <v>0</v>
      </c>
      <c r="AX999">
        <v>0</v>
      </c>
      <c r="AY999">
        <v>0</v>
      </c>
    </row>
    <row r="1000" spans="1:51" x14ac:dyDescent="0.25">
      <c r="A1000">
        <v>5</v>
      </c>
      <c r="B1000">
        <v>13050</v>
      </c>
      <c r="C1000" t="s">
        <v>735</v>
      </c>
      <c r="D1000" t="s">
        <v>96</v>
      </c>
      <c r="E1000" t="s">
        <v>100</v>
      </c>
      <c r="F1000" t="s">
        <v>107</v>
      </c>
      <c r="G1000" t="s">
        <v>77</v>
      </c>
      <c r="H1000" t="s">
        <v>78</v>
      </c>
      <c r="I1000" t="s">
        <v>79</v>
      </c>
      <c r="J1000" t="s">
        <v>150</v>
      </c>
      <c r="K1000" t="s">
        <v>75</v>
      </c>
      <c r="L1000" t="s">
        <v>76</v>
      </c>
      <c r="M1000" t="s">
        <v>103</v>
      </c>
      <c r="N1000" t="s">
        <v>74</v>
      </c>
      <c r="O1000" t="s">
        <v>104</v>
      </c>
      <c r="P1000" t="s">
        <v>71</v>
      </c>
      <c r="Q1000" t="s">
        <v>71</v>
      </c>
      <c r="R1000" t="s">
        <v>71</v>
      </c>
      <c r="S1000">
        <v>0</v>
      </c>
      <c r="T1000">
        <v>1</v>
      </c>
      <c r="U1000" t="s">
        <v>72</v>
      </c>
      <c r="V1000" t="s">
        <v>192</v>
      </c>
      <c r="W1000">
        <v>0</v>
      </c>
      <c r="X1000">
        <v>0</v>
      </c>
      <c r="Y1000">
        <v>0</v>
      </c>
      <c r="Z1000">
        <v>0</v>
      </c>
      <c r="AA1000">
        <v>0</v>
      </c>
      <c r="AB1000">
        <v>0</v>
      </c>
      <c r="AC1000">
        <v>0</v>
      </c>
      <c r="AD1000">
        <v>0</v>
      </c>
      <c r="AE1000">
        <v>0</v>
      </c>
      <c r="AF1000">
        <v>0</v>
      </c>
      <c r="AG1000" t="s">
        <v>110</v>
      </c>
      <c r="AH1000">
        <v>0</v>
      </c>
      <c r="AI1000">
        <v>1</v>
      </c>
      <c r="AJ1000">
        <v>1</v>
      </c>
      <c r="AK1000">
        <v>0.1</v>
      </c>
      <c r="AL1000" t="s">
        <v>342</v>
      </c>
      <c r="AM1000" t="s">
        <v>254</v>
      </c>
      <c r="AN1000" t="s">
        <v>94</v>
      </c>
      <c r="AO1000" t="s">
        <v>147</v>
      </c>
      <c r="AP1000">
        <v>0</v>
      </c>
      <c r="AQ1000">
        <v>0</v>
      </c>
      <c r="AR1000">
        <v>0</v>
      </c>
      <c r="AS1000">
        <v>0</v>
      </c>
      <c r="AT1000">
        <v>0</v>
      </c>
      <c r="AU1000">
        <v>0</v>
      </c>
      <c r="AV1000">
        <v>0</v>
      </c>
      <c r="AW1000">
        <v>0</v>
      </c>
      <c r="AX1000">
        <v>0</v>
      </c>
      <c r="AY1000">
        <v>0</v>
      </c>
    </row>
    <row r="1001" spans="1:51" x14ac:dyDescent="0.25">
      <c r="A1001">
        <v>5</v>
      </c>
      <c r="B1001">
        <v>13060</v>
      </c>
      <c r="C1001" t="s">
        <v>735</v>
      </c>
      <c r="D1001" t="s">
        <v>96</v>
      </c>
      <c r="E1001" t="s">
        <v>100</v>
      </c>
      <c r="F1001" t="s">
        <v>107</v>
      </c>
      <c r="G1001" t="s">
        <v>77</v>
      </c>
      <c r="H1001" t="s">
        <v>78</v>
      </c>
      <c r="I1001" t="s">
        <v>79</v>
      </c>
      <c r="J1001" t="s">
        <v>150</v>
      </c>
      <c r="K1001" t="s">
        <v>75</v>
      </c>
      <c r="L1001" t="s">
        <v>76</v>
      </c>
      <c r="M1001" t="s">
        <v>103</v>
      </c>
      <c r="N1001" t="s">
        <v>74</v>
      </c>
      <c r="O1001" t="s">
        <v>104</v>
      </c>
      <c r="P1001" t="s">
        <v>71</v>
      </c>
      <c r="Q1001" t="s">
        <v>71</v>
      </c>
      <c r="R1001" t="s">
        <v>71</v>
      </c>
      <c r="S1001">
        <v>0</v>
      </c>
      <c r="T1001">
        <v>1</v>
      </c>
      <c r="U1001" t="s">
        <v>72</v>
      </c>
      <c r="V1001" t="s">
        <v>192</v>
      </c>
      <c r="W1001">
        <v>0</v>
      </c>
      <c r="X1001">
        <v>0</v>
      </c>
      <c r="Y1001">
        <v>0</v>
      </c>
      <c r="Z1001">
        <v>0</v>
      </c>
      <c r="AA1001">
        <v>0</v>
      </c>
      <c r="AB1001">
        <v>0</v>
      </c>
      <c r="AC1001">
        <v>0</v>
      </c>
      <c r="AD1001">
        <v>0</v>
      </c>
      <c r="AE1001">
        <v>0</v>
      </c>
      <c r="AF1001">
        <v>0</v>
      </c>
      <c r="AG1001" t="s">
        <v>110</v>
      </c>
      <c r="AH1001">
        <v>0</v>
      </c>
      <c r="AI1001">
        <v>1</v>
      </c>
      <c r="AJ1001">
        <v>1</v>
      </c>
      <c r="AK1001">
        <v>0.1</v>
      </c>
      <c r="AL1001" t="s">
        <v>99</v>
      </c>
      <c r="AM1001" t="s">
        <v>93</v>
      </c>
      <c r="AN1001" t="s">
        <v>94</v>
      </c>
      <c r="AO1001" t="s">
        <v>147</v>
      </c>
      <c r="AP1001">
        <v>0</v>
      </c>
      <c r="AQ1001">
        <v>0</v>
      </c>
      <c r="AR1001">
        <v>0</v>
      </c>
      <c r="AS1001">
        <v>0</v>
      </c>
      <c r="AT1001">
        <v>0</v>
      </c>
      <c r="AU1001">
        <v>0</v>
      </c>
      <c r="AV1001">
        <v>0</v>
      </c>
      <c r="AW1001">
        <v>0</v>
      </c>
      <c r="AX1001">
        <v>0</v>
      </c>
      <c r="AY1001">
        <v>0</v>
      </c>
    </row>
    <row r="1002" spans="1:51" x14ac:dyDescent="0.25">
      <c r="A1002">
        <v>0</v>
      </c>
      <c r="C1002" t="s">
        <v>735</v>
      </c>
      <c r="D1002" t="s">
        <v>736</v>
      </c>
      <c r="E1002" t="s">
        <v>736</v>
      </c>
      <c r="F1002" t="s">
        <v>736</v>
      </c>
      <c r="G1002" t="s">
        <v>736</v>
      </c>
      <c r="H1002" t="s">
        <v>736</v>
      </c>
      <c r="I1002" t="s">
        <v>736</v>
      </c>
      <c r="J1002" t="s">
        <v>736</v>
      </c>
      <c r="K1002" t="s">
        <v>736</v>
      </c>
      <c r="L1002" t="s">
        <v>736</v>
      </c>
      <c r="M1002" t="s">
        <v>736</v>
      </c>
      <c r="N1002" t="s">
        <v>736</v>
      </c>
      <c r="O1002" t="s">
        <v>736</v>
      </c>
      <c r="P1002" t="s">
        <v>736</v>
      </c>
      <c r="Q1002" t="s">
        <v>736</v>
      </c>
      <c r="R1002" t="s">
        <v>736</v>
      </c>
      <c r="S1002" t="s">
        <v>736</v>
      </c>
      <c r="T1002" t="s">
        <v>736</v>
      </c>
      <c r="U1002" t="s">
        <v>736</v>
      </c>
      <c r="V1002" t="s">
        <v>736</v>
      </c>
      <c r="W1002" t="s">
        <v>736</v>
      </c>
      <c r="X1002" t="s">
        <v>736</v>
      </c>
      <c r="Y1002" t="s">
        <v>736</v>
      </c>
      <c r="Z1002" t="s">
        <v>736</v>
      </c>
      <c r="AA1002" t="s">
        <v>736</v>
      </c>
      <c r="AB1002" t="s">
        <v>736</v>
      </c>
      <c r="AC1002" t="s">
        <v>736</v>
      </c>
      <c r="AD1002" t="s">
        <v>736</v>
      </c>
      <c r="AE1002" t="s">
        <v>736</v>
      </c>
      <c r="AF1002" t="s">
        <v>736</v>
      </c>
      <c r="AG1002" t="s">
        <v>736</v>
      </c>
      <c r="AH1002" t="s">
        <v>736</v>
      </c>
      <c r="AI1002" t="s">
        <v>736</v>
      </c>
      <c r="AJ1002" t="s">
        <v>736</v>
      </c>
      <c r="AK1002" t="s">
        <v>736</v>
      </c>
      <c r="AL1002" t="s">
        <v>736</v>
      </c>
      <c r="AM1002" t="s">
        <v>736</v>
      </c>
      <c r="AN1002" t="s">
        <v>736</v>
      </c>
      <c r="AO1002" t="s">
        <v>736</v>
      </c>
      <c r="AP1002" t="s">
        <v>736</v>
      </c>
      <c r="AQ1002" t="s">
        <v>736</v>
      </c>
      <c r="AR1002" t="s">
        <v>736</v>
      </c>
      <c r="AS1002" t="s">
        <v>736</v>
      </c>
      <c r="AT1002" t="s">
        <v>736</v>
      </c>
      <c r="AU1002" t="s">
        <v>736</v>
      </c>
      <c r="AV1002" t="s">
        <v>736</v>
      </c>
      <c r="AW1002" t="s">
        <v>736</v>
      </c>
      <c r="AX1002" t="s">
        <v>736</v>
      </c>
      <c r="AY1002" t="s">
        <v>736</v>
      </c>
    </row>
    <row r="1003" spans="1:51" x14ac:dyDescent="0.25">
      <c r="A1003">
        <v>6</v>
      </c>
      <c r="B1003">
        <v>10</v>
      </c>
      <c r="C1003" t="s">
        <v>735</v>
      </c>
      <c r="D1003" t="s">
        <v>96</v>
      </c>
      <c r="E1003" t="s">
        <v>121</v>
      </c>
      <c r="F1003" t="s">
        <v>107</v>
      </c>
      <c r="G1003" t="s">
        <v>101</v>
      </c>
      <c r="H1003" t="s">
        <v>78</v>
      </c>
      <c r="I1003" t="s">
        <v>79</v>
      </c>
      <c r="J1003" t="s">
        <v>70</v>
      </c>
      <c r="K1003" t="s">
        <v>75</v>
      </c>
      <c r="L1003" t="s">
        <v>76</v>
      </c>
      <c r="M1003" t="s">
        <v>103</v>
      </c>
      <c r="N1003" t="s">
        <v>74</v>
      </c>
      <c r="O1003" t="s">
        <v>104</v>
      </c>
      <c r="P1003" t="s">
        <v>71</v>
      </c>
      <c r="Q1003" t="s">
        <v>71</v>
      </c>
      <c r="R1003" t="s">
        <v>71</v>
      </c>
      <c r="S1003">
        <v>0</v>
      </c>
      <c r="T1003">
        <v>0</v>
      </c>
      <c r="U1003" t="s">
        <v>72</v>
      </c>
      <c r="V1003" t="s">
        <v>73</v>
      </c>
      <c r="W1003">
        <v>0</v>
      </c>
      <c r="X1003">
        <v>0</v>
      </c>
      <c r="Y1003">
        <v>0</v>
      </c>
      <c r="Z1003">
        <v>0</v>
      </c>
      <c r="AA1003">
        <v>0</v>
      </c>
      <c r="AB1003">
        <v>0</v>
      </c>
      <c r="AC1003">
        <v>0</v>
      </c>
      <c r="AD1003">
        <v>0</v>
      </c>
      <c r="AE1003">
        <v>0</v>
      </c>
      <c r="AF1003">
        <v>0</v>
      </c>
      <c r="AG1003" t="s">
        <v>71</v>
      </c>
      <c r="AH1003">
        <v>0</v>
      </c>
      <c r="AI1003">
        <v>0</v>
      </c>
      <c r="AJ1003">
        <v>0</v>
      </c>
      <c r="AK1003">
        <v>0</v>
      </c>
      <c r="AL1003" t="s">
        <v>91</v>
      </c>
      <c r="AM1003" t="s">
        <v>93</v>
      </c>
      <c r="AN1003" t="s">
        <v>94</v>
      </c>
      <c r="AO1003" t="s">
        <v>92</v>
      </c>
      <c r="AP1003">
        <v>0</v>
      </c>
      <c r="AQ1003">
        <v>0</v>
      </c>
      <c r="AR1003">
        <v>0</v>
      </c>
      <c r="AS1003">
        <v>0</v>
      </c>
      <c r="AT1003">
        <v>0</v>
      </c>
      <c r="AU1003">
        <v>0</v>
      </c>
      <c r="AV1003">
        <v>0</v>
      </c>
      <c r="AW1003">
        <v>0</v>
      </c>
      <c r="AX1003">
        <v>0</v>
      </c>
      <c r="AY1003">
        <v>0</v>
      </c>
    </row>
    <row r="1004" spans="1:51" x14ac:dyDescent="0.25">
      <c r="A1004">
        <v>6</v>
      </c>
      <c r="B1004">
        <v>5010</v>
      </c>
      <c r="C1004" t="s">
        <v>735</v>
      </c>
      <c r="D1004" t="s">
        <v>96</v>
      </c>
      <c r="E1004" t="s">
        <v>121</v>
      </c>
      <c r="F1004" t="s">
        <v>107</v>
      </c>
      <c r="G1004" t="s">
        <v>101</v>
      </c>
      <c r="H1004" t="s">
        <v>78</v>
      </c>
      <c r="I1004" t="s">
        <v>79</v>
      </c>
      <c r="J1004" t="s">
        <v>70</v>
      </c>
      <c r="K1004" t="s">
        <v>75</v>
      </c>
      <c r="L1004" t="s">
        <v>76</v>
      </c>
      <c r="M1004" t="s">
        <v>103</v>
      </c>
      <c r="N1004" t="s">
        <v>74</v>
      </c>
      <c r="O1004" t="s">
        <v>104</v>
      </c>
      <c r="P1004" t="s">
        <v>71</v>
      </c>
      <c r="Q1004" t="s">
        <v>71</v>
      </c>
      <c r="R1004" t="s">
        <v>71</v>
      </c>
      <c r="S1004">
        <v>0</v>
      </c>
      <c r="T1004">
        <v>0</v>
      </c>
      <c r="U1004" t="s">
        <v>72</v>
      </c>
      <c r="V1004" t="s">
        <v>73</v>
      </c>
      <c r="W1004">
        <v>0</v>
      </c>
      <c r="X1004">
        <v>0</v>
      </c>
      <c r="Y1004">
        <v>0</v>
      </c>
      <c r="Z1004">
        <v>0</v>
      </c>
      <c r="AA1004">
        <v>0</v>
      </c>
      <c r="AB1004">
        <v>0</v>
      </c>
      <c r="AC1004">
        <v>0</v>
      </c>
      <c r="AD1004">
        <v>0</v>
      </c>
      <c r="AE1004">
        <v>0</v>
      </c>
      <c r="AF1004">
        <v>0</v>
      </c>
      <c r="AG1004" t="s">
        <v>71</v>
      </c>
      <c r="AH1004">
        <v>0</v>
      </c>
      <c r="AI1004">
        <v>0</v>
      </c>
      <c r="AJ1004">
        <v>0</v>
      </c>
      <c r="AK1004">
        <v>0</v>
      </c>
      <c r="AL1004" t="s">
        <v>91</v>
      </c>
      <c r="AM1004" t="s">
        <v>93</v>
      </c>
      <c r="AN1004" t="s">
        <v>94</v>
      </c>
      <c r="AO1004" t="s">
        <v>92</v>
      </c>
      <c r="AP1004">
        <v>0</v>
      </c>
      <c r="AQ1004">
        <v>0</v>
      </c>
      <c r="AR1004">
        <v>0</v>
      </c>
      <c r="AS1004">
        <v>0</v>
      </c>
      <c r="AT1004">
        <v>0</v>
      </c>
      <c r="AU1004">
        <v>0</v>
      </c>
      <c r="AV1004">
        <v>0</v>
      </c>
      <c r="AW1004">
        <v>0</v>
      </c>
      <c r="AX1004">
        <v>0</v>
      </c>
      <c r="AY1004">
        <v>0</v>
      </c>
    </row>
    <row r="1005" spans="1:51" x14ac:dyDescent="0.25">
      <c r="A1005">
        <v>6</v>
      </c>
      <c r="B1005">
        <v>5020</v>
      </c>
      <c r="C1005" t="s">
        <v>735</v>
      </c>
      <c r="D1005" t="s">
        <v>96</v>
      </c>
      <c r="E1005" t="s">
        <v>121</v>
      </c>
      <c r="F1005" t="s">
        <v>107</v>
      </c>
      <c r="G1005" t="s">
        <v>101</v>
      </c>
      <c r="H1005" t="s">
        <v>78</v>
      </c>
      <c r="I1005" t="s">
        <v>79</v>
      </c>
      <c r="J1005" t="s">
        <v>70</v>
      </c>
      <c r="K1005" t="s">
        <v>75</v>
      </c>
      <c r="L1005" t="s">
        <v>76</v>
      </c>
      <c r="M1005" t="s">
        <v>103</v>
      </c>
      <c r="N1005" t="s">
        <v>74</v>
      </c>
      <c r="O1005" t="s">
        <v>104</v>
      </c>
      <c r="P1005" t="s">
        <v>71</v>
      </c>
      <c r="Q1005" t="s">
        <v>71</v>
      </c>
      <c r="R1005" t="s">
        <v>71</v>
      </c>
      <c r="S1005">
        <v>0</v>
      </c>
      <c r="T1005">
        <v>0</v>
      </c>
      <c r="U1005" t="s">
        <v>72</v>
      </c>
      <c r="V1005" t="s">
        <v>73</v>
      </c>
      <c r="W1005">
        <v>0</v>
      </c>
      <c r="X1005">
        <v>0</v>
      </c>
      <c r="Y1005">
        <v>0</v>
      </c>
      <c r="Z1005">
        <v>0</v>
      </c>
      <c r="AA1005">
        <v>0</v>
      </c>
      <c r="AB1005">
        <v>0</v>
      </c>
      <c r="AC1005">
        <v>0</v>
      </c>
      <c r="AD1005">
        <v>0</v>
      </c>
      <c r="AE1005">
        <v>0</v>
      </c>
      <c r="AF1005">
        <v>0</v>
      </c>
      <c r="AG1005" t="s">
        <v>71</v>
      </c>
      <c r="AH1005">
        <v>0</v>
      </c>
      <c r="AI1005">
        <v>0</v>
      </c>
      <c r="AJ1005">
        <v>0</v>
      </c>
      <c r="AK1005">
        <v>0</v>
      </c>
      <c r="AL1005" t="s">
        <v>108</v>
      </c>
      <c r="AM1005" t="s">
        <v>93</v>
      </c>
      <c r="AN1005" t="s">
        <v>94</v>
      </c>
      <c r="AO1005" t="s">
        <v>92</v>
      </c>
      <c r="AP1005">
        <v>0</v>
      </c>
      <c r="AQ1005">
        <v>0</v>
      </c>
      <c r="AR1005">
        <v>0</v>
      </c>
      <c r="AS1005">
        <v>0</v>
      </c>
      <c r="AT1005">
        <v>0</v>
      </c>
      <c r="AU1005">
        <v>0</v>
      </c>
      <c r="AV1005">
        <v>0</v>
      </c>
      <c r="AW1005">
        <v>0</v>
      </c>
      <c r="AX1005">
        <v>0</v>
      </c>
      <c r="AY1005">
        <v>0</v>
      </c>
    </row>
    <row r="1006" spans="1:51" x14ac:dyDescent="0.25">
      <c r="A1006">
        <v>6</v>
      </c>
      <c r="B1006">
        <v>5030</v>
      </c>
      <c r="C1006" t="s">
        <v>735</v>
      </c>
      <c r="D1006" t="s">
        <v>96</v>
      </c>
      <c r="E1006" t="s">
        <v>121</v>
      </c>
      <c r="F1006" t="s">
        <v>107</v>
      </c>
      <c r="G1006" t="s">
        <v>101</v>
      </c>
      <c r="H1006" t="s">
        <v>78</v>
      </c>
      <c r="I1006" t="s">
        <v>79</v>
      </c>
      <c r="J1006" t="s">
        <v>70</v>
      </c>
      <c r="K1006" t="s">
        <v>75</v>
      </c>
      <c r="L1006" t="s">
        <v>76</v>
      </c>
      <c r="M1006" t="s">
        <v>103</v>
      </c>
      <c r="N1006" t="s">
        <v>74</v>
      </c>
      <c r="O1006" t="s">
        <v>104</v>
      </c>
      <c r="P1006" t="s">
        <v>71</v>
      </c>
      <c r="Q1006" t="s">
        <v>71</v>
      </c>
      <c r="R1006" t="s">
        <v>71</v>
      </c>
      <c r="S1006">
        <v>0</v>
      </c>
      <c r="T1006">
        <v>0</v>
      </c>
      <c r="U1006" t="s">
        <v>72</v>
      </c>
      <c r="V1006" t="s">
        <v>73</v>
      </c>
      <c r="W1006">
        <v>0</v>
      </c>
      <c r="X1006">
        <v>0</v>
      </c>
      <c r="Y1006">
        <v>0</v>
      </c>
      <c r="Z1006">
        <v>0</v>
      </c>
      <c r="AA1006">
        <v>0</v>
      </c>
      <c r="AB1006">
        <v>0</v>
      </c>
      <c r="AC1006">
        <v>0</v>
      </c>
      <c r="AD1006">
        <v>0</v>
      </c>
      <c r="AE1006">
        <v>0</v>
      </c>
      <c r="AF1006">
        <v>0</v>
      </c>
      <c r="AG1006" t="s">
        <v>71</v>
      </c>
      <c r="AH1006">
        <v>0</v>
      </c>
      <c r="AI1006">
        <v>0</v>
      </c>
      <c r="AJ1006">
        <v>0</v>
      </c>
      <c r="AK1006">
        <v>0</v>
      </c>
      <c r="AL1006" t="s">
        <v>108</v>
      </c>
      <c r="AM1006" t="s">
        <v>93</v>
      </c>
      <c r="AN1006" t="s">
        <v>94</v>
      </c>
      <c r="AO1006" t="s">
        <v>92</v>
      </c>
      <c r="AP1006">
        <v>0</v>
      </c>
      <c r="AQ1006">
        <v>0</v>
      </c>
      <c r="AR1006">
        <v>0</v>
      </c>
      <c r="AS1006">
        <v>0</v>
      </c>
      <c r="AT1006">
        <v>0</v>
      </c>
      <c r="AU1006">
        <v>0</v>
      </c>
      <c r="AV1006">
        <v>0</v>
      </c>
      <c r="AW1006">
        <v>0</v>
      </c>
      <c r="AX1006">
        <v>0</v>
      </c>
      <c r="AY1006">
        <v>0</v>
      </c>
    </row>
    <row r="1007" spans="1:51" x14ac:dyDescent="0.25">
      <c r="A1007">
        <v>6</v>
      </c>
      <c r="B1007">
        <v>10010</v>
      </c>
      <c r="C1007" t="s">
        <v>735</v>
      </c>
      <c r="D1007" t="s">
        <v>96</v>
      </c>
      <c r="E1007" t="s">
        <v>121</v>
      </c>
      <c r="F1007" t="s">
        <v>107</v>
      </c>
      <c r="G1007" t="s">
        <v>101</v>
      </c>
      <c r="H1007" t="s">
        <v>78</v>
      </c>
      <c r="I1007" t="s">
        <v>79</v>
      </c>
      <c r="J1007" t="s">
        <v>70</v>
      </c>
      <c r="K1007" t="s">
        <v>75</v>
      </c>
      <c r="L1007" t="s">
        <v>76</v>
      </c>
      <c r="M1007" t="s">
        <v>103</v>
      </c>
      <c r="N1007" t="s">
        <v>74</v>
      </c>
      <c r="O1007" t="s">
        <v>104</v>
      </c>
      <c r="P1007" t="s">
        <v>71</v>
      </c>
      <c r="Q1007" t="s">
        <v>71</v>
      </c>
      <c r="R1007" t="s">
        <v>71</v>
      </c>
      <c r="S1007">
        <v>0</v>
      </c>
      <c r="T1007">
        <v>0</v>
      </c>
      <c r="U1007" t="s">
        <v>72</v>
      </c>
      <c r="V1007" t="s">
        <v>73</v>
      </c>
      <c r="W1007">
        <v>0</v>
      </c>
      <c r="X1007">
        <v>0</v>
      </c>
      <c r="Y1007">
        <v>0</v>
      </c>
      <c r="Z1007">
        <v>0</v>
      </c>
      <c r="AA1007">
        <v>0</v>
      </c>
      <c r="AB1007">
        <v>0</v>
      </c>
      <c r="AC1007">
        <v>0</v>
      </c>
      <c r="AD1007">
        <v>0</v>
      </c>
      <c r="AE1007">
        <v>0</v>
      </c>
      <c r="AF1007">
        <v>0</v>
      </c>
      <c r="AG1007" t="s">
        <v>71</v>
      </c>
      <c r="AH1007">
        <v>0</v>
      </c>
      <c r="AI1007">
        <v>0</v>
      </c>
      <c r="AJ1007">
        <v>0</v>
      </c>
      <c r="AK1007">
        <v>0</v>
      </c>
      <c r="AL1007" t="s">
        <v>108</v>
      </c>
      <c r="AM1007" t="s">
        <v>93</v>
      </c>
      <c r="AN1007" t="s">
        <v>94</v>
      </c>
      <c r="AO1007" t="s">
        <v>92</v>
      </c>
      <c r="AP1007">
        <v>0</v>
      </c>
      <c r="AQ1007">
        <v>0</v>
      </c>
      <c r="AR1007">
        <v>0</v>
      </c>
      <c r="AS1007">
        <v>0</v>
      </c>
      <c r="AT1007">
        <v>0</v>
      </c>
      <c r="AU1007">
        <v>0</v>
      </c>
      <c r="AV1007">
        <v>0</v>
      </c>
      <c r="AW1007">
        <v>0</v>
      </c>
      <c r="AX1007">
        <v>0</v>
      </c>
      <c r="AY1007">
        <v>0</v>
      </c>
    </row>
    <row r="1008" spans="1:51" x14ac:dyDescent="0.25">
      <c r="A1008">
        <v>6</v>
      </c>
      <c r="B1008">
        <v>10020</v>
      </c>
      <c r="C1008" t="s">
        <v>735</v>
      </c>
      <c r="D1008" t="s">
        <v>96</v>
      </c>
      <c r="E1008" t="s">
        <v>121</v>
      </c>
      <c r="F1008" t="s">
        <v>107</v>
      </c>
      <c r="G1008" t="s">
        <v>101</v>
      </c>
      <c r="H1008" t="s">
        <v>78</v>
      </c>
      <c r="I1008" t="s">
        <v>79</v>
      </c>
      <c r="J1008" t="s">
        <v>70</v>
      </c>
      <c r="K1008" t="s">
        <v>75</v>
      </c>
      <c r="L1008" t="s">
        <v>76</v>
      </c>
      <c r="M1008" t="s">
        <v>103</v>
      </c>
      <c r="N1008" t="s">
        <v>74</v>
      </c>
      <c r="O1008" t="s">
        <v>104</v>
      </c>
      <c r="P1008" t="s">
        <v>71</v>
      </c>
      <c r="Q1008" t="s">
        <v>71</v>
      </c>
      <c r="R1008" t="s">
        <v>71</v>
      </c>
      <c r="S1008">
        <v>0</v>
      </c>
      <c r="T1008">
        <v>0</v>
      </c>
      <c r="U1008" t="s">
        <v>72</v>
      </c>
      <c r="V1008" t="s">
        <v>73</v>
      </c>
      <c r="W1008">
        <v>0</v>
      </c>
      <c r="X1008">
        <v>0</v>
      </c>
      <c r="Y1008">
        <v>0</v>
      </c>
      <c r="Z1008">
        <v>0</v>
      </c>
      <c r="AA1008">
        <v>0</v>
      </c>
      <c r="AB1008">
        <v>0</v>
      </c>
      <c r="AC1008">
        <v>0</v>
      </c>
      <c r="AD1008">
        <v>0</v>
      </c>
      <c r="AE1008">
        <v>0</v>
      </c>
      <c r="AF1008">
        <v>0</v>
      </c>
      <c r="AG1008" t="s">
        <v>71</v>
      </c>
      <c r="AH1008">
        <v>0</v>
      </c>
      <c r="AI1008">
        <v>0</v>
      </c>
      <c r="AJ1008">
        <v>0</v>
      </c>
      <c r="AK1008">
        <v>0</v>
      </c>
      <c r="AL1008" t="s">
        <v>108</v>
      </c>
      <c r="AM1008" t="s">
        <v>93</v>
      </c>
      <c r="AN1008" t="s">
        <v>94</v>
      </c>
      <c r="AO1008" t="s">
        <v>92</v>
      </c>
      <c r="AP1008">
        <v>0</v>
      </c>
      <c r="AQ1008">
        <v>0</v>
      </c>
      <c r="AR1008">
        <v>0</v>
      </c>
      <c r="AS1008">
        <v>0</v>
      </c>
      <c r="AT1008">
        <v>0</v>
      </c>
      <c r="AU1008">
        <v>0</v>
      </c>
      <c r="AV1008">
        <v>0</v>
      </c>
      <c r="AW1008">
        <v>0</v>
      </c>
      <c r="AX1008">
        <v>0</v>
      </c>
      <c r="AY1008">
        <v>0</v>
      </c>
    </row>
    <row r="1009" spans="1:51" x14ac:dyDescent="0.25">
      <c r="A1009">
        <v>6</v>
      </c>
      <c r="B1009">
        <v>10030</v>
      </c>
      <c r="C1009" t="s">
        <v>735</v>
      </c>
      <c r="D1009" t="s">
        <v>96</v>
      </c>
      <c r="E1009" t="s">
        <v>121</v>
      </c>
      <c r="F1009" t="s">
        <v>107</v>
      </c>
      <c r="G1009" t="s">
        <v>77</v>
      </c>
      <c r="H1009" t="s">
        <v>78</v>
      </c>
      <c r="I1009" t="s">
        <v>79</v>
      </c>
      <c r="J1009" t="s">
        <v>70</v>
      </c>
      <c r="K1009" t="s">
        <v>75</v>
      </c>
      <c r="L1009" t="s">
        <v>76</v>
      </c>
      <c r="M1009" t="s">
        <v>103</v>
      </c>
      <c r="N1009" t="s">
        <v>74</v>
      </c>
      <c r="O1009" t="s">
        <v>104</v>
      </c>
      <c r="P1009" t="s">
        <v>71</v>
      </c>
      <c r="Q1009" t="s">
        <v>71</v>
      </c>
      <c r="R1009" t="s">
        <v>71</v>
      </c>
      <c r="S1009">
        <v>0</v>
      </c>
      <c r="T1009">
        <v>1</v>
      </c>
      <c r="U1009" t="s">
        <v>72</v>
      </c>
      <c r="V1009" t="s">
        <v>73</v>
      </c>
      <c r="W1009">
        <v>0</v>
      </c>
      <c r="X1009">
        <v>0</v>
      </c>
      <c r="Y1009">
        <v>0</v>
      </c>
      <c r="Z1009">
        <v>0</v>
      </c>
      <c r="AA1009">
        <v>0</v>
      </c>
      <c r="AB1009">
        <v>0</v>
      </c>
      <c r="AC1009">
        <v>0</v>
      </c>
      <c r="AD1009">
        <v>0</v>
      </c>
      <c r="AE1009">
        <v>0</v>
      </c>
      <c r="AF1009">
        <v>0</v>
      </c>
      <c r="AG1009" t="s">
        <v>71</v>
      </c>
      <c r="AH1009">
        <v>0</v>
      </c>
      <c r="AI1009">
        <v>0</v>
      </c>
      <c r="AJ1009">
        <v>0</v>
      </c>
      <c r="AK1009">
        <v>0</v>
      </c>
      <c r="AL1009" t="s">
        <v>146</v>
      </c>
      <c r="AM1009" t="s">
        <v>93</v>
      </c>
      <c r="AN1009" t="s">
        <v>148</v>
      </c>
      <c r="AO1009" t="s">
        <v>147</v>
      </c>
      <c r="AP1009">
        <v>0</v>
      </c>
      <c r="AQ1009">
        <v>0</v>
      </c>
      <c r="AR1009">
        <v>128</v>
      </c>
      <c r="AS1009">
        <v>0</v>
      </c>
      <c r="AT1009">
        <v>0</v>
      </c>
      <c r="AU1009">
        <v>0</v>
      </c>
      <c r="AV1009">
        <v>0</v>
      </c>
      <c r="AW1009">
        <v>0</v>
      </c>
      <c r="AX1009">
        <v>0</v>
      </c>
      <c r="AY1009">
        <v>0</v>
      </c>
    </row>
    <row r="1010" spans="1:51" x14ac:dyDescent="0.25">
      <c r="A1010">
        <v>6</v>
      </c>
      <c r="B1010">
        <v>10040</v>
      </c>
      <c r="C1010" t="s">
        <v>735</v>
      </c>
      <c r="D1010" t="s">
        <v>96</v>
      </c>
      <c r="E1010" t="s">
        <v>121</v>
      </c>
      <c r="F1010" t="s">
        <v>107</v>
      </c>
      <c r="G1010" t="s">
        <v>77</v>
      </c>
      <c r="H1010" t="s">
        <v>78</v>
      </c>
      <c r="I1010" t="s">
        <v>79</v>
      </c>
      <c r="J1010" t="s">
        <v>70</v>
      </c>
      <c r="K1010" t="s">
        <v>75</v>
      </c>
      <c r="L1010" t="s">
        <v>203</v>
      </c>
      <c r="M1010" t="s">
        <v>103</v>
      </c>
      <c r="N1010" t="s">
        <v>74</v>
      </c>
      <c r="O1010" t="s">
        <v>187</v>
      </c>
      <c r="P1010" t="s">
        <v>71</v>
      </c>
      <c r="Q1010" t="s">
        <v>71</v>
      </c>
      <c r="R1010" t="s">
        <v>71</v>
      </c>
      <c r="S1010">
        <v>0</v>
      </c>
      <c r="T1010">
        <v>0</v>
      </c>
      <c r="U1010" t="s">
        <v>72</v>
      </c>
      <c r="V1010" t="s">
        <v>188</v>
      </c>
      <c r="W1010">
        <v>0</v>
      </c>
      <c r="X1010">
        <v>0</v>
      </c>
      <c r="Y1010">
        <v>0</v>
      </c>
      <c r="Z1010">
        <v>0</v>
      </c>
      <c r="AA1010">
        <v>0</v>
      </c>
      <c r="AB1010">
        <v>0</v>
      </c>
      <c r="AC1010">
        <v>0</v>
      </c>
      <c r="AD1010">
        <v>0</v>
      </c>
      <c r="AE1010">
        <v>0</v>
      </c>
      <c r="AF1010">
        <v>0</v>
      </c>
      <c r="AG1010" t="s">
        <v>71</v>
      </c>
      <c r="AH1010">
        <v>0</v>
      </c>
      <c r="AI1010">
        <v>0</v>
      </c>
      <c r="AJ1010">
        <v>0</v>
      </c>
      <c r="AK1010">
        <v>0</v>
      </c>
      <c r="AL1010" t="s">
        <v>146</v>
      </c>
      <c r="AM1010" t="s">
        <v>93</v>
      </c>
      <c r="AN1010" t="s">
        <v>148</v>
      </c>
      <c r="AO1010" t="s">
        <v>147</v>
      </c>
      <c r="AP1010">
        <v>0</v>
      </c>
      <c r="AQ1010">
        <v>0</v>
      </c>
      <c r="AR1010">
        <v>193</v>
      </c>
      <c r="AS1010">
        <v>0</v>
      </c>
      <c r="AT1010">
        <v>0</v>
      </c>
      <c r="AU1010">
        <v>0</v>
      </c>
      <c r="AV1010">
        <v>0</v>
      </c>
      <c r="AW1010">
        <v>0</v>
      </c>
      <c r="AX1010">
        <v>0</v>
      </c>
      <c r="AY1010">
        <v>0</v>
      </c>
    </row>
    <row r="1011" spans="1:51" x14ac:dyDescent="0.25">
      <c r="A1011">
        <v>6</v>
      </c>
      <c r="B1011">
        <v>10050</v>
      </c>
      <c r="C1011" t="s">
        <v>735</v>
      </c>
      <c r="D1011" t="s">
        <v>96</v>
      </c>
      <c r="E1011" t="s">
        <v>121</v>
      </c>
      <c r="F1011" t="s">
        <v>107</v>
      </c>
      <c r="G1011" t="s">
        <v>77</v>
      </c>
      <c r="H1011" t="s">
        <v>78</v>
      </c>
      <c r="I1011" t="s">
        <v>79</v>
      </c>
      <c r="J1011" t="s">
        <v>150</v>
      </c>
      <c r="K1011" t="s">
        <v>75</v>
      </c>
      <c r="L1011" t="s">
        <v>203</v>
      </c>
      <c r="M1011" t="s">
        <v>103</v>
      </c>
      <c r="N1011" t="s">
        <v>74</v>
      </c>
      <c r="O1011" t="s">
        <v>191</v>
      </c>
      <c r="P1011" t="s">
        <v>71</v>
      </c>
      <c r="Q1011" t="s">
        <v>71</v>
      </c>
      <c r="R1011" t="s">
        <v>71</v>
      </c>
      <c r="S1011">
        <v>0</v>
      </c>
      <c r="T1011">
        <v>0</v>
      </c>
      <c r="U1011" t="s">
        <v>72</v>
      </c>
      <c r="V1011" t="s">
        <v>188</v>
      </c>
      <c r="W1011">
        <v>0</v>
      </c>
      <c r="X1011">
        <v>0</v>
      </c>
      <c r="Y1011">
        <v>0</v>
      </c>
      <c r="Z1011">
        <v>0</v>
      </c>
      <c r="AA1011">
        <v>0</v>
      </c>
      <c r="AB1011">
        <v>0</v>
      </c>
      <c r="AC1011">
        <v>0</v>
      </c>
      <c r="AD1011">
        <v>0</v>
      </c>
      <c r="AE1011">
        <v>0</v>
      </c>
      <c r="AF1011">
        <v>0</v>
      </c>
      <c r="AG1011" t="s">
        <v>71</v>
      </c>
      <c r="AH1011">
        <v>0</v>
      </c>
      <c r="AI1011">
        <v>0</v>
      </c>
      <c r="AJ1011">
        <v>0</v>
      </c>
      <c r="AK1011">
        <v>0</v>
      </c>
      <c r="AL1011" t="s">
        <v>176</v>
      </c>
      <c r="AM1011" t="s">
        <v>254</v>
      </c>
      <c r="AN1011" t="s">
        <v>148</v>
      </c>
      <c r="AO1011" t="s">
        <v>147</v>
      </c>
      <c r="AP1011">
        <v>0</v>
      </c>
      <c r="AQ1011">
        <v>0</v>
      </c>
      <c r="AR1011">
        <v>0</v>
      </c>
      <c r="AS1011">
        <v>0</v>
      </c>
      <c r="AT1011">
        <v>0</v>
      </c>
      <c r="AU1011">
        <v>0</v>
      </c>
      <c r="AV1011">
        <v>0</v>
      </c>
      <c r="AW1011">
        <v>0</v>
      </c>
      <c r="AX1011">
        <v>0</v>
      </c>
      <c r="AY1011">
        <v>0</v>
      </c>
    </row>
    <row r="1012" spans="1:51" x14ac:dyDescent="0.25">
      <c r="A1012">
        <v>6</v>
      </c>
      <c r="B1012">
        <v>10060</v>
      </c>
      <c r="C1012" t="s">
        <v>735</v>
      </c>
      <c r="D1012" t="s">
        <v>96</v>
      </c>
      <c r="E1012" t="s">
        <v>121</v>
      </c>
      <c r="F1012" t="s">
        <v>107</v>
      </c>
      <c r="G1012" t="s">
        <v>77</v>
      </c>
      <c r="H1012" t="s">
        <v>78</v>
      </c>
      <c r="I1012" t="s">
        <v>79</v>
      </c>
      <c r="J1012" t="s">
        <v>150</v>
      </c>
      <c r="K1012" t="s">
        <v>75</v>
      </c>
      <c r="L1012" t="s">
        <v>203</v>
      </c>
      <c r="M1012" t="s">
        <v>103</v>
      </c>
      <c r="N1012" t="s">
        <v>74</v>
      </c>
      <c r="O1012" t="s">
        <v>187</v>
      </c>
      <c r="P1012" t="s">
        <v>71</v>
      </c>
      <c r="Q1012" t="s">
        <v>110</v>
      </c>
      <c r="R1012" t="s">
        <v>71</v>
      </c>
      <c r="S1012">
        <v>1</v>
      </c>
      <c r="T1012">
        <v>1</v>
      </c>
      <c r="U1012" t="s">
        <v>72</v>
      </c>
      <c r="V1012" t="s">
        <v>188</v>
      </c>
      <c r="W1012">
        <v>0</v>
      </c>
      <c r="X1012">
        <v>0</v>
      </c>
      <c r="Y1012">
        <v>0</v>
      </c>
      <c r="Z1012">
        <v>0</v>
      </c>
      <c r="AA1012">
        <v>0</v>
      </c>
      <c r="AB1012">
        <v>0</v>
      </c>
      <c r="AC1012">
        <v>0</v>
      </c>
      <c r="AD1012">
        <v>0</v>
      </c>
      <c r="AE1012">
        <v>0</v>
      </c>
      <c r="AF1012">
        <v>0</v>
      </c>
      <c r="AG1012" t="s">
        <v>71</v>
      </c>
      <c r="AH1012">
        <v>0</v>
      </c>
      <c r="AI1012">
        <v>0</v>
      </c>
      <c r="AJ1012">
        <v>0</v>
      </c>
      <c r="AK1012">
        <v>0</v>
      </c>
      <c r="AL1012" t="s">
        <v>450</v>
      </c>
      <c r="AM1012" t="s">
        <v>491</v>
      </c>
      <c r="AN1012" t="s">
        <v>148</v>
      </c>
      <c r="AO1012" t="s">
        <v>147</v>
      </c>
      <c r="AP1012">
        <v>0</v>
      </c>
      <c r="AQ1012">
        <v>0</v>
      </c>
      <c r="AR1012">
        <v>0</v>
      </c>
      <c r="AS1012">
        <v>0</v>
      </c>
      <c r="AT1012">
        <v>0</v>
      </c>
      <c r="AU1012">
        <v>0</v>
      </c>
      <c r="AV1012">
        <v>0</v>
      </c>
      <c r="AW1012">
        <v>0</v>
      </c>
      <c r="AX1012">
        <v>0</v>
      </c>
      <c r="AY1012">
        <v>0</v>
      </c>
    </row>
    <row r="1013" spans="1:51" x14ac:dyDescent="0.25">
      <c r="A1013">
        <v>6</v>
      </c>
      <c r="B1013">
        <v>10070</v>
      </c>
      <c r="C1013" t="s">
        <v>735</v>
      </c>
      <c r="D1013" t="s">
        <v>96</v>
      </c>
      <c r="E1013" t="s">
        <v>121</v>
      </c>
      <c r="F1013" t="s">
        <v>107</v>
      </c>
      <c r="G1013" t="s">
        <v>77</v>
      </c>
      <c r="H1013" t="s">
        <v>78</v>
      </c>
      <c r="I1013" t="s">
        <v>79</v>
      </c>
      <c r="J1013" t="s">
        <v>150</v>
      </c>
      <c r="K1013" t="s">
        <v>75</v>
      </c>
      <c r="L1013" t="s">
        <v>203</v>
      </c>
      <c r="M1013" t="s">
        <v>103</v>
      </c>
      <c r="N1013" t="s">
        <v>74</v>
      </c>
      <c r="O1013" t="s">
        <v>187</v>
      </c>
      <c r="P1013" t="s">
        <v>71</v>
      </c>
      <c r="Q1013" t="s">
        <v>110</v>
      </c>
      <c r="R1013" t="s">
        <v>71</v>
      </c>
      <c r="S1013">
        <v>1</v>
      </c>
      <c r="T1013">
        <v>1</v>
      </c>
      <c r="U1013" t="s">
        <v>72</v>
      </c>
      <c r="V1013" t="s">
        <v>188</v>
      </c>
      <c r="W1013">
        <v>0</v>
      </c>
      <c r="X1013">
        <v>0</v>
      </c>
      <c r="Y1013">
        <v>0</v>
      </c>
      <c r="Z1013">
        <v>0</v>
      </c>
      <c r="AA1013">
        <v>0</v>
      </c>
      <c r="AB1013">
        <v>0</v>
      </c>
      <c r="AC1013">
        <v>0</v>
      </c>
      <c r="AD1013">
        <v>0</v>
      </c>
      <c r="AE1013">
        <v>0</v>
      </c>
      <c r="AF1013">
        <v>0</v>
      </c>
      <c r="AG1013" t="s">
        <v>110</v>
      </c>
      <c r="AH1013">
        <v>1</v>
      </c>
      <c r="AI1013">
        <v>1</v>
      </c>
      <c r="AJ1013">
        <v>1</v>
      </c>
      <c r="AK1013">
        <v>-1000</v>
      </c>
      <c r="AL1013" t="s">
        <v>450</v>
      </c>
      <c r="AM1013" t="s">
        <v>491</v>
      </c>
      <c r="AN1013" t="s">
        <v>148</v>
      </c>
      <c r="AO1013" t="s">
        <v>147</v>
      </c>
      <c r="AP1013">
        <v>0</v>
      </c>
      <c r="AQ1013">
        <v>0</v>
      </c>
      <c r="AR1013">
        <v>0</v>
      </c>
      <c r="AS1013">
        <v>0</v>
      </c>
      <c r="AT1013">
        <v>0</v>
      </c>
      <c r="AU1013">
        <v>0</v>
      </c>
      <c r="AV1013">
        <v>0</v>
      </c>
      <c r="AW1013">
        <v>0</v>
      </c>
      <c r="AX1013">
        <v>0</v>
      </c>
      <c r="AY1013">
        <v>0</v>
      </c>
    </row>
    <row r="1014" spans="1:51" x14ac:dyDescent="0.25">
      <c r="A1014">
        <v>6</v>
      </c>
      <c r="B1014">
        <v>10080</v>
      </c>
      <c r="C1014" t="s">
        <v>735</v>
      </c>
      <c r="D1014" t="s">
        <v>96</v>
      </c>
      <c r="E1014" t="s">
        <v>121</v>
      </c>
      <c r="F1014" t="s">
        <v>107</v>
      </c>
      <c r="G1014" t="s">
        <v>77</v>
      </c>
      <c r="H1014" t="s">
        <v>78</v>
      </c>
      <c r="I1014" t="s">
        <v>79</v>
      </c>
      <c r="J1014" t="s">
        <v>150</v>
      </c>
      <c r="K1014" t="s">
        <v>75</v>
      </c>
      <c r="L1014" t="s">
        <v>203</v>
      </c>
      <c r="M1014" t="s">
        <v>103</v>
      </c>
      <c r="N1014" t="s">
        <v>74</v>
      </c>
      <c r="O1014" t="s">
        <v>187</v>
      </c>
      <c r="P1014" t="s">
        <v>71</v>
      </c>
      <c r="Q1014" t="s">
        <v>110</v>
      </c>
      <c r="R1014" t="s">
        <v>71</v>
      </c>
      <c r="S1014">
        <v>1</v>
      </c>
      <c r="T1014">
        <v>1</v>
      </c>
      <c r="U1014" t="s">
        <v>72</v>
      </c>
      <c r="V1014" t="s">
        <v>188</v>
      </c>
      <c r="W1014">
        <v>0</v>
      </c>
      <c r="X1014">
        <v>0</v>
      </c>
      <c r="Y1014">
        <v>0</v>
      </c>
      <c r="Z1014">
        <v>0</v>
      </c>
      <c r="AA1014">
        <v>0</v>
      </c>
      <c r="AB1014">
        <v>0</v>
      </c>
      <c r="AC1014">
        <v>0</v>
      </c>
      <c r="AD1014">
        <v>0</v>
      </c>
      <c r="AE1014">
        <v>0</v>
      </c>
      <c r="AF1014">
        <v>0</v>
      </c>
      <c r="AG1014" t="s">
        <v>110</v>
      </c>
      <c r="AH1014">
        <v>1</v>
      </c>
      <c r="AI1014">
        <v>1</v>
      </c>
      <c r="AJ1014">
        <v>1</v>
      </c>
      <c r="AK1014">
        <v>0.1</v>
      </c>
      <c r="AL1014" t="s">
        <v>450</v>
      </c>
      <c r="AM1014" t="s">
        <v>491</v>
      </c>
      <c r="AN1014" t="s">
        <v>148</v>
      </c>
      <c r="AO1014" t="s">
        <v>147</v>
      </c>
      <c r="AP1014">
        <v>0</v>
      </c>
      <c r="AQ1014">
        <v>0</v>
      </c>
      <c r="AR1014">
        <v>0</v>
      </c>
      <c r="AS1014">
        <v>0</v>
      </c>
      <c r="AT1014">
        <v>0</v>
      </c>
      <c r="AU1014">
        <v>0</v>
      </c>
      <c r="AV1014">
        <v>0</v>
      </c>
      <c r="AW1014">
        <v>0</v>
      </c>
      <c r="AX1014">
        <v>0</v>
      </c>
      <c r="AY1014">
        <v>0</v>
      </c>
    </row>
    <row r="1015" spans="1:51" x14ac:dyDescent="0.25">
      <c r="A1015">
        <v>6</v>
      </c>
      <c r="B1015">
        <v>13050</v>
      </c>
      <c r="C1015" t="s">
        <v>735</v>
      </c>
      <c r="D1015" t="s">
        <v>96</v>
      </c>
      <c r="E1015" t="s">
        <v>121</v>
      </c>
      <c r="F1015" t="s">
        <v>107</v>
      </c>
      <c r="G1015" t="s">
        <v>77</v>
      </c>
      <c r="H1015" t="s">
        <v>78</v>
      </c>
      <c r="I1015" t="s">
        <v>79</v>
      </c>
      <c r="J1015" t="s">
        <v>150</v>
      </c>
      <c r="K1015" t="s">
        <v>75</v>
      </c>
      <c r="L1015" t="s">
        <v>203</v>
      </c>
      <c r="M1015" t="s">
        <v>103</v>
      </c>
      <c r="N1015" t="s">
        <v>74</v>
      </c>
      <c r="O1015" t="s">
        <v>187</v>
      </c>
      <c r="P1015" t="s">
        <v>71</v>
      </c>
      <c r="Q1015" t="s">
        <v>110</v>
      </c>
      <c r="R1015" t="s">
        <v>71</v>
      </c>
      <c r="S1015">
        <v>1</v>
      </c>
      <c r="T1015">
        <v>1</v>
      </c>
      <c r="U1015" t="s">
        <v>72</v>
      </c>
      <c r="V1015" t="s">
        <v>188</v>
      </c>
      <c r="W1015">
        <v>0</v>
      </c>
      <c r="X1015">
        <v>0</v>
      </c>
      <c r="Y1015">
        <v>0</v>
      </c>
      <c r="Z1015">
        <v>0</v>
      </c>
      <c r="AA1015">
        <v>0</v>
      </c>
      <c r="AB1015">
        <v>0</v>
      </c>
      <c r="AC1015">
        <v>0</v>
      </c>
      <c r="AD1015">
        <v>0</v>
      </c>
      <c r="AE1015">
        <v>0</v>
      </c>
      <c r="AF1015">
        <v>0</v>
      </c>
      <c r="AG1015" t="s">
        <v>110</v>
      </c>
      <c r="AH1015">
        <v>1</v>
      </c>
      <c r="AI1015">
        <v>1</v>
      </c>
      <c r="AJ1015">
        <v>1</v>
      </c>
      <c r="AK1015">
        <v>0.1</v>
      </c>
      <c r="AL1015" t="s">
        <v>450</v>
      </c>
      <c r="AM1015" t="s">
        <v>491</v>
      </c>
      <c r="AN1015" t="s">
        <v>148</v>
      </c>
      <c r="AO1015" t="s">
        <v>147</v>
      </c>
      <c r="AP1015">
        <v>0</v>
      </c>
      <c r="AQ1015">
        <v>0</v>
      </c>
      <c r="AR1015">
        <v>0</v>
      </c>
      <c r="AS1015">
        <v>0</v>
      </c>
      <c r="AT1015">
        <v>0</v>
      </c>
      <c r="AU1015">
        <v>0</v>
      </c>
      <c r="AV1015">
        <v>0</v>
      </c>
      <c r="AW1015">
        <v>0</v>
      </c>
      <c r="AX1015">
        <v>0</v>
      </c>
      <c r="AY1015">
        <v>0</v>
      </c>
    </row>
    <row r="1016" spans="1:51" x14ac:dyDescent="0.25">
      <c r="A1016">
        <v>6</v>
      </c>
      <c r="B1016">
        <v>13060</v>
      </c>
      <c r="C1016" t="s">
        <v>735</v>
      </c>
      <c r="D1016" t="s">
        <v>96</v>
      </c>
      <c r="E1016" t="s">
        <v>121</v>
      </c>
      <c r="F1016" t="s">
        <v>107</v>
      </c>
      <c r="G1016" t="s">
        <v>77</v>
      </c>
      <c r="H1016" t="s">
        <v>78</v>
      </c>
      <c r="I1016" t="s">
        <v>79</v>
      </c>
      <c r="J1016" t="s">
        <v>150</v>
      </c>
      <c r="K1016" t="s">
        <v>75</v>
      </c>
      <c r="L1016" t="s">
        <v>203</v>
      </c>
      <c r="M1016" t="s">
        <v>103</v>
      </c>
      <c r="N1016" t="s">
        <v>74</v>
      </c>
      <c r="O1016" t="s">
        <v>187</v>
      </c>
      <c r="P1016" t="s">
        <v>71</v>
      </c>
      <c r="Q1016" t="s">
        <v>110</v>
      </c>
      <c r="R1016" t="s">
        <v>71</v>
      </c>
      <c r="S1016">
        <v>1</v>
      </c>
      <c r="T1016">
        <v>1</v>
      </c>
      <c r="U1016" t="s">
        <v>72</v>
      </c>
      <c r="V1016" t="s">
        <v>188</v>
      </c>
      <c r="W1016">
        <v>0</v>
      </c>
      <c r="X1016">
        <v>0</v>
      </c>
      <c r="Y1016">
        <v>0</v>
      </c>
      <c r="Z1016">
        <v>0</v>
      </c>
      <c r="AA1016">
        <v>0</v>
      </c>
      <c r="AB1016">
        <v>0</v>
      </c>
      <c r="AC1016">
        <v>0</v>
      </c>
      <c r="AD1016">
        <v>0</v>
      </c>
      <c r="AE1016">
        <v>0</v>
      </c>
      <c r="AF1016">
        <v>0</v>
      </c>
      <c r="AG1016" t="s">
        <v>110</v>
      </c>
      <c r="AH1016">
        <v>1</v>
      </c>
      <c r="AI1016">
        <v>1</v>
      </c>
      <c r="AJ1016">
        <v>0</v>
      </c>
      <c r="AK1016">
        <v>0.1</v>
      </c>
      <c r="AL1016" t="s">
        <v>450</v>
      </c>
      <c r="AM1016" t="s">
        <v>491</v>
      </c>
      <c r="AN1016" t="s">
        <v>148</v>
      </c>
      <c r="AO1016" t="s">
        <v>147</v>
      </c>
      <c r="AP1016">
        <v>0</v>
      </c>
      <c r="AQ1016">
        <v>0</v>
      </c>
      <c r="AR1016">
        <v>0</v>
      </c>
      <c r="AS1016">
        <v>0</v>
      </c>
      <c r="AT1016">
        <v>0</v>
      </c>
      <c r="AU1016">
        <v>0</v>
      </c>
      <c r="AV1016">
        <v>0</v>
      </c>
      <c r="AW1016">
        <v>0</v>
      </c>
      <c r="AX1016">
        <v>0</v>
      </c>
      <c r="AY1016">
        <v>0</v>
      </c>
    </row>
    <row r="1017" spans="1:51" x14ac:dyDescent="0.25">
      <c r="A1017">
        <v>6</v>
      </c>
      <c r="B1017">
        <v>13070</v>
      </c>
      <c r="C1017" t="s">
        <v>735</v>
      </c>
      <c r="D1017" t="s">
        <v>96</v>
      </c>
      <c r="E1017" t="s">
        <v>121</v>
      </c>
      <c r="F1017" t="s">
        <v>107</v>
      </c>
      <c r="G1017" t="s">
        <v>77</v>
      </c>
      <c r="H1017" t="s">
        <v>78</v>
      </c>
      <c r="I1017" t="s">
        <v>79</v>
      </c>
      <c r="J1017" t="s">
        <v>150</v>
      </c>
      <c r="K1017" t="s">
        <v>75</v>
      </c>
      <c r="L1017" t="s">
        <v>203</v>
      </c>
      <c r="M1017" t="s">
        <v>103</v>
      </c>
      <c r="N1017" t="s">
        <v>74</v>
      </c>
      <c r="O1017" t="s">
        <v>187</v>
      </c>
      <c r="P1017" t="s">
        <v>71</v>
      </c>
      <c r="Q1017" t="s">
        <v>110</v>
      </c>
      <c r="R1017" t="s">
        <v>71</v>
      </c>
      <c r="S1017">
        <v>1</v>
      </c>
      <c r="T1017">
        <v>1</v>
      </c>
      <c r="U1017" t="s">
        <v>72</v>
      </c>
      <c r="V1017" t="s">
        <v>188</v>
      </c>
      <c r="W1017">
        <v>0</v>
      </c>
      <c r="X1017">
        <v>0</v>
      </c>
      <c r="Y1017">
        <v>0</v>
      </c>
      <c r="Z1017">
        <v>0</v>
      </c>
      <c r="AA1017">
        <v>0</v>
      </c>
      <c r="AB1017">
        <v>0</v>
      </c>
      <c r="AC1017">
        <v>0</v>
      </c>
      <c r="AD1017">
        <v>0</v>
      </c>
      <c r="AE1017">
        <v>0</v>
      </c>
      <c r="AF1017">
        <v>0</v>
      </c>
      <c r="AG1017" t="s">
        <v>110</v>
      </c>
      <c r="AH1017">
        <v>1</v>
      </c>
      <c r="AI1017">
        <v>1</v>
      </c>
      <c r="AJ1017">
        <v>0</v>
      </c>
      <c r="AK1017">
        <v>0.1</v>
      </c>
      <c r="AL1017" t="s">
        <v>99</v>
      </c>
      <c r="AM1017" t="s">
        <v>93</v>
      </c>
      <c r="AN1017" t="s">
        <v>148</v>
      </c>
      <c r="AO1017" t="s">
        <v>147</v>
      </c>
      <c r="AP1017">
        <v>0</v>
      </c>
      <c r="AQ1017">
        <v>0</v>
      </c>
      <c r="AR1017">
        <v>0</v>
      </c>
      <c r="AS1017">
        <v>0</v>
      </c>
      <c r="AT1017">
        <v>0</v>
      </c>
      <c r="AU1017">
        <v>0</v>
      </c>
      <c r="AV1017">
        <v>0</v>
      </c>
      <c r="AW1017">
        <v>0</v>
      </c>
      <c r="AX1017">
        <v>0</v>
      </c>
      <c r="AY1017">
        <v>0</v>
      </c>
    </row>
    <row r="1018" spans="1:51" x14ac:dyDescent="0.25">
      <c r="A1018">
        <v>0</v>
      </c>
      <c r="C1018" t="s">
        <v>735</v>
      </c>
      <c r="D1018" t="s">
        <v>736</v>
      </c>
      <c r="E1018" t="s">
        <v>736</v>
      </c>
      <c r="F1018" t="s">
        <v>736</v>
      </c>
      <c r="G1018" t="s">
        <v>736</v>
      </c>
      <c r="H1018" t="s">
        <v>736</v>
      </c>
      <c r="I1018" t="s">
        <v>736</v>
      </c>
      <c r="J1018" t="s">
        <v>736</v>
      </c>
      <c r="K1018" t="s">
        <v>736</v>
      </c>
      <c r="L1018" t="s">
        <v>736</v>
      </c>
      <c r="M1018" t="s">
        <v>736</v>
      </c>
      <c r="N1018" t="s">
        <v>736</v>
      </c>
      <c r="O1018" t="s">
        <v>736</v>
      </c>
      <c r="P1018" t="s">
        <v>736</v>
      </c>
      <c r="Q1018" t="s">
        <v>736</v>
      </c>
      <c r="R1018" t="s">
        <v>736</v>
      </c>
      <c r="S1018" t="s">
        <v>736</v>
      </c>
      <c r="T1018" t="s">
        <v>736</v>
      </c>
      <c r="U1018" t="s">
        <v>736</v>
      </c>
      <c r="V1018" t="s">
        <v>736</v>
      </c>
      <c r="W1018" t="s">
        <v>736</v>
      </c>
      <c r="X1018" t="s">
        <v>736</v>
      </c>
      <c r="Y1018" t="s">
        <v>736</v>
      </c>
      <c r="Z1018" t="s">
        <v>736</v>
      </c>
      <c r="AA1018" t="s">
        <v>736</v>
      </c>
      <c r="AB1018" t="s">
        <v>736</v>
      </c>
      <c r="AC1018" t="s">
        <v>736</v>
      </c>
      <c r="AD1018" t="s">
        <v>736</v>
      </c>
      <c r="AE1018" t="s">
        <v>736</v>
      </c>
      <c r="AF1018" t="s">
        <v>736</v>
      </c>
      <c r="AG1018" t="s">
        <v>736</v>
      </c>
      <c r="AH1018" t="s">
        <v>736</v>
      </c>
      <c r="AI1018" t="s">
        <v>736</v>
      </c>
      <c r="AJ1018" t="s">
        <v>736</v>
      </c>
      <c r="AK1018" t="s">
        <v>736</v>
      </c>
      <c r="AL1018" t="s">
        <v>736</v>
      </c>
      <c r="AM1018" t="s">
        <v>736</v>
      </c>
      <c r="AN1018" t="s">
        <v>736</v>
      </c>
      <c r="AO1018" t="s">
        <v>736</v>
      </c>
      <c r="AP1018" t="s">
        <v>736</v>
      </c>
      <c r="AQ1018" t="s">
        <v>736</v>
      </c>
      <c r="AR1018" t="s">
        <v>736</v>
      </c>
      <c r="AS1018" t="s">
        <v>736</v>
      </c>
      <c r="AT1018" t="s">
        <v>736</v>
      </c>
      <c r="AU1018" t="s">
        <v>736</v>
      </c>
      <c r="AV1018" t="s">
        <v>736</v>
      </c>
      <c r="AW1018" t="s">
        <v>736</v>
      </c>
      <c r="AX1018" t="s">
        <v>736</v>
      </c>
      <c r="AY1018" t="s">
        <v>736</v>
      </c>
    </row>
    <row r="1019" spans="1:51" x14ac:dyDescent="0.25">
      <c r="A1019">
        <v>7</v>
      </c>
      <c r="B1019">
        <v>10</v>
      </c>
      <c r="C1019" t="s">
        <v>735</v>
      </c>
      <c r="D1019" t="s">
        <v>96</v>
      </c>
      <c r="E1019" t="s">
        <v>121</v>
      </c>
      <c r="F1019" t="s">
        <v>107</v>
      </c>
      <c r="G1019" t="s">
        <v>101</v>
      </c>
      <c r="H1019" t="s">
        <v>78</v>
      </c>
      <c r="I1019" t="s">
        <v>79</v>
      </c>
      <c r="J1019" t="s">
        <v>70</v>
      </c>
      <c r="K1019" t="s">
        <v>75</v>
      </c>
      <c r="L1019" t="s">
        <v>76</v>
      </c>
      <c r="M1019" t="s">
        <v>103</v>
      </c>
      <c r="N1019" t="s">
        <v>74</v>
      </c>
      <c r="O1019" t="s">
        <v>104</v>
      </c>
      <c r="P1019" t="s">
        <v>71</v>
      </c>
      <c r="Q1019" t="s">
        <v>71</v>
      </c>
      <c r="R1019" t="s">
        <v>71</v>
      </c>
      <c r="S1019">
        <v>0</v>
      </c>
      <c r="T1019">
        <v>0</v>
      </c>
      <c r="U1019" t="s">
        <v>72</v>
      </c>
      <c r="V1019" t="s">
        <v>73</v>
      </c>
      <c r="W1019">
        <v>0</v>
      </c>
      <c r="X1019">
        <v>0</v>
      </c>
      <c r="Y1019">
        <v>0</v>
      </c>
      <c r="Z1019">
        <v>0</v>
      </c>
      <c r="AA1019">
        <v>0</v>
      </c>
      <c r="AB1019">
        <v>0</v>
      </c>
      <c r="AC1019">
        <v>0</v>
      </c>
      <c r="AD1019">
        <v>0</v>
      </c>
      <c r="AE1019">
        <v>0</v>
      </c>
      <c r="AF1019">
        <v>0</v>
      </c>
      <c r="AG1019" t="s">
        <v>71</v>
      </c>
      <c r="AH1019">
        <v>0</v>
      </c>
      <c r="AI1019">
        <v>0</v>
      </c>
      <c r="AJ1019">
        <v>0</v>
      </c>
      <c r="AK1019">
        <v>0</v>
      </c>
      <c r="AL1019" t="s">
        <v>91</v>
      </c>
      <c r="AM1019" t="s">
        <v>93</v>
      </c>
      <c r="AN1019" t="s">
        <v>94</v>
      </c>
      <c r="AO1019" t="s">
        <v>92</v>
      </c>
      <c r="AP1019">
        <v>0</v>
      </c>
      <c r="AQ1019">
        <v>0</v>
      </c>
      <c r="AR1019">
        <v>0</v>
      </c>
      <c r="AS1019">
        <v>0</v>
      </c>
      <c r="AT1019">
        <v>0</v>
      </c>
      <c r="AU1019">
        <v>0</v>
      </c>
      <c r="AV1019">
        <v>0</v>
      </c>
      <c r="AW1019">
        <v>0</v>
      </c>
      <c r="AX1019">
        <v>0</v>
      </c>
      <c r="AY1019">
        <v>0</v>
      </c>
    </row>
    <row r="1020" spans="1:51" x14ac:dyDescent="0.25">
      <c r="A1020">
        <v>7</v>
      </c>
      <c r="B1020">
        <v>5010</v>
      </c>
      <c r="C1020" t="s">
        <v>735</v>
      </c>
      <c r="D1020" t="s">
        <v>96</v>
      </c>
      <c r="E1020" t="s">
        <v>121</v>
      </c>
      <c r="F1020" t="s">
        <v>107</v>
      </c>
      <c r="G1020" t="s">
        <v>101</v>
      </c>
      <c r="H1020" t="s">
        <v>78</v>
      </c>
      <c r="I1020" t="s">
        <v>79</v>
      </c>
      <c r="J1020" t="s">
        <v>70</v>
      </c>
      <c r="K1020" t="s">
        <v>75</v>
      </c>
      <c r="L1020" t="s">
        <v>76</v>
      </c>
      <c r="M1020" t="s">
        <v>103</v>
      </c>
      <c r="N1020" t="s">
        <v>74</v>
      </c>
      <c r="O1020" t="s">
        <v>104</v>
      </c>
      <c r="P1020" t="s">
        <v>71</v>
      </c>
      <c r="Q1020" t="s">
        <v>71</v>
      </c>
      <c r="R1020" t="s">
        <v>71</v>
      </c>
      <c r="S1020">
        <v>0</v>
      </c>
      <c r="T1020">
        <v>0</v>
      </c>
      <c r="U1020" t="s">
        <v>72</v>
      </c>
      <c r="V1020" t="s">
        <v>73</v>
      </c>
      <c r="W1020">
        <v>0</v>
      </c>
      <c r="X1020">
        <v>0</v>
      </c>
      <c r="Y1020">
        <v>0</v>
      </c>
      <c r="Z1020">
        <v>0</v>
      </c>
      <c r="AA1020">
        <v>0</v>
      </c>
      <c r="AB1020">
        <v>0</v>
      </c>
      <c r="AC1020">
        <v>0</v>
      </c>
      <c r="AD1020">
        <v>0</v>
      </c>
      <c r="AE1020">
        <v>0</v>
      </c>
      <c r="AF1020">
        <v>0</v>
      </c>
      <c r="AG1020" t="s">
        <v>71</v>
      </c>
      <c r="AH1020">
        <v>0</v>
      </c>
      <c r="AI1020">
        <v>0</v>
      </c>
      <c r="AJ1020">
        <v>0</v>
      </c>
      <c r="AK1020">
        <v>0</v>
      </c>
      <c r="AL1020" t="s">
        <v>91</v>
      </c>
      <c r="AM1020" t="s">
        <v>93</v>
      </c>
      <c r="AN1020" t="s">
        <v>94</v>
      </c>
      <c r="AO1020" t="s">
        <v>92</v>
      </c>
      <c r="AP1020">
        <v>0</v>
      </c>
      <c r="AQ1020">
        <v>0</v>
      </c>
      <c r="AR1020">
        <v>0</v>
      </c>
      <c r="AS1020">
        <v>0</v>
      </c>
      <c r="AT1020">
        <v>0</v>
      </c>
      <c r="AU1020">
        <v>0</v>
      </c>
      <c r="AV1020">
        <v>0</v>
      </c>
      <c r="AW1020">
        <v>0</v>
      </c>
      <c r="AX1020">
        <v>0</v>
      </c>
      <c r="AY1020">
        <v>0</v>
      </c>
    </row>
    <row r="1021" spans="1:51" x14ac:dyDescent="0.25">
      <c r="A1021">
        <v>7</v>
      </c>
      <c r="B1021">
        <v>5020</v>
      </c>
      <c r="C1021" t="s">
        <v>735</v>
      </c>
      <c r="D1021" t="s">
        <v>96</v>
      </c>
      <c r="E1021" t="s">
        <v>121</v>
      </c>
      <c r="F1021" t="s">
        <v>107</v>
      </c>
      <c r="G1021" t="s">
        <v>101</v>
      </c>
      <c r="H1021" t="s">
        <v>78</v>
      </c>
      <c r="I1021" t="s">
        <v>79</v>
      </c>
      <c r="J1021" t="s">
        <v>70</v>
      </c>
      <c r="K1021" t="s">
        <v>75</v>
      </c>
      <c r="L1021" t="s">
        <v>76</v>
      </c>
      <c r="M1021" t="s">
        <v>103</v>
      </c>
      <c r="N1021" t="s">
        <v>74</v>
      </c>
      <c r="O1021" t="s">
        <v>104</v>
      </c>
      <c r="P1021" t="s">
        <v>71</v>
      </c>
      <c r="Q1021" t="s">
        <v>71</v>
      </c>
      <c r="R1021" t="s">
        <v>71</v>
      </c>
      <c r="S1021">
        <v>0</v>
      </c>
      <c r="T1021">
        <v>0</v>
      </c>
      <c r="U1021" t="s">
        <v>72</v>
      </c>
      <c r="V1021" t="s">
        <v>73</v>
      </c>
      <c r="W1021">
        <v>0</v>
      </c>
      <c r="X1021">
        <v>0</v>
      </c>
      <c r="Y1021">
        <v>0</v>
      </c>
      <c r="Z1021">
        <v>0</v>
      </c>
      <c r="AA1021">
        <v>0</v>
      </c>
      <c r="AB1021">
        <v>0</v>
      </c>
      <c r="AC1021">
        <v>0</v>
      </c>
      <c r="AD1021">
        <v>0</v>
      </c>
      <c r="AE1021">
        <v>0</v>
      </c>
      <c r="AF1021">
        <v>0</v>
      </c>
      <c r="AG1021" t="s">
        <v>71</v>
      </c>
      <c r="AH1021">
        <v>0</v>
      </c>
      <c r="AI1021">
        <v>0</v>
      </c>
      <c r="AJ1021">
        <v>0</v>
      </c>
      <c r="AK1021">
        <v>0</v>
      </c>
      <c r="AL1021" t="s">
        <v>108</v>
      </c>
      <c r="AM1021" t="s">
        <v>93</v>
      </c>
      <c r="AN1021" t="s">
        <v>94</v>
      </c>
      <c r="AO1021" t="s">
        <v>92</v>
      </c>
      <c r="AP1021">
        <v>0</v>
      </c>
      <c r="AQ1021">
        <v>0</v>
      </c>
      <c r="AR1021">
        <v>0</v>
      </c>
      <c r="AS1021">
        <v>0</v>
      </c>
      <c r="AT1021">
        <v>0</v>
      </c>
      <c r="AU1021">
        <v>0</v>
      </c>
      <c r="AV1021">
        <v>0</v>
      </c>
      <c r="AW1021">
        <v>0</v>
      </c>
      <c r="AX1021">
        <v>0</v>
      </c>
      <c r="AY1021">
        <v>0</v>
      </c>
    </row>
    <row r="1022" spans="1:51" x14ac:dyDescent="0.25">
      <c r="A1022">
        <v>7</v>
      </c>
      <c r="B1022">
        <v>5030</v>
      </c>
      <c r="C1022" t="s">
        <v>735</v>
      </c>
      <c r="D1022" t="s">
        <v>96</v>
      </c>
      <c r="E1022" t="s">
        <v>121</v>
      </c>
      <c r="F1022" t="s">
        <v>107</v>
      </c>
      <c r="G1022" t="s">
        <v>101</v>
      </c>
      <c r="H1022" t="s">
        <v>78</v>
      </c>
      <c r="I1022" t="s">
        <v>79</v>
      </c>
      <c r="J1022" t="s">
        <v>70</v>
      </c>
      <c r="K1022" t="s">
        <v>75</v>
      </c>
      <c r="L1022" t="s">
        <v>76</v>
      </c>
      <c r="M1022" t="s">
        <v>103</v>
      </c>
      <c r="N1022" t="s">
        <v>74</v>
      </c>
      <c r="O1022" t="s">
        <v>104</v>
      </c>
      <c r="P1022" t="s">
        <v>71</v>
      </c>
      <c r="Q1022" t="s">
        <v>71</v>
      </c>
      <c r="R1022" t="s">
        <v>71</v>
      </c>
      <c r="S1022">
        <v>0</v>
      </c>
      <c r="T1022">
        <v>0</v>
      </c>
      <c r="U1022" t="s">
        <v>72</v>
      </c>
      <c r="V1022" t="s">
        <v>73</v>
      </c>
      <c r="W1022">
        <v>0</v>
      </c>
      <c r="X1022">
        <v>0</v>
      </c>
      <c r="Y1022">
        <v>0</v>
      </c>
      <c r="Z1022">
        <v>0</v>
      </c>
      <c r="AA1022">
        <v>0</v>
      </c>
      <c r="AB1022">
        <v>0</v>
      </c>
      <c r="AC1022">
        <v>0</v>
      </c>
      <c r="AD1022">
        <v>0</v>
      </c>
      <c r="AE1022">
        <v>0</v>
      </c>
      <c r="AF1022">
        <v>0</v>
      </c>
      <c r="AG1022" t="s">
        <v>71</v>
      </c>
      <c r="AH1022">
        <v>0</v>
      </c>
      <c r="AI1022">
        <v>0</v>
      </c>
      <c r="AJ1022">
        <v>0</v>
      </c>
      <c r="AK1022">
        <v>0</v>
      </c>
      <c r="AL1022" t="s">
        <v>108</v>
      </c>
      <c r="AM1022" t="s">
        <v>93</v>
      </c>
      <c r="AN1022" t="s">
        <v>94</v>
      </c>
      <c r="AO1022" t="s">
        <v>92</v>
      </c>
      <c r="AP1022">
        <v>0</v>
      </c>
      <c r="AQ1022">
        <v>0</v>
      </c>
      <c r="AR1022">
        <v>0</v>
      </c>
      <c r="AS1022">
        <v>0</v>
      </c>
      <c r="AT1022">
        <v>0</v>
      </c>
      <c r="AU1022">
        <v>0</v>
      </c>
      <c r="AV1022">
        <v>0</v>
      </c>
      <c r="AW1022">
        <v>0</v>
      </c>
      <c r="AX1022">
        <v>0</v>
      </c>
      <c r="AY1022">
        <v>0</v>
      </c>
    </row>
    <row r="1023" spans="1:51" x14ac:dyDescent="0.25">
      <c r="A1023">
        <v>7</v>
      </c>
      <c r="B1023">
        <v>10010</v>
      </c>
      <c r="C1023" t="s">
        <v>735</v>
      </c>
      <c r="D1023" t="s">
        <v>96</v>
      </c>
      <c r="E1023" t="s">
        <v>121</v>
      </c>
      <c r="F1023" t="s">
        <v>107</v>
      </c>
      <c r="G1023" t="s">
        <v>101</v>
      </c>
      <c r="H1023" t="s">
        <v>78</v>
      </c>
      <c r="I1023" t="s">
        <v>79</v>
      </c>
      <c r="J1023" t="s">
        <v>70</v>
      </c>
      <c r="K1023" t="s">
        <v>75</v>
      </c>
      <c r="L1023" t="s">
        <v>76</v>
      </c>
      <c r="M1023" t="s">
        <v>103</v>
      </c>
      <c r="N1023" t="s">
        <v>74</v>
      </c>
      <c r="O1023" t="s">
        <v>104</v>
      </c>
      <c r="P1023" t="s">
        <v>71</v>
      </c>
      <c r="Q1023" t="s">
        <v>71</v>
      </c>
      <c r="R1023" t="s">
        <v>71</v>
      </c>
      <c r="S1023">
        <v>0</v>
      </c>
      <c r="T1023">
        <v>0</v>
      </c>
      <c r="U1023" t="s">
        <v>72</v>
      </c>
      <c r="V1023" t="s">
        <v>73</v>
      </c>
      <c r="W1023">
        <v>0</v>
      </c>
      <c r="X1023">
        <v>0</v>
      </c>
      <c r="Y1023">
        <v>0</v>
      </c>
      <c r="Z1023">
        <v>0</v>
      </c>
      <c r="AA1023">
        <v>0</v>
      </c>
      <c r="AB1023">
        <v>0</v>
      </c>
      <c r="AC1023">
        <v>0</v>
      </c>
      <c r="AD1023">
        <v>0</v>
      </c>
      <c r="AE1023">
        <v>0</v>
      </c>
      <c r="AF1023">
        <v>0</v>
      </c>
      <c r="AG1023" t="s">
        <v>71</v>
      </c>
      <c r="AH1023">
        <v>0</v>
      </c>
      <c r="AI1023">
        <v>0</v>
      </c>
      <c r="AJ1023">
        <v>0</v>
      </c>
      <c r="AK1023">
        <v>0</v>
      </c>
      <c r="AL1023" t="s">
        <v>108</v>
      </c>
      <c r="AM1023" t="s">
        <v>93</v>
      </c>
      <c r="AN1023" t="s">
        <v>94</v>
      </c>
      <c r="AO1023" t="s">
        <v>92</v>
      </c>
      <c r="AP1023">
        <v>0</v>
      </c>
      <c r="AQ1023">
        <v>0</v>
      </c>
      <c r="AR1023">
        <v>0</v>
      </c>
      <c r="AS1023">
        <v>0</v>
      </c>
      <c r="AT1023">
        <v>0</v>
      </c>
      <c r="AU1023">
        <v>0</v>
      </c>
      <c r="AV1023">
        <v>0</v>
      </c>
      <c r="AW1023">
        <v>0</v>
      </c>
      <c r="AX1023">
        <v>0</v>
      </c>
      <c r="AY1023">
        <v>0</v>
      </c>
    </row>
    <row r="1024" spans="1:51" x14ac:dyDescent="0.25">
      <c r="A1024">
        <v>7</v>
      </c>
      <c r="B1024">
        <v>10020</v>
      </c>
      <c r="C1024" t="s">
        <v>735</v>
      </c>
      <c r="D1024" t="s">
        <v>96</v>
      </c>
      <c r="E1024" t="s">
        <v>121</v>
      </c>
      <c r="F1024" t="s">
        <v>107</v>
      </c>
      <c r="G1024" t="s">
        <v>101</v>
      </c>
      <c r="H1024" t="s">
        <v>78</v>
      </c>
      <c r="I1024" t="s">
        <v>79</v>
      </c>
      <c r="J1024" t="s">
        <v>70</v>
      </c>
      <c r="K1024" t="s">
        <v>75</v>
      </c>
      <c r="L1024" t="s">
        <v>76</v>
      </c>
      <c r="M1024" t="s">
        <v>103</v>
      </c>
      <c r="N1024" t="s">
        <v>74</v>
      </c>
      <c r="O1024" t="s">
        <v>104</v>
      </c>
      <c r="P1024" t="s">
        <v>71</v>
      </c>
      <c r="Q1024" t="s">
        <v>71</v>
      </c>
      <c r="R1024" t="s">
        <v>71</v>
      </c>
      <c r="S1024">
        <v>0</v>
      </c>
      <c r="T1024">
        <v>0</v>
      </c>
      <c r="U1024" t="s">
        <v>72</v>
      </c>
      <c r="V1024" t="s">
        <v>73</v>
      </c>
      <c r="W1024">
        <v>0</v>
      </c>
      <c r="X1024">
        <v>0</v>
      </c>
      <c r="Y1024">
        <v>0</v>
      </c>
      <c r="Z1024">
        <v>0</v>
      </c>
      <c r="AA1024">
        <v>0</v>
      </c>
      <c r="AB1024">
        <v>0</v>
      </c>
      <c r="AC1024">
        <v>0</v>
      </c>
      <c r="AD1024">
        <v>0</v>
      </c>
      <c r="AE1024">
        <v>0</v>
      </c>
      <c r="AF1024">
        <v>0</v>
      </c>
      <c r="AG1024" t="s">
        <v>71</v>
      </c>
      <c r="AH1024">
        <v>0</v>
      </c>
      <c r="AI1024">
        <v>0</v>
      </c>
      <c r="AJ1024">
        <v>0</v>
      </c>
      <c r="AK1024">
        <v>0</v>
      </c>
      <c r="AL1024" t="s">
        <v>108</v>
      </c>
      <c r="AM1024" t="s">
        <v>93</v>
      </c>
      <c r="AN1024" t="s">
        <v>94</v>
      </c>
      <c r="AO1024" t="s">
        <v>92</v>
      </c>
      <c r="AP1024">
        <v>0</v>
      </c>
      <c r="AQ1024">
        <v>0</v>
      </c>
      <c r="AR1024">
        <v>0</v>
      </c>
      <c r="AS1024">
        <v>0</v>
      </c>
      <c r="AT1024">
        <v>0</v>
      </c>
      <c r="AU1024">
        <v>0</v>
      </c>
      <c r="AV1024">
        <v>0</v>
      </c>
      <c r="AW1024">
        <v>0</v>
      </c>
      <c r="AX1024">
        <v>0</v>
      </c>
      <c r="AY1024">
        <v>0</v>
      </c>
    </row>
    <row r="1025" spans="1:51" x14ac:dyDescent="0.25">
      <c r="A1025">
        <v>7</v>
      </c>
      <c r="B1025">
        <v>10030</v>
      </c>
      <c r="C1025" t="s">
        <v>735</v>
      </c>
      <c r="D1025" t="s">
        <v>96</v>
      </c>
      <c r="E1025" t="s">
        <v>121</v>
      </c>
      <c r="F1025" t="s">
        <v>107</v>
      </c>
      <c r="G1025" t="s">
        <v>77</v>
      </c>
      <c r="H1025" t="s">
        <v>78</v>
      </c>
      <c r="I1025" t="s">
        <v>79</v>
      </c>
      <c r="J1025" t="s">
        <v>70</v>
      </c>
      <c r="K1025" t="s">
        <v>75</v>
      </c>
      <c r="L1025" t="s">
        <v>76</v>
      </c>
      <c r="M1025" t="s">
        <v>103</v>
      </c>
      <c r="N1025" t="s">
        <v>74</v>
      </c>
      <c r="O1025" t="s">
        <v>104</v>
      </c>
      <c r="P1025" t="s">
        <v>71</v>
      </c>
      <c r="Q1025" t="s">
        <v>71</v>
      </c>
      <c r="R1025" t="s">
        <v>71</v>
      </c>
      <c r="S1025">
        <v>0</v>
      </c>
      <c r="T1025">
        <v>1</v>
      </c>
      <c r="U1025" t="s">
        <v>72</v>
      </c>
      <c r="V1025" t="s">
        <v>73</v>
      </c>
      <c r="W1025">
        <v>0</v>
      </c>
      <c r="X1025">
        <v>0</v>
      </c>
      <c r="Y1025">
        <v>0</v>
      </c>
      <c r="Z1025">
        <v>0</v>
      </c>
      <c r="AA1025">
        <v>0</v>
      </c>
      <c r="AB1025">
        <v>0</v>
      </c>
      <c r="AC1025">
        <v>0</v>
      </c>
      <c r="AD1025">
        <v>0</v>
      </c>
      <c r="AE1025">
        <v>0</v>
      </c>
      <c r="AF1025">
        <v>0</v>
      </c>
      <c r="AG1025" t="s">
        <v>71</v>
      </c>
      <c r="AH1025">
        <v>0</v>
      </c>
      <c r="AI1025">
        <v>0</v>
      </c>
      <c r="AJ1025">
        <v>0</v>
      </c>
      <c r="AK1025">
        <v>0</v>
      </c>
      <c r="AL1025" t="s">
        <v>146</v>
      </c>
      <c r="AM1025" t="s">
        <v>93</v>
      </c>
      <c r="AN1025" t="s">
        <v>148</v>
      </c>
      <c r="AO1025" t="s">
        <v>147</v>
      </c>
      <c r="AP1025">
        <v>0</v>
      </c>
      <c r="AQ1025">
        <v>0</v>
      </c>
      <c r="AR1025">
        <v>128</v>
      </c>
      <c r="AS1025">
        <v>0</v>
      </c>
      <c r="AT1025">
        <v>0</v>
      </c>
      <c r="AU1025">
        <v>0</v>
      </c>
      <c r="AV1025">
        <v>0</v>
      </c>
      <c r="AW1025">
        <v>0</v>
      </c>
      <c r="AX1025">
        <v>0</v>
      </c>
      <c r="AY1025">
        <v>0</v>
      </c>
    </row>
    <row r="1026" spans="1:51" x14ac:dyDescent="0.25">
      <c r="A1026">
        <v>7</v>
      </c>
      <c r="B1026">
        <v>10040</v>
      </c>
      <c r="C1026" t="s">
        <v>735</v>
      </c>
      <c r="D1026" t="s">
        <v>96</v>
      </c>
      <c r="E1026" t="s">
        <v>100</v>
      </c>
      <c r="F1026" t="s">
        <v>107</v>
      </c>
      <c r="G1026" t="s">
        <v>77</v>
      </c>
      <c r="H1026" t="s">
        <v>78</v>
      </c>
      <c r="I1026" t="s">
        <v>79</v>
      </c>
      <c r="J1026" t="s">
        <v>70</v>
      </c>
      <c r="K1026" t="s">
        <v>75</v>
      </c>
      <c r="L1026" t="s">
        <v>76</v>
      </c>
      <c r="M1026" t="s">
        <v>103</v>
      </c>
      <c r="N1026" t="s">
        <v>74</v>
      </c>
      <c r="O1026" t="s">
        <v>104</v>
      </c>
      <c r="P1026" t="s">
        <v>71</v>
      </c>
      <c r="Q1026" t="s">
        <v>71</v>
      </c>
      <c r="R1026" t="s">
        <v>71</v>
      </c>
      <c r="S1026">
        <v>0</v>
      </c>
      <c r="T1026">
        <v>1</v>
      </c>
      <c r="U1026" t="s">
        <v>72</v>
      </c>
      <c r="V1026" t="s">
        <v>192</v>
      </c>
      <c r="W1026">
        <v>0</v>
      </c>
      <c r="X1026">
        <v>0</v>
      </c>
      <c r="Y1026">
        <v>0</v>
      </c>
      <c r="Z1026">
        <v>0</v>
      </c>
      <c r="AA1026">
        <v>0</v>
      </c>
      <c r="AB1026">
        <v>0</v>
      </c>
      <c r="AC1026">
        <v>0</v>
      </c>
      <c r="AD1026">
        <v>0</v>
      </c>
      <c r="AE1026">
        <v>0</v>
      </c>
      <c r="AF1026">
        <v>0</v>
      </c>
      <c r="AG1026" t="s">
        <v>71</v>
      </c>
      <c r="AH1026">
        <v>0</v>
      </c>
      <c r="AI1026">
        <v>0</v>
      </c>
      <c r="AJ1026">
        <v>0</v>
      </c>
      <c r="AK1026">
        <v>0</v>
      </c>
      <c r="AL1026" t="s">
        <v>146</v>
      </c>
      <c r="AM1026" t="s">
        <v>93</v>
      </c>
      <c r="AN1026" t="s">
        <v>94</v>
      </c>
      <c r="AO1026" t="s">
        <v>147</v>
      </c>
      <c r="AP1026">
        <v>0</v>
      </c>
      <c r="AQ1026">
        <v>0</v>
      </c>
      <c r="AR1026">
        <v>128</v>
      </c>
      <c r="AS1026">
        <v>0</v>
      </c>
      <c r="AT1026">
        <v>0</v>
      </c>
      <c r="AU1026">
        <v>0</v>
      </c>
      <c r="AV1026">
        <v>0</v>
      </c>
      <c r="AW1026">
        <v>0</v>
      </c>
      <c r="AX1026">
        <v>0</v>
      </c>
      <c r="AY1026">
        <v>0</v>
      </c>
    </row>
    <row r="1027" spans="1:51" x14ac:dyDescent="0.25">
      <c r="A1027">
        <v>7</v>
      </c>
      <c r="B1027">
        <v>10050</v>
      </c>
      <c r="C1027" t="s">
        <v>735</v>
      </c>
      <c r="D1027" t="s">
        <v>96</v>
      </c>
      <c r="E1027" t="s">
        <v>100</v>
      </c>
      <c r="F1027" t="s">
        <v>107</v>
      </c>
      <c r="G1027" t="s">
        <v>77</v>
      </c>
      <c r="H1027" t="s">
        <v>78</v>
      </c>
      <c r="I1027" t="s">
        <v>79</v>
      </c>
      <c r="J1027" t="s">
        <v>150</v>
      </c>
      <c r="K1027" t="s">
        <v>75</v>
      </c>
      <c r="L1027" t="s">
        <v>76</v>
      </c>
      <c r="M1027" t="s">
        <v>103</v>
      </c>
      <c r="N1027" t="s">
        <v>74</v>
      </c>
      <c r="O1027" t="s">
        <v>104</v>
      </c>
      <c r="P1027" t="s">
        <v>71</v>
      </c>
      <c r="Q1027" t="s">
        <v>71</v>
      </c>
      <c r="R1027" t="s">
        <v>71</v>
      </c>
      <c r="S1027">
        <v>0</v>
      </c>
      <c r="T1027">
        <v>1</v>
      </c>
      <c r="U1027" t="s">
        <v>72</v>
      </c>
      <c r="V1027" t="s">
        <v>192</v>
      </c>
      <c r="W1027">
        <v>0</v>
      </c>
      <c r="X1027">
        <v>0</v>
      </c>
      <c r="Y1027">
        <v>0</v>
      </c>
      <c r="Z1027">
        <v>0</v>
      </c>
      <c r="AA1027">
        <v>0</v>
      </c>
      <c r="AB1027">
        <v>0</v>
      </c>
      <c r="AC1027">
        <v>0</v>
      </c>
      <c r="AD1027">
        <v>0</v>
      </c>
      <c r="AE1027">
        <v>0</v>
      </c>
      <c r="AF1027">
        <v>0</v>
      </c>
      <c r="AG1027" t="s">
        <v>71</v>
      </c>
      <c r="AH1027">
        <v>0</v>
      </c>
      <c r="AI1027">
        <v>0</v>
      </c>
      <c r="AJ1027">
        <v>0</v>
      </c>
      <c r="AK1027">
        <v>0</v>
      </c>
      <c r="AL1027" t="s">
        <v>342</v>
      </c>
      <c r="AM1027" t="s">
        <v>254</v>
      </c>
      <c r="AN1027" t="s">
        <v>94</v>
      </c>
      <c r="AO1027" t="s">
        <v>147</v>
      </c>
      <c r="AP1027">
        <v>0</v>
      </c>
      <c r="AQ1027">
        <v>0</v>
      </c>
      <c r="AR1027">
        <v>0</v>
      </c>
      <c r="AS1027">
        <v>0</v>
      </c>
      <c r="AT1027">
        <v>0</v>
      </c>
      <c r="AU1027">
        <v>0</v>
      </c>
      <c r="AV1027">
        <v>0</v>
      </c>
      <c r="AW1027">
        <v>0</v>
      </c>
      <c r="AX1027">
        <v>0</v>
      </c>
      <c r="AY1027">
        <v>0</v>
      </c>
    </row>
    <row r="1028" spans="1:51" x14ac:dyDescent="0.25">
      <c r="A1028">
        <v>7</v>
      </c>
      <c r="B1028">
        <v>10060</v>
      </c>
      <c r="C1028" t="s">
        <v>735</v>
      </c>
      <c r="D1028" t="s">
        <v>96</v>
      </c>
      <c r="E1028" t="s">
        <v>121</v>
      </c>
      <c r="F1028" t="s">
        <v>107</v>
      </c>
      <c r="G1028" t="s">
        <v>77</v>
      </c>
      <c r="H1028" t="s">
        <v>78</v>
      </c>
      <c r="I1028" t="s">
        <v>79</v>
      </c>
      <c r="J1028" t="s">
        <v>150</v>
      </c>
      <c r="K1028" t="s">
        <v>75</v>
      </c>
      <c r="L1028" t="s">
        <v>203</v>
      </c>
      <c r="M1028" t="s">
        <v>103</v>
      </c>
      <c r="N1028" t="s">
        <v>74</v>
      </c>
      <c r="O1028" t="s">
        <v>104</v>
      </c>
      <c r="P1028" t="s">
        <v>71</v>
      </c>
      <c r="Q1028" t="s">
        <v>110</v>
      </c>
      <c r="R1028" t="s">
        <v>71</v>
      </c>
      <c r="S1028">
        <v>1</v>
      </c>
      <c r="T1028">
        <v>1</v>
      </c>
      <c r="U1028" t="s">
        <v>72</v>
      </c>
      <c r="V1028" t="s">
        <v>188</v>
      </c>
      <c r="W1028">
        <v>0</v>
      </c>
      <c r="X1028">
        <v>0</v>
      </c>
      <c r="Y1028">
        <v>0</v>
      </c>
      <c r="Z1028">
        <v>0</v>
      </c>
      <c r="AA1028">
        <v>0</v>
      </c>
      <c r="AB1028">
        <v>0</v>
      </c>
      <c r="AC1028">
        <v>0</v>
      </c>
      <c r="AD1028">
        <v>0</v>
      </c>
      <c r="AE1028">
        <v>0</v>
      </c>
      <c r="AF1028">
        <v>0</v>
      </c>
      <c r="AG1028" t="s">
        <v>71</v>
      </c>
      <c r="AH1028">
        <v>0</v>
      </c>
      <c r="AI1028">
        <v>0</v>
      </c>
      <c r="AJ1028">
        <v>0</v>
      </c>
      <c r="AK1028">
        <v>0</v>
      </c>
      <c r="AL1028" t="s">
        <v>450</v>
      </c>
      <c r="AM1028" t="s">
        <v>491</v>
      </c>
      <c r="AN1028" t="s">
        <v>148</v>
      </c>
      <c r="AO1028" t="s">
        <v>147</v>
      </c>
      <c r="AP1028">
        <v>0</v>
      </c>
      <c r="AQ1028">
        <v>0</v>
      </c>
      <c r="AR1028">
        <v>0</v>
      </c>
      <c r="AS1028">
        <v>0</v>
      </c>
      <c r="AT1028">
        <v>0</v>
      </c>
      <c r="AU1028">
        <v>0</v>
      </c>
      <c r="AV1028">
        <v>0</v>
      </c>
      <c r="AW1028">
        <v>0</v>
      </c>
      <c r="AX1028">
        <v>0</v>
      </c>
      <c r="AY1028">
        <v>0</v>
      </c>
    </row>
    <row r="1029" spans="1:51" x14ac:dyDescent="0.25">
      <c r="A1029">
        <v>7</v>
      </c>
      <c r="B1029">
        <v>10070</v>
      </c>
      <c r="C1029" t="s">
        <v>735</v>
      </c>
      <c r="D1029" t="s">
        <v>96</v>
      </c>
      <c r="E1029" t="s">
        <v>100</v>
      </c>
      <c r="F1029" t="s">
        <v>107</v>
      </c>
      <c r="G1029" t="s">
        <v>77</v>
      </c>
      <c r="H1029" t="s">
        <v>78</v>
      </c>
      <c r="I1029" t="s">
        <v>79</v>
      </c>
      <c r="J1029" t="s">
        <v>150</v>
      </c>
      <c r="K1029" t="s">
        <v>75</v>
      </c>
      <c r="L1029" t="s">
        <v>76</v>
      </c>
      <c r="M1029" t="s">
        <v>103</v>
      </c>
      <c r="N1029" t="s">
        <v>74</v>
      </c>
      <c r="O1029" t="s">
        <v>104</v>
      </c>
      <c r="P1029" t="s">
        <v>71</v>
      </c>
      <c r="Q1029" t="s">
        <v>71</v>
      </c>
      <c r="R1029" t="s">
        <v>110</v>
      </c>
      <c r="S1029">
        <v>1</v>
      </c>
      <c r="T1029">
        <v>1</v>
      </c>
      <c r="U1029" t="s">
        <v>72</v>
      </c>
      <c r="V1029" t="s">
        <v>192</v>
      </c>
      <c r="W1029">
        <v>0</v>
      </c>
      <c r="X1029">
        <v>0</v>
      </c>
      <c r="Y1029">
        <v>0</v>
      </c>
      <c r="Z1029">
        <v>0</v>
      </c>
      <c r="AA1029">
        <v>0</v>
      </c>
      <c r="AB1029">
        <v>0</v>
      </c>
      <c r="AC1029">
        <v>0</v>
      </c>
      <c r="AD1029">
        <v>0</v>
      </c>
      <c r="AE1029">
        <v>0</v>
      </c>
      <c r="AF1029">
        <v>0</v>
      </c>
      <c r="AG1029" t="s">
        <v>71</v>
      </c>
      <c r="AH1029">
        <v>0</v>
      </c>
      <c r="AI1029">
        <v>0</v>
      </c>
      <c r="AJ1029">
        <v>0</v>
      </c>
      <c r="AK1029">
        <v>0</v>
      </c>
      <c r="AL1029" t="s">
        <v>496</v>
      </c>
      <c r="AM1029" t="s">
        <v>491</v>
      </c>
      <c r="AN1029" t="s">
        <v>148</v>
      </c>
      <c r="AO1029" t="s">
        <v>147</v>
      </c>
      <c r="AP1029">
        <v>0</v>
      </c>
      <c r="AQ1029">
        <v>0</v>
      </c>
      <c r="AR1029">
        <v>0</v>
      </c>
      <c r="AS1029">
        <v>0</v>
      </c>
      <c r="AT1029">
        <v>0</v>
      </c>
      <c r="AU1029">
        <v>0</v>
      </c>
      <c r="AV1029">
        <v>0</v>
      </c>
      <c r="AW1029">
        <v>0</v>
      </c>
      <c r="AX1029">
        <v>0</v>
      </c>
      <c r="AY1029">
        <v>0</v>
      </c>
    </row>
    <row r="1030" spans="1:51" x14ac:dyDescent="0.25">
      <c r="A1030">
        <v>7</v>
      </c>
      <c r="B1030">
        <v>10080</v>
      </c>
      <c r="C1030" t="s">
        <v>735</v>
      </c>
      <c r="D1030" t="s">
        <v>96</v>
      </c>
      <c r="E1030" t="s">
        <v>100</v>
      </c>
      <c r="F1030" t="s">
        <v>107</v>
      </c>
      <c r="G1030" t="s">
        <v>77</v>
      </c>
      <c r="H1030" t="s">
        <v>78</v>
      </c>
      <c r="I1030" t="s">
        <v>79</v>
      </c>
      <c r="J1030" t="s">
        <v>150</v>
      </c>
      <c r="K1030" t="s">
        <v>75</v>
      </c>
      <c r="L1030" t="s">
        <v>76</v>
      </c>
      <c r="M1030" t="s">
        <v>103</v>
      </c>
      <c r="N1030" t="s">
        <v>74</v>
      </c>
      <c r="O1030" t="s">
        <v>104</v>
      </c>
      <c r="P1030" t="s">
        <v>71</v>
      </c>
      <c r="Q1030" t="s">
        <v>71</v>
      </c>
      <c r="R1030" t="s">
        <v>110</v>
      </c>
      <c r="S1030">
        <v>1</v>
      </c>
      <c r="T1030">
        <v>1</v>
      </c>
      <c r="U1030" t="s">
        <v>72</v>
      </c>
      <c r="V1030" t="s">
        <v>192</v>
      </c>
      <c r="W1030">
        <v>0</v>
      </c>
      <c r="X1030">
        <v>0</v>
      </c>
      <c r="Y1030">
        <v>0</v>
      </c>
      <c r="Z1030">
        <v>0</v>
      </c>
      <c r="AA1030">
        <v>0</v>
      </c>
      <c r="AB1030">
        <v>0</v>
      </c>
      <c r="AC1030">
        <v>0</v>
      </c>
      <c r="AD1030">
        <v>0</v>
      </c>
      <c r="AE1030">
        <v>0</v>
      </c>
      <c r="AF1030">
        <v>0</v>
      </c>
      <c r="AG1030" t="s">
        <v>110</v>
      </c>
      <c r="AH1030">
        <v>1</v>
      </c>
      <c r="AI1030">
        <v>1</v>
      </c>
      <c r="AJ1030">
        <v>1</v>
      </c>
      <c r="AK1030">
        <v>0.1</v>
      </c>
      <c r="AL1030" t="s">
        <v>496</v>
      </c>
      <c r="AM1030" t="s">
        <v>491</v>
      </c>
      <c r="AN1030" t="s">
        <v>148</v>
      </c>
      <c r="AO1030" t="s">
        <v>147</v>
      </c>
      <c r="AP1030">
        <v>0</v>
      </c>
      <c r="AQ1030">
        <v>0</v>
      </c>
      <c r="AR1030">
        <v>0</v>
      </c>
      <c r="AS1030">
        <v>0</v>
      </c>
      <c r="AT1030">
        <v>0</v>
      </c>
      <c r="AU1030">
        <v>0</v>
      </c>
      <c r="AV1030">
        <v>0</v>
      </c>
      <c r="AW1030">
        <v>0</v>
      </c>
      <c r="AX1030">
        <v>0</v>
      </c>
      <c r="AY1030">
        <v>0</v>
      </c>
    </row>
    <row r="1031" spans="1:51" x14ac:dyDescent="0.25">
      <c r="A1031">
        <v>7</v>
      </c>
      <c r="B1031">
        <v>10090</v>
      </c>
      <c r="C1031" t="s">
        <v>735</v>
      </c>
      <c r="D1031" t="s">
        <v>96</v>
      </c>
      <c r="E1031" t="s">
        <v>100</v>
      </c>
      <c r="F1031" t="s">
        <v>107</v>
      </c>
      <c r="G1031" t="s">
        <v>77</v>
      </c>
      <c r="H1031" t="s">
        <v>78</v>
      </c>
      <c r="I1031" t="s">
        <v>79</v>
      </c>
      <c r="J1031" t="s">
        <v>150</v>
      </c>
      <c r="K1031" t="s">
        <v>75</v>
      </c>
      <c r="L1031" t="s">
        <v>76</v>
      </c>
      <c r="M1031" t="s">
        <v>103</v>
      </c>
      <c r="N1031" t="s">
        <v>74</v>
      </c>
      <c r="O1031" t="s">
        <v>104</v>
      </c>
      <c r="P1031" t="s">
        <v>71</v>
      </c>
      <c r="Q1031" t="s">
        <v>71</v>
      </c>
      <c r="R1031" t="s">
        <v>110</v>
      </c>
      <c r="S1031">
        <v>1</v>
      </c>
      <c r="T1031">
        <v>1</v>
      </c>
      <c r="U1031" t="s">
        <v>72</v>
      </c>
      <c r="V1031" t="s">
        <v>192</v>
      </c>
      <c r="W1031">
        <v>0</v>
      </c>
      <c r="X1031">
        <v>0</v>
      </c>
      <c r="Y1031">
        <v>0</v>
      </c>
      <c r="Z1031">
        <v>0</v>
      </c>
      <c r="AA1031">
        <v>0</v>
      </c>
      <c r="AB1031">
        <v>0</v>
      </c>
      <c r="AC1031">
        <v>0</v>
      </c>
      <c r="AD1031">
        <v>0</v>
      </c>
      <c r="AE1031">
        <v>0</v>
      </c>
      <c r="AF1031">
        <v>0</v>
      </c>
      <c r="AG1031" t="s">
        <v>110</v>
      </c>
      <c r="AH1031">
        <v>1</v>
      </c>
      <c r="AI1031">
        <v>1</v>
      </c>
      <c r="AJ1031">
        <v>1</v>
      </c>
      <c r="AK1031">
        <v>0.1</v>
      </c>
      <c r="AL1031" t="s">
        <v>496</v>
      </c>
      <c r="AM1031" t="s">
        <v>491</v>
      </c>
      <c r="AN1031" t="s">
        <v>148</v>
      </c>
      <c r="AO1031" t="s">
        <v>147</v>
      </c>
      <c r="AP1031">
        <v>0</v>
      </c>
      <c r="AQ1031">
        <v>0</v>
      </c>
      <c r="AR1031">
        <v>0</v>
      </c>
      <c r="AS1031">
        <v>0</v>
      </c>
      <c r="AT1031">
        <v>0</v>
      </c>
      <c r="AU1031">
        <v>0</v>
      </c>
      <c r="AV1031">
        <v>0</v>
      </c>
      <c r="AW1031">
        <v>0</v>
      </c>
      <c r="AX1031">
        <v>0</v>
      </c>
      <c r="AY1031">
        <v>0</v>
      </c>
    </row>
    <row r="1032" spans="1:51" x14ac:dyDescent="0.25">
      <c r="A1032">
        <v>7</v>
      </c>
      <c r="B1032">
        <v>10100</v>
      </c>
      <c r="C1032" t="s">
        <v>735</v>
      </c>
      <c r="D1032" t="s">
        <v>96</v>
      </c>
      <c r="E1032" t="s">
        <v>100</v>
      </c>
      <c r="F1032" t="s">
        <v>107</v>
      </c>
      <c r="G1032" t="s">
        <v>77</v>
      </c>
      <c r="H1032" t="s">
        <v>78</v>
      </c>
      <c r="I1032" t="s">
        <v>79</v>
      </c>
      <c r="J1032" t="s">
        <v>150</v>
      </c>
      <c r="K1032" t="s">
        <v>75</v>
      </c>
      <c r="L1032" t="s">
        <v>76</v>
      </c>
      <c r="M1032" t="s">
        <v>103</v>
      </c>
      <c r="N1032" t="s">
        <v>74</v>
      </c>
      <c r="O1032" t="s">
        <v>104</v>
      </c>
      <c r="P1032" t="s">
        <v>71</v>
      </c>
      <c r="Q1032" t="s">
        <v>71</v>
      </c>
      <c r="R1032" t="s">
        <v>110</v>
      </c>
      <c r="S1032">
        <v>1</v>
      </c>
      <c r="T1032">
        <v>1</v>
      </c>
      <c r="U1032" t="s">
        <v>72</v>
      </c>
      <c r="V1032" t="s">
        <v>192</v>
      </c>
      <c r="W1032">
        <v>0</v>
      </c>
      <c r="X1032">
        <v>0</v>
      </c>
      <c r="Y1032">
        <v>0</v>
      </c>
      <c r="Z1032">
        <v>0</v>
      </c>
      <c r="AA1032">
        <v>0</v>
      </c>
      <c r="AB1032">
        <v>0</v>
      </c>
      <c r="AC1032">
        <v>0</v>
      </c>
      <c r="AD1032">
        <v>0</v>
      </c>
      <c r="AE1032">
        <v>0</v>
      </c>
      <c r="AF1032">
        <v>0</v>
      </c>
      <c r="AG1032" t="s">
        <v>110</v>
      </c>
      <c r="AH1032">
        <v>1</v>
      </c>
      <c r="AI1032">
        <v>1</v>
      </c>
      <c r="AJ1032">
        <v>0</v>
      </c>
      <c r="AK1032">
        <v>500</v>
      </c>
      <c r="AL1032" t="s">
        <v>496</v>
      </c>
      <c r="AM1032" t="s">
        <v>491</v>
      </c>
      <c r="AN1032" t="s">
        <v>148</v>
      </c>
      <c r="AO1032" t="s">
        <v>147</v>
      </c>
      <c r="AP1032">
        <v>0</v>
      </c>
      <c r="AQ1032">
        <v>0</v>
      </c>
      <c r="AR1032">
        <v>0</v>
      </c>
      <c r="AS1032">
        <v>0</v>
      </c>
      <c r="AT1032">
        <v>0</v>
      </c>
      <c r="AU1032">
        <v>0</v>
      </c>
      <c r="AV1032">
        <v>0</v>
      </c>
      <c r="AW1032">
        <v>0</v>
      </c>
      <c r="AX1032">
        <v>0</v>
      </c>
      <c r="AY1032">
        <v>0</v>
      </c>
    </row>
    <row r="1033" spans="1:51" x14ac:dyDescent="0.25">
      <c r="A1033">
        <v>7</v>
      </c>
      <c r="B1033">
        <v>10110</v>
      </c>
      <c r="C1033" t="s">
        <v>735</v>
      </c>
      <c r="D1033" t="s">
        <v>96</v>
      </c>
      <c r="E1033" t="s">
        <v>100</v>
      </c>
      <c r="F1033" t="s">
        <v>107</v>
      </c>
      <c r="G1033" t="s">
        <v>77</v>
      </c>
      <c r="H1033" t="s">
        <v>78</v>
      </c>
      <c r="I1033" t="s">
        <v>79</v>
      </c>
      <c r="J1033" t="s">
        <v>150</v>
      </c>
      <c r="K1033" t="s">
        <v>75</v>
      </c>
      <c r="L1033" t="s">
        <v>76</v>
      </c>
      <c r="M1033" t="s">
        <v>103</v>
      </c>
      <c r="N1033" t="s">
        <v>74</v>
      </c>
      <c r="O1033" t="s">
        <v>104</v>
      </c>
      <c r="P1033" t="s">
        <v>71</v>
      </c>
      <c r="Q1033" t="s">
        <v>71</v>
      </c>
      <c r="R1033" t="s">
        <v>110</v>
      </c>
      <c r="S1033">
        <v>1</v>
      </c>
      <c r="T1033">
        <v>1</v>
      </c>
      <c r="U1033" t="s">
        <v>72</v>
      </c>
      <c r="V1033" t="s">
        <v>192</v>
      </c>
      <c r="W1033">
        <v>0</v>
      </c>
      <c r="X1033">
        <v>0</v>
      </c>
      <c r="Y1033">
        <v>0</v>
      </c>
      <c r="Z1033">
        <v>0</v>
      </c>
      <c r="AA1033">
        <v>0</v>
      </c>
      <c r="AB1033">
        <v>0</v>
      </c>
      <c r="AC1033">
        <v>0</v>
      </c>
      <c r="AD1033">
        <v>0</v>
      </c>
      <c r="AE1033">
        <v>0</v>
      </c>
      <c r="AF1033">
        <v>0</v>
      </c>
      <c r="AG1033" t="s">
        <v>110</v>
      </c>
      <c r="AH1033">
        <v>1</v>
      </c>
      <c r="AI1033">
        <v>0</v>
      </c>
      <c r="AJ1033">
        <v>1</v>
      </c>
      <c r="AK1033">
        <v>0.2</v>
      </c>
      <c r="AL1033" t="s">
        <v>496</v>
      </c>
      <c r="AM1033" t="s">
        <v>491</v>
      </c>
      <c r="AN1033" t="s">
        <v>148</v>
      </c>
      <c r="AO1033" t="s">
        <v>147</v>
      </c>
      <c r="AP1033">
        <v>0</v>
      </c>
      <c r="AQ1033">
        <v>0</v>
      </c>
      <c r="AR1033">
        <v>0</v>
      </c>
      <c r="AS1033">
        <v>0</v>
      </c>
      <c r="AT1033">
        <v>0</v>
      </c>
      <c r="AU1033">
        <v>0</v>
      </c>
      <c r="AV1033">
        <v>0</v>
      </c>
      <c r="AW1033">
        <v>0</v>
      </c>
      <c r="AX1033">
        <v>0</v>
      </c>
      <c r="AY1033">
        <v>0</v>
      </c>
    </row>
    <row r="1034" spans="1:51" x14ac:dyDescent="0.25">
      <c r="A1034">
        <v>7</v>
      </c>
      <c r="B1034">
        <v>10120</v>
      </c>
      <c r="C1034" t="s">
        <v>735</v>
      </c>
      <c r="D1034" t="s">
        <v>96</v>
      </c>
      <c r="E1034" t="s">
        <v>100</v>
      </c>
      <c r="F1034" t="s">
        <v>107</v>
      </c>
      <c r="G1034" t="s">
        <v>77</v>
      </c>
      <c r="H1034" t="s">
        <v>78</v>
      </c>
      <c r="I1034" t="s">
        <v>79</v>
      </c>
      <c r="J1034" t="s">
        <v>150</v>
      </c>
      <c r="K1034" t="s">
        <v>75</v>
      </c>
      <c r="L1034" t="s">
        <v>76</v>
      </c>
      <c r="M1034" t="s">
        <v>103</v>
      </c>
      <c r="N1034" t="s">
        <v>74</v>
      </c>
      <c r="O1034" t="s">
        <v>104</v>
      </c>
      <c r="P1034" t="s">
        <v>71</v>
      </c>
      <c r="Q1034" t="s">
        <v>71</v>
      </c>
      <c r="R1034" t="s">
        <v>110</v>
      </c>
      <c r="S1034">
        <v>1</v>
      </c>
      <c r="T1034">
        <v>1</v>
      </c>
      <c r="U1034" t="s">
        <v>72</v>
      </c>
      <c r="V1034" t="s">
        <v>192</v>
      </c>
      <c r="W1034">
        <v>0</v>
      </c>
      <c r="X1034">
        <v>0</v>
      </c>
      <c r="Y1034">
        <v>0</v>
      </c>
      <c r="Z1034">
        <v>0</v>
      </c>
      <c r="AA1034">
        <v>0</v>
      </c>
      <c r="AB1034">
        <v>0</v>
      </c>
      <c r="AC1034">
        <v>0</v>
      </c>
      <c r="AD1034">
        <v>0</v>
      </c>
      <c r="AE1034">
        <v>0</v>
      </c>
      <c r="AF1034">
        <v>0</v>
      </c>
      <c r="AG1034" t="s">
        <v>110</v>
      </c>
      <c r="AH1034">
        <v>1</v>
      </c>
      <c r="AI1034">
        <v>0</v>
      </c>
      <c r="AJ1034">
        <v>1</v>
      </c>
      <c r="AK1034">
        <v>2</v>
      </c>
      <c r="AL1034" t="s">
        <v>496</v>
      </c>
      <c r="AM1034" t="s">
        <v>491</v>
      </c>
      <c r="AN1034" t="s">
        <v>148</v>
      </c>
      <c r="AO1034" t="s">
        <v>147</v>
      </c>
      <c r="AP1034">
        <v>0</v>
      </c>
      <c r="AQ1034">
        <v>0</v>
      </c>
      <c r="AR1034">
        <v>0</v>
      </c>
      <c r="AS1034">
        <v>0</v>
      </c>
      <c r="AT1034">
        <v>0</v>
      </c>
      <c r="AU1034">
        <v>0</v>
      </c>
      <c r="AV1034">
        <v>0</v>
      </c>
      <c r="AW1034">
        <v>0</v>
      </c>
      <c r="AX1034">
        <v>0</v>
      </c>
      <c r="AY1034">
        <v>0</v>
      </c>
    </row>
    <row r="1035" spans="1:51" x14ac:dyDescent="0.25">
      <c r="A1035">
        <v>7</v>
      </c>
      <c r="B1035">
        <v>10130</v>
      </c>
      <c r="C1035" t="s">
        <v>735</v>
      </c>
      <c r="D1035" t="s">
        <v>96</v>
      </c>
      <c r="E1035" t="s">
        <v>100</v>
      </c>
      <c r="F1035" t="s">
        <v>107</v>
      </c>
      <c r="G1035" t="s">
        <v>77</v>
      </c>
      <c r="H1035" t="s">
        <v>78</v>
      </c>
      <c r="I1035" t="s">
        <v>79</v>
      </c>
      <c r="J1035" t="s">
        <v>150</v>
      </c>
      <c r="K1035" t="s">
        <v>75</v>
      </c>
      <c r="L1035" t="s">
        <v>76</v>
      </c>
      <c r="M1035" t="s">
        <v>103</v>
      </c>
      <c r="N1035" t="s">
        <v>74</v>
      </c>
      <c r="O1035" t="s">
        <v>104</v>
      </c>
      <c r="P1035" t="s">
        <v>71</v>
      </c>
      <c r="Q1035" t="s">
        <v>71</v>
      </c>
      <c r="R1035" t="s">
        <v>110</v>
      </c>
      <c r="S1035">
        <v>1</v>
      </c>
      <c r="T1035">
        <v>1</v>
      </c>
      <c r="U1035" t="s">
        <v>72</v>
      </c>
      <c r="V1035" t="s">
        <v>192</v>
      </c>
      <c r="W1035">
        <v>0</v>
      </c>
      <c r="X1035">
        <v>0</v>
      </c>
      <c r="Y1035">
        <v>0</v>
      </c>
      <c r="Z1035">
        <v>0</v>
      </c>
      <c r="AA1035">
        <v>0</v>
      </c>
      <c r="AB1035">
        <v>0</v>
      </c>
      <c r="AC1035">
        <v>0</v>
      </c>
      <c r="AD1035">
        <v>0</v>
      </c>
      <c r="AE1035">
        <v>0</v>
      </c>
      <c r="AF1035">
        <v>0</v>
      </c>
      <c r="AG1035" t="s">
        <v>110</v>
      </c>
      <c r="AH1035">
        <v>1</v>
      </c>
      <c r="AI1035">
        <v>2</v>
      </c>
      <c r="AJ1035">
        <v>1</v>
      </c>
      <c r="AK1035">
        <v>2</v>
      </c>
      <c r="AL1035" t="s">
        <v>496</v>
      </c>
      <c r="AM1035" t="s">
        <v>491</v>
      </c>
      <c r="AN1035" t="s">
        <v>148</v>
      </c>
      <c r="AO1035" t="s">
        <v>147</v>
      </c>
      <c r="AP1035">
        <v>0</v>
      </c>
      <c r="AQ1035">
        <v>0</v>
      </c>
      <c r="AR1035">
        <v>0</v>
      </c>
      <c r="AS1035">
        <v>0</v>
      </c>
      <c r="AT1035">
        <v>0</v>
      </c>
      <c r="AU1035">
        <v>0</v>
      </c>
      <c r="AV1035">
        <v>0</v>
      </c>
      <c r="AW1035">
        <v>0</v>
      </c>
      <c r="AX1035">
        <v>0</v>
      </c>
      <c r="AY1035">
        <v>0</v>
      </c>
    </row>
    <row r="1036" spans="1:51" x14ac:dyDescent="0.25">
      <c r="A1036">
        <v>7</v>
      </c>
      <c r="B1036">
        <v>10140</v>
      </c>
      <c r="C1036" t="s">
        <v>735</v>
      </c>
      <c r="D1036" t="s">
        <v>96</v>
      </c>
      <c r="E1036" t="s">
        <v>100</v>
      </c>
      <c r="F1036" t="s">
        <v>107</v>
      </c>
      <c r="G1036" t="s">
        <v>77</v>
      </c>
      <c r="H1036" t="s">
        <v>78</v>
      </c>
      <c r="I1036" t="s">
        <v>79</v>
      </c>
      <c r="J1036" t="s">
        <v>150</v>
      </c>
      <c r="K1036" t="s">
        <v>75</v>
      </c>
      <c r="L1036" t="s">
        <v>76</v>
      </c>
      <c r="M1036" t="s">
        <v>103</v>
      </c>
      <c r="N1036" t="s">
        <v>74</v>
      </c>
      <c r="O1036" t="s">
        <v>104</v>
      </c>
      <c r="P1036" t="s">
        <v>71</v>
      </c>
      <c r="Q1036" t="s">
        <v>71</v>
      </c>
      <c r="R1036" t="s">
        <v>110</v>
      </c>
      <c r="S1036">
        <v>1</v>
      </c>
      <c r="T1036">
        <v>1</v>
      </c>
      <c r="U1036" t="s">
        <v>72</v>
      </c>
      <c r="V1036" t="s">
        <v>192</v>
      </c>
      <c r="W1036">
        <v>0</v>
      </c>
      <c r="X1036">
        <v>0</v>
      </c>
      <c r="Y1036">
        <v>0</v>
      </c>
      <c r="Z1036">
        <v>0</v>
      </c>
      <c r="AA1036">
        <v>0</v>
      </c>
      <c r="AB1036">
        <v>0</v>
      </c>
      <c r="AC1036">
        <v>0</v>
      </c>
      <c r="AD1036">
        <v>0</v>
      </c>
      <c r="AE1036">
        <v>0</v>
      </c>
      <c r="AF1036">
        <v>0</v>
      </c>
      <c r="AG1036" t="s">
        <v>110</v>
      </c>
      <c r="AH1036">
        <v>1</v>
      </c>
      <c r="AI1036">
        <v>2</v>
      </c>
      <c r="AJ1036">
        <v>0</v>
      </c>
      <c r="AK1036">
        <v>0</v>
      </c>
      <c r="AL1036" t="s">
        <v>496</v>
      </c>
      <c r="AM1036" t="s">
        <v>491</v>
      </c>
      <c r="AN1036" t="s">
        <v>148</v>
      </c>
      <c r="AO1036" t="s">
        <v>147</v>
      </c>
      <c r="AP1036">
        <v>0</v>
      </c>
      <c r="AQ1036">
        <v>0</v>
      </c>
      <c r="AR1036">
        <v>0</v>
      </c>
      <c r="AS1036">
        <v>0</v>
      </c>
      <c r="AT1036">
        <v>0</v>
      </c>
      <c r="AU1036">
        <v>0</v>
      </c>
      <c r="AV1036">
        <v>0</v>
      </c>
      <c r="AW1036">
        <v>0</v>
      </c>
      <c r="AX1036">
        <v>0</v>
      </c>
      <c r="AY1036">
        <v>0</v>
      </c>
    </row>
    <row r="1037" spans="1:51" x14ac:dyDescent="0.25">
      <c r="A1037">
        <v>7</v>
      </c>
      <c r="B1037">
        <v>10150</v>
      </c>
      <c r="C1037" t="s">
        <v>735</v>
      </c>
      <c r="D1037" t="s">
        <v>96</v>
      </c>
      <c r="E1037" t="s">
        <v>100</v>
      </c>
      <c r="F1037" t="s">
        <v>107</v>
      </c>
      <c r="G1037" t="s">
        <v>77</v>
      </c>
      <c r="H1037" t="s">
        <v>78</v>
      </c>
      <c r="I1037" t="s">
        <v>79</v>
      </c>
      <c r="J1037" t="s">
        <v>150</v>
      </c>
      <c r="K1037" t="s">
        <v>75</v>
      </c>
      <c r="L1037" t="s">
        <v>76</v>
      </c>
      <c r="M1037" t="s">
        <v>103</v>
      </c>
      <c r="N1037" t="s">
        <v>74</v>
      </c>
      <c r="O1037" t="s">
        <v>104</v>
      </c>
      <c r="P1037" t="s">
        <v>71</v>
      </c>
      <c r="Q1037" t="s">
        <v>71</v>
      </c>
      <c r="R1037" t="s">
        <v>110</v>
      </c>
      <c r="S1037">
        <v>1</v>
      </c>
      <c r="T1037">
        <v>1</v>
      </c>
      <c r="U1037" t="s">
        <v>72</v>
      </c>
      <c r="V1037" t="s">
        <v>192</v>
      </c>
      <c r="W1037">
        <v>0</v>
      </c>
      <c r="X1037">
        <v>0</v>
      </c>
      <c r="Y1037">
        <v>0</v>
      </c>
      <c r="Z1037">
        <v>0</v>
      </c>
      <c r="AA1037">
        <v>0</v>
      </c>
      <c r="AB1037">
        <v>0</v>
      </c>
      <c r="AC1037">
        <v>0</v>
      </c>
      <c r="AD1037">
        <v>0</v>
      </c>
      <c r="AE1037">
        <v>0</v>
      </c>
      <c r="AF1037">
        <v>0</v>
      </c>
      <c r="AG1037" t="s">
        <v>110</v>
      </c>
      <c r="AH1037">
        <v>1</v>
      </c>
      <c r="AI1037">
        <v>0</v>
      </c>
      <c r="AJ1037">
        <v>1</v>
      </c>
      <c r="AK1037">
        <v>0</v>
      </c>
      <c r="AL1037" t="s">
        <v>496</v>
      </c>
      <c r="AM1037" t="s">
        <v>491</v>
      </c>
      <c r="AN1037" t="s">
        <v>148</v>
      </c>
      <c r="AO1037" t="s">
        <v>147</v>
      </c>
      <c r="AP1037">
        <v>0</v>
      </c>
      <c r="AQ1037">
        <v>0</v>
      </c>
      <c r="AR1037">
        <v>0</v>
      </c>
      <c r="AS1037">
        <v>0</v>
      </c>
      <c r="AT1037">
        <v>0</v>
      </c>
      <c r="AU1037">
        <v>0</v>
      </c>
      <c r="AV1037">
        <v>0</v>
      </c>
      <c r="AW1037">
        <v>0</v>
      </c>
      <c r="AX1037">
        <v>0</v>
      </c>
      <c r="AY1037">
        <v>0</v>
      </c>
    </row>
    <row r="1038" spans="1:51" x14ac:dyDescent="0.25">
      <c r="A1038">
        <v>7</v>
      </c>
      <c r="B1038">
        <v>10160</v>
      </c>
      <c r="C1038" t="s">
        <v>735</v>
      </c>
      <c r="D1038" t="s">
        <v>96</v>
      </c>
      <c r="E1038" t="s">
        <v>100</v>
      </c>
      <c r="F1038" t="s">
        <v>107</v>
      </c>
      <c r="G1038" t="s">
        <v>77</v>
      </c>
      <c r="H1038" t="s">
        <v>78</v>
      </c>
      <c r="I1038" t="s">
        <v>79</v>
      </c>
      <c r="J1038" t="s">
        <v>150</v>
      </c>
      <c r="K1038" t="s">
        <v>75</v>
      </c>
      <c r="L1038" t="s">
        <v>76</v>
      </c>
      <c r="M1038" t="s">
        <v>103</v>
      </c>
      <c r="N1038" t="s">
        <v>74</v>
      </c>
      <c r="O1038" t="s">
        <v>104</v>
      </c>
      <c r="P1038" t="s">
        <v>71</v>
      </c>
      <c r="Q1038" t="s">
        <v>71</v>
      </c>
      <c r="R1038" t="s">
        <v>110</v>
      </c>
      <c r="S1038">
        <v>1</v>
      </c>
      <c r="T1038">
        <v>1</v>
      </c>
      <c r="U1038" t="s">
        <v>72</v>
      </c>
      <c r="V1038" t="s">
        <v>192</v>
      </c>
      <c r="W1038">
        <v>0</v>
      </c>
      <c r="X1038">
        <v>0</v>
      </c>
      <c r="Y1038">
        <v>0</v>
      </c>
      <c r="Z1038">
        <v>0</v>
      </c>
      <c r="AA1038">
        <v>0</v>
      </c>
      <c r="AB1038">
        <v>0</v>
      </c>
      <c r="AC1038">
        <v>0</v>
      </c>
      <c r="AD1038">
        <v>0</v>
      </c>
      <c r="AE1038">
        <v>0</v>
      </c>
      <c r="AF1038">
        <v>0</v>
      </c>
      <c r="AG1038" t="s">
        <v>110</v>
      </c>
      <c r="AH1038">
        <v>0</v>
      </c>
      <c r="AI1038">
        <v>0</v>
      </c>
      <c r="AJ1038">
        <v>0</v>
      </c>
      <c r="AK1038">
        <v>100</v>
      </c>
      <c r="AL1038" t="s">
        <v>496</v>
      </c>
      <c r="AM1038" t="s">
        <v>491</v>
      </c>
      <c r="AN1038" t="s">
        <v>148</v>
      </c>
      <c r="AO1038" t="s">
        <v>147</v>
      </c>
      <c r="AP1038">
        <v>0</v>
      </c>
      <c r="AQ1038">
        <v>0</v>
      </c>
      <c r="AR1038">
        <v>0</v>
      </c>
      <c r="AS1038">
        <v>0</v>
      </c>
      <c r="AT1038">
        <v>0</v>
      </c>
      <c r="AU1038">
        <v>0</v>
      </c>
      <c r="AV1038">
        <v>0</v>
      </c>
      <c r="AW1038">
        <v>0</v>
      </c>
      <c r="AX1038">
        <v>0</v>
      </c>
      <c r="AY1038">
        <v>0</v>
      </c>
    </row>
    <row r="1039" spans="1:51" x14ac:dyDescent="0.25">
      <c r="A1039">
        <v>7</v>
      </c>
      <c r="B1039">
        <v>10170</v>
      </c>
      <c r="C1039" t="s">
        <v>735</v>
      </c>
      <c r="D1039" t="s">
        <v>96</v>
      </c>
      <c r="E1039" t="s">
        <v>100</v>
      </c>
      <c r="F1039" t="s">
        <v>107</v>
      </c>
      <c r="G1039" t="s">
        <v>77</v>
      </c>
      <c r="H1039" t="s">
        <v>78</v>
      </c>
      <c r="I1039" t="s">
        <v>79</v>
      </c>
      <c r="J1039" t="s">
        <v>150</v>
      </c>
      <c r="K1039" t="s">
        <v>75</v>
      </c>
      <c r="L1039" t="s">
        <v>76</v>
      </c>
      <c r="M1039" t="s">
        <v>103</v>
      </c>
      <c r="N1039" t="s">
        <v>74</v>
      </c>
      <c r="O1039" t="s">
        <v>104</v>
      </c>
      <c r="P1039" t="s">
        <v>71</v>
      </c>
      <c r="Q1039" t="s">
        <v>71</v>
      </c>
      <c r="R1039" t="s">
        <v>110</v>
      </c>
      <c r="S1039">
        <v>1</v>
      </c>
      <c r="T1039">
        <v>1</v>
      </c>
      <c r="U1039" t="s">
        <v>72</v>
      </c>
      <c r="V1039" t="s">
        <v>192</v>
      </c>
      <c r="W1039">
        <v>0</v>
      </c>
      <c r="X1039">
        <v>0</v>
      </c>
      <c r="Y1039">
        <v>0</v>
      </c>
      <c r="Z1039">
        <v>0</v>
      </c>
      <c r="AA1039">
        <v>0</v>
      </c>
      <c r="AB1039">
        <v>0</v>
      </c>
      <c r="AC1039">
        <v>0</v>
      </c>
      <c r="AD1039">
        <v>0</v>
      </c>
      <c r="AE1039">
        <v>0</v>
      </c>
      <c r="AF1039">
        <v>0</v>
      </c>
      <c r="AG1039" t="s">
        <v>110</v>
      </c>
      <c r="AH1039">
        <v>0</v>
      </c>
      <c r="AI1039">
        <v>0</v>
      </c>
      <c r="AJ1039">
        <v>1</v>
      </c>
      <c r="AK1039">
        <v>0</v>
      </c>
      <c r="AL1039" t="s">
        <v>496</v>
      </c>
      <c r="AM1039" t="s">
        <v>491</v>
      </c>
      <c r="AN1039" t="s">
        <v>148</v>
      </c>
      <c r="AO1039" t="s">
        <v>147</v>
      </c>
      <c r="AP1039">
        <v>0</v>
      </c>
      <c r="AQ1039">
        <v>0</v>
      </c>
      <c r="AR1039">
        <v>0</v>
      </c>
      <c r="AS1039">
        <v>0</v>
      </c>
      <c r="AT1039">
        <v>0</v>
      </c>
      <c r="AU1039">
        <v>0</v>
      </c>
      <c r="AV1039">
        <v>0</v>
      </c>
      <c r="AW1039">
        <v>0</v>
      </c>
      <c r="AX1039">
        <v>0</v>
      </c>
      <c r="AY1039">
        <v>0</v>
      </c>
    </row>
    <row r="1040" spans="1:51" x14ac:dyDescent="0.25">
      <c r="A1040">
        <v>7</v>
      </c>
      <c r="B1040">
        <v>10180</v>
      </c>
      <c r="C1040" t="s">
        <v>735</v>
      </c>
      <c r="D1040" t="s">
        <v>96</v>
      </c>
      <c r="E1040" t="s">
        <v>100</v>
      </c>
      <c r="F1040" t="s">
        <v>107</v>
      </c>
      <c r="G1040" t="s">
        <v>77</v>
      </c>
      <c r="H1040" t="s">
        <v>78</v>
      </c>
      <c r="I1040" t="s">
        <v>79</v>
      </c>
      <c r="J1040" t="s">
        <v>150</v>
      </c>
      <c r="K1040" t="s">
        <v>75</v>
      </c>
      <c r="L1040" t="s">
        <v>76</v>
      </c>
      <c r="M1040" t="s">
        <v>103</v>
      </c>
      <c r="N1040" t="s">
        <v>74</v>
      </c>
      <c r="O1040" t="s">
        <v>104</v>
      </c>
      <c r="P1040" t="s">
        <v>71</v>
      </c>
      <c r="Q1040" t="s">
        <v>71</v>
      </c>
      <c r="R1040" t="s">
        <v>110</v>
      </c>
      <c r="S1040">
        <v>1</v>
      </c>
      <c r="T1040">
        <v>1</v>
      </c>
      <c r="U1040" t="s">
        <v>72</v>
      </c>
      <c r="V1040" t="s">
        <v>192</v>
      </c>
      <c r="W1040">
        <v>0</v>
      </c>
      <c r="X1040">
        <v>0</v>
      </c>
      <c r="Y1040">
        <v>0</v>
      </c>
      <c r="Z1040">
        <v>0</v>
      </c>
      <c r="AA1040">
        <v>0</v>
      </c>
      <c r="AB1040">
        <v>0</v>
      </c>
      <c r="AC1040">
        <v>0</v>
      </c>
      <c r="AD1040">
        <v>0</v>
      </c>
      <c r="AE1040">
        <v>0</v>
      </c>
      <c r="AF1040">
        <v>0</v>
      </c>
      <c r="AG1040" t="s">
        <v>110</v>
      </c>
      <c r="AH1040">
        <v>0</v>
      </c>
      <c r="AI1040">
        <v>0</v>
      </c>
      <c r="AJ1040">
        <v>1</v>
      </c>
      <c r="AK1040">
        <v>0</v>
      </c>
      <c r="AL1040" t="s">
        <v>496</v>
      </c>
      <c r="AM1040" t="s">
        <v>491</v>
      </c>
      <c r="AN1040" t="s">
        <v>148</v>
      </c>
      <c r="AO1040" t="s">
        <v>147</v>
      </c>
      <c r="AP1040">
        <v>0</v>
      </c>
      <c r="AQ1040">
        <v>0</v>
      </c>
      <c r="AR1040">
        <v>0</v>
      </c>
      <c r="AS1040">
        <v>0</v>
      </c>
      <c r="AT1040">
        <v>0</v>
      </c>
      <c r="AU1040">
        <v>0</v>
      </c>
      <c r="AV1040">
        <v>0</v>
      </c>
      <c r="AW1040">
        <v>0</v>
      </c>
      <c r="AX1040">
        <v>0</v>
      </c>
      <c r="AY1040">
        <v>0</v>
      </c>
    </row>
    <row r="1041" spans="1:51" x14ac:dyDescent="0.25">
      <c r="A1041">
        <v>7</v>
      </c>
      <c r="B1041">
        <v>10190</v>
      </c>
      <c r="C1041" t="s">
        <v>735</v>
      </c>
      <c r="D1041" t="s">
        <v>96</v>
      </c>
      <c r="E1041" t="s">
        <v>100</v>
      </c>
      <c r="F1041" t="s">
        <v>107</v>
      </c>
      <c r="G1041" t="s">
        <v>77</v>
      </c>
      <c r="H1041" t="s">
        <v>78</v>
      </c>
      <c r="I1041" t="s">
        <v>79</v>
      </c>
      <c r="J1041" t="s">
        <v>150</v>
      </c>
      <c r="K1041" t="s">
        <v>75</v>
      </c>
      <c r="L1041" t="s">
        <v>76</v>
      </c>
      <c r="M1041" t="s">
        <v>103</v>
      </c>
      <c r="N1041" t="s">
        <v>74</v>
      </c>
      <c r="O1041" t="s">
        <v>104</v>
      </c>
      <c r="P1041" t="s">
        <v>71</v>
      </c>
      <c r="Q1041" t="s">
        <v>71</v>
      </c>
      <c r="R1041" t="s">
        <v>110</v>
      </c>
      <c r="S1041">
        <v>1</v>
      </c>
      <c r="T1041">
        <v>1</v>
      </c>
      <c r="U1041" t="s">
        <v>72</v>
      </c>
      <c r="V1041" t="s">
        <v>192</v>
      </c>
      <c r="W1041">
        <v>0</v>
      </c>
      <c r="X1041">
        <v>0</v>
      </c>
      <c r="Y1041">
        <v>0</v>
      </c>
      <c r="Z1041">
        <v>0</v>
      </c>
      <c r="AA1041">
        <v>0</v>
      </c>
      <c r="AB1041">
        <v>0</v>
      </c>
      <c r="AC1041">
        <v>0</v>
      </c>
      <c r="AD1041">
        <v>0</v>
      </c>
      <c r="AE1041">
        <v>0</v>
      </c>
      <c r="AF1041">
        <v>0</v>
      </c>
      <c r="AG1041" t="s">
        <v>110</v>
      </c>
      <c r="AH1041">
        <v>0</v>
      </c>
      <c r="AI1041">
        <v>0</v>
      </c>
      <c r="AJ1041">
        <v>1</v>
      </c>
      <c r="AK1041">
        <v>0</v>
      </c>
      <c r="AL1041" t="s">
        <v>496</v>
      </c>
      <c r="AM1041" t="s">
        <v>491</v>
      </c>
      <c r="AN1041" t="s">
        <v>148</v>
      </c>
      <c r="AO1041" t="s">
        <v>147</v>
      </c>
      <c r="AP1041">
        <v>0</v>
      </c>
      <c r="AQ1041">
        <v>0</v>
      </c>
      <c r="AR1041">
        <v>0</v>
      </c>
      <c r="AS1041">
        <v>0</v>
      </c>
      <c r="AT1041">
        <v>0</v>
      </c>
      <c r="AU1041">
        <v>0</v>
      </c>
      <c r="AV1041">
        <v>0</v>
      </c>
      <c r="AW1041">
        <v>0</v>
      </c>
      <c r="AX1041">
        <v>0</v>
      </c>
      <c r="AY1041">
        <v>0</v>
      </c>
    </row>
    <row r="1042" spans="1:51" x14ac:dyDescent="0.25">
      <c r="A1042">
        <v>7</v>
      </c>
      <c r="B1042">
        <v>10200</v>
      </c>
      <c r="C1042" t="s">
        <v>735</v>
      </c>
      <c r="D1042" t="s">
        <v>96</v>
      </c>
      <c r="E1042" t="s">
        <v>100</v>
      </c>
      <c r="F1042" t="s">
        <v>107</v>
      </c>
      <c r="G1042" t="s">
        <v>77</v>
      </c>
      <c r="H1042" t="s">
        <v>78</v>
      </c>
      <c r="I1042" t="s">
        <v>79</v>
      </c>
      <c r="J1042" t="s">
        <v>150</v>
      </c>
      <c r="K1042" t="s">
        <v>75</v>
      </c>
      <c r="L1042" t="s">
        <v>76</v>
      </c>
      <c r="M1042" t="s">
        <v>103</v>
      </c>
      <c r="N1042" t="s">
        <v>74</v>
      </c>
      <c r="O1042" t="s">
        <v>104</v>
      </c>
      <c r="P1042" t="s">
        <v>71</v>
      </c>
      <c r="Q1042" t="s">
        <v>71</v>
      </c>
      <c r="R1042" t="s">
        <v>110</v>
      </c>
      <c r="S1042">
        <v>1</v>
      </c>
      <c r="T1042">
        <v>1</v>
      </c>
      <c r="U1042" t="s">
        <v>72</v>
      </c>
      <c r="V1042" t="s">
        <v>192</v>
      </c>
      <c r="W1042">
        <v>0</v>
      </c>
      <c r="X1042">
        <v>0</v>
      </c>
      <c r="Y1042">
        <v>0</v>
      </c>
      <c r="Z1042">
        <v>0</v>
      </c>
      <c r="AA1042">
        <v>0</v>
      </c>
      <c r="AB1042">
        <v>0</v>
      </c>
      <c r="AC1042">
        <v>0</v>
      </c>
      <c r="AD1042">
        <v>0</v>
      </c>
      <c r="AE1042">
        <v>0</v>
      </c>
      <c r="AF1042">
        <v>0</v>
      </c>
      <c r="AG1042" t="s">
        <v>110</v>
      </c>
      <c r="AH1042">
        <v>0</v>
      </c>
      <c r="AI1042">
        <v>0</v>
      </c>
      <c r="AJ1042">
        <v>1</v>
      </c>
      <c r="AK1042">
        <v>0</v>
      </c>
      <c r="AL1042" t="s">
        <v>496</v>
      </c>
      <c r="AM1042" t="s">
        <v>491</v>
      </c>
      <c r="AN1042" t="s">
        <v>148</v>
      </c>
      <c r="AO1042" t="s">
        <v>147</v>
      </c>
      <c r="AP1042">
        <v>0</v>
      </c>
      <c r="AQ1042">
        <v>0</v>
      </c>
      <c r="AR1042">
        <v>0</v>
      </c>
      <c r="AS1042">
        <v>0</v>
      </c>
      <c r="AT1042">
        <v>0</v>
      </c>
      <c r="AU1042">
        <v>0</v>
      </c>
      <c r="AV1042">
        <v>0</v>
      </c>
      <c r="AW1042">
        <v>0</v>
      </c>
      <c r="AX1042">
        <v>0</v>
      </c>
      <c r="AY1042">
        <v>0</v>
      </c>
    </row>
    <row r="1043" spans="1:51" x14ac:dyDescent="0.25">
      <c r="A1043">
        <v>7</v>
      </c>
      <c r="B1043">
        <v>13160</v>
      </c>
      <c r="C1043" t="s">
        <v>735</v>
      </c>
      <c r="D1043" t="s">
        <v>96</v>
      </c>
      <c r="E1043" t="s">
        <v>100</v>
      </c>
      <c r="F1043" t="s">
        <v>107</v>
      </c>
      <c r="G1043" t="s">
        <v>77</v>
      </c>
      <c r="H1043" t="s">
        <v>78</v>
      </c>
      <c r="I1043" t="s">
        <v>79</v>
      </c>
      <c r="J1043" t="s">
        <v>150</v>
      </c>
      <c r="K1043" t="s">
        <v>75</v>
      </c>
      <c r="L1043" t="s">
        <v>76</v>
      </c>
      <c r="M1043" t="s">
        <v>103</v>
      </c>
      <c r="N1043" t="s">
        <v>74</v>
      </c>
      <c r="O1043" t="s">
        <v>104</v>
      </c>
      <c r="P1043" t="s">
        <v>71</v>
      </c>
      <c r="Q1043" t="s">
        <v>71</v>
      </c>
      <c r="R1043" t="s">
        <v>110</v>
      </c>
      <c r="S1043">
        <v>1</v>
      </c>
      <c r="T1043">
        <v>1</v>
      </c>
      <c r="U1043" t="s">
        <v>72</v>
      </c>
      <c r="V1043" t="s">
        <v>192</v>
      </c>
      <c r="W1043">
        <v>0</v>
      </c>
      <c r="X1043">
        <v>0</v>
      </c>
      <c r="Y1043">
        <v>0</v>
      </c>
      <c r="Z1043">
        <v>0</v>
      </c>
      <c r="AA1043">
        <v>0</v>
      </c>
      <c r="AB1043">
        <v>0</v>
      </c>
      <c r="AC1043">
        <v>0</v>
      </c>
      <c r="AD1043">
        <v>0</v>
      </c>
      <c r="AE1043">
        <v>0</v>
      </c>
      <c r="AF1043">
        <v>0</v>
      </c>
      <c r="AG1043" t="s">
        <v>110</v>
      </c>
      <c r="AH1043">
        <v>0</v>
      </c>
      <c r="AI1043">
        <v>0</v>
      </c>
      <c r="AJ1043">
        <v>1</v>
      </c>
      <c r="AK1043">
        <v>0</v>
      </c>
      <c r="AL1043" t="s">
        <v>496</v>
      </c>
      <c r="AM1043" t="s">
        <v>491</v>
      </c>
      <c r="AN1043" t="s">
        <v>148</v>
      </c>
      <c r="AO1043" t="s">
        <v>147</v>
      </c>
      <c r="AP1043">
        <v>0</v>
      </c>
      <c r="AQ1043">
        <v>0</v>
      </c>
      <c r="AR1043">
        <v>0</v>
      </c>
      <c r="AS1043">
        <v>0</v>
      </c>
      <c r="AT1043">
        <v>0</v>
      </c>
      <c r="AU1043">
        <v>0</v>
      </c>
      <c r="AV1043">
        <v>0</v>
      </c>
      <c r="AW1043">
        <v>0</v>
      </c>
      <c r="AX1043">
        <v>0</v>
      </c>
      <c r="AY1043">
        <v>0</v>
      </c>
    </row>
    <row r="1044" spans="1:51" x14ac:dyDescent="0.25">
      <c r="A1044">
        <v>7</v>
      </c>
      <c r="B1044">
        <v>13170</v>
      </c>
      <c r="C1044" t="s">
        <v>735</v>
      </c>
      <c r="D1044" t="s">
        <v>96</v>
      </c>
      <c r="E1044" t="s">
        <v>100</v>
      </c>
      <c r="F1044" t="s">
        <v>107</v>
      </c>
      <c r="G1044" t="s">
        <v>77</v>
      </c>
      <c r="H1044" t="s">
        <v>78</v>
      </c>
      <c r="I1044" t="s">
        <v>79</v>
      </c>
      <c r="J1044" t="s">
        <v>150</v>
      </c>
      <c r="K1044" t="s">
        <v>75</v>
      </c>
      <c r="L1044" t="s">
        <v>76</v>
      </c>
      <c r="M1044" t="s">
        <v>103</v>
      </c>
      <c r="N1044" t="s">
        <v>74</v>
      </c>
      <c r="O1044" t="s">
        <v>104</v>
      </c>
      <c r="P1044" t="s">
        <v>71</v>
      </c>
      <c r="Q1044" t="s">
        <v>71</v>
      </c>
      <c r="R1044" t="s">
        <v>110</v>
      </c>
      <c r="S1044">
        <v>1</v>
      </c>
      <c r="T1044">
        <v>1</v>
      </c>
      <c r="U1044" t="s">
        <v>72</v>
      </c>
      <c r="V1044" t="s">
        <v>192</v>
      </c>
      <c r="W1044">
        <v>0</v>
      </c>
      <c r="X1044">
        <v>0</v>
      </c>
      <c r="Y1044">
        <v>0</v>
      </c>
      <c r="Z1044">
        <v>0</v>
      </c>
      <c r="AA1044">
        <v>0</v>
      </c>
      <c r="AB1044">
        <v>0</v>
      </c>
      <c r="AC1044">
        <v>0</v>
      </c>
      <c r="AD1044">
        <v>0</v>
      </c>
      <c r="AE1044">
        <v>0</v>
      </c>
      <c r="AF1044">
        <v>0</v>
      </c>
      <c r="AG1044" t="s">
        <v>110</v>
      </c>
      <c r="AH1044">
        <v>0</v>
      </c>
      <c r="AI1044">
        <v>0</v>
      </c>
      <c r="AJ1044">
        <v>1</v>
      </c>
      <c r="AK1044">
        <v>0</v>
      </c>
      <c r="AL1044" t="s">
        <v>99</v>
      </c>
      <c r="AM1044" t="s">
        <v>93</v>
      </c>
      <c r="AN1044" t="s">
        <v>148</v>
      </c>
      <c r="AO1044" t="s">
        <v>147</v>
      </c>
      <c r="AP1044">
        <v>0</v>
      </c>
      <c r="AQ1044">
        <v>0</v>
      </c>
      <c r="AR1044">
        <v>0</v>
      </c>
      <c r="AS1044">
        <v>0</v>
      </c>
      <c r="AT1044">
        <v>0</v>
      </c>
      <c r="AU1044">
        <v>0</v>
      </c>
      <c r="AV1044">
        <v>0</v>
      </c>
      <c r="AW1044">
        <v>0</v>
      </c>
      <c r="AX1044">
        <v>0</v>
      </c>
      <c r="AY1044">
        <v>0</v>
      </c>
    </row>
    <row r="1045" spans="1:51" x14ac:dyDescent="0.25">
      <c r="A1045">
        <v>7</v>
      </c>
      <c r="B1045">
        <v>13180</v>
      </c>
      <c r="C1045" t="s">
        <v>735</v>
      </c>
      <c r="D1045" t="s">
        <v>96</v>
      </c>
      <c r="E1045" t="s">
        <v>100</v>
      </c>
      <c r="F1045" t="s">
        <v>107</v>
      </c>
      <c r="G1045" t="s">
        <v>77</v>
      </c>
      <c r="H1045" t="s">
        <v>78</v>
      </c>
      <c r="I1045" t="s">
        <v>79</v>
      </c>
      <c r="J1045" t="s">
        <v>150</v>
      </c>
      <c r="K1045" t="s">
        <v>75</v>
      </c>
      <c r="L1045" t="s">
        <v>76</v>
      </c>
      <c r="M1045" t="s">
        <v>103</v>
      </c>
      <c r="N1045" t="s">
        <v>74</v>
      </c>
      <c r="O1045" t="s">
        <v>104</v>
      </c>
      <c r="P1045" t="s">
        <v>71</v>
      </c>
      <c r="Q1045" t="s">
        <v>71</v>
      </c>
      <c r="R1045" t="s">
        <v>110</v>
      </c>
      <c r="S1045">
        <v>1</v>
      </c>
      <c r="T1045">
        <v>1</v>
      </c>
      <c r="U1045" t="s">
        <v>72</v>
      </c>
      <c r="V1045" t="s">
        <v>192</v>
      </c>
      <c r="W1045">
        <v>0</v>
      </c>
      <c r="X1045">
        <v>0</v>
      </c>
      <c r="Y1045">
        <v>0</v>
      </c>
      <c r="Z1045">
        <v>0</v>
      </c>
      <c r="AA1045">
        <v>0</v>
      </c>
      <c r="AB1045">
        <v>0</v>
      </c>
      <c r="AC1045">
        <v>0</v>
      </c>
      <c r="AD1045">
        <v>0</v>
      </c>
      <c r="AE1045">
        <v>0</v>
      </c>
      <c r="AF1045">
        <v>0</v>
      </c>
      <c r="AG1045" t="s">
        <v>110</v>
      </c>
      <c r="AH1045">
        <v>0</v>
      </c>
      <c r="AI1045">
        <v>0</v>
      </c>
      <c r="AJ1045">
        <v>1</v>
      </c>
      <c r="AK1045">
        <v>0</v>
      </c>
      <c r="AL1045" t="s">
        <v>99</v>
      </c>
      <c r="AM1045" t="s">
        <v>93</v>
      </c>
      <c r="AN1045" t="s">
        <v>148</v>
      </c>
      <c r="AO1045" t="s">
        <v>147</v>
      </c>
      <c r="AP1045">
        <v>0</v>
      </c>
      <c r="AQ1045">
        <v>0</v>
      </c>
      <c r="AR1045">
        <v>0</v>
      </c>
      <c r="AS1045">
        <v>0</v>
      </c>
      <c r="AT1045">
        <v>0</v>
      </c>
      <c r="AU1045">
        <v>0</v>
      </c>
      <c r="AV1045">
        <v>0</v>
      </c>
      <c r="AW1045">
        <v>0</v>
      </c>
      <c r="AX1045">
        <v>0</v>
      </c>
      <c r="AY1045">
        <v>0</v>
      </c>
    </row>
    <row r="1046" spans="1:51" x14ac:dyDescent="0.25">
      <c r="A1046">
        <v>7</v>
      </c>
      <c r="B1046">
        <v>13180</v>
      </c>
      <c r="C1046" t="s">
        <v>737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26"/>
  <sheetViews>
    <sheetView topLeftCell="A4" workbookViewId="0">
      <selection activeCell="H18" sqref="H18"/>
    </sheetView>
  </sheetViews>
  <sheetFormatPr defaultRowHeight="15.95" customHeight="1" x14ac:dyDescent="0.25"/>
  <cols>
    <col min="11" max="11" width="21.140625" customWidth="1"/>
  </cols>
  <sheetData>
    <row r="1" spans="1:13" s="14" customFormat="1" ht="15" customHeight="1" x14ac:dyDescent="0.25">
      <c r="A1" s="14" t="s">
        <v>60</v>
      </c>
      <c r="B1" s="14" t="s">
        <v>61</v>
      </c>
      <c r="C1" s="14" t="s">
        <v>62</v>
      </c>
      <c r="D1" s="14" t="s">
        <v>63</v>
      </c>
      <c r="E1" s="14" t="s">
        <v>12</v>
      </c>
      <c r="F1" s="14" t="s">
        <v>64</v>
      </c>
      <c r="G1" s="14" t="s">
        <v>5</v>
      </c>
      <c r="H1" s="14" t="s">
        <v>6</v>
      </c>
      <c r="I1" s="14" t="s">
        <v>13</v>
      </c>
      <c r="J1" s="14" t="s">
        <v>16</v>
      </c>
      <c r="K1" s="14" t="s">
        <v>14</v>
      </c>
      <c r="L1" s="14" t="s">
        <v>65</v>
      </c>
      <c r="M1" s="14" t="s">
        <v>17</v>
      </c>
    </row>
    <row r="3" spans="1:13" s="14" customFormat="1" ht="15" customHeight="1" x14ac:dyDescent="0.25">
      <c r="D3" s="14" t="s">
        <v>548</v>
      </c>
      <c r="E3" s="14" t="s">
        <v>63</v>
      </c>
    </row>
    <row r="4" spans="1:13" s="14" customFormat="1" ht="15" customHeight="1" x14ac:dyDescent="0.25">
      <c r="E4" s="14" t="s">
        <v>66</v>
      </c>
      <c r="F4">
        <v>1</v>
      </c>
      <c r="G4" s="13" t="s">
        <v>68</v>
      </c>
      <c r="H4" s="13" t="s">
        <v>686</v>
      </c>
      <c r="I4"/>
      <c r="J4"/>
      <c r="K4" s="14" t="s">
        <v>69</v>
      </c>
      <c r="M4" s="14" t="s">
        <v>67</v>
      </c>
    </row>
    <row r="5" spans="1:13" ht="15.95" customHeight="1" x14ac:dyDescent="0.25">
      <c r="E5" s="14" t="s">
        <v>66</v>
      </c>
      <c r="F5">
        <v>2</v>
      </c>
      <c r="G5" s="13" t="s">
        <v>549</v>
      </c>
      <c r="H5" s="13" t="s">
        <v>550</v>
      </c>
      <c r="K5" t="s">
        <v>551</v>
      </c>
      <c r="M5" s="14" t="s">
        <v>67</v>
      </c>
    </row>
    <row r="6" spans="1:13" ht="15.95" customHeight="1" x14ac:dyDescent="0.25">
      <c r="D6" s="14" t="s">
        <v>564</v>
      </c>
      <c r="E6" s="14" t="s">
        <v>63</v>
      </c>
    </row>
    <row r="7" spans="1:13" ht="15.95" customHeight="1" x14ac:dyDescent="0.25">
      <c r="E7" s="14" t="s">
        <v>66</v>
      </c>
      <c r="F7">
        <v>1</v>
      </c>
      <c r="G7" s="13" t="s">
        <v>570</v>
      </c>
      <c r="H7" s="13" t="s">
        <v>565</v>
      </c>
      <c r="J7" t="s">
        <v>566</v>
      </c>
      <c r="K7" s="14" t="s">
        <v>666</v>
      </c>
      <c r="M7" t="s">
        <v>567</v>
      </c>
    </row>
    <row r="8" spans="1:13" ht="15.95" customHeight="1" x14ac:dyDescent="0.25">
      <c r="E8" s="14" t="s">
        <v>66</v>
      </c>
      <c r="F8">
        <v>2</v>
      </c>
      <c r="G8" s="13" t="s">
        <v>571</v>
      </c>
      <c r="H8" s="13" t="s">
        <v>569</v>
      </c>
      <c r="J8" s="14" t="s">
        <v>568</v>
      </c>
      <c r="K8" s="14" t="s">
        <v>667</v>
      </c>
      <c r="M8" s="14" t="s">
        <v>567</v>
      </c>
    </row>
    <row r="9" spans="1:13" ht="15.95" customHeight="1" x14ac:dyDescent="0.25">
      <c r="E9" s="14" t="s">
        <v>66</v>
      </c>
      <c r="F9">
        <v>3</v>
      </c>
      <c r="G9" s="28" t="s">
        <v>573</v>
      </c>
      <c r="H9" s="13" t="s">
        <v>574</v>
      </c>
      <c r="J9" t="s">
        <v>584</v>
      </c>
      <c r="K9" s="14" t="s">
        <v>668</v>
      </c>
      <c r="M9" s="14" t="s">
        <v>567</v>
      </c>
    </row>
    <row r="10" spans="1:13" ht="15.95" customHeight="1" x14ac:dyDescent="0.25">
      <c r="E10" s="14" t="s">
        <v>66</v>
      </c>
      <c r="F10">
        <v>4</v>
      </c>
      <c r="G10" s="28" t="s">
        <v>581</v>
      </c>
      <c r="H10" s="13" t="s">
        <v>575</v>
      </c>
      <c r="J10" s="28" t="s">
        <v>578</v>
      </c>
      <c r="K10" s="14" t="s">
        <v>669</v>
      </c>
      <c r="M10" s="14" t="s">
        <v>567</v>
      </c>
    </row>
    <row r="11" spans="1:13" ht="15.95" customHeight="1" x14ac:dyDescent="0.25">
      <c r="E11" s="14" t="s">
        <v>66</v>
      </c>
      <c r="F11">
        <v>5</v>
      </c>
      <c r="G11" s="28" t="s">
        <v>582</v>
      </c>
      <c r="H11" s="13" t="s">
        <v>576</v>
      </c>
      <c r="J11" s="28" t="s">
        <v>579</v>
      </c>
      <c r="K11" s="14" t="s">
        <v>670</v>
      </c>
      <c r="M11" s="14" t="s">
        <v>567</v>
      </c>
    </row>
    <row r="12" spans="1:13" ht="15.95" customHeight="1" x14ac:dyDescent="0.25">
      <c r="E12" s="14" t="s">
        <v>66</v>
      </c>
      <c r="F12">
        <v>6</v>
      </c>
      <c r="G12" s="28" t="s">
        <v>583</v>
      </c>
      <c r="H12" s="13" t="s">
        <v>577</v>
      </c>
      <c r="J12" s="28" t="s">
        <v>580</v>
      </c>
      <c r="K12" s="14" t="s">
        <v>671</v>
      </c>
      <c r="M12" s="14" t="s">
        <v>567</v>
      </c>
    </row>
    <row r="13" spans="1:13" ht="15.95" customHeight="1" x14ac:dyDescent="0.25">
      <c r="E13" s="14" t="s">
        <v>66</v>
      </c>
      <c r="F13">
        <v>7</v>
      </c>
      <c r="G13" s="28" t="s">
        <v>586</v>
      </c>
      <c r="H13" s="13" t="s">
        <v>585</v>
      </c>
      <c r="J13" s="28" t="s">
        <v>588</v>
      </c>
      <c r="K13" s="14" t="s">
        <v>672</v>
      </c>
      <c r="M13" s="14" t="s">
        <v>567</v>
      </c>
    </row>
    <row r="14" spans="1:13" ht="15.95" customHeight="1" x14ac:dyDescent="0.25">
      <c r="E14" s="14" t="s">
        <v>66</v>
      </c>
      <c r="F14">
        <v>8</v>
      </c>
      <c r="G14" s="28" t="s">
        <v>591</v>
      </c>
      <c r="H14" s="13" t="s">
        <v>589</v>
      </c>
      <c r="J14" t="s">
        <v>603</v>
      </c>
      <c r="K14" s="14" t="s">
        <v>673</v>
      </c>
      <c r="M14" s="14" t="s">
        <v>567</v>
      </c>
    </row>
    <row r="15" spans="1:13" ht="15.95" customHeight="1" x14ac:dyDescent="0.25">
      <c r="E15" s="14" t="s">
        <v>66</v>
      </c>
      <c r="F15">
        <v>9</v>
      </c>
      <c r="G15" s="28" t="s">
        <v>592</v>
      </c>
      <c r="H15" s="13" t="s">
        <v>594</v>
      </c>
      <c r="J15" t="s">
        <v>602</v>
      </c>
      <c r="K15" s="14" t="s">
        <v>674</v>
      </c>
      <c r="M15" s="14" t="s">
        <v>567</v>
      </c>
    </row>
    <row r="16" spans="1:13" ht="15.95" customHeight="1" x14ac:dyDescent="0.25">
      <c r="E16" s="14" t="s">
        <v>66</v>
      </c>
      <c r="F16">
        <v>10</v>
      </c>
      <c r="G16" s="28" t="s">
        <v>593</v>
      </c>
      <c r="H16" s="13" t="s">
        <v>590</v>
      </c>
      <c r="J16" t="s">
        <v>602</v>
      </c>
      <c r="K16" s="14" t="s">
        <v>675</v>
      </c>
      <c r="M16" s="14" t="s">
        <v>567</v>
      </c>
    </row>
    <row r="17" spans="5:13" ht="15.95" customHeight="1" x14ac:dyDescent="0.25">
      <c r="E17" s="14" t="s">
        <v>66</v>
      </c>
      <c r="F17">
        <v>11</v>
      </c>
      <c r="G17" s="28" t="s">
        <v>599</v>
      </c>
      <c r="H17" s="13" t="s">
        <v>600</v>
      </c>
      <c r="J17" t="s">
        <v>601</v>
      </c>
      <c r="K17" s="14" t="s">
        <v>676</v>
      </c>
      <c r="M17" s="14" t="s">
        <v>567</v>
      </c>
    </row>
    <row r="18" spans="5:13" ht="15.95" customHeight="1" x14ac:dyDescent="0.25">
      <c r="E18" s="13" t="s">
        <v>66</v>
      </c>
      <c r="F18" s="14">
        <v>12</v>
      </c>
      <c r="G18" s="28" t="s">
        <v>604</v>
      </c>
      <c r="H18" s="13" t="s">
        <v>605</v>
      </c>
      <c r="J18" s="28" t="s">
        <v>612</v>
      </c>
      <c r="K18" s="14" t="s">
        <v>677</v>
      </c>
      <c r="M18" s="14" t="s">
        <v>567</v>
      </c>
    </row>
    <row r="19" spans="5:13" ht="15.95" customHeight="1" x14ac:dyDescent="0.25">
      <c r="E19" s="13" t="s">
        <v>66</v>
      </c>
      <c r="F19" s="14">
        <v>13</v>
      </c>
      <c r="G19" s="28" t="s">
        <v>606</v>
      </c>
      <c r="H19" s="13" t="s">
        <v>607</v>
      </c>
      <c r="J19" s="28" t="s">
        <v>613</v>
      </c>
      <c r="K19" s="14" t="s">
        <v>678</v>
      </c>
      <c r="M19" s="14" t="s">
        <v>567</v>
      </c>
    </row>
    <row r="20" spans="5:13" ht="15.95" customHeight="1" x14ac:dyDescent="0.25">
      <c r="E20" s="13" t="s">
        <v>66</v>
      </c>
      <c r="F20" s="14">
        <v>14</v>
      </c>
      <c r="G20" s="28" t="s">
        <v>609</v>
      </c>
      <c r="H20" s="13" t="s">
        <v>608</v>
      </c>
      <c r="J20" s="28" t="s">
        <v>614</v>
      </c>
      <c r="K20" s="14" t="s">
        <v>679</v>
      </c>
      <c r="M20" s="14" t="s">
        <v>567</v>
      </c>
    </row>
    <row r="21" spans="5:13" ht="15.95" customHeight="1" x14ac:dyDescent="0.25">
      <c r="E21" s="13" t="s">
        <v>66</v>
      </c>
      <c r="F21" s="14">
        <v>15</v>
      </c>
      <c r="G21" s="28" t="s">
        <v>606</v>
      </c>
      <c r="H21" s="13" t="s">
        <v>607</v>
      </c>
      <c r="J21" s="28" t="s">
        <v>615</v>
      </c>
      <c r="K21" s="14" t="s">
        <v>680</v>
      </c>
      <c r="M21" s="14" t="s">
        <v>567</v>
      </c>
    </row>
    <row r="22" spans="5:13" ht="15.95" customHeight="1" x14ac:dyDescent="0.25">
      <c r="E22" s="13" t="s">
        <v>66</v>
      </c>
      <c r="F22" s="14">
        <v>16</v>
      </c>
      <c r="G22" s="28" t="s">
        <v>610</v>
      </c>
      <c r="H22" s="13" t="s">
        <v>611</v>
      </c>
      <c r="J22" s="28" t="s">
        <v>616</v>
      </c>
      <c r="K22" s="14" t="s">
        <v>681</v>
      </c>
      <c r="M22" s="14" t="s">
        <v>567</v>
      </c>
    </row>
    <row r="23" spans="5:13" ht="15.95" customHeight="1" x14ac:dyDescent="0.25">
      <c r="E23" s="13" t="s">
        <v>66</v>
      </c>
      <c r="F23">
        <v>17</v>
      </c>
      <c r="G23" s="13" t="s">
        <v>629</v>
      </c>
      <c r="H23" s="13" t="s">
        <v>619</v>
      </c>
      <c r="J23" s="28" t="s">
        <v>617</v>
      </c>
      <c r="K23" s="14" t="s">
        <v>682</v>
      </c>
      <c r="M23" s="14" t="s">
        <v>567</v>
      </c>
    </row>
    <row r="24" spans="5:13" ht="15.95" customHeight="1" x14ac:dyDescent="0.25">
      <c r="E24" s="13" t="s">
        <v>66</v>
      </c>
      <c r="F24">
        <v>18</v>
      </c>
      <c r="G24" s="13" t="s">
        <v>630</v>
      </c>
      <c r="H24" s="13" t="s">
        <v>618</v>
      </c>
      <c r="J24" t="s">
        <v>620</v>
      </c>
      <c r="K24" s="14" t="s">
        <v>683</v>
      </c>
      <c r="M24" s="14" t="s">
        <v>567</v>
      </c>
    </row>
    <row r="25" spans="5:13" ht="15.95" customHeight="1" x14ac:dyDescent="0.25">
      <c r="E25" s="13" t="s">
        <v>66</v>
      </c>
      <c r="F25">
        <v>19</v>
      </c>
      <c r="G25" s="13" t="s">
        <v>623</v>
      </c>
      <c r="H25" t="s">
        <v>624</v>
      </c>
      <c r="J25" s="28" t="s">
        <v>621</v>
      </c>
      <c r="K25" s="14" t="s">
        <v>684</v>
      </c>
      <c r="M25" s="14" t="s">
        <v>567</v>
      </c>
    </row>
    <row r="26" spans="5:13" ht="15.95" customHeight="1" x14ac:dyDescent="0.25">
      <c r="E26" s="13" t="s">
        <v>66</v>
      </c>
      <c r="F26">
        <v>20</v>
      </c>
      <c r="G26" s="13" t="s">
        <v>625</v>
      </c>
      <c r="H26" s="14" t="s">
        <v>626</v>
      </c>
      <c r="J26" s="28" t="s">
        <v>622</v>
      </c>
      <c r="K26" s="14" t="s">
        <v>685</v>
      </c>
      <c r="M26" s="14" t="s">
        <v>567</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AQC6"/>
  <sheetViews>
    <sheetView workbookViewId="0">
      <selection activeCell="F34" sqref="F34"/>
    </sheetView>
  </sheetViews>
  <sheetFormatPr defaultRowHeight="15" x14ac:dyDescent="0.25"/>
  <cols>
    <col min="1" max="1" width="18.85546875" customWidth="1"/>
  </cols>
  <sheetData>
    <row r="2" spans="1:1121" x14ac:dyDescent="0.25">
      <c r="A2" t="s">
        <v>627</v>
      </c>
    </row>
    <row r="3" spans="1:1121" s="14" customFormat="1" ht="15" customHeight="1" x14ac:dyDescent="0.25">
      <c r="A3" s="3" t="s">
        <v>4</v>
      </c>
      <c r="B3" s="30" t="s">
        <v>8</v>
      </c>
      <c r="C3" s="3">
        <v>1</v>
      </c>
      <c r="D3" s="3">
        <v>2</v>
      </c>
      <c r="E3" s="3">
        <v>2</v>
      </c>
      <c r="F3" s="3">
        <v>2</v>
      </c>
      <c r="G3" s="3">
        <v>2</v>
      </c>
      <c r="H3" s="3">
        <v>2</v>
      </c>
      <c r="I3" s="3">
        <v>2</v>
      </c>
      <c r="J3" s="3">
        <v>1</v>
      </c>
      <c r="K3" s="3">
        <v>3</v>
      </c>
      <c r="L3" s="3">
        <v>3</v>
      </c>
      <c r="M3" s="3">
        <v>3</v>
      </c>
      <c r="N3" s="3">
        <v>3</v>
      </c>
      <c r="O3" s="3">
        <v>3</v>
      </c>
      <c r="P3" s="3">
        <v>3</v>
      </c>
      <c r="Q3" s="3">
        <v>1</v>
      </c>
      <c r="R3" s="3">
        <v>4</v>
      </c>
      <c r="S3" s="3">
        <v>4</v>
      </c>
      <c r="T3" s="3">
        <v>4</v>
      </c>
      <c r="U3" s="3">
        <v>4</v>
      </c>
      <c r="V3" s="3">
        <v>4</v>
      </c>
      <c r="W3" s="3">
        <v>4</v>
      </c>
      <c r="X3" s="3">
        <v>1</v>
      </c>
      <c r="Y3" s="3">
        <v>5</v>
      </c>
      <c r="Z3" s="3">
        <v>5</v>
      </c>
      <c r="AA3" s="3">
        <v>5</v>
      </c>
      <c r="AB3" s="3">
        <v>5</v>
      </c>
      <c r="AC3" s="3">
        <v>5</v>
      </c>
      <c r="AD3" s="3">
        <v>5</v>
      </c>
      <c r="AE3" s="3">
        <v>1</v>
      </c>
      <c r="AF3" s="3">
        <v>6</v>
      </c>
      <c r="AG3" s="3">
        <v>6</v>
      </c>
      <c r="AH3" s="3">
        <v>6</v>
      </c>
      <c r="AI3" s="3">
        <v>6</v>
      </c>
      <c r="AJ3" s="3">
        <v>6</v>
      </c>
      <c r="AK3" s="3">
        <v>6</v>
      </c>
      <c r="AL3" s="3">
        <v>1</v>
      </c>
      <c r="AM3" s="3">
        <v>7</v>
      </c>
      <c r="AN3" s="3">
        <v>7</v>
      </c>
      <c r="AO3" s="3">
        <v>7</v>
      </c>
      <c r="AP3" s="3">
        <v>7</v>
      </c>
      <c r="AQ3" s="3">
        <v>7</v>
      </c>
      <c r="AR3" s="3">
        <v>7</v>
      </c>
      <c r="AS3" s="3">
        <v>7</v>
      </c>
      <c r="AT3" s="3">
        <v>7</v>
      </c>
      <c r="AU3" s="3">
        <v>7</v>
      </c>
      <c r="AV3" s="3">
        <v>7</v>
      </c>
      <c r="AW3" s="3">
        <v>7</v>
      </c>
      <c r="AX3" s="3">
        <v>7</v>
      </c>
      <c r="AY3" s="3">
        <v>7</v>
      </c>
      <c r="AZ3" s="3">
        <v>7</v>
      </c>
      <c r="BA3" s="3">
        <v>7</v>
      </c>
      <c r="BB3" s="3">
        <v>7</v>
      </c>
      <c r="BC3" s="3">
        <v>7</v>
      </c>
      <c r="BD3" s="3">
        <v>7</v>
      </c>
      <c r="BE3" s="3">
        <v>7</v>
      </c>
      <c r="BF3" s="3">
        <v>7</v>
      </c>
      <c r="BG3" s="3">
        <v>7</v>
      </c>
      <c r="BH3" s="3">
        <v>7</v>
      </c>
      <c r="BI3" s="3">
        <v>7</v>
      </c>
      <c r="BJ3" s="3">
        <v>7</v>
      </c>
      <c r="BK3" s="3">
        <v>7</v>
      </c>
      <c r="BL3" s="3">
        <v>7</v>
      </c>
      <c r="BM3" s="3">
        <v>7</v>
      </c>
      <c r="BN3" s="3">
        <v>7</v>
      </c>
      <c r="BO3" s="3">
        <v>7</v>
      </c>
      <c r="BP3" s="3">
        <v>7</v>
      </c>
      <c r="BQ3" s="3">
        <v>7</v>
      </c>
      <c r="BR3" s="3">
        <v>7</v>
      </c>
      <c r="BS3" s="3">
        <v>7</v>
      </c>
      <c r="BT3" s="3">
        <v>7</v>
      </c>
      <c r="BU3" s="3">
        <v>7</v>
      </c>
      <c r="BV3" s="3">
        <v>7</v>
      </c>
      <c r="BW3" s="3">
        <v>7</v>
      </c>
      <c r="BX3" s="3">
        <v>7</v>
      </c>
      <c r="BY3" s="3">
        <v>7</v>
      </c>
      <c r="BZ3" s="3">
        <v>7</v>
      </c>
      <c r="CA3" s="3">
        <v>7</v>
      </c>
      <c r="CB3" s="3">
        <v>7</v>
      </c>
      <c r="CC3" s="3">
        <v>7</v>
      </c>
      <c r="CD3" s="3">
        <v>7</v>
      </c>
      <c r="CE3" s="3">
        <v>7</v>
      </c>
      <c r="CF3" s="3">
        <v>7</v>
      </c>
      <c r="CG3" s="3">
        <v>7</v>
      </c>
      <c r="CH3" s="3">
        <v>7</v>
      </c>
      <c r="CI3" s="3">
        <v>7</v>
      </c>
      <c r="CJ3" s="3">
        <v>7</v>
      </c>
      <c r="CK3" s="3">
        <v>7</v>
      </c>
      <c r="CL3" s="3">
        <v>7</v>
      </c>
      <c r="CM3" s="3">
        <v>7</v>
      </c>
      <c r="CN3" s="3">
        <v>7</v>
      </c>
      <c r="CO3" s="3">
        <v>7</v>
      </c>
      <c r="CP3" s="3">
        <v>7</v>
      </c>
      <c r="CQ3" s="3">
        <v>7</v>
      </c>
      <c r="CR3" s="3">
        <v>7</v>
      </c>
      <c r="CS3" s="3">
        <v>7</v>
      </c>
      <c r="CT3" s="3">
        <v>7</v>
      </c>
      <c r="CU3" s="3">
        <v>7</v>
      </c>
      <c r="CV3" s="3">
        <v>7</v>
      </c>
      <c r="CW3" s="3">
        <v>7</v>
      </c>
      <c r="CX3" s="3">
        <v>7</v>
      </c>
      <c r="CY3" s="3">
        <v>7</v>
      </c>
      <c r="CZ3" s="3">
        <v>7</v>
      </c>
      <c r="DA3" s="3">
        <v>7</v>
      </c>
      <c r="DB3" s="3">
        <v>7</v>
      </c>
      <c r="DC3" s="3">
        <v>7</v>
      </c>
      <c r="DD3" s="3">
        <v>7</v>
      </c>
      <c r="DE3" s="3">
        <v>7</v>
      </c>
      <c r="DF3" s="3">
        <v>7</v>
      </c>
      <c r="DG3" s="3">
        <v>7</v>
      </c>
      <c r="DH3" s="3">
        <v>7</v>
      </c>
      <c r="DI3" s="3">
        <v>7</v>
      </c>
      <c r="DJ3" s="3">
        <v>7</v>
      </c>
      <c r="DK3" s="3">
        <v>7</v>
      </c>
      <c r="DL3" s="3">
        <v>7</v>
      </c>
      <c r="DM3" s="3">
        <v>7</v>
      </c>
      <c r="DN3" s="3">
        <v>7</v>
      </c>
      <c r="DO3" s="3">
        <v>7</v>
      </c>
      <c r="DP3" s="3">
        <v>7</v>
      </c>
      <c r="DQ3" s="3">
        <v>7</v>
      </c>
      <c r="DR3" s="3">
        <v>7</v>
      </c>
      <c r="DS3" s="3">
        <v>7</v>
      </c>
      <c r="DT3" s="3">
        <v>7</v>
      </c>
      <c r="DU3" s="3">
        <v>7</v>
      </c>
      <c r="DV3" s="3">
        <v>7</v>
      </c>
      <c r="DW3" s="3">
        <v>7</v>
      </c>
      <c r="DX3" s="3">
        <v>7</v>
      </c>
      <c r="DY3" s="3">
        <v>7</v>
      </c>
      <c r="DZ3" s="3">
        <v>7</v>
      </c>
      <c r="EA3" s="3">
        <v>7</v>
      </c>
      <c r="EB3" s="3">
        <v>7</v>
      </c>
      <c r="EC3" s="3">
        <v>7</v>
      </c>
      <c r="ED3" s="3">
        <v>7</v>
      </c>
      <c r="EE3" s="3">
        <v>7</v>
      </c>
      <c r="EF3" s="3">
        <v>7</v>
      </c>
      <c r="EG3" s="3">
        <v>7</v>
      </c>
      <c r="EH3" s="3">
        <v>7</v>
      </c>
      <c r="EI3" s="3">
        <v>7</v>
      </c>
      <c r="EJ3" s="3">
        <v>7</v>
      </c>
      <c r="EK3" s="3">
        <v>7</v>
      </c>
      <c r="EL3" s="3">
        <v>7</v>
      </c>
      <c r="EM3" s="3">
        <v>7</v>
      </c>
      <c r="EN3" s="3">
        <v>7</v>
      </c>
      <c r="EO3" s="3">
        <v>7</v>
      </c>
      <c r="EP3" s="3">
        <v>7</v>
      </c>
      <c r="EQ3" s="3">
        <v>7</v>
      </c>
      <c r="ER3" s="3">
        <v>7</v>
      </c>
      <c r="ES3" s="3">
        <v>7</v>
      </c>
      <c r="ET3" s="3">
        <v>7</v>
      </c>
      <c r="EU3" s="3">
        <v>7</v>
      </c>
      <c r="EV3" s="3">
        <v>7</v>
      </c>
      <c r="EW3" s="3">
        <v>7</v>
      </c>
      <c r="EX3" s="3">
        <v>7</v>
      </c>
      <c r="EY3" s="3">
        <v>7</v>
      </c>
      <c r="EZ3" s="3">
        <v>7</v>
      </c>
      <c r="FA3" s="3">
        <v>7</v>
      </c>
      <c r="FB3" s="3">
        <v>7</v>
      </c>
      <c r="FC3" s="3">
        <v>7</v>
      </c>
      <c r="FD3" s="3">
        <v>1</v>
      </c>
      <c r="FE3" s="3">
        <v>8</v>
      </c>
      <c r="FF3" s="3">
        <v>8</v>
      </c>
      <c r="FG3" s="3">
        <v>8</v>
      </c>
      <c r="FH3" s="3">
        <v>8</v>
      </c>
      <c r="FI3" s="3">
        <v>8</v>
      </c>
      <c r="FJ3" s="3">
        <v>8</v>
      </c>
      <c r="FK3" s="3">
        <v>8</v>
      </c>
      <c r="FL3" s="3">
        <v>8</v>
      </c>
      <c r="FM3" s="3">
        <v>8</v>
      </c>
      <c r="FN3" s="3">
        <v>8</v>
      </c>
      <c r="FO3" s="3">
        <v>8</v>
      </c>
      <c r="FP3" s="3">
        <v>8</v>
      </c>
      <c r="FQ3" s="3">
        <v>8</v>
      </c>
      <c r="FR3" s="3">
        <v>8</v>
      </c>
      <c r="FS3" s="3">
        <v>8</v>
      </c>
      <c r="FT3" s="3">
        <v>8</v>
      </c>
      <c r="FU3" s="3">
        <v>8</v>
      </c>
      <c r="FV3" s="3">
        <v>8</v>
      </c>
      <c r="FW3" s="3">
        <v>8</v>
      </c>
      <c r="FX3" s="3">
        <v>8</v>
      </c>
      <c r="FY3" s="3">
        <v>8</v>
      </c>
      <c r="FZ3" s="3">
        <v>8</v>
      </c>
      <c r="GA3" s="3">
        <v>8</v>
      </c>
      <c r="GB3" s="3">
        <v>8</v>
      </c>
      <c r="GC3" s="3">
        <v>8</v>
      </c>
      <c r="GD3" s="3">
        <v>8</v>
      </c>
      <c r="GE3" s="3">
        <v>8</v>
      </c>
      <c r="GF3" s="3">
        <v>8</v>
      </c>
      <c r="GG3" s="3">
        <v>8</v>
      </c>
      <c r="GH3" s="3">
        <v>8</v>
      </c>
      <c r="GI3" s="3">
        <v>8</v>
      </c>
      <c r="GJ3" s="3">
        <v>8</v>
      </c>
      <c r="GK3" s="3">
        <v>8</v>
      </c>
      <c r="GL3" s="3">
        <v>8</v>
      </c>
      <c r="GM3" s="3">
        <v>8</v>
      </c>
      <c r="GN3" s="3">
        <v>8</v>
      </c>
      <c r="GO3" s="3">
        <v>8</v>
      </c>
      <c r="GP3" s="3">
        <v>8</v>
      </c>
      <c r="GQ3" s="3">
        <v>8</v>
      </c>
      <c r="GR3" s="3">
        <v>8</v>
      </c>
      <c r="GS3" s="3">
        <v>8</v>
      </c>
      <c r="GT3" s="3">
        <v>8</v>
      </c>
      <c r="GU3" s="3">
        <v>8</v>
      </c>
      <c r="GV3" s="3">
        <v>8</v>
      </c>
      <c r="GW3" s="3">
        <v>8</v>
      </c>
      <c r="GX3" s="3">
        <v>8</v>
      </c>
      <c r="GY3" s="3">
        <v>8</v>
      </c>
      <c r="GZ3" s="3">
        <v>8</v>
      </c>
      <c r="HA3" s="3">
        <v>8</v>
      </c>
      <c r="HB3" s="3">
        <v>8</v>
      </c>
      <c r="HC3" s="3">
        <v>8</v>
      </c>
      <c r="HD3" s="3">
        <v>8</v>
      </c>
      <c r="HE3" s="3">
        <v>8</v>
      </c>
      <c r="HF3" s="3">
        <v>8</v>
      </c>
      <c r="HG3" s="3">
        <v>8</v>
      </c>
      <c r="HH3" s="3">
        <v>8</v>
      </c>
      <c r="HI3" s="3">
        <v>8</v>
      </c>
      <c r="HJ3" s="3">
        <v>8</v>
      </c>
      <c r="HK3" s="3">
        <v>8</v>
      </c>
      <c r="HL3" s="3">
        <v>8</v>
      </c>
      <c r="HM3" s="3">
        <v>8</v>
      </c>
      <c r="HN3" s="3">
        <v>8</v>
      </c>
      <c r="HO3" s="3">
        <v>8</v>
      </c>
      <c r="HP3" s="3">
        <v>8</v>
      </c>
      <c r="HQ3" s="3">
        <v>8</v>
      </c>
      <c r="HR3" s="3">
        <v>8</v>
      </c>
      <c r="HS3" s="3">
        <v>8</v>
      </c>
      <c r="HT3" s="3">
        <v>8</v>
      </c>
      <c r="HU3" s="3">
        <v>8</v>
      </c>
      <c r="HV3" s="3">
        <v>8</v>
      </c>
      <c r="HW3" s="3">
        <v>8</v>
      </c>
      <c r="HX3" s="3">
        <v>8</v>
      </c>
      <c r="HY3" s="3">
        <v>8</v>
      </c>
      <c r="HZ3" s="3">
        <v>8</v>
      </c>
      <c r="IA3" s="3">
        <v>8</v>
      </c>
      <c r="IB3" s="3">
        <v>1</v>
      </c>
      <c r="IC3" s="3">
        <v>9</v>
      </c>
      <c r="ID3" s="3">
        <v>9</v>
      </c>
      <c r="IE3" s="3">
        <v>9</v>
      </c>
      <c r="IF3" s="3">
        <v>9</v>
      </c>
      <c r="IG3" s="3">
        <v>9</v>
      </c>
      <c r="IH3" s="3">
        <v>9</v>
      </c>
      <c r="II3" s="3">
        <v>9</v>
      </c>
      <c r="IJ3" s="3">
        <v>9</v>
      </c>
      <c r="IK3" s="3">
        <v>1</v>
      </c>
      <c r="IL3" s="3">
        <v>10</v>
      </c>
      <c r="IM3" s="3">
        <v>10</v>
      </c>
      <c r="IN3" s="3">
        <v>10</v>
      </c>
      <c r="IO3" s="3">
        <v>10</v>
      </c>
      <c r="IP3" s="3">
        <v>10</v>
      </c>
      <c r="IQ3" s="3">
        <v>10</v>
      </c>
      <c r="IR3" s="3">
        <v>10</v>
      </c>
      <c r="IS3" s="3">
        <v>11</v>
      </c>
      <c r="IT3" s="3">
        <v>12</v>
      </c>
      <c r="IU3" s="3">
        <v>13</v>
      </c>
      <c r="IV3" s="3">
        <v>14</v>
      </c>
      <c r="IW3" s="3">
        <v>14</v>
      </c>
      <c r="IX3" s="3">
        <v>15</v>
      </c>
      <c r="IY3" s="3">
        <v>16</v>
      </c>
      <c r="IZ3" s="3">
        <v>17</v>
      </c>
      <c r="JA3" s="3">
        <v>18</v>
      </c>
      <c r="JB3" s="3">
        <v>19</v>
      </c>
      <c r="JC3" s="3">
        <v>20</v>
      </c>
      <c r="JD3" s="3">
        <v>22</v>
      </c>
      <c r="JE3" s="3">
        <v>22</v>
      </c>
      <c r="JF3" s="3">
        <v>22</v>
      </c>
      <c r="JG3" s="3">
        <v>23</v>
      </c>
      <c r="JH3" s="3">
        <v>24</v>
      </c>
      <c r="JI3" s="3">
        <v>25</v>
      </c>
      <c r="JJ3" s="3">
        <v>26</v>
      </c>
      <c r="JK3" s="3">
        <v>27</v>
      </c>
      <c r="JL3" s="3">
        <v>28</v>
      </c>
      <c r="JM3" s="3">
        <v>29</v>
      </c>
      <c r="JN3" s="3">
        <v>30</v>
      </c>
      <c r="JO3" s="3">
        <v>31</v>
      </c>
      <c r="JP3" s="3">
        <v>32</v>
      </c>
      <c r="JQ3" s="3">
        <v>33</v>
      </c>
      <c r="JR3" s="3">
        <v>34</v>
      </c>
      <c r="JS3" s="3">
        <v>35</v>
      </c>
      <c r="JT3" s="3">
        <v>36</v>
      </c>
      <c r="JU3" s="3">
        <v>37</v>
      </c>
      <c r="JV3" s="3">
        <v>39</v>
      </c>
      <c r="JW3" s="3">
        <v>39</v>
      </c>
      <c r="JX3" s="3">
        <v>39</v>
      </c>
      <c r="JY3" s="3">
        <v>40</v>
      </c>
      <c r="JZ3" s="3">
        <v>40</v>
      </c>
      <c r="KA3" s="3">
        <v>41</v>
      </c>
      <c r="KB3" s="3">
        <v>41</v>
      </c>
      <c r="KC3" s="3">
        <v>42</v>
      </c>
      <c r="KD3" s="3">
        <v>42</v>
      </c>
      <c r="KE3" s="3">
        <v>43</v>
      </c>
      <c r="KF3" s="3">
        <v>43</v>
      </c>
      <c r="KG3" s="3">
        <v>44</v>
      </c>
      <c r="KH3" s="3">
        <v>44</v>
      </c>
      <c r="KI3" s="3">
        <v>45</v>
      </c>
      <c r="KJ3" s="3">
        <v>45</v>
      </c>
      <c r="KK3" s="3">
        <v>46</v>
      </c>
      <c r="KL3" s="3">
        <v>46</v>
      </c>
      <c r="KM3" s="3">
        <v>47</v>
      </c>
      <c r="KN3" s="3">
        <v>47</v>
      </c>
      <c r="KO3" s="3">
        <v>48</v>
      </c>
      <c r="KP3" s="3">
        <v>48</v>
      </c>
      <c r="KQ3" s="3">
        <v>49</v>
      </c>
      <c r="KR3" s="3">
        <v>49</v>
      </c>
      <c r="KS3" s="3">
        <v>50</v>
      </c>
      <c r="KT3" s="3">
        <v>50</v>
      </c>
      <c r="KU3" s="3">
        <v>51</v>
      </c>
      <c r="KV3" s="3">
        <v>51</v>
      </c>
      <c r="KW3" s="3">
        <v>52</v>
      </c>
      <c r="KX3" s="3">
        <v>52</v>
      </c>
      <c r="KY3" s="3">
        <v>53</v>
      </c>
      <c r="KZ3" s="3">
        <v>53</v>
      </c>
      <c r="LA3" s="3">
        <v>54</v>
      </c>
      <c r="LB3" s="3">
        <v>54</v>
      </c>
      <c r="LC3" s="3">
        <v>55</v>
      </c>
      <c r="LD3" s="3">
        <v>55</v>
      </c>
      <c r="LE3" s="3">
        <v>56</v>
      </c>
      <c r="LF3" s="3">
        <v>56</v>
      </c>
      <c r="LG3" s="3">
        <v>57</v>
      </c>
      <c r="LH3" s="3">
        <v>57</v>
      </c>
      <c r="LI3" s="3">
        <v>58</v>
      </c>
      <c r="LJ3" s="3">
        <v>58</v>
      </c>
      <c r="LK3" s="3">
        <v>59</v>
      </c>
      <c r="LL3" s="3">
        <v>59</v>
      </c>
      <c r="LM3" s="3">
        <v>60</v>
      </c>
      <c r="LN3" s="3">
        <v>60</v>
      </c>
      <c r="LO3" s="3">
        <v>61</v>
      </c>
      <c r="LP3" s="3">
        <v>61</v>
      </c>
      <c r="LQ3" s="3">
        <v>62</v>
      </c>
      <c r="LR3" s="3">
        <v>63</v>
      </c>
      <c r="LS3" s="3">
        <v>64</v>
      </c>
      <c r="LT3" s="3">
        <v>65</v>
      </c>
      <c r="LU3" s="3">
        <v>66</v>
      </c>
      <c r="LV3" s="3">
        <v>67</v>
      </c>
      <c r="LW3" s="3">
        <v>68</v>
      </c>
      <c r="LX3" s="3">
        <v>69</v>
      </c>
      <c r="LY3" s="3">
        <v>70</v>
      </c>
      <c r="LZ3" s="3">
        <v>71</v>
      </c>
      <c r="MA3" s="3">
        <v>72</v>
      </c>
      <c r="MB3" s="3">
        <v>73</v>
      </c>
      <c r="MC3" s="3">
        <v>74</v>
      </c>
      <c r="MD3" s="3">
        <v>75</v>
      </c>
      <c r="ME3" s="3">
        <v>76</v>
      </c>
      <c r="MF3" s="3">
        <v>77</v>
      </c>
      <c r="MG3" s="3">
        <v>78</v>
      </c>
      <c r="MH3" s="3">
        <v>78</v>
      </c>
      <c r="MI3" s="3">
        <v>79</v>
      </c>
      <c r="MJ3" s="3">
        <v>80</v>
      </c>
      <c r="MK3" s="3">
        <v>80</v>
      </c>
      <c r="ML3" s="3">
        <v>80</v>
      </c>
      <c r="MM3" s="3">
        <v>80</v>
      </c>
      <c r="MN3" s="3">
        <v>80</v>
      </c>
      <c r="MO3" s="3">
        <v>80</v>
      </c>
      <c r="MP3" s="3">
        <v>80</v>
      </c>
      <c r="MQ3" s="3">
        <v>80</v>
      </c>
      <c r="MR3" s="3">
        <v>80</v>
      </c>
      <c r="MS3" s="3">
        <v>81</v>
      </c>
      <c r="MT3" s="3">
        <v>82</v>
      </c>
      <c r="MU3" s="3">
        <v>82</v>
      </c>
      <c r="MV3" s="3">
        <v>82</v>
      </c>
      <c r="MW3" s="3">
        <v>82</v>
      </c>
      <c r="MX3" s="3">
        <v>82</v>
      </c>
      <c r="MY3" s="3">
        <v>82</v>
      </c>
      <c r="MZ3" s="3">
        <v>82</v>
      </c>
      <c r="NA3" s="3">
        <v>82</v>
      </c>
      <c r="NB3" s="3">
        <v>82</v>
      </c>
      <c r="NC3" s="3">
        <v>83</v>
      </c>
      <c r="ND3" s="3">
        <v>84</v>
      </c>
      <c r="NE3" s="3">
        <v>84</v>
      </c>
      <c r="NF3" s="3">
        <v>84</v>
      </c>
      <c r="NG3" s="3">
        <v>84</v>
      </c>
      <c r="NH3" s="3">
        <v>84</v>
      </c>
      <c r="NI3" s="3">
        <v>84</v>
      </c>
      <c r="NJ3" s="3">
        <v>84</v>
      </c>
      <c r="NK3" s="3">
        <v>84</v>
      </c>
      <c r="NL3" s="3">
        <v>84</v>
      </c>
      <c r="NM3" s="3">
        <v>85</v>
      </c>
      <c r="NN3" s="3">
        <v>85</v>
      </c>
      <c r="NO3" s="3">
        <v>86</v>
      </c>
      <c r="NP3" s="3">
        <v>87</v>
      </c>
      <c r="NQ3" s="3">
        <v>87</v>
      </c>
      <c r="NR3" s="3">
        <v>88</v>
      </c>
      <c r="NS3" s="3">
        <v>88</v>
      </c>
      <c r="NT3" s="3">
        <v>89</v>
      </c>
      <c r="NU3" s="3">
        <v>90</v>
      </c>
      <c r="NV3" s="3">
        <v>91</v>
      </c>
      <c r="NW3" s="3">
        <v>92</v>
      </c>
      <c r="NX3" s="3">
        <v>93</v>
      </c>
      <c r="NY3" s="3">
        <v>94</v>
      </c>
      <c r="NZ3" s="3">
        <v>95</v>
      </c>
      <c r="OA3" s="3">
        <v>96</v>
      </c>
      <c r="OB3" s="3">
        <v>97</v>
      </c>
      <c r="OC3" s="3">
        <v>98</v>
      </c>
      <c r="OD3" s="3">
        <v>99</v>
      </c>
      <c r="OE3" s="3">
        <v>100</v>
      </c>
      <c r="OF3" s="3">
        <v>101</v>
      </c>
      <c r="OG3" s="3">
        <v>102</v>
      </c>
      <c r="OH3" s="3">
        <v>103</v>
      </c>
      <c r="OI3" s="3">
        <v>104</v>
      </c>
      <c r="OJ3" s="3">
        <v>105</v>
      </c>
      <c r="OK3" s="3">
        <v>106</v>
      </c>
      <c r="OL3" s="3">
        <v>107</v>
      </c>
      <c r="OM3" s="3">
        <v>108</v>
      </c>
      <c r="ON3" s="3">
        <v>109</v>
      </c>
      <c r="OO3" s="3">
        <v>110</v>
      </c>
      <c r="OP3" s="3">
        <v>111</v>
      </c>
      <c r="OQ3" s="3">
        <v>113</v>
      </c>
      <c r="OR3" s="3">
        <v>114</v>
      </c>
      <c r="OS3" s="3">
        <v>115</v>
      </c>
      <c r="OT3" s="3">
        <v>116</v>
      </c>
      <c r="OU3" s="3">
        <v>117</v>
      </c>
      <c r="OV3" s="3">
        <v>118</v>
      </c>
      <c r="OW3" s="3">
        <v>119</v>
      </c>
      <c r="OX3" s="3">
        <v>120</v>
      </c>
      <c r="OY3" s="3">
        <v>121</v>
      </c>
      <c r="OZ3" s="3">
        <v>122</v>
      </c>
      <c r="PA3" s="3">
        <v>123</v>
      </c>
      <c r="PB3" s="3">
        <v>124</v>
      </c>
      <c r="PC3" s="3">
        <v>125</v>
      </c>
      <c r="PD3" s="3">
        <v>126</v>
      </c>
      <c r="PE3" s="3">
        <v>127</v>
      </c>
      <c r="PF3" s="3">
        <v>128</v>
      </c>
      <c r="PG3" s="3">
        <v>129</v>
      </c>
      <c r="PH3" s="3">
        <v>130</v>
      </c>
      <c r="PI3" s="3">
        <v>131</v>
      </c>
      <c r="PJ3" s="3">
        <v>132</v>
      </c>
      <c r="PK3" s="3">
        <v>133</v>
      </c>
      <c r="PL3" s="3">
        <v>134</v>
      </c>
      <c r="PM3" s="3">
        <v>135</v>
      </c>
      <c r="PN3" s="3">
        <v>136</v>
      </c>
      <c r="PO3" s="3">
        <v>137</v>
      </c>
      <c r="PP3" s="3">
        <v>138</v>
      </c>
      <c r="PQ3" s="3">
        <v>139</v>
      </c>
      <c r="PR3" s="3">
        <v>140</v>
      </c>
      <c r="PS3" s="3">
        <v>141</v>
      </c>
      <c r="PT3" s="3">
        <v>142</v>
      </c>
      <c r="PU3" s="3">
        <v>143</v>
      </c>
      <c r="PV3" s="3">
        <v>144</v>
      </c>
      <c r="PW3" s="3">
        <v>145</v>
      </c>
      <c r="PX3" s="3">
        <v>146</v>
      </c>
      <c r="PY3" s="3">
        <v>147</v>
      </c>
      <c r="PZ3" s="3">
        <v>148</v>
      </c>
      <c r="QA3" s="3">
        <v>149</v>
      </c>
      <c r="QB3" s="3">
        <v>150</v>
      </c>
      <c r="QC3" s="3">
        <v>150</v>
      </c>
      <c r="QD3" s="3">
        <v>151</v>
      </c>
      <c r="QE3" s="3">
        <v>152</v>
      </c>
      <c r="QF3" s="3">
        <v>153</v>
      </c>
      <c r="QG3" s="3">
        <v>154</v>
      </c>
      <c r="QH3" s="3">
        <v>155</v>
      </c>
      <c r="QI3" s="3">
        <v>156</v>
      </c>
      <c r="QJ3" s="3">
        <v>157</v>
      </c>
      <c r="QK3" s="3">
        <v>158</v>
      </c>
      <c r="QL3" s="3">
        <v>159</v>
      </c>
      <c r="QM3" s="3">
        <v>160</v>
      </c>
      <c r="QN3" s="3">
        <v>161</v>
      </c>
      <c r="QO3" s="3">
        <v>162</v>
      </c>
      <c r="QP3" s="3">
        <v>163</v>
      </c>
      <c r="QQ3" s="3">
        <v>164</v>
      </c>
      <c r="QR3" s="3">
        <v>165</v>
      </c>
      <c r="QS3" s="3">
        <v>166</v>
      </c>
      <c r="QT3" s="3">
        <v>167</v>
      </c>
      <c r="QU3" s="3">
        <v>168</v>
      </c>
      <c r="QV3" s="3">
        <v>168</v>
      </c>
      <c r="QW3" s="3">
        <v>169</v>
      </c>
      <c r="QX3" s="3">
        <v>169</v>
      </c>
      <c r="QY3" s="3">
        <v>169</v>
      </c>
      <c r="QZ3" s="3">
        <v>169</v>
      </c>
      <c r="RA3" s="3">
        <v>169</v>
      </c>
      <c r="RB3" s="3">
        <v>169</v>
      </c>
      <c r="RC3" s="3">
        <v>169</v>
      </c>
      <c r="RD3" s="3">
        <v>169</v>
      </c>
      <c r="RE3" s="3">
        <v>169</v>
      </c>
      <c r="RF3" s="3">
        <v>170</v>
      </c>
      <c r="RG3" s="3">
        <v>170</v>
      </c>
      <c r="RH3" s="3">
        <v>170</v>
      </c>
      <c r="RI3" s="3">
        <v>170</v>
      </c>
      <c r="RJ3" s="3">
        <v>170</v>
      </c>
      <c r="RK3" s="3">
        <v>170</v>
      </c>
      <c r="RL3" s="3">
        <v>170</v>
      </c>
      <c r="RM3" s="3">
        <v>170</v>
      </c>
      <c r="RN3" s="3">
        <v>170</v>
      </c>
      <c r="RO3" s="3">
        <v>170</v>
      </c>
      <c r="RP3" s="3">
        <v>170</v>
      </c>
      <c r="RQ3" s="3">
        <v>170</v>
      </c>
      <c r="RR3" s="3">
        <v>170</v>
      </c>
      <c r="RS3" s="3">
        <v>171</v>
      </c>
      <c r="RT3" s="3">
        <v>1</v>
      </c>
      <c r="RU3" s="3">
        <v>10</v>
      </c>
      <c r="RV3" s="3">
        <v>10</v>
      </c>
      <c r="RW3" s="3">
        <v>10</v>
      </c>
      <c r="RX3" s="3">
        <v>10</v>
      </c>
      <c r="RY3" s="3">
        <v>10</v>
      </c>
      <c r="RZ3" s="3">
        <v>10</v>
      </c>
      <c r="SA3" s="3">
        <v>10</v>
      </c>
      <c r="SB3" s="3">
        <v>88</v>
      </c>
      <c r="SC3" s="3">
        <v>88</v>
      </c>
      <c r="SD3" s="3">
        <v>89</v>
      </c>
      <c r="SE3" s="3">
        <v>90</v>
      </c>
      <c r="SF3" s="3">
        <v>91</v>
      </c>
      <c r="SG3" s="3">
        <v>92</v>
      </c>
      <c r="SH3" s="3">
        <v>93</v>
      </c>
      <c r="SI3" s="3">
        <v>94</v>
      </c>
      <c r="SJ3" s="3">
        <v>95</v>
      </c>
      <c r="SK3" s="3">
        <v>96</v>
      </c>
      <c r="SL3" s="3">
        <v>97</v>
      </c>
      <c r="SM3" s="3">
        <v>98</v>
      </c>
      <c r="SN3" s="3">
        <v>99</v>
      </c>
      <c r="SO3" s="3">
        <v>100</v>
      </c>
      <c r="SP3" s="3">
        <v>101</v>
      </c>
      <c r="SQ3" s="3">
        <v>102</v>
      </c>
      <c r="SR3" s="3">
        <v>103</v>
      </c>
      <c r="SS3" s="3">
        <v>104</v>
      </c>
      <c r="ST3" s="3">
        <v>105</v>
      </c>
      <c r="SU3" s="3">
        <v>106</v>
      </c>
      <c r="SV3" s="3">
        <v>107</v>
      </c>
      <c r="SW3" s="3">
        <v>108</v>
      </c>
      <c r="SX3" s="3">
        <v>109</v>
      </c>
      <c r="SY3" s="3">
        <v>110</v>
      </c>
      <c r="SZ3" s="3">
        <v>111</v>
      </c>
      <c r="TA3" s="3">
        <v>113</v>
      </c>
      <c r="TB3" s="3">
        <v>114</v>
      </c>
      <c r="TC3" s="3">
        <v>115</v>
      </c>
      <c r="TD3" s="3">
        <v>116</v>
      </c>
      <c r="TE3" s="3">
        <v>117</v>
      </c>
      <c r="TF3" s="3">
        <v>118</v>
      </c>
      <c r="TG3" s="3">
        <v>120</v>
      </c>
      <c r="TH3" s="3">
        <v>121</v>
      </c>
      <c r="TI3" s="3">
        <v>122</v>
      </c>
      <c r="TJ3" s="3">
        <v>123</v>
      </c>
      <c r="TK3" s="3">
        <v>124</v>
      </c>
      <c r="TL3" s="3">
        <v>125</v>
      </c>
      <c r="TM3" s="3">
        <v>126</v>
      </c>
      <c r="TN3" s="3">
        <v>127</v>
      </c>
      <c r="TO3" s="3">
        <v>128</v>
      </c>
      <c r="TP3" s="3">
        <v>129</v>
      </c>
      <c r="TQ3" s="3">
        <v>130</v>
      </c>
      <c r="TR3" s="3">
        <v>131</v>
      </c>
      <c r="TS3" s="3">
        <v>132</v>
      </c>
      <c r="TT3" s="3">
        <v>133</v>
      </c>
      <c r="TU3" s="3">
        <v>134</v>
      </c>
      <c r="TV3" s="3">
        <v>135</v>
      </c>
      <c r="TW3" s="3">
        <v>136</v>
      </c>
      <c r="TX3" s="3">
        <v>137</v>
      </c>
      <c r="TY3" s="3">
        <v>138</v>
      </c>
      <c r="TZ3" s="3">
        <v>139</v>
      </c>
      <c r="UA3" s="3">
        <v>140</v>
      </c>
      <c r="UB3" s="3">
        <v>141</v>
      </c>
      <c r="UC3" s="3">
        <v>142</v>
      </c>
      <c r="UD3" s="3">
        <v>143</v>
      </c>
      <c r="UE3" s="3">
        <v>144</v>
      </c>
      <c r="UF3" s="3">
        <v>145</v>
      </c>
      <c r="UG3" s="3">
        <v>146</v>
      </c>
      <c r="UH3" s="3">
        <v>147</v>
      </c>
      <c r="UI3" s="3">
        <v>148</v>
      </c>
      <c r="UJ3" s="3">
        <v>149</v>
      </c>
      <c r="UK3" s="3">
        <v>150</v>
      </c>
      <c r="UL3" s="3">
        <v>150</v>
      </c>
      <c r="UM3" s="3">
        <v>151</v>
      </c>
      <c r="UN3" s="3">
        <v>152</v>
      </c>
      <c r="UO3" s="3">
        <v>153</v>
      </c>
      <c r="UP3" s="3">
        <v>154</v>
      </c>
      <c r="UQ3" s="3">
        <v>155</v>
      </c>
      <c r="UR3" s="3">
        <v>156</v>
      </c>
      <c r="US3" s="3">
        <v>157</v>
      </c>
      <c r="UT3" s="3">
        <v>158</v>
      </c>
      <c r="UU3" s="3">
        <v>159</v>
      </c>
      <c r="UV3" s="3">
        <v>160</v>
      </c>
      <c r="UW3" s="3">
        <v>161</v>
      </c>
      <c r="UX3" s="3">
        <v>162</v>
      </c>
      <c r="UY3" s="3">
        <v>163</v>
      </c>
      <c r="UZ3" s="3">
        <v>164</v>
      </c>
      <c r="VA3" s="3">
        <v>165</v>
      </c>
      <c r="VB3" s="3">
        <v>166</v>
      </c>
      <c r="VC3" s="3">
        <v>167</v>
      </c>
      <c r="VD3" s="3">
        <v>168</v>
      </c>
      <c r="VE3" s="3">
        <v>168</v>
      </c>
      <c r="VF3" s="3">
        <v>169</v>
      </c>
      <c r="VG3" s="3">
        <v>169</v>
      </c>
      <c r="VH3" s="3">
        <v>169</v>
      </c>
      <c r="VI3" s="3">
        <v>169</v>
      </c>
      <c r="VJ3" s="3">
        <v>169</v>
      </c>
      <c r="VK3" s="3">
        <v>169</v>
      </c>
      <c r="VL3" s="3">
        <v>169</v>
      </c>
      <c r="VM3" s="3">
        <v>169</v>
      </c>
      <c r="VN3" s="3">
        <v>169</v>
      </c>
      <c r="VO3" s="3">
        <v>170</v>
      </c>
      <c r="VP3" s="3">
        <v>170</v>
      </c>
      <c r="VQ3" s="3">
        <v>170</v>
      </c>
      <c r="VR3" s="3">
        <v>170</v>
      </c>
      <c r="VS3" s="3">
        <v>170</v>
      </c>
      <c r="VT3" s="3">
        <v>170</v>
      </c>
      <c r="VU3" s="3">
        <v>170</v>
      </c>
      <c r="VV3" s="3">
        <v>170</v>
      </c>
      <c r="VW3" s="3">
        <v>170</v>
      </c>
      <c r="VX3" s="3">
        <v>170</v>
      </c>
      <c r="VY3" s="3">
        <v>170</v>
      </c>
      <c r="VZ3" s="3">
        <v>170</v>
      </c>
      <c r="WA3" s="3">
        <v>170</v>
      </c>
      <c r="WB3" s="3">
        <v>169</v>
      </c>
      <c r="WC3" s="3">
        <v>170</v>
      </c>
      <c r="WD3" s="3">
        <v>171</v>
      </c>
      <c r="WE3" s="3">
        <v>171</v>
      </c>
      <c r="WF3" s="3">
        <v>172</v>
      </c>
      <c r="WG3" s="3">
        <v>173</v>
      </c>
      <c r="WH3" s="3">
        <v>174</v>
      </c>
      <c r="WI3" s="3">
        <v>175</v>
      </c>
      <c r="WJ3" s="3">
        <v>176</v>
      </c>
      <c r="WK3" s="3">
        <v>177</v>
      </c>
      <c r="WL3" s="3">
        <v>178</v>
      </c>
      <c r="WM3" s="3">
        <v>179</v>
      </c>
      <c r="WN3" s="3">
        <v>180</v>
      </c>
      <c r="WO3" s="3">
        <v>181</v>
      </c>
      <c r="WP3" s="3">
        <v>182</v>
      </c>
      <c r="WQ3" s="3">
        <v>181</v>
      </c>
      <c r="WR3" s="3">
        <v>183</v>
      </c>
      <c r="WS3" s="3">
        <v>181</v>
      </c>
      <c r="WT3" s="3">
        <v>184</v>
      </c>
      <c r="WU3" s="3">
        <v>185</v>
      </c>
      <c r="WV3" s="3">
        <v>186</v>
      </c>
      <c r="WW3" s="3">
        <v>187</v>
      </c>
      <c r="WX3" s="3">
        <v>188</v>
      </c>
      <c r="WY3" s="3">
        <v>189</v>
      </c>
      <c r="WZ3" s="3">
        <v>190</v>
      </c>
      <c r="XA3" s="3">
        <v>191</v>
      </c>
      <c r="XB3" s="3">
        <v>192</v>
      </c>
      <c r="XC3" s="3">
        <v>193</v>
      </c>
      <c r="XD3" s="3">
        <v>194</v>
      </c>
      <c r="XE3" s="3">
        <v>195</v>
      </c>
      <c r="XF3" s="3">
        <v>196</v>
      </c>
      <c r="XG3" s="3">
        <v>197</v>
      </c>
      <c r="XH3" s="3">
        <v>198</v>
      </c>
      <c r="XI3" s="3">
        <v>199</v>
      </c>
      <c r="XJ3" s="3">
        <v>200</v>
      </c>
      <c r="XK3" s="3">
        <v>169</v>
      </c>
      <c r="XL3" s="3">
        <v>169</v>
      </c>
      <c r="XM3" s="3">
        <v>169</v>
      </c>
      <c r="XN3" s="3">
        <v>169</v>
      </c>
      <c r="XO3" s="3">
        <v>169</v>
      </c>
      <c r="XP3" s="3">
        <v>169</v>
      </c>
      <c r="XQ3" s="3">
        <v>169</v>
      </c>
      <c r="XR3" s="3">
        <v>169</v>
      </c>
      <c r="XS3" s="3">
        <v>169</v>
      </c>
      <c r="XT3" s="3">
        <v>170</v>
      </c>
      <c r="XU3" s="3">
        <v>170</v>
      </c>
      <c r="XV3" s="3">
        <v>170</v>
      </c>
      <c r="XW3" s="3">
        <v>170</v>
      </c>
      <c r="XX3" s="3">
        <v>170</v>
      </c>
      <c r="XY3" s="3">
        <v>170</v>
      </c>
      <c r="XZ3" s="3">
        <v>170</v>
      </c>
      <c r="YA3" s="3">
        <v>170</v>
      </c>
      <c r="YB3" s="3">
        <v>170</v>
      </c>
      <c r="YC3" s="3">
        <v>170</v>
      </c>
      <c r="YD3" s="3">
        <v>170</v>
      </c>
      <c r="YE3" s="3">
        <v>170</v>
      </c>
      <c r="YF3" s="3">
        <v>170</v>
      </c>
      <c r="YG3" s="3">
        <v>171</v>
      </c>
      <c r="YH3" s="3">
        <v>171</v>
      </c>
      <c r="YI3" s="3">
        <v>171</v>
      </c>
      <c r="YJ3" s="3">
        <v>171</v>
      </c>
      <c r="YK3" s="3">
        <v>171</v>
      </c>
      <c r="YL3" s="3">
        <v>171</v>
      </c>
      <c r="YM3" s="3">
        <v>171</v>
      </c>
      <c r="YN3" s="3">
        <v>171</v>
      </c>
      <c r="YO3" s="3">
        <v>171</v>
      </c>
      <c r="YP3" s="3">
        <v>172</v>
      </c>
      <c r="YQ3" s="3">
        <v>172</v>
      </c>
      <c r="YR3" s="3">
        <v>172</v>
      </c>
      <c r="YS3" s="3">
        <v>172</v>
      </c>
      <c r="YT3" s="3">
        <v>172</v>
      </c>
      <c r="YU3" s="3">
        <v>172</v>
      </c>
      <c r="YV3" s="3">
        <v>172</v>
      </c>
      <c r="YW3" s="3">
        <v>172</v>
      </c>
      <c r="YX3" s="3">
        <v>172</v>
      </c>
      <c r="YY3" s="3">
        <v>172</v>
      </c>
      <c r="YZ3" s="3">
        <v>172</v>
      </c>
      <c r="ZA3" s="3">
        <v>172</v>
      </c>
      <c r="ZB3" s="3">
        <v>172</v>
      </c>
      <c r="ZC3" s="3">
        <v>173</v>
      </c>
      <c r="ZD3" s="3">
        <v>173</v>
      </c>
      <c r="ZE3" s="3">
        <v>173</v>
      </c>
      <c r="ZF3" s="3">
        <v>173</v>
      </c>
      <c r="ZG3" s="3">
        <v>173</v>
      </c>
      <c r="ZH3" s="3">
        <v>173</v>
      </c>
      <c r="ZI3" s="3">
        <v>173</v>
      </c>
      <c r="ZJ3" s="3">
        <v>173</v>
      </c>
      <c r="ZK3" s="3">
        <v>173</v>
      </c>
      <c r="ZL3" s="3">
        <v>173</v>
      </c>
      <c r="ZM3" s="3">
        <v>173</v>
      </c>
      <c r="ZN3" s="3">
        <v>173</v>
      </c>
      <c r="ZO3" s="3">
        <v>173</v>
      </c>
      <c r="ZP3" s="3">
        <v>173</v>
      </c>
      <c r="ZQ3" s="3">
        <v>173</v>
      </c>
      <c r="ZR3" s="3">
        <v>173</v>
      </c>
      <c r="ZS3" s="3">
        <v>173</v>
      </c>
      <c r="ZT3" s="3">
        <v>173</v>
      </c>
      <c r="ZU3" s="3">
        <v>173</v>
      </c>
      <c r="ZV3" s="3">
        <v>173</v>
      </c>
      <c r="ZW3" s="3">
        <v>173</v>
      </c>
      <c r="ZX3" s="3">
        <v>173</v>
      </c>
      <c r="ZY3" s="3">
        <v>173</v>
      </c>
      <c r="ZZ3" s="3">
        <v>173</v>
      </c>
      <c r="AAA3" s="3">
        <v>173</v>
      </c>
      <c r="AAB3" s="3">
        <v>173</v>
      </c>
      <c r="AAC3" s="3">
        <v>173</v>
      </c>
      <c r="AAD3" s="3">
        <v>173</v>
      </c>
      <c r="AAE3" s="3">
        <v>173</v>
      </c>
      <c r="AAF3" s="3">
        <v>173</v>
      </c>
      <c r="AAG3" s="3">
        <v>173</v>
      </c>
      <c r="AAH3" s="3">
        <v>173</v>
      </c>
      <c r="AAI3" s="3">
        <v>173</v>
      </c>
      <c r="AAJ3" s="3">
        <v>173</v>
      </c>
      <c r="AAK3" s="3">
        <v>173</v>
      </c>
      <c r="AAL3" s="3">
        <v>173</v>
      </c>
      <c r="AAM3" s="3">
        <v>1</v>
      </c>
      <c r="AAN3" s="3">
        <v>174</v>
      </c>
      <c r="AAO3" s="3">
        <v>174</v>
      </c>
      <c r="AAP3" s="3">
        <v>174</v>
      </c>
      <c r="AAQ3" s="3">
        <v>174</v>
      </c>
      <c r="AAR3" s="3">
        <v>174</v>
      </c>
      <c r="AAS3" s="3">
        <v>174</v>
      </c>
      <c r="AAT3" s="3">
        <v>174</v>
      </c>
      <c r="AAU3" s="3">
        <v>174</v>
      </c>
      <c r="AAV3" s="3">
        <v>174</v>
      </c>
      <c r="AAW3" s="3">
        <v>174</v>
      </c>
      <c r="AAX3" s="3">
        <v>174</v>
      </c>
      <c r="AAY3" s="3">
        <v>1</v>
      </c>
      <c r="AAZ3" s="3">
        <v>175</v>
      </c>
      <c r="ABA3" s="3">
        <v>175</v>
      </c>
      <c r="ABB3" s="3">
        <v>175</v>
      </c>
      <c r="ABC3" s="3">
        <v>175</v>
      </c>
      <c r="ABD3" s="3">
        <v>175</v>
      </c>
      <c r="ABE3" s="3">
        <v>175</v>
      </c>
      <c r="ABF3" s="3">
        <v>175</v>
      </c>
      <c r="ABG3" s="3">
        <v>175</v>
      </c>
      <c r="ABH3" s="3">
        <v>175</v>
      </c>
      <c r="ABI3" s="3">
        <v>175</v>
      </c>
      <c r="ABJ3" s="3">
        <v>201</v>
      </c>
      <c r="ABK3" s="3">
        <v>202</v>
      </c>
      <c r="ABL3" s="3">
        <v>176</v>
      </c>
      <c r="ABM3" s="3">
        <v>177</v>
      </c>
      <c r="ABN3" s="3">
        <v>178</v>
      </c>
      <c r="ABO3" s="3">
        <v>179</v>
      </c>
      <c r="ABP3" s="3">
        <v>180</v>
      </c>
      <c r="ABQ3" s="3">
        <v>181</v>
      </c>
      <c r="ABR3" s="3">
        <v>182</v>
      </c>
      <c r="ABS3" s="3">
        <v>183</v>
      </c>
      <c r="ABT3" s="3">
        <v>184</v>
      </c>
      <c r="ABU3" s="3">
        <v>185</v>
      </c>
      <c r="ABV3" s="3">
        <v>186</v>
      </c>
      <c r="ABW3" s="3">
        <v>187</v>
      </c>
      <c r="ABX3" s="3">
        <v>188</v>
      </c>
      <c r="ABY3" s="3">
        <v>189</v>
      </c>
      <c r="ABZ3" s="3">
        <v>190</v>
      </c>
      <c r="ACA3" s="3">
        <v>191</v>
      </c>
      <c r="ACB3" s="3">
        <v>192</v>
      </c>
      <c r="ACC3" s="3">
        <v>193</v>
      </c>
      <c r="ACD3" s="3">
        <v>195</v>
      </c>
      <c r="ACE3" s="3">
        <v>197</v>
      </c>
      <c r="ACF3" s="3">
        <v>197</v>
      </c>
      <c r="ACG3" s="3">
        <v>198</v>
      </c>
      <c r="ACH3" s="3">
        <v>198</v>
      </c>
      <c r="ACI3" s="3">
        <v>199</v>
      </c>
      <c r="ACJ3" s="3">
        <v>199</v>
      </c>
      <c r="ACK3" s="3">
        <v>199</v>
      </c>
      <c r="ACL3" s="3">
        <v>199</v>
      </c>
      <c r="ACM3" s="3">
        <v>199</v>
      </c>
      <c r="ACN3" s="3">
        <v>199</v>
      </c>
      <c r="ACO3" s="3">
        <v>199</v>
      </c>
      <c r="ACP3" s="3">
        <v>199</v>
      </c>
      <c r="ACQ3" s="3">
        <v>199</v>
      </c>
      <c r="ACR3" s="3">
        <v>200</v>
      </c>
      <c r="ACS3" s="3">
        <v>200</v>
      </c>
      <c r="ACT3" s="3">
        <v>200</v>
      </c>
      <c r="ACU3" s="3">
        <v>200</v>
      </c>
      <c r="ACV3" s="3">
        <v>200</v>
      </c>
      <c r="ACW3" s="3">
        <v>200</v>
      </c>
      <c r="ACX3" s="3">
        <v>200</v>
      </c>
      <c r="ACY3" s="3">
        <v>200</v>
      </c>
      <c r="ACZ3" s="3">
        <v>200</v>
      </c>
      <c r="ADA3" s="3">
        <v>200</v>
      </c>
      <c r="ADB3" s="3">
        <v>200</v>
      </c>
      <c r="ADC3" s="3">
        <v>200</v>
      </c>
      <c r="ADD3" s="3">
        <v>200</v>
      </c>
      <c r="ADE3" s="3">
        <v>201</v>
      </c>
      <c r="ADF3" s="3">
        <v>202</v>
      </c>
      <c r="ADG3" s="3">
        <v>203</v>
      </c>
      <c r="ADH3" s="3">
        <v>204</v>
      </c>
      <c r="ADI3" s="3">
        <v>1</v>
      </c>
      <c r="ADJ3" s="3">
        <v>175</v>
      </c>
      <c r="ADK3" s="3">
        <v>175</v>
      </c>
      <c r="ADL3" s="3">
        <v>175</v>
      </c>
      <c r="ADM3" s="3">
        <v>175</v>
      </c>
      <c r="ADN3" s="3">
        <v>175</v>
      </c>
      <c r="ADO3" s="3">
        <v>175</v>
      </c>
      <c r="ADP3" s="3">
        <v>175</v>
      </c>
      <c r="ADQ3" s="3">
        <v>175</v>
      </c>
      <c r="ADR3" s="3">
        <v>175</v>
      </c>
      <c r="ADS3" s="3">
        <v>175</v>
      </c>
      <c r="ADT3" s="3">
        <v>201</v>
      </c>
      <c r="ADU3" s="3">
        <v>202</v>
      </c>
      <c r="ADV3" s="3">
        <v>176</v>
      </c>
      <c r="ADW3" s="3">
        <v>177</v>
      </c>
      <c r="ADX3" s="3">
        <v>178</v>
      </c>
      <c r="ADY3" s="3">
        <v>179</v>
      </c>
      <c r="ADZ3" s="3">
        <v>180</v>
      </c>
      <c r="AEA3" s="3">
        <v>181</v>
      </c>
      <c r="AEB3" s="3">
        <v>182</v>
      </c>
      <c r="AEC3" s="3">
        <v>183</v>
      </c>
      <c r="AED3" s="3">
        <v>184</v>
      </c>
      <c r="AEE3" s="3">
        <v>185</v>
      </c>
      <c r="AEF3" s="3">
        <v>186</v>
      </c>
      <c r="AEG3" s="3">
        <v>187</v>
      </c>
      <c r="AEH3" s="3">
        <v>188</v>
      </c>
      <c r="AEI3" s="3">
        <v>189</v>
      </c>
      <c r="AEJ3" s="3">
        <v>190</v>
      </c>
      <c r="AEK3" s="3">
        <v>191</v>
      </c>
      <c r="AEL3" s="3">
        <v>192</v>
      </c>
      <c r="AEM3" s="3">
        <v>193</v>
      </c>
      <c r="AEN3" s="3">
        <v>195</v>
      </c>
      <c r="AEO3" s="3">
        <v>197</v>
      </c>
      <c r="AEP3" s="3">
        <v>197</v>
      </c>
      <c r="AEQ3" s="3">
        <v>198</v>
      </c>
      <c r="AER3" s="3">
        <v>198</v>
      </c>
      <c r="AES3" s="3">
        <v>199</v>
      </c>
      <c r="AET3" s="3">
        <v>199</v>
      </c>
      <c r="AEU3" s="3">
        <v>199</v>
      </c>
      <c r="AEV3" s="3">
        <v>199</v>
      </c>
      <c r="AEW3" s="3">
        <v>199</v>
      </c>
      <c r="AEX3" s="3">
        <v>199</v>
      </c>
      <c r="AEY3" s="3">
        <v>199</v>
      </c>
      <c r="AEZ3" s="3">
        <v>199</v>
      </c>
      <c r="AFA3" s="3">
        <v>199</v>
      </c>
      <c r="AFB3" s="3">
        <v>200</v>
      </c>
      <c r="AFC3" s="3">
        <v>200</v>
      </c>
      <c r="AFD3" s="3">
        <v>200</v>
      </c>
      <c r="AFE3" s="3">
        <v>200</v>
      </c>
      <c r="AFF3" s="3">
        <v>200</v>
      </c>
      <c r="AFG3" s="3">
        <v>200</v>
      </c>
      <c r="AFH3" s="3">
        <v>200</v>
      </c>
      <c r="AFI3" s="3">
        <v>200</v>
      </c>
      <c r="AFJ3" s="3">
        <v>200</v>
      </c>
      <c r="AFK3" s="3">
        <v>200</v>
      </c>
      <c r="AFL3" s="3">
        <v>200</v>
      </c>
      <c r="AFM3" s="3">
        <v>200</v>
      </c>
      <c r="AFN3" s="3">
        <v>200</v>
      </c>
      <c r="AFO3" s="3">
        <v>201</v>
      </c>
      <c r="AFP3" s="3">
        <v>202</v>
      </c>
      <c r="AFQ3" s="3">
        <v>203</v>
      </c>
      <c r="AFR3" s="3">
        <v>204</v>
      </c>
      <c r="AFS3" s="3">
        <v>1</v>
      </c>
      <c r="AFT3" s="3">
        <v>175</v>
      </c>
      <c r="AFU3" s="3">
        <v>175</v>
      </c>
      <c r="AFV3" s="3">
        <v>175</v>
      </c>
      <c r="AFW3" s="3">
        <v>175</v>
      </c>
      <c r="AFX3" s="3">
        <v>175</v>
      </c>
      <c r="AFY3" s="3">
        <v>175</v>
      </c>
      <c r="AFZ3" s="3">
        <v>175</v>
      </c>
      <c r="AGA3" s="3">
        <v>175</v>
      </c>
      <c r="AGB3" s="3">
        <v>175</v>
      </c>
      <c r="AGC3" s="3">
        <v>175</v>
      </c>
      <c r="AGD3" s="3">
        <v>175</v>
      </c>
      <c r="AGE3" s="3">
        <v>176</v>
      </c>
      <c r="AGF3" s="3">
        <v>176</v>
      </c>
      <c r="AGG3" s="3">
        <v>176</v>
      </c>
      <c r="AGH3" s="3">
        <v>177</v>
      </c>
      <c r="AGI3" s="3">
        <v>177</v>
      </c>
      <c r="AGJ3" s="3">
        <v>177</v>
      </c>
      <c r="AGK3" s="3">
        <v>177</v>
      </c>
      <c r="AGL3" s="3">
        <v>177</v>
      </c>
      <c r="AGM3" s="3">
        <v>177</v>
      </c>
      <c r="AGN3" s="3">
        <v>177</v>
      </c>
      <c r="AGO3" s="3">
        <v>177</v>
      </c>
      <c r="AGP3" s="3">
        <v>177</v>
      </c>
      <c r="AGQ3" s="3">
        <v>178</v>
      </c>
      <c r="AGR3" s="3">
        <v>178</v>
      </c>
      <c r="AGS3" s="3">
        <v>178</v>
      </c>
      <c r="AGT3" s="3">
        <v>178</v>
      </c>
      <c r="AGU3" s="3">
        <v>178</v>
      </c>
      <c r="AGV3" s="3">
        <v>178</v>
      </c>
      <c r="AGW3" s="3">
        <v>178</v>
      </c>
      <c r="AGX3" s="3">
        <v>178</v>
      </c>
      <c r="AGY3" s="3">
        <v>178</v>
      </c>
      <c r="AGZ3" s="3">
        <v>179</v>
      </c>
      <c r="AHA3" s="3">
        <v>179</v>
      </c>
      <c r="AHB3" s="3">
        <v>179</v>
      </c>
      <c r="AHC3" s="3">
        <v>179</v>
      </c>
      <c r="AHD3" s="3">
        <v>179</v>
      </c>
      <c r="AHE3" s="3">
        <v>179</v>
      </c>
      <c r="AHF3" s="3">
        <v>179</v>
      </c>
      <c r="AHG3" s="3">
        <v>179</v>
      </c>
      <c r="AHH3" s="3">
        <v>179</v>
      </c>
      <c r="AHI3" s="3">
        <v>179</v>
      </c>
      <c r="AHJ3" s="3">
        <v>179</v>
      </c>
      <c r="AHK3" s="3">
        <v>179</v>
      </c>
      <c r="AHL3" s="3">
        <v>179</v>
      </c>
      <c r="AHM3" s="3">
        <v>180</v>
      </c>
      <c r="AHN3" s="3">
        <v>180</v>
      </c>
      <c r="AHO3" s="3">
        <v>180</v>
      </c>
      <c r="AHP3" s="3">
        <v>180</v>
      </c>
      <c r="AHQ3" s="3">
        <v>180</v>
      </c>
      <c r="AHR3" s="3">
        <v>180</v>
      </c>
      <c r="AHS3" s="3">
        <v>180</v>
      </c>
      <c r="AHT3" s="3">
        <v>180</v>
      </c>
      <c r="AHU3" s="3">
        <v>180</v>
      </c>
      <c r="AHV3" s="3">
        <v>180</v>
      </c>
      <c r="AHW3" s="3">
        <v>180</v>
      </c>
      <c r="AHX3" s="3">
        <v>180</v>
      </c>
      <c r="AHY3" s="3">
        <v>180</v>
      </c>
      <c r="AHZ3" s="3">
        <v>181</v>
      </c>
      <c r="AIA3" s="3">
        <v>181</v>
      </c>
      <c r="AIB3" s="3">
        <v>181</v>
      </c>
      <c r="AIC3" s="3">
        <v>181</v>
      </c>
      <c r="AID3" s="3">
        <v>181</v>
      </c>
      <c r="AIE3" s="3">
        <v>181</v>
      </c>
      <c r="AIF3" s="3">
        <v>181</v>
      </c>
      <c r="AIG3" s="3">
        <v>181</v>
      </c>
      <c r="AIH3" s="3">
        <v>181</v>
      </c>
      <c r="AII3" s="3">
        <v>182</v>
      </c>
      <c r="AIJ3" s="3">
        <v>182</v>
      </c>
      <c r="AIK3" s="3">
        <v>182</v>
      </c>
      <c r="AIL3" s="3">
        <v>182</v>
      </c>
      <c r="AIM3" s="3">
        <v>182</v>
      </c>
      <c r="AIN3" s="3">
        <v>182</v>
      </c>
      <c r="AIO3" s="3">
        <v>182</v>
      </c>
      <c r="AIP3" s="3">
        <v>182</v>
      </c>
      <c r="AIQ3" s="3">
        <v>182</v>
      </c>
      <c r="AIR3" s="3">
        <v>183</v>
      </c>
      <c r="AIS3" s="3">
        <v>184</v>
      </c>
      <c r="AIT3" s="3">
        <v>185</v>
      </c>
      <c r="AIU3" s="3">
        <v>186</v>
      </c>
      <c r="AIV3" s="3">
        <v>187</v>
      </c>
      <c r="AIW3" s="3">
        <v>187</v>
      </c>
      <c r="AIX3" s="3">
        <v>187</v>
      </c>
      <c r="AIY3" s="3">
        <v>187</v>
      </c>
      <c r="AIZ3" s="3">
        <v>187</v>
      </c>
      <c r="AJA3" s="3">
        <v>187</v>
      </c>
      <c r="AJB3" s="3">
        <v>187</v>
      </c>
      <c r="AJC3" s="3">
        <v>187</v>
      </c>
      <c r="AJD3" s="3">
        <v>187</v>
      </c>
      <c r="AJE3" s="3">
        <v>187</v>
      </c>
      <c r="AJF3" s="3">
        <v>187</v>
      </c>
      <c r="AJG3" s="3"/>
      <c r="AJH3" s="3"/>
      <c r="AJI3" s="3"/>
      <c r="AJJ3" s="3"/>
      <c r="AJK3" s="3"/>
      <c r="AJL3" s="3"/>
      <c r="AJM3" s="3"/>
      <c r="AJN3" s="3"/>
      <c r="AJO3" s="3"/>
      <c r="AJP3" s="3"/>
      <c r="AJQ3" s="3"/>
      <c r="AJR3" s="3"/>
      <c r="AJS3" s="3"/>
      <c r="AJT3" s="3"/>
      <c r="AJU3" s="3"/>
      <c r="AJV3" s="3"/>
      <c r="AJW3" s="3"/>
      <c r="AJX3" s="3"/>
      <c r="AJY3" s="3"/>
      <c r="AJZ3" s="3"/>
      <c r="AKA3" s="3"/>
      <c r="AKB3" s="3"/>
      <c r="AKC3" s="3"/>
      <c r="AKD3" s="3"/>
      <c r="AKE3" s="3"/>
      <c r="AKF3" s="3"/>
      <c r="AKG3" s="3"/>
      <c r="AKH3" s="3"/>
      <c r="AKI3" s="3"/>
      <c r="AKJ3" s="3"/>
      <c r="AKK3" s="3"/>
      <c r="AKL3" s="3"/>
      <c r="AKM3" s="3"/>
      <c r="AKN3" s="3"/>
      <c r="AKO3" s="3"/>
      <c r="AKP3" s="3"/>
      <c r="AKQ3" s="3"/>
      <c r="AKR3" s="3"/>
      <c r="AKS3" s="3"/>
      <c r="AKT3" s="3"/>
      <c r="AKU3" s="3"/>
      <c r="AKV3" s="3"/>
      <c r="AKW3" s="3"/>
      <c r="AKX3" s="3"/>
      <c r="AKY3" s="3"/>
      <c r="AKZ3" s="3"/>
      <c r="ALA3" s="3"/>
      <c r="ALB3" s="3"/>
      <c r="ALC3" s="3"/>
      <c r="ALD3" s="3"/>
      <c r="ALE3" s="3"/>
      <c r="ALF3" s="3"/>
      <c r="ALG3" s="3"/>
      <c r="ALH3" s="3"/>
      <c r="ALI3" s="3"/>
      <c r="ALJ3" s="3"/>
      <c r="ALK3" s="3"/>
      <c r="ALL3" s="3"/>
      <c r="ALM3" s="3"/>
      <c r="ALN3" s="3"/>
      <c r="ALO3" s="3"/>
      <c r="ALP3" s="3"/>
      <c r="ALQ3" s="3"/>
      <c r="ALR3" s="3"/>
      <c r="ALS3" s="3"/>
      <c r="ALT3" s="3"/>
      <c r="ALU3" s="3"/>
      <c r="ALV3" s="3"/>
      <c r="ALW3" s="3"/>
      <c r="ALX3" s="3"/>
      <c r="ALY3" s="3"/>
      <c r="ALZ3" s="3"/>
      <c r="AMA3" s="3"/>
      <c r="AMB3" s="3"/>
      <c r="AMC3" s="3"/>
      <c r="AMD3" s="3"/>
      <c r="AME3" s="3"/>
      <c r="AMF3" s="3"/>
      <c r="AMG3" s="3"/>
      <c r="AMH3" s="3"/>
      <c r="AMI3" s="3"/>
      <c r="AMJ3" s="3"/>
      <c r="AMK3" s="3"/>
      <c r="AML3" s="3"/>
      <c r="AMM3" s="3"/>
      <c r="AMN3" s="3"/>
      <c r="AMO3" s="3"/>
      <c r="AMP3" s="3"/>
      <c r="AMQ3" s="3"/>
      <c r="AMR3" s="3"/>
      <c r="AMS3" s="3"/>
      <c r="AMT3" s="3"/>
      <c r="AMU3" s="3"/>
      <c r="AMV3" s="3"/>
      <c r="AMW3" s="3"/>
      <c r="AMX3" s="3"/>
      <c r="AMY3" s="3"/>
      <c r="AMZ3" s="3"/>
      <c r="ANA3" s="3"/>
      <c r="ANB3" s="3"/>
      <c r="ANC3" s="3"/>
      <c r="AND3" s="3"/>
      <c r="ANE3" s="3"/>
      <c r="ANF3" s="3"/>
      <c r="ANG3" s="3"/>
      <c r="ANH3" s="3"/>
      <c r="ANI3" s="3"/>
      <c r="ANJ3" s="3"/>
      <c r="ANK3" s="3"/>
      <c r="ANL3" s="3"/>
      <c r="ANM3" s="3"/>
      <c r="ANN3" s="3"/>
      <c r="ANO3" s="3"/>
      <c r="ANP3" s="3"/>
      <c r="ANQ3" s="3"/>
      <c r="ANR3" s="3"/>
      <c r="ANS3" s="3"/>
      <c r="ANT3" s="3"/>
      <c r="ANU3" s="3"/>
      <c r="ANV3" s="3"/>
      <c r="ANW3" s="3"/>
      <c r="ANX3" s="3"/>
      <c r="ANY3" s="3"/>
      <c r="ANZ3" s="3"/>
      <c r="AOA3" s="3"/>
      <c r="AOB3" s="3"/>
      <c r="AOC3" s="3"/>
      <c r="AOD3" s="3"/>
      <c r="AOE3" s="3"/>
      <c r="AOF3" s="3"/>
      <c r="AOG3" s="3"/>
      <c r="AOH3" s="3"/>
      <c r="AOI3" s="3"/>
      <c r="AOJ3" s="3"/>
      <c r="AOK3" s="3"/>
      <c r="AOL3" s="3"/>
      <c r="AOM3" s="3"/>
      <c r="AON3" s="3"/>
      <c r="AOO3" s="3"/>
      <c r="AOP3" s="3"/>
      <c r="AOQ3" s="3"/>
      <c r="AOR3" s="3"/>
      <c r="AOS3" s="3"/>
      <c r="AOT3" s="3"/>
      <c r="AOU3" s="3"/>
      <c r="AOV3" s="3"/>
      <c r="AOW3" s="3"/>
      <c r="AOX3" s="3"/>
      <c r="AOY3" s="3"/>
      <c r="AOZ3" s="3"/>
      <c r="APA3" s="3"/>
      <c r="APB3" s="3"/>
      <c r="APC3" s="3"/>
      <c r="APD3" s="3"/>
      <c r="APE3" s="3"/>
      <c r="APF3" s="3"/>
      <c r="APG3" s="3"/>
      <c r="APH3" s="3"/>
      <c r="API3" s="3"/>
      <c r="APJ3" s="3"/>
      <c r="APK3" s="3"/>
      <c r="APL3" s="3"/>
      <c r="APM3" s="3"/>
      <c r="APN3" s="3"/>
      <c r="APO3" s="3"/>
      <c r="APP3" s="3"/>
      <c r="APQ3" s="3"/>
      <c r="APR3" s="3"/>
      <c r="APS3" s="3"/>
      <c r="APT3" s="3"/>
      <c r="APU3" s="3"/>
      <c r="APV3" s="3"/>
      <c r="APW3" s="3"/>
      <c r="APX3" s="3"/>
      <c r="APY3" s="3"/>
      <c r="APZ3" s="3"/>
      <c r="AQA3" s="3"/>
      <c r="AQB3" s="3"/>
      <c r="AQC3" s="3"/>
    </row>
    <row r="5" spans="1:1121" x14ac:dyDescent="0.25">
      <c r="A5" t="s">
        <v>628</v>
      </c>
    </row>
    <row r="6" spans="1:1121" s="14" customFormat="1" ht="15" customHeight="1" x14ac:dyDescent="0.25">
      <c r="A6" s="3" t="s">
        <v>4</v>
      </c>
      <c r="B6" s="30" t="s">
        <v>8</v>
      </c>
      <c r="C6" s="3">
        <v>1</v>
      </c>
      <c r="D6" s="3">
        <v>2</v>
      </c>
      <c r="E6" s="3">
        <v>2</v>
      </c>
      <c r="F6" s="3">
        <v>2</v>
      </c>
      <c r="G6" s="3">
        <v>2</v>
      </c>
      <c r="H6" s="3">
        <v>2</v>
      </c>
      <c r="I6" s="3">
        <v>2</v>
      </c>
      <c r="J6" s="3">
        <v>1</v>
      </c>
      <c r="K6" s="3">
        <v>3</v>
      </c>
      <c r="L6" s="3">
        <v>3</v>
      </c>
      <c r="M6" s="3">
        <v>3</v>
      </c>
      <c r="N6" s="3">
        <v>3</v>
      </c>
      <c r="O6" s="3">
        <v>3</v>
      </c>
      <c r="P6" s="3">
        <v>3</v>
      </c>
      <c r="Q6" s="3">
        <v>1</v>
      </c>
      <c r="R6" s="3">
        <v>4</v>
      </c>
      <c r="S6" s="3">
        <v>4</v>
      </c>
      <c r="T6" s="3">
        <v>4</v>
      </c>
      <c r="U6" s="3">
        <v>4</v>
      </c>
      <c r="V6" s="3">
        <v>4</v>
      </c>
      <c r="W6" s="3">
        <v>4</v>
      </c>
      <c r="X6" s="3">
        <v>1</v>
      </c>
      <c r="Y6" s="3">
        <v>5</v>
      </c>
      <c r="Z6" s="3">
        <v>5</v>
      </c>
      <c r="AA6" s="3">
        <v>5</v>
      </c>
      <c r="AB6" s="3">
        <v>5</v>
      </c>
      <c r="AC6" s="3">
        <v>5</v>
      </c>
      <c r="AD6" s="3">
        <v>5</v>
      </c>
      <c r="AE6" s="3">
        <v>1</v>
      </c>
      <c r="AF6" s="3">
        <v>6</v>
      </c>
      <c r="AG6" s="3">
        <v>6</v>
      </c>
      <c r="AH6" s="3">
        <v>6</v>
      </c>
      <c r="AI6" s="3">
        <v>6</v>
      </c>
      <c r="AJ6" s="3">
        <v>6</v>
      </c>
      <c r="AK6" s="3">
        <v>6</v>
      </c>
      <c r="AL6" s="3">
        <v>1</v>
      </c>
      <c r="AM6" s="3">
        <v>7</v>
      </c>
      <c r="AN6" s="3">
        <v>7</v>
      </c>
      <c r="AO6" s="3">
        <v>7</v>
      </c>
      <c r="AP6" s="3">
        <v>7</v>
      </c>
      <c r="AQ6" s="3">
        <v>7</v>
      </c>
      <c r="AR6" s="3">
        <v>7</v>
      </c>
      <c r="AS6" s="3">
        <v>7</v>
      </c>
      <c r="AT6" s="3">
        <v>7</v>
      </c>
      <c r="AU6" s="3">
        <v>7</v>
      </c>
      <c r="AV6" s="3">
        <v>7</v>
      </c>
      <c r="AW6" s="3">
        <v>7</v>
      </c>
      <c r="AX6" s="3">
        <v>7</v>
      </c>
      <c r="AY6" s="3">
        <v>7</v>
      </c>
      <c r="AZ6" s="3">
        <v>7</v>
      </c>
      <c r="BA6" s="3">
        <v>7</v>
      </c>
      <c r="BB6" s="3">
        <v>7</v>
      </c>
      <c r="BC6" s="3">
        <v>7</v>
      </c>
      <c r="BD6" s="3">
        <v>7</v>
      </c>
      <c r="BE6" s="3">
        <v>7</v>
      </c>
      <c r="BF6" s="3">
        <v>7</v>
      </c>
      <c r="BG6" s="3">
        <v>7</v>
      </c>
      <c r="BH6" s="3">
        <v>7</v>
      </c>
      <c r="BI6" s="3">
        <v>7</v>
      </c>
      <c r="BJ6" s="3">
        <v>7</v>
      </c>
      <c r="BK6" s="3">
        <v>7</v>
      </c>
      <c r="BL6" s="3">
        <v>7</v>
      </c>
      <c r="BM6" s="3">
        <v>7</v>
      </c>
      <c r="BN6" s="3">
        <v>7</v>
      </c>
      <c r="BO6" s="3">
        <v>7</v>
      </c>
      <c r="BP6" s="3">
        <v>7</v>
      </c>
      <c r="BQ6" s="3">
        <v>7</v>
      </c>
      <c r="BR6" s="3">
        <v>7</v>
      </c>
      <c r="BS6" s="3">
        <v>7</v>
      </c>
      <c r="BT6" s="3">
        <v>7</v>
      </c>
      <c r="BU6" s="3">
        <v>7</v>
      </c>
      <c r="BV6" s="3">
        <v>7</v>
      </c>
      <c r="BW6" s="3">
        <v>7</v>
      </c>
      <c r="BX6" s="3">
        <v>7</v>
      </c>
      <c r="BY6" s="3">
        <v>7</v>
      </c>
      <c r="BZ6" s="3">
        <v>7</v>
      </c>
      <c r="CA6" s="3">
        <v>7</v>
      </c>
      <c r="CB6" s="3">
        <v>7</v>
      </c>
      <c r="CC6" s="3">
        <v>7</v>
      </c>
      <c r="CD6" s="3">
        <v>7</v>
      </c>
      <c r="CE6" s="3">
        <v>7</v>
      </c>
      <c r="CF6" s="3">
        <v>7</v>
      </c>
      <c r="CG6" s="3">
        <v>7</v>
      </c>
      <c r="CH6" s="3">
        <v>7</v>
      </c>
      <c r="CI6" s="3">
        <v>7</v>
      </c>
      <c r="CJ6" s="3">
        <v>7</v>
      </c>
      <c r="CK6" s="3">
        <v>7</v>
      </c>
      <c r="CL6" s="3">
        <v>7</v>
      </c>
      <c r="CM6" s="3">
        <v>7</v>
      </c>
      <c r="CN6" s="3">
        <v>7</v>
      </c>
      <c r="CO6" s="3">
        <v>7</v>
      </c>
      <c r="CP6" s="3">
        <v>7</v>
      </c>
      <c r="CQ6" s="3">
        <v>7</v>
      </c>
      <c r="CR6" s="3">
        <v>7</v>
      </c>
      <c r="CS6" s="3">
        <v>7</v>
      </c>
      <c r="CT6" s="3">
        <v>7</v>
      </c>
      <c r="CU6" s="3">
        <v>7</v>
      </c>
      <c r="CV6" s="3">
        <v>7</v>
      </c>
      <c r="CW6" s="3">
        <v>7</v>
      </c>
      <c r="CX6" s="3">
        <v>7</v>
      </c>
      <c r="CY6" s="3">
        <v>7</v>
      </c>
      <c r="CZ6" s="3">
        <v>7</v>
      </c>
      <c r="DA6" s="3">
        <v>7</v>
      </c>
      <c r="DB6" s="3">
        <v>7</v>
      </c>
      <c r="DC6" s="3">
        <v>7</v>
      </c>
      <c r="DD6" s="3">
        <v>7</v>
      </c>
      <c r="DE6" s="3">
        <v>7</v>
      </c>
      <c r="DF6" s="3">
        <v>7</v>
      </c>
      <c r="DG6" s="3">
        <v>7</v>
      </c>
      <c r="DH6" s="3">
        <v>7</v>
      </c>
      <c r="DI6" s="3">
        <v>7</v>
      </c>
      <c r="DJ6" s="3">
        <v>7</v>
      </c>
      <c r="DK6" s="3">
        <v>7</v>
      </c>
      <c r="DL6" s="3">
        <v>7</v>
      </c>
      <c r="DM6" s="3">
        <v>7</v>
      </c>
      <c r="DN6" s="3">
        <v>7</v>
      </c>
      <c r="DO6" s="3">
        <v>7</v>
      </c>
      <c r="DP6" s="3">
        <v>7</v>
      </c>
      <c r="DQ6" s="3">
        <v>7</v>
      </c>
      <c r="DR6" s="3">
        <v>7</v>
      </c>
      <c r="DS6" s="3">
        <v>7</v>
      </c>
      <c r="DT6" s="3">
        <v>7</v>
      </c>
      <c r="DU6" s="3">
        <v>7</v>
      </c>
      <c r="DV6" s="3">
        <v>7</v>
      </c>
      <c r="DW6" s="3">
        <v>7</v>
      </c>
      <c r="DX6" s="3">
        <v>7</v>
      </c>
      <c r="DY6" s="3">
        <v>7</v>
      </c>
      <c r="DZ6" s="3">
        <v>7</v>
      </c>
      <c r="EA6" s="3">
        <v>7</v>
      </c>
      <c r="EB6" s="3">
        <v>7</v>
      </c>
      <c r="EC6" s="3">
        <v>7</v>
      </c>
      <c r="ED6" s="3">
        <v>7</v>
      </c>
      <c r="EE6" s="3">
        <v>7</v>
      </c>
      <c r="EF6" s="3">
        <v>7</v>
      </c>
      <c r="EG6" s="3">
        <v>7</v>
      </c>
      <c r="EH6" s="3">
        <v>7</v>
      </c>
      <c r="EI6" s="3">
        <v>7</v>
      </c>
      <c r="EJ6" s="3">
        <v>7</v>
      </c>
      <c r="EK6" s="3">
        <v>7</v>
      </c>
      <c r="EL6" s="3">
        <v>7</v>
      </c>
      <c r="EM6" s="3">
        <v>7</v>
      </c>
      <c r="EN6" s="3">
        <v>7</v>
      </c>
      <c r="EO6" s="3">
        <v>7</v>
      </c>
      <c r="EP6" s="3">
        <v>7</v>
      </c>
      <c r="EQ6" s="3">
        <v>7</v>
      </c>
      <c r="ER6" s="3">
        <v>7</v>
      </c>
      <c r="ES6" s="3">
        <v>7</v>
      </c>
      <c r="ET6" s="3">
        <v>7</v>
      </c>
      <c r="EU6" s="3">
        <v>7</v>
      </c>
      <c r="EV6" s="3">
        <v>7</v>
      </c>
      <c r="EW6" s="3">
        <v>7</v>
      </c>
      <c r="EX6" s="3">
        <v>7</v>
      </c>
      <c r="EY6" s="3">
        <v>7</v>
      </c>
      <c r="EZ6" s="3">
        <v>7</v>
      </c>
      <c r="FA6" s="3">
        <v>7</v>
      </c>
      <c r="FB6" s="3">
        <v>7</v>
      </c>
      <c r="FC6" s="3">
        <v>7</v>
      </c>
      <c r="FD6" s="3">
        <v>1</v>
      </c>
      <c r="FE6" s="3">
        <v>8</v>
      </c>
      <c r="FF6" s="3">
        <v>8</v>
      </c>
      <c r="FG6" s="3">
        <v>8</v>
      </c>
      <c r="FH6" s="3">
        <v>8</v>
      </c>
      <c r="FI6" s="3">
        <v>8</v>
      </c>
      <c r="FJ6" s="3">
        <v>8</v>
      </c>
      <c r="FK6" s="3">
        <v>8</v>
      </c>
      <c r="FL6" s="3">
        <v>8</v>
      </c>
      <c r="FM6" s="3">
        <v>8</v>
      </c>
      <c r="FN6" s="3">
        <v>8</v>
      </c>
      <c r="FO6" s="3">
        <v>8</v>
      </c>
      <c r="FP6" s="3">
        <v>8</v>
      </c>
      <c r="FQ6" s="3">
        <v>8</v>
      </c>
      <c r="FR6" s="3">
        <v>8</v>
      </c>
      <c r="FS6" s="3">
        <v>8</v>
      </c>
      <c r="FT6" s="3">
        <v>8</v>
      </c>
      <c r="FU6" s="3">
        <v>8</v>
      </c>
      <c r="FV6" s="3">
        <v>8</v>
      </c>
      <c r="FW6" s="3">
        <v>8</v>
      </c>
      <c r="FX6" s="3">
        <v>8</v>
      </c>
      <c r="FY6" s="3">
        <v>8</v>
      </c>
      <c r="FZ6" s="3">
        <v>8</v>
      </c>
      <c r="GA6" s="3">
        <v>8</v>
      </c>
      <c r="GB6" s="3">
        <v>8</v>
      </c>
      <c r="GC6" s="3">
        <v>8</v>
      </c>
      <c r="GD6" s="3">
        <v>8</v>
      </c>
      <c r="GE6" s="3">
        <v>8</v>
      </c>
      <c r="GF6" s="3">
        <v>8</v>
      </c>
      <c r="GG6" s="3">
        <v>8</v>
      </c>
      <c r="GH6" s="3">
        <v>8</v>
      </c>
      <c r="GI6" s="3">
        <v>8</v>
      </c>
      <c r="GJ6" s="3">
        <v>8</v>
      </c>
      <c r="GK6" s="3">
        <v>8</v>
      </c>
      <c r="GL6" s="3">
        <v>8</v>
      </c>
      <c r="GM6" s="3">
        <v>8</v>
      </c>
      <c r="GN6" s="3">
        <v>8</v>
      </c>
      <c r="GO6" s="3">
        <v>8</v>
      </c>
      <c r="GP6" s="3">
        <v>8</v>
      </c>
      <c r="GQ6" s="3">
        <v>8</v>
      </c>
      <c r="GR6" s="3">
        <v>8</v>
      </c>
      <c r="GS6" s="3">
        <v>8</v>
      </c>
      <c r="GT6" s="3">
        <v>8</v>
      </c>
      <c r="GU6" s="3">
        <v>8</v>
      </c>
      <c r="GV6" s="3">
        <v>8</v>
      </c>
      <c r="GW6" s="3">
        <v>8</v>
      </c>
      <c r="GX6" s="3">
        <v>8</v>
      </c>
      <c r="GY6" s="3">
        <v>8</v>
      </c>
      <c r="GZ6" s="3">
        <v>8</v>
      </c>
      <c r="HA6" s="3">
        <v>8</v>
      </c>
      <c r="HB6" s="3">
        <v>8</v>
      </c>
      <c r="HC6" s="3">
        <v>8</v>
      </c>
      <c r="HD6" s="3">
        <v>8</v>
      </c>
      <c r="HE6" s="3">
        <v>8</v>
      </c>
      <c r="HF6" s="3">
        <v>8</v>
      </c>
      <c r="HG6" s="3">
        <v>8</v>
      </c>
      <c r="HH6" s="3">
        <v>8</v>
      </c>
      <c r="HI6" s="3">
        <v>8</v>
      </c>
      <c r="HJ6" s="3">
        <v>8</v>
      </c>
      <c r="HK6" s="3">
        <v>8</v>
      </c>
      <c r="HL6" s="3">
        <v>8</v>
      </c>
      <c r="HM6" s="3">
        <v>8</v>
      </c>
      <c r="HN6" s="3">
        <v>8</v>
      </c>
      <c r="HO6" s="3">
        <v>8</v>
      </c>
      <c r="HP6" s="3">
        <v>8</v>
      </c>
      <c r="HQ6" s="3">
        <v>8</v>
      </c>
      <c r="HR6" s="3">
        <v>8</v>
      </c>
      <c r="HS6" s="3">
        <v>8</v>
      </c>
      <c r="HT6" s="3">
        <v>8</v>
      </c>
      <c r="HU6" s="3">
        <v>8</v>
      </c>
      <c r="HV6" s="3">
        <v>8</v>
      </c>
      <c r="HW6" s="3">
        <v>8</v>
      </c>
      <c r="HX6" s="3">
        <v>8</v>
      </c>
      <c r="HY6" s="3">
        <v>8</v>
      </c>
      <c r="HZ6" s="3">
        <v>8</v>
      </c>
      <c r="IA6" s="3">
        <v>8</v>
      </c>
      <c r="IB6" s="3">
        <v>1</v>
      </c>
      <c r="IC6" s="3">
        <v>9</v>
      </c>
      <c r="ID6" s="3">
        <v>9</v>
      </c>
      <c r="IE6" s="3">
        <v>9</v>
      </c>
      <c r="IF6" s="3">
        <v>9</v>
      </c>
      <c r="IG6" s="3">
        <v>9</v>
      </c>
      <c r="IH6" s="3">
        <v>9</v>
      </c>
      <c r="II6" s="3">
        <v>9</v>
      </c>
      <c r="IJ6" s="3">
        <v>9</v>
      </c>
      <c r="IK6" s="3">
        <v>1</v>
      </c>
      <c r="IL6" s="3">
        <v>10</v>
      </c>
      <c r="IM6" s="3">
        <v>10</v>
      </c>
      <c r="IN6" s="3">
        <v>10</v>
      </c>
      <c r="IO6" s="3">
        <v>10</v>
      </c>
      <c r="IP6" s="3">
        <v>10</v>
      </c>
      <c r="IQ6" s="3">
        <v>10</v>
      </c>
      <c r="IR6" s="3">
        <v>10</v>
      </c>
      <c r="IS6" s="3">
        <v>11</v>
      </c>
      <c r="IT6" s="3">
        <v>12</v>
      </c>
      <c r="IU6" s="3">
        <v>13</v>
      </c>
      <c r="IV6" s="3">
        <v>14</v>
      </c>
      <c r="IW6" s="3">
        <v>14</v>
      </c>
      <c r="IX6" s="3">
        <v>15</v>
      </c>
      <c r="IY6" s="3">
        <v>16</v>
      </c>
      <c r="IZ6" s="3">
        <v>17</v>
      </c>
      <c r="JA6" s="3">
        <v>18</v>
      </c>
      <c r="JB6" s="3">
        <v>19</v>
      </c>
      <c r="JC6" s="3">
        <v>20</v>
      </c>
      <c r="JD6" s="3">
        <v>22</v>
      </c>
      <c r="JE6" s="3">
        <v>22</v>
      </c>
      <c r="JF6" s="3">
        <v>22</v>
      </c>
      <c r="JG6" s="3">
        <v>23</v>
      </c>
      <c r="JH6" s="3">
        <v>24</v>
      </c>
      <c r="JI6" s="3">
        <v>25</v>
      </c>
      <c r="JJ6" s="3">
        <v>26</v>
      </c>
      <c r="JK6" s="3">
        <v>27</v>
      </c>
      <c r="JL6" s="3">
        <v>28</v>
      </c>
      <c r="JM6" s="3">
        <v>29</v>
      </c>
      <c r="JN6" s="3">
        <v>30</v>
      </c>
      <c r="JO6" s="3">
        <v>31</v>
      </c>
      <c r="JP6" s="3">
        <v>32</v>
      </c>
      <c r="JQ6" s="3">
        <v>33</v>
      </c>
      <c r="JR6" s="3">
        <v>34</v>
      </c>
      <c r="JS6" s="3">
        <v>35</v>
      </c>
      <c r="JT6" s="3">
        <v>36</v>
      </c>
      <c r="JU6" s="3">
        <v>37</v>
      </c>
      <c r="JV6" s="3">
        <v>39</v>
      </c>
      <c r="JW6" s="3">
        <v>39</v>
      </c>
      <c r="JX6" s="3">
        <v>39</v>
      </c>
      <c r="JY6" s="3">
        <v>40</v>
      </c>
      <c r="JZ6" s="3">
        <v>40</v>
      </c>
      <c r="KA6" s="3">
        <v>41</v>
      </c>
      <c r="KB6" s="3">
        <v>41</v>
      </c>
      <c r="KC6" s="3">
        <v>42</v>
      </c>
      <c r="KD6" s="3">
        <v>42</v>
      </c>
      <c r="KE6" s="3">
        <v>43</v>
      </c>
      <c r="KF6" s="3">
        <v>43</v>
      </c>
      <c r="KG6" s="3">
        <v>44</v>
      </c>
      <c r="KH6" s="3">
        <v>44</v>
      </c>
      <c r="KI6" s="3">
        <v>45</v>
      </c>
      <c r="KJ6" s="3">
        <v>45</v>
      </c>
      <c r="KK6" s="3">
        <v>46</v>
      </c>
      <c r="KL6" s="3">
        <v>46</v>
      </c>
      <c r="KM6" s="3">
        <v>47</v>
      </c>
      <c r="KN6" s="3">
        <v>47</v>
      </c>
      <c r="KO6" s="3">
        <v>48</v>
      </c>
      <c r="KP6" s="3">
        <v>48</v>
      </c>
      <c r="KQ6" s="3">
        <v>49</v>
      </c>
      <c r="KR6" s="3">
        <v>49</v>
      </c>
      <c r="KS6" s="3">
        <v>50</v>
      </c>
      <c r="KT6" s="3">
        <v>50</v>
      </c>
      <c r="KU6" s="3">
        <v>51</v>
      </c>
      <c r="KV6" s="3">
        <v>51</v>
      </c>
      <c r="KW6" s="3">
        <v>52</v>
      </c>
      <c r="KX6" s="3">
        <v>52</v>
      </c>
      <c r="KY6" s="3">
        <v>53</v>
      </c>
      <c r="KZ6" s="3">
        <v>53</v>
      </c>
      <c r="LA6" s="3">
        <v>54</v>
      </c>
      <c r="LB6" s="3">
        <v>54</v>
      </c>
      <c r="LC6" s="3">
        <v>55</v>
      </c>
      <c r="LD6" s="3">
        <v>55</v>
      </c>
      <c r="LE6" s="3">
        <v>56</v>
      </c>
      <c r="LF6" s="3">
        <v>56</v>
      </c>
      <c r="LG6" s="3">
        <v>57</v>
      </c>
      <c r="LH6" s="3">
        <v>57</v>
      </c>
      <c r="LI6" s="3">
        <v>58</v>
      </c>
      <c r="LJ6" s="3">
        <v>58</v>
      </c>
      <c r="LK6" s="3">
        <v>59</v>
      </c>
      <c r="LL6" s="3">
        <v>59</v>
      </c>
      <c r="LM6" s="3">
        <v>60</v>
      </c>
      <c r="LN6" s="3">
        <v>60</v>
      </c>
      <c r="LO6" s="3">
        <v>61</v>
      </c>
      <c r="LP6" s="3">
        <v>61</v>
      </c>
      <c r="LQ6" s="3">
        <v>62</v>
      </c>
      <c r="LR6" s="3">
        <v>63</v>
      </c>
      <c r="LS6" s="3">
        <v>64</v>
      </c>
      <c r="LT6" s="3">
        <v>65</v>
      </c>
      <c r="LU6" s="3">
        <v>66</v>
      </c>
      <c r="LV6" s="3">
        <v>67</v>
      </c>
      <c r="LW6" s="3">
        <v>68</v>
      </c>
      <c r="LX6" s="3">
        <v>69</v>
      </c>
      <c r="LY6" s="3">
        <v>70</v>
      </c>
      <c r="LZ6" s="3">
        <v>71</v>
      </c>
      <c r="MA6" s="3">
        <v>72</v>
      </c>
      <c r="MB6" s="3">
        <v>73</v>
      </c>
      <c r="MC6" s="3">
        <v>74</v>
      </c>
      <c r="MD6" s="3">
        <v>75</v>
      </c>
      <c r="ME6" s="3">
        <v>76</v>
      </c>
      <c r="MF6" s="3">
        <v>77</v>
      </c>
      <c r="MG6" s="3">
        <v>78</v>
      </c>
      <c r="MH6" s="3">
        <v>78</v>
      </c>
      <c r="MI6" s="3">
        <v>79</v>
      </c>
      <c r="MJ6" s="3">
        <v>80</v>
      </c>
      <c r="MK6" s="3">
        <v>80</v>
      </c>
      <c r="ML6" s="3">
        <v>80</v>
      </c>
      <c r="MM6" s="3">
        <v>80</v>
      </c>
      <c r="MN6" s="3">
        <v>80</v>
      </c>
      <c r="MO6" s="3">
        <v>80</v>
      </c>
      <c r="MP6" s="3">
        <v>80</v>
      </c>
      <c r="MQ6" s="3">
        <v>80</v>
      </c>
      <c r="MR6" s="3">
        <v>80</v>
      </c>
      <c r="MS6" s="3">
        <v>81</v>
      </c>
      <c r="MT6" s="3">
        <v>82</v>
      </c>
      <c r="MU6" s="3">
        <v>82</v>
      </c>
      <c r="MV6" s="3">
        <v>82</v>
      </c>
      <c r="MW6" s="3">
        <v>82</v>
      </c>
      <c r="MX6" s="3">
        <v>82</v>
      </c>
      <c r="MY6" s="3">
        <v>82</v>
      </c>
      <c r="MZ6" s="3">
        <v>82</v>
      </c>
      <c r="NA6" s="3">
        <v>82</v>
      </c>
      <c r="NB6" s="3">
        <v>82</v>
      </c>
      <c r="NC6" s="3">
        <v>83</v>
      </c>
      <c r="ND6" s="3">
        <v>84</v>
      </c>
      <c r="NE6" s="3">
        <v>84</v>
      </c>
      <c r="NF6" s="3">
        <v>84</v>
      </c>
      <c r="NG6" s="3">
        <v>84</v>
      </c>
      <c r="NH6" s="3">
        <v>84</v>
      </c>
      <c r="NI6" s="3">
        <v>84</v>
      </c>
      <c r="NJ6" s="3">
        <v>84</v>
      </c>
      <c r="NK6" s="3">
        <v>84</v>
      </c>
      <c r="NL6" s="3">
        <v>84</v>
      </c>
      <c r="NM6" s="3">
        <v>85</v>
      </c>
      <c r="NN6" s="3">
        <v>85</v>
      </c>
      <c r="NO6" s="3">
        <v>86</v>
      </c>
      <c r="NP6" s="3">
        <v>87</v>
      </c>
      <c r="NQ6" s="3">
        <v>87</v>
      </c>
      <c r="NR6" s="3">
        <v>88</v>
      </c>
      <c r="NS6" s="3">
        <v>88</v>
      </c>
      <c r="NT6" s="3">
        <v>89</v>
      </c>
      <c r="NU6" s="3">
        <v>90</v>
      </c>
      <c r="NV6" s="3">
        <v>91</v>
      </c>
      <c r="NW6" s="3">
        <v>92</v>
      </c>
      <c r="NX6" s="3">
        <v>93</v>
      </c>
      <c r="NY6" s="3">
        <v>94</v>
      </c>
      <c r="NZ6" s="3">
        <v>95</v>
      </c>
      <c r="OA6" s="3">
        <v>96</v>
      </c>
      <c r="OB6" s="3">
        <v>97</v>
      </c>
      <c r="OC6" s="3">
        <v>98</v>
      </c>
      <c r="OD6" s="3">
        <v>99</v>
      </c>
      <c r="OE6" s="3">
        <v>100</v>
      </c>
      <c r="OF6" s="3">
        <v>101</v>
      </c>
      <c r="OG6" s="3">
        <v>102</v>
      </c>
      <c r="OH6" s="3">
        <v>103</v>
      </c>
      <c r="OI6" s="3">
        <v>104</v>
      </c>
      <c r="OJ6" s="3">
        <v>105</v>
      </c>
      <c r="OK6" s="3">
        <v>106</v>
      </c>
      <c r="OL6" s="3">
        <v>107</v>
      </c>
      <c r="OM6" s="3">
        <v>108</v>
      </c>
      <c r="ON6" s="3">
        <v>109</v>
      </c>
      <c r="OO6" s="3">
        <v>110</v>
      </c>
      <c r="OP6" s="3">
        <v>111</v>
      </c>
      <c r="OQ6" s="3">
        <v>113</v>
      </c>
      <c r="OR6" s="3">
        <v>114</v>
      </c>
      <c r="OS6" s="3">
        <v>115</v>
      </c>
      <c r="OT6" s="3">
        <v>116</v>
      </c>
      <c r="OU6" s="3">
        <v>117</v>
      </c>
      <c r="OV6" s="3">
        <v>118</v>
      </c>
      <c r="OW6" s="3">
        <v>119</v>
      </c>
      <c r="OX6" s="3">
        <v>120</v>
      </c>
      <c r="OY6" s="3">
        <v>121</v>
      </c>
      <c r="OZ6" s="3">
        <v>122</v>
      </c>
      <c r="PA6" s="3">
        <v>123</v>
      </c>
      <c r="PB6" s="3">
        <v>124</v>
      </c>
      <c r="PC6" s="3">
        <v>125</v>
      </c>
      <c r="PD6" s="3">
        <v>126</v>
      </c>
      <c r="PE6" s="3">
        <v>127</v>
      </c>
      <c r="PF6" s="3">
        <v>128</v>
      </c>
      <c r="PG6" s="3">
        <v>129</v>
      </c>
      <c r="PH6" s="3">
        <v>130</v>
      </c>
      <c r="PI6" s="3">
        <v>131</v>
      </c>
      <c r="PJ6" s="3">
        <v>132</v>
      </c>
      <c r="PK6" s="3">
        <v>133</v>
      </c>
      <c r="PL6" s="3">
        <v>134</v>
      </c>
      <c r="PM6" s="3">
        <v>135</v>
      </c>
      <c r="PN6" s="3">
        <v>136</v>
      </c>
      <c r="PO6" s="3">
        <v>137</v>
      </c>
      <c r="PP6" s="3">
        <v>138</v>
      </c>
      <c r="PQ6" s="3">
        <v>139</v>
      </c>
      <c r="PR6" s="3">
        <v>140</v>
      </c>
      <c r="PS6" s="3">
        <v>141</v>
      </c>
      <c r="PT6" s="3">
        <v>142</v>
      </c>
      <c r="PU6" s="3">
        <v>143</v>
      </c>
      <c r="PV6" s="3">
        <v>144</v>
      </c>
      <c r="PW6" s="3">
        <v>145</v>
      </c>
      <c r="PX6" s="3">
        <v>146</v>
      </c>
      <c r="PY6" s="3">
        <v>147</v>
      </c>
      <c r="PZ6" s="3">
        <v>148</v>
      </c>
      <c r="QA6" s="3">
        <v>149</v>
      </c>
      <c r="QB6" s="3">
        <v>150</v>
      </c>
      <c r="QC6" s="3">
        <v>150</v>
      </c>
      <c r="QD6" s="3">
        <v>151</v>
      </c>
      <c r="QE6" s="3">
        <v>152</v>
      </c>
      <c r="QF6" s="3">
        <v>153</v>
      </c>
      <c r="QG6" s="3">
        <v>154</v>
      </c>
      <c r="QH6" s="3">
        <v>155</v>
      </c>
      <c r="QI6" s="3">
        <v>156</v>
      </c>
      <c r="QJ6" s="3">
        <v>157</v>
      </c>
      <c r="QK6" s="3">
        <v>158</v>
      </c>
      <c r="QL6" s="3">
        <v>159</v>
      </c>
      <c r="QM6" s="3">
        <v>160</v>
      </c>
      <c r="QN6" s="3">
        <v>161</v>
      </c>
      <c r="QO6" s="3">
        <v>162</v>
      </c>
      <c r="QP6" s="3">
        <v>163</v>
      </c>
      <c r="QQ6" s="3">
        <v>164</v>
      </c>
      <c r="QR6" s="3">
        <v>165</v>
      </c>
      <c r="QS6" s="3">
        <v>166</v>
      </c>
      <c r="QT6" s="3">
        <v>167</v>
      </c>
      <c r="QU6" s="3">
        <v>168</v>
      </c>
      <c r="QV6" s="3">
        <v>168</v>
      </c>
      <c r="QW6" s="3">
        <v>169</v>
      </c>
      <c r="QX6" s="3">
        <v>169</v>
      </c>
      <c r="QY6" s="3">
        <v>169</v>
      </c>
      <c r="QZ6" s="3">
        <v>169</v>
      </c>
      <c r="RA6" s="3">
        <v>169</v>
      </c>
      <c r="RB6" s="3">
        <v>169</v>
      </c>
      <c r="RC6" s="3">
        <v>169</v>
      </c>
      <c r="RD6" s="3">
        <v>169</v>
      </c>
      <c r="RE6" s="3">
        <v>169</v>
      </c>
      <c r="RF6" s="3">
        <v>170</v>
      </c>
      <c r="RG6" s="3">
        <v>170</v>
      </c>
      <c r="RH6" s="3">
        <v>170</v>
      </c>
      <c r="RI6" s="3">
        <v>170</v>
      </c>
      <c r="RJ6" s="3">
        <v>170</v>
      </c>
      <c r="RK6" s="3">
        <v>170</v>
      </c>
      <c r="RL6" s="3">
        <v>170</v>
      </c>
      <c r="RM6" s="3">
        <v>170</v>
      </c>
      <c r="RN6" s="3">
        <v>170</v>
      </c>
      <c r="RO6" s="3">
        <v>170</v>
      </c>
      <c r="RP6" s="3">
        <v>170</v>
      </c>
      <c r="RQ6" s="3">
        <v>170</v>
      </c>
      <c r="RR6" s="3">
        <v>170</v>
      </c>
      <c r="RS6" s="3">
        <v>171</v>
      </c>
      <c r="RT6" s="3">
        <v>1</v>
      </c>
      <c r="RU6" s="3">
        <v>10</v>
      </c>
      <c r="RV6" s="3">
        <v>10</v>
      </c>
      <c r="RW6" s="3">
        <v>10</v>
      </c>
      <c r="RX6" s="3">
        <v>10</v>
      </c>
      <c r="RY6" s="3">
        <v>10</v>
      </c>
      <c r="RZ6" s="3">
        <v>10</v>
      </c>
      <c r="SA6" s="3">
        <v>10</v>
      </c>
      <c r="SB6" s="3">
        <v>88</v>
      </c>
      <c r="SC6" s="3">
        <v>88</v>
      </c>
      <c r="SD6" s="3">
        <v>89</v>
      </c>
      <c r="SE6" s="3">
        <v>90</v>
      </c>
      <c r="SF6" s="3">
        <v>91</v>
      </c>
      <c r="SG6" s="3">
        <v>92</v>
      </c>
      <c r="SH6" s="3">
        <v>93</v>
      </c>
      <c r="SI6" s="3">
        <v>94</v>
      </c>
      <c r="SJ6" s="3">
        <v>95</v>
      </c>
      <c r="SK6" s="3">
        <v>96</v>
      </c>
      <c r="SL6" s="3">
        <v>97</v>
      </c>
      <c r="SM6" s="3">
        <v>98</v>
      </c>
      <c r="SN6" s="3">
        <v>99</v>
      </c>
      <c r="SO6" s="3">
        <v>100</v>
      </c>
      <c r="SP6" s="3">
        <v>101</v>
      </c>
      <c r="SQ6" s="3">
        <v>102</v>
      </c>
      <c r="SR6" s="3">
        <v>103</v>
      </c>
      <c r="SS6" s="3">
        <v>104</v>
      </c>
      <c r="ST6" s="3">
        <v>105</v>
      </c>
      <c r="SU6" s="3">
        <v>106</v>
      </c>
      <c r="SV6" s="3">
        <v>107</v>
      </c>
      <c r="SW6" s="3">
        <v>108</v>
      </c>
      <c r="SX6" s="3">
        <v>109</v>
      </c>
      <c r="SY6" s="3">
        <v>110</v>
      </c>
      <c r="SZ6" s="3">
        <v>111</v>
      </c>
      <c r="TA6" s="3">
        <v>113</v>
      </c>
      <c r="TB6" s="3">
        <v>114</v>
      </c>
      <c r="TC6" s="3">
        <v>115</v>
      </c>
      <c r="TD6" s="3">
        <v>116</v>
      </c>
      <c r="TE6" s="3">
        <v>117</v>
      </c>
      <c r="TF6" s="3">
        <v>118</v>
      </c>
      <c r="TG6" s="3">
        <v>120</v>
      </c>
      <c r="TH6" s="3">
        <v>121</v>
      </c>
      <c r="TI6" s="3">
        <v>122</v>
      </c>
      <c r="TJ6" s="3">
        <v>123</v>
      </c>
      <c r="TK6" s="3">
        <v>124</v>
      </c>
      <c r="TL6" s="3">
        <v>125</v>
      </c>
      <c r="TM6" s="3">
        <v>126</v>
      </c>
      <c r="TN6" s="3">
        <v>127</v>
      </c>
      <c r="TO6" s="3">
        <v>128</v>
      </c>
      <c r="TP6" s="3">
        <v>129</v>
      </c>
      <c r="TQ6" s="3">
        <v>130</v>
      </c>
      <c r="TR6" s="3">
        <v>131</v>
      </c>
      <c r="TS6" s="3">
        <v>132</v>
      </c>
      <c r="TT6" s="3">
        <v>133</v>
      </c>
      <c r="TU6" s="3">
        <v>134</v>
      </c>
      <c r="TV6" s="3">
        <v>135</v>
      </c>
      <c r="TW6" s="3">
        <v>136</v>
      </c>
      <c r="TX6" s="3">
        <v>137</v>
      </c>
      <c r="TY6" s="3">
        <v>138</v>
      </c>
      <c r="TZ6" s="3">
        <v>139</v>
      </c>
      <c r="UA6" s="3">
        <v>140</v>
      </c>
      <c r="UB6" s="3">
        <v>141</v>
      </c>
      <c r="UC6" s="3">
        <v>142</v>
      </c>
      <c r="UD6" s="3">
        <v>143</v>
      </c>
      <c r="UE6" s="3">
        <v>144</v>
      </c>
      <c r="UF6" s="3">
        <v>145</v>
      </c>
      <c r="UG6" s="3">
        <v>146</v>
      </c>
      <c r="UH6" s="3">
        <v>147</v>
      </c>
      <c r="UI6" s="3">
        <v>148</v>
      </c>
      <c r="UJ6" s="3">
        <v>149</v>
      </c>
      <c r="UK6" s="3">
        <v>150</v>
      </c>
      <c r="UL6" s="3">
        <v>150</v>
      </c>
      <c r="UM6" s="3">
        <v>151</v>
      </c>
      <c r="UN6" s="3">
        <v>152</v>
      </c>
      <c r="UO6" s="3">
        <v>153</v>
      </c>
      <c r="UP6" s="3">
        <v>154</v>
      </c>
      <c r="UQ6" s="3">
        <v>155</v>
      </c>
      <c r="UR6" s="3">
        <v>156</v>
      </c>
      <c r="US6" s="3">
        <v>157</v>
      </c>
      <c r="UT6" s="3">
        <v>158</v>
      </c>
      <c r="UU6" s="3">
        <v>159</v>
      </c>
      <c r="UV6" s="3">
        <v>160</v>
      </c>
      <c r="UW6" s="3">
        <v>161</v>
      </c>
      <c r="UX6" s="3">
        <v>162</v>
      </c>
      <c r="UY6" s="3">
        <v>163</v>
      </c>
      <c r="UZ6" s="3">
        <v>164</v>
      </c>
      <c r="VA6" s="3">
        <v>165</v>
      </c>
      <c r="VB6" s="3">
        <v>166</v>
      </c>
      <c r="VC6" s="3">
        <v>167</v>
      </c>
      <c r="VD6" s="3">
        <v>168</v>
      </c>
      <c r="VE6" s="3">
        <v>168</v>
      </c>
      <c r="VF6" s="3">
        <v>169</v>
      </c>
      <c r="VG6" s="3">
        <v>169</v>
      </c>
      <c r="VH6" s="3">
        <v>169</v>
      </c>
      <c r="VI6" s="3">
        <v>169</v>
      </c>
      <c r="VJ6" s="3">
        <v>169</v>
      </c>
      <c r="VK6" s="3">
        <v>169</v>
      </c>
      <c r="VL6" s="3">
        <v>169</v>
      </c>
      <c r="VM6" s="3">
        <v>169</v>
      </c>
      <c r="VN6" s="3">
        <v>169</v>
      </c>
      <c r="VO6" s="3">
        <v>170</v>
      </c>
      <c r="VP6" s="3">
        <v>170</v>
      </c>
      <c r="VQ6" s="3">
        <v>170</v>
      </c>
      <c r="VR6" s="3">
        <v>170</v>
      </c>
      <c r="VS6" s="3">
        <v>170</v>
      </c>
      <c r="VT6" s="3">
        <v>170</v>
      </c>
      <c r="VU6" s="3">
        <v>170</v>
      </c>
      <c r="VV6" s="3">
        <v>170</v>
      </c>
      <c r="VW6" s="3">
        <v>170</v>
      </c>
      <c r="VX6" s="3">
        <v>170</v>
      </c>
      <c r="VY6" s="3">
        <v>170</v>
      </c>
      <c r="VZ6" s="3">
        <v>170</v>
      </c>
      <c r="WA6" s="3">
        <v>170</v>
      </c>
      <c r="WB6" s="3">
        <v>169</v>
      </c>
      <c r="WC6" s="3">
        <v>170</v>
      </c>
      <c r="WD6" s="3">
        <v>171</v>
      </c>
      <c r="WE6" s="3">
        <v>171</v>
      </c>
      <c r="WF6" s="3">
        <v>172</v>
      </c>
      <c r="WG6" s="3">
        <v>173</v>
      </c>
      <c r="WH6" s="3">
        <v>174</v>
      </c>
      <c r="WI6" s="3">
        <v>175</v>
      </c>
      <c r="WJ6" s="3">
        <v>176</v>
      </c>
      <c r="WK6" s="3">
        <v>177</v>
      </c>
      <c r="WL6" s="3">
        <v>178</v>
      </c>
      <c r="WM6" s="3">
        <v>179</v>
      </c>
      <c r="WN6" s="3">
        <v>180</v>
      </c>
      <c r="WO6" s="3">
        <v>181</v>
      </c>
      <c r="WP6" s="3">
        <v>182</v>
      </c>
      <c r="WQ6" s="3">
        <v>181</v>
      </c>
      <c r="WR6" s="3">
        <v>183</v>
      </c>
      <c r="WS6" s="3">
        <v>181</v>
      </c>
      <c r="WT6" s="3">
        <v>184</v>
      </c>
      <c r="WU6" s="3">
        <v>185</v>
      </c>
      <c r="WV6" s="3">
        <v>186</v>
      </c>
      <c r="WW6" s="3">
        <v>187</v>
      </c>
      <c r="WX6" s="3">
        <v>188</v>
      </c>
      <c r="WY6" s="3">
        <v>189</v>
      </c>
      <c r="WZ6" s="3">
        <v>190</v>
      </c>
      <c r="XA6" s="3">
        <v>191</v>
      </c>
      <c r="XB6" s="3">
        <v>192</v>
      </c>
      <c r="XC6" s="3">
        <v>193</v>
      </c>
      <c r="XD6" s="3">
        <v>194</v>
      </c>
      <c r="XE6" s="3">
        <v>195</v>
      </c>
      <c r="XF6" s="3">
        <v>196</v>
      </c>
      <c r="XG6" s="3">
        <v>197</v>
      </c>
      <c r="XH6" s="3">
        <v>198</v>
      </c>
      <c r="XI6" s="3">
        <v>199</v>
      </c>
      <c r="XJ6" s="3">
        <v>200</v>
      </c>
      <c r="XK6" s="3">
        <v>169</v>
      </c>
      <c r="XL6" s="3">
        <v>169</v>
      </c>
      <c r="XM6" s="3">
        <v>169</v>
      </c>
      <c r="XN6" s="3">
        <v>169</v>
      </c>
      <c r="XO6" s="3">
        <v>169</v>
      </c>
      <c r="XP6" s="3">
        <v>169</v>
      </c>
      <c r="XQ6" s="3">
        <v>169</v>
      </c>
      <c r="XR6" s="3">
        <v>169</v>
      </c>
      <c r="XS6" s="3">
        <v>169</v>
      </c>
      <c r="XT6" s="3">
        <v>170</v>
      </c>
      <c r="XU6" s="3">
        <v>170</v>
      </c>
      <c r="XV6" s="3">
        <v>170</v>
      </c>
      <c r="XW6" s="3">
        <v>170</v>
      </c>
      <c r="XX6" s="3">
        <v>170</v>
      </c>
      <c r="XY6" s="3">
        <v>170</v>
      </c>
      <c r="XZ6" s="3">
        <v>170</v>
      </c>
      <c r="YA6" s="3">
        <v>170</v>
      </c>
      <c r="YB6" s="3">
        <v>170</v>
      </c>
      <c r="YC6" s="3">
        <v>170</v>
      </c>
      <c r="YD6" s="3">
        <v>170</v>
      </c>
      <c r="YE6" s="3">
        <v>170</v>
      </c>
      <c r="YF6" s="3">
        <v>170</v>
      </c>
      <c r="YG6" s="3">
        <v>171</v>
      </c>
      <c r="YH6" s="3">
        <v>171</v>
      </c>
      <c r="YI6" s="3">
        <v>171</v>
      </c>
      <c r="YJ6" s="3">
        <v>171</v>
      </c>
      <c r="YK6" s="3">
        <v>171</v>
      </c>
      <c r="YL6" s="3">
        <v>171</v>
      </c>
      <c r="YM6" s="3">
        <v>171</v>
      </c>
      <c r="YN6" s="3">
        <v>171</v>
      </c>
      <c r="YO6" s="3">
        <v>171</v>
      </c>
      <c r="YP6" s="3">
        <v>172</v>
      </c>
      <c r="YQ6" s="3">
        <v>172</v>
      </c>
      <c r="YR6" s="3">
        <v>172</v>
      </c>
      <c r="YS6" s="3">
        <v>172</v>
      </c>
      <c r="YT6" s="3">
        <v>172</v>
      </c>
      <c r="YU6" s="3">
        <v>172</v>
      </c>
      <c r="YV6" s="3">
        <v>172</v>
      </c>
      <c r="YW6" s="3">
        <v>172</v>
      </c>
      <c r="YX6" s="3">
        <v>172</v>
      </c>
      <c r="YY6" s="3">
        <v>172</v>
      </c>
      <c r="YZ6" s="3">
        <v>172</v>
      </c>
      <c r="ZA6" s="3">
        <v>172</v>
      </c>
      <c r="ZB6" s="3">
        <v>172</v>
      </c>
      <c r="ZC6" s="3">
        <v>173</v>
      </c>
      <c r="ZD6" s="3">
        <v>173</v>
      </c>
      <c r="ZE6" s="3">
        <v>173</v>
      </c>
      <c r="ZF6" s="3">
        <v>173</v>
      </c>
      <c r="ZG6" s="3">
        <v>173</v>
      </c>
      <c r="ZH6" s="3">
        <v>173</v>
      </c>
      <c r="ZI6" s="3">
        <v>173</v>
      </c>
      <c r="ZJ6" s="3">
        <v>173</v>
      </c>
      <c r="ZK6" s="3">
        <v>173</v>
      </c>
      <c r="ZL6" s="3">
        <v>173</v>
      </c>
      <c r="ZM6" s="3">
        <v>173</v>
      </c>
      <c r="ZN6" s="3">
        <v>173</v>
      </c>
      <c r="ZO6" s="3">
        <v>173</v>
      </c>
      <c r="ZP6" s="3">
        <v>173</v>
      </c>
      <c r="ZQ6" s="3">
        <v>173</v>
      </c>
      <c r="ZR6" s="3">
        <v>173</v>
      </c>
      <c r="ZS6" s="3">
        <v>173</v>
      </c>
      <c r="ZT6" s="3">
        <v>173</v>
      </c>
      <c r="ZU6" s="3">
        <v>173</v>
      </c>
      <c r="ZV6" s="3">
        <v>173</v>
      </c>
      <c r="ZW6" s="3">
        <v>173</v>
      </c>
      <c r="ZX6" s="3">
        <v>173</v>
      </c>
      <c r="ZY6" s="3">
        <v>173</v>
      </c>
      <c r="ZZ6" s="3">
        <v>173</v>
      </c>
      <c r="AAA6" s="3">
        <v>173</v>
      </c>
      <c r="AAB6" s="3">
        <v>173</v>
      </c>
      <c r="AAC6" s="3">
        <v>173</v>
      </c>
      <c r="AAD6" s="3">
        <v>173</v>
      </c>
      <c r="AAE6" s="3">
        <v>173</v>
      </c>
      <c r="AAF6" s="3">
        <v>173</v>
      </c>
      <c r="AAG6" s="3">
        <v>173</v>
      </c>
      <c r="AAH6" s="3">
        <v>173</v>
      </c>
      <c r="AAI6" s="3">
        <v>173</v>
      </c>
      <c r="AAJ6" s="3">
        <v>173</v>
      </c>
      <c r="AAK6" s="3">
        <v>173</v>
      </c>
      <c r="AAL6" s="3">
        <v>173</v>
      </c>
      <c r="AAM6" s="3">
        <v>1</v>
      </c>
      <c r="AAN6" s="3">
        <v>174</v>
      </c>
      <c r="AAO6" s="3">
        <v>174</v>
      </c>
      <c r="AAP6" s="3">
        <v>174</v>
      </c>
      <c r="AAQ6" s="3">
        <v>174</v>
      </c>
      <c r="AAR6" s="3">
        <v>174</v>
      </c>
      <c r="AAS6" s="3">
        <v>174</v>
      </c>
      <c r="AAT6" s="3">
        <v>174</v>
      </c>
      <c r="AAU6" s="3">
        <v>174</v>
      </c>
      <c r="AAV6" s="3">
        <v>174</v>
      </c>
      <c r="AAW6" s="3">
        <v>174</v>
      </c>
      <c r="AAX6" s="3">
        <v>174</v>
      </c>
      <c r="AAY6" s="3">
        <v>1</v>
      </c>
      <c r="AAZ6" s="3">
        <v>175</v>
      </c>
      <c r="ABA6" s="3">
        <v>175</v>
      </c>
      <c r="ABB6" s="3">
        <v>175</v>
      </c>
      <c r="ABC6" s="3">
        <v>175</v>
      </c>
      <c r="ABD6" s="3">
        <v>175</v>
      </c>
      <c r="ABE6" s="3">
        <v>175</v>
      </c>
      <c r="ABF6" s="3">
        <v>175</v>
      </c>
      <c r="ABG6" s="3">
        <v>175</v>
      </c>
      <c r="ABH6" s="3">
        <v>175</v>
      </c>
      <c r="ABI6" s="3">
        <v>175</v>
      </c>
      <c r="ABJ6" s="3">
        <v>201</v>
      </c>
      <c r="ABK6" s="3">
        <v>202</v>
      </c>
      <c r="ABL6" s="3">
        <v>176</v>
      </c>
      <c r="ABM6" s="3">
        <v>177</v>
      </c>
      <c r="ABN6" s="3">
        <v>178</v>
      </c>
      <c r="ABO6" s="3">
        <v>179</v>
      </c>
      <c r="ABP6" s="3">
        <v>180</v>
      </c>
      <c r="ABQ6" s="3">
        <v>181</v>
      </c>
      <c r="ABR6" s="3">
        <v>182</v>
      </c>
      <c r="ABS6" s="3">
        <v>183</v>
      </c>
      <c r="ABT6" s="3">
        <v>184</v>
      </c>
      <c r="ABU6" s="3">
        <v>185</v>
      </c>
      <c r="ABV6" s="3">
        <v>186</v>
      </c>
      <c r="ABW6" s="3">
        <v>187</v>
      </c>
      <c r="ABX6" s="3">
        <v>188</v>
      </c>
      <c r="ABY6" s="3">
        <v>189</v>
      </c>
      <c r="ABZ6" s="3">
        <v>190</v>
      </c>
      <c r="ACA6" s="3">
        <v>191</v>
      </c>
      <c r="ACB6" s="3">
        <v>192</v>
      </c>
      <c r="ACC6" s="3">
        <v>193</v>
      </c>
      <c r="ACD6" s="3">
        <v>195</v>
      </c>
      <c r="ACE6" s="3">
        <v>197</v>
      </c>
      <c r="ACF6" s="3">
        <v>197</v>
      </c>
      <c r="ACG6" s="3">
        <v>198</v>
      </c>
      <c r="ACH6" s="3">
        <v>198</v>
      </c>
      <c r="ACI6" s="3">
        <v>199</v>
      </c>
      <c r="ACJ6" s="3">
        <v>199</v>
      </c>
      <c r="ACK6" s="3">
        <v>199</v>
      </c>
      <c r="ACL6" s="3">
        <v>199</v>
      </c>
      <c r="ACM6" s="3">
        <v>199</v>
      </c>
      <c r="ACN6" s="3">
        <v>199</v>
      </c>
      <c r="ACO6" s="3">
        <v>199</v>
      </c>
      <c r="ACP6" s="3">
        <v>199</v>
      </c>
      <c r="ACQ6" s="3">
        <v>199</v>
      </c>
      <c r="ACR6" s="3">
        <v>200</v>
      </c>
      <c r="ACS6" s="3">
        <v>200</v>
      </c>
      <c r="ACT6" s="3">
        <v>200</v>
      </c>
      <c r="ACU6" s="3">
        <v>200</v>
      </c>
      <c r="ACV6" s="3">
        <v>200</v>
      </c>
      <c r="ACW6" s="3">
        <v>200</v>
      </c>
      <c r="ACX6" s="3">
        <v>200</v>
      </c>
      <c r="ACY6" s="3">
        <v>200</v>
      </c>
      <c r="ACZ6" s="3">
        <v>200</v>
      </c>
      <c r="ADA6" s="3">
        <v>200</v>
      </c>
      <c r="ADB6" s="3">
        <v>200</v>
      </c>
      <c r="ADC6" s="3">
        <v>200</v>
      </c>
      <c r="ADD6" s="3">
        <v>200</v>
      </c>
      <c r="ADE6" s="3">
        <v>201</v>
      </c>
      <c r="ADF6" s="3">
        <v>202</v>
      </c>
      <c r="ADG6" s="3">
        <v>203</v>
      </c>
      <c r="ADH6" s="3">
        <v>204</v>
      </c>
      <c r="ADI6" s="3">
        <v>1</v>
      </c>
      <c r="ADJ6" s="3">
        <v>175</v>
      </c>
      <c r="ADK6" s="3">
        <v>175</v>
      </c>
      <c r="ADL6" s="3">
        <v>175</v>
      </c>
      <c r="ADM6" s="3">
        <v>175</v>
      </c>
      <c r="ADN6" s="3">
        <v>175</v>
      </c>
      <c r="ADO6" s="3">
        <v>175</v>
      </c>
      <c r="ADP6" s="3">
        <v>175</v>
      </c>
      <c r="ADQ6" s="3">
        <v>175</v>
      </c>
      <c r="ADR6" s="3">
        <v>175</v>
      </c>
      <c r="ADS6" s="3">
        <v>175</v>
      </c>
      <c r="ADT6" s="3">
        <v>201</v>
      </c>
      <c r="ADU6" s="3">
        <v>202</v>
      </c>
      <c r="ADV6" s="3">
        <v>176</v>
      </c>
      <c r="ADW6" s="3">
        <v>177</v>
      </c>
      <c r="ADX6" s="3">
        <v>178</v>
      </c>
      <c r="ADY6" s="3">
        <v>179</v>
      </c>
      <c r="ADZ6" s="3">
        <v>180</v>
      </c>
      <c r="AEA6" s="3">
        <v>181</v>
      </c>
      <c r="AEB6" s="3">
        <v>182</v>
      </c>
      <c r="AEC6" s="3">
        <v>183</v>
      </c>
      <c r="AED6" s="3">
        <v>184</v>
      </c>
      <c r="AEE6" s="3">
        <v>185</v>
      </c>
      <c r="AEF6" s="3">
        <v>186</v>
      </c>
      <c r="AEG6" s="3">
        <v>187</v>
      </c>
      <c r="AEH6" s="3">
        <v>188</v>
      </c>
      <c r="AEI6" s="3">
        <v>189</v>
      </c>
      <c r="AEJ6" s="3">
        <v>190</v>
      </c>
      <c r="AEK6" s="3">
        <v>191</v>
      </c>
      <c r="AEL6" s="3">
        <v>192</v>
      </c>
      <c r="AEM6" s="3">
        <v>193</v>
      </c>
      <c r="AEN6" s="3">
        <v>195</v>
      </c>
      <c r="AEO6" s="3">
        <v>197</v>
      </c>
      <c r="AEP6" s="3">
        <v>197</v>
      </c>
      <c r="AEQ6" s="3">
        <v>198</v>
      </c>
      <c r="AER6" s="3">
        <v>198</v>
      </c>
      <c r="AES6" s="3">
        <v>199</v>
      </c>
      <c r="AET6" s="3">
        <v>199</v>
      </c>
      <c r="AEU6" s="3">
        <v>199</v>
      </c>
      <c r="AEV6" s="3">
        <v>199</v>
      </c>
      <c r="AEW6" s="3">
        <v>199</v>
      </c>
      <c r="AEX6" s="3">
        <v>199</v>
      </c>
      <c r="AEY6" s="3">
        <v>199</v>
      </c>
      <c r="AEZ6" s="3">
        <v>199</v>
      </c>
      <c r="AFA6" s="3">
        <v>199</v>
      </c>
      <c r="AFB6" s="3">
        <v>200</v>
      </c>
      <c r="AFC6" s="3">
        <v>200</v>
      </c>
      <c r="AFD6" s="3">
        <v>200</v>
      </c>
      <c r="AFE6" s="3">
        <v>200</v>
      </c>
      <c r="AFF6" s="3">
        <v>200</v>
      </c>
      <c r="AFG6" s="3">
        <v>200</v>
      </c>
      <c r="AFH6" s="3">
        <v>200</v>
      </c>
      <c r="AFI6" s="3">
        <v>200</v>
      </c>
      <c r="AFJ6" s="3">
        <v>200</v>
      </c>
      <c r="AFK6" s="3">
        <v>200</v>
      </c>
      <c r="AFL6" s="3">
        <v>200</v>
      </c>
      <c r="AFM6" s="3">
        <v>200</v>
      </c>
      <c r="AFN6" s="3">
        <v>200</v>
      </c>
      <c r="AFO6" s="3">
        <v>201</v>
      </c>
      <c r="AFP6" s="3">
        <v>202</v>
      </c>
      <c r="AFQ6" s="3">
        <v>203</v>
      </c>
      <c r="AFR6" s="3">
        <v>204</v>
      </c>
      <c r="AFS6" s="3">
        <v>1</v>
      </c>
      <c r="AFT6" s="3">
        <v>175</v>
      </c>
      <c r="AFU6" s="3">
        <v>175</v>
      </c>
      <c r="AFV6" s="3">
        <v>175</v>
      </c>
      <c r="AFW6" s="3">
        <v>175</v>
      </c>
      <c r="AFX6" s="3">
        <v>175</v>
      </c>
      <c r="AFY6" s="3">
        <v>175</v>
      </c>
      <c r="AFZ6" s="3">
        <v>175</v>
      </c>
      <c r="AGA6" s="3">
        <v>175</v>
      </c>
      <c r="AGB6" s="3">
        <v>175</v>
      </c>
      <c r="AGC6" s="3">
        <v>175</v>
      </c>
      <c r="AGD6" s="3">
        <v>175</v>
      </c>
      <c r="AGE6" s="3">
        <v>176</v>
      </c>
      <c r="AGF6" s="3">
        <v>176</v>
      </c>
      <c r="AGG6" s="3">
        <v>176</v>
      </c>
      <c r="AGH6" s="3">
        <v>177</v>
      </c>
      <c r="AGI6" s="3">
        <v>177</v>
      </c>
      <c r="AGJ6" s="3">
        <v>177</v>
      </c>
      <c r="AGK6" s="3">
        <v>177</v>
      </c>
      <c r="AGL6" s="3">
        <v>177</v>
      </c>
      <c r="AGM6" s="3">
        <v>177</v>
      </c>
      <c r="AGN6" s="3">
        <v>177</v>
      </c>
      <c r="AGO6" s="3">
        <v>177</v>
      </c>
      <c r="AGP6" s="3">
        <v>177</v>
      </c>
      <c r="AGQ6" s="3">
        <v>178</v>
      </c>
      <c r="AGR6" s="3">
        <v>178</v>
      </c>
      <c r="AGS6" s="3">
        <v>178</v>
      </c>
      <c r="AGT6" s="3">
        <v>178</v>
      </c>
      <c r="AGU6" s="3">
        <v>178</v>
      </c>
      <c r="AGV6" s="3">
        <v>178</v>
      </c>
      <c r="AGW6" s="3">
        <v>178</v>
      </c>
      <c r="AGX6" s="3">
        <v>178</v>
      </c>
      <c r="AGY6" s="3">
        <v>178</v>
      </c>
      <c r="AGZ6" s="3">
        <v>179</v>
      </c>
      <c r="AHA6" s="3">
        <v>179</v>
      </c>
      <c r="AHB6" s="3">
        <v>179</v>
      </c>
      <c r="AHC6" s="3">
        <v>179</v>
      </c>
      <c r="AHD6" s="3">
        <v>179</v>
      </c>
      <c r="AHE6" s="3">
        <v>179</v>
      </c>
      <c r="AHF6" s="3">
        <v>179</v>
      </c>
      <c r="AHG6" s="3">
        <v>179</v>
      </c>
      <c r="AHH6" s="3">
        <v>179</v>
      </c>
      <c r="AHI6" s="3">
        <v>179</v>
      </c>
      <c r="AHJ6" s="3">
        <v>179</v>
      </c>
      <c r="AHK6" s="3">
        <v>179</v>
      </c>
      <c r="AHL6" s="3">
        <v>179</v>
      </c>
      <c r="AHM6" s="3">
        <v>180</v>
      </c>
      <c r="AHN6" s="3">
        <v>180</v>
      </c>
      <c r="AHO6" s="3">
        <v>180</v>
      </c>
      <c r="AHP6" s="3">
        <v>180</v>
      </c>
      <c r="AHQ6" s="3">
        <v>180</v>
      </c>
      <c r="AHR6" s="3">
        <v>180</v>
      </c>
      <c r="AHS6" s="3">
        <v>180</v>
      </c>
      <c r="AHT6" s="3">
        <v>180</v>
      </c>
      <c r="AHU6" s="3">
        <v>180</v>
      </c>
      <c r="AHV6" s="3">
        <v>180</v>
      </c>
      <c r="AHW6" s="3">
        <v>180</v>
      </c>
      <c r="AHX6" s="3">
        <v>180</v>
      </c>
      <c r="AHY6" s="3">
        <v>180</v>
      </c>
      <c r="AHZ6" s="3">
        <v>181</v>
      </c>
      <c r="AIA6" s="3">
        <v>181</v>
      </c>
      <c r="AIB6" s="3">
        <v>181</v>
      </c>
      <c r="AIC6" s="3">
        <v>181</v>
      </c>
      <c r="AID6" s="3">
        <v>181</v>
      </c>
      <c r="AIE6" s="3">
        <v>181</v>
      </c>
      <c r="AIF6" s="3">
        <v>181</v>
      </c>
      <c r="AIG6" s="3">
        <v>181</v>
      </c>
      <c r="AIH6" s="3">
        <v>181</v>
      </c>
      <c r="AII6" s="3">
        <v>182</v>
      </c>
      <c r="AIJ6" s="3">
        <v>182</v>
      </c>
      <c r="AIK6" s="3">
        <v>182</v>
      </c>
      <c r="AIL6" s="3">
        <v>182</v>
      </c>
      <c r="AIM6" s="3">
        <v>182</v>
      </c>
      <c r="AIN6" s="3">
        <v>182</v>
      </c>
      <c r="AIO6" s="3">
        <v>182</v>
      </c>
      <c r="AIP6" s="3">
        <v>182</v>
      </c>
      <c r="AIQ6" s="3">
        <v>182</v>
      </c>
      <c r="AIR6" s="3">
        <v>183</v>
      </c>
      <c r="AIS6" s="3">
        <v>184</v>
      </c>
      <c r="AIT6" s="3">
        <v>185</v>
      </c>
      <c r="AIU6" s="3">
        <v>186</v>
      </c>
      <c r="AIV6" s="3">
        <v>187</v>
      </c>
      <c r="AIW6" s="3">
        <v>187</v>
      </c>
      <c r="AIX6" s="3">
        <v>187</v>
      </c>
      <c r="AIY6" s="3">
        <v>187</v>
      </c>
      <c r="AIZ6" s="3">
        <v>187</v>
      </c>
      <c r="AJA6" s="3">
        <v>187</v>
      </c>
      <c r="AJB6" s="3">
        <v>187</v>
      </c>
      <c r="AJC6" s="3">
        <v>187</v>
      </c>
      <c r="AJD6" s="3">
        <v>187</v>
      </c>
      <c r="AJE6" s="3">
        <v>187</v>
      </c>
      <c r="AJF6" s="3">
        <v>187</v>
      </c>
      <c r="AJG6" s="3"/>
      <c r="AJH6" s="3"/>
      <c r="AJI6" s="3"/>
      <c r="AJJ6" s="3"/>
      <c r="AJK6" s="3"/>
      <c r="AJL6" s="3"/>
      <c r="AJM6" s="3"/>
      <c r="AJN6" s="3"/>
      <c r="AJO6" s="3"/>
      <c r="AJP6" s="3"/>
      <c r="AJQ6" s="3"/>
      <c r="AJR6" s="3"/>
      <c r="AJS6" s="3"/>
      <c r="AJT6" s="3"/>
      <c r="AJU6" s="3"/>
      <c r="AJV6" s="3"/>
      <c r="AJW6" s="3"/>
      <c r="AJX6" s="3"/>
      <c r="AJY6" s="3"/>
      <c r="AJZ6" s="3"/>
      <c r="AKA6" s="3"/>
      <c r="AKB6" s="3"/>
      <c r="AKC6" s="3"/>
      <c r="AKD6" s="3"/>
      <c r="AKE6" s="3"/>
      <c r="AKF6" s="3"/>
      <c r="AKG6" s="3"/>
      <c r="AKH6" s="3"/>
      <c r="AKI6" s="3"/>
      <c r="AKJ6" s="3"/>
      <c r="AKK6" s="3"/>
      <c r="AKL6" s="3"/>
      <c r="AKM6" s="3"/>
      <c r="AKN6" s="3"/>
      <c r="AKO6" s="3"/>
      <c r="AKP6" s="3"/>
      <c r="AKQ6" s="3"/>
      <c r="AKR6" s="3"/>
      <c r="AKS6" s="3"/>
      <c r="AKT6" s="3"/>
      <c r="AKU6" s="3"/>
      <c r="AKV6" s="3"/>
      <c r="AKW6" s="3"/>
      <c r="AKX6" s="3"/>
      <c r="AKY6" s="3"/>
      <c r="AKZ6" s="3"/>
      <c r="ALA6" s="3"/>
      <c r="ALB6" s="3"/>
      <c r="ALC6" s="3"/>
      <c r="ALD6" s="3"/>
      <c r="ALE6" s="3"/>
      <c r="ALF6" s="3"/>
      <c r="ALG6" s="3"/>
      <c r="ALH6" s="3"/>
      <c r="ALI6" s="3"/>
      <c r="ALJ6" s="3"/>
      <c r="ALK6" s="3"/>
      <c r="ALL6" s="3"/>
      <c r="ALM6" s="3"/>
      <c r="ALN6" s="3"/>
      <c r="ALO6" s="3"/>
      <c r="ALP6" s="3"/>
      <c r="ALQ6" s="3"/>
      <c r="ALR6" s="3"/>
      <c r="ALS6" s="3"/>
      <c r="ALT6" s="3"/>
      <c r="ALU6" s="3"/>
      <c r="ALV6" s="3"/>
      <c r="ALW6" s="3"/>
      <c r="ALX6" s="3"/>
      <c r="ALY6" s="3"/>
      <c r="ALZ6" s="3"/>
      <c r="AMA6" s="3"/>
      <c r="AMB6" s="3"/>
      <c r="AMC6" s="3"/>
      <c r="AMD6" s="3"/>
      <c r="AME6" s="3"/>
      <c r="AMF6" s="3"/>
      <c r="AMG6" s="3"/>
      <c r="AMH6" s="3"/>
      <c r="AMI6" s="3"/>
      <c r="AMJ6" s="3"/>
      <c r="AMK6" s="3"/>
      <c r="AML6" s="3"/>
      <c r="AMM6" s="3"/>
      <c r="AMN6" s="3"/>
      <c r="AMO6" s="3"/>
      <c r="AMP6" s="3"/>
      <c r="AMQ6" s="3"/>
      <c r="AMR6" s="3"/>
      <c r="AMS6" s="3"/>
      <c r="AMT6" s="3"/>
      <c r="AMU6" s="3"/>
      <c r="AMV6" s="3"/>
      <c r="AMW6" s="3"/>
      <c r="AMX6" s="3"/>
      <c r="AMY6" s="3"/>
      <c r="AMZ6" s="3"/>
      <c r="ANA6" s="3"/>
      <c r="ANB6" s="3"/>
      <c r="ANC6" s="3"/>
      <c r="AND6" s="3"/>
      <c r="ANE6" s="3"/>
      <c r="ANF6" s="3"/>
      <c r="ANG6" s="3"/>
      <c r="ANH6" s="3"/>
      <c r="ANI6" s="3"/>
      <c r="ANJ6" s="3"/>
      <c r="ANK6" s="3"/>
      <c r="ANL6" s="3"/>
      <c r="ANM6" s="3"/>
      <c r="ANN6" s="3"/>
      <c r="ANO6" s="3"/>
      <c r="ANP6" s="3"/>
      <c r="ANQ6" s="3"/>
      <c r="ANR6" s="3"/>
      <c r="ANS6" s="3"/>
      <c r="ANT6" s="3"/>
      <c r="ANU6" s="3"/>
      <c r="ANV6" s="3"/>
      <c r="ANW6" s="3"/>
      <c r="ANX6" s="3"/>
      <c r="ANY6" s="3"/>
      <c r="ANZ6" s="3"/>
      <c r="AOA6" s="3"/>
      <c r="AOB6" s="3"/>
      <c r="AOC6" s="3"/>
      <c r="AOD6" s="3"/>
      <c r="AOE6" s="3"/>
      <c r="AOF6" s="3"/>
      <c r="AOG6" s="3"/>
      <c r="AOH6" s="3"/>
      <c r="AOI6" s="3"/>
      <c r="AOJ6" s="3"/>
      <c r="AOK6" s="3"/>
      <c r="AOL6" s="3"/>
      <c r="AOM6" s="3"/>
      <c r="AON6" s="3"/>
      <c r="AOO6" s="3"/>
      <c r="AOP6" s="3"/>
      <c r="AOQ6" s="3"/>
      <c r="AOR6" s="3"/>
      <c r="AOS6" s="3"/>
      <c r="AOT6" s="3"/>
      <c r="AOU6" s="3"/>
      <c r="AOV6" s="3"/>
      <c r="AOW6" s="3"/>
      <c r="AOX6" s="3"/>
      <c r="AOY6" s="3"/>
      <c r="AOZ6" s="3"/>
      <c r="APA6" s="3"/>
      <c r="APB6" s="3"/>
      <c r="APC6" s="3"/>
      <c r="APD6" s="3"/>
      <c r="APE6" s="3"/>
      <c r="APF6" s="3"/>
      <c r="APG6" s="3"/>
      <c r="APH6" s="3"/>
      <c r="API6" s="3"/>
      <c r="APJ6" s="3"/>
      <c r="APK6" s="3"/>
      <c r="APL6" s="3"/>
      <c r="APM6" s="3"/>
      <c r="APN6" s="3"/>
      <c r="APO6" s="3"/>
      <c r="APP6" s="3"/>
      <c r="APQ6" s="3"/>
      <c r="APR6" s="3"/>
      <c r="APS6" s="3"/>
      <c r="APT6" s="3"/>
      <c r="APU6" s="3"/>
      <c r="APV6" s="3"/>
      <c r="APW6" s="3"/>
      <c r="APX6" s="3"/>
      <c r="APY6" s="3"/>
      <c r="APZ6" s="3"/>
      <c r="AQA6" s="3"/>
      <c r="AQB6" s="3"/>
      <c r="AQC6" s="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042"/>
  <sheetViews>
    <sheetView topLeftCell="A1010" workbookViewId="0">
      <selection activeCell="G1" sqref="G1:G1042"/>
    </sheetView>
  </sheetViews>
  <sheetFormatPr defaultRowHeight="15" x14ac:dyDescent="0.25"/>
  <sheetData>
    <row r="1" spans="1:7" x14ac:dyDescent="0.25">
      <c r="A1" s="3" t="s">
        <v>752</v>
      </c>
      <c r="E1" t="str">
        <f>A1&amp;B1&amp;C1</f>
        <v>1</v>
      </c>
      <c r="G1" s="3" t="s">
        <v>752</v>
      </c>
    </row>
    <row r="2" spans="1:7" x14ac:dyDescent="0.25">
      <c r="A2" s="3" t="s">
        <v>753</v>
      </c>
      <c r="E2" s="14" t="str">
        <f t="shared" ref="E2:E65" si="0">A2&amp;B2&amp;C2</f>
        <v>2</v>
      </c>
      <c r="G2" s="3" t="s">
        <v>753</v>
      </c>
    </row>
    <row r="3" spans="1:7" x14ac:dyDescent="0.25">
      <c r="A3" s="3" t="s">
        <v>753</v>
      </c>
      <c r="E3" s="14" t="str">
        <f t="shared" si="0"/>
        <v>2</v>
      </c>
      <c r="G3" s="3" t="s">
        <v>753</v>
      </c>
    </row>
    <row r="4" spans="1:7" x14ac:dyDescent="0.25">
      <c r="A4" s="3" t="s">
        <v>753</v>
      </c>
      <c r="E4" s="14" t="str">
        <f t="shared" si="0"/>
        <v>2</v>
      </c>
      <c r="G4" s="3" t="s">
        <v>753</v>
      </c>
    </row>
    <row r="5" spans="1:7" x14ac:dyDescent="0.25">
      <c r="A5" s="3" t="s">
        <v>753</v>
      </c>
      <c r="E5" s="14" t="str">
        <f t="shared" si="0"/>
        <v>2</v>
      </c>
      <c r="G5" s="3" t="s">
        <v>753</v>
      </c>
    </row>
    <row r="6" spans="1:7" x14ac:dyDescent="0.25">
      <c r="A6" s="3" t="s">
        <v>753</v>
      </c>
      <c r="E6" s="14" t="str">
        <f t="shared" si="0"/>
        <v>2</v>
      </c>
      <c r="G6" s="3" t="s">
        <v>753</v>
      </c>
    </row>
    <row r="7" spans="1:7" x14ac:dyDescent="0.25">
      <c r="A7" s="3" t="s">
        <v>753</v>
      </c>
      <c r="E7" s="14" t="str">
        <f t="shared" si="0"/>
        <v>2</v>
      </c>
      <c r="G7" s="3" t="s">
        <v>753</v>
      </c>
    </row>
    <row r="8" spans="1:7" x14ac:dyDescent="0.25">
      <c r="A8" s="3" t="s">
        <v>752</v>
      </c>
      <c r="E8" s="14" t="str">
        <f t="shared" si="0"/>
        <v>1</v>
      </c>
      <c r="G8" s="3" t="s">
        <v>752</v>
      </c>
    </row>
    <row r="9" spans="1:7" x14ac:dyDescent="0.25">
      <c r="A9" s="3" t="s">
        <v>754</v>
      </c>
      <c r="E9" s="14" t="str">
        <f t="shared" si="0"/>
        <v>3</v>
      </c>
      <c r="G9" s="3" t="s">
        <v>754</v>
      </c>
    </row>
    <row r="10" spans="1:7" x14ac:dyDescent="0.25">
      <c r="A10" s="3" t="s">
        <v>754</v>
      </c>
      <c r="E10" s="14" t="str">
        <f t="shared" si="0"/>
        <v>3</v>
      </c>
      <c r="G10" s="3" t="s">
        <v>754</v>
      </c>
    </row>
    <row r="11" spans="1:7" x14ac:dyDescent="0.25">
      <c r="A11" s="3" t="s">
        <v>754</v>
      </c>
      <c r="E11" s="14" t="str">
        <f t="shared" si="0"/>
        <v>3</v>
      </c>
      <c r="G11" s="3" t="s">
        <v>754</v>
      </c>
    </row>
    <row r="12" spans="1:7" x14ac:dyDescent="0.25">
      <c r="A12" s="3" t="s">
        <v>754</v>
      </c>
      <c r="E12" s="14" t="str">
        <f t="shared" si="0"/>
        <v>3</v>
      </c>
      <c r="G12" s="3" t="s">
        <v>754</v>
      </c>
    </row>
    <row r="13" spans="1:7" x14ac:dyDescent="0.25">
      <c r="A13" s="3" t="s">
        <v>754</v>
      </c>
      <c r="E13" s="14" t="str">
        <f t="shared" si="0"/>
        <v>3</v>
      </c>
      <c r="G13" s="3" t="s">
        <v>754</v>
      </c>
    </row>
    <row r="14" spans="1:7" x14ac:dyDescent="0.25">
      <c r="A14" s="3" t="s">
        <v>754</v>
      </c>
      <c r="E14" s="14" t="str">
        <f t="shared" si="0"/>
        <v>3</v>
      </c>
      <c r="G14" s="3" t="s">
        <v>754</v>
      </c>
    </row>
    <row r="15" spans="1:7" x14ac:dyDescent="0.25">
      <c r="A15" s="3" t="s">
        <v>752</v>
      </c>
      <c r="E15" s="14" t="str">
        <f t="shared" si="0"/>
        <v>1</v>
      </c>
      <c r="G15" s="3" t="s">
        <v>752</v>
      </c>
    </row>
    <row r="16" spans="1:7" x14ac:dyDescent="0.25">
      <c r="A16" s="3" t="s">
        <v>755</v>
      </c>
      <c r="E16" s="14" t="str">
        <f t="shared" si="0"/>
        <v>4</v>
      </c>
      <c r="G16" s="3" t="s">
        <v>755</v>
      </c>
    </row>
    <row r="17" spans="1:7" x14ac:dyDescent="0.25">
      <c r="A17" s="3" t="s">
        <v>755</v>
      </c>
      <c r="E17" s="14" t="str">
        <f t="shared" si="0"/>
        <v>4</v>
      </c>
      <c r="G17" s="3" t="s">
        <v>755</v>
      </c>
    </row>
    <row r="18" spans="1:7" x14ac:dyDescent="0.25">
      <c r="A18" s="3" t="s">
        <v>755</v>
      </c>
      <c r="E18" s="14" t="str">
        <f t="shared" si="0"/>
        <v>4</v>
      </c>
      <c r="G18" s="3" t="s">
        <v>755</v>
      </c>
    </row>
    <row r="19" spans="1:7" x14ac:dyDescent="0.25">
      <c r="A19" s="3" t="s">
        <v>755</v>
      </c>
      <c r="E19" s="14" t="str">
        <f t="shared" si="0"/>
        <v>4</v>
      </c>
      <c r="G19" s="3" t="s">
        <v>755</v>
      </c>
    </row>
    <row r="20" spans="1:7" x14ac:dyDescent="0.25">
      <c r="A20" s="3" t="s">
        <v>755</v>
      </c>
      <c r="E20" s="14" t="str">
        <f t="shared" si="0"/>
        <v>4</v>
      </c>
      <c r="G20" s="3" t="s">
        <v>755</v>
      </c>
    </row>
    <row r="21" spans="1:7" x14ac:dyDescent="0.25">
      <c r="A21" s="3" t="s">
        <v>755</v>
      </c>
      <c r="E21" s="14" t="str">
        <f t="shared" si="0"/>
        <v>4</v>
      </c>
      <c r="G21" s="3" t="s">
        <v>755</v>
      </c>
    </row>
    <row r="22" spans="1:7" x14ac:dyDescent="0.25">
      <c r="A22" s="3" t="s">
        <v>752</v>
      </c>
      <c r="E22" s="14" t="str">
        <f t="shared" si="0"/>
        <v>1</v>
      </c>
      <c r="G22" s="3" t="s">
        <v>752</v>
      </c>
    </row>
    <row r="23" spans="1:7" x14ac:dyDescent="0.25">
      <c r="A23" s="3" t="s">
        <v>756</v>
      </c>
      <c r="E23" s="14" t="str">
        <f t="shared" si="0"/>
        <v>5</v>
      </c>
      <c r="G23" s="3" t="s">
        <v>756</v>
      </c>
    </row>
    <row r="24" spans="1:7" x14ac:dyDescent="0.25">
      <c r="A24" s="3" t="s">
        <v>756</v>
      </c>
      <c r="E24" s="14" t="str">
        <f t="shared" si="0"/>
        <v>5</v>
      </c>
      <c r="G24" s="3" t="s">
        <v>756</v>
      </c>
    </row>
    <row r="25" spans="1:7" x14ac:dyDescent="0.25">
      <c r="A25" s="3" t="s">
        <v>756</v>
      </c>
      <c r="E25" s="14" t="str">
        <f t="shared" si="0"/>
        <v>5</v>
      </c>
      <c r="G25" s="3" t="s">
        <v>756</v>
      </c>
    </row>
    <row r="26" spans="1:7" x14ac:dyDescent="0.25">
      <c r="A26" s="3" t="s">
        <v>756</v>
      </c>
      <c r="E26" s="14" t="str">
        <f t="shared" si="0"/>
        <v>5</v>
      </c>
      <c r="G26" s="3" t="s">
        <v>756</v>
      </c>
    </row>
    <row r="27" spans="1:7" x14ac:dyDescent="0.25">
      <c r="A27" s="3" t="s">
        <v>756</v>
      </c>
      <c r="E27" s="14" t="str">
        <f t="shared" si="0"/>
        <v>5</v>
      </c>
      <c r="G27" s="3" t="s">
        <v>756</v>
      </c>
    </row>
    <row r="28" spans="1:7" x14ac:dyDescent="0.25">
      <c r="A28" s="3" t="s">
        <v>756</v>
      </c>
      <c r="E28" s="14" t="str">
        <f t="shared" si="0"/>
        <v>5</v>
      </c>
      <c r="G28" s="3" t="s">
        <v>756</v>
      </c>
    </row>
    <row r="29" spans="1:7" x14ac:dyDescent="0.25">
      <c r="A29" s="3" t="s">
        <v>752</v>
      </c>
      <c r="E29" s="14" t="str">
        <f t="shared" si="0"/>
        <v>1</v>
      </c>
      <c r="G29" s="3" t="s">
        <v>752</v>
      </c>
    </row>
    <row r="30" spans="1:7" x14ac:dyDescent="0.25">
      <c r="A30" s="3" t="s">
        <v>757</v>
      </c>
      <c r="E30" s="14" t="str">
        <f t="shared" si="0"/>
        <v>6</v>
      </c>
      <c r="G30" s="3" t="s">
        <v>757</v>
      </c>
    </row>
    <row r="31" spans="1:7" x14ac:dyDescent="0.25">
      <c r="A31" s="3" t="s">
        <v>757</v>
      </c>
      <c r="E31" s="14" t="str">
        <f t="shared" si="0"/>
        <v>6</v>
      </c>
      <c r="G31" s="3" t="s">
        <v>757</v>
      </c>
    </row>
    <row r="32" spans="1:7" x14ac:dyDescent="0.25">
      <c r="A32" s="3" t="s">
        <v>757</v>
      </c>
      <c r="E32" s="14" t="str">
        <f t="shared" si="0"/>
        <v>6</v>
      </c>
      <c r="G32" s="3" t="s">
        <v>757</v>
      </c>
    </row>
    <row r="33" spans="1:7" x14ac:dyDescent="0.25">
      <c r="A33" s="3" t="s">
        <v>757</v>
      </c>
      <c r="E33" s="14" t="str">
        <f t="shared" si="0"/>
        <v>6</v>
      </c>
      <c r="G33" s="3" t="s">
        <v>757</v>
      </c>
    </row>
    <row r="34" spans="1:7" x14ac:dyDescent="0.25">
      <c r="A34" s="3" t="s">
        <v>757</v>
      </c>
      <c r="E34" s="14" t="str">
        <f t="shared" si="0"/>
        <v>6</v>
      </c>
      <c r="G34" s="3" t="s">
        <v>757</v>
      </c>
    </row>
    <row r="35" spans="1:7" x14ac:dyDescent="0.25">
      <c r="A35" s="3" t="s">
        <v>757</v>
      </c>
      <c r="E35" s="14" t="str">
        <f t="shared" si="0"/>
        <v>6</v>
      </c>
      <c r="G35" s="3" t="s">
        <v>757</v>
      </c>
    </row>
    <row r="36" spans="1:7" x14ac:dyDescent="0.25">
      <c r="A36" s="3" t="s">
        <v>752</v>
      </c>
      <c r="E36" s="14" t="str">
        <f t="shared" si="0"/>
        <v>1</v>
      </c>
      <c r="G36" s="3" t="s">
        <v>752</v>
      </c>
    </row>
    <row r="37" spans="1:7" x14ac:dyDescent="0.25">
      <c r="A37" s="3" t="s">
        <v>758</v>
      </c>
      <c r="B37" t="s">
        <v>745</v>
      </c>
      <c r="C37" t="s">
        <v>746</v>
      </c>
      <c r="E37" s="14" t="str">
        <f t="shared" si="0"/>
        <v>7_A_A</v>
      </c>
      <c r="G37" s="3" t="s">
        <v>758</v>
      </c>
    </row>
    <row r="38" spans="1:7" x14ac:dyDescent="0.25">
      <c r="A38" s="3" t="s">
        <v>758</v>
      </c>
      <c r="B38" s="14" t="s">
        <v>745</v>
      </c>
      <c r="C38" s="14" t="s">
        <v>746</v>
      </c>
      <c r="E38" s="14" t="str">
        <f t="shared" si="0"/>
        <v>7_A_A</v>
      </c>
      <c r="G38" s="3" t="s">
        <v>758</v>
      </c>
    </row>
    <row r="39" spans="1:7" x14ac:dyDescent="0.25">
      <c r="A39" s="3" t="s">
        <v>758</v>
      </c>
      <c r="B39" s="14" t="s">
        <v>745</v>
      </c>
      <c r="C39" s="14" t="s">
        <v>746</v>
      </c>
      <c r="E39" s="14" t="str">
        <f t="shared" si="0"/>
        <v>7_A_A</v>
      </c>
      <c r="G39" s="3" t="s">
        <v>758</v>
      </c>
    </row>
    <row r="40" spans="1:7" x14ac:dyDescent="0.25">
      <c r="A40" s="3" t="s">
        <v>758</v>
      </c>
      <c r="B40" s="14" t="s">
        <v>745</v>
      </c>
      <c r="C40" s="14" t="s">
        <v>746</v>
      </c>
      <c r="E40" s="14" t="str">
        <f t="shared" si="0"/>
        <v>7_A_A</v>
      </c>
      <c r="G40" s="3" t="s">
        <v>758</v>
      </c>
    </row>
    <row r="41" spans="1:7" x14ac:dyDescent="0.25">
      <c r="A41" s="3" t="s">
        <v>758</v>
      </c>
      <c r="B41" s="14" t="s">
        <v>745</v>
      </c>
      <c r="C41" s="14" t="s">
        <v>746</v>
      </c>
      <c r="E41" s="14" t="str">
        <f t="shared" si="0"/>
        <v>7_A_A</v>
      </c>
      <c r="G41" s="3" t="s">
        <v>758</v>
      </c>
    </row>
    <row r="42" spans="1:7" x14ac:dyDescent="0.25">
      <c r="A42" s="3" t="s">
        <v>758</v>
      </c>
      <c r="B42" s="14" t="s">
        <v>745</v>
      </c>
      <c r="C42" s="14" t="s">
        <v>746</v>
      </c>
      <c r="E42" s="14" t="str">
        <f t="shared" si="0"/>
        <v>7_A_A</v>
      </c>
      <c r="G42" s="3" t="s">
        <v>758</v>
      </c>
    </row>
    <row r="43" spans="1:7" x14ac:dyDescent="0.25">
      <c r="A43" s="3" t="s">
        <v>758</v>
      </c>
      <c r="B43" s="14" t="s">
        <v>745</v>
      </c>
      <c r="C43" s="14" t="s">
        <v>746</v>
      </c>
      <c r="E43" s="14" t="str">
        <f t="shared" si="0"/>
        <v>7_A_A</v>
      </c>
      <c r="G43" s="3" t="s">
        <v>758</v>
      </c>
    </row>
    <row r="44" spans="1:7" x14ac:dyDescent="0.25">
      <c r="A44" s="3" t="s">
        <v>758</v>
      </c>
      <c r="B44" s="14" t="s">
        <v>745</v>
      </c>
      <c r="C44" s="14" t="s">
        <v>746</v>
      </c>
      <c r="E44" s="14" t="str">
        <f t="shared" si="0"/>
        <v>7_A_A</v>
      </c>
      <c r="G44" s="3" t="s">
        <v>1599</v>
      </c>
    </row>
    <row r="45" spans="1:7" x14ac:dyDescent="0.25">
      <c r="A45" s="3" t="s">
        <v>758</v>
      </c>
      <c r="B45" s="14" t="s">
        <v>745</v>
      </c>
      <c r="C45" s="14" t="s">
        <v>746</v>
      </c>
      <c r="E45" s="14" t="str">
        <f t="shared" si="0"/>
        <v>7_A_A</v>
      </c>
      <c r="G45" s="3" t="s">
        <v>1599</v>
      </c>
    </row>
    <row r="46" spans="1:7" x14ac:dyDescent="0.25">
      <c r="A46" s="3" t="s">
        <v>758</v>
      </c>
      <c r="B46" s="14" t="s">
        <v>745</v>
      </c>
      <c r="C46" s="14" t="s">
        <v>746</v>
      </c>
      <c r="E46" s="14" t="str">
        <f t="shared" si="0"/>
        <v>7_A_A</v>
      </c>
      <c r="G46" s="3" t="s">
        <v>1599</v>
      </c>
    </row>
    <row r="47" spans="1:7" x14ac:dyDescent="0.25">
      <c r="A47" s="3" t="s">
        <v>758</v>
      </c>
      <c r="B47" s="14" t="s">
        <v>745</v>
      </c>
      <c r="C47" s="14" t="s">
        <v>746</v>
      </c>
      <c r="E47" s="14" t="str">
        <f t="shared" si="0"/>
        <v>7_A_A</v>
      </c>
      <c r="G47" s="3" t="s">
        <v>1599</v>
      </c>
    </row>
    <row r="48" spans="1:7" x14ac:dyDescent="0.25">
      <c r="A48" s="3" t="s">
        <v>758</v>
      </c>
      <c r="B48" s="14" t="s">
        <v>745</v>
      </c>
      <c r="C48" s="14" t="s">
        <v>746</v>
      </c>
      <c r="E48" s="14" t="str">
        <f t="shared" si="0"/>
        <v>7_A_A</v>
      </c>
      <c r="G48" s="3" t="s">
        <v>1599</v>
      </c>
    </row>
    <row r="49" spans="1:7" x14ac:dyDescent="0.25">
      <c r="A49" s="3" t="s">
        <v>758</v>
      </c>
      <c r="B49" s="14" t="s">
        <v>745</v>
      </c>
      <c r="C49" s="14" t="s">
        <v>746</v>
      </c>
      <c r="E49" s="14" t="str">
        <f t="shared" si="0"/>
        <v>7_A_A</v>
      </c>
      <c r="G49" s="3" t="s">
        <v>1599</v>
      </c>
    </row>
    <row r="50" spans="1:7" x14ac:dyDescent="0.25">
      <c r="A50" s="3" t="s">
        <v>758</v>
      </c>
      <c r="B50" s="14" t="s">
        <v>745</v>
      </c>
      <c r="C50" s="14" t="s">
        <v>746</v>
      </c>
      <c r="E50" s="14" t="str">
        <f t="shared" si="0"/>
        <v>7_A_A</v>
      </c>
      <c r="G50" s="3" t="s">
        <v>1599</v>
      </c>
    </row>
    <row r="51" spans="1:7" x14ac:dyDescent="0.25">
      <c r="A51" s="3" t="s">
        <v>758</v>
      </c>
      <c r="B51" s="14" t="s">
        <v>745</v>
      </c>
      <c r="C51" s="14" t="s">
        <v>746</v>
      </c>
      <c r="E51" s="14" t="str">
        <f t="shared" si="0"/>
        <v>7_A_A</v>
      </c>
      <c r="G51" s="3" t="s">
        <v>1599</v>
      </c>
    </row>
    <row r="52" spans="1:7" x14ac:dyDescent="0.25">
      <c r="A52" s="3" t="s">
        <v>759</v>
      </c>
      <c r="B52" s="14" t="s">
        <v>745</v>
      </c>
      <c r="C52" s="14" t="s">
        <v>747</v>
      </c>
      <c r="E52" s="14" t="str">
        <f t="shared" si="0"/>
        <v>7_B_B</v>
      </c>
      <c r="G52" s="3" t="s">
        <v>759</v>
      </c>
    </row>
    <row r="53" spans="1:7" x14ac:dyDescent="0.25">
      <c r="A53" s="3" t="s">
        <v>759</v>
      </c>
      <c r="B53" s="14" t="s">
        <v>745</v>
      </c>
      <c r="C53" s="14" t="s">
        <v>747</v>
      </c>
      <c r="E53" s="14" t="str">
        <f t="shared" si="0"/>
        <v>7_B_B</v>
      </c>
      <c r="G53" s="3" t="s">
        <v>759</v>
      </c>
    </row>
    <row r="54" spans="1:7" x14ac:dyDescent="0.25">
      <c r="A54" s="3" t="s">
        <v>759</v>
      </c>
      <c r="B54" s="14" t="s">
        <v>745</v>
      </c>
      <c r="C54" s="14" t="s">
        <v>747</v>
      </c>
      <c r="E54" s="14" t="str">
        <f t="shared" si="0"/>
        <v>7_B_B</v>
      </c>
      <c r="G54" s="3" t="s">
        <v>759</v>
      </c>
    </row>
    <row r="55" spans="1:7" x14ac:dyDescent="0.25">
      <c r="A55" s="3" t="s">
        <v>759</v>
      </c>
      <c r="B55" s="14" t="s">
        <v>745</v>
      </c>
      <c r="C55" s="14" t="s">
        <v>747</v>
      </c>
      <c r="E55" s="14" t="str">
        <f t="shared" si="0"/>
        <v>7_B_B</v>
      </c>
      <c r="G55" s="3" t="s">
        <v>759</v>
      </c>
    </row>
    <row r="56" spans="1:7" x14ac:dyDescent="0.25">
      <c r="A56" s="3" t="s">
        <v>759</v>
      </c>
      <c r="B56" s="14" t="s">
        <v>745</v>
      </c>
      <c r="C56" s="14" t="s">
        <v>747</v>
      </c>
      <c r="E56" s="14" t="str">
        <f t="shared" si="0"/>
        <v>7_B_B</v>
      </c>
      <c r="G56" s="3" t="s">
        <v>759</v>
      </c>
    </row>
    <row r="57" spans="1:7" x14ac:dyDescent="0.25">
      <c r="A57" s="3" t="s">
        <v>759</v>
      </c>
      <c r="B57" s="14" t="s">
        <v>745</v>
      </c>
      <c r="C57" s="14" t="s">
        <v>747</v>
      </c>
      <c r="E57" s="14" t="str">
        <f t="shared" si="0"/>
        <v>7_B_B</v>
      </c>
      <c r="G57" s="3" t="s">
        <v>759</v>
      </c>
    </row>
    <row r="58" spans="1:7" x14ac:dyDescent="0.25">
      <c r="A58" s="3" t="s">
        <v>759</v>
      </c>
      <c r="B58" s="14" t="s">
        <v>745</v>
      </c>
      <c r="C58" s="14" t="s">
        <v>747</v>
      </c>
      <c r="E58" s="14" t="str">
        <f t="shared" si="0"/>
        <v>7_B_B</v>
      </c>
      <c r="G58" s="3" t="s">
        <v>759</v>
      </c>
    </row>
    <row r="59" spans="1:7" x14ac:dyDescent="0.25">
      <c r="A59" s="3" t="s">
        <v>759</v>
      </c>
      <c r="B59" s="14" t="s">
        <v>745</v>
      </c>
      <c r="C59" s="14" t="s">
        <v>747</v>
      </c>
      <c r="E59" s="14" t="str">
        <f t="shared" si="0"/>
        <v>7_B_B</v>
      </c>
      <c r="G59" s="3" t="s">
        <v>759</v>
      </c>
    </row>
    <row r="60" spans="1:7" x14ac:dyDescent="0.25">
      <c r="A60" s="3" t="s">
        <v>759</v>
      </c>
      <c r="B60" s="14" t="s">
        <v>745</v>
      </c>
      <c r="C60" s="14" t="s">
        <v>747</v>
      </c>
      <c r="E60" s="14" t="str">
        <f t="shared" si="0"/>
        <v>7_B_B</v>
      </c>
      <c r="G60" s="3" t="s">
        <v>1600</v>
      </c>
    </row>
    <row r="61" spans="1:7" x14ac:dyDescent="0.25">
      <c r="A61" s="3" t="s">
        <v>759</v>
      </c>
      <c r="B61" s="14" t="s">
        <v>745</v>
      </c>
      <c r="C61" s="14" t="s">
        <v>747</v>
      </c>
      <c r="E61" s="14" t="str">
        <f t="shared" si="0"/>
        <v>7_B_B</v>
      </c>
      <c r="G61" s="3" t="s">
        <v>1600</v>
      </c>
    </row>
    <row r="62" spans="1:7" x14ac:dyDescent="0.25">
      <c r="A62" s="3" t="s">
        <v>759</v>
      </c>
      <c r="B62" s="14" t="s">
        <v>745</v>
      </c>
      <c r="C62" s="14" t="s">
        <v>747</v>
      </c>
      <c r="E62" s="14" t="str">
        <f t="shared" si="0"/>
        <v>7_B_B</v>
      </c>
      <c r="G62" s="3" t="s">
        <v>1600</v>
      </c>
    </row>
    <row r="63" spans="1:7" x14ac:dyDescent="0.25">
      <c r="A63" s="3" t="s">
        <v>759</v>
      </c>
      <c r="B63" s="14" t="s">
        <v>745</v>
      </c>
      <c r="C63" s="14" t="s">
        <v>747</v>
      </c>
      <c r="E63" s="14" t="str">
        <f t="shared" si="0"/>
        <v>7_B_B</v>
      </c>
      <c r="G63" s="3" t="s">
        <v>1600</v>
      </c>
    </row>
    <row r="64" spans="1:7" x14ac:dyDescent="0.25">
      <c r="A64" s="3" t="s">
        <v>759</v>
      </c>
      <c r="B64" s="14" t="s">
        <v>745</v>
      </c>
      <c r="C64" s="14" t="s">
        <v>747</v>
      </c>
      <c r="E64" s="14" t="str">
        <f t="shared" si="0"/>
        <v>7_B_B</v>
      </c>
      <c r="G64" s="3" t="s">
        <v>1600</v>
      </c>
    </row>
    <row r="65" spans="1:7" x14ac:dyDescent="0.25">
      <c r="A65" s="3" t="s">
        <v>759</v>
      </c>
      <c r="B65" s="14" t="s">
        <v>745</v>
      </c>
      <c r="C65" s="14" t="s">
        <v>747</v>
      </c>
      <c r="E65" s="14" t="str">
        <f t="shared" si="0"/>
        <v>7_B_B</v>
      </c>
      <c r="G65" s="3" t="s">
        <v>1600</v>
      </c>
    </row>
    <row r="66" spans="1:7" x14ac:dyDescent="0.25">
      <c r="A66" s="3" t="s">
        <v>759</v>
      </c>
      <c r="B66" s="14" t="s">
        <v>745</v>
      </c>
      <c r="C66" s="14" t="s">
        <v>747</v>
      </c>
      <c r="E66" s="14" t="str">
        <f t="shared" ref="E66:E129" si="1">A66&amp;B66&amp;C66</f>
        <v>7_B_B</v>
      </c>
      <c r="G66" s="3" t="s">
        <v>1600</v>
      </c>
    </row>
    <row r="67" spans="1:7" x14ac:dyDescent="0.25">
      <c r="A67" s="3" t="s">
        <v>760</v>
      </c>
      <c r="B67" t="s">
        <v>745</v>
      </c>
      <c r="C67" t="s">
        <v>733</v>
      </c>
      <c r="E67" s="14" t="str">
        <f t="shared" si="1"/>
        <v>7_C_C</v>
      </c>
      <c r="G67" s="3" t="s">
        <v>760</v>
      </c>
    </row>
    <row r="68" spans="1:7" x14ac:dyDescent="0.25">
      <c r="A68" s="3" t="s">
        <v>760</v>
      </c>
      <c r="B68" s="14" t="s">
        <v>745</v>
      </c>
      <c r="C68" s="14" t="s">
        <v>733</v>
      </c>
      <c r="E68" s="14" t="str">
        <f t="shared" si="1"/>
        <v>7_C_C</v>
      </c>
      <c r="G68" s="3" t="s">
        <v>760</v>
      </c>
    </row>
    <row r="69" spans="1:7" x14ac:dyDescent="0.25">
      <c r="A69" s="3" t="s">
        <v>760</v>
      </c>
      <c r="B69" s="14" t="s">
        <v>745</v>
      </c>
      <c r="C69" s="14" t="s">
        <v>733</v>
      </c>
      <c r="E69" s="14" t="str">
        <f t="shared" si="1"/>
        <v>7_C_C</v>
      </c>
      <c r="G69" s="3" t="s">
        <v>760</v>
      </c>
    </row>
    <row r="70" spans="1:7" x14ac:dyDescent="0.25">
      <c r="A70" s="3" t="s">
        <v>760</v>
      </c>
      <c r="B70" s="14" t="s">
        <v>745</v>
      </c>
      <c r="C70" s="14" t="s">
        <v>733</v>
      </c>
      <c r="E70" s="14" t="str">
        <f t="shared" si="1"/>
        <v>7_C_C</v>
      </c>
      <c r="G70" s="3" t="s">
        <v>760</v>
      </c>
    </row>
    <row r="71" spans="1:7" x14ac:dyDescent="0.25">
      <c r="A71" s="3" t="s">
        <v>760</v>
      </c>
      <c r="B71" s="14" t="s">
        <v>745</v>
      </c>
      <c r="C71" s="14" t="s">
        <v>733</v>
      </c>
      <c r="E71" s="14" t="str">
        <f t="shared" si="1"/>
        <v>7_C_C</v>
      </c>
      <c r="G71" s="3" t="s">
        <v>760</v>
      </c>
    </row>
    <row r="72" spans="1:7" x14ac:dyDescent="0.25">
      <c r="A72" s="3" t="s">
        <v>760</v>
      </c>
      <c r="B72" s="14" t="s">
        <v>745</v>
      </c>
      <c r="C72" s="14" t="s">
        <v>733</v>
      </c>
      <c r="E72" s="14" t="str">
        <f t="shared" si="1"/>
        <v>7_C_C</v>
      </c>
      <c r="G72" s="3" t="s">
        <v>760</v>
      </c>
    </row>
    <row r="73" spans="1:7" x14ac:dyDescent="0.25">
      <c r="A73" s="3" t="s">
        <v>760</v>
      </c>
      <c r="B73" s="14" t="s">
        <v>745</v>
      </c>
      <c r="C73" s="14" t="s">
        <v>733</v>
      </c>
      <c r="E73" s="14" t="str">
        <f t="shared" si="1"/>
        <v>7_C_C</v>
      </c>
      <c r="G73" s="3" t="s">
        <v>760</v>
      </c>
    </row>
    <row r="74" spans="1:7" x14ac:dyDescent="0.25">
      <c r="A74" s="3" t="s">
        <v>760</v>
      </c>
      <c r="B74" s="14" t="s">
        <v>745</v>
      </c>
      <c r="C74" s="14" t="s">
        <v>733</v>
      </c>
      <c r="E74" s="14" t="str">
        <f t="shared" si="1"/>
        <v>7_C_C</v>
      </c>
      <c r="G74" s="3" t="s">
        <v>760</v>
      </c>
    </row>
    <row r="75" spans="1:7" x14ac:dyDescent="0.25">
      <c r="A75" s="3" t="s">
        <v>760</v>
      </c>
      <c r="B75" s="14" t="s">
        <v>745</v>
      </c>
      <c r="C75" s="14" t="s">
        <v>733</v>
      </c>
      <c r="E75" s="14" t="str">
        <f t="shared" si="1"/>
        <v>7_C_C</v>
      </c>
      <c r="G75" s="3" t="s">
        <v>1601</v>
      </c>
    </row>
    <row r="76" spans="1:7" x14ac:dyDescent="0.25">
      <c r="A76" s="3" t="s">
        <v>760</v>
      </c>
      <c r="B76" s="14" t="s">
        <v>745</v>
      </c>
      <c r="C76" s="14" t="s">
        <v>733</v>
      </c>
      <c r="E76" s="14" t="str">
        <f t="shared" si="1"/>
        <v>7_C_C</v>
      </c>
      <c r="G76" s="3" t="s">
        <v>1601</v>
      </c>
    </row>
    <row r="77" spans="1:7" x14ac:dyDescent="0.25">
      <c r="A77" s="3" t="s">
        <v>760</v>
      </c>
      <c r="B77" s="14" t="s">
        <v>745</v>
      </c>
      <c r="C77" s="14" t="s">
        <v>733</v>
      </c>
      <c r="E77" s="14" t="str">
        <f t="shared" si="1"/>
        <v>7_C_C</v>
      </c>
      <c r="G77" s="3" t="s">
        <v>1601</v>
      </c>
    </row>
    <row r="78" spans="1:7" x14ac:dyDescent="0.25">
      <c r="A78" s="3" t="s">
        <v>760</v>
      </c>
      <c r="B78" s="14" t="s">
        <v>745</v>
      </c>
      <c r="C78" s="14" t="s">
        <v>733</v>
      </c>
      <c r="E78" s="14" t="str">
        <f t="shared" si="1"/>
        <v>7_C_C</v>
      </c>
      <c r="G78" s="3" t="s">
        <v>1601</v>
      </c>
    </row>
    <row r="79" spans="1:7" x14ac:dyDescent="0.25">
      <c r="A79" s="3" t="s">
        <v>760</v>
      </c>
      <c r="B79" s="14" t="s">
        <v>745</v>
      </c>
      <c r="C79" s="14" t="s">
        <v>733</v>
      </c>
      <c r="E79" s="14" t="str">
        <f t="shared" si="1"/>
        <v>7_C_C</v>
      </c>
      <c r="G79" s="3" t="s">
        <v>1601</v>
      </c>
    </row>
    <row r="80" spans="1:7" x14ac:dyDescent="0.25">
      <c r="A80" s="3" t="s">
        <v>760</v>
      </c>
      <c r="B80" s="14" t="s">
        <v>745</v>
      </c>
      <c r="C80" s="14" t="s">
        <v>733</v>
      </c>
      <c r="E80" s="14" t="str">
        <f t="shared" si="1"/>
        <v>7_C_C</v>
      </c>
      <c r="G80" s="3" t="s">
        <v>1601</v>
      </c>
    </row>
    <row r="81" spans="1:7" x14ac:dyDescent="0.25">
      <c r="A81" s="3" t="s">
        <v>760</v>
      </c>
      <c r="B81" s="14" t="s">
        <v>745</v>
      </c>
      <c r="C81" s="14" t="s">
        <v>733</v>
      </c>
      <c r="E81" s="14" t="str">
        <f t="shared" si="1"/>
        <v>7_C_C</v>
      </c>
      <c r="G81" s="3" t="s">
        <v>1601</v>
      </c>
    </row>
    <row r="82" spans="1:7" x14ac:dyDescent="0.25">
      <c r="A82" s="3" t="s">
        <v>760</v>
      </c>
      <c r="B82" s="14" t="s">
        <v>745</v>
      </c>
      <c r="C82" s="14" t="s">
        <v>733</v>
      </c>
      <c r="E82" s="14" t="str">
        <f t="shared" si="1"/>
        <v>7_C_C</v>
      </c>
      <c r="G82" s="3" t="s">
        <v>1601</v>
      </c>
    </row>
    <row r="83" spans="1:7" x14ac:dyDescent="0.25">
      <c r="A83" s="3" t="s">
        <v>761</v>
      </c>
      <c r="B83" t="s">
        <v>745</v>
      </c>
      <c r="C83" t="s">
        <v>735</v>
      </c>
      <c r="E83" s="14" t="str">
        <f t="shared" si="1"/>
        <v>7_D_D</v>
      </c>
      <c r="G83" s="3" t="s">
        <v>761</v>
      </c>
    </row>
    <row r="84" spans="1:7" x14ac:dyDescent="0.25">
      <c r="A84" s="3" t="s">
        <v>761</v>
      </c>
      <c r="B84" s="14" t="s">
        <v>745</v>
      </c>
      <c r="C84" s="14" t="s">
        <v>735</v>
      </c>
      <c r="E84" s="14" t="str">
        <f t="shared" si="1"/>
        <v>7_D_D</v>
      </c>
      <c r="G84" s="3" t="s">
        <v>761</v>
      </c>
    </row>
    <row r="85" spans="1:7" x14ac:dyDescent="0.25">
      <c r="A85" s="3" t="s">
        <v>761</v>
      </c>
      <c r="B85" s="14" t="s">
        <v>745</v>
      </c>
      <c r="C85" s="14" t="s">
        <v>735</v>
      </c>
      <c r="E85" s="14" t="str">
        <f t="shared" si="1"/>
        <v>7_D_D</v>
      </c>
      <c r="G85" s="3" t="s">
        <v>761</v>
      </c>
    </row>
    <row r="86" spans="1:7" x14ac:dyDescent="0.25">
      <c r="A86" s="3" t="s">
        <v>761</v>
      </c>
      <c r="B86" s="14" t="s">
        <v>745</v>
      </c>
      <c r="C86" s="14" t="s">
        <v>735</v>
      </c>
      <c r="E86" s="14" t="str">
        <f t="shared" si="1"/>
        <v>7_D_D</v>
      </c>
      <c r="G86" s="3" t="s">
        <v>761</v>
      </c>
    </row>
    <row r="87" spans="1:7" x14ac:dyDescent="0.25">
      <c r="A87" s="3" t="s">
        <v>761</v>
      </c>
      <c r="B87" s="14" t="s">
        <v>745</v>
      </c>
      <c r="C87" s="14" t="s">
        <v>735</v>
      </c>
      <c r="E87" s="14" t="str">
        <f t="shared" si="1"/>
        <v>7_D_D</v>
      </c>
      <c r="G87" s="3" t="s">
        <v>761</v>
      </c>
    </row>
    <row r="88" spans="1:7" x14ac:dyDescent="0.25">
      <c r="A88" s="3" t="s">
        <v>761</v>
      </c>
      <c r="B88" s="14" t="s">
        <v>745</v>
      </c>
      <c r="C88" s="14" t="s">
        <v>735</v>
      </c>
      <c r="E88" s="14" t="str">
        <f t="shared" si="1"/>
        <v>7_D_D</v>
      </c>
      <c r="G88" s="3" t="s">
        <v>761</v>
      </c>
    </row>
    <row r="89" spans="1:7" x14ac:dyDescent="0.25">
      <c r="A89" s="3" t="s">
        <v>761</v>
      </c>
      <c r="B89" s="14" t="s">
        <v>745</v>
      </c>
      <c r="C89" s="14" t="s">
        <v>735</v>
      </c>
      <c r="E89" s="14" t="str">
        <f t="shared" si="1"/>
        <v>7_D_D</v>
      </c>
      <c r="G89" s="3" t="s">
        <v>761</v>
      </c>
    </row>
    <row r="90" spans="1:7" x14ac:dyDescent="0.25">
      <c r="A90" s="3" t="s">
        <v>761</v>
      </c>
      <c r="B90" s="14" t="s">
        <v>745</v>
      </c>
      <c r="C90" s="14" t="s">
        <v>735</v>
      </c>
      <c r="E90" s="14" t="str">
        <f t="shared" si="1"/>
        <v>7_D_D</v>
      </c>
      <c r="G90" s="3" t="s">
        <v>761</v>
      </c>
    </row>
    <row r="91" spans="1:7" x14ac:dyDescent="0.25">
      <c r="A91" s="3" t="s">
        <v>761</v>
      </c>
      <c r="B91" s="14" t="s">
        <v>745</v>
      </c>
      <c r="C91" s="14" t="s">
        <v>735</v>
      </c>
      <c r="E91" s="14" t="str">
        <f t="shared" si="1"/>
        <v>7_D_D</v>
      </c>
      <c r="G91" s="3" t="s">
        <v>1602</v>
      </c>
    </row>
    <row r="92" spans="1:7" x14ac:dyDescent="0.25">
      <c r="A92" s="3" t="s">
        <v>761</v>
      </c>
      <c r="B92" s="14" t="s">
        <v>745</v>
      </c>
      <c r="C92" s="14" t="s">
        <v>735</v>
      </c>
      <c r="E92" s="14" t="str">
        <f t="shared" si="1"/>
        <v>7_D_D</v>
      </c>
      <c r="G92" s="3" t="s">
        <v>1602</v>
      </c>
    </row>
    <row r="93" spans="1:7" x14ac:dyDescent="0.25">
      <c r="A93" s="3" t="s">
        <v>761</v>
      </c>
      <c r="B93" s="14" t="s">
        <v>745</v>
      </c>
      <c r="C93" s="14" t="s">
        <v>735</v>
      </c>
      <c r="E93" s="14" t="str">
        <f t="shared" si="1"/>
        <v>7_D_D</v>
      </c>
      <c r="G93" s="3" t="s">
        <v>1602</v>
      </c>
    </row>
    <row r="94" spans="1:7" x14ac:dyDescent="0.25">
      <c r="A94" s="3" t="s">
        <v>761</v>
      </c>
      <c r="B94" s="14" t="s">
        <v>745</v>
      </c>
      <c r="C94" s="14" t="s">
        <v>735</v>
      </c>
      <c r="E94" s="14" t="str">
        <f t="shared" si="1"/>
        <v>7_D_D</v>
      </c>
      <c r="G94" s="3" t="s">
        <v>1602</v>
      </c>
    </row>
    <row r="95" spans="1:7" x14ac:dyDescent="0.25">
      <c r="A95" s="3" t="s">
        <v>761</v>
      </c>
      <c r="B95" s="14" t="s">
        <v>745</v>
      </c>
      <c r="C95" s="14" t="s">
        <v>735</v>
      </c>
      <c r="E95" s="14" t="str">
        <f t="shared" si="1"/>
        <v>7_D_D</v>
      </c>
      <c r="G95" s="3" t="s">
        <v>1602</v>
      </c>
    </row>
    <row r="96" spans="1:7" x14ac:dyDescent="0.25">
      <c r="A96" s="3" t="s">
        <v>761</v>
      </c>
      <c r="B96" s="14" t="s">
        <v>745</v>
      </c>
      <c r="C96" s="14" t="s">
        <v>735</v>
      </c>
      <c r="E96" s="14" t="str">
        <f t="shared" si="1"/>
        <v>7_D_D</v>
      </c>
      <c r="G96" s="3" t="s">
        <v>1602</v>
      </c>
    </row>
    <row r="97" spans="1:7" x14ac:dyDescent="0.25">
      <c r="A97" s="3" t="s">
        <v>761</v>
      </c>
      <c r="B97" s="14" t="s">
        <v>745</v>
      </c>
      <c r="C97" s="14" t="s">
        <v>735</v>
      </c>
      <c r="E97" s="14" t="str">
        <f t="shared" si="1"/>
        <v>7_D_D</v>
      </c>
      <c r="G97" s="3" t="s">
        <v>1602</v>
      </c>
    </row>
    <row r="98" spans="1:7" x14ac:dyDescent="0.25">
      <c r="A98" s="3" t="s">
        <v>761</v>
      </c>
      <c r="B98" s="14" t="s">
        <v>745</v>
      </c>
      <c r="C98" s="14" t="s">
        <v>735</v>
      </c>
      <c r="E98" s="14" t="str">
        <f t="shared" si="1"/>
        <v>7_D_D</v>
      </c>
      <c r="G98" s="3" t="s">
        <v>1602</v>
      </c>
    </row>
    <row r="99" spans="1:7" x14ac:dyDescent="0.25">
      <c r="A99" s="3" t="s">
        <v>761</v>
      </c>
      <c r="B99" s="14" t="s">
        <v>745</v>
      </c>
      <c r="C99" s="14" t="s">
        <v>735</v>
      </c>
      <c r="E99" s="14" t="str">
        <f t="shared" si="1"/>
        <v>7_D_D</v>
      </c>
      <c r="G99" s="3" t="s">
        <v>1602</v>
      </c>
    </row>
    <row r="100" spans="1:7" x14ac:dyDescent="0.25">
      <c r="A100" s="3" t="s">
        <v>761</v>
      </c>
      <c r="B100" s="14" t="s">
        <v>745</v>
      </c>
      <c r="C100" s="14" t="s">
        <v>735</v>
      </c>
      <c r="E100" s="14" t="str">
        <f t="shared" si="1"/>
        <v>7_D_D</v>
      </c>
      <c r="G100" s="3" t="s">
        <v>1602</v>
      </c>
    </row>
    <row r="101" spans="1:7" x14ac:dyDescent="0.25">
      <c r="A101" s="3" t="s">
        <v>762</v>
      </c>
      <c r="B101" t="s">
        <v>745</v>
      </c>
      <c r="C101" t="s">
        <v>748</v>
      </c>
      <c r="E101" s="14" t="str">
        <f t="shared" si="1"/>
        <v>7_E_E</v>
      </c>
      <c r="G101" s="3" t="s">
        <v>762</v>
      </c>
    </row>
    <row r="102" spans="1:7" x14ac:dyDescent="0.25">
      <c r="A102" s="3" t="s">
        <v>762</v>
      </c>
      <c r="B102" s="14" t="s">
        <v>745</v>
      </c>
      <c r="C102" s="14" t="s">
        <v>748</v>
      </c>
      <c r="E102" s="14" t="str">
        <f t="shared" si="1"/>
        <v>7_E_E</v>
      </c>
      <c r="G102" s="3" t="s">
        <v>762</v>
      </c>
    </row>
    <row r="103" spans="1:7" x14ac:dyDescent="0.25">
      <c r="A103" s="3" t="s">
        <v>762</v>
      </c>
      <c r="B103" s="14" t="s">
        <v>745</v>
      </c>
      <c r="C103" s="14" t="s">
        <v>748</v>
      </c>
      <c r="E103" s="14" t="str">
        <f t="shared" si="1"/>
        <v>7_E_E</v>
      </c>
      <c r="G103" s="3" t="s">
        <v>762</v>
      </c>
    </row>
    <row r="104" spans="1:7" x14ac:dyDescent="0.25">
      <c r="A104" s="3" t="s">
        <v>762</v>
      </c>
      <c r="B104" s="14" t="s">
        <v>745</v>
      </c>
      <c r="C104" s="14" t="s">
        <v>748</v>
      </c>
      <c r="E104" s="14" t="str">
        <f t="shared" si="1"/>
        <v>7_E_E</v>
      </c>
      <c r="G104" s="3" t="s">
        <v>762</v>
      </c>
    </row>
    <row r="105" spans="1:7" x14ac:dyDescent="0.25">
      <c r="A105" s="3" t="s">
        <v>762</v>
      </c>
      <c r="B105" s="14" t="s">
        <v>745</v>
      </c>
      <c r="C105" s="14" t="s">
        <v>748</v>
      </c>
      <c r="E105" s="14" t="str">
        <f t="shared" si="1"/>
        <v>7_E_E</v>
      </c>
      <c r="G105" s="3" t="s">
        <v>762</v>
      </c>
    </row>
    <row r="106" spans="1:7" x14ac:dyDescent="0.25">
      <c r="A106" s="3" t="s">
        <v>762</v>
      </c>
      <c r="B106" s="14" t="s">
        <v>745</v>
      </c>
      <c r="C106" s="14" t="s">
        <v>748</v>
      </c>
      <c r="E106" s="14" t="str">
        <f t="shared" si="1"/>
        <v>7_E_E</v>
      </c>
      <c r="G106" s="3" t="s">
        <v>762</v>
      </c>
    </row>
    <row r="107" spans="1:7" x14ac:dyDescent="0.25">
      <c r="A107" s="3" t="s">
        <v>762</v>
      </c>
      <c r="B107" s="14" t="s">
        <v>745</v>
      </c>
      <c r="C107" s="14" t="s">
        <v>748</v>
      </c>
      <c r="E107" s="14" t="str">
        <f t="shared" si="1"/>
        <v>7_E_E</v>
      </c>
      <c r="G107" s="3" t="s">
        <v>762</v>
      </c>
    </row>
    <row r="108" spans="1:7" x14ac:dyDescent="0.25">
      <c r="A108" s="3" t="s">
        <v>762</v>
      </c>
      <c r="B108" s="14" t="s">
        <v>745</v>
      </c>
      <c r="C108" s="14" t="s">
        <v>748</v>
      </c>
      <c r="E108" s="14" t="str">
        <f t="shared" si="1"/>
        <v>7_E_E</v>
      </c>
      <c r="G108" s="3" t="s">
        <v>762</v>
      </c>
    </row>
    <row r="109" spans="1:7" x14ac:dyDescent="0.25">
      <c r="A109" s="3" t="s">
        <v>762</v>
      </c>
      <c r="B109" s="14" t="s">
        <v>745</v>
      </c>
      <c r="C109" s="14" t="s">
        <v>748</v>
      </c>
      <c r="E109" s="14" t="str">
        <f t="shared" si="1"/>
        <v>7_E_E</v>
      </c>
      <c r="G109" s="3" t="s">
        <v>1603</v>
      </c>
    </row>
    <row r="110" spans="1:7" x14ac:dyDescent="0.25">
      <c r="A110" s="3" t="s">
        <v>762</v>
      </c>
      <c r="B110" s="14" t="s">
        <v>745</v>
      </c>
      <c r="C110" s="14" t="s">
        <v>748</v>
      </c>
      <c r="E110" s="14" t="str">
        <f t="shared" si="1"/>
        <v>7_E_E</v>
      </c>
      <c r="G110" s="3" t="s">
        <v>1603</v>
      </c>
    </row>
    <row r="111" spans="1:7" x14ac:dyDescent="0.25">
      <c r="A111" s="3" t="s">
        <v>762</v>
      </c>
      <c r="B111" s="14" t="s">
        <v>745</v>
      </c>
      <c r="C111" s="14" t="s">
        <v>748</v>
      </c>
      <c r="E111" s="14" t="str">
        <f t="shared" si="1"/>
        <v>7_E_E</v>
      </c>
      <c r="G111" s="3" t="s">
        <v>1603</v>
      </c>
    </row>
    <row r="112" spans="1:7" x14ac:dyDescent="0.25">
      <c r="A112" s="3" t="s">
        <v>762</v>
      </c>
      <c r="B112" s="14" t="s">
        <v>745</v>
      </c>
      <c r="C112" s="14" t="s">
        <v>748</v>
      </c>
      <c r="E112" s="14" t="str">
        <f t="shared" si="1"/>
        <v>7_E_E</v>
      </c>
      <c r="G112" s="3" t="s">
        <v>1603</v>
      </c>
    </row>
    <row r="113" spans="1:7" x14ac:dyDescent="0.25">
      <c r="A113" s="3" t="s">
        <v>762</v>
      </c>
      <c r="B113" s="14" t="s">
        <v>745</v>
      </c>
      <c r="C113" s="14" t="s">
        <v>748</v>
      </c>
      <c r="E113" s="14" t="str">
        <f t="shared" si="1"/>
        <v>7_E_E</v>
      </c>
      <c r="G113" s="3" t="s">
        <v>1603</v>
      </c>
    </row>
    <row r="114" spans="1:7" x14ac:dyDescent="0.25">
      <c r="A114" s="3" t="s">
        <v>762</v>
      </c>
      <c r="B114" s="14" t="s">
        <v>745</v>
      </c>
      <c r="C114" s="14" t="s">
        <v>748</v>
      </c>
      <c r="E114" s="14" t="str">
        <f t="shared" si="1"/>
        <v>7_E_E</v>
      </c>
      <c r="G114" s="3" t="s">
        <v>1603</v>
      </c>
    </row>
    <row r="115" spans="1:7" x14ac:dyDescent="0.25">
      <c r="A115" s="3" t="s">
        <v>762</v>
      </c>
      <c r="B115" s="14" t="s">
        <v>745</v>
      </c>
      <c r="C115" s="14" t="s">
        <v>748</v>
      </c>
      <c r="E115" s="14" t="str">
        <f t="shared" si="1"/>
        <v>7_E_E</v>
      </c>
      <c r="G115" s="3" t="s">
        <v>1603</v>
      </c>
    </row>
    <row r="116" spans="1:7" x14ac:dyDescent="0.25">
      <c r="A116" s="3" t="s">
        <v>762</v>
      </c>
      <c r="B116" s="14" t="s">
        <v>745</v>
      </c>
      <c r="C116" s="14" t="s">
        <v>748</v>
      </c>
      <c r="E116" s="14" t="str">
        <f t="shared" si="1"/>
        <v>7_E_E</v>
      </c>
      <c r="G116" s="3" t="s">
        <v>1603</v>
      </c>
    </row>
    <row r="117" spans="1:7" x14ac:dyDescent="0.25">
      <c r="A117" s="3" t="s">
        <v>762</v>
      </c>
      <c r="B117" s="14" t="s">
        <v>745</v>
      </c>
      <c r="C117" s="14" t="s">
        <v>748</v>
      </c>
      <c r="E117" s="14" t="str">
        <f t="shared" si="1"/>
        <v>7_E_E</v>
      </c>
      <c r="G117" s="3" t="s">
        <v>1603</v>
      </c>
    </row>
    <row r="118" spans="1:7" x14ac:dyDescent="0.25">
      <c r="A118" s="3" t="s">
        <v>763</v>
      </c>
      <c r="B118" t="s">
        <v>745</v>
      </c>
      <c r="C118" s="14" t="s">
        <v>749</v>
      </c>
      <c r="E118" s="14" t="str">
        <f t="shared" si="1"/>
        <v>7_F_F</v>
      </c>
      <c r="G118" s="3" t="s">
        <v>763</v>
      </c>
    </row>
    <row r="119" spans="1:7" x14ac:dyDescent="0.25">
      <c r="A119" s="3" t="s">
        <v>763</v>
      </c>
      <c r="B119" s="14" t="s">
        <v>745</v>
      </c>
      <c r="C119" s="14" t="s">
        <v>749</v>
      </c>
      <c r="E119" s="14" t="str">
        <f t="shared" si="1"/>
        <v>7_F_F</v>
      </c>
      <c r="G119" s="3" t="s">
        <v>763</v>
      </c>
    </row>
    <row r="120" spans="1:7" x14ac:dyDescent="0.25">
      <c r="A120" s="3" t="s">
        <v>763</v>
      </c>
      <c r="B120" s="14" t="s">
        <v>745</v>
      </c>
      <c r="C120" s="14" t="s">
        <v>749</v>
      </c>
      <c r="E120" s="14" t="str">
        <f t="shared" si="1"/>
        <v>7_F_F</v>
      </c>
      <c r="G120" s="3" t="s">
        <v>763</v>
      </c>
    </row>
    <row r="121" spans="1:7" x14ac:dyDescent="0.25">
      <c r="A121" s="3" t="s">
        <v>763</v>
      </c>
      <c r="B121" s="14" t="s">
        <v>745</v>
      </c>
      <c r="C121" s="14" t="s">
        <v>749</v>
      </c>
      <c r="E121" s="14" t="str">
        <f t="shared" si="1"/>
        <v>7_F_F</v>
      </c>
      <c r="G121" s="3" t="s">
        <v>763</v>
      </c>
    </row>
    <row r="122" spans="1:7" x14ac:dyDescent="0.25">
      <c r="A122" s="3" t="s">
        <v>763</v>
      </c>
      <c r="B122" s="14" t="s">
        <v>745</v>
      </c>
      <c r="C122" s="14" t="s">
        <v>749</v>
      </c>
      <c r="E122" s="14" t="str">
        <f t="shared" si="1"/>
        <v>7_F_F</v>
      </c>
      <c r="G122" s="3" t="s">
        <v>763</v>
      </c>
    </row>
    <row r="123" spans="1:7" x14ac:dyDescent="0.25">
      <c r="A123" s="3" t="s">
        <v>763</v>
      </c>
      <c r="B123" s="14" t="s">
        <v>745</v>
      </c>
      <c r="C123" s="14" t="s">
        <v>749</v>
      </c>
      <c r="E123" s="14" t="str">
        <f t="shared" si="1"/>
        <v>7_F_F</v>
      </c>
      <c r="G123" s="3" t="s">
        <v>763</v>
      </c>
    </row>
    <row r="124" spans="1:7" x14ac:dyDescent="0.25">
      <c r="A124" s="3" t="s">
        <v>763</v>
      </c>
      <c r="B124" s="14" t="s">
        <v>745</v>
      </c>
      <c r="C124" s="14" t="s">
        <v>749</v>
      </c>
      <c r="E124" s="14" t="str">
        <f t="shared" si="1"/>
        <v>7_F_F</v>
      </c>
      <c r="G124" s="3" t="s">
        <v>763</v>
      </c>
    </row>
    <row r="125" spans="1:7" x14ac:dyDescent="0.25">
      <c r="A125" s="3" t="s">
        <v>763</v>
      </c>
      <c r="B125" s="14" t="s">
        <v>745</v>
      </c>
      <c r="C125" s="14" t="s">
        <v>749</v>
      </c>
      <c r="E125" s="14" t="str">
        <f t="shared" si="1"/>
        <v>7_F_F</v>
      </c>
      <c r="G125" s="3" t="s">
        <v>763</v>
      </c>
    </row>
    <row r="126" spans="1:7" x14ac:dyDescent="0.25">
      <c r="A126" s="3" t="s">
        <v>763</v>
      </c>
      <c r="B126" s="14" t="s">
        <v>745</v>
      </c>
      <c r="C126" s="14" t="s">
        <v>749</v>
      </c>
      <c r="E126" s="14" t="str">
        <f t="shared" si="1"/>
        <v>7_F_F</v>
      </c>
      <c r="G126" s="3" t="s">
        <v>763</v>
      </c>
    </row>
    <row r="127" spans="1:7" x14ac:dyDescent="0.25">
      <c r="A127" s="3" t="s">
        <v>763</v>
      </c>
      <c r="B127" s="14" t="s">
        <v>745</v>
      </c>
      <c r="C127" s="14" t="s">
        <v>749</v>
      </c>
      <c r="E127" s="14" t="str">
        <f t="shared" si="1"/>
        <v>7_F_F</v>
      </c>
      <c r="G127" s="3" t="s">
        <v>1604</v>
      </c>
    </row>
    <row r="128" spans="1:7" x14ac:dyDescent="0.25">
      <c r="A128" s="3" t="s">
        <v>763</v>
      </c>
      <c r="B128" s="14" t="s">
        <v>745</v>
      </c>
      <c r="C128" s="14" t="s">
        <v>749</v>
      </c>
      <c r="E128" s="14" t="str">
        <f t="shared" si="1"/>
        <v>7_F_F</v>
      </c>
      <c r="G128" s="3" t="s">
        <v>1604</v>
      </c>
    </row>
    <row r="129" spans="1:7" x14ac:dyDescent="0.25">
      <c r="A129" s="3" t="s">
        <v>763</v>
      </c>
      <c r="B129" s="14" t="s">
        <v>745</v>
      </c>
      <c r="C129" s="14" t="s">
        <v>749</v>
      </c>
      <c r="E129" s="14" t="str">
        <f t="shared" si="1"/>
        <v>7_F_F</v>
      </c>
      <c r="G129" s="3" t="s">
        <v>1604</v>
      </c>
    </row>
    <row r="130" spans="1:7" x14ac:dyDescent="0.25">
      <c r="A130" s="3" t="s">
        <v>763</v>
      </c>
      <c r="B130" s="14" t="s">
        <v>745</v>
      </c>
      <c r="C130" s="14" t="s">
        <v>749</v>
      </c>
      <c r="E130" s="14" t="str">
        <f t="shared" ref="E130:E193" si="2">A130&amp;B130&amp;C130</f>
        <v>7_F_F</v>
      </c>
      <c r="G130" s="3" t="s">
        <v>1604</v>
      </c>
    </row>
    <row r="131" spans="1:7" x14ac:dyDescent="0.25">
      <c r="A131" s="3" t="s">
        <v>763</v>
      </c>
      <c r="B131" s="14" t="s">
        <v>745</v>
      </c>
      <c r="C131" s="14" t="s">
        <v>749</v>
      </c>
      <c r="E131" s="14" t="str">
        <f t="shared" si="2"/>
        <v>7_F_F</v>
      </c>
      <c r="G131" s="3" t="s">
        <v>1604</v>
      </c>
    </row>
    <row r="132" spans="1:7" x14ac:dyDescent="0.25">
      <c r="A132" s="3" t="s">
        <v>763</v>
      </c>
      <c r="B132" s="14" t="s">
        <v>745</v>
      </c>
      <c r="C132" s="14" t="s">
        <v>749</v>
      </c>
      <c r="E132" s="14" t="str">
        <f t="shared" si="2"/>
        <v>7_F_F</v>
      </c>
      <c r="G132" s="3" t="s">
        <v>1604</v>
      </c>
    </row>
    <row r="133" spans="1:7" x14ac:dyDescent="0.25">
      <c r="A133" s="3" t="s">
        <v>763</v>
      </c>
      <c r="B133" s="14" t="s">
        <v>745</v>
      </c>
      <c r="C133" s="14" t="s">
        <v>749</v>
      </c>
      <c r="E133" s="14" t="str">
        <f t="shared" si="2"/>
        <v>7_F_F</v>
      </c>
      <c r="G133" s="3" t="s">
        <v>1604</v>
      </c>
    </row>
    <row r="134" spans="1:7" x14ac:dyDescent="0.25">
      <c r="A134" s="3" t="s">
        <v>763</v>
      </c>
      <c r="B134" s="14" t="s">
        <v>745</v>
      </c>
      <c r="C134" s="14" t="s">
        <v>749</v>
      </c>
      <c r="E134" s="14" t="str">
        <f t="shared" si="2"/>
        <v>7_F_F</v>
      </c>
      <c r="G134" s="3" t="s">
        <v>1604</v>
      </c>
    </row>
    <row r="135" spans="1:7" x14ac:dyDescent="0.25">
      <c r="A135" s="3" t="s">
        <v>764</v>
      </c>
      <c r="B135" t="s">
        <v>745</v>
      </c>
      <c r="C135" t="s">
        <v>750</v>
      </c>
      <c r="E135" s="14" t="str">
        <f t="shared" si="2"/>
        <v>7_G_G</v>
      </c>
      <c r="G135" s="3" t="s">
        <v>764</v>
      </c>
    </row>
    <row r="136" spans="1:7" x14ac:dyDescent="0.25">
      <c r="A136" s="3" t="s">
        <v>764</v>
      </c>
      <c r="B136" s="14" t="s">
        <v>745</v>
      </c>
      <c r="C136" s="14" t="s">
        <v>750</v>
      </c>
      <c r="E136" s="14" t="str">
        <f t="shared" si="2"/>
        <v>7_G_G</v>
      </c>
      <c r="G136" s="3" t="s">
        <v>764</v>
      </c>
    </row>
    <row r="137" spans="1:7" x14ac:dyDescent="0.25">
      <c r="A137" s="3" t="s">
        <v>764</v>
      </c>
      <c r="B137" s="14" t="s">
        <v>745</v>
      </c>
      <c r="C137" s="14" t="s">
        <v>750</v>
      </c>
      <c r="E137" s="14" t="str">
        <f t="shared" si="2"/>
        <v>7_G_G</v>
      </c>
      <c r="G137" s="3" t="s">
        <v>764</v>
      </c>
    </row>
    <row r="138" spans="1:7" x14ac:dyDescent="0.25">
      <c r="A138" s="3" t="s">
        <v>764</v>
      </c>
      <c r="B138" s="14" t="s">
        <v>745</v>
      </c>
      <c r="C138" s="14" t="s">
        <v>750</v>
      </c>
      <c r="E138" s="14" t="str">
        <f t="shared" si="2"/>
        <v>7_G_G</v>
      </c>
      <c r="G138" s="3" t="s">
        <v>764</v>
      </c>
    </row>
    <row r="139" spans="1:7" x14ac:dyDescent="0.25">
      <c r="A139" s="3" t="s">
        <v>764</v>
      </c>
      <c r="B139" s="14" t="s">
        <v>745</v>
      </c>
      <c r="C139" s="14" t="s">
        <v>750</v>
      </c>
      <c r="E139" s="14" t="str">
        <f t="shared" si="2"/>
        <v>7_G_G</v>
      </c>
      <c r="G139" s="3" t="s">
        <v>764</v>
      </c>
    </row>
    <row r="140" spans="1:7" x14ac:dyDescent="0.25">
      <c r="A140" s="3" t="s">
        <v>764</v>
      </c>
      <c r="B140" s="14" t="s">
        <v>745</v>
      </c>
      <c r="C140" s="14" t="s">
        <v>750</v>
      </c>
      <c r="E140" s="14" t="str">
        <f t="shared" si="2"/>
        <v>7_G_G</v>
      </c>
      <c r="G140" s="3" t="s">
        <v>764</v>
      </c>
    </row>
    <row r="141" spans="1:7" x14ac:dyDescent="0.25">
      <c r="A141" s="3" t="s">
        <v>764</v>
      </c>
      <c r="B141" s="14" t="s">
        <v>745</v>
      </c>
      <c r="C141" s="14" t="s">
        <v>750</v>
      </c>
      <c r="E141" s="14" t="str">
        <f t="shared" si="2"/>
        <v>7_G_G</v>
      </c>
      <c r="G141" s="3" t="s">
        <v>764</v>
      </c>
    </row>
    <row r="142" spans="1:7" x14ac:dyDescent="0.25">
      <c r="A142" s="3" t="s">
        <v>764</v>
      </c>
      <c r="B142" s="14" t="s">
        <v>745</v>
      </c>
      <c r="C142" s="14" t="s">
        <v>750</v>
      </c>
      <c r="E142" s="14" t="str">
        <f t="shared" si="2"/>
        <v>7_G_G</v>
      </c>
      <c r="G142" s="3" t="s">
        <v>764</v>
      </c>
    </row>
    <row r="143" spans="1:7" x14ac:dyDescent="0.25">
      <c r="A143" s="3" t="s">
        <v>764</v>
      </c>
      <c r="B143" s="14" t="s">
        <v>745</v>
      </c>
      <c r="C143" s="14" t="s">
        <v>750</v>
      </c>
      <c r="E143" s="14" t="str">
        <f t="shared" si="2"/>
        <v>7_G_G</v>
      </c>
      <c r="G143" s="3" t="s">
        <v>1605</v>
      </c>
    </row>
    <row r="144" spans="1:7" x14ac:dyDescent="0.25">
      <c r="A144" s="3" t="s">
        <v>764</v>
      </c>
      <c r="B144" s="14" t="s">
        <v>745</v>
      </c>
      <c r="C144" s="14" t="s">
        <v>750</v>
      </c>
      <c r="E144" s="14" t="str">
        <f t="shared" si="2"/>
        <v>7_G_G</v>
      </c>
      <c r="G144" s="3" t="s">
        <v>1605</v>
      </c>
    </row>
    <row r="145" spans="1:7" x14ac:dyDescent="0.25">
      <c r="A145" s="3" t="s">
        <v>764</v>
      </c>
      <c r="B145" s="14" t="s">
        <v>745</v>
      </c>
      <c r="C145" s="14" t="s">
        <v>750</v>
      </c>
      <c r="E145" s="14" t="str">
        <f t="shared" si="2"/>
        <v>7_G_G</v>
      </c>
      <c r="G145" s="3" t="s">
        <v>1605</v>
      </c>
    </row>
    <row r="146" spans="1:7" x14ac:dyDescent="0.25">
      <c r="A146" s="3" t="s">
        <v>764</v>
      </c>
      <c r="B146" s="14" t="s">
        <v>745</v>
      </c>
      <c r="C146" s="14" t="s">
        <v>750</v>
      </c>
      <c r="E146" s="14" t="str">
        <f t="shared" si="2"/>
        <v>7_G_G</v>
      </c>
      <c r="G146" s="3" t="s">
        <v>1605</v>
      </c>
    </row>
    <row r="147" spans="1:7" x14ac:dyDescent="0.25">
      <c r="A147" s="3" t="s">
        <v>764</v>
      </c>
      <c r="B147" s="14" t="s">
        <v>745</v>
      </c>
      <c r="C147" s="14" t="s">
        <v>750</v>
      </c>
      <c r="E147" s="14" t="str">
        <f t="shared" si="2"/>
        <v>7_G_G</v>
      </c>
      <c r="G147" s="3" t="s">
        <v>1605</v>
      </c>
    </row>
    <row r="148" spans="1:7" x14ac:dyDescent="0.25">
      <c r="A148" s="3" t="s">
        <v>764</v>
      </c>
      <c r="B148" s="14" t="s">
        <v>745</v>
      </c>
      <c r="C148" s="14" t="s">
        <v>750</v>
      </c>
      <c r="E148" s="14" t="str">
        <f t="shared" si="2"/>
        <v>7_G_G</v>
      </c>
      <c r="G148" s="3" t="s">
        <v>1605</v>
      </c>
    </row>
    <row r="149" spans="1:7" x14ac:dyDescent="0.25">
      <c r="A149" s="3" t="s">
        <v>765</v>
      </c>
      <c r="B149" t="s">
        <v>745</v>
      </c>
      <c r="C149" t="s">
        <v>751</v>
      </c>
      <c r="E149" s="14" t="str">
        <f t="shared" si="2"/>
        <v>7_H_H</v>
      </c>
      <c r="G149" s="3" t="s">
        <v>765</v>
      </c>
    </row>
    <row r="150" spans="1:7" x14ac:dyDescent="0.25">
      <c r="A150" s="3" t="s">
        <v>765</v>
      </c>
      <c r="B150" s="14" t="s">
        <v>745</v>
      </c>
      <c r="C150" s="14" t="s">
        <v>751</v>
      </c>
      <c r="E150" s="14" t="str">
        <f t="shared" si="2"/>
        <v>7_H_H</v>
      </c>
      <c r="G150" s="3" t="s">
        <v>765</v>
      </c>
    </row>
    <row r="151" spans="1:7" x14ac:dyDescent="0.25">
      <c r="A151" s="3" t="s">
        <v>765</v>
      </c>
      <c r="B151" s="14" t="s">
        <v>745</v>
      </c>
      <c r="C151" s="14" t="s">
        <v>751</v>
      </c>
      <c r="E151" s="14" t="str">
        <f t="shared" si="2"/>
        <v>7_H_H</v>
      </c>
      <c r="G151" s="3" t="s">
        <v>765</v>
      </c>
    </row>
    <row r="152" spans="1:7" x14ac:dyDescent="0.25">
      <c r="A152" s="3" t="s">
        <v>765</v>
      </c>
      <c r="B152" s="14" t="s">
        <v>745</v>
      </c>
      <c r="C152" s="14" t="s">
        <v>751</v>
      </c>
      <c r="E152" s="14" t="str">
        <f t="shared" si="2"/>
        <v>7_H_H</v>
      </c>
      <c r="G152" s="3" t="s">
        <v>765</v>
      </c>
    </row>
    <row r="153" spans="1:7" x14ac:dyDescent="0.25">
      <c r="A153" s="3" t="s">
        <v>765</v>
      </c>
      <c r="B153" s="14" t="s">
        <v>745</v>
      </c>
      <c r="C153" s="14" t="s">
        <v>751</v>
      </c>
      <c r="E153" s="14" t="str">
        <f t="shared" si="2"/>
        <v>7_H_H</v>
      </c>
      <c r="G153" s="3" t="s">
        <v>765</v>
      </c>
    </row>
    <row r="154" spans="1:7" x14ac:dyDescent="0.25">
      <c r="A154" s="3" t="s">
        <v>765</v>
      </c>
      <c r="B154" s="14" t="s">
        <v>745</v>
      </c>
      <c r="C154" s="14" t="s">
        <v>751</v>
      </c>
      <c r="E154" s="14" t="str">
        <f t="shared" si="2"/>
        <v>7_H_H</v>
      </c>
      <c r="G154" s="3" t="s">
        <v>765</v>
      </c>
    </row>
    <row r="155" spans="1:7" x14ac:dyDescent="0.25">
      <c r="A155" s="3" t="s">
        <v>765</v>
      </c>
      <c r="B155" s="14" t="s">
        <v>745</v>
      </c>
      <c r="C155" s="14" t="s">
        <v>751</v>
      </c>
      <c r="E155" s="14" t="str">
        <f t="shared" si="2"/>
        <v>7_H_H</v>
      </c>
      <c r="G155" s="3" t="s">
        <v>765</v>
      </c>
    </row>
    <row r="156" spans="1:7" x14ac:dyDescent="0.25">
      <c r="A156" s="3" t="s">
        <v>765</v>
      </c>
      <c r="B156" s="14" t="s">
        <v>745</v>
      </c>
      <c r="C156" s="14" t="s">
        <v>751</v>
      </c>
      <c r="E156" s="14" t="str">
        <f t="shared" si="2"/>
        <v>7_H_H</v>
      </c>
      <c r="G156" s="3" t="s">
        <v>765</v>
      </c>
    </row>
    <row r="157" spans="1:7" x14ac:dyDescent="0.25">
      <c r="A157" s="3" t="s">
        <v>765</v>
      </c>
      <c r="B157" s="14" t="s">
        <v>745</v>
      </c>
      <c r="C157" s="14" t="s">
        <v>751</v>
      </c>
      <c r="E157" s="14" t="str">
        <f t="shared" si="2"/>
        <v>7_H_H</v>
      </c>
      <c r="G157" s="3" t="s">
        <v>765</v>
      </c>
    </row>
    <row r="158" spans="1:7" x14ac:dyDescent="0.25">
      <c r="A158" s="3" t="s">
        <v>752</v>
      </c>
      <c r="E158" s="14" t="str">
        <f t="shared" si="2"/>
        <v>1</v>
      </c>
      <c r="G158" s="3" t="s">
        <v>752</v>
      </c>
    </row>
    <row r="159" spans="1:7" x14ac:dyDescent="0.25">
      <c r="A159" s="3" t="s">
        <v>766</v>
      </c>
      <c r="B159" s="14" t="s">
        <v>745</v>
      </c>
      <c r="C159" s="14" t="s">
        <v>746</v>
      </c>
      <c r="E159" s="14" t="str">
        <f t="shared" si="2"/>
        <v>8_A_A</v>
      </c>
      <c r="G159" s="3" t="s">
        <v>766</v>
      </c>
    </row>
    <row r="160" spans="1:7" x14ac:dyDescent="0.25">
      <c r="A160" s="3" t="s">
        <v>766</v>
      </c>
      <c r="B160" s="14" t="s">
        <v>745</v>
      </c>
      <c r="C160" s="14" t="s">
        <v>746</v>
      </c>
      <c r="E160" s="14" t="str">
        <f t="shared" si="2"/>
        <v>8_A_A</v>
      </c>
      <c r="G160" s="3" t="s">
        <v>766</v>
      </c>
    </row>
    <row r="161" spans="1:7" x14ac:dyDescent="0.25">
      <c r="A161" s="3" t="s">
        <v>766</v>
      </c>
      <c r="B161" s="14" t="s">
        <v>745</v>
      </c>
      <c r="C161" s="14" t="s">
        <v>746</v>
      </c>
      <c r="E161" s="14" t="str">
        <f t="shared" si="2"/>
        <v>8_A_A</v>
      </c>
      <c r="G161" s="3" t="s">
        <v>766</v>
      </c>
    </row>
    <row r="162" spans="1:7" x14ac:dyDescent="0.25">
      <c r="A162" s="3" t="s">
        <v>766</v>
      </c>
      <c r="B162" s="14" t="s">
        <v>745</v>
      </c>
      <c r="C162" s="14" t="s">
        <v>746</v>
      </c>
      <c r="E162" s="14" t="str">
        <f t="shared" si="2"/>
        <v>8_A_A</v>
      </c>
      <c r="G162" s="3" t="s">
        <v>766</v>
      </c>
    </row>
    <row r="163" spans="1:7" x14ac:dyDescent="0.25">
      <c r="A163" s="3" t="s">
        <v>766</v>
      </c>
      <c r="B163" s="14" t="s">
        <v>745</v>
      </c>
      <c r="C163" s="14" t="s">
        <v>746</v>
      </c>
      <c r="E163" s="14" t="str">
        <f t="shared" si="2"/>
        <v>8_A_A</v>
      </c>
      <c r="G163" s="3" t="s">
        <v>766</v>
      </c>
    </row>
    <row r="164" spans="1:7" x14ac:dyDescent="0.25">
      <c r="A164" s="3" t="s">
        <v>766</v>
      </c>
      <c r="B164" s="14" t="s">
        <v>745</v>
      </c>
      <c r="C164" s="14" t="s">
        <v>746</v>
      </c>
      <c r="E164" s="14" t="str">
        <f t="shared" si="2"/>
        <v>8_A_A</v>
      </c>
      <c r="G164" s="3" t="s">
        <v>766</v>
      </c>
    </row>
    <row r="165" spans="1:7" x14ac:dyDescent="0.25">
      <c r="A165" s="3" t="s">
        <v>766</v>
      </c>
      <c r="B165" s="14" t="s">
        <v>745</v>
      </c>
      <c r="C165" s="14" t="s">
        <v>746</v>
      </c>
      <c r="E165" s="14" t="str">
        <f t="shared" si="2"/>
        <v>8_A_A</v>
      </c>
      <c r="G165" s="3" t="s">
        <v>766</v>
      </c>
    </row>
    <row r="166" spans="1:7" x14ac:dyDescent="0.25">
      <c r="A166" s="3" t="s">
        <v>766</v>
      </c>
      <c r="B166" s="14" t="s">
        <v>745</v>
      </c>
      <c r="C166" s="14" t="s">
        <v>746</v>
      </c>
      <c r="E166" s="14" t="str">
        <f t="shared" si="2"/>
        <v>8_A_A</v>
      </c>
      <c r="G166" s="3" t="s">
        <v>1606</v>
      </c>
    </row>
    <row r="167" spans="1:7" x14ac:dyDescent="0.25">
      <c r="A167" s="3" t="s">
        <v>766</v>
      </c>
      <c r="B167" s="14" t="s">
        <v>745</v>
      </c>
      <c r="C167" s="14" t="s">
        <v>746</v>
      </c>
      <c r="E167" s="14" t="str">
        <f t="shared" si="2"/>
        <v>8_A_A</v>
      </c>
      <c r="G167" s="3" t="s">
        <v>1606</v>
      </c>
    </row>
    <row r="168" spans="1:7" x14ac:dyDescent="0.25">
      <c r="A168" s="3" t="s">
        <v>766</v>
      </c>
      <c r="B168" s="14" t="s">
        <v>745</v>
      </c>
      <c r="C168" s="14" t="s">
        <v>746</v>
      </c>
      <c r="E168" s="14" t="str">
        <f t="shared" si="2"/>
        <v>8_A_A</v>
      </c>
      <c r="G168" s="3" t="s">
        <v>1606</v>
      </c>
    </row>
    <row r="169" spans="1:7" x14ac:dyDescent="0.25">
      <c r="A169" s="3" t="s">
        <v>766</v>
      </c>
      <c r="B169" s="14" t="s">
        <v>745</v>
      </c>
      <c r="C169" s="14" t="s">
        <v>746</v>
      </c>
      <c r="E169" s="14" t="str">
        <f t="shared" si="2"/>
        <v>8_A_A</v>
      </c>
      <c r="G169" s="3" t="s">
        <v>1606</v>
      </c>
    </row>
    <row r="170" spans="1:7" x14ac:dyDescent="0.25">
      <c r="A170" s="3" t="s">
        <v>766</v>
      </c>
      <c r="B170" s="14" t="s">
        <v>745</v>
      </c>
      <c r="C170" s="14" t="s">
        <v>746</v>
      </c>
      <c r="E170" s="14" t="str">
        <f t="shared" si="2"/>
        <v>8_A_A</v>
      </c>
      <c r="G170" s="3" t="s">
        <v>1606</v>
      </c>
    </row>
    <row r="171" spans="1:7" x14ac:dyDescent="0.25">
      <c r="A171" s="3" t="s">
        <v>766</v>
      </c>
      <c r="B171" s="14" t="s">
        <v>745</v>
      </c>
      <c r="C171" s="14" t="s">
        <v>746</v>
      </c>
      <c r="E171" s="14" t="str">
        <f t="shared" si="2"/>
        <v>8_A_A</v>
      </c>
      <c r="G171" s="3" t="s">
        <v>1606</v>
      </c>
    </row>
    <row r="172" spans="1:7" x14ac:dyDescent="0.25">
      <c r="A172" s="3" t="s">
        <v>766</v>
      </c>
      <c r="B172" s="14" t="s">
        <v>745</v>
      </c>
      <c r="C172" s="14" t="s">
        <v>746</v>
      </c>
      <c r="E172" s="14" t="str">
        <f t="shared" si="2"/>
        <v>8_A_A</v>
      </c>
      <c r="G172" s="3" t="s">
        <v>1606</v>
      </c>
    </row>
    <row r="173" spans="1:7" x14ac:dyDescent="0.25">
      <c r="A173" s="3" t="s">
        <v>766</v>
      </c>
      <c r="B173" s="14" t="s">
        <v>745</v>
      </c>
      <c r="C173" s="14" t="s">
        <v>746</v>
      </c>
      <c r="E173" s="14" t="str">
        <f t="shared" si="2"/>
        <v>8_A_A</v>
      </c>
      <c r="G173" s="3" t="s">
        <v>1606</v>
      </c>
    </row>
    <row r="174" spans="1:7" x14ac:dyDescent="0.25">
      <c r="A174" s="3" t="s">
        <v>767</v>
      </c>
      <c r="B174" s="14" t="s">
        <v>745</v>
      </c>
      <c r="C174" s="14" t="s">
        <v>747</v>
      </c>
      <c r="E174" s="14" t="str">
        <f t="shared" si="2"/>
        <v>8_B_B</v>
      </c>
      <c r="G174" s="3" t="s">
        <v>767</v>
      </c>
    </row>
    <row r="175" spans="1:7" x14ac:dyDescent="0.25">
      <c r="A175" s="3" t="s">
        <v>767</v>
      </c>
      <c r="B175" s="14" t="s">
        <v>745</v>
      </c>
      <c r="C175" s="14" t="s">
        <v>747</v>
      </c>
      <c r="E175" s="14" t="str">
        <f t="shared" si="2"/>
        <v>8_B_B</v>
      </c>
      <c r="G175" s="3" t="s">
        <v>767</v>
      </c>
    </row>
    <row r="176" spans="1:7" x14ac:dyDescent="0.25">
      <c r="A176" s="3" t="s">
        <v>767</v>
      </c>
      <c r="B176" s="14" t="s">
        <v>745</v>
      </c>
      <c r="C176" s="14" t="s">
        <v>747</v>
      </c>
      <c r="E176" s="14" t="str">
        <f t="shared" si="2"/>
        <v>8_B_B</v>
      </c>
      <c r="G176" s="3" t="s">
        <v>767</v>
      </c>
    </row>
    <row r="177" spans="1:7" x14ac:dyDescent="0.25">
      <c r="A177" s="3" t="s">
        <v>767</v>
      </c>
      <c r="B177" s="14" t="s">
        <v>745</v>
      </c>
      <c r="C177" s="14" t="s">
        <v>747</v>
      </c>
      <c r="E177" s="14" t="str">
        <f t="shared" si="2"/>
        <v>8_B_B</v>
      </c>
      <c r="G177" s="3" t="s">
        <v>767</v>
      </c>
    </row>
    <row r="178" spans="1:7" x14ac:dyDescent="0.25">
      <c r="A178" s="3" t="s">
        <v>767</v>
      </c>
      <c r="B178" s="14" t="s">
        <v>745</v>
      </c>
      <c r="C178" s="14" t="s">
        <v>747</v>
      </c>
      <c r="E178" s="14" t="str">
        <f t="shared" si="2"/>
        <v>8_B_B</v>
      </c>
      <c r="G178" s="3" t="s">
        <v>767</v>
      </c>
    </row>
    <row r="179" spans="1:7" x14ac:dyDescent="0.25">
      <c r="A179" s="3" t="s">
        <v>767</v>
      </c>
      <c r="B179" s="14" t="s">
        <v>745</v>
      </c>
      <c r="C179" s="14" t="s">
        <v>747</v>
      </c>
      <c r="E179" s="14" t="str">
        <f t="shared" si="2"/>
        <v>8_B_B</v>
      </c>
      <c r="G179" s="3" t="s">
        <v>767</v>
      </c>
    </row>
    <row r="180" spans="1:7" x14ac:dyDescent="0.25">
      <c r="A180" s="3" t="s">
        <v>767</v>
      </c>
      <c r="B180" s="14" t="s">
        <v>745</v>
      </c>
      <c r="C180" s="14" t="s">
        <v>747</v>
      </c>
      <c r="E180" s="14" t="str">
        <f t="shared" si="2"/>
        <v>8_B_B</v>
      </c>
      <c r="G180" s="3" t="s">
        <v>767</v>
      </c>
    </row>
    <row r="181" spans="1:7" x14ac:dyDescent="0.25">
      <c r="A181" s="3" t="s">
        <v>767</v>
      </c>
      <c r="B181" s="14" t="s">
        <v>745</v>
      </c>
      <c r="C181" s="14" t="s">
        <v>747</v>
      </c>
      <c r="E181" s="14" t="str">
        <f t="shared" si="2"/>
        <v>8_B_B</v>
      </c>
      <c r="G181" s="3" t="s">
        <v>767</v>
      </c>
    </row>
    <row r="182" spans="1:7" x14ac:dyDescent="0.25">
      <c r="A182" s="3" t="s">
        <v>767</v>
      </c>
      <c r="B182" s="14" t="s">
        <v>745</v>
      </c>
      <c r="C182" s="14" t="s">
        <v>747</v>
      </c>
      <c r="E182" s="14" t="str">
        <f t="shared" si="2"/>
        <v>8_B_B</v>
      </c>
      <c r="G182" s="3" t="s">
        <v>1607</v>
      </c>
    </row>
    <row r="183" spans="1:7" x14ac:dyDescent="0.25">
      <c r="A183" s="3" t="s">
        <v>767</v>
      </c>
      <c r="B183" s="14" t="s">
        <v>745</v>
      </c>
      <c r="C183" s="14" t="s">
        <v>747</v>
      </c>
      <c r="E183" s="14" t="str">
        <f t="shared" si="2"/>
        <v>8_B_B</v>
      </c>
      <c r="G183" s="3" t="s">
        <v>1607</v>
      </c>
    </row>
    <row r="184" spans="1:7" x14ac:dyDescent="0.25">
      <c r="A184" s="3" t="s">
        <v>767</v>
      </c>
      <c r="B184" s="14" t="s">
        <v>745</v>
      </c>
      <c r="C184" s="14" t="s">
        <v>747</v>
      </c>
      <c r="E184" s="14" t="str">
        <f t="shared" si="2"/>
        <v>8_B_B</v>
      </c>
      <c r="G184" s="3" t="s">
        <v>1607</v>
      </c>
    </row>
    <row r="185" spans="1:7" x14ac:dyDescent="0.25">
      <c r="A185" s="3" t="s">
        <v>767</v>
      </c>
      <c r="B185" s="14" t="s">
        <v>745</v>
      </c>
      <c r="C185" s="14" t="s">
        <v>747</v>
      </c>
      <c r="E185" s="14" t="str">
        <f t="shared" si="2"/>
        <v>8_B_B</v>
      </c>
      <c r="G185" s="3" t="s">
        <v>1607</v>
      </c>
    </row>
    <row r="186" spans="1:7" x14ac:dyDescent="0.25">
      <c r="A186" s="3" t="s">
        <v>767</v>
      </c>
      <c r="B186" s="14" t="s">
        <v>745</v>
      </c>
      <c r="C186" s="14" t="s">
        <v>747</v>
      </c>
      <c r="E186" s="14" t="str">
        <f t="shared" si="2"/>
        <v>8_B_B</v>
      </c>
      <c r="G186" s="3" t="s">
        <v>1607</v>
      </c>
    </row>
    <row r="187" spans="1:7" x14ac:dyDescent="0.25">
      <c r="A187" s="3" t="s">
        <v>767</v>
      </c>
      <c r="B187" s="14" t="s">
        <v>745</v>
      </c>
      <c r="C187" s="14" t="s">
        <v>747</v>
      </c>
      <c r="E187" s="14" t="str">
        <f t="shared" si="2"/>
        <v>8_B_B</v>
      </c>
      <c r="G187" s="3" t="s">
        <v>1607</v>
      </c>
    </row>
    <row r="188" spans="1:7" x14ac:dyDescent="0.25">
      <c r="A188" s="3" t="s">
        <v>767</v>
      </c>
      <c r="B188" s="14" t="s">
        <v>745</v>
      </c>
      <c r="C188" s="14" t="s">
        <v>747</v>
      </c>
      <c r="E188" s="14" t="str">
        <f t="shared" si="2"/>
        <v>8_B_B</v>
      </c>
      <c r="G188" s="3" t="s">
        <v>1607</v>
      </c>
    </row>
    <row r="189" spans="1:7" x14ac:dyDescent="0.25">
      <c r="A189" s="3" t="s">
        <v>768</v>
      </c>
      <c r="B189" s="14" t="s">
        <v>745</v>
      </c>
      <c r="C189" s="14" t="s">
        <v>733</v>
      </c>
      <c r="E189" s="14" t="str">
        <f t="shared" si="2"/>
        <v>8_C_C</v>
      </c>
      <c r="G189" s="3" t="s">
        <v>768</v>
      </c>
    </row>
    <row r="190" spans="1:7" x14ac:dyDescent="0.25">
      <c r="A190" s="3" t="s">
        <v>768</v>
      </c>
      <c r="B190" s="14" t="s">
        <v>745</v>
      </c>
      <c r="C190" s="14" t="s">
        <v>733</v>
      </c>
      <c r="E190" s="14" t="str">
        <f t="shared" si="2"/>
        <v>8_C_C</v>
      </c>
      <c r="G190" s="3" t="s">
        <v>768</v>
      </c>
    </row>
    <row r="191" spans="1:7" x14ac:dyDescent="0.25">
      <c r="A191" s="3" t="s">
        <v>768</v>
      </c>
      <c r="B191" s="14" t="s">
        <v>745</v>
      </c>
      <c r="C191" s="14" t="s">
        <v>733</v>
      </c>
      <c r="E191" s="14" t="str">
        <f t="shared" si="2"/>
        <v>8_C_C</v>
      </c>
      <c r="G191" s="3" t="s">
        <v>768</v>
      </c>
    </row>
    <row r="192" spans="1:7" x14ac:dyDescent="0.25">
      <c r="A192" s="3" t="s">
        <v>768</v>
      </c>
      <c r="B192" s="14" t="s">
        <v>745</v>
      </c>
      <c r="C192" s="14" t="s">
        <v>733</v>
      </c>
      <c r="E192" s="14" t="str">
        <f t="shared" si="2"/>
        <v>8_C_C</v>
      </c>
      <c r="G192" s="3" t="s">
        <v>768</v>
      </c>
    </row>
    <row r="193" spans="1:7" x14ac:dyDescent="0.25">
      <c r="A193" s="3" t="s">
        <v>768</v>
      </c>
      <c r="B193" s="14" t="s">
        <v>745</v>
      </c>
      <c r="C193" s="14" t="s">
        <v>733</v>
      </c>
      <c r="E193" s="14" t="str">
        <f t="shared" si="2"/>
        <v>8_C_C</v>
      </c>
      <c r="G193" s="3" t="s">
        <v>768</v>
      </c>
    </row>
    <row r="194" spans="1:7" x14ac:dyDescent="0.25">
      <c r="A194" s="3" t="s">
        <v>768</v>
      </c>
      <c r="B194" s="14" t="s">
        <v>745</v>
      </c>
      <c r="C194" s="14" t="s">
        <v>733</v>
      </c>
      <c r="E194" s="14" t="str">
        <f t="shared" ref="E194:E257" si="3">A194&amp;B194&amp;C194</f>
        <v>8_C_C</v>
      </c>
      <c r="G194" s="3" t="s">
        <v>768</v>
      </c>
    </row>
    <row r="195" spans="1:7" x14ac:dyDescent="0.25">
      <c r="A195" s="3" t="s">
        <v>768</v>
      </c>
      <c r="B195" s="14" t="s">
        <v>745</v>
      </c>
      <c r="C195" s="14" t="s">
        <v>733</v>
      </c>
      <c r="E195" s="14" t="str">
        <f t="shared" si="3"/>
        <v>8_C_C</v>
      </c>
      <c r="G195" s="3" t="s">
        <v>768</v>
      </c>
    </row>
    <row r="196" spans="1:7" x14ac:dyDescent="0.25">
      <c r="A196" s="3" t="s">
        <v>768</v>
      </c>
      <c r="B196" s="14" t="s">
        <v>745</v>
      </c>
      <c r="C196" s="14" t="s">
        <v>733</v>
      </c>
      <c r="E196" s="14" t="str">
        <f t="shared" si="3"/>
        <v>8_C_C</v>
      </c>
      <c r="G196" s="3" t="s">
        <v>768</v>
      </c>
    </row>
    <row r="197" spans="1:7" x14ac:dyDescent="0.25">
      <c r="A197" s="3" t="s">
        <v>768</v>
      </c>
      <c r="B197" s="14" t="s">
        <v>745</v>
      </c>
      <c r="C197" s="14" t="s">
        <v>733</v>
      </c>
      <c r="E197" s="14" t="str">
        <f t="shared" si="3"/>
        <v>8_C_C</v>
      </c>
      <c r="G197" s="3" t="s">
        <v>1608</v>
      </c>
    </row>
    <row r="198" spans="1:7" x14ac:dyDescent="0.25">
      <c r="A198" s="3" t="s">
        <v>768</v>
      </c>
      <c r="B198" s="14" t="s">
        <v>745</v>
      </c>
      <c r="C198" s="14" t="s">
        <v>733</v>
      </c>
      <c r="E198" s="14" t="str">
        <f t="shared" si="3"/>
        <v>8_C_C</v>
      </c>
      <c r="G198" s="3" t="s">
        <v>1608</v>
      </c>
    </row>
    <row r="199" spans="1:7" x14ac:dyDescent="0.25">
      <c r="A199" s="3" t="s">
        <v>768</v>
      </c>
      <c r="B199" s="14" t="s">
        <v>745</v>
      </c>
      <c r="C199" s="14" t="s">
        <v>733</v>
      </c>
      <c r="E199" s="14" t="str">
        <f t="shared" si="3"/>
        <v>8_C_C</v>
      </c>
      <c r="G199" s="3" t="s">
        <v>1608</v>
      </c>
    </row>
    <row r="200" spans="1:7" x14ac:dyDescent="0.25">
      <c r="A200" s="3" t="s">
        <v>768</v>
      </c>
      <c r="B200" s="14" t="s">
        <v>745</v>
      </c>
      <c r="C200" s="14" t="s">
        <v>733</v>
      </c>
      <c r="E200" s="14" t="str">
        <f t="shared" si="3"/>
        <v>8_C_C</v>
      </c>
      <c r="G200" s="3" t="s">
        <v>1608</v>
      </c>
    </row>
    <row r="201" spans="1:7" x14ac:dyDescent="0.25">
      <c r="A201" s="3" t="s">
        <v>768</v>
      </c>
      <c r="B201" s="14" t="s">
        <v>745</v>
      </c>
      <c r="C201" s="14" t="s">
        <v>733</v>
      </c>
      <c r="E201" s="14" t="str">
        <f t="shared" si="3"/>
        <v>8_C_C</v>
      </c>
      <c r="G201" s="3" t="s">
        <v>1608</v>
      </c>
    </row>
    <row r="202" spans="1:7" x14ac:dyDescent="0.25">
      <c r="A202" s="3" t="s">
        <v>768</v>
      </c>
      <c r="B202" s="14" t="s">
        <v>745</v>
      </c>
      <c r="C202" s="14" t="s">
        <v>733</v>
      </c>
      <c r="E202" s="14" t="str">
        <f t="shared" si="3"/>
        <v>8_C_C</v>
      </c>
      <c r="G202" s="3" t="s">
        <v>1608</v>
      </c>
    </row>
    <row r="203" spans="1:7" x14ac:dyDescent="0.25">
      <c r="A203" s="3" t="s">
        <v>768</v>
      </c>
      <c r="B203" s="14" t="s">
        <v>745</v>
      </c>
      <c r="C203" s="14" t="s">
        <v>733</v>
      </c>
      <c r="E203" s="14" t="str">
        <f t="shared" si="3"/>
        <v>8_C_C</v>
      </c>
      <c r="G203" s="3" t="s">
        <v>1608</v>
      </c>
    </row>
    <row r="204" spans="1:7" x14ac:dyDescent="0.25">
      <c r="A204" s="3" t="s">
        <v>768</v>
      </c>
      <c r="B204" s="14" t="s">
        <v>745</v>
      </c>
      <c r="C204" s="14" t="s">
        <v>733</v>
      </c>
      <c r="E204" s="14" t="str">
        <f t="shared" si="3"/>
        <v>8_C_C</v>
      </c>
      <c r="G204" s="3" t="s">
        <v>1608</v>
      </c>
    </row>
    <row r="205" spans="1:7" x14ac:dyDescent="0.25">
      <c r="A205" s="3" t="s">
        <v>769</v>
      </c>
      <c r="B205" s="14" t="s">
        <v>745</v>
      </c>
      <c r="C205" s="14" t="s">
        <v>735</v>
      </c>
      <c r="E205" s="14" t="str">
        <f t="shared" si="3"/>
        <v>8_D_D</v>
      </c>
      <c r="G205" s="3" t="s">
        <v>769</v>
      </c>
    </row>
    <row r="206" spans="1:7" x14ac:dyDescent="0.25">
      <c r="A206" s="3" t="s">
        <v>769</v>
      </c>
      <c r="B206" s="14" t="s">
        <v>745</v>
      </c>
      <c r="C206" s="14" t="s">
        <v>735</v>
      </c>
      <c r="E206" s="14" t="str">
        <f t="shared" si="3"/>
        <v>8_D_D</v>
      </c>
      <c r="G206" s="3" t="s">
        <v>769</v>
      </c>
    </row>
    <row r="207" spans="1:7" x14ac:dyDescent="0.25">
      <c r="A207" s="3" t="s">
        <v>769</v>
      </c>
      <c r="B207" s="14" t="s">
        <v>745</v>
      </c>
      <c r="C207" s="14" t="s">
        <v>735</v>
      </c>
      <c r="E207" s="14" t="str">
        <f t="shared" si="3"/>
        <v>8_D_D</v>
      </c>
      <c r="G207" s="3" t="s">
        <v>769</v>
      </c>
    </row>
    <row r="208" spans="1:7" x14ac:dyDescent="0.25">
      <c r="A208" s="3" t="s">
        <v>769</v>
      </c>
      <c r="B208" s="14" t="s">
        <v>745</v>
      </c>
      <c r="C208" s="14" t="s">
        <v>735</v>
      </c>
      <c r="E208" s="14" t="str">
        <f t="shared" si="3"/>
        <v>8_D_D</v>
      </c>
      <c r="G208" s="3" t="s">
        <v>769</v>
      </c>
    </row>
    <row r="209" spans="1:7" x14ac:dyDescent="0.25">
      <c r="A209" s="3" t="s">
        <v>769</v>
      </c>
      <c r="B209" s="14" t="s">
        <v>745</v>
      </c>
      <c r="C209" s="14" t="s">
        <v>735</v>
      </c>
      <c r="E209" s="14" t="str">
        <f t="shared" si="3"/>
        <v>8_D_D</v>
      </c>
      <c r="G209" s="3" t="s">
        <v>769</v>
      </c>
    </row>
    <row r="210" spans="1:7" x14ac:dyDescent="0.25">
      <c r="A210" s="3" t="s">
        <v>769</v>
      </c>
      <c r="B210" s="14" t="s">
        <v>745</v>
      </c>
      <c r="C210" s="14" t="s">
        <v>735</v>
      </c>
      <c r="E210" s="14" t="str">
        <f t="shared" si="3"/>
        <v>8_D_D</v>
      </c>
      <c r="G210" s="3" t="s">
        <v>769</v>
      </c>
    </row>
    <row r="211" spans="1:7" x14ac:dyDescent="0.25">
      <c r="A211" s="3" t="s">
        <v>769</v>
      </c>
      <c r="B211" s="14" t="s">
        <v>745</v>
      </c>
      <c r="C211" s="14" t="s">
        <v>735</v>
      </c>
      <c r="E211" s="14" t="str">
        <f t="shared" si="3"/>
        <v>8_D_D</v>
      </c>
      <c r="G211" s="3" t="s">
        <v>769</v>
      </c>
    </row>
    <row r="212" spans="1:7" x14ac:dyDescent="0.25">
      <c r="A212" s="3" t="s">
        <v>769</v>
      </c>
      <c r="B212" s="14" t="s">
        <v>745</v>
      </c>
      <c r="C212" s="14" t="s">
        <v>735</v>
      </c>
      <c r="E212" s="14" t="str">
        <f t="shared" si="3"/>
        <v>8_D_D</v>
      </c>
      <c r="G212" s="3" t="s">
        <v>769</v>
      </c>
    </row>
    <row r="213" spans="1:7" x14ac:dyDescent="0.25">
      <c r="A213" s="3" t="s">
        <v>769</v>
      </c>
      <c r="B213" s="14" t="s">
        <v>745</v>
      </c>
      <c r="C213" s="14" t="s">
        <v>735</v>
      </c>
      <c r="E213" s="14" t="str">
        <f t="shared" si="3"/>
        <v>8_D_D</v>
      </c>
      <c r="G213" s="3" t="s">
        <v>1609</v>
      </c>
    </row>
    <row r="214" spans="1:7" x14ac:dyDescent="0.25">
      <c r="A214" s="3" t="s">
        <v>769</v>
      </c>
      <c r="B214" s="14" t="s">
        <v>745</v>
      </c>
      <c r="C214" s="14" t="s">
        <v>735</v>
      </c>
      <c r="E214" s="14" t="str">
        <f t="shared" si="3"/>
        <v>8_D_D</v>
      </c>
      <c r="G214" s="3" t="s">
        <v>1609</v>
      </c>
    </row>
    <row r="215" spans="1:7" x14ac:dyDescent="0.25">
      <c r="A215" s="3" t="s">
        <v>769</v>
      </c>
      <c r="B215" s="14" t="s">
        <v>745</v>
      </c>
      <c r="C215" s="14" t="s">
        <v>735</v>
      </c>
      <c r="E215" s="14" t="str">
        <f t="shared" si="3"/>
        <v>8_D_D</v>
      </c>
      <c r="G215" s="3" t="s">
        <v>1609</v>
      </c>
    </row>
    <row r="216" spans="1:7" x14ac:dyDescent="0.25">
      <c r="A216" s="3" t="s">
        <v>769</v>
      </c>
      <c r="B216" s="14" t="s">
        <v>745</v>
      </c>
      <c r="C216" s="14" t="s">
        <v>735</v>
      </c>
      <c r="E216" s="14" t="str">
        <f t="shared" si="3"/>
        <v>8_D_D</v>
      </c>
      <c r="G216" s="3" t="s">
        <v>1609</v>
      </c>
    </row>
    <row r="217" spans="1:7" x14ac:dyDescent="0.25">
      <c r="A217" s="3" t="s">
        <v>769</v>
      </c>
      <c r="B217" s="14" t="s">
        <v>745</v>
      </c>
      <c r="C217" s="14" t="s">
        <v>735</v>
      </c>
      <c r="E217" s="14" t="str">
        <f t="shared" si="3"/>
        <v>8_D_D</v>
      </c>
      <c r="G217" s="3" t="s">
        <v>1609</v>
      </c>
    </row>
    <row r="218" spans="1:7" x14ac:dyDescent="0.25">
      <c r="A218" s="3" t="s">
        <v>769</v>
      </c>
      <c r="B218" s="14" t="s">
        <v>745</v>
      </c>
      <c r="C218" s="14" t="s">
        <v>735</v>
      </c>
      <c r="E218" s="14" t="str">
        <f t="shared" si="3"/>
        <v>8_D_D</v>
      </c>
      <c r="G218" s="3" t="s">
        <v>1609</v>
      </c>
    </row>
    <row r="219" spans="1:7" x14ac:dyDescent="0.25">
      <c r="A219" s="3" t="s">
        <v>769</v>
      </c>
      <c r="B219" s="14" t="s">
        <v>745</v>
      </c>
      <c r="C219" s="14" t="s">
        <v>735</v>
      </c>
      <c r="E219" s="14" t="str">
        <f t="shared" si="3"/>
        <v>8_D_D</v>
      </c>
      <c r="G219" s="3" t="s">
        <v>1609</v>
      </c>
    </row>
    <row r="220" spans="1:7" x14ac:dyDescent="0.25">
      <c r="A220" s="3" t="s">
        <v>769</v>
      </c>
      <c r="B220" s="14" t="s">
        <v>745</v>
      </c>
      <c r="C220" s="14" t="s">
        <v>735</v>
      </c>
      <c r="E220" s="14" t="str">
        <f t="shared" si="3"/>
        <v>8_D_D</v>
      </c>
      <c r="G220" s="3" t="s">
        <v>1609</v>
      </c>
    </row>
    <row r="221" spans="1:7" x14ac:dyDescent="0.25">
      <c r="A221" s="3" t="s">
        <v>769</v>
      </c>
      <c r="B221" s="14" t="s">
        <v>745</v>
      </c>
      <c r="C221" s="14" t="s">
        <v>735</v>
      </c>
      <c r="E221" s="14" t="str">
        <f t="shared" si="3"/>
        <v>8_D_D</v>
      </c>
      <c r="G221" s="3" t="s">
        <v>1609</v>
      </c>
    </row>
    <row r="222" spans="1:7" x14ac:dyDescent="0.25">
      <c r="A222" s="3" t="s">
        <v>769</v>
      </c>
      <c r="B222" s="14" t="s">
        <v>745</v>
      </c>
      <c r="C222" s="14" t="s">
        <v>735</v>
      </c>
      <c r="E222" s="14" t="str">
        <f t="shared" si="3"/>
        <v>8_D_D</v>
      </c>
      <c r="G222" s="3" t="s">
        <v>1609</v>
      </c>
    </row>
    <row r="223" spans="1:7" x14ac:dyDescent="0.25">
      <c r="A223" s="3" t="s">
        <v>770</v>
      </c>
      <c r="B223" s="14" t="s">
        <v>745</v>
      </c>
      <c r="C223" s="14" t="s">
        <v>748</v>
      </c>
      <c r="E223" s="14" t="str">
        <f t="shared" si="3"/>
        <v>8_E_E</v>
      </c>
      <c r="G223" s="3" t="s">
        <v>770</v>
      </c>
    </row>
    <row r="224" spans="1:7" x14ac:dyDescent="0.25">
      <c r="A224" s="3" t="s">
        <v>770</v>
      </c>
      <c r="B224" s="14" t="s">
        <v>745</v>
      </c>
      <c r="C224" s="14" t="s">
        <v>748</v>
      </c>
      <c r="E224" s="14" t="str">
        <f t="shared" si="3"/>
        <v>8_E_E</v>
      </c>
      <c r="G224" s="3" t="s">
        <v>770</v>
      </c>
    </row>
    <row r="225" spans="1:7" x14ac:dyDescent="0.25">
      <c r="A225" s="3" t="s">
        <v>770</v>
      </c>
      <c r="B225" s="14" t="s">
        <v>745</v>
      </c>
      <c r="C225" s="14" t="s">
        <v>748</v>
      </c>
      <c r="E225" s="14" t="str">
        <f t="shared" si="3"/>
        <v>8_E_E</v>
      </c>
      <c r="G225" s="3" t="s">
        <v>770</v>
      </c>
    </row>
    <row r="226" spans="1:7" x14ac:dyDescent="0.25">
      <c r="A226" s="3" t="s">
        <v>770</v>
      </c>
      <c r="B226" s="14" t="s">
        <v>745</v>
      </c>
      <c r="C226" s="14" t="s">
        <v>748</v>
      </c>
      <c r="E226" s="14" t="str">
        <f t="shared" si="3"/>
        <v>8_E_E</v>
      </c>
      <c r="G226" s="3" t="s">
        <v>770</v>
      </c>
    </row>
    <row r="227" spans="1:7" x14ac:dyDescent="0.25">
      <c r="A227" s="3" t="s">
        <v>770</v>
      </c>
      <c r="B227" s="14" t="s">
        <v>745</v>
      </c>
      <c r="C227" s="14" t="s">
        <v>748</v>
      </c>
      <c r="E227" s="14" t="str">
        <f t="shared" si="3"/>
        <v>8_E_E</v>
      </c>
      <c r="G227" s="3" t="s">
        <v>770</v>
      </c>
    </row>
    <row r="228" spans="1:7" x14ac:dyDescent="0.25">
      <c r="A228" s="3" t="s">
        <v>770</v>
      </c>
      <c r="B228" s="14" t="s">
        <v>745</v>
      </c>
      <c r="C228" s="14" t="s">
        <v>748</v>
      </c>
      <c r="E228" s="14" t="str">
        <f t="shared" si="3"/>
        <v>8_E_E</v>
      </c>
      <c r="G228" s="3" t="s">
        <v>770</v>
      </c>
    </row>
    <row r="229" spans="1:7" x14ac:dyDescent="0.25">
      <c r="A229" s="3" t="s">
        <v>770</v>
      </c>
      <c r="B229" s="14" t="s">
        <v>745</v>
      </c>
      <c r="C229" s="14" t="s">
        <v>748</v>
      </c>
      <c r="E229" s="14" t="str">
        <f t="shared" si="3"/>
        <v>8_E_E</v>
      </c>
      <c r="G229" s="3" t="s">
        <v>770</v>
      </c>
    </row>
    <row r="230" spans="1:7" x14ac:dyDescent="0.25">
      <c r="A230" s="3" t="s">
        <v>770</v>
      </c>
      <c r="B230" s="14" t="s">
        <v>745</v>
      </c>
      <c r="C230" s="14" t="s">
        <v>748</v>
      </c>
      <c r="E230" s="14" t="str">
        <f t="shared" si="3"/>
        <v>8_E_E</v>
      </c>
      <c r="G230" s="3" t="s">
        <v>1610</v>
      </c>
    </row>
    <row r="231" spans="1:7" x14ac:dyDescent="0.25">
      <c r="A231" s="3" t="s">
        <v>770</v>
      </c>
      <c r="B231" s="14" t="s">
        <v>745</v>
      </c>
      <c r="C231" s="14" t="s">
        <v>748</v>
      </c>
      <c r="E231" s="14" t="str">
        <f t="shared" si="3"/>
        <v>8_E_E</v>
      </c>
      <c r="G231" s="3" t="s">
        <v>1610</v>
      </c>
    </row>
    <row r="232" spans="1:7" x14ac:dyDescent="0.25">
      <c r="A232" s="3" t="s">
        <v>770</v>
      </c>
      <c r="B232" s="14" t="s">
        <v>745</v>
      </c>
      <c r="C232" s="14" t="s">
        <v>748</v>
      </c>
      <c r="E232" s="14" t="str">
        <f t="shared" si="3"/>
        <v>8_E_E</v>
      </c>
      <c r="G232" s="3" t="s">
        <v>1610</v>
      </c>
    </row>
    <row r="233" spans="1:7" x14ac:dyDescent="0.25">
      <c r="A233" s="3" t="s">
        <v>770</v>
      </c>
      <c r="B233" s="14" t="s">
        <v>745</v>
      </c>
      <c r="C233" s="14" t="s">
        <v>748</v>
      </c>
      <c r="E233" s="14" t="str">
        <f t="shared" si="3"/>
        <v>8_E_E</v>
      </c>
      <c r="G233" s="3" t="s">
        <v>1610</v>
      </c>
    </row>
    <row r="234" spans="1:7" x14ac:dyDescent="0.25">
      <c r="A234" s="3" t="s">
        <v>752</v>
      </c>
      <c r="B234" s="14"/>
      <c r="C234" s="14"/>
      <c r="E234" s="14" t="str">
        <f t="shared" si="3"/>
        <v>1</v>
      </c>
      <c r="G234" s="3" t="s">
        <v>752</v>
      </c>
    </row>
    <row r="235" spans="1:7" x14ac:dyDescent="0.25">
      <c r="A235" s="3" t="s">
        <v>771</v>
      </c>
      <c r="B235" s="14"/>
      <c r="C235" s="14"/>
      <c r="E235" s="14" t="str">
        <f t="shared" si="3"/>
        <v>9</v>
      </c>
      <c r="G235" s="3" t="s">
        <v>771</v>
      </c>
    </row>
    <row r="236" spans="1:7" x14ac:dyDescent="0.25">
      <c r="A236" s="3" t="s">
        <v>771</v>
      </c>
      <c r="B236" s="14"/>
      <c r="C236" s="14"/>
      <c r="E236" s="14" t="str">
        <f t="shared" si="3"/>
        <v>9</v>
      </c>
      <c r="G236" s="3" t="s">
        <v>771</v>
      </c>
    </row>
    <row r="237" spans="1:7" x14ac:dyDescent="0.25">
      <c r="A237" s="3" t="s">
        <v>771</v>
      </c>
      <c r="B237" s="14"/>
      <c r="C237" s="14"/>
      <c r="E237" s="14" t="str">
        <f t="shared" si="3"/>
        <v>9</v>
      </c>
      <c r="G237" s="3" t="s">
        <v>771</v>
      </c>
    </row>
    <row r="238" spans="1:7" x14ac:dyDescent="0.25">
      <c r="A238" s="3" t="s">
        <v>771</v>
      </c>
      <c r="B238" s="14"/>
      <c r="C238" s="14"/>
      <c r="E238" s="14" t="str">
        <f t="shared" si="3"/>
        <v>9</v>
      </c>
      <c r="G238" s="3" t="s">
        <v>771</v>
      </c>
    </row>
    <row r="239" spans="1:7" x14ac:dyDescent="0.25">
      <c r="A239" s="3" t="s">
        <v>771</v>
      </c>
      <c r="B239" s="14"/>
      <c r="C239" s="14"/>
      <c r="E239" s="14" t="str">
        <f t="shared" si="3"/>
        <v>9</v>
      </c>
      <c r="G239" s="3" t="s">
        <v>771</v>
      </c>
    </row>
    <row r="240" spans="1:7" x14ac:dyDescent="0.25">
      <c r="A240" s="3" t="s">
        <v>771</v>
      </c>
      <c r="E240" s="14" t="str">
        <f t="shared" si="3"/>
        <v>9</v>
      </c>
      <c r="G240" s="3" t="s">
        <v>771</v>
      </c>
    </row>
    <row r="241" spans="1:7" x14ac:dyDescent="0.25">
      <c r="A241" s="3" t="s">
        <v>771</v>
      </c>
      <c r="E241" s="14" t="str">
        <f t="shared" si="3"/>
        <v>9</v>
      </c>
      <c r="G241" s="3" t="s">
        <v>771</v>
      </c>
    </row>
    <row r="242" spans="1:7" x14ac:dyDescent="0.25">
      <c r="A242" s="3" t="s">
        <v>771</v>
      </c>
      <c r="E242" s="14" t="str">
        <f t="shared" si="3"/>
        <v>9</v>
      </c>
      <c r="G242" s="3" t="s">
        <v>771</v>
      </c>
    </row>
    <row r="243" spans="1:7" x14ac:dyDescent="0.25">
      <c r="A243" s="3" t="s">
        <v>752</v>
      </c>
      <c r="E243" s="14" t="str">
        <f t="shared" si="3"/>
        <v>1</v>
      </c>
      <c r="G243" s="3" t="s">
        <v>752</v>
      </c>
    </row>
    <row r="244" spans="1:7" x14ac:dyDescent="0.25">
      <c r="A244" s="3" t="s">
        <v>772</v>
      </c>
      <c r="E244" s="14" t="str">
        <f t="shared" si="3"/>
        <v>10</v>
      </c>
      <c r="G244" s="3" t="s">
        <v>772</v>
      </c>
    </row>
    <row r="245" spans="1:7" x14ac:dyDescent="0.25">
      <c r="A245" s="3" t="s">
        <v>772</v>
      </c>
      <c r="E245" s="14" t="str">
        <f t="shared" si="3"/>
        <v>10</v>
      </c>
      <c r="G245" s="3" t="s">
        <v>772</v>
      </c>
    </row>
    <row r="246" spans="1:7" x14ac:dyDescent="0.25">
      <c r="A246" s="3" t="s">
        <v>772</v>
      </c>
      <c r="E246" s="14" t="str">
        <f t="shared" si="3"/>
        <v>10</v>
      </c>
      <c r="G246" s="3" t="s">
        <v>772</v>
      </c>
    </row>
    <row r="247" spans="1:7" x14ac:dyDescent="0.25">
      <c r="A247" s="3" t="s">
        <v>772</v>
      </c>
      <c r="E247" s="14" t="str">
        <f t="shared" si="3"/>
        <v>10</v>
      </c>
      <c r="G247" s="3" t="s">
        <v>772</v>
      </c>
    </row>
    <row r="248" spans="1:7" x14ac:dyDescent="0.25">
      <c r="A248" s="3" t="s">
        <v>772</v>
      </c>
      <c r="E248" s="14" t="str">
        <f t="shared" si="3"/>
        <v>10</v>
      </c>
      <c r="G248" s="3" t="s">
        <v>772</v>
      </c>
    </row>
    <row r="249" spans="1:7" x14ac:dyDescent="0.25">
      <c r="A249" s="3" t="s">
        <v>772</v>
      </c>
      <c r="E249" s="14" t="str">
        <f t="shared" si="3"/>
        <v>10</v>
      </c>
      <c r="G249" s="3" t="s">
        <v>772</v>
      </c>
    </row>
    <row r="250" spans="1:7" x14ac:dyDescent="0.25">
      <c r="A250" s="3" t="s">
        <v>772</v>
      </c>
      <c r="E250" s="14" t="str">
        <f t="shared" si="3"/>
        <v>10</v>
      </c>
      <c r="G250" s="3" t="s">
        <v>772</v>
      </c>
    </row>
    <row r="251" spans="1:7" x14ac:dyDescent="0.25">
      <c r="A251" s="3" t="s">
        <v>773</v>
      </c>
      <c r="E251" s="14" t="str">
        <f t="shared" si="3"/>
        <v>11</v>
      </c>
      <c r="G251" s="3" t="s">
        <v>773</v>
      </c>
    </row>
    <row r="252" spans="1:7" x14ac:dyDescent="0.25">
      <c r="A252" s="3" t="s">
        <v>774</v>
      </c>
      <c r="E252" s="14" t="str">
        <f t="shared" si="3"/>
        <v>12</v>
      </c>
      <c r="G252" s="3" t="s">
        <v>774</v>
      </c>
    </row>
    <row r="253" spans="1:7" x14ac:dyDescent="0.25">
      <c r="A253" s="3" t="s">
        <v>775</v>
      </c>
      <c r="E253" s="14" t="str">
        <f t="shared" si="3"/>
        <v>13</v>
      </c>
      <c r="G253" s="3" t="s">
        <v>775</v>
      </c>
    </row>
    <row r="254" spans="1:7" x14ac:dyDescent="0.25">
      <c r="A254" s="3" t="s">
        <v>776</v>
      </c>
      <c r="E254" s="14" t="str">
        <f t="shared" si="3"/>
        <v>14</v>
      </c>
      <c r="G254" s="3" t="s">
        <v>776</v>
      </c>
    </row>
    <row r="255" spans="1:7" x14ac:dyDescent="0.25">
      <c r="A255" s="3" t="s">
        <v>776</v>
      </c>
      <c r="E255" s="14" t="str">
        <f t="shared" si="3"/>
        <v>14</v>
      </c>
      <c r="G255" s="3" t="s">
        <v>776</v>
      </c>
    </row>
    <row r="256" spans="1:7" x14ac:dyDescent="0.25">
      <c r="A256" s="3" t="s">
        <v>777</v>
      </c>
      <c r="E256" s="14" t="str">
        <f t="shared" si="3"/>
        <v>15</v>
      </c>
      <c r="G256" s="3" t="s">
        <v>777</v>
      </c>
    </row>
    <row r="257" spans="1:7" x14ac:dyDescent="0.25">
      <c r="A257" s="3" t="s">
        <v>778</v>
      </c>
      <c r="E257" s="14" t="str">
        <f t="shared" si="3"/>
        <v>16</v>
      </c>
      <c r="G257" s="3" t="s">
        <v>778</v>
      </c>
    </row>
    <row r="258" spans="1:7" x14ac:dyDescent="0.25">
      <c r="A258" s="3" t="s">
        <v>779</v>
      </c>
      <c r="E258" s="14" t="str">
        <f t="shared" ref="E258:E321" si="4">A258&amp;B258&amp;C258</f>
        <v>17</v>
      </c>
      <c r="G258" s="3" t="s">
        <v>779</v>
      </c>
    </row>
    <row r="259" spans="1:7" x14ac:dyDescent="0.25">
      <c r="A259" s="3" t="s">
        <v>780</v>
      </c>
      <c r="E259" s="14" t="str">
        <f t="shared" si="4"/>
        <v>18</v>
      </c>
      <c r="G259" s="3" t="s">
        <v>780</v>
      </c>
    </row>
    <row r="260" spans="1:7" x14ac:dyDescent="0.25">
      <c r="A260" s="3" t="s">
        <v>781</v>
      </c>
      <c r="E260" s="14" t="str">
        <f t="shared" si="4"/>
        <v>19</v>
      </c>
      <c r="G260" s="3" t="s">
        <v>781</v>
      </c>
    </row>
    <row r="261" spans="1:7" x14ac:dyDescent="0.25">
      <c r="A261" s="3" t="s">
        <v>782</v>
      </c>
      <c r="E261" s="14" t="str">
        <f t="shared" si="4"/>
        <v>20</v>
      </c>
      <c r="G261" s="3" t="s">
        <v>782</v>
      </c>
    </row>
    <row r="262" spans="1:7" x14ac:dyDescent="0.25">
      <c r="A262" s="3" t="s">
        <v>783</v>
      </c>
      <c r="E262" s="14" t="str">
        <f t="shared" si="4"/>
        <v>22</v>
      </c>
      <c r="G262" s="3" t="s">
        <v>783</v>
      </c>
    </row>
    <row r="263" spans="1:7" x14ac:dyDescent="0.25">
      <c r="A263" s="3" t="s">
        <v>783</v>
      </c>
      <c r="E263" s="14" t="str">
        <f t="shared" si="4"/>
        <v>22</v>
      </c>
      <c r="G263" s="3" t="s">
        <v>783</v>
      </c>
    </row>
    <row r="264" spans="1:7" x14ac:dyDescent="0.25">
      <c r="A264" s="3" t="s">
        <v>783</v>
      </c>
      <c r="E264" s="14" t="str">
        <f t="shared" si="4"/>
        <v>22</v>
      </c>
      <c r="G264" s="3" t="s">
        <v>783</v>
      </c>
    </row>
    <row r="265" spans="1:7" x14ac:dyDescent="0.25">
      <c r="A265" s="3" t="s">
        <v>784</v>
      </c>
      <c r="E265" s="14" t="str">
        <f t="shared" si="4"/>
        <v>23</v>
      </c>
      <c r="G265" s="3" t="s">
        <v>784</v>
      </c>
    </row>
    <row r="266" spans="1:7" x14ac:dyDescent="0.25">
      <c r="A266" s="3" t="s">
        <v>785</v>
      </c>
      <c r="E266" s="14" t="str">
        <f t="shared" si="4"/>
        <v>24</v>
      </c>
      <c r="G266" s="3" t="s">
        <v>785</v>
      </c>
    </row>
    <row r="267" spans="1:7" x14ac:dyDescent="0.25">
      <c r="A267" s="3" t="s">
        <v>786</v>
      </c>
      <c r="E267" s="14" t="str">
        <f t="shared" si="4"/>
        <v>25</v>
      </c>
      <c r="G267" s="3" t="s">
        <v>786</v>
      </c>
    </row>
    <row r="268" spans="1:7" x14ac:dyDescent="0.25">
      <c r="A268" s="3" t="s">
        <v>787</v>
      </c>
      <c r="E268" s="14" t="str">
        <f t="shared" si="4"/>
        <v>26</v>
      </c>
      <c r="G268" s="3" t="s">
        <v>787</v>
      </c>
    </row>
    <row r="269" spans="1:7" x14ac:dyDescent="0.25">
      <c r="A269" s="3" t="s">
        <v>788</v>
      </c>
      <c r="E269" s="14" t="str">
        <f t="shared" si="4"/>
        <v>27</v>
      </c>
      <c r="G269" s="3" t="s">
        <v>788</v>
      </c>
    </row>
    <row r="270" spans="1:7" x14ac:dyDescent="0.25">
      <c r="A270" s="3" t="s">
        <v>789</v>
      </c>
      <c r="E270" s="14" t="str">
        <f t="shared" si="4"/>
        <v>28</v>
      </c>
      <c r="G270" s="3" t="s">
        <v>789</v>
      </c>
    </row>
    <row r="271" spans="1:7" x14ac:dyDescent="0.25">
      <c r="A271" s="3" t="s">
        <v>790</v>
      </c>
      <c r="E271" s="14" t="str">
        <f t="shared" si="4"/>
        <v>29</v>
      </c>
      <c r="G271" s="3" t="s">
        <v>790</v>
      </c>
    </row>
    <row r="272" spans="1:7" x14ac:dyDescent="0.25">
      <c r="A272" s="3" t="s">
        <v>791</v>
      </c>
      <c r="E272" s="14" t="str">
        <f t="shared" si="4"/>
        <v>30</v>
      </c>
      <c r="G272" s="3" t="s">
        <v>791</v>
      </c>
    </row>
    <row r="273" spans="1:7" x14ac:dyDescent="0.25">
      <c r="A273" s="3" t="s">
        <v>792</v>
      </c>
      <c r="E273" s="14" t="str">
        <f t="shared" si="4"/>
        <v>31</v>
      </c>
      <c r="G273" s="3" t="s">
        <v>792</v>
      </c>
    </row>
    <row r="274" spans="1:7" x14ac:dyDescent="0.25">
      <c r="A274" s="3" t="s">
        <v>793</v>
      </c>
      <c r="E274" s="14" t="str">
        <f t="shared" si="4"/>
        <v>32</v>
      </c>
      <c r="G274" s="3" t="s">
        <v>793</v>
      </c>
    </row>
    <row r="275" spans="1:7" x14ac:dyDescent="0.25">
      <c r="A275" s="3" t="s">
        <v>794</v>
      </c>
      <c r="E275" s="14" t="str">
        <f t="shared" si="4"/>
        <v>33</v>
      </c>
      <c r="G275" s="3" t="s">
        <v>794</v>
      </c>
    </row>
    <row r="276" spans="1:7" x14ac:dyDescent="0.25">
      <c r="A276" s="3" t="s">
        <v>795</v>
      </c>
      <c r="E276" s="14" t="str">
        <f t="shared" si="4"/>
        <v>34</v>
      </c>
      <c r="G276" s="3" t="s">
        <v>795</v>
      </c>
    </row>
    <row r="277" spans="1:7" x14ac:dyDescent="0.25">
      <c r="A277" s="3" t="s">
        <v>796</v>
      </c>
      <c r="E277" s="14" t="str">
        <f t="shared" si="4"/>
        <v>35</v>
      </c>
      <c r="G277" s="3" t="s">
        <v>796</v>
      </c>
    </row>
    <row r="278" spans="1:7" x14ac:dyDescent="0.25">
      <c r="A278" s="3" t="s">
        <v>797</v>
      </c>
      <c r="E278" s="14" t="str">
        <f t="shared" si="4"/>
        <v>36</v>
      </c>
      <c r="G278" s="3" t="s">
        <v>797</v>
      </c>
    </row>
    <row r="279" spans="1:7" x14ac:dyDescent="0.25">
      <c r="A279" s="3" t="s">
        <v>798</v>
      </c>
      <c r="E279" s="14" t="str">
        <f t="shared" si="4"/>
        <v>37</v>
      </c>
      <c r="G279" s="3" t="s">
        <v>798</v>
      </c>
    </row>
    <row r="280" spans="1:7" x14ac:dyDescent="0.25">
      <c r="A280" s="3" t="s">
        <v>799</v>
      </c>
      <c r="E280" s="14" t="str">
        <f t="shared" si="4"/>
        <v>39</v>
      </c>
      <c r="G280" s="3" t="s">
        <v>799</v>
      </c>
    </row>
    <row r="281" spans="1:7" x14ac:dyDescent="0.25">
      <c r="A281" s="3" t="s">
        <v>799</v>
      </c>
      <c r="E281" s="14" t="str">
        <f t="shared" si="4"/>
        <v>39</v>
      </c>
      <c r="G281" s="3" t="s">
        <v>799</v>
      </c>
    </row>
    <row r="282" spans="1:7" x14ac:dyDescent="0.25">
      <c r="A282" s="3" t="s">
        <v>799</v>
      </c>
      <c r="E282" s="14" t="str">
        <f t="shared" si="4"/>
        <v>39</v>
      </c>
      <c r="G282" s="3" t="s">
        <v>799</v>
      </c>
    </row>
    <row r="283" spans="1:7" x14ac:dyDescent="0.25">
      <c r="A283" s="3" t="s">
        <v>800</v>
      </c>
      <c r="E283" s="14" t="str">
        <f t="shared" si="4"/>
        <v>40</v>
      </c>
      <c r="G283" s="3" t="s">
        <v>800</v>
      </c>
    </row>
    <row r="284" spans="1:7" x14ac:dyDescent="0.25">
      <c r="A284" s="3" t="s">
        <v>800</v>
      </c>
      <c r="E284" s="14" t="str">
        <f t="shared" si="4"/>
        <v>40</v>
      </c>
      <c r="G284" s="3" t="s">
        <v>800</v>
      </c>
    </row>
    <row r="285" spans="1:7" x14ac:dyDescent="0.25">
      <c r="A285" s="3" t="s">
        <v>801</v>
      </c>
      <c r="E285" s="14" t="str">
        <f t="shared" si="4"/>
        <v>41</v>
      </c>
      <c r="G285" s="3" t="s">
        <v>801</v>
      </c>
    </row>
    <row r="286" spans="1:7" x14ac:dyDescent="0.25">
      <c r="A286" s="3" t="s">
        <v>801</v>
      </c>
      <c r="E286" s="14" t="str">
        <f t="shared" si="4"/>
        <v>41</v>
      </c>
      <c r="G286" s="3" t="s">
        <v>801</v>
      </c>
    </row>
    <row r="287" spans="1:7" x14ac:dyDescent="0.25">
      <c r="A287" s="3" t="s">
        <v>802</v>
      </c>
      <c r="E287" s="14" t="str">
        <f t="shared" si="4"/>
        <v>42</v>
      </c>
      <c r="G287" s="3" t="s">
        <v>802</v>
      </c>
    </row>
    <row r="288" spans="1:7" x14ac:dyDescent="0.25">
      <c r="A288" s="3" t="s">
        <v>802</v>
      </c>
      <c r="E288" s="14" t="str">
        <f t="shared" si="4"/>
        <v>42</v>
      </c>
      <c r="G288" s="3" t="s">
        <v>802</v>
      </c>
    </row>
    <row r="289" spans="1:7" x14ac:dyDescent="0.25">
      <c r="A289" s="3" t="s">
        <v>803</v>
      </c>
      <c r="E289" s="14" t="str">
        <f t="shared" si="4"/>
        <v>43</v>
      </c>
      <c r="G289" s="3" t="s">
        <v>803</v>
      </c>
    </row>
    <row r="290" spans="1:7" x14ac:dyDescent="0.25">
      <c r="A290" s="3" t="s">
        <v>803</v>
      </c>
      <c r="E290" s="14" t="str">
        <f t="shared" si="4"/>
        <v>43</v>
      </c>
      <c r="G290" s="3" t="s">
        <v>803</v>
      </c>
    </row>
    <row r="291" spans="1:7" x14ac:dyDescent="0.25">
      <c r="A291" s="3" t="s">
        <v>804</v>
      </c>
      <c r="E291" s="14" t="str">
        <f t="shared" si="4"/>
        <v>44</v>
      </c>
      <c r="G291" s="3" t="s">
        <v>804</v>
      </c>
    </row>
    <row r="292" spans="1:7" x14ac:dyDescent="0.25">
      <c r="A292" s="3" t="s">
        <v>804</v>
      </c>
      <c r="E292" s="14" t="str">
        <f t="shared" si="4"/>
        <v>44</v>
      </c>
      <c r="G292" s="3" t="s">
        <v>804</v>
      </c>
    </row>
    <row r="293" spans="1:7" x14ac:dyDescent="0.25">
      <c r="A293" s="3" t="s">
        <v>805</v>
      </c>
      <c r="E293" s="14" t="str">
        <f t="shared" si="4"/>
        <v>45</v>
      </c>
      <c r="G293" s="3" t="s">
        <v>805</v>
      </c>
    </row>
    <row r="294" spans="1:7" x14ac:dyDescent="0.25">
      <c r="A294" s="3" t="s">
        <v>805</v>
      </c>
      <c r="E294" s="14" t="str">
        <f t="shared" si="4"/>
        <v>45</v>
      </c>
      <c r="G294" s="3" t="s">
        <v>805</v>
      </c>
    </row>
    <row r="295" spans="1:7" x14ac:dyDescent="0.25">
      <c r="A295" s="3" t="s">
        <v>806</v>
      </c>
      <c r="E295" s="14" t="str">
        <f t="shared" si="4"/>
        <v>46</v>
      </c>
      <c r="G295" s="3" t="s">
        <v>806</v>
      </c>
    </row>
    <row r="296" spans="1:7" x14ac:dyDescent="0.25">
      <c r="A296" s="3" t="s">
        <v>806</v>
      </c>
      <c r="E296" s="14" t="str">
        <f t="shared" si="4"/>
        <v>46</v>
      </c>
      <c r="G296" s="3" t="s">
        <v>806</v>
      </c>
    </row>
    <row r="297" spans="1:7" x14ac:dyDescent="0.25">
      <c r="A297" s="3" t="s">
        <v>807</v>
      </c>
      <c r="E297" s="14" t="str">
        <f t="shared" si="4"/>
        <v>47</v>
      </c>
      <c r="G297" s="3" t="s">
        <v>807</v>
      </c>
    </row>
    <row r="298" spans="1:7" x14ac:dyDescent="0.25">
      <c r="A298" s="3" t="s">
        <v>807</v>
      </c>
      <c r="E298" s="14" t="str">
        <f t="shared" si="4"/>
        <v>47</v>
      </c>
      <c r="G298" s="3" t="s">
        <v>807</v>
      </c>
    </row>
    <row r="299" spans="1:7" x14ac:dyDescent="0.25">
      <c r="A299" s="3" t="s">
        <v>808</v>
      </c>
      <c r="E299" s="14" t="str">
        <f t="shared" si="4"/>
        <v>48</v>
      </c>
      <c r="G299" s="3" t="s">
        <v>808</v>
      </c>
    </row>
    <row r="300" spans="1:7" x14ac:dyDescent="0.25">
      <c r="A300" s="3" t="s">
        <v>808</v>
      </c>
      <c r="E300" s="14" t="str">
        <f t="shared" si="4"/>
        <v>48</v>
      </c>
      <c r="G300" s="3" t="s">
        <v>808</v>
      </c>
    </row>
    <row r="301" spans="1:7" x14ac:dyDescent="0.25">
      <c r="A301" s="3" t="s">
        <v>809</v>
      </c>
      <c r="E301" s="14" t="str">
        <f t="shared" si="4"/>
        <v>49</v>
      </c>
      <c r="G301" s="3" t="s">
        <v>809</v>
      </c>
    </row>
    <row r="302" spans="1:7" x14ac:dyDescent="0.25">
      <c r="A302" s="3" t="s">
        <v>809</v>
      </c>
      <c r="E302" s="14" t="str">
        <f t="shared" si="4"/>
        <v>49</v>
      </c>
      <c r="G302" s="3" t="s">
        <v>809</v>
      </c>
    </row>
    <row r="303" spans="1:7" x14ac:dyDescent="0.25">
      <c r="A303" s="3" t="s">
        <v>810</v>
      </c>
      <c r="E303" s="14" t="str">
        <f t="shared" si="4"/>
        <v>50</v>
      </c>
      <c r="G303" s="3" t="s">
        <v>810</v>
      </c>
    </row>
    <row r="304" spans="1:7" x14ac:dyDescent="0.25">
      <c r="A304" s="3" t="s">
        <v>810</v>
      </c>
      <c r="E304" s="14" t="str">
        <f t="shared" si="4"/>
        <v>50</v>
      </c>
      <c r="G304" s="3" t="s">
        <v>810</v>
      </c>
    </row>
    <row r="305" spans="1:7" x14ac:dyDescent="0.25">
      <c r="A305" s="3" t="s">
        <v>811</v>
      </c>
      <c r="E305" s="14" t="str">
        <f t="shared" si="4"/>
        <v>51</v>
      </c>
      <c r="G305" s="3" t="s">
        <v>811</v>
      </c>
    </row>
    <row r="306" spans="1:7" x14ac:dyDescent="0.25">
      <c r="A306" s="3" t="s">
        <v>811</v>
      </c>
      <c r="E306" s="14" t="str">
        <f t="shared" si="4"/>
        <v>51</v>
      </c>
      <c r="G306" s="3" t="s">
        <v>811</v>
      </c>
    </row>
    <row r="307" spans="1:7" x14ac:dyDescent="0.25">
      <c r="A307" s="3" t="s">
        <v>812</v>
      </c>
      <c r="E307" s="14" t="str">
        <f t="shared" si="4"/>
        <v>52</v>
      </c>
      <c r="G307" s="3" t="s">
        <v>812</v>
      </c>
    </row>
    <row r="308" spans="1:7" x14ac:dyDescent="0.25">
      <c r="A308" s="3" t="s">
        <v>812</v>
      </c>
      <c r="E308" s="14" t="str">
        <f t="shared" si="4"/>
        <v>52</v>
      </c>
      <c r="G308" s="3" t="s">
        <v>812</v>
      </c>
    </row>
    <row r="309" spans="1:7" x14ac:dyDescent="0.25">
      <c r="A309" s="3" t="s">
        <v>813</v>
      </c>
      <c r="E309" s="14" t="str">
        <f t="shared" si="4"/>
        <v>53</v>
      </c>
      <c r="G309" s="3" t="s">
        <v>813</v>
      </c>
    </row>
    <row r="310" spans="1:7" x14ac:dyDescent="0.25">
      <c r="A310" s="3" t="s">
        <v>813</v>
      </c>
      <c r="E310" s="14" t="str">
        <f t="shared" si="4"/>
        <v>53</v>
      </c>
      <c r="G310" s="3" t="s">
        <v>813</v>
      </c>
    </row>
    <row r="311" spans="1:7" x14ac:dyDescent="0.25">
      <c r="A311" s="3" t="s">
        <v>814</v>
      </c>
      <c r="E311" s="14" t="str">
        <f t="shared" si="4"/>
        <v>54</v>
      </c>
      <c r="G311" s="3" t="s">
        <v>814</v>
      </c>
    </row>
    <row r="312" spans="1:7" x14ac:dyDescent="0.25">
      <c r="A312" s="3" t="s">
        <v>814</v>
      </c>
      <c r="E312" s="14" t="str">
        <f t="shared" si="4"/>
        <v>54</v>
      </c>
      <c r="G312" s="3" t="s">
        <v>814</v>
      </c>
    </row>
    <row r="313" spans="1:7" x14ac:dyDescent="0.25">
      <c r="A313" s="3" t="s">
        <v>815</v>
      </c>
      <c r="E313" s="14" t="str">
        <f t="shared" si="4"/>
        <v>55</v>
      </c>
      <c r="G313" s="3" t="s">
        <v>815</v>
      </c>
    </row>
    <row r="314" spans="1:7" x14ac:dyDescent="0.25">
      <c r="A314" s="3" t="s">
        <v>815</v>
      </c>
      <c r="E314" s="14" t="str">
        <f t="shared" si="4"/>
        <v>55</v>
      </c>
      <c r="G314" s="3" t="s">
        <v>815</v>
      </c>
    </row>
    <row r="315" spans="1:7" x14ac:dyDescent="0.25">
      <c r="A315" s="3" t="s">
        <v>816</v>
      </c>
      <c r="E315" s="14" t="str">
        <f t="shared" si="4"/>
        <v>56</v>
      </c>
      <c r="G315" s="3" t="s">
        <v>816</v>
      </c>
    </row>
    <row r="316" spans="1:7" x14ac:dyDescent="0.25">
      <c r="A316" s="3" t="s">
        <v>816</v>
      </c>
      <c r="E316" s="14" t="str">
        <f t="shared" si="4"/>
        <v>56</v>
      </c>
      <c r="G316" s="3" t="s">
        <v>816</v>
      </c>
    </row>
    <row r="317" spans="1:7" x14ac:dyDescent="0.25">
      <c r="A317" s="3" t="s">
        <v>817</v>
      </c>
      <c r="E317" s="14" t="str">
        <f t="shared" si="4"/>
        <v>57</v>
      </c>
      <c r="G317" s="3" t="s">
        <v>817</v>
      </c>
    </row>
    <row r="318" spans="1:7" x14ac:dyDescent="0.25">
      <c r="A318" s="3" t="s">
        <v>817</v>
      </c>
      <c r="E318" s="14" t="str">
        <f t="shared" si="4"/>
        <v>57</v>
      </c>
      <c r="G318" s="3" t="s">
        <v>817</v>
      </c>
    </row>
    <row r="319" spans="1:7" x14ac:dyDescent="0.25">
      <c r="A319" s="3" t="s">
        <v>818</v>
      </c>
      <c r="E319" s="14" t="str">
        <f t="shared" si="4"/>
        <v>58</v>
      </c>
      <c r="G319" s="3" t="s">
        <v>818</v>
      </c>
    </row>
    <row r="320" spans="1:7" x14ac:dyDescent="0.25">
      <c r="A320" s="3" t="s">
        <v>818</v>
      </c>
      <c r="E320" s="14" t="str">
        <f t="shared" si="4"/>
        <v>58</v>
      </c>
      <c r="G320" s="3" t="s">
        <v>818</v>
      </c>
    </row>
    <row r="321" spans="1:7" x14ac:dyDescent="0.25">
      <c r="A321" s="3" t="s">
        <v>819</v>
      </c>
      <c r="E321" s="14" t="str">
        <f t="shared" si="4"/>
        <v>59</v>
      </c>
      <c r="G321" s="3" t="s">
        <v>819</v>
      </c>
    </row>
    <row r="322" spans="1:7" x14ac:dyDescent="0.25">
      <c r="A322" s="3" t="s">
        <v>819</v>
      </c>
      <c r="E322" s="14" t="str">
        <f t="shared" ref="E322:E385" si="5">A322&amp;B322&amp;C322</f>
        <v>59</v>
      </c>
      <c r="G322" s="3" t="s">
        <v>819</v>
      </c>
    </row>
    <row r="323" spans="1:7" x14ac:dyDescent="0.25">
      <c r="A323" s="3" t="s">
        <v>820</v>
      </c>
      <c r="E323" s="14" t="str">
        <f t="shared" si="5"/>
        <v>60</v>
      </c>
      <c r="G323" s="3" t="s">
        <v>820</v>
      </c>
    </row>
    <row r="324" spans="1:7" x14ac:dyDescent="0.25">
      <c r="A324" s="3" t="s">
        <v>820</v>
      </c>
      <c r="E324" s="14" t="str">
        <f t="shared" si="5"/>
        <v>60</v>
      </c>
      <c r="G324" s="3" t="s">
        <v>820</v>
      </c>
    </row>
    <row r="325" spans="1:7" x14ac:dyDescent="0.25">
      <c r="A325" s="3" t="s">
        <v>821</v>
      </c>
      <c r="E325" s="14" t="str">
        <f t="shared" si="5"/>
        <v>61</v>
      </c>
      <c r="G325" s="3" t="s">
        <v>821</v>
      </c>
    </row>
    <row r="326" spans="1:7" x14ac:dyDescent="0.25">
      <c r="A326" s="3" t="s">
        <v>821</v>
      </c>
      <c r="E326" s="14" t="str">
        <f t="shared" si="5"/>
        <v>61</v>
      </c>
      <c r="G326" s="3" t="s">
        <v>821</v>
      </c>
    </row>
    <row r="327" spans="1:7" x14ac:dyDescent="0.25">
      <c r="A327" s="3" t="s">
        <v>822</v>
      </c>
      <c r="E327" s="14" t="str">
        <f t="shared" si="5"/>
        <v>62</v>
      </c>
      <c r="G327" s="3" t="s">
        <v>822</v>
      </c>
    </row>
    <row r="328" spans="1:7" x14ac:dyDescent="0.25">
      <c r="A328" s="3" t="s">
        <v>823</v>
      </c>
      <c r="E328" s="14" t="str">
        <f t="shared" si="5"/>
        <v>63</v>
      </c>
      <c r="G328" s="3" t="s">
        <v>823</v>
      </c>
    </row>
    <row r="329" spans="1:7" x14ac:dyDescent="0.25">
      <c r="A329" s="3" t="s">
        <v>824</v>
      </c>
      <c r="E329" s="14" t="str">
        <f t="shared" si="5"/>
        <v>64</v>
      </c>
      <c r="G329" s="3" t="s">
        <v>824</v>
      </c>
    </row>
    <row r="330" spans="1:7" x14ac:dyDescent="0.25">
      <c r="A330" s="3" t="s">
        <v>825</v>
      </c>
      <c r="E330" s="14" t="str">
        <f t="shared" si="5"/>
        <v>65</v>
      </c>
      <c r="G330" s="3" t="s">
        <v>825</v>
      </c>
    </row>
    <row r="331" spans="1:7" x14ac:dyDescent="0.25">
      <c r="A331" s="3" t="s">
        <v>826</v>
      </c>
      <c r="E331" s="14" t="str">
        <f t="shared" si="5"/>
        <v>66</v>
      </c>
      <c r="G331" s="3" t="s">
        <v>826</v>
      </c>
    </row>
    <row r="332" spans="1:7" x14ac:dyDescent="0.25">
      <c r="A332" s="3" t="s">
        <v>827</v>
      </c>
      <c r="E332" s="14" t="str">
        <f t="shared" si="5"/>
        <v>67</v>
      </c>
      <c r="G332" s="3" t="s">
        <v>827</v>
      </c>
    </row>
    <row r="333" spans="1:7" x14ac:dyDescent="0.25">
      <c r="A333" s="3" t="s">
        <v>828</v>
      </c>
      <c r="E333" s="14" t="str">
        <f t="shared" si="5"/>
        <v>68</v>
      </c>
      <c r="G333" s="3" t="s">
        <v>828</v>
      </c>
    </row>
    <row r="334" spans="1:7" x14ac:dyDescent="0.25">
      <c r="A334" s="3" t="s">
        <v>829</v>
      </c>
      <c r="E334" s="14" t="str">
        <f t="shared" si="5"/>
        <v>69</v>
      </c>
      <c r="G334" s="3" t="s">
        <v>829</v>
      </c>
    </row>
    <row r="335" spans="1:7" x14ac:dyDescent="0.25">
      <c r="A335" s="3" t="s">
        <v>830</v>
      </c>
      <c r="E335" s="14" t="str">
        <f t="shared" si="5"/>
        <v>70</v>
      </c>
      <c r="G335" s="3" t="s">
        <v>830</v>
      </c>
    </row>
    <row r="336" spans="1:7" x14ac:dyDescent="0.25">
      <c r="A336" s="3" t="s">
        <v>831</v>
      </c>
      <c r="E336" s="14" t="str">
        <f t="shared" si="5"/>
        <v>71</v>
      </c>
      <c r="G336" s="3" t="s">
        <v>831</v>
      </c>
    </row>
    <row r="337" spans="1:7" x14ac:dyDescent="0.25">
      <c r="A337" s="3" t="s">
        <v>832</v>
      </c>
      <c r="E337" s="14" t="str">
        <f t="shared" si="5"/>
        <v>72</v>
      </c>
      <c r="G337" s="3" t="s">
        <v>832</v>
      </c>
    </row>
    <row r="338" spans="1:7" x14ac:dyDescent="0.25">
      <c r="A338" s="3" t="s">
        <v>833</v>
      </c>
      <c r="E338" s="14" t="str">
        <f t="shared" si="5"/>
        <v>73</v>
      </c>
      <c r="G338" s="3" t="s">
        <v>833</v>
      </c>
    </row>
    <row r="339" spans="1:7" x14ac:dyDescent="0.25">
      <c r="A339" s="3" t="s">
        <v>834</v>
      </c>
      <c r="E339" s="14" t="str">
        <f t="shared" si="5"/>
        <v>74</v>
      </c>
      <c r="G339" s="3" t="s">
        <v>834</v>
      </c>
    </row>
    <row r="340" spans="1:7" x14ac:dyDescent="0.25">
      <c r="A340" s="3" t="s">
        <v>835</v>
      </c>
      <c r="E340" s="14" t="str">
        <f t="shared" si="5"/>
        <v>75</v>
      </c>
      <c r="G340" s="3" t="s">
        <v>835</v>
      </c>
    </row>
    <row r="341" spans="1:7" x14ac:dyDescent="0.25">
      <c r="A341" s="3" t="s">
        <v>836</v>
      </c>
      <c r="E341" s="14" t="str">
        <f t="shared" si="5"/>
        <v>76</v>
      </c>
      <c r="G341" s="3" t="s">
        <v>836</v>
      </c>
    </row>
    <row r="342" spans="1:7" x14ac:dyDescent="0.25">
      <c r="A342" s="3" t="s">
        <v>837</v>
      </c>
      <c r="E342" s="14" t="str">
        <f t="shared" si="5"/>
        <v>77</v>
      </c>
      <c r="G342" s="3" t="s">
        <v>837</v>
      </c>
    </row>
    <row r="343" spans="1:7" x14ac:dyDescent="0.25">
      <c r="A343" s="3" t="s">
        <v>838</v>
      </c>
      <c r="E343" s="14" t="str">
        <f t="shared" si="5"/>
        <v>78</v>
      </c>
      <c r="G343" s="3" t="s">
        <v>838</v>
      </c>
    </row>
    <row r="344" spans="1:7" x14ac:dyDescent="0.25">
      <c r="A344" s="3" t="s">
        <v>838</v>
      </c>
      <c r="E344" s="14" t="str">
        <f t="shared" si="5"/>
        <v>78</v>
      </c>
      <c r="G344" s="3" t="s">
        <v>838</v>
      </c>
    </row>
    <row r="345" spans="1:7" x14ac:dyDescent="0.25">
      <c r="A345" s="3" t="s">
        <v>839</v>
      </c>
      <c r="E345" s="14" t="str">
        <f t="shared" si="5"/>
        <v>79</v>
      </c>
      <c r="G345" s="3" t="s">
        <v>839</v>
      </c>
    </row>
    <row r="346" spans="1:7" x14ac:dyDescent="0.25">
      <c r="A346" s="3" t="s">
        <v>840</v>
      </c>
      <c r="E346" s="14" t="str">
        <f t="shared" si="5"/>
        <v>80</v>
      </c>
      <c r="G346" s="3" t="s">
        <v>840</v>
      </c>
    </row>
    <row r="347" spans="1:7" x14ac:dyDescent="0.25">
      <c r="A347" s="3" t="s">
        <v>840</v>
      </c>
      <c r="E347" s="14" t="str">
        <f t="shared" si="5"/>
        <v>80</v>
      </c>
      <c r="G347" s="3" t="s">
        <v>840</v>
      </c>
    </row>
    <row r="348" spans="1:7" x14ac:dyDescent="0.25">
      <c r="A348" s="3" t="s">
        <v>840</v>
      </c>
      <c r="E348" s="14" t="str">
        <f t="shared" si="5"/>
        <v>80</v>
      </c>
      <c r="G348" s="3" t="s">
        <v>840</v>
      </c>
    </row>
    <row r="349" spans="1:7" x14ac:dyDescent="0.25">
      <c r="A349" s="3" t="s">
        <v>840</v>
      </c>
      <c r="E349" s="14" t="str">
        <f t="shared" si="5"/>
        <v>80</v>
      </c>
      <c r="G349" s="3" t="s">
        <v>840</v>
      </c>
    </row>
    <row r="350" spans="1:7" x14ac:dyDescent="0.25">
      <c r="A350" s="3" t="s">
        <v>840</v>
      </c>
      <c r="E350" s="14" t="str">
        <f t="shared" si="5"/>
        <v>80</v>
      </c>
      <c r="G350" s="3" t="s">
        <v>840</v>
      </c>
    </row>
    <row r="351" spans="1:7" x14ac:dyDescent="0.25">
      <c r="A351" s="3" t="s">
        <v>840</v>
      </c>
      <c r="E351" s="14" t="str">
        <f t="shared" si="5"/>
        <v>80</v>
      </c>
      <c r="G351" s="3" t="s">
        <v>840</v>
      </c>
    </row>
    <row r="352" spans="1:7" x14ac:dyDescent="0.25">
      <c r="A352" s="3" t="s">
        <v>840</v>
      </c>
      <c r="E352" s="14" t="str">
        <f t="shared" si="5"/>
        <v>80</v>
      </c>
      <c r="G352" s="3" t="s">
        <v>840</v>
      </c>
    </row>
    <row r="353" spans="1:7" x14ac:dyDescent="0.25">
      <c r="A353" s="3" t="s">
        <v>840</v>
      </c>
      <c r="E353" s="14" t="str">
        <f t="shared" si="5"/>
        <v>80</v>
      </c>
      <c r="G353" s="3" t="s">
        <v>840</v>
      </c>
    </row>
    <row r="354" spans="1:7" x14ac:dyDescent="0.25">
      <c r="A354" s="3" t="s">
        <v>840</v>
      </c>
      <c r="E354" s="14" t="str">
        <f t="shared" si="5"/>
        <v>80</v>
      </c>
      <c r="G354" s="3" t="s">
        <v>840</v>
      </c>
    </row>
    <row r="355" spans="1:7" x14ac:dyDescent="0.25">
      <c r="A355" s="3" t="s">
        <v>841</v>
      </c>
      <c r="E355" s="14" t="str">
        <f t="shared" si="5"/>
        <v>81</v>
      </c>
      <c r="G355" s="3" t="s">
        <v>841</v>
      </c>
    </row>
    <row r="356" spans="1:7" x14ac:dyDescent="0.25">
      <c r="A356" s="3" t="s">
        <v>842</v>
      </c>
      <c r="E356" s="14" t="str">
        <f t="shared" si="5"/>
        <v>82</v>
      </c>
      <c r="G356" s="3" t="s">
        <v>842</v>
      </c>
    </row>
    <row r="357" spans="1:7" x14ac:dyDescent="0.25">
      <c r="A357" s="3" t="s">
        <v>842</v>
      </c>
      <c r="E357" s="14" t="str">
        <f t="shared" si="5"/>
        <v>82</v>
      </c>
      <c r="G357" s="3" t="s">
        <v>842</v>
      </c>
    </row>
    <row r="358" spans="1:7" x14ac:dyDescent="0.25">
      <c r="A358" s="3" t="s">
        <v>842</v>
      </c>
      <c r="E358" s="14" t="str">
        <f t="shared" si="5"/>
        <v>82</v>
      </c>
      <c r="G358" s="3" t="s">
        <v>842</v>
      </c>
    </row>
    <row r="359" spans="1:7" x14ac:dyDescent="0.25">
      <c r="A359" s="3" t="s">
        <v>842</v>
      </c>
      <c r="E359" s="14" t="str">
        <f t="shared" si="5"/>
        <v>82</v>
      </c>
      <c r="G359" s="3" t="s">
        <v>842</v>
      </c>
    </row>
    <row r="360" spans="1:7" x14ac:dyDescent="0.25">
      <c r="A360" s="3" t="s">
        <v>842</v>
      </c>
      <c r="E360" s="14" t="str">
        <f t="shared" si="5"/>
        <v>82</v>
      </c>
      <c r="G360" s="3" t="s">
        <v>842</v>
      </c>
    </row>
    <row r="361" spans="1:7" x14ac:dyDescent="0.25">
      <c r="A361" s="3" t="s">
        <v>842</v>
      </c>
      <c r="E361" s="14" t="str">
        <f t="shared" si="5"/>
        <v>82</v>
      </c>
      <c r="G361" s="3" t="s">
        <v>842</v>
      </c>
    </row>
    <row r="362" spans="1:7" x14ac:dyDescent="0.25">
      <c r="A362" s="3" t="s">
        <v>842</v>
      </c>
      <c r="E362" s="14" t="str">
        <f t="shared" si="5"/>
        <v>82</v>
      </c>
      <c r="G362" s="3" t="s">
        <v>842</v>
      </c>
    </row>
    <row r="363" spans="1:7" x14ac:dyDescent="0.25">
      <c r="A363" s="3" t="s">
        <v>842</v>
      </c>
      <c r="E363" s="14" t="str">
        <f t="shared" si="5"/>
        <v>82</v>
      </c>
      <c r="G363" s="3" t="s">
        <v>842</v>
      </c>
    </row>
    <row r="364" spans="1:7" x14ac:dyDescent="0.25">
      <c r="A364" s="3" t="s">
        <v>842</v>
      </c>
      <c r="E364" s="14" t="str">
        <f t="shared" si="5"/>
        <v>82</v>
      </c>
      <c r="G364" s="3" t="s">
        <v>842</v>
      </c>
    </row>
    <row r="365" spans="1:7" x14ac:dyDescent="0.25">
      <c r="A365" s="3" t="s">
        <v>843</v>
      </c>
      <c r="E365" s="14" t="str">
        <f t="shared" si="5"/>
        <v>83</v>
      </c>
      <c r="G365" s="3" t="s">
        <v>843</v>
      </c>
    </row>
    <row r="366" spans="1:7" x14ac:dyDescent="0.25">
      <c r="A366" s="3" t="s">
        <v>844</v>
      </c>
      <c r="E366" s="14" t="str">
        <f t="shared" si="5"/>
        <v>84</v>
      </c>
      <c r="G366" s="3" t="s">
        <v>844</v>
      </c>
    </row>
    <row r="367" spans="1:7" x14ac:dyDescent="0.25">
      <c r="A367" s="3" t="s">
        <v>844</v>
      </c>
      <c r="E367" s="14" t="str">
        <f t="shared" si="5"/>
        <v>84</v>
      </c>
      <c r="G367" s="3" t="s">
        <v>844</v>
      </c>
    </row>
    <row r="368" spans="1:7" x14ac:dyDescent="0.25">
      <c r="A368" s="3" t="s">
        <v>844</v>
      </c>
      <c r="E368" s="14" t="str">
        <f t="shared" si="5"/>
        <v>84</v>
      </c>
      <c r="G368" s="3" t="s">
        <v>844</v>
      </c>
    </row>
    <row r="369" spans="1:7" x14ac:dyDescent="0.25">
      <c r="A369" s="3" t="s">
        <v>844</v>
      </c>
      <c r="E369" s="14" t="str">
        <f t="shared" si="5"/>
        <v>84</v>
      </c>
      <c r="G369" s="3" t="s">
        <v>844</v>
      </c>
    </row>
    <row r="370" spans="1:7" x14ac:dyDescent="0.25">
      <c r="A370" s="3" t="s">
        <v>844</v>
      </c>
      <c r="E370" s="14" t="str">
        <f t="shared" si="5"/>
        <v>84</v>
      </c>
      <c r="G370" s="3" t="s">
        <v>844</v>
      </c>
    </row>
    <row r="371" spans="1:7" x14ac:dyDescent="0.25">
      <c r="A371" s="3" t="s">
        <v>844</v>
      </c>
      <c r="E371" s="14" t="str">
        <f t="shared" si="5"/>
        <v>84</v>
      </c>
      <c r="G371" s="3" t="s">
        <v>844</v>
      </c>
    </row>
    <row r="372" spans="1:7" x14ac:dyDescent="0.25">
      <c r="A372" s="3" t="s">
        <v>844</v>
      </c>
      <c r="E372" s="14" t="str">
        <f t="shared" si="5"/>
        <v>84</v>
      </c>
      <c r="G372" s="3" t="s">
        <v>844</v>
      </c>
    </row>
    <row r="373" spans="1:7" x14ac:dyDescent="0.25">
      <c r="A373" s="3" t="s">
        <v>844</v>
      </c>
      <c r="E373" s="14" t="str">
        <f t="shared" si="5"/>
        <v>84</v>
      </c>
      <c r="G373" s="3" t="s">
        <v>844</v>
      </c>
    </row>
    <row r="374" spans="1:7" x14ac:dyDescent="0.25">
      <c r="A374" s="3" t="s">
        <v>844</v>
      </c>
      <c r="E374" s="14" t="str">
        <f t="shared" si="5"/>
        <v>84</v>
      </c>
      <c r="G374" s="3" t="s">
        <v>844</v>
      </c>
    </row>
    <row r="375" spans="1:7" x14ac:dyDescent="0.25">
      <c r="A375" s="3" t="s">
        <v>845</v>
      </c>
      <c r="E375" s="14" t="str">
        <f t="shared" si="5"/>
        <v>85</v>
      </c>
      <c r="G375" s="3" t="s">
        <v>845</v>
      </c>
    </row>
    <row r="376" spans="1:7" x14ac:dyDescent="0.25">
      <c r="A376" s="3" t="s">
        <v>845</v>
      </c>
      <c r="E376" s="14" t="str">
        <f t="shared" si="5"/>
        <v>85</v>
      </c>
      <c r="G376" s="3" t="s">
        <v>845</v>
      </c>
    </row>
    <row r="377" spans="1:7" x14ac:dyDescent="0.25">
      <c r="A377" s="3" t="s">
        <v>846</v>
      </c>
      <c r="E377" s="14" t="str">
        <f t="shared" si="5"/>
        <v>86</v>
      </c>
      <c r="G377" s="3" t="s">
        <v>846</v>
      </c>
    </row>
    <row r="378" spans="1:7" x14ac:dyDescent="0.25">
      <c r="A378" s="3" t="s">
        <v>847</v>
      </c>
      <c r="E378" s="14" t="str">
        <f t="shared" si="5"/>
        <v>87</v>
      </c>
      <c r="G378" s="3" t="s">
        <v>847</v>
      </c>
    </row>
    <row r="379" spans="1:7" x14ac:dyDescent="0.25">
      <c r="A379" s="3" t="s">
        <v>847</v>
      </c>
      <c r="E379" s="14" t="str">
        <f t="shared" si="5"/>
        <v>87</v>
      </c>
      <c r="G379" s="3" t="s">
        <v>847</v>
      </c>
    </row>
    <row r="380" spans="1:7" x14ac:dyDescent="0.25">
      <c r="A380" s="3" t="s">
        <v>848</v>
      </c>
      <c r="E380" s="14" t="str">
        <f t="shared" si="5"/>
        <v>88</v>
      </c>
      <c r="G380" s="3" t="s">
        <v>848</v>
      </c>
    </row>
    <row r="381" spans="1:7" x14ac:dyDescent="0.25">
      <c r="A381" s="3" t="s">
        <v>848</v>
      </c>
      <c r="E381" s="14" t="str">
        <f t="shared" si="5"/>
        <v>88</v>
      </c>
      <c r="G381" s="3" t="s">
        <v>848</v>
      </c>
    </row>
    <row r="382" spans="1:7" x14ac:dyDescent="0.25">
      <c r="A382" s="3" t="s">
        <v>849</v>
      </c>
      <c r="E382" s="14" t="str">
        <f t="shared" si="5"/>
        <v>89</v>
      </c>
      <c r="G382" s="3" t="s">
        <v>849</v>
      </c>
    </row>
    <row r="383" spans="1:7" x14ac:dyDescent="0.25">
      <c r="A383" s="3" t="s">
        <v>850</v>
      </c>
      <c r="E383" s="14" t="str">
        <f t="shared" si="5"/>
        <v>90</v>
      </c>
      <c r="G383" s="3" t="s">
        <v>850</v>
      </c>
    </row>
    <row r="384" spans="1:7" x14ac:dyDescent="0.25">
      <c r="A384" s="3" t="s">
        <v>851</v>
      </c>
      <c r="E384" s="14" t="str">
        <f t="shared" si="5"/>
        <v>91</v>
      </c>
      <c r="G384" s="3" t="s">
        <v>851</v>
      </c>
    </row>
    <row r="385" spans="1:7" x14ac:dyDescent="0.25">
      <c r="A385" s="3" t="s">
        <v>852</v>
      </c>
      <c r="E385" s="14" t="str">
        <f t="shared" si="5"/>
        <v>92</v>
      </c>
      <c r="G385" s="3" t="s">
        <v>852</v>
      </c>
    </row>
    <row r="386" spans="1:7" x14ac:dyDescent="0.25">
      <c r="A386" s="3" t="s">
        <v>853</v>
      </c>
      <c r="E386" s="14" t="str">
        <f t="shared" ref="E386:E449" si="6">A386&amp;B386&amp;C386</f>
        <v>93</v>
      </c>
      <c r="G386" s="3" t="s">
        <v>853</v>
      </c>
    </row>
    <row r="387" spans="1:7" x14ac:dyDescent="0.25">
      <c r="A387" s="3" t="s">
        <v>854</v>
      </c>
      <c r="E387" s="14" t="str">
        <f t="shared" si="6"/>
        <v>94</v>
      </c>
      <c r="G387" s="3" t="s">
        <v>854</v>
      </c>
    </row>
    <row r="388" spans="1:7" x14ac:dyDescent="0.25">
      <c r="A388" s="3" t="s">
        <v>855</v>
      </c>
      <c r="E388" s="14" t="str">
        <f t="shared" si="6"/>
        <v>95</v>
      </c>
      <c r="G388" s="3" t="s">
        <v>855</v>
      </c>
    </row>
    <row r="389" spans="1:7" x14ac:dyDescent="0.25">
      <c r="A389" s="3" t="s">
        <v>856</v>
      </c>
      <c r="E389" s="14" t="str">
        <f t="shared" si="6"/>
        <v>96</v>
      </c>
      <c r="G389" s="3" t="s">
        <v>856</v>
      </c>
    </row>
    <row r="390" spans="1:7" x14ac:dyDescent="0.25">
      <c r="A390" s="3" t="s">
        <v>857</v>
      </c>
      <c r="E390" s="14" t="str">
        <f t="shared" si="6"/>
        <v>97</v>
      </c>
      <c r="G390" s="3" t="s">
        <v>857</v>
      </c>
    </row>
    <row r="391" spans="1:7" x14ac:dyDescent="0.25">
      <c r="A391" s="3" t="s">
        <v>858</v>
      </c>
      <c r="E391" s="14" t="str">
        <f t="shared" si="6"/>
        <v>98</v>
      </c>
      <c r="G391" s="3" t="s">
        <v>858</v>
      </c>
    </row>
    <row r="392" spans="1:7" x14ac:dyDescent="0.25">
      <c r="A392" s="3" t="s">
        <v>859</v>
      </c>
      <c r="E392" s="14" t="str">
        <f t="shared" si="6"/>
        <v>99</v>
      </c>
      <c r="G392" s="3" t="s">
        <v>859</v>
      </c>
    </row>
    <row r="393" spans="1:7" x14ac:dyDescent="0.25">
      <c r="A393" s="3" t="s">
        <v>860</v>
      </c>
      <c r="E393" s="14" t="str">
        <f t="shared" si="6"/>
        <v>100</v>
      </c>
      <c r="G393" s="3" t="s">
        <v>860</v>
      </c>
    </row>
    <row r="394" spans="1:7" x14ac:dyDescent="0.25">
      <c r="A394" s="3" t="s">
        <v>861</v>
      </c>
      <c r="E394" s="14" t="str">
        <f t="shared" si="6"/>
        <v>101</v>
      </c>
      <c r="G394" s="3" t="s">
        <v>861</v>
      </c>
    </row>
    <row r="395" spans="1:7" x14ac:dyDescent="0.25">
      <c r="A395" s="3" t="s">
        <v>862</v>
      </c>
      <c r="E395" s="14" t="str">
        <f t="shared" si="6"/>
        <v>102</v>
      </c>
      <c r="G395" s="3" t="s">
        <v>862</v>
      </c>
    </row>
    <row r="396" spans="1:7" x14ac:dyDescent="0.25">
      <c r="A396" s="3" t="s">
        <v>863</v>
      </c>
      <c r="E396" s="14" t="str">
        <f t="shared" si="6"/>
        <v>103</v>
      </c>
      <c r="G396" s="3" t="s">
        <v>863</v>
      </c>
    </row>
    <row r="397" spans="1:7" x14ac:dyDescent="0.25">
      <c r="A397" s="3" t="s">
        <v>864</v>
      </c>
      <c r="E397" s="14" t="str">
        <f t="shared" si="6"/>
        <v>104</v>
      </c>
      <c r="G397" s="3" t="s">
        <v>864</v>
      </c>
    </row>
    <row r="398" spans="1:7" x14ac:dyDescent="0.25">
      <c r="A398" s="3" t="s">
        <v>865</v>
      </c>
      <c r="E398" s="14" t="str">
        <f t="shared" si="6"/>
        <v>105</v>
      </c>
      <c r="G398" s="3" t="s">
        <v>865</v>
      </c>
    </row>
    <row r="399" spans="1:7" x14ac:dyDescent="0.25">
      <c r="A399" s="3" t="s">
        <v>866</v>
      </c>
      <c r="E399" s="14" t="str">
        <f t="shared" si="6"/>
        <v>106</v>
      </c>
      <c r="G399" s="3" t="s">
        <v>866</v>
      </c>
    </row>
    <row r="400" spans="1:7" x14ac:dyDescent="0.25">
      <c r="A400" s="3" t="s">
        <v>867</v>
      </c>
      <c r="E400" s="14" t="str">
        <f t="shared" si="6"/>
        <v>107</v>
      </c>
      <c r="G400" s="3" t="s">
        <v>867</v>
      </c>
    </row>
    <row r="401" spans="1:7" x14ac:dyDescent="0.25">
      <c r="A401" s="3" t="s">
        <v>868</v>
      </c>
      <c r="E401" s="14" t="str">
        <f t="shared" si="6"/>
        <v>108</v>
      </c>
      <c r="G401" s="3" t="s">
        <v>868</v>
      </c>
    </row>
    <row r="402" spans="1:7" x14ac:dyDescent="0.25">
      <c r="A402" s="3" t="s">
        <v>869</v>
      </c>
      <c r="E402" s="14" t="str">
        <f t="shared" si="6"/>
        <v>109</v>
      </c>
      <c r="G402" s="3" t="s">
        <v>869</v>
      </c>
    </row>
    <row r="403" spans="1:7" x14ac:dyDescent="0.25">
      <c r="A403" s="3" t="s">
        <v>870</v>
      </c>
      <c r="E403" s="14" t="str">
        <f t="shared" si="6"/>
        <v>110</v>
      </c>
      <c r="G403" s="3" t="s">
        <v>870</v>
      </c>
    </row>
    <row r="404" spans="1:7" x14ac:dyDescent="0.25">
      <c r="A404" s="3" t="s">
        <v>871</v>
      </c>
      <c r="E404" s="14" t="str">
        <f t="shared" si="6"/>
        <v>111</v>
      </c>
      <c r="G404" s="3" t="s">
        <v>871</v>
      </c>
    </row>
    <row r="405" spans="1:7" x14ac:dyDescent="0.25">
      <c r="A405" s="3" t="s">
        <v>872</v>
      </c>
      <c r="E405" s="14" t="str">
        <f t="shared" si="6"/>
        <v>113</v>
      </c>
      <c r="G405" s="3" t="s">
        <v>872</v>
      </c>
    </row>
    <row r="406" spans="1:7" x14ac:dyDescent="0.25">
      <c r="A406" s="3" t="s">
        <v>873</v>
      </c>
      <c r="E406" s="14" t="str">
        <f t="shared" si="6"/>
        <v>114</v>
      </c>
      <c r="G406" s="3" t="s">
        <v>873</v>
      </c>
    </row>
    <row r="407" spans="1:7" x14ac:dyDescent="0.25">
      <c r="A407" s="3" t="s">
        <v>874</v>
      </c>
      <c r="E407" s="14" t="str">
        <f t="shared" si="6"/>
        <v>115</v>
      </c>
      <c r="G407" s="3" t="s">
        <v>874</v>
      </c>
    </row>
    <row r="408" spans="1:7" x14ac:dyDescent="0.25">
      <c r="A408" s="3" t="s">
        <v>875</v>
      </c>
      <c r="E408" s="14" t="str">
        <f t="shared" si="6"/>
        <v>116</v>
      </c>
      <c r="G408" s="3" t="s">
        <v>875</v>
      </c>
    </row>
    <row r="409" spans="1:7" x14ac:dyDescent="0.25">
      <c r="A409" s="3" t="s">
        <v>876</v>
      </c>
      <c r="E409" s="14" t="str">
        <f t="shared" si="6"/>
        <v>117</v>
      </c>
      <c r="G409" s="3" t="s">
        <v>876</v>
      </c>
    </row>
    <row r="410" spans="1:7" x14ac:dyDescent="0.25">
      <c r="A410" s="3" t="s">
        <v>877</v>
      </c>
      <c r="E410" s="14" t="str">
        <f t="shared" si="6"/>
        <v>118</v>
      </c>
      <c r="G410" s="3" t="s">
        <v>877</v>
      </c>
    </row>
    <row r="411" spans="1:7" x14ac:dyDescent="0.25">
      <c r="A411" s="3" t="s">
        <v>878</v>
      </c>
      <c r="E411" s="14" t="str">
        <f t="shared" si="6"/>
        <v>119</v>
      </c>
      <c r="G411" s="3" t="s">
        <v>878</v>
      </c>
    </row>
    <row r="412" spans="1:7" x14ac:dyDescent="0.25">
      <c r="A412" s="3" t="s">
        <v>879</v>
      </c>
      <c r="E412" s="14" t="str">
        <f t="shared" si="6"/>
        <v>120</v>
      </c>
      <c r="G412" s="3" t="s">
        <v>879</v>
      </c>
    </row>
    <row r="413" spans="1:7" x14ac:dyDescent="0.25">
      <c r="A413" s="3" t="s">
        <v>880</v>
      </c>
      <c r="E413" s="14" t="str">
        <f t="shared" si="6"/>
        <v>121</v>
      </c>
      <c r="G413" s="3" t="s">
        <v>880</v>
      </c>
    </row>
    <row r="414" spans="1:7" x14ac:dyDescent="0.25">
      <c r="A414" s="3" t="s">
        <v>881</v>
      </c>
      <c r="E414" s="14" t="str">
        <f t="shared" si="6"/>
        <v>122</v>
      </c>
      <c r="G414" s="3" t="s">
        <v>881</v>
      </c>
    </row>
    <row r="415" spans="1:7" x14ac:dyDescent="0.25">
      <c r="A415" s="3" t="s">
        <v>882</v>
      </c>
      <c r="E415" s="14" t="str">
        <f t="shared" si="6"/>
        <v>123</v>
      </c>
      <c r="G415" s="3" t="s">
        <v>882</v>
      </c>
    </row>
    <row r="416" spans="1:7" x14ac:dyDescent="0.25">
      <c r="A416" s="3" t="s">
        <v>883</v>
      </c>
      <c r="E416" s="14" t="str">
        <f t="shared" si="6"/>
        <v>124</v>
      </c>
      <c r="G416" s="3" t="s">
        <v>883</v>
      </c>
    </row>
    <row r="417" spans="1:7" x14ac:dyDescent="0.25">
      <c r="A417" s="3" t="s">
        <v>884</v>
      </c>
      <c r="E417" s="14" t="str">
        <f t="shared" si="6"/>
        <v>125</v>
      </c>
      <c r="G417" s="3" t="s">
        <v>884</v>
      </c>
    </row>
    <row r="418" spans="1:7" x14ac:dyDescent="0.25">
      <c r="A418" s="3" t="s">
        <v>885</v>
      </c>
      <c r="E418" s="14" t="str">
        <f t="shared" si="6"/>
        <v>126</v>
      </c>
      <c r="G418" s="3" t="s">
        <v>885</v>
      </c>
    </row>
    <row r="419" spans="1:7" x14ac:dyDescent="0.25">
      <c r="A419" s="3" t="s">
        <v>886</v>
      </c>
      <c r="E419" s="14" t="str">
        <f t="shared" si="6"/>
        <v>127</v>
      </c>
      <c r="G419" s="3" t="s">
        <v>886</v>
      </c>
    </row>
    <row r="420" spans="1:7" x14ac:dyDescent="0.25">
      <c r="A420" s="3" t="s">
        <v>887</v>
      </c>
      <c r="E420" s="14" t="str">
        <f t="shared" si="6"/>
        <v>128</v>
      </c>
      <c r="G420" s="3" t="s">
        <v>887</v>
      </c>
    </row>
    <row r="421" spans="1:7" x14ac:dyDescent="0.25">
      <c r="A421" s="3" t="s">
        <v>888</v>
      </c>
      <c r="E421" s="14" t="str">
        <f t="shared" si="6"/>
        <v>129</v>
      </c>
      <c r="G421" s="3" t="s">
        <v>888</v>
      </c>
    </row>
    <row r="422" spans="1:7" x14ac:dyDescent="0.25">
      <c r="A422" s="3" t="s">
        <v>889</v>
      </c>
      <c r="E422" s="14" t="str">
        <f t="shared" si="6"/>
        <v>130</v>
      </c>
      <c r="G422" s="3" t="s">
        <v>889</v>
      </c>
    </row>
    <row r="423" spans="1:7" x14ac:dyDescent="0.25">
      <c r="A423" s="3" t="s">
        <v>890</v>
      </c>
      <c r="E423" s="14" t="str">
        <f t="shared" si="6"/>
        <v>131</v>
      </c>
      <c r="G423" s="3" t="s">
        <v>890</v>
      </c>
    </row>
    <row r="424" spans="1:7" x14ac:dyDescent="0.25">
      <c r="A424" s="3" t="s">
        <v>891</v>
      </c>
      <c r="E424" s="14" t="str">
        <f t="shared" si="6"/>
        <v>132</v>
      </c>
      <c r="G424" s="3" t="s">
        <v>891</v>
      </c>
    </row>
    <row r="425" spans="1:7" x14ac:dyDescent="0.25">
      <c r="A425" s="3" t="s">
        <v>892</v>
      </c>
      <c r="E425" s="14" t="str">
        <f t="shared" si="6"/>
        <v>133</v>
      </c>
      <c r="G425" s="3" t="s">
        <v>892</v>
      </c>
    </row>
    <row r="426" spans="1:7" x14ac:dyDescent="0.25">
      <c r="A426" s="3" t="s">
        <v>893</v>
      </c>
      <c r="E426" s="14" t="str">
        <f t="shared" si="6"/>
        <v>134</v>
      </c>
      <c r="G426" s="3" t="s">
        <v>893</v>
      </c>
    </row>
    <row r="427" spans="1:7" x14ac:dyDescent="0.25">
      <c r="A427" s="3" t="s">
        <v>894</v>
      </c>
      <c r="E427" s="14" t="str">
        <f t="shared" si="6"/>
        <v>135</v>
      </c>
      <c r="G427" s="3" t="s">
        <v>894</v>
      </c>
    </row>
    <row r="428" spans="1:7" x14ac:dyDescent="0.25">
      <c r="A428" s="3" t="s">
        <v>895</v>
      </c>
      <c r="E428" s="14" t="str">
        <f t="shared" si="6"/>
        <v>136</v>
      </c>
      <c r="G428" s="3" t="s">
        <v>895</v>
      </c>
    </row>
    <row r="429" spans="1:7" x14ac:dyDescent="0.25">
      <c r="A429" s="3" t="s">
        <v>896</v>
      </c>
      <c r="E429" s="14" t="str">
        <f t="shared" si="6"/>
        <v>137</v>
      </c>
      <c r="G429" s="3" t="s">
        <v>896</v>
      </c>
    </row>
    <row r="430" spans="1:7" x14ac:dyDescent="0.25">
      <c r="A430" s="3" t="s">
        <v>897</v>
      </c>
      <c r="E430" s="14" t="str">
        <f t="shared" si="6"/>
        <v>138</v>
      </c>
      <c r="G430" s="3" t="s">
        <v>897</v>
      </c>
    </row>
    <row r="431" spans="1:7" x14ac:dyDescent="0.25">
      <c r="A431" s="3" t="s">
        <v>898</v>
      </c>
      <c r="E431" s="14" t="str">
        <f t="shared" si="6"/>
        <v>139</v>
      </c>
      <c r="G431" s="3" t="s">
        <v>898</v>
      </c>
    </row>
    <row r="432" spans="1:7" x14ac:dyDescent="0.25">
      <c r="A432" s="3" t="s">
        <v>899</v>
      </c>
      <c r="E432" s="14" t="str">
        <f t="shared" si="6"/>
        <v>140</v>
      </c>
      <c r="G432" s="3" t="s">
        <v>899</v>
      </c>
    </row>
    <row r="433" spans="1:7" x14ac:dyDescent="0.25">
      <c r="A433" s="3" t="s">
        <v>900</v>
      </c>
      <c r="E433" s="14" t="str">
        <f t="shared" si="6"/>
        <v>141</v>
      </c>
      <c r="G433" s="3" t="s">
        <v>900</v>
      </c>
    </row>
    <row r="434" spans="1:7" x14ac:dyDescent="0.25">
      <c r="A434" s="3" t="s">
        <v>901</v>
      </c>
      <c r="E434" s="14" t="str">
        <f t="shared" si="6"/>
        <v>142</v>
      </c>
      <c r="G434" s="3" t="s">
        <v>901</v>
      </c>
    </row>
    <row r="435" spans="1:7" x14ac:dyDescent="0.25">
      <c r="A435" s="3" t="s">
        <v>902</v>
      </c>
      <c r="E435" s="14" t="str">
        <f t="shared" si="6"/>
        <v>143</v>
      </c>
      <c r="G435" s="3" t="s">
        <v>902</v>
      </c>
    </row>
    <row r="436" spans="1:7" x14ac:dyDescent="0.25">
      <c r="A436" s="3" t="s">
        <v>903</v>
      </c>
      <c r="E436" s="14" t="str">
        <f t="shared" si="6"/>
        <v>144</v>
      </c>
      <c r="G436" s="3" t="s">
        <v>903</v>
      </c>
    </row>
    <row r="437" spans="1:7" x14ac:dyDescent="0.25">
      <c r="A437" s="3" t="s">
        <v>904</v>
      </c>
      <c r="E437" s="14" t="str">
        <f t="shared" si="6"/>
        <v>145</v>
      </c>
      <c r="G437" s="3" t="s">
        <v>904</v>
      </c>
    </row>
    <row r="438" spans="1:7" x14ac:dyDescent="0.25">
      <c r="A438" s="3" t="s">
        <v>905</v>
      </c>
      <c r="E438" s="14" t="str">
        <f t="shared" si="6"/>
        <v>146</v>
      </c>
      <c r="G438" s="3" t="s">
        <v>905</v>
      </c>
    </row>
    <row r="439" spans="1:7" x14ac:dyDescent="0.25">
      <c r="A439" s="3" t="s">
        <v>906</v>
      </c>
      <c r="E439" s="14" t="str">
        <f t="shared" si="6"/>
        <v>147</v>
      </c>
      <c r="G439" s="3" t="s">
        <v>906</v>
      </c>
    </row>
    <row r="440" spans="1:7" x14ac:dyDescent="0.25">
      <c r="A440" s="3" t="s">
        <v>907</v>
      </c>
      <c r="E440" s="14" t="str">
        <f t="shared" si="6"/>
        <v>148</v>
      </c>
      <c r="G440" s="3" t="s">
        <v>907</v>
      </c>
    </row>
    <row r="441" spans="1:7" x14ac:dyDescent="0.25">
      <c r="A441" s="3" t="s">
        <v>908</v>
      </c>
      <c r="E441" s="14" t="str">
        <f t="shared" si="6"/>
        <v>149</v>
      </c>
      <c r="G441" s="3" t="s">
        <v>908</v>
      </c>
    </row>
    <row r="442" spans="1:7" x14ac:dyDescent="0.25">
      <c r="A442" s="3" t="s">
        <v>909</v>
      </c>
      <c r="E442" s="14" t="str">
        <f t="shared" si="6"/>
        <v>150</v>
      </c>
      <c r="G442" s="3" t="s">
        <v>909</v>
      </c>
    </row>
    <row r="443" spans="1:7" x14ac:dyDescent="0.25">
      <c r="A443" s="3" t="s">
        <v>909</v>
      </c>
      <c r="E443" s="14" t="str">
        <f t="shared" si="6"/>
        <v>150</v>
      </c>
      <c r="G443" s="3" t="s">
        <v>909</v>
      </c>
    </row>
    <row r="444" spans="1:7" x14ac:dyDescent="0.25">
      <c r="A444" s="3" t="s">
        <v>910</v>
      </c>
      <c r="E444" s="14" t="str">
        <f t="shared" si="6"/>
        <v>151</v>
      </c>
      <c r="G444" s="3" t="s">
        <v>910</v>
      </c>
    </row>
    <row r="445" spans="1:7" x14ac:dyDescent="0.25">
      <c r="A445" s="3" t="s">
        <v>911</v>
      </c>
      <c r="E445" s="14" t="str">
        <f t="shared" si="6"/>
        <v>152</v>
      </c>
      <c r="G445" s="3" t="s">
        <v>911</v>
      </c>
    </row>
    <row r="446" spans="1:7" x14ac:dyDescent="0.25">
      <c r="A446" s="3" t="s">
        <v>912</v>
      </c>
      <c r="E446" s="14" t="str">
        <f t="shared" si="6"/>
        <v>153</v>
      </c>
      <c r="G446" s="3" t="s">
        <v>912</v>
      </c>
    </row>
    <row r="447" spans="1:7" x14ac:dyDescent="0.25">
      <c r="A447" s="3" t="s">
        <v>913</v>
      </c>
      <c r="E447" s="14" t="str">
        <f t="shared" si="6"/>
        <v>154</v>
      </c>
      <c r="G447" s="3" t="s">
        <v>913</v>
      </c>
    </row>
    <row r="448" spans="1:7" x14ac:dyDescent="0.25">
      <c r="A448" s="3" t="s">
        <v>914</v>
      </c>
      <c r="E448" s="14" t="str">
        <f t="shared" si="6"/>
        <v>155</v>
      </c>
      <c r="G448" s="3" t="s">
        <v>914</v>
      </c>
    </row>
    <row r="449" spans="1:7" x14ac:dyDescent="0.25">
      <c r="A449" s="3" t="s">
        <v>915</v>
      </c>
      <c r="E449" s="14" t="str">
        <f t="shared" si="6"/>
        <v>156</v>
      </c>
      <c r="G449" s="3" t="s">
        <v>915</v>
      </c>
    </row>
    <row r="450" spans="1:7" x14ac:dyDescent="0.25">
      <c r="A450" s="3" t="s">
        <v>916</v>
      </c>
      <c r="E450" s="14" t="str">
        <f t="shared" ref="E450:E513" si="7">A450&amp;B450&amp;C450</f>
        <v>157</v>
      </c>
      <c r="G450" s="3" t="s">
        <v>916</v>
      </c>
    </row>
    <row r="451" spans="1:7" x14ac:dyDescent="0.25">
      <c r="A451" s="3" t="s">
        <v>917</v>
      </c>
      <c r="E451" s="14" t="str">
        <f t="shared" si="7"/>
        <v>158</v>
      </c>
      <c r="G451" s="3" t="s">
        <v>917</v>
      </c>
    </row>
    <row r="452" spans="1:7" x14ac:dyDescent="0.25">
      <c r="A452" s="3" t="s">
        <v>918</v>
      </c>
      <c r="E452" s="14" t="str">
        <f t="shared" si="7"/>
        <v>159</v>
      </c>
      <c r="G452" s="3" t="s">
        <v>918</v>
      </c>
    </row>
    <row r="453" spans="1:7" x14ac:dyDescent="0.25">
      <c r="A453" s="3" t="s">
        <v>919</v>
      </c>
      <c r="E453" s="14" t="str">
        <f t="shared" si="7"/>
        <v>160</v>
      </c>
      <c r="G453" s="3" t="s">
        <v>919</v>
      </c>
    </row>
    <row r="454" spans="1:7" x14ac:dyDescent="0.25">
      <c r="A454" s="3" t="s">
        <v>920</v>
      </c>
      <c r="E454" s="14" t="str">
        <f t="shared" si="7"/>
        <v>161</v>
      </c>
      <c r="G454" s="3" t="s">
        <v>920</v>
      </c>
    </row>
    <row r="455" spans="1:7" x14ac:dyDescent="0.25">
      <c r="A455" s="3" t="s">
        <v>921</v>
      </c>
      <c r="E455" s="14" t="str">
        <f t="shared" si="7"/>
        <v>162</v>
      </c>
      <c r="G455" s="3" t="s">
        <v>921</v>
      </c>
    </row>
    <row r="456" spans="1:7" x14ac:dyDescent="0.25">
      <c r="A456" s="3" t="s">
        <v>922</v>
      </c>
      <c r="E456" s="14" t="str">
        <f t="shared" si="7"/>
        <v>163</v>
      </c>
      <c r="G456" s="3" t="s">
        <v>922</v>
      </c>
    </row>
    <row r="457" spans="1:7" x14ac:dyDescent="0.25">
      <c r="A457" s="3" t="s">
        <v>923</v>
      </c>
      <c r="E457" s="14" t="str">
        <f t="shared" si="7"/>
        <v>164</v>
      </c>
      <c r="G457" s="3" t="s">
        <v>923</v>
      </c>
    </row>
    <row r="458" spans="1:7" x14ac:dyDescent="0.25">
      <c r="A458" s="3" t="s">
        <v>924</v>
      </c>
      <c r="E458" s="14" t="str">
        <f t="shared" si="7"/>
        <v>165</v>
      </c>
      <c r="G458" s="3" t="s">
        <v>924</v>
      </c>
    </row>
    <row r="459" spans="1:7" x14ac:dyDescent="0.25">
      <c r="A459" s="3" t="s">
        <v>925</v>
      </c>
      <c r="E459" s="14" t="str">
        <f t="shared" si="7"/>
        <v>166</v>
      </c>
      <c r="G459" s="3" t="s">
        <v>925</v>
      </c>
    </row>
    <row r="460" spans="1:7" x14ac:dyDescent="0.25">
      <c r="A460" s="3" t="s">
        <v>926</v>
      </c>
      <c r="E460" s="14" t="str">
        <f t="shared" si="7"/>
        <v>167</v>
      </c>
      <c r="G460" s="3" t="s">
        <v>926</v>
      </c>
    </row>
    <row r="461" spans="1:7" x14ac:dyDescent="0.25">
      <c r="A461" s="3" t="s">
        <v>927</v>
      </c>
      <c r="E461" s="14" t="str">
        <f t="shared" si="7"/>
        <v>168</v>
      </c>
      <c r="G461" s="3" t="s">
        <v>927</v>
      </c>
    </row>
    <row r="462" spans="1:7" x14ac:dyDescent="0.25">
      <c r="A462" s="3" t="s">
        <v>927</v>
      </c>
      <c r="E462" s="14" t="str">
        <f t="shared" si="7"/>
        <v>168</v>
      </c>
      <c r="G462" s="3" t="s">
        <v>927</v>
      </c>
    </row>
    <row r="463" spans="1:7" x14ac:dyDescent="0.25">
      <c r="A463" s="3" t="s">
        <v>928</v>
      </c>
      <c r="E463" s="14" t="str">
        <f t="shared" si="7"/>
        <v>169</v>
      </c>
      <c r="G463" s="3" t="s">
        <v>928</v>
      </c>
    </row>
    <row r="464" spans="1:7" x14ac:dyDescent="0.25">
      <c r="A464" s="3" t="s">
        <v>928</v>
      </c>
      <c r="E464" s="14" t="str">
        <f t="shared" si="7"/>
        <v>169</v>
      </c>
      <c r="G464" s="3" t="s">
        <v>928</v>
      </c>
    </row>
    <row r="465" spans="1:7" x14ac:dyDescent="0.25">
      <c r="A465" s="3" t="s">
        <v>928</v>
      </c>
      <c r="E465" s="14" t="str">
        <f t="shared" si="7"/>
        <v>169</v>
      </c>
      <c r="G465" s="3" t="s">
        <v>928</v>
      </c>
    </row>
    <row r="466" spans="1:7" x14ac:dyDescent="0.25">
      <c r="A466" s="3" t="s">
        <v>928</v>
      </c>
      <c r="E466" s="14" t="str">
        <f t="shared" si="7"/>
        <v>169</v>
      </c>
      <c r="G466" s="3" t="s">
        <v>928</v>
      </c>
    </row>
    <row r="467" spans="1:7" x14ac:dyDescent="0.25">
      <c r="A467" s="3" t="s">
        <v>928</v>
      </c>
      <c r="E467" s="14" t="str">
        <f t="shared" si="7"/>
        <v>169</v>
      </c>
      <c r="G467" s="3" t="s">
        <v>928</v>
      </c>
    </row>
    <row r="468" spans="1:7" x14ac:dyDescent="0.25">
      <c r="A468" s="3" t="s">
        <v>928</v>
      </c>
      <c r="E468" s="14" t="str">
        <f t="shared" si="7"/>
        <v>169</v>
      </c>
      <c r="G468" s="3" t="s">
        <v>928</v>
      </c>
    </row>
    <row r="469" spans="1:7" x14ac:dyDescent="0.25">
      <c r="A469" s="3" t="s">
        <v>928</v>
      </c>
      <c r="E469" s="14" t="str">
        <f t="shared" si="7"/>
        <v>169</v>
      </c>
      <c r="G469" s="3" t="s">
        <v>928</v>
      </c>
    </row>
    <row r="470" spans="1:7" x14ac:dyDescent="0.25">
      <c r="A470" s="3" t="s">
        <v>928</v>
      </c>
      <c r="E470" s="14" t="str">
        <f t="shared" si="7"/>
        <v>169</v>
      </c>
      <c r="G470" s="3" t="s">
        <v>928</v>
      </c>
    </row>
    <row r="471" spans="1:7" x14ac:dyDescent="0.25">
      <c r="A471" s="3" t="s">
        <v>929</v>
      </c>
      <c r="E471" s="14" t="str">
        <f t="shared" si="7"/>
        <v>170</v>
      </c>
      <c r="G471" s="3" t="s">
        <v>929</v>
      </c>
    </row>
    <row r="472" spans="1:7" x14ac:dyDescent="0.25">
      <c r="A472" s="3" t="s">
        <v>929</v>
      </c>
      <c r="E472" s="14" t="str">
        <f t="shared" si="7"/>
        <v>170</v>
      </c>
      <c r="G472" s="3" t="s">
        <v>929</v>
      </c>
    </row>
    <row r="473" spans="1:7" x14ac:dyDescent="0.25">
      <c r="A473" s="3" t="s">
        <v>929</v>
      </c>
      <c r="E473" s="14" t="str">
        <f t="shared" si="7"/>
        <v>170</v>
      </c>
      <c r="G473" s="3" t="s">
        <v>929</v>
      </c>
    </row>
    <row r="474" spans="1:7" x14ac:dyDescent="0.25">
      <c r="A474" s="3" t="s">
        <v>929</v>
      </c>
      <c r="E474" s="14" t="str">
        <f t="shared" si="7"/>
        <v>170</v>
      </c>
      <c r="G474" s="3" t="s">
        <v>929</v>
      </c>
    </row>
    <row r="475" spans="1:7" x14ac:dyDescent="0.25">
      <c r="A475" s="3" t="s">
        <v>929</v>
      </c>
      <c r="E475" s="14" t="str">
        <f t="shared" si="7"/>
        <v>170</v>
      </c>
      <c r="G475" s="3" t="s">
        <v>929</v>
      </c>
    </row>
    <row r="476" spans="1:7" x14ac:dyDescent="0.25">
      <c r="A476" s="3" t="s">
        <v>929</v>
      </c>
      <c r="E476" s="14" t="str">
        <f t="shared" si="7"/>
        <v>170</v>
      </c>
      <c r="G476" s="3" t="s">
        <v>929</v>
      </c>
    </row>
    <row r="477" spans="1:7" x14ac:dyDescent="0.25">
      <c r="A477" s="3" t="s">
        <v>929</v>
      </c>
      <c r="E477" s="14" t="str">
        <f t="shared" si="7"/>
        <v>170</v>
      </c>
      <c r="G477" s="3" t="s">
        <v>929</v>
      </c>
    </row>
    <row r="478" spans="1:7" x14ac:dyDescent="0.25">
      <c r="A478" s="3" t="s">
        <v>929</v>
      </c>
      <c r="E478" s="14" t="str">
        <f t="shared" si="7"/>
        <v>170</v>
      </c>
      <c r="G478" s="3" t="s">
        <v>929</v>
      </c>
    </row>
    <row r="479" spans="1:7" x14ac:dyDescent="0.25">
      <c r="A479" s="3" t="s">
        <v>929</v>
      </c>
      <c r="E479" s="14" t="str">
        <f t="shared" si="7"/>
        <v>170</v>
      </c>
      <c r="G479" s="3" t="s">
        <v>929</v>
      </c>
    </row>
    <row r="480" spans="1:7" x14ac:dyDescent="0.25">
      <c r="A480" s="3" t="s">
        <v>929</v>
      </c>
      <c r="E480" s="14" t="str">
        <f t="shared" si="7"/>
        <v>170</v>
      </c>
      <c r="G480" s="3" t="s">
        <v>929</v>
      </c>
    </row>
    <row r="481" spans="1:7" x14ac:dyDescent="0.25">
      <c r="A481" s="3" t="s">
        <v>929</v>
      </c>
      <c r="E481" s="14" t="str">
        <f t="shared" si="7"/>
        <v>170</v>
      </c>
      <c r="G481" s="3" t="s">
        <v>929</v>
      </c>
    </row>
    <row r="482" spans="1:7" x14ac:dyDescent="0.25">
      <c r="A482" s="3" t="s">
        <v>929</v>
      </c>
      <c r="E482" s="14" t="str">
        <f t="shared" si="7"/>
        <v>170</v>
      </c>
      <c r="G482" s="3" t="s">
        <v>929</v>
      </c>
    </row>
    <row r="483" spans="1:7" x14ac:dyDescent="0.25">
      <c r="A483" s="3" t="s">
        <v>929</v>
      </c>
      <c r="E483" s="14" t="str">
        <f t="shared" si="7"/>
        <v>170</v>
      </c>
      <c r="G483" s="3" t="s">
        <v>929</v>
      </c>
    </row>
    <row r="484" spans="1:7" x14ac:dyDescent="0.25">
      <c r="A484" s="3" t="s">
        <v>930</v>
      </c>
      <c r="E484" s="14" t="str">
        <f t="shared" si="7"/>
        <v>171</v>
      </c>
      <c r="G484" s="3" t="s">
        <v>930</v>
      </c>
    </row>
    <row r="485" spans="1:7" x14ac:dyDescent="0.25">
      <c r="A485" s="3" t="s">
        <v>752</v>
      </c>
      <c r="E485" s="14" t="str">
        <f t="shared" si="7"/>
        <v>1</v>
      </c>
      <c r="G485" s="3" t="s">
        <v>752</v>
      </c>
    </row>
    <row r="486" spans="1:7" x14ac:dyDescent="0.25">
      <c r="A486" s="3" t="s">
        <v>772</v>
      </c>
      <c r="E486" s="14" t="str">
        <f t="shared" si="7"/>
        <v>10</v>
      </c>
      <c r="G486" s="3" t="s">
        <v>772</v>
      </c>
    </row>
    <row r="487" spans="1:7" x14ac:dyDescent="0.25">
      <c r="A487" s="3" t="s">
        <v>772</v>
      </c>
      <c r="E487" s="14" t="str">
        <f t="shared" si="7"/>
        <v>10</v>
      </c>
      <c r="G487" s="3" t="s">
        <v>772</v>
      </c>
    </row>
    <row r="488" spans="1:7" x14ac:dyDescent="0.25">
      <c r="A488" s="3" t="s">
        <v>772</v>
      </c>
      <c r="E488" s="14" t="str">
        <f t="shared" si="7"/>
        <v>10</v>
      </c>
      <c r="G488" s="3" t="s">
        <v>772</v>
      </c>
    </row>
    <row r="489" spans="1:7" x14ac:dyDescent="0.25">
      <c r="A489" s="3" t="s">
        <v>772</v>
      </c>
      <c r="E489" s="14" t="str">
        <f t="shared" si="7"/>
        <v>10</v>
      </c>
      <c r="G489" s="3" t="s">
        <v>772</v>
      </c>
    </row>
    <row r="490" spans="1:7" x14ac:dyDescent="0.25">
      <c r="A490" s="3" t="s">
        <v>772</v>
      </c>
      <c r="E490" s="14" t="str">
        <f t="shared" si="7"/>
        <v>10</v>
      </c>
      <c r="G490" s="3" t="s">
        <v>772</v>
      </c>
    </row>
    <row r="491" spans="1:7" x14ac:dyDescent="0.25">
      <c r="A491" s="3" t="s">
        <v>772</v>
      </c>
      <c r="E491" s="14" t="str">
        <f t="shared" si="7"/>
        <v>10</v>
      </c>
      <c r="G491" s="3" t="s">
        <v>772</v>
      </c>
    </row>
    <row r="492" spans="1:7" x14ac:dyDescent="0.25">
      <c r="A492" s="3" t="s">
        <v>772</v>
      </c>
      <c r="E492" s="14" t="str">
        <f t="shared" si="7"/>
        <v>10</v>
      </c>
      <c r="G492" s="3" t="s">
        <v>772</v>
      </c>
    </row>
    <row r="493" spans="1:7" x14ac:dyDescent="0.25">
      <c r="A493" s="3" t="s">
        <v>848</v>
      </c>
      <c r="E493" s="14" t="str">
        <f t="shared" si="7"/>
        <v>88</v>
      </c>
      <c r="G493" s="3" t="s">
        <v>848</v>
      </c>
    </row>
    <row r="494" spans="1:7" x14ac:dyDescent="0.25">
      <c r="A494" s="3" t="s">
        <v>848</v>
      </c>
      <c r="E494" s="14" t="str">
        <f t="shared" si="7"/>
        <v>88</v>
      </c>
      <c r="G494" s="3" t="s">
        <v>848</v>
      </c>
    </row>
    <row r="495" spans="1:7" x14ac:dyDescent="0.25">
      <c r="A495" s="3" t="s">
        <v>849</v>
      </c>
      <c r="E495" s="14" t="str">
        <f t="shared" si="7"/>
        <v>89</v>
      </c>
      <c r="G495" s="3" t="s">
        <v>849</v>
      </c>
    </row>
    <row r="496" spans="1:7" x14ac:dyDescent="0.25">
      <c r="A496" s="3" t="s">
        <v>850</v>
      </c>
      <c r="E496" s="14" t="str">
        <f t="shared" si="7"/>
        <v>90</v>
      </c>
      <c r="G496" s="3" t="s">
        <v>850</v>
      </c>
    </row>
    <row r="497" spans="1:7" x14ac:dyDescent="0.25">
      <c r="A497" s="3" t="s">
        <v>851</v>
      </c>
      <c r="E497" s="14" t="str">
        <f t="shared" si="7"/>
        <v>91</v>
      </c>
      <c r="G497" s="3" t="s">
        <v>851</v>
      </c>
    </row>
    <row r="498" spans="1:7" x14ac:dyDescent="0.25">
      <c r="A498" s="3" t="s">
        <v>852</v>
      </c>
      <c r="E498" s="14" t="str">
        <f t="shared" si="7"/>
        <v>92</v>
      </c>
      <c r="G498" s="3" t="s">
        <v>852</v>
      </c>
    </row>
    <row r="499" spans="1:7" x14ac:dyDescent="0.25">
      <c r="A499" s="3" t="s">
        <v>853</v>
      </c>
      <c r="E499" s="14" t="str">
        <f t="shared" si="7"/>
        <v>93</v>
      </c>
      <c r="G499" s="3" t="s">
        <v>853</v>
      </c>
    </row>
    <row r="500" spans="1:7" x14ac:dyDescent="0.25">
      <c r="A500" s="3" t="s">
        <v>854</v>
      </c>
      <c r="E500" s="14" t="str">
        <f t="shared" si="7"/>
        <v>94</v>
      </c>
      <c r="G500" s="3" t="s">
        <v>854</v>
      </c>
    </row>
    <row r="501" spans="1:7" x14ac:dyDescent="0.25">
      <c r="A501" s="3" t="s">
        <v>855</v>
      </c>
      <c r="E501" s="14" t="str">
        <f t="shared" si="7"/>
        <v>95</v>
      </c>
      <c r="G501" s="3" t="s">
        <v>855</v>
      </c>
    </row>
    <row r="502" spans="1:7" x14ac:dyDescent="0.25">
      <c r="A502" s="3" t="s">
        <v>856</v>
      </c>
      <c r="E502" s="14" t="str">
        <f t="shared" si="7"/>
        <v>96</v>
      </c>
      <c r="G502" s="3" t="s">
        <v>856</v>
      </c>
    </row>
    <row r="503" spans="1:7" x14ac:dyDescent="0.25">
      <c r="A503" s="3" t="s">
        <v>857</v>
      </c>
      <c r="E503" s="14" t="str">
        <f t="shared" si="7"/>
        <v>97</v>
      </c>
      <c r="G503" s="3" t="s">
        <v>857</v>
      </c>
    </row>
    <row r="504" spans="1:7" x14ac:dyDescent="0.25">
      <c r="A504" s="3" t="s">
        <v>858</v>
      </c>
      <c r="E504" s="14" t="str">
        <f t="shared" si="7"/>
        <v>98</v>
      </c>
      <c r="G504" s="3" t="s">
        <v>858</v>
      </c>
    </row>
    <row r="505" spans="1:7" x14ac:dyDescent="0.25">
      <c r="A505" s="3" t="s">
        <v>859</v>
      </c>
      <c r="E505" s="14" t="str">
        <f t="shared" si="7"/>
        <v>99</v>
      </c>
      <c r="G505" s="3" t="s">
        <v>859</v>
      </c>
    </row>
    <row r="506" spans="1:7" x14ac:dyDescent="0.25">
      <c r="A506" s="3" t="s">
        <v>860</v>
      </c>
      <c r="E506" s="14" t="str">
        <f t="shared" si="7"/>
        <v>100</v>
      </c>
      <c r="G506" s="3" t="s">
        <v>860</v>
      </c>
    </row>
    <row r="507" spans="1:7" x14ac:dyDescent="0.25">
      <c r="A507" s="3" t="s">
        <v>861</v>
      </c>
      <c r="E507" s="14" t="str">
        <f t="shared" si="7"/>
        <v>101</v>
      </c>
      <c r="G507" s="3" t="s">
        <v>861</v>
      </c>
    </row>
    <row r="508" spans="1:7" x14ac:dyDescent="0.25">
      <c r="A508" s="3" t="s">
        <v>862</v>
      </c>
      <c r="E508" s="14" t="str">
        <f t="shared" si="7"/>
        <v>102</v>
      </c>
      <c r="G508" s="3" t="s">
        <v>862</v>
      </c>
    </row>
    <row r="509" spans="1:7" x14ac:dyDescent="0.25">
      <c r="A509" s="3" t="s">
        <v>863</v>
      </c>
      <c r="E509" s="14" t="str">
        <f t="shared" si="7"/>
        <v>103</v>
      </c>
      <c r="G509" s="3" t="s">
        <v>863</v>
      </c>
    </row>
    <row r="510" spans="1:7" x14ac:dyDescent="0.25">
      <c r="A510" s="3" t="s">
        <v>864</v>
      </c>
      <c r="E510" s="14" t="str">
        <f t="shared" si="7"/>
        <v>104</v>
      </c>
      <c r="G510" s="3" t="s">
        <v>864</v>
      </c>
    </row>
    <row r="511" spans="1:7" x14ac:dyDescent="0.25">
      <c r="A511" s="3" t="s">
        <v>865</v>
      </c>
      <c r="E511" s="14" t="str">
        <f t="shared" si="7"/>
        <v>105</v>
      </c>
      <c r="G511" s="3" t="s">
        <v>865</v>
      </c>
    </row>
    <row r="512" spans="1:7" x14ac:dyDescent="0.25">
      <c r="A512" s="3" t="s">
        <v>866</v>
      </c>
      <c r="E512" s="14" t="str">
        <f t="shared" si="7"/>
        <v>106</v>
      </c>
      <c r="G512" s="3" t="s">
        <v>866</v>
      </c>
    </row>
    <row r="513" spans="1:7" x14ac:dyDescent="0.25">
      <c r="A513" s="3" t="s">
        <v>867</v>
      </c>
      <c r="E513" s="14" t="str">
        <f t="shared" si="7"/>
        <v>107</v>
      </c>
      <c r="G513" s="3" t="s">
        <v>867</v>
      </c>
    </row>
    <row r="514" spans="1:7" x14ac:dyDescent="0.25">
      <c r="A514" s="3" t="s">
        <v>868</v>
      </c>
      <c r="E514" s="14" t="str">
        <f t="shared" ref="E514:E577" si="8">A514&amp;B514&amp;C514</f>
        <v>108</v>
      </c>
      <c r="G514" s="3" t="s">
        <v>868</v>
      </c>
    </row>
    <row r="515" spans="1:7" x14ac:dyDescent="0.25">
      <c r="A515" s="3" t="s">
        <v>869</v>
      </c>
      <c r="E515" s="14" t="str">
        <f t="shared" si="8"/>
        <v>109</v>
      </c>
      <c r="G515" s="3" t="s">
        <v>869</v>
      </c>
    </row>
    <row r="516" spans="1:7" x14ac:dyDescent="0.25">
      <c r="A516" s="3" t="s">
        <v>870</v>
      </c>
      <c r="E516" s="14" t="str">
        <f t="shared" si="8"/>
        <v>110</v>
      </c>
      <c r="G516" s="3" t="s">
        <v>870</v>
      </c>
    </row>
    <row r="517" spans="1:7" x14ac:dyDescent="0.25">
      <c r="A517" s="3" t="s">
        <v>871</v>
      </c>
      <c r="E517" s="14" t="str">
        <f t="shared" si="8"/>
        <v>111</v>
      </c>
      <c r="G517" s="3" t="s">
        <v>871</v>
      </c>
    </row>
    <row r="518" spans="1:7" x14ac:dyDescent="0.25">
      <c r="A518" s="3" t="s">
        <v>872</v>
      </c>
      <c r="E518" s="14" t="str">
        <f t="shared" si="8"/>
        <v>113</v>
      </c>
      <c r="G518" s="3" t="s">
        <v>872</v>
      </c>
    </row>
    <row r="519" spans="1:7" x14ac:dyDescent="0.25">
      <c r="A519" s="3" t="s">
        <v>873</v>
      </c>
      <c r="E519" s="14" t="str">
        <f t="shared" si="8"/>
        <v>114</v>
      </c>
      <c r="G519" s="3" t="s">
        <v>873</v>
      </c>
    </row>
    <row r="520" spans="1:7" x14ac:dyDescent="0.25">
      <c r="A520" s="3" t="s">
        <v>874</v>
      </c>
      <c r="E520" s="14" t="str">
        <f t="shared" si="8"/>
        <v>115</v>
      </c>
      <c r="G520" s="3" t="s">
        <v>874</v>
      </c>
    </row>
    <row r="521" spans="1:7" x14ac:dyDescent="0.25">
      <c r="A521" s="3" t="s">
        <v>875</v>
      </c>
      <c r="E521" s="14" t="str">
        <f t="shared" si="8"/>
        <v>116</v>
      </c>
      <c r="G521" s="3" t="s">
        <v>875</v>
      </c>
    </row>
    <row r="522" spans="1:7" x14ac:dyDescent="0.25">
      <c r="A522" s="3" t="s">
        <v>876</v>
      </c>
      <c r="E522" s="14" t="str">
        <f t="shared" si="8"/>
        <v>117</v>
      </c>
      <c r="G522" s="3" t="s">
        <v>876</v>
      </c>
    </row>
    <row r="523" spans="1:7" x14ac:dyDescent="0.25">
      <c r="A523" s="3" t="s">
        <v>877</v>
      </c>
      <c r="E523" s="14" t="str">
        <f t="shared" si="8"/>
        <v>118</v>
      </c>
      <c r="G523" s="3" t="s">
        <v>877</v>
      </c>
    </row>
    <row r="524" spans="1:7" x14ac:dyDescent="0.25">
      <c r="A524" s="3" t="s">
        <v>879</v>
      </c>
      <c r="E524" s="14" t="str">
        <f t="shared" si="8"/>
        <v>120</v>
      </c>
      <c r="G524" s="3" t="s">
        <v>879</v>
      </c>
    </row>
    <row r="525" spans="1:7" x14ac:dyDescent="0.25">
      <c r="A525" s="3" t="s">
        <v>880</v>
      </c>
      <c r="E525" s="14" t="str">
        <f t="shared" si="8"/>
        <v>121</v>
      </c>
      <c r="G525" s="3" t="s">
        <v>880</v>
      </c>
    </row>
    <row r="526" spans="1:7" x14ac:dyDescent="0.25">
      <c r="A526" s="3" t="s">
        <v>881</v>
      </c>
      <c r="E526" s="14" t="str">
        <f t="shared" si="8"/>
        <v>122</v>
      </c>
      <c r="G526" s="3" t="s">
        <v>881</v>
      </c>
    </row>
    <row r="527" spans="1:7" x14ac:dyDescent="0.25">
      <c r="A527" s="3" t="s">
        <v>882</v>
      </c>
      <c r="E527" s="14" t="str">
        <f t="shared" si="8"/>
        <v>123</v>
      </c>
      <c r="G527" s="3" t="s">
        <v>882</v>
      </c>
    </row>
    <row r="528" spans="1:7" x14ac:dyDescent="0.25">
      <c r="A528" s="3" t="s">
        <v>883</v>
      </c>
      <c r="E528" s="14" t="str">
        <f t="shared" si="8"/>
        <v>124</v>
      </c>
      <c r="G528" s="3" t="s">
        <v>883</v>
      </c>
    </row>
    <row r="529" spans="1:7" x14ac:dyDescent="0.25">
      <c r="A529" s="3" t="s">
        <v>884</v>
      </c>
      <c r="E529" s="14" t="str">
        <f t="shared" si="8"/>
        <v>125</v>
      </c>
      <c r="G529" s="3" t="s">
        <v>884</v>
      </c>
    </row>
    <row r="530" spans="1:7" x14ac:dyDescent="0.25">
      <c r="A530" s="3" t="s">
        <v>885</v>
      </c>
      <c r="E530" s="14" t="str">
        <f t="shared" si="8"/>
        <v>126</v>
      </c>
      <c r="G530" s="3" t="s">
        <v>885</v>
      </c>
    </row>
    <row r="531" spans="1:7" x14ac:dyDescent="0.25">
      <c r="A531" s="3" t="s">
        <v>886</v>
      </c>
      <c r="E531" s="14" t="str">
        <f t="shared" si="8"/>
        <v>127</v>
      </c>
      <c r="G531" s="3" t="s">
        <v>886</v>
      </c>
    </row>
    <row r="532" spans="1:7" x14ac:dyDescent="0.25">
      <c r="A532" s="3" t="s">
        <v>887</v>
      </c>
      <c r="E532" s="14" t="str">
        <f t="shared" si="8"/>
        <v>128</v>
      </c>
      <c r="G532" s="3" t="s">
        <v>887</v>
      </c>
    </row>
    <row r="533" spans="1:7" x14ac:dyDescent="0.25">
      <c r="A533" s="3" t="s">
        <v>888</v>
      </c>
      <c r="E533" s="14" t="str">
        <f t="shared" si="8"/>
        <v>129</v>
      </c>
      <c r="G533" s="3" t="s">
        <v>888</v>
      </c>
    </row>
    <row r="534" spans="1:7" x14ac:dyDescent="0.25">
      <c r="A534" s="3" t="s">
        <v>889</v>
      </c>
      <c r="E534" s="14" t="str">
        <f t="shared" si="8"/>
        <v>130</v>
      </c>
      <c r="G534" s="3" t="s">
        <v>889</v>
      </c>
    </row>
    <row r="535" spans="1:7" x14ac:dyDescent="0.25">
      <c r="A535" s="3" t="s">
        <v>890</v>
      </c>
      <c r="E535" s="14" t="str">
        <f t="shared" si="8"/>
        <v>131</v>
      </c>
      <c r="G535" s="3" t="s">
        <v>890</v>
      </c>
    </row>
    <row r="536" spans="1:7" x14ac:dyDescent="0.25">
      <c r="A536" s="3" t="s">
        <v>891</v>
      </c>
      <c r="E536" s="14" t="str">
        <f t="shared" si="8"/>
        <v>132</v>
      </c>
      <c r="G536" s="3" t="s">
        <v>891</v>
      </c>
    </row>
    <row r="537" spans="1:7" x14ac:dyDescent="0.25">
      <c r="A537" s="3" t="s">
        <v>892</v>
      </c>
      <c r="E537" s="14" t="str">
        <f t="shared" si="8"/>
        <v>133</v>
      </c>
      <c r="G537" s="3" t="s">
        <v>892</v>
      </c>
    </row>
    <row r="538" spans="1:7" x14ac:dyDescent="0.25">
      <c r="A538" s="3" t="s">
        <v>893</v>
      </c>
      <c r="E538" s="14" t="str">
        <f t="shared" si="8"/>
        <v>134</v>
      </c>
      <c r="G538" s="3" t="s">
        <v>893</v>
      </c>
    </row>
    <row r="539" spans="1:7" x14ac:dyDescent="0.25">
      <c r="A539" s="3" t="s">
        <v>894</v>
      </c>
      <c r="E539" s="14" t="str">
        <f t="shared" si="8"/>
        <v>135</v>
      </c>
      <c r="G539" s="3" t="s">
        <v>894</v>
      </c>
    </row>
    <row r="540" spans="1:7" x14ac:dyDescent="0.25">
      <c r="A540" s="3" t="s">
        <v>895</v>
      </c>
      <c r="E540" s="14" t="str">
        <f t="shared" si="8"/>
        <v>136</v>
      </c>
      <c r="G540" s="3" t="s">
        <v>895</v>
      </c>
    </row>
    <row r="541" spans="1:7" x14ac:dyDescent="0.25">
      <c r="A541" s="3" t="s">
        <v>896</v>
      </c>
      <c r="E541" s="14" t="str">
        <f t="shared" si="8"/>
        <v>137</v>
      </c>
      <c r="G541" s="3" t="s">
        <v>896</v>
      </c>
    </row>
    <row r="542" spans="1:7" x14ac:dyDescent="0.25">
      <c r="A542" s="3" t="s">
        <v>897</v>
      </c>
      <c r="E542" s="14" t="str">
        <f t="shared" si="8"/>
        <v>138</v>
      </c>
      <c r="G542" s="3" t="s">
        <v>897</v>
      </c>
    </row>
    <row r="543" spans="1:7" x14ac:dyDescent="0.25">
      <c r="A543" s="3" t="s">
        <v>898</v>
      </c>
      <c r="E543" s="14" t="str">
        <f t="shared" si="8"/>
        <v>139</v>
      </c>
      <c r="G543" s="3" t="s">
        <v>898</v>
      </c>
    </row>
    <row r="544" spans="1:7" x14ac:dyDescent="0.25">
      <c r="A544" s="3" t="s">
        <v>899</v>
      </c>
      <c r="E544" s="14" t="str">
        <f t="shared" si="8"/>
        <v>140</v>
      </c>
      <c r="G544" s="3" t="s">
        <v>899</v>
      </c>
    </row>
    <row r="545" spans="1:7" x14ac:dyDescent="0.25">
      <c r="A545" s="3" t="s">
        <v>900</v>
      </c>
      <c r="E545" s="14" t="str">
        <f t="shared" si="8"/>
        <v>141</v>
      </c>
      <c r="G545" s="3" t="s">
        <v>900</v>
      </c>
    </row>
    <row r="546" spans="1:7" x14ac:dyDescent="0.25">
      <c r="A546" s="3" t="s">
        <v>901</v>
      </c>
      <c r="E546" s="14" t="str">
        <f t="shared" si="8"/>
        <v>142</v>
      </c>
      <c r="G546" s="3" t="s">
        <v>901</v>
      </c>
    </row>
    <row r="547" spans="1:7" x14ac:dyDescent="0.25">
      <c r="A547" s="3" t="s">
        <v>902</v>
      </c>
      <c r="E547" s="14" t="str">
        <f t="shared" si="8"/>
        <v>143</v>
      </c>
      <c r="G547" s="3" t="s">
        <v>902</v>
      </c>
    </row>
    <row r="548" spans="1:7" x14ac:dyDescent="0.25">
      <c r="A548" s="3" t="s">
        <v>903</v>
      </c>
      <c r="E548" s="14" t="str">
        <f t="shared" si="8"/>
        <v>144</v>
      </c>
      <c r="G548" s="3" t="s">
        <v>903</v>
      </c>
    </row>
    <row r="549" spans="1:7" x14ac:dyDescent="0.25">
      <c r="A549" s="3" t="s">
        <v>904</v>
      </c>
      <c r="E549" s="14" t="str">
        <f t="shared" si="8"/>
        <v>145</v>
      </c>
      <c r="G549" s="3" t="s">
        <v>904</v>
      </c>
    </row>
    <row r="550" spans="1:7" x14ac:dyDescent="0.25">
      <c r="A550" s="3" t="s">
        <v>905</v>
      </c>
      <c r="E550" s="14" t="str">
        <f t="shared" si="8"/>
        <v>146</v>
      </c>
      <c r="G550" s="3" t="s">
        <v>905</v>
      </c>
    </row>
    <row r="551" spans="1:7" x14ac:dyDescent="0.25">
      <c r="A551" s="3" t="s">
        <v>906</v>
      </c>
      <c r="E551" s="14" t="str">
        <f t="shared" si="8"/>
        <v>147</v>
      </c>
      <c r="G551" s="3" t="s">
        <v>906</v>
      </c>
    </row>
    <row r="552" spans="1:7" x14ac:dyDescent="0.25">
      <c r="A552" s="3" t="s">
        <v>907</v>
      </c>
      <c r="E552" s="14" t="str">
        <f t="shared" si="8"/>
        <v>148</v>
      </c>
      <c r="G552" s="3" t="s">
        <v>907</v>
      </c>
    </row>
    <row r="553" spans="1:7" x14ac:dyDescent="0.25">
      <c r="A553" s="3" t="s">
        <v>908</v>
      </c>
      <c r="E553" s="14" t="str">
        <f t="shared" si="8"/>
        <v>149</v>
      </c>
      <c r="G553" s="3" t="s">
        <v>908</v>
      </c>
    </row>
    <row r="554" spans="1:7" x14ac:dyDescent="0.25">
      <c r="A554" s="3" t="s">
        <v>909</v>
      </c>
      <c r="E554" s="14" t="str">
        <f t="shared" si="8"/>
        <v>150</v>
      </c>
      <c r="G554" s="3" t="s">
        <v>909</v>
      </c>
    </row>
    <row r="555" spans="1:7" x14ac:dyDescent="0.25">
      <c r="A555" s="3" t="s">
        <v>909</v>
      </c>
      <c r="E555" s="14" t="str">
        <f t="shared" si="8"/>
        <v>150</v>
      </c>
      <c r="G555" s="3" t="s">
        <v>909</v>
      </c>
    </row>
    <row r="556" spans="1:7" x14ac:dyDescent="0.25">
      <c r="A556" s="3" t="s">
        <v>910</v>
      </c>
      <c r="E556" s="14" t="str">
        <f t="shared" si="8"/>
        <v>151</v>
      </c>
      <c r="G556" s="3" t="s">
        <v>910</v>
      </c>
    </row>
    <row r="557" spans="1:7" x14ac:dyDescent="0.25">
      <c r="A557" s="3" t="s">
        <v>911</v>
      </c>
      <c r="E557" s="14" t="str">
        <f t="shared" si="8"/>
        <v>152</v>
      </c>
      <c r="G557" s="3" t="s">
        <v>911</v>
      </c>
    </row>
    <row r="558" spans="1:7" x14ac:dyDescent="0.25">
      <c r="A558" s="3" t="s">
        <v>912</v>
      </c>
      <c r="E558" s="14" t="str">
        <f t="shared" si="8"/>
        <v>153</v>
      </c>
      <c r="G558" s="3" t="s">
        <v>912</v>
      </c>
    </row>
    <row r="559" spans="1:7" x14ac:dyDescent="0.25">
      <c r="A559" s="3" t="s">
        <v>913</v>
      </c>
      <c r="E559" s="14" t="str">
        <f t="shared" si="8"/>
        <v>154</v>
      </c>
      <c r="G559" s="3" t="s">
        <v>913</v>
      </c>
    </row>
    <row r="560" spans="1:7" x14ac:dyDescent="0.25">
      <c r="A560" s="3" t="s">
        <v>914</v>
      </c>
      <c r="E560" s="14" t="str">
        <f t="shared" si="8"/>
        <v>155</v>
      </c>
      <c r="G560" s="3" t="s">
        <v>914</v>
      </c>
    </row>
    <row r="561" spans="1:7" x14ac:dyDescent="0.25">
      <c r="A561" s="3" t="s">
        <v>915</v>
      </c>
      <c r="E561" s="14" t="str">
        <f t="shared" si="8"/>
        <v>156</v>
      </c>
      <c r="G561" s="3" t="s">
        <v>915</v>
      </c>
    </row>
    <row r="562" spans="1:7" x14ac:dyDescent="0.25">
      <c r="A562" s="3" t="s">
        <v>916</v>
      </c>
      <c r="E562" s="14" t="str">
        <f t="shared" si="8"/>
        <v>157</v>
      </c>
      <c r="G562" s="3" t="s">
        <v>916</v>
      </c>
    </row>
    <row r="563" spans="1:7" x14ac:dyDescent="0.25">
      <c r="A563" s="3" t="s">
        <v>917</v>
      </c>
      <c r="E563" s="14" t="str">
        <f t="shared" si="8"/>
        <v>158</v>
      </c>
      <c r="G563" s="3" t="s">
        <v>917</v>
      </c>
    </row>
    <row r="564" spans="1:7" x14ac:dyDescent="0.25">
      <c r="A564" s="3" t="s">
        <v>918</v>
      </c>
      <c r="E564" s="14" t="str">
        <f t="shared" si="8"/>
        <v>159</v>
      </c>
      <c r="G564" s="3" t="s">
        <v>918</v>
      </c>
    </row>
    <row r="565" spans="1:7" x14ac:dyDescent="0.25">
      <c r="A565" s="3" t="s">
        <v>919</v>
      </c>
      <c r="E565" s="14" t="str">
        <f t="shared" si="8"/>
        <v>160</v>
      </c>
      <c r="G565" s="3" t="s">
        <v>919</v>
      </c>
    </row>
    <row r="566" spans="1:7" x14ac:dyDescent="0.25">
      <c r="A566" s="3" t="s">
        <v>920</v>
      </c>
      <c r="E566" s="14" t="str">
        <f t="shared" si="8"/>
        <v>161</v>
      </c>
      <c r="G566" s="3" t="s">
        <v>920</v>
      </c>
    </row>
    <row r="567" spans="1:7" x14ac:dyDescent="0.25">
      <c r="A567" s="3" t="s">
        <v>921</v>
      </c>
      <c r="E567" s="14" t="str">
        <f t="shared" si="8"/>
        <v>162</v>
      </c>
      <c r="G567" s="3" t="s">
        <v>921</v>
      </c>
    </row>
    <row r="568" spans="1:7" x14ac:dyDescent="0.25">
      <c r="A568" s="3" t="s">
        <v>922</v>
      </c>
      <c r="E568" s="14" t="str">
        <f t="shared" si="8"/>
        <v>163</v>
      </c>
      <c r="G568" s="3" t="s">
        <v>922</v>
      </c>
    </row>
    <row r="569" spans="1:7" x14ac:dyDescent="0.25">
      <c r="A569" s="3" t="s">
        <v>923</v>
      </c>
      <c r="E569" s="14" t="str">
        <f t="shared" si="8"/>
        <v>164</v>
      </c>
      <c r="G569" s="3" t="s">
        <v>923</v>
      </c>
    </row>
    <row r="570" spans="1:7" x14ac:dyDescent="0.25">
      <c r="A570" s="3" t="s">
        <v>924</v>
      </c>
      <c r="E570" s="14" t="str">
        <f t="shared" si="8"/>
        <v>165</v>
      </c>
      <c r="G570" s="3" t="s">
        <v>924</v>
      </c>
    </row>
    <row r="571" spans="1:7" x14ac:dyDescent="0.25">
      <c r="A571" s="3" t="s">
        <v>925</v>
      </c>
      <c r="E571" s="14" t="str">
        <f t="shared" si="8"/>
        <v>166</v>
      </c>
      <c r="G571" s="3" t="s">
        <v>925</v>
      </c>
    </row>
    <row r="572" spans="1:7" x14ac:dyDescent="0.25">
      <c r="A572" s="3" t="s">
        <v>926</v>
      </c>
      <c r="E572" s="14" t="str">
        <f t="shared" si="8"/>
        <v>167</v>
      </c>
      <c r="G572" s="3" t="s">
        <v>926</v>
      </c>
    </row>
    <row r="573" spans="1:7" x14ac:dyDescent="0.25">
      <c r="A573" s="3" t="s">
        <v>927</v>
      </c>
      <c r="E573" s="14" t="str">
        <f t="shared" si="8"/>
        <v>168</v>
      </c>
      <c r="G573" s="3" t="s">
        <v>927</v>
      </c>
    </row>
    <row r="574" spans="1:7" x14ac:dyDescent="0.25">
      <c r="A574" s="3" t="s">
        <v>927</v>
      </c>
      <c r="E574" s="14" t="str">
        <f t="shared" si="8"/>
        <v>168</v>
      </c>
      <c r="G574" s="3" t="s">
        <v>927</v>
      </c>
    </row>
    <row r="575" spans="1:7" x14ac:dyDescent="0.25">
      <c r="A575" s="3" t="s">
        <v>928</v>
      </c>
      <c r="E575" s="14" t="str">
        <f t="shared" si="8"/>
        <v>169</v>
      </c>
      <c r="G575" s="3" t="s">
        <v>928</v>
      </c>
    </row>
    <row r="576" spans="1:7" x14ac:dyDescent="0.25">
      <c r="A576" s="3" t="s">
        <v>928</v>
      </c>
      <c r="E576" s="14" t="str">
        <f t="shared" si="8"/>
        <v>169</v>
      </c>
      <c r="G576" s="3" t="s">
        <v>928</v>
      </c>
    </row>
    <row r="577" spans="1:7" x14ac:dyDescent="0.25">
      <c r="A577" s="3" t="s">
        <v>928</v>
      </c>
      <c r="E577" s="14" t="str">
        <f t="shared" si="8"/>
        <v>169</v>
      </c>
      <c r="G577" s="3" t="s">
        <v>928</v>
      </c>
    </row>
    <row r="578" spans="1:7" x14ac:dyDescent="0.25">
      <c r="A578" s="3" t="s">
        <v>928</v>
      </c>
      <c r="E578" s="14" t="str">
        <f t="shared" ref="E578:E641" si="9">A578&amp;B578&amp;C578</f>
        <v>169</v>
      </c>
      <c r="G578" s="3" t="s">
        <v>928</v>
      </c>
    </row>
    <row r="579" spans="1:7" x14ac:dyDescent="0.25">
      <c r="A579" s="3" t="s">
        <v>928</v>
      </c>
      <c r="E579" s="14" t="str">
        <f t="shared" si="9"/>
        <v>169</v>
      </c>
      <c r="G579" s="3" t="s">
        <v>928</v>
      </c>
    </row>
    <row r="580" spans="1:7" x14ac:dyDescent="0.25">
      <c r="A580" s="3" t="s">
        <v>928</v>
      </c>
      <c r="E580" s="14" t="str">
        <f t="shared" si="9"/>
        <v>169</v>
      </c>
      <c r="G580" s="3" t="s">
        <v>928</v>
      </c>
    </row>
    <row r="581" spans="1:7" x14ac:dyDescent="0.25">
      <c r="A581" s="3" t="s">
        <v>928</v>
      </c>
      <c r="E581" s="14" t="str">
        <f t="shared" si="9"/>
        <v>169</v>
      </c>
      <c r="G581" s="3" t="s">
        <v>928</v>
      </c>
    </row>
    <row r="582" spans="1:7" x14ac:dyDescent="0.25">
      <c r="A582" s="3" t="s">
        <v>928</v>
      </c>
      <c r="E582" s="14" t="str">
        <f t="shared" si="9"/>
        <v>169</v>
      </c>
      <c r="G582" s="3" t="s">
        <v>928</v>
      </c>
    </row>
    <row r="583" spans="1:7" x14ac:dyDescent="0.25">
      <c r="A583" s="3" t="s">
        <v>928</v>
      </c>
      <c r="E583" s="14" t="str">
        <f t="shared" si="9"/>
        <v>169</v>
      </c>
      <c r="G583" s="3" t="s">
        <v>928</v>
      </c>
    </row>
    <row r="584" spans="1:7" x14ac:dyDescent="0.25">
      <c r="A584" s="3" t="s">
        <v>929</v>
      </c>
      <c r="E584" s="14" t="str">
        <f t="shared" si="9"/>
        <v>170</v>
      </c>
      <c r="G584" s="3" t="s">
        <v>929</v>
      </c>
    </row>
    <row r="585" spans="1:7" x14ac:dyDescent="0.25">
      <c r="A585" s="3" t="s">
        <v>929</v>
      </c>
      <c r="E585" s="14" t="str">
        <f t="shared" si="9"/>
        <v>170</v>
      </c>
      <c r="G585" s="3" t="s">
        <v>929</v>
      </c>
    </row>
    <row r="586" spans="1:7" x14ac:dyDescent="0.25">
      <c r="A586" s="3" t="s">
        <v>929</v>
      </c>
      <c r="E586" s="14" t="str">
        <f t="shared" si="9"/>
        <v>170</v>
      </c>
      <c r="G586" s="3" t="s">
        <v>929</v>
      </c>
    </row>
    <row r="587" spans="1:7" x14ac:dyDescent="0.25">
      <c r="A587" s="3" t="s">
        <v>929</v>
      </c>
      <c r="E587" s="14" t="str">
        <f t="shared" si="9"/>
        <v>170</v>
      </c>
      <c r="G587" s="3" t="s">
        <v>929</v>
      </c>
    </row>
    <row r="588" spans="1:7" x14ac:dyDescent="0.25">
      <c r="A588" s="3" t="s">
        <v>929</v>
      </c>
      <c r="E588" s="14" t="str">
        <f t="shared" si="9"/>
        <v>170</v>
      </c>
      <c r="G588" s="3" t="s">
        <v>929</v>
      </c>
    </row>
    <row r="589" spans="1:7" x14ac:dyDescent="0.25">
      <c r="A589" s="3" t="s">
        <v>929</v>
      </c>
      <c r="E589" s="14" t="str">
        <f t="shared" si="9"/>
        <v>170</v>
      </c>
      <c r="G589" s="3" t="s">
        <v>929</v>
      </c>
    </row>
    <row r="590" spans="1:7" x14ac:dyDescent="0.25">
      <c r="A590" s="3" t="s">
        <v>929</v>
      </c>
      <c r="E590" s="14" t="str">
        <f t="shared" si="9"/>
        <v>170</v>
      </c>
      <c r="G590" s="3" t="s">
        <v>929</v>
      </c>
    </row>
    <row r="591" spans="1:7" x14ac:dyDescent="0.25">
      <c r="A591" s="3" t="s">
        <v>929</v>
      </c>
      <c r="E591" s="14" t="str">
        <f t="shared" si="9"/>
        <v>170</v>
      </c>
      <c r="G591" s="3" t="s">
        <v>929</v>
      </c>
    </row>
    <row r="592" spans="1:7" x14ac:dyDescent="0.25">
      <c r="A592" s="3" t="s">
        <v>929</v>
      </c>
      <c r="E592" s="14" t="str">
        <f t="shared" si="9"/>
        <v>170</v>
      </c>
      <c r="G592" s="3" t="s">
        <v>929</v>
      </c>
    </row>
    <row r="593" spans="1:7" x14ac:dyDescent="0.25">
      <c r="A593" s="3" t="s">
        <v>929</v>
      </c>
      <c r="E593" s="14" t="str">
        <f t="shared" si="9"/>
        <v>170</v>
      </c>
      <c r="G593" s="3" t="s">
        <v>929</v>
      </c>
    </row>
    <row r="594" spans="1:7" x14ac:dyDescent="0.25">
      <c r="A594" s="3" t="s">
        <v>929</v>
      </c>
      <c r="E594" s="14" t="str">
        <f t="shared" si="9"/>
        <v>170</v>
      </c>
      <c r="G594" s="3" t="s">
        <v>929</v>
      </c>
    </row>
    <row r="595" spans="1:7" x14ac:dyDescent="0.25">
      <c r="A595" s="3" t="s">
        <v>929</v>
      </c>
      <c r="E595" s="14" t="str">
        <f t="shared" si="9"/>
        <v>170</v>
      </c>
      <c r="G595" s="3" t="s">
        <v>929</v>
      </c>
    </row>
    <row r="596" spans="1:7" x14ac:dyDescent="0.25">
      <c r="A596" s="3" t="s">
        <v>929</v>
      </c>
      <c r="E596" s="14" t="str">
        <f t="shared" si="9"/>
        <v>170</v>
      </c>
      <c r="G596" s="3" t="s">
        <v>929</v>
      </c>
    </row>
    <row r="597" spans="1:7" x14ac:dyDescent="0.25">
      <c r="A597" s="3" t="s">
        <v>928</v>
      </c>
      <c r="E597" s="14" t="str">
        <f t="shared" si="9"/>
        <v>169</v>
      </c>
      <c r="G597" s="3" t="s">
        <v>928</v>
      </c>
    </row>
    <row r="598" spans="1:7" x14ac:dyDescent="0.25">
      <c r="A598" s="3" t="s">
        <v>929</v>
      </c>
      <c r="E598" s="14" t="str">
        <f t="shared" si="9"/>
        <v>170</v>
      </c>
      <c r="G598" s="3" t="s">
        <v>929</v>
      </c>
    </row>
    <row r="599" spans="1:7" x14ac:dyDescent="0.25">
      <c r="A599" s="3" t="s">
        <v>930</v>
      </c>
      <c r="E599" s="14" t="str">
        <f t="shared" si="9"/>
        <v>171</v>
      </c>
      <c r="G599" s="3" t="s">
        <v>930</v>
      </c>
    </row>
    <row r="600" spans="1:7" x14ac:dyDescent="0.25">
      <c r="A600" s="3" t="s">
        <v>930</v>
      </c>
      <c r="E600" s="14" t="str">
        <f t="shared" si="9"/>
        <v>171</v>
      </c>
      <c r="G600" s="3" t="s">
        <v>930</v>
      </c>
    </row>
    <row r="601" spans="1:7" x14ac:dyDescent="0.25">
      <c r="A601" s="3" t="s">
        <v>931</v>
      </c>
      <c r="E601" s="14" t="str">
        <f t="shared" si="9"/>
        <v>172</v>
      </c>
      <c r="G601" s="3" t="s">
        <v>931</v>
      </c>
    </row>
    <row r="602" spans="1:7" x14ac:dyDescent="0.25">
      <c r="A602" s="3" t="s">
        <v>932</v>
      </c>
      <c r="E602" s="14" t="str">
        <f t="shared" si="9"/>
        <v>173</v>
      </c>
      <c r="G602" s="3" t="s">
        <v>932</v>
      </c>
    </row>
    <row r="603" spans="1:7" x14ac:dyDescent="0.25">
      <c r="A603" s="3" t="s">
        <v>933</v>
      </c>
      <c r="E603" s="14" t="str">
        <f t="shared" si="9"/>
        <v>174</v>
      </c>
      <c r="G603" s="3" t="s">
        <v>933</v>
      </c>
    </row>
    <row r="604" spans="1:7" x14ac:dyDescent="0.25">
      <c r="A604" s="3" t="s">
        <v>934</v>
      </c>
      <c r="E604" s="14" t="str">
        <f t="shared" si="9"/>
        <v>175</v>
      </c>
      <c r="G604" s="3" t="s">
        <v>934</v>
      </c>
    </row>
    <row r="605" spans="1:7" x14ac:dyDescent="0.25">
      <c r="A605" s="3" t="s">
        <v>935</v>
      </c>
      <c r="E605" s="14" t="str">
        <f t="shared" si="9"/>
        <v>176</v>
      </c>
      <c r="G605" s="3" t="s">
        <v>935</v>
      </c>
    </row>
    <row r="606" spans="1:7" x14ac:dyDescent="0.25">
      <c r="A606" s="3" t="s">
        <v>936</v>
      </c>
      <c r="E606" s="14" t="str">
        <f t="shared" si="9"/>
        <v>177</v>
      </c>
      <c r="G606" s="3" t="s">
        <v>936</v>
      </c>
    </row>
    <row r="607" spans="1:7" x14ac:dyDescent="0.25">
      <c r="A607" s="3" t="s">
        <v>937</v>
      </c>
      <c r="E607" s="14" t="str">
        <f t="shared" si="9"/>
        <v>178</v>
      </c>
      <c r="G607" s="3" t="s">
        <v>937</v>
      </c>
    </row>
    <row r="608" spans="1:7" x14ac:dyDescent="0.25">
      <c r="A608" s="3" t="s">
        <v>938</v>
      </c>
      <c r="E608" s="14" t="str">
        <f t="shared" si="9"/>
        <v>179</v>
      </c>
      <c r="G608" s="3" t="s">
        <v>938</v>
      </c>
    </row>
    <row r="609" spans="1:7" x14ac:dyDescent="0.25">
      <c r="A609" s="3" t="s">
        <v>939</v>
      </c>
      <c r="E609" s="14" t="str">
        <f t="shared" si="9"/>
        <v>180</v>
      </c>
      <c r="G609" s="3" t="s">
        <v>939</v>
      </c>
    </row>
    <row r="610" spans="1:7" x14ac:dyDescent="0.25">
      <c r="A610" s="3" t="s">
        <v>940</v>
      </c>
      <c r="E610" s="14" t="str">
        <f t="shared" si="9"/>
        <v>181</v>
      </c>
      <c r="G610" s="3" t="s">
        <v>940</v>
      </c>
    </row>
    <row r="611" spans="1:7" x14ac:dyDescent="0.25">
      <c r="A611" s="3" t="s">
        <v>941</v>
      </c>
      <c r="E611" s="14" t="str">
        <f t="shared" si="9"/>
        <v>182</v>
      </c>
      <c r="G611" s="3" t="s">
        <v>941</v>
      </c>
    </row>
    <row r="612" spans="1:7" x14ac:dyDescent="0.25">
      <c r="A612" s="3" t="s">
        <v>940</v>
      </c>
      <c r="E612" s="14" t="str">
        <f t="shared" si="9"/>
        <v>181</v>
      </c>
      <c r="G612" s="3" t="s">
        <v>940</v>
      </c>
    </row>
    <row r="613" spans="1:7" x14ac:dyDescent="0.25">
      <c r="A613" s="3" t="s">
        <v>942</v>
      </c>
      <c r="E613" s="14" t="str">
        <f t="shared" si="9"/>
        <v>183</v>
      </c>
      <c r="G613" s="3" t="s">
        <v>942</v>
      </c>
    </row>
    <row r="614" spans="1:7" x14ac:dyDescent="0.25">
      <c r="A614" s="3" t="s">
        <v>940</v>
      </c>
      <c r="E614" s="14" t="str">
        <f t="shared" si="9"/>
        <v>181</v>
      </c>
      <c r="G614" s="3" t="s">
        <v>940</v>
      </c>
    </row>
    <row r="615" spans="1:7" x14ac:dyDescent="0.25">
      <c r="A615" s="3" t="s">
        <v>943</v>
      </c>
      <c r="E615" s="14" t="str">
        <f t="shared" si="9"/>
        <v>184</v>
      </c>
      <c r="G615" s="3" t="s">
        <v>943</v>
      </c>
    </row>
    <row r="616" spans="1:7" x14ac:dyDescent="0.25">
      <c r="A616" s="3" t="s">
        <v>944</v>
      </c>
      <c r="E616" s="14" t="str">
        <f t="shared" si="9"/>
        <v>185</v>
      </c>
      <c r="G616" s="3" t="s">
        <v>944</v>
      </c>
    </row>
    <row r="617" spans="1:7" x14ac:dyDescent="0.25">
      <c r="A617" s="3" t="s">
        <v>945</v>
      </c>
      <c r="E617" s="14" t="str">
        <f t="shared" si="9"/>
        <v>186</v>
      </c>
      <c r="G617" s="3" t="s">
        <v>945</v>
      </c>
    </row>
    <row r="618" spans="1:7" x14ac:dyDescent="0.25">
      <c r="A618" s="3" t="s">
        <v>946</v>
      </c>
      <c r="E618" s="14" t="str">
        <f t="shared" si="9"/>
        <v>187</v>
      </c>
      <c r="G618" s="3" t="s">
        <v>946</v>
      </c>
    </row>
    <row r="619" spans="1:7" x14ac:dyDescent="0.25">
      <c r="A619" s="3" t="s">
        <v>947</v>
      </c>
      <c r="E619" s="14" t="str">
        <f t="shared" si="9"/>
        <v>188</v>
      </c>
      <c r="G619" s="3" t="s">
        <v>947</v>
      </c>
    </row>
    <row r="620" spans="1:7" x14ac:dyDescent="0.25">
      <c r="A620" s="3" t="s">
        <v>948</v>
      </c>
      <c r="E620" s="14" t="str">
        <f t="shared" si="9"/>
        <v>189</v>
      </c>
      <c r="G620" s="3" t="s">
        <v>948</v>
      </c>
    </row>
    <row r="621" spans="1:7" x14ac:dyDescent="0.25">
      <c r="A621" s="3" t="s">
        <v>949</v>
      </c>
      <c r="E621" s="14" t="str">
        <f t="shared" si="9"/>
        <v>190</v>
      </c>
      <c r="G621" s="3" t="s">
        <v>949</v>
      </c>
    </row>
    <row r="622" spans="1:7" x14ac:dyDescent="0.25">
      <c r="A622" s="3" t="s">
        <v>950</v>
      </c>
      <c r="E622" s="14" t="str">
        <f t="shared" si="9"/>
        <v>191</v>
      </c>
      <c r="G622" s="3" t="s">
        <v>950</v>
      </c>
    </row>
    <row r="623" spans="1:7" x14ac:dyDescent="0.25">
      <c r="A623" s="3" t="s">
        <v>951</v>
      </c>
      <c r="E623" s="14" t="str">
        <f t="shared" si="9"/>
        <v>192</v>
      </c>
      <c r="G623" s="3" t="s">
        <v>951</v>
      </c>
    </row>
    <row r="624" spans="1:7" x14ac:dyDescent="0.25">
      <c r="A624" s="3" t="s">
        <v>952</v>
      </c>
      <c r="E624" s="14" t="str">
        <f t="shared" si="9"/>
        <v>193</v>
      </c>
      <c r="G624" s="3" t="s">
        <v>952</v>
      </c>
    </row>
    <row r="625" spans="1:7" x14ac:dyDescent="0.25">
      <c r="A625" s="3" t="s">
        <v>953</v>
      </c>
      <c r="E625" s="14" t="str">
        <f t="shared" si="9"/>
        <v>194</v>
      </c>
      <c r="G625" s="3" t="s">
        <v>953</v>
      </c>
    </row>
    <row r="626" spans="1:7" x14ac:dyDescent="0.25">
      <c r="A626" s="3" t="s">
        <v>954</v>
      </c>
      <c r="E626" s="14" t="str">
        <f t="shared" si="9"/>
        <v>195</v>
      </c>
      <c r="G626" s="3" t="s">
        <v>954</v>
      </c>
    </row>
    <row r="627" spans="1:7" x14ac:dyDescent="0.25">
      <c r="A627" s="3" t="s">
        <v>955</v>
      </c>
      <c r="E627" s="14" t="str">
        <f t="shared" si="9"/>
        <v>196</v>
      </c>
      <c r="G627" s="3" t="s">
        <v>955</v>
      </c>
    </row>
    <row r="628" spans="1:7" x14ac:dyDescent="0.25">
      <c r="A628" s="3" t="s">
        <v>956</v>
      </c>
      <c r="E628" s="14" t="str">
        <f t="shared" si="9"/>
        <v>197</v>
      </c>
      <c r="G628" s="3" t="s">
        <v>956</v>
      </c>
    </row>
    <row r="629" spans="1:7" x14ac:dyDescent="0.25">
      <c r="A629" s="3" t="s">
        <v>957</v>
      </c>
      <c r="E629" s="14" t="str">
        <f t="shared" si="9"/>
        <v>198</v>
      </c>
      <c r="G629" s="3" t="s">
        <v>957</v>
      </c>
    </row>
    <row r="630" spans="1:7" x14ac:dyDescent="0.25">
      <c r="A630" s="3" t="s">
        <v>958</v>
      </c>
      <c r="E630" s="14" t="str">
        <f t="shared" si="9"/>
        <v>199</v>
      </c>
      <c r="G630" s="3" t="s">
        <v>958</v>
      </c>
    </row>
    <row r="631" spans="1:7" x14ac:dyDescent="0.25">
      <c r="A631" s="3" t="s">
        <v>959</v>
      </c>
      <c r="E631" s="14" t="str">
        <f t="shared" si="9"/>
        <v>200</v>
      </c>
      <c r="G631" s="3" t="s">
        <v>959</v>
      </c>
    </row>
    <row r="632" spans="1:7" x14ac:dyDescent="0.25">
      <c r="A632" s="3" t="s">
        <v>928</v>
      </c>
      <c r="E632" s="14" t="str">
        <f t="shared" si="9"/>
        <v>169</v>
      </c>
      <c r="G632" s="3" t="s">
        <v>928</v>
      </c>
    </row>
    <row r="633" spans="1:7" x14ac:dyDescent="0.25">
      <c r="A633" s="3" t="s">
        <v>928</v>
      </c>
      <c r="E633" s="14" t="str">
        <f t="shared" si="9"/>
        <v>169</v>
      </c>
      <c r="G633" s="3" t="s">
        <v>928</v>
      </c>
    </row>
    <row r="634" spans="1:7" x14ac:dyDescent="0.25">
      <c r="A634" s="3" t="s">
        <v>928</v>
      </c>
      <c r="E634" s="14" t="str">
        <f t="shared" si="9"/>
        <v>169</v>
      </c>
      <c r="G634" s="3" t="s">
        <v>928</v>
      </c>
    </row>
    <row r="635" spans="1:7" x14ac:dyDescent="0.25">
      <c r="A635" s="3" t="s">
        <v>928</v>
      </c>
      <c r="E635" s="14" t="str">
        <f t="shared" si="9"/>
        <v>169</v>
      </c>
      <c r="G635" s="3" t="s">
        <v>928</v>
      </c>
    </row>
    <row r="636" spans="1:7" x14ac:dyDescent="0.25">
      <c r="A636" s="3" t="s">
        <v>928</v>
      </c>
      <c r="E636" s="14" t="str">
        <f t="shared" si="9"/>
        <v>169</v>
      </c>
      <c r="G636" s="3" t="s">
        <v>928</v>
      </c>
    </row>
    <row r="637" spans="1:7" x14ac:dyDescent="0.25">
      <c r="A637" s="3" t="s">
        <v>928</v>
      </c>
      <c r="E637" s="14" t="str">
        <f t="shared" si="9"/>
        <v>169</v>
      </c>
      <c r="G637" s="3" t="s">
        <v>928</v>
      </c>
    </row>
    <row r="638" spans="1:7" x14ac:dyDescent="0.25">
      <c r="A638" s="3" t="s">
        <v>928</v>
      </c>
      <c r="E638" s="14" t="str">
        <f t="shared" si="9"/>
        <v>169</v>
      </c>
      <c r="G638" s="3" t="s">
        <v>928</v>
      </c>
    </row>
    <row r="639" spans="1:7" x14ac:dyDescent="0.25">
      <c r="A639" s="3" t="s">
        <v>928</v>
      </c>
      <c r="E639" s="14" t="str">
        <f t="shared" si="9"/>
        <v>169</v>
      </c>
      <c r="G639" s="3" t="s">
        <v>928</v>
      </c>
    </row>
    <row r="640" spans="1:7" x14ac:dyDescent="0.25">
      <c r="A640" s="3" t="s">
        <v>928</v>
      </c>
      <c r="E640" s="14" t="str">
        <f t="shared" si="9"/>
        <v>169</v>
      </c>
      <c r="G640" s="3" t="s">
        <v>928</v>
      </c>
    </row>
    <row r="641" spans="1:7" x14ac:dyDescent="0.25">
      <c r="A641" s="3" t="s">
        <v>929</v>
      </c>
      <c r="E641" s="14" t="str">
        <f t="shared" si="9"/>
        <v>170</v>
      </c>
      <c r="G641" s="3" t="s">
        <v>929</v>
      </c>
    </row>
    <row r="642" spans="1:7" x14ac:dyDescent="0.25">
      <c r="A642" s="3" t="s">
        <v>929</v>
      </c>
      <c r="E642" s="14" t="str">
        <f t="shared" ref="E642:E705" si="10">A642&amp;B642&amp;C642</f>
        <v>170</v>
      </c>
      <c r="G642" s="3" t="s">
        <v>929</v>
      </c>
    </row>
    <row r="643" spans="1:7" x14ac:dyDescent="0.25">
      <c r="A643" s="3" t="s">
        <v>929</v>
      </c>
      <c r="E643" s="14" t="str">
        <f t="shared" si="10"/>
        <v>170</v>
      </c>
      <c r="G643" s="3" t="s">
        <v>929</v>
      </c>
    </row>
    <row r="644" spans="1:7" x14ac:dyDescent="0.25">
      <c r="A644" s="3" t="s">
        <v>929</v>
      </c>
      <c r="E644" s="14" t="str">
        <f t="shared" si="10"/>
        <v>170</v>
      </c>
      <c r="G644" s="3" t="s">
        <v>929</v>
      </c>
    </row>
    <row r="645" spans="1:7" x14ac:dyDescent="0.25">
      <c r="A645" s="3" t="s">
        <v>929</v>
      </c>
      <c r="E645" s="14" t="str">
        <f t="shared" si="10"/>
        <v>170</v>
      </c>
      <c r="G645" s="3" t="s">
        <v>929</v>
      </c>
    </row>
    <row r="646" spans="1:7" x14ac:dyDescent="0.25">
      <c r="A646" s="3" t="s">
        <v>929</v>
      </c>
      <c r="E646" s="14" t="str">
        <f t="shared" si="10"/>
        <v>170</v>
      </c>
      <c r="G646" s="3" t="s">
        <v>929</v>
      </c>
    </row>
    <row r="647" spans="1:7" x14ac:dyDescent="0.25">
      <c r="A647" s="3" t="s">
        <v>929</v>
      </c>
      <c r="E647" s="14" t="str">
        <f t="shared" si="10"/>
        <v>170</v>
      </c>
      <c r="G647" s="3" t="s">
        <v>929</v>
      </c>
    </row>
    <row r="648" spans="1:7" x14ac:dyDescent="0.25">
      <c r="A648" s="3" t="s">
        <v>929</v>
      </c>
      <c r="E648" s="14" t="str">
        <f t="shared" si="10"/>
        <v>170</v>
      </c>
      <c r="G648" s="3" t="s">
        <v>1617</v>
      </c>
    </row>
    <row r="649" spans="1:7" x14ac:dyDescent="0.25">
      <c r="A649" s="3" t="s">
        <v>929</v>
      </c>
      <c r="E649" s="14" t="str">
        <f t="shared" si="10"/>
        <v>170</v>
      </c>
      <c r="G649" s="3" t="s">
        <v>1617</v>
      </c>
    </row>
    <row r="650" spans="1:7" x14ac:dyDescent="0.25">
      <c r="A650" s="3" t="s">
        <v>929</v>
      </c>
      <c r="E650" s="14" t="str">
        <f t="shared" si="10"/>
        <v>170</v>
      </c>
      <c r="G650" s="3" t="s">
        <v>1617</v>
      </c>
    </row>
    <row r="651" spans="1:7" x14ac:dyDescent="0.25">
      <c r="A651" s="3" t="s">
        <v>929</v>
      </c>
      <c r="E651" s="14" t="str">
        <f t="shared" si="10"/>
        <v>170</v>
      </c>
      <c r="G651" s="3" t="s">
        <v>1617</v>
      </c>
    </row>
    <row r="652" spans="1:7" x14ac:dyDescent="0.25">
      <c r="A652" s="3" t="s">
        <v>929</v>
      </c>
      <c r="E652" s="14" t="str">
        <f t="shared" si="10"/>
        <v>170</v>
      </c>
      <c r="G652" s="3" t="s">
        <v>1617</v>
      </c>
    </row>
    <row r="653" spans="1:7" x14ac:dyDescent="0.25">
      <c r="A653" s="3" t="s">
        <v>929</v>
      </c>
      <c r="E653" s="14" t="str">
        <f t="shared" si="10"/>
        <v>170</v>
      </c>
      <c r="G653" s="3" t="s">
        <v>1617</v>
      </c>
    </row>
    <row r="654" spans="1:7" x14ac:dyDescent="0.25">
      <c r="A654" s="3" t="s">
        <v>930</v>
      </c>
      <c r="E654" s="14" t="str">
        <f t="shared" si="10"/>
        <v>171</v>
      </c>
      <c r="G654" s="3" t="s">
        <v>930</v>
      </c>
    </row>
    <row r="655" spans="1:7" x14ac:dyDescent="0.25">
      <c r="A655" s="3" t="s">
        <v>930</v>
      </c>
      <c r="E655" s="14" t="str">
        <f t="shared" si="10"/>
        <v>171</v>
      </c>
      <c r="G655" s="3" t="s">
        <v>930</v>
      </c>
    </row>
    <row r="656" spans="1:7" x14ac:dyDescent="0.25">
      <c r="A656" s="3" t="s">
        <v>930</v>
      </c>
      <c r="E656" s="14" t="str">
        <f t="shared" si="10"/>
        <v>171</v>
      </c>
      <c r="G656" s="3" t="s">
        <v>930</v>
      </c>
    </row>
    <row r="657" spans="1:7" x14ac:dyDescent="0.25">
      <c r="A657" s="3" t="s">
        <v>930</v>
      </c>
      <c r="E657" s="14" t="str">
        <f t="shared" si="10"/>
        <v>171</v>
      </c>
      <c r="G657" s="3" t="s">
        <v>930</v>
      </c>
    </row>
    <row r="658" spans="1:7" x14ac:dyDescent="0.25">
      <c r="A658" s="3" t="s">
        <v>930</v>
      </c>
      <c r="E658" s="14" t="str">
        <f t="shared" si="10"/>
        <v>171</v>
      </c>
      <c r="G658" s="3" t="s">
        <v>930</v>
      </c>
    </row>
    <row r="659" spans="1:7" x14ac:dyDescent="0.25">
      <c r="A659" s="3" t="s">
        <v>930</v>
      </c>
      <c r="E659" s="14" t="str">
        <f t="shared" si="10"/>
        <v>171</v>
      </c>
      <c r="G659" s="3" t="s">
        <v>930</v>
      </c>
    </row>
    <row r="660" spans="1:7" x14ac:dyDescent="0.25">
      <c r="A660" s="3" t="s">
        <v>930</v>
      </c>
      <c r="E660" s="14" t="str">
        <f t="shared" si="10"/>
        <v>171</v>
      </c>
      <c r="G660" s="3" t="s">
        <v>930</v>
      </c>
    </row>
    <row r="661" spans="1:7" x14ac:dyDescent="0.25">
      <c r="A661" s="3" t="s">
        <v>930</v>
      </c>
      <c r="E661" s="14" t="str">
        <f t="shared" si="10"/>
        <v>171</v>
      </c>
      <c r="G661" s="3" t="s">
        <v>930</v>
      </c>
    </row>
    <row r="662" spans="1:7" x14ac:dyDescent="0.25">
      <c r="A662" s="3" t="s">
        <v>930</v>
      </c>
      <c r="E662" s="14" t="str">
        <f t="shared" si="10"/>
        <v>171</v>
      </c>
      <c r="G662" s="3" t="s">
        <v>930</v>
      </c>
    </row>
    <row r="663" spans="1:7" x14ac:dyDescent="0.25">
      <c r="A663" s="3" t="s">
        <v>931</v>
      </c>
      <c r="E663" s="14" t="str">
        <f t="shared" si="10"/>
        <v>172</v>
      </c>
      <c r="G663" s="3" t="s">
        <v>931</v>
      </c>
    </row>
    <row r="664" spans="1:7" x14ac:dyDescent="0.25">
      <c r="A664" s="3" t="s">
        <v>931</v>
      </c>
      <c r="E664" s="14" t="str">
        <f t="shared" si="10"/>
        <v>172</v>
      </c>
      <c r="G664" s="3" t="s">
        <v>931</v>
      </c>
    </row>
    <row r="665" spans="1:7" x14ac:dyDescent="0.25">
      <c r="A665" s="3" t="s">
        <v>931</v>
      </c>
      <c r="E665" s="14" t="str">
        <f t="shared" si="10"/>
        <v>172</v>
      </c>
      <c r="G665" s="3" t="s">
        <v>931</v>
      </c>
    </row>
    <row r="666" spans="1:7" x14ac:dyDescent="0.25">
      <c r="A666" s="3" t="s">
        <v>931</v>
      </c>
      <c r="E666" s="14" t="str">
        <f t="shared" si="10"/>
        <v>172</v>
      </c>
      <c r="G666" s="3" t="s">
        <v>931</v>
      </c>
    </row>
    <row r="667" spans="1:7" x14ac:dyDescent="0.25">
      <c r="A667" s="3" t="s">
        <v>931</v>
      </c>
      <c r="E667" s="14" t="str">
        <f t="shared" si="10"/>
        <v>172</v>
      </c>
      <c r="G667" s="3" t="s">
        <v>931</v>
      </c>
    </row>
    <row r="668" spans="1:7" x14ac:dyDescent="0.25">
      <c r="A668" s="3" t="s">
        <v>931</v>
      </c>
      <c r="E668" s="14" t="str">
        <f t="shared" si="10"/>
        <v>172</v>
      </c>
      <c r="G668" s="3" t="s">
        <v>931</v>
      </c>
    </row>
    <row r="669" spans="1:7" x14ac:dyDescent="0.25">
      <c r="A669" s="3" t="s">
        <v>931</v>
      </c>
      <c r="E669" s="14" t="str">
        <f t="shared" si="10"/>
        <v>172</v>
      </c>
      <c r="G669" s="3" t="s">
        <v>1616</v>
      </c>
    </row>
    <row r="670" spans="1:7" x14ac:dyDescent="0.25">
      <c r="A670" s="3" t="s">
        <v>931</v>
      </c>
      <c r="E670" s="14" t="str">
        <f t="shared" si="10"/>
        <v>172</v>
      </c>
      <c r="G670" s="3" t="s">
        <v>1616</v>
      </c>
    </row>
    <row r="671" spans="1:7" x14ac:dyDescent="0.25">
      <c r="A671" s="3" t="s">
        <v>931</v>
      </c>
      <c r="E671" s="14" t="str">
        <f t="shared" si="10"/>
        <v>172</v>
      </c>
      <c r="G671" s="3" t="s">
        <v>1616</v>
      </c>
    </row>
    <row r="672" spans="1:7" x14ac:dyDescent="0.25">
      <c r="A672" s="3" t="s">
        <v>931</v>
      </c>
      <c r="E672" s="14" t="str">
        <f t="shared" si="10"/>
        <v>172</v>
      </c>
      <c r="G672" s="3" t="s">
        <v>1616</v>
      </c>
    </row>
    <row r="673" spans="1:7" x14ac:dyDescent="0.25">
      <c r="A673" s="3" t="s">
        <v>931</v>
      </c>
      <c r="E673" s="14" t="str">
        <f t="shared" si="10"/>
        <v>172</v>
      </c>
      <c r="G673" s="3" t="s">
        <v>1616</v>
      </c>
    </row>
    <row r="674" spans="1:7" x14ac:dyDescent="0.25">
      <c r="A674" s="3" t="s">
        <v>931</v>
      </c>
      <c r="E674" s="14" t="str">
        <f t="shared" si="10"/>
        <v>172</v>
      </c>
      <c r="G674" s="3" t="s">
        <v>1616</v>
      </c>
    </row>
    <row r="675" spans="1:7" x14ac:dyDescent="0.25">
      <c r="A675" s="3" t="s">
        <v>931</v>
      </c>
      <c r="E675" s="14" t="str">
        <f t="shared" si="10"/>
        <v>172</v>
      </c>
      <c r="G675" s="3" t="s">
        <v>1616</v>
      </c>
    </row>
    <row r="676" spans="1:7" x14ac:dyDescent="0.25">
      <c r="A676" s="3" t="s">
        <v>960</v>
      </c>
      <c r="B676" t="s">
        <v>745</v>
      </c>
      <c r="C676" t="s">
        <v>746</v>
      </c>
      <c r="E676" s="14" t="str">
        <f t="shared" si="10"/>
        <v>173_A_A</v>
      </c>
      <c r="G676" s="3" t="s">
        <v>960</v>
      </c>
    </row>
    <row r="677" spans="1:7" x14ac:dyDescent="0.25">
      <c r="A677" s="3" t="s">
        <v>960</v>
      </c>
      <c r="B677" s="14" t="s">
        <v>745</v>
      </c>
      <c r="C677" s="14" t="s">
        <v>746</v>
      </c>
      <c r="E677" s="14" t="str">
        <f t="shared" si="10"/>
        <v>173_A_A</v>
      </c>
      <c r="G677" s="3" t="s">
        <v>960</v>
      </c>
    </row>
    <row r="678" spans="1:7" x14ac:dyDescent="0.25">
      <c r="A678" s="3" t="s">
        <v>960</v>
      </c>
      <c r="B678" s="14" t="s">
        <v>745</v>
      </c>
      <c r="C678" s="14" t="s">
        <v>746</v>
      </c>
      <c r="E678" s="14" t="str">
        <f t="shared" si="10"/>
        <v>173_A_A</v>
      </c>
      <c r="G678" s="3" t="s">
        <v>960</v>
      </c>
    </row>
    <row r="679" spans="1:7" x14ac:dyDescent="0.25">
      <c r="A679" s="3" t="s">
        <v>960</v>
      </c>
      <c r="B679" s="14" t="s">
        <v>745</v>
      </c>
      <c r="C679" s="14" t="s">
        <v>746</v>
      </c>
      <c r="E679" s="14" t="str">
        <f t="shared" si="10"/>
        <v>173_A_A</v>
      </c>
      <c r="G679" s="3" t="s">
        <v>960</v>
      </c>
    </row>
    <row r="680" spans="1:7" x14ac:dyDescent="0.25">
      <c r="A680" s="3" t="s">
        <v>960</v>
      </c>
      <c r="B680" s="14" t="s">
        <v>745</v>
      </c>
      <c r="C680" s="14" t="s">
        <v>746</v>
      </c>
      <c r="E680" s="14" t="str">
        <f t="shared" si="10"/>
        <v>173_A_A</v>
      </c>
      <c r="G680" s="3" t="s">
        <v>960</v>
      </c>
    </row>
    <row r="681" spans="1:7" x14ac:dyDescent="0.25">
      <c r="A681" s="3" t="s">
        <v>960</v>
      </c>
      <c r="B681" s="14" t="s">
        <v>745</v>
      </c>
      <c r="C681" s="14" t="s">
        <v>746</v>
      </c>
      <c r="E681" s="14" t="str">
        <f t="shared" si="10"/>
        <v>173_A_A</v>
      </c>
      <c r="G681" s="3" t="s">
        <v>960</v>
      </c>
    </row>
    <row r="682" spans="1:7" x14ac:dyDescent="0.25">
      <c r="A682" s="3" t="s">
        <v>960</v>
      </c>
      <c r="B682" s="14" t="s">
        <v>745</v>
      </c>
      <c r="C682" s="14" t="s">
        <v>746</v>
      </c>
      <c r="E682" s="14" t="str">
        <f t="shared" si="10"/>
        <v>173_A_A</v>
      </c>
      <c r="G682" s="3" t="s">
        <v>960</v>
      </c>
    </row>
    <row r="683" spans="1:7" x14ac:dyDescent="0.25">
      <c r="A683" s="3" t="s">
        <v>960</v>
      </c>
      <c r="B683" s="14" t="s">
        <v>745</v>
      </c>
      <c r="C683" s="14" t="s">
        <v>746</v>
      </c>
      <c r="E683" s="14" t="str">
        <f t="shared" si="10"/>
        <v>173_A_A</v>
      </c>
      <c r="G683" s="3" t="s">
        <v>960</v>
      </c>
    </row>
    <row r="684" spans="1:7" x14ac:dyDescent="0.25">
      <c r="A684" s="3" t="s">
        <v>960</v>
      </c>
      <c r="B684" s="14" t="s">
        <v>745</v>
      </c>
      <c r="C684" s="14" t="s">
        <v>746</v>
      </c>
      <c r="E684" s="14" t="str">
        <f t="shared" si="10"/>
        <v>173_A_A</v>
      </c>
      <c r="G684" s="3" t="s">
        <v>960</v>
      </c>
    </row>
    <row r="685" spans="1:7" x14ac:dyDescent="0.25">
      <c r="A685" s="3" t="s">
        <v>960</v>
      </c>
      <c r="B685" s="14" t="s">
        <v>745</v>
      </c>
      <c r="C685" s="14" t="s">
        <v>746</v>
      </c>
      <c r="E685" s="14" t="str">
        <f t="shared" si="10"/>
        <v>173_A_A</v>
      </c>
      <c r="G685" s="3" t="s">
        <v>960</v>
      </c>
    </row>
    <row r="686" spans="1:7" x14ac:dyDescent="0.25">
      <c r="A686" s="3" t="s">
        <v>960</v>
      </c>
      <c r="B686" s="14" t="s">
        <v>745</v>
      </c>
      <c r="C686" s="14" t="s">
        <v>746</v>
      </c>
      <c r="E686" s="14" t="str">
        <f t="shared" si="10"/>
        <v>173_A_A</v>
      </c>
      <c r="G686" s="3" t="s">
        <v>1611</v>
      </c>
    </row>
    <row r="687" spans="1:7" x14ac:dyDescent="0.25">
      <c r="A687" s="3" t="s">
        <v>960</v>
      </c>
      <c r="B687" s="14" t="s">
        <v>745</v>
      </c>
      <c r="C687" s="14" t="s">
        <v>746</v>
      </c>
      <c r="E687" s="14" t="str">
        <f t="shared" si="10"/>
        <v>173_A_A</v>
      </c>
      <c r="G687" s="3" t="s">
        <v>1611</v>
      </c>
    </row>
    <row r="688" spans="1:7" x14ac:dyDescent="0.25">
      <c r="A688" s="3" t="s">
        <v>960</v>
      </c>
      <c r="B688" s="14" t="s">
        <v>745</v>
      </c>
      <c r="C688" s="14" t="s">
        <v>746</v>
      </c>
      <c r="E688" s="14" t="str">
        <f t="shared" si="10"/>
        <v>173_A_A</v>
      </c>
      <c r="G688" s="3" t="s">
        <v>1611</v>
      </c>
    </row>
    <row r="689" spans="1:7" x14ac:dyDescent="0.25">
      <c r="A689" s="3" t="s">
        <v>960</v>
      </c>
      <c r="B689" s="14" t="s">
        <v>745</v>
      </c>
      <c r="C689" s="14" t="s">
        <v>746</v>
      </c>
      <c r="E689" s="14" t="str">
        <f t="shared" si="10"/>
        <v>173_A_A</v>
      </c>
      <c r="G689" s="3" t="s">
        <v>1611</v>
      </c>
    </row>
    <row r="690" spans="1:7" x14ac:dyDescent="0.25">
      <c r="A690" s="3" t="s">
        <v>960</v>
      </c>
      <c r="B690" s="14" t="s">
        <v>745</v>
      </c>
      <c r="C690" s="14" t="s">
        <v>746</v>
      </c>
      <c r="E690" s="14" t="str">
        <f t="shared" si="10"/>
        <v>173_A_A</v>
      </c>
      <c r="G690" s="3" t="s">
        <v>1611</v>
      </c>
    </row>
    <row r="691" spans="1:7" x14ac:dyDescent="0.25">
      <c r="A691" s="3" t="s">
        <v>960</v>
      </c>
      <c r="B691" s="14" t="s">
        <v>745</v>
      </c>
      <c r="C691" s="14" t="s">
        <v>746</v>
      </c>
      <c r="E691" s="14" t="str">
        <f t="shared" si="10"/>
        <v>173_A_A</v>
      </c>
      <c r="G691" s="3" t="s">
        <v>1611</v>
      </c>
    </row>
    <row r="692" spans="1:7" x14ac:dyDescent="0.25">
      <c r="A692" s="3" t="s">
        <v>960</v>
      </c>
      <c r="B692" s="14" t="s">
        <v>745</v>
      </c>
      <c r="C692" s="14" t="s">
        <v>746</v>
      </c>
      <c r="E692" s="14" t="str">
        <f t="shared" si="10"/>
        <v>173_A_A</v>
      </c>
      <c r="G692" s="3" t="s">
        <v>1611</v>
      </c>
    </row>
    <row r="693" spans="1:7" x14ac:dyDescent="0.25">
      <c r="A693" s="3" t="s">
        <v>960</v>
      </c>
      <c r="B693" s="14" t="s">
        <v>745</v>
      </c>
      <c r="C693" s="14" t="s">
        <v>746</v>
      </c>
      <c r="E693" s="14" t="str">
        <f t="shared" si="10"/>
        <v>173_A_A</v>
      </c>
      <c r="G693" s="3" t="s">
        <v>1611</v>
      </c>
    </row>
    <row r="694" spans="1:7" x14ac:dyDescent="0.25">
      <c r="A694" s="3" t="s">
        <v>960</v>
      </c>
      <c r="B694" s="14" t="s">
        <v>745</v>
      </c>
      <c r="C694" s="14" t="s">
        <v>746</v>
      </c>
      <c r="E694" s="14" t="str">
        <f t="shared" si="10"/>
        <v>173_A_A</v>
      </c>
      <c r="G694" s="3" t="s">
        <v>1611</v>
      </c>
    </row>
    <row r="695" spans="1:7" x14ac:dyDescent="0.25">
      <c r="A695" s="3" t="s">
        <v>961</v>
      </c>
      <c r="B695" t="s">
        <v>745</v>
      </c>
      <c r="C695" t="s">
        <v>747</v>
      </c>
      <c r="E695" s="14" t="str">
        <f t="shared" si="10"/>
        <v>173_B_B</v>
      </c>
      <c r="G695" s="3" t="s">
        <v>961</v>
      </c>
    </row>
    <row r="696" spans="1:7" x14ac:dyDescent="0.25">
      <c r="A696" s="3" t="s">
        <v>961</v>
      </c>
      <c r="B696" s="14" t="s">
        <v>745</v>
      </c>
      <c r="C696" s="14" t="s">
        <v>747</v>
      </c>
      <c r="E696" s="14" t="str">
        <f t="shared" si="10"/>
        <v>173_B_B</v>
      </c>
      <c r="G696" s="3" t="s">
        <v>961</v>
      </c>
    </row>
    <row r="697" spans="1:7" x14ac:dyDescent="0.25">
      <c r="A697" s="3" t="s">
        <v>961</v>
      </c>
      <c r="B697" s="14" t="s">
        <v>745</v>
      </c>
      <c r="C697" s="14" t="s">
        <v>747</v>
      </c>
      <c r="E697" s="14" t="str">
        <f t="shared" si="10"/>
        <v>173_B_B</v>
      </c>
      <c r="G697" s="3" t="s">
        <v>961</v>
      </c>
    </row>
    <row r="698" spans="1:7" x14ac:dyDescent="0.25">
      <c r="A698" s="3" t="s">
        <v>961</v>
      </c>
      <c r="B698" s="14" t="s">
        <v>745</v>
      </c>
      <c r="C698" s="14" t="s">
        <v>747</v>
      </c>
      <c r="E698" s="14" t="str">
        <f t="shared" si="10"/>
        <v>173_B_B</v>
      </c>
      <c r="G698" s="3" t="s">
        <v>961</v>
      </c>
    </row>
    <row r="699" spans="1:7" x14ac:dyDescent="0.25">
      <c r="A699" s="3" t="s">
        <v>961</v>
      </c>
      <c r="B699" s="14" t="s">
        <v>745</v>
      </c>
      <c r="C699" s="14" t="s">
        <v>747</v>
      </c>
      <c r="E699" s="14" t="str">
        <f t="shared" si="10"/>
        <v>173_B_B</v>
      </c>
      <c r="G699" s="3" t="s">
        <v>961</v>
      </c>
    </row>
    <row r="700" spans="1:7" x14ac:dyDescent="0.25">
      <c r="A700" s="3" t="s">
        <v>961</v>
      </c>
      <c r="B700" s="14" t="s">
        <v>745</v>
      </c>
      <c r="C700" s="14" t="s">
        <v>747</v>
      </c>
      <c r="E700" s="14" t="str">
        <f t="shared" si="10"/>
        <v>173_B_B</v>
      </c>
      <c r="G700" s="3" t="s">
        <v>961</v>
      </c>
    </row>
    <row r="701" spans="1:7" x14ac:dyDescent="0.25">
      <c r="A701" s="3" t="s">
        <v>961</v>
      </c>
      <c r="B701" s="14" t="s">
        <v>745</v>
      </c>
      <c r="C701" s="14" t="s">
        <v>747</v>
      </c>
      <c r="E701" s="14" t="str">
        <f t="shared" si="10"/>
        <v>173_B_B</v>
      </c>
      <c r="G701" s="3" t="s">
        <v>961</v>
      </c>
    </row>
    <row r="702" spans="1:7" x14ac:dyDescent="0.25">
      <c r="A702" s="3" t="s">
        <v>961</v>
      </c>
      <c r="B702" s="14" t="s">
        <v>745</v>
      </c>
      <c r="C702" s="14" t="s">
        <v>747</v>
      </c>
      <c r="E702" s="14" t="str">
        <f t="shared" si="10"/>
        <v>173_B_B</v>
      </c>
      <c r="G702" s="3" t="s">
        <v>961</v>
      </c>
    </row>
    <row r="703" spans="1:7" x14ac:dyDescent="0.25">
      <c r="A703" s="3" t="s">
        <v>961</v>
      </c>
      <c r="B703" s="14" t="s">
        <v>745</v>
      </c>
      <c r="C703" s="14" t="s">
        <v>747</v>
      </c>
      <c r="E703" s="14" t="str">
        <f t="shared" si="10"/>
        <v>173_B_B</v>
      </c>
      <c r="G703" s="3" t="s">
        <v>961</v>
      </c>
    </row>
    <row r="704" spans="1:7" x14ac:dyDescent="0.25">
      <c r="A704" s="3" t="s">
        <v>961</v>
      </c>
      <c r="B704" s="14" t="s">
        <v>745</v>
      </c>
      <c r="C704" s="14" t="s">
        <v>747</v>
      </c>
      <c r="E704" s="14" t="str">
        <f t="shared" si="10"/>
        <v>173_B_B</v>
      </c>
      <c r="G704" s="3" t="s">
        <v>1612</v>
      </c>
    </row>
    <row r="705" spans="1:7" x14ac:dyDescent="0.25">
      <c r="A705" s="3" t="s">
        <v>961</v>
      </c>
      <c r="B705" s="14" t="s">
        <v>745</v>
      </c>
      <c r="C705" s="14" t="s">
        <v>747</v>
      </c>
      <c r="E705" s="14" t="str">
        <f t="shared" si="10"/>
        <v>173_B_B</v>
      </c>
      <c r="G705" s="3" t="s">
        <v>1612</v>
      </c>
    </row>
    <row r="706" spans="1:7" x14ac:dyDescent="0.25">
      <c r="A706" s="3" t="s">
        <v>961</v>
      </c>
      <c r="B706" s="14" t="s">
        <v>745</v>
      </c>
      <c r="C706" s="14" t="s">
        <v>747</v>
      </c>
      <c r="E706" s="14" t="str">
        <f t="shared" ref="E706:E769" si="11">A706&amp;B706&amp;C706</f>
        <v>173_B_B</v>
      </c>
      <c r="G706" s="3" t="s">
        <v>1612</v>
      </c>
    </row>
    <row r="707" spans="1:7" x14ac:dyDescent="0.25">
      <c r="A707" s="3" t="s">
        <v>961</v>
      </c>
      <c r="B707" s="14" t="s">
        <v>745</v>
      </c>
      <c r="C707" s="14" t="s">
        <v>747</v>
      </c>
      <c r="E707" s="14" t="str">
        <f t="shared" si="11"/>
        <v>173_B_B</v>
      </c>
      <c r="G707" s="3" t="s">
        <v>1612</v>
      </c>
    </row>
    <row r="708" spans="1:7" x14ac:dyDescent="0.25">
      <c r="A708" s="3" t="s">
        <v>961</v>
      </c>
      <c r="B708" s="14" t="s">
        <v>745</v>
      </c>
      <c r="C708" s="14" t="s">
        <v>747</v>
      </c>
      <c r="E708" s="14" t="str">
        <f t="shared" si="11"/>
        <v>173_B_B</v>
      </c>
      <c r="G708" s="3" t="s">
        <v>1612</v>
      </c>
    </row>
    <row r="709" spans="1:7" x14ac:dyDescent="0.25">
      <c r="A709" s="3" t="s">
        <v>961</v>
      </c>
      <c r="B709" s="14" t="s">
        <v>745</v>
      </c>
      <c r="C709" s="14" t="s">
        <v>747</v>
      </c>
      <c r="E709" s="14" t="str">
        <f t="shared" si="11"/>
        <v>173_B_B</v>
      </c>
      <c r="G709" s="3" t="s">
        <v>1612</v>
      </c>
    </row>
    <row r="710" spans="1:7" x14ac:dyDescent="0.25">
      <c r="A710" s="3" t="s">
        <v>961</v>
      </c>
      <c r="B710" s="14" t="s">
        <v>745</v>
      </c>
      <c r="C710" s="14" t="s">
        <v>747</v>
      </c>
      <c r="E710" s="14" t="str">
        <f t="shared" si="11"/>
        <v>173_B_B</v>
      </c>
      <c r="G710" s="3" t="s">
        <v>1612</v>
      </c>
    </row>
    <row r="711" spans="1:7" x14ac:dyDescent="0.25">
      <c r="A711" s="3" t="s">
        <v>961</v>
      </c>
      <c r="B711" s="14" t="s">
        <v>745</v>
      </c>
      <c r="C711" s="14" t="s">
        <v>747</v>
      </c>
      <c r="E711" s="14" t="str">
        <f t="shared" si="11"/>
        <v>173_B_B</v>
      </c>
      <c r="G711" s="3" t="s">
        <v>1612</v>
      </c>
    </row>
    <row r="712" spans="1:7" x14ac:dyDescent="0.25">
      <c r="A712" s="3" t="s">
        <v>752</v>
      </c>
      <c r="E712" s="14" t="str">
        <f t="shared" si="11"/>
        <v>1</v>
      </c>
      <c r="G712" s="3" t="s">
        <v>752</v>
      </c>
    </row>
    <row r="713" spans="1:7" x14ac:dyDescent="0.25">
      <c r="A713" s="3" t="s">
        <v>933</v>
      </c>
      <c r="E713" s="14" t="str">
        <f t="shared" si="11"/>
        <v>174</v>
      </c>
      <c r="G713" s="3" t="s">
        <v>933</v>
      </c>
    </row>
    <row r="714" spans="1:7" x14ac:dyDescent="0.25">
      <c r="A714" s="3" t="s">
        <v>933</v>
      </c>
      <c r="E714" s="14" t="str">
        <f t="shared" si="11"/>
        <v>174</v>
      </c>
      <c r="G714" s="3" t="s">
        <v>933</v>
      </c>
    </row>
    <row r="715" spans="1:7" x14ac:dyDescent="0.25">
      <c r="A715" s="3" t="s">
        <v>933</v>
      </c>
      <c r="E715" s="14" t="str">
        <f t="shared" si="11"/>
        <v>174</v>
      </c>
      <c r="G715" s="3" t="s">
        <v>933</v>
      </c>
    </row>
    <row r="716" spans="1:7" x14ac:dyDescent="0.25">
      <c r="A716" s="3" t="s">
        <v>933</v>
      </c>
      <c r="E716" s="14" t="str">
        <f t="shared" si="11"/>
        <v>174</v>
      </c>
      <c r="G716" s="3" t="s">
        <v>933</v>
      </c>
    </row>
    <row r="717" spans="1:7" x14ac:dyDescent="0.25">
      <c r="A717" s="3" t="s">
        <v>933</v>
      </c>
      <c r="E717" s="14" t="str">
        <f t="shared" si="11"/>
        <v>174</v>
      </c>
      <c r="G717" s="3" t="s">
        <v>933</v>
      </c>
    </row>
    <row r="718" spans="1:7" x14ac:dyDescent="0.25">
      <c r="A718" s="3" t="s">
        <v>933</v>
      </c>
      <c r="E718" s="14" t="str">
        <f t="shared" si="11"/>
        <v>174</v>
      </c>
      <c r="G718" s="3" t="s">
        <v>933</v>
      </c>
    </row>
    <row r="719" spans="1:7" x14ac:dyDescent="0.25">
      <c r="A719" s="3" t="s">
        <v>933</v>
      </c>
      <c r="E719" s="14" t="str">
        <f t="shared" si="11"/>
        <v>174</v>
      </c>
      <c r="G719" s="3" t="s">
        <v>1613</v>
      </c>
    </row>
    <row r="720" spans="1:7" x14ac:dyDescent="0.25">
      <c r="A720" s="3" t="s">
        <v>933</v>
      </c>
      <c r="E720" s="14" t="str">
        <f t="shared" si="11"/>
        <v>174</v>
      </c>
      <c r="G720" s="3" t="s">
        <v>1613</v>
      </c>
    </row>
    <row r="721" spans="1:7" x14ac:dyDescent="0.25">
      <c r="A721" s="3" t="s">
        <v>933</v>
      </c>
      <c r="E721" s="14" t="str">
        <f t="shared" si="11"/>
        <v>174</v>
      </c>
      <c r="G721" s="3" t="s">
        <v>1613</v>
      </c>
    </row>
    <row r="722" spans="1:7" x14ac:dyDescent="0.25">
      <c r="A722" s="3" t="s">
        <v>933</v>
      </c>
      <c r="E722" s="14" t="str">
        <f t="shared" si="11"/>
        <v>174</v>
      </c>
      <c r="G722" s="3" t="s">
        <v>1613</v>
      </c>
    </row>
    <row r="723" spans="1:7" x14ac:dyDescent="0.25">
      <c r="A723" s="3" t="s">
        <v>933</v>
      </c>
      <c r="E723" s="14" t="str">
        <f t="shared" si="11"/>
        <v>174</v>
      </c>
      <c r="G723" s="3" t="s">
        <v>1613</v>
      </c>
    </row>
    <row r="724" spans="1:7" x14ac:dyDescent="0.25">
      <c r="A724" s="3" t="s">
        <v>752</v>
      </c>
      <c r="E724" s="14" t="str">
        <f t="shared" si="11"/>
        <v>1</v>
      </c>
      <c r="G724" s="3" t="s">
        <v>752</v>
      </c>
    </row>
    <row r="725" spans="1:7" x14ac:dyDescent="0.25">
      <c r="A725" s="3" t="s">
        <v>934</v>
      </c>
      <c r="E725" s="14" t="str">
        <f t="shared" si="11"/>
        <v>175</v>
      </c>
      <c r="G725" s="3" t="s">
        <v>934</v>
      </c>
    </row>
    <row r="726" spans="1:7" x14ac:dyDescent="0.25">
      <c r="A726" s="3" t="s">
        <v>934</v>
      </c>
      <c r="E726" s="14" t="str">
        <f t="shared" si="11"/>
        <v>175</v>
      </c>
      <c r="G726" s="3" t="s">
        <v>934</v>
      </c>
    </row>
    <row r="727" spans="1:7" x14ac:dyDescent="0.25">
      <c r="A727" s="3" t="s">
        <v>934</v>
      </c>
      <c r="E727" s="14" t="str">
        <f t="shared" si="11"/>
        <v>175</v>
      </c>
      <c r="G727" s="3" t="s">
        <v>934</v>
      </c>
    </row>
    <row r="728" spans="1:7" x14ac:dyDescent="0.25">
      <c r="A728" s="3" t="s">
        <v>934</v>
      </c>
      <c r="E728" s="14" t="str">
        <f t="shared" si="11"/>
        <v>175</v>
      </c>
      <c r="G728" s="3" t="s">
        <v>934</v>
      </c>
    </row>
    <row r="729" spans="1:7" x14ac:dyDescent="0.25">
      <c r="A729" s="3" t="s">
        <v>934</v>
      </c>
      <c r="E729" s="14" t="str">
        <f t="shared" si="11"/>
        <v>175</v>
      </c>
      <c r="G729" s="3" t="s">
        <v>934</v>
      </c>
    </row>
    <row r="730" spans="1:7" x14ac:dyDescent="0.25">
      <c r="A730" s="3" t="s">
        <v>934</v>
      </c>
      <c r="E730" s="14" t="str">
        <f t="shared" si="11"/>
        <v>175</v>
      </c>
      <c r="G730" s="3" t="s">
        <v>934</v>
      </c>
    </row>
    <row r="731" spans="1:7" x14ac:dyDescent="0.25">
      <c r="A731" s="3" t="s">
        <v>934</v>
      </c>
      <c r="E731" s="14" t="str">
        <f t="shared" si="11"/>
        <v>175</v>
      </c>
      <c r="G731" s="3" t="s">
        <v>1614</v>
      </c>
    </row>
    <row r="732" spans="1:7" x14ac:dyDescent="0.25">
      <c r="A732" s="3" t="s">
        <v>934</v>
      </c>
      <c r="E732" s="14" t="str">
        <f t="shared" si="11"/>
        <v>175</v>
      </c>
      <c r="G732" s="3" t="s">
        <v>1614</v>
      </c>
    </row>
    <row r="733" spans="1:7" x14ac:dyDescent="0.25">
      <c r="A733" s="3" t="s">
        <v>934</v>
      </c>
      <c r="E733" s="14" t="str">
        <f t="shared" si="11"/>
        <v>175</v>
      </c>
      <c r="G733" s="3" t="s">
        <v>1614</v>
      </c>
    </row>
    <row r="734" spans="1:7" x14ac:dyDescent="0.25">
      <c r="A734" s="3" t="s">
        <v>934</v>
      </c>
      <c r="E734" s="14" t="str">
        <f t="shared" si="11"/>
        <v>175</v>
      </c>
      <c r="G734" s="3" t="s">
        <v>1614</v>
      </c>
    </row>
    <row r="735" spans="1:7" x14ac:dyDescent="0.25">
      <c r="A735" s="3" t="s">
        <v>962</v>
      </c>
      <c r="E735" s="14" t="str">
        <f t="shared" si="11"/>
        <v>201</v>
      </c>
      <c r="G735" s="3" t="s">
        <v>962</v>
      </c>
    </row>
    <row r="736" spans="1:7" x14ac:dyDescent="0.25">
      <c r="A736" s="3" t="s">
        <v>963</v>
      </c>
      <c r="E736" s="14" t="str">
        <f t="shared" si="11"/>
        <v>202</v>
      </c>
      <c r="G736" s="3" t="s">
        <v>963</v>
      </c>
    </row>
    <row r="737" spans="1:7" x14ac:dyDescent="0.25">
      <c r="A737" s="3" t="s">
        <v>935</v>
      </c>
      <c r="E737" s="14" t="str">
        <f t="shared" si="11"/>
        <v>176</v>
      </c>
      <c r="G737" s="3" t="s">
        <v>935</v>
      </c>
    </row>
    <row r="738" spans="1:7" x14ac:dyDescent="0.25">
      <c r="A738" s="3" t="s">
        <v>936</v>
      </c>
      <c r="E738" s="14" t="str">
        <f t="shared" si="11"/>
        <v>177</v>
      </c>
      <c r="G738" s="3" t="s">
        <v>936</v>
      </c>
    </row>
    <row r="739" spans="1:7" x14ac:dyDescent="0.25">
      <c r="A739" s="3" t="s">
        <v>937</v>
      </c>
      <c r="E739" s="14" t="str">
        <f t="shared" si="11"/>
        <v>178</v>
      </c>
      <c r="G739" s="3" t="s">
        <v>937</v>
      </c>
    </row>
    <row r="740" spans="1:7" x14ac:dyDescent="0.25">
      <c r="A740" s="3" t="s">
        <v>938</v>
      </c>
      <c r="E740" s="14" t="str">
        <f t="shared" si="11"/>
        <v>179</v>
      </c>
      <c r="G740" s="3" t="s">
        <v>938</v>
      </c>
    </row>
    <row r="741" spans="1:7" x14ac:dyDescent="0.25">
      <c r="A741" s="3" t="s">
        <v>939</v>
      </c>
      <c r="E741" s="14" t="str">
        <f t="shared" si="11"/>
        <v>180</v>
      </c>
      <c r="G741" s="3" t="s">
        <v>939</v>
      </c>
    </row>
    <row r="742" spans="1:7" x14ac:dyDescent="0.25">
      <c r="A742" s="3" t="s">
        <v>940</v>
      </c>
      <c r="E742" s="14" t="str">
        <f t="shared" si="11"/>
        <v>181</v>
      </c>
      <c r="G742" s="3" t="s">
        <v>940</v>
      </c>
    </row>
    <row r="743" spans="1:7" x14ac:dyDescent="0.25">
      <c r="A743" s="3" t="s">
        <v>941</v>
      </c>
      <c r="E743" s="14" t="str">
        <f t="shared" si="11"/>
        <v>182</v>
      </c>
      <c r="G743" s="3" t="s">
        <v>941</v>
      </c>
    </row>
    <row r="744" spans="1:7" x14ac:dyDescent="0.25">
      <c r="A744" s="3" t="s">
        <v>942</v>
      </c>
      <c r="E744" s="14" t="str">
        <f t="shared" si="11"/>
        <v>183</v>
      </c>
      <c r="G744" s="3" t="s">
        <v>942</v>
      </c>
    </row>
    <row r="745" spans="1:7" x14ac:dyDescent="0.25">
      <c r="A745" s="3" t="s">
        <v>943</v>
      </c>
      <c r="E745" s="14" t="str">
        <f t="shared" si="11"/>
        <v>184</v>
      </c>
      <c r="G745" s="3" t="s">
        <v>943</v>
      </c>
    </row>
    <row r="746" spans="1:7" x14ac:dyDescent="0.25">
      <c r="A746" s="3" t="s">
        <v>944</v>
      </c>
      <c r="E746" s="14" t="str">
        <f t="shared" si="11"/>
        <v>185</v>
      </c>
      <c r="G746" s="3" t="s">
        <v>944</v>
      </c>
    </row>
    <row r="747" spans="1:7" x14ac:dyDescent="0.25">
      <c r="A747" s="3" t="s">
        <v>945</v>
      </c>
      <c r="E747" s="14" t="str">
        <f t="shared" si="11"/>
        <v>186</v>
      </c>
      <c r="G747" s="3" t="s">
        <v>945</v>
      </c>
    </row>
    <row r="748" spans="1:7" x14ac:dyDescent="0.25">
      <c r="A748" s="3" t="s">
        <v>946</v>
      </c>
      <c r="E748" s="14" t="str">
        <f t="shared" si="11"/>
        <v>187</v>
      </c>
      <c r="G748" s="3" t="s">
        <v>946</v>
      </c>
    </row>
    <row r="749" spans="1:7" x14ac:dyDescent="0.25">
      <c r="A749" s="3" t="s">
        <v>947</v>
      </c>
      <c r="E749" s="14" t="str">
        <f t="shared" si="11"/>
        <v>188</v>
      </c>
      <c r="G749" s="3" t="s">
        <v>947</v>
      </c>
    </row>
    <row r="750" spans="1:7" x14ac:dyDescent="0.25">
      <c r="A750" s="3" t="s">
        <v>948</v>
      </c>
      <c r="E750" s="14" t="str">
        <f t="shared" si="11"/>
        <v>189</v>
      </c>
      <c r="G750" s="3" t="s">
        <v>948</v>
      </c>
    </row>
    <row r="751" spans="1:7" x14ac:dyDescent="0.25">
      <c r="A751" s="3" t="s">
        <v>949</v>
      </c>
      <c r="E751" s="14" t="str">
        <f t="shared" si="11"/>
        <v>190</v>
      </c>
      <c r="G751" s="3" t="s">
        <v>949</v>
      </c>
    </row>
    <row r="752" spans="1:7" x14ac:dyDescent="0.25">
      <c r="A752" s="3" t="s">
        <v>950</v>
      </c>
      <c r="E752" s="14" t="str">
        <f t="shared" si="11"/>
        <v>191</v>
      </c>
      <c r="G752" s="3" t="s">
        <v>950</v>
      </c>
    </row>
    <row r="753" spans="1:7" x14ac:dyDescent="0.25">
      <c r="A753" s="3" t="s">
        <v>951</v>
      </c>
      <c r="E753" s="14" t="str">
        <f t="shared" si="11"/>
        <v>192</v>
      </c>
      <c r="G753" s="3" t="s">
        <v>951</v>
      </c>
    </row>
    <row r="754" spans="1:7" x14ac:dyDescent="0.25">
      <c r="A754" s="3" t="s">
        <v>952</v>
      </c>
      <c r="E754" s="14" t="str">
        <f t="shared" si="11"/>
        <v>193</v>
      </c>
      <c r="G754" s="3" t="s">
        <v>952</v>
      </c>
    </row>
    <row r="755" spans="1:7" x14ac:dyDescent="0.25">
      <c r="A755" s="3" t="s">
        <v>954</v>
      </c>
      <c r="E755" s="14" t="str">
        <f t="shared" si="11"/>
        <v>195</v>
      </c>
      <c r="G755" s="3" t="s">
        <v>954</v>
      </c>
    </row>
    <row r="756" spans="1:7" x14ac:dyDescent="0.25">
      <c r="A756" s="3" t="s">
        <v>956</v>
      </c>
      <c r="E756" s="14" t="str">
        <f t="shared" si="11"/>
        <v>197</v>
      </c>
      <c r="G756" s="3" t="s">
        <v>956</v>
      </c>
    </row>
    <row r="757" spans="1:7" x14ac:dyDescent="0.25">
      <c r="A757" s="3" t="s">
        <v>956</v>
      </c>
      <c r="E757" s="14" t="str">
        <f t="shared" si="11"/>
        <v>197</v>
      </c>
      <c r="G757" s="3" t="s">
        <v>956</v>
      </c>
    </row>
    <row r="758" spans="1:7" x14ac:dyDescent="0.25">
      <c r="A758" s="3" t="s">
        <v>957</v>
      </c>
      <c r="E758" s="14" t="str">
        <f t="shared" si="11"/>
        <v>198</v>
      </c>
      <c r="G758" s="3" t="s">
        <v>957</v>
      </c>
    </row>
    <row r="759" spans="1:7" x14ac:dyDescent="0.25">
      <c r="A759" s="3" t="s">
        <v>957</v>
      </c>
      <c r="E759" s="14" t="str">
        <f t="shared" si="11"/>
        <v>198</v>
      </c>
      <c r="G759" s="3" t="s">
        <v>957</v>
      </c>
    </row>
    <row r="760" spans="1:7" x14ac:dyDescent="0.25">
      <c r="A760" s="3" t="s">
        <v>958</v>
      </c>
      <c r="E760" s="14" t="str">
        <f t="shared" si="11"/>
        <v>199</v>
      </c>
      <c r="G760" s="3" t="s">
        <v>958</v>
      </c>
    </row>
    <row r="761" spans="1:7" x14ac:dyDescent="0.25">
      <c r="A761" s="3" t="s">
        <v>958</v>
      </c>
      <c r="E761" s="14" t="str">
        <f t="shared" si="11"/>
        <v>199</v>
      </c>
      <c r="G761" s="3" t="s">
        <v>958</v>
      </c>
    </row>
    <row r="762" spans="1:7" x14ac:dyDescent="0.25">
      <c r="A762" s="3" t="s">
        <v>958</v>
      </c>
      <c r="E762" s="14" t="str">
        <f t="shared" si="11"/>
        <v>199</v>
      </c>
      <c r="G762" s="3" t="s">
        <v>958</v>
      </c>
    </row>
    <row r="763" spans="1:7" x14ac:dyDescent="0.25">
      <c r="A763" s="3" t="s">
        <v>958</v>
      </c>
      <c r="E763" s="14" t="str">
        <f t="shared" si="11"/>
        <v>199</v>
      </c>
      <c r="G763" s="3" t="s">
        <v>958</v>
      </c>
    </row>
    <row r="764" spans="1:7" x14ac:dyDescent="0.25">
      <c r="A764" s="3" t="s">
        <v>958</v>
      </c>
      <c r="E764" s="14" t="str">
        <f t="shared" si="11"/>
        <v>199</v>
      </c>
      <c r="G764" s="3" t="s">
        <v>958</v>
      </c>
    </row>
    <row r="765" spans="1:7" x14ac:dyDescent="0.25">
      <c r="A765" s="3" t="s">
        <v>958</v>
      </c>
      <c r="E765" s="14" t="str">
        <f t="shared" si="11"/>
        <v>199</v>
      </c>
      <c r="G765" s="3" t="s">
        <v>958</v>
      </c>
    </row>
    <row r="766" spans="1:7" x14ac:dyDescent="0.25">
      <c r="A766" s="3" t="s">
        <v>958</v>
      </c>
      <c r="E766" s="14" t="str">
        <f t="shared" si="11"/>
        <v>199</v>
      </c>
      <c r="G766" s="3" t="s">
        <v>958</v>
      </c>
    </row>
    <row r="767" spans="1:7" x14ac:dyDescent="0.25">
      <c r="A767" s="3" t="s">
        <v>958</v>
      </c>
      <c r="E767" s="14" t="str">
        <f t="shared" si="11"/>
        <v>199</v>
      </c>
      <c r="G767" s="3" t="s">
        <v>958</v>
      </c>
    </row>
    <row r="768" spans="1:7" x14ac:dyDescent="0.25">
      <c r="A768" s="3" t="s">
        <v>958</v>
      </c>
      <c r="E768" s="14" t="str">
        <f t="shared" si="11"/>
        <v>199</v>
      </c>
      <c r="G768" s="3" t="s">
        <v>958</v>
      </c>
    </row>
    <row r="769" spans="1:7" x14ac:dyDescent="0.25">
      <c r="A769" s="3" t="s">
        <v>959</v>
      </c>
      <c r="E769" s="14" t="str">
        <f t="shared" si="11"/>
        <v>200</v>
      </c>
      <c r="G769" s="3" t="s">
        <v>959</v>
      </c>
    </row>
    <row r="770" spans="1:7" x14ac:dyDescent="0.25">
      <c r="A770" s="3" t="s">
        <v>959</v>
      </c>
      <c r="E770" s="14" t="str">
        <f t="shared" ref="E770:E833" si="12">A770&amp;B770&amp;C770</f>
        <v>200</v>
      </c>
      <c r="G770" s="3" t="s">
        <v>959</v>
      </c>
    </row>
    <row r="771" spans="1:7" x14ac:dyDescent="0.25">
      <c r="A771" s="3" t="s">
        <v>959</v>
      </c>
      <c r="E771" s="14" t="str">
        <f t="shared" si="12"/>
        <v>200</v>
      </c>
      <c r="G771" s="3" t="s">
        <v>959</v>
      </c>
    </row>
    <row r="772" spans="1:7" x14ac:dyDescent="0.25">
      <c r="A772" s="3" t="s">
        <v>959</v>
      </c>
      <c r="E772" s="14" t="str">
        <f t="shared" si="12"/>
        <v>200</v>
      </c>
      <c r="G772" s="3" t="s">
        <v>959</v>
      </c>
    </row>
    <row r="773" spans="1:7" x14ac:dyDescent="0.25">
      <c r="A773" s="3" t="s">
        <v>959</v>
      </c>
      <c r="E773" s="14" t="str">
        <f t="shared" si="12"/>
        <v>200</v>
      </c>
      <c r="G773" s="3" t="s">
        <v>959</v>
      </c>
    </row>
    <row r="774" spans="1:7" x14ac:dyDescent="0.25">
      <c r="A774" s="3" t="s">
        <v>959</v>
      </c>
      <c r="E774" s="14" t="str">
        <f t="shared" si="12"/>
        <v>200</v>
      </c>
      <c r="G774" s="3" t="s">
        <v>959</v>
      </c>
    </row>
    <row r="775" spans="1:7" x14ac:dyDescent="0.25">
      <c r="A775" s="3" t="s">
        <v>959</v>
      </c>
      <c r="E775" s="14" t="str">
        <f t="shared" si="12"/>
        <v>200</v>
      </c>
      <c r="G775" s="3" t="s">
        <v>959</v>
      </c>
    </row>
    <row r="776" spans="1:7" x14ac:dyDescent="0.25">
      <c r="A776" s="3" t="s">
        <v>959</v>
      </c>
      <c r="E776" s="14" t="str">
        <f t="shared" si="12"/>
        <v>200</v>
      </c>
      <c r="G776" s="3" t="s">
        <v>959</v>
      </c>
    </row>
    <row r="777" spans="1:7" x14ac:dyDescent="0.25">
      <c r="A777" s="3" t="s">
        <v>959</v>
      </c>
      <c r="E777" s="14" t="str">
        <f t="shared" si="12"/>
        <v>200</v>
      </c>
      <c r="G777" s="3" t="s">
        <v>959</v>
      </c>
    </row>
    <row r="778" spans="1:7" x14ac:dyDescent="0.25">
      <c r="A778" s="3" t="s">
        <v>959</v>
      </c>
      <c r="E778" s="14" t="str">
        <f t="shared" si="12"/>
        <v>200</v>
      </c>
      <c r="G778" s="3" t="s">
        <v>1615</v>
      </c>
    </row>
    <row r="779" spans="1:7" x14ac:dyDescent="0.25">
      <c r="A779" s="3" t="s">
        <v>959</v>
      </c>
      <c r="E779" s="14" t="str">
        <f t="shared" si="12"/>
        <v>200</v>
      </c>
      <c r="G779" s="3" t="s">
        <v>1615</v>
      </c>
    </row>
    <row r="780" spans="1:7" x14ac:dyDescent="0.25">
      <c r="A780" s="3" t="s">
        <v>959</v>
      </c>
      <c r="E780" s="14" t="str">
        <f t="shared" si="12"/>
        <v>200</v>
      </c>
      <c r="G780" s="3" t="s">
        <v>1615</v>
      </c>
    </row>
    <row r="781" spans="1:7" x14ac:dyDescent="0.25">
      <c r="A781" s="3" t="s">
        <v>959</v>
      </c>
      <c r="E781" s="14" t="str">
        <f t="shared" si="12"/>
        <v>200</v>
      </c>
      <c r="G781" s="3" t="s">
        <v>1615</v>
      </c>
    </row>
    <row r="782" spans="1:7" x14ac:dyDescent="0.25">
      <c r="A782" s="3" t="s">
        <v>962</v>
      </c>
      <c r="E782" s="14" t="str">
        <f t="shared" si="12"/>
        <v>201</v>
      </c>
      <c r="G782" s="3" t="s">
        <v>962</v>
      </c>
    </row>
    <row r="783" spans="1:7" x14ac:dyDescent="0.25">
      <c r="A783" s="3" t="s">
        <v>963</v>
      </c>
      <c r="E783" s="14" t="str">
        <f t="shared" si="12"/>
        <v>202</v>
      </c>
      <c r="G783" s="3" t="s">
        <v>963</v>
      </c>
    </row>
    <row r="784" spans="1:7" x14ac:dyDescent="0.25">
      <c r="A784" s="3" t="s">
        <v>964</v>
      </c>
      <c r="E784" s="14" t="str">
        <f t="shared" si="12"/>
        <v>203</v>
      </c>
      <c r="G784" s="3" t="s">
        <v>964</v>
      </c>
    </row>
    <row r="785" spans="1:7" x14ac:dyDescent="0.25">
      <c r="A785" s="3" t="s">
        <v>965</v>
      </c>
      <c r="E785" s="14" t="str">
        <f t="shared" si="12"/>
        <v>204</v>
      </c>
      <c r="G785" s="3" t="s">
        <v>965</v>
      </c>
    </row>
    <row r="786" spans="1:7" x14ac:dyDescent="0.25">
      <c r="A786" s="3" t="s">
        <v>752</v>
      </c>
      <c r="E786" s="14" t="str">
        <f t="shared" si="12"/>
        <v>1</v>
      </c>
      <c r="G786" s="3" t="s">
        <v>752</v>
      </c>
    </row>
    <row r="787" spans="1:7" x14ac:dyDescent="0.25">
      <c r="A787" s="3" t="s">
        <v>934</v>
      </c>
      <c r="E787" s="14" t="str">
        <f t="shared" si="12"/>
        <v>175</v>
      </c>
      <c r="G787" s="3" t="s">
        <v>934</v>
      </c>
    </row>
    <row r="788" spans="1:7" x14ac:dyDescent="0.25">
      <c r="A788" s="3" t="s">
        <v>934</v>
      </c>
      <c r="E788" s="14" t="str">
        <f t="shared" si="12"/>
        <v>175</v>
      </c>
      <c r="G788" s="3" t="s">
        <v>934</v>
      </c>
    </row>
    <row r="789" spans="1:7" x14ac:dyDescent="0.25">
      <c r="A789" s="3" t="s">
        <v>934</v>
      </c>
      <c r="E789" s="14" t="str">
        <f t="shared" si="12"/>
        <v>175</v>
      </c>
      <c r="G789" s="3" t="s">
        <v>934</v>
      </c>
    </row>
    <row r="790" spans="1:7" x14ac:dyDescent="0.25">
      <c r="A790" s="3" t="s">
        <v>934</v>
      </c>
      <c r="E790" s="14" t="str">
        <f t="shared" si="12"/>
        <v>175</v>
      </c>
      <c r="G790" s="3" t="s">
        <v>934</v>
      </c>
    </row>
    <row r="791" spans="1:7" x14ac:dyDescent="0.25">
      <c r="A791" s="3" t="s">
        <v>934</v>
      </c>
      <c r="E791" s="14" t="str">
        <f t="shared" si="12"/>
        <v>175</v>
      </c>
      <c r="G791" s="3" t="s">
        <v>934</v>
      </c>
    </row>
    <row r="792" spans="1:7" x14ac:dyDescent="0.25">
      <c r="A792" s="3" t="s">
        <v>934</v>
      </c>
      <c r="E792" s="14" t="str">
        <f t="shared" si="12"/>
        <v>175</v>
      </c>
      <c r="G792" s="3" t="s">
        <v>934</v>
      </c>
    </row>
    <row r="793" spans="1:7" x14ac:dyDescent="0.25">
      <c r="A793" s="3" t="s">
        <v>934</v>
      </c>
      <c r="E793" s="14" t="str">
        <f t="shared" si="12"/>
        <v>175</v>
      </c>
      <c r="G793" s="3" t="s">
        <v>1614</v>
      </c>
    </row>
    <row r="794" spans="1:7" x14ac:dyDescent="0.25">
      <c r="A794" s="3" t="s">
        <v>934</v>
      </c>
      <c r="E794" s="14" t="str">
        <f t="shared" si="12"/>
        <v>175</v>
      </c>
      <c r="G794" s="3" t="s">
        <v>1614</v>
      </c>
    </row>
    <row r="795" spans="1:7" x14ac:dyDescent="0.25">
      <c r="A795" s="3" t="s">
        <v>934</v>
      </c>
      <c r="E795" s="14" t="str">
        <f t="shared" si="12"/>
        <v>175</v>
      </c>
      <c r="G795" s="3" t="s">
        <v>1614</v>
      </c>
    </row>
    <row r="796" spans="1:7" x14ac:dyDescent="0.25">
      <c r="A796" s="3" t="s">
        <v>934</v>
      </c>
      <c r="E796" s="14" t="str">
        <f t="shared" si="12"/>
        <v>175</v>
      </c>
      <c r="G796" s="3" t="s">
        <v>1614</v>
      </c>
    </row>
    <row r="797" spans="1:7" x14ac:dyDescent="0.25">
      <c r="A797" s="3" t="s">
        <v>962</v>
      </c>
      <c r="E797" s="14" t="str">
        <f t="shared" si="12"/>
        <v>201</v>
      </c>
      <c r="G797" s="3" t="s">
        <v>962</v>
      </c>
    </row>
    <row r="798" spans="1:7" x14ac:dyDescent="0.25">
      <c r="A798" s="3" t="s">
        <v>963</v>
      </c>
      <c r="E798" s="14" t="str">
        <f t="shared" si="12"/>
        <v>202</v>
      </c>
      <c r="G798" s="3" t="s">
        <v>963</v>
      </c>
    </row>
    <row r="799" spans="1:7" x14ac:dyDescent="0.25">
      <c r="A799" s="3" t="s">
        <v>935</v>
      </c>
      <c r="E799" s="14" t="str">
        <f t="shared" si="12"/>
        <v>176</v>
      </c>
      <c r="G799" s="3" t="s">
        <v>935</v>
      </c>
    </row>
    <row r="800" spans="1:7" x14ac:dyDescent="0.25">
      <c r="A800" s="3" t="s">
        <v>936</v>
      </c>
      <c r="E800" s="14" t="str">
        <f t="shared" si="12"/>
        <v>177</v>
      </c>
      <c r="G800" s="3" t="s">
        <v>936</v>
      </c>
    </row>
    <row r="801" spans="1:7" x14ac:dyDescent="0.25">
      <c r="A801" s="3" t="s">
        <v>937</v>
      </c>
      <c r="E801" s="14" t="str">
        <f t="shared" si="12"/>
        <v>178</v>
      </c>
      <c r="G801" s="3" t="s">
        <v>937</v>
      </c>
    </row>
    <row r="802" spans="1:7" x14ac:dyDescent="0.25">
      <c r="A802" s="3" t="s">
        <v>938</v>
      </c>
      <c r="E802" s="14" t="str">
        <f t="shared" si="12"/>
        <v>179</v>
      </c>
      <c r="G802" s="3" t="s">
        <v>938</v>
      </c>
    </row>
    <row r="803" spans="1:7" x14ac:dyDescent="0.25">
      <c r="A803" s="3" t="s">
        <v>939</v>
      </c>
      <c r="E803" s="14" t="str">
        <f t="shared" si="12"/>
        <v>180</v>
      </c>
      <c r="G803" s="3" t="s">
        <v>939</v>
      </c>
    </row>
    <row r="804" spans="1:7" x14ac:dyDescent="0.25">
      <c r="A804" s="3" t="s">
        <v>940</v>
      </c>
      <c r="E804" s="14" t="str">
        <f t="shared" si="12"/>
        <v>181</v>
      </c>
      <c r="G804" s="3" t="s">
        <v>940</v>
      </c>
    </row>
    <row r="805" spans="1:7" x14ac:dyDescent="0.25">
      <c r="A805" s="3" t="s">
        <v>941</v>
      </c>
      <c r="E805" s="14" t="str">
        <f t="shared" si="12"/>
        <v>182</v>
      </c>
      <c r="G805" s="3" t="s">
        <v>941</v>
      </c>
    </row>
    <row r="806" spans="1:7" x14ac:dyDescent="0.25">
      <c r="A806" s="3" t="s">
        <v>942</v>
      </c>
      <c r="E806" s="14" t="str">
        <f t="shared" si="12"/>
        <v>183</v>
      </c>
      <c r="G806" s="3" t="s">
        <v>942</v>
      </c>
    </row>
    <row r="807" spans="1:7" x14ac:dyDescent="0.25">
      <c r="A807" s="3" t="s">
        <v>943</v>
      </c>
      <c r="E807" s="14" t="str">
        <f t="shared" si="12"/>
        <v>184</v>
      </c>
      <c r="G807" s="3" t="s">
        <v>943</v>
      </c>
    </row>
    <row r="808" spans="1:7" x14ac:dyDescent="0.25">
      <c r="A808" s="3" t="s">
        <v>944</v>
      </c>
      <c r="E808" s="14" t="str">
        <f t="shared" si="12"/>
        <v>185</v>
      </c>
      <c r="G808" s="3" t="s">
        <v>944</v>
      </c>
    </row>
    <row r="809" spans="1:7" x14ac:dyDescent="0.25">
      <c r="A809" s="3" t="s">
        <v>945</v>
      </c>
      <c r="E809" s="14" t="str">
        <f t="shared" si="12"/>
        <v>186</v>
      </c>
      <c r="G809" s="3" t="s">
        <v>945</v>
      </c>
    </row>
    <row r="810" spans="1:7" x14ac:dyDescent="0.25">
      <c r="A810" s="3" t="s">
        <v>946</v>
      </c>
      <c r="E810" s="14" t="str">
        <f t="shared" si="12"/>
        <v>187</v>
      </c>
      <c r="G810" s="3" t="s">
        <v>946</v>
      </c>
    </row>
    <row r="811" spans="1:7" x14ac:dyDescent="0.25">
      <c r="A811" s="3" t="s">
        <v>947</v>
      </c>
      <c r="E811" s="14" t="str">
        <f t="shared" si="12"/>
        <v>188</v>
      </c>
      <c r="G811" s="3" t="s">
        <v>947</v>
      </c>
    </row>
    <row r="812" spans="1:7" x14ac:dyDescent="0.25">
      <c r="A812" s="3" t="s">
        <v>948</v>
      </c>
      <c r="E812" s="14" t="str">
        <f t="shared" si="12"/>
        <v>189</v>
      </c>
      <c r="G812" s="3" t="s">
        <v>948</v>
      </c>
    </row>
    <row r="813" spans="1:7" x14ac:dyDescent="0.25">
      <c r="A813" s="3" t="s">
        <v>949</v>
      </c>
      <c r="E813" s="14" t="str">
        <f t="shared" si="12"/>
        <v>190</v>
      </c>
      <c r="G813" s="3" t="s">
        <v>949</v>
      </c>
    </row>
    <row r="814" spans="1:7" x14ac:dyDescent="0.25">
      <c r="A814" s="3" t="s">
        <v>950</v>
      </c>
      <c r="E814" s="14" t="str">
        <f t="shared" si="12"/>
        <v>191</v>
      </c>
      <c r="G814" s="3" t="s">
        <v>950</v>
      </c>
    </row>
    <row r="815" spans="1:7" x14ac:dyDescent="0.25">
      <c r="A815" s="3" t="s">
        <v>951</v>
      </c>
      <c r="E815" s="14" t="str">
        <f t="shared" si="12"/>
        <v>192</v>
      </c>
      <c r="G815" s="3" t="s">
        <v>951</v>
      </c>
    </row>
    <row r="816" spans="1:7" x14ac:dyDescent="0.25">
      <c r="A816" s="3" t="s">
        <v>952</v>
      </c>
      <c r="E816" s="14" t="str">
        <f t="shared" si="12"/>
        <v>193</v>
      </c>
      <c r="G816" s="3" t="s">
        <v>952</v>
      </c>
    </row>
    <row r="817" spans="1:7" x14ac:dyDescent="0.25">
      <c r="A817" s="3" t="s">
        <v>954</v>
      </c>
      <c r="E817" s="14" t="str">
        <f t="shared" si="12"/>
        <v>195</v>
      </c>
      <c r="G817" s="3" t="s">
        <v>954</v>
      </c>
    </row>
    <row r="818" spans="1:7" x14ac:dyDescent="0.25">
      <c r="A818" s="3" t="s">
        <v>956</v>
      </c>
      <c r="E818" s="14" t="str">
        <f t="shared" si="12"/>
        <v>197</v>
      </c>
      <c r="G818" s="3" t="s">
        <v>956</v>
      </c>
    </row>
    <row r="819" spans="1:7" x14ac:dyDescent="0.25">
      <c r="A819" s="3" t="s">
        <v>956</v>
      </c>
      <c r="E819" s="14" t="str">
        <f t="shared" si="12"/>
        <v>197</v>
      </c>
      <c r="G819" s="3" t="s">
        <v>956</v>
      </c>
    </row>
    <row r="820" spans="1:7" x14ac:dyDescent="0.25">
      <c r="A820" s="3" t="s">
        <v>957</v>
      </c>
      <c r="E820" s="14" t="str">
        <f t="shared" si="12"/>
        <v>198</v>
      </c>
      <c r="G820" s="3" t="s">
        <v>957</v>
      </c>
    </row>
    <row r="821" spans="1:7" x14ac:dyDescent="0.25">
      <c r="A821" s="3" t="s">
        <v>957</v>
      </c>
      <c r="E821" s="14" t="str">
        <f t="shared" si="12"/>
        <v>198</v>
      </c>
      <c r="G821" s="3" t="s">
        <v>957</v>
      </c>
    </row>
    <row r="822" spans="1:7" x14ac:dyDescent="0.25">
      <c r="A822" s="3" t="s">
        <v>958</v>
      </c>
      <c r="E822" s="14" t="str">
        <f t="shared" si="12"/>
        <v>199</v>
      </c>
      <c r="G822" s="3" t="s">
        <v>958</v>
      </c>
    </row>
    <row r="823" spans="1:7" x14ac:dyDescent="0.25">
      <c r="A823" s="3" t="s">
        <v>958</v>
      </c>
      <c r="E823" s="14" t="str">
        <f t="shared" si="12"/>
        <v>199</v>
      </c>
      <c r="G823" s="3" t="s">
        <v>958</v>
      </c>
    </row>
    <row r="824" spans="1:7" x14ac:dyDescent="0.25">
      <c r="A824" s="3" t="s">
        <v>958</v>
      </c>
      <c r="E824" s="14" t="str">
        <f t="shared" si="12"/>
        <v>199</v>
      </c>
      <c r="G824" s="3" t="s">
        <v>958</v>
      </c>
    </row>
    <row r="825" spans="1:7" x14ac:dyDescent="0.25">
      <c r="A825" s="3" t="s">
        <v>958</v>
      </c>
      <c r="E825" s="14" t="str">
        <f t="shared" si="12"/>
        <v>199</v>
      </c>
      <c r="G825" s="3" t="s">
        <v>958</v>
      </c>
    </row>
    <row r="826" spans="1:7" x14ac:dyDescent="0.25">
      <c r="A826" s="3" t="s">
        <v>958</v>
      </c>
      <c r="E826" s="14" t="str">
        <f t="shared" si="12"/>
        <v>199</v>
      </c>
      <c r="G826" s="3" t="s">
        <v>958</v>
      </c>
    </row>
    <row r="827" spans="1:7" x14ac:dyDescent="0.25">
      <c r="A827" s="3" t="s">
        <v>958</v>
      </c>
      <c r="E827" s="14" t="str">
        <f t="shared" si="12"/>
        <v>199</v>
      </c>
      <c r="G827" s="3" t="s">
        <v>958</v>
      </c>
    </row>
    <row r="828" spans="1:7" x14ac:dyDescent="0.25">
      <c r="A828" s="3" t="s">
        <v>958</v>
      </c>
      <c r="E828" s="14" t="str">
        <f t="shared" si="12"/>
        <v>199</v>
      </c>
      <c r="G828" s="3" t="s">
        <v>958</v>
      </c>
    </row>
    <row r="829" spans="1:7" x14ac:dyDescent="0.25">
      <c r="A829" s="3" t="s">
        <v>958</v>
      </c>
      <c r="E829" s="14" t="str">
        <f t="shared" si="12"/>
        <v>199</v>
      </c>
      <c r="G829" s="3" t="s">
        <v>958</v>
      </c>
    </row>
    <row r="830" spans="1:7" x14ac:dyDescent="0.25">
      <c r="A830" s="3" t="s">
        <v>958</v>
      </c>
      <c r="E830" s="14" t="str">
        <f t="shared" si="12"/>
        <v>199</v>
      </c>
      <c r="G830" s="3" t="s">
        <v>958</v>
      </c>
    </row>
    <row r="831" spans="1:7" x14ac:dyDescent="0.25">
      <c r="A831" s="3" t="s">
        <v>959</v>
      </c>
      <c r="E831" s="14" t="str">
        <f t="shared" si="12"/>
        <v>200</v>
      </c>
      <c r="G831" s="3" t="s">
        <v>959</v>
      </c>
    </row>
    <row r="832" spans="1:7" x14ac:dyDescent="0.25">
      <c r="A832" s="3" t="s">
        <v>959</v>
      </c>
      <c r="E832" s="14" t="str">
        <f t="shared" si="12"/>
        <v>200</v>
      </c>
      <c r="G832" s="3" t="s">
        <v>959</v>
      </c>
    </row>
    <row r="833" spans="1:7" x14ac:dyDescent="0.25">
      <c r="A833" s="3" t="s">
        <v>959</v>
      </c>
      <c r="E833" s="14" t="str">
        <f t="shared" si="12"/>
        <v>200</v>
      </c>
      <c r="G833" s="3" t="s">
        <v>959</v>
      </c>
    </row>
    <row r="834" spans="1:7" x14ac:dyDescent="0.25">
      <c r="A834" s="3" t="s">
        <v>959</v>
      </c>
      <c r="E834" s="14" t="str">
        <f t="shared" ref="E834:E897" si="13">A834&amp;B834&amp;C834</f>
        <v>200</v>
      </c>
      <c r="G834" s="3" t="s">
        <v>959</v>
      </c>
    </row>
    <row r="835" spans="1:7" x14ac:dyDescent="0.25">
      <c r="A835" s="3" t="s">
        <v>959</v>
      </c>
      <c r="E835" s="14" t="str">
        <f t="shared" si="13"/>
        <v>200</v>
      </c>
      <c r="G835" s="3" t="s">
        <v>959</v>
      </c>
    </row>
    <row r="836" spans="1:7" x14ac:dyDescent="0.25">
      <c r="A836" s="3" t="s">
        <v>959</v>
      </c>
      <c r="E836" s="14" t="str">
        <f t="shared" si="13"/>
        <v>200</v>
      </c>
      <c r="G836" s="3" t="s">
        <v>959</v>
      </c>
    </row>
    <row r="837" spans="1:7" x14ac:dyDescent="0.25">
      <c r="A837" s="3" t="s">
        <v>959</v>
      </c>
      <c r="E837" s="14" t="str">
        <f t="shared" si="13"/>
        <v>200</v>
      </c>
      <c r="G837" s="3" t="s">
        <v>1615</v>
      </c>
    </row>
    <row r="838" spans="1:7" x14ac:dyDescent="0.25">
      <c r="A838" s="3" t="s">
        <v>959</v>
      </c>
      <c r="E838" s="14" t="str">
        <f t="shared" si="13"/>
        <v>200</v>
      </c>
      <c r="G838" s="3" t="s">
        <v>1615</v>
      </c>
    </row>
    <row r="839" spans="1:7" x14ac:dyDescent="0.25">
      <c r="A839" s="3" t="s">
        <v>959</v>
      </c>
      <c r="E839" s="14" t="str">
        <f t="shared" si="13"/>
        <v>200</v>
      </c>
      <c r="G839" s="3" t="s">
        <v>1615</v>
      </c>
    </row>
    <row r="840" spans="1:7" x14ac:dyDescent="0.25">
      <c r="A840" s="3" t="s">
        <v>959</v>
      </c>
      <c r="E840" s="14" t="str">
        <f t="shared" si="13"/>
        <v>200</v>
      </c>
      <c r="G840" s="3" t="s">
        <v>1615</v>
      </c>
    </row>
    <row r="841" spans="1:7" x14ac:dyDescent="0.25">
      <c r="A841" s="3" t="s">
        <v>959</v>
      </c>
      <c r="E841" s="14" t="str">
        <f t="shared" si="13"/>
        <v>200</v>
      </c>
      <c r="G841" s="3" t="s">
        <v>1615</v>
      </c>
    </row>
    <row r="842" spans="1:7" x14ac:dyDescent="0.25">
      <c r="A842" s="3" t="s">
        <v>959</v>
      </c>
      <c r="E842" s="14" t="str">
        <f t="shared" si="13"/>
        <v>200</v>
      </c>
      <c r="G842" s="3" t="s">
        <v>1615</v>
      </c>
    </row>
    <row r="843" spans="1:7" x14ac:dyDescent="0.25">
      <c r="A843" s="3" t="s">
        <v>959</v>
      </c>
      <c r="E843" s="14" t="str">
        <f t="shared" si="13"/>
        <v>200</v>
      </c>
      <c r="G843" s="3" t="s">
        <v>1615</v>
      </c>
    </row>
    <row r="844" spans="1:7" x14ac:dyDescent="0.25">
      <c r="A844" s="3" t="s">
        <v>962</v>
      </c>
      <c r="E844" s="14" t="str">
        <f t="shared" si="13"/>
        <v>201</v>
      </c>
      <c r="G844" s="3" t="s">
        <v>962</v>
      </c>
    </row>
    <row r="845" spans="1:7" x14ac:dyDescent="0.25">
      <c r="A845" s="3" t="s">
        <v>963</v>
      </c>
      <c r="E845" s="14" t="str">
        <f t="shared" si="13"/>
        <v>202</v>
      </c>
      <c r="G845" s="3" t="s">
        <v>963</v>
      </c>
    </row>
    <row r="846" spans="1:7" x14ac:dyDescent="0.25">
      <c r="A846" s="3" t="s">
        <v>964</v>
      </c>
      <c r="E846" s="14" t="str">
        <f t="shared" si="13"/>
        <v>203</v>
      </c>
      <c r="G846" s="3" t="s">
        <v>964</v>
      </c>
    </row>
    <row r="847" spans="1:7" x14ac:dyDescent="0.25">
      <c r="A847" s="3" t="s">
        <v>965</v>
      </c>
      <c r="E847" s="14" t="str">
        <f t="shared" si="13"/>
        <v>204</v>
      </c>
      <c r="G847" s="3" t="s">
        <v>965</v>
      </c>
    </row>
    <row r="848" spans="1:7" x14ac:dyDescent="0.25">
      <c r="A848" s="3" t="s">
        <v>752</v>
      </c>
      <c r="E848" s="14" t="str">
        <f t="shared" si="13"/>
        <v>1</v>
      </c>
      <c r="G848" s="3" t="s">
        <v>752</v>
      </c>
    </row>
    <row r="849" spans="1:7" x14ac:dyDescent="0.25">
      <c r="A849" s="3" t="s">
        <v>934</v>
      </c>
      <c r="E849" s="14" t="str">
        <f t="shared" si="13"/>
        <v>175</v>
      </c>
      <c r="G849" s="3" t="s">
        <v>934</v>
      </c>
    </row>
    <row r="850" spans="1:7" x14ac:dyDescent="0.25">
      <c r="A850" s="3" t="s">
        <v>934</v>
      </c>
      <c r="E850" s="14" t="str">
        <f t="shared" si="13"/>
        <v>175</v>
      </c>
      <c r="G850" s="3" t="s">
        <v>934</v>
      </c>
    </row>
    <row r="851" spans="1:7" x14ac:dyDescent="0.25">
      <c r="A851" s="3" t="s">
        <v>934</v>
      </c>
      <c r="E851" s="14" t="str">
        <f t="shared" si="13"/>
        <v>175</v>
      </c>
      <c r="G851" s="3" t="s">
        <v>934</v>
      </c>
    </row>
    <row r="852" spans="1:7" x14ac:dyDescent="0.25">
      <c r="A852" s="3" t="s">
        <v>934</v>
      </c>
      <c r="E852" s="14" t="str">
        <f t="shared" si="13"/>
        <v>175</v>
      </c>
      <c r="G852" s="3" t="s">
        <v>934</v>
      </c>
    </row>
    <row r="853" spans="1:7" x14ac:dyDescent="0.25">
      <c r="A853" s="3" t="s">
        <v>934</v>
      </c>
      <c r="E853" s="14" t="str">
        <f t="shared" si="13"/>
        <v>175</v>
      </c>
      <c r="G853" s="3" t="s">
        <v>934</v>
      </c>
    </row>
    <row r="854" spans="1:7" x14ac:dyDescent="0.25">
      <c r="A854" s="3" t="s">
        <v>934</v>
      </c>
      <c r="E854" s="14" t="str">
        <f t="shared" si="13"/>
        <v>175</v>
      </c>
      <c r="G854" s="3" t="s">
        <v>934</v>
      </c>
    </row>
    <row r="855" spans="1:7" x14ac:dyDescent="0.25">
      <c r="A855" s="3" t="s">
        <v>934</v>
      </c>
      <c r="E855" s="14" t="str">
        <f t="shared" si="13"/>
        <v>175</v>
      </c>
      <c r="G855" s="3" t="s">
        <v>934</v>
      </c>
    </row>
    <row r="856" spans="1:7" x14ac:dyDescent="0.25">
      <c r="A856" s="3" t="s">
        <v>934</v>
      </c>
      <c r="E856" s="14" t="str">
        <f t="shared" si="13"/>
        <v>175</v>
      </c>
      <c r="G856" s="3" t="s">
        <v>1614</v>
      </c>
    </row>
    <row r="857" spans="1:7" x14ac:dyDescent="0.25">
      <c r="A857" s="3" t="s">
        <v>934</v>
      </c>
      <c r="E857" s="14" t="str">
        <f t="shared" si="13"/>
        <v>175</v>
      </c>
      <c r="G857" s="3" t="s">
        <v>1614</v>
      </c>
    </row>
    <row r="858" spans="1:7" x14ac:dyDescent="0.25">
      <c r="A858" s="3" t="s">
        <v>934</v>
      </c>
      <c r="E858" s="14" t="str">
        <f t="shared" si="13"/>
        <v>175</v>
      </c>
      <c r="G858" s="3" t="s">
        <v>1614</v>
      </c>
    </row>
    <row r="859" spans="1:7" x14ac:dyDescent="0.25">
      <c r="A859" s="3" t="s">
        <v>934</v>
      </c>
      <c r="E859" s="14" t="str">
        <f t="shared" si="13"/>
        <v>175</v>
      </c>
      <c r="G859" s="3" t="s">
        <v>1614</v>
      </c>
    </row>
    <row r="860" spans="1:7" x14ac:dyDescent="0.25">
      <c r="A860" s="3" t="s">
        <v>935</v>
      </c>
      <c r="E860" s="14" t="str">
        <f t="shared" si="13"/>
        <v>176</v>
      </c>
      <c r="G860" s="3" t="s">
        <v>935</v>
      </c>
    </row>
    <row r="861" spans="1:7" x14ac:dyDescent="0.25">
      <c r="A861" s="3" t="s">
        <v>935</v>
      </c>
      <c r="E861" s="14" t="str">
        <f t="shared" si="13"/>
        <v>176</v>
      </c>
      <c r="G861" s="3" t="s">
        <v>935</v>
      </c>
    </row>
    <row r="862" spans="1:7" x14ac:dyDescent="0.25">
      <c r="A862" s="3" t="s">
        <v>935</v>
      </c>
      <c r="E862" s="14" t="str">
        <f t="shared" si="13"/>
        <v>176</v>
      </c>
      <c r="G862" s="3" t="s">
        <v>935</v>
      </c>
    </row>
    <row r="863" spans="1:7" x14ac:dyDescent="0.25">
      <c r="A863" s="3" t="s">
        <v>936</v>
      </c>
      <c r="E863" s="14" t="str">
        <f t="shared" si="13"/>
        <v>177</v>
      </c>
      <c r="G863" s="3" t="s">
        <v>936</v>
      </c>
    </row>
    <row r="864" spans="1:7" x14ac:dyDescent="0.25">
      <c r="A864" s="3" t="s">
        <v>936</v>
      </c>
      <c r="E864" s="14" t="str">
        <f t="shared" si="13"/>
        <v>177</v>
      </c>
      <c r="G864" s="3" t="s">
        <v>936</v>
      </c>
    </row>
    <row r="865" spans="1:7" x14ac:dyDescent="0.25">
      <c r="A865" s="3" t="s">
        <v>936</v>
      </c>
      <c r="E865" s="14" t="str">
        <f t="shared" si="13"/>
        <v>177</v>
      </c>
      <c r="G865" s="3" t="s">
        <v>936</v>
      </c>
    </row>
    <row r="866" spans="1:7" x14ac:dyDescent="0.25">
      <c r="A866" s="3" t="s">
        <v>936</v>
      </c>
      <c r="E866" s="14" t="str">
        <f t="shared" si="13"/>
        <v>177</v>
      </c>
      <c r="G866" s="3" t="s">
        <v>936</v>
      </c>
    </row>
    <row r="867" spans="1:7" x14ac:dyDescent="0.25">
      <c r="A867" s="3" t="s">
        <v>936</v>
      </c>
      <c r="E867" s="14" t="str">
        <f t="shared" si="13"/>
        <v>177</v>
      </c>
      <c r="G867" s="3" t="s">
        <v>936</v>
      </c>
    </row>
    <row r="868" spans="1:7" x14ac:dyDescent="0.25">
      <c r="A868" s="3" t="s">
        <v>936</v>
      </c>
      <c r="E868" s="14" t="str">
        <f t="shared" si="13"/>
        <v>177</v>
      </c>
      <c r="G868" s="3" t="s">
        <v>936</v>
      </c>
    </row>
    <row r="869" spans="1:7" x14ac:dyDescent="0.25">
      <c r="A869" s="3" t="s">
        <v>936</v>
      </c>
      <c r="E869" s="14" t="str">
        <f t="shared" si="13"/>
        <v>177</v>
      </c>
      <c r="G869" s="3" t="s">
        <v>936</v>
      </c>
    </row>
    <row r="870" spans="1:7" x14ac:dyDescent="0.25">
      <c r="A870" s="3" t="s">
        <v>936</v>
      </c>
      <c r="E870" s="14" t="str">
        <f t="shared" si="13"/>
        <v>177</v>
      </c>
      <c r="G870" s="3" t="s">
        <v>936</v>
      </c>
    </row>
    <row r="871" spans="1:7" x14ac:dyDescent="0.25">
      <c r="A871" s="3" t="s">
        <v>936</v>
      </c>
      <c r="E871" s="14" t="str">
        <f t="shared" si="13"/>
        <v>177</v>
      </c>
      <c r="G871" s="3" t="s">
        <v>936</v>
      </c>
    </row>
    <row r="872" spans="1:7" x14ac:dyDescent="0.25">
      <c r="A872" s="3" t="s">
        <v>937</v>
      </c>
      <c r="E872" s="14" t="str">
        <f t="shared" si="13"/>
        <v>178</v>
      </c>
      <c r="G872" s="3" t="s">
        <v>937</v>
      </c>
    </row>
    <row r="873" spans="1:7" x14ac:dyDescent="0.25">
      <c r="A873" s="3" t="s">
        <v>937</v>
      </c>
      <c r="E873" s="14" t="str">
        <f t="shared" si="13"/>
        <v>178</v>
      </c>
      <c r="G873" s="3" t="s">
        <v>937</v>
      </c>
    </row>
    <row r="874" spans="1:7" x14ac:dyDescent="0.25">
      <c r="A874" s="3" t="s">
        <v>937</v>
      </c>
      <c r="E874" s="14" t="str">
        <f t="shared" si="13"/>
        <v>178</v>
      </c>
      <c r="G874" s="3" t="s">
        <v>937</v>
      </c>
    </row>
    <row r="875" spans="1:7" x14ac:dyDescent="0.25">
      <c r="A875" s="3" t="s">
        <v>937</v>
      </c>
      <c r="E875" s="14" t="str">
        <f t="shared" si="13"/>
        <v>178</v>
      </c>
      <c r="G875" s="3" t="s">
        <v>937</v>
      </c>
    </row>
    <row r="876" spans="1:7" x14ac:dyDescent="0.25">
      <c r="A876" s="3" t="s">
        <v>937</v>
      </c>
      <c r="E876" s="14" t="str">
        <f t="shared" si="13"/>
        <v>178</v>
      </c>
      <c r="G876" s="3" t="s">
        <v>937</v>
      </c>
    </row>
    <row r="877" spans="1:7" x14ac:dyDescent="0.25">
      <c r="A877" s="3" t="s">
        <v>937</v>
      </c>
      <c r="E877" s="14" t="str">
        <f t="shared" si="13"/>
        <v>178</v>
      </c>
      <c r="G877" s="3" t="s">
        <v>937</v>
      </c>
    </row>
    <row r="878" spans="1:7" x14ac:dyDescent="0.25">
      <c r="A878" s="3" t="s">
        <v>937</v>
      </c>
      <c r="E878" s="14" t="str">
        <f t="shared" si="13"/>
        <v>178</v>
      </c>
      <c r="G878" s="3" t="s">
        <v>937</v>
      </c>
    </row>
    <row r="879" spans="1:7" x14ac:dyDescent="0.25">
      <c r="A879" s="3" t="s">
        <v>937</v>
      </c>
      <c r="E879" s="14" t="str">
        <f t="shared" si="13"/>
        <v>178</v>
      </c>
      <c r="G879" s="3" t="s">
        <v>937</v>
      </c>
    </row>
    <row r="880" spans="1:7" x14ac:dyDescent="0.25">
      <c r="A880" s="3" t="s">
        <v>937</v>
      </c>
      <c r="E880" s="14" t="str">
        <f t="shared" si="13"/>
        <v>178</v>
      </c>
      <c r="G880" s="3" t="s">
        <v>937</v>
      </c>
    </row>
    <row r="881" spans="1:7" x14ac:dyDescent="0.25">
      <c r="A881" s="3" t="s">
        <v>938</v>
      </c>
      <c r="E881" s="14" t="str">
        <f t="shared" si="13"/>
        <v>179</v>
      </c>
      <c r="G881" s="3" t="s">
        <v>938</v>
      </c>
    </row>
    <row r="882" spans="1:7" x14ac:dyDescent="0.25">
      <c r="A882" s="3" t="s">
        <v>938</v>
      </c>
      <c r="E882" s="14" t="str">
        <f t="shared" si="13"/>
        <v>179</v>
      </c>
      <c r="G882" s="3" t="s">
        <v>938</v>
      </c>
    </row>
    <row r="883" spans="1:7" x14ac:dyDescent="0.25">
      <c r="A883" s="3" t="s">
        <v>938</v>
      </c>
      <c r="E883" s="14" t="str">
        <f t="shared" si="13"/>
        <v>179</v>
      </c>
      <c r="G883" s="3" t="s">
        <v>938</v>
      </c>
    </row>
    <row r="884" spans="1:7" x14ac:dyDescent="0.25">
      <c r="A884" s="3" t="s">
        <v>938</v>
      </c>
      <c r="E884" s="14" t="str">
        <f t="shared" si="13"/>
        <v>179</v>
      </c>
      <c r="G884" s="3" t="s">
        <v>938</v>
      </c>
    </row>
    <row r="885" spans="1:7" x14ac:dyDescent="0.25">
      <c r="A885" s="3" t="s">
        <v>938</v>
      </c>
      <c r="E885" s="14" t="str">
        <f t="shared" si="13"/>
        <v>179</v>
      </c>
      <c r="G885" s="3" t="s">
        <v>938</v>
      </c>
    </row>
    <row r="886" spans="1:7" x14ac:dyDescent="0.25">
      <c r="A886" s="3" t="s">
        <v>938</v>
      </c>
      <c r="E886" s="14" t="str">
        <f t="shared" si="13"/>
        <v>179</v>
      </c>
      <c r="G886" s="3" t="s">
        <v>938</v>
      </c>
    </row>
    <row r="887" spans="1:7" x14ac:dyDescent="0.25">
      <c r="A887" s="3" t="s">
        <v>938</v>
      </c>
      <c r="E887" s="14" t="str">
        <f t="shared" si="13"/>
        <v>179</v>
      </c>
      <c r="G887" s="3" t="s">
        <v>938</v>
      </c>
    </row>
    <row r="888" spans="1:7" x14ac:dyDescent="0.25">
      <c r="A888" s="3" t="s">
        <v>938</v>
      </c>
      <c r="E888" s="14" t="str">
        <f t="shared" si="13"/>
        <v>179</v>
      </c>
      <c r="G888" s="3" t="s">
        <v>1618</v>
      </c>
    </row>
    <row r="889" spans="1:7" x14ac:dyDescent="0.25">
      <c r="A889" s="3" t="s">
        <v>938</v>
      </c>
      <c r="E889" s="14" t="str">
        <f t="shared" si="13"/>
        <v>179</v>
      </c>
      <c r="G889" s="3" t="s">
        <v>1618</v>
      </c>
    </row>
    <row r="890" spans="1:7" x14ac:dyDescent="0.25">
      <c r="A890" s="3" t="s">
        <v>938</v>
      </c>
      <c r="E890" s="14" t="str">
        <f t="shared" si="13"/>
        <v>179</v>
      </c>
      <c r="G890" s="3" t="s">
        <v>1618</v>
      </c>
    </row>
    <row r="891" spans="1:7" x14ac:dyDescent="0.25">
      <c r="A891" s="3" t="s">
        <v>938</v>
      </c>
      <c r="E891" s="14" t="str">
        <f t="shared" si="13"/>
        <v>179</v>
      </c>
      <c r="G891" s="3" t="s">
        <v>1618</v>
      </c>
    </row>
    <row r="892" spans="1:7" x14ac:dyDescent="0.25">
      <c r="A892" s="3" t="s">
        <v>938</v>
      </c>
      <c r="E892" s="14" t="str">
        <f t="shared" si="13"/>
        <v>179</v>
      </c>
      <c r="G892" s="3" t="s">
        <v>1618</v>
      </c>
    </row>
    <row r="893" spans="1:7" x14ac:dyDescent="0.25">
      <c r="A893" s="3" t="s">
        <v>938</v>
      </c>
      <c r="E893" s="14" t="str">
        <f t="shared" si="13"/>
        <v>179</v>
      </c>
      <c r="G893" s="3" t="s">
        <v>1618</v>
      </c>
    </row>
    <row r="894" spans="1:7" x14ac:dyDescent="0.25">
      <c r="A894" s="3" t="s">
        <v>939</v>
      </c>
      <c r="E894" s="14" t="str">
        <f t="shared" si="13"/>
        <v>180</v>
      </c>
      <c r="G894" s="3" t="s">
        <v>939</v>
      </c>
    </row>
    <row r="895" spans="1:7" x14ac:dyDescent="0.25">
      <c r="A895" s="3" t="s">
        <v>939</v>
      </c>
      <c r="E895" s="14" t="str">
        <f t="shared" si="13"/>
        <v>180</v>
      </c>
      <c r="G895" s="3" t="s">
        <v>939</v>
      </c>
    </row>
    <row r="896" spans="1:7" x14ac:dyDescent="0.25">
      <c r="A896" s="3" t="s">
        <v>939</v>
      </c>
      <c r="E896" s="14" t="str">
        <f t="shared" si="13"/>
        <v>180</v>
      </c>
      <c r="G896" s="3" t="s">
        <v>939</v>
      </c>
    </row>
    <row r="897" spans="1:7" x14ac:dyDescent="0.25">
      <c r="A897" s="3" t="s">
        <v>939</v>
      </c>
      <c r="E897" s="14" t="str">
        <f t="shared" si="13"/>
        <v>180</v>
      </c>
      <c r="G897" s="3" t="s">
        <v>939</v>
      </c>
    </row>
    <row r="898" spans="1:7" x14ac:dyDescent="0.25">
      <c r="A898" s="3" t="s">
        <v>939</v>
      </c>
      <c r="E898" s="14" t="str">
        <f t="shared" ref="E898:E961" si="14">A898&amp;B898&amp;C898</f>
        <v>180</v>
      </c>
      <c r="G898" s="3" t="s">
        <v>939</v>
      </c>
    </row>
    <row r="899" spans="1:7" x14ac:dyDescent="0.25">
      <c r="A899" s="3" t="s">
        <v>939</v>
      </c>
      <c r="E899" s="14" t="str">
        <f t="shared" si="14"/>
        <v>180</v>
      </c>
      <c r="G899" s="3" t="s">
        <v>939</v>
      </c>
    </row>
    <row r="900" spans="1:7" x14ac:dyDescent="0.25">
      <c r="A900" s="3" t="s">
        <v>939</v>
      </c>
      <c r="E900" s="14" t="str">
        <f t="shared" si="14"/>
        <v>180</v>
      </c>
      <c r="G900" s="3" t="s">
        <v>939</v>
      </c>
    </row>
    <row r="901" spans="1:7" x14ac:dyDescent="0.25">
      <c r="A901" s="3" t="s">
        <v>939</v>
      </c>
      <c r="E901" s="14" t="str">
        <f t="shared" si="14"/>
        <v>180</v>
      </c>
      <c r="G901" s="3" t="s">
        <v>1619</v>
      </c>
    </row>
    <row r="902" spans="1:7" x14ac:dyDescent="0.25">
      <c r="A902" s="3" t="s">
        <v>939</v>
      </c>
      <c r="E902" s="14" t="str">
        <f t="shared" si="14"/>
        <v>180</v>
      </c>
      <c r="G902" s="3" t="s">
        <v>1619</v>
      </c>
    </row>
    <row r="903" spans="1:7" x14ac:dyDescent="0.25">
      <c r="A903" s="3" t="s">
        <v>939</v>
      </c>
      <c r="E903" s="14" t="str">
        <f t="shared" si="14"/>
        <v>180</v>
      </c>
      <c r="G903" s="3" t="s">
        <v>1619</v>
      </c>
    </row>
    <row r="904" spans="1:7" x14ac:dyDescent="0.25">
      <c r="A904" s="3" t="s">
        <v>939</v>
      </c>
      <c r="E904" s="14" t="str">
        <f t="shared" si="14"/>
        <v>180</v>
      </c>
      <c r="G904" s="3" t="s">
        <v>1619</v>
      </c>
    </row>
    <row r="905" spans="1:7" x14ac:dyDescent="0.25">
      <c r="A905" s="3" t="s">
        <v>939</v>
      </c>
      <c r="E905" s="14" t="str">
        <f t="shared" si="14"/>
        <v>180</v>
      </c>
      <c r="G905" s="3" t="s">
        <v>1619</v>
      </c>
    </row>
    <row r="906" spans="1:7" x14ac:dyDescent="0.25">
      <c r="A906" s="3" t="s">
        <v>939</v>
      </c>
      <c r="E906" s="14" t="str">
        <f t="shared" si="14"/>
        <v>180</v>
      </c>
      <c r="G906" s="3" t="s">
        <v>1619</v>
      </c>
    </row>
    <row r="907" spans="1:7" x14ac:dyDescent="0.25">
      <c r="A907" s="3" t="s">
        <v>940</v>
      </c>
      <c r="E907" s="14" t="str">
        <f t="shared" si="14"/>
        <v>181</v>
      </c>
      <c r="G907" s="3" t="s">
        <v>940</v>
      </c>
    </row>
    <row r="908" spans="1:7" x14ac:dyDescent="0.25">
      <c r="A908" s="3" t="s">
        <v>940</v>
      </c>
      <c r="E908" s="14" t="str">
        <f t="shared" si="14"/>
        <v>181</v>
      </c>
      <c r="G908" s="3" t="s">
        <v>940</v>
      </c>
    </row>
    <row r="909" spans="1:7" x14ac:dyDescent="0.25">
      <c r="A909" s="3" t="s">
        <v>940</v>
      </c>
      <c r="E909" s="14" t="str">
        <f t="shared" si="14"/>
        <v>181</v>
      </c>
      <c r="G909" s="3" t="s">
        <v>940</v>
      </c>
    </row>
    <row r="910" spans="1:7" x14ac:dyDescent="0.25">
      <c r="A910" s="3" t="s">
        <v>940</v>
      </c>
      <c r="E910" s="14" t="str">
        <f t="shared" si="14"/>
        <v>181</v>
      </c>
      <c r="G910" s="3" t="s">
        <v>940</v>
      </c>
    </row>
    <row r="911" spans="1:7" x14ac:dyDescent="0.25">
      <c r="A911" s="3" t="s">
        <v>940</v>
      </c>
      <c r="E911" s="14" t="str">
        <f t="shared" si="14"/>
        <v>181</v>
      </c>
      <c r="G911" s="3" t="s">
        <v>940</v>
      </c>
    </row>
    <row r="912" spans="1:7" x14ac:dyDescent="0.25">
      <c r="A912" s="3" t="s">
        <v>940</v>
      </c>
      <c r="E912" s="14" t="str">
        <f t="shared" si="14"/>
        <v>181</v>
      </c>
      <c r="G912" s="3" t="s">
        <v>940</v>
      </c>
    </row>
    <row r="913" spans="1:7" x14ac:dyDescent="0.25">
      <c r="A913" s="3" t="s">
        <v>940</v>
      </c>
      <c r="E913" s="14" t="str">
        <f t="shared" si="14"/>
        <v>181</v>
      </c>
      <c r="G913" s="3" t="s">
        <v>940</v>
      </c>
    </row>
    <row r="914" spans="1:7" x14ac:dyDescent="0.25">
      <c r="A914" s="3" t="s">
        <v>940</v>
      </c>
      <c r="E914" s="14" t="str">
        <f t="shared" si="14"/>
        <v>181</v>
      </c>
      <c r="G914" s="3" t="s">
        <v>940</v>
      </c>
    </row>
    <row r="915" spans="1:7" x14ac:dyDescent="0.25">
      <c r="A915" s="3" t="s">
        <v>940</v>
      </c>
      <c r="E915" s="14" t="str">
        <f t="shared" si="14"/>
        <v>181</v>
      </c>
      <c r="G915" s="3" t="s">
        <v>940</v>
      </c>
    </row>
    <row r="916" spans="1:7" x14ac:dyDescent="0.25">
      <c r="A916" s="3" t="s">
        <v>941</v>
      </c>
      <c r="E916" s="14" t="str">
        <f t="shared" si="14"/>
        <v>182</v>
      </c>
      <c r="G916" s="3" t="s">
        <v>941</v>
      </c>
    </row>
    <row r="917" spans="1:7" x14ac:dyDescent="0.25">
      <c r="A917" s="3" t="s">
        <v>941</v>
      </c>
      <c r="E917" s="14" t="str">
        <f t="shared" si="14"/>
        <v>182</v>
      </c>
      <c r="G917" s="3" t="s">
        <v>941</v>
      </c>
    </row>
    <row r="918" spans="1:7" x14ac:dyDescent="0.25">
      <c r="A918" s="3" t="s">
        <v>941</v>
      </c>
      <c r="E918" s="14" t="str">
        <f t="shared" si="14"/>
        <v>182</v>
      </c>
      <c r="G918" s="3" t="s">
        <v>941</v>
      </c>
    </row>
    <row r="919" spans="1:7" x14ac:dyDescent="0.25">
      <c r="A919" s="3" t="s">
        <v>941</v>
      </c>
      <c r="E919" s="14" t="str">
        <f t="shared" si="14"/>
        <v>182</v>
      </c>
      <c r="G919" s="3" t="s">
        <v>941</v>
      </c>
    </row>
    <row r="920" spans="1:7" x14ac:dyDescent="0.25">
      <c r="A920" s="3" t="s">
        <v>941</v>
      </c>
      <c r="E920" s="14" t="str">
        <f t="shared" si="14"/>
        <v>182</v>
      </c>
      <c r="G920" s="3" t="s">
        <v>941</v>
      </c>
    </row>
    <row r="921" spans="1:7" x14ac:dyDescent="0.25">
      <c r="A921" s="3" t="s">
        <v>941</v>
      </c>
      <c r="E921" s="14" t="str">
        <f t="shared" si="14"/>
        <v>182</v>
      </c>
      <c r="G921" s="3" t="s">
        <v>941</v>
      </c>
    </row>
    <row r="922" spans="1:7" x14ac:dyDescent="0.25">
      <c r="A922" s="3" t="s">
        <v>941</v>
      </c>
      <c r="E922" s="14" t="str">
        <f t="shared" si="14"/>
        <v>182</v>
      </c>
      <c r="G922" s="3" t="s">
        <v>941</v>
      </c>
    </row>
    <row r="923" spans="1:7" x14ac:dyDescent="0.25">
      <c r="A923" s="3" t="s">
        <v>941</v>
      </c>
      <c r="E923" s="14" t="str">
        <f t="shared" si="14"/>
        <v>182</v>
      </c>
      <c r="G923" s="3" t="s">
        <v>941</v>
      </c>
    </row>
    <row r="924" spans="1:7" x14ac:dyDescent="0.25">
      <c r="A924" s="3" t="s">
        <v>941</v>
      </c>
      <c r="E924" s="14" t="str">
        <f t="shared" si="14"/>
        <v>182</v>
      </c>
      <c r="G924" s="3" t="s">
        <v>941</v>
      </c>
    </row>
    <row r="925" spans="1:7" x14ac:dyDescent="0.25">
      <c r="A925" s="3" t="s">
        <v>942</v>
      </c>
      <c r="E925" s="14" t="str">
        <f t="shared" si="14"/>
        <v>183</v>
      </c>
      <c r="G925" s="3" t="s">
        <v>942</v>
      </c>
    </row>
    <row r="926" spans="1:7" x14ac:dyDescent="0.25">
      <c r="A926" s="3" t="s">
        <v>943</v>
      </c>
      <c r="E926" s="14" t="str">
        <f t="shared" si="14"/>
        <v>184</v>
      </c>
      <c r="G926" s="3" t="s">
        <v>943</v>
      </c>
    </row>
    <row r="927" spans="1:7" x14ac:dyDescent="0.25">
      <c r="A927" s="3" t="s">
        <v>944</v>
      </c>
      <c r="E927" s="14" t="str">
        <f t="shared" si="14"/>
        <v>185</v>
      </c>
      <c r="G927" s="3" t="s">
        <v>944</v>
      </c>
    </row>
    <row r="928" spans="1:7" x14ac:dyDescent="0.25">
      <c r="A928" s="3" t="s">
        <v>945</v>
      </c>
      <c r="E928" s="14" t="str">
        <f t="shared" si="14"/>
        <v>186</v>
      </c>
      <c r="G928" s="3" t="s">
        <v>945</v>
      </c>
    </row>
    <row r="929" spans="1:7" x14ac:dyDescent="0.25">
      <c r="A929" s="3" t="s">
        <v>946</v>
      </c>
      <c r="E929" s="14" t="str">
        <f t="shared" si="14"/>
        <v>187</v>
      </c>
      <c r="G929" s="3" t="s">
        <v>946</v>
      </c>
    </row>
    <row r="930" spans="1:7" x14ac:dyDescent="0.25">
      <c r="A930" s="3" t="s">
        <v>946</v>
      </c>
      <c r="E930" s="14" t="str">
        <f t="shared" si="14"/>
        <v>187</v>
      </c>
      <c r="G930" s="3" t="s">
        <v>946</v>
      </c>
    </row>
    <row r="931" spans="1:7" x14ac:dyDescent="0.25">
      <c r="A931" s="3" t="s">
        <v>946</v>
      </c>
      <c r="E931" s="14" t="str">
        <f t="shared" si="14"/>
        <v>187</v>
      </c>
      <c r="G931" s="3" t="s">
        <v>946</v>
      </c>
    </row>
    <row r="932" spans="1:7" x14ac:dyDescent="0.25">
      <c r="A932" s="3" t="s">
        <v>946</v>
      </c>
      <c r="E932" s="14" t="str">
        <f t="shared" si="14"/>
        <v>187</v>
      </c>
      <c r="G932" s="3" t="s">
        <v>946</v>
      </c>
    </row>
    <row r="933" spans="1:7" x14ac:dyDescent="0.25">
      <c r="A933" s="3" t="s">
        <v>946</v>
      </c>
      <c r="E933" s="14" t="str">
        <f t="shared" si="14"/>
        <v>187</v>
      </c>
      <c r="G933" s="3" t="s">
        <v>946</v>
      </c>
    </row>
    <row r="934" spans="1:7" x14ac:dyDescent="0.25">
      <c r="A934" s="3" t="s">
        <v>946</v>
      </c>
      <c r="E934" s="14" t="str">
        <f t="shared" si="14"/>
        <v>187</v>
      </c>
      <c r="G934" s="3" t="s">
        <v>946</v>
      </c>
    </row>
    <row r="935" spans="1:7" x14ac:dyDescent="0.25">
      <c r="A935" s="3" t="s">
        <v>946</v>
      </c>
      <c r="E935" s="14" t="str">
        <f t="shared" si="14"/>
        <v>187</v>
      </c>
      <c r="G935" s="3" t="s">
        <v>946</v>
      </c>
    </row>
    <row r="936" spans="1:7" x14ac:dyDescent="0.25">
      <c r="A936" s="3" t="s">
        <v>946</v>
      </c>
      <c r="E936" s="14" t="str">
        <f t="shared" si="14"/>
        <v>187</v>
      </c>
      <c r="G936" s="3" t="s">
        <v>946</v>
      </c>
    </row>
    <row r="937" spans="1:7" x14ac:dyDescent="0.25">
      <c r="A937" s="3" t="s">
        <v>946</v>
      </c>
      <c r="E937" s="14" t="str">
        <f t="shared" si="14"/>
        <v>187</v>
      </c>
      <c r="G937" s="3" t="s">
        <v>946</v>
      </c>
    </row>
    <row r="938" spans="1:7" x14ac:dyDescent="0.25">
      <c r="A938" s="3" t="s">
        <v>946</v>
      </c>
      <c r="E938" s="14" t="str">
        <f t="shared" si="14"/>
        <v>187</v>
      </c>
      <c r="G938" s="3" t="s">
        <v>946</v>
      </c>
    </row>
    <row r="939" spans="1:7" x14ac:dyDescent="0.25">
      <c r="A939" s="3" t="s">
        <v>946</v>
      </c>
      <c r="E939" s="14" t="str">
        <f t="shared" si="14"/>
        <v>187</v>
      </c>
      <c r="G939" s="3" t="s">
        <v>946</v>
      </c>
    </row>
    <row r="940" spans="1:7" x14ac:dyDescent="0.25">
      <c r="A940" s="3" t="s">
        <v>753</v>
      </c>
      <c r="E940" s="14" t="str">
        <f t="shared" si="14"/>
        <v>2</v>
      </c>
      <c r="G940" s="3" t="s">
        <v>753</v>
      </c>
    </row>
    <row r="941" spans="1:7" x14ac:dyDescent="0.25">
      <c r="A941" s="3" t="s">
        <v>752</v>
      </c>
      <c r="E941" s="14" t="str">
        <f t="shared" si="14"/>
        <v>1</v>
      </c>
      <c r="G941" s="3" t="s">
        <v>752</v>
      </c>
    </row>
    <row r="942" spans="1:7" x14ac:dyDescent="0.25">
      <c r="A942" s="3" t="s">
        <v>752</v>
      </c>
      <c r="E942" s="14" t="str">
        <f t="shared" si="14"/>
        <v>1</v>
      </c>
      <c r="G942" s="3" t="s">
        <v>752</v>
      </c>
    </row>
    <row r="943" spans="1:7" x14ac:dyDescent="0.25">
      <c r="A943" s="3" t="s">
        <v>752</v>
      </c>
      <c r="E943" s="14" t="str">
        <f t="shared" si="14"/>
        <v>1</v>
      </c>
      <c r="G943" s="3" t="s">
        <v>752</v>
      </c>
    </row>
    <row r="944" spans="1:7" x14ac:dyDescent="0.25">
      <c r="A944" s="3" t="s">
        <v>752</v>
      </c>
      <c r="E944" s="14" t="str">
        <f t="shared" si="14"/>
        <v>1</v>
      </c>
      <c r="G944" s="3" t="s">
        <v>752</v>
      </c>
    </row>
    <row r="945" spans="1:7" x14ac:dyDescent="0.25">
      <c r="A945" s="3" t="s">
        <v>752</v>
      </c>
      <c r="E945" s="14" t="str">
        <f t="shared" si="14"/>
        <v>1</v>
      </c>
      <c r="G945" s="3" t="s">
        <v>752</v>
      </c>
    </row>
    <row r="946" spans="1:7" x14ac:dyDescent="0.25">
      <c r="A946" s="3" t="s">
        <v>752</v>
      </c>
      <c r="E946" s="14" t="str">
        <f t="shared" si="14"/>
        <v>1</v>
      </c>
      <c r="G946" s="3" t="s">
        <v>752</v>
      </c>
    </row>
    <row r="947" spans="1:7" x14ac:dyDescent="0.25">
      <c r="A947" s="3" t="s">
        <v>752</v>
      </c>
      <c r="E947" s="14" t="str">
        <f t="shared" si="14"/>
        <v>1</v>
      </c>
      <c r="G947" s="3" t="s">
        <v>752</v>
      </c>
    </row>
    <row r="948" spans="1:7" x14ac:dyDescent="0.25">
      <c r="A948" s="3" t="s">
        <v>966</v>
      </c>
      <c r="E948" s="14" t="str">
        <f t="shared" si="14"/>
        <v>0</v>
      </c>
      <c r="G948" s="3" t="s">
        <v>966</v>
      </c>
    </row>
    <row r="949" spans="1:7" x14ac:dyDescent="0.25">
      <c r="A949" s="3" t="s">
        <v>754</v>
      </c>
      <c r="E949" s="14" t="str">
        <f t="shared" si="14"/>
        <v>3</v>
      </c>
      <c r="G949" s="3" t="s">
        <v>754</v>
      </c>
    </row>
    <row r="950" spans="1:7" x14ac:dyDescent="0.25">
      <c r="A950" s="3" t="s">
        <v>754</v>
      </c>
      <c r="E950" s="14" t="str">
        <f t="shared" si="14"/>
        <v>3</v>
      </c>
      <c r="G950" s="3" t="s">
        <v>754</v>
      </c>
    </row>
    <row r="951" spans="1:7" x14ac:dyDescent="0.25">
      <c r="A951" s="3" t="s">
        <v>754</v>
      </c>
      <c r="E951" s="14" t="str">
        <f t="shared" si="14"/>
        <v>3</v>
      </c>
      <c r="G951" s="3" t="s">
        <v>754</v>
      </c>
    </row>
    <row r="952" spans="1:7" x14ac:dyDescent="0.25">
      <c r="A952" s="3" t="s">
        <v>754</v>
      </c>
      <c r="E952" s="14" t="str">
        <f t="shared" si="14"/>
        <v>3</v>
      </c>
      <c r="G952" s="3" t="s">
        <v>754</v>
      </c>
    </row>
    <row r="953" spans="1:7" x14ac:dyDescent="0.25">
      <c r="A953" s="3" t="s">
        <v>754</v>
      </c>
      <c r="E953" s="14" t="str">
        <f t="shared" si="14"/>
        <v>3</v>
      </c>
      <c r="G953" s="3" t="s">
        <v>1621</v>
      </c>
    </row>
    <row r="954" spans="1:7" x14ac:dyDescent="0.25">
      <c r="A954" s="3" t="s">
        <v>754</v>
      </c>
      <c r="E954" s="14" t="str">
        <f t="shared" si="14"/>
        <v>3</v>
      </c>
      <c r="G954" s="3" t="s">
        <v>1621</v>
      </c>
    </row>
    <row r="955" spans="1:7" x14ac:dyDescent="0.25">
      <c r="A955" s="3" t="s">
        <v>754</v>
      </c>
      <c r="E955" s="14" t="str">
        <f t="shared" si="14"/>
        <v>3</v>
      </c>
      <c r="G955" s="3" t="s">
        <v>1621</v>
      </c>
    </row>
    <row r="956" spans="1:7" x14ac:dyDescent="0.25">
      <c r="A956" s="3" t="s">
        <v>754</v>
      </c>
      <c r="E956" s="14" t="str">
        <f t="shared" si="14"/>
        <v>3</v>
      </c>
      <c r="G956" s="3" t="s">
        <v>1621</v>
      </c>
    </row>
    <row r="957" spans="1:7" x14ac:dyDescent="0.25">
      <c r="A957" s="3" t="s">
        <v>754</v>
      </c>
      <c r="E957" s="14" t="str">
        <f t="shared" si="14"/>
        <v>3</v>
      </c>
      <c r="G957" s="3" t="s">
        <v>1621</v>
      </c>
    </row>
    <row r="958" spans="1:7" x14ac:dyDescent="0.25">
      <c r="A958" s="3" t="s">
        <v>966</v>
      </c>
      <c r="E958" s="14" t="str">
        <f t="shared" si="14"/>
        <v>0</v>
      </c>
      <c r="G958" s="3" t="s">
        <v>966</v>
      </c>
    </row>
    <row r="959" spans="1:7" x14ac:dyDescent="0.25">
      <c r="A959" s="3" t="s">
        <v>755</v>
      </c>
      <c r="E959" s="14" t="str">
        <f t="shared" si="14"/>
        <v>4</v>
      </c>
      <c r="G959" s="3" t="s">
        <v>755</v>
      </c>
    </row>
    <row r="960" spans="1:7" x14ac:dyDescent="0.25">
      <c r="A960" s="3" t="s">
        <v>755</v>
      </c>
      <c r="E960" s="14" t="str">
        <f t="shared" si="14"/>
        <v>4</v>
      </c>
      <c r="G960" s="3" t="s">
        <v>755</v>
      </c>
    </row>
    <row r="961" spans="1:7" x14ac:dyDescent="0.25">
      <c r="A961" s="3" t="s">
        <v>755</v>
      </c>
      <c r="E961" s="14" t="str">
        <f t="shared" si="14"/>
        <v>4</v>
      </c>
      <c r="G961" s="3" t="s">
        <v>755</v>
      </c>
    </row>
    <row r="962" spans="1:7" x14ac:dyDescent="0.25">
      <c r="A962" s="3" t="s">
        <v>755</v>
      </c>
      <c r="E962" s="14" t="str">
        <f t="shared" ref="E962:E1025" si="15">A962&amp;B962&amp;C962</f>
        <v>4</v>
      </c>
      <c r="G962" s="3" t="s">
        <v>755</v>
      </c>
    </row>
    <row r="963" spans="1:7" x14ac:dyDescent="0.25">
      <c r="A963" s="3" t="s">
        <v>755</v>
      </c>
      <c r="E963" s="14" t="str">
        <f t="shared" si="15"/>
        <v>4</v>
      </c>
      <c r="G963" s="3" t="s">
        <v>755</v>
      </c>
    </row>
    <row r="964" spans="1:7" x14ac:dyDescent="0.25">
      <c r="A964" s="3" t="s">
        <v>755</v>
      </c>
      <c r="E964" s="14" t="str">
        <f t="shared" si="15"/>
        <v>4</v>
      </c>
      <c r="G964" s="3" t="s">
        <v>1620</v>
      </c>
    </row>
    <row r="965" spans="1:7" x14ac:dyDescent="0.25">
      <c r="A965" s="3" t="s">
        <v>755</v>
      </c>
      <c r="E965" s="14" t="str">
        <f t="shared" si="15"/>
        <v>4</v>
      </c>
      <c r="G965" s="3" t="s">
        <v>1620</v>
      </c>
    </row>
    <row r="966" spans="1:7" x14ac:dyDescent="0.25">
      <c r="A966" s="3" t="s">
        <v>755</v>
      </c>
      <c r="E966" s="14" t="str">
        <f t="shared" si="15"/>
        <v>4</v>
      </c>
      <c r="G966" s="3" t="s">
        <v>1620</v>
      </c>
    </row>
    <row r="967" spans="1:7" x14ac:dyDescent="0.25">
      <c r="A967" s="3" t="s">
        <v>755</v>
      </c>
      <c r="E967" s="14" t="str">
        <f t="shared" si="15"/>
        <v>4</v>
      </c>
      <c r="G967" s="3" t="s">
        <v>1620</v>
      </c>
    </row>
    <row r="968" spans="1:7" x14ac:dyDescent="0.25">
      <c r="A968" s="3" t="s">
        <v>755</v>
      </c>
      <c r="E968" s="14" t="str">
        <f t="shared" si="15"/>
        <v>4</v>
      </c>
      <c r="G968" s="3" t="s">
        <v>1620</v>
      </c>
    </row>
    <row r="969" spans="1:7" x14ac:dyDescent="0.25">
      <c r="A969" s="3" t="s">
        <v>966</v>
      </c>
      <c r="E969" s="14" t="str">
        <f t="shared" si="15"/>
        <v>0</v>
      </c>
      <c r="G969" s="3" t="s">
        <v>966</v>
      </c>
    </row>
    <row r="970" spans="1:7" x14ac:dyDescent="0.25">
      <c r="A970" s="3" t="s">
        <v>753</v>
      </c>
      <c r="E970" s="14" t="str">
        <f t="shared" si="15"/>
        <v>2</v>
      </c>
      <c r="G970" s="3" t="s">
        <v>753</v>
      </c>
    </row>
    <row r="971" spans="1:7" x14ac:dyDescent="0.25">
      <c r="A971" s="3" t="s">
        <v>753</v>
      </c>
      <c r="E971" s="14" t="str">
        <f t="shared" si="15"/>
        <v>2</v>
      </c>
      <c r="G971" s="3" t="s">
        <v>753</v>
      </c>
    </row>
    <row r="972" spans="1:7" x14ac:dyDescent="0.25">
      <c r="A972" s="3" t="s">
        <v>753</v>
      </c>
      <c r="E972" s="14" t="str">
        <f t="shared" si="15"/>
        <v>2</v>
      </c>
      <c r="G972" s="3" t="s">
        <v>753</v>
      </c>
    </row>
    <row r="973" spans="1:7" x14ac:dyDescent="0.25">
      <c r="A973" s="3" t="s">
        <v>753</v>
      </c>
      <c r="E973" s="14" t="str">
        <f t="shared" si="15"/>
        <v>2</v>
      </c>
      <c r="G973" s="3" t="s">
        <v>753</v>
      </c>
    </row>
    <row r="974" spans="1:7" x14ac:dyDescent="0.25">
      <c r="A974" s="3" t="s">
        <v>753</v>
      </c>
      <c r="E974" s="14" t="str">
        <f t="shared" si="15"/>
        <v>2</v>
      </c>
      <c r="G974" s="3" t="s">
        <v>753</v>
      </c>
    </row>
    <row r="975" spans="1:7" x14ac:dyDescent="0.25">
      <c r="A975" s="3" t="s">
        <v>753</v>
      </c>
      <c r="E975" s="14" t="str">
        <f t="shared" si="15"/>
        <v>2</v>
      </c>
      <c r="G975" s="3" t="s">
        <v>753</v>
      </c>
    </row>
    <row r="976" spans="1:7" x14ac:dyDescent="0.25">
      <c r="A976" s="3" t="s">
        <v>753</v>
      </c>
      <c r="E976" s="14" t="str">
        <f t="shared" si="15"/>
        <v>2</v>
      </c>
      <c r="G976" s="3" t="s">
        <v>753</v>
      </c>
    </row>
    <row r="977" spans="1:7" x14ac:dyDescent="0.25">
      <c r="A977" s="3" t="s">
        <v>753</v>
      </c>
      <c r="E977" s="14" t="str">
        <f t="shared" si="15"/>
        <v>2</v>
      </c>
      <c r="G977" s="3" t="s">
        <v>1622</v>
      </c>
    </row>
    <row r="978" spans="1:7" x14ac:dyDescent="0.25">
      <c r="A978" s="3" t="s">
        <v>753</v>
      </c>
      <c r="E978" s="14" t="str">
        <f t="shared" si="15"/>
        <v>2</v>
      </c>
      <c r="G978" s="3" t="s">
        <v>1622</v>
      </c>
    </row>
    <row r="979" spans="1:7" x14ac:dyDescent="0.25">
      <c r="A979" s="3" t="s">
        <v>753</v>
      </c>
      <c r="E979" s="14" t="str">
        <f t="shared" si="15"/>
        <v>2</v>
      </c>
      <c r="G979" s="3" t="s">
        <v>1622</v>
      </c>
    </row>
    <row r="980" spans="1:7" x14ac:dyDescent="0.25">
      <c r="A980" s="3" t="s">
        <v>753</v>
      </c>
      <c r="E980" s="14" t="str">
        <f t="shared" si="15"/>
        <v>2</v>
      </c>
      <c r="G980" s="3" t="s">
        <v>1622</v>
      </c>
    </row>
    <row r="981" spans="1:7" x14ac:dyDescent="0.25">
      <c r="A981" s="3" t="s">
        <v>753</v>
      </c>
      <c r="E981" s="14" t="str">
        <f t="shared" si="15"/>
        <v>2</v>
      </c>
      <c r="G981" s="3" t="s">
        <v>1622</v>
      </c>
    </row>
    <row r="982" spans="1:7" x14ac:dyDescent="0.25">
      <c r="A982" s="3" t="s">
        <v>753</v>
      </c>
      <c r="E982" s="14" t="str">
        <f t="shared" si="15"/>
        <v>2</v>
      </c>
      <c r="G982" s="3" t="s">
        <v>1622</v>
      </c>
    </row>
    <row r="983" spans="1:7" x14ac:dyDescent="0.25">
      <c r="A983" s="3" t="s">
        <v>753</v>
      </c>
      <c r="E983" s="14" t="str">
        <f t="shared" si="15"/>
        <v>2</v>
      </c>
      <c r="G983" s="3" t="s">
        <v>1622</v>
      </c>
    </row>
    <row r="984" spans="1:7" x14ac:dyDescent="0.25">
      <c r="A984" s="3" t="s">
        <v>966</v>
      </c>
      <c r="E984" s="14" t="str">
        <f t="shared" si="15"/>
        <v>0</v>
      </c>
      <c r="G984" s="3" t="s">
        <v>966</v>
      </c>
    </row>
    <row r="985" spans="1:7" x14ac:dyDescent="0.25">
      <c r="A985" s="3" t="s">
        <v>756</v>
      </c>
      <c r="E985" s="14" t="str">
        <f t="shared" si="15"/>
        <v>5</v>
      </c>
      <c r="G985" s="3" t="s">
        <v>756</v>
      </c>
    </row>
    <row r="986" spans="1:7" x14ac:dyDescent="0.25">
      <c r="A986" s="3" t="s">
        <v>756</v>
      </c>
      <c r="E986" s="14" t="str">
        <f t="shared" si="15"/>
        <v>5</v>
      </c>
      <c r="G986" s="3" t="s">
        <v>756</v>
      </c>
    </row>
    <row r="987" spans="1:7" x14ac:dyDescent="0.25">
      <c r="A987" s="3" t="s">
        <v>756</v>
      </c>
      <c r="E987" s="14" t="str">
        <f t="shared" si="15"/>
        <v>5</v>
      </c>
      <c r="G987" s="3" t="s">
        <v>756</v>
      </c>
    </row>
    <row r="988" spans="1:7" x14ac:dyDescent="0.25">
      <c r="A988" s="3" t="s">
        <v>756</v>
      </c>
      <c r="E988" s="14" t="str">
        <f t="shared" si="15"/>
        <v>5</v>
      </c>
      <c r="G988" s="3" t="s">
        <v>756</v>
      </c>
    </row>
    <row r="989" spans="1:7" x14ac:dyDescent="0.25">
      <c r="A989" s="3" t="s">
        <v>756</v>
      </c>
      <c r="E989" s="14" t="str">
        <f t="shared" si="15"/>
        <v>5</v>
      </c>
      <c r="G989" s="3" t="s">
        <v>756</v>
      </c>
    </row>
    <row r="990" spans="1:7" x14ac:dyDescent="0.25">
      <c r="A990" s="3" t="s">
        <v>756</v>
      </c>
      <c r="E990" s="14" t="str">
        <f t="shared" si="15"/>
        <v>5</v>
      </c>
      <c r="G990" s="3" t="s">
        <v>756</v>
      </c>
    </row>
    <row r="991" spans="1:7" x14ac:dyDescent="0.25">
      <c r="A991" s="3" t="s">
        <v>756</v>
      </c>
      <c r="E991" s="14" t="str">
        <f t="shared" si="15"/>
        <v>5</v>
      </c>
      <c r="G991" s="3" t="s">
        <v>756</v>
      </c>
    </row>
    <row r="992" spans="1:7" x14ac:dyDescent="0.25">
      <c r="A992" s="3" t="s">
        <v>756</v>
      </c>
      <c r="E992" s="14" t="str">
        <f t="shared" si="15"/>
        <v>5</v>
      </c>
      <c r="G992" s="3" t="s">
        <v>1623</v>
      </c>
    </row>
    <row r="993" spans="1:7" x14ac:dyDescent="0.25">
      <c r="A993" s="3" t="s">
        <v>756</v>
      </c>
      <c r="E993" s="14" t="str">
        <f t="shared" si="15"/>
        <v>5</v>
      </c>
      <c r="G993" s="3" t="s">
        <v>1623</v>
      </c>
    </row>
    <row r="994" spans="1:7" x14ac:dyDescent="0.25">
      <c r="A994" s="3" t="s">
        <v>756</v>
      </c>
      <c r="E994" s="14" t="str">
        <f t="shared" si="15"/>
        <v>5</v>
      </c>
      <c r="G994" s="3" t="s">
        <v>1623</v>
      </c>
    </row>
    <row r="995" spans="1:7" x14ac:dyDescent="0.25">
      <c r="A995" s="3" t="s">
        <v>756</v>
      </c>
      <c r="E995" s="14" t="str">
        <f t="shared" si="15"/>
        <v>5</v>
      </c>
      <c r="G995" s="3" t="s">
        <v>1623</v>
      </c>
    </row>
    <row r="996" spans="1:7" x14ac:dyDescent="0.25">
      <c r="A996" s="3" t="s">
        <v>756</v>
      </c>
      <c r="E996" s="14" t="str">
        <f t="shared" si="15"/>
        <v>5</v>
      </c>
      <c r="G996" s="3" t="s">
        <v>1623</v>
      </c>
    </row>
    <row r="997" spans="1:7" x14ac:dyDescent="0.25">
      <c r="A997" s="3" t="s">
        <v>756</v>
      </c>
      <c r="E997" s="14" t="str">
        <f t="shared" si="15"/>
        <v>5</v>
      </c>
      <c r="G997" s="3" t="s">
        <v>1623</v>
      </c>
    </row>
    <row r="998" spans="1:7" x14ac:dyDescent="0.25">
      <c r="A998" s="3" t="s">
        <v>756</v>
      </c>
      <c r="E998" s="14" t="str">
        <f t="shared" si="15"/>
        <v>5</v>
      </c>
      <c r="G998" s="3" t="s">
        <v>1623</v>
      </c>
    </row>
    <row r="999" spans="1:7" x14ac:dyDescent="0.25">
      <c r="A999" s="3" t="s">
        <v>966</v>
      </c>
      <c r="E999" s="14" t="str">
        <f t="shared" si="15"/>
        <v>0</v>
      </c>
      <c r="G999" s="3" t="s">
        <v>966</v>
      </c>
    </row>
    <row r="1000" spans="1:7" x14ac:dyDescent="0.25">
      <c r="A1000" s="3" t="s">
        <v>757</v>
      </c>
      <c r="E1000" s="14" t="str">
        <f t="shared" si="15"/>
        <v>6</v>
      </c>
      <c r="G1000" s="3" t="s">
        <v>757</v>
      </c>
    </row>
    <row r="1001" spans="1:7" x14ac:dyDescent="0.25">
      <c r="A1001" s="3" t="s">
        <v>757</v>
      </c>
      <c r="E1001" s="14" t="str">
        <f t="shared" si="15"/>
        <v>6</v>
      </c>
      <c r="G1001" s="3" t="s">
        <v>757</v>
      </c>
    </row>
    <row r="1002" spans="1:7" x14ac:dyDescent="0.25">
      <c r="A1002" s="3" t="s">
        <v>757</v>
      </c>
      <c r="E1002" s="14" t="str">
        <f t="shared" si="15"/>
        <v>6</v>
      </c>
      <c r="G1002" s="3" t="s">
        <v>757</v>
      </c>
    </row>
    <row r="1003" spans="1:7" x14ac:dyDescent="0.25">
      <c r="A1003" s="3" t="s">
        <v>757</v>
      </c>
      <c r="E1003" s="14" t="str">
        <f t="shared" si="15"/>
        <v>6</v>
      </c>
      <c r="G1003" s="3" t="s">
        <v>757</v>
      </c>
    </row>
    <row r="1004" spans="1:7" x14ac:dyDescent="0.25">
      <c r="A1004" s="3" t="s">
        <v>757</v>
      </c>
      <c r="E1004" s="14" t="str">
        <f t="shared" si="15"/>
        <v>6</v>
      </c>
      <c r="G1004" s="3" t="s">
        <v>757</v>
      </c>
    </row>
    <row r="1005" spans="1:7" x14ac:dyDescent="0.25">
      <c r="A1005" s="3" t="s">
        <v>757</v>
      </c>
      <c r="E1005" s="14" t="str">
        <f t="shared" si="15"/>
        <v>6</v>
      </c>
      <c r="G1005" s="3" t="s">
        <v>757</v>
      </c>
    </row>
    <row r="1006" spans="1:7" x14ac:dyDescent="0.25">
      <c r="A1006" s="3" t="s">
        <v>757</v>
      </c>
      <c r="E1006" s="14" t="str">
        <f t="shared" si="15"/>
        <v>6</v>
      </c>
      <c r="G1006" s="3" t="s">
        <v>757</v>
      </c>
    </row>
    <row r="1007" spans="1:7" x14ac:dyDescent="0.25">
      <c r="A1007" s="3" t="s">
        <v>757</v>
      </c>
      <c r="E1007" s="14" t="str">
        <f t="shared" si="15"/>
        <v>6</v>
      </c>
      <c r="G1007" s="3" t="s">
        <v>1624</v>
      </c>
    </row>
    <row r="1008" spans="1:7" x14ac:dyDescent="0.25">
      <c r="A1008" s="3" t="s">
        <v>757</v>
      </c>
      <c r="E1008" s="14" t="str">
        <f t="shared" si="15"/>
        <v>6</v>
      </c>
      <c r="G1008" s="3" t="s">
        <v>1624</v>
      </c>
    </row>
    <row r="1009" spans="1:7" x14ac:dyDescent="0.25">
      <c r="A1009" s="3" t="s">
        <v>757</v>
      </c>
      <c r="E1009" s="14" t="str">
        <f t="shared" si="15"/>
        <v>6</v>
      </c>
      <c r="G1009" s="3" t="s">
        <v>1624</v>
      </c>
    </row>
    <row r="1010" spans="1:7" x14ac:dyDescent="0.25">
      <c r="A1010" s="3" t="s">
        <v>757</v>
      </c>
      <c r="E1010" s="14" t="str">
        <f t="shared" si="15"/>
        <v>6</v>
      </c>
      <c r="G1010" s="3" t="s">
        <v>1624</v>
      </c>
    </row>
    <row r="1011" spans="1:7" x14ac:dyDescent="0.25">
      <c r="A1011" s="3" t="s">
        <v>757</v>
      </c>
      <c r="E1011" s="14" t="str">
        <f t="shared" si="15"/>
        <v>6</v>
      </c>
      <c r="G1011" s="3" t="s">
        <v>1624</v>
      </c>
    </row>
    <row r="1012" spans="1:7" x14ac:dyDescent="0.25">
      <c r="A1012" s="3" t="s">
        <v>757</v>
      </c>
      <c r="E1012" s="14" t="str">
        <f t="shared" si="15"/>
        <v>6</v>
      </c>
      <c r="G1012" s="3" t="s">
        <v>1624</v>
      </c>
    </row>
    <row r="1013" spans="1:7" x14ac:dyDescent="0.25">
      <c r="A1013" s="3" t="s">
        <v>757</v>
      </c>
      <c r="E1013" s="14" t="str">
        <f t="shared" si="15"/>
        <v>6</v>
      </c>
      <c r="G1013" s="3" t="s">
        <v>1624</v>
      </c>
    </row>
    <row r="1014" spans="1:7" x14ac:dyDescent="0.25">
      <c r="A1014" s="3" t="s">
        <v>757</v>
      </c>
      <c r="E1014" s="14" t="str">
        <f t="shared" si="15"/>
        <v>6</v>
      </c>
      <c r="G1014" s="3" t="s">
        <v>1624</v>
      </c>
    </row>
    <row r="1015" spans="1:7" x14ac:dyDescent="0.25">
      <c r="A1015" s="3" t="s">
        <v>966</v>
      </c>
      <c r="E1015" s="14" t="str">
        <f t="shared" si="15"/>
        <v>0</v>
      </c>
      <c r="G1015" s="3" t="s">
        <v>966</v>
      </c>
    </row>
    <row r="1016" spans="1:7" x14ac:dyDescent="0.25">
      <c r="A1016" s="3" t="s">
        <v>758</v>
      </c>
      <c r="B1016" t="s">
        <v>745</v>
      </c>
      <c r="C1016" t="s">
        <v>746</v>
      </c>
      <c r="E1016" s="14" t="str">
        <f t="shared" si="15"/>
        <v>7_A_A</v>
      </c>
      <c r="G1016" s="3" t="s">
        <v>758</v>
      </c>
    </row>
    <row r="1017" spans="1:7" x14ac:dyDescent="0.25">
      <c r="A1017" s="3" t="s">
        <v>758</v>
      </c>
      <c r="B1017" s="14" t="s">
        <v>745</v>
      </c>
      <c r="C1017" s="14" t="s">
        <v>746</v>
      </c>
      <c r="E1017" s="14" t="str">
        <f t="shared" si="15"/>
        <v>7_A_A</v>
      </c>
      <c r="G1017" s="3" t="s">
        <v>758</v>
      </c>
    </row>
    <row r="1018" spans="1:7" x14ac:dyDescent="0.25">
      <c r="A1018" s="3" t="s">
        <v>758</v>
      </c>
      <c r="B1018" s="14" t="s">
        <v>745</v>
      </c>
      <c r="C1018" s="14" t="s">
        <v>746</v>
      </c>
      <c r="E1018" s="14" t="str">
        <f t="shared" si="15"/>
        <v>7_A_A</v>
      </c>
      <c r="G1018" s="3" t="s">
        <v>758</v>
      </c>
    </row>
    <row r="1019" spans="1:7" x14ac:dyDescent="0.25">
      <c r="A1019" s="3" t="s">
        <v>758</v>
      </c>
      <c r="B1019" s="14" t="s">
        <v>745</v>
      </c>
      <c r="C1019" s="14" t="s">
        <v>746</v>
      </c>
      <c r="E1019" s="14" t="str">
        <f t="shared" si="15"/>
        <v>7_A_A</v>
      </c>
      <c r="G1019" s="3" t="s">
        <v>758</v>
      </c>
    </row>
    <row r="1020" spans="1:7" x14ac:dyDescent="0.25">
      <c r="A1020" s="3" t="s">
        <v>758</v>
      </c>
      <c r="B1020" s="14" t="s">
        <v>745</v>
      </c>
      <c r="C1020" s="14" t="s">
        <v>746</v>
      </c>
      <c r="E1020" s="14" t="str">
        <f t="shared" si="15"/>
        <v>7_A_A</v>
      </c>
      <c r="G1020" s="3" t="s">
        <v>758</v>
      </c>
    </row>
    <row r="1021" spans="1:7" x14ac:dyDescent="0.25">
      <c r="A1021" s="3" t="s">
        <v>758</v>
      </c>
      <c r="B1021" s="14" t="s">
        <v>745</v>
      </c>
      <c r="C1021" s="14" t="s">
        <v>746</v>
      </c>
      <c r="E1021" s="14" t="str">
        <f t="shared" si="15"/>
        <v>7_A_A</v>
      </c>
      <c r="G1021" s="3" t="s">
        <v>758</v>
      </c>
    </row>
    <row r="1022" spans="1:7" x14ac:dyDescent="0.25">
      <c r="A1022" s="3" t="s">
        <v>758</v>
      </c>
      <c r="B1022" s="14" t="s">
        <v>745</v>
      </c>
      <c r="C1022" s="14" t="s">
        <v>746</v>
      </c>
      <c r="E1022" s="14" t="str">
        <f t="shared" si="15"/>
        <v>7_A_A</v>
      </c>
      <c r="G1022" s="3" t="s">
        <v>758</v>
      </c>
    </row>
    <row r="1023" spans="1:7" x14ac:dyDescent="0.25">
      <c r="A1023" s="3" t="s">
        <v>758</v>
      </c>
      <c r="B1023" s="14" t="s">
        <v>745</v>
      </c>
      <c r="C1023" s="14" t="s">
        <v>746</v>
      </c>
      <c r="E1023" s="14" t="str">
        <f t="shared" si="15"/>
        <v>7_A_A</v>
      </c>
      <c r="G1023" s="3" t="s">
        <v>1625</v>
      </c>
    </row>
    <row r="1024" spans="1:7" x14ac:dyDescent="0.25">
      <c r="A1024" s="3" t="s">
        <v>758</v>
      </c>
      <c r="B1024" s="14" t="s">
        <v>745</v>
      </c>
      <c r="C1024" s="14" t="s">
        <v>746</v>
      </c>
      <c r="E1024" s="14" t="str">
        <f t="shared" si="15"/>
        <v>7_A_A</v>
      </c>
      <c r="G1024" s="3" t="s">
        <v>1625</v>
      </c>
    </row>
    <row r="1025" spans="1:7" x14ac:dyDescent="0.25">
      <c r="A1025" s="3" t="s">
        <v>758</v>
      </c>
      <c r="B1025" s="14" t="s">
        <v>745</v>
      </c>
      <c r="C1025" s="14" t="s">
        <v>746</v>
      </c>
      <c r="E1025" s="14" t="str">
        <f t="shared" si="15"/>
        <v>7_A_A</v>
      </c>
      <c r="G1025" s="3" t="s">
        <v>1625</v>
      </c>
    </row>
    <row r="1026" spans="1:7" x14ac:dyDescent="0.25">
      <c r="A1026" s="3" t="s">
        <v>758</v>
      </c>
      <c r="B1026" s="14" t="s">
        <v>745</v>
      </c>
      <c r="C1026" s="14" t="s">
        <v>746</v>
      </c>
      <c r="E1026" s="14" t="str">
        <f t="shared" ref="E1026:E1042" si="16">A1026&amp;B1026&amp;C1026</f>
        <v>7_A_A</v>
      </c>
      <c r="G1026" s="3" t="s">
        <v>1625</v>
      </c>
    </row>
    <row r="1027" spans="1:7" x14ac:dyDescent="0.25">
      <c r="A1027" s="3" t="s">
        <v>758</v>
      </c>
      <c r="B1027" s="14" t="s">
        <v>745</v>
      </c>
      <c r="C1027" s="14" t="s">
        <v>746</v>
      </c>
      <c r="E1027" s="14" t="str">
        <f t="shared" si="16"/>
        <v>7_A_A</v>
      </c>
      <c r="G1027" s="3" t="s">
        <v>1625</v>
      </c>
    </row>
    <row r="1028" spans="1:7" x14ac:dyDescent="0.25">
      <c r="A1028" s="3" t="s">
        <v>758</v>
      </c>
      <c r="B1028" s="14" t="s">
        <v>745</v>
      </c>
      <c r="C1028" s="14" t="s">
        <v>746</v>
      </c>
      <c r="E1028" s="14" t="str">
        <f t="shared" si="16"/>
        <v>7_A_A</v>
      </c>
      <c r="G1028" s="3" t="s">
        <v>1625</v>
      </c>
    </row>
    <row r="1029" spans="1:7" x14ac:dyDescent="0.25">
      <c r="A1029" s="3" t="s">
        <v>758</v>
      </c>
      <c r="B1029" s="14" t="s">
        <v>745</v>
      </c>
      <c r="C1029" s="14" t="s">
        <v>746</v>
      </c>
      <c r="E1029" s="14" t="str">
        <f t="shared" si="16"/>
        <v>7_A_A</v>
      </c>
      <c r="G1029" s="3" t="s">
        <v>1625</v>
      </c>
    </row>
    <row r="1030" spans="1:7" x14ac:dyDescent="0.25">
      <c r="A1030" s="3" t="s">
        <v>758</v>
      </c>
      <c r="B1030" s="14" t="s">
        <v>745</v>
      </c>
      <c r="C1030" s="14" t="s">
        <v>746</v>
      </c>
      <c r="E1030" s="14" t="str">
        <f t="shared" si="16"/>
        <v>7_A_A</v>
      </c>
      <c r="G1030" s="3" t="s">
        <v>1625</v>
      </c>
    </row>
    <row r="1031" spans="1:7" x14ac:dyDescent="0.25">
      <c r="A1031" s="3" t="s">
        <v>759</v>
      </c>
      <c r="B1031" t="s">
        <v>745</v>
      </c>
      <c r="C1031" t="s">
        <v>747</v>
      </c>
      <c r="E1031" s="14" t="str">
        <f t="shared" si="16"/>
        <v>7_B_B</v>
      </c>
      <c r="G1031" s="3" t="s">
        <v>759</v>
      </c>
    </row>
    <row r="1032" spans="1:7" x14ac:dyDescent="0.25">
      <c r="A1032" s="3" t="s">
        <v>759</v>
      </c>
      <c r="B1032" s="14" t="s">
        <v>745</v>
      </c>
      <c r="C1032" s="14" t="s">
        <v>747</v>
      </c>
      <c r="E1032" s="14" t="str">
        <f t="shared" si="16"/>
        <v>7_B_B</v>
      </c>
      <c r="G1032" s="3" t="s">
        <v>759</v>
      </c>
    </row>
    <row r="1033" spans="1:7" x14ac:dyDescent="0.25">
      <c r="A1033" s="3" t="s">
        <v>759</v>
      </c>
      <c r="B1033" s="14" t="s">
        <v>745</v>
      </c>
      <c r="C1033" s="14" t="s">
        <v>747</v>
      </c>
      <c r="E1033" s="14" t="str">
        <f t="shared" si="16"/>
        <v>7_B_B</v>
      </c>
      <c r="G1033" s="3" t="s">
        <v>759</v>
      </c>
    </row>
    <row r="1034" spans="1:7" x14ac:dyDescent="0.25">
      <c r="A1034" s="3" t="s">
        <v>759</v>
      </c>
      <c r="B1034" s="14" t="s">
        <v>745</v>
      </c>
      <c r="C1034" s="14" t="s">
        <v>747</v>
      </c>
      <c r="E1034" s="14" t="str">
        <f t="shared" si="16"/>
        <v>7_B_B</v>
      </c>
      <c r="G1034" s="3" t="s">
        <v>759</v>
      </c>
    </row>
    <row r="1035" spans="1:7" x14ac:dyDescent="0.25">
      <c r="A1035" s="3" t="s">
        <v>759</v>
      </c>
      <c r="B1035" s="14" t="s">
        <v>745</v>
      </c>
      <c r="C1035" s="14" t="s">
        <v>747</v>
      </c>
      <c r="E1035" s="14" t="str">
        <f t="shared" si="16"/>
        <v>7_B_B</v>
      </c>
      <c r="G1035" s="3" t="s">
        <v>759</v>
      </c>
    </row>
    <row r="1036" spans="1:7" x14ac:dyDescent="0.25">
      <c r="A1036" s="3" t="s">
        <v>759</v>
      </c>
      <c r="B1036" s="14" t="s">
        <v>745</v>
      </c>
      <c r="C1036" s="14" t="s">
        <v>747</v>
      </c>
      <c r="E1036" s="14" t="str">
        <f t="shared" si="16"/>
        <v>7_B_B</v>
      </c>
      <c r="G1036" s="3" t="s">
        <v>1626</v>
      </c>
    </row>
    <row r="1037" spans="1:7" x14ac:dyDescent="0.25">
      <c r="A1037" s="3" t="s">
        <v>759</v>
      </c>
      <c r="B1037" s="14" t="s">
        <v>745</v>
      </c>
      <c r="C1037" s="14" t="s">
        <v>747</v>
      </c>
      <c r="E1037" s="14" t="str">
        <f t="shared" si="16"/>
        <v>7_B_B</v>
      </c>
      <c r="G1037" s="3" t="s">
        <v>1626</v>
      </c>
    </row>
    <row r="1038" spans="1:7" x14ac:dyDescent="0.25">
      <c r="A1038" s="3" t="s">
        <v>759</v>
      </c>
      <c r="B1038" s="14" t="s">
        <v>745</v>
      </c>
      <c r="C1038" s="14" t="s">
        <v>747</v>
      </c>
      <c r="E1038" s="14" t="str">
        <f t="shared" si="16"/>
        <v>7_B_B</v>
      </c>
      <c r="G1038" s="3" t="s">
        <v>1626</v>
      </c>
    </row>
    <row r="1039" spans="1:7" x14ac:dyDescent="0.25">
      <c r="A1039" s="3" t="s">
        <v>759</v>
      </c>
      <c r="B1039" s="14" t="s">
        <v>745</v>
      </c>
      <c r="C1039" s="14" t="s">
        <v>747</v>
      </c>
      <c r="E1039" s="14" t="str">
        <f t="shared" si="16"/>
        <v>7_B_B</v>
      </c>
      <c r="G1039" s="3" t="s">
        <v>1626</v>
      </c>
    </row>
    <row r="1040" spans="1:7" x14ac:dyDescent="0.25">
      <c r="A1040" s="3" t="s">
        <v>759</v>
      </c>
      <c r="B1040" s="14" t="s">
        <v>745</v>
      </c>
      <c r="C1040" s="14" t="s">
        <v>747</v>
      </c>
      <c r="E1040" s="14" t="str">
        <f t="shared" si="16"/>
        <v>7_B_B</v>
      </c>
      <c r="G1040" s="3" t="s">
        <v>1626</v>
      </c>
    </row>
    <row r="1041" spans="1:7" x14ac:dyDescent="0.25">
      <c r="A1041" s="3" t="s">
        <v>759</v>
      </c>
      <c r="B1041" s="14" t="s">
        <v>745</v>
      </c>
      <c r="C1041" s="14" t="s">
        <v>747</v>
      </c>
      <c r="E1041" s="14" t="str">
        <f t="shared" si="16"/>
        <v>7_B_B</v>
      </c>
      <c r="G1041" s="3" t="s">
        <v>1626</v>
      </c>
    </row>
    <row r="1042" spans="1:7" x14ac:dyDescent="0.25">
      <c r="A1042" s="3" t="s">
        <v>759</v>
      </c>
      <c r="B1042" s="14" t="s">
        <v>745</v>
      </c>
      <c r="C1042" s="14" t="s">
        <v>747</v>
      </c>
      <c r="E1042" s="14" t="str">
        <f t="shared" si="16"/>
        <v>7_B_B</v>
      </c>
      <c r="G1042" s="3" t="s">
        <v>1626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HLTP_Template(NOM)</vt:lpstr>
      <vt:lpstr>DOORS Template</vt:lpstr>
      <vt:lpstr>Test Script</vt:lpstr>
      <vt:lpstr>LLTP</vt:lpstr>
      <vt:lpstr>TestName</vt: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2014-09-05T11:27:19Z</dcterms:modified>
</cp:coreProperties>
</file>